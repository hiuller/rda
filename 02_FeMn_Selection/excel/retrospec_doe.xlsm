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45" windowWidth="20340" windowHeight="7830" tabRatio="236" activeTab="1"/>
  </bookViews>
  <sheets>
    <sheet name="raw" sheetId="1" r:id="rId1"/>
    <sheet name="table" sheetId="2" r:id="rId2"/>
    <sheet name="fig05" sheetId="4" r:id="rId3"/>
    <sheet name="fig06" sheetId="3" r:id="rId4"/>
    <sheet name="fig07" sheetId="5" r:id="rId5"/>
  </sheets>
  <definedNames>
    <definedName name="data_collection.accdb" localSheetId="0" hidden="1">raw!$A$1:$P$5163</definedName>
    <definedName name="MS_Access_Database__not_sharable" localSheetId="1" hidden="1">table!$AD$25:$AG$136</definedName>
  </definedNames>
  <calcPr calcId="125725"/>
  <pivotCaches>
    <pivotCache cacheId="0" r:id="rId6"/>
  </pivotCaches>
</workbook>
</file>

<file path=xl/calcChain.xml><?xml version="1.0" encoding="utf-8"?>
<calcChain xmlns="http://schemas.openxmlformats.org/spreadsheetml/2006/main">
  <c r="V29" i="2" a="1"/>
  <c r="V29" s="1"/>
  <c r="V30" a="1"/>
  <c r="V30" s="1"/>
  <c r="V31" a="1"/>
  <c r="V31" s="1"/>
  <c r="V32" a="1"/>
  <c r="V32" s="1"/>
  <c r="V33" a="1"/>
  <c r="V33" s="1"/>
  <c r="V34" a="1"/>
  <c r="V34" s="1"/>
  <c r="V35" a="1"/>
  <c r="V35" s="1"/>
  <c r="V36" a="1"/>
  <c r="V36" s="1"/>
  <c r="V37" a="1"/>
  <c r="V37" s="1"/>
  <c r="V38" a="1"/>
  <c r="V38" s="1"/>
  <c r="V39" a="1"/>
  <c r="V39" s="1"/>
  <c r="V40" a="1"/>
  <c r="V40" s="1"/>
  <c r="V41" a="1"/>
  <c r="V41" s="1"/>
  <c r="V42" a="1"/>
  <c r="V42" s="1"/>
  <c r="V43" a="1"/>
  <c r="V43" s="1"/>
  <c r="V28" a="1"/>
  <c r="V28" s="1"/>
  <c r="P54"/>
  <c r="P46"/>
  <c r="S29" a="1"/>
  <c r="S29" s="1"/>
  <c r="B60" s="1"/>
  <c r="D60" s="1"/>
  <c r="S30" a="1"/>
  <c r="S30" s="1"/>
  <c r="B61" s="1"/>
  <c r="D61" s="1"/>
  <c r="S31" a="1"/>
  <c r="S31" s="1"/>
  <c r="B62" s="1"/>
  <c r="D62" s="1"/>
  <c r="S32" a="1"/>
  <c r="S32" s="1"/>
  <c r="B63" s="1"/>
  <c r="D63" s="1"/>
  <c r="S33" a="1"/>
  <c r="S33" s="1"/>
  <c r="B64" s="1"/>
  <c r="D64" s="1"/>
  <c r="S34" a="1"/>
  <c r="S34" s="1"/>
  <c r="B65" s="1"/>
  <c r="D65" s="1"/>
  <c r="S35" a="1"/>
  <c r="S35" s="1"/>
  <c r="B66" s="1"/>
  <c r="D66" s="1"/>
  <c r="S36" a="1"/>
  <c r="S36" s="1"/>
  <c r="B67" s="1"/>
  <c r="D67" s="1"/>
  <c r="S37" a="1"/>
  <c r="S37" s="1"/>
  <c r="B68" s="1"/>
  <c r="D68" s="1"/>
  <c r="S38" a="1"/>
  <c r="S38" s="1"/>
  <c r="B69" s="1"/>
  <c r="D69" s="1"/>
  <c r="S39" a="1"/>
  <c r="S39" s="1"/>
  <c r="B70" s="1"/>
  <c r="D70" s="1"/>
  <c r="S40" a="1"/>
  <c r="S40" s="1"/>
  <c r="B71" s="1"/>
  <c r="D71" s="1"/>
  <c r="S41" a="1"/>
  <c r="S41" s="1"/>
  <c r="B72" s="1"/>
  <c r="D72" s="1"/>
  <c r="S42" a="1"/>
  <c r="S42" s="1"/>
  <c r="B73" s="1"/>
  <c r="D73" s="1"/>
  <c r="S43" a="1"/>
  <c r="S43" s="1"/>
  <c r="B74" s="1"/>
  <c r="D74" s="1"/>
  <c r="S28" a="1"/>
  <c r="S28" s="1"/>
  <c r="B59" s="1"/>
  <c r="Q2" i="1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3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5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6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69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2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6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8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1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1"/>
  <c r="Q1242"/>
  <c r="Q1243"/>
  <c r="Q1244"/>
  <c r="Q1245"/>
  <c r="Q1246"/>
  <c r="Q1247"/>
  <c r="Q1248"/>
  <c r="Q1249"/>
  <c r="Q1250"/>
  <c r="Q1251"/>
  <c r="Q1252"/>
  <c r="Q1253"/>
  <c r="Q1254"/>
  <c r="Q1255"/>
  <c r="Q1256"/>
  <c r="Q1257"/>
  <c r="Q1258"/>
  <c r="Q1259"/>
  <c r="Q1260"/>
  <c r="Q1261"/>
  <c r="Q1262"/>
  <c r="Q1263"/>
  <c r="Q1264"/>
  <c r="Q1265"/>
  <c r="Q1266"/>
  <c r="Q1267"/>
  <c r="Q1268"/>
  <c r="Q1269"/>
  <c r="Q1270"/>
  <c r="Q1271"/>
  <c r="Q1272"/>
  <c r="Q1273"/>
  <c r="Q1274"/>
  <c r="Q1275"/>
  <c r="Q1276"/>
  <c r="Q1277"/>
  <c r="Q1278"/>
  <c r="Q1279"/>
  <c r="Q1280"/>
  <c r="Q1281"/>
  <c r="Q1282"/>
  <c r="Q1283"/>
  <c r="Q1284"/>
  <c r="Q1285"/>
  <c r="Q1286"/>
  <c r="Q1287"/>
  <c r="Q1288"/>
  <c r="Q1289"/>
  <c r="Q1290"/>
  <c r="Q1291"/>
  <c r="Q1292"/>
  <c r="Q1293"/>
  <c r="Q1294"/>
  <c r="Q1295"/>
  <c r="Q1296"/>
  <c r="Q1297"/>
  <c r="Q1298"/>
  <c r="Q1299"/>
  <c r="Q1300"/>
  <c r="Q1301"/>
  <c r="Q1302"/>
  <c r="Q1303"/>
  <c r="Q1304"/>
  <c r="Q1305"/>
  <c r="Q1306"/>
  <c r="Q1307"/>
  <c r="Q1308"/>
  <c r="Q1309"/>
  <c r="Q1310"/>
  <c r="Q1311"/>
  <c r="Q1312"/>
  <c r="Q1313"/>
  <c r="Q1314"/>
  <c r="Q1315"/>
  <c r="Q1316"/>
  <c r="Q1317"/>
  <c r="Q1318"/>
  <c r="Q1319"/>
  <c r="Q1320"/>
  <c r="Q1321"/>
  <c r="Q1322"/>
  <c r="Q1323"/>
  <c r="Q1324"/>
  <c r="Q1325"/>
  <c r="Q1326"/>
  <c r="Q1327"/>
  <c r="Q1328"/>
  <c r="Q1329"/>
  <c r="Q1330"/>
  <c r="Q1331"/>
  <c r="Q1332"/>
  <c r="Q1333"/>
  <c r="Q1334"/>
  <c r="Q1335"/>
  <c r="Q1336"/>
  <c r="Q1337"/>
  <c r="Q1338"/>
  <c r="Q1339"/>
  <c r="Q1340"/>
  <c r="Q1341"/>
  <c r="Q1342"/>
  <c r="Q1343"/>
  <c r="Q1344"/>
  <c r="Q1345"/>
  <c r="Q1346"/>
  <c r="Q1347"/>
  <c r="Q1348"/>
  <c r="Q1349"/>
  <c r="Q1350"/>
  <c r="Q1351"/>
  <c r="Q1352"/>
  <c r="Q1353"/>
  <c r="Q1354"/>
  <c r="Q1355"/>
  <c r="Q1356"/>
  <c r="Q1357"/>
  <c r="Q1358"/>
  <c r="Q1359"/>
  <c r="Q1360"/>
  <c r="Q1361"/>
  <c r="Q1362"/>
  <c r="Q1363"/>
  <c r="Q1364"/>
  <c r="Q1365"/>
  <c r="Q1366"/>
  <c r="Q1367"/>
  <c r="Q1368"/>
  <c r="Q1369"/>
  <c r="Q1370"/>
  <c r="Q1371"/>
  <c r="Q1372"/>
  <c r="Q1373"/>
  <c r="Q1374"/>
  <c r="Q1375"/>
  <c r="Q1376"/>
  <c r="Q1377"/>
  <c r="Q1378"/>
  <c r="Q1379"/>
  <c r="Q1380"/>
  <c r="Q1381"/>
  <c r="Q1382"/>
  <c r="Q1383"/>
  <c r="Q1384"/>
  <c r="Q1385"/>
  <c r="Q1386"/>
  <c r="Q1387"/>
  <c r="Q1388"/>
  <c r="Q1389"/>
  <c r="Q1390"/>
  <c r="Q1391"/>
  <c r="Q1392"/>
  <c r="Q1393"/>
  <c r="Q1394"/>
  <c r="Q1395"/>
  <c r="Q1396"/>
  <c r="Q1397"/>
  <c r="Q1398"/>
  <c r="Q1399"/>
  <c r="Q1400"/>
  <c r="Q1401"/>
  <c r="Q1402"/>
  <c r="Q1403"/>
  <c r="Q1404"/>
  <c r="Q1405"/>
  <c r="Q1406"/>
  <c r="Q1407"/>
  <c r="Q1408"/>
  <c r="Q1409"/>
  <c r="Q1410"/>
  <c r="Q1411"/>
  <c r="Q1412"/>
  <c r="Q1413"/>
  <c r="Q1414"/>
  <c r="Q1415"/>
  <c r="Q1416"/>
  <c r="Q1417"/>
  <c r="Q1418"/>
  <c r="Q1419"/>
  <c r="Q1420"/>
  <c r="Q1421"/>
  <c r="Q1422"/>
  <c r="Q1423"/>
  <c r="Q1424"/>
  <c r="Q1425"/>
  <c r="Q1426"/>
  <c r="Q1427"/>
  <c r="Q1428"/>
  <c r="Q1429"/>
  <c r="Q1430"/>
  <c r="Q1431"/>
  <c r="Q1432"/>
  <c r="Q1433"/>
  <c r="Q1434"/>
  <c r="Q1435"/>
  <c r="Q1436"/>
  <c r="Q1437"/>
  <c r="Q1438"/>
  <c r="Q1439"/>
  <c r="Q1440"/>
  <c r="Q1441"/>
  <c r="Q1442"/>
  <c r="Q1443"/>
  <c r="Q1444"/>
  <c r="Q1445"/>
  <c r="Q1446"/>
  <c r="Q1447"/>
  <c r="Q1448"/>
  <c r="Q1449"/>
  <c r="Q1450"/>
  <c r="Q1451"/>
  <c r="Q1452"/>
  <c r="Q1453"/>
  <c r="Q1454"/>
  <c r="Q1455"/>
  <c r="Q1456"/>
  <c r="Q1457"/>
  <c r="Q1458"/>
  <c r="Q1459"/>
  <c r="Q1460"/>
  <c r="Q1461"/>
  <c r="Q1462"/>
  <c r="Q1463"/>
  <c r="Q1464"/>
  <c r="Q1465"/>
  <c r="Q1466"/>
  <c r="Q1467"/>
  <c r="Q1468"/>
  <c r="Q1469"/>
  <c r="Q1470"/>
  <c r="Q1471"/>
  <c r="Q1472"/>
  <c r="Q1473"/>
  <c r="Q1474"/>
  <c r="Q1475"/>
  <c r="Q1476"/>
  <c r="Q1477"/>
  <c r="Q1478"/>
  <c r="Q1479"/>
  <c r="Q1480"/>
  <c r="Q1481"/>
  <c r="Q1482"/>
  <c r="Q1483"/>
  <c r="Q1484"/>
  <c r="Q1485"/>
  <c r="Q1486"/>
  <c r="Q1487"/>
  <c r="Q1488"/>
  <c r="Q1489"/>
  <c r="Q1490"/>
  <c r="Q1491"/>
  <c r="Q1492"/>
  <c r="Q1493"/>
  <c r="Q1494"/>
  <c r="Q1495"/>
  <c r="Q1496"/>
  <c r="Q1497"/>
  <c r="Q1498"/>
  <c r="Q1499"/>
  <c r="Q1500"/>
  <c r="Q1501"/>
  <c r="Q1502"/>
  <c r="Q1503"/>
  <c r="Q1504"/>
  <c r="Q1505"/>
  <c r="Q1506"/>
  <c r="Q1507"/>
  <c r="Q1508"/>
  <c r="Q1509"/>
  <c r="Q1510"/>
  <c r="Q1511"/>
  <c r="Q1512"/>
  <c r="Q1513"/>
  <c r="Q1514"/>
  <c r="Q1515"/>
  <c r="Q1516"/>
  <c r="Q1517"/>
  <c r="Q1518"/>
  <c r="Q1519"/>
  <c r="Q1520"/>
  <c r="Q1521"/>
  <c r="Q1522"/>
  <c r="Q1523"/>
  <c r="Q1524"/>
  <c r="Q1525"/>
  <c r="Q1526"/>
  <c r="Q1527"/>
  <c r="Q1528"/>
  <c r="Q1529"/>
  <c r="Q1530"/>
  <c r="Q1531"/>
  <c r="Q1532"/>
  <c r="Q1533"/>
  <c r="Q1534"/>
  <c r="Q1535"/>
  <c r="Q1536"/>
  <c r="Q1537"/>
  <c r="Q1538"/>
  <c r="Q1539"/>
  <c r="Q1540"/>
  <c r="Q1541"/>
  <c r="Q1542"/>
  <c r="Q1543"/>
  <c r="Q1544"/>
  <c r="Q1545"/>
  <c r="Q1546"/>
  <c r="Q1547"/>
  <c r="Q1548"/>
  <c r="Q1549"/>
  <c r="Q1550"/>
  <c r="Q1551"/>
  <c r="Q1552"/>
  <c r="Q1553"/>
  <c r="Q1554"/>
  <c r="Q1555"/>
  <c r="Q1556"/>
  <c r="Q1557"/>
  <c r="Q1558"/>
  <c r="Q1559"/>
  <c r="Q1560"/>
  <c r="Q1561"/>
  <c r="Q1562"/>
  <c r="Q1563"/>
  <c r="Q1564"/>
  <c r="Q1565"/>
  <c r="Q1566"/>
  <c r="Q1567"/>
  <c r="Q1568"/>
  <c r="Q1569"/>
  <c r="Q1570"/>
  <c r="Q1571"/>
  <c r="Q1572"/>
  <c r="Q1573"/>
  <c r="Q1574"/>
  <c r="Q1575"/>
  <c r="Q1576"/>
  <c r="Q1577"/>
  <c r="Q1578"/>
  <c r="Q1579"/>
  <c r="Q1580"/>
  <c r="Q1581"/>
  <c r="Q1582"/>
  <c r="Q1583"/>
  <c r="Q1584"/>
  <c r="Q1585"/>
  <c r="Q1586"/>
  <c r="Q1587"/>
  <c r="Q1588"/>
  <c r="Q1589"/>
  <c r="Q1590"/>
  <c r="Q1591"/>
  <c r="Q1592"/>
  <c r="Q1593"/>
  <c r="Q1594"/>
  <c r="Q1595"/>
  <c r="Q1596"/>
  <c r="Q1597"/>
  <c r="Q1598"/>
  <c r="Q1599"/>
  <c r="Q1600"/>
  <c r="Q1601"/>
  <c r="Q1602"/>
  <c r="Q1603"/>
  <c r="Q1604"/>
  <c r="Q1605"/>
  <c r="Q1606"/>
  <c r="Q1607"/>
  <c r="Q1608"/>
  <c r="Q1609"/>
  <c r="Q1610"/>
  <c r="Q1611"/>
  <c r="Q1612"/>
  <c r="Q1613"/>
  <c r="Q1614"/>
  <c r="Q1615"/>
  <c r="Q1616"/>
  <c r="Q1617"/>
  <c r="Q1618"/>
  <c r="Q1619"/>
  <c r="Q1620"/>
  <c r="Q1621"/>
  <c r="Q1622"/>
  <c r="Q1623"/>
  <c r="Q1624"/>
  <c r="Q1625"/>
  <c r="Q1626"/>
  <c r="Q1627"/>
  <c r="Q1628"/>
  <c r="Q1629"/>
  <c r="Q1630"/>
  <c r="Q1631"/>
  <c r="Q1632"/>
  <c r="Q1633"/>
  <c r="Q1634"/>
  <c r="Q1635"/>
  <c r="Q1636"/>
  <c r="Q1637"/>
  <c r="Q1638"/>
  <c r="Q1639"/>
  <c r="Q1640"/>
  <c r="Q1641"/>
  <c r="Q1642"/>
  <c r="Q1643"/>
  <c r="Q1644"/>
  <c r="Q1645"/>
  <c r="Q1646"/>
  <c r="Q1647"/>
  <c r="Q1648"/>
  <c r="Q1649"/>
  <c r="Q1650"/>
  <c r="Q1651"/>
  <c r="Q1652"/>
  <c r="Q1653"/>
  <c r="Q1654"/>
  <c r="Q1655"/>
  <c r="Q1656"/>
  <c r="Q1657"/>
  <c r="Q1658"/>
  <c r="Q1659"/>
  <c r="Q1660"/>
  <c r="Q1661"/>
  <c r="Q1662"/>
  <c r="Q1663"/>
  <c r="Q1664"/>
  <c r="Q1665"/>
  <c r="Q1666"/>
  <c r="Q1667"/>
  <c r="Q1668"/>
  <c r="Q1669"/>
  <c r="Q1670"/>
  <c r="Q1671"/>
  <c r="Q1672"/>
  <c r="Q1673"/>
  <c r="Q1674"/>
  <c r="Q1675"/>
  <c r="Q1676"/>
  <c r="Q1677"/>
  <c r="Q1678"/>
  <c r="Q1679"/>
  <c r="Q1680"/>
  <c r="Q1681"/>
  <c r="Q1682"/>
  <c r="Q1683"/>
  <c r="Q1684"/>
  <c r="Q1685"/>
  <c r="Q1686"/>
  <c r="Q1687"/>
  <c r="Q1688"/>
  <c r="Q1689"/>
  <c r="Q1690"/>
  <c r="Q1691"/>
  <c r="Q1692"/>
  <c r="Q1693"/>
  <c r="Q1694"/>
  <c r="Q1695"/>
  <c r="Q1696"/>
  <c r="Q1697"/>
  <c r="Q1698"/>
  <c r="Q1699"/>
  <c r="Q1700"/>
  <c r="Q1701"/>
  <c r="Q1702"/>
  <c r="Q1703"/>
  <c r="Q1704"/>
  <c r="Q1705"/>
  <c r="Q1706"/>
  <c r="Q1707"/>
  <c r="Q1708"/>
  <c r="Q1709"/>
  <c r="Q1710"/>
  <c r="Q1711"/>
  <c r="Q1712"/>
  <c r="Q1713"/>
  <c r="Q1714"/>
  <c r="Q1715"/>
  <c r="Q1716"/>
  <c r="Q1717"/>
  <c r="Q1718"/>
  <c r="Q1719"/>
  <c r="Q1720"/>
  <c r="Q1721"/>
  <c r="Q1722"/>
  <c r="Q1723"/>
  <c r="Q1724"/>
  <c r="Q1725"/>
  <c r="Q1726"/>
  <c r="Q1727"/>
  <c r="Q1728"/>
  <c r="Q1729"/>
  <c r="Q1730"/>
  <c r="Q1731"/>
  <c r="Q1732"/>
  <c r="Q1733"/>
  <c r="Q1734"/>
  <c r="Q1735"/>
  <c r="Q1736"/>
  <c r="Q1737"/>
  <c r="Q1738"/>
  <c r="Q1739"/>
  <c r="Q1740"/>
  <c r="Q1741"/>
  <c r="Q1742"/>
  <c r="Q1743"/>
  <c r="Q1744"/>
  <c r="Q1745"/>
  <c r="Q1746"/>
  <c r="Q1747"/>
  <c r="Q1748"/>
  <c r="Q1749"/>
  <c r="Q1750"/>
  <c r="Q1751"/>
  <c r="Q1752"/>
  <c r="Q1753"/>
  <c r="Q1754"/>
  <c r="Q1755"/>
  <c r="Q1756"/>
  <c r="Q1757"/>
  <c r="Q1758"/>
  <c r="Q1759"/>
  <c r="Q1760"/>
  <c r="Q1761"/>
  <c r="Q1762"/>
  <c r="Q1763"/>
  <c r="Q1764"/>
  <c r="Q1765"/>
  <c r="Q1766"/>
  <c r="Q1767"/>
  <c r="Q1768"/>
  <c r="Q1769"/>
  <c r="Q1770"/>
  <c r="Q1771"/>
  <c r="Q1772"/>
  <c r="Q1773"/>
  <c r="Q1774"/>
  <c r="Q1775"/>
  <c r="Q1776"/>
  <c r="Q1777"/>
  <c r="Q1778"/>
  <c r="Q1779"/>
  <c r="Q1780"/>
  <c r="Q1781"/>
  <c r="Q1782"/>
  <c r="Q1783"/>
  <c r="Q1784"/>
  <c r="Q1785"/>
  <c r="Q1786"/>
  <c r="Q1787"/>
  <c r="Q1788"/>
  <c r="Q1789"/>
  <c r="Q1790"/>
  <c r="Q1791"/>
  <c r="Q1792"/>
  <c r="Q1793"/>
  <c r="Q1794"/>
  <c r="Q1795"/>
  <c r="Q1796"/>
  <c r="Q1797"/>
  <c r="Q1798"/>
  <c r="Q1799"/>
  <c r="Q1800"/>
  <c r="Q1801"/>
  <c r="Q1802"/>
  <c r="Q1803"/>
  <c r="Q1804"/>
  <c r="Q1805"/>
  <c r="Q1806"/>
  <c r="Q1807"/>
  <c r="Q1808"/>
  <c r="Q1809"/>
  <c r="Q1810"/>
  <c r="Q1811"/>
  <c r="Q1812"/>
  <c r="Q1813"/>
  <c r="Q1814"/>
  <c r="Q1815"/>
  <c r="Q1816"/>
  <c r="Q1817"/>
  <c r="Q1818"/>
  <c r="Q1819"/>
  <c r="Q1820"/>
  <c r="Q1821"/>
  <c r="Q1822"/>
  <c r="Q1823"/>
  <c r="Q1824"/>
  <c r="Q1825"/>
  <c r="Q1826"/>
  <c r="Q1827"/>
  <c r="Q1828"/>
  <c r="Q1829"/>
  <c r="Q1830"/>
  <c r="Q1831"/>
  <c r="Q1832"/>
  <c r="Q1833"/>
  <c r="Q1834"/>
  <c r="Q1835"/>
  <c r="Q1836"/>
  <c r="Q1837"/>
  <c r="Q1838"/>
  <c r="Q1839"/>
  <c r="Q1840"/>
  <c r="Q1841"/>
  <c r="Q1842"/>
  <c r="Q1843"/>
  <c r="Q1844"/>
  <c r="Q1845"/>
  <c r="Q1846"/>
  <c r="Q1847"/>
  <c r="Q1848"/>
  <c r="Q1849"/>
  <c r="Q1850"/>
  <c r="Q1851"/>
  <c r="Q1852"/>
  <c r="Q1853"/>
  <c r="Q1854"/>
  <c r="Q1855"/>
  <c r="Q1856"/>
  <c r="Q1857"/>
  <c r="Q1858"/>
  <c r="Q1859"/>
  <c r="Q1860"/>
  <c r="Q1861"/>
  <c r="Q1862"/>
  <c r="Q1863"/>
  <c r="Q1864"/>
  <c r="Q1865"/>
  <c r="Q1866"/>
  <c r="Q1867"/>
  <c r="Q1868"/>
  <c r="Q1869"/>
  <c r="Q1870"/>
  <c r="Q1871"/>
  <c r="Q1872"/>
  <c r="Q1873"/>
  <c r="Q1874"/>
  <c r="Q1875"/>
  <c r="Q1876"/>
  <c r="Q1877"/>
  <c r="Q1878"/>
  <c r="Q1879"/>
  <c r="Q1880"/>
  <c r="Q1881"/>
  <c r="Q1882"/>
  <c r="Q1883"/>
  <c r="Q1884"/>
  <c r="Q1885"/>
  <c r="Q1886"/>
  <c r="Q1887"/>
  <c r="Q1888"/>
  <c r="Q1889"/>
  <c r="Q1890"/>
  <c r="Q1891"/>
  <c r="Q1892"/>
  <c r="Q1893"/>
  <c r="Q1894"/>
  <c r="Q1895"/>
  <c r="Q1896"/>
  <c r="Q1897"/>
  <c r="Q1898"/>
  <c r="Q1899"/>
  <c r="Q1900"/>
  <c r="Q1901"/>
  <c r="Q1902"/>
  <c r="Q1903"/>
  <c r="Q1904"/>
  <c r="Q1905"/>
  <c r="Q1906"/>
  <c r="Q1907"/>
  <c r="Q1908"/>
  <c r="Q1909"/>
  <c r="Q1910"/>
  <c r="Q1911"/>
  <c r="Q1912"/>
  <c r="Q1913"/>
  <c r="Q1914"/>
  <c r="Q1915"/>
  <c r="Q1916"/>
  <c r="Q1917"/>
  <c r="Q1918"/>
  <c r="Q1919"/>
  <c r="Q1920"/>
  <c r="Q1921"/>
  <c r="Q1922"/>
  <c r="Q1923"/>
  <c r="Q1924"/>
  <c r="Q1925"/>
  <c r="Q1926"/>
  <c r="Q1927"/>
  <c r="Q1928"/>
  <c r="Q1929"/>
  <c r="Q1930"/>
  <c r="Q1931"/>
  <c r="Q1932"/>
  <c r="Q1933"/>
  <c r="Q1934"/>
  <c r="Q1935"/>
  <c r="Q1936"/>
  <c r="Q1937"/>
  <c r="Q1938"/>
  <c r="Q1939"/>
  <c r="Q1940"/>
  <c r="Q1941"/>
  <c r="Q1942"/>
  <c r="Q1943"/>
  <c r="Q1944"/>
  <c r="Q1945"/>
  <c r="Q1946"/>
  <c r="Q1947"/>
  <c r="Q1948"/>
  <c r="Q1949"/>
  <c r="Q1950"/>
  <c r="Q1951"/>
  <c r="Q1952"/>
  <c r="Q1953"/>
  <c r="Q1954"/>
  <c r="Q1955"/>
  <c r="Q1956"/>
  <c r="Q1957"/>
  <c r="Q1958"/>
  <c r="Q1959"/>
  <c r="Q1960"/>
  <c r="Q1961"/>
  <c r="Q1962"/>
  <c r="Q1963"/>
  <c r="Q1964"/>
  <c r="Q1965"/>
  <c r="Q1966"/>
  <c r="Q1967"/>
  <c r="Q1968"/>
  <c r="Q1969"/>
  <c r="Q1970"/>
  <c r="Q1971"/>
  <c r="Q1972"/>
  <c r="Q1973"/>
  <c r="Q1974"/>
  <c r="Q1975"/>
  <c r="Q1976"/>
  <c r="Q1977"/>
  <c r="Q1978"/>
  <c r="Q1979"/>
  <c r="Q1980"/>
  <c r="Q1981"/>
  <c r="Q1982"/>
  <c r="Q1983"/>
  <c r="Q1984"/>
  <c r="Q1985"/>
  <c r="Q1986"/>
  <c r="Q1987"/>
  <c r="Q1988"/>
  <c r="Q1989"/>
  <c r="Q1990"/>
  <c r="Q1991"/>
  <c r="Q1992"/>
  <c r="Q1993"/>
  <c r="Q1994"/>
  <c r="Q1995"/>
  <c r="Q1996"/>
  <c r="Q1997"/>
  <c r="Q1998"/>
  <c r="Q1999"/>
  <c r="Q2000"/>
  <c r="Q2001"/>
  <c r="Q2002"/>
  <c r="Q2003"/>
  <c r="Q2004"/>
  <c r="Q2005"/>
  <c r="Q2006"/>
  <c r="Q2007"/>
  <c r="Q2008"/>
  <c r="Q2009"/>
  <c r="Q2010"/>
  <c r="Q2011"/>
  <c r="Q2012"/>
  <c r="Q2013"/>
  <c r="Q2014"/>
  <c r="Q2015"/>
  <c r="Q2016"/>
  <c r="Q2017"/>
  <c r="Q2018"/>
  <c r="Q2019"/>
  <c r="Q2020"/>
  <c r="Q2021"/>
  <c r="Q2022"/>
  <c r="Q2023"/>
  <c r="Q2024"/>
  <c r="Q2025"/>
  <c r="Q2026"/>
  <c r="Q2027"/>
  <c r="Q2028"/>
  <c r="Q2029"/>
  <c r="Q2030"/>
  <c r="Q2031"/>
  <c r="Q2032"/>
  <c r="Q2033"/>
  <c r="Q2034"/>
  <c r="Q2035"/>
  <c r="Q2036"/>
  <c r="Q2037"/>
  <c r="Q2038"/>
  <c r="Q2039"/>
  <c r="Q2040"/>
  <c r="Q2041"/>
  <c r="Q2042"/>
  <c r="Q2043"/>
  <c r="Q2044"/>
  <c r="Q2045"/>
  <c r="Q2046"/>
  <c r="Q2047"/>
  <c r="Q2048"/>
  <c r="Q2049"/>
  <c r="Q2050"/>
  <c r="Q2051"/>
  <c r="Q2052"/>
  <c r="Q2053"/>
  <c r="Q2054"/>
  <c r="Q2055"/>
  <c r="Q2056"/>
  <c r="Q2057"/>
  <c r="Q2058"/>
  <c r="Q2059"/>
  <c r="Q2060"/>
  <c r="Q2061"/>
  <c r="Q2062"/>
  <c r="Q2063"/>
  <c r="Q2064"/>
  <c r="Q2065"/>
  <c r="Q2066"/>
  <c r="Q2067"/>
  <c r="Q2068"/>
  <c r="Q2069"/>
  <c r="Q2070"/>
  <c r="Q2071"/>
  <c r="Q2072"/>
  <c r="Q2073"/>
  <c r="Q2074"/>
  <c r="Q2075"/>
  <c r="Q2076"/>
  <c r="Q2077"/>
  <c r="Q2078"/>
  <c r="Q2079"/>
  <c r="Q2080"/>
  <c r="Q2081"/>
  <c r="Q2082"/>
  <c r="Q2083"/>
  <c r="Q2084"/>
  <c r="Q2085"/>
  <c r="Q2086"/>
  <c r="Q2087"/>
  <c r="Q2088"/>
  <c r="Q2089"/>
  <c r="Q2090"/>
  <c r="Q2091"/>
  <c r="Q2092"/>
  <c r="Q2093"/>
  <c r="Q2094"/>
  <c r="Q2095"/>
  <c r="Q2096"/>
  <c r="Q2097"/>
  <c r="Q2098"/>
  <c r="Q2099"/>
  <c r="Q2100"/>
  <c r="Q2101"/>
  <c r="Q2102"/>
  <c r="Q2103"/>
  <c r="Q2104"/>
  <c r="Q2105"/>
  <c r="Q2106"/>
  <c r="Q2107"/>
  <c r="Q2108"/>
  <c r="Q2109"/>
  <c r="Q2110"/>
  <c r="Q2111"/>
  <c r="Q2112"/>
  <c r="Q2113"/>
  <c r="Q2114"/>
  <c r="Q2115"/>
  <c r="Q2116"/>
  <c r="Q2117"/>
  <c r="Q2118"/>
  <c r="Q2119"/>
  <c r="Q2120"/>
  <c r="Q2121"/>
  <c r="Q2122"/>
  <c r="Q2123"/>
  <c r="Q2124"/>
  <c r="Q2125"/>
  <c r="Q2126"/>
  <c r="Q2127"/>
  <c r="Q2128"/>
  <c r="Q2129"/>
  <c r="Q2130"/>
  <c r="Q2131"/>
  <c r="Q2132"/>
  <c r="Q2133"/>
  <c r="Q2134"/>
  <c r="Q2135"/>
  <c r="Q2136"/>
  <c r="Q2137"/>
  <c r="Q2138"/>
  <c r="Q2139"/>
  <c r="Q2140"/>
  <c r="Q2141"/>
  <c r="Q2142"/>
  <c r="Q2143"/>
  <c r="Q2144"/>
  <c r="Q2145"/>
  <c r="Q2146"/>
  <c r="Q2147"/>
  <c r="Q2148"/>
  <c r="Q2149"/>
  <c r="Q2150"/>
  <c r="Q2151"/>
  <c r="Q2152"/>
  <c r="Q2153"/>
  <c r="Q2154"/>
  <c r="Q2155"/>
  <c r="Q2156"/>
  <c r="Q2157"/>
  <c r="Q2158"/>
  <c r="Q2159"/>
  <c r="Q2160"/>
  <c r="Q2161"/>
  <c r="Q2162"/>
  <c r="Q2163"/>
  <c r="Q2164"/>
  <c r="Q2165"/>
  <c r="Q2166"/>
  <c r="Q2167"/>
  <c r="Q2168"/>
  <c r="Q2169"/>
  <c r="Q2170"/>
  <c r="Q2171"/>
  <c r="Q2172"/>
  <c r="Q2173"/>
  <c r="Q2174"/>
  <c r="Q2175"/>
  <c r="Q2176"/>
  <c r="Q2177"/>
  <c r="Q2178"/>
  <c r="Q2179"/>
  <c r="Q2180"/>
  <c r="Q2181"/>
  <c r="Q2182"/>
  <c r="Q2183"/>
  <c r="Q2184"/>
  <c r="Q2185"/>
  <c r="Q2186"/>
  <c r="Q2187"/>
  <c r="Q2188"/>
  <c r="Q2189"/>
  <c r="Q2190"/>
  <c r="Q2191"/>
  <c r="Q2192"/>
  <c r="Q2193"/>
  <c r="Q2194"/>
  <c r="Q2195"/>
  <c r="Q2196"/>
  <c r="Q2197"/>
  <c r="Q2198"/>
  <c r="Q2199"/>
  <c r="Q2200"/>
  <c r="Q2201"/>
  <c r="Q2202"/>
  <c r="Q2203"/>
  <c r="Q2204"/>
  <c r="Q2205"/>
  <c r="Q2206"/>
  <c r="Q2207"/>
  <c r="Q2208"/>
  <c r="Q2209"/>
  <c r="Q2210"/>
  <c r="Q2211"/>
  <c r="Q2212"/>
  <c r="Q2213"/>
  <c r="Q2214"/>
  <c r="Q2215"/>
  <c r="Q2216"/>
  <c r="Q2217"/>
  <c r="Q2218"/>
  <c r="Q2219"/>
  <c r="Q2220"/>
  <c r="Q2221"/>
  <c r="Q2222"/>
  <c r="Q2223"/>
  <c r="Q2224"/>
  <c r="Q2225"/>
  <c r="Q2226"/>
  <c r="Q2227"/>
  <c r="Q2228"/>
  <c r="Q2229"/>
  <c r="Q2230"/>
  <c r="Q2231"/>
  <c r="Q2232"/>
  <c r="Q2233"/>
  <c r="Q2234"/>
  <c r="Q2235"/>
  <c r="Q2236"/>
  <c r="Q2237"/>
  <c r="Q2238"/>
  <c r="Q2239"/>
  <c r="Q2240"/>
  <c r="Q2241"/>
  <c r="Q2242"/>
  <c r="Q2243"/>
  <c r="Q2244"/>
  <c r="Q2245"/>
  <c r="Q2246"/>
  <c r="Q2247"/>
  <c r="Q2248"/>
  <c r="Q2249"/>
  <c r="Q2250"/>
  <c r="Q2251"/>
  <c r="Q2252"/>
  <c r="Q2253"/>
  <c r="Q2254"/>
  <c r="Q2255"/>
  <c r="Q2256"/>
  <c r="Q2257"/>
  <c r="Q2258"/>
  <c r="Q2259"/>
  <c r="Q2260"/>
  <c r="Q2261"/>
  <c r="Q2262"/>
  <c r="Q2263"/>
  <c r="Q2264"/>
  <c r="Q2265"/>
  <c r="Q2266"/>
  <c r="Q2267"/>
  <c r="Q2268"/>
  <c r="Q2269"/>
  <c r="Q2270"/>
  <c r="Q2271"/>
  <c r="Q2272"/>
  <c r="Q2273"/>
  <c r="Q2274"/>
  <c r="Q2275"/>
  <c r="Q2276"/>
  <c r="Q2277"/>
  <c r="Q2278"/>
  <c r="Q2279"/>
  <c r="Q2280"/>
  <c r="Q2281"/>
  <c r="Q2282"/>
  <c r="Q2283"/>
  <c r="Q2284"/>
  <c r="Q2285"/>
  <c r="Q2286"/>
  <c r="Q2287"/>
  <c r="Q2288"/>
  <c r="Q2289"/>
  <c r="Q2290"/>
  <c r="Q2291"/>
  <c r="Q2292"/>
  <c r="Q2293"/>
  <c r="Q2294"/>
  <c r="Q2295"/>
  <c r="Q2296"/>
  <c r="Q2297"/>
  <c r="Q2298"/>
  <c r="Q2299"/>
  <c r="Q2300"/>
  <c r="Q2301"/>
  <c r="Q2302"/>
  <c r="Q2303"/>
  <c r="Q2304"/>
  <c r="Q2305"/>
  <c r="Q2306"/>
  <c r="Q2307"/>
  <c r="Q2308"/>
  <c r="Q2309"/>
  <c r="Q2310"/>
  <c r="Q2311"/>
  <c r="Q2312"/>
  <c r="Q2313"/>
  <c r="Q2314"/>
  <c r="Q2315"/>
  <c r="Q2316"/>
  <c r="Q2317"/>
  <c r="Q2318"/>
  <c r="Q2319"/>
  <c r="Q2320"/>
  <c r="Q2321"/>
  <c r="Q2322"/>
  <c r="Q2323"/>
  <c r="Q2324"/>
  <c r="Q2325"/>
  <c r="Q2326"/>
  <c r="Q2327"/>
  <c r="Q2328"/>
  <c r="Q2329"/>
  <c r="Q2330"/>
  <c r="Q2331"/>
  <c r="Q2332"/>
  <c r="Q2333"/>
  <c r="Q2334"/>
  <c r="Q2335"/>
  <c r="Q2336"/>
  <c r="Q2337"/>
  <c r="Q2338"/>
  <c r="Q2339"/>
  <c r="Q2340"/>
  <c r="Q2341"/>
  <c r="Q2342"/>
  <c r="Q2343"/>
  <c r="Q2344"/>
  <c r="Q2345"/>
  <c r="Q2346"/>
  <c r="Q2347"/>
  <c r="Q2348"/>
  <c r="Q2349"/>
  <c r="Q2350"/>
  <c r="Q2351"/>
  <c r="Q2352"/>
  <c r="Q2353"/>
  <c r="Q2354"/>
  <c r="Q2355"/>
  <c r="Q2356"/>
  <c r="Q2357"/>
  <c r="Q2358"/>
  <c r="Q2359"/>
  <c r="Q2360"/>
  <c r="Q2361"/>
  <c r="Q2362"/>
  <c r="Q2363"/>
  <c r="Q2364"/>
  <c r="Q2365"/>
  <c r="Q2366"/>
  <c r="Q2367"/>
  <c r="Q2368"/>
  <c r="Q2369"/>
  <c r="Q2370"/>
  <c r="Q2371"/>
  <c r="Q2372"/>
  <c r="Q2373"/>
  <c r="Q2374"/>
  <c r="Q2375"/>
  <c r="Q2376"/>
  <c r="Q2377"/>
  <c r="Q2378"/>
  <c r="Q2379"/>
  <c r="Q2380"/>
  <c r="Q2381"/>
  <c r="Q2382"/>
  <c r="Q2383"/>
  <c r="Q2384"/>
  <c r="Q2385"/>
  <c r="Q2386"/>
  <c r="Q2387"/>
  <c r="Q2388"/>
  <c r="Q2389"/>
  <c r="Q2390"/>
  <c r="Q2391"/>
  <c r="Q2392"/>
  <c r="Q2393"/>
  <c r="Q2394"/>
  <c r="Q2395"/>
  <c r="Q2396"/>
  <c r="Q2397"/>
  <c r="Q2398"/>
  <c r="Q2399"/>
  <c r="Q2400"/>
  <c r="Q2401"/>
  <c r="Q2402"/>
  <c r="Q2403"/>
  <c r="Q2404"/>
  <c r="Q2405"/>
  <c r="Q2406"/>
  <c r="Q2407"/>
  <c r="Q2408"/>
  <c r="Q2409"/>
  <c r="Q2410"/>
  <c r="Q2411"/>
  <c r="Q2412"/>
  <c r="Q2413"/>
  <c r="Q2414"/>
  <c r="Q2415"/>
  <c r="Q2416"/>
  <c r="Q2417"/>
  <c r="Q2418"/>
  <c r="Q2419"/>
  <c r="Q2420"/>
  <c r="Q2421"/>
  <c r="Q2422"/>
  <c r="Q2423"/>
  <c r="Q2424"/>
  <c r="Q2425"/>
  <c r="Q2426"/>
  <c r="Q2427"/>
  <c r="Q2428"/>
  <c r="Q2429"/>
  <c r="Q2430"/>
  <c r="Q2431"/>
  <c r="Q2432"/>
  <c r="Q2433"/>
  <c r="Q2434"/>
  <c r="Q2435"/>
  <c r="Q2436"/>
  <c r="Q2437"/>
  <c r="Q2438"/>
  <c r="Q2439"/>
  <c r="Q2440"/>
  <c r="Q2441"/>
  <c r="Q2442"/>
  <c r="Q2443"/>
  <c r="Q2444"/>
  <c r="Q2445"/>
  <c r="Q2446"/>
  <c r="Q2447"/>
  <c r="Q2448"/>
  <c r="Q2449"/>
  <c r="Q2450"/>
  <c r="Q2451"/>
  <c r="Q2452"/>
  <c r="Q2453"/>
  <c r="Q2454"/>
  <c r="Q2455"/>
  <c r="Q2456"/>
  <c r="Q2457"/>
  <c r="Q2458"/>
  <c r="Q2459"/>
  <c r="Q2460"/>
  <c r="Q2461"/>
  <c r="Q2462"/>
  <c r="Q2463"/>
  <c r="Q2464"/>
  <c r="Q2465"/>
  <c r="Q2466"/>
  <c r="Q2467"/>
  <c r="Q2468"/>
  <c r="Q2469"/>
  <c r="Q2470"/>
  <c r="Q2471"/>
  <c r="Q2472"/>
  <c r="Q2473"/>
  <c r="Q2474"/>
  <c r="Q2475"/>
  <c r="Q2476"/>
  <c r="Q2477"/>
  <c r="Q2478"/>
  <c r="Q2479"/>
  <c r="Q2480"/>
  <c r="Q2481"/>
  <c r="Q2482"/>
  <c r="Q2483"/>
  <c r="Q2484"/>
  <c r="Q2485"/>
  <c r="Q2486"/>
  <c r="Q2487"/>
  <c r="Q2488"/>
  <c r="Q2489"/>
  <c r="Q2490"/>
  <c r="Q2491"/>
  <c r="Q2492"/>
  <c r="Q2493"/>
  <c r="Q2494"/>
  <c r="Q2495"/>
  <c r="Q2496"/>
  <c r="Q2497"/>
  <c r="Q2498"/>
  <c r="Q2499"/>
  <c r="Q2500"/>
  <c r="Q2501"/>
  <c r="Q2502"/>
  <c r="Q2503"/>
  <c r="Q2504"/>
  <c r="Q2505"/>
  <c r="Q2506"/>
  <c r="Q2507"/>
  <c r="Q2508"/>
  <c r="Q2509"/>
  <c r="Q2510"/>
  <c r="Q2511"/>
  <c r="Q2512"/>
  <c r="Q2513"/>
  <c r="Q2514"/>
  <c r="Q2515"/>
  <c r="Q2516"/>
  <c r="Q2517"/>
  <c r="Q2518"/>
  <c r="Q2519"/>
  <c r="Q2520"/>
  <c r="Q2521"/>
  <c r="Q2522"/>
  <c r="Q2523"/>
  <c r="Q2524"/>
  <c r="Q2525"/>
  <c r="Q2526"/>
  <c r="Q2527"/>
  <c r="Q2528"/>
  <c r="Q2529"/>
  <c r="Q2530"/>
  <c r="Q2531"/>
  <c r="Q2532"/>
  <c r="Q2533"/>
  <c r="Q2534"/>
  <c r="Q2535"/>
  <c r="Q2536"/>
  <c r="Q2537"/>
  <c r="Q2538"/>
  <c r="Q2539"/>
  <c r="Q2540"/>
  <c r="Q2541"/>
  <c r="Q2542"/>
  <c r="Q2543"/>
  <c r="Q2544"/>
  <c r="Q2545"/>
  <c r="Q2546"/>
  <c r="Q2547"/>
  <c r="Q2548"/>
  <c r="Q2549"/>
  <c r="Q2550"/>
  <c r="Q2551"/>
  <c r="Q2552"/>
  <c r="Q2553"/>
  <c r="Q2554"/>
  <c r="Q2555"/>
  <c r="Q2556"/>
  <c r="Q2557"/>
  <c r="Q2558"/>
  <c r="Q2559"/>
  <c r="Q2560"/>
  <c r="Q2561"/>
  <c r="Q2562"/>
  <c r="Q2563"/>
  <c r="Q2564"/>
  <c r="Q2565"/>
  <c r="Q2566"/>
  <c r="Q2567"/>
  <c r="Q2568"/>
  <c r="Q2569"/>
  <c r="Q2570"/>
  <c r="Q2571"/>
  <c r="Q2572"/>
  <c r="Q2573"/>
  <c r="Q2574"/>
  <c r="Q2575"/>
  <c r="Q2576"/>
  <c r="Q2577"/>
  <c r="Q2578"/>
  <c r="Q2579"/>
  <c r="Q2580"/>
  <c r="Q2581"/>
  <c r="Q2582"/>
  <c r="Q2583"/>
  <c r="Q2584"/>
  <c r="Q2585"/>
  <c r="Q2586"/>
  <c r="Q2587"/>
  <c r="Q2588"/>
  <c r="Q2589"/>
  <c r="Q2590"/>
  <c r="Q2591"/>
  <c r="Q2592"/>
  <c r="Q2593"/>
  <c r="Q2594"/>
  <c r="Q2595"/>
  <c r="Q2596"/>
  <c r="Q2597"/>
  <c r="Q2598"/>
  <c r="Q2599"/>
  <c r="Q2600"/>
  <c r="Q2601"/>
  <c r="Q2602"/>
  <c r="Q2603"/>
  <c r="Q2604"/>
  <c r="Q2605"/>
  <c r="Q2606"/>
  <c r="Q2607"/>
  <c r="Q2608"/>
  <c r="Q2609"/>
  <c r="Q2610"/>
  <c r="Q2611"/>
  <c r="Q2612"/>
  <c r="Q2613"/>
  <c r="Q2614"/>
  <c r="Q2615"/>
  <c r="Q2616"/>
  <c r="Q2617"/>
  <c r="Q2618"/>
  <c r="Q2619"/>
  <c r="Q2620"/>
  <c r="Q2621"/>
  <c r="Q2622"/>
  <c r="Q2623"/>
  <c r="Q2624"/>
  <c r="Q2625"/>
  <c r="Q2626"/>
  <c r="Q2627"/>
  <c r="Q2628"/>
  <c r="Q2629"/>
  <c r="Q2630"/>
  <c r="Q2631"/>
  <c r="Q2632"/>
  <c r="Q2633"/>
  <c r="Q2634"/>
  <c r="Q2635"/>
  <c r="Q2636"/>
  <c r="Q2637"/>
  <c r="Q2638"/>
  <c r="Q2639"/>
  <c r="Q2640"/>
  <c r="Q2641"/>
  <c r="Q2642"/>
  <c r="Q2643"/>
  <c r="Q2644"/>
  <c r="Q2645"/>
  <c r="Q2646"/>
  <c r="Q2647"/>
  <c r="Q2648"/>
  <c r="Q2649"/>
  <c r="Q2650"/>
  <c r="Q2651"/>
  <c r="Q2652"/>
  <c r="Q2653"/>
  <c r="Q2654"/>
  <c r="Q2655"/>
  <c r="Q2656"/>
  <c r="Q2657"/>
  <c r="Q2658"/>
  <c r="Q2659"/>
  <c r="Q2660"/>
  <c r="Q2661"/>
  <c r="Q2662"/>
  <c r="Q2663"/>
  <c r="Q2664"/>
  <c r="Q2665"/>
  <c r="Q2666"/>
  <c r="Q2667"/>
  <c r="Q2668"/>
  <c r="Q2669"/>
  <c r="Q2670"/>
  <c r="Q2671"/>
  <c r="Q2672"/>
  <c r="Q2673"/>
  <c r="Q2674"/>
  <c r="Q2675"/>
  <c r="Q2676"/>
  <c r="Q2677"/>
  <c r="Q2678"/>
  <c r="Q2679"/>
  <c r="Q2680"/>
  <c r="Q2681"/>
  <c r="Q2682"/>
  <c r="Q2683"/>
  <c r="Q2684"/>
  <c r="Q2685"/>
  <c r="Q2686"/>
  <c r="Q2687"/>
  <c r="Q2688"/>
  <c r="Q2689"/>
  <c r="Q2690"/>
  <c r="Q2691"/>
  <c r="Q2692"/>
  <c r="Q2693"/>
  <c r="Q2694"/>
  <c r="Q2695"/>
  <c r="Q2696"/>
  <c r="Q2697"/>
  <c r="Q2698"/>
  <c r="Q2699"/>
  <c r="Q2700"/>
  <c r="Q2701"/>
  <c r="Q2702"/>
  <c r="Q2703"/>
  <c r="Q2704"/>
  <c r="Q2705"/>
  <c r="Q2706"/>
  <c r="Q2707"/>
  <c r="Q2708"/>
  <c r="Q2709"/>
  <c r="Q2710"/>
  <c r="Q2711"/>
  <c r="Q2712"/>
  <c r="Q2713"/>
  <c r="Q2714"/>
  <c r="Q2715"/>
  <c r="Q2716"/>
  <c r="Q2717"/>
  <c r="Q2718"/>
  <c r="Q2719"/>
  <c r="Q2720"/>
  <c r="Q2721"/>
  <c r="Q2722"/>
  <c r="Q2723"/>
  <c r="Q2724"/>
  <c r="Q2725"/>
  <c r="Q2726"/>
  <c r="Q2727"/>
  <c r="Q2728"/>
  <c r="Q2729"/>
  <c r="Q2730"/>
  <c r="Q2731"/>
  <c r="Q2732"/>
  <c r="Q2733"/>
  <c r="Q2734"/>
  <c r="Q2735"/>
  <c r="Q2736"/>
  <c r="Q2737"/>
  <c r="Q2738"/>
  <c r="Q2739"/>
  <c r="Q2740"/>
  <c r="Q2741"/>
  <c r="Q2742"/>
  <c r="Q2743"/>
  <c r="Q2744"/>
  <c r="Q2745"/>
  <c r="Q2746"/>
  <c r="Q2747"/>
  <c r="Q2748"/>
  <c r="Q2749"/>
  <c r="Q2750"/>
  <c r="Q2751"/>
  <c r="Q2752"/>
  <c r="Q2753"/>
  <c r="Q2754"/>
  <c r="Q2755"/>
  <c r="Q2756"/>
  <c r="Q2757"/>
  <c r="Q2758"/>
  <c r="Q2759"/>
  <c r="Q2760"/>
  <c r="Q2761"/>
  <c r="Q2762"/>
  <c r="Q2763"/>
  <c r="Q2764"/>
  <c r="Q2765"/>
  <c r="Q2766"/>
  <c r="Q2767"/>
  <c r="Q2768"/>
  <c r="Q2769"/>
  <c r="Q2770"/>
  <c r="Q2771"/>
  <c r="Q2772"/>
  <c r="Q2773"/>
  <c r="Q2774"/>
  <c r="Q2775"/>
  <c r="Q2776"/>
  <c r="Q2777"/>
  <c r="Q2778"/>
  <c r="Q2779"/>
  <c r="Q2780"/>
  <c r="Q2781"/>
  <c r="Q2782"/>
  <c r="Q2783"/>
  <c r="Q2784"/>
  <c r="Q2785"/>
  <c r="Q2786"/>
  <c r="Q2787"/>
  <c r="Q2788"/>
  <c r="Q2789"/>
  <c r="Q2790"/>
  <c r="Q2791"/>
  <c r="Q2792"/>
  <c r="Q2793"/>
  <c r="Q2794"/>
  <c r="Q2795"/>
  <c r="Q2796"/>
  <c r="Q2797"/>
  <c r="Q2798"/>
  <c r="Q2799"/>
  <c r="Q2800"/>
  <c r="Q2801"/>
  <c r="Q2802"/>
  <c r="Q2803"/>
  <c r="Q2804"/>
  <c r="Q2805"/>
  <c r="Q2806"/>
  <c r="Q2807"/>
  <c r="Q2808"/>
  <c r="Q2809"/>
  <c r="Q2810"/>
  <c r="Q2811"/>
  <c r="Q2812"/>
  <c r="Q2813"/>
  <c r="Q2814"/>
  <c r="Q2815"/>
  <c r="Q2816"/>
  <c r="Q2817"/>
  <c r="Q2818"/>
  <c r="Q2819"/>
  <c r="Q2820"/>
  <c r="Q2821"/>
  <c r="Q2822"/>
  <c r="Q2823"/>
  <c r="Q2824"/>
  <c r="Q2825"/>
  <c r="Q2826"/>
  <c r="Q2827"/>
  <c r="Q2828"/>
  <c r="Q2829"/>
  <c r="Q2830"/>
  <c r="Q2831"/>
  <c r="Q2832"/>
  <c r="Q2833"/>
  <c r="Q2834"/>
  <c r="Q2835"/>
  <c r="Q2836"/>
  <c r="Q2837"/>
  <c r="Q2838"/>
  <c r="Q2839"/>
  <c r="Q2840"/>
  <c r="Q2841"/>
  <c r="Q2842"/>
  <c r="Q2843"/>
  <c r="Q2844"/>
  <c r="Q2845"/>
  <c r="Q2846"/>
  <c r="Q2847"/>
  <c r="Q2848"/>
  <c r="Q2849"/>
  <c r="Q2850"/>
  <c r="Q2851"/>
  <c r="Q2852"/>
  <c r="Q2853"/>
  <c r="Q2854"/>
  <c r="Q2855"/>
  <c r="Q2856"/>
  <c r="Q2857"/>
  <c r="Q2858"/>
  <c r="Q2859"/>
  <c r="Q2860"/>
  <c r="Q2861"/>
  <c r="Q2862"/>
  <c r="Q2863"/>
  <c r="Q2864"/>
  <c r="Q2865"/>
  <c r="Q2866"/>
  <c r="Q2867"/>
  <c r="Q2868"/>
  <c r="Q2869"/>
  <c r="Q2870"/>
  <c r="Q2871"/>
  <c r="Q2872"/>
  <c r="Q2873"/>
  <c r="Q2874"/>
  <c r="Q2875"/>
  <c r="Q2876"/>
  <c r="Q2877"/>
  <c r="Q2878"/>
  <c r="Q2879"/>
  <c r="Q2880"/>
  <c r="Q2881"/>
  <c r="Q2882"/>
  <c r="Q2883"/>
  <c r="Q2884"/>
  <c r="Q2885"/>
  <c r="Q2886"/>
  <c r="Q2887"/>
  <c r="Q2888"/>
  <c r="Q2889"/>
  <c r="Q2890"/>
  <c r="Q2891"/>
  <c r="Q2892"/>
  <c r="Q2893"/>
  <c r="Q2894"/>
  <c r="Q2895"/>
  <c r="Q2896"/>
  <c r="Q2897"/>
  <c r="Q2898"/>
  <c r="Q2899"/>
  <c r="Q2900"/>
  <c r="Q2901"/>
  <c r="Q2902"/>
  <c r="Q2903"/>
  <c r="Q2904"/>
  <c r="Q2905"/>
  <c r="Q2906"/>
  <c r="Q2907"/>
  <c r="Q2908"/>
  <c r="Q2909"/>
  <c r="Q2910"/>
  <c r="Q2911"/>
  <c r="Q2912"/>
  <c r="Q2913"/>
  <c r="Q2914"/>
  <c r="Q2915"/>
  <c r="Q2916"/>
  <c r="Q2917"/>
  <c r="Q2918"/>
  <c r="Q2919"/>
  <c r="Q2920"/>
  <c r="Q2921"/>
  <c r="Q2922"/>
  <c r="Q2923"/>
  <c r="Q2924"/>
  <c r="Q2925"/>
  <c r="Q2926"/>
  <c r="Q2927"/>
  <c r="Q2928"/>
  <c r="Q2929"/>
  <c r="Q2930"/>
  <c r="Q2931"/>
  <c r="Q2932"/>
  <c r="Q2933"/>
  <c r="Q2934"/>
  <c r="Q2935"/>
  <c r="Q2936"/>
  <c r="Q2937"/>
  <c r="Q2938"/>
  <c r="Q2939"/>
  <c r="Q2940"/>
  <c r="Q2941"/>
  <c r="Q2942"/>
  <c r="Q2943"/>
  <c r="Q2944"/>
  <c r="Q2945"/>
  <c r="Q2946"/>
  <c r="Q2947"/>
  <c r="Q2948"/>
  <c r="Q2949"/>
  <c r="Q2950"/>
  <c r="Q2951"/>
  <c r="Q2952"/>
  <c r="Q2953"/>
  <c r="Q2954"/>
  <c r="Q2955"/>
  <c r="Q2956"/>
  <c r="Q2957"/>
  <c r="Q2958"/>
  <c r="Q2959"/>
  <c r="Q2960"/>
  <c r="Q2961"/>
  <c r="Q2962"/>
  <c r="Q2963"/>
  <c r="Q2964"/>
  <c r="Q2965"/>
  <c r="Q2966"/>
  <c r="Q2967"/>
  <c r="Q2968"/>
  <c r="Q2969"/>
  <c r="Q2970"/>
  <c r="Q2971"/>
  <c r="Q2972"/>
  <c r="Q2973"/>
  <c r="Q2974"/>
  <c r="Q2975"/>
  <c r="Q2976"/>
  <c r="Q2977"/>
  <c r="Q2978"/>
  <c r="Q2979"/>
  <c r="Q2980"/>
  <c r="Q2981"/>
  <c r="Q2982"/>
  <c r="Q2983"/>
  <c r="Q2984"/>
  <c r="Q2985"/>
  <c r="Q2986"/>
  <c r="Q2987"/>
  <c r="Q2988"/>
  <c r="Q2989"/>
  <c r="Q2990"/>
  <c r="Q2991"/>
  <c r="Q2992"/>
  <c r="Q2993"/>
  <c r="Q2994"/>
  <c r="Q2995"/>
  <c r="Q2996"/>
  <c r="Q2997"/>
  <c r="Q2998"/>
  <c r="Q2999"/>
  <c r="Q3000"/>
  <c r="Q3001"/>
  <c r="Q3002"/>
  <c r="Q3003"/>
  <c r="Q3004"/>
  <c r="Q3005"/>
  <c r="Q3006"/>
  <c r="Q3007"/>
  <c r="Q3008"/>
  <c r="Q3009"/>
  <c r="Q3010"/>
  <c r="Q3011"/>
  <c r="Q3012"/>
  <c r="Q3013"/>
  <c r="Q3014"/>
  <c r="Q3015"/>
  <c r="Q3016"/>
  <c r="Q3017"/>
  <c r="Q3018"/>
  <c r="Q3019"/>
  <c r="Q3020"/>
  <c r="Q3021"/>
  <c r="Q3022"/>
  <c r="Q3023"/>
  <c r="Q3024"/>
  <c r="Q3025"/>
  <c r="Q3026"/>
  <c r="Q3027"/>
  <c r="Q3028"/>
  <c r="Q3029"/>
  <c r="Q3030"/>
  <c r="Q3031"/>
  <c r="Q3032"/>
  <c r="Q3033"/>
  <c r="Q3034"/>
  <c r="Q3035"/>
  <c r="Q3036"/>
  <c r="Q3037"/>
  <c r="Q3038"/>
  <c r="Q3039"/>
  <c r="Q3040"/>
  <c r="Q3041"/>
  <c r="Q3042"/>
  <c r="Q3043"/>
  <c r="Q3044"/>
  <c r="Q3045"/>
  <c r="Q3046"/>
  <c r="Q3047"/>
  <c r="Q3048"/>
  <c r="Q3049"/>
  <c r="Q3050"/>
  <c r="Q3051"/>
  <c r="Q3052"/>
  <c r="Q3053"/>
  <c r="Q3054"/>
  <c r="Q3055"/>
  <c r="Q3056"/>
  <c r="Q3057"/>
  <c r="Q3058"/>
  <c r="Q3059"/>
  <c r="Q3060"/>
  <c r="Q3061"/>
  <c r="Q3062"/>
  <c r="Q3063"/>
  <c r="Q3064"/>
  <c r="Q3065"/>
  <c r="Q3066"/>
  <c r="Q3067"/>
  <c r="Q3068"/>
  <c r="Q3069"/>
  <c r="Q3070"/>
  <c r="Q3071"/>
  <c r="Q3072"/>
  <c r="Q3073"/>
  <c r="Q3074"/>
  <c r="Q3075"/>
  <c r="Q3076"/>
  <c r="Q3077"/>
  <c r="Q3078"/>
  <c r="Q3079"/>
  <c r="Q3080"/>
  <c r="Q3081"/>
  <c r="Q3082"/>
  <c r="Q3083"/>
  <c r="Q3084"/>
  <c r="Q3085"/>
  <c r="Q3086"/>
  <c r="Q3087"/>
  <c r="Q3088"/>
  <c r="Q3089"/>
  <c r="Q3090"/>
  <c r="Q3091"/>
  <c r="Q3092"/>
  <c r="Q3093"/>
  <c r="Q3094"/>
  <c r="Q3095"/>
  <c r="Q3096"/>
  <c r="Q3097"/>
  <c r="Q3098"/>
  <c r="Q3099"/>
  <c r="Q3100"/>
  <c r="Q3101"/>
  <c r="Q3102"/>
  <c r="Q3103"/>
  <c r="Q3104"/>
  <c r="Q3105"/>
  <c r="Q3106"/>
  <c r="Q3107"/>
  <c r="Q3108"/>
  <c r="Q3109"/>
  <c r="Q3110"/>
  <c r="Q3111"/>
  <c r="Q3112"/>
  <c r="Q3113"/>
  <c r="Q3114"/>
  <c r="Q3115"/>
  <c r="Q3116"/>
  <c r="Q3117"/>
  <c r="Q3118"/>
  <c r="Q3119"/>
  <c r="Q3120"/>
  <c r="Q3121"/>
  <c r="Q3122"/>
  <c r="Q3123"/>
  <c r="Q3124"/>
  <c r="Q3125"/>
  <c r="Q3126"/>
  <c r="Q3127"/>
  <c r="Q3128"/>
  <c r="Q3129"/>
  <c r="Q3130"/>
  <c r="Q3131"/>
  <c r="Q3132"/>
  <c r="Q3133"/>
  <c r="Q3134"/>
  <c r="Q3135"/>
  <c r="Q3136"/>
  <c r="Q3137"/>
  <c r="Q3138"/>
  <c r="Q3139"/>
  <c r="Q3140"/>
  <c r="Q3141"/>
  <c r="Q3142"/>
  <c r="Q3143"/>
  <c r="Q3144"/>
  <c r="Q3145"/>
  <c r="Q3146"/>
  <c r="Q3147"/>
  <c r="Q3148"/>
  <c r="Q3149"/>
  <c r="Q3150"/>
  <c r="Q3151"/>
  <c r="Q3152"/>
  <c r="Q3153"/>
  <c r="Q3154"/>
  <c r="Q3155"/>
  <c r="Q3156"/>
  <c r="Q3157"/>
  <c r="Q3158"/>
  <c r="Q3159"/>
  <c r="Q3160"/>
  <c r="Q3161"/>
  <c r="Q3162"/>
  <c r="Q3163"/>
  <c r="Q3164"/>
  <c r="Q3165"/>
  <c r="Q3166"/>
  <c r="Q3167"/>
  <c r="Q3168"/>
  <c r="Q3169"/>
  <c r="Q3170"/>
  <c r="Q3171"/>
  <c r="Q3172"/>
  <c r="Q3173"/>
  <c r="Q3174"/>
  <c r="Q3175"/>
  <c r="Q3176"/>
  <c r="Q3177"/>
  <c r="Q3178"/>
  <c r="Q3179"/>
  <c r="Q3180"/>
  <c r="Q3181"/>
  <c r="Q3182"/>
  <c r="Q3183"/>
  <c r="Q3184"/>
  <c r="Q3185"/>
  <c r="Q3186"/>
  <c r="Q3187"/>
  <c r="Q3188"/>
  <c r="Q3189"/>
  <c r="Q3190"/>
  <c r="Q3191"/>
  <c r="Q3192"/>
  <c r="Q3193"/>
  <c r="Q3194"/>
  <c r="Q3195"/>
  <c r="Q3196"/>
  <c r="Q3197"/>
  <c r="Q3198"/>
  <c r="Q3199"/>
  <c r="Q3200"/>
  <c r="Q3201"/>
  <c r="Q3202"/>
  <c r="Q3203"/>
  <c r="Q3204"/>
  <c r="Q3205"/>
  <c r="Q3206"/>
  <c r="Q3207"/>
  <c r="Q3208"/>
  <c r="Q3209"/>
  <c r="Q3210"/>
  <c r="Q3211"/>
  <c r="Q3212"/>
  <c r="Q3213"/>
  <c r="Q3214"/>
  <c r="Q3215"/>
  <c r="Q3216"/>
  <c r="Q3217"/>
  <c r="Q3218"/>
  <c r="Q3219"/>
  <c r="Q3220"/>
  <c r="Q3221"/>
  <c r="Q3222"/>
  <c r="Q3223"/>
  <c r="Q3224"/>
  <c r="Q3225"/>
  <c r="Q3226"/>
  <c r="Q3227"/>
  <c r="Q3228"/>
  <c r="Q3229"/>
  <c r="Q3230"/>
  <c r="Q3231"/>
  <c r="Q3232"/>
  <c r="Q3233"/>
  <c r="Q3234"/>
  <c r="Q3235"/>
  <c r="Q3236"/>
  <c r="Q3237"/>
  <c r="Q3238"/>
  <c r="Q3239"/>
  <c r="Q3240"/>
  <c r="Q3241"/>
  <c r="Q3242"/>
  <c r="Q3243"/>
  <c r="Q3244"/>
  <c r="Q3245"/>
  <c r="Q3246"/>
  <c r="Q3247"/>
  <c r="Q3248"/>
  <c r="Q3249"/>
  <c r="Q3250"/>
  <c r="Q3251"/>
  <c r="Q3252"/>
  <c r="Q3253"/>
  <c r="Q3254"/>
  <c r="Q3255"/>
  <c r="Q3256"/>
  <c r="Q3257"/>
  <c r="Q3258"/>
  <c r="Q3259"/>
  <c r="Q3260"/>
  <c r="Q3261"/>
  <c r="Q3262"/>
  <c r="Q3263"/>
  <c r="Q3264"/>
  <c r="Q3265"/>
  <c r="Q3266"/>
  <c r="Q3267"/>
  <c r="Q3268"/>
  <c r="Q3269"/>
  <c r="Q3270"/>
  <c r="Q3271"/>
  <c r="Q3272"/>
  <c r="Q3273"/>
  <c r="Q3274"/>
  <c r="Q3275"/>
  <c r="Q3276"/>
  <c r="Q3277"/>
  <c r="Q3278"/>
  <c r="Q3279"/>
  <c r="Q3280"/>
  <c r="Q3281"/>
  <c r="Q3282"/>
  <c r="Q3283"/>
  <c r="Q3284"/>
  <c r="Q3285"/>
  <c r="Q3286"/>
  <c r="Q3287"/>
  <c r="Q3288"/>
  <c r="Q3289"/>
  <c r="Q3290"/>
  <c r="Q3291"/>
  <c r="Q3292"/>
  <c r="Q3293"/>
  <c r="Q3294"/>
  <c r="Q3295"/>
  <c r="Q3296"/>
  <c r="Q3297"/>
  <c r="Q3298"/>
  <c r="Q3299"/>
  <c r="Q3300"/>
  <c r="Q3301"/>
  <c r="Q3302"/>
  <c r="Q3303"/>
  <c r="Q3304"/>
  <c r="Q3305"/>
  <c r="Q3306"/>
  <c r="Q3307"/>
  <c r="Q3308"/>
  <c r="Q3309"/>
  <c r="Q3310"/>
  <c r="Q3311"/>
  <c r="Q3312"/>
  <c r="Q3313"/>
  <c r="Q3314"/>
  <c r="Q3315"/>
  <c r="Q3316"/>
  <c r="Q3317"/>
  <c r="Q3318"/>
  <c r="Q3319"/>
  <c r="Q3320"/>
  <c r="Q3321"/>
  <c r="Q3322"/>
  <c r="Q3323"/>
  <c r="Q3324"/>
  <c r="Q3325"/>
  <c r="Q3326"/>
  <c r="Q3327"/>
  <c r="Q3328"/>
  <c r="Q3329"/>
  <c r="Q3330"/>
  <c r="Q3331"/>
  <c r="Q3332"/>
  <c r="Q3333"/>
  <c r="Q3334"/>
  <c r="Q3335"/>
  <c r="Q3336"/>
  <c r="Q3337"/>
  <c r="Q3338"/>
  <c r="Q3339"/>
  <c r="Q3340"/>
  <c r="Q3341"/>
  <c r="Q3342"/>
  <c r="Q3343"/>
  <c r="Q3344"/>
  <c r="Q3345"/>
  <c r="Q3346"/>
  <c r="Q3347"/>
  <c r="Q3348"/>
  <c r="Q3349"/>
  <c r="Q3350"/>
  <c r="Q3351"/>
  <c r="Q3352"/>
  <c r="Q3353"/>
  <c r="Q3354"/>
  <c r="Q3355"/>
  <c r="Q3356"/>
  <c r="Q3357"/>
  <c r="Q3358"/>
  <c r="Q3359"/>
  <c r="Q3360"/>
  <c r="Q3361"/>
  <c r="Q3362"/>
  <c r="Q3363"/>
  <c r="Q3364"/>
  <c r="Q3365"/>
  <c r="Q3366"/>
  <c r="Q3367"/>
  <c r="Q3368"/>
  <c r="Q3369"/>
  <c r="Q3370"/>
  <c r="Q3371"/>
  <c r="Q3372"/>
  <c r="Q3373"/>
  <c r="Q3374"/>
  <c r="Q3375"/>
  <c r="Q3376"/>
  <c r="Q3377"/>
  <c r="Q3378"/>
  <c r="Q3379"/>
  <c r="Q3380"/>
  <c r="Q3381"/>
  <c r="Q3382"/>
  <c r="Q3383"/>
  <c r="Q3384"/>
  <c r="Q3385"/>
  <c r="Q3386"/>
  <c r="Q3387"/>
  <c r="Q3388"/>
  <c r="Q3389"/>
  <c r="Q3390"/>
  <c r="Q3391"/>
  <c r="Q3392"/>
  <c r="Q3393"/>
  <c r="Q3394"/>
  <c r="Q3395"/>
  <c r="Q3396"/>
  <c r="Q3397"/>
  <c r="Q3398"/>
  <c r="Q3399"/>
  <c r="Q3400"/>
  <c r="Q3401"/>
  <c r="Q3402"/>
  <c r="Q3403"/>
  <c r="Q3404"/>
  <c r="Q3405"/>
  <c r="Q3406"/>
  <c r="Q3407"/>
  <c r="Q3408"/>
  <c r="Q3409"/>
  <c r="Q3410"/>
  <c r="Q3411"/>
  <c r="Q3412"/>
  <c r="Q3413"/>
  <c r="Q3414"/>
  <c r="Q3415"/>
  <c r="Q3416"/>
  <c r="Q3417"/>
  <c r="Q3418"/>
  <c r="Q3419"/>
  <c r="Q3420"/>
  <c r="Q3421"/>
  <c r="Q3422"/>
  <c r="Q3423"/>
  <c r="Q3424"/>
  <c r="Q3425"/>
  <c r="Q3426"/>
  <c r="Q3427"/>
  <c r="Q3428"/>
  <c r="Q3429"/>
  <c r="Q3430"/>
  <c r="Q3431"/>
  <c r="Q3432"/>
  <c r="Q3433"/>
  <c r="Q3434"/>
  <c r="Q3435"/>
  <c r="Q3436"/>
  <c r="Q3437"/>
  <c r="Q3438"/>
  <c r="Q3439"/>
  <c r="Q3440"/>
  <c r="Q3441"/>
  <c r="Q3442"/>
  <c r="Q3443"/>
  <c r="Q3444"/>
  <c r="Q3445"/>
  <c r="Q3446"/>
  <c r="Q3447"/>
  <c r="Q3448"/>
  <c r="Q3449"/>
  <c r="Q3450"/>
  <c r="Q3451"/>
  <c r="Q3452"/>
  <c r="Q3453"/>
  <c r="Q3454"/>
  <c r="Q3455"/>
  <c r="Q3456"/>
  <c r="Q3457"/>
  <c r="Q3458"/>
  <c r="Q3459"/>
  <c r="Q3460"/>
  <c r="Q3461"/>
  <c r="Q3462"/>
  <c r="Q3463"/>
  <c r="Q3464"/>
  <c r="Q3465"/>
  <c r="Q3466"/>
  <c r="Q3467"/>
  <c r="Q3468"/>
  <c r="Q3469"/>
  <c r="Q3470"/>
  <c r="Q3471"/>
  <c r="Q3472"/>
  <c r="Q3473"/>
  <c r="Q3474"/>
  <c r="Q3475"/>
  <c r="Q3476"/>
  <c r="Q3477"/>
  <c r="Q3478"/>
  <c r="Q3479"/>
  <c r="Q3480"/>
  <c r="Q3481"/>
  <c r="Q3482"/>
  <c r="Q3483"/>
  <c r="Q3484"/>
  <c r="Q3485"/>
  <c r="Q3486"/>
  <c r="Q3487"/>
  <c r="Q3488"/>
  <c r="Q3489"/>
  <c r="Q3490"/>
  <c r="Q3491"/>
  <c r="Q3492"/>
  <c r="Q3493"/>
  <c r="Q3494"/>
  <c r="Q3495"/>
  <c r="Q3496"/>
  <c r="Q3497"/>
  <c r="Q3498"/>
  <c r="Q3499"/>
  <c r="Q3500"/>
  <c r="Q3501"/>
  <c r="Q3502"/>
  <c r="Q3503"/>
  <c r="Q3504"/>
  <c r="Q3505"/>
  <c r="Q3506"/>
  <c r="Q3507"/>
  <c r="Q3508"/>
  <c r="Q3509"/>
  <c r="Q3510"/>
  <c r="Q3511"/>
  <c r="Q3512"/>
  <c r="Q3513"/>
  <c r="Q3514"/>
  <c r="Q3515"/>
  <c r="Q3516"/>
  <c r="Q3517"/>
  <c r="Q3518"/>
  <c r="Q3519"/>
  <c r="Q3520"/>
  <c r="Q3521"/>
  <c r="Q3522"/>
  <c r="Q3523"/>
  <c r="Q3524"/>
  <c r="Q3525"/>
  <c r="Q3526"/>
  <c r="Q3527"/>
  <c r="Q3528"/>
  <c r="Q3529"/>
  <c r="Q3530"/>
  <c r="Q3531"/>
  <c r="Q3532"/>
  <c r="Q3533"/>
  <c r="Q3534"/>
  <c r="Q3535"/>
  <c r="Q3536"/>
  <c r="Q3537"/>
  <c r="Q3538"/>
  <c r="Q3539"/>
  <c r="Q3540"/>
  <c r="Q3541"/>
  <c r="Q3542"/>
  <c r="Q3543"/>
  <c r="Q3544"/>
  <c r="Q3545"/>
  <c r="Q3546"/>
  <c r="Q3547"/>
  <c r="Q3548"/>
  <c r="Q3549"/>
  <c r="Q3550"/>
  <c r="Q3551"/>
  <c r="Q3552"/>
  <c r="Q3553"/>
  <c r="Q3554"/>
  <c r="Q3555"/>
  <c r="Q3556"/>
  <c r="Q3557"/>
  <c r="Q3558"/>
  <c r="Q3559"/>
  <c r="Q3560"/>
  <c r="Q3561"/>
  <c r="Q3562"/>
  <c r="Q3563"/>
  <c r="Q3564"/>
  <c r="Q3565"/>
  <c r="Q3566"/>
  <c r="Q3567"/>
  <c r="Q3568"/>
  <c r="Q3569"/>
  <c r="Q3570"/>
  <c r="Q3571"/>
  <c r="Q3572"/>
  <c r="Q3573"/>
  <c r="Q3574"/>
  <c r="Q3575"/>
  <c r="Q3576"/>
  <c r="Q3577"/>
  <c r="Q3578"/>
  <c r="Q3579"/>
  <c r="Q3580"/>
  <c r="Q3581"/>
  <c r="Q3582"/>
  <c r="Q3583"/>
  <c r="Q3584"/>
  <c r="Q3585"/>
  <c r="Q3586"/>
  <c r="Q3587"/>
  <c r="Q3588"/>
  <c r="Q3589"/>
  <c r="Q3590"/>
  <c r="Q3591"/>
  <c r="Q3592"/>
  <c r="Q3593"/>
  <c r="Q3594"/>
  <c r="Q3595"/>
  <c r="Q3596"/>
  <c r="Q3597"/>
  <c r="Q3598"/>
  <c r="Q3599"/>
  <c r="Q3600"/>
  <c r="Q3601"/>
  <c r="Q3602"/>
  <c r="Q3603"/>
  <c r="Q3604"/>
  <c r="Q3605"/>
  <c r="Q3606"/>
  <c r="Q3607"/>
  <c r="Q3608"/>
  <c r="Q3609"/>
  <c r="Q3610"/>
  <c r="Q3611"/>
  <c r="Q3612"/>
  <c r="Q3613"/>
  <c r="Q3614"/>
  <c r="Q3615"/>
  <c r="Q3616"/>
  <c r="Q3617"/>
  <c r="Q3618"/>
  <c r="Q3619"/>
  <c r="Q3620"/>
  <c r="Q3621"/>
  <c r="Q3622"/>
  <c r="Q3623"/>
  <c r="Q3624"/>
  <c r="Q3625"/>
  <c r="Q3626"/>
  <c r="Q3627"/>
  <c r="Q3628"/>
  <c r="Q3629"/>
  <c r="Q3630"/>
  <c r="Q3631"/>
  <c r="Q3632"/>
  <c r="Q3633"/>
  <c r="Q3634"/>
  <c r="Q3635"/>
  <c r="Q3636"/>
  <c r="Q3637"/>
  <c r="Q3638"/>
  <c r="Q3639"/>
  <c r="Q3640"/>
  <c r="Q3641"/>
  <c r="Q3642"/>
  <c r="Q3643"/>
  <c r="Q3644"/>
  <c r="Q3645"/>
  <c r="Q3646"/>
  <c r="Q3647"/>
  <c r="Q3648"/>
  <c r="Q3649"/>
  <c r="Q3650"/>
  <c r="Q3651"/>
  <c r="Q3652"/>
  <c r="Q3653"/>
  <c r="Q3654"/>
  <c r="Q3655"/>
  <c r="Q3656"/>
  <c r="Q3657"/>
  <c r="Q3658"/>
  <c r="Q3659"/>
  <c r="Q3660"/>
  <c r="Q3661"/>
  <c r="Q3662"/>
  <c r="Q3663"/>
  <c r="Q3664"/>
  <c r="Q3665"/>
  <c r="Q3666"/>
  <c r="Q3667"/>
  <c r="Q3668"/>
  <c r="Q3669"/>
  <c r="Q3670"/>
  <c r="Q3671"/>
  <c r="Q3672"/>
  <c r="Q3673"/>
  <c r="Q3674"/>
  <c r="Q3675"/>
  <c r="Q3676"/>
  <c r="Q3677"/>
  <c r="Q3678"/>
  <c r="Q3679"/>
  <c r="Q3680"/>
  <c r="Q3681"/>
  <c r="Q3682"/>
  <c r="Q3683"/>
  <c r="Q3684"/>
  <c r="Q3685"/>
  <c r="Q3686"/>
  <c r="Q3687"/>
  <c r="Q3688"/>
  <c r="Q3689"/>
  <c r="Q3690"/>
  <c r="Q3691"/>
  <c r="Q3692"/>
  <c r="Q3693"/>
  <c r="Q3694"/>
  <c r="Q3695"/>
  <c r="Q3696"/>
  <c r="Q3697"/>
  <c r="Q3698"/>
  <c r="Q3699"/>
  <c r="Q3700"/>
  <c r="Q3701"/>
  <c r="Q3702"/>
  <c r="Q3703"/>
  <c r="Q3704"/>
  <c r="Q3705"/>
  <c r="Q3706"/>
  <c r="Q3707"/>
  <c r="Q3708"/>
  <c r="Q3709"/>
  <c r="Q3710"/>
  <c r="Q3711"/>
  <c r="Q3712"/>
  <c r="Q3713"/>
  <c r="Q3714"/>
  <c r="Q3715"/>
  <c r="Q3716"/>
  <c r="Q3717"/>
  <c r="Q3718"/>
  <c r="Q3719"/>
  <c r="Q3720"/>
  <c r="Q3721"/>
  <c r="Q3722"/>
  <c r="Q3723"/>
  <c r="Q3724"/>
  <c r="Q3725"/>
  <c r="Q3726"/>
  <c r="Q3727"/>
  <c r="Q3728"/>
  <c r="Q3729"/>
  <c r="Q3730"/>
  <c r="Q3731"/>
  <c r="Q3732"/>
  <c r="Q3733"/>
  <c r="Q3734"/>
  <c r="Q3735"/>
  <c r="Q3736"/>
  <c r="Q3737"/>
  <c r="Q3738"/>
  <c r="Q3739"/>
  <c r="Q3740"/>
  <c r="Q3741"/>
  <c r="Q3742"/>
  <c r="Q3743"/>
  <c r="Q3744"/>
  <c r="Q3745"/>
  <c r="Q3746"/>
  <c r="Q3747"/>
  <c r="Q3748"/>
  <c r="Q3749"/>
  <c r="Q3750"/>
  <c r="Q3751"/>
  <c r="Q3752"/>
  <c r="Q3753"/>
  <c r="Q3754"/>
  <c r="Q3755"/>
  <c r="Q3756"/>
  <c r="Q3757"/>
  <c r="Q3758"/>
  <c r="Q3759"/>
  <c r="Q3760"/>
  <c r="Q3761"/>
  <c r="Q3762"/>
  <c r="Q3763"/>
  <c r="Q3764"/>
  <c r="Q3765"/>
  <c r="Q3766"/>
  <c r="Q3767"/>
  <c r="Q3768"/>
  <c r="Q3769"/>
  <c r="Q3770"/>
  <c r="Q3771"/>
  <c r="Q3772"/>
  <c r="Q3773"/>
  <c r="Q3774"/>
  <c r="Q3775"/>
  <c r="Q3776"/>
  <c r="Q3777"/>
  <c r="Q3778"/>
  <c r="Q3779"/>
  <c r="Q3780"/>
  <c r="Q3781"/>
  <c r="Q3782"/>
  <c r="Q3783"/>
  <c r="Q3784"/>
  <c r="Q3785"/>
  <c r="Q3786"/>
  <c r="Q3787"/>
  <c r="Q3788"/>
  <c r="Q3789"/>
  <c r="Q3790"/>
  <c r="Q3791"/>
  <c r="Q3792"/>
  <c r="Q3793"/>
  <c r="Q3794"/>
  <c r="Q3795"/>
  <c r="Q3796"/>
  <c r="Q3797"/>
  <c r="Q3798"/>
  <c r="Q3799"/>
  <c r="Q3800"/>
  <c r="Q3801"/>
  <c r="Q3802"/>
  <c r="Q3803"/>
  <c r="Q3804"/>
  <c r="Q3805"/>
  <c r="Q3806"/>
  <c r="Q3807"/>
  <c r="Q3808"/>
  <c r="Q3809"/>
  <c r="Q3810"/>
  <c r="Q3811"/>
  <c r="Q3812"/>
  <c r="Q3813"/>
  <c r="Q3814"/>
  <c r="Q3815"/>
  <c r="Q3816"/>
  <c r="Q3817"/>
  <c r="Q3818"/>
  <c r="Q3819"/>
  <c r="Q3820"/>
  <c r="Q3821"/>
  <c r="Q3822"/>
  <c r="Q3823"/>
  <c r="Q3824"/>
  <c r="Q3825"/>
  <c r="Q3826"/>
  <c r="Q3827"/>
  <c r="Q3828"/>
  <c r="Q3829"/>
  <c r="Q3830"/>
  <c r="Q3831"/>
  <c r="Q3832"/>
  <c r="Q3833"/>
  <c r="Q3834"/>
  <c r="Q3835"/>
  <c r="Q3836"/>
  <c r="Q3837"/>
  <c r="Q3838"/>
  <c r="Q3839"/>
  <c r="Q3840"/>
  <c r="Q3841"/>
  <c r="Q3842"/>
  <c r="Q3843"/>
  <c r="Q3844"/>
  <c r="Q3845"/>
  <c r="Q3846"/>
  <c r="Q3847"/>
  <c r="Q3848"/>
  <c r="Q3849"/>
  <c r="Q3850"/>
  <c r="Q3851"/>
  <c r="Q3852"/>
  <c r="Q3853"/>
  <c r="Q3854"/>
  <c r="Q3855"/>
  <c r="Q3856"/>
  <c r="Q3857"/>
  <c r="Q3858"/>
  <c r="Q3859"/>
  <c r="Q3860"/>
  <c r="Q3861"/>
  <c r="Q3862"/>
  <c r="Q3863"/>
  <c r="Q3864"/>
  <c r="Q3865"/>
  <c r="Q3866"/>
  <c r="Q3867"/>
  <c r="Q3868"/>
  <c r="Q3869"/>
  <c r="Q3870"/>
  <c r="Q3871"/>
  <c r="Q3872"/>
  <c r="Q3873"/>
  <c r="Q3874"/>
  <c r="Q3875"/>
  <c r="Q3876"/>
  <c r="Q3877"/>
  <c r="Q3878"/>
  <c r="Q3879"/>
  <c r="Q3880"/>
  <c r="Q3881"/>
  <c r="Q3882"/>
  <c r="Q3883"/>
  <c r="Q3884"/>
  <c r="Q3885"/>
  <c r="Q3886"/>
  <c r="Q3887"/>
  <c r="Q3888"/>
  <c r="Q3889"/>
  <c r="Q3890"/>
  <c r="Q3891"/>
  <c r="Q3892"/>
  <c r="Q3893"/>
  <c r="Q3894"/>
  <c r="Q3895"/>
  <c r="Q3896"/>
  <c r="Q3897"/>
  <c r="Q3898"/>
  <c r="Q3899"/>
  <c r="Q3900"/>
  <c r="Q3901"/>
  <c r="Q3902"/>
  <c r="Q3903"/>
  <c r="Q3904"/>
  <c r="Q3905"/>
  <c r="Q3906"/>
  <c r="Q3907"/>
  <c r="Q3908"/>
  <c r="Q3909"/>
  <c r="Q3910"/>
  <c r="Q3911"/>
  <c r="Q3912"/>
  <c r="Q3913"/>
  <c r="Q3914"/>
  <c r="Q3915"/>
  <c r="Q3916"/>
  <c r="Q3917"/>
  <c r="Q3918"/>
  <c r="Q3919"/>
  <c r="Q3920"/>
  <c r="Q3921"/>
  <c r="Q3922"/>
  <c r="Q3923"/>
  <c r="Q3924"/>
  <c r="Q3925"/>
  <c r="Q3926"/>
  <c r="Q3927"/>
  <c r="Q3928"/>
  <c r="Q3929"/>
  <c r="Q3930"/>
  <c r="Q3931"/>
  <c r="Q3932"/>
  <c r="Q3933"/>
  <c r="Q3934"/>
  <c r="Q3935"/>
  <c r="Q3936"/>
  <c r="Q3937"/>
  <c r="Q3938"/>
  <c r="Q3939"/>
  <c r="Q3940"/>
  <c r="Q3941"/>
  <c r="Q3942"/>
  <c r="Q3943"/>
  <c r="Q3944"/>
  <c r="Q3945"/>
  <c r="Q3946"/>
  <c r="Q3947"/>
  <c r="Q3948"/>
  <c r="Q3949"/>
  <c r="Q3950"/>
  <c r="Q3951"/>
  <c r="Q3952"/>
  <c r="Q3953"/>
  <c r="Q3954"/>
  <c r="Q3955"/>
  <c r="Q3956"/>
  <c r="Q3957"/>
  <c r="Q3958"/>
  <c r="Q3959"/>
  <c r="Q3960"/>
  <c r="Q3961"/>
  <c r="Q3962"/>
  <c r="Q3963"/>
  <c r="Q3964"/>
  <c r="Q3965"/>
  <c r="Q3966"/>
  <c r="Q3967"/>
  <c r="Q3968"/>
  <c r="Q3969"/>
  <c r="Q3970"/>
  <c r="Q3971"/>
  <c r="Q3972"/>
  <c r="Q3973"/>
  <c r="Q3974"/>
  <c r="Q3975"/>
  <c r="Q3976"/>
  <c r="Q3977"/>
  <c r="Q3978"/>
  <c r="Q3979"/>
  <c r="Q3980"/>
  <c r="Q3981"/>
  <c r="Q3982"/>
  <c r="Q3983"/>
  <c r="Q3984"/>
  <c r="Q3985"/>
  <c r="Q3986"/>
  <c r="Q3987"/>
  <c r="Q3988"/>
  <c r="Q3989"/>
  <c r="Q3990"/>
  <c r="Q3991"/>
  <c r="Q3992"/>
  <c r="Q3993"/>
  <c r="Q3994"/>
  <c r="Q3995"/>
  <c r="Q3996"/>
  <c r="Q3997"/>
  <c r="Q3998"/>
  <c r="Q3999"/>
  <c r="Q4000"/>
  <c r="Q4001"/>
  <c r="Q4002"/>
  <c r="Q4003"/>
  <c r="Q4004"/>
  <c r="Q4005"/>
  <c r="Q4006"/>
  <c r="Q4007"/>
  <c r="Q4008"/>
  <c r="Q4009"/>
  <c r="Q4010"/>
  <c r="Q4011"/>
  <c r="Q4012"/>
  <c r="Q4013"/>
  <c r="Q4014"/>
  <c r="Q4015"/>
  <c r="Q4016"/>
  <c r="Q4017"/>
  <c r="Q4018"/>
  <c r="Q4019"/>
  <c r="Q4020"/>
  <c r="Q4021"/>
  <c r="Q4022"/>
  <c r="Q4023"/>
  <c r="Q4024"/>
  <c r="Q4025"/>
  <c r="Q4026"/>
  <c r="Q4027"/>
  <c r="Q4028"/>
  <c r="Q4029"/>
  <c r="Q4030"/>
  <c r="Q4031"/>
  <c r="Q4032"/>
  <c r="Q4033"/>
  <c r="Q4034"/>
  <c r="Q4035"/>
  <c r="Q4036"/>
  <c r="Q4037"/>
  <c r="Q4038"/>
  <c r="Q4039"/>
  <c r="Q4040"/>
  <c r="Q4041"/>
  <c r="Q4042"/>
  <c r="Q4043"/>
  <c r="Q4044"/>
  <c r="Q4045"/>
  <c r="Q4046"/>
  <c r="Q4047"/>
  <c r="Q4048"/>
  <c r="Q4049"/>
  <c r="Q4050"/>
  <c r="Q4051"/>
  <c r="Q4052"/>
  <c r="Q4053"/>
  <c r="Q4054"/>
  <c r="Q4055"/>
  <c r="Q4056"/>
  <c r="Q4057"/>
  <c r="Q4058"/>
  <c r="Q4059"/>
  <c r="Q4060"/>
  <c r="Q4061"/>
  <c r="Q4062"/>
  <c r="Q4063"/>
  <c r="Q4064"/>
  <c r="Q4065"/>
  <c r="Q4066"/>
  <c r="Q4067"/>
  <c r="Q4068"/>
  <c r="Q4069"/>
  <c r="Q4070"/>
  <c r="Q4071"/>
  <c r="Q4072"/>
  <c r="Q4073"/>
  <c r="Q4074"/>
  <c r="Q4075"/>
  <c r="Q4076"/>
  <c r="Q4077"/>
  <c r="Q4078"/>
  <c r="Q4079"/>
  <c r="Q4080"/>
  <c r="Q4081"/>
  <c r="Q4082"/>
  <c r="Q4083"/>
  <c r="Q4084"/>
  <c r="Q4085"/>
  <c r="Q4086"/>
  <c r="Q4087"/>
  <c r="Q4088"/>
  <c r="Q4089"/>
  <c r="Q4090"/>
  <c r="Q4091"/>
  <c r="Q4092"/>
  <c r="Q4093"/>
  <c r="Q4094"/>
  <c r="Q4095"/>
  <c r="Q4096"/>
  <c r="Q4097"/>
  <c r="Q4098"/>
  <c r="Q4099"/>
  <c r="Q4100"/>
  <c r="Q4101"/>
  <c r="Q4102"/>
  <c r="Q4103"/>
  <c r="Q4104"/>
  <c r="Q4105"/>
  <c r="Q4106"/>
  <c r="Q4107"/>
  <c r="Q4108"/>
  <c r="Q4109"/>
  <c r="Q4110"/>
  <c r="Q4111"/>
  <c r="Q4112"/>
  <c r="Q4113"/>
  <c r="Q4114"/>
  <c r="Q4115"/>
  <c r="Q4116"/>
  <c r="Q4117"/>
  <c r="Q4118"/>
  <c r="Q4119"/>
  <c r="Q4120"/>
  <c r="Q4121"/>
  <c r="Q4122"/>
  <c r="Q4123"/>
  <c r="Q4124"/>
  <c r="Q4125"/>
  <c r="Q4126"/>
  <c r="Q4127"/>
  <c r="Q4128"/>
  <c r="Q4129"/>
  <c r="Q4130"/>
  <c r="Q4131"/>
  <c r="Q4132"/>
  <c r="Q4133"/>
  <c r="Q4134"/>
  <c r="Q4135"/>
  <c r="Q4136"/>
  <c r="Q4137"/>
  <c r="Q4138"/>
  <c r="Q4139"/>
  <c r="Q4140"/>
  <c r="Q4141"/>
  <c r="Q4142"/>
  <c r="Q4143"/>
  <c r="Q4144"/>
  <c r="Q4145"/>
  <c r="Q4146"/>
  <c r="Q4147"/>
  <c r="Q4148"/>
  <c r="Q4149"/>
  <c r="Q4150"/>
  <c r="Q4151"/>
  <c r="Q4152"/>
  <c r="Q4153"/>
  <c r="Q4154"/>
  <c r="Q4155"/>
  <c r="Q4156"/>
  <c r="Q4157"/>
  <c r="Q4158"/>
  <c r="Q4159"/>
  <c r="Q4160"/>
  <c r="Q4161"/>
  <c r="Q4162"/>
  <c r="Q4163"/>
  <c r="Q4164"/>
  <c r="Q4165"/>
  <c r="Q4166"/>
  <c r="Q4167"/>
  <c r="Q4168"/>
  <c r="Q4169"/>
  <c r="Q4170"/>
  <c r="Q4171"/>
  <c r="Q4172"/>
  <c r="Q4173"/>
  <c r="Q4174"/>
  <c r="Q4175"/>
  <c r="Q4176"/>
  <c r="Q4177"/>
  <c r="Q4178"/>
  <c r="Q4179"/>
  <c r="Q4180"/>
  <c r="Q4181"/>
  <c r="Q4182"/>
  <c r="Q4183"/>
  <c r="Q4184"/>
  <c r="Q4185"/>
  <c r="Q4186"/>
  <c r="Q4187"/>
  <c r="Q4188"/>
  <c r="Q4189"/>
  <c r="Q4190"/>
  <c r="Q4191"/>
  <c r="Q4192"/>
  <c r="Q4193"/>
  <c r="Q4194"/>
  <c r="Q4195"/>
  <c r="Q4196"/>
  <c r="Q4197"/>
  <c r="Q4198"/>
  <c r="Q4199"/>
  <c r="Q4200"/>
  <c r="Q4201"/>
  <c r="Q4202"/>
  <c r="Q4203"/>
  <c r="Q4204"/>
  <c r="Q4205"/>
  <c r="Q4206"/>
  <c r="Q4207"/>
  <c r="Q4208"/>
  <c r="Q4209"/>
  <c r="Q4210"/>
  <c r="Q4211"/>
  <c r="Q4212"/>
  <c r="Q4213"/>
  <c r="Q4214"/>
  <c r="Q4215"/>
  <c r="Q4216"/>
  <c r="Q4217"/>
  <c r="Q4218"/>
  <c r="Q4219"/>
  <c r="Q4220"/>
  <c r="Q4221"/>
  <c r="Q4222"/>
  <c r="Q4223"/>
  <c r="Q4224"/>
  <c r="Q4225"/>
  <c r="Q4226"/>
  <c r="Q4227"/>
  <c r="Q4228"/>
  <c r="Q4229"/>
  <c r="Q4230"/>
  <c r="Q4231"/>
  <c r="Q4232"/>
  <c r="Q4233"/>
  <c r="Q4234"/>
  <c r="Q4235"/>
  <c r="Q4236"/>
  <c r="Q4237"/>
  <c r="Q4238"/>
  <c r="Q4239"/>
  <c r="Q4240"/>
  <c r="Q4241"/>
  <c r="Q4242"/>
  <c r="Q4243"/>
  <c r="Q4244"/>
  <c r="Q4245"/>
  <c r="Q4246"/>
  <c r="Q4247"/>
  <c r="Q4248"/>
  <c r="Q4249"/>
  <c r="Q4250"/>
  <c r="Q4251"/>
  <c r="Q4252"/>
  <c r="Q4253"/>
  <c r="Q4254"/>
  <c r="Q4255"/>
  <c r="Q4256"/>
  <c r="Q4257"/>
  <c r="Q4258"/>
  <c r="Q4259"/>
  <c r="Q4260"/>
  <c r="Q4261"/>
  <c r="Q4262"/>
  <c r="Q4263"/>
  <c r="Q4264"/>
  <c r="Q4265"/>
  <c r="Q4266"/>
  <c r="Q4267"/>
  <c r="Q4268"/>
  <c r="Q4269"/>
  <c r="Q4270"/>
  <c r="Q4271"/>
  <c r="Q4272"/>
  <c r="Q4273"/>
  <c r="Q4274"/>
  <c r="Q4275"/>
  <c r="Q4276"/>
  <c r="Q4277"/>
  <c r="Q4278"/>
  <c r="Q4279"/>
  <c r="Q4280"/>
  <c r="Q4281"/>
  <c r="Q4282"/>
  <c r="Q4283"/>
  <c r="Q4284"/>
  <c r="Q4285"/>
  <c r="Q4286"/>
  <c r="Q4287"/>
  <c r="Q4288"/>
  <c r="Q4289"/>
  <c r="Q4290"/>
  <c r="Q4291"/>
  <c r="Q4292"/>
  <c r="Q4293"/>
  <c r="Q4294"/>
  <c r="Q4295"/>
  <c r="Q4296"/>
  <c r="Q4297"/>
  <c r="Q4298"/>
  <c r="Q4299"/>
  <c r="Q4300"/>
  <c r="Q4301"/>
  <c r="Q4302"/>
  <c r="Q4303"/>
  <c r="Q4304"/>
  <c r="Q4305"/>
  <c r="Q4306"/>
  <c r="Q4307"/>
  <c r="Q4308"/>
  <c r="Q4309"/>
  <c r="Q4310"/>
  <c r="Q4311"/>
  <c r="Q4312"/>
  <c r="Q4313"/>
  <c r="Q4314"/>
  <c r="Q4315"/>
  <c r="Q4316"/>
  <c r="Q4317"/>
  <c r="Q4318"/>
  <c r="Q4319"/>
  <c r="Q4320"/>
  <c r="Q4321"/>
  <c r="Q4322"/>
  <c r="Q4323"/>
  <c r="Q4324"/>
  <c r="Q4325"/>
  <c r="Q4326"/>
  <c r="Q4327"/>
  <c r="Q4328"/>
  <c r="Q4329"/>
  <c r="Q4330"/>
  <c r="Q4331"/>
  <c r="Q4332"/>
  <c r="Q4333"/>
  <c r="Q4334"/>
  <c r="Q4335"/>
  <c r="Q4336"/>
  <c r="Q4337"/>
  <c r="Q4338"/>
  <c r="Q4339"/>
  <c r="Q4340"/>
  <c r="Q4341"/>
  <c r="Q4342"/>
  <c r="Q4343"/>
  <c r="Q4344"/>
  <c r="Q4345"/>
  <c r="Q4346"/>
  <c r="Q4347"/>
  <c r="Q4348"/>
  <c r="Q4349"/>
  <c r="Q4350"/>
  <c r="Q4351"/>
  <c r="Q4352"/>
  <c r="Q4353"/>
  <c r="Q4354"/>
  <c r="Q4355"/>
  <c r="Q4356"/>
  <c r="Q4357"/>
  <c r="Q4358"/>
  <c r="Q4359"/>
  <c r="Q4360"/>
  <c r="Q4361"/>
  <c r="Q4362"/>
  <c r="Q4363"/>
  <c r="Q4364"/>
  <c r="Q4365"/>
  <c r="Q4366"/>
  <c r="Q4367"/>
  <c r="Q4368"/>
  <c r="Q4369"/>
  <c r="Q4370"/>
  <c r="Q4371"/>
  <c r="Q4372"/>
  <c r="Q4373"/>
  <c r="Q4374"/>
  <c r="Q4375"/>
  <c r="Q4376"/>
  <c r="Q4377"/>
  <c r="Q4378"/>
  <c r="Q4379"/>
  <c r="Q4380"/>
  <c r="Q4381"/>
  <c r="Q4382"/>
  <c r="Q4383"/>
  <c r="Q4384"/>
  <c r="Q4385"/>
  <c r="Q4386"/>
  <c r="Q4387"/>
  <c r="Q4388"/>
  <c r="Q4389"/>
  <c r="Q4390"/>
  <c r="Q4391"/>
  <c r="Q4392"/>
  <c r="Q4393"/>
  <c r="Q4394"/>
  <c r="Q4395"/>
  <c r="Q4396"/>
  <c r="Q4397"/>
  <c r="Q4398"/>
  <c r="Q4399"/>
  <c r="Q4400"/>
  <c r="Q4401"/>
  <c r="Q4402"/>
  <c r="Q4403"/>
  <c r="Q4404"/>
  <c r="Q4405"/>
  <c r="Q4406"/>
  <c r="Q4407"/>
  <c r="Q4408"/>
  <c r="Q4409"/>
  <c r="Q4410"/>
  <c r="Q4411"/>
  <c r="Q4412"/>
  <c r="Q4413"/>
  <c r="Q4414"/>
  <c r="Q4415"/>
  <c r="Q4416"/>
  <c r="Q4417"/>
  <c r="Q4418"/>
  <c r="Q4419"/>
  <c r="Q4420"/>
  <c r="Q4421"/>
  <c r="Q4422"/>
  <c r="Q4423"/>
  <c r="Q4424"/>
  <c r="Q4425"/>
  <c r="Q4426"/>
  <c r="Q4427"/>
  <c r="Q4428"/>
  <c r="Q4429"/>
  <c r="Q4430"/>
  <c r="Q4431"/>
  <c r="Q4432"/>
  <c r="Q4433"/>
  <c r="Q4434"/>
  <c r="Q4435"/>
  <c r="Q4436"/>
  <c r="Q4437"/>
  <c r="Q4438"/>
  <c r="Q4439"/>
  <c r="Q4440"/>
  <c r="Q4441"/>
  <c r="Q4442"/>
  <c r="Q4443"/>
  <c r="Q4444"/>
  <c r="Q4445"/>
  <c r="Q4446"/>
  <c r="Q4447"/>
  <c r="Q4448"/>
  <c r="Q4449"/>
  <c r="Q4450"/>
  <c r="Q4451"/>
  <c r="Q4452"/>
  <c r="Q4453"/>
  <c r="Q4454"/>
  <c r="Q4455"/>
  <c r="Q4456"/>
  <c r="Q4457"/>
  <c r="Q4458"/>
  <c r="Q4459"/>
  <c r="Q4460"/>
  <c r="Q4461"/>
  <c r="Q4462"/>
  <c r="Q4463"/>
  <c r="Q4464"/>
  <c r="Q4465"/>
  <c r="Q4466"/>
  <c r="Q4467"/>
  <c r="Q4468"/>
  <c r="Q4469"/>
  <c r="Q4470"/>
  <c r="Q4471"/>
  <c r="Q4472"/>
  <c r="Q4473"/>
  <c r="Q4474"/>
  <c r="Q4475"/>
  <c r="Q4476"/>
  <c r="Q4477"/>
  <c r="Q4478"/>
  <c r="Q4479"/>
  <c r="Q4480"/>
  <c r="Q4481"/>
  <c r="Q4482"/>
  <c r="Q4483"/>
  <c r="Q4484"/>
  <c r="Q4485"/>
  <c r="Q4486"/>
  <c r="Q4487"/>
  <c r="Q4488"/>
  <c r="Q4489"/>
  <c r="Q4490"/>
  <c r="Q4491"/>
  <c r="Q4492"/>
  <c r="Q4493"/>
  <c r="Q4494"/>
  <c r="Q4495"/>
  <c r="Q4496"/>
  <c r="Q4497"/>
  <c r="Q4498"/>
  <c r="Q4499"/>
  <c r="Q4500"/>
  <c r="Q4501"/>
  <c r="Q4502"/>
  <c r="Q4503"/>
  <c r="Q4504"/>
  <c r="Q4505"/>
  <c r="Q4506"/>
  <c r="Q4507"/>
  <c r="Q4508"/>
  <c r="Q4509"/>
  <c r="Q4510"/>
  <c r="Q4511"/>
  <c r="Q4512"/>
  <c r="Q4513"/>
  <c r="Q4514"/>
  <c r="Q4515"/>
  <c r="Q4516"/>
  <c r="Q4517"/>
  <c r="Q4518"/>
  <c r="Q4519"/>
  <c r="Q4520"/>
  <c r="Q4521"/>
  <c r="Q4522"/>
  <c r="Q4523"/>
  <c r="Q4524"/>
  <c r="Q4525"/>
  <c r="Q4526"/>
  <c r="Q4527"/>
  <c r="Q4528"/>
  <c r="Q4529"/>
  <c r="Q4530"/>
  <c r="Q4531"/>
  <c r="Q4532"/>
  <c r="Q4533"/>
  <c r="Q4534"/>
  <c r="Q4535"/>
  <c r="Q4536"/>
  <c r="Q4537"/>
  <c r="Q4538"/>
  <c r="Q4539"/>
  <c r="Q4540"/>
  <c r="Q4541"/>
  <c r="Q4542"/>
  <c r="Q4543"/>
  <c r="Q4544"/>
  <c r="Q4545"/>
  <c r="Q4546"/>
  <c r="Q4547"/>
  <c r="Q4548"/>
  <c r="Q4549"/>
  <c r="Q4550"/>
  <c r="Q4551"/>
  <c r="Q4552"/>
  <c r="Q4553"/>
  <c r="Q4554"/>
  <c r="Q4555"/>
  <c r="Q4556"/>
  <c r="Q4557"/>
  <c r="Q4558"/>
  <c r="Q4559"/>
  <c r="Q4560"/>
  <c r="Q4561"/>
  <c r="Q4562"/>
  <c r="Q4563"/>
  <c r="Q4564"/>
  <c r="Q4565"/>
  <c r="Q4566"/>
  <c r="Q4567"/>
  <c r="Q4568"/>
  <c r="Q4569"/>
  <c r="Q4570"/>
  <c r="Q4571"/>
  <c r="Q4572"/>
  <c r="Q4573"/>
  <c r="Q4574"/>
  <c r="Q4575"/>
  <c r="Q4576"/>
  <c r="Q4577"/>
  <c r="Q4578"/>
  <c r="Q4579"/>
  <c r="Q4580"/>
  <c r="Q4581"/>
  <c r="Q4582"/>
  <c r="Q4583"/>
  <c r="Q4584"/>
  <c r="Q4585"/>
  <c r="Q4586"/>
  <c r="Q4587"/>
  <c r="Q4588"/>
  <c r="Q4589"/>
  <c r="Q4590"/>
  <c r="Q4591"/>
  <c r="Q4592"/>
  <c r="Q4593"/>
  <c r="Q4594"/>
  <c r="Q4595"/>
  <c r="Q4596"/>
  <c r="Q4597"/>
  <c r="Q4598"/>
  <c r="Q4599"/>
  <c r="Q4600"/>
  <c r="Q4601"/>
  <c r="Q4602"/>
  <c r="Q4603"/>
  <c r="Q4604"/>
  <c r="Q4605"/>
  <c r="Q4606"/>
  <c r="Q4607"/>
  <c r="Q4608"/>
  <c r="Q4609"/>
  <c r="Q4610"/>
  <c r="Q4611"/>
  <c r="Q4612"/>
  <c r="Q4613"/>
  <c r="Q4614"/>
  <c r="Q4615"/>
  <c r="Q4616"/>
  <c r="Q4617"/>
  <c r="Q4618"/>
  <c r="Q4619"/>
  <c r="Q4620"/>
  <c r="Q4621"/>
  <c r="Q4622"/>
  <c r="Q4623"/>
  <c r="Q4624"/>
  <c r="Q4625"/>
  <c r="Q4626"/>
  <c r="Q4627"/>
  <c r="Q4628"/>
  <c r="Q4629"/>
  <c r="Q4630"/>
  <c r="Q4631"/>
  <c r="Q4632"/>
  <c r="Q4633"/>
  <c r="Q4634"/>
  <c r="Q4635"/>
  <c r="Q4636"/>
  <c r="Q4637"/>
  <c r="Q4638"/>
  <c r="Q4639"/>
  <c r="Q4640"/>
  <c r="Q4641"/>
  <c r="Q4642"/>
  <c r="Q4643"/>
  <c r="Q4644"/>
  <c r="Q4645"/>
  <c r="Q4646"/>
  <c r="Q4647"/>
  <c r="Q4648"/>
  <c r="Q4649"/>
  <c r="Q4650"/>
  <c r="Q4651"/>
  <c r="Q4652"/>
  <c r="Q4653"/>
  <c r="Q4654"/>
  <c r="Q4655"/>
  <c r="Q4656"/>
  <c r="Q4657"/>
  <c r="Q4658"/>
  <c r="Q4659"/>
  <c r="Q4660"/>
  <c r="Q4661"/>
  <c r="Q4662"/>
  <c r="Q4663"/>
  <c r="Q4664"/>
  <c r="Q4665"/>
  <c r="Q4666"/>
  <c r="Q4667"/>
  <c r="Q4668"/>
  <c r="Q4669"/>
  <c r="Q4670"/>
  <c r="Q4671"/>
  <c r="Q4672"/>
  <c r="Q4673"/>
  <c r="Q4674"/>
  <c r="Q4675"/>
  <c r="Q4676"/>
  <c r="Q4677"/>
  <c r="Q4678"/>
  <c r="Q4679"/>
  <c r="Q4680"/>
  <c r="Q4681"/>
  <c r="Q4682"/>
  <c r="Q4683"/>
  <c r="Q4684"/>
  <c r="Q4685"/>
  <c r="Q4686"/>
  <c r="Q4687"/>
  <c r="Q4688"/>
  <c r="Q4689"/>
  <c r="Q4690"/>
  <c r="Q4691"/>
  <c r="Q4692"/>
  <c r="Q4693"/>
  <c r="Q4694"/>
  <c r="Q4695"/>
  <c r="Q4696"/>
  <c r="Q4697"/>
  <c r="Q4698"/>
  <c r="Q4699"/>
  <c r="Q4700"/>
  <c r="Q4701"/>
  <c r="Q4702"/>
  <c r="Q4703"/>
  <c r="Q4704"/>
  <c r="Q4705"/>
  <c r="Q4706"/>
  <c r="Q4707"/>
  <c r="Q4708"/>
  <c r="Q4709"/>
  <c r="Q4710"/>
  <c r="Q4711"/>
  <c r="Q4712"/>
  <c r="Q4713"/>
  <c r="Q4714"/>
  <c r="Q4715"/>
  <c r="Q4716"/>
  <c r="Q4717"/>
  <c r="Q4718"/>
  <c r="Q4719"/>
  <c r="Q4720"/>
  <c r="Q4721"/>
  <c r="Q4722"/>
  <c r="Q4723"/>
  <c r="Q4724"/>
  <c r="Q4725"/>
  <c r="Q4726"/>
  <c r="Q4727"/>
  <c r="Q4728"/>
  <c r="Q4729"/>
  <c r="Q4730"/>
  <c r="Q4731"/>
  <c r="Q4732"/>
  <c r="Q4733"/>
  <c r="Q4734"/>
  <c r="Q4735"/>
  <c r="Q4736"/>
  <c r="Q4737"/>
  <c r="Q4738"/>
  <c r="Q4739"/>
  <c r="Q4740"/>
  <c r="Q4741"/>
  <c r="Q4742"/>
  <c r="Q4743"/>
  <c r="Q4744"/>
  <c r="Q4745"/>
  <c r="Q4746"/>
  <c r="Q4747"/>
  <c r="Q4748"/>
  <c r="Q4749"/>
  <c r="Q4750"/>
  <c r="Q4751"/>
  <c r="Q4752"/>
  <c r="Q4753"/>
  <c r="Q4754"/>
  <c r="Q4755"/>
  <c r="Q4756"/>
  <c r="Q4757"/>
  <c r="Q4758"/>
  <c r="Q4759"/>
  <c r="Q4760"/>
  <c r="Q4761"/>
  <c r="Q4762"/>
  <c r="Q4763"/>
  <c r="Q4764"/>
  <c r="Q4765"/>
  <c r="Q4766"/>
  <c r="Q4767"/>
  <c r="Q4768"/>
  <c r="Q4769"/>
  <c r="Q4770"/>
  <c r="Q4771"/>
  <c r="Q4772"/>
  <c r="Q4773"/>
  <c r="Q4774"/>
  <c r="Q4775"/>
  <c r="Q4776"/>
  <c r="Q4777"/>
  <c r="Q4778"/>
  <c r="Q4779"/>
  <c r="Q4780"/>
  <c r="Q4781"/>
  <c r="Q4782"/>
  <c r="Q4783"/>
  <c r="Q4784"/>
  <c r="Q4785"/>
  <c r="Q4786"/>
  <c r="Q4787"/>
  <c r="Q4788"/>
  <c r="Q4789"/>
  <c r="Q4790"/>
  <c r="Q4791"/>
  <c r="Q4792"/>
  <c r="Q4793"/>
  <c r="Q4794"/>
  <c r="Q4795"/>
  <c r="Q4796"/>
  <c r="Q4797"/>
  <c r="Q4798"/>
  <c r="Q4799"/>
  <c r="Q4800"/>
  <c r="Q4801"/>
  <c r="Q4802"/>
  <c r="Q4803"/>
  <c r="Q4804"/>
  <c r="Q4805"/>
  <c r="Q4806"/>
  <c r="Q4807"/>
  <c r="Q4808"/>
  <c r="Q4809"/>
  <c r="Q4810"/>
  <c r="Q4811"/>
  <c r="Q4812"/>
  <c r="Q4813"/>
  <c r="Q4814"/>
  <c r="Q4815"/>
  <c r="Q4816"/>
  <c r="Q4817"/>
  <c r="Q4818"/>
  <c r="Q4819"/>
  <c r="Q4820"/>
  <c r="Q4821"/>
  <c r="Q4822"/>
  <c r="Q4823"/>
  <c r="Q4824"/>
  <c r="Q4825"/>
  <c r="Q4826"/>
  <c r="Q4827"/>
  <c r="Q4828"/>
  <c r="Q4829"/>
  <c r="Q4830"/>
  <c r="Q4831"/>
  <c r="Q4832"/>
  <c r="Q4833"/>
  <c r="Q4834"/>
  <c r="Q4835"/>
  <c r="Q4836"/>
  <c r="Q4837"/>
  <c r="Q4838"/>
  <c r="Q4839"/>
  <c r="Q4840"/>
  <c r="Q4841"/>
  <c r="Q4842"/>
  <c r="Q4843"/>
  <c r="Q4844"/>
  <c r="Q4845"/>
  <c r="Q4846"/>
  <c r="Q4847"/>
  <c r="Q4848"/>
  <c r="Q4849"/>
  <c r="Q4850"/>
  <c r="Q4851"/>
  <c r="Q4852"/>
  <c r="Q4853"/>
  <c r="Q4854"/>
  <c r="Q4855"/>
  <c r="Q4856"/>
  <c r="Q4857"/>
  <c r="Q4858"/>
  <c r="Q4859"/>
  <c r="Q4860"/>
  <c r="Q4861"/>
  <c r="Q4862"/>
  <c r="Q4863"/>
  <c r="Q4864"/>
  <c r="Q4865"/>
  <c r="Q4866"/>
  <c r="Q4867"/>
  <c r="Q4868"/>
  <c r="Q4869"/>
  <c r="Q4870"/>
  <c r="Q4871"/>
  <c r="Q4872"/>
  <c r="Q4873"/>
  <c r="Q4874"/>
  <c r="Q4875"/>
  <c r="Q4876"/>
  <c r="Q4877"/>
  <c r="Q4878"/>
  <c r="Q4879"/>
  <c r="Q4880"/>
  <c r="Q4881"/>
  <c r="Q4882"/>
  <c r="Q4883"/>
  <c r="Q4884"/>
  <c r="Q4885"/>
  <c r="Q4886"/>
  <c r="Q4887"/>
  <c r="Q4888"/>
  <c r="Q4889"/>
  <c r="Q4890"/>
  <c r="Q4891"/>
  <c r="Q4892"/>
  <c r="Q4893"/>
  <c r="Q4894"/>
  <c r="Q4895"/>
  <c r="Q4896"/>
  <c r="Q4897"/>
  <c r="Q4898"/>
  <c r="Q4899"/>
  <c r="Q4900"/>
  <c r="Q4901"/>
  <c r="Q4902"/>
  <c r="Q4903"/>
  <c r="Q4904"/>
  <c r="Q4905"/>
  <c r="Q4906"/>
  <c r="Q4907"/>
  <c r="Q4908"/>
  <c r="Q4909"/>
  <c r="Q4910"/>
  <c r="Q4911"/>
  <c r="Q4912"/>
  <c r="Q4913"/>
  <c r="Q4914"/>
  <c r="Q4915"/>
  <c r="Q4916"/>
  <c r="Q4917"/>
  <c r="Q4918"/>
  <c r="Q4919"/>
  <c r="Q4920"/>
  <c r="Q4921"/>
  <c r="Q4922"/>
  <c r="Q4923"/>
  <c r="Q4924"/>
  <c r="Q4925"/>
  <c r="Q4926"/>
  <c r="Q4927"/>
  <c r="Q4928"/>
  <c r="Q4929"/>
  <c r="Q4930"/>
  <c r="Q4931"/>
  <c r="Q4932"/>
  <c r="Q4933"/>
  <c r="Q4934"/>
  <c r="Q4935"/>
  <c r="Q4936"/>
  <c r="Q4937"/>
  <c r="Q4938"/>
  <c r="Q4939"/>
  <c r="Q4940"/>
  <c r="Q4941"/>
  <c r="Q4942"/>
  <c r="Q4943"/>
  <c r="Q4944"/>
  <c r="Q4945"/>
  <c r="Q4946"/>
  <c r="Q4947"/>
  <c r="Q4948"/>
  <c r="Q4949"/>
  <c r="Q4950"/>
  <c r="Q4951"/>
  <c r="Q4952"/>
  <c r="Q4953"/>
  <c r="Q4954"/>
  <c r="Q4955"/>
  <c r="Q4956"/>
  <c r="Q4957"/>
  <c r="Q4958"/>
  <c r="Q4959"/>
  <c r="Q4960"/>
  <c r="Q4961"/>
  <c r="Q4962"/>
  <c r="Q4963"/>
  <c r="Q4964"/>
  <c r="Q4965"/>
  <c r="Q4966"/>
  <c r="Q4967"/>
  <c r="Q4968"/>
  <c r="Q4969"/>
  <c r="Q4970"/>
  <c r="Q4971"/>
  <c r="Q4972"/>
  <c r="Q4973"/>
  <c r="Q4974"/>
  <c r="Q4975"/>
  <c r="Q4976"/>
  <c r="Q4977"/>
  <c r="Q4978"/>
  <c r="Q4979"/>
  <c r="Q4980"/>
  <c r="Q4981"/>
  <c r="Q4982"/>
  <c r="Q4983"/>
  <c r="Q4984"/>
  <c r="Q4985"/>
  <c r="Q4986"/>
  <c r="Q4987"/>
  <c r="Q4988"/>
  <c r="Q4989"/>
  <c r="Q4990"/>
  <c r="Q4991"/>
  <c r="Q4992"/>
  <c r="Q4993"/>
  <c r="Q4994"/>
  <c r="Q4995"/>
  <c r="Q4996"/>
  <c r="Q4997"/>
  <c r="Q4998"/>
  <c r="Q4999"/>
  <c r="Q5000"/>
  <c r="Q5001"/>
  <c r="Q5002"/>
  <c r="Q5003"/>
  <c r="Q5004"/>
  <c r="Q5005"/>
  <c r="Q5006"/>
  <c r="Q5007"/>
  <c r="Q5008"/>
  <c r="Q5009"/>
  <c r="Q5010"/>
  <c r="Q5011"/>
  <c r="Q5012"/>
  <c r="Q5013"/>
  <c r="Q5014"/>
  <c r="Q5015"/>
  <c r="Q5016"/>
  <c r="Q5017"/>
  <c r="Q5018"/>
  <c r="Q5019"/>
  <c r="Q5020"/>
  <c r="Q5021"/>
  <c r="Q5022"/>
  <c r="Q5023"/>
  <c r="Q5024"/>
  <c r="Q5025"/>
  <c r="Q5026"/>
  <c r="Q5027"/>
  <c r="Q5028"/>
  <c r="Q5029"/>
  <c r="Q5030"/>
  <c r="Q5031"/>
  <c r="Q5032"/>
  <c r="Q5033"/>
  <c r="Q5034"/>
  <c r="Q5035"/>
  <c r="Q5036"/>
  <c r="Q5037"/>
  <c r="Q5038"/>
  <c r="Q5039"/>
  <c r="Q5040"/>
  <c r="Q5041"/>
  <c r="Q5042"/>
  <c r="Q5043"/>
  <c r="Q5044"/>
  <c r="Q5045"/>
  <c r="Q5046"/>
  <c r="Q5047"/>
  <c r="Q5048"/>
  <c r="Q5049"/>
  <c r="Q5050"/>
  <c r="Q5051"/>
  <c r="Q5052"/>
  <c r="Q5053"/>
  <c r="Q5054"/>
  <c r="Q5055"/>
  <c r="Q5056"/>
  <c r="Q5057"/>
  <c r="Q5058"/>
  <c r="Q5059"/>
  <c r="Q5060"/>
  <c r="Q5061"/>
  <c r="Q5062"/>
  <c r="Q5063"/>
  <c r="Q5064"/>
  <c r="Q5065"/>
  <c r="Q5066"/>
  <c r="Q5067"/>
  <c r="Q5068"/>
  <c r="Q5069"/>
  <c r="Q5070"/>
  <c r="Q5071"/>
  <c r="Q5072"/>
  <c r="Q5073"/>
  <c r="Q5074"/>
  <c r="Q5075"/>
  <c r="Q5076"/>
  <c r="Q5077"/>
  <c r="Q5078"/>
  <c r="Q5079"/>
  <c r="Q5080"/>
  <c r="Q5081"/>
  <c r="Q5082"/>
  <c r="Q5083"/>
  <c r="Q5084"/>
  <c r="Q5085"/>
  <c r="Q5086"/>
  <c r="Q5087"/>
  <c r="Q5088"/>
  <c r="Q5089"/>
  <c r="Q5090"/>
  <c r="Q5091"/>
  <c r="Q5092"/>
  <c r="Q5093"/>
  <c r="Q5094"/>
  <c r="Q5095"/>
  <c r="Q5096"/>
  <c r="Q5097"/>
  <c r="Q5098"/>
  <c r="Q5099"/>
  <c r="Q5100"/>
  <c r="Q5101"/>
  <c r="Q5102"/>
  <c r="Q5103"/>
  <c r="Q5104"/>
  <c r="Q5105"/>
  <c r="Q5106"/>
  <c r="Q5107"/>
  <c r="Q5108"/>
  <c r="Q5109"/>
  <c r="Q5110"/>
  <c r="Q5111"/>
  <c r="Q5112"/>
  <c r="Q5113"/>
  <c r="Q5114"/>
  <c r="Q5115"/>
  <c r="Q5116"/>
  <c r="Q5117"/>
  <c r="Q5118"/>
  <c r="Q5119"/>
  <c r="Q5120"/>
  <c r="Q5121"/>
  <c r="Q5122"/>
  <c r="Q5123"/>
  <c r="Q5124"/>
  <c r="Q5125"/>
  <c r="Q5126"/>
  <c r="Q5127"/>
  <c r="Q5128"/>
  <c r="Q5129"/>
  <c r="Q5130"/>
  <c r="Q5131"/>
  <c r="Q5132"/>
  <c r="Q5133"/>
  <c r="Q5134"/>
  <c r="Q5135"/>
  <c r="Q5136"/>
  <c r="Q5137"/>
  <c r="Q5138"/>
  <c r="Q5139"/>
  <c r="Q5140"/>
  <c r="Q5141"/>
  <c r="Q5142"/>
  <c r="Q5143"/>
  <c r="Q5144"/>
  <c r="Q5145"/>
  <c r="Q5146"/>
  <c r="Q5147"/>
  <c r="Q5148"/>
  <c r="Q5149"/>
  <c r="Q5150"/>
  <c r="Q5151"/>
  <c r="Q5152"/>
  <c r="Q5153"/>
  <c r="Q5154"/>
  <c r="Q5155"/>
  <c r="Q5156"/>
  <c r="Q5157"/>
  <c r="Q5158"/>
  <c r="Q5159"/>
  <c r="Q5160"/>
  <c r="Q5161"/>
  <c r="Q5162"/>
  <c r="Q5163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8"/>
  <c r="R1049"/>
  <c r="R1050"/>
  <c r="R1051"/>
  <c r="R1052"/>
  <c r="R1053"/>
  <c r="R1054"/>
  <c r="R1055"/>
  <c r="R1056"/>
  <c r="R1057"/>
  <c r="R1058"/>
  <c r="R1059"/>
  <c r="R1060"/>
  <c r="R1061"/>
  <c r="R1062"/>
  <c r="R1063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1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6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223"/>
  <c r="R1224"/>
  <c r="R1225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R1254"/>
  <c r="R1255"/>
  <c r="R1256"/>
  <c r="R1257"/>
  <c r="R1258"/>
  <c r="R1259"/>
  <c r="R1260"/>
  <c r="R1261"/>
  <c r="R1262"/>
  <c r="R1263"/>
  <c r="R1264"/>
  <c r="R1265"/>
  <c r="R1266"/>
  <c r="R1267"/>
  <c r="R1268"/>
  <c r="R1269"/>
  <c r="R1270"/>
  <c r="R1271"/>
  <c r="R1272"/>
  <c r="R1273"/>
  <c r="R1274"/>
  <c r="R1275"/>
  <c r="R1276"/>
  <c r="R1277"/>
  <c r="R1278"/>
  <c r="R1279"/>
  <c r="R1280"/>
  <c r="R1281"/>
  <c r="R1282"/>
  <c r="R1283"/>
  <c r="R1284"/>
  <c r="R1285"/>
  <c r="R1286"/>
  <c r="R1287"/>
  <c r="R1288"/>
  <c r="R1289"/>
  <c r="R1290"/>
  <c r="R1291"/>
  <c r="R1292"/>
  <c r="R1293"/>
  <c r="R1294"/>
  <c r="R1295"/>
  <c r="R1296"/>
  <c r="R1297"/>
  <c r="R1298"/>
  <c r="R1299"/>
  <c r="R1300"/>
  <c r="R1301"/>
  <c r="R1302"/>
  <c r="R1303"/>
  <c r="R1304"/>
  <c r="R1305"/>
  <c r="R1306"/>
  <c r="R1307"/>
  <c r="R1308"/>
  <c r="R1309"/>
  <c r="R1310"/>
  <c r="R1311"/>
  <c r="R1312"/>
  <c r="R1313"/>
  <c r="R1314"/>
  <c r="R1315"/>
  <c r="R1316"/>
  <c r="R1317"/>
  <c r="R1318"/>
  <c r="R1319"/>
  <c r="R1320"/>
  <c r="R1321"/>
  <c r="R1322"/>
  <c r="R1323"/>
  <c r="R1324"/>
  <c r="R1325"/>
  <c r="R1326"/>
  <c r="R1327"/>
  <c r="R1328"/>
  <c r="R1329"/>
  <c r="R1330"/>
  <c r="R1331"/>
  <c r="R1332"/>
  <c r="R1333"/>
  <c r="R1334"/>
  <c r="R1335"/>
  <c r="R1336"/>
  <c r="R1337"/>
  <c r="R1338"/>
  <c r="R1339"/>
  <c r="R1340"/>
  <c r="R1341"/>
  <c r="R1342"/>
  <c r="R1343"/>
  <c r="R1344"/>
  <c r="R1345"/>
  <c r="R1346"/>
  <c r="R1347"/>
  <c r="R1348"/>
  <c r="R1349"/>
  <c r="R1350"/>
  <c r="R1351"/>
  <c r="R1352"/>
  <c r="R1353"/>
  <c r="R1354"/>
  <c r="R1355"/>
  <c r="R1356"/>
  <c r="R1357"/>
  <c r="R1358"/>
  <c r="R1359"/>
  <c r="R1360"/>
  <c r="R1361"/>
  <c r="R1362"/>
  <c r="R1363"/>
  <c r="R1364"/>
  <c r="R1365"/>
  <c r="R1366"/>
  <c r="R1367"/>
  <c r="R1368"/>
  <c r="R1369"/>
  <c r="R1370"/>
  <c r="R1371"/>
  <c r="R1372"/>
  <c r="R1373"/>
  <c r="R1374"/>
  <c r="R1375"/>
  <c r="R1376"/>
  <c r="R1377"/>
  <c r="R1378"/>
  <c r="R1379"/>
  <c r="R1380"/>
  <c r="R1381"/>
  <c r="R1382"/>
  <c r="R1383"/>
  <c r="R1384"/>
  <c r="R1385"/>
  <c r="R1386"/>
  <c r="R1387"/>
  <c r="R1388"/>
  <c r="R1389"/>
  <c r="R1390"/>
  <c r="R1391"/>
  <c r="R1392"/>
  <c r="R1393"/>
  <c r="R1394"/>
  <c r="R1395"/>
  <c r="R1396"/>
  <c r="R1397"/>
  <c r="R1398"/>
  <c r="R1399"/>
  <c r="R1400"/>
  <c r="R1401"/>
  <c r="R1402"/>
  <c r="R1403"/>
  <c r="R1404"/>
  <c r="R1405"/>
  <c r="R1406"/>
  <c r="R1407"/>
  <c r="R1408"/>
  <c r="R1409"/>
  <c r="R1410"/>
  <c r="R1411"/>
  <c r="R1412"/>
  <c r="R1413"/>
  <c r="R1414"/>
  <c r="R1415"/>
  <c r="R1416"/>
  <c r="R1417"/>
  <c r="R1418"/>
  <c r="R1419"/>
  <c r="R1420"/>
  <c r="R1421"/>
  <c r="R1422"/>
  <c r="R1423"/>
  <c r="R1424"/>
  <c r="R1425"/>
  <c r="R1426"/>
  <c r="R1427"/>
  <c r="R1428"/>
  <c r="R1429"/>
  <c r="R1430"/>
  <c r="R1431"/>
  <c r="R1432"/>
  <c r="R1433"/>
  <c r="R1434"/>
  <c r="R1435"/>
  <c r="R1436"/>
  <c r="R1437"/>
  <c r="R1438"/>
  <c r="R1439"/>
  <c r="R1440"/>
  <c r="R1441"/>
  <c r="R1442"/>
  <c r="R1443"/>
  <c r="R1444"/>
  <c r="R1445"/>
  <c r="R1446"/>
  <c r="R1447"/>
  <c r="R1448"/>
  <c r="R1449"/>
  <c r="R1450"/>
  <c r="R1451"/>
  <c r="R1452"/>
  <c r="R1453"/>
  <c r="R1454"/>
  <c r="R1455"/>
  <c r="R1456"/>
  <c r="R1457"/>
  <c r="R1458"/>
  <c r="R1459"/>
  <c r="R1460"/>
  <c r="R1461"/>
  <c r="R1462"/>
  <c r="R1463"/>
  <c r="R1464"/>
  <c r="R1465"/>
  <c r="R1466"/>
  <c r="R1467"/>
  <c r="R1468"/>
  <c r="R1469"/>
  <c r="R1470"/>
  <c r="R1471"/>
  <c r="R1472"/>
  <c r="R1473"/>
  <c r="R1474"/>
  <c r="R1475"/>
  <c r="R1476"/>
  <c r="R1477"/>
  <c r="R1478"/>
  <c r="R1479"/>
  <c r="R1480"/>
  <c r="R1481"/>
  <c r="R1482"/>
  <c r="R1483"/>
  <c r="R1484"/>
  <c r="R1485"/>
  <c r="R1486"/>
  <c r="R1487"/>
  <c r="R1488"/>
  <c r="R1489"/>
  <c r="R1490"/>
  <c r="R1491"/>
  <c r="R1492"/>
  <c r="R1493"/>
  <c r="R1494"/>
  <c r="R1495"/>
  <c r="R1496"/>
  <c r="R1497"/>
  <c r="R1498"/>
  <c r="R1499"/>
  <c r="R1500"/>
  <c r="R1501"/>
  <c r="R1502"/>
  <c r="R1503"/>
  <c r="R1504"/>
  <c r="R1505"/>
  <c r="R1506"/>
  <c r="R1507"/>
  <c r="R1508"/>
  <c r="R1509"/>
  <c r="R1510"/>
  <c r="R1511"/>
  <c r="R1512"/>
  <c r="R1513"/>
  <c r="R1514"/>
  <c r="R1515"/>
  <c r="R1516"/>
  <c r="R1517"/>
  <c r="R1518"/>
  <c r="R1519"/>
  <c r="R1520"/>
  <c r="R1521"/>
  <c r="R1522"/>
  <c r="R1523"/>
  <c r="R1524"/>
  <c r="R1525"/>
  <c r="R1526"/>
  <c r="R1527"/>
  <c r="R1528"/>
  <c r="R1529"/>
  <c r="R1530"/>
  <c r="R1531"/>
  <c r="R1532"/>
  <c r="R1533"/>
  <c r="R1534"/>
  <c r="R1535"/>
  <c r="R1536"/>
  <c r="R1537"/>
  <c r="R1538"/>
  <c r="R1539"/>
  <c r="R1540"/>
  <c r="R1541"/>
  <c r="R1542"/>
  <c r="R1543"/>
  <c r="R1544"/>
  <c r="R1545"/>
  <c r="R1546"/>
  <c r="R1547"/>
  <c r="R1548"/>
  <c r="R1549"/>
  <c r="R1550"/>
  <c r="R1551"/>
  <c r="R1552"/>
  <c r="R1553"/>
  <c r="R1554"/>
  <c r="R1555"/>
  <c r="R1556"/>
  <c r="R1557"/>
  <c r="R1558"/>
  <c r="R1559"/>
  <c r="R1560"/>
  <c r="R1561"/>
  <c r="R1562"/>
  <c r="R1563"/>
  <c r="R1564"/>
  <c r="R1565"/>
  <c r="R1566"/>
  <c r="R1567"/>
  <c r="R1568"/>
  <c r="R1569"/>
  <c r="R1570"/>
  <c r="R1571"/>
  <c r="R1572"/>
  <c r="R1573"/>
  <c r="R1574"/>
  <c r="R1575"/>
  <c r="R1576"/>
  <c r="R1577"/>
  <c r="R1578"/>
  <c r="R1579"/>
  <c r="R1580"/>
  <c r="R1581"/>
  <c r="R1582"/>
  <c r="R1583"/>
  <c r="R1584"/>
  <c r="R1585"/>
  <c r="R1586"/>
  <c r="R1587"/>
  <c r="R1588"/>
  <c r="R1589"/>
  <c r="R1590"/>
  <c r="R1591"/>
  <c r="R1592"/>
  <c r="R1593"/>
  <c r="R1594"/>
  <c r="R1595"/>
  <c r="R1596"/>
  <c r="R1597"/>
  <c r="R1598"/>
  <c r="R1599"/>
  <c r="R1600"/>
  <c r="R1601"/>
  <c r="R1602"/>
  <c r="R1603"/>
  <c r="R1604"/>
  <c r="R1605"/>
  <c r="R1606"/>
  <c r="R1607"/>
  <c r="R1608"/>
  <c r="R1609"/>
  <c r="R1610"/>
  <c r="R1611"/>
  <c r="R1612"/>
  <c r="R1613"/>
  <c r="R1614"/>
  <c r="R1615"/>
  <c r="R1616"/>
  <c r="R1617"/>
  <c r="R1618"/>
  <c r="R1619"/>
  <c r="R1620"/>
  <c r="R1621"/>
  <c r="R1622"/>
  <c r="R1623"/>
  <c r="R1624"/>
  <c r="R1625"/>
  <c r="R1626"/>
  <c r="R1627"/>
  <c r="R1628"/>
  <c r="R1629"/>
  <c r="R1630"/>
  <c r="R1631"/>
  <c r="R1632"/>
  <c r="R1633"/>
  <c r="R1634"/>
  <c r="R1635"/>
  <c r="R1636"/>
  <c r="R1637"/>
  <c r="R1638"/>
  <c r="R1639"/>
  <c r="R1640"/>
  <c r="R1641"/>
  <c r="R1642"/>
  <c r="R1643"/>
  <c r="R1644"/>
  <c r="R1645"/>
  <c r="R1646"/>
  <c r="R1647"/>
  <c r="R1648"/>
  <c r="R1649"/>
  <c r="R1650"/>
  <c r="R1651"/>
  <c r="R1652"/>
  <c r="R1653"/>
  <c r="R1654"/>
  <c r="R1655"/>
  <c r="R1656"/>
  <c r="R1657"/>
  <c r="R1658"/>
  <c r="R1659"/>
  <c r="R1660"/>
  <c r="R1661"/>
  <c r="R1662"/>
  <c r="R1663"/>
  <c r="R1664"/>
  <c r="R1665"/>
  <c r="R1666"/>
  <c r="R1667"/>
  <c r="R1668"/>
  <c r="R1669"/>
  <c r="R1670"/>
  <c r="R1671"/>
  <c r="R1672"/>
  <c r="R1673"/>
  <c r="R1674"/>
  <c r="R1675"/>
  <c r="R1676"/>
  <c r="R1677"/>
  <c r="R1678"/>
  <c r="R1679"/>
  <c r="R1680"/>
  <c r="R1681"/>
  <c r="R1682"/>
  <c r="R1683"/>
  <c r="R1684"/>
  <c r="R1685"/>
  <c r="R1686"/>
  <c r="R1687"/>
  <c r="R1688"/>
  <c r="R1689"/>
  <c r="R1690"/>
  <c r="R1691"/>
  <c r="R1692"/>
  <c r="R1693"/>
  <c r="R1694"/>
  <c r="R1695"/>
  <c r="R1696"/>
  <c r="R1697"/>
  <c r="R1698"/>
  <c r="R1699"/>
  <c r="R1700"/>
  <c r="R1701"/>
  <c r="R1702"/>
  <c r="R1703"/>
  <c r="R1704"/>
  <c r="R1705"/>
  <c r="R1706"/>
  <c r="R1707"/>
  <c r="R1708"/>
  <c r="R1709"/>
  <c r="R1710"/>
  <c r="R1711"/>
  <c r="R1712"/>
  <c r="R1713"/>
  <c r="R1714"/>
  <c r="R1715"/>
  <c r="R1716"/>
  <c r="R1717"/>
  <c r="R1718"/>
  <c r="R1719"/>
  <c r="R1720"/>
  <c r="R1721"/>
  <c r="R1722"/>
  <c r="R1723"/>
  <c r="R1724"/>
  <c r="R1725"/>
  <c r="R1726"/>
  <c r="R1727"/>
  <c r="R1728"/>
  <c r="R1729"/>
  <c r="R1730"/>
  <c r="R1731"/>
  <c r="R1732"/>
  <c r="R1733"/>
  <c r="R1734"/>
  <c r="R1735"/>
  <c r="R1736"/>
  <c r="R1737"/>
  <c r="R1738"/>
  <c r="R1739"/>
  <c r="R1740"/>
  <c r="R1741"/>
  <c r="R1742"/>
  <c r="R1743"/>
  <c r="R1744"/>
  <c r="R1745"/>
  <c r="R1746"/>
  <c r="R1747"/>
  <c r="R1748"/>
  <c r="R1749"/>
  <c r="R1750"/>
  <c r="R1751"/>
  <c r="R1752"/>
  <c r="R1753"/>
  <c r="R1754"/>
  <c r="R1755"/>
  <c r="R1756"/>
  <c r="R1757"/>
  <c r="R1758"/>
  <c r="R1759"/>
  <c r="R1760"/>
  <c r="R1761"/>
  <c r="R1762"/>
  <c r="R1763"/>
  <c r="R1764"/>
  <c r="R1765"/>
  <c r="R1766"/>
  <c r="R1767"/>
  <c r="R1768"/>
  <c r="R1769"/>
  <c r="R1770"/>
  <c r="R1771"/>
  <c r="R1772"/>
  <c r="R1773"/>
  <c r="R1774"/>
  <c r="R1775"/>
  <c r="R1776"/>
  <c r="R1777"/>
  <c r="R1778"/>
  <c r="R1779"/>
  <c r="R1780"/>
  <c r="R1781"/>
  <c r="R1782"/>
  <c r="R1783"/>
  <c r="R1784"/>
  <c r="R1785"/>
  <c r="R1786"/>
  <c r="R1787"/>
  <c r="R1788"/>
  <c r="R1789"/>
  <c r="R1790"/>
  <c r="R1791"/>
  <c r="R1792"/>
  <c r="R1793"/>
  <c r="R1794"/>
  <c r="R1795"/>
  <c r="R1796"/>
  <c r="R1797"/>
  <c r="R1798"/>
  <c r="R1799"/>
  <c r="R1800"/>
  <c r="R1801"/>
  <c r="R1802"/>
  <c r="R1803"/>
  <c r="R1804"/>
  <c r="R1805"/>
  <c r="R1806"/>
  <c r="R1807"/>
  <c r="R1808"/>
  <c r="R1809"/>
  <c r="R1810"/>
  <c r="R1811"/>
  <c r="R1812"/>
  <c r="R1813"/>
  <c r="R1814"/>
  <c r="R1815"/>
  <c r="R1816"/>
  <c r="R1817"/>
  <c r="R1818"/>
  <c r="R1819"/>
  <c r="R1820"/>
  <c r="R1821"/>
  <c r="R1822"/>
  <c r="R1823"/>
  <c r="R1824"/>
  <c r="R1825"/>
  <c r="R1826"/>
  <c r="R1827"/>
  <c r="R1828"/>
  <c r="R1829"/>
  <c r="R1830"/>
  <c r="R1831"/>
  <c r="R1832"/>
  <c r="R1833"/>
  <c r="R1834"/>
  <c r="R1835"/>
  <c r="R1836"/>
  <c r="R1837"/>
  <c r="R1838"/>
  <c r="R1839"/>
  <c r="R1840"/>
  <c r="R1841"/>
  <c r="R1842"/>
  <c r="R1843"/>
  <c r="R1844"/>
  <c r="R1845"/>
  <c r="R1846"/>
  <c r="R1847"/>
  <c r="R1848"/>
  <c r="R1849"/>
  <c r="R1850"/>
  <c r="R1851"/>
  <c r="R1852"/>
  <c r="R1853"/>
  <c r="R1854"/>
  <c r="R1855"/>
  <c r="R1856"/>
  <c r="R1857"/>
  <c r="R1858"/>
  <c r="R1859"/>
  <c r="R1860"/>
  <c r="R1861"/>
  <c r="R1862"/>
  <c r="R1863"/>
  <c r="R1864"/>
  <c r="R1865"/>
  <c r="R1866"/>
  <c r="R1867"/>
  <c r="R1868"/>
  <c r="R1869"/>
  <c r="R1870"/>
  <c r="R1871"/>
  <c r="R1872"/>
  <c r="R1873"/>
  <c r="R1874"/>
  <c r="R1875"/>
  <c r="R1876"/>
  <c r="R1877"/>
  <c r="R1878"/>
  <c r="R1879"/>
  <c r="R1880"/>
  <c r="R1881"/>
  <c r="R1882"/>
  <c r="R1883"/>
  <c r="R1884"/>
  <c r="R1885"/>
  <c r="R1886"/>
  <c r="R1887"/>
  <c r="R1888"/>
  <c r="R1889"/>
  <c r="R1890"/>
  <c r="R1891"/>
  <c r="R1892"/>
  <c r="R1893"/>
  <c r="R1894"/>
  <c r="R1895"/>
  <c r="R1896"/>
  <c r="R1897"/>
  <c r="R1898"/>
  <c r="R1899"/>
  <c r="R1900"/>
  <c r="R1901"/>
  <c r="R1902"/>
  <c r="R1903"/>
  <c r="R1904"/>
  <c r="R1905"/>
  <c r="R1906"/>
  <c r="R1907"/>
  <c r="R1908"/>
  <c r="R1909"/>
  <c r="R1910"/>
  <c r="R1911"/>
  <c r="R1912"/>
  <c r="R1913"/>
  <c r="R1914"/>
  <c r="R1915"/>
  <c r="R1916"/>
  <c r="R1917"/>
  <c r="R1918"/>
  <c r="R1919"/>
  <c r="R1920"/>
  <c r="R1921"/>
  <c r="R1922"/>
  <c r="R1923"/>
  <c r="R1924"/>
  <c r="R1925"/>
  <c r="R1926"/>
  <c r="R1927"/>
  <c r="R1928"/>
  <c r="R1929"/>
  <c r="R1930"/>
  <c r="R1931"/>
  <c r="R1932"/>
  <c r="R1933"/>
  <c r="R1934"/>
  <c r="R1935"/>
  <c r="R1936"/>
  <c r="R1937"/>
  <c r="R1938"/>
  <c r="R1939"/>
  <c r="R1940"/>
  <c r="R1941"/>
  <c r="R1942"/>
  <c r="R1943"/>
  <c r="R1944"/>
  <c r="R1945"/>
  <c r="R1946"/>
  <c r="R1947"/>
  <c r="R1948"/>
  <c r="R1949"/>
  <c r="R1950"/>
  <c r="R1951"/>
  <c r="R1952"/>
  <c r="R1953"/>
  <c r="R1954"/>
  <c r="R1955"/>
  <c r="R1956"/>
  <c r="R1957"/>
  <c r="R1958"/>
  <c r="R1959"/>
  <c r="R1960"/>
  <c r="R1961"/>
  <c r="R1962"/>
  <c r="R1963"/>
  <c r="R1964"/>
  <c r="R1965"/>
  <c r="R1966"/>
  <c r="R1967"/>
  <c r="R1968"/>
  <c r="R1969"/>
  <c r="R1970"/>
  <c r="R1971"/>
  <c r="R1972"/>
  <c r="R1973"/>
  <c r="R1974"/>
  <c r="R1975"/>
  <c r="R1976"/>
  <c r="R1977"/>
  <c r="R1978"/>
  <c r="R1979"/>
  <c r="R1980"/>
  <c r="R1981"/>
  <c r="R1982"/>
  <c r="R1983"/>
  <c r="R1984"/>
  <c r="R1985"/>
  <c r="R1986"/>
  <c r="R1987"/>
  <c r="R1988"/>
  <c r="R1989"/>
  <c r="R1990"/>
  <c r="R1991"/>
  <c r="R1992"/>
  <c r="R1993"/>
  <c r="R1994"/>
  <c r="R1995"/>
  <c r="R1996"/>
  <c r="R1997"/>
  <c r="R1998"/>
  <c r="R1999"/>
  <c r="R2000"/>
  <c r="R2001"/>
  <c r="R2002"/>
  <c r="R2003"/>
  <c r="R2004"/>
  <c r="R2005"/>
  <c r="R2006"/>
  <c r="R2007"/>
  <c r="R2008"/>
  <c r="R2009"/>
  <c r="R2010"/>
  <c r="R2011"/>
  <c r="R2012"/>
  <c r="R2013"/>
  <c r="R2014"/>
  <c r="R2015"/>
  <c r="R2016"/>
  <c r="R2017"/>
  <c r="R2018"/>
  <c r="R2019"/>
  <c r="R2020"/>
  <c r="R2021"/>
  <c r="R2022"/>
  <c r="R2023"/>
  <c r="R2024"/>
  <c r="R2025"/>
  <c r="R2026"/>
  <c r="R2027"/>
  <c r="R2028"/>
  <c r="R2029"/>
  <c r="R2030"/>
  <c r="R2031"/>
  <c r="R2032"/>
  <c r="R2033"/>
  <c r="R2034"/>
  <c r="R2035"/>
  <c r="R2036"/>
  <c r="R2037"/>
  <c r="R2038"/>
  <c r="R2039"/>
  <c r="R2040"/>
  <c r="R2041"/>
  <c r="R2042"/>
  <c r="R2043"/>
  <c r="R2044"/>
  <c r="R2045"/>
  <c r="R2046"/>
  <c r="R2047"/>
  <c r="R2048"/>
  <c r="R2049"/>
  <c r="R2050"/>
  <c r="R2051"/>
  <c r="R2052"/>
  <c r="R2053"/>
  <c r="R2054"/>
  <c r="R2055"/>
  <c r="R2056"/>
  <c r="R2057"/>
  <c r="R2058"/>
  <c r="R2059"/>
  <c r="R2060"/>
  <c r="R2061"/>
  <c r="R2062"/>
  <c r="R2063"/>
  <c r="R2064"/>
  <c r="R2065"/>
  <c r="R2066"/>
  <c r="R2067"/>
  <c r="R2068"/>
  <c r="R2069"/>
  <c r="R2070"/>
  <c r="R2071"/>
  <c r="R2072"/>
  <c r="R2073"/>
  <c r="R2074"/>
  <c r="R2075"/>
  <c r="R2076"/>
  <c r="R2077"/>
  <c r="R2078"/>
  <c r="R2079"/>
  <c r="R2080"/>
  <c r="R2081"/>
  <c r="R2082"/>
  <c r="R2083"/>
  <c r="R2084"/>
  <c r="R2085"/>
  <c r="R2086"/>
  <c r="R2087"/>
  <c r="R2088"/>
  <c r="R2089"/>
  <c r="R2090"/>
  <c r="R2091"/>
  <c r="R2092"/>
  <c r="R2093"/>
  <c r="R2094"/>
  <c r="R2095"/>
  <c r="R2096"/>
  <c r="R2097"/>
  <c r="R2098"/>
  <c r="R2099"/>
  <c r="R2100"/>
  <c r="R2101"/>
  <c r="R2102"/>
  <c r="R2103"/>
  <c r="R2104"/>
  <c r="R2105"/>
  <c r="R2106"/>
  <c r="R2107"/>
  <c r="R2108"/>
  <c r="R2109"/>
  <c r="R2110"/>
  <c r="R2111"/>
  <c r="R2112"/>
  <c r="R2113"/>
  <c r="R2114"/>
  <c r="R2115"/>
  <c r="R2116"/>
  <c r="R2117"/>
  <c r="R2118"/>
  <c r="R2119"/>
  <c r="R2120"/>
  <c r="R2121"/>
  <c r="R2122"/>
  <c r="R2123"/>
  <c r="R2124"/>
  <c r="R2125"/>
  <c r="R2126"/>
  <c r="R2127"/>
  <c r="R2128"/>
  <c r="R2129"/>
  <c r="R2130"/>
  <c r="R2131"/>
  <c r="R2132"/>
  <c r="R2133"/>
  <c r="R2134"/>
  <c r="R2135"/>
  <c r="R2136"/>
  <c r="R2137"/>
  <c r="R2138"/>
  <c r="R2139"/>
  <c r="R2140"/>
  <c r="R2141"/>
  <c r="R2142"/>
  <c r="R2143"/>
  <c r="R2144"/>
  <c r="R2145"/>
  <c r="R2146"/>
  <c r="R2147"/>
  <c r="R2148"/>
  <c r="R2149"/>
  <c r="R2150"/>
  <c r="R2151"/>
  <c r="R2152"/>
  <c r="R2153"/>
  <c r="R2154"/>
  <c r="R2155"/>
  <c r="R2156"/>
  <c r="R2157"/>
  <c r="R2158"/>
  <c r="R2159"/>
  <c r="R2160"/>
  <c r="R2161"/>
  <c r="R2162"/>
  <c r="R2163"/>
  <c r="R2164"/>
  <c r="R2165"/>
  <c r="R2166"/>
  <c r="R2167"/>
  <c r="R2168"/>
  <c r="R2169"/>
  <c r="R2170"/>
  <c r="R2171"/>
  <c r="R2172"/>
  <c r="R2173"/>
  <c r="R2174"/>
  <c r="R2175"/>
  <c r="R2176"/>
  <c r="R2177"/>
  <c r="R2178"/>
  <c r="R2179"/>
  <c r="R2180"/>
  <c r="R2181"/>
  <c r="R2182"/>
  <c r="R2183"/>
  <c r="R2184"/>
  <c r="R2185"/>
  <c r="R2186"/>
  <c r="R2187"/>
  <c r="R2188"/>
  <c r="R2189"/>
  <c r="R2190"/>
  <c r="R2191"/>
  <c r="R2192"/>
  <c r="R2193"/>
  <c r="R2194"/>
  <c r="R2195"/>
  <c r="R2196"/>
  <c r="R2197"/>
  <c r="R2198"/>
  <c r="R2199"/>
  <c r="R2200"/>
  <c r="R2201"/>
  <c r="R2202"/>
  <c r="R2203"/>
  <c r="R2204"/>
  <c r="R2205"/>
  <c r="R2206"/>
  <c r="R2207"/>
  <c r="R2208"/>
  <c r="R2209"/>
  <c r="R2210"/>
  <c r="R2211"/>
  <c r="R2212"/>
  <c r="R2213"/>
  <c r="R2214"/>
  <c r="R2215"/>
  <c r="R2216"/>
  <c r="R2217"/>
  <c r="R2218"/>
  <c r="R2219"/>
  <c r="R2220"/>
  <c r="R2221"/>
  <c r="R2222"/>
  <c r="R2223"/>
  <c r="R2224"/>
  <c r="R2225"/>
  <c r="R2226"/>
  <c r="R2227"/>
  <c r="R2228"/>
  <c r="R2229"/>
  <c r="R2230"/>
  <c r="R2231"/>
  <c r="R2232"/>
  <c r="R2233"/>
  <c r="R2234"/>
  <c r="R2235"/>
  <c r="R2236"/>
  <c r="R2237"/>
  <c r="R2238"/>
  <c r="R2239"/>
  <c r="R2240"/>
  <c r="R2241"/>
  <c r="R2242"/>
  <c r="R2243"/>
  <c r="R2244"/>
  <c r="R2245"/>
  <c r="R2246"/>
  <c r="R2247"/>
  <c r="R2248"/>
  <c r="R2249"/>
  <c r="R2250"/>
  <c r="R2251"/>
  <c r="R2252"/>
  <c r="R2253"/>
  <c r="R2254"/>
  <c r="R2255"/>
  <c r="R2256"/>
  <c r="R2257"/>
  <c r="R2258"/>
  <c r="R2259"/>
  <c r="R2260"/>
  <c r="R2261"/>
  <c r="R2262"/>
  <c r="R2263"/>
  <c r="R2264"/>
  <c r="R2265"/>
  <c r="R2266"/>
  <c r="R2267"/>
  <c r="R2268"/>
  <c r="R2269"/>
  <c r="R2270"/>
  <c r="R2271"/>
  <c r="R2272"/>
  <c r="R2273"/>
  <c r="R2274"/>
  <c r="R2275"/>
  <c r="R2276"/>
  <c r="R2277"/>
  <c r="R2278"/>
  <c r="R2279"/>
  <c r="R2280"/>
  <c r="R2281"/>
  <c r="R2282"/>
  <c r="R2283"/>
  <c r="R2284"/>
  <c r="R2285"/>
  <c r="R2286"/>
  <c r="R2287"/>
  <c r="R2288"/>
  <c r="R2289"/>
  <c r="R2290"/>
  <c r="R2291"/>
  <c r="R2292"/>
  <c r="R2293"/>
  <c r="R2294"/>
  <c r="R2295"/>
  <c r="R2296"/>
  <c r="R2297"/>
  <c r="R2298"/>
  <c r="R2299"/>
  <c r="R2300"/>
  <c r="R2301"/>
  <c r="R2302"/>
  <c r="R2303"/>
  <c r="R2304"/>
  <c r="R2305"/>
  <c r="R2306"/>
  <c r="R2307"/>
  <c r="R2308"/>
  <c r="R2309"/>
  <c r="R2310"/>
  <c r="R2311"/>
  <c r="R2312"/>
  <c r="R2313"/>
  <c r="R2314"/>
  <c r="R2315"/>
  <c r="R2316"/>
  <c r="R2317"/>
  <c r="R2318"/>
  <c r="R2319"/>
  <c r="R2320"/>
  <c r="R2321"/>
  <c r="R2322"/>
  <c r="R2323"/>
  <c r="R2324"/>
  <c r="R2325"/>
  <c r="R2326"/>
  <c r="R2327"/>
  <c r="R2328"/>
  <c r="R2329"/>
  <c r="R2330"/>
  <c r="R2331"/>
  <c r="R2332"/>
  <c r="R2333"/>
  <c r="R2334"/>
  <c r="R2335"/>
  <c r="R2336"/>
  <c r="R2337"/>
  <c r="R2338"/>
  <c r="R2339"/>
  <c r="R2340"/>
  <c r="R2341"/>
  <c r="R2342"/>
  <c r="R2343"/>
  <c r="R2344"/>
  <c r="R2345"/>
  <c r="R2346"/>
  <c r="R2347"/>
  <c r="R2348"/>
  <c r="R2349"/>
  <c r="R2350"/>
  <c r="R2351"/>
  <c r="R2352"/>
  <c r="R2353"/>
  <c r="R2354"/>
  <c r="R2355"/>
  <c r="R2356"/>
  <c r="R2357"/>
  <c r="R2358"/>
  <c r="R2359"/>
  <c r="R2360"/>
  <c r="R2361"/>
  <c r="R2362"/>
  <c r="R2363"/>
  <c r="R2364"/>
  <c r="R2365"/>
  <c r="R2366"/>
  <c r="R2367"/>
  <c r="R2368"/>
  <c r="R2369"/>
  <c r="R2370"/>
  <c r="R2371"/>
  <c r="R2372"/>
  <c r="R2373"/>
  <c r="R2374"/>
  <c r="R2375"/>
  <c r="R2376"/>
  <c r="R2377"/>
  <c r="R2378"/>
  <c r="R2379"/>
  <c r="R2380"/>
  <c r="R2381"/>
  <c r="R2382"/>
  <c r="R2383"/>
  <c r="R2384"/>
  <c r="R2385"/>
  <c r="R2386"/>
  <c r="R2387"/>
  <c r="R2388"/>
  <c r="R2389"/>
  <c r="R2390"/>
  <c r="R2391"/>
  <c r="R2392"/>
  <c r="R2393"/>
  <c r="R2394"/>
  <c r="R2395"/>
  <c r="R2396"/>
  <c r="R2397"/>
  <c r="R2398"/>
  <c r="R2399"/>
  <c r="R2400"/>
  <c r="R2401"/>
  <c r="R2402"/>
  <c r="R2403"/>
  <c r="R2404"/>
  <c r="R2405"/>
  <c r="R2406"/>
  <c r="R2407"/>
  <c r="R2408"/>
  <c r="R2409"/>
  <c r="R2410"/>
  <c r="R2411"/>
  <c r="R2412"/>
  <c r="R2413"/>
  <c r="R2414"/>
  <c r="R2415"/>
  <c r="R2416"/>
  <c r="R2417"/>
  <c r="R2418"/>
  <c r="R2419"/>
  <c r="R2420"/>
  <c r="R2421"/>
  <c r="R2422"/>
  <c r="R2423"/>
  <c r="R2424"/>
  <c r="R2425"/>
  <c r="R2426"/>
  <c r="R2427"/>
  <c r="R2428"/>
  <c r="R2429"/>
  <c r="R2430"/>
  <c r="R2431"/>
  <c r="R2432"/>
  <c r="R2433"/>
  <c r="R2434"/>
  <c r="R2435"/>
  <c r="R2436"/>
  <c r="R2437"/>
  <c r="R2438"/>
  <c r="R2439"/>
  <c r="R2440"/>
  <c r="R2441"/>
  <c r="R2442"/>
  <c r="R2443"/>
  <c r="R2444"/>
  <c r="R2445"/>
  <c r="R2446"/>
  <c r="R2447"/>
  <c r="R2448"/>
  <c r="R2449"/>
  <c r="R2450"/>
  <c r="R2451"/>
  <c r="R2452"/>
  <c r="R2453"/>
  <c r="R2454"/>
  <c r="R2455"/>
  <c r="R2456"/>
  <c r="R2457"/>
  <c r="R2458"/>
  <c r="R2459"/>
  <c r="R2460"/>
  <c r="R2461"/>
  <c r="R2462"/>
  <c r="R2463"/>
  <c r="R2464"/>
  <c r="R2465"/>
  <c r="R2466"/>
  <c r="R2467"/>
  <c r="R2468"/>
  <c r="R2469"/>
  <c r="R2470"/>
  <c r="R2471"/>
  <c r="R2472"/>
  <c r="R2473"/>
  <c r="R2474"/>
  <c r="R2475"/>
  <c r="R2476"/>
  <c r="R2477"/>
  <c r="R2478"/>
  <c r="R2479"/>
  <c r="R2480"/>
  <c r="R2481"/>
  <c r="R2482"/>
  <c r="R2483"/>
  <c r="R2484"/>
  <c r="R2485"/>
  <c r="R2486"/>
  <c r="R2487"/>
  <c r="R2488"/>
  <c r="R2489"/>
  <c r="R2490"/>
  <c r="R2491"/>
  <c r="R2492"/>
  <c r="R2493"/>
  <c r="R2494"/>
  <c r="R2495"/>
  <c r="R2496"/>
  <c r="R2497"/>
  <c r="R2498"/>
  <c r="R2499"/>
  <c r="R2500"/>
  <c r="R2501"/>
  <c r="R2502"/>
  <c r="R2503"/>
  <c r="R2504"/>
  <c r="R2505"/>
  <c r="R2506"/>
  <c r="R2507"/>
  <c r="R2508"/>
  <c r="R2509"/>
  <c r="R2510"/>
  <c r="R2511"/>
  <c r="R2512"/>
  <c r="R2513"/>
  <c r="R2514"/>
  <c r="R2515"/>
  <c r="R2516"/>
  <c r="R2517"/>
  <c r="R2518"/>
  <c r="R2519"/>
  <c r="R2520"/>
  <c r="R2521"/>
  <c r="R2522"/>
  <c r="R2523"/>
  <c r="R2524"/>
  <c r="R2525"/>
  <c r="R2526"/>
  <c r="R2527"/>
  <c r="R2528"/>
  <c r="R2529"/>
  <c r="R2530"/>
  <c r="R2531"/>
  <c r="R2532"/>
  <c r="R2533"/>
  <c r="R2534"/>
  <c r="R2535"/>
  <c r="R2536"/>
  <c r="R2537"/>
  <c r="R2538"/>
  <c r="R2539"/>
  <c r="R2540"/>
  <c r="R2541"/>
  <c r="R2542"/>
  <c r="R2543"/>
  <c r="R2544"/>
  <c r="R2545"/>
  <c r="R2546"/>
  <c r="R2547"/>
  <c r="R2548"/>
  <c r="R2549"/>
  <c r="R2550"/>
  <c r="R2551"/>
  <c r="R2552"/>
  <c r="R2553"/>
  <c r="R2554"/>
  <c r="R2555"/>
  <c r="R2556"/>
  <c r="R2557"/>
  <c r="R2558"/>
  <c r="R2559"/>
  <c r="R2560"/>
  <c r="R2561"/>
  <c r="R2562"/>
  <c r="R2563"/>
  <c r="R2564"/>
  <c r="R2565"/>
  <c r="R2566"/>
  <c r="R2567"/>
  <c r="R2568"/>
  <c r="R2569"/>
  <c r="R2570"/>
  <c r="R2571"/>
  <c r="R2572"/>
  <c r="R2573"/>
  <c r="R2574"/>
  <c r="R2575"/>
  <c r="R2576"/>
  <c r="R2577"/>
  <c r="R2578"/>
  <c r="R2579"/>
  <c r="R2580"/>
  <c r="R2581"/>
  <c r="R2582"/>
  <c r="R2583"/>
  <c r="R2584"/>
  <c r="R2585"/>
  <c r="R2586"/>
  <c r="R2587"/>
  <c r="R2588"/>
  <c r="R2589"/>
  <c r="R2590"/>
  <c r="R2591"/>
  <c r="R2592"/>
  <c r="R2593"/>
  <c r="R2594"/>
  <c r="R2595"/>
  <c r="R2596"/>
  <c r="R2597"/>
  <c r="R2598"/>
  <c r="R2599"/>
  <c r="R2600"/>
  <c r="R2601"/>
  <c r="R2602"/>
  <c r="R2603"/>
  <c r="R2604"/>
  <c r="R2605"/>
  <c r="R2606"/>
  <c r="R2607"/>
  <c r="R2608"/>
  <c r="R2609"/>
  <c r="R2610"/>
  <c r="R2611"/>
  <c r="R2612"/>
  <c r="R2613"/>
  <c r="R2614"/>
  <c r="R2615"/>
  <c r="R2616"/>
  <c r="R2617"/>
  <c r="R2618"/>
  <c r="R2619"/>
  <c r="R2620"/>
  <c r="R2621"/>
  <c r="R2622"/>
  <c r="R2623"/>
  <c r="R2624"/>
  <c r="R2625"/>
  <c r="R2626"/>
  <c r="R2627"/>
  <c r="R2628"/>
  <c r="R2629"/>
  <c r="R2630"/>
  <c r="R2631"/>
  <c r="R2632"/>
  <c r="R2633"/>
  <c r="R2634"/>
  <c r="R2635"/>
  <c r="R2636"/>
  <c r="R2637"/>
  <c r="R2638"/>
  <c r="R2639"/>
  <c r="R2640"/>
  <c r="R2641"/>
  <c r="R2642"/>
  <c r="R2643"/>
  <c r="R2644"/>
  <c r="R2645"/>
  <c r="R2646"/>
  <c r="R2647"/>
  <c r="R2648"/>
  <c r="R2649"/>
  <c r="R2650"/>
  <c r="R2651"/>
  <c r="R2652"/>
  <c r="R2653"/>
  <c r="R2654"/>
  <c r="R2655"/>
  <c r="R2656"/>
  <c r="R2657"/>
  <c r="R2658"/>
  <c r="R2659"/>
  <c r="R2660"/>
  <c r="R2661"/>
  <c r="R2662"/>
  <c r="R2663"/>
  <c r="R2664"/>
  <c r="R2665"/>
  <c r="R2666"/>
  <c r="R2667"/>
  <c r="R2668"/>
  <c r="R2669"/>
  <c r="R2670"/>
  <c r="R2671"/>
  <c r="R2672"/>
  <c r="R2673"/>
  <c r="R2674"/>
  <c r="R2675"/>
  <c r="R2676"/>
  <c r="R2677"/>
  <c r="R2678"/>
  <c r="R2679"/>
  <c r="R2680"/>
  <c r="R2681"/>
  <c r="R2682"/>
  <c r="R2683"/>
  <c r="R2684"/>
  <c r="R2685"/>
  <c r="R2686"/>
  <c r="R2687"/>
  <c r="R2688"/>
  <c r="R2689"/>
  <c r="R2690"/>
  <c r="R2691"/>
  <c r="R2692"/>
  <c r="R2693"/>
  <c r="R2694"/>
  <c r="R2695"/>
  <c r="R2696"/>
  <c r="R2697"/>
  <c r="R2698"/>
  <c r="R2699"/>
  <c r="R2700"/>
  <c r="R2701"/>
  <c r="R2702"/>
  <c r="R2703"/>
  <c r="R2704"/>
  <c r="R2705"/>
  <c r="R2706"/>
  <c r="R2707"/>
  <c r="R2708"/>
  <c r="R2709"/>
  <c r="R2710"/>
  <c r="R2711"/>
  <c r="R2712"/>
  <c r="R2713"/>
  <c r="R2714"/>
  <c r="R2715"/>
  <c r="R2716"/>
  <c r="R2717"/>
  <c r="R2718"/>
  <c r="R2719"/>
  <c r="R2720"/>
  <c r="R2721"/>
  <c r="R2722"/>
  <c r="R2723"/>
  <c r="R2724"/>
  <c r="R2725"/>
  <c r="R2726"/>
  <c r="R2727"/>
  <c r="R2728"/>
  <c r="R2729"/>
  <c r="R2730"/>
  <c r="R2731"/>
  <c r="R2732"/>
  <c r="R2733"/>
  <c r="R2734"/>
  <c r="R2735"/>
  <c r="R2736"/>
  <c r="R2737"/>
  <c r="R2738"/>
  <c r="R2739"/>
  <c r="R2740"/>
  <c r="R2741"/>
  <c r="R2742"/>
  <c r="R2743"/>
  <c r="R2744"/>
  <c r="R2745"/>
  <c r="R2746"/>
  <c r="R2747"/>
  <c r="R2748"/>
  <c r="R2749"/>
  <c r="R2750"/>
  <c r="R2751"/>
  <c r="R2752"/>
  <c r="R2753"/>
  <c r="R2754"/>
  <c r="R2755"/>
  <c r="R2756"/>
  <c r="R2757"/>
  <c r="R2758"/>
  <c r="R2759"/>
  <c r="R2760"/>
  <c r="R2761"/>
  <c r="R2762"/>
  <c r="R2763"/>
  <c r="R2764"/>
  <c r="R2765"/>
  <c r="R2766"/>
  <c r="R2767"/>
  <c r="R2768"/>
  <c r="R2769"/>
  <c r="R2770"/>
  <c r="R2771"/>
  <c r="R2772"/>
  <c r="R2773"/>
  <c r="R2774"/>
  <c r="R2775"/>
  <c r="R2776"/>
  <c r="R2777"/>
  <c r="R2778"/>
  <c r="R2779"/>
  <c r="R2780"/>
  <c r="R2781"/>
  <c r="R2782"/>
  <c r="R2783"/>
  <c r="R2784"/>
  <c r="R2785"/>
  <c r="R2786"/>
  <c r="R2787"/>
  <c r="R2788"/>
  <c r="R2789"/>
  <c r="R2790"/>
  <c r="R2791"/>
  <c r="R2792"/>
  <c r="R2793"/>
  <c r="R2794"/>
  <c r="R2795"/>
  <c r="R2796"/>
  <c r="R2797"/>
  <c r="R2798"/>
  <c r="R2799"/>
  <c r="R2800"/>
  <c r="R2801"/>
  <c r="R2802"/>
  <c r="R2803"/>
  <c r="R2804"/>
  <c r="R2805"/>
  <c r="R2806"/>
  <c r="R2807"/>
  <c r="R2808"/>
  <c r="R2809"/>
  <c r="R2810"/>
  <c r="R2811"/>
  <c r="R2812"/>
  <c r="R2813"/>
  <c r="R2814"/>
  <c r="R2815"/>
  <c r="R2816"/>
  <c r="R2817"/>
  <c r="R2818"/>
  <c r="R2819"/>
  <c r="R2820"/>
  <c r="R2821"/>
  <c r="R2822"/>
  <c r="R2823"/>
  <c r="R2824"/>
  <c r="R2825"/>
  <c r="R2826"/>
  <c r="R2827"/>
  <c r="R2828"/>
  <c r="R2829"/>
  <c r="R2830"/>
  <c r="R2831"/>
  <c r="R2832"/>
  <c r="R2833"/>
  <c r="R2834"/>
  <c r="R2835"/>
  <c r="R2836"/>
  <c r="R2837"/>
  <c r="R2838"/>
  <c r="R2839"/>
  <c r="R2840"/>
  <c r="R2841"/>
  <c r="R2842"/>
  <c r="R2843"/>
  <c r="R2844"/>
  <c r="R2845"/>
  <c r="R2846"/>
  <c r="R2847"/>
  <c r="R2848"/>
  <c r="R2849"/>
  <c r="R2850"/>
  <c r="R2851"/>
  <c r="R2852"/>
  <c r="R2853"/>
  <c r="R2854"/>
  <c r="R2855"/>
  <c r="R2856"/>
  <c r="R2857"/>
  <c r="R2858"/>
  <c r="R2859"/>
  <c r="R2860"/>
  <c r="R2861"/>
  <c r="R2862"/>
  <c r="R2863"/>
  <c r="R2864"/>
  <c r="R2865"/>
  <c r="R2866"/>
  <c r="R2867"/>
  <c r="R2868"/>
  <c r="R2869"/>
  <c r="R2870"/>
  <c r="R2871"/>
  <c r="R2872"/>
  <c r="R2873"/>
  <c r="R2874"/>
  <c r="R2875"/>
  <c r="R2876"/>
  <c r="R2877"/>
  <c r="R2878"/>
  <c r="R2879"/>
  <c r="R2880"/>
  <c r="R2881"/>
  <c r="R2882"/>
  <c r="R2883"/>
  <c r="R2884"/>
  <c r="R2885"/>
  <c r="R2886"/>
  <c r="R2887"/>
  <c r="R2888"/>
  <c r="R2889"/>
  <c r="R2890"/>
  <c r="R2891"/>
  <c r="R2892"/>
  <c r="R2893"/>
  <c r="R2894"/>
  <c r="R2895"/>
  <c r="R2896"/>
  <c r="R2897"/>
  <c r="R2898"/>
  <c r="R2899"/>
  <c r="R2900"/>
  <c r="R2901"/>
  <c r="R2902"/>
  <c r="R2903"/>
  <c r="R2904"/>
  <c r="R2905"/>
  <c r="R2906"/>
  <c r="R2907"/>
  <c r="R2908"/>
  <c r="R2909"/>
  <c r="R2910"/>
  <c r="R2911"/>
  <c r="R2912"/>
  <c r="R2913"/>
  <c r="R2914"/>
  <c r="R2915"/>
  <c r="R2916"/>
  <c r="R2917"/>
  <c r="R2918"/>
  <c r="R2919"/>
  <c r="R2920"/>
  <c r="R2921"/>
  <c r="R2922"/>
  <c r="R2923"/>
  <c r="R2924"/>
  <c r="R2925"/>
  <c r="R2926"/>
  <c r="R2927"/>
  <c r="R2928"/>
  <c r="R2929"/>
  <c r="R2930"/>
  <c r="R2931"/>
  <c r="R2932"/>
  <c r="R2933"/>
  <c r="R2934"/>
  <c r="R2935"/>
  <c r="R2936"/>
  <c r="R2937"/>
  <c r="R2938"/>
  <c r="R2939"/>
  <c r="R2940"/>
  <c r="R2941"/>
  <c r="R2942"/>
  <c r="R2943"/>
  <c r="R2944"/>
  <c r="R2945"/>
  <c r="R2946"/>
  <c r="R2947"/>
  <c r="R2948"/>
  <c r="R2949"/>
  <c r="R2950"/>
  <c r="R2951"/>
  <c r="R2952"/>
  <c r="R2953"/>
  <c r="R2954"/>
  <c r="R2955"/>
  <c r="R2956"/>
  <c r="R2957"/>
  <c r="R2958"/>
  <c r="R2959"/>
  <c r="R2960"/>
  <c r="R2961"/>
  <c r="R2962"/>
  <c r="R2963"/>
  <c r="R2964"/>
  <c r="R2965"/>
  <c r="R2966"/>
  <c r="R2967"/>
  <c r="R2968"/>
  <c r="R2969"/>
  <c r="R2970"/>
  <c r="R2971"/>
  <c r="R2972"/>
  <c r="R2973"/>
  <c r="R2974"/>
  <c r="R2975"/>
  <c r="R2976"/>
  <c r="R2977"/>
  <c r="R2978"/>
  <c r="R2979"/>
  <c r="R2980"/>
  <c r="R2981"/>
  <c r="R2982"/>
  <c r="R2983"/>
  <c r="R2984"/>
  <c r="R2985"/>
  <c r="R2986"/>
  <c r="R2987"/>
  <c r="R2988"/>
  <c r="R2989"/>
  <c r="R2990"/>
  <c r="R2991"/>
  <c r="R2992"/>
  <c r="R2993"/>
  <c r="R2994"/>
  <c r="R2995"/>
  <c r="R2996"/>
  <c r="R2997"/>
  <c r="R2998"/>
  <c r="R2999"/>
  <c r="R3000"/>
  <c r="R3001"/>
  <c r="R3002"/>
  <c r="R3003"/>
  <c r="R3004"/>
  <c r="R3005"/>
  <c r="R3006"/>
  <c r="R3007"/>
  <c r="R3008"/>
  <c r="R3009"/>
  <c r="R3010"/>
  <c r="R3011"/>
  <c r="R3012"/>
  <c r="R3013"/>
  <c r="R3014"/>
  <c r="R3015"/>
  <c r="R3016"/>
  <c r="R3017"/>
  <c r="R3018"/>
  <c r="R3019"/>
  <c r="R3020"/>
  <c r="R3021"/>
  <c r="R3022"/>
  <c r="R3023"/>
  <c r="R3024"/>
  <c r="R3025"/>
  <c r="R3026"/>
  <c r="R3027"/>
  <c r="R3028"/>
  <c r="R3029"/>
  <c r="R3030"/>
  <c r="R3031"/>
  <c r="R3032"/>
  <c r="R3033"/>
  <c r="R3034"/>
  <c r="R3035"/>
  <c r="R3036"/>
  <c r="R3037"/>
  <c r="R3038"/>
  <c r="R3039"/>
  <c r="R3040"/>
  <c r="R3041"/>
  <c r="R3042"/>
  <c r="R3043"/>
  <c r="R3044"/>
  <c r="R3045"/>
  <c r="R3046"/>
  <c r="R3047"/>
  <c r="R3048"/>
  <c r="R3049"/>
  <c r="R3050"/>
  <c r="R3051"/>
  <c r="R3052"/>
  <c r="R3053"/>
  <c r="R3054"/>
  <c r="R3055"/>
  <c r="R3056"/>
  <c r="R3057"/>
  <c r="R3058"/>
  <c r="R3059"/>
  <c r="R3060"/>
  <c r="R3061"/>
  <c r="R3062"/>
  <c r="R3063"/>
  <c r="R3064"/>
  <c r="R3065"/>
  <c r="R3066"/>
  <c r="R3067"/>
  <c r="R3068"/>
  <c r="R3069"/>
  <c r="R3070"/>
  <c r="R3071"/>
  <c r="R3072"/>
  <c r="R3073"/>
  <c r="R3074"/>
  <c r="R3075"/>
  <c r="R3076"/>
  <c r="R3077"/>
  <c r="R3078"/>
  <c r="R3079"/>
  <c r="R3080"/>
  <c r="R3081"/>
  <c r="R3082"/>
  <c r="R3083"/>
  <c r="R3084"/>
  <c r="R3085"/>
  <c r="R3086"/>
  <c r="R3087"/>
  <c r="R3088"/>
  <c r="R3089"/>
  <c r="R3090"/>
  <c r="R3091"/>
  <c r="R3092"/>
  <c r="R3093"/>
  <c r="R3094"/>
  <c r="R3095"/>
  <c r="R3096"/>
  <c r="R3097"/>
  <c r="R3098"/>
  <c r="R3099"/>
  <c r="R3100"/>
  <c r="R3101"/>
  <c r="R3102"/>
  <c r="R3103"/>
  <c r="R3104"/>
  <c r="R3105"/>
  <c r="R3106"/>
  <c r="R3107"/>
  <c r="R3108"/>
  <c r="R3109"/>
  <c r="R3110"/>
  <c r="R3111"/>
  <c r="R3112"/>
  <c r="R3113"/>
  <c r="R3114"/>
  <c r="R3115"/>
  <c r="R3116"/>
  <c r="R3117"/>
  <c r="R3118"/>
  <c r="R3119"/>
  <c r="R3120"/>
  <c r="R3121"/>
  <c r="R3122"/>
  <c r="R3123"/>
  <c r="R3124"/>
  <c r="R3125"/>
  <c r="R3126"/>
  <c r="R3127"/>
  <c r="R3128"/>
  <c r="R3129"/>
  <c r="R3130"/>
  <c r="R3131"/>
  <c r="R3132"/>
  <c r="R3133"/>
  <c r="R3134"/>
  <c r="R3135"/>
  <c r="R3136"/>
  <c r="R3137"/>
  <c r="R3138"/>
  <c r="R3139"/>
  <c r="R3140"/>
  <c r="R3141"/>
  <c r="R3142"/>
  <c r="R3143"/>
  <c r="R3144"/>
  <c r="R3145"/>
  <c r="R3146"/>
  <c r="R3147"/>
  <c r="R3148"/>
  <c r="R3149"/>
  <c r="R3150"/>
  <c r="R3151"/>
  <c r="R3152"/>
  <c r="R3153"/>
  <c r="R3154"/>
  <c r="R3155"/>
  <c r="R3156"/>
  <c r="R3157"/>
  <c r="R3158"/>
  <c r="R3159"/>
  <c r="R3160"/>
  <c r="R3161"/>
  <c r="R3162"/>
  <c r="R3163"/>
  <c r="R3164"/>
  <c r="R3165"/>
  <c r="R3166"/>
  <c r="R3167"/>
  <c r="R3168"/>
  <c r="R3169"/>
  <c r="R3170"/>
  <c r="R3171"/>
  <c r="R3172"/>
  <c r="R3173"/>
  <c r="R3174"/>
  <c r="R3175"/>
  <c r="R3176"/>
  <c r="R3177"/>
  <c r="R3178"/>
  <c r="R3179"/>
  <c r="R3180"/>
  <c r="R3181"/>
  <c r="R3182"/>
  <c r="R3183"/>
  <c r="R3184"/>
  <c r="R3185"/>
  <c r="R3186"/>
  <c r="R3187"/>
  <c r="R3188"/>
  <c r="R3189"/>
  <c r="R3190"/>
  <c r="R3191"/>
  <c r="R3192"/>
  <c r="R3193"/>
  <c r="R3194"/>
  <c r="R3195"/>
  <c r="R3196"/>
  <c r="R3197"/>
  <c r="R3198"/>
  <c r="R3199"/>
  <c r="R3200"/>
  <c r="R3201"/>
  <c r="R3202"/>
  <c r="R3203"/>
  <c r="R3204"/>
  <c r="R3205"/>
  <c r="R3206"/>
  <c r="R3207"/>
  <c r="R3208"/>
  <c r="R3209"/>
  <c r="R3210"/>
  <c r="R3211"/>
  <c r="R3212"/>
  <c r="R3213"/>
  <c r="R3214"/>
  <c r="R3215"/>
  <c r="R3216"/>
  <c r="R3217"/>
  <c r="R3218"/>
  <c r="R3219"/>
  <c r="R3220"/>
  <c r="R3221"/>
  <c r="R3222"/>
  <c r="R3223"/>
  <c r="R3224"/>
  <c r="R3225"/>
  <c r="R3226"/>
  <c r="R3227"/>
  <c r="R3228"/>
  <c r="R3229"/>
  <c r="R3230"/>
  <c r="R3231"/>
  <c r="R3232"/>
  <c r="R3233"/>
  <c r="R3234"/>
  <c r="R3235"/>
  <c r="R3236"/>
  <c r="R3237"/>
  <c r="R3238"/>
  <c r="R3239"/>
  <c r="R3240"/>
  <c r="R3241"/>
  <c r="R3242"/>
  <c r="R3243"/>
  <c r="R3244"/>
  <c r="R3245"/>
  <c r="R3246"/>
  <c r="R3247"/>
  <c r="R3248"/>
  <c r="R3249"/>
  <c r="R3250"/>
  <c r="R3251"/>
  <c r="R3252"/>
  <c r="R3253"/>
  <c r="R3254"/>
  <c r="R3255"/>
  <c r="R3256"/>
  <c r="R3257"/>
  <c r="R3258"/>
  <c r="R3259"/>
  <c r="R3260"/>
  <c r="R3261"/>
  <c r="R3262"/>
  <c r="R3263"/>
  <c r="R3264"/>
  <c r="R3265"/>
  <c r="R3266"/>
  <c r="R3267"/>
  <c r="R3268"/>
  <c r="R3269"/>
  <c r="R3270"/>
  <c r="R3271"/>
  <c r="R3272"/>
  <c r="R3273"/>
  <c r="R3274"/>
  <c r="R3275"/>
  <c r="R3276"/>
  <c r="R3277"/>
  <c r="R3278"/>
  <c r="R3279"/>
  <c r="R3280"/>
  <c r="R3281"/>
  <c r="R3282"/>
  <c r="R3283"/>
  <c r="R3284"/>
  <c r="R3285"/>
  <c r="R3286"/>
  <c r="R3287"/>
  <c r="R3288"/>
  <c r="R3289"/>
  <c r="R3290"/>
  <c r="R3291"/>
  <c r="R3292"/>
  <c r="R3293"/>
  <c r="R3294"/>
  <c r="R3295"/>
  <c r="R3296"/>
  <c r="R3297"/>
  <c r="R3298"/>
  <c r="R3299"/>
  <c r="R3300"/>
  <c r="R3301"/>
  <c r="R3302"/>
  <c r="R3303"/>
  <c r="R3304"/>
  <c r="R3305"/>
  <c r="R3306"/>
  <c r="R3307"/>
  <c r="R3308"/>
  <c r="R3309"/>
  <c r="R3310"/>
  <c r="R3311"/>
  <c r="R3312"/>
  <c r="R3313"/>
  <c r="R3314"/>
  <c r="R3315"/>
  <c r="R3316"/>
  <c r="R3317"/>
  <c r="R3318"/>
  <c r="R3319"/>
  <c r="R3320"/>
  <c r="R3321"/>
  <c r="R3322"/>
  <c r="R3323"/>
  <c r="R3324"/>
  <c r="R3325"/>
  <c r="R3326"/>
  <c r="R3327"/>
  <c r="R3328"/>
  <c r="R3329"/>
  <c r="R3330"/>
  <c r="R3331"/>
  <c r="R3332"/>
  <c r="R3333"/>
  <c r="R3334"/>
  <c r="R3335"/>
  <c r="R3336"/>
  <c r="R3337"/>
  <c r="R3338"/>
  <c r="R3339"/>
  <c r="R3340"/>
  <c r="R3341"/>
  <c r="R3342"/>
  <c r="R3343"/>
  <c r="R3344"/>
  <c r="R3345"/>
  <c r="R3346"/>
  <c r="R3347"/>
  <c r="R3348"/>
  <c r="R3349"/>
  <c r="R3350"/>
  <c r="R3351"/>
  <c r="R3352"/>
  <c r="R3353"/>
  <c r="R3354"/>
  <c r="R3355"/>
  <c r="R3356"/>
  <c r="R3357"/>
  <c r="R3358"/>
  <c r="R3359"/>
  <c r="R3360"/>
  <c r="R3361"/>
  <c r="R3362"/>
  <c r="R3363"/>
  <c r="R3364"/>
  <c r="R3365"/>
  <c r="R3366"/>
  <c r="R3367"/>
  <c r="R3368"/>
  <c r="R3369"/>
  <c r="R3370"/>
  <c r="R3371"/>
  <c r="R3372"/>
  <c r="R3373"/>
  <c r="R3374"/>
  <c r="R3375"/>
  <c r="R3376"/>
  <c r="R3377"/>
  <c r="R3378"/>
  <c r="R3379"/>
  <c r="R3380"/>
  <c r="R3381"/>
  <c r="R3382"/>
  <c r="R3383"/>
  <c r="R3384"/>
  <c r="R3385"/>
  <c r="R3386"/>
  <c r="R3387"/>
  <c r="R3388"/>
  <c r="R3389"/>
  <c r="R3390"/>
  <c r="R3391"/>
  <c r="R3392"/>
  <c r="R3393"/>
  <c r="R3394"/>
  <c r="R3395"/>
  <c r="R3396"/>
  <c r="R3397"/>
  <c r="R3398"/>
  <c r="R3399"/>
  <c r="R3400"/>
  <c r="R3401"/>
  <c r="R3402"/>
  <c r="R3403"/>
  <c r="R3404"/>
  <c r="R3405"/>
  <c r="R3406"/>
  <c r="R3407"/>
  <c r="R3408"/>
  <c r="R3409"/>
  <c r="R3410"/>
  <c r="R3411"/>
  <c r="R3412"/>
  <c r="R3413"/>
  <c r="R3414"/>
  <c r="R3415"/>
  <c r="R3416"/>
  <c r="R3417"/>
  <c r="R3418"/>
  <c r="R3419"/>
  <c r="R3420"/>
  <c r="R3421"/>
  <c r="R3422"/>
  <c r="R3423"/>
  <c r="R3424"/>
  <c r="R3425"/>
  <c r="R3426"/>
  <c r="R3427"/>
  <c r="R3428"/>
  <c r="R3429"/>
  <c r="R3430"/>
  <c r="R3431"/>
  <c r="R3432"/>
  <c r="R3433"/>
  <c r="R3434"/>
  <c r="R3435"/>
  <c r="R3436"/>
  <c r="R3437"/>
  <c r="R3438"/>
  <c r="R3439"/>
  <c r="R3440"/>
  <c r="R3441"/>
  <c r="R3442"/>
  <c r="R3443"/>
  <c r="R3444"/>
  <c r="R3445"/>
  <c r="R3446"/>
  <c r="R3447"/>
  <c r="R3448"/>
  <c r="R3449"/>
  <c r="R3450"/>
  <c r="R3451"/>
  <c r="R3452"/>
  <c r="R3453"/>
  <c r="R3454"/>
  <c r="R3455"/>
  <c r="R3456"/>
  <c r="R3457"/>
  <c r="R3458"/>
  <c r="R3459"/>
  <c r="R3460"/>
  <c r="R3461"/>
  <c r="R3462"/>
  <c r="R3463"/>
  <c r="R3464"/>
  <c r="R3465"/>
  <c r="R3466"/>
  <c r="R3467"/>
  <c r="R3468"/>
  <c r="R3469"/>
  <c r="R3470"/>
  <c r="R3471"/>
  <c r="R3472"/>
  <c r="R3473"/>
  <c r="R3474"/>
  <c r="R3475"/>
  <c r="R3476"/>
  <c r="R3477"/>
  <c r="R3478"/>
  <c r="R3479"/>
  <c r="R3480"/>
  <c r="R3481"/>
  <c r="R3482"/>
  <c r="R3483"/>
  <c r="R3484"/>
  <c r="R3485"/>
  <c r="R3486"/>
  <c r="R3487"/>
  <c r="R3488"/>
  <c r="R3489"/>
  <c r="R3490"/>
  <c r="R3491"/>
  <c r="R3492"/>
  <c r="R3493"/>
  <c r="R3494"/>
  <c r="R3495"/>
  <c r="R3496"/>
  <c r="R3497"/>
  <c r="R3498"/>
  <c r="R3499"/>
  <c r="R3500"/>
  <c r="R3501"/>
  <c r="R3502"/>
  <c r="R3503"/>
  <c r="R3504"/>
  <c r="R3505"/>
  <c r="R3506"/>
  <c r="R3507"/>
  <c r="R3508"/>
  <c r="R3509"/>
  <c r="R3510"/>
  <c r="R3511"/>
  <c r="R3512"/>
  <c r="R3513"/>
  <c r="R3514"/>
  <c r="R3515"/>
  <c r="R3516"/>
  <c r="R3517"/>
  <c r="R3518"/>
  <c r="R3519"/>
  <c r="R3520"/>
  <c r="R3521"/>
  <c r="R3522"/>
  <c r="R3523"/>
  <c r="R3524"/>
  <c r="R3525"/>
  <c r="R3526"/>
  <c r="R3527"/>
  <c r="R3528"/>
  <c r="R3529"/>
  <c r="R3530"/>
  <c r="R3531"/>
  <c r="R3532"/>
  <c r="R3533"/>
  <c r="R3534"/>
  <c r="R3535"/>
  <c r="R3536"/>
  <c r="R3537"/>
  <c r="R3538"/>
  <c r="R3539"/>
  <c r="R3540"/>
  <c r="R3541"/>
  <c r="R3542"/>
  <c r="R3543"/>
  <c r="R3544"/>
  <c r="R3545"/>
  <c r="R3546"/>
  <c r="R3547"/>
  <c r="R3548"/>
  <c r="R3549"/>
  <c r="R3550"/>
  <c r="R3551"/>
  <c r="R3552"/>
  <c r="R3553"/>
  <c r="R3554"/>
  <c r="R3555"/>
  <c r="R3556"/>
  <c r="R3557"/>
  <c r="R3558"/>
  <c r="R3559"/>
  <c r="R3560"/>
  <c r="R3561"/>
  <c r="R3562"/>
  <c r="R3563"/>
  <c r="R3564"/>
  <c r="R3565"/>
  <c r="R3566"/>
  <c r="R3567"/>
  <c r="R3568"/>
  <c r="R3569"/>
  <c r="R3570"/>
  <c r="R3571"/>
  <c r="R3572"/>
  <c r="R3573"/>
  <c r="R3574"/>
  <c r="R3575"/>
  <c r="R3576"/>
  <c r="R3577"/>
  <c r="R3578"/>
  <c r="R3579"/>
  <c r="R3580"/>
  <c r="R3581"/>
  <c r="R3582"/>
  <c r="R3583"/>
  <c r="R3584"/>
  <c r="R3585"/>
  <c r="R3586"/>
  <c r="R3587"/>
  <c r="R3588"/>
  <c r="R3589"/>
  <c r="R3590"/>
  <c r="R3591"/>
  <c r="R3592"/>
  <c r="R3593"/>
  <c r="R3594"/>
  <c r="R3595"/>
  <c r="R3596"/>
  <c r="R3597"/>
  <c r="R3598"/>
  <c r="R3599"/>
  <c r="R3600"/>
  <c r="R3601"/>
  <c r="R3602"/>
  <c r="R3603"/>
  <c r="R3604"/>
  <c r="R3605"/>
  <c r="R3606"/>
  <c r="R3607"/>
  <c r="R3608"/>
  <c r="R3609"/>
  <c r="R3610"/>
  <c r="R3611"/>
  <c r="R3612"/>
  <c r="R3613"/>
  <c r="R3614"/>
  <c r="R3615"/>
  <c r="R3616"/>
  <c r="R3617"/>
  <c r="R3618"/>
  <c r="R3619"/>
  <c r="R3620"/>
  <c r="R3621"/>
  <c r="R3622"/>
  <c r="R3623"/>
  <c r="R3624"/>
  <c r="R3625"/>
  <c r="R3626"/>
  <c r="R3627"/>
  <c r="R3628"/>
  <c r="R3629"/>
  <c r="R3630"/>
  <c r="R3631"/>
  <c r="R3632"/>
  <c r="R3633"/>
  <c r="R3634"/>
  <c r="R3635"/>
  <c r="R3636"/>
  <c r="R3637"/>
  <c r="R3638"/>
  <c r="R3639"/>
  <c r="R3640"/>
  <c r="R3641"/>
  <c r="R3642"/>
  <c r="R3643"/>
  <c r="R3644"/>
  <c r="R3645"/>
  <c r="R3646"/>
  <c r="R3647"/>
  <c r="R3648"/>
  <c r="R3649"/>
  <c r="R3650"/>
  <c r="R3651"/>
  <c r="R3652"/>
  <c r="R3653"/>
  <c r="R3654"/>
  <c r="R3655"/>
  <c r="R3656"/>
  <c r="R3657"/>
  <c r="R3658"/>
  <c r="R3659"/>
  <c r="R3660"/>
  <c r="R3661"/>
  <c r="R3662"/>
  <c r="R3663"/>
  <c r="R3664"/>
  <c r="R3665"/>
  <c r="R3666"/>
  <c r="R3667"/>
  <c r="R3668"/>
  <c r="R3669"/>
  <c r="R3670"/>
  <c r="R3671"/>
  <c r="R3672"/>
  <c r="R3673"/>
  <c r="R3674"/>
  <c r="R3675"/>
  <c r="R3676"/>
  <c r="R3677"/>
  <c r="R3678"/>
  <c r="R3679"/>
  <c r="R3680"/>
  <c r="R3681"/>
  <c r="R3682"/>
  <c r="R3683"/>
  <c r="R3684"/>
  <c r="R3685"/>
  <c r="R3686"/>
  <c r="R3687"/>
  <c r="R3688"/>
  <c r="R3689"/>
  <c r="R3690"/>
  <c r="R3691"/>
  <c r="R3692"/>
  <c r="R3693"/>
  <c r="R3694"/>
  <c r="R3695"/>
  <c r="R3696"/>
  <c r="R3697"/>
  <c r="R3698"/>
  <c r="R3699"/>
  <c r="R3700"/>
  <c r="R3701"/>
  <c r="R3702"/>
  <c r="R3703"/>
  <c r="R3704"/>
  <c r="R3705"/>
  <c r="R3706"/>
  <c r="R3707"/>
  <c r="R3708"/>
  <c r="R3709"/>
  <c r="R3710"/>
  <c r="R3711"/>
  <c r="R3712"/>
  <c r="R3713"/>
  <c r="R3714"/>
  <c r="R3715"/>
  <c r="R3716"/>
  <c r="R3717"/>
  <c r="R3718"/>
  <c r="R3719"/>
  <c r="R3720"/>
  <c r="R3721"/>
  <c r="R3722"/>
  <c r="R3723"/>
  <c r="R3724"/>
  <c r="R3725"/>
  <c r="R3726"/>
  <c r="R3727"/>
  <c r="R3728"/>
  <c r="R3729"/>
  <c r="R3730"/>
  <c r="R3731"/>
  <c r="R3732"/>
  <c r="R3733"/>
  <c r="R3734"/>
  <c r="R3735"/>
  <c r="R3736"/>
  <c r="R3737"/>
  <c r="R3738"/>
  <c r="R3739"/>
  <c r="R3740"/>
  <c r="R3741"/>
  <c r="R3742"/>
  <c r="R3743"/>
  <c r="R3744"/>
  <c r="R3745"/>
  <c r="R3746"/>
  <c r="R3747"/>
  <c r="R3748"/>
  <c r="R3749"/>
  <c r="R3750"/>
  <c r="R3751"/>
  <c r="R3752"/>
  <c r="R3753"/>
  <c r="R3754"/>
  <c r="R3755"/>
  <c r="R3756"/>
  <c r="R3757"/>
  <c r="R3758"/>
  <c r="R3759"/>
  <c r="R3760"/>
  <c r="R3761"/>
  <c r="R3762"/>
  <c r="R3763"/>
  <c r="R3764"/>
  <c r="R3765"/>
  <c r="R3766"/>
  <c r="R3767"/>
  <c r="R3768"/>
  <c r="R3769"/>
  <c r="R3770"/>
  <c r="R3771"/>
  <c r="R3772"/>
  <c r="R3773"/>
  <c r="R3774"/>
  <c r="R3775"/>
  <c r="R3776"/>
  <c r="R3777"/>
  <c r="R3778"/>
  <c r="R3779"/>
  <c r="R3780"/>
  <c r="R3781"/>
  <c r="R3782"/>
  <c r="R3783"/>
  <c r="R3784"/>
  <c r="R3785"/>
  <c r="R3786"/>
  <c r="R3787"/>
  <c r="R3788"/>
  <c r="R3789"/>
  <c r="R3790"/>
  <c r="R3791"/>
  <c r="R3792"/>
  <c r="R3793"/>
  <c r="R3794"/>
  <c r="R3795"/>
  <c r="R3796"/>
  <c r="R3797"/>
  <c r="R3798"/>
  <c r="R3799"/>
  <c r="R3800"/>
  <c r="R3801"/>
  <c r="R3802"/>
  <c r="R3803"/>
  <c r="R3804"/>
  <c r="R3805"/>
  <c r="R3806"/>
  <c r="R3807"/>
  <c r="R3808"/>
  <c r="R3809"/>
  <c r="R3810"/>
  <c r="R3811"/>
  <c r="R3812"/>
  <c r="R3813"/>
  <c r="R3814"/>
  <c r="R3815"/>
  <c r="R3816"/>
  <c r="R3817"/>
  <c r="R3818"/>
  <c r="R3819"/>
  <c r="R3820"/>
  <c r="R3821"/>
  <c r="R3822"/>
  <c r="R3823"/>
  <c r="R3824"/>
  <c r="R3825"/>
  <c r="R3826"/>
  <c r="R3827"/>
  <c r="R3828"/>
  <c r="R3829"/>
  <c r="R3830"/>
  <c r="R3831"/>
  <c r="R3832"/>
  <c r="R3833"/>
  <c r="R3834"/>
  <c r="R3835"/>
  <c r="R3836"/>
  <c r="R3837"/>
  <c r="R3838"/>
  <c r="R3839"/>
  <c r="R3840"/>
  <c r="R3841"/>
  <c r="R3842"/>
  <c r="R3843"/>
  <c r="R3844"/>
  <c r="R3845"/>
  <c r="R3846"/>
  <c r="R3847"/>
  <c r="R3848"/>
  <c r="R3849"/>
  <c r="R3850"/>
  <c r="R3851"/>
  <c r="R3852"/>
  <c r="R3853"/>
  <c r="R3854"/>
  <c r="R3855"/>
  <c r="R3856"/>
  <c r="R3857"/>
  <c r="R3858"/>
  <c r="R3859"/>
  <c r="R3860"/>
  <c r="R3861"/>
  <c r="R3862"/>
  <c r="R3863"/>
  <c r="R3864"/>
  <c r="R3865"/>
  <c r="R3866"/>
  <c r="R3867"/>
  <c r="R3868"/>
  <c r="R3869"/>
  <c r="R3870"/>
  <c r="R3871"/>
  <c r="R3872"/>
  <c r="R3873"/>
  <c r="R3874"/>
  <c r="R3875"/>
  <c r="R3876"/>
  <c r="R3877"/>
  <c r="R3878"/>
  <c r="R3879"/>
  <c r="R3880"/>
  <c r="R3881"/>
  <c r="R3882"/>
  <c r="R3883"/>
  <c r="R3884"/>
  <c r="R3885"/>
  <c r="R3886"/>
  <c r="R3887"/>
  <c r="R3888"/>
  <c r="R3889"/>
  <c r="R3890"/>
  <c r="R3891"/>
  <c r="R3892"/>
  <c r="R3893"/>
  <c r="R3894"/>
  <c r="R3895"/>
  <c r="R3896"/>
  <c r="R3897"/>
  <c r="R3898"/>
  <c r="R3899"/>
  <c r="R3900"/>
  <c r="R3901"/>
  <c r="R3902"/>
  <c r="R3903"/>
  <c r="R3904"/>
  <c r="R3905"/>
  <c r="R3906"/>
  <c r="R3907"/>
  <c r="R3908"/>
  <c r="R3909"/>
  <c r="R3910"/>
  <c r="R3911"/>
  <c r="R3912"/>
  <c r="R3913"/>
  <c r="R3914"/>
  <c r="R3915"/>
  <c r="R3916"/>
  <c r="R3917"/>
  <c r="R3918"/>
  <c r="R3919"/>
  <c r="R3920"/>
  <c r="R3921"/>
  <c r="R3922"/>
  <c r="R3923"/>
  <c r="R3924"/>
  <c r="R3925"/>
  <c r="R3926"/>
  <c r="R3927"/>
  <c r="R3928"/>
  <c r="R3929"/>
  <c r="R3930"/>
  <c r="R3931"/>
  <c r="R3932"/>
  <c r="R3933"/>
  <c r="R3934"/>
  <c r="R3935"/>
  <c r="R3936"/>
  <c r="R3937"/>
  <c r="R3938"/>
  <c r="R3939"/>
  <c r="R3940"/>
  <c r="R3941"/>
  <c r="R3942"/>
  <c r="R3943"/>
  <c r="R3944"/>
  <c r="R3945"/>
  <c r="R3946"/>
  <c r="R3947"/>
  <c r="R3948"/>
  <c r="R3949"/>
  <c r="R3950"/>
  <c r="R3951"/>
  <c r="R3952"/>
  <c r="R3953"/>
  <c r="R3954"/>
  <c r="R3955"/>
  <c r="R3956"/>
  <c r="R3957"/>
  <c r="R3958"/>
  <c r="R3959"/>
  <c r="R3960"/>
  <c r="R3961"/>
  <c r="R3962"/>
  <c r="R3963"/>
  <c r="R3964"/>
  <c r="R3965"/>
  <c r="R3966"/>
  <c r="R3967"/>
  <c r="R3968"/>
  <c r="R3969"/>
  <c r="R3970"/>
  <c r="R3971"/>
  <c r="R3972"/>
  <c r="R3973"/>
  <c r="R3974"/>
  <c r="R3975"/>
  <c r="R3976"/>
  <c r="R3977"/>
  <c r="R3978"/>
  <c r="R3979"/>
  <c r="R3980"/>
  <c r="R3981"/>
  <c r="R3982"/>
  <c r="R3983"/>
  <c r="R3984"/>
  <c r="R3985"/>
  <c r="R3986"/>
  <c r="R3987"/>
  <c r="R3988"/>
  <c r="R3989"/>
  <c r="R3990"/>
  <c r="R3991"/>
  <c r="R3992"/>
  <c r="R3993"/>
  <c r="R3994"/>
  <c r="R3995"/>
  <c r="R3996"/>
  <c r="R3997"/>
  <c r="R3998"/>
  <c r="R3999"/>
  <c r="R4000"/>
  <c r="R4001"/>
  <c r="R4002"/>
  <c r="R4003"/>
  <c r="R4004"/>
  <c r="R4005"/>
  <c r="R4006"/>
  <c r="R4007"/>
  <c r="R4008"/>
  <c r="R4009"/>
  <c r="R4010"/>
  <c r="R4011"/>
  <c r="R4012"/>
  <c r="R4013"/>
  <c r="R4014"/>
  <c r="R4015"/>
  <c r="R4016"/>
  <c r="R4017"/>
  <c r="R4018"/>
  <c r="R4019"/>
  <c r="R4020"/>
  <c r="R4021"/>
  <c r="R4022"/>
  <c r="R4023"/>
  <c r="R4024"/>
  <c r="R4025"/>
  <c r="R4026"/>
  <c r="R4027"/>
  <c r="R4028"/>
  <c r="R4029"/>
  <c r="R4030"/>
  <c r="R4031"/>
  <c r="R4032"/>
  <c r="R4033"/>
  <c r="R4034"/>
  <c r="R4035"/>
  <c r="R4036"/>
  <c r="R4037"/>
  <c r="R4038"/>
  <c r="R4039"/>
  <c r="R4040"/>
  <c r="R4041"/>
  <c r="R4042"/>
  <c r="R4043"/>
  <c r="R4044"/>
  <c r="R4045"/>
  <c r="R4046"/>
  <c r="R4047"/>
  <c r="R4048"/>
  <c r="R4049"/>
  <c r="R4050"/>
  <c r="R4051"/>
  <c r="R4052"/>
  <c r="R4053"/>
  <c r="R4054"/>
  <c r="R4055"/>
  <c r="R4056"/>
  <c r="R4057"/>
  <c r="R4058"/>
  <c r="R4059"/>
  <c r="R4060"/>
  <c r="R4061"/>
  <c r="R4062"/>
  <c r="R4063"/>
  <c r="R4064"/>
  <c r="R4065"/>
  <c r="R4066"/>
  <c r="R4067"/>
  <c r="R4068"/>
  <c r="R4069"/>
  <c r="R4070"/>
  <c r="R4071"/>
  <c r="R4072"/>
  <c r="R4073"/>
  <c r="R4074"/>
  <c r="R4075"/>
  <c r="R4076"/>
  <c r="R4077"/>
  <c r="R4078"/>
  <c r="R4079"/>
  <c r="R4080"/>
  <c r="R4081"/>
  <c r="R4082"/>
  <c r="R4083"/>
  <c r="R4084"/>
  <c r="R4085"/>
  <c r="R4086"/>
  <c r="R4087"/>
  <c r="R4088"/>
  <c r="R4089"/>
  <c r="R4090"/>
  <c r="R4091"/>
  <c r="R4092"/>
  <c r="R4093"/>
  <c r="R4094"/>
  <c r="R4095"/>
  <c r="R4096"/>
  <c r="R4097"/>
  <c r="R4098"/>
  <c r="R4099"/>
  <c r="R4100"/>
  <c r="R4101"/>
  <c r="R4102"/>
  <c r="R4103"/>
  <c r="R4104"/>
  <c r="R4105"/>
  <c r="R4106"/>
  <c r="R4107"/>
  <c r="R4108"/>
  <c r="R4109"/>
  <c r="R4110"/>
  <c r="R4111"/>
  <c r="R4112"/>
  <c r="R4113"/>
  <c r="R4114"/>
  <c r="R4115"/>
  <c r="R4116"/>
  <c r="R4117"/>
  <c r="R4118"/>
  <c r="R4119"/>
  <c r="R4120"/>
  <c r="R4121"/>
  <c r="R4122"/>
  <c r="R4123"/>
  <c r="R4124"/>
  <c r="R4125"/>
  <c r="R4126"/>
  <c r="R4127"/>
  <c r="R4128"/>
  <c r="R4129"/>
  <c r="R4130"/>
  <c r="R4131"/>
  <c r="R4132"/>
  <c r="R4133"/>
  <c r="R4134"/>
  <c r="R4135"/>
  <c r="R4136"/>
  <c r="R4137"/>
  <c r="R4138"/>
  <c r="R4139"/>
  <c r="R4140"/>
  <c r="R4141"/>
  <c r="R4142"/>
  <c r="R4143"/>
  <c r="R4144"/>
  <c r="R4145"/>
  <c r="R4146"/>
  <c r="R4147"/>
  <c r="R4148"/>
  <c r="R4149"/>
  <c r="R4150"/>
  <c r="R4151"/>
  <c r="R4152"/>
  <c r="R4153"/>
  <c r="R4154"/>
  <c r="R4155"/>
  <c r="R4156"/>
  <c r="R4157"/>
  <c r="R4158"/>
  <c r="R4159"/>
  <c r="R4160"/>
  <c r="R4161"/>
  <c r="R4162"/>
  <c r="R4163"/>
  <c r="R4164"/>
  <c r="R4165"/>
  <c r="R4166"/>
  <c r="R4167"/>
  <c r="R4168"/>
  <c r="R4169"/>
  <c r="R4170"/>
  <c r="R4171"/>
  <c r="R4172"/>
  <c r="R4173"/>
  <c r="R4174"/>
  <c r="R4175"/>
  <c r="R4176"/>
  <c r="R4177"/>
  <c r="R4178"/>
  <c r="R4179"/>
  <c r="R4180"/>
  <c r="R4181"/>
  <c r="R4182"/>
  <c r="R4183"/>
  <c r="R4184"/>
  <c r="R4185"/>
  <c r="R4186"/>
  <c r="R4187"/>
  <c r="R4188"/>
  <c r="R4189"/>
  <c r="R4190"/>
  <c r="R4191"/>
  <c r="R4192"/>
  <c r="R4193"/>
  <c r="R4194"/>
  <c r="R4195"/>
  <c r="R4196"/>
  <c r="R4197"/>
  <c r="R4198"/>
  <c r="R4199"/>
  <c r="R4200"/>
  <c r="R4201"/>
  <c r="R4202"/>
  <c r="R4203"/>
  <c r="R4204"/>
  <c r="R4205"/>
  <c r="R4206"/>
  <c r="R4207"/>
  <c r="R4208"/>
  <c r="R4209"/>
  <c r="R4210"/>
  <c r="R4211"/>
  <c r="R4212"/>
  <c r="R4213"/>
  <c r="R4214"/>
  <c r="R4215"/>
  <c r="R4216"/>
  <c r="R4217"/>
  <c r="R4218"/>
  <c r="R4219"/>
  <c r="R4220"/>
  <c r="R4221"/>
  <c r="R4222"/>
  <c r="R4223"/>
  <c r="R4224"/>
  <c r="R4225"/>
  <c r="R4226"/>
  <c r="R4227"/>
  <c r="R4228"/>
  <c r="R4229"/>
  <c r="R4230"/>
  <c r="R4231"/>
  <c r="R4232"/>
  <c r="R4233"/>
  <c r="R4234"/>
  <c r="R4235"/>
  <c r="R4236"/>
  <c r="R4237"/>
  <c r="R4238"/>
  <c r="R4239"/>
  <c r="R4240"/>
  <c r="R4241"/>
  <c r="R4242"/>
  <c r="R4243"/>
  <c r="R4244"/>
  <c r="R4245"/>
  <c r="R4246"/>
  <c r="R4247"/>
  <c r="R4248"/>
  <c r="R4249"/>
  <c r="R4250"/>
  <c r="R4251"/>
  <c r="R4252"/>
  <c r="R4253"/>
  <c r="R4254"/>
  <c r="R4255"/>
  <c r="R4256"/>
  <c r="R4257"/>
  <c r="R4258"/>
  <c r="R4259"/>
  <c r="R4260"/>
  <c r="R4261"/>
  <c r="R4262"/>
  <c r="R4263"/>
  <c r="R4264"/>
  <c r="R4265"/>
  <c r="R4266"/>
  <c r="R4267"/>
  <c r="R4268"/>
  <c r="R4269"/>
  <c r="R4270"/>
  <c r="R4271"/>
  <c r="R4272"/>
  <c r="R4273"/>
  <c r="R4274"/>
  <c r="R4275"/>
  <c r="R4276"/>
  <c r="R4277"/>
  <c r="R4278"/>
  <c r="R4279"/>
  <c r="R4280"/>
  <c r="R4281"/>
  <c r="R4282"/>
  <c r="R4283"/>
  <c r="R4284"/>
  <c r="R4285"/>
  <c r="R4286"/>
  <c r="R4287"/>
  <c r="R4288"/>
  <c r="R4289"/>
  <c r="R4290"/>
  <c r="R4291"/>
  <c r="R4292"/>
  <c r="R4293"/>
  <c r="R4294"/>
  <c r="R4295"/>
  <c r="R4296"/>
  <c r="R4297"/>
  <c r="R4298"/>
  <c r="R4299"/>
  <c r="R4300"/>
  <c r="R4301"/>
  <c r="R4302"/>
  <c r="R4303"/>
  <c r="R4304"/>
  <c r="R4305"/>
  <c r="R4306"/>
  <c r="R4307"/>
  <c r="R4308"/>
  <c r="R4309"/>
  <c r="R4310"/>
  <c r="R4311"/>
  <c r="R4312"/>
  <c r="R4313"/>
  <c r="R4314"/>
  <c r="R4315"/>
  <c r="R4316"/>
  <c r="R4317"/>
  <c r="R4318"/>
  <c r="R4319"/>
  <c r="R4320"/>
  <c r="R4321"/>
  <c r="R4322"/>
  <c r="R4323"/>
  <c r="R4324"/>
  <c r="R4325"/>
  <c r="R4326"/>
  <c r="R4327"/>
  <c r="R4328"/>
  <c r="R4329"/>
  <c r="R4330"/>
  <c r="R4331"/>
  <c r="R4332"/>
  <c r="R4333"/>
  <c r="R4334"/>
  <c r="R4335"/>
  <c r="R4336"/>
  <c r="R4337"/>
  <c r="R4338"/>
  <c r="R4339"/>
  <c r="R4340"/>
  <c r="R4341"/>
  <c r="R4342"/>
  <c r="R4343"/>
  <c r="R4344"/>
  <c r="R4345"/>
  <c r="R4346"/>
  <c r="R4347"/>
  <c r="R4348"/>
  <c r="R4349"/>
  <c r="R4350"/>
  <c r="R4351"/>
  <c r="R4352"/>
  <c r="R4353"/>
  <c r="R4354"/>
  <c r="R4355"/>
  <c r="R4356"/>
  <c r="R4357"/>
  <c r="R4358"/>
  <c r="R4359"/>
  <c r="R4360"/>
  <c r="R4361"/>
  <c r="R4362"/>
  <c r="R4363"/>
  <c r="R4364"/>
  <c r="R4365"/>
  <c r="R4366"/>
  <c r="R4367"/>
  <c r="R4368"/>
  <c r="R4369"/>
  <c r="R4370"/>
  <c r="R4371"/>
  <c r="R4372"/>
  <c r="R4373"/>
  <c r="R4374"/>
  <c r="R4375"/>
  <c r="R4376"/>
  <c r="R4377"/>
  <c r="R4378"/>
  <c r="R4379"/>
  <c r="R4380"/>
  <c r="R4381"/>
  <c r="R4382"/>
  <c r="R4383"/>
  <c r="R4384"/>
  <c r="R4385"/>
  <c r="R4386"/>
  <c r="R4387"/>
  <c r="R4388"/>
  <c r="R4389"/>
  <c r="R4390"/>
  <c r="R4391"/>
  <c r="R4392"/>
  <c r="R4393"/>
  <c r="R4394"/>
  <c r="R4395"/>
  <c r="R4396"/>
  <c r="R4397"/>
  <c r="R4398"/>
  <c r="R4399"/>
  <c r="R4400"/>
  <c r="R4401"/>
  <c r="R4402"/>
  <c r="R4403"/>
  <c r="R4404"/>
  <c r="R4405"/>
  <c r="R4406"/>
  <c r="R4407"/>
  <c r="R4408"/>
  <c r="R4409"/>
  <c r="R4410"/>
  <c r="R4411"/>
  <c r="R4412"/>
  <c r="R4413"/>
  <c r="R4414"/>
  <c r="R4415"/>
  <c r="R4416"/>
  <c r="R4417"/>
  <c r="R4418"/>
  <c r="R4419"/>
  <c r="R4420"/>
  <c r="R4421"/>
  <c r="R4422"/>
  <c r="R4423"/>
  <c r="R4424"/>
  <c r="R4425"/>
  <c r="R4426"/>
  <c r="R4427"/>
  <c r="R4428"/>
  <c r="R4429"/>
  <c r="R4430"/>
  <c r="R4431"/>
  <c r="R4432"/>
  <c r="R4433"/>
  <c r="R4434"/>
  <c r="R4435"/>
  <c r="R4436"/>
  <c r="R4437"/>
  <c r="R4438"/>
  <c r="R4439"/>
  <c r="R4440"/>
  <c r="R4441"/>
  <c r="R4442"/>
  <c r="R4443"/>
  <c r="R4444"/>
  <c r="R4445"/>
  <c r="R4446"/>
  <c r="R4447"/>
  <c r="R4448"/>
  <c r="R4449"/>
  <c r="R4450"/>
  <c r="R4451"/>
  <c r="R4452"/>
  <c r="R4453"/>
  <c r="R4454"/>
  <c r="R4455"/>
  <c r="R4456"/>
  <c r="R4457"/>
  <c r="R4458"/>
  <c r="R4459"/>
  <c r="R4460"/>
  <c r="R4461"/>
  <c r="R4462"/>
  <c r="R4463"/>
  <c r="R4464"/>
  <c r="R4465"/>
  <c r="R4466"/>
  <c r="R4467"/>
  <c r="R4468"/>
  <c r="R4469"/>
  <c r="R4470"/>
  <c r="R4471"/>
  <c r="R4472"/>
  <c r="R4473"/>
  <c r="R4474"/>
  <c r="R4475"/>
  <c r="R4476"/>
  <c r="R4477"/>
  <c r="R4478"/>
  <c r="R4479"/>
  <c r="R4480"/>
  <c r="R4481"/>
  <c r="R4482"/>
  <c r="R4483"/>
  <c r="R4484"/>
  <c r="R4485"/>
  <c r="R4486"/>
  <c r="R4487"/>
  <c r="R4488"/>
  <c r="R4489"/>
  <c r="R4490"/>
  <c r="R4491"/>
  <c r="R4492"/>
  <c r="R4493"/>
  <c r="R4494"/>
  <c r="R4495"/>
  <c r="R4496"/>
  <c r="R4497"/>
  <c r="R4498"/>
  <c r="R4499"/>
  <c r="R4500"/>
  <c r="R4501"/>
  <c r="R4502"/>
  <c r="R4503"/>
  <c r="R4504"/>
  <c r="R4505"/>
  <c r="R4506"/>
  <c r="R4507"/>
  <c r="R4508"/>
  <c r="R4509"/>
  <c r="R4510"/>
  <c r="R4511"/>
  <c r="R4512"/>
  <c r="R4513"/>
  <c r="R4514"/>
  <c r="R4515"/>
  <c r="R4516"/>
  <c r="R4517"/>
  <c r="R4518"/>
  <c r="R4519"/>
  <c r="R4520"/>
  <c r="R4521"/>
  <c r="R4522"/>
  <c r="R4523"/>
  <c r="R4524"/>
  <c r="R4525"/>
  <c r="R4526"/>
  <c r="R4527"/>
  <c r="R4528"/>
  <c r="R4529"/>
  <c r="R4530"/>
  <c r="R4531"/>
  <c r="R4532"/>
  <c r="R4533"/>
  <c r="R4534"/>
  <c r="R4535"/>
  <c r="R4536"/>
  <c r="R4537"/>
  <c r="R4538"/>
  <c r="R4539"/>
  <c r="R4540"/>
  <c r="R4541"/>
  <c r="R4542"/>
  <c r="R4543"/>
  <c r="R4544"/>
  <c r="R4545"/>
  <c r="R4546"/>
  <c r="R4547"/>
  <c r="R4548"/>
  <c r="R4549"/>
  <c r="R4550"/>
  <c r="R4551"/>
  <c r="R4552"/>
  <c r="R4553"/>
  <c r="R4554"/>
  <c r="R4555"/>
  <c r="R4556"/>
  <c r="R4557"/>
  <c r="R4558"/>
  <c r="R4559"/>
  <c r="R4560"/>
  <c r="R4561"/>
  <c r="R4562"/>
  <c r="R4563"/>
  <c r="R4564"/>
  <c r="R4565"/>
  <c r="R4566"/>
  <c r="R4567"/>
  <c r="R4568"/>
  <c r="R4569"/>
  <c r="R4570"/>
  <c r="R4571"/>
  <c r="R4572"/>
  <c r="R4573"/>
  <c r="R4574"/>
  <c r="R4575"/>
  <c r="R4576"/>
  <c r="R4577"/>
  <c r="R4578"/>
  <c r="R4579"/>
  <c r="R4580"/>
  <c r="R4581"/>
  <c r="R4582"/>
  <c r="R4583"/>
  <c r="R4584"/>
  <c r="R4585"/>
  <c r="R4586"/>
  <c r="R4587"/>
  <c r="R4588"/>
  <c r="R4589"/>
  <c r="R4590"/>
  <c r="R4591"/>
  <c r="R4592"/>
  <c r="R4593"/>
  <c r="R4594"/>
  <c r="R4595"/>
  <c r="R4596"/>
  <c r="R4597"/>
  <c r="R4598"/>
  <c r="R4599"/>
  <c r="R4600"/>
  <c r="R4601"/>
  <c r="R4602"/>
  <c r="R4603"/>
  <c r="R4604"/>
  <c r="R4605"/>
  <c r="R4606"/>
  <c r="R4607"/>
  <c r="R4608"/>
  <c r="R4609"/>
  <c r="R4610"/>
  <c r="R4611"/>
  <c r="R4612"/>
  <c r="R4613"/>
  <c r="R4614"/>
  <c r="R4615"/>
  <c r="R4616"/>
  <c r="R4617"/>
  <c r="R4618"/>
  <c r="R4619"/>
  <c r="R4620"/>
  <c r="R4621"/>
  <c r="R4622"/>
  <c r="R4623"/>
  <c r="R4624"/>
  <c r="R4625"/>
  <c r="R4626"/>
  <c r="R4627"/>
  <c r="R4628"/>
  <c r="R4629"/>
  <c r="R4630"/>
  <c r="R4631"/>
  <c r="R4632"/>
  <c r="R4633"/>
  <c r="R4634"/>
  <c r="R4635"/>
  <c r="R4636"/>
  <c r="R4637"/>
  <c r="R4638"/>
  <c r="R4639"/>
  <c r="R4640"/>
  <c r="R4641"/>
  <c r="R4642"/>
  <c r="R4643"/>
  <c r="R4644"/>
  <c r="R4645"/>
  <c r="R4646"/>
  <c r="R4647"/>
  <c r="R4648"/>
  <c r="R4649"/>
  <c r="R4650"/>
  <c r="R4651"/>
  <c r="R4652"/>
  <c r="R4653"/>
  <c r="R4654"/>
  <c r="R4655"/>
  <c r="R4656"/>
  <c r="R4657"/>
  <c r="R4658"/>
  <c r="R4659"/>
  <c r="R4660"/>
  <c r="R4661"/>
  <c r="R4662"/>
  <c r="R4663"/>
  <c r="R4664"/>
  <c r="R4665"/>
  <c r="R4666"/>
  <c r="R4667"/>
  <c r="R4668"/>
  <c r="R4669"/>
  <c r="R4670"/>
  <c r="R4671"/>
  <c r="R4672"/>
  <c r="R4673"/>
  <c r="R4674"/>
  <c r="R4675"/>
  <c r="R4676"/>
  <c r="R4677"/>
  <c r="R4678"/>
  <c r="R4679"/>
  <c r="R4680"/>
  <c r="R4681"/>
  <c r="R4682"/>
  <c r="R4683"/>
  <c r="R4684"/>
  <c r="R4685"/>
  <c r="R4686"/>
  <c r="R4687"/>
  <c r="R4688"/>
  <c r="R4689"/>
  <c r="R4690"/>
  <c r="R4691"/>
  <c r="R4692"/>
  <c r="R4693"/>
  <c r="R4694"/>
  <c r="R4695"/>
  <c r="R4696"/>
  <c r="R4697"/>
  <c r="R4698"/>
  <c r="R4699"/>
  <c r="R4700"/>
  <c r="R4701"/>
  <c r="R4702"/>
  <c r="R4703"/>
  <c r="R4704"/>
  <c r="R4705"/>
  <c r="R4706"/>
  <c r="R4707"/>
  <c r="R4708"/>
  <c r="R4709"/>
  <c r="R4710"/>
  <c r="R4711"/>
  <c r="R4712"/>
  <c r="R4713"/>
  <c r="R4714"/>
  <c r="R4715"/>
  <c r="R4716"/>
  <c r="R4717"/>
  <c r="R4718"/>
  <c r="R4719"/>
  <c r="R4720"/>
  <c r="R4721"/>
  <c r="R4722"/>
  <c r="R4723"/>
  <c r="R4724"/>
  <c r="R4725"/>
  <c r="R4726"/>
  <c r="R4727"/>
  <c r="R4728"/>
  <c r="R4729"/>
  <c r="R4730"/>
  <c r="R4731"/>
  <c r="R4732"/>
  <c r="R4733"/>
  <c r="R4734"/>
  <c r="R4735"/>
  <c r="R4736"/>
  <c r="R4737"/>
  <c r="R4738"/>
  <c r="R4739"/>
  <c r="R4740"/>
  <c r="R4741"/>
  <c r="R4742"/>
  <c r="R4743"/>
  <c r="R4744"/>
  <c r="R4745"/>
  <c r="R4746"/>
  <c r="R4747"/>
  <c r="R4748"/>
  <c r="R4749"/>
  <c r="R4750"/>
  <c r="R4751"/>
  <c r="R4752"/>
  <c r="R4753"/>
  <c r="R4754"/>
  <c r="R4755"/>
  <c r="R4756"/>
  <c r="R4757"/>
  <c r="R4758"/>
  <c r="R4759"/>
  <c r="R4760"/>
  <c r="R4761"/>
  <c r="R4762"/>
  <c r="R4763"/>
  <c r="R4764"/>
  <c r="R4765"/>
  <c r="R4766"/>
  <c r="R4767"/>
  <c r="R4768"/>
  <c r="R4769"/>
  <c r="R4770"/>
  <c r="R4771"/>
  <c r="R4772"/>
  <c r="R4773"/>
  <c r="R4774"/>
  <c r="R4775"/>
  <c r="R4776"/>
  <c r="R4777"/>
  <c r="R4778"/>
  <c r="R4779"/>
  <c r="R4780"/>
  <c r="R4781"/>
  <c r="R4782"/>
  <c r="R4783"/>
  <c r="R4784"/>
  <c r="R4785"/>
  <c r="R4786"/>
  <c r="R4787"/>
  <c r="R4788"/>
  <c r="R4789"/>
  <c r="R4790"/>
  <c r="R4791"/>
  <c r="R4792"/>
  <c r="R4793"/>
  <c r="R4794"/>
  <c r="R4795"/>
  <c r="R4796"/>
  <c r="R4797"/>
  <c r="R4798"/>
  <c r="R4799"/>
  <c r="R4800"/>
  <c r="R4801"/>
  <c r="R4802"/>
  <c r="R4803"/>
  <c r="R4804"/>
  <c r="R4805"/>
  <c r="R4806"/>
  <c r="R4807"/>
  <c r="R4808"/>
  <c r="R4809"/>
  <c r="R4810"/>
  <c r="R4811"/>
  <c r="R4812"/>
  <c r="R4813"/>
  <c r="R4814"/>
  <c r="R4815"/>
  <c r="R4816"/>
  <c r="R4817"/>
  <c r="R4818"/>
  <c r="R4819"/>
  <c r="R4820"/>
  <c r="R4821"/>
  <c r="R4822"/>
  <c r="R4823"/>
  <c r="R4824"/>
  <c r="R4825"/>
  <c r="R4826"/>
  <c r="R4827"/>
  <c r="R4828"/>
  <c r="R4829"/>
  <c r="R4830"/>
  <c r="R4831"/>
  <c r="R4832"/>
  <c r="R4833"/>
  <c r="R4834"/>
  <c r="R4835"/>
  <c r="R4836"/>
  <c r="R4837"/>
  <c r="R4838"/>
  <c r="R4839"/>
  <c r="R4840"/>
  <c r="R4841"/>
  <c r="R4842"/>
  <c r="R4843"/>
  <c r="R4844"/>
  <c r="R4845"/>
  <c r="R4846"/>
  <c r="R4847"/>
  <c r="R4848"/>
  <c r="R4849"/>
  <c r="R4850"/>
  <c r="R4851"/>
  <c r="R4852"/>
  <c r="R4853"/>
  <c r="R4854"/>
  <c r="R4855"/>
  <c r="R4856"/>
  <c r="R4857"/>
  <c r="R4858"/>
  <c r="R4859"/>
  <c r="R4860"/>
  <c r="R4861"/>
  <c r="R4862"/>
  <c r="R4863"/>
  <c r="R4864"/>
  <c r="R4865"/>
  <c r="R4866"/>
  <c r="R4867"/>
  <c r="R4868"/>
  <c r="R4869"/>
  <c r="R4870"/>
  <c r="R4871"/>
  <c r="R4872"/>
  <c r="R4873"/>
  <c r="R4874"/>
  <c r="R4875"/>
  <c r="R4876"/>
  <c r="R4877"/>
  <c r="R4878"/>
  <c r="R4879"/>
  <c r="R4880"/>
  <c r="R4881"/>
  <c r="R4882"/>
  <c r="R4883"/>
  <c r="R4884"/>
  <c r="R4885"/>
  <c r="R4886"/>
  <c r="R4887"/>
  <c r="R4888"/>
  <c r="R4889"/>
  <c r="R4890"/>
  <c r="R4891"/>
  <c r="R4892"/>
  <c r="R4893"/>
  <c r="R4894"/>
  <c r="R4895"/>
  <c r="R4896"/>
  <c r="R4897"/>
  <c r="R4898"/>
  <c r="R4899"/>
  <c r="R4900"/>
  <c r="R4901"/>
  <c r="R4902"/>
  <c r="R4903"/>
  <c r="R4904"/>
  <c r="R4905"/>
  <c r="R4906"/>
  <c r="R4907"/>
  <c r="R4908"/>
  <c r="R4909"/>
  <c r="R4910"/>
  <c r="R4911"/>
  <c r="R4912"/>
  <c r="R4913"/>
  <c r="R4914"/>
  <c r="R4915"/>
  <c r="R4916"/>
  <c r="R4917"/>
  <c r="R4918"/>
  <c r="R4919"/>
  <c r="R4920"/>
  <c r="R4921"/>
  <c r="R4922"/>
  <c r="R4923"/>
  <c r="R4924"/>
  <c r="R4925"/>
  <c r="R4926"/>
  <c r="R4927"/>
  <c r="R4928"/>
  <c r="R4929"/>
  <c r="R4930"/>
  <c r="R4931"/>
  <c r="R4932"/>
  <c r="R4933"/>
  <c r="R4934"/>
  <c r="R4935"/>
  <c r="R4936"/>
  <c r="R4937"/>
  <c r="R4938"/>
  <c r="R4939"/>
  <c r="R4940"/>
  <c r="R4941"/>
  <c r="R4942"/>
  <c r="R4943"/>
  <c r="R4944"/>
  <c r="R4945"/>
  <c r="R4946"/>
  <c r="R4947"/>
  <c r="R4948"/>
  <c r="R4949"/>
  <c r="R4950"/>
  <c r="R4951"/>
  <c r="R4952"/>
  <c r="R4953"/>
  <c r="R4954"/>
  <c r="R4955"/>
  <c r="R4956"/>
  <c r="R4957"/>
  <c r="R4958"/>
  <c r="R4959"/>
  <c r="R4960"/>
  <c r="R4961"/>
  <c r="R4962"/>
  <c r="R4963"/>
  <c r="R4964"/>
  <c r="R4965"/>
  <c r="R4966"/>
  <c r="R4967"/>
  <c r="R4968"/>
  <c r="R4969"/>
  <c r="R4970"/>
  <c r="R4971"/>
  <c r="R4972"/>
  <c r="R4973"/>
  <c r="R4974"/>
  <c r="R4975"/>
  <c r="R4976"/>
  <c r="R4977"/>
  <c r="R4978"/>
  <c r="R4979"/>
  <c r="R4980"/>
  <c r="R4981"/>
  <c r="R4982"/>
  <c r="R4983"/>
  <c r="R4984"/>
  <c r="R4985"/>
  <c r="R4986"/>
  <c r="R4987"/>
  <c r="R4988"/>
  <c r="R4989"/>
  <c r="R4990"/>
  <c r="R4991"/>
  <c r="R4992"/>
  <c r="R4993"/>
  <c r="R4994"/>
  <c r="R4995"/>
  <c r="R4996"/>
  <c r="R4997"/>
  <c r="R4998"/>
  <c r="R4999"/>
  <c r="R5000"/>
  <c r="R5001"/>
  <c r="R5002"/>
  <c r="R5003"/>
  <c r="R5004"/>
  <c r="R5005"/>
  <c r="R5006"/>
  <c r="R5007"/>
  <c r="R5008"/>
  <c r="R5009"/>
  <c r="R5010"/>
  <c r="R5011"/>
  <c r="R5012"/>
  <c r="R5013"/>
  <c r="R5014"/>
  <c r="R5015"/>
  <c r="R5016"/>
  <c r="R5017"/>
  <c r="R5018"/>
  <c r="R5019"/>
  <c r="R5020"/>
  <c r="R5021"/>
  <c r="R5022"/>
  <c r="R5023"/>
  <c r="R5024"/>
  <c r="R5025"/>
  <c r="R5026"/>
  <c r="R5027"/>
  <c r="R5028"/>
  <c r="R5029"/>
  <c r="R5030"/>
  <c r="R5031"/>
  <c r="R5032"/>
  <c r="R5033"/>
  <c r="R5034"/>
  <c r="R5035"/>
  <c r="R5036"/>
  <c r="R5037"/>
  <c r="R5038"/>
  <c r="R5039"/>
  <c r="R5040"/>
  <c r="R5041"/>
  <c r="R5042"/>
  <c r="R5043"/>
  <c r="R5044"/>
  <c r="R5045"/>
  <c r="R5046"/>
  <c r="R5047"/>
  <c r="R5048"/>
  <c r="R5049"/>
  <c r="R5050"/>
  <c r="R5051"/>
  <c r="R5052"/>
  <c r="R5053"/>
  <c r="R5054"/>
  <c r="R5055"/>
  <c r="R5056"/>
  <c r="R5057"/>
  <c r="R5058"/>
  <c r="R5059"/>
  <c r="R5060"/>
  <c r="R5061"/>
  <c r="R5062"/>
  <c r="R5063"/>
  <c r="R5064"/>
  <c r="R5065"/>
  <c r="R5066"/>
  <c r="R5067"/>
  <c r="R5068"/>
  <c r="R5069"/>
  <c r="R5070"/>
  <c r="R5071"/>
  <c r="R5072"/>
  <c r="R5073"/>
  <c r="R5074"/>
  <c r="R5075"/>
  <c r="R5076"/>
  <c r="R5077"/>
  <c r="R5078"/>
  <c r="R5079"/>
  <c r="R5080"/>
  <c r="R5081"/>
  <c r="R5082"/>
  <c r="R5083"/>
  <c r="R5084"/>
  <c r="R5085"/>
  <c r="R5086"/>
  <c r="R5087"/>
  <c r="R5088"/>
  <c r="R5089"/>
  <c r="R5090"/>
  <c r="R5091"/>
  <c r="R5092"/>
  <c r="R5093"/>
  <c r="R5094"/>
  <c r="R5095"/>
  <c r="R5096"/>
  <c r="R5097"/>
  <c r="R5098"/>
  <c r="R5099"/>
  <c r="R5100"/>
  <c r="R5101"/>
  <c r="R5102"/>
  <c r="R5103"/>
  <c r="R5104"/>
  <c r="R5105"/>
  <c r="R5106"/>
  <c r="R5107"/>
  <c r="R5108"/>
  <c r="R5109"/>
  <c r="R5110"/>
  <c r="R5111"/>
  <c r="R5112"/>
  <c r="R5113"/>
  <c r="R5114"/>
  <c r="R5115"/>
  <c r="R5116"/>
  <c r="R5117"/>
  <c r="R5118"/>
  <c r="R5119"/>
  <c r="R5120"/>
  <c r="R5121"/>
  <c r="R5122"/>
  <c r="R5123"/>
  <c r="R5124"/>
  <c r="R5125"/>
  <c r="R5126"/>
  <c r="R5127"/>
  <c r="R5128"/>
  <c r="R5129"/>
  <c r="R5130"/>
  <c r="R5131"/>
  <c r="R5132"/>
  <c r="R5133"/>
  <c r="R5134"/>
  <c r="R5135"/>
  <c r="R5136"/>
  <c r="R5137"/>
  <c r="R5138"/>
  <c r="R5139"/>
  <c r="R5140"/>
  <c r="R5141"/>
  <c r="R5142"/>
  <c r="R5143"/>
  <c r="R5144"/>
  <c r="R5145"/>
  <c r="R5146"/>
  <c r="R5147"/>
  <c r="R5148"/>
  <c r="R5149"/>
  <c r="R5150"/>
  <c r="R5151"/>
  <c r="R5152"/>
  <c r="R5153"/>
  <c r="R5154"/>
  <c r="R5155"/>
  <c r="R5156"/>
  <c r="R5157"/>
  <c r="R5158"/>
  <c r="R5159"/>
  <c r="R5160"/>
  <c r="R5161"/>
  <c r="R5162"/>
  <c r="R5163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65"/>
  <c r="S1266"/>
  <c r="S1267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307"/>
  <c r="S1308"/>
  <c r="S1309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439"/>
  <c r="S1440"/>
  <c r="S1441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515"/>
  <c r="S1516"/>
  <c r="S1517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46"/>
  <c r="S1547"/>
  <c r="S1548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92"/>
  <c r="S1593"/>
  <c r="S1594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637"/>
  <c r="S1638"/>
  <c r="S1639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76"/>
  <c r="S1677"/>
  <c r="S1678"/>
  <c r="S1679"/>
  <c r="S1680"/>
  <c r="S1681"/>
  <c r="S1682"/>
  <c r="S1683"/>
  <c r="S1684"/>
  <c r="S1685"/>
  <c r="S1686"/>
  <c r="S1687"/>
  <c r="S1688"/>
  <c r="S1689"/>
  <c r="S1690"/>
  <c r="S1691"/>
  <c r="S1692"/>
  <c r="S1693"/>
  <c r="S1694"/>
  <c r="S1695"/>
  <c r="S1696"/>
  <c r="S1697"/>
  <c r="S1698"/>
  <c r="S1699"/>
  <c r="S1700"/>
  <c r="S1701"/>
  <c r="S1702"/>
  <c r="S1703"/>
  <c r="S1704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7"/>
  <c r="S1768"/>
  <c r="S1769"/>
  <c r="S1770"/>
  <c r="S1771"/>
  <c r="S1772"/>
  <c r="S1773"/>
  <c r="S1774"/>
  <c r="S1775"/>
  <c r="S1776"/>
  <c r="S1777"/>
  <c r="S1778"/>
  <c r="S1779"/>
  <c r="S1780"/>
  <c r="S1781"/>
  <c r="S1782"/>
  <c r="S1783"/>
  <c r="S1784"/>
  <c r="S1785"/>
  <c r="S1786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805"/>
  <c r="S1806"/>
  <c r="S1807"/>
  <c r="S1808"/>
  <c r="S1809"/>
  <c r="S1810"/>
  <c r="S1811"/>
  <c r="S1812"/>
  <c r="S1813"/>
  <c r="S1814"/>
  <c r="S1815"/>
  <c r="S1816"/>
  <c r="S1817"/>
  <c r="S1818"/>
  <c r="S1819"/>
  <c r="S1820"/>
  <c r="S1821"/>
  <c r="S1822"/>
  <c r="S1823"/>
  <c r="S1824"/>
  <c r="S1825"/>
  <c r="S1826"/>
  <c r="S1827"/>
  <c r="S1828"/>
  <c r="S1829"/>
  <c r="S1830"/>
  <c r="S1831"/>
  <c r="S1832"/>
  <c r="S1833"/>
  <c r="S1834"/>
  <c r="S1835"/>
  <c r="S1836"/>
  <c r="S1837"/>
  <c r="S1838"/>
  <c r="S1839"/>
  <c r="S1840"/>
  <c r="S1841"/>
  <c r="S1842"/>
  <c r="S1843"/>
  <c r="S1844"/>
  <c r="S1845"/>
  <c r="S1846"/>
  <c r="S1847"/>
  <c r="S1848"/>
  <c r="S1849"/>
  <c r="S1850"/>
  <c r="S1851"/>
  <c r="S1852"/>
  <c r="S1853"/>
  <c r="S1854"/>
  <c r="S1855"/>
  <c r="S1856"/>
  <c r="S1857"/>
  <c r="S1858"/>
  <c r="S1859"/>
  <c r="S1860"/>
  <c r="S1861"/>
  <c r="S1862"/>
  <c r="S1863"/>
  <c r="S1864"/>
  <c r="S1865"/>
  <c r="S1866"/>
  <c r="S1867"/>
  <c r="S1868"/>
  <c r="S1869"/>
  <c r="S1870"/>
  <c r="S1871"/>
  <c r="S1872"/>
  <c r="S1873"/>
  <c r="S1874"/>
  <c r="S1875"/>
  <c r="S1876"/>
  <c r="S1877"/>
  <c r="S1878"/>
  <c r="S1879"/>
  <c r="S1880"/>
  <c r="S1881"/>
  <c r="S1882"/>
  <c r="S1883"/>
  <c r="S1884"/>
  <c r="S1885"/>
  <c r="S1886"/>
  <c r="S1887"/>
  <c r="S1888"/>
  <c r="S1889"/>
  <c r="S1890"/>
  <c r="S1891"/>
  <c r="S1892"/>
  <c r="S1893"/>
  <c r="S1894"/>
  <c r="S1895"/>
  <c r="S1896"/>
  <c r="S1897"/>
  <c r="S1898"/>
  <c r="S1899"/>
  <c r="S1900"/>
  <c r="S1901"/>
  <c r="S1902"/>
  <c r="S1903"/>
  <c r="S1904"/>
  <c r="S1905"/>
  <c r="S1906"/>
  <c r="S1907"/>
  <c r="S1908"/>
  <c r="S1909"/>
  <c r="S1910"/>
  <c r="S1911"/>
  <c r="S1912"/>
  <c r="S1913"/>
  <c r="S1914"/>
  <c r="S1915"/>
  <c r="S1916"/>
  <c r="S1917"/>
  <c r="S1918"/>
  <c r="S1919"/>
  <c r="S1920"/>
  <c r="S1921"/>
  <c r="S1922"/>
  <c r="S1923"/>
  <c r="S1924"/>
  <c r="S1925"/>
  <c r="S1926"/>
  <c r="S1927"/>
  <c r="S1928"/>
  <c r="S1929"/>
  <c r="S1930"/>
  <c r="S1931"/>
  <c r="S1932"/>
  <c r="S1933"/>
  <c r="S1934"/>
  <c r="S1935"/>
  <c r="S1936"/>
  <c r="S1937"/>
  <c r="S1938"/>
  <c r="S1939"/>
  <c r="S1940"/>
  <c r="S1941"/>
  <c r="S1942"/>
  <c r="S1943"/>
  <c r="S1944"/>
  <c r="S1945"/>
  <c r="S1946"/>
  <c r="S1947"/>
  <c r="S1948"/>
  <c r="S1949"/>
  <c r="S1950"/>
  <c r="S1951"/>
  <c r="S1952"/>
  <c r="S1953"/>
  <c r="S1954"/>
  <c r="S1955"/>
  <c r="S1956"/>
  <c r="S1957"/>
  <c r="S1958"/>
  <c r="S1959"/>
  <c r="S1960"/>
  <c r="S1961"/>
  <c r="S1962"/>
  <c r="S1963"/>
  <c r="S1964"/>
  <c r="S1965"/>
  <c r="S1966"/>
  <c r="S1967"/>
  <c r="S1968"/>
  <c r="S1969"/>
  <c r="S1970"/>
  <c r="S1971"/>
  <c r="S1972"/>
  <c r="S1973"/>
  <c r="S1974"/>
  <c r="S1975"/>
  <c r="S1976"/>
  <c r="S1977"/>
  <c r="S1978"/>
  <c r="S1979"/>
  <c r="S1980"/>
  <c r="S1981"/>
  <c r="S1982"/>
  <c r="S1983"/>
  <c r="S1984"/>
  <c r="S1985"/>
  <c r="S1986"/>
  <c r="S1987"/>
  <c r="S1988"/>
  <c r="S1989"/>
  <c r="S1990"/>
  <c r="S1991"/>
  <c r="S1992"/>
  <c r="S1993"/>
  <c r="S1994"/>
  <c r="S1995"/>
  <c r="S1996"/>
  <c r="S1997"/>
  <c r="S1998"/>
  <c r="S1999"/>
  <c r="S2000"/>
  <c r="S2001"/>
  <c r="S2002"/>
  <c r="S2003"/>
  <c r="S2004"/>
  <c r="S2005"/>
  <c r="S2006"/>
  <c r="S2007"/>
  <c r="S2008"/>
  <c r="S2009"/>
  <c r="S2010"/>
  <c r="S2011"/>
  <c r="S2012"/>
  <c r="S2013"/>
  <c r="S2014"/>
  <c r="S2015"/>
  <c r="S2016"/>
  <c r="S2017"/>
  <c r="S2018"/>
  <c r="S2019"/>
  <c r="S2020"/>
  <c r="S2021"/>
  <c r="S2022"/>
  <c r="S2023"/>
  <c r="S2024"/>
  <c r="S2025"/>
  <c r="S2026"/>
  <c r="S2027"/>
  <c r="S2028"/>
  <c r="S2029"/>
  <c r="S2030"/>
  <c r="S2031"/>
  <c r="S2032"/>
  <c r="S2033"/>
  <c r="S2034"/>
  <c r="S2035"/>
  <c r="S2036"/>
  <c r="S2037"/>
  <c r="S2038"/>
  <c r="S2039"/>
  <c r="S2040"/>
  <c r="S2041"/>
  <c r="S2042"/>
  <c r="S2043"/>
  <c r="S2044"/>
  <c r="S2045"/>
  <c r="S2046"/>
  <c r="S2047"/>
  <c r="S2048"/>
  <c r="S2049"/>
  <c r="S2050"/>
  <c r="S2051"/>
  <c r="S2052"/>
  <c r="S2053"/>
  <c r="S2054"/>
  <c r="S2055"/>
  <c r="S2056"/>
  <c r="S2057"/>
  <c r="S2058"/>
  <c r="S2059"/>
  <c r="S2060"/>
  <c r="S2061"/>
  <c r="S2062"/>
  <c r="S2063"/>
  <c r="S2064"/>
  <c r="S2065"/>
  <c r="S2066"/>
  <c r="S2067"/>
  <c r="S2068"/>
  <c r="S2069"/>
  <c r="S2070"/>
  <c r="S2071"/>
  <c r="S2072"/>
  <c r="S2073"/>
  <c r="S2074"/>
  <c r="S2075"/>
  <c r="S2076"/>
  <c r="S2077"/>
  <c r="S2078"/>
  <c r="S2079"/>
  <c r="S2080"/>
  <c r="S2081"/>
  <c r="S2082"/>
  <c r="S2083"/>
  <c r="S2084"/>
  <c r="S2085"/>
  <c r="S2086"/>
  <c r="S2087"/>
  <c r="S2088"/>
  <c r="S2089"/>
  <c r="S2090"/>
  <c r="S2091"/>
  <c r="S2092"/>
  <c r="S2093"/>
  <c r="S2094"/>
  <c r="S2095"/>
  <c r="S2096"/>
  <c r="S2097"/>
  <c r="S2098"/>
  <c r="S2099"/>
  <c r="S2100"/>
  <c r="S2101"/>
  <c r="S2102"/>
  <c r="S2103"/>
  <c r="S2104"/>
  <c r="S2105"/>
  <c r="S2106"/>
  <c r="S2107"/>
  <c r="S2108"/>
  <c r="S2109"/>
  <c r="S2110"/>
  <c r="S2111"/>
  <c r="S2112"/>
  <c r="S2113"/>
  <c r="S2114"/>
  <c r="S2115"/>
  <c r="S2116"/>
  <c r="S2117"/>
  <c r="S2118"/>
  <c r="S2119"/>
  <c r="S2120"/>
  <c r="S2121"/>
  <c r="S2122"/>
  <c r="S2123"/>
  <c r="S2124"/>
  <c r="S2125"/>
  <c r="S2126"/>
  <c r="S2127"/>
  <c r="S2128"/>
  <c r="S2129"/>
  <c r="S2130"/>
  <c r="S2131"/>
  <c r="S2132"/>
  <c r="S2133"/>
  <c r="S2134"/>
  <c r="S2135"/>
  <c r="S2136"/>
  <c r="S2137"/>
  <c r="S2138"/>
  <c r="S2139"/>
  <c r="S2140"/>
  <c r="S2141"/>
  <c r="S2142"/>
  <c r="S2143"/>
  <c r="S2144"/>
  <c r="S2145"/>
  <c r="S2146"/>
  <c r="S2147"/>
  <c r="S2148"/>
  <c r="S2149"/>
  <c r="S2150"/>
  <c r="S2151"/>
  <c r="S2152"/>
  <c r="S2153"/>
  <c r="S2154"/>
  <c r="S2155"/>
  <c r="S2156"/>
  <c r="S2157"/>
  <c r="S2158"/>
  <c r="S2159"/>
  <c r="S2160"/>
  <c r="S2161"/>
  <c r="S2162"/>
  <c r="S2163"/>
  <c r="S2164"/>
  <c r="S2165"/>
  <c r="S2166"/>
  <c r="S2167"/>
  <c r="S2168"/>
  <c r="S2169"/>
  <c r="S2170"/>
  <c r="S2171"/>
  <c r="S2172"/>
  <c r="S2173"/>
  <c r="S2174"/>
  <c r="S2175"/>
  <c r="S2176"/>
  <c r="S2177"/>
  <c r="S2178"/>
  <c r="S2179"/>
  <c r="S2180"/>
  <c r="S2181"/>
  <c r="S2182"/>
  <c r="S2183"/>
  <c r="S2184"/>
  <c r="S2185"/>
  <c r="S2186"/>
  <c r="S2187"/>
  <c r="S2188"/>
  <c r="S2189"/>
  <c r="S2190"/>
  <c r="S2191"/>
  <c r="S2192"/>
  <c r="S2193"/>
  <c r="S2194"/>
  <c r="S2195"/>
  <c r="S2196"/>
  <c r="S2197"/>
  <c r="S2198"/>
  <c r="S2199"/>
  <c r="S2200"/>
  <c r="S2201"/>
  <c r="S2202"/>
  <c r="S2203"/>
  <c r="S2204"/>
  <c r="S2205"/>
  <c r="S2206"/>
  <c r="S2207"/>
  <c r="S2208"/>
  <c r="S2209"/>
  <c r="S2210"/>
  <c r="S2211"/>
  <c r="S2212"/>
  <c r="S2213"/>
  <c r="S2214"/>
  <c r="S2215"/>
  <c r="S2216"/>
  <c r="S2217"/>
  <c r="S2218"/>
  <c r="S2219"/>
  <c r="S2220"/>
  <c r="S2221"/>
  <c r="S2222"/>
  <c r="S2223"/>
  <c r="S2224"/>
  <c r="S2225"/>
  <c r="S2226"/>
  <c r="S2227"/>
  <c r="S2228"/>
  <c r="S2229"/>
  <c r="S2230"/>
  <c r="S2231"/>
  <c r="S2232"/>
  <c r="S2233"/>
  <c r="S2234"/>
  <c r="S2235"/>
  <c r="S2236"/>
  <c r="S2237"/>
  <c r="S2238"/>
  <c r="S2239"/>
  <c r="S2240"/>
  <c r="S2241"/>
  <c r="S2242"/>
  <c r="S2243"/>
  <c r="S2244"/>
  <c r="S2245"/>
  <c r="S2246"/>
  <c r="S2247"/>
  <c r="S2248"/>
  <c r="S2249"/>
  <c r="S2250"/>
  <c r="S2251"/>
  <c r="S2252"/>
  <c r="S2253"/>
  <c r="S2254"/>
  <c r="S2255"/>
  <c r="S2256"/>
  <c r="S2257"/>
  <c r="S2258"/>
  <c r="S2259"/>
  <c r="S2260"/>
  <c r="S2261"/>
  <c r="S2262"/>
  <c r="S2263"/>
  <c r="S2264"/>
  <c r="S2265"/>
  <c r="S2266"/>
  <c r="S2267"/>
  <c r="S2268"/>
  <c r="S2269"/>
  <c r="S2270"/>
  <c r="S2271"/>
  <c r="S2272"/>
  <c r="S2273"/>
  <c r="S2274"/>
  <c r="S2275"/>
  <c r="S2276"/>
  <c r="S2277"/>
  <c r="S2278"/>
  <c r="S2279"/>
  <c r="S2280"/>
  <c r="S2281"/>
  <c r="S2282"/>
  <c r="S2283"/>
  <c r="S2284"/>
  <c r="S2285"/>
  <c r="S2286"/>
  <c r="S2287"/>
  <c r="S2288"/>
  <c r="S2289"/>
  <c r="S2290"/>
  <c r="S2291"/>
  <c r="S2292"/>
  <c r="S2293"/>
  <c r="S2294"/>
  <c r="S2295"/>
  <c r="S2296"/>
  <c r="S2297"/>
  <c r="S2298"/>
  <c r="S2299"/>
  <c r="S2300"/>
  <c r="S2301"/>
  <c r="S2302"/>
  <c r="S2303"/>
  <c r="S2304"/>
  <c r="S2305"/>
  <c r="S2306"/>
  <c r="S2307"/>
  <c r="S2308"/>
  <c r="S2309"/>
  <c r="S2310"/>
  <c r="S2311"/>
  <c r="S2312"/>
  <c r="S2313"/>
  <c r="S2314"/>
  <c r="S2315"/>
  <c r="S2316"/>
  <c r="S2317"/>
  <c r="S2318"/>
  <c r="S2319"/>
  <c r="S2320"/>
  <c r="S2321"/>
  <c r="S2322"/>
  <c r="S2323"/>
  <c r="S2324"/>
  <c r="S2325"/>
  <c r="S2326"/>
  <c r="S2327"/>
  <c r="S2328"/>
  <c r="S2329"/>
  <c r="S2330"/>
  <c r="S2331"/>
  <c r="S2332"/>
  <c r="S2333"/>
  <c r="S2334"/>
  <c r="S2335"/>
  <c r="S2336"/>
  <c r="S2337"/>
  <c r="S2338"/>
  <c r="S2339"/>
  <c r="S2340"/>
  <c r="S2341"/>
  <c r="S2342"/>
  <c r="S2343"/>
  <c r="S2344"/>
  <c r="S2345"/>
  <c r="S2346"/>
  <c r="S2347"/>
  <c r="S2348"/>
  <c r="S2349"/>
  <c r="S2350"/>
  <c r="S2351"/>
  <c r="S2352"/>
  <c r="S2353"/>
  <c r="S2354"/>
  <c r="S2355"/>
  <c r="S2356"/>
  <c r="S2357"/>
  <c r="S2358"/>
  <c r="S2359"/>
  <c r="S2360"/>
  <c r="S2361"/>
  <c r="S2362"/>
  <c r="S2363"/>
  <c r="S2364"/>
  <c r="S2365"/>
  <c r="S2366"/>
  <c r="S2367"/>
  <c r="S2368"/>
  <c r="S2369"/>
  <c r="S2370"/>
  <c r="S2371"/>
  <c r="S2372"/>
  <c r="S2373"/>
  <c r="S2374"/>
  <c r="S2375"/>
  <c r="S2376"/>
  <c r="S2377"/>
  <c r="S2378"/>
  <c r="S2379"/>
  <c r="S2380"/>
  <c r="S2381"/>
  <c r="S2382"/>
  <c r="S2383"/>
  <c r="S2384"/>
  <c r="S2385"/>
  <c r="S2386"/>
  <c r="S2387"/>
  <c r="S2388"/>
  <c r="S2389"/>
  <c r="S2390"/>
  <c r="S2391"/>
  <c r="S2392"/>
  <c r="S2393"/>
  <c r="S2394"/>
  <c r="S2395"/>
  <c r="S2396"/>
  <c r="S2397"/>
  <c r="S2398"/>
  <c r="S2399"/>
  <c r="S2400"/>
  <c r="S2401"/>
  <c r="S2402"/>
  <c r="S2403"/>
  <c r="S2404"/>
  <c r="S2405"/>
  <c r="S2406"/>
  <c r="S2407"/>
  <c r="S2408"/>
  <c r="S2409"/>
  <c r="S2410"/>
  <c r="S2411"/>
  <c r="S2412"/>
  <c r="S2413"/>
  <c r="S2414"/>
  <c r="S2415"/>
  <c r="S2416"/>
  <c r="S2417"/>
  <c r="S2418"/>
  <c r="S2419"/>
  <c r="S2420"/>
  <c r="S2421"/>
  <c r="S2422"/>
  <c r="S2423"/>
  <c r="S2424"/>
  <c r="S2425"/>
  <c r="S2426"/>
  <c r="S2427"/>
  <c r="S2428"/>
  <c r="S2429"/>
  <c r="S2430"/>
  <c r="S2431"/>
  <c r="S2432"/>
  <c r="S2433"/>
  <c r="S2434"/>
  <c r="S2435"/>
  <c r="S2436"/>
  <c r="S2437"/>
  <c r="S2438"/>
  <c r="S2439"/>
  <c r="S2440"/>
  <c r="S2441"/>
  <c r="S2442"/>
  <c r="S2443"/>
  <c r="S2444"/>
  <c r="S2445"/>
  <c r="S2446"/>
  <c r="S2447"/>
  <c r="S2448"/>
  <c r="S2449"/>
  <c r="S2450"/>
  <c r="S2451"/>
  <c r="S2452"/>
  <c r="S2453"/>
  <c r="S2454"/>
  <c r="S2455"/>
  <c r="S2456"/>
  <c r="S2457"/>
  <c r="S2458"/>
  <c r="S2459"/>
  <c r="S2460"/>
  <c r="S2461"/>
  <c r="S2462"/>
  <c r="S2463"/>
  <c r="S2464"/>
  <c r="S2465"/>
  <c r="S2466"/>
  <c r="S2467"/>
  <c r="S2468"/>
  <c r="S2469"/>
  <c r="S2470"/>
  <c r="S2471"/>
  <c r="S2472"/>
  <c r="S2473"/>
  <c r="S2474"/>
  <c r="S2475"/>
  <c r="S2476"/>
  <c r="S2477"/>
  <c r="S2478"/>
  <c r="S2479"/>
  <c r="S2480"/>
  <c r="S2481"/>
  <c r="S2482"/>
  <c r="S2483"/>
  <c r="S2484"/>
  <c r="S2485"/>
  <c r="S2486"/>
  <c r="S2487"/>
  <c r="S2488"/>
  <c r="S2489"/>
  <c r="S2490"/>
  <c r="S2491"/>
  <c r="S2492"/>
  <c r="S2493"/>
  <c r="S2494"/>
  <c r="S2495"/>
  <c r="S2496"/>
  <c r="S2497"/>
  <c r="S2498"/>
  <c r="S2499"/>
  <c r="S2500"/>
  <c r="S2501"/>
  <c r="S2502"/>
  <c r="S2503"/>
  <c r="S2504"/>
  <c r="S2505"/>
  <c r="S2506"/>
  <c r="S2507"/>
  <c r="S2508"/>
  <c r="S2509"/>
  <c r="S2510"/>
  <c r="S2511"/>
  <c r="S2512"/>
  <c r="S2513"/>
  <c r="S2514"/>
  <c r="S2515"/>
  <c r="S2516"/>
  <c r="S2517"/>
  <c r="S2518"/>
  <c r="S2519"/>
  <c r="S2520"/>
  <c r="S2521"/>
  <c r="S2522"/>
  <c r="S2523"/>
  <c r="S2524"/>
  <c r="S2525"/>
  <c r="S2526"/>
  <c r="S2527"/>
  <c r="S2528"/>
  <c r="S2529"/>
  <c r="S2530"/>
  <c r="S2531"/>
  <c r="S2532"/>
  <c r="S2533"/>
  <c r="S2534"/>
  <c r="S2535"/>
  <c r="S2536"/>
  <c r="S2537"/>
  <c r="S2538"/>
  <c r="S2539"/>
  <c r="S2540"/>
  <c r="S2541"/>
  <c r="S2542"/>
  <c r="S2543"/>
  <c r="S2544"/>
  <c r="S2545"/>
  <c r="S2546"/>
  <c r="S2547"/>
  <c r="S2548"/>
  <c r="S2549"/>
  <c r="S2550"/>
  <c r="S2551"/>
  <c r="S2552"/>
  <c r="S2553"/>
  <c r="S2554"/>
  <c r="S2555"/>
  <c r="S2556"/>
  <c r="S2557"/>
  <c r="S2558"/>
  <c r="S2559"/>
  <c r="S2560"/>
  <c r="S2561"/>
  <c r="S2562"/>
  <c r="S2563"/>
  <c r="S2564"/>
  <c r="S2565"/>
  <c r="S2566"/>
  <c r="S2567"/>
  <c r="S2568"/>
  <c r="S2569"/>
  <c r="S2570"/>
  <c r="S2571"/>
  <c r="S2572"/>
  <c r="S2573"/>
  <c r="S2574"/>
  <c r="S2575"/>
  <c r="S2576"/>
  <c r="S2577"/>
  <c r="S2578"/>
  <c r="S2579"/>
  <c r="S2580"/>
  <c r="S2581"/>
  <c r="S2582"/>
  <c r="S2583"/>
  <c r="S2584"/>
  <c r="S2585"/>
  <c r="S2586"/>
  <c r="S2587"/>
  <c r="S2588"/>
  <c r="S2589"/>
  <c r="S2590"/>
  <c r="S2591"/>
  <c r="S2592"/>
  <c r="S2593"/>
  <c r="S2594"/>
  <c r="S2595"/>
  <c r="S2596"/>
  <c r="S2597"/>
  <c r="S2598"/>
  <c r="S2599"/>
  <c r="S2600"/>
  <c r="S2601"/>
  <c r="S2602"/>
  <c r="S2603"/>
  <c r="S2604"/>
  <c r="S2605"/>
  <c r="S2606"/>
  <c r="S2607"/>
  <c r="S2608"/>
  <c r="S2609"/>
  <c r="S2610"/>
  <c r="S2611"/>
  <c r="S2612"/>
  <c r="S2613"/>
  <c r="S2614"/>
  <c r="S2615"/>
  <c r="S2616"/>
  <c r="S2617"/>
  <c r="S2618"/>
  <c r="S2619"/>
  <c r="S2620"/>
  <c r="S2621"/>
  <c r="S2622"/>
  <c r="S2623"/>
  <c r="S2624"/>
  <c r="S2625"/>
  <c r="S2626"/>
  <c r="S2627"/>
  <c r="S2628"/>
  <c r="S2629"/>
  <c r="S2630"/>
  <c r="S2631"/>
  <c r="S2632"/>
  <c r="S2633"/>
  <c r="S2634"/>
  <c r="S2635"/>
  <c r="S2636"/>
  <c r="S2637"/>
  <c r="S2638"/>
  <c r="S2639"/>
  <c r="S2640"/>
  <c r="S2641"/>
  <c r="S2642"/>
  <c r="S2643"/>
  <c r="S2644"/>
  <c r="S2645"/>
  <c r="S2646"/>
  <c r="S2647"/>
  <c r="S2648"/>
  <c r="S2649"/>
  <c r="S2650"/>
  <c r="S2651"/>
  <c r="S2652"/>
  <c r="S2653"/>
  <c r="S2654"/>
  <c r="S2655"/>
  <c r="S2656"/>
  <c r="S2657"/>
  <c r="S2658"/>
  <c r="S2659"/>
  <c r="S2660"/>
  <c r="S2661"/>
  <c r="S2662"/>
  <c r="S2663"/>
  <c r="S2664"/>
  <c r="S2665"/>
  <c r="S2666"/>
  <c r="S2667"/>
  <c r="S2668"/>
  <c r="S2669"/>
  <c r="S2670"/>
  <c r="S2671"/>
  <c r="S2672"/>
  <c r="S2673"/>
  <c r="S2674"/>
  <c r="S2675"/>
  <c r="S2676"/>
  <c r="S2677"/>
  <c r="S2678"/>
  <c r="S2679"/>
  <c r="S2680"/>
  <c r="S2681"/>
  <c r="S2682"/>
  <c r="S2683"/>
  <c r="S2684"/>
  <c r="S2685"/>
  <c r="S2686"/>
  <c r="S2687"/>
  <c r="S2688"/>
  <c r="S2689"/>
  <c r="S2690"/>
  <c r="S2691"/>
  <c r="S2692"/>
  <c r="S2693"/>
  <c r="S2694"/>
  <c r="S2695"/>
  <c r="S2696"/>
  <c r="S2697"/>
  <c r="S2698"/>
  <c r="S2699"/>
  <c r="S2700"/>
  <c r="S2701"/>
  <c r="S2702"/>
  <c r="S2703"/>
  <c r="S2704"/>
  <c r="S2705"/>
  <c r="S2706"/>
  <c r="S2707"/>
  <c r="S2708"/>
  <c r="S2709"/>
  <c r="S2710"/>
  <c r="S2711"/>
  <c r="S2712"/>
  <c r="S2713"/>
  <c r="S2714"/>
  <c r="S2715"/>
  <c r="S2716"/>
  <c r="S2717"/>
  <c r="S2718"/>
  <c r="S2719"/>
  <c r="S2720"/>
  <c r="S2721"/>
  <c r="S2722"/>
  <c r="S2723"/>
  <c r="S2724"/>
  <c r="S2725"/>
  <c r="S2726"/>
  <c r="S2727"/>
  <c r="S2728"/>
  <c r="S2729"/>
  <c r="S2730"/>
  <c r="S2731"/>
  <c r="S2732"/>
  <c r="S2733"/>
  <c r="S2734"/>
  <c r="S2735"/>
  <c r="S2736"/>
  <c r="S2737"/>
  <c r="S2738"/>
  <c r="S2739"/>
  <c r="S2740"/>
  <c r="S2741"/>
  <c r="S2742"/>
  <c r="S2743"/>
  <c r="S2744"/>
  <c r="S2745"/>
  <c r="S2746"/>
  <c r="S2747"/>
  <c r="S2748"/>
  <c r="S2749"/>
  <c r="S2750"/>
  <c r="S2751"/>
  <c r="S2752"/>
  <c r="S2753"/>
  <c r="S2754"/>
  <c r="S2755"/>
  <c r="S2756"/>
  <c r="S2757"/>
  <c r="S2758"/>
  <c r="S2759"/>
  <c r="S2760"/>
  <c r="S2761"/>
  <c r="S2762"/>
  <c r="S2763"/>
  <c r="S2764"/>
  <c r="S2765"/>
  <c r="S2766"/>
  <c r="S2767"/>
  <c r="S2768"/>
  <c r="S2769"/>
  <c r="S2770"/>
  <c r="S2771"/>
  <c r="S2772"/>
  <c r="S2773"/>
  <c r="S2774"/>
  <c r="S2775"/>
  <c r="S2776"/>
  <c r="S2777"/>
  <c r="S2778"/>
  <c r="S2779"/>
  <c r="S2780"/>
  <c r="S2781"/>
  <c r="S2782"/>
  <c r="S2783"/>
  <c r="S2784"/>
  <c r="S2785"/>
  <c r="S2786"/>
  <c r="S2787"/>
  <c r="S2788"/>
  <c r="S2789"/>
  <c r="S2790"/>
  <c r="S2791"/>
  <c r="S2792"/>
  <c r="S2793"/>
  <c r="S2794"/>
  <c r="S2795"/>
  <c r="S2796"/>
  <c r="S2797"/>
  <c r="S2798"/>
  <c r="S2799"/>
  <c r="S2800"/>
  <c r="S2801"/>
  <c r="S2802"/>
  <c r="S2803"/>
  <c r="S2804"/>
  <c r="S2805"/>
  <c r="S2806"/>
  <c r="S2807"/>
  <c r="S2808"/>
  <c r="S2809"/>
  <c r="S2810"/>
  <c r="S2811"/>
  <c r="S2812"/>
  <c r="S2813"/>
  <c r="S2814"/>
  <c r="S2815"/>
  <c r="S2816"/>
  <c r="S2817"/>
  <c r="S2818"/>
  <c r="S2819"/>
  <c r="S2820"/>
  <c r="S2821"/>
  <c r="S2822"/>
  <c r="S2823"/>
  <c r="S2824"/>
  <c r="S2825"/>
  <c r="S2826"/>
  <c r="S2827"/>
  <c r="S2828"/>
  <c r="S2829"/>
  <c r="S2830"/>
  <c r="S2831"/>
  <c r="S2832"/>
  <c r="S2833"/>
  <c r="S2834"/>
  <c r="S2835"/>
  <c r="S2836"/>
  <c r="S2837"/>
  <c r="S2838"/>
  <c r="S2839"/>
  <c r="S2840"/>
  <c r="S2841"/>
  <c r="S2842"/>
  <c r="S2843"/>
  <c r="S2844"/>
  <c r="S2845"/>
  <c r="S2846"/>
  <c r="S2847"/>
  <c r="S2848"/>
  <c r="S2849"/>
  <c r="S2850"/>
  <c r="S2851"/>
  <c r="S2852"/>
  <c r="S2853"/>
  <c r="S2854"/>
  <c r="S2855"/>
  <c r="S2856"/>
  <c r="S2857"/>
  <c r="S2858"/>
  <c r="S2859"/>
  <c r="S2860"/>
  <c r="S2861"/>
  <c r="S2862"/>
  <c r="S2863"/>
  <c r="S2864"/>
  <c r="S2865"/>
  <c r="S2866"/>
  <c r="S2867"/>
  <c r="S2868"/>
  <c r="S2869"/>
  <c r="S2870"/>
  <c r="S2871"/>
  <c r="S2872"/>
  <c r="S2873"/>
  <c r="S2874"/>
  <c r="S2875"/>
  <c r="S2876"/>
  <c r="S2877"/>
  <c r="S2878"/>
  <c r="S2879"/>
  <c r="S2880"/>
  <c r="S2881"/>
  <c r="S2882"/>
  <c r="S2883"/>
  <c r="S2884"/>
  <c r="S2885"/>
  <c r="S2886"/>
  <c r="S2887"/>
  <c r="S2888"/>
  <c r="S2889"/>
  <c r="S2890"/>
  <c r="S2891"/>
  <c r="S2892"/>
  <c r="S2893"/>
  <c r="S2894"/>
  <c r="S2895"/>
  <c r="S2896"/>
  <c r="S2897"/>
  <c r="S2898"/>
  <c r="S2899"/>
  <c r="S2900"/>
  <c r="S2901"/>
  <c r="S2902"/>
  <c r="S2903"/>
  <c r="S2904"/>
  <c r="S2905"/>
  <c r="S2906"/>
  <c r="S2907"/>
  <c r="S2908"/>
  <c r="S2909"/>
  <c r="S2910"/>
  <c r="S2911"/>
  <c r="S2912"/>
  <c r="S2913"/>
  <c r="S2914"/>
  <c r="S2915"/>
  <c r="S2916"/>
  <c r="S2917"/>
  <c r="S2918"/>
  <c r="S2919"/>
  <c r="S2920"/>
  <c r="S2921"/>
  <c r="S2922"/>
  <c r="S2923"/>
  <c r="S2924"/>
  <c r="S2925"/>
  <c r="S2926"/>
  <c r="S2927"/>
  <c r="S2928"/>
  <c r="S2929"/>
  <c r="S2930"/>
  <c r="S2931"/>
  <c r="S2932"/>
  <c r="S2933"/>
  <c r="S2934"/>
  <c r="S2935"/>
  <c r="S2936"/>
  <c r="S2937"/>
  <c r="S2938"/>
  <c r="S2939"/>
  <c r="S2940"/>
  <c r="S2941"/>
  <c r="S2942"/>
  <c r="S2943"/>
  <c r="S2944"/>
  <c r="S2945"/>
  <c r="S2946"/>
  <c r="S2947"/>
  <c r="S2948"/>
  <c r="S2949"/>
  <c r="S2950"/>
  <c r="S2951"/>
  <c r="S2952"/>
  <c r="S2953"/>
  <c r="S2954"/>
  <c r="S2955"/>
  <c r="S2956"/>
  <c r="S2957"/>
  <c r="S2958"/>
  <c r="S2959"/>
  <c r="S2960"/>
  <c r="S2961"/>
  <c r="S2962"/>
  <c r="S2963"/>
  <c r="S2964"/>
  <c r="S2965"/>
  <c r="S2966"/>
  <c r="S2967"/>
  <c r="S2968"/>
  <c r="S2969"/>
  <c r="S2970"/>
  <c r="S2971"/>
  <c r="S2972"/>
  <c r="S2973"/>
  <c r="S2974"/>
  <c r="S2975"/>
  <c r="S2976"/>
  <c r="S2977"/>
  <c r="S2978"/>
  <c r="S2979"/>
  <c r="S2980"/>
  <c r="S2981"/>
  <c r="S2982"/>
  <c r="S2983"/>
  <c r="S2984"/>
  <c r="S2985"/>
  <c r="S2986"/>
  <c r="S2987"/>
  <c r="S2988"/>
  <c r="S2989"/>
  <c r="S2990"/>
  <c r="S2991"/>
  <c r="S2992"/>
  <c r="S2993"/>
  <c r="S2994"/>
  <c r="S2995"/>
  <c r="S2996"/>
  <c r="S2997"/>
  <c r="S2998"/>
  <c r="S2999"/>
  <c r="S3000"/>
  <c r="S3001"/>
  <c r="S3002"/>
  <c r="S3003"/>
  <c r="S3004"/>
  <c r="S3005"/>
  <c r="S3006"/>
  <c r="S3007"/>
  <c r="S3008"/>
  <c r="S3009"/>
  <c r="S3010"/>
  <c r="S3011"/>
  <c r="S3012"/>
  <c r="S3013"/>
  <c r="S3014"/>
  <c r="S3015"/>
  <c r="S3016"/>
  <c r="S3017"/>
  <c r="S3018"/>
  <c r="S3019"/>
  <c r="S3020"/>
  <c r="S3021"/>
  <c r="S3022"/>
  <c r="S3023"/>
  <c r="S3024"/>
  <c r="S3025"/>
  <c r="S3026"/>
  <c r="S3027"/>
  <c r="S3028"/>
  <c r="S3029"/>
  <c r="S3030"/>
  <c r="S3031"/>
  <c r="S3032"/>
  <c r="S3033"/>
  <c r="S3034"/>
  <c r="S3035"/>
  <c r="S3036"/>
  <c r="S3037"/>
  <c r="S3038"/>
  <c r="S3039"/>
  <c r="S3040"/>
  <c r="S3041"/>
  <c r="S3042"/>
  <c r="S3043"/>
  <c r="S3044"/>
  <c r="S3045"/>
  <c r="S3046"/>
  <c r="S3047"/>
  <c r="S3048"/>
  <c r="S3049"/>
  <c r="S3050"/>
  <c r="S3051"/>
  <c r="S3052"/>
  <c r="S3053"/>
  <c r="S3054"/>
  <c r="S3055"/>
  <c r="S3056"/>
  <c r="S3057"/>
  <c r="S3058"/>
  <c r="S3059"/>
  <c r="S3060"/>
  <c r="S3061"/>
  <c r="S3062"/>
  <c r="S3063"/>
  <c r="S3064"/>
  <c r="S3065"/>
  <c r="S3066"/>
  <c r="S3067"/>
  <c r="S3068"/>
  <c r="S3069"/>
  <c r="S3070"/>
  <c r="S3071"/>
  <c r="S3072"/>
  <c r="S3073"/>
  <c r="S3074"/>
  <c r="S3075"/>
  <c r="S3076"/>
  <c r="S3077"/>
  <c r="S3078"/>
  <c r="S3079"/>
  <c r="S3080"/>
  <c r="S3081"/>
  <c r="S3082"/>
  <c r="S3083"/>
  <c r="S3084"/>
  <c r="S3085"/>
  <c r="S3086"/>
  <c r="S3087"/>
  <c r="S3088"/>
  <c r="S3089"/>
  <c r="S3090"/>
  <c r="S3091"/>
  <c r="S3092"/>
  <c r="S3093"/>
  <c r="S3094"/>
  <c r="S3095"/>
  <c r="S3096"/>
  <c r="S3097"/>
  <c r="S3098"/>
  <c r="S3099"/>
  <c r="S3100"/>
  <c r="S3101"/>
  <c r="S3102"/>
  <c r="S3103"/>
  <c r="S3104"/>
  <c r="S3105"/>
  <c r="S3106"/>
  <c r="S3107"/>
  <c r="S3108"/>
  <c r="S3109"/>
  <c r="S3110"/>
  <c r="S3111"/>
  <c r="S3112"/>
  <c r="S3113"/>
  <c r="S3114"/>
  <c r="S3115"/>
  <c r="S3116"/>
  <c r="S3117"/>
  <c r="S3118"/>
  <c r="S3119"/>
  <c r="S3120"/>
  <c r="S3121"/>
  <c r="S3122"/>
  <c r="S3123"/>
  <c r="S3124"/>
  <c r="S3125"/>
  <c r="S3126"/>
  <c r="S3127"/>
  <c r="S3128"/>
  <c r="S3129"/>
  <c r="S3130"/>
  <c r="S3131"/>
  <c r="S3132"/>
  <c r="S3133"/>
  <c r="S3134"/>
  <c r="S3135"/>
  <c r="S3136"/>
  <c r="S3137"/>
  <c r="S3138"/>
  <c r="S3139"/>
  <c r="S3140"/>
  <c r="S3141"/>
  <c r="S3142"/>
  <c r="S3143"/>
  <c r="S3144"/>
  <c r="S3145"/>
  <c r="S3146"/>
  <c r="S3147"/>
  <c r="S3148"/>
  <c r="S3149"/>
  <c r="S3150"/>
  <c r="S3151"/>
  <c r="S3152"/>
  <c r="S3153"/>
  <c r="S3154"/>
  <c r="S3155"/>
  <c r="S3156"/>
  <c r="S3157"/>
  <c r="S3158"/>
  <c r="S3159"/>
  <c r="S3160"/>
  <c r="S3161"/>
  <c r="S3162"/>
  <c r="S3163"/>
  <c r="S3164"/>
  <c r="S3165"/>
  <c r="S3166"/>
  <c r="S3167"/>
  <c r="S3168"/>
  <c r="S3169"/>
  <c r="S3170"/>
  <c r="S3171"/>
  <c r="S3172"/>
  <c r="S3173"/>
  <c r="S3174"/>
  <c r="S3175"/>
  <c r="S3176"/>
  <c r="S3177"/>
  <c r="S3178"/>
  <c r="S3179"/>
  <c r="S3180"/>
  <c r="S3181"/>
  <c r="S3182"/>
  <c r="S3183"/>
  <c r="S3184"/>
  <c r="S3185"/>
  <c r="S3186"/>
  <c r="S3187"/>
  <c r="S3188"/>
  <c r="S3189"/>
  <c r="S3190"/>
  <c r="S3191"/>
  <c r="S3192"/>
  <c r="S3193"/>
  <c r="S3194"/>
  <c r="S3195"/>
  <c r="S3196"/>
  <c r="S3197"/>
  <c r="S3198"/>
  <c r="S3199"/>
  <c r="S3200"/>
  <c r="S3201"/>
  <c r="S3202"/>
  <c r="S3203"/>
  <c r="S3204"/>
  <c r="S3205"/>
  <c r="S3206"/>
  <c r="S3207"/>
  <c r="S3208"/>
  <c r="S3209"/>
  <c r="S3210"/>
  <c r="S3211"/>
  <c r="S3212"/>
  <c r="S3213"/>
  <c r="S3214"/>
  <c r="S3215"/>
  <c r="S3216"/>
  <c r="S3217"/>
  <c r="S3218"/>
  <c r="S3219"/>
  <c r="S3220"/>
  <c r="S3221"/>
  <c r="S3222"/>
  <c r="S3223"/>
  <c r="S3224"/>
  <c r="S3225"/>
  <c r="S3226"/>
  <c r="S3227"/>
  <c r="S3228"/>
  <c r="S3229"/>
  <c r="S3230"/>
  <c r="S3231"/>
  <c r="S3232"/>
  <c r="S3233"/>
  <c r="S3234"/>
  <c r="S3235"/>
  <c r="S3236"/>
  <c r="S3237"/>
  <c r="S3238"/>
  <c r="S3239"/>
  <c r="S3240"/>
  <c r="S3241"/>
  <c r="S3242"/>
  <c r="S3243"/>
  <c r="S3244"/>
  <c r="S3245"/>
  <c r="S3246"/>
  <c r="S3247"/>
  <c r="S3248"/>
  <c r="S3249"/>
  <c r="S3250"/>
  <c r="S3251"/>
  <c r="S3252"/>
  <c r="S3253"/>
  <c r="S3254"/>
  <c r="S3255"/>
  <c r="S3256"/>
  <c r="S3257"/>
  <c r="S3258"/>
  <c r="S3259"/>
  <c r="S3260"/>
  <c r="S3261"/>
  <c r="S3262"/>
  <c r="S3263"/>
  <c r="S3264"/>
  <c r="S3265"/>
  <c r="S3266"/>
  <c r="S3267"/>
  <c r="S3268"/>
  <c r="S3269"/>
  <c r="S3270"/>
  <c r="S3271"/>
  <c r="S3272"/>
  <c r="S3273"/>
  <c r="S3274"/>
  <c r="S3275"/>
  <c r="S3276"/>
  <c r="S3277"/>
  <c r="S3278"/>
  <c r="S3279"/>
  <c r="S3280"/>
  <c r="S3281"/>
  <c r="S3282"/>
  <c r="S3283"/>
  <c r="S3284"/>
  <c r="S3285"/>
  <c r="S3286"/>
  <c r="S3287"/>
  <c r="S3288"/>
  <c r="S3289"/>
  <c r="S3290"/>
  <c r="S3291"/>
  <c r="S3292"/>
  <c r="S3293"/>
  <c r="S3294"/>
  <c r="S3295"/>
  <c r="S3296"/>
  <c r="S3297"/>
  <c r="S3298"/>
  <c r="S3299"/>
  <c r="S3300"/>
  <c r="S3301"/>
  <c r="S3302"/>
  <c r="S3303"/>
  <c r="S3304"/>
  <c r="S3305"/>
  <c r="S3306"/>
  <c r="S3307"/>
  <c r="S3308"/>
  <c r="S3309"/>
  <c r="S3310"/>
  <c r="S3311"/>
  <c r="S3312"/>
  <c r="S3313"/>
  <c r="S3314"/>
  <c r="S3315"/>
  <c r="S3316"/>
  <c r="S3317"/>
  <c r="S3318"/>
  <c r="S3319"/>
  <c r="S3320"/>
  <c r="S3321"/>
  <c r="S3322"/>
  <c r="S3323"/>
  <c r="S3324"/>
  <c r="S3325"/>
  <c r="S3326"/>
  <c r="S3327"/>
  <c r="S3328"/>
  <c r="S3329"/>
  <c r="S3330"/>
  <c r="S3331"/>
  <c r="S3332"/>
  <c r="S3333"/>
  <c r="S3334"/>
  <c r="S3335"/>
  <c r="S3336"/>
  <c r="S3337"/>
  <c r="S3338"/>
  <c r="S3339"/>
  <c r="S3340"/>
  <c r="S3341"/>
  <c r="S3342"/>
  <c r="S3343"/>
  <c r="S3344"/>
  <c r="S3345"/>
  <c r="S3346"/>
  <c r="S3347"/>
  <c r="S3348"/>
  <c r="S3349"/>
  <c r="S3350"/>
  <c r="S3351"/>
  <c r="S3352"/>
  <c r="S3353"/>
  <c r="S3354"/>
  <c r="S3355"/>
  <c r="S3356"/>
  <c r="S3357"/>
  <c r="S3358"/>
  <c r="S3359"/>
  <c r="S3360"/>
  <c r="S3361"/>
  <c r="S3362"/>
  <c r="S3363"/>
  <c r="S3364"/>
  <c r="S3365"/>
  <c r="S3366"/>
  <c r="S3367"/>
  <c r="S3368"/>
  <c r="S3369"/>
  <c r="S3370"/>
  <c r="S3371"/>
  <c r="S3372"/>
  <c r="S3373"/>
  <c r="S3374"/>
  <c r="S3375"/>
  <c r="S3376"/>
  <c r="S3377"/>
  <c r="S3378"/>
  <c r="S3379"/>
  <c r="S3380"/>
  <c r="S3381"/>
  <c r="S3382"/>
  <c r="S3383"/>
  <c r="S3384"/>
  <c r="S3385"/>
  <c r="S3386"/>
  <c r="S3387"/>
  <c r="S3388"/>
  <c r="S3389"/>
  <c r="S3390"/>
  <c r="S3391"/>
  <c r="S3392"/>
  <c r="S3393"/>
  <c r="S3394"/>
  <c r="S3395"/>
  <c r="S3396"/>
  <c r="S3397"/>
  <c r="S3398"/>
  <c r="S3399"/>
  <c r="S3400"/>
  <c r="S3401"/>
  <c r="S3402"/>
  <c r="S3403"/>
  <c r="S3404"/>
  <c r="S3405"/>
  <c r="S3406"/>
  <c r="S3407"/>
  <c r="S3408"/>
  <c r="S3409"/>
  <c r="S3410"/>
  <c r="S3411"/>
  <c r="S3412"/>
  <c r="S3413"/>
  <c r="S3414"/>
  <c r="S3415"/>
  <c r="S3416"/>
  <c r="S3417"/>
  <c r="S3418"/>
  <c r="S3419"/>
  <c r="S3420"/>
  <c r="S3421"/>
  <c r="S3422"/>
  <c r="S3423"/>
  <c r="S3424"/>
  <c r="S3425"/>
  <c r="S3426"/>
  <c r="S3427"/>
  <c r="S3428"/>
  <c r="S3429"/>
  <c r="S3430"/>
  <c r="S3431"/>
  <c r="S3432"/>
  <c r="S3433"/>
  <c r="S3434"/>
  <c r="S3435"/>
  <c r="S3436"/>
  <c r="S3437"/>
  <c r="S3438"/>
  <c r="S3439"/>
  <c r="S3440"/>
  <c r="S3441"/>
  <c r="S3442"/>
  <c r="S3443"/>
  <c r="S3444"/>
  <c r="S3445"/>
  <c r="S3446"/>
  <c r="S3447"/>
  <c r="S3448"/>
  <c r="S3449"/>
  <c r="S3450"/>
  <c r="S3451"/>
  <c r="S3452"/>
  <c r="S3453"/>
  <c r="S3454"/>
  <c r="S3455"/>
  <c r="S3456"/>
  <c r="S3457"/>
  <c r="S3458"/>
  <c r="S3459"/>
  <c r="S3460"/>
  <c r="S3461"/>
  <c r="S3462"/>
  <c r="S3463"/>
  <c r="S3464"/>
  <c r="S3465"/>
  <c r="S3466"/>
  <c r="S3467"/>
  <c r="S3468"/>
  <c r="S3469"/>
  <c r="S3470"/>
  <c r="S3471"/>
  <c r="S3472"/>
  <c r="S3473"/>
  <c r="S3474"/>
  <c r="S3475"/>
  <c r="S3476"/>
  <c r="S3477"/>
  <c r="S3478"/>
  <c r="S3479"/>
  <c r="S3480"/>
  <c r="S3481"/>
  <c r="S3482"/>
  <c r="S3483"/>
  <c r="S3484"/>
  <c r="S3485"/>
  <c r="S3486"/>
  <c r="S3487"/>
  <c r="S3488"/>
  <c r="S3489"/>
  <c r="S3490"/>
  <c r="S3491"/>
  <c r="S3492"/>
  <c r="S3493"/>
  <c r="S3494"/>
  <c r="S3495"/>
  <c r="S3496"/>
  <c r="S3497"/>
  <c r="S3498"/>
  <c r="S3499"/>
  <c r="S3500"/>
  <c r="S3501"/>
  <c r="S3502"/>
  <c r="S3503"/>
  <c r="S3504"/>
  <c r="S3505"/>
  <c r="S3506"/>
  <c r="S3507"/>
  <c r="S3508"/>
  <c r="S3509"/>
  <c r="S3510"/>
  <c r="S3511"/>
  <c r="S3512"/>
  <c r="S3513"/>
  <c r="S3514"/>
  <c r="S3515"/>
  <c r="S3516"/>
  <c r="S3517"/>
  <c r="S3518"/>
  <c r="S3519"/>
  <c r="S3520"/>
  <c r="S3521"/>
  <c r="S3522"/>
  <c r="S3523"/>
  <c r="S3524"/>
  <c r="S3525"/>
  <c r="S3526"/>
  <c r="S3527"/>
  <c r="S3528"/>
  <c r="S3529"/>
  <c r="S3530"/>
  <c r="S3531"/>
  <c r="S3532"/>
  <c r="S3533"/>
  <c r="S3534"/>
  <c r="S3535"/>
  <c r="S3536"/>
  <c r="S3537"/>
  <c r="S3538"/>
  <c r="S3539"/>
  <c r="S3540"/>
  <c r="S3541"/>
  <c r="S3542"/>
  <c r="S3543"/>
  <c r="S3544"/>
  <c r="S3545"/>
  <c r="S3546"/>
  <c r="S3547"/>
  <c r="S3548"/>
  <c r="S3549"/>
  <c r="S3550"/>
  <c r="S3551"/>
  <c r="S3552"/>
  <c r="S3553"/>
  <c r="S3554"/>
  <c r="S3555"/>
  <c r="S3556"/>
  <c r="S3557"/>
  <c r="S3558"/>
  <c r="S3559"/>
  <c r="S3560"/>
  <c r="S3561"/>
  <c r="S3562"/>
  <c r="S3563"/>
  <c r="S3564"/>
  <c r="S3565"/>
  <c r="S3566"/>
  <c r="S3567"/>
  <c r="S3568"/>
  <c r="S3569"/>
  <c r="S3570"/>
  <c r="S3571"/>
  <c r="S3572"/>
  <c r="S3573"/>
  <c r="S3574"/>
  <c r="S3575"/>
  <c r="S3576"/>
  <c r="S3577"/>
  <c r="S3578"/>
  <c r="S3579"/>
  <c r="S3580"/>
  <c r="S3581"/>
  <c r="S3582"/>
  <c r="S3583"/>
  <c r="S3584"/>
  <c r="S3585"/>
  <c r="S3586"/>
  <c r="S3587"/>
  <c r="S3588"/>
  <c r="S3589"/>
  <c r="S3590"/>
  <c r="S3591"/>
  <c r="S3592"/>
  <c r="S3593"/>
  <c r="S3594"/>
  <c r="S3595"/>
  <c r="S3596"/>
  <c r="S3597"/>
  <c r="S3598"/>
  <c r="S3599"/>
  <c r="S3600"/>
  <c r="S3601"/>
  <c r="S3602"/>
  <c r="S3603"/>
  <c r="S3604"/>
  <c r="S3605"/>
  <c r="S3606"/>
  <c r="S3607"/>
  <c r="S3608"/>
  <c r="S3609"/>
  <c r="S3610"/>
  <c r="S3611"/>
  <c r="S3612"/>
  <c r="S3613"/>
  <c r="S3614"/>
  <c r="S3615"/>
  <c r="S3616"/>
  <c r="S3617"/>
  <c r="S3618"/>
  <c r="S3619"/>
  <c r="S3620"/>
  <c r="S3621"/>
  <c r="S3622"/>
  <c r="S3623"/>
  <c r="S3624"/>
  <c r="S3625"/>
  <c r="S3626"/>
  <c r="S3627"/>
  <c r="S3628"/>
  <c r="S3629"/>
  <c r="S3630"/>
  <c r="S3631"/>
  <c r="S3632"/>
  <c r="S3633"/>
  <c r="S3634"/>
  <c r="S3635"/>
  <c r="S3636"/>
  <c r="S3637"/>
  <c r="S3638"/>
  <c r="S3639"/>
  <c r="S3640"/>
  <c r="S3641"/>
  <c r="S3642"/>
  <c r="S3643"/>
  <c r="S3644"/>
  <c r="S3645"/>
  <c r="S3646"/>
  <c r="S3647"/>
  <c r="S3648"/>
  <c r="S3649"/>
  <c r="S3650"/>
  <c r="S3651"/>
  <c r="S3652"/>
  <c r="S3653"/>
  <c r="S3654"/>
  <c r="S3655"/>
  <c r="S3656"/>
  <c r="S3657"/>
  <c r="S3658"/>
  <c r="S3659"/>
  <c r="S3660"/>
  <c r="S3661"/>
  <c r="S3662"/>
  <c r="S3663"/>
  <c r="S3664"/>
  <c r="S3665"/>
  <c r="S3666"/>
  <c r="S3667"/>
  <c r="S3668"/>
  <c r="S3669"/>
  <c r="S3670"/>
  <c r="S3671"/>
  <c r="S3672"/>
  <c r="S3673"/>
  <c r="S3674"/>
  <c r="S3675"/>
  <c r="S3676"/>
  <c r="S3677"/>
  <c r="S3678"/>
  <c r="S3679"/>
  <c r="S3680"/>
  <c r="S3681"/>
  <c r="S3682"/>
  <c r="S3683"/>
  <c r="S3684"/>
  <c r="S3685"/>
  <c r="S3686"/>
  <c r="S3687"/>
  <c r="S3688"/>
  <c r="S3689"/>
  <c r="S3690"/>
  <c r="S3691"/>
  <c r="S3692"/>
  <c r="S3693"/>
  <c r="S3694"/>
  <c r="S3695"/>
  <c r="S3696"/>
  <c r="S3697"/>
  <c r="S3698"/>
  <c r="S3699"/>
  <c r="S3700"/>
  <c r="S3701"/>
  <c r="S3702"/>
  <c r="S3703"/>
  <c r="S3704"/>
  <c r="S3705"/>
  <c r="S3706"/>
  <c r="S3707"/>
  <c r="S3708"/>
  <c r="S3709"/>
  <c r="S3710"/>
  <c r="S3711"/>
  <c r="S3712"/>
  <c r="S3713"/>
  <c r="S3714"/>
  <c r="S3715"/>
  <c r="S3716"/>
  <c r="S3717"/>
  <c r="S3718"/>
  <c r="S3719"/>
  <c r="S3720"/>
  <c r="S3721"/>
  <c r="S3722"/>
  <c r="S3723"/>
  <c r="S3724"/>
  <c r="S3725"/>
  <c r="S3726"/>
  <c r="S3727"/>
  <c r="S3728"/>
  <c r="S3729"/>
  <c r="S3730"/>
  <c r="S3731"/>
  <c r="S3732"/>
  <c r="S3733"/>
  <c r="S3734"/>
  <c r="S3735"/>
  <c r="S3736"/>
  <c r="S3737"/>
  <c r="S3738"/>
  <c r="S3739"/>
  <c r="S3740"/>
  <c r="S3741"/>
  <c r="S3742"/>
  <c r="S3743"/>
  <c r="S3744"/>
  <c r="S3745"/>
  <c r="S3746"/>
  <c r="S3747"/>
  <c r="S3748"/>
  <c r="S3749"/>
  <c r="S3750"/>
  <c r="S3751"/>
  <c r="S3752"/>
  <c r="S3753"/>
  <c r="S3754"/>
  <c r="S3755"/>
  <c r="S3756"/>
  <c r="S3757"/>
  <c r="S3758"/>
  <c r="S3759"/>
  <c r="S3760"/>
  <c r="S3761"/>
  <c r="S3762"/>
  <c r="S3763"/>
  <c r="S3764"/>
  <c r="S3765"/>
  <c r="S3766"/>
  <c r="S3767"/>
  <c r="S3768"/>
  <c r="S3769"/>
  <c r="S3770"/>
  <c r="S3771"/>
  <c r="S3772"/>
  <c r="S3773"/>
  <c r="S3774"/>
  <c r="S3775"/>
  <c r="S3776"/>
  <c r="S3777"/>
  <c r="S3778"/>
  <c r="S3779"/>
  <c r="S3780"/>
  <c r="S3781"/>
  <c r="S3782"/>
  <c r="S3783"/>
  <c r="S3784"/>
  <c r="S3785"/>
  <c r="S3786"/>
  <c r="S3787"/>
  <c r="S3788"/>
  <c r="S3789"/>
  <c r="S3790"/>
  <c r="S3791"/>
  <c r="S3792"/>
  <c r="S3793"/>
  <c r="S3794"/>
  <c r="S3795"/>
  <c r="S3796"/>
  <c r="S3797"/>
  <c r="S3798"/>
  <c r="S3799"/>
  <c r="S3800"/>
  <c r="S3801"/>
  <c r="S3802"/>
  <c r="S3803"/>
  <c r="S3804"/>
  <c r="S3805"/>
  <c r="S3806"/>
  <c r="S3807"/>
  <c r="S3808"/>
  <c r="S3809"/>
  <c r="S3810"/>
  <c r="S3811"/>
  <c r="S3812"/>
  <c r="S3813"/>
  <c r="S3814"/>
  <c r="S3815"/>
  <c r="S3816"/>
  <c r="S3817"/>
  <c r="S3818"/>
  <c r="S3819"/>
  <c r="S3820"/>
  <c r="S3821"/>
  <c r="S3822"/>
  <c r="S3823"/>
  <c r="S3824"/>
  <c r="S3825"/>
  <c r="S3826"/>
  <c r="S3827"/>
  <c r="S3828"/>
  <c r="S3829"/>
  <c r="S3830"/>
  <c r="S3831"/>
  <c r="S3832"/>
  <c r="S3833"/>
  <c r="S3834"/>
  <c r="S3835"/>
  <c r="S3836"/>
  <c r="S3837"/>
  <c r="S3838"/>
  <c r="S3839"/>
  <c r="S3840"/>
  <c r="S3841"/>
  <c r="S3842"/>
  <c r="S3843"/>
  <c r="S3844"/>
  <c r="S3845"/>
  <c r="S3846"/>
  <c r="S3847"/>
  <c r="S3848"/>
  <c r="S3849"/>
  <c r="S3850"/>
  <c r="S3851"/>
  <c r="S3852"/>
  <c r="S3853"/>
  <c r="S3854"/>
  <c r="S3855"/>
  <c r="S3856"/>
  <c r="S3857"/>
  <c r="S3858"/>
  <c r="S3859"/>
  <c r="S3860"/>
  <c r="S3861"/>
  <c r="S3862"/>
  <c r="S3863"/>
  <c r="S3864"/>
  <c r="S3865"/>
  <c r="S3866"/>
  <c r="S3867"/>
  <c r="S3868"/>
  <c r="S3869"/>
  <c r="S3870"/>
  <c r="S3871"/>
  <c r="S3872"/>
  <c r="S3873"/>
  <c r="S3874"/>
  <c r="S3875"/>
  <c r="S3876"/>
  <c r="S3877"/>
  <c r="S3878"/>
  <c r="S3879"/>
  <c r="S3880"/>
  <c r="S3881"/>
  <c r="S3882"/>
  <c r="S3883"/>
  <c r="S3884"/>
  <c r="S3885"/>
  <c r="S3886"/>
  <c r="S3887"/>
  <c r="S3888"/>
  <c r="S3889"/>
  <c r="S3890"/>
  <c r="S3891"/>
  <c r="S3892"/>
  <c r="S3893"/>
  <c r="S3894"/>
  <c r="S3895"/>
  <c r="S3896"/>
  <c r="S3897"/>
  <c r="S3898"/>
  <c r="S3899"/>
  <c r="S3900"/>
  <c r="S3901"/>
  <c r="S3902"/>
  <c r="S3903"/>
  <c r="S3904"/>
  <c r="S3905"/>
  <c r="S3906"/>
  <c r="S3907"/>
  <c r="S3908"/>
  <c r="S3909"/>
  <c r="S3910"/>
  <c r="S3911"/>
  <c r="S3912"/>
  <c r="S3913"/>
  <c r="S3914"/>
  <c r="S3915"/>
  <c r="S3916"/>
  <c r="S3917"/>
  <c r="S3918"/>
  <c r="S3919"/>
  <c r="S3920"/>
  <c r="S3921"/>
  <c r="S3922"/>
  <c r="S3923"/>
  <c r="S3924"/>
  <c r="S3925"/>
  <c r="S3926"/>
  <c r="S3927"/>
  <c r="S3928"/>
  <c r="S3929"/>
  <c r="S3930"/>
  <c r="S3931"/>
  <c r="S3932"/>
  <c r="S3933"/>
  <c r="S3934"/>
  <c r="S3935"/>
  <c r="S3936"/>
  <c r="S3937"/>
  <c r="S3938"/>
  <c r="S3939"/>
  <c r="S3940"/>
  <c r="S3941"/>
  <c r="S3942"/>
  <c r="S3943"/>
  <c r="S3944"/>
  <c r="S3945"/>
  <c r="S3946"/>
  <c r="S3947"/>
  <c r="S3948"/>
  <c r="S3949"/>
  <c r="S3950"/>
  <c r="S3951"/>
  <c r="S3952"/>
  <c r="S3953"/>
  <c r="S3954"/>
  <c r="S3955"/>
  <c r="S3956"/>
  <c r="S3957"/>
  <c r="S3958"/>
  <c r="S3959"/>
  <c r="S3960"/>
  <c r="S3961"/>
  <c r="S3962"/>
  <c r="S3963"/>
  <c r="S3964"/>
  <c r="S3965"/>
  <c r="S3966"/>
  <c r="S3967"/>
  <c r="S3968"/>
  <c r="S3969"/>
  <c r="S3970"/>
  <c r="S3971"/>
  <c r="S3972"/>
  <c r="S3973"/>
  <c r="S3974"/>
  <c r="S3975"/>
  <c r="S3976"/>
  <c r="S3977"/>
  <c r="S3978"/>
  <c r="S3979"/>
  <c r="S3980"/>
  <c r="S3981"/>
  <c r="S3982"/>
  <c r="S3983"/>
  <c r="S3984"/>
  <c r="S3985"/>
  <c r="S3986"/>
  <c r="S3987"/>
  <c r="S3988"/>
  <c r="S3989"/>
  <c r="S3990"/>
  <c r="S3991"/>
  <c r="S3992"/>
  <c r="S3993"/>
  <c r="S3994"/>
  <c r="S3995"/>
  <c r="S3996"/>
  <c r="S3997"/>
  <c r="S3998"/>
  <c r="S3999"/>
  <c r="S4000"/>
  <c r="S4001"/>
  <c r="S4002"/>
  <c r="S4003"/>
  <c r="S4004"/>
  <c r="S4005"/>
  <c r="S4006"/>
  <c r="S4007"/>
  <c r="S4008"/>
  <c r="S4009"/>
  <c r="S4010"/>
  <c r="S4011"/>
  <c r="S4012"/>
  <c r="S4013"/>
  <c r="S4014"/>
  <c r="S4015"/>
  <c r="S4016"/>
  <c r="S4017"/>
  <c r="S4018"/>
  <c r="S4019"/>
  <c r="S4020"/>
  <c r="S4021"/>
  <c r="S4022"/>
  <c r="S4023"/>
  <c r="S4024"/>
  <c r="S4025"/>
  <c r="S4026"/>
  <c r="S4027"/>
  <c r="S4028"/>
  <c r="S4029"/>
  <c r="S4030"/>
  <c r="S4031"/>
  <c r="S4032"/>
  <c r="S4033"/>
  <c r="S4034"/>
  <c r="S4035"/>
  <c r="S4036"/>
  <c r="S4037"/>
  <c r="S4038"/>
  <c r="S4039"/>
  <c r="S4040"/>
  <c r="S4041"/>
  <c r="S4042"/>
  <c r="S4043"/>
  <c r="S4044"/>
  <c r="S4045"/>
  <c r="S4046"/>
  <c r="S4047"/>
  <c r="S4048"/>
  <c r="S4049"/>
  <c r="S4050"/>
  <c r="S4051"/>
  <c r="S4052"/>
  <c r="S4053"/>
  <c r="S4054"/>
  <c r="S4055"/>
  <c r="S4056"/>
  <c r="S4057"/>
  <c r="S4058"/>
  <c r="S4059"/>
  <c r="S4060"/>
  <c r="S4061"/>
  <c r="S4062"/>
  <c r="S4063"/>
  <c r="S4064"/>
  <c r="S4065"/>
  <c r="S4066"/>
  <c r="S4067"/>
  <c r="S4068"/>
  <c r="S4069"/>
  <c r="S4070"/>
  <c r="S4071"/>
  <c r="S4072"/>
  <c r="S4073"/>
  <c r="S4074"/>
  <c r="S4075"/>
  <c r="S4076"/>
  <c r="S4077"/>
  <c r="S4078"/>
  <c r="S4079"/>
  <c r="S4080"/>
  <c r="S4081"/>
  <c r="S4082"/>
  <c r="S4083"/>
  <c r="S4084"/>
  <c r="S4085"/>
  <c r="S4086"/>
  <c r="S4087"/>
  <c r="S4088"/>
  <c r="S4089"/>
  <c r="S4090"/>
  <c r="S4091"/>
  <c r="S4092"/>
  <c r="S4093"/>
  <c r="S4094"/>
  <c r="S4095"/>
  <c r="S4096"/>
  <c r="S4097"/>
  <c r="S4098"/>
  <c r="S4099"/>
  <c r="S4100"/>
  <c r="S4101"/>
  <c r="S4102"/>
  <c r="S4103"/>
  <c r="S4104"/>
  <c r="S4105"/>
  <c r="S4106"/>
  <c r="S4107"/>
  <c r="S4108"/>
  <c r="S4109"/>
  <c r="S4110"/>
  <c r="S4111"/>
  <c r="S4112"/>
  <c r="S4113"/>
  <c r="S4114"/>
  <c r="S4115"/>
  <c r="S4116"/>
  <c r="S4117"/>
  <c r="S4118"/>
  <c r="S4119"/>
  <c r="S4120"/>
  <c r="S4121"/>
  <c r="S4122"/>
  <c r="S4123"/>
  <c r="S4124"/>
  <c r="S4125"/>
  <c r="S4126"/>
  <c r="S4127"/>
  <c r="S4128"/>
  <c r="S4129"/>
  <c r="S4130"/>
  <c r="S4131"/>
  <c r="S4132"/>
  <c r="S4133"/>
  <c r="S4134"/>
  <c r="S4135"/>
  <c r="S4136"/>
  <c r="S4137"/>
  <c r="S4138"/>
  <c r="S4139"/>
  <c r="S4140"/>
  <c r="S4141"/>
  <c r="S4142"/>
  <c r="S4143"/>
  <c r="S4144"/>
  <c r="S4145"/>
  <c r="S4146"/>
  <c r="S4147"/>
  <c r="S4148"/>
  <c r="S4149"/>
  <c r="S4150"/>
  <c r="S4151"/>
  <c r="S4152"/>
  <c r="S4153"/>
  <c r="S4154"/>
  <c r="S4155"/>
  <c r="S4156"/>
  <c r="S4157"/>
  <c r="S4158"/>
  <c r="S4159"/>
  <c r="S4160"/>
  <c r="S4161"/>
  <c r="S4162"/>
  <c r="S4163"/>
  <c r="S4164"/>
  <c r="S4165"/>
  <c r="S4166"/>
  <c r="S4167"/>
  <c r="S4168"/>
  <c r="S4169"/>
  <c r="S4170"/>
  <c r="S4171"/>
  <c r="S4172"/>
  <c r="S4173"/>
  <c r="S4174"/>
  <c r="S4175"/>
  <c r="S4176"/>
  <c r="S4177"/>
  <c r="S4178"/>
  <c r="S4179"/>
  <c r="S4180"/>
  <c r="S4181"/>
  <c r="S4182"/>
  <c r="S4183"/>
  <c r="S4184"/>
  <c r="S4185"/>
  <c r="S4186"/>
  <c r="S4187"/>
  <c r="S4188"/>
  <c r="S4189"/>
  <c r="S4190"/>
  <c r="S4191"/>
  <c r="S4192"/>
  <c r="S4193"/>
  <c r="S4194"/>
  <c r="S4195"/>
  <c r="S4196"/>
  <c r="S4197"/>
  <c r="S4198"/>
  <c r="S4199"/>
  <c r="S4200"/>
  <c r="S4201"/>
  <c r="S4202"/>
  <c r="S4203"/>
  <c r="S4204"/>
  <c r="S4205"/>
  <c r="S4206"/>
  <c r="S4207"/>
  <c r="S4208"/>
  <c r="S4209"/>
  <c r="S4210"/>
  <c r="S4211"/>
  <c r="S4212"/>
  <c r="S4213"/>
  <c r="S4214"/>
  <c r="S4215"/>
  <c r="S4216"/>
  <c r="S4217"/>
  <c r="S4218"/>
  <c r="S4219"/>
  <c r="S4220"/>
  <c r="S4221"/>
  <c r="S4222"/>
  <c r="S4223"/>
  <c r="S4224"/>
  <c r="S4225"/>
  <c r="S4226"/>
  <c r="S4227"/>
  <c r="S4228"/>
  <c r="S4229"/>
  <c r="S4230"/>
  <c r="S4231"/>
  <c r="S4232"/>
  <c r="S4233"/>
  <c r="S4234"/>
  <c r="S4235"/>
  <c r="S4236"/>
  <c r="S4237"/>
  <c r="S4238"/>
  <c r="S4239"/>
  <c r="S4240"/>
  <c r="S4241"/>
  <c r="S4242"/>
  <c r="S4243"/>
  <c r="S4244"/>
  <c r="S4245"/>
  <c r="S4246"/>
  <c r="S4247"/>
  <c r="S4248"/>
  <c r="S4249"/>
  <c r="S4250"/>
  <c r="S4251"/>
  <c r="S4252"/>
  <c r="S4253"/>
  <c r="S4254"/>
  <c r="S4255"/>
  <c r="S4256"/>
  <c r="S4257"/>
  <c r="S4258"/>
  <c r="S4259"/>
  <c r="S4260"/>
  <c r="S4261"/>
  <c r="S4262"/>
  <c r="S4263"/>
  <c r="S4264"/>
  <c r="S4265"/>
  <c r="S4266"/>
  <c r="S4267"/>
  <c r="S4268"/>
  <c r="S4269"/>
  <c r="S4270"/>
  <c r="S4271"/>
  <c r="S4272"/>
  <c r="S4273"/>
  <c r="S4274"/>
  <c r="S4275"/>
  <c r="S4276"/>
  <c r="S4277"/>
  <c r="S4278"/>
  <c r="S4279"/>
  <c r="S4280"/>
  <c r="S4281"/>
  <c r="S4282"/>
  <c r="S4283"/>
  <c r="S4284"/>
  <c r="S4285"/>
  <c r="S4286"/>
  <c r="S4287"/>
  <c r="S4288"/>
  <c r="S4289"/>
  <c r="S4290"/>
  <c r="S4291"/>
  <c r="S4292"/>
  <c r="S4293"/>
  <c r="S4294"/>
  <c r="S4295"/>
  <c r="S4296"/>
  <c r="S4297"/>
  <c r="S4298"/>
  <c r="S4299"/>
  <c r="S4300"/>
  <c r="S4301"/>
  <c r="S4302"/>
  <c r="S4303"/>
  <c r="S4304"/>
  <c r="S4305"/>
  <c r="S4306"/>
  <c r="S4307"/>
  <c r="S4308"/>
  <c r="S4309"/>
  <c r="S4310"/>
  <c r="S4311"/>
  <c r="S4312"/>
  <c r="S4313"/>
  <c r="S4314"/>
  <c r="S4315"/>
  <c r="S4316"/>
  <c r="S4317"/>
  <c r="S4318"/>
  <c r="S4319"/>
  <c r="S4320"/>
  <c r="S4321"/>
  <c r="S4322"/>
  <c r="S4323"/>
  <c r="S4324"/>
  <c r="S4325"/>
  <c r="S4326"/>
  <c r="S4327"/>
  <c r="S4328"/>
  <c r="S4329"/>
  <c r="S4330"/>
  <c r="S4331"/>
  <c r="S4332"/>
  <c r="S4333"/>
  <c r="S4334"/>
  <c r="S4335"/>
  <c r="S4336"/>
  <c r="S4337"/>
  <c r="S4338"/>
  <c r="S4339"/>
  <c r="S4340"/>
  <c r="S4341"/>
  <c r="S4342"/>
  <c r="S4343"/>
  <c r="S4344"/>
  <c r="S4345"/>
  <c r="S4346"/>
  <c r="S4347"/>
  <c r="S4348"/>
  <c r="S4349"/>
  <c r="S4350"/>
  <c r="S4351"/>
  <c r="S4352"/>
  <c r="S4353"/>
  <c r="S4354"/>
  <c r="S4355"/>
  <c r="S4356"/>
  <c r="S4357"/>
  <c r="S4358"/>
  <c r="S4359"/>
  <c r="S4360"/>
  <c r="S4361"/>
  <c r="S4362"/>
  <c r="S4363"/>
  <c r="S4364"/>
  <c r="S4365"/>
  <c r="S4366"/>
  <c r="S4367"/>
  <c r="S4368"/>
  <c r="S4369"/>
  <c r="S4370"/>
  <c r="S4371"/>
  <c r="S4372"/>
  <c r="S4373"/>
  <c r="S4374"/>
  <c r="S4375"/>
  <c r="S4376"/>
  <c r="S4377"/>
  <c r="S4378"/>
  <c r="S4379"/>
  <c r="S4380"/>
  <c r="S4381"/>
  <c r="S4382"/>
  <c r="S4383"/>
  <c r="S4384"/>
  <c r="S4385"/>
  <c r="S4386"/>
  <c r="S4387"/>
  <c r="S4388"/>
  <c r="S4389"/>
  <c r="S4390"/>
  <c r="S4391"/>
  <c r="S4392"/>
  <c r="S4393"/>
  <c r="S4394"/>
  <c r="S4395"/>
  <c r="S4396"/>
  <c r="S4397"/>
  <c r="S4398"/>
  <c r="S4399"/>
  <c r="S4400"/>
  <c r="S4401"/>
  <c r="S4402"/>
  <c r="S4403"/>
  <c r="S4404"/>
  <c r="S4405"/>
  <c r="S4406"/>
  <c r="S4407"/>
  <c r="S4408"/>
  <c r="S4409"/>
  <c r="S4410"/>
  <c r="S4411"/>
  <c r="S4412"/>
  <c r="S4413"/>
  <c r="S4414"/>
  <c r="S4415"/>
  <c r="S4416"/>
  <c r="S4417"/>
  <c r="S4418"/>
  <c r="S4419"/>
  <c r="S4420"/>
  <c r="S4421"/>
  <c r="S4422"/>
  <c r="S4423"/>
  <c r="S4424"/>
  <c r="S4425"/>
  <c r="S4426"/>
  <c r="S4427"/>
  <c r="S4428"/>
  <c r="S4429"/>
  <c r="S4430"/>
  <c r="S4431"/>
  <c r="S4432"/>
  <c r="S4433"/>
  <c r="S4434"/>
  <c r="S4435"/>
  <c r="S4436"/>
  <c r="S4437"/>
  <c r="S4438"/>
  <c r="S4439"/>
  <c r="S4440"/>
  <c r="S4441"/>
  <c r="S4442"/>
  <c r="S4443"/>
  <c r="S4444"/>
  <c r="S4445"/>
  <c r="S4446"/>
  <c r="S4447"/>
  <c r="S4448"/>
  <c r="S4449"/>
  <c r="S4450"/>
  <c r="S4451"/>
  <c r="S4452"/>
  <c r="S4453"/>
  <c r="S4454"/>
  <c r="S4455"/>
  <c r="S4456"/>
  <c r="S4457"/>
  <c r="S4458"/>
  <c r="S4459"/>
  <c r="S4460"/>
  <c r="S4461"/>
  <c r="S4462"/>
  <c r="S4463"/>
  <c r="S4464"/>
  <c r="S4465"/>
  <c r="S4466"/>
  <c r="S4467"/>
  <c r="S4468"/>
  <c r="S4469"/>
  <c r="S4470"/>
  <c r="S4471"/>
  <c r="S4472"/>
  <c r="S4473"/>
  <c r="S4474"/>
  <c r="S4475"/>
  <c r="S4476"/>
  <c r="S4477"/>
  <c r="S4478"/>
  <c r="S4479"/>
  <c r="S4480"/>
  <c r="S4481"/>
  <c r="S4482"/>
  <c r="S4483"/>
  <c r="S4484"/>
  <c r="S4485"/>
  <c r="S4486"/>
  <c r="S4487"/>
  <c r="S4488"/>
  <c r="S4489"/>
  <c r="S4490"/>
  <c r="S4491"/>
  <c r="S4492"/>
  <c r="S4493"/>
  <c r="S4494"/>
  <c r="S4495"/>
  <c r="S4496"/>
  <c r="S4497"/>
  <c r="S4498"/>
  <c r="S4499"/>
  <c r="S4500"/>
  <c r="S4501"/>
  <c r="S4502"/>
  <c r="S4503"/>
  <c r="S4504"/>
  <c r="S4505"/>
  <c r="S4506"/>
  <c r="S4507"/>
  <c r="S4508"/>
  <c r="S4509"/>
  <c r="S4510"/>
  <c r="S4511"/>
  <c r="S4512"/>
  <c r="S4513"/>
  <c r="S4514"/>
  <c r="S4515"/>
  <c r="S4516"/>
  <c r="S4517"/>
  <c r="S4518"/>
  <c r="S4519"/>
  <c r="S4520"/>
  <c r="S4521"/>
  <c r="S4522"/>
  <c r="S4523"/>
  <c r="S4524"/>
  <c r="S4525"/>
  <c r="S4526"/>
  <c r="S4527"/>
  <c r="S4528"/>
  <c r="S4529"/>
  <c r="S4530"/>
  <c r="S4531"/>
  <c r="S4532"/>
  <c r="S4533"/>
  <c r="S4534"/>
  <c r="S4535"/>
  <c r="S4536"/>
  <c r="S4537"/>
  <c r="S4538"/>
  <c r="S4539"/>
  <c r="S4540"/>
  <c r="S4541"/>
  <c r="S4542"/>
  <c r="S4543"/>
  <c r="S4544"/>
  <c r="S4545"/>
  <c r="S4546"/>
  <c r="S4547"/>
  <c r="S4548"/>
  <c r="S4549"/>
  <c r="S4550"/>
  <c r="S4551"/>
  <c r="S4552"/>
  <c r="S4553"/>
  <c r="S4554"/>
  <c r="S4555"/>
  <c r="S4556"/>
  <c r="S4557"/>
  <c r="S4558"/>
  <c r="S4559"/>
  <c r="S4560"/>
  <c r="S4561"/>
  <c r="S4562"/>
  <c r="S4563"/>
  <c r="S4564"/>
  <c r="S4565"/>
  <c r="S4566"/>
  <c r="S4567"/>
  <c r="S4568"/>
  <c r="S4569"/>
  <c r="S4570"/>
  <c r="S4571"/>
  <c r="S4572"/>
  <c r="S4573"/>
  <c r="S4574"/>
  <c r="S4575"/>
  <c r="S4576"/>
  <c r="S4577"/>
  <c r="S4578"/>
  <c r="S4579"/>
  <c r="S4580"/>
  <c r="S4581"/>
  <c r="S4582"/>
  <c r="S4583"/>
  <c r="S4584"/>
  <c r="S4585"/>
  <c r="S4586"/>
  <c r="S4587"/>
  <c r="S4588"/>
  <c r="S4589"/>
  <c r="S4590"/>
  <c r="S4591"/>
  <c r="S4592"/>
  <c r="S4593"/>
  <c r="S4594"/>
  <c r="S4595"/>
  <c r="S4596"/>
  <c r="S4597"/>
  <c r="S4598"/>
  <c r="S4599"/>
  <c r="S4600"/>
  <c r="S4601"/>
  <c r="S4602"/>
  <c r="S4603"/>
  <c r="S4604"/>
  <c r="S4605"/>
  <c r="S4606"/>
  <c r="S4607"/>
  <c r="S4608"/>
  <c r="S4609"/>
  <c r="S4610"/>
  <c r="S4611"/>
  <c r="S4612"/>
  <c r="S4613"/>
  <c r="S4614"/>
  <c r="S4615"/>
  <c r="S4616"/>
  <c r="S4617"/>
  <c r="S4618"/>
  <c r="S4619"/>
  <c r="S4620"/>
  <c r="S4621"/>
  <c r="S4622"/>
  <c r="S4623"/>
  <c r="S4624"/>
  <c r="S4625"/>
  <c r="S4626"/>
  <c r="S4627"/>
  <c r="S4628"/>
  <c r="S4629"/>
  <c r="S4630"/>
  <c r="S4631"/>
  <c r="S4632"/>
  <c r="S4633"/>
  <c r="S4634"/>
  <c r="S4635"/>
  <c r="S4636"/>
  <c r="S4637"/>
  <c r="S4638"/>
  <c r="S4639"/>
  <c r="S4640"/>
  <c r="S4641"/>
  <c r="S4642"/>
  <c r="S4643"/>
  <c r="S4644"/>
  <c r="S4645"/>
  <c r="S4646"/>
  <c r="S4647"/>
  <c r="S4648"/>
  <c r="S4649"/>
  <c r="S4650"/>
  <c r="S4651"/>
  <c r="S4652"/>
  <c r="S4653"/>
  <c r="S4654"/>
  <c r="S4655"/>
  <c r="S4656"/>
  <c r="S4657"/>
  <c r="S4658"/>
  <c r="S4659"/>
  <c r="S4660"/>
  <c r="S4661"/>
  <c r="S4662"/>
  <c r="S4663"/>
  <c r="S4664"/>
  <c r="S4665"/>
  <c r="S4666"/>
  <c r="S4667"/>
  <c r="S4668"/>
  <c r="S4669"/>
  <c r="S4670"/>
  <c r="S4671"/>
  <c r="S4672"/>
  <c r="S4673"/>
  <c r="S4674"/>
  <c r="S4675"/>
  <c r="S4676"/>
  <c r="S4677"/>
  <c r="S4678"/>
  <c r="S4679"/>
  <c r="S4680"/>
  <c r="S4681"/>
  <c r="S4682"/>
  <c r="S4683"/>
  <c r="S4684"/>
  <c r="S4685"/>
  <c r="S4686"/>
  <c r="S4687"/>
  <c r="S4688"/>
  <c r="S4689"/>
  <c r="S4690"/>
  <c r="S4691"/>
  <c r="S4692"/>
  <c r="S4693"/>
  <c r="S4694"/>
  <c r="S4695"/>
  <c r="S4696"/>
  <c r="S4697"/>
  <c r="S4698"/>
  <c r="S4699"/>
  <c r="S4700"/>
  <c r="S4701"/>
  <c r="S4702"/>
  <c r="S4703"/>
  <c r="S4704"/>
  <c r="S4705"/>
  <c r="S4706"/>
  <c r="S4707"/>
  <c r="S4708"/>
  <c r="S4709"/>
  <c r="S4710"/>
  <c r="S4711"/>
  <c r="S4712"/>
  <c r="S4713"/>
  <c r="S4714"/>
  <c r="S4715"/>
  <c r="S4716"/>
  <c r="S4717"/>
  <c r="S4718"/>
  <c r="S4719"/>
  <c r="S4720"/>
  <c r="S4721"/>
  <c r="S4722"/>
  <c r="S4723"/>
  <c r="S4724"/>
  <c r="S4725"/>
  <c r="S4726"/>
  <c r="S4727"/>
  <c r="S4728"/>
  <c r="S4729"/>
  <c r="S4730"/>
  <c r="S4731"/>
  <c r="S4732"/>
  <c r="S4733"/>
  <c r="S4734"/>
  <c r="S4735"/>
  <c r="S4736"/>
  <c r="S4737"/>
  <c r="S4738"/>
  <c r="S4739"/>
  <c r="S4740"/>
  <c r="S4741"/>
  <c r="S4742"/>
  <c r="S4743"/>
  <c r="S4744"/>
  <c r="S4745"/>
  <c r="S4746"/>
  <c r="S4747"/>
  <c r="S4748"/>
  <c r="S4749"/>
  <c r="S4750"/>
  <c r="S4751"/>
  <c r="S4752"/>
  <c r="S4753"/>
  <c r="S4754"/>
  <c r="S4755"/>
  <c r="S4756"/>
  <c r="S4757"/>
  <c r="S4758"/>
  <c r="S4759"/>
  <c r="S4760"/>
  <c r="S4761"/>
  <c r="S4762"/>
  <c r="S4763"/>
  <c r="S4764"/>
  <c r="S4765"/>
  <c r="S4766"/>
  <c r="S4767"/>
  <c r="S4768"/>
  <c r="S4769"/>
  <c r="S4770"/>
  <c r="S4771"/>
  <c r="S4772"/>
  <c r="S4773"/>
  <c r="S4774"/>
  <c r="S4775"/>
  <c r="S4776"/>
  <c r="S4777"/>
  <c r="S4778"/>
  <c r="S4779"/>
  <c r="S4780"/>
  <c r="S4781"/>
  <c r="S4782"/>
  <c r="S4783"/>
  <c r="S4784"/>
  <c r="S4785"/>
  <c r="S4786"/>
  <c r="S4787"/>
  <c r="S4788"/>
  <c r="S4789"/>
  <c r="S4790"/>
  <c r="S4791"/>
  <c r="S4792"/>
  <c r="S4793"/>
  <c r="S4794"/>
  <c r="S4795"/>
  <c r="S4796"/>
  <c r="S4797"/>
  <c r="S4798"/>
  <c r="S4799"/>
  <c r="S4800"/>
  <c r="S4801"/>
  <c r="S4802"/>
  <c r="S4803"/>
  <c r="S4804"/>
  <c r="S4805"/>
  <c r="S4806"/>
  <c r="S4807"/>
  <c r="S4808"/>
  <c r="S4809"/>
  <c r="S4810"/>
  <c r="S4811"/>
  <c r="S4812"/>
  <c r="S4813"/>
  <c r="S4814"/>
  <c r="S4815"/>
  <c r="S4816"/>
  <c r="S4817"/>
  <c r="S4818"/>
  <c r="S4819"/>
  <c r="S4820"/>
  <c r="S4821"/>
  <c r="S4822"/>
  <c r="S4823"/>
  <c r="S4824"/>
  <c r="S4825"/>
  <c r="S4826"/>
  <c r="S4827"/>
  <c r="S4828"/>
  <c r="S4829"/>
  <c r="S4830"/>
  <c r="S4831"/>
  <c r="S4832"/>
  <c r="S4833"/>
  <c r="S4834"/>
  <c r="S4835"/>
  <c r="S4836"/>
  <c r="S4837"/>
  <c r="S4838"/>
  <c r="S4839"/>
  <c r="S4840"/>
  <c r="S4841"/>
  <c r="S4842"/>
  <c r="S4843"/>
  <c r="S4844"/>
  <c r="S4845"/>
  <c r="S4846"/>
  <c r="S4847"/>
  <c r="S4848"/>
  <c r="S4849"/>
  <c r="S4850"/>
  <c r="S4851"/>
  <c r="S4852"/>
  <c r="S4853"/>
  <c r="S4854"/>
  <c r="S4855"/>
  <c r="S4856"/>
  <c r="S4857"/>
  <c r="S4858"/>
  <c r="S4859"/>
  <c r="S4860"/>
  <c r="S4861"/>
  <c r="S4862"/>
  <c r="S4863"/>
  <c r="S4864"/>
  <c r="S4865"/>
  <c r="S4866"/>
  <c r="S4867"/>
  <c r="S4868"/>
  <c r="S4869"/>
  <c r="S4870"/>
  <c r="S4871"/>
  <c r="S4872"/>
  <c r="S4873"/>
  <c r="S4874"/>
  <c r="S4875"/>
  <c r="S4876"/>
  <c r="S4877"/>
  <c r="S4878"/>
  <c r="S4879"/>
  <c r="S4880"/>
  <c r="S4881"/>
  <c r="S4882"/>
  <c r="S4883"/>
  <c r="S4884"/>
  <c r="S4885"/>
  <c r="S4886"/>
  <c r="S4887"/>
  <c r="S4888"/>
  <c r="S4889"/>
  <c r="S4890"/>
  <c r="S4891"/>
  <c r="S4892"/>
  <c r="S4893"/>
  <c r="S4894"/>
  <c r="S4895"/>
  <c r="S4896"/>
  <c r="S4897"/>
  <c r="S4898"/>
  <c r="S4899"/>
  <c r="S4900"/>
  <c r="S4901"/>
  <c r="S4902"/>
  <c r="S4903"/>
  <c r="S4904"/>
  <c r="S4905"/>
  <c r="S4906"/>
  <c r="S4907"/>
  <c r="S4908"/>
  <c r="S4909"/>
  <c r="S4910"/>
  <c r="S4911"/>
  <c r="S4912"/>
  <c r="S4913"/>
  <c r="S4914"/>
  <c r="S4915"/>
  <c r="S4916"/>
  <c r="S4917"/>
  <c r="S4918"/>
  <c r="S4919"/>
  <c r="S4920"/>
  <c r="S4921"/>
  <c r="S4922"/>
  <c r="S4923"/>
  <c r="S4924"/>
  <c r="S4925"/>
  <c r="S4926"/>
  <c r="S4927"/>
  <c r="S4928"/>
  <c r="S4929"/>
  <c r="S4930"/>
  <c r="S4931"/>
  <c r="S4932"/>
  <c r="S4933"/>
  <c r="S4934"/>
  <c r="S4935"/>
  <c r="S4936"/>
  <c r="S4937"/>
  <c r="S4938"/>
  <c r="S4939"/>
  <c r="S4940"/>
  <c r="S4941"/>
  <c r="S4942"/>
  <c r="S4943"/>
  <c r="S4944"/>
  <c r="S4945"/>
  <c r="S4946"/>
  <c r="S4947"/>
  <c r="S4948"/>
  <c r="S4949"/>
  <c r="S4950"/>
  <c r="S4951"/>
  <c r="S4952"/>
  <c r="S4953"/>
  <c r="S4954"/>
  <c r="S4955"/>
  <c r="S4956"/>
  <c r="S4957"/>
  <c r="S4958"/>
  <c r="S4959"/>
  <c r="S4960"/>
  <c r="S4961"/>
  <c r="S4962"/>
  <c r="S4963"/>
  <c r="S4964"/>
  <c r="S4965"/>
  <c r="S4966"/>
  <c r="S4967"/>
  <c r="S4968"/>
  <c r="S4969"/>
  <c r="S4970"/>
  <c r="S4971"/>
  <c r="S4972"/>
  <c r="S4973"/>
  <c r="S4974"/>
  <c r="S4975"/>
  <c r="S4976"/>
  <c r="S4977"/>
  <c r="S4978"/>
  <c r="S4979"/>
  <c r="S4980"/>
  <c r="S4981"/>
  <c r="S4982"/>
  <c r="S4983"/>
  <c r="S4984"/>
  <c r="S4985"/>
  <c r="S4986"/>
  <c r="S4987"/>
  <c r="S4988"/>
  <c r="S4989"/>
  <c r="S4990"/>
  <c r="S4991"/>
  <c r="S4992"/>
  <c r="S4993"/>
  <c r="S4994"/>
  <c r="S4995"/>
  <c r="S4996"/>
  <c r="S4997"/>
  <c r="S4998"/>
  <c r="S4999"/>
  <c r="S5000"/>
  <c r="S5001"/>
  <c r="S5002"/>
  <c r="S5003"/>
  <c r="S5004"/>
  <c r="S5005"/>
  <c r="S5006"/>
  <c r="S5007"/>
  <c r="S5008"/>
  <c r="S5009"/>
  <c r="S5010"/>
  <c r="S5011"/>
  <c r="S5012"/>
  <c r="S5013"/>
  <c r="S5014"/>
  <c r="S5015"/>
  <c r="S5016"/>
  <c r="S5017"/>
  <c r="S5018"/>
  <c r="S5019"/>
  <c r="S5020"/>
  <c r="S5021"/>
  <c r="S5022"/>
  <c r="S5023"/>
  <c r="S5024"/>
  <c r="S5025"/>
  <c r="S5026"/>
  <c r="S5027"/>
  <c r="S5028"/>
  <c r="S5029"/>
  <c r="S5030"/>
  <c r="S5031"/>
  <c r="S5032"/>
  <c r="S5033"/>
  <c r="S5034"/>
  <c r="S5035"/>
  <c r="S5036"/>
  <c r="S5037"/>
  <c r="S5038"/>
  <c r="S5039"/>
  <c r="S5040"/>
  <c r="S5041"/>
  <c r="S5042"/>
  <c r="S5043"/>
  <c r="S5044"/>
  <c r="S5045"/>
  <c r="S5046"/>
  <c r="S5047"/>
  <c r="S5048"/>
  <c r="S5049"/>
  <c r="S5050"/>
  <c r="S5051"/>
  <c r="S5052"/>
  <c r="S5053"/>
  <c r="S5054"/>
  <c r="S5055"/>
  <c r="S5056"/>
  <c r="S5057"/>
  <c r="S5058"/>
  <c r="S5059"/>
  <c r="S5060"/>
  <c r="S5061"/>
  <c r="S5062"/>
  <c r="S5063"/>
  <c r="S5064"/>
  <c r="S5065"/>
  <c r="S5066"/>
  <c r="S5067"/>
  <c r="S5068"/>
  <c r="S5069"/>
  <c r="S5070"/>
  <c r="S5071"/>
  <c r="S5072"/>
  <c r="S5073"/>
  <c r="S5074"/>
  <c r="S5075"/>
  <c r="S5076"/>
  <c r="S5077"/>
  <c r="S5078"/>
  <c r="S5079"/>
  <c r="S5080"/>
  <c r="S5081"/>
  <c r="S5082"/>
  <c r="S5083"/>
  <c r="S5084"/>
  <c r="S5085"/>
  <c r="S5086"/>
  <c r="S5087"/>
  <c r="S5088"/>
  <c r="S5089"/>
  <c r="S5090"/>
  <c r="S5091"/>
  <c r="S5092"/>
  <c r="S5093"/>
  <c r="S5094"/>
  <c r="S5095"/>
  <c r="S5096"/>
  <c r="S5097"/>
  <c r="S5098"/>
  <c r="S5099"/>
  <c r="S5100"/>
  <c r="S5101"/>
  <c r="S5102"/>
  <c r="S5103"/>
  <c r="S5104"/>
  <c r="S5105"/>
  <c r="S5106"/>
  <c r="S5107"/>
  <c r="S5108"/>
  <c r="S5109"/>
  <c r="S5110"/>
  <c r="S5111"/>
  <c r="S5112"/>
  <c r="S5113"/>
  <c r="S5114"/>
  <c r="S5115"/>
  <c r="S5116"/>
  <c r="S5117"/>
  <c r="S5118"/>
  <c r="S5119"/>
  <c r="S5120"/>
  <c r="S5121"/>
  <c r="S5122"/>
  <c r="S5123"/>
  <c r="S5124"/>
  <c r="S5125"/>
  <c r="S5126"/>
  <c r="S5127"/>
  <c r="S5128"/>
  <c r="S5129"/>
  <c r="S5130"/>
  <c r="S5131"/>
  <c r="S5132"/>
  <c r="S5133"/>
  <c r="S5134"/>
  <c r="S5135"/>
  <c r="S5136"/>
  <c r="S5137"/>
  <c r="S5138"/>
  <c r="S5139"/>
  <c r="S5140"/>
  <c r="S5141"/>
  <c r="S5142"/>
  <c r="S5143"/>
  <c r="S5144"/>
  <c r="S5145"/>
  <c r="S5146"/>
  <c r="S5147"/>
  <c r="S5148"/>
  <c r="S5149"/>
  <c r="S5150"/>
  <c r="S5151"/>
  <c r="S5152"/>
  <c r="S5153"/>
  <c r="S5154"/>
  <c r="S5155"/>
  <c r="S5156"/>
  <c r="S5157"/>
  <c r="S5158"/>
  <c r="S5159"/>
  <c r="S5160"/>
  <c r="S5161"/>
  <c r="S5162"/>
  <c r="S5163"/>
  <c r="U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U1254"/>
  <c r="U1255"/>
  <c r="U1256"/>
  <c r="U1257"/>
  <c r="U1258"/>
  <c r="U1259"/>
  <c r="U1260"/>
  <c r="U1261"/>
  <c r="U1262"/>
  <c r="U1263"/>
  <c r="U1264"/>
  <c r="U1265"/>
  <c r="U1266"/>
  <c r="U1267"/>
  <c r="U1268"/>
  <c r="U1269"/>
  <c r="U1270"/>
  <c r="U1271"/>
  <c r="U1272"/>
  <c r="U1273"/>
  <c r="U1274"/>
  <c r="U1275"/>
  <c r="U1276"/>
  <c r="U1277"/>
  <c r="U1278"/>
  <c r="U1279"/>
  <c r="U1280"/>
  <c r="U1281"/>
  <c r="U1282"/>
  <c r="U1283"/>
  <c r="U1284"/>
  <c r="U1285"/>
  <c r="U1286"/>
  <c r="U1287"/>
  <c r="U1288"/>
  <c r="U1289"/>
  <c r="U1290"/>
  <c r="U1291"/>
  <c r="U1292"/>
  <c r="U1293"/>
  <c r="U1294"/>
  <c r="U1295"/>
  <c r="U1296"/>
  <c r="U1297"/>
  <c r="U1298"/>
  <c r="U1299"/>
  <c r="U1300"/>
  <c r="U1301"/>
  <c r="U1302"/>
  <c r="U1303"/>
  <c r="U1304"/>
  <c r="U1305"/>
  <c r="U1306"/>
  <c r="U1307"/>
  <c r="U1308"/>
  <c r="U1309"/>
  <c r="U1310"/>
  <c r="U1311"/>
  <c r="U1312"/>
  <c r="U1313"/>
  <c r="U1314"/>
  <c r="U1315"/>
  <c r="U1316"/>
  <c r="U1317"/>
  <c r="U1318"/>
  <c r="U1319"/>
  <c r="U1320"/>
  <c r="U1321"/>
  <c r="U1322"/>
  <c r="U1323"/>
  <c r="U1324"/>
  <c r="U1325"/>
  <c r="U1326"/>
  <c r="U1327"/>
  <c r="U1328"/>
  <c r="U1329"/>
  <c r="U1330"/>
  <c r="U1331"/>
  <c r="U1332"/>
  <c r="U1333"/>
  <c r="U1334"/>
  <c r="U1335"/>
  <c r="U1336"/>
  <c r="U1337"/>
  <c r="U1338"/>
  <c r="U1339"/>
  <c r="U1340"/>
  <c r="U1341"/>
  <c r="U1342"/>
  <c r="U1343"/>
  <c r="U1344"/>
  <c r="U1345"/>
  <c r="U1346"/>
  <c r="U1347"/>
  <c r="U1348"/>
  <c r="U1349"/>
  <c r="U1350"/>
  <c r="U1351"/>
  <c r="U1352"/>
  <c r="U1353"/>
  <c r="U1354"/>
  <c r="U1355"/>
  <c r="U1356"/>
  <c r="U1357"/>
  <c r="U1358"/>
  <c r="U1359"/>
  <c r="U1360"/>
  <c r="U1361"/>
  <c r="U1362"/>
  <c r="U1363"/>
  <c r="U1364"/>
  <c r="U1365"/>
  <c r="U1366"/>
  <c r="U1367"/>
  <c r="U1368"/>
  <c r="U1369"/>
  <c r="U1370"/>
  <c r="U1371"/>
  <c r="U1372"/>
  <c r="U1373"/>
  <c r="U1374"/>
  <c r="U1375"/>
  <c r="U1376"/>
  <c r="U1377"/>
  <c r="U1378"/>
  <c r="U1379"/>
  <c r="U1380"/>
  <c r="U1381"/>
  <c r="U1382"/>
  <c r="U1383"/>
  <c r="U1384"/>
  <c r="U1385"/>
  <c r="U1386"/>
  <c r="U1387"/>
  <c r="U1388"/>
  <c r="U1389"/>
  <c r="U1390"/>
  <c r="U1391"/>
  <c r="U1392"/>
  <c r="U1393"/>
  <c r="U1394"/>
  <c r="U1395"/>
  <c r="U1396"/>
  <c r="U1397"/>
  <c r="U1398"/>
  <c r="U1399"/>
  <c r="U1400"/>
  <c r="U1401"/>
  <c r="U1402"/>
  <c r="U1403"/>
  <c r="U1404"/>
  <c r="U1405"/>
  <c r="U1406"/>
  <c r="U1407"/>
  <c r="U1408"/>
  <c r="U1409"/>
  <c r="U1410"/>
  <c r="U1411"/>
  <c r="U1412"/>
  <c r="U1413"/>
  <c r="U1414"/>
  <c r="U1415"/>
  <c r="U1416"/>
  <c r="U1417"/>
  <c r="U1418"/>
  <c r="U1419"/>
  <c r="U1420"/>
  <c r="U1421"/>
  <c r="U1422"/>
  <c r="U1423"/>
  <c r="U1424"/>
  <c r="U1425"/>
  <c r="U1426"/>
  <c r="U1427"/>
  <c r="U1428"/>
  <c r="U1429"/>
  <c r="U1430"/>
  <c r="U1431"/>
  <c r="U1432"/>
  <c r="U1433"/>
  <c r="U1434"/>
  <c r="U1435"/>
  <c r="U1436"/>
  <c r="U1437"/>
  <c r="U1438"/>
  <c r="U1439"/>
  <c r="U1440"/>
  <c r="U1441"/>
  <c r="U1442"/>
  <c r="U1443"/>
  <c r="U1444"/>
  <c r="U1445"/>
  <c r="U1446"/>
  <c r="U1447"/>
  <c r="U1448"/>
  <c r="U1449"/>
  <c r="U1450"/>
  <c r="U1451"/>
  <c r="U1452"/>
  <c r="U1453"/>
  <c r="U1454"/>
  <c r="U1455"/>
  <c r="U1456"/>
  <c r="U1457"/>
  <c r="U1458"/>
  <c r="U1459"/>
  <c r="U1460"/>
  <c r="U1461"/>
  <c r="U1462"/>
  <c r="U1463"/>
  <c r="U1464"/>
  <c r="U1465"/>
  <c r="U1466"/>
  <c r="U1467"/>
  <c r="U1468"/>
  <c r="U1469"/>
  <c r="U1470"/>
  <c r="U1471"/>
  <c r="U1472"/>
  <c r="U1473"/>
  <c r="U1474"/>
  <c r="U1475"/>
  <c r="U1476"/>
  <c r="U1477"/>
  <c r="U1478"/>
  <c r="U1479"/>
  <c r="U1480"/>
  <c r="U1481"/>
  <c r="U1482"/>
  <c r="U1483"/>
  <c r="U1484"/>
  <c r="U1485"/>
  <c r="U1486"/>
  <c r="U1487"/>
  <c r="U1488"/>
  <c r="U1489"/>
  <c r="U1490"/>
  <c r="U1491"/>
  <c r="U1492"/>
  <c r="U1493"/>
  <c r="U1494"/>
  <c r="U1495"/>
  <c r="U1496"/>
  <c r="U1497"/>
  <c r="U1498"/>
  <c r="U1499"/>
  <c r="U1500"/>
  <c r="U1501"/>
  <c r="U1502"/>
  <c r="U1503"/>
  <c r="U1504"/>
  <c r="U1505"/>
  <c r="U1506"/>
  <c r="U1507"/>
  <c r="U1508"/>
  <c r="U1509"/>
  <c r="U1510"/>
  <c r="U1511"/>
  <c r="U1512"/>
  <c r="U1513"/>
  <c r="U1514"/>
  <c r="U1515"/>
  <c r="U1516"/>
  <c r="U1517"/>
  <c r="U1518"/>
  <c r="U1519"/>
  <c r="U1520"/>
  <c r="U1521"/>
  <c r="U1522"/>
  <c r="U1523"/>
  <c r="U1524"/>
  <c r="U1525"/>
  <c r="U1526"/>
  <c r="U1527"/>
  <c r="U1528"/>
  <c r="U1529"/>
  <c r="U1530"/>
  <c r="U1531"/>
  <c r="U1532"/>
  <c r="U1533"/>
  <c r="U1534"/>
  <c r="U1535"/>
  <c r="U1536"/>
  <c r="U1537"/>
  <c r="U1538"/>
  <c r="U1539"/>
  <c r="U1540"/>
  <c r="U1541"/>
  <c r="U1542"/>
  <c r="U1543"/>
  <c r="U1544"/>
  <c r="U1545"/>
  <c r="U1546"/>
  <c r="U1547"/>
  <c r="U1548"/>
  <c r="U1549"/>
  <c r="U1550"/>
  <c r="U1551"/>
  <c r="U1552"/>
  <c r="U1553"/>
  <c r="U1554"/>
  <c r="U1555"/>
  <c r="U1556"/>
  <c r="U1557"/>
  <c r="U1558"/>
  <c r="U1559"/>
  <c r="U1560"/>
  <c r="U1561"/>
  <c r="U1562"/>
  <c r="U1563"/>
  <c r="U1564"/>
  <c r="U1565"/>
  <c r="U1566"/>
  <c r="U1567"/>
  <c r="U1568"/>
  <c r="U1569"/>
  <c r="U1570"/>
  <c r="U1571"/>
  <c r="U1572"/>
  <c r="U1573"/>
  <c r="U1574"/>
  <c r="U1575"/>
  <c r="U1576"/>
  <c r="U1577"/>
  <c r="U1578"/>
  <c r="U1579"/>
  <c r="U1580"/>
  <c r="U1581"/>
  <c r="U1582"/>
  <c r="U1583"/>
  <c r="U1584"/>
  <c r="U1585"/>
  <c r="U1586"/>
  <c r="U1587"/>
  <c r="U1588"/>
  <c r="U1589"/>
  <c r="U1590"/>
  <c r="U1591"/>
  <c r="U1592"/>
  <c r="U1593"/>
  <c r="U1594"/>
  <c r="U1595"/>
  <c r="U1596"/>
  <c r="U1597"/>
  <c r="U1598"/>
  <c r="U1599"/>
  <c r="U1600"/>
  <c r="U1601"/>
  <c r="U1602"/>
  <c r="U1603"/>
  <c r="U1604"/>
  <c r="U1605"/>
  <c r="U1606"/>
  <c r="U1607"/>
  <c r="U1608"/>
  <c r="U1609"/>
  <c r="U1610"/>
  <c r="U1611"/>
  <c r="U1612"/>
  <c r="U1613"/>
  <c r="U1614"/>
  <c r="U1615"/>
  <c r="U1616"/>
  <c r="U1617"/>
  <c r="U1618"/>
  <c r="U1619"/>
  <c r="U1620"/>
  <c r="U1621"/>
  <c r="U1622"/>
  <c r="U1623"/>
  <c r="U1624"/>
  <c r="U1625"/>
  <c r="U1626"/>
  <c r="U1627"/>
  <c r="U1628"/>
  <c r="U1629"/>
  <c r="U1630"/>
  <c r="U1631"/>
  <c r="U1632"/>
  <c r="U1633"/>
  <c r="U1634"/>
  <c r="U1635"/>
  <c r="U1636"/>
  <c r="U1637"/>
  <c r="U1638"/>
  <c r="U1639"/>
  <c r="U1640"/>
  <c r="U1641"/>
  <c r="U1642"/>
  <c r="U1643"/>
  <c r="U1644"/>
  <c r="U1645"/>
  <c r="U1646"/>
  <c r="U1647"/>
  <c r="U1648"/>
  <c r="U1649"/>
  <c r="U1650"/>
  <c r="U1651"/>
  <c r="U1652"/>
  <c r="U1653"/>
  <c r="U1654"/>
  <c r="U1655"/>
  <c r="U1656"/>
  <c r="U1657"/>
  <c r="U1658"/>
  <c r="U1659"/>
  <c r="U1660"/>
  <c r="U1661"/>
  <c r="U1662"/>
  <c r="U1663"/>
  <c r="U1664"/>
  <c r="U1665"/>
  <c r="U1666"/>
  <c r="U1667"/>
  <c r="U1668"/>
  <c r="U1669"/>
  <c r="U1670"/>
  <c r="U1671"/>
  <c r="U1672"/>
  <c r="U1673"/>
  <c r="U1674"/>
  <c r="U1675"/>
  <c r="U1676"/>
  <c r="U1677"/>
  <c r="U1678"/>
  <c r="U1679"/>
  <c r="U1680"/>
  <c r="U1681"/>
  <c r="U1682"/>
  <c r="U1683"/>
  <c r="U1684"/>
  <c r="U1685"/>
  <c r="U1686"/>
  <c r="U1687"/>
  <c r="U1688"/>
  <c r="U1689"/>
  <c r="U1690"/>
  <c r="U1691"/>
  <c r="U1692"/>
  <c r="U1693"/>
  <c r="U1694"/>
  <c r="U1695"/>
  <c r="U1696"/>
  <c r="U1697"/>
  <c r="U1698"/>
  <c r="U1699"/>
  <c r="U1700"/>
  <c r="U1701"/>
  <c r="U1702"/>
  <c r="U1703"/>
  <c r="U1704"/>
  <c r="U1705"/>
  <c r="U1706"/>
  <c r="U1707"/>
  <c r="U1708"/>
  <c r="U1709"/>
  <c r="U1710"/>
  <c r="U1711"/>
  <c r="U1712"/>
  <c r="U1713"/>
  <c r="U1714"/>
  <c r="U1715"/>
  <c r="U1716"/>
  <c r="U1717"/>
  <c r="U1718"/>
  <c r="U1719"/>
  <c r="U1720"/>
  <c r="U1721"/>
  <c r="U1722"/>
  <c r="U1723"/>
  <c r="U1724"/>
  <c r="U1725"/>
  <c r="U1726"/>
  <c r="U1727"/>
  <c r="U1728"/>
  <c r="U1729"/>
  <c r="U1730"/>
  <c r="U1731"/>
  <c r="U1732"/>
  <c r="U1733"/>
  <c r="U1734"/>
  <c r="U1735"/>
  <c r="U1736"/>
  <c r="U1737"/>
  <c r="U1738"/>
  <c r="U1739"/>
  <c r="U1740"/>
  <c r="U1741"/>
  <c r="U1742"/>
  <c r="U1743"/>
  <c r="U1744"/>
  <c r="U1745"/>
  <c r="U1746"/>
  <c r="U1747"/>
  <c r="U1748"/>
  <c r="U1749"/>
  <c r="U1750"/>
  <c r="U1751"/>
  <c r="U1752"/>
  <c r="U1753"/>
  <c r="U1754"/>
  <c r="U1755"/>
  <c r="U1756"/>
  <c r="U1757"/>
  <c r="U1758"/>
  <c r="U1759"/>
  <c r="U1760"/>
  <c r="U1761"/>
  <c r="U1762"/>
  <c r="U1763"/>
  <c r="U1764"/>
  <c r="U1765"/>
  <c r="U1766"/>
  <c r="U1767"/>
  <c r="U1768"/>
  <c r="U1769"/>
  <c r="U1770"/>
  <c r="U1771"/>
  <c r="U1772"/>
  <c r="U1773"/>
  <c r="U1774"/>
  <c r="U1775"/>
  <c r="U1776"/>
  <c r="U1777"/>
  <c r="U1778"/>
  <c r="U1779"/>
  <c r="U1780"/>
  <c r="U1781"/>
  <c r="U1782"/>
  <c r="U1783"/>
  <c r="U1784"/>
  <c r="U1785"/>
  <c r="U1786"/>
  <c r="U1787"/>
  <c r="U1788"/>
  <c r="U1789"/>
  <c r="U1790"/>
  <c r="U1791"/>
  <c r="U1792"/>
  <c r="U1793"/>
  <c r="U1794"/>
  <c r="U1795"/>
  <c r="U1796"/>
  <c r="U1797"/>
  <c r="U1798"/>
  <c r="U1799"/>
  <c r="U1800"/>
  <c r="U1801"/>
  <c r="U1802"/>
  <c r="U1803"/>
  <c r="U1804"/>
  <c r="U1805"/>
  <c r="U1806"/>
  <c r="U1807"/>
  <c r="U1808"/>
  <c r="U1809"/>
  <c r="U1810"/>
  <c r="U1811"/>
  <c r="U1812"/>
  <c r="U1813"/>
  <c r="U1814"/>
  <c r="U1815"/>
  <c r="U1816"/>
  <c r="U1817"/>
  <c r="U1818"/>
  <c r="U1819"/>
  <c r="U1820"/>
  <c r="U1821"/>
  <c r="U1822"/>
  <c r="U1823"/>
  <c r="U1824"/>
  <c r="U1825"/>
  <c r="U1826"/>
  <c r="U1827"/>
  <c r="U1828"/>
  <c r="U1829"/>
  <c r="U1830"/>
  <c r="U1831"/>
  <c r="U1832"/>
  <c r="U1833"/>
  <c r="U1834"/>
  <c r="U1835"/>
  <c r="U1836"/>
  <c r="U1837"/>
  <c r="U1838"/>
  <c r="U1839"/>
  <c r="U1840"/>
  <c r="U1841"/>
  <c r="U1842"/>
  <c r="U1843"/>
  <c r="U1844"/>
  <c r="U1845"/>
  <c r="U1846"/>
  <c r="U1847"/>
  <c r="U1848"/>
  <c r="U1849"/>
  <c r="U1850"/>
  <c r="U1851"/>
  <c r="U1852"/>
  <c r="U1853"/>
  <c r="U1854"/>
  <c r="U1855"/>
  <c r="U1856"/>
  <c r="U1857"/>
  <c r="U1858"/>
  <c r="U1859"/>
  <c r="U1860"/>
  <c r="U1861"/>
  <c r="U1862"/>
  <c r="U1863"/>
  <c r="U1864"/>
  <c r="U1865"/>
  <c r="U1866"/>
  <c r="U1867"/>
  <c r="U1868"/>
  <c r="U1869"/>
  <c r="U1870"/>
  <c r="U1871"/>
  <c r="U1872"/>
  <c r="U1873"/>
  <c r="U1874"/>
  <c r="U1875"/>
  <c r="U1876"/>
  <c r="U1877"/>
  <c r="U1878"/>
  <c r="U1879"/>
  <c r="U1880"/>
  <c r="U1881"/>
  <c r="U1882"/>
  <c r="U1883"/>
  <c r="U1884"/>
  <c r="U1885"/>
  <c r="U1886"/>
  <c r="U1887"/>
  <c r="U1888"/>
  <c r="U1889"/>
  <c r="U1890"/>
  <c r="U1891"/>
  <c r="U1892"/>
  <c r="U1893"/>
  <c r="U1894"/>
  <c r="U1895"/>
  <c r="U1896"/>
  <c r="U1897"/>
  <c r="U1898"/>
  <c r="U1899"/>
  <c r="U1900"/>
  <c r="U1901"/>
  <c r="U1902"/>
  <c r="U1903"/>
  <c r="U1904"/>
  <c r="U1905"/>
  <c r="U1906"/>
  <c r="U1907"/>
  <c r="U1908"/>
  <c r="U1909"/>
  <c r="U1910"/>
  <c r="U1911"/>
  <c r="U1912"/>
  <c r="U1913"/>
  <c r="U1914"/>
  <c r="U1915"/>
  <c r="U1916"/>
  <c r="U1917"/>
  <c r="U1918"/>
  <c r="U1919"/>
  <c r="U1920"/>
  <c r="U1921"/>
  <c r="U1922"/>
  <c r="U1923"/>
  <c r="U1924"/>
  <c r="U1925"/>
  <c r="U1926"/>
  <c r="U1927"/>
  <c r="U1928"/>
  <c r="U1929"/>
  <c r="U1930"/>
  <c r="U1931"/>
  <c r="U1932"/>
  <c r="U1933"/>
  <c r="U1934"/>
  <c r="U1935"/>
  <c r="U1936"/>
  <c r="U1937"/>
  <c r="U1938"/>
  <c r="U1939"/>
  <c r="U1940"/>
  <c r="U1941"/>
  <c r="U1942"/>
  <c r="U1943"/>
  <c r="U1944"/>
  <c r="U1945"/>
  <c r="U1946"/>
  <c r="U1947"/>
  <c r="U1948"/>
  <c r="U1949"/>
  <c r="U1950"/>
  <c r="U1951"/>
  <c r="U1952"/>
  <c r="U1953"/>
  <c r="U1954"/>
  <c r="U1955"/>
  <c r="U1956"/>
  <c r="U1957"/>
  <c r="U1958"/>
  <c r="U1959"/>
  <c r="U1960"/>
  <c r="U1961"/>
  <c r="U1962"/>
  <c r="U1963"/>
  <c r="U1964"/>
  <c r="U1965"/>
  <c r="U1966"/>
  <c r="U1967"/>
  <c r="U1968"/>
  <c r="U1969"/>
  <c r="U1970"/>
  <c r="U1971"/>
  <c r="U1972"/>
  <c r="U1973"/>
  <c r="U1974"/>
  <c r="U1975"/>
  <c r="U1976"/>
  <c r="U1977"/>
  <c r="U1978"/>
  <c r="U1979"/>
  <c r="U1980"/>
  <c r="U1981"/>
  <c r="U1982"/>
  <c r="U1983"/>
  <c r="U1984"/>
  <c r="U1985"/>
  <c r="U1986"/>
  <c r="U1987"/>
  <c r="U1988"/>
  <c r="U1989"/>
  <c r="U1990"/>
  <c r="U1991"/>
  <c r="U1992"/>
  <c r="U1993"/>
  <c r="U1994"/>
  <c r="U1995"/>
  <c r="U1996"/>
  <c r="U1997"/>
  <c r="U1998"/>
  <c r="U1999"/>
  <c r="U2000"/>
  <c r="U2001"/>
  <c r="U2002"/>
  <c r="U2003"/>
  <c r="U2004"/>
  <c r="U2005"/>
  <c r="U2006"/>
  <c r="U2007"/>
  <c r="U2008"/>
  <c r="U2009"/>
  <c r="U2010"/>
  <c r="U2011"/>
  <c r="U2012"/>
  <c r="U2013"/>
  <c r="U2014"/>
  <c r="U2015"/>
  <c r="U2016"/>
  <c r="U2017"/>
  <c r="U2018"/>
  <c r="U2019"/>
  <c r="U2020"/>
  <c r="U2021"/>
  <c r="U2022"/>
  <c r="U2023"/>
  <c r="U2024"/>
  <c r="U2025"/>
  <c r="U2026"/>
  <c r="U2027"/>
  <c r="U2028"/>
  <c r="U2029"/>
  <c r="U2030"/>
  <c r="U2031"/>
  <c r="U2032"/>
  <c r="U2033"/>
  <c r="U2034"/>
  <c r="U2035"/>
  <c r="U2036"/>
  <c r="U2037"/>
  <c r="U2038"/>
  <c r="U2039"/>
  <c r="U2040"/>
  <c r="U2041"/>
  <c r="U2042"/>
  <c r="U2043"/>
  <c r="U2044"/>
  <c r="U2045"/>
  <c r="U2046"/>
  <c r="U2047"/>
  <c r="U2048"/>
  <c r="U2049"/>
  <c r="U2050"/>
  <c r="U2051"/>
  <c r="U2052"/>
  <c r="U2053"/>
  <c r="U2054"/>
  <c r="U2055"/>
  <c r="U2056"/>
  <c r="U2057"/>
  <c r="U2058"/>
  <c r="U2059"/>
  <c r="U2060"/>
  <c r="U2061"/>
  <c r="U2062"/>
  <c r="U2063"/>
  <c r="U2064"/>
  <c r="U2065"/>
  <c r="U2066"/>
  <c r="U2067"/>
  <c r="U2068"/>
  <c r="U2069"/>
  <c r="U2070"/>
  <c r="U2071"/>
  <c r="U2072"/>
  <c r="U2073"/>
  <c r="U2074"/>
  <c r="U2075"/>
  <c r="U2076"/>
  <c r="U2077"/>
  <c r="U2078"/>
  <c r="U2079"/>
  <c r="U2080"/>
  <c r="U2081"/>
  <c r="U2082"/>
  <c r="U2083"/>
  <c r="U2084"/>
  <c r="U2085"/>
  <c r="U2086"/>
  <c r="U2087"/>
  <c r="U2088"/>
  <c r="U2089"/>
  <c r="U2090"/>
  <c r="U2091"/>
  <c r="U2092"/>
  <c r="U2093"/>
  <c r="U2094"/>
  <c r="U2095"/>
  <c r="U2096"/>
  <c r="U2097"/>
  <c r="U2098"/>
  <c r="U2099"/>
  <c r="U2100"/>
  <c r="U2101"/>
  <c r="U2102"/>
  <c r="U2103"/>
  <c r="U2104"/>
  <c r="U2105"/>
  <c r="U2106"/>
  <c r="U2107"/>
  <c r="U2108"/>
  <c r="U2109"/>
  <c r="U2110"/>
  <c r="U2111"/>
  <c r="U2112"/>
  <c r="U2113"/>
  <c r="U2114"/>
  <c r="U2115"/>
  <c r="U2116"/>
  <c r="U2117"/>
  <c r="U2118"/>
  <c r="U2119"/>
  <c r="U2120"/>
  <c r="U2121"/>
  <c r="U2122"/>
  <c r="U2123"/>
  <c r="U2124"/>
  <c r="U2125"/>
  <c r="U2126"/>
  <c r="U2127"/>
  <c r="U2128"/>
  <c r="U2129"/>
  <c r="U2130"/>
  <c r="U2131"/>
  <c r="U2132"/>
  <c r="U2133"/>
  <c r="U2134"/>
  <c r="U2135"/>
  <c r="U2136"/>
  <c r="U2137"/>
  <c r="U2138"/>
  <c r="U2139"/>
  <c r="U2140"/>
  <c r="U2141"/>
  <c r="U2142"/>
  <c r="U2143"/>
  <c r="U2144"/>
  <c r="U2145"/>
  <c r="U2146"/>
  <c r="U2147"/>
  <c r="U2148"/>
  <c r="U2149"/>
  <c r="U2150"/>
  <c r="U2151"/>
  <c r="U2152"/>
  <c r="U2153"/>
  <c r="U2154"/>
  <c r="U2155"/>
  <c r="U2156"/>
  <c r="U2157"/>
  <c r="U2158"/>
  <c r="U2159"/>
  <c r="U2160"/>
  <c r="U2161"/>
  <c r="U2162"/>
  <c r="U2163"/>
  <c r="U2164"/>
  <c r="U2165"/>
  <c r="U2166"/>
  <c r="U2167"/>
  <c r="U2168"/>
  <c r="U2169"/>
  <c r="U2170"/>
  <c r="U2171"/>
  <c r="U2172"/>
  <c r="U2173"/>
  <c r="U2174"/>
  <c r="U2175"/>
  <c r="U2176"/>
  <c r="U2177"/>
  <c r="U2178"/>
  <c r="U2179"/>
  <c r="U2180"/>
  <c r="U2181"/>
  <c r="U2182"/>
  <c r="U2183"/>
  <c r="U2184"/>
  <c r="U2185"/>
  <c r="U2186"/>
  <c r="U2187"/>
  <c r="U2188"/>
  <c r="U2189"/>
  <c r="U2190"/>
  <c r="U2191"/>
  <c r="U2192"/>
  <c r="U2193"/>
  <c r="U2194"/>
  <c r="U2195"/>
  <c r="U2196"/>
  <c r="U2197"/>
  <c r="U2198"/>
  <c r="U2199"/>
  <c r="U2200"/>
  <c r="U2201"/>
  <c r="U2202"/>
  <c r="U2203"/>
  <c r="U2204"/>
  <c r="U2205"/>
  <c r="U2206"/>
  <c r="U2207"/>
  <c r="U2208"/>
  <c r="U2209"/>
  <c r="U2210"/>
  <c r="U2211"/>
  <c r="U2212"/>
  <c r="U2213"/>
  <c r="U2214"/>
  <c r="U2215"/>
  <c r="U2216"/>
  <c r="U2217"/>
  <c r="U2218"/>
  <c r="U2219"/>
  <c r="U2220"/>
  <c r="U2221"/>
  <c r="U2222"/>
  <c r="U2223"/>
  <c r="U2224"/>
  <c r="U2225"/>
  <c r="U2226"/>
  <c r="U2227"/>
  <c r="U2228"/>
  <c r="U2229"/>
  <c r="U2230"/>
  <c r="U2231"/>
  <c r="U2232"/>
  <c r="U2233"/>
  <c r="U2234"/>
  <c r="U2235"/>
  <c r="U2236"/>
  <c r="U2237"/>
  <c r="U2238"/>
  <c r="U2239"/>
  <c r="U2240"/>
  <c r="U2241"/>
  <c r="U2242"/>
  <c r="U2243"/>
  <c r="U2244"/>
  <c r="U2245"/>
  <c r="U2246"/>
  <c r="U2247"/>
  <c r="U2248"/>
  <c r="U2249"/>
  <c r="U2250"/>
  <c r="U2251"/>
  <c r="U2252"/>
  <c r="U2253"/>
  <c r="U2254"/>
  <c r="U2255"/>
  <c r="U2256"/>
  <c r="U2257"/>
  <c r="U2258"/>
  <c r="U2259"/>
  <c r="U2260"/>
  <c r="U2261"/>
  <c r="U2262"/>
  <c r="U2263"/>
  <c r="U2264"/>
  <c r="U2265"/>
  <c r="U2266"/>
  <c r="U2267"/>
  <c r="U2268"/>
  <c r="U2269"/>
  <c r="U2270"/>
  <c r="U2271"/>
  <c r="U2272"/>
  <c r="U2273"/>
  <c r="U2274"/>
  <c r="U2275"/>
  <c r="U2276"/>
  <c r="U2277"/>
  <c r="U2278"/>
  <c r="U2279"/>
  <c r="U2280"/>
  <c r="U2281"/>
  <c r="U2282"/>
  <c r="U2283"/>
  <c r="U2284"/>
  <c r="U2285"/>
  <c r="U2286"/>
  <c r="U2287"/>
  <c r="U2288"/>
  <c r="U2289"/>
  <c r="U2290"/>
  <c r="U2291"/>
  <c r="U2292"/>
  <c r="U2293"/>
  <c r="U2294"/>
  <c r="U2295"/>
  <c r="U2296"/>
  <c r="U2297"/>
  <c r="U2298"/>
  <c r="U2299"/>
  <c r="U2300"/>
  <c r="U2301"/>
  <c r="U2302"/>
  <c r="U2303"/>
  <c r="U2304"/>
  <c r="U2305"/>
  <c r="U2306"/>
  <c r="U2307"/>
  <c r="U2308"/>
  <c r="U2309"/>
  <c r="U2310"/>
  <c r="U2311"/>
  <c r="U2312"/>
  <c r="U2313"/>
  <c r="U2314"/>
  <c r="U2315"/>
  <c r="U2316"/>
  <c r="U2317"/>
  <c r="U2318"/>
  <c r="U2319"/>
  <c r="U2320"/>
  <c r="U2321"/>
  <c r="U2322"/>
  <c r="U2323"/>
  <c r="U2324"/>
  <c r="U2325"/>
  <c r="U2326"/>
  <c r="U2327"/>
  <c r="U2328"/>
  <c r="U2329"/>
  <c r="U2330"/>
  <c r="U2331"/>
  <c r="U2332"/>
  <c r="U2333"/>
  <c r="U2334"/>
  <c r="U2335"/>
  <c r="U2336"/>
  <c r="U2337"/>
  <c r="U2338"/>
  <c r="U2339"/>
  <c r="U2340"/>
  <c r="U2341"/>
  <c r="U2342"/>
  <c r="U2343"/>
  <c r="U2344"/>
  <c r="U2345"/>
  <c r="U2346"/>
  <c r="U2347"/>
  <c r="U2348"/>
  <c r="U2349"/>
  <c r="U2350"/>
  <c r="U2351"/>
  <c r="U2352"/>
  <c r="U2353"/>
  <c r="U2354"/>
  <c r="U2355"/>
  <c r="U2356"/>
  <c r="U2357"/>
  <c r="U2358"/>
  <c r="U2359"/>
  <c r="U2360"/>
  <c r="U2361"/>
  <c r="U2362"/>
  <c r="U2363"/>
  <c r="U2364"/>
  <c r="U2365"/>
  <c r="U2366"/>
  <c r="U2367"/>
  <c r="U2368"/>
  <c r="U2369"/>
  <c r="U2370"/>
  <c r="U2371"/>
  <c r="U2372"/>
  <c r="U2373"/>
  <c r="U2374"/>
  <c r="U2375"/>
  <c r="U2376"/>
  <c r="U2377"/>
  <c r="U2378"/>
  <c r="U2379"/>
  <c r="U2380"/>
  <c r="U2381"/>
  <c r="U2382"/>
  <c r="U2383"/>
  <c r="U2384"/>
  <c r="U2385"/>
  <c r="U2386"/>
  <c r="U2387"/>
  <c r="U2388"/>
  <c r="U2389"/>
  <c r="U2390"/>
  <c r="U2391"/>
  <c r="U2392"/>
  <c r="U2393"/>
  <c r="U2394"/>
  <c r="U2395"/>
  <c r="U2396"/>
  <c r="U2397"/>
  <c r="U2398"/>
  <c r="U2399"/>
  <c r="U2400"/>
  <c r="U2401"/>
  <c r="U2402"/>
  <c r="U2403"/>
  <c r="U2404"/>
  <c r="U2405"/>
  <c r="U2406"/>
  <c r="U2407"/>
  <c r="U2408"/>
  <c r="U2409"/>
  <c r="U2410"/>
  <c r="U2411"/>
  <c r="U2412"/>
  <c r="U2413"/>
  <c r="U2414"/>
  <c r="U2415"/>
  <c r="U2416"/>
  <c r="U2417"/>
  <c r="U2418"/>
  <c r="U2419"/>
  <c r="U2420"/>
  <c r="U2421"/>
  <c r="U2422"/>
  <c r="U2423"/>
  <c r="U2424"/>
  <c r="U2425"/>
  <c r="U2426"/>
  <c r="U2427"/>
  <c r="U2428"/>
  <c r="U2429"/>
  <c r="U2430"/>
  <c r="U2431"/>
  <c r="U2432"/>
  <c r="U2433"/>
  <c r="U2434"/>
  <c r="U2435"/>
  <c r="U2436"/>
  <c r="U2437"/>
  <c r="U2438"/>
  <c r="U2439"/>
  <c r="U2440"/>
  <c r="U2441"/>
  <c r="U2442"/>
  <c r="U2443"/>
  <c r="U2444"/>
  <c r="U2445"/>
  <c r="U2446"/>
  <c r="U2447"/>
  <c r="U2448"/>
  <c r="U2449"/>
  <c r="U2450"/>
  <c r="U2451"/>
  <c r="U2452"/>
  <c r="U2453"/>
  <c r="U2454"/>
  <c r="U2455"/>
  <c r="U2456"/>
  <c r="U2457"/>
  <c r="U2458"/>
  <c r="U2459"/>
  <c r="U2460"/>
  <c r="U2461"/>
  <c r="U2462"/>
  <c r="U2463"/>
  <c r="U2464"/>
  <c r="U2465"/>
  <c r="U2466"/>
  <c r="U2467"/>
  <c r="U2468"/>
  <c r="U2469"/>
  <c r="U2470"/>
  <c r="U2471"/>
  <c r="U2472"/>
  <c r="U2473"/>
  <c r="U2474"/>
  <c r="U2475"/>
  <c r="U2476"/>
  <c r="U2477"/>
  <c r="U2478"/>
  <c r="U2479"/>
  <c r="U2480"/>
  <c r="U2481"/>
  <c r="U2482"/>
  <c r="U2483"/>
  <c r="U2484"/>
  <c r="U2485"/>
  <c r="U2486"/>
  <c r="U2487"/>
  <c r="U2488"/>
  <c r="U2489"/>
  <c r="U2490"/>
  <c r="U2491"/>
  <c r="U2492"/>
  <c r="U2493"/>
  <c r="U2494"/>
  <c r="U2495"/>
  <c r="U2496"/>
  <c r="U2497"/>
  <c r="U2498"/>
  <c r="U2499"/>
  <c r="U2500"/>
  <c r="U2501"/>
  <c r="U2502"/>
  <c r="U2503"/>
  <c r="U2504"/>
  <c r="U2505"/>
  <c r="U2506"/>
  <c r="U2507"/>
  <c r="U2508"/>
  <c r="U2509"/>
  <c r="U2510"/>
  <c r="U2511"/>
  <c r="U2512"/>
  <c r="U2513"/>
  <c r="U2514"/>
  <c r="U2515"/>
  <c r="U2516"/>
  <c r="U2517"/>
  <c r="U2518"/>
  <c r="U2519"/>
  <c r="U2520"/>
  <c r="U2521"/>
  <c r="U2522"/>
  <c r="U2523"/>
  <c r="U2524"/>
  <c r="U2525"/>
  <c r="U2526"/>
  <c r="U2527"/>
  <c r="U2528"/>
  <c r="U2529"/>
  <c r="U2530"/>
  <c r="U2531"/>
  <c r="U2532"/>
  <c r="U2533"/>
  <c r="U2534"/>
  <c r="U2535"/>
  <c r="U2536"/>
  <c r="U2537"/>
  <c r="U2538"/>
  <c r="U2539"/>
  <c r="U2540"/>
  <c r="U2541"/>
  <c r="U2542"/>
  <c r="U2543"/>
  <c r="U2544"/>
  <c r="U2545"/>
  <c r="U2546"/>
  <c r="U2547"/>
  <c r="U2548"/>
  <c r="U2549"/>
  <c r="U2550"/>
  <c r="U2551"/>
  <c r="U2552"/>
  <c r="U2553"/>
  <c r="U2554"/>
  <c r="U2555"/>
  <c r="U2556"/>
  <c r="U2557"/>
  <c r="U2558"/>
  <c r="U2559"/>
  <c r="U2560"/>
  <c r="U2561"/>
  <c r="U2562"/>
  <c r="U2563"/>
  <c r="U2564"/>
  <c r="U2565"/>
  <c r="U2566"/>
  <c r="U2567"/>
  <c r="U2568"/>
  <c r="U2569"/>
  <c r="U2570"/>
  <c r="U2571"/>
  <c r="U2572"/>
  <c r="U2573"/>
  <c r="U2574"/>
  <c r="U2575"/>
  <c r="U2576"/>
  <c r="U2577"/>
  <c r="U2578"/>
  <c r="U2579"/>
  <c r="U2580"/>
  <c r="U2581"/>
  <c r="U2582"/>
  <c r="U2583"/>
  <c r="U2584"/>
  <c r="U2585"/>
  <c r="U2586"/>
  <c r="U2587"/>
  <c r="U2588"/>
  <c r="U2589"/>
  <c r="U2590"/>
  <c r="U2591"/>
  <c r="U2592"/>
  <c r="U2593"/>
  <c r="U2594"/>
  <c r="U2595"/>
  <c r="U2596"/>
  <c r="U2597"/>
  <c r="U2598"/>
  <c r="U2599"/>
  <c r="U2600"/>
  <c r="U2601"/>
  <c r="U2602"/>
  <c r="U2603"/>
  <c r="U2604"/>
  <c r="U2605"/>
  <c r="U2606"/>
  <c r="U2607"/>
  <c r="U2608"/>
  <c r="U2609"/>
  <c r="U2610"/>
  <c r="U2611"/>
  <c r="U2612"/>
  <c r="U2613"/>
  <c r="U2614"/>
  <c r="U2615"/>
  <c r="U2616"/>
  <c r="U2617"/>
  <c r="U2618"/>
  <c r="U2619"/>
  <c r="U2620"/>
  <c r="U2621"/>
  <c r="U2622"/>
  <c r="U2623"/>
  <c r="U2624"/>
  <c r="U2625"/>
  <c r="U2626"/>
  <c r="U2627"/>
  <c r="U2628"/>
  <c r="U2629"/>
  <c r="U2630"/>
  <c r="U2631"/>
  <c r="U2632"/>
  <c r="U2633"/>
  <c r="U2634"/>
  <c r="U2635"/>
  <c r="U2636"/>
  <c r="U2637"/>
  <c r="U2638"/>
  <c r="U2639"/>
  <c r="U2640"/>
  <c r="U2641"/>
  <c r="U2642"/>
  <c r="U2643"/>
  <c r="U2644"/>
  <c r="U2645"/>
  <c r="U2646"/>
  <c r="U2647"/>
  <c r="U2648"/>
  <c r="U2649"/>
  <c r="U2650"/>
  <c r="U2651"/>
  <c r="U2652"/>
  <c r="U2653"/>
  <c r="U2654"/>
  <c r="U2655"/>
  <c r="U2656"/>
  <c r="U2657"/>
  <c r="U2658"/>
  <c r="U2659"/>
  <c r="U2660"/>
  <c r="U2661"/>
  <c r="U2662"/>
  <c r="U2663"/>
  <c r="U2664"/>
  <c r="U2665"/>
  <c r="U2666"/>
  <c r="U2667"/>
  <c r="U2668"/>
  <c r="U2669"/>
  <c r="U2670"/>
  <c r="U2671"/>
  <c r="U2672"/>
  <c r="U2673"/>
  <c r="U2674"/>
  <c r="U2675"/>
  <c r="U2676"/>
  <c r="U2677"/>
  <c r="U2678"/>
  <c r="U2679"/>
  <c r="U2680"/>
  <c r="U2681"/>
  <c r="U2682"/>
  <c r="U2683"/>
  <c r="U2684"/>
  <c r="U2685"/>
  <c r="U2686"/>
  <c r="U2687"/>
  <c r="U2688"/>
  <c r="U2689"/>
  <c r="U2690"/>
  <c r="U2691"/>
  <c r="U2692"/>
  <c r="U2693"/>
  <c r="U2694"/>
  <c r="U2695"/>
  <c r="U2696"/>
  <c r="U2697"/>
  <c r="U2698"/>
  <c r="U2699"/>
  <c r="U2700"/>
  <c r="U2701"/>
  <c r="U2702"/>
  <c r="U2703"/>
  <c r="U2704"/>
  <c r="U2705"/>
  <c r="U2706"/>
  <c r="U2707"/>
  <c r="U2708"/>
  <c r="U2709"/>
  <c r="U2710"/>
  <c r="U2711"/>
  <c r="U2712"/>
  <c r="U2713"/>
  <c r="U2714"/>
  <c r="U2715"/>
  <c r="U2716"/>
  <c r="U2717"/>
  <c r="U2718"/>
  <c r="U2719"/>
  <c r="U2720"/>
  <c r="U2721"/>
  <c r="U2722"/>
  <c r="U2723"/>
  <c r="U2724"/>
  <c r="U2725"/>
  <c r="U2726"/>
  <c r="U2727"/>
  <c r="U2728"/>
  <c r="U2729"/>
  <c r="U2730"/>
  <c r="U2731"/>
  <c r="U2732"/>
  <c r="U2733"/>
  <c r="U2734"/>
  <c r="U2735"/>
  <c r="U2736"/>
  <c r="U2737"/>
  <c r="U2738"/>
  <c r="U2739"/>
  <c r="U2740"/>
  <c r="U2741"/>
  <c r="U2742"/>
  <c r="U2743"/>
  <c r="U2744"/>
  <c r="U2745"/>
  <c r="U2746"/>
  <c r="U2747"/>
  <c r="U2748"/>
  <c r="U2749"/>
  <c r="U2750"/>
  <c r="U2751"/>
  <c r="U2752"/>
  <c r="U2753"/>
  <c r="U2754"/>
  <c r="U2755"/>
  <c r="U2756"/>
  <c r="U2757"/>
  <c r="U2758"/>
  <c r="U2759"/>
  <c r="U2760"/>
  <c r="U2761"/>
  <c r="U2762"/>
  <c r="U2763"/>
  <c r="U2764"/>
  <c r="U2765"/>
  <c r="U2766"/>
  <c r="U2767"/>
  <c r="U2768"/>
  <c r="U2769"/>
  <c r="U2770"/>
  <c r="U2771"/>
  <c r="U2772"/>
  <c r="U2773"/>
  <c r="U2774"/>
  <c r="U2775"/>
  <c r="U2776"/>
  <c r="U2777"/>
  <c r="U2778"/>
  <c r="U2779"/>
  <c r="U2780"/>
  <c r="U2781"/>
  <c r="U2782"/>
  <c r="U2783"/>
  <c r="U2784"/>
  <c r="U2785"/>
  <c r="U2786"/>
  <c r="U2787"/>
  <c r="U2788"/>
  <c r="U2789"/>
  <c r="U2790"/>
  <c r="U2791"/>
  <c r="U2792"/>
  <c r="U2793"/>
  <c r="U2794"/>
  <c r="U2795"/>
  <c r="U2796"/>
  <c r="U2797"/>
  <c r="U2798"/>
  <c r="U2799"/>
  <c r="U2800"/>
  <c r="U2801"/>
  <c r="U2802"/>
  <c r="U2803"/>
  <c r="U2804"/>
  <c r="U2805"/>
  <c r="U2806"/>
  <c r="U2807"/>
  <c r="U2808"/>
  <c r="U2809"/>
  <c r="U2810"/>
  <c r="U2811"/>
  <c r="U2812"/>
  <c r="U2813"/>
  <c r="U2814"/>
  <c r="U2815"/>
  <c r="U2816"/>
  <c r="U2817"/>
  <c r="U2818"/>
  <c r="U2819"/>
  <c r="U2820"/>
  <c r="U2821"/>
  <c r="U2822"/>
  <c r="U2823"/>
  <c r="U2824"/>
  <c r="U2825"/>
  <c r="U2826"/>
  <c r="U2827"/>
  <c r="U2828"/>
  <c r="U2829"/>
  <c r="U2830"/>
  <c r="U2831"/>
  <c r="U2832"/>
  <c r="U2833"/>
  <c r="U2834"/>
  <c r="U2835"/>
  <c r="U2836"/>
  <c r="U2837"/>
  <c r="U2838"/>
  <c r="U2839"/>
  <c r="U2840"/>
  <c r="U2841"/>
  <c r="U2842"/>
  <c r="U2843"/>
  <c r="U2844"/>
  <c r="U2845"/>
  <c r="U2846"/>
  <c r="U2847"/>
  <c r="U2848"/>
  <c r="U2849"/>
  <c r="U2850"/>
  <c r="U2851"/>
  <c r="U2852"/>
  <c r="U2853"/>
  <c r="U2854"/>
  <c r="U2855"/>
  <c r="U2856"/>
  <c r="U2857"/>
  <c r="U2858"/>
  <c r="U2859"/>
  <c r="U2860"/>
  <c r="U2861"/>
  <c r="U2862"/>
  <c r="U2863"/>
  <c r="U2864"/>
  <c r="U2865"/>
  <c r="U2866"/>
  <c r="U2867"/>
  <c r="U2868"/>
  <c r="U2869"/>
  <c r="U2870"/>
  <c r="U2871"/>
  <c r="U2872"/>
  <c r="U2873"/>
  <c r="U2874"/>
  <c r="U2875"/>
  <c r="U2876"/>
  <c r="U2877"/>
  <c r="U2878"/>
  <c r="U2879"/>
  <c r="U2880"/>
  <c r="U2881"/>
  <c r="U2882"/>
  <c r="U2883"/>
  <c r="U2884"/>
  <c r="U2885"/>
  <c r="U2886"/>
  <c r="U2887"/>
  <c r="U2888"/>
  <c r="U2889"/>
  <c r="U2890"/>
  <c r="U2891"/>
  <c r="U2892"/>
  <c r="U2893"/>
  <c r="U2894"/>
  <c r="U2895"/>
  <c r="U2896"/>
  <c r="U2897"/>
  <c r="U2898"/>
  <c r="U2899"/>
  <c r="U2900"/>
  <c r="U2901"/>
  <c r="U2902"/>
  <c r="U2903"/>
  <c r="U2904"/>
  <c r="U2905"/>
  <c r="U2906"/>
  <c r="U2907"/>
  <c r="U2908"/>
  <c r="U2909"/>
  <c r="U2910"/>
  <c r="U2911"/>
  <c r="U2912"/>
  <c r="U2913"/>
  <c r="U2914"/>
  <c r="U2915"/>
  <c r="U2916"/>
  <c r="U2917"/>
  <c r="U2918"/>
  <c r="U2919"/>
  <c r="U2920"/>
  <c r="U2921"/>
  <c r="U2922"/>
  <c r="U2923"/>
  <c r="U2924"/>
  <c r="U2925"/>
  <c r="U2926"/>
  <c r="U2927"/>
  <c r="U2928"/>
  <c r="U2929"/>
  <c r="U2930"/>
  <c r="U2931"/>
  <c r="U2932"/>
  <c r="U2933"/>
  <c r="U2934"/>
  <c r="U2935"/>
  <c r="U2936"/>
  <c r="U2937"/>
  <c r="U2938"/>
  <c r="U2939"/>
  <c r="U2940"/>
  <c r="U2941"/>
  <c r="U2942"/>
  <c r="U2943"/>
  <c r="U2944"/>
  <c r="U2945"/>
  <c r="U2946"/>
  <c r="U2947"/>
  <c r="U2948"/>
  <c r="U2949"/>
  <c r="U2950"/>
  <c r="U2951"/>
  <c r="U2952"/>
  <c r="U2953"/>
  <c r="U2954"/>
  <c r="U2955"/>
  <c r="U2956"/>
  <c r="U2957"/>
  <c r="U2958"/>
  <c r="U2959"/>
  <c r="U2960"/>
  <c r="U2961"/>
  <c r="U2962"/>
  <c r="U2963"/>
  <c r="U2964"/>
  <c r="U2965"/>
  <c r="U2966"/>
  <c r="U2967"/>
  <c r="U2968"/>
  <c r="U2969"/>
  <c r="U2970"/>
  <c r="U2971"/>
  <c r="U2972"/>
  <c r="U2973"/>
  <c r="U2974"/>
  <c r="U2975"/>
  <c r="U2976"/>
  <c r="U2977"/>
  <c r="U2978"/>
  <c r="U2979"/>
  <c r="U2980"/>
  <c r="U2981"/>
  <c r="U2982"/>
  <c r="U2983"/>
  <c r="U2984"/>
  <c r="U2985"/>
  <c r="U2986"/>
  <c r="U2987"/>
  <c r="U2988"/>
  <c r="U2989"/>
  <c r="U2990"/>
  <c r="U2991"/>
  <c r="U2992"/>
  <c r="U2993"/>
  <c r="U2994"/>
  <c r="U2995"/>
  <c r="U2996"/>
  <c r="U2997"/>
  <c r="U2998"/>
  <c r="U2999"/>
  <c r="U3000"/>
  <c r="U3001"/>
  <c r="U3002"/>
  <c r="U3003"/>
  <c r="U3004"/>
  <c r="U3005"/>
  <c r="U3006"/>
  <c r="U3007"/>
  <c r="U3008"/>
  <c r="U3009"/>
  <c r="U3010"/>
  <c r="U3011"/>
  <c r="U3012"/>
  <c r="U3013"/>
  <c r="U3014"/>
  <c r="U3015"/>
  <c r="U3016"/>
  <c r="U3017"/>
  <c r="U3018"/>
  <c r="U3019"/>
  <c r="U3020"/>
  <c r="U3021"/>
  <c r="U3022"/>
  <c r="U3023"/>
  <c r="U3024"/>
  <c r="U3025"/>
  <c r="U3026"/>
  <c r="U3027"/>
  <c r="U3028"/>
  <c r="U3029"/>
  <c r="U3030"/>
  <c r="U3031"/>
  <c r="U3032"/>
  <c r="U3033"/>
  <c r="U3034"/>
  <c r="U3035"/>
  <c r="U3036"/>
  <c r="U3037"/>
  <c r="U3038"/>
  <c r="U3039"/>
  <c r="U3040"/>
  <c r="U3041"/>
  <c r="U3042"/>
  <c r="U3043"/>
  <c r="U3044"/>
  <c r="U3045"/>
  <c r="U3046"/>
  <c r="U3047"/>
  <c r="U3048"/>
  <c r="U3049"/>
  <c r="U3050"/>
  <c r="U3051"/>
  <c r="U3052"/>
  <c r="U3053"/>
  <c r="U3054"/>
  <c r="U3055"/>
  <c r="U3056"/>
  <c r="U3057"/>
  <c r="U3058"/>
  <c r="U3059"/>
  <c r="U3060"/>
  <c r="U3061"/>
  <c r="U3062"/>
  <c r="U3063"/>
  <c r="U3064"/>
  <c r="U3065"/>
  <c r="U3066"/>
  <c r="U3067"/>
  <c r="U3068"/>
  <c r="U3069"/>
  <c r="U3070"/>
  <c r="U3071"/>
  <c r="U3072"/>
  <c r="U3073"/>
  <c r="U3074"/>
  <c r="U3075"/>
  <c r="U3076"/>
  <c r="U3077"/>
  <c r="U3078"/>
  <c r="U3079"/>
  <c r="U3080"/>
  <c r="U3081"/>
  <c r="U3082"/>
  <c r="U3083"/>
  <c r="U3084"/>
  <c r="U3085"/>
  <c r="U3086"/>
  <c r="U3087"/>
  <c r="U3088"/>
  <c r="U3089"/>
  <c r="U3090"/>
  <c r="U3091"/>
  <c r="U3092"/>
  <c r="U3093"/>
  <c r="U3094"/>
  <c r="U3095"/>
  <c r="U3096"/>
  <c r="U3097"/>
  <c r="U3098"/>
  <c r="U3099"/>
  <c r="U3100"/>
  <c r="U3101"/>
  <c r="U3102"/>
  <c r="U3103"/>
  <c r="U3104"/>
  <c r="U3105"/>
  <c r="U3106"/>
  <c r="U3107"/>
  <c r="U3108"/>
  <c r="U3109"/>
  <c r="U3110"/>
  <c r="U3111"/>
  <c r="U3112"/>
  <c r="U3113"/>
  <c r="U3114"/>
  <c r="U3115"/>
  <c r="U3116"/>
  <c r="U3117"/>
  <c r="U3118"/>
  <c r="U3119"/>
  <c r="U3120"/>
  <c r="U3121"/>
  <c r="U3122"/>
  <c r="U3123"/>
  <c r="U3124"/>
  <c r="U3125"/>
  <c r="U3126"/>
  <c r="U3127"/>
  <c r="U3128"/>
  <c r="U3129"/>
  <c r="U3130"/>
  <c r="U3131"/>
  <c r="U3132"/>
  <c r="U3133"/>
  <c r="U3134"/>
  <c r="U3135"/>
  <c r="U3136"/>
  <c r="U3137"/>
  <c r="U3138"/>
  <c r="U3139"/>
  <c r="U3140"/>
  <c r="U3141"/>
  <c r="U3142"/>
  <c r="U3143"/>
  <c r="U3144"/>
  <c r="U3145"/>
  <c r="U3146"/>
  <c r="U3147"/>
  <c r="U3148"/>
  <c r="U3149"/>
  <c r="U3150"/>
  <c r="U3151"/>
  <c r="U3152"/>
  <c r="U3153"/>
  <c r="U3154"/>
  <c r="U3155"/>
  <c r="U3156"/>
  <c r="U3157"/>
  <c r="U3158"/>
  <c r="U3159"/>
  <c r="U3160"/>
  <c r="U3161"/>
  <c r="U3162"/>
  <c r="U3163"/>
  <c r="U3164"/>
  <c r="U3165"/>
  <c r="U3166"/>
  <c r="U3167"/>
  <c r="U3168"/>
  <c r="U3169"/>
  <c r="U3170"/>
  <c r="U3171"/>
  <c r="U3172"/>
  <c r="U3173"/>
  <c r="U3174"/>
  <c r="U3175"/>
  <c r="U3176"/>
  <c r="U3177"/>
  <c r="U3178"/>
  <c r="U3179"/>
  <c r="U3180"/>
  <c r="U3181"/>
  <c r="U3182"/>
  <c r="U3183"/>
  <c r="U3184"/>
  <c r="U3185"/>
  <c r="U3186"/>
  <c r="U3187"/>
  <c r="U3188"/>
  <c r="U3189"/>
  <c r="U3190"/>
  <c r="U3191"/>
  <c r="U3192"/>
  <c r="U3193"/>
  <c r="U3194"/>
  <c r="U3195"/>
  <c r="U3196"/>
  <c r="U3197"/>
  <c r="U3198"/>
  <c r="U3199"/>
  <c r="U3200"/>
  <c r="U3201"/>
  <c r="U3202"/>
  <c r="U3203"/>
  <c r="U3204"/>
  <c r="U3205"/>
  <c r="U3206"/>
  <c r="U3207"/>
  <c r="U3208"/>
  <c r="U3209"/>
  <c r="U3210"/>
  <c r="U3211"/>
  <c r="U3212"/>
  <c r="U3213"/>
  <c r="U3214"/>
  <c r="U3215"/>
  <c r="U3216"/>
  <c r="U3217"/>
  <c r="U3218"/>
  <c r="U3219"/>
  <c r="U3220"/>
  <c r="U3221"/>
  <c r="U3222"/>
  <c r="U3223"/>
  <c r="U3224"/>
  <c r="U3225"/>
  <c r="U3226"/>
  <c r="U3227"/>
  <c r="U3228"/>
  <c r="U3229"/>
  <c r="U3230"/>
  <c r="U3231"/>
  <c r="U3232"/>
  <c r="U3233"/>
  <c r="U3234"/>
  <c r="U3235"/>
  <c r="U3236"/>
  <c r="U3237"/>
  <c r="U3238"/>
  <c r="U3239"/>
  <c r="U3240"/>
  <c r="U3241"/>
  <c r="U3242"/>
  <c r="U3243"/>
  <c r="U3244"/>
  <c r="U3245"/>
  <c r="U3246"/>
  <c r="U3247"/>
  <c r="U3248"/>
  <c r="U3249"/>
  <c r="U3250"/>
  <c r="U3251"/>
  <c r="U3252"/>
  <c r="U3253"/>
  <c r="U3254"/>
  <c r="U3255"/>
  <c r="U3256"/>
  <c r="U3257"/>
  <c r="U3258"/>
  <c r="U3259"/>
  <c r="U3260"/>
  <c r="U3261"/>
  <c r="U3262"/>
  <c r="U3263"/>
  <c r="U3264"/>
  <c r="U3265"/>
  <c r="U3266"/>
  <c r="U3267"/>
  <c r="U3268"/>
  <c r="U3269"/>
  <c r="U3270"/>
  <c r="U3271"/>
  <c r="U3272"/>
  <c r="U3273"/>
  <c r="U3274"/>
  <c r="U3275"/>
  <c r="U3276"/>
  <c r="U3277"/>
  <c r="U3278"/>
  <c r="U3279"/>
  <c r="U3280"/>
  <c r="U3281"/>
  <c r="U3282"/>
  <c r="U3283"/>
  <c r="U3284"/>
  <c r="U3285"/>
  <c r="U3286"/>
  <c r="U3287"/>
  <c r="U3288"/>
  <c r="U3289"/>
  <c r="U3290"/>
  <c r="U3291"/>
  <c r="U3292"/>
  <c r="U3293"/>
  <c r="U3294"/>
  <c r="U3295"/>
  <c r="U3296"/>
  <c r="U3297"/>
  <c r="U3298"/>
  <c r="U3299"/>
  <c r="U3300"/>
  <c r="U3301"/>
  <c r="U3302"/>
  <c r="U3303"/>
  <c r="U3304"/>
  <c r="U3305"/>
  <c r="U3306"/>
  <c r="U3307"/>
  <c r="U3308"/>
  <c r="U3309"/>
  <c r="U3310"/>
  <c r="U3311"/>
  <c r="U3312"/>
  <c r="U3313"/>
  <c r="U3314"/>
  <c r="U3315"/>
  <c r="U3316"/>
  <c r="U3317"/>
  <c r="U3318"/>
  <c r="U3319"/>
  <c r="U3320"/>
  <c r="U3321"/>
  <c r="U3322"/>
  <c r="U3323"/>
  <c r="U3324"/>
  <c r="U3325"/>
  <c r="U3326"/>
  <c r="U3327"/>
  <c r="U3328"/>
  <c r="U3329"/>
  <c r="U3330"/>
  <c r="U3331"/>
  <c r="U3332"/>
  <c r="U3333"/>
  <c r="U3334"/>
  <c r="U3335"/>
  <c r="U3336"/>
  <c r="U3337"/>
  <c r="U3338"/>
  <c r="U3339"/>
  <c r="U3340"/>
  <c r="U3341"/>
  <c r="U3342"/>
  <c r="U3343"/>
  <c r="U3344"/>
  <c r="U3345"/>
  <c r="U3346"/>
  <c r="U3347"/>
  <c r="U3348"/>
  <c r="U3349"/>
  <c r="U3350"/>
  <c r="U3351"/>
  <c r="U3352"/>
  <c r="U3353"/>
  <c r="U3354"/>
  <c r="U3355"/>
  <c r="U3356"/>
  <c r="U3357"/>
  <c r="U3358"/>
  <c r="U3359"/>
  <c r="U3360"/>
  <c r="U3361"/>
  <c r="U3362"/>
  <c r="U3363"/>
  <c r="U3364"/>
  <c r="U3365"/>
  <c r="U3366"/>
  <c r="U3367"/>
  <c r="U3368"/>
  <c r="U3369"/>
  <c r="U3370"/>
  <c r="U3371"/>
  <c r="U3372"/>
  <c r="U3373"/>
  <c r="U3374"/>
  <c r="U3375"/>
  <c r="U3376"/>
  <c r="U3377"/>
  <c r="U3378"/>
  <c r="U3379"/>
  <c r="U3380"/>
  <c r="U3381"/>
  <c r="U3382"/>
  <c r="U3383"/>
  <c r="U3384"/>
  <c r="U3385"/>
  <c r="U3386"/>
  <c r="U3387"/>
  <c r="U3388"/>
  <c r="U3389"/>
  <c r="U3390"/>
  <c r="U3391"/>
  <c r="U3392"/>
  <c r="U3393"/>
  <c r="U3394"/>
  <c r="U3395"/>
  <c r="U3396"/>
  <c r="U3397"/>
  <c r="U3398"/>
  <c r="U3399"/>
  <c r="U3400"/>
  <c r="U3401"/>
  <c r="U3402"/>
  <c r="U3403"/>
  <c r="U3404"/>
  <c r="U3405"/>
  <c r="U3406"/>
  <c r="U3407"/>
  <c r="U3408"/>
  <c r="U3409"/>
  <c r="U3410"/>
  <c r="U3411"/>
  <c r="U3412"/>
  <c r="U3413"/>
  <c r="U3414"/>
  <c r="U3415"/>
  <c r="U3416"/>
  <c r="U3417"/>
  <c r="U3418"/>
  <c r="U3419"/>
  <c r="U3420"/>
  <c r="U3421"/>
  <c r="U3422"/>
  <c r="U3423"/>
  <c r="U3424"/>
  <c r="U3425"/>
  <c r="U3426"/>
  <c r="U3427"/>
  <c r="U3428"/>
  <c r="U3429"/>
  <c r="U3430"/>
  <c r="U3431"/>
  <c r="U3432"/>
  <c r="U3433"/>
  <c r="U3434"/>
  <c r="U3435"/>
  <c r="U3436"/>
  <c r="U3437"/>
  <c r="U3438"/>
  <c r="U3439"/>
  <c r="U3440"/>
  <c r="U3441"/>
  <c r="U3442"/>
  <c r="U3443"/>
  <c r="U3444"/>
  <c r="U3445"/>
  <c r="U3446"/>
  <c r="U3447"/>
  <c r="U3448"/>
  <c r="U3449"/>
  <c r="U3450"/>
  <c r="U3451"/>
  <c r="U3452"/>
  <c r="U3453"/>
  <c r="U3454"/>
  <c r="U3455"/>
  <c r="U3456"/>
  <c r="U3457"/>
  <c r="U3458"/>
  <c r="U3459"/>
  <c r="U3460"/>
  <c r="U3461"/>
  <c r="U3462"/>
  <c r="U3463"/>
  <c r="U3464"/>
  <c r="U3465"/>
  <c r="U3466"/>
  <c r="U3467"/>
  <c r="U3468"/>
  <c r="U3469"/>
  <c r="U3470"/>
  <c r="U3471"/>
  <c r="U3472"/>
  <c r="U3473"/>
  <c r="U3474"/>
  <c r="U3475"/>
  <c r="U3476"/>
  <c r="U3477"/>
  <c r="U3478"/>
  <c r="U3479"/>
  <c r="U3480"/>
  <c r="U3481"/>
  <c r="U3482"/>
  <c r="U3483"/>
  <c r="U3484"/>
  <c r="U3485"/>
  <c r="U3486"/>
  <c r="U3487"/>
  <c r="U3488"/>
  <c r="U3489"/>
  <c r="U3490"/>
  <c r="U3491"/>
  <c r="U3492"/>
  <c r="U3493"/>
  <c r="U3494"/>
  <c r="U3495"/>
  <c r="U3496"/>
  <c r="U3497"/>
  <c r="U3498"/>
  <c r="U3499"/>
  <c r="U3500"/>
  <c r="U3501"/>
  <c r="U3502"/>
  <c r="U3503"/>
  <c r="U3504"/>
  <c r="U3505"/>
  <c r="U3506"/>
  <c r="U3507"/>
  <c r="U3508"/>
  <c r="U3509"/>
  <c r="U3510"/>
  <c r="U3511"/>
  <c r="U3512"/>
  <c r="U3513"/>
  <c r="U3514"/>
  <c r="U3515"/>
  <c r="U3516"/>
  <c r="U3517"/>
  <c r="U3518"/>
  <c r="U3519"/>
  <c r="U3520"/>
  <c r="U3521"/>
  <c r="U3522"/>
  <c r="U3523"/>
  <c r="U3524"/>
  <c r="U3525"/>
  <c r="U3526"/>
  <c r="U3527"/>
  <c r="U3528"/>
  <c r="U3529"/>
  <c r="U3530"/>
  <c r="U3531"/>
  <c r="U3532"/>
  <c r="U3533"/>
  <c r="U3534"/>
  <c r="U3535"/>
  <c r="U3536"/>
  <c r="U3537"/>
  <c r="U3538"/>
  <c r="U3539"/>
  <c r="U3540"/>
  <c r="U3541"/>
  <c r="U3542"/>
  <c r="U3543"/>
  <c r="U3544"/>
  <c r="U3545"/>
  <c r="U3546"/>
  <c r="U3547"/>
  <c r="U3548"/>
  <c r="U3549"/>
  <c r="U3550"/>
  <c r="U3551"/>
  <c r="U3552"/>
  <c r="U3553"/>
  <c r="U3554"/>
  <c r="U3555"/>
  <c r="U3556"/>
  <c r="U3557"/>
  <c r="U3558"/>
  <c r="U3559"/>
  <c r="U3560"/>
  <c r="U3561"/>
  <c r="U3562"/>
  <c r="U3563"/>
  <c r="U3564"/>
  <c r="U3565"/>
  <c r="U3566"/>
  <c r="U3567"/>
  <c r="U3568"/>
  <c r="U3569"/>
  <c r="U3570"/>
  <c r="U3571"/>
  <c r="U3572"/>
  <c r="U3573"/>
  <c r="U3574"/>
  <c r="U3575"/>
  <c r="U3576"/>
  <c r="U3577"/>
  <c r="U3578"/>
  <c r="U3579"/>
  <c r="U3580"/>
  <c r="U3581"/>
  <c r="U3582"/>
  <c r="U3583"/>
  <c r="U3584"/>
  <c r="U3585"/>
  <c r="U3586"/>
  <c r="U3587"/>
  <c r="U3588"/>
  <c r="U3589"/>
  <c r="U3590"/>
  <c r="U3591"/>
  <c r="U3592"/>
  <c r="U3593"/>
  <c r="U3594"/>
  <c r="U3595"/>
  <c r="U3596"/>
  <c r="U3597"/>
  <c r="U3598"/>
  <c r="U3599"/>
  <c r="U3600"/>
  <c r="U3601"/>
  <c r="U3602"/>
  <c r="U3603"/>
  <c r="U3604"/>
  <c r="U3605"/>
  <c r="U3606"/>
  <c r="U3607"/>
  <c r="U3608"/>
  <c r="U3609"/>
  <c r="U3610"/>
  <c r="U3611"/>
  <c r="U3612"/>
  <c r="U3613"/>
  <c r="U3614"/>
  <c r="U3615"/>
  <c r="U3616"/>
  <c r="U3617"/>
  <c r="U3618"/>
  <c r="U3619"/>
  <c r="U3620"/>
  <c r="U3621"/>
  <c r="U3622"/>
  <c r="U3623"/>
  <c r="U3624"/>
  <c r="U3625"/>
  <c r="U3626"/>
  <c r="U3627"/>
  <c r="U3628"/>
  <c r="U3629"/>
  <c r="U3630"/>
  <c r="U3631"/>
  <c r="U3632"/>
  <c r="U3633"/>
  <c r="U3634"/>
  <c r="U3635"/>
  <c r="U3636"/>
  <c r="U3637"/>
  <c r="U3638"/>
  <c r="U3639"/>
  <c r="U3640"/>
  <c r="U3641"/>
  <c r="U3642"/>
  <c r="U3643"/>
  <c r="U3644"/>
  <c r="U3645"/>
  <c r="U3646"/>
  <c r="U3647"/>
  <c r="U3648"/>
  <c r="U3649"/>
  <c r="U3650"/>
  <c r="U3651"/>
  <c r="U3652"/>
  <c r="U3653"/>
  <c r="U3654"/>
  <c r="U3655"/>
  <c r="U3656"/>
  <c r="U3657"/>
  <c r="U3658"/>
  <c r="U3659"/>
  <c r="U3660"/>
  <c r="U3661"/>
  <c r="U3662"/>
  <c r="U3663"/>
  <c r="U3664"/>
  <c r="U3665"/>
  <c r="U3666"/>
  <c r="U3667"/>
  <c r="U3668"/>
  <c r="U3669"/>
  <c r="U3670"/>
  <c r="U3671"/>
  <c r="U3672"/>
  <c r="U3673"/>
  <c r="U3674"/>
  <c r="U3675"/>
  <c r="U3676"/>
  <c r="U3677"/>
  <c r="U3678"/>
  <c r="U3679"/>
  <c r="U3680"/>
  <c r="U3681"/>
  <c r="U3682"/>
  <c r="U3683"/>
  <c r="U3684"/>
  <c r="U3685"/>
  <c r="U3686"/>
  <c r="U3687"/>
  <c r="U3688"/>
  <c r="U3689"/>
  <c r="U3690"/>
  <c r="U3691"/>
  <c r="U3692"/>
  <c r="U3693"/>
  <c r="U3694"/>
  <c r="U3695"/>
  <c r="U3696"/>
  <c r="U3697"/>
  <c r="U3698"/>
  <c r="U3699"/>
  <c r="U3700"/>
  <c r="U3701"/>
  <c r="U3702"/>
  <c r="U3703"/>
  <c r="U3704"/>
  <c r="U3705"/>
  <c r="U3706"/>
  <c r="U3707"/>
  <c r="U3708"/>
  <c r="U3709"/>
  <c r="U3710"/>
  <c r="U3711"/>
  <c r="U3712"/>
  <c r="U3713"/>
  <c r="U3714"/>
  <c r="U3715"/>
  <c r="U3716"/>
  <c r="U3717"/>
  <c r="U3718"/>
  <c r="U3719"/>
  <c r="U3720"/>
  <c r="U3721"/>
  <c r="U3722"/>
  <c r="U3723"/>
  <c r="U3724"/>
  <c r="U3725"/>
  <c r="U3726"/>
  <c r="U3727"/>
  <c r="U3728"/>
  <c r="U3729"/>
  <c r="U3730"/>
  <c r="U3731"/>
  <c r="U3732"/>
  <c r="U3733"/>
  <c r="U3734"/>
  <c r="U3735"/>
  <c r="U3736"/>
  <c r="U3737"/>
  <c r="U3738"/>
  <c r="U3739"/>
  <c r="U3740"/>
  <c r="U3741"/>
  <c r="U3742"/>
  <c r="U3743"/>
  <c r="U3744"/>
  <c r="U3745"/>
  <c r="U3746"/>
  <c r="U3747"/>
  <c r="U3748"/>
  <c r="U3749"/>
  <c r="U3750"/>
  <c r="U3751"/>
  <c r="U3752"/>
  <c r="U3753"/>
  <c r="U3754"/>
  <c r="U3755"/>
  <c r="U3756"/>
  <c r="U3757"/>
  <c r="U3758"/>
  <c r="U3759"/>
  <c r="U3760"/>
  <c r="U3761"/>
  <c r="U3762"/>
  <c r="U3763"/>
  <c r="U3764"/>
  <c r="U3765"/>
  <c r="U3766"/>
  <c r="U3767"/>
  <c r="U3768"/>
  <c r="U3769"/>
  <c r="U3770"/>
  <c r="U3771"/>
  <c r="U3772"/>
  <c r="U3773"/>
  <c r="U3774"/>
  <c r="U3775"/>
  <c r="U3776"/>
  <c r="U3777"/>
  <c r="U3778"/>
  <c r="U3779"/>
  <c r="U3780"/>
  <c r="U3781"/>
  <c r="U3782"/>
  <c r="U3783"/>
  <c r="U3784"/>
  <c r="U3785"/>
  <c r="U3786"/>
  <c r="U3787"/>
  <c r="U3788"/>
  <c r="U3789"/>
  <c r="U3790"/>
  <c r="U3791"/>
  <c r="U3792"/>
  <c r="U3793"/>
  <c r="U3794"/>
  <c r="U3795"/>
  <c r="U3796"/>
  <c r="U3797"/>
  <c r="U3798"/>
  <c r="U3799"/>
  <c r="U3800"/>
  <c r="U3801"/>
  <c r="U3802"/>
  <c r="U3803"/>
  <c r="U3804"/>
  <c r="U3805"/>
  <c r="U3806"/>
  <c r="U3807"/>
  <c r="U3808"/>
  <c r="U3809"/>
  <c r="U3810"/>
  <c r="U3811"/>
  <c r="U3812"/>
  <c r="U3813"/>
  <c r="U3814"/>
  <c r="U3815"/>
  <c r="U3816"/>
  <c r="U3817"/>
  <c r="U3818"/>
  <c r="U3819"/>
  <c r="U3820"/>
  <c r="U3821"/>
  <c r="U3822"/>
  <c r="U3823"/>
  <c r="U3824"/>
  <c r="U3825"/>
  <c r="U3826"/>
  <c r="U3827"/>
  <c r="U3828"/>
  <c r="U3829"/>
  <c r="U3830"/>
  <c r="U3831"/>
  <c r="U3832"/>
  <c r="U3833"/>
  <c r="U3834"/>
  <c r="U3835"/>
  <c r="U3836"/>
  <c r="U3837"/>
  <c r="U3838"/>
  <c r="U3839"/>
  <c r="U3840"/>
  <c r="U3841"/>
  <c r="U3842"/>
  <c r="U3843"/>
  <c r="U3844"/>
  <c r="U3845"/>
  <c r="U3846"/>
  <c r="U3847"/>
  <c r="U3848"/>
  <c r="U3849"/>
  <c r="U3850"/>
  <c r="U3851"/>
  <c r="U3852"/>
  <c r="U3853"/>
  <c r="U3854"/>
  <c r="U3855"/>
  <c r="U3856"/>
  <c r="U3857"/>
  <c r="U3858"/>
  <c r="U3859"/>
  <c r="U3860"/>
  <c r="U3861"/>
  <c r="U3862"/>
  <c r="U3863"/>
  <c r="U3864"/>
  <c r="U3865"/>
  <c r="U3866"/>
  <c r="U3867"/>
  <c r="U3868"/>
  <c r="U3869"/>
  <c r="U3870"/>
  <c r="U3871"/>
  <c r="U3872"/>
  <c r="U3873"/>
  <c r="U3874"/>
  <c r="U3875"/>
  <c r="U3876"/>
  <c r="U3877"/>
  <c r="U3878"/>
  <c r="U3879"/>
  <c r="U3880"/>
  <c r="U3881"/>
  <c r="U3882"/>
  <c r="U3883"/>
  <c r="U3884"/>
  <c r="U3885"/>
  <c r="U3886"/>
  <c r="U3887"/>
  <c r="U3888"/>
  <c r="U3889"/>
  <c r="U3890"/>
  <c r="U3891"/>
  <c r="U3892"/>
  <c r="U3893"/>
  <c r="U3894"/>
  <c r="U3895"/>
  <c r="U3896"/>
  <c r="U3897"/>
  <c r="U3898"/>
  <c r="U3899"/>
  <c r="U3900"/>
  <c r="U3901"/>
  <c r="U3902"/>
  <c r="U3903"/>
  <c r="U3904"/>
  <c r="U3905"/>
  <c r="U3906"/>
  <c r="U3907"/>
  <c r="U3908"/>
  <c r="U3909"/>
  <c r="U3910"/>
  <c r="U3911"/>
  <c r="U3912"/>
  <c r="U3913"/>
  <c r="U3914"/>
  <c r="U3915"/>
  <c r="U3916"/>
  <c r="U3917"/>
  <c r="U3918"/>
  <c r="U3919"/>
  <c r="U3920"/>
  <c r="U3921"/>
  <c r="U3922"/>
  <c r="U3923"/>
  <c r="U3924"/>
  <c r="U3925"/>
  <c r="U3926"/>
  <c r="U3927"/>
  <c r="U3928"/>
  <c r="U3929"/>
  <c r="U3930"/>
  <c r="U3931"/>
  <c r="U3932"/>
  <c r="U3933"/>
  <c r="U3934"/>
  <c r="U3935"/>
  <c r="U3936"/>
  <c r="U3937"/>
  <c r="U3938"/>
  <c r="U3939"/>
  <c r="U3940"/>
  <c r="U3941"/>
  <c r="U3942"/>
  <c r="U3943"/>
  <c r="U3944"/>
  <c r="U3945"/>
  <c r="U3946"/>
  <c r="U3947"/>
  <c r="U3948"/>
  <c r="U3949"/>
  <c r="U3950"/>
  <c r="U3951"/>
  <c r="U3952"/>
  <c r="U3953"/>
  <c r="U3954"/>
  <c r="U3955"/>
  <c r="U3956"/>
  <c r="U3957"/>
  <c r="U3958"/>
  <c r="U3959"/>
  <c r="U3960"/>
  <c r="U3961"/>
  <c r="U3962"/>
  <c r="U3963"/>
  <c r="U3964"/>
  <c r="U3965"/>
  <c r="U3966"/>
  <c r="U3967"/>
  <c r="U3968"/>
  <c r="U3969"/>
  <c r="U3970"/>
  <c r="U3971"/>
  <c r="U3972"/>
  <c r="U3973"/>
  <c r="U3974"/>
  <c r="U3975"/>
  <c r="U3976"/>
  <c r="U3977"/>
  <c r="U3978"/>
  <c r="U3979"/>
  <c r="U3980"/>
  <c r="U3981"/>
  <c r="U3982"/>
  <c r="U3983"/>
  <c r="U3984"/>
  <c r="U3985"/>
  <c r="U3986"/>
  <c r="U3987"/>
  <c r="U3988"/>
  <c r="U3989"/>
  <c r="U3990"/>
  <c r="U3991"/>
  <c r="U3992"/>
  <c r="U3993"/>
  <c r="U3994"/>
  <c r="U3995"/>
  <c r="U3996"/>
  <c r="U3997"/>
  <c r="U3998"/>
  <c r="U3999"/>
  <c r="U4000"/>
  <c r="U4001"/>
  <c r="U4002"/>
  <c r="U4003"/>
  <c r="U4004"/>
  <c r="U4005"/>
  <c r="U4006"/>
  <c r="U4007"/>
  <c r="U4008"/>
  <c r="U4009"/>
  <c r="U4010"/>
  <c r="U4011"/>
  <c r="U4012"/>
  <c r="U4013"/>
  <c r="U4014"/>
  <c r="U4015"/>
  <c r="U4016"/>
  <c r="U4017"/>
  <c r="U4018"/>
  <c r="U4019"/>
  <c r="U4020"/>
  <c r="U4021"/>
  <c r="U4022"/>
  <c r="U4023"/>
  <c r="U4024"/>
  <c r="U4025"/>
  <c r="U4026"/>
  <c r="U4027"/>
  <c r="U4028"/>
  <c r="U4029"/>
  <c r="U4030"/>
  <c r="U4031"/>
  <c r="U4032"/>
  <c r="U4033"/>
  <c r="U4034"/>
  <c r="U4035"/>
  <c r="U4036"/>
  <c r="U4037"/>
  <c r="U4038"/>
  <c r="U4039"/>
  <c r="U4040"/>
  <c r="U4041"/>
  <c r="U4042"/>
  <c r="U4043"/>
  <c r="U4044"/>
  <c r="U4045"/>
  <c r="U4046"/>
  <c r="U4047"/>
  <c r="U4048"/>
  <c r="U4049"/>
  <c r="U4050"/>
  <c r="U4051"/>
  <c r="U4052"/>
  <c r="U4053"/>
  <c r="U4054"/>
  <c r="U4055"/>
  <c r="U4056"/>
  <c r="U4057"/>
  <c r="U4058"/>
  <c r="U4059"/>
  <c r="U4060"/>
  <c r="U4061"/>
  <c r="U4062"/>
  <c r="U4063"/>
  <c r="U4064"/>
  <c r="U4065"/>
  <c r="U4066"/>
  <c r="U4067"/>
  <c r="U4068"/>
  <c r="U4069"/>
  <c r="U4070"/>
  <c r="U4071"/>
  <c r="U4072"/>
  <c r="U4073"/>
  <c r="U4074"/>
  <c r="U4075"/>
  <c r="U4076"/>
  <c r="U4077"/>
  <c r="U4078"/>
  <c r="U4079"/>
  <c r="U4080"/>
  <c r="U4081"/>
  <c r="U4082"/>
  <c r="U4083"/>
  <c r="U4084"/>
  <c r="U4085"/>
  <c r="U4086"/>
  <c r="U4087"/>
  <c r="U4088"/>
  <c r="U4089"/>
  <c r="U4090"/>
  <c r="U4091"/>
  <c r="U4092"/>
  <c r="U4093"/>
  <c r="U4094"/>
  <c r="U4095"/>
  <c r="U4096"/>
  <c r="U4097"/>
  <c r="U4098"/>
  <c r="U4099"/>
  <c r="U4100"/>
  <c r="U4101"/>
  <c r="U4102"/>
  <c r="U4103"/>
  <c r="U4104"/>
  <c r="U4105"/>
  <c r="U4106"/>
  <c r="U4107"/>
  <c r="U4108"/>
  <c r="U4109"/>
  <c r="U4110"/>
  <c r="U4111"/>
  <c r="U4112"/>
  <c r="U4113"/>
  <c r="U4114"/>
  <c r="U4115"/>
  <c r="U4116"/>
  <c r="U4117"/>
  <c r="U4118"/>
  <c r="U4119"/>
  <c r="U4120"/>
  <c r="U4121"/>
  <c r="U4122"/>
  <c r="U4123"/>
  <c r="U4124"/>
  <c r="U4125"/>
  <c r="U4126"/>
  <c r="U4127"/>
  <c r="U4128"/>
  <c r="U4129"/>
  <c r="U4130"/>
  <c r="U4131"/>
  <c r="U4132"/>
  <c r="U4133"/>
  <c r="U4134"/>
  <c r="U4135"/>
  <c r="U4136"/>
  <c r="U4137"/>
  <c r="U4138"/>
  <c r="U4139"/>
  <c r="U4140"/>
  <c r="U4141"/>
  <c r="U4142"/>
  <c r="U4143"/>
  <c r="U4144"/>
  <c r="U4145"/>
  <c r="U4146"/>
  <c r="U4147"/>
  <c r="U4148"/>
  <c r="U4149"/>
  <c r="U4150"/>
  <c r="U4151"/>
  <c r="U4152"/>
  <c r="U4153"/>
  <c r="U4154"/>
  <c r="U4155"/>
  <c r="U4156"/>
  <c r="U4157"/>
  <c r="U4158"/>
  <c r="U4159"/>
  <c r="U4160"/>
  <c r="U4161"/>
  <c r="U4162"/>
  <c r="U4163"/>
  <c r="U4164"/>
  <c r="U4165"/>
  <c r="U4166"/>
  <c r="U4167"/>
  <c r="U4168"/>
  <c r="U4169"/>
  <c r="U4170"/>
  <c r="U4171"/>
  <c r="U4172"/>
  <c r="U4173"/>
  <c r="U4174"/>
  <c r="U4175"/>
  <c r="U4176"/>
  <c r="U4177"/>
  <c r="U4178"/>
  <c r="U4179"/>
  <c r="U4180"/>
  <c r="U4181"/>
  <c r="U4182"/>
  <c r="U4183"/>
  <c r="U4184"/>
  <c r="U4185"/>
  <c r="U4186"/>
  <c r="U4187"/>
  <c r="U4188"/>
  <c r="U4189"/>
  <c r="U4190"/>
  <c r="U4191"/>
  <c r="U4192"/>
  <c r="U4193"/>
  <c r="U4194"/>
  <c r="U4195"/>
  <c r="U4196"/>
  <c r="U4197"/>
  <c r="U4198"/>
  <c r="U4199"/>
  <c r="U4200"/>
  <c r="U4201"/>
  <c r="U4202"/>
  <c r="U4203"/>
  <c r="U4204"/>
  <c r="U4205"/>
  <c r="U4206"/>
  <c r="U4207"/>
  <c r="U4208"/>
  <c r="U4209"/>
  <c r="U4210"/>
  <c r="U4211"/>
  <c r="U4212"/>
  <c r="U4213"/>
  <c r="U4214"/>
  <c r="U4215"/>
  <c r="U4216"/>
  <c r="U4217"/>
  <c r="U4218"/>
  <c r="U4219"/>
  <c r="U4220"/>
  <c r="U4221"/>
  <c r="U4222"/>
  <c r="U4223"/>
  <c r="U4224"/>
  <c r="U4225"/>
  <c r="U4226"/>
  <c r="U4227"/>
  <c r="U4228"/>
  <c r="U4229"/>
  <c r="U4230"/>
  <c r="U4231"/>
  <c r="U4232"/>
  <c r="U4233"/>
  <c r="U4234"/>
  <c r="U4235"/>
  <c r="U4236"/>
  <c r="U4237"/>
  <c r="U4238"/>
  <c r="U4239"/>
  <c r="U4240"/>
  <c r="U4241"/>
  <c r="U4242"/>
  <c r="U4243"/>
  <c r="U4244"/>
  <c r="U4245"/>
  <c r="U4246"/>
  <c r="U4247"/>
  <c r="U4248"/>
  <c r="U4249"/>
  <c r="U4250"/>
  <c r="U4251"/>
  <c r="U4252"/>
  <c r="U4253"/>
  <c r="U4254"/>
  <c r="U4255"/>
  <c r="U4256"/>
  <c r="U4257"/>
  <c r="U4258"/>
  <c r="U4259"/>
  <c r="U4260"/>
  <c r="U4261"/>
  <c r="U4262"/>
  <c r="U4263"/>
  <c r="U4264"/>
  <c r="U4265"/>
  <c r="U4266"/>
  <c r="U4267"/>
  <c r="U4268"/>
  <c r="U4269"/>
  <c r="U4270"/>
  <c r="U4271"/>
  <c r="U4272"/>
  <c r="U4273"/>
  <c r="U4274"/>
  <c r="U4275"/>
  <c r="U4276"/>
  <c r="U4277"/>
  <c r="U4278"/>
  <c r="U4279"/>
  <c r="U4280"/>
  <c r="U4281"/>
  <c r="U4282"/>
  <c r="U4283"/>
  <c r="U4284"/>
  <c r="U4285"/>
  <c r="U4286"/>
  <c r="U4287"/>
  <c r="U4288"/>
  <c r="U4289"/>
  <c r="U4290"/>
  <c r="U4291"/>
  <c r="U4292"/>
  <c r="U4293"/>
  <c r="U4294"/>
  <c r="U4295"/>
  <c r="U4296"/>
  <c r="U4297"/>
  <c r="U4298"/>
  <c r="U4299"/>
  <c r="U4300"/>
  <c r="U4301"/>
  <c r="U4302"/>
  <c r="U4303"/>
  <c r="U4304"/>
  <c r="U4305"/>
  <c r="U4306"/>
  <c r="U4307"/>
  <c r="U4308"/>
  <c r="U4309"/>
  <c r="U4310"/>
  <c r="U4311"/>
  <c r="U4312"/>
  <c r="U4313"/>
  <c r="U4314"/>
  <c r="U4315"/>
  <c r="U4316"/>
  <c r="U4317"/>
  <c r="U4318"/>
  <c r="U4319"/>
  <c r="U4320"/>
  <c r="U4321"/>
  <c r="U4322"/>
  <c r="U4323"/>
  <c r="U4324"/>
  <c r="U4325"/>
  <c r="U4326"/>
  <c r="U4327"/>
  <c r="U4328"/>
  <c r="U4329"/>
  <c r="U4330"/>
  <c r="U4331"/>
  <c r="U4332"/>
  <c r="U4333"/>
  <c r="U4334"/>
  <c r="U4335"/>
  <c r="U4336"/>
  <c r="U4337"/>
  <c r="U4338"/>
  <c r="U4339"/>
  <c r="U4340"/>
  <c r="U4341"/>
  <c r="U4342"/>
  <c r="U4343"/>
  <c r="U4344"/>
  <c r="U4345"/>
  <c r="U4346"/>
  <c r="U4347"/>
  <c r="U4348"/>
  <c r="U4349"/>
  <c r="U4350"/>
  <c r="U4351"/>
  <c r="U4352"/>
  <c r="U4353"/>
  <c r="U4354"/>
  <c r="U4355"/>
  <c r="U4356"/>
  <c r="U4357"/>
  <c r="U4358"/>
  <c r="U4359"/>
  <c r="U4360"/>
  <c r="U4361"/>
  <c r="U4362"/>
  <c r="U4363"/>
  <c r="U4364"/>
  <c r="U4365"/>
  <c r="U4366"/>
  <c r="U4367"/>
  <c r="U4368"/>
  <c r="U4369"/>
  <c r="U4370"/>
  <c r="U4371"/>
  <c r="U4372"/>
  <c r="U4373"/>
  <c r="U4374"/>
  <c r="U4375"/>
  <c r="U4376"/>
  <c r="U4377"/>
  <c r="U4378"/>
  <c r="U4379"/>
  <c r="U4380"/>
  <c r="U4381"/>
  <c r="U4382"/>
  <c r="U4383"/>
  <c r="U4384"/>
  <c r="U4385"/>
  <c r="U4386"/>
  <c r="U4387"/>
  <c r="U4388"/>
  <c r="U4389"/>
  <c r="U4390"/>
  <c r="U4391"/>
  <c r="U4392"/>
  <c r="U4393"/>
  <c r="U4394"/>
  <c r="U4395"/>
  <c r="U4396"/>
  <c r="U4397"/>
  <c r="U4398"/>
  <c r="U4399"/>
  <c r="U4400"/>
  <c r="U4401"/>
  <c r="U4402"/>
  <c r="U4403"/>
  <c r="U4404"/>
  <c r="U4405"/>
  <c r="U4406"/>
  <c r="U4407"/>
  <c r="U4408"/>
  <c r="U4409"/>
  <c r="U4410"/>
  <c r="U4411"/>
  <c r="U4412"/>
  <c r="U4413"/>
  <c r="U4414"/>
  <c r="U4415"/>
  <c r="U4416"/>
  <c r="U4417"/>
  <c r="U4418"/>
  <c r="U4419"/>
  <c r="U4420"/>
  <c r="U4421"/>
  <c r="U4422"/>
  <c r="U4423"/>
  <c r="U4424"/>
  <c r="U4425"/>
  <c r="U4426"/>
  <c r="U4427"/>
  <c r="U4428"/>
  <c r="U4429"/>
  <c r="U4430"/>
  <c r="U4431"/>
  <c r="U4432"/>
  <c r="U4433"/>
  <c r="U4434"/>
  <c r="U4435"/>
  <c r="U4436"/>
  <c r="U4437"/>
  <c r="U4438"/>
  <c r="U4439"/>
  <c r="U4440"/>
  <c r="U4441"/>
  <c r="U4442"/>
  <c r="U4443"/>
  <c r="U4444"/>
  <c r="U4445"/>
  <c r="U4446"/>
  <c r="U4447"/>
  <c r="U4448"/>
  <c r="U4449"/>
  <c r="U4450"/>
  <c r="U4451"/>
  <c r="U4452"/>
  <c r="U4453"/>
  <c r="U4454"/>
  <c r="U4455"/>
  <c r="U4456"/>
  <c r="U4457"/>
  <c r="U4458"/>
  <c r="U4459"/>
  <c r="U4460"/>
  <c r="U4461"/>
  <c r="U4462"/>
  <c r="U4463"/>
  <c r="U4464"/>
  <c r="U4465"/>
  <c r="U4466"/>
  <c r="U4467"/>
  <c r="U4468"/>
  <c r="U4469"/>
  <c r="U4470"/>
  <c r="U4471"/>
  <c r="U4472"/>
  <c r="U4473"/>
  <c r="U4474"/>
  <c r="U4475"/>
  <c r="U4476"/>
  <c r="U4477"/>
  <c r="U4478"/>
  <c r="U4479"/>
  <c r="U4480"/>
  <c r="U4481"/>
  <c r="U4482"/>
  <c r="U4483"/>
  <c r="U4484"/>
  <c r="U4485"/>
  <c r="U4486"/>
  <c r="U4487"/>
  <c r="U4488"/>
  <c r="U4489"/>
  <c r="U4490"/>
  <c r="U4491"/>
  <c r="U4492"/>
  <c r="U4493"/>
  <c r="U4494"/>
  <c r="U4495"/>
  <c r="U4496"/>
  <c r="U4497"/>
  <c r="U4498"/>
  <c r="U4499"/>
  <c r="U4500"/>
  <c r="U4501"/>
  <c r="U4502"/>
  <c r="U4503"/>
  <c r="U4504"/>
  <c r="U4505"/>
  <c r="U4506"/>
  <c r="U4507"/>
  <c r="U4508"/>
  <c r="U4509"/>
  <c r="U4510"/>
  <c r="U4511"/>
  <c r="U4512"/>
  <c r="U4513"/>
  <c r="U4514"/>
  <c r="U4515"/>
  <c r="U4516"/>
  <c r="U4517"/>
  <c r="U4518"/>
  <c r="U4519"/>
  <c r="U4520"/>
  <c r="U4521"/>
  <c r="U4522"/>
  <c r="U4523"/>
  <c r="U4524"/>
  <c r="U4525"/>
  <c r="U4526"/>
  <c r="U4527"/>
  <c r="U4528"/>
  <c r="U4529"/>
  <c r="U4530"/>
  <c r="U4531"/>
  <c r="U4532"/>
  <c r="U4533"/>
  <c r="U4534"/>
  <c r="U4535"/>
  <c r="U4536"/>
  <c r="U4537"/>
  <c r="U4538"/>
  <c r="U4539"/>
  <c r="U4540"/>
  <c r="U4541"/>
  <c r="U4542"/>
  <c r="U4543"/>
  <c r="U4544"/>
  <c r="U4545"/>
  <c r="U4546"/>
  <c r="U4547"/>
  <c r="U4548"/>
  <c r="U4549"/>
  <c r="U4550"/>
  <c r="U4551"/>
  <c r="U4552"/>
  <c r="U4553"/>
  <c r="U4554"/>
  <c r="U4555"/>
  <c r="U4556"/>
  <c r="U4557"/>
  <c r="U4558"/>
  <c r="U4559"/>
  <c r="U4560"/>
  <c r="U4561"/>
  <c r="U4562"/>
  <c r="U4563"/>
  <c r="U4564"/>
  <c r="U4565"/>
  <c r="U4566"/>
  <c r="U4567"/>
  <c r="U4568"/>
  <c r="U4569"/>
  <c r="U4570"/>
  <c r="U4571"/>
  <c r="U4572"/>
  <c r="U4573"/>
  <c r="U4574"/>
  <c r="U4575"/>
  <c r="U4576"/>
  <c r="U4577"/>
  <c r="U4578"/>
  <c r="U4579"/>
  <c r="U4580"/>
  <c r="U4581"/>
  <c r="U4582"/>
  <c r="U4583"/>
  <c r="U4584"/>
  <c r="U4585"/>
  <c r="U4586"/>
  <c r="U4587"/>
  <c r="U4588"/>
  <c r="U4589"/>
  <c r="U4590"/>
  <c r="U4591"/>
  <c r="U4592"/>
  <c r="U4593"/>
  <c r="U4594"/>
  <c r="U4595"/>
  <c r="U4596"/>
  <c r="U4597"/>
  <c r="U4598"/>
  <c r="U4599"/>
  <c r="U4600"/>
  <c r="U4601"/>
  <c r="U4602"/>
  <c r="U4603"/>
  <c r="U4604"/>
  <c r="U4605"/>
  <c r="U4606"/>
  <c r="U4607"/>
  <c r="U4608"/>
  <c r="U4609"/>
  <c r="U4610"/>
  <c r="U4611"/>
  <c r="U4612"/>
  <c r="U4613"/>
  <c r="U4614"/>
  <c r="U4615"/>
  <c r="U4616"/>
  <c r="U4617"/>
  <c r="U4618"/>
  <c r="U4619"/>
  <c r="U4620"/>
  <c r="U4621"/>
  <c r="U4622"/>
  <c r="U4623"/>
  <c r="U4624"/>
  <c r="U4625"/>
  <c r="U4626"/>
  <c r="U4627"/>
  <c r="U4628"/>
  <c r="U4629"/>
  <c r="U4630"/>
  <c r="U4631"/>
  <c r="U4632"/>
  <c r="U4633"/>
  <c r="U4634"/>
  <c r="U4635"/>
  <c r="U4636"/>
  <c r="U4637"/>
  <c r="U4638"/>
  <c r="U4639"/>
  <c r="U4640"/>
  <c r="U4641"/>
  <c r="U4642"/>
  <c r="U4643"/>
  <c r="U4644"/>
  <c r="U4645"/>
  <c r="U4646"/>
  <c r="U4647"/>
  <c r="U4648"/>
  <c r="U4649"/>
  <c r="U4650"/>
  <c r="U4651"/>
  <c r="U4652"/>
  <c r="U4653"/>
  <c r="U4654"/>
  <c r="U4655"/>
  <c r="U4656"/>
  <c r="U4657"/>
  <c r="U4658"/>
  <c r="U4659"/>
  <c r="U4660"/>
  <c r="U4661"/>
  <c r="U4662"/>
  <c r="U4663"/>
  <c r="U4664"/>
  <c r="U4665"/>
  <c r="U4666"/>
  <c r="U4667"/>
  <c r="U4668"/>
  <c r="U4669"/>
  <c r="U4670"/>
  <c r="U4671"/>
  <c r="U4672"/>
  <c r="U4673"/>
  <c r="U4674"/>
  <c r="U4675"/>
  <c r="U4676"/>
  <c r="U4677"/>
  <c r="U4678"/>
  <c r="U4679"/>
  <c r="U4680"/>
  <c r="U4681"/>
  <c r="U4682"/>
  <c r="U4683"/>
  <c r="U4684"/>
  <c r="U4685"/>
  <c r="U4686"/>
  <c r="U4687"/>
  <c r="U4688"/>
  <c r="U4689"/>
  <c r="U4690"/>
  <c r="U4691"/>
  <c r="U4692"/>
  <c r="U4693"/>
  <c r="U4694"/>
  <c r="U4695"/>
  <c r="U4696"/>
  <c r="U4697"/>
  <c r="U4698"/>
  <c r="U4699"/>
  <c r="U4700"/>
  <c r="U4701"/>
  <c r="U4702"/>
  <c r="U4703"/>
  <c r="U4704"/>
  <c r="U4705"/>
  <c r="U4706"/>
  <c r="U4707"/>
  <c r="U4708"/>
  <c r="U4709"/>
  <c r="U4710"/>
  <c r="U4711"/>
  <c r="U4712"/>
  <c r="U4713"/>
  <c r="U4714"/>
  <c r="U4715"/>
  <c r="U4716"/>
  <c r="U4717"/>
  <c r="U4718"/>
  <c r="U4719"/>
  <c r="U4720"/>
  <c r="U4721"/>
  <c r="U4722"/>
  <c r="U4723"/>
  <c r="U4724"/>
  <c r="U4725"/>
  <c r="U4726"/>
  <c r="U4727"/>
  <c r="U4728"/>
  <c r="U4729"/>
  <c r="U4730"/>
  <c r="U4731"/>
  <c r="U4732"/>
  <c r="U4733"/>
  <c r="U4734"/>
  <c r="U4735"/>
  <c r="U4736"/>
  <c r="U4737"/>
  <c r="U4738"/>
  <c r="U4739"/>
  <c r="U4740"/>
  <c r="U4741"/>
  <c r="U4742"/>
  <c r="U4743"/>
  <c r="U4744"/>
  <c r="U4745"/>
  <c r="U4746"/>
  <c r="U4747"/>
  <c r="U4748"/>
  <c r="U4749"/>
  <c r="U4750"/>
  <c r="U4751"/>
  <c r="U4752"/>
  <c r="U4753"/>
  <c r="U4754"/>
  <c r="U4755"/>
  <c r="U4756"/>
  <c r="U4757"/>
  <c r="U4758"/>
  <c r="U4759"/>
  <c r="U4760"/>
  <c r="U4761"/>
  <c r="U4762"/>
  <c r="U4763"/>
  <c r="U4764"/>
  <c r="U4765"/>
  <c r="U4766"/>
  <c r="U4767"/>
  <c r="U4768"/>
  <c r="U4769"/>
  <c r="U4770"/>
  <c r="U4771"/>
  <c r="U4772"/>
  <c r="U4773"/>
  <c r="U4774"/>
  <c r="U4775"/>
  <c r="U4776"/>
  <c r="U4777"/>
  <c r="U4778"/>
  <c r="U4779"/>
  <c r="U4780"/>
  <c r="U4781"/>
  <c r="U4782"/>
  <c r="U4783"/>
  <c r="U4784"/>
  <c r="U4785"/>
  <c r="U4786"/>
  <c r="U4787"/>
  <c r="U4788"/>
  <c r="U4789"/>
  <c r="U4790"/>
  <c r="U4791"/>
  <c r="U4792"/>
  <c r="U4793"/>
  <c r="U4794"/>
  <c r="U4795"/>
  <c r="U4796"/>
  <c r="U4797"/>
  <c r="U4798"/>
  <c r="U4799"/>
  <c r="U4800"/>
  <c r="U4801"/>
  <c r="U4802"/>
  <c r="U4803"/>
  <c r="U4804"/>
  <c r="U4805"/>
  <c r="U4806"/>
  <c r="U4807"/>
  <c r="U4808"/>
  <c r="U4809"/>
  <c r="U4810"/>
  <c r="U4811"/>
  <c r="U4812"/>
  <c r="U4813"/>
  <c r="U4814"/>
  <c r="U4815"/>
  <c r="U4816"/>
  <c r="U4817"/>
  <c r="U4818"/>
  <c r="U4819"/>
  <c r="U4820"/>
  <c r="U4821"/>
  <c r="U4822"/>
  <c r="U4823"/>
  <c r="U4824"/>
  <c r="U4825"/>
  <c r="U4826"/>
  <c r="U4827"/>
  <c r="U4828"/>
  <c r="U4829"/>
  <c r="U4830"/>
  <c r="U4831"/>
  <c r="U4832"/>
  <c r="U4833"/>
  <c r="U4834"/>
  <c r="U4835"/>
  <c r="U4836"/>
  <c r="U4837"/>
  <c r="U4838"/>
  <c r="U4839"/>
  <c r="U4840"/>
  <c r="U4841"/>
  <c r="U4842"/>
  <c r="U4843"/>
  <c r="U4844"/>
  <c r="U4845"/>
  <c r="U4846"/>
  <c r="U4847"/>
  <c r="U4848"/>
  <c r="U4849"/>
  <c r="U4850"/>
  <c r="U4851"/>
  <c r="U4852"/>
  <c r="U4853"/>
  <c r="U4854"/>
  <c r="U4855"/>
  <c r="U4856"/>
  <c r="U4857"/>
  <c r="U4858"/>
  <c r="U4859"/>
  <c r="U4860"/>
  <c r="U4861"/>
  <c r="U4862"/>
  <c r="U4863"/>
  <c r="U4864"/>
  <c r="U4865"/>
  <c r="U4866"/>
  <c r="U4867"/>
  <c r="U4868"/>
  <c r="U4869"/>
  <c r="U4870"/>
  <c r="U4871"/>
  <c r="U4872"/>
  <c r="U4873"/>
  <c r="U4874"/>
  <c r="U4875"/>
  <c r="U4876"/>
  <c r="U4877"/>
  <c r="U4878"/>
  <c r="U4879"/>
  <c r="U4880"/>
  <c r="U4881"/>
  <c r="U4882"/>
  <c r="U4883"/>
  <c r="U4884"/>
  <c r="U4885"/>
  <c r="U4886"/>
  <c r="U4887"/>
  <c r="U4888"/>
  <c r="U4889"/>
  <c r="U4890"/>
  <c r="U4891"/>
  <c r="U4892"/>
  <c r="U4893"/>
  <c r="U4894"/>
  <c r="U4895"/>
  <c r="U4896"/>
  <c r="U4897"/>
  <c r="U4898"/>
  <c r="U4899"/>
  <c r="U4900"/>
  <c r="U4901"/>
  <c r="U4902"/>
  <c r="U4903"/>
  <c r="U4904"/>
  <c r="U4905"/>
  <c r="U4906"/>
  <c r="U4907"/>
  <c r="U4908"/>
  <c r="U4909"/>
  <c r="U4910"/>
  <c r="U4911"/>
  <c r="U4912"/>
  <c r="U4913"/>
  <c r="U4914"/>
  <c r="U4915"/>
  <c r="U4916"/>
  <c r="U4917"/>
  <c r="U4918"/>
  <c r="U4919"/>
  <c r="U4920"/>
  <c r="U4921"/>
  <c r="U4922"/>
  <c r="U4923"/>
  <c r="U4924"/>
  <c r="U4925"/>
  <c r="U4926"/>
  <c r="U4927"/>
  <c r="U4928"/>
  <c r="U4929"/>
  <c r="U4930"/>
  <c r="U4931"/>
  <c r="U4932"/>
  <c r="U4933"/>
  <c r="U4934"/>
  <c r="U4935"/>
  <c r="U4936"/>
  <c r="U4937"/>
  <c r="U4938"/>
  <c r="U4939"/>
  <c r="U4940"/>
  <c r="U4941"/>
  <c r="U4942"/>
  <c r="U4943"/>
  <c r="U4944"/>
  <c r="U4945"/>
  <c r="U4946"/>
  <c r="U4947"/>
  <c r="U4948"/>
  <c r="U4949"/>
  <c r="U4950"/>
  <c r="U4951"/>
  <c r="U4952"/>
  <c r="U4953"/>
  <c r="U4954"/>
  <c r="U4955"/>
  <c r="U4956"/>
  <c r="U4957"/>
  <c r="U4958"/>
  <c r="U4959"/>
  <c r="U4960"/>
  <c r="U4961"/>
  <c r="U4962"/>
  <c r="U4963"/>
  <c r="U4964"/>
  <c r="U4965"/>
  <c r="U4966"/>
  <c r="U4967"/>
  <c r="U4968"/>
  <c r="U4969"/>
  <c r="U4970"/>
  <c r="U4971"/>
  <c r="U4972"/>
  <c r="U4973"/>
  <c r="U4974"/>
  <c r="U4975"/>
  <c r="U4976"/>
  <c r="U4977"/>
  <c r="U4978"/>
  <c r="U4979"/>
  <c r="U4980"/>
  <c r="U4981"/>
  <c r="U4982"/>
  <c r="U4983"/>
  <c r="U4984"/>
  <c r="U4985"/>
  <c r="U4986"/>
  <c r="U4987"/>
  <c r="U4988"/>
  <c r="U4989"/>
  <c r="U4990"/>
  <c r="U4991"/>
  <c r="U4992"/>
  <c r="U4993"/>
  <c r="U4994"/>
  <c r="U4995"/>
  <c r="U4996"/>
  <c r="U4997"/>
  <c r="U4998"/>
  <c r="U4999"/>
  <c r="U5000"/>
  <c r="U5001"/>
  <c r="U5002"/>
  <c r="U5003"/>
  <c r="U5004"/>
  <c r="U5005"/>
  <c r="U5006"/>
  <c r="U5007"/>
  <c r="U5008"/>
  <c r="U5009"/>
  <c r="U5010"/>
  <c r="U5011"/>
  <c r="U5012"/>
  <c r="U5013"/>
  <c r="U5014"/>
  <c r="U5015"/>
  <c r="U5016"/>
  <c r="U5017"/>
  <c r="U5018"/>
  <c r="U5019"/>
  <c r="U5020"/>
  <c r="U5021"/>
  <c r="U5022"/>
  <c r="U5023"/>
  <c r="U5024"/>
  <c r="U5025"/>
  <c r="U5026"/>
  <c r="U5027"/>
  <c r="U5028"/>
  <c r="U5029"/>
  <c r="U5030"/>
  <c r="U5031"/>
  <c r="U5032"/>
  <c r="U5033"/>
  <c r="U5034"/>
  <c r="U5035"/>
  <c r="U5036"/>
  <c r="U5037"/>
  <c r="U5038"/>
  <c r="U5039"/>
  <c r="U5040"/>
  <c r="U5041"/>
  <c r="U5042"/>
  <c r="U5043"/>
  <c r="U5044"/>
  <c r="U5045"/>
  <c r="U5046"/>
  <c r="U5047"/>
  <c r="U5048"/>
  <c r="U5049"/>
  <c r="U5050"/>
  <c r="U5051"/>
  <c r="U5052"/>
  <c r="U5053"/>
  <c r="U5054"/>
  <c r="U5055"/>
  <c r="U5056"/>
  <c r="U5057"/>
  <c r="U5058"/>
  <c r="U5059"/>
  <c r="U5060"/>
  <c r="U5061"/>
  <c r="U5062"/>
  <c r="U5063"/>
  <c r="U5064"/>
  <c r="U5065"/>
  <c r="U5066"/>
  <c r="U5067"/>
  <c r="U5068"/>
  <c r="U5069"/>
  <c r="U5070"/>
  <c r="U5071"/>
  <c r="U5072"/>
  <c r="U5073"/>
  <c r="U5074"/>
  <c r="U5075"/>
  <c r="U5076"/>
  <c r="U5077"/>
  <c r="U5078"/>
  <c r="U5079"/>
  <c r="U5080"/>
  <c r="U5081"/>
  <c r="U5082"/>
  <c r="U5083"/>
  <c r="U5084"/>
  <c r="U5085"/>
  <c r="U5086"/>
  <c r="U5087"/>
  <c r="U5088"/>
  <c r="U5089"/>
  <c r="U5090"/>
  <c r="U5091"/>
  <c r="U5092"/>
  <c r="U5093"/>
  <c r="U5094"/>
  <c r="U5095"/>
  <c r="U5096"/>
  <c r="U5097"/>
  <c r="U5098"/>
  <c r="U5099"/>
  <c r="U5100"/>
  <c r="U5101"/>
  <c r="U5102"/>
  <c r="U5103"/>
  <c r="U5104"/>
  <c r="U5105"/>
  <c r="U5106"/>
  <c r="U5107"/>
  <c r="U5108"/>
  <c r="U5109"/>
  <c r="U5110"/>
  <c r="U5111"/>
  <c r="U5112"/>
  <c r="U5113"/>
  <c r="U5114"/>
  <c r="U5115"/>
  <c r="U5116"/>
  <c r="U5117"/>
  <c r="U5118"/>
  <c r="U5119"/>
  <c r="U5120"/>
  <c r="U5121"/>
  <c r="U5122"/>
  <c r="U5123"/>
  <c r="U5124"/>
  <c r="U5125"/>
  <c r="U5126"/>
  <c r="U5127"/>
  <c r="U5128"/>
  <c r="U5129"/>
  <c r="U5130"/>
  <c r="U5131"/>
  <c r="U5132"/>
  <c r="U5133"/>
  <c r="U5134"/>
  <c r="U5135"/>
  <c r="U5136"/>
  <c r="U5137"/>
  <c r="U5138"/>
  <c r="U5139"/>
  <c r="U5140"/>
  <c r="U5141"/>
  <c r="U5142"/>
  <c r="U5143"/>
  <c r="U5144"/>
  <c r="U5145"/>
  <c r="U5146"/>
  <c r="U5147"/>
  <c r="U5148"/>
  <c r="U5149"/>
  <c r="U5150"/>
  <c r="U5151"/>
  <c r="U5152"/>
  <c r="U5153"/>
  <c r="U5154"/>
  <c r="U5155"/>
  <c r="U5156"/>
  <c r="U5157"/>
  <c r="U5158"/>
  <c r="U5159"/>
  <c r="U5160"/>
  <c r="U5161"/>
  <c r="U5162"/>
  <c r="U5163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V1319"/>
  <c r="V1320"/>
  <c r="V1321"/>
  <c r="V1322"/>
  <c r="V1323"/>
  <c r="V1324"/>
  <c r="V1325"/>
  <c r="V1326"/>
  <c r="V1327"/>
  <c r="V1328"/>
  <c r="V1329"/>
  <c r="V1330"/>
  <c r="V1331"/>
  <c r="V1332"/>
  <c r="V1333"/>
  <c r="V1334"/>
  <c r="V1335"/>
  <c r="V1336"/>
  <c r="V1337"/>
  <c r="V1338"/>
  <c r="V1339"/>
  <c r="V1340"/>
  <c r="V1341"/>
  <c r="V1342"/>
  <c r="V1343"/>
  <c r="V1344"/>
  <c r="V1345"/>
  <c r="V1346"/>
  <c r="V1347"/>
  <c r="V1348"/>
  <c r="V1349"/>
  <c r="V1350"/>
  <c r="V1351"/>
  <c r="V1352"/>
  <c r="V1353"/>
  <c r="V1354"/>
  <c r="V1355"/>
  <c r="V1356"/>
  <c r="V1357"/>
  <c r="V1358"/>
  <c r="V1359"/>
  <c r="V1360"/>
  <c r="V1361"/>
  <c r="V1362"/>
  <c r="V1363"/>
  <c r="V1364"/>
  <c r="V1365"/>
  <c r="V1366"/>
  <c r="V1367"/>
  <c r="V1368"/>
  <c r="V1369"/>
  <c r="V1370"/>
  <c r="V1371"/>
  <c r="V1372"/>
  <c r="V1373"/>
  <c r="V1374"/>
  <c r="V1375"/>
  <c r="V1376"/>
  <c r="V1377"/>
  <c r="V1378"/>
  <c r="V1379"/>
  <c r="V1380"/>
  <c r="V1381"/>
  <c r="V1382"/>
  <c r="V1383"/>
  <c r="V1384"/>
  <c r="V1385"/>
  <c r="V1386"/>
  <c r="V1387"/>
  <c r="V1388"/>
  <c r="V1389"/>
  <c r="V1390"/>
  <c r="V1391"/>
  <c r="V1392"/>
  <c r="V1393"/>
  <c r="V1394"/>
  <c r="V1395"/>
  <c r="V1396"/>
  <c r="V1397"/>
  <c r="V1398"/>
  <c r="V1399"/>
  <c r="V1400"/>
  <c r="V1401"/>
  <c r="V1402"/>
  <c r="V1403"/>
  <c r="V1404"/>
  <c r="V1405"/>
  <c r="V1406"/>
  <c r="V1407"/>
  <c r="V1408"/>
  <c r="V1409"/>
  <c r="V1410"/>
  <c r="V1411"/>
  <c r="V1412"/>
  <c r="V1413"/>
  <c r="V1414"/>
  <c r="V1415"/>
  <c r="V1416"/>
  <c r="V1417"/>
  <c r="V1418"/>
  <c r="V1419"/>
  <c r="V1420"/>
  <c r="V1421"/>
  <c r="V1422"/>
  <c r="V1423"/>
  <c r="V1424"/>
  <c r="V1425"/>
  <c r="V1426"/>
  <c r="V1427"/>
  <c r="V1428"/>
  <c r="V1429"/>
  <c r="V1430"/>
  <c r="V1431"/>
  <c r="V1432"/>
  <c r="V1433"/>
  <c r="V1434"/>
  <c r="V1435"/>
  <c r="V1436"/>
  <c r="V1437"/>
  <c r="V1438"/>
  <c r="V1439"/>
  <c r="V1440"/>
  <c r="V1441"/>
  <c r="V1442"/>
  <c r="V1443"/>
  <c r="V1444"/>
  <c r="V1445"/>
  <c r="V1446"/>
  <c r="V1447"/>
  <c r="V1448"/>
  <c r="V1449"/>
  <c r="V1450"/>
  <c r="V1451"/>
  <c r="V1452"/>
  <c r="V1453"/>
  <c r="V1454"/>
  <c r="V1455"/>
  <c r="V1456"/>
  <c r="V1457"/>
  <c r="V1458"/>
  <c r="V1459"/>
  <c r="V1460"/>
  <c r="V1461"/>
  <c r="V1462"/>
  <c r="V1463"/>
  <c r="V1464"/>
  <c r="V1465"/>
  <c r="V1466"/>
  <c r="V1467"/>
  <c r="V1468"/>
  <c r="V1469"/>
  <c r="V1470"/>
  <c r="V1471"/>
  <c r="V1472"/>
  <c r="V1473"/>
  <c r="V1474"/>
  <c r="V1475"/>
  <c r="V1476"/>
  <c r="V1477"/>
  <c r="V1478"/>
  <c r="V1479"/>
  <c r="V1480"/>
  <c r="V1481"/>
  <c r="V1482"/>
  <c r="V1483"/>
  <c r="V1484"/>
  <c r="V1485"/>
  <c r="V1486"/>
  <c r="V1487"/>
  <c r="V1488"/>
  <c r="V1489"/>
  <c r="V1490"/>
  <c r="V1491"/>
  <c r="V1492"/>
  <c r="V1493"/>
  <c r="V1494"/>
  <c r="V1495"/>
  <c r="V1496"/>
  <c r="V1497"/>
  <c r="V1498"/>
  <c r="V1499"/>
  <c r="V1500"/>
  <c r="V1501"/>
  <c r="V1502"/>
  <c r="V1503"/>
  <c r="V1504"/>
  <c r="V1505"/>
  <c r="V1506"/>
  <c r="V1507"/>
  <c r="V1508"/>
  <c r="V1509"/>
  <c r="V1510"/>
  <c r="V1511"/>
  <c r="V1512"/>
  <c r="V1513"/>
  <c r="V1514"/>
  <c r="V1515"/>
  <c r="V1516"/>
  <c r="V1517"/>
  <c r="V1518"/>
  <c r="V1519"/>
  <c r="V1520"/>
  <c r="V1521"/>
  <c r="V1522"/>
  <c r="V1523"/>
  <c r="V1524"/>
  <c r="V1525"/>
  <c r="V1526"/>
  <c r="V1527"/>
  <c r="V1528"/>
  <c r="V1529"/>
  <c r="V1530"/>
  <c r="V1531"/>
  <c r="V1532"/>
  <c r="V1533"/>
  <c r="V1534"/>
  <c r="V1535"/>
  <c r="V1536"/>
  <c r="V1537"/>
  <c r="V1538"/>
  <c r="V1539"/>
  <c r="V1540"/>
  <c r="V1541"/>
  <c r="V1542"/>
  <c r="V1543"/>
  <c r="V1544"/>
  <c r="V1545"/>
  <c r="V1546"/>
  <c r="V1547"/>
  <c r="V1548"/>
  <c r="V1549"/>
  <c r="V1550"/>
  <c r="V1551"/>
  <c r="V1552"/>
  <c r="V1553"/>
  <c r="V1554"/>
  <c r="V1555"/>
  <c r="V1556"/>
  <c r="V1557"/>
  <c r="V1558"/>
  <c r="V1559"/>
  <c r="V1560"/>
  <c r="V1561"/>
  <c r="V1562"/>
  <c r="V1563"/>
  <c r="V1564"/>
  <c r="V1565"/>
  <c r="V1566"/>
  <c r="V1567"/>
  <c r="V1568"/>
  <c r="V1569"/>
  <c r="V1570"/>
  <c r="V1571"/>
  <c r="V1572"/>
  <c r="V1573"/>
  <c r="V1574"/>
  <c r="V1575"/>
  <c r="V1576"/>
  <c r="V1577"/>
  <c r="V1578"/>
  <c r="V1579"/>
  <c r="V1580"/>
  <c r="V1581"/>
  <c r="V1582"/>
  <c r="V1583"/>
  <c r="V1584"/>
  <c r="V1585"/>
  <c r="V1586"/>
  <c r="V1587"/>
  <c r="V1588"/>
  <c r="V1589"/>
  <c r="V1590"/>
  <c r="V1591"/>
  <c r="V1592"/>
  <c r="V1593"/>
  <c r="V1594"/>
  <c r="V1595"/>
  <c r="V1596"/>
  <c r="V1597"/>
  <c r="V1598"/>
  <c r="V1599"/>
  <c r="V1600"/>
  <c r="V1601"/>
  <c r="V1602"/>
  <c r="V1603"/>
  <c r="V1604"/>
  <c r="V1605"/>
  <c r="V1606"/>
  <c r="V1607"/>
  <c r="V1608"/>
  <c r="V1609"/>
  <c r="V1610"/>
  <c r="V1611"/>
  <c r="V1612"/>
  <c r="V1613"/>
  <c r="V1614"/>
  <c r="V1615"/>
  <c r="V1616"/>
  <c r="V1617"/>
  <c r="V1618"/>
  <c r="V1619"/>
  <c r="V1620"/>
  <c r="V1621"/>
  <c r="V1622"/>
  <c r="V1623"/>
  <c r="V1624"/>
  <c r="V1625"/>
  <c r="V1626"/>
  <c r="V1627"/>
  <c r="V1628"/>
  <c r="V1629"/>
  <c r="V1630"/>
  <c r="V1631"/>
  <c r="V1632"/>
  <c r="V1633"/>
  <c r="V1634"/>
  <c r="V1635"/>
  <c r="V1636"/>
  <c r="V1637"/>
  <c r="V1638"/>
  <c r="V1639"/>
  <c r="V1640"/>
  <c r="V1641"/>
  <c r="V1642"/>
  <c r="V1643"/>
  <c r="V1644"/>
  <c r="V1645"/>
  <c r="V1646"/>
  <c r="V1647"/>
  <c r="V1648"/>
  <c r="V1649"/>
  <c r="V1650"/>
  <c r="V1651"/>
  <c r="V1652"/>
  <c r="V1653"/>
  <c r="V1654"/>
  <c r="V1655"/>
  <c r="V1656"/>
  <c r="V1657"/>
  <c r="V1658"/>
  <c r="V1659"/>
  <c r="V1660"/>
  <c r="V1661"/>
  <c r="V1662"/>
  <c r="V1663"/>
  <c r="V1664"/>
  <c r="V1665"/>
  <c r="V1666"/>
  <c r="V1667"/>
  <c r="V1668"/>
  <c r="V1669"/>
  <c r="V1670"/>
  <c r="V1671"/>
  <c r="V1672"/>
  <c r="V1673"/>
  <c r="V1674"/>
  <c r="V1675"/>
  <c r="V1676"/>
  <c r="V1677"/>
  <c r="V1678"/>
  <c r="V1679"/>
  <c r="V1680"/>
  <c r="V1681"/>
  <c r="V1682"/>
  <c r="V1683"/>
  <c r="V1684"/>
  <c r="V1685"/>
  <c r="V1686"/>
  <c r="V1687"/>
  <c r="V1688"/>
  <c r="V1689"/>
  <c r="V1690"/>
  <c r="V1691"/>
  <c r="V1692"/>
  <c r="V1693"/>
  <c r="V1694"/>
  <c r="V1695"/>
  <c r="V1696"/>
  <c r="V1697"/>
  <c r="V1698"/>
  <c r="V1699"/>
  <c r="V1700"/>
  <c r="V1701"/>
  <c r="V1702"/>
  <c r="V1703"/>
  <c r="V1704"/>
  <c r="V1705"/>
  <c r="V1706"/>
  <c r="V1707"/>
  <c r="V1708"/>
  <c r="V1709"/>
  <c r="V1710"/>
  <c r="V1711"/>
  <c r="V1712"/>
  <c r="V1713"/>
  <c r="V1714"/>
  <c r="V1715"/>
  <c r="V1716"/>
  <c r="V1717"/>
  <c r="V1718"/>
  <c r="V1719"/>
  <c r="V1720"/>
  <c r="V1721"/>
  <c r="V1722"/>
  <c r="V1723"/>
  <c r="V1724"/>
  <c r="V1725"/>
  <c r="V1726"/>
  <c r="V1727"/>
  <c r="V1728"/>
  <c r="V1729"/>
  <c r="V1730"/>
  <c r="V1731"/>
  <c r="V1732"/>
  <c r="V1733"/>
  <c r="V1734"/>
  <c r="V1735"/>
  <c r="V1736"/>
  <c r="V1737"/>
  <c r="V1738"/>
  <c r="V1739"/>
  <c r="V1740"/>
  <c r="V1741"/>
  <c r="V1742"/>
  <c r="V1743"/>
  <c r="V1744"/>
  <c r="V1745"/>
  <c r="V1746"/>
  <c r="V1747"/>
  <c r="V1748"/>
  <c r="V1749"/>
  <c r="V1750"/>
  <c r="V1751"/>
  <c r="V1752"/>
  <c r="V1753"/>
  <c r="V1754"/>
  <c r="V1755"/>
  <c r="V1756"/>
  <c r="V1757"/>
  <c r="V1758"/>
  <c r="V1759"/>
  <c r="V1760"/>
  <c r="V1761"/>
  <c r="V1762"/>
  <c r="V1763"/>
  <c r="V1764"/>
  <c r="V1765"/>
  <c r="V1766"/>
  <c r="V1767"/>
  <c r="V1768"/>
  <c r="V1769"/>
  <c r="V1770"/>
  <c r="V1771"/>
  <c r="V1772"/>
  <c r="V1773"/>
  <c r="V1774"/>
  <c r="V1775"/>
  <c r="V1776"/>
  <c r="V1777"/>
  <c r="V1778"/>
  <c r="V1779"/>
  <c r="V1780"/>
  <c r="V1781"/>
  <c r="V1782"/>
  <c r="V1783"/>
  <c r="V1784"/>
  <c r="V1785"/>
  <c r="V1786"/>
  <c r="V1787"/>
  <c r="V1788"/>
  <c r="V1789"/>
  <c r="V1790"/>
  <c r="V1791"/>
  <c r="V1792"/>
  <c r="V1793"/>
  <c r="V1794"/>
  <c r="V1795"/>
  <c r="V1796"/>
  <c r="V1797"/>
  <c r="V1798"/>
  <c r="V1799"/>
  <c r="V1800"/>
  <c r="V1801"/>
  <c r="V1802"/>
  <c r="V1803"/>
  <c r="V1804"/>
  <c r="V1805"/>
  <c r="V1806"/>
  <c r="V1807"/>
  <c r="V1808"/>
  <c r="V1809"/>
  <c r="V1810"/>
  <c r="V1811"/>
  <c r="V1812"/>
  <c r="V1813"/>
  <c r="V1814"/>
  <c r="V1815"/>
  <c r="V1816"/>
  <c r="V1817"/>
  <c r="V1818"/>
  <c r="V1819"/>
  <c r="V1820"/>
  <c r="V1821"/>
  <c r="V1822"/>
  <c r="V1823"/>
  <c r="V1824"/>
  <c r="V1825"/>
  <c r="V1826"/>
  <c r="V1827"/>
  <c r="V1828"/>
  <c r="V1829"/>
  <c r="V1830"/>
  <c r="V1831"/>
  <c r="V1832"/>
  <c r="V1833"/>
  <c r="V1834"/>
  <c r="V1835"/>
  <c r="V1836"/>
  <c r="V1837"/>
  <c r="V1838"/>
  <c r="V1839"/>
  <c r="V1840"/>
  <c r="V1841"/>
  <c r="V1842"/>
  <c r="V1843"/>
  <c r="V1844"/>
  <c r="V1845"/>
  <c r="V1846"/>
  <c r="V1847"/>
  <c r="V1848"/>
  <c r="V1849"/>
  <c r="V1850"/>
  <c r="V1851"/>
  <c r="V1852"/>
  <c r="V1853"/>
  <c r="V1854"/>
  <c r="V1855"/>
  <c r="V1856"/>
  <c r="V1857"/>
  <c r="V1858"/>
  <c r="V1859"/>
  <c r="V1860"/>
  <c r="V1861"/>
  <c r="V1862"/>
  <c r="V1863"/>
  <c r="V1864"/>
  <c r="V1865"/>
  <c r="V1866"/>
  <c r="V1867"/>
  <c r="V1868"/>
  <c r="V1869"/>
  <c r="V1870"/>
  <c r="V1871"/>
  <c r="V1872"/>
  <c r="V1873"/>
  <c r="V1874"/>
  <c r="V1875"/>
  <c r="V1876"/>
  <c r="V1877"/>
  <c r="V1878"/>
  <c r="V1879"/>
  <c r="V1880"/>
  <c r="V1881"/>
  <c r="V1882"/>
  <c r="V1883"/>
  <c r="V1884"/>
  <c r="V1885"/>
  <c r="V1886"/>
  <c r="V1887"/>
  <c r="V1888"/>
  <c r="V1889"/>
  <c r="V1890"/>
  <c r="V1891"/>
  <c r="V1892"/>
  <c r="V1893"/>
  <c r="V1894"/>
  <c r="V1895"/>
  <c r="V1896"/>
  <c r="V1897"/>
  <c r="V1898"/>
  <c r="V1899"/>
  <c r="V1900"/>
  <c r="V1901"/>
  <c r="V1902"/>
  <c r="V1903"/>
  <c r="V1904"/>
  <c r="V1905"/>
  <c r="V1906"/>
  <c r="V1907"/>
  <c r="V1908"/>
  <c r="V1909"/>
  <c r="V1910"/>
  <c r="V1911"/>
  <c r="V1912"/>
  <c r="V1913"/>
  <c r="V1914"/>
  <c r="V1915"/>
  <c r="V1916"/>
  <c r="V1917"/>
  <c r="V1918"/>
  <c r="V1919"/>
  <c r="V1920"/>
  <c r="V1921"/>
  <c r="V1922"/>
  <c r="V1923"/>
  <c r="V1924"/>
  <c r="V1925"/>
  <c r="V1926"/>
  <c r="V1927"/>
  <c r="V1928"/>
  <c r="V1929"/>
  <c r="V1930"/>
  <c r="V1931"/>
  <c r="V1932"/>
  <c r="V1933"/>
  <c r="V1934"/>
  <c r="V1935"/>
  <c r="V1936"/>
  <c r="V1937"/>
  <c r="V1938"/>
  <c r="V1939"/>
  <c r="V1940"/>
  <c r="V1941"/>
  <c r="V1942"/>
  <c r="V1943"/>
  <c r="V1944"/>
  <c r="V1945"/>
  <c r="V1946"/>
  <c r="V1947"/>
  <c r="V1948"/>
  <c r="V1949"/>
  <c r="V1950"/>
  <c r="V1951"/>
  <c r="V1952"/>
  <c r="V1953"/>
  <c r="V1954"/>
  <c r="V1955"/>
  <c r="V1956"/>
  <c r="V1957"/>
  <c r="V1958"/>
  <c r="V1959"/>
  <c r="V1960"/>
  <c r="V1961"/>
  <c r="V1962"/>
  <c r="V1963"/>
  <c r="V1964"/>
  <c r="V1965"/>
  <c r="V1966"/>
  <c r="V1967"/>
  <c r="V1968"/>
  <c r="V1969"/>
  <c r="V1970"/>
  <c r="V1971"/>
  <c r="V1972"/>
  <c r="V1973"/>
  <c r="V1974"/>
  <c r="V1975"/>
  <c r="V1976"/>
  <c r="V1977"/>
  <c r="V1978"/>
  <c r="V1979"/>
  <c r="V1980"/>
  <c r="V1981"/>
  <c r="V1982"/>
  <c r="V1983"/>
  <c r="V1984"/>
  <c r="V1985"/>
  <c r="V1986"/>
  <c r="V1987"/>
  <c r="V1988"/>
  <c r="V1989"/>
  <c r="V1990"/>
  <c r="V1991"/>
  <c r="V1992"/>
  <c r="V1993"/>
  <c r="V1994"/>
  <c r="V1995"/>
  <c r="V1996"/>
  <c r="V1997"/>
  <c r="V1998"/>
  <c r="V1999"/>
  <c r="V2000"/>
  <c r="V2001"/>
  <c r="V2002"/>
  <c r="V2003"/>
  <c r="V2004"/>
  <c r="V2005"/>
  <c r="V2006"/>
  <c r="V2007"/>
  <c r="V2008"/>
  <c r="V2009"/>
  <c r="V2010"/>
  <c r="V2011"/>
  <c r="V2012"/>
  <c r="V2013"/>
  <c r="V2014"/>
  <c r="V2015"/>
  <c r="V2016"/>
  <c r="V2017"/>
  <c r="V2018"/>
  <c r="V2019"/>
  <c r="V2020"/>
  <c r="V2021"/>
  <c r="V2022"/>
  <c r="V2023"/>
  <c r="V2024"/>
  <c r="V2025"/>
  <c r="V2026"/>
  <c r="V2027"/>
  <c r="V2028"/>
  <c r="V2029"/>
  <c r="V2030"/>
  <c r="V2031"/>
  <c r="V2032"/>
  <c r="V2033"/>
  <c r="V2034"/>
  <c r="V2035"/>
  <c r="V2036"/>
  <c r="V2037"/>
  <c r="V2038"/>
  <c r="V2039"/>
  <c r="V2040"/>
  <c r="V2041"/>
  <c r="V2042"/>
  <c r="V2043"/>
  <c r="V2044"/>
  <c r="V2045"/>
  <c r="V2046"/>
  <c r="V2047"/>
  <c r="V2048"/>
  <c r="V2049"/>
  <c r="V2050"/>
  <c r="V2051"/>
  <c r="V2052"/>
  <c r="V2053"/>
  <c r="V2054"/>
  <c r="V2055"/>
  <c r="V2056"/>
  <c r="V2057"/>
  <c r="V2058"/>
  <c r="V2059"/>
  <c r="V2060"/>
  <c r="V2061"/>
  <c r="V2062"/>
  <c r="V2063"/>
  <c r="V2064"/>
  <c r="V2065"/>
  <c r="V2066"/>
  <c r="V2067"/>
  <c r="V2068"/>
  <c r="V2069"/>
  <c r="V2070"/>
  <c r="V2071"/>
  <c r="V2072"/>
  <c r="V2073"/>
  <c r="V2074"/>
  <c r="V2075"/>
  <c r="V2076"/>
  <c r="V2077"/>
  <c r="V2078"/>
  <c r="V2079"/>
  <c r="V2080"/>
  <c r="V2081"/>
  <c r="V2082"/>
  <c r="V2083"/>
  <c r="V2084"/>
  <c r="V2085"/>
  <c r="V2086"/>
  <c r="V2087"/>
  <c r="V2088"/>
  <c r="V2089"/>
  <c r="V2090"/>
  <c r="V2091"/>
  <c r="V2092"/>
  <c r="V2093"/>
  <c r="V2094"/>
  <c r="V2095"/>
  <c r="V2096"/>
  <c r="V2097"/>
  <c r="V2098"/>
  <c r="V2099"/>
  <c r="V2100"/>
  <c r="V2101"/>
  <c r="V2102"/>
  <c r="V2103"/>
  <c r="V2104"/>
  <c r="V2105"/>
  <c r="V2106"/>
  <c r="V2107"/>
  <c r="V2108"/>
  <c r="V2109"/>
  <c r="V2110"/>
  <c r="V2111"/>
  <c r="V2112"/>
  <c r="V2113"/>
  <c r="V2114"/>
  <c r="V2115"/>
  <c r="V2116"/>
  <c r="V2117"/>
  <c r="V2118"/>
  <c r="V2119"/>
  <c r="V2120"/>
  <c r="V2121"/>
  <c r="V2122"/>
  <c r="V2123"/>
  <c r="V2124"/>
  <c r="V2125"/>
  <c r="V2126"/>
  <c r="V2127"/>
  <c r="V2128"/>
  <c r="V2129"/>
  <c r="V2130"/>
  <c r="V2131"/>
  <c r="V2132"/>
  <c r="V2133"/>
  <c r="V2134"/>
  <c r="V2135"/>
  <c r="V2136"/>
  <c r="V2137"/>
  <c r="V2138"/>
  <c r="V2139"/>
  <c r="V2140"/>
  <c r="V2141"/>
  <c r="V2142"/>
  <c r="V2143"/>
  <c r="V2144"/>
  <c r="V2145"/>
  <c r="V2146"/>
  <c r="V2147"/>
  <c r="V2148"/>
  <c r="V2149"/>
  <c r="V2150"/>
  <c r="V2151"/>
  <c r="V2152"/>
  <c r="V2153"/>
  <c r="V2154"/>
  <c r="V2155"/>
  <c r="V2156"/>
  <c r="V2157"/>
  <c r="V2158"/>
  <c r="V2159"/>
  <c r="V2160"/>
  <c r="V2161"/>
  <c r="V2162"/>
  <c r="V2163"/>
  <c r="V2164"/>
  <c r="V2165"/>
  <c r="V2166"/>
  <c r="V2167"/>
  <c r="V2168"/>
  <c r="V2169"/>
  <c r="V2170"/>
  <c r="V2171"/>
  <c r="V2172"/>
  <c r="V2173"/>
  <c r="V2174"/>
  <c r="V2175"/>
  <c r="V2176"/>
  <c r="V2177"/>
  <c r="V2178"/>
  <c r="V2179"/>
  <c r="V2180"/>
  <c r="V2181"/>
  <c r="V2182"/>
  <c r="V2183"/>
  <c r="V2184"/>
  <c r="V2185"/>
  <c r="V2186"/>
  <c r="V2187"/>
  <c r="V2188"/>
  <c r="V2189"/>
  <c r="V2190"/>
  <c r="V2191"/>
  <c r="V2192"/>
  <c r="V2193"/>
  <c r="V2194"/>
  <c r="V2195"/>
  <c r="V2196"/>
  <c r="V2197"/>
  <c r="V2198"/>
  <c r="V2199"/>
  <c r="V2200"/>
  <c r="V2201"/>
  <c r="V2202"/>
  <c r="V2203"/>
  <c r="V2204"/>
  <c r="V2205"/>
  <c r="V2206"/>
  <c r="V2207"/>
  <c r="V2208"/>
  <c r="V2209"/>
  <c r="V2210"/>
  <c r="V2211"/>
  <c r="V2212"/>
  <c r="V2213"/>
  <c r="V2214"/>
  <c r="V2215"/>
  <c r="V2216"/>
  <c r="V2217"/>
  <c r="V2218"/>
  <c r="V2219"/>
  <c r="V2220"/>
  <c r="V2221"/>
  <c r="V2222"/>
  <c r="V2223"/>
  <c r="V2224"/>
  <c r="V2225"/>
  <c r="V2226"/>
  <c r="V2227"/>
  <c r="V2228"/>
  <c r="V2229"/>
  <c r="V2230"/>
  <c r="V2231"/>
  <c r="V2232"/>
  <c r="V2233"/>
  <c r="V2234"/>
  <c r="V2235"/>
  <c r="V2236"/>
  <c r="V2237"/>
  <c r="V2238"/>
  <c r="V2239"/>
  <c r="V2240"/>
  <c r="V2241"/>
  <c r="V2242"/>
  <c r="V2243"/>
  <c r="V2244"/>
  <c r="V2245"/>
  <c r="V2246"/>
  <c r="V2247"/>
  <c r="V2248"/>
  <c r="V2249"/>
  <c r="V2250"/>
  <c r="V2251"/>
  <c r="V2252"/>
  <c r="V2253"/>
  <c r="V2254"/>
  <c r="V2255"/>
  <c r="V2256"/>
  <c r="V2257"/>
  <c r="V2258"/>
  <c r="V2259"/>
  <c r="V2260"/>
  <c r="V2261"/>
  <c r="V2262"/>
  <c r="V2263"/>
  <c r="V2264"/>
  <c r="V2265"/>
  <c r="V2266"/>
  <c r="V2267"/>
  <c r="V2268"/>
  <c r="V2269"/>
  <c r="V2270"/>
  <c r="V2271"/>
  <c r="V2272"/>
  <c r="V2273"/>
  <c r="V2274"/>
  <c r="V2275"/>
  <c r="V2276"/>
  <c r="V2277"/>
  <c r="V2278"/>
  <c r="V2279"/>
  <c r="V2280"/>
  <c r="V2281"/>
  <c r="V2282"/>
  <c r="V2283"/>
  <c r="V2284"/>
  <c r="V2285"/>
  <c r="V2286"/>
  <c r="V2287"/>
  <c r="V2288"/>
  <c r="V2289"/>
  <c r="V2290"/>
  <c r="V2291"/>
  <c r="V2292"/>
  <c r="V2293"/>
  <c r="V2294"/>
  <c r="V2295"/>
  <c r="V2296"/>
  <c r="V2297"/>
  <c r="V2298"/>
  <c r="V2299"/>
  <c r="V2300"/>
  <c r="V2301"/>
  <c r="V2302"/>
  <c r="V2303"/>
  <c r="V2304"/>
  <c r="V2305"/>
  <c r="V2306"/>
  <c r="V2307"/>
  <c r="V2308"/>
  <c r="V2309"/>
  <c r="V2310"/>
  <c r="V2311"/>
  <c r="V2312"/>
  <c r="V2313"/>
  <c r="V2314"/>
  <c r="V2315"/>
  <c r="V2316"/>
  <c r="V2317"/>
  <c r="V2318"/>
  <c r="V2319"/>
  <c r="V2320"/>
  <c r="V2321"/>
  <c r="V2322"/>
  <c r="V2323"/>
  <c r="V2324"/>
  <c r="V2325"/>
  <c r="V2326"/>
  <c r="V2327"/>
  <c r="V2328"/>
  <c r="V2329"/>
  <c r="V2330"/>
  <c r="V2331"/>
  <c r="V2332"/>
  <c r="V2333"/>
  <c r="V2334"/>
  <c r="V2335"/>
  <c r="V2336"/>
  <c r="V2337"/>
  <c r="V2338"/>
  <c r="V2339"/>
  <c r="V2340"/>
  <c r="V2341"/>
  <c r="V2342"/>
  <c r="V2343"/>
  <c r="V2344"/>
  <c r="V2345"/>
  <c r="V2346"/>
  <c r="V2347"/>
  <c r="V2348"/>
  <c r="V2349"/>
  <c r="V2350"/>
  <c r="V2351"/>
  <c r="V2352"/>
  <c r="V2353"/>
  <c r="V2354"/>
  <c r="V2355"/>
  <c r="V2356"/>
  <c r="V2357"/>
  <c r="V2358"/>
  <c r="V2359"/>
  <c r="V2360"/>
  <c r="V2361"/>
  <c r="V2362"/>
  <c r="V2363"/>
  <c r="V2364"/>
  <c r="V2365"/>
  <c r="V2366"/>
  <c r="V2367"/>
  <c r="V2368"/>
  <c r="V2369"/>
  <c r="V2370"/>
  <c r="V2371"/>
  <c r="V2372"/>
  <c r="V2373"/>
  <c r="V2374"/>
  <c r="V2375"/>
  <c r="V2376"/>
  <c r="V2377"/>
  <c r="V2378"/>
  <c r="V2379"/>
  <c r="V2380"/>
  <c r="V2381"/>
  <c r="V2382"/>
  <c r="V2383"/>
  <c r="V2384"/>
  <c r="V2385"/>
  <c r="V2386"/>
  <c r="V2387"/>
  <c r="V2388"/>
  <c r="V2389"/>
  <c r="V2390"/>
  <c r="V2391"/>
  <c r="V2392"/>
  <c r="V2393"/>
  <c r="V2394"/>
  <c r="V2395"/>
  <c r="V2396"/>
  <c r="V2397"/>
  <c r="V2398"/>
  <c r="V2399"/>
  <c r="V2400"/>
  <c r="V2401"/>
  <c r="V2402"/>
  <c r="V2403"/>
  <c r="V2404"/>
  <c r="V2405"/>
  <c r="V2406"/>
  <c r="V2407"/>
  <c r="V2408"/>
  <c r="V2409"/>
  <c r="V2410"/>
  <c r="V2411"/>
  <c r="V2412"/>
  <c r="V2413"/>
  <c r="V2414"/>
  <c r="V2415"/>
  <c r="V2416"/>
  <c r="V2417"/>
  <c r="V2418"/>
  <c r="V2419"/>
  <c r="V2420"/>
  <c r="V2421"/>
  <c r="V2422"/>
  <c r="V2423"/>
  <c r="V2424"/>
  <c r="V2425"/>
  <c r="V2426"/>
  <c r="V2427"/>
  <c r="V2428"/>
  <c r="V2429"/>
  <c r="V2430"/>
  <c r="V2431"/>
  <c r="V2432"/>
  <c r="V2433"/>
  <c r="V2434"/>
  <c r="V2435"/>
  <c r="V2436"/>
  <c r="V2437"/>
  <c r="V2438"/>
  <c r="V2439"/>
  <c r="V2440"/>
  <c r="V2441"/>
  <c r="V2442"/>
  <c r="V2443"/>
  <c r="V2444"/>
  <c r="V2445"/>
  <c r="V2446"/>
  <c r="V2447"/>
  <c r="V2448"/>
  <c r="V2449"/>
  <c r="V2450"/>
  <c r="V2451"/>
  <c r="V2452"/>
  <c r="V2453"/>
  <c r="V2454"/>
  <c r="V2455"/>
  <c r="V2456"/>
  <c r="V2457"/>
  <c r="V2458"/>
  <c r="V2459"/>
  <c r="V2460"/>
  <c r="V2461"/>
  <c r="V2462"/>
  <c r="V2463"/>
  <c r="V2464"/>
  <c r="V2465"/>
  <c r="V2466"/>
  <c r="V2467"/>
  <c r="V2468"/>
  <c r="V2469"/>
  <c r="V2470"/>
  <c r="V2471"/>
  <c r="V2472"/>
  <c r="V2473"/>
  <c r="V2474"/>
  <c r="V2475"/>
  <c r="V2476"/>
  <c r="V2477"/>
  <c r="V2478"/>
  <c r="V2479"/>
  <c r="V2480"/>
  <c r="V2481"/>
  <c r="V2482"/>
  <c r="V2483"/>
  <c r="V2484"/>
  <c r="V2485"/>
  <c r="V2486"/>
  <c r="V2487"/>
  <c r="V2488"/>
  <c r="V2489"/>
  <c r="V2490"/>
  <c r="V2491"/>
  <c r="V2492"/>
  <c r="V2493"/>
  <c r="V2494"/>
  <c r="V2495"/>
  <c r="V2496"/>
  <c r="V2497"/>
  <c r="V2498"/>
  <c r="V2499"/>
  <c r="V2500"/>
  <c r="V2501"/>
  <c r="V2502"/>
  <c r="V2503"/>
  <c r="V2504"/>
  <c r="V2505"/>
  <c r="V2506"/>
  <c r="V2507"/>
  <c r="V2508"/>
  <c r="V2509"/>
  <c r="V2510"/>
  <c r="V2511"/>
  <c r="V2512"/>
  <c r="V2513"/>
  <c r="V2514"/>
  <c r="V2515"/>
  <c r="V2516"/>
  <c r="V2517"/>
  <c r="V2518"/>
  <c r="V2519"/>
  <c r="V2520"/>
  <c r="V2521"/>
  <c r="V2522"/>
  <c r="V2523"/>
  <c r="V2524"/>
  <c r="V2525"/>
  <c r="V2526"/>
  <c r="V2527"/>
  <c r="V2528"/>
  <c r="V2529"/>
  <c r="V2530"/>
  <c r="V2531"/>
  <c r="V2532"/>
  <c r="V2533"/>
  <c r="V2534"/>
  <c r="V2535"/>
  <c r="V2536"/>
  <c r="V2537"/>
  <c r="V2538"/>
  <c r="V2539"/>
  <c r="V2540"/>
  <c r="V2541"/>
  <c r="V2542"/>
  <c r="V2543"/>
  <c r="V2544"/>
  <c r="V2545"/>
  <c r="V2546"/>
  <c r="V2547"/>
  <c r="V2548"/>
  <c r="V2549"/>
  <c r="V2550"/>
  <c r="V2551"/>
  <c r="V2552"/>
  <c r="V2553"/>
  <c r="V2554"/>
  <c r="V2555"/>
  <c r="V2556"/>
  <c r="V2557"/>
  <c r="V2558"/>
  <c r="V2559"/>
  <c r="V2560"/>
  <c r="V2561"/>
  <c r="V2562"/>
  <c r="V2563"/>
  <c r="V2564"/>
  <c r="V2565"/>
  <c r="V2566"/>
  <c r="V2567"/>
  <c r="V2568"/>
  <c r="V2569"/>
  <c r="V2570"/>
  <c r="V2571"/>
  <c r="V2572"/>
  <c r="V2573"/>
  <c r="V2574"/>
  <c r="V2575"/>
  <c r="V2576"/>
  <c r="V2577"/>
  <c r="V2578"/>
  <c r="V2579"/>
  <c r="V2580"/>
  <c r="V2581"/>
  <c r="V2582"/>
  <c r="V2583"/>
  <c r="V2584"/>
  <c r="V2585"/>
  <c r="V2586"/>
  <c r="V2587"/>
  <c r="V2588"/>
  <c r="V2589"/>
  <c r="V2590"/>
  <c r="V2591"/>
  <c r="V2592"/>
  <c r="V2593"/>
  <c r="V2594"/>
  <c r="V2595"/>
  <c r="V2596"/>
  <c r="V2597"/>
  <c r="V2598"/>
  <c r="V2599"/>
  <c r="V2600"/>
  <c r="V2601"/>
  <c r="V2602"/>
  <c r="V2603"/>
  <c r="V2604"/>
  <c r="V2605"/>
  <c r="V2606"/>
  <c r="V2607"/>
  <c r="V2608"/>
  <c r="V2609"/>
  <c r="V2610"/>
  <c r="V2611"/>
  <c r="V2612"/>
  <c r="V2613"/>
  <c r="V2614"/>
  <c r="V2615"/>
  <c r="V2616"/>
  <c r="V2617"/>
  <c r="V2618"/>
  <c r="V2619"/>
  <c r="V2620"/>
  <c r="V2621"/>
  <c r="V2622"/>
  <c r="V2623"/>
  <c r="V2624"/>
  <c r="V2625"/>
  <c r="V2626"/>
  <c r="V2627"/>
  <c r="V2628"/>
  <c r="V2629"/>
  <c r="V2630"/>
  <c r="V2631"/>
  <c r="V2632"/>
  <c r="V2633"/>
  <c r="V2634"/>
  <c r="V2635"/>
  <c r="V2636"/>
  <c r="V2637"/>
  <c r="V2638"/>
  <c r="V2639"/>
  <c r="V2640"/>
  <c r="V2641"/>
  <c r="V2642"/>
  <c r="V2643"/>
  <c r="V2644"/>
  <c r="V2645"/>
  <c r="V2646"/>
  <c r="V2647"/>
  <c r="V2648"/>
  <c r="V2649"/>
  <c r="V2650"/>
  <c r="V2651"/>
  <c r="V2652"/>
  <c r="V2653"/>
  <c r="V2654"/>
  <c r="V2655"/>
  <c r="V2656"/>
  <c r="V2657"/>
  <c r="V2658"/>
  <c r="V2659"/>
  <c r="V2660"/>
  <c r="V2661"/>
  <c r="V2662"/>
  <c r="V2663"/>
  <c r="V2664"/>
  <c r="V2665"/>
  <c r="V2666"/>
  <c r="V2667"/>
  <c r="V2668"/>
  <c r="V2669"/>
  <c r="V2670"/>
  <c r="V2671"/>
  <c r="V2672"/>
  <c r="V2673"/>
  <c r="V2674"/>
  <c r="V2675"/>
  <c r="V2676"/>
  <c r="V2677"/>
  <c r="V2678"/>
  <c r="V2679"/>
  <c r="V2680"/>
  <c r="V2681"/>
  <c r="V2682"/>
  <c r="V2683"/>
  <c r="V2684"/>
  <c r="V2685"/>
  <c r="V2686"/>
  <c r="V2687"/>
  <c r="V2688"/>
  <c r="V2689"/>
  <c r="V2690"/>
  <c r="V2691"/>
  <c r="V2692"/>
  <c r="V2693"/>
  <c r="V2694"/>
  <c r="V2695"/>
  <c r="V2696"/>
  <c r="V2697"/>
  <c r="V2698"/>
  <c r="V2699"/>
  <c r="V2700"/>
  <c r="V2701"/>
  <c r="V2702"/>
  <c r="V2703"/>
  <c r="V2704"/>
  <c r="V2705"/>
  <c r="V2706"/>
  <c r="V2707"/>
  <c r="V2708"/>
  <c r="V2709"/>
  <c r="V2710"/>
  <c r="V2711"/>
  <c r="V2712"/>
  <c r="V2713"/>
  <c r="V2714"/>
  <c r="V2715"/>
  <c r="V2716"/>
  <c r="V2717"/>
  <c r="V2718"/>
  <c r="V2719"/>
  <c r="V2720"/>
  <c r="V2721"/>
  <c r="V2722"/>
  <c r="V2723"/>
  <c r="V2724"/>
  <c r="V2725"/>
  <c r="V2726"/>
  <c r="V2727"/>
  <c r="V2728"/>
  <c r="V2729"/>
  <c r="V2730"/>
  <c r="V2731"/>
  <c r="V2732"/>
  <c r="V2733"/>
  <c r="V2734"/>
  <c r="V2735"/>
  <c r="V2736"/>
  <c r="V2737"/>
  <c r="V2738"/>
  <c r="V2739"/>
  <c r="V2740"/>
  <c r="V2741"/>
  <c r="V2742"/>
  <c r="V2743"/>
  <c r="V2744"/>
  <c r="V2745"/>
  <c r="V2746"/>
  <c r="V2747"/>
  <c r="V2748"/>
  <c r="V2749"/>
  <c r="V2750"/>
  <c r="V2751"/>
  <c r="V2752"/>
  <c r="V2753"/>
  <c r="V2754"/>
  <c r="V2755"/>
  <c r="V2756"/>
  <c r="V2757"/>
  <c r="V2758"/>
  <c r="V2759"/>
  <c r="V2760"/>
  <c r="V2761"/>
  <c r="V2762"/>
  <c r="V2763"/>
  <c r="V2764"/>
  <c r="V2765"/>
  <c r="V2766"/>
  <c r="V2767"/>
  <c r="V2768"/>
  <c r="V2769"/>
  <c r="V2770"/>
  <c r="V2771"/>
  <c r="V2772"/>
  <c r="V2773"/>
  <c r="V2774"/>
  <c r="V2775"/>
  <c r="V2776"/>
  <c r="V2777"/>
  <c r="V2778"/>
  <c r="V2779"/>
  <c r="V2780"/>
  <c r="V2781"/>
  <c r="V2782"/>
  <c r="V2783"/>
  <c r="V2784"/>
  <c r="V2785"/>
  <c r="V2786"/>
  <c r="V2787"/>
  <c r="V2788"/>
  <c r="V2789"/>
  <c r="V2790"/>
  <c r="V2791"/>
  <c r="V2792"/>
  <c r="V2793"/>
  <c r="V2794"/>
  <c r="V2795"/>
  <c r="V2796"/>
  <c r="V2797"/>
  <c r="V2798"/>
  <c r="V2799"/>
  <c r="V2800"/>
  <c r="V2801"/>
  <c r="V2802"/>
  <c r="V2803"/>
  <c r="V2804"/>
  <c r="V2805"/>
  <c r="V2806"/>
  <c r="V2807"/>
  <c r="V2808"/>
  <c r="V2809"/>
  <c r="V2810"/>
  <c r="V2811"/>
  <c r="V2812"/>
  <c r="V2813"/>
  <c r="V2814"/>
  <c r="V2815"/>
  <c r="V2816"/>
  <c r="V2817"/>
  <c r="V2818"/>
  <c r="V2819"/>
  <c r="V2820"/>
  <c r="V2821"/>
  <c r="V2822"/>
  <c r="V2823"/>
  <c r="V2824"/>
  <c r="V2825"/>
  <c r="V2826"/>
  <c r="V2827"/>
  <c r="V2828"/>
  <c r="V2829"/>
  <c r="V2830"/>
  <c r="V2831"/>
  <c r="V2832"/>
  <c r="V2833"/>
  <c r="V2834"/>
  <c r="V2835"/>
  <c r="V2836"/>
  <c r="V2837"/>
  <c r="V2838"/>
  <c r="V2839"/>
  <c r="V2840"/>
  <c r="V2841"/>
  <c r="V2842"/>
  <c r="V2843"/>
  <c r="V2844"/>
  <c r="V2845"/>
  <c r="V2846"/>
  <c r="V2847"/>
  <c r="V2848"/>
  <c r="V2849"/>
  <c r="V2850"/>
  <c r="V2851"/>
  <c r="V2852"/>
  <c r="V2853"/>
  <c r="V2854"/>
  <c r="V2855"/>
  <c r="V2856"/>
  <c r="V2857"/>
  <c r="V2858"/>
  <c r="V2859"/>
  <c r="V2860"/>
  <c r="V2861"/>
  <c r="V2862"/>
  <c r="V2863"/>
  <c r="V2864"/>
  <c r="V2865"/>
  <c r="V2866"/>
  <c r="V2867"/>
  <c r="V2868"/>
  <c r="V2869"/>
  <c r="V2870"/>
  <c r="V2871"/>
  <c r="V2872"/>
  <c r="V2873"/>
  <c r="V2874"/>
  <c r="V2875"/>
  <c r="V2876"/>
  <c r="V2877"/>
  <c r="V2878"/>
  <c r="V2879"/>
  <c r="V2880"/>
  <c r="V2881"/>
  <c r="V2882"/>
  <c r="V2883"/>
  <c r="V2884"/>
  <c r="V2885"/>
  <c r="V2886"/>
  <c r="V2887"/>
  <c r="V2888"/>
  <c r="V2889"/>
  <c r="V2890"/>
  <c r="V2891"/>
  <c r="V2892"/>
  <c r="V2893"/>
  <c r="V2894"/>
  <c r="V2895"/>
  <c r="V2896"/>
  <c r="V2897"/>
  <c r="V2898"/>
  <c r="V2899"/>
  <c r="V2900"/>
  <c r="V2901"/>
  <c r="V2902"/>
  <c r="V2903"/>
  <c r="V2904"/>
  <c r="V2905"/>
  <c r="V2906"/>
  <c r="V2907"/>
  <c r="V2908"/>
  <c r="V2909"/>
  <c r="V2910"/>
  <c r="V2911"/>
  <c r="V2912"/>
  <c r="V2913"/>
  <c r="V2914"/>
  <c r="V2915"/>
  <c r="V2916"/>
  <c r="V2917"/>
  <c r="V2918"/>
  <c r="V2919"/>
  <c r="V2920"/>
  <c r="V2921"/>
  <c r="V2922"/>
  <c r="V2923"/>
  <c r="V2924"/>
  <c r="V2925"/>
  <c r="V2926"/>
  <c r="V2927"/>
  <c r="V2928"/>
  <c r="V2929"/>
  <c r="V2930"/>
  <c r="V2931"/>
  <c r="V2932"/>
  <c r="V2933"/>
  <c r="V2934"/>
  <c r="V2935"/>
  <c r="V2936"/>
  <c r="V2937"/>
  <c r="V2938"/>
  <c r="V2939"/>
  <c r="V2940"/>
  <c r="V2941"/>
  <c r="V2942"/>
  <c r="V2943"/>
  <c r="V2944"/>
  <c r="V2945"/>
  <c r="V2946"/>
  <c r="V2947"/>
  <c r="V2948"/>
  <c r="V2949"/>
  <c r="V2950"/>
  <c r="V2951"/>
  <c r="V2952"/>
  <c r="V2953"/>
  <c r="V2954"/>
  <c r="V2955"/>
  <c r="V2956"/>
  <c r="V2957"/>
  <c r="V2958"/>
  <c r="V2959"/>
  <c r="V2960"/>
  <c r="V2961"/>
  <c r="V2962"/>
  <c r="V2963"/>
  <c r="V2964"/>
  <c r="V2965"/>
  <c r="V2966"/>
  <c r="V2967"/>
  <c r="V2968"/>
  <c r="V2969"/>
  <c r="V2970"/>
  <c r="V2971"/>
  <c r="V2972"/>
  <c r="V2973"/>
  <c r="V2974"/>
  <c r="V2975"/>
  <c r="V2976"/>
  <c r="V2977"/>
  <c r="V2978"/>
  <c r="V2979"/>
  <c r="V2980"/>
  <c r="V2981"/>
  <c r="V2982"/>
  <c r="V2983"/>
  <c r="V2984"/>
  <c r="V2985"/>
  <c r="V2986"/>
  <c r="V2987"/>
  <c r="V2988"/>
  <c r="V2989"/>
  <c r="V2990"/>
  <c r="V2991"/>
  <c r="V2992"/>
  <c r="V2993"/>
  <c r="V2994"/>
  <c r="V2995"/>
  <c r="V2996"/>
  <c r="V2997"/>
  <c r="V2998"/>
  <c r="V2999"/>
  <c r="V3000"/>
  <c r="V3001"/>
  <c r="V3002"/>
  <c r="V3003"/>
  <c r="V3004"/>
  <c r="V3005"/>
  <c r="V3006"/>
  <c r="V3007"/>
  <c r="V3008"/>
  <c r="V3009"/>
  <c r="V3010"/>
  <c r="V3011"/>
  <c r="V3012"/>
  <c r="V3013"/>
  <c r="V3014"/>
  <c r="V3015"/>
  <c r="V3016"/>
  <c r="V3017"/>
  <c r="V3018"/>
  <c r="V3019"/>
  <c r="V3020"/>
  <c r="V3021"/>
  <c r="V3022"/>
  <c r="V3023"/>
  <c r="V3024"/>
  <c r="V3025"/>
  <c r="V3026"/>
  <c r="V3027"/>
  <c r="V3028"/>
  <c r="V3029"/>
  <c r="V3030"/>
  <c r="V3031"/>
  <c r="V3032"/>
  <c r="V3033"/>
  <c r="V3034"/>
  <c r="V3035"/>
  <c r="V3036"/>
  <c r="V3037"/>
  <c r="V3038"/>
  <c r="V3039"/>
  <c r="V3040"/>
  <c r="V3041"/>
  <c r="V3042"/>
  <c r="V3043"/>
  <c r="V3044"/>
  <c r="V3045"/>
  <c r="V3046"/>
  <c r="V3047"/>
  <c r="V3048"/>
  <c r="V3049"/>
  <c r="V3050"/>
  <c r="V3051"/>
  <c r="V3052"/>
  <c r="V3053"/>
  <c r="V3054"/>
  <c r="V3055"/>
  <c r="V3056"/>
  <c r="V3057"/>
  <c r="V3058"/>
  <c r="V3059"/>
  <c r="V3060"/>
  <c r="V3061"/>
  <c r="V3062"/>
  <c r="V3063"/>
  <c r="V3064"/>
  <c r="V3065"/>
  <c r="V3066"/>
  <c r="V3067"/>
  <c r="V3068"/>
  <c r="V3069"/>
  <c r="V3070"/>
  <c r="V3071"/>
  <c r="V3072"/>
  <c r="V3073"/>
  <c r="V3074"/>
  <c r="V3075"/>
  <c r="V3076"/>
  <c r="V3077"/>
  <c r="V3078"/>
  <c r="V3079"/>
  <c r="V3080"/>
  <c r="V3081"/>
  <c r="V3082"/>
  <c r="V3083"/>
  <c r="V3084"/>
  <c r="V3085"/>
  <c r="V3086"/>
  <c r="V3087"/>
  <c r="V3088"/>
  <c r="V3089"/>
  <c r="V3090"/>
  <c r="V3091"/>
  <c r="V3092"/>
  <c r="V3093"/>
  <c r="V3094"/>
  <c r="V3095"/>
  <c r="V3096"/>
  <c r="V3097"/>
  <c r="V3098"/>
  <c r="V3099"/>
  <c r="V3100"/>
  <c r="V3101"/>
  <c r="V3102"/>
  <c r="V3103"/>
  <c r="V3104"/>
  <c r="V3105"/>
  <c r="V3106"/>
  <c r="V3107"/>
  <c r="V3108"/>
  <c r="V3109"/>
  <c r="V3110"/>
  <c r="V3111"/>
  <c r="V3112"/>
  <c r="V3113"/>
  <c r="V3114"/>
  <c r="V3115"/>
  <c r="V3116"/>
  <c r="V3117"/>
  <c r="V3118"/>
  <c r="V3119"/>
  <c r="V3120"/>
  <c r="V3121"/>
  <c r="V3122"/>
  <c r="V3123"/>
  <c r="V3124"/>
  <c r="V3125"/>
  <c r="V3126"/>
  <c r="V3127"/>
  <c r="V3128"/>
  <c r="V3129"/>
  <c r="V3130"/>
  <c r="V3131"/>
  <c r="V3132"/>
  <c r="V3133"/>
  <c r="V3134"/>
  <c r="V3135"/>
  <c r="V3136"/>
  <c r="V3137"/>
  <c r="V3138"/>
  <c r="V3139"/>
  <c r="V3140"/>
  <c r="V3141"/>
  <c r="V3142"/>
  <c r="V3143"/>
  <c r="V3144"/>
  <c r="V3145"/>
  <c r="V3146"/>
  <c r="V3147"/>
  <c r="V3148"/>
  <c r="V3149"/>
  <c r="V3150"/>
  <c r="V3151"/>
  <c r="V3152"/>
  <c r="V3153"/>
  <c r="V3154"/>
  <c r="V3155"/>
  <c r="V3156"/>
  <c r="V3157"/>
  <c r="V3158"/>
  <c r="V3159"/>
  <c r="V3160"/>
  <c r="V3161"/>
  <c r="V3162"/>
  <c r="V3163"/>
  <c r="V3164"/>
  <c r="V3165"/>
  <c r="V3166"/>
  <c r="V3167"/>
  <c r="V3168"/>
  <c r="V3169"/>
  <c r="V3170"/>
  <c r="V3171"/>
  <c r="V3172"/>
  <c r="V3173"/>
  <c r="V3174"/>
  <c r="V3175"/>
  <c r="V3176"/>
  <c r="V3177"/>
  <c r="V3178"/>
  <c r="V3179"/>
  <c r="V3180"/>
  <c r="V3181"/>
  <c r="V3182"/>
  <c r="V3183"/>
  <c r="V3184"/>
  <c r="V3185"/>
  <c r="V3186"/>
  <c r="V3187"/>
  <c r="V3188"/>
  <c r="V3189"/>
  <c r="V3190"/>
  <c r="V3191"/>
  <c r="V3192"/>
  <c r="V3193"/>
  <c r="V3194"/>
  <c r="V3195"/>
  <c r="V3196"/>
  <c r="V3197"/>
  <c r="V3198"/>
  <c r="V3199"/>
  <c r="V3200"/>
  <c r="V3201"/>
  <c r="V3202"/>
  <c r="V3203"/>
  <c r="V3204"/>
  <c r="V3205"/>
  <c r="V3206"/>
  <c r="V3207"/>
  <c r="V3208"/>
  <c r="V3209"/>
  <c r="V3210"/>
  <c r="V3211"/>
  <c r="V3212"/>
  <c r="V3213"/>
  <c r="V3214"/>
  <c r="V3215"/>
  <c r="V3216"/>
  <c r="V3217"/>
  <c r="V3218"/>
  <c r="V3219"/>
  <c r="V3220"/>
  <c r="V3221"/>
  <c r="V3222"/>
  <c r="V3223"/>
  <c r="V3224"/>
  <c r="V3225"/>
  <c r="V3226"/>
  <c r="V3227"/>
  <c r="V3228"/>
  <c r="V3229"/>
  <c r="V3230"/>
  <c r="V3231"/>
  <c r="V3232"/>
  <c r="V3233"/>
  <c r="V3234"/>
  <c r="V3235"/>
  <c r="V3236"/>
  <c r="V3237"/>
  <c r="V3238"/>
  <c r="V3239"/>
  <c r="V3240"/>
  <c r="V3241"/>
  <c r="V3242"/>
  <c r="V3243"/>
  <c r="V3244"/>
  <c r="V3245"/>
  <c r="V3246"/>
  <c r="V3247"/>
  <c r="V3248"/>
  <c r="V3249"/>
  <c r="V3250"/>
  <c r="V3251"/>
  <c r="V3252"/>
  <c r="V3253"/>
  <c r="V3254"/>
  <c r="V3255"/>
  <c r="V3256"/>
  <c r="V3257"/>
  <c r="V3258"/>
  <c r="V3259"/>
  <c r="V3260"/>
  <c r="V3261"/>
  <c r="V3262"/>
  <c r="V3263"/>
  <c r="V3264"/>
  <c r="V3265"/>
  <c r="V3266"/>
  <c r="V3267"/>
  <c r="V3268"/>
  <c r="V3269"/>
  <c r="V3270"/>
  <c r="V3271"/>
  <c r="V3272"/>
  <c r="V3273"/>
  <c r="V3274"/>
  <c r="V3275"/>
  <c r="V3276"/>
  <c r="V3277"/>
  <c r="V3278"/>
  <c r="V3279"/>
  <c r="V3280"/>
  <c r="V3281"/>
  <c r="V3282"/>
  <c r="V3283"/>
  <c r="V3284"/>
  <c r="V3285"/>
  <c r="V3286"/>
  <c r="V3287"/>
  <c r="V3288"/>
  <c r="V3289"/>
  <c r="V3290"/>
  <c r="V3291"/>
  <c r="V3292"/>
  <c r="V3293"/>
  <c r="V3294"/>
  <c r="V3295"/>
  <c r="V3296"/>
  <c r="V3297"/>
  <c r="V3298"/>
  <c r="V3299"/>
  <c r="V3300"/>
  <c r="V3301"/>
  <c r="V3302"/>
  <c r="V3303"/>
  <c r="V3304"/>
  <c r="V3305"/>
  <c r="V3306"/>
  <c r="V3307"/>
  <c r="V3308"/>
  <c r="V3309"/>
  <c r="V3310"/>
  <c r="V3311"/>
  <c r="V3312"/>
  <c r="V3313"/>
  <c r="V3314"/>
  <c r="V3315"/>
  <c r="V3316"/>
  <c r="V3317"/>
  <c r="V3318"/>
  <c r="V3319"/>
  <c r="V3320"/>
  <c r="V3321"/>
  <c r="V3322"/>
  <c r="V3323"/>
  <c r="V3324"/>
  <c r="V3325"/>
  <c r="V3326"/>
  <c r="V3327"/>
  <c r="V3328"/>
  <c r="V3329"/>
  <c r="V3330"/>
  <c r="V3331"/>
  <c r="V3332"/>
  <c r="V3333"/>
  <c r="V3334"/>
  <c r="V3335"/>
  <c r="V3336"/>
  <c r="V3337"/>
  <c r="V3338"/>
  <c r="V3339"/>
  <c r="V3340"/>
  <c r="V3341"/>
  <c r="V3342"/>
  <c r="V3343"/>
  <c r="V3344"/>
  <c r="V3345"/>
  <c r="V3346"/>
  <c r="V3347"/>
  <c r="V3348"/>
  <c r="V3349"/>
  <c r="V3350"/>
  <c r="V3351"/>
  <c r="V3352"/>
  <c r="V3353"/>
  <c r="V3354"/>
  <c r="V3355"/>
  <c r="V3356"/>
  <c r="V3357"/>
  <c r="V3358"/>
  <c r="V3359"/>
  <c r="V3360"/>
  <c r="V3361"/>
  <c r="V3362"/>
  <c r="V3363"/>
  <c r="V3364"/>
  <c r="V3365"/>
  <c r="V3366"/>
  <c r="V3367"/>
  <c r="V3368"/>
  <c r="V3369"/>
  <c r="V3370"/>
  <c r="V3371"/>
  <c r="V3372"/>
  <c r="V3373"/>
  <c r="V3374"/>
  <c r="V3375"/>
  <c r="V3376"/>
  <c r="V3377"/>
  <c r="V3378"/>
  <c r="V3379"/>
  <c r="V3380"/>
  <c r="V3381"/>
  <c r="V3382"/>
  <c r="V3383"/>
  <c r="V3384"/>
  <c r="V3385"/>
  <c r="V3386"/>
  <c r="V3387"/>
  <c r="V3388"/>
  <c r="V3389"/>
  <c r="V3390"/>
  <c r="V3391"/>
  <c r="V3392"/>
  <c r="V3393"/>
  <c r="V3394"/>
  <c r="V3395"/>
  <c r="V3396"/>
  <c r="V3397"/>
  <c r="V3398"/>
  <c r="V3399"/>
  <c r="V3400"/>
  <c r="V3401"/>
  <c r="V3402"/>
  <c r="V3403"/>
  <c r="V3404"/>
  <c r="V3405"/>
  <c r="V3406"/>
  <c r="V3407"/>
  <c r="V3408"/>
  <c r="V3409"/>
  <c r="V3410"/>
  <c r="V3411"/>
  <c r="V3412"/>
  <c r="V3413"/>
  <c r="V3414"/>
  <c r="V3415"/>
  <c r="V3416"/>
  <c r="V3417"/>
  <c r="V3418"/>
  <c r="V3419"/>
  <c r="V3420"/>
  <c r="V3421"/>
  <c r="V3422"/>
  <c r="V3423"/>
  <c r="V3424"/>
  <c r="V3425"/>
  <c r="V3426"/>
  <c r="V3427"/>
  <c r="V3428"/>
  <c r="V3429"/>
  <c r="V3430"/>
  <c r="V3431"/>
  <c r="V3432"/>
  <c r="V3433"/>
  <c r="V3434"/>
  <c r="V3435"/>
  <c r="V3436"/>
  <c r="V3437"/>
  <c r="V3438"/>
  <c r="V3439"/>
  <c r="V3440"/>
  <c r="V3441"/>
  <c r="V3442"/>
  <c r="V3443"/>
  <c r="V3444"/>
  <c r="V3445"/>
  <c r="V3446"/>
  <c r="V3447"/>
  <c r="V3448"/>
  <c r="V3449"/>
  <c r="V3450"/>
  <c r="V3451"/>
  <c r="V3452"/>
  <c r="V3453"/>
  <c r="V3454"/>
  <c r="V3455"/>
  <c r="V3456"/>
  <c r="V3457"/>
  <c r="V3458"/>
  <c r="V3459"/>
  <c r="V3460"/>
  <c r="V3461"/>
  <c r="V3462"/>
  <c r="V3463"/>
  <c r="V3464"/>
  <c r="V3465"/>
  <c r="V3466"/>
  <c r="V3467"/>
  <c r="V3468"/>
  <c r="V3469"/>
  <c r="V3470"/>
  <c r="V3471"/>
  <c r="V3472"/>
  <c r="V3473"/>
  <c r="V3474"/>
  <c r="V3475"/>
  <c r="V3476"/>
  <c r="V3477"/>
  <c r="V3478"/>
  <c r="V3479"/>
  <c r="V3480"/>
  <c r="V3481"/>
  <c r="V3482"/>
  <c r="V3483"/>
  <c r="V3484"/>
  <c r="V3485"/>
  <c r="V3486"/>
  <c r="V3487"/>
  <c r="V3488"/>
  <c r="V3489"/>
  <c r="V3490"/>
  <c r="V3491"/>
  <c r="V3492"/>
  <c r="V3493"/>
  <c r="V3494"/>
  <c r="V3495"/>
  <c r="V3496"/>
  <c r="V3497"/>
  <c r="V3498"/>
  <c r="V3499"/>
  <c r="V3500"/>
  <c r="V3501"/>
  <c r="V3502"/>
  <c r="V3503"/>
  <c r="V3504"/>
  <c r="V3505"/>
  <c r="V3506"/>
  <c r="V3507"/>
  <c r="V3508"/>
  <c r="V3509"/>
  <c r="V3510"/>
  <c r="V3511"/>
  <c r="V3512"/>
  <c r="V3513"/>
  <c r="V3514"/>
  <c r="V3515"/>
  <c r="V3516"/>
  <c r="V3517"/>
  <c r="V3518"/>
  <c r="V3519"/>
  <c r="V3520"/>
  <c r="V3521"/>
  <c r="V3522"/>
  <c r="V3523"/>
  <c r="V3524"/>
  <c r="V3525"/>
  <c r="V3526"/>
  <c r="V3527"/>
  <c r="V3528"/>
  <c r="V3529"/>
  <c r="V3530"/>
  <c r="V3531"/>
  <c r="V3532"/>
  <c r="V3533"/>
  <c r="V3534"/>
  <c r="V3535"/>
  <c r="V3536"/>
  <c r="V3537"/>
  <c r="V3538"/>
  <c r="V3539"/>
  <c r="V3540"/>
  <c r="V3541"/>
  <c r="V3542"/>
  <c r="V3543"/>
  <c r="V3544"/>
  <c r="V3545"/>
  <c r="V3546"/>
  <c r="V3547"/>
  <c r="V3548"/>
  <c r="V3549"/>
  <c r="V3550"/>
  <c r="V3551"/>
  <c r="V3552"/>
  <c r="V3553"/>
  <c r="V3554"/>
  <c r="V3555"/>
  <c r="V3556"/>
  <c r="V3557"/>
  <c r="V3558"/>
  <c r="V3559"/>
  <c r="V3560"/>
  <c r="V3561"/>
  <c r="V3562"/>
  <c r="V3563"/>
  <c r="V3564"/>
  <c r="V3565"/>
  <c r="V3566"/>
  <c r="V3567"/>
  <c r="V3568"/>
  <c r="V3569"/>
  <c r="V3570"/>
  <c r="V3571"/>
  <c r="V3572"/>
  <c r="V3573"/>
  <c r="V3574"/>
  <c r="V3575"/>
  <c r="V3576"/>
  <c r="V3577"/>
  <c r="V3578"/>
  <c r="V3579"/>
  <c r="V3580"/>
  <c r="V3581"/>
  <c r="V3582"/>
  <c r="V3583"/>
  <c r="V3584"/>
  <c r="V3585"/>
  <c r="V3586"/>
  <c r="V3587"/>
  <c r="V3588"/>
  <c r="V3589"/>
  <c r="V3590"/>
  <c r="V3591"/>
  <c r="V3592"/>
  <c r="V3593"/>
  <c r="V3594"/>
  <c r="V3595"/>
  <c r="V3596"/>
  <c r="V3597"/>
  <c r="V3598"/>
  <c r="V3599"/>
  <c r="V3600"/>
  <c r="V3601"/>
  <c r="V3602"/>
  <c r="V3603"/>
  <c r="V3604"/>
  <c r="V3605"/>
  <c r="V3606"/>
  <c r="V3607"/>
  <c r="V3608"/>
  <c r="V3609"/>
  <c r="V3610"/>
  <c r="V3611"/>
  <c r="V3612"/>
  <c r="V3613"/>
  <c r="V3614"/>
  <c r="V3615"/>
  <c r="V3616"/>
  <c r="V3617"/>
  <c r="V3618"/>
  <c r="V3619"/>
  <c r="V3620"/>
  <c r="V3621"/>
  <c r="V3622"/>
  <c r="V3623"/>
  <c r="V3624"/>
  <c r="V3625"/>
  <c r="V3626"/>
  <c r="V3627"/>
  <c r="V3628"/>
  <c r="V3629"/>
  <c r="V3630"/>
  <c r="V3631"/>
  <c r="V3632"/>
  <c r="V3633"/>
  <c r="V3634"/>
  <c r="V3635"/>
  <c r="V3636"/>
  <c r="V3637"/>
  <c r="V3638"/>
  <c r="V3639"/>
  <c r="V3640"/>
  <c r="V3641"/>
  <c r="V3642"/>
  <c r="V3643"/>
  <c r="V3644"/>
  <c r="V3645"/>
  <c r="V3646"/>
  <c r="V3647"/>
  <c r="V3648"/>
  <c r="V3649"/>
  <c r="V3650"/>
  <c r="V3651"/>
  <c r="V3652"/>
  <c r="V3653"/>
  <c r="V3654"/>
  <c r="V3655"/>
  <c r="V3656"/>
  <c r="V3657"/>
  <c r="V3658"/>
  <c r="V3659"/>
  <c r="V3660"/>
  <c r="V3661"/>
  <c r="V3662"/>
  <c r="V3663"/>
  <c r="V3664"/>
  <c r="V3665"/>
  <c r="V3666"/>
  <c r="V3667"/>
  <c r="V3668"/>
  <c r="V3669"/>
  <c r="V3670"/>
  <c r="V3671"/>
  <c r="V3672"/>
  <c r="V3673"/>
  <c r="V3674"/>
  <c r="V3675"/>
  <c r="V3676"/>
  <c r="V3677"/>
  <c r="V3678"/>
  <c r="V3679"/>
  <c r="V3680"/>
  <c r="V3681"/>
  <c r="V3682"/>
  <c r="V3683"/>
  <c r="V3684"/>
  <c r="V3685"/>
  <c r="V3686"/>
  <c r="V3687"/>
  <c r="V3688"/>
  <c r="V3689"/>
  <c r="V3690"/>
  <c r="V3691"/>
  <c r="V3692"/>
  <c r="V3693"/>
  <c r="V3694"/>
  <c r="V3695"/>
  <c r="V3696"/>
  <c r="V3697"/>
  <c r="V3698"/>
  <c r="V3699"/>
  <c r="V3700"/>
  <c r="V3701"/>
  <c r="V3702"/>
  <c r="V3703"/>
  <c r="V3704"/>
  <c r="V3705"/>
  <c r="V3706"/>
  <c r="V3707"/>
  <c r="V3708"/>
  <c r="V3709"/>
  <c r="V3710"/>
  <c r="V3711"/>
  <c r="V3712"/>
  <c r="V3713"/>
  <c r="V3714"/>
  <c r="V3715"/>
  <c r="V3716"/>
  <c r="V3717"/>
  <c r="V3718"/>
  <c r="V3719"/>
  <c r="V3720"/>
  <c r="V3721"/>
  <c r="V3722"/>
  <c r="V3723"/>
  <c r="V3724"/>
  <c r="V3725"/>
  <c r="V3726"/>
  <c r="V3727"/>
  <c r="V3728"/>
  <c r="V3729"/>
  <c r="V3730"/>
  <c r="V3731"/>
  <c r="V3732"/>
  <c r="V3733"/>
  <c r="V3734"/>
  <c r="V3735"/>
  <c r="V3736"/>
  <c r="V3737"/>
  <c r="V3738"/>
  <c r="V3739"/>
  <c r="V3740"/>
  <c r="V3741"/>
  <c r="V3742"/>
  <c r="V3743"/>
  <c r="V3744"/>
  <c r="V3745"/>
  <c r="V3746"/>
  <c r="V3747"/>
  <c r="V3748"/>
  <c r="V3749"/>
  <c r="V3750"/>
  <c r="V3751"/>
  <c r="V3752"/>
  <c r="V3753"/>
  <c r="V3754"/>
  <c r="V3755"/>
  <c r="V3756"/>
  <c r="V3757"/>
  <c r="V3758"/>
  <c r="V3759"/>
  <c r="V3760"/>
  <c r="V3761"/>
  <c r="V3762"/>
  <c r="V3763"/>
  <c r="V3764"/>
  <c r="V3765"/>
  <c r="V3766"/>
  <c r="V3767"/>
  <c r="V3768"/>
  <c r="V3769"/>
  <c r="V3770"/>
  <c r="V3771"/>
  <c r="V3772"/>
  <c r="V3773"/>
  <c r="V3774"/>
  <c r="V3775"/>
  <c r="V3776"/>
  <c r="V3777"/>
  <c r="V3778"/>
  <c r="V3779"/>
  <c r="V3780"/>
  <c r="V3781"/>
  <c r="V3782"/>
  <c r="V3783"/>
  <c r="V3784"/>
  <c r="V3785"/>
  <c r="V3786"/>
  <c r="V3787"/>
  <c r="V3788"/>
  <c r="V3789"/>
  <c r="V3790"/>
  <c r="V3791"/>
  <c r="V3792"/>
  <c r="V3793"/>
  <c r="V3794"/>
  <c r="V3795"/>
  <c r="V3796"/>
  <c r="V3797"/>
  <c r="V3798"/>
  <c r="V3799"/>
  <c r="V3800"/>
  <c r="V3801"/>
  <c r="V3802"/>
  <c r="V3803"/>
  <c r="V3804"/>
  <c r="V3805"/>
  <c r="V3806"/>
  <c r="V3807"/>
  <c r="V3808"/>
  <c r="V3809"/>
  <c r="V3810"/>
  <c r="V3811"/>
  <c r="V3812"/>
  <c r="V3813"/>
  <c r="V3814"/>
  <c r="V3815"/>
  <c r="V3816"/>
  <c r="V3817"/>
  <c r="V3818"/>
  <c r="V3819"/>
  <c r="V3820"/>
  <c r="V3821"/>
  <c r="V3822"/>
  <c r="V3823"/>
  <c r="V3824"/>
  <c r="V3825"/>
  <c r="V3826"/>
  <c r="V3827"/>
  <c r="V3828"/>
  <c r="V3829"/>
  <c r="V3830"/>
  <c r="V3831"/>
  <c r="V3832"/>
  <c r="V3833"/>
  <c r="V3834"/>
  <c r="V3835"/>
  <c r="V3836"/>
  <c r="V3837"/>
  <c r="V3838"/>
  <c r="V3839"/>
  <c r="V3840"/>
  <c r="V3841"/>
  <c r="V3842"/>
  <c r="V3843"/>
  <c r="V3844"/>
  <c r="V3845"/>
  <c r="V3846"/>
  <c r="V3847"/>
  <c r="V3848"/>
  <c r="V3849"/>
  <c r="V3850"/>
  <c r="V3851"/>
  <c r="V3852"/>
  <c r="V3853"/>
  <c r="V3854"/>
  <c r="V3855"/>
  <c r="V3856"/>
  <c r="V3857"/>
  <c r="V3858"/>
  <c r="V3859"/>
  <c r="V3860"/>
  <c r="V3861"/>
  <c r="V3862"/>
  <c r="V3863"/>
  <c r="V3864"/>
  <c r="V3865"/>
  <c r="V3866"/>
  <c r="V3867"/>
  <c r="V3868"/>
  <c r="V3869"/>
  <c r="V3870"/>
  <c r="V3871"/>
  <c r="V3872"/>
  <c r="V3873"/>
  <c r="V3874"/>
  <c r="V3875"/>
  <c r="V3876"/>
  <c r="V3877"/>
  <c r="V3878"/>
  <c r="V3879"/>
  <c r="V3880"/>
  <c r="V3881"/>
  <c r="V3882"/>
  <c r="V3883"/>
  <c r="V3884"/>
  <c r="V3885"/>
  <c r="V3886"/>
  <c r="V3887"/>
  <c r="V3888"/>
  <c r="V3889"/>
  <c r="V3890"/>
  <c r="V3891"/>
  <c r="V3892"/>
  <c r="V3893"/>
  <c r="V3894"/>
  <c r="V3895"/>
  <c r="V3896"/>
  <c r="V3897"/>
  <c r="V3898"/>
  <c r="V3899"/>
  <c r="V3900"/>
  <c r="V3901"/>
  <c r="V3902"/>
  <c r="V3903"/>
  <c r="V3904"/>
  <c r="V3905"/>
  <c r="V3906"/>
  <c r="V3907"/>
  <c r="V3908"/>
  <c r="V3909"/>
  <c r="V3910"/>
  <c r="V3911"/>
  <c r="V3912"/>
  <c r="V3913"/>
  <c r="V3914"/>
  <c r="V3915"/>
  <c r="V3916"/>
  <c r="V3917"/>
  <c r="V3918"/>
  <c r="V3919"/>
  <c r="V3920"/>
  <c r="V3921"/>
  <c r="V3922"/>
  <c r="V3923"/>
  <c r="V3924"/>
  <c r="V3925"/>
  <c r="V3926"/>
  <c r="V3927"/>
  <c r="V3928"/>
  <c r="V3929"/>
  <c r="V3930"/>
  <c r="V3931"/>
  <c r="V3932"/>
  <c r="V3933"/>
  <c r="V3934"/>
  <c r="V3935"/>
  <c r="V3936"/>
  <c r="V3937"/>
  <c r="V3938"/>
  <c r="V3939"/>
  <c r="V3940"/>
  <c r="V3941"/>
  <c r="V3942"/>
  <c r="V3943"/>
  <c r="V3944"/>
  <c r="V3945"/>
  <c r="V3946"/>
  <c r="V3947"/>
  <c r="V3948"/>
  <c r="V3949"/>
  <c r="V3950"/>
  <c r="V3951"/>
  <c r="V3952"/>
  <c r="V3953"/>
  <c r="V3954"/>
  <c r="V3955"/>
  <c r="V3956"/>
  <c r="V3957"/>
  <c r="V3958"/>
  <c r="V3959"/>
  <c r="V3960"/>
  <c r="V3961"/>
  <c r="V3962"/>
  <c r="V3963"/>
  <c r="V3964"/>
  <c r="V3965"/>
  <c r="V3966"/>
  <c r="V3967"/>
  <c r="V3968"/>
  <c r="V3969"/>
  <c r="V3970"/>
  <c r="V3971"/>
  <c r="V3972"/>
  <c r="V3973"/>
  <c r="V3974"/>
  <c r="V3975"/>
  <c r="V3976"/>
  <c r="V3977"/>
  <c r="V3978"/>
  <c r="V3979"/>
  <c r="V3980"/>
  <c r="V3981"/>
  <c r="V3982"/>
  <c r="V3983"/>
  <c r="V3984"/>
  <c r="V3985"/>
  <c r="V3986"/>
  <c r="V3987"/>
  <c r="V3988"/>
  <c r="V3989"/>
  <c r="V3990"/>
  <c r="V3991"/>
  <c r="V3992"/>
  <c r="V3993"/>
  <c r="V3994"/>
  <c r="V3995"/>
  <c r="V3996"/>
  <c r="V3997"/>
  <c r="V3998"/>
  <c r="V3999"/>
  <c r="V4000"/>
  <c r="V4001"/>
  <c r="V4002"/>
  <c r="V4003"/>
  <c r="V4004"/>
  <c r="V4005"/>
  <c r="V4006"/>
  <c r="V4007"/>
  <c r="V4008"/>
  <c r="V4009"/>
  <c r="V4010"/>
  <c r="V4011"/>
  <c r="V4012"/>
  <c r="V4013"/>
  <c r="V4014"/>
  <c r="V4015"/>
  <c r="V4016"/>
  <c r="V4017"/>
  <c r="V4018"/>
  <c r="V4019"/>
  <c r="V4020"/>
  <c r="V4021"/>
  <c r="V4022"/>
  <c r="V4023"/>
  <c r="V4024"/>
  <c r="V4025"/>
  <c r="V4026"/>
  <c r="V4027"/>
  <c r="V4028"/>
  <c r="V4029"/>
  <c r="V4030"/>
  <c r="V4031"/>
  <c r="V4032"/>
  <c r="V4033"/>
  <c r="V4034"/>
  <c r="V4035"/>
  <c r="V4036"/>
  <c r="V4037"/>
  <c r="V4038"/>
  <c r="V4039"/>
  <c r="V4040"/>
  <c r="V4041"/>
  <c r="V4042"/>
  <c r="V4043"/>
  <c r="V4044"/>
  <c r="V4045"/>
  <c r="V4046"/>
  <c r="V4047"/>
  <c r="V4048"/>
  <c r="V4049"/>
  <c r="V4050"/>
  <c r="V4051"/>
  <c r="V4052"/>
  <c r="V4053"/>
  <c r="V4054"/>
  <c r="V4055"/>
  <c r="V4056"/>
  <c r="V4057"/>
  <c r="V4058"/>
  <c r="V4059"/>
  <c r="V4060"/>
  <c r="V4061"/>
  <c r="V4062"/>
  <c r="V4063"/>
  <c r="V4064"/>
  <c r="V4065"/>
  <c r="V4066"/>
  <c r="V4067"/>
  <c r="V4068"/>
  <c r="V4069"/>
  <c r="V4070"/>
  <c r="V4071"/>
  <c r="V4072"/>
  <c r="V4073"/>
  <c r="V4074"/>
  <c r="V4075"/>
  <c r="V4076"/>
  <c r="V4077"/>
  <c r="V4078"/>
  <c r="V4079"/>
  <c r="V4080"/>
  <c r="V4081"/>
  <c r="V4082"/>
  <c r="V4083"/>
  <c r="V4084"/>
  <c r="V4085"/>
  <c r="V4086"/>
  <c r="V4087"/>
  <c r="V4088"/>
  <c r="V4089"/>
  <c r="V4090"/>
  <c r="V4091"/>
  <c r="V4092"/>
  <c r="V4093"/>
  <c r="V4094"/>
  <c r="V4095"/>
  <c r="V4096"/>
  <c r="V4097"/>
  <c r="V4098"/>
  <c r="V4099"/>
  <c r="V4100"/>
  <c r="V4101"/>
  <c r="V4102"/>
  <c r="V4103"/>
  <c r="V4104"/>
  <c r="V4105"/>
  <c r="V4106"/>
  <c r="V4107"/>
  <c r="V4108"/>
  <c r="V4109"/>
  <c r="V4110"/>
  <c r="V4111"/>
  <c r="V4112"/>
  <c r="V4113"/>
  <c r="V4114"/>
  <c r="V4115"/>
  <c r="V4116"/>
  <c r="V4117"/>
  <c r="V4118"/>
  <c r="V4119"/>
  <c r="V4120"/>
  <c r="V4121"/>
  <c r="V4122"/>
  <c r="V4123"/>
  <c r="V4124"/>
  <c r="V4125"/>
  <c r="V4126"/>
  <c r="V4127"/>
  <c r="V4128"/>
  <c r="V4129"/>
  <c r="V4130"/>
  <c r="V4131"/>
  <c r="V4132"/>
  <c r="V4133"/>
  <c r="V4134"/>
  <c r="V4135"/>
  <c r="V4136"/>
  <c r="V4137"/>
  <c r="V4138"/>
  <c r="V4139"/>
  <c r="V4140"/>
  <c r="V4141"/>
  <c r="V4142"/>
  <c r="V4143"/>
  <c r="V4144"/>
  <c r="V4145"/>
  <c r="V4146"/>
  <c r="V4147"/>
  <c r="V4148"/>
  <c r="V4149"/>
  <c r="V4150"/>
  <c r="V4151"/>
  <c r="V4152"/>
  <c r="V4153"/>
  <c r="V4154"/>
  <c r="V4155"/>
  <c r="V4156"/>
  <c r="V4157"/>
  <c r="V4158"/>
  <c r="V4159"/>
  <c r="V4160"/>
  <c r="V4161"/>
  <c r="V4162"/>
  <c r="V4163"/>
  <c r="V4164"/>
  <c r="V4165"/>
  <c r="V4166"/>
  <c r="V4167"/>
  <c r="V4168"/>
  <c r="V4169"/>
  <c r="V4170"/>
  <c r="V4171"/>
  <c r="V4172"/>
  <c r="V4173"/>
  <c r="V4174"/>
  <c r="V4175"/>
  <c r="V4176"/>
  <c r="V4177"/>
  <c r="V4178"/>
  <c r="V4179"/>
  <c r="V4180"/>
  <c r="V4181"/>
  <c r="V4182"/>
  <c r="V4183"/>
  <c r="V4184"/>
  <c r="V4185"/>
  <c r="V4186"/>
  <c r="V4187"/>
  <c r="V4188"/>
  <c r="V4189"/>
  <c r="V4190"/>
  <c r="V4191"/>
  <c r="V4192"/>
  <c r="V4193"/>
  <c r="V4194"/>
  <c r="V4195"/>
  <c r="V4196"/>
  <c r="V4197"/>
  <c r="V4198"/>
  <c r="V4199"/>
  <c r="V4200"/>
  <c r="V4201"/>
  <c r="V4202"/>
  <c r="V4203"/>
  <c r="V4204"/>
  <c r="V4205"/>
  <c r="V4206"/>
  <c r="V4207"/>
  <c r="V4208"/>
  <c r="V4209"/>
  <c r="V4210"/>
  <c r="V4211"/>
  <c r="V4212"/>
  <c r="V4213"/>
  <c r="V4214"/>
  <c r="V4215"/>
  <c r="V4216"/>
  <c r="V4217"/>
  <c r="V4218"/>
  <c r="V4219"/>
  <c r="V4220"/>
  <c r="V4221"/>
  <c r="V4222"/>
  <c r="V4223"/>
  <c r="V4224"/>
  <c r="V4225"/>
  <c r="V4226"/>
  <c r="V4227"/>
  <c r="V4228"/>
  <c r="V4229"/>
  <c r="V4230"/>
  <c r="V4231"/>
  <c r="V4232"/>
  <c r="V4233"/>
  <c r="V4234"/>
  <c r="V4235"/>
  <c r="V4236"/>
  <c r="V4237"/>
  <c r="V4238"/>
  <c r="V4239"/>
  <c r="V4240"/>
  <c r="V4241"/>
  <c r="V4242"/>
  <c r="V4243"/>
  <c r="V4244"/>
  <c r="V4245"/>
  <c r="V4246"/>
  <c r="V4247"/>
  <c r="V4248"/>
  <c r="V4249"/>
  <c r="V4250"/>
  <c r="V4251"/>
  <c r="V4252"/>
  <c r="V4253"/>
  <c r="V4254"/>
  <c r="V4255"/>
  <c r="V4256"/>
  <c r="V4257"/>
  <c r="V4258"/>
  <c r="V4259"/>
  <c r="V4260"/>
  <c r="V4261"/>
  <c r="V4262"/>
  <c r="V4263"/>
  <c r="V4264"/>
  <c r="V4265"/>
  <c r="V4266"/>
  <c r="V4267"/>
  <c r="V4268"/>
  <c r="V4269"/>
  <c r="V4270"/>
  <c r="V4271"/>
  <c r="V4272"/>
  <c r="V4273"/>
  <c r="V4274"/>
  <c r="V4275"/>
  <c r="V4276"/>
  <c r="V4277"/>
  <c r="V4278"/>
  <c r="V4279"/>
  <c r="V4280"/>
  <c r="V4281"/>
  <c r="V4282"/>
  <c r="V4283"/>
  <c r="V4284"/>
  <c r="V4285"/>
  <c r="V4286"/>
  <c r="V4287"/>
  <c r="V4288"/>
  <c r="V4289"/>
  <c r="V4290"/>
  <c r="V4291"/>
  <c r="V4292"/>
  <c r="V4293"/>
  <c r="V4294"/>
  <c r="V4295"/>
  <c r="V4296"/>
  <c r="V4297"/>
  <c r="V4298"/>
  <c r="V4299"/>
  <c r="V4300"/>
  <c r="V4301"/>
  <c r="V4302"/>
  <c r="V4303"/>
  <c r="V4304"/>
  <c r="V4305"/>
  <c r="V4306"/>
  <c r="V4307"/>
  <c r="V4308"/>
  <c r="V4309"/>
  <c r="V4310"/>
  <c r="V4311"/>
  <c r="V4312"/>
  <c r="V4313"/>
  <c r="V4314"/>
  <c r="V4315"/>
  <c r="V4316"/>
  <c r="V4317"/>
  <c r="V4318"/>
  <c r="V4319"/>
  <c r="V4320"/>
  <c r="V4321"/>
  <c r="V4322"/>
  <c r="V4323"/>
  <c r="V4324"/>
  <c r="V4325"/>
  <c r="V4326"/>
  <c r="V4327"/>
  <c r="V4328"/>
  <c r="V4329"/>
  <c r="V4330"/>
  <c r="V4331"/>
  <c r="V4332"/>
  <c r="V4333"/>
  <c r="V4334"/>
  <c r="V4335"/>
  <c r="V4336"/>
  <c r="V4337"/>
  <c r="V4338"/>
  <c r="V4339"/>
  <c r="V4340"/>
  <c r="V4341"/>
  <c r="V4342"/>
  <c r="V4343"/>
  <c r="V4344"/>
  <c r="V4345"/>
  <c r="V4346"/>
  <c r="V4347"/>
  <c r="V4348"/>
  <c r="V4349"/>
  <c r="V4350"/>
  <c r="V4351"/>
  <c r="V4352"/>
  <c r="V4353"/>
  <c r="V4354"/>
  <c r="V4355"/>
  <c r="V4356"/>
  <c r="V4357"/>
  <c r="V4358"/>
  <c r="V4359"/>
  <c r="V4360"/>
  <c r="V4361"/>
  <c r="V4362"/>
  <c r="V4363"/>
  <c r="V4364"/>
  <c r="V4365"/>
  <c r="V4366"/>
  <c r="V4367"/>
  <c r="V4368"/>
  <c r="V4369"/>
  <c r="V4370"/>
  <c r="V4371"/>
  <c r="V4372"/>
  <c r="V4373"/>
  <c r="V4374"/>
  <c r="V4375"/>
  <c r="V4376"/>
  <c r="V4377"/>
  <c r="V4378"/>
  <c r="V4379"/>
  <c r="V4380"/>
  <c r="V4381"/>
  <c r="V4382"/>
  <c r="V4383"/>
  <c r="V4384"/>
  <c r="V4385"/>
  <c r="V4386"/>
  <c r="V4387"/>
  <c r="V4388"/>
  <c r="V4389"/>
  <c r="V4390"/>
  <c r="V4391"/>
  <c r="V4392"/>
  <c r="V4393"/>
  <c r="V4394"/>
  <c r="V4395"/>
  <c r="V4396"/>
  <c r="V4397"/>
  <c r="V4398"/>
  <c r="V4399"/>
  <c r="V4400"/>
  <c r="V4401"/>
  <c r="V4402"/>
  <c r="V4403"/>
  <c r="V4404"/>
  <c r="V4405"/>
  <c r="V4406"/>
  <c r="V4407"/>
  <c r="V4408"/>
  <c r="V4409"/>
  <c r="V4410"/>
  <c r="V4411"/>
  <c r="V4412"/>
  <c r="V4413"/>
  <c r="V4414"/>
  <c r="V4415"/>
  <c r="V4416"/>
  <c r="V4417"/>
  <c r="V4418"/>
  <c r="V4419"/>
  <c r="V4420"/>
  <c r="V4421"/>
  <c r="V4422"/>
  <c r="V4423"/>
  <c r="V4424"/>
  <c r="V4425"/>
  <c r="V4426"/>
  <c r="V4427"/>
  <c r="V4428"/>
  <c r="V4429"/>
  <c r="V4430"/>
  <c r="V4431"/>
  <c r="V4432"/>
  <c r="V4433"/>
  <c r="V4434"/>
  <c r="V4435"/>
  <c r="V4436"/>
  <c r="V4437"/>
  <c r="V4438"/>
  <c r="V4439"/>
  <c r="V4440"/>
  <c r="V4441"/>
  <c r="V4442"/>
  <c r="V4443"/>
  <c r="V4444"/>
  <c r="V4445"/>
  <c r="V4446"/>
  <c r="V4447"/>
  <c r="V4448"/>
  <c r="V4449"/>
  <c r="V4450"/>
  <c r="V4451"/>
  <c r="V4452"/>
  <c r="V4453"/>
  <c r="V4454"/>
  <c r="V4455"/>
  <c r="V4456"/>
  <c r="V4457"/>
  <c r="V4458"/>
  <c r="V4459"/>
  <c r="V4460"/>
  <c r="V4461"/>
  <c r="V4462"/>
  <c r="V4463"/>
  <c r="V4464"/>
  <c r="V4465"/>
  <c r="V4466"/>
  <c r="V4467"/>
  <c r="V4468"/>
  <c r="V4469"/>
  <c r="V4470"/>
  <c r="V4471"/>
  <c r="V4472"/>
  <c r="V4473"/>
  <c r="V4474"/>
  <c r="V4475"/>
  <c r="V4476"/>
  <c r="V4477"/>
  <c r="V4478"/>
  <c r="V4479"/>
  <c r="V4480"/>
  <c r="V4481"/>
  <c r="V4482"/>
  <c r="V4483"/>
  <c r="V4484"/>
  <c r="V4485"/>
  <c r="V4486"/>
  <c r="V4487"/>
  <c r="V4488"/>
  <c r="V4489"/>
  <c r="V4490"/>
  <c r="V4491"/>
  <c r="V4492"/>
  <c r="V4493"/>
  <c r="V4494"/>
  <c r="V4495"/>
  <c r="V4496"/>
  <c r="V4497"/>
  <c r="V4498"/>
  <c r="V4499"/>
  <c r="V4500"/>
  <c r="V4501"/>
  <c r="V4502"/>
  <c r="V4503"/>
  <c r="V4504"/>
  <c r="V4505"/>
  <c r="V4506"/>
  <c r="V4507"/>
  <c r="V4508"/>
  <c r="V4509"/>
  <c r="V4510"/>
  <c r="V4511"/>
  <c r="V4512"/>
  <c r="V4513"/>
  <c r="V4514"/>
  <c r="V4515"/>
  <c r="V4516"/>
  <c r="V4517"/>
  <c r="V4518"/>
  <c r="V4519"/>
  <c r="V4520"/>
  <c r="V4521"/>
  <c r="V4522"/>
  <c r="V4523"/>
  <c r="V4524"/>
  <c r="V4525"/>
  <c r="V4526"/>
  <c r="V4527"/>
  <c r="V4528"/>
  <c r="V4529"/>
  <c r="V4530"/>
  <c r="V4531"/>
  <c r="V4532"/>
  <c r="V4533"/>
  <c r="V4534"/>
  <c r="V4535"/>
  <c r="V4536"/>
  <c r="V4537"/>
  <c r="V4538"/>
  <c r="V4539"/>
  <c r="V4540"/>
  <c r="V4541"/>
  <c r="V4542"/>
  <c r="V4543"/>
  <c r="V4544"/>
  <c r="V4545"/>
  <c r="V4546"/>
  <c r="V4547"/>
  <c r="V4548"/>
  <c r="V4549"/>
  <c r="V4550"/>
  <c r="V4551"/>
  <c r="V4552"/>
  <c r="V4553"/>
  <c r="V4554"/>
  <c r="V4555"/>
  <c r="V4556"/>
  <c r="V4557"/>
  <c r="V4558"/>
  <c r="V4559"/>
  <c r="V4560"/>
  <c r="V4561"/>
  <c r="V4562"/>
  <c r="V4563"/>
  <c r="V4564"/>
  <c r="V4565"/>
  <c r="V4566"/>
  <c r="V4567"/>
  <c r="V4568"/>
  <c r="V4569"/>
  <c r="V4570"/>
  <c r="V4571"/>
  <c r="V4572"/>
  <c r="V4573"/>
  <c r="V4574"/>
  <c r="V4575"/>
  <c r="V4576"/>
  <c r="V4577"/>
  <c r="V4578"/>
  <c r="V4579"/>
  <c r="V4580"/>
  <c r="V4581"/>
  <c r="V4582"/>
  <c r="V4583"/>
  <c r="V4584"/>
  <c r="V4585"/>
  <c r="V4586"/>
  <c r="V4587"/>
  <c r="V4588"/>
  <c r="V4589"/>
  <c r="V4590"/>
  <c r="V4591"/>
  <c r="V4592"/>
  <c r="V4593"/>
  <c r="V4594"/>
  <c r="V4595"/>
  <c r="V4596"/>
  <c r="V4597"/>
  <c r="V4598"/>
  <c r="V4599"/>
  <c r="V4600"/>
  <c r="V4601"/>
  <c r="V4602"/>
  <c r="V4603"/>
  <c r="V4604"/>
  <c r="V4605"/>
  <c r="V4606"/>
  <c r="V4607"/>
  <c r="V4608"/>
  <c r="V4609"/>
  <c r="V4610"/>
  <c r="V4611"/>
  <c r="V4612"/>
  <c r="V4613"/>
  <c r="V4614"/>
  <c r="V4615"/>
  <c r="V4616"/>
  <c r="V4617"/>
  <c r="V4618"/>
  <c r="V4619"/>
  <c r="V4620"/>
  <c r="V4621"/>
  <c r="V4622"/>
  <c r="V4623"/>
  <c r="V4624"/>
  <c r="V4625"/>
  <c r="V4626"/>
  <c r="V4627"/>
  <c r="V4628"/>
  <c r="V4629"/>
  <c r="V4630"/>
  <c r="V4631"/>
  <c r="V4632"/>
  <c r="V4633"/>
  <c r="V4634"/>
  <c r="V4635"/>
  <c r="V4636"/>
  <c r="V4637"/>
  <c r="V4638"/>
  <c r="V4639"/>
  <c r="V4640"/>
  <c r="V4641"/>
  <c r="V4642"/>
  <c r="V4643"/>
  <c r="V4644"/>
  <c r="V4645"/>
  <c r="V4646"/>
  <c r="V4647"/>
  <c r="V4648"/>
  <c r="V4649"/>
  <c r="V4650"/>
  <c r="V4651"/>
  <c r="V4652"/>
  <c r="V4653"/>
  <c r="V4654"/>
  <c r="V4655"/>
  <c r="V4656"/>
  <c r="V4657"/>
  <c r="V4658"/>
  <c r="V4659"/>
  <c r="V4660"/>
  <c r="V4661"/>
  <c r="V4662"/>
  <c r="V4663"/>
  <c r="V4664"/>
  <c r="V4665"/>
  <c r="V4666"/>
  <c r="V4667"/>
  <c r="V4668"/>
  <c r="V4669"/>
  <c r="V4670"/>
  <c r="V4671"/>
  <c r="V4672"/>
  <c r="V4673"/>
  <c r="V4674"/>
  <c r="V4675"/>
  <c r="V4676"/>
  <c r="V4677"/>
  <c r="V4678"/>
  <c r="V4679"/>
  <c r="V4680"/>
  <c r="V4681"/>
  <c r="V4682"/>
  <c r="V4683"/>
  <c r="V4684"/>
  <c r="V4685"/>
  <c r="V4686"/>
  <c r="V4687"/>
  <c r="V4688"/>
  <c r="V4689"/>
  <c r="V4690"/>
  <c r="V4691"/>
  <c r="V4692"/>
  <c r="V4693"/>
  <c r="V4694"/>
  <c r="V4695"/>
  <c r="V4696"/>
  <c r="V4697"/>
  <c r="V4698"/>
  <c r="V4699"/>
  <c r="V4700"/>
  <c r="V4701"/>
  <c r="V4702"/>
  <c r="V4703"/>
  <c r="V4704"/>
  <c r="V4705"/>
  <c r="V4706"/>
  <c r="V4707"/>
  <c r="V4708"/>
  <c r="V4709"/>
  <c r="V4710"/>
  <c r="V4711"/>
  <c r="V4712"/>
  <c r="V4713"/>
  <c r="V4714"/>
  <c r="V4715"/>
  <c r="V4716"/>
  <c r="V4717"/>
  <c r="V4718"/>
  <c r="V4719"/>
  <c r="V4720"/>
  <c r="V4721"/>
  <c r="V4722"/>
  <c r="V4723"/>
  <c r="V4724"/>
  <c r="V4725"/>
  <c r="V4726"/>
  <c r="V4727"/>
  <c r="V4728"/>
  <c r="V4729"/>
  <c r="V4730"/>
  <c r="V4731"/>
  <c r="V4732"/>
  <c r="V4733"/>
  <c r="V4734"/>
  <c r="V4735"/>
  <c r="V4736"/>
  <c r="V4737"/>
  <c r="V4738"/>
  <c r="V4739"/>
  <c r="V4740"/>
  <c r="V4741"/>
  <c r="V4742"/>
  <c r="V4743"/>
  <c r="V4744"/>
  <c r="V4745"/>
  <c r="V4746"/>
  <c r="V4747"/>
  <c r="V4748"/>
  <c r="V4749"/>
  <c r="V4750"/>
  <c r="V4751"/>
  <c r="V4752"/>
  <c r="V4753"/>
  <c r="V4754"/>
  <c r="V4755"/>
  <c r="V4756"/>
  <c r="V4757"/>
  <c r="V4758"/>
  <c r="V4759"/>
  <c r="V4760"/>
  <c r="V4761"/>
  <c r="V4762"/>
  <c r="V4763"/>
  <c r="V4764"/>
  <c r="V4765"/>
  <c r="V4766"/>
  <c r="V4767"/>
  <c r="V4768"/>
  <c r="V4769"/>
  <c r="V4770"/>
  <c r="V4771"/>
  <c r="V4772"/>
  <c r="V4773"/>
  <c r="V4774"/>
  <c r="V4775"/>
  <c r="V4776"/>
  <c r="V4777"/>
  <c r="V4778"/>
  <c r="V4779"/>
  <c r="V4780"/>
  <c r="V4781"/>
  <c r="V4782"/>
  <c r="V4783"/>
  <c r="V4784"/>
  <c r="V4785"/>
  <c r="V4786"/>
  <c r="V4787"/>
  <c r="V4788"/>
  <c r="V4789"/>
  <c r="V4790"/>
  <c r="V4791"/>
  <c r="V4792"/>
  <c r="V4793"/>
  <c r="V4794"/>
  <c r="V4795"/>
  <c r="V4796"/>
  <c r="V4797"/>
  <c r="V4798"/>
  <c r="V4799"/>
  <c r="V4800"/>
  <c r="V4801"/>
  <c r="V4802"/>
  <c r="V4803"/>
  <c r="V4804"/>
  <c r="V4805"/>
  <c r="V4806"/>
  <c r="V4807"/>
  <c r="V4808"/>
  <c r="V4809"/>
  <c r="V4810"/>
  <c r="V4811"/>
  <c r="V4812"/>
  <c r="V4813"/>
  <c r="V4814"/>
  <c r="V4815"/>
  <c r="V4816"/>
  <c r="V4817"/>
  <c r="V4818"/>
  <c r="V4819"/>
  <c r="V4820"/>
  <c r="V4821"/>
  <c r="V4822"/>
  <c r="V4823"/>
  <c r="V4824"/>
  <c r="V4825"/>
  <c r="V4826"/>
  <c r="V4827"/>
  <c r="V4828"/>
  <c r="V4829"/>
  <c r="V4830"/>
  <c r="V4831"/>
  <c r="V4832"/>
  <c r="V4833"/>
  <c r="V4834"/>
  <c r="V4835"/>
  <c r="V4836"/>
  <c r="V4837"/>
  <c r="V4838"/>
  <c r="V4839"/>
  <c r="V4840"/>
  <c r="V4841"/>
  <c r="V4842"/>
  <c r="V4843"/>
  <c r="V4844"/>
  <c r="V4845"/>
  <c r="V4846"/>
  <c r="V4847"/>
  <c r="V4848"/>
  <c r="V4849"/>
  <c r="V4850"/>
  <c r="V4851"/>
  <c r="V4852"/>
  <c r="V4853"/>
  <c r="V4854"/>
  <c r="V4855"/>
  <c r="V4856"/>
  <c r="V4857"/>
  <c r="V4858"/>
  <c r="V4859"/>
  <c r="V4860"/>
  <c r="V4861"/>
  <c r="V4862"/>
  <c r="V4863"/>
  <c r="V4864"/>
  <c r="V4865"/>
  <c r="V4866"/>
  <c r="V4867"/>
  <c r="V4868"/>
  <c r="V4869"/>
  <c r="V4870"/>
  <c r="V4871"/>
  <c r="V4872"/>
  <c r="V4873"/>
  <c r="V4874"/>
  <c r="V4875"/>
  <c r="V4876"/>
  <c r="V4877"/>
  <c r="V4878"/>
  <c r="V4879"/>
  <c r="V4880"/>
  <c r="V4881"/>
  <c r="V4882"/>
  <c r="V4883"/>
  <c r="V4884"/>
  <c r="V4885"/>
  <c r="V4886"/>
  <c r="V4887"/>
  <c r="V4888"/>
  <c r="V4889"/>
  <c r="V4890"/>
  <c r="V4891"/>
  <c r="V4892"/>
  <c r="V4893"/>
  <c r="V4894"/>
  <c r="V4895"/>
  <c r="V4896"/>
  <c r="V4897"/>
  <c r="V4898"/>
  <c r="V4899"/>
  <c r="V4900"/>
  <c r="V4901"/>
  <c r="V4902"/>
  <c r="V4903"/>
  <c r="V4904"/>
  <c r="V4905"/>
  <c r="V4906"/>
  <c r="V4907"/>
  <c r="V4908"/>
  <c r="V4909"/>
  <c r="V4910"/>
  <c r="V4911"/>
  <c r="V4912"/>
  <c r="V4913"/>
  <c r="V4914"/>
  <c r="V4915"/>
  <c r="V4916"/>
  <c r="V4917"/>
  <c r="V4918"/>
  <c r="V4919"/>
  <c r="V4920"/>
  <c r="V4921"/>
  <c r="V4922"/>
  <c r="V4923"/>
  <c r="V4924"/>
  <c r="V4925"/>
  <c r="V4926"/>
  <c r="V4927"/>
  <c r="V4928"/>
  <c r="V4929"/>
  <c r="V4930"/>
  <c r="V4931"/>
  <c r="V4932"/>
  <c r="V4933"/>
  <c r="V4934"/>
  <c r="V4935"/>
  <c r="V4936"/>
  <c r="V4937"/>
  <c r="V4938"/>
  <c r="V4939"/>
  <c r="V4940"/>
  <c r="V4941"/>
  <c r="V4942"/>
  <c r="V4943"/>
  <c r="V4944"/>
  <c r="V4945"/>
  <c r="V4946"/>
  <c r="V4947"/>
  <c r="V4948"/>
  <c r="V4949"/>
  <c r="V4950"/>
  <c r="V4951"/>
  <c r="V4952"/>
  <c r="V4953"/>
  <c r="V4954"/>
  <c r="V4955"/>
  <c r="V4956"/>
  <c r="V4957"/>
  <c r="V4958"/>
  <c r="V4959"/>
  <c r="V4960"/>
  <c r="V4961"/>
  <c r="V4962"/>
  <c r="V4963"/>
  <c r="V4964"/>
  <c r="V4965"/>
  <c r="V4966"/>
  <c r="V4967"/>
  <c r="V4968"/>
  <c r="V4969"/>
  <c r="V4970"/>
  <c r="V4971"/>
  <c r="V4972"/>
  <c r="V4973"/>
  <c r="V4974"/>
  <c r="V4975"/>
  <c r="V4976"/>
  <c r="V4977"/>
  <c r="V4978"/>
  <c r="V4979"/>
  <c r="V4980"/>
  <c r="V4981"/>
  <c r="V4982"/>
  <c r="V4983"/>
  <c r="V4984"/>
  <c r="V4985"/>
  <c r="V4986"/>
  <c r="V4987"/>
  <c r="V4988"/>
  <c r="V4989"/>
  <c r="V4990"/>
  <c r="V4991"/>
  <c r="V4992"/>
  <c r="V4993"/>
  <c r="V4994"/>
  <c r="V4995"/>
  <c r="V4996"/>
  <c r="V4997"/>
  <c r="V4998"/>
  <c r="V4999"/>
  <c r="V5000"/>
  <c r="V5001"/>
  <c r="V5002"/>
  <c r="V5003"/>
  <c r="V5004"/>
  <c r="V5005"/>
  <c r="V5006"/>
  <c r="V5007"/>
  <c r="V5008"/>
  <c r="V5009"/>
  <c r="V5010"/>
  <c r="V5011"/>
  <c r="V5012"/>
  <c r="V5013"/>
  <c r="V5014"/>
  <c r="V5015"/>
  <c r="V5016"/>
  <c r="V5017"/>
  <c r="V5018"/>
  <c r="V5019"/>
  <c r="V5020"/>
  <c r="V5021"/>
  <c r="V5022"/>
  <c r="V5023"/>
  <c r="V5024"/>
  <c r="V5025"/>
  <c r="V5026"/>
  <c r="V5027"/>
  <c r="V5028"/>
  <c r="V5029"/>
  <c r="V5030"/>
  <c r="V5031"/>
  <c r="V5032"/>
  <c r="V5033"/>
  <c r="V5034"/>
  <c r="V5035"/>
  <c r="V5036"/>
  <c r="V5037"/>
  <c r="V5038"/>
  <c r="V5039"/>
  <c r="V5040"/>
  <c r="V5041"/>
  <c r="V5042"/>
  <c r="V5043"/>
  <c r="V5044"/>
  <c r="V5045"/>
  <c r="V5046"/>
  <c r="V5047"/>
  <c r="V5048"/>
  <c r="V5049"/>
  <c r="V5050"/>
  <c r="V5051"/>
  <c r="V5052"/>
  <c r="V5053"/>
  <c r="V5054"/>
  <c r="V5055"/>
  <c r="V5056"/>
  <c r="V5057"/>
  <c r="V5058"/>
  <c r="V5059"/>
  <c r="V5060"/>
  <c r="V5061"/>
  <c r="V5062"/>
  <c r="V5063"/>
  <c r="V5064"/>
  <c r="V5065"/>
  <c r="V5066"/>
  <c r="V5067"/>
  <c r="V5068"/>
  <c r="V5069"/>
  <c r="V5070"/>
  <c r="V5071"/>
  <c r="V5072"/>
  <c r="V5073"/>
  <c r="V5074"/>
  <c r="V5075"/>
  <c r="V5076"/>
  <c r="V5077"/>
  <c r="V5078"/>
  <c r="V5079"/>
  <c r="V5080"/>
  <c r="V5081"/>
  <c r="V5082"/>
  <c r="V5083"/>
  <c r="V5084"/>
  <c r="V5085"/>
  <c r="V5086"/>
  <c r="V5087"/>
  <c r="V5088"/>
  <c r="V5089"/>
  <c r="V5090"/>
  <c r="V5091"/>
  <c r="V5092"/>
  <c r="V5093"/>
  <c r="V5094"/>
  <c r="V5095"/>
  <c r="V5096"/>
  <c r="V5097"/>
  <c r="V5098"/>
  <c r="V5099"/>
  <c r="V5100"/>
  <c r="V5101"/>
  <c r="V5102"/>
  <c r="V5103"/>
  <c r="V5104"/>
  <c r="V5105"/>
  <c r="V5106"/>
  <c r="V5107"/>
  <c r="V5108"/>
  <c r="V5109"/>
  <c r="V5110"/>
  <c r="V5111"/>
  <c r="V5112"/>
  <c r="V5113"/>
  <c r="V5114"/>
  <c r="V5115"/>
  <c r="V5116"/>
  <c r="V5117"/>
  <c r="V5118"/>
  <c r="V5119"/>
  <c r="V5120"/>
  <c r="V5121"/>
  <c r="V5122"/>
  <c r="V5123"/>
  <c r="V5124"/>
  <c r="V5125"/>
  <c r="V5126"/>
  <c r="V5127"/>
  <c r="V5128"/>
  <c r="V5129"/>
  <c r="V5130"/>
  <c r="V5131"/>
  <c r="V5132"/>
  <c r="V5133"/>
  <c r="V5134"/>
  <c r="V5135"/>
  <c r="V5136"/>
  <c r="V5137"/>
  <c r="V5138"/>
  <c r="V5139"/>
  <c r="V5140"/>
  <c r="V5141"/>
  <c r="V5142"/>
  <c r="V5143"/>
  <c r="V5144"/>
  <c r="V5145"/>
  <c r="V5146"/>
  <c r="V5147"/>
  <c r="V5148"/>
  <c r="V5149"/>
  <c r="V5150"/>
  <c r="V5151"/>
  <c r="V5152"/>
  <c r="V5153"/>
  <c r="V5154"/>
  <c r="V5155"/>
  <c r="V5156"/>
  <c r="V5157"/>
  <c r="V5158"/>
  <c r="V5159"/>
  <c r="V5160"/>
  <c r="V5161"/>
  <c r="V5162"/>
  <c r="V5163"/>
  <c r="W2"/>
  <c r="W3"/>
  <c r="W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W1319"/>
  <c r="W1320"/>
  <c r="W1321"/>
  <c r="W1322"/>
  <c r="W1323"/>
  <c r="W1324"/>
  <c r="W1325"/>
  <c r="W1326"/>
  <c r="W1327"/>
  <c r="W1328"/>
  <c r="W1329"/>
  <c r="W1330"/>
  <c r="W1331"/>
  <c r="W1332"/>
  <c r="W1333"/>
  <c r="W1334"/>
  <c r="W1335"/>
  <c r="W1336"/>
  <c r="W1337"/>
  <c r="W1338"/>
  <c r="W1339"/>
  <c r="W1340"/>
  <c r="W1341"/>
  <c r="W1342"/>
  <c r="W1343"/>
  <c r="W1344"/>
  <c r="W1345"/>
  <c r="W1346"/>
  <c r="W1347"/>
  <c r="W1348"/>
  <c r="W1349"/>
  <c r="W1350"/>
  <c r="W1351"/>
  <c r="W1352"/>
  <c r="W1353"/>
  <c r="W1354"/>
  <c r="W1355"/>
  <c r="W1356"/>
  <c r="W1357"/>
  <c r="W1358"/>
  <c r="W1359"/>
  <c r="W1360"/>
  <c r="W1361"/>
  <c r="W1362"/>
  <c r="W1363"/>
  <c r="W1364"/>
  <c r="W1365"/>
  <c r="W1366"/>
  <c r="W1367"/>
  <c r="W1368"/>
  <c r="W1369"/>
  <c r="W1370"/>
  <c r="W1371"/>
  <c r="W1372"/>
  <c r="W1373"/>
  <c r="W1374"/>
  <c r="W1375"/>
  <c r="W1376"/>
  <c r="W1377"/>
  <c r="W1378"/>
  <c r="W1379"/>
  <c r="W1380"/>
  <c r="W1381"/>
  <c r="W1382"/>
  <c r="W1383"/>
  <c r="W1384"/>
  <c r="W1385"/>
  <c r="W1386"/>
  <c r="W1387"/>
  <c r="W1388"/>
  <c r="W1389"/>
  <c r="W1390"/>
  <c r="W1391"/>
  <c r="W1392"/>
  <c r="W1393"/>
  <c r="W1394"/>
  <c r="W1395"/>
  <c r="W1396"/>
  <c r="W1397"/>
  <c r="W1398"/>
  <c r="W1399"/>
  <c r="W1400"/>
  <c r="W1401"/>
  <c r="W1402"/>
  <c r="W1403"/>
  <c r="W1404"/>
  <c r="W1405"/>
  <c r="W1406"/>
  <c r="W1407"/>
  <c r="W1408"/>
  <c r="W1409"/>
  <c r="W1410"/>
  <c r="W1411"/>
  <c r="W1412"/>
  <c r="W1413"/>
  <c r="W1414"/>
  <c r="W1415"/>
  <c r="W1416"/>
  <c r="W1417"/>
  <c r="W1418"/>
  <c r="W1419"/>
  <c r="W1420"/>
  <c r="W1421"/>
  <c r="W1422"/>
  <c r="W1423"/>
  <c r="W1424"/>
  <c r="W1425"/>
  <c r="W1426"/>
  <c r="W1427"/>
  <c r="W1428"/>
  <c r="W1429"/>
  <c r="W1430"/>
  <c r="W1431"/>
  <c r="W1432"/>
  <c r="W1433"/>
  <c r="W1434"/>
  <c r="W1435"/>
  <c r="W1436"/>
  <c r="W1437"/>
  <c r="W1438"/>
  <c r="W1439"/>
  <c r="W1440"/>
  <c r="W1441"/>
  <c r="W1442"/>
  <c r="W1443"/>
  <c r="W1444"/>
  <c r="W1445"/>
  <c r="W1446"/>
  <c r="W1447"/>
  <c r="W1448"/>
  <c r="W1449"/>
  <c r="W1450"/>
  <c r="W1451"/>
  <c r="W1452"/>
  <c r="W1453"/>
  <c r="W1454"/>
  <c r="W1455"/>
  <c r="W1456"/>
  <c r="W1457"/>
  <c r="W1458"/>
  <c r="W1459"/>
  <c r="W1460"/>
  <c r="W1461"/>
  <c r="W1462"/>
  <c r="W1463"/>
  <c r="W1464"/>
  <c r="W1465"/>
  <c r="W1466"/>
  <c r="W1467"/>
  <c r="W1468"/>
  <c r="W1469"/>
  <c r="W1470"/>
  <c r="W1471"/>
  <c r="W1472"/>
  <c r="W1473"/>
  <c r="W1474"/>
  <c r="W1475"/>
  <c r="W1476"/>
  <c r="W1477"/>
  <c r="W1478"/>
  <c r="W1479"/>
  <c r="W1480"/>
  <c r="W1481"/>
  <c r="W1482"/>
  <c r="W1483"/>
  <c r="W1484"/>
  <c r="W1485"/>
  <c r="W1486"/>
  <c r="W1487"/>
  <c r="W1488"/>
  <c r="W1489"/>
  <c r="W1490"/>
  <c r="W1491"/>
  <c r="W1492"/>
  <c r="W1493"/>
  <c r="W1494"/>
  <c r="W1495"/>
  <c r="W1496"/>
  <c r="W1497"/>
  <c r="W1498"/>
  <c r="W1499"/>
  <c r="W1500"/>
  <c r="W1501"/>
  <c r="W1502"/>
  <c r="W1503"/>
  <c r="W1504"/>
  <c r="W1505"/>
  <c r="W1506"/>
  <c r="W1507"/>
  <c r="W1508"/>
  <c r="W1509"/>
  <c r="W1510"/>
  <c r="W1511"/>
  <c r="W1512"/>
  <c r="W1513"/>
  <c r="W1514"/>
  <c r="W1515"/>
  <c r="W1516"/>
  <c r="W1517"/>
  <c r="W1518"/>
  <c r="W1519"/>
  <c r="W1520"/>
  <c r="W1521"/>
  <c r="W1522"/>
  <c r="W1523"/>
  <c r="W1524"/>
  <c r="W1525"/>
  <c r="W1526"/>
  <c r="W1527"/>
  <c r="W1528"/>
  <c r="W1529"/>
  <c r="W1530"/>
  <c r="W1531"/>
  <c r="W1532"/>
  <c r="W1533"/>
  <c r="W1534"/>
  <c r="W1535"/>
  <c r="W1536"/>
  <c r="W1537"/>
  <c r="W1538"/>
  <c r="W1539"/>
  <c r="W1540"/>
  <c r="W1541"/>
  <c r="W1542"/>
  <c r="W1543"/>
  <c r="W1544"/>
  <c r="W1545"/>
  <c r="W1546"/>
  <c r="W1547"/>
  <c r="W1548"/>
  <c r="W1549"/>
  <c r="W1550"/>
  <c r="W1551"/>
  <c r="W1552"/>
  <c r="W1553"/>
  <c r="W1554"/>
  <c r="W1555"/>
  <c r="W1556"/>
  <c r="W1557"/>
  <c r="W1558"/>
  <c r="W1559"/>
  <c r="W1560"/>
  <c r="W1561"/>
  <c r="W1562"/>
  <c r="W1563"/>
  <c r="W1564"/>
  <c r="W1565"/>
  <c r="W1566"/>
  <c r="W1567"/>
  <c r="W1568"/>
  <c r="W1569"/>
  <c r="W1570"/>
  <c r="W1571"/>
  <c r="W1572"/>
  <c r="W1573"/>
  <c r="W1574"/>
  <c r="W1575"/>
  <c r="W1576"/>
  <c r="W1577"/>
  <c r="W1578"/>
  <c r="W1579"/>
  <c r="W1580"/>
  <c r="W1581"/>
  <c r="W1582"/>
  <c r="W1583"/>
  <c r="W1584"/>
  <c r="W1585"/>
  <c r="W1586"/>
  <c r="W1587"/>
  <c r="W1588"/>
  <c r="W1589"/>
  <c r="W1590"/>
  <c r="W1591"/>
  <c r="W1592"/>
  <c r="W1593"/>
  <c r="W1594"/>
  <c r="W1595"/>
  <c r="W1596"/>
  <c r="W1597"/>
  <c r="W1598"/>
  <c r="W1599"/>
  <c r="W1600"/>
  <c r="W1601"/>
  <c r="W1602"/>
  <c r="W1603"/>
  <c r="W1604"/>
  <c r="W1605"/>
  <c r="W1606"/>
  <c r="W1607"/>
  <c r="W1608"/>
  <c r="W1609"/>
  <c r="W1610"/>
  <c r="W1611"/>
  <c r="W1612"/>
  <c r="W1613"/>
  <c r="W1614"/>
  <c r="W1615"/>
  <c r="W1616"/>
  <c r="W1617"/>
  <c r="W1618"/>
  <c r="W1619"/>
  <c r="W1620"/>
  <c r="W1621"/>
  <c r="W1622"/>
  <c r="W1623"/>
  <c r="W1624"/>
  <c r="W1625"/>
  <c r="W1626"/>
  <c r="W1627"/>
  <c r="W1628"/>
  <c r="W1629"/>
  <c r="W1630"/>
  <c r="W1631"/>
  <c r="W1632"/>
  <c r="W1633"/>
  <c r="W1634"/>
  <c r="W1635"/>
  <c r="W1636"/>
  <c r="W1637"/>
  <c r="W1638"/>
  <c r="W1639"/>
  <c r="W1640"/>
  <c r="W1641"/>
  <c r="W1642"/>
  <c r="W1643"/>
  <c r="W1644"/>
  <c r="W1645"/>
  <c r="W1646"/>
  <c r="W1647"/>
  <c r="W1648"/>
  <c r="W1649"/>
  <c r="W1650"/>
  <c r="W1651"/>
  <c r="W1652"/>
  <c r="W1653"/>
  <c r="W1654"/>
  <c r="W1655"/>
  <c r="W1656"/>
  <c r="W1657"/>
  <c r="W1658"/>
  <c r="W1659"/>
  <c r="W1660"/>
  <c r="W1661"/>
  <c r="W1662"/>
  <c r="W1663"/>
  <c r="W1664"/>
  <c r="W1665"/>
  <c r="W1666"/>
  <c r="W1667"/>
  <c r="W1668"/>
  <c r="W1669"/>
  <c r="W1670"/>
  <c r="W1671"/>
  <c r="W1672"/>
  <c r="W1673"/>
  <c r="W1674"/>
  <c r="W1675"/>
  <c r="W1676"/>
  <c r="W1677"/>
  <c r="W1678"/>
  <c r="W1679"/>
  <c r="W1680"/>
  <c r="W1681"/>
  <c r="W1682"/>
  <c r="W1683"/>
  <c r="W1684"/>
  <c r="W1685"/>
  <c r="W1686"/>
  <c r="W1687"/>
  <c r="W1688"/>
  <c r="W1689"/>
  <c r="W1690"/>
  <c r="W1691"/>
  <c r="W1692"/>
  <c r="W1693"/>
  <c r="W1694"/>
  <c r="W1695"/>
  <c r="W1696"/>
  <c r="W1697"/>
  <c r="W1698"/>
  <c r="W1699"/>
  <c r="W1700"/>
  <c r="W1701"/>
  <c r="W1702"/>
  <c r="W1703"/>
  <c r="W1704"/>
  <c r="W1705"/>
  <c r="W1706"/>
  <c r="W1707"/>
  <c r="W1708"/>
  <c r="W1709"/>
  <c r="W1710"/>
  <c r="W1711"/>
  <c r="W1712"/>
  <c r="W1713"/>
  <c r="W1714"/>
  <c r="W1715"/>
  <c r="W1716"/>
  <c r="W1717"/>
  <c r="W1718"/>
  <c r="W1719"/>
  <c r="W1720"/>
  <c r="W1721"/>
  <c r="W1722"/>
  <c r="W1723"/>
  <c r="W1724"/>
  <c r="W1725"/>
  <c r="W1726"/>
  <c r="W1727"/>
  <c r="W1728"/>
  <c r="W1729"/>
  <c r="W1730"/>
  <c r="W1731"/>
  <c r="W1732"/>
  <c r="W1733"/>
  <c r="W1734"/>
  <c r="W1735"/>
  <c r="W1736"/>
  <c r="W1737"/>
  <c r="W1738"/>
  <c r="W1739"/>
  <c r="W1740"/>
  <c r="W1741"/>
  <c r="W1742"/>
  <c r="W1743"/>
  <c r="W1744"/>
  <c r="W1745"/>
  <c r="W1746"/>
  <c r="W1747"/>
  <c r="W1748"/>
  <c r="W1749"/>
  <c r="W1750"/>
  <c r="W1751"/>
  <c r="W1752"/>
  <c r="W1753"/>
  <c r="W1754"/>
  <c r="W1755"/>
  <c r="W1756"/>
  <c r="W1757"/>
  <c r="W1758"/>
  <c r="W1759"/>
  <c r="W1760"/>
  <c r="W1761"/>
  <c r="W1762"/>
  <c r="W1763"/>
  <c r="W1764"/>
  <c r="W1765"/>
  <c r="W1766"/>
  <c r="W1767"/>
  <c r="W1768"/>
  <c r="W1769"/>
  <c r="W1770"/>
  <c r="W1771"/>
  <c r="W1772"/>
  <c r="W1773"/>
  <c r="W1774"/>
  <c r="W1775"/>
  <c r="W1776"/>
  <c r="W1777"/>
  <c r="W1778"/>
  <c r="W1779"/>
  <c r="W1780"/>
  <c r="W1781"/>
  <c r="W1782"/>
  <c r="W1783"/>
  <c r="W1784"/>
  <c r="W1785"/>
  <c r="W1786"/>
  <c r="W1787"/>
  <c r="W1788"/>
  <c r="W1789"/>
  <c r="W1790"/>
  <c r="W1791"/>
  <c r="W1792"/>
  <c r="W1793"/>
  <c r="W1794"/>
  <c r="W1795"/>
  <c r="W1796"/>
  <c r="W1797"/>
  <c r="W1798"/>
  <c r="W1799"/>
  <c r="W1800"/>
  <c r="W1801"/>
  <c r="W1802"/>
  <c r="W1803"/>
  <c r="W1804"/>
  <c r="W1805"/>
  <c r="W1806"/>
  <c r="W1807"/>
  <c r="W1808"/>
  <c r="W1809"/>
  <c r="W1810"/>
  <c r="W1811"/>
  <c r="W1812"/>
  <c r="W1813"/>
  <c r="W1814"/>
  <c r="W1815"/>
  <c r="W1816"/>
  <c r="W1817"/>
  <c r="W1818"/>
  <c r="W1819"/>
  <c r="W1820"/>
  <c r="W1821"/>
  <c r="W1822"/>
  <c r="W1823"/>
  <c r="W1824"/>
  <c r="W1825"/>
  <c r="W1826"/>
  <c r="W1827"/>
  <c r="W1828"/>
  <c r="W1829"/>
  <c r="W1830"/>
  <c r="W1831"/>
  <c r="W1832"/>
  <c r="W1833"/>
  <c r="W1834"/>
  <c r="W1835"/>
  <c r="W1836"/>
  <c r="W1837"/>
  <c r="W1838"/>
  <c r="W1839"/>
  <c r="W1840"/>
  <c r="W1841"/>
  <c r="W1842"/>
  <c r="W1843"/>
  <c r="W1844"/>
  <c r="W1845"/>
  <c r="W1846"/>
  <c r="W1847"/>
  <c r="W1848"/>
  <c r="W1849"/>
  <c r="W1850"/>
  <c r="W1851"/>
  <c r="W1852"/>
  <c r="W1853"/>
  <c r="W1854"/>
  <c r="W1855"/>
  <c r="W1856"/>
  <c r="W1857"/>
  <c r="W1858"/>
  <c r="W1859"/>
  <c r="W1860"/>
  <c r="W1861"/>
  <c r="W1862"/>
  <c r="W1863"/>
  <c r="W1864"/>
  <c r="W1865"/>
  <c r="W1866"/>
  <c r="W1867"/>
  <c r="W1868"/>
  <c r="W1869"/>
  <c r="W1870"/>
  <c r="W1871"/>
  <c r="W1872"/>
  <c r="W1873"/>
  <c r="W1874"/>
  <c r="W1875"/>
  <c r="W1876"/>
  <c r="W1877"/>
  <c r="W1878"/>
  <c r="W1879"/>
  <c r="W1880"/>
  <c r="W1881"/>
  <c r="W1882"/>
  <c r="W1883"/>
  <c r="W1884"/>
  <c r="W1885"/>
  <c r="W1886"/>
  <c r="W1887"/>
  <c r="W1888"/>
  <c r="W1889"/>
  <c r="W1890"/>
  <c r="W1891"/>
  <c r="W1892"/>
  <c r="W1893"/>
  <c r="W1894"/>
  <c r="W1895"/>
  <c r="W1896"/>
  <c r="W1897"/>
  <c r="W1898"/>
  <c r="W1899"/>
  <c r="W1900"/>
  <c r="W1901"/>
  <c r="W1902"/>
  <c r="W1903"/>
  <c r="W1904"/>
  <c r="W1905"/>
  <c r="W1906"/>
  <c r="W1907"/>
  <c r="W1908"/>
  <c r="W1909"/>
  <c r="W1910"/>
  <c r="W1911"/>
  <c r="W1912"/>
  <c r="W1913"/>
  <c r="W1914"/>
  <c r="W1915"/>
  <c r="W1916"/>
  <c r="W1917"/>
  <c r="W1918"/>
  <c r="W1919"/>
  <c r="W1920"/>
  <c r="W1921"/>
  <c r="W1922"/>
  <c r="W1923"/>
  <c r="W1924"/>
  <c r="W1925"/>
  <c r="W1926"/>
  <c r="W1927"/>
  <c r="W1928"/>
  <c r="W1929"/>
  <c r="W1930"/>
  <c r="W1931"/>
  <c r="W1932"/>
  <c r="W1933"/>
  <c r="W1934"/>
  <c r="W1935"/>
  <c r="W1936"/>
  <c r="W1937"/>
  <c r="W1938"/>
  <c r="W1939"/>
  <c r="W1940"/>
  <c r="W1941"/>
  <c r="W1942"/>
  <c r="W1943"/>
  <c r="W1944"/>
  <c r="W1945"/>
  <c r="W1946"/>
  <c r="W1947"/>
  <c r="W1948"/>
  <c r="W1949"/>
  <c r="W1950"/>
  <c r="W1951"/>
  <c r="W1952"/>
  <c r="W1953"/>
  <c r="W1954"/>
  <c r="W1955"/>
  <c r="W1956"/>
  <c r="W1957"/>
  <c r="W1958"/>
  <c r="W1959"/>
  <c r="W1960"/>
  <c r="W1961"/>
  <c r="W1962"/>
  <c r="W1963"/>
  <c r="W1964"/>
  <c r="W1965"/>
  <c r="W1966"/>
  <c r="W1967"/>
  <c r="W1968"/>
  <c r="W1969"/>
  <c r="W1970"/>
  <c r="W1971"/>
  <c r="W1972"/>
  <c r="W1973"/>
  <c r="W1974"/>
  <c r="W1975"/>
  <c r="W1976"/>
  <c r="W1977"/>
  <c r="W1978"/>
  <c r="W1979"/>
  <c r="W1980"/>
  <c r="W1981"/>
  <c r="W1982"/>
  <c r="W1983"/>
  <c r="W1984"/>
  <c r="W1985"/>
  <c r="W1986"/>
  <c r="W1987"/>
  <c r="W1988"/>
  <c r="W1989"/>
  <c r="W1990"/>
  <c r="W1991"/>
  <c r="W1992"/>
  <c r="W1993"/>
  <c r="W1994"/>
  <c r="W1995"/>
  <c r="W1996"/>
  <c r="W1997"/>
  <c r="W1998"/>
  <c r="W1999"/>
  <c r="W2000"/>
  <c r="W2001"/>
  <c r="W2002"/>
  <c r="W2003"/>
  <c r="W2004"/>
  <c r="W2005"/>
  <c r="W2006"/>
  <c r="W2007"/>
  <c r="W2008"/>
  <c r="W2009"/>
  <c r="W2010"/>
  <c r="W2011"/>
  <c r="W2012"/>
  <c r="W2013"/>
  <c r="W2014"/>
  <c r="W2015"/>
  <c r="W2016"/>
  <c r="W2017"/>
  <c r="W2018"/>
  <c r="W2019"/>
  <c r="W2020"/>
  <c r="W2021"/>
  <c r="W2022"/>
  <c r="W2023"/>
  <c r="W2024"/>
  <c r="W2025"/>
  <c r="W2026"/>
  <c r="W2027"/>
  <c r="W2028"/>
  <c r="W2029"/>
  <c r="W2030"/>
  <c r="W2031"/>
  <c r="W2032"/>
  <c r="W2033"/>
  <c r="W2034"/>
  <c r="W2035"/>
  <c r="W2036"/>
  <c r="W2037"/>
  <c r="W2038"/>
  <c r="W2039"/>
  <c r="W2040"/>
  <c r="W2041"/>
  <c r="W2042"/>
  <c r="W2043"/>
  <c r="W2044"/>
  <c r="W2045"/>
  <c r="W2046"/>
  <c r="W2047"/>
  <c r="W2048"/>
  <c r="W2049"/>
  <c r="W2050"/>
  <c r="W2051"/>
  <c r="W2052"/>
  <c r="W2053"/>
  <c r="W2054"/>
  <c r="W2055"/>
  <c r="W2056"/>
  <c r="W2057"/>
  <c r="W2058"/>
  <c r="W2059"/>
  <c r="W2060"/>
  <c r="W2061"/>
  <c r="W2062"/>
  <c r="W2063"/>
  <c r="W2064"/>
  <c r="W2065"/>
  <c r="W2066"/>
  <c r="W2067"/>
  <c r="W2068"/>
  <c r="W2069"/>
  <c r="W2070"/>
  <c r="W2071"/>
  <c r="W2072"/>
  <c r="W2073"/>
  <c r="W2074"/>
  <c r="W2075"/>
  <c r="W2076"/>
  <c r="W2077"/>
  <c r="W2078"/>
  <c r="W2079"/>
  <c r="W2080"/>
  <c r="W2081"/>
  <c r="W2082"/>
  <c r="W2083"/>
  <c r="W2084"/>
  <c r="W2085"/>
  <c r="W2086"/>
  <c r="W2087"/>
  <c r="W2088"/>
  <c r="W2089"/>
  <c r="W2090"/>
  <c r="W2091"/>
  <c r="W2092"/>
  <c r="W2093"/>
  <c r="W2094"/>
  <c r="W2095"/>
  <c r="W2096"/>
  <c r="W2097"/>
  <c r="W2098"/>
  <c r="W2099"/>
  <c r="W2100"/>
  <c r="W2101"/>
  <c r="W2102"/>
  <c r="W2103"/>
  <c r="W2104"/>
  <c r="W2105"/>
  <c r="W2106"/>
  <c r="W2107"/>
  <c r="W2108"/>
  <c r="W2109"/>
  <c r="W2110"/>
  <c r="W2111"/>
  <c r="W2112"/>
  <c r="W2113"/>
  <c r="W2114"/>
  <c r="W2115"/>
  <c r="W2116"/>
  <c r="W2117"/>
  <c r="W2118"/>
  <c r="W2119"/>
  <c r="W2120"/>
  <c r="W2121"/>
  <c r="W2122"/>
  <c r="W2123"/>
  <c r="W2124"/>
  <c r="W2125"/>
  <c r="W2126"/>
  <c r="W2127"/>
  <c r="W2128"/>
  <c r="W2129"/>
  <c r="W2130"/>
  <c r="W2131"/>
  <c r="W2132"/>
  <c r="W2133"/>
  <c r="W2134"/>
  <c r="W2135"/>
  <c r="W2136"/>
  <c r="W2137"/>
  <c r="W2138"/>
  <c r="W2139"/>
  <c r="W2140"/>
  <c r="W2141"/>
  <c r="W2142"/>
  <c r="W2143"/>
  <c r="W2144"/>
  <c r="W2145"/>
  <c r="W2146"/>
  <c r="W2147"/>
  <c r="W2148"/>
  <c r="W2149"/>
  <c r="W2150"/>
  <c r="W2151"/>
  <c r="W2152"/>
  <c r="W2153"/>
  <c r="W2154"/>
  <c r="W2155"/>
  <c r="W2156"/>
  <c r="W2157"/>
  <c r="W2158"/>
  <c r="W2159"/>
  <c r="W2160"/>
  <c r="W2161"/>
  <c r="W2162"/>
  <c r="W2163"/>
  <c r="W2164"/>
  <c r="W2165"/>
  <c r="W2166"/>
  <c r="W2167"/>
  <c r="W2168"/>
  <c r="W2169"/>
  <c r="W2170"/>
  <c r="W2171"/>
  <c r="W2172"/>
  <c r="W2173"/>
  <c r="W2174"/>
  <c r="W2175"/>
  <c r="W2176"/>
  <c r="W2177"/>
  <c r="W2178"/>
  <c r="W2179"/>
  <c r="W2180"/>
  <c r="W2181"/>
  <c r="W2182"/>
  <c r="W2183"/>
  <c r="W2184"/>
  <c r="W2185"/>
  <c r="W2186"/>
  <c r="W2187"/>
  <c r="W2188"/>
  <c r="W2189"/>
  <c r="W2190"/>
  <c r="W2191"/>
  <c r="W2192"/>
  <c r="W2193"/>
  <c r="W2194"/>
  <c r="W2195"/>
  <c r="W2196"/>
  <c r="W2197"/>
  <c r="W2198"/>
  <c r="W2199"/>
  <c r="W2200"/>
  <c r="W2201"/>
  <c r="W2202"/>
  <c r="W2203"/>
  <c r="W2204"/>
  <c r="W2205"/>
  <c r="W2206"/>
  <c r="W2207"/>
  <c r="W2208"/>
  <c r="W2209"/>
  <c r="W2210"/>
  <c r="W2211"/>
  <c r="W2212"/>
  <c r="W2213"/>
  <c r="W2214"/>
  <c r="W2215"/>
  <c r="W2216"/>
  <c r="W2217"/>
  <c r="W2218"/>
  <c r="W2219"/>
  <c r="W2220"/>
  <c r="W2221"/>
  <c r="W2222"/>
  <c r="W2223"/>
  <c r="W2224"/>
  <c r="W2225"/>
  <c r="W2226"/>
  <c r="W2227"/>
  <c r="W2228"/>
  <c r="W2229"/>
  <c r="W2230"/>
  <c r="W2231"/>
  <c r="W2232"/>
  <c r="W2233"/>
  <c r="W2234"/>
  <c r="W2235"/>
  <c r="W2236"/>
  <c r="W2237"/>
  <c r="W2238"/>
  <c r="W2239"/>
  <c r="W2240"/>
  <c r="W2241"/>
  <c r="W2242"/>
  <c r="W2243"/>
  <c r="W2244"/>
  <c r="W2245"/>
  <c r="W2246"/>
  <c r="W2247"/>
  <c r="W2248"/>
  <c r="W2249"/>
  <c r="W2250"/>
  <c r="W2251"/>
  <c r="W2252"/>
  <c r="W2253"/>
  <c r="W2254"/>
  <c r="W2255"/>
  <c r="W2256"/>
  <c r="W2257"/>
  <c r="W2258"/>
  <c r="W2259"/>
  <c r="W2260"/>
  <c r="W2261"/>
  <c r="W2262"/>
  <c r="W2263"/>
  <c r="W2264"/>
  <c r="W2265"/>
  <c r="W2266"/>
  <c r="W2267"/>
  <c r="W2268"/>
  <c r="W2269"/>
  <c r="W2270"/>
  <c r="W2271"/>
  <c r="W2272"/>
  <c r="W2273"/>
  <c r="W2274"/>
  <c r="W2275"/>
  <c r="W2276"/>
  <c r="W2277"/>
  <c r="W2278"/>
  <c r="W2279"/>
  <c r="W2280"/>
  <c r="W2281"/>
  <c r="W2282"/>
  <c r="W2283"/>
  <c r="W2284"/>
  <c r="W2285"/>
  <c r="W2286"/>
  <c r="W2287"/>
  <c r="W2288"/>
  <c r="W2289"/>
  <c r="W2290"/>
  <c r="W2291"/>
  <c r="W2292"/>
  <c r="W2293"/>
  <c r="W2294"/>
  <c r="W2295"/>
  <c r="W2296"/>
  <c r="W2297"/>
  <c r="W2298"/>
  <c r="W2299"/>
  <c r="W2300"/>
  <c r="W2301"/>
  <c r="W2302"/>
  <c r="W2303"/>
  <c r="W2304"/>
  <c r="W2305"/>
  <c r="W2306"/>
  <c r="W2307"/>
  <c r="W2308"/>
  <c r="W2309"/>
  <c r="W2310"/>
  <c r="W2311"/>
  <c r="W2312"/>
  <c r="W2313"/>
  <c r="W2314"/>
  <c r="W2315"/>
  <c r="W2316"/>
  <c r="W2317"/>
  <c r="W2318"/>
  <c r="W2319"/>
  <c r="W2320"/>
  <c r="W2321"/>
  <c r="W2322"/>
  <c r="W2323"/>
  <c r="W2324"/>
  <c r="W2325"/>
  <c r="W2326"/>
  <c r="W2327"/>
  <c r="W2328"/>
  <c r="W2329"/>
  <c r="W2330"/>
  <c r="W2331"/>
  <c r="W2332"/>
  <c r="W2333"/>
  <c r="W2334"/>
  <c r="W2335"/>
  <c r="W2336"/>
  <c r="W2337"/>
  <c r="W2338"/>
  <c r="W2339"/>
  <c r="W2340"/>
  <c r="W2341"/>
  <c r="W2342"/>
  <c r="W2343"/>
  <c r="W2344"/>
  <c r="W2345"/>
  <c r="W2346"/>
  <c r="W2347"/>
  <c r="W2348"/>
  <c r="W2349"/>
  <c r="W2350"/>
  <c r="W2351"/>
  <c r="W2352"/>
  <c r="W2353"/>
  <c r="W2354"/>
  <c r="W2355"/>
  <c r="W2356"/>
  <c r="W2357"/>
  <c r="W2358"/>
  <c r="W2359"/>
  <c r="W2360"/>
  <c r="W2361"/>
  <c r="W2362"/>
  <c r="W2363"/>
  <c r="W2364"/>
  <c r="W2365"/>
  <c r="W2366"/>
  <c r="W2367"/>
  <c r="W2368"/>
  <c r="W2369"/>
  <c r="W2370"/>
  <c r="W2371"/>
  <c r="W2372"/>
  <c r="W2373"/>
  <c r="W2374"/>
  <c r="W2375"/>
  <c r="W2376"/>
  <c r="W2377"/>
  <c r="W2378"/>
  <c r="W2379"/>
  <c r="W2380"/>
  <c r="W2381"/>
  <c r="W2382"/>
  <c r="W2383"/>
  <c r="W2384"/>
  <c r="W2385"/>
  <c r="W2386"/>
  <c r="W2387"/>
  <c r="W2388"/>
  <c r="W2389"/>
  <c r="W2390"/>
  <c r="W2391"/>
  <c r="W2392"/>
  <c r="W2393"/>
  <c r="W2394"/>
  <c r="W2395"/>
  <c r="W2396"/>
  <c r="W2397"/>
  <c r="W2398"/>
  <c r="W2399"/>
  <c r="W2400"/>
  <c r="W2401"/>
  <c r="W2402"/>
  <c r="W2403"/>
  <c r="W2404"/>
  <c r="W2405"/>
  <c r="W2406"/>
  <c r="W2407"/>
  <c r="W2408"/>
  <c r="W2409"/>
  <c r="W2410"/>
  <c r="W2411"/>
  <c r="W2412"/>
  <c r="W2413"/>
  <c r="W2414"/>
  <c r="W2415"/>
  <c r="W2416"/>
  <c r="W2417"/>
  <c r="W2418"/>
  <c r="W2419"/>
  <c r="W2420"/>
  <c r="W2421"/>
  <c r="W2422"/>
  <c r="W2423"/>
  <c r="W2424"/>
  <c r="W2425"/>
  <c r="W2426"/>
  <c r="W2427"/>
  <c r="W2428"/>
  <c r="W2429"/>
  <c r="W2430"/>
  <c r="W2431"/>
  <c r="W2432"/>
  <c r="W2433"/>
  <c r="W2434"/>
  <c r="W2435"/>
  <c r="W2436"/>
  <c r="W2437"/>
  <c r="W2438"/>
  <c r="W2439"/>
  <c r="W2440"/>
  <c r="W2441"/>
  <c r="W2442"/>
  <c r="W2443"/>
  <c r="W2444"/>
  <c r="W2445"/>
  <c r="W2446"/>
  <c r="W2447"/>
  <c r="W2448"/>
  <c r="W2449"/>
  <c r="W2450"/>
  <c r="W2451"/>
  <c r="W2452"/>
  <c r="W2453"/>
  <c r="W2454"/>
  <c r="W2455"/>
  <c r="W2456"/>
  <c r="W2457"/>
  <c r="W2458"/>
  <c r="W2459"/>
  <c r="W2460"/>
  <c r="W2461"/>
  <c r="W2462"/>
  <c r="W2463"/>
  <c r="W2464"/>
  <c r="W2465"/>
  <c r="W2466"/>
  <c r="W2467"/>
  <c r="W2468"/>
  <c r="W2469"/>
  <c r="W2470"/>
  <c r="W2471"/>
  <c r="W2472"/>
  <c r="W2473"/>
  <c r="W2474"/>
  <c r="W2475"/>
  <c r="W2476"/>
  <c r="W2477"/>
  <c r="W2478"/>
  <c r="W2479"/>
  <c r="W2480"/>
  <c r="W2481"/>
  <c r="W2482"/>
  <c r="W2483"/>
  <c r="W2484"/>
  <c r="W2485"/>
  <c r="W2486"/>
  <c r="W2487"/>
  <c r="W2488"/>
  <c r="W2489"/>
  <c r="W2490"/>
  <c r="W2491"/>
  <c r="W2492"/>
  <c r="W2493"/>
  <c r="W2494"/>
  <c r="W2495"/>
  <c r="W2496"/>
  <c r="W2497"/>
  <c r="W2498"/>
  <c r="W2499"/>
  <c r="W2500"/>
  <c r="W2501"/>
  <c r="W2502"/>
  <c r="W2503"/>
  <c r="W2504"/>
  <c r="W2505"/>
  <c r="W2506"/>
  <c r="W2507"/>
  <c r="W2508"/>
  <c r="W2509"/>
  <c r="W2510"/>
  <c r="W2511"/>
  <c r="W2512"/>
  <c r="W2513"/>
  <c r="W2514"/>
  <c r="W2515"/>
  <c r="W2516"/>
  <c r="W2517"/>
  <c r="W2518"/>
  <c r="W2519"/>
  <c r="W2520"/>
  <c r="W2521"/>
  <c r="W2522"/>
  <c r="W2523"/>
  <c r="W2524"/>
  <c r="W2525"/>
  <c r="W2526"/>
  <c r="W2527"/>
  <c r="W2528"/>
  <c r="W2529"/>
  <c r="W2530"/>
  <c r="W2531"/>
  <c r="W2532"/>
  <c r="W2533"/>
  <c r="W2534"/>
  <c r="W2535"/>
  <c r="W2536"/>
  <c r="W2537"/>
  <c r="W2538"/>
  <c r="W2539"/>
  <c r="W2540"/>
  <c r="W2541"/>
  <c r="W2542"/>
  <c r="W2543"/>
  <c r="W2544"/>
  <c r="W2545"/>
  <c r="W2546"/>
  <c r="W2547"/>
  <c r="W2548"/>
  <c r="W2549"/>
  <c r="W2550"/>
  <c r="W2551"/>
  <c r="W2552"/>
  <c r="W2553"/>
  <c r="W2554"/>
  <c r="W2555"/>
  <c r="W2556"/>
  <c r="W2557"/>
  <c r="W2558"/>
  <c r="W2559"/>
  <c r="W2560"/>
  <c r="W2561"/>
  <c r="W2562"/>
  <c r="W2563"/>
  <c r="W2564"/>
  <c r="W2565"/>
  <c r="W2566"/>
  <c r="W2567"/>
  <c r="W2568"/>
  <c r="W2569"/>
  <c r="W2570"/>
  <c r="W2571"/>
  <c r="W2572"/>
  <c r="W2573"/>
  <c r="W2574"/>
  <c r="W2575"/>
  <c r="W2576"/>
  <c r="W2577"/>
  <c r="W2578"/>
  <c r="W2579"/>
  <c r="W2580"/>
  <c r="W2581"/>
  <c r="W2582"/>
  <c r="W2583"/>
  <c r="W2584"/>
  <c r="W2585"/>
  <c r="W2586"/>
  <c r="W2587"/>
  <c r="W2588"/>
  <c r="W2589"/>
  <c r="W2590"/>
  <c r="W2591"/>
  <c r="W2592"/>
  <c r="W2593"/>
  <c r="W2594"/>
  <c r="W2595"/>
  <c r="W2596"/>
  <c r="W2597"/>
  <c r="W2598"/>
  <c r="W2599"/>
  <c r="W2600"/>
  <c r="W2601"/>
  <c r="W2602"/>
  <c r="W2603"/>
  <c r="W2604"/>
  <c r="W2605"/>
  <c r="W2606"/>
  <c r="W2607"/>
  <c r="W2608"/>
  <c r="W2609"/>
  <c r="W2610"/>
  <c r="W2611"/>
  <c r="W2612"/>
  <c r="W2613"/>
  <c r="W2614"/>
  <c r="W2615"/>
  <c r="W2616"/>
  <c r="W2617"/>
  <c r="W2618"/>
  <c r="W2619"/>
  <c r="W2620"/>
  <c r="W2621"/>
  <c r="W2622"/>
  <c r="W2623"/>
  <c r="W2624"/>
  <c r="W2625"/>
  <c r="W2626"/>
  <c r="W2627"/>
  <c r="W2628"/>
  <c r="W2629"/>
  <c r="W2630"/>
  <c r="W2631"/>
  <c r="W2632"/>
  <c r="W2633"/>
  <c r="W2634"/>
  <c r="W2635"/>
  <c r="W2636"/>
  <c r="W2637"/>
  <c r="W2638"/>
  <c r="W2639"/>
  <c r="W2640"/>
  <c r="W2641"/>
  <c r="W2642"/>
  <c r="W2643"/>
  <c r="W2644"/>
  <c r="W2645"/>
  <c r="W2646"/>
  <c r="W2647"/>
  <c r="W2648"/>
  <c r="W2649"/>
  <c r="W2650"/>
  <c r="W2651"/>
  <c r="W2652"/>
  <c r="W2653"/>
  <c r="W2654"/>
  <c r="W2655"/>
  <c r="W2656"/>
  <c r="W2657"/>
  <c r="W2658"/>
  <c r="W2659"/>
  <c r="W2660"/>
  <c r="W2661"/>
  <c r="W2662"/>
  <c r="W2663"/>
  <c r="W2664"/>
  <c r="W2665"/>
  <c r="W2666"/>
  <c r="W2667"/>
  <c r="W2668"/>
  <c r="W2669"/>
  <c r="W2670"/>
  <c r="W2671"/>
  <c r="W2672"/>
  <c r="W2673"/>
  <c r="W2674"/>
  <c r="W2675"/>
  <c r="W2676"/>
  <c r="W2677"/>
  <c r="W2678"/>
  <c r="W2679"/>
  <c r="W2680"/>
  <c r="W2681"/>
  <c r="W2682"/>
  <c r="W2683"/>
  <c r="W2684"/>
  <c r="W2685"/>
  <c r="W2686"/>
  <c r="W2687"/>
  <c r="W2688"/>
  <c r="W2689"/>
  <c r="W2690"/>
  <c r="W2691"/>
  <c r="W2692"/>
  <c r="W2693"/>
  <c r="W2694"/>
  <c r="W2695"/>
  <c r="W2696"/>
  <c r="W2697"/>
  <c r="W2698"/>
  <c r="W2699"/>
  <c r="W2700"/>
  <c r="W2701"/>
  <c r="W2702"/>
  <c r="W2703"/>
  <c r="W2704"/>
  <c r="W2705"/>
  <c r="W2706"/>
  <c r="W2707"/>
  <c r="W2708"/>
  <c r="W2709"/>
  <c r="W2710"/>
  <c r="W2711"/>
  <c r="W2712"/>
  <c r="W2713"/>
  <c r="W2714"/>
  <c r="W2715"/>
  <c r="W2716"/>
  <c r="W2717"/>
  <c r="W2718"/>
  <c r="W2719"/>
  <c r="W2720"/>
  <c r="W2721"/>
  <c r="W2722"/>
  <c r="W2723"/>
  <c r="W2724"/>
  <c r="W2725"/>
  <c r="W2726"/>
  <c r="W2727"/>
  <c r="W2728"/>
  <c r="W2729"/>
  <c r="W2730"/>
  <c r="W2731"/>
  <c r="W2732"/>
  <c r="W2733"/>
  <c r="W2734"/>
  <c r="W2735"/>
  <c r="W2736"/>
  <c r="W2737"/>
  <c r="W2738"/>
  <c r="W2739"/>
  <c r="W2740"/>
  <c r="W2741"/>
  <c r="W2742"/>
  <c r="W2743"/>
  <c r="W2744"/>
  <c r="W2745"/>
  <c r="W2746"/>
  <c r="W2747"/>
  <c r="W2748"/>
  <c r="W2749"/>
  <c r="W2750"/>
  <c r="W2751"/>
  <c r="W2752"/>
  <c r="W2753"/>
  <c r="W2754"/>
  <c r="W2755"/>
  <c r="W2756"/>
  <c r="W2757"/>
  <c r="W2758"/>
  <c r="W2759"/>
  <c r="W2760"/>
  <c r="W2761"/>
  <c r="W2762"/>
  <c r="W2763"/>
  <c r="W2764"/>
  <c r="W2765"/>
  <c r="W2766"/>
  <c r="W2767"/>
  <c r="W2768"/>
  <c r="W2769"/>
  <c r="W2770"/>
  <c r="W2771"/>
  <c r="W2772"/>
  <c r="W2773"/>
  <c r="W2774"/>
  <c r="W2775"/>
  <c r="W2776"/>
  <c r="W2777"/>
  <c r="W2778"/>
  <c r="W2779"/>
  <c r="W2780"/>
  <c r="W2781"/>
  <c r="W2782"/>
  <c r="W2783"/>
  <c r="W2784"/>
  <c r="W2785"/>
  <c r="W2786"/>
  <c r="W2787"/>
  <c r="W2788"/>
  <c r="W2789"/>
  <c r="W2790"/>
  <c r="W2791"/>
  <c r="W2792"/>
  <c r="W2793"/>
  <c r="W2794"/>
  <c r="W2795"/>
  <c r="W2796"/>
  <c r="W2797"/>
  <c r="W2798"/>
  <c r="W2799"/>
  <c r="W2800"/>
  <c r="W2801"/>
  <c r="W2802"/>
  <c r="W2803"/>
  <c r="W2804"/>
  <c r="W2805"/>
  <c r="W2806"/>
  <c r="W2807"/>
  <c r="W2808"/>
  <c r="W2809"/>
  <c r="W2810"/>
  <c r="W2811"/>
  <c r="W2812"/>
  <c r="W2813"/>
  <c r="W2814"/>
  <c r="W2815"/>
  <c r="W2816"/>
  <c r="W2817"/>
  <c r="W2818"/>
  <c r="W2819"/>
  <c r="W2820"/>
  <c r="W2821"/>
  <c r="W2822"/>
  <c r="W2823"/>
  <c r="W2824"/>
  <c r="W2825"/>
  <c r="W2826"/>
  <c r="W2827"/>
  <c r="W2828"/>
  <c r="W2829"/>
  <c r="W2830"/>
  <c r="W2831"/>
  <c r="W2832"/>
  <c r="W2833"/>
  <c r="W2834"/>
  <c r="W2835"/>
  <c r="W2836"/>
  <c r="W2837"/>
  <c r="W2838"/>
  <c r="W2839"/>
  <c r="W2840"/>
  <c r="W2841"/>
  <c r="W2842"/>
  <c r="W2843"/>
  <c r="W2844"/>
  <c r="W2845"/>
  <c r="W2846"/>
  <c r="W2847"/>
  <c r="W2848"/>
  <c r="W2849"/>
  <c r="W2850"/>
  <c r="W2851"/>
  <c r="W2852"/>
  <c r="W2853"/>
  <c r="W2854"/>
  <c r="W2855"/>
  <c r="W2856"/>
  <c r="W2857"/>
  <c r="W2858"/>
  <c r="W2859"/>
  <c r="W2860"/>
  <c r="W2861"/>
  <c r="W2862"/>
  <c r="W2863"/>
  <c r="W2864"/>
  <c r="W2865"/>
  <c r="W2866"/>
  <c r="W2867"/>
  <c r="W2868"/>
  <c r="W2869"/>
  <c r="W2870"/>
  <c r="W2871"/>
  <c r="W2872"/>
  <c r="W2873"/>
  <c r="W2874"/>
  <c r="W2875"/>
  <c r="W2876"/>
  <c r="W2877"/>
  <c r="W2878"/>
  <c r="W2879"/>
  <c r="W2880"/>
  <c r="W2881"/>
  <c r="W2882"/>
  <c r="W2883"/>
  <c r="W2884"/>
  <c r="W2885"/>
  <c r="W2886"/>
  <c r="W2887"/>
  <c r="W2888"/>
  <c r="W2889"/>
  <c r="W2890"/>
  <c r="W2891"/>
  <c r="W2892"/>
  <c r="W2893"/>
  <c r="W2894"/>
  <c r="W2895"/>
  <c r="W2896"/>
  <c r="W2897"/>
  <c r="W2898"/>
  <c r="W2899"/>
  <c r="W2900"/>
  <c r="W2901"/>
  <c r="W2902"/>
  <c r="W2903"/>
  <c r="W2904"/>
  <c r="W2905"/>
  <c r="W2906"/>
  <c r="W2907"/>
  <c r="W2908"/>
  <c r="W2909"/>
  <c r="W2910"/>
  <c r="W2911"/>
  <c r="W2912"/>
  <c r="W2913"/>
  <c r="W2914"/>
  <c r="W2915"/>
  <c r="W2916"/>
  <c r="W2917"/>
  <c r="W2918"/>
  <c r="W2919"/>
  <c r="W2920"/>
  <c r="W2921"/>
  <c r="W2922"/>
  <c r="W2923"/>
  <c r="W2924"/>
  <c r="W2925"/>
  <c r="W2926"/>
  <c r="W2927"/>
  <c r="W2928"/>
  <c r="W2929"/>
  <c r="W2930"/>
  <c r="W2931"/>
  <c r="W2932"/>
  <c r="W2933"/>
  <c r="W2934"/>
  <c r="W2935"/>
  <c r="W2936"/>
  <c r="W2937"/>
  <c r="W2938"/>
  <c r="W2939"/>
  <c r="W2940"/>
  <c r="W2941"/>
  <c r="W2942"/>
  <c r="W2943"/>
  <c r="W2944"/>
  <c r="W2945"/>
  <c r="W2946"/>
  <c r="W2947"/>
  <c r="W2948"/>
  <c r="W2949"/>
  <c r="W2950"/>
  <c r="W2951"/>
  <c r="W2952"/>
  <c r="W2953"/>
  <c r="W2954"/>
  <c r="W2955"/>
  <c r="W2956"/>
  <c r="W2957"/>
  <c r="W2958"/>
  <c r="W2959"/>
  <c r="W2960"/>
  <c r="W2961"/>
  <c r="W2962"/>
  <c r="W2963"/>
  <c r="W2964"/>
  <c r="W2965"/>
  <c r="W2966"/>
  <c r="W2967"/>
  <c r="W2968"/>
  <c r="W2969"/>
  <c r="W2970"/>
  <c r="W2971"/>
  <c r="W2972"/>
  <c r="W2973"/>
  <c r="W2974"/>
  <c r="W2975"/>
  <c r="W2976"/>
  <c r="W2977"/>
  <c r="W2978"/>
  <c r="W2979"/>
  <c r="W2980"/>
  <c r="W2981"/>
  <c r="W2982"/>
  <c r="W2983"/>
  <c r="W2984"/>
  <c r="W2985"/>
  <c r="W2986"/>
  <c r="W2987"/>
  <c r="W2988"/>
  <c r="W2989"/>
  <c r="W2990"/>
  <c r="W2991"/>
  <c r="W2992"/>
  <c r="W2993"/>
  <c r="W2994"/>
  <c r="W2995"/>
  <c r="W2996"/>
  <c r="W2997"/>
  <c r="W2998"/>
  <c r="W2999"/>
  <c r="W3000"/>
  <c r="W3001"/>
  <c r="W3002"/>
  <c r="W3003"/>
  <c r="W3004"/>
  <c r="W3005"/>
  <c r="W3006"/>
  <c r="W3007"/>
  <c r="W3008"/>
  <c r="W3009"/>
  <c r="W3010"/>
  <c r="W3011"/>
  <c r="W3012"/>
  <c r="W3013"/>
  <c r="W3014"/>
  <c r="W3015"/>
  <c r="W3016"/>
  <c r="W3017"/>
  <c r="W3018"/>
  <c r="W3019"/>
  <c r="W3020"/>
  <c r="W3021"/>
  <c r="W3022"/>
  <c r="W3023"/>
  <c r="W3024"/>
  <c r="W3025"/>
  <c r="W3026"/>
  <c r="W3027"/>
  <c r="W3028"/>
  <c r="W3029"/>
  <c r="W3030"/>
  <c r="W3031"/>
  <c r="W3032"/>
  <c r="W3033"/>
  <c r="W3034"/>
  <c r="W3035"/>
  <c r="W3036"/>
  <c r="W3037"/>
  <c r="W3038"/>
  <c r="W3039"/>
  <c r="W3040"/>
  <c r="W3041"/>
  <c r="W3042"/>
  <c r="W3043"/>
  <c r="W3044"/>
  <c r="W3045"/>
  <c r="W3046"/>
  <c r="W3047"/>
  <c r="W3048"/>
  <c r="W3049"/>
  <c r="W3050"/>
  <c r="W3051"/>
  <c r="W3052"/>
  <c r="W3053"/>
  <c r="W3054"/>
  <c r="W3055"/>
  <c r="W3056"/>
  <c r="W3057"/>
  <c r="W3058"/>
  <c r="W3059"/>
  <c r="W3060"/>
  <c r="W3061"/>
  <c r="W3062"/>
  <c r="W3063"/>
  <c r="W3064"/>
  <c r="W3065"/>
  <c r="W3066"/>
  <c r="W3067"/>
  <c r="W3068"/>
  <c r="W3069"/>
  <c r="W3070"/>
  <c r="W3071"/>
  <c r="W3072"/>
  <c r="W3073"/>
  <c r="W3074"/>
  <c r="W3075"/>
  <c r="W3076"/>
  <c r="W3077"/>
  <c r="W3078"/>
  <c r="W3079"/>
  <c r="W3080"/>
  <c r="W3081"/>
  <c r="W3082"/>
  <c r="W3083"/>
  <c r="W3084"/>
  <c r="W3085"/>
  <c r="W3086"/>
  <c r="W3087"/>
  <c r="W3088"/>
  <c r="W3089"/>
  <c r="W3090"/>
  <c r="W3091"/>
  <c r="W3092"/>
  <c r="W3093"/>
  <c r="W3094"/>
  <c r="W3095"/>
  <c r="W3096"/>
  <c r="W3097"/>
  <c r="W3098"/>
  <c r="W3099"/>
  <c r="W3100"/>
  <c r="W3101"/>
  <c r="W3102"/>
  <c r="W3103"/>
  <c r="W3104"/>
  <c r="W3105"/>
  <c r="W3106"/>
  <c r="W3107"/>
  <c r="W3108"/>
  <c r="W3109"/>
  <c r="W3110"/>
  <c r="W3111"/>
  <c r="W3112"/>
  <c r="W3113"/>
  <c r="W3114"/>
  <c r="W3115"/>
  <c r="W3116"/>
  <c r="W3117"/>
  <c r="W3118"/>
  <c r="W3119"/>
  <c r="W3120"/>
  <c r="W3121"/>
  <c r="W3122"/>
  <c r="W3123"/>
  <c r="W3124"/>
  <c r="W3125"/>
  <c r="W3126"/>
  <c r="W3127"/>
  <c r="W3128"/>
  <c r="W3129"/>
  <c r="W3130"/>
  <c r="W3131"/>
  <c r="W3132"/>
  <c r="W3133"/>
  <c r="W3134"/>
  <c r="W3135"/>
  <c r="W3136"/>
  <c r="W3137"/>
  <c r="W3138"/>
  <c r="W3139"/>
  <c r="W3140"/>
  <c r="W3141"/>
  <c r="W3142"/>
  <c r="W3143"/>
  <c r="W3144"/>
  <c r="W3145"/>
  <c r="W3146"/>
  <c r="W3147"/>
  <c r="W3148"/>
  <c r="W3149"/>
  <c r="W3150"/>
  <c r="W3151"/>
  <c r="W3152"/>
  <c r="W3153"/>
  <c r="W3154"/>
  <c r="W3155"/>
  <c r="W3156"/>
  <c r="W3157"/>
  <c r="W3158"/>
  <c r="W3159"/>
  <c r="W3160"/>
  <c r="W3161"/>
  <c r="W3162"/>
  <c r="W3163"/>
  <c r="W3164"/>
  <c r="W3165"/>
  <c r="W3166"/>
  <c r="W3167"/>
  <c r="W3168"/>
  <c r="W3169"/>
  <c r="W3170"/>
  <c r="W3171"/>
  <c r="W3172"/>
  <c r="W3173"/>
  <c r="W3174"/>
  <c r="W3175"/>
  <c r="W3176"/>
  <c r="W3177"/>
  <c r="W3178"/>
  <c r="W3179"/>
  <c r="W3180"/>
  <c r="W3181"/>
  <c r="W3182"/>
  <c r="W3183"/>
  <c r="W3184"/>
  <c r="W3185"/>
  <c r="W3186"/>
  <c r="W3187"/>
  <c r="W3188"/>
  <c r="W3189"/>
  <c r="W3190"/>
  <c r="W3191"/>
  <c r="W3192"/>
  <c r="W3193"/>
  <c r="W3194"/>
  <c r="W3195"/>
  <c r="W3196"/>
  <c r="W3197"/>
  <c r="W3198"/>
  <c r="W3199"/>
  <c r="W3200"/>
  <c r="W3201"/>
  <c r="W3202"/>
  <c r="W3203"/>
  <c r="W3204"/>
  <c r="W3205"/>
  <c r="W3206"/>
  <c r="W3207"/>
  <c r="W3208"/>
  <c r="W3209"/>
  <c r="W3210"/>
  <c r="W3211"/>
  <c r="W3212"/>
  <c r="W3213"/>
  <c r="W3214"/>
  <c r="W3215"/>
  <c r="W3216"/>
  <c r="W3217"/>
  <c r="W3218"/>
  <c r="W3219"/>
  <c r="W3220"/>
  <c r="W3221"/>
  <c r="W3222"/>
  <c r="W3223"/>
  <c r="W3224"/>
  <c r="W3225"/>
  <c r="W3226"/>
  <c r="W3227"/>
  <c r="W3228"/>
  <c r="W3229"/>
  <c r="W3230"/>
  <c r="W3231"/>
  <c r="W3232"/>
  <c r="W3233"/>
  <c r="W3234"/>
  <c r="W3235"/>
  <c r="W3236"/>
  <c r="W3237"/>
  <c r="W3238"/>
  <c r="W3239"/>
  <c r="W3240"/>
  <c r="W3241"/>
  <c r="W3242"/>
  <c r="W3243"/>
  <c r="W3244"/>
  <c r="W3245"/>
  <c r="W3246"/>
  <c r="W3247"/>
  <c r="W3248"/>
  <c r="W3249"/>
  <c r="W3250"/>
  <c r="W3251"/>
  <c r="W3252"/>
  <c r="W3253"/>
  <c r="W3254"/>
  <c r="W3255"/>
  <c r="W3256"/>
  <c r="W3257"/>
  <c r="W3258"/>
  <c r="W3259"/>
  <c r="W3260"/>
  <c r="W3261"/>
  <c r="W3262"/>
  <c r="W3263"/>
  <c r="W3264"/>
  <c r="W3265"/>
  <c r="W3266"/>
  <c r="W3267"/>
  <c r="W3268"/>
  <c r="W3269"/>
  <c r="W3270"/>
  <c r="W3271"/>
  <c r="W3272"/>
  <c r="W3273"/>
  <c r="W3274"/>
  <c r="W3275"/>
  <c r="W3276"/>
  <c r="W3277"/>
  <c r="W3278"/>
  <c r="W3279"/>
  <c r="W3280"/>
  <c r="W3281"/>
  <c r="W3282"/>
  <c r="W3283"/>
  <c r="W3284"/>
  <c r="W3285"/>
  <c r="W3286"/>
  <c r="W3287"/>
  <c r="W3288"/>
  <c r="W3289"/>
  <c r="W3290"/>
  <c r="W3291"/>
  <c r="W3292"/>
  <c r="W3293"/>
  <c r="W3294"/>
  <c r="W3295"/>
  <c r="W3296"/>
  <c r="W3297"/>
  <c r="W3298"/>
  <c r="W3299"/>
  <c r="W3300"/>
  <c r="W3301"/>
  <c r="W3302"/>
  <c r="W3303"/>
  <c r="W3304"/>
  <c r="W3305"/>
  <c r="W3306"/>
  <c r="W3307"/>
  <c r="W3308"/>
  <c r="W3309"/>
  <c r="W3310"/>
  <c r="W3311"/>
  <c r="W3312"/>
  <c r="W3313"/>
  <c r="W3314"/>
  <c r="W3315"/>
  <c r="W3316"/>
  <c r="W3317"/>
  <c r="W3318"/>
  <c r="W3319"/>
  <c r="W3320"/>
  <c r="W3321"/>
  <c r="W3322"/>
  <c r="W3323"/>
  <c r="W3324"/>
  <c r="W3325"/>
  <c r="W3326"/>
  <c r="W3327"/>
  <c r="W3328"/>
  <c r="W3329"/>
  <c r="W3330"/>
  <c r="W3331"/>
  <c r="W3332"/>
  <c r="W3333"/>
  <c r="W3334"/>
  <c r="W3335"/>
  <c r="W3336"/>
  <c r="W3337"/>
  <c r="W3338"/>
  <c r="W3339"/>
  <c r="W3340"/>
  <c r="W3341"/>
  <c r="W3342"/>
  <c r="W3343"/>
  <c r="W3344"/>
  <c r="W3345"/>
  <c r="W3346"/>
  <c r="W3347"/>
  <c r="W3348"/>
  <c r="W3349"/>
  <c r="W3350"/>
  <c r="W3351"/>
  <c r="W3352"/>
  <c r="W3353"/>
  <c r="W3354"/>
  <c r="W3355"/>
  <c r="W3356"/>
  <c r="W3357"/>
  <c r="W3358"/>
  <c r="W3359"/>
  <c r="W3360"/>
  <c r="W3361"/>
  <c r="W3362"/>
  <c r="W3363"/>
  <c r="W3364"/>
  <c r="W3365"/>
  <c r="W3366"/>
  <c r="W3367"/>
  <c r="W3368"/>
  <c r="W3369"/>
  <c r="W3370"/>
  <c r="W3371"/>
  <c r="W3372"/>
  <c r="W3373"/>
  <c r="W3374"/>
  <c r="W3375"/>
  <c r="W3376"/>
  <c r="W3377"/>
  <c r="W3378"/>
  <c r="W3379"/>
  <c r="W3380"/>
  <c r="W3381"/>
  <c r="W3382"/>
  <c r="W3383"/>
  <c r="W3384"/>
  <c r="W3385"/>
  <c r="W3386"/>
  <c r="W3387"/>
  <c r="W3388"/>
  <c r="W3389"/>
  <c r="W3390"/>
  <c r="W3391"/>
  <c r="W3392"/>
  <c r="W3393"/>
  <c r="W3394"/>
  <c r="W3395"/>
  <c r="W3396"/>
  <c r="W3397"/>
  <c r="W3398"/>
  <c r="W3399"/>
  <c r="W3400"/>
  <c r="W3401"/>
  <c r="W3402"/>
  <c r="W3403"/>
  <c r="W3404"/>
  <c r="W3405"/>
  <c r="W3406"/>
  <c r="W3407"/>
  <c r="W3408"/>
  <c r="W3409"/>
  <c r="W3410"/>
  <c r="W3411"/>
  <c r="W3412"/>
  <c r="W3413"/>
  <c r="W3414"/>
  <c r="W3415"/>
  <c r="W3416"/>
  <c r="W3417"/>
  <c r="W3418"/>
  <c r="W3419"/>
  <c r="W3420"/>
  <c r="W3421"/>
  <c r="W3422"/>
  <c r="W3423"/>
  <c r="W3424"/>
  <c r="W3425"/>
  <c r="W3426"/>
  <c r="W3427"/>
  <c r="W3428"/>
  <c r="W3429"/>
  <c r="W3430"/>
  <c r="W3431"/>
  <c r="W3432"/>
  <c r="W3433"/>
  <c r="W3434"/>
  <c r="W3435"/>
  <c r="W3436"/>
  <c r="W3437"/>
  <c r="W3438"/>
  <c r="W3439"/>
  <c r="W3440"/>
  <c r="W3441"/>
  <c r="W3442"/>
  <c r="W3443"/>
  <c r="W3444"/>
  <c r="W3445"/>
  <c r="W3446"/>
  <c r="W3447"/>
  <c r="W3448"/>
  <c r="W3449"/>
  <c r="W3450"/>
  <c r="W3451"/>
  <c r="W3452"/>
  <c r="W3453"/>
  <c r="W3454"/>
  <c r="W3455"/>
  <c r="W3456"/>
  <c r="W3457"/>
  <c r="W3458"/>
  <c r="W3459"/>
  <c r="W3460"/>
  <c r="W3461"/>
  <c r="W3462"/>
  <c r="W3463"/>
  <c r="W3464"/>
  <c r="W3465"/>
  <c r="W3466"/>
  <c r="W3467"/>
  <c r="W3468"/>
  <c r="W3469"/>
  <c r="W3470"/>
  <c r="W3471"/>
  <c r="W3472"/>
  <c r="W3473"/>
  <c r="W3474"/>
  <c r="W3475"/>
  <c r="W3476"/>
  <c r="W3477"/>
  <c r="W3478"/>
  <c r="W3479"/>
  <c r="W3480"/>
  <c r="W3481"/>
  <c r="W3482"/>
  <c r="W3483"/>
  <c r="W3484"/>
  <c r="W3485"/>
  <c r="W3486"/>
  <c r="W3487"/>
  <c r="W3488"/>
  <c r="W3489"/>
  <c r="W3490"/>
  <c r="W3491"/>
  <c r="W3492"/>
  <c r="W3493"/>
  <c r="W3494"/>
  <c r="W3495"/>
  <c r="W3496"/>
  <c r="W3497"/>
  <c r="W3498"/>
  <c r="W3499"/>
  <c r="W3500"/>
  <c r="W3501"/>
  <c r="W3502"/>
  <c r="W3503"/>
  <c r="W3504"/>
  <c r="W3505"/>
  <c r="W3506"/>
  <c r="W3507"/>
  <c r="W3508"/>
  <c r="W3509"/>
  <c r="W3510"/>
  <c r="W3511"/>
  <c r="W3512"/>
  <c r="W3513"/>
  <c r="W3514"/>
  <c r="W3515"/>
  <c r="W3516"/>
  <c r="W3517"/>
  <c r="W3518"/>
  <c r="W3519"/>
  <c r="W3520"/>
  <c r="W3521"/>
  <c r="W3522"/>
  <c r="W3523"/>
  <c r="W3524"/>
  <c r="W3525"/>
  <c r="W3526"/>
  <c r="W3527"/>
  <c r="W3528"/>
  <c r="W3529"/>
  <c r="W3530"/>
  <c r="W3531"/>
  <c r="W3532"/>
  <c r="W3533"/>
  <c r="W3534"/>
  <c r="W3535"/>
  <c r="W3536"/>
  <c r="W3537"/>
  <c r="W3538"/>
  <c r="W3539"/>
  <c r="W3540"/>
  <c r="W3541"/>
  <c r="W3542"/>
  <c r="W3543"/>
  <c r="W3544"/>
  <c r="W3545"/>
  <c r="W3546"/>
  <c r="W3547"/>
  <c r="W3548"/>
  <c r="W3549"/>
  <c r="W3550"/>
  <c r="W3551"/>
  <c r="W3552"/>
  <c r="W3553"/>
  <c r="W3554"/>
  <c r="W3555"/>
  <c r="W3556"/>
  <c r="W3557"/>
  <c r="W3558"/>
  <c r="W3559"/>
  <c r="W3560"/>
  <c r="W3561"/>
  <c r="W3562"/>
  <c r="W3563"/>
  <c r="W3564"/>
  <c r="W3565"/>
  <c r="W3566"/>
  <c r="W3567"/>
  <c r="W3568"/>
  <c r="W3569"/>
  <c r="W3570"/>
  <c r="W3571"/>
  <c r="W3572"/>
  <c r="W3573"/>
  <c r="W3574"/>
  <c r="W3575"/>
  <c r="W3576"/>
  <c r="W3577"/>
  <c r="W3578"/>
  <c r="W3579"/>
  <c r="W3580"/>
  <c r="W3581"/>
  <c r="W3582"/>
  <c r="W3583"/>
  <c r="W3584"/>
  <c r="W3585"/>
  <c r="W3586"/>
  <c r="W3587"/>
  <c r="W3588"/>
  <c r="W3589"/>
  <c r="W3590"/>
  <c r="W3591"/>
  <c r="W3592"/>
  <c r="W3593"/>
  <c r="W3594"/>
  <c r="W3595"/>
  <c r="W3596"/>
  <c r="W3597"/>
  <c r="W3598"/>
  <c r="W3599"/>
  <c r="W3600"/>
  <c r="W3601"/>
  <c r="W3602"/>
  <c r="W3603"/>
  <c r="W3604"/>
  <c r="W3605"/>
  <c r="W3606"/>
  <c r="W3607"/>
  <c r="W3608"/>
  <c r="W3609"/>
  <c r="W3610"/>
  <c r="W3611"/>
  <c r="W3612"/>
  <c r="W3613"/>
  <c r="W3614"/>
  <c r="W3615"/>
  <c r="W3616"/>
  <c r="W3617"/>
  <c r="W3618"/>
  <c r="W3619"/>
  <c r="W3620"/>
  <c r="W3621"/>
  <c r="W3622"/>
  <c r="W3623"/>
  <c r="W3624"/>
  <c r="W3625"/>
  <c r="W3626"/>
  <c r="W3627"/>
  <c r="W3628"/>
  <c r="W3629"/>
  <c r="W3630"/>
  <c r="W3631"/>
  <c r="W3632"/>
  <c r="W3633"/>
  <c r="W3634"/>
  <c r="W3635"/>
  <c r="W3636"/>
  <c r="W3637"/>
  <c r="W3638"/>
  <c r="W3639"/>
  <c r="W3640"/>
  <c r="W3641"/>
  <c r="W3642"/>
  <c r="W3643"/>
  <c r="W3644"/>
  <c r="W3645"/>
  <c r="W3646"/>
  <c r="W3647"/>
  <c r="W3648"/>
  <c r="W3649"/>
  <c r="W3650"/>
  <c r="W3651"/>
  <c r="W3652"/>
  <c r="W3653"/>
  <c r="W3654"/>
  <c r="W3655"/>
  <c r="W3656"/>
  <c r="W3657"/>
  <c r="W3658"/>
  <c r="W3659"/>
  <c r="W3660"/>
  <c r="W3661"/>
  <c r="W3662"/>
  <c r="W3663"/>
  <c r="W3664"/>
  <c r="W3665"/>
  <c r="W3666"/>
  <c r="W3667"/>
  <c r="W3668"/>
  <c r="W3669"/>
  <c r="W3670"/>
  <c r="W3671"/>
  <c r="W3672"/>
  <c r="W3673"/>
  <c r="W3674"/>
  <c r="W3675"/>
  <c r="W3676"/>
  <c r="W3677"/>
  <c r="W3678"/>
  <c r="W3679"/>
  <c r="W3680"/>
  <c r="W3681"/>
  <c r="W3682"/>
  <c r="W3683"/>
  <c r="W3684"/>
  <c r="W3685"/>
  <c r="W3686"/>
  <c r="W3687"/>
  <c r="W3688"/>
  <c r="W3689"/>
  <c r="W3690"/>
  <c r="W3691"/>
  <c r="W3692"/>
  <c r="W3693"/>
  <c r="W3694"/>
  <c r="W3695"/>
  <c r="W3696"/>
  <c r="W3697"/>
  <c r="W3698"/>
  <c r="W3699"/>
  <c r="W3700"/>
  <c r="W3701"/>
  <c r="W3702"/>
  <c r="W3703"/>
  <c r="W3704"/>
  <c r="W3705"/>
  <c r="W3706"/>
  <c r="W3707"/>
  <c r="W3708"/>
  <c r="W3709"/>
  <c r="W3710"/>
  <c r="W3711"/>
  <c r="W3712"/>
  <c r="W3713"/>
  <c r="W3714"/>
  <c r="W3715"/>
  <c r="W3716"/>
  <c r="W3717"/>
  <c r="W3718"/>
  <c r="W3719"/>
  <c r="W3720"/>
  <c r="W3721"/>
  <c r="W3722"/>
  <c r="W3723"/>
  <c r="W3724"/>
  <c r="W3725"/>
  <c r="W3726"/>
  <c r="W3727"/>
  <c r="W3728"/>
  <c r="W3729"/>
  <c r="W3730"/>
  <c r="W3731"/>
  <c r="W3732"/>
  <c r="W3733"/>
  <c r="W3734"/>
  <c r="W3735"/>
  <c r="W3736"/>
  <c r="W3737"/>
  <c r="W3738"/>
  <c r="W3739"/>
  <c r="W3740"/>
  <c r="W3741"/>
  <c r="W3742"/>
  <c r="W3743"/>
  <c r="W3744"/>
  <c r="W3745"/>
  <c r="W3746"/>
  <c r="W3747"/>
  <c r="W3748"/>
  <c r="W3749"/>
  <c r="W3750"/>
  <c r="W3751"/>
  <c r="W3752"/>
  <c r="W3753"/>
  <c r="W3754"/>
  <c r="W3755"/>
  <c r="W3756"/>
  <c r="W3757"/>
  <c r="W3758"/>
  <c r="W3759"/>
  <c r="W3760"/>
  <c r="W3761"/>
  <c r="W3762"/>
  <c r="W3763"/>
  <c r="W3764"/>
  <c r="W3765"/>
  <c r="W3766"/>
  <c r="W3767"/>
  <c r="W3768"/>
  <c r="W3769"/>
  <c r="W3770"/>
  <c r="W3771"/>
  <c r="W3772"/>
  <c r="W3773"/>
  <c r="W3774"/>
  <c r="W3775"/>
  <c r="W3776"/>
  <c r="W3777"/>
  <c r="W3778"/>
  <c r="W3779"/>
  <c r="W3780"/>
  <c r="W3781"/>
  <c r="W3782"/>
  <c r="W3783"/>
  <c r="W3784"/>
  <c r="W3785"/>
  <c r="W3786"/>
  <c r="W3787"/>
  <c r="W3788"/>
  <c r="W3789"/>
  <c r="W3790"/>
  <c r="W3791"/>
  <c r="W3792"/>
  <c r="W3793"/>
  <c r="W3794"/>
  <c r="W3795"/>
  <c r="W3796"/>
  <c r="W3797"/>
  <c r="W3798"/>
  <c r="W3799"/>
  <c r="W3800"/>
  <c r="W3801"/>
  <c r="W3802"/>
  <c r="W3803"/>
  <c r="W3804"/>
  <c r="W3805"/>
  <c r="W3806"/>
  <c r="W3807"/>
  <c r="W3808"/>
  <c r="W3809"/>
  <c r="W3810"/>
  <c r="W3811"/>
  <c r="W3812"/>
  <c r="W3813"/>
  <c r="W3814"/>
  <c r="W3815"/>
  <c r="W3816"/>
  <c r="W3817"/>
  <c r="W3818"/>
  <c r="W3819"/>
  <c r="W3820"/>
  <c r="W3821"/>
  <c r="W3822"/>
  <c r="W3823"/>
  <c r="W3824"/>
  <c r="W3825"/>
  <c r="W3826"/>
  <c r="W3827"/>
  <c r="W3828"/>
  <c r="W3829"/>
  <c r="W3830"/>
  <c r="W3831"/>
  <c r="W3832"/>
  <c r="W3833"/>
  <c r="W3834"/>
  <c r="W3835"/>
  <c r="W3836"/>
  <c r="W3837"/>
  <c r="W3838"/>
  <c r="W3839"/>
  <c r="W3840"/>
  <c r="W3841"/>
  <c r="W3842"/>
  <c r="W3843"/>
  <c r="W3844"/>
  <c r="W3845"/>
  <c r="W3846"/>
  <c r="W3847"/>
  <c r="W3848"/>
  <c r="W3849"/>
  <c r="W3850"/>
  <c r="W3851"/>
  <c r="W3852"/>
  <c r="W3853"/>
  <c r="W3854"/>
  <c r="W3855"/>
  <c r="W3856"/>
  <c r="W3857"/>
  <c r="W3858"/>
  <c r="W3859"/>
  <c r="W3860"/>
  <c r="W3861"/>
  <c r="W3862"/>
  <c r="W3863"/>
  <c r="W3864"/>
  <c r="W3865"/>
  <c r="W3866"/>
  <c r="W3867"/>
  <c r="W3868"/>
  <c r="W3869"/>
  <c r="W3870"/>
  <c r="W3871"/>
  <c r="W3872"/>
  <c r="W3873"/>
  <c r="W3874"/>
  <c r="W3875"/>
  <c r="W3876"/>
  <c r="W3877"/>
  <c r="W3878"/>
  <c r="W3879"/>
  <c r="W3880"/>
  <c r="W3881"/>
  <c r="W3882"/>
  <c r="W3883"/>
  <c r="W3884"/>
  <c r="W3885"/>
  <c r="W3886"/>
  <c r="W3887"/>
  <c r="W3888"/>
  <c r="W3889"/>
  <c r="W3890"/>
  <c r="W3891"/>
  <c r="W3892"/>
  <c r="W3893"/>
  <c r="W3894"/>
  <c r="W3895"/>
  <c r="W3896"/>
  <c r="W3897"/>
  <c r="W3898"/>
  <c r="W3899"/>
  <c r="W3900"/>
  <c r="W3901"/>
  <c r="W3902"/>
  <c r="W3903"/>
  <c r="W3904"/>
  <c r="W3905"/>
  <c r="W3906"/>
  <c r="W3907"/>
  <c r="W3908"/>
  <c r="W3909"/>
  <c r="W3910"/>
  <c r="W3911"/>
  <c r="W3912"/>
  <c r="W3913"/>
  <c r="W3914"/>
  <c r="W3915"/>
  <c r="W3916"/>
  <c r="W3917"/>
  <c r="W3918"/>
  <c r="W3919"/>
  <c r="W3920"/>
  <c r="W3921"/>
  <c r="W3922"/>
  <c r="W3923"/>
  <c r="W3924"/>
  <c r="W3925"/>
  <c r="W3926"/>
  <c r="W3927"/>
  <c r="W3928"/>
  <c r="W3929"/>
  <c r="W3930"/>
  <c r="W3931"/>
  <c r="W3932"/>
  <c r="W3933"/>
  <c r="W3934"/>
  <c r="W3935"/>
  <c r="W3936"/>
  <c r="W3937"/>
  <c r="W3938"/>
  <c r="W3939"/>
  <c r="W3940"/>
  <c r="W3941"/>
  <c r="W3942"/>
  <c r="W3943"/>
  <c r="W3944"/>
  <c r="W3945"/>
  <c r="W3946"/>
  <c r="W3947"/>
  <c r="W3948"/>
  <c r="W3949"/>
  <c r="W3950"/>
  <c r="W3951"/>
  <c r="W3952"/>
  <c r="W3953"/>
  <c r="W3954"/>
  <c r="W3955"/>
  <c r="W3956"/>
  <c r="W3957"/>
  <c r="W3958"/>
  <c r="W3959"/>
  <c r="W3960"/>
  <c r="W3961"/>
  <c r="W3962"/>
  <c r="W3963"/>
  <c r="W3964"/>
  <c r="W3965"/>
  <c r="W3966"/>
  <c r="W3967"/>
  <c r="W3968"/>
  <c r="W3969"/>
  <c r="W3970"/>
  <c r="W3971"/>
  <c r="W3972"/>
  <c r="W3973"/>
  <c r="W3974"/>
  <c r="W3975"/>
  <c r="W3976"/>
  <c r="W3977"/>
  <c r="W3978"/>
  <c r="W3979"/>
  <c r="W3980"/>
  <c r="W3981"/>
  <c r="W3982"/>
  <c r="W3983"/>
  <c r="W3984"/>
  <c r="W3985"/>
  <c r="W3986"/>
  <c r="W3987"/>
  <c r="W3988"/>
  <c r="W3989"/>
  <c r="W3990"/>
  <c r="W3991"/>
  <c r="W3992"/>
  <c r="W3993"/>
  <c r="W3994"/>
  <c r="W3995"/>
  <c r="W3996"/>
  <c r="W3997"/>
  <c r="W3998"/>
  <c r="W3999"/>
  <c r="W4000"/>
  <c r="W4001"/>
  <c r="W4002"/>
  <c r="W4003"/>
  <c r="W4004"/>
  <c r="W4005"/>
  <c r="W4006"/>
  <c r="W4007"/>
  <c r="W4008"/>
  <c r="W4009"/>
  <c r="W4010"/>
  <c r="W4011"/>
  <c r="W4012"/>
  <c r="W4013"/>
  <c r="W4014"/>
  <c r="W4015"/>
  <c r="W4016"/>
  <c r="W4017"/>
  <c r="W4018"/>
  <c r="W4019"/>
  <c r="W4020"/>
  <c r="W4021"/>
  <c r="W4022"/>
  <c r="W4023"/>
  <c r="W4024"/>
  <c r="W4025"/>
  <c r="W4026"/>
  <c r="W4027"/>
  <c r="W4028"/>
  <c r="W4029"/>
  <c r="W4030"/>
  <c r="W4031"/>
  <c r="W4032"/>
  <c r="W4033"/>
  <c r="W4034"/>
  <c r="W4035"/>
  <c r="W4036"/>
  <c r="W4037"/>
  <c r="W4038"/>
  <c r="W4039"/>
  <c r="W4040"/>
  <c r="W4041"/>
  <c r="W4042"/>
  <c r="W4043"/>
  <c r="W4044"/>
  <c r="W4045"/>
  <c r="W4046"/>
  <c r="W4047"/>
  <c r="W4048"/>
  <c r="W4049"/>
  <c r="W4050"/>
  <c r="W4051"/>
  <c r="W4052"/>
  <c r="W4053"/>
  <c r="W4054"/>
  <c r="W4055"/>
  <c r="W4056"/>
  <c r="W4057"/>
  <c r="W4058"/>
  <c r="W4059"/>
  <c r="W4060"/>
  <c r="W4061"/>
  <c r="W4062"/>
  <c r="W4063"/>
  <c r="W4064"/>
  <c r="W4065"/>
  <c r="W4066"/>
  <c r="W4067"/>
  <c r="W4068"/>
  <c r="W4069"/>
  <c r="W4070"/>
  <c r="W4071"/>
  <c r="W4072"/>
  <c r="W4073"/>
  <c r="W4074"/>
  <c r="W4075"/>
  <c r="W4076"/>
  <c r="W4077"/>
  <c r="W4078"/>
  <c r="W4079"/>
  <c r="W4080"/>
  <c r="W4081"/>
  <c r="W4082"/>
  <c r="W4083"/>
  <c r="W4084"/>
  <c r="W4085"/>
  <c r="W4086"/>
  <c r="W4087"/>
  <c r="W4088"/>
  <c r="W4089"/>
  <c r="W4090"/>
  <c r="W4091"/>
  <c r="W4092"/>
  <c r="W4093"/>
  <c r="W4094"/>
  <c r="W4095"/>
  <c r="W4096"/>
  <c r="W4097"/>
  <c r="W4098"/>
  <c r="W4099"/>
  <c r="W4100"/>
  <c r="W4101"/>
  <c r="W4102"/>
  <c r="W4103"/>
  <c r="W4104"/>
  <c r="W4105"/>
  <c r="W4106"/>
  <c r="W4107"/>
  <c r="W4108"/>
  <c r="W4109"/>
  <c r="W4110"/>
  <c r="W4111"/>
  <c r="W4112"/>
  <c r="W4113"/>
  <c r="W4114"/>
  <c r="W4115"/>
  <c r="W4116"/>
  <c r="W4117"/>
  <c r="W4118"/>
  <c r="W4119"/>
  <c r="W4120"/>
  <c r="W4121"/>
  <c r="W4122"/>
  <c r="W4123"/>
  <c r="W4124"/>
  <c r="W4125"/>
  <c r="W4126"/>
  <c r="W4127"/>
  <c r="W4128"/>
  <c r="W4129"/>
  <c r="W4130"/>
  <c r="W4131"/>
  <c r="W4132"/>
  <c r="W4133"/>
  <c r="W4134"/>
  <c r="W4135"/>
  <c r="W4136"/>
  <c r="W4137"/>
  <c r="W4138"/>
  <c r="W4139"/>
  <c r="W4140"/>
  <c r="W4141"/>
  <c r="W4142"/>
  <c r="W4143"/>
  <c r="W4144"/>
  <c r="W4145"/>
  <c r="W4146"/>
  <c r="W4147"/>
  <c r="W4148"/>
  <c r="W4149"/>
  <c r="W4150"/>
  <c r="W4151"/>
  <c r="W4152"/>
  <c r="W4153"/>
  <c r="W4154"/>
  <c r="W4155"/>
  <c r="W4156"/>
  <c r="W4157"/>
  <c r="W4158"/>
  <c r="W4159"/>
  <c r="W4160"/>
  <c r="W4161"/>
  <c r="W4162"/>
  <c r="W4163"/>
  <c r="W4164"/>
  <c r="W4165"/>
  <c r="W4166"/>
  <c r="W4167"/>
  <c r="W4168"/>
  <c r="W4169"/>
  <c r="W4170"/>
  <c r="W4171"/>
  <c r="W4172"/>
  <c r="W4173"/>
  <c r="W4174"/>
  <c r="W4175"/>
  <c r="W4176"/>
  <c r="W4177"/>
  <c r="W4178"/>
  <c r="W4179"/>
  <c r="W4180"/>
  <c r="W4181"/>
  <c r="W4182"/>
  <c r="W4183"/>
  <c r="W4184"/>
  <c r="W4185"/>
  <c r="W4186"/>
  <c r="W4187"/>
  <c r="W4188"/>
  <c r="W4189"/>
  <c r="W4190"/>
  <c r="W4191"/>
  <c r="W4192"/>
  <c r="W4193"/>
  <c r="W4194"/>
  <c r="W4195"/>
  <c r="W4196"/>
  <c r="W4197"/>
  <c r="W4198"/>
  <c r="W4199"/>
  <c r="W4200"/>
  <c r="W4201"/>
  <c r="W4202"/>
  <c r="W4203"/>
  <c r="W4204"/>
  <c r="W4205"/>
  <c r="W4206"/>
  <c r="W4207"/>
  <c r="W4208"/>
  <c r="W4209"/>
  <c r="W4210"/>
  <c r="W4211"/>
  <c r="W4212"/>
  <c r="W4213"/>
  <c r="W4214"/>
  <c r="W4215"/>
  <c r="W4216"/>
  <c r="W4217"/>
  <c r="W4218"/>
  <c r="W4219"/>
  <c r="W4220"/>
  <c r="W4221"/>
  <c r="W4222"/>
  <c r="W4223"/>
  <c r="W4224"/>
  <c r="W4225"/>
  <c r="W4226"/>
  <c r="W4227"/>
  <c r="W4228"/>
  <c r="W4229"/>
  <c r="W4230"/>
  <c r="W4231"/>
  <c r="W4232"/>
  <c r="W4233"/>
  <c r="W4234"/>
  <c r="W4235"/>
  <c r="W4236"/>
  <c r="W4237"/>
  <c r="W4238"/>
  <c r="W4239"/>
  <c r="W4240"/>
  <c r="W4241"/>
  <c r="W4242"/>
  <c r="W4243"/>
  <c r="W4244"/>
  <c r="W4245"/>
  <c r="W4246"/>
  <c r="W4247"/>
  <c r="W4248"/>
  <c r="W4249"/>
  <c r="W4250"/>
  <c r="W4251"/>
  <c r="W4252"/>
  <c r="W4253"/>
  <c r="W4254"/>
  <c r="W4255"/>
  <c r="W4256"/>
  <c r="W4257"/>
  <c r="W4258"/>
  <c r="W4259"/>
  <c r="W4260"/>
  <c r="W4261"/>
  <c r="W4262"/>
  <c r="W4263"/>
  <c r="W4264"/>
  <c r="W4265"/>
  <c r="W4266"/>
  <c r="W4267"/>
  <c r="W4268"/>
  <c r="W4269"/>
  <c r="W4270"/>
  <c r="W4271"/>
  <c r="W4272"/>
  <c r="W4273"/>
  <c r="W4274"/>
  <c r="W4275"/>
  <c r="W4276"/>
  <c r="W4277"/>
  <c r="W4278"/>
  <c r="W4279"/>
  <c r="W4280"/>
  <c r="W4281"/>
  <c r="W4282"/>
  <c r="W4283"/>
  <c r="W4284"/>
  <c r="W4285"/>
  <c r="W4286"/>
  <c r="W4287"/>
  <c r="W4288"/>
  <c r="W4289"/>
  <c r="W4290"/>
  <c r="W4291"/>
  <c r="W4292"/>
  <c r="W4293"/>
  <c r="W4294"/>
  <c r="W4295"/>
  <c r="W4296"/>
  <c r="W4297"/>
  <c r="W4298"/>
  <c r="W4299"/>
  <c r="W4300"/>
  <c r="W4301"/>
  <c r="W4302"/>
  <c r="W4303"/>
  <c r="W4304"/>
  <c r="W4305"/>
  <c r="W4306"/>
  <c r="W4307"/>
  <c r="W4308"/>
  <c r="W4309"/>
  <c r="W4310"/>
  <c r="W4311"/>
  <c r="W4312"/>
  <c r="W4313"/>
  <c r="W4314"/>
  <c r="W4315"/>
  <c r="W4316"/>
  <c r="W4317"/>
  <c r="W4318"/>
  <c r="W4319"/>
  <c r="W4320"/>
  <c r="W4321"/>
  <c r="W4322"/>
  <c r="W4323"/>
  <c r="W4324"/>
  <c r="W4325"/>
  <c r="W4326"/>
  <c r="W4327"/>
  <c r="W4328"/>
  <c r="W4329"/>
  <c r="W4330"/>
  <c r="W4331"/>
  <c r="W4332"/>
  <c r="W4333"/>
  <c r="W4334"/>
  <c r="W4335"/>
  <c r="W4336"/>
  <c r="W4337"/>
  <c r="W4338"/>
  <c r="W4339"/>
  <c r="W4340"/>
  <c r="W4341"/>
  <c r="W4342"/>
  <c r="W4343"/>
  <c r="W4344"/>
  <c r="W4345"/>
  <c r="W4346"/>
  <c r="W4347"/>
  <c r="W4348"/>
  <c r="W4349"/>
  <c r="W4350"/>
  <c r="W4351"/>
  <c r="W4352"/>
  <c r="W4353"/>
  <c r="W4354"/>
  <c r="W4355"/>
  <c r="W4356"/>
  <c r="W4357"/>
  <c r="W4358"/>
  <c r="W4359"/>
  <c r="W4360"/>
  <c r="W4361"/>
  <c r="W4362"/>
  <c r="W4363"/>
  <c r="W4364"/>
  <c r="W4365"/>
  <c r="W4366"/>
  <c r="W4367"/>
  <c r="W4368"/>
  <c r="W4369"/>
  <c r="W4370"/>
  <c r="W4371"/>
  <c r="W4372"/>
  <c r="W4373"/>
  <c r="W4374"/>
  <c r="W4375"/>
  <c r="W4376"/>
  <c r="W4377"/>
  <c r="W4378"/>
  <c r="W4379"/>
  <c r="W4380"/>
  <c r="W4381"/>
  <c r="W4382"/>
  <c r="W4383"/>
  <c r="W4384"/>
  <c r="W4385"/>
  <c r="W4386"/>
  <c r="W4387"/>
  <c r="W4388"/>
  <c r="W4389"/>
  <c r="W4390"/>
  <c r="W4391"/>
  <c r="W4392"/>
  <c r="W4393"/>
  <c r="W4394"/>
  <c r="W4395"/>
  <c r="W4396"/>
  <c r="W4397"/>
  <c r="W4398"/>
  <c r="W4399"/>
  <c r="W4400"/>
  <c r="W4401"/>
  <c r="W4402"/>
  <c r="W4403"/>
  <c r="W4404"/>
  <c r="W4405"/>
  <c r="W4406"/>
  <c r="W4407"/>
  <c r="W4408"/>
  <c r="W4409"/>
  <c r="W4410"/>
  <c r="W4411"/>
  <c r="W4412"/>
  <c r="W4413"/>
  <c r="W4414"/>
  <c r="W4415"/>
  <c r="W4416"/>
  <c r="W4417"/>
  <c r="W4418"/>
  <c r="W4419"/>
  <c r="W4420"/>
  <c r="W4421"/>
  <c r="W4422"/>
  <c r="W4423"/>
  <c r="W4424"/>
  <c r="W4425"/>
  <c r="W4426"/>
  <c r="W4427"/>
  <c r="W4428"/>
  <c r="W4429"/>
  <c r="W4430"/>
  <c r="W4431"/>
  <c r="W4432"/>
  <c r="W4433"/>
  <c r="W4434"/>
  <c r="W4435"/>
  <c r="W4436"/>
  <c r="W4437"/>
  <c r="W4438"/>
  <c r="W4439"/>
  <c r="W4440"/>
  <c r="W4441"/>
  <c r="W4442"/>
  <c r="W4443"/>
  <c r="W4444"/>
  <c r="W4445"/>
  <c r="W4446"/>
  <c r="W4447"/>
  <c r="W4448"/>
  <c r="W4449"/>
  <c r="W4450"/>
  <c r="W4451"/>
  <c r="W4452"/>
  <c r="W4453"/>
  <c r="W4454"/>
  <c r="W4455"/>
  <c r="W4456"/>
  <c r="W4457"/>
  <c r="W4458"/>
  <c r="W4459"/>
  <c r="W4460"/>
  <c r="W4461"/>
  <c r="W4462"/>
  <c r="W4463"/>
  <c r="W4464"/>
  <c r="W4465"/>
  <c r="W4466"/>
  <c r="W4467"/>
  <c r="W4468"/>
  <c r="W4469"/>
  <c r="W4470"/>
  <c r="W4471"/>
  <c r="W4472"/>
  <c r="W4473"/>
  <c r="W4474"/>
  <c r="W4475"/>
  <c r="W4476"/>
  <c r="W4477"/>
  <c r="W4478"/>
  <c r="W4479"/>
  <c r="W4480"/>
  <c r="W4481"/>
  <c r="W4482"/>
  <c r="W4483"/>
  <c r="W4484"/>
  <c r="W4485"/>
  <c r="W4486"/>
  <c r="W4487"/>
  <c r="W4488"/>
  <c r="W4489"/>
  <c r="W4490"/>
  <c r="W4491"/>
  <c r="W4492"/>
  <c r="W4493"/>
  <c r="W4494"/>
  <c r="W4495"/>
  <c r="W4496"/>
  <c r="W4497"/>
  <c r="W4498"/>
  <c r="W4499"/>
  <c r="W4500"/>
  <c r="W4501"/>
  <c r="W4502"/>
  <c r="W4503"/>
  <c r="W4504"/>
  <c r="W4505"/>
  <c r="W4506"/>
  <c r="W4507"/>
  <c r="W4508"/>
  <c r="W4509"/>
  <c r="W4510"/>
  <c r="W4511"/>
  <c r="W4512"/>
  <c r="W4513"/>
  <c r="W4514"/>
  <c r="W4515"/>
  <c r="W4516"/>
  <c r="W4517"/>
  <c r="W4518"/>
  <c r="W4519"/>
  <c r="W4520"/>
  <c r="W4521"/>
  <c r="W4522"/>
  <c r="W4523"/>
  <c r="W4524"/>
  <c r="W4525"/>
  <c r="W4526"/>
  <c r="W4527"/>
  <c r="W4528"/>
  <c r="W4529"/>
  <c r="W4530"/>
  <c r="W4531"/>
  <c r="W4532"/>
  <c r="W4533"/>
  <c r="W4534"/>
  <c r="W4535"/>
  <c r="W4536"/>
  <c r="W4537"/>
  <c r="W4538"/>
  <c r="W4539"/>
  <c r="W4540"/>
  <c r="W4541"/>
  <c r="W4542"/>
  <c r="W4543"/>
  <c r="W4544"/>
  <c r="W4545"/>
  <c r="W4546"/>
  <c r="W4547"/>
  <c r="W4548"/>
  <c r="W4549"/>
  <c r="W4550"/>
  <c r="W4551"/>
  <c r="W4552"/>
  <c r="W4553"/>
  <c r="W4554"/>
  <c r="W4555"/>
  <c r="W4556"/>
  <c r="W4557"/>
  <c r="W4558"/>
  <c r="W4559"/>
  <c r="W4560"/>
  <c r="W4561"/>
  <c r="W4562"/>
  <c r="W4563"/>
  <c r="W4564"/>
  <c r="W4565"/>
  <c r="W4566"/>
  <c r="W4567"/>
  <c r="W4568"/>
  <c r="W4569"/>
  <c r="W4570"/>
  <c r="W4571"/>
  <c r="W4572"/>
  <c r="W4573"/>
  <c r="W4574"/>
  <c r="W4575"/>
  <c r="W4576"/>
  <c r="W4577"/>
  <c r="W4578"/>
  <c r="W4579"/>
  <c r="W4580"/>
  <c r="W4581"/>
  <c r="W4582"/>
  <c r="W4583"/>
  <c r="W4584"/>
  <c r="W4585"/>
  <c r="W4586"/>
  <c r="W4587"/>
  <c r="W4588"/>
  <c r="W4589"/>
  <c r="W4590"/>
  <c r="W4591"/>
  <c r="W4592"/>
  <c r="W4593"/>
  <c r="W4594"/>
  <c r="W4595"/>
  <c r="W4596"/>
  <c r="W4597"/>
  <c r="W4598"/>
  <c r="W4599"/>
  <c r="W4600"/>
  <c r="W4601"/>
  <c r="W4602"/>
  <c r="W4603"/>
  <c r="W4604"/>
  <c r="W4605"/>
  <c r="W4606"/>
  <c r="W4607"/>
  <c r="W4608"/>
  <c r="W4609"/>
  <c r="W4610"/>
  <c r="W4611"/>
  <c r="W4612"/>
  <c r="W4613"/>
  <c r="W4614"/>
  <c r="W4615"/>
  <c r="W4616"/>
  <c r="W4617"/>
  <c r="W4618"/>
  <c r="W4619"/>
  <c r="W4620"/>
  <c r="W4621"/>
  <c r="W4622"/>
  <c r="W4623"/>
  <c r="W4624"/>
  <c r="W4625"/>
  <c r="W4626"/>
  <c r="W4627"/>
  <c r="W4628"/>
  <c r="W4629"/>
  <c r="W4630"/>
  <c r="W4631"/>
  <c r="W4632"/>
  <c r="W4633"/>
  <c r="W4634"/>
  <c r="W4635"/>
  <c r="W4636"/>
  <c r="W4637"/>
  <c r="W4638"/>
  <c r="W4639"/>
  <c r="W4640"/>
  <c r="W4641"/>
  <c r="W4642"/>
  <c r="W4643"/>
  <c r="W4644"/>
  <c r="W4645"/>
  <c r="W4646"/>
  <c r="W4647"/>
  <c r="W4648"/>
  <c r="W4649"/>
  <c r="W4650"/>
  <c r="W4651"/>
  <c r="W4652"/>
  <c r="W4653"/>
  <c r="W4654"/>
  <c r="W4655"/>
  <c r="W4656"/>
  <c r="W4657"/>
  <c r="W4658"/>
  <c r="W4659"/>
  <c r="W4660"/>
  <c r="W4661"/>
  <c r="W4662"/>
  <c r="W4663"/>
  <c r="W4664"/>
  <c r="W4665"/>
  <c r="W4666"/>
  <c r="W4667"/>
  <c r="W4668"/>
  <c r="W4669"/>
  <c r="W4670"/>
  <c r="W4671"/>
  <c r="W4672"/>
  <c r="W4673"/>
  <c r="W4674"/>
  <c r="W4675"/>
  <c r="W4676"/>
  <c r="W4677"/>
  <c r="W4678"/>
  <c r="W4679"/>
  <c r="W4680"/>
  <c r="W4681"/>
  <c r="W4682"/>
  <c r="W4683"/>
  <c r="W4684"/>
  <c r="W4685"/>
  <c r="W4686"/>
  <c r="W4687"/>
  <c r="W4688"/>
  <c r="W4689"/>
  <c r="W4690"/>
  <c r="W4691"/>
  <c r="W4692"/>
  <c r="W4693"/>
  <c r="W4694"/>
  <c r="W4695"/>
  <c r="W4696"/>
  <c r="W4697"/>
  <c r="W4698"/>
  <c r="W4699"/>
  <c r="W4700"/>
  <c r="W4701"/>
  <c r="W4702"/>
  <c r="W4703"/>
  <c r="W4704"/>
  <c r="W4705"/>
  <c r="W4706"/>
  <c r="W4707"/>
  <c r="W4708"/>
  <c r="W4709"/>
  <c r="W4710"/>
  <c r="W4711"/>
  <c r="W4712"/>
  <c r="W4713"/>
  <c r="W4714"/>
  <c r="W4715"/>
  <c r="W4716"/>
  <c r="W4717"/>
  <c r="W4718"/>
  <c r="W4719"/>
  <c r="W4720"/>
  <c r="W4721"/>
  <c r="W4722"/>
  <c r="W4723"/>
  <c r="W4724"/>
  <c r="W4725"/>
  <c r="W4726"/>
  <c r="W4727"/>
  <c r="W4728"/>
  <c r="W4729"/>
  <c r="W4730"/>
  <c r="W4731"/>
  <c r="W4732"/>
  <c r="W4733"/>
  <c r="W4734"/>
  <c r="W4735"/>
  <c r="W4736"/>
  <c r="W4737"/>
  <c r="W4738"/>
  <c r="W4739"/>
  <c r="W4740"/>
  <c r="W4741"/>
  <c r="W4742"/>
  <c r="W4743"/>
  <c r="W4744"/>
  <c r="W4745"/>
  <c r="W4746"/>
  <c r="W4747"/>
  <c r="W4748"/>
  <c r="W4749"/>
  <c r="W4750"/>
  <c r="W4751"/>
  <c r="W4752"/>
  <c r="W4753"/>
  <c r="W4754"/>
  <c r="W4755"/>
  <c r="W4756"/>
  <c r="W4757"/>
  <c r="W4758"/>
  <c r="W4759"/>
  <c r="W4760"/>
  <c r="W4761"/>
  <c r="W4762"/>
  <c r="W4763"/>
  <c r="W4764"/>
  <c r="W4765"/>
  <c r="W4766"/>
  <c r="W4767"/>
  <c r="W4768"/>
  <c r="W4769"/>
  <c r="W4770"/>
  <c r="W4771"/>
  <c r="W4772"/>
  <c r="W4773"/>
  <c r="W4774"/>
  <c r="W4775"/>
  <c r="W4776"/>
  <c r="W4777"/>
  <c r="W4778"/>
  <c r="W4779"/>
  <c r="W4780"/>
  <c r="W4781"/>
  <c r="W4782"/>
  <c r="W4783"/>
  <c r="W4784"/>
  <c r="W4785"/>
  <c r="W4786"/>
  <c r="W4787"/>
  <c r="W4788"/>
  <c r="W4789"/>
  <c r="W4790"/>
  <c r="W4791"/>
  <c r="W4792"/>
  <c r="W4793"/>
  <c r="W4794"/>
  <c r="W4795"/>
  <c r="W4796"/>
  <c r="W4797"/>
  <c r="W4798"/>
  <c r="W4799"/>
  <c r="W4800"/>
  <c r="W4801"/>
  <c r="W4802"/>
  <c r="W4803"/>
  <c r="W4804"/>
  <c r="W4805"/>
  <c r="W4806"/>
  <c r="W4807"/>
  <c r="W4808"/>
  <c r="W4809"/>
  <c r="W4810"/>
  <c r="W4811"/>
  <c r="W4812"/>
  <c r="W4813"/>
  <c r="W4814"/>
  <c r="W4815"/>
  <c r="W4816"/>
  <c r="W4817"/>
  <c r="W4818"/>
  <c r="W4819"/>
  <c r="W4820"/>
  <c r="W4821"/>
  <c r="W4822"/>
  <c r="W4823"/>
  <c r="W4824"/>
  <c r="W4825"/>
  <c r="W4826"/>
  <c r="W4827"/>
  <c r="W4828"/>
  <c r="W4829"/>
  <c r="W4830"/>
  <c r="W4831"/>
  <c r="W4832"/>
  <c r="W4833"/>
  <c r="W4834"/>
  <c r="W4835"/>
  <c r="W4836"/>
  <c r="W4837"/>
  <c r="W4838"/>
  <c r="W4839"/>
  <c r="W4840"/>
  <c r="W4841"/>
  <c r="W4842"/>
  <c r="W4843"/>
  <c r="W4844"/>
  <c r="W4845"/>
  <c r="W4846"/>
  <c r="W4847"/>
  <c r="W4848"/>
  <c r="W4849"/>
  <c r="W4850"/>
  <c r="W4851"/>
  <c r="W4852"/>
  <c r="W4853"/>
  <c r="W4854"/>
  <c r="W4855"/>
  <c r="W4856"/>
  <c r="W4857"/>
  <c r="W4858"/>
  <c r="W4859"/>
  <c r="W4860"/>
  <c r="W4861"/>
  <c r="W4862"/>
  <c r="W4863"/>
  <c r="W4864"/>
  <c r="W4865"/>
  <c r="W4866"/>
  <c r="W4867"/>
  <c r="W4868"/>
  <c r="W4869"/>
  <c r="W4870"/>
  <c r="W4871"/>
  <c r="W4872"/>
  <c r="W4873"/>
  <c r="W4874"/>
  <c r="W4875"/>
  <c r="W4876"/>
  <c r="W4877"/>
  <c r="W4878"/>
  <c r="W4879"/>
  <c r="W4880"/>
  <c r="W4881"/>
  <c r="W4882"/>
  <c r="W4883"/>
  <c r="W4884"/>
  <c r="W4885"/>
  <c r="W4886"/>
  <c r="W4887"/>
  <c r="W4888"/>
  <c r="W4889"/>
  <c r="W4890"/>
  <c r="W4891"/>
  <c r="W4892"/>
  <c r="W4893"/>
  <c r="W4894"/>
  <c r="W4895"/>
  <c r="W4896"/>
  <c r="W4897"/>
  <c r="W4898"/>
  <c r="W4899"/>
  <c r="W4900"/>
  <c r="W4901"/>
  <c r="W4902"/>
  <c r="W4903"/>
  <c r="W4904"/>
  <c r="W4905"/>
  <c r="W4906"/>
  <c r="W4907"/>
  <c r="W4908"/>
  <c r="W4909"/>
  <c r="W4910"/>
  <c r="W4911"/>
  <c r="W4912"/>
  <c r="W4913"/>
  <c r="W4914"/>
  <c r="W4915"/>
  <c r="W4916"/>
  <c r="W4917"/>
  <c r="W4918"/>
  <c r="W4919"/>
  <c r="W4920"/>
  <c r="W4921"/>
  <c r="W4922"/>
  <c r="W4923"/>
  <c r="W4924"/>
  <c r="W4925"/>
  <c r="W4926"/>
  <c r="W4927"/>
  <c r="W4928"/>
  <c r="W4929"/>
  <c r="W4930"/>
  <c r="W4931"/>
  <c r="W4932"/>
  <c r="W4933"/>
  <c r="W4934"/>
  <c r="W4935"/>
  <c r="W4936"/>
  <c r="W4937"/>
  <c r="W4938"/>
  <c r="W4939"/>
  <c r="W4940"/>
  <c r="W4941"/>
  <c r="W4942"/>
  <c r="W4943"/>
  <c r="W4944"/>
  <c r="W4945"/>
  <c r="W4946"/>
  <c r="W4947"/>
  <c r="W4948"/>
  <c r="W4949"/>
  <c r="W4950"/>
  <c r="W4951"/>
  <c r="W4952"/>
  <c r="W4953"/>
  <c r="W4954"/>
  <c r="W4955"/>
  <c r="W4956"/>
  <c r="W4957"/>
  <c r="W4958"/>
  <c r="W4959"/>
  <c r="W4960"/>
  <c r="W4961"/>
  <c r="W4962"/>
  <c r="W4963"/>
  <c r="W4964"/>
  <c r="W4965"/>
  <c r="W4966"/>
  <c r="W4967"/>
  <c r="W4968"/>
  <c r="W4969"/>
  <c r="W4970"/>
  <c r="W4971"/>
  <c r="W4972"/>
  <c r="W4973"/>
  <c r="W4974"/>
  <c r="W4975"/>
  <c r="W4976"/>
  <c r="W4977"/>
  <c r="W4978"/>
  <c r="W4979"/>
  <c r="W4980"/>
  <c r="W4981"/>
  <c r="W4982"/>
  <c r="W4983"/>
  <c r="W4984"/>
  <c r="W4985"/>
  <c r="W4986"/>
  <c r="W4987"/>
  <c r="W4988"/>
  <c r="W4989"/>
  <c r="W4990"/>
  <c r="W4991"/>
  <c r="W4992"/>
  <c r="W4993"/>
  <c r="W4994"/>
  <c r="W4995"/>
  <c r="W4996"/>
  <c r="W4997"/>
  <c r="W4998"/>
  <c r="W4999"/>
  <c r="W5000"/>
  <c r="W5001"/>
  <c r="W5002"/>
  <c r="W5003"/>
  <c r="W5004"/>
  <c r="W5005"/>
  <c r="W5006"/>
  <c r="W5007"/>
  <c r="W5008"/>
  <c r="W5009"/>
  <c r="W5010"/>
  <c r="W5011"/>
  <c r="W5012"/>
  <c r="W5013"/>
  <c r="W5014"/>
  <c r="W5015"/>
  <c r="W5016"/>
  <c r="W5017"/>
  <c r="W5018"/>
  <c r="W5019"/>
  <c r="W5020"/>
  <c r="W5021"/>
  <c r="W5022"/>
  <c r="W5023"/>
  <c r="W5024"/>
  <c r="W5025"/>
  <c r="W5026"/>
  <c r="W5027"/>
  <c r="W5028"/>
  <c r="W5029"/>
  <c r="W5030"/>
  <c r="W5031"/>
  <c r="W5032"/>
  <c r="W5033"/>
  <c r="W5034"/>
  <c r="W5035"/>
  <c r="W5036"/>
  <c r="W5037"/>
  <c r="W5038"/>
  <c r="W5039"/>
  <c r="W5040"/>
  <c r="W5041"/>
  <c r="W5042"/>
  <c r="W5043"/>
  <c r="W5044"/>
  <c r="W5045"/>
  <c r="W5046"/>
  <c r="W5047"/>
  <c r="W5048"/>
  <c r="W5049"/>
  <c r="W5050"/>
  <c r="W5051"/>
  <c r="W5052"/>
  <c r="W5053"/>
  <c r="W5054"/>
  <c r="W5055"/>
  <c r="W5056"/>
  <c r="W5057"/>
  <c r="W5058"/>
  <c r="W5059"/>
  <c r="W5060"/>
  <c r="W5061"/>
  <c r="W5062"/>
  <c r="W5063"/>
  <c r="W5064"/>
  <c r="W5065"/>
  <c r="W5066"/>
  <c r="W5067"/>
  <c r="W5068"/>
  <c r="W5069"/>
  <c r="W5070"/>
  <c r="W5071"/>
  <c r="W5072"/>
  <c r="W5073"/>
  <c r="W5074"/>
  <c r="W5075"/>
  <c r="W5076"/>
  <c r="W5077"/>
  <c r="W5078"/>
  <c r="W5079"/>
  <c r="W5080"/>
  <c r="W5081"/>
  <c r="W5082"/>
  <c r="W5083"/>
  <c r="W5084"/>
  <c r="W5085"/>
  <c r="W5086"/>
  <c r="W5087"/>
  <c r="W5088"/>
  <c r="W5089"/>
  <c r="W5090"/>
  <c r="W5091"/>
  <c r="W5092"/>
  <c r="W5093"/>
  <c r="W5094"/>
  <c r="W5095"/>
  <c r="W5096"/>
  <c r="W5097"/>
  <c r="W5098"/>
  <c r="W5099"/>
  <c r="W5100"/>
  <c r="W5101"/>
  <c r="W5102"/>
  <c r="W5103"/>
  <c r="W5104"/>
  <c r="W5105"/>
  <c r="W5106"/>
  <c r="W5107"/>
  <c r="W5108"/>
  <c r="W5109"/>
  <c r="W5110"/>
  <c r="W5111"/>
  <c r="W5112"/>
  <c r="W5113"/>
  <c r="W5114"/>
  <c r="W5115"/>
  <c r="W5116"/>
  <c r="W5117"/>
  <c r="W5118"/>
  <c r="W5119"/>
  <c r="W5120"/>
  <c r="W5121"/>
  <c r="W5122"/>
  <c r="W5123"/>
  <c r="W5124"/>
  <c r="W5125"/>
  <c r="W5126"/>
  <c r="W5127"/>
  <c r="W5128"/>
  <c r="W5129"/>
  <c r="W5130"/>
  <c r="W5131"/>
  <c r="W5132"/>
  <c r="W5133"/>
  <c r="W5134"/>
  <c r="W5135"/>
  <c r="W5136"/>
  <c r="W5137"/>
  <c r="W5138"/>
  <c r="W5139"/>
  <c r="W5140"/>
  <c r="W5141"/>
  <c r="W5142"/>
  <c r="W5143"/>
  <c r="W5144"/>
  <c r="W5145"/>
  <c r="W5146"/>
  <c r="W5147"/>
  <c r="W5148"/>
  <c r="W5149"/>
  <c r="W5150"/>
  <c r="W5151"/>
  <c r="W5152"/>
  <c r="W5153"/>
  <c r="W5154"/>
  <c r="W5155"/>
  <c r="W5156"/>
  <c r="W5157"/>
  <c r="W5158"/>
  <c r="W5159"/>
  <c r="W5160"/>
  <c r="W5161"/>
  <c r="W5162"/>
  <c r="W5163"/>
  <c r="N60" i="2"/>
  <c r="M55"/>
  <c r="P48" s="1"/>
  <c r="G43"/>
  <c r="G29"/>
  <c r="G30"/>
  <c r="G31"/>
  <c r="G32"/>
  <c r="G33"/>
  <c r="G34"/>
  <c r="G35"/>
  <c r="G36"/>
  <c r="G37"/>
  <c r="G38"/>
  <c r="G39"/>
  <c r="G40"/>
  <c r="G41"/>
  <c r="G42"/>
  <c r="G28"/>
  <c r="F28" s="1"/>
  <c r="F27"/>
  <c r="D86" a="1"/>
  <c r="D86" s="1"/>
  <c r="E78"/>
  <c r="W45"/>
  <c r="E56"/>
  <c r="M29"/>
  <c r="N29"/>
  <c r="O29"/>
  <c r="P29"/>
  <c r="M30"/>
  <c r="N30"/>
  <c r="O30"/>
  <c r="P30"/>
  <c r="M31"/>
  <c r="N31"/>
  <c r="O31"/>
  <c r="P31"/>
  <c r="M32"/>
  <c r="N32"/>
  <c r="O32"/>
  <c r="P32"/>
  <c r="M33"/>
  <c r="N33"/>
  <c r="O33"/>
  <c r="P33"/>
  <c r="M34"/>
  <c r="N34"/>
  <c r="O34"/>
  <c r="P34"/>
  <c r="M35"/>
  <c r="N35"/>
  <c r="O35"/>
  <c r="P35"/>
  <c r="M36"/>
  <c r="N36"/>
  <c r="O36"/>
  <c r="P36"/>
  <c r="M37"/>
  <c r="N37"/>
  <c r="O37"/>
  <c r="P37"/>
  <c r="M38"/>
  <c r="N38"/>
  <c r="O38"/>
  <c r="P38"/>
  <c r="M39"/>
  <c r="N39"/>
  <c r="O39"/>
  <c r="P39"/>
  <c r="M40"/>
  <c r="N40"/>
  <c r="O40"/>
  <c r="P40"/>
  <c r="M41"/>
  <c r="N41"/>
  <c r="O41"/>
  <c r="P41"/>
  <c r="M42"/>
  <c r="N42"/>
  <c r="O42"/>
  <c r="P42"/>
  <c r="M43"/>
  <c r="N43"/>
  <c r="O43"/>
  <c r="P43"/>
  <c r="P28"/>
  <c r="O28"/>
  <c r="N28"/>
  <c r="M28"/>
  <c r="D59" l="1"/>
  <c r="B75"/>
  <c r="D81" s="1" a="1"/>
  <c r="D81" s="1"/>
  <c r="D76"/>
  <c r="K95" a="1"/>
  <c r="K95" s="1"/>
  <c r="P53"/>
  <c r="P51"/>
  <c r="P49"/>
  <c r="J95" a="1"/>
  <c r="J95" s="1"/>
  <c r="I95" s="1"/>
  <c r="P47"/>
  <c r="P52"/>
  <c r="P50"/>
  <c r="J56"/>
  <c r="J58" s="1"/>
  <c r="L53" a="1"/>
  <c r="L53" s="1"/>
  <c r="J46"/>
  <c r="K47" a="1"/>
  <c r="K47" s="1"/>
  <c r="L48" a="1"/>
  <c r="L48" s="1"/>
  <c r="L49" a="1"/>
  <c r="L49" s="1"/>
  <c r="L50" a="1"/>
  <c r="L50" s="1"/>
  <c r="K51" a="1"/>
  <c r="K51" s="1"/>
  <c r="K52" a="1"/>
  <c r="K52" s="1"/>
  <c r="K53" a="1"/>
  <c r="K53" s="1"/>
  <c r="J53" s="1"/>
  <c r="L47" a="1"/>
  <c r="L47" s="1"/>
  <c r="K48" a="1"/>
  <c r="K48" s="1"/>
  <c r="K49" a="1"/>
  <c r="K49" s="1"/>
  <c r="K50" a="1"/>
  <c r="K50" s="1"/>
  <c r="L51" a="1"/>
  <c r="L51" s="1"/>
  <c r="L52" a="1"/>
  <c r="L52" s="1"/>
  <c r="J49"/>
  <c r="O17" a="1"/>
  <c r="O17" s="1"/>
  <c r="O16" a="1"/>
  <c r="O16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O23" a="1"/>
  <c r="O23" s="1"/>
  <c r="O22" a="1"/>
  <c r="O22" s="1"/>
  <c r="O21" a="1"/>
  <c r="O21" s="1"/>
  <c r="O20" a="1"/>
  <c r="O20" s="1"/>
  <c r="O19" a="1"/>
  <c r="O19" s="1"/>
  <c r="O18" a="1"/>
  <c r="O18" s="1"/>
  <c r="M18" a="1"/>
  <c r="M18" s="1"/>
  <c r="M23" a="1"/>
  <c r="M23" s="1"/>
  <c r="M21" a="1"/>
  <c r="M21" s="1"/>
  <c r="M19" a="1"/>
  <c r="M19" s="1"/>
  <c r="M17" a="1"/>
  <c r="M17" s="1"/>
  <c r="M16" a="1"/>
  <c r="M16" s="1"/>
  <c r="M22" a="1"/>
  <c r="M22" s="1"/>
  <c r="M20" a="1"/>
  <c r="M20" s="1"/>
  <c r="L2"/>
  <c r="I6" a="1"/>
  <c r="I6" s="1"/>
  <c r="I7" a="1"/>
  <c r="I7" s="1"/>
  <c r="I8" a="1"/>
  <c r="I8" s="1"/>
  <c r="I9" a="1"/>
  <c r="I9" s="1"/>
  <c r="I10" a="1"/>
  <c r="I10" s="1"/>
  <c r="I11" a="1"/>
  <c r="I11" s="1"/>
  <c r="H11" a="1"/>
  <c r="H11" s="1"/>
  <c r="H10" a="1"/>
  <c r="H10" s="1"/>
  <c r="H9" a="1"/>
  <c r="H9" s="1"/>
  <c r="H8" a="1"/>
  <c r="H8" s="1"/>
  <c r="H7" a="1"/>
  <c r="H7" s="1"/>
  <c r="H6" a="1"/>
  <c r="H6" s="1"/>
  <c r="D83" l="1"/>
  <c r="J48"/>
  <c r="J51"/>
  <c r="J47"/>
  <c r="D77"/>
  <c r="P26"/>
  <c r="N26"/>
  <c r="I26"/>
  <c r="L26"/>
  <c r="J52"/>
  <c r="J50"/>
  <c r="C16" a="1"/>
  <c r="C16" s="1"/>
  <c r="J9"/>
  <c r="J6"/>
  <c r="J10"/>
  <c r="J7"/>
  <c r="J11"/>
  <c r="J8"/>
  <c r="D78" l="1"/>
  <c r="D87" s="1"/>
  <c r="F77"/>
  <c r="E87" s="1"/>
  <c r="J26"/>
  <c r="K26"/>
  <c r="M26"/>
  <c r="O26"/>
  <c r="T31" s="1"/>
  <c r="M50" l="1"/>
  <c r="M46"/>
  <c r="M49"/>
  <c r="M53"/>
  <c r="M48"/>
  <c r="M52"/>
  <c r="M47"/>
  <c r="M51"/>
  <c r="U31"/>
  <c r="C62"/>
  <c r="G62" s="1"/>
  <c r="T35"/>
  <c r="T29"/>
  <c r="T38"/>
  <c r="T39"/>
  <c r="T33"/>
  <c r="T28"/>
  <c r="T43"/>
  <c r="T30"/>
  <c r="T37"/>
  <c r="T36"/>
  <c r="T42"/>
  <c r="T41"/>
  <c r="T32"/>
  <c r="T40"/>
  <c r="T34"/>
  <c r="N52" l="1"/>
  <c r="O52" s="1"/>
  <c r="N46"/>
  <c r="J63" s="1"/>
  <c r="N47"/>
  <c r="O47" s="1"/>
  <c r="N49"/>
  <c r="O49" s="1"/>
  <c r="N51"/>
  <c r="O51" s="1"/>
  <c r="J70"/>
  <c r="N53"/>
  <c r="O53" s="1"/>
  <c r="N48"/>
  <c r="O48" s="1"/>
  <c r="J67"/>
  <c r="N50"/>
  <c r="O50" s="1"/>
  <c r="U34"/>
  <c r="C65"/>
  <c r="G65" s="1"/>
  <c r="U32"/>
  <c r="C63"/>
  <c r="G63" s="1"/>
  <c r="U42"/>
  <c r="C73"/>
  <c r="G73" s="1"/>
  <c r="U37"/>
  <c r="C68"/>
  <c r="G68" s="1"/>
  <c r="U43"/>
  <c r="C74"/>
  <c r="G74" s="1"/>
  <c r="U33"/>
  <c r="C64"/>
  <c r="G64" s="1"/>
  <c r="U38"/>
  <c r="C69"/>
  <c r="G69" s="1"/>
  <c r="U35"/>
  <c r="C66"/>
  <c r="G66" s="1"/>
  <c r="U40"/>
  <c r="C71"/>
  <c r="G71" s="1"/>
  <c r="U41"/>
  <c r="C72"/>
  <c r="G72" s="1"/>
  <c r="U36"/>
  <c r="C67"/>
  <c r="G67" s="1"/>
  <c r="U30"/>
  <c r="C61"/>
  <c r="G61" s="1"/>
  <c r="U28"/>
  <c r="C59"/>
  <c r="U39"/>
  <c r="C70"/>
  <c r="G70" s="1"/>
  <c r="U29"/>
  <c r="C60"/>
  <c r="G60" s="1"/>
  <c r="U44"/>
  <c r="U45" s="1"/>
  <c r="U46" s="1"/>
  <c r="U48" s="1"/>
  <c r="J66" l="1"/>
  <c r="J65"/>
  <c r="J68"/>
  <c r="J64"/>
  <c r="J69"/>
  <c r="G59"/>
  <c r="D84"/>
</calcChain>
</file>

<file path=xl/connections.xml><?xml version="1.0" encoding="utf-8"?>
<connections xmlns="http://schemas.openxmlformats.org/spreadsheetml/2006/main">
  <connection id="1" sourceFile="C:\Documents and Settings\ui02173\Meus documentos\Análises pontuais\2013\02 avaliação do cálculo de ferroligas\02 data collection\new data collection\data_collection.accdb" keepAlive="1" name="data_collection" type="5" refreshedVersion="3" background="1" saveData="1">
    <dbPr connection="Provider=Microsoft.ACE.OLEDB.12.0;User ID=Admin;Data Source=C:\Documents and Settings\ui02173\Meus documentos\Análises pontuais\2013\02 avaliação do cálculo de ferroligas\02 data collection\new data collection\data_collection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01 dados de todas as corridsa" commandType="3"/>
  </connection>
  <connection id="2" odcFile="C:\Arquivos de programas\Arquivos comuns\ODBC\Data Sources\MS Access Database (not sharable).dsn" name="MS Access Database (not sharable)" type="1" refreshedVersion="3" background="1" saveData="1">
    <dbPr connection="DSN=MS Access Database;DBQ=C:\Documents and Settings\ui02173\Meus documentos\Análises pontuais\2013\02 avaliação do cálculo de ferroligas\02 data collection\new data collection\data_collection.accdb;DefaultDir=C:\Documents and Settings\ui02173\Meus documentos\Análises pontuais\2013\02 avaliação do cálculo de ferroligas\02 data collection\new data collection;DriverId=25;FIL=MS Access;MaxBufferSize=2048;PageTimeout=5;" command="SELECT * FROM `Consulta1`"/>
  </connection>
</connections>
</file>

<file path=xl/sharedStrings.xml><?xml version="1.0" encoding="utf-8"?>
<sst xmlns="http://schemas.openxmlformats.org/spreadsheetml/2006/main" count="5882" uniqueCount="164">
  <si>
    <t>NUM_CORR_ACI</t>
  </si>
  <si>
    <t>GRAU</t>
  </si>
  <si>
    <t>C_VIS</t>
  </si>
  <si>
    <t>AL_VIS</t>
  </si>
  <si>
    <t>MN_VIS</t>
  </si>
  <si>
    <t>S_VIS</t>
  </si>
  <si>
    <t>SI_VIS</t>
  </si>
  <si>
    <t>P_MAX</t>
  </si>
  <si>
    <t>escoria</t>
  </si>
  <si>
    <t>VOL_RESS</t>
  </si>
  <si>
    <t>cbs</t>
  </si>
  <si>
    <t>mnbs</t>
  </si>
  <si>
    <t>mnp1</t>
  </si>
  <si>
    <t>pp1</t>
  </si>
  <si>
    <t>TEMP</t>
  </si>
  <si>
    <t>OP</t>
  </si>
  <si>
    <t>AA</t>
  </si>
  <si>
    <t>AS</t>
  </si>
  <si>
    <t>AC</t>
  </si>
  <si>
    <t>fator</t>
  </si>
  <si>
    <t>&gt; min</t>
  </si>
  <si>
    <t>&lt; max</t>
  </si>
  <si>
    <t>nível</t>
  </si>
  <si>
    <t>oxidação</t>
  </si>
  <si>
    <t>&gt;= min</t>
  </si>
  <si>
    <t>&lt;= max</t>
  </si>
  <si>
    <t>(-1)</t>
  </si>
  <si>
    <t>(+1)</t>
  </si>
  <si>
    <t>(OP)</t>
  </si>
  <si>
    <t>Mn bs</t>
  </si>
  <si>
    <t>(mnbs)</t>
  </si>
  <si>
    <t>tfs</t>
  </si>
  <si>
    <t>(TEMP)</t>
  </si>
  <si>
    <t>ressopro</t>
  </si>
  <si>
    <t>(VOL_RESS)</t>
  </si>
  <si>
    <t>escória</t>
  </si>
  <si>
    <t>(escoria)</t>
  </si>
  <si>
    <t>Mn visado</t>
  </si>
  <si>
    <t>(MN_VIS)</t>
  </si>
  <si>
    <t>(grau)</t>
  </si>
  <si>
    <t>Grau</t>
  </si>
  <si>
    <t>linha</t>
  </si>
  <si>
    <t>count</t>
  </si>
  <si>
    <t>fator 1</t>
  </si>
  <si>
    <t>fator 5</t>
  </si>
  <si>
    <t>fator 6</t>
  </si>
  <si>
    <t>form_minus</t>
  </si>
  <si>
    <t>form_plus</t>
  </si>
  <si>
    <t>IF(dados[OP]&gt;=$C$6,IF(dados[OP]&lt;=$D$6,</t>
  </si>
  <si>
    <t>IF(dados[MN_VIS]&gt;=$C$11,IF(dados[MN_VIS]&lt;=$D$11,</t>
  </si>
  <si>
    <t>IF(dados[escoria]&gt;=$C$10,IF(dados[escoria]&lt;=$D$10,</t>
  </si>
  <si>
    <t>IF(dados[VOL_RESS]&gt;=$C$9,IF(dados[VOL_RESS]&lt;=$D$9,</t>
  </si>
  <si>
    <t>IF(dados[TEMP]&gt;=$C$8,IF(dados[TEMP]&lt;=$D$8,</t>
  </si>
  <si>
    <t>IF(dados[mnbs]&gt;=$C$7,IF(dados[mnbs]&lt;=$D$7,</t>
  </si>
  <si>
    <t>IF(dados[OP]&gt;=$E$6,IF(dados[OP]&lt;=$F$6,</t>
  </si>
  <si>
    <t>IF(dados[mnbs]&gt;=$E$7,IF(dados[mnbs]&lt;=$F$7,</t>
  </si>
  <si>
    <t>IF(dados[TEMP]&gt;=$E$8,IF(dados[TEMP]&lt;=$F$8,</t>
  </si>
  <si>
    <t>IF(dados[VOL_RESS]&gt;=$E$9,IF(dados[VOL_RESS]&lt;=$F$9,</t>
  </si>
  <si>
    <t>IF(dados[escoria]&gt;=$E$10,IF(dados[escoria]&lt;=$F$10,</t>
  </si>
  <si>
    <t>IF(dados[MN_VIS]&gt;=$E$11,IF(dados[MN_VIS]&lt;=$F$11,</t>
  </si>
  <si>
    <r>
      <t xml:space="preserve">número de </t>
    </r>
    <r>
      <rPr>
        <i/>
        <sz val="10"/>
        <color theme="1"/>
        <rFont val="Arial"/>
        <family val="2"/>
      </rPr>
      <t>runs</t>
    </r>
    <r>
      <rPr>
        <sz val="10"/>
        <color theme="1"/>
        <rFont val="Arial"/>
        <family val="2"/>
      </rPr>
      <t xml:space="preserve"> simultâneos.</t>
    </r>
  </si>
  <si>
    <t>fator1</t>
  </si>
  <si>
    <t>fator2</t>
  </si>
  <si>
    <t>fator3</t>
  </si>
  <si>
    <t>(0)</t>
  </si>
  <si>
    <t>total</t>
  </si>
  <si>
    <t>fator4</t>
  </si>
  <si>
    <t>fator5</t>
  </si>
  <si>
    <t>(*) somente isso daqui já é um problema e tanto.</t>
  </si>
  <si>
    <t>fator6</t>
  </si>
  <si>
    <t>OPPM</t>
  </si>
  <si>
    <t>ESCÓRIA</t>
  </si>
  <si>
    <t>VISADO</t>
  </si>
  <si>
    <t>RENDIMENTO</t>
  </si>
  <si>
    <t>bloco1</t>
  </si>
  <si>
    <t>assemble</t>
  </si>
  <si>
    <t>-111</t>
  </si>
  <si>
    <t>-1-1-1</t>
  </si>
  <si>
    <t>-11-1</t>
  </si>
  <si>
    <t>11-1</t>
  </si>
  <si>
    <t>-1-11</t>
  </si>
  <si>
    <t>1-11</t>
  </si>
  <si>
    <t>111</t>
  </si>
  <si>
    <t>1-1-1</t>
  </si>
  <si>
    <t>Corrida</t>
  </si>
  <si>
    <t>fatores</t>
  </si>
  <si>
    <t>rend</t>
  </si>
  <si>
    <t>intercept</t>
  </si>
  <si>
    <t>oppm</t>
  </si>
  <si>
    <t>pus</t>
  </si>
  <si>
    <t>minus</t>
  </si>
  <si>
    <t>A</t>
  </si>
  <si>
    <t>B</t>
  </si>
  <si>
    <t>C</t>
  </si>
  <si>
    <t>A*B</t>
  </si>
  <si>
    <t>A*C</t>
  </si>
  <si>
    <t>B*C</t>
  </si>
  <si>
    <t>A*B*C</t>
  </si>
  <si>
    <t>effect</t>
  </si>
  <si>
    <t>model</t>
  </si>
  <si>
    <t>const</t>
  </si>
  <si>
    <t>oppm*escoria</t>
  </si>
  <si>
    <t>oppm*visado</t>
  </si>
  <si>
    <t>escoria*visado</t>
  </si>
  <si>
    <t>oppm*escoria*visado</t>
  </si>
  <si>
    <t>MINITAB's output</t>
  </si>
  <si>
    <t>Term</t>
  </si>
  <si>
    <t>Effect</t>
  </si>
  <si>
    <t>Coef</t>
  </si>
  <si>
    <t>SE Coef</t>
  </si>
  <si>
    <t>T</t>
  </si>
  <si>
    <t>P</t>
  </si>
  <si>
    <t>Constant</t>
  </si>
  <si>
    <t>visado</t>
  </si>
  <si>
    <t>standard deviation</t>
  </si>
  <si>
    <t>n</t>
  </si>
  <si>
    <t>SE</t>
  </si>
  <si>
    <t>SqrError</t>
  </si>
  <si>
    <t>MEAN SQUARED ERROR -&gt;</t>
  </si>
  <si>
    <t>SUM of SQUARED ERRORS -&gt;</t>
  </si>
  <si>
    <t>ROOT MEAN SQUARED ERROR -&gt;</t>
  </si>
  <si>
    <t>Actual</t>
  </si>
  <si>
    <t>df</t>
  </si>
  <si>
    <t>FITS1</t>
  </si>
  <si>
    <t>MSE</t>
  </si>
  <si>
    <t>SSE</t>
  </si>
  <si>
    <t>RMSE</t>
  </si>
  <si>
    <t>R2</t>
  </si>
  <si>
    <t>SST</t>
  </si>
  <si>
    <t>yBAR</t>
  </si>
  <si>
    <t>ACTUAL R2</t>
  </si>
  <si>
    <t>SE Coeff</t>
  </si>
  <si>
    <t>SSE/(n-2)</t>
  </si>
  <si>
    <t>sigma hat</t>
  </si>
  <si>
    <t>SST(oppm)</t>
  </si>
  <si>
    <t>SE(coeff)</t>
  </si>
  <si>
    <t>SE - SQUARED ERROR</t>
  </si>
  <si>
    <t>SE = sb1 = sqrt [ Σ(yi - ŷi)2 / (n - 2) ] / sqrt [ Σ(xi - xbar)2 ]</t>
  </si>
  <si>
    <t>xbar =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</si>
  <si>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Arial"/>
        <family val="2"/>
      </rPr>
      <t>(xi - xbar)^2</t>
    </r>
  </si>
  <si>
    <t>% var</t>
  </si>
  <si>
    <t>T stat</t>
  </si>
  <si>
    <t>| T stat |</t>
  </si>
  <si>
    <t>T para p-valor &lt; 5%</t>
  </si>
  <si>
    <t>T stat = Coeff/SE Coeff ~T(df=n-2)</t>
  </si>
  <si>
    <t>Este é o número de graus de liberdade para o limiar de significância para a estatística T do coeficiente. (alpha=5%)</t>
  </si>
  <si>
    <t>df total</t>
  </si>
  <si>
    <t>df coeff</t>
  </si>
  <si>
    <t>df erro</t>
  </si>
  <si>
    <t>Main efect plots</t>
  </si>
  <si>
    <t>(+)</t>
  </si>
  <si>
    <t>(-)</t>
  </si>
  <si>
    <t>oppm*escória</t>
  </si>
  <si>
    <t>escória*visado</t>
  </si>
  <si>
    <t>oppm*escória*visado</t>
  </si>
  <si>
    <t>Rótulos de Linha</t>
  </si>
  <si>
    <t>Total geral</t>
  </si>
  <si>
    <t>Contar de Corrida</t>
  </si>
  <si>
    <t>Rótulos de Coluna</t>
  </si>
  <si>
    <t>N</t>
  </si>
  <si>
    <t>Intercepto</t>
  </si>
  <si>
    <t>AB</t>
  </si>
  <si>
    <t>BC</t>
  </si>
  <si>
    <t>ABC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</si>
</sst>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000"/>
    <numFmt numFmtId="166" formatCode="0.00000"/>
  </numFmts>
  <fonts count="11">
    <font>
      <sz val="10"/>
      <color theme="1"/>
      <name val="Verdan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36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10"/>
      <color theme="1"/>
      <name val="Verdana"/>
      <family val="2"/>
    </font>
    <font>
      <sz val="10"/>
      <color theme="1"/>
      <name val="Symbol"/>
      <family val="1"/>
      <charset val="2"/>
    </font>
    <font>
      <b/>
      <u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NumberFormat="1"/>
    <xf numFmtId="0" fontId="1" fillId="2" borderId="0" xfId="0" applyFont="1" applyFill="1"/>
    <xf numFmtId="0" fontId="1" fillId="0" borderId="0" xfId="0" quotePrefix="1" applyFont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3" borderId="2" xfId="0" applyFont="1" applyFill="1" applyBorder="1"/>
    <xf numFmtId="0" fontId="0" fillId="3" borderId="3" xfId="0" applyNumberFormat="1" applyFont="1" applyFill="1" applyBorder="1"/>
    <xf numFmtId="0" fontId="0" fillId="4" borderId="2" xfId="0" applyFont="1" applyFill="1" applyBorder="1"/>
    <xf numFmtId="0" fontId="0" fillId="3" borderId="4" xfId="0" applyFont="1" applyFill="1" applyBorder="1"/>
    <xf numFmtId="0" fontId="0" fillId="4" borderId="3" xfId="0" applyNumberFormat="1" applyFont="1" applyFill="1" applyBorder="1"/>
    <xf numFmtId="0" fontId="0" fillId="3" borderId="5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1" fillId="0" borderId="1" xfId="0" applyFont="1" applyBorder="1" applyAlignment="1">
      <alignment horizontal="center"/>
    </xf>
    <xf numFmtId="164" fontId="1" fillId="0" borderId="0" xfId="0" applyNumberFormat="1" applyFont="1"/>
    <xf numFmtId="0" fontId="1" fillId="0" borderId="0" xfId="0" applyFont="1" applyAlignment="1">
      <alignment horizontal="right"/>
    </xf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164" fontId="1" fillId="0" borderId="1" xfId="0" applyNumberFormat="1" applyFont="1" applyBorder="1"/>
    <xf numFmtId="166" fontId="1" fillId="0" borderId="0" xfId="0" applyNumberFormat="1" applyFont="1"/>
    <xf numFmtId="164" fontId="2" fillId="0" borderId="0" xfId="0" applyNumberFormat="1" applyFont="1"/>
    <xf numFmtId="0" fontId="7" fillId="2" borderId="0" xfId="0" applyFont="1" applyFill="1"/>
    <xf numFmtId="9" fontId="1" fillId="0" borderId="0" xfId="1" applyFont="1"/>
    <xf numFmtId="165" fontId="7" fillId="2" borderId="0" xfId="0" applyNumberFormat="1" applyFont="1" applyFill="1"/>
    <xf numFmtId="0" fontId="1" fillId="0" borderId="1" xfId="0" applyFont="1" applyBorder="1" applyAlignment="1">
      <alignment horizontal="left"/>
    </xf>
    <xf numFmtId="0" fontId="1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13722427162890358"/>
          <c:y val="5.0925925925925923E-2"/>
          <c:w val="0.83991451740631273"/>
          <c:h val="0.84610071791617514"/>
        </c:manualLayout>
      </c:layout>
      <c:lineChart>
        <c:grouping val="standard"/>
        <c:ser>
          <c:idx val="0"/>
          <c:order val="0"/>
          <c:tx>
            <c:strRef>
              <c:f>table!$I$47</c:f>
              <c:strCache>
                <c:ptCount val="1"/>
                <c:pt idx="0">
                  <c:v>oppm</c:v>
                </c:pt>
              </c:strCache>
            </c:strRef>
          </c:tx>
          <c:spPr>
            <a:ln w="38100">
              <a:solidFill>
                <a:srgbClr val="0000FF"/>
              </a:solidFill>
            </a:ln>
          </c:spPr>
          <c:marker>
            <c:symbol val="triangle"/>
            <c:size val="9"/>
            <c:spPr>
              <a:solidFill>
                <a:sysClr val="window" lastClr="FFFFFF"/>
              </a:solidFill>
              <a:ln w="38100">
                <a:solidFill>
                  <a:srgbClr val="0000FF"/>
                </a:solidFill>
              </a:ln>
            </c:spPr>
          </c:marker>
          <c:cat>
            <c:strRef>
              <c:f>table!$K$45:$L$45</c:f>
              <c:strCache>
                <c:ptCount val="2"/>
                <c:pt idx="0">
                  <c:v>(-)</c:v>
                </c:pt>
                <c:pt idx="1">
                  <c:v>(+)</c:v>
                </c:pt>
              </c:strCache>
            </c:strRef>
          </c:cat>
          <c:val>
            <c:numRef>
              <c:f>table!$K$47:$L$47</c:f>
              <c:numCache>
                <c:formatCode>General</c:formatCode>
                <c:ptCount val="2"/>
                <c:pt idx="0">
                  <c:v>0.83698992988058429</c:v>
                </c:pt>
                <c:pt idx="1">
                  <c:v>0.88012411788790179</c:v>
                </c:pt>
              </c:numCache>
            </c:numRef>
          </c:val>
        </c:ser>
        <c:ser>
          <c:idx val="1"/>
          <c:order val="1"/>
          <c:tx>
            <c:strRef>
              <c:f>table!$I$48</c:f>
              <c:strCache>
                <c:ptCount val="1"/>
                <c:pt idx="0">
                  <c:v>escória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square"/>
            <c:size val="9"/>
            <c:spPr>
              <a:solidFill>
                <a:schemeClr val="bg1"/>
              </a:solidFill>
              <a:ln w="38100">
                <a:solidFill>
                  <a:srgbClr val="FF0000"/>
                </a:solidFill>
              </a:ln>
            </c:spPr>
          </c:marker>
          <c:cat>
            <c:strRef>
              <c:f>table!$K$45:$L$45</c:f>
              <c:strCache>
                <c:ptCount val="2"/>
                <c:pt idx="0">
                  <c:v>(-)</c:v>
                </c:pt>
                <c:pt idx="1">
                  <c:v>(+)</c:v>
                </c:pt>
              </c:strCache>
            </c:strRef>
          </c:cat>
          <c:val>
            <c:numRef>
              <c:f>table!$K$48:$L$48</c:f>
              <c:numCache>
                <c:formatCode>General</c:formatCode>
                <c:ptCount val="2"/>
                <c:pt idx="0">
                  <c:v>0.88099416915137196</c:v>
                </c:pt>
                <c:pt idx="1">
                  <c:v>0.83611987861711401</c:v>
                </c:pt>
              </c:numCache>
            </c:numRef>
          </c:val>
        </c:ser>
        <c:ser>
          <c:idx val="2"/>
          <c:order val="2"/>
          <c:tx>
            <c:strRef>
              <c:f>table!$I$49</c:f>
              <c:strCache>
                <c:ptCount val="1"/>
                <c:pt idx="0">
                  <c:v>visado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9"/>
            <c:spPr>
              <a:solidFill>
                <a:schemeClr val="bg1"/>
              </a:solidFill>
              <a:ln w="38100">
                <a:solidFill>
                  <a:sysClr val="windowText" lastClr="000000"/>
                </a:solidFill>
              </a:ln>
            </c:spPr>
          </c:marker>
          <c:cat>
            <c:strRef>
              <c:f>table!$K$45:$L$45</c:f>
              <c:strCache>
                <c:ptCount val="2"/>
                <c:pt idx="0">
                  <c:v>(-)</c:v>
                </c:pt>
                <c:pt idx="1">
                  <c:v>(+)</c:v>
                </c:pt>
              </c:strCache>
            </c:strRef>
          </c:cat>
          <c:val>
            <c:numRef>
              <c:f>table!$K$49:$L$49</c:f>
              <c:numCache>
                <c:formatCode>General</c:formatCode>
                <c:ptCount val="2"/>
                <c:pt idx="0">
                  <c:v>0.84585605948491649</c:v>
                </c:pt>
                <c:pt idx="1">
                  <c:v>0.8712579882835696</c:v>
                </c:pt>
              </c:numCache>
            </c:numRef>
          </c:val>
        </c:ser>
        <c:marker val="1"/>
        <c:axId val="110520576"/>
        <c:axId val="110535040"/>
      </c:lineChart>
      <c:catAx>
        <c:axId val="110520576"/>
        <c:scaling>
          <c:orientation val="minMax"/>
        </c:scaling>
        <c:axPos val="b"/>
        <c:tickLblPos val="nextTo"/>
        <c:txPr>
          <a:bodyPr/>
          <a:lstStyle/>
          <a:p>
            <a:pPr>
              <a:defRPr sz="1300" b="1">
                <a:latin typeface="Courier New" pitchFamily="49" charset="0"/>
                <a:cs typeface="Courier New" pitchFamily="49" charset="0"/>
              </a:defRPr>
            </a:pPr>
            <a:endParaRPr lang="pt-BR"/>
          </a:p>
        </c:txPr>
        <c:crossAx val="110535040"/>
        <c:crosses val="autoZero"/>
        <c:auto val="1"/>
        <c:lblAlgn val="ctr"/>
        <c:lblOffset val="100"/>
      </c:catAx>
      <c:valAx>
        <c:axId val="110535040"/>
        <c:scaling>
          <c:orientation val="minMax"/>
          <c:min val="0.82000000000000062"/>
        </c:scaling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pt-BR" sz="1200" b="0"/>
                  <a:t>Rendimento</a:t>
                </a:r>
              </a:p>
            </c:rich>
          </c:tx>
          <c:layout>
            <c:manualLayout>
              <c:xMode val="edge"/>
              <c:yMode val="edge"/>
              <c:x val="1.2912290066648235E-2"/>
              <c:y val="0.34745006893990382"/>
            </c:manualLayout>
          </c:layout>
        </c:title>
        <c:numFmt formatCode="General" sourceLinked="1"/>
        <c:tickLblPos val="nextTo"/>
        <c:txPr>
          <a:bodyPr/>
          <a:lstStyle/>
          <a:p>
            <a:pPr>
              <a:defRPr sz="1100"/>
            </a:pPr>
            <a:endParaRPr lang="pt-BR"/>
          </a:p>
        </c:txPr>
        <c:crossAx val="110520576"/>
        <c:crosses val="autoZero"/>
        <c:crossBetween val="between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764403646953291"/>
          <c:y val="0.6624393482424622"/>
          <c:w val="0.26674602627240307"/>
          <c:h val="0.19689619676600989"/>
        </c:manualLayout>
      </c:layout>
      <c:spPr>
        <a:solidFill>
          <a:schemeClr val="bg1"/>
        </a:solidFill>
        <a:ln>
          <a:noFill/>
        </a:ln>
        <a:effectLst/>
      </c:spPr>
      <c:txPr>
        <a:bodyPr/>
        <a:lstStyle/>
        <a:p>
          <a:pPr>
            <a:defRPr sz="1200"/>
          </a:pPr>
          <a:endParaRPr lang="pt-BR"/>
        </a:p>
      </c:txPr>
    </c:legend>
    <c:plotVisOnly val="1"/>
  </c:chart>
  <c:spPr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14434859785435133"/>
          <c:y val="4.2606721152339336E-2"/>
          <c:w val="0.81012217103648521"/>
          <c:h val="0.77714634578070507"/>
        </c:manualLayout>
      </c:layout>
      <c:scatterChart>
        <c:scatterStyle val="lineMarker"/>
        <c:ser>
          <c:idx val="0"/>
          <c:order val="0"/>
          <c:tx>
            <c:strRef>
              <c:f>table!$T$27</c:f>
              <c:strCache>
                <c:ptCount val="1"/>
                <c:pt idx="0">
                  <c:v>model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0000FF"/>
              </a:solidFill>
              <a:ln w="6350">
                <a:solidFill>
                  <a:schemeClr val="tx1"/>
                </a:solidFill>
              </a:ln>
            </c:spPr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1"/>
            <c:trendlineLbl>
              <c:layout>
                <c:manualLayout>
                  <c:x val="0.1840484383654277"/>
                  <c:y val="-8.6139638608687424E-2"/>
                </c:manualLayout>
              </c:layout>
              <c:numFmt formatCode="General" sourceLinked="0"/>
              <c:spPr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200"/>
                  </a:pPr>
                  <a:endParaRPr lang="pt-BR"/>
                </a:p>
              </c:txPr>
            </c:trendlineLbl>
          </c:trendline>
          <c:xVal>
            <c:numRef>
              <c:f>table!$S$28:$S$43</c:f>
              <c:numCache>
                <c:formatCode>General</c:formatCode>
                <c:ptCount val="16"/>
                <c:pt idx="0">
                  <c:v>0.84657726359796226</c:v>
                </c:pt>
                <c:pt idx="1">
                  <c:v>0.82670778274512613</c:v>
                </c:pt>
                <c:pt idx="2">
                  <c:v>0.8839134340508441</c:v>
                </c:pt>
                <c:pt idx="3">
                  <c:v>0.83394893551461247</c:v>
                </c:pt>
                <c:pt idx="4">
                  <c:v>0.84174648496222704</c:v>
                </c:pt>
                <c:pt idx="5">
                  <c:v>0.83134654843304445</c:v>
                </c:pt>
                <c:pt idx="6">
                  <c:v>0.78115270657632152</c:v>
                </c:pt>
                <c:pt idx="7">
                  <c:v>0.85052628316453638</c:v>
                </c:pt>
                <c:pt idx="8">
                  <c:v>0.99896409845613265</c:v>
                </c:pt>
                <c:pt idx="9">
                  <c:v>0.82598730321940494</c:v>
                </c:pt>
                <c:pt idx="10">
                  <c:v>0.88598621106485353</c:v>
                </c:pt>
                <c:pt idx="11">
                  <c:v>0.94586832456204062</c:v>
                </c:pt>
                <c:pt idx="12">
                  <c:v>0.79401793760515516</c:v>
                </c:pt>
                <c:pt idx="13">
                  <c:v>0.80150105686027906</c:v>
                </c:pt>
                <c:pt idx="14">
                  <c:v>0.80796640784996221</c:v>
                </c:pt>
                <c:pt idx="15">
                  <c:v>0.98070160348538571</c:v>
                </c:pt>
              </c:numCache>
            </c:numRef>
          </c:xVal>
          <c:yVal>
            <c:numRef>
              <c:f>table!$T$28:$T$43</c:f>
              <c:numCache>
                <c:formatCode>General</c:formatCode>
                <c:ptCount val="16"/>
                <c:pt idx="0">
                  <c:v>0.83664252317154397</c:v>
                </c:pt>
                <c:pt idx="1">
                  <c:v>0.83664252317154397</c:v>
                </c:pt>
                <c:pt idx="2">
                  <c:v>0.87146299928795012</c:v>
                </c:pt>
                <c:pt idx="3">
                  <c:v>0.87146299928795012</c:v>
                </c:pt>
                <c:pt idx="4">
                  <c:v>0.83654651669763558</c:v>
                </c:pt>
                <c:pt idx="5">
                  <c:v>0.83654651669763558</c:v>
                </c:pt>
                <c:pt idx="6">
                  <c:v>0.80330768036520706</c:v>
                </c:pt>
                <c:pt idx="7">
                  <c:v>0.80330768036520706</c:v>
                </c:pt>
                <c:pt idx="8">
                  <c:v>0.89994388633254663</c:v>
                </c:pt>
                <c:pt idx="9">
                  <c:v>0.89994388633254663</c:v>
                </c:pt>
                <c:pt idx="10">
                  <c:v>0.91592726781344669</c:v>
                </c:pt>
                <c:pt idx="11">
                  <c:v>0.91592726781344669</c:v>
                </c:pt>
                <c:pt idx="12">
                  <c:v>0.81029131173793933</c:v>
                </c:pt>
                <c:pt idx="13">
                  <c:v>0.81029131173793933</c:v>
                </c:pt>
                <c:pt idx="14">
                  <c:v>0.89433400566767407</c:v>
                </c:pt>
                <c:pt idx="15">
                  <c:v>0.89433400566767407</c:v>
                </c:pt>
              </c:numCache>
            </c:numRef>
          </c:yVal>
        </c:ser>
        <c:axId val="110142592"/>
        <c:axId val="110144512"/>
      </c:scatterChart>
      <c:valAx>
        <c:axId val="110142592"/>
        <c:scaling>
          <c:orientation val="minMax"/>
          <c:max val="1.1000000000000001"/>
          <c:min val="0.7000000000000004"/>
        </c:scaling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 b="0"/>
                  <a:t>Rendimento real</a:t>
                </a:r>
              </a:p>
            </c:rich>
          </c:tx>
          <c:layout>
            <c:manualLayout>
              <c:xMode val="edge"/>
              <c:yMode val="edge"/>
              <c:x val="0.438699827906187"/>
              <c:y val="0.91120691890624228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200"/>
            </a:pPr>
            <a:endParaRPr lang="pt-BR"/>
          </a:p>
        </c:txPr>
        <c:crossAx val="110144512"/>
        <c:crosses val="autoZero"/>
        <c:crossBetween val="midCat"/>
        <c:majorUnit val="0.1"/>
      </c:valAx>
      <c:valAx>
        <c:axId val="110144512"/>
        <c:scaling>
          <c:orientation val="minMax"/>
          <c:max val="1"/>
          <c:min val="0.70000000000000062"/>
        </c:scaling>
        <c:axPos val="l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pt-BR" sz="1200" b="0"/>
                  <a:t>Rendimento</a:t>
                </a:r>
                <a:r>
                  <a:rPr lang="pt-BR" sz="1200" b="0" baseline="0"/>
                  <a:t> previsto modelo</a:t>
                </a:r>
                <a:endParaRPr lang="pt-BR" sz="1200" b="0"/>
              </a:p>
            </c:rich>
          </c:tx>
          <c:layout>
            <c:manualLayout>
              <c:xMode val="edge"/>
              <c:yMode val="edge"/>
              <c:x val="2.8249781453462391E-2"/>
              <c:y val="0.14702816696562759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200"/>
            </a:pPr>
            <a:endParaRPr lang="pt-BR"/>
          </a:p>
        </c:txPr>
        <c:crossAx val="110142592"/>
        <c:crosses val="autoZero"/>
        <c:crossBetween val="midCat"/>
        <c:majorUnit val="0.1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spPr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9.2483562254104659E-2"/>
          <c:y val="9.7222222222222224E-2"/>
          <c:w val="0.85612113402061862"/>
          <c:h val="0.55111658141914899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 w="6350">
              <a:solidFill>
                <a:schemeClr val="tx1"/>
              </a:solidFill>
            </a:ln>
          </c:spPr>
          <c:dLbls>
            <c:numFmt formatCode="#,##0.00" sourceLinked="0"/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1200" b="1"/>
                </a:pPr>
                <a:endParaRPr lang="pt-BR"/>
              </a:p>
            </c:txPr>
            <c:showVal val="1"/>
          </c:dLbls>
          <c:cat>
            <c:strRef>
              <c:f>table!$I$46:$I$54</c:f>
              <c:strCache>
                <c:ptCount val="8"/>
                <c:pt idx="1">
                  <c:v>oppm</c:v>
                </c:pt>
                <c:pt idx="2">
                  <c:v>escória</c:v>
                </c:pt>
                <c:pt idx="3">
                  <c:v>visado</c:v>
                </c:pt>
                <c:pt idx="4">
                  <c:v>oppm*escória</c:v>
                </c:pt>
                <c:pt idx="5">
                  <c:v>oppm*visado</c:v>
                </c:pt>
                <c:pt idx="6">
                  <c:v>escória*visado</c:v>
                </c:pt>
                <c:pt idx="7">
                  <c:v>oppm*escória*visado</c:v>
                </c:pt>
              </c:strCache>
            </c:strRef>
          </c:cat>
          <c:val>
            <c:numRef>
              <c:f>table!$O$46:$O$54</c:f>
              <c:numCache>
                <c:formatCode>0.0000</c:formatCode>
                <c:ptCount val="9"/>
                <c:pt idx="1">
                  <c:v>1.7106173711980632</c:v>
                </c:pt>
                <c:pt idx="2">
                  <c:v>1.7796264275351159</c:v>
                </c:pt>
                <c:pt idx="3">
                  <c:v>1.0073907188780458</c:v>
                </c:pt>
                <c:pt idx="4">
                  <c:v>0.92325672320984464</c:v>
                </c:pt>
                <c:pt idx="5">
                  <c:v>0.97602835164174706</c:v>
                </c:pt>
                <c:pt idx="6">
                  <c:v>0.4969872061026841</c:v>
                </c:pt>
                <c:pt idx="7">
                  <c:v>1.3495494818057379</c:v>
                </c:pt>
              </c:numCache>
            </c:numRef>
          </c:val>
        </c:ser>
        <c:gapWidth val="42"/>
        <c:axId val="110752128"/>
        <c:axId val="110753664"/>
      </c:barChart>
      <c:lineChart>
        <c:grouping val="standard"/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table!$I$47:$I$53</c:f>
              <c:strCache>
                <c:ptCount val="7"/>
                <c:pt idx="0">
                  <c:v>oppm</c:v>
                </c:pt>
                <c:pt idx="1">
                  <c:v>escória</c:v>
                </c:pt>
                <c:pt idx="2">
                  <c:v>visado</c:v>
                </c:pt>
                <c:pt idx="3">
                  <c:v>oppm*escória</c:v>
                </c:pt>
                <c:pt idx="4">
                  <c:v>oppm*visado</c:v>
                </c:pt>
                <c:pt idx="5">
                  <c:v>escória*visado</c:v>
                </c:pt>
                <c:pt idx="6">
                  <c:v>oppm*escória*visado</c:v>
                </c:pt>
              </c:strCache>
            </c:strRef>
          </c:cat>
          <c:val>
            <c:numRef>
              <c:f>table!$P$46:$P$54</c:f>
              <c:numCache>
                <c:formatCode>0.0000</c:formatCode>
                <c:ptCount val="9"/>
                <c:pt idx="0">
                  <c:v>2.3060041332991172</c:v>
                </c:pt>
                <c:pt idx="1">
                  <c:v>2.3060041332991172</c:v>
                </c:pt>
                <c:pt idx="2">
                  <c:v>2.3060041332991172</c:v>
                </c:pt>
                <c:pt idx="3">
                  <c:v>2.3060041332991172</c:v>
                </c:pt>
                <c:pt idx="4">
                  <c:v>2.3060041332991172</c:v>
                </c:pt>
                <c:pt idx="5">
                  <c:v>2.3060041332991172</c:v>
                </c:pt>
                <c:pt idx="6">
                  <c:v>2.3060041332991172</c:v>
                </c:pt>
                <c:pt idx="7">
                  <c:v>2.3060041332991172</c:v>
                </c:pt>
                <c:pt idx="8">
                  <c:v>2.3060041332991172</c:v>
                </c:pt>
              </c:numCache>
            </c:numRef>
          </c:val>
        </c:ser>
        <c:marker val="1"/>
        <c:axId val="110752128"/>
        <c:axId val="110753664"/>
      </c:lineChart>
      <c:catAx>
        <c:axId val="110752128"/>
        <c:scaling>
          <c:orientation val="minMax"/>
        </c:scaling>
        <c:axPos val="b"/>
        <c:tickLblPos val="nextTo"/>
        <c:spPr>
          <a:ln w="2540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/>
            </a:pPr>
            <a:endParaRPr lang="pt-BR"/>
          </a:p>
        </c:txPr>
        <c:crossAx val="110753664"/>
        <c:crosses val="autoZero"/>
        <c:auto val="1"/>
        <c:lblAlgn val="ctr"/>
        <c:lblOffset val="100"/>
        <c:tickMarkSkip val="1"/>
      </c:catAx>
      <c:valAx>
        <c:axId val="110753664"/>
        <c:scaling>
          <c:orientation val="minMax"/>
        </c:scaling>
        <c:axPos val="l"/>
        <c:majorGridlines/>
        <c:numFmt formatCode="#,##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/>
            </a:pPr>
            <a:endParaRPr lang="pt-BR"/>
          </a:p>
        </c:txPr>
        <c:crossAx val="110752128"/>
        <c:crosses val="autoZero"/>
        <c:crossBetween val="midCat"/>
      </c:valAx>
    </c:plotArea>
    <c:plotVisOnly val="1"/>
    <c:dispBlanksAs val="gap"/>
  </c:chart>
  <c:spPr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75" workbookViewId="0"/>
  </sheetViews>
  <pageMargins left="0" right="0" top="0" bottom="0" header="0" footer="0"/>
  <pageSetup paperSize="120" orientation="landscape" horizontalDpi="720" verticalDpi="72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80" workbookViewId="0"/>
  </sheetViews>
  <pageMargins left="0" right="0" top="0" bottom="0" header="0" footer="0"/>
  <pageSetup paperSize="120" orientation="landscape" horizontalDpi="720" verticalDpi="72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219" workbookViewId="0" zoomToFit="1"/>
  </sheetViews>
  <pageMargins left="0" right="0" top="0" bottom="0" header="0" footer="0"/>
  <pageSetup paperSize="120" orientation="landscape" horizontalDpi="720" verticalDpi="720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981074</xdr:colOff>
      <xdr:row>19</xdr:row>
      <xdr:rowOff>47625</xdr:rowOff>
    </xdr:from>
    <xdr:to>
      <xdr:col>3</xdr:col>
      <xdr:colOff>533400</xdr:colOff>
      <xdr:row>27</xdr:row>
      <xdr:rowOff>57150</xdr:rowOff>
    </xdr:to>
    <xdr:sp macro="" textlink="">
      <xdr:nvSpPr>
        <xdr:cNvPr id="2" name="Texto Explicativo 1 (Borda e Ênfase) 1"/>
        <xdr:cNvSpPr/>
      </xdr:nvSpPr>
      <xdr:spPr>
        <a:xfrm>
          <a:off x="981074" y="3124200"/>
          <a:ext cx="2152651" cy="1304925"/>
        </a:xfrm>
        <a:prstGeom prst="accentBorderCallout1">
          <a:avLst>
            <a:gd name="adj1" fmla="val 18750"/>
            <a:gd name="adj2" fmla="val -8333"/>
            <a:gd name="adj3" fmla="val -154943"/>
            <a:gd name="adj4" fmla="val 6275"/>
          </a:avLst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pt-BR" sz="800">
              <a:solidFill>
                <a:sysClr val="windowText" lastClr="000000"/>
              </a:solidFill>
              <a:latin typeface="Courier New" pitchFamily="49" charset="0"/>
              <a:cs typeface="Courier New" pitchFamily="49" charset="0"/>
            </a:rPr>
            <a:t>Esses 3 fatores</a:t>
          </a:r>
          <a:r>
            <a:rPr lang="pt-BR" sz="800" baseline="0">
              <a:solidFill>
                <a:sysClr val="windowText" lastClr="000000"/>
              </a:solidFill>
              <a:latin typeface="Courier New" pitchFamily="49" charset="0"/>
              <a:cs typeface="Courier New" pitchFamily="49" charset="0"/>
            </a:rPr>
            <a:t> não são independentes. De fato, eles são acoplados e refletem o estado de oxidação ao final de sopro em relação ao balanço térmico. O melhor seria escrever um fator de oxidação que fosse uma combinação desses 3 talvez adicionando o Mn do gusa.</a:t>
          </a:r>
          <a:endParaRPr lang="pt-BR" sz="800">
            <a:solidFill>
              <a:sysClr val="windowText" lastClr="000000"/>
            </a:solidFill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0</xdr:col>
      <xdr:colOff>1143000</xdr:colOff>
      <xdr:row>4</xdr:row>
      <xdr:rowOff>152400</xdr:rowOff>
    </xdr:from>
    <xdr:to>
      <xdr:col>1</xdr:col>
      <xdr:colOff>9525</xdr:colOff>
      <xdr:row>8</xdr:row>
      <xdr:rowOff>9525</xdr:rowOff>
    </xdr:to>
    <xdr:sp macro="" textlink="">
      <xdr:nvSpPr>
        <xdr:cNvPr id="3" name="Chave esquerda 2"/>
        <xdr:cNvSpPr/>
      </xdr:nvSpPr>
      <xdr:spPr>
        <a:xfrm>
          <a:off x="1143000" y="800100"/>
          <a:ext cx="95250" cy="504825"/>
        </a:xfrm>
        <a:prstGeom prst="leftBrac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14</xdr:col>
      <xdr:colOff>68581</xdr:colOff>
      <xdr:row>54</xdr:row>
      <xdr:rowOff>47625</xdr:rowOff>
    </xdr:from>
    <xdr:to>
      <xdr:col>14</xdr:col>
      <xdr:colOff>285750</xdr:colOff>
      <xdr:row>58</xdr:row>
      <xdr:rowOff>76200</xdr:rowOff>
    </xdr:to>
    <xdr:sp macro="" textlink="">
      <xdr:nvSpPr>
        <xdr:cNvPr id="12" name="Colchete direito 11"/>
        <xdr:cNvSpPr/>
      </xdr:nvSpPr>
      <xdr:spPr>
        <a:xfrm>
          <a:off x="10765156" y="8791575"/>
          <a:ext cx="217169" cy="676275"/>
        </a:xfrm>
        <a:prstGeom prst="rightBracket">
          <a:avLst/>
        </a:prstGeom>
        <a:noFill/>
        <a:ln w="19050">
          <a:solidFill>
            <a:srgbClr val="FF0000"/>
          </a:solidFill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350329" cy="354874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-13107" y="0"/>
    <xdr:ext cx="5394732" cy="354784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17478" y="-4369"/>
    <xdr:ext cx="5387304" cy="353910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0.88673</cdr:x>
      <cdr:y>0.11852</cdr:y>
    </cdr:from>
    <cdr:to>
      <cdr:x>0.96616</cdr:x>
      <cdr:y>0.16854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777084" y="419455"/>
          <a:ext cx="427938" cy="17703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pt-BR" sz="1200" b="1">
              <a:latin typeface="Arial" pitchFamily="34" charset="0"/>
              <a:cs typeface="Arial" pitchFamily="34" charset="0"/>
            </a:rPr>
            <a:t> 2,306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iminas" refreshedDate="41652.663971643517" createdVersion="3" refreshedVersion="3" minRefreshableVersion="3" recordCount="111">
  <cacheSource type="worksheet">
    <worksheetSource name="rend"/>
  </cacheSource>
  <cacheFields count="4">
    <cacheField name="Corrida" numFmtId="0">
      <sharedItems containsSemiMixedTypes="0" containsString="0" containsNumber="1" containsInteger="1" minValue="480755" maxValue="591977"/>
    </cacheField>
    <cacheField name="Grau" numFmtId="0">
      <sharedItems count="2">
        <s v="AS"/>
        <s v="AA"/>
      </sharedItems>
    </cacheField>
    <cacheField name="fatores" numFmtId="0">
      <sharedItems count="8">
        <s v="1-11"/>
        <s v="-111"/>
        <s v="-11-1"/>
        <s v="-1-11"/>
        <s v="11-1"/>
        <s v="-1-1-1"/>
        <s v="111"/>
        <s v="1-1-1"/>
      </sharedItems>
    </cacheField>
    <cacheField name="rend" numFmtId="0">
      <sharedItems containsSemiMixedTypes="0" containsString="0" containsNumber="1" minValue="0.48876792803020336" maxValue="1.209121817917783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1">
  <r>
    <n v="480755"/>
    <x v="0"/>
    <x v="0"/>
    <n v="0.98433218716263959"/>
  </r>
  <r>
    <n v="480989"/>
    <x v="1"/>
    <x v="1"/>
    <n v="0.76053908328058917"/>
  </r>
  <r>
    <n v="481205"/>
    <x v="0"/>
    <x v="2"/>
    <n v="0.8518405672777114"/>
  </r>
  <r>
    <n v="481269"/>
    <x v="1"/>
    <x v="2"/>
    <n v="0.74045103687904734"/>
  </r>
  <r>
    <n v="481414"/>
    <x v="0"/>
    <x v="1"/>
    <n v="0.63987870621335663"/>
  </r>
  <r>
    <n v="481461"/>
    <x v="0"/>
    <x v="3"/>
    <n v="0.66586205093620865"/>
  </r>
  <r>
    <n v="481490"/>
    <x v="0"/>
    <x v="3"/>
    <n v="0.77515957227831522"/>
  </r>
  <r>
    <n v="481491"/>
    <x v="0"/>
    <x v="3"/>
    <n v="0.49341910696632518"/>
  </r>
  <r>
    <n v="481579"/>
    <x v="0"/>
    <x v="3"/>
    <n v="0.82871988559106002"/>
  </r>
  <r>
    <n v="481711"/>
    <x v="0"/>
    <x v="3"/>
    <n v="0.94565492856661559"/>
  </r>
  <r>
    <n v="481867"/>
    <x v="0"/>
    <x v="3"/>
    <n v="0.84505318815023978"/>
  </r>
  <r>
    <n v="482341"/>
    <x v="0"/>
    <x v="4"/>
    <n v="0.80150105686027906"/>
  </r>
  <r>
    <n v="482365"/>
    <x v="0"/>
    <x v="0"/>
    <n v="0.96161417875032418"/>
  </r>
  <r>
    <n v="482446"/>
    <x v="1"/>
    <x v="1"/>
    <n v="0.78237486435213743"/>
  </r>
  <r>
    <n v="482993"/>
    <x v="0"/>
    <x v="0"/>
    <n v="0.88710274297344927"/>
  </r>
  <r>
    <n v="483220"/>
    <x v="1"/>
    <x v="2"/>
    <n v="0.81952085433610433"/>
  </r>
  <r>
    <n v="483440"/>
    <x v="0"/>
    <x v="2"/>
    <n v="0.97198427219830552"/>
  </r>
  <r>
    <n v="483489"/>
    <x v="0"/>
    <x v="0"/>
    <n v="1.1342320523599383"/>
  </r>
  <r>
    <n v="483591"/>
    <x v="0"/>
    <x v="3"/>
    <n v="1.0428114910601027"/>
  </r>
  <r>
    <n v="483624"/>
    <x v="1"/>
    <x v="4"/>
    <n v="0.81188003153492116"/>
  </r>
  <r>
    <n v="483744"/>
    <x v="0"/>
    <x v="5"/>
    <n v="0.82689797462076531"/>
  </r>
  <r>
    <n v="483925"/>
    <x v="0"/>
    <x v="3"/>
    <n v="0.88221383594327851"/>
  </r>
  <r>
    <n v="484243"/>
    <x v="0"/>
    <x v="5"/>
    <n v="0.83118884756499067"/>
  </r>
  <r>
    <n v="484298"/>
    <x v="1"/>
    <x v="1"/>
    <n v="0.83683540778795051"/>
  </r>
  <r>
    <n v="484586"/>
    <x v="1"/>
    <x v="5"/>
    <n v="0.83535532130300749"/>
  </r>
  <r>
    <n v="484644"/>
    <x v="1"/>
    <x v="2"/>
    <n v="0.81595900746598804"/>
  </r>
  <r>
    <n v="484647"/>
    <x v="1"/>
    <x v="5"/>
    <n v="0.77064821092294067"/>
  </r>
  <r>
    <n v="484735"/>
    <x v="0"/>
    <x v="0"/>
    <n v="1.2091218179177832"/>
  </r>
  <r>
    <n v="484790"/>
    <x v="0"/>
    <x v="3"/>
    <n v="0.90461974514001098"/>
  </r>
  <r>
    <n v="484878"/>
    <x v="0"/>
    <x v="1"/>
    <n v="0.87463174461077819"/>
  </r>
  <r>
    <n v="484894"/>
    <x v="1"/>
    <x v="2"/>
    <n v="0.95022160877740558"/>
  </r>
  <r>
    <n v="485128"/>
    <x v="0"/>
    <x v="3"/>
    <n v="0.50121002226139166"/>
  </r>
  <r>
    <n v="485150"/>
    <x v="0"/>
    <x v="1"/>
    <n v="0.89862120009447921"/>
  </r>
  <r>
    <n v="485304"/>
    <x v="0"/>
    <x v="3"/>
    <n v="0.85404446779801646"/>
  </r>
  <r>
    <n v="485334"/>
    <x v="1"/>
    <x v="2"/>
    <n v="0.78452843519915616"/>
  </r>
  <r>
    <n v="485367"/>
    <x v="0"/>
    <x v="3"/>
    <n v="0.88926092977182392"/>
  </r>
  <r>
    <n v="485466"/>
    <x v="1"/>
    <x v="1"/>
    <n v="0.92939721877630654"/>
  </r>
  <r>
    <n v="485494"/>
    <x v="0"/>
    <x v="6"/>
    <n v="0.9894192021528897"/>
  </r>
  <r>
    <n v="485838"/>
    <x v="1"/>
    <x v="3"/>
    <n v="0.89097978167083525"/>
  </r>
  <r>
    <n v="485979"/>
    <x v="1"/>
    <x v="4"/>
    <n v="0.76234650905684709"/>
  </r>
  <r>
    <n v="486234"/>
    <x v="1"/>
    <x v="0"/>
    <n v="0.94328948178747796"/>
  </r>
  <r>
    <n v="486349"/>
    <x v="1"/>
    <x v="6"/>
    <n v="0.88698350230621203"/>
  </r>
  <r>
    <n v="486471"/>
    <x v="0"/>
    <x v="1"/>
    <n v="0.81003154288975432"/>
  </r>
  <r>
    <n v="486507"/>
    <x v="0"/>
    <x v="3"/>
    <n v="0.86635794556157719"/>
  </r>
  <r>
    <n v="486777"/>
    <x v="1"/>
    <x v="5"/>
    <n v="0.93519742237467929"/>
  </r>
  <r>
    <n v="486849"/>
    <x v="0"/>
    <x v="3"/>
    <n v="1.0776690413103085"/>
  </r>
  <r>
    <n v="487241"/>
    <x v="0"/>
    <x v="3"/>
    <n v="0.98505078941050006"/>
  </r>
  <r>
    <n v="487385"/>
    <x v="1"/>
    <x v="5"/>
    <n v="0.88484751138991502"/>
  </r>
  <r>
    <n v="487400"/>
    <x v="0"/>
    <x v="5"/>
    <n v="0.9102349562951495"/>
  </r>
  <r>
    <n v="487877"/>
    <x v="1"/>
    <x v="7"/>
    <n v="0.99896409845613265"/>
  </r>
  <r>
    <n v="488201"/>
    <x v="0"/>
    <x v="5"/>
    <n v="0.88663383151687858"/>
  </r>
  <r>
    <n v="488206"/>
    <x v="0"/>
    <x v="0"/>
    <n v="0.93709564174890192"/>
  </r>
  <r>
    <n v="584603"/>
    <x v="1"/>
    <x v="4"/>
    <n v="0.80782727222369755"/>
  </r>
  <r>
    <n v="584621"/>
    <x v="0"/>
    <x v="5"/>
    <n v="0.91136435268876081"/>
  </r>
  <r>
    <n v="584854"/>
    <x v="0"/>
    <x v="3"/>
    <n v="0.92328084153374324"/>
  </r>
  <r>
    <n v="584857"/>
    <x v="0"/>
    <x v="5"/>
    <n v="0.97819869938108628"/>
  </r>
  <r>
    <n v="584955"/>
    <x v="1"/>
    <x v="1"/>
    <n v="0.80878737393175082"/>
  </r>
  <r>
    <n v="585025"/>
    <x v="0"/>
    <x v="3"/>
    <n v="0.95921423449452781"/>
  </r>
  <r>
    <n v="585046"/>
    <x v="0"/>
    <x v="1"/>
    <n v="0.92656879570684014"/>
  </r>
  <r>
    <n v="585070"/>
    <x v="0"/>
    <x v="1"/>
    <n v="0.84644379487441679"/>
  </r>
  <r>
    <n v="585200"/>
    <x v="0"/>
    <x v="1"/>
    <n v="0.79898178204319326"/>
  </r>
  <r>
    <n v="585486"/>
    <x v="1"/>
    <x v="5"/>
    <n v="0.74741507289215625"/>
  </r>
  <r>
    <n v="585961"/>
    <x v="1"/>
    <x v="5"/>
    <n v="0.83381338976923625"/>
  </r>
  <r>
    <n v="586143"/>
    <x v="1"/>
    <x v="5"/>
    <n v="0.77012725573070051"/>
  </r>
  <r>
    <n v="586149"/>
    <x v="0"/>
    <x v="5"/>
    <n v="0.90853733161763084"/>
  </r>
  <r>
    <n v="586633"/>
    <x v="0"/>
    <x v="0"/>
    <n v="0.90653289784888191"/>
  </r>
  <r>
    <n v="586988"/>
    <x v="0"/>
    <x v="2"/>
    <n v="0.84118617711394739"/>
  </r>
  <r>
    <n v="587230"/>
    <x v="1"/>
    <x v="3"/>
    <n v="0.87684708643085285"/>
  </r>
  <r>
    <n v="587330"/>
    <x v="0"/>
    <x v="2"/>
    <n v="0.61103326723536167"/>
  </r>
  <r>
    <n v="587975"/>
    <x v="0"/>
    <x v="3"/>
    <n v="0.76885633519386887"/>
  </r>
  <r>
    <n v="588045"/>
    <x v="0"/>
    <x v="3"/>
    <n v="0.86051039242493099"/>
  </r>
  <r>
    <n v="588207"/>
    <x v="0"/>
    <x v="5"/>
    <n v="0.85987261146496807"/>
  </r>
  <r>
    <n v="588690"/>
    <x v="1"/>
    <x v="5"/>
    <n v="0.86551904245896039"/>
  </r>
  <r>
    <n v="588787"/>
    <x v="0"/>
    <x v="0"/>
    <n v="1.0265750501620143"/>
  </r>
  <r>
    <n v="588899"/>
    <x v="0"/>
    <x v="0"/>
    <n v="0.96117455090556281"/>
  </r>
  <r>
    <n v="588970"/>
    <x v="1"/>
    <x v="5"/>
    <n v="0.84219131893574017"/>
  </r>
  <r>
    <n v="589075"/>
    <x v="0"/>
    <x v="1"/>
    <n v="0.94936163605756085"/>
  </r>
  <r>
    <n v="589249"/>
    <x v="0"/>
    <x v="0"/>
    <n v="0.9015857443804024"/>
  </r>
  <r>
    <n v="589272"/>
    <x v="0"/>
    <x v="3"/>
    <n v="0.95413594679318503"/>
  </r>
  <r>
    <n v="589468"/>
    <x v="0"/>
    <x v="5"/>
    <n v="0.57633677456717747"/>
  </r>
  <r>
    <n v="589500"/>
    <x v="1"/>
    <x v="6"/>
    <n v="0.90548383817435663"/>
  </r>
  <r>
    <n v="589652"/>
    <x v="0"/>
    <x v="3"/>
    <n v="0.91088710906436787"/>
  </r>
  <r>
    <n v="589743"/>
    <x v="1"/>
    <x v="6"/>
    <n v="0.63143188306931786"/>
  </r>
  <r>
    <n v="589870"/>
    <x v="1"/>
    <x v="2"/>
    <n v="0.89543793757732426"/>
  </r>
  <r>
    <n v="589949"/>
    <x v="0"/>
    <x v="7"/>
    <n v="0.72494816998553069"/>
  </r>
  <r>
    <n v="590036"/>
    <x v="0"/>
    <x v="5"/>
    <n v="1.0399495413498288"/>
  </r>
  <r>
    <n v="590041"/>
    <x v="0"/>
    <x v="5"/>
    <n v="0.74068231036624554"/>
  </r>
  <r>
    <n v="590047"/>
    <x v="1"/>
    <x v="0"/>
    <n v="0.85285933000514802"/>
  </r>
  <r>
    <n v="590080"/>
    <x v="0"/>
    <x v="6"/>
    <n v="0.97198400481788161"/>
  </r>
  <r>
    <n v="590108"/>
    <x v="0"/>
    <x v="5"/>
    <n v="0.72657809897130887"/>
  </r>
  <r>
    <n v="590263"/>
    <x v="0"/>
    <x v="0"/>
    <n v="0.86662354601347302"/>
  </r>
  <r>
    <n v="590367"/>
    <x v="0"/>
    <x v="1"/>
    <n v="0.9102173459904479"/>
  </r>
  <r>
    <n v="590368"/>
    <x v="0"/>
    <x v="3"/>
    <n v="0.48876792803020336"/>
  </r>
  <r>
    <n v="590419"/>
    <x v="0"/>
    <x v="0"/>
    <n v="0.83749583819297446"/>
  </r>
  <r>
    <n v="590477"/>
    <x v="0"/>
    <x v="0"/>
    <n v="0.91289785145775382"/>
  </r>
  <r>
    <n v="590493"/>
    <x v="0"/>
    <x v="7"/>
    <n v="0.9270264364532792"/>
  </r>
  <r>
    <n v="590729"/>
    <x v="1"/>
    <x v="1"/>
    <n v="0.56898229132919442"/>
  </r>
  <r>
    <n v="590763"/>
    <x v="0"/>
    <x v="3"/>
    <n v="0.9405500851555415"/>
  </r>
  <r>
    <n v="590766"/>
    <x v="0"/>
    <x v="3"/>
    <n v="0.54607338621833335"/>
  </r>
  <r>
    <n v="590875"/>
    <x v="0"/>
    <x v="3"/>
    <n v="0.93934012821083857"/>
  </r>
  <r>
    <n v="590964"/>
    <x v="1"/>
    <x v="0"/>
    <n v="0.86180982140193474"/>
  </r>
  <r>
    <n v="590981"/>
    <x v="0"/>
    <x v="5"/>
    <n v="0.79728522535358293"/>
  </r>
  <r>
    <n v="590982"/>
    <x v="0"/>
    <x v="5"/>
    <n v="0.85730692992984281"/>
  </r>
  <r>
    <n v="591143"/>
    <x v="0"/>
    <x v="0"/>
    <n v="0.87685656248424426"/>
  </r>
  <r>
    <n v="591195"/>
    <x v="1"/>
    <x v="2"/>
    <n v="0.93099305188101356"/>
  </r>
  <r>
    <n v="591383"/>
    <x v="0"/>
    <x v="0"/>
    <n v="0.78478420607226718"/>
  </r>
  <r>
    <n v="591402"/>
    <x v="0"/>
    <x v="5"/>
    <n v="0.54954925548867328"/>
  </r>
  <r>
    <n v="591468"/>
    <x v="0"/>
    <x v="2"/>
    <n v="0.8806884583398964"/>
  </r>
  <r>
    <n v="591724"/>
    <x v="1"/>
    <x v="2"/>
    <n v="0.7968599475817767"/>
  </r>
  <r>
    <n v="591826"/>
    <x v="1"/>
    <x v="5"/>
    <n v="0.92278595266401664"/>
  </r>
  <r>
    <n v="591977"/>
    <x v="1"/>
    <x v="5"/>
    <n v="0.904449401136233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I33:AL43" firstHeaderRow="1" firstDataRow="2" firstDataCol="1"/>
  <pivotFields count="4">
    <pivotField dataField="1" showAll="0"/>
    <pivotField axis="axisCol" showAll="0">
      <items count="3">
        <item x="1"/>
        <item x="0"/>
        <item t="default"/>
      </items>
    </pivotField>
    <pivotField axis="axisRow" showAll="0">
      <items count="9">
        <item x="6"/>
        <item x="4"/>
        <item x="0"/>
        <item x="7"/>
        <item x="1"/>
        <item x="2"/>
        <item x="3"/>
        <item x="5"/>
        <item t="default"/>
      </items>
    </pivotField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ntar de Corrida" fld="0" subtotal="count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ta_collection.accdb" connectionId="1" autoFormatId="16" applyNumberFormats="0" applyBorderFormats="0" applyFontFormats="0" applyPatternFormats="0" applyAlignmentFormats="0" applyWidthHeightFormats="0">
  <queryTableRefresh nextId="42" unboundColumnsRight="7">
    <queryTableFields count="23">
      <queryTableField id="2" name="GRAU" tableColumnId="2"/>
      <queryTableField id="27" name="NUM_CORR_ACI" tableColumnId="5"/>
      <queryTableField id="28" name="C_VIS" tableColumnId="6"/>
      <queryTableField id="29" name="AL_VIS" tableColumnId="7"/>
      <queryTableField id="30" name="MN_VIS" tableColumnId="8"/>
      <queryTableField id="31" name="S_VIS" tableColumnId="9"/>
      <queryTableField id="32" name="SI_VIS" tableColumnId="10"/>
      <queryTableField id="33" name="P_MAX" tableColumnId="11"/>
      <queryTableField id="34" name="escoria" tableColumnId="12"/>
      <queryTableField id="35" name="VOL_RESS" tableColumnId="13"/>
      <queryTableField id="36" name="cbs" tableColumnId="14"/>
      <queryTableField id="37" name="mnbs" tableColumnId="15"/>
      <queryTableField id="38" name="mnp1" tableColumnId="16"/>
      <queryTableField id="39" name="pp1" tableColumnId="24"/>
      <queryTableField id="40" name="TEMP" tableColumnId="25"/>
      <queryTableField id="41" name="OP" tableColumnId="2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.xml><?xml version="1.0" encoding="utf-8"?>
<queryTable xmlns="http://schemas.openxmlformats.org/spreadsheetml/2006/main" name="MS Access Database (not sharable)" connectionId="2" autoFormatId="16" applyNumberFormats="0" applyBorderFormats="0" applyFontFormats="0" applyPatternFormats="0" applyAlignmentFormats="0" applyWidthHeightFormats="0">
  <queryTableRefresh nextId="5">
    <queryTableFields count="4">
      <queryTableField id="1" name="Corrida" tableColumnId="1"/>
      <queryTableField id="2" name="Grau" tableColumnId="2"/>
      <queryTableField id="3" name="fatores" tableColumnId="3"/>
      <queryTableField id="4" name="re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dados" displayName="dados" ref="A1:W5163" tableType="queryTable" totalsRowShown="0">
  <tableColumns count="23">
    <tableColumn id="2" uniqueName="2" name="GRAU" queryTableFieldId="2"/>
    <tableColumn id="5" uniqueName="5" name="NUM_CORR_ACI" queryTableFieldId="27"/>
    <tableColumn id="6" uniqueName="6" name="C_VIS" queryTableFieldId="28"/>
    <tableColumn id="7" uniqueName="7" name="AL_VIS" queryTableFieldId="29"/>
    <tableColumn id="8" uniqueName="8" name="MN_VIS" queryTableFieldId="30"/>
    <tableColumn id="9" uniqueName="9" name="S_VIS" queryTableFieldId="31"/>
    <tableColumn id="10" uniqueName="10" name="SI_VIS" queryTableFieldId="32"/>
    <tableColumn id="11" uniqueName="11" name="P_MAX" queryTableFieldId="33"/>
    <tableColumn id="12" uniqueName="12" name="escoria" queryTableFieldId="34"/>
    <tableColumn id="13" uniqueName="13" name="VOL_RESS" queryTableFieldId="35"/>
    <tableColumn id="14" uniqueName="14" name="cbs" queryTableFieldId="36"/>
    <tableColumn id="15" uniqueName="15" name="mnbs" queryTableFieldId="37"/>
    <tableColumn id="16" uniqueName="16" name="mnp1" queryTableFieldId="38"/>
    <tableColumn id="24" uniqueName="24" name="pp1" queryTableFieldId="39"/>
    <tableColumn id="25" uniqueName="25" name="TEMP" queryTableFieldId="40"/>
    <tableColumn id="26" uniqueName="26" name="OP" queryTableFieldId="41"/>
    <tableColumn id="17" uniqueName="17" name="fator1" queryTableFieldId="17" dataDxfId="12">
      <calculatedColumnFormula>IF(AND(#REF!&gt;=table!$C$6,#REF!&lt;= table!$D$6),-1,IF(AND(#REF!&gt;=table!$E$6,#REF!&lt;=table!$F$6),1,0))</calculatedColumnFormula>
    </tableColumn>
    <tableColumn id="18" uniqueName="18" name="fator2" queryTableFieldId="18" dataDxfId="11">
      <calculatedColumnFormula>IF(AND(#REF!&gt;=table!$C$7,#REF!&lt;= table!$D$7),-1,IF(AND(#REF!&gt;=table!$E$7,#REF!&lt;=table!$F$7),1,0))</calculatedColumnFormula>
    </tableColumn>
    <tableColumn id="19" uniqueName="19" name="fator3" queryTableFieldId="19" dataDxfId="10">
      <calculatedColumnFormula>IF(AND(#REF!&gt;=table!$C$8,#REF!&lt;= table!$D$8),-1,IF(AND(#REF!&gt;=table!$E$8,#REF!&lt;=table!$F$8),1,0))</calculatedColumnFormula>
    </tableColumn>
    <tableColumn id="20" uniqueName="20" name="fator4" queryTableFieldId="20" dataDxfId="9"/>
    <tableColumn id="21" uniqueName="21" name="fator5" queryTableFieldId="21" dataDxfId="8">
      <calculatedColumnFormula>IF(AND(#REF!&gt;=table!$C$10,#REF!&lt;= table!$D$10),-1,IF(AND(#REF!&gt;=table!$E$10,#REF!&lt;=table!$F$10),1,0))</calculatedColumnFormula>
    </tableColumn>
    <tableColumn id="22" uniqueName="22" name="fator6" queryTableFieldId="22" dataDxfId="7">
      <calculatedColumnFormula>IF(AND(#REF!&gt;=table!$C$11,#REF!&lt;= table!$D$11),-1,IF(AND(#REF!&gt;=table!$E$11,#REF!&lt;=table!$F$11),1,0))</calculatedColumnFormula>
    </tableColumn>
    <tableColumn id="23" uniqueName="23" name="assemble" queryTableFieldId="23" dataDxfId="6">
      <calculatedColumnFormula>CONCATENATE(dados[[#This Row],[fator1]],dados[[#This Row],[fator5]],dados[[#This Row],[fator6]])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rend" displayName="rend" ref="AD25:AG136" tableType="queryTable" totalsRowShown="0" headerRowDxfId="5" dataDxfId="4">
  <autoFilter ref="AD25:AG136"/>
  <tableColumns count="4">
    <tableColumn id="1" uniqueName="1" name="Corrida" queryTableFieldId="1" dataDxfId="3"/>
    <tableColumn id="2" uniqueName="2" name="Grau" queryTableFieldId="2" dataDxfId="2"/>
    <tableColumn id="3" uniqueName="3" name="fatores" queryTableFieldId="3" dataDxfId="1"/>
    <tableColumn id="4" uniqueName="4" name="rend" queryTableFieldId="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K5163"/>
  <sheetViews>
    <sheetView workbookViewId="0">
      <selection activeCell="P1" sqref="O1:P1048576"/>
    </sheetView>
  </sheetViews>
  <sheetFormatPr defaultRowHeight="12.75"/>
  <cols>
    <col min="1" max="1" width="7.875" customWidth="1"/>
    <col min="2" max="2" width="17.5" customWidth="1"/>
    <col min="3" max="3" width="8.5" customWidth="1"/>
    <col min="4" max="4" width="9.5" customWidth="1"/>
    <col min="5" max="5" width="10" customWidth="1"/>
    <col min="6" max="6" width="8.375" customWidth="1"/>
    <col min="7" max="7" width="9.125" customWidth="1"/>
    <col min="8" max="8" width="9.25" customWidth="1"/>
    <col min="9" max="9" width="9.625" customWidth="1"/>
    <col min="10" max="10" width="12.25" customWidth="1"/>
    <col min="11" max="11" width="7.875" customWidth="1"/>
    <col min="12" max="12" width="8" customWidth="1"/>
    <col min="13" max="13" width="8.875" customWidth="1"/>
    <col min="14" max="14" width="6.875" customWidth="1"/>
    <col min="15" max="15" width="7.75" customWidth="1"/>
    <col min="16" max="16" width="5.5" customWidth="1"/>
    <col min="17" max="19" width="8.5" customWidth="1"/>
    <col min="20" max="21" width="8.5" bestFit="1" customWidth="1"/>
    <col min="22" max="22" width="8.5" customWidth="1"/>
    <col min="23" max="23" width="11.75" customWidth="1"/>
    <col min="24" max="24" width="8.5" bestFit="1" customWidth="1"/>
    <col min="25" max="25" width="8.5" customWidth="1"/>
    <col min="26" max="26" width="11.75" bestFit="1" customWidth="1"/>
    <col min="27" max="27" width="9.625" bestFit="1" customWidth="1"/>
    <col min="28" max="28" width="12.25" bestFit="1" customWidth="1"/>
    <col min="29" max="29" width="7.875" bestFit="1" customWidth="1"/>
    <col min="30" max="30" width="8" bestFit="1" customWidth="1"/>
    <col min="31" max="31" width="8.875" bestFit="1" customWidth="1"/>
    <col min="32" max="32" width="6.875" bestFit="1" customWidth="1"/>
    <col min="33" max="33" width="7.75" bestFit="1" customWidth="1"/>
    <col min="34" max="34" width="5.5" bestFit="1" customWidth="1"/>
    <col min="35" max="37" width="8.5" hidden="1" customWidth="1"/>
    <col min="38" max="40" width="0" hidden="1" customWidth="1"/>
    <col min="41" max="41" width="11.75" bestFit="1" customWidth="1"/>
  </cols>
  <sheetData>
    <row r="1" spans="1:23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61</v>
      </c>
      <c r="R1" t="s">
        <v>62</v>
      </c>
      <c r="S1" t="s">
        <v>63</v>
      </c>
      <c r="T1" t="s">
        <v>66</v>
      </c>
      <c r="U1" t="s">
        <v>67</v>
      </c>
      <c r="V1" t="s">
        <v>69</v>
      </c>
      <c r="W1" t="s">
        <v>75</v>
      </c>
    </row>
    <row r="2" spans="1:23">
      <c r="A2" t="s">
        <v>16</v>
      </c>
      <c r="B2">
        <v>480661</v>
      </c>
      <c r="C2">
        <v>12</v>
      </c>
      <c r="D2">
        <v>40</v>
      </c>
      <c r="E2">
        <v>36</v>
      </c>
      <c r="F2">
        <v>9</v>
      </c>
      <c r="G2">
        <v>0</v>
      </c>
      <c r="H2">
        <v>25</v>
      </c>
      <c r="I2">
        <v>20</v>
      </c>
      <c r="J2">
        <v>0</v>
      </c>
      <c r="K2">
        <v>4.21</v>
      </c>
      <c r="L2">
        <v>16.399999999999999</v>
      </c>
      <c r="M2">
        <v>40.25</v>
      </c>
      <c r="N2">
        <v>16.3</v>
      </c>
      <c r="O2">
        <v>1673</v>
      </c>
      <c r="P2">
        <v>620</v>
      </c>
      <c r="Q2" s="5" t="e">
        <f>IF(AND(#REF!&gt;=table!$C$6,#REF!&lt;= table!$D$6),-1,IF(AND(#REF!&gt;=table!$E$6,#REF!&lt;=table!$F$6),1,0))</f>
        <v>#REF!</v>
      </c>
      <c r="R2" s="5" t="e">
        <f>IF(AND(#REF!&gt;=table!$C$7,#REF!&lt;= table!$D$7),-1,IF(AND(#REF!&gt;=table!$E$7,#REF!&lt;=table!$F$7),1,0))</f>
        <v>#REF!</v>
      </c>
      <c r="S2" s="5" t="e">
        <f>IF(AND(#REF!&gt;=table!$C$8,#REF!&lt;= table!$D$8),-1,IF(AND(#REF!&gt;=table!$E$8,#REF!&lt;=table!$F$8),1,0))</f>
        <v>#REF!</v>
      </c>
      <c r="T2" s="5"/>
      <c r="U2" s="5" t="e">
        <f>IF(AND(#REF!&gt;=table!$C$10,#REF!&lt;= table!$D$10),-1,IF(AND(#REF!&gt;=table!$E$10,#REF!&lt;=table!$F$10),1,0))</f>
        <v>#REF!</v>
      </c>
      <c r="V2" s="5" t="e">
        <f>IF(AND(#REF!&gt;=table!$C$11,#REF!&lt;= table!$D$11),-1,IF(AND(#REF!&gt;=table!$E$11,#REF!&lt;=table!$F$11),1,0))</f>
        <v>#REF!</v>
      </c>
      <c r="W2" s="5" t="e">
        <f>CONCATENATE(dados[[#This Row],[fator1]],dados[[#This Row],[fator5]],dados[[#This Row],[fator6]])</f>
        <v>#REF!</v>
      </c>
    </row>
    <row r="3" spans="1:23">
      <c r="A3" t="s">
        <v>17</v>
      </c>
      <c r="B3">
        <v>480663</v>
      </c>
      <c r="C3">
        <v>20</v>
      </c>
      <c r="D3">
        <v>30</v>
      </c>
      <c r="E3">
        <v>107</v>
      </c>
      <c r="F3">
        <v>6</v>
      </c>
      <c r="G3">
        <v>20</v>
      </c>
      <c r="H3">
        <v>25</v>
      </c>
      <c r="I3">
        <v>567</v>
      </c>
      <c r="J3">
        <v>0</v>
      </c>
      <c r="K3">
        <v>5.32</v>
      </c>
      <c r="L3">
        <v>8.75</v>
      </c>
      <c r="M3">
        <v>82.350000000000009</v>
      </c>
      <c r="N3">
        <v>9.85</v>
      </c>
      <c r="O3">
        <v>1659</v>
      </c>
      <c r="P3">
        <v>554</v>
      </c>
      <c r="Q3" s="5" t="e">
        <f>IF(AND(#REF!&gt;=table!$C$6,#REF!&lt;= table!$D$6),-1,IF(AND(#REF!&gt;=table!$E$6,#REF!&lt;=table!$F$6),1,0))</f>
        <v>#REF!</v>
      </c>
      <c r="R3" s="5" t="e">
        <f>IF(AND(#REF!&gt;=table!$C$7,#REF!&lt;= table!$D$7),-1,IF(AND(#REF!&gt;=table!$E$7,#REF!&lt;=table!$F$7),1,0))</f>
        <v>#REF!</v>
      </c>
      <c r="S3" s="5" t="e">
        <f>IF(AND(#REF!&gt;=table!$C$8,#REF!&lt;= table!$D$8),-1,IF(AND(#REF!&gt;=table!$E$8,#REF!&lt;=table!$F$8),1,0))</f>
        <v>#REF!</v>
      </c>
      <c r="T3" s="5"/>
      <c r="U3" s="5" t="e">
        <f>IF(AND(#REF!&gt;=table!$C$10,#REF!&lt;= table!$D$10),-1,IF(AND(#REF!&gt;=table!$E$10,#REF!&lt;=table!$F$10),1,0))</f>
        <v>#REF!</v>
      </c>
      <c r="V3" s="5" t="e">
        <f>IF(AND(#REF!&gt;=table!$C$11,#REF!&lt;= table!$D$11),-1,IF(AND(#REF!&gt;=table!$E$11,#REF!&lt;=table!$F$11),1,0))</f>
        <v>#REF!</v>
      </c>
      <c r="W3" s="5" t="e">
        <f>CONCATENATE(dados[[#This Row],[fator1]],dados[[#This Row],[fator5]],dados[[#This Row],[fator6]])</f>
        <v>#REF!</v>
      </c>
    </row>
    <row r="4" spans="1:23">
      <c r="A4" t="s">
        <v>17</v>
      </c>
      <c r="B4">
        <v>480664</v>
      </c>
      <c r="C4">
        <v>17</v>
      </c>
      <c r="D4">
        <v>30</v>
      </c>
      <c r="E4">
        <v>140</v>
      </c>
      <c r="F4">
        <v>9</v>
      </c>
      <c r="G4">
        <v>20</v>
      </c>
      <c r="H4">
        <v>25</v>
      </c>
      <c r="I4">
        <v>862</v>
      </c>
      <c r="J4">
        <v>360</v>
      </c>
      <c r="K4">
        <v>3.1350000000000002</v>
      </c>
      <c r="L4">
        <v>9</v>
      </c>
      <c r="M4">
        <v>118.3</v>
      </c>
      <c r="N4">
        <v>21.95</v>
      </c>
      <c r="O4">
        <v>1686</v>
      </c>
      <c r="P4">
        <v>616</v>
      </c>
      <c r="Q4" s="5" t="e">
        <f>IF(AND(#REF!&gt;=table!$C$6,#REF!&lt;= table!$D$6),-1,IF(AND(#REF!&gt;=table!$E$6,#REF!&lt;=table!$F$6),1,0))</f>
        <v>#REF!</v>
      </c>
      <c r="R4" s="5" t="e">
        <f>IF(AND(#REF!&gt;=table!$C$7,#REF!&lt;= table!$D$7),-1,IF(AND(#REF!&gt;=table!$E$7,#REF!&lt;=table!$F$7),1,0))</f>
        <v>#REF!</v>
      </c>
      <c r="S4" s="5" t="e">
        <f>IF(AND(#REF!&gt;=table!$C$8,#REF!&lt;= table!$D$8),-1,IF(AND(#REF!&gt;=table!$E$8,#REF!&lt;=table!$F$8),1,0))</f>
        <v>#REF!</v>
      </c>
      <c r="T4" s="5"/>
      <c r="U4" s="5" t="e">
        <f>IF(AND(#REF!&gt;=table!$C$10,#REF!&lt;= table!$D$10),-1,IF(AND(#REF!&gt;=table!$E$10,#REF!&lt;=table!$F$10),1,0))</f>
        <v>#REF!</v>
      </c>
      <c r="V4" s="5" t="e">
        <f>IF(AND(#REF!&gt;=table!$C$11,#REF!&lt;= table!$D$11),-1,IF(AND(#REF!&gt;=table!$E$11,#REF!&lt;=table!$F$11),1,0))</f>
        <v>#REF!</v>
      </c>
      <c r="W4" s="5" t="e">
        <f>CONCATENATE(dados[[#This Row],[fator1]],dados[[#This Row],[fator5]],dados[[#This Row],[fator6]])</f>
        <v>#REF!</v>
      </c>
    </row>
    <row r="5" spans="1:23">
      <c r="A5" t="s">
        <v>17</v>
      </c>
      <c r="B5">
        <v>480665</v>
      </c>
      <c r="C5">
        <v>18</v>
      </c>
      <c r="D5">
        <v>30</v>
      </c>
      <c r="E5">
        <v>145</v>
      </c>
      <c r="F5">
        <v>6</v>
      </c>
      <c r="G5">
        <v>20</v>
      </c>
      <c r="H5">
        <v>25</v>
      </c>
      <c r="I5">
        <v>0</v>
      </c>
      <c r="J5">
        <v>0</v>
      </c>
      <c r="K5">
        <v>3.9</v>
      </c>
      <c r="L5">
        <v>10.450000000000001</v>
      </c>
      <c r="M5">
        <v>108.85000000000001</v>
      </c>
      <c r="N5">
        <v>9.4</v>
      </c>
      <c r="O5">
        <v>1611</v>
      </c>
      <c r="P5">
        <v>478</v>
      </c>
      <c r="Q5" s="5" t="e">
        <f>IF(AND(#REF!&gt;=table!$C$6,#REF!&lt;= table!$D$6),-1,IF(AND(#REF!&gt;=table!$E$6,#REF!&lt;=table!$F$6),1,0))</f>
        <v>#REF!</v>
      </c>
      <c r="R5" s="5" t="e">
        <f>IF(AND(#REF!&gt;=table!$C$7,#REF!&lt;= table!$D$7),-1,IF(AND(#REF!&gt;=table!$E$7,#REF!&lt;=table!$F$7),1,0))</f>
        <v>#REF!</v>
      </c>
      <c r="S5" s="5" t="e">
        <f>IF(AND(#REF!&gt;=table!$C$8,#REF!&lt;= table!$D$8),-1,IF(AND(#REF!&gt;=table!$E$8,#REF!&lt;=table!$F$8),1,0))</f>
        <v>#REF!</v>
      </c>
      <c r="T5" s="5"/>
      <c r="U5" s="5" t="e">
        <f>IF(AND(#REF!&gt;=table!$C$10,#REF!&lt;= table!$D$10),-1,IF(AND(#REF!&gt;=table!$E$10,#REF!&lt;=table!$F$10),1,0))</f>
        <v>#REF!</v>
      </c>
      <c r="V5" s="5" t="e">
        <f>IF(AND(#REF!&gt;=table!$C$11,#REF!&lt;= table!$D$11),-1,IF(AND(#REF!&gt;=table!$E$11,#REF!&lt;=table!$F$11),1,0))</f>
        <v>#REF!</v>
      </c>
      <c r="W5" s="5" t="e">
        <f>CONCATENATE(dados[[#This Row],[fator1]],dados[[#This Row],[fator5]],dados[[#This Row],[fator6]])</f>
        <v>#REF!</v>
      </c>
    </row>
    <row r="6" spans="1:23">
      <c r="A6" t="s">
        <v>16</v>
      </c>
      <c r="B6">
        <v>480667</v>
      </c>
      <c r="C6">
        <v>9</v>
      </c>
      <c r="D6">
        <v>27</v>
      </c>
      <c r="E6">
        <v>40</v>
      </c>
      <c r="F6">
        <v>8</v>
      </c>
      <c r="G6">
        <v>0</v>
      </c>
      <c r="H6">
        <v>25</v>
      </c>
      <c r="I6">
        <v>68</v>
      </c>
      <c r="J6">
        <v>0</v>
      </c>
      <c r="K6">
        <v>6.9850000000000003</v>
      </c>
      <c r="L6">
        <v>12.63</v>
      </c>
      <c r="M6">
        <v>34.405000000000001</v>
      </c>
      <c r="N6">
        <v>12.42</v>
      </c>
      <c r="O6">
        <v>1658</v>
      </c>
      <c r="P6">
        <v>440</v>
      </c>
      <c r="Q6" s="5" t="e">
        <f>IF(AND(#REF!&gt;=table!$C$6,#REF!&lt;= table!$D$6),-1,IF(AND(#REF!&gt;=table!$E$6,#REF!&lt;=table!$F$6),1,0))</f>
        <v>#REF!</v>
      </c>
      <c r="R6" s="5" t="e">
        <f>IF(AND(#REF!&gt;=table!$C$7,#REF!&lt;= table!$D$7),-1,IF(AND(#REF!&gt;=table!$E$7,#REF!&lt;=table!$F$7),1,0))</f>
        <v>#REF!</v>
      </c>
      <c r="S6" s="5" t="e">
        <f>IF(AND(#REF!&gt;=table!$C$8,#REF!&lt;= table!$D$8),-1,IF(AND(#REF!&gt;=table!$E$8,#REF!&lt;=table!$F$8),1,0))</f>
        <v>#REF!</v>
      </c>
      <c r="T6" s="5"/>
      <c r="U6" s="5" t="e">
        <f>IF(AND(#REF!&gt;=table!$C$10,#REF!&lt;= table!$D$10),-1,IF(AND(#REF!&gt;=table!$E$10,#REF!&lt;=table!$F$10),1,0))</f>
        <v>#REF!</v>
      </c>
      <c r="V6" s="5" t="e">
        <f>IF(AND(#REF!&gt;=table!$C$11,#REF!&lt;= table!$D$11),-1,IF(AND(#REF!&gt;=table!$E$11,#REF!&lt;=table!$F$11),1,0))</f>
        <v>#REF!</v>
      </c>
      <c r="W6" s="5" t="e">
        <f>CONCATENATE(dados[[#This Row],[fator1]],dados[[#This Row],[fator5]],dados[[#This Row],[fator6]])</f>
        <v>#REF!</v>
      </c>
    </row>
    <row r="7" spans="1:23">
      <c r="A7" t="s">
        <v>17</v>
      </c>
      <c r="B7">
        <v>480668</v>
      </c>
      <c r="C7">
        <v>14</v>
      </c>
      <c r="D7">
        <v>30</v>
      </c>
      <c r="E7">
        <v>110</v>
      </c>
      <c r="F7">
        <v>4</v>
      </c>
      <c r="G7">
        <v>20</v>
      </c>
      <c r="H7">
        <v>22</v>
      </c>
      <c r="I7">
        <v>84</v>
      </c>
      <c r="J7">
        <v>0</v>
      </c>
      <c r="K7">
        <v>4.29</v>
      </c>
      <c r="L7">
        <v>9.1</v>
      </c>
      <c r="M7">
        <v>101.2</v>
      </c>
      <c r="N7">
        <v>9.1</v>
      </c>
      <c r="O7">
        <v>1656</v>
      </c>
      <c r="P7">
        <v>629</v>
      </c>
      <c r="Q7" s="5" t="e">
        <f>IF(AND(#REF!&gt;=table!$C$6,#REF!&lt;= table!$D$6),-1,IF(AND(#REF!&gt;=table!$E$6,#REF!&lt;=table!$F$6),1,0))</f>
        <v>#REF!</v>
      </c>
      <c r="R7" s="5" t="e">
        <f>IF(AND(#REF!&gt;=table!$C$7,#REF!&lt;= table!$D$7),-1,IF(AND(#REF!&gt;=table!$E$7,#REF!&lt;=table!$F$7),1,0))</f>
        <v>#REF!</v>
      </c>
      <c r="S7" s="5" t="e">
        <f>IF(AND(#REF!&gt;=table!$C$8,#REF!&lt;= table!$D$8),-1,IF(AND(#REF!&gt;=table!$E$8,#REF!&lt;=table!$F$8),1,0))</f>
        <v>#REF!</v>
      </c>
      <c r="T7" s="5"/>
      <c r="U7" s="5" t="e">
        <f>IF(AND(#REF!&gt;=table!$C$10,#REF!&lt;= table!$D$10),-1,IF(AND(#REF!&gt;=table!$E$10,#REF!&lt;=table!$F$10),1,0))</f>
        <v>#REF!</v>
      </c>
      <c r="V7" s="5" t="e">
        <f>IF(AND(#REF!&gt;=table!$C$11,#REF!&lt;= table!$D$11),-1,IF(AND(#REF!&gt;=table!$E$11,#REF!&lt;=table!$F$11),1,0))</f>
        <v>#REF!</v>
      </c>
      <c r="W7" s="5" t="e">
        <f>CONCATENATE(dados[[#This Row],[fator1]],dados[[#This Row],[fator5]],dados[[#This Row],[fator6]])</f>
        <v>#REF!</v>
      </c>
    </row>
    <row r="8" spans="1:23">
      <c r="A8" t="s">
        <v>17</v>
      </c>
      <c r="B8">
        <v>480669</v>
      </c>
      <c r="C8">
        <v>14</v>
      </c>
      <c r="D8">
        <v>30</v>
      </c>
      <c r="E8">
        <v>110</v>
      </c>
      <c r="F8">
        <v>3</v>
      </c>
      <c r="G8">
        <v>20</v>
      </c>
      <c r="H8">
        <v>22</v>
      </c>
      <c r="I8">
        <v>1248</v>
      </c>
      <c r="J8">
        <v>0</v>
      </c>
      <c r="K8">
        <v>3.33</v>
      </c>
      <c r="L8">
        <v>6.45</v>
      </c>
      <c r="M8">
        <v>102.3</v>
      </c>
      <c r="N8">
        <v>8.25</v>
      </c>
      <c r="O8">
        <v>1669</v>
      </c>
      <c r="P8">
        <v>1003</v>
      </c>
      <c r="Q8" s="5" t="e">
        <f>IF(AND(#REF!&gt;=table!$C$6,#REF!&lt;= table!$D$6),-1,IF(AND(#REF!&gt;=table!$E$6,#REF!&lt;=table!$F$6),1,0))</f>
        <v>#REF!</v>
      </c>
      <c r="R8" s="5" t="e">
        <f>IF(AND(#REF!&gt;=table!$C$7,#REF!&lt;= table!$D$7),-1,IF(AND(#REF!&gt;=table!$E$7,#REF!&lt;=table!$F$7),1,0))</f>
        <v>#REF!</v>
      </c>
      <c r="S8" s="5" t="e">
        <f>IF(AND(#REF!&gt;=table!$C$8,#REF!&lt;= table!$D$8),-1,IF(AND(#REF!&gt;=table!$E$8,#REF!&lt;=table!$F$8),1,0))</f>
        <v>#REF!</v>
      </c>
      <c r="T8" s="5"/>
      <c r="U8" s="5" t="e">
        <f>IF(AND(#REF!&gt;=table!$C$10,#REF!&lt;= table!$D$10),-1,IF(AND(#REF!&gt;=table!$E$10,#REF!&lt;=table!$F$10),1,0))</f>
        <v>#REF!</v>
      </c>
      <c r="V8" s="5" t="e">
        <f>IF(AND(#REF!&gt;=table!$C$11,#REF!&lt;= table!$D$11),-1,IF(AND(#REF!&gt;=table!$E$11,#REF!&lt;=table!$F$11),1,0))</f>
        <v>#REF!</v>
      </c>
      <c r="W8" s="5" t="e">
        <f>CONCATENATE(dados[[#This Row],[fator1]],dados[[#This Row],[fator5]],dados[[#This Row],[fator6]])</f>
        <v>#REF!</v>
      </c>
    </row>
    <row r="9" spans="1:23">
      <c r="A9" t="s">
        <v>17</v>
      </c>
      <c r="B9">
        <v>480670</v>
      </c>
      <c r="C9">
        <v>8</v>
      </c>
      <c r="D9">
        <v>30</v>
      </c>
      <c r="E9">
        <v>153</v>
      </c>
      <c r="F9">
        <v>2</v>
      </c>
      <c r="G9">
        <v>20</v>
      </c>
      <c r="H9">
        <v>18</v>
      </c>
      <c r="I9">
        <v>32</v>
      </c>
      <c r="J9">
        <v>0</v>
      </c>
      <c r="K9">
        <v>4.4350000000000005</v>
      </c>
      <c r="L9">
        <v>7.7</v>
      </c>
      <c r="M9">
        <v>146.45000000000002</v>
      </c>
      <c r="N9">
        <v>9.7000000000000011</v>
      </c>
      <c r="O9">
        <v>1678</v>
      </c>
      <c r="P9">
        <v>0</v>
      </c>
      <c r="Q9" s="5" t="e">
        <f>IF(AND(#REF!&gt;=table!$C$6,#REF!&lt;= table!$D$6),-1,IF(AND(#REF!&gt;=table!$E$6,#REF!&lt;=table!$F$6),1,0))</f>
        <v>#REF!</v>
      </c>
      <c r="R9" s="5" t="e">
        <f>IF(AND(#REF!&gt;=table!$C$7,#REF!&lt;= table!$D$7),-1,IF(AND(#REF!&gt;=table!$E$7,#REF!&lt;=table!$F$7),1,0))</f>
        <v>#REF!</v>
      </c>
      <c r="S9" s="5" t="e">
        <f>IF(AND(#REF!&gt;=table!$C$8,#REF!&lt;= table!$D$8),-1,IF(AND(#REF!&gt;=table!$E$8,#REF!&lt;=table!$F$8),1,0))</f>
        <v>#REF!</v>
      </c>
      <c r="T9" s="5"/>
      <c r="U9" s="5" t="e">
        <f>IF(AND(#REF!&gt;=table!$C$10,#REF!&lt;= table!$D$10),-1,IF(AND(#REF!&gt;=table!$E$10,#REF!&lt;=table!$F$10),1,0))</f>
        <v>#REF!</v>
      </c>
      <c r="V9" s="5" t="e">
        <f>IF(AND(#REF!&gt;=table!$C$11,#REF!&lt;= table!$D$11),-1,IF(AND(#REF!&gt;=table!$E$11,#REF!&lt;=table!$F$11),1,0))</f>
        <v>#REF!</v>
      </c>
      <c r="W9" s="5" t="e">
        <f>CONCATENATE(dados[[#This Row],[fator1]],dados[[#This Row],[fator5]],dados[[#This Row],[fator6]])</f>
        <v>#REF!</v>
      </c>
    </row>
    <row r="10" spans="1:23">
      <c r="A10" t="s">
        <v>17</v>
      </c>
      <c r="B10">
        <v>480671</v>
      </c>
      <c r="C10">
        <v>8</v>
      </c>
      <c r="D10">
        <v>30</v>
      </c>
      <c r="E10">
        <v>153</v>
      </c>
      <c r="F10">
        <v>2</v>
      </c>
      <c r="G10">
        <v>20</v>
      </c>
      <c r="H10">
        <v>18</v>
      </c>
      <c r="I10">
        <v>104</v>
      </c>
      <c r="J10">
        <v>0</v>
      </c>
      <c r="K10">
        <v>4.1050000000000004</v>
      </c>
      <c r="L10">
        <v>8.0150000000000006</v>
      </c>
      <c r="M10">
        <v>118.35000000000001</v>
      </c>
      <c r="N10">
        <v>10.75</v>
      </c>
      <c r="O10">
        <v>1692</v>
      </c>
      <c r="P10">
        <v>0</v>
      </c>
      <c r="Q10" s="5" t="e">
        <f>IF(AND(#REF!&gt;=table!$C$6,#REF!&lt;= table!$D$6),-1,IF(AND(#REF!&gt;=table!$E$6,#REF!&lt;=table!$F$6),1,0))</f>
        <v>#REF!</v>
      </c>
      <c r="R10" s="5" t="e">
        <f>IF(AND(#REF!&gt;=table!$C$7,#REF!&lt;= table!$D$7),-1,IF(AND(#REF!&gt;=table!$E$7,#REF!&lt;=table!$F$7),1,0))</f>
        <v>#REF!</v>
      </c>
      <c r="S10" s="5" t="e">
        <f>IF(AND(#REF!&gt;=table!$C$8,#REF!&lt;= table!$D$8),-1,IF(AND(#REF!&gt;=table!$E$8,#REF!&lt;=table!$F$8),1,0))</f>
        <v>#REF!</v>
      </c>
      <c r="T10" s="5"/>
      <c r="U10" s="5" t="e">
        <f>IF(AND(#REF!&gt;=table!$C$10,#REF!&lt;= table!$D$10),-1,IF(AND(#REF!&gt;=table!$E$10,#REF!&lt;=table!$F$10),1,0))</f>
        <v>#REF!</v>
      </c>
      <c r="V10" s="5" t="e">
        <f>IF(AND(#REF!&gt;=table!$C$11,#REF!&lt;= table!$D$11),-1,IF(AND(#REF!&gt;=table!$E$11,#REF!&lt;=table!$F$11),1,0))</f>
        <v>#REF!</v>
      </c>
      <c r="W10" s="5" t="e">
        <f>CONCATENATE(dados[[#This Row],[fator1]],dados[[#This Row],[fator5]],dados[[#This Row],[fator6]])</f>
        <v>#REF!</v>
      </c>
    </row>
    <row r="11" spans="1:23">
      <c r="A11" t="s">
        <v>16</v>
      </c>
      <c r="B11">
        <v>480672</v>
      </c>
      <c r="C11">
        <v>9</v>
      </c>
      <c r="D11">
        <v>27</v>
      </c>
      <c r="E11">
        <v>40</v>
      </c>
      <c r="F11">
        <v>8</v>
      </c>
      <c r="G11">
        <v>0</v>
      </c>
      <c r="H11">
        <v>25</v>
      </c>
      <c r="I11">
        <v>96</v>
      </c>
      <c r="J11">
        <v>0</v>
      </c>
      <c r="K11">
        <v>5.15</v>
      </c>
      <c r="L11">
        <v>9.6</v>
      </c>
      <c r="M11">
        <v>31</v>
      </c>
      <c r="N11">
        <v>10.950000000000001</v>
      </c>
      <c r="O11">
        <v>1660</v>
      </c>
      <c r="P11">
        <v>550</v>
      </c>
      <c r="Q11" s="5" t="e">
        <f>IF(AND(#REF!&gt;=table!$C$6,#REF!&lt;= table!$D$6),-1,IF(AND(#REF!&gt;=table!$E$6,#REF!&lt;=table!$F$6),1,0))</f>
        <v>#REF!</v>
      </c>
      <c r="R11" s="5" t="e">
        <f>IF(AND(#REF!&gt;=table!$C$7,#REF!&lt;= table!$D$7),-1,IF(AND(#REF!&gt;=table!$E$7,#REF!&lt;=table!$F$7),1,0))</f>
        <v>#REF!</v>
      </c>
      <c r="S11" s="5" t="e">
        <f>IF(AND(#REF!&gt;=table!$C$8,#REF!&lt;= table!$D$8),-1,IF(AND(#REF!&gt;=table!$E$8,#REF!&lt;=table!$F$8),1,0))</f>
        <v>#REF!</v>
      </c>
      <c r="T11" s="5"/>
      <c r="U11" s="5" t="e">
        <f>IF(AND(#REF!&gt;=table!$C$10,#REF!&lt;= table!$D$10),-1,IF(AND(#REF!&gt;=table!$E$10,#REF!&lt;=table!$F$10),1,0))</f>
        <v>#REF!</v>
      </c>
      <c r="V11" s="5" t="e">
        <f>IF(AND(#REF!&gt;=table!$C$11,#REF!&lt;= table!$D$11),-1,IF(AND(#REF!&gt;=table!$E$11,#REF!&lt;=table!$F$11),1,0))</f>
        <v>#REF!</v>
      </c>
      <c r="W11" s="5" t="e">
        <f>CONCATENATE(dados[[#This Row],[fator1]],dados[[#This Row],[fator5]],dados[[#This Row],[fator6]])</f>
        <v>#REF!</v>
      </c>
    </row>
    <row r="12" spans="1:23">
      <c r="A12" t="s">
        <v>16</v>
      </c>
      <c r="B12">
        <v>480673</v>
      </c>
      <c r="C12">
        <v>5</v>
      </c>
      <c r="D12">
        <v>40</v>
      </c>
      <c r="E12">
        <v>36</v>
      </c>
      <c r="F12">
        <v>8</v>
      </c>
      <c r="G12">
        <v>0</v>
      </c>
      <c r="H12">
        <v>25</v>
      </c>
      <c r="I12">
        <v>609</v>
      </c>
      <c r="J12">
        <v>0</v>
      </c>
      <c r="K12">
        <v>3.895</v>
      </c>
      <c r="L12">
        <v>10.15</v>
      </c>
      <c r="M12">
        <v>29.400000000000002</v>
      </c>
      <c r="N12">
        <v>13.6</v>
      </c>
      <c r="O12">
        <v>1668</v>
      </c>
      <c r="P12">
        <v>0</v>
      </c>
      <c r="Q12" s="5" t="e">
        <f>IF(AND(#REF!&gt;=table!$C$6,#REF!&lt;= table!$D$6),-1,IF(AND(#REF!&gt;=table!$E$6,#REF!&lt;=table!$F$6),1,0))</f>
        <v>#REF!</v>
      </c>
      <c r="R12" s="5" t="e">
        <f>IF(AND(#REF!&gt;=table!$C$7,#REF!&lt;= table!$D$7),-1,IF(AND(#REF!&gt;=table!$E$7,#REF!&lt;=table!$F$7),1,0))</f>
        <v>#REF!</v>
      </c>
      <c r="S12" s="5" t="e">
        <f>IF(AND(#REF!&gt;=table!$C$8,#REF!&lt;= table!$D$8),-1,IF(AND(#REF!&gt;=table!$E$8,#REF!&lt;=table!$F$8),1,0))</f>
        <v>#REF!</v>
      </c>
      <c r="T12" s="5"/>
      <c r="U12" s="5" t="e">
        <f>IF(AND(#REF!&gt;=table!$C$10,#REF!&lt;= table!$D$10),-1,IF(AND(#REF!&gt;=table!$E$10,#REF!&lt;=table!$F$10),1,0))</f>
        <v>#REF!</v>
      </c>
      <c r="V12" s="5" t="e">
        <f>IF(AND(#REF!&gt;=table!$C$11,#REF!&lt;= table!$D$11),-1,IF(AND(#REF!&gt;=table!$E$11,#REF!&lt;=table!$F$11),1,0))</f>
        <v>#REF!</v>
      </c>
      <c r="W12" s="5" t="e">
        <f>CONCATENATE(dados[[#This Row],[fator1]],dados[[#This Row],[fator5]],dados[[#This Row],[fator6]])</f>
        <v>#REF!</v>
      </c>
    </row>
    <row r="13" spans="1:23">
      <c r="A13" t="s">
        <v>16</v>
      </c>
      <c r="B13">
        <v>480674</v>
      </c>
      <c r="C13">
        <v>5</v>
      </c>
      <c r="D13">
        <v>40</v>
      </c>
      <c r="E13">
        <v>40</v>
      </c>
      <c r="F13">
        <v>8</v>
      </c>
      <c r="G13">
        <v>0</v>
      </c>
      <c r="H13">
        <v>25</v>
      </c>
      <c r="I13">
        <v>51</v>
      </c>
      <c r="J13">
        <v>0</v>
      </c>
      <c r="K13">
        <v>4.8150000000000004</v>
      </c>
      <c r="L13">
        <v>13.35</v>
      </c>
      <c r="M13">
        <v>34.1</v>
      </c>
      <c r="N13">
        <v>18</v>
      </c>
      <c r="O13">
        <v>1677</v>
      </c>
      <c r="P13">
        <v>650</v>
      </c>
      <c r="Q13" s="5" t="e">
        <f>IF(AND(#REF!&gt;=table!$C$6,#REF!&lt;= table!$D$6),-1,IF(AND(#REF!&gt;=table!$E$6,#REF!&lt;=table!$F$6),1,0))</f>
        <v>#REF!</v>
      </c>
      <c r="R13" s="5" t="e">
        <f>IF(AND(#REF!&gt;=table!$C$7,#REF!&lt;= table!$D$7),-1,IF(AND(#REF!&gt;=table!$E$7,#REF!&lt;=table!$F$7),1,0))</f>
        <v>#REF!</v>
      </c>
      <c r="S13" s="5" t="e">
        <f>IF(AND(#REF!&gt;=table!$C$8,#REF!&lt;= table!$D$8),-1,IF(AND(#REF!&gt;=table!$E$8,#REF!&lt;=table!$F$8),1,0))</f>
        <v>#REF!</v>
      </c>
      <c r="T13" s="5"/>
      <c r="U13" s="5" t="e">
        <f>IF(AND(#REF!&gt;=table!$C$10,#REF!&lt;= table!$D$10),-1,IF(AND(#REF!&gt;=table!$E$10,#REF!&lt;=table!$F$10),1,0))</f>
        <v>#REF!</v>
      </c>
      <c r="V13" s="5" t="e">
        <f>IF(AND(#REF!&gt;=table!$C$11,#REF!&lt;= table!$D$11),-1,IF(AND(#REF!&gt;=table!$E$11,#REF!&lt;=table!$F$11),1,0))</f>
        <v>#REF!</v>
      </c>
      <c r="W13" s="5" t="e">
        <f>CONCATENATE(dados[[#This Row],[fator1]],dados[[#This Row],[fator5]],dados[[#This Row],[fator6]])</f>
        <v>#REF!</v>
      </c>
    </row>
    <row r="14" spans="1:23">
      <c r="A14" t="s">
        <v>17</v>
      </c>
      <c r="B14">
        <v>480675</v>
      </c>
      <c r="C14">
        <v>8</v>
      </c>
      <c r="D14">
        <v>30</v>
      </c>
      <c r="E14">
        <v>155</v>
      </c>
      <c r="F14">
        <v>2</v>
      </c>
      <c r="G14">
        <v>30</v>
      </c>
      <c r="H14">
        <v>18</v>
      </c>
      <c r="I14">
        <v>832</v>
      </c>
      <c r="J14">
        <v>0</v>
      </c>
      <c r="K14">
        <v>6.58</v>
      </c>
      <c r="L14">
        <v>9.4</v>
      </c>
      <c r="M14">
        <v>136.65</v>
      </c>
      <c r="N14">
        <v>12.585000000000001</v>
      </c>
      <c r="O14">
        <v>1657</v>
      </c>
      <c r="P14">
        <v>505</v>
      </c>
      <c r="Q14" s="5" t="e">
        <f>IF(AND(#REF!&gt;=table!$C$6,#REF!&lt;= table!$D$6),-1,IF(AND(#REF!&gt;=table!$E$6,#REF!&lt;=table!$F$6),1,0))</f>
        <v>#REF!</v>
      </c>
      <c r="R14" s="5" t="e">
        <f>IF(AND(#REF!&gt;=table!$C$7,#REF!&lt;= table!$D$7),-1,IF(AND(#REF!&gt;=table!$E$7,#REF!&lt;=table!$F$7),1,0))</f>
        <v>#REF!</v>
      </c>
      <c r="S14" s="5" t="e">
        <f>IF(AND(#REF!&gt;=table!$C$8,#REF!&lt;= table!$D$8),-1,IF(AND(#REF!&gt;=table!$E$8,#REF!&lt;=table!$F$8),1,0))</f>
        <v>#REF!</v>
      </c>
      <c r="T14" s="5"/>
      <c r="U14" s="5" t="e">
        <f>IF(AND(#REF!&gt;=table!$C$10,#REF!&lt;= table!$D$10),-1,IF(AND(#REF!&gt;=table!$E$10,#REF!&lt;=table!$F$10),1,0))</f>
        <v>#REF!</v>
      </c>
      <c r="V14" s="5" t="e">
        <f>IF(AND(#REF!&gt;=table!$C$11,#REF!&lt;= table!$D$11),-1,IF(AND(#REF!&gt;=table!$E$11,#REF!&lt;=table!$F$11),1,0))</f>
        <v>#REF!</v>
      </c>
      <c r="W14" s="5" t="e">
        <f>CONCATENATE(dados[[#This Row],[fator1]],dados[[#This Row],[fator5]],dados[[#This Row],[fator6]])</f>
        <v>#REF!</v>
      </c>
    </row>
    <row r="15" spans="1:23">
      <c r="A15" t="s">
        <v>17</v>
      </c>
      <c r="B15">
        <v>480678</v>
      </c>
      <c r="C15">
        <v>8</v>
      </c>
      <c r="D15">
        <v>30</v>
      </c>
      <c r="E15">
        <v>155</v>
      </c>
      <c r="F15">
        <v>2</v>
      </c>
      <c r="G15">
        <v>30</v>
      </c>
      <c r="H15">
        <v>18</v>
      </c>
      <c r="I15">
        <v>1019</v>
      </c>
      <c r="J15">
        <v>0</v>
      </c>
      <c r="K15">
        <v>2.835</v>
      </c>
      <c r="L15">
        <v>5.6000000000000005</v>
      </c>
      <c r="M15">
        <v>125.33</v>
      </c>
      <c r="N15">
        <v>11.645000000000001</v>
      </c>
      <c r="O15">
        <v>1684</v>
      </c>
      <c r="P15">
        <v>1388</v>
      </c>
      <c r="Q15" s="5" t="e">
        <f>IF(AND(#REF!&gt;=table!$C$6,#REF!&lt;= table!$D$6),-1,IF(AND(#REF!&gt;=table!$E$6,#REF!&lt;=table!$F$6),1,0))</f>
        <v>#REF!</v>
      </c>
      <c r="R15" s="5" t="e">
        <f>IF(AND(#REF!&gt;=table!$C$7,#REF!&lt;= table!$D$7),-1,IF(AND(#REF!&gt;=table!$E$7,#REF!&lt;=table!$F$7),1,0))</f>
        <v>#REF!</v>
      </c>
      <c r="S15" s="5" t="e">
        <f>IF(AND(#REF!&gt;=table!$C$8,#REF!&lt;= table!$D$8),-1,IF(AND(#REF!&gt;=table!$E$8,#REF!&lt;=table!$F$8),1,0))</f>
        <v>#REF!</v>
      </c>
      <c r="T15" s="5"/>
      <c r="U15" s="5" t="e">
        <f>IF(AND(#REF!&gt;=table!$C$10,#REF!&lt;= table!$D$10),-1,IF(AND(#REF!&gt;=table!$E$10,#REF!&lt;=table!$F$10),1,0))</f>
        <v>#REF!</v>
      </c>
      <c r="V15" s="5" t="e">
        <f>IF(AND(#REF!&gt;=table!$C$11,#REF!&lt;= table!$D$11),-1,IF(AND(#REF!&gt;=table!$E$11,#REF!&lt;=table!$F$11),1,0))</f>
        <v>#REF!</v>
      </c>
      <c r="W15" s="5" t="e">
        <f>CONCATENATE(dados[[#This Row],[fator1]],dados[[#This Row],[fator5]],dados[[#This Row],[fator6]])</f>
        <v>#REF!</v>
      </c>
    </row>
    <row r="16" spans="1:23">
      <c r="A16" t="s">
        <v>17</v>
      </c>
      <c r="B16">
        <v>480684</v>
      </c>
      <c r="C16">
        <v>45</v>
      </c>
      <c r="D16">
        <v>30</v>
      </c>
      <c r="E16">
        <v>126</v>
      </c>
      <c r="F16">
        <v>9</v>
      </c>
      <c r="G16">
        <v>23</v>
      </c>
      <c r="H16">
        <v>22</v>
      </c>
      <c r="I16">
        <v>553</v>
      </c>
      <c r="J16">
        <v>0</v>
      </c>
      <c r="K16">
        <v>5.7667000000000002</v>
      </c>
      <c r="L16">
        <v>12.65</v>
      </c>
      <c r="M16">
        <v>59.29</v>
      </c>
      <c r="N16">
        <v>18.895</v>
      </c>
      <c r="O16">
        <v>1676</v>
      </c>
      <c r="P16">
        <v>0</v>
      </c>
      <c r="Q16" s="5" t="e">
        <f>IF(AND(#REF!&gt;=table!$C$6,#REF!&lt;= table!$D$6),-1,IF(AND(#REF!&gt;=table!$E$6,#REF!&lt;=table!$F$6),1,0))</f>
        <v>#REF!</v>
      </c>
      <c r="R16" s="5" t="e">
        <f>IF(AND(#REF!&gt;=table!$C$7,#REF!&lt;= table!$D$7),-1,IF(AND(#REF!&gt;=table!$E$7,#REF!&lt;=table!$F$7),1,0))</f>
        <v>#REF!</v>
      </c>
      <c r="S16" s="5" t="e">
        <f>IF(AND(#REF!&gt;=table!$C$8,#REF!&lt;= table!$D$8),-1,IF(AND(#REF!&gt;=table!$E$8,#REF!&lt;=table!$F$8),1,0))</f>
        <v>#REF!</v>
      </c>
      <c r="T16" s="5"/>
      <c r="U16" s="5" t="e">
        <f>IF(AND(#REF!&gt;=table!$C$10,#REF!&lt;= table!$D$10),-1,IF(AND(#REF!&gt;=table!$E$10,#REF!&lt;=table!$F$10),1,0))</f>
        <v>#REF!</v>
      </c>
      <c r="V16" s="5" t="e">
        <f>IF(AND(#REF!&gt;=table!$C$11,#REF!&lt;= table!$D$11),-1,IF(AND(#REF!&gt;=table!$E$11,#REF!&lt;=table!$F$11),1,0))</f>
        <v>#REF!</v>
      </c>
      <c r="W16" s="5" t="e">
        <f>CONCATENATE(dados[[#This Row],[fator1]],dados[[#This Row],[fator5]],dados[[#This Row],[fator6]])</f>
        <v>#REF!</v>
      </c>
    </row>
    <row r="17" spans="1:23">
      <c r="A17" t="s">
        <v>16</v>
      </c>
      <c r="B17">
        <v>480685</v>
      </c>
      <c r="C17">
        <v>8</v>
      </c>
      <c r="D17">
        <v>27</v>
      </c>
      <c r="E17">
        <v>90</v>
      </c>
      <c r="F17">
        <v>8</v>
      </c>
      <c r="G17">
        <v>0</v>
      </c>
      <c r="H17">
        <v>22</v>
      </c>
      <c r="I17">
        <v>1320</v>
      </c>
      <c r="J17">
        <v>890</v>
      </c>
      <c r="K17">
        <v>13.805000000000001</v>
      </c>
      <c r="L17">
        <v>11.5</v>
      </c>
      <c r="M17">
        <v>40.1</v>
      </c>
      <c r="N17">
        <v>11.15</v>
      </c>
      <c r="O17">
        <v>1610</v>
      </c>
      <c r="P17">
        <v>0</v>
      </c>
      <c r="Q17" s="5" t="e">
        <f>IF(AND(#REF!&gt;=table!$C$6,#REF!&lt;= table!$D$6),-1,IF(AND(#REF!&gt;=table!$E$6,#REF!&lt;=table!$F$6),1,0))</f>
        <v>#REF!</v>
      </c>
      <c r="R17" s="5" t="e">
        <f>IF(AND(#REF!&gt;=table!$C$7,#REF!&lt;= table!$D$7),-1,IF(AND(#REF!&gt;=table!$E$7,#REF!&lt;=table!$F$7),1,0))</f>
        <v>#REF!</v>
      </c>
      <c r="S17" s="5" t="e">
        <f>IF(AND(#REF!&gt;=table!$C$8,#REF!&lt;= table!$D$8),-1,IF(AND(#REF!&gt;=table!$E$8,#REF!&lt;=table!$F$8),1,0))</f>
        <v>#REF!</v>
      </c>
      <c r="T17" s="5"/>
      <c r="U17" s="5" t="e">
        <f>IF(AND(#REF!&gt;=table!$C$10,#REF!&lt;= table!$D$10),-1,IF(AND(#REF!&gt;=table!$E$10,#REF!&lt;=table!$F$10),1,0))</f>
        <v>#REF!</v>
      </c>
      <c r="V17" s="5" t="e">
        <f>IF(AND(#REF!&gt;=table!$C$11,#REF!&lt;= table!$D$11),-1,IF(AND(#REF!&gt;=table!$E$11,#REF!&lt;=table!$F$11),1,0))</f>
        <v>#REF!</v>
      </c>
      <c r="W17" s="5" t="e">
        <f>CONCATENATE(dados[[#This Row],[fator1]],dados[[#This Row],[fator5]],dados[[#This Row],[fator6]])</f>
        <v>#REF!</v>
      </c>
    </row>
    <row r="18" spans="1:23">
      <c r="A18" t="s">
        <v>16</v>
      </c>
      <c r="B18">
        <v>480694</v>
      </c>
      <c r="C18">
        <v>0.15</v>
      </c>
      <c r="D18">
        <v>40</v>
      </c>
      <c r="E18">
        <v>64</v>
      </c>
      <c r="F18">
        <v>10</v>
      </c>
      <c r="G18">
        <v>0</v>
      </c>
      <c r="H18">
        <v>35</v>
      </c>
      <c r="I18">
        <v>983</v>
      </c>
      <c r="J18">
        <v>0</v>
      </c>
      <c r="K18">
        <v>6.335</v>
      </c>
      <c r="L18">
        <v>17.05</v>
      </c>
      <c r="M18">
        <v>15.47</v>
      </c>
      <c r="N18">
        <v>19.440000000000001</v>
      </c>
      <c r="O18">
        <v>1669</v>
      </c>
      <c r="P18">
        <v>542</v>
      </c>
      <c r="Q18" s="5" t="e">
        <f>IF(AND(#REF!&gt;=table!$C$6,#REF!&lt;= table!$D$6),-1,IF(AND(#REF!&gt;=table!$E$6,#REF!&lt;=table!$F$6),1,0))</f>
        <v>#REF!</v>
      </c>
      <c r="R18" s="5" t="e">
        <f>IF(AND(#REF!&gt;=table!$C$7,#REF!&lt;= table!$D$7),-1,IF(AND(#REF!&gt;=table!$E$7,#REF!&lt;=table!$F$7),1,0))</f>
        <v>#REF!</v>
      </c>
      <c r="S18" s="5" t="e">
        <f>IF(AND(#REF!&gt;=table!$C$8,#REF!&lt;= table!$D$8),-1,IF(AND(#REF!&gt;=table!$E$8,#REF!&lt;=table!$F$8),1,0))</f>
        <v>#REF!</v>
      </c>
      <c r="T18" s="5"/>
      <c r="U18" s="5" t="e">
        <f>IF(AND(#REF!&gt;=table!$C$10,#REF!&lt;= table!$D$10),-1,IF(AND(#REF!&gt;=table!$E$10,#REF!&lt;=table!$F$10),1,0))</f>
        <v>#REF!</v>
      </c>
      <c r="V18" s="5" t="e">
        <f>IF(AND(#REF!&gt;=table!$C$11,#REF!&lt;= table!$D$11),-1,IF(AND(#REF!&gt;=table!$E$11,#REF!&lt;=table!$F$11),1,0))</f>
        <v>#REF!</v>
      </c>
      <c r="W18" s="5" t="e">
        <f>CONCATENATE(dados[[#This Row],[fator1]],dados[[#This Row],[fator5]],dados[[#This Row],[fator6]])</f>
        <v>#REF!</v>
      </c>
    </row>
    <row r="19" spans="1:23">
      <c r="A19" t="s">
        <v>17</v>
      </c>
      <c r="B19">
        <v>480701</v>
      </c>
      <c r="C19">
        <v>7</v>
      </c>
      <c r="D19">
        <v>30</v>
      </c>
      <c r="E19">
        <v>180</v>
      </c>
      <c r="F19">
        <v>3</v>
      </c>
      <c r="G19">
        <v>30</v>
      </c>
      <c r="H19">
        <v>18</v>
      </c>
      <c r="I19">
        <v>1135</v>
      </c>
      <c r="J19">
        <v>720</v>
      </c>
      <c r="K19">
        <v>8.6850000000000005</v>
      </c>
      <c r="L19">
        <v>10.450000000000001</v>
      </c>
      <c r="M19">
        <v>154.80000000000001</v>
      </c>
      <c r="N19">
        <v>8.7000000000000011</v>
      </c>
      <c r="O19">
        <v>1646</v>
      </c>
      <c r="P19">
        <v>436</v>
      </c>
      <c r="Q19" s="5" t="e">
        <f>IF(AND(#REF!&gt;=table!$C$6,#REF!&lt;= table!$D$6),-1,IF(AND(#REF!&gt;=table!$E$6,#REF!&lt;=table!$F$6),1,0))</f>
        <v>#REF!</v>
      </c>
      <c r="R19" s="5" t="e">
        <f>IF(AND(#REF!&gt;=table!$C$7,#REF!&lt;= table!$D$7),-1,IF(AND(#REF!&gt;=table!$E$7,#REF!&lt;=table!$F$7),1,0))</f>
        <v>#REF!</v>
      </c>
      <c r="S19" s="5" t="e">
        <f>IF(AND(#REF!&gt;=table!$C$8,#REF!&lt;= table!$D$8),-1,IF(AND(#REF!&gt;=table!$E$8,#REF!&lt;=table!$F$8),1,0))</f>
        <v>#REF!</v>
      </c>
      <c r="T19" s="5"/>
      <c r="U19" s="5" t="e">
        <f>IF(AND(#REF!&gt;=table!$C$10,#REF!&lt;= table!$D$10),-1,IF(AND(#REF!&gt;=table!$E$10,#REF!&lt;=table!$F$10),1,0))</f>
        <v>#REF!</v>
      </c>
      <c r="V19" s="5" t="e">
        <f>IF(AND(#REF!&gt;=table!$C$11,#REF!&lt;= table!$D$11),-1,IF(AND(#REF!&gt;=table!$E$11,#REF!&lt;=table!$F$11),1,0))</f>
        <v>#REF!</v>
      </c>
      <c r="W19" s="5" t="e">
        <f>CONCATENATE(dados[[#This Row],[fator1]],dados[[#This Row],[fator5]],dados[[#This Row],[fator6]])</f>
        <v>#REF!</v>
      </c>
    </row>
    <row r="20" spans="1:23">
      <c r="A20" t="s">
        <v>16</v>
      </c>
      <c r="B20">
        <v>480704</v>
      </c>
      <c r="C20">
        <v>8</v>
      </c>
      <c r="D20">
        <v>27</v>
      </c>
      <c r="E20">
        <v>65</v>
      </c>
      <c r="F20">
        <v>8</v>
      </c>
      <c r="G20">
        <v>0</v>
      </c>
      <c r="H20">
        <v>25</v>
      </c>
      <c r="I20">
        <v>1021</v>
      </c>
      <c r="J20">
        <v>0</v>
      </c>
      <c r="K20">
        <v>6.95</v>
      </c>
      <c r="L20">
        <v>18.100000000000001</v>
      </c>
      <c r="M20">
        <v>57.75</v>
      </c>
      <c r="N20">
        <v>19.3</v>
      </c>
      <c r="O20">
        <v>1669</v>
      </c>
      <c r="P20">
        <v>0</v>
      </c>
      <c r="Q20" s="5" t="e">
        <f>IF(AND(#REF!&gt;=table!$C$6,#REF!&lt;= table!$D$6),-1,IF(AND(#REF!&gt;=table!$E$6,#REF!&lt;=table!$F$6),1,0))</f>
        <v>#REF!</v>
      </c>
      <c r="R20" s="5" t="e">
        <f>IF(AND(#REF!&gt;=table!$C$7,#REF!&lt;= table!$D$7),-1,IF(AND(#REF!&gt;=table!$E$7,#REF!&lt;=table!$F$7),1,0))</f>
        <v>#REF!</v>
      </c>
      <c r="S20" s="5" t="e">
        <f>IF(AND(#REF!&gt;=table!$C$8,#REF!&lt;= table!$D$8),-1,IF(AND(#REF!&gt;=table!$E$8,#REF!&lt;=table!$F$8),1,0))</f>
        <v>#REF!</v>
      </c>
      <c r="T20" s="5"/>
      <c r="U20" s="5" t="e">
        <f>IF(AND(#REF!&gt;=table!$C$10,#REF!&lt;= table!$D$10),-1,IF(AND(#REF!&gt;=table!$E$10,#REF!&lt;=table!$F$10),1,0))</f>
        <v>#REF!</v>
      </c>
      <c r="V20" s="5" t="e">
        <f>IF(AND(#REF!&gt;=table!$C$11,#REF!&lt;= table!$D$11),-1,IF(AND(#REF!&gt;=table!$E$11,#REF!&lt;=table!$F$11),1,0))</f>
        <v>#REF!</v>
      </c>
      <c r="W20" s="5" t="e">
        <f>CONCATENATE(dados[[#This Row],[fator1]],dados[[#This Row],[fator5]],dados[[#This Row],[fator6]])</f>
        <v>#REF!</v>
      </c>
    </row>
    <row r="21" spans="1:23">
      <c r="A21" t="s">
        <v>16</v>
      </c>
      <c r="B21">
        <v>480706</v>
      </c>
      <c r="C21">
        <v>11</v>
      </c>
      <c r="D21">
        <v>40</v>
      </c>
      <c r="E21">
        <v>151</v>
      </c>
      <c r="F21">
        <v>8</v>
      </c>
      <c r="G21">
        <v>0</v>
      </c>
      <c r="H21">
        <v>25</v>
      </c>
      <c r="I21">
        <v>1</v>
      </c>
      <c r="J21">
        <v>0</v>
      </c>
      <c r="K21">
        <v>6.2</v>
      </c>
      <c r="L21">
        <v>11.1</v>
      </c>
      <c r="M21">
        <v>83.995000000000005</v>
      </c>
      <c r="N21">
        <v>11.255000000000001</v>
      </c>
      <c r="O21">
        <v>1671</v>
      </c>
      <c r="P21">
        <v>840</v>
      </c>
      <c r="Q21" s="5" t="e">
        <f>IF(AND(#REF!&gt;=table!$C$6,#REF!&lt;= table!$D$6),-1,IF(AND(#REF!&gt;=table!$E$6,#REF!&lt;=table!$F$6),1,0))</f>
        <v>#REF!</v>
      </c>
      <c r="R21" s="5" t="e">
        <f>IF(AND(#REF!&gt;=table!$C$7,#REF!&lt;= table!$D$7),-1,IF(AND(#REF!&gt;=table!$E$7,#REF!&lt;=table!$F$7),1,0))</f>
        <v>#REF!</v>
      </c>
      <c r="S21" s="5" t="e">
        <f>IF(AND(#REF!&gt;=table!$C$8,#REF!&lt;= table!$D$8),-1,IF(AND(#REF!&gt;=table!$E$8,#REF!&lt;=table!$F$8),1,0))</f>
        <v>#REF!</v>
      </c>
      <c r="T21" s="5"/>
      <c r="U21" s="5" t="e">
        <f>IF(AND(#REF!&gt;=table!$C$10,#REF!&lt;= table!$D$10),-1,IF(AND(#REF!&gt;=table!$E$10,#REF!&lt;=table!$F$10),1,0))</f>
        <v>#REF!</v>
      </c>
      <c r="V21" s="5" t="e">
        <f>IF(AND(#REF!&gt;=table!$C$11,#REF!&lt;= table!$D$11),-1,IF(AND(#REF!&gt;=table!$E$11,#REF!&lt;=table!$F$11),1,0))</f>
        <v>#REF!</v>
      </c>
      <c r="W21" s="5" t="e">
        <f>CONCATENATE(dados[[#This Row],[fator1]],dados[[#This Row],[fator5]],dados[[#This Row],[fator6]])</f>
        <v>#REF!</v>
      </c>
    </row>
    <row r="22" spans="1:23">
      <c r="A22" t="s">
        <v>16</v>
      </c>
      <c r="B22">
        <v>480715</v>
      </c>
      <c r="C22">
        <v>13</v>
      </c>
      <c r="D22">
        <v>35</v>
      </c>
      <c r="E22">
        <v>106</v>
      </c>
      <c r="F22">
        <v>10</v>
      </c>
      <c r="G22">
        <v>0</v>
      </c>
      <c r="H22">
        <v>25</v>
      </c>
      <c r="I22">
        <v>792</v>
      </c>
      <c r="J22">
        <v>0</v>
      </c>
      <c r="K22">
        <v>10.790000000000001</v>
      </c>
      <c r="L22">
        <v>17.75</v>
      </c>
      <c r="M22">
        <v>98.45</v>
      </c>
      <c r="N22">
        <v>23.7</v>
      </c>
      <c r="O22">
        <v>1678</v>
      </c>
      <c r="P22">
        <v>0</v>
      </c>
      <c r="Q22" s="5" t="e">
        <f>IF(AND(#REF!&gt;=table!$C$6,#REF!&lt;= table!$D$6),-1,IF(AND(#REF!&gt;=table!$E$6,#REF!&lt;=table!$F$6),1,0))</f>
        <v>#REF!</v>
      </c>
      <c r="R22" s="5" t="e">
        <f>IF(AND(#REF!&gt;=table!$C$7,#REF!&lt;= table!$D$7),-1,IF(AND(#REF!&gt;=table!$E$7,#REF!&lt;=table!$F$7),1,0))</f>
        <v>#REF!</v>
      </c>
      <c r="S22" s="5" t="e">
        <f>IF(AND(#REF!&gt;=table!$C$8,#REF!&lt;= table!$D$8),-1,IF(AND(#REF!&gt;=table!$E$8,#REF!&lt;=table!$F$8),1,0))</f>
        <v>#REF!</v>
      </c>
      <c r="T22" s="5"/>
      <c r="U22" s="5" t="e">
        <f>IF(AND(#REF!&gt;=table!$C$10,#REF!&lt;= table!$D$10),-1,IF(AND(#REF!&gt;=table!$E$10,#REF!&lt;=table!$F$10),1,0))</f>
        <v>#REF!</v>
      </c>
      <c r="V22" s="5" t="e">
        <f>IF(AND(#REF!&gt;=table!$C$11,#REF!&lt;= table!$D$11),-1,IF(AND(#REF!&gt;=table!$E$11,#REF!&lt;=table!$F$11),1,0))</f>
        <v>#REF!</v>
      </c>
      <c r="W22" s="5" t="e">
        <f>CONCATENATE(dados[[#This Row],[fator1]],dados[[#This Row],[fator5]],dados[[#This Row],[fator6]])</f>
        <v>#REF!</v>
      </c>
    </row>
    <row r="23" spans="1:23">
      <c r="A23" t="s">
        <v>16</v>
      </c>
      <c r="B23">
        <v>480716</v>
      </c>
      <c r="C23">
        <v>13</v>
      </c>
      <c r="D23">
        <v>35</v>
      </c>
      <c r="E23">
        <v>110</v>
      </c>
      <c r="F23">
        <v>10</v>
      </c>
      <c r="G23">
        <v>0</v>
      </c>
      <c r="H23">
        <v>25</v>
      </c>
      <c r="I23">
        <v>1055</v>
      </c>
      <c r="J23">
        <v>0</v>
      </c>
      <c r="K23">
        <v>12.01</v>
      </c>
      <c r="L23">
        <v>14.6</v>
      </c>
      <c r="M23">
        <v>89.7</v>
      </c>
      <c r="N23">
        <v>20.150000000000002</v>
      </c>
      <c r="O23">
        <v>1679</v>
      </c>
      <c r="P23">
        <v>0</v>
      </c>
      <c r="Q23" s="5" t="e">
        <f>IF(AND(#REF!&gt;=table!$C$6,#REF!&lt;= table!$D$6),-1,IF(AND(#REF!&gt;=table!$E$6,#REF!&lt;=table!$F$6),1,0))</f>
        <v>#REF!</v>
      </c>
      <c r="R23" s="5" t="e">
        <f>IF(AND(#REF!&gt;=table!$C$7,#REF!&lt;= table!$D$7),-1,IF(AND(#REF!&gt;=table!$E$7,#REF!&lt;=table!$F$7),1,0))</f>
        <v>#REF!</v>
      </c>
      <c r="S23" s="5" t="e">
        <f>IF(AND(#REF!&gt;=table!$C$8,#REF!&lt;= table!$D$8),-1,IF(AND(#REF!&gt;=table!$E$8,#REF!&lt;=table!$F$8),1,0))</f>
        <v>#REF!</v>
      </c>
      <c r="T23" s="5"/>
      <c r="U23" s="5" t="e">
        <f>IF(AND(#REF!&gt;=table!$C$10,#REF!&lt;= table!$D$10),-1,IF(AND(#REF!&gt;=table!$E$10,#REF!&lt;=table!$F$10),1,0))</f>
        <v>#REF!</v>
      </c>
      <c r="V23" s="5" t="e">
        <f>IF(AND(#REF!&gt;=table!$C$11,#REF!&lt;= table!$D$11),-1,IF(AND(#REF!&gt;=table!$E$11,#REF!&lt;=table!$F$11),1,0))</f>
        <v>#REF!</v>
      </c>
      <c r="W23" s="5" t="e">
        <f>CONCATENATE(dados[[#This Row],[fator1]],dados[[#This Row],[fator5]],dados[[#This Row],[fator6]])</f>
        <v>#REF!</v>
      </c>
    </row>
    <row r="24" spans="1:23">
      <c r="A24" t="s">
        <v>16</v>
      </c>
      <c r="B24">
        <v>480717</v>
      </c>
      <c r="C24">
        <v>12</v>
      </c>
      <c r="D24">
        <v>35</v>
      </c>
      <c r="E24">
        <v>90</v>
      </c>
      <c r="F24">
        <v>10</v>
      </c>
      <c r="G24">
        <v>0</v>
      </c>
      <c r="H24">
        <v>25</v>
      </c>
      <c r="I24">
        <v>923</v>
      </c>
      <c r="J24">
        <v>0</v>
      </c>
      <c r="K24">
        <v>3.84</v>
      </c>
      <c r="L24">
        <v>13.4</v>
      </c>
      <c r="M24">
        <v>72.650000000000006</v>
      </c>
      <c r="N24">
        <v>17.05</v>
      </c>
      <c r="O24">
        <v>1735</v>
      </c>
      <c r="P24">
        <v>1180</v>
      </c>
      <c r="Q24" s="5" t="e">
        <f>IF(AND(#REF!&gt;=table!$C$6,#REF!&lt;= table!$D$6),-1,IF(AND(#REF!&gt;=table!$E$6,#REF!&lt;=table!$F$6),1,0))</f>
        <v>#REF!</v>
      </c>
      <c r="R24" s="5" t="e">
        <f>IF(AND(#REF!&gt;=table!$C$7,#REF!&lt;= table!$D$7),-1,IF(AND(#REF!&gt;=table!$E$7,#REF!&lt;=table!$F$7),1,0))</f>
        <v>#REF!</v>
      </c>
      <c r="S24" s="5" t="e">
        <f>IF(AND(#REF!&gt;=table!$C$8,#REF!&lt;= table!$D$8),-1,IF(AND(#REF!&gt;=table!$E$8,#REF!&lt;=table!$F$8),1,0))</f>
        <v>#REF!</v>
      </c>
      <c r="T24" s="5"/>
      <c r="U24" s="5" t="e">
        <f>IF(AND(#REF!&gt;=table!$C$10,#REF!&lt;= table!$D$10),-1,IF(AND(#REF!&gt;=table!$E$10,#REF!&lt;=table!$F$10),1,0))</f>
        <v>#REF!</v>
      </c>
      <c r="V24" s="5" t="e">
        <f>IF(AND(#REF!&gt;=table!$C$11,#REF!&lt;= table!$D$11),-1,IF(AND(#REF!&gt;=table!$E$11,#REF!&lt;=table!$F$11),1,0))</f>
        <v>#REF!</v>
      </c>
      <c r="W24" s="5" t="e">
        <f>CONCATENATE(dados[[#This Row],[fator1]],dados[[#This Row],[fator5]],dados[[#This Row],[fator6]])</f>
        <v>#REF!</v>
      </c>
    </row>
    <row r="25" spans="1:23">
      <c r="A25" t="s">
        <v>16</v>
      </c>
      <c r="B25">
        <v>480718</v>
      </c>
      <c r="C25">
        <v>12</v>
      </c>
      <c r="D25">
        <v>35</v>
      </c>
      <c r="E25">
        <v>90</v>
      </c>
      <c r="F25">
        <v>10</v>
      </c>
      <c r="G25">
        <v>0</v>
      </c>
      <c r="H25">
        <v>25</v>
      </c>
      <c r="I25">
        <v>1269</v>
      </c>
      <c r="J25">
        <v>0</v>
      </c>
      <c r="K25">
        <v>14.11</v>
      </c>
      <c r="L25">
        <v>13.015000000000001</v>
      </c>
      <c r="M25">
        <v>84.165000000000006</v>
      </c>
      <c r="N25">
        <v>18.155000000000001</v>
      </c>
      <c r="O25">
        <v>1668</v>
      </c>
      <c r="P25">
        <v>271</v>
      </c>
      <c r="Q25" s="5" t="e">
        <f>IF(AND(#REF!&gt;=table!$C$6,#REF!&lt;= table!$D$6),-1,IF(AND(#REF!&gt;=table!$E$6,#REF!&lt;=table!$F$6),1,0))</f>
        <v>#REF!</v>
      </c>
      <c r="R25" s="5" t="e">
        <f>IF(AND(#REF!&gt;=table!$C$7,#REF!&lt;= table!$D$7),-1,IF(AND(#REF!&gt;=table!$E$7,#REF!&lt;=table!$F$7),1,0))</f>
        <v>#REF!</v>
      </c>
      <c r="S25" s="5" t="e">
        <f>IF(AND(#REF!&gt;=table!$C$8,#REF!&lt;= table!$D$8),-1,IF(AND(#REF!&gt;=table!$E$8,#REF!&lt;=table!$F$8),1,0))</f>
        <v>#REF!</v>
      </c>
      <c r="T25" s="5"/>
      <c r="U25" s="5" t="e">
        <f>IF(AND(#REF!&gt;=table!$C$10,#REF!&lt;= table!$D$10),-1,IF(AND(#REF!&gt;=table!$E$10,#REF!&lt;=table!$F$10),1,0))</f>
        <v>#REF!</v>
      </c>
      <c r="V25" s="5" t="e">
        <f>IF(AND(#REF!&gt;=table!$C$11,#REF!&lt;= table!$D$11),-1,IF(AND(#REF!&gt;=table!$E$11,#REF!&lt;=table!$F$11),1,0))</f>
        <v>#REF!</v>
      </c>
      <c r="W25" s="5" t="e">
        <f>CONCATENATE(dados[[#This Row],[fator1]],dados[[#This Row],[fator5]],dados[[#This Row],[fator6]])</f>
        <v>#REF!</v>
      </c>
    </row>
    <row r="26" spans="1:23">
      <c r="A26" t="s">
        <v>16</v>
      </c>
      <c r="B26">
        <v>480720</v>
      </c>
      <c r="C26">
        <v>0.15</v>
      </c>
      <c r="D26">
        <v>40</v>
      </c>
      <c r="E26">
        <v>10</v>
      </c>
      <c r="F26">
        <v>15</v>
      </c>
      <c r="G26">
        <v>0</v>
      </c>
      <c r="H26">
        <v>15</v>
      </c>
      <c r="I26">
        <v>0</v>
      </c>
      <c r="J26">
        <v>0</v>
      </c>
      <c r="K26">
        <v>3.7</v>
      </c>
      <c r="L26">
        <v>8.4</v>
      </c>
      <c r="M26">
        <v>8</v>
      </c>
      <c r="N26">
        <v>7.75</v>
      </c>
      <c r="O26">
        <v>1633</v>
      </c>
      <c r="P26">
        <v>612</v>
      </c>
      <c r="Q26" s="5" t="e">
        <f>IF(AND(#REF!&gt;=table!$C$6,#REF!&lt;= table!$D$6),-1,IF(AND(#REF!&gt;=table!$E$6,#REF!&lt;=table!$F$6),1,0))</f>
        <v>#REF!</v>
      </c>
      <c r="R26" s="5" t="e">
        <f>IF(AND(#REF!&gt;=table!$C$7,#REF!&lt;= table!$D$7),-1,IF(AND(#REF!&gt;=table!$E$7,#REF!&lt;=table!$F$7),1,0))</f>
        <v>#REF!</v>
      </c>
      <c r="S26" s="5" t="e">
        <f>IF(AND(#REF!&gt;=table!$C$8,#REF!&lt;= table!$D$8),-1,IF(AND(#REF!&gt;=table!$E$8,#REF!&lt;=table!$F$8),1,0))</f>
        <v>#REF!</v>
      </c>
      <c r="T26" s="5"/>
      <c r="U26" s="5" t="e">
        <f>IF(AND(#REF!&gt;=table!$C$10,#REF!&lt;= table!$D$10),-1,IF(AND(#REF!&gt;=table!$E$10,#REF!&lt;=table!$F$10),1,0))</f>
        <v>#REF!</v>
      </c>
      <c r="V26" s="5" t="e">
        <f>IF(AND(#REF!&gt;=table!$C$11,#REF!&lt;= table!$D$11),-1,IF(AND(#REF!&gt;=table!$E$11,#REF!&lt;=table!$F$11),1,0))</f>
        <v>#REF!</v>
      </c>
      <c r="W26" s="5" t="e">
        <f>CONCATENATE(dados[[#This Row],[fator1]],dados[[#This Row],[fator5]],dados[[#This Row],[fator6]])</f>
        <v>#REF!</v>
      </c>
    </row>
    <row r="27" spans="1:23">
      <c r="A27" t="s">
        <v>17</v>
      </c>
      <c r="B27">
        <v>480733</v>
      </c>
      <c r="C27">
        <v>14</v>
      </c>
      <c r="D27">
        <v>25</v>
      </c>
      <c r="E27">
        <v>130</v>
      </c>
      <c r="F27">
        <v>9</v>
      </c>
      <c r="G27">
        <v>110</v>
      </c>
      <c r="H27">
        <v>50</v>
      </c>
      <c r="I27">
        <v>1953</v>
      </c>
      <c r="J27">
        <v>950</v>
      </c>
      <c r="K27">
        <v>15.726700000000001</v>
      </c>
      <c r="L27">
        <v>12.950000000000001</v>
      </c>
      <c r="M27">
        <v>93.75</v>
      </c>
      <c r="N27">
        <v>31.2</v>
      </c>
      <c r="O27">
        <v>1634</v>
      </c>
      <c r="P27">
        <v>241</v>
      </c>
      <c r="Q27" s="5" t="e">
        <f>IF(AND(#REF!&gt;=table!$C$6,#REF!&lt;= table!$D$6),-1,IF(AND(#REF!&gt;=table!$E$6,#REF!&lt;=table!$F$6),1,0))</f>
        <v>#REF!</v>
      </c>
      <c r="R27" s="5" t="e">
        <f>IF(AND(#REF!&gt;=table!$C$7,#REF!&lt;= table!$D$7),-1,IF(AND(#REF!&gt;=table!$E$7,#REF!&lt;=table!$F$7),1,0))</f>
        <v>#REF!</v>
      </c>
      <c r="S27" s="5" t="e">
        <f>IF(AND(#REF!&gt;=table!$C$8,#REF!&lt;= table!$D$8),-1,IF(AND(#REF!&gt;=table!$E$8,#REF!&lt;=table!$F$8),1,0))</f>
        <v>#REF!</v>
      </c>
      <c r="T27" s="5"/>
      <c r="U27" s="5" t="e">
        <f>IF(AND(#REF!&gt;=table!$C$10,#REF!&lt;= table!$D$10),-1,IF(AND(#REF!&gt;=table!$E$10,#REF!&lt;=table!$F$10),1,0))</f>
        <v>#REF!</v>
      </c>
      <c r="V27" s="5" t="e">
        <f>IF(AND(#REF!&gt;=table!$C$11,#REF!&lt;= table!$D$11),-1,IF(AND(#REF!&gt;=table!$E$11,#REF!&lt;=table!$F$11),1,0))</f>
        <v>#REF!</v>
      </c>
      <c r="W27" s="5" t="e">
        <f>CONCATENATE(dados[[#This Row],[fator1]],dados[[#This Row],[fator5]],dados[[#This Row],[fator6]])</f>
        <v>#REF!</v>
      </c>
    </row>
    <row r="28" spans="1:23">
      <c r="A28" t="s">
        <v>17</v>
      </c>
      <c r="B28">
        <v>480734</v>
      </c>
      <c r="C28">
        <v>16</v>
      </c>
      <c r="D28">
        <v>30</v>
      </c>
      <c r="E28">
        <v>126</v>
      </c>
      <c r="F28">
        <v>9</v>
      </c>
      <c r="G28">
        <v>20</v>
      </c>
      <c r="H28">
        <v>25</v>
      </c>
      <c r="I28">
        <v>620</v>
      </c>
      <c r="J28">
        <v>0</v>
      </c>
      <c r="K28">
        <v>8.3000000000000007</v>
      </c>
      <c r="L28">
        <v>14.65</v>
      </c>
      <c r="M28">
        <v>121.25</v>
      </c>
      <c r="N28">
        <v>17.600000000000001</v>
      </c>
      <c r="O28">
        <v>1683</v>
      </c>
      <c r="P28">
        <v>0</v>
      </c>
      <c r="Q28" s="5" t="e">
        <f>IF(AND(#REF!&gt;=table!$C$6,#REF!&lt;= table!$D$6),-1,IF(AND(#REF!&gt;=table!$E$6,#REF!&lt;=table!$F$6),1,0))</f>
        <v>#REF!</v>
      </c>
      <c r="R28" s="5" t="e">
        <f>IF(AND(#REF!&gt;=table!$C$7,#REF!&lt;= table!$D$7),-1,IF(AND(#REF!&gt;=table!$E$7,#REF!&lt;=table!$F$7),1,0))</f>
        <v>#REF!</v>
      </c>
      <c r="S28" s="5" t="e">
        <f>IF(AND(#REF!&gt;=table!$C$8,#REF!&lt;= table!$D$8),-1,IF(AND(#REF!&gt;=table!$E$8,#REF!&lt;=table!$F$8),1,0))</f>
        <v>#REF!</v>
      </c>
      <c r="T28" s="5"/>
      <c r="U28" s="5" t="e">
        <f>IF(AND(#REF!&gt;=table!$C$10,#REF!&lt;= table!$D$10),-1,IF(AND(#REF!&gt;=table!$E$10,#REF!&lt;=table!$F$10),1,0))</f>
        <v>#REF!</v>
      </c>
      <c r="V28" s="5" t="e">
        <f>IF(AND(#REF!&gt;=table!$C$11,#REF!&lt;= table!$D$11),-1,IF(AND(#REF!&gt;=table!$E$11,#REF!&lt;=table!$F$11),1,0))</f>
        <v>#REF!</v>
      </c>
      <c r="W28" s="5" t="e">
        <f>CONCATENATE(dados[[#This Row],[fator1]],dados[[#This Row],[fator5]],dados[[#This Row],[fator6]])</f>
        <v>#REF!</v>
      </c>
    </row>
    <row r="29" spans="1:23">
      <c r="A29" t="s">
        <v>16</v>
      </c>
      <c r="B29">
        <v>480738</v>
      </c>
      <c r="C29">
        <v>16</v>
      </c>
      <c r="D29">
        <v>35</v>
      </c>
      <c r="E29">
        <v>40</v>
      </c>
      <c r="F29">
        <v>10</v>
      </c>
      <c r="G29">
        <v>0</v>
      </c>
      <c r="H29">
        <v>25</v>
      </c>
      <c r="I29">
        <v>1738</v>
      </c>
      <c r="J29">
        <v>0</v>
      </c>
      <c r="K29">
        <v>8.3849999999999998</v>
      </c>
      <c r="L29">
        <v>9.75</v>
      </c>
      <c r="M29">
        <v>30.745000000000001</v>
      </c>
      <c r="N29">
        <v>11.885</v>
      </c>
      <c r="O29">
        <v>1692</v>
      </c>
      <c r="P29">
        <v>0</v>
      </c>
      <c r="Q29" s="5" t="e">
        <f>IF(AND(#REF!&gt;=table!$C$6,#REF!&lt;= table!$D$6),-1,IF(AND(#REF!&gt;=table!$E$6,#REF!&lt;=table!$F$6),1,0))</f>
        <v>#REF!</v>
      </c>
      <c r="R29" s="5" t="e">
        <f>IF(AND(#REF!&gt;=table!$C$7,#REF!&lt;= table!$D$7),-1,IF(AND(#REF!&gt;=table!$E$7,#REF!&lt;=table!$F$7),1,0))</f>
        <v>#REF!</v>
      </c>
      <c r="S29" s="5" t="e">
        <f>IF(AND(#REF!&gt;=table!$C$8,#REF!&lt;= table!$D$8),-1,IF(AND(#REF!&gt;=table!$E$8,#REF!&lt;=table!$F$8),1,0))</f>
        <v>#REF!</v>
      </c>
      <c r="T29" s="5"/>
      <c r="U29" s="5" t="e">
        <f>IF(AND(#REF!&gt;=table!$C$10,#REF!&lt;= table!$D$10),-1,IF(AND(#REF!&gt;=table!$E$10,#REF!&lt;=table!$F$10),1,0))</f>
        <v>#REF!</v>
      </c>
      <c r="V29" s="5" t="e">
        <f>IF(AND(#REF!&gt;=table!$C$11,#REF!&lt;= table!$D$11),-1,IF(AND(#REF!&gt;=table!$E$11,#REF!&lt;=table!$F$11),1,0))</f>
        <v>#REF!</v>
      </c>
      <c r="W29" s="5" t="e">
        <f>CONCATENATE(dados[[#This Row],[fator1]],dados[[#This Row],[fator5]],dados[[#This Row],[fator6]])</f>
        <v>#REF!</v>
      </c>
    </row>
    <row r="30" spans="1:23">
      <c r="A30" t="s">
        <v>16</v>
      </c>
      <c r="B30">
        <v>480742</v>
      </c>
      <c r="C30">
        <v>4</v>
      </c>
      <c r="D30">
        <v>40</v>
      </c>
      <c r="E30">
        <v>27</v>
      </c>
      <c r="F30">
        <v>23</v>
      </c>
      <c r="G30">
        <v>0</v>
      </c>
      <c r="H30">
        <v>20</v>
      </c>
      <c r="I30">
        <v>41</v>
      </c>
      <c r="J30">
        <v>0</v>
      </c>
      <c r="K30">
        <v>6.4050000000000002</v>
      </c>
      <c r="L30">
        <v>13.96</v>
      </c>
      <c r="M30">
        <v>12.1</v>
      </c>
      <c r="N30">
        <v>11.700000000000001</v>
      </c>
      <c r="O30">
        <v>1647</v>
      </c>
      <c r="P30">
        <v>629</v>
      </c>
      <c r="Q30" s="5" t="e">
        <f>IF(AND(#REF!&gt;=table!$C$6,#REF!&lt;= table!$D$6),-1,IF(AND(#REF!&gt;=table!$E$6,#REF!&lt;=table!$F$6),1,0))</f>
        <v>#REF!</v>
      </c>
      <c r="R30" s="5" t="e">
        <f>IF(AND(#REF!&gt;=table!$C$7,#REF!&lt;= table!$D$7),-1,IF(AND(#REF!&gt;=table!$E$7,#REF!&lt;=table!$F$7),1,0))</f>
        <v>#REF!</v>
      </c>
      <c r="S30" s="5" t="e">
        <f>IF(AND(#REF!&gt;=table!$C$8,#REF!&lt;= table!$D$8),-1,IF(AND(#REF!&gt;=table!$E$8,#REF!&lt;=table!$F$8),1,0))</f>
        <v>#REF!</v>
      </c>
      <c r="T30" s="5"/>
      <c r="U30" s="5" t="e">
        <f>IF(AND(#REF!&gt;=table!$C$10,#REF!&lt;= table!$D$10),-1,IF(AND(#REF!&gt;=table!$E$10,#REF!&lt;=table!$F$10),1,0))</f>
        <v>#REF!</v>
      </c>
      <c r="V30" s="5" t="e">
        <f>IF(AND(#REF!&gt;=table!$C$11,#REF!&lt;= table!$D$11),-1,IF(AND(#REF!&gt;=table!$E$11,#REF!&lt;=table!$F$11),1,0))</f>
        <v>#REF!</v>
      </c>
      <c r="W30" s="5" t="e">
        <f>CONCATENATE(dados[[#This Row],[fator1]],dados[[#This Row],[fator5]],dados[[#This Row],[fator6]])</f>
        <v>#REF!</v>
      </c>
    </row>
    <row r="31" spans="1:23">
      <c r="A31" t="s">
        <v>16</v>
      </c>
      <c r="B31">
        <v>480744</v>
      </c>
      <c r="C31">
        <v>4</v>
      </c>
      <c r="D31">
        <v>30</v>
      </c>
      <c r="E31">
        <v>22</v>
      </c>
      <c r="F31">
        <v>15</v>
      </c>
      <c r="G31">
        <v>0</v>
      </c>
      <c r="H31">
        <v>25</v>
      </c>
      <c r="I31">
        <v>1820</v>
      </c>
      <c r="J31">
        <v>0</v>
      </c>
      <c r="K31">
        <v>6.125</v>
      </c>
      <c r="L31">
        <v>11.86</v>
      </c>
      <c r="M31">
        <v>11.200000000000001</v>
      </c>
      <c r="N31">
        <v>13.8</v>
      </c>
      <c r="O31">
        <v>1679</v>
      </c>
      <c r="P31">
        <v>0</v>
      </c>
      <c r="Q31" s="5" t="e">
        <f>IF(AND(#REF!&gt;=table!$C$6,#REF!&lt;= table!$D$6),-1,IF(AND(#REF!&gt;=table!$E$6,#REF!&lt;=table!$F$6),1,0))</f>
        <v>#REF!</v>
      </c>
      <c r="R31" s="5" t="e">
        <f>IF(AND(#REF!&gt;=table!$C$7,#REF!&lt;= table!$D$7),-1,IF(AND(#REF!&gt;=table!$E$7,#REF!&lt;=table!$F$7),1,0))</f>
        <v>#REF!</v>
      </c>
      <c r="S31" s="5" t="e">
        <f>IF(AND(#REF!&gt;=table!$C$8,#REF!&lt;= table!$D$8),-1,IF(AND(#REF!&gt;=table!$E$8,#REF!&lt;=table!$F$8),1,0))</f>
        <v>#REF!</v>
      </c>
      <c r="T31" s="5"/>
      <c r="U31" s="5" t="e">
        <f>IF(AND(#REF!&gt;=table!$C$10,#REF!&lt;= table!$D$10),-1,IF(AND(#REF!&gt;=table!$E$10,#REF!&lt;=table!$F$10),1,0))</f>
        <v>#REF!</v>
      </c>
      <c r="V31" s="5" t="e">
        <f>IF(AND(#REF!&gt;=table!$C$11,#REF!&lt;= table!$D$11),-1,IF(AND(#REF!&gt;=table!$E$11,#REF!&lt;=table!$F$11),1,0))</f>
        <v>#REF!</v>
      </c>
      <c r="W31" s="5" t="e">
        <f>CONCATENATE(dados[[#This Row],[fator1]],dados[[#This Row],[fator5]],dados[[#This Row],[fator6]])</f>
        <v>#REF!</v>
      </c>
    </row>
    <row r="32" spans="1:23">
      <c r="A32" t="s">
        <v>16</v>
      </c>
      <c r="B32">
        <v>480745</v>
      </c>
      <c r="C32">
        <v>3</v>
      </c>
      <c r="D32">
        <v>25</v>
      </c>
      <c r="E32">
        <v>20</v>
      </c>
      <c r="F32">
        <v>15</v>
      </c>
      <c r="G32">
        <v>0</v>
      </c>
      <c r="H32">
        <v>20</v>
      </c>
      <c r="I32">
        <v>502</v>
      </c>
      <c r="J32">
        <v>0</v>
      </c>
      <c r="K32">
        <v>5.9950000000000001</v>
      </c>
      <c r="L32">
        <v>12.9</v>
      </c>
      <c r="M32">
        <v>11.15</v>
      </c>
      <c r="N32">
        <v>13.85</v>
      </c>
      <c r="O32">
        <v>1676</v>
      </c>
      <c r="P32">
        <v>0</v>
      </c>
      <c r="Q32" s="5" t="e">
        <f>IF(AND(#REF!&gt;=table!$C$6,#REF!&lt;= table!$D$6),-1,IF(AND(#REF!&gt;=table!$E$6,#REF!&lt;=table!$F$6),1,0))</f>
        <v>#REF!</v>
      </c>
      <c r="R32" s="5" t="e">
        <f>IF(AND(#REF!&gt;=table!$C$7,#REF!&lt;= table!$D$7),-1,IF(AND(#REF!&gt;=table!$E$7,#REF!&lt;=table!$F$7),1,0))</f>
        <v>#REF!</v>
      </c>
      <c r="S32" s="5" t="e">
        <f>IF(AND(#REF!&gt;=table!$C$8,#REF!&lt;= table!$D$8),-1,IF(AND(#REF!&gt;=table!$E$8,#REF!&lt;=table!$F$8),1,0))</f>
        <v>#REF!</v>
      </c>
      <c r="T32" s="5"/>
      <c r="U32" s="5" t="e">
        <f>IF(AND(#REF!&gt;=table!$C$10,#REF!&lt;= table!$D$10),-1,IF(AND(#REF!&gt;=table!$E$10,#REF!&lt;=table!$F$10),1,0))</f>
        <v>#REF!</v>
      </c>
      <c r="V32" s="5" t="e">
        <f>IF(AND(#REF!&gt;=table!$C$11,#REF!&lt;= table!$D$11),-1,IF(AND(#REF!&gt;=table!$E$11,#REF!&lt;=table!$F$11),1,0))</f>
        <v>#REF!</v>
      </c>
      <c r="W32" s="5" t="e">
        <f>CONCATENATE(dados[[#This Row],[fator1]],dados[[#This Row],[fator5]],dados[[#This Row],[fator6]])</f>
        <v>#REF!</v>
      </c>
    </row>
    <row r="33" spans="1:23">
      <c r="A33" t="s">
        <v>16</v>
      </c>
      <c r="B33">
        <v>480746</v>
      </c>
      <c r="C33">
        <v>3</v>
      </c>
      <c r="D33">
        <v>30</v>
      </c>
      <c r="E33">
        <v>23</v>
      </c>
      <c r="F33">
        <v>10</v>
      </c>
      <c r="G33">
        <v>0</v>
      </c>
      <c r="H33">
        <v>25</v>
      </c>
      <c r="I33">
        <v>297</v>
      </c>
      <c r="J33">
        <v>540</v>
      </c>
      <c r="K33">
        <v>8.4550000000000001</v>
      </c>
      <c r="L33">
        <v>10.25</v>
      </c>
      <c r="M33">
        <v>7.2</v>
      </c>
      <c r="N33">
        <v>7</v>
      </c>
      <c r="O33">
        <v>1679</v>
      </c>
      <c r="P33">
        <v>447</v>
      </c>
      <c r="Q33" s="5" t="e">
        <f>IF(AND(#REF!&gt;=table!$C$6,#REF!&lt;= table!$D$6),-1,IF(AND(#REF!&gt;=table!$E$6,#REF!&lt;=table!$F$6),1,0))</f>
        <v>#REF!</v>
      </c>
      <c r="R33" s="5" t="e">
        <f>IF(AND(#REF!&gt;=table!$C$7,#REF!&lt;= table!$D$7),-1,IF(AND(#REF!&gt;=table!$E$7,#REF!&lt;=table!$F$7),1,0))</f>
        <v>#REF!</v>
      </c>
      <c r="S33" s="5" t="e">
        <f>IF(AND(#REF!&gt;=table!$C$8,#REF!&lt;= table!$D$8),-1,IF(AND(#REF!&gt;=table!$E$8,#REF!&lt;=table!$F$8),1,0))</f>
        <v>#REF!</v>
      </c>
      <c r="T33" s="5"/>
      <c r="U33" s="5" t="e">
        <f>IF(AND(#REF!&gt;=table!$C$10,#REF!&lt;= table!$D$10),-1,IF(AND(#REF!&gt;=table!$E$10,#REF!&lt;=table!$F$10),1,0))</f>
        <v>#REF!</v>
      </c>
      <c r="V33" s="5" t="e">
        <f>IF(AND(#REF!&gt;=table!$C$11,#REF!&lt;= table!$D$11),-1,IF(AND(#REF!&gt;=table!$E$11,#REF!&lt;=table!$F$11),1,0))</f>
        <v>#REF!</v>
      </c>
      <c r="W33" s="5" t="e">
        <f>CONCATENATE(dados[[#This Row],[fator1]],dados[[#This Row],[fator5]],dados[[#This Row],[fator6]])</f>
        <v>#REF!</v>
      </c>
    </row>
    <row r="34" spans="1:23">
      <c r="A34" t="s">
        <v>16</v>
      </c>
      <c r="B34">
        <v>480747</v>
      </c>
      <c r="C34">
        <v>6</v>
      </c>
      <c r="D34">
        <v>40</v>
      </c>
      <c r="E34">
        <v>66</v>
      </c>
      <c r="F34">
        <v>10</v>
      </c>
      <c r="G34">
        <v>0</v>
      </c>
      <c r="H34">
        <v>25</v>
      </c>
      <c r="I34">
        <v>882</v>
      </c>
      <c r="J34">
        <v>0</v>
      </c>
      <c r="K34">
        <v>4.6150000000000002</v>
      </c>
      <c r="L34">
        <v>7.95</v>
      </c>
      <c r="M34">
        <v>51.300000000000004</v>
      </c>
      <c r="N34">
        <v>15.3</v>
      </c>
      <c r="O34">
        <v>1702</v>
      </c>
      <c r="P34">
        <v>895</v>
      </c>
      <c r="Q34" s="5" t="e">
        <f>IF(AND(#REF!&gt;=table!$C$6,#REF!&lt;= table!$D$6),-1,IF(AND(#REF!&gt;=table!$E$6,#REF!&lt;=table!$F$6),1,0))</f>
        <v>#REF!</v>
      </c>
      <c r="R34" s="5" t="e">
        <f>IF(AND(#REF!&gt;=table!$C$7,#REF!&lt;= table!$D$7),-1,IF(AND(#REF!&gt;=table!$E$7,#REF!&lt;=table!$F$7),1,0))</f>
        <v>#REF!</v>
      </c>
      <c r="S34" s="5" t="e">
        <f>IF(AND(#REF!&gt;=table!$C$8,#REF!&lt;= table!$D$8),-1,IF(AND(#REF!&gt;=table!$E$8,#REF!&lt;=table!$F$8),1,0))</f>
        <v>#REF!</v>
      </c>
      <c r="T34" s="5"/>
      <c r="U34" s="5" t="e">
        <f>IF(AND(#REF!&gt;=table!$C$10,#REF!&lt;= table!$D$10),-1,IF(AND(#REF!&gt;=table!$E$10,#REF!&lt;=table!$F$10),1,0))</f>
        <v>#REF!</v>
      </c>
      <c r="V34" s="5" t="e">
        <f>IF(AND(#REF!&gt;=table!$C$11,#REF!&lt;= table!$D$11),-1,IF(AND(#REF!&gt;=table!$E$11,#REF!&lt;=table!$F$11),1,0))</f>
        <v>#REF!</v>
      </c>
      <c r="W34" s="5" t="e">
        <f>CONCATENATE(dados[[#This Row],[fator1]],dados[[#This Row],[fator5]],dados[[#This Row],[fator6]])</f>
        <v>#REF!</v>
      </c>
    </row>
    <row r="35" spans="1:23">
      <c r="A35" t="s">
        <v>16</v>
      </c>
      <c r="B35">
        <v>480748</v>
      </c>
      <c r="C35">
        <v>8</v>
      </c>
      <c r="D35">
        <v>27</v>
      </c>
      <c r="E35">
        <v>65</v>
      </c>
      <c r="F35">
        <v>8</v>
      </c>
      <c r="G35">
        <v>0</v>
      </c>
      <c r="H35">
        <v>25</v>
      </c>
      <c r="I35">
        <v>1540</v>
      </c>
      <c r="J35">
        <v>760</v>
      </c>
      <c r="K35">
        <v>4.6349999999999998</v>
      </c>
      <c r="L35">
        <v>14</v>
      </c>
      <c r="M35">
        <v>60.195</v>
      </c>
      <c r="N35">
        <v>16.705000000000002</v>
      </c>
      <c r="O35">
        <v>1719</v>
      </c>
      <c r="P35">
        <v>914</v>
      </c>
      <c r="Q35" s="5" t="e">
        <f>IF(AND(#REF!&gt;=table!$C$6,#REF!&lt;= table!$D$6),-1,IF(AND(#REF!&gt;=table!$E$6,#REF!&lt;=table!$F$6),1,0))</f>
        <v>#REF!</v>
      </c>
      <c r="R35" s="5" t="e">
        <f>IF(AND(#REF!&gt;=table!$C$7,#REF!&lt;= table!$D$7),-1,IF(AND(#REF!&gt;=table!$E$7,#REF!&lt;=table!$F$7),1,0))</f>
        <v>#REF!</v>
      </c>
      <c r="S35" s="5" t="e">
        <f>IF(AND(#REF!&gt;=table!$C$8,#REF!&lt;= table!$D$8),-1,IF(AND(#REF!&gt;=table!$E$8,#REF!&lt;=table!$F$8),1,0))</f>
        <v>#REF!</v>
      </c>
      <c r="T35" s="5"/>
      <c r="U35" s="5" t="e">
        <f>IF(AND(#REF!&gt;=table!$C$10,#REF!&lt;= table!$D$10),-1,IF(AND(#REF!&gt;=table!$E$10,#REF!&lt;=table!$F$10),1,0))</f>
        <v>#REF!</v>
      </c>
      <c r="V35" s="5" t="e">
        <f>IF(AND(#REF!&gt;=table!$C$11,#REF!&lt;= table!$D$11),-1,IF(AND(#REF!&gt;=table!$E$11,#REF!&lt;=table!$F$11),1,0))</f>
        <v>#REF!</v>
      </c>
      <c r="W35" s="5" t="e">
        <f>CONCATENATE(dados[[#This Row],[fator1]],dados[[#This Row],[fator5]],dados[[#This Row],[fator6]])</f>
        <v>#REF!</v>
      </c>
    </row>
    <row r="36" spans="1:23">
      <c r="A36" t="s">
        <v>16</v>
      </c>
      <c r="B36">
        <v>480749</v>
      </c>
      <c r="C36">
        <v>8</v>
      </c>
      <c r="D36">
        <v>27</v>
      </c>
      <c r="E36">
        <v>65</v>
      </c>
      <c r="F36">
        <v>8</v>
      </c>
      <c r="G36">
        <v>0</v>
      </c>
      <c r="H36">
        <v>25</v>
      </c>
      <c r="I36">
        <v>933</v>
      </c>
      <c r="J36">
        <v>0</v>
      </c>
      <c r="K36">
        <v>5.0950000000000006</v>
      </c>
      <c r="L36">
        <v>11</v>
      </c>
      <c r="M36">
        <v>57.1</v>
      </c>
      <c r="N36">
        <v>12.15</v>
      </c>
      <c r="O36">
        <v>1678</v>
      </c>
      <c r="P36">
        <v>638</v>
      </c>
      <c r="Q36" s="5" t="e">
        <f>IF(AND(#REF!&gt;=table!$C$6,#REF!&lt;= table!$D$6),-1,IF(AND(#REF!&gt;=table!$E$6,#REF!&lt;=table!$F$6),1,0))</f>
        <v>#REF!</v>
      </c>
      <c r="R36" s="5" t="e">
        <f>IF(AND(#REF!&gt;=table!$C$7,#REF!&lt;= table!$D$7),-1,IF(AND(#REF!&gt;=table!$E$7,#REF!&lt;=table!$F$7),1,0))</f>
        <v>#REF!</v>
      </c>
      <c r="S36" s="5" t="e">
        <f>IF(AND(#REF!&gt;=table!$C$8,#REF!&lt;= table!$D$8),-1,IF(AND(#REF!&gt;=table!$E$8,#REF!&lt;=table!$F$8),1,0))</f>
        <v>#REF!</v>
      </c>
      <c r="T36" s="5"/>
      <c r="U36" s="5" t="e">
        <f>IF(AND(#REF!&gt;=table!$C$10,#REF!&lt;= table!$D$10),-1,IF(AND(#REF!&gt;=table!$E$10,#REF!&lt;=table!$F$10),1,0))</f>
        <v>#REF!</v>
      </c>
      <c r="V36" s="5" t="e">
        <f>IF(AND(#REF!&gt;=table!$C$11,#REF!&lt;= table!$D$11),-1,IF(AND(#REF!&gt;=table!$E$11,#REF!&lt;=table!$F$11),1,0))</f>
        <v>#REF!</v>
      </c>
      <c r="W36" s="5" t="e">
        <f>CONCATENATE(dados[[#This Row],[fator1]],dados[[#This Row],[fator5]],dados[[#This Row],[fator6]])</f>
        <v>#REF!</v>
      </c>
    </row>
    <row r="37" spans="1:23">
      <c r="A37" t="s">
        <v>17</v>
      </c>
      <c r="B37">
        <v>480755</v>
      </c>
      <c r="C37">
        <v>3</v>
      </c>
      <c r="D37">
        <v>25</v>
      </c>
      <c r="E37">
        <v>115</v>
      </c>
      <c r="F37">
        <v>1</v>
      </c>
      <c r="G37">
        <v>25</v>
      </c>
      <c r="H37">
        <v>10</v>
      </c>
      <c r="I37">
        <v>21</v>
      </c>
      <c r="J37">
        <v>0</v>
      </c>
      <c r="K37">
        <v>3.44</v>
      </c>
      <c r="L37">
        <v>5.95</v>
      </c>
      <c r="M37">
        <v>105.55</v>
      </c>
      <c r="N37">
        <v>8.3000000000000007</v>
      </c>
      <c r="O37">
        <v>1667</v>
      </c>
      <c r="P37">
        <v>1171</v>
      </c>
      <c r="Q37" s="5" t="e">
        <f>IF(AND(#REF!&gt;=table!$C$6,#REF!&lt;= table!$D$6),-1,IF(AND(#REF!&gt;=table!$E$6,#REF!&lt;=table!$F$6),1,0))</f>
        <v>#REF!</v>
      </c>
      <c r="R37" s="5" t="e">
        <f>IF(AND(#REF!&gt;=table!$C$7,#REF!&lt;= table!$D$7),-1,IF(AND(#REF!&gt;=table!$E$7,#REF!&lt;=table!$F$7),1,0))</f>
        <v>#REF!</v>
      </c>
      <c r="S37" s="5" t="e">
        <f>IF(AND(#REF!&gt;=table!$C$8,#REF!&lt;= table!$D$8),-1,IF(AND(#REF!&gt;=table!$E$8,#REF!&lt;=table!$F$8),1,0))</f>
        <v>#REF!</v>
      </c>
      <c r="T37" s="5"/>
      <c r="U37" s="5" t="e">
        <f>IF(AND(#REF!&gt;=table!$C$10,#REF!&lt;= table!$D$10),-1,IF(AND(#REF!&gt;=table!$E$10,#REF!&lt;=table!$F$10),1,0))</f>
        <v>#REF!</v>
      </c>
      <c r="V37" s="5" t="e">
        <f>IF(AND(#REF!&gt;=table!$C$11,#REF!&lt;= table!$D$11),-1,IF(AND(#REF!&gt;=table!$E$11,#REF!&lt;=table!$F$11),1,0))</f>
        <v>#REF!</v>
      </c>
      <c r="W37" s="5" t="e">
        <f>CONCATENATE(dados[[#This Row],[fator1]],dados[[#This Row],[fator5]],dados[[#This Row],[fator6]])</f>
        <v>#REF!</v>
      </c>
    </row>
    <row r="38" spans="1:23">
      <c r="A38" t="s">
        <v>16</v>
      </c>
      <c r="B38">
        <v>480756</v>
      </c>
      <c r="C38">
        <v>12</v>
      </c>
      <c r="D38">
        <v>35</v>
      </c>
      <c r="E38">
        <v>90</v>
      </c>
      <c r="F38">
        <v>10</v>
      </c>
      <c r="G38">
        <v>0</v>
      </c>
      <c r="H38">
        <v>25</v>
      </c>
      <c r="I38">
        <v>969</v>
      </c>
      <c r="J38">
        <v>0</v>
      </c>
      <c r="K38">
        <v>4.88</v>
      </c>
      <c r="L38">
        <v>9.0500000000000007</v>
      </c>
      <c r="M38">
        <v>68.650000000000006</v>
      </c>
      <c r="N38">
        <v>16.95</v>
      </c>
      <c r="O38">
        <v>1680</v>
      </c>
      <c r="P38">
        <v>721</v>
      </c>
      <c r="Q38" s="5" t="e">
        <f>IF(AND(#REF!&gt;=table!$C$6,#REF!&lt;= table!$D$6),-1,IF(AND(#REF!&gt;=table!$E$6,#REF!&lt;=table!$F$6),1,0))</f>
        <v>#REF!</v>
      </c>
      <c r="R38" s="5" t="e">
        <f>IF(AND(#REF!&gt;=table!$C$7,#REF!&lt;= table!$D$7),-1,IF(AND(#REF!&gt;=table!$E$7,#REF!&lt;=table!$F$7),1,0))</f>
        <v>#REF!</v>
      </c>
      <c r="S38" s="5" t="e">
        <f>IF(AND(#REF!&gt;=table!$C$8,#REF!&lt;= table!$D$8),-1,IF(AND(#REF!&gt;=table!$E$8,#REF!&lt;=table!$F$8),1,0))</f>
        <v>#REF!</v>
      </c>
      <c r="T38" s="5"/>
      <c r="U38" s="5" t="e">
        <f>IF(AND(#REF!&gt;=table!$C$10,#REF!&lt;= table!$D$10),-1,IF(AND(#REF!&gt;=table!$E$10,#REF!&lt;=table!$F$10),1,0))</f>
        <v>#REF!</v>
      </c>
      <c r="V38" s="5" t="e">
        <f>IF(AND(#REF!&gt;=table!$C$11,#REF!&lt;= table!$D$11),-1,IF(AND(#REF!&gt;=table!$E$11,#REF!&lt;=table!$F$11),1,0))</f>
        <v>#REF!</v>
      </c>
      <c r="W38" s="5" t="e">
        <f>CONCATENATE(dados[[#This Row],[fator1]],dados[[#This Row],[fator5]],dados[[#This Row],[fator6]])</f>
        <v>#REF!</v>
      </c>
    </row>
    <row r="39" spans="1:23">
      <c r="A39" t="s">
        <v>17</v>
      </c>
      <c r="B39">
        <v>480757</v>
      </c>
      <c r="C39">
        <v>18</v>
      </c>
      <c r="D39">
        <v>30</v>
      </c>
      <c r="E39">
        <v>136</v>
      </c>
      <c r="F39">
        <v>3</v>
      </c>
      <c r="G39">
        <v>20</v>
      </c>
      <c r="H39">
        <v>25</v>
      </c>
      <c r="I39">
        <v>634</v>
      </c>
      <c r="J39">
        <v>0</v>
      </c>
      <c r="K39">
        <v>4.45</v>
      </c>
      <c r="L39">
        <v>12.200000000000001</v>
      </c>
      <c r="M39">
        <v>120.10000000000001</v>
      </c>
      <c r="N39">
        <v>16.766999999999999</v>
      </c>
      <c r="O39">
        <v>1676</v>
      </c>
      <c r="P39">
        <v>770</v>
      </c>
      <c r="Q39" s="5" t="e">
        <f>IF(AND(#REF!&gt;=table!$C$6,#REF!&lt;= table!$D$6),-1,IF(AND(#REF!&gt;=table!$E$6,#REF!&lt;=table!$F$6),1,0))</f>
        <v>#REF!</v>
      </c>
      <c r="R39" s="5" t="e">
        <f>IF(AND(#REF!&gt;=table!$C$7,#REF!&lt;= table!$D$7),-1,IF(AND(#REF!&gt;=table!$E$7,#REF!&lt;=table!$F$7),1,0))</f>
        <v>#REF!</v>
      </c>
      <c r="S39" s="5" t="e">
        <f>IF(AND(#REF!&gt;=table!$C$8,#REF!&lt;= table!$D$8),-1,IF(AND(#REF!&gt;=table!$E$8,#REF!&lt;=table!$F$8),1,0))</f>
        <v>#REF!</v>
      </c>
      <c r="T39" s="5"/>
      <c r="U39" s="5" t="e">
        <f>IF(AND(#REF!&gt;=table!$C$10,#REF!&lt;= table!$D$10),-1,IF(AND(#REF!&gt;=table!$E$10,#REF!&lt;=table!$F$10),1,0))</f>
        <v>#REF!</v>
      </c>
      <c r="V39" s="5" t="e">
        <f>IF(AND(#REF!&gt;=table!$C$11,#REF!&lt;= table!$D$11),-1,IF(AND(#REF!&gt;=table!$E$11,#REF!&lt;=table!$F$11),1,0))</f>
        <v>#REF!</v>
      </c>
      <c r="W39" s="5" t="e">
        <f>CONCATENATE(dados[[#This Row],[fator1]],dados[[#This Row],[fator5]],dados[[#This Row],[fator6]])</f>
        <v>#REF!</v>
      </c>
    </row>
    <row r="40" spans="1:23">
      <c r="A40" t="s">
        <v>17</v>
      </c>
      <c r="B40">
        <v>480758</v>
      </c>
      <c r="C40">
        <v>18</v>
      </c>
      <c r="D40">
        <v>30</v>
      </c>
      <c r="E40">
        <v>136</v>
      </c>
      <c r="F40">
        <v>3</v>
      </c>
      <c r="G40">
        <v>20</v>
      </c>
      <c r="H40">
        <v>25</v>
      </c>
      <c r="I40">
        <v>1029</v>
      </c>
      <c r="J40">
        <v>0</v>
      </c>
      <c r="K40">
        <v>6.18</v>
      </c>
      <c r="L40">
        <v>12.4</v>
      </c>
      <c r="M40">
        <v>115.2</v>
      </c>
      <c r="N40">
        <v>13.9</v>
      </c>
      <c r="O40">
        <v>1657</v>
      </c>
      <c r="P40">
        <v>570</v>
      </c>
      <c r="Q40" s="5" t="e">
        <f>IF(AND(#REF!&gt;=table!$C$6,#REF!&lt;= table!$D$6),-1,IF(AND(#REF!&gt;=table!$E$6,#REF!&lt;=table!$F$6),1,0))</f>
        <v>#REF!</v>
      </c>
      <c r="R40" s="5" t="e">
        <f>IF(AND(#REF!&gt;=table!$C$7,#REF!&lt;= table!$D$7),-1,IF(AND(#REF!&gt;=table!$E$7,#REF!&lt;=table!$F$7),1,0))</f>
        <v>#REF!</v>
      </c>
      <c r="S40" s="5" t="e">
        <f>IF(AND(#REF!&gt;=table!$C$8,#REF!&lt;= table!$D$8),-1,IF(AND(#REF!&gt;=table!$E$8,#REF!&lt;=table!$F$8),1,0))</f>
        <v>#REF!</v>
      </c>
      <c r="T40" s="5"/>
      <c r="U40" s="5" t="e">
        <f>IF(AND(#REF!&gt;=table!$C$10,#REF!&lt;= table!$D$10),-1,IF(AND(#REF!&gt;=table!$E$10,#REF!&lt;=table!$F$10),1,0))</f>
        <v>#REF!</v>
      </c>
      <c r="V40" s="5" t="e">
        <f>IF(AND(#REF!&gt;=table!$C$11,#REF!&lt;= table!$D$11),-1,IF(AND(#REF!&gt;=table!$E$11,#REF!&lt;=table!$F$11),1,0))</f>
        <v>#REF!</v>
      </c>
      <c r="W40" s="5" t="e">
        <f>CONCATENATE(dados[[#This Row],[fator1]],dados[[#This Row],[fator5]],dados[[#This Row],[fator6]])</f>
        <v>#REF!</v>
      </c>
    </row>
    <row r="41" spans="1:23">
      <c r="A41" t="s">
        <v>17</v>
      </c>
      <c r="B41">
        <v>480759</v>
      </c>
      <c r="C41">
        <v>18</v>
      </c>
      <c r="D41">
        <v>30</v>
      </c>
      <c r="E41">
        <v>136</v>
      </c>
      <c r="F41">
        <v>3</v>
      </c>
      <c r="G41">
        <v>20</v>
      </c>
      <c r="H41">
        <v>25</v>
      </c>
      <c r="I41">
        <v>672</v>
      </c>
      <c r="J41">
        <v>0</v>
      </c>
      <c r="K41">
        <v>6.3900000000000006</v>
      </c>
      <c r="L41">
        <v>16.100000000000001</v>
      </c>
      <c r="M41">
        <v>120.5</v>
      </c>
      <c r="N41">
        <v>16.7</v>
      </c>
      <c r="O41">
        <v>1712</v>
      </c>
      <c r="P41">
        <v>912</v>
      </c>
      <c r="Q41" s="5" t="e">
        <f>IF(AND(#REF!&gt;=table!$C$6,#REF!&lt;= table!$D$6),-1,IF(AND(#REF!&gt;=table!$E$6,#REF!&lt;=table!$F$6),1,0))</f>
        <v>#REF!</v>
      </c>
      <c r="R41" s="5" t="e">
        <f>IF(AND(#REF!&gt;=table!$C$7,#REF!&lt;= table!$D$7),-1,IF(AND(#REF!&gt;=table!$E$7,#REF!&lt;=table!$F$7),1,0))</f>
        <v>#REF!</v>
      </c>
      <c r="S41" s="5" t="e">
        <f>IF(AND(#REF!&gt;=table!$C$8,#REF!&lt;= table!$D$8),-1,IF(AND(#REF!&gt;=table!$E$8,#REF!&lt;=table!$F$8),1,0))</f>
        <v>#REF!</v>
      </c>
      <c r="T41" s="5"/>
      <c r="U41" s="5" t="e">
        <f>IF(AND(#REF!&gt;=table!$C$10,#REF!&lt;= table!$D$10),-1,IF(AND(#REF!&gt;=table!$E$10,#REF!&lt;=table!$F$10),1,0))</f>
        <v>#REF!</v>
      </c>
      <c r="V41" s="5" t="e">
        <f>IF(AND(#REF!&gt;=table!$C$11,#REF!&lt;= table!$D$11),-1,IF(AND(#REF!&gt;=table!$E$11,#REF!&lt;=table!$F$11),1,0))</f>
        <v>#REF!</v>
      </c>
      <c r="W41" s="5" t="e">
        <f>CONCATENATE(dados[[#This Row],[fator1]],dados[[#This Row],[fator5]],dados[[#This Row],[fator6]])</f>
        <v>#REF!</v>
      </c>
    </row>
    <row r="42" spans="1:23">
      <c r="A42" t="s">
        <v>17</v>
      </c>
      <c r="B42">
        <v>480761</v>
      </c>
      <c r="C42">
        <v>20</v>
      </c>
      <c r="D42">
        <v>33</v>
      </c>
      <c r="E42">
        <v>66</v>
      </c>
      <c r="F42">
        <v>4</v>
      </c>
      <c r="G42">
        <v>20</v>
      </c>
      <c r="H42">
        <v>25</v>
      </c>
      <c r="I42">
        <v>1029</v>
      </c>
      <c r="J42">
        <v>0</v>
      </c>
      <c r="K42">
        <v>15.19</v>
      </c>
      <c r="L42">
        <v>13</v>
      </c>
      <c r="M42">
        <v>54.9</v>
      </c>
      <c r="N42">
        <v>12.25</v>
      </c>
      <c r="O42">
        <v>1693</v>
      </c>
      <c r="P42">
        <v>286</v>
      </c>
      <c r="Q42" s="5" t="e">
        <f>IF(AND(#REF!&gt;=table!$C$6,#REF!&lt;= table!$D$6),-1,IF(AND(#REF!&gt;=table!$E$6,#REF!&lt;=table!$F$6),1,0))</f>
        <v>#REF!</v>
      </c>
      <c r="R42" s="5" t="e">
        <f>IF(AND(#REF!&gt;=table!$C$7,#REF!&lt;= table!$D$7),-1,IF(AND(#REF!&gt;=table!$E$7,#REF!&lt;=table!$F$7),1,0))</f>
        <v>#REF!</v>
      </c>
      <c r="S42" s="5" t="e">
        <f>IF(AND(#REF!&gt;=table!$C$8,#REF!&lt;= table!$D$8),-1,IF(AND(#REF!&gt;=table!$E$8,#REF!&lt;=table!$F$8),1,0))</f>
        <v>#REF!</v>
      </c>
      <c r="T42" s="5"/>
      <c r="U42" s="5" t="e">
        <f>IF(AND(#REF!&gt;=table!$C$10,#REF!&lt;= table!$D$10),-1,IF(AND(#REF!&gt;=table!$E$10,#REF!&lt;=table!$F$10),1,0))</f>
        <v>#REF!</v>
      </c>
      <c r="V42" s="5" t="e">
        <f>IF(AND(#REF!&gt;=table!$C$11,#REF!&lt;= table!$D$11),-1,IF(AND(#REF!&gt;=table!$E$11,#REF!&lt;=table!$F$11),1,0))</f>
        <v>#REF!</v>
      </c>
      <c r="W42" s="5" t="e">
        <f>CONCATENATE(dados[[#This Row],[fator1]],dados[[#This Row],[fator5]],dados[[#This Row],[fator6]])</f>
        <v>#REF!</v>
      </c>
    </row>
    <row r="43" spans="1:23">
      <c r="A43" t="s">
        <v>17</v>
      </c>
      <c r="B43">
        <v>480767</v>
      </c>
      <c r="C43">
        <v>16</v>
      </c>
      <c r="D43">
        <v>35</v>
      </c>
      <c r="E43">
        <v>120</v>
      </c>
      <c r="F43">
        <v>4</v>
      </c>
      <c r="G43">
        <v>30</v>
      </c>
      <c r="H43">
        <v>20</v>
      </c>
      <c r="I43">
        <v>514</v>
      </c>
      <c r="J43">
        <v>0</v>
      </c>
      <c r="K43">
        <v>4.9050000000000002</v>
      </c>
      <c r="L43">
        <v>7.8</v>
      </c>
      <c r="M43">
        <v>104.9</v>
      </c>
      <c r="N43">
        <v>6.5</v>
      </c>
      <c r="O43">
        <v>1674</v>
      </c>
      <c r="P43">
        <v>0</v>
      </c>
      <c r="Q43" s="5" t="e">
        <f>IF(AND(#REF!&gt;=table!$C$6,#REF!&lt;= table!$D$6),-1,IF(AND(#REF!&gt;=table!$E$6,#REF!&lt;=table!$F$6),1,0))</f>
        <v>#REF!</v>
      </c>
      <c r="R43" s="5" t="e">
        <f>IF(AND(#REF!&gt;=table!$C$7,#REF!&lt;= table!$D$7),-1,IF(AND(#REF!&gt;=table!$E$7,#REF!&lt;=table!$F$7),1,0))</f>
        <v>#REF!</v>
      </c>
      <c r="S43" s="5" t="e">
        <f>IF(AND(#REF!&gt;=table!$C$8,#REF!&lt;= table!$D$8),-1,IF(AND(#REF!&gt;=table!$E$8,#REF!&lt;=table!$F$8),1,0))</f>
        <v>#REF!</v>
      </c>
      <c r="T43" s="5"/>
      <c r="U43" s="5" t="e">
        <f>IF(AND(#REF!&gt;=table!$C$10,#REF!&lt;= table!$D$10),-1,IF(AND(#REF!&gt;=table!$E$10,#REF!&lt;=table!$F$10),1,0))</f>
        <v>#REF!</v>
      </c>
      <c r="V43" s="5" t="e">
        <f>IF(AND(#REF!&gt;=table!$C$11,#REF!&lt;= table!$D$11),-1,IF(AND(#REF!&gt;=table!$E$11,#REF!&lt;=table!$F$11),1,0))</f>
        <v>#REF!</v>
      </c>
      <c r="W43" s="5" t="e">
        <f>CONCATENATE(dados[[#This Row],[fator1]],dados[[#This Row],[fator5]],dados[[#This Row],[fator6]])</f>
        <v>#REF!</v>
      </c>
    </row>
    <row r="44" spans="1:23">
      <c r="A44" t="s">
        <v>17</v>
      </c>
      <c r="B44">
        <v>480768</v>
      </c>
      <c r="C44">
        <v>14</v>
      </c>
      <c r="D44">
        <v>30</v>
      </c>
      <c r="E44">
        <v>110</v>
      </c>
      <c r="F44">
        <v>4</v>
      </c>
      <c r="G44">
        <v>20</v>
      </c>
      <c r="H44">
        <v>22</v>
      </c>
      <c r="I44">
        <v>1538</v>
      </c>
      <c r="J44">
        <v>720</v>
      </c>
      <c r="K44">
        <v>4.2350000000000003</v>
      </c>
      <c r="L44">
        <v>5.65</v>
      </c>
      <c r="M44">
        <v>85.9</v>
      </c>
      <c r="N44">
        <v>7</v>
      </c>
      <c r="O44">
        <v>1640</v>
      </c>
      <c r="P44">
        <v>0</v>
      </c>
      <c r="Q44" s="5" t="e">
        <f>IF(AND(#REF!&gt;=table!$C$6,#REF!&lt;= table!$D$6),-1,IF(AND(#REF!&gt;=table!$E$6,#REF!&lt;=table!$F$6),1,0))</f>
        <v>#REF!</v>
      </c>
      <c r="R44" s="5" t="e">
        <f>IF(AND(#REF!&gt;=table!$C$7,#REF!&lt;= table!$D$7),-1,IF(AND(#REF!&gt;=table!$E$7,#REF!&lt;=table!$F$7),1,0))</f>
        <v>#REF!</v>
      </c>
      <c r="S44" s="5" t="e">
        <f>IF(AND(#REF!&gt;=table!$C$8,#REF!&lt;= table!$D$8),-1,IF(AND(#REF!&gt;=table!$E$8,#REF!&lt;=table!$F$8),1,0))</f>
        <v>#REF!</v>
      </c>
      <c r="T44" s="5"/>
      <c r="U44" s="5" t="e">
        <f>IF(AND(#REF!&gt;=table!$C$10,#REF!&lt;= table!$D$10),-1,IF(AND(#REF!&gt;=table!$E$10,#REF!&lt;=table!$F$10),1,0))</f>
        <v>#REF!</v>
      </c>
      <c r="V44" s="5" t="e">
        <f>IF(AND(#REF!&gt;=table!$C$11,#REF!&lt;= table!$D$11),-1,IF(AND(#REF!&gt;=table!$E$11,#REF!&lt;=table!$F$11),1,0))</f>
        <v>#REF!</v>
      </c>
      <c r="W44" s="5" t="e">
        <f>CONCATENATE(dados[[#This Row],[fator1]],dados[[#This Row],[fator5]],dados[[#This Row],[fator6]])</f>
        <v>#REF!</v>
      </c>
    </row>
    <row r="45" spans="1:23">
      <c r="A45" t="s">
        <v>16</v>
      </c>
      <c r="B45">
        <v>480769</v>
      </c>
      <c r="C45">
        <v>6</v>
      </c>
      <c r="D45">
        <v>40</v>
      </c>
      <c r="E45">
        <v>66</v>
      </c>
      <c r="F45">
        <v>10</v>
      </c>
      <c r="G45">
        <v>0</v>
      </c>
      <c r="H45">
        <v>25</v>
      </c>
      <c r="I45">
        <v>297</v>
      </c>
      <c r="J45">
        <v>0</v>
      </c>
      <c r="K45">
        <v>3.49</v>
      </c>
      <c r="L45">
        <v>5.9</v>
      </c>
      <c r="M45">
        <v>47.15</v>
      </c>
      <c r="N45">
        <v>9.7000000000000011</v>
      </c>
      <c r="O45">
        <v>1663</v>
      </c>
      <c r="P45">
        <v>742</v>
      </c>
      <c r="Q45" s="5" t="e">
        <f>IF(AND(#REF!&gt;=table!$C$6,#REF!&lt;= table!$D$6),-1,IF(AND(#REF!&gt;=table!$E$6,#REF!&lt;=table!$F$6),1,0))</f>
        <v>#REF!</v>
      </c>
      <c r="R45" s="5" t="e">
        <f>IF(AND(#REF!&gt;=table!$C$7,#REF!&lt;= table!$D$7),-1,IF(AND(#REF!&gt;=table!$E$7,#REF!&lt;=table!$F$7),1,0))</f>
        <v>#REF!</v>
      </c>
      <c r="S45" s="5" t="e">
        <f>IF(AND(#REF!&gt;=table!$C$8,#REF!&lt;= table!$D$8),-1,IF(AND(#REF!&gt;=table!$E$8,#REF!&lt;=table!$F$8),1,0))</f>
        <v>#REF!</v>
      </c>
      <c r="T45" s="5"/>
      <c r="U45" s="5" t="e">
        <f>IF(AND(#REF!&gt;=table!$C$10,#REF!&lt;= table!$D$10),-1,IF(AND(#REF!&gt;=table!$E$10,#REF!&lt;=table!$F$10),1,0))</f>
        <v>#REF!</v>
      </c>
      <c r="V45" s="5" t="e">
        <f>IF(AND(#REF!&gt;=table!$C$11,#REF!&lt;= table!$D$11),-1,IF(AND(#REF!&gt;=table!$E$11,#REF!&lt;=table!$F$11),1,0))</f>
        <v>#REF!</v>
      </c>
      <c r="W45" s="5" t="e">
        <f>CONCATENATE(dados[[#This Row],[fator1]],dados[[#This Row],[fator5]],dados[[#This Row],[fator6]])</f>
        <v>#REF!</v>
      </c>
    </row>
    <row r="46" spans="1:23">
      <c r="A46" t="s">
        <v>17</v>
      </c>
      <c r="B46">
        <v>480773</v>
      </c>
      <c r="C46">
        <v>18</v>
      </c>
      <c r="D46">
        <v>23</v>
      </c>
      <c r="E46">
        <v>145</v>
      </c>
      <c r="F46">
        <v>9</v>
      </c>
      <c r="G46">
        <v>30</v>
      </c>
      <c r="H46">
        <v>25</v>
      </c>
      <c r="I46">
        <v>244</v>
      </c>
      <c r="J46">
        <v>1050</v>
      </c>
      <c r="K46">
        <v>2.5950000000000002</v>
      </c>
      <c r="L46">
        <v>4</v>
      </c>
      <c r="M46">
        <v>147.4</v>
      </c>
      <c r="N46">
        <v>21.75</v>
      </c>
      <c r="O46">
        <v>1681</v>
      </c>
      <c r="P46">
        <v>1375</v>
      </c>
      <c r="Q46" s="5" t="e">
        <f>IF(AND(#REF!&gt;=table!$C$6,#REF!&lt;= table!$D$6),-1,IF(AND(#REF!&gt;=table!$E$6,#REF!&lt;=table!$F$6),1,0))</f>
        <v>#REF!</v>
      </c>
      <c r="R46" s="5" t="e">
        <f>IF(AND(#REF!&gt;=table!$C$7,#REF!&lt;= table!$D$7),-1,IF(AND(#REF!&gt;=table!$E$7,#REF!&lt;=table!$F$7),1,0))</f>
        <v>#REF!</v>
      </c>
      <c r="S46" s="5" t="e">
        <f>IF(AND(#REF!&gt;=table!$C$8,#REF!&lt;= table!$D$8),-1,IF(AND(#REF!&gt;=table!$E$8,#REF!&lt;=table!$F$8),1,0))</f>
        <v>#REF!</v>
      </c>
      <c r="T46" s="5"/>
      <c r="U46" s="5" t="e">
        <f>IF(AND(#REF!&gt;=table!$C$10,#REF!&lt;= table!$D$10),-1,IF(AND(#REF!&gt;=table!$E$10,#REF!&lt;=table!$F$10),1,0))</f>
        <v>#REF!</v>
      </c>
      <c r="V46" s="5" t="e">
        <f>IF(AND(#REF!&gt;=table!$C$11,#REF!&lt;= table!$D$11),-1,IF(AND(#REF!&gt;=table!$E$11,#REF!&lt;=table!$F$11),1,0))</f>
        <v>#REF!</v>
      </c>
      <c r="W46" s="5" t="e">
        <f>CONCATENATE(dados[[#This Row],[fator1]],dados[[#This Row],[fator5]],dados[[#This Row],[fator6]])</f>
        <v>#REF!</v>
      </c>
    </row>
    <row r="47" spans="1:23">
      <c r="A47" t="s">
        <v>17</v>
      </c>
      <c r="B47">
        <v>480775</v>
      </c>
      <c r="C47">
        <v>3</v>
      </c>
      <c r="D47">
        <v>25</v>
      </c>
      <c r="E47">
        <v>115</v>
      </c>
      <c r="F47">
        <v>1</v>
      </c>
      <c r="G47">
        <v>25</v>
      </c>
      <c r="H47">
        <v>10</v>
      </c>
      <c r="I47">
        <v>1065</v>
      </c>
      <c r="J47">
        <v>1240</v>
      </c>
      <c r="K47">
        <v>4.3050000000000006</v>
      </c>
      <c r="L47">
        <v>3.4</v>
      </c>
      <c r="M47">
        <v>104.4</v>
      </c>
      <c r="N47">
        <v>9.5500000000000007</v>
      </c>
      <c r="O47">
        <v>1616</v>
      </c>
      <c r="P47">
        <v>0</v>
      </c>
      <c r="Q47" s="5" t="e">
        <f>IF(AND(#REF!&gt;=table!$C$6,#REF!&lt;= table!$D$6),-1,IF(AND(#REF!&gt;=table!$E$6,#REF!&lt;=table!$F$6),1,0))</f>
        <v>#REF!</v>
      </c>
      <c r="R47" s="5" t="e">
        <f>IF(AND(#REF!&gt;=table!$C$7,#REF!&lt;= table!$D$7),-1,IF(AND(#REF!&gt;=table!$E$7,#REF!&lt;=table!$F$7),1,0))</f>
        <v>#REF!</v>
      </c>
      <c r="S47" s="5" t="e">
        <f>IF(AND(#REF!&gt;=table!$C$8,#REF!&lt;= table!$D$8),-1,IF(AND(#REF!&gt;=table!$E$8,#REF!&lt;=table!$F$8),1,0))</f>
        <v>#REF!</v>
      </c>
      <c r="T47" s="5"/>
      <c r="U47" s="5" t="e">
        <f>IF(AND(#REF!&gt;=table!$C$10,#REF!&lt;= table!$D$10),-1,IF(AND(#REF!&gt;=table!$E$10,#REF!&lt;=table!$F$10),1,0))</f>
        <v>#REF!</v>
      </c>
      <c r="V47" s="5" t="e">
        <f>IF(AND(#REF!&gt;=table!$C$11,#REF!&lt;= table!$D$11),-1,IF(AND(#REF!&gt;=table!$E$11,#REF!&lt;=table!$F$11),1,0))</f>
        <v>#REF!</v>
      </c>
      <c r="W47" s="5" t="e">
        <f>CONCATENATE(dados[[#This Row],[fator1]],dados[[#This Row],[fator5]],dados[[#This Row],[fator6]])</f>
        <v>#REF!</v>
      </c>
    </row>
    <row r="48" spans="1:23">
      <c r="A48" t="s">
        <v>16</v>
      </c>
      <c r="B48">
        <v>480776</v>
      </c>
      <c r="C48">
        <v>11</v>
      </c>
      <c r="D48">
        <v>40</v>
      </c>
      <c r="E48">
        <v>151</v>
      </c>
      <c r="F48">
        <v>8</v>
      </c>
      <c r="G48">
        <v>0</v>
      </c>
      <c r="H48">
        <v>25</v>
      </c>
      <c r="I48">
        <v>871</v>
      </c>
      <c r="J48">
        <v>540</v>
      </c>
      <c r="K48">
        <v>2.2400000000000002</v>
      </c>
      <c r="L48">
        <v>7.4</v>
      </c>
      <c r="M48">
        <v>161.62</v>
      </c>
      <c r="N48">
        <v>13.555000000000001</v>
      </c>
      <c r="O48">
        <v>1644</v>
      </c>
      <c r="P48">
        <v>0</v>
      </c>
      <c r="Q48" s="5" t="e">
        <f>IF(AND(#REF!&gt;=table!$C$6,#REF!&lt;= table!$D$6),-1,IF(AND(#REF!&gt;=table!$E$6,#REF!&lt;=table!$F$6),1,0))</f>
        <v>#REF!</v>
      </c>
      <c r="R48" s="5" t="e">
        <f>IF(AND(#REF!&gt;=table!$C$7,#REF!&lt;= table!$D$7),-1,IF(AND(#REF!&gt;=table!$E$7,#REF!&lt;=table!$F$7),1,0))</f>
        <v>#REF!</v>
      </c>
      <c r="S48" s="5" t="e">
        <f>IF(AND(#REF!&gt;=table!$C$8,#REF!&lt;= table!$D$8),-1,IF(AND(#REF!&gt;=table!$E$8,#REF!&lt;=table!$F$8),1,0))</f>
        <v>#REF!</v>
      </c>
      <c r="T48" s="5"/>
      <c r="U48" s="5" t="e">
        <f>IF(AND(#REF!&gt;=table!$C$10,#REF!&lt;= table!$D$10),-1,IF(AND(#REF!&gt;=table!$E$10,#REF!&lt;=table!$F$10),1,0))</f>
        <v>#REF!</v>
      </c>
      <c r="V48" s="5" t="e">
        <f>IF(AND(#REF!&gt;=table!$C$11,#REF!&lt;= table!$D$11),-1,IF(AND(#REF!&gt;=table!$E$11,#REF!&lt;=table!$F$11),1,0))</f>
        <v>#REF!</v>
      </c>
      <c r="W48" s="5" t="e">
        <f>CONCATENATE(dados[[#This Row],[fator1]],dados[[#This Row],[fator5]],dados[[#This Row],[fator6]])</f>
        <v>#REF!</v>
      </c>
    </row>
    <row r="49" spans="1:23">
      <c r="A49" t="s">
        <v>16</v>
      </c>
      <c r="B49">
        <v>480783</v>
      </c>
      <c r="C49">
        <v>11</v>
      </c>
      <c r="D49">
        <v>40</v>
      </c>
      <c r="E49">
        <v>155</v>
      </c>
      <c r="F49">
        <v>8</v>
      </c>
      <c r="G49">
        <v>0</v>
      </c>
      <c r="H49">
        <v>25</v>
      </c>
      <c r="I49">
        <v>93</v>
      </c>
      <c r="J49">
        <v>0</v>
      </c>
      <c r="K49">
        <v>4.5650000000000004</v>
      </c>
      <c r="L49">
        <v>14.655000000000001</v>
      </c>
      <c r="M49">
        <v>99.4</v>
      </c>
      <c r="N49">
        <v>17.150000000000002</v>
      </c>
      <c r="O49">
        <v>1668</v>
      </c>
      <c r="P49">
        <v>0</v>
      </c>
      <c r="Q49" s="5" t="e">
        <f>IF(AND(#REF!&gt;=table!$C$6,#REF!&lt;= table!$D$6),-1,IF(AND(#REF!&gt;=table!$E$6,#REF!&lt;=table!$F$6),1,0))</f>
        <v>#REF!</v>
      </c>
      <c r="R49" s="5" t="e">
        <f>IF(AND(#REF!&gt;=table!$C$7,#REF!&lt;= table!$D$7),-1,IF(AND(#REF!&gt;=table!$E$7,#REF!&lt;=table!$F$7),1,0))</f>
        <v>#REF!</v>
      </c>
      <c r="S49" s="5" t="e">
        <f>IF(AND(#REF!&gt;=table!$C$8,#REF!&lt;= table!$D$8),-1,IF(AND(#REF!&gt;=table!$E$8,#REF!&lt;=table!$F$8),1,0))</f>
        <v>#REF!</v>
      </c>
      <c r="T49" s="5"/>
      <c r="U49" s="5" t="e">
        <f>IF(AND(#REF!&gt;=table!$C$10,#REF!&lt;= table!$D$10),-1,IF(AND(#REF!&gt;=table!$E$10,#REF!&lt;=table!$F$10),1,0))</f>
        <v>#REF!</v>
      </c>
      <c r="V49" s="5" t="e">
        <f>IF(AND(#REF!&gt;=table!$C$11,#REF!&lt;= table!$D$11),-1,IF(AND(#REF!&gt;=table!$E$11,#REF!&lt;=table!$F$11),1,0))</f>
        <v>#REF!</v>
      </c>
      <c r="W49" s="5" t="e">
        <f>CONCATENATE(dados[[#This Row],[fator1]],dados[[#This Row],[fator5]],dados[[#This Row],[fator6]])</f>
        <v>#REF!</v>
      </c>
    </row>
    <row r="50" spans="1:23">
      <c r="A50" t="s">
        <v>16</v>
      </c>
      <c r="B50">
        <v>480785</v>
      </c>
      <c r="C50">
        <v>0.15</v>
      </c>
      <c r="D50">
        <v>40</v>
      </c>
      <c r="E50">
        <v>10</v>
      </c>
      <c r="F50">
        <v>15</v>
      </c>
      <c r="G50">
        <v>0</v>
      </c>
      <c r="H50">
        <v>15</v>
      </c>
      <c r="I50">
        <v>1130</v>
      </c>
      <c r="J50">
        <v>0</v>
      </c>
      <c r="K50">
        <v>3.665</v>
      </c>
      <c r="L50">
        <v>10.700000000000001</v>
      </c>
      <c r="M50">
        <v>9.75</v>
      </c>
      <c r="N50">
        <v>10.450000000000001</v>
      </c>
      <c r="O50">
        <v>1672</v>
      </c>
      <c r="P50">
        <v>0</v>
      </c>
      <c r="Q50" s="5" t="e">
        <f>IF(AND(#REF!&gt;=table!$C$6,#REF!&lt;= table!$D$6),-1,IF(AND(#REF!&gt;=table!$E$6,#REF!&lt;=table!$F$6),1,0))</f>
        <v>#REF!</v>
      </c>
      <c r="R50" s="5" t="e">
        <f>IF(AND(#REF!&gt;=table!$C$7,#REF!&lt;= table!$D$7),-1,IF(AND(#REF!&gt;=table!$E$7,#REF!&lt;=table!$F$7),1,0))</f>
        <v>#REF!</v>
      </c>
      <c r="S50" s="5" t="e">
        <f>IF(AND(#REF!&gt;=table!$C$8,#REF!&lt;= table!$D$8),-1,IF(AND(#REF!&gt;=table!$E$8,#REF!&lt;=table!$F$8),1,0))</f>
        <v>#REF!</v>
      </c>
      <c r="T50" s="5"/>
      <c r="U50" s="5" t="e">
        <f>IF(AND(#REF!&gt;=table!$C$10,#REF!&lt;= table!$D$10),-1,IF(AND(#REF!&gt;=table!$E$10,#REF!&lt;=table!$F$10),1,0))</f>
        <v>#REF!</v>
      </c>
      <c r="V50" s="5" t="e">
        <f>IF(AND(#REF!&gt;=table!$C$11,#REF!&lt;= table!$D$11),-1,IF(AND(#REF!&gt;=table!$E$11,#REF!&lt;=table!$F$11),1,0))</f>
        <v>#REF!</v>
      </c>
      <c r="W50" s="5" t="e">
        <f>CONCATENATE(dados[[#This Row],[fator1]],dados[[#This Row],[fator5]],dados[[#This Row],[fator6]])</f>
        <v>#REF!</v>
      </c>
    </row>
    <row r="51" spans="1:23">
      <c r="A51" t="s">
        <v>16</v>
      </c>
      <c r="B51">
        <v>480788</v>
      </c>
      <c r="C51">
        <v>8</v>
      </c>
      <c r="D51">
        <v>40</v>
      </c>
      <c r="E51">
        <v>65</v>
      </c>
      <c r="F51">
        <v>8</v>
      </c>
      <c r="G51">
        <v>0</v>
      </c>
      <c r="H51">
        <v>25</v>
      </c>
      <c r="I51">
        <v>1144</v>
      </c>
      <c r="J51">
        <v>0</v>
      </c>
      <c r="K51">
        <v>3.9950000000000001</v>
      </c>
      <c r="L51">
        <v>10.405000000000001</v>
      </c>
      <c r="M51">
        <v>33.15</v>
      </c>
      <c r="N51">
        <v>7.15</v>
      </c>
      <c r="O51">
        <v>1688</v>
      </c>
      <c r="P51">
        <v>0</v>
      </c>
      <c r="Q51" s="5" t="e">
        <f>IF(AND(#REF!&gt;=table!$C$6,#REF!&lt;= table!$D$6),-1,IF(AND(#REF!&gt;=table!$E$6,#REF!&lt;=table!$F$6),1,0))</f>
        <v>#REF!</v>
      </c>
      <c r="R51" s="5" t="e">
        <f>IF(AND(#REF!&gt;=table!$C$7,#REF!&lt;= table!$D$7),-1,IF(AND(#REF!&gt;=table!$E$7,#REF!&lt;=table!$F$7),1,0))</f>
        <v>#REF!</v>
      </c>
      <c r="S51" s="5" t="e">
        <f>IF(AND(#REF!&gt;=table!$C$8,#REF!&lt;= table!$D$8),-1,IF(AND(#REF!&gt;=table!$E$8,#REF!&lt;=table!$F$8),1,0))</f>
        <v>#REF!</v>
      </c>
      <c r="T51" s="5"/>
      <c r="U51" s="5" t="e">
        <f>IF(AND(#REF!&gt;=table!$C$10,#REF!&lt;= table!$D$10),-1,IF(AND(#REF!&gt;=table!$E$10,#REF!&lt;=table!$F$10),1,0))</f>
        <v>#REF!</v>
      </c>
      <c r="V51" s="5" t="e">
        <f>IF(AND(#REF!&gt;=table!$C$11,#REF!&lt;= table!$D$11),-1,IF(AND(#REF!&gt;=table!$E$11,#REF!&lt;=table!$F$11),1,0))</f>
        <v>#REF!</v>
      </c>
      <c r="W51" s="5" t="e">
        <f>CONCATENATE(dados[[#This Row],[fator1]],dados[[#This Row],[fator5]],dados[[#This Row],[fator6]])</f>
        <v>#REF!</v>
      </c>
    </row>
    <row r="52" spans="1:23">
      <c r="A52" t="s">
        <v>16</v>
      </c>
      <c r="B52">
        <v>480789</v>
      </c>
      <c r="C52">
        <v>6</v>
      </c>
      <c r="D52">
        <v>25</v>
      </c>
      <c r="E52">
        <v>120</v>
      </c>
      <c r="F52">
        <v>4</v>
      </c>
      <c r="G52">
        <v>0</v>
      </c>
      <c r="H52">
        <v>55</v>
      </c>
      <c r="I52">
        <v>1445</v>
      </c>
      <c r="J52">
        <v>0</v>
      </c>
      <c r="K52">
        <v>2.0475000000000003</v>
      </c>
      <c r="L52">
        <v>7.74</v>
      </c>
      <c r="M52">
        <v>82.9</v>
      </c>
      <c r="N52">
        <v>27.55</v>
      </c>
      <c r="O52">
        <v>1698</v>
      </c>
      <c r="P52">
        <v>0</v>
      </c>
      <c r="Q52" s="5" t="e">
        <f>IF(AND(#REF!&gt;=table!$C$6,#REF!&lt;= table!$D$6),-1,IF(AND(#REF!&gt;=table!$E$6,#REF!&lt;=table!$F$6),1,0))</f>
        <v>#REF!</v>
      </c>
      <c r="R52" s="5" t="e">
        <f>IF(AND(#REF!&gt;=table!$C$7,#REF!&lt;= table!$D$7),-1,IF(AND(#REF!&gt;=table!$E$7,#REF!&lt;=table!$F$7),1,0))</f>
        <v>#REF!</v>
      </c>
      <c r="S52" s="5" t="e">
        <f>IF(AND(#REF!&gt;=table!$C$8,#REF!&lt;= table!$D$8),-1,IF(AND(#REF!&gt;=table!$E$8,#REF!&lt;=table!$F$8),1,0))</f>
        <v>#REF!</v>
      </c>
      <c r="T52" s="5"/>
      <c r="U52" s="5" t="e">
        <f>IF(AND(#REF!&gt;=table!$C$10,#REF!&lt;= table!$D$10),-1,IF(AND(#REF!&gt;=table!$E$10,#REF!&lt;=table!$F$10),1,0))</f>
        <v>#REF!</v>
      </c>
      <c r="V52" s="5" t="e">
        <f>IF(AND(#REF!&gt;=table!$C$11,#REF!&lt;= table!$D$11),-1,IF(AND(#REF!&gt;=table!$E$11,#REF!&lt;=table!$F$11),1,0))</f>
        <v>#REF!</v>
      </c>
      <c r="W52" s="5" t="e">
        <f>CONCATENATE(dados[[#This Row],[fator1]],dados[[#This Row],[fator5]],dados[[#This Row],[fator6]])</f>
        <v>#REF!</v>
      </c>
    </row>
    <row r="53" spans="1:23">
      <c r="A53" t="s">
        <v>16</v>
      </c>
      <c r="B53">
        <v>480790</v>
      </c>
      <c r="C53">
        <v>6</v>
      </c>
      <c r="D53">
        <v>25</v>
      </c>
      <c r="E53">
        <v>120</v>
      </c>
      <c r="F53">
        <v>4</v>
      </c>
      <c r="G53">
        <v>0</v>
      </c>
      <c r="H53">
        <v>55</v>
      </c>
      <c r="I53">
        <v>885</v>
      </c>
      <c r="J53">
        <v>0</v>
      </c>
      <c r="K53">
        <v>2.72</v>
      </c>
      <c r="L53">
        <v>9.0500000000000007</v>
      </c>
      <c r="M53">
        <v>93.850000000000009</v>
      </c>
      <c r="N53">
        <v>42.5</v>
      </c>
      <c r="O53">
        <v>1684</v>
      </c>
      <c r="P53">
        <v>0</v>
      </c>
      <c r="Q53" s="5" t="e">
        <f>IF(AND(#REF!&gt;=table!$C$6,#REF!&lt;= table!$D$6),-1,IF(AND(#REF!&gt;=table!$E$6,#REF!&lt;=table!$F$6),1,0))</f>
        <v>#REF!</v>
      </c>
      <c r="R53" s="5" t="e">
        <f>IF(AND(#REF!&gt;=table!$C$7,#REF!&lt;= table!$D$7),-1,IF(AND(#REF!&gt;=table!$E$7,#REF!&lt;=table!$F$7),1,0))</f>
        <v>#REF!</v>
      </c>
      <c r="S53" s="5" t="e">
        <f>IF(AND(#REF!&gt;=table!$C$8,#REF!&lt;= table!$D$8),-1,IF(AND(#REF!&gt;=table!$E$8,#REF!&lt;=table!$F$8),1,0))</f>
        <v>#REF!</v>
      </c>
      <c r="T53" s="5"/>
      <c r="U53" s="5" t="e">
        <f>IF(AND(#REF!&gt;=table!$C$10,#REF!&lt;= table!$D$10),-1,IF(AND(#REF!&gt;=table!$E$10,#REF!&lt;=table!$F$10),1,0))</f>
        <v>#REF!</v>
      </c>
      <c r="V53" s="5" t="e">
        <f>IF(AND(#REF!&gt;=table!$C$11,#REF!&lt;= table!$D$11),-1,IF(AND(#REF!&gt;=table!$E$11,#REF!&lt;=table!$F$11),1,0))</f>
        <v>#REF!</v>
      </c>
      <c r="W53" s="5" t="e">
        <f>CONCATENATE(dados[[#This Row],[fator1]],dados[[#This Row],[fator5]],dados[[#This Row],[fator6]])</f>
        <v>#REF!</v>
      </c>
    </row>
    <row r="54" spans="1:23">
      <c r="A54" t="s">
        <v>16</v>
      </c>
      <c r="B54">
        <v>480792</v>
      </c>
      <c r="C54">
        <v>6</v>
      </c>
      <c r="D54">
        <v>25</v>
      </c>
      <c r="E54">
        <v>120</v>
      </c>
      <c r="F54">
        <v>4</v>
      </c>
      <c r="G54">
        <v>0</v>
      </c>
      <c r="H54">
        <v>55</v>
      </c>
      <c r="I54">
        <v>835</v>
      </c>
      <c r="J54">
        <v>0</v>
      </c>
      <c r="K54">
        <v>3.43</v>
      </c>
      <c r="L54">
        <v>9.7000000000000011</v>
      </c>
      <c r="M54">
        <v>81.06</v>
      </c>
      <c r="N54">
        <v>10.135</v>
      </c>
      <c r="O54">
        <v>1662</v>
      </c>
      <c r="P54">
        <v>0</v>
      </c>
      <c r="Q54" s="5" t="e">
        <f>IF(AND(#REF!&gt;=table!$C$6,#REF!&lt;= table!$D$6),-1,IF(AND(#REF!&gt;=table!$E$6,#REF!&lt;=table!$F$6),1,0))</f>
        <v>#REF!</v>
      </c>
      <c r="R54" s="5" t="e">
        <f>IF(AND(#REF!&gt;=table!$C$7,#REF!&lt;= table!$D$7),-1,IF(AND(#REF!&gt;=table!$E$7,#REF!&lt;=table!$F$7),1,0))</f>
        <v>#REF!</v>
      </c>
      <c r="S54" s="5" t="e">
        <f>IF(AND(#REF!&gt;=table!$C$8,#REF!&lt;= table!$D$8),-1,IF(AND(#REF!&gt;=table!$E$8,#REF!&lt;=table!$F$8),1,0))</f>
        <v>#REF!</v>
      </c>
      <c r="T54" s="5"/>
      <c r="U54" s="5" t="e">
        <f>IF(AND(#REF!&gt;=table!$C$10,#REF!&lt;= table!$D$10),-1,IF(AND(#REF!&gt;=table!$E$10,#REF!&lt;=table!$F$10),1,0))</f>
        <v>#REF!</v>
      </c>
      <c r="V54" s="5" t="e">
        <f>IF(AND(#REF!&gt;=table!$C$11,#REF!&lt;= table!$D$11),-1,IF(AND(#REF!&gt;=table!$E$11,#REF!&lt;=table!$F$11),1,0))</f>
        <v>#REF!</v>
      </c>
      <c r="W54" s="5" t="e">
        <f>CONCATENATE(dados[[#This Row],[fator1]],dados[[#This Row],[fator5]],dados[[#This Row],[fator6]])</f>
        <v>#REF!</v>
      </c>
    </row>
    <row r="55" spans="1:23">
      <c r="A55" t="s">
        <v>16</v>
      </c>
      <c r="B55">
        <v>480793</v>
      </c>
      <c r="C55">
        <v>6</v>
      </c>
      <c r="D55">
        <v>25</v>
      </c>
      <c r="E55">
        <v>120</v>
      </c>
      <c r="F55">
        <v>4</v>
      </c>
      <c r="G55">
        <v>0</v>
      </c>
      <c r="H55">
        <v>55</v>
      </c>
      <c r="I55">
        <v>1600</v>
      </c>
      <c r="J55">
        <v>0</v>
      </c>
      <c r="K55">
        <v>2.98</v>
      </c>
      <c r="L55">
        <v>8.75</v>
      </c>
      <c r="M55">
        <v>91.5</v>
      </c>
      <c r="N55">
        <v>33.450000000000003</v>
      </c>
      <c r="O55">
        <v>1691</v>
      </c>
      <c r="P55">
        <v>0</v>
      </c>
      <c r="Q55" s="5" t="e">
        <f>IF(AND(#REF!&gt;=table!$C$6,#REF!&lt;= table!$D$6),-1,IF(AND(#REF!&gt;=table!$E$6,#REF!&lt;=table!$F$6),1,0))</f>
        <v>#REF!</v>
      </c>
      <c r="R55" s="5" t="e">
        <f>IF(AND(#REF!&gt;=table!$C$7,#REF!&lt;= table!$D$7),-1,IF(AND(#REF!&gt;=table!$E$7,#REF!&lt;=table!$F$7),1,0))</f>
        <v>#REF!</v>
      </c>
      <c r="S55" s="5" t="e">
        <f>IF(AND(#REF!&gt;=table!$C$8,#REF!&lt;= table!$D$8),-1,IF(AND(#REF!&gt;=table!$E$8,#REF!&lt;=table!$F$8),1,0))</f>
        <v>#REF!</v>
      </c>
      <c r="T55" s="5"/>
      <c r="U55" s="5" t="e">
        <f>IF(AND(#REF!&gt;=table!$C$10,#REF!&lt;= table!$D$10),-1,IF(AND(#REF!&gt;=table!$E$10,#REF!&lt;=table!$F$10),1,0))</f>
        <v>#REF!</v>
      </c>
      <c r="V55" s="5" t="e">
        <f>IF(AND(#REF!&gt;=table!$C$11,#REF!&lt;= table!$D$11),-1,IF(AND(#REF!&gt;=table!$E$11,#REF!&lt;=table!$F$11),1,0))</f>
        <v>#REF!</v>
      </c>
      <c r="W55" s="5" t="e">
        <f>CONCATENATE(dados[[#This Row],[fator1]],dados[[#This Row],[fator5]],dados[[#This Row],[fator6]])</f>
        <v>#REF!</v>
      </c>
    </row>
    <row r="56" spans="1:23">
      <c r="A56" t="s">
        <v>16</v>
      </c>
      <c r="B56">
        <v>480794</v>
      </c>
      <c r="C56">
        <v>9</v>
      </c>
      <c r="D56">
        <v>30</v>
      </c>
      <c r="E56">
        <v>150</v>
      </c>
      <c r="F56">
        <v>4</v>
      </c>
      <c r="G56">
        <v>0</v>
      </c>
      <c r="H56">
        <v>25</v>
      </c>
      <c r="I56">
        <v>1433</v>
      </c>
      <c r="J56">
        <v>0</v>
      </c>
      <c r="K56">
        <v>3.59</v>
      </c>
      <c r="L56">
        <v>9</v>
      </c>
      <c r="M56">
        <v>147.1</v>
      </c>
      <c r="N56">
        <v>13.25</v>
      </c>
      <c r="O56">
        <v>1696</v>
      </c>
      <c r="P56">
        <v>0</v>
      </c>
      <c r="Q56" s="5" t="e">
        <f>IF(AND(#REF!&gt;=table!$C$6,#REF!&lt;= table!$D$6),-1,IF(AND(#REF!&gt;=table!$E$6,#REF!&lt;=table!$F$6),1,0))</f>
        <v>#REF!</v>
      </c>
      <c r="R56" s="5" t="e">
        <f>IF(AND(#REF!&gt;=table!$C$7,#REF!&lt;= table!$D$7),-1,IF(AND(#REF!&gt;=table!$E$7,#REF!&lt;=table!$F$7),1,0))</f>
        <v>#REF!</v>
      </c>
      <c r="S56" s="5" t="e">
        <f>IF(AND(#REF!&gt;=table!$C$8,#REF!&lt;= table!$D$8),-1,IF(AND(#REF!&gt;=table!$E$8,#REF!&lt;=table!$F$8),1,0))</f>
        <v>#REF!</v>
      </c>
      <c r="T56" s="5"/>
      <c r="U56" s="5" t="e">
        <f>IF(AND(#REF!&gt;=table!$C$10,#REF!&lt;= table!$D$10),-1,IF(AND(#REF!&gt;=table!$E$10,#REF!&lt;=table!$F$10),1,0))</f>
        <v>#REF!</v>
      </c>
      <c r="V56" s="5" t="e">
        <f>IF(AND(#REF!&gt;=table!$C$11,#REF!&lt;= table!$D$11),-1,IF(AND(#REF!&gt;=table!$E$11,#REF!&lt;=table!$F$11),1,0))</f>
        <v>#REF!</v>
      </c>
      <c r="W56" s="5" t="e">
        <f>CONCATENATE(dados[[#This Row],[fator1]],dados[[#This Row],[fator5]],dados[[#This Row],[fator6]])</f>
        <v>#REF!</v>
      </c>
    </row>
    <row r="57" spans="1:23">
      <c r="A57" t="s">
        <v>16</v>
      </c>
      <c r="B57">
        <v>480795</v>
      </c>
      <c r="C57">
        <v>13</v>
      </c>
      <c r="D57">
        <v>35</v>
      </c>
      <c r="E57">
        <v>110</v>
      </c>
      <c r="F57">
        <v>10</v>
      </c>
      <c r="G57">
        <v>0</v>
      </c>
      <c r="H57">
        <v>25</v>
      </c>
      <c r="I57">
        <v>171</v>
      </c>
      <c r="J57">
        <v>0</v>
      </c>
      <c r="K57">
        <v>2.4975000000000001</v>
      </c>
      <c r="L57">
        <v>9.7750000000000004</v>
      </c>
      <c r="M57">
        <v>72.850000000000009</v>
      </c>
      <c r="N57">
        <v>8.6</v>
      </c>
      <c r="O57">
        <v>1666</v>
      </c>
      <c r="P57">
        <v>0</v>
      </c>
      <c r="Q57" s="5" t="e">
        <f>IF(AND(#REF!&gt;=table!$C$6,#REF!&lt;= table!$D$6),-1,IF(AND(#REF!&gt;=table!$E$6,#REF!&lt;=table!$F$6),1,0))</f>
        <v>#REF!</v>
      </c>
      <c r="R57" s="5" t="e">
        <f>IF(AND(#REF!&gt;=table!$C$7,#REF!&lt;= table!$D$7),-1,IF(AND(#REF!&gt;=table!$E$7,#REF!&lt;=table!$F$7),1,0))</f>
        <v>#REF!</v>
      </c>
      <c r="S57" s="5" t="e">
        <f>IF(AND(#REF!&gt;=table!$C$8,#REF!&lt;= table!$D$8),-1,IF(AND(#REF!&gt;=table!$E$8,#REF!&lt;=table!$F$8),1,0))</f>
        <v>#REF!</v>
      </c>
      <c r="T57" s="5"/>
      <c r="U57" s="5" t="e">
        <f>IF(AND(#REF!&gt;=table!$C$10,#REF!&lt;= table!$D$10),-1,IF(AND(#REF!&gt;=table!$E$10,#REF!&lt;=table!$F$10),1,0))</f>
        <v>#REF!</v>
      </c>
      <c r="V57" s="5" t="e">
        <f>IF(AND(#REF!&gt;=table!$C$11,#REF!&lt;= table!$D$11),-1,IF(AND(#REF!&gt;=table!$E$11,#REF!&lt;=table!$F$11),1,0))</f>
        <v>#REF!</v>
      </c>
      <c r="W57" s="5" t="e">
        <f>CONCATENATE(dados[[#This Row],[fator1]],dados[[#This Row],[fator5]],dados[[#This Row],[fator6]])</f>
        <v>#REF!</v>
      </c>
    </row>
    <row r="58" spans="1:23">
      <c r="A58" t="s">
        <v>17</v>
      </c>
      <c r="B58">
        <v>480796</v>
      </c>
      <c r="C58">
        <v>8</v>
      </c>
      <c r="D58">
        <v>30</v>
      </c>
      <c r="E58">
        <v>153</v>
      </c>
      <c r="F58">
        <v>2</v>
      </c>
      <c r="G58">
        <v>20</v>
      </c>
      <c r="H58">
        <v>18</v>
      </c>
      <c r="I58">
        <v>51</v>
      </c>
      <c r="J58">
        <v>0</v>
      </c>
      <c r="K58">
        <v>2.915</v>
      </c>
      <c r="L58">
        <v>9.75</v>
      </c>
      <c r="M58">
        <v>127.65</v>
      </c>
      <c r="N58">
        <v>7.15</v>
      </c>
      <c r="O58">
        <v>1649</v>
      </c>
      <c r="P58">
        <v>0</v>
      </c>
      <c r="Q58" s="5" t="e">
        <f>IF(AND(#REF!&gt;=table!$C$6,#REF!&lt;= table!$D$6),-1,IF(AND(#REF!&gt;=table!$E$6,#REF!&lt;=table!$F$6),1,0))</f>
        <v>#REF!</v>
      </c>
      <c r="R58" s="5" t="e">
        <f>IF(AND(#REF!&gt;=table!$C$7,#REF!&lt;= table!$D$7),-1,IF(AND(#REF!&gt;=table!$E$7,#REF!&lt;=table!$F$7),1,0))</f>
        <v>#REF!</v>
      </c>
      <c r="S58" s="5" t="e">
        <f>IF(AND(#REF!&gt;=table!$C$8,#REF!&lt;= table!$D$8),-1,IF(AND(#REF!&gt;=table!$E$8,#REF!&lt;=table!$F$8),1,0))</f>
        <v>#REF!</v>
      </c>
      <c r="T58" s="5"/>
      <c r="U58" s="5" t="e">
        <f>IF(AND(#REF!&gt;=table!$C$10,#REF!&lt;= table!$D$10),-1,IF(AND(#REF!&gt;=table!$E$10,#REF!&lt;=table!$F$10),1,0))</f>
        <v>#REF!</v>
      </c>
      <c r="V58" s="5" t="e">
        <f>IF(AND(#REF!&gt;=table!$C$11,#REF!&lt;= table!$D$11),-1,IF(AND(#REF!&gt;=table!$E$11,#REF!&lt;=table!$F$11),1,0))</f>
        <v>#REF!</v>
      </c>
      <c r="W58" s="5" t="e">
        <f>CONCATENATE(dados[[#This Row],[fator1]],dados[[#This Row],[fator5]],dados[[#This Row],[fator6]])</f>
        <v>#REF!</v>
      </c>
    </row>
    <row r="59" spans="1:23">
      <c r="A59" t="s">
        <v>17</v>
      </c>
      <c r="B59">
        <v>480802</v>
      </c>
      <c r="C59">
        <v>13</v>
      </c>
      <c r="D59">
        <v>35</v>
      </c>
      <c r="E59">
        <v>130</v>
      </c>
      <c r="F59">
        <v>3</v>
      </c>
      <c r="G59">
        <v>30</v>
      </c>
      <c r="H59">
        <v>23</v>
      </c>
      <c r="I59">
        <v>315</v>
      </c>
      <c r="J59">
        <v>0</v>
      </c>
      <c r="K59">
        <v>5.41</v>
      </c>
      <c r="L59">
        <v>13.15</v>
      </c>
      <c r="M59">
        <v>67.95</v>
      </c>
      <c r="N59">
        <v>12.5</v>
      </c>
      <c r="O59">
        <v>1658</v>
      </c>
      <c r="P59">
        <v>412</v>
      </c>
      <c r="Q59" s="5" t="e">
        <f>IF(AND(#REF!&gt;=table!$C$6,#REF!&lt;= table!$D$6),-1,IF(AND(#REF!&gt;=table!$E$6,#REF!&lt;=table!$F$6),1,0))</f>
        <v>#REF!</v>
      </c>
      <c r="R59" s="5" t="e">
        <f>IF(AND(#REF!&gt;=table!$C$7,#REF!&lt;= table!$D$7),-1,IF(AND(#REF!&gt;=table!$E$7,#REF!&lt;=table!$F$7),1,0))</f>
        <v>#REF!</v>
      </c>
      <c r="S59" s="5" t="e">
        <f>IF(AND(#REF!&gt;=table!$C$8,#REF!&lt;= table!$D$8),-1,IF(AND(#REF!&gt;=table!$E$8,#REF!&lt;=table!$F$8),1,0))</f>
        <v>#REF!</v>
      </c>
      <c r="T59" s="5"/>
      <c r="U59" s="5" t="e">
        <f>IF(AND(#REF!&gt;=table!$C$10,#REF!&lt;= table!$D$10),-1,IF(AND(#REF!&gt;=table!$E$10,#REF!&lt;=table!$F$10),1,0))</f>
        <v>#REF!</v>
      </c>
      <c r="V59" s="5" t="e">
        <f>IF(AND(#REF!&gt;=table!$C$11,#REF!&lt;= table!$D$11),-1,IF(AND(#REF!&gt;=table!$E$11,#REF!&lt;=table!$F$11),1,0))</f>
        <v>#REF!</v>
      </c>
      <c r="W59" s="5" t="e">
        <f>CONCATENATE(dados[[#This Row],[fator1]],dados[[#This Row],[fator5]],dados[[#This Row],[fator6]])</f>
        <v>#REF!</v>
      </c>
    </row>
    <row r="60" spans="1:23">
      <c r="A60" t="s">
        <v>16</v>
      </c>
      <c r="B60">
        <v>480803</v>
      </c>
      <c r="C60">
        <v>6</v>
      </c>
      <c r="D60">
        <v>25</v>
      </c>
      <c r="E60">
        <v>120</v>
      </c>
      <c r="F60">
        <v>4</v>
      </c>
      <c r="G60">
        <v>0</v>
      </c>
      <c r="H60">
        <v>55</v>
      </c>
      <c r="I60">
        <v>459</v>
      </c>
      <c r="J60">
        <v>0</v>
      </c>
      <c r="K60">
        <v>4.2650000000000006</v>
      </c>
      <c r="L60">
        <v>12.15</v>
      </c>
      <c r="M60">
        <v>90.600000000000009</v>
      </c>
      <c r="N60">
        <v>34.450000000000003</v>
      </c>
      <c r="O60">
        <v>1709</v>
      </c>
      <c r="P60">
        <v>686</v>
      </c>
      <c r="Q60" s="5" t="e">
        <f>IF(AND(#REF!&gt;=table!$C$6,#REF!&lt;= table!$D$6),-1,IF(AND(#REF!&gt;=table!$E$6,#REF!&lt;=table!$F$6),1,0))</f>
        <v>#REF!</v>
      </c>
      <c r="R60" s="5" t="e">
        <f>IF(AND(#REF!&gt;=table!$C$7,#REF!&lt;= table!$D$7),-1,IF(AND(#REF!&gt;=table!$E$7,#REF!&lt;=table!$F$7),1,0))</f>
        <v>#REF!</v>
      </c>
      <c r="S60" s="5" t="e">
        <f>IF(AND(#REF!&gt;=table!$C$8,#REF!&lt;= table!$D$8),-1,IF(AND(#REF!&gt;=table!$E$8,#REF!&lt;=table!$F$8),1,0))</f>
        <v>#REF!</v>
      </c>
      <c r="T60" s="5"/>
      <c r="U60" s="5" t="e">
        <f>IF(AND(#REF!&gt;=table!$C$10,#REF!&lt;= table!$D$10),-1,IF(AND(#REF!&gt;=table!$E$10,#REF!&lt;=table!$F$10),1,0))</f>
        <v>#REF!</v>
      </c>
      <c r="V60" s="5" t="e">
        <f>IF(AND(#REF!&gt;=table!$C$11,#REF!&lt;= table!$D$11),-1,IF(AND(#REF!&gt;=table!$E$11,#REF!&lt;=table!$F$11),1,0))</f>
        <v>#REF!</v>
      </c>
      <c r="W60" s="5" t="e">
        <f>CONCATENATE(dados[[#This Row],[fator1]],dados[[#This Row],[fator5]],dados[[#This Row],[fator6]])</f>
        <v>#REF!</v>
      </c>
    </row>
    <row r="61" spans="1:23">
      <c r="A61" t="s">
        <v>16</v>
      </c>
      <c r="B61">
        <v>480809</v>
      </c>
      <c r="C61">
        <v>7</v>
      </c>
      <c r="D61">
        <v>33</v>
      </c>
      <c r="E61">
        <v>150</v>
      </c>
      <c r="F61">
        <v>4</v>
      </c>
      <c r="G61">
        <v>0</v>
      </c>
      <c r="H61">
        <v>25</v>
      </c>
      <c r="I61">
        <v>502</v>
      </c>
      <c r="J61">
        <v>0</v>
      </c>
      <c r="K61">
        <v>4.51</v>
      </c>
      <c r="L61">
        <v>10.25</v>
      </c>
      <c r="M61">
        <v>109.17</v>
      </c>
      <c r="N61">
        <v>12.96</v>
      </c>
      <c r="O61">
        <v>1687</v>
      </c>
      <c r="P61">
        <v>0</v>
      </c>
      <c r="Q61" s="5" t="e">
        <f>IF(AND(#REF!&gt;=table!$C$6,#REF!&lt;= table!$D$6),-1,IF(AND(#REF!&gt;=table!$E$6,#REF!&lt;=table!$F$6),1,0))</f>
        <v>#REF!</v>
      </c>
      <c r="R61" s="5" t="e">
        <f>IF(AND(#REF!&gt;=table!$C$7,#REF!&lt;= table!$D$7),-1,IF(AND(#REF!&gt;=table!$E$7,#REF!&lt;=table!$F$7),1,0))</f>
        <v>#REF!</v>
      </c>
      <c r="S61" s="5" t="e">
        <f>IF(AND(#REF!&gt;=table!$C$8,#REF!&lt;= table!$D$8),-1,IF(AND(#REF!&gt;=table!$E$8,#REF!&lt;=table!$F$8),1,0))</f>
        <v>#REF!</v>
      </c>
      <c r="T61" s="5"/>
      <c r="U61" s="5" t="e">
        <f>IF(AND(#REF!&gt;=table!$C$10,#REF!&lt;= table!$D$10),-1,IF(AND(#REF!&gt;=table!$E$10,#REF!&lt;=table!$F$10),1,0))</f>
        <v>#REF!</v>
      </c>
      <c r="V61" s="5" t="e">
        <f>IF(AND(#REF!&gt;=table!$C$11,#REF!&lt;= table!$D$11),-1,IF(AND(#REF!&gt;=table!$E$11,#REF!&lt;=table!$F$11),1,0))</f>
        <v>#REF!</v>
      </c>
      <c r="W61" s="5" t="e">
        <f>CONCATENATE(dados[[#This Row],[fator1]],dados[[#This Row],[fator5]],dados[[#This Row],[fator6]])</f>
        <v>#REF!</v>
      </c>
    </row>
    <row r="62" spans="1:23">
      <c r="A62" t="s">
        <v>16</v>
      </c>
      <c r="B62">
        <v>480815</v>
      </c>
      <c r="C62">
        <v>7</v>
      </c>
      <c r="D62">
        <v>33</v>
      </c>
      <c r="E62">
        <v>150</v>
      </c>
      <c r="F62">
        <v>4</v>
      </c>
      <c r="G62">
        <v>0</v>
      </c>
      <c r="H62">
        <v>25</v>
      </c>
      <c r="I62">
        <v>1039</v>
      </c>
      <c r="J62">
        <v>0</v>
      </c>
      <c r="K62">
        <v>5.3500000000000005</v>
      </c>
      <c r="L62">
        <v>12.125</v>
      </c>
      <c r="M62">
        <v>146</v>
      </c>
      <c r="N62">
        <v>12.8</v>
      </c>
      <c r="O62">
        <v>1669</v>
      </c>
      <c r="P62">
        <v>591</v>
      </c>
      <c r="Q62" s="5" t="e">
        <f>IF(AND(#REF!&gt;=table!$C$6,#REF!&lt;= table!$D$6),-1,IF(AND(#REF!&gt;=table!$E$6,#REF!&lt;=table!$F$6),1,0))</f>
        <v>#REF!</v>
      </c>
      <c r="R62" s="5" t="e">
        <f>IF(AND(#REF!&gt;=table!$C$7,#REF!&lt;= table!$D$7),-1,IF(AND(#REF!&gt;=table!$E$7,#REF!&lt;=table!$F$7),1,0))</f>
        <v>#REF!</v>
      </c>
      <c r="S62" s="5" t="e">
        <f>IF(AND(#REF!&gt;=table!$C$8,#REF!&lt;= table!$D$8),-1,IF(AND(#REF!&gt;=table!$E$8,#REF!&lt;=table!$F$8),1,0))</f>
        <v>#REF!</v>
      </c>
      <c r="T62" s="5"/>
      <c r="U62" s="5" t="e">
        <f>IF(AND(#REF!&gt;=table!$C$10,#REF!&lt;= table!$D$10),-1,IF(AND(#REF!&gt;=table!$E$10,#REF!&lt;=table!$F$10),1,0))</f>
        <v>#REF!</v>
      </c>
      <c r="V62" s="5" t="e">
        <f>IF(AND(#REF!&gt;=table!$C$11,#REF!&lt;= table!$D$11),-1,IF(AND(#REF!&gt;=table!$E$11,#REF!&lt;=table!$F$11),1,0))</f>
        <v>#REF!</v>
      </c>
      <c r="W62" s="5" t="e">
        <f>CONCATENATE(dados[[#This Row],[fator1]],dados[[#This Row],[fator5]],dados[[#This Row],[fator6]])</f>
        <v>#REF!</v>
      </c>
    </row>
    <row r="63" spans="1:23">
      <c r="A63" t="s">
        <v>16</v>
      </c>
      <c r="B63">
        <v>480817</v>
      </c>
      <c r="C63">
        <v>10</v>
      </c>
      <c r="D63">
        <v>45</v>
      </c>
      <c r="E63">
        <v>156</v>
      </c>
      <c r="F63">
        <v>8</v>
      </c>
      <c r="G63">
        <v>0</v>
      </c>
      <c r="H63">
        <v>20</v>
      </c>
      <c r="I63">
        <v>849</v>
      </c>
      <c r="J63">
        <v>0</v>
      </c>
      <c r="K63">
        <v>3.7850000000000001</v>
      </c>
      <c r="L63">
        <v>11.6</v>
      </c>
      <c r="M63">
        <v>98.31</v>
      </c>
      <c r="N63">
        <v>12.83</v>
      </c>
      <c r="O63">
        <v>1670</v>
      </c>
      <c r="P63">
        <v>545</v>
      </c>
      <c r="Q63" s="5" t="e">
        <f>IF(AND(#REF!&gt;=table!$C$6,#REF!&lt;= table!$D$6),-1,IF(AND(#REF!&gt;=table!$E$6,#REF!&lt;=table!$F$6),1,0))</f>
        <v>#REF!</v>
      </c>
      <c r="R63" s="5" t="e">
        <f>IF(AND(#REF!&gt;=table!$C$7,#REF!&lt;= table!$D$7),-1,IF(AND(#REF!&gt;=table!$E$7,#REF!&lt;=table!$F$7),1,0))</f>
        <v>#REF!</v>
      </c>
      <c r="S63" s="5" t="e">
        <f>IF(AND(#REF!&gt;=table!$C$8,#REF!&lt;= table!$D$8),-1,IF(AND(#REF!&gt;=table!$E$8,#REF!&lt;=table!$F$8),1,0))</f>
        <v>#REF!</v>
      </c>
      <c r="T63" s="5"/>
      <c r="U63" s="5" t="e">
        <f>IF(AND(#REF!&gt;=table!$C$10,#REF!&lt;= table!$D$10),-1,IF(AND(#REF!&gt;=table!$E$10,#REF!&lt;=table!$F$10),1,0))</f>
        <v>#REF!</v>
      </c>
      <c r="V63" s="5" t="e">
        <f>IF(AND(#REF!&gt;=table!$C$11,#REF!&lt;= table!$D$11),-1,IF(AND(#REF!&gt;=table!$E$11,#REF!&lt;=table!$F$11),1,0))</f>
        <v>#REF!</v>
      </c>
      <c r="W63" s="5" t="e">
        <f>CONCATENATE(dados[[#This Row],[fator1]],dados[[#This Row],[fator5]],dados[[#This Row],[fator6]])</f>
        <v>#REF!</v>
      </c>
    </row>
    <row r="64" spans="1:23">
      <c r="A64" t="s">
        <v>16</v>
      </c>
      <c r="B64">
        <v>480818</v>
      </c>
      <c r="C64">
        <v>10</v>
      </c>
      <c r="D64">
        <v>30</v>
      </c>
      <c r="E64">
        <v>96</v>
      </c>
      <c r="F64">
        <v>8</v>
      </c>
      <c r="G64">
        <v>0</v>
      </c>
      <c r="H64">
        <v>25</v>
      </c>
      <c r="I64">
        <v>1014</v>
      </c>
      <c r="J64">
        <v>0</v>
      </c>
      <c r="K64">
        <v>5.26</v>
      </c>
      <c r="L64">
        <v>13.3</v>
      </c>
      <c r="M64">
        <v>90.45</v>
      </c>
      <c r="N64">
        <v>12.25</v>
      </c>
      <c r="O64">
        <v>1668</v>
      </c>
      <c r="P64">
        <v>511</v>
      </c>
      <c r="Q64" s="5" t="e">
        <f>IF(AND(#REF!&gt;=table!$C$6,#REF!&lt;= table!$D$6),-1,IF(AND(#REF!&gt;=table!$E$6,#REF!&lt;=table!$F$6),1,0))</f>
        <v>#REF!</v>
      </c>
      <c r="R64" s="5" t="e">
        <f>IF(AND(#REF!&gt;=table!$C$7,#REF!&lt;= table!$D$7),-1,IF(AND(#REF!&gt;=table!$E$7,#REF!&lt;=table!$F$7),1,0))</f>
        <v>#REF!</v>
      </c>
      <c r="S64" s="5" t="e">
        <f>IF(AND(#REF!&gt;=table!$C$8,#REF!&lt;= table!$D$8),-1,IF(AND(#REF!&gt;=table!$E$8,#REF!&lt;=table!$F$8),1,0))</f>
        <v>#REF!</v>
      </c>
      <c r="T64" s="5"/>
      <c r="U64" s="5" t="e">
        <f>IF(AND(#REF!&gt;=table!$C$10,#REF!&lt;= table!$D$10),-1,IF(AND(#REF!&gt;=table!$E$10,#REF!&lt;=table!$F$10),1,0))</f>
        <v>#REF!</v>
      </c>
      <c r="V64" s="5" t="e">
        <f>IF(AND(#REF!&gt;=table!$C$11,#REF!&lt;= table!$D$11),-1,IF(AND(#REF!&gt;=table!$E$11,#REF!&lt;=table!$F$11),1,0))</f>
        <v>#REF!</v>
      </c>
      <c r="W64" s="5" t="e">
        <f>CONCATENATE(dados[[#This Row],[fator1]],dados[[#This Row],[fator5]],dados[[#This Row],[fator6]])</f>
        <v>#REF!</v>
      </c>
    </row>
    <row r="65" spans="1:23">
      <c r="A65" t="s">
        <v>17</v>
      </c>
      <c r="B65">
        <v>480821</v>
      </c>
      <c r="C65">
        <v>20</v>
      </c>
      <c r="D65">
        <v>33</v>
      </c>
      <c r="E65">
        <v>40</v>
      </c>
      <c r="F65">
        <v>5</v>
      </c>
      <c r="G65">
        <v>20</v>
      </c>
      <c r="H65">
        <v>25</v>
      </c>
      <c r="I65">
        <v>1038</v>
      </c>
      <c r="J65">
        <v>0</v>
      </c>
      <c r="K65">
        <v>3.7850000000000001</v>
      </c>
      <c r="L65">
        <v>10</v>
      </c>
      <c r="M65">
        <v>49.365000000000002</v>
      </c>
      <c r="N65">
        <v>12.215</v>
      </c>
      <c r="O65">
        <v>1678</v>
      </c>
      <c r="P65">
        <v>0</v>
      </c>
      <c r="Q65" s="5" t="e">
        <f>IF(AND(#REF!&gt;=table!$C$6,#REF!&lt;= table!$D$6),-1,IF(AND(#REF!&gt;=table!$E$6,#REF!&lt;=table!$F$6),1,0))</f>
        <v>#REF!</v>
      </c>
      <c r="R65" s="5" t="e">
        <f>IF(AND(#REF!&gt;=table!$C$7,#REF!&lt;= table!$D$7),-1,IF(AND(#REF!&gt;=table!$E$7,#REF!&lt;=table!$F$7),1,0))</f>
        <v>#REF!</v>
      </c>
      <c r="S65" s="5" t="e">
        <f>IF(AND(#REF!&gt;=table!$C$8,#REF!&lt;= table!$D$8),-1,IF(AND(#REF!&gt;=table!$E$8,#REF!&lt;=table!$F$8),1,0))</f>
        <v>#REF!</v>
      </c>
      <c r="T65" s="5"/>
      <c r="U65" s="5" t="e">
        <f>IF(AND(#REF!&gt;=table!$C$10,#REF!&lt;= table!$D$10),-1,IF(AND(#REF!&gt;=table!$E$10,#REF!&lt;=table!$F$10),1,0))</f>
        <v>#REF!</v>
      </c>
      <c r="V65" s="5" t="e">
        <f>IF(AND(#REF!&gt;=table!$C$11,#REF!&lt;= table!$D$11),-1,IF(AND(#REF!&gt;=table!$E$11,#REF!&lt;=table!$F$11),1,0))</f>
        <v>#REF!</v>
      </c>
      <c r="W65" s="5" t="e">
        <f>CONCATENATE(dados[[#This Row],[fator1]],dados[[#This Row],[fator5]],dados[[#This Row],[fator6]])</f>
        <v>#REF!</v>
      </c>
    </row>
    <row r="66" spans="1:23">
      <c r="A66" t="s">
        <v>17</v>
      </c>
      <c r="B66">
        <v>480822</v>
      </c>
      <c r="C66">
        <v>20</v>
      </c>
      <c r="D66">
        <v>33</v>
      </c>
      <c r="E66">
        <v>40</v>
      </c>
      <c r="F66">
        <v>5</v>
      </c>
      <c r="G66">
        <v>20</v>
      </c>
      <c r="H66">
        <v>25</v>
      </c>
      <c r="I66">
        <v>895</v>
      </c>
      <c r="J66">
        <v>0</v>
      </c>
      <c r="K66">
        <v>4.1850000000000005</v>
      </c>
      <c r="L66">
        <v>9.1</v>
      </c>
      <c r="M66">
        <v>33.1</v>
      </c>
      <c r="N66">
        <v>6.6000000000000005</v>
      </c>
      <c r="O66">
        <v>1656</v>
      </c>
      <c r="P66">
        <v>0</v>
      </c>
      <c r="Q66" s="5" t="e">
        <f>IF(AND(#REF!&gt;=table!$C$6,#REF!&lt;= table!$D$6),-1,IF(AND(#REF!&gt;=table!$E$6,#REF!&lt;=table!$F$6),1,0))</f>
        <v>#REF!</v>
      </c>
      <c r="R66" s="5" t="e">
        <f>IF(AND(#REF!&gt;=table!$C$7,#REF!&lt;= table!$D$7),-1,IF(AND(#REF!&gt;=table!$E$7,#REF!&lt;=table!$F$7),1,0))</f>
        <v>#REF!</v>
      </c>
      <c r="S66" s="5" t="e">
        <f>IF(AND(#REF!&gt;=table!$C$8,#REF!&lt;= table!$D$8),-1,IF(AND(#REF!&gt;=table!$E$8,#REF!&lt;=table!$F$8),1,0))</f>
        <v>#REF!</v>
      </c>
      <c r="T66" s="5"/>
      <c r="U66" s="5" t="e">
        <f>IF(AND(#REF!&gt;=table!$C$10,#REF!&lt;= table!$D$10),-1,IF(AND(#REF!&gt;=table!$E$10,#REF!&lt;=table!$F$10),1,0))</f>
        <v>#REF!</v>
      </c>
      <c r="V66" s="5" t="e">
        <f>IF(AND(#REF!&gt;=table!$C$11,#REF!&lt;= table!$D$11),-1,IF(AND(#REF!&gt;=table!$E$11,#REF!&lt;=table!$F$11),1,0))</f>
        <v>#REF!</v>
      </c>
      <c r="W66" s="5" t="e">
        <f>CONCATENATE(dados[[#This Row],[fator1]],dados[[#This Row],[fator5]],dados[[#This Row],[fator6]])</f>
        <v>#REF!</v>
      </c>
    </row>
    <row r="67" spans="1:23">
      <c r="A67" t="s">
        <v>17</v>
      </c>
      <c r="B67">
        <v>480823</v>
      </c>
      <c r="C67">
        <v>20</v>
      </c>
      <c r="D67">
        <v>35</v>
      </c>
      <c r="E67">
        <v>80</v>
      </c>
      <c r="F67">
        <v>8</v>
      </c>
      <c r="G67">
        <v>20</v>
      </c>
      <c r="H67">
        <v>25</v>
      </c>
      <c r="I67">
        <v>189</v>
      </c>
      <c r="J67">
        <v>0</v>
      </c>
      <c r="K67">
        <v>2.88</v>
      </c>
      <c r="L67">
        <v>6.9</v>
      </c>
      <c r="M67">
        <v>56.6</v>
      </c>
      <c r="N67">
        <v>5.4</v>
      </c>
      <c r="O67">
        <v>1641</v>
      </c>
      <c r="P67">
        <v>690</v>
      </c>
      <c r="Q67" s="5" t="e">
        <f>IF(AND(#REF!&gt;=table!$C$6,#REF!&lt;= table!$D$6),-1,IF(AND(#REF!&gt;=table!$E$6,#REF!&lt;=table!$F$6),1,0))</f>
        <v>#REF!</v>
      </c>
      <c r="R67" s="5" t="e">
        <f>IF(AND(#REF!&gt;=table!$C$7,#REF!&lt;= table!$D$7),-1,IF(AND(#REF!&gt;=table!$E$7,#REF!&lt;=table!$F$7),1,0))</f>
        <v>#REF!</v>
      </c>
      <c r="S67" s="5" t="e">
        <f>IF(AND(#REF!&gt;=table!$C$8,#REF!&lt;= table!$D$8),-1,IF(AND(#REF!&gt;=table!$E$8,#REF!&lt;=table!$F$8),1,0))</f>
        <v>#REF!</v>
      </c>
      <c r="T67" s="5"/>
      <c r="U67" s="5" t="e">
        <f>IF(AND(#REF!&gt;=table!$C$10,#REF!&lt;= table!$D$10),-1,IF(AND(#REF!&gt;=table!$E$10,#REF!&lt;=table!$F$10),1,0))</f>
        <v>#REF!</v>
      </c>
      <c r="V67" s="5" t="e">
        <f>IF(AND(#REF!&gt;=table!$C$11,#REF!&lt;= table!$D$11),-1,IF(AND(#REF!&gt;=table!$E$11,#REF!&lt;=table!$F$11),1,0))</f>
        <v>#REF!</v>
      </c>
      <c r="W67" s="5" t="e">
        <f>CONCATENATE(dados[[#This Row],[fator1]],dados[[#This Row],[fator5]],dados[[#This Row],[fator6]])</f>
        <v>#REF!</v>
      </c>
    </row>
    <row r="68" spans="1:23">
      <c r="A68" t="s">
        <v>17</v>
      </c>
      <c r="B68">
        <v>480824</v>
      </c>
      <c r="C68">
        <v>0.15</v>
      </c>
      <c r="D68">
        <v>500</v>
      </c>
      <c r="E68">
        <v>50</v>
      </c>
      <c r="F68">
        <v>10</v>
      </c>
      <c r="G68">
        <v>80</v>
      </c>
      <c r="H68">
        <v>30</v>
      </c>
      <c r="I68">
        <v>1154</v>
      </c>
      <c r="J68">
        <v>0</v>
      </c>
      <c r="K68">
        <v>2.2050000000000001</v>
      </c>
      <c r="L68">
        <v>7.65</v>
      </c>
      <c r="M68">
        <v>6.9</v>
      </c>
      <c r="N68">
        <v>11.65</v>
      </c>
      <c r="O68">
        <v>1715</v>
      </c>
      <c r="P68">
        <v>1124</v>
      </c>
      <c r="Q68" s="5" t="e">
        <f>IF(AND(#REF!&gt;=table!$C$6,#REF!&lt;= table!$D$6),-1,IF(AND(#REF!&gt;=table!$E$6,#REF!&lt;=table!$F$6),1,0))</f>
        <v>#REF!</v>
      </c>
      <c r="R68" s="5" t="e">
        <f>IF(AND(#REF!&gt;=table!$C$7,#REF!&lt;= table!$D$7),-1,IF(AND(#REF!&gt;=table!$E$7,#REF!&lt;=table!$F$7),1,0))</f>
        <v>#REF!</v>
      </c>
      <c r="S68" s="5" t="e">
        <f>IF(AND(#REF!&gt;=table!$C$8,#REF!&lt;= table!$D$8),-1,IF(AND(#REF!&gt;=table!$E$8,#REF!&lt;=table!$F$8),1,0))</f>
        <v>#REF!</v>
      </c>
      <c r="T68" s="5"/>
      <c r="U68" s="5" t="e">
        <f>IF(AND(#REF!&gt;=table!$C$10,#REF!&lt;= table!$D$10),-1,IF(AND(#REF!&gt;=table!$E$10,#REF!&lt;=table!$F$10),1,0))</f>
        <v>#REF!</v>
      </c>
      <c r="V68" s="5" t="e">
        <f>IF(AND(#REF!&gt;=table!$C$11,#REF!&lt;= table!$D$11),-1,IF(AND(#REF!&gt;=table!$E$11,#REF!&lt;=table!$F$11),1,0))</f>
        <v>#REF!</v>
      </c>
      <c r="W68" s="5" t="e">
        <f>CONCATENATE(dados[[#This Row],[fator1]],dados[[#This Row],[fator5]],dados[[#This Row],[fator6]])</f>
        <v>#REF!</v>
      </c>
    </row>
    <row r="69" spans="1:23">
      <c r="A69" t="s">
        <v>17</v>
      </c>
      <c r="B69">
        <v>480828</v>
      </c>
      <c r="C69">
        <v>10</v>
      </c>
      <c r="D69">
        <v>25</v>
      </c>
      <c r="E69">
        <v>40</v>
      </c>
      <c r="F69">
        <v>10</v>
      </c>
      <c r="G69">
        <v>110</v>
      </c>
      <c r="H69">
        <v>50</v>
      </c>
      <c r="I69">
        <v>1675</v>
      </c>
      <c r="J69">
        <v>0</v>
      </c>
      <c r="K69">
        <v>2.11</v>
      </c>
      <c r="L69">
        <v>5.7</v>
      </c>
      <c r="M69">
        <v>18.484999999999999</v>
      </c>
      <c r="N69">
        <v>22.67</v>
      </c>
      <c r="O69">
        <v>1703</v>
      </c>
      <c r="P69">
        <v>1248</v>
      </c>
      <c r="Q69" s="5" t="e">
        <f>IF(AND(#REF!&gt;=table!$C$6,#REF!&lt;= table!$D$6),-1,IF(AND(#REF!&gt;=table!$E$6,#REF!&lt;=table!$F$6),1,0))</f>
        <v>#REF!</v>
      </c>
      <c r="R69" s="5" t="e">
        <f>IF(AND(#REF!&gt;=table!$C$7,#REF!&lt;= table!$D$7),-1,IF(AND(#REF!&gt;=table!$E$7,#REF!&lt;=table!$F$7),1,0))</f>
        <v>#REF!</v>
      </c>
      <c r="S69" s="5" t="e">
        <f>IF(AND(#REF!&gt;=table!$C$8,#REF!&lt;= table!$D$8),-1,IF(AND(#REF!&gt;=table!$E$8,#REF!&lt;=table!$F$8),1,0))</f>
        <v>#REF!</v>
      </c>
      <c r="T69" s="5"/>
      <c r="U69" s="5" t="e">
        <f>IF(AND(#REF!&gt;=table!$C$10,#REF!&lt;= table!$D$10),-1,IF(AND(#REF!&gt;=table!$E$10,#REF!&lt;=table!$F$10),1,0))</f>
        <v>#REF!</v>
      </c>
      <c r="V69" s="5" t="e">
        <f>IF(AND(#REF!&gt;=table!$C$11,#REF!&lt;= table!$D$11),-1,IF(AND(#REF!&gt;=table!$E$11,#REF!&lt;=table!$F$11),1,0))</f>
        <v>#REF!</v>
      </c>
      <c r="W69" s="5" t="e">
        <f>CONCATENATE(dados[[#This Row],[fator1]],dados[[#This Row],[fator5]],dados[[#This Row],[fator6]])</f>
        <v>#REF!</v>
      </c>
    </row>
    <row r="70" spans="1:23">
      <c r="A70" t="s">
        <v>16</v>
      </c>
      <c r="B70">
        <v>480829</v>
      </c>
      <c r="C70">
        <v>16</v>
      </c>
      <c r="D70">
        <v>35</v>
      </c>
      <c r="E70">
        <v>40</v>
      </c>
      <c r="F70">
        <v>10</v>
      </c>
      <c r="G70">
        <v>0</v>
      </c>
      <c r="H70">
        <v>25</v>
      </c>
      <c r="I70">
        <v>699</v>
      </c>
      <c r="J70">
        <v>910</v>
      </c>
      <c r="K70">
        <v>4.5550000000000006</v>
      </c>
      <c r="L70">
        <v>8.25</v>
      </c>
      <c r="M70">
        <v>29.6</v>
      </c>
      <c r="N70">
        <v>7.45</v>
      </c>
      <c r="O70">
        <v>1575</v>
      </c>
      <c r="P70">
        <v>349</v>
      </c>
      <c r="Q70" s="5" t="e">
        <f>IF(AND(#REF!&gt;=table!$C$6,#REF!&lt;= table!$D$6),-1,IF(AND(#REF!&gt;=table!$E$6,#REF!&lt;=table!$F$6),1,0))</f>
        <v>#REF!</v>
      </c>
      <c r="R70" s="5" t="e">
        <f>IF(AND(#REF!&gt;=table!$C$7,#REF!&lt;= table!$D$7),-1,IF(AND(#REF!&gt;=table!$E$7,#REF!&lt;=table!$F$7),1,0))</f>
        <v>#REF!</v>
      </c>
      <c r="S70" s="5" t="e">
        <f>IF(AND(#REF!&gt;=table!$C$8,#REF!&lt;= table!$D$8),-1,IF(AND(#REF!&gt;=table!$E$8,#REF!&lt;=table!$F$8),1,0))</f>
        <v>#REF!</v>
      </c>
      <c r="T70" s="5"/>
      <c r="U70" s="5" t="e">
        <f>IF(AND(#REF!&gt;=table!$C$10,#REF!&lt;= table!$D$10),-1,IF(AND(#REF!&gt;=table!$E$10,#REF!&lt;=table!$F$10),1,0))</f>
        <v>#REF!</v>
      </c>
      <c r="V70" s="5" t="e">
        <f>IF(AND(#REF!&gt;=table!$C$11,#REF!&lt;= table!$D$11),-1,IF(AND(#REF!&gt;=table!$E$11,#REF!&lt;=table!$F$11),1,0))</f>
        <v>#REF!</v>
      </c>
      <c r="W70" s="5" t="e">
        <f>CONCATENATE(dados[[#This Row],[fator1]],dados[[#This Row],[fator5]],dados[[#This Row],[fator6]])</f>
        <v>#REF!</v>
      </c>
    </row>
    <row r="71" spans="1:23">
      <c r="A71" t="s">
        <v>17</v>
      </c>
      <c r="B71">
        <v>480832</v>
      </c>
      <c r="C71">
        <v>4</v>
      </c>
      <c r="D71">
        <v>25</v>
      </c>
      <c r="E71">
        <v>23</v>
      </c>
      <c r="F71">
        <v>10</v>
      </c>
      <c r="G71">
        <v>110</v>
      </c>
      <c r="H71">
        <v>50</v>
      </c>
      <c r="I71">
        <v>956</v>
      </c>
      <c r="J71">
        <v>0</v>
      </c>
      <c r="K71">
        <v>3.9350000000000001</v>
      </c>
      <c r="L71">
        <v>13.35</v>
      </c>
      <c r="M71">
        <v>18.45</v>
      </c>
      <c r="N71">
        <v>31.5</v>
      </c>
      <c r="O71">
        <v>1674</v>
      </c>
      <c r="P71">
        <v>0</v>
      </c>
      <c r="Q71" s="5" t="e">
        <f>IF(AND(#REF!&gt;=table!$C$6,#REF!&lt;= table!$D$6),-1,IF(AND(#REF!&gt;=table!$E$6,#REF!&lt;=table!$F$6),1,0))</f>
        <v>#REF!</v>
      </c>
      <c r="R71" s="5" t="e">
        <f>IF(AND(#REF!&gt;=table!$C$7,#REF!&lt;= table!$D$7),-1,IF(AND(#REF!&gt;=table!$E$7,#REF!&lt;=table!$F$7),1,0))</f>
        <v>#REF!</v>
      </c>
      <c r="S71" s="5" t="e">
        <f>IF(AND(#REF!&gt;=table!$C$8,#REF!&lt;= table!$D$8),-1,IF(AND(#REF!&gt;=table!$E$8,#REF!&lt;=table!$F$8),1,0))</f>
        <v>#REF!</v>
      </c>
      <c r="T71" s="5"/>
      <c r="U71" s="5" t="e">
        <f>IF(AND(#REF!&gt;=table!$C$10,#REF!&lt;= table!$D$10),-1,IF(AND(#REF!&gt;=table!$E$10,#REF!&lt;=table!$F$10),1,0))</f>
        <v>#REF!</v>
      </c>
      <c r="V71" s="5" t="e">
        <f>IF(AND(#REF!&gt;=table!$C$11,#REF!&lt;= table!$D$11),-1,IF(AND(#REF!&gt;=table!$E$11,#REF!&lt;=table!$F$11),1,0))</f>
        <v>#REF!</v>
      </c>
      <c r="W71" s="5" t="e">
        <f>CONCATENATE(dados[[#This Row],[fator1]],dados[[#This Row],[fator5]],dados[[#This Row],[fator6]])</f>
        <v>#REF!</v>
      </c>
    </row>
    <row r="72" spans="1:23">
      <c r="A72" t="s">
        <v>16</v>
      </c>
      <c r="B72">
        <v>480841</v>
      </c>
      <c r="C72">
        <v>6</v>
      </c>
      <c r="D72">
        <v>40</v>
      </c>
      <c r="E72">
        <v>70</v>
      </c>
      <c r="F72">
        <v>10</v>
      </c>
      <c r="G72">
        <v>0</v>
      </c>
      <c r="H72">
        <v>25</v>
      </c>
      <c r="I72">
        <v>502</v>
      </c>
      <c r="J72">
        <v>0</v>
      </c>
      <c r="K72">
        <v>3.41</v>
      </c>
      <c r="L72">
        <v>9.75</v>
      </c>
      <c r="M72">
        <v>60.35</v>
      </c>
      <c r="N72">
        <v>10</v>
      </c>
      <c r="O72">
        <v>1671</v>
      </c>
      <c r="P72">
        <v>0</v>
      </c>
      <c r="Q72" s="5" t="e">
        <f>IF(AND(#REF!&gt;=table!$C$6,#REF!&lt;= table!$D$6),-1,IF(AND(#REF!&gt;=table!$E$6,#REF!&lt;=table!$F$6),1,0))</f>
        <v>#REF!</v>
      </c>
      <c r="R72" s="5" t="e">
        <f>IF(AND(#REF!&gt;=table!$C$7,#REF!&lt;= table!$D$7),-1,IF(AND(#REF!&gt;=table!$E$7,#REF!&lt;=table!$F$7),1,0))</f>
        <v>#REF!</v>
      </c>
      <c r="S72" s="5" t="e">
        <f>IF(AND(#REF!&gt;=table!$C$8,#REF!&lt;= table!$D$8),-1,IF(AND(#REF!&gt;=table!$E$8,#REF!&lt;=table!$F$8),1,0))</f>
        <v>#REF!</v>
      </c>
      <c r="T72" s="5"/>
      <c r="U72" s="5" t="e">
        <f>IF(AND(#REF!&gt;=table!$C$10,#REF!&lt;= table!$D$10),-1,IF(AND(#REF!&gt;=table!$E$10,#REF!&lt;=table!$F$10),1,0))</f>
        <v>#REF!</v>
      </c>
      <c r="V72" s="5" t="e">
        <f>IF(AND(#REF!&gt;=table!$C$11,#REF!&lt;= table!$D$11),-1,IF(AND(#REF!&gt;=table!$E$11,#REF!&lt;=table!$F$11),1,0))</f>
        <v>#REF!</v>
      </c>
      <c r="W72" s="5" t="e">
        <f>CONCATENATE(dados[[#This Row],[fator1]],dados[[#This Row],[fator5]],dados[[#This Row],[fator6]])</f>
        <v>#REF!</v>
      </c>
    </row>
    <row r="73" spans="1:23">
      <c r="A73" t="s">
        <v>16</v>
      </c>
      <c r="B73">
        <v>480843</v>
      </c>
      <c r="C73">
        <v>6</v>
      </c>
      <c r="D73">
        <v>40</v>
      </c>
      <c r="E73">
        <v>70</v>
      </c>
      <c r="F73">
        <v>10</v>
      </c>
      <c r="G73">
        <v>0</v>
      </c>
      <c r="H73">
        <v>25</v>
      </c>
      <c r="I73">
        <v>1110</v>
      </c>
      <c r="J73">
        <v>620</v>
      </c>
      <c r="K73">
        <v>9</v>
      </c>
      <c r="L73">
        <v>16.600000000000001</v>
      </c>
      <c r="M73">
        <v>57.65</v>
      </c>
      <c r="N73">
        <v>11.72</v>
      </c>
      <c r="O73">
        <v>1651</v>
      </c>
      <c r="P73">
        <v>281</v>
      </c>
      <c r="Q73" s="5" t="e">
        <f>IF(AND(#REF!&gt;=table!$C$6,#REF!&lt;= table!$D$6),-1,IF(AND(#REF!&gt;=table!$E$6,#REF!&lt;=table!$F$6),1,0))</f>
        <v>#REF!</v>
      </c>
      <c r="R73" s="5" t="e">
        <f>IF(AND(#REF!&gt;=table!$C$7,#REF!&lt;= table!$D$7),-1,IF(AND(#REF!&gt;=table!$E$7,#REF!&lt;=table!$F$7),1,0))</f>
        <v>#REF!</v>
      </c>
      <c r="S73" s="5" t="e">
        <f>IF(AND(#REF!&gt;=table!$C$8,#REF!&lt;= table!$D$8),-1,IF(AND(#REF!&gt;=table!$E$8,#REF!&lt;=table!$F$8),1,0))</f>
        <v>#REF!</v>
      </c>
      <c r="T73" s="5"/>
      <c r="U73" s="5" t="e">
        <f>IF(AND(#REF!&gt;=table!$C$10,#REF!&lt;= table!$D$10),-1,IF(AND(#REF!&gt;=table!$E$10,#REF!&lt;=table!$F$10),1,0))</f>
        <v>#REF!</v>
      </c>
      <c r="V73" s="5" t="e">
        <f>IF(AND(#REF!&gt;=table!$C$11,#REF!&lt;= table!$D$11),-1,IF(AND(#REF!&gt;=table!$E$11,#REF!&lt;=table!$F$11),1,0))</f>
        <v>#REF!</v>
      </c>
      <c r="W73" s="5" t="e">
        <f>CONCATENATE(dados[[#This Row],[fator1]],dados[[#This Row],[fator5]],dados[[#This Row],[fator6]])</f>
        <v>#REF!</v>
      </c>
    </row>
    <row r="74" spans="1:23">
      <c r="A74" t="s">
        <v>16</v>
      </c>
      <c r="B74">
        <v>480845</v>
      </c>
      <c r="C74">
        <v>9</v>
      </c>
      <c r="D74">
        <v>40</v>
      </c>
      <c r="E74">
        <v>130</v>
      </c>
      <c r="F74">
        <v>3</v>
      </c>
      <c r="G74">
        <v>0</v>
      </c>
      <c r="H74">
        <v>25</v>
      </c>
      <c r="I74">
        <v>165</v>
      </c>
      <c r="J74">
        <v>610</v>
      </c>
      <c r="K74">
        <v>2.58</v>
      </c>
      <c r="L74">
        <v>6.15</v>
      </c>
      <c r="M74">
        <v>105.5</v>
      </c>
      <c r="N74">
        <v>6.7</v>
      </c>
      <c r="O74">
        <v>1619</v>
      </c>
      <c r="P74">
        <v>0</v>
      </c>
      <c r="Q74" s="5" t="e">
        <f>IF(AND(#REF!&gt;=table!$C$6,#REF!&lt;= table!$D$6),-1,IF(AND(#REF!&gt;=table!$E$6,#REF!&lt;=table!$F$6),1,0))</f>
        <v>#REF!</v>
      </c>
      <c r="R74" s="5" t="e">
        <f>IF(AND(#REF!&gt;=table!$C$7,#REF!&lt;= table!$D$7),-1,IF(AND(#REF!&gt;=table!$E$7,#REF!&lt;=table!$F$7),1,0))</f>
        <v>#REF!</v>
      </c>
      <c r="S74" s="5" t="e">
        <f>IF(AND(#REF!&gt;=table!$C$8,#REF!&lt;= table!$D$8),-1,IF(AND(#REF!&gt;=table!$E$8,#REF!&lt;=table!$F$8),1,0))</f>
        <v>#REF!</v>
      </c>
      <c r="T74" s="5"/>
      <c r="U74" s="5" t="e">
        <f>IF(AND(#REF!&gt;=table!$C$10,#REF!&lt;= table!$D$10),-1,IF(AND(#REF!&gt;=table!$E$10,#REF!&lt;=table!$F$10),1,0))</f>
        <v>#REF!</v>
      </c>
      <c r="V74" s="5" t="e">
        <f>IF(AND(#REF!&gt;=table!$C$11,#REF!&lt;= table!$D$11),-1,IF(AND(#REF!&gt;=table!$E$11,#REF!&lt;=table!$F$11),1,0))</f>
        <v>#REF!</v>
      </c>
      <c r="W74" s="5" t="e">
        <f>CONCATENATE(dados[[#This Row],[fator1]],dados[[#This Row],[fator5]],dados[[#This Row],[fator6]])</f>
        <v>#REF!</v>
      </c>
    </row>
    <row r="75" spans="1:23">
      <c r="A75" t="s">
        <v>16</v>
      </c>
      <c r="B75">
        <v>480848</v>
      </c>
      <c r="C75">
        <v>9</v>
      </c>
      <c r="D75">
        <v>40</v>
      </c>
      <c r="E75">
        <v>130</v>
      </c>
      <c r="F75">
        <v>6</v>
      </c>
      <c r="G75">
        <v>0</v>
      </c>
      <c r="H75">
        <v>25</v>
      </c>
      <c r="I75">
        <v>1010</v>
      </c>
      <c r="J75">
        <v>0</v>
      </c>
      <c r="K75">
        <v>3.18</v>
      </c>
      <c r="L75">
        <v>9.35</v>
      </c>
      <c r="M75">
        <v>112.9</v>
      </c>
      <c r="N75">
        <v>12.950000000000001</v>
      </c>
      <c r="O75">
        <v>1678</v>
      </c>
      <c r="P75">
        <v>0</v>
      </c>
      <c r="Q75" s="5" t="e">
        <f>IF(AND(#REF!&gt;=table!$C$6,#REF!&lt;= table!$D$6),-1,IF(AND(#REF!&gt;=table!$E$6,#REF!&lt;=table!$F$6),1,0))</f>
        <v>#REF!</v>
      </c>
      <c r="R75" s="5" t="e">
        <f>IF(AND(#REF!&gt;=table!$C$7,#REF!&lt;= table!$D$7),-1,IF(AND(#REF!&gt;=table!$E$7,#REF!&lt;=table!$F$7),1,0))</f>
        <v>#REF!</v>
      </c>
      <c r="S75" s="5" t="e">
        <f>IF(AND(#REF!&gt;=table!$C$8,#REF!&lt;= table!$D$8),-1,IF(AND(#REF!&gt;=table!$E$8,#REF!&lt;=table!$F$8),1,0))</f>
        <v>#REF!</v>
      </c>
      <c r="T75" s="5"/>
      <c r="U75" s="5" t="e">
        <f>IF(AND(#REF!&gt;=table!$C$10,#REF!&lt;= table!$D$10),-1,IF(AND(#REF!&gt;=table!$E$10,#REF!&lt;=table!$F$10),1,0))</f>
        <v>#REF!</v>
      </c>
      <c r="V75" s="5" t="e">
        <f>IF(AND(#REF!&gt;=table!$C$11,#REF!&lt;= table!$D$11),-1,IF(AND(#REF!&gt;=table!$E$11,#REF!&lt;=table!$F$11),1,0))</f>
        <v>#REF!</v>
      </c>
      <c r="W75" s="5" t="e">
        <f>CONCATENATE(dados[[#This Row],[fator1]],dados[[#This Row],[fator5]],dados[[#This Row],[fator6]])</f>
        <v>#REF!</v>
      </c>
    </row>
    <row r="76" spans="1:23">
      <c r="A76" t="s">
        <v>17</v>
      </c>
      <c r="B76">
        <v>480849</v>
      </c>
      <c r="C76">
        <v>0.15</v>
      </c>
      <c r="D76">
        <v>500</v>
      </c>
      <c r="E76">
        <v>50</v>
      </c>
      <c r="F76">
        <v>10</v>
      </c>
      <c r="G76">
        <v>80</v>
      </c>
      <c r="H76">
        <v>30</v>
      </c>
      <c r="I76">
        <v>1402</v>
      </c>
      <c r="J76">
        <v>0</v>
      </c>
      <c r="K76">
        <v>3.49</v>
      </c>
      <c r="L76">
        <v>11.6</v>
      </c>
      <c r="M76">
        <v>8.85</v>
      </c>
      <c r="N76">
        <v>5.05</v>
      </c>
      <c r="O76">
        <v>1696</v>
      </c>
      <c r="P76">
        <v>0</v>
      </c>
      <c r="Q76" s="5" t="e">
        <f>IF(AND(#REF!&gt;=table!$C$6,#REF!&lt;= table!$D$6),-1,IF(AND(#REF!&gt;=table!$E$6,#REF!&lt;=table!$F$6),1,0))</f>
        <v>#REF!</v>
      </c>
      <c r="R76" s="5" t="e">
        <f>IF(AND(#REF!&gt;=table!$C$7,#REF!&lt;= table!$D$7),-1,IF(AND(#REF!&gt;=table!$E$7,#REF!&lt;=table!$F$7),1,0))</f>
        <v>#REF!</v>
      </c>
      <c r="S76" s="5" t="e">
        <f>IF(AND(#REF!&gt;=table!$C$8,#REF!&lt;= table!$D$8),-1,IF(AND(#REF!&gt;=table!$E$8,#REF!&lt;=table!$F$8),1,0))</f>
        <v>#REF!</v>
      </c>
      <c r="T76" s="5"/>
      <c r="U76" s="5" t="e">
        <f>IF(AND(#REF!&gt;=table!$C$10,#REF!&lt;= table!$D$10),-1,IF(AND(#REF!&gt;=table!$E$10,#REF!&lt;=table!$F$10),1,0))</f>
        <v>#REF!</v>
      </c>
      <c r="V76" s="5" t="e">
        <f>IF(AND(#REF!&gt;=table!$C$11,#REF!&lt;= table!$D$11),-1,IF(AND(#REF!&gt;=table!$E$11,#REF!&lt;=table!$F$11),1,0))</f>
        <v>#REF!</v>
      </c>
      <c r="W76" s="5" t="e">
        <f>CONCATENATE(dados[[#This Row],[fator1]],dados[[#This Row],[fator5]],dados[[#This Row],[fator6]])</f>
        <v>#REF!</v>
      </c>
    </row>
    <row r="77" spans="1:23">
      <c r="A77" t="s">
        <v>17</v>
      </c>
      <c r="B77">
        <v>480851</v>
      </c>
      <c r="C77">
        <v>0.15</v>
      </c>
      <c r="D77">
        <v>500</v>
      </c>
      <c r="E77">
        <v>50</v>
      </c>
      <c r="F77">
        <v>10</v>
      </c>
      <c r="G77">
        <v>80</v>
      </c>
      <c r="H77">
        <v>30</v>
      </c>
      <c r="I77">
        <v>1117</v>
      </c>
      <c r="J77">
        <v>570</v>
      </c>
      <c r="K77">
        <v>4.6100000000000003</v>
      </c>
      <c r="L77">
        <v>11.85</v>
      </c>
      <c r="M77">
        <v>8.65</v>
      </c>
      <c r="N77">
        <v>8.15</v>
      </c>
      <c r="O77">
        <v>1668</v>
      </c>
      <c r="P77">
        <v>383</v>
      </c>
      <c r="Q77" s="5" t="e">
        <f>IF(AND(#REF!&gt;=table!$C$6,#REF!&lt;= table!$D$6),-1,IF(AND(#REF!&gt;=table!$E$6,#REF!&lt;=table!$F$6),1,0))</f>
        <v>#REF!</v>
      </c>
      <c r="R77" s="5" t="e">
        <f>IF(AND(#REF!&gt;=table!$C$7,#REF!&lt;= table!$D$7),-1,IF(AND(#REF!&gt;=table!$E$7,#REF!&lt;=table!$F$7),1,0))</f>
        <v>#REF!</v>
      </c>
      <c r="S77" s="5" t="e">
        <f>IF(AND(#REF!&gt;=table!$C$8,#REF!&lt;= table!$D$8),-1,IF(AND(#REF!&gt;=table!$E$8,#REF!&lt;=table!$F$8),1,0))</f>
        <v>#REF!</v>
      </c>
      <c r="T77" s="5"/>
      <c r="U77" s="5" t="e">
        <f>IF(AND(#REF!&gt;=table!$C$10,#REF!&lt;= table!$D$10),-1,IF(AND(#REF!&gt;=table!$E$10,#REF!&lt;=table!$F$10),1,0))</f>
        <v>#REF!</v>
      </c>
      <c r="V77" s="5" t="e">
        <f>IF(AND(#REF!&gt;=table!$C$11,#REF!&lt;= table!$D$11),-1,IF(AND(#REF!&gt;=table!$E$11,#REF!&lt;=table!$F$11),1,0))</f>
        <v>#REF!</v>
      </c>
      <c r="W77" s="5" t="e">
        <f>CONCATENATE(dados[[#This Row],[fator1]],dados[[#This Row],[fator5]],dados[[#This Row],[fator6]])</f>
        <v>#REF!</v>
      </c>
    </row>
    <row r="78" spans="1:23">
      <c r="A78" t="s">
        <v>17</v>
      </c>
      <c r="B78">
        <v>480852</v>
      </c>
      <c r="C78">
        <v>0.15</v>
      </c>
      <c r="D78">
        <v>500</v>
      </c>
      <c r="E78">
        <v>50</v>
      </c>
      <c r="F78">
        <v>10</v>
      </c>
      <c r="G78">
        <v>80</v>
      </c>
      <c r="H78">
        <v>30</v>
      </c>
      <c r="I78">
        <v>1430</v>
      </c>
      <c r="J78">
        <v>0</v>
      </c>
      <c r="K78">
        <v>3.04</v>
      </c>
      <c r="L78">
        <v>9.8000000000000007</v>
      </c>
      <c r="M78">
        <v>8.6</v>
      </c>
      <c r="N78">
        <v>12.35</v>
      </c>
      <c r="O78">
        <v>1680</v>
      </c>
      <c r="P78">
        <v>746</v>
      </c>
      <c r="Q78" s="5" t="e">
        <f>IF(AND(#REF!&gt;=table!$C$6,#REF!&lt;= table!$D$6),-1,IF(AND(#REF!&gt;=table!$E$6,#REF!&lt;=table!$F$6),1,0))</f>
        <v>#REF!</v>
      </c>
      <c r="R78" s="5" t="e">
        <f>IF(AND(#REF!&gt;=table!$C$7,#REF!&lt;= table!$D$7),-1,IF(AND(#REF!&gt;=table!$E$7,#REF!&lt;=table!$F$7),1,0))</f>
        <v>#REF!</v>
      </c>
      <c r="S78" s="5" t="e">
        <f>IF(AND(#REF!&gt;=table!$C$8,#REF!&lt;= table!$D$8),-1,IF(AND(#REF!&gt;=table!$E$8,#REF!&lt;=table!$F$8),1,0))</f>
        <v>#REF!</v>
      </c>
      <c r="T78" s="5"/>
      <c r="U78" s="5" t="e">
        <f>IF(AND(#REF!&gt;=table!$C$10,#REF!&lt;= table!$D$10),-1,IF(AND(#REF!&gt;=table!$E$10,#REF!&lt;=table!$F$10),1,0))</f>
        <v>#REF!</v>
      </c>
      <c r="V78" s="5" t="e">
        <f>IF(AND(#REF!&gt;=table!$C$11,#REF!&lt;= table!$D$11),-1,IF(AND(#REF!&gt;=table!$E$11,#REF!&lt;=table!$F$11),1,0))</f>
        <v>#REF!</v>
      </c>
      <c r="W78" s="5" t="e">
        <f>CONCATENATE(dados[[#This Row],[fator1]],dados[[#This Row],[fator5]],dados[[#This Row],[fator6]])</f>
        <v>#REF!</v>
      </c>
    </row>
    <row r="79" spans="1:23">
      <c r="A79" t="s">
        <v>16</v>
      </c>
      <c r="B79">
        <v>480853</v>
      </c>
      <c r="C79">
        <v>13</v>
      </c>
      <c r="D79">
        <v>35</v>
      </c>
      <c r="E79">
        <v>110</v>
      </c>
      <c r="F79">
        <v>10</v>
      </c>
      <c r="G79">
        <v>0</v>
      </c>
      <c r="H79">
        <v>25</v>
      </c>
      <c r="I79">
        <v>1624</v>
      </c>
      <c r="J79">
        <v>0</v>
      </c>
      <c r="K79">
        <v>2</v>
      </c>
      <c r="L79">
        <v>6.12</v>
      </c>
      <c r="M79">
        <v>82</v>
      </c>
      <c r="N79">
        <v>12.15</v>
      </c>
      <c r="O79">
        <v>1675</v>
      </c>
      <c r="P79">
        <v>0</v>
      </c>
      <c r="Q79" s="5" t="e">
        <f>IF(AND(#REF!&gt;=table!$C$6,#REF!&lt;= table!$D$6),-1,IF(AND(#REF!&gt;=table!$E$6,#REF!&lt;=table!$F$6),1,0))</f>
        <v>#REF!</v>
      </c>
      <c r="R79" s="5" t="e">
        <f>IF(AND(#REF!&gt;=table!$C$7,#REF!&lt;= table!$D$7),-1,IF(AND(#REF!&gt;=table!$E$7,#REF!&lt;=table!$F$7),1,0))</f>
        <v>#REF!</v>
      </c>
      <c r="S79" s="5" t="e">
        <f>IF(AND(#REF!&gt;=table!$C$8,#REF!&lt;= table!$D$8),-1,IF(AND(#REF!&gt;=table!$E$8,#REF!&lt;=table!$F$8),1,0))</f>
        <v>#REF!</v>
      </c>
      <c r="T79" s="5"/>
      <c r="U79" s="5" t="e">
        <f>IF(AND(#REF!&gt;=table!$C$10,#REF!&lt;= table!$D$10),-1,IF(AND(#REF!&gt;=table!$E$10,#REF!&lt;=table!$F$10),1,0))</f>
        <v>#REF!</v>
      </c>
      <c r="V79" s="5" t="e">
        <f>IF(AND(#REF!&gt;=table!$C$11,#REF!&lt;= table!$D$11),-1,IF(AND(#REF!&gt;=table!$E$11,#REF!&lt;=table!$F$11),1,0))</f>
        <v>#REF!</v>
      </c>
      <c r="W79" s="5" t="e">
        <f>CONCATENATE(dados[[#This Row],[fator1]],dados[[#This Row],[fator5]],dados[[#This Row],[fator6]])</f>
        <v>#REF!</v>
      </c>
    </row>
    <row r="80" spans="1:23">
      <c r="A80" t="s">
        <v>16</v>
      </c>
      <c r="B80">
        <v>480855</v>
      </c>
      <c r="C80">
        <v>17</v>
      </c>
      <c r="D80">
        <v>55</v>
      </c>
      <c r="E80">
        <v>75</v>
      </c>
      <c r="F80">
        <v>15</v>
      </c>
      <c r="G80">
        <v>0</v>
      </c>
      <c r="H80">
        <v>20</v>
      </c>
      <c r="I80">
        <v>1280</v>
      </c>
      <c r="J80">
        <v>0</v>
      </c>
      <c r="K80">
        <v>2.83</v>
      </c>
      <c r="L80">
        <v>10.15</v>
      </c>
      <c r="M80">
        <v>63.2</v>
      </c>
      <c r="N80">
        <v>8.5</v>
      </c>
      <c r="O80">
        <v>1669</v>
      </c>
      <c r="P80">
        <v>517</v>
      </c>
      <c r="Q80" s="5" t="e">
        <f>IF(AND(#REF!&gt;=table!$C$6,#REF!&lt;= table!$D$6),-1,IF(AND(#REF!&gt;=table!$E$6,#REF!&lt;=table!$F$6),1,0))</f>
        <v>#REF!</v>
      </c>
      <c r="R80" s="5" t="e">
        <f>IF(AND(#REF!&gt;=table!$C$7,#REF!&lt;= table!$D$7),-1,IF(AND(#REF!&gt;=table!$E$7,#REF!&lt;=table!$F$7),1,0))</f>
        <v>#REF!</v>
      </c>
      <c r="S80" s="5" t="e">
        <f>IF(AND(#REF!&gt;=table!$C$8,#REF!&lt;= table!$D$8),-1,IF(AND(#REF!&gt;=table!$E$8,#REF!&lt;=table!$F$8),1,0))</f>
        <v>#REF!</v>
      </c>
      <c r="T80" s="5"/>
      <c r="U80" s="5" t="e">
        <f>IF(AND(#REF!&gt;=table!$C$10,#REF!&lt;= table!$D$10),-1,IF(AND(#REF!&gt;=table!$E$10,#REF!&lt;=table!$F$10),1,0))</f>
        <v>#REF!</v>
      </c>
      <c r="V80" s="5" t="e">
        <f>IF(AND(#REF!&gt;=table!$C$11,#REF!&lt;= table!$D$11),-1,IF(AND(#REF!&gt;=table!$E$11,#REF!&lt;=table!$F$11),1,0))</f>
        <v>#REF!</v>
      </c>
      <c r="W80" s="5" t="e">
        <f>CONCATENATE(dados[[#This Row],[fator1]],dados[[#This Row],[fator5]],dados[[#This Row],[fator6]])</f>
        <v>#REF!</v>
      </c>
    </row>
    <row r="81" spans="1:23">
      <c r="A81" t="s">
        <v>16</v>
      </c>
      <c r="B81">
        <v>480867</v>
      </c>
      <c r="C81">
        <v>0.15</v>
      </c>
      <c r="D81">
        <v>40</v>
      </c>
      <c r="E81">
        <v>10</v>
      </c>
      <c r="F81">
        <v>15</v>
      </c>
      <c r="G81">
        <v>0</v>
      </c>
      <c r="H81">
        <v>15</v>
      </c>
      <c r="I81">
        <v>8</v>
      </c>
      <c r="J81">
        <v>0</v>
      </c>
      <c r="K81">
        <v>4.2949999999999999</v>
      </c>
      <c r="L81">
        <v>10.200000000000001</v>
      </c>
      <c r="M81">
        <v>9.1</v>
      </c>
      <c r="N81">
        <v>10.5</v>
      </c>
      <c r="O81">
        <v>1706</v>
      </c>
      <c r="P81">
        <v>0</v>
      </c>
      <c r="Q81" s="5" t="e">
        <f>IF(AND(#REF!&gt;=table!$C$6,#REF!&lt;= table!$D$6),-1,IF(AND(#REF!&gt;=table!$E$6,#REF!&lt;=table!$F$6),1,0))</f>
        <v>#REF!</v>
      </c>
      <c r="R81" s="5" t="e">
        <f>IF(AND(#REF!&gt;=table!$C$7,#REF!&lt;= table!$D$7),-1,IF(AND(#REF!&gt;=table!$E$7,#REF!&lt;=table!$F$7),1,0))</f>
        <v>#REF!</v>
      </c>
      <c r="S81" s="5" t="e">
        <f>IF(AND(#REF!&gt;=table!$C$8,#REF!&lt;= table!$D$8),-1,IF(AND(#REF!&gt;=table!$E$8,#REF!&lt;=table!$F$8),1,0))</f>
        <v>#REF!</v>
      </c>
      <c r="T81" s="5"/>
      <c r="U81" s="5" t="e">
        <f>IF(AND(#REF!&gt;=table!$C$10,#REF!&lt;= table!$D$10),-1,IF(AND(#REF!&gt;=table!$E$10,#REF!&lt;=table!$F$10),1,0))</f>
        <v>#REF!</v>
      </c>
      <c r="V81" s="5" t="e">
        <f>IF(AND(#REF!&gt;=table!$C$11,#REF!&lt;= table!$D$11),-1,IF(AND(#REF!&gt;=table!$E$11,#REF!&lt;=table!$F$11),1,0))</f>
        <v>#REF!</v>
      </c>
      <c r="W81" s="5" t="e">
        <f>CONCATENATE(dados[[#This Row],[fator1]],dados[[#This Row],[fator5]],dados[[#This Row],[fator6]])</f>
        <v>#REF!</v>
      </c>
    </row>
    <row r="82" spans="1:23">
      <c r="A82" t="s">
        <v>17</v>
      </c>
      <c r="B82">
        <v>480878</v>
      </c>
      <c r="C82">
        <v>3</v>
      </c>
      <c r="D82">
        <v>25</v>
      </c>
      <c r="E82">
        <v>115</v>
      </c>
      <c r="F82">
        <v>1</v>
      </c>
      <c r="G82">
        <v>25</v>
      </c>
      <c r="H82">
        <v>10</v>
      </c>
      <c r="I82">
        <v>593</v>
      </c>
      <c r="J82">
        <v>800</v>
      </c>
      <c r="K82">
        <v>4.0750000000000002</v>
      </c>
      <c r="L82">
        <v>4.95</v>
      </c>
      <c r="M82">
        <v>95.3</v>
      </c>
      <c r="N82">
        <v>6.65</v>
      </c>
      <c r="O82">
        <v>1694</v>
      </c>
      <c r="P82">
        <v>1094</v>
      </c>
      <c r="Q82" s="5" t="e">
        <f>IF(AND(#REF!&gt;=table!$C$6,#REF!&lt;= table!$D$6),-1,IF(AND(#REF!&gt;=table!$E$6,#REF!&lt;=table!$F$6),1,0))</f>
        <v>#REF!</v>
      </c>
      <c r="R82" s="5" t="e">
        <f>IF(AND(#REF!&gt;=table!$C$7,#REF!&lt;= table!$D$7),-1,IF(AND(#REF!&gt;=table!$E$7,#REF!&lt;=table!$F$7),1,0))</f>
        <v>#REF!</v>
      </c>
      <c r="S82" s="5" t="e">
        <f>IF(AND(#REF!&gt;=table!$C$8,#REF!&lt;= table!$D$8),-1,IF(AND(#REF!&gt;=table!$E$8,#REF!&lt;=table!$F$8),1,0))</f>
        <v>#REF!</v>
      </c>
      <c r="T82" s="5"/>
      <c r="U82" s="5" t="e">
        <f>IF(AND(#REF!&gt;=table!$C$10,#REF!&lt;= table!$D$10),-1,IF(AND(#REF!&gt;=table!$E$10,#REF!&lt;=table!$F$10),1,0))</f>
        <v>#REF!</v>
      </c>
      <c r="V82" s="5" t="e">
        <f>IF(AND(#REF!&gt;=table!$C$11,#REF!&lt;= table!$D$11),-1,IF(AND(#REF!&gt;=table!$E$11,#REF!&lt;=table!$F$11),1,0))</f>
        <v>#REF!</v>
      </c>
      <c r="W82" s="5" t="e">
        <f>CONCATENATE(dados[[#This Row],[fator1]],dados[[#This Row],[fator5]],dados[[#This Row],[fator6]])</f>
        <v>#REF!</v>
      </c>
    </row>
    <row r="83" spans="1:23">
      <c r="A83" t="s">
        <v>17</v>
      </c>
      <c r="B83">
        <v>480879</v>
      </c>
      <c r="C83">
        <v>3</v>
      </c>
      <c r="D83">
        <v>25</v>
      </c>
      <c r="E83">
        <v>120</v>
      </c>
      <c r="F83">
        <v>1</v>
      </c>
      <c r="G83">
        <v>25</v>
      </c>
      <c r="H83">
        <v>10</v>
      </c>
      <c r="I83">
        <v>727</v>
      </c>
      <c r="J83">
        <v>0</v>
      </c>
      <c r="K83">
        <v>3.15</v>
      </c>
      <c r="L83">
        <v>3.5</v>
      </c>
      <c r="M83">
        <v>123.2</v>
      </c>
      <c r="N83">
        <v>5.9</v>
      </c>
      <c r="O83">
        <v>1694</v>
      </c>
      <c r="P83">
        <v>1412</v>
      </c>
      <c r="Q83" s="5" t="e">
        <f>IF(AND(#REF!&gt;=table!$C$6,#REF!&lt;= table!$D$6),-1,IF(AND(#REF!&gt;=table!$E$6,#REF!&lt;=table!$F$6),1,0))</f>
        <v>#REF!</v>
      </c>
      <c r="R83" s="5" t="e">
        <f>IF(AND(#REF!&gt;=table!$C$7,#REF!&lt;= table!$D$7),-1,IF(AND(#REF!&gt;=table!$E$7,#REF!&lt;=table!$F$7),1,0))</f>
        <v>#REF!</v>
      </c>
      <c r="S83" s="5" t="e">
        <f>IF(AND(#REF!&gt;=table!$C$8,#REF!&lt;= table!$D$8),-1,IF(AND(#REF!&gt;=table!$E$8,#REF!&lt;=table!$F$8),1,0))</f>
        <v>#REF!</v>
      </c>
      <c r="T83" s="5"/>
      <c r="U83" s="5" t="e">
        <f>IF(AND(#REF!&gt;=table!$C$10,#REF!&lt;= table!$D$10),-1,IF(AND(#REF!&gt;=table!$E$10,#REF!&lt;=table!$F$10),1,0))</f>
        <v>#REF!</v>
      </c>
      <c r="V83" s="5" t="e">
        <f>IF(AND(#REF!&gt;=table!$C$11,#REF!&lt;= table!$D$11),-1,IF(AND(#REF!&gt;=table!$E$11,#REF!&lt;=table!$F$11),1,0))</f>
        <v>#REF!</v>
      </c>
      <c r="W83" s="5" t="e">
        <f>CONCATENATE(dados[[#This Row],[fator1]],dados[[#This Row],[fator5]],dados[[#This Row],[fator6]])</f>
        <v>#REF!</v>
      </c>
    </row>
    <row r="84" spans="1:23">
      <c r="A84" t="s">
        <v>16</v>
      </c>
      <c r="B84">
        <v>480890</v>
      </c>
      <c r="C84">
        <v>16</v>
      </c>
      <c r="D84">
        <v>27</v>
      </c>
      <c r="E84">
        <v>36</v>
      </c>
      <c r="F84">
        <v>8</v>
      </c>
      <c r="G84">
        <v>0</v>
      </c>
      <c r="H84">
        <v>25</v>
      </c>
      <c r="I84">
        <v>325</v>
      </c>
      <c r="J84">
        <v>0</v>
      </c>
      <c r="K84">
        <v>9.42</v>
      </c>
      <c r="L84">
        <v>17.600000000000001</v>
      </c>
      <c r="M84">
        <v>32.799999999999997</v>
      </c>
      <c r="N84">
        <v>15.3</v>
      </c>
      <c r="O84">
        <v>1671</v>
      </c>
      <c r="P84">
        <v>363</v>
      </c>
      <c r="Q84" s="5" t="e">
        <f>IF(AND(#REF!&gt;=table!$C$6,#REF!&lt;= table!$D$6),-1,IF(AND(#REF!&gt;=table!$E$6,#REF!&lt;=table!$F$6),1,0))</f>
        <v>#REF!</v>
      </c>
      <c r="R84" s="5" t="e">
        <f>IF(AND(#REF!&gt;=table!$C$7,#REF!&lt;= table!$D$7),-1,IF(AND(#REF!&gt;=table!$E$7,#REF!&lt;=table!$F$7),1,0))</f>
        <v>#REF!</v>
      </c>
      <c r="S84" s="5" t="e">
        <f>IF(AND(#REF!&gt;=table!$C$8,#REF!&lt;= table!$D$8),-1,IF(AND(#REF!&gt;=table!$E$8,#REF!&lt;=table!$F$8),1,0))</f>
        <v>#REF!</v>
      </c>
      <c r="T84" s="5"/>
      <c r="U84" s="5" t="e">
        <f>IF(AND(#REF!&gt;=table!$C$10,#REF!&lt;= table!$D$10),-1,IF(AND(#REF!&gt;=table!$E$10,#REF!&lt;=table!$F$10),1,0))</f>
        <v>#REF!</v>
      </c>
      <c r="V84" s="5" t="e">
        <f>IF(AND(#REF!&gt;=table!$C$11,#REF!&lt;= table!$D$11),-1,IF(AND(#REF!&gt;=table!$E$11,#REF!&lt;=table!$F$11),1,0))</f>
        <v>#REF!</v>
      </c>
      <c r="W84" s="5" t="e">
        <f>CONCATENATE(dados[[#This Row],[fator1]],dados[[#This Row],[fator5]],dados[[#This Row],[fator6]])</f>
        <v>#REF!</v>
      </c>
    </row>
    <row r="85" spans="1:23">
      <c r="A85" t="s">
        <v>16</v>
      </c>
      <c r="B85">
        <v>480892</v>
      </c>
      <c r="C85">
        <v>16</v>
      </c>
      <c r="D85">
        <v>27</v>
      </c>
      <c r="E85">
        <v>36</v>
      </c>
      <c r="F85">
        <v>8</v>
      </c>
      <c r="G85">
        <v>0</v>
      </c>
      <c r="H85">
        <v>25</v>
      </c>
      <c r="I85">
        <v>790</v>
      </c>
      <c r="J85">
        <v>0</v>
      </c>
      <c r="K85">
        <v>7.51</v>
      </c>
      <c r="L85">
        <v>19.350000000000001</v>
      </c>
      <c r="M85">
        <v>39.85</v>
      </c>
      <c r="N85">
        <v>16.7</v>
      </c>
      <c r="O85">
        <v>1674</v>
      </c>
      <c r="P85">
        <v>0</v>
      </c>
      <c r="Q85" s="5" t="e">
        <f>IF(AND(#REF!&gt;=table!$C$6,#REF!&lt;= table!$D$6),-1,IF(AND(#REF!&gt;=table!$E$6,#REF!&lt;=table!$F$6),1,0))</f>
        <v>#REF!</v>
      </c>
      <c r="R85" s="5" t="e">
        <f>IF(AND(#REF!&gt;=table!$C$7,#REF!&lt;= table!$D$7),-1,IF(AND(#REF!&gt;=table!$E$7,#REF!&lt;=table!$F$7),1,0))</f>
        <v>#REF!</v>
      </c>
      <c r="S85" s="5" t="e">
        <f>IF(AND(#REF!&gt;=table!$C$8,#REF!&lt;= table!$D$8),-1,IF(AND(#REF!&gt;=table!$E$8,#REF!&lt;=table!$F$8),1,0))</f>
        <v>#REF!</v>
      </c>
      <c r="T85" s="5"/>
      <c r="U85" s="5" t="e">
        <f>IF(AND(#REF!&gt;=table!$C$10,#REF!&lt;= table!$D$10),-1,IF(AND(#REF!&gt;=table!$E$10,#REF!&lt;=table!$F$10),1,0))</f>
        <v>#REF!</v>
      </c>
      <c r="V85" s="5" t="e">
        <f>IF(AND(#REF!&gt;=table!$C$11,#REF!&lt;= table!$D$11),-1,IF(AND(#REF!&gt;=table!$E$11,#REF!&lt;=table!$F$11),1,0))</f>
        <v>#REF!</v>
      </c>
      <c r="W85" s="5" t="e">
        <f>CONCATENATE(dados[[#This Row],[fator1]],dados[[#This Row],[fator5]],dados[[#This Row],[fator6]])</f>
        <v>#REF!</v>
      </c>
    </row>
    <row r="86" spans="1:23">
      <c r="A86" t="s">
        <v>16</v>
      </c>
      <c r="B86">
        <v>480893</v>
      </c>
      <c r="C86">
        <v>16</v>
      </c>
      <c r="D86">
        <v>27</v>
      </c>
      <c r="E86">
        <v>36</v>
      </c>
      <c r="F86">
        <v>8</v>
      </c>
      <c r="G86">
        <v>0</v>
      </c>
      <c r="H86">
        <v>25</v>
      </c>
      <c r="I86">
        <v>764</v>
      </c>
      <c r="J86">
        <v>0</v>
      </c>
      <c r="K86">
        <v>9.5650000000000013</v>
      </c>
      <c r="L86">
        <v>16.05</v>
      </c>
      <c r="M86">
        <v>36.800000000000004</v>
      </c>
      <c r="N86">
        <v>15.205</v>
      </c>
      <c r="O86">
        <v>1663</v>
      </c>
      <c r="P86">
        <v>0</v>
      </c>
      <c r="Q86" s="5" t="e">
        <f>IF(AND(#REF!&gt;=table!$C$6,#REF!&lt;= table!$D$6),-1,IF(AND(#REF!&gt;=table!$E$6,#REF!&lt;=table!$F$6),1,0))</f>
        <v>#REF!</v>
      </c>
      <c r="R86" s="5" t="e">
        <f>IF(AND(#REF!&gt;=table!$C$7,#REF!&lt;= table!$D$7),-1,IF(AND(#REF!&gt;=table!$E$7,#REF!&lt;=table!$F$7),1,0))</f>
        <v>#REF!</v>
      </c>
      <c r="S86" s="5" t="e">
        <f>IF(AND(#REF!&gt;=table!$C$8,#REF!&lt;= table!$D$8),-1,IF(AND(#REF!&gt;=table!$E$8,#REF!&lt;=table!$F$8),1,0))</f>
        <v>#REF!</v>
      </c>
      <c r="T86" s="5"/>
      <c r="U86" s="5" t="e">
        <f>IF(AND(#REF!&gt;=table!$C$10,#REF!&lt;= table!$D$10),-1,IF(AND(#REF!&gt;=table!$E$10,#REF!&lt;=table!$F$10),1,0))</f>
        <v>#REF!</v>
      </c>
      <c r="V86" s="5" t="e">
        <f>IF(AND(#REF!&gt;=table!$C$11,#REF!&lt;= table!$D$11),-1,IF(AND(#REF!&gt;=table!$E$11,#REF!&lt;=table!$F$11),1,0))</f>
        <v>#REF!</v>
      </c>
      <c r="W86" s="5" t="e">
        <f>CONCATENATE(dados[[#This Row],[fator1]],dados[[#This Row],[fator5]],dados[[#This Row],[fator6]])</f>
        <v>#REF!</v>
      </c>
    </row>
    <row r="87" spans="1:23">
      <c r="A87" t="s">
        <v>16</v>
      </c>
      <c r="B87">
        <v>480894</v>
      </c>
      <c r="C87">
        <v>16</v>
      </c>
      <c r="D87">
        <v>35</v>
      </c>
      <c r="E87">
        <v>56</v>
      </c>
      <c r="F87">
        <v>10</v>
      </c>
      <c r="G87">
        <v>0</v>
      </c>
      <c r="H87">
        <v>25</v>
      </c>
      <c r="I87">
        <v>101</v>
      </c>
      <c r="J87">
        <v>0</v>
      </c>
      <c r="K87">
        <v>13.705</v>
      </c>
      <c r="L87">
        <v>15.445</v>
      </c>
      <c r="M87">
        <v>48.97</v>
      </c>
      <c r="N87">
        <v>14.47</v>
      </c>
      <c r="O87">
        <v>1651</v>
      </c>
      <c r="P87">
        <v>0</v>
      </c>
      <c r="Q87" s="5" t="e">
        <f>IF(AND(#REF!&gt;=table!$C$6,#REF!&lt;= table!$D$6),-1,IF(AND(#REF!&gt;=table!$E$6,#REF!&lt;=table!$F$6),1,0))</f>
        <v>#REF!</v>
      </c>
      <c r="R87" s="5" t="e">
        <f>IF(AND(#REF!&gt;=table!$C$7,#REF!&lt;= table!$D$7),-1,IF(AND(#REF!&gt;=table!$E$7,#REF!&lt;=table!$F$7),1,0))</f>
        <v>#REF!</v>
      </c>
      <c r="S87" s="5" t="e">
        <f>IF(AND(#REF!&gt;=table!$C$8,#REF!&lt;= table!$D$8),-1,IF(AND(#REF!&gt;=table!$E$8,#REF!&lt;=table!$F$8),1,0))</f>
        <v>#REF!</v>
      </c>
      <c r="T87" s="5"/>
      <c r="U87" s="5" t="e">
        <f>IF(AND(#REF!&gt;=table!$C$10,#REF!&lt;= table!$D$10),-1,IF(AND(#REF!&gt;=table!$E$10,#REF!&lt;=table!$F$10),1,0))</f>
        <v>#REF!</v>
      </c>
      <c r="V87" s="5" t="e">
        <f>IF(AND(#REF!&gt;=table!$C$11,#REF!&lt;= table!$D$11),-1,IF(AND(#REF!&gt;=table!$E$11,#REF!&lt;=table!$F$11),1,0))</f>
        <v>#REF!</v>
      </c>
      <c r="W87" s="5" t="e">
        <f>CONCATENATE(dados[[#This Row],[fator1]],dados[[#This Row],[fator5]],dados[[#This Row],[fator6]])</f>
        <v>#REF!</v>
      </c>
    </row>
    <row r="88" spans="1:23">
      <c r="A88" t="s">
        <v>16</v>
      </c>
      <c r="B88">
        <v>480910</v>
      </c>
      <c r="C88">
        <v>0.13</v>
      </c>
      <c r="D88">
        <v>35</v>
      </c>
      <c r="E88">
        <v>15</v>
      </c>
      <c r="F88">
        <v>10</v>
      </c>
      <c r="G88">
        <v>0</v>
      </c>
      <c r="H88">
        <v>12</v>
      </c>
      <c r="I88">
        <v>1361</v>
      </c>
      <c r="J88">
        <v>0</v>
      </c>
      <c r="K88">
        <v>5.71</v>
      </c>
      <c r="L88">
        <v>8.8000000000000007</v>
      </c>
      <c r="M88">
        <v>8.3000000000000007</v>
      </c>
      <c r="N88">
        <v>9.0500000000000007</v>
      </c>
      <c r="O88">
        <v>1668</v>
      </c>
      <c r="P88">
        <v>0</v>
      </c>
      <c r="Q88" s="5" t="e">
        <f>IF(AND(#REF!&gt;=table!$C$6,#REF!&lt;= table!$D$6),-1,IF(AND(#REF!&gt;=table!$E$6,#REF!&lt;=table!$F$6),1,0))</f>
        <v>#REF!</v>
      </c>
      <c r="R88" s="5" t="e">
        <f>IF(AND(#REF!&gt;=table!$C$7,#REF!&lt;= table!$D$7),-1,IF(AND(#REF!&gt;=table!$E$7,#REF!&lt;=table!$F$7),1,0))</f>
        <v>#REF!</v>
      </c>
      <c r="S88" s="5" t="e">
        <f>IF(AND(#REF!&gt;=table!$C$8,#REF!&lt;= table!$D$8),-1,IF(AND(#REF!&gt;=table!$E$8,#REF!&lt;=table!$F$8),1,0))</f>
        <v>#REF!</v>
      </c>
      <c r="T88" s="5"/>
      <c r="U88" s="5" t="e">
        <f>IF(AND(#REF!&gt;=table!$C$10,#REF!&lt;= table!$D$10),-1,IF(AND(#REF!&gt;=table!$E$10,#REF!&lt;=table!$F$10),1,0))</f>
        <v>#REF!</v>
      </c>
      <c r="V88" s="5" t="e">
        <f>IF(AND(#REF!&gt;=table!$C$11,#REF!&lt;= table!$D$11),-1,IF(AND(#REF!&gt;=table!$E$11,#REF!&lt;=table!$F$11),1,0))</f>
        <v>#REF!</v>
      </c>
      <c r="W88" s="5" t="e">
        <f>CONCATENATE(dados[[#This Row],[fator1]],dados[[#This Row],[fator5]],dados[[#This Row],[fator6]])</f>
        <v>#REF!</v>
      </c>
    </row>
    <row r="89" spans="1:23">
      <c r="A89" t="s">
        <v>16</v>
      </c>
      <c r="B89">
        <v>480911</v>
      </c>
      <c r="C89">
        <v>0.15</v>
      </c>
      <c r="D89">
        <v>35</v>
      </c>
      <c r="E89">
        <v>15</v>
      </c>
      <c r="F89">
        <v>10</v>
      </c>
      <c r="G89">
        <v>0</v>
      </c>
      <c r="H89">
        <v>12</v>
      </c>
      <c r="I89">
        <v>2223</v>
      </c>
      <c r="J89">
        <v>0</v>
      </c>
      <c r="K89">
        <v>5.04</v>
      </c>
      <c r="L89">
        <v>6.8500000000000005</v>
      </c>
      <c r="M89">
        <v>6.75</v>
      </c>
      <c r="N89">
        <v>9.25</v>
      </c>
      <c r="O89">
        <v>1681</v>
      </c>
      <c r="P89">
        <v>0</v>
      </c>
      <c r="Q89" s="5" t="e">
        <f>IF(AND(#REF!&gt;=table!$C$6,#REF!&lt;= table!$D$6),-1,IF(AND(#REF!&gt;=table!$E$6,#REF!&lt;=table!$F$6),1,0))</f>
        <v>#REF!</v>
      </c>
      <c r="R89" s="5" t="e">
        <f>IF(AND(#REF!&gt;=table!$C$7,#REF!&lt;= table!$D$7),-1,IF(AND(#REF!&gt;=table!$E$7,#REF!&lt;=table!$F$7),1,0))</f>
        <v>#REF!</v>
      </c>
      <c r="S89" s="5" t="e">
        <f>IF(AND(#REF!&gt;=table!$C$8,#REF!&lt;= table!$D$8),-1,IF(AND(#REF!&gt;=table!$E$8,#REF!&lt;=table!$F$8),1,0))</f>
        <v>#REF!</v>
      </c>
      <c r="T89" s="5"/>
      <c r="U89" s="5" t="e">
        <f>IF(AND(#REF!&gt;=table!$C$10,#REF!&lt;= table!$D$10),-1,IF(AND(#REF!&gt;=table!$E$10,#REF!&lt;=table!$F$10),1,0))</f>
        <v>#REF!</v>
      </c>
      <c r="V89" s="5" t="e">
        <f>IF(AND(#REF!&gt;=table!$C$11,#REF!&lt;= table!$D$11),-1,IF(AND(#REF!&gt;=table!$E$11,#REF!&lt;=table!$F$11),1,0))</f>
        <v>#REF!</v>
      </c>
      <c r="W89" s="5" t="e">
        <f>CONCATENATE(dados[[#This Row],[fator1]],dados[[#This Row],[fator5]],dados[[#This Row],[fator6]])</f>
        <v>#REF!</v>
      </c>
    </row>
    <row r="90" spans="1:23">
      <c r="A90" t="s">
        <v>16</v>
      </c>
      <c r="B90">
        <v>480922</v>
      </c>
      <c r="C90">
        <v>10</v>
      </c>
      <c r="D90">
        <v>45</v>
      </c>
      <c r="E90">
        <v>156</v>
      </c>
      <c r="F90">
        <v>8</v>
      </c>
      <c r="G90">
        <v>0</v>
      </c>
      <c r="H90">
        <v>25</v>
      </c>
      <c r="I90">
        <v>771</v>
      </c>
      <c r="J90">
        <v>0</v>
      </c>
      <c r="K90">
        <v>4.9550000000000001</v>
      </c>
      <c r="L90">
        <v>13.215</v>
      </c>
      <c r="M90">
        <v>140.35</v>
      </c>
      <c r="N90">
        <v>15</v>
      </c>
      <c r="O90">
        <v>1670</v>
      </c>
      <c r="P90">
        <v>620</v>
      </c>
      <c r="Q90" s="5" t="e">
        <f>IF(AND(#REF!&gt;=table!$C$6,#REF!&lt;= table!$D$6),-1,IF(AND(#REF!&gt;=table!$E$6,#REF!&lt;=table!$F$6),1,0))</f>
        <v>#REF!</v>
      </c>
      <c r="R90" s="5" t="e">
        <f>IF(AND(#REF!&gt;=table!$C$7,#REF!&lt;= table!$D$7),-1,IF(AND(#REF!&gt;=table!$E$7,#REF!&lt;=table!$F$7),1,0))</f>
        <v>#REF!</v>
      </c>
      <c r="S90" s="5" t="e">
        <f>IF(AND(#REF!&gt;=table!$C$8,#REF!&lt;= table!$D$8),-1,IF(AND(#REF!&gt;=table!$E$8,#REF!&lt;=table!$F$8),1,0))</f>
        <v>#REF!</v>
      </c>
      <c r="T90" s="5"/>
      <c r="U90" s="5" t="e">
        <f>IF(AND(#REF!&gt;=table!$C$10,#REF!&lt;= table!$D$10),-1,IF(AND(#REF!&gt;=table!$E$10,#REF!&lt;=table!$F$10),1,0))</f>
        <v>#REF!</v>
      </c>
      <c r="V90" s="5" t="e">
        <f>IF(AND(#REF!&gt;=table!$C$11,#REF!&lt;= table!$D$11),-1,IF(AND(#REF!&gt;=table!$E$11,#REF!&lt;=table!$F$11),1,0))</f>
        <v>#REF!</v>
      </c>
      <c r="W90" s="5" t="e">
        <f>CONCATENATE(dados[[#This Row],[fator1]],dados[[#This Row],[fator5]],dados[[#This Row],[fator6]])</f>
        <v>#REF!</v>
      </c>
    </row>
    <row r="91" spans="1:23">
      <c r="A91" t="s">
        <v>16</v>
      </c>
      <c r="B91">
        <v>480948</v>
      </c>
      <c r="C91">
        <v>0.15</v>
      </c>
      <c r="D91">
        <v>40</v>
      </c>
      <c r="E91">
        <v>10</v>
      </c>
      <c r="F91">
        <v>15</v>
      </c>
      <c r="G91">
        <v>0</v>
      </c>
      <c r="H91">
        <v>15</v>
      </c>
      <c r="I91">
        <v>2139</v>
      </c>
      <c r="J91">
        <v>660</v>
      </c>
      <c r="K91">
        <v>7.59</v>
      </c>
      <c r="L91">
        <v>12.35</v>
      </c>
      <c r="M91">
        <v>11</v>
      </c>
      <c r="N91">
        <v>7.15</v>
      </c>
      <c r="O91">
        <v>1677</v>
      </c>
      <c r="P91">
        <v>395</v>
      </c>
      <c r="Q91" s="5" t="e">
        <f>IF(AND(#REF!&gt;=table!$C$6,#REF!&lt;= table!$D$6),-1,IF(AND(#REF!&gt;=table!$E$6,#REF!&lt;=table!$F$6),1,0))</f>
        <v>#REF!</v>
      </c>
      <c r="R91" s="5" t="e">
        <f>IF(AND(#REF!&gt;=table!$C$7,#REF!&lt;= table!$D$7),-1,IF(AND(#REF!&gt;=table!$E$7,#REF!&lt;=table!$F$7),1,0))</f>
        <v>#REF!</v>
      </c>
      <c r="S91" s="5" t="e">
        <f>IF(AND(#REF!&gt;=table!$C$8,#REF!&lt;= table!$D$8),-1,IF(AND(#REF!&gt;=table!$E$8,#REF!&lt;=table!$F$8),1,0))</f>
        <v>#REF!</v>
      </c>
      <c r="T91" s="5"/>
      <c r="U91" s="5" t="e">
        <f>IF(AND(#REF!&gt;=table!$C$10,#REF!&lt;= table!$D$10),-1,IF(AND(#REF!&gt;=table!$E$10,#REF!&lt;=table!$F$10),1,0))</f>
        <v>#REF!</v>
      </c>
      <c r="V91" s="5" t="e">
        <f>IF(AND(#REF!&gt;=table!$C$11,#REF!&lt;= table!$D$11),-1,IF(AND(#REF!&gt;=table!$E$11,#REF!&lt;=table!$F$11),1,0))</f>
        <v>#REF!</v>
      </c>
      <c r="W91" s="5" t="e">
        <f>CONCATENATE(dados[[#This Row],[fator1]],dados[[#This Row],[fator5]],dados[[#This Row],[fator6]])</f>
        <v>#REF!</v>
      </c>
    </row>
    <row r="92" spans="1:23">
      <c r="A92" t="s">
        <v>16</v>
      </c>
      <c r="B92">
        <v>480959</v>
      </c>
      <c r="C92">
        <v>0.1</v>
      </c>
      <c r="D92">
        <v>35</v>
      </c>
      <c r="E92">
        <v>10</v>
      </c>
      <c r="F92">
        <v>10</v>
      </c>
      <c r="G92">
        <v>0</v>
      </c>
      <c r="H92">
        <v>12</v>
      </c>
      <c r="I92">
        <v>827</v>
      </c>
      <c r="J92">
        <v>470</v>
      </c>
      <c r="K92">
        <v>7.1450000000000005</v>
      </c>
      <c r="L92">
        <v>13.5</v>
      </c>
      <c r="M92">
        <v>10.700000000000001</v>
      </c>
      <c r="N92">
        <v>6.45</v>
      </c>
      <c r="O92">
        <v>1682</v>
      </c>
      <c r="P92">
        <v>0</v>
      </c>
      <c r="Q92" s="5" t="e">
        <f>IF(AND(#REF!&gt;=table!$C$6,#REF!&lt;= table!$D$6),-1,IF(AND(#REF!&gt;=table!$E$6,#REF!&lt;=table!$F$6),1,0))</f>
        <v>#REF!</v>
      </c>
      <c r="R92" s="5" t="e">
        <f>IF(AND(#REF!&gt;=table!$C$7,#REF!&lt;= table!$D$7),-1,IF(AND(#REF!&gt;=table!$E$7,#REF!&lt;=table!$F$7),1,0))</f>
        <v>#REF!</v>
      </c>
      <c r="S92" s="5" t="e">
        <f>IF(AND(#REF!&gt;=table!$C$8,#REF!&lt;= table!$D$8),-1,IF(AND(#REF!&gt;=table!$E$8,#REF!&lt;=table!$F$8),1,0))</f>
        <v>#REF!</v>
      </c>
      <c r="T92" s="5"/>
      <c r="U92" s="5" t="e">
        <f>IF(AND(#REF!&gt;=table!$C$10,#REF!&lt;= table!$D$10),-1,IF(AND(#REF!&gt;=table!$E$10,#REF!&lt;=table!$F$10),1,0))</f>
        <v>#REF!</v>
      </c>
      <c r="V92" s="5" t="e">
        <f>IF(AND(#REF!&gt;=table!$C$11,#REF!&lt;= table!$D$11),-1,IF(AND(#REF!&gt;=table!$E$11,#REF!&lt;=table!$F$11),1,0))</f>
        <v>#REF!</v>
      </c>
      <c r="W92" s="5" t="e">
        <f>CONCATENATE(dados[[#This Row],[fator1]],dados[[#This Row],[fator5]],dados[[#This Row],[fator6]])</f>
        <v>#REF!</v>
      </c>
    </row>
    <row r="93" spans="1:23">
      <c r="A93" t="s">
        <v>16</v>
      </c>
      <c r="B93">
        <v>480965</v>
      </c>
      <c r="C93">
        <v>0.15</v>
      </c>
      <c r="D93">
        <v>35</v>
      </c>
      <c r="E93">
        <v>15</v>
      </c>
      <c r="F93">
        <v>10</v>
      </c>
      <c r="G93">
        <v>0</v>
      </c>
      <c r="H93">
        <v>12</v>
      </c>
      <c r="I93">
        <v>1990</v>
      </c>
      <c r="J93">
        <v>0</v>
      </c>
      <c r="K93">
        <v>3.605</v>
      </c>
      <c r="L93">
        <v>11.200000000000001</v>
      </c>
      <c r="M93">
        <v>10.450000000000001</v>
      </c>
      <c r="N93">
        <v>9.6</v>
      </c>
      <c r="O93">
        <v>1704</v>
      </c>
      <c r="P93">
        <v>0</v>
      </c>
      <c r="Q93" s="5" t="e">
        <f>IF(AND(#REF!&gt;=table!$C$6,#REF!&lt;= table!$D$6),-1,IF(AND(#REF!&gt;=table!$E$6,#REF!&lt;=table!$F$6),1,0))</f>
        <v>#REF!</v>
      </c>
      <c r="R93" s="5" t="e">
        <f>IF(AND(#REF!&gt;=table!$C$7,#REF!&lt;= table!$D$7),-1,IF(AND(#REF!&gt;=table!$E$7,#REF!&lt;=table!$F$7),1,0))</f>
        <v>#REF!</v>
      </c>
      <c r="S93" s="5" t="e">
        <f>IF(AND(#REF!&gt;=table!$C$8,#REF!&lt;= table!$D$8),-1,IF(AND(#REF!&gt;=table!$E$8,#REF!&lt;=table!$F$8),1,0))</f>
        <v>#REF!</v>
      </c>
      <c r="T93" s="5"/>
      <c r="U93" s="5" t="e">
        <f>IF(AND(#REF!&gt;=table!$C$10,#REF!&lt;= table!$D$10),-1,IF(AND(#REF!&gt;=table!$E$10,#REF!&lt;=table!$F$10),1,0))</f>
        <v>#REF!</v>
      </c>
      <c r="V93" s="5" t="e">
        <f>IF(AND(#REF!&gt;=table!$C$11,#REF!&lt;= table!$D$11),-1,IF(AND(#REF!&gt;=table!$E$11,#REF!&lt;=table!$F$11),1,0))</f>
        <v>#REF!</v>
      </c>
      <c r="W93" s="5" t="e">
        <f>CONCATENATE(dados[[#This Row],[fator1]],dados[[#This Row],[fator5]],dados[[#This Row],[fator6]])</f>
        <v>#REF!</v>
      </c>
    </row>
    <row r="94" spans="1:23">
      <c r="A94" t="s">
        <v>16</v>
      </c>
      <c r="B94">
        <v>480968</v>
      </c>
      <c r="C94">
        <v>0.1</v>
      </c>
      <c r="D94">
        <v>35</v>
      </c>
      <c r="E94">
        <v>10</v>
      </c>
      <c r="F94">
        <v>10</v>
      </c>
      <c r="G94">
        <v>0</v>
      </c>
      <c r="H94">
        <v>12</v>
      </c>
      <c r="I94">
        <v>1316</v>
      </c>
      <c r="J94">
        <v>0</v>
      </c>
      <c r="K94">
        <v>4.97</v>
      </c>
      <c r="L94">
        <v>8.9500000000000011</v>
      </c>
      <c r="M94">
        <v>8.0500000000000007</v>
      </c>
      <c r="N94">
        <v>5.9</v>
      </c>
      <c r="O94">
        <v>1670</v>
      </c>
      <c r="P94">
        <v>666</v>
      </c>
      <c r="Q94" s="5" t="e">
        <f>IF(AND(#REF!&gt;=table!$C$6,#REF!&lt;= table!$D$6),-1,IF(AND(#REF!&gt;=table!$E$6,#REF!&lt;=table!$F$6),1,0))</f>
        <v>#REF!</v>
      </c>
      <c r="R94" s="5" t="e">
        <f>IF(AND(#REF!&gt;=table!$C$7,#REF!&lt;= table!$D$7),-1,IF(AND(#REF!&gt;=table!$E$7,#REF!&lt;=table!$F$7),1,0))</f>
        <v>#REF!</v>
      </c>
      <c r="S94" s="5" t="e">
        <f>IF(AND(#REF!&gt;=table!$C$8,#REF!&lt;= table!$D$8),-1,IF(AND(#REF!&gt;=table!$E$8,#REF!&lt;=table!$F$8),1,0))</f>
        <v>#REF!</v>
      </c>
      <c r="T94" s="5"/>
      <c r="U94" s="5" t="e">
        <f>IF(AND(#REF!&gt;=table!$C$10,#REF!&lt;= table!$D$10),-1,IF(AND(#REF!&gt;=table!$E$10,#REF!&lt;=table!$F$10),1,0))</f>
        <v>#REF!</v>
      </c>
      <c r="V94" s="5" t="e">
        <f>IF(AND(#REF!&gt;=table!$C$11,#REF!&lt;= table!$D$11),-1,IF(AND(#REF!&gt;=table!$E$11,#REF!&lt;=table!$F$11),1,0))</f>
        <v>#REF!</v>
      </c>
      <c r="W94" s="5" t="e">
        <f>CONCATENATE(dados[[#This Row],[fator1]],dados[[#This Row],[fator5]],dados[[#This Row],[fator6]])</f>
        <v>#REF!</v>
      </c>
    </row>
    <row r="95" spans="1:23">
      <c r="A95" t="s">
        <v>18</v>
      </c>
      <c r="B95">
        <v>480971</v>
      </c>
      <c r="C95">
        <v>20</v>
      </c>
      <c r="D95">
        <v>2.5</v>
      </c>
      <c r="E95">
        <v>70</v>
      </c>
      <c r="F95">
        <v>10</v>
      </c>
      <c r="G95">
        <v>28</v>
      </c>
      <c r="H95">
        <v>25</v>
      </c>
      <c r="I95">
        <v>3</v>
      </c>
      <c r="J95">
        <v>0</v>
      </c>
      <c r="K95">
        <v>4.665</v>
      </c>
      <c r="L95">
        <v>15.3</v>
      </c>
      <c r="M95">
        <v>67.55</v>
      </c>
      <c r="N95">
        <v>12.1</v>
      </c>
      <c r="O95">
        <v>1668</v>
      </c>
      <c r="P95">
        <v>0</v>
      </c>
      <c r="Q95" s="5" t="e">
        <f>IF(AND(#REF!&gt;=table!$C$6,#REF!&lt;= table!$D$6),-1,IF(AND(#REF!&gt;=table!$E$6,#REF!&lt;=table!$F$6),1,0))</f>
        <v>#REF!</v>
      </c>
      <c r="R95" s="5" t="e">
        <f>IF(AND(#REF!&gt;=table!$C$7,#REF!&lt;= table!$D$7),-1,IF(AND(#REF!&gt;=table!$E$7,#REF!&lt;=table!$F$7),1,0))</f>
        <v>#REF!</v>
      </c>
      <c r="S95" s="5" t="e">
        <f>IF(AND(#REF!&gt;=table!$C$8,#REF!&lt;= table!$D$8),-1,IF(AND(#REF!&gt;=table!$E$8,#REF!&lt;=table!$F$8),1,0))</f>
        <v>#REF!</v>
      </c>
      <c r="T95" s="5"/>
      <c r="U95" s="5" t="e">
        <f>IF(AND(#REF!&gt;=table!$C$10,#REF!&lt;= table!$D$10),-1,IF(AND(#REF!&gt;=table!$E$10,#REF!&lt;=table!$F$10),1,0))</f>
        <v>#REF!</v>
      </c>
      <c r="V95" s="5" t="e">
        <f>IF(AND(#REF!&gt;=table!$C$11,#REF!&lt;= table!$D$11),-1,IF(AND(#REF!&gt;=table!$E$11,#REF!&lt;=table!$F$11),1,0))</f>
        <v>#REF!</v>
      </c>
      <c r="W95" s="5" t="e">
        <f>CONCATENATE(dados[[#This Row],[fator1]],dados[[#This Row],[fator5]],dados[[#This Row],[fator6]])</f>
        <v>#REF!</v>
      </c>
    </row>
    <row r="96" spans="1:23">
      <c r="A96" t="s">
        <v>18</v>
      </c>
      <c r="B96">
        <v>480972</v>
      </c>
      <c r="C96">
        <v>20</v>
      </c>
      <c r="D96">
        <v>2.5</v>
      </c>
      <c r="E96">
        <v>70</v>
      </c>
      <c r="F96">
        <v>10</v>
      </c>
      <c r="G96">
        <v>28</v>
      </c>
      <c r="H96">
        <v>25</v>
      </c>
      <c r="I96">
        <v>25</v>
      </c>
      <c r="J96">
        <v>0</v>
      </c>
      <c r="K96">
        <v>14.57</v>
      </c>
      <c r="L96">
        <v>18.385000000000002</v>
      </c>
      <c r="M96">
        <v>64.715000000000003</v>
      </c>
      <c r="N96">
        <v>17.655000000000001</v>
      </c>
      <c r="O96">
        <v>1645</v>
      </c>
      <c r="P96">
        <v>227</v>
      </c>
      <c r="Q96" s="5" t="e">
        <f>IF(AND(#REF!&gt;=table!$C$6,#REF!&lt;= table!$D$6),-1,IF(AND(#REF!&gt;=table!$E$6,#REF!&lt;=table!$F$6),1,0))</f>
        <v>#REF!</v>
      </c>
      <c r="R96" s="5" t="e">
        <f>IF(AND(#REF!&gt;=table!$C$7,#REF!&lt;= table!$D$7),-1,IF(AND(#REF!&gt;=table!$E$7,#REF!&lt;=table!$F$7),1,0))</f>
        <v>#REF!</v>
      </c>
      <c r="S96" s="5" t="e">
        <f>IF(AND(#REF!&gt;=table!$C$8,#REF!&lt;= table!$D$8),-1,IF(AND(#REF!&gt;=table!$E$8,#REF!&lt;=table!$F$8),1,0))</f>
        <v>#REF!</v>
      </c>
      <c r="T96" s="5"/>
      <c r="U96" s="5" t="e">
        <f>IF(AND(#REF!&gt;=table!$C$10,#REF!&lt;= table!$D$10),-1,IF(AND(#REF!&gt;=table!$E$10,#REF!&lt;=table!$F$10),1,0))</f>
        <v>#REF!</v>
      </c>
      <c r="V96" s="5" t="e">
        <f>IF(AND(#REF!&gt;=table!$C$11,#REF!&lt;= table!$D$11),-1,IF(AND(#REF!&gt;=table!$E$11,#REF!&lt;=table!$F$11),1,0))</f>
        <v>#REF!</v>
      </c>
      <c r="W96" s="5" t="e">
        <f>CONCATENATE(dados[[#This Row],[fator1]],dados[[#This Row],[fator5]],dados[[#This Row],[fator6]])</f>
        <v>#REF!</v>
      </c>
    </row>
    <row r="97" spans="1:23">
      <c r="A97" t="s">
        <v>18</v>
      </c>
      <c r="B97">
        <v>480973</v>
      </c>
      <c r="C97">
        <v>22</v>
      </c>
      <c r="D97">
        <v>2.5</v>
      </c>
      <c r="E97">
        <v>70</v>
      </c>
      <c r="F97">
        <v>10</v>
      </c>
      <c r="G97">
        <v>28</v>
      </c>
      <c r="H97">
        <v>25</v>
      </c>
      <c r="I97">
        <v>13</v>
      </c>
      <c r="J97">
        <v>0</v>
      </c>
      <c r="K97">
        <v>18.48</v>
      </c>
      <c r="L97">
        <v>23.55</v>
      </c>
      <c r="M97">
        <v>70.400000000000006</v>
      </c>
      <c r="N97">
        <v>20.45</v>
      </c>
      <c r="O97">
        <v>1640</v>
      </c>
      <c r="P97">
        <v>176</v>
      </c>
      <c r="Q97" s="5" t="e">
        <f>IF(AND(#REF!&gt;=table!$C$6,#REF!&lt;= table!$D$6),-1,IF(AND(#REF!&gt;=table!$E$6,#REF!&lt;=table!$F$6),1,0))</f>
        <v>#REF!</v>
      </c>
      <c r="R97" s="5" t="e">
        <f>IF(AND(#REF!&gt;=table!$C$7,#REF!&lt;= table!$D$7),-1,IF(AND(#REF!&gt;=table!$E$7,#REF!&lt;=table!$F$7),1,0))</f>
        <v>#REF!</v>
      </c>
      <c r="S97" s="5" t="e">
        <f>IF(AND(#REF!&gt;=table!$C$8,#REF!&lt;= table!$D$8),-1,IF(AND(#REF!&gt;=table!$E$8,#REF!&lt;=table!$F$8),1,0))</f>
        <v>#REF!</v>
      </c>
      <c r="T97" s="5"/>
      <c r="U97" s="5" t="e">
        <f>IF(AND(#REF!&gt;=table!$C$10,#REF!&lt;= table!$D$10),-1,IF(AND(#REF!&gt;=table!$E$10,#REF!&lt;=table!$F$10),1,0))</f>
        <v>#REF!</v>
      </c>
      <c r="V97" s="5" t="e">
        <f>IF(AND(#REF!&gt;=table!$C$11,#REF!&lt;= table!$D$11),-1,IF(AND(#REF!&gt;=table!$E$11,#REF!&lt;=table!$F$11),1,0))</f>
        <v>#REF!</v>
      </c>
      <c r="W97" s="5" t="e">
        <f>CONCATENATE(dados[[#This Row],[fator1]],dados[[#This Row],[fator5]],dados[[#This Row],[fator6]])</f>
        <v>#REF!</v>
      </c>
    </row>
    <row r="98" spans="1:23">
      <c r="A98" t="s">
        <v>18</v>
      </c>
      <c r="B98">
        <v>480974</v>
      </c>
      <c r="C98">
        <v>17</v>
      </c>
      <c r="D98">
        <v>2.5</v>
      </c>
      <c r="E98">
        <v>70</v>
      </c>
      <c r="F98">
        <v>10</v>
      </c>
      <c r="G98">
        <v>28</v>
      </c>
      <c r="H98">
        <v>25</v>
      </c>
      <c r="I98">
        <v>319</v>
      </c>
      <c r="J98">
        <v>0</v>
      </c>
      <c r="K98">
        <v>10.25</v>
      </c>
      <c r="L98">
        <v>12.85</v>
      </c>
      <c r="M98">
        <v>66.55</v>
      </c>
      <c r="N98">
        <v>9.9</v>
      </c>
      <c r="O98">
        <v>1650</v>
      </c>
      <c r="P98">
        <v>360</v>
      </c>
      <c r="Q98" s="5" t="e">
        <f>IF(AND(#REF!&gt;=table!$C$6,#REF!&lt;= table!$D$6),-1,IF(AND(#REF!&gt;=table!$E$6,#REF!&lt;=table!$F$6),1,0))</f>
        <v>#REF!</v>
      </c>
      <c r="R98" s="5" t="e">
        <f>IF(AND(#REF!&gt;=table!$C$7,#REF!&lt;= table!$D$7),-1,IF(AND(#REF!&gt;=table!$E$7,#REF!&lt;=table!$F$7),1,0))</f>
        <v>#REF!</v>
      </c>
      <c r="S98" s="5" t="e">
        <f>IF(AND(#REF!&gt;=table!$C$8,#REF!&lt;= table!$D$8),-1,IF(AND(#REF!&gt;=table!$E$8,#REF!&lt;=table!$F$8),1,0))</f>
        <v>#REF!</v>
      </c>
      <c r="T98" s="5"/>
      <c r="U98" s="5" t="e">
        <f>IF(AND(#REF!&gt;=table!$C$10,#REF!&lt;= table!$D$10),-1,IF(AND(#REF!&gt;=table!$E$10,#REF!&lt;=table!$F$10),1,0))</f>
        <v>#REF!</v>
      </c>
      <c r="V98" s="5" t="e">
        <f>IF(AND(#REF!&gt;=table!$C$11,#REF!&lt;= table!$D$11),-1,IF(AND(#REF!&gt;=table!$E$11,#REF!&lt;=table!$F$11),1,0))</f>
        <v>#REF!</v>
      </c>
      <c r="W98" s="5" t="e">
        <f>CONCATENATE(dados[[#This Row],[fator1]],dados[[#This Row],[fator5]],dados[[#This Row],[fator6]])</f>
        <v>#REF!</v>
      </c>
    </row>
    <row r="99" spans="1:23">
      <c r="A99" t="s">
        <v>16</v>
      </c>
      <c r="B99">
        <v>480987</v>
      </c>
      <c r="C99">
        <v>5</v>
      </c>
      <c r="D99">
        <v>25</v>
      </c>
      <c r="E99">
        <v>120</v>
      </c>
      <c r="F99">
        <v>4</v>
      </c>
      <c r="G99">
        <v>0</v>
      </c>
      <c r="H99">
        <v>55</v>
      </c>
      <c r="I99">
        <v>1109</v>
      </c>
      <c r="J99">
        <v>0</v>
      </c>
      <c r="K99">
        <v>3.27</v>
      </c>
      <c r="L99">
        <v>10.950000000000001</v>
      </c>
      <c r="M99">
        <v>97.75</v>
      </c>
      <c r="N99">
        <v>37.65</v>
      </c>
      <c r="O99">
        <v>1687</v>
      </c>
      <c r="P99">
        <v>977</v>
      </c>
      <c r="Q99" s="5" t="e">
        <f>IF(AND(#REF!&gt;=table!$C$6,#REF!&lt;= table!$D$6),-1,IF(AND(#REF!&gt;=table!$E$6,#REF!&lt;=table!$F$6),1,0))</f>
        <v>#REF!</v>
      </c>
      <c r="R99" s="5" t="e">
        <f>IF(AND(#REF!&gt;=table!$C$7,#REF!&lt;= table!$D$7),-1,IF(AND(#REF!&gt;=table!$E$7,#REF!&lt;=table!$F$7),1,0))</f>
        <v>#REF!</v>
      </c>
      <c r="S99" s="5" t="e">
        <f>IF(AND(#REF!&gt;=table!$C$8,#REF!&lt;= table!$D$8),-1,IF(AND(#REF!&gt;=table!$E$8,#REF!&lt;=table!$F$8),1,0))</f>
        <v>#REF!</v>
      </c>
      <c r="T99" s="5"/>
      <c r="U99" s="5" t="e">
        <f>IF(AND(#REF!&gt;=table!$C$10,#REF!&lt;= table!$D$10),-1,IF(AND(#REF!&gt;=table!$E$10,#REF!&lt;=table!$F$10),1,0))</f>
        <v>#REF!</v>
      </c>
      <c r="V99" s="5" t="e">
        <f>IF(AND(#REF!&gt;=table!$C$11,#REF!&lt;= table!$D$11),-1,IF(AND(#REF!&gt;=table!$E$11,#REF!&lt;=table!$F$11),1,0))</f>
        <v>#REF!</v>
      </c>
      <c r="W99" s="5" t="e">
        <f>CONCATENATE(dados[[#This Row],[fator1]],dados[[#This Row],[fator5]],dados[[#This Row],[fator6]])</f>
        <v>#REF!</v>
      </c>
    </row>
    <row r="100" spans="1:23">
      <c r="A100" t="s">
        <v>16</v>
      </c>
      <c r="B100">
        <v>480989</v>
      </c>
      <c r="C100">
        <v>5</v>
      </c>
      <c r="D100">
        <v>25</v>
      </c>
      <c r="E100">
        <v>120</v>
      </c>
      <c r="F100">
        <v>4</v>
      </c>
      <c r="G100">
        <v>0</v>
      </c>
      <c r="H100">
        <v>55</v>
      </c>
      <c r="I100">
        <v>1184</v>
      </c>
      <c r="J100">
        <v>0</v>
      </c>
      <c r="K100">
        <v>3.5500000000000003</v>
      </c>
      <c r="L100">
        <v>13.15</v>
      </c>
      <c r="M100">
        <v>94.100000000000009</v>
      </c>
      <c r="N100">
        <v>34.300000000000004</v>
      </c>
      <c r="O100">
        <v>1678</v>
      </c>
      <c r="P100">
        <v>518</v>
      </c>
      <c r="Q100" s="5" t="e">
        <f>IF(AND(#REF!&gt;=table!$C$6,#REF!&lt;= table!$D$6),-1,IF(AND(#REF!&gt;=table!$E$6,#REF!&lt;=table!$F$6),1,0))</f>
        <v>#REF!</v>
      </c>
      <c r="R100" s="5" t="e">
        <f>IF(AND(#REF!&gt;=table!$C$7,#REF!&lt;= table!$D$7),-1,IF(AND(#REF!&gt;=table!$E$7,#REF!&lt;=table!$F$7),1,0))</f>
        <v>#REF!</v>
      </c>
      <c r="S100" s="5" t="e">
        <f>IF(AND(#REF!&gt;=table!$C$8,#REF!&lt;= table!$D$8),-1,IF(AND(#REF!&gt;=table!$E$8,#REF!&lt;=table!$F$8),1,0))</f>
        <v>#REF!</v>
      </c>
      <c r="T100" s="5"/>
      <c r="U100" s="5" t="e">
        <f>IF(AND(#REF!&gt;=table!$C$10,#REF!&lt;= table!$D$10),-1,IF(AND(#REF!&gt;=table!$E$10,#REF!&lt;=table!$F$10),1,0))</f>
        <v>#REF!</v>
      </c>
      <c r="V100" s="5" t="e">
        <f>IF(AND(#REF!&gt;=table!$C$11,#REF!&lt;= table!$D$11),-1,IF(AND(#REF!&gt;=table!$E$11,#REF!&lt;=table!$F$11),1,0))</f>
        <v>#REF!</v>
      </c>
      <c r="W100" s="5" t="e">
        <f>CONCATENATE(dados[[#This Row],[fator1]],dados[[#This Row],[fator5]],dados[[#This Row],[fator6]])</f>
        <v>#REF!</v>
      </c>
    </row>
    <row r="101" spans="1:23">
      <c r="A101" t="s">
        <v>16</v>
      </c>
      <c r="B101">
        <v>481003</v>
      </c>
      <c r="C101">
        <v>0.19</v>
      </c>
      <c r="D101">
        <v>50</v>
      </c>
      <c r="E101">
        <v>56</v>
      </c>
      <c r="F101">
        <v>15</v>
      </c>
      <c r="G101">
        <v>0</v>
      </c>
      <c r="H101">
        <v>50</v>
      </c>
      <c r="I101">
        <v>780</v>
      </c>
      <c r="J101">
        <v>680</v>
      </c>
      <c r="K101">
        <v>5.5</v>
      </c>
      <c r="L101">
        <v>9.2000000000000011</v>
      </c>
      <c r="M101">
        <v>7.3</v>
      </c>
      <c r="N101">
        <v>7.3500000000000005</v>
      </c>
      <c r="O101">
        <v>1619</v>
      </c>
      <c r="P101">
        <v>542</v>
      </c>
      <c r="Q101" s="5" t="e">
        <f>IF(AND(#REF!&gt;=table!$C$6,#REF!&lt;= table!$D$6),-1,IF(AND(#REF!&gt;=table!$E$6,#REF!&lt;=table!$F$6),1,0))</f>
        <v>#REF!</v>
      </c>
      <c r="R101" s="5" t="e">
        <f>IF(AND(#REF!&gt;=table!$C$7,#REF!&lt;= table!$D$7),-1,IF(AND(#REF!&gt;=table!$E$7,#REF!&lt;=table!$F$7),1,0))</f>
        <v>#REF!</v>
      </c>
      <c r="S101" s="5" t="e">
        <f>IF(AND(#REF!&gt;=table!$C$8,#REF!&lt;= table!$D$8),-1,IF(AND(#REF!&gt;=table!$E$8,#REF!&lt;=table!$F$8),1,0))</f>
        <v>#REF!</v>
      </c>
      <c r="T101" s="5"/>
      <c r="U101" s="5" t="e">
        <f>IF(AND(#REF!&gt;=table!$C$10,#REF!&lt;= table!$D$10),-1,IF(AND(#REF!&gt;=table!$E$10,#REF!&lt;=table!$F$10),1,0))</f>
        <v>#REF!</v>
      </c>
      <c r="V101" s="5" t="e">
        <f>IF(AND(#REF!&gt;=table!$C$11,#REF!&lt;= table!$D$11),-1,IF(AND(#REF!&gt;=table!$E$11,#REF!&lt;=table!$F$11),1,0))</f>
        <v>#REF!</v>
      </c>
      <c r="W101" s="5" t="e">
        <f>CONCATENATE(dados[[#This Row],[fator1]],dados[[#This Row],[fator5]],dados[[#This Row],[fator6]])</f>
        <v>#REF!</v>
      </c>
    </row>
    <row r="102" spans="1:23">
      <c r="A102" t="s">
        <v>16</v>
      </c>
      <c r="B102">
        <v>481004</v>
      </c>
      <c r="C102">
        <v>0.18</v>
      </c>
      <c r="D102">
        <v>50</v>
      </c>
      <c r="E102">
        <v>56</v>
      </c>
      <c r="F102">
        <v>15</v>
      </c>
      <c r="G102">
        <v>0</v>
      </c>
      <c r="H102">
        <v>50</v>
      </c>
      <c r="I102">
        <v>829</v>
      </c>
      <c r="J102">
        <v>0</v>
      </c>
      <c r="K102">
        <v>2.4950000000000001</v>
      </c>
      <c r="L102">
        <v>9.35</v>
      </c>
      <c r="M102">
        <v>8.75</v>
      </c>
      <c r="N102">
        <v>11.5</v>
      </c>
      <c r="O102">
        <v>1669</v>
      </c>
      <c r="P102">
        <v>1041</v>
      </c>
      <c r="Q102" s="5" t="e">
        <f>IF(AND(#REF!&gt;=table!$C$6,#REF!&lt;= table!$D$6),-1,IF(AND(#REF!&gt;=table!$E$6,#REF!&lt;=table!$F$6),1,0))</f>
        <v>#REF!</v>
      </c>
      <c r="R102" s="5" t="e">
        <f>IF(AND(#REF!&gt;=table!$C$7,#REF!&lt;= table!$D$7),-1,IF(AND(#REF!&gt;=table!$E$7,#REF!&lt;=table!$F$7),1,0))</f>
        <v>#REF!</v>
      </c>
      <c r="S102" s="5" t="e">
        <f>IF(AND(#REF!&gt;=table!$C$8,#REF!&lt;= table!$D$8),-1,IF(AND(#REF!&gt;=table!$E$8,#REF!&lt;=table!$F$8),1,0))</f>
        <v>#REF!</v>
      </c>
      <c r="T102" s="5"/>
      <c r="U102" s="5" t="e">
        <f>IF(AND(#REF!&gt;=table!$C$10,#REF!&lt;= table!$D$10),-1,IF(AND(#REF!&gt;=table!$E$10,#REF!&lt;=table!$F$10),1,0))</f>
        <v>#REF!</v>
      </c>
      <c r="V102" s="5" t="e">
        <f>IF(AND(#REF!&gt;=table!$C$11,#REF!&lt;= table!$D$11),-1,IF(AND(#REF!&gt;=table!$E$11,#REF!&lt;=table!$F$11),1,0))</f>
        <v>#REF!</v>
      </c>
      <c r="W102" s="5" t="e">
        <f>CONCATENATE(dados[[#This Row],[fator1]],dados[[#This Row],[fator5]],dados[[#This Row],[fator6]])</f>
        <v>#REF!</v>
      </c>
    </row>
    <row r="103" spans="1:23">
      <c r="A103" t="s">
        <v>16</v>
      </c>
      <c r="B103">
        <v>481037</v>
      </c>
      <c r="C103">
        <v>0.18</v>
      </c>
      <c r="D103">
        <v>50</v>
      </c>
      <c r="E103">
        <v>56</v>
      </c>
      <c r="F103">
        <v>15</v>
      </c>
      <c r="G103">
        <v>0</v>
      </c>
      <c r="H103">
        <v>50</v>
      </c>
      <c r="I103">
        <v>1964</v>
      </c>
      <c r="J103">
        <v>0</v>
      </c>
      <c r="K103">
        <v>3.7150000000000003</v>
      </c>
      <c r="L103">
        <v>12.200000000000001</v>
      </c>
      <c r="M103">
        <v>10.545</v>
      </c>
      <c r="N103">
        <v>12.73</v>
      </c>
      <c r="O103">
        <v>1686</v>
      </c>
      <c r="P103">
        <v>0</v>
      </c>
      <c r="Q103" s="5" t="e">
        <f>IF(AND(#REF!&gt;=table!$C$6,#REF!&lt;= table!$D$6),-1,IF(AND(#REF!&gt;=table!$E$6,#REF!&lt;=table!$F$6),1,0))</f>
        <v>#REF!</v>
      </c>
      <c r="R103" s="5" t="e">
        <f>IF(AND(#REF!&gt;=table!$C$7,#REF!&lt;= table!$D$7),-1,IF(AND(#REF!&gt;=table!$E$7,#REF!&lt;=table!$F$7),1,0))</f>
        <v>#REF!</v>
      </c>
      <c r="S103" s="5" t="e">
        <f>IF(AND(#REF!&gt;=table!$C$8,#REF!&lt;= table!$D$8),-1,IF(AND(#REF!&gt;=table!$E$8,#REF!&lt;=table!$F$8),1,0))</f>
        <v>#REF!</v>
      </c>
      <c r="T103" s="5"/>
      <c r="U103" s="5" t="e">
        <f>IF(AND(#REF!&gt;=table!$C$10,#REF!&lt;= table!$D$10),-1,IF(AND(#REF!&gt;=table!$E$10,#REF!&lt;=table!$F$10),1,0))</f>
        <v>#REF!</v>
      </c>
      <c r="V103" s="5" t="e">
        <f>IF(AND(#REF!&gt;=table!$C$11,#REF!&lt;= table!$D$11),-1,IF(AND(#REF!&gt;=table!$E$11,#REF!&lt;=table!$F$11),1,0))</f>
        <v>#REF!</v>
      </c>
      <c r="W103" s="5" t="e">
        <f>CONCATENATE(dados[[#This Row],[fator1]],dados[[#This Row],[fator5]],dados[[#This Row],[fator6]])</f>
        <v>#REF!</v>
      </c>
    </row>
    <row r="104" spans="1:23">
      <c r="A104" t="s">
        <v>16</v>
      </c>
      <c r="B104">
        <v>481040</v>
      </c>
      <c r="C104">
        <v>12</v>
      </c>
      <c r="D104">
        <v>35</v>
      </c>
      <c r="E104">
        <v>170</v>
      </c>
      <c r="F104">
        <v>6</v>
      </c>
      <c r="G104">
        <v>0</v>
      </c>
      <c r="H104">
        <v>20</v>
      </c>
      <c r="I104">
        <v>1087</v>
      </c>
      <c r="J104">
        <v>0</v>
      </c>
      <c r="K104">
        <v>5.835</v>
      </c>
      <c r="L104">
        <v>12.25</v>
      </c>
      <c r="M104">
        <v>117.35000000000001</v>
      </c>
      <c r="N104">
        <v>10.700000000000001</v>
      </c>
      <c r="O104">
        <v>1671</v>
      </c>
      <c r="P104">
        <v>0</v>
      </c>
      <c r="Q104" s="5" t="e">
        <f>IF(AND(#REF!&gt;=table!$C$6,#REF!&lt;= table!$D$6),-1,IF(AND(#REF!&gt;=table!$E$6,#REF!&lt;=table!$F$6),1,0))</f>
        <v>#REF!</v>
      </c>
      <c r="R104" s="5" t="e">
        <f>IF(AND(#REF!&gt;=table!$C$7,#REF!&lt;= table!$D$7),-1,IF(AND(#REF!&gt;=table!$E$7,#REF!&lt;=table!$F$7),1,0))</f>
        <v>#REF!</v>
      </c>
      <c r="S104" s="5" t="e">
        <f>IF(AND(#REF!&gt;=table!$C$8,#REF!&lt;= table!$D$8),-1,IF(AND(#REF!&gt;=table!$E$8,#REF!&lt;=table!$F$8),1,0))</f>
        <v>#REF!</v>
      </c>
      <c r="T104" s="5"/>
      <c r="U104" s="5" t="e">
        <f>IF(AND(#REF!&gt;=table!$C$10,#REF!&lt;= table!$D$10),-1,IF(AND(#REF!&gt;=table!$E$10,#REF!&lt;=table!$F$10),1,0))</f>
        <v>#REF!</v>
      </c>
      <c r="V104" s="5" t="e">
        <f>IF(AND(#REF!&gt;=table!$C$11,#REF!&lt;= table!$D$11),-1,IF(AND(#REF!&gt;=table!$E$11,#REF!&lt;=table!$F$11),1,0))</f>
        <v>#REF!</v>
      </c>
      <c r="W104" s="5" t="e">
        <f>CONCATENATE(dados[[#This Row],[fator1]],dados[[#This Row],[fator5]],dados[[#This Row],[fator6]])</f>
        <v>#REF!</v>
      </c>
    </row>
    <row r="105" spans="1:23">
      <c r="A105" t="s">
        <v>16</v>
      </c>
      <c r="B105">
        <v>481041</v>
      </c>
      <c r="C105">
        <v>12</v>
      </c>
      <c r="D105">
        <v>35</v>
      </c>
      <c r="E105">
        <v>170</v>
      </c>
      <c r="F105">
        <v>6</v>
      </c>
      <c r="G105">
        <v>0</v>
      </c>
      <c r="H105">
        <v>20</v>
      </c>
      <c r="I105">
        <v>1578</v>
      </c>
      <c r="J105">
        <v>0</v>
      </c>
      <c r="K105">
        <v>4.5049999999999999</v>
      </c>
      <c r="L105">
        <v>10.6</v>
      </c>
      <c r="M105">
        <v>135</v>
      </c>
      <c r="N105">
        <v>10.65</v>
      </c>
      <c r="O105">
        <v>1663</v>
      </c>
      <c r="P105">
        <v>0</v>
      </c>
      <c r="Q105" s="5" t="e">
        <f>IF(AND(#REF!&gt;=table!$C$6,#REF!&lt;= table!$D$6),-1,IF(AND(#REF!&gt;=table!$E$6,#REF!&lt;=table!$F$6),1,0))</f>
        <v>#REF!</v>
      </c>
      <c r="R105" s="5" t="e">
        <f>IF(AND(#REF!&gt;=table!$C$7,#REF!&lt;= table!$D$7),-1,IF(AND(#REF!&gt;=table!$E$7,#REF!&lt;=table!$F$7),1,0))</f>
        <v>#REF!</v>
      </c>
      <c r="S105" s="5" t="e">
        <f>IF(AND(#REF!&gt;=table!$C$8,#REF!&lt;= table!$D$8),-1,IF(AND(#REF!&gt;=table!$E$8,#REF!&lt;=table!$F$8),1,0))</f>
        <v>#REF!</v>
      </c>
      <c r="T105" s="5"/>
      <c r="U105" s="5" t="e">
        <f>IF(AND(#REF!&gt;=table!$C$10,#REF!&lt;= table!$D$10),-1,IF(AND(#REF!&gt;=table!$E$10,#REF!&lt;=table!$F$10),1,0))</f>
        <v>#REF!</v>
      </c>
      <c r="V105" s="5" t="e">
        <f>IF(AND(#REF!&gt;=table!$C$11,#REF!&lt;= table!$D$11),-1,IF(AND(#REF!&gt;=table!$E$11,#REF!&lt;=table!$F$11),1,0))</f>
        <v>#REF!</v>
      </c>
      <c r="W105" s="5" t="e">
        <f>CONCATENATE(dados[[#This Row],[fator1]],dados[[#This Row],[fator5]],dados[[#This Row],[fator6]])</f>
        <v>#REF!</v>
      </c>
    </row>
    <row r="106" spans="1:23">
      <c r="A106" t="s">
        <v>16</v>
      </c>
      <c r="B106">
        <v>481043</v>
      </c>
      <c r="C106">
        <v>12</v>
      </c>
      <c r="D106">
        <v>35</v>
      </c>
      <c r="E106">
        <v>170</v>
      </c>
      <c r="F106">
        <v>6</v>
      </c>
      <c r="G106">
        <v>0</v>
      </c>
      <c r="H106">
        <v>20</v>
      </c>
      <c r="I106">
        <v>693</v>
      </c>
      <c r="J106">
        <v>0</v>
      </c>
      <c r="K106">
        <v>6.07</v>
      </c>
      <c r="L106">
        <v>12.6</v>
      </c>
      <c r="M106">
        <v>144.85</v>
      </c>
      <c r="N106">
        <v>10.75</v>
      </c>
      <c r="O106">
        <v>1676</v>
      </c>
      <c r="P106">
        <v>0</v>
      </c>
      <c r="Q106" s="5" t="e">
        <f>IF(AND(#REF!&gt;=table!$C$6,#REF!&lt;= table!$D$6),-1,IF(AND(#REF!&gt;=table!$E$6,#REF!&lt;=table!$F$6),1,0))</f>
        <v>#REF!</v>
      </c>
      <c r="R106" s="5" t="e">
        <f>IF(AND(#REF!&gt;=table!$C$7,#REF!&lt;= table!$D$7),-1,IF(AND(#REF!&gt;=table!$E$7,#REF!&lt;=table!$F$7),1,0))</f>
        <v>#REF!</v>
      </c>
      <c r="S106" s="5" t="e">
        <f>IF(AND(#REF!&gt;=table!$C$8,#REF!&lt;= table!$D$8),-1,IF(AND(#REF!&gt;=table!$E$8,#REF!&lt;=table!$F$8),1,0))</f>
        <v>#REF!</v>
      </c>
      <c r="T106" s="5"/>
      <c r="U106" s="5" t="e">
        <f>IF(AND(#REF!&gt;=table!$C$10,#REF!&lt;= table!$D$10),-1,IF(AND(#REF!&gt;=table!$E$10,#REF!&lt;=table!$F$10),1,0))</f>
        <v>#REF!</v>
      </c>
      <c r="V106" s="5" t="e">
        <f>IF(AND(#REF!&gt;=table!$C$11,#REF!&lt;= table!$D$11),-1,IF(AND(#REF!&gt;=table!$E$11,#REF!&lt;=table!$F$11),1,0))</f>
        <v>#REF!</v>
      </c>
      <c r="W106" s="5" t="e">
        <f>CONCATENATE(dados[[#This Row],[fator1]],dados[[#This Row],[fator5]],dados[[#This Row],[fator6]])</f>
        <v>#REF!</v>
      </c>
    </row>
    <row r="107" spans="1:23">
      <c r="A107" t="s">
        <v>16</v>
      </c>
      <c r="B107">
        <v>481050</v>
      </c>
      <c r="C107">
        <v>0.2</v>
      </c>
      <c r="D107">
        <v>65</v>
      </c>
      <c r="E107">
        <v>27</v>
      </c>
      <c r="F107">
        <v>15</v>
      </c>
      <c r="G107">
        <v>0</v>
      </c>
      <c r="H107">
        <v>30</v>
      </c>
      <c r="I107">
        <v>866</v>
      </c>
      <c r="J107">
        <v>0</v>
      </c>
      <c r="K107">
        <v>4.7750000000000004</v>
      </c>
      <c r="L107">
        <v>12.015000000000001</v>
      </c>
      <c r="M107">
        <v>10.9</v>
      </c>
      <c r="N107">
        <v>21.7</v>
      </c>
      <c r="O107">
        <v>1714</v>
      </c>
      <c r="P107">
        <v>0</v>
      </c>
      <c r="Q107" s="5" t="e">
        <f>IF(AND(#REF!&gt;=table!$C$6,#REF!&lt;= table!$D$6),-1,IF(AND(#REF!&gt;=table!$E$6,#REF!&lt;=table!$F$6),1,0))</f>
        <v>#REF!</v>
      </c>
      <c r="R107" s="5" t="e">
        <f>IF(AND(#REF!&gt;=table!$C$7,#REF!&lt;= table!$D$7),-1,IF(AND(#REF!&gt;=table!$E$7,#REF!&lt;=table!$F$7),1,0))</f>
        <v>#REF!</v>
      </c>
      <c r="S107" s="5" t="e">
        <f>IF(AND(#REF!&gt;=table!$C$8,#REF!&lt;= table!$D$8),-1,IF(AND(#REF!&gt;=table!$E$8,#REF!&lt;=table!$F$8),1,0))</f>
        <v>#REF!</v>
      </c>
      <c r="T107" s="5"/>
      <c r="U107" s="5" t="e">
        <f>IF(AND(#REF!&gt;=table!$C$10,#REF!&lt;= table!$D$10),-1,IF(AND(#REF!&gt;=table!$E$10,#REF!&lt;=table!$F$10),1,0))</f>
        <v>#REF!</v>
      </c>
      <c r="V107" s="5" t="e">
        <f>IF(AND(#REF!&gt;=table!$C$11,#REF!&lt;= table!$D$11),-1,IF(AND(#REF!&gt;=table!$E$11,#REF!&lt;=table!$F$11),1,0))</f>
        <v>#REF!</v>
      </c>
      <c r="W107" s="5" t="e">
        <f>CONCATENATE(dados[[#This Row],[fator1]],dados[[#This Row],[fator5]],dados[[#This Row],[fator6]])</f>
        <v>#REF!</v>
      </c>
    </row>
    <row r="108" spans="1:23">
      <c r="A108" t="s">
        <v>16</v>
      </c>
      <c r="B108">
        <v>481060</v>
      </c>
      <c r="C108">
        <v>0.2</v>
      </c>
      <c r="D108">
        <v>65</v>
      </c>
      <c r="E108">
        <v>27</v>
      </c>
      <c r="F108">
        <v>15</v>
      </c>
      <c r="G108">
        <v>0</v>
      </c>
      <c r="H108">
        <v>30</v>
      </c>
      <c r="I108">
        <v>894</v>
      </c>
      <c r="J108">
        <v>0</v>
      </c>
      <c r="K108">
        <v>3.875</v>
      </c>
      <c r="L108">
        <v>14.950000000000001</v>
      </c>
      <c r="M108">
        <v>13.35</v>
      </c>
      <c r="N108">
        <v>19.95</v>
      </c>
      <c r="O108">
        <v>1698</v>
      </c>
      <c r="P108">
        <v>0</v>
      </c>
      <c r="Q108" s="5" t="e">
        <f>IF(AND(#REF!&gt;=table!$C$6,#REF!&lt;= table!$D$6),-1,IF(AND(#REF!&gt;=table!$E$6,#REF!&lt;=table!$F$6),1,0))</f>
        <v>#REF!</v>
      </c>
      <c r="R108" s="5" t="e">
        <f>IF(AND(#REF!&gt;=table!$C$7,#REF!&lt;= table!$D$7),-1,IF(AND(#REF!&gt;=table!$E$7,#REF!&lt;=table!$F$7),1,0))</f>
        <v>#REF!</v>
      </c>
      <c r="S108" s="5" t="e">
        <f>IF(AND(#REF!&gt;=table!$C$8,#REF!&lt;= table!$D$8),-1,IF(AND(#REF!&gt;=table!$E$8,#REF!&lt;=table!$F$8),1,0))</f>
        <v>#REF!</v>
      </c>
      <c r="T108" s="5"/>
      <c r="U108" s="5" t="e">
        <f>IF(AND(#REF!&gt;=table!$C$10,#REF!&lt;= table!$D$10),-1,IF(AND(#REF!&gt;=table!$E$10,#REF!&lt;=table!$F$10),1,0))</f>
        <v>#REF!</v>
      </c>
      <c r="V108" s="5" t="e">
        <f>IF(AND(#REF!&gt;=table!$C$11,#REF!&lt;= table!$D$11),-1,IF(AND(#REF!&gt;=table!$E$11,#REF!&lt;=table!$F$11),1,0))</f>
        <v>#REF!</v>
      </c>
      <c r="W108" s="5" t="e">
        <f>CONCATENATE(dados[[#This Row],[fator1]],dados[[#This Row],[fator5]],dados[[#This Row],[fator6]])</f>
        <v>#REF!</v>
      </c>
    </row>
    <row r="109" spans="1:23">
      <c r="A109" t="s">
        <v>16</v>
      </c>
      <c r="B109">
        <v>481066</v>
      </c>
      <c r="C109">
        <v>0.15</v>
      </c>
      <c r="D109">
        <v>40</v>
      </c>
      <c r="E109">
        <v>10</v>
      </c>
      <c r="F109">
        <v>15</v>
      </c>
      <c r="G109">
        <v>0</v>
      </c>
      <c r="H109">
        <v>15</v>
      </c>
      <c r="I109">
        <v>1140</v>
      </c>
      <c r="J109">
        <v>0</v>
      </c>
      <c r="K109">
        <v>3.9450000000000003</v>
      </c>
      <c r="L109">
        <v>12.450000000000001</v>
      </c>
      <c r="M109">
        <v>10.76</v>
      </c>
      <c r="N109">
        <v>12.69</v>
      </c>
      <c r="O109">
        <v>1686</v>
      </c>
      <c r="P109">
        <v>0</v>
      </c>
      <c r="Q109" s="5" t="e">
        <f>IF(AND(#REF!&gt;=table!$C$6,#REF!&lt;= table!$D$6),-1,IF(AND(#REF!&gt;=table!$E$6,#REF!&lt;=table!$F$6),1,0))</f>
        <v>#REF!</v>
      </c>
      <c r="R109" s="5" t="e">
        <f>IF(AND(#REF!&gt;=table!$C$7,#REF!&lt;= table!$D$7),-1,IF(AND(#REF!&gt;=table!$E$7,#REF!&lt;=table!$F$7),1,0))</f>
        <v>#REF!</v>
      </c>
      <c r="S109" s="5" t="e">
        <f>IF(AND(#REF!&gt;=table!$C$8,#REF!&lt;= table!$D$8),-1,IF(AND(#REF!&gt;=table!$E$8,#REF!&lt;=table!$F$8),1,0))</f>
        <v>#REF!</v>
      </c>
      <c r="T109" s="5"/>
      <c r="U109" s="5" t="e">
        <f>IF(AND(#REF!&gt;=table!$C$10,#REF!&lt;= table!$D$10),-1,IF(AND(#REF!&gt;=table!$E$10,#REF!&lt;=table!$F$10),1,0))</f>
        <v>#REF!</v>
      </c>
      <c r="V109" s="5" t="e">
        <f>IF(AND(#REF!&gt;=table!$C$11,#REF!&lt;= table!$D$11),-1,IF(AND(#REF!&gt;=table!$E$11,#REF!&lt;=table!$F$11),1,0))</f>
        <v>#REF!</v>
      </c>
      <c r="W109" s="5" t="e">
        <f>CONCATENATE(dados[[#This Row],[fator1]],dados[[#This Row],[fator5]],dados[[#This Row],[fator6]])</f>
        <v>#REF!</v>
      </c>
    </row>
    <row r="110" spans="1:23">
      <c r="A110" t="s">
        <v>16</v>
      </c>
      <c r="B110">
        <v>481067</v>
      </c>
      <c r="C110">
        <v>0.15</v>
      </c>
      <c r="D110">
        <v>40</v>
      </c>
      <c r="E110">
        <v>10</v>
      </c>
      <c r="F110">
        <v>15</v>
      </c>
      <c r="G110">
        <v>0</v>
      </c>
      <c r="H110">
        <v>15</v>
      </c>
      <c r="I110">
        <v>1461</v>
      </c>
      <c r="J110">
        <v>0</v>
      </c>
      <c r="K110">
        <v>5.53</v>
      </c>
      <c r="L110">
        <v>12.55</v>
      </c>
      <c r="M110">
        <v>11.695</v>
      </c>
      <c r="N110">
        <v>10.125</v>
      </c>
      <c r="O110">
        <v>1685</v>
      </c>
      <c r="P110">
        <v>0</v>
      </c>
      <c r="Q110" s="5" t="e">
        <f>IF(AND(#REF!&gt;=table!$C$6,#REF!&lt;= table!$D$6),-1,IF(AND(#REF!&gt;=table!$E$6,#REF!&lt;=table!$F$6),1,0))</f>
        <v>#REF!</v>
      </c>
      <c r="R110" s="5" t="e">
        <f>IF(AND(#REF!&gt;=table!$C$7,#REF!&lt;= table!$D$7),-1,IF(AND(#REF!&gt;=table!$E$7,#REF!&lt;=table!$F$7),1,0))</f>
        <v>#REF!</v>
      </c>
      <c r="S110" s="5" t="e">
        <f>IF(AND(#REF!&gt;=table!$C$8,#REF!&lt;= table!$D$8),-1,IF(AND(#REF!&gt;=table!$E$8,#REF!&lt;=table!$F$8),1,0))</f>
        <v>#REF!</v>
      </c>
      <c r="T110" s="5"/>
      <c r="U110" s="5" t="e">
        <f>IF(AND(#REF!&gt;=table!$C$10,#REF!&lt;= table!$D$10),-1,IF(AND(#REF!&gt;=table!$E$10,#REF!&lt;=table!$F$10),1,0))</f>
        <v>#REF!</v>
      </c>
      <c r="V110" s="5" t="e">
        <f>IF(AND(#REF!&gt;=table!$C$11,#REF!&lt;= table!$D$11),-1,IF(AND(#REF!&gt;=table!$E$11,#REF!&lt;=table!$F$11),1,0))</f>
        <v>#REF!</v>
      </c>
      <c r="W110" s="5" t="e">
        <f>CONCATENATE(dados[[#This Row],[fator1]],dados[[#This Row],[fator5]],dados[[#This Row],[fator6]])</f>
        <v>#REF!</v>
      </c>
    </row>
    <row r="111" spans="1:23">
      <c r="A111" t="s">
        <v>17</v>
      </c>
      <c r="B111">
        <v>481083</v>
      </c>
      <c r="C111">
        <v>16</v>
      </c>
      <c r="D111">
        <v>30</v>
      </c>
      <c r="E111">
        <v>107</v>
      </c>
      <c r="F111">
        <v>9</v>
      </c>
      <c r="G111">
        <v>20</v>
      </c>
      <c r="H111">
        <v>25</v>
      </c>
      <c r="I111">
        <v>1951</v>
      </c>
      <c r="J111">
        <v>0</v>
      </c>
      <c r="K111">
        <v>8.15</v>
      </c>
      <c r="L111">
        <v>21.75</v>
      </c>
      <c r="M111">
        <v>95.05</v>
      </c>
      <c r="N111">
        <v>16.2</v>
      </c>
      <c r="O111">
        <v>1673</v>
      </c>
      <c r="P111">
        <v>0</v>
      </c>
      <c r="Q111" s="5" t="e">
        <f>IF(AND(#REF!&gt;=table!$C$6,#REF!&lt;= table!$D$6),-1,IF(AND(#REF!&gt;=table!$E$6,#REF!&lt;=table!$F$6),1,0))</f>
        <v>#REF!</v>
      </c>
      <c r="R111" s="5" t="e">
        <f>IF(AND(#REF!&gt;=table!$C$7,#REF!&lt;= table!$D$7),-1,IF(AND(#REF!&gt;=table!$E$7,#REF!&lt;=table!$F$7),1,0))</f>
        <v>#REF!</v>
      </c>
      <c r="S111" s="5" t="e">
        <f>IF(AND(#REF!&gt;=table!$C$8,#REF!&lt;= table!$D$8),-1,IF(AND(#REF!&gt;=table!$E$8,#REF!&lt;=table!$F$8),1,0))</f>
        <v>#REF!</v>
      </c>
      <c r="T111" s="5"/>
      <c r="U111" s="5" t="e">
        <f>IF(AND(#REF!&gt;=table!$C$10,#REF!&lt;= table!$D$10),-1,IF(AND(#REF!&gt;=table!$E$10,#REF!&lt;=table!$F$10),1,0))</f>
        <v>#REF!</v>
      </c>
      <c r="V111" s="5" t="e">
        <f>IF(AND(#REF!&gt;=table!$C$11,#REF!&lt;= table!$D$11),-1,IF(AND(#REF!&gt;=table!$E$11,#REF!&lt;=table!$F$11),1,0))</f>
        <v>#REF!</v>
      </c>
      <c r="W111" s="5" t="e">
        <f>CONCATENATE(dados[[#This Row],[fator1]],dados[[#This Row],[fator5]],dados[[#This Row],[fator6]])</f>
        <v>#REF!</v>
      </c>
    </row>
    <row r="112" spans="1:23">
      <c r="A112" t="s">
        <v>16</v>
      </c>
      <c r="B112">
        <v>481086</v>
      </c>
      <c r="C112">
        <v>0.15</v>
      </c>
      <c r="D112">
        <v>35</v>
      </c>
      <c r="E112">
        <v>15</v>
      </c>
      <c r="F112">
        <v>10</v>
      </c>
      <c r="G112">
        <v>0</v>
      </c>
      <c r="H112">
        <v>12</v>
      </c>
      <c r="I112">
        <v>780</v>
      </c>
      <c r="J112">
        <v>0</v>
      </c>
      <c r="K112">
        <v>4.04</v>
      </c>
      <c r="L112">
        <v>13.15</v>
      </c>
      <c r="M112">
        <v>11.25</v>
      </c>
      <c r="N112">
        <v>13.450000000000001</v>
      </c>
      <c r="O112">
        <v>1716</v>
      </c>
      <c r="P112">
        <v>0</v>
      </c>
      <c r="Q112" s="5" t="e">
        <f>IF(AND(#REF!&gt;=table!$C$6,#REF!&lt;= table!$D$6),-1,IF(AND(#REF!&gt;=table!$E$6,#REF!&lt;=table!$F$6),1,0))</f>
        <v>#REF!</v>
      </c>
      <c r="R112" s="5" t="e">
        <f>IF(AND(#REF!&gt;=table!$C$7,#REF!&lt;= table!$D$7),-1,IF(AND(#REF!&gt;=table!$E$7,#REF!&lt;=table!$F$7),1,0))</f>
        <v>#REF!</v>
      </c>
      <c r="S112" s="5" t="e">
        <f>IF(AND(#REF!&gt;=table!$C$8,#REF!&lt;= table!$D$8),-1,IF(AND(#REF!&gt;=table!$E$8,#REF!&lt;=table!$F$8),1,0))</f>
        <v>#REF!</v>
      </c>
      <c r="T112" s="5"/>
      <c r="U112" s="5" t="e">
        <f>IF(AND(#REF!&gt;=table!$C$10,#REF!&lt;= table!$D$10),-1,IF(AND(#REF!&gt;=table!$E$10,#REF!&lt;=table!$F$10),1,0))</f>
        <v>#REF!</v>
      </c>
      <c r="V112" s="5" t="e">
        <f>IF(AND(#REF!&gt;=table!$C$11,#REF!&lt;= table!$D$11),-1,IF(AND(#REF!&gt;=table!$E$11,#REF!&lt;=table!$F$11),1,0))</f>
        <v>#REF!</v>
      </c>
      <c r="W112" s="5" t="e">
        <f>CONCATENATE(dados[[#This Row],[fator1]],dados[[#This Row],[fator5]],dados[[#This Row],[fator6]])</f>
        <v>#REF!</v>
      </c>
    </row>
    <row r="113" spans="1:23">
      <c r="A113" t="s">
        <v>16</v>
      </c>
      <c r="B113">
        <v>481090</v>
      </c>
      <c r="C113">
        <v>0.15</v>
      </c>
      <c r="D113">
        <v>35</v>
      </c>
      <c r="E113">
        <v>15</v>
      </c>
      <c r="F113">
        <v>10</v>
      </c>
      <c r="G113">
        <v>0</v>
      </c>
      <c r="H113">
        <v>12</v>
      </c>
      <c r="I113">
        <v>1071</v>
      </c>
      <c r="J113">
        <v>0</v>
      </c>
      <c r="K113">
        <v>4.13</v>
      </c>
      <c r="L113">
        <v>11.05</v>
      </c>
      <c r="M113">
        <v>9.0500000000000007</v>
      </c>
      <c r="N113">
        <v>11.3</v>
      </c>
      <c r="O113">
        <v>1674</v>
      </c>
      <c r="P113">
        <v>0</v>
      </c>
      <c r="Q113" s="5" t="e">
        <f>IF(AND(#REF!&gt;=table!$C$6,#REF!&lt;= table!$D$6),-1,IF(AND(#REF!&gt;=table!$E$6,#REF!&lt;=table!$F$6),1,0))</f>
        <v>#REF!</v>
      </c>
      <c r="R113" s="5" t="e">
        <f>IF(AND(#REF!&gt;=table!$C$7,#REF!&lt;= table!$D$7),-1,IF(AND(#REF!&gt;=table!$E$7,#REF!&lt;=table!$F$7),1,0))</f>
        <v>#REF!</v>
      </c>
      <c r="S113" s="5" t="e">
        <f>IF(AND(#REF!&gt;=table!$C$8,#REF!&lt;= table!$D$8),-1,IF(AND(#REF!&gt;=table!$E$8,#REF!&lt;=table!$F$8),1,0))</f>
        <v>#REF!</v>
      </c>
      <c r="T113" s="5"/>
      <c r="U113" s="5" t="e">
        <f>IF(AND(#REF!&gt;=table!$C$10,#REF!&lt;= table!$D$10),-1,IF(AND(#REF!&gt;=table!$E$10,#REF!&lt;=table!$F$10),1,0))</f>
        <v>#REF!</v>
      </c>
      <c r="V113" s="5" t="e">
        <f>IF(AND(#REF!&gt;=table!$C$11,#REF!&lt;= table!$D$11),-1,IF(AND(#REF!&gt;=table!$E$11,#REF!&lt;=table!$F$11),1,0))</f>
        <v>#REF!</v>
      </c>
      <c r="W113" s="5" t="e">
        <f>CONCATENATE(dados[[#This Row],[fator1]],dados[[#This Row],[fator5]],dados[[#This Row],[fator6]])</f>
        <v>#REF!</v>
      </c>
    </row>
    <row r="114" spans="1:23">
      <c r="A114" t="s">
        <v>16</v>
      </c>
      <c r="B114">
        <v>481091</v>
      </c>
      <c r="C114">
        <v>0.15</v>
      </c>
      <c r="D114">
        <v>35</v>
      </c>
      <c r="E114">
        <v>15</v>
      </c>
      <c r="F114">
        <v>10</v>
      </c>
      <c r="G114">
        <v>0</v>
      </c>
      <c r="H114">
        <v>12</v>
      </c>
      <c r="I114">
        <v>1171</v>
      </c>
      <c r="J114">
        <v>0</v>
      </c>
      <c r="K114">
        <v>3.98</v>
      </c>
      <c r="L114">
        <v>5.8</v>
      </c>
      <c r="M114">
        <v>5.65</v>
      </c>
      <c r="N114">
        <v>6.3</v>
      </c>
      <c r="O114">
        <v>1680</v>
      </c>
      <c r="P114">
        <v>0</v>
      </c>
      <c r="Q114" s="5" t="e">
        <f>IF(AND(#REF!&gt;=table!$C$6,#REF!&lt;= table!$D$6),-1,IF(AND(#REF!&gt;=table!$E$6,#REF!&lt;=table!$F$6),1,0))</f>
        <v>#REF!</v>
      </c>
      <c r="R114" s="5" t="e">
        <f>IF(AND(#REF!&gt;=table!$C$7,#REF!&lt;= table!$D$7),-1,IF(AND(#REF!&gt;=table!$E$7,#REF!&lt;=table!$F$7),1,0))</f>
        <v>#REF!</v>
      </c>
      <c r="S114" s="5" t="e">
        <f>IF(AND(#REF!&gt;=table!$C$8,#REF!&lt;= table!$D$8),-1,IF(AND(#REF!&gt;=table!$E$8,#REF!&lt;=table!$F$8),1,0))</f>
        <v>#REF!</v>
      </c>
      <c r="T114" s="5"/>
      <c r="U114" s="5" t="e">
        <f>IF(AND(#REF!&gt;=table!$C$10,#REF!&lt;= table!$D$10),-1,IF(AND(#REF!&gt;=table!$E$10,#REF!&lt;=table!$F$10),1,0))</f>
        <v>#REF!</v>
      </c>
      <c r="V114" s="5" t="e">
        <f>IF(AND(#REF!&gt;=table!$C$11,#REF!&lt;= table!$D$11),-1,IF(AND(#REF!&gt;=table!$E$11,#REF!&lt;=table!$F$11),1,0))</f>
        <v>#REF!</v>
      </c>
      <c r="W114" s="5" t="e">
        <f>CONCATENATE(dados[[#This Row],[fator1]],dados[[#This Row],[fator5]],dados[[#This Row],[fator6]])</f>
        <v>#REF!</v>
      </c>
    </row>
    <row r="115" spans="1:23">
      <c r="A115" t="s">
        <v>16</v>
      </c>
      <c r="B115">
        <v>481092</v>
      </c>
      <c r="C115">
        <v>0.15</v>
      </c>
      <c r="D115">
        <v>35</v>
      </c>
      <c r="E115">
        <v>15</v>
      </c>
      <c r="F115">
        <v>10</v>
      </c>
      <c r="G115">
        <v>0</v>
      </c>
      <c r="H115">
        <v>12</v>
      </c>
      <c r="I115">
        <v>502</v>
      </c>
      <c r="J115">
        <v>640</v>
      </c>
      <c r="K115">
        <v>3.23</v>
      </c>
      <c r="L115">
        <v>13.65</v>
      </c>
      <c r="M115">
        <v>7.95</v>
      </c>
      <c r="N115">
        <v>12.35</v>
      </c>
      <c r="O115">
        <v>1712</v>
      </c>
      <c r="P115">
        <v>0</v>
      </c>
      <c r="Q115" s="5" t="e">
        <f>IF(AND(#REF!&gt;=table!$C$6,#REF!&lt;= table!$D$6),-1,IF(AND(#REF!&gt;=table!$E$6,#REF!&lt;=table!$F$6),1,0))</f>
        <v>#REF!</v>
      </c>
      <c r="R115" s="5" t="e">
        <f>IF(AND(#REF!&gt;=table!$C$7,#REF!&lt;= table!$D$7),-1,IF(AND(#REF!&gt;=table!$E$7,#REF!&lt;=table!$F$7),1,0))</f>
        <v>#REF!</v>
      </c>
      <c r="S115" s="5" t="e">
        <f>IF(AND(#REF!&gt;=table!$C$8,#REF!&lt;= table!$D$8),-1,IF(AND(#REF!&gt;=table!$E$8,#REF!&lt;=table!$F$8),1,0))</f>
        <v>#REF!</v>
      </c>
      <c r="T115" s="5"/>
      <c r="U115" s="5" t="e">
        <f>IF(AND(#REF!&gt;=table!$C$10,#REF!&lt;= table!$D$10),-1,IF(AND(#REF!&gt;=table!$E$10,#REF!&lt;=table!$F$10),1,0))</f>
        <v>#REF!</v>
      </c>
      <c r="V115" s="5" t="e">
        <f>IF(AND(#REF!&gt;=table!$C$11,#REF!&lt;= table!$D$11),-1,IF(AND(#REF!&gt;=table!$E$11,#REF!&lt;=table!$F$11),1,0))</f>
        <v>#REF!</v>
      </c>
      <c r="W115" s="5" t="e">
        <f>CONCATENATE(dados[[#This Row],[fator1]],dados[[#This Row],[fator5]],dados[[#This Row],[fator6]])</f>
        <v>#REF!</v>
      </c>
    </row>
    <row r="116" spans="1:23">
      <c r="A116" t="s">
        <v>16</v>
      </c>
      <c r="B116">
        <v>481093</v>
      </c>
      <c r="C116">
        <v>0.15</v>
      </c>
      <c r="D116">
        <v>35</v>
      </c>
      <c r="E116">
        <v>15</v>
      </c>
      <c r="F116">
        <v>10</v>
      </c>
      <c r="G116">
        <v>0</v>
      </c>
      <c r="H116">
        <v>12</v>
      </c>
      <c r="I116">
        <v>1113</v>
      </c>
      <c r="J116">
        <v>0</v>
      </c>
      <c r="K116">
        <v>3.79</v>
      </c>
      <c r="L116">
        <v>8.5</v>
      </c>
      <c r="M116">
        <v>8.7000000000000011</v>
      </c>
      <c r="N116">
        <v>8.15</v>
      </c>
      <c r="O116">
        <v>1673</v>
      </c>
      <c r="P116">
        <v>0</v>
      </c>
      <c r="Q116" s="5" t="e">
        <f>IF(AND(#REF!&gt;=table!$C$6,#REF!&lt;= table!$D$6),-1,IF(AND(#REF!&gt;=table!$E$6,#REF!&lt;=table!$F$6),1,0))</f>
        <v>#REF!</v>
      </c>
      <c r="R116" s="5" t="e">
        <f>IF(AND(#REF!&gt;=table!$C$7,#REF!&lt;= table!$D$7),-1,IF(AND(#REF!&gt;=table!$E$7,#REF!&lt;=table!$F$7),1,0))</f>
        <v>#REF!</v>
      </c>
      <c r="S116" s="5" t="e">
        <f>IF(AND(#REF!&gt;=table!$C$8,#REF!&lt;= table!$D$8),-1,IF(AND(#REF!&gt;=table!$E$8,#REF!&lt;=table!$F$8),1,0))</f>
        <v>#REF!</v>
      </c>
      <c r="T116" s="5"/>
      <c r="U116" s="5" t="e">
        <f>IF(AND(#REF!&gt;=table!$C$10,#REF!&lt;= table!$D$10),-1,IF(AND(#REF!&gt;=table!$E$10,#REF!&lt;=table!$F$10),1,0))</f>
        <v>#REF!</v>
      </c>
      <c r="V116" s="5" t="e">
        <f>IF(AND(#REF!&gt;=table!$C$11,#REF!&lt;= table!$D$11),-1,IF(AND(#REF!&gt;=table!$E$11,#REF!&lt;=table!$F$11),1,0))</f>
        <v>#REF!</v>
      </c>
      <c r="W116" s="5" t="e">
        <f>CONCATENATE(dados[[#This Row],[fator1]],dados[[#This Row],[fator5]],dados[[#This Row],[fator6]])</f>
        <v>#REF!</v>
      </c>
    </row>
    <row r="117" spans="1:23">
      <c r="A117" t="s">
        <v>16</v>
      </c>
      <c r="B117">
        <v>481094</v>
      </c>
      <c r="C117">
        <v>0.15</v>
      </c>
      <c r="D117">
        <v>35</v>
      </c>
      <c r="E117">
        <v>15</v>
      </c>
      <c r="F117">
        <v>10</v>
      </c>
      <c r="G117">
        <v>0</v>
      </c>
      <c r="H117">
        <v>12</v>
      </c>
      <c r="I117">
        <v>305</v>
      </c>
      <c r="J117">
        <v>830</v>
      </c>
      <c r="K117">
        <v>3.25</v>
      </c>
      <c r="L117">
        <v>14.950000000000001</v>
      </c>
      <c r="M117">
        <v>9.7000000000000011</v>
      </c>
      <c r="N117">
        <v>16.149999999999999</v>
      </c>
      <c r="O117">
        <v>1658</v>
      </c>
      <c r="P117">
        <v>0</v>
      </c>
      <c r="Q117" s="5" t="e">
        <f>IF(AND(#REF!&gt;=table!$C$6,#REF!&lt;= table!$D$6),-1,IF(AND(#REF!&gt;=table!$E$6,#REF!&lt;=table!$F$6),1,0))</f>
        <v>#REF!</v>
      </c>
      <c r="R117" s="5" t="e">
        <f>IF(AND(#REF!&gt;=table!$C$7,#REF!&lt;= table!$D$7),-1,IF(AND(#REF!&gt;=table!$E$7,#REF!&lt;=table!$F$7),1,0))</f>
        <v>#REF!</v>
      </c>
      <c r="S117" s="5" t="e">
        <f>IF(AND(#REF!&gt;=table!$C$8,#REF!&lt;= table!$D$8),-1,IF(AND(#REF!&gt;=table!$E$8,#REF!&lt;=table!$F$8),1,0))</f>
        <v>#REF!</v>
      </c>
      <c r="T117" s="5"/>
      <c r="U117" s="5" t="e">
        <f>IF(AND(#REF!&gt;=table!$C$10,#REF!&lt;= table!$D$10),-1,IF(AND(#REF!&gt;=table!$E$10,#REF!&lt;=table!$F$10),1,0))</f>
        <v>#REF!</v>
      </c>
      <c r="V117" s="5" t="e">
        <f>IF(AND(#REF!&gt;=table!$C$11,#REF!&lt;= table!$D$11),-1,IF(AND(#REF!&gt;=table!$E$11,#REF!&lt;=table!$F$11),1,0))</f>
        <v>#REF!</v>
      </c>
      <c r="W117" s="5" t="e">
        <f>CONCATENATE(dados[[#This Row],[fator1]],dados[[#This Row],[fator5]],dados[[#This Row],[fator6]])</f>
        <v>#REF!</v>
      </c>
    </row>
    <row r="118" spans="1:23">
      <c r="A118" t="s">
        <v>16</v>
      </c>
      <c r="B118">
        <v>481095</v>
      </c>
      <c r="C118">
        <v>0.15</v>
      </c>
      <c r="D118">
        <v>35</v>
      </c>
      <c r="E118">
        <v>15</v>
      </c>
      <c r="F118">
        <v>10</v>
      </c>
      <c r="G118">
        <v>0</v>
      </c>
      <c r="H118">
        <v>12</v>
      </c>
      <c r="I118">
        <v>16</v>
      </c>
      <c r="J118">
        <v>0</v>
      </c>
      <c r="K118">
        <v>3.855</v>
      </c>
      <c r="L118">
        <v>13.05</v>
      </c>
      <c r="M118">
        <v>11.85</v>
      </c>
      <c r="N118">
        <v>11.65</v>
      </c>
      <c r="O118">
        <v>1683</v>
      </c>
      <c r="P118">
        <v>0</v>
      </c>
      <c r="Q118" s="5" t="e">
        <f>IF(AND(#REF!&gt;=table!$C$6,#REF!&lt;= table!$D$6),-1,IF(AND(#REF!&gt;=table!$E$6,#REF!&lt;=table!$F$6),1,0))</f>
        <v>#REF!</v>
      </c>
      <c r="R118" s="5" t="e">
        <f>IF(AND(#REF!&gt;=table!$C$7,#REF!&lt;= table!$D$7),-1,IF(AND(#REF!&gt;=table!$E$7,#REF!&lt;=table!$F$7),1,0))</f>
        <v>#REF!</v>
      </c>
      <c r="S118" s="5" t="e">
        <f>IF(AND(#REF!&gt;=table!$C$8,#REF!&lt;= table!$D$8),-1,IF(AND(#REF!&gt;=table!$E$8,#REF!&lt;=table!$F$8),1,0))</f>
        <v>#REF!</v>
      </c>
      <c r="T118" s="5"/>
      <c r="U118" s="5" t="e">
        <f>IF(AND(#REF!&gt;=table!$C$10,#REF!&lt;= table!$D$10),-1,IF(AND(#REF!&gt;=table!$E$10,#REF!&lt;=table!$F$10),1,0))</f>
        <v>#REF!</v>
      </c>
      <c r="V118" s="5" t="e">
        <f>IF(AND(#REF!&gt;=table!$C$11,#REF!&lt;= table!$D$11),-1,IF(AND(#REF!&gt;=table!$E$11,#REF!&lt;=table!$F$11),1,0))</f>
        <v>#REF!</v>
      </c>
      <c r="W118" s="5" t="e">
        <f>CONCATENATE(dados[[#This Row],[fator1]],dados[[#This Row],[fator5]],dados[[#This Row],[fator6]])</f>
        <v>#REF!</v>
      </c>
    </row>
    <row r="119" spans="1:23">
      <c r="A119" t="s">
        <v>16</v>
      </c>
      <c r="B119">
        <v>481099</v>
      </c>
      <c r="C119">
        <v>9</v>
      </c>
      <c r="D119">
        <v>30</v>
      </c>
      <c r="E119">
        <v>150</v>
      </c>
      <c r="F119">
        <v>4</v>
      </c>
      <c r="G119">
        <v>0</v>
      </c>
      <c r="H119">
        <v>25</v>
      </c>
      <c r="I119">
        <v>1645</v>
      </c>
      <c r="J119">
        <v>0</v>
      </c>
      <c r="K119">
        <v>2.2400000000000002</v>
      </c>
      <c r="L119">
        <v>21.8</v>
      </c>
      <c r="M119">
        <v>126.5</v>
      </c>
      <c r="N119">
        <v>12.950000000000001</v>
      </c>
      <c r="O119">
        <v>1707</v>
      </c>
      <c r="P119">
        <v>0</v>
      </c>
      <c r="Q119" s="5" t="e">
        <f>IF(AND(#REF!&gt;=table!$C$6,#REF!&lt;= table!$D$6),-1,IF(AND(#REF!&gt;=table!$E$6,#REF!&lt;=table!$F$6),1,0))</f>
        <v>#REF!</v>
      </c>
      <c r="R119" s="5" t="e">
        <f>IF(AND(#REF!&gt;=table!$C$7,#REF!&lt;= table!$D$7),-1,IF(AND(#REF!&gt;=table!$E$7,#REF!&lt;=table!$F$7),1,0))</f>
        <v>#REF!</v>
      </c>
      <c r="S119" s="5" t="e">
        <f>IF(AND(#REF!&gt;=table!$C$8,#REF!&lt;= table!$D$8),-1,IF(AND(#REF!&gt;=table!$E$8,#REF!&lt;=table!$F$8),1,0))</f>
        <v>#REF!</v>
      </c>
      <c r="T119" s="5"/>
      <c r="U119" s="5" t="e">
        <f>IF(AND(#REF!&gt;=table!$C$10,#REF!&lt;= table!$D$10),-1,IF(AND(#REF!&gt;=table!$E$10,#REF!&lt;=table!$F$10),1,0))</f>
        <v>#REF!</v>
      </c>
      <c r="V119" s="5" t="e">
        <f>IF(AND(#REF!&gt;=table!$C$11,#REF!&lt;= table!$D$11),-1,IF(AND(#REF!&gt;=table!$E$11,#REF!&lt;=table!$F$11),1,0))</f>
        <v>#REF!</v>
      </c>
      <c r="W119" s="5" t="e">
        <f>CONCATENATE(dados[[#This Row],[fator1]],dados[[#This Row],[fator5]],dados[[#This Row],[fator6]])</f>
        <v>#REF!</v>
      </c>
    </row>
    <row r="120" spans="1:23">
      <c r="A120" t="s">
        <v>16</v>
      </c>
      <c r="B120">
        <v>481100</v>
      </c>
      <c r="C120">
        <v>9</v>
      </c>
      <c r="D120">
        <v>30</v>
      </c>
      <c r="E120">
        <v>146</v>
      </c>
      <c r="F120">
        <v>4</v>
      </c>
      <c r="G120">
        <v>0</v>
      </c>
      <c r="H120">
        <v>25</v>
      </c>
      <c r="I120">
        <v>696</v>
      </c>
      <c r="J120">
        <v>0</v>
      </c>
      <c r="K120">
        <v>2.6150000000000002</v>
      </c>
      <c r="L120">
        <v>19.650000000000002</v>
      </c>
      <c r="M120">
        <v>127.65</v>
      </c>
      <c r="N120">
        <v>10.700000000000001</v>
      </c>
      <c r="O120">
        <v>1686</v>
      </c>
      <c r="P120">
        <v>0</v>
      </c>
      <c r="Q120" s="5" t="e">
        <f>IF(AND(#REF!&gt;=table!$C$6,#REF!&lt;= table!$D$6),-1,IF(AND(#REF!&gt;=table!$E$6,#REF!&lt;=table!$F$6),1,0))</f>
        <v>#REF!</v>
      </c>
      <c r="R120" s="5" t="e">
        <f>IF(AND(#REF!&gt;=table!$C$7,#REF!&lt;= table!$D$7),-1,IF(AND(#REF!&gt;=table!$E$7,#REF!&lt;=table!$F$7),1,0))</f>
        <v>#REF!</v>
      </c>
      <c r="S120" s="5" t="e">
        <f>IF(AND(#REF!&gt;=table!$C$8,#REF!&lt;= table!$D$8),-1,IF(AND(#REF!&gt;=table!$E$8,#REF!&lt;=table!$F$8),1,0))</f>
        <v>#REF!</v>
      </c>
      <c r="T120" s="5"/>
      <c r="U120" s="5" t="e">
        <f>IF(AND(#REF!&gt;=table!$C$10,#REF!&lt;= table!$D$10),-1,IF(AND(#REF!&gt;=table!$E$10,#REF!&lt;=table!$F$10),1,0))</f>
        <v>#REF!</v>
      </c>
      <c r="V120" s="5" t="e">
        <f>IF(AND(#REF!&gt;=table!$C$11,#REF!&lt;= table!$D$11),-1,IF(AND(#REF!&gt;=table!$E$11,#REF!&lt;=table!$F$11),1,0))</f>
        <v>#REF!</v>
      </c>
      <c r="W120" s="5" t="e">
        <f>CONCATENATE(dados[[#This Row],[fator1]],dados[[#This Row],[fator5]],dados[[#This Row],[fator6]])</f>
        <v>#REF!</v>
      </c>
    </row>
    <row r="121" spans="1:23">
      <c r="A121" t="s">
        <v>16</v>
      </c>
      <c r="B121">
        <v>481101</v>
      </c>
      <c r="C121">
        <v>16</v>
      </c>
      <c r="D121">
        <v>30</v>
      </c>
      <c r="E121">
        <v>56</v>
      </c>
      <c r="F121">
        <v>3</v>
      </c>
      <c r="G121">
        <v>0</v>
      </c>
      <c r="H121">
        <v>25</v>
      </c>
      <c r="I121">
        <v>772</v>
      </c>
      <c r="J121">
        <v>0</v>
      </c>
      <c r="K121">
        <v>3.105</v>
      </c>
      <c r="L121">
        <v>16.850000000000001</v>
      </c>
      <c r="M121">
        <v>55.800000000000004</v>
      </c>
      <c r="N121">
        <v>10.8</v>
      </c>
      <c r="O121">
        <v>1720</v>
      </c>
      <c r="P121">
        <v>0</v>
      </c>
      <c r="Q121" s="5" t="e">
        <f>IF(AND(#REF!&gt;=table!$C$6,#REF!&lt;= table!$D$6),-1,IF(AND(#REF!&gt;=table!$E$6,#REF!&lt;=table!$F$6),1,0))</f>
        <v>#REF!</v>
      </c>
      <c r="R121" s="5" t="e">
        <f>IF(AND(#REF!&gt;=table!$C$7,#REF!&lt;= table!$D$7),-1,IF(AND(#REF!&gt;=table!$E$7,#REF!&lt;=table!$F$7),1,0))</f>
        <v>#REF!</v>
      </c>
      <c r="S121" s="5" t="e">
        <f>IF(AND(#REF!&gt;=table!$C$8,#REF!&lt;= table!$D$8),-1,IF(AND(#REF!&gt;=table!$E$8,#REF!&lt;=table!$F$8),1,0))</f>
        <v>#REF!</v>
      </c>
      <c r="T121" s="5"/>
      <c r="U121" s="5" t="e">
        <f>IF(AND(#REF!&gt;=table!$C$10,#REF!&lt;= table!$D$10),-1,IF(AND(#REF!&gt;=table!$E$10,#REF!&lt;=table!$F$10),1,0))</f>
        <v>#REF!</v>
      </c>
      <c r="V121" s="5" t="e">
        <f>IF(AND(#REF!&gt;=table!$C$11,#REF!&lt;= table!$D$11),-1,IF(AND(#REF!&gt;=table!$E$11,#REF!&lt;=table!$F$11),1,0))</f>
        <v>#REF!</v>
      </c>
      <c r="W121" s="5" t="e">
        <f>CONCATENATE(dados[[#This Row],[fator1]],dados[[#This Row],[fator5]],dados[[#This Row],[fator6]])</f>
        <v>#REF!</v>
      </c>
    </row>
    <row r="122" spans="1:23">
      <c r="A122" t="s">
        <v>16</v>
      </c>
      <c r="B122">
        <v>481102</v>
      </c>
      <c r="C122">
        <v>16</v>
      </c>
      <c r="D122">
        <v>30</v>
      </c>
      <c r="E122">
        <v>36</v>
      </c>
      <c r="F122">
        <v>3</v>
      </c>
      <c r="G122">
        <v>0</v>
      </c>
      <c r="H122">
        <v>25</v>
      </c>
      <c r="I122">
        <v>40</v>
      </c>
      <c r="J122">
        <v>0</v>
      </c>
      <c r="K122">
        <v>6.7549999999999999</v>
      </c>
      <c r="L122">
        <v>14.4</v>
      </c>
      <c r="M122">
        <v>10.495000000000001</v>
      </c>
      <c r="N122">
        <v>5.8850000000000007</v>
      </c>
      <c r="O122">
        <v>1656</v>
      </c>
      <c r="P122">
        <v>0</v>
      </c>
      <c r="Q122" s="5" t="e">
        <f>IF(AND(#REF!&gt;=table!$C$6,#REF!&lt;= table!$D$6),-1,IF(AND(#REF!&gt;=table!$E$6,#REF!&lt;=table!$F$6),1,0))</f>
        <v>#REF!</v>
      </c>
      <c r="R122" s="5" t="e">
        <f>IF(AND(#REF!&gt;=table!$C$7,#REF!&lt;= table!$D$7),-1,IF(AND(#REF!&gt;=table!$E$7,#REF!&lt;=table!$F$7),1,0))</f>
        <v>#REF!</v>
      </c>
      <c r="S122" s="5" t="e">
        <f>IF(AND(#REF!&gt;=table!$C$8,#REF!&lt;= table!$D$8),-1,IF(AND(#REF!&gt;=table!$E$8,#REF!&lt;=table!$F$8),1,0))</f>
        <v>#REF!</v>
      </c>
      <c r="T122" s="5"/>
      <c r="U122" s="5" t="e">
        <f>IF(AND(#REF!&gt;=table!$C$10,#REF!&lt;= table!$D$10),-1,IF(AND(#REF!&gt;=table!$E$10,#REF!&lt;=table!$F$10),1,0))</f>
        <v>#REF!</v>
      </c>
      <c r="V122" s="5" t="e">
        <f>IF(AND(#REF!&gt;=table!$C$11,#REF!&lt;= table!$D$11),-1,IF(AND(#REF!&gt;=table!$E$11,#REF!&lt;=table!$F$11),1,0))</f>
        <v>#REF!</v>
      </c>
      <c r="W122" s="5" t="e">
        <f>CONCATENATE(dados[[#This Row],[fator1]],dados[[#This Row],[fator5]],dados[[#This Row],[fator6]])</f>
        <v>#REF!</v>
      </c>
    </row>
    <row r="123" spans="1:23">
      <c r="A123" t="s">
        <v>16</v>
      </c>
      <c r="B123">
        <v>481103</v>
      </c>
      <c r="C123">
        <v>16</v>
      </c>
      <c r="D123">
        <v>35</v>
      </c>
      <c r="E123">
        <v>40</v>
      </c>
      <c r="F123">
        <v>10</v>
      </c>
      <c r="G123">
        <v>0</v>
      </c>
      <c r="H123">
        <v>25</v>
      </c>
      <c r="I123">
        <v>8</v>
      </c>
      <c r="J123">
        <v>0</v>
      </c>
      <c r="K123">
        <v>5.165</v>
      </c>
      <c r="L123">
        <v>13.96</v>
      </c>
      <c r="M123">
        <v>30.53</v>
      </c>
      <c r="N123">
        <v>10.525</v>
      </c>
      <c r="O123">
        <v>1677</v>
      </c>
      <c r="P123">
        <v>0</v>
      </c>
      <c r="Q123" s="5" t="e">
        <f>IF(AND(#REF!&gt;=table!$C$6,#REF!&lt;= table!$D$6),-1,IF(AND(#REF!&gt;=table!$E$6,#REF!&lt;=table!$F$6),1,0))</f>
        <v>#REF!</v>
      </c>
      <c r="R123" s="5" t="e">
        <f>IF(AND(#REF!&gt;=table!$C$7,#REF!&lt;= table!$D$7),-1,IF(AND(#REF!&gt;=table!$E$7,#REF!&lt;=table!$F$7),1,0))</f>
        <v>#REF!</v>
      </c>
      <c r="S123" s="5" t="e">
        <f>IF(AND(#REF!&gt;=table!$C$8,#REF!&lt;= table!$D$8),-1,IF(AND(#REF!&gt;=table!$E$8,#REF!&lt;=table!$F$8),1,0))</f>
        <v>#REF!</v>
      </c>
      <c r="T123" s="5"/>
      <c r="U123" s="5" t="e">
        <f>IF(AND(#REF!&gt;=table!$C$10,#REF!&lt;= table!$D$10),-1,IF(AND(#REF!&gt;=table!$E$10,#REF!&lt;=table!$F$10),1,0))</f>
        <v>#REF!</v>
      </c>
      <c r="V123" s="5" t="e">
        <f>IF(AND(#REF!&gt;=table!$C$11,#REF!&lt;= table!$D$11),-1,IF(AND(#REF!&gt;=table!$E$11,#REF!&lt;=table!$F$11),1,0))</f>
        <v>#REF!</v>
      </c>
      <c r="W123" s="5" t="e">
        <f>CONCATENATE(dados[[#This Row],[fator1]],dados[[#This Row],[fator5]],dados[[#This Row],[fator6]])</f>
        <v>#REF!</v>
      </c>
    </row>
    <row r="124" spans="1:23">
      <c r="A124" t="s">
        <v>17</v>
      </c>
      <c r="B124">
        <v>481107</v>
      </c>
      <c r="C124">
        <v>9</v>
      </c>
      <c r="D124">
        <v>30</v>
      </c>
      <c r="E124">
        <v>160</v>
      </c>
      <c r="F124">
        <v>3</v>
      </c>
      <c r="G124">
        <v>30</v>
      </c>
      <c r="H124">
        <v>18</v>
      </c>
      <c r="I124">
        <v>847</v>
      </c>
      <c r="J124">
        <v>0</v>
      </c>
      <c r="K124">
        <v>3.0550000000000002</v>
      </c>
      <c r="L124">
        <v>7.75</v>
      </c>
      <c r="M124">
        <v>147.45000000000002</v>
      </c>
      <c r="N124">
        <v>7.65</v>
      </c>
      <c r="O124">
        <v>1681</v>
      </c>
      <c r="P124">
        <v>0</v>
      </c>
      <c r="Q124" s="5" t="e">
        <f>IF(AND(#REF!&gt;=table!$C$6,#REF!&lt;= table!$D$6),-1,IF(AND(#REF!&gt;=table!$E$6,#REF!&lt;=table!$F$6),1,0))</f>
        <v>#REF!</v>
      </c>
      <c r="R124" s="5" t="e">
        <f>IF(AND(#REF!&gt;=table!$C$7,#REF!&lt;= table!$D$7),-1,IF(AND(#REF!&gt;=table!$E$7,#REF!&lt;=table!$F$7),1,0))</f>
        <v>#REF!</v>
      </c>
      <c r="S124" s="5" t="e">
        <f>IF(AND(#REF!&gt;=table!$C$8,#REF!&lt;= table!$D$8),-1,IF(AND(#REF!&gt;=table!$E$8,#REF!&lt;=table!$F$8),1,0))</f>
        <v>#REF!</v>
      </c>
      <c r="T124" s="5"/>
      <c r="U124" s="5" t="e">
        <f>IF(AND(#REF!&gt;=table!$C$10,#REF!&lt;= table!$D$10),-1,IF(AND(#REF!&gt;=table!$E$10,#REF!&lt;=table!$F$10),1,0))</f>
        <v>#REF!</v>
      </c>
      <c r="V124" s="5" t="e">
        <f>IF(AND(#REF!&gt;=table!$C$11,#REF!&lt;= table!$D$11),-1,IF(AND(#REF!&gt;=table!$E$11,#REF!&lt;=table!$F$11),1,0))</f>
        <v>#REF!</v>
      </c>
      <c r="W124" s="5" t="e">
        <f>CONCATENATE(dados[[#This Row],[fator1]],dados[[#This Row],[fator5]],dados[[#This Row],[fator6]])</f>
        <v>#REF!</v>
      </c>
    </row>
    <row r="125" spans="1:23">
      <c r="A125" t="s">
        <v>17</v>
      </c>
      <c r="B125">
        <v>481108</v>
      </c>
      <c r="C125">
        <v>9</v>
      </c>
      <c r="D125">
        <v>30</v>
      </c>
      <c r="E125">
        <v>160</v>
      </c>
      <c r="F125">
        <v>3</v>
      </c>
      <c r="G125">
        <v>30</v>
      </c>
      <c r="H125">
        <v>18</v>
      </c>
      <c r="I125">
        <v>332</v>
      </c>
      <c r="J125">
        <v>0</v>
      </c>
      <c r="K125">
        <v>6.5049999999999999</v>
      </c>
      <c r="L125">
        <v>11.25</v>
      </c>
      <c r="M125">
        <v>151.6</v>
      </c>
      <c r="N125">
        <v>9.8000000000000007</v>
      </c>
      <c r="O125">
        <v>1679</v>
      </c>
      <c r="P125">
        <v>0</v>
      </c>
      <c r="Q125" s="5" t="e">
        <f>IF(AND(#REF!&gt;=table!$C$6,#REF!&lt;= table!$D$6),-1,IF(AND(#REF!&gt;=table!$E$6,#REF!&lt;=table!$F$6),1,0))</f>
        <v>#REF!</v>
      </c>
      <c r="R125" s="5" t="e">
        <f>IF(AND(#REF!&gt;=table!$C$7,#REF!&lt;= table!$D$7),-1,IF(AND(#REF!&gt;=table!$E$7,#REF!&lt;=table!$F$7),1,0))</f>
        <v>#REF!</v>
      </c>
      <c r="S125" s="5" t="e">
        <f>IF(AND(#REF!&gt;=table!$C$8,#REF!&lt;= table!$D$8),-1,IF(AND(#REF!&gt;=table!$E$8,#REF!&lt;=table!$F$8),1,0))</f>
        <v>#REF!</v>
      </c>
      <c r="T125" s="5"/>
      <c r="U125" s="5" t="e">
        <f>IF(AND(#REF!&gt;=table!$C$10,#REF!&lt;= table!$D$10),-1,IF(AND(#REF!&gt;=table!$E$10,#REF!&lt;=table!$F$10),1,0))</f>
        <v>#REF!</v>
      </c>
      <c r="V125" s="5" t="e">
        <f>IF(AND(#REF!&gt;=table!$C$11,#REF!&lt;= table!$D$11),-1,IF(AND(#REF!&gt;=table!$E$11,#REF!&lt;=table!$F$11),1,0))</f>
        <v>#REF!</v>
      </c>
      <c r="W125" s="5" t="e">
        <f>CONCATENATE(dados[[#This Row],[fator1]],dados[[#This Row],[fator5]],dados[[#This Row],[fator6]])</f>
        <v>#REF!</v>
      </c>
    </row>
    <row r="126" spans="1:23">
      <c r="A126" t="s">
        <v>17</v>
      </c>
      <c r="B126">
        <v>481110</v>
      </c>
      <c r="C126">
        <v>18</v>
      </c>
      <c r="D126">
        <v>30</v>
      </c>
      <c r="E126">
        <v>160</v>
      </c>
      <c r="F126">
        <v>4</v>
      </c>
      <c r="G126">
        <v>20</v>
      </c>
      <c r="H126">
        <v>25</v>
      </c>
      <c r="I126">
        <v>1843</v>
      </c>
      <c r="J126">
        <v>0</v>
      </c>
      <c r="K126">
        <v>11.25</v>
      </c>
      <c r="L126">
        <v>16.45</v>
      </c>
      <c r="M126">
        <v>147.55000000000001</v>
      </c>
      <c r="N126">
        <v>17</v>
      </c>
      <c r="O126">
        <v>1680</v>
      </c>
      <c r="P126">
        <v>0</v>
      </c>
      <c r="Q126" s="5" t="e">
        <f>IF(AND(#REF!&gt;=table!$C$6,#REF!&lt;= table!$D$6),-1,IF(AND(#REF!&gt;=table!$E$6,#REF!&lt;=table!$F$6),1,0))</f>
        <v>#REF!</v>
      </c>
      <c r="R126" s="5" t="e">
        <f>IF(AND(#REF!&gt;=table!$C$7,#REF!&lt;= table!$D$7),-1,IF(AND(#REF!&gt;=table!$E$7,#REF!&lt;=table!$F$7),1,0))</f>
        <v>#REF!</v>
      </c>
      <c r="S126" s="5" t="e">
        <f>IF(AND(#REF!&gt;=table!$C$8,#REF!&lt;= table!$D$8),-1,IF(AND(#REF!&gt;=table!$E$8,#REF!&lt;=table!$F$8),1,0))</f>
        <v>#REF!</v>
      </c>
      <c r="T126" s="5"/>
      <c r="U126" s="5" t="e">
        <f>IF(AND(#REF!&gt;=table!$C$10,#REF!&lt;= table!$D$10),-1,IF(AND(#REF!&gt;=table!$E$10,#REF!&lt;=table!$F$10),1,0))</f>
        <v>#REF!</v>
      </c>
      <c r="V126" s="5" t="e">
        <f>IF(AND(#REF!&gt;=table!$C$11,#REF!&lt;= table!$D$11),-1,IF(AND(#REF!&gt;=table!$E$11,#REF!&lt;=table!$F$11),1,0))</f>
        <v>#REF!</v>
      </c>
      <c r="W126" s="5" t="e">
        <f>CONCATENATE(dados[[#This Row],[fator1]],dados[[#This Row],[fator5]],dados[[#This Row],[fator6]])</f>
        <v>#REF!</v>
      </c>
    </row>
    <row r="127" spans="1:23">
      <c r="A127" t="s">
        <v>17</v>
      </c>
      <c r="B127">
        <v>481113</v>
      </c>
      <c r="C127">
        <v>12</v>
      </c>
      <c r="D127">
        <v>30</v>
      </c>
      <c r="E127">
        <v>115</v>
      </c>
      <c r="F127">
        <v>4</v>
      </c>
      <c r="G127">
        <v>25</v>
      </c>
      <c r="H127">
        <v>21</v>
      </c>
      <c r="I127">
        <v>218</v>
      </c>
      <c r="J127">
        <v>0</v>
      </c>
      <c r="K127">
        <v>6.73</v>
      </c>
      <c r="L127">
        <v>12.8</v>
      </c>
      <c r="M127">
        <v>102.4</v>
      </c>
      <c r="N127">
        <v>12.85</v>
      </c>
      <c r="O127">
        <v>1677</v>
      </c>
      <c r="P127">
        <v>0</v>
      </c>
      <c r="Q127" s="5" t="e">
        <f>IF(AND(#REF!&gt;=table!$C$6,#REF!&lt;= table!$D$6),-1,IF(AND(#REF!&gt;=table!$E$6,#REF!&lt;=table!$F$6),1,0))</f>
        <v>#REF!</v>
      </c>
      <c r="R127" s="5" t="e">
        <f>IF(AND(#REF!&gt;=table!$C$7,#REF!&lt;= table!$D$7),-1,IF(AND(#REF!&gt;=table!$E$7,#REF!&lt;=table!$F$7),1,0))</f>
        <v>#REF!</v>
      </c>
      <c r="S127" s="5" t="e">
        <f>IF(AND(#REF!&gt;=table!$C$8,#REF!&lt;= table!$D$8),-1,IF(AND(#REF!&gt;=table!$E$8,#REF!&lt;=table!$F$8),1,0))</f>
        <v>#REF!</v>
      </c>
      <c r="T127" s="5"/>
      <c r="U127" s="5" t="e">
        <f>IF(AND(#REF!&gt;=table!$C$10,#REF!&lt;= table!$D$10),-1,IF(AND(#REF!&gt;=table!$E$10,#REF!&lt;=table!$F$10),1,0))</f>
        <v>#REF!</v>
      </c>
      <c r="V127" s="5" t="e">
        <f>IF(AND(#REF!&gt;=table!$C$11,#REF!&lt;= table!$D$11),-1,IF(AND(#REF!&gt;=table!$E$11,#REF!&lt;=table!$F$11),1,0))</f>
        <v>#REF!</v>
      </c>
      <c r="W127" s="5" t="e">
        <f>CONCATENATE(dados[[#This Row],[fator1]],dados[[#This Row],[fator5]],dados[[#This Row],[fator6]])</f>
        <v>#REF!</v>
      </c>
    </row>
    <row r="128" spans="1:23">
      <c r="A128" t="s">
        <v>17</v>
      </c>
      <c r="B128">
        <v>481115</v>
      </c>
      <c r="C128">
        <v>15</v>
      </c>
      <c r="D128">
        <v>35</v>
      </c>
      <c r="E128">
        <v>120</v>
      </c>
      <c r="F128">
        <v>4</v>
      </c>
      <c r="G128">
        <v>15</v>
      </c>
      <c r="H128">
        <v>20</v>
      </c>
      <c r="I128">
        <v>1123</v>
      </c>
      <c r="J128">
        <v>0</v>
      </c>
      <c r="K128">
        <v>9.26</v>
      </c>
      <c r="L128">
        <v>19.600000000000001</v>
      </c>
      <c r="M128">
        <v>98.085000000000008</v>
      </c>
      <c r="N128">
        <v>15.02</v>
      </c>
      <c r="O128">
        <v>1662</v>
      </c>
      <c r="P128">
        <v>0</v>
      </c>
      <c r="Q128" s="5" t="e">
        <f>IF(AND(#REF!&gt;=table!$C$6,#REF!&lt;= table!$D$6),-1,IF(AND(#REF!&gt;=table!$E$6,#REF!&lt;=table!$F$6),1,0))</f>
        <v>#REF!</v>
      </c>
      <c r="R128" s="5" t="e">
        <f>IF(AND(#REF!&gt;=table!$C$7,#REF!&lt;= table!$D$7),-1,IF(AND(#REF!&gt;=table!$E$7,#REF!&lt;=table!$F$7),1,0))</f>
        <v>#REF!</v>
      </c>
      <c r="S128" s="5" t="e">
        <f>IF(AND(#REF!&gt;=table!$C$8,#REF!&lt;= table!$D$8),-1,IF(AND(#REF!&gt;=table!$E$8,#REF!&lt;=table!$F$8),1,0))</f>
        <v>#REF!</v>
      </c>
      <c r="T128" s="5"/>
      <c r="U128" s="5" t="e">
        <f>IF(AND(#REF!&gt;=table!$C$10,#REF!&lt;= table!$D$10),-1,IF(AND(#REF!&gt;=table!$E$10,#REF!&lt;=table!$F$10),1,0))</f>
        <v>#REF!</v>
      </c>
      <c r="V128" s="5" t="e">
        <f>IF(AND(#REF!&gt;=table!$C$11,#REF!&lt;= table!$D$11),-1,IF(AND(#REF!&gt;=table!$E$11,#REF!&lt;=table!$F$11),1,0))</f>
        <v>#REF!</v>
      </c>
      <c r="W128" s="5" t="e">
        <f>CONCATENATE(dados[[#This Row],[fator1]],dados[[#This Row],[fator5]],dados[[#This Row],[fator6]])</f>
        <v>#REF!</v>
      </c>
    </row>
    <row r="129" spans="1:23">
      <c r="A129" t="s">
        <v>16</v>
      </c>
      <c r="B129">
        <v>481116</v>
      </c>
      <c r="C129">
        <v>6</v>
      </c>
      <c r="D129">
        <v>40</v>
      </c>
      <c r="E129">
        <v>66</v>
      </c>
      <c r="F129">
        <v>10</v>
      </c>
      <c r="G129">
        <v>0</v>
      </c>
      <c r="H129">
        <v>25</v>
      </c>
      <c r="I129">
        <v>1316</v>
      </c>
      <c r="J129">
        <v>0</v>
      </c>
      <c r="K129">
        <v>3.2550000000000003</v>
      </c>
      <c r="L129">
        <v>8.65</v>
      </c>
      <c r="M129">
        <v>44.245000000000005</v>
      </c>
      <c r="N129">
        <v>9.7900000000000009</v>
      </c>
      <c r="O129">
        <v>1690</v>
      </c>
      <c r="P129">
        <v>0</v>
      </c>
      <c r="Q129" s="5" t="e">
        <f>IF(AND(#REF!&gt;=table!$C$6,#REF!&lt;= table!$D$6),-1,IF(AND(#REF!&gt;=table!$E$6,#REF!&lt;=table!$F$6),1,0))</f>
        <v>#REF!</v>
      </c>
      <c r="R129" s="5" t="e">
        <f>IF(AND(#REF!&gt;=table!$C$7,#REF!&lt;= table!$D$7),-1,IF(AND(#REF!&gt;=table!$E$7,#REF!&lt;=table!$F$7),1,0))</f>
        <v>#REF!</v>
      </c>
      <c r="S129" s="5" t="e">
        <f>IF(AND(#REF!&gt;=table!$C$8,#REF!&lt;= table!$D$8),-1,IF(AND(#REF!&gt;=table!$E$8,#REF!&lt;=table!$F$8),1,0))</f>
        <v>#REF!</v>
      </c>
      <c r="T129" s="5"/>
      <c r="U129" s="5" t="e">
        <f>IF(AND(#REF!&gt;=table!$C$10,#REF!&lt;= table!$D$10),-1,IF(AND(#REF!&gt;=table!$E$10,#REF!&lt;=table!$F$10),1,0))</f>
        <v>#REF!</v>
      </c>
      <c r="V129" s="5" t="e">
        <f>IF(AND(#REF!&gt;=table!$C$11,#REF!&lt;= table!$D$11),-1,IF(AND(#REF!&gt;=table!$E$11,#REF!&lt;=table!$F$11),1,0))</f>
        <v>#REF!</v>
      </c>
      <c r="W129" s="5" t="e">
        <f>CONCATENATE(dados[[#This Row],[fator1]],dados[[#This Row],[fator5]],dados[[#This Row],[fator6]])</f>
        <v>#REF!</v>
      </c>
    </row>
    <row r="130" spans="1:23">
      <c r="A130" t="s">
        <v>17</v>
      </c>
      <c r="B130">
        <v>481118</v>
      </c>
      <c r="C130">
        <v>3</v>
      </c>
      <c r="D130">
        <v>25</v>
      </c>
      <c r="E130">
        <v>115</v>
      </c>
      <c r="F130">
        <v>1</v>
      </c>
      <c r="G130">
        <v>25</v>
      </c>
      <c r="H130">
        <v>10</v>
      </c>
      <c r="I130">
        <v>0</v>
      </c>
      <c r="J130">
        <v>630</v>
      </c>
      <c r="K130">
        <v>2.3035000000000001</v>
      </c>
      <c r="L130">
        <v>5.9250000000000007</v>
      </c>
      <c r="M130">
        <v>108.75</v>
      </c>
      <c r="N130">
        <v>9.2000000000000011</v>
      </c>
      <c r="O130">
        <v>1675</v>
      </c>
      <c r="P130">
        <v>0</v>
      </c>
      <c r="Q130" s="5" t="e">
        <f>IF(AND(#REF!&gt;=table!$C$6,#REF!&lt;= table!$D$6),-1,IF(AND(#REF!&gt;=table!$E$6,#REF!&lt;=table!$F$6),1,0))</f>
        <v>#REF!</v>
      </c>
      <c r="R130" s="5" t="e">
        <f>IF(AND(#REF!&gt;=table!$C$7,#REF!&lt;= table!$D$7),-1,IF(AND(#REF!&gt;=table!$E$7,#REF!&lt;=table!$F$7),1,0))</f>
        <v>#REF!</v>
      </c>
      <c r="S130" s="5" t="e">
        <f>IF(AND(#REF!&gt;=table!$C$8,#REF!&lt;= table!$D$8),-1,IF(AND(#REF!&gt;=table!$E$8,#REF!&lt;=table!$F$8),1,0))</f>
        <v>#REF!</v>
      </c>
      <c r="T130" s="5"/>
      <c r="U130" s="5" t="e">
        <f>IF(AND(#REF!&gt;=table!$C$10,#REF!&lt;= table!$D$10),-1,IF(AND(#REF!&gt;=table!$E$10,#REF!&lt;=table!$F$10),1,0))</f>
        <v>#REF!</v>
      </c>
      <c r="V130" s="5" t="e">
        <f>IF(AND(#REF!&gt;=table!$C$11,#REF!&lt;= table!$D$11),-1,IF(AND(#REF!&gt;=table!$E$11,#REF!&lt;=table!$F$11),1,0))</f>
        <v>#REF!</v>
      </c>
      <c r="W130" s="5" t="e">
        <f>CONCATENATE(dados[[#This Row],[fator1]],dados[[#This Row],[fator5]],dados[[#This Row],[fator6]])</f>
        <v>#REF!</v>
      </c>
    </row>
    <row r="131" spans="1:23">
      <c r="A131" t="s">
        <v>16</v>
      </c>
      <c r="B131">
        <v>481119</v>
      </c>
      <c r="C131">
        <v>8</v>
      </c>
      <c r="D131">
        <v>27</v>
      </c>
      <c r="E131">
        <v>61</v>
      </c>
      <c r="F131">
        <v>8</v>
      </c>
      <c r="G131">
        <v>0</v>
      </c>
      <c r="H131">
        <v>25</v>
      </c>
      <c r="I131">
        <v>833</v>
      </c>
      <c r="J131">
        <v>0</v>
      </c>
      <c r="K131">
        <v>2.46</v>
      </c>
      <c r="L131">
        <v>8.1999999999999993</v>
      </c>
      <c r="M131">
        <v>47.15</v>
      </c>
      <c r="N131">
        <v>9.35</v>
      </c>
      <c r="O131">
        <v>1672</v>
      </c>
      <c r="P131">
        <v>0</v>
      </c>
      <c r="Q131" s="5" t="e">
        <f>IF(AND(#REF!&gt;=table!$C$6,#REF!&lt;= table!$D$6),-1,IF(AND(#REF!&gt;=table!$E$6,#REF!&lt;=table!$F$6),1,0))</f>
        <v>#REF!</v>
      </c>
      <c r="R131" s="5" t="e">
        <f>IF(AND(#REF!&gt;=table!$C$7,#REF!&lt;= table!$D$7),-1,IF(AND(#REF!&gt;=table!$E$7,#REF!&lt;=table!$F$7),1,0))</f>
        <v>#REF!</v>
      </c>
      <c r="S131" s="5" t="e">
        <f>IF(AND(#REF!&gt;=table!$C$8,#REF!&lt;= table!$D$8),-1,IF(AND(#REF!&gt;=table!$E$8,#REF!&lt;=table!$F$8),1,0))</f>
        <v>#REF!</v>
      </c>
      <c r="T131" s="5"/>
      <c r="U131" s="5" t="e">
        <f>IF(AND(#REF!&gt;=table!$C$10,#REF!&lt;= table!$D$10),-1,IF(AND(#REF!&gt;=table!$E$10,#REF!&lt;=table!$F$10),1,0))</f>
        <v>#REF!</v>
      </c>
      <c r="V131" s="5" t="e">
        <f>IF(AND(#REF!&gt;=table!$C$11,#REF!&lt;= table!$D$11),-1,IF(AND(#REF!&gt;=table!$E$11,#REF!&lt;=table!$F$11),1,0))</f>
        <v>#REF!</v>
      </c>
      <c r="W131" s="5" t="e">
        <f>CONCATENATE(dados[[#This Row],[fator1]],dados[[#This Row],[fator5]],dados[[#This Row],[fator6]])</f>
        <v>#REF!</v>
      </c>
    </row>
    <row r="132" spans="1:23">
      <c r="A132" t="s">
        <v>16</v>
      </c>
      <c r="B132">
        <v>481120</v>
      </c>
      <c r="C132">
        <v>6</v>
      </c>
      <c r="D132">
        <v>40</v>
      </c>
      <c r="E132">
        <v>66</v>
      </c>
      <c r="F132">
        <v>10</v>
      </c>
      <c r="G132">
        <v>0</v>
      </c>
      <c r="H132">
        <v>25</v>
      </c>
      <c r="I132">
        <v>0</v>
      </c>
      <c r="J132">
        <v>0</v>
      </c>
      <c r="K132">
        <v>4.1749999999999998</v>
      </c>
      <c r="L132">
        <v>9.9500000000000011</v>
      </c>
      <c r="M132">
        <v>61.025000000000006</v>
      </c>
      <c r="N132">
        <v>9.7000000000000011</v>
      </c>
      <c r="O132">
        <v>1665</v>
      </c>
      <c r="P132">
        <v>0</v>
      </c>
      <c r="Q132" s="5" t="e">
        <f>IF(AND(#REF!&gt;=table!$C$6,#REF!&lt;= table!$D$6),-1,IF(AND(#REF!&gt;=table!$E$6,#REF!&lt;=table!$F$6),1,0))</f>
        <v>#REF!</v>
      </c>
      <c r="R132" s="5" t="e">
        <f>IF(AND(#REF!&gt;=table!$C$7,#REF!&lt;= table!$D$7),-1,IF(AND(#REF!&gt;=table!$E$7,#REF!&lt;=table!$F$7),1,0))</f>
        <v>#REF!</v>
      </c>
      <c r="S132" s="5" t="e">
        <f>IF(AND(#REF!&gt;=table!$C$8,#REF!&lt;= table!$D$8),-1,IF(AND(#REF!&gt;=table!$E$8,#REF!&lt;=table!$F$8),1,0))</f>
        <v>#REF!</v>
      </c>
      <c r="T132" s="5"/>
      <c r="U132" s="5" t="e">
        <f>IF(AND(#REF!&gt;=table!$C$10,#REF!&lt;= table!$D$10),-1,IF(AND(#REF!&gt;=table!$E$10,#REF!&lt;=table!$F$10),1,0))</f>
        <v>#REF!</v>
      </c>
      <c r="V132" s="5" t="e">
        <f>IF(AND(#REF!&gt;=table!$C$11,#REF!&lt;= table!$D$11),-1,IF(AND(#REF!&gt;=table!$E$11,#REF!&lt;=table!$F$11),1,0))</f>
        <v>#REF!</v>
      </c>
      <c r="W132" s="5" t="e">
        <f>CONCATENATE(dados[[#This Row],[fator1]],dados[[#This Row],[fator5]],dados[[#This Row],[fator6]])</f>
        <v>#REF!</v>
      </c>
    </row>
    <row r="133" spans="1:23">
      <c r="A133" t="s">
        <v>16</v>
      </c>
      <c r="B133">
        <v>481121</v>
      </c>
      <c r="C133">
        <v>8</v>
      </c>
      <c r="D133">
        <v>40</v>
      </c>
      <c r="E133">
        <v>86</v>
      </c>
      <c r="F133">
        <v>8</v>
      </c>
      <c r="G133">
        <v>0</v>
      </c>
      <c r="H133">
        <v>25</v>
      </c>
      <c r="I133">
        <v>725</v>
      </c>
      <c r="J133">
        <v>0</v>
      </c>
      <c r="K133">
        <v>4.4450000000000003</v>
      </c>
      <c r="L133">
        <v>12.15</v>
      </c>
      <c r="M133">
        <v>82.15</v>
      </c>
      <c r="N133">
        <v>12.9</v>
      </c>
      <c r="O133">
        <v>1683</v>
      </c>
      <c r="P133">
        <v>677</v>
      </c>
      <c r="Q133" s="5" t="e">
        <f>IF(AND(#REF!&gt;=table!$C$6,#REF!&lt;= table!$D$6),-1,IF(AND(#REF!&gt;=table!$E$6,#REF!&lt;=table!$F$6),1,0))</f>
        <v>#REF!</v>
      </c>
      <c r="R133" s="5" t="e">
        <f>IF(AND(#REF!&gt;=table!$C$7,#REF!&lt;= table!$D$7),-1,IF(AND(#REF!&gt;=table!$E$7,#REF!&lt;=table!$F$7),1,0))</f>
        <v>#REF!</v>
      </c>
      <c r="S133" s="5" t="e">
        <f>IF(AND(#REF!&gt;=table!$C$8,#REF!&lt;= table!$D$8),-1,IF(AND(#REF!&gt;=table!$E$8,#REF!&lt;=table!$F$8),1,0))</f>
        <v>#REF!</v>
      </c>
      <c r="T133" s="5"/>
      <c r="U133" s="5" t="e">
        <f>IF(AND(#REF!&gt;=table!$C$10,#REF!&lt;= table!$D$10),-1,IF(AND(#REF!&gt;=table!$E$10,#REF!&lt;=table!$F$10),1,0))</f>
        <v>#REF!</v>
      </c>
      <c r="V133" s="5" t="e">
        <f>IF(AND(#REF!&gt;=table!$C$11,#REF!&lt;= table!$D$11),-1,IF(AND(#REF!&gt;=table!$E$11,#REF!&lt;=table!$F$11),1,0))</f>
        <v>#REF!</v>
      </c>
      <c r="W133" s="5" t="e">
        <f>CONCATENATE(dados[[#This Row],[fator1]],dados[[#This Row],[fator5]],dados[[#This Row],[fator6]])</f>
        <v>#REF!</v>
      </c>
    </row>
    <row r="134" spans="1:23">
      <c r="A134" t="s">
        <v>16</v>
      </c>
      <c r="B134">
        <v>481122</v>
      </c>
      <c r="C134">
        <v>8</v>
      </c>
      <c r="D134">
        <v>27</v>
      </c>
      <c r="E134">
        <v>90</v>
      </c>
      <c r="F134">
        <v>9</v>
      </c>
      <c r="G134">
        <v>0</v>
      </c>
      <c r="H134">
        <v>25</v>
      </c>
      <c r="I134">
        <v>950</v>
      </c>
      <c r="J134">
        <v>0</v>
      </c>
      <c r="K134">
        <v>6.42</v>
      </c>
      <c r="L134">
        <v>13.85</v>
      </c>
      <c r="M134">
        <v>68.25</v>
      </c>
      <c r="N134">
        <v>8.25</v>
      </c>
      <c r="O134">
        <v>1681</v>
      </c>
      <c r="P134">
        <v>491</v>
      </c>
      <c r="Q134" s="5" t="e">
        <f>IF(AND(#REF!&gt;=table!$C$6,#REF!&lt;= table!$D$6),-1,IF(AND(#REF!&gt;=table!$E$6,#REF!&lt;=table!$F$6),1,0))</f>
        <v>#REF!</v>
      </c>
      <c r="R134" s="5" t="e">
        <f>IF(AND(#REF!&gt;=table!$C$7,#REF!&lt;= table!$D$7),-1,IF(AND(#REF!&gt;=table!$E$7,#REF!&lt;=table!$F$7),1,0))</f>
        <v>#REF!</v>
      </c>
      <c r="S134" s="5" t="e">
        <f>IF(AND(#REF!&gt;=table!$C$8,#REF!&lt;= table!$D$8),-1,IF(AND(#REF!&gt;=table!$E$8,#REF!&lt;=table!$F$8),1,0))</f>
        <v>#REF!</v>
      </c>
      <c r="T134" s="5"/>
      <c r="U134" s="5" t="e">
        <f>IF(AND(#REF!&gt;=table!$C$10,#REF!&lt;= table!$D$10),-1,IF(AND(#REF!&gt;=table!$E$10,#REF!&lt;=table!$F$10),1,0))</f>
        <v>#REF!</v>
      </c>
      <c r="V134" s="5" t="e">
        <f>IF(AND(#REF!&gt;=table!$C$11,#REF!&lt;= table!$D$11),-1,IF(AND(#REF!&gt;=table!$E$11,#REF!&lt;=table!$F$11),1,0))</f>
        <v>#REF!</v>
      </c>
      <c r="W134" s="5" t="e">
        <f>CONCATENATE(dados[[#This Row],[fator1]],dados[[#This Row],[fator5]],dados[[#This Row],[fator6]])</f>
        <v>#REF!</v>
      </c>
    </row>
    <row r="135" spans="1:23">
      <c r="A135" t="s">
        <v>17</v>
      </c>
      <c r="B135">
        <v>481124</v>
      </c>
      <c r="C135">
        <v>7</v>
      </c>
      <c r="D135">
        <v>30</v>
      </c>
      <c r="E135">
        <v>180</v>
      </c>
      <c r="F135">
        <v>3</v>
      </c>
      <c r="G135">
        <v>30</v>
      </c>
      <c r="H135">
        <v>18</v>
      </c>
      <c r="I135">
        <v>1090</v>
      </c>
      <c r="J135">
        <v>0</v>
      </c>
      <c r="K135">
        <v>4.6749999999999998</v>
      </c>
      <c r="L135">
        <v>10.1</v>
      </c>
      <c r="M135">
        <v>159.4</v>
      </c>
      <c r="N135">
        <v>9.5500000000000007</v>
      </c>
      <c r="O135">
        <v>1693</v>
      </c>
      <c r="P135">
        <v>0</v>
      </c>
      <c r="Q135" s="5" t="e">
        <f>IF(AND(#REF!&gt;=table!$C$6,#REF!&lt;= table!$D$6),-1,IF(AND(#REF!&gt;=table!$E$6,#REF!&lt;=table!$F$6),1,0))</f>
        <v>#REF!</v>
      </c>
      <c r="R135" s="5" t="e">
        <f>IF(AND(#REF!&gt;=table!$C$7,#REF!&lt;= table!$D$7),-1,IF(AND(#REF!&gt;=table!$E$7,#REF!&lt;=table!$F$7),1,0))</f>
        <v>#REF!</v>
      </c>
      <c r="S135" s="5" t="e">
        <f>IF(AND(#REF!&gt;=table!$C$8,#REF!&lt;= table!$D$8),-1,IF(AND(#REF!&gt;=table!$E$8,#REF!&lt;=table!$F$8),1,0))</f>
        <v>#REF!</v>
      </c>
      <c r="T135" s="5"/>
      <c r="U135" s="5" t="e">
        <f>IF(AND(#REF!&gt;=table!$C$10,#REF!&lt;= table!$D$10),-1,IF(AND(#REF!&gt;=table!$E$10,#REF!&lt;=table!$F$10),1,0))</f>
        <v>#REF!</v>
      </c>
      <c r="V135" s="5" t="e">
        <f>IF(AND(#REF!&gt;=table!$C$11,#REF!&lt;= table!$D$11),-1,IF(AND(#REF!&gt;=table!$E$11,#REF!&lt;=table!$F$11),1,0))</f>
        <v>#REF!</v>
      </c>
      <c r="W135" s="5" t="e">
        <f>CONCATENATE(dados[[#This Row],[fator1]],dados[[#This Row],[fator5]],dados[[#This Row],[fator6]])</f>
        <v>#REF!</v>
      </c>
    </row>
    <row r="136" spans="1:23">
      <c r="A136" t="s">
        <v>17</v>
      </c>
      <c r="B136">
        <v>481125</v>
      </c>
      <c r="C136">
        <v>7</v>
      </c>
      <c r="D136">
        <v>30</v>
      </c>
      <c r="E136">
        <v>180</v>
      </c>
      <c r="F136">
        <v>3</v>
      </c>
      <c r="G136">
        <v>30</v>
      </c>
      <c r="H136">
        <v>18</v>
      </c>
      <c r="I136">
        <v>1527</v>
      </c>
      <c r="J136">
        <v>0</v>
      </c>
      <c r="K136">
        <v>3.74</v>
      </c>
      <c r="L136">
        <v>6.45</v>
      </c>
      <c r="M136">
        <v>160.15</v>
      </c>
      <c r="N136">
        <v>8.9500000000000011</v>
      </c>
      <c r="O136">
        <v>1683</v>
      </c>
      <c r="P136">
        <v>893</v>
      </c>
      <c r="Q136" s="5" t="e">
        <f>IF(AND(#REF!&gt;=table!$C$6,#REF!&lt;= table!$D$6),-1,IF(AND(#REF!&gt;=table!$E$6,#REF!&lt;=table!$F$6),1,0))</f>
        <v>#REF!</v>
      </c>
      <c r="R136" s="5" t="e">
        <f>IF(AND(#REF!&gt;=table!$C$7,#REF!&lt;= table!$D$7),-1,IF(AND(#REF!&gt;=table!$E$7,#REF!&lt;=table!$F$7),1,0))</f>
        <v>#REF!</v>
      </c>
      <c r="S136" s="5" t="e">
        <f>IF(AND(#REF!&gt;=table!$C$8,#REF!&lt;= table!$D$8),-1,IF(AND(#REF!&gt;=table!$E$8,#REF!&lt;=table!$F$8),1,0))</f>
        <v>#REF!</v>
      </c>
      <c r="T136" s="5"/>
      <c r="U136" s="5" t="e">
        <f>IF(AND(#REF!&gt;=table!$C$10,#REF!&lt;= table!$D$10),-1,IF(AND(#REF!&gt;=table!$E$10,#REF!&lt;=table!$F$10),1,0))</f>
        <v>#REF!</v>
      </c>
      <c r="V136" s="5" t="e">
        <f>IF(AND(#REF!&gt;=table!$C$11,#REF!&lt;= table!$D$11),-1,IF(AND(#REF!&gt;=table!$E$11,#REF!&lt;=table!$F$11),1,0))</f>
        <v>#REF!</v>
      </c>
      <c r="W136" s="5" t="e">
        <f>CONCATENATE(dados[[#This Row],[fator1]],dados[[#This Row],[fator5]],dados[[#This Row],[fator6]])</f>
        <v>#REF!</v>
      </c>
    </row>
    <row r="137" spans="1:23">
      <c r="A137" t="s">
        <v>17</v>
      </c>
      <c r="B137">
        <v>481126</v>
      </c>
      <c r="C137">
        <v>18</v>
      </c>
      <c r="D137">
        <v>30</v>
      </c>
      <c r="E137">
        <v>136</v>
      </c>
      <c r="F137">
        <v>3</v>
      </c>
      <c r="G137">
        <v>20</v>
      </c>
      <c r="H137">
        <v>25</v>
      </c>
      <c r="I137">
        <v>813</v>
      </c>
      <c r="J137">
        <v>0</v>
      </c>
      <c r="K137">
        <v>2.99</v>
      </c>
      <c r="L137">
        <v>5.6000000000000005</v>
      </c>
      <c r="M137">
        <v>133.80000000000001</v>
      </c>
      <c r="N137">
        <v>9.9</v>
      </c>
      <c r="O137">
        <v>1688</v>
      </c>
      <c r="P137">
        <v>1140</v>
      </c>
      <c r="Q137" s="5" t="e">
        <f>IF(AND(#REF!&gt;=table!$C$6,#REF!&lt;= table!$D$6),-1,IF(AND(#REF!&gt;=table!$E$6,#REF!&lt;=table!$F$6),1,0))</f>
        <v>#REF!</v>
      </c>
      <c r="R137" s="5" t="e">
        <f>IF(AND(#REF!&gt;=table!$C$7,#REF!&lt;= table!$D$7),-1,IF(AND(#REF!&gt;=table!$E$7,#REF!&lt;=table!$F$7),1,0))</f>
        <v>#REF!</v>
      </c>
      <c r="S137" s="5" t="e">
        <f>IF(AND(#REF!&gt;=table!$C$8,#REF!&lt;= table!$D$8),-1,IF(AND(#REF!&gt;=table!$E$8,#REF!&lt;=table!$F$8),1,0))</f>
        <v>#REF!</v>
      </c>
      <c r="T137" s="5"/>
      <c r="U137" s="5" t="e">
        <f>IF(AND(#REF!&gt;=table!$C$10,#REF!&lt;= table!$D$10),-1,IF(AND(#REF!&gt;=table!$E$10,#REF!&lt;=table!$F$10),1,0))</f>
        <v>#REF!</v>
      </c>
      <c r="V137" s="5" t="e">
        <f>IF(AND(#REF!&gt;=table!$C$11,#REF!&lt;= table!$D$11),-1,IF(AND(#REF!&gt;=table!$E$11,#REF!&lt;=table!$F$11),1,0))</f>
        <v>#REF!</v>
      </c>
      <c r="W137" s="5" t="e">
        <f>CONCATENATE(dados[[#This Row],[fator1]],dados[[#This Row],[fator5]],dados[[#This Row],[fator6]])</f>
        <v>#REF!</v>
      </c>
    </row>
    <row r="138" spans="1:23">
      <c r="A138" t="s">
        <v>16</v>
      </c>
      <c r="B138">
        <v>481137</v>
      </c>
      <c r="C138">
        <v>0.15</v>
      </c>
      <c r="D138">
        <v>40</v>
      </c>
      <c r="E138">
        <v>10</v>
      </c>
      <c r="F138">
        <v>15</v>
      </c>
      <c r="G138">
        <v>0</v>
      </c>
      <c r="H138">
        <v>15</v>
      </c>
      <c r="I138">
        <v>1313</v>
      </c>
      <c r="J138">
        <v>0</v>
      </c>
      <c r="K138">
        <v>3.1850000000000001</v>
      </c>
      <c r="L138">
        <v>5.9</v>
      </c>
      <c r="M138">
        <v>5.26</v>
      </c>
      <c r="N138">
        <v>7.25</v>
      </c>
      <c r="O138">
        <v>1664</v>
      </c>
      <c r="P138">
        <v>0</v>
      </c>
      <c r="Q138" s="5" t="e">
        <f>IF(AND(#REF!&gt;=table!$C$6,#REF!&lt;= table!$D$6),-1,IF(AND(#REF!&gt;=table!$E$6,#REF!&lt;=table!$F$6),1,0))</f>
        <v>#REF!</v>
      </c>
      <c r="R138" s="5" t="e">
        <f>IF(AND(#REF!&gt;=table!$C$7,#REF!&lt;= table!$D$7),-1,IF(AND(#REF!&gt;=table!$E$7,#REF!&lt;=table!$F$7),1,0))</f>
        <v>#REF!</v>
      </c>
      <c r="S138" s="5" t="e">
        <f>IF(AND(#REF!&gt;=table!$C$8,#REF!&lt;= table!$D$8),-1,IF(AND(#REF!&gt;=table!$E$8,#REF!&lt;=table!$F$8),1,0))</f>
        <v>#REF!</v>
      </c>
      <c r="T138" s="5"/>
      <c r="U138" s="5" t="e">
        <f>IF(AND(#REF!&gt;=table!$C$10,#REF!&lt;= table!$D$10),-1,IF(AND(#REF!&gt;=table!$E$10,#REF!&lt;=table!$F$10),1,0))</f>
        <v>#REF!</v>
      </c>
      <c r="V138" s="5" t="e">
        <f>IF(AND(#REF!&gt;=table!$C$11,#REF!&lt;= table!$D$11),-1,IF(AND(#REF!&gt;=table!$E$11,#REF!&lt;=table!$F$11),1,0))</f>
        <v>#REF!</v>
      </c>
      <c r="W138" s="5" t="e">
        <f>CONCATENATE(dados[[#This Row],[fator1]],dados[[#This Row],[fator5]],dados[[#This Row],[fator6]])</f>
        <v>#REF!</v>
      </c>
    </row>
    <row r="139" spans="1:23">
      <c r="A139" t="s">
        <v>16</v>
      </c>
      <c r="B139">
        <v>481139</v>
      </c>
      <c r="C139">
        <v>6</v>
      </c>
      <c r="D139">
        <v>25</v>
      </c>
      <c r="E139">
        <v>120</v>
      </c>
      <c r="F139">
        <v>4</v>
      </c>
      <c r="G139">
        <v>0</v>
      </c>
      <c r="H139">
        <v>55</v>
      </c>
      <c r="I139">
        <v>139</v>
      </c>
      <c r="J139">
        <v>0</v>
      </c>
      <c r="K139">
        <v>2.2250000000000001</v>
      </c>
      <c r="L139">
        <v>8.4</v>
      </c>
      <c r="M139">
        <v>69.650000000000006</v>
      </c>
      <c r="N139">
        <v>24.1</v>
      </c>
      <c r="O139">
        <v>1673</v>
      </c>
      <c r="P139">
        <v>947</v>
      </c>
      <c r="Q139" s="5" t="e">
        <f>IF(AND(#REF!&gt;=table!$C$6,#REF!&lt;= table!$D$6),-1,IF(AND(#REF!&gt;=table!$E$6,#REF!&lt;=table!$F$6),1,0))</f>
        <v>#REF!</v>
      </c>
      <c r="R139" s="5" t="e">
        <f>IF(AND(#REF!&gt;=table!$C$7,#REF!&lt;= table!$D$7),-1,IF(AND(#REF!&gt;=table!$E$7,#REF!&lt;=table!$F$7),1,0))</f>
        <v>#REF!</v>
      </c>
      <c r="S139" s="5" t="e">
        <f>IF(AND(#REF!&gt;=table!$C$8,#REF!&lt;= table!$D$8),-1,IF(AND(#REF!&gt;=table!$E$8,#REF!&lt;=table!$F$8),1,0))</f>
        <v>#REF!</v>
      </c>
      <c r="T139" s="5"/>
      <c r="U139" s="5" t="e">
        <f>IF(AND(#REF!&gt;=table!$C$10,#REF!&lt;= table!$D$10),-1,IF(AND(#REF!&gt;=table!$E$10,#REF!&lt;=table!$F$10),1,0))</f>
        <v>#REF!</v>
      </c>
      <c r="V139" s="5" t="e">
        <f>IF(AND(#REF!&gt;=table!$C$11,#REF!&lt;= table!$D$11),-1,IF(AND(#REF!&gt;=table!$E$11,#REF!&lt;=table!$F$11),1,0))</f>
        <v>#REF!</v>
      </c>
      <c r="W139" s="5" t="e">
        <f>CONCATENATE(dados[[#This Row],[fator1]],dados[[#This Row],[fator5]],dados[[#This Row],[fator6]])</f>
        <v>#REF!</v>
      </c>
    </row>
    <row r="140" spans="1:23">
      <c r="A140" t="s">
        <v>16</v>
      </c>
      <c r="B140">
        <v>481142</v>
      </c>
      <c r="C140">
        <v>10</v>
      </c>
      <c r="D140">
        <v>40</v>
      </c>
      <c r="E140">
        <v>136</v>
      </c>
      <c r="F140">
        <v>6</v>
      </c>
      <c r="G140">
        <v>0</v>
      </c>
      <c r="H140">
        <v>25</v>
      </c>
      <c r="I140">
        <v>776</v>
      </c>
      <c r="J140">
        <v>0</v>
      </c>
      <c r="K140">
        <v>3.9750000000000001</v>
      </c>
      <c r="L140">
        <v>10.200000000000001</v>
      </c>
      <c r="M140">
        <v>126.65</v>
      </c>
      <c r="N140">
        <v>12.9</v>
      </c>
      <c r="O140">
        <v>1682</v>
      </c>
      <c r="P140">
        <v>564</v>
      </c>
      <c r="Q140" s="5" t="e">
        <f>IF(AND(#REF!&gt;=table!$C$6,#REF!&lt;= table!$D$6),-1,IF(AND(#REF!&gt;=table!$E$6,#REF!&lt;=table!$F$6),1,0))</f>
        <v>#REF!</v>
      </c>
      <c r="R140" s="5" t="e">
        <f>IF(AND(#REF!&gt;=table!$C$7,#REF!&lt;= table!$D$7),-1,IF(AND(#REF!&gt;=table!$E$7,#REF!&lt;=table!$F$7),1,0))</f>
        <v>#REF!</v>
      </c>
      <c r="S140" s="5" t="e">
        <f>IF(AND(#REF!&gt;=table!$C$8,#REF!&lt;= table!$D$8),-1,IF(AND(#REF!&gt;=table!$E$8,#REF!&lt;=table!$F$8),1,0))</f>
        <v>#REF!</v>
      </c>
      <c r="T140" s="5"/>
      <c r="U140" s="5" t="e">
        <f>IF(AND(#REF!&gt;=table!$C$10,#REF!&lt;= table!$D$10),-1,IF(AND(#REF!&gt;=table!$E$10,#REF!&lt;=table!$F$10),1,0))</f>
        <v>#REF!</v>
      </c>
      <c r="V140" s="5" t="e">
        <f>IF(AND(#REF!&gt;=table!$C$11,#REF!&lt;= table!$D$11),-1,IF(AND(#REF!&gt;=table!$E$11,#REF!&lt;=table!$F$11),1,0))</f>
        <v>#REF!</v>
      </c>
      <c r="W140" s="5" t="e">
        <f>CONCATENATE(dados[[#This Row],[fator1]],dados[[#This Row],[fator5]],dados[[#This Row],[fator6]])</f>
        <v>#REF!</v>
      </c>
    </row>
    <row r="141" spans="1:23">
      <c r="A141" t="s">
        <v>16</v>
      </c>
      <c r="B141">
        <v>481143</v>
      </c>
      <c r="C141">
        <v>10</v>
      </c>
      <c r="D141">
        <v>40</v>
      </c>
      <c r="E141">
        <v>136</v>
      </c>
      <c r="F141">
        <v>6</v>
      </c>
      <c r="G141">
        <v>0</v>
      </c>
      <c r="H141">
        <v>25</v>
      </c>
      <c r="I141">
        <v>1455</v>
      </c>
      <c r="J141">
        <v>650</v>
      </c>
      <c r="K141">
        <v>4.8899999999999997</v>
      </c>
      <c r="L141">
        <v>10</v>
      </c>
      <c r="M141">
        <v>127.2</v>
      </c>
      <c r="N141">
        <v>10.950000000000001</v>
      </c>
      <c r="O141">
        <v>1670</v>
      </c>
      <c r="P141">
        <v>0</v>
      </c>
      <c r="Q141" s="5" t="e">
        <f>IF(AND(#REF!&gt;=table!$C$6,#REF!&lt;= table!$D$6),-1,IF(AND(#REF!&gt;=table!$E$6,#REF!&lt;=table!$F$6),1,0))</f>
        <v>#REF!</v>
      </c>
      <c r="R141" s="5" t="e">
        <f>IF(AND(#REF!&gt;=table!$C$7,#REF!&lt;= table!$D$7),-1,IF(AND(#REF!&gt;=table!$E$7,#REF!&lt;=table!$F$7),1,0))</f>
        <v>#REF!</v>
      </c>
      <c r="S141" s="5" t="e">
        <f>IF(AND(#REF!&gt;=table!$C$8,#REF!&lt;= table!$D$8),-1,IF(AND(#REF!&gt;=table!$E$8,#REF!&lt;=table!$F$8),1,0))</f>
        <v>#REF!</v>
      </c>
      <c r="T141" s="5"/>
      <c r="U141" s="5" t="e">
        <f>IF(AND(#REF!&gt;=table!$C$10,#REF!&lt;= table!$D$10),-1,IF(AND(#REF!&gt;=table!$E$10,#REF!&lt;=table!$F$10),1,0))</f>
        <v>#REF!</v>
      </c>
      <c r="V141" s="5" t="e">
        <f>IF(AND(#REF!&gt;=table!$C$11,#REF!&lt;= table!$D$11),-1,IF(AND(#REF!&gt;=table!$E$11,#REF!&lt;=table!$F$11),1,0))</f>
        <v>#REF!</v>
      </c>
      <c r="W141" s="5" t="e">
        <f>CONCATENATE(dados[[#This Row],[fator1]],dados[[#This Row],[fator5]],dados[[#This Row],[fator6]])</f>
        <v>#REF!</v>
      </c>
    </row>
    <row r="142" spans="1:23">
      <c r="A142" t="s">
        <v>16</v>
      </c>
      <c r="B142">
        <v>481145</v>
      </c>
      <c r="C142">
        <v>12</v>
      </c>
      <c r="D142">
        <v>35</v>
      </c>
      <c r="E142">
        <v>90</v>
      </c>
      <c r="F142">
        <v>10</v>
      </c>
      <c r="G142">
        <v>0</v>
      </c>
      <c r="H142">
        <v>25</v>
      </c>
      <c r="I142">
        <v>713</v>
      </c>
      <c r="J142">
        <v>0</v>
      </c>
      <c r="K142">
        <v>4.6500000000000004</v>
      </c>
      <c r="L142">
        <v>11.200000000000001</v>
      </c>
      <c r="M142">
        <v>59.7</v>
      </c>
      <c r="N142">
        <v>12.65</v>
      </c>
      <c r="O142">
        <v>1670</v>
      </c>
      <c r="P142">
        <v>0</v>
      </c>
      <c r="Q142" s="5" t="e">
        <f>IF(AND(#REF!&gt;=table!$C$6,#REF!&lt;= table!$D$6),-1,IF(AND(#REF!&gt;=table!$E$6,#REF!&lt;=table!$F$6),1,0))</f>
        <v>#REF!</v>
      </c>
      <c r="R142" s="5" t="e">
        <f>IF(AND(#REF!&gt;=table!$C$7,#REF!&lt;= table!$D$7),-1,IF(AND(#REF!&gt;=table!$E$7,#REF!&lt;=table!$F$7),1,0))</f>
        <v>#REF!</v>
      </c>
      <c r="S142" s="5" t="e">
        <f>IF(AND(#REF!&gt;=table!$C$8,#REF!&lt;= table!$D$8),-1,IF(AND(#REF!&gt;=table!$E$8,#REF!&lt;=table!$F$8),1,0))</f>
        <v>#REF!</v>
      </c>
      <c r="T142" s="5"/>
      <c r="U142" s="5" t="e">
        <f>IF(AND(#REF!&gt;=table!$C$10,#REF!&lt;= table!$D$10),-1,IF(AND(#REF!&gt;=table!$E$10,#REF!&lt;=table!$F$10),1,0))</f>
        <v>#REF!</v>
      </c>
      <c r="V142" s="5" t="e">
        <f>IF(AND(#REF!&gt;=table!$C$11,#REF!&lt;= table!$D$11),-1,IF(AND(#REF!&gt;=table!$E$11,#REF!&lt;=table!$F$11),1,0))</f>
        <v>#REF!</v>
      </c>
      <c r="W142" s="5" t="e">
        <f>CONCATENATE(dados[[#This Row],[fator1]],dados[[#This Row],[fator5]],dados[[#This Row],[fator6]])</f>
        <v>#REF!</v>
      </c>
    </row>
    <row r="143" spans="1:23">
      <c r="A143" t="s">
        <v>17</v>
      </c>
      <c r="B143">
        <v>481146</v>
      </c>
      <c r="C143">
        <v>8</v>
      </c>
      <c r="D143">
        <v>25</v>
      </c>
      <c r="E143">
        <v>136</v>
      </c>
      <c r="F143">
        <v>6</v>
      </c>
      <c r="G143">
        <v>8</v>
      </c>
      <c r="H143">
        <v>25</v>
      </c>
      <c r="I143">
        <v>1349</v>
      </c>
      <c r="J143">
        <v>0</v>
      </c>
      <c r="K143">
        <v>4.0999999999999996</v>
      </c>
      <c r="L143">
        <v>13.35</v>
      </c>
      <c r="M143">
        <v>137.65</v>
      </c>
      <c r="N143">
        <v>15.15</v>
      </c>
      <c r="O143">
        <v>1679</v>
      </c>
      <c r="P143">
        <v>0</v>
      </c>
      <c r="Q143" s="5" t="e">
        <f>IF(AND(#REF!&gt;=table!$C$6,#REF!&lt;= table!$D$6),-1,IF(AND(#REF!&gt;=table!$E$6,#REF!&lt;=table!$F$6),1,0))</f>
        <v>#REF!</v>
      </c>
      <c r="R143" s="5" t="e">
        <f>IF(AND(#REF!&gt;=table!$C$7,#REF!&lt;= table!$D$7),-1,IF(AND(#REF!&gt;=table!$E$7,#REF!&lt;=table!$F$7),1,0))</f>
        <v>#REF!</v>
      </c>
      <c r="S143" s="5" t="e">
        <f>IF(AND(#REF!&gt;=table!$C$8,#REF!&lt;= table!$D$8),-1,IF(AND(#REF!&gt;=table!$E$8,#REF!&lt;=table!$F$8),1,0))</f>
        <v>#REF!</v>
      </c>
      <c r="T143" s="5"/>
      <c r="U143" s="5" t="e">
        <f>IF(AND(#REF!&gt;=table!$C$10,#REF!&lt;= table!$D$10),-1,IF(AND(#REF!&gt;=table!$E$10,#REF!&lt;=table!$F$10),1,0))</f>
        <v>#REF!</v>
      </c>
      <c r="V143" s="5" t="e">
        <f>IF(AND(#REF!&gt;=table!$C$11,#REF!&lt;= table!$D$11),-1,IF(AND(#REF!&gt;=table!$E$11,#REF!&lt;=table!$F$11),1,0))</f>
        <v>#REF!</v>
      </c>
      <c r="W143" s="5" t="e">
        <f>CONCATENATE(dados[[#This Row],[fator1]],dados[[#This Row],[fator5]],dados[[#This Row],[fator6]])</f>
        <v>#REF!</v>
      </c>
    </row>
    <row r="144" spans="1:23">
      <c r="A144" t="s">
        <v>17</v>
      </c>
      <c r="B144">
        <v>481148</v>
      </c>
      <c r="C144">
        <v>8</v>
      </c>
      <c r="D144">
        <v>25</v>
      </c>
      <c r="E144">
        <v>136</v>
      </c>
      <c r="F144">
        <v>6</v>
      </c>
      <c r="G144">
        <v>8</v>
      </c>
      <c r="H144">
        <v>25</v>
      </c>
      <c r="I144">
        <v>496</v>
      </c>
      <c r="J144">
        <v>0</v>
      </c>
      <c r="K144">
        <v>4.26</v>
      </c>
      <c r="L144">
        <v>10.52</v>
      </c>
      <c r="M144">
        <v>113.81</v>
      </c>
      <c r="N144">
        <v>11.905000000000001</v>
      </c>
      <c r="O144">
        <v>1694</v>
      </c>
      <c r="P144">
        <v>0</v>
      </c>
      <c r="Q144" s="5" t="e">
        <f>IF(AND(#REF!&gt;=table!$C$6,#REF!&lt;= table!$D$6),-1,IF(AND(#REF!&gt;=table!$E$6,#REF!&lt;=table!$F$6),1,0))</f>
        <v>#REF!</v>
      </c>
      <c r="R144" s="5" t="e">
        <f>IF(AND(#REF!&gt;=table!$C$7,#REF!&lt;= table!$D$7),-1,IF(AND(#REF!&gt;=table!$E$7,#REF!&lt;=table!$F$7),1,0))</f>
        <v>#REF!</v>
      </c>
      <c r="S144" s="5" t="e">
        <f>IF(AND(#REF!&gt;=table!$C$8,#REF!&lt;= table!$D$8),-1,IF(AND(#REF!&gt;=table!$E$8,#REF!&lt;=table!$F$8),1,0))</f>
        <v>#REF!</v>
      </c>
      <c r="T144" s="5"/>
      <c r="U144" s="5" t="e">
        <f>IF(AND(#REF!&gt;=table!$C$10,#REF!&lt;= table!$D$10),-1,IF(AND(#REF!&gt;=table!$E$10,#REF!&lt;=table!$F$10),1,0))</f>
        <v>#REF!</v>
      </c>
      <c r="V144" s="5" t="e">
        <f>IF(AND(#REF!&gt;=table!$C$11,#REF!&lt;= table!$D$11),-1,IF(AND(#REF!&gt;=table!$E$11,#REF!&lt;=table!$F$11),1,0))</f>
        <v>#REF!</v>
      </c>
      <c r="W144" s="5" t="e">
        <f>CONCATENATE(dados[[#This Row],[fator1]],dados[[#This Row],[fator5]],dados[[#This Row],[fator6]])</f>
        <v>#REF!</v>
      </c>
    </row>
    <row r="145" spans="1:23">
      <c r="A145" t="s">
        <v>17</v>
      </c>
      <c r="B145">
        <v>481149</v>
      </c>
      <c r="C145">
        <v>8</v>
      </c>
      <c r="D145">
        <v>25</v>
      </c>
      <c r="E145">
        <v>136</v>
      </c>
      <c r="F145">
        <v>6</v>
      </c>
      <c r="G145">
        <v>8</v>
      </c>
      <c r="H145">
        <v>25</v>
      </c>
      <c r="I145">
        <v>786</v>
      </c>
      <c r="J145">
        <v>0</v>
      </c>
      <c r="K145">
        <v>3.37</v>
      </c>
      <c r="L145">
        <v>11.25</v>
      </c>
      <c r="M145">
        <v>134.80000000000001</v>
      </c>
      <c r="N145">
        <v>12.85</v>
      </c>
      <c r="O145">
        <v>1682</v>
      </c>
      <c r="P145">
        <v>0</v>
      </c>
      <c r="Q145" s="5" t="e">
        <f>IF(AND(#REF!&gt;=table!$C$6,#REF!&lt;= table!$D$6),-1,IF(AND(#REF!&gt;=table!$E$6,#REF!&lt;=table!$F$6),1,0))</f>
        <v>#REF!</v>
      </c>
      <c r="R145" s="5" t="e">
        <f>IF(AND(#REF!&gt;=table!$C$7,#REF!&lt;= table!$D$7),-1,IF(AND(#REF!&gt;=table!$E$7,#REF!&lt;=table!$F$7),1,0))</f>
        <v>#REF!</v>
      </c>
      <c r="S145" s="5" t="e">
        <f>IF(AND(#REF!&gt;=table!$C$8,#REF!&lt;= table!$D$8),-1,IF(AND(#REF!&gt;=table!$E$8,#REF!&lt;=table!$F$8),1,0))</f>
        <v>#REF!</v>
      </c>
      <c r="T145" s="5"/>
      <c r="U145" s="5" t="e">
        <f>IF(AND(#REF!&gt;=table!$C$10,#REF!&lt;= table!$D$10),-1,IF(AND(#REF!&gt;=table!$E$10,#REF!&lt;=table!$F$10),1,0))</f>
        <v>#REF!</v>
      </c>
      <c r="V145" s="5" t="e">
        <f>IF(AND(#REF!&gt;=table!$C$11,#REF!&lt;= table!$D$11),-1,IF(AND(#REF!&gt;=table!$E$11,#REF!&lt;=table!$F$11),1,0))</f>
        <v>#REF!</v>
      </c>
      <c r="W145" s="5" t="e">
        <f>CONCATENATE(dados[[#This Row],[fator1]],dados[[#This Row],[fator5]],dados[[#This Row],[fator6]])</f>
        <v>#REF!</v>
      </c>
    </row>
    <row r="146" spans="1:23">
      <c r="A146" t="s">
        <v>18</v>
      </c>
      <c r="B146">
        <v>481151</v>
      </c>
      <c r="C146">
        <v>3</v>
      </c>
      <c r="D146">
        <v>5</v>
      </c>
      <c r="E146">
        <v>26</v>
      </c>
      <c r="F146">
        <v>15</v>
      </c>
      <c r="G146">
        <v>42</v>
      </c>
      <c r="H146">
        <v>30</v>
      </c>
      <c r="I146">
        <v>855</v>
      </c>
      <c r="J146">
        <v>0</v>
      </c>
      <c r="K146">
        <v>3.14</v>
      </c>
      <c r="L146">
        <v>9.9</v>
      </c>
      <c r="M146">
        <v>22.25</v>
      </c>
      <c r="N146">
        <v>13.700000000000001</v>
      </c>
      <c r="O146">
        <v>1679</v>
      </c>
      <c r="P146">
        <v>745</v>
      </c>
      <c r="Q146" s="5" t="e">
        <f>IF(AND(#REF!&gt;=table!$C$6,#REF!&lt;= table!$D$6),-1,IF(AND(#REF!&gt;=table!$E$6,#REF!&lt;=table!$F$6),1,0))</f>
        <v>#REF!</v>
      </c>
      <c r="R146" s="5" t="e">
        <f>IF(AND(#REF!&gt;=table!$C$7,#REF!&lt;= table!$D$7),-1,IF(AND(#REF!&gt;=table!$E$7,#REF!&lt;=table!$F$7),1,0))</f>
        <v>#REF!</v>
      </c>
      <c r="S146" s="5" t="e">
        <f>IF(AND(#REF!&gt;=table!$C$8,#REF!&lt;= table!$D$8),-1,IF(AND(#REF!&gt;=table!$E$8,#REF!&lt;=table!$F$8),1,0))</f>
        <v>#REF!</v>
      </c>
      <c r="T146" s="5"/>
      <c r="U146" s="5" t="e">
        <f>IF(AND(#REF!&gt;=table!$C$10,#REF!&lt;= table!$D$10),-1,IF(AND(#REF!&gt;=table!$E$10,#REF!&lt;=table!$F$10),1,0))</f>
        <v>#REF!</v>
      </c>
      <c r="V146" s="5" t="e">
        <f>IF(AND(#REF!&gt;=table!$C$11,#REF!&lt;= table!$D$11),-1,IF(AND(#REF!&gt;=table!$E$11,#REF!&lt;=table!$F$11),1,0))</f>
        <v>#REF!</v>
      </c>
      <c r="W146" s="5" t="e">
        <f>CONCATENATE(dados[[#This Row],[fator1]],dados[[#This Row],[fator5]],dados[[#This Row],[fator6]])</f>
        <v>#REF!</v>
      </c>
    </row>
    <row r="147" spans="1:23">
      <c r="A147" t="s">
        <v>18</v>
      </c>
      <c r="B147">
        <v>481152</v>
      </c>
      <c r="C147">
        <v>3</v>
      </c>
      <c r="D147">
        <v>5</v>
      </c>
      <c r="E147">
        <v>26</v>
      </c>
      <c r="F147">
        <v>15</v>
      </c>
      <c r="G147">
        <v>42</v>
      </c>
      <c r="H147">
        <v>30</v>
      </c>
      <c r="I147">
        <v>26</v>
      </c>
      <c r="J147">
        <v>0</v>
      </c>
      <c r="K147">
        <v>5.58</v>
      </c>
      <c r="L147">
        <v>14.4</v>
      </c>
      <c r="M147">
        <v>24.2</v>
      </c>
      <c r="N147">
        <v>13.15</v>
      </c>
      <c r="O147">
        <v>1678</v>
      </c>
      <c r="P147">
        <v>0</v>
      </c>
      <c r="Q147" s="5" t="e">
        <f>IF(AND(#REF!&gt;=table!$C$6,#REF!&lt;= table!$D$6),-1,IF(AND(#REF!&gt;=table!$E$6,#REF!&lt;=table!$F$6),1,0))</f>
        <v>#REF!</v>
      </c>
      <c r="R147" s="5" t="e">
        <f>IF(AND(#REF!&gt;=table!$C$7,#REF!&lt;= table!$D$7),-1,IF(AND(#REF!&gt;=table!$E$7,#REF!&lt;=table!$F$7),1,0))</f>
        <v>#REF!</v>
      </c>
      <c r="S147" s="5" t="e">
        <f>IF(AND(#REF!&gt;=table!$C$8,#REF!&lt;= table!$D$8),-1,IF(AND(#REF!&gt;=table!$E$8,#REF!&lt;=table!$F$8),1,0))</f>
        <v>#REF!</v>
      </c>
      <c r="T147" s="5"/>
      <c r="U147" s="5" t="e">
        <f>IF(AND(#REF!&gt;=table!$C$10,#REF!&lt;= table!$D$10),-1,IF(AND(#REF!&gt;=table!$E$10,#REF!&lt;=table!$F$10),1,0))</f>
        <v>#REF!</v>
      </c>
      <c r="V147" s="5" t="e">
        <f>IF(AND(#REF!&gt;=table!$C$11,#REF!&lt;= table!$D$11),-1,IF(AND(#REF!&gt;=table!$E$11,#REF!&lt;=table!$F$11),1,0))</f>
        <v>#REF!</v>
      </c>
      <c r="W147" s="5" t="e">
        <f>CONCATENATE(dados[[#This Row],[fator1]],dados[[#This Row],[fator5]],dados[[#This Row],[fator6]])</f>
        <v>#REF!</v>
      </c>
    </row>
    <row r="148" spans="1:23">
      <c r="A148" t="s">
        <v>18</v>
      </c>
      <c r="B148">
        <v>481153</v>
      </c>
      <c r="C148">
        <v>3</v>
      </c>
      <c r="D148">
        <v>5</v>
      </c>
      <c r="E148">
        <v>26</v>
      </c>
      <c r="F148">
        <v>15</v>
      </c>
      <c r="G148">
        <v>42</v>
      </c>
      <c r="H148">
        <v>30</v>
      </c>
      <c r="I148">
        <v>1092</v>
      </c>
      <c r="J148">
        <v>0</v>
      </c>
      <c r="K148">
        <v>6.0049999999999999</v>
      </c>
      <c r="L148">
        <v>12.450000000000001</v>
      </c>
      <c r="M148">
        <v>21.66</v>
      </c>
      <c r="N148">
        <v>10.56</v>
      </c>
      <c r="O148">
        <v>1666</v>
      </c>
      <c r="P148">
        <v>0</v>
      </c>
      <c r="Q148" s="5" t="e">
        <f>IF(AND(#REF!&gt;=table!$C$6,#REF!&lt;= table!$D$6),-1,IF(AND(#REF!&gt;=table!$E$6,#REF!&lt;=table!$F$6),1,0))</f>
        <v>#REF!</v>
      </c>
      <c r="R148" s="5" t="e">
        <f>IF(AND(#REF!&gt;=table!$C$7,#REF!&lt;= table!$D$7),-1,IF(AND(#REF!&gt;=table!$E$7,#REF!&lt;=table!$F$7),1,0))</f>
        <v>#REF!</v>
      </c>
      <c r="S148" s="5" t="e">
        <f>IF(AND(#REF!&gt;=table!$C$8,#REF!&lt;= table!$D$8),-1,IF(AND(#REF!&gt;=table!$E$8,#REF!&lt;=table!$F$8),1,0))</f>
        <v>#REF!</v>
      </c>
      <c r="T148" s="5"/>
      <c r="U148" s="5" t="e">
        <f>IF(AND(#REF!&gt;=table!$C$10,#REF!&lt;= table!$D$10),-1,IF(AND(#REF!&gt;=table!$E$10,#REF!&lt;=table!$F$10),1,0))</f>
        <v>#REF!</v>
      </c>
      <c r="V148" s="5" t="e">
        <f>IF(AND(#REF!&gt;=table!$C$11,#REF!&lt;= table!$D$11),-1,IF(AND(#REF!&gt;=table!$E$11,#REF!&lt;=table!$F$11),1,0))</f>
        <v>#REF!</v>
      </c>
      <c r="W148" s="5" t="e">
        <f>CONCATENATE(dados[[#This Row],[fator1]],dados[[#This Row],[fator5]],dados[[#This Row],[fator6]])</f>
        <v>#REF!</v>
      </c>
    </row>
    <row r="149" spans="1:23">
      <c r="A149" t="s">
        <v>16</v>
      </c>
      <c r="B149">
        <v>481155</v>
      </c>
      <c r="C149">
        <v>0.15</v>
      </c>
      <c r="D149">
        <v>40</v>
      </c>
      <c r="E149">
        <v>10</v>
      </c>
      <c r="F149">
        <v>15</v>
      </c>
      <c r="G149">
        <v>0</v>
      </c>
      <c r="H149">
        <v>15</v>
      </c>
      <c r="I149">
        <v>299</v>
      </c>
      <c r="J149">
        <v>580</v>
      </c>
      <c r="K149">
        <v>2.93</v>
      </c>
      <c r="L149">
        <v>7.2</v>
      </c>
      <c r="M149">
        <v>5.25</v>
      </c>
      <c r="N149">
        <v>7.95</v>
      </c>
      <c r="O149">
        <v>1654</v>
      </c>
      <c r="P149">
        <v>896</v>
      </c>
      <c r="Q149" s="5" t="e">
        <f>IF(AND(#REF!&gt;=table!$C$6,#REF!&lt;= table!$D$6),-1,IF(AND(#REF!&gt;=table!$E$6,#REF!&lt;=table!$F$6),1,0))</f>
        <v>#REF!</v>
      </c>
      <c r="R149" s="5" t="e">
        <f>IF(AND(#REF!&gt;=table!$C$7,#REF!&lt;= table!$D$7),-1,IF(AND(#REF!&gt;=table!$E$7,#REF!&lt;=table!$F$7),1,0))</f>
        <v>#REF!</v>
      </c>
      <c r="S149" s="5" t="e">
        <f>IF(AND(#REF!&gt;=table!$C$8,#REF!&lt;= table!$D$8),-1,IF(AND(#REF!&gt;=table!$E$8,#REF!&lt;=table!$F$8),1,0))</f>
        <v>#REF!</v>
      </c>
      <c r="T149" s="5"/>
      <c r="U149" s="5" t="e">
        <f>IF(AND(#REF!&gt;=table!$C$10,#REF!&lt;= table!$D$10),-1,IF(AND(#REF!&gt;=table!$E$10,#REF!&lt;=table!$F$10),1,0))</f>
        <v>#REF!</v>
      </c>
      <c r="V149" s="5" t="e">
        <f>IF(AND(#REF!&gt;=table!$C$11,#REF!&lt;= table!$D$11),-1,IF(AND(#REF!&gt;=table!$E$11,#REF!&lt;=table!$F$11),1,0))</f>
        <v>#REF!</v>
      </c>
      <c r="W149" s="5" t="e">
        <f>CONCATENATE(dados[[#This Row],[fator1]],dados[[#This Row],[fator5]],dados[[#This Row],[fator6]])</f>
        <v>#REF!</v>
      </c>
    </row>
    <row r="150" spans="1:23">
      <c r="A150" t="s">
        <v>17</v>
      </c>
      <c r="B150">
        <v>481162</v>
      </c>
      <c r="C150">
        <v>14</v>
      </c>
      <c r="D150">
        <v>30</v>
      </c>
      <c r="E150">
        <v>140</v>
      </c>
      <c r="F150">
        <v>4</v>
      </c>
      <c r="G150">
        <v>25</v>
      </c>
      <c r="H150">
        <v>21</v>
      </c>
      <c r="I150">
        <v>161</v>
      </c>
      <c r="J150">
        <v>0</v>
      </c>
      <c r="K150">
        <v>4.0933000000000002</v>
      </c>
      <c r="L150">
        <v>13.9</v>
      </c>
      <c r="M150">
        <v>122.60000000000001</v>
      </c>
      <c r="N150">
        <v>13.700000000000001</v>
      </c>
      <c r="O150">
        <v>1685</v>
      </c>
      <c r="P150">
        <v>628</v>
      </c>
      <c r="Q150" s="5" t="e">
        <f>IF(AND(#REF!&gt;=table!$C$6,#REF!&lt;= table!$D$6),-1,IF(AND(#REF!&gt;=table!$E$6,#REF!&lt;=table!$F$6),1,0))</f>
        <v>#REF!</v>
      </c>
      <c r="R150" s="5" t="e">
        <f>IF(AND(#REF!&gt;=table!$C$7,#REF!&lt;= table!$D$7),-1,IF(AND(#REF!&gt;=table!$E$7,#REF!&lt;=table!$F$7),1,0))</f>
        <v>#REF!</v>
      </c>
      <c r="S150" s="5" t="e">
        <f>IF(AND(#REF!&gt;=table!$C$8,#REF!&lt;= table!$D$8),-1,IF(AND(#REF!&gt;=table!$E$8,#REF!&lt;=table!$F$8),1,0))</f>
        <v>#REF!</v>
      </c>
      <c r="T150" s="5"/>
      <c r="U150" s="5" t="e">
        <f>IF(AND(#REF!&gt;=table!$C$10,#REF!&lt;= table!$D$10),-1,IF(AND(#REF!&gt;=table!$E$10,#REF!&lt;=table!$F$10),1,0))</f>
        <v>#REF!</v>
      </c>
      <c r="V150" s="5" t="e">
        <f>IF(AND(#REF!&gt;=table!$C$11,#REF!&lt;= table!$D$11),-1,IF(AND(#REF!&gt;=table!$E$11,#REF!&lt;=table!$F$11),1,0))</f>
        <v>#REF!</v>
      </c>
      <c r="W150" s="5" t="e">
        <f>CONCATENATE(dados[[#This Row],[fator1]],dados[[#This Row],[fator5]],dados[[#This Row],[fator6]])</f>
        <v>#REF!</v>
      </c>
    </row>
    <row r="151" spans="1:23">
      <c r="A151" t="s">
        <v>17</v>
      </c>
      <c r="B151">
        <v>481164</v>
      </c>
      <c r="C151">
        <v>10</v>
      </c>
      <c r="D151">
        <v>25</v>
      </c>
      <c r="E151">
        <v>156</v>
      </c>
      <c r="F151">
        <v>8</v>
      </c>
      <c r="G151">
        <v>20</v>
      </c>
      <c r="H151">
        <v>25</v>
      </c>
      <c r="I151">
        <v>312</v>
      </c>
      <c r="J151">
        <v>0</v>
      </c>
      <c r="K151">
        <v>2.7550000000000003</v>
      </c>
      <c r="L151">
        <v>14.6</v>
      </c>
      <c r="M151">
        <v>6.25</v>
      </c>
      <c r="N151">
        <v>10.65</v>
      </c>
      <c r="O151">
        <v>1672</v>
      </c>
      <c r="P151">
        <v>596</v>
      </c>
      <c r="Q151" s="5" t="e">
        <f>IF(AND(#REF!&gt;=table!$C$6,#REF!&lt;= table!$D$6),-1,IF(AND(#REF!&gt;=table!$E$6,#REF!&lt;=table!$F$6),1,0))</f>
        <v>#REF!</v>
      </c>
      <c r="R151" s="5" t="e">
        <f>IF(AND(#REF!&gt;=table!$C$7,#REF!&lt;= table!$D$7),-1,IF(AND(#REF!&gt;=table!$E$7,#REF!&lt;=table!$F$7),1,0))</f>
        <v>#REF!</v>
      </c>
      <c r="S151" s="5" t="e">
        <f>IF(AND(#REF!&gt;=table!$C$8,#REF!&lt;= table!$D$8),-1,IF(AND(#REF!&gt;=table!$E$8,#REF!&lt;=table!$F$8),1,0))</f>
        <v>#REF!</v>
      </c>
      <c r="T151" s="5"/>
      <c r="U151" s="5" t="e">
        <f>IF(AND(#REF!&gt;=table!$C$10,#REF!&lt;= table!$D$10),-1,IF(AND(#REF!&gt;=table!$E$10,#REF!&lt;=table!$F$10),1,0))</f>
        <v>#REF!</v>
      </c>
      <c r="V151" s="5" t="e">
        <f>IF(AND(#REF!&gt;=table!$C$11,#REF!&lt;= table!$D$11),-1,IF(AND(#REF!&gt;=table!$E$11,#REF!&lt;=table!$F$11),1,0))</f>
        <v>#REF!</v>
      </c>
      <c r="W151" s="5" t="e">
        <f>CONCATENATE(dados[[#This Row],[fator1]],dados[[#This Row],[fator5]],dados[[#This Row],[fator6]])</f>
        <v>#REF!</v>
      </c>
    </row>
    <row r="152" spans="1:23">
      <c r="A152" t="s">
        <v>17</v>
      </c>
      <c r="B152">
        <v>481165</v>
      </c>
      <c r="C152">
        <v>10</v>
      </c>
      <c r="D152">
        <v>25</v>
      </c>
      <c r="E152">
        <v>156</v>
      </c>
      <c r="F152">
        <v>8</v>
      </c>
      <c r="G152">
        <v>20</v>
      </c>
      <c r="H152">
        <v>25</v>
      </c>
      <c r="I152">
        <v>841</v>
      </c>
      <c r="J152">
        <v>0</v>
      </c>
      <c r="K152">
        <v>2.8850000000000002</v>
      </c>
      <c r="L152">
        <v>11.450000000000001</v>
      </c>
      <c r="M152">
        <v>134.30000000000001</v>
      </c>
      <c r="N152">
        <v>10.950000000000001</v>
      </c>
      <c r="O152">
        <v>1679</v>
      </c>
      <c r="P152">
        <v>0</v>
      </c>
      <c r="Q152" s="5" t="e">
        <f>IF(AND(#REF!&gt;=table!$C$6,#REF!&lt;= table!$D$6),-1,IF(AND(#REF!&gt;=table!$E$6,#REF!&lt;=table!$F$6),1,0))</f>
        <v>#REF!</v>
      </c>
      <c r="R152" s="5" t="e">
        <f>IF(AND(#REF!&gt;=table!$C$7,#REF!&lt;= table!$D$7),-1,IF(AND(#REF!&gt;=table!$E$7,#REF!&lt;=table!$F$7),1,0))</f>
        <v>#REF!</v>
      </c>
      <c r="S152" s="5" t="e">
        <f>IF(AND(#REF!&gt;=table!$C$8,#REF!&lt;= table!$D$8),-1,IF(AND(#REF!&gt;=table!$E$8,#REF!&lt;=table!$F$8),1,0))</f>
        <v>#REF!</v>
      </c>
      <c r="T152" s="5"/>
      <c r="U152" s="5" t="e">
        <f>IF(AND(#REF!&gt;=table!$C$10,#REF!&lt;= table!$D$10),-1,IF(AND(#REF!&gt;=table!$E$10,#REF!&lt;=table!$F$10),1,0))</f>
        <v>#REF!</v>
      </c>
      <c r="V152" s="5" t="e">
        <f>IF(AND(#REF!&gt;=table!$C$11,#REF!&lt;= table!$D$11),-1,IF(AND(#REF!&gt;=table!$E$11,#REF!&lt;=table!$F$11),1,0))</f>
        <v>#REF!</v>
      </c>
      <c r="W152" s="5" t="e">
        <f>CONCATENATE(dados[[#This Row],[fator1]],dados[[#This Row],[fator5]],dados[[#This Row],[fator6]])</f>
        <v>#REF!</v>
      </c>
    </row>
    <row r="153" spans="1:23">
      <c r="A153" t="s">
        <v>16</v>
      </c>
      <c r="B153">
        <v>481167</v>
      </c>
      <c r="C153">
        <v>7</v>
      </c>
      <c r="D153">
        <v>35</v>
      </c>
      <c r="E153">
        <v>170</v>
      </c>
      <c r="F153">
        <v>6</v>
      </c>
      <c r="G153">
        <v>0</v>
      </c>
      <c r="H153">
        <v>20</v>
      </c>
      <c r="I153">
        <v>727</v>
      </c>
      <c r="J153">
        <v>760</v>
      </c>
      <c r="K153">
        <v>2.2400000000000002</v>
      </c>
      <c r="L153">
        <v>8.1999999999999993</v>
      </c>
      <c r="M153">
        <v>122.55</v>
      </c>
      <c r="N153">
        <v>13.950000000000001</v>
      </c>
      <c r="O153">
        <v>1665</v>
      </c>
      <c r="P153">
        <v>704</v>
      </c>
      <c r="Q153" s="5" t="e">
        <f>IF(AND(#REF!&gt;=table!$C$6,#REF!&lt;= table!$D$6),-1,IF(AND(#REF!&gt;=table!$E$6,#REF!&lt;=table!$F$6),1,0))</f>
        <v>#REF!</v>
      </c>
      <c r="R153" s="5" t="e">
        <f>IF(AND(#REF!&gt;=table!$C$7,#REF!&lt;= table!$D$7),-1,IF(AND(#REF!&gt;=table!$E$7,#REF!&lt;=table!$F$7),1,0))</f>
        <v>#REF!</v>
      </c>
      <c r="S153" s="5" t="e">
        <f>IF(AND(#REF!&gt;=table!$C$8,#REF!&lt;= table!$D$8),-1,IF(AND(#REF!&gt;=table!$E$8,#REF!&lt;=table!$F$8),1,0))</f>
        <v>#REF!</v>
      </c>
      <c r="T153" s="5"/>
      <c r="U153" s="5" t="e">
        <f>IF(AND(#REF!&gt;=table!$C$10,#REF!&lt;= table!$D$10),-1,IF(AND(#REF!&gt;=table!$E$10,#REF!&lt;=table!$F$10),1,0))</f>
        <v>#REF!</v>
      </c>
      <c r="V153" s="5" t="e">
        <f>IF(AND(#REF!&gt;=table!$C$11,#REF!&lt;= table!$D$11),-1,IF(AND(#REF!&gt;=table!$E$11,#REF!&lt;=table!$F$11),1,0))</f>
        <v>#REF!</v>
      </c>
      <c r="W153" s="5" t="e">
        <f>CONCATENATE(dados[[#This Row],[fator1]],dados[[#This Row],[fator5]],dados[[#This Row],[fator6]])</f>
        <v>#REF!</v>
      </c>
    </row>
    <row r="154" spans="1:23">
      <c r="A154" t="s">
        <v>17</v>
      </c>
      <c r="B154">
        <v>481169</v>
      </c>
      <c r="C154">
        <v>15</v>
      </c>
      <c r="D154">
        <v>35</v>
      </c>
      <c r="E154">
        <v>120</v>
      </c>
      <c r="F154">
        <v>4</v>
      </c>
      <c r="G154">
        <v>15</v>
      </c>
      <c r="H154">
        <v>20</v>
      </c>
      <c r="I154">
        <v>3</v>
      </c>
      <c r="J154">
        <v>0</v>
      </c>
      <c r="K154">
        <v>2.7250000000000001</v>
      </c>
      <c r="L154">
        <v>8.15</v>
      </c>
      <c r="M154">
        <v>105.10000000000001</v>
      </c>
      <c r="N154">
        <v>10.55</v>
      </c>
      <c r="O154">
        <v>1665</v>
      </c>
      <c r="P154">
        <v>851</v>
      </c>
      <c r="Q154" s="5" t="e">
        <f>IF(AND(#REF!&gt;=table!$C$6,#REF!&lt;= table!$D$6),-1,IF(AND(#REF!&gt;=table!$E$6,#REF!&lt;=table!$F$6),1,0))</f>
        <v>#REF!</v>
      </c>
      <c r="R154" s="5" t="e">
        <f>IF(AND(#REF!&gt;=table!$C$7,#REF!&lt;= table!$D$7),-1,IF(AND(#REF!&gt;=table!$E$7,#REF!&lt;=table!$F$7),1,0))</f>
        <v>#REF!</v>
      </c>
      <c r="S154" s="5" t="e">
        <f>IF(AND(#REF!&gt;=table!$C$8,#REF!&lt;= table!$D$8),-1,IF(AND(#REF!&gt;=table!$E$8,#REF!&lt;=table!$F$8),1,0))</f>
        <v>#REF!</v>
      </c>
      <c r="T154" s="5"/>
      <c r="U154" s="5" t="e">
        <f>IF(AND(#REF!&gt;=table!$C$10,#REF!&lt;= table!$D$10),-1,IF(AND(#REF!&gt;=table!$E$10,#REF!&lt;=table!$F$10),1,0))</f>
        <v>#REF!</v>
      </c>
      <c r="V154" s="5" t="e">
        <f>IF(AND(#REF!&gt;=table!$C$11,#REF!&lt;= table!$D$11),-1,IF(AND(#REF!&gt;=table!$E$11,#REF!&lt;=table!$F$11),1,0))</f>
        <v>#REF!</v>
      </c>
      <c r="W154" s="5" t="e">
        <f>CONCATENATE(dados[[#This Row],[fator1]],dados[[#This Row],[fator5]],dados[[#This Row],[fator6]])</f>
        <v>#REF!</v>
      </c>
    </row>
    <row r="155" spans="1:23">
      <c r="A155" t="s">
        <v>17</v>
      </c>
      <c r="B155">
        <v>481170</v>
      </c>
      <c r="C155">
        <v>14</v>
      </c>
      <c r="D155">
        <v>30</v>
      </c>
      <c r="E155">
        <v>110</v>
      </c>
      <c r="F155">
        <v>4</v>
      </c>
      <c r="G155">
        <v>20</v>
      </c>
      <c r="H155">
        <v>22</v>
      </c>
      <c r="I155">
        <v>0</v>
      </c>
      <c r="J155">
        <v>0</v>
      </c>
      <c r="K155">
        <v>5.8100000000000005</v>
      </c>
      <c r="L155">
        <v>12.805000000000001</v>
      </c>
      <c r="M155">
        <v>61.74</v>
      </c>
      <c r="N155">
        <v>11.14</v>
      </c>
      <c r="O155">
        <v>1640</v>
      </c>
      <c r="P155">
        <v>378</v>
      </c>
      <c r="Q155" s="5" t="e">
        <f>IF(AND(#REF!&gt;=table!$C$6,#REF!&lt;= table!$D$6),-1,IF(AND(#REF!&gt;=table!$E$6,#REF!&lt;=table!$F$6),1,0))</f>
        <v>#REF!</v>
      </c>
      <c r="R155" s="5" t="e">
        <f>IF(AND(#REF!&gt;=table!$C$7,#REF!&lt;= table!$D$7),-1,IF(AND(#REF!&gt;=table!$E$7,#REF!&lt;=table!$F$7),1,0))</f>
        <v>#REF!</v>
      </c>
      <c r="S155" s="5" t="e">
        <f>IF(AND(#REF!&gt;=table!$C$8,#REF!&lt;= table!$D$8),-1,IF(AND(#REF!&gt;=table!$E$8,#REF!&lt;=table!$F$8),1,0))</f>
        <v>#REF!</v>
      </c>
      <c r="T155" s="5"/>
      <c r="U155" s="5" t="e">
        <f>IF(AND(#REF!&gt;=table!$C$10,#REF!&lt;= table!$D$10),-1,IF(AND(#REF!&gt;=table!$E$10,#REF!&lt;=table!$F$10),1,0))</f>
        <v>#REF!</v>
      </c>
      <c r="V155" s="5" t="e">
        <f>IF(AND(#REF!&gt;=table!$C$11,#REF!&lt;= table!$D$11),-1,IF(AND(#REF!&gt;=table!$E$11,#REF!&lt;=table!$F$11),1,0))</f>
        <v>#REF!</v>
      </c>
      <c r="W155" s="5" t="e">
        <f>CONCATENATE(dados[[#This Row],[fator1]],dados[[#This Row],[fator5]],dados[[#This Row],[fator6]])</f>
        <v>#REF!</v>
      </c>
    </row>
    <row r="156" spans="1:23">
      <c r="A156" t="s">
        <v>16</v>
      </c>
      <c r="B156">
        <v>481172</v>
      </c>
      <c r="C156">
        <v>0.15</v>
      </c>
      <c r="D156">
        <v>40</v>
      </c>
      <c r="E156">
        <v>10</v>
      </c>
      <c r="F156">
        <v>15</v>
      </c>
      <c r="G156">
        <v>0</v>
      </c>
      <c r="H156">
        <v>15</v>
      </c>
      <c r="I156">
        <v>820</v>
      </c>
      <c r="J156">
        <v>0</v>
      </c>
      <c r="K156">
        <v>1.8450000000000002</v>
      </c>
      <c r="L156">
        <v>7.45</v>
      </c>
      <c r="M156">
        <v>6.51</v>
      </c>
      <c r="N156">
        <v>6.11</v>
      </c>
      <c r="O156">
        <v>1729</v>
      </c>
      <c r="P156">
        <v>0</v>
      </c>
      <c r="Q156" s="5" t="e">
        <f>IF(AND(#REF!&gt;=table!$C$6,#REF!&lt;= table!$D$6),-1,IF(AND(#REF!&gt;=table!$E$6,#REF!&lt;=table!$F$6),1,0))</f>
        <v>#REF!</v>
      </c>
      <c r="R156" s="5" t="e">
        <f>IF(AND(#REF!&gt;=table!$C$7,#REF!&lt;= table!$D$7),-1,IF(AND(#REF!&gt;=table!$E$7,#REF!&lt;=table!$F$7),1,0))</f>
        <v>#REF!</v>
      </c>
      <c r="S156" s="5" t="e">
        <f>IF(AND(#REF!&gt;=table!$C$8,#REF!&lt;= table!$D$8),-1,IF(AND(#REF!&gt;=table!$E$8,#REF!&lt;=table!$F$8),1,0))</f>
        <v>#REF!</v>
      </c>
      <c r="T156" s="5"/>
      <c r="U156" s="5" t="e">
        <f>IF(AND(#REF!&gt;=table!$C$10,#REF!&lt;= table!$D$10),-1,IF(AND(#REF!&gt;=table!$E$10,#REF!&lt;=table!$F$10),1,0))</f>
        <v>#REF!</v>
      </c>
      <c r="V156" s="5" t="e">
        <f>IF(AND(#REF!&gt;=table!$C$11,#REF!&lt;= table!$D$11),-1,IF(AND(#REF!&gt;=table!$E$11,#REF!&lt;=table!$F$11),1,0))</f>
        <v>#REF!</v>
      </c>
      <c r="W156" s="5" t="e">
        <f>CONCATENATE(dados[[#This Row],[fator1]],dados[[#This Row],[fator5]],dados[[#This Row],[fator6]])</f>
        <v>#REF!</v>
      </c>
    </row>
    <row r="157" spans="1:23">
      <c r="A157" t="s">
        <v>16</v>
      </c>
      <c r="B157">
        <v>481175</v>
      </c>
      <c r="C157">
        <v>10</v>
      </c>
      <c r="D157">
        <v>40</v>
      </c>
      <c r="E157">
        <v>136</v>
      </c>
      <c r="F157">
        <v>6</v>
      </c>
      <c r="G157">
        <v>0</v>
      </c>
      <c r="H157">
        <v>25</v>
      </c>
      <c r="I157">
        <v>0</v>
      </c>
      <c r="J157">
        <v>0</v>
      </c>
      <c r="K157">
        <v>4.74</v>
      </c>
      <c r="L157">
        <v>19.7</v>
      </c>
      <c r="M157">
        <v>128.89500000000001</v>
      </c>
      <c r="N157">
        <v>16.195</v>
      </c>
      <c r="O157">
        <v>1684</v>
      </c>
      <c r="P157">
        <v>519</v>
      </c>
      <c r="Q157" s="5" t="e">
        <f>IF(AND(#REF!&gt;=table!$C$6,#REF!&lt;= table!$D$6),-1,IF(AND(#REF!&gt;=table!$E$6,#REF!&lt;=table!$F$6),1,0))</f>
        <v>#REF!</v>
      </c>
      <c r="R157" s="5" t="e">
        <f>IF(AND(#REF!&gt;=table!$C$7,#REF!&lt;= table!$D$7),-1,IF(AND(#REF!&gt;=table!$E$7,#REF!&lt;=table!$F$7),1,0))</f>
        <v>#REF!</v>
      </c>
      <c r="S157" s="5" t="e">
        <f>IF(AND(#REF!&gt;=table!$C$8,#REF!&lt;= table!$D$8),-1,IF(AND(#REF!&gt;=table!$E$8,#REF!&lt;=table!$F$8),1,0))</f>
        <v>#REF!</v>
      </c>
      <c r="T157" s="5"/>
      <c r="U157" s="5" t="e">
        <f>IF(AND(#REF!&gt;=table!$C$10,#REF!&lt;= table!$D$10),-1,IF(AND(#REF!&gt;=table!$E$10,#REF!&lt;=table!$F$10),1,0))</f>
        <v>#REF!</v>
      </c>
      <c r="V157" s="5" t="e">
        <f>IF(AND(#REF!&gt;=table!$C$11,#REF!&lt;= table!$D$11),-1,IF(AND(#REF!&gt;=table!$E$11,#REF!&lt;=table!$F$11),1,0))</f>
        <v>#REF!</v>
      </c>
      <c r="W157" s="5" t="e">
        <f>CONCATENATE(dados[[#This Row],[fator1]],dados[[#This Row],[fator5]],dados[[#This Row],[fator6]])</f>
        <v>#REF!</v>
      </c>
    </row>
    <row r="158" spans="1:23">
      <c r="A158" t="s">
        <v>16</v>
      </c>
      <c r="B158">
        <v>481180</v>
      </c>
      <c r="C158">
        <v>0.15</v>
      </c>
      <c r="D158">
        <v>40</v>
      </c>
      <c r="E158">
        <v>10</v>
      </c>
      <c r="F158">
        <v>15</v>
      </c>
      <c r="G158">
        <v>0</v>
      </c>
      <c r="H158">
        <v>15</v>
      </c>
      <c r="I158">
        <v>515</v>
      </c>
      <c r="J158">
        <v>620</v>
      </c>
      <c r="K158">
        <v>6.7</v>
      </c>
      <c r="L158">
        <v>18.605</v>
      </c>
      <c r="M158">
        <v>12.85</v>
      </c>
      <c r="N158">
        <v>10.200000000000001</v>
      </c>
      <c r="O158">
        <v>1677</v>
      </c>
      <c r="P158">
        <v>0</v>
      </c>
      <c r="Q158" s="5" t="e">
        <f>IF(AND(#REF!&gt;=table!$C$6,#REF!&lt;= table!$D$6),-1,IF(AND(#REF!&gt;=table!$E$6,#REF!&lt;=table!$F$6),1,0))</f>
        <v>#REF!</v>
      </c>
      <c r="R158" s="5" t="e">
        <f>IF(AND(#REF!&gt;=table!$C$7,#REF!&lt;= table!$D$7),-1,IF(AND(#REF!&gt;=table!$E$7,#REF!&lt;=table!$F$7),1,0))</f>
        <v>#REF!</v>
      </c>
      <c r="S158" s="5" t="e">
        <f>IF(AND(#REF!&gt;=table!$C$8,#REF!&lt;= table!$D$8),-1,IF(AND(#REF!&gt;=table!$E$8,#REF!&lt;=table!$F$8),1,0))</f>
        <v>#REF!</v>
      </c>
      <c r="T158" s="5"/>
      <c r="U158" s="5" t="e">
        <f>IF(AND(#REF!&gt;=table!$C$10,#REF!&lt;= table!$D$10),-1,IF(AND(#REF!&gt;=table!$E$10,#REF!&lt;=table!$F$10),1,0))</f>
        <v>#REF!</v>
      </c>
      <c r="V158" s="5" t="e">
        <f>IF(AND(#REF!&gt;=table!$C$11,#REF!&lt;= table!$D$11),-1,IF(AND(#REF!&gt;=table!$E$11,#REF!&lt;=table!$F$11),1,0))</f>
        <v>#REF!</v>
      </c>
      <c r="W158" s="5" t="e">
        <f>CONCATENATE(dados[[#This Row],[fator1]],dados[[#This Row],[fator5]],dados[[#This Row],[fator6]])</f>
        <v>#REF!</v>
      </c>
    </row>
    <row r="159" spans="1:23">
      <c r="A159" t="s">
        <v>16</v>
      </c>
      <c r="B159">
        <v>481181</v>
      </c>
      <c r="C159">
        <v>0.15</v>
      </c>
      <c r="D159">
        <v>40</v>
      </c>
      <c r="E159">
        <v>10</v>
      </c>
      <c r="F159">
        <v>15</v>
      </c>
      <c r="G159">
        <v>0</v>
      </c>
      <c r="H159">
        <v>15</v>
      </c>
      <c r="I159">
        <v>681</v>
      </c>
      <c r="J159">
        <v>0</v>
      </c>
      <c r="K159">
        <v>4.5950000000000006</v>
      </c>
      <c r="L159">
        <v>14.415000000000001</v>
      </c>
      <c r="M159">
        <v>12.005000000000001</v>
      </c>
      <c r="N159">
        <v>9.09</v>
      </c>
      <c r="O159">
        <v>1696</v>
      </c>
      <c r="P159">
        <v>635</v>
      </c>
      <c r="Q159" s="5" t="e">
        <f>IF(AND(#REF!&gt;=table!$C$6,#REF!&lt;= table!$D$6),-1,IF(AND(#REF!&gt;=table!$E$6,#REF!&lt;=table!$F$6),1,0))</f>
        <v>#REF!</v>
      </c>
      <c r="R159" s="5" t="e">
        <f>IF(AND(#REF!&gt;=table!$C$7,#REF!&lt;= table!$D$7),-1,IF(AND(#REF!&gt;=table!$E$7,#REF!&lt;=table!$F$7),1,0))</f>
        <v>#REF!</v>
      </c>
      <c r="S159" s="5" t="e">
        <f>IF(AND(#REF!&gt;=table!$C$8,#REF!&lt;= table!$D$8),-1,IF(AND(#REF!&gt;=table!$E$8,#REF!&lt;=table!$F$8),1,0))</f>
        <v>#REF!</v>
      </c>
      <c r="T159" s="5"/>
      <c r="U159" s="5" t="e">
        <f>IF(AND(#REF!&gt;=table!$C$10,#REF!&lt;= table!$D$10),-1,IF(AND(#REF!&gt;=table!$E$10,#REF!&lt;=table!$F$10),1,0))</f>
        <v>#REF!</v>
      </c>
      <c r="V159" s="5" t="e">
        <f>IF(AND(#REF!&gt;=table!$C$11,#REF!&lt;= table!$D$11),-1,IF(AND(#REF!&gt;=table!$E$11,#REF!&lt;=table!$F$11),1,0))</f>
        <v>#REF!</v>
      </c>
      <c r="W159" s="5" t="e">
        <f>CONCATENATE(dados[[#This Row],[fator1]],dados[[#This Row],[fator5]],dados[[#This Row],[fator6]])</f>
        <v>#REF!</v>
      </c>
    </row>
    <row r="160" spans="1:23">
      <c r="A160" t="s">
        <v>16</v>
      </c>
      <c r="B160">
        <v>481182</v>
      </c>
      <c r="C160">
        <v>0.15</v>
      </c>
      <c r="D160">
        <v>40</v>
      </c>
      <c r="E160">
        <v>10</v>
      </c>
      <c r="F160">
        <v>15</v>
      </c>
      <c r="G160">
        <v>0</v>
      </c>
      <c r="H160">
        <v>15</v>
      </c>
      <c r="I160">
        <v>1614</v>
      </c>
      <c r="J160">
        <v>0</v>
      </c>
      <c r="K160">
        <v>3.5750000000000002</v>
      </c>
      <c r="L160">
        <v>10.200000000000001</v>
      </c>
      <c r="M160">
        <v>9.2050000000000001</v>
      </c>
      <c r="N160">
        <v>8.3350000000000009</v>
      </c>
      <c r="O160">
        <v>1663</v>
      </c>
      <c r="P160">
        <v>614</v>
      </c>
      <c r="Q160" s="5" t="e">
        <f>IF(AND(#REF!&gt;=table!$C$6,#REF!&lt;= table!$D$6),-1,IF(AND(#REF!&gt;=table!$E$6,#REF!&lt;=table!$F$6),1,0))</f>
        <v>#REF!</v>
      </c>
      <c r="R160" s="5" t="e">
        <f>IF(AND(#REF!&gt;=table!$C$7,#REF!&lt;= table!$D$7),-1,IF(AND(#REF!&gt;=table!$E$7,#REF!&lt;=table!$F$7),1,0))</f>
        <v>#REF!</v>
      </c>
      <c r="S160" s="5" t="e">
        <f>IF(AND(#REF!&gt;=table!$C$8,#REF!&lt;= table!$D$8),-1,IF(AND(#REF!&gt;=table!$E$8,#REF!&lt;=table!$F$8),1,0))</f>
        <v>#REF!</v>
      </c>
      <c r="T160" s="5"/>
      <c r="U160" s="5" t="e">
        <f>IF(AND(#REF!&gt;=table!$C$10,#REF!&lt;= table!$D$10),-1,IF(AND(#REF!&gt;=table!$E$10,#REF!&lt;=table!$F$10),1,0))</f>
        <v>#REF!</v>
      </c>
      <c r="V160" s="5" t="e">
        <f>IF(AND(#REF!&gt;=table!$C$11,#REF!&lt;= table!$D$11),-1,IF(AND(#REF!&gt;=table!$E$11,#REF!&lt;=table!$F$11),1,0))</f>
        <v>#REF!</v>
      </c>
      <c r="W160" s="5" t="e">
        <f>CONCATENATE(dados[[#This Row],[fator1]],dados[[#This Row],[fator5]],dados[[#This Row],[fator6]])</f>
        <v>#REF!</v>
      </c>
    </row>
    <row r="161" spans="1:23">
      <c r="A161" t="s">
        <v>16</v>
      </c>
      <c r="B161">
        <v>481187</v>
      </c>
      <c r="C161">
        <v>0.15</v>
      </c>
      <c r="D161">
        <v>40</v>
      </c>
      <c r="E161">
        <v>10</v>
      </c>
      <c r="F161">
        <v>15</v>
      </c>
      <c r="G161">
        <v>0</v>
      </c>
      <c r="H161">
        <v>15</v>
      </c>
      <c r="I161">
        <v>940</v>
      </c>
      <c r="J161">
        <v>0</v>
      </c>
      <c r="K161">
        <v>3.1</v>
      </c>
      <c r="L161">
        <v>11.85</v>
      </c>
      <c r="M161">
        <v>10.42</v>
      </c>
      <c r="N161">
        <v>10.935</v>
      </c>
      <c r="O161">
        <v>1692</v>
      </c>
      <c r="P161">
        <v>790</v>
      </c>
      <c r="Q161" s="5" t="e">
        <f>IF(AND(#REF!&gt;=table!$C$6,#REF!&lt;= table!$D$6),-1,IF(AND(#REF!&gt;=table!$E$6,#REF!&lt;=table!$F$6),1,0))</f>
        <v>#REF!</v>
      </c>
      <c r="R161" s="5" t="e">
        <f>IF(AND(#REF!&gt;=table!$C$7,#REF!&lt;= table!$D$7),-1,IF(AND(#REF!&gt;=table!$E$7,#REF!&lt;=table!$F$7),1,0))</f>
        <v>#REF!</v>
      </c>
      <c r="S161" s="5" t="e">
        <f>IF(AND(#REF!&gt;=table!$C$8,#REF!&lt;= table!$D$8),-1,IF(AND(#REF!&gt;=table!$E$8,#REF!&lt;=table!$F$8),1,0))</f>
        <v>#REF!</v>
      </c>
      <c r="T161" s="5"/>
      <c r="U161" s="5" t="e">
        <f>IF(AND(#REF!&gt;=table!$C$10,#REF!&lt;= table!$D$10),-1,IF(AND(#REF!&gt;=table!$E$10,#REF!&lt;=table!$F$10),1,0))</f>
        <v>#REF!</v>
      </c>
      <c r="V161" s="5" t="e">
        <f>IF(AND(#REF!&gt;=table!$C$11,#REF!&lt;= table!$D$11),-1,IF(AND(#REF!&gt;=table!$E$11,#REF!&lt;=table!$F$11),1,0))</f>
        <v>#REF!</v>
      </c>
      <c r="W161" s="5" t="e">
        <f>CONCATENATE(dados[[#This Row],[fator1]],dados[[#This Row],[fator5]],dados[[#This Row],[fator6]])</f>
        <v>#REF!</v>
      </c>
    </row>
    <row r="162" spans="1:23">
      <c r="A162" t="s">
        <v>16</v>
      </c>
      <c r="B162">
        <v>481194</v>
      </c>
      <c r="C162">
        <v>4</v>
      </c>
      <c r="D162">
        <v>40</v>
      </c>
      <c r="E162">
        <v>23</v>
      </c>
      <c r="F162">
        <v>20</v>
      </c>
      <c r="G162">
        <v>0</v>
      </c>
      <c r="H162">
        <v>25</v>
      </c>
      <c r="I162">
        <v>1221</v>
      </c>
      <c r="J162">
        <v>0</v>
      </c>
      <c r="K162">
        <v>3.395</v>
      </c>
      <c r="L162">
        <v>12.950000000000001</v>
      </c>
      <c r="M162">
        <v>11.75</v>
      </c>
      <c r="N162">
        <v>8.35</v>
      </c>
      <c r="O162">
        <v>1679</v>
      </c>
      <c r="P162">
        <v>0</v>
      </c>
      <c r="Q162" s="5" t="e">
        <f>IF(AND(#REF!&gt;=table!$C$6,#REF!&lt;= table!$D$6),-1,IF(AND(#REF!&gt;=table!$E$6,#REF!&lt;=table!$F$6),1,0))</f>
        <v>#REF!</v>
      </c>
      <c r="R162" s="5" t="e">
        <f>IF(AND(#REF!&gt;=table!$C$7,#REF!&lt;= table!$D$7),-1,IF(AND(#REF!&gt;=table!$E$7,#REF!&lt;=table!$F$7),1,0))</f>
        <v>#REF!</v>
      </c>
      <c r="S162" s="5" t="e">
        <f>IF(AND(#REF!&gt;=table!$C$8,#REF!&lt;= table!$D$8),-1,IF(AND(#REF!&gt;=table!$E$8,#REF!&lt;=table!$F$8),1,0))</f>
        <v>#REF!</v>
      </c>
      <c r="T162" s="5"/>
      <c r="U162" s="5" t="e">
        <f>IF(AND(#REF!&gt;=table!$C$10,#REF!&lt;= table!$D$10),-1,IF(AND(#REF!&gt;=table!$E$10,#REF!&lt;=table!$F$10),1,0))</f>
        <v>#REF!</v>
      </c>
      <c r="V162" s="5" t="e">
        <f>IF(AND(#REF!&gt;=table!$C$11,#REF!&lt;= table!$D$11),-1,IF(AND(#REF!&gt;=table!$E$11,#REF!&lt;=table!$F$11),1,0))</f>
        <v>#REF!</v>
      </c>
      <c r="W162" s="5" t="e">
        <f>CONCATENATE(dados[[#This Row],[fator1]],dados[[#This Row],[fator5]],dados[[#This Row],[fator6]])</f>
        <v>#REF!</v>
      </c>
    </row>
    <row r="163" spans="1:23">
      <c r="A163" t="s">
        <v>16</v>
      </c>
      <c r="B163">
        <v>481196</v>
      </c>
      <c r="C163">
        <v>0.15</v>
      </c>
      <c r="D163">
        <v>40</v>
      </c>
      <c r="E163">
        <v>10</v>
      </c>
      <c r="F163">
        <v>15</v>
      </c>
      <c r="G163">
        <v>0</v>
      </c>
      <c r="H163">
        <v>15</v>
      </c>
      <c r="I163">
        <v>1471</v>
      </c>
      <c r="J163">
        <v>0</v>
      </c>
      <c r="K163">
        <v>5.5600000000000005</v>
      </c>
      <c r="L163">
        <v>14.8</v>
      </c>
      <c r="M163">
        <v>13.15</v>
      </c>
      <c r="N163">
        <v>10.200000000000001</v>
      </c>
      <c r="O163">
        <v>1682</v>
      </c>
      <c r="P163">
        <v>460</v>
      </c>
      <c r="Q163" s="5" t="e">
        <f>IF(AND(#REF!&gt;=table!$C$6,#REF!&lt;= table!$D$6),-1,IF(AND(#REF!&gt;=table!$E$6,#REF!&lt;=table!$F$6),1,0))</f>
        <v>#REF!</v>
      </c>
      <c r="R163" s="5" t="e">
        <f>IF(AND(#REF!&gt;=table!$C$7,#REF!&lt;= table!$D$7),-1,IF(AND(#REF!&gt;=table!$E$7,#REF!&lt;=table!$F$7),1,0))</f>
        <v>#REF!</v>
      </c>
      <c r="S163" s="5" t="e">
        <f>IF(AND(#REF!&gt;=table!$C$8,#REF!&lt;= table!$D$8),-1,IF(AND(#REF!&gt;=table!$E$8,#REF!&lt;=table!$F$8),1,0))</f>
        <v>#REF!</v>
      </c>
      <c r="T163" s="5"/>
      <c r="U163" s="5" t="e">
        <f>IF(AND(#REF!&gt;=table!$C$10,#REF!&lt;= table!$D$10),-1,IF(AND(#REF!&gt;=table!$E$10,#REF!&lt;=table!$F$10),1,0))</f>
        <v>#REF!</v>
      </c>
      <c r="V163" s="5" t="e">
        <f>IF(AND(#REF!&gt;=table!$C$11,#REF!&lt;= table!$D$11),-1,IF(AND(#REF!&gt;=table!$E$11,#REF!&lt;=table!$F$11),1,0))</f>
        <v>#REF!</v>
      </c>
      <c r="W163" s="5" t="e">
        <f>CONCATENATE(dados[[#This Row],[fator1]],dados[[#This Row],[fator5]],dados[[#This Row],[fator6]])</f>
        <v>#REF!</v>
      </c>
    </row>
    <row r="164" spans="1:23">
      <c r="A164" t="s">
        <v>17</v>
      </c>
      <c r="B164">
        <v>481200</v>
      </c>
      <c r="C164">
        <v>46</v>
      </c>
      <c r="D164">
        <v>18</v>
      </c>
      <c r="E164">
        <v>66</v>
      </c>
      <c r="F164">
        <v>10</v>
      </c>
      <c r="G164">
        <v>20</v>
      </c>
      <c r="H164">
        <v>23</v>
      </c>
      <c r="I164">
        <v>315</v>
      </c>
      <c r="J164">
        <v>0</v>
      </c>
      <c r="K164">
        <v>6.6450000000000005</v>
      </c>
      <c r="L164">
        <v>17.8</v>
      </c>
      <c r="M164">
        <v>65.234999999999999</v>
      </c>
      <c r="N164">
        <v>14.255000000000001</v>
      </c>
      <c r="O164">
        <v>1674</v>
      </c>
      <c r="P164">
        <v>357</v>
      </c>
      <c r="Q164" s="5" t="e">
        <f>IF(AND(#REF!&gt;=table!$C$6,#REF!&lt;= table!$D$6),-1,IF(AND(#REF!&gt;=table!$E$6,#REF!&lt;=table!$F$6),1,0))</f>
        <v>#REF!</v>
      </c>
      <c r="R164" s="5" t="e">
        <f>IF(AND(#REF!&gt;=table!$C$7,#REF!&lt;= table!$D$7),-1,IF(AND(#REF!&gt;=table!$E$7,#REF!&lt;=table!$F$7),1,0))</f>
        <v>#REF!</v>
      </c>
      <c r="S164" s="5" t="e">
        <f>IF(AND(#REF!&gt;=table!$C$8,#REF!&lt;= table!$D$8),-1,IF(AND(#REF!&gt;=table!$E$8,#REF!&lt;=table!$F$8),1,0))</f>
        <v>#REF!</v>
      </c>
      <c r="T164" s="5"/>
      <c r="U164" s="5" t="e">
        <f>IF(AND(#REF!&gt;=table!$C$10,#REF!&lt;= table!$D$10),-1,IF(AND(#REF!&gt;=table!$E$10,#REF!&lt;=table!$F$10),1,0))</f>
        <v>#REF!</v>
      </c>
      <c r="V164" s="5" t="e">
        <f>IF(AND(#REF!&gt;=table!$C$11,#REF!&lt;= table!$D$11),-1,IF(AND(#REF!&gt;=table!$E$11,#REF!&lt;=table!$F$11),1,0))</f>
        <v>#REF!</v>
      </c>
      <c r="W164" s="5" t="e">
        <f>CONCATENATE(dados[[#This Row],[fator1]],dados[[#This Row],[fator5]],dados[[#This Row],[fator6]])</f>
        <v>#REF!</v>
      </c>
    </row>
    <row r="165" spans="1:23">
      <c r="A165" t="s">
        <v>17</v>
      </c>
      <c r="B165">
        <v>481202</v>
      </c>
      <c r="C165">
        <v>20</v>
      </c>
      <c r="D165">
        <v>33</v>
      </c>
      <c r="E165">
        <v>66</v>
      </c>
      <c r="F165">
        <v>4</v>
      </c>
      <c r="G165">
        <v>20</v>
      </c>
      <c r="H165">
        <v>25</v>
      </c>
      <c r="I165">
        <v>78</v>
      </c>
      <c r="J165">
        <v>0</v>
      </c>
      <c r="K165">
        <v>6.38</v>
      </c>
      <c r="L165">
        <v>10.64</v>
      </c>
      <c r="M165">
        <v>54.325000000000003</v>
      </c>
      <c r="N165">
        <v>9.4649999999999999</v>
      </c>
      <c r="O165">
        <v>1687</v>
      </c>
      <c r="P165">
        <v>0</v>
      </c>
      <c r="Q165" s="5" t="e">
        <f>IF(AND(#REF!&gt;=table!$C$6,#REF!&lt;= table!$D$6),-1,IF(AND(#REF!&gt;=table!$E$6,#REF!&lt;=table!$F$6),1,0))</f>
        <v>#REF!</v>
      </c>
      <c r="R165" s="5" t="e">
        <f>IF(AND(#REF!&gt;=table!$C$7,#REF!&lt;= table!$D$7),-1,IF(AND(#REF!&gt;=table!$E$7,#REF!&lt;=table!$F$7),1,0))</f>
        <v>#REF!</v>
      </c>
      <c r="S165" s="5" t="e">
        <f>IF(AND(#REF!&gt;=table!$C$8,#REF!&lt;= table!$D$8),-1,IF(AND(#REF!&gt;=table!$E$8,#REF!&lt;=table!$F$8),1,0))</f>
        <v>#REF!</v>
      </c>
      <c r="T165" s="5"/>
      <c r="U165" s="5" t="e">
        <f>IF(AND(#REF!&gt;=table!$C$10,#REF!&lt;= table!$D$10),-1,IF(AND(#REF!&gt;=table!$E$10,#REF!&lt;=table!$F$10),1,0))</f>
        <v>#REF!</v>
      </c>
      <c r="V165" s="5" t="e">
        <f>IF(AND(#REF!&gt;=table!$C$11,#REF!&lt;= table!$D$11),-1,IF(AND(#REF!&gt;=table!$E$11,#REF!&lt;=table!$F$11),1,0))</f>
        <v>#REF!</v>
      </c>
      <c r="W165" s="5" t="e">
        <f>CONCATENATE(dados[[#This Row],[fator1]],dados[[#This Row],[fator5]],dados[[#This Row],[fator6]])</f>
        <v>#REF!</v>
      </c>
    </row>
    <row r="166" spans="1:23">
      <c r="A166" t="s">
        <v>17</v>
      </c>
      <c r="B166">
        <v>481203</v>
      </c>
      <c r="C166">
        <v>9</v>
      </c>
      <c r="D166">
        <v>50</v>
      </c>
      <c r="E166">
        <v>190</v>
      </c>
      <c r="F166">
        <v>6</v>
      </c>
      <c r="G166">
        <v>20</v>
      </c>
      <c r="H166">
        <v>25</v>
      </c>
      <c r="I166">
        <v>581</v>
      </c>
      <c r="J166">
        <v>0</v>
      </c>
      <c r="K166">
        <v>2.0920000000000001</v>
      </c>
      <c r="L166">
        <v>8.3949999999999996</v>
      </c>
      <c r="M166">
        <v>173.13</v>
      </c>
      <c r="N166">
        <v>10.515000000000001</v>
      </c>
      <c r="O166">
        <v>1674</v>
      </c>
      <c r="P166">
        <v>1030</v>
      </c>
      <c r="Q166" s="5" t="e">
        <f>IF(AND(#REF!&gt;=table!$C$6,#REF!&lt;= table!$D$6),-1,IF(AND(#REF!&gt;=table!$E$6,#REF!&lt;=table!$F$6),1,0))</f>
        <v>#REF!</v>
      </c>
      <c r="R166" s="5" t="e">
        <f>IF(AND(#REF!&gt;=table!$C$7,#REF!&lt;= table!$D$7),-1,IF(AND(#REF!&gt;=table!$E$7,#REF!&lt;=table!$F$7),1,0))</f>
        <v>#REF!</v>
      </c>
      <c r="S166" s="5" t="e">
        <f>IF(AND(#REF!&gt;=table!$C$8,#REF!&lt;= table!$D$8),-1,IF(AND(#REF!&gt;=table!$E$8,#REF!&lt;=table!$F$8),1,0))</f>
        <v>#REF!</v>
      </c>
      <c r="T166" s="5"/>
      <c r="U166" s="5" t="e">
        <f>IF(AND(#REF!&gt;=table!$C$10,#REF!&lt;= table!$D$10),-1,IF(AND(#REF!&gt;=table!$E$10,#REF!&lt;=table!$F$10),1,0))</f>
        <v>#REF!</v>
      </c>
      <c r="V166" s="5" t="e">
        <f>IF(AND(#REF!&gt;=table!$C$11,#REF!&lt;= table!$D$11),-1,IF(AND(#REF!&gt;=table!$E$11,#REF!&lt;=table!$F$11),1,0))</f>
        <v>#REF!</v>
      </c>
      <c r="W166" s="5" t="e">
        <f>CONCATENATE(dados[[#This Row],[fator1]],dados[[#This Row],[fator5]],dados[[#This Row],[fator6]])</f>
        <v>#REF!</v>
      </c>
    </row>
    <row r="167" spans="1:23">
      <c r="A167" t="s">
        <v>17</v>
      </c>
      <c r="B167">
        <v>481204</v>
      </c>
      <c r="C167">
        <v>14</v>
      </c>
      <c r="D167">
        <v>30</v>
      </c>
      <c r="E167">
        <v>66</v>
      </c>
      <c r="F167">
        <v>9</v>
      </c>
      <c r="G167">
        <v>20</v>
      </c>
      <c r="H167">
        <v>25</v>
      </c>
      <c r="I167">
        <v>808</v>
      </c>
      <c r="J167">
        <v>0</v>
      </c>
      <c r="K167">
        <v>5.4950000000000001</v>
      </c>
      <c r="L167">
        <v>16.440000000000001</v>
      </c>
      <c r="M167">
        <v>57.95</v>
      </c>
      <c r="N167">
        <v>10.16</v>
      </c>
      <c r="O167">
        <v>1675</v>
      </c>
      <c r="P167">
        <v>0</v>
      </c>
      <c r="Q167" s="5" t="e">
        <f>IF(AND(#REF!&gt;=table!$C$6,#REF!&lt;= table!$D$6),-1,IF(AND(#REF!&gt;=table!$E$6,#REF!&lt;=table!$F$6),1,0))</f>
        <v>#REF!</v>
      </c>
      <c r="R167" s="5" t="e">
        <f>IF(AND(#REF!&gt;=table!$C$7,#REF!&lt;= table!$D$7),-1,IF(AND(#REF!&gt;=table!$E$7,#REF!&lt;=table!$F$7),1,0))</f>
        <v>#REF!</v>
      </c>
      <c r="S167" s="5" t="e">
        <f>IF(AND(#REF!&gt;=table!$C$8,#REF!&lt;= table!$D$8),-1,IF(AND(#REF!&gt;=table!$E$8,#REF!&lt;=table!$F$8),1,0))</f>
        <v>#REF!</v>
      </c>
      <c r="T167" s="5"/>
      <c r="U167" s="5" t="e">
        <f>IF(AND(#REF!&gt;=table!$C$10,#REF!&lt;= table!$D$10),-1,IF(AND(#REF!&gt;=table!$E$10,#REF!&lt;=table!$F$10),1,0))</f>
        <v>#REF!</v>
      </c>
      <c r="V167" s="5" t="e">
        <f>IF(AND(#REF!&gt;=table!$C$11,#REF!&lt;= table!$D$11),-1,IF(AND(#REF!&gt;=table!$E$11,#REF!&lt;=table!$F$11),1,0))</f>
        <v>#REF!</v>
      </c>
      <c r="W167" s="5" t="e">
        <f>CONCATENATE(dados[[#This Row],[fator1]],dados[[#This Row],[fator5]],dados[[#This Row],[fator6]])</f>
        <v>#REF!</v>
      </c>
    </row>
    <row r="168" spans="1:23">
      <c r="A168" t="s">
        <v>17</v>
      </c>
      <c r="B168">
        <v>481205</v>
      </c>
      <c r="C168">
        <v>14</v>
      </c>
      <c r="D168">
        <v>30</v>
      </c>
      <c r="E168">
        <v>66</v>
      </c>
      <c r="F168">
        <v>9</v>
      </c>
      <c r="G168">
        <v>20</v>
      </c>
      <c r="H168">
        <v>25</v>
      </c>
      <c r="I168">
        <v>1042</v>
      </c>
      <c r="J168">
        <v>1040</v>
      </c>
      <c r="K168">
        <v>4.6900000000000004</v>
      </c>
      <c r="L168">
        <v>8.1750000000000007</v>
      </c>
      <c r="M168">
        <v>53.89</v>
      </c>
      <c r="N168">
        <v>10.15</v>
      </c>
      <c r="O168">
        <v>1589</v>
      </c>
      <c r="P168">
        <v>543</v>
      </c>
      <c r="Q168" s="5" t="e">
        <f>IF(AND(#REF!&gt;=table!$C$6,#REF!&lt;= table!$D$6),-1,IF(AND(#REF!&gt;=table!$E$6,#REF!&lt;=table!$F$6),1,0))</f>
        <v>#REF!</v>
      </c>
      <c r="R168" s="5" t="e">
        <f>IF(AND(#REF!&gt;=table!$C$7,#REF!&lt;= table!$D$7),-1,IF(AND(#REF!&gt;=table!$E$7,#REF!&lt;=table!$F$7),1,0))</f>
        <v>#REF!</v>
      </c>
      <c r="S168" s="5" t="e">
        <f>IF(AND(#REF!&gt;=table!$C$8,#REF!&lt;= table!$D$8),-1,IF(AND(#REF!&gt;=table!$E$8,#REF!&lt;=table!$F$8),1,0))</f>
        <v>#REF!</v>
      </c>
      <c r="T168" s="5"/>
      <c r="U168" s="5" t="e">
        <f>IF(AND(#REF!&gt;=table!$C$10,#REF!&lt;= table!$D$10),-1,IF(AND(#REF!&gt;=table!$E$10,#REF!&lt;=table!$F$10),1,0))</f>
        <v>#REF!</v>
      </c>
      <c r="V168" s="5" t="e">
        <f>IF(AND(#REF!&gt;=table!$C$11,#REF!&lt;= table!$D$11),-1,IF(AND(#REF!&gt;=table!$E$11,#REF!&lt;=table!$F$11),1,0))</f>
        <v>#REF!</v>
      </c>
      <c r="W168" s="5" t="e">
        <f>CONCATENATE(dados[[#This Row],[fator1]],dados[[#This Row],[fator5]],dados[[#This Row],[fator6]])</f>
        <v>#REF!</v>
      </c>
    </row>
    <row r="169" spans="1:23">
      <c r="A169" t="s">
        <v>17</v>
      </c>
      <c r="B169">
        <v>481208</v>
      </c>
      <c r="C169">
        <v>12</v>
      </c>
      <c r="D169">
        <v>25</v>
      </c>
      <c r="E169">
        <v>120</v>
      </c>
      <c r="F169">
        <v>9</v>
      </c>
      <c r="G169">
        <v>110</v>
      </c>
      <c r="H169">
        <v>50</v>
      </c>
      <c r="I169">
        <v>17</v>
      </c>
      <c r="J169">
        <v>0</v>
      </c>
      <c r="K169">
        <v>2.6350000000000002</v>
      </c>
      <c r="L169">
        <v>12.275</v>
      </c>
      <c r="M169">
        <v>105.455</v>
      </c>
      <c r="N169">
        <v>20.445</v>
      </c>
      <c r="O169">
        <v>1679</v>
      </c>
      <c r="P169">
        <v>0</v>
      </c>
      <c r="Q169" s="5" t="e">
        <f>IF(AND(#REF!&gt;=table!$C$6,#REF!&lt;= table!$D$6),-1,IF(AND(#REF!&gt;=table!$E$6,#REF!&lt;=table!$F$6),1,0))</f>
        <v>#REF!</v>
      </c>
      <c r="R169" s="5" t="e">
        <f>IF(AND(#REF!&gt;=table!$C$7,#REF!&lt;= table!$D$7),-1,IF(AND(#REF!&gt;=table!$E$7,#REF!&lt;=table!$F$7),1,0))</f>
        <v>#REF!</v>
      </c>
      <c r="S169" s="5" t="e">
        <f>IF(AND(#REF!&gt;=table!$C$8,#REF!&lt;= table!$D$8),-1,IF(AND(#REF!&gt;=table!$E$8,#REF!&lt;=table!$F$8),1,0))</f>
        <v>#REF!</v>
      </c>
      <c r="T169" s="5"/>
      <c r="U169" s="5" t="e">
        <f>IF(AND(#REF!&gt;=table!$C$10,#REF!&lt;= table!$D$10),-1,IF(AND(#REF!&gt;=table!$E$10,#REF!&lt;=table!$F$10),1,0))</f>
        <v>#REF!</v>
      </c>
      <c r="V169" s="5" t="e">
        <f>IF(AND(#REF!&gt;=table!$C$11,#REF!&lt;= table!$D$11),-1,IF(AND(#REF!&gt;=table!$E$11,#REF!&lt;=table!$F$11),1,0))</f>
        <v>#REF!</v>
      </c>
      <c r="W169" s="5" t="e">
        <f>CONCATENATE(dados[[#This Row],[fator1]],dados[[#This Row],[fator5]],dados[[#This Row],[fator6]])</f>
        <v>#REF!</v>
      </c>
    </row>
    <row r="170" spans="1:23">
      <c r="A170" t="s">
        <v>17</v>
      </c>
      <c r="B170">
        <v>481210</v>
      </c>
      <c r="C170">
        <v>16</v>
      </c>
      <c r="D170">
        <v>23</v>
      </c>
      <c r="E170">
        <v>145</v>
      </c>
      <c r="F170">
        <v>9</v>
      </c>
      <c r="G170">
        <v>30</v>
      </c>
      <c r="H170">
        <v>25</v>
      </c>
      <c r="I170">
        <v>812</v>
      </c>
      <c r="J170">
        <v>0</v>
      </c>
      <c r="K170">
        <v>3.68</v>
      </c>
      <c r="L170">
        <v>21.900000000000002</v>
      </c>
      <c r="M170">
        <v>126</v>
      </c>
      <c r="N170">
        <v>19.75</v>
      </c>
      <c r="O170">
        <v>1690</v>
      </c>
      <c r="P170">
        <v>0</v>
      </c>
      <c r="Q170" s="5" t="e">
        <f>IF(AND(#REF!&gt;=table!$C$6,#REF!&lt;= table!$D$6),-1,IF(AND(#REF!&gt;=table!$E$6,#REF!&lt;=table!$F$6),1,0))</f>
        <v>#REF!</v>
      </c>
      <c r="R170" s="5" t="e">
        <f>IF(AND(#REF!&gt;=table!$C$7,#REF!&lt;= table!$D$7),-1,IF(AND(#REF!&gt;=table!$E$7,#REF!&lt;=table!$F$7),1,0))</f>
        <v>#REF!</v>
      </c>
      <c r="S170" s="5" t="e">
        <f>IF(AND(#REF!&gt;=table!$C$8,#REF!&lt;= table!$D$8),-1,IF(AND(#REF!&gt;=table!$E$8,#REF!&lt;=table!$F$8),1,0))</f>
        <v>#REF!</v>
      </c>
      <c r="T170" s="5"/>
      <c r="U170" s="5" t="e">
        <f>IF(AND(#REF!&gt;=table!$C$10,#REF!&lt;= table!$D$10),-1,IF(AND(#REF!&gt;=table!$E$10,#REF!&lt;=table!$F$10),1,0))</f>
        <v>#REF!</v>
      </c>
      <c r="V170" s="5" t="e">
        <f>IF(AND(#REF!&gt;=table!$C$11,#REF!&lt;= table!$D$11),-1,IF(AND(#REF!&gt;=table!$E$11,#REF!&lt;=table!$F$11),1,0))</f>
        <v>#REF!</v>
      </c>
      <c r="W170" s="5" t="e">
        <f>CONCATENATE(dados[[#This Row],[fator1]],dados[[#This Row],[fator5]],dados[[#This Row],[fator6]])</f>
        <v>#REF!</v>
      </c>
    </row>
    <row r="171" spans="1:23">
      <c r="A171" t="s">
        <v>17</v>
      </c>
      <c r="B171">
        <v>481211</v>
      </c>
      <c r="C171">
        <v>16</v>
      </c>
      <c r="D171">
        <v>33</v>
      </c>
      <c r="E171">
        <v>150</v>
      </c>
      <c r="F171">
        <v>10</v>
      </c>
      <c r="G171">
        <v>15</v>
      </c>
      <c r="H171">
        <v>25</v>
      </c>
      <c r="I171">
        <v>1181</v>
      </c>
      <c r="J171">
        <v>0</v>
      </c>
      <c r="K171">
        <v>3.22</v>
      </c>
      <c r="L171">
        <v>16.149999999999999</v>
      </c>
      <c r="M171">
        <v>114.28</v>
      </c>
      <c r="N171">
        <v>13.01</v>
      </c>
      <c r="O171">
        <v>1697</v>
      </c>
      <c r="P171">
        <v>837</v>
      </c>
      <c r="Q171" s="5" t="e">
        <f>IF(AND(#REF!&gt;=table!$C$6,#REF!&lt;= table!$D$6),-1,IF(AND(#REF!&gt;=table!$E$6,#REF!&lt;=table!$F$6),1,0))</f>
        <v>#REF!</v>
      </c>
      <c r="R171" s="5" t="e">
        <f>IF(AND(#REF!&gt;=table!$C$7,#REF!&lt;= table!$D$7),-1,IF(AND(#REF!&gt;=table!$E$7,#REF!&lt;=table!$F$7),1,0))</f>
        <v>#REF!</v>
      </c>
      <c r="S171" s="5" t="e">
        <f>IF(AND(#REF!&gt;=table!$C$8,#REF!&lt;= table!$D$8),-1,IF(AND(#REF!&gt;=table!$E$8,#REF!&lt;=table!$F$8),1,0))</f>
        <v>#REF!</v>
      </c>
      <c r="T171" s="5"/>
      <c r="U171" s="5" t="e">
        <f>IF(AND(#REF!&gt;=table!$C$10,#REF!&lt;= table!$D$10),-1,IF(AND(#REF!&gt;=table!$E$10,#REF!&lt;=table!$F$10),1,0))</f>
        <v>#REF!</v>
      </c>
      <c r="V171" s="5" t="e">
        <f>IF(AND(#REF!&gt;=table!$C$11,#REF!&lt;= table!$D$11),-1,IF(AND(#REF!&gt;=table!$E$11,#REF!&lt;=table!$F$11),1,0))</f>
        <v>#REF!</v>
      </c>
      <c r="W171" s="5" t="e">
        <f>CONCATENATE(dados[[#This Row],[fator1]],dados[[#This Row],[fator5]],dados[[#This Row],[fator6]])</f>
        <v>#REF!</v>
      </c>
    </row>
    <row r="172" spans="1:23">
      <c r="A172" t="s">
        <v>17</v>
      </c>
      <c r="B172">
        <v>481212</v>
      </c>
      <c r="C172">
        <v>16</v>
      </c>
      <c r="D172">
        <v>33</v>
      </c>
      <c r="E172">
        <v>150</v>
      </c>
      <c r="F172">
        <v>10</v>
      </c>
      <c r="G172">
        <v>15</v>
      </c>
      <c r="H172">
        <v>25</v>
      </c>
      <c r="I172">
        <v>1582</v>
      </c>
      <c r="J172">
        <v>0</v>
      </c>
      <c r="K172">
        <v>3.79</v>
      </c>
      <c r="L172">
        <v>17.95</v>
      </c>
      <c r="M172">
        <v>127.35000000000001</v>
      </c>
      <c r="N172">
        <v>16.05</v>
      </c>
      <c r="O172">
        <v>1662</v>
      </c>
      <c r="P172">
        <v>680</v>
      </c>
      <c r="Q172" s="5" t="e">
        <f>IF(AND(#REF!&gt;=table!$C$6,#REF!&lt;= table!$D$6),-1,IF(AND(#REF!&gt;=table!$E$6,#REF!&lt;=table!$F$6),1,0))</f>
        <v>#REF!</v>
      </c>
      <c r="R172" s="5" t="e">
        <f>IF(AND(#REF!&gt;=table!$C$7,#REF!&lt;= table!$D$7),-1,IF(AND(#REF!&gt;=table!$E$7,#REF!&lt;=table!$F$7),1,0))</f>
        <v>#REF!</v>
      </c>
      <c r="S172" s="5" t="e">
        <f>IF(AND(#REF!&gt;=table!$C$8,#REF!&lt;= table!$D$8),-1,IF(AND(#REF!&gt;=table!$E$8,#REF!&lt;=table!$F$8),1,0))</f>
        <v>#REF!</v>
      </c>
      <c r="T172" s="5"/>
      <c r="U172" s="5" t="e">
        <f>IF(AND(#REF!&gt;=table!$C$10,#REF!&lt;= table!$D$10),-1,IF(AND(#REF!&gt;=table!$E$10,#REF!&lt;=table!$F$10),1,0))</f>
        <v>#REF!</v>
      </c>
      <c r="V172" s="5" t="e">
        <f>IF(AND(#REF!&gt;=table!$C$11,#REF!&lt;= table!$D$11),-1,IF(AND(#REF!&gt;=table!$E$11,#REF!&lt;=table!$F$11),1,0))</f>
        <v>#REF!</v>
      </c>
      <c r="W172" s="5" t="e">
        <f>CONCATENATE(dados[[#This Row],[fator1]],dados[[#This Row],[fator5]],dados[[#This Row],[fator6]])</f>
        <v>#REF!</v>
      </c>
    </row>
    <row r="173" spans="1:23">
      <c r="A173" t="s">
        <v>17</v>
      </c>
      <c r="B173">
        <v>481215</v>
      </c>
      <c r="C173">
        <v>14</v>
      </c>
      <c r="D173">
        <v>30</v>
      </c>
      <c r="E173">
        <v>86</v>
      </c>
      <c r="F173">
        <v>9</v>
      </c>
      <c r="G173">
        <v>20</v>
      </c>
      <c r="H173">
        <v>25</v>
      </c>
      <c r="I173">
        <v>0</v>
      </c>
      <c r="J173">
        <v>0</v>
      </c>
      <c r="K173">
        <v>5.7850000000000001</v>
      </c>
      <c r="L173">
        <v>17.400000000000002</v>
      </c>
      <c r="M173">
        <v>80.55</v>
      </c>
      <c r="N173">
        <v>16.350000000000001</v>
      </c>
      <c r="O173">
        <v>1680</v>
      </c>
      <c r="P173">
        <v>0</v>
      </c>
      <c r="Q173" s="5" t="e">
        <f>IF(AND(#REF!&gt;=table!$C$6,#REF!&lt;= table!$D$6),-1,IF(AND(#REF!&gt;=table!$E$6,#REF!&lt;=table!$F$6),1,0))</f>
        <v>#REF!</v>
      </c>
      <c r="R173" s="5" t="e">
        <f>IF(AND(#REF!&gt;=table!$C$7,#REF!&lt;= table!$D$7),-1,IF(AND(#REF!&gt;=table!$E$7,#REF!&lt;=table!$F$7),1,0))</f>
        <v>#REF!</v>
      </c>
      <c r="S173" s="5" t="e">
        <f>IF(AND(#REF!&gt;=table!$C$8,#REF!&lt;= table!$D$8),-1,IF(AND(#REF!&gt;=table!$E$8,#REF!&lt;=table!$F$8),1,0))</f>
        <v>#REF!</v>
      </c>
      <c r="T173" s="5"/>
      <c r="U173" s="5" t="e">
        <f>IF(AND(#REF!&gt;=table!$C$10,#REF!&lt;= table!$D$10),-1,IF(AND(#REF!&gt;=table!$E$10,#REF!&lt;=table!$F$10),1,0))</f>
        <v>#REF!</v>
      </c>
      <c r="V173" s="5" t="e">
        <f>IF(AND(#REF!&gt;=table!$C$11,#REF!&lt;= table!$D$11),-1,IF(AND(#REF!&gt;=table!$E$11,#REF!&lt;=table!$F$11),1,0))</f>
        <v>#REF!</v>
      </c>
      <c r="W173" s="5" t="e">
        <f>CONCATENATE(dados[[#This Row],[fator1]],dados[[#This Row],[fator5]],dados[[#This Row],[fator6]])</f>
        <v>#REF!</v>
      </c>
    </row>
    <row r="174" spans="1:23">
      <c r="A174" t="s">
        <v>16</v>
      </c>
      <c r="B174">
        <v>481219</v>
      </c>
      <c r="C174">
        <v>0.15</v>
      </c>
      <c r="D174">
        <v>35</v>
      </c>
      <c r="E174">
        <v>15</v>
      </c>
      <c r="F174">
        <v>10</v>
      </c>
      <c r="G174">
        <v>0</v>
      </c>
      <c r="H174">
        <v>12</v>
      </c>
      <c r="I174">
        <v>1125</v>
      </c>
      <c r="J174">
        <v>0</v>
      </c>
      <c r="K174">
        <v>4.375</v>
      </c>
      <c r="L174">
        <v>14.235000000000001</v>
      </c>
      <c r="M174">
        <v>13.450000000000001</v>
      </c>
      <c r="N174">
        <v>11</v>
      </c>
      <c r="O174">
        <v>1679</v>
      </c>
      <c r="P174">
        <v>0</v>
      </c>
      <c r="Q174" s="5" t="e">
        <f>IF(AND(#REF!&gt;=table!$C$6,#REF!&lt;= table!$D$6),-1,IF(AND(#REF!&gt;=table!$E$6,#REF!&lt;=table!$F$6),1,0))</f>
        <v>#REF!</v>
      </c>
      <c r="R174" s="5" t="e">
        <f>IF(AND(#REF!&gt;=table!$C$7,#REF!&lt;= table!$D$7),-1,IF(AND(#REF!&gt;=table!$E$7,#REF!&lt;=table!$F$7),1,0))</f>
        <v>#REF!</v>
      </c>
      <c r="S174" s="5" t="e">
        <f>IF(AND(#REF!&gt;=table!$C$8,#REF!&lt;= table!$D$8),-1,IF(AND(#REF!&gt;=table!$E$8,#REF!&lt;=table!$F$8),1,0))</f>
        <v>#REF!</v>
      </c>
      <c r="T174" s="5"/>
      <c r="U174" s="5" t="e">
        <f>IF(AND(#REF!&gt;=table!$C$10,#REF!&lt;= table!$D$10),-1,IF(AND(#REF!&gt;=table!$E$10,#REF!&lt;=table!$F$10),1,0))</f>
        <v>#REF!</v>
      </c>
      <c r="V174" s="5" t="e">
        <f>IF(AND(#REF!&gt;=table!$C$11,#REF!&lt;= table!$D$11),-1,IF(AND(#REF!&gt;=table!$E$11,#REF!&lt;=table!$F$11),1,0))</f>
        <v>#REF!</v>
      </c>
      <c r="W174" s="5" t="e">
        <f>CONCATENATE(dados[[#This Row],[fator1]],dados[[#This Row],[fator5]],dados[[#This Row],[fator6]])</f>
        <v>#REF!</v>
      </c>
    </row>
    <row r="175" spans="1:23">
      <c r="A175" t="s">
        <v>16</v>
      </c>
      <c r="B175">
        <v>481220</v>
      </c>
      <c r="C175">
        <v>0.15</v>
      </c>
      <c r="D175">
        <v>35</v>
      </c>
      <c r="E175">
        <v>15</v>
      </c>
      <c r="F175">
        <v>10</v>
      </c>
      <c r="G175">
        <v>0</v>
      </c>
      <c r="H175">
        <v>12</v>
      </c>
      <c r="I175">
        <v>1213</v>
      </c>
      <c r="J175">
        <v>530</v>
      </c>
      <c r="K175">
        <v>4.3550000000000004</v>
      </c>
      <c r="L175">
        <v>12.200000000000001</v>
      </c>
      <c r="M175">
        <v>7.5050000000000008</v>
      </c>
      <c r="N175">
        <v>6.8550000000000004</v>
      </c>
      <c r="O175">
        <v>1693</v>
      </c>
      <c r="P175">
        <v>0</v>
      </c>
      <c r="Q175" s="5" t="e">
        <f>IF(AND(#REF!&gt;=table!$C$6,#REF!&lt;= table!$D$6),-1,IF(AND(#REF!&gt;=table!$E$6,#REF!&lt;=table!$F$6),1,0))</f>
        <v>#REF!</v>
      </c>
      <c r="R175" s="5" t="e">
        <f>IF(AND(#REF!&gt;=table!$C$7,#REF!&lt;= table!$D$7),-1,IF(AND(#REF!&gt;=table!$E$7,#REF!&lt;=table!$F$7),1,0))</f>
        <v>#REF!</v>
      </c>
      <c r="S175" s="5" t="e">
        <f>IF(AND(#REF!&gt;=table!$C$8,#REF!&lt;= table!$D$8),-1,IF(AND(#REF!&gt;=table!$E$8,#REF!&lt;=table!$F$8),1,0))</f>
        <v>#REF!</v>
      </c>
      <c r="T175" s="5"/>
      <c r="U175" s="5" t="e">
        <f>IF(AND(#REF!&gt;=table!$C$10,#REF!&lt;= table!$D$10),-1,IF(AND(#REF!&gt;=table!$E$10,#REF!&lt;=table!$F$10),1,0))</f>
        <v>#REF!</v>
      </c>
      <c r="V175" s="5" t="e">
        <f>IF(AND(#REF!&gt;=table!$C$11,#REF!&lt;= table!$D$11),-1,IF(AND(#REF!&gt;=table!$E$11,#REF!&lt;=table!$F$11),1,0))</f>
        <v>#REF!</v>
      </c>
      <c r="W175" s="5" t="e">
        <f>CONCATENATE(dados[[#This Row],[fator1]],dados[[#This Row],[fator5]],dados[[#This Row],[fator6]])</f>
        <v>#REF!</v>
      </c>
    </row>
    <row r="176" spans="1:23">
      <c r="A176" t="s">
        <v>16</v>
      </c>
      <c r="B176">
        <v>481223</v>
      </c>
      <c r="C176">
        <v>0.15</v>
      </c>
      <c r="D176">
        <v>35</v>
      </c>
      <c r="E176">
        <v>15</v>
      </c>
      <c r="F176">
        <v>10</v>
      </c>
      <c r="G176">
        <v>0</v>
      </c>
      <c r="H176">
        <v>12</v>
      </c>
      <c r="I176">
        <v>1287</v>
      </c>
      <c r="J176">
        <v>0</v>
      </c>
      <c r="K176">
        <v>3.04</v>
      </c>
      <c r="L176">
        <v>10.6</v>
      </c>
      <c r="M176">
        <v>9.5850000000000009</v>
      </c>
      <c r="N176">
        <v>8.2799999999999994</v>
      </c>
      <c r="O176">
        <v>1677</v>
      </c>
      <c r="P176">
        <v>0</v>
      </c>
      <c r="Q176" s="5" t="e">
        <f>IF(AND(#REF!&gt;=table!$C$6,#REF!&lt;= table!$D$6),-1,IF(AND(#REF!&gt;=table!$E$6,#REF!&lt;=table!$F$6),1,0))</f>
        <v>#REF!</v>
      </c>
      <c r="R176" s="5" t="e">
        <f>IF(AND(#REF!&gt;=table!$C$7,#REF!&lt;= table!$D$7),-1,IF(AND(#REF!&gt;=table!$E$7,#REF!&lt;=table!$F$7),1,0))</f>
        <v>#REF!</v>
      </c>
      <c r="S176" s="5" t="e">
        <f>IF(AND(#REF!&gt;=table!$C$8,#REF!&lt;= table!$D$8),-1,IF(AND(#REF!&gt;=table!$E$8,#REF!&lt;=table!$F$8),1,0))</f>
        <v>#REF!</v>
      </c>
      <c r="T176" s="5"/>
      <c r="U176" s="5" t="e">
        <f>IF(AND(#REF!&gt;=table!$C$10,#REF!&lt;= table!$D$10),-1,IF(AND(#REF!&gt;=table!$E$10,#REF!&lt;=table!$F$10),1,0))</f>
        <v>#REF!</v>
      </c>
      <c r="V176" s="5" t="e">
        <f>IF(AND(#REF!&gt;=table!$C$11,#REF!&lt;= table!$D$11),-1,IF(AND(#REF!&gt;=table!$E$11,#REF!&lt;=table!$F$11),1,0))</f>
        <v>#REF!</v>
      </c>
      <c r="W176" s="5" t="e">
        <f>CONCATENATE(dados[[#This Row],[fator1]],dados[[#This Row],[fator5]],dados[[#This Row],[fator6]])</f>
        <v>#REF!</v>
      </c>
    </row>
    <row r="177" spans="1:23">
      <c r="A177" t="s">
        <v>16</v>
      </c>
      <c r="B177">
        <v>481225</v>
      </c>
      <c r="C177">
        <v>16</v>
      </c>
      <c r="D177">
        <v>35</v>
      </c>
      <c r="E177">
        <v>40</v>
      </c>
      <c r="F177">
        <v>10</v>
      </c>
      <c r="G177">
        <v>0</v>
      </c>
      <c r="H177">
        <v>25</v>
      </c>
      <c r="I177">
        <v>1032</v>
      </c>
      <c r="J177">
        <v>0</v>
      </c>
      <c r="K177">
        <v>2.2000000000000002</v>
      </c>
      <c r="L177">
        <v>7.88</v>
      </c>
      <c r="M177">
        <v>36.050000000000004</v>
      </c>
      <c r="N177">
        <v>7.57</v>
      </c>
      <c r="O177">
        <v>1654</v>
      </c>
      <c r="P177">
        <v>1029</v>
      </c>
      <c r="Q177" s="5" t="e">
        <f>IF(AND(#REF!&gt;=table!$C$6,#REF!&lt;= table!$D$6),-1,IF(AND(#REF!&gt;=table!$E$6,#REF!&lt;=table!$F$6),1,0))</f>
        <v>#REF!</v>
      </c>
      <c r="R177" s="5" t="e">
        <f>IF(AND(#REF!&gt;=table!$C$7,#REF!&lt;= table!$D$7),-1,IF(AND(#REF!&gt;=table!$E$7,#REF!&lt;=table!$F$7),1,0))</f>
        <v>#REF!</v>
      </c>
      <c r="S177" s="5" t="e">
        <f>IF(AND(#REF!&gt;=table!$C$8,#REF!&lt;= table!$D$8),-1,IF(AND(#REF!&gt;=table!$E$8,#REF!&lt;=table!$F$8),1,0))</f>
        <v>#REF!</v>
      </c>
      <c r="T177" s="5"/>
      <c r="U177" s="5" t="e">
        <f>IF(AND(#REF!&gt;=table!$C$10,#REF!&lt;= table!$D$10),-1,IF(AND(#REF!&gt;=table!$E$10,#REF!&lt;=table!$F$10),1,0))</f>
        <v>#REF!</v>
      </c>
      <c r="V177" s="5" t="e">
        <f>IF(AND(#REF!&gt;=table!$C$11,#REF!&lt;= table!$D$11),-1,IF(AND(#REF!&gt;=table!$E$11,#REF!&lt;=table!$F$11),1,0))</f>
        <v>#REF!</v>
      </c>
      <c r="W177" s="5" t="e">
        <f>CONCATENATE(dados[[#This Row],[fator1]],dados[[#This Row],[fator5]],dados[[#This Row],[fator6]])</f>
        <v>#REF!</v>
      </c>
    </row>
    <row r="178" spans="1:23">
      <c r="A178" t="s">
        <v>16</v>
      </c>
      <c r="B178">
        <v>481226</v>
      </c>
      <c r="C178">
        <v>16</v>
      </c>
      <c r="D178">
        <v>35</v>
      </c>
      <c r="E178">
        <v>36</v>
      </c>
      <c r="F178">
        <v>10</v>
      </c>
      <c r="G178">
        <v>0</v>
      </c>
      <c r="H178">
        <v>25</v>
      </c>
      <c r="I178">
        <v>375</v>
      </c>
      <c r="J178">
        <v>0</v>
      </c>
      <c r="K178">
        <v>3.7600000000000002</v>
      </c>
      <c r="L178">
        <v>18.45</v>
      </c>
      <c r="M178">
        <v>37.555</v>
      </c>
      <c r="N178">
        <v>15.09</v>
      </c>
      <c r="O178">
        <v>1677</v>
      </c>
      <c r="P178">
        <v>603</v>
      </c>
      <c r="Q178" s="5" t="e">
        <f>IF(AND(#REF!&gt;=table!$C$6,#REF!&lt;= table!$D$6),-1,IF(AND(#REF!&gt;=table!$E$6,#REF!&lt;=table!$F$6),1,0))</f>
        <v>#REF!</v>
      </c>
      <c r="R178" s="5" t="e">
        <f>IF(AND(#REF!&gt;=table!$C$7,#REF!&lt;= table!$D$7),-1,IF(AND(#REF!&gt;=table!$E$7,#REF!&lt;=table!$F$7),1,0))</f>
        <v>#REF!</v>
      </c>
      <c r="S178" s="5" t="e">
        <f>IF(AND(#REF!&gt;=table!$C$8,#REF!&lt;= table!$D$8),-1,IF(AND(#REF!&gt;=table!$E$8,#REF!&lt;=table!$F$8),1,0))</f>
        <v>#REF!</v>
      </c>
      <c r="T178" s="5"/>
      <c r="U178" s="5" t="e">
        <f>IF(AND(#REF!&gt;=table!$C$10,#REF!&lt;= table!$D$10),-1,IF(AND(#REF!&gt;=table!$E$10,#REF!&lt;=table!$F$10),1,0))</f>
        <v>#REF!</v>
      </c>
      <c r="V178" s="5" t="e">
        <f>IF(AND(#REF!&gt;=table!$C$11,#REF!&lt;= table!$D$11),-1,IF(AND(#REF!&gt;=table!$E$11,#REF!&lt;=table!$F$11),1,0))</f>
        <v>#REF!</v>
      </c>
      <c r="W178" s="5" t="e">
        <f>CONCATENATE(dados[[#This Row],[fator1]],dados[[#This Row],[fator5]],dados[[#This Row],[fator6]])</f>
        <v>#REF!</v>
      </c>
    </row>
    <row r="179" spans="1:23">
      <c r="A179" t="s">
        <v>17</v>
      </c>
      <c r="B179">
        <v>481231</v>
      </c>
      <c r="C179">
        <v>14</v>
      </c>
      <c r="D179">
        <v>30</v>
      </c>
      <c r="E179">
        <v>110</v>
      </c>
      <c r="F179">
        <v>3</v>
      </c>
      <c r="G179">
        <v>20</v>
      </c>
      <c r="H179">
        <v>22</v>
      </c>
      <c r="I179">
        <v>796</v>
      </c>
      <c r="J179">
        <v>0</v>
      </c>
      <c r="K179">
        <v>5.62</v>
      </c>
      <c r="L179">
        <v>16.420000000000002</v>
      </c>
      <c r="M179">
        <v>103.7</v>
      </c>
      <c r="N179">
        <v>15.55</v>
      </c>
      <c r="O179">
        <v>1687</v>
      </c>
      <c r="P179">
        <v>462</v>
      </c>
      <c r="Q179" s="5" t="e">
        <f>IF(AND(#REF!&gt;=table!$C$6,#REF!&lt;= table!$D$6),-1,IF(AND(#REF!&gt;=table!$E$6,#REF!&lt;=table!$F$6),1,0))</f>
        <v>#REF!</v>
      </c>
      <c r="R179" s="5" t="e">
        <f>IF(AND(#REF!&gt;=table!$C$7,#REF!&lt;= table!$D$7),-1,IF(AND(#REF!&gt;=table!$E$7,#REF!&lt;=table!$F$7),1,0))</f>
        <v>#REF!</v>
      </c>
      <c r="S179" s="5" t="e">
        <f>IF(AND(#REF!&gt;=table!$C$8,#REF!&lt;= table!$D$8),-1,IF(AND(#REF!&gt;=table!$E$8,#REF!&lt;=table!$F$8),1,0))</f>
        <v>#REF!</v>
      </c>
      <c r="T179" s="5"/>
      <c r="U179" s="5" t="e">
        <f>IF(AND(#REF!&gt;=table!$C$10,#REF!&lt;= table!$D$10),-1,IF(AND(#REF!&gt;=table!$E$10,#REF!&lt;=table!$F$10),1,0))</f>
        <v>#REF!</v>
      </c>
      <c r="V179" s="5" t="e">
        <f>IF(AND(#REF!&gt;=table!$C$11,#REF!&lt;= table!$D$11),-1,IF(AND(#REF!&gt;=table!$E$11,#REF!&lt;=table!$F$11),1,0))</f>
        <v>#REF!</v>
      </c>
      <c r="W179" s="5" t="e">
        <f>CONCATENATE(dados[[#This Row],[fator1]],dados[[#This Row],[fator5]],dados[[#This Row],[fator6]])</f>
        <v>#REF!</v>
      </c>
    </row>
    <row r="180" spans="1:23">
      <c r="A180" t="s">
        <v>16</v>
      </c>
      <c r="B180">
        <v>481233</v>
      </c>
      <c r="C180">
        <v>0.15</v>
      </c>
      <c r="D180">
        <v>40</v>
      </c>
      <c r="E180">
        <v>10</v>
      </c>
      <c r="F180">
        <v>15</v>
      </c>
      <c r="G180">
        <v>0</v>
      </c>
      <c r="H180">
        <v>15</v>
      </c>
      <c r="I180">
        <v>890</v>
      </c>
      <c r="J180">
        <v>0</v>
      </c>
      <c r="K180">
        <v>6.8900000000000006</v>
      </c>
      <c r="L180">
        <v>14.34</v>
      </c>
      <c r="M180">
        <v>11.655000000000001</v>
      </c>
      <c r="N180">
        <v>8.0350000000000001</v>
      </c>
      <c r="O180">
        <v>1681</v>
      </c>
      <c r="P180">
        <v>0</v>
      </c>
      <c r="Q180" s="5" t="e">
        <f>IF(AND(#REF!&gt;=table!$C$6,#REF!&lt;= table!$D$6),-1,IF(AND(#REF!&gt;=table!$E$6,#REF!&lt;=table!$F$6),1,0))</f>
        <v>#REF!</v>
      </c>
      <c r="R180" s="5" t="e">
        <f>IF(AND(#REF!&gt;=table!$C$7,#REF!&lt;= table!$D$7),-1,IF(AND(#REF!&gt;=table!$E$7,#REF!&lt;=table!$F$7),1,0))</f>
        <v>#REF!</v>
      </c>
      <c r="S180" s="5" t="e">
        <f>IF(AND(#REF!&gt;=table!$C$8,#REF!&lt;= table!$D$8),-1,IF(AND(#REF!&gt;=table!$E$8,#REF!&lt;=table!$F$8),1,0))</f>
        <v>#REF!</v>
      </c>
      <c r="T180" s="5"/>
      <c r="U180" s="5" t="e">
        <f>IF(AND(#REF!&gt;=table!$C$10,#REF!&lt;= table!$D$10),-1,IF(AND(#REF!&gt;=table!$E$10,#REF!&lt;=table!$F$10),1,0))</f>
        <v>#REF!</v>
      </c>
      <c r="V180" s="5" t="e">
        <f>IF(AND(#REF!&gt;=table!$C$11,#REF!&lt;= table!$D$11),-1,IF(AND(#REF!&gt;=table!$E$11,#REF!&lt;=table!$F$11),1,0))</f>
        <v>#REF!</v>
      </c>
      <c r="W180" s="5" t="e">
        <f>CONCATENATE(dados[[#This Row],[fator1]],dados[[#This Row],[fator5]],dados[[#This Row],[fator6]])</f>
        <v>#REF!</v>
      </c>
    </row>
    <row r="181" spans="1:23">
      <c r="A181" t="s">
        <v>16</v>
      </c>
      <c r="B181">
        <v>481237</v>
      </c>
      <c r="C181">
        <v>0.15</v>
      </c>
      <c r="D181">
        <v>40</v>
      </c>
      <c r="E181">
        <v>10</v>
      </c>
      <c r="F181">
        <v>15</v>
      </c>
      <c r="G181">
        <v>0</v>
      </c>
      <c r="H181">
        <v>15</v>
      </c>
      <c r="I181">
        <v>856</v>
      </c>
      <c r="J181">
        <v>0</v>
      </c>
      <c r="K181">
        <v>5.54</v>
      </c>
      <c r="L181">
        <v>10.34</v>
      </c>
      <c r="M181">
        <v>10.38</v>
      </c>
      <c r="N181">
        <v>8.5</v>
      </c>
      <c r="O181">
        <v>1661</v>
      </c>
      <c r="P181">
        <v>0</v>
      </c>
      <c r="Q181" s="5" t="e">
        <f>IF(AND(#REF!&gt;=table!$C$6,#REF!&lt;= table!$D$6),-1,IF(AND(#REF!&gt;=table!$E$6,#REF!&lt;=table!$F$6),1,0))</f>
        <v>#REF!</v>
      </c>
      <c r="R181" s="5" t="e">
        <f>IF(AND(#REF!&gt;=table!$C$7,#REF!&lt;= table!$D$7),-1,IF(AND(#REF!&gt;=table!$E$7,#REF!&lt;=table!$F$7),1,0))</f>
        <v>#REF!</v>
      </c>
      <c r="S181" s="5" t="e">
        <f>IF(AND(#REF!&gt;=table!$C$8,#REF!&lt;= table!$D$8),-1,IF(AND(#REF!&gt;=table!$E$8,#REF!&lt;=table!$F$8),1,0))</f>
        <v>#REF!</v>
      </c>
      <c r="T181" s="5"/>
      <c r="U181" s="5" t="e">
        <f>IF(AND(#REF!&gt;=table!$C$10,#REF!&lt;= table!$D$10),-1,IF(AND(#REF!&gt;=table!$E$10,#REF!&lt;=table!$F$10),1,0))</f>
        <v>#REF!</v>
      </c>
      <c r="V181" s="5" t="e">
        <f>IF(AND(#REF!&gt;=table!$C$11,#REF!&lt;= table!$D$11),-1,IF(AND(#REF!&gt;=table!$E$11,#REF!&lt;=table!$F$11),1,0))</f>
        <v>#REF!</v>
      </c>
      <c r="W181" s="5" t="e">
        <f>CONCATENATE(dados[[#This Row],[fator1]],dados[[#This Row],[fator5]],dados[[#This Row],[fator6]])</f>
        <v>#REF!</v>
      </c>
    </row>
    <row r="182" spans="1:23">
      <c r="A182" t="s">
        <v>16</v>
      </c>
      <c r="B182">
        <v>481243</v>
      </c>
      <c r="C182">
        <v>12</v>
      </c>
      <c r="D182">
        <v>27</v>
      </c>
      <c r="E182">
        <v>40</v>
      </c>
      <c r="F182">
        <v>8</v>
      </c>
      <c r="G182">
        <v>0</v>
      </c>
      <c r="H182">
        <v>25</v>
      </c>
      <c r="I182">
        <v>35</v>
      </c>
      <c r="J182">
        <v>0</v>
      </c>
      <c r="K182">
        <v>4.99</v>
      </c>
      <c r="L182">
        <v>16.75</v>
      </c>
      <c r="M182">
        <v>26.63</v>
      </c>
      <c r="N182">
        <v>9.4850000000000012</v>
      </c>
      <c r="O182">
        <v>1678</v>
      </c>
      <c r="P182">
        <v>508</v>
      </c>
      <c r="Q182" s="5" t="e">
        <f>IF(AND(#REF!&gt;=table!$C$6,#REF!&lt;= table!$D$6),-1,IF(AND(#REF!&gt;=table!$E$6,#REF!&lt;=table!$F$6),1,0))</f>
        <v>#REF!</v>
      </c>
      <c r="R182" s="5" t="e">
        <f>IF(AND(#REF!&gt;=table!$C$7,#REF!&lt;= table!$D$7),-1,IF(AND(#REF!&gt;=table!$E$7,#REF!&lt;=table!$F$7),1,0))</f>
        <v>#REF!</v>
      </c>
      <c r="S182" s="5" t="e">
        <f>IF(AND(#REF!&gt;=table!$C$8,#REF!&lt;= table!$D$8),-1,IF(AND(#REF!&gt;=table!$E$8,#REF!&lt;=table!$F$8),1,0))</f>
        <v>#REF!</v>
      </c>
      <c r="T182" s="5"/>
      <c r="U182" s="5" t="e">
        <f>IF(AND(#REF!&gt;=table!$C$10,#REF!&lt;= table!$D$10),-1,IF(AND(#REF!&gt;=table!$E$10,#REF!&lt;=table!$F$10),1,0))</f>
        <v>#REF!</v>
      </c>
      <c r="V182" s="5" t="e">
        <f>IF(AND(#REF!&gt;=table!$C$11,#REF!&lt;= table!$D$11),-1,IF(AND(#REF!&gt;=table!$E$11,#REF!&lt;=table!$F$11),1,0))</f>
        <v>#REF!</v>
      </c>
      <c r="W182" s="5" t="e">
        <f>CONCATENATE(dados[[#This Row],[fator1]],dados[[#This Row],[fator5]],dados[[#This Row],[fator6]])</f>
        <v>#REF!</v>
      </c>
    </row>
    <row r="183" spans="1:23">
      <c r="A183" t="s">
        <v>16</v>
      </c>
      <c r="B183">
        <v>481244</v>
      </c>
      <c r="C183">
        <v>12</v>
      </c>
      <c r="D183">
        <v>27</v>
      </c>
      <c r="E183">
        <v>40</v>
      </c>
      <c r="F183">
        <v>8</v>
      </c>
      <c r="G183">
        <v>0</v>
      </c>
      <c r="H183">
        <v>25</v>
      </c>
      <c r="I183">
        <v>1521</v>
      </c>
      <c r="J183">
        <v>0</v>
      </c>
      <c r="K183">
        <v>5.585</v>
      </c>
      <c r="L183">
        <v>16.275000000000002</v>
      </c>
      <c r="M183">
        <v>31.55</v>
      </c>
      <c r="N183">
        <v>9.370000000000001</v>
      </c>
      <c r="O183">
        <v>1677</v>
      </c>
      <c r="P183">
        <v>496</v>
      </c>
      <c r="Q183" s="5" t="e">
        <f>IF(AND(#REF!&gt;=table!$C$6,#REF!&lt;= table!$D$6),-1,IF(AND(#REF!&gt;=table!$E$6,#REF!&lt;=table!$F$6),1,0))</f>
        <v>#REF!</v>
      </c>
      <c r="R183" s="5" t="e">
        <f>IF(AND(#REF!&gt;=table!$C$7,#REF!&lt;= table!$D$7),-1,IF(AND(#REF!&gt;=table!$E$7,#REF!&lt;=table!$F$7),1,0))</f>
        <v>#REF!</v>
      </c>
      <c r="S183" s="5" t="e">
        <f>IF(AND(#REF!&gt;=table!$C$8,#REF!&lt;= table!$D$8),-1,IF(AND(#REF!&gt;=table!$E$8,#REF!&lt;=table!$F$8),1,0))</f>
        <v>#REF!</v>
      </c>
      <c r="T183" s="5"/>
      <c r="U183" s="5" t="e">
        <f>IF(AND(#REF!&gt;=table!$C$10,#REF!&lt;= table!$D$10),-1,IF(AND(#REF!&gt;=table!$E$10,#REF!&lt;=table!$F$10),1,0))</f>
        <v>#REF!</v>
      </c>
      <c r="V183" s="5" t="e">
        <f>IF(AND(#REF!&gt;=table!$C$11,#REF!&lt;= table!$D$11),-1,IF(AND(#REF!&gt;=table!$E$11,#REF!&lt;=table!$F$11),1,0))</f>
        <v>#REF!</v>
      </c>
      <c r="W183" s="5" t="e">
        <f>CONCATENATE(dados[[#This Row],[fator1]],dados[[#This Row],[fator5]],dados[[#This Row],[fator6]])</f>
        <v>#REF!</v>
      </c>
    </row>
    <row r="184" spans="1:23">
      <c r="A184" t="s">
        <v>16</v>
      </c>
      <c r="B184">
        <v>481246</v>
      </c>
      <c r="C184">
        <v>9</v>
      </c>
      <c r="D184">
        <v>40</v>
      </c>
      <c r="E184">
        <v>46</v>
      </c>
      <c r="F184">
        <v>15</v>
      </c>
      <c r="G184">
        <v>0</v>
      </c>
      <c r="H184">
        <v>25</v>
      </c>
      <c r="I184">
        <v>1</v>
      </c>
      <c r="J184">
        <v>0</v>
      </c>
      <c r="K184">
        <v>6.3250000000000002</v>
      </c>
      <c r="L184">
        <v>17.105</v>
      </c>
      <c r="M184">
        <v>33.549999999999997</v>
      </c>
      <c r="N184">
        <v>15.15</v>
      </c>
      <c r="O184">
        <v>1681</v>
      </c>
      <c r="P184">
        <v>412</v>
      </c>
      <c r="Q184" s="5" t="e">
        <f>IF(AND(#REF!&gt;=table!$C$6,#REF!&lt;= table!$D$6),-1,IF(AND(#REF!&gt;=table!$E$6,#REF!&lt;=table!$F$6),1,0))</f>
        <v>#REF!</v>
      </c>
      <c r="R184" s="5" t="e">
        <f>IF(AND(#REF!&gt;=table!$C$7,#REF!&lt;= table!$D$7),-1,IF(AND(#REF!&gt;=table!$E$7,#REF!&lt;=table!$F$7),1,0))</f>
        <v>#REF!</v>
      </c>
      <c r="S184" s="5" t="e">
        <f>IF(AND(#REF!&gt;=table!$C$8,#REF!&lt;= table!$D$8),-1,IF(AND(#REF!&gt;=table!$E$8,#REF!&lt;=table!$F$8),1,0))</f>
        <v>#REF!</v>
      </c>
      <c r="T184" s="5"/>
      <c r="U184" s="5" t="e">
        <f>IF(AND(#REF!&gt;=table!$C$10,#REF!&lt;= table!$D$10),-1,IF(AND(#REF!&gt;=table!$E$10,#REF!&lt;=table!$F$10),1,0))</f>
        <v>#REF!</v>
      </c>
      <c r="V184" s="5" t="e">
        <f>IF(AND(#REF!&gt;=table!$C$11,#REF!&lt;= table!$D$11),-1,IF(AND(#REF!&gt;=table!$E$11,#REF!&lt;=table!$F$11),1,0))</f>
        <v>#REF!</v>
      </c>
      <c r="W184" s="5" t="e">
        <f>CONCATENATE(dados[[#This Row],[fator1]],dados[[#This Row],[fator5]],dados[[#This Row],[fator6]])</f>
        <v>#REF!</v>
      </c>
    </row>
    <row r="185" spans="1:23">
      <c r="A185" t="s">
        <v>16</v>
      </c>
      <c r="B185">
        <v>481250</v>
      </c>
      <c r="C185">
        <v>7</v>
      </c>
      <c r="D185">
        <v>33</v>
      </c>
      <c r="E185">
        <v>150</v>
      </c>
      <c r="F185">
        <v>4</v>
      </c>
      <c r="G185">
        <v>0</v>
      </c>
      <c r="H185">
        <v>25</v>
      </c>
      <c r="I185">
        <v>880</v>
      </c>
      <c r="J185">
        <v>0</v>
      </c>
      <c r="K185">
        <v>4.665</v>
      </c>
      <c r="L185">
        <v>16.3</v>
      </c>
      <c r="M185">
        <v>135.85</v>
      </c>
      <c r="N185">
        <v>13.8</v>
      </c>
      <c r="O185">
        <v>1668</v>
      </c>
      <c r="P185">
        <v>0</v>
      </c>
      <c r="Q185" s="5" t="e">
        <f>IF(AND(#REF!&gt;=table!$C$6,#REF!&lt;= table!$D$6),-1,IF(AND(#REF!&gt;=table!$E$6,#REF!&lt;=table!$F$6),1,0))</f>
        <v>#REF!</v>
      </c>
      <c r="R185" s="5" t="e">
        <f>IF(AND(#REF!&gt;=table!$C$7,#REF!&lt;= table!$D$7),-1,IF(AND(#REF!&gt;=table!$E$7,#REF!&lt;=table!$F$7),1,0))</f>
        <v>#REF!</v>
      </c>
      <c r="S185" s="5" t="e">
        <f>IF(AND(#REF!&gt;=table!$C$8,#REF!&lt;= table!$D$8),-1,IF(AND(#REF!&gt;=table!$E$8,#REF!&lt;=table!$F$8),1,0))</f>
        <v>#REF!</v>
      </c>
      <c r="T185" s="5"/>
      <c r="U185" s="5" t="e">
        <f>IF(AND(#REF!&gt;=table!$C$10,#REF!&lt;= table!$D$10),-1,IF(AND(#REF!&gt;=table!$E$10,#REF!&lt;=table!$F$10),1,0))</f>
        <v>#REF!</v>
      </c>
      <c r="V185" s="5" t="e">
        <f>IF(AND(#REF!&gt;=table!$C$11,#REF!&lt;= table!$D$11),-1,IF(AND(#REF!&gt;=table!$E$11,#REF!&lt;=table!$F$11),1,0))</f>
        <v>#REF!</v>
      </c>
      <c r="W185" s="5" t="e">
        <f>CONCATENATE(dados[[#This Row],[fator1]],dados[[#This Row],[fator5]],dados[[#This Row],[fator6]])</f>
        <v>#REF!</v>
      </c>
    </row>
    <row r="186" spans="1:23">
      <c r="A186" t="s">
        <v>16</v>
      </c>
      <c r="B186">
        <v>481252</v>
      </c>
      <c r="C186">
        <v>9</v>
      </c>
      <c r="D186">
        <v>40</v>
      </c>
      <c r="E186">
        <v>130</v>
      </c>
      <c r="F186">
        <v>3</v>
      </c>
      <c r="G186">
        <v>0</v>
      </c>
      <c r="H186">
        <v>25</v>
      </c>
      <c r="I186">
        <v>1085</v>
      </c>
      <c r="J186">
        <v>0</v>
      </c>
      <c r="K186">
        <v>5.86</v>
      </c>
      <c r="L186">
        <v>15.375</v>
      </c>
      <c r="M186">
        <v>122</v>
      </c>
      <c r="N186">
        <v>11.55</v>
      </c>
      <c r="O186">
        <v>1669</v>
      </c>
      <c r="P186">
        <v>0</v>
      </c>
      <c r="Q186" s="5" t="e">
        <f>IF(AND(#REF!&gt;=table!$C$6,#REF!&lt;= table!$D$6),-1,IF(AND(#REF!&gt;=table!$E$6,#REF!&lt;=table!$F$6),1,0))</f>
        <v>#REF!</v>
      </c>
      <c r="R186" s="5" t="e">
        <f>IF(AND(#REF!&gt;=table!$C$7,#REF!&lt;= table!$D$7),-1,IF(AND(#REF!&gt;=table!$E$7,#REF!&lt;=table!$F$7),1,0))</f>
        <v>#REF!</v>
      </c>
      <c r="S186" s="5" t="e">
        <f>IF(AND(#REF!&gt;=table!$C$8,#REF!&lt;= table!$D$8),-1,IF(AND(#REF!&gt;=table!$E$8,#REF!&lt;=table!$F$8),1,0))</f>
        <v>#REF!</v>
      </c>
      <c r="T186" s="5"/>
      <c r="U186" s="5" t="e">
        <f>IF(AND(#REF!&gt;=table!$C$10,#REF!&lt;= table!$D$10),-1,IF(AND(#REF!&gt;=table!$E$10,#REF!&lt;=table!$F$10),1,0))</f>
        <v>#REF!</v>
      </c>
      <c r="V186" s="5" t="e">
        <f>IF(AND(#REF!&gt;=table!$C$11,#REF!&lt;= table!$D$11),-1,IF(AND(#REF!&gt;=table!$E$11,#REF!&lt;=table!$F$11),1,0))</f>
        <v>#REF!</v>
      </c>
      <c r="W186" s="5" t="e">
        <f>CONCATENATE(dados[[#This Row],[fator1]],dados[[#This Row],[fator5]],dados[[#This Row],[fator6]])</f>
        <v>#REF!</v>
      </c>
    </row>
    <row r="187" spans="1:23">
      <c r="A187" t="s">
        <v>16</v>
      </c>
      <c r="B187">
        <v>481253</v>
      </c>
      <c r="C187">
        <v>9</v>
      </c>
      <c r="D187">
        <v>40</v>
      </c>
      <c r="E187">
        <v>130</v>
      </c>
      <c r="F187">
        <v>3</v>
      </c>
      <c r="G187">
        <v>0</v>
      </c>
      <c r="H187">
        <v>25</v>
      </c>
      <c r="I187">
        <v>1397</v>
      </c>
      <c r="J187">
        <v>0</v>
      </c>
      <c r="K187">
        <v>6.98</v>
      </c>
      <c r="L187">
        <v>12.475000000000001</v>
      </c>
      <c r="M187">
        <v>120.75</v>
      </c>
      <c r="N187">
        <v>12.525</v>
      </c>
      <c r="O187">
        <v>1665</v>
      </c>
      <c r="P187">
        <v>0</v>
      </c>
      <c r="Q187" s="5" t="e">
        <f>IF(AND(#REF!&gt;=table!$C$6,#REF!&lt;= table!$D$6),-1,IF(AND(#REF!&gt;=table!$E$6,#REF!&lt;=table!$F$6),1,0))</f>
        <v>#REF!</v>
      </c>
      <c r="R187" s="5" t="e">
        <f>IF(AND(#REF!&gt;=table!$C$7,#REF!&lt;= table!$D$7),-1,IF(AND(#REF!&gt;=table!$E$7,#REF!&lt;=table!$F$7),1,0))</f>
        <v>#REF!</v>
      </c>
      <c r="S187" s="5" t="e">
        <f>IF(AND(#REF!&gt;=table!$C$8,#REF!&lt;= table!$D$8),-1,IF(AND(#REF!&gt;=table!$E$8,#REF!&lt;=table!$F$8),1,0))</f>
        <v>#REF!</v>
      </c>
      <c r="T187" s="5"/>
      <c r="U187" s="5" t="e">
        <f>IF(AND(#REF!&gt;=table!$C$10,#REF!&lt;= table!$D$10),-1,IF(AND(#REF!&gt;=table!$E$10,#REF!&lt;=table!$F$10),1,0))</f>
        <v>#REF!</v>
      </c>
      <c r="V187" s="5" t="e">
        <f>IF(AND(#REF!&gt;=table!$C$11,#REF!&lt;= table!$D$11),-1,IF(AND(#REF!&gt;=table!$E$11,#REF!&lt;=table!$F$11),1,0))</f>
        <v>#REF!</v>
      </c>
      <c r="W187" s="5" t="e">
        <f>CONCATENATE(dados[[#This Row],[fator1]],dados[[#This Row],[fator5]],dados[[#This Row],[fator6]])</f>
        <v>#REF!</v>
      </c>
    </row>
    <row r="188" spans="1:23">
      <c r="A188" t="s">
        <v>16</v>
      </c>
      <c r="B188">
        <v>481254</v>
      </c>
      <c r="C188">
        <v>9</v>
      </c>
      <c r="D188">
        <v>40</v>
      </c>
      <c r="E188">
        <v>130</v>
      </c>
      <c r="F188">
        <v>3</v>
      </c>
      <c r="G188">
        <v>0</v>
      </c>
      <c r="H188">
        <v>25</v>
      </c>
      <c r="I188">
        <v>878</v>
      </c>
      <c r="J188">
        <v>0</v>
      </c>
      <c r="K188">
        <v>2.4350000000000001</v>
      </c>
      <c r="L188">
        <v>13</v>
      </c>
      <c r="M188">
        <v>120.25</v>
      </c>
      <c r="N188">
        <v>10.25</v>
      </c>
      <c r="O188">
        <v>1660</v>
      </c>
      <c r="P188">
        <v>602</v>
      </c>
      <c r="Q188" s="5" t="e">
        <f>IF(AND(#REF!&gt;=table!$C$6,#REF!&lt;= table!$D$6),-1,IF(AND(#REF!&gt;=table!$E$6,#REF!&lt;=table!$F$6),1,0))</f>
        <v>#REF!</v>
      </c>
      <c r="R188" s="5" t="e">
        <f>IF(AND(#REF!&gt;=table!$C$7,#REF!&lt;= table!$D$7),-1,IF(AND(#REF!&gt;=table!$E$7,#REF!&lt;=table!$F$7),1,0))</f>
        <v>#REF!</v>
      </c>
      <c r="S188" s="5" t="e">
        <f>IF(AND(#REF!&gt;=table!$C$8,#REF!&lt;= table!$D$8),-1,IF(AND(#REF!&gt;=table!$E$8,#REF!&lt;=table!$F$8),1,0))</f>
        <v>#REF!</v>
      </c>
      <c r="T188" s="5"/>
      <c r="U188" s="5" t="e">
        <f>IF(AND(#REF!&gt;=table!$C$10,#REF!&lt;= table!$D$10),-1,IF(AND(#REF!&gt;=table!$E$10,#REF!&lt;=table!$F$10),1,0))</f>
        <v>#REF!</v>
      </c>
      <c r="V188" s="5" t="e">
        <f>IF(AND(#REF!&gt;=table!$C$11,#REF!&lt;= table!$D$11),-1,IF(AND(#REF!&gt;=table!$E$11,#REF!&lt;=table!$F$11),1,0))</f>
        <v>#REF!</v>
      </c>
      <c r="W188" s="5" t="e">
        <f>CONCATENATE(dados[[#This Row],[fator1]],dados[[#This Row],[fator5]],dados[[#This Row],[fator6]])</f>
        <v>#REF!</v>
      </c>
    </row>
    <row r="189" spans="1:23">
      <c r="A189" t="s">
        <v>16</v>
      </c>
      <c r="B189">
        <v>481256</v>
      </c>
      <c r="C189">
        <v>0.15</v>
      </c>
      <c r="D189">
        <v>40</v>
      </c>
      <c r="E189">
        <v>64</v>
      </c>
      <c r="F189">
        <v>10</v>
      </c>
      <c r="G189">
        <v>0</v>
      </c>
      <c r="H189">
        <v>35</v>
      </c>
      <c r="I189">
        <v>0</v>
      </c>
      <c r="J189">
        <v>0</v>
      </c>
      <c r="K189">
        <v>4.915</v>
      </c>
      <c r="L189">
        <v>14.6</v>
      </c>
      <c r="M189">
        <v>12.85</v>
      </c>
      <c r="N189">
        <v>7.9</v>
      </c>
      <c r="O189">
        <v>1668</v>
      </c>
      <c r="P189">
        <v>480</v>
      </c>
      <c r="Q189" s="5" t="e">
        <f>IF(AND(#REF!&gt;=table!$C$6,#REF!&lt;= table!$D$6),-1,IF(AND(#REF!&gt;=table!$E$6,#REF!&lt;=table!$F$6),1,0))</f>
        <v>#REF!</v>
      </c>
      <c r="R189" s="5" t="e">
        <f>IF(AND(#REF!&gt;=table!$C$7,#REF!&lt;= table!$D$7),-1,IF(AND(#REF!&gt;=table!$E$7,#REF!&lt;=table!$F$7),1,0))</f>
        <v>#REF!</v>
      </c>
      <c r="S189" s="5" t="e">
        <f>IF(AND(#REF!&gt;=table!$C$8,#REF!&lt;= table!$D$8),-1,IF(AND(#REF!&gt;=table!$E$8,#REF!&lt;=table!$F$8),1,0))</f>
        <v>#REF!</v>
      </c>
      <c r="T189" s="5"/>
      <c r="U189" s="5" t="e">
        <f>IF(AND(#REF!&gt;=table!$C$10,#REF!&lt;= table!$D$10),-1,IF(AND(#REF!&gt;=table!$E$10,#REF!&lt;=table!$F$10),1,0))</f>
        <v>#REF!</v>
      </c>
      <c r="V189" s="5" t="e">
        <f>IF(AND(#REF!&gt;=table!$C$11,#REF!&lt;= table!$D$11),-1,IF(AND(#REF!&gt;=table!$E$11,#REF!&lt;=table!$F$11),1,0))</f>
        <v>#REF!</v>
      </c>
      <c r="W189" s="5" t="e">
        <f>CONCATENATE(dados[[#This Row],[fator1]],dados[[#This Row],[fator5]],dados[[#This Row],[fator6]])</f>
        <v>#REF!</v>
      </c>
    </row>
    <row r="190" spans="1:23">
      <c r="A190" t="s">
        <v>16</v>
      </c>
      <c r="B190">
        <v>481269</v>
      </c>
      <c r="C190">
        <v>6</v>
      </c>
      <c r="D190">
        <v>40</v>
      </c>
      <c r="E190">
        <v>66</v>
      </c>
      <c r="F190">
        <v>10</v>
      </c>
      <c r="G190">
        <v>0</v>
      </c>
      <c r="H190">
        <v>25</v>
      </c>
      <c r="I190">
        <v>1047</v>
      </c>
      <c r="J190">
        <v>0</v>
      </c>
      <c r="K190">
        <v>3.89</v>
      </c>
      <c r="L190">
        <v>13.455</v>
      </c>
      <c r="M190">
        <v>59.99</v>
      </c>
      <c r="N190">
        <v>10.635</v>
      </c>
      <c r="O190">
        <v>1657</v>
      </c>
      <c r="P190">
        <v>523</v>
      </c>
      <c r="Q190" s="5" t="e">
        <f>IF(AND(#REF!&gt;=table!$C$6,#REF!&lt;= table!$D$6),-1,IF(AND(#REF!&gt;=table!$E$6,#REF!&lt;=table!$F$6),1,0))</f>
        <v>#REF!</v>
      </c>
      <c r="R190" s="5" t="e">
        <f>IF(AND(#REF!&gt;=table!$C$7,#REF!&lt;= table!$D$7),-1,IF(AND(#REF!&gt;=table!$E$7,#REF!&lt;=table!$F$7),1,0))</f>
        <v>#REF!</v>
      </c>
      <c r="S190" s="5" t="e">
        <f>IF(AND(#REF!&gt;=table!$C$8,#REF!&lt;= table!$D$8),-1,IF(AND(#REF!&gt;=table!$E$8,#REF!&lt;=table!$F$8),1,0))</f>
        <v>#REF!</v>
      </c>
      <c r="T190" s="5"/>
      <c r="U190" s="5" t="e">
        <f>IF(AND(#REF!&gt;=table!$C$10,#REF!&lt;= table!$D$10),-1,IF(AND(#REF!&gt;=table!$E$10,#REF!&lt;=table!$F$10),1,0))</f>
        <v>#REF!</v>
      </c>
      <c r="V190" s="5" t="e">
        <f>IF(AND(#REF!&gt;=table!$C$11,#REF!&lt;= table!$D$11),-1,IF(AND(#REF!&gt;=table!$E$11,#REF!&lt;=table!$F$11),1,0))</f>
        <v>#REF!</v>
      </c>
      <c r="W190" s="5" t="e">
        <f>CONCATENATE(dados[[#This Row],[fator1]],dados[[#This Row],[fator5]],dados[[#This Row],[fator6]])</f>
        <v>#REF!</v>
      </c>
    </row>
    <row r="191" spans="1:23">
      <c r="A191" t="s">
        <v>17</v>
      </c>
      <c r="B191">
        <v>481270</v>
      </c>
      <c r="C191">
        <v>18</v>
      </c>
      <c r="D191">
        <v>30</v>
      </c>
      <c r="E191">
        <v>136</v>
      </c>
      <c r="F191">
        <v>3</v>
      </c>
      <c r="G191">
        <v>20</v>
      </c>
      <c r="H191">
        <v>25</v>
      </c>
      <c r="I191">
        <v>433</v>
      </c>
      <c r="J191">
        <v>0</v>
      </c>
      <c r="K191">
        <v>7.86</v>
      </c>
      <c r="L191">
        <v>15.35</v>
      </c>
      <c r="M191">
        <v>100.03</v>
      </c>
      <c r="N191">
        <v>12.485000000000001</v>
      </c>
      <c r="O191">
        <v>1676</v>
      </c>
      <c r="P191">
        <v>0</v>
      </c>
      <c r="Q191" s="5" t="e">
        <f>IF(AND(#REF!&gt;=table!$C$6,#REF!&lt;= table!$D$6),-1,IF(AND(#REF!&gt;=table!$E$6,#REF!&lt;=table!$F$6),1,0))</f>
        <v>#REF!</v>
      </c>
      <c r="R191" s="5" t="e">
        <f>IF(AND(#REF!&gt;=table!$C$7,#REF!&lt;= table!$D$7),-1,IF(AND(#REF!&gt;=table!$E$7,#REF!&lt;=table!$F$7),1,0))</f>
        <v>#REF!</v>
      </c>
      <c r="S191" s="5" t="e">
        <f>IF(AND(#REF!&gt;=table!$C$8,#REF!&lt;= table!$D$8),-1,IF(AND(#REF!&gt;=table!$E$8,#REF!&lt;=table!$F$8),1,0))</f>
        <v>#REF!</v>
      </c>
      <c r="T191" s="5"/>
      <c r="U191" s="5" t="e">
        <f>IF(AND(#REF!&gt;=table!$C$10,#REF!&lt;= table!$D$10),-1,IF(AND(#REF!&gt;=table!$E$10,#REF!&lt;=table!$F$10),1,0))</f>
        <v>#REF!</v>
      </c>
      <c r="V191" s="5" t="e">
        <f>IF(AND(#REF!&gt;=table!$C$11,#REF!&lt;= table!$D$11),-1,IF(AND(#REF!&gt;=table!$E$11,#REF!&lt;=table!$F$11),1,0))</f>
        <v>#REF!</v>
      </c>
      <c r="W191" s="5" t="e">
        <f>CONCATENATE(dados[[#This Row],[fator1]],dados[[#This Row],[fator5]],dados[[#This Row],[fator6]])</f>
        <v>#REF!</v>
      </c>
    </row>
    <row r="192" spans="1:23">
      <c r="A192" t="s">
        <v>17</v>
      </c>
      <c r="B192">
        <v>481271</v>
      </c>
      <c r="C192">
        <v>16</v>
      </c>
      <c r="D192">
        <v>35</v>
      </c>
      <c r="E192">
        <v>136</v>
      </c>
      <c r="F192">
        <v>4</v>
      </c>
      <c r="G192">
        <v>30</v>
      </c>
      <c r="H192">
        <v>25</v>
      </c>
      <c r="I192">
        <v>1</v>
      </c>
      <c r="J192">
        <v>0</v>
      </c>
      <c r="K192">
        <v>6</v>
      </c>
      <c r="L192">
        <v>15.200000000000001</v>
      </c>
      <c r="M192">
        <v>114.3</v>
      </c>
      <c r="N192">
        <v>14.605</v>
      </c>
      <c r="O192">
        <v>1672</v>
      </c>
      <c r="P192">
        <v>0</v>
      </c>
      <c r="Q192" s="5" t="e">
        <f>IF(AND(#REF!&gt;=table!$C$6,#REF!&lt;= table!$D$6),-1,IF(AND(#REF!&gt;=table!$E$6,#REF!&lt;=table!$F$6),1,0))</f>
        <v>#REF!</v>
      </c>
      <c r="R192" s="5" t="e">
        <f>IF(AND(#REF!&gt;=table!$C$7,#REF!&lt;= table!$D$7),-1,IF(AND(#REF!&gt;=table!$E$7,#REF!&lt;=table!$F$7),1,0))</f>
        <v>#REF!</v>
      </c>
      <c r="S192" s="5" t="e">
        <f>IF(AND(#REF!&gt;=table!$C$8,#REF!&lt;= table!$D$8),-1,IF(AND(#REF!&gt;=table!$E$8,#REF!&lt;=table!$F$8),1,0))</f>
        <v>#REF!</v>
      </c>
      <c r="T192" s="5"/>
      <c r="U192" s="5" t="e">
        <f>IF(AND(#REF!&gt;=table!$C$10,#REF!&lt;= table!$D$10),-1,IF(AND(#REF!&gt;=table!$E$10,#REF!&lt;=table!$F$10),1,0))</f>
        <v>#REF!</v>
      </c>
      <c r="V192" s="5" t="e">
        <f>IF(AND(#REF!&gt;=table!$C$11,#REF!&lt;= table!$D$11),-1,IF(AND(#REF!&gt;=table!$E$11,#REF!&lt;=table!$F$11),1,0))</f>
        <v>#REF!</v>
      </c>
      <c r="W192" s="5" t="e">
        <f>CONCATENATE(dados[[#This Row],[fator1]],dados[[#This Row],[fator5]],dados[[#This Row],[fator6]])</f>
        <v>#REF!</v>
      </c>
    </row>
    <row r="193" spans="1:23">
      <c r="A193" t="s">
        <v>17</v>
      </c>
      <c r="B193">
        <v>481272</v>
      </c>
      <c r="C193">
        <v>16</v>
      </c>
      <c r="D193">
        <v>35</v>
      </c>
      <c r="E193">
        <v>136</v>
      </c>
      <c r="F193">
        <v>4</v>
      </c>
      <c r="G193">
        <v>30</v>
      </c>
      <c r="H193">
        <v>25</v>
      </c>
      <c r="I193">
        <v>4</v>
      </c>
      <c r="J193">
        <v>0</v>
      </c>
      <c r="K193">
        <v>6.32</v>
      </c>
      <c r="L193">
        <v>18.8</v>
      </c>
      <c r="M193">
        <v>113.95</v>
      </c>
      <c r="N193">
        <v>13.5</v>
      </c>
      <c r="O193">
        <v>1683</v>
      </c>
      <c r="P193">
        <v>430</v>
      </c>
      <c r="Q193" s="5" t="e">
        <f>IF(AND(#REF!&gt;=table!$C$6,#REF!&lt;= table!$D$6),-1,IF(AND(#REF!&gt;=table!$E$6,#REF!&lt;=table!$F$6),1,0))</f>
        <v>#REF!</v>
      </c>
      <c r="R193" s="5" t="e">
        <f>IF(AND(#REF!&gt;=table!$C$7,#REF!&lt;= table!$D$7),-1,IF(AND(#REF!&gt;=table!$E$7,#REF!&lt;=table!$F$7),1,0))</f>
        <v>#REF!</v>
      </c>
      <c r="S193" s="5" t="e">
        <f>IF(AND(#REF!&gt;=table!$C$8,#REF!&lt;= table!$D$8),-1,IF(AND(#REF!&gt;=table!$E$8,#REF!&lt;=table!$F$8),1,0))</f>
        <v>#REF!</v>
      </c>
      <c r="T193" s="5"/>
      <c r="U193" s="5" t="e">
        <f>IF(AND(#REF!&gt;=table!$C$10,#REF!&lt;= table!$D$10),-1,IF(AND(#REF!&gt;=table!$E$10,#REF!&lt;=table!$F$10),1,0))</f>
        <v>#REF!</v>
      </c>
      <c r="V193" s="5" t="e">
        <f>IF(AND(#REF!&gt;=table!$C$11,#REF!&lt;= table!$D$11),-1,IF(AND(#REF!&gt;=table!$E$11,#REF!&lt;=table!$F$11),1,0))</f>
        <v>#REF!</v>
      </c>
      <c r="W193" s="5" t="e">
        <f>CONCATENATE(dados[[#This Row],[fator1]],dados[[#This Row],[fator5]],dados[[#This Row],[fator6]])</f>
        <v>#REF!</v>
      </c>
    </row>
    <row r="194" spans="1:23">
      <c r="A194" t="s">
        <v>17</v>
      </c>
      <c r="B194">
        <v>481274</v>
      </c>
      <c r="C194">
        <v>18</v>
      </c>
      <c r="D194">
        <v>35</v>
      </c>
      <c r="E194">
        <v>136</v>
      </c>
      <c r="F194">
        <v>8</v>
      </c>
      <c r="G194">
        <v>30</v>
      </c>
      <c r="H194">
        <v>25</v>
      </c>
      <c r="I194">
        <v>659</v>
      </c>
      <c r="J194">
        <v>0</v>
      </c>
      <c r="K194">
        <v>7.68</v>
      </c>
      <c r="L194">
        <v>19.55</v>
      </c>
      <c r="M194">
        <v>117.5</v>
      </c>
      <c r="N194">
        <v>18.600000000000001</v>
      </c>
      <c r="O194">
        <v>1676</v>
      </c>
      <c r="P194">
        <v>346</v>
      </c>
      <c r="Q194" s="5" t="e">
        <f>IF(AND(#REF!&gt;=table!$C$6,#REF!&lt;= table!$D$6),-1,IF(AND(#REF!&gt;=table!$E$6,#REF!&lt;=table!$F$6),1,0))</f>
        <v>#REF!</v>
      </c>
      <c r="R194" s="5" t="e">
        <f>IF(AND(#REF!&gt;=table!$C$7,#REF!&lt;= table!$D$7),-1,IF(AND(#REF!&gt;=table!$E$7,#REF!&lt;=table!$F$7),1,0))</f>
        <v>#REF!</v>
      </c>
      <c r="S194" s="5" t="e">
        <f>IF(AND(#REF!&gt;=table!$C$8,#REF!&lt;= table!$D$8),-1,IF(AND(#REF!&gt;=table!$E$8,#REF!&lt;=table!$F$8),1,0))</f>
        <v>#REF!</v>
      </c>
      <c r="T194" s="5"/>
      <c r="U194" s="5" t="e">
        <f>IF(AND(#REF!&gt;=table!$C$10,#REF!&lt;= table!$D$10),-1,IF(AND(#REF!&gt;=table!$E$10,#REF!&lt;=table!$F$10),1,0))</f>
        <v>#REF!</v>
      </c>
      <c r="V194" s="5" t="e">
        <f>IF(AND(#REF!&gt;=table!$C$11,#REF!&lt;= table!$D$11),-1,IF(AND(#REF!&gt;=table!$E$11,#REF!&lt;=table!$F$11),1,0))</f>
        <v>#REF!</v>
      </c>
      <c r="W194" s="5" t="e">
        <f>CONCATENATE(dados[[#This Row],[fator1]],dados[[#This Row],[fator5]],dados[[#This Row],[fator6]])</f>
        <v>#REF!</v>
      </c>
    </row>
    <row r="195" spans="1:23">
      <c r="A195" t="s">
        <v>16</v>
      </c>
      <c r="B195">
        <v>481280</v>
      </c>
      <c r="C195">
        <v>0.2</v>
      </c>
      <c r="D195">
        <v>65</v>
      </c>
      <c r="E195">
        <v>26</v>
      </c>
      <c r="F195">
        <v>15</v>
      </c>
      <c r="G195">
        <v>0</v>
      </c>
      <c r="H195">
        <v>30</v>
      </c>
      <c r="I195">
        <v>910</v>
      </c>
      <c r="J195">
        <v>0</v>
      </c>
      <c r="K195">
        <v>2.7250000000000001</v>
      </c>
      <c r="L195">
        <v>14.8</v>
      </c>
      <c r="M195">
        <v>13.8</v>
      </c>
      <c r="N195">
        <v>13.65</v>
      </c>
      <c r="O195">
        <v>1693</v>
      </c>
      <c r="P195">
        <v>726</v>
      </c>
      <c r="Q195" s="5" t="e">
        <f>IF(AND(#REF!&gt;=table!$C$6,#REF!&lt;= table!$D$6),-1,IF(AND(#REF!&gt;=table!$E$6,#REF!&lt;=table!$F$6),1,0))</f>
        <v>#REF!</v>
      </c>
      <c r="R195" s="5" t="e">
        <f>IF(AND(#REF!&gt;=table!$C$7,#REF!&lt;= table!$D$7),-1,IF(AND(#REF!&gt;=table!$E$7,#REF!&lt;=table!$F$7),1,0))</f>
        <v>#REF!</v>
      </c>
      <c r="S195" s="5" t="e">
        <f>IF(AND(#REF!&gt;=table!$C$8,#REF!&lt;= table!$D$8),-1,IF(AND(#REF!&gt;=table!$E$8,#REF!&lt;=table!$F$8),1,0))</f>
        <v>#REF!</v>
      </c>
      <c r="T195" s="5"/>
      <c r="U195" s="5" t="e">
        <f>IF(AND(#REF!&gt;=table!$C$10,#REF!&lt;= table!$D$10),-1,IF(AND(#REF!&gt;=table!$E$10,#REF!&lt;=table!$F$10),1,0))</f>
        <v>#REF!</v>
      </c>
      <c r="V195" s="5" t="e">
        <f>IF(AND(#REF!&gt;=table!$C$11,#REF!&lt;= table!$D$11),-1,IF(AND(#REF!&gt;=table!$E$11,#REF!&lt;=table!$F$11),1,0))</f>
        <v>#REF!</v>
      </c>
      <c r="W195" s="5" t="e">
        <f>CONCATENATE(dados[[#This Row],[fator1]],dados[[#This Row],[fator5]],dados[[#This Row],[fator6]])</f>
        <v>#REF!</v>
      </c>
    </row>
    <row r="196" spans="1:23">
      <c r="A196" t="s">
        <v>17</v>
      </c>
      <c r="B196">
        <v>481281</v>
      </c>
      <c r="C196">
        <v>10</v>
      </c>
      <c r="D196">
        <v>25</v>
      </c>
      <c r="E196">
        <v>40</v>
      </c>
      <c r="F196">
        <v>10</v>
      </c>
      <c r="G196">
        <v>110</v>
      </c>
      <c r="H196">
        <v>50</v>
      </c>
      <c r="I196">
        <v>474</v>
      </c>
      <c r="J196">
        <v>0</v>
      </c>
      <c r="K196">
        <v>4.26</v>
      </c>
      <c r="L196">
        <v>19.05</v>
      </c>
      <c r="M196">
        <v>31.5</v>
      </c>
      <c r="N196">
        <v>26.7</v>
      </c>
      <c r="O196">
        <v>1665</v>
      </c>
      <c r="P196">
        <v>0</v>
      </c>
      <c r="Q196" s="5" t="e">
        <f>IF(AND(#REF!&gt;=table!$C$6,#REF!&lt;= table!$D$6),-1,IF(AND(#REF!&gt;=table!$E$6,#REF!&lt;=table!$F$6),1,0))</f>
        <v>#REF!</v>
      </c>
      <c r="R196" s="5" t="e">
        <f>IF(AND(#REF!&gt;=table!$C$7,#REF!&lt;= table!$D$7),-1,IF(AND(#REF!&gt;=table!$E$7,#REF!&lt;=table!$F$7),1,0))</f>
        <v>#REF!</v>
      </c>
      <c r="S196" s="5" t="e">
        <f>IF(AND(#REF!&gt;=table!$C$8,#REF!&lt;= table!$D$8),-1,IF(AND(#REF!&gt;=table!$E$8,#REF!&lt;=table!$F$8),1,0))</f>
        <v>#REF!</v>
      </c>
      <c r="T196" s="5"/>
      <c r="U196" s="5" t="e">
        <f>IF(AND(#REF!&gt;=table!$C$10,#REF!&lt;= table!$D$10),-1,IF(AND(#REF!&gt;=table!$E$10,#REF!&lt;=table!$F$10),1,0))</f>
        <v>#REF!</v>
      </c>
      <c r="V196" s="5" t="e">
        <f>IF(AND(#REF!&gt;=table!$C$11,#REF!&lt;= table!$D$11),-1,IF(AND(#REF!&gt;=table!$E$11,#REF!&lt;=table!$F$11),1,0))</f>
        <v>#REF!</v>
      </c>
      <c r="W196" s="5" t="e">
        <f>CONCATENATE(dados[[#This Row],[fator1]],dados[[#This Row],[fator5]],dados[[#This Row],[fator6]])</f>
        <v>#REF!</v>
      </c>
    </row>
    <row r="197" spans="1:23">
      <c r="A197" t="s">
        <v>17</v>
      </c>
      <c r="B197">
        <v>481283</v>
      </c>
      <c r="C197">
        <v>12</v>
      </c>
      <c r="D197">
        <v>25</v>
      </c>
      <c r="E197">
        <v>120</v>
      </c>
      <c r="F197">
        <v>9</v>
      </c>
      <c r="G197">
        <v>110</v>
      </c>
      <c r="H197">
        <v>50</v>
      </c>
      <c r="I197">
        <v>610</v>
      </c>
      <c r="J197">
        <v>0</v>
      </c>
      <c r="K197">
        <v>5.05</v>
      </c>
      <c r="L197">
        <v>23.5</v>
      </c>
      <c r="M197">
        <v>114.3</v>
      </c>
      <c r="N197">
        <v>31.900000000000002</v>
      </c>
      <c r="O197">
        <v>1669</v>
      </c>
      <c r="P197">
        <v>385</v>
      </c>
      <c r="Q197" s="5" t="e">
        <f>IF(AND(#REF!&gt;=table!$C$6,#REF!&lt;= table!$D$6),-1,IF(AND(#REF!&gt;=table!$E$6,#REF!&lt;=table!$F$6),1,0))</f>
        <v>#REF!</v>
      </c>
      <c r="R197" s="5" t="e">
        <f>IF(AND(#REF!&gt;=table!$C$7,#REF!&lt;= table!$D$7),-1,IF(AND(#REF!&gt;=table!$E$7,#REF!&lt;=table!$F$7),1,0))</f>
        <v>#REF!</v>
      </c>
      <c r="S197" s="5" t="e">
        <f>IF(AND(#REF!&gt;=table!$C$8,#REF!&lt;= table!$D$8),-1,IF(AND(#REF!&gt;=table!$E$8,#REF!&lt;=table!$F$8),1,0))</f>
        <v>#REF!</v>
      </c>
      <c r="T197" s="5"/>
      <c r="U197" s="5" t="e">
        <f>IF(AND(#REF!&gt;=table!$C$10,#REF!&lt;= table!$D$10),-1,IF(AND(#REF!&gt;=table!$E$10,#REF!&lt;=table!$F$10),1,0))</f>
        <v>#REF!</v>
      </c>
      <c r="V197" s="5" t="e">
        <f>IF(AND(#REF!&gt;=table!$C$11,#REF!&lt;= table!$D$11),-1,IF(AND(#REF!&gt;=table!$E$11,#REF!&lt;=table!$F$11),1,0))</f>
        <v>#REF!</v>
      </c>
      <c r="W197" s="5" t="e">
        <f>CONCATENATE(dados[[#This Row],[fator1]],dados[[#This Row],[fator5]],dados[[#This Row],[fator6]])</f>
        <v>#REF!</v>
      </c>
    </row>
    <row r="198" spans="1:23">
      <c r="A198" t="s">
        <v>17</v>
      </c>
      <c r="B198">
        <v>481285</v>
      </c>
      <c r="C198">
        <v>10</v>
      </c>
      <c r="D198">
        <v>25</v>
      </c>
      <c r="E198">
        <v>134</v>
      </c>
      <c r="F198">
        <v>9</v>
      </c>
      <c r="G198">
        <v>110</v>
      </c>
      <c r="H198">
        <v>50</v>
      </c>
      <c r="I198">
        <v>290</v>
      </c>
      <c r="J198">
        <v>0</v>
      </c>
      <c r="K198">
        <v>3.7600000000000002</v>
      </c>
      <c r="L198">
        <v>12.5</v>
      </c>
      <c r="M198">
        <v>110.2</v>
      </c>
      <c r="N198">
        <v>30.400000000000002</v>
      </c>
      <c r="O198">
        <v>1678</v>
      </c>
      <c r="P198">
        <v>561</v>
      </c>
      <c r="Q198" s="5" t="e">
        <f>IF(AND(#REF!&gt;=table!$C$6,#REF!&lt;= table!$D$6),-1,IF(AND(#REF!&gt;=table!$E$6,#REF!&lt;=table!$F$6),1,0))</f>
        <v>#REF!</v>
      </c>
      <c r="R198" s="5" t="e">
        <f>IF(AND(#REF!&gt;=table!$C$7,#REF!&lt;= table!$D$7),-1,IF(AND(#REF!&gt;=table!$E$7,#REF!&lt;=table!$F$7),1,0))</f>
        <v>#REF!</v>
      </c>
      <c r="S198" s="5" t="e">
        <f>IF(AND(#REF!&gt;=table!$C$8,#REF!&lt;= table!$D$8),-1,IF(AND(#REF!&gt;=table!$E$8,#REF!&lt;=table!$F$8),1,0))</f>
        <v>#REF!</v>
      </c>
      <c r="T198" s="5"/>
      <c r="U198" s="5" t="e">
        <f>IF(AND(#REF!&gt;=table!$C$10,#REF!&lt;= table!$D$10),-1,IF(AND(#REF!&gt;=table!$E$10,#REF!&lt;=table!$F$10),1,0))</f>
        <v>#REF!</v>
      </c>
      <c r="V198" s="5" t="e">
        <f>IF(AND(#REF!&gt;=table!$C$11,#REF!&lt;= table!$D$11),-1,IF(AND(#REF!&gt;=table!$E$11,#REF!&lt;=table!$F$11),1,0))</f>
        <v>#REF!</v>
      </c>
      <c r="W198" s="5" t="e">
        <f>CONCATENATE(dados[[#This Row],[fator1]],dados[[#This Row],[fator5]],dados[[#This Row],[fator6]])</f>
        <v>#REF!</v>
      </c>
    </row>
    <row r="199" spans="1:23">
      <c r="A199" t="s">
        <v>17</v>
      </c>
      <c r="B199">
        <v>481286</v>
      </c>
      <c r="C199">
        <v>16</v>
      </c>
      <c r="D199">
        <v>25</v>
      </c>
      <c r="E199">
        <v>56</v>
      </c>
      <c r="F199">
        <v>10</v>
      </c>
      <c r="G199">
        <v>13</v>
      </c>
      <c r="H199">
        <v>25</v>
      </c>
      <c r="I199">
        <v>938</v>
      </c>
      <c r="J199">
        <v>0</v>
      </c>
      <c r="K199">
        <v>4.07</v>
      </c>
      <c r="L199">
        <v>14.05</v>
      </c>
      <c r="M199">
        <v>16.27</v>
      </c>
      <c r="N199">
        <v>7.1950000000000003</v>
      </c>
      <c r="O199">
        <v>1652</v>
      </c>
      <c r="P199">
        <v>418</v>
      </c>
      <c r="Q199" s="5" t="e">
        <f>IF(AND(#REF!&gt;=table!$C$6,#REF!&lt;= table!$D$6),-1,IF(AND(#REF!&gt;=table!$E$6,#REF!&lt;=table!$F$6),1,0))</f>
        <v>#REF!</v>
      </c>
      <c r="R199" s="5" t="e">
        <f>IF(AND(#REF!&gt;=table!$C$7,#REF!&lt;= table!$D$7),-1,IF(AND(#REF!&gt;=table!$E$7,#REF!&lt;=table!$F$7),1,0))</f>
        <v>#REF!</v>
      </c>
      <c r="S199" s="5" t="e">
        <f>IF(AND(#REF!&gt;=table!$C$8,#REF!&lt;= table!$D$8),-1,IF(AND(#REF!&gt;=table!$E$8,#REF!&lt;=table!$F$8),1,0))</f>
        <v>#REF!</v>
      </c>
      <c r="T199" s="5"/>
      <c r="U199" s="5" t="e">
        <f>IF(AND(#REF!&gt;=table!$C$10,#REF!&lt;= table!$D$10),-1,IF(AND(#REF!&gt;=table!$E$10,#REF!&lt;=table!$F$10),1,0))</f>
        <v>#REF!</v>
      </c>
      <c r="V199" s="5" t="e">
        <f>IF(AND(#REF!&gt;=table!$C$11,#REF!&lt;= table!$D$11),-1,IF(AND(#REF!&gt;=table!$E$11,#REF!&lt;=table!$F$11),1,0))</f>
        <v>#REF!</v>
      </c>
      <c r="W199" s="5" t="e">
        <f>CONCATENATE(dados[[#This Row],[fator1]],dados[[#This Row],[fator5]],dados[[#This Row],[fator6]])</f>
        <v>#REF!</v>
      </c>
    </row>
    <row r="200" spans="1:23">
      <c r="A200" t="s">
        <v>17</v>
      </c>
      <c r="B200">
        <v>481290</v>
      </c>
      <c r="C200">
        <v>8</v>
      </c>
      <c r="D200">
        <v>30</v>
      </c>
      <c r="E200">
        <v>153</v>
      </c>
      <c r="F200">
        <v>2</v>
      </c>
      <c r="G200">
        <v>20</v>
      </c>
      <c r="H200">
        <v>18</v>
      </c>
      <c r="I200">
        <v>38</v>
      </c>
      <c r="J200">
        <v>0</v>
      </c>
      <c r="K200">
        <v>3.16</v>
      </c>
      <c r="L200">
        <v>6</v>
      </c>
      <c r="M200">
        <v>64.545000000000002</v>
      </c>
      <c r="N200">
        <v>6.5200000000000005</v>
      </c>
      <c r="O200">
        <v>1653</v>
      </c>
      <c r="P200">
        <v>783</v>
      </c>
      <c r="Q200" s="5" t="e">
        <f>IF(AND(#REF!&gt;=table!$C$6,#REF!&lt;= table!$D$6),-1,IF(AND(#REF!&gt;=table!$E$6,#REF!&lt;=table!$F$6),1,0))</f>
        <v>#REF!</v>
      </c>
      <c r="R200" s="5" t="e">
        <f>IF(AND(#REF!&gt;=table!$C$7,#REF!&lt;= table!$D$7),-1,IF(AND(#REF!&gt;=table!$E$7,#REF!&lt;=table!$F$7),1,0))</f>
        <v>#REF!</v>
      </c>
      <c r="S200" s="5" t="e">
        <f>IF(AND(#REF!&gt;=table!$C$8,#REF!&lt;= table!$D$8),-1,IF(AND(#REF!&gt;=table!$E$8,#REF!&lt;=table!$F$8),1,0))</f>
        <v>#REF!</v>
      </c>
      <c r="T200" s="5"/>
      <c r="U200" s="5" t="e">
        <f>IF(AND(#REF!&gt;=table!$C$10,#REF!&lt;= table!$D$10),-1,IF(AND(#REF!&gt;=table!$E$10,#REF!&lt;=table!$F$10),1,0))</f>
        <v>#REF!</v>
      </c>
      <c r="V200" s="5" t="e">
        <f>IF(AND(#REF!&gt;=table!$C$11,#REF!&lt;= table!$D$11),-1,IF(AND(#REF!&gt;=table!$E$11,#REF!&lt;=table!$F$11),1,0))</f>
        <v>#REF!</v>
      </c>
      <c r="W200" s="5" t="e">
        <f>CONCATENATE(dados[[#This Row],[fator1]],dados[[#This Row],[fator5]],dados[[#This Row],[fator6]])</f>
        <v>#REF!</v>
      </c>
    </row>
    <row r="201" spans="1:23">
      <c r="A201" t="s">
        <v>16</v>
      </c>
      <c r="B201">
        <v>481291</v>
      </c>
      <c r="C201">
        <v>16</v>
      </c>
      <c r="D201">
        <v>35</v>
      </c>
      <c r="E201">
        <v>36</v>
      </c>
      <c r="F201">
        <v>10</v>
      </c>
      <c r="G201">
        <v>0</v>
      </c>
      <c r="H201">
        <v>25</v>
      </c>
      <c r="I201">
        <v>1204</v>
      </c>
      <c r="J201">
        <v>780</v>
      </c>
      <c r="K201">
        <v>7.78</v>
      </c>
      <c r="L201">
        <v>25.7</v>
      </c>
      <c r="M201">
        <v>26.400000000000002</v>
      </c>
      <c r="N201">
        <v>11.205</v>
      </c>
      <c r="O201">
        <v>1659</v>
      </c>
      <c r="P201">
        <v>0</v>
      </c>
      <c r="Q201" s="5" t="e">
        <f>IF(AND(#REF!&gt;=table!$C$6,#REF!&lt;= table!$D$6),-1,IF(AND(#REF!&gt;=table!$E$6,#REF!&lt;=table!$F$6),1,0))</f>
        <v>#REF!</v>
      </c>
      <c r="R201" s="5" t="e">
        <f>IF(AND(#REF!&gt;=table!$C$7,#REF!&lt;= table!$D$7),-1,IF(AND(#REF!&gt;=table!$E$7,#REF!&lt;=table!$F$7),1,0))</f>
        <v>#REF!</v>
      </c>
      <c r="S201" s="5" t="e">
        <f>IF(AND(#REF!&gt;=table!$C$8,#REF!&lt;= table!$D$8),-1,IF(AND(#REF!&gt;=table!$E$8,#REF!&lt;=table!$F$8),1,0))</f>
        <v>#REF!</v>
      </c>
      <c r="T201" s="5"/>
      <c r="U201" s="5" t="e">
        <f>IF(AND(#REF!&gt;=table!$C$10,#REF!&lt;= table!$D$10),-1,IF(AND(#REF!&gt;=table!$E$10,#REF!&lt;=table!$F$10),1,0))</f>
        <v>#REF!</v>
      </c>
      <c r="V201" s="5" t="e">
        <f>IF(AND(#REF!&gt;=table!$C$11,#REF!&lt;= table!$D$11),-1,IF(AND(#REF!&gt;=table!$E$11,#REF!&lt;=table!$F$11),1,0))</f>
        <v>#REF!</v>
      </c>
      <c r="W201" s="5" t="e">
        <f>CONCATENATE(dados[[#This Row],[fator1]],dados[[#This Row],[fator5]],dados[[#This Row],[fator6]])</f>
        <v>#REF!</v>
      </c>
    </row>
    <row r="202" spans="1:23">
      <c r="A202" t="s">
        <v>17</v>
      </c>
      <c r="B202">
        <v>481292</v>
      </c>
      <c r="C202">
        <v>8</v>
      </c>
      <c r="D202">
        <v>30</v>
      </c>
      <c r="E202">
        <v>153</v>
      </c>
      <c r="F202">
        <v>2</v>
      </c>
      <c r="G202">
        <v>20</v>
      </c>
      <c r="H202">
        <v>18</v>
      </c>
      <c r="I202">
        <v>0</v>
      </c>
      <c r="J202">
        <v>0</v>
      </c>
      <c r="K202">
        <v>3.11</v>
      </c>
      <c r="L202">
        <v>5.55</v>
      </c>
      <c r="M202">
        <v>147.55000000000001</v>
      </c>
      <c r="N202">
        <v>9.65</v>
      </c>
      <c r="O202">
        <v>1682</v>
      </c>
      <c r="P202">
        <v>0</v>
      </c>
      <c r="Q202" s="5" t="e">
        <f>IF(AND(#REF!&gt;=table!$C$6,#REF!&lt;= table!$D$6),-1,IF(AND(#REF!&gt;=table!$E$6,#REF!&lt;=table!$F$6),1,0))</f>
        <v>#REF!</v>
      </c>
      <c r="R202" s="5" t="e">
        <f>IF(AND(#REF!&gt;=table!$C$7,#REF!&lt;= table!$D$7),-1,IF(AND(#REF!&gt;=table!$E$7,#REF!&lt;=table!$F$7),1,0))</f>
        <v>#REF!</v>
      </c>
      <c r="S202" s="5" t="e">
        <f>IF(AND(#REF!&gt;=table!$C$8,#REF!&lt;= table!$D$8),-1,IF(AND(#REF!&gt;=table!$E$8,#REF!&lt;=table!$F$8),1,0))</f>
        <v>#REF!</v>
      </c>
      <c r="T202" s="5"/>
      <c r="U202" s="5" t="e">
        <f>IF(AND(#REF!&gt;=table!$C$10,#REF!&lt;= table!$D$10),-1,IF(AND(#REF!&gt;=table!$E$10,#REF!&lt;=table!$F$10),1,0))</f>
        <v>#REF!</v>
      </c>
      <c r="V202" s="5" t="e">
        <f>IF(AND(#REF!&gt;=table!$C$11,#REF!&lt;= table!$D$11),-1,IF(AND(#REF!&gt;=table!$E$11,#REF!&lt;=table!$F$11),1,0))</f>
        <v>#REF!</v>
      </c>
      <c r="W202" s="5" t="e">
        <f>CONCATENATE(dados[[#This Row],[fator1]],dados[[#This Row],[fator5]],dados[[#This Row],[fator6]])</f>
        <v>#REF!</v>
      </c>
    </row>
    <row r="203" spans="1:23">
      <c r="A203" t="s">
        <v>17</v>
      </c>
      <c r="B203">
        <v>481293</v>
      </c>
      <c r="C203">
        <v>8</v>
      </c>
      <c r="D203">
        <v>30</v>
      </c>
      <c r="E203">
        <v>153</v>
      </c>
      <c r="F203">
        <v>2</v>
      </c>
      <c r="G203">
        <v>20</v>
      </c>
      <c r="H203">
        <v>18</v>
      </c>
      <c r="I203">
        <v>47</v>
      </c>
      <c r="J203">
        <v>0</v>
      </c>
      <c r="K203">
        <v>2.59</v>
      </c>
      <c r="L203">
        <v>6.5</v>
      </c>
      <c r="M203">
        <v>91.95</v>
      </c>
      <c r="N203">
        <v>5.95</v>
      </c>
      <c r="O203">
        <v>1677</v>
      </c>
      <c r="P203">
        <v>0</v>
      </c>
      <c r="Q203" s="5" t="e">
        <f>IF(AND(#REF!&gt;=table!$C$6,#REF!&lt;= table!$D$6),-1,IF(AND(#REF!&gt;=table!$E$6,#REF!&lt;=table!$F$6),1,0))</f>
        <v>#REF!</v>
      </c>
      <c r="R203" s="5" t="e">
        <f>IF(AND(#REF!&gt;=table!$C$7,#REF!&lt;= table!$D$7),-1,IF(AND(#REF!&gt;=table!$E$7,#REF!&lt;=table!$F$7),1,0))</f>
        <v>#REF!</v>
      </c>
      <c r="S203" s="5" t="e">
        <f>IF(AND(#REF!&gt;=table!$C$8,#REF!&lt;= table!$D$8),-1,IF(AND(#REF!&gt;=table!$E$8,#REF!&lt;=table!$F$8),1,0))</f>
        <v>#REF!</v>
      </c>
      <c r="T203" s="5"/>
      <c r="U203" s="5" t="e">
        <f>IF(AND(#REF!&gt;=table!$C$10,#REF!&lt;= table!$D$10),-1,IF(AND(#REF!&gt;=table!$E$10,#REF!&lt;=table!$F$10),1,0))</f>
        <v>#REF!</v>
      </c>
      <c r="V203" s="5" t="e">
        <f>IF(AND(#REF!&gt;=table!$C$11,#REF!&lt;= table!$D$11),-1,IF(AND(#REF!&gt;=table!$E$11,#REF!&lt;=table!$F$11),1,0))</f>
        <v>#REF!</v>
      </c>
      <c r="W203" s="5" t="e">
        <f>CONCATENATE(dados[[#This Row],[fator1]],dados[[#This Row],[fator5]],dados[[#This Row],[fator6]])</f>
        <v>#REF!</v>
      </c>
    </row>
    <row r="204" spans="1:23">
      <c r="A204" t="s">
        <v>16</v>
      </c>
      <c r="B204">
        <v>481294</v>
      </c>
      <c r="C204">
        <v>16</v>
      </c>
      <c r="D204">
        <v>35</v>
      </c>
      <c r="E204">
        <v>56</v>
      </c>
      <c r="F204">
        <v>10</v>
      </c>
      <c r="G204">
        <v>0</v>
      </c>
      <c r="H204">
        <v>25</v>
      </c>
      <c r="I204">
        <v>1</v>
      </c>
      <c r="J204">
        <v>0</v>
      </c>
      <c r="K204">
        <v>4.8500000000000005</v>
      </c>
      <c r="L204">
        <v>13.05</v>
      </c>
      <c r="M204">
        <v>46.550000000000004</v>
      </c>
      <c r="N204">
        <v>10.450000000000001</v>
      </c>
      <c r="O204">
        <v>1665</v>
      </c>
      <c r="P204">
        <v>0</v>
      </c>
      <c r="Q204" s="5" t="e">
        <f>IF(AND(#REF!&gt;=table!$C$6,#REF!&lt;= table!$D$6),-1,IF(AND(#REF!&gt;=table!$E$6,#REF!&lt;=table!$F$6),1,0))</f>
        <v>#REF!</v>
      </c>
      <c r="R204" s="5" t="e">
        <f>IF(AND(#REF!&gt;=table!$C$7,#REF!&lt;= table!$D$7),-1,IF(AND(#REF!&gt;=table!$E$7,#REF!&lt;=table!$F$7),1,0))</f>
        <v>#REF!</v>
      </c>
      <c r="S204" s="5" t="e">
        <f>IF(AND(#REF!&gt;=table!$C$8,#REF!&lt;= table!$D$8),-1,IF(AND(#REF!&gt;=table!$E$8,#REF!&lt;=table!$F$8),1,0))</f>
        <v>#REF!</v>
      </c>
      <c r="T204" s="5"/>
      <c r="U204" s="5" t="e">
        <f>IF(AND(#REF!&gt;=table!$C$10,#REF!&lt;= table!$D$10),-1,IF(AND(#REF!&gt;=table!$E$10,#REF!&lt;=table!$F$10),1,0))</f>
        <v>#REF!</v>
      </c>
      <c r="V204" s="5" t="e">
        <f>IF(AND(#REF!&gt;=table!$C$11,#REF!&lt;= table!$D$11),-1,IF(AND(#REF!&gt;=table!$E$11,#REF!&lt;=table!$F$11),1,0))</f>
        <v>#REF!</v>
      </c>
      <c r="W204" s="5" t="e">
        <f>CONCATENATE(dados[[#This Row],[fator1]],dados[[#This Row],[fator5]],dados[[#This Row],[fator6]])</f>
        <v>#REF!</v>
      </c>
    </row>
    <row r="205" spans="1:23">
      <c r="A205" t="s">
        <v>16</v>
      </c>
      <c r="B205">
        <v>481296</v>
      </c>
      <c r="C205">
        <v>16</v>
      </c>
      <c r="D205">
        <v>35</v>
      </c>
      <c r="E205">
        <v>56</v>
      </c>
      <c r="F205">
        <v>10</v>
      </c>
      <c r="G205">
        <v>0</v>
      </c>
      <c r="H205">
        <v>25</v>
      </c>
      <c r="I205">
        <v>581</v>
      </c>
      <c r="J205">
        <v>0</v>
      </c>
      <c r="K205">
        <v>5.23</v>
      </c>
      <c r="L205">
        <v>10.8</v>
      </c>
      <c r="M205">
        <v>50.2</v>
      </c>
      <c r="N205">
        <v>8.5</v>
      </c>
      <c r="O205">
        <v>1671</v>
      </c>
      <c r="P205">
        <v>0</v>
      </c>
      <c r="Q205" s="5" t="e">
        <f>IF(AND(#REF!&gt;=table!$C$6,#REF!&lt;= table!$D$6),-1,IF(AND(#REF!&gt;=table!$E$6,#REF!&lt;=table!$F$6),1,0))</f>
        <v>#REF!</v>
      </c>
      <c r="R205" s="5" t="e">
        <f>IF(AND(#REF!&gt;=table!$C$7,#REF!&lt;= table!$D$7),-1,IF(AND(#REF!&gt;=table!$E$7,#REF!&lt;=table!$F$7),1,0))</f>
        <v>#REF!</v>
      </c>
      <c r="S205" s="5" t="e">
        <f>IF(AND(#REF!&gt;=table!$C$8,#REF!&lt;= table!$D$8),-1,IF(AND(#REF!&gt;=table!$E$8,#REF!&lt;=table!$F$8),1,0))</f>
        <v>#REF!</v>
      </c>
      <c r="T205" s="5"/>
      <c r="U205" s="5" t="e">
        <f>IF(AND(#REF!&gt;=table!$C$10,#REF!&lt;= table!$D$10),-1,IF(AND(#REF!&gt;=table!$E$10,#REF!&lt;=table!$F$10),1,0))</f>
        <v>#REF!</v>
      </c>
      <c r="V205" s="5" t="e">
        <f>IF(AND(#REF!&gt;=table!$C$11,#REF!&lt;= table!$D$11),-1,IF(AND(#REF!&gt;=table!$E$11,#REF!&lt;=table!$F$11),1,0))</f>
        <v>#REF!</v>
      </c>
      <c r="W205" s="5" t="e">
        <f>CONCATENATE(dados[[#This Row],[fator1]],dados[[#This Row],[fator5]],dados[[#This Row],[fator6]])</f>
        <v>#REF!</v>
      </c>
    </row>
    <row r="206" spans="1:23">
      <c r="A206" t="s">
        <v>16</v>
      </c>
      <c r="B206">
        <v>481300</v>
      </c>
      <c r="C206">
        <v>12</v>
      </c>
      <c r="D206">
        <v>35</v>
      </c>
      <c r="E206">
        <v>170</v>
      </c>
      <c r="F206">
        <v>6</v>
      </c>
      <c r="G206">
        <v>0</v>
      </c>
      <c r="H206">
        <v>20</v>
      </c>
      <c r="I206">
        <v>1219</v>
      </c>
      <c r="J206">
        <v>0</v>
      </c>
      <c r="K206">
        <v>5.1450000000000005</v>
      </c>
      <c r="L206">
        <v>12.135</v>
      </c>
      <c r="M206">
        <v>133.65</v>
      </c>
      <c r="N206">
        <v>8.65</v>
      </c>
      <c r="O206">
        <v>1672</v>
      </c>
      <c r="P206">
        <v>0</v>
      </c>
      <c r="Q206" s="5" t="e">
        <f>IF(AND(#REF!&gt;=table!$C$6,#REF!&lt;= table!$D$6),-1,IF(AND(#REF!&gt;=table!$E$6,#REF!&lt;=table!$F$6),1,0))</f>
        <v>#REF!</v>
      </c>
      <c r="R206" s="5" t="e">
        <f>IF(AND(#REF!&gt;=table!$C$7,#REF!&lt;= table!$D$7),-1,IF(AND(#REF!&gt;=table!$E$7,#REF!&lt;=table!$F$7),1,0))</f>
        <v>#REF!</v>
      </c>
      <c r="S206" s="5" t="e">
        <f>IF(AND(#REF!&gt;=table!$C$8,#REF!&lt;= table!$D$8),-1,IF(AND(#REF!&gt;=table!$E$8,#REF!&lt;=table!$F$8),1,0))</f>
        <v>#REF!</v>
      </c>
      <c r="T206" s="5"/>
      <c r="U206" s="5" t="e">
        <f>IF(AND(#REF!&gt;=table!$C$10,#REF!&lt;= table!$D$10),-1,IF(AND(#REF!&gt;=table!$E$10,#REF!&lt;=table!$F$10),1,0))</f>
        <v>#REF!</v>
      </c>
      <c r="V206" s="5" t="e">
        <f>IF(AND(#REF!&gt;=table!$C$11,#REF!&lt;= table!$D$11),-1,IF(AND(#REF!&gt;=table!$E$11,#REF!&lt;=table!$F$11),1,0))</f>
        <v>#REF!</v>
      </c>
      <c r="W206" s="5" t="e">
        <f>CONCATENATE(dados[[#This Row],[fator1]],dados[[#This Row],[fator5]],dados[[#This Row],[fator6]])</f>
        <v>#REF!</v>
      </c>
    </row>
    <row r="207" spans="1:23">
      <c r="A207" t="s">
        <v>16</v>
      </c>
      <c r="B207">
        <v>481301</v>
      </c>
      <c r="C207">
        <v>7</v>
      </c>
      <c r="D207">
        <v>35</v>
      </c>
      <c r="E207">
        <v>170</v>
      </c>
      <c r="F207">
        <v>6</v>
      </c>
      <c r="G207">
        <v>0</v>
      </c>
      <c r="H207">
        <v>20</v>
      </c>
      <c r="I207">
        <v>312</v>
      </c>
      <c r="J207">
        <v>0</v>
      </c>
      <c r="K207">
        <v>3.335</v>
      </c>
      <c r="L207">
        <v>15.15</v>
      </c>
      <c r="M207">
        <v>180.65</v>
      </c>
      <c r="N207">
        <v>9.2000000000000011</v>
      </c>
      <c r="O207">
        <v>1686</v>
      </c>
      <c r="P207">
        <v>822</v>
      </c>
      <c r="Q207" s="5" t="e">
        <f>IF(AND(#REF!&gt;=table!$C$6,#REF!&lt;= table!$D$6),-1,IF(AND(#REF!&gt;=table!$E$6,#REF!&lt;=table!$F$6),1,0))</f>
        <v>#REF!</v>
      </c>
      <c r="R207" s="5" t="e">
        <f>IF(AND(#REF!&gt;=table!$C$7,#REF!&lt;= table!$D$7),-1,IF(AND(#REF!&gt;=table!$E$7,#REF!&lt;=table!$F$7),1,0))</f>
        <v>#REF!</v>
      </c>
      <c r="S207" s="5" t="e">
        <f>IF(AND(#REF!&gt;=table!$C$8,#REF!&lt;= table!$D$8),-1,IF(AND(#REF!&gt;=table!$E$8,#REF!&lt;=table!$F$8),1,0))</f>
        <v>#REF!</v>
      </c>
      <c r="T207" s="5"/>
      <c r="U207" s="5" t="e">
        <f>IF(AND(#REF!&gt;=table!$C$10,#REF!&lt;= table!$D$10),-1,IF(AND(#REF!&gt;=table!$E$10,#REF!&lt;=table!$F$10),1,0))</f>
        <v>#REF!</v>
      </c>
      <c r="V207" s="5" t="e">
        <f>IF(AND(#REF!&gt;=table!$C$11,#REF!&lt;= table!$D$11),-1,IF(AND(#REF!&gt;=table!$E$11,#REF!&lt;=table!$F$11),1,0))</f>
        <v>#REF!</v>
      </c>
      <c r="W207" s="5" t="e">
        <f>CONCATENATE(dados[[#This Row],[fator1]],dados[[#This Row],[fator5]],dados[[#This Row],[fator6]])</f>
        <v>#REF!</v>
      </c>
    </row>
    <row r="208" spans="1:23">
      <c r="A208" t="s">
        <v>17</v>
      </c>
      <c r="B208">
        <v>481308</v>
      </c>
      <c r="C208">
        <v>28</v>
      </c>
      <c r="D208">
        <v>25</v>
      </c>
      <c r="E208">
        <v>116</v>
      </c>
      <c r="F208">
        <v>6</v>
      </c>
      <c r="G208">
        <v>13</v>
      </c>
      <c r="H208">
        <v>25</v>
      </c>
      <c r="I208">
        <v>1362</v>
      </c>
      <c r="J208">
        <v>0</v>
      </c>
      <c r="K208">
        <v>6.29</v>
      </c>
      <c r="L208">
        <v>27.900000000000002</v>
      </c>
      <c r="M208">
        <v>111.55</v>
      </c>
      <c r="N208">
        <v>21.45</v>
      </c>
      <c r="O208">
        <v>1677</v>
      </c>
      <c r="P208">
        <v>0</v>
      </c>
      <c r="Q208" s="5" t="e">
        <f>IF(AND(#REF!&gt;=table!$C$6,#REF!&lt;= table!$D$6),-1,IF(AND(#REF!&gt;=table!$E$6,#REF!&lt;=table!$F$6),1,0))</f>
        <v>#REF!</v>
      </c>
      <c r="R208" s="5" t="e">
        <f>IF(AND(#REF!&gt;=table!$C$7,#REF!&lt;= table!$D$7),-1,IF(AND(#REF!&gt;=table!$E$7,#REF!&lt;=table!$F$7),1,0))</f>
        <v>#REF!</v>
      </c>
      <c r="S208" s="5" t="e">
        <f>IF(AND(#REF!&gt;=table!$C$8,#REF!&lt;= table!$D$8),-1,IF(AND(#REF!&gt;=table!$E$8,#REF!&lt;=table!$F$8),1,0))</f>
        <v>#REF!</v>
      </c>
      <c r="T208" s="5"/>
      <c r="U208" s="5" t="e">
        <f>IF(AND(#REF!&gt;=table!$C$10,#REF!&lt;= table!$D$10),-1,IF(AND(#REF!&gt;=table!$E$10,#REF!&lt;=table!$F$10),1,0))</f>
        <v>#REF!</v>
      </c>
      <c r="V208" s="5" t="e">
        <f>IF(AND(#REF!&gt;=table!$C$11,#REF!&lt;= table!$D$11),-1,IF(AND(#REF!&gt;=table!$E$11,#REF!&lt;=table!$F$11),1,0))</f>
        <v>#REF!</v>
      </c>
      <c r="W208" s="5" t="e">
        <f>CONCATENATE(dados[[#This Row],[fator1]],dados[[#This Row],[fator5]],dados[[#This Row],[fator6]])</f>
        <v>#REF!</v>
      </c>
    </row>
    <row r="209" spans="1:23">
      <c r="A209" t="s">
        <v>17</v>
      </c>
      <c r="B209">
        <v>481309</v>
      </c>
      <c r="C209">
        <v>28</v>
      </c>
      <c r="D209">
        <v>25</v>
      </c>
      <c r="E209">
        <v>116</v>
      </c>
      <c r="F209">
        <v>6</v>
      </c>
      <c r="G209">
        <v>13</v>
      </c>
      <c r="H209">
        <v>25</v>
      </c>
      <c r="I209">
        <v>573</v>
      </c>
      <c r="J209">
        <v>0</v>
      </c>
      <c r="K209">
        <v>15.69</v>
      </c>
      <c r="L209">
        <v>26.67</v>
      </c>
      <c r="M209">
        <v>100.4</v>
      </c>
      <c r="N209">
        <v>23.2</v>
      </c>
      <c r="O209">
        <v>1660</v>
      </c>
      <c r="P209">
        <v>145</v>
      </c>
      <c r="Q209" s="5" t="e">
        <f>IF(AND(#REF!&gt;=table!$C$6,#REF!&lt;= table!$D$6),-1,IF(AND(#REF!&gt;=table!$E$6,#REF!&lt;=table!$F$6),1,0))</f>
        <v>#REF!</v>
      </c>
      <c r="R209" s="5" t="e">
        <f>IF(AND(#REF!&gt;=table!$C$7,#REF!&lt;= table!$D$7),-1,IF(AND(#REF!&gt;=table!$E$7,#REF!&lt;=table!$F$7),1,0))</f>
        <v>#REF!</v>
      </c>
      <c r="S209" s="5" t="e">
        <f>IF(AND(#REF!&gt;=table!$C$8,#REF!&lt;= table!$D$8),-1,IF(AND(#REF!&gt;=table!$E$8,#REF!&lt;=table!$F$8),1,0))</f>
        <v>#REF!</v>
      </c>
      <c r="T209" s="5"/>
      <c r="U209" s="5" t="e">
        <f>IF(AND(#REF!&gt;=table!$C$10,#REF!&lt;= table!$D$10),-1,IF(AND(#REF!&gt;=table!$E$10,#REF!&lt;=table!$F$10),1,0))</f>
        <v>#REF!</v>
      </c>
      <c r="V209" s="5" t="e">
        <f>IF(AND(#REF!&gt;=table!$C$11,#REF!&lt;= table!$D$11),-1,IF(AND(#REF!&gt;=table!$E$11,#REF!&lt;=table!$F$11),1,0))</f>
        <v>#REF!</v>
      </c>
      <c r="W209" s="5" t="e">
        <f>CONCATENATE(dados[[#This Row],[fator1]],dados[[#This Row],[fator5]],dados[[#This Row],[fator6]])</f>
        <v>#REF!</v>
      </c>
    </row>
    <row r="210" spans="1:23">
      <c r="A210" t="s">
        <v>16</v>
      </c>
      <c r="B210">
        <v>481310</v>
      </c>
      <c r="C210">
        <v>0.15</v>
      </c>
      <c r="D210">
        <v>35</v>
      </c>
      <c r="E210">
        <v>15</v>
      </c>
      <c r="F210">
        <v>10</v>
      </c>
      <c r="G210">
        <v>0</v>
      </c>
      <c r="H210">
        <v>12</v>
      </c>
      <c r="I210">
        <v>570</v>
      </c>
      <c r="J210">
        <v>420</v>
      </c>
      <c r="K210">
        <v>7.63</v>
      </c>
      <c r="L210">
        <v>20.350000000000001</v>
      </c>
      <c r="M210">
        <v>16.600000000000001</v>
      </c>
      <c r="N210">
        <v>11.85</v>
      </c>
      <c r="O210">
        <v>1663</v>
      </c>
      <c r="P210">
        <v>0</v>
      </c>
      <c r="Q210" s="5" t="e">
        <f>IF(AND(#REF!&gt;=table!$C$6,#REF!&lt;= table!$D$6),-1,IF(AND(#REF!&gt;=table!$E$6,#REF!&lt;=table!$F$6),1,0))</f>
        <v>#REF!</v>
      </c>
      <c r="R210" s="5" t="e">
        <f>IF(AND(#REF!&gt;=table!$C$7,#REF!&lt;= table!$D$7),-1,IF(AND(#REF!&gt;=table!$E$7,#REF!&lt;=table!$F$7),1,0))</f>
        <v>#REF!</v>
      </c>
      <c r="S210" s="5" t="e">
        <f>IF(AND(#REF!&gt;=table!$C$8,#REF!&lt;= table!$D$8),-1,IF(AND(#REF!&gt;=table!$E$8,#REF!&lt;=table!$F$8),1,0))</f>
        <v>#REF!</v>
      </c>
      <c r="T210" s="5"/>
      <c r="U210" s="5" t="e">
        <f>IF(AND(#REF!&gt;=table!$C$10,#REF!&lt;= table!$D$10),-1,IF(AND(#REF!&gt;=table!$E$10,#REF!&lt;=table!$F$10),1,0))</f>
        <v>#REF!</v>
      </c>
      <c r="V210" s="5" t="e">
        <f>IF(AND(#REF!&gt;=table!$C$11,#REF!&lt;= table!$D$11),-1,IF(AND(#REF!&gt;=table!$E$11,#REF!&lt;=table!$F$11),1,0))</f>
        <v>#REF!</v>
      </c>
      <c r="W210" s="5" t="e">
        <f>CONCATENATE(dados[[#This Row],[fator1]],dados[[#This Row],[fator5]],dados[[#This Row],[fator6]])</f>
        <v>#REF!</v>
      </c>
    </row>
    <row r="211" spans="1:23">
      <c r="A211" t="s">
        <v>17</v>
      </c>
      <c r="B211">
        <v>481313</v>
      </c>
      <c r="C211">
        <v>16</v>
      </c>
      <c r="D211">
        <v>25</v>
      </c>
      <c r="E211">
        <v>56</v>
      </c>
      <c r="F211">
        <v>10</v>
      </c>
      <c r="G211">
        <v>13</v>
      </c>
      <c r="H211">
        <v>25</v>
      </c>
      <c r="I211">
        <v>843</v>
      </c>
      <c r="J211">
        <v>0</v>
      </c>
      <c r="K211">
        <v>4.665</v>
      </c>
      <c r="L211">
        <v>12.685</v>
      </c>
      <c r="M211">
        <v>47.550000000000004</v>
      </c>
      <c r="N211">
        <v>13</v>
      </c>
      <c r="O211">
        <v>1683</v>
      </c>
      <c r="P211">
        <v>654</v>
      </c>
      <c r="Q211" s="5" t="e">
        <f>IF(AND(#REF!&gt;=table!$C$6,#REF!&lt;= table!$D$6),-1,IF(AND(#REF!&gt;=table!$E$6,#REF!&lt;=table!$F$6),1,0))</f>
        <v>#REF!</v>
      </c>
      <c r="R211" s="5" t="e">
        <f>IF(AND(#REF!&gt;=table!$C$7,#REF!&lt;= table!$D$7),-1,IF(AND(#REF!&gt;=table!$E$7,#REF!&lt;=table!$F$7),1,0))</f>
        <v>#REF!</v>
      </c>
      <c r="S211" s="5" t="e">
        <f>IF(AND(#REF!&gt;=table!$C$8,#REF!&lt;= table!$D$8),-1,IF(AND(#REF!&gt;=table!$E$8,#REF!&lt;=table!$F$8),1,0))</f>
        <v>#REF!</v>
      </c>
      <c r="T211" s="5"/>
      <c r="U211" s="5" t="e">
        <f>IF(AND(#REF!&gt;=table!$C$10,#REF!&lt;= table!$D$10),-1,IF(AND(#REF!&gt;=table!$E$10,#REF!&lt;=table!$F$10),1,0))</f>
        <v>#REF!</v>
      </c>
      <c r="V211" s="5" t="e">
        <f>IF(AND(#REF!&gt;=table!$C$11,#REF!&lt;= table!$D$11),-1,IF(AND(#REF!&gt;=table!$E$11,#REF!&lt;=table!$F$11),1,0))</f>
        <v>#REF!</v>
      </c>
      <c r="W211" s="5" t="e">
        <f>CONCATENATE(dados[[#This Row],[fator1]],dados[[#This Row],[fator5]],dados[[#This Row],[fator6]])</f>
        <v>#REF!</v>
      </c>
    </row>
    <row r="212" spans="1:23">
      <c r="A212" t="s">
        <v>16</v>
      </c>
      <c r="B212">
        <v>481317</v>
      </c>
      <c r="C212">
        <v>0.15</v>
      </c>
      <c r="D212">
        <v>40</v>
      </c>
      <c r="E212">
        <v>10</v>
      </c>
      <c r="F212">
        <v>15</v>
      </c>
      <c r="G212">
        <v>0</v>
      </c>
      <c r="H212">
        <v>15</v>
      </c>
      <c r="I212">
        <v>1329</v>
      </c>
      <c r="J212">
        <v>0</v>
      </c>
      <c r="K212">
        <v>2.46</v>
      </c>
      <c r="L212">
        <v>9.0500000000000007</v>
      </c>
      <c r="M212">
        <v>8.5</v>
      </c>
      <c r="N212">
        <v>6.2</v>
      </c>
      <c r="O212">
        <v>1671</v>
      </c>
      <c r="P212">
        <v>0</v>
      </c>
      <c r="Q212" s="5" t="e">
        <f>IF(AND(#REF!&gt;=table!$C$6,#REF!&lt;= table!$D$6),-1,IF(AND(#REF!&gt;=table!$E$6,#REF!&lt;=table!$F$6),1,0))</f>
        <v>#REF!</v>
      </c>
      <c r="R212" s="5" t="e">
        <f>IF(AND(#REF!&gt;=table!$C$7,#REF!&lt;= table!$D$7),-1,IF(AND(#REF!&gt;=table!$E$7,#REF!&lt;=table!$F$7),1,0))</f>
        <v>#REF!</v>
      </c>
      <c r="S212" s="5" t="e">
        <f>IF(AND(#REF!&gt;=table!$C$8,#REF!&lt;= table!$D$8),-1,IF(AND(#REF!&gt;=table!$E$8,#REF!&lt;=table!$F$8),1,0))</f>
        <v>#REF!</v>
      </c>
      <c r="T212" s="5"/>
      <c r="U212" s="5" t="e">
        <f>IF(AND(#REF!&gt;=table!$C$10,#REF!&lt;= table!$D$10),-1,IF(AND(#REF!&gt;=table!$E$10,#REF!&lt;=table!$F$10),1,0))</f>
        <v>#REF!</v>
      </c>
      <c r="V212" s="5" t="e">
        <f>IF(AND(#REF!&gt;=table!$C$11,#REF!&lt;= table!$D$11),-1,IF(AND(#REF!&gt;=table!$E$11,#REF!&lt;=table!$F$11),1,0))</f>
        <v>#REF!</v>
      </c>
      <c r="W212" s="5" t="e">
        <f>CONCATENATE(dados[[#This Row],[fator1]],dados[[#This Row],[fator5]],dados[[#This Row],[fator6]])</f>
        <v>#REF!</v>
      </c>
    </row>
    <row r="213" spans="1:23">
      <c r="A213" t="s">
        <v>17</v>
      </c>
      <c r="B213">
        <v>481318</v>
      </c>
      <c r="C213">
        <v>8</v>
      </c>
      <c r="D213">
        <v>30</v>
      </c>
      <c r="E213">
        <v>153</v>
      </c>
      <c r="F213">
        <v>2</v>
      </c>
      <c r="G213">
        <v>20</v>
      </c>
      <c r="H213">
        <v>18</v>
      </c>
      <c r="I213">
        <v>31</v>
      </c>
      <c r="J213">
        <v>0</v>
      </c>
      <c r="K213">
        <v>3.0700000000000003</v>
      </c>
      <c r="L213">
        <v>8.1</v>
      </c>
      <c r="M213">
        <v>124.2</v>
      </c>
      <c r="N213">
        <v>9.5</v>
      </c>
      <c r="O213">
        <v>1678</v>
      </c>
      <c r="P213">
        <v>852</v>
      </c>
      <c r="Q213" s="5" t="e">
        <f>IF(AND(#REF!&gt;=table!$C$6,#REF!&lt;= table!$D$6),-1,IF(AND(#REF!&gt;=table!$E$6,#REF!&lt;=table!$F$6),1,0))</f>
        <v>#REF!</v>
      </c>
      <c r="R213" s="5" t="e">
        <f>IF(AND(#REF!&gt;=table!$C$7,#REF!&lt;= table!$D$7),-1,IF(AND(#REF!&gt;=table!$E$7,#REF!&lt;=table!$F$7),1,0))</f>
        <v>#REF!</v>
      </c>
      <c r="S213" s="5" t="e">
        <f>IF(AND(#REF!&gt;=table!$C$8,#REF!&lt;= table!$D$8),-1,IF(AND(#REF!&gt;=table!$E$8,#REF!&lt;=table!$F$8),1,0))</f>
        <v>#REF!</v>
      </c>
      <c r="T213" s="5"/>
      <c r="U213" s="5" t="e">
        <f>IF(AND(#REF!&gt;=table!$C$10,#REF!&lt;= table!$D$10),-1,IF(AND(#REF!&gt;=table!$E$10,#REF!&lt;=table!$F$10),1,0))</f>
        <v>#REF!</v>
      </c>
      <c r="V213" s="5" t="e">
        <f>IF(AND(#REF!&gt;=table!$C$11,#REF!&lt;= table!$D$11),-1,IF(AND(#REF!&gt;=table!$E$11,#REF!&lt;=table!$F$11),1,0))</f>
        <v>#REF!</v>
      </c>
      <c r="W213" s="5" t="e">
        <f>CONCATENATE(dados[[#This Row],[fator1]],dados[[#This Row],[fator5]],dados[[#This Row],[fator6]])</f>
        <v>#REF!</v>
      </c>
    </row>
    <row r="214" spans="1:23">
      <c r="A214" t="s">
        <v>17</v>
      </c>
      <c r="B214">
        <v>481319</v>
      </c>
      <c r="C214">
        <v>8</v>
      </c>
      <c r="D214">
        <v>30</v>
      </c>
      <c r="E214">
        <v>153</v>
      </c>
      <c r="F214">
        <v>2</v>
      </c>
      <c r="G214">
        <v>20</v>
      </c>
      <c r="H214">
        <v>18</v>
      </c>
      <c r="I214">
        <v>132</v>
      </c>
      <c r="J214">
        <v>0</v>
      </c>
      <c r="K214">
        <v>3.0250000000000004</v>
      </c>
      <c r="L214">
        <v>7.5</v>
      </c>
      <c r="M214">
        <v>122.2</v>
      </c>
      <c r="N214">
        <v>8.75</v>
      </c>
      <c r="O214">
        <v>1649</v>
      </c>
      <c r="P214">
        <v>722</v>
      </c>
      <c r="Q214" s="5" t="e">
        <f>IF(AND(#REF!&gt;=table!$C$6,#REF!&lt;= table!$D$6),-1,IF(AND(#REF!&gt;=table!$E$6,#REF!&lt;=table!$F$6),1,0))</f>
        <v>#REF!</v>
      </c>
      <c r="R214" s="5" t="e">
        <f>IF(AND(#REF!&gt;=table!$C$7,#REF!&lt;= table!$D$7),-1,IF(AND(#REF!&gt;=table!$E$7,#REF!&lt;=table!$F$7),1,0))</f>
        <v>#REF!</v>
      </c>
      <c r="S214" s="5" t="e">
        <f>IF(AND(#REF!&gt;=table!$C$8,#REF!&lt;= table!$D$8),-1,IF(AND(#REF!&gt;=table!$E$8,#REF!&lt;=table!$F$8),1,0))</f>
        <v>#REF!</v>
      </c>
      <c r="T214" s="5"/>
      <c r="U214" s="5" t="e">
        <f>IF(AND(#REF!&gt;=table!$C$10,#REF!&lt;= table!$D$10),-1,IF(AND(#REF!&gt;=table!$E$10,#REF!&lt;=table!$F$10),1,0))</f>
        <v>#REF!</v>
      </c>
      <c r="V214" s="5" t="e">
        <f>IF(AND(#REF!&gt;=table!$C$11,#REF!&lt;= table!$D$11),-1,IF(AND(#REF!&gt;=table!$E$11,#REF!&lt;=table!$F$11),1,0))</f>
        <v>#REF!</v>
      </c>
      <c r="W214" s="5" t="e">
        <f>CONCATENATE(dados[[#This Row],[fator1]],dados[[#This Row],[fator5]],dados[[#This Row],[fator6]])</f>
        <v>#REF!</v>
      </c>
    </row>
    <row r="215" spans="1:23">
      <c r="A215" t="s">
        <v>17</v>
      </c>
      <c r="B215">
        <v>481320</v>
      </c>
      <c r="C215">
        <v>18</v>
      </c>
      <c r="D215">
        <v>23</v>
      </c>
      <c r="E215">
        <v>145</v>
      </c>
      <c r="F215">
        <v>9</v>
      </c>
      <c r="G215">
        <v>30</v>
      </c>
      <c r="H215">
        <v>25</v>
      </c>
      <c r="I215">
        <v>821</v>
      </c>
      <c r="J215">
        <v>0</v>
      </c>
      <c r="K215">
        <v>5.88</v>
      </c>
      <c r="L215">
        <v>10.75</v>
      </c>
      <c r="M215">
        <v>125.3</v>
      </c>
      <c r="N215">
        <v>6.45</v>
      </c>
      <c r="O215">
        <v>1673</v>
      </c>
      <c r="P215">
        <v>430</v>
      </c>
      <c r="Q215" s="5" t="e">
        <f>IF(AND(#REF!&gt;=table!$C$6,#REF!&lt;= table!$D$6),-1,IF(AND(#REF!&gt;=table!$E$6,#REF!&lt;=table!$F$6),1,0))</f>
        <v>#REF!</v>
      </c>
      <c r="R215" s="5" t="e">
        <f>IF(AND(#REF!&gt;=table!$C$7,#REF!&lt;= table!$D$7),-1,IF(AND(#REF!&gt;=table!$E$7,#REF!&lt;=table!$F$7),1,0))</f>
        <v>#REF!</v>
      </c>
      <c r="S215" s="5" t="e">
        <f>IF(AND(#REF!&gt;=table!$C$8,#REF!&lt;= table!$D$8),-1,IF(AND(#REF!&gt;=table!$E$8,#REF!&lt;=table!$F$8),1,0))</f>
        <v>#REF!</v>
      </c>
      <c r="T215" s="5"/>
      <c r="U215" s="5" t="e">
        <f>IF(AND(#REF!&gt;=table!$C$10,#REF!&lt;= table!$D$10),-1,IF(AND(#REF!&gt;=table!$E$10,#REF!&lt;=table!$F$10),1,0))</f>
        <v>#REF!</v>
      </c>
      <c r="V215" s="5" t="e">
        <f>IF(AND(#REF!&gt;=table!$C$11,#REF!&lt;= table!$D$11),-1,IF(AND(#REF!&gt;=table!$E$11,#REF!&lt;=table!$F$11),1,0))</f>
        <v>#REF!</v>
      </c>
      <c r="W215" s="5" t="e">
        <f>CONCATENATE(dados[[#This Row],[fator1]],dados[[#This Row],[fator5]],dados[[#This Row],[fator6]])</f>
        <v>#REF!</v>
      </c>
    </row>
    <row r="216" spans="1:23">
      <c r="A216" t="s">
        <v>16</v>
      </c>
      <c r="B216">
        <v>481324</v>
      </c>
      <c r="C216">
        <v>0.15</v>
      </c>
      <c r="D216">
        <v>40</v>
      </c>
      <c r="E216">
        <v>10</v>
      </c>
      <c r="F216">
        <v>15</v>
      </c>
      <c r="G216">
        <v>0</v>
      </c>
      <c r="H216">
        <v>15</v>
      </c>
      <c r="I216">
        <v>803</v>
      </c>
      <c r="J216">
        <v>0</v>
      </c>
      <c r="K216">
        <v>3.6150000000000002</v>
      </c>
      <c r="L216">
        <v>7.2</v>
      </c>
      <c r="M216">
        <v>7</v>
      </c>
      <c r="N216">
        <v>5.8500000000000005</v>
      </c>
      <c r="O216">
        <v>1684</v>
      </c>
      <c r="P216">
        <v>813</v>
      </c>
      <c r="Q216" s="5" t="e">
        <f>IF(AND(#REF!&gt;=table!$C$6,#REF!&lt;= table!$D$6),-1,IF(AND(#REF!&gt;=table!$E$6,#REF!&lt;=table!$F$6),1,0))</f>
        <v>#REF!</v>
      </c>
      <c r="R216" s="5" t="e">
        <f>IF(AND(#REF!&gt;=table!$C$7,#REF!&lt;= table!$D$7),-1,IF(AND(#REF!&gt;=table!$E$7,#REF!&lt;=table!$F$7),1,0))</f>
        <v>#REF!</v>
      </c>
      <c r="S216" s="5" t="e">
        <f>IF(AND(#REF!&gt;=table!$C$8,#REF!&lt;= table!$D$8),-1,IF(AND(#REF!&gt;=table!$E$8,#REF!&lt;=table!$F$8),1,0))</f>
        <v>#REF!</v>
      </c>
      <c r="T216" s="5"/>
      <c r="U216" s="5" t="e">
        <f>IF(AND(#REF!&gt;=table!$C$10,#REF!&lt;= table!$D$10),-1,IF(AND(#REF!&gt;=table!$E$10,#REF!&lt;=table!$F$10),1,0))</f>
        <v>#REF!</v>
      </c>
      <c r="V216" s="5" t="e">
        <f>IF(AND(#REF!&gt;=table!$C$11,#REF!&lt;= table!$D$11),-1,IF(AND(#REF!&gt;=table!$E$11,#REF!&lt;=table!$F$11),1,0))</f>
        <v>#REF!</v>
      </c>
      <c r="W216" s="5" t="e">
        <f>CONCATENATE(dados[[#This Row],[fator1]],dados[[#This Row],[fator5]],dados[[#This Row],[fator6]])</f>
        <v>#REF!</v>
      </c>
    </row>
    <row r="217" spans="1:23">
      <c r="A217" t="s">
        <v>16</v>
      </c>
      <c r="B217">
        <v>481325</v>
      </c>
      <c r="C217">
        <v>0.15</v>
      </c>
      <c r="D217">
        <v>40</v>
      </c>
      <c r="E217">
        <v>10</v>
      </c>
      <c r="F217">
        <v>15</v>
      </c>
      <c r="G217">
        <v>0</v>
      </c>
      <c r="H217">
        <v>15</v>
      </c>
      <c r="I217">
        <v>1348</v>
      </c>
      <c r="J217">
        <v>0</v>
      </c>
      <c r="K217">
        <v>4.13</v>
      </c>
      <c r="L217">
        <v>9.4</v>
      </c>
      <c r="M217">
        <v>8.9</v>
      </c>
      <c r="N217">
        <v>6.75</v>
      </c>
      <c r="O217">
        <v>1652</v>
      </c>
      <c r="P217">
        <v>524</v>
      </c>
      <c r="Q217" s="5" t="e">
        <f>IF(AND(#REF!&gt;=table!$C$6,#REF!&lt;= table!$D$6),-1,IF(AND(#REF!&gt;=table!$E$6,#REF!&lt;=table!$F$6),1,0))</f>
        <v>#REF!</v>
      </c>
      <c r="R217" s="5" t="e">
        <f>IF(AND(#REF!&gt;=table!$C$7,#REF!&lt;= table!$D$7),-1,IF(AND(#REF!&gt;=table!$E$7,#REF!&lt;=table!$F$7),1,0))</f>
        <v>#REF!</v>
      </c>
      <c r="S217" s="5" t="e">
        <f>IF(AND(#REF!&gt;=table!$C$8,#REF!&lt;= table!$D$8),-1,IF(AND(#REF!&gt;=table!$E$8,#REF!&lt;=table!$F$8),1,0))</f>
        <v>#REF!</v>
      </c>
      <c r="T217" s="5"/>
      <c r="U217" s="5" t="e">
        <f>IF(AND(#REF!&gt;=table!$C$10,#REF!&lt;= table!$D$10),-1,IF(AND(#REF!&gt;=table!$E$10,#REF!&lt;=table!$F$10),1,0))</f>
        <v>#REF!</v>
      </c>
      <c r="V217" s="5" t="e">
        <f>IF(AND(#REF!&gt;=table!$C$11,#REF!&lt;= table!$D$11),-1,IF(AND(#REF!&gt;=table!$E$11,#REF!&lt;=table!$F$11),1,0))</f>
        <v>#REF!</v>
      </c>
      <c r="W217" s="5" t="e">
        <f>CONCATENATE(dados[[#This Row],[fator1]],dados[[#This Row],[fator5]],dados[[#This Row],[fator6]])</f>
        <v>#REF!</v>
      </c>
    </row>
    <row r="218" spans="1:23">
      <c r="A218" t="s">
        <v>17</v>
      </c>
      <c r="B218">
        <v>481332</v>
      </c>
      <c r="C218">
        <v>4</v>
      </c>
      <c r="D218">
        <v>25</v>
      </c>
      <c r="E218">
        <v>23</v>
      </c>
      <c r="F218">
        <v>10</v>
      </c>
      <c r="G218">
        <v>110</v>
      </c>
      <c r="H218">
        <v>50</v>
      </c>
      <c r="I218">
        <v>981</v>
      </c>
      <c r="J218">
        <v>0</v>
      </c>
      <c r="K218">
        <v>2.75</v>
      </c>
      <c r="L218">
        <v>7.15</v>
      </c>
      <c r="M218">
        <v>17.164999999999999</v>
      </c>
      <c r="N218">
        <v>32.82</v>
      </c>
      <c r="O218">
        <v>1647</v>
      </c>
      <c r="P218">
        <v>797</v>
      </c>
      <c r="Q218" s="5" t="e">
        <f>IF(AND(#REF!&gt;=table!$C$6,#REF!&lt;= table!$D$6),-1,IF(AND(#REF!&gt;=table!$E$6,#REF!&lt;=table!$F$6),1,0))</f>
        <v>#REF!</v>
      </c>
      <c r="R218" s="5" t="e">
        <f>IF(AND(#REF!&gt;=table!$C$7,#REF!&lt;= table!$D$7),-1,IF(AND(#REF!&gt;=table!$E$7,#REF!&lt;=table!$F$7),1,0))</f>
        <v>#REF!</v>
      </c>
      <c r="S218" s="5" t="e">
        <f>IF(AND(#REF!&gt;=table!$C$8,#REF!&lt;= table!$D$8),-1,IF(AND(#REF!&gt;=table!$E$8,#REF!&lt;=table!$F$8),1,0))</f>
        <v>#REF!</v>
      </c>
      <c r="T218" s="5"/>
      <c r="U218" s="5" t="e">
        <f>IF(AND(#REF!&gt;=table!$C$10,#REF!&lt;= table!$D$10),-1,IF(AND(#REF!&gt;=table!$E$10,#REF!&lt;=table!$F$10),1,0))</f>
        <v>#REF!</v>
      </c>
      <c r="V218" s="5" t="e">
        <f>IF(AND(#REF!&gt;=table!$C$11,#REF!&lt;= table!$D$11),-1,IF(AND(#REF!&gt;=table!$E$11,#REF!&lt;=table!$F$11),1,0))</f>
        <v>#REF!</v>
      </c>
      <c r="W218" s="5" t="e">
        <f>CONCATENATE(dados[[#This Row],[fator1]],dados[[#This Row],[fator5]],dados[[#This Row],[fator6]])</f>
        <v>#REF!</v>
      </c>
    </row>
    <row r="219" spans="1:23">
      <c r="A219" t="s">
        <v>17</v>
      </c>
      <c r="B219">
        <v>481333</v>
      </c>
      <c r="C219">
        <v>4</v>
      </c>
      <c r="D219">
        <v>25</v>
      </c>
      <c r="E219">
        <v>23</v>
      </c>
      <c r="F219">
        <v>10</v>
      </c>
      <c r="G219">
        <v>110</v>
      </c>
      <c r="H219">
        <v>50</v>
      </c>
      <c r="I219">
        <v>72</v>
      </c>
      <c r="J219">
        <v>0</v>
      </c>
      <c r="K219">
        <v>3.39</v>
      </c>
      <c r="L219">
        <v>12.700000000000001</v>
      </c>
      <c r="M219">
        <v>20.095000000000002</v>
      </c>
      <c r="N219">
        <v>38.495000000000005</v>
      </c>
      <c r="O219">
        <v>1704</v>
      </c>
      <c r="P219">
        <v>1012</v>
      </c>
      <c r="Q219" s="5" t="e">
        <f>IF(AND(#REF!&gt;=table!$C$6,#REF!&lt;= table!$D$6),-1,IF(AND(#REF!&gt;=table!$E$6,#REF!&lt;=table!$F$6),1,0))</f>
        <v>#REF!</v>
      </c>
      <c r="R219" s="5" t="e">
        <f>IF(AND(#REF!&gt;=table!$C$7,#REF!&lt;= table!$D$7),-1,IF(AND(#REF!&gt;=table!$E$7,#REF!&lt;=table!$F$7),1,0))</f>
        <v>#REF!</v>
      </c>
      <c r="S219" s="5" t="e">
        <f>IF(AND(#REF!&gt;=table!$C$8,#REF!&lt;= table!$D$8),-1,IF(AND(#REF!&gt;=table!$E$8,#REF!&lt;=table!$F$8),1,0))</f>
        <v>#REF!</v>
      </c>
      <c r="T219" s="5"/>
      <c r="U219" s="5" t="e">
        <f>IF(AND(#REF!&gt;=table!$C$10,#REF!&lt;= table!$D$10),-1,IF(AND(#REF!&gt;=table!$E$10,#REF!&lt;=table!$F$10),1,0))</f>
        <v>#REF!</v>
      </c>
      <c r="V219" s="5" t="e">
        <f>IF(AND(#REF!&gt;=table!$C$11,#REF!&lt;= table!$D$11),-1,IF(AND(#REF!&gt;=table!$E$11,#REF!&lt;=table!$F$11),1,0))</f>
        <v>#REF!</v>
      </c>
      <c r="W219" s="5" t="e">
        <f>CONCATENATE(dados[[#This Row],[fator1]],dados[[#This Row],[fator5]],dados[[#This Row],[fator6]])</f>
        <v>#REF!</v>
      </c>
    </row>
    <row r="220" spans="1:23">
      <c r="A220" t="s">
        <v>17</v>
      </c>
      <c r="B220">
        <v>481334</v>
      </c>
      <c r="C220">
        <v>10</v>
      </c>
      <c r="D220">
        <v>25</v>
      </c>
      <c r="E220">
        <v>40</v>
      </c>
      <c r="F220">
        <v>10</v>
      </c>
      <c r="G220">
        <v>110</v>
      </c>
      <c r="H220">
        <v>50</v>
      </c>
      <c r="I220">
        <v>677</v>
      </c>
      <c r="J220">
        <v>0</v>
      </c>
      <c r="K220">
        <v>3.56</v>
      </c>
      <c r="L220">
        <v>10.3</v>
      </c>
      <c r="M220">
        <v>35.700000000000003</v>
      </c>
      <c r="N220">
        <v>34.65</v>
      </c>
      <c r="O220">
        <v>1681</v>
      </c>
      <c r="P220">
        <v>1066</v>
      </c>
      <c r="Q220" s="5" t="e">
        <f>IF(AND(#REF!&gt;=table!$C$6,#REF!&lt;= table!$D$6),-1,IF(AND(#REF!&gt;=table!$E$6,#REF!&lt;=table!$F$6),1,0))</f>
        <v>#REF!</v>
      </c>
      <c r="R220" s="5" t="e">
        <f>IF(AND(#REF!&gt;=table!$C$7,#REF!&lt;= table!$D$7),-1,IF(AND(#REF!&gt;=table!$E$7,#REF!&lt;=table!$F$7),1,0))</f>
        <v>#REF!</v>
      </c>
      <c r="S220" s="5" t="e">
        <f>IF(AND(#REF!&gt;=table!$C$8,#REF!&lt;= table!$D$8),-1,IF(AND(#REF!&gt;=table!$E$8,#REF!&lt;=table!$F$8),1,0))</f>
        <v>#REF!</v>
      </c>
      <c r="T220" s="5"/>
      <c r="U220" s="5" t="e">
        <f>IF(AND(#REF!&gt;=table!$C$10,#REF!&lt;= table!$D$10),-1,IF(AND(#REF!&gt;=table!$E$10,#REF!&lt;=table!$F$10),1,0))</f>
        <v>#REF!</v>
      </c>
      <c r="V220" s="5" t="e">
        <f>IF(AND(#REF!&gt;=table!$C$11,#REF!&lt;= table!$D$11),-1,IF(AND(#REF!&gt;=table!$E$11,#REF!&lt;=table!$F$11),1,0))</f>
        <v>#REF!</v>
      </c>
      <c r="W220" s="5" t="e">
        <f>CONCATENATE(dados[[#This Row],[fator1]],dados[[#This Row],[fator5]],dados[[#This Row],[fator6]])</f>
        <v>#REF!</v>
      </c>
    </row>
    <row r="221" spans="1:23">
      <c r="A221" t="s">
        <v>16</v>
      </c>
      <c r="B221">
        <v>481337</v>
      </c>
      <c r="C221">
        <v>16</v>
      </c>
      <c r="D221">
        <v>30</v>
      </c>
      <c r="E221">
        <v>56</v>
      </c>
      <c r="F221">
        <v>3</v>
      </c>
      <c r="G221">
        <v>0</v>
      </c>
      <c r="H221">
        <v>25</v>
      </c>
      <c r="I221">
        <v>929</v>
      </c>
      <c r="J221">
        <v>0</v>
      </c>
      <c r="K221">
        <v>5.55</v>
      </c>
      <c r="L221">
        <v>16.5</v>
      </c>
      <c r="M221">
        <v>46.963300000000004</v>
      </c>
      <c r="N221">
        <v>17.36</v>
      </c>
      <c r="O221">
        <v>1683</v>
      </c>
      <c r="P221">
        <v>555</v>
      </c>
      <c r="Q221" s="5" t="e">
        <f>IF(AND(#REF!&gt;=table!$C$6,#REF!&lt;= table!$D$6),-1,IF(AND(#REF!&gt;=table!$E$6,#REF!&lt;=table!$F$6),1,0))</f>
        <v>#REF!</v>
      </c>
      <c r="R221" s="5" t="e">
        <f>IF(AND(#REF!&gt;=table!$C$7,#REF!&lt;= table!$D$7),-1,IF(AND(#REF!&gt;=table!$E$7,#REF!&lt;=table!$F$7),1,0))</f>
        <v>#REF!</v>
      </c>
      <c r="S221" s="5" t="e">
        <f>IF(AND(#REF!&gt;=table!$C$8,#REF!&lt;= table!$D$8),-1,IF(AND(#REF!&gt;=table!$E$8,#REF!&lt;=table!$F$8),1,0))</f>
        <v>#REF!</v>
      </c>
      <c r="T221" s="5"/>
      <c r="U221" s="5" t="e">
        <f>IF(AND(#REF!&gt;=table!$C$10,#REF!&lt;= table!$D$10),-1,IF(AND(#REF!&gt;=table!$E$10,#REF!&lt;=table!$F$10),1,0))</f>
        <v>#REF!</v>
      </c>
      <c r="V221" s="5" t="e">
        <f>IF(AND(#REF!&gt;=table!$C$11,#REF!&lt;= table!$D$11),-1,IF(AND(#REF!&gt;=table!$E$11,#REF!&lt;=table!$F$11),1,0))</f>
        <v>#REF!</v>
      </c>
      <c r="W221" s="5" t="e">
        <f>CONCATENATE(dados[[#This Row],[fator1]],dados[[#This Row],[fator5]],dados[[#This Row],[fator6]])</f>
        <v>#REF!</v>
      </c>
    </row>
    <row r="222" spans="1:23">
      <c r="A222" t="s">
        <v>16</v>
      </c>
      <c r="B222">
        <v>481339</v>
      </c>
      <c r="C222">
        <v>0.1</v>
      </c>
      <c r="D222">
        <v>40</v>
      </c>
      <c r="E222">
        <v>10</v>
      </c>
      <c r="F222">
        <v>8</v>
      </c>
      <c r="G222">
        <v>0</v>
      </c>
      <c r="H222">
        <v>10</v>
      </c>
      <c r="I222">
        <v>0</v>
      </c>
      <c r="J222">
        <v>0</v>
      </c>
      <c r="K222">
        <v>5.2949999999999999</v>
      </c>
      <c r="L222">
        <v>15.6</v>
      </c>
      <c r="M222">
        <v>14.1</v>
      </c>
      <c r="N222">
        <v>12.9</v>
      </c>
      <c r="O222">
        <v>1680</v>
      </c>
      <c r="P222">
        <v>565</v>
      </c>
      <c r="Q222" s="5" t="e">
        <f>IF(AND(#REF!&gt;=table!$C$6,#REF!&lt;= table!$D$6),-1,IF(AND(#REF!&gt;=table!$E$6,#REF!&lt;=table!$F$6),1,0))</f>
        <v>#REF!</v>
      </c>
      <c r="R222" s="5" t="e">
        <f>IF(AND(#REF!&gt;=table!$C$7,#REF!&lt;= table!$D$7),-1,IF(AND(#REF!&gt;=table!$E$7,#REF!&lt;=table!$F$7),1,0))</f>
        <v>#REF!</v>
      </c>
      <c r="S222" s="5" t="e">
        <f>IF(AND(#REF!&gt;=table!$C$8,#REF!&lt;= table!$D$8),-1,IF(AND(#REF!&gt;=table!$E$8,#REF!&lt;=table!$F$8),1,0))</f>
        <v>#REF!</v>
      </c>
      <c r="T222" s="5"/>
      <c r="U222" s="5" t="e">
        <f>IF(AND(#REF!&gt;=table!$C$10,#REF!&lt;= table!$D$10),-1,IF(AND(#REF!&gt;=table!$E$10,#REF!&lt;=table!$F$10),1,0))</f>
        <v>#REF!</v>
      </c>
      <c r="V222" s="5" t="e">
        <f>IF(AND(#REF!&gt;=table!$C$11,#REF!&lt;= table!$D$11),-1,IF(AND(#REF!&gt;=table!$E$11,#REF!&lt;=table!$F$11),1,0))</f>
        <v>#REF!</v>
      </c>
      <c r="W222" s="5" t="e">
        <f>CONCATENATE(dados[[#This Row],[fator1]],dados[[#This Row],[fator5]],dados[[#This Row],[fator6]])</f>
        <v>#REF!</v>
      </c>
    </row>
    <row r="223" spans="1:23">
      <c r="A223" t="s">
        <v>16</v>
      </c>
      <c r="B223">
        <v>481340</v>
      </c>
      <c r="C223">
        <v>0.1</v>
      </c>
      <c r="D223">
        <v>40</v>
      </c>
      <c r="E223">
        <v>10</v>
      </c>
      <c r="F223">
        <v>8</v>
      </c>
      <c r="G223">
        <v>0</v>
      </c>
      <c r="H223">
        <v>10</v>
      </c>
      <c r="I223">
        <v>1255</v>
      </c>
      <c r="J223">
        <v>0</v>
      </c>
      <c r="K223">
        <v>6.6050000000000004</v>
      </c>
      <c r="L223">
        <v>12.75</v>
      </c>
      <c r="M223">
        <v>12</v>
      </c>
      <c r="N223">
        <v>10.5</v>
      </c>
      <c r="O223">
        <v>1686</v>
      </c>
      <c r="P223">
        <v>0</v>
      </c>
      <c r="Q223" s="5" t="e">
        <f>IF(AND(#REF!&gt;=table!$C$6,#REF!&lt;= table!$D$6),-1,IF(AND(#REF!&gt;=table!$E$6,#REF!&lt;=table!$F$6),1,0))</f>
        <v>#REF!</v>
      </c>
      <c r="R223" s="5" t="e">
        <f>IF(AND(#REF!&gt;=table!$C$7,#REF!&lt;= table!$D$7),-1,IF(AND(#REF!&gt;=table!$E$7,#REF!&lt;=table!$F$7),1,0))</f>
        <v>#REF!</v>
      </c>
      <c r="S223" s="5" t="e">
        <f>IF(AND(#REF!&gt;=table!$C$8,#REF!&lt;= table!$D$8),-1,IF(AND(#REF!&gt;=table!$E$8,#REF!&lt;=table!$F$8),1,0))</f>
        <v>#REF!</v>
      </c>
      <c r="T223" s="5"/>
      <c r="U223" s="5" t="e">
        <f>IF(AND(#REF!&gt;=table!$C$10,#REF!&lt;= table!$D$10),-1,IF(AND(#REF!&gt;=table!$E$10,#REF!&lt;=table!$F$10),1,0))</f>
        <v>#REF!</v>
      </c>
      <c r="V223" s="5" t="e">
        <f>IF(AND(#REF!&gt;=table!$C$11,#REF!&lt;= table!$D$11),-1,IF(AND(#REF!&gt;=table!$E$11,#REF!&lt;=table!$F$11),1,0))</f>
        <v>#REF!</v>
      </c>
      <c r="W223" s="5" t="e">
        <f>CONCATENATE(dados[[#This Row],[fator1]],dados[[#This Row],[fator5]],dados[[#This Row],[fator6]])</f>
        <v>#REF!</v>
      </c>
    </row>
    <row r="224" spans="1:23">
      <c r="A224" t="s">
        <v>16</v>
      </c>
      <c r="B224">
        <v>481343</v>
      </c>
      <c r="C224">
        <v>16</v>
      </c>
      <c r="D224">
        <v>35</v>
      </c>
      <c r="E224">
        <v>36</v>
      </c>
      <c r="F224">
        <v>10</v>
      </c>
      <c r="G224">
        <v>0</v>
      </c>
      <c r="H224">
        <v>25</v>
      </c>
      <c r="I224">
        <v>34</v>
      </c>
      <c r="J224">
        <v>0</v>
      </c>
      <c r="K224">
        <v>3.875</v>
      </c>
      <c r="L224">
        <v>14.4</v>
      </c>
      <c r="M224">
        <v>33.15</v>
      </c>
      <c r="N224">
        <v>18</v>
      </c>
      <c r="O224">
        <v>1683</v>
      </c>
      <c r="P224">
        <v>0</v>
      </c>
      <c r="Q224" s="5" t="e">
        <f>IF(AND(#REF!&gt;=table!$C$6,#REF!&lt;= table!$D$6),-1,IF(AND(#REF!&gt;=table!$E$6,#REF!&lt;=table!$F$6),1,0))</f>
        <v>#REF!</v>
      </c>
      <c r="R224" s="5" t="e">
        <f>IF(AND(#REF!&gt;=table!$C$7,#REF!&lt;= table!$D$7),-1,IF(AND(#REF!&gt;=table!$E$7,#REF!&lt;=table!$F$7),1,0))</f>
        <v>#REF!</v>
      </c>
      <c r="S224" s="5" t="e">
        <f>IF(AND(#REF!&gt;=table!$C$8,#REF!&lt;= table!$D$8),-1,IF(AND(#REF!&gt;=table!$E$8,#REF!&lt;=table!$F$8),1,0))</f>
        <v>#REF!</v>
      </c>
      <c r="T224" s="5"/>
      <c r="U224" s="5" t="e">
        <f>IF(AND(#REF!&gt;=table!$C$10,#REF!&lt;= table!$D$10),-1,IF(AND(#REF!&gt;=table!$E$10,#REF!&lt;=table!$F$10),1,0))</f>
        <v>#REF!</v>
      </c>
      <c r="V224" s="5" t="e">
        <f>IF(AND(#REF!&gt;=table!$C$11,#REF!&lt;= table!$D$11),-1,IF(AND(#REF!&gt;=table!$E$11,#REF!&lt;=table!$F$11),1,0))</f>
        <v>#REF!</v>
      </c>
      <c r="W224" s="5" t="e">
        <f>CONCATENATE(dados[[#This Row],[fator1]],dados[[#This Row],[fator5]],dados[[#This Row],[fator6]])</f>
        <v>#REF!</v>
      </c>
    </row>
    <row r="225" spans="1:23">
      <c r="A225" t="s">
        <v>16</v>
      </c>
      <c r="B225">
        <v>481347</v>
      </c>
      <c r="C225">
        <v>16</v>
      </c>
      <c r="D225">
        <v>27</v>
      </c>
      <c r="E225">
        <v>36</v>
      </c>
      <c r="F225">
        <v>8</v>
      </c>
      <c r="G225">
        <v>0</v>
      </c>
      <c r="H225">
        <v>25</v>
      </c>
      <c r="I225">
        <v>304</v>
      </c>
      <c r="J225">
        <v>0</v>
      </c>
      <c r="K225">
        <v>12.74</v>
      </c>
      <c r="L225">
        <v>19.2</v>
      </c>
      <c r="M225">
        <v>33.72</v>
      </c>
      <c r="N225">
        <v>14.395000000000001</v>
      </c>
      <c r="O225">
        <v>1668</v>
      </c>
      <c r="P225">
        <v>320</v>
      </c>
      <c r="Q225" s="5" t="e">
        <f>IF(AND(#REF!&gt;=table!$C$6,#REF!&lt;= table!$D$6),-1,IF(AND(#REF!&gt;=table!$E$6,#REF!&lt;=table!$F$6),1,0))</f>
        <v>#REF!</v>
      </c>
      <c r="R225" s="5" t="e">
        <f>IF(AND(#REF!&gt;=table!$C$7,#REF!&lt;= table!$D$7),-1,IF(AND(#REF!&gt;=table!$E$7,#REF!&lt;=table!$F$7),1,0))</f>
        <v>#REF!</v>
      </c>
      <c r="S225" s="5" t="e">
        <f>IF(AND(#REF!&gt;=table!$C$8,#REF!&lt;= table!$D$8),-1,IF(AND(#REF!&gt;=table!$E$8,#REF!&lt;=table!$F$8),1,0))</f>
        <v>#REF!</v>
      </c>
      <c r="T225" s="5"/>
      <c r="U225" s="5" t="e">
        <f>IF(AND(#REF!&gt;=table!$C$10,#REF!&lt;= table!$D$10),-1,IF(AND(#REF!&gt;=table!$E$10,#REF!&lt;=table!$F$10),1,0))</f>
        <v>#REF!</v>
      </c>
      <c r="V225" s="5" t="e">
        <f>IF(AND(#REF!&gt;=table!$C$11,#REF!&lt;= table!$D$11),-1,IF(AND(#REF!&gt;=table!$E$11,#REF!&lt;=table!$F$11),1,0))</f>
        <v>#REF!</v>
      </c>
      <c r="W225" s="5" t="e">
        <f>CONCATENATE(dados[[#This Row],[fator1]],dados[[#This Row],[fator5]],dados[[#This Row],[fator6]])</f>
        <v>#REF!</v>
      </c>
    </row>
    <row r="226" spans="1:23">
      <c r="A226" t="s">
        <v>16</v>
      </c>
      <c r="B226">
        <v>481348</v>
      </c>
      <c r="C226">
        <v>0.15</v>
      </c>
      <c r="D226">
        <v>40</v>
      </c>
      <c r="E226">
        <v>10</v>
      </c>
      <c r="F226">
        <v>15</v>
      </c>
      <c r="G226">
        <v>0</v>
      </c>
      <c r="H226">
        <v>15</v>
      </c>
      <c r="I226">
        <v>1101</v>
      </c>
      <c r="J226">
        <v>630</v>
      </c>
      <c r="K226">
        <v>10.23</v>
      </c>
      <c r="L226">
        <v>14.35</v>
      </c>
      <c r="M226">
        <v>11.85</v>
      </c>
      <c r="N226">
        <v>10.950000000000001</v>
      </c>
      <c r="O226">
        <v>1689</v>
      </c>
      <c r="P226">
        <v>0</v>
      </c>
      <c r="Q226" s="5" t="e">
        <f>IF(AND(#REF!&gt;=table!$C$6,#REF!&lt;= table!$D$6),-1,IF(AND(#REF!&gt;=table!$E$6,#REF!&lt;=table!$F$6),1,0))</f>
        <v>#REF!</v>
      </c>
      <c r="R226" s="5" t="e">
        <f>IF(AND(#REF!&gt;=table!$C$7,#REF!&lt;= table!$D$7),-1,IF(AND(#REF!&gt;=table!$E$7,#REF!&lt;=table!$F$7),1,0))</f>
        <v>#REF!</v>
      </c>
      <c r="S226" s="5" t="e">
        <f>IF(AND(#REF!&gt;=table!$C$8,#REF!&lt;= table!$D$8),-1,IF(AND(#REF!&gt;=table!$E$8,#REF!&lt;=table!$F$8),1,0))</f>
        <v>#REF!</v>
      </c>
      <c r="T226" s="5"/>
      <c r="U226" s="5" t="e">
        <f>IF(AND(#REF!&gt;=table!$C$10,#REF!&lt;= table!$D$10),-1,IF(AND(#REF!&gt;=table!$E$10,#REF!&lt;=table!$F$10),1,0))</f>
        <v>#REF!</v>
      </c>
      <c r="V226" s="5" t="e">
        <f>IF(AND(#REF!&gt;=table!$C$11,#REF!&lt;= table!$D$11),-1,IF(AND(#REF!&gt;=table!$E$11,#REF!&lt;=table!$F$11),1,0))</f>
        <v>#REF!</v>
      </c>
      <c r="W226" s="5" t="e">
        <f>CONCATENATE(dados[[#This Row],[fator1]],dados[[#This Row],[fator5]],dados[[#This Row],[fator6]])</f>
        <v>#REF!</v>
      </c>
    </row>
    <row r="227" spans="1:23">
      <c r="A227" t="s">
        <v>17</v>
      </c>
      <c r="B227">
        <v>481353</v>
      </c>
      <c r="C227">
        <v>8</v>
      </c>
      <c r="D227">
        <v>30</v>
      </c>
      <c r="E227">
        <v>153</v>
      </c>
      <c r="F227">
        <v>2</v>
      </c>
      <c r="G227">
        <v>20</v>
      </c>
      <c r="H227">
        <v>18</v>
      </c>
      <c r="I227">
        <v>139</v>
      </c>
      <c r="J227">
        <v>0</v>
      </c>
      <c r="K227">
        <v>3.7950000000000004</v>
      </c>
      <c r="L227">
        <v>8.1</v>
      </c>
      <c r="M227">
        <v>120.8</v>
      </c>
      <c r="N227">
        <v>10.85</v>
      </c>
      <c r="O227">
        <v>1689</v>
      </c>
      <c r="P227">
        <v>0</v>
      </c>
      <c r="Q227" s="5" t="e">
        <f>IF(AND(#REF!&gt;=table!$C$6,#REF!&lt;= table!$D$6),-1,IF(AND(#REF!&gt;=table!$E$6,#REF!&lt;=table!$F$6),1,0))</f>
        <v>#REF!</v>
      </c>
      <c r="R227" s="5" t="e">
        <f>IF(AND(#REF!&gt;=table!$C$7,#REF!&lt;= table!$D$7),-1,IF(AND(#REF!&gt;=table!$E$7,#REF!&lt;=table!$F$7),1,0))</f>
        <v>#REF!</v>
      </c>
      <c r="S227" s="5" t="e">
        <f>IF(AND(#REF!&gt;=table!$C$8,#REF!&lt;= table!$D$8),-1,IF(AND(#REF!&gt;=table!$E$8,#REF!&lt;=table!$F$8),1,0))</f>
        <v>#REF!</v>
      </c>
      <c r="T227" s="5"/>
      <c r="U227" s="5" t="e">
        <f>IF(AND(#REF!&gt;=table!$C$10,#REF!&lt;= table!$D$10),-1,IF(AND(#REF!&gt;=table!$E$10,#REF!&lt;=table!$F$10),1,0))</f>
        <v>#REF!</v>
      </c>
      <c r="V227" s="5" t="e">
        <f>IF(AND(#REF!&gt;=table!$C$11,#REF!&lt;= table!$D$11),-1,IF(AND(#REF!&gt;=table!$E$11,#REF!&lt;=table!$F$11),1,0))</f>
        <v>#REF!</v>
      </c>
      <c r="W227" s="5" t="e">
        <f>CONCATENATE(dados[[#This Row],[fator1]],dados[[#This Row],[fator5]],dados[[#This Row],[fator6]])</f>
        <v>#REF!</v>
      </c>
    </row>
    <row r="228" spans="1:23">
      <c r="A228" t="s">
        <v>17</v>
      </c>
      <c r="B228">
        <v>481355</v>
      </c>
      <c r="C228">
        <v>8</v>
      </c>
      <c r="D228">
        <v>30</v>
      </c>
      <c r="E228">
        <v>153</v>
      </c>
      <c r="F228">
        <v>2</v>
      </c>
      <c r="G228">
        <v>20</v>
      </c>
      <c r="H228">
        <v>18</v>
      </c>
      <c r="I228">
        <v>26</v>
      </c>
      <c r="J228">
        <v>0</v>
      </c>
      <c r="K228">
        <v>2.2789999999999999</v>
      </c>
      <c r="L228">
        <v>5.5550000000000006</v>
      </c>
      <c r="M228">
        <v>124.99000000000001</v>
      </c>
      <c r="N228">
        <v>8.7149999999999999</v>
      </c>
      <c r="O228">
        <v>1679</v>
      </c>
      <c r="P228">
        <v>0</v>
      </c>
      <c r="Q228" s="5" t="e">
        <f>IF(AND(#REF!&gt;=table!$C$6,#REF!&lt;= table!$D$6),-1,IF(AND(#REF!&gt;=table!$E$6,#REF!&lt;=table!$F$6),1,0))</f>
        <v>#REF!</v>
      </c>
      <c r="R228" s="5" t="e">
        <f>IF(AND(#REF!&gt;=table!$C$7,#REF!&lt;= table!$D$7),-1,IF(AND(#REF!&gt;=table!$E$7,#REF!&lt;=table!$F$7),1,0))</f>
        <v>#REF!</v>
      </c>
      <c r="S228" s="5" t="e">
        <f>IF(AND(#REF!&gt;=table!$C$8,#REF!&lt;= table!$D$8),-1,IF(AND(#REF!&gt;=table!$E$8,#REF!&lt;=table!$F$8),1,0))</f>
        <v>#REF!</v>
      </c>
      <c r="T228" s="5"/>
      <c r="U228" s="5" t="e">
        <f>IF(AND(#REF!&gt;=table!$C$10,#REF!&lt;= table!$D$10),-1,IF(AND(#REF!&gt;=table!$E$10,#REF!&lt;=table!$F$10),1,0))</f>
        <v>#REF!</v>
      </c>
      <c r="V228" s="5" t="e">
        <f>IF(AND(#REF!&gt;=table!$C$11,#REF!&lt;= table!$D$11),-1,IF(AND(#REF!&gt;=table!$E$11,#REF!&lt;=table!$F$11),1,0))</f>
        <v>#REF!</v>
      </c>
      <c r="W228" s="5" t="e">
        <f>CONCATENATE(dados[[#This Row],[fator1]],dados[[#This Row],[fator5]],dados[[#This Row],[fator6]])</f>
        <v>#REF!</v>
      </c>
    </row>
    <row r="229" spans="1:23">
      <c r="A229" t="s">
        <v>16</v>
      </c>
      <c r="B229">
        <v>481358</v>
      </c>
      <c r="C229">
        <v>3</v>
      </c>
      <c r="D229">
        <v>30</v>
      </c>
      <c r="E229">
        <v>21</v>
      </c>
      <c r="F229">
        <v>15</v>
      </c>
      <c r="G229">
        <v>0</v>
      </c>
      <c r="H229">
        <v>25</v>
      </c>
      <c r="I229">
        <v>1414</v>
      </c>
      <c r="J229">
        <v>0</v>
      </c>
      <c r="K229">
        <v>7.0150000000000006</v>
      </c>
      <c r="L229">
        <v>14.65</v>
      </c>
      <c r="M229">
        <v>12.280000000000001</v>
      </c>
      <c r="N229">
        <v>10.695</v>
      </c>
      <c r="O229">
        <v>1683</v>
      </c>
      <c r="P229">
        <v>505</v>
      </c>
      <c r="Q229" s="5" t="e">
        <f>IF(AND(#REF!&gt;=table!$C$6,#REF!&lt;= table!$D$6),-1,IF(AND(#REF!&gt;=table!$E$6,#REF!&lt;=table!$F$6),1,0))</f>
        <v>#REF!</v>
      </c>
      <c r="R229" s="5" t="e">
        <f>IF(AND(#REF!&gt;=table!$C$7,#REF!&lt;= table!$D$7),-1,IF(AND(#REF!&gt;=table!$E$7,#REF!&lt;=table!$F$7),1,0))</f>
        <v>#REF!</v>
      </c>
      <c r="S229" s="5" t="e">
        <f>IF(AND(#REF!&gt;=table!$C$8,#REF!&lt;= table!$D$8),-1,IF(AND(#REF!&gt;=table!$E$8,#REF!&lt;=table!$F$8),1,0))</f>
        <v>#REF!</v>
      </c>
      <c r="T229" s="5"/>
      <c r="U229" s="5" t="e">
        <f>IF(AND(#REF!&gt;=table!$C$10,#REF!&lt;= table!$D$10),-1,IF(AND(#REF!&gt;=table!$E$10,#REF!&lt;=table!$F$10),1,0))</f>
        <v>#REF!</v>
      </c>
      <c r="V229" s="5" t="e">
        <f>IF(AND(#REF!&gt;=table!$C$11,#REF!&lt;= table!$D$11),-1,IF(AND(#REF!&gt;=table!$E$11,#REF!&lt;=table!$F$11),1,0))</f>
        <v>#REF!</v>
      </c>
      <c r="W229" s="5" t="e">
        <f>CONCATENATE(dados[[#This Row],[fator1]],dados[[#This Row],[fator5]],dados[[#This Row],[fator6]])</f>
        <v>#REF!</v>
      </c>
    </row>
    <row r="230" spans="1:23">
      <c r="A230" t="s">
        <v>16</v>
      </c>
      <c r="B230">
        <v>481359</v>
      </c>
      <c r="C230">
        <v>9</v>
      </c>
      <c r="D230">
        <v>27</v>
      </c>
      <c r="E230">
        <v>36</v>
      </c>
      <c r="F230">
        <v>8</v>
      </c>
      <c r="G230">
        <v>0</v>
      </c>
      <c r="H230">
        <v>25</v>
      </c>
      <c r="I230">
        <v>1585</v>
      </c>
      <c r="J230">
        <v>0</v>
      </c>
      <c r="K230">
        <v>7.0150000000000006</v>
      </c>
      <c r="L230">
        <v>15.65</v>
      </c>
      <c r="M230">
        <v>31.7</v>
      </c>
      <c r="N230">
        <v>15.4</v>
      </c>
      <c r="O230">
        <v>1689</v>
      </c>
      <c r="P230">
        <v>481</v>
      </c>
      <c r="Q230" s="5" t="e">
        <f>IF(AND(#REF!&gt;=table!$C$6,#REF!&lt;= table!$D$6),-1,IF(AND(#REF!&gt;=table!$E$6,#REF!&lt;=table!$F$6),1,0))</f>
        <v>#REF!</v>
      </c>
      <c r="R230" s="5" t="e">
        <f>IF(AND(#REF!&gt;=table!$C$7,#REF!&lt;= table!$D$7),-1,IF(AND(#REF!&gt;=table!$E$7,#REF!&lt;=table!$F$7),1,0))</f>
        <v>#REF!</v>
      </c>
      <c r="S230" s="5" t="e">
        <f>IF(AND(#REF!&gt;=table!$C$8,#REF!&lt;= table!$D$8),-1,IF(AND(#REF!&gt;=table!$E$8,#REF!&lt;=table!$F$8),1,0))</f>
        <v>#REF!</v>
      </c>
      <c r="T230" s="5"/>
      <c r="U230" s="5" t="e">
        <f>IF(AND(#REF!&gt;=table!$C$10,#REF!&lt;= table!$D$10),-1,IF(AND(#REF!&gt;=table!$E$10,#REF!&lt;=table!$F$10),1,0))</f>
        <v>#REF!</v>
      </c>
      <c r="V230" s="5" t="e">
        <f>IF(AND(#REF!&gt;=table!$C$11,#REF!&lt;= table!$D$11),-1,IF(AND(#REF!&gt;=table!$E$11,#REF!&lt;=table!$F$11),1,0))</f>
        <v>#REF!</v>
      </c>
      <c r="W230" s="5" t="e">
        <f>CONCATENATE(dados[[#This Row],[fator1]],dados[[#This Row],[fator5]],dados[[#This Row],[fator6]])</f>
        <v>#REF!</v>
      </c>
    </row>
    <row r="231" spans="1:23">
      <c r="A231" t="s">
        <v>17</v>
      </c>
      <c r="B231">
        <v>481362</v>
      </c>
      <c r="C231">
        <v>18</v>
      </c>
      <c r="D231">
        <v>23</v>
      </c>
      <c r="E231">
        <v>145</v>
      </c>
      <c r="F231">
        <v>6</v>
      </c>
      <c r="G231">
        <v>30</v>
      </c>
      <c r="H231">
        <v>25</v>
      </c>
      <c r="I231">
        <v>283</v>
      </c>
      <c r="J231">
        <v>0</v>
      </c>
      <c r="K231">
        <v>3.37</v>
      </c>
      <c r="L231">
        <v>14</v>
      </c>
      <c r="M231">
        <v>126.65</v>
      </c>
      <c r="N231">
        <v>20.95</v>
      </c>
      <c r="O231">
        <v>1684</v>
      </c>
      <c r="P231">
        <v>0</v>
      </c>
      <c r="Q231" s="5" t="e">
        <f>IF(AND(#REF!&gt;=table!$C$6,#REF!&lt;= table!$D$6),-1,IF(AND(#REF!&gt;=table!$E$6,#REF!&lt;=table!$F$6),1,0))</f>
        <v>#REF!</v>
      </c>
      <c r="R231" s="5" t="e">
        <f>IF(AND(#REF!&gt;=table!$C$7,#REF!&lt;= table!$D$7),-1,IF(AND(#REF!&gt;=table!$E$7,#REF!&lt;=table!$F$7),1,0))</f>
        <v>#REF!</v>
      </c>
      <c r="S231" s="5" t="e">
        <f>IF(AND(#REF!&gt;=table!$C$8,#REF!&lt;= table!$D$8),-1,IF(AND(#REF!&gt;=table!$E$8,#REF!&lt;=table!$F$8),1,0))</f>
        <v>#REF!</v>
      </c>
      <c r="T231" s="5"/>
      <c r="U231" s="5" t="e">
        <f>IF(AND(#REF!&gt;=table!$C$10,#REF!&lt;= table!$D$10),-1,IF(AND(#REF!&gt;=table!$E$10,#REF!&lt;=table!$F$10),1,0))</f>
        <v>#REF!</v>
      </c>
      <c r="V231" s="5" t="e">
        <f>IF(AND(#REF!&gt;=table!$C$11,#REF!&lt;= table!$D$11),-1,IF(AND(#REF!&gt;=table!$E$11,#REF!&lt;=table!$F$11),1,0))</f>
        <v>#REF!</v>
      </c>
      <c r="W231" s="5" t="e">
        <f>CONCATENATE(dados[[#This Row],[fator1]],dados[[#This Row],[fator5]],dados[[#This Row],[fator6]])</f>
        <v>#REF!</v>
      </c>
    </row>
    <row r="232" spans="1:23">
      <c r="A232" t="s">
        <v>17</v>
      </c>
      <c r="B232">
        <v>481363</v>
      </c>
      <c r="C232">
        <v>18</v>
      </c>
      <c r="D232">
        <v>23</v>
      </c>
      <c r="E232">
        <v>145</v>
      </c>
      <c r="F232">
        <v>9</v>
      </c>
      <c r="G232">
        <v>30</v>
      </c>
      <c r="H232">
        <v>25</v>
      </c>
      <c r="I232">
        <v>955</v>
      </c>
      <c r="J232">
        <v>0</v>
      </c>
      <c r="K232">
        <v>3.04</v>
      </c>
      <c r="L232">
        <v>11.85</v>
      </c>
      <c r="M232">
        <v>136.35</v>
      </c>
      <c r="N232">
        <v>17.45</v>
      </c>
      <c r="O232">
        <v>1680</v>
      </c>
      <c r="P232">
        <v>951</v>
      </c>
      <c r="Q232" s="5" t="e">
        <f>IF(AND(#REF!&gt;=table!$C$6,#REF!&lt;= table!$D$6),-1,IF(AND(#REF!&gt;=table!$E$6,#REF!&lt;=table!$F$6),1,0))</f>
        <v>#REF!</v>
      </c>
      <c r="R232" s="5" t="e">
        <f>IF(AND(#REF!&gt;=table!$C$7,#REF!&lt;= table!$D$7),-1,IF(AND(#REF!&gt;=table!$E$7,#REF!&lt;=table!$F$7),1,0))</f>
        <v>#REF!</v>
      </c>
      <c r="S232" s="5" t="e">
        <f>IF(AND(#REF!&gt;=table!$C$8,#REF!&lt;= table!$D$8),-1,IF(AND(#REF!&gt;=table!$E$8,#REF!&lt;=table!$F$8),1,0))</f>
        <v>#REF!</v>
      </c>
      <c r="T232" s="5"/>
      <c r="U232" s="5" t="e">
        <f>IF(AND(#REF!&gt;=table!$C$10,#REF!&lt;= table!$D$10),-1,IF(AND(#REF!&gt;=table!$E$10,#REF!&lt;=table!$F$10),1,0))</f>
        <v>#REF!</v>
      </c>
      <c r="V232" s="5" t="e">
        <f>IF(AND(#REF!&gt;=table!$C$11,#REF!&lt;= table!$D$11),-1,IF(AND(#REF!&gt;=table!$E$11,#REF!&lt;=table!$F$11),1,0))</f>
        <v>#REF!</v>
      </c>
      <c r="W232" s="5" t="e">
        <f>CONCATENATE(dados[[#This Row],[fator1]],dados[[#This Row],[fator5]],dados[[#This Row],[fator6]])</f>
        <v>#REF!</v>
      </c>
    </row>
    <row r="233" spans="1:23">
      <c r="A233" t="s">
        <v>17</v>
      </c>
      <c r="B233">
        <v>481365</v>
      </c>
      <c r="C233">
        <v>18</v>
      </c>
      <c r="D233">
        <v>23</v>
      </c>
      <c r="E233">
        <v>145</v>
      </c>
      <c r="F233">
        <v>9</v>
      </c>
      <c r="G233">
        <v>30</v>
      </c>
      <c r="H233">
        <v>25</v>
      </c>
      <c r="I233">
        <v>1293</v>
      </c>
      <c r="J233">
        <v>0</v>
      </c>
      <c r="K233">
        <v>4.5550000000000006</v>
      </c>
      <c r="L233">
        <v>9.7850000000000001</v>
      </c>
      <c r="M233">
        <v>141.72</v>
      </c>
      <c r="N233">
        <v>14.855</v>
      </c>
      <c r="O233">
        <v>1693</v>
      </c>
      <c r="P233">
        <v>870</v>
      </c>
      <c r="Q233" s="5" t="e">
        <f>IF(AND(#REF!&gt;=table!$C$6,#REF!&lt;= table!$D$6),-1,IF(AND(#REF!&gt;=table!$E$6,#REF!&lt;=table!$F$6),1,0))</f>
        <v>#REF!</v>
      </c>
      <c r="R233" s="5" t="e">
        <f>IF(AND(#REF!&gt;=table!$C$7,#REF!&lt;= table!$D$7),-1,IF(AND(#REF!&gt;=table!$E$7,#REF!&lt;=table!$F$7),1,0))</f>
        <v>#REF!</v>
      </c>
      <c r="S233" s="5" t="e">
        <f>IF(AND(#REF!&gt;=table!$C$8,#REF!&lt;= table!$D$8),-1,IF(AND(#REF!&gt;=table!$E$8,#REF!&lt;=table!$F$8),1,0))</f>
        <v>#REF!</v>
      </c>
      <c r="T233" s="5"/>
      <c r="U233" s="5" t="e">
        <f>IF(AND(#REF!&gt;=table!$C$10,#REF!&lt;= table!$D$10),-1,IF(AND(#REF!&gt;=table!$E$10,#REF!&lt;=table!$F$10),1,0))</f>
        <v>#REF!</v>
      </c>
      <c r="V233" s="5" t="e">
        <f>IF(AND(#REF!&gt;=table!$C$11,#REF!&lt;= table!$D$11),-1,IF(AND(#REF!&gt;=table!$E$11,#REF!&lt;=table!$F$11),1,0))</f>
        <v>#REF!</v>
      </c>
      <c r="W233" s="5" t="e">
        <f>CONCATENATE(dados[[#This Row],[fator1]],dados[[#This Row],[fator5]],dados[[#This Row],[fator6]])</f>
        <v>#REF!</v>
      </c>
    </row>
    <row r="234" spans="1:23">
      <c r="A234" t="s">
        <v>17</v>
      </c>
      <c r="B234">
        <v>481368</v>
      </c>
      <c r="C234">
        <v>10</v>
      </c>
      <c r="D234">
        <v>25</v>
      </c>
      <c r="E234">
        <v>156</v>
      </c>
      <c r="F234">
        <v>8</v>
      </c>
      <c r="G234">
        <v>20</v>
      </c>
      <c r="H234">
        <v>25</v>
      </c>
      <c r="I234">
        <v>713</v>
      </c>
      <c r="J234">
        <v>580</v>
      </c>
      <c r="K234">
        <v>2.3450000000000002</v>
      </c>
      <c r="L234">
        <v>13.175000000000001</v>
      </c>
      <c r="M234">
        <v>113.485</v>
      </c>
      <c r="N234">
        <v>14.255000000000001</v>
      </c>
      <c r="O234">
        <v>1654</v>
      </c>
      <c r="P234">
        <v>0</v>
      </c>
      <c r="Q234" s="5" t="e">
        <f>IF(AND(#REF!&gt;=table!$C$6,#REF!&lt;= table!$D$6),-1,IF(AND(#REF!&gt;=table!$E$6,#REF!&lt;=table!$F$6),1,0))</f>
        <v>#REF!</v>
      </c>
      <c r="R234" s="5" t="e">
        <f>IF(AND(#REF!&gt;=table!$C$7,#REF!&lt;= table!$D$7),-1,IF(AND(#REF!&gt;=table!$E$7,#REF!&lt;=table!$F$7),1,0))</f>
        <v>#REF!</v>
      </c>
      <c r="S234" s="5" t="e">
        <f>IF(AND(#REF!&gt;=table!$C$8,#REF!&lt;= table!$D$8),-1,IF(AND(#REF!&gt;=table!$E$8,#REF!&lt;=table!$F$8),1,0))</f>
        <v>#REF!</v>
      </c>
      <c r="T234" s="5"/>
      <c r="U234" s="5" t="e">
        <f>IF(AND(#REF!&gt;=table!$C$10,#REF!&lt;= table!$D$10),-1,IF(AND(#REF!&gt;=table!$E$10,#REF!&lt;=table!$F$10),1,0))</f>
        <v>#REF!</v>
      </c>
      <c r="V234" s="5" t="e">
        <f>IF(AND(#REF!&gt;=table!$C$11,#REF!&lt;= table!$D$11),-1,IF(AND(#REF!&gt;=table!$E$11,#REF!&lt;=table!$F$11),1,0))</f>
        <v>#REF!</v>
      </c>
      <c r="W234" s="5" t="e">
        <f>CONCATENATE(dados[[#This Row],[fator1]],dados[[#This Row],[fator5]],dados[[#This Row],[fator6]])</f>
        <v>#REF!</v>
      </c>
    </row>
    <row r="235" spans="1:23">
      <c r="A235" t="s">
        <v>17</v>
      </c>
      <c r="B235">
        <v>481369</v>
      </c>
      <c r="C235">
        <v>10</v>
      </c>
      <c r="D235">
        <v>25</v>
      </c>
      <c r="E235">
        <v>156</v>
      </c>
      <c r="F235">
        <v>8</v>
      </c>
      <c r="G235">
        <v>20</v>
      </c>
      <c r="H235">
        <v>25</v>
      </c>
      <c r="I235">
        <v>918</v>
      </c>
      <c r="J235">
        <v>0</v>
      </c>
      <c r="K235">
        <v>2.3395000000000001</v>
      </c>
      <c r="L235">
        <v>11.9</v>
      </c>
      <c r="M235">
        <v>146.5</v>
      </c>
      <c r="N235">
        <v>21.1</v>
      </c>
      <c r="O235">
        <v>1683</v>
      </c>
      <c r="P235">
        <v>1050</v>
      </c>
      <c r="Q235" s="5" t="e">
        <f>IF(AND(#REF!&gt;=table!$C$6,#REF!&lt;= table!$D$6),-1,IF(AND(#REF!&gt;=table!$E$6,#REF!&lt;=table!$F$6),1,0))</f>
        <v>#REF!</v>
      </c>
      <c r="R235" s="5" t="e">
        <f>IF(AND(#REF!&gt;=table!$C$7,#REF!&lt;= table!$D$7),-1,IF(AND(#REF!&gt;=table!$E$7,#REF!&lt;=table!$F$7),1,0))</f>
        <v>#REF!</v>
      </c>
      <c r="S235" s="5" t="e">
        <f>IF(AND(#REF!&gt;=table!$C$8,#REF!&lt;= table!$D$8),-1,IF(AND(#REF!&gt;=table!$E$8,#REF!&lt;=table!$F$8),1,0))</f>
        <v>#REF!</v>
      </c>
      <c r="T235" s="5"/>
      <c r="U235" s="5" t="e">
        <f>IF(AND(#REF!&gt;=table!$C$10,#REF!&lt;= table!$D$10),-1,IF(AND(#REF!&gt;=table!$E$10,#REF!&lt;=table!$F$10),1,0))</f>
        <v>#REF!</v>
      </c>
      <c r="V235" s="5" t="e">
        <f>IF(AND(#REF!&gt;=table!$C$11,#REF!&lt;= table!$D$11),-1,IF(AND(#REF!&gt;=table!$E$11,#REF!&lt;=table!$F$11),1,0))</f>
        <v>#REF!</v>
      </c>
      <c r="W235" s="5" t="e">
        <f>CONCATENATE(dados[[#This Row],[fator1]],dados[[#This Row],[fator5]],dados[[#This Row],[fator6]])</f>
        <v>#REF!</v>
      </c>
    </row>
    <row r="236" spans="1:23">
      <c r="A236" t="s">
        <v>17</v>
      </c>
      <c r="B236">
        <v>481371</v>
      </c>
      <c r="C236">
        <v>6</v>
      </c>
      <c r="D236">
        <v>30</v>
      </c>
      <c r="E236">
        <v>110</v>
      </c>
      <c r="F236">
        <v>10</v>
      </c>
      <c r="G236">
        <v>21</v>
      </c>
      <c r="H236">
        <v>25</v>
      </c>
      <c r="I236">
        <v>687</v>
      </c>
      <c r="J236">
        <v>0</v>
      </c>
      <c r="K236">
        <v>3.62</v>
      </c>
      <c r="L236">
        <v>7.2</v>
      </c>
      <c r="M236">
        <v>97.600000000000009</v>
      </c>
      <c r="N236">
        <v>11.4</v>
      </c>
      <c r="O236">
        <v>1658</v>
      </c>
      <c r="P236">
        <v>0</v>
      </c>
      <c r="Q236" s="5" t="e">
        <f>IF(AND(#REF!&gt;=table!$C$6,#REF!&lt;= table!$D$6),-1,IF(AND(#REF!&gt;=table!$E$6,#REF!&lt;=table!$F$6),1,0))</f>
        <v>#REF!</v>
      </c>
      <c r="R236" s="5" t="e">
        <f>IF(AND(#REF!&gt;=table!$C$7,#REF!&lt;= table!$D$7),-1,IF(AND(#REF!&gt;=table!$E$7,#REF!&lt;=table!$F$7),1,0))</f>
        <v>#REF!</v>
      </c>
      <c r="S236" s="5" t="e">
        <f>IF(AND(#REF!&gt;=table!$C$8,#REF!&lt;= table!$D$8),-1,IF(AND(#REF!&gt;=table!$E$8,#REF!&lt;=table!$F$8),1,0))</f>
        <v>#REF!</v>
      </c>
      <c r="T236" s="5"/>
      <c r="U236" s="5" t="e">
        <f>IF(AND(#REF!&gt;=table!$C$10,#REF!&lt;= table!$D$10),-1,IF(AND(#REF!&gt;=table!$E$10,#REF!&lt;=table!$F$10),1,0))</f>
        <v>#REF!</v>
      </c>
      <c r="V236" s="5" t="e">
        <f>IF(AND(#REF!&gt;=table!$C$11,#REF!&lt;= table!$D$11),-1,IF(AND(#REF!&gt;=table!$E$11,#REF!&lt;=table!$F$11),1,0))</f>
        <v>#REF!</v>
      </c>
      <c r="W236" s="5" t="e">
        <f>CONCATENATE(dados[[#This Row],[fator1]],dados[[#This Row],[fator5]],dados[[#This Row],[fator6]])</f>
        <v>#REF!</v>
      </c>
    </row>
    <row r="237" spans="1:23">
      <c r="A237" t="s">
        <v>17</v>
      </c>
      <c r="B237">
        <v>481376</v>
      </c>
      <c r="C237">
        <v>10</v>
      </c>
      <c r="D237">
        <v>25</v>
      </c>
      <c r="E237">
        <v>156</v>
      </c>
      <c r="F237">
        <v>8</v>
      </c>
      <c r="G237">
        <v>20</v>
      </c>
      <c r="H237">
        <v>25</v>
      </c>
      <c r="I237">
        <v>52</v>
      </c>
      <c r="J237">
        <v>0</v>
      </c>
      <c r="K237">
        <v>2.5665</v>
      </c>
      <c r="L237">
        <v>7.1750000000000007</v>
      </c>
      <c r="M237">
        <v>142.26500000000001</v>
      </c>
      <c r="N237">
        <v>18.45</v>
      </c>
      <c r="O237">
        <v>1701</v>
      </c>
      <c r="P237">
        <v>1214</v>
      </c>
      <c r="Q237" s="5" t="e">
        <f>IF(AND(#REF!&gt;=table!$C$6,#REF!&lt;= table!$D$6),-1,IF(AND(#REF!&gt;=table!$E$6,#REF!&lt;=table!$F$6),1,0))</f>
        <v>#REF!</v>
      </c>
      <c r="R237" s="5" t="e">
        <f>IF(AND(#REF!&gt;=table!$C$7,#REF!&lt;= table!$D$7),-1,IF(AND(#REF!&gt;=table!$E$7,#REF!&lt;=table!$F$7),1,0))</f>
        <v>#REF!</v>
      </c>
      <c r="S237" s="5" t="e">
        <f>IF(AND(#REF!&gt;=table!$C$8,#REF!&lt;= table!$D$8),-1,IF(AND(#REF!&gt;=table!$E$8,#REF!&lt;=table!$F$8),1,0))</f>
        <v>#REF!</v>
      </c>
      <c r="T237" s="5"/>
      <c r="U237" s="5" t="e">
        <f>IF(AND(#REF!&gt;=table!$C$10,#REF!&lt;= table!$D$10),-1,IF(AND(#REF!&gt;=table!$E$10,#REF!&lt;=table!$F$10),1,0))</f>
        <v>#REF!</v>
      </c>
      <c r="V237" s="5" t="e">
        <f>IF(AND(#REF!&gt;=table!$C$11,#REF!&lt;= table!$D$11),-1,IF(AND(#REF!&gt;=table!$E$11,#REF!&lt;=table!$F$11),1,0))</f>
        <v>#REF!</v>
      </c>
      <c r="W237" s="5" t="e">
        <f>CONCATENATE(dados[[#This Row],[fator1]],dados[[#This Row],[fator5]],dados[[#This Row],[fator6]])</f>
        <v>#REF!</v>
      </c>
    </row>
    <row r="238" spans="1:23">
      <c r="A238" t="s">
        <v>17</v>
      </c>
      <c r="B238">
        <v>481377</v>
      </c>
      <c r="C238">
        <v>10</v>
      </c>
      <c r="D238">
        <v>25</v>
      </c>
      <c r="E238">
        <v>156</v>
      </c>
      <c r="F238">
        <v>8</v>
      </c>
      <c r="G238">
        <v>20</v>
      </c>
      <c r="H238">
        <v>25</v>
      </c>
      <c r="I238">
        <v>4</v>
      </c>
      <c r="J238">
        <v>0</v>
      </c>
      <c r="K238">
        <v>3.77</v>
      </c>
      <c r="L238">
        <v>11.3</v>
      </c>
      <c r="M238">
        <v>149.27500000000001</v>
      </c>
      <c r="N238">
        <v>16.234999999999999</v>
      </c>
      <c r="O238">
        <v>1678</v>
      </c>
      <c r="P238">
        <v>0</v>
      </c>
      <c r="Q238" s="5" t="e">
        <f>IF(AND(#REF!&gt;=table!$C$6,#REF!&lt;= table!$D$6),-1,IF(AND(#REF!&gt;=table!$E$6,#REF!&lt;=table!$F$6),1,0))</f>
        <v>#REF!</v>
      </c>
      <c r="R238" s="5" t="e">
        <f>IF(AND(#REF!&gt;=table!$C$7,#REF!&lt;= table!$D$7),-1,IF(AND(#REF!&gt;=table!$E$7,#REF!&lt;=table!$F$7),1,0))</f>
        <v>#REF!</v>
      </c>
      <c r="S238" s="5" t="e">
        <f>IF(AND(#REF!&gt;=table!$C$8,#REF!&lt;= table!$D$8),-1,IF(AND(#REF!&gt;=table!$E$8,#REF!&lt;=table!$F$8),1,0))</f>
        <v>#REF!</v>
      </c>
      <c r="T238" s="5"/>
      <c r="U238" s="5" t="e">
        <f>IF(AND(#REF!&gt;=table!$C$10,#REF!&lt;= table!$D$10),-1,IF(AND(#REF!&gt;=table!$E$10,#REF!&lt;=table!$F$10),1,0))</f>
        <v>#REF!</v>
      </c>
      <c r="V238" s="5" t="e">
        <f>IF(AND(#REF!&gt;=table!$C$11,#REF!&lt;= table!$D$11),-1,IF(AND(#REF!&gt;=table!$E$11,#REF!&lt;=table!$F$11),1,0))</f>
        <v>#REF!</v>
      </c>
      <c r="W238" s="5" t="e">
        <f>CONCATENATE(dados[[#This Row],[fator1]],dados[[#This Row],[fator5]],dados[[#This Row],[fator6]])</f>
        <v>#REF!</v>
      </c>
    </row>
    <row r="239" spans="1:23">
      <c r="A239" t="s">
        <v>17</v>
      </c>
      <c r="B239">
        <v>481378</v>
      </c>
      <c r="C239">
        <v>7</v>
      </c>
      <c r="D239">
        <v>35</v>
      </c>
      <c r="E239">
        <v>200</v>
      </c>
      <c r="F239">
        <v>8</v>
      </c>
      <c r="G239">
        <v>50</v>
      </c>
      <c r="H239">
        <v>25</v>
      </c>
      <c r="I239">
        <v>80</v>
      </c>
      <c r="J239">
        <v>800</v>
      </c>
      <c r="K239">
        <v>7.9450000000000003</v>
      </c>
      <c r="L239">
        <v>13.1</v>
      </c>
      <c r="M239">
        <v>193.05</v>
      </c>
      <c r="N239">
        <v>16.7</v>
      </c>
      <c r="O239">
        <v>1689</v>
      </c>
      <c r="P239">
        <v>0</v>
      </c>
      <c r="Q239" s="5" t="e">
        <f>IF(AND(#REF!&gt;=table!$C$6,#REF!&lt;= table!$D$6),-1,IF(AND(#REF!&gt;=table!$E$6,#REF!&lt;=table!$F$6),1,0))</f>
        <v>#REF!</v>
      </c>
      <c r="R239" s="5" t="e">
        <f>IF(AND(#REF!&gt;=table!$C$7,#REF!&lt;= table!$D$7),-1,IF(AND(#REF!&gt;=table!$E$7,#REF!&lt;=table!$F$7),1,0))</f>
        <v>#REF!</v>
      </c>
      <c r="S239" s="5" t="e">
        <f>IF(AND(#REF!&gt;=table!$C$8,#REF!&lt;= table!$D$8),-1,IF(AND(#REF!&gt;=table!$E$8,#REF!&lt;=table!$F$8),1,0))</f>
        <v>#REF!</v>
      </c>
      <c r="T239" s="5"/>
      <c r="U239" s="5" t="e">
        <f>IF(AND(#REF!&gt;=table!$C$10,#REF!&lt;= table!$D$10),-1,IF(AND(#REF!&gt;=table!$E$10,#REF!&lt;=table!$F$10),1,0))</f>
        <v>#REF!</v>
      </c>
      <c r="V239" s="5" t="e">
        <f>IF(AND(#REF!&gt;=table!$C$11,#REF!&lt;= table!$D$11),-1,IF(AND(#REF!&gt;=table!$E$11,#REF!&lt;=table!$F$11),1,0))</f>
        <v>#REF!</v>
      </c>
      <c r="W239" s="5" t="e">
        <f>CONCATENATE(dados[[#This Row],[fator1]],dados[[#This Row],[fator5]],dados[[#This Row],[fator6]])</f>
        <v>#REF!</v>
      </c>
    </row>
    <row r="240" spans="1:23">
      <c r="A240" t="s">
        <v>17</v>
      </c>
      <c r="B240">
        <v>481380</v>
      </c>
      <c r="C240">
        <v>10</v>
      </c>
      <c r="D240">
        <v>25</v>
      </c>
      <c r="E240">
        <v>40</v>
      </c>
      <c r="F240">
        <v>10</v>
      </c>
      <c r="G240">
        <v>110</v>
      </c>
      <c r="H240">
        <v>50</v>
      </c>
      <c r="I240">
        <v>117</v>
      </c>
      <c r="J240">
        <v>0</v>
      </c>
      <c r="K240">
        <v>4.8250000000000002</v>
      </c>
      <c r="L240">
        <v>5.5049999999999999</v>
      </c>
      <c r="M240">
        <v>63.85</v>
      </c>
      <c r="N240">
        <v>33.200000000000003</v>
      </c>
      <c r="O240">
        <v>1666</v>
      </c>
      <c r="P240">
        <v>0</v>
      </c>
      <c r="Q240" s="5" t="e">
        <f>IF(AND(#REF!&gt;=table!$C$6,#REF!&lt;= table!$D$6),-1,IF(AND(#REF!&gt;=table!$E$6,#REF!&lt;=table!$F$6),1,0))</f>
        <v>#REF!</v>
      </c>
      <c r="R240" s="5" t="e">
        <f>IF(AND(#REF!&gt;=table!$C$7,#REF!&lt;= table!$D$7),-1,IF(AND(#REF!&gt;=table!$E$7,#REF!&lt;=table!$F$7),1,0))</f>
        <v>#REF!</v>
      </c>
      <c r="S240" s="5" t="e">
        <f>IF(AND(#REF!&gt;=table!$C$8,#REF!&lt;= table!$D$8),-1,IF(AND(#REF!&gt;=table!$E$8,#REF!&lt;=table!$F$8),1,0))</f>
        <v>#REF!</v>
      </c>
      <c r="T240" s="5"/>
      <c r="U240" s="5" t="e">
        <f>IF(AND(#REF!&gt;=table!$C$10,#REF!&lt;= table!$D$10),-1,IF(AND(#REF!&gt;=table!$E$10,#REF!&lt;=table!$F$10),1,0))</f>
        <v>#REF!</v>
      </c>
      <c r="V240" s="5" t="e">
        <f>IF(AND(#REF!&gt;=table!$C$11,#REF!&lt;= table!$D$11),-1,IF(AND(#REF!&gt;=table!$E$11,#REF!&lt;=table!$F$11),1,0))</f>
        <v>#REF!</v>
      </c>
      <c r="W240" s="5" t="e">
        <f>CONCATENATE(dados[[#This Row],[fator1]],dados[[#This Row],[fator5]],dados[[#This Row],[fator6]])</f>
        <v>#REF!</v>
      </c>
    </row>
    <row r="241" spans="1:23">
      <c r="A241" t="s">
        <v>17</v>
      </c>
      <c r="B241">
        <v>481381</v>
      </c>
      <c r="C241">
        <v>10</v>
      </c>
      <c r="D241">
        <v>25</v>
      </c>
      <c r="E241">
        <v>40</v>
      </c>
      <c r="F241">
        <v>10</v>
      </c>
      <c r="G241">
        <v>110</v>
      </c>
      <c r="H241">
        <v>50</v>
      </c>
      <c r="I241">
        <v>587</v>
      </c>
      <c r="J241">
        <v>0</v>
      </c>
      <c r="K241">
        <v>7.21</v>
      </c>
      <c r="L241">
        <v>11.78</v>
      </c>
      <c r="M241">
        <v>15.365</v>
      </c>
      <c r="N241">
        <v>20.54</v>
      </c>
      <c r="O241">
        <v>1676</v>
      </c>
      <c r="P241">
        <v>0</v>
      </c>
      <c r="Q241" s="5" t="e">
        <f>IF(AND(#REF!&gt;=table!$C$6,#REF!&lt;= table!$D$6),-1,IF(AND(#REF!&gt;=table!$E$6,#REF!&lt;=table!$F$6),1,0))</f>
        <v>#REF!</v>
      </c>
      <c r="R241" s="5" t="e">
        <f>IF(AND(#REF!&gt;=table!$C$7,#REF!&lt;= table!$D$7),-1,IF(AND(#REF!&gt;=table!$E$7,#REF!&lt;=table!$F$7),1,0))</f>
        <v>#REF!</v>
      </c>
      <c r="S241" s="5" t="e">
        <f>IF(AND(#REF!&gt;=table!$C$8,#REF!&lt;= table!$D$8),-1,IF(AND(#REF!&gt;=table!$E$8,#REF!&lt;=table!$F$8),1,0))</f>
        <v>#REF!</v>
      </c>
      <c r="T241" s="5"/>
      <c r="U241" s="5" t="e">
        <f>IF(AND(#REF!&gt;=table!$C$10,#REF!&lt;= table!$D$10),-1,IF(AND(#REF!&gt;=table!$E$10,#REF!&lt;=table!$F$10),1,0))</f>
        <v>#REF!</v>
      </c>
      <c r="V241" s="5" t="e">
        <f>IF(AND(#REF!&gt;=table!$C$11,#REF!&lt;= table!$D$11),-1,IF(AND(#REF!&gt;=table!$E$11,#REF!&lt;=table!$F$11),1,0))</f>
        <v>#REF!</v>
      </c>
      <c r="W241" s="5" t="e">
        <f>CONCATENATE(dados[[#This Row],[fator1]],dados[[#This Row],[fator5]],dados[[#This Row],[fator6]])</f>
        <v>#REF!</v>
      </c>
    </row>
    <row r="242" spans="1:23">
      <c r="A242" t="s">
        <v>16</v>
      </c>
      <c r="B242">
        <v>481384</v>
      </c>
      <c r="C242">
        <v>11</v>
      </c>
      <c r="D242">
        <v>40</v>
      </c>
      <c r="E242">
        <v>151</v>
      </c>
      <c r="F242">
        <v>8</v>
      </c>
      <c r="G242">
        <v>0</v>
      </c>
      <c r="H242">
        <v>25</v>
      </c>
      <c r="I242">
        <v>1</v>
      </c>
      <c r="J242">
        <v>0</v>
      </c>
      <c r="K242">
        <v>2.75</v>
      </c>
      <c r="L242">
        <v>10.1</v>
      </c>
      <c r="M242">
        <v>123.77500000000001</v>
      </c>
      <c r="N242">
        <v>14.605</v>
      </c>
      <c r="O242">
        <v>1675</v>
      </c>
      <c r="P242">
        <v>1100</v>
      </c>
      <c r="Q242" s="5" t="e">
        <f>IF(AND(#REF!&gt;=table!$C$6,#REF!&lt;= table!$D$6),-1,IF(AND(#REF!&gt;=table!$E$6,#REF!&lt;=table!$F$6),1,0))</f>
        <v>#REF!</v>
      </c>
      <c r="R242" s="5" t="e">
        <f>IF(AND(#REF!&gt;=table!$C$7,#REF!&lt;= table!$D$7),-1,IF(AND(#REF!&gt;=table!$E$7,#REF!&lt;=table!$F$7),1,0))</f>
        <v>#REF!</v>
      </c>
      <c r="S242" s="5" t="e">
        <f>IF(AND(#REF!&gt;=table!$C$8,#REF!&lt;= table!$D$8),-1,IF(AND(#REF!&gt;=table!$E$8,#REF!&lt;=table!$F$8),1,0))</f>
        <v>#REF!</v>
      </c>
      <c r="T242" s="5"/>
      <c r="U242" s="5" t="e">
        <f>IF(AND(#REF!&gt;=table!$C$10,#REF!&lt;= table!$D$10),-1,IF(AND(#REF!&gt;=table!$E$10,#REF!&lt;=table!$F$10),1,0))</f>
        <v>#REF!</v>
      </c>
      <c r="V242" s="5" t="e">
        <f>IF(AND(#REF!&gt;=table!$C$11,#REF!&lt;= table!$D$11),-1,IF(AND(#REF!&gt;=table!$E$11,#REF!&lt;=table!$F$11),1,0))</f>
        <v>#REF!</v>
      </c>
      <c r="W242" s="5" t="e">
        <f>CONCATENATE(dados[[#This Row],[fator1]],dados[[#This Row],[fator5]],dados[[#This Row],[fator6]])</f>
        <v>#REF!</v>
      </c>
    </row>
    <row r="243" spans="1:23">
      <c r="A243" t="s">
        <v>16</v>
      </c>
      <c r="B243">
        <v>481385</v>
      </c>
      <c r="C243">
        <v>11</v>
      </c>
      <c r="D243">
        <v>40</v>
      </c>
      <c r="E243">
        <v>151</v>
      </c>
      <c r="F243">
        <v>8</v>
      </c>
      <c r="G243">
        <v>0</v>
      </c>
      <c r="H243">
        <v>25</v>
      </c>
      <c r="I243">
        <v>0</v>
      </c>
      <c r="J243">
        <v>0</v>
      </c>
      <c r="K243">
        <v>3.6350000000000002</v>
      </c>
      <c r="L243">
        <v>14.6</v>
      </c>
      <c r="M243">
        <v>106.045</v>
      </c>
      <c r="N243">
        <v>16.105</v>
      </c>
      <c r="O243">
        <v>1693</v>
      </c>
      <c r="P243">
        <v>733</v>
      </c>
      <c r="Q243" s="5" t="e">
        <f>IF(AND(#REF!&gt;=table!$C$6,#REF!&lt;= table!$D$6),-1,IF(AND(#REF!&gt;=table!$E$6,#REF!&lt;=table!$F$6),1,0))</f>
        <v>#REF!</v>
      </c>
      <c r="R243" s="5" t="e">
        <f>IF(AND(#REF!&gt;=table!$C$7,#REF!&lt;= table!$D$7),-1,IF(AND(#REF!&gt;=table!$E$7,#REF!&lt;=table!$F$7),1,0))</f>
        <v>#REF!</v>
      </c>
      <c r="S243" s="5" t="e">
        <f>IF(AND(#REF!&gt;=table!$C$8,#REF!&lt;= table!$D$8),-1,IF(AND(#REF!&gt;=table!$E$8,#REF!&lt;=table!$F$8),1,0))</f>
        <v>#REF!</v>
      </c>
      <c r="T243" s="5"/>
      <c r="U243" s="5" t="e">
        <f>IF(AND(#REF!&gt;=table!$C$10,#REF!&lt;= table!$D$10),-1,IF(AND(#REF!&gt;=table!$E$10,#REF!&lt;=table!$F$10),1,0))</f>
        <v>#REF!</v>
      </c>
      <c r="V243" s="5" t="e">
        <f>IF(AND(#REF!&gt;=table!$C$11,#REF!&lt;= table!$D$11),-1,IF(AND(#REF!&gt;=table!$E$11,#REF!&lt;=table!$F$11),1,0))</f>
        <v>#REF!</v>
      </c>
      <c r="W243" s="5" t="e">
        <f>CONCATENATE(dados[[#This Row],[fator1]],dados[[#This Row],[fator5]],dados[[#This Row],[fator6]])</f>
        <v>#REF!</v>
      </c>
    </row>
    <row r="244" spans="1:23">
      <c r="A244" t="s">
        <v>16</v>
      </c>
      <c r="B244">
        <v>481386</v>
      </c>
      <c r="C244">
        <v>11</v>
      </c>
      <c r="D244">
        <v>40</v>
      </c>
      <c r="E244">
        <v>151</v>
      </c>
      <c r="F244">
        <v>8</v>
      </c>
      <c r="G244">
        <v>0</v>
      </c>
      <c r="H244">
        <v>25</v>
      </c>
      <c r="I244">
        <v>88</v>
      </c>
      <c r="J244">
        <v>0</v>
      </c>
      <c r="K244">
        <v>2.6</v>
      </c>
      <c r="L244">
        <v>14.6</v>
      </c>
      <c r="M244">
        <v>147.15</v>
      </c>
      <c r="N244">
        <v>13.9</v>
      </c>
      <c r="O244">
        <v>1699</v>
      </c>
      <c r="P244">
        <v>750</v>
      </c>
      <c r="Q244" s="5" t="e">
        <f>IF(AND(#REF!&gt;=table!$C$6,#REF!&lt;= table!$D$6),-1,IF(AND(#REF!&gt;=table!$E$6,#REF!&lt;=table!$F$6),1,0))</f>
        <v>#REF!</v>
      </c>
      <c r="R244" s="5" t="e">
        <f>IF(AND(#REF!&gt;=table!$C$7,#REF!&lt;= table!$D$7),-1,IF(AND(#REF!&gt;=table!$E$7,#REF!&lt;=table!$F$7),1,0))</f>
        <v>#REF!</v>
      </c>
      <c r="S244" s="5" t="e">
        <f>IF(AND(#REF!&gt;=table!$C$8,#REF!&lt;= table!$D$8),-1,IF(AND(#REF!&gt;=table!$E$8,#REF!&lt;=table!$F$8),1,0))</f>
        <v>#REF!</v>
      </c>
      <c r="T244" s="5"/>
      <c r="U244" s="5" t="e">
        <f>IF(AND(#REF!&gt;=table!$C$10,#REF!&lt;= table!$D$10),-1,IF(AND(#REF!&gt;=table!$E$10,#REF!&lt;=table!$F$10),1,0))</f>
        <v>#REF!</v>
      </c>
      <c r="V244" s="5" t="e">
        <f>IF(AND(#REF!&gt;=table!$C$11,#REF!&lt;= table!$D$11),-1,IF(AND(#REF!&gt;=table!$E$11,#REF!&lt;=table!$F$11),1,0))</f>
        <v>#REF!</v>
      </c>
      <c r="W244" s="5" t="e">
        <f>CONCATENATE(dados[[#This Row],[fator1]],dados[[#This Row],[fator5]],dados[[#This Row],[fator6]])</f>
        <v>#REF!</v>
      </c>
    </row>
    <row r="245" spans="1:23">
      <c r="A245" t="s">
        <v>16</v>
      </c>
      <c r="B245">
        <v>481387</v>
      </c>
      <c r="C245">
        <v>11</v>
      </c>
      <c r="D245">
        <v>40</v>
      </c>
      <c r="E245">
        <v>151</v>
      </c>
      <c r="F245">
        <v>8</v>
      </c>
      <c r="G245">
        <v>0</v>
      </c>
      <c r="H245">
        <v>25</v>
      </c>
      <c r="I245">
        <v>5</v>
      </c>
      <c r="J245">
        <v>0</v>
      </c>
      <c r="K245">
        <v>2.2250000000000001</v>
      </c>
      <c r="L245">
        <v>6.55</v>
      </c>
      <c r="M245">
        <v>132.86000000000001</v>
      </c>
      <c r="N245">
        <v>8.4150000000000009</v>
      </c>
      <c r="O245">
        <v>1671</v>
      </c>
      <c r="P245">
        <v>991</v>
      </c>
      <c r="Q245" s="5" t="e">
        <f>IF(AND(#REF!&gt;=table!$C$6,#REF!&lt;= table!$D$6),-1,IF(AND(#REF!&gt;=table!$E$6,#REF!&lt;=table!$F$6),1,0))</f>
        <v>#REF!</v>
      </c>
      <c r="R245" s="5" t="e">
        <f>IF(AND(#REF!&gt;=table!$C$7,#REF!&lt;= table!$D$7),-1,IF(AND(#REF!&gt;=table!$E$7,#REF!&lt;=table!$F$7),1,0))</f>
        <v>#REF!</v>
      </c>
      <c r="S245" s="5" t="e">
        <f>IF(AND(#REF!&gt;=table!$C$8,#REF!&lt;= table!$D$8),-1,IF(AND(#REF!&gt;=table!$E$8,#REF!&lt;=table!$F$8),1,0))</f>
        <v>#REF!</v>
      </c>
      <c r="T245" s="5"/>
      <c r="U245" s="5" t="e">
        <f>IF(AND(#REF!&gt;=table!$C$10,#REF!&lt;= table!$D$10),-1,IF(AND(#REF!&gt;=table!$E$10,#REF!&lt;=table!$F$10),1,0))</f>
        <v>#REF!</v>
      </c>
      <c r="V245" s="5" t="e">
        <f>IF(AND(#REF!&gt;=table!$C$11,#REF!&lt;= table!$D$11),-1,IF(AND(#REF!&gt;=table!$E$11,#REF!&lt;=table!$F$11),1,0))</f>
        <v>#REF!</v>
      </c>
      <c r="W245" s="5" t="e">
        <f>CONCATENATE(dados[[#This Row],[fator1]],dados[[#This Row],[fator5]],dados[[#This Row],[fator6]])</f>
        <v>#REF!</v>
      </c>
    </row>
    <row r="246" spans="1:23">
      <c r="A246" t="s">
        <v>16</v>
      </c>
      <c r="B246">
        <v>481388</v>
      </c>
      <c r="C246">
        <v>11</v>
      </c>
      <c r="D246">
        <v>40</v>
      </c>
      <c r="E246">
        <v>151</v>
      </c>
      <c r="F246">
        <v>8</v>
      </c>
      <c r="G246">
        <v>0</v>
      </c>
      <c r="H246">
        <v>25</v>
      </c>
      <c r="I246">
        <v>1747</v>
      </c>
      <c r="J246">
        <v>910</v>
      </c>
      <c r="K246">
        <v>2.395</v>
      </c>
      <c r="L246">
        <v>9.5500000000000007</v>
      </c>
      <c r="M246">
        <v>134.29500000000002</v>
      </c>
      <c r="N246">
        <v>13.91</v>
      </c>
      <c r="O246">
        <v>1683</v>
      </c>
      <c r="P246">
        <v>0</v>
      </c>
      <c r="Q246" s="5" t="e">
        <f>IF(AND(#REF!&gt;=table!$C$6,#REF!&lt;= table!$D$6),-1,IF(AND(#REF!&gt;=table!$E$6,#REF!&lt;=table!$F$6),1,0))</f>
        <v>#REF!</v>
      </c>
      <c r="R246" s="5" t="e">
        <f>IF(AND(#REF!&gt;=table!$C$7,#REF!&lt;= table!$D$7),-1,IF(AND(#REF!&gt;=table!$E$7,#REF!&lt;=table!$F$7),1,0))</f>
        <v>#REF!</v>
      </c>
      <c r="S246" s="5" t="e">
        <f>IF(AND(#REF!&gt;=table!$C$8,#REF!&lt;= table!$D$8),-1,IF(AND(#REF!&gt;=table!$E$8,#REF!&lt;=table!$F$8),1,0))</f>
        <v>#REF!</v>
      </c>
      <c r="T246" s="5"/>
      <c r="U246" s="5" t="e">
        <f>IF(AND(#REF!&gt;=table!$C$10,#REF!&lt;= table!$D$10),-1,IF(AND(#REF!&gt;=table!$E$10,#REF!&lt;=table!$F$10),1,0))</f>
        <v>#REF!</v>
      </c>
      <c r="V246" s="5" t="e">
        <f>IF(AND(#REF!&gt;=table!$C$11,#REF!&lt;= table!$D$11),-1,IF(AND(#REF!&gt;=table!$E$11,#REF!&lt;=table!$F$11),1,0))</f>
        <v>#REF!</v>
      </c>
      <c r="W246" s="5" t="e">
        <f>CONCATENATE(dados[[#This Row],[fator1]],dados[[#This Row],[fator5]],dados[[#This Row],[fator6]])</f>
        <v>#REF!</v>
      </c>
    </row>
    <row r="247" spans="1:23">
      <c r="A247" t="s">
        <v>16</v>
      </c>
      <c r="B247">
        <v>481390</v>
      </c>
      <c r="C247">
        <v>0.15</v>
      </c>
      <c r="D247">
        <v>40</v>
      </c>
      <c r="E247">
        <v>10</v>
      </c>
      <c r="F247">
        <v>15</v>
      </c>
      <c r="G247">
        <v>0</v>
      </c>
      <c r="H247">
        <v>15</v>
      </c>
      <c r="I247">
        <v>217</v>
      </c>
      <c r="J247">
        <v>780</v>
      </c>
      <c r="K247">
        <v>2.71</v>
      </c>
      <c r="L247">
        <v>11.700000000000001</v>
      </c>
      <c r="M247">
        <v>8.5500000000000007</v>
      </c>
      <c r="N247">
        <v>6.15</v>
      </c>
      <c r="O247">
        <v>1668</v>
      </c>
      <c r="P247">
        <v>649</v>
      </c>
      <c r="Q247" s="5" t="e">
        <f>IF(AND(#REF!&gt;=table!$C$6,#REF!&lt;= table!$D$6),-1,IF(AND(#REF!&gt;=table!$E$6,#REF!&lt;=table!$F$6),1,0))</f>
        <v>#REF!</v>
      </c>
      <c r="R247" s="5" t="e">
        <f>IF(AND(#REF!&gt;=table!$C$7,#REF!&lt;= table!$D$7),-1,IF(AND(#REF!&gt;=table!$E$7,#REF!&lt;=table!$F$7),1,0))</f>
        <v>#REF!</v>
      </c>
      <c r="S247" s="5" t="e">
        <f>IF(AND(#REF!&gt;=table!$C$8,#REF!&lt;= table!$D$8),-1,IF(AND(#REF!&gt;=table!$E$8,#REF!&lt;=table!$F$8),1,0))</f>
        <v>#REF!</v>
      </c>
      <c r="T247" s="5"/>
      <c r="U247" s="5" t="e">
        <f>IF(AND(#REF!&gt;=table!$C$10,#REF!&lt;= table!$D$10),-1,IF(AND(#REF!&gt;=table!$E$10,#REF!&lt;=table!$F$10),1,0))</f>
        <v>#REF!</v>
      </c>
      <c r="V247" s="5" t="e">
        <f>IF(AND(#REF!&gt;=table!$C$11,#REF!&lt;= table!$D$11),-1,IF(AND(#REF!&gt;=table!$E$11,#REF!&lt;=table!$F$11),1,0))</f>
        <v>#REF!</v>
      </c>
      <c r="W247" s="5" t="e">
        <f>CONCATENATE(dados[[#This Row],[fator1]],dados[[#This Row],[fator5]],dados[[#This Row],[fator6]])</f>
        <v>#REF!</v>
      </c>
    </row>
    <row r="248" spans="1:23">
      <c r="A248" t="s">
        <v>16</v>
      </c>
      <c r="B248">
        <v>481392</v>
      </c>
      <c r="C248">
        <v>11</v>
      </c>
      <c r="D248">
        <v>40</v>
      </c>
      <c r="E248">
        <v>151</v>
      </c>
      <c r="F248">
        <v>8</v>
      </c>
      <c r="G248">
        <v>0</v>
      </c>
      <c r="H248">
        <v>25</v>
      </c>
      <c r="I248">
        <v>152</v>
      </c>
      <c r="J248">
        <v>0</v>
      </c>
      <c r="K248">
        <v>3.7650000000000001</v>
      </c>
      <c r="L248">
        <v>8.0500000000000007</v>
      </c>
      <c r="M248">
        <v>109.27500000000001</v>
      </c>
      <c r="N248">
        <v>12.200000000000001</v>
      </c>
      <c r="O248">
        <v>1688</v>
      </c>
      <c r="P248">
        <v>0</v>
      </c>
      <c r="Q248" s="5" t="e">
        <f>IF(AND(#REF!&gt;=table!$C$6,#REF!&lt;= table!$D$6),-1,IF(AND(#REF!&gt;=table!$E$6,#REF!&lt;=table!$F$6),1,0))</f>
        <v>#REF!</v>
      </c>
      <c r="R248" s="5" t="e">
        <f>IF(AND(#REF!&gt;=table!$C$7,#REF!&lt;= table!$D$7),-1,IF(AND(#REF!&gt;=table!$E$7,#REF!&lt;=table!$F$7),1,0))</f>
        <v>#REF!</v>
      </c>
      <c r="S248" s="5" t="e">
        <f>IF(AND(#REF!&gt;=table!$C$8,#REF!&lt;= table!$D$8),-1,IF(AND(#REF!&gt;=table!$E$8,#REF!&lt;=table!$F$8),1,0))</f>
        <v>#REF!</v>
      </c>
      <c r="T248" s="5"/>
      <c r="U248" s="5" t="e">
        <f>IF(AND(#REF!&gt;=table!$C$10,#REF!&lt;= table!$D$10),-1,IF(AND(#REF!&gt;=table!$E$10,#REF!&lt;=table!$F$10),1,0))</f>
        <v>#REF!</v>
      </c>
      <c r="V248" s="5" t="e">
        <f>IF(AND(#REF!&gt;=table!$C$11,#REF!&lt;= table!$D$11),-1,IF(AND(#REF!&gt;=table!$E$11,#REF!&lt;=table!$F$11),1,0))</f>
        <v>#REF!</v>
      </c>
      <c r="W248" s="5" t="e">
        <f>CONCATENATE(dados[[#This Row],[fator1]],dados[[#This Row],[fator5]],dados[[#This Row],[fator6]])</f>
        <v>#REF!</v>
      </c>
    </row>
    <row r="249" spans="1:23">
      <c r="A249" t="s">
        <v>16</v>
      </c>
      <c r="B249">
        <v>481394</v>
      </c>
      <c r="C249">
        <v>11</v>
      </c>
      <c r="D249">
        <v>40</v>
      </c>
      <c r="E249">
        <v>151</v>
      </c>
      <c r="F249">
        <v>8</v>
      </c>
      <c r="G249">
        <v>0</v>
      </c>
      <c r="H249">
        <v>25</v>
      </c>
      <c r="I249">
        <v>36</v>
      </c>
      <c r="J249">
        <v>0</v>
      </c>
      <c r="K249">
        <v>0</v>
      </c>
      <c r="L249">
        <v>0</v>
      </c>
      <c r="M249">
        <v>140.57500000000002</v>
      </c>
      <c r="N249">
        <v>8.3250000000000011</v>
      </c>
      <c r="O249">
        <v>1674</v>
      </c>
      <c r="P249">
        <v>0</v>
      </c>
      <c r="Q249" s="5" t="e">
        <f>IF(AND(#REF!&gt;=table!$C$6,#REF!&lt;= table!$D$6),-1,IF(AND(#REF!&gt;=table!$E$6,#REF!&lt;=table!$F$6),1,0))</f>
        <v>#REF!</v>
      </c>
      <c r="R249" s="5" t="e">
        <f>IF(AND(#REF!&gt;=table!$C$7,#REF!&lt;= table!$D$7),-1,IF(AND(#REF!&gt;=table!$E$7,#REF!&lt;=table!$F$7),1,0))</f>
        <v>#REF!</v>
      </c>
      <c r="S249" s="5" t="e">
        <f>IF(AND(#REF!&gt;=table!$C$8,#REF!&lt;= table!$D$8),-1,IF(AND(#REF!&gt;=table!$E$8,#REF!&lt;=table!$F$8),1,0))</f>
        <v>#REF!</v>
      </c>
      <c r="T249" s="5"/>
      <c r="U249" s="5" t="e">
        <f>IF(AND(#REF!&gt;=table!$C$10,#REF!&lt;= table!$D$10),-1,IF(AND(#REF!&gt;=table!$E$10,#REF!&lt;=table!$F$10),1,0))</f>
        <v>#REF!</v>
      </c>
      <c r="V249" s="5" t="e">
        <f>IF(AND(#REF!&gt;=table!$C$11,#REF!&lt;= table!$D$11),-1,IF(AND(#REF!&gt;=table!$E$11,#REF!&lt;=table!$F$11),1,0))</f>
        <v>#REF!</v>
      </c>
      <c r="W249" s="5" t="e">
        <f>CONCATENATE(dados[[#This Row],[fator1]],dados[[#This Row],[fator5]],dados[[#This Row],[fator6]])</f>
        <v>#REF!</v>
      </c>
    </row>
    <row r="250" spans="1:23">
      <c r="A250" t="s">
        <v>16</v>
      </c>
      <c r="B250">
        <v>481400</v>
      </c>
      <c r="C250">
        <v>3</v>
      </c>
      <c r="D250">
        <v>40</v>
      </c>
      <c r="E250">
        <v>20</v>
      </c>
      <c r="F250">
        <v>15</v>
      </c>
      <c r="G250">
        <v>0</v>
      </c>
      <c r="H250">
        <v>25</v>
      </c>
      <c r="I250">
        <v>2127</v>
      </c>
      <c r="J250">
        <v>0</v>
      </c>
      <c r="K250">
        <v>2.9450000000000003</v>
      </c>
      <c r="L250">
        <v>6.6000000000000005</v>
      </c>
      <c r="M250">
        <v>5.4</v>
      </c>
      <c r="N250">
        <v>5.2</v>
      </c>
      <c r="O250">
        <v>1679</v>
      </c>
      <c r="P250">
        <v>0</v>
      </c>
      <c r="Q250" s="5" t="e">
        <f>IF(AND(#REF!&gt;=table!$C$6,#REF!&lt;= table!$D$6),-1,IF(AND(#REF!&gt;=table!$E$6,#REF!&lt;=table!$F$6),1,0))</f>
        <v>#REF!</v>
      </c>
      <c r="R250" s="5" t="e">
        <f>IF(AND(#REF!&gt;=table!$C$7,#REF!&lt;= table!$D$7),-1,IF(AND(#REF!&gt;=table!$E$7,#REF!&lt;=table!$F$7),1,0))</f>
        <v>#REF!</v>
      </c>
      <c r="S250" s="5" t="e">
        <f>IF(AND(#REF!&gt;=table!$C$8,#REF!&lt;= table!$D$8),-1,IF(AND(#REF!&gt;=table!$E$8,#REF!&lt;=table!$F$8),1,0))</f>
        <v>#REF!</v>
      </c>
      <c r="T250" s="5"/>
      <c r="U250" s="5" t="e">
        <f>IF(AND(#REF!&gt;=table!$C$10,#REF!&lt;= table!$D$10),-1,IF(AND(#REF!&gt;=table!$E$10,#REF!&lt;=table!$F$10),1,0))</f>
        <v>#REF!</v>
      </c>
      <c r="V250" s="5" t="e">
        <f>IF(AND(#REF!&gt;=table!$C$11,#REF!&lt;= table!$D$11),-1,IF(AND(#REF!&gt;=table!$E$11,#REF!&lt;=table!$F$11),1,0))</f>
        <v>#REF!</v>
      </c>
      <c r="W250" s="5" t="e">
        <f>CONCATENATE(dados[[#This Row],[fator1]],dados[[#This Row],[fator5]],dados[[#This Row],[fator6]])</f>
        <v>#REF!</v>
      </c>
    </row>
    <row r="251" spans="1:23">
      <c r="A251" t="s">
        <v>16</v>
      </c>
      <c r="B251">
        <v>481402</v>
      </c>
      <c r="C251">
        <v>6</v>
      </c>
      <c r="D251">
        <v>40</v>
      </c>
      <c r="E251">
        <v>66</v>
      </c>
      <c r="F251">
        <v>10</v>
      </c>
      <c r="G251">
        <v>0</v>
      </c>
      <c r="H251">
        <v>25</v>
      </c>
      <c r="I251">
        <v>903</v>
      </c>
      <c r="J251">
        <v>0</v>
      </c>
      <c r="K251">
        <v>2.66</v>
      </c>
      <c r="L251">
        <v>14.4</v>
      </c>
      <c r="M251">
        <v>53.585000000000001</v>
      </c>
      <c r="N251">
        <v>11.93</v>
      </c>
      <c r="O251">
        <v>1675</v>
      </c>
      <c r="P251">
        <v>0</v>
      </c>
      <c r="Q251" s="5" t="e">
        <f>IF(AND(#REF!&gt;=table!$C$6,#REF!&lt;= table!$D$6),-1,IF(AND(#REF!&gt;=table!$E$6,#REF!&lt;=table!$F$6),1,0))</f>
        <v>#REF!</v>
      </c>
      <c r="R251" s="5" t="e">
        <f>IF(AND(#REF!&gt;=table!$C$7,#REF!&lt;= table!$D$7),-1,IF(AND(#REF!&gt;=table!$E$7,#REF!&lt;=table!$F$7),1,0))</f>
        <v>#REF!</v>
      </c>
      <c r="S251" s="5" t="e">
        <f>IF(AND(#REF!&gt;=table!$C$8,#REF!&lt;= table!$D$8),-1,IF(AND(#REF!&gt;=table!$E$8,#REF!&lt;=table!$F$8),1,0))</f>
        <v>#REF!</v>
      </c>
      <c r="T251" s="5"/>
      <c r="U251" s="5" t="e">
        <f>IF(AND(#REF!&gt;=table!$C$10,#REF!&lt;= table!$D$10),-1,IF(AND(#REF!&gt;=table!$E$10,#REF!&lt;=table!$F$10),1,0))</f>
        <v>#REF!</v>
      </c>
      <c r="V251" s="5" t="e">
        <f>IF(AND(#REF!&gt;=table!$C$11,#REF!&lt;= table!$D$11),-1,IF(AND(#REF!&gt;=table!$E$11,#REF!&lt;=table!$F$11),1,0))</f>
        <v>#REF!</v>
      </c>
      <c r="W251" s="5" t="e">
        <f>CONCATENATE(dados[[#This Row],[fator1]],dados[[#This Row],[fator5]],dados[[#This Row],[fator6]])</f>
        <v>#REF!</v>
      </c>
    </row>
    <row r="252" spans="1:23">
      <c r="A252" t="s">
        <v>16</v>
      </c>
      <c r="B252">
        <v>481405</v>
      </c>
      <c r="C252">
        <v>11</v>
      </c>
      <c r="D252">
        <v>35</v>
      </c>
      <c r="E252">
        <v>45</v>
      </c>
      <c r="F252">
        <v>9</v>
      </c>
      <c r="G252">
        <v>0</v>
      </c>
      <c r="H252">
        <v>25</v>
      </c>
      <c r="I252">
        <v>435</v>
      </c>
      <c r="J252">
        <v>0</v>
      </c>
      <c r="K252">
        <v>4.7650000000000006</v>
      </c>
      <c r="L252">
        <v>15.05</v>
      </c>
      <c r="M252">
        <v>42.75</v>
      </c>
      <c r="N252">
        <v>18.350000000000001</v>
      </c>
      <c r="O252">
        <v>1676</v>
      </c>
      <c r="P252">
        <v>0</v>
      </c>
      <c r="Q252" s="5" t="e">
        <f>IF(AND(#REF!&gt;=table!$C$6,#REF!&lt;= table!$D$6),-1,IF(AND(#REF!&gt;=table!$E$6,#REF!&lt;=table!$F$6),1,0))</f>
        <v>#REF!</v>
      </c>
      <c r="R252" s="5" t="e">
        <f>IF(AND(#REF!&gt;=table!$C$7,#REF!&lt;= table!$D$7),-1,IF(AND(#REF!&gt;=table!$E$7,#REF!&lt;=table!$F$7),1,0))</f>
        <v>#REF!</v>
      </c>
      <c r="S252" s="5" t="e">
        <f>IF(AND(#REF!&gt;=table!$C$8,#REF!&lt;= table!$D$8),-1,IF(AND(#REF!&gt;=table!$E$8,#REF!&lt;=table!$F$8),1,0))</f>
        <v>#REF!</v>
      </c>
      <c r="T252" s="5"/>
      <c r="U252" s="5" t="e">
        <f>IF(AND(#REF!&gt;=table!$C$10,#REF!&lt;= table!$D$10),-1,IF(AND(#REF!&gt;=table!$E$10,#REF!&lt;=table!$F$10),1,0))</f>
        <v>#REF!</v>
      </c>
      <c r="V252" s="5" t="e">
        <f>IF(AND(#REF!&gt;=table!$C$11,#REF!&lt;= table!$D$11),-1,IF(AND(#REF!&gt;=table!$E$11,#REF!&lt;=table!$F$11),1,0))</f>
        <v>#REF!</v>
      </c>
      <c r="W252" s="5" t="e">
        <f>CONCATENATE(dados[[#This Row],[fator1]],dados[[#This Row],[fator5]],dados[[#This Row],[fator6]])</f>
        <v>#REF!</v>
      </c>
    </row>
    <row r="253" spans="1:23">
      <c r="A253" t="s">
        <v>17</v>
      </c>
      <c r="B253">
        <v>481406</v>
      </c>
      <c r="C253">
        <v>14</v>
      </c>
      <c r="D253">
        <v>25</v>
      </c>
      <c r="E253">
        <v>130</v>
      </c>
      <c r="F253">
        <v>9</v>
      </c>
      <c r="G253">
        <v>110</v>
      </c>
      <c r="H253">
        <v>50</v>
      </c>
      <c r="I253">
        <v>0</v>
      </c>
      <c r="J253">
        <v>620</v>
      </c>
      <c r="K253">
        <v>2.97</v>
      </c>
      <c r="L253">
        <v>10.3</v>
      </c>
      <c r="M253">
        <v>109.3</v>
      </c>
      <c r="N253">
        <v>19.95</v>
      </c>
      <c r="O253">
        <v>1651</v>
      </c>
      <c r="P253">
        <v>0</v>
      </c>
      <c r="Q253" s="5" t="e">
        <f>IF(AND(#REF!&gt;=table!$C$6,#REF!&lt;= table!$D$6),-1,IF(AND(#REF!&gt;=table!$E$6,#REF!&lt;=table!$F$6),1,0))</f>
        <v>#REF!</v>
      </c>
      <c r="R253" s="5" t="e">
        <f>IF(AND(#REF!&gt;=table!$C$7,#REF!&lt;= table!$D$7),-1,IF(AND(#REF!&gt;=table!$E$7,#REF!&lt;=table!$F$7),1,0))</f>
        <v>#REF!</v>
      </c>
      <c r="S253" s="5" t="e">
        <f>IF(AND(#REF!&gt;=table!$C$8,#REF!&lt;= table!$D$8),-1,IF(AND(#REF!&gt;=table!$E$8,#REF!&lt;=table!$F$8),1,0))</f>
        <v>#REF!</v>
      </c>
      <c r="T253" s="5"/>
      <c r="U253" s="5" t="e">
        <f>IF(AND(#REF!&gt;=table!$C$10,#REF!&lt;= table!$D$10),-1,IF(AND(#REF!&gt;=table!$E$10,#REF!&lt;=table!$F$10),1,0))</f>
        <v>#REF!</v>
      </c>
      <c r="V253" s="5" t="e">
        <f>IF(AND(#REF!&gt;=table!$C$11,#REF!&lt;= table!$D$11),-1,IF(AND(#REF!&gt;=table!$E$11,#REF!&lt;=table!$F$11),1,0))</f>
        <v>#REF!</v>
      </c>
      <c r="W253" s="5" t="e">
        <f>CONCATENATE(dados[[#This Row],[fator1]],dados[[#This Row],[fator5]],dados[[#This Row],[fator6]])</f>
        <v>#REF!</v>
      </c>
    </row>
    <row r="254" spans="1:23">
      <c r="A254" t="s">
        <v>16</v>
      </c>
      <c r="B254">
        <v>481410</v>
      </c>
      <c r="C254">
        <v>3</v>
      </c>
      <c r="D254">
        <v>30</v>
      </c>
      <c r="E254">
        <v>21</v>
      </c>
      <c r="F254">
        <v>15</v>
      </c>
      <c r="G254">
        <v>0</v>
      </c>
      <c r="H254">
        <v>25</v>
      </c>
      <c r="I254">
        <v>591</v>
      </c>
      <c r="J254">
        <v>0</v>
      </c>
      <c r="K254">
        <v>5.84</v>
      </c>
      <c r="L254">
        <v>13.665000000000001</v>
      </c>
      <c r="M254">
        <v>13.6</v>
      </c>
      <c r="N254">
        <v>9.2000000000000011</v>
      </c>
      <c r="O254">
        <v>1665</v>
      </c>
      <c r="P254">
        <v>528</v>
      </c>
      <c r="Q254" s="5" t="e">
        <f>IF(AND(#REF!&gt;=table!$C$6,#REF!&lt;= table!$D$6),-1,IF(AND(#REF!&gt;=table!$E$6,#REF!&lt;=table!$F$6),1,0))</f>
        <v>#REF!</v>
      </c>
      <c r="R254" s="5" t="e">
        <f>IF(AND(#REF!&gt;=table!$C$7,#REF!&lt;= table!$D$7),-1,IF(AND(#REF!&gt;=table!$E$7,#REF!&lt;=table!$F$7),1,0))</f>
        <v>#REF!</v>
      </c>
      <c r="S254" s="5" t="e">
        <f>IF(AND(#REF!&gt;=table!$C$8,#REF!&lt;= table!$D$8),-1,IF(AND(#REF!&gt;=table!$E$8,#REF!&lt;=table!$F$8),1,0))</f>
        <v>#REF!</v>
      </c>
      <c r="T254" s="5"/>
      <c r="U254" s="5" t="e">
        <f>IF(AND(#REF!&gt;=table!$C$10,#REF!&lt;= table!$D$10),-1,IF(AND(#REF!&gt;=table!$E$10,#REF!&lt;=table!$F$10),1,0))</f>
        <v>#REF!</v>
      </c>
      <c r="V254" s="5" t="e">
        <f>IF(AND(#REF!&gt;=table!$C$11,#REF!&lt;= table!$D$11),-1,IF(AND(#REF!&gt;=table!$E$11,#REF!&lt;=table!$F$11),1,0))</f>
        <v>#REF!</v>
      </c>
      <c r="W254" s="5" t="e">
        <f>CONCATENATE(dados[[#This Row],[fator1]],dados[[#This Row],[fator5]],dados[[#This Row],[fator6]])</f>
        <v>#REF!</v>
      </c>
    </row>
    <row r="255" spans="1:23">
      <c r="A255" t="s">
        <v>17</v>
      </c>
      <c r="B255">
        <v>481412</v>
      </c>
      <c r="C255">
        <v>0.15</v>
      </c>
      <c r="D255">
        <v>500</v>
      </c>
      <c r="E255">
        <v>50</v>
      </c>
      <c r="F255">
        <v>10</v>
      </c>
      <c r="G255">
        <v>80</v>
      </c>
      <c r="H255">
        <v>30</v>
      </c>
      <c r="I255">
        <v>218</v>
      </c>
      <c r="J255">
        <v>0</v>
      </c>
      <c r="K255">
        <v>3.0050000000000003</v>
      </c>
      <c r="L255">
        <v>12.8</v>
      </c>
      <c r="M255">
        <v>10.565000000000001</v>
      </c>
      <c r="N255">
        <v>11.785</v>
      </c>
      <c r="O255">
        <v>1682</v>
      </c>
      <c r="P255">
        <v>0</v>
      </c>
      <c r="Q255" s="5" t="e">
        <f>IF(AND(#REF!&gt;=table!$C$6,#REF!&lt;= table!$D$6),-1,IF(AND(#REF!&gt;=table!$E$6,#REF!&lt;=table!$F$6),1,0))</f>
        <v>#REF!</v>
      </c>
      <c r="R255" s="5" t="e">
        <f>IF(AND(#REF!&gt;=table!$C$7,#REF!&lt;= table!$D$7),-1,IF(AND(#REF!&gt;=table!$E$7,#REF!&lt;=table!$F$7),1,0))</f>
        <v>#REF!</v>
      </c>
      <c r="S255" s="5" t="e">
        <f>IF(AND(#REF!&gt;=table!$C$8,#REF!&lt;= table!$D$8),-1,IF(AND(#REF!&gt;=table!$E$8,#REF!&lt;=table!$F$8),1,0))</f>
        <v>#REF!</v>
      </c>
      <c r="T255" s="5"/>
      <c r="U255" s="5" t="e">
        <f>IF(AND(#REF!&gt;=table!$C$10,#REF!&lt;= table!$D$10),-1,IF(AND(#REF!&gt;=table!$E$10,#REF!&lt;=table!$F$10),1,0))</f>
        <v>#REF!</v>
      </c>
      <c r="V255" s="5" t="e">
        <f>IF(AND(#REF!&gt;=table!$C$11,#REF!&lt;= table!$D$11),-1,IF(AND(#REF!&gt;=table!$E$11,#REF!&lt;=table!$F$11),1,0))</f>
        <v>#REF!</v>
      </c>
      <c r="W255" s="5" t="e">
        <f>CONCATENATE(dados[[#This Row],[fator1]],dados[[#This Row],[fator5]],dados[[#This Row],[fator6]])</f>
        <v>#REF!</v>
      </c>
    </row>
    <row r="256" spans="1:23">
      <c r="A256" t="s">
        <v>17</v>
      </c>
      <c r="B256">
        <v>481414</v>
      </c>
      <c r="C256">
        <v>14</v>
      </c>
      <c r="D256">
        <v>30</v>
      </c>
      <c r="E256">
        <v>110</v>
      </c>
      <c r="F256">
        <v>4</v>
      </c>
      <c r="G256">
        <v>20</v>
      </c>
      <c r="H256">
        <v>22</v>
      </c>
      <c r="I256">
        <v>1301</v>
      </c>
      <c r="J256">
        <v>0</v>
      </c>
      <c r="K256">
        <v>4.46</v>
      </c>
      <c r="L256">
        <v>12.75</v>
      </c>
      <c r="M256">
        <v>67.89500000000001</v>
      </c>
      <c r="N256">
        <v>10.050000000000001</v>
      </c>
      <c r="O256">
        <v>1679</v>
      </c>
      <c r="P256">
        <v>530</v>
      </c>
      <c r="Q256" s="5" t="e">
        <f>IF(AND(#REF!&gt;=table!$C$6,#REF!&lt;= table!$D$6),-1,IF(AND(#REF!&gt;=table!$E$6,#REF!&lt;=table!$F$6),1,0))</f>
        <v>#REF!</v>
      </c>
      <c r="R256" s="5" t="e">
        <f>IF(AND(#REF!&gt;=table!$C$7,#REF!&lt;= table!$D$7),-1,IF(AND(#REF!&gt;=table!$E$7,#REF!&lt;=table!$F$7),1,0))</f>
        <v>#REF!</v>
      </c>
      <c r="S256" s="5" t="e">
        <f>IF(AND(#REF!&gt;=table!$C$8,#REF!&lt;= table!$D$8),-1,IF(AND(#REF!&gt;=table!$E$8,#REF!&lt;=table!$F$8),1,0))</f>
        <v>#REF!</v>
      </c>
      <c r="T256" s="5"/>
      <c r="U256" s="5" t="e">
        <f>IF(AND(#REF!&gt;=table!$C$10,#REF!&lt;= table!$D$10),-1,IF(AND(#REF!&gt;=table!$E$10,#REF!&lt;=table!$F$10),1,0))</f>
        <v>#REF!</v>
      </c>
      <c r="V256" s="5" t="e">
        <f>IF(AND(#REF!&gt;=table!$C$11,#REF!&lt;= table!$D$11),-1,IF(AND(#REF!&gt;=table!$E$11,#REF!&lt;=table!$F$11),1,0))</f>
        <v>#REF!</v>
      </c>
      <c r="W256" s="5" t="e">
        <f>CONCATENATE(dados[[#This Row],[fator1]],dados[[#This Row],[fator5]],dados[[#This Row],[fator6]])</f>
        <v>#REF!</v>
      </c>
    </row>
    <row r="257" spans="1:23">
      <c r="A257" t="s">
        <v>17</v>
      </c>
      <c r="B257">
        <v>481416</v>
      </c>
      <c r="C257">
        <v>16</v>
      </c>
      <c r="D257">
        <v>25</v>
      </c>
      <c r="E257">
        <v>56</v>
      </c>
      <c r="F257">
        <v>10</v>
      </c>
      <c r="G257">
        <v>13</v>
      </c>
      <c r="H257">
        <v>25</v>
      </c>
      <c r="I257">
        <v>2</v>
      </c>
      <c r="J257">
        <v>0</v>
      </c>
      <c r="K257">
        <v>6.9250000000000007</v>
      </c>
      <c r="L257">
        <v>17.11</v>
      </c>
      <c r="M257">
        <v>48.04</v>
      </c>
      <c r="N257">
        <v>13.120000000000001</v>
      </c>
      <c r="O257">
        <v>1635</v>
      </c>
      <c r="P257">
        <v>322</v>
      </c>
      <c r="Q257" s="5" t="e">
        <f>IF(AND(#REF!&gt;=table!$C$6,#REF!&lt;= table!$D$6),-1,IF(AND(#REF!&gt;=table!$E$6,#REF!&lt;=table!$F$6),1,0))</f>
        <v>#REF!</v>
      </c>
      <c r="R257" s="5" t="e">
        <f>IF(AND(#REF!&gt;=table!$C$7,#REF!&lt;= table!$D$7),-1,IF(AND(#REF!&gt;=table!$E$7,#REF!&lt;=table!$F$7),1,0))</f>
        <v>#REF!</v>
      </c>
      <c r="S257" s="5" t="e">
        <f>IF(AND(#REF!&gt;=table!$C$8,#REF!&lt;= table!$D$8),-1,IF(AND(#REF!&gt;=table!$E$8,#REF!&lt;=table!$F$8),1,0))</f>
        <v>#REF!</v>
      </c>
      <c r="T257" s="5"/>
      <c r="U257" s="5" t="e">
        <f>IF(AND(#REF!&gt;=table!$C$10,#REF!&lt;= table!$D$10),-1,IF(AND(#REF!&gt;=table!$E$10,#REF!&lt;=table!$F$10),1,0))</f>
        <v>#REF!</v>
      </c>
      <c r="V257" s="5" t="e">
        <f>IF(AND(#REF!&gt;=table!$C$11,#REF!&lt;= table!$D$11),-1,IF(AND(#REF!&gt;=table!$E$11,#REF!&lt;=table!$F$11),1,0))</f>
        <v>#REF!</v>
      </c>
      <c r="W257" s="5" t="e">
        <f>CONCATENATE(dados[[#This Row],[fator1]],dados[[#This Row],[fator5]],dados[[#This Row],[fator6]])</f>
        <v>#REF!</v>
      </c>
    </row>
    <row r="258" spans="1:23">
      <c r="A258" t="s">
        <v>17</v>
      </c>
      <c r="B258">
        <v>481417</v>
      </c>
      <c r="C258">
        <v>18</v>
      </c>
      <c r="D258">
        <v>33</v>
      </c>
      <c r="E258">
        <v>120</v>
      </c>
      <c r="F258">
        <v>4</v>
      </c>
      <c r="G258">
        <v>28</v>
      </c>
      <c r="H258">
        <v>25</v>
      </c>
      <c r="I258">
        <v>1078</v>
      </c>
      <c r="J258">
        <v>0</v>
      </c>
      <c r="K258">
        <v>7.74</v>
      </c>
      <c r="L258">
        <v>15.65</v>
      </c>
      <c r="M258">
        <v>58.050000000000004</v>
      </c>
      <c r="N258">
        <v>11.35</v>
      </c>
      <c r="O258">
        <v>1652</v>
      </c>
      <c r="P258">
        <v>369</v>
      </c>
      <c r="Q258" s="5" t="e">
        <f>IF(AND(#REF!&gt;=table!$C$6,#REF!&lt;= table!$D$6),-1,IF(AND(#REF!&gt;=table!$E$6,#REF!&lt;=table!$F$6),1,0))</f>
        <v>#REF!</v>
      </c>
      <c r="R258" s="5" t="e">
        <f>IF(AND(#REF!&gt;=table!$C$7,#REF!&lt;= table!$D$7),-1,IF(AND(#REF!&gt;=table!$E$7,#REF!&lt;=table!$F$7),1,0))</f>
        <v>#REF!</v>
      </c>
      <c r="S258" s="5" t="e">
        <f>IF(AND(#REF!&gt;=table!$C$8,#REF!&lt;= table!$D$8),-1,IF(AND(#REF!&gt;=table!$E$8,#REF!&lt;=table!$F$8),1,0))</f>
        <v>#REF!</v>
      </c>
      <c r="T258" s="5"/>
      <c r="U258" s="5" t="e">
        <f>IF(AND(#REF!&gt;=table!$C$10,#REF!&lt;= table!$D$10),-1,IF(AND(#REF!&gt;=table!$E$10,#REF!&lt;=table!$F$10),1,0))</f>
        <v>#REF!</v>
      </c>
      <c r="V258" s="5" t="e">
        <f>IF(AND(#REF!&gt;=table!$C$11,#REF!&lt;= table!$D$11),-1,IF(AND(#REF!&gt;=table!$E$11,#REF!&lt;=table!$F$11),1,0))</f>
        <v>#REF!</v>
      </c>
      <c r="W258" s="5" t="e">
        <f>CONCATENATE(dados[[#This Row],[fator1]],dados[[#This Row],[fator5]],dados[[#This Row],[fator6]])</f>
        <v>#REF!</v>
      </c>
    </row>
    <row r="259" spans="1:23">
      <c r="A259" t="s">
        <v>17</v>
      </c>
      <c r="B259">
        <v>481418</v>
      </c>
      <c r="C259">
        <v>10</v>
      </c>
      <c r="D259">
        <v>25</v>
      </c>
      <c r="E259">
        <v>134</v>
      </c>
      <c r="F259">
        <v>9</v>
      </c>
      <c r="G259">
        <v>110</v>
      </c>
      <c r="H259">
        <v>50</v>
      </c>
      <c r="I259">
        <v>0</v>
      </c>
      <c r="J259">
        <v>0</v>
      </c>
      <c r="K259">
        <v>2.94</v>
      </c>
      <c r="L259">
        <v>16.399999999999999</v>
      </c>
      <c r="M259">
        <v>106.60000000000001</v>
      </c>
      <c r="N259">
        <v>33.549999999999997</v>
      </c>
      <c r="O259">
        <v>1682</v>
      </c>
      <c r="P259">
        <v>818</v>
      </c>
      <c r="Q259" s="5" t="e">
        <f>IF(AND(#REF!&gt;=table!$C$6,#REF!&lt;= table!$D$6),-1,IF(AND(#REF!&gt;=table!$E$6,#REF!&lt;=table!$F$6),1,0))</f>
        <v>#REF!</v>
      </c>
      <c r="R259" s="5" t="e">
        <f>IF(AND(#REF!&gt;=table!$C$7,#REF!&lt;= table!$D$7),-1,IF(AND(#REF!&gt;=table!$E$7,#REF!&lt;=table!$F$7),1,0))</f>
        <v>#REF!</v>
      </c>
      <c r="S259" s="5" t="e">
        <f>IF(AND(#REF!&gt;=table!$C$8,#REF!&lt;= table!$D$8),-1,IF(AND(#REF!&gt;=table!$E$8,#REF!&lt;=table!$F$8),1,0))</f>
        <v>#REF!</v>
      </c>
      <c r="T259" s="5"/>
      <c r="U259" s="5" t="e">
        <f>IF(AND(#REF!&gt;=table!$C$10,#REF!&lt;= table!$D$10),-1,IF(AND(#REF!&gt;=table!$E$10,#REF!&lt;=table!$F$10),1,0))</f>
        <v>#REF!</v>
      </c>
      <c r="V259" s="5" t="e">
        <f>IF(AND(#REF!&gt;=table!$C$11,#REF!&lt;= table!$D$11),-1,IF(AND(#REF!&gt;=table!$E$11,#REF!&lt;=table!$F$11),1,0))</f>
        <v>#REF!</v>
      </c>
      <c r="W259" s="5" t="e">
        <f>CONCATENATE(dados[[#This Row],[fator1]],dados[[#This Row],[fator5]],dados[[#This Row],[fator6]])</f>
        <v>#REF!</v>
      </c>
    </row>
    <row r="260" spans="1:23">
      <c r="A260" t="s">
        <v>17</v>
      </c>
      <c r="B260">
        <v>481419</v>
      </c>
      <c r="C260">
        <v>12</v>
      </c>
      <c r="D260">
        <v>25</v>
      </c>
      <c r="E260">
        <v>120</v>
      </c>
      <c r="F260">
        <v>9</v>
      </c>
      <c r="G260">
        <v>110</v>
      </c>
      <c r="H260">
        <v>50</v>
      </c>
      <c r="I260">
        <v>176</v>
      </c>
      <c r="J260">
        <v>0</v>
      </c>
      <c r="K260">
        <v>4.3849999999999998</v>
      </c>
      <c r="L260">
        <v>11.4</v>
      </c>
      <c r="M260">
        <v>105.7</v>
      </c>
      <c r="N260">
        <v>35.200000000000003</v>
      </c>
      <c r="O260">
        <v>1695</v>
      </c>
      <c r="P260">
        <v>755</v>
      </c>
      <c r="Q260" s="5" t="e">
        <f>IF(AND(#REF!&gt;=table!$C$6,#REF!&lt;= table!$D$6),-1,IF(AND(#REF!&gt;=table!$E$6,#REF!&lt;=table!$F$6),1,0))</f>
        <v>#REF!</v>
      </c>
      <c r="R260" s="5" t="e">
        <f>IF(AND(#REF!&gt;=table!$C$7,#REF!&lt;= table!$D$7),-1,IF(AND(#REF!&gt;=table!$E$7,#REF!&lt;=table!$F$7),1,0))</f>
        <v>#REF!</v>
      </c>
      <c r="S260" s="5" t="e">
        <f>IF(AND(#REF!&gt;=table!$C$8,#REF!&lt;= table!$D$8),-1,IF(AND(#REF!&gt;=table!$E$8,#REF!&lt;=table!$F$8),1,0))</f>
        <v>#REF!</v>
      </c>
      <c r="T260" s="5"/>
      <c r="U260" s="5" t="e">
        <f>IF(AND(#REF!&gt;=table!$C$10,#REF!&lt;= table!$D$10),-1,IF(AND(#REF!&gt;=table!$E$10,#REF!&lt;=table!$F$10),1,0))</f>
        <v>#REF!</v>
      </c>
      <c r="V260" s="5" t="e">
        <f>IF(AND(#REF!&gt;=table!$C$11,#REF!&lt;= table!$D$11),-1,IF(AND(#REF!&gt;=table!$E$11,#REF!&lt;=table!$F$11),1,0))</f>
        <v>#REF!</v>
      </c>
      <c r="W260" s="5" t="e">
        <f>CONCATENATE(dados[[#This Row],[fator1]],dados[[#This Row],[fator5]],dados[[#This Row],[fator6]])</f>
        <v>#REF!</v>
      </c>
    </row>
    <row r="261" spans="1:23">
      <c r="A261" t="s">
        <v>17</v>
      </c>
      <c r="B261">
        <v>481420</v>
      </c>
      <c r="C261">
        <v>10</v>
      </c>
      <c r="D261">
        <v>25</v>
      </c>
      <c r="E261">
        <v>80</v>
      </c>
      <c r="F261">
        <v>10</v>
      </c>
      <c r="G261">
        <v>110</v>
      </c>
      <c r="H261">
        <v>50</v>
      </c>
      <c r="I261">
        <v>86</v>
      </c>
      <c r="J261">
        <v>0</v>
      </c>
      <c r="K261">
        <v>3.91</v>
      </c>
      <c r="L261">
        <v>11.1</v>
      </c>
      <c r="M261">
        <v>89.7</v>
      </c>
      <c r="N261">
        <v>34.800000000000004</v>
      </c>
      <c r="O261">
        <v>1668</v>
      </c>
      <c r="P261">
        <v>697</v>
      </c>
      <c r="Q261" s="5" t="e">
        <f>IF(AND(#REF!&gt;=table!$C$6,#REF!&lt;= table!$D$6),-1,IF(AND(#REF!&gt;=table!$E$6,#REF!&lt;=table!$F$6),1,0))</f>
        <v>#REF!</v>
      </c>
      <c r="R261" s="5" t="e">
        <f>IF(AND(#REF!&gt;=table!$C$7,#REF!&lt;= table!$D$7),-1,IF(AND(#REF!&gt;=table!$E$7,#REF!&lt;=table!$F$7),1,0))</f>
        <v>#REF!</v>
      </c>
      <c r="S261" s="5" t="e">
        <f>IF(AND(#REF!&gt;=table!$C$8,#REF!&lt;= table!$D$8),-1,IF(AND(#REF!&gt;=table!$E$8,#REF!&lt;=table!$F$8),1,0))</f>
        <v>#REF!</v>
      </c>
      <c r="T261" s="5"/>
      <c r="U261" s="5" t="e">
        <f>IF(AND(#REF!&gt;=table!$C$10,#REF!&lt;= table!$D$10),-1,IF(AND(#REF!&gt;=table!$E$10,#REF!&lt;=table!$F$10),1,0))</f>
        <v>#REF!</v>
      </c>
      <c r="V261" s="5" t="e">
        <f>IF(AND(#REF!&gt;=table!$C$11,#REF!&lt;= table!$D$11),-1,IF(AND(#REF!&gt;=table!$E$11,#REF!&lt;=table!$F$11),1,0))</f>
        <v>#REF!</v>
      </c>
      <c r="W261" s="5" t="e">
        <f>CONCATENATE(dados[[#This Row],[fator1]],dados[[#This Row],[fator5]],dados[[#This Row],[fator6]])</f>
        <v>#REF!</v>
      </c>
    </row>
    <row r="262" spans="1:23">
      <c r="A262" t="s">
        <v>17</v>
      </c>
      <c r="B262">
        <v>481421</v>
      </c>
      <c r="C262">
        <v>10</v>
      </c>
      <c r="D262">
        <v>25</v>
      </c>
      <c r="E262">
        <v>40</v>
      </c>
      <c r="F262">
        <v>10</v>
      </c>
      <c r="G262">
        <v>110</v>
      </c>
      <c r="H262">
        <v>50</v>
      </c>
      <c r="I262">
        <v>2</v>
      </c>
      <c r="J262">
        <v>0</v>
      </c>
      <c r="K262">
        <v>4.57</v>
      </c>
      <c r="L262">
        <v>13.950000000000001</v>
      </c>
      <c r="M262">
        <v>36.25</v>
      </c>
      <c r="N262">
        <v>24.6</v>
      </c>
      <c r="O262">
        <v>1715</v>
      </c>
      <c r="P262">
        <v>627</v>
      </c>
      <c r="Q262" s="5" t="e">
        <f>IF(AND(#REF!&gt;=table!$C$6,#REF!&lt;= table!$D$6),-1,IF(AND(#REF!&gt;=table!$E$6,#REF!&lt;=table!$F$6),1,0))</f>
        <v>#REF!</v>
      </c>
      <c r="R262" s="5" t="e">
        <f>IF(AND(#REF!&gt;=table!$C$7,#REF!&lt;= table!$D$7),-1,IF(AND(#REF!&gt;=table!$E$7,#REF!&lt;=table!$F$7),1,0))</f>
        <v>#REF!</v>
      </c>
      <c r="S262" s="5" t="e">
        <f>IF(AND(#REF!&gt;=table!$C$8,#REF!&lt;= table!$D$8),-1,IF(AND(#REF!&gt;=table!$E$8,#REF!&lt;=table!$F$8),1,0))</f>
        <v>#REF!</v>
      </c>
      <c r="T262" s="5"/>
      <c r="U262" s="5" t="e">
        <f>IF(AND(#REF!&gt;=table!$C$10,#REF!&lt;= table!$D$10),-1,IF(AND(#REF!&gt;=table!$E$10,#REF!&lt;=table!$F$10),1,0))</f>
        <v>#REF!</v>
      </c>
      <c r="V262" s="5" t="e">
        <f>IF(AND(#REF!&gt;=table!$C$11,#REF!&lt;= table!$D$11),-1,IF(AND(#REF!&gt;=table!$E$11,#REF!&lt;=table!$F$11),1,0))</f>
        <v>#REF!</v>
      </c>
      <c r="W262" s="5" t="e">
        <f>CONCATENATE(dados[[#This Row],[fator1]],dados[[#This Row],[fator5]],dados[[#This Row],[fator6]])</f>
        <v>#REF!</v>
      </c>
    </row>
    <row r="263" spans="1:23">
      <c r="A263" t="s">
        <v>16</v>
      </c>
      <c r="B263">
        <v>481426</v>
      </c>
      <c r="C263">
        <v>8</v>
      </c>
      <c r="D263">
        <v>30</v>
      </c>
      <c r="E263">
        <v>145</v>
      </c>
      <c r="F263">
        <v>9</v>
      </c>
      <c r="G263">
        <v>0</v>
      </c>
      <c r="H263">
        <v>25</v>
      </c>
      <c r="I263">
        <v>711</v>
      </c>
      <c r="J263">
        <v>0</v>
      </c>
      <c r="K263">
        <v>4.71</v>
      </c>
      <c r="L263">
        <v>12.5</v>
      </c>
      <c r="M263">
        <v>117.9</v>
      </c>
      <c r="N263">
        <v>13</v>
      </c>
      <c r="O263">
        <v>1661</v>
      </c>
      <c r="P263">
        <v>0</v>
      </c>
      <c r="Q263" s="5" t="e">
        <f>IF(AND(#REF!&gt;=table!$C$6,#REF!&lt;= table!$D$6),-1,IF(AND(#REF!&gt;=table!$E$6,#REF!&lt;=table!$F$6),1,0))</f>
        <v>#REF!</v>
      </c>
      <c r="R263" s="5" t="e">
        <f>IF(AND(#REF!&gt;=table!$C$7,#REF!&lt;= table!$D$7),-1,IF(AND(#REF!&gt;=table!$E$7,#REF!&lt;=table!$F$7),1,0))</f>
        <v>#REF!</v>
      </c>
      <c r="S263" s="5" t="e">
        <f>IF(AND(#REF!&gt;=table!$C$8,#REF!&lt;= table!$D$8),-1,IF(AND(#REF!&gt;=table!$E$8,#REF!&lt;=table!$F$8),1,0))</f>
        <v>#REF!</v>
      </c>
      <c r="T263" s="5"/>
      <c r="U263" s="5" t="e">
        <f>IF(AND(#REF!&gt;=table!$C$10,#REF!&lt;= table!$D$10),-1,IF(AND(#REF!&gt;=table!$E$10,#REF!&lt;=table!$F$10),1,0))</f>
        <v>#REF!</v>
      </c>
      <c r="V263" s="5" t="e">
        <f>IF(AND(#REF!&gt;=table!$C$11,#REF!&lt;= table!$D$11),-1,IF(AND(#REF!&gt;=table!$E$11,#REF!&lt;=table!$F$11),1,0))</f>
        <v>#REF!</v>
      </c>
      <c r="W263" s="5" t="e">
        <f>CONCATENATE(dados[[#This Row],[fator1]],dados[[#This Row],[fator5]],dados[[#This Row],[fator6]])</f>
        <v>#REF!</v>
      </c>
    </row>
    <row r="264" spans="1:23">
      <c r="A264" t="s">
        <v>16</v>
      </c>
      <c r="B264">
        <v>481427</v>
      </c>
      <c r="C264">
        <v>10</v>
      </c>
      <c r="D264">
        <v>45</v>
      </c>
      <c r="E264">
        <v>156</v>
      </c>
      <c r="F264">
        <v>8</v>
      </c>
      <c r="G264">
        <v>0</v>
      </c>
      <c r="H264">
        <v>25</v>
      </c>
      <c r="I264">
        <v>2</v>
      </c>
      <c r="J264">
        <v>0</v>
      </c>
      <c r="K264">
        <v>3.22</v>
      </c>
      <c r="L264">
        <v>15.1</v>
      </c>
      <c r="M264">
        <v>82.285000000000011</v>
      </c>
      <c r="N264">
        <v>16.09</v>
      </c>
      <c r="O264">
        <v>1661</v>
      </c>
      <c r="P264">
        <v>676</v>
      </c>
      <c r="Q264" s="5" t="e">
        <f>IF(AND(#REF!&gt;=table!$C$6,#REF!&lt;= table!$D$6),-1,IF(AND(#REF!&gt;=table!$E$6,#REF!&lt;=table!$F$6),1,0))</f>
        <v>#REF!</v>
      </c>
      <c r="R264" s="5" t="e">
        <f>IF(AND(#REF!&gt;=table!$C$7,#REF!&lt;= table!$D$7),-1,IF(AND(#REF!&gt;=table!$E$7,#REF!&lt;=table!$F$7),1,0))</f>
        <v>#REF!</v>
      </c>
      <c r="S264" s="5" t="e">
        <f>IF(AND(#REF!&gt;=table!$C$8,#REF!&lt;= table!$D$8),-1,IF(AND(#REF!&gt;=table!$E$8,#REF!&lt;=table!$F$8),1,0))</f>
        <v>#REF!</v>
      </c>
      <c r="T264" s="5"/>
      <c r="U264" s="5" t="e">
        <f>IF(AND(#REF!&gt;=table!$C$10,#REF!&lt;= table!$D$10),-1,IF(AND(#REF!&gt;=table!$E$10,#REF!&lt;=table!$F$10),1,0))</f>
        <v>#REF!</v>
      </c>
      <c r="V264" s="5" t="e">
        <f>IF(AND(#REF!&gt;=table!$C$11,#REF!&lt;= table!$D$11),-1,IF(AND(#REF!&gt;=table!$E$11,#REF!&lt;=table!$F$11),1,0))</f>
        <v>#REF!</v>
      </c>
      <c r="W264" s="5" t="e">
        <f>CONCATENATE(dados[[#This Row],[fator1]],dados[[#This Row],[fator5]],dados[[#This Row],[fator6]])</f>
        <v>#REF!</v>
      </c>
    </row>
    <row r="265" spans="1:23">
      <c r="A265" t="s">
        <v>17</v>
      </c>
      <c r="B265">
        <v>481428</v>
      </c>
      <c r="C265">
        <v>0.15</v>
      </c>
      <c r="D265">
        <v>40</v>
      </c>
      <c r="E265">
        <v>105</v>
      </c>
      <c r="F265">
        <v>10</v>
      </c>
      <c r="G265">
        <v>10</v>
      </c>
      <c r="H265">
        <v>80</v>
      </c>
      <c r="I265">
        <v>1034</v>
      </c>
      <c r="J265">
        <v>0</v>
      </c>
      <c r="K265">
        <v>2.915</v>
      </c>
      <c r="L265">
        <v>15.75</v>
      </c>
      <c r="M265">
        <v>13.255000000000001</v>
      </c>
      <c r="N265">
        <v>38.270000000000003</v>
      </c>
      <c r="O265">
        <v>1696</v>
      </c>
      <c r="P265">
        <v>797</v>
      </c>
      <c r="Q265" s="5" t="e">
        <f>IF(AND(#REF!&gt;=table!$C$6,#REF!&lt;= table!$D$6),-1,IF(AND(#REF!&gt;=table!$E$6,#REF!&lt;=table!$F$6),1,0))</f>
        <v>#REF!</v>
      </c>
      <c r="R265" s="5" t="e">
        <f>IF(AND(#REF!&gt;=table!$C$7,#REF!&lt;= table!$D$7),-1,IF(AND(#REF!&gt;=table!$E$7,#REF!&lt;=table!$F$7),1,0))</f>
        <v>#REF!</v>
      </c>
      <c r="S265" s="5" t="e">
        <f>IF(AND(#REF!&gt;=table!$C$8,#REF!&lt;= table!$D$8),-1,IF(AND(#REF!&gt;=table!$E$8,#REF!&lt;=table!$F$8),1,0))</f>
        <v>#REF!</v>
      </c>
      <c r="T265" s="5"/>
      <c r="U265" s="5" t="e">
        <f>IF(AND(#REF!&gt;=table!$C$10,#REF!&lt;= table!$D$10),-1,IF(AND(#REF!&gt;=table!$E$10,#REF!&lt;=table!$F$10),1,0))</f>
        <v>#REF!</v>
      </c>
      <c r="V265" s="5" t="e">
        <f>IF(AND(#REF!&gt;=table!$C$11,#REF!&lt;= table!$D$11),-1,IF(AND(#REF!&gt;=table!$E$11,#REF!&lt;=table!$F$11),1,0))</f>
        <v>#REF!</v>
      </c>
      <c r="W265" s="5" t="e">
        <f>CONCATENATE(dados[[#This Row],[fator1]],dados[[#This Row],[fator5]],dados[[#This Row],[fator6]])</f>
        <v>#REF!</v>
      </c>
    </row>
    <row r="266" spans="1:23">
      <c r="A266" t="s">
        <v>17</v>
      </c>
      <c r="B266">
        <v>481432</v>
      </c>
      <c r="C266">
        <v>18</v>
      </c>
      <c r="D266">
        <v>30</v>
      </c>
      <c r="E266">
        <v>136</v>
      </c>
      <c r="F266">
        <v>3</v>
      </c>
      <c r="G266">
        <v>20</v>
      </c>
      <c r="H266">
        <v>25</v>
      </c>
      <c r="I266">
        <v>455</v>
      </c>
      <c r="J266">
        <v>480</v>
      </c>
      <c r="K266">
        <v>3.84</v>
      </c>
      <c r="L266">
        <v>5.6000000000000005</v>
      </c>
      <c r="M266">
        <v>145.1</v>
      </c>
      <c r="N266">
        <v>13.85</v>
      </c>
      <c r="O266">
        <v>1643</v>
      </c>
      <c r="P266">
        <v>843</v>
      </c>
      <c r="Q266" s="5" t="e">
        <f>IF(AND(#REF!&gt;=table!$C$6,#REF!&lt;= table!$D$6),-1,IF(AND(#REF!&gt;=table!$E$6,#REF!&lt;=table!$F$6),1,0))</f>
        <v>#REF!</v>
      </c>
      <c r="R266" s="5" t="e">
        <f>IF(AND(#REF!&gt;=table!$C$7,#REF!&lt;= table!$D$7),-1,IF(AND(#REF!&gt;=table!$E$7,#REF!&lt;=table!$F$7),1,0))</f>
        <v>#REF!</v>
      </c>
      <c r="S266" s="5" t="e">
        <f>IF(AND(#REF!&gt;=table!$C$8,#REF!&lt;= table!$D$8),-1,IF(AND(#REF!&gt;=table!$E$8,#REF!&lt;=table!$F$8),1,0))</f>
        <v>#REF!</v>
      </c>
      <c r="T266" s="5"/>
      <c r="U266" s="5" t="e">
        <f>IF(AND(#REF!&gt;=table!$C$10,#REF!&lt;= table!$D$10),-1,IF(AND(#REF!&gt;=table!$E$10,#REF!&lt;=table!$F$10),1,0))</f>
        <v>#REF!</v>
      </c>
      <c r="V266" s="5" t="e">
        <f>IF(AND(#REF!&gt;=table!$C$11,#REF!&lt;= table!$D$11),-1,IF(AND(#REF!&gt;=table!$E$11,#REF!&lt;=table!$F$11),1,0))</f>
        <v>#REF!</v>
      </c>
      <c r="W266" s="5" t="e">
        <f>CONCATENATE(dados[[#This Row],[fator1]],dados[[#This Row],[fator5]],dados[[#This Row],[fator6]])</f>
        <v>#REF!</v>
      </c>
    </row>
    <row r="267" spans="1:23">
      <c r="A267" t="s">
        <v>17</v>
      </c>
      <c r="B267">
        <v>481434</v>
      </c>
      <c r="C267">
        <v>16</v>
      </c>
      <c r="D267">
        <v>33</v>
      </c>
      <c r="E267">
        <v>150</v>
      </c>
      <c r="F267">
        <v>10</v>
      </c>
      <c r="G267">
        <v>15</v>
      </c>
      <c r="H267">
        <v>25</v>
      </c>
      <c r="I267">
        <v>632</v>
      </c>
      <c r="J267">
        <v>0</v>
      </c>
      <c r="K267">
        <v>6.335</v>
      </c>
      <c r="L267">
        <v>14.75</v>
      </c>
      <c r="M267">
        <v>102.85000000000001</v>
      </c>
      <c r="N267">
        <v>18.05</v>
      </c>
      <c r="O267">
        <v>1698</v>
      </c>
      <c r="P267">
        <v>414</v>
      </c>
      <c r="Q267" s="5" t="e">
        <f>IF(AND(#REF!&gt;=table!$C$6,#REF!&lt;= table!$D$6),-1,IF(AND(#REF!&gt;=table!$E$6,#REF!&lt;=table!$F$6),1,0))</f>
        <v>#REF!</v>
      </c>
      <c r="R267" s="5" t="e">
        <f>IF(AND(#REF!&gt;=table!$C$7,#REF!&lt;= table!$D$7),-1,IF(AND(#REF!&gt;=table!$E$7,#REF!&lt;=table!$F$7),1,0))</f>
        <v>#REF!</v>
      </c>
      <c r="S267" s="5" t="e">
        <f>IF(AND(#REF!&gt;=table!$C$8,#REF!&lt;= table!$D$8),-1,IF(AND(#REF!&gt;=table!$E$8,#REF!&lt;=table!$F$8),1,0))</f>
        <v>#REF!</v>
      </c>
      <c r="T267" s="5"/>
      <c r="U267" s="5" t="e">
        <f>IF(AND(#REF!&gt;=table!$C$10,#REF!&lt;= table!$D$10),-1,IF(AND(#REF!&gt;=table!$E$10,#REF!&lt;=table!$F$10),1,0))</f>
        <v>#REF!</v>
      </c>
      <c r="V267" s="5" t="e">
        <f>IF(AND(#REF!&gt;=table!$C$11,#REF!&lt;= table!$D$11),-1,IF(AND(#REF!&gt;=table!$E$11,#REF!&lt;=table!$F$11),1,0))</f>
        <v>#REF!</v>
      </c>
      <c r="W267" s="5" t="e">
        <f>CONCATENATE(dados[[#This Row],[fator1]],dados[[#This Row],[fator5]],dados[[#This Row],[fator6]])</f>
        <v>#REF!</v>
      </c>
    </row>
    <row r="268" spans="1:23">
      <c r="A268" t="s">
        <v>17</v>
      </c>
      <c r="B268">
        <v>481435</v>
      </c>
      <c r="C268">
        <v>13</v>
      </c>
      <c r="D268">
        <v>30</v>
      </c>
      <c r="E268">
        <v>150</v>
      </c>
      <c r="F268">
        <v>4</v>
      </c>
      <c r="G268">
        <v>20</v>
      </c>
      <c r="H268">
        <v>25</v>
      </c>
      <c r="I268">
        <v>1058</v>
      </c>
      <c r="J268">
        <v>0</v>
      </c>
      <c r="K268">
        <v>2.8250000000000002</v>
      </c>
      <c r="L268">
        <v>14.65</v>
      </c>
      <c r="M268">
        <v>34.550000000000004</v>
      </c>
      <c r="N268">
        <v>13.05</v>
      </c>
      <c r="O268">
        <v>1734</v>
      </c>
      <c r="P268">
        <v>0</v>
      </c>
      <c r="Q268" s="5" t="e">
        <f>IF(AND(#REF!&gt;=table!$C$6,#REF!&lt;= table!$D$6),-1,IF(AND(#REF!&gt;=table!$E$6,#REF!&lt;=table!$F$6),1,0))</f>
        <v>#REF!</v>
      </c>
      <c r="R268" s="5" t="e">
        <f>IF(AND(#REF!&gt;=table!$C$7,#REF!&lt;= table!$D$7),-1,IF(AND(#REF!&gt;=table!$E$7,#REF!&lt;=table!$F$7),1,0))</f>
        <v>#REF!</v>
      </c>
      <c r="S268" s="5" t="e">
        <f>IF(AND(#REF!&gt;=table!$C$8,#REF!&lt;= table!$D$8),-1,IF(AND(#REF!&gt;=table!$E$8,#REF!&lt;=table!$F$8),1,0))</f>
        <v>#REF!</v>
      </c>
      <c r="T268" s="5"/>
      <c r="U268" s="5" t="e">
        <f>IF(AND(#REF!&gt;=table!$C$10,#REF!&lt;= table!$D$10),-1,IF(AND(#REF!&gt;=table!$E$10,#REF!&lt;=table!$F$10),1,0))</f>
        <v>#REF!</v>
      </c>
      <c r="V268" s="5" t="e">
        <f>IF(AND(#REF!&gt;=table!$C$11,#REF!&lt;= table!$D$11),-1,IF(AND(#REF!&gt;=table!$E$11,#REF!&lt;=table!$F$11),1,0))</f>
        <v>#REF!</v>
      </c>
      <c r="W268" s="5" t="e">
        <f>CONCATENATE(dados[[#This Row],[fator1]],dados[[#This Row],[fator5]],dados[[#This Row],[fator6]])</f>
        <v>#REF!</v>
      </c>
    </row>
    <row r="269" spans="1:23">
      <c r="A269" t="s">
        <v>17</v>
      </c>
      <c r="B269">
        <v>481436</v>
      </c>
      <c r="C269">
        <v>20</v>
      </c>
      <c r="D269">
        <v>33</v>
      </c>
      <c r="E269">
        <v>100</v>
      </c>
      <c r="F269">
        <v>10</v>
      </c>
      <c r="G269">
        <v>20</v>
      </c>
      <c r="H269">
        <v>25</v>
      </c>
      <c r="I269">
        <v>1240</v>
      </c>
      <c r="J269">
        <v>880</v>
      </c>
      <c r="K269">
        <v>12.92</v>
      </c>
      <c r="L269">
        <v>25.85</v>
      </c>
      <c r="M269">
        <v>91.8</v>
      </c>
      <c r="N269">
        <v>15.25</v>
      </c>
      <c r="O269">
        <v>1671</v>
      </c>
      <c r="P269">
        <v>198</v>
      </c>
      <c r="Q269" s="5" t="e">
        <f>IF(AND(#REF!&gt;=table!$C$6,#REF!&lt;= table!$D$6),-1,IF(AND(#REF!&gt;=table!$E$6,#REF!&lt;=table!$F$6),1,0))</f>
        <v>#REF!</v>
      </c>
      <c r="R269" s="5" t="e">
        <f>IF(AND(#REF!&gt;=table!$C$7,#REF!&lt;= table!$D$7),-1,IF(AND(#REF!&gt;=table!$E$7,#REF!&lt;=table!$F$7),1,0))</f>
        <v>#REF!</v>
      </c>
      <c r="S269" s="5" t="e">
        <f>IF(AND(#REF!&gt;=table!$C$8,#REF!&lt;= table!$D$8),-1,IF(AND(#REF!&gt;=table!$E$8,#REF!&lt;=table!$F$8),1,0))</f>
        <v>#REF!</v>
      </c>
      <c r="T269" s="5"/>
      <c r="U269" s="5" t="e">
        <f>IF(AND(#REF!&gt;=table!$C$10,#REF!&lt;= table!$D$10),-1,IF(AND(#REF!&gt;=table!$E$10,#REF!&lt;=table!$F$10),1,0))</f>
        <v>#REF!</v>
      </c>
      <c r="V269" s="5" t="e">
        <f>IF(AND(#REF!&gt;=table!$C$11,#REF!&lt;= table!$D$11),-1,IF(AND(#REF!&gt;=table!$E$11,#REF!&lt;=table!$F$11),1,0))</f>
        <v>#REF!</v>
      </c>
      <c r="W269" s="5" t="e">
        <f>CONCATENATE(dados[[#This Row],[fator1]],dados[[#This Row],[fator5]],dados[[#This Row],[fator6]])</f>
        <v>#REF!</v>
      </c>
    </row>
    <row r="270" spans="1:23">
      <c r="A270" t="s">
        <v>17</v>
      </c>
      <c r="B270">
        <v>481438</v>
      </c>
      <c r="C270">
        <v>46</v>
      </c>
      <c r="D270">
        <v>18</v>
      </c>
      <c r="E270">
        <v>66</v>
      </c>
      <c r="F270">
        <v>10</v>
      </c>
      <c r="G270">
        <v>20</v>
      </c>
      <c r="H270">
        <v>23</v>
      </c>
      <c r="I270">
        <v>2</v>
      </c>
      <c r="J270">
        <v>0</v>
      </c>
      <c r="K270">
        <v>16.649999999999999</v>
      </c>
      <c r="L270">
        <v>19.600000000000001</v>
      </c>
      <c r="M270">
        <v>63.050000000000004</v>
      </c>
      <c r="N270">
        <v>13.450000000000001</v>
      </c>
      <c r="O270">
        <v>1668</v>
      </c>
      <c r="P270">
        <v>0</v>
      </c>
      <c r="Q270" s="5" t="e">
        <f>IF(AND(#REF!&gt;=table!$C$6,#REF!&lt;= table!$D$6),-1,IF(AND(#REF!&gt;=table!$E$6,#REF!&lt;=table!$F$6),1,0))</f>
        <v>#REF!</v>
      </c>
      <c r="R270" s="5" t="e">
        <f>IF(AND(#REF!&gt;=table!$C$7,#REF!&lt;= table!$D$7),-1,IF(AND(#REF!&gt;=table!$E$7,#REF!&lt;=table!$F$7),1,0))</f>
        <v>#REF!</v>
      </c>
      <c r="S270" s="5" t="e">
        <f>IF(AND(#REF!&gt;=table!$C$8,#REF!&lt;= table!$D$8),-1,IF(AND(#REF!&gt;=table!$E$8,#REF!&lt;=table!$F$8),1,0))</f>
        <v>#REF!</v>
      </c>
      <c r="T270" s="5"/>
      <c r="U270" s="5" t="e">
        <f>IF(AND(#REF!&gt;=table!$C$10,#REF!&lt;= table!$D$10),-1,IF(AND(#REF!&gt;=table!$E$10,#REF!&lt;=table!$F$10),1,0))</f>
        <v>#REF!</v>
      </c>
      <c r="V270" s="5" t="e">
        <f>IF(AND(#REF!&gt;=table!$C$11,#REF!&lt;= table!$D$11),-1,IF(AND(#REF!&gt;=table!$E$11,#REF!&lt;=table!$F$11),1,0))</f>
        <v>#REF!</v>
      </c>
      <c r="W270" s="5" t="e">
        <f>CONCATENATE(dados[[#This Row],[fator1]],dados[[#This Row],[fator5]],dados[[#This Row],[fator6]])</f>
        <v>#REF!</v>
      </c>
    </row>
    <row r="271" spans="1:23">
      <c r="A271" t="s">
        <v>16</v>
      </c>
      <c r="B271">
        <v>481439</v>
      </c>
      <c r="C271">
        <v>7</v>
      </c>
      <c r="D271">
        <v>35</v>
      </c>
      <c r="E271">
        <v>170</v>
      </c>
      <c r="F271">
        <v>6</v>
      </c>
      <c r="G271">
        <v>0</v>
      </c>
      <c r="H271">
        <v>20</v>
      </c>
      <c r="I271">
        <v>1180</v>
      </c>
      <c r="J271">
        <v>860</v>
      </c>
      <c r="K271">
        <v>8.7650000000000006</v>
      </c>
      <c r="L271">
        <v>13.9</v>
      </c>
      <c r="M271">
        <v>92.3</v>
      </c>
      <c r="N271">
        <v>10</v>
      </c>
      <c r="O271">
        <v>1671</v>
      </c>
      <c r="P271">
        <v>0</v>
      </c>
      <c r="Q271" s="5" t="e">
        <f>IF(AND(#REF!&gt;=table!$C$6,#REF!&lt;= table!$D$6),-1,IF(AND(#REF!&gt;=table!$E$6,#REF!&lt;=table!$F$6),1,0))</f>
        <v>#REF!</v>
      </c>
      <c r="R271" s="5" t="e">
        <f>IF(AND(#REF!&gt;=table!$C$7,#REF!&lt;= table!$D$7),-1,IF(AND(#REF!&gt;=table!$E$7,#REF!&lt;=table!$F$7),1,0))</f>
        <v>#REF!</v>
      </c>
      <c r="S271" s="5" t="e">
        <f>IF(AND(#REF!&gt;=table!$C$8,#REF!&lt;= table!$D$8),-1,IF(AND(#REF!&gt;=table!$E$8,#REF!&lt;=table!$F$8),1,0))</f>
        <v>#REF!</v>
      </c>
      <c r="T271" s="5"/>
      <c r="U271" s="5" t="e">
        <f>IF(AND(#REF!&gt;=table!$C$10,#REF!&lt;= table!$D$10),-1,IF(AND(#REF!&gt;=table!$E$10,#REF!&lt;=table!$F$10),1,0))</f>
        <v>#REF!</v>
      </c>
      <c r="V271" s="5" t="e">
        <f>IF(AND(#REF!&gt;=table!$C$11,#REF!&lt;= table!$D$11),-1,IF(AND(#REF!&gt;=table!$E$11,#REF!&lt;=table!$F$11),1,0))</f>
        <v>#REF!</v>
      </c>
      <c r="W271" s="5" t="e">
        <f>CONCATENATE(dados[[#This Row],[fator1]],dados[[#This Row],[fator5]],dados[[#This Row],[fator6]])</f>
        <v>#REF!</v>
      </c>
    </row>
    <row r="272" spans="1:23">
      <c r="A272" t="s">
        <v>16</v>
      </c>
      <c r="B272">
        <v>481440</v>
      </c>
      <c r="C272">
        <v>7</v>
      </c>
      <c r="D272">
        <v>35</v>
      </c>
      <c r="E272">
        <v>170</v>
      </c>
      <c r="F272">
        <v>6</v>
      </c>
      <c r="G272">
        <v>0</v>
      </c>
      <c r="H272">
        <v>20</v>
      </c>
      <c r="I272">
        <v>0</v>
      </c>
      <c r="J272">
        <v>0</v>
      </c>
      <c r="K272">
        <v>3.2850000000000001</v>
      </c>
      <c r="L272">
        <v>8.15</v>
      </c>
      <c r="M272">
        <v>142.35</v>
      </c>
      <c r="N272">
        <v>9.5</v>
      </c>
      <c r="O272">
        <v>1676</v>
      </c>
      <c r="P272">
        <v>842</v>
      </c>
      <c r="Q272" s="5" t="e">
        <f>IF(AND(#REF!&gt;=table!$C$6,#REF!&lt;= table!$D$6),-1,IF(AND(#REF!&gt;=table!$E$6,#REF!&lt;=table!$F$6),1,0))</f>
        <v>#REF!</v>
      </c>
      <c r="R272" s="5" t="e">
        <f>IF(AND(#REF!&gt;=table!$C$7,#REF!&lt;= table!$D$7),-1,IF(AND(#REF!&gt;=table!$E$7,#REF!&lt;=table!$F$7),1,0))</f>
        <v>#REF!</v>
      </c>
      <c r="S272" s="5" t="e">
        <f>IF(AND(#REF!&gt;=table!$C$8,#REF!&lt;= table!$D$8),-1,IF(AND(#REF!&gt;=table!$E$8,#REF!&lt;=table!$F$8),1,0))</f>
        <v>#REF!</v>
      </c>
      <c r="T272" s="5"/>
      <c r="U272" s="5" t="e">
        <f>IF(AND(#REF!&gt;=table!$C$10,#REF!&lt;= table!$D$10),-1,IF(AND(#REF!&gt;=table!$E$10,#REF!&lt;=table!$F$10),1,0))</f>
        <v>#REF!</v>
      </c>
      <c r="V272" s="5" t="e">
        <f>IF(AND(#REF!&gt;=table!$C$11,#REF!&lt;= table!$D$11),-1,IF(AND(#REF!&gt;=table!$E$11,#REF!&lt;=table!$F$11),1,0))</f>
        <v>#REF!</v>
      </c>
      <c r="W272" s="5" t="e">
        <f>CONCATENATE(dados[[#This Row],[fator1]],dados[[#This Row],[fator5]],dados[[#This Row],[fator6]])</f>
        <v>#REF!</v>
      </c>
    </row>
    <row r="273" spans="1:23">
      <c r="A273" t="s">
        <v>16</v>
      </c>
      <c r="B273">
        <v>481442</v>
      </c>
      <c r="C273">
        <v>11</v>
      </c>
      <c r="D273">
        <v>40</v>
      </c>
      <c r="E273">
        <v>151</v>
      </c>
      <c r="F273">
        <v>8</v>
      </c>
      <c r="G273">
        <v>0</v>
      </c>
      <c r="H273">
        <v>25</v>
      </c>
      <c r="I273">
        <v>631</v>
      </c>
      <c r="J273">
        <v>0</v>
      </c>
      <c r="K273">
        <v>6.03</v>
      </c>
      <c r="L273">
        <v>17.400000000000002</v>
      </c>
      <c r="M273">
        <v>139.5</v>
      </c>
      <c r="N273">
        <v>15.65</v>
      </c>
      <c r="O273">
        <v>1678</v>
      </c>
      <c r="P273">
        <v>390</v>
      </c>
      <c r="Q273" s="5" t="e">
        <f>IF(AND(#REF!&gt;=table!$C$6,#REF!&lt;= table!$D$6),-1,IF(AND(#REF!&gt;=table!$E$6,#REF!&lt;=table!$F$6),1,0))</f>
        <v>#REF!</v>
      </c>
      <c r="R273" s="5" t="e">
        <f>IF(AND(#REF!&gt;=table!$C$7,#REF!&lt;= table!$D$7),-1,IF(AND(#REF!&gt;=table!$E$7,#REF!&lt;=table!$F$7),1,0))</f>
        <v>#REF!</v>
      </c>
      <c r="S273" s="5" t="e">
        <f>IF(AND(#REF!&gt;=table!$C$8,#REF!&lt;= table!$D$8),-1,IF(AND(#REF!&gt;=table!$E$8,#REF!&lt;=table!$F$8),1,0))</f>
        <v>#REF!</v>
      </c>
      <c r="T273" s="5"/>
      <c r="U273" s="5" t="e">
        <f>IF(AND(#REF!&gt;=table!$C$10,#REF!&lt;= table!$D$10),-1,IF(AND(#REF!&gt;=table!$E$10,#REF!&lt;=table!$F$10),1,0))</f>
        <v>#REF!</v>
      </c>
      <c r="V273" s="5" t="e">
        <f>IF(AND(#REF!&gt;=table!$C$11,#REF!&lt;= table!$D$11),-1,IF(AND(#REF!&gt;=table!$E$11,#REF!&lt;=table!$F$11),1,0))</f>
        <v>#REF!</v>
      </c>
      <c r="W273" s="5" t="e">
        <f>CONCATENATE(dados[[#This Row],[fator1]],dados[[#This Row],[fator5]],dados[[#This Row],[fator6]])</f>
        <v>#REF!</v>
      </c>
    </row>
    <row r="274" spans="1:23">
      <c r="A274" t="s">
        <v>17</v>
      </c>
      <c r="B274">
        <v>481443</v>
      </c>
      <c r="C274">
        <v>18</v>
      </c>
      <c r="D274">
        <v>23</v>
      </c>
      <c r="E274">
        <v>145</v>
      </c>
      <c r="F274">
        <v>9</v>
      </c>
      <c r="G274">
        <v>30</v>
      </c>
      <c r="H274">
        <v>25</v>
      </c>
      <c r="I274">
        <v>1208</v>
      </c>
      <c r="J274">
        <v>1190</v>
      </c>
      <c r="K274">
        <v>3.7650000000000001</v>
      </c>
      <c r="L274">
        <v>8.0500000000000007</v>
      </c>
      <c r="M274">
        <v>135.77000000000001</v>
      </c>
      <c r="N274">
        <v>13.275</v>
      </c>
      <c r="O274">
        <v>1682</v>
      </c>
      <c r="P274">
        <v>0</v>
      </c>
      <c r="Q274" s="5" t="e">
        <f>IF(AND(#REF!&gt;=table!$C$6,#REF!&lt;= table!$D$6),-1,IF(AND(#REF!&gt;=table!$E$6,#REF!&lt;=table!$F$6),1,0))</f>
        <v>#REF!</v>
      </c>
      <c r="R274" s="5" t="e">
        <f>IF(AND(#REF!&gt;=table!$C$7,#REF!&lt;= table!$D$7),-1,IF(AND(#REF!&gt;=table!$E$7,#REF!&lt;=table!$F$7),1,0))</f>
        <v>#REF!</v>
      </c>
      <c r="S274" s="5" t="e">
        <f>IF(AND(#REF!&gt;=table!$C$8,#REF!&lt;= table!$D$8),-1,IF(AND(#REF!&gt;=table!$E$8,#REF!&lt;=table!$F$8),1,0))</f>
        <v>#REF!</v>
      </c>
      <c r="T274" s="5"/>
      <c r="U274" s="5" t="e">
        <f>IF(AND(#REF!&gt;=table!$C$10,#REF!&lt;= table!$D$10),-1,IF(AND(#REF!&gt;=table!$E$10,#REF!&lt;=table!$F$10),1,0))</f>
        <v>#REF!</v>
      </c>
      <c r="V274" s="5" t="e">
        <f>IF(AND(#REF!&gt;=table!$C$11,#REF!&lt;= table!$D$11),-1,IF(AND(#REF!&gt;=table!$E$11,#REF!&lt;=table!$F$11),1,0))</f>
        <v>#REF!</v>
      </c>
      <c r="W274" s="5" t="e">
        <f>CONCATENATE(dados[[#This Row],[fator1]],dados[[#This Row],[fator5]],dados[[#This Row],[fator6]])</f>
        <v>#REF!</v>
      </c>
    </row>
    <row r="275" spans="1:23">
      <c r="A275" t="s">
        <v>17</v>
      </c>
      <c r="B275">
        <v>481444</v>
      </c>
      <c r="C275">
        <v>18</v>
      </c>
      <c r="D275">
        <v>23</v>
      </c>
      <c r="E275">
        <v>145</v>
      </c>
      <c r="F275">
        <v>6</v>
      </c>
      <c r="G275">
        <v>30</v>
      </c>
      <c r="H275">
        <v>25</v>
      </c>
      <c r="I275">
        <v>0</v>
      </c>
      <c r="J275">
        <v>0</v>
      </c>
      <c r="K275">
        <v>4.7766999999999999</v>
      </c>
      <c r="L275">
        <v>18.75</v>
      </c>
      <c r="M275">
        <v>121.8</v>
      </c>
      <c r="N275">
        <v>14.950000000000001</v>
      </c>
      <c r="O275">
        <v>1676</v>
      </c>
      <c r="P275">
        <v>473</v>
      </c>
      <c r="Q275" s="5" t="e">
        <f>IF(AND(#REF!&gt;=table!$C$6,#REF!&lt;= table!$D$6),-1,IF(AND(#REF!&gt;=table!$E$6,#REF!&lt;=table!$F$6),1,0))</f>
        <v>#REF!</v>
      </c>
      <c r="R275" s="5" t="e">
        <f>IF(AND(#REF!&gt;=table!$C$7,#REF!&lt;= table!$D$7),-1,IF(AND(#REF!&gt;=table!$E$7,#REF!&lt;=table!$F$7),1,0))</f>
        <v>#REF!</v>
      </c>
      <c r="S275" s="5" t="e">
        <f>IF(AND(#REF!&gt;=table!$C$8,#REF!&lt;= table!$D$8),-1,IF(AND(#REF!&gt;=table!$E$8,#REF!&lt;=table!$F$8),1,0))</f>
        <v>#REF!</v>
      </c>
      <c r="T275" s="5"/>
      <c r="U275" s="5" t="e">
        <f>IF(AND(#REF!&gt;=table!$C$10,#REF!&lt;= table!$D$10),-1,IF(AND(#REF!&gt;=table!$E$10,#REF!&lt;=table!$F$10),1,0))</f>
        <v>#REF!</v>
      </c>
      <c r="V275" s="5" t="e">
        <f>IF(AND(#REF!&gt;=table!$C$11,#REF!&lt;= table!$D$11),-1,IF(AND(#REF!&gt;=table!$E$11,#REF!&lt;=table!$F$11),1,0))</f>
        <v>#REF!</v>
      </c>
      <c r="W275" s="5" t="e">
        <f>CONCATENATE(dados[[#This Row],[fator1]],dados[[#This Row],[fator5]],dados[[#This Row],[fator6]])</f>
        <v>#REF!</v>
      </c>
    </row>
    <row r="276" spans="1:23">
      <c r="A276" t="s">
        <v>16</v>
      </c>
      <c r="B276">
        <v>481449</v>
      </c>
      <c r="C276">
        <v>12</v>
      </c>
      <c r="D276">
        <v>35</v>
      </c>
      <c r="E276">
        <v>180</v>
      </c>
      <c r="F276">
        <v>6</v>
      </c>
      <c r="G276">
        <v>0</v>
      </c>
      <c r="H276">
        <v>20</v>
      </c>
      <c r="I276">
        <v>1280</v>
      </c>
      <c r="J276">
        <v>0</v>
      </c>
      <c r="K276">
        <v>3.09</v>
      </c>
      <c r="L276">
        <v>8.4499999999999993</v>
      </c>
      <c r="M276">
        <v>102.3</v>
      </c>
      <c r="N276">
        <v>8.9</v>
      </c>
      <c r="O276">
        <v>1672</v>
      </c>
      <c r="P276">
        <v>0</v>
      </c>
      <c r="Q276" s="5" t="e">
        <f>IF(AND(#REF!&gt;=table!$C$6,#REF!&lt;= table!$D$6),-1,IF(AND(#REF!&gt;=table!$E$6,#REF!&lt;=table!$F$6),1,0))</f>
        <v>#REF!</v>
      </c>
      <c r="R276" s="5" t="e">
        <f>IF(AND(#REF!&gt;=table!$C$7,#REF!&lt;= table!$D$7),-1,IF(AND(#REF!&gt;=table!$E$7,#REF!&lt;=table!$F$7),1,0))</f>
        <v>#REF!</v>
      </c>
      <c r="S276" s="5" t="e">
        <f>IF(AND(#REF!&gt;=table!$C$8,#REF!&lt;= table!$D$8),-1,IF(AND(#REF!&gt;=table!$E$8,#REF!&lt;=table!$F$8),1,0))</f>
        <v>#REF!</v>
      </c>
      <c r="T276" s="5"/>
      <c r="U276" s="5" t="e">
        <f>IF(AND(#REF!&gt;=table!$C$10,#REF!&lt;= table!$D$10),-1,IF(AND(#REF!&gt;=table!$E$10,#REF!&lt;=table!$F$10),1,0))</f>
        <v>#REF!</v>
      </c>
      <c r="V276" s="5" t="e">
        <f>IF(AND(#REF!&gt;=table!$C$11,#REF!&lt;= table!$D$11),-1,IF(AND(#REF!&gt;=table!$E$11,#REF!&lt;=table!$F$11),1,0))</f>
        <v>#REF!</v>
      </c>
      <c r="W276" s="5" t="e">
        <f>CONCATENATE(dados[[#This Row],[fator1]],dados[[#This Row],[fator5]],dados[[#This Row],[fator6]])</f>
        <v>#REF!</v>
      </c>
    </row>
    <row r="277" spans="1:23">
      <c r="A277" t="s">
        <v>16</v>
      </c>
      <c r="B277">
        <v>481451</v>
      </c>
      <c r="C277">
        <v>0.18</v>
      </c>
      <c r="D277">
        <v>50</v>
      </c>
      <c r="E277">
        <v>56</v>
      </c>
      <c r="F277">
        <v>15</v>
      </c>
      <c r="G277">
        <v>0</v>
      </c>
      <c r="H277">
        <v>50</v>
      </c>
      <c r="I277">
        <v>756</v>
      </c>
      <c r="J277">
        <v>610</v>
      </c>
      <c r="K277">
        <v>4.7350000000000003</v>
      </c>
      <c r="L277">
        <v>11.445</v>
      </c>
      <c r="M277">
        <v>7.335</v>
      </c>
      <c r="N277">
        <v>11.23</v>
      </c>
      <c r="O277">
        <v>1659</v>
      </c>
      <c r="P277">
        <v>507</v>
      </c>
      <c r="Q277" s="5" t="e">
        <f>IF(AND(#REF!&gt;=table!$C$6,#REF!&lt;= table!$D$6),-1,IF(AND(#REF!&gt;=table!$E$6,#REF!&lt;=table!$F$6),1,0))</f>
        <v>#REF!</v>
      </c>
      <c r="R277" s="5" t="e">
        <f>IF(AND(#REF!&gt;=table!$C$7,#REF!&lt;= table!$D$7),-1,IF(AND(#REF!&gt;=table!$E$7,#REF!&lt;=table!$F$7),1,0))</f>
        <v>#REF!</v>
      </c>
      <c r="S277" s="5" t="e">
        <f>IF(AND(#REF!&gt;=table!$C$8,#REF!&lt;= table!$D$8),-1,IF(AND(#REF!&gt;=table!$E$8,#REF!&lt;=table!$F$8),1,0))</f>
        <v>#REF!</v>
      </c>
      <c r="T277" s="5"/>
      <c r="U277" s="5" t="e">
        <f>IF(AND(#REF!&gt;=table!$C$10,#REF!&lt;= table!$D$10),-1,IF(AND(#REF!&gt;=table!$E$10,#REF!&lt;=table!$F$10),1,0))</f>
        <v>#REF!</v>
      </c>
      <c r="V277" s="5" t="e">
        <f>IF(AND(#REF!&gt;=table!$C$11,#REF!&lt;= table!$D$11),-1,IF(AND(#REF!&gt;=table!$E$11,#REF!&lt;=table!$F$11),1,0))</f>
        <v>#REF!</v>
      </c>
      <c r="W277" s="5" t="e">
        <f>CONCATENATE(dados[[#This Row],[fator1]],dados[[#This Row],[fator5]],dados[[#This Row],[fator6]])</f>
        <v>#REF!</v>
      </c>
    </row>
    <row r="278" spans="1:23">
      <c r="A278" t="s">
        <v>16</v>
      </c>
      <c r="B278">
        <v>481455</v>
      </c>
      <c r="C278">
        <v>12</v>
      </c>
      <c r="D278">
        <v>35</v>
      </c>
      <c r="E278">
        <v>180</v>
      </c>
      <c r="F278">
        <v>6</v>
      </c>
      <c r="G278">
        <v>0</v>
      </c>
      <c r="H278">
        <v>20</v>
      </c>
      <c r="I278">
        <v>1491</v>
      </c>
      <c r="J278">
        <v>0</v>
      </c>
      <c r="K278">
        <v>3.605</v>
      </c>
      <c r="L278">
        <v>6.2</v>
      </c>
      <c r="M278">
        <v>115.75</v>
      </c>
      <c r="N278">
        <v>6.95</v>
      </c>
      <c r="O278">
        <v>1658</v>
      </c>
      <c r="P278">
        <v>792</v>
      </c>
      <c r="Q278" s="5" t="e">
        <f>IF(AND(#REF!&gt;=table!$C$6,#REF!&lt;= table!$D$6),-1,IF(AND(#REF!&gt;=table!$E$6,#REF!&lt;=table!$F$6),1,0))</f>
        <v>#REF!</v>
      </c>
      <c r="R278" s="5" t="e">
        <f>IF(AND(#REF!&gt;=table!$C$7,#REF!&lt;= table!$D$7),-1,IF(AND(#REF!&gt;=table!$E$7,#REF!&lt;=table!$F$7),1,0))</f>
        <v>#REF!</v>
      </c>
      <c r="S278" s="5" t="e">
        <f>IF(AND(#REF!&gt;=table!$C$8,#REF!&lt;= table!$D$8),-1,IF(AND(#REF!&gt;=table!$E$8,#REF!&lt;=table!$F$8),1,0))</f>
        <v>#REF!</v>
      </c>
      <c r="T278" s="5"/>
      <c r="U278" s="5" t="e">
        <f>IF(AND(#REF!&gt;=table!$C$10,#REF!&lt;= table!$D$10),-1,IF(AND(#REF!&gt;=table!$E$10,#REF!&lt;=table!$F$10),1,0))</f>
        <v>#REF!</v>
      </c>
      <c r="V278" s="5" t="e">
        <f>IF(AND(#REF!&gt;=table!$C$11,#REF!&lt;= table!$D$11),-1,IF(AND(#REF!&gt;=table!$E$11,#REF!&lt;=table!$F$11),1,0))</f>
        <v>#REF!</v>
      </c>
      <c r="W278" s="5" t="e">
        <f>CONCATENATE(dados[[#This Row],[fator1]],dados[[#This Row],[fator5]],dados[[#This Row],[fator6]])</f>
        <v>#REF!</v>
      </c>
    </row>
    <row r="279" spans="1:23">
      <c r="A279" t="s">
        <v>16</v>
      </c>
      <c r="B279">
        <v>481456</v>
      </c>
      <c r="C279">
        <v>10</v>
      </c>
      <c r="D279">
        <v>30</v>
      </c>
      <c r="E279">
        <v>150</v>
      </c>
      <c r="F279">
        <v>4</v>
      </c>
      <c r="G279">
        <v>0</v>
      </c>
      <c r="H279">
        <v>25</v>
      </c>
      <c r="I279">
        <v>1430</v>
      </c>
      <c r="J279">
        <v>0</v>
      </c>
      <c r="K279">
        <v>6.93</v>
      </c>
      <c r="L279">
        <v>16.195</v>
      </c>
      <c r="M279">
        <v>119.95</v>
      </c>
      <c r="N279">
        <v>14.25</v>
      </c>
      <c r="O279">
        <v>1688</v>
      </c>
      <c r="P279">
        <v>393</v>
      </c>
      <c r="Q279" s="5" t="e">
        <f>IF(AND(#REF!&gt;=table!$C$6,#REF!&lt;= table!$D$6),-1,IF(AND(#REF!&gt;=table!$E$6,#REF!&lt;=table!$F$6),1,0))</f>
        <v>#REF!</v>
      </c>
      <c r="R279" s="5" t="e">
        <f>IF(AND(#REF!&gt;=table!$C$7,#REF!&lt;= table!$D$7),-1,IF(AND(#REF!&gt;=table!$E$7,#REF!&lt;=table!$F$7),1,0))</f>
        <v>#REF!</v>
      </c>
      <c r="S279" s="5" t="e">
        <f>IF(AND(#REF!&gt;=table!$C$8,#REF!&lt;= table!$D$8),-1,IF(AND(#REF!&gt;=table!$E$8,#REF!&lt;=table!$F$8),1,0))</f>
        <v>#REF!</v>
      </c>
      <c r="T279" s="5"/>
      <c r="U279" s="5" t="e">
        <f>IF(AND(#REF!&gt;=table!$C$10,#REF!&lt;= table!$D$10),-1,IF(AND(#REF!&gt;=table!$E$10,#REF!&lt;=table!$F$10),1,0))</f>
        <v>#REF!</v>
      </c>
      <c r="V279" s="5" t="e">
        <f>IF(AND(#REF!&gt;=table!$C$11,#REF!&lt;= table!$D$11),-1,IF(AND(#REF!&gt;=table!$E$11,#REF!&lt;=table!$F$11),1,0))</f>
        <v>#REF!</v>
      </c>
      <c r="W279" s="5" t="e">
        <f>CONCATENATE(dados[[#This Row],[fator1]],dados[[#This Row],[fator5]],dados[[#This Row],[fator6]])</f>
        <v>#REF!</v>
      </c>
    </row>
    <row r="280" spans="1:23">
      <c r="A280" t="s">
        <v>16</v>
      </c>
      <c r="B280">
        <v>481457</v>
      </c>
      <c r="C280">
        <v>10</v>
      </c>
      <c r="D280">
        <v>38</v>
      </c>
      <c r="E280">
        <v>150</v>
      </c>
      <c r="F280">
        <v>4</v>
      </c>
      <c r="G280">
        <v>0</v>
      </c>
      <c r="H280">
        <v>25</v>
      </c>
      <c r="I280">
        <v>661</v>
      </c>
      <c r="J280">
        <v>0</v>
      </c>
      <c r="K280">
        <v>7.665</v>
      </c>
      <c r="L280">
        <v>12.200000000000001</v>
      </c>
      <c r="M280">
        <v>124.625</v>
      </c>
      <c r="N280">
        <v>12.815000000000001</v>
      </c>
      <c r="O280">
        <v>1680</v>
      </c>
      <c r="P280">
        <v>0</v>
      </c>
      <c r="Q280" s="5" t="e">
        <f>IF(AND(#REF!&gt;=table!$C$6,#REF!&lt;= table!$D$6),-1,IF(AND(#REF!&gt;=table!$E$6,#REF!&lt;=table!$F$6),1,0))</f>
        <v>#REF!</v>
      </c>
      <c r="R280" s="5" t="e">
        <f>IF(AND(#REF!&gt;=table!$C$7,#REF!&lt;= table!$D$7),-1,IF(AND(#REF!&gt;=table!$E$7,#REF!&lt;=table!$F$7),1,0))</f>
        <v>#REF!</v>
      </c>
      <c r="S280" s="5" t="e">
        <f>IF(AND(#REF!&gt;=table!$C$8,#REF!&lt;= table!$D$8),-1,IF(AND(#REF!&gt;=table!$E$8,#REF!&lt;=table!$F$8),1,0))</f>
        <v>#REF!</v>
      </c>
      <c r="T280" s="5"/>
      <c r="U280" s="5" t="e">
        <f>IF(AND(#REF!&gt;=table!$C$10,#REF!&lt;= table!$D$10),-1,IF(AND(#REF!&gt;=table!$E$10,#REF!&lt;=table!$F$10),1,0))</f>
        <v>#REF!</v>
      </c>
      <c r="V280" s="5" t="e">
        <f>IF(AND(#REF!&gt;=table!$C$11,#REF!&lt;= table!$D$11),-1,IF(AND(#REF!&gt;=table!$E$11,#REF!&lt;=table!$F$11),1,0))</f>
        <v>#REF!</v>
      </c>
      <c r="W280" s="5" t="e">
        <f>CONCATENATE(dados[[#This Row],[fator1]],dados[[#This Row],[fator5]],dados[[#This Row],[fator6]])</f>
        <v>#REF!</v>
      </c>
    </row>
    <row r="281" spans="1:23">
      <c r="A281" t="s">
        <v>17</v>
      </c>
      <c r="B281">
        <v>481459</v>
      </c>
      <c r="C281">
        <v>14</v>
      </c>
      <c r="D281">
        <v>30</v>
      </c>
      <c r="E281">
        <v>110</v>
      </c>
      <c r="F281">
        <v>4</v>
      </c>
      <c r="G281">
        <v>20</v>
      </c>
      <c r="H281">
        <v>22</v>
      </c>
      <c r="I281">
        <v>0</v>
      </c>
      <c r="J281">
        <v>0</v>
      </c>
      <c r="K281">
        <v>3.48</v>
      </c>
      <c r="L281">
        <v>7.4</v>
      </c>
      <c r="M281">
        <v>73.400000000000006</v>
      </c>
      <c r="N281">
        <v>7.25</v>
      </c>
      <c r="O281">
        <v>1671</v>
      </c>
      <c r="P281">
        <v>0</v>
      </c>
      <c r="Q281" s="5" t="e">
        <f>IF(AND(#REF!&gt;=table!$C$6,#REF!&lt;= table!$D$6),-1,IF(AND(#REF!&gt;=table!$E$6,#REF!&lt;=table!$F$6),1,0))</f>
        <v>#REF!</v>
      </c>
      <c r="R281" s="5" t="e">
        <f>IF(AND(#REF!&gt;=table!$C$7,#REF!&lt;= table!$D$7),-1,IF(AND(#REF!&gt;=table!$E$7,#REF!&lt;=table!$F$7),1,0))</f>
        <v>#REF!</v>
      </c>
      <c r="S281" s="5" t="e">
        <f>IF(AND(#REF!&gt;=table!$C$8,#REF!&lt;= table!$D$8),-1,IF(AND(#REF!&gt;=table!$E$8,#REF!&lt;=table!$F$8),1,0))</f>
        <v>#REF!</v>
      </c>
      <c r="T281" s="5"/>
      <c r="U281" s="5" t="e">
        <f>IF(AND(#REF!&gt;=table!$C$10,#REF!&lt;= table!$D$10),-1,IF(AND(#REF!&gt;=table!$E$10,#REF!&lt;=table!$F$10),1,0))</f>
        <v>#REF!</v>
      </c>
      <c r="V281" s="5" t="e">
        <f>IF(AND(#REF!&gt;=table!$C$11,#REF!&lt;= table!$D$11),-1,IF(AND(#REF!&gt;=table!$E$11,#REF!&lt;=table!$F$11),1,0))</f>
        <v>#REF!</v>
      </c>
      <c r="W281" s="5" t="e">
        <f>CONCATENATE(dados[[#This Row],[fator1]],dados[[#This Row],[fator5]],dados[[#This Row],[fator6]])</f>
        <v>#REF!</v>
      </c>
    </row>
    <row r="282" spans="1:23">
      <c r="A282" t="s">
        <v>17</v>
      </c>
      <c r="B282">
        <v>481461</v>
      </c>
      <c r="C282">
        <v>14</v>
      </c>
      <c r="D282">
        <v>30</v>
      </c>
      <c r="E282">
        <v>110</v>
      </c>
      <c r="F282">
        <v>4</v>
      </c>
      <c r="G282">
        <v>20</v>
      </c>
      <c r="H282">
        <v>22</v>
      </c>
      <c r="I282">
        <v>20</v>
      </c>
      <c r="J282">
        <v>0</v>
      </c>
      <c r="K282">
        <v>5.3</v>
      </c>
      <c r="L282">
        <v>9.7000000000000011</v>
      </c>
      <c r="M282">
        <v>72.150000000000006</v>
      </c>
      <c r="N282">
        <v>7</v>
      </c>
      <c r="O282">
        <v>1649</v>
      </c>
      <c r="P282">
        <v>424</v>
      </c>
      <c r="Q282" s="5" t="e">
        <f>IF(AND(#REF!&gt;=table!$C$6,#REF!&lt;= table!$D$6),-1,IF(AND(#REF!&gt;=table!$E$6,#REF!&lt;=table!$F$6),1,0))</f>
        <v>#REF!</v>
      </c>
      <c r="R282" s="5" t="e">
        <f>IF(AND(#REF!&gt;=table!$C$7,#REF!&lt;= table!$D$7),-1,IF(AND(#REF!&gt;=table!$E$7,#REF!&lt;=table!$F$7),1,0))</f>
        <v>#REF!</v>
      </c>
      <c r="S282" s="5" t="e">
        <f>IF(AND(#REF!&gt;=table!$C$8,#REF!&lt;= table!$D$8),-1,IF(AND(#REF!&gt;=table!$E$8,#REF!&lt;=table!$F$8),1,0))</f>
        <v>#REF!</v>
      </c>
      <c r="T282" s="5"/>
      <c r="U282" s="5" t="e">
        <f>IF(AND(#REF!&gt;=table!$C$10,#REF!&lt;= table!$D$10),-1,IF(AND(#REF!&gt;=table!$E$10,#REF!&lt;=table!$F$10),1,0))</f>
        <v>#REF!</v>
      </c>
      <c r="V282" s="5" t="e">
        <f>IF(AND(#REF!&gt;=table!$C$11,#REF!&lt;= table!$D$11),-1,IF(AND(#REF!&gt;=table!$E$11,#REF!&lt;=table!$F$11),1,0))</f>
        <v>#REF!</v>
      </c>
      <c r="W282" s="5" t="e">
        <f>CONCATENATE(dados[[#This Row],[fator1]],dados[[#This Row],[fator5]],dados[[#This Row],[fator6]])</f>
        <v>#REF!</v>
      </c>
    </row>
    <row r="283" spans="1:23">
      <c r="A283" t="s">
        <v>17</v>
      </c>
      <c r="B283">
        <v>481462</v>
      </c>
      <c r="C283">
        <v>14</v>
      </c>
      <c r="D283">
        <v>30</v>
      </c>
      <c r="E283">
        <v>110</v>
      </c>
      <c r="F283">
        <v>4</v>
      </c>
      <c r="G283">
        <v>20</v>
      </c>
      <c r="H283">
        <v>22</v>
      </c>
      <c r="I283">
        <v>1099</v>
      </c>
      <c r="J283">
        <v>0</v>
      </c>
      <c r="K283">
        <v>13.355</v>
      </c>
      <c r="L283">
        <v>11.5</v>
      </c>
      <c r="M283">
        <v>76.400000000000006</v>
      </c>
      <c r="N283">
        <v>12.950000000000001</v>
      </c>
      <c r="O283">
        <v>1689</v>
      </c>
      <c r="P283">
        <v>341</v>
      </c>
      <c r="Q283" s="5" t="e">
        <f>IF(AND(#REF!&gt;=table!$C$6,#REF!&lt;= table!$D$6),-1,IF(AND(#REF!&gt;=table!$E$6,#REF!&lt;=table!$F$6),1,0))</f>
        <v>#REF!</v>
      </c>
      <c r="R283" s="5" t="e">
        <f>IF(AND(#REF!&gt;=table!$C$7,#REF!&lt;= table!$D$7),-1,IF(AND(#REF!&gt;=table!$E$7,#REF!&lt;=table!$F$7),1,0))</f>
        <v>#REF!</v>
      </c>
      <c r="S283" s="5" t="e">
        <f>IF(AND(#REF!&gt;=table!$C$8,#REF!&lt;= table!$D$8),-1,IF(AND(#REF!&gt;=table!$E$8,#REF!&lt;=table!$F$8),1,0))</f>
        <v>#REF!</v>
      </c>
      <c r="T283" s="5"/>
      <c r="U283" s="5" t="e">
        <f>IF(AND(#REF!&gt;=table!$C$10,#REF!&lt;= table!$D$10),-1,IF(AND(#REF!&gt;=table!$E$10,#REF!&lt;=table!$F$10),1,0))</f>
        <v>#REF!</v>
      </c>
      <c r="V283" s="5" t="e">
        <f>IF(AND(#REF!&gt;=table!$C$11,#REF!&lt;= table!$D$11),-1,IF(AND(#REF!&gt;=table!$E$11,#REF!&lt;=table!$F$11),1,0))</f>
        <v>#REF!</v>
      </c>
      <c r="W283" s="5" t="e">
        <f>CONCATENATE(dados[[#This Row],[fator1]],dados[[#This Row],[fator5]],dados[[#This Row],[fator6]])</f>
        <v>#REF!</v>
      </c>
    </row>
    <row r="284" spans="1:23">
      <c r="A284" t="s">
        <v>17</v>
      </c>
      <c r="B284">
        <v>481463</v>
      </c>
      <c r="C284">
        <v>14</v>
      </c>
      <c r="D284">
        <v>30</v>
      </c>
      <c r="E284">
        <v>110</v>
      </c>
      <c r="F284">
        <v>4</v>
      </c>
      <c r="G284">
        <v>20</v>
      </c>
      <c r="H284">
        <v>22</v>
      </c>
      <c r="I284">
        <v>68</v>
      </c>
      <c r="J284">
        <v>0</v>
      </c>
      <c r="K284">
        <v>16.89</v>
      </c>
      <c r="L284">
        <v>12</v>
      </c>
      <c r="M284">
        <v>92.2</v>
      </c>
      <c r="N284">
        <v>10.9</v>
      </c>
      <c r="O284">
        <v>1676</v>
      </c>
      <c r="P284">
        <v>279</v>
      </c>
      <c r="Q284" s="5" t="e">
        <f>IF(AND(#REF!&gt;=table!$C$6,#REF!&lt;= table!$D$6),-1,IF(AND(#REF!&gt;=table!$E$6,#REF!&lt;=table!$F$6),1,0))</f>
        <v>#REF!</v>
      </c>
      <c r="R284" s="5" t="e">
        <f>IF(AND(#REF!&gt;=table!$C$7,#REF!&lt;= table!$D$7),-1,IF(AND(#REF!&gt;=table!$E$7,#REF!&lt;=table!$F$7),1,0))</f>
        <v>#REF!</v>
      </c>
      <c r="S284" s="5" t="e">
        <f>IF(AND(#REF!&gt;=table!$C$8,#REF!&lt;= table!$D$8),-1,IF(AND(#REF!&gt;=table!$E$8,#REF!&lt;=table!$F$8),1,0))</f>
        <v>#REF!</v>
      </c>
      <c r="T284" s="5"/>
      <c r="U284" s="5" t="e">
        <f>IF(AND(#REF!&gt;=table!$C$10,#REF!&lt;= table!$D$10),-1,IF(AND(#REF!&gt;=table!$E$10,#REF!&lt;=table!$F$10),1,0))</f>
        <v>#REF!</v>
      </c>
      <c r="V284" s="5" t="e">
        <f>IF(AND(#REF!&gt;=table!$C$11,#REF!&lt;= table!$D$11),-1,IF(AND(#REF!&gt;=table!$E$11,#REF!&lt;=table!$F$11),1,0))</f>
        <v>#REF!</v>
      </c>
      <c r="W284" s="5" t="e">
        <f>CONCATENATE(dados[[#This Row],[fator1]],dados[[#This Row],[fator5]],dados[[#This Row],[fator6]])</f>
        <v>#REF!</v>
      </c>
    </row>
    <row r="285" spans="1:23">
      <c r="A285" t="s">
        <v>17</v>
      </c>
      <c r="B285">
        <v>481464</v>
      </c>
      <c r="C285">
        <v>14</v>
      </c>
      <c r="D285">
        <v>30</v>
      </c>
      <c r="E285">
        <v>110</v>
      </c>
      <c r="F285">
        <v>4</v>
      </c>
      <c r="G285">
        <v>20</v>
      </c>
      <c r="H285">
        <v>22</v>
      </c>
      <c r="I285">
        <v>769</v>
      </c>
      <c r="J285">
        <v>0</v>
      </c>
      <c r="K285">
        <v>9.6650000000000009</v>
      </c>
      <c r="L285">
        <v>10.42</v>
      </c>
      <c r="M285">
        <v>99.435000000000002</v>
      </c>
      <c r="N285">
        <v>14.05</v>
      </c>
      <c r="O285">
        <v>1688</v>
      </c>
      <c r="P285">
        <v>432</v>
      </c>
      <c r="Q285" s="5" t="e">
        <f>IF(AND(#REF!&gt;=table!$C$6,#REF!&lt;= table!$D$6),-1,IF(AND(#REF!&gt;=table!$E$6,#REF!&lt;=table!$F$6),1,0))</f>
        <v>#REF!</v>
      </c>
      <c r="R285" s="5" t="e">
        <f>IF(AND(#REF!&gt;=table!$C$7,#REF!&lt;= table!$D$7),-1,IF(AND(#REF!&gt;=table!$E$7,#REF!&lt;=table!$F$7),1,0))</f>
        <v>#REF!</v>
      </c>
      <c r="S285" s="5" t="e">
        <f>IF(AND(#REF!&gt;=table!$C$8,#REF!&lt;= table!$D$8),-1,IF(AND(#REF!&gt;=table!$E$8,#REF!&lt;=table!$F$8),1,0))</f>
        <v>#REF!</v>
      </c>
      <c r="T285" s="5"/>
      <c r="U285" s="5" t="e">
        <f>IF(AND(#REF!&gt;=table!$C$10,#REF!&lt;= table!$D$10),-1,IF(AND(#REF!&gt;=table!$E$10,#REF!&lt;=table!$F$10),1,0))</f>
        <v>#REF!</v>
      </c>
      <c r="V285" s="5" t="e">
        <f>IF(AND(#REF!&gt;=table!$C$11,#REF!&lt;= table!$D$11),-1,IF(AND(#REF!&gt;=table!$E$11,#REF!&lt;=table!$F$11),1,0))</f>
        <v>#REF!</v>
      </c>
      <c r="W285" s="5" t="e">
        <f>CONCATENATE(dados[[#This Row],[fator1]],dados[[#This Row],[fator5]],dados[[#This Row],[fator6]])</f>
        <v>#REF!</v>
      </c>
    </row>
    <row r="286" spans="1:23">
      <c r="A286" t="s">
        <v>17</v>
      </c>
      <c r="B286">
        <v>481465</v>
      </c>
      <c r="C286">
        <v>14</v>
      </c>
      <c r="D286">
        <v>30</v>
      </c>
      <c r="E286">
        <v>110</v>
      </c>
      <c r="F286">
        <v>4</v>
      </c>
      <c r="G286">
        <v>20</v>
      </c>
      <c r="H286">
        <v>22</v>
      </c>
      <c r="I286">
        <v>1330</v>
      </c>
      <c r="J286">
        <v>0</v>
      </c>
      <c r="K286">
        <v>12.46</v>
      </c>
      <c r="L286">
        <v>12.71</v>
      </c>
      <c r="M286">
        <v>94.24</v>
      </c>
      <c r="N286">
        <v>9.31</v>
      </c>
      <c r="O286">
        <v>1660</v>
      </c>
      <c r="P286">
        <v>338</v>
      </c>
      <c r="Q286" s="5" t="e">
        <f>IF(AND(#REF!&gt;=table!$C$6,#REF!&lt;= table!$D$6),-1,IF(AND(#REF!&gt;=table!$E$6,#REF!&lt;=table!$F$6),1,0))</f>
        <v>#REF!</v>
      </c>
      <c r="R286" s="5" t="e">
        <f>IF(AND(#REF!&gt;=table!$C$7,#REF!&lt;= table!$D$7),-1,IF(AND(#REF!&gt;=table!$E$7,#REF!&lt;=table!$F$7),1,0))</f>
        <v>#REF!</v>
      </c>
      <c r="S286" s="5" t="e">
        <f>IF(AND(#REF!&gt;=table!$C$8,#REF!&lt;= table!$D$8),-1,IF(AND(#REF!&gt;=table!$E$8,#REF!&lt;=table!$F$8),1,0))</f>
        <v>#REF!</v>
      </c>
      <c r="T286" s="5"/>
      <c r="U286" s="5" t="e">
        <f>IF(AND(#REF!&gt;=table!$C$10,#REF!&lt;= table!$D$10),-1,IF(AND(#REF!&gt;=table!$E$10,#REF!&lt;=table!$F$10),1,0))</f>
        <v>#REF!</v>
      </c>
      <c r="V286" s="5" t="e">
        <f>IF(AND(#REF!&gt;=table!$C$11,#REF!&lt;= table!$D$11),-1,IF(AND(#REF!&gt;=table!$E$11,#REF!&lt;=table!$F$11),1,0))</f>
        <v>#REF!</v>
      </c>
      <c r="W286" s="5" t="e">
        <f>CONCATENATE(dados[[#This Row],[fator1]],dados[[#This Row],[fator5]],dados[[#This Row],[fator6]])</f>
        <v>#REF!</v>
      </c>
    </row>
    <row r="287" spans="1:23">
      <c r="A287" t="s">
        <v>16</v>
      </c>
      <c r="B287">
        <v>481467</v>
      </c>
      <c r="C287">
        <v>11</v>
      </c>
      <c r="D287">
        <v>40</v>
      </c>
      <c r="E287">
        <v>151</v>
      </c>
      <c r="F287">
        <v>8</v>
      </c>
      <c r="G287">
        <v>0</v>
      </c>
      <c r="H287">
        <v>25</v>
      </c>
      <c r="I287">
        <v>6</v>
      </c>
      <c r="J287">
        <v>0</v>
      </c>
      <c r="K287">
        <v>4.78</v>
      </c>
      <c r="L287">
        <v>11.450000000000001</v>
      </c>
      <c r="M287">
        <v>131.255</v>
      </c>
      <c r="N287">
        <v>14.755000000000001</v>
      </c>
      <c r="O287">
        <v>1691</v>
      </c>
      <c r="P287">
        <v>860</v>
      </c>
      <c r="Q287" s="5" t="e">
        <f>IF(AND(#REF!&gt;=table!$C$6,#REF!&lt;= table!$D$6),-1,IF(AND(#REF!&gt;=table!$E$6,#REF!&lt;=table!$F$6),1,0))</f>
        <v>#REF!</v>
      </c>
      <c r="R287" s="5" t="e">
        <f>IF(AND(#REF!&gt;=table!$C$7,#REF!&lt;= table!$D$7),-1,IF(AND(#REF!&gt;=table!$E$7,#REF!&lt;=table!$F$7),1,0))</f>
        <v>#REF!</v>
      </c>
      <c r="S287" s="5" t="e">
        <f>IF(AND(#REF!&gt;=table!$C$8,#REF!&lt;= table!$D$8),-1,IF(AND(#REF!&gt;=table!$E$8,#REF!&lt;=table!$F$8),1,0))</f>
        <v>#REF!</v>
      </c>
      <c r="T287" s="5"/>
      <c r="U287" s="5" t="e">
        <f>IF(AND(#REF!&gt;=table!$C$10,#REF!&lt;= table!$D$10),-1,IF(AND(#REF!&gt;=table!$E$10,#REF!&lt;=table!$F$10),1,0))</f>
        <v>#REF!</v>
      </c>
      <c r="V287" s="5" t="e">
        <f>IF(AND(#REF!&gt;=table!$C$11,#REF!&lt;= table!$D$11),-1,IF(AND(#REF!&gt;=table!$E$11,#REF!&lt;=table!$F$11),1,0))</f>
        <v>#REF!</v>
      </c>
      <c r="W287" s="5" t="e">
        <f>CONCATENATE(dados[[#This Row],[fator1]],dados[[#This Row],[fator5]],dados[[#This Row],[fator6]])</f>
        <v>#REF!</v>
      </c>
    </row>
    <row r="288" spans="1:23">
      <c r="A288" t="s">
        <v>16</v>
      </c>
      <c r="B288">
        <v>481468</v>
      </c>
      <c r="C288">
        <v>11</v>
      </c>
      <c r="D288">
        <v>40</v>
      </c>
      <c r="E288">
        <v>151</v>
      </c>
      <c r="F288">
        <v>8</v>
      </c>
      <c r="G288">
        <v>0</v>
      </c>
      <c r="H288">
        <v>25</v>
      </c>
      <c r="I288">
        <v>833</v>
      </c>
      <c r="J288">
        <v>0</v>
      </c>
      <c r="K288">
        <v>7.3</v>
      </c>
      <c r="L288">
        <v>12.85</v>
      </c>
      <c r="M288">
        <v>127.85000000000001</v>
      </c>
      <c r="N288">
        <v>15.75</v>
      </c>
      <c r="O288">
        <v>1697</v>
      </c>
      <c r="P288">
        <v>641</v>
      </c>
      <c r="Q288" s="5" t="e">
        <f>IF(AND(#REF!&gt;=table!$C$6,#REF!&lt;= table!$D$6),-1,IF(AND(#REF!&gt;=table!$E$6,#REF!&lt;=table!$F$6),1,0))</f>
        <v>#REF!</v>
      </c>
      <c r="R288" s="5" t="e">
        <f>IF(AND(#REF!&gt;=table!$C$7,#REF!&lt;= table!$D$7),-1,IF(AND(#REF!&gt;=table!$E$7,#REF!&lt;=table!$F$7),1,0))</f>
        <v>#REF!</v>
      </c>
      <c r="S288" s="5" t="e">
        <f>IF(AND(#REF!&gt;=table!$C$8,#REF!&lt;= table!$D$8),-1,IF(AND(#REF!&gt;=table!$E$8,#REF!&lt;=table!$F$8),1,0))</f>
        <v>#REF!</v>
      </c>
      <c r="T288" s="5"/>
      <c r="U288" s="5" t="e">
        <f>IF(AND(#REF!&gt;=table!$C$10,#REF!&lt;= table!$D$10),-1,IF(AND(#REF!&gt;=table!$E$10,#REF!&lt;=table!$F$10),1,0))</f>
        <v>#REF!</v>
      </c>
      <c r="V288" s="5" t="e">
        <f>IF(AND(#REF!&gt;=table!$C$11,#REF!&lt;= table!$D$11),-1,IF(AND(#REF!&gt;=table!$E$11,#REF!&lt;=table!$F$11),1,0))</f>
        <v>#REF!</v>
      </c>
      <c r="W288" s="5" t="e">
        <f>CONCATENATE(dados[[#This Row],[fator1]],dados[[#This Row],[fator5]],dados[[#This Row],[fator6]])</f>
        <v>#REF!</v>
      </c>
    </row>
    <row r="289" spans="1:23">
      <c r="A289" t="s">
        <v>17</v>
      </c>
      <c r="B289">
        <v>481469</v>
      </c>
      <c r="C289">
        <v>8</v>
      </c>
      <c r="D289">
        <v>30</v>
      </c>
      <c r="E289">
        <v>153</v>
      </c>
      <c r="F289">
        <v>2</v>
      </c>
      <c r="G289">
        <v>20</v>
      </c>
      <c r="H289">
        <v>18</v>
      </c>
      <c r="I289">
        <v>604</v>
      </c>
      <c r="J289">
        <v>0</v>
      </c>
      <c r="K289">
        <v>4.2949999999999999</v>
      </c>
      <c r="L289">
        <v>6.8</v>
      </c>
      <c r="M289">
        <v>135.15</v>
      </c>
      <c r="N289">
        <v>10.85</v>
      </c>
      <c r="O289">
        <v>1711</v>
      </c>
      <c r="P289">
        <v>0</v>
      </c>
      <c r="Q289" s="5" t="e">
        <f>IF(AND(#REF!&gt;=table!$C$6,#REF!&lt;= table!$D$6),-1,IF(AND(#REF!&gt;=table!$E$6,#REF!&lt;=table!$F$6),1,0))</f>
        <v>#REF!</v>
      </c>
      <c r="R289" s="5" t="e">
        <f>IF(AND(#REF!&gt;=table!$C$7,#REF!&lt;= table!$D$7),-1,IF(AND(#REF!&gt;=table!$E$7,#REF!&lt;=table!$F$7),1,0))</f>
        <v>#REF!</v>
      </c>
      <c r="S289" s="5" t="e">
        <f>IF(AND(#REF!&gt;=table!$C$8,#REF!&lt;= table!$D$8),-1,IF(AND(#REF!&gt;=table!$E$8,#REF!&lt;=table!$F$8),1,0))</f>
        <v>#REF!</v>
      </c>
      <c r="T289" s="5"/>
      <c r="U289" s="5" t="e">
        <f>IF(AND(#REF!&gt;=table!$C$10,#REF!&lt;= table!$D$10),-1,IF(AND(#REF!&gt;=table!$E$10,#REF!&lt;=table!$F$10),1,0))</f>
        <v>#REF!</v>
      </c>
      <c r="V289" s="5" t="e">
        <f>IF(AND(#REF!&gt;=table!$C$11,#REF!&lt;= table!$D$11),-1,IF(AND(#REF!&gt;=table!$E$11,#REF!&lt;=table!$F$11),1,0))</f>
        <v>#REF!</v>
      </c>
      <c r="W289" s="5" t="e">
        <f>CONCATENATE(dados[[#This Row],[fator1]],dados[[#This Row],[fator5]],dados[[#This Row],[fator6]])</f>
        <v>#REF!</v>
      </c>
    </row>
    <row r="290" spans="1:23">
      <c r="A290" t="s">
        <v>17</v>
      </c>
      <c r="B290">
        <v>481470</v>
      </c>
      <c r="C290">
        <v>8</v>
      </c>
      <c r="D290">
        <v>30</v>
      </c>
      <c r="E290">
        <v>153</v>
      </c>
      <c r="F290">
        <v>2</v>
      </c>
      <c r="G290">
        <v>20</v>
      </c>
      <c r="H290">
        <v>18</v>
      </c>
      <c r="I290">
        <v>36</v>
      </c>
      <c r="J290">
        <v>0</v>
      </c>
      <c r="K290">
        <v>6.32</v>
      </c>
      <c r="L290">
        <v>8.65</v>
      </c>
      <c r="M290">
        <v>148.4</v>
      </c>
      <c r="N290">
        <v>10.050000000000001</v>
      </c>
      <c r="O290">
        <v>1686</v>
      </c>
      <c r="P290">
        <v>0</v>
      </c>
      <c r="Q290" s="5" t="e">
        <f>IF(AND(#REF!&gt;=table!$C$6,#REF!&lt;= table!$D$6),-1,IF(AND(#REF!&gt;=table!$E$6,#REF!&lt;=table!$F$6),1,0))</f>
        <v>#REF!</v>
      </c>
      <c r="R290" s="5" t="e">
        <f>IF(AND(#REF!&gt;=table!$C$7,#REF!&lt;= table!$D$7),-1,IF(AND(#REF!&gt;=table!$E$7,#REF!&lt;=table!$F$7),1,0))</f>
        <v>#REF!</v>
      </c>
      <c r="S290" s="5" t="e">
        <f>IF(AND(#REF!&gt;=table!$C$8,#REF!&lt;= table!$D$8),-1,IF(AND(#REF!&gt;=table!$E$8,#REF!&lt;=table!$F$8),1,0))</f>
        <v>#REF!</v>
      </c>
      <c r="T290" s="5"/>
      <c r="U290" s="5" t="e">
        <f>IF(AND(#REF!&gt;=table!$C$10,#REF!&lt;= table!$D$10),-1,IF(AND(#REF!&gt;=table!$E$10,#REF!&lt;=table!$F$10),1,0))</f>
        <v>#REF!</v>
      </c>
      <c r="V290" s="5" t="e">
        <f>IF(AND(#REF!&gt;=table!$C$11,#REF!&lt;= table!$D$11),-1,IF(AND(#REF!&gt;=table!$E$11,#REF!&lt;=table!$F$11),1,0))</f>
        <v>#REF!</v>
      </c>
      <c r="W290" s="5" t="e">
        <f>CONCATENATE(dados[[#This Row],[fator1]],dados[[#This Row],[fator5]],dados[[#This Row],[fator6]])</f>
        <v>#REF!</v>
      </c>
    </row>
    <row r="291" spans="1:23">
      <c r="A291" t="s">
        <v>16</v>
      </c>
      <c r="B291">
        <v>481472</v>
      </c>
      <c r="C291">
        <v>11</v>
      </c>
      <c r="D291">
        <v>40</v>
      </c>
      <c r="E291">
        <v>151</v>
      </c>
      <c r="F291">
        <v>8</v>
      </c>
      <c r="G291">
        <v>0</v>
      </c>
      <c r="H291">
        <v>25</v>
      </c>
      <c r="I291">
        <v>23</v>
      </c>
      <c r="J291">
        <v>0</v>
      </c>
      <c r="K291">
        <v>7.12</v>
      </c>
      <c r="L291">
        <v>16.405000000000001</v>
      </c>
      <c r="M291">
        <v>108.07000000000001</v>
      </c>
      <c r="N291">
        <v>16.8</v>
      </c>
      <c r="O291">
        <v>1685</v>
      </c>
      <c r="P291">
        <v>539</v>
      </c>
      <c r="Q291" s="5" t="e">
        <f>IF(AND(#REF!&gt;=table!$C$6,#REF!&lt;= table!$D$6),-1,IF(AND(#REF!&gt;=table!$E$6,#REF!&lt;=table!$F$6),1,0))</f>
        <v>#REF!</v>
      </c>
      <c r="R291" s="5" t="e">
        <f>IF(AND(#REF!&gt;=table!$C$7,#REF!&lt;= table!$D$7),-1,IF(AND(#REF!&gt;=table!$E$7,#REF!&lt;=table!$F$7),1,0))</f>
        <v>#REF!</v>
      </c>
      <c r="S291" s="5" t="e">
        <f>IF(AND(#REF!&gt;=table!$C$8,#REF!&lt;= table!$D$8),-1,IF(AND(#REF!&gt;=table!$E$8,#REF!&lt;=table!$F$8),1,0))</f>
        <v>#REF!</v>
      </c>
      <c r="T291" s="5"/>
      <c r="U291" s="5" t="e">
        <f>IF(AND(#REF!&gt;=table!$C$10,#REF!&lt;= table!$D$10),-1,IF(AND(#REF!&gt;=table!$E$10,#REF!&lt;=table!$F$10),1,0))</f>
        <v>#REF!</v>
      </c>
      <c r="V291" s="5" t="e">
        <f>IF(AND(#REF!&gt;=table!$C$11,#REF!&lt;= table!$D$11),-1,IF(AND(#REF!&gt;=table!$E$11,#REF!&lt;=table!$F$11),1,0))</f>
        <v>#REF!</v>
      </c>
      <c r="W291" s="5" t="e">
        <f>CONCATENATE(dados[[#This Row],[fator1]],dados[[#This Row],[fator5]],dados[[#This Row],[fator6]])</f>
        <v>#REF!</v>
      </c>
    </row>
    <row r="292" spans="1:23">
      <c r="A292" t="s">
        <v>16</v>
      </c>
      <c r="B292">
        <v>481473</v>
      </c>
      <c r="C292">
        <v>11</v>
      </c>
      <c r="D292">
        <v>40</v>
      </c>
      <c r="E292">
        <v>151</v>
      </c>
      <c r="F292">
        <v>8</v>
      </c>
      <c r="G292">
        <v>0</v>
      </c>
      <c r="H292">
        <v>25</v>
      </c>
      <c r="I292">
        <v>33</v>
      </c>
      <c r="J292">
        <v>0</v>
      </c>
      <c r="K292">
        <v>5.1950000000000003</v>
      </c>
      <c r="L292">
        <v>14.6</v>
      </c>
      <c r="M292">
        <v>112</v>
      </c>
      <c r="N292">
        <v>18.3</v>
      </c>
      <c r="O292">
        <v>1686</v>
      </c>
      <c r="P292">
        <v>0</v>
      </c>
      <c r="Q292" s="5" t="e">
        <f>IF(AND(#REF!&gt;=table!$C$6,#REF!&lt;= table!$D$6),-1,IF(AND(#REF!&gt;=table!$E$6,#REF!&lt;=table!$F$6),1,0))</f>
        <v>#REF!</v>
      </c>
      <c r="R292" s="5" t="e">
        <f>IF(AND(#REF!&gt;=table!$C$7,#REF!&lt;= table!$D$7),-1,IF(AND(#REF!&gt;=table!$E$7,#REF!&lt;=table!$F$7),1,0))</f>
        <v>#REF!</v>
      </c>
      <c r="S292" s="5" t="e">
        <f>IF(AND(#REF!&gt;=table!$C$8,#REF!&lt;= table!$D$8),-1,IF(AND(#REF!&gt;=table!$E$8,#REF!&lt;=table!$F$8),1,0))</f>
        <v>#REF!</v>
      </c>
      <c r="T292" s="5"/>
      <c r="U292" s="5" t="e">
        <f>IF(AND(#REF!&gt;=table!$C$10,#REF!&lt;= table!$D$10),-1,IF(AND(#REF!&gt;=table!$E$10,#REF!&lt;=table!$F$10),1,0))</f>
        <v>#REF!</v>
      </c>
      <c r="V292" s="5" t="e">
        <f>IF(AND(#REF!&gt;=table!$C$11,#REF!&lt;= table!$D$11),-1,IF(AND(#REF!&gt;=table!$E$11,#REF!&lt;=table!$F$11),1,0))</f>
        <v>#REF!</v>
      </c>
      <c r="W292" s="5" t="e">
        <f>CONCATENATE(dados[[#This Row],[fator1]],dados[[#This Row],[fator5]],dados[[#This Row],[fator6]])</f>
        <v>#REF!</v>
      </c>
    </row>
    <row r="293" spans="1:23">
      <c r="A293" t="s">
        <v>16</v>
      </c>
      <c r="B293">
        <v>481474</v>
      </c>
      <c r="C293">
        <v>11</v>
      </c>
      <c r="D293">
        <v>40</v>
      </c>
      <c r="E293">
        <v>151</v>
      </c>
      <c r="F293">
        <v>8</v>
      </c>
      <c r="G293">
        <v>0</v>
      </c>
      <c r="H293">
        <v>25</v>
      </c>
      <c r="I293">
        <v>687</v>
      </c>
      <c r="J293">
        <v>0</v>
      </c>
      <c r="K293">
        <v>5.6950000000000003</v>
      </c>
      <c r="L293">
        <v>10.700000000000001</v>
      </c>
      <c r="M293">
        <v>55.9</v>
      </c>
      <c r="N293">
        <v>12.25</v>
      </c>
      <c r="O293">
        <v>1666</v>
      </c>
      <c r="P293">
        <v>797</v>
      </c>
      <c r="Q293" s="5" t="e">
        <f>IF(AND(#REF!&gt;=table!$C$6,#REF!&lt;= table!$D$6),-1,IF(AND(#REF!&gt;=table!$E$6,#REF!&lt;=table!$F$6),1,0))</f>
        <v>#REF!</v>
      </c>
      <c r="R293" s="5" t="e">
        <f>IF(AND(#REF!&gt;=table!$C$7,#REF!&lt;= table!$D$7),-1,IF(AND(#REF!&gt;=table!$E$7,#REF!&lt;=table!$F$7),1,0))</f>
        <v>#REF!</v>
      </c>
      <c r="S293" s="5" t="e">
        <f>IF(AND(#REF!&gt;=table!$C$8,#REF!&lt;= table!$D$8),-1,IF(AND(#REF!&gt;=table!$E$8,#REF!&lt;=table!$F$8),1,0))</f>
        <v>#REF!</v>
      </c>
      <c r="T293" s="5"/>
      <c r="U293" s="5" t="e">
        <f>IF(AND(#REF!&gt;=table!$C$10,#REF!&lt;= table!$D$10),-1,IF(AND(#REF!&gt;=table!$E$10,#REF!&lt;=table!$F$10),1,0))</f>
        <v>#REF!</v>
      </c>
      <c r="V293" s="5" t="e">
        <f>IF(AND(#REF!&gt;=table!$C$11,#REF!&lt;= table!$D$11),-1,IF(AND(#REF!&gt;=table!$E$11,#REF!&lt;=table!$F$11),1,0))</f>
        <v>#REF!</v>
      </c>
      <c r="W293" s="5" t="e">
        <f>CONCATENATE(dados[[#This Row],[fator1]],dados[[#This Row],[fator5]],dados[[#This Row],[fator6]])</f>
        <v>#REF!</v>
      </c>
    </row>
    <row r="294" spans="1:23">
      <c r="A294" t="s">
        <v>17</v>
      </c>
      <c r="B294">
        <v>481475</v>
      </c>
      <c r="C294">
        <v>14</v>
      </c>
      <c r="D294">
        <v>30</v>
      </c>
      <c r="E294">
        <v>86</v>
      </c>
      <c r="F294">
        <v>9</v>
      </c>
      <c r="G294">
        <v>20</v>
      </c>
      <c r="H294">
        <v>25</v>
      </c>
      <c r="I294">
        <v>902</v>
      </c>
      <c r="J294">
        <v>0</v>
      </c>
      <c r="K294">
        <v>3.7650000000000001</v>
      </c>
      <c r="L294">
        <v>8.4499999999999993</v>
      </c>
      <c r="M294">
        <v>71.900000000000006</v>
      </c>
      <c r="N294">
        <v>12.4</v>
      </c>
      <c r="O294">
        <v>1660</v>
      </c>
      <c r="P294">
        <v>1065</v>
      </c>
      <c r="Q294" s="5" t="e">
        <f>IF(AND(#REF!&gt;=table!$C$6,#REF!&lt;= table!$D$6),-1,IF(AND(#REF!&gt;=table!$E$6,#REF!&lt;=table!$F$6),1,0))</f>
        <v>#REF!</v>
      </c>
      <c r="R294" s="5" t="e">
        <f>IF(AND(#REF!&gt;=table!$C$7,#REF!&lt;= table!$D$7),-1,IF(AND(#REF!&gt;=table!$E$7,#REF!&lt;=table!$F$7),1,0))</f>
        <v>#REF!</v>
      </c>
      <c r="S294" s="5" t="e">
        <f>IF(AND(#REF!&gt;=table!$C$8,#REF!&lt;= table!$D$8),-1,IF(AND(#REF!&gt;=table!$E$8,#REF!&lt;=table!$F$8),1,0))</f>
        <v>#REF!</v>
      </c>
      <c r="T294" s="5"/>
      <c r="U294" s="5" t="e">
        <f>IF(AND(#REF!&gt;=table!$C$10,#REF!&lt;= table!$D$10),-1,IF(AND(#REF!&gt;=table!$E$10,#REF!&lt;=table!$F$10),1,0))</f>
        <v>#REF!</v>
      </c>
      <c r="V294" s="5" t="e">
        <f>IF(AND(#REF!&gt;=table!$C$11,#REF!&lt;= table!$D$11),-1,IF(AND(#REF!&gt;=table!$E$11,#REF!&lt;=table!$F$11),1,0))</f>
        <v>#REF!</v>
      </c>
      <c r="W294" s="5" t="e">
        <f>CONCATENATE(dados[[#This Row],[fator1]],dados[[#This Row],[fator5]],dados[[#This Row],[fator6]])</f>
        <v>#REF!</v>
      </c>
    </row>
    <row r="295" spans="1:23">
      <c r="A295" t="s">
        <v>17</v>
      </c>
      <c r="B295">
        <v>481476</v>
      </c>
      <c r="C295">
        <v>14</v>
      </c>
      <c r="D295">
        <v>30</v>
      </c>
      <c r="E295">
        <v>110</v>
      </c>
      <c r="F295">
        <v>4</v>
      </c>
      <c r="G295">
        <v>20</v>
      </c>
      <c r="H295">
        <v>22</v>
      </c>
      <c r="I295">
        <v>934</v>
      </c>
      <c r="J295">
        <v>0</v>
      </c>
      <c r="K295">
        <v>2.4319999999999999</v>
      </c>
      <c r="L295">
        <v>6.1550000000000002</v>
      </c>
      <c r="M295">
        <v>79.89</v>
      </c>
      <c r="N295">
        <v>12.92</v>
      </c>
      <c r="O295">
        <v>1714</v>
      </c>
      <c r="P295">
        <v>1596</v>
      </c>
      <c r="Q295" s="5" t="e">
        <f>IF(AND(#REF!&gt;=table!$C$6,#REF!&lt;= table!$D$6),-1,IF(AND(#REF!&gt;=table!$E$6,#REF!&lt;=table!$F$6),1,0))</f>
        <v>#REF!</v>
      </c>
      <c r="R295" s="5" t="e">
        <f>IF(AND(#REF!&gt;=table!$C$7,#REF!&lt;= table!$D$7),-1,IF(AND(#REF!&gt;=table!$E$7,#REF!&lt;=table!$F$7),1,0))</f>
        <v>#REF!</v>
      </c>
      <c r="S295" s="5" t="e">
        <f>IF(AND(#REF!&gt;=table!$C$8,#REF!&lt;= table!$D$8),-1,IF(AND(#REF!&gt;=table!$E$8,#REF!&lt;=table!$F$8),1,0))</f>
        <v>#REF!</v>
      </c>
      <c r="T295" s="5"/>
      <c r="U295" s="5" t="e">
        <f>IF(AND(#REF!&gt;=table!$C$10,#REF!&lt;= table!$D$10),-1,IF(AND(#REF!&gt;=table!$E$10,#REF!&lt;=table!$F$10),1,0))</f>
        <v>#REF!</v>
      </c>
      <c r="V295" s="5" t="e">
        <f>IF(AND(#REF!&gt;=table!$C$11,#REF!&lt;= table!$D$11),-1,IF(AND(#REF!&gt;=table!$E$11,#REF!&lt;=table!$F$11),1,0))</f>
        <v>#REF!</v>
      </c>
      <c r="W295" s="5" t="e">
        <f>CONCATENATE(dados[[#This Row],[fator1]],dados[[#This Row],[fator5]],dados[[#This Row],[fator6]])</f>
        <v>#REF!</v>
      </c>
    </row>
    <row r="296" spans="1:23">
      <c r="A296" t="s">
        <v>17</v>
      </c>
      <c r="B296">
        <v>481477</v>
      </c>
      <c r="C296">
        <v>14</v>
      </c>
      <c r="D296">
        <v>30</v>
      </c>
      <c r="E296">
        <v>110</v>
      </c>
      <c r="F296">
        <v>3</v>
      </c>
      <c r="G296">
        <v>20</v>
      </c>
      <c r="H296">
        <v>22</v>
      </c>
      <c r="I296">
        <v>761</v>
      </c>
      <c r="J296">
        <v>0</v>
      </c>
      <c r="K296">
        <v>2.3055000000000003</v>
      </c>
      <c r="L296">
        <v>4.51</v>
      </c>
      <c r="M296">
        <v>66.2</v>
      </c>
      <c r="N296">
        <v>10.8</v>
      </c>
      <c r="O296">
        <v>1688</v>
      </c>
      <c r="P296">
        <v>1461</v>
      </c>
      <c r="Q296" s="5" t="e">
        <f>IF(AND(#REF!&gt;=table!$C$6,#REF!&lt;= table!$D$6),-1,IF(AND(#REF!&gt;=table!$E$6,#REF!&lt;=table!$F$6),1,0))</f>
        <v>#REF!</v>
      </c>
      <c r="R296" s="5" t="e">
        <f>IF(AND(#REF!&gt;=table!$C$7,#REF!&lt;= table!$D$7),-1,IF(AND(#REF!&gt;=table!$E$7,#REF!&lt;=table!$F$7),1,0))</f>
        <v>#REF!</v>
      </c>
      <c r="S296" s="5" t="e">
        <f>IF(AND(#REF!&gt;=table!$C$8,#REF!&lt;= table!$D$8),-1,IF(AND(#REF!&gt;=table!$E$8,#REF!&lt;=table!$F$8),1,0))</f>
        <v>#REF!</v>
      </c>
      <c r="T296" s="5"/>
      <c r="U296" s="5" t="e">
        <f>IF(AND(#REF!&gt;=table!$C$10,#REF!&lt;= table!$D$10),-1,IF(AND(#REF!&gt;=table!$E$10,#REF!&lt;=table!$F$10),1,0))</f>
        <v>#REF!</v>
      </c>
      <c r="V296" s="5" t="e">
        <f>IF(AND(#REF!&gt;=table!$C$11,#REF!&lt;= table!$D$11),-1,IF(AND(#REF!&gt;=table!$E$11,#REF!&lt;=table!$F$11),1,0))</f>
        <v>#REF!</v>
      </c>
      <c r="W296" s="5" t="e">
        <f>CONCATENATE(dados[[#This Row],[fator1]],dados[[#This Row],[fator5]],dados[[#This Row],[fator6]])</f>
        <v>#REF!</v>
      </c>
    </row>
    <row r="297" spans="1:23">
      <c r="A297" t="s">
        <v>17</v>
      </c>
      <c r="B297">
        <v>481478</v>
      </c>
      <c r="C297">
        <v>14</v>
      </c>
      <c r="D297">
        <v>30</v>
      </c>
      <c r="E297">
        <v>66</v>
      </c>
      <c r="F297">
        <v>9</v>
      </c>
      <c r="G297">
        <v>20</v>
      </c>
      <c r="H297">
        <v>25</v>
      </c>
      <c r="I297">
        <v>869</v>
      </c>
      <c r="J297">
        <v>0</v>
      </c>
      <c r="K297">
        <v>3.15</v>
      </c>
      <c r="L297">
        <v>5.55</v>
      </c>
      <c r="M297">
        <v>45</v>
      </c>
      <c r="N297">
        <v>8.75</v>
      </c>
      <c r="O297">
        <v>1663</v>
      </c>
      <c r="P297">
        <v>0</v>
      </c>
      <c r="Q297" s="5" t="e">
        <f>IF(AND(#REF!&gt;=table!$C$6,#REF!&lt;= table!$D$6),-1,IF(AND(#REF!&gt;=table!$E$6,#REF!&lt;=table!$F$6),1,0))</f>
        <v>#REF!</v>
      </c>
      <c r="R297" s="5" t="e">
        <f>IF(AND(#REF!&gt;=table!$C$7,#REF!&lt;= table!$D$7),-1,IF(AND(#REF!&gt;=table!$E$7,#REF!&lt;=table!$F$7),1,0))</f>
        <v>#REF!</v>
      </c>
      <c r="S297" s="5" t="e">
        <f>IF(AND(#REF!&gt;=table!$C$8,#REF!&lt;= table!$D$8),-1,IF(AND(#REF!&gt;=table!$E$8,#REF!&lt;=table!$F$8),1,0))</f>
        <v>#REF!</v>
      </c>
      <c r="T297" s="5"/>
      <c r="U297" s="5" t="e">
        <f>IF(AND(#REF!&gt;=table!$C$10,#REF!&lt;= table!$D$10),-1,IF(AND(#REF!&gt;=table!$E$10,#REF!&lt;=table!$F$10),1,0))</f>
        <v>#REF!</v>
      </c>
      <c r="V297" s="5" t="e">
        <f>IF(AND(#REF!&gt;=table!$C$11,#REF!&lt;= table!$D$11),-1,IF(AND(#REF!&gt;=table!$E$11,#REF!&lt;=table!$F$11),1,0))</f>
        <v>#REF!</v>
      </c>
      <c r="W297" s="5" t="e">
        <f>CONCATENATE(dados[[#This Row],[fator1]],dados[[#This Row],[fator5]],dados[[#This Row],[fator6]])</f>
        <v>#REF!</v>
      </c>
    </row>
    <row r="298" spans="1:23">
      <c r="A298" t="s">
        <v>17</v>
      </c>
      <c r="B298">
        <v>481479</v>
      </c>
      <c r="C298">
        <v>14</v>
      </c>
      <c r="D298">
        <v>30</v>
      </c>
      <c r="E298">
        <v>110</v>
      </c>
      <c r="F298">
        <v>3</v>
      </c>
      <c r="G298">
        <v>20</v>
      </c>
      <c r="H298">
        <v>22</v>
      </c>
      <c r="I298">
        <v>10</v>
      </c>
      <c r="J298">
        <v>470</v>
      </c>
      <c r="K298">
        <v>4.4400000000000004</v>
      </c>
      <c r="L298">
        <v>6.1000000000000005</v>
      </c>
      <c r="M298">
        <v>109.75</v>
      </c>
      <c r="N298">
        <v>11.8</v>
      </c>
      <c r="O298">
        <v>1659</v>
      </c>
      <c r="P298">
        <v>1013</v>
      </c>
      <c r="Q298" s="5" t="e">
        <f>IF(AND(#REF!&gt;=table!$C$6,#REF!&lt;= table!$D$6),-1,IF(AND(#REF!&gt;=table!$E$6,#REF!&lt;=table!$F$6),1,0))</f>
        <v>#REF!</v>
      </c>
      <c r="R298" s="5" t="e">
        <f>IF(AND(#REF!&gt;=table!$C$7,#REF!&lt;= table!$D$7),-1,IF(AND(#REF!&gt;=table!$E$7,#REF!&lt;=table!$F$7),1,0))</f>
        <v>#REF!</v>
      </c>
      <c r="S298" s="5" t="e">
        <f>IF(AND(#REF!&gt;=table!$C$8,#REF!&lt;= table!$D$8),-1,IF(AND(#REF!&gt;=table!$E$8,#REF!&lt;=table!$F$8),1,0))</f>
        <v>#REF!</v>
      </c>
      <c r="T298" s="5"/>
      <c r="U298" s="5" t="e">
        <f>IF(AND(#REF!&gt;=table!$C$10,#REF!&lt;= table!$D$10),-1,IF(AND(#REF!&gt;=table!$E$10,#REF!&lt;=table!$F$10),1,0))</f>
        <v>#REF!</v>
      </c>
      <c r="V298" s="5" t="e">
        <f>IF(AND(#REF!&gt;=table!$C$11,#REF!&lt;= table!$D$11),-1,IF(AND(#REF!&gt;=table!$E$11,#REF!&lt;=table!$F$11),1,0))</f>
        <v>#REF!</v>
      </c>
      <c r="W298" s="5" t="e">
        <f>CONCATENATE(dados[[#This Row],[fator1]],dados[[#This Row],[fator5]],dados[[#This Row],[fator6]])</f>
        <v>#REF!</v>
      </c>
    </row>
    <row r="299" spans="1:23">
      <c r="A299" t="s">
        <v>17</v>
      </c>
      <c r="B299">
        <v>481480</v>
      </c>
      <c r="C299">
        <v>14</v>
      </c>
      <c r="D299">
        <v>30</v>
      </c>
      <c r="E299">
        <v>86</v>
      </c>
      <c r="F299">
        <v>9</v>
      </c>
      <c r="G299">
        <v>20</v>
      </c>
      <c r="H299">
        <v>25</v>
      </c>
      <c r="I299">
        <v>234</v>
      </c>
      <c r="J299">
        <v>0</v>
      </c>
      <c r="K299">
        <v>3.5267000000000004</v>
      </c>
      <c r="L299">
        <v>6.3500000000000005</v>
      </c>
      <c r="M299">
        <v>84.615000000000009</v>
      </c>
      <c r="N299">
        <v>16.04</v>
      </c>
      <c r="O299">
        <v>1701</v>
      </c>
      <c r="P299">
        <v>1412</v>
      </c>
      <c r="Q299" s="5" t="e">
        <f>IF(AND(#REF!&gt;=table!$C$6,#REF!&lt;= table!$D$6),-1,IF(AND(#REF!&gt;=table!$E$6,#REF!&lt;=table!$F$6),1,0))</f>
        <v>#REF!</v>
      </c>
      <c r="R299" s="5" t="e">
        <f>IF(AND(#REF!&gt;=table!$C$7,#REF!&lt;= table!$D$7),-1,IF(AND(#REF!&gt;=table!$E$7,#REF!&lt;=table!$F$7),1,0))</f>
        <v>#REF!</v>
      </c>
      <c r="S299" s="5" t="e">
        <f>IF(AND(#REF!&gt;=table!$C$8,#REF!&lt;= table!$D$8),-1,IF(AND(#REF!&gt;=table!$E$8,#REF!&lt;=table!$F$8),1,0))</f>
        <v>#REF!</v>
      </c>
      <c r="T299" s="5"/>
      <c r="U299" s="5" t="e">
        <f>IF(AND(#REF!&gt;=table!$C$10,#REF!&lt;= table!$D$10),-1,IF(AND(#REF!&gt;=table!$E$10,#REF!&lt;=table!$F$10),1,0))</f>
        <v>#REF!</v>
      </c>
      <c r="V299" s="5" t="e">
        <f>IF(AND(#REF!&gt;=table!$C$11,#REF!&lt;= table!$D$11),-1,IF(AND(#REF!&gt;=table!$E$11,#REF!&lt;=table!$F$11),1,0))</f>
        <v>#REF!</v>
      </c>
      <c r="W299" s="5" t="e">
        <f>CONCATENATE(dados[[#This Row],[fator1]],dados[[#This Row],[fator5]],dados[[#This Row],[fator6]])</f>
        <v>#REF!</v>
      </c>
    </row>
    <row r="300" spans="1:23">
      <c r="A300" t="s">
        <v>17</v>
      </c>
      <c r="B300">
        <v>481484</v>
      </c>
      <c r="C300">
        <v>16</v>
      </c>
      <c r="D300">
        <v>33</v>
      </c>
      <c r="E300">
        <v>150</v>
      </c>
      <c r="F300">
        <v>10</v>
      </c>
      <c r="G300">
        <v>15</v>
      </c>
      <c r="H300">
        <v>25</v>
      </c>
      <c r="I300">
        <v>1540</v>
      </c>
      <c r="J300">
        <v>0</v>
      </c>
      <c r="K300">
        <v>9</v>
      </c>
      <c r="L300">
        <v>18.95</v>
      </c>
      <c r="M300">
        <v>142.45000000000002</v>
      </c>
      <c r="N300">
        <v>19.2</v>
      </c>
      <c r="O300">
        <v>1675</v>
      </c>
      <c r="P300">
        <v>406</v>
      </c>
      <c r="Q300" s="5" t="e">
        <f>IF(AND(#REF!&gt;=table!$C$6,#REF!&lt;= table!$D$6),-1,IF(AND(#REF!&gt;=table!$E$6,#REF!&lt;=table!$F$6),1,0))</f>
        <v>#REF!</v>
      </c>
      <c r="R300" s="5" t="e">
        <f>IF(AND(#REF!&gt;=table!$C$7,#REF!&lt;= table!$D$7),-1,IF(AND(#REF!&gt;=table!$E$7,#REF!&lt;=table!$F$7),1,0))</f>
        <v>#REF!</v>
      </c>
      <c r="S300" s="5" t="e">
        <f>IF(AND(#REF!&gt;=table!$C$8,#REF!&lt;= table!$D$8),-1,IF(AND(#REF!&gt;=table!$E$8,#REF!&lt;=table!$F$8),1,0))</f>
        <v>#REF!</v>
      </c>
      <c r="T300" s="5"/>
      <c r="U300" s="5" t="e">
        <f>IF(AND(#REF!&gt;=table!$C$10,#REF!&lt;= table!$D$10),-1,IF(AND(#REF!&gt;=table!$E$10,#REF!&lt;=table!$F$10),1,0))</f>
        <v>#REF!</v>
      </c>
      <c r="V300" s="5" t="e">
        <f>IF(AND(#REF!&gt;=table!$C$11,#REF!&lt;= table!$D$11),-1,IF(AND(#REF!&gt;=table!$E$11,#REF!&lt;=table!$F$11),1,0))</f>
        <v>#REF!</v>
      </c>
      <c r="W300" s="5" t="e">
        <f>CONCATENATE(dados[[#This Row],[fator1]],dados[[#This Row],[fator5]],dados[[#This Row],[fator6]])</f>
        <v>#REF!</v>
      </c>
    </row>
    <row r="301" spans="1:23">
      <c r="A301" t="s">
        <v>17</v>
      </c>
      <c r="B301">
        <v>481485</v>
      </c>
      <c r="C301">
        <v>12</v>
      </c>
      <c r="D301">
        <v>30</v>
      </c>
      <c r="E301">
        <v>115</v>
      </c>
      <c r="F301">
        <v>4</v>
      </c>
      <c r="G301">
        <v>25</v>
      </c>
      <c r="H301">
        <v>21</v>
      </c>
      <c r="I301">
        <v>313</v>
      </c>
      <c r="J301">
        <v>910</v>
      </c>
      <c r="K301">
        <v>11.200000000000001</v>
      </c>
      <c r="L301">
        <v>23.25</v>
      </c>
      <c r="M301">
        <v>119.95</v>
      </c>
      <c r="N301">
        <v>13.85</v>
      </c>
      <c r="O301">
        <v>1688</v>
      </c>
      <c r="P301">
        <v>0</v>
      </c>
      <c r="Q301" s="5" t="e">
        <f>IF(AND(#REF!&gt;=table!$C$6,#REF!&lt;= table!$D$6),-1,IF(AND(#REF!&gt;=table!$E$6,#REF!&lt;=table!$F$6),1,0))</f>
        <v>#REF!</v>
      </c>
      <c r="R301" s="5" t="e">
        <f>IF(AND(#REF!&gt;=table!$C$7,#REF!&lt;= table!$D$7),-1,IF(AND(#REF!&gt;=table!$E$7,#REF!&lt;=table!$F$7),1,0))</f>
        <v>#REF!</v>
      </c>
      <c r="S301" s="5" t="e">
        <f>IF(AND(#REF!&gt;=table!$C$8,#REF!&lt;= table!$D$8),-1,IF(AND(#REF!&gt;=table!$E$8,#REF!&lt;=table!$F$8),1,0))</f>
        <v>#REF!</v>
      </c>
      <c r="T301" s="5"/>
      <c r="U301" s="5" t="e">
        <f>IF(AND(#REF!&gt;=table!$C$10,#REF!&lt;= table!$D$10),-1,IF(AND(#REF!&gt;=table!$E$10,#REF!&lt;=table!$F$10),1,0))</f>
        <v>#REF!</v>
      </c>
      <c r="V301" s="5" t="e">
        <f>IF(AND(#REF!&gt;=table!$C$11,#REF!&lt;= table!$D$11),-1,IF(AND(#REF!&gt;=table!$E$11,#REF!&lt;=table!$F$11),1,0))</f>
        <v>#REF!</v>
      </c>
      <c r="W301" s="5" t="e">
        <f>CONCATENATE(dados[[#This Row],[fator1]],dados[[#This Row],[fator5]],dados[[#This Row],[fator6]])</f>
        <v>#REF!</v>
      </c>
    </row>
    <row r="302" spans="1:23">
      <c r="A302" t="s">
        <v>17</v>
      </c>
      <c r="B302">
        <v>481486</v>
      </c>
      <c r="C302">
        <v>12</v>
      </c>
      <c r="D302">
        <v>30</v>
      </c>
      <c r="E302">
        <v>115</v>
      </c>
      <c r="F302">
        <v>4</v>
      </c>
      <c r="G302">
        <v>25</v>
      </c>
      <c r="H302">
        <v>21</v>
      </c>
      <c r="I302">
        <v>0</v>
      </c>
      <c r="J302">
        <v>0</v>
      </c>
      <c r="K302">
        <v>3.4350000000000001</v>
      </c>
      <c r="L302">
        <v>12.450000000000001</v>
      </c>
      <c r="M302">
        <v>99.55</v>
      </c>
      <c r="N302">
        <v>15.9</v>
      </c>
      <c r="O302">
        <v>1691</v>
      </c>
      <c r="P302">
        <v>991</v>
      </c>
      <c r="Q302" s="5" t="e">
        <f>IF(AND(#REF!&gt;=table!$C$6,#REF!&lt;= table!$D$6),-1,IF(AND(#REF!&gt;=table!$E$6,#REF!&lt;=table!$F$6),1,0))</f>
        <v>#REF!</v>
      </c>
      <c r="R302" s="5" t="e">
        <f>IF(AND(#REF!&gt;=table!$C$7,#REF!&lt;= table!$D$7),-1,IF(AND(#REF!&gt;=table!$E$7,#REF!&lt;=table!$F$7),1,0))</f>
        <v>#REF!</v>
      </c>
      <c r="S302" s="5" t="e">
        <f>IF(AND(#REF!&gt;=table!$C$8,#REF!&lt;= table!$D$8),-1,IF(AND(#REF!&gt;=table!$E$8,#REF!&lt;=table!$F$8),1,0))</f>
        <v>#REF!</v>
      </c>
      <c r="T302" s="5"/>
      <c r="U302" s="5" t="e">
        <f>IF(AND(#REF!&gt;=table!$C$10,#REF!&lt;= table!$D$10),-1,IF(AND(#REF!&gt;=table!$E$10,#REF!&lt;=table!$F$10),1,0))</f>
        <v>#REF!</v>
      </c>
      <c r="V302" s="5" t="e">
        <f>IF(AND(#REF!&gt;=table!$C$11,#REF!&lt;= table!$D$11),-1,IF(AND(#REF!&gt;=table!$E$11,#REF!&lt;=table!$F$11),1,0))</f>
        <v>#REF!</v>
      </c>
      <c r="W302" s="5" t="e">
        <f>CONCATENATE(dados[[#This Row],[fator1]],dados[[#This Row],[fator5]],dados[[#This Row],[fator6]])</f>
        <v>#REF!</v>
      </c>
    </row>
    <row r="303" spans="1:23">
      <c r="A303" t="s">
        <v>17</v>
      </c>
      <c r="B303">
        <v>481489</v>
      </c>
      <c r="C303">
        <v>8</v>
      </c>
      <c r="D303">
        <v>30</v>
      </c>
      <c r="E303">
        <v>155</v>
      </c>
      <c r="F303">
        <v>4</v>
      </c>
      <c r="G303">
        <v>22</v>
      </c>
      <c r="H303">
        <v>25</v>
      </c>
      <c r="I303">
        <v>32</v>
      </c>
      <c r="J303">
        <v>1070</v>
      </c>
      <c r="K303">
        <v>6.28</v>
      </c>
      <c r="L303">
        <v>20.32</v>
      </c>
      <c r="M303">
        <v>144.58000000000001</v>
      </c>
      <c r="N303">
        <v>15.385000000000002</v>
      </c>
      <c r="O303">
        <v>1656</v>
      </c>
      <c r="P303">
        <v>0</v>
      </c>
      <c r="Q303" s="5" t="e">
        <f>IF(AND(#REF!&gt;=table!$C$6,#REF!&lt;= table!$D$6),-1,IF(AND(#REF!&gt;=table!$E$6,#REF!&lt;=table!$F$6),1,0))</f>
        <v>#REF!</v>
      </c>
      <c r="R303" s="5" t="e">
        <f>IF(AND(#REF!&gt;=table!$C$7,#REF!&lt;= table!$D$7),-1,IF(AND(#REF!&gt;=table!$E$7,#REF!&lt;=table!$F$7),1,0))</f>
        <v>#REF!</v>
      </c>
      <c r="S303" s="5" t="e">
        <f>IF(AND(#REF!&gt;=table!$C$8,#REF!&lt;= table!$D$8),-1,IF(AND(#REF!&gt;=table!$E$8,#REF!&lt;=table!$F$8),1,0))</f>
        <v>#REF!</v>
      </c>
      <c r="T303" s="5"/>
      <c r="U303" s="5" t="e">
        <f>IF(AND(#REF!&gt;=table!$C$10,#REF!&lt;= table!$D$10),-1,IF(AND(#REF!&gt;=table!$E$10,#REF!&lt;=table!$F$10),1,0))</f>
        <v>#REF!</v>
      </c>
      <c r="V303" s="5" t="e">
        <f>IF(AND(#REF!&gt;=table!$C$11,#REF!&lt;= table!$D$11),-1,IF(AND(#REF!&gt;=table!$E$11,#REF!&lt;=table!$F$11),1,0))</f>
        <v>#REF!</v>
      </c>
      <c r="W303" s="5" t="e">
        <f>CONCATENATE(dados[[#This Row],[fator1]],dados[[#This Row],[fator5]],dados[[#This Row],[fator6]])</f>
        <v>#REF!</v>
      </c>
    </row>
    <row r="304" spans="1:23">
      <c r="A304" t="s">
        <v>17</v>
      </c>
      <c r="B304">
        <v>481490</v>
      </c>
      <c r="C304">
        <v>15</v>
      </c>
      <c r="D304">
        <v>35</v>
      </c>
      <c r="E304">
        <v>120</v>
      </c>
      <c r="F304">
        <v>4</v>
      </c>
      <c r="G304">
        <v>15</v>
      </c>
      <c r="H304">
        <v>20</v>
      </c>
      <c r="I304">
        <v>25</v>
      </c>
      <c r="J304">
        <v>1030</v>
      </c>
      <c r="K304">
        <v>5.7149999999999999</v>
      </c>
      <c r="L304">
        <v>21.650000000000002</v>
      </c>
      <c r="M304">
        <v>105.14</v>
      </c>
      <c r="N304">
        <v>12.895000000000001</v>
      </c>
      <c r="O304">
        <v>1664</v>
      </c>
      <c r="P304">
        <v>460</v>
      </c>
      <c r="Q304" s="5" t="e">
        <f>IF(AND(#REF!&gt;=table!$C$6,#REF!&lt;= table!$D$6),-1,IF(AND(#REF!&gt;=table!$E$6,#REF!&lt;=table!$F$6),1,0))</f>
        <v>#REF!</v>
      </c>
      <c r="R304" s="5" t="e">
        <f>IF(AND(#REF!&gt;=table!$C$7,#REF!&lt;= table!$D$7),-1,IF(AND(#REF!&gt;=table!$E$7,#REF!&lt;=table!$F$7),1,0))</f>
        <v>#REF!</v>
      </c>
      <c r="S304" s="5" t="e">
        <f>IF(AND(#REF!&gt;=table!$C$8,#REF!&lt;= table!$D$8),-1,IF(AND(#REF!&gt;=table!$E$8,#REF!&lt;=table!$F$8),1,0))</f>
        <v>#REF!</v>
      </c>
      <c r="T304" s="5"/>
      <c r="U304" s="5" t="e">
        <f>IF(AND(#REF!&gt;=table!$C$10,#REF!&lt;= table!$D$10),-1,IF(AND(#REF!&gt;=table!$E$10,#REF!&lt;=table!$F$10),1,0))</f>
        <v>#REF!</v>
      </c>
      <c r="V304" s="5" t="e">
        <f>IF(AND(#REF!&gt;=table!$C$11,#REF!&lt;= table!$D$11),-1,IF(AND(#REF!&gt;=table!$E$11,#REF!&lt;=table!$F$11),1,0))</f>
        <v>#REF!</v>
      </c>
      <c r="W304" s="5" t="e">
        <f>CONCATENATE(dados[[#This Row],[fator1]],dados[[#This Row],[fator5]],dados[[#This Row],[fator6]])</f>
        <v>#REF!</v>
      </c>
    </row>
    <row r="305" spans="1:23">
      <c r="A305" t="s">
        <v>17</v>
      </c>
      <c r="B305">
        <v>481491</v>
      </c>
      <c r="C305">
        <v>15</v>
      </c>
      <c r="D305">
        <v>35</v>
      </c>
      <c r="E305">
        <v>120</v>
      </c>
      <c r="F305">
        <v>4</v>
      </c>
      <c r="G305">
        <v>15</v>
      </c>
      <c r="H305">
        <v>20</v>
      </c>
      <c r="I305">
        <v>60</v>
      </c>
      <c r="J305">
        <v>840</v>
      </c>
      <c r="K305">
        <v>5.8450000000000006</v>
      </c>
      <c r="L305">
        <v>19</v>
      </c>
      <c r="M305">
        <v>44.844999999999999</v>
      </c>
      <c r="N305">
        <v>11.675000000000001</v>
      </c>
      <c r="O305">
        <v>1666</v>
      </c>
      <c r="P305">
        <v>453</v>
      </c>
      <c r="Q305" s="5" t="e">
        <f>IF(AND(#REF!&gt;=table!$C$6,#REF!&lt;= table!$D$6),-1,IF(AND(#REF!&gt;=table!$E$6,#REF!&lt;=table!$F$6),1,0))</f>
        <v>#REF!</v>
      </c>
      <c r="R305" s="5" t="e">
        <f>IF(AND(#REF!&gt;=table!$C$7,#REF!&lt;= table!$D$7),-1,IF(AND(#REF!&gt;=table!$E$7,#REF!&lt;=table!$F$7),1,0))</f>
        <v>#REF!</v>
      </c>
      <c r="S305" s="5" t="e">
        <f>IF(AND(#REF!&gt;=table!$C$8,#REF!&lt;= table!$D$8),-1,IF(AND(#REF!&gt;=table!$E$8,#REF!&lt;=table!$F$8),1,0))</f>
        <v>#REF!</v>
      </c>
      <c r="T305" s="5"/>
      <c r="U305" s="5" t="e">
        <f>IF(AND(#REF!&gt;=table!$C$10,#REF!&lt;= table!$D$10),-1,IF(AND(#REF!&gt;=table!$E$10,#REF!&lt;=table!$F$10),1,0))</f>
        <v>#REF!</v>
      </c>
      <c r="V305" s="5" t="e">
        <f>IF(AND(#REF!&gt;=table!$C$11,#REF!&lt;= table!$D$11),-1,IF(AND(#REF!&gt;=table!$E$11,#REF!&lt;=table!$F$11),1,0))</f>
        <v>#REF!</v>
      </c>
      <c r="W305" s="5" t="e">
        <f>CONCATENATE(dados[[#This Row],[fator1]],dados[[#This Row],[fator5]],dados[[#This Row],[fator6]])</f>
        <v>#REF!</v>
      </c>
    </row>
    <row r="306" spans="1:23">
      <c r="A306" t="s">
        <v>17</v>
      </c>
      <c r="B306">
        <v>481492</v>
      </c>
      <c r="C306">
        <v>14</v>
      </c>
      <c r="D306">
        <v>30</v>
      </c>
      <c r="E306">
        <v>66</v>
      </c>
      <c r="F306">
        <v>9</v>
      </c>
      <c r="G306">
        <v>20</v>
      </c>
      <c r="H306">
        <v>25</v>
      </c>
      <c r="I306">
        <v>366</v>
      </c>
      <c r="J306">
        <v>0</v>
      </c>
      <c r="K306">
        <v>4.9950000000000001</v>
      </c>
      <c r="L306">
        <v>8.75</v>
      </c>
      <c r="M306">
        <v>67.424999999999997</v>
      </c>
      <c r="N306">
        <v>10.985000000000001</v>
      </c>
      <c r="O306">
        <v>1678</v>
      </c>
      <c r="P306">
        <v>0</v>
      </c>
      <c r="Q306" s="5" t="e">
        <f>IF(AND(#REF!&gt;=table!$C$6,#REF!&lt;= table!$D$6),-1,IF(AND(#REF!&gt;=table!$E$6,#REF!&lt;=table!$F$6),1,0))</f>
        <v>#REF!</v>
      </c>
      <c r="R306" s="5" t="e">
        <f>IF(AND(#REF!&gt;=table!$C$7,#REF!&lt;= table!$D$7),-1,IF(AND(#REF!&gt;=table!$E$7,#REF!&lt;=table!$F$7),1,0))</f>
        <v>#REF!</v>
      </c>
      <c r="S306" s="5" t="e">
        <f>IF(AND(#REF!&gt;=table!$C$8,#REF!&lt;= table!$D$8),-1,IF(AND(#REF!&gt;=table!$E$8,#REF!&lt;=table!$F$8),1,0))</f>
        <v>#REF!</v>
      </c>
      <c r="T306" s="5"/>
      <c r="U306" s="5" t="e">
        <f>IF(AND(#REF!&gt;=table!$C$10,#REF!&lt;= table!$D$10),-1,IF(AND(#REF!&gt;=table!$E$10,#REF!&lt;=table!$F$10),1,0))</f>
        <v>#REF!</v>
      </c>
      <c r="V306" s="5" t="e">
        <f>IF(AND(#REF!&gt;=table!$C$11,#REF!&lt;= table!$D$11),-1,IF(AND(#REF!&gt;=table!$E$11,#REF!&lt;=table!$F$11),1,0))</f>
        <v>#REF!</v>
      </c>
      <c r="W306" s="5" t="e">
        <f>CONCATENATE(dados[[#This Row],[fator1]],dados[[#This Row],[fator5]],dados[[#This Row],[fator6]])</f>
        <v>#REF!</v>
      </c>
    </row>
    <row r="307" spans="1:23">
      <c r="A307" t="s">
        <v>17</v>
      </c>
      <c r="B307">
        <v>481494</v>
      </c>
      <c r="C307">
        <v>14</v>
      </c>
      <c r="D307">
        <v>30</v>
      </c>
      <c r="E307">
        <v>66</v>
      </c>
      <c r="F307">
        <v>9</v>
      </c>
      <c r="G307">
        <v>20</v>
      </c>
      <c r="H307">
        <v>25</v>
      </c>
      <c r="I307">
        <v>0</v>
      </c>
      <c r="J307">
        <v>0</v>
      </c>
      <c r="K307">
        <v>4.5650000000000004</v>
      </c>
      <c r="L307">
        <v>13.69</v>
      </c>
      <c r="M307">
        <v>62.765000000000001</v>
      </c>
      <c r="N307">
        <v>15.185</v>
      </c>
      <c r="O307">
        <v>1679</v>
      </c>
      <c r="P307">
        <v>0</v>
      </c>
      <c r="Q307" s="5" t="e">
        <f>IF(AND(#REF!&gt;=table!$C$6,#REF!&lt;= table!$D$6),-1,IF(AND(#REF!&gt;=table!$E$6,#REF!&lt;=table!$F$6),1,0))</f>
        <v>#REF!</v>
      </c>
      <c r="R307" s="5" t="e">
        <f>IF(AND(#REF!&gt;=table!$C$7,#REF!&lt;= table!$D$7),-1,IF(AND(#REF!&gt;=table!$E$7,#REF!&lt;=table!$F$7),1,0))</f>
        <v>#REF!</v>
      </c>
      <c r="S307" s="5" t="e">
        <f>IF(AND(#REF!&gt;=table!$C$8,#REF!&lt;= table!$D$8),-1,IF(AND(#REF!&gt;=table!$E$8,#REF!&lt;=table!$F$8),1,0))</f>
        <v>#REF!</v>
      </c>
      <c r="T307" s="5"/>
      <c r="U307" s="5" t="e">
        <f>IF(AND(#REF!&gt;=table!$C$10,#REF!&lt;= table!$D$10),-1,IF(AND(#REF!&gt;=table!$E$10,#REF!&lt;=table!$F$10),1,0))</f>
        <v>#REF!</v>
      </c>
      <c r="V307" s="5" t="e">
        <f>IF(AND(#REF!&gt;=table!$C$11,#REF!&lt;= table!$D$11),-1,IF(AND(#REF!&gt;=table!$E$11,#REF!&lt;=table!$F$11),1,0))</f>
        <v>#REF!</v>
      </c>
      <c r="W307" s="5" t="e">
        <f>CONCATENATE(dados[[#This Row],[fator1]],dados[[#This Row],[fator5]],dados[[#This Row],[fator6]])</f>
        <v>#REF!</v>
      </c>
    </row>
    <row r="308" spans="1:23">
      <c r="A308" t="s">
        <v>17</v>
      </c>
      <c r="B308">
        <v>481495</v>
      </c>
      <c r="C308">
        <v>14</v>
      </c>
      <c r="D308">
        <v>30</v>
      </c>
      <c r="E308">
        <v>66</v>
      </c>
      <c r="F308">
        <v>9</v>
      </c>
      <c r="G308">
        <v>20</v>
      </c>
      <c r="H308">
        <v>25</v>
      </c>
      <c r="I308">
        <v>471</v>
      </c>
      <c r="J308">
        <v>0</v>
      </c>
      <c r="K308">
        <v>7.835</v>
      </c>
      <c r="L308">
        <v>15.950000000000001</v>
      </c>
      <c r="M308">
        <v>52.85</v>
      </c>
      <c r="N308">
        <v>15.855</v>
      </c>
      <c r="O308">
        <v>1675</v>
      </c>
      <c r="P308">
        <v>0</v>
      </c>
      <c r="Q308" s="5" t="e">
        <f>IF(AND(#REF!&gt;=table!$C$6,#REF!&lt;= table!$D$6),-1,IF(AND(#REF!&gt;=table!$E$6,#REF!&lt;=table!$F$6),1,0))</f>
        <v>#REF!</v>
      </c>
      <c r="R308" s="5" t="e">
        <f>IF(AND(#REF!&gt;=table!$C$7,#REF!&lt;= table!$D$7),-1,IF(AND(#REF!&gt;=table!$E$7,#REF!&lt;=table!$F$7),1,0))</f>
        <v>#REF!</v>
      </c>
      <c r="S308" s="5" t="e">
        <f>IF(AND(#REF!&gt;=table!$C$8,#REF!&lt;= table!$D$8),-1,IF(AND(#REF!&gt;=table!$E$8,#REF!&lt;=table!$F$8),1,0))</f>
        <v>#REF!</v>
      </c>
      <c r="T308" s="5"/>
      <c r="U308" s="5" t="e">
        <f>IF(AND(#REF!&gt;=table!$C$10,#REF!&lt;= table!$D$10),-1,IF(AND(#REF!&gt;=table!$E$10,#REF!&lt;=table!$F$10),1,0))</f>
        <v>#REF!</v>
      </c>
      <c r="V308" s="5" t="e">
        <f>IF(AND(#REF!&gt;=table!$C$11,#REF!&lt;= table!$D$11),-1,IF(AND(#REF!&gt;=table!$E$11,#REF!&lt;=table!$F$11),1,0))</f>
        <v>#REF!</v>
      </c>
      <c r="W308" s="5" t="e">
        <f>CONCATENATE(dados[[#This Row],[fator1]],dados[[#This Row],[fator5]],dados[[#This Row],[fator6]])</f>
        <v>#REF!</v>
      </c>
    </row>
    <row r="309" spans="1:23">
      <c r="A309" t="s">
        <v>17</v>
      </c>
      <c r="B309">
        <v>481497</v>
      </c>
      <c r="C309">
        <v>16</v>
      </c>
      <c r="D309">
        <v>23</v>
      </c>
      <c r="E309">
        <v>145</v>
      </c>
      <c r="F309">
        <v>9</v>
      </c>
      <c r="G309">
        <v>30</v>
      </c>
      <c r="H309">
        <v>25</v>
      </c>
      <c r="I309">
        <v>512</v>
      </c>
      <c r="J309">
        <v>0</v>
      </c>
      <c r="K309">
        <v>9.2799999999999994</v>
      </c>
      <c r="L309">
        <v>23.5</v>
      </c>
      <c r="M309">
        <v>91.95</v>
      </c>
      <c r="N309">
        <v>21.85</v>
      </c>
      <c r="O309">
        <v>1682</v>
      </c>
      <c r="P309">
        <v>335</v>
      </c>
      <c r="Q309" s="5" t="e">
        <f>IF(AND(#REF!&gt;=table!$C$6,#REF!&lt;= table!$D$6),-1,IF(AND(#REF!&gt;=table!$E$6,#REF!&lt;=table!$F$6),1,0))</f>
        <v>#REF!</v>
      </c>
      <c r="R309" s="5" t="e">
        <f>IF(AND(#REF!&gt;=table!$C$7,#REF!&lt;= table!$D$7),-1,IF(AND(#REF!&gt;=table!$E$7,#REF!&lt;=table!$F$7),1,0))</f>
        <v>#REF!</v>
      </c>
      <c r="S309" s="5" t="e">
        <f>IF(AND(#REF!&gt;=table!$C$8,#REF!&lt;= table!$D$8),-1,IF(AND(#REF!&gt;=table!$E$8,#REF!&lt;=table!$F$8),1,0))</f>
        <v>#REF!</v>
      </c>
      <c r="T309" s="5"/>
      <c r="U309" s="5" t="e">
        <f>IF(AND(#REF!&gt;=table!$C$10,#REF!&lt;= table!$D$10),-1,IF(AND(#REF!&gt;=table!$E$10,#REF!&lt;=table!$F$10),1,0))</f>
        <v>#REF!</v>
      </c>
      <c r="V309" s="5" t="e">
        <f>IF(AND(#REF!&gt;=table!$C$11,#REF!&lt;= table!$D$11),-1,IF(AND(#REF!&gt;=table!$E$11,#REF!&lt;=table!$F$11),1,0))</f>
        <v>#REF!</v>
      </c>
      <c r="W309" s="5" t="e">
        <f>CONCATENATE(dados[[#This Row],[fator1]],dados[[#This Row],[fator5]],dados[[#This Row],[fator6]])</f>
        <v>#REF!</v>
      </c>
    </row>
    <row r="310" spans="1:23">
      <c r="A310" t="s">
        <v>17</v>
      </c>
      <c r="B310">
        <v>481498</v>
      </c>
      <c r="C310">
        <v>16</v>
      </c>
      <c r="D310">
        <v>23</v>
      </c>
      <c r="E310">
        <v>145</v>
      </c>
      <c r="F310">
        <v>9</v>
      </c>
      <c r="G310">
        <v>30</v>
      </c>
      <c r="H310">
        <v>25</v>
      </c>
      <c r="I310">
        <v>214</v>
      </c>
      <c r="J310">
        <v>0</v>
      </c>
      <c r="K310">
        <v>12.76</v>
      </c>
      <c r="L310">
        <v>20.25</v>
      </c>
      <c r="M310">
        <v>111.95</v>
      </c>
      <c r="N310">
        <v>23.95</v>
      </c>
      <c r="O310">
        <v>1669</v>
      </c>
      <c r="P310">
        <v>270</v>
      </c>
      <c r="Q310" s="5" t="e">
        <f>IF(AND(#REF!&gt;=table!$C$6,#REF!&lt;= table!$D$6),-1,IF(AND(#REF!&gt;=table!$E$6,#REF!&lt;=table!$F$6),1,0))</f>
        <v>#REF!</v>
      </c>
      <c r="R310" s="5" t="e">
        <f>IF(AND(#REF!&gt;=table!$C$7,#REF!&lt;= table!$D$7),-1,IF(AND(#REF!&gt;=table!$E$7,#REF!&lt;=table!$F$7),1,0))</f>
        <v>#REF!</v>
      </c>
      <c r="S310" s="5" t="e">
        <f>IF(AND(#REF!&gt;=table!$C$8,#REF!&lt;= table!$D$8),-1,IF(AND(#REF!&gt;=table!$E$8,#REF!&lt;=table!$F$8),1,0))</f>
        <v>#REF!</v>
      </c>
      <c r="T310" s="5"/>
      <c r="U310" s="5" t="e">
        <f>IF(AND(#REF!&gt;=table!$C$10,#REF!&lt;= table!$D$10),-1,IF(AND(#REF!&gt;=table!$E$10,#REF!&lt;=table!$F$10),1,0))</f>
        <v>#REF!</v>
      </c>
      <c r="V310" s="5" t="e">
        <f>IF(AND(#REF!&gt;=table!$C$11,#REF!&lt;= table!$D$11),-1,IF(AND(#REF!&gt;=table!$E$11,#REF!&lt;=table!$F$11),1,0))</f>
        <v>#REF!</v>
      </c>
      <c r="W310" s="5" t="e">
        <f>CONCATENATE(dados[[#This Row],[fator1]],dados[[#This Row],[fator5]],dados[[#This Row],[fator6]])</f>
        <v>#REF!</v>
      </c>
    </row>
    <row r="311" spans="1:23">
      <c r="A311" t="s">
        <v>17</v>
      </c>
      <c r="B311">
        <v>481500</v>
      </c>
      <c r="C311">
        <v>15</v>
      </c>
      <c r="D311">
        <v>33</v>
      </c>
      <c r="E311">
        <v>140</v>
      </c>
      <c r="F311">
        <v>10</v>
      </c>
      <c r="G311">
        <v>15</v>
      </c>
      <c r="H311">
        <v>25</v>
      </c>
      <c r="I311">
        <v>276</v>
      </c>
      <c r="J311">
        <v>0</v>
      </c>
      <c r="K311">
        <v>9.11</v>
      </c>
      <c r="L311">
        <v>17.5</v>
      </c>
      <c r="M311">
        <v>113.75</v>
      </c>
      <c r="N311">
        <v>22.6</v>
      </c>
      <c r="O311">
        <v>1673</v>
      </c>
      <c r="P311">
        <v>0</v>
      </c>
      <c r="Q311" s="5" t="e">
        <f>IF(AND(#REF!&gt;=table!$C$6,#REF!&lt;= table!$D$6),-1,IF(AND(#REF!&gt;=table!$E$6,#REF!&lt;=table!$F$6),1,0))</f>
        <v>#REF!</v>
      </c>
      <c r="R311" s="5" t="e">
        <f>IF(AND(#REF!&gt;=table!$C$7,#REF!&lt;= table!$D$7),-1,IF(AND(#REF!&gt;=table!$E$7,#REF!&lt;=table!$F$7),1,0))</f>
        <v>#REF!</v>
      </c>
      <c r="S311" s="5" t="e">
        <f>IF(AND(#REF!&gt;=table!$C$8,#REF!&lt;= table!$D$8),-1,IF(AND(#REF!&gt;=table!$E$8,#REF!&lt;=table!$F$8),1,0))</f>
        <v>#REF!</v>
      </c>
      <c r="T311" s="5"/>
      <c r="U311" s="5" t="e">
        <f>IF(AND(#REF!&gt;=table!$C$10,#REF!&lt;= table!$D$10),-1,IF(AND(#REF!&gt;=table!$E$10,#REF!&lt;=table!$F$10),1,0))</f>
        <v>#REF!</v>
      </c>
      <c r="V311" s="5" t="e">
        <f>IF(AND(#REF!&gt;=table!$C$11,#REF!&lt;= table!$D$11),-1,IF(AND(#REF!&gt;=table!$E$11,#REF!&lt;=table!$F$11),1,0))</f>
        <v>#REF!</v>
      </c>
      <c r="W311" s="5" t="e">
        <f>CONCATENATE(dados[[#This Row],[fator1]],dados[[#This Row],[fator5]],dados[[#This Row],[fator6]])</f>
        <v>#REF!</v>
      </c>
    </row>
    <row r="312" spans="1:23">
      <c r="A312" t="s">
        <v>17</v>
      </c>
      <c r="B312">
        <v>481501</v>
      </c>
      <c r="C312">
        <v>15</v>
      </c>
      <c r="D312">
        <v>33</v>
      </c>
      <c r="E312">
        <v>140</v>
      </c>
      <c r="F312">
        <v>10</v>
      </c>
      <c r="G312">
        <v>15</v>
      </c>
      <c r="H312">
        <v>25</v>
      </c>
      <c r="I312">
        <v>28</v>
      </c>
      <c r="J312">
        <v>0</v>
      </c>
      <c r="K312">
        <v>5.2450000000000001</v>
      </c>
      <c r="L312">
        <v>12.25</v>
      </c>
      <c r="M312">
        <v>87.75</v>
      </c>
      <c r="N312">
        <v>15.5</v>
      </c>
      <c r="O312">
        <v>1686</v>
      </c>
      <c r="P312">
        <v>0</v>
      </c>
      <c r="Q312" s="5" t="e">
        <f>IF(AND(#REF!&gt;=table!$C$6,#REF!&lt;= table!$D$6),-1,IF(AND(#REF!&gt;=table!$E$6,#REF!&lt;=table!$F$6),1,0))</f>
        <v>#REF!</v>
      </c>
      <c r="R312" s="5" t="e">
        <f>IF(AND(#REF!&gt;=table!$C$7,#REF!&lt;= table!$D$7),-1,IF(AND(#REF!&gt;=table!$E$7,#REF!&lt;=table!$F$7),1,0))</f>
        <v>#REF!</v>
      </c>
      <c r="S312" s="5" t="e">
        <f>IF(AND(#REF!&gt;=table!$C$8,#REF!&lt;= table!$D$8),-1,IF(AND(#REF!&gt;=table!$E$8,#REF!&lt;=table!$F$8),1,0))</f>
        <v>#REF!</v>
      </c>
      <c r="T312" s="5"/>
      <c r="U312" s="5" t="e">
        <f>IF(AND(#REF!&gt;=table!$C$10,#REF!&lt;= table!$D$10),-1,IF(AND(#REF!&gt;=table!$E$10,#REF!&lt;=table!$F$10),1,0))</f>
        <v>#REF!</v>
      </c>
      <c r="V312" s="5" t="e">
        <f>IF(AND(#REF!&gt;=table!$C$11,#REF!&lt;= table!$D$11),-1,IF(AND(#REF!&gt;=table!$E$11,#REF!&lt;=table!$F$11),1,0))</f>
        <v>#REF!</v>
      </c>
      <c r="W312" s="5" t="e">
        <f>CONCATENATE(dados[[#This Row],[fator1]],dados[[#This Row],[fator5]],dados[[#This Row],[fator6]])</f>
        <v>#REF!</v>
      </c>
    </row>
    <row r="313" spans="1:23">
      <c r="A313" t="s">
        <v>16</v>
      </c>
      <c r="B313">
        <v>481504</v>
      </c>
      <c r="C313">
        <v>8</v>
      </c>
      <c r="D313">
        <v>40</v>
      </c>
      <c r="E313">
        <v>86</v>
      </c>
      <c r="F313">
        <v>6</v>
      </c>
      <c r="G313">
        <v>0</v>
      </c>
      <c r="H313">
        <v>20</v>
      </c>
      <c r="I313">
        <v>664</v>
      </c>
      <c r="J313">
        <v>1950</v>
      </c>
      <c r="K313">
        <v>12.46</v>
      </c>
      <c r="L313">
        <v>21.2</v>
      </c>
      <c r="M313">
        <v>82.850000000000009</v>
      </c>
      <c r="N313">
        <v>15.15</v>
      </c>
      <c r="O313">
        <v>1616</v>
      </c>
      <c r="P313">
        <v>0</v>
      </c>
      <c r="Q313" s="5" t="e">
        <f>IF(AND(#REF!&gt;=table!$C$6,#REF!&lt;= table!$D$6),-1,IF(AND(#REF!&gt;=table!$E$6,#REF!&lt;=table!$F$6),1,0))</f>
        <v>#REF!</v>
      </c>
      <c r="R313" s="5" t="e">
        <f>IF(AND(#REF!&gt;=table!$C$7,#REF!&lt;= table!$D$7),-1,IF(AND(#REF!&gt;=table!$E$7,#REF!&lt;=table!$F$7),1,0))</f>
        <v>#REF!</v>
      </c>
      <c r="S313" s="5" t="e">
        <f>IF(AND(#REF!&gt;=table!$C$8,#REF!&lt;= table!$D$8),-1,IF(AND(#REF!&gt;=table!$E$8,#REF!&lt;=table!$F$8),1,0))</f>
        <v>#REF!</v>
      </c>
      <c r="T313" s="5"/>
      <c r="U313" s="5" t="e">
        <f>IF(AND(#REF!&gt;=table!$C$10,#REF!&lt;= table!$D$10),-1,IF(AND(#REF!&gt;=table!$E$10,#REF!&lt;=table!$F$10),1,0))</f>
        <v>#REF!</v>
      </c>
      <c r="V313" s="5" t="e">
        <f>IF(AND(#REF!&gt;=table!$C$11,#REF!&lt;= table!$D$11),-1,IF(AND(#REF!&gt;=table!$E$11,#REF!&lt;=table!$F$11),1,0))</f>
        <v>#REF!</v>
      </c>
      <c r="W313" s="5" t="e">
        <f>CONCATENATE(dados[[#This Row],[fator1]],dados[[#This Row],[fator5]],dados[[#This Row],[fator6]])</f>
        <v>#REF!</v>
      </c>
    </row>
    <row r="314" spans="1:23">
      <c r="A314" t="s">
        <v>16</v>
      </c>
      <c r="B314">
        <v>481505</v>
      </c>
      <c r="C314">
        <v>8</v>
      </c>
      <c r="D314">
        <v>40</v>
      </c>
      <c r="E314">
        <v>86</v>
      </c>
      <c r="F314">
        <v>6</v>
      </c>
      <c r="G314">
        <v>0</v>
      </c>
      <c r="H314">
        <v>20</v>
      </c>
      <c r="I314">
        <v>850</v>
      </c>
      <c r="J314">
        <v>640</v>
      </c>
      <c r="K314">
        <v>14.16</v>
      </c>
      <c r="L314">
        <v>19.3</v>
      </c>
      <c r="M314">
        <v>52.75</v>
      </c>
      <c r="N314">
        <v>13.3</v>
      </c>
      <c r="O314">
        <v>1669</v>
      </c>
      <c r="P314">
        <v>0</v>
      </c>
      <c r="Q314" s="5" t="e">
        <f>IF(AND(#REF!&gt;=table!$C$6,#REF!&lt;= table!$D$6),-1,IF(AND(#REF!&gt;=table!$E$6,#REF!&lt;=table!$F$6),1,0))</f>
        <v>#REF!</v>
      </c>
      <c r="R314" s="5" t="e">
        <f>IF(AND(#REF!&gt;=table!$C$7,#REF!&lt;= table!$D$7),-1,IF(AND(#REF!&gt;=table!$E$7,#REF!&lt;=table!$F$7),1,0))</f>
        <v>#REF!</v>
      </c>
      <c r="S314" s="5" t="e">
        <f>IF(AND(#REF!&gt;=table!$C$8,#REF!&lt;= table!$D$8),-1,IF(AND(#REF!&gt;=table!$E$8,#REF!&lt;=table!$F$8),1,0))</f>
        <v>#REF!</v>
      </c>
      <c r="T314" s="5"/>
      <c r="U314" s="5" t="e">
        <f>IF(AND(#REF!&gt;=table!$C$10,#REF!&lt;= table!$D$10),-1,IF(AND(#REF!&gt;=table!$E$10,#REF!&lt;=table!$F$10),1,0))</f>
        <v>#REF!</v>
      </c>
      <c r="V314" s="5" t="e">
        <f>IF(AND(#REF!&gt;=table!$C$11,#REF!&lt;= table!$D$11),-1,IF(AND(#REF!&gt;=table!$E$11,#REF!&lt;=table!$F$11),1,0))</f>
        <v>#REF!</v>
      </c>
      <c r="W314" s="5" t="e">
        <f>CONCATENATE(dados[[#This Row],[fator1]],dados[[#This Row],[fator5]],dados[[#This Row],[fator6]])</f>
        <v>#REF!</v>
      </c>
    </row>
    <row r="315" spans="1:23">
      <c r="A315" t="s">
        <v>17</v>
      </c>
      <c r="B315">
        <v>481506</v>
      </c>
      <c r="C315">
        <v>16</v>
      </c>
      <c r="D315">
        <v>30</v>
      </c>
      <c r="E315">
        <v>106</v>
      </c>
      <c r="F315">
        <v>9</v>
      </c>
      <c r="G315">
        <v>20</v>
      </c>
      <c r="H315">
        <v>25</v>
      </c>
      <c r="I315">
        <v>18</v>
      </c>
      <c r="J315">
        <v>0</v>
      </c>
      <c r="K315">
        <v>8.11</v>
      </c>
      <c r="L315">
        <v>21.285</v>
      </c>
      <c r="M315">
        <v>101.075</v>
      </c>
      <c r="N315">
        <v>20.935000000000002</v>
      </c>
      <c r="O315">
        <v>1686</v>
      </c>
      <c r="P315">
        <v>0</v>
      </c>
      <c r="Q315" s="5" t="e">
        <f>IF(AND(#REF!&gt;=table!$C$6,#REF!&lt;= table!$D$6),-1,IF(AND(#REF!&gt;=table!$E$6,#REF!&lt;=table!$F$6),1,0))</f>
        <v>#REF!</v>
      </c>
      <c r="R315" s="5" t="e">
        <f>IF(AND(#REF!&gt;=table!$C$7,#REF!&lt;= table!$D$7),-1,IF(AND(#REF!&gt;=table!$E$7,#REF!&lt;=table!$F$7),1,0))</f>
        <v>#REF!</v>
      </c>
      <c r="S315" s="5" t="e">
        <f>IF(AND(#REF!&gt;=table!$C$8,#REF!&lt;= table!$D$8),-1,IF(AND(#REF!&gt;=table!$E$8,#REF!&lt;=table!$F$8),1,0))</f>
        <v>#REF!</v>
      </c>
      <c r="T315" s="5"/>
      <c r="U315" s="5" t="e">
        <f>IF(AND(#REF!&gt;=table!$C$10,#REF!&lt;= table!$D$10),-1,IF(AND(#REF!&gt;=table!$E$10,#REF!&lt;=table!$F$10),1,0))</f>
        <v>#REF!</v>
      </c>
      <c r="V315" s="5" t="e">
        <f>IF(AND(#REF!&gt;=table!$C$11,#REF!&lt;= table!$D$11),-1,IF(AND(#REF!&gt;=table!$E$11,#REF!&lt;=table!$F$11),1,0))</f>
        <v>#REF!</v>
      </c>
      <c r="W315" s="5" t="e">
        <f>CONCATENATE(dados[[#This Row],[fator1]],dados[[#This Row],[fator5]],dados[[#This Row],[fator6]])</f>
        <v>#REF!</v>
      </c>
    </row>
    <row r="316" spans="1:23">
      <c r="A316" t="s">
        <v>17</v>
      </c>
      <c r="B316">
        <v>481509</v>
      </c>
      <c r="C316">
        <v>45</v>
      </c>
      <c r="D316">
        <v>30</v>
      </c>
      <c r="E316">
        <v>126</v>
      </c>
      <c r="F316">
        <v>9</v>
      </c>
      <c r="G316">
        <v>23</v>
      </c>
      <c r="H316">
        <v>22</v>
      </c>
      <c r="I316">
        <v>0</v>
      </c>
      <c r="J316">
        <v>430</v>
      </c>
      <c r="K316">
        <v>3.14</v>
      </c>
      <c r="L316">
        <v>5.5</v>
      </c>
      <c r="M316">
        <v>122.15</v>
      </c>
      <c r="N316">
        <v>10.85</v>
      </c>
      <c r="O316">
        <v>1656</v>
      </c>
      <c r="P316">
        <v>958</v>
      </c>
      <c r="Q316" s="5" t="e">
        <f>IF(AND(#REF!&gt;=table!$C$6,#REF!&lt;= table!$D$6),-1,IF(AND(#REF!&gt;=table!$E$6,#REF!&lt;=table!$F$6),1,0))</f>
        <v>#REF!</v>
      </c>
      <c r="R316" s="5" t="e">
        <f>IF(AND(#REF!&gt;=table!$C$7,#REF!&lt;= table!$D$7),-1,IF(AND(#REF!&gt;=table!$E$7,#REF!&lt;=table!$F$7),1,0))</f>
        <v>#REF!</v>
      </c>
      <c r="S316" s="5" t="e">
        <f>IF(AND(#REF!&gt;=table!$C$8,#REF!&lt;= table!$D$8),-1,IF(AND(#REF!&gt;=table!$E$8,#REF!&lt;=table!$F$8),1,0))</f>
        <v>#REF!</v>
      </c>
      <c r="T316" s="5"/>
      <c r="U316" s="5" t="e">
        <f>IF(AND(#REF!&gt;=table!$C$10,#REF!&lt;= table!$D$10),-1,IF(AND(#REF!&gt;=table!$E$10,#REF!&lt;=table!$F$10),1,0))</f>
        <v>#REF!</v>
      </c>
      <c r="V316" s="5" t="e">
        <f>IF(AND(#REF!&gt;=table!$C$11,#REF!&lt;= table!$D$11),-1,IF(AND(#REF!&gt;=table!$E$11,#REF!&lt;=table!$F$11),1,0))</f>
        <v>#REF!</v>
      </c>
      <c r="W316" s="5" t="e">
        <f>CONCATENATE(dados[[#This Row],[fator1]],dados[[#This Row],[fator5]],dados[[#This Row],[fator6]])</f>
        <v>#REF!</v>
      </c>
    </row>
    <row r="317" spans="1:23">
      <c r="A317" t="s">
        <v>17</v>
      </c>
      <c r="B317">
        <v>481510</v>
      </c>
      <c r="C317">
        <v>45</v>
      </c>
      <c r="D317">
        <v>30</v>
      </c>
      <c r="E317">
        <v>126</v>
      </c>
      <c r="F317">
        <v>9</v>
      </c>
      <c r="G317">
        <v>23</v>
      </c>
      <c r="H317">
        <v>22</v>
      </c>
      <c r="I317">
        <v>402</v>
      </c>
      <c r="J317">
        <v>0</v>
      </c>
      <c r="K317">
        <v>5.2549999999999999</v>
      </c>
      <c r="L317">
        <v>13.55</v>
      </c>
      <c r="M317">
        <v>115.2</v>
      </c>
      <c r="N317">
        <v>13.3</v>
      </c>
      <c r="O317">
        <v>1671</v>
      </c>
      <c r="P317">
        <v>0</v>
      </c>
      <c r="Q317" s="5" t="e">
        <f>IF(AND(#REF!&gt;=table!$C$6,#REF!&lt;= table!$D$6),-1,IF(AND(#REF!&gt;=table!$E$6,#REF!&lt;=table!$F$6),1,0))</f>
        <v>#REF!</v>
      </c>
      <c r="R317" s="5" t="e">
        <f>IF(AND(#REF!&gt;=table!$C$7,#REF!&lt;= table!$D$7),-1,IF(AND(#REF!&gt;=table!$E$7,#REF!&lt;=table!$F$7),1,0))</f>
        <v>#REF!</v>
      </c>
      <c r="S317" s="5" t="e">
        <f>IF(AND(#REF!&gt;=table!$C$8,#REF!&lt;= table!$D$8),-1,IF(AND(#REF!&gt;=table!$E$8,#REF!&lt;=table!$F$8),1,0))</f>
        <v>#REF!</v>
      </c>
      <c r="T317" s="5"/>
      <c r="U317" s="5" t="e">
        <f>IF(AND(#REF!&gt;=table!$C$10,#REF!&lt;= table!$D$10),-1,IF(AND(#REF!&gt;=table!$E$10,#REF!&lt;=table!$F$10),1,0))</f>
        <v>#REF!</v>
      </c>
      <c r="V317" s="5" t="e">
        <f>IF(AND(#REF!&gt;=table!$C$11,#REF!&lt;= table!$D$11),-1,IF(AND(#REF!&gt;=table!$E$11,#REF!&lt;=table!$F$11),1,0))</f>
        <v>#REF!</v>
      </c>
      <c r="W317" s="5" t="e">
        <f>CONCATENATE(dados[[#This Row],[fator1]],dados[[#This Row],[fator5]],dados[[#This Row],[fator6]])</f>
        <v>#REF!</v>
      </c>
    </row>
    <row r="318" spans="1:23">
      <c r="A318" t="s">
        <v>17</v>
      </c>
      <c r="B318">
        <v>481511</v>
      </c>
      <c r="C318">
        <v>46</v>
      </c>
      <c r="D318">
        <v>18</v>
      </c>
      <c r="E318">
        <v>66</v>
      </c>
      <c r="F318">
        <v>10</v>
      </c>
      <c r="G318">
        <v>20</v>
      </c>
      <c r="H318">
        <v>23</v>
      </c>
      <c r="I318">
        <v>475</v>
      </c>
      <c r="J318">
        <v>0</v>
      </c>
      <c r="K318">
        <v>14.095000000000001</v>
      </c>
      <c r="L318">
        <v>15.3</v>
      </c>
      <c r="M318">
        <v>58.65</v>
      </c>
      <c r="N318">
        <v>12.05</v>
      </c>
      <c r="O318">
        <v>1657</v>
      </c>
      <c r="P318">
        <v>0</v>
      </c>
      <c r="Q318" s="5" t="e">
        <f>IF(AND(#REF!&gt;=table!$C$6,#REF!&lt;= table!$D$6),-1,IF(AND(#REF!&gt;=table!$E$6,#REF!&lt;=table!$F$6),1,0))</f>
        <v>#REF!</v>
      </c>
      <c r="R318" s="5" t="e">
        <f>IF(AND(#REF!&gt;=table!$C$7,#REF!&lt;= table!$D$7),-1,IF(AND(#REF!&gt;=table!$E$7,#REF!&lt;=table!$F$7),1,0))</f>
        <v>#REF!</v>
      </c>
      <c r="S318" s="5" t="e">
        <f>IF(AND(#REF!&gt;=table!$C$8,#REF!&lt;= table!$D$8),-1,IF(AND(#REF!&gt;=table!$E$8,#REF!&lt;=table!$F$8),1,0))</f>
        <v>#REF!</v>
      </c>
      <c r="T318" s="5"/>
      <c r="U318" s="5" t="e">
        <f>IF(AND(#REF!&gt;=table!$C$10,#REF!&lt;= table!$D$10),-1,IF(AND(#REF!&gt;=table!$E$10,#REF!&lt;=table!$F$10),1,0))</f>
        <v>#REF!</v>
      </c>
      <c r="V318" s="5" t="e">
        <f>IF(AND(#REF!&gt;=table!$C$11,#REF!&lt;= table!$D$11),-1,IF(AND(#REF!&gt;=table!$E$11,#REF!&lt;=table!$F$11),1,0))</f>
        <v>#REF!</v>
      </c>
      <c r="W318" s="5" t="e">
        <f>CONCATENATE(dados[[#This Row],[fator1]],dados[[#This Row],[fator5]],dados[[#This Row],[fator6]])</f>
        <v>#REF!</v>
      </c>
    </row>
    <row r="319" spans="1:23">
      <c r="A319" t="s">
        <v>16</v>
      </c>
      <c r="B319">
        <v>481512</v>
      </c>
      <c r="C319">
        <v>9</v>
      </c>
      <c r="D319">
        <v>35</v>
      </c>
      <c r="E319">
        <v>36</v>
      </c>
      <c r="F319">
        <v>9</v>
      </c>
      <c r="G319">
        <v>0</v>
      </c>
      <c r="H319">
        <v>25</v>
      </c>
      <c r="I319">
        <v>1229</v>
      </c>
      <c r="J319">
        <v>0</v>
      </c>
      <c r="K319">
        <v>4.92</v>
      </c>
      <c r="L319">
        <v>12.1</v>
      </c>
      <c r="M319">
        <v>32.480000000000004</v>
      </c>
      <c r="N319">
        <v>13.985000000000001</v>
      </c>
      <c r="O319">
        <v>1675</v>
      </c>
      <c r="P319">
        <v>649</v>
      </c>
      <c r="Q319" s="5" t="e">
        <f>IF(AND(#REF!&gt;=table!$C$6,#REF!&lt;= table!$D$6),-1,IF(AND(#REF!&gt;=table!$E$6,#REF!&lt;=table!$F$6),1,0))</f>
        <v>#REF!</v>
      </c>
      <c r="R319" s="5" t="e">
        <f>IF(AND(#REF!&gt;=table!$C$7,#REF!&lt;= table!$D$7),-1,IF(AND(#REF!&gt;=table!$E$7,#REF!&lt;=table!$F$7),1,0))</f>
        <v>#REF!</v>
      </c>
      <c r="S319" s="5" t="e">
        <f>IF(AND(#REF!&gt;=table!$C$8,#REF!&lt;= table!$D$8),-1,IF(AND(#REF!&gt;=table!$E$8,#REF!&lt;=table!$F$8),1,0))</f>
        <v>#REF!</v>
      </c>
      <c r="T319" s="5"/>
      <c r="U319" s="5" t="e">
        <f>IF(AND(#REF!&gt;=table!$C$10,#REF!&lt;= table!$D$10),-1,IF(AND(#REF!&gt;=table!$E$10,#REF!&lt;=table!$F$10),1,0))</f>
        <v>#REF!</v>
      </c>
      <c r="V319" s="5" t="e">
        <f>IF(AND(#REF!&gt;=table!$C$11,#REF!&lt;= table!$D$11),-1,IF(AND(#REF!&gt;=table!$E$11,#REF!&lt;=table!$F$11),1,0))</f>
        <v>#REF!</v>
      </c>
      <c r="W319" s="5" t="e">
        <f>CONCATENATE(dados[[#This Row],[fator1]],dados[[#This Row],[fator5]],dados[[#This Row],[fator6]])</f>
        <v>#REF!</v>
      </c>
    </row>
    <row r="320" spans="1:23">
      <c r="A320" t="s">
        <v>16</v>
      </c>
      <c r="B320">
        <v>481513</v>
      </c>
      <c r="C320">
        <v>9</v>
      </c>
      <c r="D320">
        <v>35</v>
      </c>
      <c r="E320">
        <v>36</v>
      </c>
      <c r="F320">
        <v>9</v>
      </c>
      <c r="G320">
        <v>0</v>
      </c>
      <c r="H320">
        <v>25</v>
      </c>
      <c r="I320">
        <v>196</v>
      </c>
      <c r="J320">
        <v>0</v>
      </c>
      <c r="K320">
        <v>5.22</v>
      </c>
      <c r="L320">
        <v>12.32</v>
      </c>
      <c r="M320">
        <v>27.400000000000002</v>
      </c>
      <c r="N320">
        <v>12.85</v>
      </c>
      <c r="O320">
        <v>1664</v>
      </c>
      <c r="P320">
        <v>735</v>
      </c>
      <c r="Q320" s="5" t="e">
        <f>IF(AND(#REF!&gt;=table!$C$6,#REF!&lt;= table!$D$6),-1,IF(AND(#REF!&gt;=table!$E$6,#REF!&lt;=table!$F$6),1,0))</f>
        <v>#REF!</v>
      </c>
      <c r="R320" s="5" t="e">
        <f>IF(AND(#REF!&gt;=table!$C$7,#REF!&lt;= table!$D$7),-1,IF(AND(#REF!&gt;=table!$E$7,#REF!&lt;=table!$F$7),1,0))</f>
        <v>#REF!</v>
      </c>
      <c r="S320" s="5" t="e">
        <f>IF(AND(#REF!&gt;=table!$C$8,#REF!&lt;= table!$D$8),-1,IF(AND(#REF!&gt;=table!$E$8,#REF!&lt;=table!$F$8),1,0))</f>
        <v>#REF!</v>
      </c>
      <c r="T320" s="5"/>
      <c r="U320" s="5" t="e">
        <f>IF(AND(#REF!&gt;=table!$C$10,#REF!&lt;= table!$D$10),-1,IF(AND(#REF!&gt;=table!$E$10,#REF!&lt;=table!$F$10),1,0))</f>
        <v>#REF!</v>
      </c>
      <c r="V320" s="5" t="e">
        <f>IF(AND(#REF!&gt;=table!$C$11,#REF!&lt;= table!$D$11),-1,IF(AND(#REF!&gt;=table!$E$11,#REF!&lt;=table!$F$11),1,0))</f>
        <v>#REF!</v>
      </c>
      <c r="W320" s="5" t="e">
        <f>CONCATENATE(dados[[#This Row],[fator1]],dados[[#This Row],[fator5]],dados[[#This Row],[fator6]])</f>
        <v>#REF!</v>
      </c>
    </row>
    <row r="321" spans="1:23">
      <c r="A321" t="s">
        <v>17</v>
      </c>
      <c r="B321">
        <v>481514</v>
      </c>
      <c r="C321">
        <v>14</v>
      </c>
      <c r="D321">
        <v>30</v>
      </c>
      <c r="E321">
        <v>110</v>
      </c>
      <c r="F321">
        <v>4</v>
      </c>
      <c r="G321">
        <v>20</v>
      </c>
      <c r="H321">
        <v>22</v>
      </c>
      <c r="I321">
        <v>0</v>
      </c>
      <c r="J321">
        <v>0</v>
      </c>
      <c r="K321">
        <v>7.7150000000000007</v>
      </c>
      <c r="L321">
        <v>18.350000000000001</v>
      </c>
      <c r="M321">
        <v>96.5</v>
      </c>
      <c r="N321">
        <v>16.850000000000001</v>
      </c>
      <c r="O321">
        <v>1687</v>
      </c>
      <c r="P321">
        <v>0</v>
      </c>
      <c r="Q321" s="5" t="e">
        <f>IF(AND(#REF!&gt;=table!$C$6,#REF!&lt;= table!$D$6),-1,IF(AND(#REF!&gt;=table!$E$6,#REF!&lt;=table!$F$6),1,0))</f>
        <v>#REF!</v>
      </c>
      <c r="R321" s="5" t="e">
        <f>IF(AND(#REF!&gt;=table!$C$7,#REF!&lt;= table!$D$7),-1,IF(AND(#REF!&gt;=table!$E$7,#REF!&lt;=table!$F$7),1,0))</f>
        <v>#REF!</v>
      </c>
      <c r="S321" s="5" t="e">
        <f>IF(AND(#REF!&gt;=table!$C$8,#REF!&lt;= table!$D$8),-1,IF(AND(#REF!&gt;=table!$E$8,#REF!&lt;=table!$F$8),1,0))</f>
        <v>#REF!</v>
      </c>
      <c r="T321" s="5"/>
      <c r="U321" s="5" t="e">
        <f>IF(AND(#REF!&gt;=table!$C$10,#REF!&lt;= table!$D$10),-1,IF(AND(#REF!&gt;=table!$E$10,#REF!&lt;=table!$F$10),1,0))</f>
        <v>#REF!</v>
      </c>
      <c r="V321" s="5" t="e">
        <f>IF(AND(#REF!&gt;=table!$C$11,#REF!&lt;= table!$D$11),-1,IF(AND(#REF!&gt;=table!$E$11,#REF!&lt;=table!$F$11),1,0))</f>
        <v>#REF!</v>
      </c>
      <c r="W321" s="5" t="e">
        <f>CONCATENATE(dados[[#This Row],[fator1]],dados[[#This Row],[fator5]],dados[[#This Row],[fator6]])</f>
        <v>#REF!</v>
      </c>
    </row>
    <row r="322" spans="1:23">
      <c r="A322" t="s">
        <v>17</v>
      </c>
      <c r="B322">
        <v>481515</v>
      </c>
      <c r="C322">
        <v>14</v>
      </c>
      <c r="D322">
        <v>30</v>
      </c>
      <c r="E322">
        <v>110</v>
      </c>
      <c r="F322">
        <v>4</v>
      </c>
      <c r="G322">
        <v>20</v>
      </c>
      <c r="H322">
        <v>22</v>
      </c>
      <c r="I322">
        <v>0</v>
      </c>
      <c r="J322">
        <v>0</v>
      </c>
      <c r="K322">
        <v>8.4250000000000007</v>
      </c>
      <c r="L322">
        <v>18.100000000000001</v>
      </c>
      <c r="M322">
        <v>87.55</v>
      </c>
      <c r="N322">
        <v>13.15</v>
      </c>
      <c r="O322">
        <v>1676</v>
      </c>
      <c r="P322">
        <v>380</v>
      </c>
      <c r="Q322" s="5" t="e">
        <f>IF(AND(#REF!&gt;=table!$C$6,#REF!&lt;= table!$D$6),-1,IF(AND(#REF!&gt;=table!$E$6,#REF!&lt;=table!$F$6),1,0))</f>
        <v>#REF!</v>
      </c>
      <c r="R322" s="5" t="e">
        <f>IF(AND(#REF!&gt;=table!$C$7,#REF!&lt;= table!$D$7),-1,IF(AND(#REF!&gt;=table!$E$7,#REF!&lt;=table!$F$7),1,0))</f>
        <v>#REF!</v>
      </c>
      <c r="S322" s="5" t="e">
        <f>IF(AND(#REF!&gt;=table!$C$8,#REF!&lt;= table!$D$8),-1,IF(AND(#REF!&gt;=table!$E$8,#REF!&lt;=table!$F$8),1,0))</f>
        <v>#REF!</v>
      </c>
      <c r="T322" s="5"/>
      <c r="U322" s="5" t="e">
        <f>IF(AND(#REF!&gt;=table!$C$10,#REF!&lt;= table!$D$10),-1,IF(AND(#REF!&gt;=table!$E$10,#REF!&lt;=table!$F$10),1,0))</f>
        <v>#REF!</v>
      </c>
      <c r="V322" s="5" t="e">
        <f>IF(AND(#REF!&gt;=table!$C$11,#REF!&lt;= table!$D$11),-1,IF(AND(#REF!&gt;=table!$E$11,#REF!&lt;=table!$F$11),1,0))</f>
        <v>#REF!</v>
      </c>
      <c r="W322" s="5" t="e">
        <f>CONCATENATE(dados[[#This Row],[fator1]],dados[[#This Row],[fator5]],dados[[#This Row],[fator6]])</f>
        <v>#REF!</v>
      </c>
    </row>
    <row r="323" spans="1:23">
      <c r="A323" t="s">
        <v>17</v>
      </c>
      <c r="B323">
        <v>481516</v>
      </c>
      <c r="C323">
        <v>14</v>
      </c>
      <c r="D323">
        <v>30</v>
      </c>
      <c r="E323">
        <v>110</v>
      </c>
      <c r="F323">
        <v>4</v>
      </c>
      <c r="G323">
        <v>20</v>
      </c>
      <c r="H323">
        <v>22</v>
      </c>
      <c r="I323">
        <v>857</v>
      </c>
      <c r="J323">
        <v>0</v>
      </c>
      <c r="K323">
        <v>3.8050000000000002</v>
      </c>
      <c r="L323">
        <v>9.2000000000000011</v>
      </c>
      <c r="M323">
        <v>102.4</v>
      </c>
      <c r="N323">
        <v>11.85</v>
      </c>
      <c r="O323">
        <v>1685</v>
      </c>
      <c r="P323">
        <v>986</v>
      </c>
      <c r="Q323" s="5" t="e">
        <f>IF(AND(#REF!&gt;=table!$C$6,#REF!&lt;= table!$D$6),-1,IF(AND(#REF!&gt;=table!$E$6,#REF!&lt;=table!$F$6),1,0))</f>
        <v>#REF!</v>
      </c>
      <c r="R323" s="5" t="e">
        <f>IF(AND(#REF!&gt;=table!$C$7,#REF!&lt;= table!$D$7),-1,IF(AND(#REF!&gt;=table!$E$7,#REF!&lt;=table!$F$7),1,0))</f>
        <v>#REF!</v>
      </c>
      <c r="S323" s="5" t="e">
        <f>IF(AND(#REF!&gt;=table!$C$8,#REF!&lt;= table!$D$8),-1,IF(AND(#REF!&gt;=table!$E$8,#REF!&lt;=table!$F$8),1,0))</f>
        <v>#REF!</v>
      </c>
      <c r="T323" s="5"/>
      <c r="U323" s="5" t="e">
        <f>IF(AND(#REF!&gt;=table!$C$10,#REF!&lt;= table!$D$10),-1,IF(AND(#REF!&gt;=table!$E$10,#REF!&lt;=table!$F$10),1,0))</f>
        <v>#REF!</v>
      </c>
      <c r="V323" s="5" t="e">
        <f>IF(AND(#REF!&gt;=table!$C$11,#REF!&lt;= table!$D$11),-1,IF(AND(#REF!&gt;=table!$E$11,#REF!&lt;=table!$F$11),1,0))</f>
        <v>#REF!</v>
      </c>
      <c r="W323" s="5" t="e">
        <f>CONCATENATE(dados[[#This Row],[fator1]],dados[[#This Row],[fator5]],dados[[#This Row],[fator6]])</f>
        <v>#REF!</v>
      </c>
    </row>
    <row r="324" spans="1:23">
      <c r="A324" t="s">
        <v>16</v>
      </c>
      <c r="B324">
        <v>481517</v>
      </c>
      <c r="C324">
        <v>9</v>
      </c>
      <c r="D324">
        <v>40</v>
      </c>
      <c r="E324">
        <v>46</v>
      </c>
      <c r="F324">
        <v>15</v>
      </c>
      <c r="G324">
        <v>0</v>
      </c>
      <c r="H324">
        <v>25</v>
      </c>
      <c r="I324">
        <v>0</v>
      </c>
      <c r="J324">
        <v>0</v>
      </c>
      <c r="K324">
        <v>6.3550000000000004</v>
      </c>
      <c r="L324">
        <v>15.72</v>
      </c>
      <c r="M324">
        <v>42.25</v>
      </c>
      <c r="N324">
        <v>13.700000000000001</v>
      </c>
      <c r="O324">
        <v>1697</v>
      </c>
      <c r="P324">
        <v>637</v>
      </c>
      <c r="Q324" s="5" t="e">
        <f>IF(AND(#REF!&gt;=table!$C$6,#REF!&lt;= table!$D$6),-1,IF(AND(#REF!&gt;=table!$E$6,#REF!&lt;=table!$F$6),1,0))</f>
        <v>#REF!</v>
      </c>
      <c r="R324" s="5" t="e">
        <f>IF(AND(#REF!&gt;=table!$C$7,#REF!&lt;= table!$D$7),-1,IF(AND(#REF!&gt;=table!$E$7,#REF!&lt;=table!$F$7),1,0))</f>
        <v>#REF!</v>
      </c>
      <c r="S324" s="5" t="e">
        <f>IF(AND(#REF!&gt;=table!$C$8,#REF!&lt;= table!$D$8),-1,IF(AND(#REF!&gt;=table!$E$8,#REF!&lt;=table!$F$8),1,0))</f>
        <v>#REF!</v>
      </c>
      <c r="T324" s="5"/>
      <c r="U324" s="5" t="e">
        <f>IF(AND(#REF!&gt;=table!$C$10,#REF!&lt;= table!$D$10),-1,IF(AND(#REF!&gt;=table!$E$10,#REF!&lt;=table!$F$10),1,0))</f>
        <v>#REF!</v>
      </c>
      <c r="V324" s="5" t="e">
        <f>IF(AND(#REF!&gt;=table!$C$11,#REF!&lt;= table!$D$11),-1,IF(AND(#REF!&gt;=table!$E$11,#REF!&lt;=table!$F$11),1,0))</f>
        <v>#REF!</v>
      </c>
      <c r="W324" s="5" t="e">
        <f>CONCATENATE(dados[[#This Row],[fator1]],dados[[#This Row],[fator5]],dados[[#This Row],[fator6]])</f>
        <v>#REF!</v>
      </c>
    </row>
    <row r="325" spans="1:23">
      <c r="A325" t="s">
        <v>17</v>
      </c>
      <c r="B325">
        <v>481519</v>
      </c>
      <c r="C325">
        <v>14</v>
      </c>
      <c r="D325">
        <v>30</v>
      </c>
      <c r="E325">
        <v>110</v>
      </c>
      <c r="F325">
        <v>3</v>
      </c>
      <c r="G325">
        <v>20</v>
      </c>
      <c r="H325">
        <v>22</v>
      </c>
      <c r="I325">
        <v>681</v>
      </c>
      <c r="J325">
        <v>0</v>
      </c>
      <c r="K325">
        <v>4.2149999999999999</v>
      </c>
      <c r="L325">
        <v>11.4</v>
      </c>
      <c r="M325">
        <v>100.75</v>
      </c>
      <c r="N325">
        <v>13.9</v>
      </c>
      <c r="O325">
        <v>1685</v>
      </c>
      <c r="P325">
        <v>868</v>
      </c>
      <c r="Q325" s="5" t="e">
        <f>IF(AND(#REF!&gt;=table!$C$6,#REF!&lt;= table!$D$6),-1,IF(AND(#REF!&gt;=table!$E$6,#REF!&lt;=table!$F$6),1,0))</f>
        <v>#REF!</v>
      </c>
      <c r="R325" s="5" t="e">
        <f>IF(AND(#REF!&gt;=table!$C$7,#REF!&lt;= table!$D$7),-1,IF(AND(#REF!&gt;=table!$E$7,#REF!&lt;=table!$F$7),1,0))</f>
        <v>#REF!</v>
      </c>
      <c r="S325" s="5" t="e">
        <f>IF(AND(#REF!&gt;=table!$C$8,#REF!&lt;= table!$D$8),-1,IF(AND(#REF!&gt;=table!$E$8,#REF!&lt;=table!$F$8),1,0))</f>
        <v>#REF!</v>
      </c>
      <c r="T325" s="5"/>
      <c r="U325" s="5" t="e">
        <f>IF(AND(#REF!&gt;=table!$C$10,#REF!&lt;= table!$D$10),-1,IF(AND(#REF!&gt;=table!$E$10,#REF!&lt;=table!$F$10),1,0))</f>
        <v>#REF!</v>
      </c>
      <c r="V325" s="5" t="e">
        <f>IF(AND(#REF!&gt;=table!$C$11,#REF!&lt;= table!$D$11),-1,IF(AND(#REF!&gt;=table!$E$11,#REF!&lt;=table!$F$11),1,0))</f>
        <v>#REF!</v>
      </c>
      <c r="W325" s="5" t="e">
        <f>CONCATENATE(dados[[#This Row],[fator1]],dados[[#This Row],[fator5]],dados[[#This Row],[fator6]])</f>
        <v>#REF!</v>
      </c>
    </row>
    <row r="326" spans="1:23">
      <c r="A326" t="s">
        <v>17</v>
      </c>
      <c r="B326">
        <v>481520</v>
      </c>
      <c r="C326">
        <v>8</v>
      </c>
      <c r="D326">
        <v>30</v>
      </c>
      <c r="E326">
        <v>153</v>
      </c>
      <c r="F326">
        <v>2</v>
      </c>
      <c r="G326">
        <v>20</v>
      </c>
      <c r="H326">
        <v>18</v>
      </c>
      <c r="I326">
        <v>1133</v>
      </c>
      <c r="J326">
        <v>0</v>
      </c>
      <c r="K326">
        <v>4.01</v>
      </c>
      <c r="L326">
        <v>9.65</v>
      </c>
      <c r="M326">
        <v>135.45500000000001</v>
      </c>
      <c r="N326">
        <v>13.35</v>
      </c>
      <c r="O326">
        <v>1681</v>
      </c>
      <c r="P326">
        <v>904</v>
      </c>
      <c r="Q326" s="5" t="e">
        <f>IF(AND(#REF!&gt;=table!$C$6,#REF!&lt;= table!$D$6),-1,IF(AND(#REF!&gt;=table!$E$6,#REF!&lt;=table!$F$6),1,0))</f>
        <v>#REF!</v>
      </c>
      <c r="R326" s="5" t="e">
        <f>IF(AND(#REF!&gt;=table!$C$7,#REF!&lt;= table!$D$7),-1,IF(AND(#REF!&gt;=table!$E$7,#REF!&lt;=table!$F$7),1,0))</f>
        <v>#REF!</v>
      </c>
      <c r="S326" s="5" t="e">
        <f>IF(AND(#REF!&gt;=table!$C$8,#REF!&lt;= table!$D$8),-1,IF(AND(#REF!&gt;=table!$E$8,#REF!&lt;=table!$F$8),1,0))</f>
        <v>#REF!</v>
      </c>
      <c r="T326" s="5"/>
      <c r="U326" s="5" t="e">
        <f>IF(AND(#REF!&gt;=table!$C$10,#REF!&lt;= table!$D$10),-1,IF(AND(#REF!&gt;=table!$E$10,#REF!&lt;=table!$F$10),1,0))</f>
        <v>#REF!</v>
      </c>
      <c r="V326" s="5" t="e">
        <f>IF(AND(#REF!&gt;=table!$C$11,#REF!&lt;= table!$D$11),-1,IF(AND(#REF!&gt;=table!$E$11,#REF!&lt;=table!$F$11),1,0))</f>
        <v>#REF!</v>
      </c>
      <c r="W326" s="5" t="e">
        <f>CONCATENATE(dados[[#This Row],[fator1]],dados[[#This Row],[fator5]],dados[[#This Row],[fator6]])</f>
        <v>#REF!</v>
      </c>
    </row>
    <row r="327" spans="1:23">
      <c r="A327" t="s">
        <v>16</v>
      </c>
      <c r="B327">
        <v>481521</v>
      </c>
      <c r="C327">
        <v>0.15</v>
      </c>
      <c r="D327">
        <v>40</v>
      </c>
      <c r="E327">
        <v>10</v>
      </c>
      <c r="F327">
        <v>15</v>
      </c>
      <c r="G327">
        <v>0</v>
      </c>
      <c r="H327">
        <v>15</v>
      </c>
      <c r="I327">
        <v>944</v>
      </c>
      <c r="J327">
        <v>0</v>
      </c>
      <c r="K327">
        <v>6.4950000000000001</v>
      </c>
      <c r="L327">
        <v>12.5</v>
      </c>
      <c r="M327">
        <v>11.75</v>
      </c>
      <c r="N327">
        <v>8.6</v>
      </c>
      <c r="O327">
        <v>1670</v>
      </c>
      <c r="P327">
        <v>0</v>
      </c>
      <c r="Q327" s="5" t="e">
        <f>IF(AND(#REF!&gt;=table!$C$6,#REF!&lt;= table!$D$6),-1,IF(AND(#REF!&gt;=table!$E$6,#REF!&lt;=table!$F$6),1,0))</f>
        <v>#REF!</v>
      </c>
      <c r="R327" s="5" t="e">
        <f>IF(AND(#REF!&gt;=table!$C$7,#REF!&lt;= table!$D$7),-1,IF(AND(#REF!&gt;=table!$E$7,#REF!&lt;=table!$F$7),1,0))</f>
        <v>#REF!</v>
      </c>
      <c r="S327" s="5" t="e">
        <f>IF(AND(#REF!&gt;=table!$C$8,#REF!&lt;= table!$D$8),-1,IF(AND(#REF!&gt;=table!$E$8,#REF!&lt;=table!$F$8),1,0))</f>
        <v>#REF!</v>
      </c>
      <c r="T327" s="5"/>
      <c r="U327" s="5" t="e">
        <f>IF(AND(#REF!&gt;=table!$C$10,#REF!&lt;= table!$D$10),-1,IF(AND(#REF!&gt;=table!$E$10,#REF!&lt;=table!$F$10),1,0))</f>
        <v>#REF!</v>
      </c>
      <c r="V327" s="5" t="e">
        <f>IF(AND(#REF!&gt;=table!$C$11,#REF!&lt;= table!$D$11),-1,IF(AND(#REF!&gt;=table!$E$11,#REF!&lt;=table!$F$11),1,0))</f>
        <v>#REF!</v>
      </c>
      <c r="W327" s="5" t="e">
        <f>CONCATENATE(dados[[#This Row],[fator1]],dados[[#This Row],[fator5]],dados[[#This Row],[fator6]])</f>
        <v>#REF!</v>
      </c>
    </row>
    <row r="328" spans="1:23">
      <c r="A328" t="s">
        <v>17</v>
      </c>
      <c r="B328">
        <v>481528</v>
      </c>
      <c r="C328">
        <v>24</v>
      </c>
      <c r="D328">
        <v>35</v>
      </c>
      <c r="E328">
        <v>125</v>
      </c>
      <c r="F328">
        <v>3</v>
      </c>
      <c r="G328">
        <v>22</v>
      </c>
      <c r="H328">
        <v>25</v>
      </c>
      <c r="I328">
        <v>1196</v>
      </c>
      <c r="J328">
        <v>0</v>
      </c>
      <c r="K328">
        <v>4.01</v>
      </c>
      <c r="L328">
        <v>7.1150000000000002</v>
      </c>
      <c r="M328">
        <v>114.00500000000001</v>
      </c>
      <c r="N328">
        <v>11.91</v>
      </c>
      <c r="O328">
        <v>1681</v>
      </c>
      <c r="P328">
        <v>0</v>
      </c>
      <c r="Q328" s="5" t="e">
        <f>IF(AND(#REF!&gt;=table!$C$6,#REF!&lt;= table!$D$6),-1,IF(AND(#REF!&gt;=table!$E$6,#REF!&lt;=table!$F$6),1,0))</f>
        <v>#REF!</v>
      </c>
      <c r="R328" s="5" t="e">
        <f>IF(AND(#REF!&gt;=table!$C$7,#REF!&lt;= table!$D$7),-1,IF(AND(#REF!&gt;=table!$E$7,#REF!&lt;=table!$F$7),1,0))</f>
        <v>#REF!</v>
      </c>
      <c r="S328" s="5" t="e">
        <f>IF(AND(#REF!&gt;=table!$C$8,#REF!&lt;= table!$D$8),-1,IF(AND(#REF!&gt;=table!$E$8,#REF!&lt;=table!$F$8),1,0))</f>
        <v>#REF!</v>
      </c>
      <c r="T328" s="5"/>
      <c r="U328" s="5" t="e">
        <f>IF(AND(#REF!&gt;=table!$C$10,#REF!&lt;= table!$D$10),-1,IF(AND(#REF!&gt;=table!$E$10,#REF!&lt;=table!$F$10),1,0))</f>
        <v>#REF!</v>
      </c>
      <c r="V328" s="5" t="e">
        <f>IF(AND(#REF!&gt;=table!$C$11,#REF!&lt;= table!$D$11),-1,IF(AND(#REF!&gt;=table!$E$11,#REF!&lt;=table!$F$11),1,0))</f>
        <v>#REF!</v>
      </c>
      <c r="W328" s="5" t="e">
        <f>CONCATENATE(dados[[#This Row],[fator1]],dados[[#This Row],[fator5]],dados[[#This Row],[fator6]])</f>
        <v>#REF!</v>
      </c>
    </row>
    <row r="329" spans="1:23">
      <c r="A329" t="s">
        <v>17</v>
      </c>
      <c r="B329">
        <v>481530</v>
      </c>
      <c r="C329">
        <v>14</v>
      </c>
      <c r="D329">
        <v>30</v>
      </c>
      <c r="E329">
        <v>210</v>
      </c>
      <c r="F329">
        <v>3</v>
      </c>
      <c r="G329">
        <v>40</v>
      </c>
      <c r="H329">
        <v>25</v>
      </c>
      <c r="I329">
        <v>1779</v>
      </c>
      <c r="J329">
        <v>650</v>
      </c>
      <c r="K329">
        <v>10.3</v>
      </c>
      <c r="L329">
        <v>25.805</v>
      </c>
      <c r="M329">
        <v>178.345</v>
      </c>
      <c r="N329">
        <v>13.77</v>
      </c>
      <c r="O329">
        <v>1698</v>
      </c>
      <c r="P329">
        <v>380</v>
      </c>
      <c r="Q329" s="5" t="e">
        <f>IF(AND(#REF!&gt;=table!$C$6,#REF!&lt;= table!$D$6),-1,IF(AND(#REF!&gt;=table!$E$6,#REF!&lt;=table!$F$6),1,0))</f>
        <v>#REF!</v>
      </c>
      <c r="R329" s="5" t="e">
        <f>IF(AND(#REF!&gt;=table!$C$7,#REF!&lt;= table!$D$7),-1,IF(AND(#REF!&gt;=table!$E$7,#REF!&lt;=table!$F$7),1,0))</f>
        <v>#REF!</v>
      </c>
      <c r="S329" s="5" t="e">
        <f>IF(AND(#REF!&gt;=table!$C$8,#REF!&lt;= table!$D$8),-1,IF(AND(#REF!&gt;=table!$E$8,#REF!&lt;=table!$F$8),1,0))</f>
        <v>#REF!</v>
      </c>
      <c r="T329" s="5"/>
      <c r="U329" s="5" t="e">
        <f>IF(AND(#REF!&gt;=table!$C$10,#REF!&lt;= table!$D$10),-1,IF(AND(#REF!&gt;=table!$E$10,#REF!&lt;=table!$F$10),1,0))</f>
        <v>#REF!</v>
      </c>
      <c r="V329" s="5" t="e">
        <f>IF(AND(#REF!&gt;=table!$C$11,#REF!&lt;= table!$D$11),-1,IF(AND(#REF!&gt;=table!$E$11,#REF!&lt;=table!$F$11),1,0))</f>
        <v>#REF!</v>
      </c>
      <c r="W329" s="5" t="e">
        <f>CONCATENATE(dados[[#This Row],[fator1]],dados[[#This Row],[fator5]],dados[[#This Row],[fator6]])</f>
        <v>#REF!</v>
      </c>
    </row>
    <row r="330" spans="1:23">
      <c r="A330" t="s">
        <v>17</v>
      </c>
      <c r="B330">
        <v>481531</v>
      </c>
      <c r="C330">
        <v>14</v>
      </c>
      <c r="D330">
        <v>30</v>
      </c>
      <c r="E330">
        <v>210</v>
      </c>
      <c r="F330">
        <v>3</v>
      </c>
      <c r="G330">
        <v>40</v>
      </c>
      <c r="H330">
        <v>25</v>
      </c>
      <c r="I330">
        <v>1169</v>
      </c>
      <c r="J330">
        <v>0</v>
      </c>
      <c r="K330">
        <v>3.8450000000000002</v>
      </c>
      <c r="L330">
        <v>15.1</v>
      </c>
      <c r="M330">
        <v>175.79</v>
      </c>
      <c r="N330">
        <v>16.240000000000002</v>
      </c>
      <c r="O330">
        <v>1698</v>
      </c>
      <c r="P330">
        <v>876</v>
      </c>
      <c r="Q330" s="5" t="e">
        <f>IF(AND(#REF!&gt;=table!$C$6,#REF!&lt;= table!$D$6),-1,IF(AND(#REF!&gt;=table!$E$6,#REF!&lt;=table!$F$6),1,0))</f>
        <v>#REF!</v>
      </c>
      <c r="R330" s="5" t="e">
        <f>IF(AND(#REF!&gt;=table!$C$7,#REF!&lt;= table!$D$7),-1,IF(AND(#REF!&gt;=table!$E$7,#REF!&lt;=table!$F$7),1,0))</f>
        <v>#REF!</v>
      </c>
      <c r="S330" s="5" t="e">
        <f>IF(AND(#REF!&gt;=table!$C$8,#REF!&lt;= table!$D$8),-1,IF(AND(#REF!&gt;=table!$E$8,#REF!&lt;=table!$F$8),1,0))</f>
        <v>#REF!</v>
      </c>
      <c r="T330" s="5"/>
      <c r="U330" s="5" t="e">
        <f>IF(AND(#REF!&gt;=table!$C$10,#REF!&lt;= table!$D$10),-1,IF(AND(#REF!&gt;=table!$E$10,#REF!&lt;=table!$F$10),1,0))</f>
        <v>#REF!</v>
      </c>
      <c r="V330" s="5" t="e">
        <f>IF(AND(#REF!&gt;=table!$C$11,#REF!&lt;= table!$D$11),-1,IF(AND(#REF!&gt;=table!$E$11,#REF!&lt;=table!$F$11),1,0))</f>
        <v>#REF!</v>
      </c>
      <c r="W330" s="5" t="e">
        <f>CONCATENATE(dados[[#This Row],[fator1]],dados[[#This Row],[fator5]],dados[[#This Row],[fator6]])</f>
        <v>#REF!</v>
      </c>
    </row>
    <row r="331" spans="1:23">
      <c r="A331" t="s">
        <v>16</v>
      </c>
      <c r="B331">
        <v>481532</v>
      </c>
      <c r="C331">
        <v>6</v>
      </c>
      <c r="D331">
        <v>25</v>
      </c>
      <c r="E331">
        <v>120</v>
      </c>
      <c r="F331">
        <v>4</v>
      </c>
      <c r="G331">
        <v>0</v>
      </c>
      <c r="H331">
        <v>55</v>
      </c>
      <c r="I331">
        <v>516</v>
      </c>
      <c r="J331">
        <v>460</v>
      </c>
      <c r="K331">
        <v>4.88</v>
      </c>
      <c r="L331">
        <v>16.45</v>
      </c>
      <c r="M331">
        <v>61.865000000000002</v>
      </c>
      <c r="N331">
        <v>23.95</v>
      </c>
      <c r="O331">
        <v>1707</v>
      </c>
      <c r="P331">
        <v>721</v>
      </c>
      <c r="Q331" s="5" t="e">
        <f>IF(AND(#REF!&gt;=table!$C$6,#REF!&lt;= table!$D$6),-1,IF(AND(#REF!&gt;=table!$E$6,#REF!&lt;=table!$F$6),1,0))</f>
        <v>#REF!</v>
      </c>
      <c r="R331" s="5" t="e">
        <f>IF(AND(#REF!&gt;=table!$C$7,#REF!&lt;= table!$D$7),-1,IF(AND(#REF!&gt;=table!$E$7,#REF!&lt;=table!$F$7),1,0))</f>
        <v>#REF!</v>
      </c>
      <c r="S331" s="5" t="e">
        <f>IF(AND(#REF!&gt;=table!$C$8,#REF!&lt;= table!$D$8),-1,IF(AND(#REF!&gt;=table!$E$8,#REF!&lt;=table!$F$8),1,0))</f>
        <v>#REF!</v>
      </c>
      <c r="T331" s="5"/>
      <c r="U331" s="5" t="e">
        <f>IF(AND(#REF!&gt;=table!$C$10,#REF!&lt;= table!$D$10),-1,IF(AND(#REF!&gt;=table!$E$10,#REF!&lt;=table!$F$10),1,0))</f>
        <v>#REF!</v>
      </c>
      <c r="V331" s="5" t="e">
        <f>IF(AND(#REF!&gt;=table!$C$11,#REF!&lt;= table!$D$11),-1,IF(AND(#REF!&gt;=table!$E$11,#REF!&lt;=table!$F$11),1,0))</f>
        <v>#REF!</v>
      </c>
      <c r="W331" s="5" t="e">
        <f>CONCATENATE(dados[[#This Row],[fator1]],dados[[#This Row],[fator5]],dados[[#This Row],[fator6]])</f>
        <v>#REF!</v>
      </c>
    </row>
    <row r="332" spans="1:23">
      <c r="A332" t="s">
        <v>16</v>
      </c>
      <c r="B332">
        <v>481536</v>
      </c>
      <c r="C332">
        <v>0.23</v>
      </c>
      <c r="D332">
        <v>65</v>
      </c>
      <c r="E332">
        <v>26</v>
      </c>
      <c r="F332">
        <v>15</v>
      </c>
      <c r="G332">
        <v>0</v>
      </c>
      <c r="H332">
        <v>35</v>
      </c>
      <c r="I332">
        <v>765</v>
      </c>
      <c r="J332">
        <v>0</v>
      </c>
      <c r="K332">
        <v>2.7250000000000001</v>
      </c>
      <c r="L332">
        <v>10.450000000000001</v>
      </c>
      <c r="M332">
        <v>9</v>
      </c>
      <c r="N332">
        <v>14.950000000000001</v>
      </c>
      <c r="O332">
        <v>1702</v>
      </c>
      <c r="P332">
        <v>1342</v>
      </c>
      <c r="Q332" s="5" t="e">
        <f>IF(AND(#REF!&gt;=table!$C$6,#REF!&lt;= table!$D$6),-1,IF(AND(#REF!&gt;=table!$E$6,#REF!&lt;=table!$F$6),1,0))</f>
        <v>#REF!</v>
      </c>
      <c r="R332" s="5" t="e">
        <f>IF(AND(#REF!&gt;=table!$C$7,#REF!&lt;= table!$D$7),-1,IF(AND(#REF!&gt;=table!$E$7,#REF!&lt;=table!$F$7),1,0))</f>
        <v>#REF!</v>
      </c>
      <c r="S332" s="5" t="e">
        <f>IF(AND(#REF!&gt;=table!$C$8,#REF!&lt;= table!$D$8),-1,IF(AND(#REF!&gt;=table!$E$8,#REF!&lt;=table!$F$8),1,0))</f>
        <v>#REF!</v>
      </c>
      <c r="T332" s="5"/>
      <c r="U332" s="5" t="e">
        <f>IF(AND(#REF!&gt;=table!$C$10,#REF!&lt;= table!$D$10),-1,IF(AND(#REF!&gt;=table!$E$10,#REF!&lt;=table!$F$10),1,0))</f>
        <v>#REF!</v>
      </c>
      <c r="V332" s="5" t="e">
        <f>IF(AND(#REF!&gt;=table!$C$11,#REF!&lt;= table!$D$11),-1,IF(AND(#REF!&gt;=table!$E$11,#REF!&lt;=table!$F$11),1,0))</f>
        <v>#REF!</v>
      </c>
      <c r="W332" s="5" t="e">
        <f>CONCATENATE(dados[[#This Row],[fator1]],dados[[#This Row],[fator5]],dados[[#This Row],[fator6]])</f>
        <v>#REF!</v>
      </c>
    </row>
    <row r="333" spans="1:23">
      <c r="A333" t="s">
        <v>16</v>
      </c>
      <c r="B333">
        <v>481542</v>
      </c>
      <c r="C333">
        <v>9</v>
      </c>
      <c r="D333">
        <v>27</v>
      </c>
      <c r="E333">
        <v>36</v>
      </c>
      <c r="F333">
        <v>8</v>
      </c>
      <c r="G333">
        <v>0</v>
      </c>
      <c r="H333">
        <v>25</v>
      </c>
      <c r="I333">
        <v>3</v>
      </c>
      <c r="J333">
        <v>0</v>
      </c>
      <c r="K333">
        <v>4.24</v>
      </c>
      <c r="L333">
        <v>13.65</v>
      </c>
      <c r="M333">
        <v>34.5</v>
      </c>
      <c r="N333">
        <v>10.15</v>
      </c>
      <c r="O333">
        <v>1697</v>
      </c>
      <c r="P333">
        <v>0</v>
      </c>
      <c r="Q333" s="5" t="e">
        <f>IF(AND(#REF!&gt;=table!$C$6,#REF!&lt;= table!$D$6),-1,IF(AND(#REF!&gt;=table!$E$6,#REF!&lt;=table!$F$6),1,0))</f>
        <v>#REF!</v>
      </c>
      <c r="R333" s="5" t="e">
        <f>IF(AND(#REF!&gt;=table!$C$7,#REF!&lt;= table!$D$7),-1,IF(AND(#REF!&gt;=table!$E$7,#REF!&lt;=table!$F$7),1,0))</f>
        <v>#REF!</v>
      </c>
      <c r="S333" s="5" t="e">
        <f>IF(AND(#REF!&gt;=table!$C$8,#REF!&lt;= table!$D$8),-1,IF(AND(#REF!&gt;=table!$E$8,#REF!&lt;=table!$F$8),1,0))</f>
        <v>#REF!</v>
      </c>
      <c r="T333" s="5"/>
      <c r="U333" s="5" t="e">
        <f>IF(AND(#REF!&gt;=table!$C$10,#REF!&lt;= table!$D$10),-1,IF(AND(#REF!&gt;=table!$E$10,#REF!&lt;=table!$F$10),1,0))</f>
        <v>#REF!</v>
      </c>
      <c r="V333" s="5" t="e">
        <f>IF(AND(#REF!&gt;=table!$C$11,#REF!&lt;= table!$D$11),-1,IF(AND(#REF!&gt;=table!$E$11,#REF!&lt;=table!$F$11),1,0))</f>
        <v>#REF!</v>
      </c>
      <c r="W333" s="5" t="e">
        <f>CONCATENATE(dados[[#This Row],[fator1]],dados[[#This Row],[fator5]],dados[[#This Row],[fator6]])</f>
        <v>#REF!</v>
      </c>
    </row>
    <row r="334" spans="1:23">
      <c r="A334" t="s">
        <v>16</v>
      </c>
      <c r="B334">
        <v>481543</v>
      </c>
      <c r="C334">
        <v>9</v>
      </c>
      <c r="D334">
        <v>35</v>
      </c>
      <c r="E334">
        <v>36</v>
      </c>
      <c r="F334">
        <v>9</v>
      </c>
      <c r="G334">
        <v>0</v>
      </c>
      <c r="H334">
        <v>25</v>
      </c>
      <c r="I334">
        <v>985</v>
      </c>
      <c r="J334">
        <v>0</v>
      </c>
      <c r="K334">
        <v>9.5</v>
      </c>
      <c r="L334">
        <v>13.65</v>
      </c>
      <c r="M334">
        <v>27.55</v>
      </c>
      <c r="N334">
        <v>9.75</v>
      </c>
      <c r="O334">
        <v>1662</v>
      </c>
      <c r="P334">
        <v>352</v>
      </c>
      <c r="Q334" s="5" t="e">
        <f>IF(AND(#REF!&gt;=table!$C$6,#REF!&lt;= table!$D$6),-1,IF(AND(#REF!&gt;=table!$E$6,#REF!&lt;=table!$F$6),1,0))</f>
        <v>#REF!</v>
      </c>
      <c r="R334" s="5" t="e">
        <f>IF(AND(#REF!&gt;=table!$C$7,#REF!&lt;= table!$D$7),-1,IF(AND(#REF!&gt;=table!$E$7,#REF!&lt;=table!$F$7),1,0))</f>
        <v>#REF!</v>
      </c>
      <c r="S334" s="5" t="e">
        <f>IF(AND(#REF!&gt;=table!$C$8,#REF!&lt;= table!$D$8),-1,IF(AND(#REF!&gt;=table!$E$8,#REF!&lt;=table!$F$8),1,0))</f>
        <v>#REF!</v>
      </c>
      <c r="T334" s="5"/>
      <c r="U334" s="5" t="e">
        <f>IF(AND(#REF!&gt;=table!$C$10,#REF!&lt;= table!$D$10),-1,IF(AND(#REF!&gt;=table!$E$10,#REF!&lt;=table!$F$10),1,0))</f>
        <v>#REF!</v>
      </c>
      <c r="V334" s="5" t="e">
        <f>IF(AND(#REF!&gt;=table!$C$11,#REF!&lt;= table!$D$11),-1,IF(AND(#REF!&gt;=table!$E$11,#REF!&lt;=table!$F$11),1,0))</f>
        <v>#REF!</v>
      </c>
      <c r="W334" s="5" t="e">
        <f>CONCATENATE(dados[[#This Row],[fator1]],dados[[#This Row],[fator5]],dados[[#This Row],[fator6]])</f>
        <v>#REF!</v>
      </c>
    </row>
    <row r="335" spans="1:23">
      <c r="A335" t="s">
        <v>16</v>
      </c>
      <c r="B335">
        <v>481550</v>
      </c>
      <c r="C335">
        <v>6</v>
      </c>
      <c r="D335">
        <v>25</v>
      </c>
      <c r="E335">
        <v>120</v>
      </c>
      <c r="F335">
        <v>4</v>
      </c>
      <c r="G335">
        <v>0</v>
      </c>
      <c r="H335">
        <v>55</v>
      </c>
      <c r="I335">
        <v>3</v>
      </c>
      <c r="J335">
        <v>0</v>
      </c>
      <c r="K335">
        <v>3.855</v>
      </c>
      <c r="L335">
        <v>12.125</v>
      </c>
      <c r="M335">
        <v>96.55</v>
      </c>
      <c r="N335">
        <v>33.65</v>
      </c>
      <c r="O335">
        <v>1697</v>
      </c>
      <c r="P335">
        <v>0</v>
      </c>
      <c r="Q335" s="5" t="e">
        <f>IF(AND(#REF!&gt;=table!$C$6,#REF!&lt;= table!$D$6),-1,IF(AND(#REF!&gt;=table!$E$6,#REF!&lt;=table!$F$6),1,0))</f>
        <v>#REF!</v>
      </c>
      <c r="R335" s="5" t="e">
        <f>IF(AND(#REF!&gt;=table!$C$7,#REF!&lt;= table!$D$7),-1,IF(AND(#REF!&gt;=table!$E$7,#REF!&lt;=table!$F$7),1,0))</f>
        <v>#REF!</v>
      </c>
      <c r="S335" s="5" t="e">
        <f>IF(AND(#REF!&gt;=table!$C$8,#REF!&lt;= table!$D$8),-1,IF(AND(#REF!&gt;=table!$E$8,#REF!&lt;=table!$F$8),1,0))</f>
        <v>#REF!</v>
      </c>
      <c r="T335" s="5"/>
      <c r="U335" s="5" t="e">
        <f>IF(AND(#REF!&gt;=table!$C$10,#REF!&lt;= table!$D$10),-1,IF(AND(#REF!&gt;=table!$E$10,#REF!&lt;=table!$F$10),1,0))</f>
        <v>#REF!</v>
      </c>
      <c r="V335" s="5" t="e">
        <f>IF(AND(#REF!&gt;=table!$C$11,#REF!&lt;= table!$D$11),-1,IF(AND(#REF!&gt;=table!$E$11,#REF!&lt;=table!$F$11),1,0))</f>
        <v>#REF!</v>
      </c>
      <c r="W335" s="5" t="e">
        <f>CONCATENATE(dados[[#This Row],[fator1]],dados[[#This Row],[fator5]],dados[[#This Row],[fator6]])</f>
        <v>#REF!</v>
      </c>
    </row>
    <row r="336" spans="1:23">
      <c r="A336" t="s">
        <v>16</v>
      </c>
      <c r="B336">
        <v>481551</v>
      </c>
      <c r="C336">
        <v>6</v>
      </c>
      <c r="D336">
        <v>25</v>
      </c>
      <c r="E336">
        <v>120</v>
      </c>
      <c r="F336">
        <v>4</v>
      </c>
      <c r="G336">
        <v>0</v>
      </c>
      <c r="H336">
        <v>55</v>
      </c>
      <c r="I336">
        <v>548</v>
      </c>
      <c r="J336">
        <v>0</v>
      </c>
      <c r="K336">
        <v>4.6550000000000002</v>
      </c>
      <c r="L336">
        <v>15.9</v>
      </c>
      <c r="M336">
        <v>79.87</v>
      </c>
      <c r="N336">
        <v>36.045000000000002</v>
      </c>
      <c r="O336">
        <v>1687</v>
      </c>
      <c r="P336">
        <v>876</v>
      </c>
      <c r="Q336" s="5" t="e">
        <f>IF(AND(#REF!&gt;=table!$C$6,#REF!&lt;= table!$D$6),-1,IF(AND(#REF!&gt;=table!$E$6,#REF!&lt;=table!$F$6),1,0))</f>
        <v>#REF!</v>
      </c>
      <c r="R336" s="5" t="e">
        <f>IF(AND(#REF!&gt;=table!$C$7,#REF!&lt;= table!$D$7),-1,IF(AND(#REF!&gt;=table!$E$7,#REF!&lt;=table!$F$7),1,0))</f>
        <v>#REF!</v>
      </c>
      <c r="S336" s="5" t="e">
        <f>IF(AND(#REF!&gt;=table!$C$8,#REF!&lt;= table!$D$8),-1,IF(AND(#REF!&gt;=table!$E$8,#REF!&lt;=table!$F$8),1,0))</f>
        <v>#REF!</v>
      </c>
      <c r="T336" s="5"/>
      <c r="U336" s="5" t="e">
        <f>IF(AND(#REF!&gt;=table!$C$10,#REF!&lt;= table!$D$10),-1,IF(AND(#REF!&gt;=table!$E$10,#REF!&lt;=table!$F$10),1,0))</f>
        <v>#REF!</v>
      </c>
      <c r="V336" s="5" t="e">
        <f>IF(AND(#REF!&gt;=table!$C$11,#REF!&lt;= table!$D$11),-1,IF(AND(#REF!&gt;=table!$E$11,#REF!&lt;=table!$F$11),1,0))</f>
        <v>#REF!</v>
      </c>
      <c r="W336" s="5" t="e">
        <f>CONCATENATE(dados[[#This Row],[fator1]],dados[[#This Row],[fator5]],dados[[#This Row],[fator6]])</f>
        <v>#REF!</v>
      </c>
    </row>
    <row r="337" spans="1:23">
      <c r="A337" t="s">
        <v>16</v>
      </c>
      <c r="B337">
        <v>481555</v>
      </c>
      <c r="C337">
        <v>12</v>
      </c>
      <c r="D337">
        <v>35</v>
      </c>
      <c r="E337">
        <v>180</v>
      </c>
      <c r="F337">
        <v>6</v>
      </c>
      <c r="G337">
        <v>0</v>
      </c>
      <c r="H337">
        <v>20</v>
      </c>
      <c r="I337">
        <v>124</v>
      </c>
      <c r="J337">
        <v>0</v>
      </c>
      <c r="K337">
        <v>5.33</v>
      </c>
      <c r="L337">
        <v>15.8</v>
      </c>
      <c r="M337">
        <v>132.27000000000001</v>
      </c>
      <c r="N337">
        <v>14.450000000000001</v>
      </c>
      <c r="O337">
        <v>1685</v>
      </c>
      <c r="P337">
        <v>636</v>
      </c>
      <c r="Q337" s="5" t="e">
        <f>IF(AND(#REF!&gt;=table!$C$6,#REF!&lt;= table!$D$6),-1,IF(AND(#REF!&gt;=table!$E$6,#REF!&lt;=table!$F$6),1,0))</f>
        <v>#REF!</v>
      </c>
      <c r="R337" s="5" t="e">
        <f>IF(AND(#REF!&gt;=table!$C$7,#REF!&lt;= table!$D$7),-1,IF(AND(#REF!&gt;=table!$E$7,#REF!&lt;=table!$F$7),1,0))</f>
        <v>#REF!</v>
      </c>
      <c r="S337" s="5" t="e">
        <f>IF(AND(#REF!&gt;=table!$C$8,#REF!&lt;= table!$D$8),-1,IF(AND(#REF!&gt;=table!$E$8,#REF!&lt;=table!$F$8),1,0))</f>
        <v>#REF!</v>
      </c>
      <c r="T337" s="5"/>
      <c r="U337" s="5" t="e">
        <f>IF(AND(#REF!&gt;=table!$C$10,#REF!&lt;= table!$D$10),-1,IF(AND(#REF!&gt;=table!$E$10,#REF!&lt;=table!$F$10),1,0))</f>
        <v>#REF!</v>
      </c>
      <c r="V337" s="5" t="e">
        <f>IF(AND(#REF!&gt;=table!$C$11,#REF!&lt;= table!$D$11),-1,IF(AND(#REF!&gt;=table!$E$11,#REF!&lt;=table!$F$11),1,0))</f>
        <v>#REF!</v>
      </c>
      <c r="W337" s="5" t="e">
        <f>CONCATENATE(dados[[#This Row],[fator1]],dados[[#This Row],[fator5]],dados[[#This Row],[fator6]])</f>
        <v>#REF!</v>
      </c>
    </row>
    <row r="338" spans="1:23">
      <c r="A338" t="s">
        <v>16</v>
      </c>
      <c r="B338">
        <v>481556</v>
      </c>
      <c r="C338">
        <v>12</v>
      </c>
      <c r="D338">
        <v>35</v>
      </c>
      <c r="E338">
        <v>170</v>
      </c>
      <c r="F338">
        <v>6</v>
      </c>
      <c r="G338">
        <v>0</v>
      </c>
      <c r="H338">
        <v>20</v>
      </c>
      <c r="I338">
        <v>709</v>
      </c>
      <c r="J338">
        <v>0</v>
      </c>
      <c r="K338">
        <v>6.1150000000000002</v>
      </c>
      <c r="L338">
        <v>13.08</v>
      </c>
      <c r="M338">
        <v>134.035</v>
      </c>
      <c r="N338">
        <v>13.055000000000001</v>
      </c>
      <c r="O338">
        <v>1677</v>
      </c>
      <c r="P338">
        <v>689</v>
      </c>
      <c r="Q338" s="5" t="e">
        <f>IF(AND(#REF!&gt;=table!$C$6,#REF!&lt;= table!$D$6),-1,IF(AND(#REF!&gt;=table!$E$6,#REF!&lt;=table!$F$6),1,0))</f>
        <v>#REF!</v>
      </c>
      <c r="R338" s="5" t="e">
        <f>IF(AND(#REF!&gt;=table!$C$7,#REF!&lt;= table!$D$7),-1,IF(AND(#REF!&gt;=table!$E$7,#REF!&lt;=table!$F$7),1,0))</f>
        <v>#REF!</v>
      </c>
      <c r="S338" s="5" t="e">
        <f>IF(AND(#REF!&gt;=table!$C$8,#REF!&lt;= table!$D$8),-1,IF(AND(#REF!&gt;=table!$E$8,#REF!&lt;=table!$F$8),1,0))</f>
        <v>#REF!</v>
      </c>
      <c r="T338" s="5"/>
      <c r="U338" s="5" t="e">
        <f>IF(AND(#REF!&gt;=table!$C$10,#REF!&lt;= table!$D$10),-1,IF(AND(#REF!&gt;=table!$E$10,#REF!&lt;=table!$F$10),1,0))</f>
        <v>#REF!</v>
      </c>
      <c r="V338" s="5" t="e">
        <f>IF(AND(#REF!&gt;=table!$C$11,#REF!&lt;= table!$D$11),-1,IF(AND(#REF!&gt;=table!$E$11,#REF!&lt;=table!$F$11),1,0))</f>
        <v>#REF!</v>
      </c>
      <c r="W338" s="5" t="e">
        <f>CONCATENATE(dados[[#This Row],[fator1]],dados[[#This Row],[fator5]],dados[[#This Row],[fator6]])</f>
        <v>#REF!</v>
      </c>
    </row>
    <row r="339" spans="1:23">
      <c r="A339" t="s">
        <v>16</v>
      </c>
      <c r="B339">
        <v>481557</v>
      </c>
      <c r="C339">
        <v>7</v>
      </c>
      <c r="D339">
        <v>35</v>
      </c>
      <c r="E339">
        <v>170</v>
      </c>
      <c r="F339">
        <v>6</v>
      </c>
      <c r="G339">
        <v>0</v>
      </c>
      <c r="H339">
        <v>20</v>
      </c>
      <c r="I339">
        <v>111</v>
      </c>
      <c r="J339">
        <v>0</v>
      </c>
      <c r="K339">
        <v>5.5150000000000006</v>
      </c>
      <c r="L339">
        <v>16.035</v>
      </c>
      <c r="M339">
        <v>133.47499999999999</v>
      </c>
      <c r="N339">
        <v>14.35</v>
      </c>
      <c r="O339">
        <v>1683</v>
      </c>
      <c r="P339">
        <v>768</v>
      </c>
      <c r="Q339" s="5" t="e">
        <f>IF(AND(#REF!&gt;=table!$C$6,#REF!&lt;= table!$D$6),-1,IF(AND(#REF!&gt;=table!$E$6,#REF!&lt;=table!$F$6),1,0))</f>
        <v>#REF!</v>
      </c>
      <c r="R339" s="5" t="e">
        <f>IF(AND(#REF!&gt;=table!$C$7,#REF!&lt;= table!$D$7),-1,IF(AND(#REF!&gt;=table!$E$7,#REF!&lt;=table!$F$7),1,0))</f>
        <v>#REF!</v>
      </c>
      <c r="S339" s="5" t="e">
        <f>IF(AND(#REF!&gt;=table!$C$8,#REF!&lt;= table!$D$8),-1,IF(AND(#REF!&gt;=table!$E$8,#REF!&lt;=table!$F$8),1,0))</f>
        <v>#REF!</v>
      </c>
      <c r="T339" s="5"/>
      <c r="U339" s="5" t="e">
        <f>IF(AND(#REF!&gt;=table!$C$10,#REF!&lt;= table!$D$10),-1,IF(AND(#REF!&gt;=table!$E$10,#REF!&lt;=table!$F$10),1,0))</f>
        <v>#REF!</v>
      </c>
      <c r="V339" s="5" t="e">
        <f>IF(AND(#REF!&gt;=table!$C$11,#REF!&lt;= table!$D$11),-1,IF(AND(#REF!&gt;=table!$E$11,#REF!&lt;=table!$F$11),1,0))</f>
        <v>#REF!</v>
      </c>
      <c r="W339" s="5" t="e">
        <f>CONCATENATE(dados[[#This Row],[fator1]],dados[[#This Row],[fator5]],dados[[#This Row],[fator6]])</f>
        <v>#REF!</v>
      </c>
    </row>
    <row r="340" spans="1:23">
      <c r="A340" t="s">
        <v>16</v>
      </c>
      <c r="B340">
        <v>481558</v>
      </c>
      <c r="C340">
        <v>16</v>
      </c>
      <c r="D340">
        <v>30</v>
      </c>
      <c r="E340">
        <v>36</v>
      </c>
      <c r="F340">
        <v>3</v>
      </c>
      <c r="G340">
        <v>0</v>
      </c>
      <c r="H340">
        <v>25</v>
      </c>
      <c r="I340">
        <v>867</v>
      </c>
      <c r="J340">
        <v>0</v>
      </c>
      <c r="K340">
        <v>4.5250000000000004</v>
      </c>
      <c r="L340">
        <v>14.3</v>
      </c>
      <c r="M340">
        <v>32.549999999999997</v>
      </c>
      <c r="N340">
        <v>16.7</v>
      </c>
      <c r="O340">
        <v>1719</v>
      </c>
      <c r="P340">
        <v>1047</v>
      </c>
      <c r="Q340" s="5" t="e">
        <f>IF(AND(#REF!&gt;=table!$C$6,#REF!&lt;= table!$D$6),-1,IF(AND(#REF!&gt;=table!$E$6,#REF!&lt;=table!$F$6),1,0))</f>
        <v>#REF!</v>
      </c>
      <c r="R340" s="5" t="e">
        <f>IF(AND(#REF!&gt;=table!$C$7,#REF!&lt;= table!$D$7),-1,IF(AND(#REF!&gt;=table!$E$7,#REF!&lt;=table!$F$7),1,0))</f>
        <v>#REF!</v>
      </c>
      <c r="S340" s="5" t="e">
        <f>IF(AND(#REF!&gt;=table!$C$8,#REF!&lt;= table!$D$8),-1,IF(AND(#REF!&gt;=table!$E$8,#REF!&lt;=table!$F$8),1,0))</f>
        <v>#REF!</v>
      </c>
      <c r="T340" s="5"/>
      <c r="U340" s="5" t="e">
        <f>IF(AND(#REF!&gt;=table!$C$10,#REF!&lt;= table!$D$10),-1,IF(AND(#REF!&gt;=table!$E$10,#REF!&lt;=table!$F$10),1,0))</f>
        <v>#REF!</v>
      </c>
      <c r="V340" s="5" t="e">
        <f>IF(AND(#REF!&gt;=table!$C$11,#REF!&lt;= table!$D$11),-1,IF(AND(#REF!&gt;=table!$E$11,#REF!&lt;=table!$F$11),1,0))</f>
        <v>#REF!</v>
      </c>
      <c r="W340" s="5" t="e">
        <f>CONCATENATE(dados[[#This Row],[fator1]],dados[[#This Row],[fator5]],dados[[#This Row],[fator6]])</f>
        <v>#REF!</v>
      </c>
    </row>
    <row r="341" spans="1:23">
      <c r="A341" t="s">
        <v>16</v>
      </c>
      <c r="B341">
        <v>481559</v>
      </c>
      <c r="C341">
        <v>16</v>
      </c>
      <c r="D341">
        <v>30</v>
      </c>
      <c r="E341">
        <v>56</v>
      </c>
      <c r="F341">
        <v>3</v>
      </c>
      <c r="G341">
        <v>0</v>
      </c>
      <c r="H341">
        <v>25</v>
      </c>
      <c r="I341">
        <v>705</v>
      </c>
      <c r="J341">
        <v>0</v>
      </c>
      <c r="K341">
        <v>2.54</v>
      </c>
      <c r="L341">
        <v>9.1050000000000004</v>
      </c>
      <c r="M341">
        <v>28.92</v>
      </c>
      <c r="N341">
        <v>8.43</v>
      </c>
      <c r="O341">
        <v>1674</v>
      </c>
      <c r="P341">
        <v>1037</v>
      </c>
      <c r="Q341" s="5" t="e">
        <f>IF(AND(#REF!&gt;=table!$C$6,#REF!&lt;= table!$D$6),-1,IF(AND(#REF!&gt;=table!$E$6,#REF!&lt;=table!$F$6),1,0))</f>
        <v>#REF!</v>
      </c>
      <c r="R341" s="5" t="e">
        <f>IF(AND(#REF!&gt;=table!$C$7,#REF!&lt;= table!$D$7),-1,IF(AND(#REF!&gt;=table!$E$7,#REF!&lt;=table!$F$7),1,0))</f>
        <v>#REF!</v>
      </c>
      <c r="S341" s="5" t="e">
        <f>IF(AND(#REF!&gt;=table!$C$8,#REF!&lt;= table!$D$8),-1,IF(AND(#REF!&gt;=table!$E$8,#REF!&lt;=table!$F$8),1,0))</f>
        <v>#REF!</v>
      </c>
      <c r="T341" s="5"/>
      <c r="U341" s="5" t="e">
        <f>IF(AND(#REF!&gt;=table!$C$10,#REF!&lt;= table!$D$10),-1,IF(AND(#REF!&gt;=table!$E$10,#REF!&lt;=table!$F$10),1,0))</f>
        <v>#REF!</v>
      </c>
      <c r="V341" s="5" t="e">
        <f>IF(AND(#REF!&gt;=table!$C$11,#REF!&lt;= table!$D$11),-1,IF(AND(#REF!&gt;=table!$E$11,#REF!&lt;=table!$F$11),1,0))</f>
        <v>#REF!</v>
      </c>
      <c r="W341" s="5" t="e">
        <f>CONCATENATE(dados[[#This Row],[fator1]],dados[[#This Row],[fator5]],dados[[#This Row],[fator6]])</f>
        <v>#REF!</v>
      </c>
    </row>
    <row r="342" spans="1:23">
      <c r="A342" t="s">
        <v>17</v>
      </c>
      <c r="B342">
        <v>481560</v>
      </c>
      <c r="C342">
        <v>9</v>
      </c>
      <c r="D342">
        <v>30</v>
      </c>
      <c r="E342">
        <v>100</v>
      </c>
      <c r="F342">
        <v>1</v>
      </c>
      <c r="G342">
        <v>25</v>
      </c>
      <c r="H342">
        <v>10</v>
      </c>
      <c r="I342">
        <v>259</v>
      </c>
      <c r="J342">
        <v>0</v>
      </c>
      <c r="K342">
        <v>2.2655000000000003</v>
      </c>
      <c r="L342">
        <v>4.8050000000000006</v>
      </c>
      <c r="M342">
        <v>89.09</v>
      </c>
      <c r="N342">
        <v>5.28</v>
      </c>
      <c r="O342">
        <v>1689</v>
      </c>
      <c r="P342">
        <v>1130</v>
      </c>
      <c r="Q342" s="5" t="e">
        <f>IF(AND(#REF!&gt;=table!$C$6,#REF!&lt;= table!$D$6),-1,IF(AND(#REF!&gt;=table!$E$6,#REF!&lt;=table!$F$6),1,0))</f>
        <v>#REF!</v>
      </c>
      <c r="R342" s="5" t="e">
        <f>IF(AND(#REF!&gt;=table!$C$7,#REF!&lt;= table!$D$7),-1,IF(AND(#REF!&gt;=table!$E$7,#REF!&lt;=table!$F$7),1,0))</f>
        <v>#REF!</v>
      </c>
      <c r="S342" s="5" t="e">
        <f>IF(AND(#REF!&gt;=table!$C$8,#REF!&lt;= table!$D$8),-1,IF(AND(#REF!&gt;=table!$E$8,#REF!&lt;=table!$F$8),1,0))</f>
        <v>#REF!</v>
      </c>
      <c r="T342" s="5"/>
      <c r="U342" s="5" t="e">
        <f>IF(AND(#REF!&gt;=table!$C$10,#REF!&lt;= table!$D$10),-1,IF(AND(#REF!&gt;=table!$E$10,#REF!&lt;=table!$F$10),1,0))</f>
        <v>#REF!</v>
      </c>
      <c r="V342" s="5" t="e">
        <f>IF(AND(#REF!&gt;=table!$C$11,#REF!&lt;= table!$D$11),-1,IF(AND(#REF!&gt;=table!$E$11,#REF!&lt;=table!$F$11),1,0))</f>
        <v>#REF!</v>
      </c>
      <c r="W342" s="5" t="e">
        <f>CONCATENATE(dados[[#This Row],[fator1]],dados[[#This Row],[fator5]],dados[[#This Row],[fator6]])</f>
        <v>#REF!</v>
      </c>
    </row>
    <row r="343" spans="1:23">
      <c r="A343" t="s">
        <v>17</v>
      </c>
      <c r="B343">
        <v>481561</v>
      </c>
      <c r="C343">
        <v>9</v>
      </c>
      <c r="D343">
        <v>30</v>
      </c>
      <c r="E343">
        <v>100</v>
      </c>
      <c r="F343">
        <v>1</v>
      </c>
      <c r="G343">
        <v>25</v>
      </c>
      <c r="H343">
        <v>10</v>
      </c>
      <c r="I343">
        <v>0</v>
      </c>
      <c r="J343">
        <v>0</v>
      </c>
      <c r="K343">
        <v>2.274</v>
      </c>
      <c r="L343">
        <v>3.5100000000000002</v>
      </c>
      <c r="M343">
        <v>58.585000000000001</v>
      </c>
      <c r="N343">
        <v>7.3450000000000006</v>
      </c>
      <c r="O343">
        <v>1703</v>
      </c>
      <c r="P343">
        <v>0</v>
      </c>
      <c r="Q343" s="5" t="e">
        <f>IF(AND(#REF!&gt;=table!$C$6,#REF!&lt;= table!$D$6),-1,IF(AND(#REF!&gt;=table!$E$6,#REF!&lt;=table!$F$6),1,0))</f>
        <v>#REF!</v>
      </c>
      <c r="R343" s="5" t="e">
        <f>IF(AND(#REF!&gt;=table!$C$7,#REF!&lt;= table!$D$7),-1,IF(AND(#REF!&gt;=table!$E$7,#REF!&lt;=table!$F$7),1,0))</f>
        <v>#REF!</v>
      </c>
      <c r="S343" s="5" t="e">
        <f>IF(AND(#REF!&gt;=table!$C$8,#REF!&lt;= table!$D$8),-1,IF(AND(#REF!&gt;=table!$E$8,#REF!&lt;=table!$F$8),1,0))</f>
        <v>#REF!</v>
      </c>
      <c r="T343" s="5"/>
      <c r="U343" s="5" t="e">
        <f>IF(AND(#REF!&gt;=table!$C$10,#REF!&lt;= table!$D$10),-1,IF(AND(#REF!&gt;=table!$E$10,#REF!&lt;=table!$F$10),1,0))</f>
        <v>#REF!</v>
      </c>
      <c r="V343" s="5" t="e">
        <f>IF(AND(#REF!&gt;=table!$C$11,#REF!&lt;= table!$D$11),-1,IF(AND(#REF!&gt;=table!$E$11,#REF!&lt;=table!$F$11),1,0))</f>
        <v>#REF!</v>
      </c>
      <c r="W343" s="5" t="e">
        <f>CONCATENATE(dados[[#This Row],[fator1]],dados[[#This Row],[fator5]],dados[[#This Row],[fator6]])</f>
        <v>#REF!</v>
      </c>
    </row>
    <row r="344" spans="1:23">
      <c r="A344" t="s">
        <v>17</v>
      </c>
      <c r="B344">
        <v>481563</v>
      </c>
      <c r="C344">
        <v>14</v>
      </c>
      <c r="D344">
        <v>30</v>
      </c>
      <c r="E344">
        <v>110</v>
      </c>
      <c r="F344">
        <v>4</v>
      </c>
      <c r="G344">
        <v>20</v>
      </c>
      <c r="H344">
        <v>22</v>
      </c>
      <c r="I344">
        <v>0</v>
      </c>
      <c r="J344">
        <v>0</v>
      </c>
      <c r="K344">
        <v>2.6640000000000001</v>
      </c>
      <c r="L344">
        <v>6.82</v>
      </c>
      <c r="M344">
        <v>80.295000000000002</v>
      </c>
      <c r="N344">
        <v>8.4649999999999999</v>
      </c>
      <c r="O344">
        <v>1677</v>
      </c>
      <c r="P344">
        <v>0</v>
      </c>
      <c r="Q344" s="5" t="e">
        <f>IF(AND(#REF!&gt;=table!$C$6,#REF!&lt;= table!$D$6),-1,IF(AND(#REF!&gt;=table!$E$6,#REF!&lt;=table!$F$6),1,0))</f>
        <v>#REF!</v>
      </c>
      <c r="R344" s="5" t="e">
        <f>IF(AND(#REF!&gt;=table!$C$7,#REF!&lt;= table!$D$7),-1,IF(AND(#REF!&gt;=table!$E$7,#REF!&lt;=table!$F$7),1,0))</f>
        <v>#REF!</v>
      </c>
      <c r="S344" s="5" t="e">
        <f>IF(AND(#REF!&gt;=table!$C$8,#REF!&lt;= table!$D$8),-1,IF(AND(#REF!&gt;=table!$E$8,#REF!&lt;=table!$F$8),1,0))</f>
        <v>#REF!</v>
      </c>
      <c r="T344" s="5"/>
      <c r="U344" s="5" t="e">
        <f>IF(AND(#REF!&gt;=table!$C$10,#REF!&lt;= table!$D$10),-1,IF(AND(#REF!&gt;=table!$E$10,#REF!&lt;=table!$F$10),1,0))</f>
        <v>#REF!</v>
      </c>
      <c r="V344" s="5" t="e">
        <f>IF(AND(#REF!&gt;=table!$C$11,#REF!&lt;= table!$D$11),-1,IF(AND(#REF!&gt;=table!$E$11,#REF!&lt;=table!$F$11),1,0))</f>
        <v>#REF!</v>
      </c>
      <c r="W344" s="5" t="e">
        <f>CONCATENATE(dados[[#This Row],[fator1]],dados[[#This Row],[fator5]],dados[[#This Row],[fator6]])</f>
        <v>#REF!</v>
      </c>
    </row>
    <row r="345" spans="1:23">
      <c r="A345" t="s">
        <v>17</v>
      </c>
      <c r="B345">
        <v>481564</v>
      </c>
      <c r="C345">
        <v>14</v>
      </c>
      <c r="D345">
        <v>30</v>
      </c>
      <c r="E345">
        <v>110</v>
      </c>
      <c r="F345">
        <v>4</v>
      </c>
      <c r="G345">
        <v>20</v>
      </c>
      <c r="H345">
        <v>22</v>
      </c>
      <c r="I345">
        <v>0</v>
      </c>
      <c r="J345">
        <v>0</v>
      </c>
      <c r="K345">
        <v>8.0299999999999994</v>
      </c>
      <c r="L345">
        <v>17.309999999999999</v>
      </c>
      <c r="M345">
        <v>98.820000000000007</v>
      </c>
      <c r="N345">
        <v>10.335000000000001</v>
      </c>
      <c r="O345">
        <v>1672</v>
      </c>
      <c r="P345">
        <v>0</v>
      </c>
      <c r="Q345" s="5" t="e">
        <f>IF(AND(#REF!&gt;=table!$C$6,#REF!&lt;= table!$D$6),-1,IF(AND(#REF!&gt;=table!$E$6,#REF!&lt;=table!$F$6),1,0))</f>
        <v>#REF!</v>
      </c>
      <c r="R345" s="5" t="e">
        <f>IF(AND(#REF!&gt;=table!$C$7,#REF!&lt;= table!$D$7),-1,IF(AND(#REF!&gt;=table!$E$7,#REF!&lt;=table!$F$7),1,0))</f>
        <v>#REF!</v>
      </c>
      <c r="S345" s="5" t="e">
        <f>IF(AND(#REF!&gt;=table!$C$8,#REF!&lt;= table!$D$8),-1,IF(AND(#REF!&gt;=table!$E$8,#REF!&lt;=table!$F$8),1,0))</f>
        <v>#REF!</v>
      </c>
      <c r="T345" s="5"/>
      <c r="U345" s="5" t="e">
        <f>IF(AND(#REF!&gt;=table!$C$10,#REF!&lt;= table!$D$10),-1,IF(AND(#REF!&gt;=table!$E$10,#REF!&lt;=table!$F$10),1,0))</f>
        <v>#REF!</v>
      </c>
      <c r="V345" s="5" t="e">
        <f>IF(AND(#REF!&gt;=table!$C$11,#REF!&lt;= table!$D$11),-1,IF(AND(#REF!&gt;=table!$E$11,#REF!&lt;=table!$F$11),1,0))</f>
        <v>#REF!</v>
      </c>
      <c r="W345" s="5" t="e">
        <f>CONCATENATE(dados[[#This Row],[fator1]],dados[[#This Row],[fator5]],dados[[#This Row],[fator6]])</f>
        <v>#REF!</v>
      </c>
    </row>
    <row r="346" spans="1:23">
      <c r="A346" t="s">
        <v>17</v>
      </c>
      <c r="B346">
        <v>481566</v>
      </c>
      <c r="C346">
        <v>7</v>
      </c>
      <c r="D346">
        <v>35</v>
      </c>
      <c r="E346">
        <v>200</v>
      </c>
      <c r="F346">
        <v>8</v>
      </c>
      <c r="G346">
        <v>50</v>
      </c>
      <c r="H346">
        <v>25</v>
      </c>
      <c r="I346">
        <v>275</v>
      </c>
      <c r="J346">
        <v>0</v>
      </c>
      <c r="K346">
        <v>2.218</v>
      </c>
      <c r="L346">
        <v>12.445</v>
      </c>
      <c r="M346">
        <v>180.48500000000001</v>
      </c>
      <c r="N346">
        <v>17.065000000000001</v>
      </c>
      <c r="O346">
        <v>1713</v>
      </c>
      <c r="P346">
        <v>1539</v>
      </c>
      <c r="Q346" s="5" t="e">
        <f>IF(AND(#REF!&gt;=table!$C$6,#REF!&lt;= table!$D$6),-1,IF(AND(#REF!&gt;=table!$E$6,#REF!&lt;=table!$F$6),1,0))</f>
        <v>#REF!</v>
      </c>
      <c r="R346" s="5" t="e">
        <f>IF(AND(#REF!&gt;=table!$C$7,#REF!&lt;= table!$D$7),-1,IF(AND(#REF!&gt;=table!$E$7,#REF!&lt;=table!$F$7),1,0))</f>
        <v>#REF!</v>
      </c>
      <c r="S346" s="5" t="e">
        <f>IF(AND(#REF!&gt;=table!$C$8,#REF!&lt;= table!$D$8),-1,IF(AND(#REF!&gt;=table!$E$8,#REF!&lt;=table!$F$8),1,0))</f>
        <v>#REF!</v>
      </c>
      <c r="T346" s="5"/>
      <c r="U346" s="5" t="e">
        <f>IF(AND(#REF!&gt;=table!$C$10,#REF!&lt;= table!$D$10),-1,IF(AND(#REF!&gt;=table!$E$10,#REF!&lt;=table!$F$10),1,0))</f>
        <v>#REF!</v>
      </c>
      <c r="V346" s="5" t="e">
        <f>IF(AND(#REF!&gt;=table!$C$11,#REF!&lt;= table!$D$11),-1,IF(AND(#REF!&gt;=table!$E$11,#REF!&lt;=table!$F$11),1,0))</f>
        <v>#REF!</v>
      </c>
      <c r="W346" s="5" t="e">
        <f>CONCATENATE(dados[[#This Row],[fator1]],dados[[#This Row],[fator5]],dados[[#This Row],[fator6]])</f>
        <v>#REF!</v>
      </c>
    </row>
    <row r="347" spans="1:23">
      <c r="A347" t="s">
        <v>16</v>
      </c>
      <c r="B347">
        <v>481568</v>
      </c>
      <c r="C347">
        <v>0.15</v>
      </c>
      <c r="D347">
        <v>35</v>
      </c>
      <c r="E347">
        <v>15</v>
      </c>
      <c r="F347">
        <v>10</v>
      </c>
      <c r="G347">
        <v>0</v>
      </c>
      <c r="H347">
        <v>12</v>
      </c>
      <c r="I347">
        <v>1015</v>
      </c>
      <c r="J347">
        <v>780</v>
      </c>
      <c r="K347">
        <v>4.1050000000000004</v>
      </c>
      <c r="L347">
        <v>6.0350000000000001</v>
      </c>
      <c r="M347">
        <v>4.91</v>
      </c>
      <c r="N347">
        <v>8.4150000000000009</v>
      </c>
      <c r="O347">
        <v>1623</v>
      </c>
      <c r="P347">
        <v>772</v>
      </c>
      <c r="Q347" s="5" t="e">
        <f>IF(AND(#REF!&gt;=table!$C$6,#REF!&lt;= table!$D$6),-1,IF(AND(#REF!&gt;=table!$E$6,#REF!&lt;=table!$F$6),1,0))</f>
        <v>#REF!</v>
      </c>
      <c r="R347" s="5" t="e">
        <f>IF(AND(#REF!&gt;=table!$C$7,#REF!&lt;= table!$D$7),-1,IF(AND(#REF!&gt;=table!$E$7,#REF!&lt;=table!$F$7),1,0))</f>
        <v>#REF!</v>
      </c>
      <c r="S347" s="5" t="e">
        <f>IF(AND(#REF!&gt;=table!$C$8,#REF!&lt;= table!$D$8),-1,IF(AND(#REF!&gt;=table!$E$8,#REF!&lt;=table!$F$8),1,0))</f>
        <v>#REF!</v>
      </c>
      <c r="T347" s="5"/>
      <c r="U347" s="5" t="e">
        <f>IF(AND(#REF!&gt;=table!$C$10,#REF!&lt;= table!$D$10),-1,IF(AND(#REF!&gt;=table!$E$10,#REF!&lt;=table!$F$10),1,0))</f>
        <v>#REF!</v>
      </c>
      <c r="V347" s="5" t="e">
        <f>IF(AND(#REF!&gt;=table!$C$11,#REF!&lt;= table!$D$11),-1,IF(AND(#REF!&gt;=table!$E$11,#REF!&lt;=table!$F$11),1,0))</f>
        <v>#REF!</v>
      </c>
      <c r="W347" s="5" t="e">
        <f>CONCATENATE(dados[[#This Row],[fator1]],dados[[#This Row],[fator5]],dados[[#This Row],[fator6]])</f>
        <v>#REF!</v>
      </c>
    </row>
    <row r="348" spans="1:23">
      <c r="A348" t="s">
        <v>16</v>
      </c>
      <c r="B348">
        <v>481572</v>
      </c>
      <c r="C348">
        <v>0.15</v>
      </c>
      <c r="D348">
        <v>35</v>
      </c>
      <c r="E348">
        <v>15</v>
      </c>
      <c r="F348">
        <v>10</v>
      </c>
      <c r="G348">
        <v>0</v>
      </c>
      <c r="H348">
        <v>12</v>
      </c>
      <c r="I348">
        <v>1095</v>
      </c>
      <c r="J348">
        <v>0</v>
      </c>
      <c r="K348">
        <v>2.2955000000000001</v>
      </c>
      <c r="L348">
        <v>7.4</v>
      </c>
      <c r="M348">
        <v>6.2050000000000001</v>
      </c>
      <c r="N348">
        <v>7.5650000000000004</v>
      </c>
      <c r="O348">
        <v>1665</v>
      </c>
      <c r="P348">
        <v>976</v>
      </c>
      <c r="Q348" s="5" t="e">
        <f>IF(AND(#REF!&gt;=table!$C$6,#REF!&lt;= table!$D$6),-1,IF(AND(#REF!&gt;=table!$E$6,#REF!&lt;=table!$F$6),1,0))</f>
        <v>#REF!</v>
      </c>
      <c r="R348" s="5" t="e">
        <f>IF(AND(#REF!&gt;=table!$C$7,#REF!&lt;= table!$D$7),-1,IF(AND(#REF!&gt;=table!$E$7,#REF!&lt;=table!$F$7),1,0))</f>
        <v>#REF!</v>
      </c>
      <c r="S348" s="5" t="e">
        <f>IF(AND(#REF!&gt;=table!$C$8,#REF!&lt;= table!$D$8),-1,IF(AND(#REF!&gt;=table!$E$8,#REF!&lt;=table!$F$8),1,0))</f>
        <v>#REF!</v>
      </c>
      <c r="T348" s="5"/>
      <c r="U348" s="5" t="e">
        <f>IF(AND(#REF!&gt;=table!$C$10,#REF!&lt;= table!$D$10),-1,IF(AND(#REF!&gt;=table!$E$10,#REF!&lt;=table!$F$10),1,0))</f>
        <v>#REF!</v>
      </c>
      <c r="V348" s="5" t="e">
        <f>IF(AND(#REF!&gt;=table!$C$11,#REF!&lt;= table!$D$11),-1,IF(AND(#REF!&gt;=table!$E$11,#REF!&lt;=table!$F$11),1,0))</f>
        <v>#REF!</v>
      </c>
      <c r="W348" s="5" t="e">
        <f>CONCATENATE(dados[[#This Row],[fator1]],dados[[#This Row],[fator5]],dados[[#This Row],[fator6]])</f>
        <v>#REF!</v>
      </c>
    </row>
    <row r="349" spans="1:23">
      <c r="A349" t="s">
        <v>16</v>
      </c>
      <c r="B349">
        <v>481573</v>
      </c>
      <c r="C349">
        <v>0.15</v>
      </c>
      <c r="D349">
        <v>35</v>
      </c>
      <c r="E349">
        <v>15</v>
      </c>
      <c r="F349">
        <v>10</v>
      </c>
      <c r="G349">
        <v>0</v>
      </c>
      <c r="H349">
        <v>12</v>
      </c>
      <c r="I349">
        <v>1037</v>
      </c>
      <c r="J349">
        <v>0</v>
      </c>
      <c r="K349">
        <v>16.41</v>
      </c>
      <c r="L349">
        <v>12.82</v>
      </c>
      <c r="M349">
        <v>6.3050000000000006</v>
      </c>
      <c r="N349">
        <v>4.5049999999999999</v>
      </c>
      <c r="O349">
        <v>1660</v>
      </c>
      <c r="P349">
        <v>835</v>
      </c>
      <c r="Q349" s="5" t="e">
        <f>IF(AND(#REF!&gt;=table!$C$6,#REF!&lt;= table!$D$6),-1,IF(AND(#REF!&gt;=table!$E$6,#REF!&lt;=table!$F$6),1,0))</f>
        <v>#REF!</v>
      </c>
      <c r="R349" s="5" t="e">
        <f>IF(AND(#REF!&gt;=table!$C$7,#REF!&lt;= table!$D$7),-1,IF(AND(#REF!&gt;=table!$E$7,#REF!&lt;=table!$F$7),1,0))</f>
        <v>#REF!</v>
      </c>
      <c r="S349" s="5" t="e">
        <f>IF(AND(#REF!&gt;=table!$C$8,#REF!&lt;= table!$D$8),-1,IF(AND(#REF!&gt;=table!$E$8,#REF!&lt;=table!$F$8),1,0))</f>
        <v>#REF!</v>
      </c>
      <c r="T349" s="5"/>
      <c r="U349" s="5" t="e">
        <f>IF(AND(#REF!&gt;=table!$C$10,#REF!&lt;= table!$D$10),-1,IF(AND(#REF!&gt;=table!$E$10,#REF!&lt;=table!$F$10),1,0))</f>
        <v>#REF!</v>
      </c>
      <c r="V349" s="5" t="e">
        <f>IF(AND(#REF!&gt;=table!$C$11,#REF!&lt;= table!$D$11),-1,IF(AND(#REF!&gt;=table!$E$11,#REF!&lt;=table!$F$11),1,0))</f>
        <v>#REF!</v>
      </c>
      <c r="W349" s="5" t="e">
        <f>CONCATENATE(dados[[#This Row],[fator1]],dados[[#This Row],[fator5]],dados[[#This Row],[fator6]])</f>
        <v>#REF!</v>
      </c>
    </row>
    <row r="350" spans="1:23">
      <c r="A350" t="s">
        <v>16</v>
      </c>
      <c r="B350">
        <v>481577</v>
      </c>
      <c r="C350">
        <v>0.15</v>
      </c>
      <c r="D350">
        <v>35</v>
      </c>
      <c r="E350">
        <v>15</v>
      </c>
      <c r="F350">
        <v>10</v>
      </c>
      <c r="G350">
        <v>0</v>
      </c>
      <c r="H350">
        <v>12</v>
      </c>
      <c r="I350">
        <v>50</v>
      </c>
      <c r="J350">
        <v>0</v>
      </c>
      <c r="K350">
        <v>3.0500000000000003</v>
      </c>
      <c r="L350">
        <v>6.2</v>
      </c>
      <c r="M350">
        <v>5.8500000000000005</v>
      </c>
      <c r="N350">
        <v>5.3500000000000005</v>
      </c>
      <c r="O350">
        <v>1650</v>
      </c>
      <c r="P350">
        <v>855</v>
      </c>
      <c r="Q350" s="5" t="e">
        <f>IF(AND(#REF!&gt;=table!$C$6,#REF!&lt;= table!$D$6),-1,IF(AND(#REF!&gt;=table!$E$6,#REF!&lt;=table!$F$6),1,0))</f>
        <v>#REF!</v>
      </c>
      <c r="R350" s="5" t="e">
        <f>IF(AND(#REF!&gt;=table!$C$7,#REF!&lt;= table!$D$7),-1,IF(AND(#REF!&gt;=table!$E$7,#REF!&lt;=table!$F$7),1,0))</f>
        <v>#REF!</v>
      </c>
      <c r="S350" s="5" t="e">
        <f>IF(AND(#REF!&gt;=table!$C$8,#REF!&lt;= table!$D$8),-1,IF(AND(#REF!&gt;=table!$E$8,#REF!&lt;=table!$F$8),1,0))</f>
        <v>#REF!</v>
      </c>
      <c r="T350" s="5"/>
      <c r="U350" s="5" t="e">
        <f>IF(AND(#REF!&gt;=table!$C$10,#REF!&lt;= table!$D$10),-1,IF(AND(#REF!&gt;=table!$E$10,#REF!&lt;=table!$F$10),1,0))</f>
        <v>#REF!</v>
      </c>
      <c r="V350" s="5" t="e">
        <f>IF(AND(#REF!&gt;=table!$C$11,#REF!&lt;= table!$D$11),-1,IF(AND(#REF!&gt;=table!$E$11,#REF!&lt;=table!$F$11),1,0))</f>
        <v>#REF!</v>
      </c>
      <c r="W350" s="5" t="e">
        <f>CONCATENATE(dados[[#This Row],[fator1]],dados[[#This Row],[fator5]],dados[[#This Row],[fator6]])</f>
        <v>#REF!</v>
      </c>
    </row>
    <row r="351" spans="1:23">
      <c r="A351" t="s">
        <v>17</v>
      </c>
      <c r="B351">
        <v>481578</v>
      </c>
      <c r="C351">
        <v>8</v>
      </c>
      <c r="D351">
        <v>30</v>
      </c>
      <c r="E351">
        <v>153</v>
      </c>
      <c r="F351">
        <v>2</v>
      </c>
      <c r="G351">
        <v>20</v>
      </c>
      <c r="H351">
        <v>18</v>
      </c>
      <c r="I351">
        <v>813</v>
      </c>
      <c r="J351">
        <v>0</v>
      </c>
      <c r="K351">
        <v>3.63</v>
      </c>
      <c r="L351">
        <v>9.5500000000000007</v>
      </c>
      <c r="M351">
        <v>116.85000000000001</v>
      </c>
      <c r="N351">
        <v>11.6</v>
      </c>
      <c r="O351">
        <v>1681</v>
      </c>
      <c r="P351">
        <v>1019</v>
      </c>
      <c r="Q351" s="5" t="e">
        <f>IF(AND(#REF!&gt;=table!$C$6,#REF!&lt;= table!$D$6),-1,IF(AND(#REF!&gt;=table!$E$6,#REF!&lt;=table!$F$6),1,0))</f>
        <v>#REF!</v>
      </c>
      <c r="R351" s="5" t="e">
        <f>IF(AND(#REF!&gt;=table!$C$7,#REF!&lt;= table!$D$7),-1,IF(AND(#REF!&gt;=table!$E$7,#REF!&lt;=table!$F$7),1,0))</f>
        <v>#REF!</v>
      </c>
      <c r="S351" s="5" t="e">
        <f>IF(AND(#REF!&gt;=table!$C$8,#REF!&lt;= table!$D$8),-1,IF(AND(#REF!&gt;=table!$E$8,#REF!&lt;=table!$F$8),1,0))</f>
        <v>#REF!</v>
      </c>
      <c r="T351" s="5"/>
      <c r="U351" s="5" t="e">
        <f>IF(AND(#REF!&gt;=table!$C$10,#REF!&lt;= table!$D$10),-1,IF(AND(#REF!&gt;=table!$E$10,#REF!&lt;=table!$F$10),1,0))</f>
        <v>#REF!</v>
      </c>
      <c r="V351" s="5" t="e">
        <f>IF(AND(#REF!&gt;=table!$C$11,#REF!&lt;= table!$D$11),-1,IF(AND(#REF!&gt;=table!$E$11,#REF!&lt;=table!$F$11),1,0))</f>
        <v>#REF!</v>
      </c>
      <c r="W351" s="5" t="e">
        <f>CONCATENATE(dados[[#This Row],[fator1]],dados[[#This Row],[fator5]],dados[[#This Row],[fator6]])</f>
        <v>#REF!</v>
      </c>
    </row>
    <row r="352" spans="1:23">
      <c r="A352" t="s">
        <v>17</v>
      </c>
      <c r="B352">
        <v>481579</v>
      </c>
      <c r="C352">
        <v>14</v>
      </c>
      <c r="D352">
        <v>30</v>
      </c>
      <c r="E352">
        <v>110</v>
      </c>
      <c r="F352">
        <v>4</v>
      </c>
      <c r="G352">
        <v>20</v>
      </c>
      <c r="H352">
        <v>22</v>
      </c>
      <c r="I352">
        <v>76</v>
      </c>
      <c r="J352">
        <v>0</v>
      </c>
      <c r="K352">
        <v>9.4</v>
      </c>
      <c r="L352">
        <v>12</v>
      </c>
      <c r="M352">
        <v>94.15</v>
      </c>
      <c r="N352">
        <v>13.450000000000001</v>
      </c>
      <c r="O352">
        <v>1678</v>
      </c>
      <c r="P352">
        <v>451</v>
      </c>
      <c r="Q352" s="5" t="e">
        <f>IF(AND(#REF!&gt;=table!$C$6,#REF!&lt;= table!$D$6),-1,IF(AND(#REF!&gt;=table!$E$6,#REF!&lt;=table!$F$6),1,0))</f>
        <v>#REF!</v>
      </c>
      <c r="R352" s="5" t="e">
        <f>IF(AND(#REF!&gt;=table!$C$7,#REF!&lt;= table!$D$7),-1,IF(AND(#REF!&gt;=table!$E$7,#REF!&lt;=table!$F$7),1,0))</f>
        <v>#REF!</v>
      </c>
      <c r="S352" s="5" t="e">
        <f>IF(AND(#REF!&gt;=table!$C$8,#REF!&lt;= table!$D$8),-1,IF(AND(#REF!&gt;=table!$E$8,#REF!&lt;=table!$F$8),1,0))</f>
        <v>#REF!</v>
      </c>
      <c r="T352" s="5"/>
      <c r="U352" s="5" t="e">
        <f>IF(AND(#REF!&gt;=table!$C$10,#REF!&lt;= table!$D$10),-1,IF(AND(#REF!&gt;=table!$E$10,#REF!&lt;=table!$F$10),1,0))</f>
        <v>#REF!</v>
      </c>
      <c r="V352" s="5" t="e">
        <f>IF(AND(#REF!&gt;=table!$C$11,#REF!&lt;= table!$D$11),-1,IF(AND(#REF!&gt;=table!$E$11,#REF!&lt;=table!$F$11),1,0))</f>
        <v>#REF!</v>
      </c>
      <c r="W352" s="5" t="e">
        <f>CONCATENATE(dados[[#This Row],[fator1]],dados[[#This Row],[fator5]],dados[[#This Row],[fator6]])</f>
        <v>#REF!</v>
      </c>
    </row>
    <row r="353" spans="1:23">
      <c r="A353" t="s">
        <v>17</v>
      </c>
      <c r="B353">
        <v>481581</v>
      </c>
      <c r="C353">
        <v>14</v>
      </c>
      <c r="D353">
        <v>30</v>
      </c>
      <c r="E353">
        <v>110</v>
      </c>
      <c r="F353">
        <v>4</v>
      </c>
      <c r="G353">
        <v>20</v>
      </c>
      <c r="H353">
        <v>22</v>
      </c>
      <c r="I353">
        <v>840</v>
      </c>
      <c r="J353">
        <v>0</v>
      </c>
      <c r="K353">
        <v>4.45</v>
      </c>
      <c r="L353">
        <v>14.200000000000001</v>
      </c>
      <c r="M353">
        <v>100.85000000000001</v>
      </c>
      <c r="N353">
        <v>11.94</v>
      </c>
      <c r="O353">
        <v>1684</v>
      </c>
      <c r="P353">
        <v>0</v>
      </c>
      <c r="Q353" s="5" t="e">
        <f>IF(AND(#REF!&gt;=table!$C$6,#REF!&lt;= table!$D$6),-1,IF(AND(#REF!&gt;=table!$E$6,#REF!&lt;=table!$F$6),1,0))</f>
        <v>#REF!</v>
      </c>
      <c r="R353" s="5" t="e">
        <f>IF(AND(#REF!&gt;=table!$C$7,#REF!&lt;= table!$D$7),-1,IF(AND(#REF!&gt;=table!$E$7,#REF!&lt;=table!$F$7),1,0))</f>
        <v>#REF!</v>
      </c>
      <c r="S353" s="5" t="e">
        <f>IF(AND(#REF!&gt;=table!$C$8,#REF!&lt;= table!$D$8),-1,IF(AND(#REF!&gt;=table!$E$8,#REF!&lt;=table!$F$8),1,0))</f>
        <v>#REF!</v>
      </c>
      <c r="T353" s="5"/>
      <c r="U353" s="5" t="e">
        <f>IF(AND(#REF!&gt;=table!$C$10,#REF!&lt;= table!$D$10),-1,IF(AND(#REF!&gt;=table!$E$10,#REF!&lt;=table!$F$10),1,0))</f>
        <v>#REF!</v>
      </c>
      <c r="V353" s="5" t="e">
        <f>IF(AND(#REF!&gt;=table!$C$11,#REF!&lt;= table!$D$11),-1,IF(AND(#REF!&gt;=table!$E$11,#REF!&lt;=table!$F$11),1,0))</f>
        <v>#REF!</v>
      </c>
      <c r="W353" s="5" t="e">
        <f>CONCATENATE(dados[[#This Row],[fator1]],dados[[#This Row],[fator5]],dados[[#This Row],[fator6]])</f>
        <v>#REF!</v>
      </c>
    </row>
    <row r="354" spans="1:23">
      <c r="A354" t="s">
        <v>17</v>
      </c>
      <c r="B354">
        <v>481582</v>
      </c>
      <c r="C354">
        <v>14</v>
      </c>
      <c r="D354">
        <v>30</v>
      </c>
      <c r="E354">
        <v>110</v>
      </c>
      <c r="F354">
        <v>4</v>
      </c>
      <c r="G354">
        <v>20</v>
      </c>
      <c r="H354">
        <v>22</v>
      </c>
      <c r="I354">
        <v>747</v>
      </c>
      <c r="J354">
        <v>0</v>
      </c>
      <c r="K354">
        <v>4.0250000000000004</v>
      </c>
      <c r="L354">
        <v>12.71</v>
      </c>
      <c r="M354">
        <v>106.985</v>
      </c>
      <c r="N354">
        <v>12.84</v>
      </c>
      <c r="O354">
        <v>1688</v>
      </c>
      <c r="P354">
        <v>0</v>
      </c>
      <c r="Q354" s="5" t="e">
        <f>IF(AND(#REF!&gt;=table!$C$6,#REF!&lt;= table!$D$6),-1,IF(AND(#REF!&gt;=table!$E$6,#REF!&lt;=table!$F$6),1,0))</f>
        <v>#REF!</v>
      </c>
      <c r="R354" s="5" t="e">
        <f>IF(AND(#REF!&gt;=table!$C$7,#REF!&lt;= table!$D$7),-1,IF(AND(#REF!&gt;=table!$E$7,#REF!&lt;=table!$F$7),1,0))</f>
        <v>#REF!</v>
      </c>
      <c r="S354" s="5" t="e">
        <f>IF(AND(#REF!&gt;=table!$C$8,#REF!&lt;= table!$D$8),-1,IF(AND(#REF!&gt;=table!$E$8,#REF!&lt;=table!$F$8),1,0))</f>
        <v>#REF!</v>
      </c>
      <c r="T354" s="5"/>
      <c r="U354" s="5" t="e">
        <f>IF(AND(#REF!&gt;=table!$C$10,#REF!&lt;= table!$D$10),-1,IF(AND(#REF!&gt;=table!$E$10,#REF!&lt;=table!$F$10),1,0))</f>
        <v>#REF!</v>
      </c>
      <c r="V354" s="5" t="e">
        <f>IF(AND(#REF!&gt;=table!$C$11,#REF!&lt;= table!$D$11),-1,IF(AND(#REF!&gt;=table!$E$11,#REF!&lt;=table!$F$11),1,0))</f>
        <v>#REF!</v>
      </c>
      <c r="W354" s="5" t="e">
        <f>CONCATENATE(dados[[#This Row],[fator1]],dados[[#This Row],[fator5]],dados[[#This Row],[fator6]])</f>
        <v>#REF!</v>
      </c>
    </row>
    <row r="355" spans="1:23">
      <c r="A355" t="s">
        <v>17</v>
      </c>
      <c r="B355">
        <v>481583</v>
      </c>
      <c r="C355">
        <v>14</v>
      </c>
      <c r="D355">
        <v>30</v>
      </c>
      <c r="E355">
        <v>110</v>
      </c>
      <c r="F355">
        <v>4</v>
      </c>
      <c r="G355">
        <v>20</v>
      </c>
      <c r="H355">
        <v>22</v>
      </c>
      <c r="I355">
        <v>443</v>
      </c>
      <c r="J355">
        <v>0</v>
      </c>
      <c r="K355">
        <v>9.76</v>
      </c>
      <c r="L355">
        <v>19.545000000000002</v>
      </c>
      <c r="M355">
        <v>94.05</v>
      </c>
      <c r="N355">
        <v>17.2</v>
      </c>
      <c r="O355">
        <v>1678</v>
      </c>
      <c r="P355">
        <v>388</v>
      </c>
      <c r="Q355" s="5" t="e">
        <f>IF(AND(#REF!&gt;=table!$C$6,#REF!&lt;= table!$D$6),-1,IF(AND(#REF!&gt;=table!$E$6,#REF!&lt;=table!$F$6),1,0))</f>
        <v>#REF!</v>
      </c>
      <c r="R355" s="5" t="e">
        <f>IF(AND(#REF!&gt;=table!$C$7,#REF!&lt;= table!$D$7),-1,IF(AND(#REF!&gt;=table!$E$7,#REF!&lt;=table!$F$7),1,0))</f>
        <v>#REF!</v>
      </c>
      <c r="S355" s="5" t="e">
        <f>IF(AND(#REF!&gt;=table!$C$8,#REF!&lt;= table!$D$8),-1,IF(AND(#REF!&gt;=table!$E$8,#REF!&lt;=table!$F$8),1,0))</f>
        <v>#REF!</v>
      </c>
      <c r="T355" s="5"/>
      <c r="U355" s="5" t="e">
        <f>IF(AND(#REF!&gt;=table!$C$10,#REF!&lt;= table!$D$10),-1,IF(AND(#REF!&gt;=table!$E$10,#REF!&lt;=table!$F$10),1,0))</f>
        <v>#REF!</v>
      </c>
      <c r="V355" s="5" t="e">
        <f>IF(AND(#REF!&gt;=table!$C$11,#REF!&lt;= table!$D$11),-1,IF(AND(#REF!&gt;=table!$E$11,#REF!&lt;=table!$F$11),1,0))</f>
        <v>#REF!</v>
      </c>
      <c r="W355" s="5" t="e">
        <f>CONCATENATE(dados[[#This Row],[fator1]],dados[[#This Row],[fator5]],dados[[#This Row],[fator6]])</f>
        <v>#REF!</v>
      </c>
    </row>
    <row r="356" spans="1:23">
      <c r="A356" t="s">
        <v>17</v>
      </c>
      <c r="B356">
        <v>481584</v>
      </c>
      <c r="C356">
        <v>14</v>
      </c>
      <c r="D356">
        <v>30</v>
      </c>
      <c r="E356">
        <v>110</v>
      </c>
      <c r="F356">
        <v>4</v>
      </c>
      <c r="G356">
        <v>20</v>
      </c>
      <c r="H356">
        <v>22</v>
      </c>
      <c r="I356">
        <v>1273</v>
      </c>
      <c r="J356">
        <v>0</v>
      </c>
      <c r="K356">
        <v>5.6050000000000004</v>
      </c>
      <c r="L356">
        <v>10.9</v>
      </c>
      <c r="M356">
        <v>97.415000000000006</v>
      </c>
      <c r="N356">
        <v>13.85</v>
      </c>
      <c r="O356">
        <v>1696</v>
      </c>
      <c r="P356">
        <v>645</v>
      </c>
      <c r="Q356" s="5" t="e">
        <f>IF(AND(#REF!&gt;=table!$C$6,#REF!&lt;= table!$D$6),-1,IF(AND(#REF!&gt;=table!$E$6,#REF!&lt;=table!$F$6),1,0))</f>
        <v>#REF!</v>
      </c>
      <c r="R356" s="5" t="e">
        <f>IF(AND(#REF!&gt;=table!$C$7,#REF!&lt;= table!$D$7),-1,IF(AND(#REF!&gt;=table!$E$7,#REF!&lt;=table!$F$7),1,0))</f>
        <v>#REF!</v>
      </c>
      <c r="S356" s="5" t="e">
        <f>IF(AND(#REF!&gt;=table!$C$8,#REF!&lt;= table!$D$8),-1,IF(AND(#REF!&gt;=table!$E$8,#REF!&lt;=table!$F$8),1,0))</f>
        <v>#REF!</v>
      </c>
      <c r="T356" s="5"/>
      <c r="U356" s="5" t="e">
        <f>IF(AND(#REF!&gt;=table!$C$10,#REF!&lt;= table!$D$10),-1,IF(AND(#REF!&gt;=table!$E$10,#REF!&lt;=table!$F$10),1,0))</f>
        <v>#REF!</v>
      </c>
      <c r="V356" s="5" t="e">
        <f>IF(AND(#REF!&gt;=table!$C$11,#REF!&lt;= table!$D$11),-1,IF(AND(#REF!&gt;=table!$E$11,#REF!&lt;=table!$F$11),1,0))</f>
        <v>#REF!</v>
      </c>
      <c r="W356" s="5" t="e">
        <f>CONCATENATE(dados[[#This Row],[fator1]],dados[[#This Row],[fator5]],dados[[#This Row],[fator6]])</f>
        <v>#REF!</v>
      </c>
    </row>
    <row r="357" spans="1:23">
      <c r="A357" t="s">
        <v>17</v>
      </c>
      <c r="B357">
        <v>481585</v>
      </c>
      <c r="C357">
        <v>14</v>
      </c>
      <c r="D357">
        <v>30</v>
      </c>
      <c r="E357">
        <v>110</v>
      </c>
      <c r="F357">
        <v>4</v>
      </c>
      <c r="G357">
        <v>20</v>
      </c>
      <c r="H357">
        <v>22</v>
      </c>
      <c r="I357">
        <v>625</v>
      </c>
      <c r="J357">
        <v>0</v>
      </c>
      <c r="K357">
        <v>7.53</v>
      </c>
      <c r="L357">
        <v>16.875</v>
      </c>
      <c r="M357">
        <v>70.14</v>
      </c>
      <c r="N357">
        <v>16.25</v>
      </c>
      <c r="O357">
        <v>1706</v>
      </c>
      <c r="P357">
        <v>0</v>
      </c>
      <c r="Q357" s="5" t="e">
        <f>IF(AND(#REF!&gt;=table!$C$6,#REF!&lt;= table!$D$6),-1,IF(AND(#REF!&gt;=table!$E$6,#REF!&lt;=table!$F$6),1,0))</f>
        <v>#REF!</v>
      </c>
      <c r="R357" s="5" t="e">
        <f>IF(AND(#REF!&gt;=table!$C$7,#REF!&lt;= table!$D$7),-1,IF(AND(#REF!&gt;=table!$E$7,#REF!&lt;=table!$F$7),1,0))</f>
        <v>#REF!</v>
      </c>
      <c r="S357" s="5" t="e">
        <f>IF(AND(#REF!&gt;=table!$C$8,#REF!&lt;= table!$D$8),-1,IF(AND(#REF!&gt;=table!$E$8,#REF!&lt;=table!$F$8),1,0))</f>
        <v>#REF!</v>
      </c>
      <c r="T357" s="5"/>
      <c r="U357" s="5" t="e">
        <f>IF(AND(#REF!&gt;=table!$C$10,#REF!&lt;= table!$D$10),-1,IF(AND(#REF!&gt;=table!$E$10,#REF!&lt;=table!$F$10),1,0))</f>
        <v>#REF!</v>
      </c>
      <c r="V357" s="5" t="e">
        <f>IF(AND(#REF!&gt;=table!$C$11,#REF!&lt;= table!$D$11),-1,IF(AND(#REF!&gt;=table!$E$11,#REF!&lt;=table!$F$11),1,0))</f>
        <v>#REF!</v>
      </c>
      <c r="W357" s="5" t="e">
        <f>CONCATENATE(dados[[#This Row],[fator1]],dados[[#This Row],[fator5]],dados[[#This Row],[fator6]])</f>
        <v>#REF!</v>
      </c>
    </row>
    <row r="358" spans="1:23">
      <c r="A358" t="s">
        <v>17</v>
      </c>
      <c r="B358">
        <v>481587</v>
      </c>
      <c r="C358">
        <v>14</v>
      </c>
      <c r="D358">
        <v>30</v>
      </c>
      <c r="E358">
        <v>110</v>
      </c>
      <c r="F358">
        <v>4</v>
      </c>
      <c r="G358">
        <v>20</v>
      </c>
      <c r="H358">
        <v>22</v>
      </c>
      <c r="I358">
        <v>718</v>
      </c>
      <c r="J358">
        <v>0</v>
      </c>
      <c r="K358">
        <v>3.8250000000000002</v>
      </c>
      <c r="L358">
        <v>8.8000000000000007</v>
      </c>
      <c r="M358">
        <v>105.85000000000001</v>
      </c>
      <c r="N358">
        <v>13.4</v>
      </c>
      <c r="O358">
        <v>1703</v>
      </c>
      <c r="P358">
        <v>1027</v>
      </c>
      <c r="Q358" s="5" t="e">
        <f>IF(AND(#REF!&gt;=table!$C$6,#REF!&lt;= table!$D$6),-1,IF(AND(#REF!&gt;=table!$E$6,#REF!&lt;=table!$F$6),1,0))</f>
        <v>#REF!</v>
      </c>
      <c r="R358" s="5" t="e">
        <f>IF(AND(#REF!&gt;=table!$C$7,#REF!&lt;= table!$D$7),-1,IF(AND(#REF!&gt;=table!$E$7,#REF!&lt;=table!$F$7),1,0))</f>
        <v>#REF!</v>
      </c>
      <c r="S358" s="5" t="e">
        <f>IF(AND(#REF!&gt;=table!$C$8,#REF!&lt;= table!$D$8),-1,IF(AND(#REF!&gt;=table!$E$8,#REF!&lt;=table!$F$8),1,0))</f>
        <v>#REF!</v>
      </c>
      <c r="T358" s="5"/>
      <c r="U358" s="5" t="e">
        <f>IF(AND(#REF!&gt;=table!$C$10,#REF!&lt;= table!$D$10),-1,IF(AND(#REF!&gt;=table!$E$10,#REF!&lt;=table!$F$10),1,0))</f>
        <v>#REF!</v>
      </c>
      <c r="V358" s="5" t="e">
        <f>IF(AND(#REF!&gt;=table!$C$11,#REF!&lt;= table!$D$11),-1,IF(AND(#REF!&gt;=table!$E$11,#REF!&lt;=table!$F$11),1,0))</f>
        <v>#REF!</v>
      </c>
      <c r="W358" s="5" t="e">
        <f>CONCATENATE(dados[[#This Row],[fator1]],dados[[#This Row],[fator5]],dados[[#This Row],[fator6]])</f>
        <v>#REF!</v>
      </c>
    </row>
    <row r="359" spans="1:23">
      <c r="A359" t="s">
        <v>17</v>
      </c>
      <c r="B359">
        <v>481589</v>
      </c>
      <c r="C359">
        <v>14</v>
      </c>
      <c r="D359">
        <v>30</v>
      </c>
      <c r="E359">
        <v>110</v>
      </c>
      <c r="F359">
        <v>4</v>
      </c>
      <c r="G359">
        <v>20</v>
      </c>
      <c r="H359">
        <v>22</v>
      </c>
      <c r="I359">
        <v>597</v>
      </c>
      <c r="J359">
        <v>0</v>
      </c>
      <c r="K359">
        <v>5.1749999999999998</v>
      </c>
      <c r="L359">
        <v>14.6</v>
      </c>
      <c r="M359">
        <v>80.67</v>
      </c>
      <c r="N359">
        <v>13.805000000000001</v>
      </c>
      <c r="O359">
        <v>1665</v>
      </c>
      <c r="P359">
        <v>0</v>
      </c>
      <c r="Q359" s="5" t="e">
        <f>IF(AND(#REF!&gt;=table!$C$6,#REF!&lt;= table!$D$6),-1,IF(AND(#REF!&gt;=table!$E$6,#REF!&lt;=table!$F$6),1,0))</f>
        <v>#REF!</v>
      </c>
      <c r="R359" s="5" t="e">
        <f>IF(AND(#REF!&gt;=table!$C$7,#REF!&lt;= table!$D$7),-1,IF(AND(#REF!&gt;=table!$E$7,#REF!&lt;=table!$F$7),1,0))</f>
        <v>#REF!</v>
      </c>
      <c r="S359" s="5" t="e">
        <f>IF(AND(#REF!&gt;=table!$C$8,#REF!&lt;= table!$D$8),-1,IF(AND(#REF!&gt;=table!$E$8,#REF!&lt;=table!$F$8),1,0))</f>
        <v>#REF!</v>
      </c>
      <c r="T359" s="5"/>
      <c r="U359" s="5" t="e">
        <f>IF(AND(#REF!&gt;=table!$C$10,#REF!&lt;= table!$D$10),-1,IF(AND(#REF!&gt;=table!$E$10,#REF!&lt;=table!$F$10),1,0))</f>
        <v>#REF!</v>
      </c>
      <c r="V359" s="5" t="e">
        <f>IF(AND(#REF!&gt;=table!$C$11,#REF!&lt;= table!$D$11),-1,IF(AND(#REF!&gt;=table!$E$11,#REF!&lt;=table!$F$11),1,0))</f>
        <v>#REF!</v>
      </c>
      <c r="W359" s="5" t="e">
        <f>CONCATENATE(dados[[#This Row],[fator1]],dados[[#This Row],[fator5]],dados[[#This Row],[fator6]])</f>
        <v>#REF!</v>
      </c>
    </row>
    <row r="360" spans="1:23">
      <c r="A360" t="s">
        <v>16</v>
      </c>
      <c r="B360">
        <v>481590</v>
      </c>
      <c r="C360">
        <v>0.15</v>
      </c>
      <c r="D360">
        <v>40</v>
      </c>
      <c r="E360">
        <v>10</v>
      </c>
      <c r="F360">
        <v>15</v>
      </c>
      <c r="G360">
        <v>0</v>
      </c>
      <c r="H360">
        <v>15</v>
      </c>
      <c r="I360">
        <v>983</v>
      </c>
      <c r="J360">
        <v>0</v>
      </c>
      <c r="K360">
        <v>6.47</v>
      </c>
      <c r="L360">
        <v>12.6</v>
      </c>
      <c r="M360">
        <v>11.3</v>
      </c>
      <c r="N360">
        <v>9.25</v>
      </c>
      <c r="O360">
        <v>1690</v>
      </c>
      <c r="P360">
        <v>636</v>
      </c>
      <c r="Q360" s="5" t="e">
        <f>IF(AND(#REF!&gt;=table!$C$6,#REF!&lt;= table!$D$6),-1,IF(AND(#REF!&gt;=table!$E$6,#REF!&lt;=table!$F$6),1,0))</f>
        <v>#REF!</v>
      </c>
      <c r="R360" s="5" t="e">
        <f>IF(AND(#REF!&gt;=table!$C$7,#REF!&lt;= table!$D$7),-1,IF(AND(#REF!&gt;=table!$E$7,#REF!&lt;=table!$F$7),1,0))</f>
        <v>#REF!</v>
      </c>
      <c r="S360" s="5" t="e">
        <f>IF(AND(#REF!&gt;=table!$C$8,#REF!&lt;= table!$D$8),-1,IF(AND(#REF!&gt;=table!$E$8,#REF!&lt;=table!$F$8),1,0))</f>
        <v>#REF!</v>
      </c>
      <c r="T360" s="5"/>
      <c r="U360" s="5" t="e">
        <f>IF(AND(#REF!&gt;=table!$C$10,#REF!&lt;= table!$D$10),-1,IF(AND(#REF!&gt;=table!$E$10,#REF!&lt;=table!$F$10),1,0))</f>
        <v>#REF!</v>
      </c>
      <c r="V360" s="5" t="e">
        <f>IF(AND(#REF!&gt;=table!$C$11,#REF!&lt;= table!$D$11),-1,IF(AND(#REF!&gt;=table!$E$11,#REF!&lt;=table!$F$11),1,0))</f>
        <v>#REF!</v>
      </c>
      <c r="W360" s="5" t="e">
        <f>CONCATENATE(dados[[#This Row],[fator1]],dados[[#This Row],[fator5]],dados[[#This Row],[fator6]])</f>
        <v>#REF!</v>
      </c>
    </row>
    <row r="361" spans="1:23">
      <c r="A361" t="s">
        <v>16</v>
      </c>
      <c r="B361">
        <v>481594</v>
      </c>
      <c r="C361">
        <v>0.15</v>
      </c>
      <c r="D361">
        <v>40</v>
      </c>
      <c r="E361">
        <v>10</v>
      </c>
      <c r="F361">
        <v>15</v>
      </c>
      <c r="G361">
        <v>0</v>
      </c>
      <c r="H361">
        <v>15</v>
      </c>
      <c r="I361">
        <v>2</v>
      </c>
      <c r="J361">
        <v>0</v>
      </c>
      <c r="K361">
        <v>6.7949999999999999</v>
      </c>
      <c r="L361">
        <v>17.725000000000001</v>
      </c>
      <c r="M361">
        <v>14.205</v>
      </c>
      <c r="N361">
        <v>17.650000000000002</v>
      </c>
      <c r="O361">
        <v>1692</v>
      </c>
      <c r="P361">
        <v>0</v>
      </c>
      <c r="Q361" s="5" t="e">
        <f>IF(AND(#REF!&gt;=table!$C$6,#REF!&lt;= table!$D$6),-1,IF(AND(#REF!&gt;=table!$E$6,#REF!&lt;=table!$F$6),1,0))</f>
        <v>#REF!</v>
      </c>
      <c r="R361" s="5" t="e">
        <f>IF(AND(#REF!&gt;=table!$C$7,#REF!&lt;= table!$D$7),-1,IF(AND(#REF!&gt;=table!$E$7,#REF!&lt;=table!$F$7),1,0))</f>
        <v>#REF!</v>
      </c>
      <c r="S361" s="5" t="e">
        <f>IF(AND(#REF!&gt;=table!$C$8,#REF!&lt;= table!$D$8),-1,IF(AND(#REF!&gt;=table!$E$8,#REF!&lt;=table!$F$8),1,0))</f>
        <v>#REF!</v>
      </c>
      <c r="T361" s="5"/>
      <c r="U361" s="5" t="e">
        <f>IF(AND(#REF!&gt;=table!$C$10,#REF!&lt;= table!$D$10),-1,IF(AND(#REF!&gt;=table!$E$10,#REF!&lt;=table!$F$10),1,0))</f>
        <v>#REF!</v>
      </c>
      <c r="V361" s="5" t="e">
        <f>IF(AND(#REF!&gt;=table!$C$11,#REF!&lt;= table!$D$11),-1,IF(AND(#REF!&gt;=table!$E$11,#REF!&lt;=table!$F$11),1,0))</f>
        <v>#REF!</v>
      </c>
      <c r="W361" s="5" t="e">
        <f>CONCATENATE(dados[[#This Row],[fator1]],dados[[#This Row],[fator5]],dados[[#This Row],[fator6]])</f>
        <v>#REF!</v>
      </c>
    </row>
    <row r="362" spans="1:23">
      <c r="A362" t="s">
        <v>16</v>
      </c>
      <c r="B362">
        <v>481598</v>
      </c>
      <c r="C362">
        <v>0.1</v>
      </c>
      <c r="D362">
        <v>40</v>
      </c>
      <c r="E362">
        <v>10</v>
      </c>
      <c r="F362">
        <v>8</v>
      </c>
      <c r="G362">
        <v>0</v>
      </c>
      <c r="H362">
        <v>10</v>
      </c>
      <c r="I362">
        <v>1404</v>
      </c>
      <c r="J362">
        <v>0</v>
      </c>
      <c r="K362">
        <v>7.6400000000000006</v>
      </c>
      <c r="L362">
        <v>13.15</v>
      </c>
      <c r="M362">
        <v>12.75</v>
      </c>
      <c r="N362">
        <v>11.25</v>
      </c>
      <c r="O362">
        <v>1687</v>
      </c>
      <c r="P362">
        <v>543</v>
      </c>
      <c r="Q362" s="5" t="e">
        <f>IF(AND(#REF!&gt;=table!$C$6,#REF!&lt;= table!$D$6),-1,IF(AND(#REF!&gt;=table!$E$6,#REF!&lt;=table!$F$6),1,0))</f>
        <v>#REF!</v>
      </c>
      <c r="R362" s="5" t="e">
        <f>IF(AND(#REF!&gt;=table!$C$7,#REF!&lt;= table!$D$7),-1,IF(AND(#REF!&gt;=table!$E$7,#REF!&lt;=table!$F$7),1,0))</f>
        <v>#REF!</v>
      </c>
      <c r="S362" s="5" t="e">
        <f>IF(AND(#REF!&gt;=table!$C$8,#REF!&lt;= table!$D$8),-1,IF(AND(#REF!&gt;=table!$E$8,#REF!&lt;=table!$F$8),1,0))</f>
        <v>#REF!</v>
      </c>
      <c r="T362" s="5"/>
      <c r="U362" s="5" t="e">
        <f>IF(AND(#REF!&gt;=table!$C$10,#REF!&lt;= table!$D$10),-1,IF(AND(#REF!&gt;=table!$E$10,#REF!&lt;=table!$F$10),1,0))</f>
        <v>#REF!</v>
      </c>
      <c r="V362" s="5" t="e">
        <f>IF(AND(#REF!&gt;=table!$C$11,#REF!&lt;= table!$D$11),-1,IF(AND(#REF!&gt;=table!$E$11,#REF!&lt;=table!$F$11),1,0))</f>
        <v>#REF!</v>
      </c>
      <c r="W362" s="5" t="e">
        <f>CONCATENATE(dados[[#This Row],[fator1]],dados[[#This Row],[fator5]],dados[[#This Row],[fator6]])</f>
        <v>#REF!</v>
      </c>
    </row>
    <row r="363" spans="1:23">
      <c r="A363" t="s">
        <v>16</v>
      </c>
      <c r="B363">
        <v>481600</v>
      </c>
      <c r="C363">
        <v>0.15</v>
      </c>
      <c r="D363">
        <v>40</v>
      </c>
      <c r="E363">
        <v>10</v>
      </c>
      <c r="F363">
        <v>15</v>
      </c>
      <c r="G363">
        <v>0</v>
      </c>
      <c r="H363">
        <v>15</v>
      </c>
      <c r="I363">
        <v>1049</v>
      </c>
      <c r="J363">
        <v>0</v>
      </c>
      <c r="K363">
        <v>2.98</v>
      </c>
      <c r="L363">
        <v>5.3500000000000005</v>
      </c>
      <c r="M363">
        <v>5.3500000000000005</v>
      </c>
      <c r="N363">
        <v>8.35</v>
      </c>
      <c r="O363">
        <v>1676</v>
      </c>
      <c r="P363">
        <v>1601</v>
      </c>
      <c r="Q363" s="5" t="e">
        <f>IF(AND(#REF!&gt;=table!$C$6,#REF!&lt;= table!$D$6),-1,IF(AND(#REF!&gt;=table!$E$6,#REF!&lt;=table!$F$6),1,0))</f>
        <v>#REF!</v>
      </c>
      <c r="R363" s="5" t="e">
        <f>IF(AND(#REF!&gt;=table!$C$7,#REF!&lt;= table!$D$7),-1,IF(AND(#REF!&gt;=table!$E$7,#REF!&lt;=table!$F$7),1,0))</f>
        <v>#REF!</v>
      </c>
      <c r="S363" s="5" t="e">
        <f>IF(AND(#REF!&gt;=table!$C$8,#REF!&lt;= table!$D$8),-1,IF(AND(#REF!&gt;=table!$E$8,#REF!&lt;=table!$F$8),1,0))</f>
        <v>#REF!</v>
      </c>
      <c r="T363" s="5"/>
      <c r="U363" s="5" t="e">
        <f>IF(AND(#REF!&gt;=table!$C$10,#REF!&lt;= table!$D$10),-1,IF(AND(#REF!&gt;=table!$E$10,#REF!&lt;=table!$F$10),1,0))</f>
        <v>#REF!</v>
      </c>
      <c r="V363" s="5" t="e">
        <f>IF(AND(#REF!&gt;=table!$C$11,#REF!&lt;= table!$D$11),-1,IF(AND(#REF!&gt;=table!$E$11,#REF!&lt;=table!$F$11),1,0))</f>
        <v>#REF!</v>
      </c>
      <c r="W363" s="5" t="e">
        <f>CONCATENATE(dados[[#This Row],[fator1]],dados[[#This Row],[fator5]],dados[[#This Row],[fator6]])</f>
        <v>#REF!</v>
      </c>
    </row>
    <row r="364" spans="1:23">
      <c r="A364" t="s">
        <v>16</v>
      </c>
      <c r="B364">
        <v>481601</v>
      </c>
      <c r="C364">
        <v>0.15</v>
      </c>
      <c r="D364">
        <v>40</v>
      </c>
      <c r="E364">
        <v>10</v>
      </c>
      <c r="F364">
        <v>15</v>
      </c>
      <c r="G364">
        <v>0</v>
      </c>
      <c r="H364">
        <v>15</v>
      </c>
      <c r="I364">
        <v>1160</v>
      </c>
      <c r="J364">
        <v>0</v>
      </c>
      <c r="K364">
        <v>5.0650000000000004</v>
      </c>
      <c r="L364">
        <v>7.4</v>
      </c>
      <c r="M364">
        <v>7.8500000000000005</v>
      </c>
      <c r="N364">
        <v>7.4</v>
      </c>
      <c r="O364">
        <v>1642</v>
      </c>
      <c r="P364">
        <v>716</v>
      </c>
      <c r="Q364" s="5" t="e">
        <f>IF(AND(#REF!&gt;=table!$C$6,#REF!&lt;= table!$D$6),-1,IF(AND(#REF!&gt;=table!$E$6,#REF!&lt;=table!$F$6),1,0))</f>
        <v>#REF!</v>
      </c>
      <c r="R364" s="5" t="e">
        <f>IF(AND(#REF!&gt;=table!$C$7,#REF!&lt;= table!$D$7),-1,IF(AND(#REF!&gt;=table!$E$7,#REF!&lt;=table!$F$7),1,0))</f>
        <v>#REF!</v>
      </c>
      <c r="S364" s="5" t="e">
        <f>IF(AND(#REF!&gt;=table!$C$8,#REF!&lt;= table!$D$8),-1,IF(AND(#REF!&gt;=table!$E$8,#REF!&lt;=table!$F$8),1,0))</f>
        <v>#REF!</v>
      </c>
      <c r="T364" s="5"/>
      <c r="U364" s="5" t="e">
        <f>IF(AND(#REF!&gt;=table!$C$10,#REF!&lt;= table!$D$10),-1,IF(AND(#REF!&gt;=table!$E$10,#REF!&lt;=table!$F$10),1,0))</f>
        <v>#REF!</v>
      </c>
      <c r="V364" s="5" t="e">
        <f>IF(AND(#REF!&gt;=table!$C$11,#REF!&lt;= table!$D$11),-1,IF(AND(#REF!&gt;=table!$E$11,#REF!&lt;=table!$F$11),1,0))</f>
        <v>#REF!</v>
      </c>
      <c r="W364" s="5" t="e">
        <f>CONCATENATE(dados[[#This Row],[fator1]],dados[[#This Row],[fator5]],dados[[#This Row],[fator6]])</f>
        <v>#REF!</v>
      </c>
    </row>
    <row r="365" spans="1:23">
      <c r="A365" t="s">
        <v>16</v>
      </c>
      <c r="B365">
        <v>481604</v>
      </c>
      <c r="C365">
        <v>0.15</v>
      </c>
      <c r="D365">
        <v>40</v>
      </c>
      <c r="E365">
        <v>10</v>
      </c>
      <c r="F365">
        <v>15</v>
      </c>
      <c r="G365">
        <v>0</v>
      </c>
      <c r="H365">
        <v>15</v>
      </c>
      <c r="I365">
        <v>1872</v>
      </c>
      <c r="J365">
        <v>0</v>
      </c>
      <c r="K365">
        <v>4.7700000000000005</v>
      </c>
      <c r="L365">
        <v>9.5</v>
      </c>
      <c r="M365">
        <v>9.15</v>
      </c>
      <c r="N365">
        <v>13.55</v>
      </c>
      <c r="O365">
        <v>1721</v>
      </c>
      <c r="P365">
        <v>0</v>
      </c>
      <c r="Q365" s="5" t="e">
        <f>IF(AND(#REF!&gt;=table!$C$6,#REF!&lt;= table!$D$6),-1,IF(AND(#REF!&gt;=table!$E$6,#REF!&lt;=table!$F$6),1,0))</f>
        <v>#REF!</v>
      </c>
      <c r="R365" s="5" t="e">
        <f>IF(AND(#REF!&gt;=table!$C$7,#REF!&lt;= table!$D$7),-1,IF(AND(#REF!&gt;=table!$E$7,#REF!&lt;=table!$F$7),1,0))</f>
        <v>#REF!</v>
      </c>
      <c r="S365" s="5" t="e">
        <f>IF(AND(#REF!&gt;=table!$C$8,#REF!&lt;= table!$D$8),-1,IF(AND(#REF!&gt;=table!$E$8,#REF!&lt;=table!$F$8),1,0))</f>
        <v>#REF!</v>
      </c>
      <c r="T365" s="5"/>
      <c r="U365" s="5" t="e">
        <f>IF(AND(#REF!&gt;=table!$C$10,#REF!&lt;= table!$D$10),-1,IF(AND(#REF!&gt;=table!$E$10,#REF!&lt;=table!$F$10),1,0))</f>
        <v>#REF!</v>
      </c>
      <c r="V365" s="5" t="e">
        <f>IF(AND(#REF!&gt;=table!$C$11,#REF!&lt;= table!$D$11),-1,IF(AND(#REF!&gt;=table!$E$11,#REF!&lt;=table!$F$11),1,0))</f>
        <v>#REF!</v>
      </c>
      <c r="W365" s="5" t="e">
        <f>CONCATENATE(dados[[#This Row],[fator1]],dados[[#This Row],[fator5]],dados[[#This Row],[fator6]])</f>
        <v>#REF!</v>
      </c>
    </row>
    <row r="366" spans="1:23">
      <c r="A366" t="s">
        <v>16</v>
      </c>
      <c r="B366">
        <v>481614</v>
      </c>
      <c r="C366">
        <v>0.1</v>
      </c>
      <c r="D366">
        <v>35</v>
      </c>
      <c r="E366">
        <v>10</v>
      </c>
      <c r="F366">
        <v>10</v>
      </c>
      <c r="G366">
        <v>0</v>
      </c>
      <c r="H366">
        <v>12</v>
      </c>
      <c r="I366">
        <v>1029</v>
      </c>
      <c r="J366">
        <v>860</v>
      </c>
      <c r="K366">
        <v>5.08</v>
      </c>
      <c r="L366">
        <v>7.1350000000000007</v>
      </c>
      <c r="M366">
        <v>5.54</v>
      </c>
      <c r="N366">
        <v>7.3250000000000002</v>
      </c>
      <c r="O366">
        <v>1621</v>
      </c>
      <c r="P366">
        <v>810</v>
      </c>
      <c r="Q366" s="5" t="e">
        <f>IF(AND(#REF!&gt;=table!$C$6,#REF!&lt;= table!$D$6),-1,IF(AND(#REF!&gt;=table!$E$6,#REF!&lt;=table!$F$6),1,0))</f>
        <v>#REF!</v>
      </c>
      <c r="R366" s="5" t="e">
        <f>IF(AND(#REF!&gt;=table!$C$7,#REF!&lt;= table!$D$7),-1,IF(AND(#REF!&gt;=table!$E$7,#REF!&lt;=table!$F$7),1,0))</f>
        <v>#REF!</v>
      </c>
      <c r="S366" s="5" t="e">
        <f>IF(AND(#REF!&gt;=table!$C$8,#REF!&lt;= table!$D$8),-1,IF(AND(#REF!&gt;=table!$E$8,#REF!&lt;=table!$F$8),1,0))</f>
        <v>#REF!</v>
      </c>
      <c r="T366" s="5"/>
      <c r="U366" s="5" t="e">
        <f>IF(AND(#REF!&gt;=table!$C$10,#REF!&lt;= table!$D$10),-1,IF(AND(#REF!&gt;=table!$E$10,#REF!&lt;=table!$F$10),1,0))</f>
        <v>#REF!</v>
      </c>
      <c r="V366" s="5" t="e">
        <f>IF(AND(#REF!&gt;=table!$C$11,#REF!&lt;= table!$D$11),-1,IF(AND(#REF!&gt;=table!$E$11,#REF!&lt;=table!$F$11),1,0))</f>
        <v>#REF!</v>
      </c>
      <c r="W366" s="5" t="e">
        <f>CONCATENATE(dados[[#This Row],[fator1]],dados[[#This Row],[fator5]],dados[[#This Row],[fator6]])</f>
        <v>#REF!</v>
      </c>
    </row>
    <row r="367" spans="1:23">
      <c r="A367" t="s">
        <v>16</v>
      </c>
      <c r="B367">
        <v>481615</v>
      </c>
      <c r="C367">
        <v>0.15</v>
      </c>
      <c r="D367">
        <v>35</v>
      </c>
      <c r="E367">
        <v>15</v>
      </c>
      <c r="F367">
        <v>10</v>
      </c>
      <c r="G367">
        <v>0</v>
      </c>
      <c r="H367">
        <v>12</v>
      </c>
      <c r="I367">
        <v>1735</v>
      </c>
      <c r="J367">
        <v>0</v>
      </c>
      <c r="K367">
        <v>5.9466999999999999</v>
      </c>
      <c r="L367">
        <v>13.14</v>
      </c>
      <c r="M367">
        <v>12.15</v>
      </c>
      <c r="N367">
        <v>12.950000000000001</v>
      </c>
      <c r="O367">
        <v>1703</v>
      </c>
      <c r="P367">
        <v>701</v>
      </c>
      <c r="Q367" s="5" t="e">
        <f>IF(AND(#REF!&gt;=table!$C$6,#REF!&lt;= table!$D$6),-1,IF(AND(#REF!&gt;=table!$E$6,#REF!&lt;=table!$F$6),1,0))</f>
        <v>#REF!</v>
      </c>
      <c r="R367" s="5" t="e">
        <f>IF(AND(#REF!&gt;=table!$C$7,#REF!&lt;= table!$D$7),-1,IF(AND(#REF!&gt;=table!$E$7,#REF!&lt;=table!$F$7),1,0))</f>
        <v>#REF!</v>
      </c>
      <c r="S367" s="5" t="e">
        <f>IF(AND(#REF!&gt;=table!$C$8,#REF!&lt;= table!$D$8),-1,IF(AND(#REF!&gt;=table!$E$8,#REF!&lt;=table!$F$8),1,0))</f>
        <v>#REF!</v>
      </c>
      <c r="T367" s="5"/>
      <c r="U367" s="5" t="e">
        <f>IF(AND(#REF!&gt;=table!$C$10,#REF!&lt;= table!$D$10),-1,IF(AND(#REF!&gt;=table!$E$10,#REF!&lt;=table!$F$10),1,0))</f>
        <v>#REF!</v>
      </c>
      <c r="V367" s="5" t="e">
        <f>IF(AND(#REF!&gt;=table!$C$11,#REF!&lt;= table!$D$11),-1,IF(AND(#REF!&gt;=table!$E$11,#REF!&lt;=table!$F$11),1,0))</f>
        <v>#REF!</v>
      </c>
      <c r="W367" s="5" t="e">
        <f>CONCATENATE(dados[[#This Row],[fator1]],dados[[#This Row],[fator5]],dados[[#This Row],[fator6]])</f>
        <v>#REF!</v>
      </c>
    </row>
    <row r="368" spans="1:23">
      <c r="A368" t="s">
        <v>17</v>
      </c>
      <c r="B368">
        <v>481616</v>
      </c>
      <c r="C368">
        <v>16</v>
      </c>
      <c r="D368">
        <v>30</v>
      </c>
      <c r="E368">
        <v>106</v>
      </c>
      <c r="F368">
        <v>9</v>
      </c>
      <c r="G368">
        <v>20</v>
      </c>
      <c r="H368">
        <v>25</v>
      </c>
      <c r="I368">
        <v>1035</v>
      </c>
      <c r="J368">
        <v>1270</v>
      </c>
      <c r="K368">
        <v>7.415</v>
      </c>
      <c r="L368">
        <v>7.8</v>
      </c>
      <c r="M368">
        <v>72.150000000000006</v>
      </c>
      <c r="N368">
        <v>10.55</v>
      </c>
      <c r="O368">
        <v>1562</v>
      </c>
      <c r="P368">
        <v>346</v>
      </c>
      <c r="Q368" s="5" t="e">
        <f>IF(AND(#REF!&gt;=table!$C$6,#REF!&lt;= table!$D$6),-1,IF(AND(#REF!&gt;=table!$E$6,#REF!&lt;=table!$F$6),1,0))</f>
        <v>#REF!</v>
      </c>
      <c r="R368" s="5" t="e">
        <f>IF(AND(#REF!&gt;=table!$C$7,#REF!&lt;= table!$D$7),-1,IF(AND(#REF!&gt;=table!$E$7,#REF!&lt;=table!$F$7),1,0))</f>
        <v>#REF!</v>
      </c>
      <c r="S368" s="5" t="e">
        <f>IF(AND(#REF!&gt;=table!$C$8,#REF!&lt;= table!$D$8),-1,IF(AND(#REF!&gt;=table!$E$8,#REF!&lt;=table!$F$8),1,0))</f>
        <v>#REF!</v>
      </c>
      <c r="T368" s="5"/>
      <c r="U368" s="5" t="e">
        <f>IF(AND(#REF!&gt;=table!$C$10,#REF!&lt;= table!$D$10),-1,IF(AND(#REF!&gt;=table!$E$10,#REF!&lt;=table!$F$10),1,0))</f>
        <v>#REF!</v>
      </c>
      <c r="V368" s="5" t="e">
        <f>IF(AND(#REF!&gt;=table!$C$11,#REF!&lt;= table!$D$11),-1,IF(AND(#REF!&gt;=table!$E$11,#REF!&lt;=table!$F$11),1,0))</f>
        <v>#REF!</v>
      </c>
      <c r="W368" s="5" t="e">
        <f>CONCATENATE(dados[[#This Row],[fator1]],dados[[#This Row],[fator5]],dados[[#This Row],[fator6]])</f>
        <v>#REF!</v>
      </c>
    </row>
    <row r="369" spans="1:23">
      <c r="A369" t="s">
        <v>17</v>
      </c>
      <c r="B369">
        <v>481617</v>
      </c>
      <c r="C369">
        <v>18</v>
      </c>
      <c r="D369">
        <v>23</v>
      </c>
      <c r="E369">
        <v>145</v>
      </c>
      <c r="F369">
        <v>9</v>
      </c>
      <c r="G369">
        <v>30</v>
      </c>
      <c r="H369">
        <v>25</v>
      </c>
      <c r="I369">
        <v>959</v>
      </c>
      <c r="J369">
        <v>650</v>
      </c>
      <c r="K369">
        <v>6.8900000000000006</v>
      </c>
      <c r="L369">
        <v>19.350000000000001</v>
      </c>
      <c r="M369">
        <v>127.8</v>
      </c>
      <c r="N369">
        <v>20.8</v>
      </c>
      <c r="O369">
        <v>1641</v>
      </c>
      <c r="P369">
        <v>546</v>
      </c>
      <c r="Q369" s="5" t="e">
        <f>IF(AND(#REF!&gt;=table!$C$6,#REF!&lt;= table!$D$6),-1,IF(AND(#REF!&gt;=table!$E$6,#REF!&lt;=table!$F$6),1,0))</f>
        <v>#REF!</v>
      </c>
      <c r="R369" s="5" t="e">
        <f>IF(AND(#REF!&gt;=table!$C$7,#REF!&lt;= table!$D$7),-1,IF(AND(#REF!&gt;=table!$E$7,#REF!&lt;=table!$F$7),1,0))</f>
        <v>#REF!</v>
      </c>
      <c r="S369" s="5" t="e">
        <f>IF(AND(#REF!&gt;=table!$C$8,#REF!&lt;= table!$D$8),-1,IF(AND(#REF!&gt;=table!$E$8,#REF!&lt;=table!$F$8),1,0))</f>
        <v>#REF!</v>
      </c>
      <c r="T369" s="5"/>
      <c r="U369" s="5" t="e">
        <f>IF(AND(#REF!&gt;=table!$C$10,#REF!&lt;= table!$D$10),-1,IF(AND(#REF!&gt;=table!$E$10,#REF!&lt;=table!$F$10),1,0))</f>
        <v>#REF!</v>
      </c>
      <c r="V369" s="5" t="e">
        <f>IF(AND(#REF!&gt;=table!$C$11,#REF!&lt;= table!$D$11),-1,IF(AND(#REF!&gt;=table!$E$11,#REF!&lt;=table!$F$11),1,0))</f>
        <v>#REF!</v>
      </c>
      <c r="W369" s="5" t="e">
        <f>CONCATENATE(dados[[#This Row],[fator1]],dados[[#This Row],[fator5]],dados[[#This Row],[fator6]])</f>
        <v>#REF!</v>
      </c>
    </row>
    <row r="370" spans="1:23">
      <c r="A370" t="s">
        <v>17</v>
      </c>
      <c r="B370">
        <v>481618</v>
      </c>
      <c r="C370">
        <v>18</v>
      </c>
      <c r="D370">
        <v>23</v>
      </c>
      <c r="E370">
        <v>145</v>
      </c>
      <c r="F370">
        <v>9</v>
      </c>
      <c r="G370">
        <v>30</v>
      </c>
      <c r="H370">
        <v>25</v>
      </c>
      <c r="I370">
        <v>1444</v>
      </c>
      <c r="J370">
        <v>1020</v>
      </c>
      <c r="K370">
        <v>7.2750000000000004</v>
      </c>
      <c r="L370">
        <v>14.57</v>
      </c>
      <c r="M370">
        <v>114.4</v>
      </c>
      <c r="N370">
        <v>22.55</v>
      </c>
      <c r="O370">
        <v>1676</v>
      </c>
      <c r="P370">
        <v>0</v>
      </c>
      <c r="Q370" s="5" t="e">
        <f>IF(AND(#REF!&gt;=table!$C$6,#REF!&lt;= table!$D$6),-1,IF(AND(#REF!&gt;=table!$E$6,#REF!&lt;=table!$F$6),1,0))</f>
        <v>#REF!</v>
      </c>
      <c r="R370" s="5" t="e">
        <f>IF(AND(#REF!&gt;=table!$C$7,#REF!&lt;= table!$D$7),-1,IF(AND(#REF!&gt;=table!$E$7,#REF!&lt;=table!$F$7),1,0))</f>
        <v>#REF!</v>
      </c>
      <c r="S370" s="5" t="e">
        <f>IF(AND(#REF!&gt;=table!$C$8,#REF!&lt;= table!$D$8),-1,IF(AND(#REF!&gt;=table!$E$8,#REF!&lt;=table!$F$8),1,0))</f>
        <v>#REF!</v>
      </c>
      <c r="T370" s="5"/>
      <c r="U370" s="5" t="e">
        <f>IF(AND(#REF!&gt;=table!$C$10,#REF!&lt;= table!$D$10),-1,IF(AND(#REF!&gt;=table!$E$10,#REF!&lt;=table!$F$10),1,0))</f>
        <v>#REF!</v>
      </c>
      <c r="V370" s="5" t="e">
        <f>IF(AND(#REF!&gt;=table!$C$11,#REF!&lt;= table!$D$11),-1,IF(AND(#REF!&gt;=table!$E$11,#REF!&lt;=table!$F$11),1,0))</f>
        <v>#REF!</v>
      </c>
      <c r="W370" s="5" t="e">
        <f>CONCATENATE(dados[[#This Row],[fator1]],dados[[#This Row],[fator5]],dados[[#This Row],[fator6]])</f>
        <v>#REF!</v>
      </c>
    </row>
    <row r="371" spans="1:23">
      <c r="A371" t="s">
        <v>17</v>
      </c>
      <c r="B371">
        <v>481620</v>
      </c>
      <c r="C371">
        <v>51</v>
      </c>
      <c r="D371">
        <v>30</v>
      </c>
      <c r="E371">
        <v>66</v>
      </c>
      <c r="F371">
        <v>9</v>
      </c>
      <c r="G371">
        <v>20</v>
      </c>
      <c r="H371">
        <v>25</v>
      </c>
      <c r="I371">
        <v>902</v>
      </c>
      <c r="J371">
        <v>0</v>
      </c>
      <c r="K371">
        <v>7.2750000000000004</v>
      </c>
      <c r="L371">
        <v>14.57</v>
      </c>
      <c r="M371">
        <v>66.8</v>
      </c>
      <c r="N371">
        <v>13.3</v>
      </c>
      <c r="O371">
        <v>1683</v>
      </c>
      <c r="P371">
        <v>549</v>
      </c>
      <c r="Q371" s="5" t="e">
        <f>IF(AND(#REF!&gt;=table!$C$6,#REF!&lt;= table!$D$6),-1,IF(AND(#REF!&gt;=table!$E$6,#REF!&lt;=table!$F$6),1,0))</f>
        <v>#REF!</v>
      </c>
      <c r="R371" s="5" t="e">
        <f>IF(AND(#REF!&gt;=table!$C$7,#REF!&lt;= table!$D$7),-1,IF(AND(#REF!&gt;=table!$E$7,#REF!&lt;=table!$F$7),1,0))</f>
        <v>#REF!</v>
      </c>
      <c r="S371" s="5" t="e">
        <f>IF(AND(#REF!&gt;=table!$C$8,#REF!&lt;= table!$D$8),-1,IF(AND(#REF!&gt;=table!$E$8,#REF!&lt;=table!$F$8),1,0))</f>
        <v>#REF!</v>
      </c>
      <c r="T371" s="5"/>
      <c r="U371" s="5" t="e">
        <f>IF(AND(#REF!&gt;=table!$C$10,#REF!&lt;= table!$D$10),-1,IF(AND(#REF!&gt;=table!$E$10,#REF!&lt;=table!$F$10),1,0))</f>
        <v>#REF!</v>
      </c>
      <c r="V371" s="5" t="e">
        <f>IF(AND(#REF!&gt;=table!$C$11,#REF!&lt;= table!$D$11),-1,IF(AND(#REF!&gt;=table!$E$11,#REF!&lt;=table!$F$11),1,0))</f>
        <v>#REF!</v>
      </c>
      <c r="W371" s="5" t="e">
        <f>CONCATENATE(dados[[#This Row],[fator1]],dados[[#This Row],[fator5]],dados[[#This Row],[fator6]])</f>
        <v>#REF!</v>
      </c>
    </row>
    <row r="372" spans="1:23">
      <c r="A372" t="s">
        <v>17</v>
      </c>
      <c r="B372">
        <v>481621</v>
      </c>
      <c r="C372">
        <v>18</v>
      </c>
      <c r="D372">
        <v>30</v>
      </c>
      <c r="E372">
        <v>136</v>
      </c>
      <c r="F372">
        <v>3</v>
      </c>
      <c r="G372">
        <v>20</v>
      </c>
      <c r="H372">
        <v>25</v>
      </c>
      <c r="I372">
        <v>970</v>
      </c>
      <c r="J372">
        <v>890</v>
      </c>
      <c r="K372">
        <v>9.35</v>
      </c>
      <c r="L372">
        <v>18.650000000000002</v>
      </c>
      <c r="M372">
        <v>108.9</v>
      </c>
      <c r="N372">
        <v>15.75</v>
      </c>
      <c r="O372">
        <v>1668</v>
      </c>
      <c r="P372">
        <v>459</v>
      </c>
      <c r="Q372" s="5" t="e">
        <f>IF(AND(#REF!&gt;=table!$C$6,#REF!&lt;= table!$D$6),-1,IF(AND(#REF!&gt;=table!$E$6,#REF!&lt;=table!$F$6),1,0))</f>
        <v>#REF!</v>
      </c>
      <c r="R372" s="5" t="e">
        <f>IF(AND(#REF!&gt;=table!$C$7,#REF!&lt;= table!$D$7),-1,IF(AND(#REF!&gt;=table!$E$7,#REF!&lt;=table!$F$7),1,0))</f>
        <v>#REF!</v>
      </c>
      <c r="S372" s="5" t="e">
        <f>IF(AND(#REF!&gt;=table!$C$8,#REF!&lt;= table!$D$8),-1,IF(AND(#REF!&gt;=table!$E$8,#REF!&lt;=table!$F$8),1,0))</f>
        <v>#REF!</v>
      </c>
      <c r="T372" s="5"/>
      <c r="U372" s="5" t="e">
        <f>IF(AND(#REF!&gt;=table!$C$10,#REF!&lt;= table!$D$10),-1,IF(AND(#REF!&gt;=table!$E$10,#REF!&lt;=table!$F$10),1,0))</f>
        <v>#REF!</v>
      </c>
      <c r="V372" s="5" t="e">
        <f>IF(AND(#REF!&gt;=table!$C$11,#REF!&lt;= table!$D$11),-1,IF(AND(#REF!&gt;=table!$E$11,#REF!&lt;=table!$F$11),1,0))</f>
        <v>#REF!</v>
      </c>
      <c r="W372" s="5" t="e">
        <f>CONCATENATE(dados[[#This Row],[fator1]],dados[[#This Row],[fator5]],dados[[#This Row],[fator6]])</f>
        <v>#REF!</v>
      </c>
    </row>
    <row r="373" spans="1:23">
      <c r="A373" t="s">
        <v>17</v>
      </c>
      <c r="B373">
        <v>481622</v>
      </c>
      <c r="C373">
        <v>18</v>
      </c>
      <c r="D373">
        <v>30</v>
      </c>
      <c r="E373">
        <v>136</v>
      </c>
      <c r="F373">
        <v>3</v>
      </c>
      <c r="G373">
        <v>20</v>
      </c>
      <c r="H373">
        <v>25</v>
      </c>
      <c r="I373">
        <v>1058</v>
      </c>
      <c r="J373">
        <v>0</v>
      </c>
      <c r="K373">
        <v>6.98</v>
      </c>
      <c r="L373">
        <v>23</v>
      </c>
      <c r="M373">
        <v>111.85000000000001</v>
      </c>
      <c r="N373">
        <v>19.3</v>
      </c>
      <c r="O373">
        <v>1701</v>
      </c>
      <c r="P373">
        <v>0</v>
      </c>
      <c r="Q373" s="5" t="e">
        <f>IF(AND(#REF!&gt;=table!$C$6,#REF!&lt;= table!$D$6),-1,IF(AND(#REF!&gt;=table!$E$6,#REF!&lt;=table!$F$6),1,0))</f>
        <v>#REF!</v>
      </c>
      <c r="R373" s="5" t="e">
        <f>IF(AND(#REF!&gt;=table!$C$7,#REF!&lt;= table!$D$7),-1,IF(AND(#REF!&gt;=table!$E$7,#REF!&lt;=table!$F$7),1,0))</f>
        <v>#REF!</v>
      </c>
      <c r="S373" s="5" t="e">
        <f>IF(AND(#REF!&gt;=table!$C$8,#REF!&lt;= table!$D$8),-1,IF(AND(#REF!&gt;=table!$E$8,#REF!&lt;=table!$F$8),1,0))</f>
        <v>#REF!</v>
      </c>
      <c r="T373" s="5"/>
      <c r="U373" s="5" t="e">
        <f>IF(AND(#REF!&gt;=table!$C$10,#REF!&lt;= table!$D$10),-1,IF(AND(#REF!&gt;=table!$E$10,#REF!&lt;=table!$F$10),1,0))</f>
        <v>#REF!</v>
      </c>
      <c r="V373" s="5" t="e">
        <f>IF(AND(#REF!&gt;=table!$C$11,#REF!&lt;= table!$D$11),-1,IF(AND(#REF!&gt;=table!$E$11,#REF!&lt;=table!$F$11),1,0))</f>
        <v>#REF!</v>
      </c>
      <c r="W373" s="5" t="e">
        <f>CONCATENATE(dados[[#This Row],[fator1]],dados[[#This Row],[fator5]],dados[[#This Row],[fator6]])</f>
        <v>#REF!</v>
      </c>
    </row>
    <row r="374" spans="1:23">
      <c r="A374" t="s">
        <v>17</v>
      </c>
      <c r="B374">
        <v>481623</v>
      </c>
      <c r="C374">
        <v>18</v>
      </c>
      <c r="D374">
        <v>30</v>
      </c>
      <c r="E374">
        <v>136</v>
      </c>
      <c r="F374">
        <v>3</v>
      </c>
      <c r="G374">
        <v>20</v>
      </c>
      <c r="H374">
        <v>25</v>
      </c>
      <c r="I374">
        <v>1423</v>
      </c>
      <c r="J374">
        <v>0</v>
      </c>
      <c r="K374">
        <v>9.76</v>
      </c>
      <c r="L374">
        <v>24.625</v>
      </c>
      <c r="M374">
        <v>116.685</v>
      </c>
      <c r="N374">
        <v>18.955000000000002</v>
      </c>
      <c r="O374">
        <v>1684</v>
      </c>
      <c r="P374">
        <v>0</v>
      </c>
      <c r="Q374" s="5" t="e">
        <f>IF(AND(#REF!&gt;=table!$C$6,#REF!&lt;= table!$D$6),-1,IF(AND(#REF!&gt;=table!$E$6,#REF!&lt;=table!$F$6),1,0))</f>
        <v>#REF!</v>
      </c>
      <c r="R374" s="5" t="e">
        <f>IF(AND(#REF!&gt;=table!$C$7,#REF!&lt;= table!$D$7),-1,IF(AND(#REF!&gt;=table!$E$7,#REF!&lt;=table!$F$7),1,0))</f>
        <v>#REF!</v>
      </c>
      <c r="S374" s="5" t="e">
        <f>IF(AND(#REF!&gt;=table!$C$8,#REF!&lt;= table!$D$8),-1,IF(AND(#REF!&gt;=table!$E$8,#REF!&lt;=table!$F$8),1,0))</f>
        <v>#REF!</v>
      </c>
      <c r="T374" s="5"/>
      <c r="U374" s="5" t="e">
        <f>IF(AND(#REF!&gt;=table!$C$10,#REF!&lt;= table!$D$10),-1,IF(AND(#REF!&gt;=table!$E$10,#REF!&lt;=table!$F$10),1,0))</f>
        <v>#REF!</v>
      </c>
      <c r="V374" s="5" t="e">
        <f>IF(AND(#REF!&gt;=table!$C$11,#REF!&lt;= table!$D$11),-1,IF(AND(#REF!&gt;=table!$E$11,#REF!&lt;=table!$F$11),1,0))</f>
        <v>#REF!</v>
      </c>
      <c r="W374" s="5" t="e">
        <f>CONCATENATE(dados[[#This Row],[fator1]],dados[[#This Row],[fator5]],dados[[#This Row],[fator6]])</f>
        <v>#REF!</v>
      </c>
    </row>
    <row r="375" spans="1:23">
      <c r="A375" t="s">
        <v>17</v>
      </c>
      <c r="B375">
        <v>481626</v>
      </c>
      <c r="C375">
        <v>16</v>
      </c>
      <c r="D375">
        <v>35</v>
      </c>
      <c r="E375">
        <v>136</v>
      </c>
      <c r="F375">
        <v>4</v>
      </c>
      <c r="G375">
        <v>30</v>
      </c>
      <c r="H375">
        <v>25</v>
      </c>
      <c r="I375">
        <v>45</v>
      </c>
      <c r="J375">
        <v>0</v>
      </c>
      <c r="K375">
        <v>5.1749999999999998</v>
      </c>
      <c r="L375">
        <v>16.399999999999999</v>
      </c>
      <c r="M375">
        <v>129.1</v>
      </c>
      <c r="N375">
        <v>13.8</v>
      </c>
      <c r="O375">
        <v>1666</v>
      </c>
      <c r="P375">
        <v>581</v>
      </c>
      <c r="Q375" s="5" t="e">
        <f>IF(AND(#REF!&gt;=table!$C$6,#REF!&lt;= table!$D$6),-1,IF(AND(#REF!&gt;=table!$E$6,#REF!&lt;=table!$F$6),1,0))</f>
        <v>#REF!</v>
      </c>
      <c r="R375" s="5" t="e">
        <f>IF(AND(#REF!&gt;=table!$C$7,#REF!&lt;= table!$D$7),-1,IF(AND(#REF!&gt;=table!$E$7,#REF!&lt;=table!$F$7),1,0))</f>
        <v>#REF!</v>
      </c>
      <c r="S375" s="5" t="e">
        <f>IF(AND(#REF!&gt;=table!$C$8,#REF!&lt;= table!$D$8),-1,IF(AND(#REF!&gt;=table!$E$8,#REF!&lt;=table!$F$8),1,0))</f>
        <v>#REF!</v>
      </c>
      <c r="T375" s="5"/>
      <c r="U375" s="5" t="e">
        <f>IF(AND(#REF!&gt;=table!$C$10,#REF!&lt;= table!$D$10),-1,IF(AND(#REF!&gt;=table!$E$10,#REF!&lt;=table!$F$10),1,0))</f>
        <v>#REF!</v>
      </c>
      <c r="V375" s="5" t="e">
        <f>IF(AND(#REF!&gt;=table!$C$11,#REF!&lt;= table!$D$11),-1,IF(AND(#REF!&gt;=table!$E$11,#REF!&lt;=table!$F$11),1,0))</f>
        <v>#REF!</v>
      </c>
      <c r="W375" s="5" t="e">
        <f>CONCATENATE(dados[[#This Row],[fator1]],dados[[#This Row],[fator5]],dados[[#This Row],[fator6]])</f>
        <v>#REF!</v>
      </c>
    </row>
    <row r="376" spans="1:23">
      <c r="A376" t="s">
        <v>16</v>
      </c>
      <c r="B376">
        <v>481634</v>
      </c>
      <c r="C376">
        <v>7</v>
      </c>
      <c r="D376">
        <v>33</v>
      </c>
      <c r="E376">
        <v>150</v>
      </c>
      <c r="F376">
        <v>4</v>
      </c>
      <c r="G376">
        <v>0</v>
      </c>
      <c r="H376">
        <v>25</v>
      </c>
      <c r="I376">
        <v>726</v>
      </c>
      <c r="J376">
        <v>0</v>
      </c>
      <c r="K376">
        <v>2.5070000000000001</v>
      </c>
      <c r="L376">
        <v>14.33</v>
      </c>
      <c r="M376">
        <v>125.15</v>
      </c>
      <c r="N376">
        <v>16.149999999999999</v>
      </c>
      <c r="O376">
        <v>1675</v>
      </c>
      <c r="P376">
        <v>1316</v>
      </c>
      <c r="Q376" s="5" t="e">
        <f>IF(AND(#REF!&gt;=table!$C$6,#REF!&lt;= table!$D$6),-1,IF(AND(#REF!&gt;=table!$E$6,#REF!&lt;=table!$F$6),1,0))</f>
        <v>#REF!</v>
      </c>
      <c r="R376" s="5" t="e">
        <f>IF(AND(#REF!&gt;=table!$C$7,#REF!&lt;= table!$D$7),-1,IF(AND(#REF!&gt;=table!$E$7,#REF!&lt;=table!$F$7),1,0))</f>
        <v>#REF!</v>
      </c>
      <c r="S376" s="5" t="e">
        <f>IF(AND(#REF!&gt;=table!$C$8,#REF!&lt;= table!$D$8),-1,IF(AND(#REF!&gt;=table!$E$8,#REF!&lt;=table!$F$8),1,0))</f>
        <v>#REF!</v>
      </c>
      <c r="T376" s="5"/>
      <c r="U376" s="5" t="e">
        <f>IF(AND(#REF!&gt;=table!$C$10,#REF!&lt;= table!$D$10),-1,IF(AND(#REF!&gt;=table!$E$10,#REF!&lt;=table!$F$10),1,0))</f>
        <v>#REF!</v>
      </c>
      <c r="V376" s="5" t="e">
        <f>IF(AND(#REF!&gt;=table!$C$11,#REF!&lt;= table!$D$11),-1,IF(AND(#REF!&gt;=table!$E$11,#REF!&lt;=table!$F$11),1,0))</f>
        <v>#REF!</v>
      </c>
      <c r="W376" s="5" t="e">
        <f>CONCATENATE(dados[[#This Row],[fator1]],dados[[#This Row],[fator5]],dados[[#This Row],[fator6]])</f>
        <v>#REF!</v>
      </c>
    </row>
    <row r="377" spans="1:23">
      <c r="A377" t="s">
        <v>16</v>
      </c>
      <c r="B377">
        <v>481639</v>
      </c>
      <c r="C377">
        <v>0.15</v>
      </c>
      <c r="D377">
        <v>35</v>
      </c>
      <c r="E377">
        <v>15</v>
      </c>
      <c r="F377">
        <v>10</v>
      </c>
      <c r="G377">
        <v>0</v>
      </c>
      <c r="H377">
        <v>12</v>
      </c>
      <c r="I377">
        <v>252</v>
      </c>
      <c r="J377">
        <v>0</v>
      </c>
      <c r="K377">
        <v>3.2050000000000001</v>
      </c>
      <c r="L377">
        <v>10.3</v>
      </c>
      <c r="M377">
        <v>9.75</v>
      </c>
      <c r="N377">
        <v>11.35</v>
      </c>
      <c r="O377">
        <v>1688</v>
      </c>
      <c r="P377">
        <v>0</v>
      </c>
      <c r="Q377" s="5" t="e">
        <f>IF(AND(#REF!&gt;=table!$C$6,#REF!&lt;= table!$D$6),-1,IF(AND(#REF!&gt;=table!$E$6,#REF!&lt;=table!$F$6),1,0))</f>
        <v>#REF!</v>
      </c>
      <c r="R377" s="5" t="e">
        <f>IF(AND(#REF!&gt;=table!$C$7,#REF!&lt;= table!$D$7),-1,IF(AND(#REF!&gt;=table!$E$7,#REF!&lt;=table!$F$7),1,0))</f>
        <v>#REF!</v>
      </c>
      <c r="S377" s="5" t="e">
        <f>IF(AND(#REF!&gt;=table!$C$8,#REF!&lt;= table!$D$8),-1,IF(AND(#REF!&gt;=table!$E$8,#REF!&lt;=table!$F$8),1,0))</f>
        <v>#REF!</v>
      </c>
      <c r="T377" s="5"/>
      <c r="U377" s="5" t="e">
        <f>IF(AND(#REF!&gt;=table!$C$10,#REF!&lt;= table!$D$10),-1,IF(AND(#REF!&gt;=table!$E$10,#REF!&lt;=table!$F$10),1,0))</f>
        <v>#REF!</v>
      </c>
      <c r="V377" s="5" t="e">
        <f>IF(AND(#REF!&gt;=table!$C$11,#REF!&lt;= table!$D$11),-1,IF(AND(#REF!&gt;=table!$E$11,#REF!&lt;=table!$F$11),1,0))</f>
        <v>#REF!</v>
      </c>
      <c r="W377" s="5" t="e">
        <f>CONCATENATE(dados[[#This Row],[fator1]],dados[[#This Row],[fator5]],dados[[#This Row],[fator6]])</f>
        <v>#REF!</v>
      </c>
    </row>
    <row r="378" spans="1:23">
      <c r="A378" t="s">
        <v>16</v>
      </c>
      <c r="B378">
        <v>481640</v>
      </c>
      <c r="C378">
        <v>0.2</v>
      </c>
      <c r="D378">
        <v>65</v>
      </c>
      <c r="E378">
        <v>26</v>
      </c>
      <c r="F378">
        <v>15</v>
      </c>
      <c r="G378">
        <v>0</v>
      </c>
      <c r="H378">
        <v>30</v>
      </c>
      <c r="I378">
        <v>1</v>
      </c>
      <c r="J378">
        <v>0</v>
      </c>
      <c r="K378">
        <v>5.5750000000000002</v>
      </c>
      <c r="L378">
        <v>16.89</v>
      </c>
      <c r="M378">
        <v>14.795</v>
      </c>
      <c r="N378">
        <v>13.16</v>
      </c>
      <c r="O378">
        <v>1673</v>
      </c>
      <c r="P378">
        <v>720</v>
      </c>
      <c r="Q378" s="5" t="e">
        <f>IF(AND(#REF!&gt;=table!$C$6,#REF!&lt;= table!$D$6),-1,IF(AND(#REF!&gt;=table!$E$6,#REF!&lt;=table!$F$6),1,0))</f>
        <v>#REF!</v>
      </c>
      <c r="R378" s="5" t="e">
        <f>IF(AND(#REF!&gt;=table!$C$7,#REF!&lt;= table!$D$7),-1,IF(AND(#REF!&gt;=table!$E$7,#REF!&lt;=table!$F$7),1,0))</f>
        <v>#REF!</v>
      </c>
      <c r="S378" s="5" t="e">
        <f>IF(AND(#REF!&gt;=table!$C$8,#REF!&lt;= table!$D$8),-1,IF(AND(#REF!&gt;=table!$E$8,#REF!&lt;=table!$F$8),1,0))</f>
        <v>#REF!</v>
      </c>
      <c r="T378" s="5"/>
      <c r="U378" s="5" t="e">
        <f>IF(AND(#REF!&gt;=table!$C$10,#REF!&lt;= table!$D$10),-1,IF(AND(#REF!&gt;=table!$E$10,#REF!&lt;=table!$F$10),1,0))</f>
        <v>#REF!</v>
      </c>
      <c r="V378" s="5" t="e">
        <f>IF(AND(#REF!&gt;=table!$C$11,#REF!&lt;= table!$D$11),-1,IF(AND(#REF!&gt;=table!$E$11,#REF!&lt;=table!$F$11),1,0))</f>
        <v>#REF!</v>
      </c>
      <c r="W378" s="5" t="e">
        <f>CONCATENATE(dados[[#This Row],[fator1]],dados[[#This Row],[fator5]],dados[[#This Row],[fator6]])</f>
        <v>#REF!</v>
      </c>
    </row>
    <row r="379" spans="1:23">
      <c r="A379" t="s">
        <v>16</v>
      </c>
      <c r="B379">
        <v>481641</v>
      </c>
      <c r="C379">
        <v>0.2</v>
      </c>
      <c r="D379">
        <v>65</v>
      </c>
      <c r="E379">
        <v>26</v>
      </c>
      <c r="F379">
        <v>15</v>
      </c>
      <c r="G379">
        <v>0</v>
      </c>
      <c r="H379">
        <v>30</v>
      </c>
      <c r="I379">
        <v>1191</v>
      </c>
      <c r="J379">
        <v>710</v>
      </c>
      <c r="K379">
        <v>14.1</v>
      </c>
      <c r="L379">
        <v>14.65</v>
      </c>
      <c r="M379">
        <v>10.185</v>
      </c>
      <c r="N379">
        <v>12.76</v>
      </c>
      <c r="O379">
        <v>1657</v>
      </c>
      <c r="P379">
        <v>494</v>
      </c>
      <c r="Q379" s="5" t="e">
        <f>IF(AND(#REF!&gt;=table!$C$6,#REF!&lt;= table!$D$6),-1,IF(AND(#REF!&gt;=table!$E$6,#REF!&lt;=table!$F$6),1,0))</f>
        <v>#REF!</v>
      </c>
      <c r="R379" s="5" t="e">
        <f>IF(AND(#REF!&gt;=table!$C$7,#REF!&lt;= table!$D$7),-1,IF(AND(#REF!&gt;=table!$E$7,#REF!&lt;=table!$F$7),1,0))</f>
        <v>#REF!</v>
      </c>
      <c r="S379" s="5" t="e">
        <f>IF(AND(#REF!&gt;=table!$C$8,#REF!&lt;= table!$D$8),-1,IF(AND(#REF!&gt;=table!$E$8,#REF!&lt;=table!$F$8),1,0))</f>
        <v>#REF!</v>
      </c>
      <c r="T379" s="5"/>
      <c r="U379" s="5" t="e">
        <f>IF(AND(#REF!&gt;=table!$C$10,#REF!&lt;= table!$D$10),-1,IF(AND(#REF!&gt;=table!$E$10,#REF!&lt;=table!$F$10),1,0))</f>
        <v>#REF!</v>
      </c>
      <c r="V379" s="5" t="e">
        <f>IF(AND(#REF!&gt;=table!$C$11,#REF!&lt;= table!$D$11),-1,IF(AND(#REF!&gt;=table!$E$11,#REF!&lt;=table!$F$11),1,0))</f>
        <v>#REF!</v>
      </c>
      <c r="W379" s="5" t="e">
        <f>CONCATENATE(dados[[#This Row],[fator1]],dados[[#This Row],[fator5]],dados[[#This Row],[fator6]])</f>
        <v>#REF!</v>
      </c>
    </row>
    <row r="380" spans="1:23">
      <c r="A380" t="s">
        <v>16</v>
      </c>
      <c r="B380">
        <v>481642</v>
      </c>
      <c r="C380">
        <v>0.2</v>
      </c>
      <c r="D380">
        <v>65</v>
      </c>
      <c r="E380">
        <v>26</v>
      </c>
      <c r="F380">
        <v>15</v>
      </c>
      <c r="G380">
        <v>0</v>
      </c>
      <c r="H380">
        <v>30</v>
      </c>
      <c r="I380">
        <v>2091</v>
      </c>
      <c r="J380">
        <v>0</v>
      </c>
      <c r="K380">
        <v>4.2149999999999999</v>
      </c>
      <c r="L380">
        <v>13.55</v>
      </c>
      <c r="M380">
        <v>12</v>
      </c>
      <c r="N380">
        <v>15.9</v>
      </c>
      <c r="O380">
        <v>1696</v>
      </c>
      <c r="P380">
        <v>909</v>
      </c>
      <c r="Q380" s="5" t="e">
        <f>IF(AND(#REF!&gt;=table!$C$6,#REF!&lt;= table!$D$6),-1,IF(AND(#REF!&gt;=table!$E$6,#REF!&lt;=table!$F$6),1,0))</f>
        <v>#REF!</v>
      </c>
      <c r="R380" s="5" t="e">
        <f>IF(AND(#REF!&gt;=table!$C$7,#REF!&lt;= table!$D$7),-1,IF(AND(#REF!&gt;=table!$E$7,#REF!&lt;=table!$F$7),1,0))</f>
        <v>#REF!</v>
      </c>
      <c r="S380" s="5" t="e">
        <f>IF(AND(#REF!&gt;=table!$C$8,#REF!&lt;= table!$D$8),-1,IF(AND(#REF!&gt;=table!$E$8,#REF!&lt;=table!$F$8),1,0))</f>
        <v>#REF!</v>
      </c>
      <c r="T380" s="5"/>
      <c r="U380" s="5" t="e">
        <f>IF(AND(#REF!&gt;=table!$C$10,#REF!&lt;= table!$D$10),-1,IF(AND(#REF!&gt;=table!$E$10,#REF!&lt;=table!$F$10),1,0))</f>
        <v>#REF!</v>
      </c>
      <c r="V380" s="5" t="e">
        <f>IF(AND(#REF!&gt;=table!$C$11,#REF!&lt;= table!$D$11),-1,IF(AND(#REF!&gt;=table!$E$11,#REF!&lt;=table!$F$11),1,0))</f>
        <v>#REF!</v>
      </c>
      <c r="W380" s="5" t="e">
        <f>CONCATENATE(dados[[#This Row],[fator1]],dados[[#This Row],[fator5]],dados[[#This Row],[fator6]])</f>
        <v>#REF!</v>
      </c>
    </row>
    <row r="381" spans="1:23">
      <c r="A381" t="s">
        <v>16</v>
      </c>
      <c r="B381">
        <v>481643</v>
      </c>
      <c r="C381">
        <v>0.2</v>
      </c>
      <c r="D381">
        <v>65</v>
      </c>
      <c r="E381">
        <v>26</v>
      </c>
      <c r="F381">
        <v>15</v>
      </c>
      <c r="G381">
        <v>0</v>
      </c>
      <c r="H381">
        <v>30</v>
      </c>
      <c r="I381">
        <v>850</v>
      </c>
      <c r="J381">
        <v>0</v>
      </c>
      <c r="K381">
        <v>4.3849999999999998</v>
      </c>
      <c r="L381">
        <v>19.650000000000002</v>
      </c>
      <c r="M381">
        <v>10.1</v>
      </c>
      <c r="N381">
        <v>10.3</v>
      </c>
      <c r="O381">
        <v>1642</v>
      </c>
      <c r="P381">
        <v>0</v>
      </c>
      <c r="Q381" s="5" t="e">
        <f>IF(AND(#REF!&gt;=table!$C$6,#REF!&lt;= table!$D$6),-1,IF(AND(#REF!&gt;=table!$E$6,#REF!&lt;=table!$F$6),1,0))</f>
        <v>#REF!</v>
      </c>
      <c r="R381" s="5" t="e">
        <f>IF(AND(#REF!&gt;=table!$C$7,#REF!&lt;= table!$D$7),-1,IF(AND(#REF!&gt;=table!$E$7,#REF!&lt;=table!$F$7),1,0))</f>
        <v>#REF!</v>
      </c>
      <c r="S381" s="5" t="e">
        <f>IF(AND(#REF!&gt;=table!$C$8,#REF!&lt;= table!$D$8),-1,IF(AND(#REF!&gt;=table!$E$8,#REF!&lt;=table!$F$8),1,0))</f>
        <v>#REF!</v>
      </c>
      <c r="T381" s="5"/>
      <c r="U381" s="5" t="e">
        <f>IF(AND(#REF!&gt;=table!$C$10,#REF!&lt;= table!$D$10),-1,IF(AND(#REF!&gt;=table!$E$10,#REF!&lt;=table!$F$10),1,0))</f>
        <v>#REF!</v>
      </c>
      <c r="V381" s="5" t="e">
        <f>IF(AND(#REF!&gt;=table!$C$11,#REF!&lt;= table!$D$11),-1,IF(AND(#REF!&gt;=table!$E$11,#REF!&lt;=table!$F$11),1,0))</f>
        <v>#REF!</v>
      </c>
      <c r="W381" s="5" t="e">
        <f>CONCATENATE(dados[[#This Row],[fator1]],dados[[#This Row],[fator5]],dados[[#This Row],[fator6]])</f>
        <v>#REF!</v>
      </c>
    </row>
    <row r="382" spans="1:23">
      <c r="A382" t="s">
        <v>16</v>
      </c>
      <c r="B382">
        <v>481646</v>
      </c>
      <c r="C382">
        <v>0.2</v>
      </c>
      <c r="D382">
        <v>65</v>
      </c>
      <c r="E382">
        <v>26</v>
      </c>
      <c r="F382">
        <v>15</v>
      </c>
      <c r="G382">
        <v>0</v>
      </c>
      <c r="H382">
        <v>30</v>
      </c>
      <c r="I382">
        <v>36</v>
      </c>
      <c r="J382">
        <v>0</v>
      </c>
      <c r="K382">
        <v>5.835</v>
      </c>
      <c r="L382">
        <v>13.27</v>
      </c>
      <c r="M382">
        <v>12.85</v>
      </c>
      <c r="N382">
        <v>11.450000000000001</v>
      </c>
      <c r="O382">
        <v>1655</v>
      </c>
      <c r="P382">
        <v>627</v>
      </c>
      <c r="Q382" s="5" t="e">
        <f>IF(AND(#REF!&gt;=table!$C$6,#REF!&lt;= table!$D$6),-1,IF(AND(#REF!&gt;=table!$E$6,#REF!&lt;=table!$F$6),1,0))</f>
        <v>#REF!</v>
      </c>
      <c r="R382" s="5" t="e">
        <f>IF(AND(#REF!&gt;=table!$C$7,#REF!&lt;= table!$D$7),-1,IF(AND(#REF!&gt;=table!$E$7,#REF!&lt;=table!$F$7),1,0))</f>
        <v>#REF!</v>
      </c>
      <c r="S382" s="5" t="e">
        <f>IF(AND(#REF!&gt;=table!$C$8,#REF!&lt;= table!$D$8),-1,IF(AND(#REF!&gt;=table!$E$8,#REF!&lt;=table!$F$8),1,0))</f>
        <v>#REF!</v>
      </c>
      <c r="T382" s="5"/>
      <c r="U382" s="5" t="e">
        <f>IF(AND(#REF!&gt;=table!$C$10,#REF!&lt;= table!$D$10),-1,IF(AND(#REF!&gt;=table!$E$10,#REF!&lt;=table!$F$10),1,0))</f>
        <v>#REF!</v>
      </c>
      <c r="V382" s="5" t="e">
        <f>IF(AND(#REF!&gt;=table!$C$11,#REF!&lt;= table!$D$11),-1,IF(AND(#REF!&gt;=table!$E$11,#REF!&lt;=table!$F$11),1,0))</f>
        <v>#REF!</v>
      </c>
      <c r="W382" s="5" t="e">
        <f>CONCATENATE(dados[[#This Row],[fator1]],dados[[#This Row],[fator5]],dados[[#This Row],[fator6]])</f>
        <v>#REF!</v>
      </c>
    </row>
    <row r="383" spans="1:23">
      <c r="A383" t="s">
        <v>17</v>
      </c>
      <c r="B383">
        <v>481654</v>
      </c>
      <c r="C383">
        <v>20</v>
      </c>
      <c r="D383">
        <v>33</v>
      </c>
      <c r="E383">
        <v>66</v>
      </c>
      <c r="F383">
        <v>4</v>
      </c>
      <c r="G383">
        <v>20</v>
      </c>
      <c r="H383">
        <v>25</v>
      </c>
      <c r="I383">
        <v>378</v>
      </c>
      <c r="J383">
        <v>880</v>
      </c>
      <c r="K383">
        <v>14.975000000000001</v>
      </c>
      <c r="L383">
        <v>32.825000000000003</v>
      </c>
      <c r="M383">
        <v>67.905000000000001</v>
      </c>
      <c r="N383">
        <v>14.31</v>
      </c>
      <c r="O383">
        <v>1696</v>
      </c>
      <c r="P383">
        <v>274</v>
      </c>
      <c r="Q383" s="5" t="e">
        <f>IF(AND(#REF!&gt;=table!$C$6,#REF!&lt;= table!$D$6),-1,IF(AND(#REF!&gt;=table!$E$6,#REF!&lt;=table!$F$6),1,0))</f>
        <v>#REF!</v>
      </c>
      <c r="R383" s="5" t="e">
        <f>IF(AND(#REF!&gt;=table!$C$7,#REF!&lt;= table!$D$7),-1,IF(AND(#REF!&gt;=table!$E$7,#REF!&lt;=table!$F$7),1,0))</f>
        <v>#REF!</v>
      </c>
      <c r="S383" s="5" t="e">
        <f>IF(AND(#REF!&gt;=table!$C$8,#REF!&lt;= table!$D$8),-1,IF(AND(#REF!&gt;=table!$E$8,#REF!&lt;=table!$F$8),1,0))</f>
        <v>#REF!</v>
      </c>
      <c r="T383" s="5"/>
      <c r="U383" s="5" t="e">
        <f>IF(AND(#REF!&gt;=table!$C$10,#REF!&lt;= table!$D$10),-1,IF(AND(#REF!&gt;=table!$E$10,#REF!&lt;=table!$F$10),1,0))</f>
        <v>#REF!</v>
      </c>
      <c r="V383" s="5" t="e">
        <f>IF(AND(#REF!&gt;=table!$C$11,#REF!&lt;= table!$D$11),-1,IF(AND(#REF!&gt;=table!$E$11,#REF!&lt;=table!$F$11),1,0))</f>
        <v>#REF!</v>
      </c>
      <c r="W383" s="5" t="e">
        <f>CONCATENATE(dados[[#This Row],[fator1]],dados[[#This Row],[fator5]],dados[[#This Row],[fator6]])</f>
        <v>#REF!</v>
      </c>
    </row>
    <row r="384" spans="1:23">
      <c r="A384" t="s">
        <v>17</v>
      </c>
      <c r="B384">
        <v>481655</v>
      </c>
      <c r="C384">
        <v>20</v>
      </c>
      <c r="D384">
        <v>33</v>
      </c>
      <c r="E384">
        <v>80</v>
      </c>
      <c r="F384">
        <v>4</v>
      </c>
      <c r="G384">
        <v>20</v>
      </c>
      <c r="H384">
        <v>25</v>
      </c>
      <c r="I384">
        <v>11</v>
      </c>
      <c r="J384">
        <v>0</v>
      </c>
      <c r="K384">
        <v>11.885</v>
      </c>
      <c r="L384">
        <v>24.650000000000002</v>
      </c>
      <c r="M384">
        <v>69.3</v>
      </c>
      <c r="N384">
        <v>17.2</v>
      </c>
      <c r="O384">
        <v>1673</v>
      </c>
      <c r="P384">
        <v>359</v>
      </c>
      <c r="Q384" s="5" t="e">
        <f>IF(AND(#REF!&gt;=table!$C$6,#REF!&lt;= table!$D$6),-1,IF(AND(#REF!&gt;=table!$E$6,#REF!&lt;=table!$F$6),1,0))</f>
        <v>#REF!</v>
      </c>
      <c r="R384" s="5" t="e">
        <f>IF(AND(#REF!&gt;=table!$C$7,#REF!&lt;= table!$D$7),-1,IF(AND(#REF!&gt;=table!$E$7,#REF!&lt;=table!$F$7),1,0))</f>
        <v>#REF!</v>
      </c>
      <c r="S384" s="5" t="e">
        <f>IF(AND(#REF!&gt;=table!$C$8,#REF!&lt;= table!$D$8),-1,IF(AND(#REF!&gt;=table!$E$8,#REF!&lt;=table!$F$8),1,0))</f>
        <v>#REF!</v>
      </c>
      <c r="T384" s="5"/>
      <c r="U384" s="5" t="e">
        <f>IF(AND(#REF!&gt;=table!$C$10,#REF!&lt;= table!$D$10),-1,IF(AND(#REF!&gt;=table!$E$10,#REF!&lt;=table!$F$10),1,0))</f>
        <v>#REF!</v>
      </c>
      <c r="V384" s="5" t="e">
        <f>IF(AND(#REF!&gt;=table!$C$11,#REF!&lt;= table!$D$11),-1,IF(AND(#REF!&gt;=table!$E$11,#REF!&lt;=table!$F$11),1,0))</f>
        <v>#REF!</v>
      </c>
      <c r="W384" s="5" t="e">
        <f>CONCATENATE(dados[[#This Row],[fator1]],dados[[#This Row],[fator5]],dados[[#This Row],[fator6]])</f>
        <v>#REF!</v>
      </c>
    </row>
    <row r="385" spans="1:23">
      <c r="A385" t="s">
        <v>16</v>
      </c>
      <c r="B385">
        <v>481656</v>
      </c>
      <c r="C385">
        <v>0.19</v>
      </c>
      <c r="D385">
        <v>50</v>
      </c>
      <c r="E385">
        <v>56</v>
      </c>
      <c r="F385">
        <v>15</v>
      </c>
      <c r="G385">
        <v>0</v>
      </c>
      <c r="H385">
        <v>50</v>
      </c>
      <c r="I385">
        <v>1057</v>
      </c>
      <c r="J385">
        <v>790</v>
      </c>
      <c r="K385">
        <v>12.43</v>
      </c>
      <c r="L385">
        <v>21.400000000000002</v>
      </c>
      <c r="M385">
        <v>11.85</v>
      </c>
      <c r="N385">
        <v>11.85</v>
      </c>
      <c r="O385">
        <v>1691</v>
      </c>
      <c r="P385">
        <v>369</v>
      </c>
      <c r="Q385" s="5" t="e">
        <f>IF(AND(#REF!&gt;=table!$C$6,#REF!&lt;= table!$D$6),-1,IF(AND(#REF!&gt;=table!$E$6,#REF!&lt;=table!$F$6),1,0))</f>
        <v>#REF!</v>
      </c>
      <c r="R385" s="5" t="e">
        <f>IF(AND(#REF!&gt;=table!$C$7,#REF!&lt;= table!$D$7),-1,IF(AND(#REF!&gt;=table!$E$7,#REF!&lt;=table!$F$7),1,0))</f>
        <v>#REF!</v>
      </c>
      <c r="S385" s="5" t="e">
        <f>IF(AND(#REF!&gt;=table!$C$8,#REF!&lt;= table!$D$8),-1,IF(AND(#REF!&gt;=table!$E$8,#REF!&lt;=table!$F$8),1,0))</f>
        <v>#REF!</v>
      </c>
      <c r="T385" s="5"/>
      <c r="U385" s="5" t="e">
        <f>IF(AND(#REF!&gt;=table!$C$10,#REF!&lt;= table!$D$10),-1,IF(AND(#REF!&gt;=table!$E$10,#REF!&lt;=table!$F$10),1,0))</f>
        <v>#REF!</v>
      </c>
      <c r="V385" s="5" t="e">
        <f>IF(AND(#REF!&gt;=table!$C$11,#REF!&lt;= table!$D$11),-1,IF(AND(#REF!&gt;=table!$E$11,#REF!&lt;=table!$F$11),1,0))</f>
        <v>#REF!</v>
      </c>
      <c r="W385" s="5" t="e">
        <f>CONCATENATE(dados[[#This Row],[fator1]],dados[[#This Row],[fator5]],dados[[#This Row],[fator6]])</f>
        <v>#REF!</v>
      </c>
    </row>
    <row r="386" spans="1:23">
      <c r="A386" t="s">
        <v>17</v>
      </c>
      <c r="B386">
        <v>481661</v>
      </c>
      <c r="C386">
        <v>30</v>
      </c>
      <c r="D386">
        <v>18</v>
      </c>
      <c r="E386">
        <v>66</v>
      </c>
      <c r="F386">
        <v>6</v>
      </c>
      <c r="G386">
        <v>20</v>
      </c>
      <c r="H386">
        <v>25</v>
      </c>
      <c r="I386">
        <v>649</v>
      </c>
      <c r="J386">
        <v>710</v>
      </c>
      <c r="K386">
        <v>5.2549999999999999</v>
      </c>
      <c r="L386">
        <v>20.245000000000001</v>
      </c>
      <c r="M386">
        <v>59.49</v>
      </c>
      <c r="N386">
        <v>16.065000000000001</v>
      </c>
      <c r="O386">
        <v>1675</v>
      </c>
      <c r="P386">
        <v>0</v>
      </c>
      <c r="Q386" s="5" t="e">
        <f>IF(AND(#REF!&gt;=table!$C$6,#REF!&lt;= table!$D$6),-1,IF(AND(#REF!&gt;=table!$E$6,#REF!&lt;=table!$F$6),1,0))</f>
        <v>#REF!</v>
      </c>
      <c r="R386" s="5" t="e">
        <f>IF(AND(#REF!&gt;=table!$C$7,#REF!&lt;= table!$D$7),-1,IF(AND(#REF!&gt;=table!$E$7,#REF!&lt;=table!$F$7),1,0))</f>
        <v>#REF!</v>
      </c>
      <c r="S386" s="5" t="e">
        <f>IF(AND(#REF!&gt;=table!$C$8,#REF!&lt;= table!$D$8),-1,IF(AND(#REF!&gt;=table!$E$8,#REF!&lt;=table!$F$8),1,0))</f>
        <v>#REF!</v>
      </c>
      <c r="T386" s="5"/>
      <c r="U386" s="5" t="e">
        <f>IF(AND(#REF!&gt;=table!$C$10,#REF!&lt;= table!$D$10),-1,IF(AND(#REF!&gt;=table!$E$10,#REF!&lt;=table!$F$10),1,0))</f>
        <v>#REF!</v>
      </c>
      <c r="V386" s="5" t="e">
        <f>IF(AND(#REF!&gt;=table!$C$11,#REF!&lt;= table!$D$11),-1,IF(AND(#REF!&gt;=table!$E$11,#REF!&lt;=table!$F$11),1,0))</f>
        <v>#REF!</v>
      </c>
      <c r="W386" s="5" t="e">
        <f>CONCATENATE(dados[[#This Row],[fator1]],dados[[#This Row],[fator5]],dados[[#This Row],[fator6]])</f>
        <v>#REF!</v>
      </c>
    </row>
    <row r="387" spans="1:23">
      <c r="A387" t="s">
        <v>16</v>
      </c>
      <c r="B387">
        <v>481662</v>
      </c>
      <c r="C387">
        <v>4</v>
      </c>
      <c r="D387">
        <v>50</v>
      </c>
      <c r="E387">
        <v>45</v>
      </c>
      <c r="F387">
        <v>10</v>
      </c>
      <c r="G387">
        <v>0</v>
      </c>
      <c r="H387">
        <v>50</v>
      </c>
      <c r="I387">
        <v>5</v>
      </c>
      <c r="J387">
        <v>0</v>
      </c>
      <c r="K387">
        <v>6.6000000000000005</v>
      </c>
      <c r="L387">
        <v>25.17</v>
      </c>
      <c r="M387">
        <v>22.515000000000001</v>
      </c>
      <c r="N387">
        <v>22.935000000000002</v>
      </c>
      <c r="O387">
        <v>1687</v>
      </c>
      <c r="P387">
        <v>0</v>
      </c>
      <c r="Q387" s="5" t="e">
        <f>IF(AND(#REF!&gt;=table!$C$6,#REF!&lt;= table!$D$6),-1,IF(AND(#REF!&gt;=table!$E$6,#REF!&lt;=table!$F$6),1,0))</f>
        <v>#REF!</v>
      </c>
      <c r="R387" s="5" t="e">
        <f>IF(AND(#REF!&gt;=table!$C$7,#REF!&lt;= table!$D$7),-1,IF(AND(#REF!&gt;=table!$E$7,#REF!&lt;=table!$F$7),1,0))</f>
        <v>#REF!</v>
      </c>
      <c r="S387" s="5" t="e">
        <f>IF(AND(#REF!&gt;=table!$C$8,#REF!&lt;= table!$D$8),-1,IF(AND(#REF!&gt;=table!$E$8,#REF!&lt;=table!$F$8),1,0))</f>
        <v>#REF!</v>
      </c>
      <c r="T387" s="5"/>
      <c r="U387" s="5" t="e">
        <f>IF(AND(#REF!&gt;=table!$C$10,#REF!&lt;= table!$D$10),-1,IF(AND(#REF!&gt;=table!$E$10,#REF!&lt;=table!$F$10),1,0))</f>
        <v>#REF!</v>
      </c>
      <c r="V387" s="5" t="e">
        <f>IF(AND(#REF!&gt;=table!$C$11,#REF!&lt;= table!$D$11),-1,IF(AND(#REF!&gt;=table!$E$11,#REF!&lt;=table!$F$11),1,0))</f>
        <v>#REF!</v>
      </c>
      <c r="W387" s="5" t="e">
        <f>CONCATENATE(dados[[#This Row],[fator1]],dados[[#This Row],[fator5]],dados[[#This Row],[fator6]])</f>
        <v>#REF!</v>
      </c>
    </row>
    <row r="388" spans="1:23">
      <c r="A388" t="s">
        <v>17</v>
      </c>
      <c r="B388">
        <v>481663</v>
      </c>
      <c r="C388">
        <v>30</v>
      </c>
      <c r="D388">
        <v>18</v>
      </c>
      <c r="E388">
        <v>66</v>
      </c>
      <c r="F388">
        <v>6</v>
      </c>
      <c r="G388">
        <v>20</v>
      </c>
      <c r="H388">
        <v>25</v>
      </c>
      <c r="I388">
        <v>48</v>
      </c>
      <c r="J388">
        <v>0</v>
      </c>
      <c r="K388">
        <v>3.9</v>
      </c>
      <c r="L388">
        <v>14.25</v>
      </c>
      <c r="M388">
        <v>75.510000000000005</v>
      </c>
      <c r="N388">
        <v>15.96</v>
      </c>
      <c r="O388">
        <v>1682</v>
      </c>
      <c r="P388">
        <v>897</v>
      </c>
      <c r="Q388" s="5" t="e">
        <f>IF(AND(#REF!&gt;=table!$C$6,#REF!&lt;= table!$D$6),-1,IF(AND(#REF!&gt;=table!$E$6,#REF!&lt;=table!$F$6),1,0))</f>
        <v>#REF!</v>
      </c>
      <c r="R388" s="5" t="e">
        <f>IF(AND(#REF!&gt;=table!$C$7,#REF!&lt;= table!$D$7),-1,IF(AND(#REF!&gt;=table!$E$7,#REF!&lt;=table!$F$7),1,0))</f>
        <v>#REF!</v>
      </c>
      <c r="S388" s="5" t="e">
        <f>IF(AND(#REF!&gt;=table!$C$8,#REF!&lt;= table!$D$8),-1,IF(AND(#REF!&gt;=table!$E$8,#REF!&lt;=table!$F$8),1,0))</f>
        <v>#REF!</v>
      </c>
      <c r="T388" s="5"/>
      <c r="U388" s="5" t="e">
        <f>IF(AND(#REF!&gt;=table!$C$10,#REF!&lt;= table!$D$10),-1,IF(AND(#REF!&gt;=table!$E$10,#REF!&lt;=table!$F$10),1,0))</f>
        <v>#REF!</v>
      </c>
      <c r="V388" s="5" t="e">
        <f>IF(AND(#REF!&gt;=table!$C$11,#REF!&lt;= table!$D$11),-1,IF(AND(#REF!&gt;=table!$E$11,#REF!&lt;=table!$F$11),1,0))</f>
        <v>#REF!</v>
      </c>
      <c r="W388" s="5" t="e">
        <f>CONCATENATE(dados[[#This Row],[fator1]],dados[[#This Row],[fator5]],dados[[#This Row],[fator6]])</f>
        <v>#REF!</v>
      </c>
    </row>
    <row r="389" spans="1:23">
      <c r="A389" t="s">
        <v>16</v>
      </c>
      <c r="B389">
        <v>481669</v>
      </c>
      <c r="C389">
        <v>11</v>
      </c>
      <c r="D389">
        <v>40</v>
      </c>
      <c r="E389">
        <v>151</v>
      </c>
      <c r="F389">
        <v>8</v>
      </c>
      <c r="G389">
        <v>0</v>
      </c>
      <c r="H389">
        <v>25</v>
      </c>
      <c r="I389">
        <v>35</v>
      </c>
      <c r="J389">
        <v>0</v>
      </c>
      <c r="K389">
        <v>3.41</v>
      </c>
      <c r="L389">
        <v>11.65</v>
      </c>
      <c r="M389">
        <v>134.25</v>
      </c>
      <c r="N389">
        <v>14.75</v>
      </c>
      <c r="O389">
        <v>1678</v>
      </c>
      <c r="P389">
        <v>1185</v>
      </c>
      <c r="Q389" s="5" t="e">
        <f>IF(AND(#REF!&gt;=table!$C$6,#REF!&lt;= table!$D$6),-1,IF(AND(#REF!&gt;=table!$E$6,#REF!&lt;=table!$F$6),1,0))</f>
        <v>#REF!</v>
      </c>
      <c r="R389" s="5" t="e">
        <f>IF(AND(#REF!&gt;=table!$C$7,#REF!&lt;= table!$D$7),-1,IF(AND(#REF!&gt;=table!$E$7,#REF!&lt;=table!$F$7),1,0))</f>
        <v>#REF!</v>
      </c>
      <c r="S389" s="5" t="e">
        <f>IF(AND(#REF!&gt;=table!$C$8,#REF!&lt;= table!$D$8),-1,IF(AND(#REF!&gt;=table!$E$8,#REF!&lt;=table!$F$8),1,0))</f>
        <v>#REF!</v>
      </c>
      <c r="T389" s="5"/>
      <c r="U389" s="5" t="e">
        <f>IF(AND(#REF!&gt;=table!$C$10,#REF!&lt;= table!$D$10),-1,IF(AND(#REF!&gt;=table!$E$10,#REF!&lt;=table!$F$10),1,0))</f>
        <v>#REF!</v>
      </c>
      <c r="V389" s="5" t="e">
        <f>IF(AND(#REF!&gt;=table!$C$11,#REF!&lt;= table!$D$11),-1,IF(AND(#REF!&gt;=table!$E$11,#REF!&lt;=table!$F$11),1,0))</f>
        <v>#REF!</v>
      </c>
      <c r="W389" s="5" t="e">
        <f>CONCATENATE(dados[[#This Row],[fator1]],dados[[#This Row],[fator5]],dados[[#This Row],[fator6]])</f>
        <v>#REF!</v>
      </c>
    </row>
    <row r="390" spans="1:23">
      <c r="A390" t="s">
        <v>17</v>
      </c>
      <c r="B390">
        <v>481679</v>
      </c>
      <c r="C390">
        <v>27</v>
      </c>
      <c r="D390">
        <v>33</v>
      </c>
      <c r="E390">
        <v>125</v>
      </c>
      <c r="F390">
        <v>3</v>
      </c>
      <c r="G390">
        <v>18</v>
      </c>
      <c r="H390">
        <v>18</v>
      </c>
      <c r="I390">
        <v>246</v>
      </c>
      <c r="J390">
        <v>0</v>
      </c>
      <c r="K390">
        <v>5</v>
      </c>
      <c r="L390">
        <v>13.3</v>
      </c>
      <c r="M390">
        <v>102.9</v>
      </c>
      <c r="N390">
        <v>9.5</v>
      </c>
      <c r="O390">
        <v>1669</v>
      </c>
      <c r="P390">
        <v>588</v>
      </c>
      <c r="Q390" s="5" t="e">
        <f>IF(AND(#REF!&gt;=table!$C$6,#REF!&lt;= table!$D$6),-1,IF(AND(#REF!&gt;=table!$E$6,#REF!&lt;=table!$F$6),1,0))</f>
        <v>#REF!</v>
      </c>
      <c r="R390" s="5" t="e">
        <f>IF(AND(#REF!&gt;=table!$C$7,#REF!&lt;= table!$D$7),-1,IF(AND(#REF!&gt;=table!$E$7,#REF!&lt;=table!$F$7),1,0))</f>
        <v>#REF!</v>
      </c>
      <c r="S390" s="5" t="e">
        <f>IF(AND(#REF!&gt;=table!$C$8,#REF!&lt;= table!$D$8),-1,IF(AND(#REF!&gt;=table!$E$8,#REF!&lt;=table!$F$8),1,0))</f>
        <v>#REF!</v>
      </c>
      <c r="T390" s="5"/>
      <c r="U390" s="5" t="e">
        <f>IF(AND(#REF!&gt;=table!$C$10,#REF!&lt;= table!$D$10),-1,IF(AND(#REF!&gt;=table!$E$10,#REF!&lt;=table!$F$10),1,0))</f>
        <v>#REF!</v>
      </c>
      <c r="V390" s="5" t="e">
        <f>IF(AND(#REF!&gt;=table!$C$11,#REF!&lt;= table!$D$11),-1,IF(AND(#REF!&gt;=table!$E$11,#REF!&lt;=table!$F$11),1,0))</f>
        <v>#REF!</v>
      </c>
      <c r="W390" s="5" t="e">
        <f>CONCATENATE(dados[[#This Row],[fator1]],dados[[#This Row],[fator5]],dados[[#This Row],[fator6]])</f>
        <v>#REF!</v>
      </c>
    </row>
    <row r="391" spans="1:23">
      <c r="A391" t="s">
        <v>16</v>
      </c>
      <c r="B391">
        <v>481683</v>
      </c>
      <c r="C391">
        <v>7</v>
      </c>
      <c r="D391">
        <v>33</v>
      </c>
      <c r="E391">
        <v>150</v>
      </c>
      <c r="F391">
        <v>4</v>
      </c>
      <c r="G391">
        <v>0</v>
      </c>
      <c r="H391">
        <v>25</v>
      </c>
      <c r="I391">
        <v>422</v>
      </c>
      <c r="J391">
        <v>0</v>
      </c>
      <c r="K391">
        <v>1.9850000000000001</v>
      </c>
      <c r="L391">
        <v>9.74</v>
      </c>
      <c r="M391">
        <v>121.45</v>
      </c>
      <c r="N391">
        <v>15.65</v>
      </c>
      <c r="O391">
        <v>1699</v>
      </c>
      <c r="P391">
        <v>1384</v>
      </c>
      <c r="Q391" s="5" t="e">
        <f>IF(AND(#REF!&gt;=table!$C$6,#REF!&lt;= table!$D$6),-1,IF(AND(#REF!&gt;=table!$E$6,#REF!&lt;=table!$F$6),1,0))</f>
        <v>#REF!</v>
      </c>
      <c r="R391" s="5" t="e">
        <f>IF(AND(#REF!&gt;=table!$C$7,#REF!&lt;= table!$D$7),-1,IF(AND(#REF!&gt;=table!$E$7,#REF!&lt;=table!$F$7),1,0))</f>
        <v>#REF!</v>
      </c>
      <c r="S391" s="5" t="e">
        <f>IF(AND(#REF!&gt;=table!$C$8,#REF!&lt;= table!$D$8),-1,IF(AND(#REF!&gt;=table!$E$8,#REF!&lt;=table!$F$8),1,0))</f>
        <v>#REF!</v>
      </c>
      <c r="T391" s="5"/>
      <c r="U391" s="5" t="e">
        <f>IF(AND(#REF!&gt;=table!$C$10,#REF!&lt;= table!$D$10),-1,IF(AND(#REF!&gt;=table!$E$10,#REF!&lt;=table!$F$10),1,0))</f>
        <v>#REF!</v>
      </c>
      <c r="V391" s="5" t="e">
        <f>IF(AND(#REF!&gt;=table!$C$11,#REF!&lt;= table!$D$11),-1,IF(AND(#REF!&gt;=table!$E$11,#REF!&lt;=table!$F$11),1,0))</f>
        <v>#REF!</v>
      </c>
      <c r="W391" s="5" t="e">
        <f>CONCATENATE(dados[[#This Row],[fator1]],dados[[#This Row],[fator5]],dados[[#This Row],[fator6]])</f>
        <v>#REF!</v>
      </c>
    </row>
    <row r="392" spans="1:23">
      <c r="A392" t="s">
        <v>16</v>
      </c>
      <c r="B392">
        <v>481685</v>
      </c>
      <c r="C392">
        <v>6</v>
      </c>
      <c r="D392">
        <v>25</v>
      </c>
      <c r="E392">
        <v>120</v>
      </c>
      <c r="F392">
        <v>4</v>
      </c>
      <c r="G392">
        <v>0</v>
      </c>
      <c r="H392">
        <v>55</v>
      </c>
      <c r="I392">
        <v>535</v>
      </c>
      <c r="J392">
        <v>670</v>
      </c>
      <c r="K392">
        <v>2.7949999999999999</v>
      </c>
      <c r="L392">
        <v>12.1</v>
      </c>
      <c r="M392">
        <v>85.5</v>
      </c>
      <c r="N392">
        <v>21.875</v>
      </c>
      <c r="O392">
        <v>1650</v>
      </c>
      <c r="P392">
        <v>1055</v>
      </c>
      <c r="Q392" s="5" t="e">
        <f>IF(AND(#REF!&gt;=table!$C$6,#REF!&lt;= table!$D$6),-1,IF(AND(#REF!&gt;=table!$E$6,#REF!&lt;=table!$F$6),1,0))</f>
        <v>#REF!</v>
      </c>
      <c r="R392" s="5" t="e">
        <f>IF(AND(#REF!&gt;=table!$C$7,#REF!&lt;= table!$D$7),-1,IF(AND(#REF!&gt;=table!$E$7,#REF!&lt;=table!$F$7),1,0))</f>
        <v>#REF!</v>
      </c>
      <c r="S392" s="5" t="e">
        <f>IF(AND(#REF!&gt;=table!$C$8,#REF!&lt;= table!$D$8),-1,IF(AND(#REF!&gt;=table!$E$8,#REF!&lt;=table!$F$8),1,0))</f>
        <v>#REF!</v>
      </c>
      <c r="T392" s="5"/>
      <c r="U392" s="5" t="e">
        <f>IF(AND(#REF!&gt;=table!$C$10,#REF!&lt;= table!$D$10),-1,IF(AND(#REF!&gt;=table!$E$10,#REF!&lt;=table!$F$10),1,0))</f>
        <v>#REF!</v>
      </c>
      <c r="V392" s="5" t="e">
        <f>IF(AND(#REF!&gt;=table!$C$11,#REF!&lt;= table!$D$11),-1,IF(AND(#REF!&gt;=table!$E$11,#REF!&lt;=table!$F$11),1,0))</f>
        <v>#REF!</v>
      </c>
      <c r="W392" s="5" t="e">
        <f>CONCATENATE(dados[[#This Row],[fator1]],dados[[#This Row],[fator5]],dados[[#This Row],[fator6]])</f>
        <v>#REF!</v>
      </c>
    </row>
    <row r="393" spans="1:23">
      <c r="A393" t="s">
        <v>16</v>
      </c>
      <c r="B393">
        <v>481689</v>
      </c>
      <c r="C393">
        <v>12</v>
      </c>
      <c r="D393">
        <v>27</v>
      </c>
      <c r="E393">
        <v>40</v>
      </c>
      <c r="F393">
        <v>8</v>
      </c>
      <c r="G393">
        <v>0</v>
      </c>
      <c r="H393">
        <v>25</v>
      </c>
      <c r="I393">
        <v>131</v>
      </c>
      <c r="J393">
        <v>0</v>
      </c>
      <c r="K393">
        <v>11.450000000000001</v>
      </c>
      <c r="L393">
        <v>18.965</v>
      </c>
      <c r="M393">
        <v>35.6</v>
      </c>
      <c r="N393">
        <v>12.5</v>
      </c>
      <c r="O393">
        <v>1651</v>
      </c>
      <c r="P393">
        <v>315</v>
      </c>
      <c r="Q393" s="5" t="e">
        <f>IF(AND(#REF!&gt;=table!$C$6,#REF!&lt;= table!$D$6),-1,IF(AND(#REF!&gt;=table!$E$6,#REF!&lt;=table!$F$6),1,0))</f>
        <v>#REF!</v>
      </c>
      <c r="R393" s="5" t="e">
        <f>IF(AND(#REF!&gt;=table!$C$7,#REF!&lt;= table!$D$7),-1,IF(AND(#REF!&gt;=table!$E$7,#REF!&lt;=table!$F$7),1,0))</f>
        <v>#REF!</v>
      </c>
      <c r="S393" s="5" t="e">
        <f>IF(AND(#REF!&gt;=table!$C$8,#REF!&lt;= table!$D$8),-1,IF(AND(#REF!&gt;=table!$E$8,#REF!&lt;=table!$F$8),1,0))</f>
        <v>#REF!</v>
      </c>
      <c r="T393" s="5"/>
      <c r="U393" s="5" t="e">
        <f>IF(AND(#REF!&gt;=table!$C$10,#REF!&lt;= table!$D$10),-1,IF(AND(#REF!&gt;=table!$E$10,#REF!&lt;=table!$F$10),1,0))</f>
        <v>#REF!</v>
      </c>
      <c r="V393" s="5" t="e">
        <f>IF(AND(#REF!&gt;=table!$C$11,#REF!&lt;= table!$D$11),-1,IF(AND(#REF!&gt;=table!$E$11,#REF!&lt;=table!$F$11),1,0))</f>
        <v>#REF!</v>
      </c>
      <c r="W393" s="5" t="e">
        <f>CONCATENATE(dados[[#This Row],[fator1]],dados[[#This Row],[fator5]],dados[[#This Row],[fator6]])</f>
        <v>#REF!</v>
      </c>
    </row>
    <row r="394" spans="1:23">
      <c r="A394" t="s">
        <v>16</v>
      </c>
      <c r="B394">
        <v>481690</v>
      </c>
      <c r="C394">
        <v>12</v>
      </c>
      <c r="D394">
        <v>27</v>
      </c>
      <c r="E394">
        <v>40</v>
      </c>
      <c r="F394">
        <v>8</v>
      </c>
      <c r="G394">
        <v>0</v>
      </c>
      <c r="H394">
        <v>25</v>
      </c>
      <c r="I394">
        <v>2772</v>
      </c>
      <c r="J394">
        <v>570</v>
      </c>
      <c r="K394">
        <v>20.215</v>
      </c>
      <c r="L394">
        <v>21.7</v>
      </c>
      <c r="M394">
        <v>32.35</v>
      </c>
      <c r="N394">
        <v>13.950000000000001</v>
      </c>
      <c r="O394">
        <v>1670</v>
      </c>
      <c r="P394">
        <v>306</v>
      </c>
      <c r="Q394" s="5" t="e">
        <f>IF(AND(#REF!&gt;=table!$C$6,#REF!&lt;= table!$D$6),-1,IF(AND(#REF!&gt;=table!$E$6,#REF!&lt;=table!$F$6),1,0))</f>
        <v>#REF!</v>
      </c>
      <c r="R394" s="5" t="e">
        <f>IF(AND(#REF!&gt;=table!$C$7,#REF!&lt;= table!$D$7),-1,IF(AND(#REF!&gt;=table!$E$7,#REF!&lt;=table!$F$7),1,0))</f>
        <v>#REF!</v>
      </c>
      <c r="S394" s="5" t="e">
        <f>IF(AND(#REF!&gt;=table!$C$8,#REF!&lt;= table!$D$8),-1,IF(AND(#REF!&gt;=table!$E$8,#REF!&lt;=table!$F$8),1,0))</f>
        <v>#REF!</v>
      </c>
      <c r="T394" s="5"/>
      <c r="U394" s="5" t="e">
        <f>IF(AND(#REF!&gt;=table!$C$10,#REF!&lt;= table!$D$10),-1,IF(AND(#REF!&gt;=table!$E$10,#REF!&lt;=table!$F$10),1,0))</f>
        <v>#REF!</v>
      </c>
      <c r="V394" s="5" t="e">
        <f>IF(AND(#REF!&gt;=table!$C$11,#REF!&lt;= table!$D$11),-1,IF(AND(#REF!&gt;=table!$E$11,#REF!&lt;=table!$F$11),1,0))</f>
        <v>#REF!</v>
      </c>
      <c r="W394" s="5" t="e">
        <f>CONCATENATE(dados[[#This Row],[fator1]],dados[[#This Row],[fator5]],dados[[#This Row],[fator6]])</f>
        <v>#REF!</v>
      </c>
    </row>
    <row r="395" spans="1:23">
      <c r="A395" t="s">
        <v>16</v>
      </c>
      <c r="B395">
        <v>481691</v>
      </c>
      <c r="C395">
        <v>12</v>
      </c>
      <c r="D395">
        <v>27</v>
      </c>
      <c r="E395">
        <v>40</v>
      </c>
      <c r="F395">
        <v>8</v>
      </c>
      <c r="G395">
        <v>0</v>
      </c>
      <c r="H395">
        <v>25</v>
      </c>
      <c r="I395">
        <v>929</v>
      </c>
      <c r="J395">
        <v>830</v>
      </c>
      <c r="K395">
        <v>1.8250000000000002</v>
      </c>
      <c r="L395">
        <v>25.25</v>
      </c>
      <c r="M395">
        <v>25.105</v>
      </c>
      <c r="N395">
        <v>14.995000000000001</v>
      </c>
      <c r="O395">
        <v>1663</v>
      </c>
      <c r="P395">
        <v>0</v>
      </c>
      <c r="Q395" s="5" t="e">
        <f>IF(AND(#REF!&gt;=table!$C$6,#REF!&lt;= table!$D$6),-1,IF(AND(#REF!&gt;=table!$E$6,#REF!&lt;=table!$F$6),1,0))</f>
        <v>#REF!</v>
      </c>
      <c r="R395" s="5" t="e">
        <f>IF(AND(#REF!&gt;=table!$C$7,#REF!&lt;= table!$D$7),-1,IF(AND(#REF!&gt;=table!$E$7,#REF!&lt;=table!$F$7),1,0))</f>
        <v>#REF!</v>
      </c>
      <c r="S395" s="5" t="e">
        <f>IF(AND(#REF!&gt;=table!$C$8,#REF!&lt;= table!$D$8),-1,IF(AND(#REF!&gt;=table!$E$8,#REF!&lt;=table!$F$8),1,0))</f>
        <v>#REF!</v>
      </c>
      <c r="T395" s="5"/>
      <c r="U395" s="5" t="e">
        <f>IF(AND(#REF!&gt;=table!$C$10,#REF!&lt;= table!$D$10),-1,IF(AND(#REF!&gt;=table!$E$10,#REF!&lt;=table!$F$10),1,0))</f>
        <v>#REF!</v>
      </c>
      <c r="V395" s="5" t="e">
        <f>IF(AND(#REF!&gt;=table!$C$11,#REF!&lt;= table!$D$11),-1,IF(AND(#REF!&gt;=table!$E$11,#REF!&lt;=table!$F$11),1,0))</f>
        <v>#REF!</v>
      </c>
      <c r="W395" s="5" t="e">
        <f>CONCATENATE(dados[[#This Row],[fator1]],dados[[#This Row],[fator5]],dados[[#This Row],[fator6]])</f>
        <v>#REF!</v>
      </c>
    </row>
    <row r="396" spans="1:23">
      <c r="A396" t="s">
        <v>16</v>
      </c>
      <c r="B396">
        <v>481694</v>
      </c>
      <c r="C396">
        <v>9</v>
      </c>
      <c r="D396">
        <v>30</v>
      </c>
      <c r="E396">
        <v>146</v>
      </c>
      <c r="F396">
        <v>4</v>
      </c>
      <c r="G396">
        <v>0</v>
      </c>
      <c r="H396">
        <v>25</v>
      </c>
      <c r="I396">
        <v>348</v>
      </c>
      <c r="J396">
        <v>0</v>
      </c>
      <c r="K396">
        <v>2.5740000000000003</v>
      </c>
      <c r="L396">
        <v>14.58</v>
      </c>
      <c r="M396">
        <v>116.91</v>
      </c>
      <c r="N396">
        <v>13.985000000000001</v>
      </c>
      <c r="O396">
        <v>1685</v>
      </c>
      <c r="P396">
        <v>780</v>
      </c>
      <c r="Q396" s="5" t="e">
        <f>IF(AND(#REF!&gt;=table!$C$6,#REF!&lt;= table!$D$6),-1,IF(AND(#REF!&gt;=table!$E$6,#REF!&lt;=table!$F$6),1,0))</f>
        <v>#REF!</v>
      </c>
      <c r="R396" s="5" t="e">
        <f>IF(AND(#REF!&gt;=table!$C$7,#REF!&lt;= table!$D$7),-1,IF(AND(#REF!&gt;=table!$E$7,#REF!&lt;=table!$F$7),1,0))</f>
        <v>#REF!</v>
      </c>
      <c r="S396" s="5" t="e">
        <f>IF(AND(#REF!&gt;=table!$C$8,#REF!&lt;= table!$D$8),-1,IF(AND(#REF!&gt;=table!$E$8,#REF!&lt;=table!$F$8),1,0))</f>
        <v>#REF!</v>
      </c>
      <c r="T396" s="5"/>
      <c r="U396" s="5" t="e">
        <f>IF(AND(#REF!&gt;=table!$C$10,#REF!&lt;= table!$D$10),-1,IF(AND(#REF!&gt;=table!$E$10,#REF!&lt;=table!$F$10),1,0))</f>
        <v>#REF!</v>
      </c>
      <c r="V396" s="5" t="e">
        <f>IF(AND(#REF!&gt;=table!$C$11,#REF!&lt;= table!$D$11),-1,IF(AND(#REF!&gt;=table!$E$11,#REF!&lt;=table!$F$11),1,0))</f>
        <v>#REF!</v>
      </c>
      <c r="W396" s="5" t="e">
        <f>CONCATENATE(dados[[#This Row],[fator1]],dados[[#This Row],[fator5]],dados[[#This Row],[fator6]])</f>
        <v>#REF!</v>
      </c>
    </row>
    <row r="397" spans="1:23">
      <c r="A397" t="s">
        <v>16</v>
      </c>
      <c r="B397">
        <v>481695</v>
      </c>
      <c r="C397">
        <v>9</v>
      </c>
      <c r="D397">
        <v>30</v>
      </c>
      <c r="E397">
        <v>146</v>
      </c>
      <c r="F397">
        <v>4</v>
      </c>
      <c r="G397">
        <v>0</v>
      </c>
      <c r="H397">
        <v>25</v>
      </c>
      <c r="I397">
        <v>1136</v>
      </c>
      <c r="J397">
        <v>0</v>
      </c>
      <c r="K397">
        <v>10.015000000000001</v>
      </c>
      <c r="L397">
        <v>18.085000000000001</v>
      </c>
      <c r="M397">
        <v>78.180000000000007</v>
      </c>
      <c r="N397">
        <v>11.215</v>
      </c>
      <c r="O397">
        <v>1672</v>
      </c>
      <c r="P397">
        <v>0</v>
      </c>
      <c r="Q397" s="5" t="e">
        <f>IF(AND(#REF!&gt;=table!$C$6,#REF!&lt;= table!$D$6),-1,IF(AND(#REF!&gt;=table!$E$6,#REF!&lt;=table!$F$6),1,0))</f>
        <v>#REF!</v>
      </c>
      <c r="R397" s="5" t="e">
        <f>IF(AND(#REF!&gt;=table!$C$7,#REF!&lt;= table!$D$7),-1,IF(AND(#REF!&gt;=table!$E$7,#REF!&lt;=table!$F$7),1,0))</f>
        <v>#REF!</v>
      </c>
      <c r="S397" s="5" t="e">
        <f>IF(AND(#REF!&gt;=table!$C$8,#REF!&lt;= table!$D$8),-1,IF(AND(#REF!&gt;=table!$E$8,#REF!&lt;=table!$F$8),1,0))</f>
        <v>#REF!</v>
      </c>
      <c r="T397" s="5"/>
      <c r="U397" s="5" t="e">
        <f>IF(AND(#REF!&gt;=table!$C$10,#REF!&lt;= table!$D$10),-1,IF(AND(#REF!&gt;=table!$E$10,#REF!&lt;=table!$F$10),1,0))</f>
        <v>#REF!</v>
      </c>
      <c r="V397" s="5" t="e">
        <f>IF(AND(#REF!&gt;=table!$C$11,#REF!&lt;= table!$D$11),-1,IF(AND(#REF!&gt;=table!$E$11,#REF!&lt;=table!$F$11),1,0))</f>
        <v>#REF!</v>
      </c>
      <c r="W397" s="5" t="e">
        <f>CONCATENATE(dados[[#This Row],[fator1]],dados[[#This Row],[fator5]],dados[[#This Row],[fator6]])</f>
        <v>#REF!</v>
      </c>
    </row>
    <row r="398" spans="1:23">
      <c r="A398" t="s">
        <v>16</v>
      </c>
      <c r="B398">
        <v>481696</v>
      </c>
      <c r="C398">
        <v>9</v>
      </c>
      <c r="D398">
        <v>40</v>
      </c>
      <c r="E398">
        <v>130</v>
      </c>
      <c r="F398">
        <v>3</v>
      </c>
      <c r="G398">
        <v>0</v>
      </c>
      <c r="H398">
        <v>25</v>
      </c>
      <c r="I398">
        <v>904</v>
      </c>
      <c r="J398">
        <v>0</v>
      </c>
      <c r="K398">
        <v>4.25</v>
      </c>
      <c r="L398">
        <v>19.2</v>
      </c>
      <c r="M398">
        <v>83.594999999999999</v>
      </c>
      <c r="N398">
        <v>14.825000000000001</v>
      </c>
      <c r="O398">
        <v>1672</v>
      </c>
      <c r="P398">
        <v>518</v>
      </c>
      <c r="Q398" s="5" t="e">
        <f>IF(AND(#REF!&gt;=table!$C$6,#REF!&lt;= table!$D$6),-1,IF(AND(#REF!&gt;=table!$E$6,#REF!&lt;=table!$F$6),1,0))</f>
        <v>#REF!</v>
      </c>
      <c r="R398" s="5" t="e">
        <f>IF(AND(#REF!&gt;=table!$C$7,#REF!&lt;= table!$D$7),-1,IF(AND(#REF!&gt;=table!$E$7,#REF!&lt;=table!$F$7),1,0))</f>
        <v>#REF!</v>
      </c>
      <c r="S398" s="5" t="e">
        <f>IF(AND(#REF!&gt;=table!$C$8,#REF!&lt;= table!$D$8),-1,IF(AND(#REF!&gt;=table!$E$8,#REF!&lt;=table!$F$8),1,0))</f>
        <v>#REF!</v>
      </c>
      <c r="T398" s="5"/>
      <c r="U398" s="5" t="e">
        <f>IF(AND(#REF!&gt;=table!$C$10,#REF!&lt;= table!$D$10),-1,IF(AND(#REF!&gt;=table!$E$10,#REF!&lt;=table!$F$10),1,0))</f>
        <v>#REF!</v>
      </c>
      <c r="V398" s="5" t="e">
        <f>IF(AND(#REF!&gt;=table!$C$11,#REF!&lt;= table!$D$11),-1,IF(AND(#REF!&gt;=table!$E$11,#REF!&lt;=table!$F$11),1,0))</f>
        <v>#REF!</v>
      </c>
      <c r="W398" s="5" t="e">
        <f>CONCATENATE(dados[[#This Row],[fator1]],dados[[#This Row],[fator5]],dados[[#This Row],[fator6]])</f>
        <v>#REF!</v>
      </c>
    </row>
    <row r="399" spans="1:23">
      <c r="A399" t="s">
        <v>16</v>
      </c>
      <c r="B399">
        <v>481699</v>
      </c>
      <c r="C399">
        <v>12</v>
      </c>
      <c r="D399">
        <v>40</v>
      </c>
      <c r="E399">
        <v>36</v>
      </c>
      <c r="F399">
        <v>15</v>
      </c>
      <c r="G399">
        <v>0</v>
      </c>
      <c r="H399">
        <v>25</v>
      </c>
      <c r="I399">
        <v>24</v>
      </c>
      <c r="J399">
        <v>0</v>
      </c>
      <c r="K399">
        <v>4.13</v>
      </c>
      <c r="L399">
        <v>12.945</v>
      </c>
      <c r="M399">
        <v>11.175000000000001</v>
      </c>
      <c r="N399">
        <v>10.32</v>
      </c>
      <c r="O399">
        <v>1689</v>
      </c>
      <c r="P399">
        <v>932</v>
      </c>
      <c r="Q399" s="5" t="e">
        <f>IF(AND(#REF!&gt;=table!$C$6,#REF!&lt;= table!$D$6),-1,IF(AND(#REF!&gt;=table!$E$6,#REF!&lt;=table!$F$6),1,0))</f>
        <v>#REF!</v>
      </c>
      <c r="R399" s="5" t="e">
        <f>IF(AND(#REF!&gt;=table!$C$7,#REF!&lt;= table!$D$7),-1,IF(AND(#REF!&gt;=table!$E$7,#REF!&lt;=table!$F$7),1,0))</f>
        <v>#REF!</v>
      </c>
      <c r="S399" s="5" t="e">
        <f>IF(AND(#REF!&gt;=table!$C$8,#REF!&lt;= table!$D$8),-1,IF(AND(#REF!&gt;=table!$E$8,#REF!&lt;=table!$F$8),1,0))</f>
        <v>#REF!</v>
      </c>
      <c r="T399" s="5"/>
      <c r="U399" s="5" t="e">
        <f>IF(AND(#REF!&gt;=table!$C$10,#REF!&lt;= table!$D$10),-1,IF(AND(#REF!&gt;=table!$E$10,#REF!&lt;=table!$F$10),1,0))</f>
        <v>#REF!</v>
      </c>
      <c r="V399" s="5" t="e">
        <f>IF(AND(#REF!&gt;=table!$C$11,#REF!&lt;= table!$D$11),-1,IF(AND(#REF!&gt;=table!$E$11,#REF!&lt;=table!$F$11),1,0))</f>
        <v>#REF!</v>
      </c>
      <c r="W399" s="5" t="e">
        <f>CONCATENATE(dados[[#This Row],[fator1]],dados[[#This Row],[fator5]],dados[[#This Row],[fator6]])</f>
        <v>#REF!</v>
      </c>
    </row>
    <row r="400" spans="1:23">
      <c r="A400" t="s">
        <v>16</v>
      </c>
      <c r="B400">
        <v>481700</v>
      </c>
      <c r="C400">
        <v>12</v>
      </c>
      <c r="D400">
        <v>40</v>
      </c>
      <c r="E400">
        <v>36</v>
      </c>
      <c r="F400">
        <v>9</v>
      </c>
      <c r="G400">
        <v>0</v>
      </c>
      <c r="H400">
        <v>25</v>
      </c>
      <c r="I400">
        <v>869</v>
      </c>
      <c r="J400">
        <v>0</v>
      </c>
      <c r="K400">
        <v>2.762</v>
      </c>
      <c r="L400">
        <v>14.265000000000001</v>
      </c>
      <c r="M400">
        <v>34.145000000000003</v>
      </c>
      <c r="N400">
        <v>12.325000000000001</v>
      </c>
      <c r="O400">
        <v>1719</v>
      </c>
      <c r="P400">
        <v>0</v>
      </c>
      <c r="Q400" s="5" t="e">
        <f>IF(AND(#REF!&gt;=table!$C$6,#REF!&lt;= table!$D$6),-1,IF(AND(#REF!&gt;=table!$E$6,#REF!&lt;=table!$F$6),1,0))</f>
        <v>#REF!</v>
      </c>
      <c r="R400" s="5" t="e">
        <f>IF(AND(#REF!&gt;=table!$C$7,#REF!&lt;= table!$D$7),-1,IF(AND(#REF!&gt;=table!$E$7,#REF!&lt;=table!$F$7),1,0))</f>
        <v>#REF!</v>
      </c>
      <c r="S400" s="5" t="e">
        <f>IF(AND(#REF!&gt;=table!$C$8,#REF!&lt;= table!$D$8),-1,IF(AND(#REF!&gt;=table!$E$8,#REF!&lt;=table!$F$8),1,0))</f>
        <v>#REF!</v>
      </c>
      <c r="T400" s="5"/>
      <c r="U400" s="5" t="e">
        <f>IF(AND(#REF!&gt;=table!$C$10,#REF!&lt;= table!$D$10),-1,IF(AND(#REF!&gt;=table!$E$10,#REF!&lt;=table!$F$10),1,0))</f>
        <v>#REF!</v>
      </c>
      <c r="V400" s="5" t="e">
        <f>IF(AND(#REF!&gt;=table!$C$11,#REF!&lt;= table!$D$11),-1,IF(AND(#REF!&gt;=table!$E$11,#REF!&lt;=table!$F$11),1,0))</f>
        <v>#REF!</v>
      </c>
      <c r="W400" s="5" t="e">
        <f>CONCATENATE(dados[[#This Row],[fator1]],dados[[#This Row],[fator5]],dados[[#This Row],[fator6]])</f>
        <v>#REF!</v>
      </c>
    </row>
    <row r="401" spans="1:23">
      <c r="A401" t="s">
        <v>16</v>
      </c>
      <c r="B401">
        <v>481701</v>
      </c>
      <c r="C401">
        <v>0.1</v>
      </c>
      <c r="D401">
        <v>40</v>
      </c>
      <c r="E401">
        <v>10</v>
      </c>
      <c r="F401">
        <v>8</v>
      </c>
      <c r="G401">
        <v>0</v>
      </c>
      <c r="H401">
        <v>10</v>
      </c>
      <c r="I401">
        <v>988</v>
      </c>
      <c r="J401">
        <v>650</v>
      </c>
      <c r="K401">
        <v>6.2250000000000005</v>
      </c>
      <c r="L401">
        <v>12.39</v>
      </c>
      <c r="M401">
        <v>9.23</v>
      </c>
      <c r="N401">
        <v>8.7249999999999996</v>
      </c>
      <c r="O401">
        <v>1630</v>
      </c>
      <c r="P401">
        <v>527</v>
      </c>
      <c r="Q401" s="5" t="e">
        <f>IF(AND(#REF!&gt;=table!$C$6,#REF!&lt;= table!$D$6),-1,IF(AND(#REF!&gt;=table!$E$6,#REF!&lt;=table!$F$6),1,0))</f>
        <v>#REF!</v>
      </c>
      <c r="R401" s="5" t="e">
        <f>IF(AND(#REF!&gt;=table!$C$7,#REF!&lt;= table!$D$7),-1,IF(AND(#REF!&gt;=table!$E$7,#REF!&lt;=table!$F$7),1,0))</f>
        <v>#REF!</v>
      </c>
      <c r="S401" s="5" t="e">
        <f>IF(AND(#REF!&gt;=table!$C$8,#REF!&lt;= table!$D$8),-1,IF(AND(#REF!&gt;=table!$E$8,#REF!&lt;=table!$F$8),1,0))</f>
        <v>#REF!</v>
      </c>
      <c r="T401" s="5"/>
      <c r="U401" s="5" t="e">
        <f>IF(AND(#REF!&gt;=table!$C$10,#REF!&lt;= table!$D$10),-1,IF(AND(#REF!&gt;=table!$E$10,#REF!&lt;=table!$F$10),1,0))</f>
        <v>#REF!</v>
      </c>
      <c r="V401" s="5" t="e">
        <f>IF(AND(#REF!&gt;=table!$C$11,#REF!&lt;= table!$D$11),-1,IF(AND(#REF!&gt;=table!$E$11,#REF!&lt;=table!$F$11),1,0))</f>
        <v>#REF!</v>
      </c>
      <c r="W401" s="5" t="e">
        <f>CONCATENATE(dados[[#This Row],[fator1]],dados[[#This Row],[fator5]],dados[[#This Row],[fator6]])</f>
        <v>#REF!</v>
      </c>
    </row>
    <row r="402" spans="1:23">
      <c r="A402" t="s">
        <v>16</v>
      </c>
      <c r="B402">
        <v>481703</v>
      </c>
      <c r="C402">
        <v>0.1</v>
      </c>
      <c r="D402">
        <v>40</v>
      </c>
      <c r="E402">
        <v>10</v>
      </c>
      <c r="F402">
        <v>8</v>
      </c>
      <c r="G402">
        <v>0</v>
      </c>
      <c r="H402">
        <v>10</v>
      </c>
      <c r="I402">
        <v>10</v>
      </c>
      <c r="J402">
        <v>710</v>
      </c>
      <c r="K402">
        <v>5.76</v>
      </c>
      <c r="L402">
        <v>15.25</v>
      </c>
      <c r="M402">
        <v>9.7050000000000001</v>
      </c>
      <c r="N402">
        <v>9.5950000000000006</v>
      </c>
      <c r="O402">
        <v>1679</v>
      </c>
      <c r="P402">
        <v>0</v>
      </c>
      <c r="Q402" s="5" t="e">
        <f>IF(AND(#REF!&gt;=table!$C$6,#REF!&lt;= table!$D$6),-1,IF(AND(#REF!&gt;=table!$E$6,#REF!&lt;=table!$F$6),1,0))</f>
        <v>#REF!</v>
      </c>
      <c r="R402" s="5" t="e">
        <f>IF(AND(#REF!&gt;=table!$C$7,#REF!&lt;= table!$D$7),-1,IF(AND(#REF!&gt;=table!$E$7,#REF!&lt;=table!$F$7),1,0))</f>
        <v>#REF!</v>
      </c>
      <c r="S402" s="5" t="e">
        <f>IF(AND(#REF!&gt;=table!$C$8,#REF!&lt;= table!$D$8),-1,IF(AND(#REF!&gt;=table!$E$8,#REF!&lt;=table!$F$8),1,0))</f>
        <v>#REF!</v>
      </c>
      <c r="T402" s="5"/>
      <c r="U402" s="5" t="e">
        <f>IF(AND(#REF!&gt;=table!$C$10,#REF!&lt;= table!$D$10),-1,IF(AND(#REF!&gt;=table!$E$10,#REF!&lt;=table!$F$10),1,0))</f>
        <v>#REF!</v>
      </c>
      <c r="V402" s="5" t="e">
        <f>IF(AND(#REF!&gt;=table!$C$11,#REF!&lt;= table!$D$11),-1,IF(AND(#REF!&gt;=table!$E$11,#REF!&lt;=table!$F$11),1,0))</f>
        <v>#REF!</v>
      </c>
      <c r="W402" s="5" t="e">
        <f>CONCATENATE(dados[[#This Row],[fator1]],dados[[#This Row],[fator5]],dados[[#This Row],[fator6]])</f>
        <v>#REF!</v>
      </c>
    </row>
    <row r="403" spans="1:23">
      <c r="A403" t="s">
        <v>16</v>
      </c>
      <c r="B403">
        <v>481704</v>
      </c>
      <c r="C403">
        <v>0.15</v>
      </c>
      <c r="D403">
        <v>40</v>
      </c>
      <c r="E403">
        <v>10</v>
      </c>
      <c r="F403">
        <v>15</v>
      </c>
      <c r="G403">
        <v>0</v>
      </c>
      <c r="H403">
        <v>15</v>
      </c>
      <c r="I403">
        <v>74</v>
      </c>
      <c r="J403">
        <v>0</v>
      </c>
      <c r="K403">
        <v>5.0550000000000006</v>
      </c>
      <c r="L403">
        <v>12.465</v>
      </c>
      <c r="M403">
        <v>9.6300000000000008</v>
      </c>
      <c r="N403">
        <v>9.68</v>
      </c>
      <c r="O403">
        <v>1673</v>
      </c>
      <c r="P403">
        <v>606</v>
      </c>
      <c r="Q403" s="5" t="e">
        <f>IF(AND(#REF!&gt;=table!$C$6,#REF!&lt;= table!$D$6),-1,IF(AND(#REF!&gt;=table!$E$6,#REF!&lt;=table!$F$6),1,0))</f>
        <v>#REF!</v>
      </c>
      <c r="R403" s="5" t="e">
        <f>IF(AND(#REF!&gt;=table!$C$7,#REF!&lt;= table!$D$7),-1,IF(AND(#REF!&gt;=table!$E$7,#REF!&lt;=table!$F$7),1,0))</f>
        <v>#REF!</v>
      </c>
      <c r="S403" s="5" t="e">
        <f>IF(AND(#REF!&gt;=table!$C$8,#REF!&lt;= table!$D$8),-1,IF(AND(#REF!&gt;=table!$E$8,#REF!&lt;=table!$F$8),1,0))</f>
        <v>#REF!</v>
      </c>
      <c r="T403" s="5"/>
      <c r="U403" s="5" t="e">
        <f>IF(AND(#REF!&gt;=table!$C$10,#REF!&lt;= table!$D$10),-1,IF(AND(#REF!&gt;=table!$E$10,#REF!&lt;=table!$F$10),1,0))</f>
        <v>#REF!</v>
      </c>
      <c r="V403" s="5" t="e">
        <f>IF(AND(#REF!&gt;=table!$C$11,#REF!&lt;= table!$D$11),-1,IF(AND(#REF!&gt;=table!$E$11,#REF!&lt;=table!$F$11),1,0))</f>
        <v>#REF!</v>
      </c>
      <c r="W403" s="5" t="e">
        <f>CONCATENATE(dados[[#This Row],[fator1]],dados[[#This Row],[fator5]],dados[[#This Row],[fator6]])</f>
        <v>#REF!</v>
      </c>
    </row>
    <row r="404" spans="1:23">
      <c r="A404" t="s">
        <v>17</v>
      </c>
      <c r="B404">
        <v>481710</v>
      </c>
      <c r="C404">
        <v>14</v>
      </c>
      <c r="D404">
        <v>30</v>
      </c>
      <c r="E404">
        <v>86</v>
      </c>
      <c r="F404">
        <v>9</v>
      </c>
      <c r="G404">
        <v>20</v>
      </c>
      <c r="H404">
        <v>25</v>
      </c>
      <c r="I404">
        <v>0</v>
      </c>
      <c r="J404">
        <v>0</v>
      </c>
      <c r="K404">
        <v>5.2149999999999999</v>
      </c>
      <c r="L404">
        <v>19.850000000000001</v>
      </c>
      <c r="M404">
        <v>78.5</v>
      </c>
      <c r="N404">
        <v>14.4</v>
      </c>
      <c r="O404">
        <v>1673</v>
      </c>
      <c r="P404">
        <v>427</v>
      </c>
      <c r="Q404" s="5" t="e">
        <f>IF(AND(#REF!&gt;=table!$C$6,#REF!&lt;= table!$D$6),-1,IF(AND(#REF!&gt;=table!$E$6,#REF!&lt;=table!$F$6),1,0))</f>
        <v>#REF!</v>
      </c>
      <c r="R404" s="5" t="e">
        <f>IF(AND(#REF!&gt;=table!$C$7,#REF!&lt;= table!$D$7),-1,IF(AND(#REF!&gt;=table!$E$7,#REF!&lt;=table!$F$7),1,0))</f>
        <v>#REF!</v>
      </c>
      <c r="S404" s="5" t="e">
        <f>IF(AND(#REF!&gt;=table!$C$8,#REF!&lt;= table!$D$8),-1,IF(AND(#REF!&gt;=table!$E$8,#REF!&lt;=table!$F$8),1,0))</f>
        <v>#REF!</v>
      </c>
      <c r="T404" s="5"/>
      <c r="U404" s="5" t="e">
        <f>IF(AND(#REF!&gt;=table!$C$10,#REF!&lt;= table!$D$10),-1,IF(AND(#REF!&gt;=table!$E$10,#REF!&lt;=table!$F$10),1,0))</f>
        <v>#REF!</v>
      </c>
      <c r="V404" s="5" t="e">
        <f>IF(AND(#REF!&gt;=table!$C$11,#REF!&lt;= table!$D$11),-1,IF(AND(#REF!&gt;=table!$E$11,#REF!&lt;=table!$F$11),1,0))</f>
        <v>#REF!</v>
      </c>
      <c r="W404" s="5" t="e">
        <f>CONCATENATE(dados[[#This Row],[fator1]],dados[[#This Row],[fator5]],dados[[#This Row],[fator6]])</f>
        <v>#REF!</v>
      </c>
    </row>
    <row r="405" spans="1:23">
      <c r="A405" t="s">
        <v>17</v>
      </c>
      <c r="B405">
        <v>481711</v>
      </c>
      <c r="C405">
        <v>16</v>
      </c>
      <c r="D405">
        <v>30</v>
      </c>
      <c r="E405">
        <v>106</v>
      </c>
      <c r="F405">
        <v>9</v>
      </c>
      <c r="G405">
        <v>20</v>
      </c>
      <c r="H405">
        <v>25</v>
      </c>
      <c r="I405">
        <v>0</v>
      </c>
      <c r="J405">
        <v>0</v>
      </c>
      <c r="K405">
        <v>3.2600000000000002</v>
      </c>
      <c r="L405">
        <v>13.4</v>
      </c>
      <c r="M405">
        <v>93.8</v>
      </c>
      <c r="N405">
        <v>9.15</v>
      </c>
      <c r="O405">
        <v>1677</v>
      </c>
      <c r="P405">
        <v>551</v>
      </c>
      <c r="Q405" s="5" t="e">
        <f>IF(AND(#REF!&gt;=table!$C$6,#REF!&lt;= table!$D$6),-1,IF(AND(#REF!&gt;=table!$E$6,#REF!&lt;=table!$F$6),1,0))</f>
        <v>#REF!</v>
      </c>
      <c r="R405" s="5" t="e">
        <f>IF(AND(#REF!&gt;=table!$C$7,#REF!&lt;= table!$D$7),-1,IF(AND(#REF!&gt;=table!$E$7,#REF!&lt;=table!$F$7),1,0))</f>
        <v>#REF!</v>
      </c>
      <c r="S405" s="5" t="e">
        <f>IF(AND(#REF!&gt;=table!$C$8,#REF!&lt;= table!$D$8),-1,IF(AND(#REF!&gt;=table!$E$8,#REF!&lt;=table!$F$8),1,0))</f>
        <v>#REF!</v>
      </c>
      <c r="T405" s="5"/>
      <c r="U405" s="5" t="e">
        <f>IF(AND(#REF!&gt;=table!$C$10,#REF!&lt;= table!$D$10),-1,IF(AND(#REF!&gt;=table!$E$10,#REF!&lt;=table!$F$10),1,0))</f>
        <v>#REF!</v>
      </c>
      <c r="V405" s="5" t="e">
        <f>IF(AND(#REF!&gt;=table!$C$11,#REF!&lt;= table!$D$11),-1,IF(AND(#REF!&gt;=table!$E$11,#REF!&lt;=table!$F$11),1,0))</f>
        <v>#REF!</v>
      </c>
      <c r="W405" s="5" t="e">
        <f>CONCATENATE(dados[[#This Row],[fator1]],dados[[#This Row],[fator5]],dados[[#This Row],[fator6]])</f>
        <v>#REF!</v>
      </c>
    </row>
    <row r="406" spans="1:23">
      <c r="A406" t="s">
        <v>16</v>
      </c>
      <c r="B406">
        <v>481715</v>
      </c>
      <c r="C406">
        <v>0.15</v>
      </c>
      <c r="D406">
        <v>40</v>
      </c>
      <c r="E406">
        <v>10</v>
      </c>
      <c r="F406">
        <v>15</v>
      </c>
      <c r="G406">
        <v>0</v>
      </c>
      <c r="H406">
        <v>15</v>
      </c>
      <c r="I406">
        <v>1559</v>
      </c>
      <c r="J406">
        <v>660</v>
      </c>
      <c r="K406">
        <v>11.4</v>
      </c>
      <c r="L406">
        <v>12.05</v>
      </c>
      <c r="M406">
        <v>9.5500000000000007</v>
      </c>
      <c r="N406">
        <v>5.3</v>
      </c>
      <c r="O406">
        <v>1642</v>
      </c>
      <c r="P406">
        <v>309</v>
      </c>
      <c r="Q406" s="5" t="e">
        <f>IF(AND(#REF!&gt;=table!$C$6,#REF!&lt;= table!$D$6),-1,IF(AND(#REF!&gt;=table!$E$6,#REF!&lt;=table!$F$6),1,0))</f>
        <v>#REF!</v>
      </c>
      <c r="R406" s="5" t="e">
        <f>IF(AND(#REF!&gt;=table!$C$7,#REF!&lt;= table!$D$7),-1,IF(AND(#REF!&gt;=table!$E$7,#REF!&lt;=table!$F$7),1,0))</f>
        <v>#REF!</v>
      </c>
      <c r="S406" s="5" t="e">
        <f>IF(AND(#REF!&gt;=table!$C$8,#REF!&lt;= table!$D$8),-1,IF(AND(#REF!&gt;=table!$E$8,#REF!&lt;=table!$F$8),1,0))</f>
        <v>#REF!</v>
      </c>
      <c r="T406" s="5"/>
      <c r="U406" s="5" t="e">
        <f>IF(AND(#REF!&gt;=table!$C$10,#REF!&lt;= table!$D$10),-1,IF(AND(#REF!&gt;=table!$E$10,#REF!&lt;=table!$F$10),1,0))</f>
        <v>#REF!</v>
      </c>
      <c r="V406" s="5" t="e">
        <f>IF(AND(#REF!&gt;=table!$C$11,#REF!&lt;= table!$D$11),-1,IF(AND(#REF!&gt;=table!$E$11,#REF!&lt;=table!$F$11),1,0))</f>
        <v>#REF!</v>
      </c>
      <c r="W406" s="5" t="e">
        <f>CONCATENATE(dados[[#This Row],[fator1]],dados[[#This Row],[fator5]],dados[[#This Row],[fator6]])</f>
        <v>#REF!</v>
      </c>
    </row>
    <row r="407" spans="1:23">
      <c r="A407" t="s">
        <v>16</v>
      </c>
      <c r="B407">
        <v>481726</v>
      </c>
      <c r="C407">
        <v>8</v>
      </c>
      <c r="D407">
        <v>27</v>
      </c>
      <c r="E407">
        <v>86</v>
      </c>
      <c r="F407">
        <v>8</v>
      </c>
      <c r="G407">
        <v>0</v>
      </c>
      <c r="H407">
        <v>22</v>
      </c>
      <c r="I407">
        <v>1175</v>
      </c>
      <c r="J407">
        <v>790</v>
      </c>
      <c r="K407">
        <v>5.415</v>
      </c>
      <c r="L407">
        <v>10.34</v>
      </c>
      <c r="M407">
        <v>69.33</v>
      </c>
      <c r="N407">
        <v>9.7949999999999999</v>
      </c>
      <c r="O407">
        <v>1644</v>
      </c>
      <c r="P407">
        <v>781</v>
      </c>
      <c r="Q407" s="5" t="e">
        <f>IF(AND(#REF!&gt;=table!$C$6,#REF!&lt;= table!$D$6),-1,IF(AND(#REF!&gt;=table!$E$6,#REF!&lt;=table!$F$6),1,0))</f>
        <v>#REF!</v>
      </c>
      <c r="R407" s="5" t="e">
        <f>IF(AND(#REF!&gt;=table!$C$7,#REF!&lt;= table!$D$7),-1,IF(AND(#REF!&gt;=table!$E$7,#REF!&lt;=table!$F$7),1,0))</f>
        <v>#REF!</v>
      </c>
      <c r="S407" s="5" t="e">
        <f>IF(AND(#REF!&gt;=table!$C$8,#REF!&lt;= table!$D$8),-1,IF(AND(#REF!&gt;=table!$E$8,#REF!&lt;=table!$F$8),1,0))</f>
        <v>#REF!</v>
      </c>
      <c r="T407" s="5"/>
      <c r="U407" s="5" t="e">
        <f>IF(AND(#REF!&gt;=table!$C$10,#REF!&lt;= table!$D$10),-1,IF(AND(#REF!&gt;=table!$E$10,#REF!&lt;=table!$F$10),1,0))</f>
        <v>#REF!</v>
      </c>
      <c r="V407" s="5" t="e">
        <f>IF(AND(#REF!&gt;=table!$C$11,#REF!&lt;= table!$D$11),-1,IF(AND(#REF!&gt;=table!$E$11,#REF!&lt;=table!$F$11),1,0))</f>
        <v>#REF!</v>
      </c>
      <c r="W407" s="5" t="e">
        <f>CONCATENATE(dados[[#This Row],[fator1]],dados[[#This Row],[fator5]],dados[[#This Row],[fator6]])</f>
        <v>#REF!</v>
      </c>
    </row>
    <row r="408" spans="1:23">
      <c r="A408" t="s">
        <v>16</v>
      </c>
      <c r="B408">
        <v>481734</v>
      </c>
      <c r="C408">
        <v>0.1</v>
      </c>
      <c r="D408">
        <v>40</v>
      </c>
      <c r="E408">
        <v>10</v>
      </c>
      <c r="F408">
        <v>8</v>
      </c>
      <c r="G408">
        <v>0</v>
      </c>
      <c r="H408">
        <v>10</v>
      </c>
      <c r="I408">
        <v>9</v>
      </c>
      <c r="J408">
        <v>0</v>
      </c>
      <c r="K408">
        <v>2.6975000000000002</v>
      </c>
      <c r="L408">
        <v>8.2350000000000012</v>
      </c>
      <c r="M408">
        <v>7.42</v>
      </c>
      <c r="N408">
        <v>11.755000000000001</v>
      </c>
      <c r="O408">
        <v>1678</v>
      </c>
      <c r="P408">
        <v>0</v>
      </c>
      <c r="Q408" s="5" t="e">
        <f>IF(AND(#REF!&gt;=table!$C$6,#REF!&lt;= table!$D$6),-1,IF(AND(#REF!&gt;=table!$E$6,#REF!&lt;=table!$F$6),1,0))</f>
        <v>#REF!</v>
      </c>
      <c r="R408" s="5" t="e">
        <f>IF(AND(#REF!&gt;=table!$C$7,#REF!&lt;= table!$D$7),-1,IF(AND(#REF!&gt;=table!$E$7,#REF!&lt;=table!$F$7),1,0))</f>
        <v>#REF!</v>
      </c>
      <c r="S408" s="5" t="e">
        <f>IF(AND(#REF!&gt;=table!$C$8,#REF!&lt;= table!$D$8),-1,IF(AND(#REF!&gt;=table!$E$8,#REF!&lt;=table!$F$8),1,0))</f>
        <v>#REF!</v>
      </c>
      <c r="T408" s="5"/>
      <c r="U408" s="5" t="e">
        <f>IF(AND(#REF!&gt;=table!$C$10,#REF!&lt;= table!$D$10),-1,IF(AND(#REF!&gt;=table!$E$10,#REF!&lt;=table!$F$10),1,0))</f>
        <v>#REF!</v>
      </c>
      <c r="V408" s="5" t="e">
        <f>IF(AND(#REF!&gt;=table!$C$11,#REF!&lt;= table!$D$11),-1,IF(AND(#REF!&gt;=table!$E$11,#REF!&lt;=table!$F$11),1,0))</f>
        <v>#REF!</v>
      </c>
      <c r="W408" s="5" t="e">
        <f>CONCATENATE(dados[[#This Row],[fator1]],dados[[#This Row],[fator5]],dados[[#This Row],[fator6]])</f>
        <v>#REF!</v>
      </c>
    </row>
    <row r="409" spans="1:23">
      <c r="A409" t="s">
        <v>16</v>
      </c>
      <c r="B409">
        <v>481738</v>
      </c>
      <c r="C409">
        <v>0.1</v>
      </c>
      <c r="D409">
        <v>40</v>
      </c>
      <c r="E409">
        <v>10</v>
      </c>
      <c r="F409">
        <v>8</v>
      </c>
      <c r="G409">
        <v>0</v>
      </c>
      <c r="H409">
        <v>10</v>
      </c>
      <c r="I409">
        <v>2251</v>
      </c>
      <c r="J409">
        <v>1020</v>
      </c>
      <c r="K409">
        <v>2.5249999999999999</v>
      </c>
      <c r="L409">
        <v>8.75</v>
      </c>
      <c r="M409">
        <v>4.57</v>
      </c>
      <c r="N409">
        <v>9.3049999999999997</v>
      </c>
      <c r="O409">
        <v>1696</v>
      </c>
      <c r="P409">
        <v>0</v>
      </c>
      <c r="Q409" s="5" t="e">
        <f>IF(AND(#REF!&gt;=table!$C$6,#REF!&lt;= table!$D$6),-1,IF(AND(#REF!&gt;=table!$E$6,#REF!&lt;=table!$F$6),1,0))</f>
        <v>#REF!</v>
      </c>
      <c r="R409" s="5" t="e">
        <f>IF(AND(#REF!&gt;=table!$C$7,#REF!&lt;= table!$D$7),-1,IF(AND(#REF!&gt;=table!$E$7,#REF!&lt;=table!$F$7),1,0))</f>
        <v>#REF!</v>
      </c>
      <c r="S409" s="5" t="e">
        <f>IF(AND(#REF!&gt;=table!$C$8,#REF!&lt;= table!$D$8),-1,IF(AND(#REF!&gt;=table!$E$8,#REF!&lt;=table!$F$8),1,0))</f>
        <v>#REF!</v>
      </c>
      <c r="T409" s="5"/>
      <c r="U409" s="5" t="e">
        <f>IF(AND(#REF!&gt;=table!$C$10,#REF!&lt;= table!$D$10),-1,IF(AND(#REF!&gt;=table!$E$10,#REF!&lt;=table!$F$10),1,0))</f>
        <v>#REF!</v>
      </c>
      <c r="V409" s="5" t="e">
        <f>IF(AND(#REF!&gt;=table!$C$11,#REF!&lt;= table!$D$11),-1,IF(AND(#REF!&gt;=table!$E$11,#REF!&lt;=table!$F$11),1,0))</f>
        <v>#REF!</v>
      </c>
      <c r="W409" s="5" t="e">
        <f>CONCATENATE(dados[[#This Row],[fator1]],dados[[#This Row],[fator5]],dados[[#This Row],[fator6]])</f>
        <v>#REF!</v>
      </c>
    </row>
    <row r="410" spans="1:23">
      <c r="A410" t="s">
        <v>16</v>
      </c>
      <c r="B410">
        <v>481740</v>
      </c>
      <c r="C410">
        <v>6</v>
      </c>
      <c r="D410">
        <v>40</v>
      </c>
      <c r="E410">
        <v>36</v>
      </c>
      <c r="F410">
        <v>20</v>
      </c>
      <c r="G410">
        <v>0</v>
      </c>
      <c r="H410">
        <v>25</v>
      </c>
      <c r="I410">
        <v>1010</v>
      </c>
      <c r="J410">
        <v>0</v>
      </c>
      <c r="K410">
        <v>6.835</v>
      </c>
      <c r="L410">
        <v>11.89</v>
      </c>
      <c r="M410">
        <v>32.92</v>
      </c>
      <c r="N410">
        <v>10.9</v>
      </c>
      <c r="O410">
        <v>1665</v>
      </c>
      <c r="P410">
        <v>505</v>
      </c>
      <c r="Q410" s="5" t="e">
        <f>IF(AND(#REF!&gt;=table!$C$6,#REF!&lt;= table!$D$6),-1,IF(AND(#REF!&gt;=table!$E$6,#REF!&lt;=table!$F$6),1,0))</f>
        <v>#REF!</v>
      </c>
      <c r="R410" s="5" t="e">
        <f>IF(AND(#REF!&gt;=table!$C$7,#REF!&lt;= table!$D$7),-1,IF(AND(#REF!&gt;=table!$E$7,#REF!&lt;=table!$F$7),1,0))</f>
        <v>#REF!</v>
      </c>
      <c r="S410" s="5" t="e">
        <f>IF(AND(#REF!&gt;=table!$C$8,#REF!&lt;= table!$D$8),-1,IF(AND(#REF!&gt;=table!$E$8,#REF!&lt;=table!$F$8),1,0))</f>
        <v>#REF!</v>
      </c>
      <c r="T410" s="5"/>
      <c r="U410" s="5" t="e">
        <f>IF(AND(#REF!&gt;=table!$C$10,#REF!&lt;= table!$D$10),-1,IF(AND(#REF!&gt;=table!$E$10,#REF!&lt;=table!$F$10),1,0))</f>
        <v>#REF!</v>
      </c>
      <c r="V410" s="5" t="e">
        <f>IF(AND(#REF!&gt;=table!$C$11,#REF!&lt;= table!$D$11),-1,IF(AND(#REF!&gt;=table!$E$11,#REF!&lt;=table!$F$11),1,0))</f>
        <v>#REF!</v>
      </c>
      <c r="W410" s="5" t="e">
        <f>CONCATENATE(dados[[#This Row],[fator1]],dados[[#This Row],[fator5]],dados[[#This Row],[fator6]])</f>
        <v>#REF!</v>
      </c>
    </row>
    <row r="411" spans="1:23">
      <c r="A411" t="s">
        <v>16</v>
      </c>
      <c r="B411">
        <v>481741</v>
      </c>
      <c r="C411">
        <v>4</v>
      </c>
      <c r="D411">
        <v>40</v>
      </c>
      <c r="E411">
        <v>21</v>
      </c>
      <c r="F411">
        <v>10</v>
      </c>
      <c r="G411">
        <v>0</v>
      </c>
      <c r="H411">
        <v>25</v>
      </c>
      <c r="I411">
        <v>0</v>
      </c>
      <c r="J411">
        <v>0</v>
      </c>
      <c r="K411">
        <v>2.782</v>
      </c>
      <c r="L411">
        <v>15.845000000000001</v>
      </c>
      <c r="M411">
        <v>11.25</v>
      </c>
      <c r="N411">
        <v>13.35</v>
      </c>
      <c r="O411">
        <v>1689</v>
      </c>
      <c r="P411">
        <v>970</v>
      </c>
      <c r="Q411" s="5" t="e">
        <f>IF(AND(#REF!&gt;=table!$C$6,#REF!&lt;= table!$D$6),-1,IF(AND(#REF!&gt;=table!$E$6,#REF!&lt;=table!$F$6),1,0))</f>
        <v>#REF!</v>
      </c>
      <c r="R411" s="5" t="e">
        <f>IF(AND(#REF!&gt;=table!$C$7,#REF!&lt;= table!$D$7),-1,IF(AND(#REF!&gt;=table!$E$7,#REF!&lt;=table!$F$7),1,0))</f>
        <v>#REF!</v>
      </c>
      <c r="S411" s="5" t="e">
        <f>IF(AND(#REF!&gt;=table!$C$8,#REF!&lt;= table!$D$8),-1,IF(AND(#REF!&gt;=table!$E$8,#REF!&lt;=table!$F$8),1,0))</f>
        <v>#REF!</v>
      </c>
      <c r="T411" s="5"/>
      <c r="U411" s="5" t="e">
        <f>IF(AND(#REF!&gt;=table!$C$10,#REF!&lt;= table!$D$10),-1,IF(AND(#REF!&gt;=table!$E$10,#REF!&lt;=table!$F$10),1,0))</f>
        <v>#REF!</v>
      </c>
      <c r="V411" s="5" t="e">
        <f>IF(AND(#REF!&gt;=table!$C$11,#REF!&lt;= table!$D$11),-1,IF(AND(#REF!&gt;=table!$E$11,#REF!&lt;=table!$F$11),1,0))</f>
        <v>#REF!</v>
      </c>
      <c r="W411" s="5" t="e">
        <f>CONCATENATE(dados[[#This Row],[fator1]],dados[[#This Row],[fator5]],dados[[#This Row],[fator6]])</f>
        <v>#REF!</v>
      </c>
    </row>
    <row r="412" spans="1:23">
      <c r="A412" t="s">
        <v>16</v>
      </c>
      <c r="B412">
        <v>481749</v>
      </c>
      <c r="C412">
        <v>16</v>
      </c>
      <c r="D412">
        <v>35</v>
      </c>
      <c r="E412">
        <v>56</v>
      </c>
      <c r="F412">
        <v>10</v>
      </c>
      <c r="G412">
        <v>0</v>
      </c>
      <c r="H412">
        <v>25</v>
      </c>
      <c r="I412">
        <v>438</v>
      </c>
      <c r="J412">
        <v>470</v>
      </c>
      <c r="K412">
        <v>4.0750000000000002</v>
      </c>
      <c r="L412">
        <v>13.615</v>
      </c>
      <c r="M412">
        <v>50.550000000000004</v>
      </c>
      <c r="N412">
        <v>14.27</v>
      </c>
      <c r="O412">
        <v>1663</v>
      </c>
      <c r="P412">
        <v>0</v>
      </c>
      <c r="Q412" s="5" t="e">
        <f>IF(AND(#REF!&gt;=table!$C$6,#REF!&lt;= table!$D$6),-1,IF(AND(#REF!&gt;=table!$E$6,#REF!&lt;=table!$F$6),1,0))</f>
        <v>#REF!</v>
      </c>
      <c r="R412" s="5" t="e">
        <f>IF(AND(#REF!&gt;=table!$C$7,#REF!&lt;= table!$D$7),-1,IF(AND(#REF!&gt;=table!$E$7,#REF!&lt;=table!$F$7),1,0))</f>
        <v>#REF!</v>
      </c>
      <c r="S412" s="5" t="e">
        <f>IF(AND(#REF!&gt;=table!$C$8,#REF!&lt;= table!$D$8),-1,IF(AND(#REF!&gt;=table!$E$8,#REF!&lt;=table!$F$8),1,0))</f>
        <v>#REF!</v>
      </c>
      <c r="T412" s="5"/>
      <c r="U412" s="5" t="e">
        <f>IF(AND(#REF!&gt;=table!$C$10,#REF!&lt;= table!$D$10),-1,IF(AND(#REF!&gt;=table!$E$10,#REF!&lt;=table!$F$10),1,0))</f>
        <v>#REF!</v>
      </c>
      <c r="V412" s="5" t="e">
        <f>IF(AND(#REF!&gt;=table!$C$11,#REF!&lt;= table!$D$11),-1,IF(AND(#REF!&gt;=table!$E$11,#REF!&lt;=table!$F$11),1,0))</f>
        <v>#REF!</v>
      </c>
      <c r="W412" s="5" t="e">
        <f>CONCATENATE(dados[[#This Row],[fator1]],dados[[#This Row],[fator5]],dados[[#This Row],[fator6]])</f>
        <v>#REF!</v>
      </c>
    </row>
    <row r="413" spans="1:23">
      <c r="A413" t="s">
        <v>16</v>
      </c>
      <c r="B413">
        <v>481756</v>
      </c>
      <c r="C413">
        <v>0.15</v>
      </c>
      <c r="D413">
        <v>40</v>
      </c>
      <c r="E413">
        <v>10</v>
      </c>
      <c r="F413">
        <v>15</v>
      </c>
      <c r="G413">
        <v>0</v>
      </c>
      <c r="H413">
        <v>15</v>
      </c>
      <c r="I413">
        <v>10</v>
      </c>
      <c r="J413">
        <v>0</v>
      </c>
      <c r="K413">
        <v>2.5550000000000002</v>
      </c>
      <c r="L413">
        <v>12.2667</v>
      </c>
      <c r="M413">
        <v>9.4</v>
      </c>
      <c r="N413">
        <v>12.1</v>
      </c>
      <c r="O413">
        <v>1684</v>
      </c>
      <c r="P413">
        <v>884</v>
      </c>
      <c r="Q413" s="5" t="e">
        <f>IF(AND(#REF!&gt;=table!$C$6,#REF!&lt;= table!$D$6),-1,IF(AND(#REF!&gt;=table!$E$6,#REF!&lt;=table!$F$6),1,0))</f>
        <v>#REF!</v>
      </c>
      <c r="R413" s="5" t="e">
        <f>IF(AND(#REF!&gt;=table!$C$7,#REF!&lt;= table!$D$7),-1,IF(AND(#REF!&gt;=table!$E$7,#REF!&lt;=table!$F$7),1,0))</f>
        <v>#REF!</v>
      </c>
      <c r="S413" s="5" t="e">
        <f>IF(AND(#REF!&gt;=table!$C$8,#REF!&lt;= table!$D$8),-1,IF(AND(#REF!&gt;=table!$E$8,#REF!&lt;=table!$F$8),1,0))</f>
        <v>#REF!</v>
      </c>
      <c r="T413" s="5"/>
      <c r="U413" s="5" t="e">
        <f>IF(AND(#REF!&gt;=table!$C$10,#REF!&lt;= table!$D$10),-1,IF(AND(#REF!&gt;=table!$E$10,#REF!&lt;=table!$F$10),1,0))</f>
        <v>#REF!</v>
      </c>
      <c r="V413" s="5" t="e">
        <f>IF(AND(#REF!&gt;=table!$C$11,#REF!&lt;= table!$D$11),-1,IF(AND(#REF!&gt;=table!$E$11,#REF!&lt;=table!$F$11),1,0))</f>
        <v>#REF!</v>
      </c>
      <c r="W413" s="5" t="e">
        <f>CONCATENATE(dados[[#This Row],[fator1]],dados[[#This Row],[fator5]],dados[[#This Row],[fator6]])</f>
        <v>#REF!</v>
      </c>
    </row>
    <row r="414" spans="1:23">
      <c r="A414" t="s">
        <v>16</v>
      </c>
      <c r="B414">
        <v>481761</v>
      </c>
      <c r="C414">
        <v>0.15</v>
      </c>
      <c r="D414">
        <v>40</v>
      </c>
      <c r="E414">
        <v>10</v>
      </c>
      <c r="F414">
        <v>15</v>
      </c>
      <c r="G414">
        <v>0</v>
      </c>
      <c r="H414">
        <v>15</v>
      </c>
      <c r="I414">
        <v>223</v>
      </c>
      <c r="J414">
        <v>0</v>
      </c>
      <c r="K414">
        <v>2.0350000000000001</v>
      </c>
      <c r="L414">
        <v>5.7</v>
      </c>
      <c r="M414">
        <v>5.15</v>
      </c>
      <c r="N414">
        <v>10.3</v>
      </c>
      <c r="O414">
        <v>1675</v>
      </c>
      <c r="P414">
        <v>1410</v>
      </c>
      <c r="Q414" s="5" t="e">
        <f>IF(AND(#REF!&gt;=table!$C$6,#REF!&lt;= table!$D$6),-1,IF(AND(#REF!&gt;=table!$E$6,#REF!&lt;=table!$F$6),1,0))</f>
        <v>#REF!</v>
      </c>
      <c r="R414" s="5" t="e">
        <f>IF(AND(#REF!&gt;=table!$C$7,#REF!&lt;= table!$D$7),-1,IF(AND(#REF!&gt;=table!$E$7,#REF!&lt;=table!$F$7),1,0))</f>
        <v>#REF!</v>
      </c>
      <c r="S414" s="5" t="e">
        <f>IF(AND(#REF!&gt;=table!$C$8,#REF!&lt;= table!$D$8),-1,IF(AND(#REF!&gt;=table!$E$8,#REF!&lt;=table!$F$8),1,0))</f>
        <v>#REF!</v>
      </c>
      <c r="T414" s="5"/>
      <c r="U414" s="5" t="e">
        <f>IF(AND(#REF!&gt;=table!$C$10,#REF!&lt;= table!$D$10),-1,IF(AND(#REF!&gt;=table!$E$10,#REF!&lt;=table!$F$10),1,0))</f>
        <v>#REF!</v>
      </c>
      <c r="V414" s="5" t="e">
        <f>IF(AND(#REF!&gt;=table!$C$11,#REF!&lt;= table!$D$11),-1,IF(AND(#REF!&gt;=table!$E$11,#REF!&lt;=table!$F$11),1,0))</f>
        <v>#REF!</v>
      </c>
      <c r="W414" s="5" t="e">
        <f>CONCATENATE(dados[[#This Row],[fator1]],dados[[#This Row],[fator5]],dados[[#This Row],[fator6]])</f>
        <v>#REF!</v>
      </c>
    </row>
    <row r="415" spans="1:23">
      <c r="A415" t="s">
        <v>17</v>
      </c>
      <c r="B415">
        <v>481762</v>
      </c>
      <c r="C415">
        <v>3</v>
      </c>
      <c r="D415">
        <v>25</v>
      </c>
      <c r="E415">
        <v>120</v>
      </c>
      <c r="F415">
        <v>1</v>
      </c>
      <c r="G415">
        <v>25</v>
      </c>
      <c r="H415">
        <v>10</v>
      </c>
      <c r="I415">
        <v>0</v>
      </c>
      <c r="J415">
        <v>0</v>
      </c>
      <c r="K415">
        <v>1.9550000000000001</v>
      </c>
      <c r="L415">
        <v>2.5500000000000003</v>
      </c>
      <c r="M415">
        <v>43.9</v>
      </c>
      <c r="N415">
        <v>4.2</v>
      </c>
      <c r="O415">
        <v>1697</v>
      </c>
      <c r="P415">
        <v>0</v>
      </c>
      <c r="Q415" s="5" t="e">
        <f>IF(AND(#REF!&gt;=table!$C$6,#REF!&lt;= table!$D$6),-1,IF(AND(#REF!&gt;=table!$E$6,#REF!&lt;=table!$F$6),1,0))</f>
        <v>#REF!</v>
      </c>
      <c r="R415" s="5" t="e">
        <f>IF(AND(#REF!&gt;=table!$C$7,#REF!&lt;= table!$D$7),-1,IF(AND(#REF!&gt;=table!$E$7,#REF!&lt;=table!$F$7),1,0))</f>
        <v>#REF!</v>
      </c>
      <c r="S415" s="5" t="e">
        <f>IF(AND(#REF!&gt;=table!$C$8,#REF!&lt;= table!$D$8),-1,IF(AND(#REF!&gt;=table!$E$8,#REF!&lt;=table!$F$8),1,0))</f>
        <v>#REF!</v>
      </c>
      <c r="T415" s="5"/>
      <c r="U415" s="5" t="e">
        <f>IF(AND(#REF!&gt;=table!$C$10,#REF!&lt;= table!$D$10),-1,IF(AND(#REF!&gt;=table!$E$10,#REF!&lt;=table!$F$10),1,0))</f>
        <v>#REF!</v>
      </c>
      <c r="V415" s="5" t="e">
        <f>IF(AND(#REF!&gt;=table!$C$11,#REF!&lt;= table!$D$11),-1,IF(AND(#REF!&gt;=table!$E$11,#REF!&lt;=table!$F$11),1,0))</f>
        <v>#REF!</v>
      </c>
      <c r="W415" s="5" t="e">
        <f>CONCATENATE(dados[[#This Row],[fator1]],dados[[#This Row],[fator5]],dados[[#This Row],[fator6]])</f>
        <v>#REF!</v>
      </c>
    </row>
    <row r="416" spans="1:23">
      <c r="A416" t="s">
        <v>17</v>
      </c>
      <c r="B416">
        <v>481764</v>
      </c>
      <c r="C416">
        <v>15</v>
      </c>
      <c r="D416">
        <v>33</v>
      </c>
      <c r="E416">
        <v>140</v>
      </c>
      <c r="F416">
        <v>8</v>
      </c>
      <c r="G416">
        <v>15</v>
      </c>
      <c r="H416">
        <v>25</v>
      </c>
      <c r="I416">
        <v>148</v>
      </c>
      <c r="J416">
        <v>0</v>
      </c>
      <c r="K416">
        <v>2.6675</v>
      </c>
      <c r="L416">
        <v>4.66</v>
      </c>
      <c r="M416">
        <v>119.75</v>
      </c>
      <c r="N416">
        <v>6.4</v>
      </c>
      <c r="O416">
        <v>1667</v>
      </c>
      <c r="P416">
        <v>0</v>
      </c>
      <c r="Q416" s="5" t="e">
        <f>IF(AND(#REF!&gt;=table!$C$6,#REF!&lt;= table!$D$6),-1,IF(AND(#REF!&gt;=table!$E$6,#REF!&lt;=table!$F$6),1,0))</f>
        <v>#REF!</v>
      </c>
      <c r="R416" s="5" t="e">
        <f>IF(AND(#REF!&gt;=table!$C$7,#REF!&lt;= table!$D$7),-1,IF(AND(#REF!&gt;=table!$E$7,#REF!&lt;=table!$F$7),1,0))</f>
        <v>#REF!</v>
      </c>
      <c r="S416" s="5" t="e">
        <f>IF(AND(#REF!&gt;=table!$C$8,#REF!&lt;= table!$D$8),-1,IF(AND(#REF!&gt;=table!$E$8,#REF!&lt;=table!$F$8),1,0))</f>
        <v>#REF!</v>
      </c>
      <c r="T416" s="5"/>
      <c r="U416" s="5" t="e">
        <f>IF(AND(#REF!&gt;=table!$C$10,#REF!&lt;= table!$D$10),-1,IF(AND(#REF!&gt;=table!$E$10,#REF!&lt;=table!$F$10),1,0))</f>
        <v>#REF!</v>
      </c>
      <c r="V416" s="5" t="e">
        <f>IF(AND(#REF!&gt;=table!$C$11,#REF!&lt;= table!$D$11),-1,IF(AND(#REF!&gt;=table!$E$11,#REF!&lt;=table!$F$11),1,0))</f>
        <v>#REF!</v>
      </c>
      <c r="W416" s="5" t="e">
        <f>CONCATENATE(dados[[#This Row],[fator1]],dados[[#This Row],[fator5]],dados[[#This Row],[fator6]])</f>
        <v>#REF!</v>
      </c>
    </row>
    <row r="417" spans="1:23">
      <c r="A417" t="s">
        <v>17</v>
      </c>
      <c r="B417">
        <v>481765</v>
      </c>
      <c r="C417">
        <v>16</v>
      </c>
      <c r="D417">
        <v>33</v>
      </c>
      <c r="E417">
        <v>150</v>
      </c>
      <c r="F417">
        <v>10</v>
      </c>
      <c r="G417">
        <v>15</v>
      </c>
      <c r="H417">
        <v>25</v>
      </c>
      <c r="I417">
        <v>476</v>
      </c>
      <c r="J417">
        <v>0</v>
      </c>
      <c r="K417">
        <v>2.5750000000000002</v>
      </c>
      <c r="L417">
        <v>4.75</v>
      </c>
      <c r="M417">
        <v>105.2</v>
      </c>
      <c r="N417">
        <v>10.25</v>
      </c>
      <c r="O417">
        <v>1665</v>
      </c>
      <c r="P417">
        <v>0</v>
      </c>
      <c r="Q417" s="5" t="e">
        <f>IF(AND(#REF!&gt;=table!$C$6,#REF!&lt;= table!$D$6),-1,IF(AND(#REF!&gt;=table!$E$6,#REF!&lt;=table!$F$6),1,0))</f>
        <v>#REF!</v>
      </c>
      <c r="R417" s="5" t="e">
        <f>IF(AND(#REF!&gt;=table!$C$7,#REF!&lt;= table!$D$7),-1,IF(AND(#REF!&gt;=table!$E$7,#REF!&lt;=table!$F$7),1,0))</f>
        <v>#REF!</v>
      </c>
      <c r="S417" s="5" t="e">
        <f>IF(AND(#REF!&gt;=table!$C$8,#REF!&lt;= table!$D$8),-1,IF(AND(#REF!&gt;=table!$E$8,#REF!&lt;=table!$F$8),1,0))</f>
        <v>#REF!</v>
      </c>
      <c r="T417" s="5"/>
      <c r="U417" s="5" t="e">
        <f>IF(AND(#REF!&gt;=table!$C$10,#REF!&lt;= table!$D$10),-1,IF(AND(#REF!&gt;=table!$E$10,#REF!&lt;=table!$F$10),1,0))</f>
        <v>#REF!</v>
      </c>
      <c r="V417" s="5" t="e">
        <f>IF(AND(#REF!&gt;=table!$C$11,#REF!&lt;= table!$D$11),-1,IF(AND(#REF!&gt;=table!$E$11,#REF!&lt;=table!$F$11),1,0))</f>
        <v>#REF!</v>
      </c>
      <c r="W417" s="5" t="e">
        <f>CONCATENATE(dados[[#This Row],[fator1]],dados[[#This Row],[fator5]],dados[[#This Row],[fator6]])</f>
        <v>#REF!</v>
      </c>
    </row>
    <row r="418" spans="1:23">
      <c r="A418" t="s">
        <v>17</v>
      </c>
      <c r="B418">
        <v>481766</v>
      </c>
      <c r="C418">
        <v>16</v>
      </c>
      <c r="D418">
        <v>33</v>
      </c>
      <c r="E418">
        <v>150</v>
      </c>
      <c r="F418">
        <v>10</v>
      </c>
      <c r="G418">
        <v>15</v>
      </c>
      <c r="H418">
        <v>25</v>
      </c>
      <c r="I418">
        <v>748</v>
      </c>
      <c r="J418">
        <v>0</v>
      </c>
      <c r="K418">
        <v>2.3450000000000002</v>
      </c>
      <c r="L418">
        <v>5.05</v>
      </c>
      <c r="M418">
        <v>109.25</v>
      </c>
      <c r="N418">
        <v>15.75</v>
      </c>
      <c r="O418">
        <v>1669</v>
      </c>
      <c r="P418">
        <v>1225</v>
      </c>
      <c r="Q418" s="5" t="e">
        <f>IF(AND(#REF!&gt;=table!$C$6,#REF!&lt;= table!$D$6),-1,IF(AND(#REF!&gt;=table!$E$6,#REF!&lt;=table!$F$6),1,0))</f>
        <v>#REF!</v>
      </c>
      <c r="R418" s="5" t="e">
        <f>IF(AND(#REF!&gt;=table!$C$7,#REF!&lt;= table!$D$7),-1,IF(AND(#REF!&gt;=table!$E$7,#REF!&lt;=table!$F$7),1,0))</f>
        <v>#REF!</v>
      </c>
      <c r="S418" s="5" t="e">
        <f>IF(AND(#REF!&gt;=table!$C$8,#REF!&lt;= table!$D$8),-1,IF(AND(#REF!&gt;=table!$E$8,#REF!&lt;=table!$F$8),1,0))</f>
        <v>#REF!</v>
      </c>
      <c r="T418" s="5"/>
      <c r="U418" s="5" t="e">
        <f>IF(AND(#REF!&gt;=table!$C$10,#REF!&lt;= table!$D$10),-1,IF(AND(#REF!&gt;=table!$E$10,#REF!&lt;=table!$F$10),1,0))</f>
        <v>#REF!</v>
      </c>
      <c r="V418" s="5" t="e">
        <f>IF(AND(#REF!&gt;=table!$C$11,#REF!&lt;= table!$D$11),-1,IF(AND(#REF!&gt;=table!$E$11,#REF!&lt;=table!$F$11),1,0))</f>
        <v>#REF!</v>
      </c>
      <c r="W418" s="5" t="e">
        <f>CONCATENATE(dados[[#This Row],[fator1]],dados[[#This Row],[fator5]],dados[[#This Row],[fator6]])</f>
        <v>#REF!</v>
      </c>
    </row>
    <row r="419" spans="1:23">
      <c r="A419" t="s">
        <v>17</v>
      </c>
      <c r="B419">
        <v>481767</v>
      </c>
      <c r="C419">
        <v>16</v>
      </c>
      <c r="D419">
        <v>33</v>
      </c>
      <c r="E419">
        <v>150</v>
      </c>
      <c r="F419">
        <v>10</v>
      </c>
      <c r="G419">
        <v>15</v>
      </c>
      <c r="H419">
        <v>25</v>
      </c>
      <c r="I419">
        <v>2</v>
      </c>
      <c r="J419">
        <v>0</v>
      </c>
      <c r="K419">
        <v>3.4650000000000003</v>
      </c>
      <c r="L419">
        <v>7.6000000000000005</v>
      </c>
      <c r="M419">
        <v>141.15</v>
      </c>
      <c r="N419">
        <v>13.35</v>
      </c>
      <c r="O419">
        <v>1679</v>
      </c>
      <c r="P419">
        <v>0</v>
      </c>
      <c r="Q419" s="5" t="e">
        <f>IF(AND(#REF!&gt;=table!$C$6,#REF!&lt;= table!$D$6),-1,IF(AND(#REF!&gt;=table!$E$6,#REF!&lt;=table!$F$6),1,0))</f>
        <v>#REF!</v>
      </c>
      <c r="R419" s="5" t="e">
        <f>IF(AND(#REF!&gt;=table!$C$7,#REF!&lt;= table!$D$7),-1,IF(AND(#REF!&gt;=table!$E$7,#REF!&lt;=table!$F$7),1,0))</f>
        <v>#REF!</v>
      </c>
      <c r="S419" s="5" t="e">
        <f>IF(AND(#REF!&gt;=table!$C$8,#REF!&lt;= table!$D$8),-1,IF(AND(#REF!&gt;=table!$E$8,#REF!&lt;=table!$F$8),1,0))</f>
        <v>#REF!</v>
      </c>
      <c r="T419" s="5"/>
      <c r="U419" s="5" t="e">
        <f>IF(AND(#REF!&gt;=table!$C$10,#REF!&lt;= table!$D$10),-1,IF(AND(#REF!&gt;=table!$E$10,#REF!&lt;=table!$F$10),1,0))</f>
        <v>#REF!</v>
      </c>
      <c r="V419" s="5" t="e">
        <f>IF(AND(#REF!&gt;=table!$C$11,#REF!&lt;= table!$D$11),-1,IF(AND(#REF!&gt;=table!$E$11,#REF!&lt;=table!$F$11),1,0))</f>
        <v>#REF!</v>
      </c>
      <c r="W419" s="5" t="e">
        <f>CONCATENATE(dados[[#This Row],[fator1]],dados[[#This Row],[fator5]],dados[[#This Row],[fator6]])</f>
        <v>#REF!</v>
      </c>
    </row>
    <row r="420" spans="1:23">
      <c r="A420" t="s">
        <v>17</v>
      </c>
      <c r="B420">
        <v>481782</v>
      </c>
      <c r="C420">
        <v>6</v>
      </c>
      <c r="D420">
        <v>30</v>
      </c>
      <c r="E420">
        <v>110</v>
      </c>
      <c r="F420">
        <v>10</v>
      </c>
      <c r="G420">
        <v>21</v>
      </c>
      <c r="H420">
        <v>25</v>
      </c>
      <c r="I420">
        <v>799</v>
      </c>
      <c r="J420">
        <v>0</v>
      </c>
      <c r="K420">
        <v>5.19</v>
      </c>
      <c r="L420">
        <v>10.1</v>
      </c>
      <c r="M420">
        <v>90.4</v>
      </c>
      <c r="N420">
        <v>11.6</v>
      </c>
      <c r="O420">
        <v>1678</v>
      </c>
      <c r="P420">
        <v>615</v>
      </c>
      <c r="Q420" s="5" t="e">
        <f>IF(AND(#REF!&gt;=table!$C$6,#REF!&lt;= table!$D$6),-1,IF(AND(#REF!&gt;=table!$E$6,#REF!&lt;=table!$F$6),1,0))</f>
        <v>#REF!</v>
      </c>
      <c r="R420" s="5" t="e">
        <f>IF(AND(#REF!&gt;=table!$C$7,#REF!&lt;= table!$D$7),-1,IF(AND(#REF!&gt;=table!$E$7,#REF!&lt;=table!$F$7),1,0))</f>
        <v>#REF!</v>
      </c>
      <c r="S420" s="5" t="e">
        <f>IF(AND(#REF!&gt;=table!$C$8,#REF!&lt;= table!$D$8),-1,IF(AND(#REF!&gt;=table!$E$8,#REF!&lt;=table!$F$8),1,0))</f>
        <v>#REF!</v>
      </c>
      <c r="T420" s="5"/>
      <c r="U420" s="5" t="e">
        <f>IF(AND(#REF!&gt;=table!$C$10,#REF!&lt;= table!$D$10),-1,IF(AND(#REF!&gt;=table!$E$10,#REF!&lt;=table!$F$10),1,0))</f>
        <v>#REF!</v>
      </c>
      <c r="V420" s="5" t="e">
        <f>IF(AND(#REF!&gt;=table!$C$11,#REF!&lt;= table!$D$11),-1,IF(AND(#REF!&gt;=table!$E$11,#REF!&lt;=table!$F$11),1,0))</f>
        <v>#REF!</v>
      </c>
      <c r="W420" s="5" t="e">
        <f>CONCATENATE(dados[[#This Row],[fator1]],dados[[#This Row],[fator5]],dados[[#This Row],[fator6]])</f>
        <v>#REF!</v>
      </c>
    </row>
    <row r="421" spans="1:23">
      <c r="A421" t="s">
        <v>17</v>
      </c>
      <c r="B421">
        <v>481784</v>
      </c>
      <c r="C421">
        <v>27</v>
      </c>
      <c r="D421">
        <v>33</v>
      </c>
      <c r="E421">
        <v>125</v>
      </c>
      <c r="F421">
        <v>3</v>
      </c>
      <c r="G421">
        <v>18</v>
      </c>
      <c r="H421">
        <v>18</v>
      </c>
      <c r="I421">
        <v>464</v>
      </c>
      <c r="J421">
        <v>0</v>
      </c>
      <c r="K421">
        <v>3.8200000000000003</v>
      </c>
      <c r="L421">
        <v>8.8000000000000007</v>
      </c>
      <c r="M421">
        <v>111.62</v>
      </c>
      <c r="N421">
        <v>12.64</v>
      </c>
      <c r="O421">
        <v>1681</v>
      </c>
      <c r="P421">
        <v>653</v>
      </c>
      <c r="Q421" s="5" t="e">
        <f>IF(AND(#REF!&gt;=table!$C$6,#REF!&lt;= table!$D$6),-1,IF(AND(#REF!&gt;=table!$E$6,#REF!&lt;=table!$F$6),1,0))</f>
        <v>#REF!</v>
      </c>
      <c r="R421" s="5" t="e">
        <f>IF(AND(#REF!&gt;=table!$C$7,#REF!&lt;= table!$D$7),-1,IF(AND(#REF!&gt;=table!$E$7,#REF!&lt;=table!$F$7),1,0))</f>
        <v>#REF!</v>
      </c>
      <c r="S421" s="5" t="e">
        <f>IF(AND(#REF!&gt;=table!$C$8,#REF!&lt;= table!$D$8),-1,IF(AND(#REF!&gt;=table!$E$8,#REF!&lt;=table!$F$8),1,0))</f>
        <v>#REF!</v>
      </c>
      <c r="T421" s="5"/>
      <c r="U421" s="5" t="e">
        <f>IF(AND(#REF!&gt;=table!$C$10,#REF!&lt;= table!$D$10),-1,IF(AND(#REF!&gt;=table!$E$10,#REF!&lt;=table!$F$10),1,0))</f>
        <v>#REF!</v>
      </c>
      <c r="V421" s="5" t="e">
        <f>IF(AND(#REF!&gt;=table!$C$11,#REF!&lt;= table!$D$11),-1,IF(AND(#REF!&gt;=table!$E$11,#REF!&lt;=table!$F$11),1,0))</f>
        <v>#REF!</v>
      </c>
      <c r="W421" s="5" t="e">
        <f>CONCATENATE(dados[[#This Row],[fator1]],dados[[#This Row],[fator5]],dados[[#This Row],[fator6]])</f>
        <v>#REF!</v>
      </c>
    </row>
    <row r="422" spans="1:23">
      <c r="A422" t="s">
        <v>17</v>
      </c>
      <c r="B422">
        <v>481790</v>
      </c>
      <c r="C422">
        <v>8</v>
      </c>
      <c r="D422">
        <v>25</v>
      </c>
      <c r="E422">
        <v>136</v>
      </c>
      <c r="F422">
        <v>6</v>
      </c>
      <c r="G422">
        <v>8</v>
      </c>
      <c r="H422">
        <v>25</v>
      </c>
      <c r="I422">
        <v>657</v>
      </c>
      <c r="J422">
        <v>0</v>
      </c>
      <c r="K422">
        <v>5.0950000000000006</v>
      </c>
      <c r="L422">
        <v>13.6</v>
      </c>
      <c r="M422">
        <v>113.85000000000001</v>
      </c>
      <c r="N422">
        <v>16.2</v>
      </c>
      <c r="O422">
        <v>1683</v>
      </c>
      <c r="P422">
        <v>630</v>
      </c>
      <c r="Q422" s="5" t="e">
        <f>IF(AND(#REF!&gt;=table!$C$6,#REF!&lt;= table!$D$6),-1,IF(AND(#REF!&gt;=table!$E$6,#REF!&lt;=table!$F$6),1,0))</f>
        <v>#REF!</v>
      </c>
      <c r="R422" s="5" t="e">
        <f>IF(AND(#REF!&gt;=table!$C$7,#REF!&lt;= table!$D$7),-1,IF(AND(#REF!&gt;=table!$E$7,#REF!&lt;=table!$F$7),1,0))</f>
        <v>#REF!</v>
      </c>
      <c r="S422" s="5" t="e">
        <f>IF(AND(#REF!&gt;=table!$C$8,#REF!&lt;= table!$D$8),-1,IF(AND(#REF!&gt;=table!$E$8,#REF!&lt;=table!$F$8),1,0))</f>
        <v>#REF!</v>
      </c>
      <c r="T422" s="5"/>
      <c r="U422" s="5" t="e">
        <f>IF(AND(#REF!&gt;=table!$C$10,#REF!&lt;= table!$D$10),-1,IF(AND(#REF!&gt;=table!$E$10,#REF!&lt;=table!$F$10),1,0))</f>
        <v>#REF!</v>
      </c>
      <c r="V422" s="5" t="e">
        <f>IF(AND(#REF!&gt;=table!$C$11,#REF!&lt;= table!$D$11),-1,IF(AND(#REF!&gt;=table!$E$11,#REF!&lt;=table!$F$11),1,0))</f>
        <v>#REF!</v>
      </c>
      <c r="W422" s="5" t="e">
        <f>CONCATENATE(dados[[#This Row],[fator1]],dados[[#This Row],[fator5]],dados[[#This Row],[fator6]])</f>
        <v>#REF!</v>
      </c>
    </row>
    <row r="423" spans="1:23">
      <c r="A423" t="s">
        <v>17</v>
      </c>
      <c r="B423">
        <v>481797</v>
      </c>
      <c r="C423">
        <v>16</v>
      </c>
      <c r="D423">
        <v>23</v>
      </c>
      <c r="E423">
        <v>145</v>
      </c>
      <c r="F423">
        <v>4</v>
      </c>
      <c r="G423">
        <v>30</v>
      </c>
      <c r="H423">
        <v>25</v>
      </c>
      <c r="I423">
        <v>1464</v>
      </c>
      <c r="J423">
        <v>520</v>
      </c>
      <c r="K423">
        <v>4.03</v>
      </c>
      <c r="L423">
        <v>15.1</v>
      </c>
      <c r="M423">
        <v>113.85000000000001</v>
      </c>
      <c r="N423">
        <v>10.15</v>
      </c>
      <c r="O423">
        <v>1631</v>
      </c>
      <c r="P423">
        <v>486</v>
      </c>
      <c r="Q423" s="5" t="e">
        <f>IF(AND(#REF!&gt;=table!$C$6,#REF!&lt;= table!$D$6),-1,IF(AND(#REF!&gt;=table!$E$6,#REF!&lt;=table!$F$6),1,0))</f>
        <v>#REF!</v>
      </c>
      <c r="R423" s="5" t="e">
        <f>IF(AND(#REF!&gt;=table!$C$7,#REF!&lt;= table!$D$7),-1,IF(AND(#REF!&gt;=table!$E$7,#REF!&lt;=table!$F$7),1,0))</f>
        <v>#REF!</v>
      </c>
      <c r="S423" s="5" t="e">
        <f>IF(AND(#REF!&gt;=table!$C$8,#REF!&lt;= table!$D$8),-1,IF(AND(#REF!&gt;=table!$E$8,#REF!&lt;=table!$F$8),1,0))</f>
        <v>#REF!</v>
      </c>
      <c r="T423" s="5"/>
      <c r="U423" s="5" t="e">
        <f>IF(AND(#REF!&gt;=table!$C$10,#REF!&lt;= table!$D$10),-1,IF(AND(#REF!&gt;=table!$E$10,#REF!&lt;=table!$F$10),1,0))</f>
        <v>#REF!</v>
      </c>
      <c r="V423" s="5" t="e">
        <f>IF(AND(#REF!&gt;=table!$C$11,#REF!&lt;= table!$D$11),-1,IF(AND(#REF!&gt;=table!$E$11,#REF!&lt;=table!$F$11),1,0))</f>
        <v>#REF!</v>
      </c>
      <c r="W423" s="5" t="e">
        <f>CONCATENATE(dados[[#This Row],[fator1]],dados[[#This Row],[fator5]],dados[[#This Row],[fator6]])</f>
        <v>#REF!</v>
      </c>
    </row>
    <row r="424" spans="1:23">
      <c r="A424" t="s">
        <v>16</v>
      </c>
      <c r="B424">
        <v>481801</v>
      </c>
      <c r="C424">
        <v>0.18</v>
      </c>
      <c r="D424">
        <v>50</v>
      </c>
      <c r="E424">
        <v>56</v>
      </c>
      <c r="F424">
        <v>15</v>
      </c>
      <c r="G424">
        <v>0</v>
      </c>
      <c r="H424">
        <v>50</v>
      </c>
      <c r="I424">
        <v>74</v>
      </c>
      <c r="J424">
        <v>0</v>
      </c>
      <c r="K424">
        <v>5.7650000000000006</v>
      </c>
      <c r="L424">
        <v>13.8</v>
      </c>
      <c r="M424">
        <v>11.53</v>
      </c>
      <c r="N424">
        <v>11.47</v>
      </c>
      <c r="O424">
        <v>1679</v>
      </c>
      <c r="P424">
        <v>575</v>
      </c>
      <c r="Q424" s="5" t="e">
        <f>IF(AND(#REF!&gt;=table!$C$6,#REF!&lt;= table!$D$6),-1,IF(AND(#REF!&gt;=table!$E$6,#REF!&lt;=table!$F$6),1,0))</f>
        <v>#REF!</v>
      </c>
      <c r="R424" s="5" t="e">
        <f>IF(AND(#REF!&gt;=table!$C$7,#REF!&lt;= table!$D$7),-1,IF(AND(#REF!&gt;=table!$E$7,#REF!&lt;=table!$F$7),1,0))</f>
        <v>#REF!</v>
      </c>
      <c r="S424" s="5" t="e">
        <f>IF(AND(#REF!&gt;=table!$C$8,#REF!&lt;= table!$D$8),-1,IF(AND(#REF!&gt;=table!$E$8,#REF!&lt;=table!$F$8),1,0))</f>
        <v>#REF!</v>
      </c>
      <c r="T424" s="5"/>
      <c r="U424" s="5" t="e">
        <f>IF(AND(#REF!&gt;=table!$C$10,#REF!&lt;= table!$D$10),-1,IF(AND(#REF!&gt;=table!$E$10,#REF!&lt;=table!$F$10),1,0))</f>
        <v>#REF!</v>
      </c>
      <c r="V424" s="5" t="e">
        <f>IF(AND(#REF!&gt;=table!$C$11,#REF!&lt;= table!$D$11),-1,IF(AND(#REF!&gt;=table!$E$11,#REF!&lt;=table!$F$11),1,0))</f>
        <v>#REF!</v>
      </c>
      <c r="W424" s="5" t="e">
        <f>CONCATENATE(dados[[#This Row],[fator1]],dados[[#This Row],[fator5]],dados[[#This Row],[fator6]])</f>
        <v>#REF!</v>
      </c>
    </row>
    <row r="425" spans="1:23">
      <c r="A425" t="s">
        <v>16</v>
      </c>
      <c r="B425">
        <v>481803</v>
      </c>
      <c r="C425">
        <v>0.18</v>
      </c>
      <c r="D425">
        <v>50</v>
      </c>
      <c r="E425">
        <v>56</v>
      </c>
      <c r="F425">
        <v>15</v>
      </c>
      <c r="G425">
        <v>0</v>
      </c>
      <c r="H425">
        <v>50</v>
      </c>
      <c r="I425">
        <v>0</v>
      </c>
      <c r="J425">
        <v>0</v>
      </c>
      <c r="K425">
        <v>4.4850000000000003</v>
      </c>
      <c r="L425">
        <v>11.700000000000001</v>
      </c>
      <c r="M425">
        <v>10.485000000000001</v>
      </c>
      <c r="N425">
        <v>14.040000000000001</v>
      </c>
      <c r="O425">
        <v>1688</v>
      </c>
      <c r="P425">
        <v>666</v>
      </c>
      <c r="Q425" s="5" t="e">
        <f>IF(AND(#REF!&gt;=table!$C$6,#REF!&lt;= table!$D$6),-1,IF(AND(#REF!&gt;=table!$E$6,#REF!&lt;=table!$F$6),1,0))</f>
        <v>#REF!</v>
      </c>
      <c r="R425" s="5" t="e">
        <f>IF(AND(#REF!&gt;=table!$C$7,#REF!&lt;= table!$D$7),-1,IF(AND(#REF!&gt;=table!$E$7,#REF!&lt;=table!$F$7),1,0))</f>
        <v>#REF!</v>
      </c>
      <c r="S425" s="5" t="e">
        <f>IF(AND(#REF!&gt;=table!$C$8,#REF!&lt;= table!$D$8),-1,IF(AND(#REF!&gt;=table!$E$8,#REF!&lt;=table!$F$8),1,0))</f>
        <v>#REF!</v>
      </c>
      <c r="T425" s="5"/>
      <c r="U425" s="5" t="e">
        <f>IF(AND(#REF!&gt;=table!$C$10,#REF!&lt;= table!$D$10),-1,IF(AND(#REF!&gt;=table!$E$10,#REF!&lt;=table!$F$10),1,0))</f>
        <v>#REF!</v>
      </c>
      <c r="V425" s="5" t="e">
        <f>IF(AND(#REF!&gt;=table!$C$11,#REF!&lt;= table!$D$11),-1,IF(AND(#REF!&gt;=table!$E$11,#REF!&lt;=table!$F$11),1,0))</f>
        <v>#REF!</v>
      </c>
      <c r="W425" s="5" t="e">
        <f>CONCATENATE(dados[[#This Row],[fator1]],dados[[#This Row],[fator5]],dados[[#This Row],[fator6]])</f>
        <v>#REF!</v>
      </c>
    </row>
    <row r="426" spans="1:23">
      <c r="A426" t="s">
        <v>16</v>
      </c>
      <c r="B426">
        <v>481814</v>
      </c>
      <c r="C426">
        <v>0.15</v>
      </c>
      <c r="D426">
        <v>40</v>
      </c>
      <c r="E426">
        <v>10</v>
      </c>
      <c r="F426">
        <v>15</v>
      </c>
      <c r="G426">
        <v>0</v>
      </c>
      <c r="H426">
        <v>15</v>
      </c>
      <c r="I426">
        <v>1571</v>
      </c>
      <c r="J426">
        <v>0</v>
      </c>
      <c r="K426">
        <v>5.5049999999999999</v>
      </c>
      <c r="L426">
        <v>10.15</v>
      </c>
      <c r="M426">
        <v>10.050000000000001</v>
      </c>
      <c r="N426">
        <v>11.5</v>
      </c>
      <c r="O426">
        <v>1690</v>
      </c>
      <c r="P426">
        <v>600</v>
      </c>
      <c r="Q426" s="5" t="e">
        <f>IF(AND(#REF!&gt;=table!$C$6,#REF!&lt;= table!$D$6),-1,IF(AND(#REF!&gt;=table!$E$6,#REF!&lt;=table!$F$6),1,0))</f>
        <v>#REF!</v>
      </c>
      <c r="R426" s="5" t="e">
        <f>IF(AND(#REF!&gt;=table!$C$7,#REF!&lt;= table!$D$7),-1,IF(AND(#REF!&gt;=table!$E$7,#REF!&lt;=table!$F$7),1,0))</f>
        <v>#REF!</v>
      </c>
      <c r="S426" s="5" t="e">
        <f>IF(AND(#REF!&gt;=table!$C$8,#REF!&lt;= table!$D$8),-1,IF(AND(#REF!&gt;=table!$E$8,#REF!&lt;=table!$F$8),1,0))</f>
        <v>#REF!</v>
      </c>
      <c r="T426" s="5"/>
      <c r="U426" s="5" t="e">
        <f>IF(AND(#REF!&gt;=table!$C$10,#REF!&lt;= table!$D$10),-1,IF(AND(#REF!&gt;=table!$E$10,#REF!&lt;=table!$F$10),1,0))</f>
        <v>#REF!</v>
      </c>
      <c r="V426" s="5" t="e">
        <f>IF(AND(#REF!&gt;=table!$C$11,#REF!&lt;= table!$D$11),-1,IF(AND(#REF!&gt;=table!$E$11,#REF!&lt;=table!$F$11),1,0))</f>
        <v>#REF!</v>
      </c>
      <c r="W426" s="5" t="e">
        <f>CONCATENATE(dados[[#This Row],[fator1]],dados[[#This Row],[fator5]],dados[[#This Row],[fator6]])</f>
        <v>#REF!</v>
      </c>
    </row>
    <row r="427" spans="1:23">
      <c r="A427" t="s">
        <v>16</v>
      </c>
      <c r="B427">
        <v>481820</v>
      </c>
      <c r="C427">
        <v>0.15</v>
      </c>
      <c r="D427">
        <v>40</v>
      </c>
      <c r="E427">
        <v>64</v>
      </c>
      <c r="F427">
        <v>10</v>
      </c>
      <c r="G427">
        <v>0</v>
      </c>
      <c r="H427">
        <v>35</v>
      </c>
      <c r="I427">
        <v>1308</v>
      </c>
      <c r="J427">
        <v>0</v>
      </c>
      <c r="K427">
        <v>2.81</v>
      </c>
      <c r="L427">
        <v>8.4</v>
      </c>
      <c r="M427">
        <v>7.9</v>
      </c>
      <c r="N427">
        <v>13.200000000000001</v>
      </c>
      <c r="O427">
        <v>1703</v>
      </c>
      <c r="P427">
        <v>1314</v>
      </c>
      <c r="Q427" s="5" t="e">
        <f>IF(AND(#REF!&gt;=table!$C$6,#REF!&lt;= table!$D$6),-1,IF(AND(#REF!&gt;=table!$E$6,#REF!&lt;=table!$F$6),1,0))</f>
        <v>#REF!</v>
      </c>
      <c r="R427" s="5" t="e">
        <f>IF(AND(#REF!&gt;=table!$C$7,#REF!&lt;= table!$D$7),-1,IF(AND(#REF!&gt;=table!$E$7,#REF!&lt;=table!$F$7),1,0))</f>
        <v>#REF!</v>
      </c>
      <c r="S427" s="5" t="e">
        <f>IF(AND(#REF!&gt;=table!$C$8,#REF!&lt;= table!$D$8),-1,IF(AND(#REF!&gt;=table!$E$8,#REF!&lt;=table!$F$8),1,0))</f>
        <v>#REF!</v>
      </c>
      <c r="T427" s="5"/>
      <c r="U427" s="5" t="e">
        <f>IF(AND(#REF!&gt;=table!$C$10,#REF!&lt;= table!$D$10),-1,IF(AND(#REF!&gt;=table!$E$10,#REF!&lt;=table!$F$10),1,0))</f>
        <v>#REF!</v>
      </c>
      <c r="V427" s="5" t="e">
        <f>IF(AND(#REF!&gt;=table!$C$11,#REF!&lt;= table!$D$11),-1,IF(AND(#REF!&gt;=table!$E$11,#REF!&lt;=table!$F$11),1,0))</f>
        <v>#REF!</v>
      </c>
      <c r="W427" s="5" t="e">
        <f>CONCATENATE(dados[[#This Row],[fator1]],dados[[#This Row],[fator5]],dados[[#This Row],[fator6]])</f>
        <v>#REF!</v>
      </c>
    </row>
    <row r="428" spans="1:23">
      <c r="A428" t="s">
        <v>17</v>
      </c>
      <c r="B428">
        <v>481823</v>
      </c>
      <c r="C428">
        <v>16</v>
      </c>
      <c r="D428">
        <v>30</v>
      </c>
      <c r="E428">
        <v>126</v>
      </c>
      <c r="F428">
        <v>6</v>
      </c>
      <c r="G428">
        <v>20</v>
      </c>
      <c r="H428">
        <v>25</v>
      </c>
      <c r="I428">
        <v>123</v>
      </c>
      <c r="J428">
        <v>0</v>
      </c>
      <c r="K428">
        <v>3.1850000000000001</v>
      </c>
      <c r="L428">
        <v>14</v>
      </c>
      <c r="M428">
        <v>108.10000000000001</v>
      </c>
      <c r="N428">
        <v>14.1</v>
      </c>
      <c r="O428">
        <v>1693</v>
      </c>
      <c r="P428">
        <v>0</v>
      </c>
      <c r="Q428" s="5" t="e">
        <f>IF(AND(#REF!&gt;=table!$C$6,#REF!&lt;= table!$D$6),-1,IF(AND(#REF!&gt;=table!$E$6,#REF!&lt;=table!$F$6),1,0))</f>
        <v>#REF!</v>
      </c>
      <c r="R428" s="5" t="e">
        <f>IF(AND(#REF!&gt;=table!$C$7,#REF!&lt;= table!$D$7),-1,IF(AND(#REF!&gt;=table!$E$7,#REF!&lt;=table!$F$7),1,0))</f>
        <v>#REF!</v>
      </c>
      <c r="S428" s="5" t="e">
        <f>IF(AND(#REF!&gt;=table!$C$8,#REF!&lt;= table!$D$8),-1,IF(AND(#REF!&gt;=table!$E$8,#REF!&lt;=table!$F$8),1,0))</f>
        <v>#REF!</v>
      </c>
      <c r="T428" s="5"/>
      <c r="U428" s="5" t="e">
        <f>IF(AND(#REF!&gt;=table!$C$10,#REF!&lt;= table!$D$10),-1,IF(AND(#REF!&gt;=table!$E$10,#REF!&lt;=table!$F$10),1,0))</f>
        <v>#REF!</v>
      </c>
      <c r="V428" s="5" t="e">
        <f>IF(AND(#REF!&gt;=table!$C$11,#REF!&lt;= table!$D$11),-1,IF(AND(#REF!&gt;=table!$E$11,#REF!&lt;=table!$F$11),1,0))</f>
        <v>#REF!</v>
      </c>
      <c r="W428" s="5" t="e">
        <f>CONCATENATE(dados[[#This Row],[fator1]],dados[[#This Row],[fator5]],dados[[#This Row],[fator6]])</f>
        <v>#REF!</v>
      </c>
    </row>
    <row r="429" spans="1:23">
      <c r="A429" t="s">
        <v>17</v>
      </c>
      <c r="B429">
        <v>481826</v>
      </c>
      <c r="C429">
        <v>14</v>
      </c>
      <c r="D429">
        <v>30</v>
      </c>
      <c r="E429">
        <v>90</v>
      </c>
      <c r="F429">
        <v>9</v>
      </c>
      <c r="G429">
        <v>20</v>
      </c>
      <c r="H429">
        <v>25</v>
      </c>
      <c r="I429">
        <v>884</v>
      </c>
      <c r="J429">
        <v>0</v>
      </c>
      <c r="K429">
        <v>5.04</v>
      </c>
      <c r="L429">
        <v>11.450000000000001</v>
      </c>
      <c r="M429">
        <v>71.850000000000009</v>
      </c>
      <c r="N429">
        <v>11.55</v>
      </c>
      <c r="O429">
        <v>1665</v>
      </c>
      <c r="P429">
        <v>489</v>
      </c>
      <c r="Q429" s="5" t="e">
        <f>IF(AND(#REF!&gt;=table!$C$6,#REF!&lt;= table!$D$6),-1,IF(AND(#REF!&gt;=table!$E$6,#REF!&lt;=table!$F$6),1,0))</f>
        <v>#REF!</v>
      </c>
      <c r="R429" s="5" t="e">
        <f>IF(AND(#REF!&gt;=table!$C$7,#REF!&lt;= table!$D$7),-1,IF(AND(#REF!&gt;=table!$E$7,#REF!&lt;=table!$F$7),1,0))</f>
        <v>#REF!</v>
      </c>
      <c r="S429" s="5" t="e">
        <f>IF(AND(#REF!&gt;=table!$C$8,#REF!&lt;= table!$D$8),-1,IF(AND(#REF!&gt;=table!$E$8,#REF!&lt;=table!$F$8),1,0))</f>
        <v>#REF!</v>
      </c>
      <c r="T429" s="5"/>
      <c r="U429" s="5" t="e">
        <f>IF(AND(#REF!&gt;=table!$C$10,#REF!&lt;= table!$D$10),-1,IF(AND(#REF!&gt;=table!$E$10,#REF!&lt;=table!$F$10),1,0))</f>
        <v>#REF!</v>
      </c>
      <c r="V429" s="5" t="e">
        <f>IF(AND(#REF!&gt;=table!$C$11,#REF!&lt;= table!$D$11),-1,IF(AND(#REF!&gt;=table!$E$11,#REF!&lt;=table!$F$11),1,0))</f>
        <v>#REF!</v>
      </c>
      <c r="W429" s="5" t="e">
        <f>CONCATENATE(dados[[#This Row],[fator1]],dados[[#This Row],[fator5]],dados[[#This Row],[fator6]])</f>
        <v>#REF!</v>
      </c>
    </row>
    <row r="430" spans="1:23">
      <c r="A430" t="s">
        <v>17</v>
      </c>
      <c r="B430">
        <v>481827</v>
      </c>
      <c r="C430">
        <v>14</v>
      </c>
      <c r="D430">
        <v>30</v>
      </c>
      <c r="E430">
        <v>90</v>
      </c>
      <c r="F430">
        <v>9</v>
      </c>
      <c r="G430">
        <v>20</v>
      </c>
      <c r="H430">
        <v>25</v>
      </c>
      <c r="I430">
        <v>875</v>
      </c>
      <c r="J430">
        <v>0</v>
      </c>
      <c r="K430">
        <v>3.2600000000000002</v>
      </c>
      <c r="L430">
        <v>15.3</v>
      </c>
      <c r="M430">
        <v>69.100000000000009</v>
      </c>
      <c r="N430">
        <v>16.350000000000001</v>
      </c>
      <c r="O430">
        <v>1676</v>
      </c>
      <c r="P430">
        <v>656</v>
      </c>
      <c r="Q430" s="5" t="e">
        <f>IF(AND(#REF!&gt;=table!$C$6,#REF!&lt;= table!$D$6),-1,IF(AND(#REF!&gt;=table!$E$6,#REF!&lt;=table!$F$6),1,0))</f>
        <v>#REF!</v>
      </c>
      <c r="R430" s="5" t="e">
        <f>IF(AND(#REF!&gt;=table!$C$7,#REF!&lt;= table!$D$7),-1,IF(AND(#REF!&gt;=table!$E$7,#REF!&lt;=table!$F$7),1,0))</f>
        <v>#REF!</v>
      </c>
      <c r="S430" s="5" t="e">
        <f>IF(AND(#REF!&gt;=table!$C$8,#REF!&lt;= table!$D$8),-1,IF(AND(#REF!&gt;=table!$E$8,#REF!&lt;=table!$F$8),1,0))</f>
        <v>#REF!</v>
      </c>
      <c r="T430" s="5"/>
      <c r="U430" s="5" t="e">
        <f>IF(AND(#REF!&gt;=table!$C$10,#REF!&lt;= table!$D$10),-1,IF(AND(#REF!&gt;=table!$E$10,#REF!&lt;=table!$F$10),1,0))</f>
        <v>#REF!</v>
      </c>
      <c r="V430" s="5" t="e">
        <f>IF(AND(#REF!&gt;=table!$C$11,#REF!&lt;= table!$D$11),-1,IF(AND(#REF!&gt;=table!$E$11,#REF!&lt;=table!$F$11),1,0))</f>
        <v>#REF!</v>
      </c>
      <c r="W430" s="5" t="e">
        <f>CONCATENATE(dados[[#This Row],[fator1]],dados[[#This Row],[fator5]],dados[[#This Row],[fator6]])</f>
        <v>#REF!</v>
      </c>
    </row>
    <row r="431" spans="1:23">
      <c r="A431" t="s">
        <v>16</v>
      </c>
      <c r="B431">
        <v>481828</v>
      </c>
      <c r="C431">
        <v>0.15</v>
      </c>
      <c r="D431">
        <v>40</v>
      </c>
      <c r="E431">
        <v>64</v>
      </c>
      <c r="F431">
        <v>10</v>
      </c>
      <c r="G431">
        <v>0</v>
      </c>
      <c r="H431">
        <v>35</v>
      </c>
      <c r="I431">
        <v>1154</v>
      </c>
      <c r="J431">
        <v>0</v>
      </c>
      <c r="K431">
        <v>2.4900000000000002</v>
      </c>
      <c r="L431">
        <v>10.3</v>
      </c>
      <c r="M431">
        <v>9.6050000000000004</v>
      </c>
      <c r="N431">
        <v>17.080000000000002</v>
      </c>
      <c r="O431">
        <v>1670</v>
      </c>
      <c r="P431">
        <v>929</v>
      </c>
      <c r="Q431" s="5" t="e">
        <f>IF(AND(#REF!&gt;=table!$C$6,#REF!&lt;= table!$D$6),-1,IF(AND(#REF!&gt;=table!$E$6,#REF!&lt;=table!$F$6),1,0))</f>
        <v>#REF!</v>
      </c>
      <c r="R431" s="5" t="e">
        <f>IF(AND(#REF!&gt;=table!$C$7,#REF!&lt;= table!$D$7),-1,IF(AND(#REF!&gt;=table!$E$7,#REF!&lt;=table!$F$7),1,0))</f>
        <v>#REF!</v>
      </c>
      <c r="S431" s="5" t="e">
        <f>IF(AND(#REF!&gt;=table!$C$8,#REF!&lt;= table!$D$8),-1,IF(AND(#REF!&gt;=table!$E$8,#REF!&lt;=table!$F$8),1,0))</f>
        <v>#REF!</v>
      </c>
      <c r="T431" s="5"/>
      <c r="U431" s="5" t="e">
        <f>IF(AND(#REF!&gt;=table!$C$10,#REF!&lt;= table!$D$10),-1,IF(AND(#REF!&gt;=table!$E$10,#REF!&lt;=table!$F$10),1,0))</f>
        <v>#REF!</v>
      </c>
      <c r="V431" s="5" t="e">
        <f>IF(AND(#REF!&gt;=table!$C$11,#REF!&lt;= table!$D$11),-1,IF(AND(#REF!&gt;=table!$E$11,#REF!&lt;=table!$F$11),1,0))</f>
        <v>#REF!</v>
      </c>
      <c r="W431" s="5" t="e">
        <f>CONCATENATE(dados[[#This Row],[fator1]],dados[[#This Row],[fator5]],dados[[#This Row],[fator6]])</f>
        <v>#REF!</v>
      </c>
    </row>
    <row r="432" spans="1:23">
      <c r="A432" t="s">
        <v>16</v>
      </c>
      <c r="B432">
        <v>481829</v>
      </c>
      <c r="C432">
        <v>0.15</v>
      </c>
      <c r="D432">
        <v>40</v>
      </c>
      <c r="E432">
        <v>64</v>
      </c>
      <c r="F432">
        <v>10</v>
      </c>
      <c r="G432">
        <v>0</v>
      </c>
      <c r="H432">
        <v>35</v>
      </c>
      <c r="I432">
        <v>770</v>
      </c>
      <c r="J432">
        <v>0</v>
      </c>
      <c r="K432">
        <v>2.4870000000000001</v>
      </c>
      <c r="L432">
        <v>12.3</v>
      </c>
      <c r="M432">
        <v>9.3350000000000009</v>
      </c>
      <c r="N432">
        <v>17.914999999999999</v>
      </c>
      <c r="O432">
        <v>1665</v>
      </c>
      <c r="P432">
        <v>0</v>
      </c>
      <c r="Q432" s="5" t="e">
        <f>IF(AND(#REF!&gt;=table!$C$6,#REF!&lt;= table!$D$6),-1,IF(AND(#REF!&gt;=table!$E$6,#REF!&lt;=table!$F$6),1,0))</f>
        <v>#REF!</v>
      </c>
      <c r="R432" s="5" t="e">
        <f>IF(AND(#REF!&gt;=table!$C$7,#REF!&lt;= table!$D$7),-1,IF(AND(#REF!&gt;=table!$E$7,#REF!&lt;=table!$F$7),1,0))</f>
        <v>#REF!</v>
      </c>
      <c r="S432" s="5" t="e">
        <f>IF(AND(#REF!&gt;=table!$C$8,#REF!&lt;= table!$D$8),-1,IF(AND(#REF!&gt;=table!$E$8,#REF!&lt;=table!$F$8),1,0))</f>
        <v>#REF!</v>
      </c>
      <c r="T432" s="5"/>
      <c r="U432" s="5" t="e">
        <f>IF(AND(#REF!&gt;=table!$C$10,#REF!&lt;= table!$D$10),-1,IF(AND(#REF!&gt;=table!$E$10,#REF!&lt;=table!$F$10),1,0))</f>
        <v>#REF!</v>
      </c>
      <c r="V432" s="5" t="e">
        <f>IF(AND(#REF!&gt;=table!$C$11,#REF!&lt;= table!$D$11),-1,IF(AND(#REF!&gt;=table!$E$11,#REF!&lt;=table!$F$11),1,0))</f>
        <v>#REF!</v>
      </c>
      <c r="W432" s="5" t="e">
        <f>CONCATENATE(dados[[#This Row],[fator1]],dados[[#This Row],[fator5]],dados[[#This Row],[fator6]])</f>
        <v>#REF!</v>
      </c>
    </row>
    <row r="433" spans="1:23">
      <c r="A433" t="s">
        <v>16</v>
      </c>
      <c r="B433">
        <v>481834</v>
      </c>
      <c r="C433">
        <v>0.15</v>
      </c>
      <c r="D433">
        <v>40</v>
      </c>
      <c r="E433">
        <v>10</v>
      </c>
      <c r="F433">
        <v>15</v>
      </c>
      <c r="G433">
        <v>0</v>
      </c>
      <c r="H433">
        <v>15</v>
      </c>
      <c r="I433">
        <v>1320</v>
      </c>
      <c r="J433">
        <v>0</v>
      </c>
      <c r="K433">
        <v>3.63</v>
      </c>
      <c r="L433">
        <v>7.45</v>
      </c>
      <c r="M433">
        <v>7.15</v>
      </c>
      <c r="N433">
        <v>7.05</v>
      </c>
      <c r="O433">
        <v>1662</v>
      </c>
      <c r="P433">
        <v>0</v>
      </c>
      <c r="Q433" s="5" t="e">
        <f>IF(AND(#REF!&gt;=table!$C$6,#REF!&lt;= table!$D$6),-1,IF(AND(#REF!&gt;=table!$E$6,#REF!&lt;=table!$F$6),1,0))</f>
        <v>#REF!</v>
      </c>
      <c r="R433" s="5" t="e">
        <f>IF(AND(#REF!&gt;=table!$C$7,#REF!&lt;= table!$D$7),-1,IF(AND(#REF!&gt;=table!$E$7,#REF!&lt;=table!$F$7),1,0))</f>
        <v>#REF!</v>
      </c>
      <c r="S433" s="5" t="e">
        <f>IF(AND(#REF!&gt;=table!$C$8,#REF!&lt;= table!$D$8),-1,IF(AND(#REF!&gt;=table!$E$8,#REF!&lt;=table!$F$8),1,0))</f>
        <v>#REF!</v>
      </c>
      <c r="T433" s="5"/>
      <c r="U433" s="5" t="e">
        <f>IF(AND(#REF!&gt;=table!$C$10,#REF!&lt;= table!$D$10),-1,IF(AND(#REF!&gt;=table!$E$10,#REF!&lt;=table!$F$10),1,0))</f>
        <v>#REF!</v>
      </c>
      <c r="V433" s="5" t="e">
        <f>IF(AND(#REF!&gt;=table!$C$11,#REF!&lt;= table!$D$11),-1,IF(AND(#REF!&gt;=table!$E$11,#REF!&lt;=table!$F$11),1,0))</f>
        <v>#REF!</v>
      </c>
      <c r="W433" s="5" t="e">
        <f>CONCATENATE(dados[[#This Row],[fator1]],dados[[#This Row],[fator5]],dados[[#This Row],[fator6]])</f>
        <v>#REF!</v>
      </c>
    </row>
    <row r="434" spans="1:23">
      <c r="A434" t="s">
        <v>16</v>
      </c>
      <c r="B434">
        <v>481842</v>
      </c>
      <c r="C434">
        <v>8</v>
      </c>
      <c r="D434">
        <v>27</v>
      </c>
      <c r="E434">
        <v>86</v>
      </c>
      <c r="F434">
        <v>9</v>
      </c>
      <c r="G434">
        <v>0</v>
      </c>
      <c r="H434">
        <v>25</v>
      </c>
      <c r="I434">
        <v>65</v>
      </c>
      <c r="J434">
        <v>0</v>
      </c>
      <c r="K434">
        <v>7.88</v>
      </c>
      <c r="L434">
        <v>14.8</v>
      </c>
      <c r="M434">
        <v>70.350000000000009</v>
      </c>
      <c r="N434">
        <v>16.085000000000001</v>
      </c>
      <c r="O434">
        <v>1656</v>
      </c>
      <c r="P434">
        <v>0</v>
      </c>
      <c r="Q434" s="5" t="e">
        <f>IF(AND(#REF!&gt;=table!$C$6,#REF!&lt;= table!$D$6),-1,IF(AND(#REF!&gt;=table!$E$6,#REF!&lt;=table!$F$6),1,0))</f>
        <v>#REF!</v>
      </c>
      <c r="R434" s="5" t="e">
        <f>IF(AND(#REF!&gt;=table!$C$7,#REF!&lt;= table!$D$7),-1,IF(AND(#REF!&gt;=table!$E$7,#REF!&lt;=table!$F$7),1,0))</f>
        <v>#REF!</v>
      </c>
      <c r="S434" s="5" t="e">
        <f>IF(AND(#REF!&gt;=table!$C$8,#REF!&lt;= table!$D$8),-1,IF(AND(#REF!&gt;=table!$E$8,#REF!&lt;=table!$F$8),1,0))</f>
        <v>#REF!</v>
      </c>
      <c r="T434" s="5"/>
      <c r="U434" s="5" t="e">
        <f>IF(AND(#REF!&gt;=table!$C$10,#REF!&lt;= table!$D$10),-1,IF(AND(#REF!&gt;=table!$E$10,#REF!&lt;=table!$F$10),1,0))</f>
        <v>#REF!</v>
      </c>
      <c r="V434" s="5" t="e">
        <f>IF(AND(#REF!&gt;=table!$C$11,#REF!&lt;= table!$D$11),-1,IF(AND(#REF!&gt;=table!$E$11,#REF!&lt;=table!$F$11),1,0))</f>
        <v>#REF!</v>
      </c>
      <c r="W434" s="5" t="e">
        <f>CONCATENATE(dados[[#This Row],[fator1]],dados[[#This Row],[fator5]],dados[[#This Row],[fator6]])</f>
        <v>#REF!</v>
      </c>
    </row>
    <row r="435" spans="1:23">
      <c r="A435" t="s">
        <v>17</v>
      </c>
      <c r="B435">
        <v>481856</v>
      </c>
      <c r="C435">
        <v>8</v>
      </c>
      <c r="D435">
        <v>25</v>
      </c>
      <c r="E435">
        <v>136</v>
      </c>
      <c r="F435">
        <v>6</v>
      </c>
      <c r="G435">
        <v>8</v>
      </c>
      <c r="H435">
        <v>25</v>
      </c>
      <c r="I435">
        <v>610</v>
      </c>
      <c r="J435">
        <v>0</v>
      </c>
      <c r="K435">
        <v>4.97</v>
      </c>
      <c r="L435">
        <v>10.4</v>
      </c>
      <c r="M435">
        <v>96.625</v>
      </c>
      <c r="N435">
        <v>10.32</v>
      </c>
      <c r="O435">
        <v>1668</v>
      </c>
      <c r="P435">
        <v>0</v>
      </c>
      <c r="Q435" s="5" t="e">
        <f>IF(AND(#REF!&gt;=table!$C$6,#REF!&lt;= table!$D$6),-1,IF(AND(#REF!&gt;=table!$E$6,#REF!&lt;=table!$F$6),1,0))</f>
        <v>#REF!</v>
      </c>
      <c r="R435" s="5" t="e">
        <f>IF(AND(#REF!&gt;=table!$C$7,#REF!&lt;= table!$D$7),-1,IF(AND(#REF!&gt;=table!$E$7,#REF!&lt;=table!$F$7),1,0))</f>
        <v>#REF!</v>
      </c>
      <c r="S435" s="5" t="e">
        <f>IF(AND(#REF!&gt;=table!$C$8,#REF!&lt;= table!$D$8),-1,IF(AND(#REF!&gt;=table!$E$8,#REF!&lt;=table!$F$8),1,0))</f>
        <v>#REF!</v>
      </c>
      <c r="T435" s="5"/>
      <c r="U435" s="5" t="e">
        <f>IF(AND(#REF!&gt;=table!$C$10,#REF!&lt;= table!$D$10),-1,IF(AND(#REF!&gt;=table!$E$10,#REF!&lt;=table!$F$10),1,0))</f>
        <v>#REF!</v>
      </c>
      <c r="V435" s="5" t="e">
        <f>IF(AND(#REF!&gt;=table!$C$11,#REF!&lt;= table!$D$11),-1,IF(AND(#REF!&gt;=table!$E$11,#REF!&lt;=table!$F$11),1,0))</f>
        <v>#REF!</v>
      </c>
      <c r="W435" s="5" t="e">
        <f>CONCATENATE(dados[[#This Row],[fator1]],dados[[#This Row],[fator5]],dados[[#This Row],[fator6]])</f>
        <v>#REF!</v>
      </c>
    </row>
    <row r="436" spans="1:23">
      <c r="A436" t="s">
        <v>16</v>
      </c>
      <c r="B436">
        <v>481863</v>
      </c>
      <c r="C436">
        <v>16</v>
      </c>
      <c r="D436">
        <v>35</v>
      </c>
      <c r="E436">
        <v>56</v>
      </c>
      <c r="F436">
        <v>10</v>
      </c>
      <c r="G436">
        <v>0</v>
      </c>
      <c r="H436">
        <v>25</v>
      </c>
      <c r="I436">
        <v>69</v>
      </c>
      <c r="J436">
        <v>0</v>
      </c>
      <c r="K436">
        <v>15.290000000000001</v>
      </c>
      <c r="L436">
        <v>20.2</v>
      </c>
      <c r="M436">
        <v>54.9</v>
      </c>
      <c r="N436">
        <v>19.7</v>
      </c>
      <c r="O436">
        <v>1671</v>
      </c>
      <c r="P436">
        <v>0</v>
      </c>
      <c r="Q436" s="5" t="e">
        <f>IF(AND(#REF!&gt;=table!$C$6,#REF!&lt;= table!$D$6),-1,IF(AND(#REF!&gt;=table!$E$6,#REF!&lt;=table!$F$6),1,0))</f>
        <v>#REF!</v>
      </c>
      <c r="R436" s="5" t="e">
        <f>IF(AND(#REF!&gt;=table!$C$7,#REF!&lt;= table!$D$7),-1,IF(AND(#REF!&gt;=table!$E$7,#REF!&lt;=table!$F$7),1,0))</f>
        <v>#REF!</v>
      </c>
      <c r="S436" s="5" t="e">
        <f>IF(AND(#REF!&gt;=table!$C$8,#REF!&lt;= table!$D$8),-1,IF(AND(#REF!&gt;=table!$E$8,#REF!&lt;=table!$F$8),1,0))</f>
        <v>#REF!</v>
      </c>
      <c r="T436" s="5"/>
      <c r="U436" s="5" t="e">
        <f>IF(AND(#REF!&gt;=table!$C$10,#REF!&lt;= table!$D$10),-1,IF(AND(#REF!&gt;=table!$E$10,#REF!&lt;=table!$F$10),1,0))</f>
        <v>#REF!</v>
      </c>
      <c r="V436" s="5" t="e">
        <f>IF(AND(#REF!&gt;=table!$C$11,#REF!&lt;= table!$D$11),-1,IF(AND(#REF!&gt;=table!$E$11,#REF!&lt;=table!$F$11),1,0))</f>
        <v>#REF!</v>
      </c>
      <c r="W436" s="5" t="e">
        <f>CONCATENATE(dados[[#This Row],[fator1]],dados[[#This Row],[fator5]],dados[[#This Row],[fator6]])</f>
        <v>#REF!</v>
      </c>
    </row>
    <row r="437" spans="1:23">
      <c r="A437" t="s">
        <v>16</v>
      </c>
      <c r="B437">
        <v>481865</v>
      </c>
      <c r="C437">
        <v>16</v>
      </c>
      <c r="D437">
        <v>35</v>
      </c>
      <c r="E437">
        <v>56</v>
      </c>
      <c r="F437">
        <v>10</v>
      </c>
      <c r="G437">
        <v>0</v>
      </c>
      <c r="H437">
        <v>25</v>
      </c>
      <c r="I437">
        <v>68</v>
      </c>
      <c r="J437">
        <v>0</v>
      </c>
      <c r="K437">
        <v>12.040000000000001</v>
      </c>
      <c r="L437">
        <v>17.13</v>
      </c>
      <c r="M437">
        <v>50.135000000000005</v>
      </c>
      <c r="N437">
        <v>13.72</v>
      </c>
      <c r="O437">
        <v>1673</v>
      </c>
      <c r="P437">
        <v>315</v>
      </c>
      <c r="Q437" s="5" t="e">
        <f>IF(AND(#REF!&gt;=table!$C$6,#REF!&lt;= table!$D$6),-1,IF(AND(#REF!&gt;=table!$E$6,#REF!&lt;=table!$F$6),1,0))</f>
        <v>#REF!</v>
      </c>
      <c r="R437" s="5" t="e">
        <f>IF(AND(#REF!&gt;=table!$C$7,#REF!&lt;= table!$D$7),-1,IF(AND(#REF!&gt;=table!$E$7,#REF!&lt;=table!$F$7),1,0))</f>
        <v>#REF!</v>
      </c>
      <c r="S437" s="5" t="e">
        <f>IF(AND(#REF!&gt;=table!$C$8,#REF!&lt;= table!$D$8),-1,IF(AND(#REF!&gt;=table!$E$8,#REF!&lt;=table!$F$8),1,0))</f>
        <v>#REF!</v>
      </c>
      <c r="T437" s="5"/>
      <c r="U437" s="5" t="e">
        <f>IF(AND(#REF!&gt;=table!$C$10,#REF!&lt;= table!$D$10),-1,IF(AND(#REF!&gt;=table!$E$10,#REF!&lt;=table!$F$10),1,0))</f>
        <v>#REF!</v>
      </c>
      <c r="V437" s="5" t="e">
        <f>IF(AND(#REF!&gt;=table!$C$11,#REF!&lt;= table!$D$11),-1,IF(AND(#REF!&gt;=table!$E$11,#REF!&lt;=table!$F$11),1,0))</f>
        <v>#REF!</v>
      </c>
      <c r="W437" s="5" t="e">
        <f>CONCATENATE(dados[[#This Row],[fator1]],dados[[#This Row],[fator5]],dados[[#This Row],[fator6]])</f>
        <v>#REF!</v>
      </c>
    </row>
    <row r="438" spans="1:23">
      <c r="A438" t="s">
        <v>17</v>
      </c>
      <c r="B438">
        <v>481867</v>
      </c>
      <c r="C438">
        <v>14</v>
      </c>
      <c r="D438">
        <v>30</v>
      </c>
      <c r="E438">
        <v>110</v>
      </c>
      <c r="F438">
        <v>3</v>
      </c>
      <c r="G438">
        <v>20</v>
      </c>
      <c r="H438">
        <v>22</v>
      </c>
      <c r="I438">
        <v>3</v>
      </c>
      <c r="J438">
        <v>0</v>
      </c>
      <c r="K438">
        <v>7.9550000000000001</v>
      </c>
      <c r="L438">
        <v>16.55</v>
      </c>
      <c r="M438">
        <v>95.95</v>
      </c>
      <c r="N438">
        <v>16.75</v>
      </c>
      <c r="O438">
        <v>1682</v>
      </c>
      <c r="P438">
        <v>487</v>
      </c>
      <c r="Q438" s="5" t="e">
        <f>IF(AND(#REF!&gt;=table!$C$6,#REF!&lt;= table!$D$6),-1,IF(AND(#REF!&gt;=table!$E$6,#REF!&lt;=table!$F$6),1,0))</f>
        <v>#REF!</v>
      </c>
      <c r="R438" s="5" t="e">
        <f>IF(AND(#REF!&gt;=table!$C$7,#REF!&lt;= table!$D$7),-1,IF(AND(#REF!&gt;=table!$E$7,#REF!&lt;=table!$F$7),1,0))</f>
        <v>#REF!</v>
      </c>
      <c r="S438" s="5" t="e">
        <f>IF(AND(#REF!&gt;=table!$C$8,#REF!&lt;= table!$D$8),-1,IF(AND(#REF!&gt;=table!$E$8,#REF!&lt;=table!$F$8),1,0))</f>
        <v>#REF!</v>
      </c>
      <c r="T438" s="5"/>
      <c r="U438" s="5" t="e">
        <f>IF(AND(#REF!&gt;=table!$C$10,#REF!&lt;= table!$D$10),-1,IF(AND(#REF!&gt;=table!$E$10,#REF!&lt;=table!$F$10),1,0))</f>
        <v>#REF!</v>
      </c>
      <c r="V438" s="5" t="e">
        <f>IF(AND(#REF!&gt;=table!$C$11,#REF!&lt;= table!$D$11),-1,IF(AND(#REF!&gt;=table!$E$11,#REF!&lt;=table!$F$11),1,0))</f>
        <v>#REF!</v>
      </c>
      <c r="W438" s="5" t="e">
        <f>CONCATENATE(dados[[#This Row],[fator1]],dados[[#This Row],[fator5]],dados[[#This Row],[fator6]])</f>
        <v>#REF!</v>
      </c>
    </row>
    <row r="439" spans="1:23">
      <c r="A439" t="s">
        <v>17</v>
      </c>
      <c r="B439">
        <v>481870</v>
      </c>
      <c r="C439">
        <v>16</v>
      </c>
      <c r="D439">
        <v>30</v>
      </c>
      <c r="E439">
        <v>140</v>
      </c>
      <c r="F439">
        <v>9</v>
      </c>
      <c r="G439">
        <v>20</v>
      </c>
      <c r="H439">
        <v>25</v>
      </c>
      <c r="I439">
        <v>506</v>
      </c>
      <c r="J439">
        <v>0</v>
      </c>
      <c r="K439">
        <v>3.34</v>
      </c>
      <c r="L439">
        <v>11.3</v>
      </c>
      <c r="M439">
        <v>74.09</v>
      </c>
      <c r="N439">
        <v>10.715</v>
      </c>
      <c r="O439">
        <v>1682</v>
      </c>
      <c r="P439">
        <v>1190</v>
      </c>
      <c r="Q439" s="5" t="e">
        <f>IF(AND(#REF!&gt;=table!$C$6,#REF!&lt;= table!$D$6),-1,IF(AND(#REF!&gt;=table!$E$6,#REF!&lt;=table!$F$6),1,0))</f>
        <v>#REF!</v>
      </c>
      <c r="R439" s="5" t="e">
        <f>IF(AND(#REF!&gt;=table!$C$7,#REF!&lt;= table!$D$7),-1,IF(AND(#REF!&gt;=table!$E$7,#REF!&lt;=table!$F$7),1,0))</f>
        <v>#REF!</v>
      </c>
      <c r="S439" s="5" t="e">
        <f>IF(AND(#REF!&gt;=table!$C$8,#REF!&lt;= table!$D$8),-1,IF(AND(#REF!&gt;=table!$E$8,#REF!&lt;=table!$F$8),1,0))</f>
        <v>#REF!</v>
      </c>
      <c r="T439" s="5"/>
      <c r="U439" s="5" t="e">
        <f>IF(AND(#REF!&gt;=table!$C$10,#REF!&lt;= table!$D$10),-1,IF(AND(#REF!&gt;=table!$E$10,#REF!&lt;=table!$F$10),1,0))</f>
        <v>#REF!</v>
      </c>
      <c r="V439" s="5" t="e">
        <f>IF(AND(#REF!&gt;=table!$C$11,#REF!&lt;= table!$D$11),-1,IF(AND(#REF!&gt;=table!$E$11,#REF!&lt;=table!$F$11),1,0))</f>
        <v>#REF!</v>
      </c>
      <c r="W439" s="5" t="e">
        <f>CONCATENATE(dados[[#This Row],[fator1]],dados[[#This Row],[fator5]],dados[[#This Row],[fator6]])</f>
        <v>#REF!</v>
      </c>
    </row>
    <row r="440" spans="1:23">
      <c r="A440" t="s">
        <v>17</v>
      </c>
      <c r="B440">
        <v>481871</v>
      </c>
      <c r="C440">
        <v>9</v>
      </c>
      <c r="D440">
        <v>30</v>
      </c>
      <c r="E440">
        <v>160</v>
      </c>
      <c r="F440">
        <v>3</v>
      </c>
      <c r="G440">
        <v>30</v>
      </c>
      <c r="H440">
        <v>18</v>
      </c>
      <c r="I440">
        <v>842</v>
      </c>
      <c r="J440">
        <v>700</v>
      </c>
      <c r="K440">
        <v>3.56</v>
      </c>
      <c r="L440">
        <v>7.7</v>
      </c>
      <c r="M440">
        <v>153.4</v>
      </c>
      <c r="N440">
        <v>8.8000000000000007</v>
      </c>
      <c r="O440">
        <v>1673</v>
      </c>
      <c r="P440">
        <v>723</v>
      </c>
      <c r="Q440" s="5" t="e">
        <f>IF(AND(#REF!&gt;=table!$C$6,#REF!&lt;= table!$D$6),-1,IF(AND(#REF!&gt;=table!$E$6,#REF!&lt;=table!$F$6),1,0))</f>
        <v>#REF!</v>
      </c>
      <c r="R440" s="5" t="e">
        <f>IF(AND(#REF!&gt;=table!$C$7,#REF!&lt;= table!$D$7),-1,IF(AND(#REF!&gt;=table!$E$7,#REF!&lt;=table!$F$7),1,0))</f>
        <v>#REF!</v>
      </c>
      <c r="S440" s="5" t="e">
        <f>IF(AND(#REF!&gt;=table!$C$8,#REF!&lt;= table!$D$8),-1,IF(AND(#REF!&gt;=table!$E$8,#REF!&lt;=table!$F$8),1,0))</f>
        <v>#REF!</v>
      </c>
      <c r="T440" s="5"/>
      <c r="U440" s="5" t="e">
        <f>IF(AND(#REF!&gt;=table!$C$10,#REF!&lt;= table!$D$10),-1,IF(AND(#REF!&gt;=table!$E$10,#REF!&lt;=table!$F$10),1,0))</f>
        <v>#REF!</v>
      </c>
      <c r="V440" s="5" t="e">
        <f>IF(AND(#REF!&gt;=table!$C$11,#REF!&lt;= table!$D$11),-1,IF(AND(#REF!&gt;=table!$E$11,#REF!&lt;=table!$F$11),1,0))</f>
        <v>#REF!</v>
      </c>
      <c r="W440" s="5" t="e">
        <f>CONCATENATE(dados[[#This Row],[fator1]],dados[[#This Row],[fator5]],dados[[#This Row],[fator6]])</f>
        <v>#REF!</v>
      </c>
    </row>
    <row r="441" spans="1:23">
      <c r="A441" t="s">
        <v>17</v>
      </c>
      <c r="B441">
        <v>481874</v>
      </c>
      <c r="C441">
        <v>9</v>
      </c>
      <c r="D441">
        <v>30</v>
      </c>
      <c r="E441">
        <v>160</v>
      </c>
      <c r="F441">
        <v>3</v>
      </c>
      <c r="G441">
        <v>30</v>
      </c>
      <c r="H441">
        <v>18</v>
      </c>
      <c r="I441">
        <v>342</v>
      </c>
      <c r="J441">
        <v>570</v>
      </c>
      <c r="K441">
        <v>4.72</v>
      </c>
      <c r="L441">
        <v>14.5</v>
      </c>
      <c r="M441">
        <v>140.93</v>
      </c>
      <c r="N441">
        <v>12.27</v>
      </c>
      <c r="O441">
        <v>1661</v>
      </c>
      <c r="P441">
        <v>0</v>
      </c>
      <c r="Q441" s="5" t="e">
        <f>IF(AND(#REF!&gt;=table!$C$6,#REF!&lt;= table!$D$6),-1,IF(AND(#REF!&gt;=table!$E$6,#REF!&lt;=table!$F$6),1,0))</f>
        <v>#REF!</v>
      </c>
      <c r="R441" s="5" t="e">
        <f>IF(AND(#REF!&gt;=table!$C$7,#REF!&lt;= table!$D$7),-1,IF(AND(#REF!&gt;=table!$E$7,#REF!&lt;=table!$F$7),1,0))</f>
        <v>#REF!</v>
      </c>
      <c r="S441" s="5" t="e">
        <f>IF(AND(#REF!&gt;=table!$C$8,#REF!&lt;= table!$D$8),-1,IF(AND(#REF!&gt;=table!$E$8,#REF!&lt;=table!$F$8),1,0))</f>
        <v>#REF!</v>
      </c>
      <c r="T441" s="5"/>
      <c r="U441" s="5" t="e">
        <f>IF(AND(#REF!&gt;=table!$C$10,#REF!&lt;= table!$D$10),-1,IF(AND(#REF!&gt;=table!$E$10,#REF!&lt;=table!$F$10),1,0))</f>
        <v>#REF!</v>
      </c>
      <c r="V441" s="5" t="e">
        <f>IF(AND(#REF!&gt;=table!$C$11,#REF!&lt;= table!$D$11),-1,IF(AND(#REF!&gt;=table!$E$11,#REF!&lt;=table!$F$11),1,0))</f>
        <v>#REF!</v>
      </c>
      <c r="W441" s="5" t="e">
        <f>CONCATENATE(dados[[#This Row],[fator1]],dados[[#This Row],[fator5]],dados[[#This Row],[fator6]])</f>
        <v>#REF!</v>
      </c>
    </row>
    <row r="442" spans="1:23">
      <c r="A442" t="s">
        <v>17</v>
      </c>
      <c r="B442">
        <v>481875</v>
      </c>
      <c r="C442">
        <v>9</v>
      </c>
      <c r="D442">
        <v>30</v>
      </c>
      <c r="E442">
        <v>160</v>
      </c>
      <c r="F442">
        <v>3</v>
      </c>
      <c r="G442">
        <v>30</v>
      </c>
      <c r="H442">
        <v>18</v>
      </c>
      <c r="I442">
        <v>75</v>
      </c>
      <c r="J442">
        <v>0</v>
      </c>
      <c r="K442">
        <v>6.22</v>
      </c>
      <c r="L442">
        <v>9.23</v>
      </c>
      <c r="M442">
        <v>147.35</v>
      </c>
      <c r="N442">
        <v>15.8</v>
      </c>
      <c r="O442">
        <v>1666</v>
      </c>
      <c r="P442">
        <v>0</v>
      </c>
      <c r="Q442" s="5" t="e">
        <f>IF(AND(#REF!&gt;=table!$C$6,#REF!&lt;= table!$D$6),-1,IF(AND(#REF!&gt;=table!$E$6,#REF!&lt;=table!$F$6),1,0))</f>
        <v>#REF!</v>
      </c>
      <c r="R442" s="5" t="e">
        <f>IF(AND(#REF!&gt;=table!$C$7,#REF!&lt;= table!$D$7),-1,IF(AND(#REF!&gt;=table!$E$7,#REF!&lt;=table!$F$7),1,0))</f>
        <v>#REF!</v>
      </c>
      <c r="S442" s="5" t="e">
        <f>IF(AND(#REF!&gt;=table!$C$8,#REF!&lt;= table!$D$8),-1,IF(AND(#REF!&gt;=table!$E$8,#REF!&lt;=table!$F$8),1,0))</f>
        <v>#REF!</v>
      </c>
      <c r="T442" s="5"/>
      <c r="U442" s="5" t="e">
        <f>IF(AND(#REF!&gt;=table!$C$10,#REF!&lt;= table!$D$10),-1,IF(AND(#REF!&gt;=table!$E$10,#REF!&lt;=table!$F$10),1,0))</f>
        <v>#REF!</v>
      </c>
      <c r="V442" s="5" t="e">
        <f>IF(AND(#REF!&gt;=table!$C$11,#REF!&lt;= table!$D$11),-1,IF(AND(#REF!&gt;=table!$E$11,#REF!&lt;=table!$F$11),1,0))</f>
        <v>#REF!</v>
      </c>
      <c r="W442" s="5" t="e">
        <f>CONCATENATE(dados[[#This Row],[fator1]],dados[[#This Row],[fator5]],dados[[#This Row],[fator6]])</f>
        <v>#REF!</v>
      </c>
    </row>
    <row r="443" spans="1:23">
      <c r="A443" t="s">
        <v>17</v>
      </c>
      <c r="B443">
        <v>481879</v>
      </c>
      <c r="C443">
        <v>14</v>
      </c>
      <c r="D443">
        <v>25</v>
      </c>
      <c r="E443">
        <v>130</v>
      </c>
      <c r="F443">
        <v>9</v>
      </c>
      <c r="G443">
        <v>110</v>
      </c>
      <c r="H443">
        <v>50</v>
      </c>
      <c r="I443">
        <v>272</v>
      </c>
      <c r="J443">
        <v>0</v>
      </c>
      <c r="K443">
        <v>15.370000000000001</v>
      </c>
      <c r="L443">
        <v>24.7</v>
      </c>
      <c r="M443">
        <v>122.7</v>
      </c>
      <c r="N443">
        <v>37.65</v>
      </c>
      <c r="O443">
        <v>1668</v>
      </c>
      <c r="P443">
        <v>0</v>
      </c>
      <c r="Q443" s="5" t="e">
        <f>IF(AND(#REF!&gt;=table!$C$6,#REF!&lt;= table!$D$6),-1,IF(AND(#REF!&gt;=table!$E$6,#REF!&lt;=table!$F$6),1,0))</f>
        <v>#REF!</v>
      </c>
      <c r="R443" s="5" t="e">
        <f>IF(AND(#REF!&gt;=table!$C$7,#REF!&lt;= table!$D$7),-1,IF(AND(#REF!&gt;=table!$E$7,#REF!&lt;=table!$F$7),1,0))</f>
        <v>#REF!</v>
      </c>
      <c r="S443" s="5" t="e">
        <f>IF(AND(#REF!&gt;=table!$C$8,#REF!&lt;= table!$D$8),-1,IF(AND(#REF!&gt;=table!$E$8,#REF!&lt;=table!$F$8),1,0))</f>
        <v>#REF!</v>
      </c>
      <c r="T443" s="5"/>
      <c r="U443" s="5" t="e">
        <f>IF(AND(#REF!&gt;=table!$C$10,#REF!&lt;= table!$D$10),-1,IF(AND(#REF!&gt;=table!$E$10,#REF!&lt;=table!$F$10),1,0))</f>
        <v>#REF!</v>
      </c>
      <c r="V443" s="5" t="e">
        <f>IF(AND(#REF!&gt;=table!$C$11,#REF!&lt;= table!$D$11),-1,IF(AND(#REF!&gt;=table!$E$11,#REF!&lt;=table!$F$11),1,0))</f>
        <v>#REF!</v>
      </c>
      <c r="W443" s="5" t="e">
        <f>CONCATENATE(dados[[#This Row],[fator1]],dados[[#This Row],[fator5]],dados[[#This Row],[fator6]])</f>
        <v>#REF!</v>
      </c>
    </row>
    <row r="444" spans="1:23">
      <c r="A444" t="s">
        <v>17</v>
      </c>
      <c r="B444">
        <v>481882</v>
      </c>
      <c r="C444">
        <v>16</v>
      </c>
      <c r="D444">
        <v>23</v>
      </c>
      <c r="E444">
        <v>145</v>
      </c>
      <c r="F444">
        <v>9</v>
      </c>
      <c r="G444">
        <v>30</v>
      </c>
      <c r="H444">
        <v>25</v>
      </c>
      <c r="I444">
        <v>1191</v>
      </c>
      <c r="J444">
        <v>0</v>
      </c>
      <c r="K444">
        <v>3.5250000000000004</v>
      </c>
      <c r="L444">
        <v>6.15</v>
      </c>
      <c r="M444">
        <v>115.3</v>
      </c>
      <c r="N444">
        <v>12.4</v>
      </c>
      <c r="O444">
        <v>1676</v>
      </c>
      <c r="P444">
        <v>0</v>
      </c>
      <c r="Q444" s="5" t="e">
        <f>IF(AND(#REF!&gt;=table!$C$6,#REF!&lt;= table!$D$6),-1,IF(AND(#REF!&gt;=table!$E$6,#REF!&lt;=table!$F$6),1,0))</f>
        <v>#REF!</v>
      </c>
      <c r="R444" s="5" t="e">
        <f>IF(AND(#REF!&gt;=table!$C$7,#REF!&lt;= table!$D$7),-1,IF(AND(#REF!&gt;=table!$E$7,#REF!&lt;=table!$F$7),1,0))</f>
        <v>#REF!</v>
      </c>
      <c r="S444" s="5" t="e">
        <f>IF(AND(#REF!&gt;=table!$C$8,#REF!&lt;= table!$D$8),-1,IF(AND(#REF!&gt;=table!$E$8,#REF!&lt;=table!$F$8),1,0))</f>
        <v>#REF!</v>
      </c>
      <c r="T444" s="5"/>
      <c r="U444" s="5" t="e">
        <f>IF(AND(#REF!&gt;=table!$C$10,#REF!&lt;= table!$D$10),-1,IF(AND(#REF!&gt;=table!$E$10,#REF!&lt;=table!$F$10),1,0))</f>
        <v>#REF!</v>
      </c>
      <c r="V444" s="5" t="e">
        <f>IF(AND(#REF!&gt;=table!$C$11,#REF!&lt;= table!$D$11),-1,IF(AND(#REF!&gt;=table!$E$11,#REF!&lt;=table!$F$11),1,0))</f>
        <v>#REF!</v>
      </c>
      <c r="W444" s="5" t="e">
        <f>CONCATENATE(dados[[#This Row],[fator1]],dados[[#This Row],[fator5]],dados[[#This Row],[fator6]])</f>
        <v>#REF!</v>
      </c>
    </row>
    <row r="445" spans="1:23">
      <c r="A445" t="s">
        <v>17</v>
      </c>
      <c r="B445">
        <v>481885</v>
      </c>
      <c r="C445">
        <v>9</v>
      </c>
      <c r="D445">
        <v>30</v>
      </c>
      <c r="E445">
        <v>160</v>
      </c>
      <c r="F445">
        <v>3</v>
      </c>
      <c r="G445">
        <v>30</v>
      </c>
      <c r="H445">
        <v>18</v>
      </c>
      <c r="I445">
        <v>653</v>
      </c>
      <c r="J445">
        <v>1040</v>
      </c>
      <c r="K445">
        <v>2.915</v>
      </c>
      <c r="L445">
        <v>5.3500000000000005</v>
      </c>
      <c r="M445">
        <v>151.5</v>
      </c>
      <c r="N445">
        <v>11.25</v>
      </c>
      <c r="O445">
        <v>1679</v>
      </c>
      <c r="P445">
        <v>0</v>
      </c>
      <c r="Q445" s="5" t="e">
        <f>IF(AND(#REF!&gt;=table!$C$6,#REF!&lt;= table!$D$6),-1,IF(AND(#REF!&gt;=table!$E$6,#REF!&lt;=table!$F$6),1,0))</f>
        <v>#REF!</v>
      </c>
      <c r="R445" s="5" t="e">
        <f>IF(AND(#REF!&gt;=table!$C$7,#REF!&lt;= table!$D$7),-1,IF(AND(#REF!&gt;=table!$E$7,#REF!&lt;=table!$F$7),1,0))</f>
        <v>#REF!</v>
      </c>
      <c r="S445" s="5" t="e">
        <f>IF(AND(#REF!&gt;=table!$C$8,#REF!&lt;= table!$D$8),-1,IF(AND(#REF!&gt;=table!$E$8,#REF!&lt;=table!$F$8),1,0))</f>
        <v>#REF!</v>
      </c>
      <c r="T445" s="5"/>
      <c r="U445" s="5" t="e">
        <f>IF(AND(#REF!&gt;=table!$C$10,#REF!&lt;= table!$D$10),-1,IF(AND(#REF!&gt;=table!$E$10,#REF!&lt;=table!$F$10),1,0))</f>
        <v>#REF!</v>
      </c>
      <c r="V445" s="5" t="e">
        <f>IF(AND(#REF!&gt;=table!$C$11,#REF!&lt;= table!$D$11),-1,IF(AND(#REF!&gt;=table!$E$11,#REF!&lt;=table!$F$11),1,0))</f>
        <v>#REF!</v>
      </c>
      <c r="W445" s="5" t="e">
        <f>CONCATENATE(dados[[#This Row],[fator1]],dados[[#This Row],[fator5]],dados[[#This Row],[fator6]])</f>
        <v>#REF!</v>
      </c>
    </row>
    <row r="446" spans="1:23">
      <c r="A446" t="s">
        <v>16</v>
      </c>
      <c r="B446">
        <v>481886</v>
      </c>
      <c r="C446">
        <v>10</v>
      </c>
      <c r="D446">
        <v>40</v>
      </c>
      <c r="E446">
        <v>96</v>
      </c>
      <c r="F446">
        <v>8</v>
      </c>
      <c r="G446">
        <v>0</v>
      </c>
      <c r="H446">
        <v>25</v>
      </c>
      <c r="I446">
        <v>580</v>
      </c>
      <c r="J446">
        <v>0</v>
      </c>
      <c r="K446">
        <v>4.13</v>
      </c>
      <c r="L446">
        <v>11.6</v>
      </c>
      <c r="M446">
        <v>68.600000000000009</v>
      </c>
      <c r="N446">
        <v>15.950000000000001</v>
      </c>
      <c r="O446">
        <v>1678</v>
      </c>
      <c r="P446">
        <v>0</v>
      </c>
      <c r="Q446" s="5" t="e">
        <f>IF(AND(#REF!&gt;=table!$C$6,#REF!&lt;= table!$D$6),-1,IF(AND(#REF!&gt;=table!$E$6,#REF!&lt;=table!$F$6),1,0))</f>
        <v>#REF!</v>
      </c>
      <c r="R446" s="5" t="e">
        <f>IF(AND(#REF!&gt;=table!$C$7,#REF!&lt;= table!$D$7),-1,IF(AND(#REF!&gt;=table!$E$7,#REF!&lt;=table!$F$7),1,0))</f>
        <v>#REF!</v>
      </c>
      <c r="S446" s="5" t="e">
        <f>IF(AND(#REF!&gt;=table!$C$8,#REF!&lt;= table!$D$8),-1,IF(AND(#REF!&gt;=table!$E$8,#REF!&lt;=table!$F$8),1,0))</f>
        <v>#REF!</v>
      </c>
      <c r="T446" s="5"/>
      <c r="U446" s="5" t="e">
        <f>IF(AND(#REF!&gt;=table!$C$10,#REF!&lt;= table!$D$10),-1,IF(AND(#REF!&gt;=table!$E$10,#REF!&lt;=table!$F$10),1,0))</f>
        <v>#REF!</v>
      </c>
      <c r="V446" s="5" t="e">
        <f>IF(AND(#REF!&gt;=table!$C$11,#REF!&lt;= table!$D$11),-1,IF(AND(#REF!&gt;=table!$E$11,#REF!&lt;=table!$F$11),1,0))</f>
        <v>#REF!</v>
      </c>
      <c r="W446" s="5" t="e">
        <f>CONCATENATE(dados[[#This Row],[fator1]],dados[[#This Row],[fator5]],dados[[#This Row],[fator6]])</f>
        <v>#REF!</v>
      </c>
    </row>
    <row r="447" spans="1:23">
      <c r="A447" t="s">
        <v>16</v>
      </c>
      <c r="B447">
        <v>481887</v>
      </c>
      <c r="C447">
        <v>10</v>
      </c>
      <c r="D447">
        <v>40</v>
      </c>
      <c r="E447">
        <v>96</v>
      </c>
      <c r="F447">
        <v>8</v>
      </c>
      <c r="G447">
        <v>0</v>
      </c>
      <c r="H447">
        <v>25</v>
      </c>
      <c r="I447">
        <v>718</v>
      </c>
      <c r="J447">
        <v>0</v>
      </c>
      <c r="K447">
        <v>4.9649999999999999</v>
      </c>
      <c r="L447">
        <v>14.700000000000001</v>
      </c>
      <c r="M447">
        <v>87.58</v>
      </c>
      <c r="N447">
        <v>14.96</v>
      </c>
      <c r="O447">
        <v>1677</v>
      </c>
      <c r="P447">
        <v>0</v>
      </c>
      <c r="Q447" s="5" t="e">
        <f>IF(AND(#REF!&gt;=table!$C$6,#REF!&lt;= table!$D$6),-1,IF(AND(#REF!&gt;=table!$E$6,#REF!&lt;=table!$F$6),1,0))</f>
        <v>#REF!</v>
      </c>
      <c r="R447" s="5" t="e">
        <f>IF(AND(#REF!&gt;=table!$C$7,#REF!&lt;= table!$D$7),-1,IF(AND(#REF!&gt;=table!$E$7,#REF!&lt;=table!$F$7),1,0))</f>
        <v>#REF!</v>
      </c>
      <c r="S447" s="5" t="e">
        <f>IF(AND(#REF!&gt;=table!$C$8,#REF!&lt;= table!$D$8),-1,IF(AND(#REF!&gt;=table!$E$8,#REF!&lt;=table!$F$8),1,0))</f>
        <v>#REF!</v>
      </c>
      <c r="T447" s="5"/>
      <c r="U447" s="5" t="e">
        <f>IF(AND(#REF!&gt;=table!$C$10,#REF!&lt;= table!$D$10),-1,IF(AND(#REF!&gt;=table!$E$10,#REF!&lt;=table!$F$10),1,0))</f>
        <v>#REF!</v>
      </c>
      <c r="V447" s="5" t="e">
        <f>IF(AND(#REF!&gt;=table!$C$11,#REF!&lt;= table!$D$11),-1,IF(AND(#REF!&gt;=table!$E$11,#REF!&lt;=table!$F$11),1,0))</f>
        <v>#REF!</v>
      </c>
      <c r="W447" s="5" t="e">
        <f>CONCATENATE(dados[[#This Row],[fator1]],dados[[#This Row],[fator5]],dados[[#This Row],[fator6]])</f>
        <v>#REF!</v>
      </c>
    </row>
    <row r="448" spans="1:23">
      <c r="A448" t="s">
        <v>16</v>
      </c>
      <c r="B448">
        <v>481889</v>
      </c>
      <c r="C448">
        <v>12</v>
      </c>
      <c r="D448">
        <v>35</v>
      </c>
      <c r="E448">
        <v>86</v>
      </c>
      <c r="F448">
        <v>8</v>
      </c>
      <c r="G448">
        <v>0</v>
      </c>
      <c r="H448">
        <v>25</v>
      </c>
      <c r="I448">
        <v>496</v>
      </c>
      <c r="J448">
        <v>800</v>
      </c>
      <c r="K448">
        <v>6.3150000000000004</v>
      </c>
      <c r="L448">
        <v>22.150000000000002</v>
      </c>
      <c r="M448">
        <v>68.165000000000006</v>
      </c>
      <c r="N448">
        <v>16.885000000000002</v>
      </c>
      <c r="O448">
        <v>1658</v>
      </c>
      <c r="P448">
        <v>470</v>
      </c>
      <c r="Q448" s="5" t="e">
        <f>IF(AND(#REF!&gt;=table!$C$6,#REF!&lt;= table!$D$6),-1,IF(AND(#REF!&gt;=table!$E$6,#REF!&lt;=table!$F$6),1,0))</f>
        <v>#REF!</v>
      </c>
      <c r="R448" s="5" t="e">
        <f>IF(AND(#REF!&gt;=table!$C$7,#REF!&lt;= table!$D$7),-1,IF(AND(#REF!&gt;=table!$E$7,#REF!&lt;=table!$F$7),1,0))</f>
        <v>#REF!</v>
      </c>
      <c r="S448" s="5" t="e">
        <f>IF(AND(#REF!&gt;=table!$C$8,#REF!&lt;= table!$D$8),-1,IF(AND(#REF!&gt;=table!$E$8,#REF!&lt;=table!$F$8),1,0))</f>
        <v>#REF!</v>
      </c>
      <c r="T448" s="5"/>
      <c r="U448" s="5" t="e">
        <f>IF(AND(#REF!&gt;=table!$C$10,#REF!&lt;= table!$D$10),-1,IF(AND(#REF!&gt;=table!$E$10,#REF!&lt;=table!$F$10),1,0))</f>
        <v>#REF!</v>
      </c>
      <c r="V448" s="5" t="e">
        <f>IF(AND(#REF!&gt;=table!$C$11,#REF!&lt;= table!$D$11),-1,IF(AND(#REF!&gt;=table!$E$11,#REF!&lt;=table!$F$11),1,0))</f>
        <v>#REF!</v>
      </c>
      <c r="W448" s="5" t="e">
        <f>CONCATENATE(dados[[#This Row],[fator1]],dados[[#This Row],[fator5]],dados[[#This Row],[fator6]])</f>
        <v>#REF!</v>
      </c>
    </row>
    <row r="449" spans="1:23">
      <c r="A449" t="s">
        <v>16</v>
      </c>
      <c r="B449">
        <v>481893</v>
      </c>
      <c r="C449">
        <v>13</v>
      </c>
      <c r="D449">
        <v>35</v>
      </c>
      <c r="E449">
        <v>120</v>
      </c>
      <c r="F449">
        <v>10</v>
      </c>
      <c r="G449">
        <v>0</v>
      </c>
      <c r="H449">
        <v>25</v>
      </c>
      <c r="I449">
        <v>0</v>
      </c>
      <c r="J449">
        <v>0</v>
      </c>
      <c r="K449">
        <v>10.98</v>
      </c>
      <c r="L449">
        <v>20.76</v>
      </c>
      <c r="M449">
        <v>107.31500000000001</v>
      </c>
      <c r="N449">
        <v>20.740000000000002</v>
      </c>
      <c r="O449">
        <v>1673</v>
      </c>
      <c r="P449">
        <v>0</v>
      </c>
      <c r="Q449" s="5" t="e">
        <f>IF(AND(#REF!&gt;=table!$C$6,#REF!&lt;= table!$D$6),-1,IF(AND(#REF!&gt;=table!$E$6,#REF!&lt;=table!$F$6),1,0))</f>
        <v>#REF!</v>
      </c>
      <c r="R449" s="5" t="e">
        <f>IF(AND(#REF!&gt;=table!$C$7,#REF!&lt;= table!$D$7),-1,IF(AND(#REF!&gt;=table!$E$7,#REF!&lt;=table!$F$7),1,0))</f>
        <v>#REF!</v>
      </c>
      <c r="S449" s="5" t="e">
        <f>IF(AND(#REF!&gt;=table!$C$8,#REF!&lt;= table!$D$8),-1,IF(AND(#REF!&gt;=table!$E$8,#REF!&lt;=table!$F$8),1,0))</f>
        <v>#REF!</v>
      </c>
      <c r="T449" s="5"/>
      <c r="U449" s="5" t="e">
        <f>IF(AND(#REF!&gt;=table!$C$10,#REF!&lt;= table!$D$10),-1,IF(AND(#REF!&gt;=table!$E$10,#REF!&lt;=table!$F$10),1,0))</f>
        <v>#REF!</v>
      </c>
      <c r="V449" s="5" t="e">
        <f>IF(AND(#REF!&gt;=table!$C$11,#REF!&lt;= table!$D$11),-1,IF(AND(#REF!&gt;=table!$E$11,#REF!&lt;=table!$F$11),1,0))</f>
        <v>#REF!</v>
      </c>
      <c r="W449" s="5" t="e">
        <f>CONCATENATE(dados[[#This Row],[fator1]],dados[[#This Row],[fator5]],dados[[#This Row],[fator6]])</f>
        <v>#REF!</v>
      </c>
    </row>
    <row r="450" spans="1:23">
      <c r="A450" t="s">
        <v>16</v>
      </c>
      <c r="B450">
        <v>481898</v>
      </c>
      <c r="C450">
        <v>12</v>
      </c>
      <c r="D450">
        <v>40</v>
      </c>
      <c r="E450">
        <v>86</v>
      </c>
      <c r="F450">
        <v>8</v>
      </c>
      <c r="G450">
        <v>0</v>
      </c>
      <c r="H450">
        <v>25</v>
      </c>
      <c r="I450">
        <v>677</v>
      </c>
      <c r="J450">
        <v>0</v>
      </c>
      <c r="K450">
        <v>4.3266999999999998</v>
      </c>
      <c r="L450">
        <v>10.075000000000001</v>
      </c>
      <c r="M450">
        <v>64.400000000000006</v>
      </c>
      <c r="N450">
        <v>15.15</v>
      </c>
      <c r="O450">
        <v>1702</v>
      </c>
      <c r="P450">
        <v>1089</v>
      </c>
      <c r="Q450" s="5" t="e">
        <f>IF(AND(#REF!&gt;=table!$C$6,#REF!&lt;= table!$D$6),-1,IF(AND(#REF!&gt;=table!$E$6,#REF!&lt;=table!$F$6),1,0))</f>
        <v>#REF!</v>
      </c>
      <c r="R450" s="5" t="e">
        <f>IF(AND(#REF!&gt;=table!$C$7,#REF!&lt;= table!$D$7),-1,IF(AND(#REF!&gt;=table!$E$7,#REF!&lt;=table!$F$7),1,0))</f>
        <v>#REF!</v>
      </c>
      <c r="S450" s="5" t="e">
        <f>IF(AND(#REF!&gt;=table!$C$8,#REF!&lt;= table!$D$8),-1,IF(AND(#REF!&gt;=table!$E$8,#REF!&lt;=table!$F$8),1,0))</f>
        <v>#REF!</v>
      </c>
      <c r="T450" s="5"/>
      <c r="U450" s="5" t="e">
        <f>IF(AND(#REF!&gt;=table!$C$10,#REF!&lt;= table!$D$10),-1,IF(AND(#REF!&gt;=table!$E$10,#REF!&lt;=table!$F$10),1,0))</f>
        <v>#REF!</v>
      </c>
      <c r="V450" s="5" t="e">
        <f>IF(AND(#REF!&gt;=table!$C$11,#REF!&lt;= table!$D$11),-1,IF(AND(#REF!&gt;=table!$E$11,#REF!&lt;=table!$F$11),1,0))</f>
        <v>#REF!</v>
      </c>
      <c r="W450" s="5" t="e">
        <f>CONCATENATE(dados[[#This Row],[fator1]],dados[[#This Row],[fator5]],dados[[#This Row],[fator6]])</f>
        <v>#REF!</v>
      </c>
    </row>
    <row r="451" spans="1:23">
      <c r="A451" t="s">
        <v>16</v>
      </c>
      <c r="B451">
        <v>481904</v>
      </c>
      <c r="C451">
        <v>0.15</v>
      </c>
      <c r="D451">
        <v>40</v>
      </c>
      <c r="E451">
        <v>10</v>
      </c>
      <c r="F451">
        <v>15</v>
      </c>
      <c r="G451">
        <v>0</v>
      </c>
      <c r="H451">
        <v>15</v>
      </c>
      <c r="I451">
        <v>1024</v>
      </c>
      <c r="J451">
        <v>0</v>
      </c>
      <c r="K451">
        <v>5.15</v>
      </c>
      <c r="L451">
        <v>10.975</v>
      </c>
      <c r="M451">
        <v>9.0050000000000008</v>
      </c>
      <c r="N451">
        <v>10.555</v>
      </c>
      <c r="O451">
        <v>1689</v>
      </c>
      <c r="P451">
        <v>0</v>
      </c>
      <c r="Q451" s="5" t="e">
        <f>IF(AND(#REF!&gt;=table!$C$6,#REF!&lt;= table!$D$6),-1,IF(AND(#REF!&gt;=table!$E$6,#REF!&lt;=table!$F$6),1,0))</f>
        <v>#REF!</v>
      </c>
      <c r="R451" s="5" t="e">
        <f>IF(AND(#REF!&gt;=table!$C$7,#REF!&lt;= table!$D$7),-1,IF(AND(#REF!&gt;=table!$E$7,#REF!&lt;=table!$F$7),1,0))</f>
        <v>#REF!</v>
      </c>
      <c r="S451" s="5" t="e">
        <f>IF(AND(#REF!&gt;=table!$C$8,#REF!&lt;= table!$D$8),-1,IF(AND(#REF!&gt;=table!$E$8,#REF!&lt;=table!$F$8),1,0))</f>
        <v>#REF!</v>
      </c>
      <c r="T451" s="5"/>
      <c r="U451" s="5" t="e">
        <f>IF(AND(#REF!&gt;=table!$C$10,#REF!&lt;= table!$D$10),-1,IF(AND(#REF!&gt;=table!$E$10,#REF!&lt;=table!$F$10),1,0))</f>
        <v>#REF!</v>
      </c>
      <c r="V451" s="5" t="e">
        <f>IF(AND(#REF!&gt;=table!$C$11,#REF!&lt;= table!$D$11),-1,IF(AND(#REF!&gt;=table!$E$11,#REF!&lt;=table!$F$11),1,0))</f>
        <v>#REF!</v>
      </c>
      <c r="W451" s="5" t="e">
        <f>CONCATENATE(dados[[#This Row],[fator1]],dados[[#This Row],[fator5]],dados[[#This Row],[fator6]])</f>
        <v>#REF!</v>
      </c>
    </row>
    <row r="452" spans="1:23">
      <c r="A452" t="s">
        <v>16</v>
      </c>
      <c r="B452">
        <v>481914</v>
      </c>
      <c r="C452">
        <v>9</v>
      </c>
      <c r="D452">
        <v>27</v>
      </c>
      <c r="E452">
        <v>36</v>
      </c>
      <c r="F452">
        <v>8</v>
      </c>
      <c r="G452">
        <v>0</v>
      </c>
      <c r="H452">
        <v>25</v>
      </c>
      <c r="I452">
        <v>956</v>
      </c>
      <c r="J452">
        <v>0</v>
      </c>
      <c r="K452">
        <v>3.1</v>
      </c>
      <c r="L452">
        <v>12.05</v>
      </c>
      <c r="M452">
        <v>37.5</v>
      </c>
      <c r="N452">
        <v>14.6</v>
      </c>
      <c r="O452">
        <v>1686</v>
      </c>
      <c r="P452">
        <v>986</v>
      </c>
      <c r="Q452" s="5" t="e">
        <f>IF(AND(#REF!&gt;=table!$C$6,#REF!&lt;= table!$D$6),-1,IF(AND(#REF!&gt;=table!$E$6,#REF!&lt;=table!$F$6),1,0))</f>
        <v>#REF!</v>
      </c>
      <c r="R452" s="5" t="e">
        <f>IF(AND(#REF!&gt;=table!$C$7,#REF!&lt;= table!$D$7),-1,IF(AND(#REF!&gt;=table!$E$7,#REF!&lt;=table!$F$7),1,0))</f>
        <v>#REF!</v>
      </c>
      <c r="S452" s="5" t="e">
        <f>IF(AND(#REF!&gt;=table!$C$8,#REF!&lt;= table!$D$8),-1,IF(AND(#REF!&gt;=table!$E$8,#REF!&lt;=table!$F$8),1,0))</f>
        <v>#REF!</v>
      </c>
      <c r="T452" s="5"/>
      <c r="U452" s="5" t="e">
        <f>IF(AND(#REF!&gt;=table!$C$10,#REF!&lt;= table!$D$10),-1,IF(AND(#REF!&gt;=table!$E$10,#REF!&lt;=table!$F$10),1,0))</f>
        <v>#REF!</v>
      </c>
      <c r="V452" s="5" t="e">
        <f>IF(AND(#REF!&gt;=table!$C$11,#REF!&lt;= table!$D$11),-1,IF(AND(#REF!&gt;=table!$E$11,#REF!&lt;=table!$F$11),1,0))</f>
        <v>#REF!</v>
      </c>
      <c r="W452" s="5" t="e">
        <f>CONCATENATE(dados[[#This Row],[fator1]],dados[[#This Row],[fator5]],dados[[#This Row],[fator6]])</f>
        <v>#REF!</v>
      </c>
    </row>
    <row r="453" spans="1:23">
      <c r="A453" t="s">
        <v>16</v>
      </c>
      <c r="B453">
        <v>481915</v>
      </c>
      <c r="C453">
        <v>9</v>
      </c>
      <c r="D453">
        <v>27</v>
      </c>
      <c r="E453">
        <v>36</v>
      </c>
      <c r="F453">
        <v>8</v>
      </c>
      <c r="G453">
        <v>0</v>
      </c>
      <c r="H453">
        <v>25</v>
      </c>
      <c r="I453">
        <v>844</v>
      </c>
      <c r="J453">
        <v>0</v>
      </c>
      <c r="K453">
        <v>4.59</v>
      </c>
      <c r="L453">
        <v>14.5</v>
      </c>
      <c r="M453">
        <v>26.97</v>
      </c>
      <c r="N453">
        <v>15.06</v>
      </c>
      <c r="O453">
        <v>1689</v>
      </c>
      <c r="P453">
        <v>0</v>
      </c>
      <c r="Q453" s="5" t="e">
        <f>IF(AND(#REF!&gt;=table!$C$6,#REF!&lt;= table!$D$6),-1,IF(AND(#REF!&gt;=table!$E$6,#REF!&lt;=table!$F$6),1,0))</f>
        <v>#REF!</v>
      </c>
      <c r="R453" s="5" t="e">
        <f>IF(AND(#REF!&gt;=table!$C$7,#REF!&lt;= table!$D$7),-1,IF(AND(#REF!&gt;=table!$E$7,#REF!&lt;=table!$F$7),1,0))</f>
        <v>#REF!</v>
      </c>
      <c r="S453" s="5" t="e">
        <f>IF(AND(#REF!&gt;=table!$C$8,#REF!&lt;= table!$D$8),-1,IF(AND(#REF!&gt;=table!$E$8,#REF!&lt;=table!$F$8),1,0))</f>
        <v>#REF!</v>
      </c>
      <c r="T453" s="5"/>
      <c r="U453" s="5" t="e">
        <f>IF(AND(#REF!&gt;=table!$C$10,#REF!&lt;= table!$D$10),-1,IF(AND(#REF!&gt;=table!$E$10,#REF!&lt;=table!$F$10),1,0))</f>
        <v>#REF!</v>
      </c>
      <c r="V453" s="5" t="e">
        <f>IF(AND(#REF!&gt;=table!$C$11,#REF!&lt;= table!$D$11),-1,IF(AND(#REF!&gt;=table!$E$11,#REF!&lt;=table!$F$11),1,0))</f>
        <v>#REF!</v>
      </c>
      <c r="W453" s="5" t="e">
        <f>CONCATENATE(dados[[#This Row],[fator1]],dados[[#This Row],[fator5]],dados[[#This Row],[fator6]])</f>
        <v>#REF!</v>
      </c>
    </row>
    <row r="454" spans="1:23">
      <c r="A454" t="s">
        <v>17</v>
      </c>
      <c r="B454">
        <v>481923</v>
      </c>
      <c r="C454">
        <v>0.15</v>
      </c>
      <c r="D454">
        <v>500</v>
      </c>
      <c r="E454">
        <v>50</v>
      </c>
      <c r="F454">
        <v>10</v>
      </c>
      <c r="G454">
        <v>80</v>
      </c>
      <c r="H454">
        <v>30</v>
      </c>
      <c r="I454">
        <v>1081</v>
      </c>
      <c r="J454">
        <v>690</v>
      </c>
      <c r="K454">
        <v>4</v>
      </c>
      <c r="L454">
        <v>4.2350000000000003</v>
      </c>
      <c r="M454">
        <v>4.4000000000000004</v>
      </c>
      <c r="N454">
        <v>10.200000000000001</v>
      </c>
      <c r="O454">
        <v>1642</v>
      </c>
      <c r="P454">
        <v>0</v>
      </c>
      <c r="Q454" s="5" t="e">
        <f>IF(AND(#REF!&gt;=table!$C$6,#REF!&lt;= table!$D$6),-1,IF(AND(#REF!&gt;=table!$E$6,#REF!&lt;=table!$F$6),1,0))</f>
        <v>#REF!</v>
      </c>
      <c r="R454" s="5" t="e">
        <f>IF(AND(#REF!&gt;=table!$C$7,#REF!&lt;= table!$D$7),-1,IF(AND(#REF!&gt;=table!$E$7,#REF!&lt;=table!$F$7),1,0))</f>
        <v>#REF!</v>
      </c>
      <c r="S454" s="5" t="e">
        <f>IF(AND(#REF!&gt;=table!$C$8,#REF!&lt;= table!$D$8),-1,IF(AND(#REF!&gt;=table!$E$8,#REF!&lt;=table!$F$8),1,0))</f>
        <v>#REF!</v>
      </c>
      <c r="T454" s="5"/>
      <c r="U454" s="5" t="e">
        <f>IF(AND(#REF!&gt;=table!$C$10,#REF!&lt;= table!$D$10),-1,IF(AND(#REF!&gt;=table!$E$10,#REF!&lt;=table!$F$10),1,0))</f>
        <v>#REF!</v>
      </c>
      <c r="V454" s="5" t="e">
        <f>IF(AND(#REF!&gt;=table!$C$11,#REF!&lt;= table!$D$11),-1,IF(AND(#REF!&gt;=table!$E$11,#REF!&lt;=table!$F$11),1,0))</f>
        <v>#REF!</v>
      </c>
      <c r="W454" s="5" t="e">
        <f>CONCATENATE(dados[[#This Row],[fator1]],dados[[#This Row],[fator5]],dados[[#This Row],[fator6]])</f>
        <v>#REF!</v>
      </c>
    </row>
    <row r="455" spans="1:23">
      <c r="A455" t="s">
        <v>17</v>
      </c>
      <c r="B455">
        <v>481925</v>
      </c>
      <c r="C455">
        <v>8</v>
      </c>
      <c r="D455">
        <v>30</v>
      </c>
      <c r="E455">
        <v>153</v>
      </c>
      <c r="F455">
        <v>2</v>
      </c>
      <c r="G455">
        <v>20</v>
      </c>
      <c r="H455">
        <v>18</v>
      </c>
      <c r="I455">
        <v>1165</v>
      </c>
      <c r="J455">
        <v>0</v>
      </c>
      <c r="K455">
        <v>5.2850000000000001</v>
      </c>
      <c r="L455">
        <v>8.1050000000000004</v>
      </c>
      <c r="M455">
        <v>127.95</v>
      </c>
      <c r="N455">
        <v>13.450000000000001</v>
      </c>
      <c r="O455">
        <v>1701</v>
      </c>
      <c r="P455">
        <v>696</v>
      </c>
      <c r="Q455" s="5" t="e">
        <f>IF(AND(#REF!&gt;=table!$C$6,#REF!&lt;= table!$D$6),-1,IF(AND(#REF!&gt;=table!$E$6,#REF!&lt;=table!$F$6),1,0))</f>
        <v>#REF!</v>
      </c>
      <c r="R455" s="5" t="e">
        <f>IF(AND(#REF!&gt;=table!$C$7,#REF!&lt;= table!$D$7),-1,IF(AND(#REF!&gt;=table!$E$7,#REF!&lt;=table!$F$7),1,0))</f>
        <v>#REF!</v>
      </c>
      <c r="S455" s="5" t="e">
        <f>IF(AND(#REF!&gt;=table!$C$8,#REF!&lt;= table!$D$8),-1,IF(AND(#REF!&gt;=table!$E$8,#REF!&lt;=table!$F$8),1,0))</f>
        <v>#REF!</v>
      </c>
      <c r="T455" s="5"/>
      <c r="U455" s="5" t="e">
        <f>IF(AND(#REF!&gt;=table!$C$10,#REF!&lt;= table!$D$10),-1,IF(AND(#REF!&gt;=table!$E$10,#REF!&lt;=table!$F$10),1,0))</f>
        <v>#REF!</v>
      </c>
      <c r="V455" s="5" t="e">
        <f>IF(AND(#REF!&gt;=table!$C$11,#REF!&lt;= table!$D$11),-1,IF(AND(#REF!&gt;=table!$E$11,#REF!&lt;=table!$F$11),1,0))</f>
        <v>#REF!</v>
      </c>
      <c r="W455" s="5" t="e">
        <f>CONCATENATE(dados[[#This Row],[fator1]],dados[[#This Row],[fator5]],dados[[#This Row],[fator6]])</f>
        <v>#REF!</v>
      </c>
    </row>
    <row r="456" spans="1:23">
      <c r="A456" t="s">
        <v>16</v>
      </c>
      <c r="B456">
        <v>481930</v>
      </c>
      <c r="C456">
        <v>0.15</v>
      </c>
      <c r="D456">
        <v>35</v>
      </c>
      <c r="E456">
        <v>15</v>
      </c>
      <c r="F456">
        <v>10</v>
      </c>
      <c r="G456">
        <v>0</v>
      </c>
      <c r="H456">
        <v>12</v>
      </c>
      <c r="I456">
        <v>884</v>
      </c>
      <c r="J456">
        <v>0</v>
      </c>
      <c r="K456">
        <v>4.5600000000000005</v>
      </c>
      <c r="L456">
        <v>10.5</v>
      </c>
      <c r="M456">
        <v>9.5500000000000007</v>
      </c>
      <c r="N456">
        <v>9.6</v>
      </c>
      <c r="O456">
        <v>1668</v>
      </c>
      <c r="P456">
        <v>733</v>
      </c>
      <c r="Q456" s="5" t="e">
        <f>IF(AND(#REF!&gt;=table!$C$6,#REF!&lt;= table!$D$6),-1,IF(AND(#REF!&gt;=table!$E$6,#REF!&lt;=table!$F$6),1,0))</f>
        <v>#REF!</v>
      </c>
      <c r="R456" s="5" t="e">
        <f>IF(AND(#REF!&gt;=table!$C$7,#REF!&lt;= table!$D$7),-1,IF(AND(#REF!&gt;=table!$E$7,#REF!&lt;=table!$F$7),1,0))</f>
        <v>#REF!</v>
      </c>
      <c r="S456" s="5" t="e">
        <f>IF(AND(#REF!&gt;=table!$C$8,#REF!&lt;= table!$D$8),-1,IF(AND(#REF!&gt;=table!$E$8,#REF!&lt;=table!$F$8),1,0))</f>
        <v>#REF!</v>
      </c>
      <c r="T456" s="5"/>
      <c r="U456" s="5" t="e">
        <f>IF(AND(#REF!&gt;=table!$C$10,#REF!&lt;= table!$D$10),-1,IF(AND(#REF!&gt;=table!$E$10,#REF!&lt;=table!$F$10),1,0))</f>
        <v>#REF!</v>
      </c>
      <c r="V456" s="5" t="e">
        <f>IF(AND(#REF!&gt;=table!$C$11,#REF!&lt;= table!$D$11),-1,IF(AND(#REF!&gt;=table!$E$11,#REF!&lt;=table!$F$11),1,0))</f>
        <v>#REF!</v>
      </c>
      <c r="W456" s="5" t="e">
        <f>CONCATENATE(dados[[#This Row],[fator1]],dados[[#This Row],[fator5]],dados[[#This Row],[fator6]])</f>
        <v>#REF!</v>
      </c>
    </row>
    <row r="457" spans="1:23">
      <c r="A457" t="s">
        <v>16</v>
      </c>
      <c r="B457">
        <v>481933</v>
      </c>
      <c r="C457">
        <v>0.15</v>
      </c>
      <c r="D457">
        <v>35</v>
      </c>
      <c r="E457">
        <v>15</v>
      </c>
      <c r="F457">
        <v>10</v>
      </c>
      <c r="G457">
        <v>0</v>
      </c>
      <c r="H457">
        <v>12</v>
      </c>
      <c r="I457">
        <v>92</v>
      </c>
      <c r="J457">
        <v>0</v>
      </c>
      <c r="K457">
        <v>3.35</v>
      </c>
      <c r="L457">
        <v>10.1</v>
      </c>
      <c r="M457">
        <v>9.0500000000000007</v>
      </c>
      <c r="N457">
        <v>13.35</v>
      </c>
      <c r="O457">
        <v>1705</v>
      </c>
      <c r="P457">
        <v>1246</v>
      </c>
      <c r="Q457" s="5" t="e">
        <f>IF(AND(#REF!&gt;=table!$C$6,#REF!&lt;= table!$D$6),-1,IF(AND(#REF!&gt;=table!$E$6,#REF!&lt;=table!$F$6),1,0))</f>
        <v>#REF!</v>
      </c>
      <c r="R457" s="5" t="e">
        <f>IF(AND(#REF!&gt;=table!$C$7,#REF!&lt;= table!$D$7),-1,IF(AND(#REF!&gt;=table!$E$7,#REF!&lt;=table!$F$7),1,0))</f>
        <v>#REF!</v>
      </c>
      <c r="S457" s="5" t="e">
        <f>IF(AND(#REF!&gt;=table!$C$8,#REF!&lt;= table!$D$8),-1,IF(AND(#REF!&gt;=table!$E$8,#REF!&lt;=table!$F$8),1,0))</f>
        <v>#REF!</v>
      </c>
      <c r="T457" s="5"/>
      <c r="U457" s="5" t="e">
        <f>IF(AND(#REF!&gt;=table!$C$10,#REF!&lt;= table!$D$10),-1,IF(AND(#REF!&gt;=table!$E$10,#REF!&lt;=table!$F$10),1,0))</f>
        <v>#REF!</v>
      </c>
      <c r="V457" s="5" t="e">
        <f>IF(AND(#REF!&gt;=table!$C$11,#REF!&lt;= table!$D$11),-1,IF(AND(#REF!&gt;=table!$E$11,#REF!&lt;=table!$F$11),1,0))</f>
        <v>#REF!</v>
      </c>
      <c r="W457" s="5" t="e">
        <f>CONCATENATE(dados[[#This Row],[fator1]],dados[[#This Row],[fator5]],dados[[#This Row],[fator6]])</f>
        <v>#REF!</v>
      </c>
    </row>
    <row r="458" spans="1:23">
      <c r="A458" t="s">
        <v>16</v>
      </c>
      <c r="B458">
        <v>481940</v>
      </c>
      <c r="C458">
        <v>0.15</v>
      </c>
      <c r="D458">
        <v>35</v>
      </c>
      <c r="E458">
        <v>15</v>
      </c>
      <c r="F458">
        <v>10</v>
      </c>
      <c r="G458">
        <v>0</v>
      </c>
      <c r="H458">
        <v>12</v>
      </c>
      <c r="I458">
        <v>574</v>
      </c>
      <c r="J458">
        <v>0</v>
      </c>
      <c r="K458">
        <v>3.8850000000000002</v>
      </c>
      <c r="L458">
        <v>8.3800000000000008</v>
      </c>
      <c r="M458">
        <v>7.43</v>
      </c>
      <c r="N458">
        <v>10.835000000000001</v>
      </c>
      <c r="O458">
        <v>1686</v>
      </c>
      <c r="P458">
        <v>0</v>
      </c>
      <c r="Q458" s="5" t="e">
        <f>IF(AND(#REF!&gt;=table!$C$6,#REF!&lt;= table!$D$6),-1,IF(AND(#REF!&gt;=table!$E$6,#REF!&lt;=table!$F$6),1,0))</f>
        <v>#REF!</v>
      </c>
      <c r="R458" s="5" t="e">
        <f>IF(AND(#REF!&gt;=table!$C$7,#REF!&lt;= table!$D$7),-1,IF(AND(#REF!&gt;=table!$E$7,#REF!&lt;=table!$F$7),1,0))</f>
        <v>#REF!</v>
      </c>
      <c r="S458" s="5" t="e">
        <f>IF(AND(#REF!&gt;=table!$C$8,#REF!&lt;= table!$D$8),-1,IF(AND(#REF!&gt;=table!$E$8,#REF!&lt;=table!$F$8),1,0))</f>
        <v>#REF!</v>
      </c>
      <c r="T458" s="5"/>
      <c r="U458" s="5" t="e">
        <f>IF(AND(#REF!&gt;=table!$C$10,#REF!&lt;= table!$D$10),-1,IF(AND(#REF!&gt;=table!$E$10,#REF!&lt;=table!$F$10),1,0))</f>
        <v>#REF!</v>
      </c>
      <c r="V458" s="5" t="e">
        <f>IF(AND(#REF!&gt;=table!$C$11,#REF!&lt;= table!$D$11),-1,IF(AND(#REF!&gt;=table!$E$11,#REF!&lt;=table!$F$11),1,0))</f>
        <v>#REF!</v>
      </c>
      <c r="W458" s="5" t="e">
        <f>CONCATENATE(dados[[#This Row],[fator1]],dados[[#This Row],[fator5]],dados[[#This Row],[fator6]])</f>
        <v>#REF!</v>
      </c>
    </row>
    <row r="459" spans="1:23">
      <c r="A459" t="s">
        <v>16</v>
      </c>
      <c r="B459">
        <v>481947</v>
      </c>
      <c r="C459">
        <v>0.2</v>
      </c>
      <c r="D459">
        <v>65</v>
      </c>
      <c r="E459">
        <v>26</v>
      </c>
      <c r="F459">
        <v>15</v>
      </c>
      <c r="G459">
        <v>0</v>
      </c>
      <c r="H459">
        <v>30</v>
      </c>
      <c r="I459">
        <v>1098</v>
      </c>
      <c r="J459">
        <v>0</v>
      </c>
      <c r="K459">
        <v>4.53</v>
      </c>
      <c r="L459">
        <v>10.65</v>
      </c>
      <c r="M459">
        <v>9.9500000000000011</v>
      </c>
      <c r="N459">
        <v>14.35</v>
      </c>
      <c r="O459">
        <v>1678</v>
      </c>
      <c r="P459">
        <v>0</v>
      </c>
      <c r="Q459" s="5" t="e">
        <f>IF(AND(#REF!&gt;=table!$C$6,#REF!&lt;= table!$D$6),-1,IF(AND(#REF!&gt;=table!$E$6,#REF!&lt;=table!$F$6),1,0))</f>
        <v>#REF!</v>
      </c>
      <c r="R459" s="5" t="e">
        <f>IF(AND(#REF!&gt;=table!$C$7,#REF!&lt;= table!$D$7),-1,IF(AND(#REF!&gt;=table!$E$7,#REF!&lt;=table!$F$7),1,0))</f>
        <v>#REF!</v>
      </c>
      <c r="S459" s="5" t="e">
        <f>IF(AND(#REF!&gt;=table!$C$8,#REF!&lt;= table!$D$8),-1,IF(AND(#REF!&gt;=table!$E$8,#REF!&lt;=table!$F$8),1,0))</f>
        <v>#REF!</v>
      </c>
      <c r="T459" s="5"/>
      <c r="U459" s="5" t="e">
        <f>IF(AND(#REF!&gt;=table!$C$10,#REF!&lt;= table!$D$10),-1,IF(AND(#REF!&gt;=table!$E$10,#REF!&lt;=table!$F$10),1,0))</f>
        <v>#REF!</v>
      </c>
      <c r="V459" s="5" t="e">
        <f>IF(AND(#REF!&gt;=table!$C$11,#REF!&lt;= table!$D$11),-1,IF(AND(#REF!&gt;=table!$E$11,#REF!&lt;=table!$F$11),1,0))</f>
        <v>#REF!</v>
      </c>
      <c r="W459" s="5" t="e">
        <f>CONCATENATE(dados[[#This Row],[fator1]],dados[[#This Row],[fator5]],dados[[#This Row],[fator6]])</f>
        <v>#REF!</v>
      </c>
    </row>
    <row r="460" spans="1:23">
      <c r="A460" t="s">
        <v>16</v>
      </c>
      <c r="B460">
        <v>481949</v>
      </c>
      <c r="C460">
        <v>0.2</v>
      </c>
      <c r="D460">
        <v>65</v>
      </c>
      <c r="E460">
        <v>26</v>
      </c>
      <c r="F460">
        <v>15</v>
      </c>
      <c r="G460">
        <v>0</v>
      </c>
      <c r="H460">
        <v>30</v>
      </c>
      <c r="I460">
        <v>824</v>
      </c>
      <c r="J460">
        <v>0</v>
      </c>
      <c r="K460">
        <v>2.4500000000000002</v>
      </c>
      <c r="L460">
        <v>4.9000000000000004</v>
      </c>
      <c r="M460">
        <v>5</v>
      </c>
      <c r="N460">
        <v>11.25</v>
      </c>
      <c r="O460">
        <v>1678</v>
      </c>
      <c r="P460">
        <v>0</v>
      </c>
      <c r="Q460" s="5" t="e">
        <f>IF(AND(#REF!&gt;=table!$C$6,#REF!&lt;= table!$D$6),-1,IF(AND(#REF!&gt;=table!$E$6,#REF!&lt;=table!$F$6),1,0))</f>
        <v>#REF!</v>
      </c>
      <c r="R460" s="5" t="e">
        <f>IF(AND(#REF!&gt;=table!$C$7,#REF!&lt;= table!$D$7),-1,IF(AND(#REF!&gt;=table!$E$7,#REF!&lt;=table!$F$7),1,0))</f>
        <v>#REF!</v>
      </c>
      <c r="S460" s="5" t="e">
        <f>IF(AND(#REF!&gt;=table!$C$8,#REF!&lt;= table!$D$8),-1,IF(AND(#REF!&gt;=table!$E$8,#REF!&lt;=table!$F$8),1,0))</f>
        <v>#REF!</v>
      </c>
      <c r="T460" s="5"/>
      <c r="U460" s="5" t="e">
        <f>IF(AND(#REF!&gt;=table!$C$10,#REF!&lt;= table!$D$10),-1,IF(AND(#REF!&gt;=table!$E$10,#REF!&lt;=table!$F$10),1,0))</f>
        <v>#REF!</v>
      </c>
      <c r="V460" s="5" t="e">
        <f>IF(AND(#REF!&gt;=table!$C$11,#REF!&lt;= table!$D$11),-1,IF(AND(#REF!&gt;=table!$E$11,#REF!&lt;=table!$F$11),1,0))</f>
        <v>#REF!</v>
      </c>
      <c r="W460" s="5" t="e">
        <f>CONCATENATE(dados[[#This Row],[fator1]],dados[[#This Row],[fator5]],dados[[#This Row],[fator6]])</f>
        <v>#REF!</v>
      </c>
    </row>
    <row r="461" spans="1:23">
      <c r="A461" t="s">
        <v>16</v>
      </c>
      <c r="B461">
        <v>481957</v>
      </c>
      <c r="C461">
        <v>0.15</v>
      </c>
      <c r="D461">
        <v>40</v>
      </c>
      <c r="E461">
        <v>10</v>
      </c>
      <c r="F461">
        <v>15</v>
      </c>
      <c r="G461">
        <v>0</v>
      </c>
      <c r="H461">
        <v>15</v>
      </c>
      <c r="I461">
        <v>837</v>
      </c>
      <c r="J461">
        <v>0</v>
      </c>
      <c r="K461">
        <v>11.8</v>
      </c>
      <c r="L461">
        <v>10.700000000000001</v>
      </c>
      <c r="M461">
        <v>9.9500000000000011</v>
      </c>
      <c r="N461">
        <v>12.4</v>
      </c>
      <c r="O461">
        <v>1676</v>
      </c>
      <c r="P461">
        <v>0</v>
      </c>
      <c r="Q461" s="5" t="e">
        <f>IF(AND(#REF!&gt;=table!$C$6,#REF!&lt;= table!$D$6),-1,IF(AND(#REF!&gt;=table!$E$6,#REF!&lt;=table!$F$6),1,0))</f>
        <v>#REF!</v>
      </c>
      <c r="R461" s="5" t="e">
        <f>IF(AND(#REF!&gt;=table!$C$7,#REF!&lt;= table!$D$7),-1,IF(AND(#REF!&gt;=table!$E$7,#REF!&lt;=table!$F$7),1,0))</f>
        <v>#REF!</v>
      </c>
      <c r="S461" s="5" t="e">
        <f>IF(AND(#REF!&gt;=table!$C$8,#REF!&lt;= table!$D$8),-1,IF(AND(#REF!&gt;=table!$E$8,#REF!&lt;=table!$F$8),1,0))</f>
        <v>#REF!</v>
      </c>
      <c r="T461" s="5"/>
      <c r="U461" s="5" t="e">
        <f>IF(AND(#REF!&gt;=table!$C$10,#REF!&lt;= table!$D$10),-1,IF(AND(#REF!&gt;=table!$E$10,#REF!&lt;=table!$F$10),1,0))</f>
        <v>#REF!</v>
      </c>
      <c r="V461" s="5" t="e">
        <f>IF(AND(#REF!&gt;=table!$C$11,#REF!&lt;= table!$D$11),-1,IF(AND(#REF!&gt;=table!$E$11,#REF!&lt;=table!$F$11),1,0))</f>
        <v>#REF!</v>
      </c>
      <c r="W461" s="5" t="e">
        <f>CONCATENATE(dados[[#This Row],[fator1]],dados[[#This Row],[fator5]],dados[[#This Row],[fator6]])</f>
        <v>#REF!</v>
      </c>
    </row>
    <row r="462" spans="1:23">
      <c r="A462" t="s">
        <v>16</v>
      </c>
      <c r="B462">
        <v>481962</v>
      </c>
      <c r="C462">
        <v>0.2</v>
      </c>
      <c r="D462">
        <v>65</v>
      </c>
      <c r="E462">
        <v>26</v>
      </c>
      <c r="F462">
        <v>15</v>
      </c>
      <c r="G462">
        <v>0</v>
      </c>
      <c r="H462">
        <v>30</v>
      </c>
      <c r="I462">
        <v>623</v>
      </c>
      <c r="J462">
        <v>0</v>
      </c>
      <c r="K462">
        <v>2.4575</v>
      </c>
      <c r="L462">
        <v>9.4</v>
      </c>
      <c r="M462">
        <v>8.19</v>
      </c>
      <c r="N462">
        <v>13.35</v>
      </c>
      <c r="O462">
        <v>1695</v>
      </c>
      <c r="P462">
        <v>1540</v>
      </c>
      <c r="Q462" s="5" t="e">
        <f>IF(AND(#REF!&gt;=table!$C$6,#REF!&lt;= table!$D$6),-1,IF(AND(#REF!&gt;=table!$E$6,#REF!&lt;=table!$F$6),1,0))</f>
        <v>#REF!</v>
      </c>
      <c r="R462" s="5" t="e">
        <f>IF(AND(#REF!&gt;=table!$C$7,#REF!&lt;= table!$D$7),-1,IF(AND(#REF!&gt;=table!$E$7,#REF!&lt;=table!$F$7),1,0))</f>
        <v>#REF!</v>
      </c>
      <c r="S462" s="5" t="e">
        <f>IF(AND(#REF!&gt;=table!$C$8,#REF!&lt;= table!$D$8),-1,IF(AND(#REF!&gt;=table!$E$8,#REF!&lt;=table!$F$8),1,0))</f>
        <v>#REF!</v>
      </c>
      <c r="T462" s="5"/>
      <c r="U462" s="5" t="e">
        <f>IF(AND(#REF!&gt;=table!$C$10,#REF!&lt;= table!$D$10),-1,IF(AND(#REF!&gt;=table!$E$10,#REF!&lt;=table!$F$10),1,0))</f>
        <v>#REF!</v>
      </c>
      <c r="V462" s="5" t="e">
        <f>IF(AND(#REF!&gt;=table!$C$11,#REF!&lt;= table!$D$11),-1,IF(AND(#REF!&gt;=table!$E$11,#REF!&lt;=table!$F$11),1,0))</f>
        <v>#REF!</v>
      </c>
      <c r="W462" s="5" t="e">
        <f>CONCATENATE(dados[[#This Row],[fator1]],dados[[#This Row],[fator5]],dados[[#This Row],[fator6]])</f>
        <v>#REF!</v>
      </c>
    </row>
    <row r="463" spans="1:23">
      <c r="A463" t="s">
        <v>17</v>
      </c>
      <c r="B463">
        <v>481966</v>
      </c>
      <c r="C463">
        <v>16</v>
      </c>
      <c r="D463">
        <v>23</v>
      </c>
      <c r="E463">
        <v>145</v>
      </c>
      <c r="F463">
        <v>4</v>
      </c>
      <c r="G463">
        <v>30</v>
      </c>
      <c r="H463">
        <v>25</v>
      </c>
      <c r="I463">
        <v>1233</v>
      </c>
      <c r="J463">
        <v>0</v>
      </c>
      <c r="K463">
        <v>7.7850000000000001</v>
      </c>
      <c r="L463">
        <v>13</v>
      </c>
      <c r="M463">
        <v>127.48</v>
      </c>
      <c r="N463">
        <v>15.790000000000001</v>
      </c>
      <c r="O463">
        <v>1671</v>
      </c>
      <c r="P463">
        <v>424</v>
      </c>
      <c r="Q463" s="5" t="e">
        <f>IF(AND(#REF!&gt;=table!$C$6,#REF!&lt;= table!$D$6),-1,IF(AND(#REF!&gt;=table!$E$6,#REF!&lt;=table!$F$6),1,0))</f>
        <v>#REF!</v>
      </c>
      <c r="R463" s="5" t="e">
        <f>IF(AND(#REF!&gt;=table!$C$7,#REF!&lt;= table!$D$7),-1,IF(AND(#REF!&gt;=table!$E$7,#REF!&lt;=table!$F$7),1,0))</f>
        <v>#REF!</v>
      </c>
      <c r="S463" s="5" t="e">
        <f>IF(AND(#REF!&gt;=table!$C$8,#REF!&lt;= table!$D$8),-1,IF(AND(#REF!&gt;=table!$E$8,#REF!&lt;=table!$F$8),1,0))</f>
        <v>#REF!</v>
      </c>
      <c r="T463" s="5"/>
      <c r="U463" s="5" t="e">
        <f>IF(AND(#REF!&gt;=table!$C$10,#REF!&lt;= table!$D$10),-1,IF(AND(#REF!&gt;=table!$E$10,#REF!&lt;=table!$F$10),1,0))</f>
        <v>#REF!</v>
      </c>
      <c r="V463" s="5" t="e">
        <f>IF(AND(#REF!&gt;=table!$C$11,#REF!&lt;= table!$D$11),-1,IF(AND(#REF!&gt;=table!$E$11,#REF!&lt;=table!$F$11),1,0))</f>
        <v>#REF!</v>
      </c>
      <c r="W463" s="5" t="e">
        <f>CONCATENATE(dados[[#This Row],[fator1]],dados[[#This Row],[fator5]],dados[[#This Row],[fator6]])</f>
        <v>#REF!</v>
      </c>
    </row>
    <row r="464" spans="1:23">
      <c r="A464" t="s">
        <v>17</v>
      </c>
      <c r="B464">
        <v>481967</v>
      </c>
      <c r="C464">
        <v>18</v>
      </c>
      <c r="D464">
        <v>23</v>
      </c>
      <c r="E464">
        <v>145</v>
      </c>
      <c r="F464">
        <v>9</v>
      </c>
      <c r="G464">
        <v>30</v>
      </c>
      <c r="H464">
        <v>25</v>
      </c>
      <c r="I464">
        <v>101</v>
      </c>
      <c r="J464">
        <v>0</v>
      </c>
      <c r="K464">
        <v>7.1850000000000005</v>
      </c>
      <c r="L464">
        <v>14.1</v>
      </c>
      <c r="M464">
        <v>135.25</v>
      </c>
      <c r="N464">
        <v>17.7</v>
      </c>
      <c r="O464">
        <v>1686</v>
      </c>
      <c r="P464">
        <v>0</v>
      </c>
      <c r="Q464" s="5" t="e">
        <f>IF(AND(#REF!&gt;=table!$C$6,#REF!&lt;= table!$D$6),-1,IF(AND(#REF!&gt;=table!$E$6,#REF!&lt;=table!$F$6),1,0))</f>
        <v>#REF!</v>
      </c>
      <c r="R464" s="5" t="e">
        <f>IF(AND(#REF!&gt;=table!$C$7,#REF!&lt;= table!$D$7),-1,IF(AND(#REF!&gt;=table!$E$7,#REF!&lt;=table!$F$7),1,0))</f>
        <v>#REF!</v>
      </c>
      <c r="S464" s="5" t="e">
        <f>IF(AND(#REF!&gt;=table!$C$8,#REF!&lt;= table!$D$8),-1,IF(AND(#REF!&gt;=table!$E$8,#REF!&lt;=table!$F$8),1,0))</f>
        <v>#REF!</v>
      </c>
      <c r="T464" s="5"/>
      <c r="U464" s="5" t="e">
        <f>IF(AND(#REF!&gt;=table!$C$10,#REF!&lt;= table!$D$10),-1,IF(AND(#REF!&gt;=table!$E$10,#REF!&lt;=table!$F$10),1,0))</f>
        <v>#REF!</v>
      </c>
      <c r="V464" s="5" t="e">
        <f>IF(AND(#REF!&gt;=table!$C$11,#REF!&lt;= table!$D$11),-1,IF(AND(#REF!&gt;=table!$E$11,#REF!&lt;=table!$F$11),1,0))</f>
        <v>#REF!</v>
      </c>
      <c r="W464" s="5" t="e">
        <f>CONCATENATE(dados[[#This Row],[fator1]],dados[[#This Row],[fator5]],dados[[#This Row],[fator6]])</f>
        <v>#REF!</v>
      </c>
    </row>
    <row r="465" spans="1:23">
      <c r="A465" t="s">
        <v>16</v>
      </c>
      <c r="B465">
        <v>481968</v>
      </c>
      <c r="C465">
        <v>0.15</v>
      </c>
      <c r="D465">
        <v>40</v>
      </c>
      <c r="E465">
        <v>10</v>
      </c>
      <c r="F465">
        <v>15</v>
      </c>
      <c r="G465">
        <v>0</v>
      </c>
      <c r="H465">
        <v>15</v>
      </c>
      <c r="I465">
        <v>905</v>
      </c>
      <c r="J465">
        <v>0</v>
      </c>
      <c r="K465">
        <v>6.46</v>
      </c>
      <c r="L465">
        <v>9.3949999999999996</v>
      </c>
      <c r="M465">
        <v>8.9500000000000011</v>
      </c>
      <c r="N465">
        <v>7.95</v>
      </c>
      <c r="O465">
        <v>1693</v>
      </c>
      <c r="P465">
        <v>645</v>
      </c>
      <c r="Q465" s="5" t="e">
        <f>IF(AND(#REF!&gt;=table!$C$6,#REF!&lt;= table!$D$6),-1,IF(AND(#REF!&gt;=table!$E$6,#REF!&lt;=table!$F$6),1,0))</f>
        <v>#REF!</v>
      </c>
      <c r="R465" s="5" t="e">
        <f>IF(AND(#REF!&gt;=table!$C$7,#REF!&lt;= table!$D$7),-1,IF(AND(#REF!&gt;=table!$E$7,#REF!&lt;=table!$F$7),1,0))</f>
        <v>#REF!</v>
      </c>
      <c r="S465" s="5" t="e">
        <f>IF(AND(#REF!&gt;=table!$C$8,#REF!&lt;= table!$D$8),-1,IF(AND(#REF!&gt;=table!$E$8,#REF!&lt;=table!$F$8),1,0))</f>
        <v>#REF!</v>
      </c>
      <c r="T465" s="5"/>
      <c r="U465" s="5" t="e">
        <f>IF(AND(#REF!&gt;=table!$C$10,#REF!&lt;= table!$D$10),-1,IF(AND(#REF!&gt;=table!$E$10,#REF!&lt;=table!$F$10),1,0))</f>
        <v>#REF!</v>
      </c>
      <c r="V465" s="5" t="e">
        <f>IF(AND(#REF!&gt;=table!$C$11,#REF!&lt;= table!$D$11),-1,IF(AND(#REF!&gt;=table!$E$11,#REF!&lt;=table!$F$11),1,0))</f>
        <v>#REF!</v>
      </c>
      <c r="W465" s="5" t="e">
        <f>CONCATENATE(dados[[#This Row],[fator1]],dados[[#This Row],[fator5]],dados[[#This Row],[fator6]])</f>
        <v>#REF!</v>
      </c>
    </row>
    <row r="466" spans="1:23">
      <c r="A466" t="s">
        <v>16</v>
      </c>
      <c r="B466">
        <v>481972</v>
      </c>
      <c r="C466">
        <v>4</v>
      </c>
      <c r="D466">
        <v>40</v>
      </c>
      <c r="E466">
        <v>21</v>
      </c>
      <c r="F466">
        <v>20</v>
      </c>
      <c r="G466">
        <v>0</v>
      </c>
      <c r="H466">
        <v>25</v>
      </c>
      <c r="I466">
        <v>1109</v>
      </c>
      <c r="J466">
        <v>0</v>
      </c>
      <c r="K466">
        <v>5.6950000000000003</v>
      </c>
      <c r="L466">
        <v>9.0050000000000008</v>
      </c>
      <c r="M466">
        <v>19.035</v>
      </c>
      <c r="N466">
        <v>8.4700000000000006</v>
      </c>
      <c r="O466">
        <v>1679</v>
      </c>
      <c r="P466">
        <v>0</v>
      </c>
      <c r="Q466" s="5" t="e">
        <f>IF(AND(#REF!&gt;=table!$C$6,#REF!&lt;= table!$D$6),-1,IF(AND(#REF!&gt;=table!$E$6,#REF!&lt;=table!$F$6),1,0))</f>
        <v>#REF!</v>
      </c>
      <c r="R466" s="5" t="e">
        <f>IF(AND(#REF!&gt;=table!$C$7,#REF!&lt;= table!$D$7),-1,IF(AND(#REF!&gt;=table!$E$7,#REF!&lt;=table!$F$7),1,0))</f>
        <v>#REF!</v>
      </c>
      <c r="S466" s="5" t="e">
        <f>IF(AND(#REF!&gt;=table!$C$8,#REF!&lt;= table!$D$8),-1,IF(AND(#REF!&gt;=table!$E$8,#REF!&lt;=table!$F$8),1,0))</f>
        <v>#REF!</v>
      </c>
      <c r="T466" s="5"/>
      <c r="U466" s="5" t="e">
        <f>IF(AND(#REF!&gt;=table!$C$10,#REF!&lt;= table!$D$10),-1,IF(AND(#REF!&gt;=table!$E$10,#REF!&lt;=table!$F$10),1,0))</f>
        <v>#REF!</v>
      </c>
      <c r="V466" s="5" t="e">
        <f>IF(AND(#REF!&gt;=table!$C$11,#REF!&lt;= table!$D$11),-1,IF(AND(#REF!&gt;=table!$E$11,#REF!&lt;=table!$F$11),1,0))</f>
        <v>#REF!</v>
      </c>
      <c r="W466" s="5" t="e">
        <f>CONCATENATE(dados[[#This Row],[fator1]],dados[[#This Row],[fator5]],dados[[#This Row],[fator6]])</f>
        <v>#REF!</v>
      </c>
    </row>
    <row r="467" spans="1:23">
      <c r="A467" t="s">
        <v>17</v>
      </c>
      <c r="B467">
        <v>481975</v>
      </c>
      <c r="C467">
        <v>16</v>
      </c>
      <c r="D467">
        <v>23</v>
      </c>
      <c r="E467">
        <v>145</v>
      </c>
      <c r="F467">
        <v>9</v>
      </c>
      <c r="G467">
        <v>30</v>
      </c>
      <c r="H467">
        <v>25</v>
      </c>
      <c r="I467">
        <v>801</v>
      </c>
      <c r="J467">
        <v>0</v>
      </c>
      <c r="K467">
        <v>5.25</v>
      </c>
      <c r="L467">
        <v>11.51</v>
      </c>
      <c r="M467">
        <v>137.30000000000001</v>
      </c>
      <c r="N467">
        <v>20.100000000000001</v>
      </c>
      <c r="O467">
        <v>1691</v>
      </c>
      <c r="P467">
        <v>0</v>
      </c>
      <c r="Q467" s="5" t="e">
        <f>IF(AND(#REF!&gt;=table!$C$6,#REF!&lt;= table!$D$6),-1,IF(AND(#REF!&gt;=table!$E$6,#REF!&lt;=table!$F$6),1,0))</f>
        <v>#REF!</v>
      </c>
      <c r="R467" s="5" t="e">
        <f>IF(AND(#REF!&gt;=table!$C$7,#REF!&lt;= table!$D$7),-1,IF(AND(#REF!&gt;=table!$E$7,#REF!&lt;=table!$F$7),1,0))</f>
        <v>#REF!</v>
      </c>
      <c r="S467" s="5" t="e">
        <f>IF(AND(#REF!&gt;=table!$C$8,#REF!&lt;= table!$D$8),-1,IF(AND(#REF!&gt;=table!$E$8,#REF!&lt;=table!$F$8),1,0))</f>
        <v>#REF!</v>
      </c>
      <c r="T467" s="5"/>
      <c r="U467" s="5" t="e">
        <f>IF(AND(#REF!&gt;=table!$C$10,#REF!&lt;= table!$D$10),-1,IF(AND(#REF!&gt;=table!$E$10,#REF!&lt;=table!$F$10),1,0))</f>
        <v>#REF!</v>
      </c>
      <c r="V467" s="5" t="e">
        <f>IF(AND(#REF!&gt;=table!$C$11,#REF!&lt;= table!$D$11),-1,IF(AND(#REF!&gt;=table!$E$11,#REF!&lt;=table!$F$11),1,0))</f>
        <v>#REF!</v>
      </c>
      <c r="W467" s="5" t="e">
        <f>CONCATENATE(dados[[#This Row],[fator1]],dados[[#This Row],[fator5]],dados[[#This Row],[fator6]])</f>
        <v>#REF!</v>
      </c>
    </row>
    <row r="468" spans="1:23">
      <c r="A468" t="s">
        <v>17</v>
      </c>
      <c r="B468">
        <v>481978</v>
      </c>
      <c r="C468">
        <v>14</v>
      </c>
      <c r="D468">
        <v>30</v>
      </c>
      <c r="E468">
        <v>66</v>
      </c>
      <c r="F468">
        <v>9</v>
      </c>
      <c r="G468">
        <v>20</v>
      </c>
      <c r="H468">
        <v>25</v>
      </c>
      <c r="I468">
        <v>15</v>
      </c>
      <c r="J468">
        <v>0</v>
      </c>
      <c r="K468">
        <v>6.1550000000000002</v>
      </c>
      <c r="L468">
        <v>16.95</v>
      </c>
      <c r="M468">
        <v>55.835000000000001</v>
      </c>
      <c r="N468">
        <v>19.48</v>
      </c>
      <c r="O468">
        <v>1673</v>
      </c>
      <c r="P468">
        <v>0</v>
      </c>
      <c r="Q468" s="5" t="e">
        <f>IF(AND(#REF!&gt;=table!$C$6,#REF!&lt;= table!$D$6),-1,IF(AND(#REF!&gt;=table!$E$6,#REF!&lt;=table!$F$6),1,0))</f>
        <v>#REF!</v>
      </c>
      <c r="R468" s="5" t="e">
        <f>IF(AND(#REF!&gt;=table!$C$7,#REF!&lt;= table!$D$7),-1,IF(AND(#REF!&gt;=table!$E$7,#REF!&lt;=table!$F$7),1,0))</f>
        <v>#REF!</v>
      </c>
      <c r="S468" s="5" t="e">
        <f>IF(AND(#REF!&gt;=table!$C$8,#REF!&lt;= table!$D$8),-1,IF(AND(#REF!&gt;=table!$E$8,#REF!&lt;=table!$F$8),1,0))</f>
        <v>#REF!</v>
      </c>
      <c r="T468" s="5"/>
      <c r="U468" s="5" t="e">
        <f>IF(AND(#REF!&gt;=table!$C$10,#REF!&lt;= table!$D$10),-1,IF(AND(#REF!&gt;=table!$E$10,#REF!&lt;=table!$F$10),1,0))</f>
        <v>#REF!</v>
      </c>
      <c r="V468" s="5" t="e">
        <f>IF(AND(#REF!&gt;=table!$C$11,#REF!&lt;= table!$D$11),-1,IF(AND(#REF!&gt;=table!$E$11,#REF!&lt;=table!$F$11),1,0))</f>
        <v>#REF!</v>
      </c>
      <c r="W468" s="5" t="e">
        <f>CONCATENATE(dados[[#This Row],[fator1]],dados[[#This Row],[fator5]],dados[[#This Row],[fator6]])</f>
        <v>#REF!</v>
      </c>
    </row>
    <row r="469" spans="1:23">
      <c r="A469" t="s">
        <v>17</v>
      </c>
      <c r="B469">
        <v>481980</v>
      </c>
      <c r="C469">
        <v>7</v>
      </c>
      <c r="D469">
        <v>30</v>
      </c>
      <c r="E469">
        <v>175</v>
      </c>
      <c r="F469">
        <v>3</v>
      </c>
      <c r="G469">
        <v>25</v>
      </c>
      <c r="H469">
        <v>18</v>
      </c>
      <c r="I469">
        <v>220</v>
      </c>
      <c r="J469">
        <v>0</v>
      </c>
      <c r="K469">
        <v>3.6333000000000002</v>
      </c>
      <c r="L469">
        <v>7.2</v>
      </c>
      <c r="M469">
        <v>162.85</v>
      </c>
      <c r="N469">
        <v>11.24</v>
      </c>
      <c r="O469">
        <v>1650</v>
      </c>
      <c r="P469">
        <v>884</v>
      </c>
      <c r="Q469" s="5" t="e">
        <f>IF(AND(#REF!&gt;=table!$C$6,#REF!&lt;= table!$D$6),-1,IF(AND(#REF!&gt;=table!$E$6,#REF!&lt;=table!$F$6),1,0))</f>
        <v>#REF!</v>
      </c>
      <c r="R469" s="5" t="e">
        <f>IF(AND(#REF!&gt;=table!$C$7,#REF!&lt;= table!$D$7),-1,IF(AND(#REF!&gt;=table!$E$7,#REF!&lt;=table!$F$7),1,0))</f>
        <v>#REF!</v>
      </c>
      <c r="S469" s="5" t="e">
        <f>IF(AND(#REF!&gt;=table!$C$8,#REF!&lt;= table!$D$8),-1,IF(AND(#REF!&gt;=table!$E$8,#REF!&lt;=table!$F$8),1,0))</f>
        <v>#REF!</v>
      </c>
      <c r="T469" s="5"/>
      <c r="U469" s="5" t="e">
        <f>IF(AND(#REF!&gt;=table!$C$10,#REF!&lt;= table!$D$10),-1,IF(AND(#REF!&gt;=table!$E$10,#REF!&lt;=table!$F$10),1,0))</f>
        <v>#REF!</v>
      </c>
      <c r="V469" s="5" t="e">
        <f>IF(AND(#REF!&gt;=table!$C$11,#REF!&lt;= table!$D$11),-1,IF(AND(#REF!&gt;=table!$E$11,#REF!&lt;=table!$F$11),1,0))</f>
        <v>#REF!</v>
      </c>
      <c r="W469" s="5" t="e">
        <f>CONCATENATE(dados[[#This Row],[fator1]],dados[[#This Row],[fator5]],dados[[#This Row],[fator6]])</f>
        <v>#REF!</v>
      </c>
    </row>
    <row r="470" spans="1:23">
      <c r="A470" t="s">
        <v>17</v>
      </c>
      <c r="B470">
        <v>481981</v>
      </c>
      <c r="C470">
        <v>14</v>
      </c>
      <c r="D470">
        <v>30</v>
      </c>
      <c r="E470">
        <v>66</v>
      </c>
      <c r="F470">
        <v>9</v>
      </c>
      <c r="G470">
        <v>20</v>
      </c>
      <c r="H470">
        <v>25</v>
      </c>
      <c r="I470">
        <v>598</v>
      </c>
      <c r="J470">
        <v>0</v>
      </c>
      <c r="K470">
        <v>5.4750000000000005</v>
      </c>
      <c r="L470">
        <v>8.5350000000000001</v>
      </c>
      <c r="M470">
        <v>62.095000000000006</v>
      </c>
      <c r="N470">
        <v>14.85</v>
      </c>
      <c r="O470">
        <v>1694</v>
      </c>
      <c r="P470">
        <v>874</v>
      </c>
      <c r="Q470" s="5" t="e">
        <f>IF(AND(#REF!&gt;=table!$C$6,#REF!&lt;= table!$D$6),-1,IF(AND(#REF!&gt;=table!$E$6,#REF!&lt;=table!$F$6),1,0))</f>
        <v>#REF!</v>
      </c>
      <c r="R470" s="5" t="e">
        <f>IF(AND(#REF!&gt;=table!$C$7,#REF!&lt;= table!$D$7),-1,IF(AND(#REF!&gt;=table!$E$7,#REF!&lt;=table!$F$7),1,0))</f>
        <v>#REF!</v>
      </c>
      <c r="S470" s="5" t="e">
        <f>IF(AND(#REF!&gt;=table!$C$8,#REF!&lt;= table!$D$8),-1,IF(AND(#REF!&gt;=table!$E$8,#REF!&lt;=table!$F$8),1,0))</f>
        <v>#REF!</v>
      </c>
      <c r="T470" s="5"/>
      <c r="U470" s="5" t="e">
        <f>IF(AND(#REF!&gt;=table!$C$10,#REF!&lt;= table!$D$10),-1,IF(AND(#REF!&gt;=table!$E$10,#REF!&lt;=table!$F$10),1,0))</f>
        <v>#REF!</v>
      </c>
      <c r="V470" s="5" t="e">
        <f>IF(AND(#REF!&gt;=table!$C$11,#REF!&lt;= table!$D$11),-1,IF(AND(#REF!&gt;=table!$E$11,#REF!&lt;=table!$F$11),1,0))</f>
        <v>#REF!</v>
      </c>
      <c r="W470" s="5" t="e">
        <f>CONCATENATE(dados[[#This Row],[fator1]],dados[[#This Row],[fator5]],dados[[#This Row],[fator6]])</f>
        <v>#REF!</v>
      </c>
    </row>
    <row r="471" spans="1:23">
      <c r="A471" t="s">
        <v>17</v>
      </c>
      <c r="B471">
        <v>481982</v>
      </c>
      <c r="C471">
        <v>14</v>
      </c>
      <c r="D471">
        <v>30</v>
      </c>
      <c r="E471">
        <v>66</v>
      </c>
      <c r="F471">
        <v>9</v>
      </c>
      <c r="G471">
        <v>20</v>
      </c>
      <c r="H471">
        <v>25</v>
      </c>
      <c r="I471">
        <v>1087</v>
      </c>
      <c r="J471">
        <v>0</v>
      </c>
      <c r="K471">
        <v>4.3</v>
      </c>
      <c r="L471">
        <v>9</v>
      </c>
      <c r="M471">
        <v>64.73</v>
      </c>
      <c r="N471">
        <v>12.88</v>
      </c>
      <c r="O471">
        <v>1677</v>
      </c>
      <c r="P471">
        <v>1069</v>
      </c>
      <c r="Q471" s="5" t="e">
        <f>IF(AND(#REF!&gt;=table!$C$6,#REF!&lt;= table!$D$6),-1,IF(AND(#REF!&gt;=table!$E$6,#REF!&lt;=table!$F$6),1,0))</f>
        <v>#REF!</v>
      </c>
      <c r="R471" s="5" t="e">
        <f>IF(AND(#REF!&gt;=table!$C$7,#REF!&lt;= table!$D$7),-1,IF(AND(#REF!&gt;=table!$E$7,#REF!&lt;=table!$F$7),1,0))</f>
        <v>#REF!</v>
      </c>
      <c r="S471" s="5" t="e">
        <f>IF(AND(#REF!&gt;=table!$C$8,#REF!&lt;= table!$D$8),-1,IF(AND(#REF!&gt;=table!$E$8,#REF!&lt;=table!$F$8),1,0))</f>
        <v>#REF!</v>
      </c>
      <c r="T471" s="5"/>
      <c r="U471" s="5" t="e">
        <f>IF(AND(#REF!&gt;=table!$C$10,#REF!&lt;= table!$D$10),-1,IF(AND(#REF!&gt;=table!$E$10,#REF!&lt;=table!$F$10),1,0))</f>
        <v>#REF!</v>
      </c>
      <c r="V471" s="5" t="e">
        <f>IF(AND(#REF!&gt;=table!$C$11,#REF!&lt;= table!$D$11),-1,IF(AND(#REF!&gt;=table!$E$11,#REF!&lt;=table!$F$11),1,0))</f>
        <v>#REF!</v>
      </c>
      <c r="W471" s="5" t="e">
        <f>CONCATENATE(dados[[#This Row],[fator1]],dados[[#This Row],[fator5]],dados[[#This Row],[fator6]])</f>
        <v>#REF!</v>
      </c>
    </row>
    <row r="472" spans="1:23">
      <c r="A472" t="s">
        <v>17</v>
      </c>
      <c r="B472">
        <v>481985</v>
      </c>
      <c r="C472">
        <v>7</v>
      </c>
      <c r="D472">
        <v>30</v>
      </c>
      <c r="E472">
        <v>175</v>
      </c>
      <c r="F472">
        <v>3</v>
      </c>
      <c r="G472">
        <v>25</v>
      </c>
      <c r="H472">
        <v>18</v>
      </c>
      <c r="I472">
        <v>1346</v>
      </c>
      <c r="J472">
        <v>0</v>
      </c>
      <c r="K472">
        <v>4.3450000000000006</v>
      </c>
      <c r="L472">
        <v>7.125</v>
      </c>
      <c r="M472">
        <v>147.1</v>
      </c>
      <c r="N472">
        <v>12.950000000000001</v>
      </c>
      <c r="O472">
        <v>1676</v>
      </c>
      <c r="P472">
        <v>1106</v>
      </c>
      <c r="Q472" s="5" t="e">
        <f>IF(AND(#REF!&gt;=table!$C$6,#REF!&lt;= table!$D$6),-1,IF(AND(#REF!&gt;=table!$E$6,#REF!&lt;=table!$F$6),1,0))</f>
        <v>#REF!</v>
      </c>
      <c r="R472" s="5" t="e">
        <f>IF(AND(#REF!&gt;=table!$C$7,#REF!&lt;= table!$D$7),-1,IF(AND(#REF!&gt;=table!$E$7,#REF!&lt;=table!$F$7),1,0))</f>
        <v>#REF!</v>
      </c>
      <c r="S472" s="5" t="e">
        <f>IF(AND(#REF!&gt;=table!$C$8,#REF!&lt;= table!$D$8),-1,IF(AND(#REF!&gt;=table!$E$8,#REF!&lt;=table!$F$8),1,0))</f>
        <v>#REF!</v>
      </c>
      <c r="T472" s="5"/>
      <c r="U472" s="5" t="e">
        <f>IF(AND(#REF!&gt;=table!$C$10,#REF!&lt;= table!$D$10),-1,IF(AND(#REF!&gt;=table!$E$10,#REF!&lt;=table!$F$10),1,0))</f>
        <v>#REF!</v>
      </c>
      <c r="V472" s="5" t="e">
        <f>IF(AND(#REF!&gt;=table!$C$11,#REF!&lt;= table!$D$11),-1,IF(AND(#REF!&gt;=table!$E$11,#REF!&lt;=table!$F$11),1,0))</f>
        <v>#REF!</v>
      </c>
      <c r="W472" s="5" t="e">
        <f>CONCATENATE(dados[[#This Row],[fator1]],dados[[#This Row],[fator5]],dados[[#This Row],[fator6]])</f>
        <v>#REF!</v>
      </c>
    </row>
    <row r="473" spans="1:23">
      <c r="A473" t="s">
        <v>17</v>
      </c>
      <c r="B473">
        <v>481986</v>
      </c>
      <c r="C473">
        <v>7</v>
      </c>
      <c r="D473">
        <v>30</v>
      </c>
      <c r="E473">
        <v>175</v>
      </c>
      <c r="F473">
        <v>3</v>
      </c>
      <c r="G473">
        <v>25</v>
      </c>
      <c r="H473">
        <v>18</v>
      </c>
      <c r="I473">
        <v>846</v>
      </c>
      <c r="J473">
        <v>0</v>
      </c>
      <c r="K473">
        <v>4.6349999999999998</v>
      </c>
      <c r="L473">
        <v>7.5</v>
      </c>
      <c r="M473">
        <v>148.65</v>
      </c>
      <c r="N473">
        <v>13.55</v>
      </c>
      <c r="O473">
        <v>1700</v>
      </c>
      <c r="P473">
        <v>1132</v>
      </c>
      <c r="Q473" s="5" t="e">
        <f>IF(AND(#REF!&gt;=table!$C$6,#REF!&lt;= table!$D$6),-1,IF(AND(#REF!&gt;=table!$E$6,#REF!&lt;=table!$F$6),1,0))</f>
        <v>#REF!</v>
      </c>
      <c r="R473" s="5" t="e">
        <f>IF(AND(#REF!&gt;=table!$C$7,#REF!&lt;= table!$D$7),-1,IF(AND(#REF!&gt;=table!$E$7,#REF!&lt;=table!$F$7),1,0))</f>
        <v>#REF!</v>
      </c>
      <c r="S473" s="5" t="e">
        <f>IF(AND(#REF!&gt;=table!$C$8,#REF!&lt;= table!$D$8),-1,IF(AND(#REF!&gt;=table!$E$8,#REF!&lt;=table!$F$8),1,0))</f>
        <v>#REF!</v>
      </c>
      <c r="T473" s="5"/>
      <c r="U473" s="5" t="e">
        <f>IF(AND(#REF!&gt;=table!$C$10,#REF!&lt;= table!$D$10),-1,IF(AND(#REF!&gt;=table!$E$10,#REF!&lt;=table!$F$10),1,0))</f>
        <v>#REF!</v>
      </c>
      <c r="V473" s="5" t="e">
        <f>IF(AND(#REF!&gt;=table!$C$11,#REF!&lt;= table!$D$11),-1,IF(AND(#REF!&gt;=table!$E$11,#REF!&lt;=table!$F$11),1,0))</f>
        <v>#REF!</v>
      </c>
      <c r="W473" s="5" t="e">
        <f>CONCATENATE(dados[[#This Row],[fator1]],dados[[#This Row],[fator5]],dados[[#This Row],[fator6]])</f>
        <v>#REF!</v>
      </c>
    </row>
    <row r="474" spans="1:23">
      <c r="A474" t="s">
        <v>17</v>
      </c>
      <c r="B474">
        <v>481997</v>
      </c>
      <c r="C474">
        <v>18</v>
      </c>
      <c r="D474">
        <v>30</v>
      </c>
      <c r="E474">
        <v>136</v>
      </c>
      <c r="F474">
        <v>3</v>
      </c>
      <c r="G474">
        <v>20</v>
      </c>
      <c r="H474">
        <v>25</v>
      </c>
      <c r="I474">
        <v>569</v>
      </c>
      <c r="J474">
        <v>490</v>
      </c>
      <c r="K474">
        <v>5.7700000000000005</v>
      </c>
      <c r="L474">
        <v>9.8000000000000007</v>
      </c>
      <c r="M474">
        <v>75.350000000000009</v>
      </c>
      <c r="N474">
        <v>15.1</v>
      </c>
      <c r="O474">
        <v>1666</v>
      </c>
      <c r="P474">
        <v>685</v>
      </c>
      <c r="Q474" s="5" t="e">
        <f>IF(AND(#REF!&gt;=table!$C$6,#REF!&lt;= table!$D$6),-1,IF(AND(#REF!&gt;=table!$E$6,#REF!&lt;=table!$F$6),1,0))</f>
        <v>#REF!</v>
      </c>
      <c r="R474" s="5" t="e">
        <f>IF(AND(#REF!&gt;=table!$C$7,#REF!&lt;= table!$D$7),-1,IF(AND(#REF!&gt;=table!$E$7,#REF!&lt;=table!$F$7),1,0))</f>
        <v>#REF!</v>
      </c>
      <c r="S474" s="5" t="e">
        <f>IF(AND(#REF!&gt;=table!$C$8,#REF!&lt;= table!$D$8),-1,IF(AND(#REF!&gt;=table!$E$8,#REF!&lt;=table!$F$8),1,0))</f>
        <v>#REF!</v>
      </c>
      <c r="T474" s="5"/>
      <c r="U474" s="5" t="e">
        <f>IF(AND(#REF!&gt;=table!$C$10,#REF!&lt;= table!$D$10),-1,IF(AND(#REF!&gt;=table!$E$10,#REF!&lt;=table!$F$10),1,0))</f>
        <v>#REF!</v>
      </c>
      <c r="V474" s="5" t="e">
        <f>IF(AND(#REF!&gt;=table!$C$11,#REF!&lt;= table!$D$11),-1,IF(AND(#REF!&gt;=table!$E$11,#REF!&lt;=table!$F$11),1,0))</f>
        <v>#REF!</v>
      </c>
      <c r="W474" s="5" t="e">
        <f>CONCATENATE(dados[[#This Row],[fator1]],dados[[#This Row],[fator5]],dados[[#This Row],[fator6]])</f>
        <v>#REF!</v>
      </c>
    </row>
    <row r="475" spans="1:23">
      <c r="A475" t="s">
        <v>17</v>
      </c>
      <c r="B475">
        <v>481998</v>
      </c>
      <c r="C475">
        <v>18</v>
      </c>
      <c r="D475">
        <v>30</v>
      </c>
      <c r="E475">
        <v>136</v>
      </c>
      <c r="F475">
        <v>3</v>
      </c>
      <c r="G475">
        <v>20</v>
      </c>
      <c r="H475">
        <v>25</v>
      </c>
      <c r="I475">
        <v>265</v>
      </c>
      <c r="J475">
        <v>0</v>
      </c>
      <c r="K475">
        <v>5.07</v>
      </c>
      <c r="L475">
        <v>14.01</v>
      </c>
      <c r="M475">
        <v>135.9</v>
      </c>
      <c r="N475">
        <v>22.900000000000002</v>
      </c>
      <c r="O475">
        <v>1679</v>
      </c>
      <c r="P475">
        <v>811</v>
      </c>
      <c r="Q475" s="5" t="e">
        <f>IF(AND(#REF!&gt;=table!$C$6,#REF!&lt;= table!$D$6),-1,IF(AND(#REF!&gt;=table!$E$6,#REF!&lt;=table!$F$6),1,0))</f>
        <v>#REF!</v>
      </c>
      <c r="R475" s="5" t="e">
        <f>IF(AND(#REF!&gt;=table!$C$7,#REF!&lt;= table!$D$7),-1,IF(AND(#REF!&gt;=table!$E$7,#REF!&lt;=table!$F$7),1,0))</f>
        <v>#REF!</v>
      </c>
      <c r="S475" s="5" t="e">
        <f>IF(AND(#REF!&gt;=table!$C$8,#REF!&lt;= table!$D$8),-1,IF(AND(#REF!&gt;=table!$E$8,#REF!&lt;=table!$F$8),1,0))</f>
        <v>#REF!</v>
      </c>
      <c r="T475" s="5"/>
      <c r="U475" s="5" t="e">
        <f>IF(AND(#REF!&gt;=table!$C$10,#REF!&lt;= table!$D$10),-1,IF(AND(#REF!&gt;=table!$E$10,#REF!&lt;=table!$F$10),1,0))</f>
        <v>#REF!</v>
      </c>
      <c r="V475" s="5" t="e">
        <f>IF(AND(#REF!&gt;=table!$C$11,#REF!&lt;= table!$D$11),-1,IF(AND(#REF!&gt;=table!$E$11,#REF!&lt;=table!$F$11),1,0))</f>
        <v>#REF!</v>
      </c>
      <c r="W475" s="5" t="e">
        <f>CONCATENATE(dados[[#This Row],[fator1]],dados[[#This Row],[fator5]],dados[[#This Row],[fator6]])</f>
        <v>#REF!</v>
      </c>
    </row>
    <row r="476" spans="1:23">
      <c r="A476" t="s">
        <v>16</v>
      </c>
      <c r="B476">
        <v>482000</v>
      </c>
      <c r="C476">
        <v>0.15</v>
      </c>
      <c r="D476">
        <v>40</v>
      </c>
      <c r="E476">
        <v>64</v>
      </c>
      <c r="F476">
        <v>10</v>
      </c>
      <c r="G476">
        <v>0</v>
      </c>
      <c r="H476">
        <v>35</v>
      </c>
      <c r="I476">
        <v>854</v>
      </c>
      <c r="J476">
        <v>0</v>
      </c>
      <c r="K476">
        <v>2.88</v>
      </c>
      <c r="L476">
        <v>6.5350000000000001</v>
      </c>
      <c r="M476">
        <v>6.3500000000000005</v>
      </c>
      <c r="N476">
        <v>12.950000000000001</v>
      </c>
      <c r="O476">
        <v>1669</v>
      </c>
      <c r="P476">
        <v>1313</v>
      </c>
      <c r="Q476" s="5" t="e">
        <f>IF(AND(#REF!&gt;=table!$C$6,#REF!&lt;= table!$D$6),-1,IF(AND(#REF!&gt;=table!$E$6,#REF!&lt;=table!$F$6),1,0))</f>
        <v>#REF!</v>
      </c>
      <c r="R476" s="5" t="e">
        <f>IF(AND(#REF!&gt;=table!$C$7,#REF!&lt;= table!$D$7),-1,IF(AND(#REF!&gt;=table!$E$7,#REF!&lt;=table!$F$7),1,0))</f>
        <v>#REF!</v>
      </c>
      <c r="S476" s="5" t="e">
        <f>IF(AND(#REF!&gt;=table!$C$8,#REF!&lt;= table!$D$8),-1,IF(AND(#REF!&gt;=table!$E$8,#REF!&lt;=table!$F$8),1,0))</f>
        <v>#REF!</v>
      </c>
      <c r="T476" s="5"/>
      <c r="U476" s="5" t="e">
        <f>IF(AND(#REF!&gt;=table!$C$10,#REF!&lt;= table!$D$10),-1,IF(AND(#REF!&gt;=table!$E$10,#REF!&lt;=table!$F$10),1,0))</f>
        <v>#REF!</v>
      </c>
      <c r="V476" s="5" t="e">
        <f>IF(AND(#REF!&gt;=table!$C$11,#REF!&lt;= table!$D$11),-1,IF(AND(#REF!&gt;=table!$E$11,#REF!&lt;=table!$F$11),1,0))</f>
        <v>#REF!</v>
      </c>
      <c r="W476" s="5" t="e">
        <f>CONCATENATE(dados[[#This Row],[fator1]],dados[[#This Row],[fator5]],dados[[#This Row],[fator6]])</f>
        <v>#REF!</v>
      </c>
    </row>
    <row r="477" spans="1:23">
      <c r="A477" t="s">
        <v>16</v>
      </c>
      <c r="B477">
        <v>482001</v>
      </c>
      <c r="C477">
        <v>0.15</v>
      </c>
      <c r="D477">
        <v>40</v>
      </c>
      <c r="E477">
        <v>64</v>
      </c>
      <c r="F477">
        <v>10</v>
      </c>
      <c r="G477">
        <v>0</v>
      </c>
      <c r="H477">
        <v>35</v>
      </c>
      <c r="I477">
        <v>186</v>
      </c>
      <c r="J477">
        <v>0</v>
      </c>
      <c r="K477">
        <v>3.42</v>
      </c>
      <c r="L477">
        <v>12.3</v>
      </c>
      <c r="M477">
        <v>10.950000000000001</v>
      </c>
      <c r="N477">
        <v>14.200000000000001</v>
      </c>
      <c r="O477">
        <v>1693</v>
      </c>
      <c r="P477">
        <v>0</v>
      </c>
      <c r="Q477" s="5" t="e">
        <f>IF(AND(#REF!&gt;=table!$C$6,#REF!&lt;= table!$D$6),-1,IF(AND(#REF!&gt;=table!$E$6,#REF!&lt;=table!$F$6),1,0))</f>
        <v>#REF!</v>
      </c>
      <c r="R477" s="5" t="e">
        <f>IF(AND(#REF!&gt;=table!$C$7,#REF!&lt;= table!$D$7),-1,IF(AND(#REF!&gt;=table!$E$7,#REF!&lt;=table!$F$7),1,0))</f>
        <v>#REF!</v>
      </c>
      <c r="S477" s="5" t="e">
        <f>IF(AND(#REF!&gt;=table!$C$8,#REF!&lt;= table!$D$8),-1,IF(AND(#REF!&gt;=table!$E$8,#REF!&lt;=table!$F$8),1,0))</f>
        <v>#REF!</v>
      </c>
      <c r="T477" s="5"/>
      <c r="U477" s="5" t="e">
        <f>IF(AND(#REF!&gt;=table!$C$10,#REF!&lt;= table!$D$10),-1,IF(AND(#REF!&gt;=table!$E$10,#REF!&lt;=table!$F$10),1,0))</f>
        <v>#REF!</v>
      </c>
      <c r="V477" s="5" t="e">
        <f>IF(AND(#REF!&gt;=table!$C$11,#REF!&lt;= table!$D$11),-1,IF(AND(#REF!&gt;=table!$E$11,#REF!&lt;=table!$F$11),1,0))</f>
        <v>#REF!</v>
      </c>
      <c r="W477" s="5" t="e">
        <f>CONCATENATE(dados[[#This Row],[fator1]],dados[[#This Row],[fator5]],dados[[#This Row],[fator6]])</f>
        <v>#REF!</v>
      </c>
    </row>
    <row r="478" spans="1:23">
      <c r="A478" t="s">
        <v>17</v>
      </c>
      <c r="B478">
        <v>482010</v>
      </c>
      <c r="C478">
        <v>7</v>
      </c>
      <c r="D478">
        <v>30</v>
      </c>
      <c r="E478">
        <v>175</v>
      </c>
      <c r="F478">
        <v>3</v>
      </c>
      <c r="G478">
        <v>25</v>
      </c>
      <c r="H478">
        <v>18</v>
      </c>
      <c r="I478">
        <v>812</v>
      </c>
      <c r="J478">
        <v>0</v>
      </c>
      <c r="K478">
        <v>2.2845</v>
      </c>
      <c r="L478">
        <v>4.9350000000000005</v>
      </c>
      <c r="M478">
        <v>179.4</v>
      </c>
      <c r="N478">
        <v>11.77</v>
      </c>
      <c r="O478">
        <v>1687</v>
      </c>
      <c r="P478">
        <v>1360</v>
      </c>
      <c r="Q478" s="5" t="e">
        <f>IF(AND(#REF!&gt;=table!$C$6,#REF!&lt;= table!$D$6),-1,IF(AND(#REF!&gt;=table!$E$6,#REF!&lt;=table!$F$6),1,0))</f>
        <v>#REF!</v>
      </c>
      <c r="R478" s="5" t="e">
        <f>IF(AND(#REF!&gt;=table!$C$7,#REF!&lt;= table!$D$7),-1,IF(AND(#REF!&gt;=table!$E$7,#REF!&lt;=table!$F$7),1,0))</f>
        <v>#REF!</v>
      </c>
      <c r="S478" s="5" t="e">
        <f>IF(AND(#REF!&gt;=table!$C$8,#REF!&lt;= table!$D$8),-1,IF(AND(#REF!&gt;=table!$E$8,#REF!&lt;=table!$F$8),1,0))</f>
        <v>#REF!</v>
      </c>
      <c r="T478" s="5"/>
      <c r="U478" s="5" t="e">
        <f>IF(AND(#REF!&gt;=table!$C$10,#REF!&lt;= table!$D$10),-1,IF(AND(#REF!&gt;=table!$E$10,#REF!&lt;=table!$F$10),1,0))</f>
        <v>#REF!</v>
      </c>
      <c r="V478" s="5" t="e">
        <f>IF(AND(#REF!&gt;=table!$C$11,#REF!&lt;= table!$D$11),-1,IF(AND(#REF!&gt;=table!$E$11,#REF!&lt;=table!$F$11),1,0))</f>
        <v>#REF!</v>
      </c>
      <c r="W478" s="5" t="e">
        <f>CONCATENATE(dados[[#This Row],[fator1]],dados[[#This Row],[fator5]],dados[[#This Row],[fator6]])</f>
        <v>#REF!</v>
      </c>
    </row>
    <row r="479" spans="1:23">
      <c r="A479" t="s">
        <v>17</v>
      </c>
      <c r="B479">
        <v>482011</v>
      </c>
      <c r="C479">
        <v>14</v>
      </c>
      <c r="D479">
        <v>30</v>
      </c>
      <c r="E479">
        <v>110</v>
      </c>
      <c r="F479">
        <v>4</v>
      </c>
      <c r="G479">
        <v>20</v>
      </c>
      <c r="H479">
        <v>22</v>
      </c>
      <c r="I479">
        <v>1054</v>
      </c>
      <c r="J479">
        <v>330</v>
      </c>
      <c r="K479">
        <v>4.4000000000000004</v>
      </c>
      <c r="L479">
        <v>14.995000000000001</v>
      </c>
      <c r="M479">
        <v>95.704999999999998</v>
      </c>
      <c r="N479">
        <v>15.875</v>
      </c>
      <c r="O479">
        <v>1745</v>
      </c>
      <c r="P479">
        <v>1041</v>
      </c>
      <c r="Q479" s="5" t="e">
        <f>IF(AND(#REF!&gt;=table!$C$6,#REF!&lt;= table!$D$6),-1,IF(AND(#REF!&gt;=table!$E$6,#REF!&lt;=table!$F$6),1,0))</f>
        <v>#REF!</v>
      </c>
      <c r="R479" s="5" t="e">
        <f>IF(AND(#REF!&gt;=table!$C$7,#REF!&lt;= table!$D$7),-1,IF(AND(#REF!&gt;=table!$E$7,#REF!&lt;=table!$F$7),1,0))</f>
        <v>#REF!</v>
      </c>
      <c r="S479" s="5" t="e">
        <f>IF(AND(#REF!&gt;=table!$C$8,#REF!&lt;= table!$D$8),-1,IF(AND(#REF!&gt;=table!$E$8,#REF!&lt;=table!$F$8),1,0))</f>
        <v>#REF!</v>
      </c>
      <c r="T479" s="5"/>
      <c r="U479" s="5" t="e">
        <f>IF(AND(#REF!&gt;=table!$C$10,#REF!&lt;= table!$D$10),-1,IF(AND(#REF!&gt;=table!$E$10,#REF!&lt;=table!$F$10),1,0))</f>
        <v>#REF!</v>
      </c>
      <c r="V479" s="5" t="e">
        <f>IF(AND(#REF!&gt;=table!$C$11,#REF!&lt;= table!$D$11),-1,IF(AND(#REF!&gt;=table!$E$11,#REF!&lt;=table!$F$11),1,0))</f>
        <v>#REF!</v>
      </c>
      <c r="W479" s="5" t="e">
        <f>CONCATENATE(dados[[#This Row],[fator1]],dados[[#This Row],[fator5]],dados[[#This Row],[fator6]])</f>
        <v>#REF!</v>
      </c>
    </row>
    <row r="480" spans="1:23">
      <c r="A480" t="s">
        <v>17</v>
      </c>
      <c r="B480">
        <v>482012</v>
      </c>
      <c r="C480">
        <v>27</v>
      </c>
      <c r="D480">
        <v>33</v>
      </c>
      <c r="E480">
        <v>125</v>
      </c>
      <c r="F480">
        <v>3</v>
      </c>
      <c r="G480">
        <v>18</v>
      </c>
      <c r="H480">
        <v>18</v>
      </c>
      <c r="I480">
        <v>593</v>
      </c>
      <c r="J480">
        <v>1770</v>
      </c>
      <c r="K480">
        <v>2.38</v>
      </c>
      <c r="L480">
        <v>4.3</v>
      </c>
      <c r="M480">
        <v>121.60000000000001</v>
      </c>
      <c r="N480">
        <v>12</v>
      </c>
      <c r="O480">
        <v>1667</v>
      </c>
      <c r="P480">
        <v>871</v>
      </c>
      <c r="Q480" s="5" t="e">
        <f>IF(AND(#REF!&gt;=table!$C$6,#REF!&lt;= table!$D$6),-1,IF(AND(#REF!&gt;=table!$E$6,#REF!&lt;=table!$F$6),1,0))</f>
        <v>#REF!</v>
      </c>
      <c r="R480" s="5" t="e">
        <f>IF(AND(#REF!&gt;=table!$C$7,#REF!&lt;= table!$D$7),-1,IF(AND(#REF!&gt;=table!$E$7,#REF!&lt;=table!$F$7),1,0))</f>
        <v>#REF!</v>
      </c>
      <c r="S480" s="5" t="e">
        <f>IF(AND(#REF!&gt;=table!$C$8,#REF!&lt;= table!$D$8),-1,IF(AND(#REF!&gt;=table!$E$8,#REF!&lt;=table!$F$8),1,0))</f>
        <v>#REF!</v>
      </c>
      <c r="T480" s="5"/>
      <c r="U480" s="5" t="e">
        <f>IF(AND(#REF!&gt;=table!$C$10,#REF!&lt;= table!$D$10),-1,IF(AND(#REF!&gt;=table!$E$10,#REF!&lt;=table!$F$10),1,0))</f>
        <v>#REF!</v>
      </c>
      <c r="V480" s="5" t="e">
        <f>IF(AND(#REF!&gt;=table!$C$11,#REF!&lt;= table!$D$11),-1,IF(AND(#REF!&gt;=table!$E$11,#REF!&lt;=table!$F$11),1,0))</f>
        <v>#REF!</v>
      </c>
      <c r="W480" s="5" t="e">
        <f>CONCATENATE(dados[[#This Row],[fator1]],dados[[#This Row],[fator5]],dados[[#This Row],[fator6]])</f>
        <v>#REF!</v>
      </c>
    </row>
    <row r="481" spans="1:23">
      <c r="A481" t="s">
        <v>17</v>
      </c>
      <c r="B481">
        <v>482013</v>
      </c>
      <c r="C481">
        <v>16</v>
      </c>
      <c r="D481">
        <v>35</v>
      </c>
      <c r="E481">
        <v>120</v>
      </c>
      <c r="F481">
        <v>4</v>
      </c>
      <c r="G481">
        <v>30</v>
      </c>
      <c r="H481">
        <v>20</v>
      </c>
      <c r="I481">
        <v>823</v>
      </c>
      <c r="J481">
        <v>720</v>
      </c>
      <c r="K481">
        <v>2.6040000000000001</v>
      </c>
      <c r="L481">
        <v>9.66</v>
      </c>
      <c r="M481">
        <v>100.65</v>
      </c>
      <c r="N481">
        <v>13.85</v>
      </c>
      <c r="O481">
        <v>1677</v>
      </c>
      <c r="P481">
        <v>874</v>
      </c>
      <c r="Q481" s="5" t="e">
        <f>IF(AND(#REF!&gt;=table!$C$6,#REF!&lt;= table!$D$6),-1,IF(AND(#REF!&gt;=table!$E$6,#REF!&lt;=table!$F$6),1,0))</f>
        <v>#REF!</v>
      </c>
      <c r="R481" s="5" t="e">
        <f>IF(AND(#REF!&gt;=table!$C$7,#REF!&lt;= table!$D$7),-1,IF(AND(#REF!&gt;=table!$E$7,#REF!&lt;=table!$F$7),1,0))</f>
        <v>#REF!</v>
      </c>
      <c r="S481" s="5" t="e">
        <f>IF(AND(#REF!&gt;=table!$C$8,#REF!&lt;= table!$D$8),-1,IF(AND(#REF!&gt;=table!$E$8,#REF!&lt;=table!$F$8),1,0))</f>
        <v>#REF!</v>
      </c>
      <c r="T481" s="5"/>
      <c r="U481" s="5" t="e">
        <f>IF(AND(#REF!&gt;=table!$C$10,#REF!&lt;= table!$D$10),-1,IF(AND(#REF!&gt;=table!$E$10,#REF!&lt;=table!$F$10),1,0))</f>
        <v>#REF!</v>
      </c>
      <c r="V481" s="5" t="e">
        <f>IF(AND(#REF!&gt;=table!$C$11,#REF!&lt;= table!$D$11),-1,IF(AND(#REF!&gt;=table!$E$11,#REF!&lt;=table!$F$11),1,0))</f>
        <v>#REF!</v>
      </c>
      <c r="W481" s="5" t="e">
        <f>CONCATENATE(dados[[#This Row],[fator1]],dados[[#This Row],[fator5]],dados[[#This Row],[fator6]])</f>
        <v>#REF!</v>
      </c>
    </row>
    <row r="482" spans="1:23">
      <c r="A482" t="s">
        <v>17</v>
      </c>
      <c r="B482">
        <v>482017</v>
      </c>
      <c r="C482">
        <v>18</v>
      </c>
      <c r="D482">
        <v>23</v>
      </c>
      <c r="E482">
        <v>145</v>
      </c>
      <c r="F482">
        <v>9</v>
      </c>
      <c r="G482">
        <v>30</v>
      </c>
      <c r="H482">
        <v>25</v>
      </c>
      <c r="I482">
        <v>677</v>
      </c>
      <c r="J482">
        <v>0</v>
      </c>
      <c r="K482">
        <v>5.15</v>
      </c>
      <c r="L482">
        <v>17.215</v>
      </c>
      <c r="M482">
        <v>119.45</v>
      </c>
      <c r="N482">
        <v>21.3</v>
      </c>
      <c r="O482">
        <v>1686</v>
      </c>
      <c r="P482">
        <v>734</v>
      </c>
      <c r="Q482" s="5" t="e">
        <f>IF(AND(#REF!&gt;=table!$C$6,#REF!&lt;= table!$D$6),-1,IF(AND(#REF!&gt;=table!$E$6,#REF!&lt;=table!$F$6),1,0))</f>
        <v>#REF!</v>
      </c>
      <c r="R482" s="5" t="e">
        <f>IF(AND(#REF!&gt;=table!$C$7,#REF!&lt;= table!$D$7),-1,IF(AND(#REF!&gt;=table!$E$7,#REF!&lt;=table!$F$7),1,0))</f>
        <v>#REF!</v>
      </c>
      <c r="S482" s="5" t="e">
        <f>IF(AND(#REF!&gt;=table!$C$8,#REF!&lt;= table!$D$8),-1,IF(AND(#REF!&gt;=table!$E$8,#REF!&lt;=table!$F$8),1,0))</f>
        <v>#REF!</v>
      </c>
      <c r="T482" s="5"/>
      <c r="U482" s="5" t="e">
        <f>IF(AND(#REF!&gt;=table!$C$10,#REF!&lt;= table!$D$10),-1,IF(AND(#REF!&gt;=table!$E$10,#REF!&lt;=table!$F$10),1,0))</f>
        <v>#REF!</v>
      </c>
      <c r="V482" s="5" t="e">
        <f>IF(AND(#REF!&gt;=table!$C$11,#REF!&lt;= table!$D$11),-1,IF(AND(#REF!&gt;=table!$E$11,#REF!&lt;=table!$F$11),1,0))</f>
        <v>#REF!</v>
      </c>
      <c r="W482" s="5" t="e">
        <f>CONCATENATE(dados[[#This Row],[fator1]],dados[[#This Row],[fator5]],dados[[#This Row],[fator6]])</f>
        <v>#REF!</v>
      </c>
    </row>
    <row r="483" spans="1:23">
      <c r="A483" t="s">
        <v>17</v>
      </c>
      <c r="B483">
        <v>482018</v>
      </c>
      <c r="C483">
        <v>18</v>
      </c>
      <c r="D483">
        <v>23</v>
      </c>
      <c r="E483">
        <v>145</v>
      </c>
      <c r="F483">
        <v>9</v>
      </c>
      <c r="G483">
        <v>30</v>
      </c>
      <c r="H483">
        <v>25</v>
      </c>
      <c r="I483">
        <v>978</v>
      </c>
      <c r="J483">
        <v>0</v>
      </c>
      <c r="K483">
        <v>7.9550000000000001</v>
      </c>
      <c r="L483">
        <v>9.9</v>
      </c>
      <c r="M483">
        <v>128.5</v>
      </c>
      <c r="N483">
        <v>18.7</v>
      </c>
      <c r="O483">
        <v>1699</v>
      </c>
      <c r="P483">
        <v>485</v>
      </c>
      <c r="Q483" s="5" t="e">
        <f>IF(AND(#REF!&gt;=table!$C$6,#REF!&lt;= table!$D$6),-1,IF(AND(#REF!&gt;=table!$E$6,#REF!&lt;=table!$F$6),1,0))</f>
        <v>#REF!</v>
      </c>
      <c r="R483" s="5" t="e">
        <f>IF(AND(#REF!&gt;=table!$C$7,#REF!&lt;= table!$D$7),-1,IF(AND(#REF!&gt;=table!$E$7,#REF!&lt;=table!$F$7),1,0))</f>
        <v>#REF!</v>
      </c>
      <c r="S483" s="5" t="e">
        <f>IF(AND(#REF!&gt;=table!$C$8,#REF!&lt;= table!$D$8),-1,IF(AND(#REF!&gt;=table!$E$8,#REF!&lt;=table!$F$8),1,0))</f>
        <v>#REF!</v>
      </c>
      <c r="T483" s="5"/>
      <c r="U483" s="5" t="e">
        <f>IF(AND(#REF!&gt;=table!$C$10,#REF!&lt;= table!$D$10),-1,IF(AND(#REF!&gt;=table!$E$10,#REF!&lt;=table!$F$10),1,0))</f>
        <v>#REF!</v>
      </c>
      <c r="V483" s="5" t="e">
        <f>IF(AND(#REF!&gt;=table!$C$11,#REF!&lt;= table!$D$11),-1,IF(AND(#REF!&gt;=table!$E$11,#REF!&lt;=table!$F$11),1,0))</f>
        <v>#REF!</v>
      </c>
      <c r="W483" s="5" t="e">
        <f>CONCATENATE(dados[[#This Row],[fator1]],dados[[#This Row],[fator5]],dados[[#This Row],[fator6]])</f>
        <v>#REF!</v>
      </c>
    </row>
    <row r="484" spans="1:23">
      <c r="A484" t="s">
        <v>16</v>
      </c>
      <c r="B484">
        <v>482019</v>
      </c>
      <c r="C484">
        <v>11</v>
      </c>
      <c r="D484">
        <v>40</v>
      </c>
      <c r="E484">
        <v>151</v>
      </c>
      <c r="F484">
        <v>8</v>
      </c>
      <c r="G484">
        <v>0</v>
      </c>
      <c r="H484">
        <v>25</v>
      </c>
      <c r="I484">
        <v>1660</v>
      </c>
      <c r="J484">
        <v>640</v>
      </c>
      <c r="K484">
        <v>4.9350000000000005</v>
      </c>
      <c r="L484">
        <v>16.5</v>
      </c>
      <c r="M484">
        <v>103.75</v>
      </c>
      <c r="N484">
        <v>20.85</v>
      </c>
      <c r="O484">
        <v>1663</v>
      </c>
      <c r="P484">
        <v>601</v>
      </c>
      <c r="Q484" s="5" t="e">
        <f>IF(AND(#REF!&gt;=table!$C$6,#REF!&lt;= table!$D$6),-1,IF(AND(#REF!&gt;=table!$E$6,#REF!&lt;=table!$F$6),1,0))</f>
        <v>#REF!</v>
      </c>
      <c r="R484" s="5" t="e">
        <f>IF(AND(#REF!&gt;=table!$C$7,#REF!&lt;= table!$D$7),-1,IF(AND(#REF!&gt;=table!$E$7,#REF!&lt;=table!$F$7),1,0))</f>
        <v>#REF!</v>
      </c>
      <c r="S484" s="5" t="e">
        <f>IF(AND(#REF!&gt;=table!$C$8,#REF!&lt;= table!$D$8),-1,IF(AND(#REF!&gt;=table!$E$8,#REF!&lt;=table!$F$8),1,0))</f>
        <v>#REF!</v>
      </c>
      <c r="T484" s="5"/>
      <c r="U484" s="5" t="e">
        <f>IF(AND(#REF!&gt;=table!$C$10,#REF!&lt;= table!$D$10),-1,IF(AND(#REF!&gt;=table!$E$10,#REF!&lt;=table!$F$10),1,0))</f>
        <v>#REF!</v>
      </c>
      <c r="V484" s="5" t="e">
        <f>IF(AND(#REF!&gt;=table!$C$11,#REF!&lt;= table!$D$11),-1,IF(AND(#REF!&gt;=table!$E$11,#REF!&lt;=table!$F$11),1,0))</f>
        <v>#REF!</v>
      </c>
      <c r="W484" s="5" t="e">
        <f>CONCATENATE(dados[[#This Row],[fator1]],dados[[#This Row],[fator5]],dados[[#This Row],[fator6]])</f>
        <v>#REF!</v>
      </c>
    </row>
    <row r="485" spans="1:23">
      <c r="A485" t="s">
        <v>16</v>
      </c>
      <c r="B485">
        <v>482033</v>
      </c>
      <c r="C485">
        <v>10</v>
      </c>
      <c r="D485">
        <v>35</v>
      </c>
      <c r="E485">
        <v>170</v>
      </c>
      <c r="F485">
        <v>4</v>
      </c>
      <c r="G485">
        <v>0</v>
      </c>
      <c r="H485">
        <v>25</v>
      </c>
      <c r="I485">
        <v>205</v>
      </c>
      <c r="J485">
        <v>990</v>
      </c>
      <c r="K485">
        <v>4.33</v>
      </c>
      <c r="L485">
        <v>15.55</v>
      </c>
      <c r="M485">
        <v>141.5333</v>
      </c>
      <c r="N485">
        <v>18.25</v>
      </c>
      <c r="O485">
        <v>1687</v>
      </c>
      <c r="P485">
        <v>0</v>
      </c>
      <c r="Q485" s="5" t="e">
        <f>IF(AND(#REF!&gt;=table!$C$6,#REF!&lt;= table!$D$6),-1,IF(AND(#REF!&gt;=table!$E$6,#REF!&lt;=table!$F$6),1,0))</f>
        <v>#REF!</v>
      </c>
      <c r="R485" s="5" t="e">
        <f>IF(AND(#REF!&gt;=table!$C$7,#REF!&lt;= table!$D$7),-1,IF(AND(#REF!&gt;=table!$E$7,#REF!&lt;=table!$F$7),1,0))</f>
        <v>#REF!</v>
      </c>
      <c r="S485" s="5" t="e">
        <f>IF(AND(#REF!&gt;=table!$C$8,#REF!&lt;= table!$D$8),-1,IF(AND(#REF!&gt;=table!$E$8,#REF!&lt;=table!$F$8),1,0))</f>
        <v>#REF!</v>
      </c>
      <c r="T485" s="5"/>
      <c r="U485" s="5" t="e">
        <f>IF(AND(#REF!&gt;=table!$C$10,#REF!&lt;= table!$D$10),-1,IF(AND(#REF!&gt;=table!$E$10,#REF!&lt;=table!$F$10),1,0))</f>
        <v>#REF!</v>
      </c>
      <c r="V485" s="5" t="e">
        <f>IF(AND(#REF!&gt;=table!$C$11,#REF!&lt;= table!$D$11),-1,IF(AND(#REF!&gt;=table!$E$11,#REF!&lt;=table!$F$11),1,0))</f>
        <v>#REF!</v>
      </c>
      <c r="W485" s="5" t="e">
        <f>CONCATENATE(dados[[#This Row],[fator1]],dados[[#This Row],[fator5]],dados[[#This Row],[fator6]])</f>
        <v>#REF!</v>
      </c>
    </row>
    <row r="486" spans="1:23">
      <c r="A486" t="s">
        <v>16</v>
      </c>
      <c r="B486">
        <v>482034</v>
      </c>
      <c r="C486">
        <v>10</v>
      </c>
      <c r="D486">
        <v>30</v>
      </c>
      <c r="E486">
        <v>150</v>
      </c>
      <c r="F486">
        <v>4</v>
      </c>
      <c r="G486">
        <v>0</v>
      </c>
      <c r="H486">
        <v>25</v>
      </c>
      <c r="I486">
        <v>407</v>
      </c>
      <c r="J486">
        <v>0</v>
      </c>
      <c r="K486">
        <v>3.0050000000000003</v>
      </c>
      <c r="L486">
        <v>8.3000000000000007</v>
      </c>
      <c r="M486">
        <v>96.960000000000008</v>
      </c>
      <c r="N486">
        <v>15.74</v>
      </c>
      <c r="O486">
        <v>1670</v>
      </c>
      <c r="P486">
        <v>1238</v>
      </c>
      <c r="Q486" s="5" t="e">
        <f>IF(AND(#REF!&gt;=table!$C$6,#REF!&lt;= table!$D$6),-1,IF(AND(#REF!&gt;=table!$E$6,#REF!&lt;=table!$F$6),1,0))</f>
        <v>#REF!</v>
      </c>
      <c r="R486" s="5" t="e">
        <f>IF(AND(#REF!&gt;=table!$C$7,#REF!&lt;= table!$D$7),-1,IF(AND(#REF!&gt;=table!$E$7,#REF!&lt;=table!$F$7),1,0))</f>
        <v>#REF!</v>
      </c>
      <c r="S486" s="5" t="e">
        <f>IF(AND(#REF!&gt;=table!$C$8,#REF!&lt;= table!$D$8),-1,IF(AND(#REF!&gt;=table!$E$8,#REF!&lt;=table!$F$8),1,0))</f>
        <v>#REF!</v>
      </c>
      <c r="T486" s="5"/>
      <c r="U486" s="5" t="e">
        <f>IF(AND(#REF!&gt;=table!$C$10,#REF!&lt;= table!$D$10),-1,IF(AND(#REF!&gt;=table!$E$10,#REF!&lt;=table!$F$10),1,0))</f>
        <v>#REF!</v>
      </c>
      <c r="V486" s="5" t="e">
        <f>IF(AND(#REF!&gt;=table!$C$11,#REF!&lt;= table!$D$11),-1,IF(AND(#REF!&gt;=table!$E$11,#REF!&lt;=table!$F$11),1,0))</f>
        <v>#REF!</v>
      </c>
      <c r="W486" s="5" t="e">
        <f>CONCATENATE(dados[[#This Row],[fator1]],dados[[#This Row],[fator5]],dados[[#This Row],[fator6]])</f>
        <v>#REF!</v>
      </c>
    </row>
    <row r="487" spans="1:23">
      <c r="A487" t="s">
        <v>17</v>
      </c>
      <c r="B487">
        <v>482036</v>
      </c>
      <c r="C487">
        <v>4</v>
      </c>
      <c r="D487">
        <v>25</v>
      </c>
      <c r="E487">
        <v>23</v>
      </c>
      <c r="F487">
        <v>10</v>
      </c>
      <c r="G487">
        <v>110</v>
      </c>
      <c r="H487">
        <v>50</v>
      </c>
      <c r="I487">
        <v>1242</v>
      </c>
      <c r="J487">
        <v>1490</v>
      </c>
      <c r="K487">
        <v>4.2</v>
      </c>
      <c r="L487">
        <v>7.53</v>
      </c>
      <c r="M487">
        <v>16.100000000000001</v>
      </c>
      <c r="N487">
        <v>38.5</v>
      </c>
      <c r="O487">
        <v>1680</v>
      </c>
      <c r="P487">
        <v>1263</v>
      </c>
      <c r="Q487" s="5" t="e">
        <f>IF(AND(#REF!&gt;=table!$C$6,#REF!&lt;= table!$D$6),-1,IF(AND(#REF!&gt;=table!$E$6,#REF!&lt;=table!$F$6),1,0))</f>
        <v>#REF!</v>
      </c>
      <c r="R487" s="5" t="e">
        <f>IF(AND(#REF!&gt;=table!$C$7,#REF!&lt;= table!$D$7),-1,IF(AND(#REF!&gt;=table!$E$7,#REF!&lt;=table!$F$7),1,0))</f>
        <v>#REF!</v>
      </c>
      <c r="S487" s="5" t="e">
        <f>IF(AND(#REF!&gt;=table!$C$8,#REF!&lt;= table!$D$8),-1,IF(AND(#REF!&gt;=table!$E$8,#REF!&lt;=table!$F$8),1,0))</f>
        <v>#REF!</v>
      </c>
      <c r="T487" s="5"/>
      <c r="U487" s="5" t="e">
        <f>IF(AND(#REF!&gt;=table!$C$10,#REF!&lt;= table!$D$10),-1,IF(AND(#REF!&gt;=table!$E$10,#REF!&lt;=table!$F$10),1,0))</f>
        <v>#REF!</v>
      </c>
      <c r="V487" s="5" t="e">
        <f>IF(AND(#REF!&gt;=table!$C$11,#REF!&lt;= table!$D$11),-1,IF(AND(#REF!&gt;=table!$E$11,#REF!&lt;=table!$F$11),1,0))</f>
        <v>#REF!</v>
      </c>
      <c r="W487" s="5" t="e">
        <f>CONCATENATE(dados[[#This Row],[fator1]],dados[[#This Row],[fator5]],dados[[#This Row],[fator6]])</f>
        <v>#REF!</v>
      </c>
    </row>
    <row r="488" spans="1:23">
      <c r="A488" t="s">
        <v>17</v>
      </c>
      <c r="B488">
        <v>482038</v>
      </c>
      <c r="C488">
        <v>12</v>
      </c>
      <c r="D488">
        <v>30</v>
      </c>
      <c r="E488">
        <v>86</v>
      </c>
      <c r="F488">
        <v>10</v>
      </c>
      <c r="G488">
        <v>20</v>
      </c>
      <c r="H488">
        <v>25</v>
      </c>
      <c r="I488">
        <v>1245</v>
      </c>
      <c r="J488">
        <v>0</v>
      </c>
      <c r="K488">
        <v>3.4250000000000003</v>
      </c>
      <c r="L488">
        <v>10.050000000000001</v>
      </c>
      <c r="M488">
        <v>71.7</v>
      </c>
      <c r="N488">
        <v>13.35</v>
      </c>
      <c r="O488">
        <v>1672</v>
      </c>
      <c r="P488">
        <v>0</v>
      </c>
      <c r="Q488" s="5" t="e">
        <f>IF(AND(#REF!&gt;=table!$C$6,#REF!&lt;= table!$D$6),-1,IF(AND(#REF!&gt;=table!$E$6,#REF!&lt;=table!$F$6),1,0))</f>
        <v>#REF!</v>
      </c>
      <c r="R488" s="5" t="e">
        <f>IF(AND(#REF!&gt;=table!$C$7,#REF!&lt;= table!$D$7),-1,IF(AND(#REF!&gt;=table!$E$7,#REF!&lt;=table!$F$7),1,0))</f>
        <v>#REF!</v>
      </c>
      <c r="S488" s="5" t="e">
        <f>IF(AND(#REF!&gt;=table!$C$8,#REF!&lt;= table!$D$8),-1,IF(AND(#REF!&gt;=table!$E$8,#REF!&lt;=table!$F$8),1,0))</f>
        <v>#REF!</v>
      </c>
      <c r="T488" s="5"/>
      <c r="U488" s="5" t="e">
        <f>IF(AND(#REF!&gt;=table!$C$10,#REF!&lt;= table!$D$10),-1,IF(AND(#REF!&gt;=table!$E$10,#REF!&lt;=table!$F$10),1,0))</f>
        <v>#REF!</v>
      </c>
      <c r="V488" s="5" t="e">
        <f>IF(AND(#REF!&gt;=table!$C$11,#REF!&lt;= table!$D$11),-1,IF(AND(#REF!&gt;=table!$E$11,#REF!&lt;=table!$F$11),1,0))</f>
        <v>#REF!</v>
      </c>
      <c r="W488" s="5" t="e">
        <f>CONCATENATE(dados[[#This Row],[fator1]],dados[[#This Row],[fator5]],dados[[#This Row],[fator6]])</f>
        <v>#REF!</v>
      </c>
    </row>
    <row r="489" spans="1:23">
      <c r="A489" t="s">
        <v>17</v>
      </c>
      <c r="B489">
        <v>482039</v>
      </c>
      <c r="C489">
        <v>20</v>
      </c>
      <c r="D489">
        <v>33</v>
      </c>
      <c r="E489">
        <v>100</v>
      </c>
      <c r="F489">
        <v>10</v>
      </c>
      <c r="G489">
        <v>20</v>
      </c>
      <c r="H489">
        <v>25</v>
      </c>
      <c r="I489">
        <v>1098</v>
      </c>
      <c r="J489">
        <v>0</v>
      </c>
      <c r="K489">
        <v>5.7549999999999999</v>
      </c>
      <c r="L489">
        <v>9.35</v>
      </c>
      <c r="M489">
        <v>95.05</v>
      </c>
      <c r="N489">
        <v>11.4</v>
      </c>
      <c r="O489">
        <v>1667</v>
      </c>
      <c r="P489">
        <v>0</v>
      </c>
      <c r="Q489" s="5" t="e">
        <f>IF(AND(#REF!&gt;=table!$C$6,#REF!&lt;= table!$D$6),-1,IF(AND(#REF!&gt;=table!$E$6,#REF!&lt;=table!$F$6),1,0))</f>
        <v>#REF!</v>
      </c>
      <c r="R489" s="5" t="e">
        <f>IF(AND(#REF!&gt;=table!$C$7,#REF!&lt;= table!$D$7),-1,IF(AND(#REF!&gt;=table!$E$7,#REF!&lt;=table!$F$7),1,0))</f>
        <v>#REF!</v>
      </c>
      <c r="S489" s="5" t="e">
        <f>IF(AND(#REF!&gt;=table!$C$8,#REF!&lt;= table!$D$8),-1,IF(AND(#REF!&gt;=table!$E$8,#REF!&lt;=table!$F$8),1,0))</f>
        <v>#REF!</v>
      </c>
      <c r="T489" s="5"/>
      <c r="U489" s="5" t="e">
        <f>IF(AND(#REF!&gt;=table!$C$10,#REF!&lt;= table!$D$10),-1,IF(AND(#REF!&gt;=table!$E$10,#REF!&lt;=table!$F$10),1,0))</f>
        <v>#REF!</v>
      </c>
      <c r="V489" s="5" t="e">
        <f>IF(AND(#REF!&gt;=table!$C$11,#REF!&lt;= table!$D$11),-1,IF(AND(#REF!&gt;=table!$E$11,#REF!&lt;=table!$F$11),1,0))</f>
        <v>#REF!</v>
      </c>
      <c r="W489" s="5" t="e">
        <f>CONCATENATE(dados[[#This Row],[fator1]],dados[[#This Row],[fator5]],dados[[#This Row],[fator6]])</f>
        <v>#REF!</v>
      </c>
    </row>
    <row r="490" spans="1:23">
      <c r="A490" t="s">
        <v>17</v>
      </c>
      <c r="B490">
        <v>482041</v>
      </c>
      <c r="C490">
        <v>16</v>
      </c>
      <c r="D490">
        <v>33</v>
      </c>
      <c r="E490">
        <v>152</v>
      </c>
      <c r="F490">
        <v>4</v>
      </c>
      <c r="G490">
        <v>15</v>
      </c>
      <c r="H490">
        <v>25</v>
      </c>
      <c r="I490">
        <v>440</v>
      </c>
      <c r="J490">
        <v>0</v>
      </c>
      <c r="K490">
        <v>6.08</v>
      </c>
      <c r="L490">
        <v>13.200000000000001</v>
      </c>
      <c r="M490">
        <v>133.80000000000001</v>
      </c>
      <c r="N490">
        <v>17.55</v>
      </c>
      <c r="O490">
        <v>1674</v>
      </c>
      <c r="P490">
        <v>546</v>
      </c>
      <c r="Q490" s="5" t="e">
        <f>IF(AND(#REF!&gt;=table!$C$6,#REF!&lt;= table!$D$6),-1,IF(AND(#REF!&gt;=table!$E$6,#REF!&lt;=table!$F$6),1,0))</f>
        <v>#REF!</v>
      </c>
      <c r="R490" s="5" t="e">
        <f>IF(AND(#REF!&gt;=table!$C$7,#REF!&lt;= table!$D$7),-1,IF(AND(#REF!&gt;=table!$E$7,#REF!&lt;=table!$F$7),1,0))</f>
        <v>#REF!</v>
      </c>
      <c r="S490" s="5" t="e">
        <f>IF(AND(#REF!&gt;=table!$C$8,#REF!&lt;= table!$D$8),-1,IF(AND(#REF!&gt;=table!$E$8,#REF!&lt;=table!$F$8),1,0))</f>
        <v>#REF!</v>
      </c>
      <c r="T490" s="5"/>
      <c r="U490" s="5" t="e">
        <f>IF(AND(#REF!&gt;=table!$C$10,#REF!&lt;= table!$D$10),-1,IF(AND(#REF!&gt;=table!$E$10,#REF!&lt;=table!$F$10),1,0))</f>
        <v>#REF!</v>
      </c>
      <c r="V490" s="5" t="e">
        <f>IF(AND(#REF!&gt;=table!$C$11,#REF!&lt;= table!$D$11),-1,IF(AND(#REF!&gt;=table!$E$11,#REF!&lt;=table!$F$11),1,0))</f>
        <v>#REF!</v>
      </c>
      <c r="W490" s="5" t="e">
        <f>CONCATENATE(dados[[#This Row],[fator1]],dados[[#This Row],[fator5]],dados[[#This Row],[fator6]])</f>
        <v>#REF!</v>
      </c>
    </row>
    <row r="491" spans="1:23">
      <c r="A491" t="s">
        <v>16</v>
      </c>
      <c r="B491">
        <v>482043</v>
      </c>
      <c r="C491">
        <v>8</v>
      </c>
      <c r="D491">
        <v>27</v>
      </c>
      <c r="E491">
        <v>86</v>
      </c>
      <c r="F491">
        <v>9</v>
      </c>
      <c r="G491">
        <v>0</v>
      </c>
      <c r="H491">
        <v>25</v>
      </c>
      <c r="I491">
        <v>546</v>
      </c>
      <c r="J491">
        <v>0</v>
      </c>
      <c r="K491">
        <v>5.94</v>
      </c>
      <c r="L491">
        <v>13</v>
      </c>
      <c r="M491">
        <v>77.900000000000006</v>
      </c>
      <c r="N491">
        <v>16.45</v>
      </c>
      <c r="O491">
        <v>1681</v>
      </c>
      <c r="P491">
        <v>0</v>
      </c>
      <c r="Q491" s="5" t="e">
        <f>IF(AND(#REF!&gt;=table!$C$6,#REF!&lt;= table!$D$6),-1,IF(AND(#REF!&gt;=table!$E$6,#REF!&lt;=table!$F$6),1,0))</f>
        <v>#REF!</v>
      </c>
      <c r="R491" s="5" t="e">
        <f>IF(AND(#REF!&gt;=table!$C$7,#REF!&lt;= table!$D$7),-1,IF(AND(#REF!&gt;=table!$E$7,#REF!&lt;=table!$F$7),1,0))</f>
        <v>#REF!</v>
      </c>
      <c r="S491" s="5" t="e">
        <f>IF(AND(#REF!&gt;=table!$C$8,#REF!&lt;= table!$D$8),-1,IF(AND(#REF!&gt;=table!$E$8,#REF!&lt;=table!$F$8),1,0))</f>
        <v>#REF!</v>
      </c>
      <c r="T491" s="5"/>
      <c r="U491" s="5" t="e">
        <f>IF(AND(#REF!&gt;=table!$C$10,#REF!&lt;= table!$D$10),-1,IF(AND(#REF!&gt;=table!$E$10,#REF!&lt;=table!$F$10),1,0))</f>
        <v>#REF!</v>
      </c>
      <c r="V491" s="5" t="e">
        <f>IF(AND(#REF!&gt;=table!$C$11,#REF!&lt;= table!$D$11),-1,IF(AND(#REF!&gt;=table!$E$11,#REF!&lt;=table!$F$11),1,0))</f>
        <v>#REF!</v>
      </c>
      <c r="W491" s="5" t="e">
        <f>CONCATENATE(dados[[#This Row],[fator1]],dados[[#This Row],[fator5]],dados[[#This Row],[fator6]])</f>
        <v>#REF!</v>
      </c>
    </row>
    <row r="492" spans="1:23">
      <c r="A492" t="s">
        <v>17</v>
      </c>
      <c r="B492">
        <v>482047</v>
      </c>
      <c r="C492">
        <v>18</v>
      </c>
      <c r="D492">
        <v>23</v>
      </c>
      <c r="E492">
        <v>145</v>
      </c>
      <c r="F492">
        <v>4</v>
      </c>
      <c r="G492">
        <v>30</v>
      </c>
      <c r="H492">
        <v>25</v>
      </c>
      <c r="I492">
        <v>240</v>
      </c>
      <c r="J492">
        <v>0</v>
      </c>
      <c r="K492">
        <v>5.2</v>
      </c>
      <c r="L492">
        <v>13.1</v>
      </c>
      <c r="M492">
        <v>127.65</v>
      </c>
      <c r="N492">
        <v>20.2</v>
      </c>
      <c r="O492">
        <v>1666</v>
      </c>
      <c r="P492">
        <v>559</v>
      </c>
      <c r="Q492" s="5" t="e">
        <f>IF(AND(#REF!&gt;=table!$C$6,#REF!&lt;= table!$D$6),-1,IF(AND(#REF!&gt;=table!$E$6,#REF!&lt;=table!$F$6),1,0))</f>
        <v>#REF!</v>
      </c>
      <c r="R492" s="5" t="e">
        <f>IF(AND(#REF!&gt;=table!$C$7,#REF!&lt;= table!$D$7),-1,IF(AND(#REF!&gt;=table!$E$7,#REF!&lt;=table!$F$7),1,0))</f>
        <v>#REF!</v>
      </c>
      <c r="S492" s="5" t="e">
        <f>IF(AND(#REF!&gt;=table!$C$8,#REF!&lt;= table!$D$8),-1,IF(AND(#REF!&gt;=table!$E$8,#REF!&lt;=table!$F$8),1,0))</f>
        <v>#REF!</v>
      </c>
      <c r="T492" s="5"/>
      <c r="U492" s="5" t="e">
        <f>IF(AND(#REF!&gt;=table!$C$10,#REF!&lt;= table!$D$10),-1,IF(AND(#REF!&gt;=table!$E$10,#REF!&lt;=table!$F$10),1,0))</f>
        <v>#REF!</v>
      </c>
      <c r="V492" s="5" t="e">
        <f>IF(AND(#REF!&gt;=table!$C$11,#REF!&lt;= table!$D$11),-1,IF(AND(#REF!&gt;=table!$E$11,#REF!&lt;=table!$F$11),1,0))</f>
        <v>#REF!</v>
      </c>
      <c r="W492" s="5" t="e">
        <f>CONCATENATE(dados[[#This Row],[fator1]],dados[[#This Row],[fator5]],dados[[#This Row],[fator6]])</f>
        <v>#REF!</v>
      </c>
    </row>
    <row r="493" spans="1:23">
      <c r="A493" t="s">
        <v>16</v>
      </c>
      <c r="B493">
        <v>482051</v>
      </c>
      <c r="C493">
        <v>10</v>
      </c>
      <c r="D493">
        <v>40</v>
      </c>
      <c r="E493">
        <v>96</v>
      </c>
      <c r="F493">
        <v>8</v>
      </c>
      <c r="G493">
        <v>0</v>
      </c>
      <c r="H493">
        <v>25</v>
      </c>
      <c r="I493">
        <v>267</v>
      </c>
      <c r="J493">
        <v>0</v>
      </c>
      <c r="K493">
        <v>2.9750000000000001</v>
      </c>
      <c r="L493">
        <v>5</v>
      </c>
      <c r="M493">
        <v>73.900000000000006</v>
      </c>
      <c r="N493">
        <v>14</v>
      </c>
      <c r="O493">
        <v>1656</v>
      </c>
      <c r="P493">
        <v>0</v>
      </c>
      <c r="Q493" s="5" t="e">
        <f>IF(AND(#REF!&gt;=table!$C$6,#REF!&lt;= table!$D$6),-1,IF(AND(#REF!&gt;=table!$E$6,#REF!&lt;=table!$F$6),1,0))</f>
        <v>#REF!</v>
      </c>
      <c r="R493" s="5" t="e">
        <f>IF(AND(#REF!&gt;=table!$C$7,#REF!&lt;= table!$D$7),-1,IF(AND(#REF!&gt;=table!$E$7,#REF!&lt;=table!$F$7),1,0))</f>
        <v>#REF!</v>
      </c>
      <c r="S493" s="5" t="e">
        <f>IF(AND(#REF!&gt;=table!$C$8,#REF!&lt;= table!$D$8),-1,IF(AND(#REF!&gt;=table!$E$8,#REF!&lt;=table!$F$8),1,0))</f>
        <v>#REF!</v>
      </c>
      <c r="T493" s="5"/>
      <c r="U493" s="5" t="e">
        <f>IF(AND(#REF!&gt;=table!$C$10,#REF!&lt;= table!$D$10),-1,IF(AND(#REF!&gt;=table!$E$10,#REF!&lt;=table!$F$10),1,0))</f>
        <v>#REF!</v>
      </c>
      <c r="V493" s="5" t="e">
        <f>IF(AND(#REF!&gt;=table!$C$11,#REF!&lt;= table!$D$11),-1,IF(AND(#REF!&gt;=table!$E$11,#REF!&lt;=table!$F$11),1,0))</f>
        <v>#REF!</v>
      </c>
      <c r="W493" s="5" t="e">
        <f>CONCATENATE(dados[[#This Row],[fator1]],dados[[#This Row],[fator5]],dados[[#This Row],[fator6]])</f>
        <v>#REF!</v>
      </c>
    </row>
    <row r="494" spans="1:23">
      <c r="A494" t="s">
        <v>16</v>
      </c>
      <c r="B494">
        <v>482054</v>
      </c>
      <c r="C494">
        <v>8</v>
      </c>
      <c r="D494">
        <v>27</v>
      </c>
      <c r="E494">
        <v>86</v>
      </c>
      <c r="F494">
        <v>8</v>
      </c>
      <c r="G494">
        <v>0</v>
      </c>
      <c r="H494">
        <v>22</v>
      </c>
      <c r="I494">
        <v>0</v>
      </c>
      <c r="J494">
        <v>0</v>
      </c>
      <c r="K494">
        <v>3.4850000000000003</v>
      </c>
      <c r="L494">
        <v>9.4500000000000011</v>
      </c>
      <c r="M494">
        <v>72.52</v>
      </c>
      <c r="N494">
        <v>13.530000000000001</v>
      </c>
      <c r="O494">
        <v>1653</v>
      </c>
      <c r="P494">
        <v>997</v>
      </c>
      <c r="Q494" s="5" t="e">
        <f>IF(AND(#REF!&gt;=table!$C$6,#REF!&lt;= table!$D$6),-1,IF(AND(#REF!&gt;=table!$E$6,#REF!&lt;=table!$F$6),1,0))</f>
        <v>#REF!</v>
      </c>
      <c r="R494" s="5" t="e">
        <f>IF(AND(#REF!&gt;=table!$C$7,#REF!&lt;= table!$D$7),-1,IF(AND(#REF!&gt;=table!$E$7,#REF!&lt;=table!$F$7),1,0))</f>
        <v>#REF!</v>
      </c>
      <c r="S494" s="5" t="e">
        <f>IF(AND(#REF!&gt;=table!$C$8,#REF!&lt;= table!$D$8),-1,IF(AND(#REF!&gt;=table!$E$8,#REF!&lt;=table!$F$8),1,0))</f>
        <v>#REF!</v>
      </c>
      <c r="T494" s="5"/>
      <c r="U494" s="5" t="e">
        <f>IF(AND(#REF!&gt;=table!$C$10,#REF!&lt;= table!$D$10),-1,IF(AND(#REF!&gt;=table!$E$10,#REF!&lt;=table!$F$10),1,0))</f>
        <v>#REF!</v>
      </c>
      <c r="V494" s="5" t="e">
        <f>IF(AND(#REF!&gt;=table!$C$11,#REF!&lt;= table!$D$11),-1,IF(AND(#REF!&gt;=table!$E$11,#REF!&lt;=table!$F$11),1,0))</f>
        <v>#REF!</v>
      </c>
      <c r="W494" s="5" t="e">
        <f>CONCATENATE(dados[[#This Row],[fator1]],dados[[#This Row],[fator5]],dados[[#This Row],[fator6]])</f>
        <v>#REF!</v>
      </c>
    </row>
    <row r="495" spans="1:23">
      <c r="A495" t="s">
        <v>16</v>
      </c>
      <c r="B495">
        <v>482062</v>
      </c>
      <c r="C495">
        <v>10</v>
      </c>
      <c r="D495">
        <v>38</v>
      </c>
      <c r="E495">
        <v>150</v>
      </c>
      <c r="F495">
        <v>4</v>
      </c>
      <c r="G495">
        <v>0</v>
      </c>
      <c r="H495">
        <v>25</v>
      </c>
      <c r="I495">
        <v>708</v>
      </c>
      <c r="J495">
        <v>0</v>
      </c>
      <c r="K495">
        <v>8.4566999999999997</v>
      </c>
      <c r="L495">
        <v>11.985000000000001</v>
      </c>
      <c r="M495">
        <v>126.3</v>
      </c>
      <c r="N495">
        <v>15.200000000000001</v>
      </c>
      <c r="O495">
        <v>1678</v>
      </c>
      <c r="P495">
        <v>657</v>
      </c>
      <c r="Q495" s="5" t="e">
        <f>IF(AND(#REF!&gt;=table!$C$6,#REF!&lt;= table!$D$6),-1,IF(AND(#REF!&gt;=table!$E$6,#REF!&lt;=table!$F$6),1,0))</f>
        <v>#REF!</v>
      </c>
      <c r="R495" s="5" t="e">
        <f>IF(AND(#REF!&gt;=table!$C$7,#REF!&lt;= table!$D$7),-1,IF(AND(#REF!&gt;=table!$E$7,#REF!&lt;=table!$F$7),1,0))</f>
        <v>#REF!</v>
      </c>
      <c r="S495" s="5" t="e">
        <f>IF(AND(#REF!&gt;=table!$C$8,#REF!&lt;= table!$D$8),-1,IF(AND(#REF!&gt;=table!$E$8,#REF!&lt;=table!$F$8),1,0))</f>
        <v>#REF!</v>
      </c>
      <c r="T495" s="5"/>
      <c r="U495" s="5" t="e">
        <f>IF(AND(#REF!&gt;=table!$C$10,#REF!&lt;= table!$D$10),-1,IF(AND(#REF!&gt;=table!$E$10,#REF!&lt;=table!$F$10),1,0))</f>
        <v>#REF!</v>
      </c>
      <c r="V495" s="5" t="e">
        <f>IF(AND(#REF!&gt;=table!$C$11,#REF!&lt;= table!$D$11),-1,IF(AND(#REF!&gt;=table!$E$11,#REF!&lt;=table!$F$11),1,0))</f>
        <v>#REF!</v>
      </c>
      <c r="W495" s="5" t="e">
        <f>CONCATENATE(dados[[#This Row],[fator1]],dados[[#This Row],[fator5]],dados[[#This Row],[fator6]])</f>
        <v>#REF!</v>
      </c>
    </row>
    <row r="496" spans="1:23">
      <c r="A496" t="s">
        <v>16</v>
      </c>
      <c r="B496">
        <v>482063</v>
      </c>
      <c r="C496">
        <v>9</v>
      </c>
      <c r="D496">
        <v>40</v>
      </c>
      <c r="E496">
        <v>130</v>
      </c>
      <c r="F496">
        <v>3</v>
      </c>
      <c r="G496">
        <v>0</v>
      </c>
      <c r="H496">
        <v>25</v>
      </c>
      <c r="I496">
        <v>328</v>
      </c>
      <c r="J496">
        <v>0</v>
      </c>
      <c r="K496">
        <v>5.3132999999999999</v>
      </c>
      <c r="L496">
        <v>13.41</v>
      </c>
      <c r="M496">
        <v>115.15</v>
      </c>
      <c r="N496">
        <v>16.7</v>
      </c>
      <c r="O496">
        <v>1684</v>
      </c>
      <c r="P496">
        <v>839</v>
      </c>
      <c r="Q496" s="5" t="e">
        <f>IF(AND(#REF!&gt;=table!$C$6,#REF!&lt;= table!$D$6),-1,IF(AND(#REF!&gt;=table!$E$6,#REF!&lt;=table!$F$6),1,0))</f>
        <v>#REF!</v>
      </c>
      <c r="R496" s="5" t="e">
        <f>IF(AND(#REF!&gt;=table!$C$7,#REF!&lt;= table!$D$7),-1,IF(AND(#REF!&gt;=table!$E$7,#REF!&lt;=table!$F$7),1,0))</f>
        <v>#REF!</v>
      </c>
      <c r="S496" s="5" t="e">
        <f>IF(AND(#REF!&gt;=table!$C$8,#REF!&lt;= table!$D$8),-1,IF(AND(#REF!&gt;=table!$E$8,#REF!&lt;=table!$F$8),1,0))</f>
        <v>#REF!</v>
      </c>
      <c r="T496" s="5"/>
      <c r="U496" s="5" t="e">
        <f>IF(AND(#REF!&gt;=table!$C$10,#REF!&lt;= table!$D$10),-1,IF(AND(#REF!&gt;=table!$E$10,#REF!&lt;=table!$F$10),1,0))</f>
        <v>#REF!</v>
      </c>
      <c r="V496" s="5" t="e">
        <f>IF(AND(#REF!&gt;=table!$C$11,#REF!&lt;= table!$D$11),-1,IF(AND(#REF!&gt;=table!$E$11,#REF!&lt;=table!$F$11),1,0))</f>
        <v>#REF!</v>
      </c>
      <c r="W496" s="5" t="e">
        <f>CONCATENATE(dados[[#This Row],[fator1]],dados[[#This Row],[fator5]],dados[[#This Row],[fator6]])</f>
        <v>#REF!</v>
      </c>
    </row>
    <row r="497" spans="1:23">
      <c r="A497" t="s">
        <v>16</v>
      </c>
      <c r="B497">
        <v>482064</v>
      </c>
      <c r="C497">
        <v>9</v>
      </c>
      <c r="D497">
        <v>40</v>
      </c>
      <c r="E497">
        <v>130</v>
      </c>
      <c r="F497">
        <v>3</v>
      </c>
      <c r="G497">
        <v>0</v>
      </c>
      <c r="H497">
        <v>25</v>
      </c>
      <c r="I497">
        <v>672</v>
      </c>
      <c r="J497">
        <v>0</v>
      </c>
      <c r="K497">
        <v>4.45</v>
      </c>
      <c r="L497">
        <v>11.53</v>
      </c>
      <c r="M497">
        <v>99.490000000000009</v>
      </c>
      <c r="N497">
        <v>15.15</v>
      </c>
      <c r="O497">
        <v>1683</v>
      </c>
      <c r="P497">
        <v>1083</v>
      </c>
      <c r="Q497" s="5" t="e">
        <f>IF(AND(#REF!&gt;=table!$C$6,#REF!&lt;= table!$D$6),-1,IF(AND(#REF!&gt;=table!$E$6,#REF!&lt;=table!$F$6),1,0))</f>
        <v>#REF!</v>
      </c>
      <c r="R497" s="5" t="e">
        <f>IF(AND(#REF!&gt;=table!$C$7,#REF!&lt;= table!$D$7),-1,IF(AND(#REF!&gt;=table!$E$7,#REF!&lt;=table!$F$7),1,0))</f>
        <v>#REF!</v>
      </c>
      <c r="S497" s="5" t="e">
        <f>IF(AND(#REF!&gt;=table!$C$8,#REF!&lt;= table!$D$8),-1,IF(AND(#REF!&gt;=table!$E$8,#REF!&lt;=table!$F$8),1,0))</f>
        <v>#REF!</v>
      </c>
      <c r="T497" s="5"/>
      <c r="U497" s="5" t="e">
        <f>IF(AND(#REF!&gt;=table!$C$10,#REF!&lt;= table!$D$10),-1,IF(AND(#REF!&gt;=table!$E$10,#REF!&lt;=table!$F$10),1,0))</f>
        <v>#REF!</v>
      </c>
      <c r="V497" s="5" t="e">
        <f>IF(AND(#REF!&gt;=table!$C$11,#REF!&lt;= table!$D$11),-1,IF(AND(#REF!&gt;=table!$E$11,#REF!&lt;=table!$F$11),1,0))</f>
        <v>#REF!</v>
      </c>
      <c r="W497" s="5" t="e">
        <f>CONCATENATE(dados[[#This Row],[fator1]],dados[[#This Row],[fator5]],dados[[#This Row],[fator6]])</f>
        <v>#REF!</v>
      </c>
    </row>
    <row r="498" spans="1:23">
      <c r="A498" t="s">
        <v>16</v>
      </c>
      <c r="B498">
        <v>482066</v>
      </c>
      <c r="C498">
        <v>9</v>
      </c>
      <c r="D498">
        <v>40</v>
      </c>
      <c r="E498">
        <v>130</v>
      </c>
      <c r="F498">
        <v>6</v>
      </c>
      <c r="G498">
        <v>0</v>
      </c>
      <c r="H498">
        <v>25</v>
      </c>
      <c r="I498">
        <v>0</v>
      </c>
      <c r="J498">
        <v>0</v>
      </c>
      <c r="K498">
        <v>4.4000000000000004</v>
      </c>
      <c r="L498">
        <v>15.1</v>
      </c>
      <c r="M498">
        <v>112.5</v>
      </c>
      <c r="N498">
        <v>19.150000000000002</v>
      </c>
      <c r="O498">
        <v>1679</v>
      </c>
      <c r="P498">
        <v>844</v>
      </c>
      <c r="Q498" s="5" t="e">
        <f>IF(AND(#REF!&gt;=table!$C$6,#REF!&lt;= table!$D$6),-1,IF(AND(#REF!&gt;=table!$E$6,#REF!&lt;=table!$F$6),1,0))</f>
        <v>#REF!</v>
      </c>
      <c r="R498" s="5" t="e">
        <f>IF(AND(#REF!&gt;=table!$C$7,#REF!&lt;= table!$D$7),-1,IF(AND(#REF!&gt;=table!$E$7,#REF!&lt;=table!$F$7),1,0))</f>
        <v>#REF!</v>
      </c>
      <c r="S498" s="5" t="e">
        <f>IF(AND(#REF!&gt;=table!$C$8,#REF!&lt;= table!$D$8),-1,IF(AND(#REF!&gt;=table!$E$8,#REF!&lt;=table!$F$8),1,0))</f>
        <v>#REF!</v>
      </c>
      <c r="T498" s="5"/>
      <c r="U498" s="5" t="e">
        <f>IF(AND(#REF!&gt;=table!$C$10,#REF!&lt;= table!$D$10),-1,IF(AND(#REF!&gt;=table!$E$10,#REF!&lt;=table!$F$10),1,0))</f>
        <v>#REF!</v>
      </c>
      <c r="V498" s="5" t="e">
        <f>IF(AND(#REF!&gt;=table!$C$11,#REF!&lt;= table!$D$11),-1,IF(AND(#REF!&gt;=table!$E$11,#REF!&lt;=table!$F$11),1,0))</f>
        <v>#REF!</v>
      </c>
      <c r="W498" s="5" t="e">
        <f>CONCATENATE(dados[[#This Row],[fator1]],dados[[#This Row],[fator5]],dados[[#This Row],[fator6]])</f>
        <v>#REF!</v>
      </c>
    </row>
    <row r="499" spans="1:23">
      <c r="A499" t="s">
        <v>16</v>
      </c>
      <c r="B499">
        <v>482067</v>
      </c>
      <c r="C499">
        <v>9</v>
      </c>
      <c r="D499">
        <v>40</v>
      </c>
      <c r="E499">
        <v>130</v>
      </c>
      <c r="F499">
        <v>6</v>
      </c>
      <c r="G499">
        <v>0</v>
      </c>
      <c r="H499">
        <v>25</v>
      </c>
      <c r="I499">
        <v>350</v>
      </c>
      <c r="J499">
        <v>0</v>
      </c>
      <c r="K499">
        <v>6.34</v>
      </c>
      <c r="L499">
        <v>13.6</v>
      </c>
      <c r="M499">
        <v>105.35000000000001</v>
      </c>
      <c r="N499">
        <v>19.850000000000001</v>
      </c>
      <c r="O499">
        <v>1675</v>
      </c>
      <c r="P499">
        <v>520</v>
      </c>
      <c r="Q499" s="5" t="e">
        <f>IF(AND(#REF!&gt;=table!$C$6,#REF!&lt;= table!$D$6),-1,IF(AND(#REF!&gt;=table!$E$6,#REF!&lt;=table!$F$6),1,0))</f>
        <v>#REF!</v>
      </c>
      <c r="R499" s="5" t="e">
        <f>IF(AND(#REF!&gt;=table!$C$7,#REF!&lt;= table!$D$7),-1,IF(AND(#REF!&gt;=table!$E$7,#REF!&lt;=table!$F$7),1,0))</f>
        <v>#REF!</v>
      </c>
      <c r="S499" s="5" t="e">
        <f>IF(AND(#REF!&gt;=table!$C$8,#REF!&lt;= table!$D$8),-1,IF(AND(#REF!&gt;=table!$E$8,#REF!&lt;=table!$F$8),1,0))</f>
        <v>#REF!</v>
      </c>
      <c r="T499" s="5"/>
      <c r="U499" s="5" t="e">
        <f>IF(AND(#REF!&gt;=table!$C$10,#REF!&lt;= table!$D$10),-1,IF(AND(#REF!&gt;=table!$E$10,#REF!&lt;=table!$F$10),1,0))</f>
        <v>#REF!</v>
      </c>
      <c r="V499" s="5" t="e">
        <f>IF(AND(#REF!&gt;=table!$C$11,#REF!&lt;= table!$D$11),-1,IF(AND(#REF!&gt;=table!$E$11,#REF!&lt;=table!$F$11),1,0))</f>
        <v>#REF!</v>
      </c>
      <c r="W499" s="5" t="e">
        <f>CONCATENATE(dados[[#This Row],[fator1]],dados[[#This Row],[fator5]],dados[[#This Row],[fator6]])</f>
        <v>#REF!</v>
      </c>
    </row>
    <row r="500" spans="1:23">
      <c r="A500" t="s">
        <v>16</v>
      </c>
      <c r="B500">
        <v>482072</v>
      </c>
      <c r="C500">
        <v>0.15</v>
      </c>
      <c r="D500">
        <v>40</v>
      </c>
      <c r="E500">
        <v>10</v>
      </c>
      <c r="F500">
        <v>15</v>
      </c>
      <c r="G500">
        <v>0</v>
      </c>
      <c r="H500">
        <v>15</v>
      </c>
      <c r="I500">
        <v>600</v>
      </c>
      <c r="J500">
        <v>0</v>
      </c>
      <c r="K500">
        <v>4.4950000000000001</v>
      </c>
      <c r="L500">
        <v>6.6000000000000005</v>
      </c>
      <c r="M500">
        <v>6.15</v>
      </c>
      <c r="N500">
        <v>5.25</v>
      </c>
      <c r="O500">
        <v>1647</v>
      </c>
      <c r="P500">
        <v>0</v>
      </c>
      <c r="Q500" s="5" t="e">
        <f>IF(AND(#REF!&gt;=table!$C$6,#REF!&lt;= table!$D$6),-1,IF(AND(#REF!&gt;=table!$E$6,#REF!&lt;=table!$F$6),1,0))</f>
        <v>#REF!</v>
      </c>
      <c r="R500" s="5" t="e">
        <f>IF(AND(#REF!&gt;=table!$C$7,#REF!&lt;= table!$D$7),-1,IF(AND(#REF!&gt;=table!$E$7,#REF!&lt;=table!$F$7),1,0))</f>
        <v>#REF!</v>
      </c>
      <c r="S500" s="5" t="e">
        <f>IF(AND(#REF!&gt;=table!$C$8,#REF!&lt;= table!$D$8),-1,IF(AND(#REF!&gt;=table!$E$8,#REF!&lt;=table!$F$8),1,0))</f>
        <v>#REF!</v>
      </c>
      <c r="T500" s="5"/>
      <c r="U500" s="5" t="e">
        <f>IF(AND(#REF!&gt;=table!$C$10,#REF!&lt;= table!$D$10),-1,IF(AND(#REF!&gt;=table!$E$10,#REF!&lt;=table!$F$10),1,0))</f>
        <v>#REF!</v>
      </c>
      <c r="V500" s="5" t="e">
        <f>IF(AND(#REF!&gt;=table!$C$11,#REF!&lt;= table!$D$11),-1,IF(AND(#REF!&gt;=table!$E$11,#REF!&lt;=table!$F$11),1,0))</f>
        <v>#REF!</v>
      </c>
      <c r="W500" s="5" t="e">
        <f>CONCATENATE(dados[[#This Row],[fator1]],dados[[#This Row],[fator5]],dados[[#This Row],[fator6]])</f>
        <v>#REF!</v>
      </c>
    </row>
    <row r="501" spans="1:23">
      <c r="A501" t="s">
        <v>17</v>
      </c>
      <c r="B501">
        <v>482076</v>
      </c>
      <c r="C501">
        <v>14</v>
      </c>
      <c r="D501">
        <v>30</v>
      </c>
      <c r="E501">
        <v>66</v>
      </c>
      <c r="F501">
        <v>9</v>
      </c>
      <c r="G501">
        <v>20</v>
      </c>
      <c r="H501">
        <v>25</v>
      </c>
      <c r="I501">
        <v>46</v>
      </c>
      <c r="J501">
        <v>0</v>
      </c>
      <c r="K501">
        <v>3.0750000000000002</v>
      </c>
      <c r="L501">
        <v>3.3000000000000003</v>
      </c>
      <c r="M501">
        <v>72.8</v>
      </c>
      <c r="N501">
        <v>6.45</v>
      </c>
      <c r="O501">
        <v>1683</v>
      </c>
      <c r="P501">
        <v>0</v>
      </c>
      <c r="Q501" s="5" t="e">
        <f>IF(AND(#REF!&gt;=table!$C$6,#REF!&lt;= table!$D$6),-1,IF(AND(#REF!&gt;=table!$E$6,#REF!&lt;=table!$F$6),1,0))</f>
        <v>#REF!</v>
      </c>
      <c r="R501" s="5" t="e">
        <f>IF(AND(#REF!&gt;=table!$C$7,#REF!&lt;= table!$D$7),-1,IF(AND(#REF!&gt;=table!$E$7,#REF!&lt;=table!$F$7),1,0))</f>
        <v>#REF!</v>
      </c>
      <c r="S501" s="5" t="e">
        <f>IF(AND(#REF!&gt;=table!$C$8,#REF!&lt;= table!$D$8),-1,IF(AND(#REF!&gt;=table!$E$8,#REF!&lt;=table!$F$8),1,0))</f>
        <v>#REF!</v>
      </c>
      <c r="T501" s="5"/>
      <c r="U501" s="5" t="e">
        <f>IF(AND(#REF!&gt;=table!$C$10,#REF!&lt;= table!$D$10),-1,IF(AND(#REF!&gt;=table!$E$10,#REF!&lt;=table!$F$10),1,0))</f>
        <v>#REF!</v>
      </c>
      <c r="V501" s="5" t="e">
        <f>IF(AND(#REF!&gt;=table!$C$11,#REF!&lt;= table!$D$11),-1,IF(AND(#REF!&gt;=table!$E$11,#REF!&lt;=table!$F$11),1,0))</f>
        <v>#REF!</v>
      </c>
      <c r="W501" s="5" t="e">
        <f>CONCATENATE(dados[[#This Row],[fator1]],dados[[#This Row],[fator5]],dados[[#This Row],[fator6]])</f>
        <v>#REF!</v>
      </c>
    </row>
    <row r="502" spans="1:23">
      <c r="A502" t="s">
        <v>17</v>
      </c>
      <c r="B502">
        <v>482080</v>
      </c>
      <c r="C502">
        <v>7</v>
      </c>
      <c r="D502">
        <v>20</v>
      </c>
      <c r="E502">
        <v>120</v>
      </c>
      <c r="F502">
        <v>4</v>
      </c>
      <c r="G502">
        <v>105</v>
      </c>
      <c r="H502">
        <v>25</v>
      </c>
      <c r="I502">
        <v>616</v>
      </c>
      <c r="J502">
        <v>0</v>
      </c>
      <c r="K502">
        <v>3.4950000000000001</v>
      </c>
      <c r="L502">
        <v>9.2000000000000011</v>
      </c>
      <c r="M502">
        <v>76.314999999999998</v>
      </c>
      <c r="N502">
        <v>17.61</v>
      </c>
      <c r="O502">
        <v>1692</v>
      </c>
      <c r="P502">
        <v>1134</v>
      </c>
      <c r="Q502" s="5" t="e">
        <f>IF(AND(#REF!&gt;=table!$C$6,#REF!&lt;= table!$D$6),-1,IF(AND(#REF!&gt;=table!$E$6,#REF!&lt;=table!$F$6),1,0))</f>
        <v>#REF!</v>
      </c>
      <c r="R502" s="5" t="e">
        <f>IF(AND(#REF!&gt;=table!$C$7,#REF!&lt;= table!$D$7),-1,IF(AND(#REF!&gt;=table!$E$7,#REF!&lt;=table!$F$7),1,0))</f>
        <v>#REF!</v>
      </c>
      <c r="S502" s="5" t="e">
        <f>IF(AND(#REF!&gt;=table!$C$8,#REF!&lt;= table!$D$8),-1,IF(AND(#REF!&gt;=table!$E$8,#REF!&lt;=table!$F$8),1,0))</f>
        <v>#REF!</v>
      </c>
      <c r="T502" s="5"/>
      <c r="U502" s="5" t="e">
        <f>IF(AND(#REF!&gt;=table!$C$10,#REF!&lt;= table!$D$10),-1,IF(AND(#REF!&gt;=table!$E$10,#REF!&lt;=table!$F$10),1,0))</f>
        <v>#REF!</v>
      </c>
      <c r="V502" s="5" t="e">
        <f>IF(AND(#REF!&gt;=table!$C$11,#REF!&lt;= table!$D$11),-1,IF(AND(#REF!&gt;=table!$E$11,#REF!&lt;=table!$F$11),1,0))</f>
        <v>#REF!</v>
      </c>
      <c r="W502" s="5" t="e">
        <f>CONCATENATE(dados[[#This Row],[fator1]],dados[[#This Row],[fator5]],dados[[#This Row],[fator6]])</f>
        <v>#REF!</v>
      </c>
    </row>
    <row r="503" spans="1:23">
      <c r="A503" t="s">
        <v>17</v>
      </c>
      <c r="B503">
        <v>482081</v>
      </c>
      <c r="C503">
        <v>7</v>
      </c>
      <c r="D503">
        <v>35</v>
      </c>
      <c r="E503">
        <v>200</v>
      </c>
      <c r="F503">
        <v>8</v>
      </c>
      <c r="G503">
        <v>50</v>
      </c>
      <c r="H503">
        <v>25</v>
      </c>
      <c r="I503">
        <v>95</v>
      </c>
      <c r="J503">
        <v>0</v>
      </c>
      <c r="K503">
        <v>4.4000000000000004</v>
      </c>
      <c r="L503">
        <v>11.405000000000001</v>
      </c>
      <c r="M503">
        <v>162.18</v>
      </c>
      <c r="N503">
        <v>13.205</v>
      </c>
      <c r="O503">
        <v>1675</v>
      </c>
      <c r="P503">
        <v>1008</v>
      </c>
      <c r="Q503" s="5" t="e">
        <f>IF(AND(#REF!&gt;=table!$C$6,#REF!&lt;= table!$D$6),-1,IF(AND(#REF!&gt;=table!$E$6,#REF!&lt;=table!$F$6),1,0))</f>
        <v>#REF!</v>
      </c>
      <c r="R503" s="5" t="e">
        <f>IF(AND(#REF!&gt;=table!$C$7,#REF!&lt;= table!$D$7),-1,IF(AND(#REF!&gt;=table!$E$7,#REF!&lt;=table!$F$7),1,0))</f>
        <v>#REF!</v>
      </c>
      <c r="S503" s="5" t="e">
        <f>IF(AND(#REF!&gt;=table!$C$8,#REF!&lt;= table!$D$8),-1,IF(AND(#REF!&gt;=table!$E$8,#REF!&lt;=table!$F$8),1,0))</f>
        <v>#REF!</v>
      </c>
      <c r="T503" s="5"/>
      <c r="U503" s="5" t="e">
        <f>IF(AND(#REF!&gt;=table!$C$10,#REF!&lt;= table!$D$10),-1,IF(AND(#REF!&gt;=table!$E$10,#REF!&lt;=table!$F$10),1,0))</f>
        <v>#REF!</v>
      </c>
      <c r="V503" s="5" t="e">
        <f>IF(AND(#REF!&gt;=table!$C$11,#REF!&lt;= table!$D$11),-1,IF(AND(#REF!&gt;=table!$E$11,#REF!&lt;=table!$F$11),1,0))</f>
        <v>#REF!</v>
      </c>
      <c r="W503" s="5" t="e">
        <f>CONCATENATE(dados[[#This Row],[fator1]],dados[[#This Row],[fator5]],dados[[#This Row],[fator6]])</f>
        <v>#REF!</v>
      </c>
    </row>
    <row r="504" spans="1:23">
      <c r="A504" t="s">
        <v>17</v>
      </c>
      <c r="B504">
        <v>482085</v>
      </c>
      <c r="C504">
        <v>9</v>
      </c>
      <c r="D504">
        <v>30</v>
      </c>
      <c r="E504">
        <v>160</v>
      </c>
      <c r="F504">
        <v>3</v>
      </c>
      <c r="G504">
        <v>30</v>
      </c>
      <c r="H504">
        <v>18</v>
      </c>
      <c r="I504">
        <v>700</v>
      </c>
      <c r="J504">
        <v>0</v>
      </c>
      <c r="K504">
        <v>3.75</v>
      </c>
      <c r="L504">
        <v>6.8100000000000005</v>
      </c>
      <c r="M504">
        <v>117.86500000000001</v>
      </c>
      <c r="N504">
        <v>12.01</v>
      </c>
      <c r="O504">
        <v>1688</v>
      </c>
      <c r="P504">
        <v>1137</v>
      </c>
      <c r="Q504" s="5" t="e">
        <f>IF(AND(#REF!&gt;=table!$C$6,#REF!&lt;= table!$D$6),-1,IF(AND(#REF!&gt;=table!$E$6,#REF!&lt;=table!$F$6),1,0))</f>
        <v>#REF!</v>
      </c>
      <c r="R504" s="5" t="e">
        <f>IF(AND(#REF!&gt;=table!$C$7,#REF!&lt;= table!$D$7),-1,IF(AND(#REF!&gt;=table!$E$7,#REF!&lt;=table!$F$7),1,0))</f>
        <v>#REF!</v>
      </c>
      <c r="S504" s="5" t="e">
        <f>IF(AND(#REF!&gt;=table!$C$8,#REF!&lt;= table!$D$8),-1,IF(AND(#REF!&gt;=table!$E$8,#REF!&lt;=table!$F$8),1,0))</f>
        <v>#REF!</v>
      </c>
      <c r="T504" s="5"/>
      <c r="U504" s="5" t="e">
        <f>IF(AND(#REF!&gt;=table!$C$10,#REF!&lt;= table!$D$10),-1,IF(AND(#REF!&gt;=table!$E$10,#REF!&lt;=table!$F$10),1,0))</f>
        <v>#REF!</v>
      </c>
      <c r="V504" s="5" t="e">
        <f>IF(AND(#REF!&gt;=table!$C$11,#REF!&lt;= table!$D$11),-1,IF(AND(#REF!&gt;=table!$E$11,#REF!&lt;=table!$F$11),1,0))</f>
        <v>#REF!</v>
      </c>
      <c r="W504" s="5" t="e">
        <f>CONCATENATE(dados[[#This Row],[fator1]],dados[[#This Row],[fator5]],dados[[#This Row],[fator6]])</f>
        <v>#REF!</v>
      </c>
    </row>
    <row r="505" spans="1:23">
      <c r="A505" t="s">
        <v>17</v>
      </c>
      <c r="B505">
        <v>482092</v>
      </c>
      <c r="C505">
        <v>9</v>
      </c>
      <c r="D505">
        <v>30</v>
      </c>
      <c r="E505">
        <v>160</v>
      </c>
      <c r="F505">
        <v>3</v>
      </c>
      <c r="G505">
        <v>30</v>
      </c>
      <c r="H505">
        <v>18</v>
      </c>
      <c r="I505">
        <v>1</v>
      </c>
      <c r="J505">
        <v>0</v>
      </c>
      <c r="K505">
        <v>6.94</v>
      </c>
      <c r="L505">
        <v>10.950000000000001</v>
      </c>
      <c r="M505">
        <v>147.55000000000001</v>
      </c>
      <c r="N505">
        <v>12.75</v>
      </c>
      <c r="O505">
        <v>1664</v>
      </c>
      <c r="P505">
        <v>486</v>
      </c>
      <c r="Q505" s="5" t="e">
        <f>IF(AND(#REF!&gt;=table!$C$6,#REF!&lt;= table!$D$6),-1,IF(AND(#REF!&gt;=table!$E$6,#REF!&lt;=table!$F$6),1,0))</f>
        <v>#REF!</v>
      </c>
      <c r="R505" s="5" t="e">
        <f>IF(AND(#REF!&gt;=table!$C$7,#REF!&lt;= table!$D$7),-1,IF(AND(#REF!&gt;=table!$E$7,#REF!&lt;=table!$F$7),1,0))</f>
        <v>#REF!</v>
      </c>
      <c r="S505" s="5" t="e">
        <f>IF(AND(#REF!&gt;=table!$C$8,#REF!&lt;= table!$D$8),-1,IF(AND(#REF!&gt;=table!$E$8,#REF!&lt;=table!$F$8),1,0))</f>
        <v>#REF!</v>
      </c>
      <c r="T505" s="5"/>
      <c r="U505" s="5" t="e">
        <f>IF(AND(#REF!&gt;=table!$C$10,#REF!&lt;= table!$D$10),-1,IF(AND(#REF!&gt;=table!$E$10,#REF!&lt;=table!$F$10),1,0))</f>
        <v>#REF!</v>
      </c>
      <c r="V505" s="5" t="e">
        <f>IF(AND(#REF!&gt;=table!$C$11,#REF!&lt;= table!$D$11),-1,IF(AND(#REF!&gt;=table!$E$11,#REF!&lt;=table!$F$11),1,0))</f>
        <v>#REF!</v>
      </c>
      <c r="W505" s="5" t="e">
        <f>CONCATENATE(dados[[#This Row],[fator1]],dados[[#This Row],[fator5]],dados[[#This Row],[fator6]])</f>
        <v>#REF!</v>
      </c>
    </row>
    <row r="506" spans="1:23">
      <c r="A506" t="s">
        <v>16</v>
      </c>
      <c r="B506">
        <v>482100</v>
      </c>
      <c r="C506">
        <v>0.15</v>
      </c>
      <c r="D506">
        <v>40</v>
      </c>
      <c r="E506">
        <v>10</v>
      </c>
      <c r="F506">
        <v>15</v>
      </c>
      <c r="G506">
        <v>0</v>
      </c>
      <c r="H506">
        <v>15</v>
      </c>
      <c r="I506">
        <v>112</v>
      </c>
      <c r="J506">
        <v>0</v>
      </c>
      <c r="K506">
        <v>3.5100000000000002</v>
      </c>
      <c r="L506">
        <v>9.25</v>
      </c>
      <c r="M506">
        <v>7.7</v>
      </c>
      <c r="N506">
        <v>10.050000000000001</v>
      </c>
      <c r="O506">
        <v>1661</v>
      </c>
      <c r="P506">
        <v>1081</v>
      </c>
      <c r="Q506" s="5" t="e">
        <f>IF(AND(#REF!&gt;=table!$C$6,#REF!&lt;= table!$D$6),-1,IF(AND(#REF!&gt;=table!$E$6,#REF!&lt;=table!$F$6),1,0))</f>
        <v>#REF!</v>
      </c>
      <c r="R506" s="5" t="e">
        <f>IF(AND(#REF!&gt;=table!$C$7,#REF!&lt;= table!$D$7),-1,IF(AND(#REF!&gt;=table!$E$7,#REF!&lt;=table!$F$7),1,0))</f>
        <v>#REF!</v>
      </c>
      <c r="S506" s="5" t="e">
        <f>IF(AND(#REF!&gt;=table!$C$8,#REF!&lt;= table!$D$8),-1,IF(AND(#REF!&gt;=table!$E$8,#REF!&lt;=table!$F$8),1,0))</f>
        <v>#REF!</v>
      </c>
      <c r="T506" s="5"/>
      <c r="U506" s="5" t="e">
        <f>IF(AND(#REF!&gt;=table!$C$10,#REF!&lt;= table!$D$10),-1,IF(AND(#REF!&gt;=table!$E$10,#REF!&lt;=table!$F$10),1,0))</f>
        <v>#REF!</v>
      </c>
      <c r="V506" s="5" t="e">
        <f>IF(AND(#REF!&gt;=table!$C$11,#REF!&lt;= table!$D$11),-1,IF(AND(#REF!&gt;=table!$E$11,#REF!&lt;=table!$F$11),1,0))</f>
        <v>#REF!</v>
      </c>
      <c r="W506" s="5" t="e">
        <f>CONCATENATE(dados[[#This Row],[fator1]],dados[[#This Row],[fator5]],dados[[#This Row],[fator6]])</f>
        <v>#REF!</v>
      </c>
    </row>
    <row r="507" spans="1:23">
      <c r="A507" t="s">
        <v>17</v>
      </c>
      <c r="B507">
        <v>482106</v>
      </c>
      <c r="C507">
        <v>9</v>
      </c>
      <c r="D507">
        <v>30</v>
      </c>
      <c r="E507">
        <v>160</v>
      </c>
      <c r="F507">
        <v>3</v>
      </c>
      <c r="G507">
        <v>30</v>
      </c>
      <c r="H507">
        <v>18</v>
      </c>
      <c r="I507">
        <v>0</v>
      </c>
      <c r="J507">
        <v>0</v>
      </c>
      <c r="K507">
        <v>3.5250000000000004</v>
      </c>
      <c r="L507">
        <v>9.0500000000000007</v>
      </c>
      <c r="M507">
        <v>122.515</v>
      </c>
      <c r="N507">
        <v>11.295</v>
      </c>
      <c r="O507">
        <v>1668</v>
      </c>
      <c r="P507">
        <v>1003</v>
      </c>
      <c r="Q507" s="5" t="e">
        <f>IF(AND(#REF!&gt;=table!$C$6,#REF!&lt;= table!$D$6),-1,IF(AND(#REF!&gt;=table!$E$6,#REF!&lt;=table!$F$6),1,0))</f>
        <v>#REF!</v>
      </c>
      <c r="R507" s="5" t="e">
        <f>IF(AND(#REF!&gt;=table!$C$7,#REF!&lt;= table!$D$7),-1,IF(AND(#REF!&gt;=table!$E$7,#REF!&lt;=table!$F$7),1,0))</f>
        <v>#REF!</v>
      </c>
      <c r="S507" s="5" t="e">
        <f>IF(AND(#REF!&gt;=table!$C$8,#REF!&lt;= table!$D$8),-1,IF(AND(#REF!&gt;=table!$E$8,#REF!&lt;=table!$F$8),1,0))</f>
        <v>#REF!</v>
      </c>
      <c r="T507" s="5"/>
      <c r="U507" s="5" t="e">
        <f>IF(AND(#REF!&gt;=table!$C$10,#REF!&lt;= table!$D$10),-1,IF(AND(#REF!&gt;=table!$E$10,#REF!&lt;=table!$F$10),1,0))</f>
        <v>#REF!</v>
      </c>
      <c r="V507" s="5" t="e">
        <f>IF(AND(#REF!&gt;=table!$C$11,#REF!&lt;= table!$D$11),-1,IF(AND(#REF!&gt;=table!$E$11,#REF!&lt;=table!$F$11),1,0))</f>
        <v>#REF!</v>
      </c>
      <c r="W507" s="5" t="e">
        <f>CONCATENATE(dados[[#This Row],[fator1]],dados[[#This Row],[fator5]],dados[[#This Row],[fator6]])</f>
        <v>#REF!</v>
      </c>
    </row>
    <row r="508" spans="1:23">
      <c r="A508" t="s">
        <v>17</v>
      </c>
      <c r="B508">
        <v>482108</v>
      </c>
      <c r="C508">
        <v>9</v>
      </c>
      <c r="D508">
        <v>25</v>
      </c>
      <c r="E508">
        <v>130</v>
      </c>
      <c r="F508">
        <v>3</v>
      </c>
      <c r="G508">
        <v>20</v>
      </c>
      <c r="H508">
        <v>21</v>
      </c>
      <c r="I508">
        <v>1446</v>
      </c>
      <c r="J508">
        <v>0</v>
      </c>
      <c r="K508">
        <v>4.7549999999999999</v>
      </c>
      <c r="L508">
        <v>10.55</v>
      </c>
      <c r="M508">
        <v>115.3</v>
      </c>
      <c r="N508">
        <v>14.1</v>
      </c>
      <c r="O508">
        <v>1673</v>
      </c>
      <c r="P508">
        <v>0</v>
      </c>
      <c r="Q508" s="5" t="e">
        <f>IF(AND(#REF!&gt;=table!$C$6,#REF!&lt;= table!$D$6),-1,IF(AND(#REF!&gt;=table!$E$6,#REF!&lt;=table!$F$6),1,0))</f>
        <v>#REF!</v>
      </c>
      <c r="R508" s="5" t="e">
        <f>IF(AND(#REF!&gt;=table!$C$7,#REF!&lt;= table!$D$7),-1,IF(AND(#REF!&gt;=table!$E$7,#REF!&lt;=table!$F$7),1,0))</f>
        <v>#REF!</v>
      </c>
      <c r="S508" s="5" t="e">
        <f>IF(AND(#REF!&gt;=table!$C$8,#REF!&lt;= table!$D$8),-1,IF(AND(#REF!&gt;=table!$E$8,#REF!&lt;=table!$F$8),1,0))</f>
        <v>#REF!</v>
      </c>
      <c r="T508" s="5"/>
      <c r="U508" s="5" t="e">
        <f>IF(AND(#REF!&gt;=table!$C$10,#REF!&lt;= table!$D$10),-1,IF(AND(#REF!&gt;=table!$E$10,#REF!&lt;=table!$F$10),1,0))</f>
        <v>#REF!</v>
      </c>
      <c r="V508" s="5" t="e">
        <f>IF(AND(#REF!&gt;=table!$C$11,#REF!&lt;= table!$D$11),-1,IF(AND(#REF!&gt;=table!$E$11,#REF!&lt;=table!$F$11),1,0))</f>
        <v>#REF!</v>
      </c>
      <c r="W508" s="5" t="e">
        <f>CONCATENATE(dados[[#This Row],[fator1]],dados[[#This Row],[fator5]],dados[[#This Row],[fator6]])</f>
        <v>#REF!</v>
      </c>
    </row>
    <row r="509" spans="1:23">
      <c r="A509" t="s">
        <v>17</v>
      </c>
      <c r="B509">
        <v>482109</v>
      </c>
      <c r="C509">
        <v>9</v>
      </c>
      <c r="D509">
        <v>25</v>
      </c>
      <c r="E509">
        <v>130</v>
      </c>
      <c r="F509">
        <v>3</v>
      </c>
      <c r="G509">
        <v>20</v>
      </c>
      <c r="H509">
        <v>21</v>
      </c>
      <c r="I509">
        <v>1104</v>
      </c>
      <c r="J509">
        <v>0</v>
      </c>
      <c r="K509">
        <v>6.92</v>
      </c>
      <c r="L509">
        <v>10.47</v>
      </c>
      <c r="M509">
        <v>118.85000000000001</v>
      </c>
      <c r="N509">
        <v>11.1</v>
      </c>
      <c r="O509">
        <v>1684</v>
      </c>
      <c r="P509">
        <v>0</v>
      </c>
      <c r="Q509" s="5" t="e">
        <f>IF(AND(#REF!&gt;=table!$C$6,#REF!&lt;= table!$D$6),-1,IF(AND(#REF!&gt;=table!$E$6,#REF!&lt;=table!$F$6),1,0))</f>
        <v>#REF!</v>
      </c>
      <c r="R509" s="5" t="e">
        <f>IF(AND(#REF!&gt;=table!$C$7,#REF!&lt;= table!$D$7),-1,IF(AND(#REF!&gt;=table!$E$7,#REF!&lt;=table!$F$7),1,0))</f>
        <v>#REF!</v>
      </c>
      <c r="S509" s="5" t="e">
        <f>IF(AND(#REF!&gt;=table!$C$8,#REF!&lt;= table!$D$8),-1,IF(AND(#REF!&gt;=table!$E$8,#REF!&lt;=table!$F$8),1,0))</f>
        <v>#REF!</v>
      </c>
      <c r="T509" s="5"/>
      <c r="U509" s="5" t="e">
        <f>IF(AND(#REF!&gt;=table!$C$10,#REF!&lt;= table!$D$10),-1,IF(AND(#REF!&gt;=table!$E$10,#REF!&lt;=table!$F$10),1,0))</f>
        <v>#REF!</v>
      </c>
      <c r="V509" s="5" t="e">
        <f>IF(AND(#REF!&gt;=table!$C$11,#REF!&lt;= table!$D$11),-1,IF(AND(#REF!&gt;=table!$E$11,#REF!&lt;=table!$F$11),1,0))</f>
        <v>#REF!</v>
      </c>
      <c r="W509" s="5" t="e">
        <f>CONCATENATE(dados[[#This Row],[fator1]],dados[[#This Row],[fator5]],dados[[#This Row],[fator6]])</f>
        <v>#REF!</v>
      </c>
    </row>
    <row r="510" spans="1:23">
      <c r="A510" t="s">
        <v>16</v>
      </c>
      <c r="B510">
        <v>482123</v>
      </c>
      <c r="C510">
        <v>8</v>
      </c>
      <c r="D510">
        <v>40</v>
      </c>
      <c r="E510">
        <v>86</v>
      </c>
      <c r="F510">
        <v>6</v>
      </c>
      <c r="G510">
        <v>0</v>
      </c>
      <c r="H510">
        <v>20</v>
      </c>
      <c r="I510">
        <v>711</v>
      </c>
      <c r="J510">
        <v>620</v>
      </c>
      <c r="K510">
        <v>3.79</v>
      </c>
      <c r="L510">
        <v>7.3500000000000005</v>
      </c>
      <c r="M510">
        <v>64.5</v>
      </c>
      <c r="N510">
        <v>11.15</v>
      </c>
      <c r="O510">
        <v>1625</v>
      </c>
      <c r="P510">
        <v>0</v>
      </c>
      <c r="Q510" s="5" t="e">
        <f>IF(AND(#REF!&gt;=table!$C$6,#REF!&lt;= table!$D$6),-1,IF(AND(#REF!&gt;=table!$E$6,#REF!&lt;=table!$F$6),1,0))</f>
        <v>#REF!</v>
      </c>
      <c r="R510" s="5" t="e">
        <f>IF(AND(#REF!&gt;=table!$C$7,#REF!&lt;= table!$D$7),-1,IF(AND(#REF!&gt;=table!$E$7,#REF!&lt;=table!$F$7),1,0))</f>
        <v>#REF!</v>
      </c>
      <c r="S510" s="5" t="e">
        <f>IF(AND(#REF!&gt;=table!$C$8,#REF!&lt;= table!$D$8),-1,IF(AND(#REF!&gt;=table!$E$8,#REF!&lt;=table!$F$8),1,0))</f>
        <v>#REF!</v>
      </c>
      <c r="T510" s="5"/>
      <c r="U510" s="5" t="e">
        <f>IF(AND(#REF!&gt;=table!$C$10,#REF!&lt;= table!$D$10),-1,IF(AND(#REF!&gt;=table!$E$10,#REF!&lt;=table!$F$10),1,0))</f>
        <v>#REF!</v>
      </c>
      <c r="V510" s="5" t="e">
        <f>IF(AND(#REF!&gt;=table!$C$11,#REF!&lt;= table!$D$11),-1,IF(AND(#REF!&gt;=table!$E$11,#REF!&lt;=table!$F$11),1,0))</f>
        <v>#REF!</v>
      </c>
      <c r="W510" s="5" t="e">
        <f>CONCATENATE(dados[[#This Row],[fator1]],dados[[#This Row],[fator5]],dados[[#This Row],[fator6]])</f>
        <v>#REF!</v>
      </c>
    </row>
    <row r="511" spans="1:23">
      <c r="A511" t="s">
        <v>16</v>
      </c>
      <c r="B511">
        <v>482124</v>
      </c>
      <c r="C511">
        <v>8</v>
      </c>
      <c r="D511">
        <v>40</v>
      </c>
      <c r="E511">
        <v>86</v>
      </c>
      <c r="F511">
        <v>6</v>
      </c>
      <c r="G511">
        <v>0</v>
      </c>
      <c r="H511">
        <v>20</v>
      </c>
      <c r="I511">
        <v>1002</v>
      </c>
      <c r="J511">
        <v>0</v>
      </c>
      <c r="K511">
        <v>3.8200000000000003</v>
      </c>
      <c r="L511">
        <v>10.215</v>
      </c>
      <c r="M511">
        <v>79.100000000000009</v>
      </c>
      <c r="N511">
        <v>13</v>
      </c>
      <c r="O511">
        <v>1669</v>
      </c>
      <c r="P511">
        <v>826</v>
      </c>
      <c r="Q511" s="5" t="e">
        <f>IF(AND(#REF!&gt;=table!$C$6,#REF!&lt;= table!$D$6),-1,IF(AND(#REF!&gt;=table!$E$6,#REF!&lt;=table!$F$6),1,0))</f>
        <v>#REF!</v>
      </c>
      <c r="R511" s="5" t="e">
        <f>IF(AND(#REF!&gt;=table!$C$7,#REF!&lt;= table!$D$7),-1,IF(AND(#REF!&gt;=table!$E$7,#REF!&lt;=table!$F$7),1,0))</f>
        <v>#REF!</v>
      </c>
      <c r="S511" s="5" t="e">
        <f>IF(AND(#REF!&gt;=table!$C$8,#REF!&lt;= table!$D$8),-1,IF(AND(#REF!&gt;=table!$E$8,#REF!&lt;=table!$F$8),1,0))</f>
        <v>#REF!</v>
      </c>
      <c r="T511" s="5"/>
      <c r="U511" s="5" t="e">
        <f>IF(AND(#REF!&gt;=table!$C$10,#REF!&lt;= table!$D$10),-1,IF(AND(#REF!&gt;=table!$E$10,#REF!&lt;=table!$F$10),1,0))</f>
        <v>#REF!</v>
      </c>
      <c r="V511" s="5" t="e">
        <f>IF(AND(#REF!&gt;=table!$C$11,#REF!&lt;= table!$D$11),-1,IF(AND(#REF!&gt;=table!$E$11,#REF!&lt;=table!$F$11),1,0))</f>
        <v>#REF!</v>
      </c>
      <c r="W511" s="5" t="e">
        <f>CONCATENATE(dados[[#This Row],[fator1]],dados[[#This Row],[fator5]],dados[[#This Row],[fator6]])</f>
        <v>#REF!</v>
      </c>
    </row>
    <row r="512" spans="1:23">
      <c r="A512" t="s">
        <v>16</v>
      </c>
      <c r="B512">
        <v>482139</v>
      </c>
      <c r="C512">
        <v>7</v>
      </c>
      <c r="D512">
        <v>33</v>
      </c>
      <c r="E512">
        <v>150</v>
      </c>
      <c r="F512">
        <v>4</v>
      </c>
      <c r="G512">
        <v>0</v>
      </c>
      <c r="H512">
        <v>25</v>
      </c>
      <c r="I512">
        <v>605</v>
      </c>
      <c r="J512">
        <v>0</v>
      </c>
      <c r="K512">
        <v>2.798</v>
      </c>
      <c r="L512">
        <v>11.35</v>
      </c>
      <c r="M512">
        <v>127.67</v>
      </c>
      <c r="N512">
        <v>14.89</v>
      </c>
      <c r="O512">
        <v>1679</v>
      </c>
      <c r="P512">
        <v>1167</v>
      </c>
      <c r="Q512" s="5" t="e">
        <f>IF(AND(#REF!&gt;=table!$C$6,#REF!&lt;= table!$D$6),-1,IF(AND(#REF!&gt;=table!$E$6,#REF!&lt;=table!$F$6),1,0))</f>
        <v>#REF!</v>
      </c>
      <c r="R512" s="5" t="e">
        <f>IF(AND(#REF!&gt;=table!$C$7,#REF!&lt;= table!$D$7),-1,IF(AND(#REF!&gt;=table!$E$7,#REF!&lt;=table!$F$7),1,0))</f>
        <v>#REF!</v>
      </c>
      <c r="S512" s="5" t="e">
        <f>IF(AND(#REF!&gt;=table!$C$8,#REF!&lt;= table!$D$8),-1,IF(AND(#REF!&gt;=table!$E$8,#REF!&lt;=table!$F$8),1,0))</f>
        <v>#REF!</v>
      </c>
      <c r="T512" s="5"/>
      <c r="U512" s="5" t="e">
        <f>IF(AND(#REF!&gt;=table!$C$10,#REF!&lt;= table!$D$10),-1,IF(AND(#REF!&gt;=table!$E$10,#REF!&lt;=table!$F$10),1,0))</f>
        <v>#REF!</v>
      </c>
      <c r="V512" s="5" t="e">
        <f>IF(AND(#REF!&gt;=table!$C$11,#REF!&lt;= table!$D$11),-1,IF(AND(#REF!&gt;=table!$E$11,#REF!&lt;=table!$F$11),1,0))</f>
        <v>#REF!</v>
      </c>
      <c r="W512" s="5" t="e">
        <f>CONCATENATE(dados[[#This Row],[fator1]],dados[[#This Row],[fator5]],dados[[#This Row],[fator6]])</f>
        <v>#REF!</v>
      </c>
    </row>
    <row r="513" spans="1:23">
      <c r="A513" t="s">
        <v>16</v>
      </c>
      <c r="B513">
        <v>482140</v>
      </c>
      <c r="C513">
        <v>7</v>
      </c>
      <c r="D513">
        <v>33</v>
      </c>
      <c r="E513">
        <v>150</v>
      </c>
      <c r="F513">
        <v>4</v>
      </c>
      <c r="G513">
        <v>0</v>
      </c>
      <c r="H513">
        <v>25</v>
      </c>
      <c r="I513">
        <v>283</v>
      </c>
      <c r="J513">
        <v>0</v>
      </c>
      <c r="K513">
        <v>3.19</v>
      </c>
      <c r="L513">
        <v>9.9500000000000011</v>
      </c>
      <c r="M513">
        <v>124.65</v>
      </c>
      <c r="N513">
        <v>10.85</v>
      </c>
      <c r="O513">
        <v>1658</v>
      </c>
      <c r="P513">
        <v>0</v>
      </c>
      <c r="Q513" s="5" t="e">
        <f>IF(AND(#REF!&gt;=table!$C$6,#REF!&lt;= table!$D$6),-1,IF(AND(#REF!&gt;=table!$E$6,#REF!&lt;=table!$F$6),1,0))</f>
        <v>#REF!</v>
      </c>
      <c r="R513" s="5" t="e">
        <f>IF(AND(#REF!&gt;=table!$C$7,#REF!&lt;= table!$D$7),-1,IF(AND(#REF!&gt;=table!$E$7,#REF!&lt;=table!$F$7),1,0))</f>
        <v>#REF!</v>
      </c>
      <c r="S513" s="5" t="e">
        <f>IF(AND(#REF!&gt;=table!$C$8,#REF!&lt;= table!$D$8),-1,IF(AND(#REF!&gt;=table!$E$8,#REF!&lt;=table!$F$8),1,0))</f>
        <v>#REF!</v>
      </c>
      <c r="T513" s="5"/>
      <c r="U513" s="5" t="e">
        <f>IF(AND(#REF!&gt;=table!$C$10,#REF!&lt;= table!$D$10),-1,IF(AND(#REF!&gt;=table!$E$10,#REF!&lt;=table!$F$10),1,0))</f>
        <v>#REF!</v>
      </c>
      <c r="V513" s="5" t="e">
        <f>IF(AND(#REF!&gt;=table!$C$11,#REF!&lt;= table!$D$11),-1,IF(AND(#REF!&gt;=table!$E$11,#REF!&lt;=table!$F$11),1,0))</f>
        <v>#REF!</v>
      </c>
      <c r="W513" s="5" t="e">
        <f>CONCATENATE(dados[[#This Row],[fator1]],dados[[#This Row],[fator5]],dados[[#This Row],[fator6]])</f>
        <v>#REF!</v>
      </c>
    </row>
    <row r="514" spans="1:23">
      <c r="A514" t="s">
        <v>16</v>
      </c>
      <c r="B514">
        <v>482144</v>
      </c>
      <c r="C514">
        <v>11</v>
      </c>
      <c r="D514">
        <v>40</v>
      </c>
      <c r="E514">
        <v>151</v>
      </c>
      <c r="F514">
        <v>8</v>
      </c>
      <c r="G514">
        <v>0</v>
      </c>
      <c r="H514">
        <v>25</v>
      </c>
      <c r="I514">
        <v>1699</v>
      </c>
      <c r="J514">
        <v>0</v>
      </c>
      <c r="K514">
        <v>10.115</v>
      </c>
      <c r="L514">
        <v>18.900000000000002</v>
      </c>
      <c r="M514">
        <v>121.45</v>
      </c>
      <c r="N514">
        <v>15.8</v>
      </c>
      <c r="O514">
        <v>1677</v>
      </c>
      <c r="P514">
        <v>392</v>
      </c>
      <c r="Q514" s="5" t="e">
        <f>IF(AND(#REF!&gt;=table!$C$6,#REF!&lt;= table!$D$6),-1,IF(AND(#REF!&gt;=table!$E$6,#REF!&lt;=table!$F$6),1,0))</f>
        <v>#REF!</v>
      </c>
      <c r="R514" s="5" t="e">
        <f>IF(AND(#REF!&gt;=table!$C$7,#REF!&lt;= table!$D$7),-1,IF(AND(#REF!&gt;=table!$E$7,#REF!&lt;=table!$F$7),1,0))</f>
        <v>#REF!</v>
      </c>
      <c r="S514" s="5" t="e">
        <f>IF(AND(#REF!&gt;=table!$C$8,#REF!&lt;= table!$D$8),-1,IF(AND(#REF!&gt;=table!$E$8,#REF!&lt;=table!$F$8),1,0))</f>
        <v>#REF!</v>
      </c>
      <c r="T514" s="5"/>
      <c r="U514" s="5" t="e">
        <f>IF(AND(#REF!&gt;=table!$C$10,#REF!&lt;= table!$D$10),-1,IF(AND(#REF!&gt;=table!$E$10,#REF!&lt;=table!$F$10),1,0))</f>
        <v>#REF!</v>
      </c>
      <c r="V514" s="5" t="e">
        <f>IF(AND(#REF!&gt;=table!$C$11,#REF!&lt;= table!$D$11),-1,IF(AND(#REF!&gt;=table!$E$11,#REF!&lt;=table!$F$11),1,0))</f>
        <v>#REF!</v>
      </c>
      <c r="W514" s="5" t="e">
        <f>CONCATENATE(dados[[#This Row],[fator1]],dados[[#This Row],[fator5]],dados[[#This Row],[fator6]])</f>
        <v>#REF!</v>
      </c>
    </row>
    <row r="515" spans="1:23">
      <c r="A515" t="s">
        <v>17</v>
      </c>
      <c r="B515">
        <v>482145</v>
      </c>
      <c r="C515">
        <v>29</v>
      </c>
      <c r="D515">
        <v>30</v>
      </c>
      <c r="E515">
        <v>126</v>
      </c>
      <c r="F515">
        <v>6</v>
      </c>
      <c r="G515">
        <v>23</v>
      </c>
      <c r="H515">
        <v>23</v>
      </c>
      <c r="I515">
        <v>493</v>
      </c>
      <c r="J515">
        <v>0</v>
      </c>
      <c r="K515">
        <v>4.97</v>
      </c>
      <c r="L515">
        <v>12.14</v>
      </c>
      <c r="M515">
        <v>117.95</v>
      </c>
      <c r="N515">
        <v>16.25</v>
      </c>
      <c r="O515">
        <v>1693</v>
      </c>
      <c r="P515">
        <v>969</v>
      </c>
      <c r="Q515" s="5" t="e">
        <f>IF(AND(#REF!&gt;=table!$C$6,#REF!&lt;= table!$D$6),-1,IF(AND(#REF!&gt;=table!$E$6,#REF!&lt;=table!$F$6),1,0))</f>
        <v>#REF!</v>
      </c>
      <c r="R515" s="5" t="e">
        <f>IF(AND(#REF!&gt;=table!$C$7,#REF!&lt;= table!$D$7),-1,IF(AND(#REF!&gt;=table!$E$7,#REF!&lt;=table!$F$7),1,0))</f>
        <v>#REF!</v>
      </c>
      <c r="S515" s="5" t="e">
        <f>IF(AND(#REF!&gt;=table!$C$8,#REF!&lt;= table!$D$8),-1,IF(AND(#REF!&gt;=table!$E$8,#REF!&lt;=table!$F$8),1,0))</f>
        <v>#REF!</v>
      </c>
      <c r="T515" s="5"/>
      <c r="U515" s="5" t="e">
        <f>IF(AND(#REF!&gt;=table!$C$10,#REF!&lt;= table!$D$10),-1,IF(AND(#REF!&gt;=table!$E$10,#REF!&lt;=table!$F$10),1,0))</f>
        <v>#REF!</v>
      </c>
      <c r="V515" s="5" t="e">
        <f>IF(AND(#REF!&gt;=table!$C$11,#REF!&lt;= table!$D$11),-1,IF(AND(#REF!&gt;=table!$E$11,#REF!&lt;=table!$F$11),1,0))</f>
        <v>#REF!</v>
      </c>
      <c r="W515" s="5" t="e">
        <f>CONCATENATE(dados[[#This Row],[fator1]],dados[[#This Row],[fator5]],dados[[#This Row],[fator6]])</f>
        <v>#REF!</v>
      </c>
    </row>
    <row r="516" spans="1:23">
      <c r="A516" t="s">
        <v>16</v>
      </c>
      <c r="B516">
        <v>482146</v>
      </c>
      <c r="C516">
        <v>11</v>
      </c>
      <c r="D516">
        <v>40</v>
      </c>
      <c r="E516">
        <v>151</v>
      </c>
      <c r="F516">
        <v>8</v>
      </c>
      <c r="G516">
        <v>0</v>
      </c>
      <c r="H516">
        <v>25</v>
      </c>
      <c r="I516">
        <v>791</v>
      </c>
      <c r="J516">
        <v>0</v>
      </c>
      <c r="K516">
        <v>4.63</v>
      </c>
      <c r="L516">
        <v>9.995000000000001</v>
      </c>
      <c r="M516">
        <v>113.45</v>
      </c>
      <c r="N516">
        <v>13.55</v>
      </c>
      <c r="O516">
        <v>1679</v>
      </c>
      <c r="P516">
        <v>1053</v>
      </c>
      <c r="Q516" s="5" t="e">
        <f>IF(AND(#REF!&gt;=table!$C$6,#REF!&lt;= table!$D$6),-1,IF(AND(#REF!&gt;=table!$E$6,#REF!&lt;=table!$F$6),1,0))</f>
        <v>#REF!</v>
      </c>
      <c r="R516" s="5" t="e">
        <f>IF(AND(#REF!&gt;=table!$C$7,#REF!&lt;= table!$D$7),-1,IF(AND(#REF!&gt;=table!$E$7,#REF!&lt;=table!$F$7),1,0))</f>
        <v>#REF!</v>
      </c>
      <c r="S516" s="5" t="e">
        <f>IF(AND(#REF!&gt;=table!$C$8,#REF!&lt;= table!$D$8),-1,IF(AND(#REF!&gt;=table!$E$8,#REF!&lt;=table!$F$8),1,0))</f>
        <v>#REF!</v>
      </c>
      <c r="T516" s="5"/>
      <c r="U516" s="5" t="e">
        <f>IF(AND(#REF!&gt;=table!$C$10,#REF!&lt;= table!$D$10),-1,IF(AND(#REF!&gt;=table!$E$10,#REF!&lt;=table!$F$10),1,0))</f>
        <v>#REF!</v>
      </c>
      <c r="V516" s="5" t="e">
        <f>IF(AND(#REF!&gt;=table!$C$11,#REF!&lt;= table!$D$11),-1,IF(AND(#REF!&gt;=table!$E$11,#REF!&lt;=table!$F$11),1,0))</f>
        <v>#REF!</v>
      </c>
      <c r="W516" s="5" t="e">
        <f>CONCATENATE(dados[[#This Row],[fator1]],dados[[#This Row],[fator5]],dados[[#This Row],[fator6]])</f>
        <v>#REF!</v>
      </c>
    </row>
    <row r="517" spans="1:23">
      <c r="A517" t="s">
        <v>16</v>
      </c>
      <c r="B517">
        <v>482151</v>
      </c>
      <c r="C517">
        <v>0.15</v>
      </c>
      <c r="D517">
        <v>40</v>
      </c>
      <c r="E517">
        <v>10</v>
      </c>
      <c r="F517">
        <v>15</v>
      </c>
      <c r="G517">
        <v>0</v>
      </c>
      <c r="H517">
        <v>15</v>
      </c>
      <c r="I517">
        <v>1306</v>
      </c>
      <c r="J517">
        <v>0</v>
      </c>
      <c r="K517">
        <v>4.58</v>
      </c>
      <c r="L517">
        <v>11</v>
      </c>
      <c r="M517">
        <v>10.700000000000001</v>
      </c>
      <c r="N517">
        <v>10.85</v>
      </c>
      <c r="O517">
        <v>1668</v>
      </c>
      <c r="P517">
        <v>799</v>
      </c>
      <c r="Q517" s="5" t="e">
        <f>IF(AND(#REF!&gt;=table!$C$6,#REF!&lt;= table!$D$6),-1,IF(AND(#REF!&gt;=table!$E$6,#REF!&lt;=table!$F$6),1,0))</f>
        <v>#REF!</v>
      </c>
      <c r="R517" s="5" t="e">
        <f>IF(AND(#REF!&gt;=table!$C$7,#REF!&lt;= table!$D$7),-1,IF(AND(#REF!&gt;=table!$E$7,#REF!&lt;=table!$F$7),1,0))</f>
        <v>#REF!</v>
      </c>
      <c r="S517" s="5" t="e">
        <f>IF(AND(#REF!&gt;=table!$C$8,#REF!&lt;= table!$D$8),-1,IF(AND(#REF!&gt;=table!$E$8,#REF!&lt;=table!$F$8),1,0))</f>
        <v>#REF!</v>
      </c>
      <c r="T517" s="5"/>
      <c r="U517" s="5" t="e">
        <f>IF(AND(#REF!&gt;=table!$C$10,#REF!&lt;= table!$D$10),-1,IF(AND(#REF!&gt;=table!$E$10,#REF!&lt;=table!$F$10),1,0))</f>
        <v>#REF!</v>
      </c>
      <c r="V517" s="5" t="e">
        <f>IF(AND(#REF!&gt;=table!$C$11,#REF!&lt;= table!$D$11),-1,IF(AND(#REF!&gt;=table!$E$11,#REF!&lt;=table!$F$11),1,0))</f>
        <v>#REF!</v>
      </c>
      <c r="W517" s="5" t="e">
        <f>CONCATENATE(dados[[#This Row],[fator1]],dados[[#This Row],[fator5]],dados[[#This Row],[fator6]])</f>
        <v>#REF!</v>
      </c>
    </row>
    <row r="518" spans="1:23">
      <c r="A518" t="s">
        <v>16</v>
      </c>
      <c r="B518">
        <v>482154</v>
      </c>
      <c r="C518">
        <v>8</v>
      </c>
      <c r="D518">
        <v>27</v>
      </c>
      <c r="E518">
        <v>86</v>
      </c>
      <c r="F518">
        <v>9</v>
      </c>
      <c r="G518">
        <v>0</v>
      </c>
      <c r="H518">
        <v>25</v>
      </c>
      <c r="I518">
        <v>1135</v>
      </c>
      <c r="J518">
        <v>0</v>
      </c>
      <c r="K518">
        <v>3.36</v>
      </c>
      <c r="L518">
        <v>4.5</v>
      </c>
      <c r="M518">
        <v>65.3</v>
      </c>
      <c r="N518">
        <v>12.8</v>
      </c>
      <c r="O518">
        <v>1657</v>
      </c>
      <c r="P518">
        <v>0</v>
      </c>
      <c r="Q518" s="5" t="e">
        <f>IF(AND(#REF!&gt;=table!$C$6,#REF!&lt;= table!$D$6),-1,IF(AND(#REF!&gt;=table!$E$6,#REF!&lt;=table!$F$6),1,0))</f>
        <v>#REF!</v>
      </c>
      <c r="R518" s="5" t="e">
        <f>IF(AND(#REF!&gt;=table!$C$7,#REF!&lt;= table!$D$7),-1,IF(AND(#REF!&gt;=table!$E$7,#REF!&lt;=table!$F$7),1,0))</f>
        <v>#REF!</v>
      </c>
      <c r="S518" s="5" t="e">
        <f>IF(AND(#REF!&gt;=table!$C$8,#REF!&lt;= table!$D$8),-1,IF(AND(#REF!&gt;=table!$E$8,#REF!&lt;=table!$F$8),1,0))</f>
        <v>#REF!</v>
      </c>
      <c r="T518" s="5"/>
      <c r="U518" s="5" t="e">
        <f>IF(AND(#REF!&gt;=table!$C$10,#REF!&lt;= table!$D$10),-1,IF(AND(#REF!&gt;=table!$E$10,#REF!&lt;=table!$F$10),1,0))</f>
        <v>#REF!</v>
      </c>
      <c r="V518" s="5" t="e">
        <f>IF(AND(#REF!&gt;=table!$C$11,#REF!&lt;= table!$D$11),-1,IF(AND(#REF!&gt;=table!$E$11,#REF!&lt;=table!$F$11),1,0))</f>
        <v>#REF!</v>
      </c>
      <c r="W518" s="5" t="e">
        <f>CONCATENATE(dados[[#This Row],[fator1]],dados[[#This Row],[fator5]],dados[[#This Row],[fator6]])</f>
        <v>#REF!</v>
      </c>
    </row>
    <row r="519" spans="1:23">
      <c r="A519" t="s">
        <v>16</v>
      </c>
      <c r="B519">
        <v>482160</v>
      </c>
      <c r="C519">
        <v>4</v>
      </c>
      <c r="D519">
        <v>40</v>
      </c>
      <c r="E519">
        <v>26</v>
      </c>
      <c r="F519">
        <v>23</v>
      </c>
      <c r="G519">
        <v>0</v>
      </c>
      <c r="H519">
        <v>20</v>
      </c>
      <c r="I519">
        <v>0</v>
      </c>
      <c r="J519">
        <v>0</v>
      </c>
      <c r="K519">
        <v>5.28</v>
      </c>
      <c r="L519">
        <v>14.75</v>
      </c>
      <c r="M519">
        <v>18</v>
      </c>
      <c r="N519">
        <v>16.100000000000001</v>
      </c>
      <c r="O519">
        <v>1642</v>
      </c>
      <c r="P519">
        <v>685</v>
      </c>
      <c r="Q519" s="5" t="e">
        <f>IF(AND(#REF!&gt;=table!$C$6,#REF!&lt;= table!$D$6),-1,IF(AND(#REF!&gt;=table!$E$6,#REF!&lt;=table!$F$6),1,0))</f>
        <v>#REF!</v>
      </c>
      <c r="R519" s="5" t="e">
        <f>IF(AND(#REF!&gt;=table!$C$7,#REF!&lt;= table!$D$7),-1,IF(AND(#REF!&gt;=table!$E$7,#REF!&lt;=table!$F$7),1,0))</f>
        <v>#REF!</v>
      </c>
      <c r="S519" s="5" t="e">
        <f>IF(AND(#REF!&gt;=table!$C$8,#REF!&lt;= table!$D$8),-1,IF(AND(#REF!&gt;=table!$E$8,#REF!&lt;=table!$F$8),1,0))</f>
        <v>#REF!</v>
      </c>
      <c r="T519" s="5"/>
      <c r="U519" s="5" t="e">
        <f>IF(AND(#REF!&gt;=table!$C$10,#REF!&lt;= table!$D$10),-1,IF(AND(#REF!&gt;=table!$E$10,#REF!&lt;=table!$F$10),1,0))</f>
        <v>#REF!</v>
      </c>
      <c r="V519" s="5" t="e">
        <f>IF(AND(#REF!&gt;=table!$C$11,#REF!&lt;= table!$D$11),-1,IF(AND(#REF!&gt;=table!$E$11,#REF!&lt;=table!$F$11),1,0))</f>
        <v>#REF!</v>
      </c>
      <c r="W519" s="5" t="e">
        <f>CONCATENATE(dados[[#This Row],[fator1]],dados[[#This Row],[fator5]],dados[[#This Row],[fator6]])</f>
        <v>#REF!</v>
      </c>
    </row>
    <row r="520" spans="1:23">
      <c r="A520" t="s">
        <v>16</v>
      </c>
      <c r="B520">
        <v>482161</v>
      </c>
      <c r="C520">
        <v>3</v>
      </c>
      <c r="D520">
        <v>30</v>
      </c>
      <c r="E520">
        <v>21</v>
      </c>
      <c r="F520">
        <v>15</v>
      </c>
      <c r="G520">
        <v>0</v>
      </c>
      <c r="H520">
        <v>25</v>
      </c>
      <c r="I520">
        <v>128</v>
      </c>
      <c r="J520">
        <v>0</v>
      </c>
      <c r="K520">
        <v>6.415</v>
      </c>
      <c r="L520">
        <v>14.1</v>
      </c>
      <c r="M520">
        <v>21.6</v>
      </c>
      <c r="N520">
        <v>16.7</v>
      </c>
      <c r="O520">
        <v>1685</v>
      </c>
      <c r="P520">
        <v>568</v>
      </c>
      <c r="Q520" s="5" t="e">
        <f>IF(AND(#REF!&gt;=table!$C$6,#REF!&lt;= table!$D$6),-1,IF(AND(#REF!&gt;=table!$E$6,#REF!&lt;=table!$F$6),1,0))</f>
        <v>#REF!</v>
      </c>
      <c r="R520" s="5" t="e">
        <f>IF(AND(#REF!&gt;=table!$C$7,#REF!&lt;= table!$D$7),-1,IF(AND(#REF!&gt;=table!$E$7,#REF!&lt;=table!$F$7),1,0))</f>
        <v>#REF!</v>
      </c>
      <c r="S520" s="5" t="e">
        <f>IF(AND(#REF!&gt;=table!$C$8,#REF!&lt;= table!$D$8),-1,IF(AND(#REF!&gt;=table!$E$8,#REF!&lt;=table!$F$8),1,0))</f>
        <v>#REF!</v>
      </c>
      <c r="T520" s="5"/>
      <c r="U520" s="5" t="e">
        <f>IF(AND(#REF!&gt;=table!$C$10,#REF!&lt;= table!$D$10),-1,IF(AND(#REF!&gt;=table!$E$10,#REF!&lt;=table!$F$10),1,0))</f>
        <v>#REF!</v>
      </c>
      <c r="V520" s="5" t="e">
        <f>IF(AND(#REF!&gt;=table!$C$11,#REF!&lt;= table!$D$11),-1,IF(AND(#REF!&gt;=table!$E$11,#REF!&lt;=table!$F$11),1,0))</f>
        <v>#REF!</v>
      </c>
      <c r="W520" s="5" t="e">
        <f>CONCATENATE(dados[[#This Row],[fator1]],dados[[#This Row],[fator5]],dados[[#This Row],[fator6]])</f>
        <v>#REF!</v>
      </c>
    </row>
    <row r="521" spans="1:23">
      <c r="A521" t="s">
        <v>17</v>
      </c>
      <c r="B521">
        <v>482163</v>
      </c>
      <c r="C521">
        <v>16</v>
      </c>
      <c r="D521">
        <v>30</v>
      </c>
      <c r="E521">
        <v>110</v>
      </c>
      <c r="F521">
        <v>8</v>
      </c>
      <c r="G521">
        <v>28</v>
      </c>
      <c r="H521">
        <v>25</v>
      </c>
      <c r="I521">
        <v>301</v>
      </c>
      <c r="J521">
        <v>0</v>
      </c>
      <c r="K521">
        <v>3.8200000000000003</v>
      </c>
      <c r="L521">
        <v>11.55</v>
      </c>
      <c r="M521">
        <v>101.85000000000001</v>
      </c>
      <c r="N521">
        <v>14.1</v>
      </c>
      <c r="O521">
        <v>1675</v>
      </c>
      <c r="P521">
        <v>977</v>
      </c>
      <c r="Q521" s="5" t="e">
        <f>IF(AND(#REF!&gt;=table!$C$6,#REF!&lt;= table!$D$6),-1,IF(AND(#REF!&gt;=table!$E$6,#REF!&lt;=table!$F$6),1,0))</f>
        <v>#REF!</v>
      </c>
      <c r="R521" s="5" t="e">
        <f>IF(AND(#REF!&gt;=table!$C$7,#REF!&lt;= table!$D$7),-1,IF(AND(#REF!&gt;=table!$E$7,#REF!&lt;=table!$F$7),1,0))</f>
        <v>#REF!</v>
      </c>
      <c r="S521" s="5" t="e">
        <f>IF(AND(#REF!&gt;=table!$C$8,#REF!&lt;= table!$D$8),-1,IF(AND(#REF!&gt;=table!$E$8,#REF!&lt;=table!$F$8),1,0))</f>
        <v>#REF!</v>
      </c>
      <c r="T521" s="5"/>
      <c r="U521" s="5" t="e">
        <f>IF(AND(#REF!&gt;=table!$C$10,#REF!&lt;= table!$D$10),-1,IF(AND(#REF!&gt;=table!$E$10,#REF!&lt;=table!$F$10),1,0))</f>
        <v>#REF!</v>
      </c>
      <c r="V521" s="5" t="e">
        <f>IF(AND(#REF!&gt;=table!$C$11,#REF!&lt;= table!$D$11),-1,IF(AND(#REF!&gt;=table!$E$11,#REF!&lt;=table!$F$11),1,0))</f>
        <v>#REF!</v>
      </c>
      <c r="W521" s="5" t="e">
        <f>CONCATENATE(dados[[#This Row],[fator1]],dados[[#This Row],[fator5]],dados[[#This Row],[fator6]])</f>
        <v>#REF!</v>
      </c>
    </row>
    <row r="522" spans="1:23">
      <c r="A522" t="s">
        <v>17</v>
      </c>
      <c r="B522">
        <v>482164</v>
      </c>
      <c r="C522">
        <v>14</v>
      </c>
      <c r="D522">
        <v>25</v>
      </c>
      <c r="E522">
        <v>130</v>
      </c>
      <c r="F522">
        <v>9</v>
      </c>
      <c r="G522">
        <v>110</v>
      </c>
      <c r="H522">
        <v>50</v>
      </c>
      <c r="I522">
        <v>212</v>
      </c>
      <c r="J522">
        <v>0</v>
      </c>
      <c r="K522">
        <v>3.665</v>
      </c>
      <c r="L522">
        <v>11.700000000000001</v>
      </c>
      <c r="M522">
        <v>137.9</v>
      </c>
      <c r="N522">
        <v>29.400000000000002</v>
      </c>
      <c r="O522">
        <v>1701</v>
      </c>
      <c r="P522">
        <v>0</v>
      </c>
      <c r="Q522" s="5" t="e">
        <f>IF(AND(#REF!&gt;=table!$C$6,#REF!&lt;= table!$D$6),-1,IF(AND(#REF!&gt;=table!$E$6,#REF!&lt;=table!$F$6),1,0))</f>
        <v>#REF!</v>
      </c>
      <c r="R522" s="5" t="e">
        <f>IF(AND(#REF!&gt;=table!$C$7,#REF!&lt;= table!$D$7),-1,IF(AND(#REF!&gt;=table!$E$7,#REF!&lt;=table!$F$7),1,0))</f>
        <v>#REF!</v>
      </c>
      <c r="S522" s="5" t="e">
        <f>IF(AND(#REF!&gt;=table!$C$8,#REF!&lt;= table!$D$8),-1,IF(AND(#REF!&gt;=table!$E$8,#REF!&lt;=table!$F$8),1,0))</f>
        <v>#REF!</v>
      </c>
      <c r="T522" s="5"/>
      <c r="U522" s="5" t="e">
        <f>IF(AND(#REF!&gt;=table!$C$10,#REF!&lt;= table!$D$10),-1,IF(AND(#REF!&gt;=table!$E$10,#REF!&lt;=table!$F$10),1,0))</f>
        <v>#REF!</v>
      </c>
      <c r="V522" s="5" t="e">
        <f>IF(AND(#REF!&gt;=table!$C$11,#REF!&lt;= table!$D$11),-1,IF(AND(#REF!&gt;=table!$E$11,#REF!&lt;=table!$F$11),1,0))</f>
        <v>#REF!</v>
      </c>
      <c r="W522" s="5" t="e">
        <f>CONCATENATE(dados[[#This Row],[fator1]],dados[[#This Row],[fator5]],dados[[#This Row],[fator6]])</f>
        <v>#REF!</v>
      </c>
    </row>
    <row r="523" spans="1:23">
      <c r="A523" t="s">
        <v>16</v>
      </c>
      <c r="B523">
        <v>482167</v>
      </c>
      <c r="C523">
        <v>0.15</v>
      </c>
      <c r="D523">
        <v>35</v>
      </c>
      <c r="E523">
        <v>15</v>
      </c>
      <c r="F523">
        <v>10</v>
      </c>
      <c r="G523">
        <v>0</v>
      </c>
      <c r="H523">
        <v>12</v>
      </c>
      <c r="I523">
        <v>317</v>
      </c>
      <c r="J523">
        <v>0</v>
      </c>
      <c r="K523">
        <v>2.645</v>
      </c>
      <c r="L523">
        <v>7.1000000000000005</v>
      </c>
      <c r="M523">
        <v>6.4</v>
      </c>
      <c r="N523">
        <v>17.5</v>
      </c>
      <c r="O523">
        <v>1696</v>
      </c>
      <c r="P523">
        <v>0</v>
      </c>
      <c r="Q523" s="5" t="e">
        <f>IF(AND(#REF!&gt;=table!$C$6,#REF!&lt;= table!$D$6),-1,IF(AND(#REF!&gt;=table!$E$6,#REF!&lt;=table!$F$6),1,0))</f>
        <v>#REF!</v>
      </c>
      <c r="R523" s="5" t="e">
        <f>IF(AND(#REF!&gt;=table!$C$7,#REF!&lt;= table!$D$7),-1,IF(AND(#REF!&gt;=table!$E$7,#REF!&lt;=table!$F$7),1,0))</f>
        <v>#REF!</v>
      </c>
      <c r="S523" s="5" t="e">
        <f>IF(AND(#REF!&gt;=table!$C$8,#REF!&lt;= table!$D$8),-1,IF(AND(#REF!&gt;=table!$E$8,#REF!&lt;=table!$F$8),1,0))</f>
        <v>#REF!</v>
      </c>
      <c r="T523" s="5"/>
      <c r="U523" s="5" t="e">
        <f>IF(AND(#REF!&gt;=table!$C$10,#REF!&lt;= table!$D$10),-1,IF(AND(#REF!&gt;=table!$E$10,#REF!&lt;=table!$F$10),1,0))</f>
        <v>#REF!</v>
      </c>
      <c r="V523" s="5" t="e">
        <f>IF(AND(#REF!&gt;=table!$C$11,#REF!&lt;= table!$D$11),-1,IF(AND(#REF!&gt;=table!$E$11,#REF!&lt;=table!$F$11),1,0))</f>
        <v>#REF!</v>
      </c>
      <c r="W523" s="5" t="e">
        <f>CONCATENATE(dados[[#This Row],[fator1]],dados[[#This Row],[fator5]],dados[[#This Row],[fator6]])</f>
        <v>#REF!</v>
      </c>
    </row>
    <row r="524" spans="1:23">
      <c r="A524" t="s">
        <v>17</v>
      </c>
      <c r="B524">
        <v>482173</v>
      </c>
      <c r="C524">
        <v>9</v>
      </c>
      <c r="D524">
        <v>30</v>
      </c>
      <c r="E524">
        <v>160</v>
      </c>
      <c r="F524">
        <v>3</v>
      </c>
      <c r="G524">
        <v>30</v>
      </c>
      <c r="H524">
        <v>18</v>
      </c>
      <c r="I524">
        <v>437</v>
      </c>
      <c r="J524">
        <v>0</v>
      </c>
      <c r="K524">
        <v>3.125</v>
      </c>
      <c r="L524">
        <v>6.3</v>
      </c>
      <c r="M524">
        <v>154.30000000000001</v>
      </c>
      <c r="N524">
        <v>9.6</v>
      </c>
      <c r="O524">
        <v>1691</v>
      </c>
      <c r="P524">
        <v>0</v>
      </c>
      <c r="Q524" s="5" t="e">
        <f>IF(AND(#REF!&gt;=table!$C$6,#REF!&lt;= table!$D$6),-1,IF(AND(#REF!&gt;=table!$E$6,#REF!&lt;=table!$F$6),1,0))</f>
        <v>#REF!</v>
      </c>
      <c r="R524" s="5" t="e">
        <f>IF(AND(#REF!&gt;=table!$C$7,#REF!&lt;= table!$D$7),-1,IF(AND(#REF!&gt;=table!$E$7,#REF!&lt;=table!$F$7),1,0))</f>
        <v>#REF!</v>
      </c>
      <c r="S524" s="5" t="e">
        <f>IF(AND(#REF!&gt;=table!$C$8,#REF!&lt;= table!$D$8),-1,IF(AND(#REF!&gt;=table!$E$8,#REF!&lt;=table!$F$8),1,0))</f>
        <v>#REF!</v>
      </c>
      <c r="T524" s="5"/>
      <c r="U524" s="5" t="e">
        <f>IF(AND(#REF!&gt;=table!$C$10,#REF!&lt;= table!$D$10),-1,IF(AND(#REF!&gt;=table!$E$10,#REF!&lt;=table!$F$10),1,0))</f>
        <v>#REF!</v>
      </c>
      <c r="V524" s="5" t="e">
        <f>IF(AND(#REF!&gt;=table!$C$11,#REF!&lt;= table!$D$11),-1,IF(AND(#REF!&gt;=table!$E$11,#REF!&lt;=table!$F$11),1,0))</f>
        <v>#REF!</v>
      </c>
      <c r="W524" s="5" t="e">
        <f>CONCATENATE(dados[[#This Row],[fator1]],dados[[#This Row],[fator5]],dados[[#This Row],[fator6]])</f>
        <v>#REF!</v>
      </c>
    </row>
    <row r="525" spans="1:23">
      <c r="A525" t="s">
        <v>18</v>
      </c>
      <c r="B525">
        <v>482176</v>
      </c>
      <c r="C525">
        <v>4</v>
      </c>
      <c r="D525">
        <v>2.5</v>
      </c>
      <c r="E525">
        <v>40</v>
      </c>
      <c r="F525">
        <v>15</v>
      </c>
      <c r="G525">
        <v>28</v>
      </c>
      <c r="H525">
        <v>25</v>
      </c>
      <c r="I525">
        <v>639</v>
      </c>
      <c r="J525">
        <v>0</v>
      </c>
      <c r="K525">
        <v>3.9750000000000001</v>
      </c>
      <c r="L525">
        <v>7.75</v>
      </c>
      <c r="M525">
        <v>31</v>
      </c>
      <c r="N525">
        <v>10.65</v>
      </c>
      <c r="O525">
        <v>1649</v>
      </c>
      <c r="P525">
        <v>0</v>
      </c>
      <c r="Q525" s="5" t="e">
        <f>IF(AND(#REF!&gt;=table!$C$6,#REF!&lt;= table!$D$6),-1,IF(AND(#REF!&gt;=table!$E$6,#REF!&lt;=table!$F$6),1,0))</f>
        <v>#REF!</v>
      </c>
      <c r="R525" s="5" t="e">
        <f>IF(AND(#REF!&gt;=table!$C$7,#REF!&lt;= table!$D$7),-1,IF(AND(#REF!&gt;=table!$E$7,#REF!&lt;=table!$F$7),1,0))</f>
        <v>#REF!</v>
      </c>
      <c r="S525" s="5" t="e">
        <f>IF(AND(#REF!&gt;=table!$C$8,#REF!&lt;= table!$D$8),-1,IF(AND(#REF!&gt;=table!$E$8,#REF!&lt;=table!$F$8),1,0))</f>
        <v>#REF!</v>
      </c>
      <c r="T525" s="5"/>
      <c r="U525" s="5" t="e">
        <f>IF(AND(#REF!&gt;=table!$C$10,#REF!&lt;= table!$D$10),-1,IF(AND(#REF!&gt;=table!$E$10,#REF!&lt;=table!$F$10),1,0))</f>
        <v>#REF!</v>
      </c>
      <c r="V525" s="5" t="e">
        <f>IF(AND(#REF!&gt;=table!$C$11,#REF!&lt;= table!$D$11),-1,IF(AND(#REF!&gt;=table!$E$11,#REF!&lt;=table!$F$11),1,0))</f>
        <v>#REF!</v>
      </c>
      <c r="W525" s="5" t="e">
        <f>CONCATENATE(dados[[#This Row],[fator1]],dados[[#This Row],[fator5]],dados[[#This Row],[fator6]])</f>
        <v>#REF!</v>
      </c>
    </row>
    <row r="526" spans="1:23">
      <c r="A526" t="s">
        <v>18</v>
      </c>
      <c r="B526">
        <v>482178</v>
      </c>
      <c r="C526">
        <v>3</v>
      </c>
      <c r="D526">
        <v>5</v>
      </c>
      <c r="E526">
        <v>26</v>
      </c>
      <c r="F526">
        <v>15</v>
      </c>
      <c r="G526">
        <v>42</v>
      </c>
      <c r="H526">
        <v>30</v>
      </c>
      <c r="I526">
        <v>3</v>
      </c>
      <c r="J526">
        <v>0</v>
      </c>
      <c r="K526">
        <v>10.52</v>
      </c>
      <c r="L526">
        <v>18.7</v>
      </c>
      <c r="M526">
        <v>17.25</v>
      </c>
      <c r="N526">
        <v>20.7</v>
      </c>
      <c r="O526">
        <v>1685</v>
      </c>
      <c r="P526">
        <v>0</v>
      </c>
      <c r="Q526" s="5" t="e">
        <f>IF(AND(#REF!&gt;=table!$C$6,#REF!&lt;= table!$D$6),-1,IF(AND(#REF!&gt;=table!$E$6,#REF!&lt;=table!$F$6),1,0))</f>
        <v>#REF!</v>
      </c>
      <c r="R526" s="5" t="e">
        <f>IF(AND(#REF!&gt;=table!$C$7,#REF!&lt;= table!$D$7),-1,IF(AND(#REF!&gt;=table!$E$7,#REF!&lt;=table!$F$7),1,0))</f>
        <v>#REF!</v>
      </c>
      <c r="S526" s="5" t="e">
        <f>IF(AND(#REF!&gt;=table!$C$8,#REF!&lt;= table!$D$8),-1,IF(AND(#REF!&gt;=table!$E$8,#REF!&lt;=table!$F$8),1,0))</f>
        <v>#REF!</v>
      </c>
      <c r="T526" s="5"/>
      <c r="U526" s="5" t="e">
        <f>IF(AND(#REF!&gt;=table!$C$10,#REF!&lt;= table!$D$10),-1,IF(AND(#REF!&gt;=table!$E$10,#REF!&lt;=table!$F$10),1,0))</f>
        <v>#REF!</v>
      </c>
      <c r="V526" s="5" t="e">
        <f>IF(AND(#REF!&gt;=table!$C$11,#REF!&lt;= table!$D$11),-1,IF(AND(#REF!&gt;=table!$E$11,#REF!&lt;=table!$F$11),1,0))</f>
        <v>#REF!</v>
      </c>
      <c r="W526" s="5" t="e">
        <f>CONCATENATE(dados[[#This Row],[fator1]],dados[[#This Row],[fator5]],dados[[#This Row],[fator6]])</f>
        <v>#REF!</v>
      </c>
    </row>
    <row r="527" spans="1:23">
      <c r="A527" t="s">
        <v>18</v>
      </c>
      <c r="B527">
        <v>482181</v>
      </c>
      <c r="C527">
        <v>3</v>
      </c>
      <c r="D527">
        <v>5</v>
      </c>
      <c r="E527">
        <v>26</v>
      </c>
      <c r="F527">
        <v>15</v>
      </c>
      <c r="G527">
        <v>42</v>
      </c>
      <c r="H527">
        <v>30</v>
      </c>
      <c r="I527">
        <v>490</v>
      </c>
      <c r="J527">
        <v>0</v>
      </c>
      <c r="K527">
        <v>9.58</v>
      </c>
      <c r="L527">
        <v>17.600000000000001</v>
      </c>
      <c r="M527">
        <v>11.75</v>
      </c>
      <c r="N527">
        <v>13.65</v>
      </c>
      <c r="O527">
        <v>1649</v>
      </c>
      <c r="P527">
        <v>481</v>
      </c>
      <c r="Q527" s="5" t="e">
        <f>IF(AND(#REF!&gt;=table!$C$6,#REF!&lt;= table!$D$6),-1,IF(AND(#REF!&gt;=table!$E$6,#REF!&lt;=table!$F$6),1,0))</f>
        <v>#REF!</v>
      </c>
      <c r="R527" s="5" t="e">
        <f>IF(AND(#REF!&gt;=table!$C$7,#REF!&lt;= table!$D$7),-1,IF(AND(#REF!&gt;=table!$E$7,#REF!&lt;=table!$F$7),1,0))</f>
        <v>#REF!</v>
      </c>
      <c r="S527" s="5" t="e">
        <f>IF(AND(#REF!&gt;=table!$C$8,#REF!&lt;= table!$D$8),-1,IF(AND(#REF!&gt;=table!$E$8,#REF!&lt;=table!$F$8),1,0))</f>
        <v>#REF!</v>
      </c>
      <c r="T527" s="5"/>
      <c r="U527" s="5" t="e">
        <f>IF(AND(#REF!&gt;=table!$C$10,#REF!&lt;= table!$D$10),-1,IF(AND(#REF!&gt;=table!$E$10,#REF!&lt;=table!$F$10),1,0))</f>
        <v>#REF!</v>
      </c>
      <c r="V527" s="5" t="e">
        <f>IF(AND(#REF!&gt;=table!$C$11,#REF!&lt;= table!$D$11),-1,IF(AND(#REF!&gt;=table!$E$11,#REF!&lt;=table!$F$11),1,0))</f>
        <v>#REF!</v>
      </c>
      <c r="W527" s="5" t="e">
        <f>CONCATENATE(dados[[#This Row],[fator1]],dados[[#This Row],[fator5]],dados[[#This Row],[fator6]])</f>
        <v>#REF!</v>
      </c>
    </row>
    <row r="528" spans="1:23">
      <c r="A528" t="s">
        <v>17</v>
      </c>
      <c r="B528">
        <v>482183</v>
      </c>
      <c r="C528">
        <v>9</v>
      </c>
      <c r="D528">
        <v>30</v>
      </c>
      <c r="E528">
        <v>160</v>
      </c>
      <c r="F528">
        <v>3</v>
      </c>
      <c r="G528">
        <v>30</v>
      </c>
      <c r="H528">
        <v>18</v>
      </c>
      <c r="I528">
        <v>397</v>
      </c>
      <c r="J528">
        <v>0</v>
      </c>
      <c r="K528">
        <v>7.83</v>
      </c>
      <c r="L528">
        <v>9.6</v>
      </c>
      <c r="M528">
        <v>155.4</v>
      </c>
      <c r="N528">
        <v>10</v>
      </c>
      <c r="O528">
        <v>1694</v>
      </c>
      <c r="P528">
        <v>489</v>
      </c>
      <c r="Q528" s="5" t="e">
        <f>IF(AND(#REF!&gt;=table!$C$6,#REF!&lt;= table!$D$6),-1,IF(AND(#REF!&gt;=table!$E$6,#REF!&lt;=table!$F$6),1,0))</f>
        <v>#REF!</v>
      </c>
      <c r="R528" s="5" t="e">
        <f>IF(AND(#REF!&gt;=table!$C$7,#REF!&lt;= table!$D$7),-1,IF(AND(#REF!&gt;=table!$E$7,#REF!&lt;=table!$F$7),1,0))</f>
        <v>#REF!</v>
      </c>
      <c r="S528" s="5" t="e">
        <f>IF(AND(#REF!&gt;=table!$C$8,#REF!&lt;= table!$D$8),-1,IF(AND(#REF!&gt;=table!$E$8,#REF!&lt;=table!$F$8),1,0))</f>
        <v>#REF!</v>
      </c>
      <c r="T528" s="5"/>
      <c r="U528" s="5" t="e">
        <f>IF(AND(#REF!&gt;=table!$C$10,#REF!&lt;= table!$D$10),-1,IF(AND(#REF!&gt;=table!$E$10,#REF!&lt;=table!$F$10),1,0))</f>
        <v>#REF!</v>
      </c>
      <c r="V528" s="5" t="e">
        <f>IF(AND(#REF!&gt;=table!$C$11,#REF!&lt;= table!$D$11),-1,IF(AND(#REF!&gt;=table!$E$11,#REF!&lt;=table!$F$11),1,0))</f>
        <v>#REF!</v>
      </c>
      <c r="W528" s="5" t="e">
        <f>CONCATENATE(dados[[#This Row],[fator1]],dados[[#This Row],[fator5]],dados[[#This Row],[fator6]])</f>
        <v>#REF!</v>
      </c>
    </row>
    <row r="529" spans="1:23">
      <c r="A529" t="s">
        <v>17</v>
      </c>
      <c r="B529">
        <v>482187</v>
      </c>
      <c r="C529">
        <v>9</v>
      </c>
      <c r="D529">
        <v>30</v>
      </c>
      <c r="E529">
        <v>160</v>
      </c>
      <c r="F529">
        <v>3</v>
      </c>
      <c r="G529">
        <v>30</v>
      </c>
      <c r="H529">
        <v>18</v>
      </c>
      <c r="I529">
        <v>945</v>
      </c>
      <c r="J529">
        <v>0</v>
      </c>
      <c r="K529">
        <v>4.2050000000000001</v>
      </c>
      <c r="L529">
        <v>8.0500000000000007</v>
      </c>
      <c r="M529">
        <v>143.6</v>
      </c>
      <c r="N529">
        <v>10.5</v>
      </c>
      <c r="O529">
        <v>1671</v>
      </c>
      <c r="P529">
        <v>960</v>
      </c>
      <c r="Q529" s="5" t="e">
        <f>IF(AND(#REF!&gt;=table!$C$6,#REF!&lt;= table!$D$6),-1,IF(AND(#REF!&gt;=table!$E$6,#REF!&lt;=table!$F$6),1,0))</f>
        <v>#REF!</v>
      </c>
      <c r="R529" s="5" t="e">
        <f>IF(AND(#REF!&gt;=table!$C$7,#REF!&lt;= table!$D$7),-1,IF(AND(#REF!&gt;=table!$E$7,#REF!&lt;=table!$F$7),1,0))</f>
        <v>#REF!</v>
      </c>
      <c r="S529" s="5" t="e">
        <f>IF(AND(#REF!&gt;=table!$C$8,#REF!&lt;= table!$D$8),-1,IF(AND(#REF!&gt;=table!$E$8,#REF!&lt;=table!$F$8),1,0))</f>
        <v>#REF!</v>
      </c>
      <c r="T529" s="5"/>
      <c r="U529" s="5" t="e">
        <f>IF(AND(#REF!&gt;=table!$C$10,#REF!&lt;= table!$D$10),-1,IF(AND(#REF!&gt;=table!$E$10,#REF!&lt;=table!$F$10),1,0))</f>
        <v>#REF!</v>
      </c>
      <c r="V529" s="5" t="e">
        <f>IF(AND(#REF!&gt;=table!$C$11,#REF!&lt;= table!$D$11),-1,IF(AND(#REF!&gt;=table!$E$11,#REF!&lt;=table!$F$11),1,0))</f>
        <v>#REF!</v>
      </c>
      <c r="W529" s="5" t="e">
        <f>CONCATENATE(dados[[#This Row],[fator1]],dados[[#This Row],[fator5]],dados[[#This Row],[fator6]])</f>
        <v>#REF!</v>
      </c>
    </row>
    <row r="530" spans="1:23">
      <c r="A530" t="s">
        <v>17</v>
      </c>
      <c r="B530">
        <v>482188</v>
      </c>
      <c r="C530">
        <v>9</v>
      </c>
      <c r="D530">
        <v>30</v>
      </c>
      <c r="E530">
        <v>160</v>
      </c>
      <c r="F530">
        <v>3</v>
      </c>
      <c r="G530">
        <v>30</v>
      </c>
      <c r="H530">
        <v>18</v>
      </c>
      <c r="I530">
        <v>789</v>
      </c>
      <c r="J530">
        <v>0</v>
      </c>
      <c r="K530">
        <v>3.145</v>
      </c>
      <c r="L530">
        <v>6.25</v>
      </c>
      <c r="M530">
        <v>145.45000000000002</v>
      </c>
      <c r="N530">
        <v>10.8</v>
      </c>
      <c r="O530">
        <v>1675</v>
      </c>
      <c r="P530">
        <v>1351</v>
      </c>
      <c r="Q530" s="5" t="e">
        <f>IF(AND(#REF!&gt;=table!$C$6,#REF!&lt;= table!$D$6),-1,IF(AND(#REF!&gt;=table!$E$6,#REF!&lt;=table!$F$6),1,0))</f>
        <v>#REF!</v>
      </c>
      <c r="R530" s="5" t="e">
        <f>IF(AND(#REF!&gt;=table!$C$7,#REF!&lt;= table!$D$7),-1,IF(AND(#REF!&gt;=table!$E$7,#REF!&lt;=table!$F$7),1,0))</f>
        <v>#REF!</v>
      </c>
      <c r="S530" s="5" t="e">
        <f>IF(AND(#REF!&gt;=table!$C$8,#REF!&lt;= table!$D$8),-1,IF(AND(#REF!&gt;=table!$E$8,#REF!&lt;=table!$F$8),1,0))</f>
        <v>#REF!</v>
      </c>
      <c r="T530" s="5"/>
      <c r="U530" s="5" t="e">
        <f>IF(AND(#REF!&gt;=table!$C$10,#REF!&lt;= table!$D$10),-1,IF(AND(#REF!&gt;=table!$E$10,#REF!&lt;=table!$F$10),1,0))</f>
        <v>#REF!</v>
      </c>
      <c r="V530" s="5" t="e">
        <f>IF(AND(#REF!&gt;=table!$C$11,#REF!&lt;= table!$D$11),-1,IF(AND(#REF!&gt;=table!$E$11,#REF!&lt;=table!$F$11),1,0))</f>
        <v>#REF!</v>
      </c>
      <c r="W530" s="5" t="e">
        <f>CONCATENATE(dados[[#This Row],[fator1]],dados[[#This Row],[fator5]],dados[[#This Row],[fator6]])</f>
        <v>#REF!</v>
      </c>
    </row>
    <row r="531" spans="1:23">
      <c r="A531" t="s">
        <v>17</v>
      </c>
      <c r="B531">
        <v>482189</v>
      </c>
      <c r="C531">
        <v>9</v>
      </c>
      <c r="D531">
        <v>30</v>
      </c>
      <c r="E531">
        <v>160</v>
      </c>
      <c r="F531">
        <v>3</v>
      </c>
      <c r="G531">
        <v>30</v>
      </c>
      <c r="H531">
        <v>18</v>
      </c>
      <c r="I531">
        <v>597</v>
      </c>
      <c r="J531">
        <v>0</v>
      </c>
      <c r="K531">
        <v>3.0649999999999999</v>
      </c>
      <c r="L531">
        <v>3.85</v>
      </c>
      <c r="M531">
        <v>149.95000000000002</v>
      </c>
      <c r="N531">
        <v>7.75</v>
      </c>
      <c r="O531">
        <v>1697</v>
      </c>
      <c r="P531">
        <v>0</v>
      </c>
      <c r="Q531" s="5" t="e">
        <f>IF(AND(#REF!&gt;=table!$C$6,#REF!&lt;= table!$D$6),-1,IF(AND(#REF!&gt;=table!$E$6,#REF!&lt;=table!$F$6),1,0))</f>
        <v>#REF!</v>
      </c>
      <c r="R531" s="5" t="e">
        <f>IF(AND(#REF!&gt;=table!$C$7,#REF!&lt;= table!$D$7),-1,IF(AND(#REF!&gt;=table!$E$7,#REF!&lt;=table!$F$7),1,0))</f>
        <v>#REF!</v>
      </c>
      <c r="S531" s="5" t="e">
        <f>IF(AND(#REF!&gt;=table!$C$8,#REF!&lt;= table!$D$8),-1,IF(AND(#REF!&gt;=table!$E$8,#REF!&lt;=table!$F$8),1,0))</f>
        <v>#REF!</v>
      </c>
      <c r="T531" s="5"/>
      <c r="U531" s="5" t="e">
        <f>IF(AND(#REF!&gt;=table!$C$10,#REF!&lt;= table!$D$10),-1,IF(AND(#REF!&gt;=table!$E$10,#REF!&lt;=table!$F$10),1,0))</f>
        <v>#REF!</v>
      </c>
      <c r="V531" s="5" t="e">
        <f>IF(AND(#REF!&gt;=table!$C$11,#REF!&lt;= table!$D$11),-1,IF(AND(#REF!&gt;=table!$E$11,#REF!&lt;=table!$F$11),1,0))</f>
        <v>#REF!</v>
      </c>
      <c r="W531" s="5" t="e">
        <f>CONCATENATE(dados[[#This Row],[fator1]],dados[[#This Row],[fator5]],dados[[#This Row],[fator6]])</f>
        <v>#REF!</v>
      </c>
    </row>
    <row r="532" spans="1:23">
      <c r="A532" t="s">
        <v>16</v>
      </c>
      <c r="B532">
        <v>482191</v>
      </c>
      <c r="C532">
        <v>6</v>
      </c>
      <c r="D532">
        <v>25</v>
      </c>
      <c r="E532">
        <v>120</v>
      </c>
      <c r="F532">
        <v>4</v>
      </c>
      <c r="G532">
        <v>0</v>
      </c>
      <c r="H532">
        <v>55</v>
      </c>
      <c r="I532">
        <v>633</v>
      </c>
      <c r="J532">
        <v>0</v>
      </c>
      <c r="K532">
        <v>3.0649999999999999</v>
      </c>
      <c r="L532">
        <v>3.9</v>
      </c>
      <c r="M532">
        <v>86.7</v>
      </c>
      <c r="N532">
        <v>11.3</v>
      </c>
      <c r="O532">
        <v>1664</v>
      </c>
      <c r="P532">
        <v>0</v>
      </c>
      <c r="Q532" s="5" t="e">
        <f>IF(AND(#REF!&gt;=table!$C$6,#REF!&lt;= table!$D$6),-1,IF(AND(#REF!&gt;=table!$E$6,#REF!&lt;=table!$F$6),1,0))</f>
        <v>#REF!</v>
      </c>
      <c r="R532" s="5" t="e">
        <f>IF(AND(#REF!&gt;=table!$C$7,#REF!&lt;= table!$D$7),-1,IF(AND(#REF!&gt;=table!$E$7,#REF!&lt;=table!$F$7),1,0))</f>
        <v>#REF!</v>
      </c>
      <c r="S532" s="5" t="e">
        <f>IF(AND(#REF!&gt;=table!$C$8,#REF!&lt;= table!$D$8),-1,IF(AND(#REF!&gt;=table!$E$8,#REF!&lt;=table!$F$8),1,0))</f>
        <v>#REF!</v>
      </c>
      <c r="T532" s="5"/>
      <c r="U532" s="5" t="e">
        <f>IF(AND(#REF!&gt;=table!$C$10,#REF!&lt;= table!$D$10),-1,IF(AND(#REF!&gt;=table!$E$10,#REF!&lt;=table!$F$10),1,0))</f>
        <v>#REF!</v>
      </c>
      <c r="V532" s="5" t="e">
        <f>IF(AND(#REF!&gt;=table!$C$11,#REF!&lt;= table!$D$11),-1,IF(AND(#REF!&gt;=table!$E$11,#REF!&lt;=table!$F$11),1,0))</f>
        <v>#REF!</v>
      </c>
      <c r="W532" s="5" t="e">
        <f>CONCATENATE(dados[[#This Row],[fator1]],dados[[#This Row],[fator5]],dados[[#This Row],[fator6]])</f>
        <v>#REF!</v>
      </c>
    </row>
    <row r="533" spans="1:23">
      <c r="A533" t="s">
        <v>16</v>
      </c>
      <c r="B533">
        <v>482194</v>
      </c>
      <c r="C533">
        <v>6</v>
      </c>
      <c r="D533">
        <v>25</v>
      </c>
      <c r="E533">
        <v>120</v>
      </c>
      <c r="F533">
        <v>4</v>
      </c>
      <c r="G533">
        <v>0</v>
      </c>
      <c r="H533">
        <v>55</v>
      </c>
      <c r="I533">
        <v>0</v>
      </c>
      <c r="J533">
        <v>0</v>
      </c>
      <c r="K533">
        <v>3.6750000000000003</v>
      </c>
      <c r="L533">
        <v>8.15</v>
      </c>
      <c r="M533">
        <v>21.415000000000003</v>
      </c>
      <c r="N533">
        <v>27.75</v>
      </c>
      <c r="O533">
        <v>1658</v>
      </c>
      <c r="P533">
        <v>0</v>
      </c>
      <c r="Q533" s="5" t="e">
        <f>IF(AND(#REF!&gt;=table!$C$6,#REF!&lt;= table!$D$6),-1,IF(AND(#REF!&gt;=table!$E$6,#REF!&lt;=table!$F$6),1,0))</f>
        <v>#REF!</v>
      </c>
      <c r="R533" s="5" t="e">
        <f>IF(AND(#REF!&gt;=table!$C$7,#REF!&lt;= table!$D$7),-1,IF(AND(#REF!&gt;=table!$E$7,#REF!&lt;=table!$F$7),1,0))</f>
        <v>#REF!</v>
      </c>
      <c r="S533" s="5" t="e">
        <f>IF(AND(#REF!&gt;=table!$C$8,#REF!&lt;= table!$D$8),-1,IF(AND(#REF!&gt;=table!$E$8,#REF!&lt;=table!$F$8),1,0))</f>
        <v>#REF!</v>
      </c>
      <c r="T533" s="5"/>
      <c r="U533" s="5" t="e">
        <f>IF(AND(#REF!&gt;=table!$C$10,#REF!&lt;= table!$D$10),-1,IF(AND(#REF!&gt;=table!$E$10,#REF!&lt;=table!$F$10),1,0))</f>
        <v>#REF!</v>
      </c>
      <c r="V533" s="5" t="e">
        <f>IF(AND(#REF!&gt;=table!$C$11,#REF!&lt;= table!$D$11),-1,IF(AND(#REF!&gt;=table!$E$11,#REF!&lt;=table!$F$11),1,0))</f>
        <v>#REF!</v>
      </c>
      <c r="W533" s="5" t="e">
        <f>CONCATENATE(dados[[#This Row],[fator1]],dados[[#This Row],[fator5]],dados[[#This Row],[fator6]])</f>
        <v>#REF!</v>
      </c>
    </row>
    <row r="534" spans="1:23">
      <c r="A534" t="s">
        <v>16</v>
      </c>
      <c r="B534">
        <v>482195</v>
      </c>
      <c r="C534">
        <v>6</v>
      </c>
      <c r="D534">
        <v>25</v>
      </c>
      <c r="E534">
        <v>120</v>
      </c>
      <c r="F534">
        <v>4</v>
      </c>
      <c r="G534">
        <v>0</v>
      </c>
      <c r="H534">
        <v>55</v>
      </c>
      <c r="I534">
        <v>735</v>
      </c>
      <c r="J534">
        <v>0</v>
      </c>
      <c r="K534">
        <v>3.9650000000000003</v>
      </c>
      <c r="L534">
        <v>7.1450000000000005</v>
      </c>
      <c r="M534">
        <v>97.48</v>
      </c>
      <c r="N534">
        <v>37.925000000000004</v>
      </c>
      <c r="O534">
        <v>1703</v>
      </c>
      <c r="P534">
        <v>0</v>
      </c>
      <c r="Q534" s="5" t="e">
        <f>IF(AND(#REF!&gt;=table!$C$6,#REF!&lt;= table!$D$6),-1,IF(AND(#REF!&gt;=table!$E$6,#REF!&lt;=table!$F$6),1,0))</f>
        <v>#REF!</v>
      </c>
      <c r="R534" s="5" t="e">
        <f>IF(AND(#REF!&gt;=table!$C$7,#REF!&lt;= table!$D$7),-1,IF(AND(#REF!&gt;=table!$E$7,#REF!&lt;=table!$F$7),1,0))</f>
        <v>#REF!</v>
      </c>
      <c r="S534" s="5" t="e">
        <f>IF(AND(#REF!&gt;=table!$C$8,#REF!&lt;= table!$D$8),-1,IF(AND(#REF!&gt;=table!$E$8,#REF!&lt;=table!$F$8),1,0))</f>
        <v>#REF!</v>
      </c>
      <c r="T534" s="5"/>
      <c r="U534" s="5" t="e">
        <f>IF(AND(#REF!&gt;=table!$C$10,#REF!&lt;= table!$D$10),-1,IF(AND(#REF!&gt;=table!$E$10,#REF!&lt;=table!$F$10),1,0))</f>
        <v>#REF!</v>
      </c>
      <c r="V534" s="5" t="e">
        <f>IF(AND(#REF!&gt;=table!$C$11,#REF!&lt;= table!$D$11),-1,IF(AND(#REF!&gt;=table!$E$11,#REF!&lt;=table!$F$11),1,0))</f>
        <v>#REF!</v>
      </c>
      <c r="W534" s="5" t="e">
        <f>CONCATENATE(dados[[#This Row],[fator1]],dados[[#This Row],[fator5]],dados[[#This Row],[fator6]])</f>
        <v>#REF!</v>
      </c>
    </row>
    <row r="535" spans="1:23">
      <c r="A535" t="s">
        <v>16</v>
      </c>
      <c r="B535">
        <v>482196</v>
      </c>
      <c r="C535">
        <v>6</v>
      </c>
      <c r="D535">
        <v>25</v>
      </c>
      <c r="E535">
        <v>120</v>
      </c>
      <c r="F535">
        <v>4</v>
      </c>
      <c r="G535">
        <v>0</v>
      </c>
      <c r="H535">
        <v>55</v>
      </c>
      <c r="I535">
        <v>614</v>
      </c>
      <c r="J535">
        <v>0</v>
      </c>
      <c r="K535">
        <v>4.0150000000000006</v>
      </c>
      <c r="L535">
        <v>9.0650000000000013</v>
      </c>
      <c r="M535">
        <v>98.425000000000011</v>
      </c>
      <c r="N535">
        <v>39.99</v>
      </c>
      <c r="O535">
        <v>1692</v>
      </c>
      <c r="P535">
        <v>0</v>
      </c>
      <c r="Q535" s="5" t="e">
        <f>IF(AND(#REF!&gt;=table!$C$6,#REF!&lt;= table!$D$6),-1,IF(AND(#REF!&gt;=table!$E$6,#REF!&lt;=table!$F$6),1,0))</f>
        <v>#REF!</v>
      </c>
      <c r="R535" s="5" t="e">
        <f>IF(AND(#REF!&gt;=table!$C$7,#REF!&lt;= table!$D$7),-1,IF(AND(#REF!&gt;=table!$E$7,#REF!&lt;=table!$F$7),1,0))</f>
        <v>#REF!</v>
      </c>
      <c r="S535" s="5" t="e">
        <f>IF(AND(#REF!&gt;=table!$C$8,#REF!&lt;= table!$D$8),-1,IF(AND(#REF!&gt;=table!$E$8,#REF!&lt;=table!$F$8),1,0))</f>
        <v>#REF!</v>
      </c>
      <c r="T535" s="5"/>
      <c r="U535" s="5" t="e">
        <f>IF(AND(#REF!&gt;=table!$C$10,#REF!&lt;= table!$D$10),-1,IF(AND(#REF!&gt;=table!$E$10,#REF!&lt;=table!$F$10),1,0))</f>
        <v>#REF!</v>
      </c>
      <c r="V535" s="5" t="e">
        <f>IF(AND(#REF!&gt;=table!$C$11,#REF!&lt;= table!$D$11),-1,IF(AND(#REF!&gt;=table!$E$11,#REF!&lt;=table!$F$11),1,0))</f>
        <v>#REF!</v>
      </c>
      <c r="W535" s="5" t="e">
        <f>CONCATENATE(dados[[#This Row],[fator1]],dados[[#This Row],[fator5]],dados[[#This Row],[fator6]])</f>
        <v>#REF!</v>
      </c>
    </row>
    <row r="536" spans="1:23">
      <c r="A536" t="s">
        <v>16</v>
      </c>
      <c r="B536">
        <v>482198</v>
      </c>
      <c r="C536">
        <v>6</v>
      </c>
      <c r="D536">
        <v>25</v>
      </c>
      <c r="E536">
        <v>120</v>
      </c>
      <c r="F536">
        <v>4</v>
      </c>
      <c r="G536">
        <v>0</v>
      </c>
      <c r="H536">
        <v>55</v>
      </c>
      <c r="I536">
        <v>708</v>
      </c>
      <c r="J536">
        <v>0</v>
      </c>
      <c r="K536">
        <v>3.895</v>
      </c>
      <c r="L536">
        <v>9.9</v>
      </c>
      <c r="M536">
        <v>98.305000000000007</v>
      </c>
      <c r="N536">
        <v>36.495000000000005</v>
      </c>
      <c r="O536">
        <v>1693</v>
      </c>
      <c r="P536">
        <v>0</v>
      </c>
      <c r="Q536" s="5" t="e">
        <f>IF(AND(#REF!&gt;=table!$C$6,#REF!&lt;= table!$D$6),-1,IF(AND(#REF!&gt;=table!$E$6,#REF!&lt;=table!$F$6),1,0))</f>
        <v>#REF!</v>
      </c>
      <c r="R536" s="5" t="e">
        <f>IF(AND(#REF!&gt;=table!$C$7,#REF!&lt;= table!$D$7),-1,IF(AND(#REF!&gt;=table!$E$7,#REF!&lt;=table!$F$7),1,0))</f>
        <v>#REF!</v>
      </c>
      <c r="S536" s="5" t="e">
        <f>IF(AND(#REF!&gt;=table!$C$8,#REF!&lt;= table!$D$8),-1,IF(AND(#REF!&gt;=table!$E$8,#REF!&lt;=table!$F$8),1,0))</f>
        <v>#REF!</v>
      </c>
      <c r="T536" s="5"/>
      <c r="U536" s="5" t="e">
        <f>IF(AND(#REF!&gt;=table!$C$10,#REF!&lt;= table!$D$10),-1,IF(AND(#REF!&gt;=table!$E$10,#REF!&lt;=table!$F$10),1,0))</f>
        <v>#REF!</v>
      </c>
      <c r="V536" s="5" t="e">
        <f>IF(AND(#REF!&gt;=table!$C$11,#REF!&lt;= table!$D$11),-1,IF(AND(#REF!&gt;=table!$E$11,#REF!&lt;=table!$F$11),1,0))</f>
        <v>#REF!</v>
      </c>
      <c r="W536" s="5" t="e">
        <f>CONCATENATE(dados[[#This Row],[fator1]],dados[[#This Row],[fator5]],dados[[#This Row],[fator6]])</f>
        <v>#REF!</v>
      </c>
    </row>
    <row r="537" spans="1:23">
      <c r="A537" t="s">
        <v>16</v>
      </c>
      <c r="B537">
        <v>482199</v>
      </c>
      <c r="C537">
        <v>6</v>
      </c>
      <c r="D537">
        <v>25</v>
      </c>
      <c r="E537">
        <v>120</v>
      </c>
      <c r="F537">
        <v>4</v>
      </c>
      <c r="G537">
        <v>0</v>
      </c>
      <c r="H537">
        <v>55</v>
      </c>
      <c r="I537">
        <v>837</v>
      </c>
      <c r="J537">
        <v>0</v>
      </c>
      <c r="K537">
        <v>2.6795</v>
      </c>
      <c r="L537">
        <v>7.62</v>
      </c>
      <c r="M537">
        <v>98.75</v>
      </c>
      <c r="N537">
        <v>36.35</v>
      </c>
      <c r="O537">
        <v>1680</v>
      </c>
      <c r="P537">
        <v>0</v>
      </c>
      <c r="Q537" s="5" t="e">
        <f>IF(AND(#REF!&gt;=table!$C$6,#REF!&lt;= table!$D$6),-1,IF(AND(#REF!&gt;=table!$E$6,#REF!&lt;=table!$F$6),1,0))</f>
        <v>#REF!</v>
      </c>
      <c r="R537" s="5" t="e">
        <f>IF(AND(#REF!&gt;=table!$C$7,#REF!&lt;= table!$D$7),-1,IF(AND(#REF!&gt;=table!$E$7,#REF!&lt;=table!$F$7),1,0))</f>
        <v>#REF!</v>
      </c>
      <c r="S537" s="5" t="e">
        <f>IF(AND(#REF!&gt;=table!$C$8,#REF!&lt;= table!$D$8),-1,IF(AND(#REF!&gt;=table!$E$8,#REF!&lt;=table!$F$8),1,0))</f>
        <v>#REF!</v>
      </c>
      <c r="T537" s="5"/>
      <c r="U537" s="5" t="e">
        <f>IF(AND(#REF!&gt;=table!$C$10,#REF!&lt;= table!$D$10),-1,IF(AND(#REF!&gt;=table!$E$10,#REF!&lt;=table!$F$10),1,0))</f>
        <v>#REF!</v>
      </c>
      <c r="V537" s="5" t="e">
        <f>IF(AND(#REF!&gt;=table!$C$11,#REF!&lt;= table!$D$11),-1,IF(AND(#REF!&gt;=table!$E$11,#REF!&lt;=table!$F$11),1,0))</f>
        <v>#REF!</v>
      </c>
      <c r="W537" s="5" t="e">
        <f>CONCATENATE(dados[[#This Row],[fator1]],dados[[#This Row],[fator5]],dados[[#This Row],[fator6]])</f>
        <v>#REF!</v>
      </c>
    </row>
    <row r="538" spans="1:23">
      <c r="A538" t="s">
        <v>17</v>
      </c>
      <c r="B538">
        <v>482201</v>
      </c>
      <c r="C538">
        <v>14</v>
      </c>
      <c r="D538">
        <v>30</v>
      </c>
      <c r="E538">
        <v>110</v>
      </c>
      <c r="F538">
        <v>4</v>
      </c>
      <c r="G538">
        <v>20</v>
      </c>
      <c r="H538">
        <v>22</v>
      </c>
      <c r="I538">
        <v>1003</v>
      </c>
      <c r="J538">
        <v>0</v>
      </c>
      <c r="K538">
        <v>4.0999999999999996</v>
      </c>
      <c r="L538">
        <v>8.6449999999999996</v>
      </c>
      <c r="M538">
        <v>76.745000000000005</v>
      </c>
      <c r="N538">
        <v>10.540000000000001</v>
      </c>
      <c r="O538">
        <v>1678</v>
      </c>
      <c r="P538">
        <v>0</v>
      </c>
      <c r="Q538" s="5" t="e">
        <f>IF(AND(#REF!&gt;=table!$C$6,#REF!&lt;= table!$D$6),-1,IF(AND(#REF!&gt;=table!$E$6,#REF!&lt;=table!$F$6),1,0))</f>
        <v>#REF!</v>
      </c>
      <c r="R538" s="5" t="e">
        <f>IF(AND(#REF!&gt;=table!$C$7,#REF!&lt;= table!$D$7),-1,IF(AND(#REF!&gt;=table!$E$7,#REF!&lt;=table!$F$7),1,0))</f>
        <v>#REF!</v>
      </c>
      <c r="S538" s="5" t="e">
        <f>IF(AND(#REF!&gt;=table!$C$8,#REF!&lt;= table!$D$8),-1,IF(AND(#REF!&gt;=table!$E$8,#REF!&lt;=table!$F$8),1,0))</f>
        <v>#REF!</v>
      </c>
      <c r="T538" s="5"/>
      <c r="U538" s="5" t="e">
        <f>IF(AND(#REF!&gt;=table!$C$10,#REF!&lt;= table!$D$10),-1,IF(AND(#REF!&gt;=table!$E$10,#REF!&lt;=table!$F$10),1,0))</f>
        <v>#REF!</v>
      </c>
      <c r="V538" s="5" t="e">
        <f>IF(AND(#REF!&gt;=table!$C$11,#REF!&lt;= table!$D$11),-1,IF(AND(#REF!&gt;=table!$E$11,#REF!&lt;=table!$F$11),1,0))</f>
        <v>#REF!</v>
      </c>
      <c r="W538" s="5" t="e">
        <f>CONCATENATE(dados[[#This Row],[fator1]],dados[[#This Row],[fator5]],dados[[#This Row],[fator6]])</f>
        <v>#REF!</v>
      </c>
    </row>
    <row r="539" spans="1:23">
      <c r="A539" t="s">
        <v>17</v>
      </c>
      <c r="B539">
        <v>482202</v>
      </c>
      <c r="C539">
        <v>14</v>
      </c>
      <c r="D539">
        <v>30</v>
      </c>
      <c r="E539">
        <v>110</v>
      </c>
      <c r="F539">
        <v>4</v>
      </c>
      <c r="G539">
        <v>20</v>
      </c>
      <c r="H539">
        <v>22</v>
      </c>
      <c r="I539">
        <v>232</v>
      </c>
      <c r="J539">
        <v>0</v>
      </c>
      <c r="K539">
        <v>3.65</v>
      </c>
      <c r="L539">
        <v>7.8900000000000006</v>
      </c>
      <c r="M539">
        <v>101.965</v>
      </c>
      <c r="N539">
        <v>12.120000000000001</v>
      </c>
      <c r="O539">
        <v>1691</v>
      </c>
      <c r="P539">
        <v>0</v>
      </c>
      <c r="Q539" s="5" t="e">
        <f>IF(AND(#REF!&gt;=table!$C$6,#REF!&lt;= table!$D$6),-1,IF(AND(#REF!&gt;=table!$E$6,#REF!&lt;=table!$F$6),1,0))</f>
        <v>#REF!</v>
      </c>
      <c r="R539" s="5" t="e">
        <f>IF(AND(#REF!&gt;=table!$C$7,#REF!&lt;= table!$D$7),-1,IF(AND(#REF!&gt;=table!$E$7,#REF!&lt;=table!$F$7),1,0))</f>
        <v>#REF!</v>
      </c>
      <c r="S539" s="5" t="e">
        <f>IF(AND(#REF!&gt;=table!$C$8,#REF!&lt;= table!$D$8),-1,IF(AND(#REF!&gt;=table!$E$8,#REF!&lt;=table!$F$8),1,0))</f>
        <v>#REF!</v>
      </c>
      <c r="T539" s="5"/>
      <c r="U539" s="5" t="e">
        <f>IF(AND(#REF!&gt;=table!$C$10,#REF!&lt;= table!$D$10),-1,IF(AND(#REF!&gt;=table!$E$10,#REF!&lt;=table!$F$10),1,0))</f>
        <v>#REF!</v>
      </c>
      <c r="V539" s="5" t="e">
        <f>IF(AND(#REF!&gt;=table!$C$11,#REF!&lt;= table!$D$11),-1,IF(AND(#REF!&gt;=table!$E$11,#REF!&lt;=table!$F$11),1,0))</f>
        <v>#REF!</v>
      </c>
      <c r="W539" s="5" t="e">
        <f>CONCATENATE(dados[[#This Row],[fator1]],dados[[#This Row],[fator5]],dados[[#This Row],[fator6]])</f>
        <v>#REF!</v>
      </c>
    </row>
    <row r="540" spans="1:23">
      <c r="A540" t="s">
        <v>17</v>
      </c>
      <c r="B540">
        <v>482205</v>
      </c>
      <c r="C540">
        <v>16</v>
      </c>
      <c r="D540">
        <v>30</v>
      </c>
      <c r="E540">
        <v>126</v>
      </c>
      <c r="F540">
        <v>6</v>
      </c>
      <c r="G540">
        <v>20</v>
      </c>
      <c r="H540">
        <v>25</v>
      </c>
      <c r="I540">
        <v>445</v>
      </c>
      <c r="J540">
        <v>0</v>
      </c>
      <c r="K540">
        <v>3.56</v>
      </c>
      <c r="L540">
        <v>11.6</v>
      </c>
      <c r="M540">
        <v>112.4</v>
      </c>
      <c r="N540">
        <v>15.55</v>
      </c>
      <c r="O540">
        <v>1697</v>
      </c>
      <c r="P540">
        <v>1166</v>
      </c>
      <c r="Q540" s="5" t="e">
        <f>IF(AND(#REF!&gt;=table!$C$6,#REF!&lt;= table!$D$6),-1,IF(AND(#REF!&gt;=table!$E$6,#REF!&lt;=table!$F$6),1,0))</f>
        <v>#REF!</v>
      </c>
      <c r="R540" s="5" t="e">
        <f>IF(AND(#REF!&gt;=table!$C$7,#REF!&lt;= table!$D$7),-1,IF(AND(#REF!&gt;=table!$E$7,#REF!&lt;=table!$F$7),1,0))</f>
        <v>#REF!</v>
      </c>
      <c r="S540" s="5" t="e">
        <f>IF(AND(#REF!&gt;=table!$C$8,#REF!&lt;= table!$D$8),-1,IF(AND(#REF!&gt;=table!$E$8,#REF!&lt;=table!$F$8),1,0))</f>
        <v>#REF!</v>
      </c>
      <c r="T540" s="5"/>
      <c r="U540" s="5" t="e">
        <f>IF(AND(#REF!&gt;=table!$C$10,#REF!&lt;= table!$D$10),-1,IF(AND(#REF!&gt;=table!$E$10,#REF!&lt;=table!$F$10),1,0))</f>
        <v>#REF!</v>
      </c>
      <c r="V540" s="5" t="e">
        <f>IF(AND(#REF!&gt;=table!$C$11,#REF!&lt;= table!$D$11),-1,IF(AND(#REF!&gt;=table!$E$11,#REF!&lt;=table!$F$11),1,0))</f>
        <v>#REF!</v>
      </c>
      <c r="W540" s="5" t="e">
        <f>CONCATENATE(dados[[#This Row],[fator1]],dados[[#This Row],[fator5]],dados[[#This Row],[fator6]])</f>
        <v>#REF!</v>
      </c>
    </row>
    <row r="541" spans="1:23">
      <c r="A541" t="s">
        <v>17</v>
      </c>
      <c r="B541">
        <v>482206</v>
      </c>
      <c r="C541">
        <v>51</v>
      </c>
      <c r="D541">
        <v>30</v>
      </c>
      <c r="E541">
        <v>66</v>
      </c>
      <c r="F541">
        <v>9</v>
      </c>
      <c r="G541">
        <v>20</v>
      </c>
      <c r="H541">
        <v>25</v>
      </c>
      <c r="I541">
        <v>0</v>
      </c>
      <c r="J541">
        <v>0</v>
      </c>
      <c r="K541">
        <v>10.040000000000001</v>
      </c>
      <c r="L541">
        <v>20.05</v>
      </c>
      <c r="M541">
        <v>57.205000000000005</v>
      </c>
      <c r="N541">
        <v>19.785</v>
      </c>
      <c r="O541">
        <v>1671</v>
      </c>
      <c r="P541">
        <v>377</v>
      </c>
      <c r="Q541" s="5" t="e">
        <f>IF(AND(#REF!&gt;=table!$C$6,#REF!&lt;= table!$D$6),-1,IF(AND(#REF!&gt;=table!$E$6,#REF!&lt;=table!$F$6),1,0))</f>
        <v>#REF!</v>
      </c>
      <c r="R541" s="5" t="e">
        <f>IF(AND(#REF!&gt;=table!$C$7,#REF!&lt;= table!$D$7),-1,IF(AND(#REF!&gt;=table!$E$7,#REF!&lt;=table!$F$7),1,0))</f>
        <v>#REF!</v>
      </c>
      <c r="S541" s="5" t="e">
        <f>IF(AND(#REF!&gt;=table!$C$8,#REF!&lt;= table!$D$8),-1,IF(AND(#REF!&gt;=table!$E$8,#REF!&lt;=table!$F$8),1,0))</f>
        <v>#REF!</v>
      </c>
      <c r="T541" s="5"/>
      <c r="U541" s="5" t="e">
        <f>IF(AND(#REF!&gt;=table!$C$10,#REF!&lt;= table!$D$10),-1,IF(AND(#REF!&gt;=table!$E$10,#REF!&lt;=table!$F$10),1,0))</f>
        <v>#REF!</v>
      </c>
      <c r="V541" s="5" t="e">
        <f>IF(AND(#REF!&gt;=table!$C$11,#REF!&lt;= table!$D$11),-1,IF(AND(#REF!&gt;=table!$E$11,#REF!&lt;=table!$F$11),1,0))</f>
        <v>#REF!</v>
      </c>
      <c r="W541" s="5" t="e">
        <f>CONCATENATE(dados[[#This Row],[fator1]],dados[[#This Row],[fator5]],dados[[#This Row],[fator6]])</f>
        <v>#REF!</v>
      </c>
    </row>
    <row r="542" spans="1:23">
      <c r="A542" t="s">
        <v>17</v>
      </c>
      <c r="B542">
        <v>482207</v>
      </c>
      <c r="C542">
        <v>51</v>
      </c>
      <c r="D542">
        <v>30</v>
      </c>
      <c r="E542">
        <v>66</v>
      </c>
      <c r="F542">
        <v>9</v>
      </c>
      <c r="G542">
        <v>20</v>
      </c>
      <c r="H542">
        <v>25</v>
      </c>
      <c r="I542">
        <v>0</v>
      </c>
      <c r="J542">
        <v>0</v>
      </c>
      <c r="K542">
        <v>4.1450000000000005</v>
      </c>
      <c r="L542">
        <v>9.85</v>
      </c>
      <c r="M542">
        <v>58.4</v>
      </c>
      <c r="N542">
        <v>11.15</v>
      </c>
      <c r="O542">
        <v>1649</v>
      </c>
      <c r="P542">
        <v>916</v>
      </c>
      <c r="Q542" s="5" t="e">
        <f>IF(AND(#REF!&gt;=table!$C$6,#REF!&lt;= table!$D$6),-1,IF(AND(#REF!&gt;=table!$E$6,#REF!&lt;=table!$F$6),1,0))</f>
        <v>#REF!</v>
      </c>
      <c r="R542" s="5" t="e">
        <f>IF(AND(#REF!&gt;=table!$C$7,#REF!&lt;= table!$D$7),-1,IF(AND(#REF!&gt;=table!$E$7,#REF!&lt;=table!$F$7),1,0))</f>
        <v>#REF!</v>
      </c>
      <c r="S542" s="5" t="e">
        <f>IF(AND(#REF!&gt;=table!$C$8,#REF!&lt;= table!$D$8),-1,IF(AND(#REF!&gt;=table!$E$8,#REF!&lt;=table!$F$8),1,0))</f>
        <v>#REF!</v>
      </c>
      <c r="T542" s="5"/>
      <c r="U542" s="5" t="e">
        <f>IF(AND(#REF!&gt;=table!$C$10,#REF!&lt;= table!$D$10),-1,IF(AND(#REF!&gt;=table!$E$10,#REF!&lt;=table!$F$10),1,0))</f>
        <v>#REF!</v>
      </c>
      <c r="V542" s="5" t="e">
        <f>IF(AND(#REF!&gt;=table!$C$11,#REF!&lt;= table!$D$11),-1,IF(AND(#REF!&gt;=table!$E$11,#REF!&lt;=table!$F$11),1,0))</f>
        <v>#REF!</v>
      </c>
      <c r="W542" s="5" t="e">
        <f>CONCATENATE(dados[[#This Row],[fator1]],dados[[#This Row],[fator5]],dados[[#This Row],[fator6]])</f>
        <v>#REF!</v>
      </c>
    </row>
    <row r="543" spans="1:23">
      <c r="A543" t="s">
        <v>17</v>
      </c>
      <c r="B543">
        <v>482211</v>
      </c>
      <c r="C543">
        <v>18</v>
      </c>
      <c r="D543">
        <v>23</v>
      </c>
      <c r="E543">
        <v>145</v>
      </c>
      <c r="F543">
        <v>9</v>
      </c>
      <c r="G543">
        <v>30</v>
      </c>
      <c r="H543">
        <v>25</v>
      </c>
      <c r="I543">
        <v>581</v>
      </c>
      <c r="J543">
        <v>0</v>
      </c>
      <c r="K543">
        <v>9.9649999999999999</v>
      </c>
      <c r="L543">
        <v>13.8</v>
      </c>
      <c r="M543">
        <v>128.92500000000001</v>
      </c>
      <c r="N543">
        <v>11.555</v>
      </c>
      <c r="O543">
        <v>1663</v>
      </c>
      <c r="P543">
        <v>428</v>
      </c>
      <c r="Q543" s="5" t="e">
        <f>IF(AND(#REF!&gt;=table!$C$6,#REF!&lt;= table!$D$6),-1,IF(AND(#REF!&gt;=table!$E$6,#REF!&lt;=table!$F$6),1,0))</f>
        <v>#REF!</v>
      </c>
      <c r="R543" s="5" t="e">
        <f>IF(AND(#REF!&gt;=table!$C$7,#REF!&lt;= table!$D$7),-1,IF(AND(#REF!&gt;=table!$E$7,#REF!&lt;=table!$F$7),1,0))</f>
        <v>#REF!</v>
      </c>
      <c r="S543" s="5" t="e">
        <f>IF(AND(#REF!&gt;=table!$C$8,#REF!&lt;= table!$D$8),-1,IF(AND(#REF!&gt;=table!$E$8,#REF!&lt;=table!$F$8),1,0))</f>
        <v>#REF!</v>
      </c>
      <c r="T543" s="5"/>
      <c r="U543" s="5" t="e">
        <f>IF(AND(#REF!&gt;=table!$C$10,#REF!&lt;= table!$D$10),-1,IF(AND(#REF!&gt;=table!$E$10,#REF!&lt;=table!$F$10),1,0))</f>
        <v>#REF!</v>
      </c>
      <c r="V543" s="5" t="e">
        <f>IF(AND(#REF!&gt;=table!$C$11,#REF!&lt;= table!$D$11),-1,IF(AND(#REF!&gt;=table!$E$11,#REF!&lt;=table!$F$11),1,0))</f>
        <v>#REF!</v>
      </c>
      <c r="W543" s="5" t="e">
        <f>CONCATENATE(dados[[#This Row],[fator1]],dados[[#This Row],[fator5]],dados[[#This Row],[fator6]])</f>
        <v>#REF!</v>
      </c>
    </row>
    <row r="544" spans="1:23">
      <c r="A544" t="s">
        <v>17</v>
      </c>
      <c r="B544">
        <v>482217</v>
      </c>
      <c r="C544">
        <v>7</v>
      </c>
      <c r="D544">
        <v>30</v>
      </c>
      <c r="E544">
        <v>175</v>
      </c>
      <c r="F544">
        <v>3</v>
      </c>
      <c r="G544">
        <v>25</v>
      </c>
      <c r="H544">
        <v>18</v>
      </c>
      <c r="I544">
        <v>262</v>
      </c>
      <c r="J544">
        <v>1010</v>
      </c>
      <c r="K544">
        <v>4.03</v>
      </c>
      <c r="M544">
        <v>66.475000000000009</v>
      </c>
      <c r="N544">
        <v>10.94</v>
      </c>
      <c r="O544">
        <v>1616</v>
      </c>
      <c r="P544">
        <v>1123</v>
      </c>
      <c r="Q544" s="5" t="e">
        <f>IF(AND(#REF!&gt;=table!$C$6,#REF!&lt;= table!$D$6),-1,IF(AND(#REF!&gt;=table!$E$6,#REF!&lt;=table!$F$6),1,0))</f>
        <v>#REF!</v>
      </c>
      <c r="R544" s="5" t="e">
        <f>IF(AND(#REF!&gt;=table!$C$7,#REF!&lt;= table!$D$7),-1,IF(AND(#REF!&gt;=table!$E$7,#REF!&lt;=table!$F$7),1,0))</f>
        <v>#REF!</v>
      </c>
      <c r="S544" s="5" t="e">
        <f>IF(AND(#REF!&gt;=table!$C$8,#REF!&lt;= table!$D$8),-1,IF(AND(#REF!&gt;=table!$E$8,#REF!&lt;=table!$F$8),1,0))</f>
        <v>#REF!</v>
      </c>
      <c r="T544" s="5"/>
      <c r="U544" s="5" t="e">
        <f>IF(AND(#REF!&gt;=table!$C$10,#REF!&lt;= table!$D$10),-1,IF(AND(#REF!&gt;=table!$E$10,#REF!&lt;=table!$F$10),1,0))</f>
        <v>#REF!</v>
      </c>
      <c r="V544" s="5" t="e">
        <f>IF(AND(#REF!&gt;=table!$C$11,#REF!&lt;= table!$D$11),-1,IF(AND(#REF!&gt;=table!$E$11,#REF!&lt;=table!$F$11),1,0))</f>
        <v>#REF!</v>
      </c>
      <c r="W544" s="5" t="e">
        <f>CONCATENATE(dados[[#This Row],[fator1]],dados[[#This Row],[fator5]],dados[[#This Row],[fator6]])</f>
        <v>#REF!</v>
      </c>
    </row>
    <row r="545" spans="1:23">
      <c r="A545" t="s">
        <v>17</v>
      </c>
      <c r="B545">
        <v>482218</v>
      </c>
      <c r="C545">
        <v>7</v>
      </c>
      <c r="D545">
        <v>30</v>
      </c>
      <c r="E545">
        <v>175</v>
      </c>
      <c r="F545">
        <v>3</v>
      </c>
      <c r="G545">
        <v>25</v>
      </c>
      <c r="H545">
        <v>18</v>
      </c>
      <c r="I545">
        <v>515</v>
      </c>
      <c r="J545">
        <v>0</v>
      </c>
      <c r="K545">
        <v>4.665</v>
      </c>
      <c r="L545">
        <v>3.21</v>
      </c>
      <c r="M545">
        <v>129</v>
      </c>
      <c r="N545">
        <v>7.75</v>
      </c>
      <c r="O545">
        <v>1667</v>
      </c>
      <c r="P545">
        <v>0</v>
      </c>
      <c r="Q545" s="5" t="e">
        <f>IF(AND(#REF!&gt;=table!$C$6,#REF!&lt;= table!$D$6),-1,IF(AND(#REF!&gt;=table!$E$6,#REF!&lt;=table!$F$6),1,0))</f>
        <v>#REF!</v>
      </c>
      <c r="R545" s="5" t="e">
        <f>IF(AND(#REF!&gt;=table!$C$7,#REF!&lt;= table!$D$7),-1,IF(AND(#REF!&gt;=table!$E$7,#REF!&lt;=table!$F$7),1,0))</f>
        <v>#REF!</v>
      </c>
      <c r="S545" s="5" t="e">
        <f>IF(AND(#REF!&gt;=table!$C$8,#REF!&lt;= table!$D$8),-1,IF(AND(#REF!&gt;=table!$E$8,#REF!&lt;=table!$F$8),1,0))</f>
        <v>#REF!</v>
      </c>
      <c r="T545" s="5"/>
      <c r="U545" s="5" t="e">
        <f>IF(AND(#REF!&gt;=table!$C$10,#REF!&lt;= table!$D$10),-1,IF(AND(#REF!&gt;=table!$E$10,#REF!&lt;=table!$F$10),1,0))</f>
        <v>#REF!</v>
      </c>
      <c r="V545" s="5" t="e">
        <f>IF(AND(#REF!&gt;=table!$C$11,#REF!&lt;= table!$D$11),-1,IF(AND(#REF!&gt;=table!$E$11,#REF!&lt;=table!$F$11),1,0))</f>
        <v>#REF!</v>
      </c>
      <c r="W545" s="5" t="e">
        <f>CONCATENATE(dados[[#This Row],[fator1]],dados[[#This Row],[fator5]],dados[[#This Row],[fator6]])</f>
        <v>#REF!</v>
      </c>
    </row>
    <row r="546" spans="1:23">
      <c r="A546" t="s">
        <v>17</v>
      </c>
      <c r="B546">
        <v>482219</v>
      </c>
      <c r="C546">
        <v>7</v>
      </c>
      <c r="D546">
        <v>30</v>
      </c>
      <c r="E546">
        <v>175</v>
      </c>
      <c r="F546">
        <v>3</v>
      </c>
      <c r="G546">
        <v>25</v>
      </c>
      <c r="H546">
        <v>18</v>
      </c>
      <c r="I546">
        <v>1080</v>
      </c>
      <c r="J546">
        <v>0</v>
      </c>
      <c r="K546">
        <v>3.22</v>
      </c>
      <c r="L546">
        <v>5.1000000000000005</v>
      </c>
      <c r="M546">
        <v>141.80000000000001</v>
      </c>
      <c r="N546">
        <v>7.8</v>
      </c>
      <c r="O546">
        <v>1668</v>
      </c>
      <c r="P546">
        <v>0</v>
      </c>
      <c r="Q546" s="5" t="e">
        <f>IF(AND(#REF!&gt;=table!$C$6,#REF!&lt;= table!$D$6),-1,IF(AND(#REF!&gt;=table!$E$6,#REF!&lt;=table!$F$6),1,0))</f>
        <v>#REF!</v>
      </c>
      <c r="R546" s="5" t="e">
        <f>IF(AND(#REF!&gt;=table!$C$7,#REF!&lt;= table!$D$7),-1,IF(AND(#REF!&gt;=table!$E$7,#REF!&lt;=table!$F$7),1,0))</f>
        <v>#REF!</v>
      </c>
      <c r="S546" s="5" t="e">
        <f>IF(AND(#REF!&gt;=table!$C$8,#REF!&lt;= table!$D$8),-1,IF(AND(#REF!&gt;=table!$E$8,#REF!&lt;=table!$F$8),1,0))</f>
        <v>#REF!</v>
      </c>
      <c r="T546" s="5"/>
      <c r="U546" s="5" t="e">
        <f>IF(AND(#REF!&gt;=table!$C$10,#REF!&lt;= table!$D$10),-1,IF(AND(#REF!&gt;=table!$E$10,#REF!&lt;=table!$F$10),1,0))</f>
        <v>#REF!</v>
      </c>
      <c r="V546" s="5" t="e">
        <f>IF(AND(#REF!&gt;=table!$C$11,#REF!&lt;= table!$D$11),-1,IF(AND(#REF!&gt;=table!$E$11,#REF!&lt;=table!$F$11),1,0))</f>
        <v>#REF!</v>
      </c>
      <c r="W546" s="5" t="e">
        <f>CONCATENATE(dados[[#This Row],[fator1]],dados[[#This Row],[fator5]],dados[[#This Row],[fator6]])</f>
        <v>#REF!</v>
      </c>
    </row>
    <row r="547" spans="1:23">
      <c r="A547" t="s">
        <v>17</v>
      </c>
      <c r="B547">
        <v>482220</v>
      </c>
      <c r="C547">
        <v>7</v>
      </c>
      <c r="D547">
        <v>30</v>
      </c>
      <c r="E547">
        <v>175</v>
      </c>
      <c r="F547">
        <v>3</v>
      </c>
      <c r="G547">
        <v>25</v>
      </c>
      <c r="H547">
        <v>18</v>
      </c>
      <c r="I547">
        <v>0</v>
      </c>
      <c r="J547">
        <v>0</v>
      </c>
      <c r="K547">
        <v>3.145</v>
      </c>
      <c r="L547">
        <v>6.75</v>
      </c>
      <c r="M547">
        <v>143.25</v>
      </c>
      <c r="N547">
        <v>12.700000000000001</v>
      </c>
      <c r="O547">
        <v>1676</v>
      </c>
      <c r="P547">
        <v>0</v>
      </c>
      <c r="Q547" s="5" t="e">
        <f>IF(AND(#REF!&gt;=table!$C$6,#REF!&lt;= table!$D$6),-1,IF(AND(#REF!&gt;=table!$E$6,#REF!&lt;=table!$F$6),1,0))</f>
        <v>#REF!</v>
      </c>
      <c r="R547" s="5" t="e">
        <f>IF(AND(#REF!&gt;=table!$C$7,#REF!&lt;= table!$D$7),-1,IF(AND(#REF!&gt;=table!$E$7,#REF!&lt;=table!$F$7),1,0))</f>
        <v>#REF!</v>
      </c>
      <c r="S547" s="5" t="e">
        <f>IF(AND(#REF!&gt;=table!$C$8,#REF!&lt;= table!$D$8),-1,IF(AND(#REF!&gt;=table!$E$8,#REF!&lt;=table!$F$8),1,0))</f>
        <v>#REF!</v>
      </c>
      <c r="T547" s="5"/>
      <c r="U547" s="5" t="e">
        <f>IF(AND(#REF!&gt;=table!$C$10,#REF!&lt;= table!$D$10),-1,IF(AND(#REF!&gt;=table!$E$10,#REF!&lt;=table!$F$10),1,0))</f>
        <v>#REF!</v>
      </c>
      <c r="V547" s="5" t="e">
        <f>IF(AND(#REF!&gt;=table!$C$11,#REF!&lt;= table!$D$11),-1,IF(AND(#REF!&gt;=table!$E$11,#REF!&lt;=table!$F$11),1,0))</f>
        <v>#REF!</v>
      </c>
      <c r="W547" s="5" t="e">
        <f>CONCATENATE(dados[[#This Row],[fator1]],dados[[#This Row],[fator5]],dados[[#This Row],[fator6]])</f>
        <v>#REF!</v>
      </c>
    </row>
    <row r="548" spans="1:23">
      <c r="A548" t="s">
        <v>17</v>
      </c>
      <c r="B548">
        <v>482221</v>
      </c>
      <c r="C548">
        <v>7</v>
      </c>
      <c r="D548">
        <v>30</v>
      </c>
      <c r="E548">
        <v>175</v>
      </c>
      <c r="F548">
        <v>3</v>
      </c>
      <c r="G548">
        <v>25</v>
      </c>
      <c r="H548">
        <v>18</v>
      </c>
      <c r="I548">
        <v>1192</v>
      </c>
      <c r="J548">
        <v>880</v>
      </c>
      <c r="K548">
        <v>10.185</v>
      </c>
      <c r="L548">
        <v>22.1</v>
      </c>
      <c r="M548">
        <v>171.6</v>
      </c>
      <c r="N548">
        <v>8</v>
      </c>
      <c r="O548">
        <v>1667</v>
      </c>
      <c r="P548">
        <v>0</v>
      </c>
      <c r="Q548" s="5" t="e">
        <f>IF(AND(#REF!&gt;=table!$C$6,#REF!&lt;= table!$D$6),-1,IF(AND(#REF!&gt;=table!$E$6,#REF!&lt;=table!$F$6),1,0))</f>
        <v>#REF!</v>
      </c>
      <c r="R548" s="5" t="e">
        <f>IF(AND(#REF!&gt;=table!$C$7,#REF!&lt;= table!$D$7),-1,IF(AND(#REF!&gt;=table!$E$7,#REF!&lt;=table!$F$7),1,0))</f>
        <v>#REF!</v>
      </c>
      <c r="S548" s="5" t="e">
        <f>IF(AND(#REF!&gt;=table!$C$8,#REF!&lt;= table!$D$8),-1,IF(AND(#REF!&gt;=table!$E$8,#REF!&lt;=table!$F$8),1,0))</f>
        <v>#REF!</v>
      </c>
      <c r="T548" s="5"/>
      <c r="U548" s="5" t="e">
        <f>IF(AND(#REF!&gt;=table!$C$10,#REF!&lt;= table!$D$10),-1,IF(AND(#REF!&gt;=table!$E$10,#REF!&lt;=table!$F$10),1,0))</f>
        <v>#REF!</v>
      </c>
      <c r="V548" s="5" t="e">
        <f>IF(AND(#REF!&gt;=table!$C$11,#REF!&lt;= table!$D$11),-1,IF(AND(#REF!&gt;=table!$E$11,#REF!&lt;=table!$F$11),1,0))</f>
        <v>#REF!</v>
      </c>
      <c r="W548" s="5" t="e">
        <f>CONCATENATE(dados[[#This Row],[fator1]],dados[[#This Row],[fator5]],dados[[#This Row],[fator6]])</f>
        <v>#REF!</v>
      </c>
    </row>
    <row r="549" spans="1:23">
      <c r="A549" t="s">
        <v>16</v>
      </c>
      <c r="B549">
        <v>482222</v>
      </c>
      <c r="C549">
        <v>9</v>
      </c>
      <c r="D549">
        <v>35</v>
      </c>
      <c r="E549">
        <v>36</v>
      </c>
      <c r="F549">
        <v>9</v>
      </c>
      <c r="G549">
        <v>0</v>
      </c>
      <c r="H549">
        <v>25</v>
      </c>
      <c r="I549">
        <v>1308</v>
      </c>
      <c r="J549">
        <v>0</v>
      </c>
      <c r="K549">
        <v>4.43</v>
      </c>
      <c r="L549">
        <v>9.3000000000000007</v>
      </c>
      <c r="M549">
        <v>30.55</v>
      </c>
      <c r="N549">
        <v>10.85</v>
      </c>
      <c r="O549">
        <v>1679</v>
      </c>
      <c r="P549">
        <v>890</v>
      </c>
      <c r="Q549" s="5" t="e">
        <f>IF(AND(#REF!&gt;=table!$C$6,#REF!&lt;= table!$D$6),-1,IF(AND(#REF!&gt;=table!$E$6,#REF!&lt;=table!$F$6),1,0))</f>
        <v>#REF!</v>
      </c>
      <c r="R549" s="5" t="e">
        <f>IF(AND(#REF!&gt;=table!$C$7,#REF!&lt;= table!$D$7),-1,IF(AND(#REF!&gt;=table!$E$7,#REF!&lt;=table!$F$7),1,0))</f>
        <v>#REF!</v>
      </c>
      <c r="S549" s="5" t="e">
        <f>IF(AND(#REF!&gt;=table!$C$8,#REF!&lt;= table!$D$8),-1,IF(AND(#REF!&gt;=table!$E$8,#REF!&lt;=table!$F$8),1,0))</f>
        <v>#REF!</v>
      </c>
      <c r="T549" s="5"/>
      <c r="U549" s="5" t="e">
        <f>IF(AND(#REF!&gt;=table!$C$10,#REF!&lt;= table!$D$10),-1,IF(AND(#REF!&gt;=table!$E$10,#REF!&lt;=table!$F$10),1,0))</f>
        <v>#REF!</v>
      </c>
      <c r="V549" s="5" t="e">
        <f>IF(AND(#REF!&gt;=table!$C$11,#REF!&lt;= table!$D$11),-1,IF(AND(#REF!&gt;=table!$E$11,#REF!&lt;=table!$F$11),1,0))</f>
        <v>#REF!</v>
      </c>
      <c r="W549" s="5" t="e">
        <f>CONCATENATE(dados[[#This Row],[fator1]],dados[[#This Row],[fator5]],dados[[#This Row],[fator6]])</f>
        <v>#REF!</v>
      </c>
    </row>
    <row r="550" spans="1:23">
      <c r="A550" t="s">
        <v>16</v>
      </c>
      <c r="B550">
        <v>482224</v>
      </c>
      <c r="C550">
        <v>9</v>
      </c>
      <c r="D550">
        <v>35</v>
      </c>
      <c r="E550">
        <v>36</v>
      </c>
      <c r="F550">
        <v>9</v>
      </c>
      <c r="G550">
        <v>0</v>
      </c>
      <c r="H550">
        <v>25</v>
      </c>
      <c r="I550">
        <v>328</v>
      </c>
      <c r="J550">
        <v>0</v>
      </c>
      <c r="K550">
        <v>2.9950000000000001</v>
      </c>
      <c r="L550">
        <v>5.65</v>
      </c>
      <c r="M550">
        <v>32.299999999999997</v>
      </c>
      <c r="N550">
        <v>9.35</v>
      </c>
      <c r="O550">
        <v>1668</v>
      </c>
      <c r="P550">
        <v>1223</v>
      </c>
      <c r="Q550" s="5" t="e">
        <f>IF(AND(#REF!&gt;=table!$C$6,#REF!&lt;= table!$D$6),-1,IF(AND(#REF!&gt;=table!$E$6,#REF!&lt;=table!$F$6),1,0))</f>
        <v>#REF!</v>
      </c>
      <c r="R550" s="5" t="e">
        <f>IF(AND(#REF!&gt;=table!$C$7,#REF!&lt;= table!$D$7),-1,IF(AND(#REF!&gt;=table!$E$7,#REF!&lt;=table!$F$7),1,0))</f>
        <v>#REF!</v>
      </c>
      <c r="S550" s="5" t="e">
        <f>IF(AND(#REF!&gt;=table!$C$8,#REF!&lt;= table!$D$8),-1,IF(AND(#REF!&gt;=table!$E$8,#REF!&lt;=table!$F$8),1,0))</f>
        <v>#REF!</v>
      </c>
      <c r="T550" s="5"/>
      <c r="U550" s="5" t="e">
        <f>IF(AND(#REF!&gt;=table!$C$10,#REF!&lt;= table!$D$10),-1,IF(AND(#REF!&gt;=table!$E$10,#REF!&lt;=table!$F$10),1,0))</f>
        <v>#REF!</v>
      </c>
      <c r="V550" s="5" t="e">
        <f>IF(AND(#REF!&gt;=table!$C$11,#REF!&lt;= table!$D$11),-1,IF(AND(#REF!&gt;=table!$E$11,#REF!&lt;=table!$F$11),1,0))</f>
        <v>#REF!</v>
      </c>
      <c r="W550" s="5" t="e">
        <f>CONCATENATE(dados[[#This Row],[fator1]],dados[[#This Row],[fator5]],dados[[#This Row],[fator6]])</f>
        <v>#REF!</v>
      </c>
    </row>
    <row r="551" spans="1:23">
      <c r="A551" t="s">
        <v>16</v>
      </c>
      <c r="B551">
        <v>482225</v>
      </c>
      <c r="C551">
        <v>9</v>
      </c>
      <c r="D551">
        <v>35</v>
      </c>
      <c r="E551">
        <v>36</v>
      </c>
      <c r="F551">
        <v>9</v>
      </c>
      <c r="G551">
        <v>0</v>
      </c>
      <c r="H551">
        <v>25</v>
      </c>
      <c r="I551">
        <v>618</v>
      </c>
      <c r="J551">
        <v>0</v>
      </c>
      <c r="K551">
        <v>5.3650000000000002</v>
      </c>
      <c r="L551">
        <v>7.7650000000000006</v>
      </c>
      <c r="M551">
        <v>31.25</v>
      </c>
      <c r="N551">
        <v>9.5</v>
      </c>
      <c r="O551">
        <v>1656</v>
      </c>
      <c r="P551">
        <v>0</v>
      </c>
      <c r="Q551" s="5" t="e">
        <f>IF(AND(#REF!&gt;=table!$C$6,#REF!&lt;= table!$D$6),-1,IF(AND(#REF!&gt;=table!$E$6,#REF!&lt;=table!$F$6),1,0))</f>
        <v>#REF!</v>
      </c>
      <c r="R551" s="5" t="e">
        <f>IF(AND(#REF!&gt;=table!$C$7,#REF!&lt;= table!$D$7),-1,IF(AND(#REF!&gt;=table!$E$7,#REF!&lt;=table!$F$7),1,0))</f>
        <v>#REF!</v>
      </c>
      <c r="S551" s="5" t="e">
        <f>IF(AND(#REF!&gt;=table!$C$8,#REF!&lt;= table!$D$8),-1,IF(AND(#REF!&gt;=table!$E$8,#REF!&lt;=table!$F$8),1,0))</f>
        <v>#REF!</v>
      </c>
      <c r="T551" s="5"/>
      <c r="U551" s="5" t="e">
        <f>IF(AND(#REF!&gt;=table!$C$10,#REF!&lt;= table!$D$10),-1,IF(AND(#REF!&gt;=table!$E$10,#REF!&lt;=table!$F$10),1,0))</f>
        <v>#REF!</v>
      </c>
      <c r="V551" s="5" t="e">
        <f>IF(AND(#REF!&gt;=table!$C$11,#REF!&lt;= table!$D$11),-1,IF(AND(#REF!&gt;=table!$E$11,#REF!&lt;=table!$F$11),1,0))</f>
        <v>#REF!</v>
      </c>
      <c r="W551" s="5" t="e">
        <f>CONCATENATE(dados[[#This Row],[fator1]],dados[[#This Row],[fator5]],dados[[#This Row],[fator6]])</f>
        <v>#REF!</v>
      </c>
    </row>
    <row r="552" spans="1:23">
      <c r="A552" t="s">
        <v>16</v>
      </c>
      <c r="B552">
        <v>482226</v>
      </c>
      <c r="C552">
        <v>9</v>
      </c>
      <c r="D552">
        <v>35</v>
      </c>
      <c r="E552">
        <v>36</v>
      </c>
      <c r="F552">
        <v>9</v>
      </c>
      <c r="G552">
        <v>0</v>
      </c>
      <c r="H552">
        <v>25</v>
      </c>
      <c r="I552">
        <v>1657</v>
      </c>
      <c r="J552">
        <v>0</v>
      </c>
      <c r="K552">
        <v>7.4750000000000005</v>
      </c>
      <c r="L552">
        <v>8.25</v>
      </c>
      <c r="M552">
        <v>30.7</v>
      </c>
      <c r="N552">
        <v>8.9500000000000011</v>
      </c>
      <c r="O552">
        <v>1678</v>
      </c>
      <c r="P552">
        <v>467</v>
      </c>
      <c r="Q552" s="5" t="e">
        <f>IF(AND(#REF!&gt;=table!$C$6,#REF!&lt;= table!$D$6),-1,IF(AND(#REF!&gt;=table!$E$6,#REF!&lt;=table!$F$6),1,0))</f>
        <v>#REF!</v>
      </c>
      <c r="R552" s="5" t="e">
        <f>IF(AND(#REF!&gt;=table!$C$7,#REF!&lt;= table!$D$7),-1,IF(AND(#REF!&gt;=table!$E$7,#REF!&lt;=table!$F$7),1,0))</f>
        <v>#REF!</v>
      </c>
      <c r="S552" s="5" t="e">
        <f>IF(AND(#REF!&gt;=table!$C$8,#REF!&lt;= table!$D$8),-1,IF(AND(#REF!&gt;=table!$E$8,#REF!&lt;=table!$F$8),1,0))</f>
        <v>#REF!</v>
      </c>
      <c r="T552" s="5"/>
      <c r="U552" s="5" t="e">
        <f>IF(AND(#REF!&gt;=table!$C$10,#REF!&lt;= table!$D$10),-1,IF(AND(#REF!&gt;=table!$E$10,#REF!&lt;=table!$F$10),1,0))</f>
        <v>#REF!</v>
      </c>
      <c r="V552" s="5" t="e">
        <f>IF(AND(#REF!&gt;=table!$C$11,#REF!&lt;= table!$D$11),-1,IF(AND(#REF!&gt;=table!$E$11,#REF!&lt;=table!$F$11),1,0))</f>
        <v>#REF!</v>
      </c>
      <c r="W552" s="5" t="e">
        <f>CONCATENATE(dados[[#This Row],[fator1]],dados[[#This Row],[fator5]],dados[[#This Row],[fator6]])</f>
        <v>#REF!</v>
      </c>
    </row>
    <row r="553" spans="1:23">
      <c r="A553" t="s">
        <v>16</v>
      </c>
      <c r="B553">
        <v>482239</v>
      </c>
      <c r="C553">
        <v>9</v>
      </c>
      <c r="D553">
        <v>27</v>
      </c>
      <c r="E553">
        <v>36</v>
      </c>
      <c r="F553">
        <v>8</v>
      </c>
      <c r="G553">
        <v>0</v>
      </c>
      <c r="H553">
        <v>25</v>
      </c>
      <c r="I553">
        <v>1066</v>
      </c>
      <c r="J553">
        <v>0</v>
      </c>
      <c r="K553">
        <v>6.9050000000000002</v>
      </c>
      <c r="L553">
        <v>12.35</v>
      </c>
      <c r="M553">
        <v>33.1</v>
      </c>
      <c r="N553">
        <v>10.950000000000001</v>
      </c>
      <c r="O553">
        <v>1673</v>
      </c>
      <c r="P553">
        <v>477</v>
      </c>
      <c r="Q553" s="5" t="e">
        <f>IF(AND(#REF!&gt;=table!$C$6,#REF!&lt;= table!$D$6),-1,IF(AND(#REF!&gt;=table!$E$6,#REF!&lt;=table!$F$6),1,0))</f>
        <v>#REF!</v>
      </c>
      <c r="R553" s="5" t="e">
        <f>IF(AND(#REF!&gt;=table!$C$7,#REF!&lt;= table!$D$7),-1,IF(AND(#REF!&gt;=table!$E$7,#REF!&lt;=table!$F$7),1,0))</f>
        <v>#REF!</v>
      </c>
      <c r="S553" s="5" t="e">
        <f>IF(AND(#REF!&gt;=table!$C$8,#REF!&lt;= table!$D$8),-1,IF(AND(#REF!&gt;=table!$E$8,#REF!&lt;=table!$F$8),1,0))</f>
        <v>#REF!</v>
      </c>
      <c r="T553" s="5"/>
      <c r="U553" s="5" t="e">
        <f>IF(AND(#REF!&gt;=table!$C$10,#REF!&lt;= table!$D$10),-1,IF(AND(#REF!&gt;=table!$E$10,#REF!&lt;=table!$F$10),1,0))</f>
        <v>#REF!</v>
      </c>
      <c r="V553" s="5" t="e">
        <f>IF(AND(#REF!&gt;=table!$C$11,#REF!&lt;= table!$D$11),-1,IF(AND(#REF!&gt;=table!$E$11,#REF!&lt;=table!$F$11),1,0))</f>
        <v>#REF!</v>
      </c>
      <c r="W553" s="5" t="e">
        <f>CONCATENATE(dados[[#This Row],[fator1]],dados[[#This Row],[fator5]],dados[[#This Row],[fator6]])</f>
        <v>#REF!</v>
      </c>
    </row>
    <row r="554" spans="1:23">
      <c r="A554" t="s">
        <v>16</v>
      </c>
      <c r="B554">
        <v>482240</v>
      </c>
      <c r="C554">
        <v>9</v>
      </c>
      <c r="D554">
        <v>27</v>
      </c>
      <c r="E554">
        <v>36</v>
      </c>
      <c r="F554">
        <v>8</v>
      </c>
      <c r="G554">
        <v>0</v>
      </c>
      <c r="H554">
        <v>25</v>
      </c>
      <c r="I554">
        <v>832</v>
      </c>
      <c r="J554">
        <v>0</v>
      </c>
      <c r="K554">
        <v>9.5</v>
      </c>
      <c r="L554">
        <v>13.795</v>
      </c>
      <c r="M554">
        <v>32.4</v>
      </c>
      <c r="N554">
        <v>15.55</v>
      </c>
      <c r="O554">
        <v>1670</v>
      </c>
      <c r="P554">
        <v>379</v>
      </c>
      <c r="Q554" s="5" t="e">
        <f>IF(AND(#REF!&gt;=table!$C$6,#REF!&lt;= table!$D$6),-1,IF(AND(#REF!&gt;=table!$E$6,#REF!&lt;=table!$F$6),1,0))</f>
        <v>#REF!</v>
      </c>
      <c r="R554" s="5" t="e">
        <f>IF(AND(#REF!&gt;=table!$C$7,#REF!&lt;= table!$D$7),-1,IF(AND(#REF!&gt;=table!$E$7,#REF!&lt;=table!$F$7),1,0))</f>
        <v>#REF!</v>
      </c>
      <c r="S554" s="5" t="e">
        <f>IF(AND(#REF!&gt;=table!$C$8,#REF!&lt;= table!$D$8),-1,IF(AND(#REF!&gt;=table!$E$8,#REF!&lt;=table!$F$8),1,0))</f>
        <v>#REF!</v>
      </c>
      <c r="T554" s="5"/>
      <c r="U554" s="5" t="e">
        <f>IF(AND(#REF!&gt;=table!$C$10,#REF!&lt;= table!$D$10),-1,IF(AND(#REF!&gt;=table!$E$10,#REF!&lt;=table!$F$10),1,0))</f>
        <v>#REF!</v>
      </c>
      <c r="V554" s="5" t="e">
        <f>IF(AND(#REF!&gt;=table!$C$11,#REF!&lt;= table!$D$11),-1,IF(AND(#REF!&gt;=table!$E$11,#REF!&lt;=table!$F$11),1,0))</f>
        <v>#REF!</v>
      </c>
      <c r="W554" s="5" t="e">
        <f>CONCATENATE(dados[[#This Row],[fator1]],dados[[#This Row],[fator5]],dados[[#This Row],[fator6]])</f>
        <v>#REF!</v>
      </c>
    </row>
    <row r="555" spans="1:23">
      <c r="A555" t="s">
        <v>16</v>
      </c>
      <c r="B555">
        <v>482241</v>
      </c>
      <c r="C555">
        <v>9</v>
      </c>
      <c r="D555">
        <v>27</v>
      </c>
      <c r="E555">
        <v>36</v>
      </c>
      <c r="F555">
        <v>8</v>
      </c>
      <c r="G555">
        <v>0</v>
      </c>
      <c r="H555">
        <v>25</v>
      </c>
      <c r="I555">
        <v>761</v>
      </c>
      <c r="J555">
        <v>0</v>
      </c>
      <c r="K555">
        <v>3.645</v>
      </c>
      <c r="L555">
        <v>10.1</v>
      </c>
      <c r="M555">
        <v>29.2</v>
      </c>
      <c r="N555">
        <v>12.15</v>
      </c>
      <c r="O555">
        <v>1678</v>
      </c>
      <c r="P555">
        <v>862</v>
      </c>
      <c r="Q555" s="5" t="e">
        <f>IF(AND(#REF!&gt;=table!$C$6,#REF!&lt;= table!$D$6),-1,IF(AND(#REF!&gt;=table!$E$6,#REF!&lt;=table!$F$6),1,0))</f>
        <v>#REF!</v>
      </c>
      <c r="R555" s="5" t="e">
        <f>IF(AND(#REF!&gt;=table!$C$7,#REF!&lt;= table!$D$7),-1,IF(AND(#REF!&gt;=table!$E$7,#REF!&lt;=table!$F$7),1,0))</f>
        <v>#REF!</v>
      </c>
      <c r="S555" s="5" t="e">
        <f>IF(AND(#REF!&gt;=table!$C$8,#REF!&lt;= table!$D$8),-1,IF(AND(#REF!&gt;=table!$E$8,#REF!&lt;=table!$F$8),1,0))</f>
        <v>#REF!</v>
      </c>
      <c r="T555" s="5"/>
      <c r="U555" s="5" t="e">
        <f>IF(AND(#REF!&gt;=table!$C$10,#REF!&lt;= table!$D$10),-1,IF(AND(#REF!&gt;=table!$E$10,#REF!&lt;=table!$F$10),1,0))</f>
        <v>#REF!</v>
      </c>
      <c r="V555" s="5" t="e">
        <f>IF(AND(#REF!&gt;=table!$C$11,#REF!&lt;= table!$D$11),-1,IF(AND(#REF!&gt;=table!$E$11,#REF!&lt;=table!$F$11),1,0))</f>
        <v>#REF!</v>
      </c>
      <c r="W555" s="5" t="e">
        <f>CONCATENATE(dados[[#This Row],[fator1]],dados[[#This Row],[fator5]],dados[[#This Row],[fator6]])</f>
        <v>#REF!</v>
      </c>
    </row>
    <row r="556" spans="1:23">
      <c r="A556" t="s">
        <v>16</v>
      </c>
      <c r="B556">
        <v>482246</v>
      </c>
      <c r="C556">
        <v>17</v>
      </c>
      <c r="D556">
        <v>55</v>
      </c>
      <c r="E556">
        <v>75</v>
      </c>
      <c r="F556">
        <v>15</v>
      </c>
      <c r="G556">
        <v>0</v>
      </c>
      <c r="H556">
        <v>20</v>
      </c>
      <c r="I556">
        <v>1358</v>
      </c>
      <c r="J556">
        <v>0</v>
      </c>
      <c r="K556">
        <v>4.07</v>
      </c>
      <c r="L556">
        <v>5.375</v>
      </c>
      <c r="M556">
        <v>63.995000000000005</v>
      </c>
      <c r="N556">
        <v>9.8550000000000004</v>
      </c>
      <c r="O556">
        <v>1677</v>
      </c>
      <c r="P556">
        <v>0</v>
      </c>
      <c r="Q556" s="5" t="e">
        <f>IF(AND(#REF!&gt;=table!$C$6,#REF!&lt;= table!$D$6),-1,IF(AND(#REF!&gt;=table!$E$6,#REF!&lt;=table!$F$6),1,0))</f>
        <v>#REF!</v>
      </c>
      <c r="R556" s="5" t="e">
        <f>IF(AND(#REF!&gt;=table!$C$7,#REF!&lt;= table!$D$7),-1,IF(AND(#REF!&gt;=table!$E$7,#REF!&lt;=table!$F$7),1,0))</f>
        <v>#REF!</v>
      </c>
      <c r="S556" s="5" t="e">
        <f>IF(AND(#REF!&gt;=table!$C$8,#REF!&lt;= table!$D$8),-1,IF(AND(#REF!&gt;=table!$E$8,#REF!&lt;=table!$F$8),1,0))</f>
        <v>#REF!</v>
      </c>
      <c r="T556" s="5"/>
      <c r="U556" s="5" t="e">
        <f>IF(AND(#REF!&gt;=table!$C$10,#REF!&lt;= table!$D$10),-1,IF(AND(#REF!&gt;=table!$E$10,#REF!&lt;=table!$F$10),1,0))</f>
        <v>#REF!</v>
      </c>
      <c r="V556" s="5" t="e">
        <f>IF(AND(#REF!&gt;=table!$C$11,#REF!&lt;= table!$D$11),-1,IF(AND(#REF!&gt;=table!$E$11,#REF!&lt;=table!$F$11),1,0))</f>
        <v>#REF!</v>
      </c>
      <c r="W556" s="5" t="e">
        <f>CONCATENATE(dados[[#This Row],[fator1]],dados[[#This Row],[fator5]],dados[[#This Row],[fator6]])</f>
        <v>#REF!</v>
      </c>
    </row>
    <row r="557" spans="1:23">
      <c r="A557" t="s">
        <v>16</v>
      </c>
      <c r="B557">
        <v>482249</v>
      </c>
      <c r="C557">
        <v>17</v>
      </c>
      <c r="D557">
        <v>55</v>
      </c>
      <c r="E557">
        <v>75</v>
      </c>
      <c r="F557">
        <v>15</v>
      </c>
      <c r="G557">
        <v>0</v>
      </c>
      <c r="H557">
        <v>20</v>
      </c>
      <c r="I557">
        <v>110</v>
      </c>
      <c r="J557">
        <v>0</v>
      </c>
      <c r="K557">
        <v>5.91</v>
      </c>
      <c r="L557">
        <v>10.51</v>
      </c>
      <c r="M557">
        <v>71.38</v>
      </c>
      <c r="N557">
        <v>10.200000000000001</v>
      </c>
      <c r="O557">
        <v>1673</v>
      </c>
      <c r="P557">
        <v>0</v>
      </c>
      <c r="Q557" s="5" t="e">
        <f>IF(AND(#REF!&gt;=table!$C$6,#REF!&lt;= table!$D$6),-1,IF(AND(#REF!&gt;=table!$E$6,#REF!&lt;=table!$F$6),1,0))</f>
        <v>#REF!</v>
      </c>
      <c r="R557" s="5" t="e">
        <f>IF(AND(#REF!&gt;=table!$C$7,#REF!&lt;= table!$D$7),-1,IF(AND(#REF!&gt;=table!$E$7,#REF!&lt;=table!$F$7),1,0))</f>
        <v>#REF!</v>
      </c>
      <c r="S557" s="5" t="e">
        <f>IF(AND(#REF!&gt;=table!$C$8,#REF!&lt;= table!$D$8),-1,IF(AND(#REF!&gt;=table!$E$8,#REF!&lt;=table!$F$8),1,0))</f>
        <v>#REF!</v>
      </c>
      <c r="T557" s="5"/>
      <c r="U557" s="5" t="e">
        <f>IF(AND(#REF!&gt;=table!$C$10,#REF!&lt;= table!$D$10),-1,IF(AND(#REF!&gt;=table!$E$10,#REF!&lt;=table!$F$10),1,0))</f>
        <v>#REF!</v>
      </c>
      <c r="V557" s="5" t="e">
        <f>IF(AND(#REF!&gt;=table!$C$11,#REF!&lt;= table!$D$11),-1,IF(AND(#REF!&gt;=table!$E$11,#REF!&lt;=table!$F$11),1,0))</f>
        <v>#REF!</v>
      </c>
      <c r="W557" s="5" t="e">
        <f>CONCATENATE(dados[[#This Row],[fator1]],dados[[#This Row],[fator5]],dados[[#This Row],[fator6]])</f>
        <v>#REF!</v>
      </c>
    </row>
    <row r="558" spans="1:23">
      <c r="A558" t="s">
        <v>16</v>
      </c>
      <c r="B558">
        <v>482250</v>
      </c>
      <c r="C558">
        <v>17</v>
      </c>
      <c r="D558">
        <v>55</v>
      </c>
      <c r="E558">
        <v>75</v>
      </c>
      <c r="F558">
        <v>15</v>
      </c>
      <c r="G558">
        <v>0</v>
      </c>
      <c r="H558">
        <v>20</v>
      </c>
      <c r="I558">
        <v>982</v>
      </c>
      <c r="J558">
        <v>0</v>
      </c>
      <c r="K558">
        <v>2.6565000000000003</v>
      </c>
      <c r="L558">
        <v>6.16</v>
      </c>
      <c r="M558">
        <v>69.905000000000001</v>
      </c>
      <c r="N558">
        <v>9.3000000000000007</v>
      </c>
      <c r="O558">
        <v>1660</v>
      </c>
      <c r="P558">
        <v>0</v>
      </c>
      <c r="Q558" s="5" t="e">
        <f>IF(AND(#REF!&gt;=table!$C$6,#REF!&lt;= table!$D$6),-1,IF(AND(#REF!&gt;=table!$E$6,#REF!&lt;=table!$F$6),1,0))</f>
        <v>#REF!</v>
      </c>
      <c r="R558" s="5" t="e">
        <f>IF(AND(#REF!&gt;=table!$C$7,#REF!&lt;= table!$D$7),-1,IF(AND(#REF!&gt;=table!$E$7,#REF!&lt;=table!$F$7),1,0))</f>
        <v>#REF!</v>
      </c>
      <c r="S558" s="5" t="e">
        <f>IF(AND(#REF!&gt;=table!$C$8,#REF!&lt;= table!$D$8),-1,IF(AND(#REF!&gt;=table!$E$8,#REF!&lt;=table!$F$8),1,0))</f>
        <v>#REF!</v>
      </c>
      <c r="T558" s="5"/>
      <c r="U558" s="5" t="e">
        <f>IF(AND(#REF!&gt;=table!$C$10,#REF!&lt;= table!$D$10),-1,IF(AND(#REF!&gt;=table!$E$10,#REF!&lt;=table!$F$10),1,0))</f>
        <v>#REF!</v>
      </c>
      <c r="V558" s="5" t="e">
        <f>IF(AND(#REF!&gt;=table!$C$11,#REF!&lt;= table!$D$11),-1,IF(AND(#REF!&gt;=table!$E$11,#REF!&lt;=table!$F$11),1,0))</f>
        <v>#REF!</v>
      </c>
      <c r="W558" s="5" t="e">
        <f>CONCATENATE(dados[[#This Row],[fator1]],dados[[#This Row],[fator5]],dados[[#This Row],[fator6]])</f>
        <v>#REF!</v>
      </c>
    </row>
    <row r="559" spans="1:23">
      <c r="A559" t="s">
        <v>16</v>
      </c>
      <c r="B559">
        <v>482253</v>
      </c>
      <c r="C559">
        <v>17</v>
      </c>
      <c r="D559">
        <v>55</v>
      </c>
      <c r="E559">
        <v>75</v>
      </c>
      <c r="F559">
        <v>15</v>
      </c>
      <c r="G559">
        <v>0</v>
      </c>
      <c r="H559">
        <v>20</v>
      </c>
      <c r="I559">
        <v>184</v>
      </c>
      <c r="J559">
        <v>0</v>
      </c>
      <c r="K559">
        <v>5.0250000000000004</v>
      </c>
      <c r="L559">
        <v>6.9950000000000001</v>
      </c>
      <c r="M559">
        <v>58.335000000000001</v>
      </c>
      <c r="N559">
        <v>9.0750000000000011</v>
      </c>
      <c r="O559">
        <v>1673</v>
      </c>
      <c r="P559">
        <v>0</v>
      </c>
      <c r="Q559" s="5" t="e">
        <f>IF(AND(#REF!&gt;=table!$C$6,#REF!&lt;= table!$D$6),-1,IF(AND(#REF!&gt;=table!$E$6,#REF!&lt;=table!$F$6),1,0))</f>
        <v>#REF!</v>
      </c>
      <c r="R559" s="5" t="e">
        <f>IF(AND(#REF!&gt;=table!$C$7,#REF!&lt;= table!$D$7),-1,IF(AND(#REF!&gt;=table!$E$7,#REF!&lt;=table!$F$7),1,0))</f>
        <v>#REF!</v>
      </c>
      <c r="S559" s="5" t="e">
        <f>IF(AND(#REF!&gt;=table!$C$8,#REF!&lt;= table!$D$8),-1,IF(AND(#REF!&gt;=table!$E$8,#REF!&lt;=table!$F$8),1,0))</f>
        <v>#REF!</v>
      </c>
      <c r="T559" s="5"/>
      <c r="U559" s="5" t="e">
        <f>IF(AND(#REF!&gt;=table!$C$10,#REF!&lt;= table!$D$10),-1,IF(AND(#REF!&gt;=table!$E$10,#REF!&lt;=table!$F$10),1,0))</f>
        <v>#REF!</v>
      </c>
      <c r="V559" s="5" t="e">
        <f>IF(AND(#REF!&gt;=table!$C$11,#REF!&lt;= table!$D$11),-1,IF(AND(#REF!&gt;=table!$E$11,#REF!&lt;=table!$F$11),1,0))</f>
        <v>#REF!</v>
      </c>
      <c r="W559" s="5" t="e">
        <f>CONCATENATE(dados[[#This Row],[fator1]],dados[[#This Row],[fator5]],dados[[#This Row],[fator6]])</f>
        <v>#REF!</v>
      </c>
    </row>
    <row r="560" spans="1:23">
      <c r="A560" t="s">
        <v>16</v>
      </c>
      <c r="B560">
        <v>482254</v>
      </c>
      <c r="C560">
        <v>17</v>
      </c>
      <c r="D560">
        <v>55</v>
      </c>
      <c r="E560">
        <v>75</v>
      </c>
      <c r="F560">
        <v>15</v>
      </c>
      <c r="G560">
        <v>0</v>
      </c>
      <c r="H560">
        <v>20</v>
      </c>
      <c r="I560">
        <v>26</v>
      </c>
      <c r="J560">
        <v>0</v>
      </c>
      <c r="K560">
        <v>7.2150000000000007</v>
      </c>
      <c r="L560">
        <v>15.200000000000001</v>
      </c>
      <c r="M560">
        <v>58.155000000000001</v>
      </c>
      <c r="N560">
        <v>14.215</v>
      </c>
      <c r="O560">
        <v>1688</v>
      </c>
      <c r="P560">
        <v>0</v>
      </c>
      <c r="Q560" s="5" t="e">
        <f>IF(AND(#REF!&gt;=table!$C$6,#REF!&lt;= table!$D$6),-1,IF(AND(#REF!&gt;=table!$E$6,#REF!&lt;=table!$F$6),1,0))</f>
        <v>#REF!</v>
      </c>
      <c r="R560" s="5" t="e">
        <f>IF(AND(#REF!&gt;=table!$C$7,#REF!&lt;= table!$D$7),-1,IF(AND(#REF!&gt;=table!$E$7,#REF!&lt;=table!$F$7),1,0))</f>
        <v>#REF!</v>
      </c>
      <c r="S560" s="5" t="e">
        <f>IF(AND(#REF!&gt;=table!$C$8,#REF!&lt;= table!$D$8),-1,IF(AND(#REF!&gt;=table!$E$8,#REF!&lt;=table!$F$8),1,0))</f>
        <v>#REF!</v>
      </c>
      <c r="T560" s="5"/>
      <c r="U560" s="5" t="e">
        <f>IF(AND(#REF!&gt;=table!$C$10,#REF!&lt;= table!$D$10),-1,IF(AND(#REF!&gt;=table!$E$10,#REF!&lt;=table!$F$10),1,0))</f>
        <v>#REF!</v>
      </c>
      <c r="V560" s="5" t="e">
        <f>IF(AND(#REF!&gt;=table!$C$11,#REF!&lt;= table!$D$11),-1,IF(AND(#REF!&gt;=table!$E$11,#REF!&lt;=table!$F$11),1,0))</f>
        <v>#REF!</v>
      </c>
      <c r="W560" s="5" t="e">
        <f>CONCATENATE(dados[[#This Row],[fator1]],dados[[#This Row],[fator5]],dados[[#This Row],[fator6]])</f>
        <v>#REF!</v>
      </c>
    </row>
    <row r="561" spans="1:23">
      <c r="A561" t="s">
        <v>16</v>
      </c>
      <c r="B561">
        <v>482255</v>
      </c>
      <c r="C561">
        <v>16</v>
      </c>
      <c r="D561">
        <v>35</v>
      </c>
      <c r="E561">
        <v>56</v>
      </c>
      <c r="F561">
        <v>10</v>
      </c>
      <c r="G561">
        <v>0</v>
      </c>
      <c r="H561">
        <v>25</v>
      </c>
      <c r="I561">
        <v>912</v>
      </c>
      <c r="J561">
        <v>0</v>
      </c>
      <c r="K561">
        <v>10.925000000000001</v>
      </c>
      <c r="L561">
        <v>19.27</v>
      </c>
      <c r="M561">
        <v>47.15</v>
      </c>
      <c r="N561">
        <v>16.3</v>
      </c>
      <c r="O561">
        <v>1704</v>
      </c>
      <c r="P561">
        <v>0</v>
      </c>
      <c r="Q561" s="5" t="e">
        <f>IF(AND(#REF!&gt;=table!$C$6,#REF!&lt;= table!$D$6),-1,IF(AND(#REF!&gt;=table!$E$6,#REF!&lt;=table!$F$6),1,0))</f>
        <v>#REF!</v>
      </c>
      <c r="R561" s="5" t="e">
        <f>IF(AND(#REF!&gt;=table!$C$7,#REF!&lt;= table!$D$7),-1,IF(AND(#REF!&gt;=table!$E$7,#REF!&lt;=table!$F$7),1,0))</f>
        <v>#REF!</v>
      </c>
      <c r="S561" s="5" t="e">
        <f>IF(AND(#REF!&gt;=table!$C$8,#REF!&lt;= table!$D$8),-1,IF(AND(#REF!&gt;=table!$E$8,#REF!&lt;=table!$F$8),1,0))</f>
        <v>#REF!</v>
      </c>
      <c r="T561" s="5"/>
      <c r="U561" s="5" t="e">
        <f>IF(AND(#REF!&gt;=table!$C$10,#REF!&lt;= table!$D$10),-1,IF(AND(#REF!&gt;=table!$E$10,#REF!&lt;=table!$F$10),1,0))</f>
        <v>#REF!</v>
      </c>
      <c r="V561" s="5" t="e">
        <f>IF(AND(#REF!&gt;=table!$C$11,#REF!&lt;= table!$D$11),-1,IF(AND(#REF!&gt;=table!$E$11,#REF!&lt;=table!$F$11),1,0))</f>
        <v>#REF!</v>
      </c>
      <c r="W561" s="5" t="e">
        <f>CONCATENATE(dados[[#This Row],[fator1]],dados[[#This Row],[fator5]],dados[[#This Row],[fator6]])</f>
        <v>#REF!</v>
      </c>
    </row>
    <row r="562" spans="1:23">
      <c r="A562" t="s">
        <v>16</v>
      </c>
      <c r="B562">
        <v>482256</v>
      </c>
      <c r="C562">
        <v>16</v>
      </c>
      <c r="D562">
        <v>35</v>
      </c>
      <c r="E562">
        <v>56</v>
      </c>
      <c r="F562">
        <v>10</v>
      </c>
      <c r="G562">
        <v>0</v>
      </c>
      <c r="H562">
        <v>25</v>
      </c>
      <c r="I562">
        <v>3</v>
      </c>
      <c r="J562">
        <v>0</v>
      </c>
      <c r="K562">
        <v>11.18</v>
      </c>
      <c r="L562">
        <v>21.75</v>
      </c>
      <c r="M562">
        <v>46.6</v>
      </c>
      <c r="N562">
        <v>23.400000000000002</v>
      </c>
      <c r="O562">
        <v>1670</v>
      </c>
      <c r="P562">
        <v>0</v>
      </c>
      <c r="Q562" s="5" t="e">
        <f>IF(AND(#REF!&gt;=table!$C$6,#REF!&lt;= table!$D$6),-1,IF(AND(#REF!&gt;=table!$E$6,#REF!&lt;=table!$F$6),1,0))</f>
        <v>#REF!</v>
      </c>
      <c r="R562" s="5" t="e">
        <f>IF(AND(#REF!&gt;=table!$C$7,#REF!&lt;= table!$D$7),-1,IF(AND(#REF!&gt;=table!$E$7,#REF!&lt;=table!$F$7),1,0))</f>
        <v>#REF!</v>
      </c>
      <c r="S562" s="5" t="e">
        <f>IF(AND(#REF!&gt;=table!$C$8,#REF!&lt;= table!$D$8),-1,IF(AND(#REF!&gt;=table!$E$8,#REF!&lt;=table!$F$8),1,0))</f>
        <v>#REF!</v>
      </c>
      <c r="T562" s="5"/>
      <c r="U562" s="5" t="e">
        <f>IF(AND(#REF!&gt;=table!$C$10,#REF!&lt;= table!$D$10),-1,IF(AND(#REF!&gt;=table!$E$10,#REF!&lt;=table!$F$10),1,0))</f>
        <v>#REF!</v>
      </c>
      <c r="V562" s="5" t="e">
        <f>IF(AND(#REF!&gt;=table!$C$11,#REF!&lt;= table!$D$11),-1,IF(AND(#REF!&gt;=table!$E$11,#REF!&lt;=table!$F$11),1,0))</f>
        <v>#REF!</v>
      </c>
      <c r="W562" s="5" t="e">
        <f>CONCATENATE(dados[[#This Row],[fator1]],dados[[#This Row],[fator5]],dados[[#This Row],[fator6]])</f>
        <v>#REF!</v>
      </c>
    </row>
    <row r="563" spans="1:23">
      <c r="A563" t="s">
        <v>16</v>
      </c>
      <c r="B563">
        <v>482257</v>
      </c>
      <c r="C563">
        <v>16</v>
      </c>
      <c r="D563">
        <v>35</v>
      </c>
      <c r="E563">
        <v>56</v>
      </c>
      <c r="F563">
        <v>10</v>
      </c>
      <c r="G563">
        <v>0</v>
      </c>
      <c r="H563">
        <v>25</v>
      </c>
      <c r="I563">
        <v>544</v>
      </c>
      <c r="J563">
        <v>0</v>
      </c>
      <c r="K563">
        <v>14.1</v>
      </c>
      <c r="L563">
        <v>16.5</v>
      </c>
      <c r="M563">
        <v>45.300000000000004</v>
      </c>
      <c r="N563">
        <v>14.85</v>
      </c>
      <c r="O563">
        <v>1667</v>
      </c>
      <c r="P563">
        <v>0</v>
      </c>
      <c r="Q563" s="5" t="e">
        <f>IF(AND(#REF!&gt;=table!$C$6,#REF!&lt;= table!$D$6),-1,IF(AND(#REF!&gt;=table!$E$6,#REF!&lt;=table!$F$6),1,0))</f>
        <v>#REF!</v>
      </c>
      <c r="R563" s="5" t="e">
        <f>IF(AND(#REF!&gt;=table!$C$7,#REF!&lt;= table!$D$7),-1,IF(AND(#REF!&gt;=table!$E$7,#REF!&lt;=table!$F$7),1,0))</f>
        <v>#REF!</v>
      </c>
      <c r="S563" s="5" t="e">
        <f>IF(AND(#REF!&gt;=table!$C$8,#REF!&lt;= table!$D$8),-1,IF(AND(#REF!&gt;=table!$E$8,#REF!&lt;=table!$F$8),1,0))</f>
        <v>#REF!</v>
      </c>
      <c r="T563" s="5"/>
      <c r="U563" s="5" t="e">
        <f>IF(AND(#REF!&gt;=table!$C$10,#REF!&lt;= table!$D$10),-1,IF(AND(#REF!&gt;=table!$E$10,#REF!&lt;=table!$F$10),1,0))</f>
        <v>#REF!</v>
      </c>
      <c r="V563" s="5" t="e">
        <f>IF(AND(#REF!&gt;=table!$C$11,#REF!&lt;= table!$D$11),-1,IF(AND(#REF!&gt;=table!$E$11,#REF!&lt;=table!$F$11),1,0))</f>
        <v>#REF!</v>
      </c>
      <c r="W563" s="5" t="e">
        <f>CONCATENATE(dados[[#This Row],[fator1]],dados[[#This Row],[fator5]],dados[[#This Row],[fator6]])</f>
        <v>#REF!</v>
      </c>
    </row>
    <row r="564" spans="1:23">
      <c r="A564" t="s">
        <v>16</v>
      </c>
      <c r="B564">
        <v>482258</v>
      </c>
      <c r="C564">
        <v>16</v>
      </c>
      <c r="D564">
        <v>35</v>
      </c>
      <c r="E564">
        <v>56</v>
      </c>
      <c r="F564">
        <v>10</v>
      </c>
      <c r="G564">
        <v>0</v>
      </c>
      <c r="H564">
        <v>25</v>
      </c>
      <c r="I564">
        <v>1080</v>
      </c>
      <c r="J564">
        <v>0</v>
      </c>
      <c r="K564">
        <v>4.1900000000000004</v>
      </c>
      <c r="L564">
        <v>8.65</v>
      </c>
      <c r="M564">
        <v>46.83</v>
      </c>
      <c r="N564">
        <v>10.355</v>
      </c>
      <c r="O564">
        <v>1683</v>
      </c>
      <c r="P564">
        <v>0</v>
      </c>
      <c r="Q564" s="5" t="e">
        <f>IF(AND(#REF!&gt;=table!$C$6,#REF!&lt;= table!$D$6),-1,IF(AND(#REF!&gt;=table!$E$6,#REF!&lt;=table!$F$6),1,0))</f>
        <v>#REF!</v>
      </c>
      <c r="R564" s="5" t="e">
        <f>IF(AND(#REF!&gt;=table!$C$7,#REF!&lt;= table!$D$7),-1,IF(AND(#REF!&gt;=table!$E$7,#REF!&lt;=table!$F$7),1,0))</f>
        <v>#REF!</v>
      </c>
      <c r="S564" s="5" t="e">
        <f>IF(AND(#REF!&gt;=table!$C$8,#REF!&lt;= table!$D$8),-1,IF(AND(#REF!&gt;=table!$E$8,#REF!&lt;=table!$F$8),1,0))</f>
        <v>#REF!</v>
      </c>
      <c r="T564" s="5"/>
      <c r="U564" s="5" t="e">
        <f>IF(AND(#REF!&gt;=table!$C$10,#REF!&lt;= table!$D$10),-1,IF(AND(#REF!&gt;=table!$E$10,#REF!&lt;=table!$F$10),1,0))</f>
        <v>#REF!</v>
      </c>
      <c r="V564" s="5" t="e">
        <f>IF(AND(#REF!&gt;=table!$C$11,#REF!&lt;= table!$D$11),-1,IF(AND(#REF!&gt;=table!$E$11,#REF!&lt;=table!$F$11),1,0))</f>
        <v>#REF!</v>
      </c>
      <c r="W564" s="5" t="e">
        <f>CONCATENATE(dados[[#This Row],[fator1]],dados[[#This Row],[fator5]],dados[[#This Row],[fator6]])</f>
        <v>#REF!</v>
      </c>
    </row>
    <row r="565" spans="1:23">
      <c r="A565" t="s">
        <v>16</v>
      </c>
      <c r="B565">
        <v>482259</v>
      </c>
      <c r="C565">
        <v>12</v>
      </c>
      <c r="D565">
        <v>35</v>
      </c>
      <c r="E565">
        <v>86</v>
      </c>
      <c r="F565">
        <v>10</v>
      </c>
      <c r="G565">
        <v>0</v>
      </c>
      <c r="H565">
        <v>25</v>
      </c>
      <c r="I565">
        <v>538</v>
      </c>
      <c r="J565">
        <v>0</v>
      </c>
      <c r="K565">
        <v>2.4215</v>
      </c>
      <c r="L565">
        <v>4.6450000000000005</v>
      </c>
      <c r="M565">
        <v>74.5</v>
      </c>
      <c r="N565">
        <v>9.2000000000000011</v>
      </c>
      <c r="O565">
        <v>1691</v>
      </c>
      <c r="P565">
        <v>0</v>
      </c>
      <c r="Q565" s="5" t="e">
        <f>IF(AND(#REF!&gt;=table!$C$6,#REF!&lt;= table!$D$6),-1,IF(AND(#REF!&gt;=table!$E$6,#REF!&lt;=table!$F$6),1,0))</f>
        <v>#REF!</v>
      </c>
      <c r="R565" s="5" t="e">
        <f>IF(AND(#REF!&gt;=table!$C$7,#REF!&lt;= table!$D$7),-1,IF(AND(#REF!&gt;=table!$E$7,#REF!&lt;=table!$F$7),1,0))</f>
        <v>#REF!</v>
      </c>
      <c r="S565" s="5" t="e">
        <f>IF(AND(#REF!&gt;=table!$C$8,#REF!&lt;= table!$D$8),-1,IF(AND(#REF!&gt;=table!$E$8,#REF!&lt;=table!$F$8),1,0))</f>
        <v>#REF!</v>
      </c>
      <c r="T565" s="5"/>
      <c r="U565" s="5" t="e">
        <f>IF(AND(#REF!&gt;=table!$C$10,#REF!&lt;= table!$D$10),-1,IF(AND(#REF!&gt;=table!$E$10,#REF!&lt;=table!$F$10),1,0))</f>
        <v>#REF!</v>
      </c>
      <c r="V565" s="5" t="e">
        <f>IF(AND(#REF!&gt;=table!$C$11,#REF!&lt;= table!$D$11),-1,IF(AND(#REF!&gt;=table!$E$11,#REF!&lt;=table!$F$11),1,0))</f>
        <v>#REF!</v>
      </c>
      <c r="W565" s="5" t="e">
        <f>CONCATENATE(dados[[#This Row],[fator1]],dados[[#This Row],[fator5]],dados[[#This Row],[fator6]])</f>
        <v>#REF!</v>
      </c>
    </row>
    <row r="566" spans="1:23">
      <c r="A566" t="s">
        <v>16</v>
      </c>
      <c r="B566">
        <v>482260</v>
      </c>
      <c r="C566">
        <v>12</v>
      </c>
      <c r="D566">
        <v>35</v>
      </c>
      <c r="E566">
        <v>86</v>
      </c>
      <c r="F566">
        <v>10</v>
      </c>
      <c r="G566">
        <v>0</v>
      </c>
      <c r="H566">
        <v>25</v>
      </c>
      <c r="I566">
        <v>15</v>
      </c>
      <c r="J566">
        <v>0</v>
      </c>
      <c r="K566">
        <v>2.9950000000000001</v>
      </c>
      <c r="L566">
        <v>8.8000000000000007</v>
      </c>
      <c r="M566">
        <v>75.844999999999999</v>
      </c>
      <c r="N566">
        <v>9.75</v>
      </c>
      <c r="O566">
        <v>1675</v>
      </c>
      <c r="P566">
        <v>0</v>
      </c>
      <c r="Q566" s="5" t="e">
        <f>IF(AND(#REF!&gt;=table!$C$6,#REF!&lt;= table!$D$6),-1,IF(AND(#REF!&gt;=table!$E$6,#REF!&lt;=table!$F$6),1,0))</f>
        <v>#REF!</v>
      </c>
      <c r="R566" s="5" t="e">
        <f>IF(AND(#REF!&gt;=table!$C$7,#REF!&lt;= table!$D$7),-1,IF(AND(#REF!&gt;=table!$E$7,#REF!&lt;=table!$F$7),1,0))</f>
        <v>#REF!</v>
      </c>
      <c r="S566" s="5" t="e">
        <f>IF(AND(#REF!&gt;=table!$C$8,#REF!&lt;= table!$D$8),-1,IF(AND(#REF!&gt;=table!$E$8,#REF!&lt;=table!$F$8),1,0))</f>
        <v>#REF!</v>
      </c>
      <c r="T566" s="5"/>
      <c r="U566" s="5" t="e">
        <f>IF(AND(#REF!&gt;=table!$C$10,#REF!&lt;= table!$D$10),-1,IF(AND(#REF!&gt;=table!$E$10,#REF!&lt;=table!$F$10),1,0))</f>
        <v>#REF!</v>
      </c>
      <c r="V566" s="5" t="e">
        <f>IF(AND(#REF!&gt;=table!$C$11,#REF!&lt;= table!$D$11),-1,IF(AND(#REF!&gt;=table!$E$11,#REF!&lt;=table!$F$11),1,0))</f>
        <v>#REF!</v>
      </c>
      <c r="W566" s="5" t="e">
        <f>CONCATENATE(dados[[#This Row],[fator1]],dados[[#This Row],[fator5]],dados[[#This Row],[fator6]])</f>
        <v>#REF!</v>
      </c>
    </row>
    <row r="567" spans="1:23">
      <c r="A567" t="s">
        <v>16</v>
      </c>
      <c r="B567">
        <v>482262</v>
      </c>
      <c r="C567">
        <v>16</v>
      </c>
      <c r="D567">
        <v>35</v>
      </c>
      <c r="E567">
        <v>36</v>
      </c>
      <c r="F567">
        <v>10</v>
      </c>
      <c r="G567">
        <v>0</v>
      </c>
      <c r="H567">
        <v>25</v>
      </c>
      <c r="I567">
        <v>64</v>
      </c>
      <c r="J567">
        <v>0</v>
      </c>
      <c r="K567">
        <v>3.06</v>
      </c>
      <c r="L567">
        <v>5.25</v>
      </c>
      <c r="M567">
        <v>29</v>
      </c>
      <c r="N567">
        <v>9.0500000000000007</v>
      </c>
      <c r="O567">
        <v>1657</v>
      </c>
      <c r="P567">
        <v>0</v>
      </c>
      <c r="Q567" s="5" t="e">
        <f>IF(AND(#REF!&gt;=table!$C$6,#REF!&lt;= table!$D$6),-1,IF(AND(#REF!&gt;=table!$E$6,#REF!&lt;=table!$F$6),1,0))</f>
        <v>#REF!</v>
      </c>
      <c r="R567" s="5" t="e">
        <f>IF(AND(#REF!&gt;=table!$C$7,#REF!&lt;= table!$D$7),-1,IF(AND(#REF!&gt;=table!$E$7,#REF!&lt;=table!$F$7),1,0))</f>
        <v>#REF!</v>
      </c>
      <c r="S567" s="5" t="e">
        <f>IF(AND(#REF!&gt;=table!$C$8,#REF!&lt;= table!$D$8),-1,IF(AND(#REF!&gt;=table!$E$8,#REF!&lt;=table!$F$8),1,0))</f>
        <v>#REF!</v>
      </c>
      <c r="T567" s="5"/>
      <c r="U567" s="5" t="e">
        <f>IF(AND(#REF!&gt;=table!$C$10,#REF!&lt;= table!$D$10),-1,IF(AND(#REF!&gt;=table!$E$10,#REF!&lt;=table!$F$10),1,0))</f>
        <v>#REF!</v>
      </c>
      <c r="V567" s="5" t="e">
        <f>IF(AND(#REF!&gt;=table!$C$11,#REF!&lt;= table!$D$11),-1,IF(AND(#REF!&gt;=table!$E$11,#REF!&lt;=table!$F$11),1,0))</f>
        <v>#REF!</v>
      </c>
      <c r="W567" s="5" t="e">
        <f>CONCATENATE(dados[[#This Row],[fator1]],dados[[#This Row],[fator5]],dados[[#This Row],[fator6]])</f>
        <v>#REF!</v>
      </c>
    </row>
    <row r="568" spans="1:23">
      <c r="A568" t="s">
        <v>16</v>
      </c>
      <c r="B568">
        <v>482263</v>
      </c>
      <c r="C568">
        <v>16</v>
      </c>
      <c r="D568">
        <v>35</v>
      </c>
      <c r="E568">
        <v>36</v>
      </c>
      <c r="F568">
        <v>10</v>
      </c>
      <c r="G568">
        <v>0</v>
      </c>
      <c r="H568">
        <v>25</v>
      </c>
      <c r="I568">
        <v>110</v>
      </c>
      <c r="J568">
        <v>0</v>
      </c>
      <c r="K568">
        <v>7.5167000000000002</v>
      </c>
      <c r="L568">
        <v>10.050000000000001</v>
      </c>
      <c r="M568">
        <v>33.9</v>
      </c>
      <c r="N568">
        <v>8.15</v>
      </c>
      <c r="O568">
        <v>1663</v>
      </c>
      <c r="P568">
        <v>0</v>
      </c>
      <c r="Q568" s="5" t="e">
        <f>IF(AND(#REF!&gt;=table!$C$6,#REF!&lt;= table!$D$6),-1,IF(AND(#REF!&gt;=table!$E$6,#REF!&lt;=table!$F$6),1,0))</f>
        <v>#REF!</v>
      </c>
      <c r="R568" s="5" t="e">
        <f>IF(AND(#REF!&gt;=table!$C$7,#REF!&lt;= table!$D$7),-1,IF(AND(#REF!&gt;=table!$E$7,#REF!&lt;=table!$F$7),1,0))</f>
        <v>#REF!</v>
      </c>
      <c r="S568" s="5" t="e">
        <f>IF(AND(#REF!&gt;=table!$C$8,#REF!&lt;= table!$D$8),-1,IF(AND(#REF!&gt;=table!$E$8,#REF!&lt;=table!$F$8),1,0))</f>
        <v>#REF!</v>
      </c>
      <c r="T568" s="5"/>
      <c r="U568" s="5" t="e">
        <f>IF(AND(#REF!&gt;=table!$C$10,#REF!&lt;= table!$D$10),-1,IF(AND(#REF!&gt;=table!$E$10,#REF!&lt;=table!$F$10),1,0))</f>
        <v>#REF!</v>
      </c>
      <c r="V568" s="5" t="e">
        <f>IF(AND(#REF!&gt;=table!$C$11,#REF!&lt;= table!$D$11),-1,IF(AND(#REF!&gt;=table!$E$11,#REF!&lt;=table!$F$11),1,0))</f>
        <v>#REF!</v>
      </c>
      <c r="W568" s="5" t="e">
        <f>CONCATENATE(dados[[#This Row],[fator1]],dados[[#This Row],[fator5]],dados[[#This Row],[fator6]])</f>
        <v>#REF!</v>
      </c>
    </row>
    <row r="569" spans="1:23">
      <c r="A569" t="s">
        <v>16</v>
      </c>
      <c r="B569">
        <v>482270</v>
      </c>
      <c r="C569">
        <v>0.15</v>
      </c>
      <c r="D569">
        <v>40</v>
      </c>
      <c r="E569">
        <v>10</v>
      </c>
      <c r="F569">
        <v>15</v>
      </c>
      <c r="G569">
        <v>0</v>
      </c>
      <c r="H569">
        <v>15</v>
      </c>
      <c r="I569">
        <v>590</v>
      </c>
      <c r="J569">
        <v>0</v>
      </c>
      <c r="K569">
        <v>4.21</v>
      </c>
      <c r="L569">
        <v>8.07</v>
      </c>
      <c r="M569">
        <v>7.65</v>
      </c>
      <c r="N569">
        <v>8.1999999999999993</v>
      </c>
      <c r="O569">
        <v>1690</v>
      </c>
      <c r="P569">
        <v>1208</v>
      </c>
      <c r="Q569" s="5" t="e">
        <f>IF(AND(#REF!&gt;=table!$C$6,#REF!&lt;= table!$D$6),-1,IF(AND(#REF!&gt;=table!$E$6,#REF!&lt;=table!$F$6),1,0))</f>
        <v>#REF!</v>
      </c>
      <c r="R569" s="5" t="e">
        <f>IF(AND(#REF!&gt;=table!$C$7,#REF!&lt;= table!$D$7),-1,IF(AND(#REF!&gt;=table!$E$7,#REF!&lt;=table!$F$7),1,0))</f>
        <v>#REF!</v>
      </c>
      <c r="S569" s="5" t="e">
        <f>IF(AND(#REF!&gt;=table!$C$8,#REF!&lt;= table!$D$8),-1,IF(AND(#REF!&gt;=table!$E$8,#REF!&lt;=table!$F$8),1,0))</f>
        <v>#REF!</v>
      </c>
      <c r="T569" s="5"/>
      <c r="U569" s="5" t="e">
        <f>IF(AND(#REF!&gt;=table!$C$10,#REF!&lt;= table!$D$10),-1,IF(AND(#REF!&gt;=table!$E$10,#REF!&lt;=table!$F$10),1,0))</f>
        <v>#REF!</v>
      </c>
      <c r="V569" s="5" t="e">
        <f>IF(AND(#REF!&gt;=table!$C$11,#REF!&lt;= table!$D$11),-1,IF(AND(#REF!&gt;=table!$E$11,#REF!&lt;=table!$F$11),1,0))</f>
        <v>#REF!</v>
      </c>
      <c r="W569" s="5" t="e">
        <f>CONCATENATE(dados[[#This Row],[fator1]],dados[[#This Row],[fator5]],dados[[#This Row],[fator6]])</f>
        <v>#REF!</v>
      </c>
    </row>
    <row r="570" spans="1:23">
      <c r="A570" t="s">
        <v>16</v>
      </c>
      <c r="B570">
        <v>482271</v>
      </c>
      <c r="C570">
        <v>0.15</v>
      </c>
      <c r="D570">
        <v>40</v>
      </c>
      <c r="E570">
        <v>10</v>
      </c>
      <c r="F570">
        <v>15</v>
      </c>
      <c r="G570">
        <v>0</v>
      </c>
      <c r="H570">
        <v>15</v>
      </c>
      <c r="I570">
        <v>962</v>
      </c>
      <c r="J570">
        <v>0</v>
      </c>
      <c r="K570">
        <v>4.8650000000000002</v>
      </c>
      <c r="L570">
        <v>8.42</v>
      </c>
      <c r="M570">
        <v>8.0250000000000004</v>
      </c>
      <c r="N570">
        <v>8.6850000000000005</v>
      </c>
      <c r="O570">
        <v>1693</v>
      </c>
      <c r="P570">
        <v>883</v>
      </c>
      <c r="Q570" s="5" t="e">
        <f>IF(AND(#REF!&gt;=table!$C$6,#REF!&lt;= table!$D$6),-1,IF(AND(#REF!&gt;=table!$E$6,#REF!&lt;=table!$F$6),1,0))</f>
        <v>#REF!</v>
      </c>
      <c r="R570" s="5" t="e">
        <f>IF(AND(#REF!&gt;=table!$C$7,#REF!&lt;= table!$D$7),-1,IF(AND(#REF!&gt;=table!$E$7,#REF!&lt;=table!$F$7),1,0))</f>
        <v>#REF!</v>
      </c>
      <c r="S570" s="5" t="e">
        <f>IF(AND(#REF!&gt;=table!$C$8,#REF!&lt;= table!$D$8),-1,IF(AND(#REF!&gt;=table!$E$8,#REF!&lt;=table!$F$8),1,0))</f>
        <v>#REF!</v>
      </c>
      <c r="T570" s="5"/>
      <c r="U570" s="5" t="e">
        <f>IF(AND(#REF!&gt;=table!$C$10,#REF!&lt;= table!$D$10),-1,IF(AND(#REF!&gt;=table!$E$10,#REF!&lt;=table!$F$10),1,0))</f>
        <v>#REF!</v>
      </c>
      <c r="V570" s="5" t="e">
        <f>IF(AND(#REF!&gt;=table!$C$11,#REF!&lt;= table!$D$11),-1,IF(AND(#REF!&gt;=table!$E$11,#REF!&lt;=table!$F$11),1,0))</f>
        <v>#REF!</v>
      </c>
      <c r="W570" s="5" t="e">
        <f>CONCATENATE(dados[[#This Row],[fator1]],dados[[#This Row],[fator5]],dados[[#This Row],[fator6]])</f>
        <v>#REF!</v>
      </c>
    </row>
    <row r="571" spans="1:23">
      <c r="A571" t="s">
        <v>17</v>
      </c>
      <c r="B571">
        <v>482274</v>
      </c>
      <c r="C571">
        <v>9</v>
      </c>
      <c r="D571">
        <v>25</v>
      </c>
      <c r="E571">
        <v>130</v>
      </c>
      <c r="F571">
        <v>3</v>
      </c>
      <c r="G571">
        <v>20</v>
      </c>
      <c r="H571">
        <v>21</v>
      </c>
      <c r="I571">
        <v>88</v>
      </c>
      <c r="J571">
        <v>0</v>
      </c>
      <c r="K571">
        <v>3.73</v>
      </c>
      <c r="L571">
        <v>7.4</v>
      </c>
      <c r="M571">
        <v>99.365000000000009</v>
      </c>
      <c r="N571">
        <v>8.15</v>
      </c>
      <c r="O571">
        <v>1674</v>
      </c>
      <c r="P571">
        <v>0</v>
      </c>
      <c r="Q571" s="5" t="e">
        <f>IF(AND(#REF!&gt;=table!$C$6,#REF!&lt;= table!$D$6),-1,IF(AND(#REF!&gt;=table!$E$6,#REF!&lt;=table!$F$6),1,0))</f>
        <v>#REF!</v>
      </c>
      <c r="R571" s="5" t="e">
        <f>IF(AND(#REF!&gt;=table!$C$7,#REF!&lt;= table!$D$7),-1,IF(AND(#REF!&gt;=table!$E$7,#REF!&lt;=table!$F$7),1,0))</f>
        <v>#REF!</v>
      </c>
      <c r="S571" s="5" t="e">
        <f>IF(AND(#REF!&gt;=table!$C$8,#REF!&lt;= table!$D$8),-1,IF(AND(#REF!&gt;=table!$E$8,#REF!&lt;=table!$F$8),1,0))</f>
        <v>#REF!</v>
      </c>
      <c r="T571" s="5"/>
      <c r="U571" s="5" t="e">
        <f>IF(AND(#REF!&gt;=table!$C$10,#REF!&lt;= table!$D$10),-1,IF(AND(#REF!&gt;=table!$E$10,#REF!&lt;=table!$F$10),1,0))</f>
        <v>#REF!</v>
      </c>
      <c r="V571" s="5" t="e">
        <f>IF(AND(#REF!&gt;=table!$C$11,#REF!&lt;= table!$D$11),-1,IF(AND(#REF!&gt;=table!$E$11,#REF!&lt;=table!$F$11),1,0))</f>
        <v>#REF!</v>
      </c>
      <c r="W571" s="5" t="e">
        <f>CONCATENATE(dados[[#This Row],[fator1]],dados[[#This Row],[fator5]],dados[[#This Row],[fator6]])</f>
        <v>#REF!</v>
      </c>
    </row>
    <row r="572" spans="1:23">
      <c r="A572" t="s">
        <v>17</v>
      </c>
      <c r="B572">
        <v>482275</v>
      </c>
      <c r="C572">
        <v>9</v>
      </c>
      <c r="D572">
        <v>25</v>
      </c>
      <c r="E572">
        <v>130</v>
      </c>
      <c r="F572">
        <v>3</v>
      </c>
      <c r="G572">
        <v>20</v>
      </c>
      <c r="H572">
        <v>21</v>
      </c>
      <c r="I572">
        <v>163</v>
      </c>
      <c r="J572">
        <v>0</v>
      </c>
      <c r="K572">
        <v>4.1150000000000002</v>
      </c>
      <c r="L572">
        <v>10.15</v>
      </c>
      <c r="M572">
        <v>118.36500000000001</v>
      </c>
      <c r="N572">
        <v>15.51</v>
      </c>
      <c r="O572">
        <v>1710</v>
      </c>
      <c r="P572">
        <v>0</v>
      </c>
      <c r="Q572" s="5" t="e">
        <f>IF(AND(#REF!&gt;=table!$C$6,#REF!&lt;= table!$D$6),-1,IF(AND(#REF!&gt;=table!$E$6,#REF!&lt;=table!$F$6),1,0))</f>
        <v>#REF!</v>
      </c>
      <c r="R572" s="5" t="e">
        <f>IF(AND(#REF!&gt;=table!$C$7,#REF!&lt;= table!$D$7),-1,IF(AND(#REF!&gt;=table!$E$7,#REF!&lt;=table!$F$7),1,0))</f>
        <v>#REF!</v>
      </c>
      <c r="S572" s="5" t="e">
        <f>IF(AND(#REF!&gt;=table!$C$8,#REF!&lt;= table!$D$8),-1,IF(AND(#REF!&gt;=table!$E$8,#REF!&lt;=table!$F$8),1,0))</f>
        <v>#REF!</v>
      </c>
      <c r="T572" s="5"/>
      <c r="U572" s="5" t="e">
        <f>IF(AND(#REF!&gt;=table!$C$10,#REF!&lt;= table!$D$10),-1,IF(AND(#REF!&gt;=table!$E$10,#REF!&lt;=table!$F$10),1,0))</f>
        <v>#REF!</v>
      </c>
      <c r="V572" s="5" t="e">
        <f>IF(AND(#REF!&gt;=table!$C$11,#REF!&lt;= table!$D$11),-1,IF(AND(#REF!&gt;=table!$E$11,#REF!&lt;=table!$F$11),1,0))</f>
        <v>#REF!</v>
      </c>
      <c r="W572" s="5" t="e">
        <f>CONCATENATE(dados[[#This Row],[fator1]],dados[[#This Row],[fator5]],dados[[#This Row],[fator6]])</f>
        <v>#REF!</v>
      </c>
    </row>
    <row r="573" spans="1:23">
      <c r="A573" t="s">
        <v>17</v>
      </c>
      <c r="B573">
        <v>482276</v>
      </c>
      <c r="C573">
        <v>16</v>
      </c>
      <c r="D573">
        <v>23</v>
      </c>
      <c r="E573">
        <v>145</v>
      </c>
      <c r="F573">
        <v>9</v>
      </c>
      <c r="G573">
        <v>30</v>
      </c>
      <c r="H573">
        <v>25</v>
      </c>
      <c r="I573">
        <v>664</v>
      </c>
      <c r="J573">
        <v>0</v>
      </c>
      <c r="K573">
        <v>2.665</v>
      </c>
      <c r="L573">
        <v>7.05</v>
      </c>
      <c r="M573">
        <v>139.85</v>
      </c>
      <c r="N573">
        <v>17.100000000000001</v>
      </c>
      <c r="O573">
        <v>1725</v>
      </c>
      <c r="P573">
        <v>0</v>
      </c>
      <c r="Q573" s="5" t="e">
        <f>IF(AND(#REF!&gt;=table!$C$6,#REF!&lt;= table!$D$6),-1,IF(AND(#REF!&gt;=table!$E$6,#REF!&lt;=table!$F$6),1,0))</f>
        <v>#REF!</v>
      </c>
      <c r="R573" s="5" t="e">
        <f>IF(AND(#REF!&gt;=table!$C$7,#REF!&lt;= table!$D$7),-1,IF(AND(#REF!&gt;=table!$E$7,#REF!&lt;=table!$F$7),1,0))</f>
        <v>#REF!</v>
      </c>
      <c r="S573" s="5" t="e">
        <f>IF(AND(#REF!&gt;=table!$C$8,#REF!&lt;= table!$D$8),-1,IF(AND(#REF!&gt;=table!$E$8,#REF!&lt;=table!$F$8),1,0))</f>
        <v>#REF!</v>
      </c>
      <c r="T573" s="5"/>
      <c r="U573" s="5" t="e">
        <f>IF(AND(#REF!&gt;=table!$C$10,#REF!&lt;= table!$D$10),-1,IF(AND(#REF!&gt;=table!$E$10,#REF!&lt;=table!$F$10),1,0))</f>
        <v>#REF!</v>
      </c>
      <c r="V573" s="5" t="e">
        <f>IF(AND(#REF!&gt;=table!$C$11,#REF!&lt;= table!$D$11),-1,IF(AND(#REF!&gt;=table!$E$11,#REF!&lt;=table!$F$11),1,0))</f>
        <v>#REF!</v>
      </c>
      <c r="W573" s="5" t="e">
        <f>CONCATENATE(dados[[#This Row],[fator1]],dados[[#This Row],[fator5]],dados[[#This Row],[fator6]])</f>
        <v>#REF!</v>
      </c>
    </row>
    <row r="574" spans="1:23">
      <c r="A574" t="s">
        <v>16</v>
      </c>
      <c r="B574">
        <v>482280</v>
      </c>
      <c r="C574">
        <v>0.15</v>
      </c>
      <c r="D574">
        <v>40</v>
      </c>
      <c r="E574">
        <v>10</v>
      </c>
      <c r="F574">
        <v>15</v>
      </c>
      <c r="G574">
        <v>0</v>
      </c>
      <c r="H574">
        <v>15</v>
      </c>
      <c r="I574">
        <v>601</v>
      </c>
      <c r="J574">
        <v>650</v>
      </c>
      <c r="K574">
        <v>3.31</v>
      </c>
      <c r="L574">
        <v>3.35</v>
      </c>
      <c r="M574">
        <v>3.4</v>
      </c>
      <c r="N574">
        <v>10.65</v>
      </c>
      <c r="O574">
        <v>1663</v>
      </c>
      <c r="P574">
        <v>1345</v>
      </c>
      <c r="Q574" s="5" t="e">
        <f>IF(AND(#REF!&gt;=table!$C$6,#REF!&lt;= table!$D$6),-1,IF(AND(#REF!&gt;=table!$E$6,#REF!&lt;=table!$F$6),1,0))</f>
        <v>#REF!</v>
      </c>
      <c r="R574" s="5" t="e">
        <f>IF(AND(#REF!&gt;=table!$C$7,#REF!&lt;= table!$D$7),-1,IF(AND(#REF!&gt;=table!$E$7,#REF!&lt;=table!$F$7),1,0))</f>
        <v>#REF!</v>
      </c>
      <c r="S574" s="5" t="e">
        <f>IF(AND(#REF!&gt;=table!$C$8,#REF!&lt;= table!$D$8),-1,IF(AND(#REF!&gt;=table!$E$8,#REF!&lt;=table!$F$8),1,0))</f>
        <v>#REF!</v>
      </c>
      <c r="T574" s="5"/>
      <c r="U574" s="5" t="e">
        <f>IF(AND(#REF!&gt;=table!$C$10,#REF!&lt;= table!$D$10),-1,IF(AND(#REF!&gt;=table!$E$10,#REF!&lt;=table!$F$10),1,0))</f>
        <v>#REF!</v>
      </c>
      <c r="V574" s="5" t="e">
        <f>IF(AND(#REF!&gt;=table!$C$11,#REF!&lt;= table!$D$11),-1,IF(AND(#REF!&gt;=table!$E$11,#REF!&lt;=table!$F$11),1,0))</f>
        <v>#REF!</v>
      </c>
      <c r="W574" s="5" t="e">
        <f>CONCATENATE(dados[[#This Row],[fator1]],dados[[#This Row],[fator5]],dados[[#This Row],[fator6]])</f>
        <v>#REF!</v>
      </c>
    </row>
    <row r="575" spans="1:23">
      <c r="A575" t="s">
        <v>16</v>
      </c>
      <c r="B575">
        <v>482281</v>
      </c>
      <c r="C575">
        <v>0.1</v>
      </c>
      <c r="D575">
        <v>40</v>
      </c>
      <c r="E575">
        <v>10</v>
      </c>
      <c r="F575">
        <v>8</v>
      </c>
      <c r="G575">
        <v>0</v>
      </c>
      <c r="H575">
        <v>10</v>
      </c>
      <c r="I575">
        <v>257</v>
      </c>
      <c r="J575">
        <v>0</v>
      </c>
      <c r="K575">
        <v>2.6</v>
      </c>
      <c r="L575">
        <v>3.4</v>
      </c>
      <c r="M575">
        <v>2.8000000000000003</v>
      </c>
      <c r="N575">
        <v>8.4499999999999993</v>
      </c>
      <c r="O575">
        <v>1708</v>
      </c>
      <c r="P575">
        <v>1721</v>
      </c>
      <c r="Q575" s="5" t="e">
        <f>IF(AND(#REF!&gt;=table!$C$6,#REF!&lt;= table!$D$6),-1,IF(AND(#REF!&gt;=table!$E$6,#REF!&lt;=table!$F$6),1,0))</f>
        <v>#REF!</v>
      </c>
      <c r="R575" s="5" t="e">
        <f>IF(AND(#REF!&gt;=table!$C$7,#REF!&lt;= table!$D$7),-1,IF(AND(#REF!&gt;=table!$E$7,#REF!&lt;=table!$F$7),1,0))</f>
        <v>#REF!</v>
      </c>
      <c r="S575" s="5" t="e">
        <f>IF(AND(#REF!&gt;=table!$C$8,#REF!&lt;= table!$D$8),-1,IF(AND(#REF!&gt;=table!$E$8,#REF!&lt;=table!$F$8),1,0))</f>
        <v>#REF!</v>
      </c>
      <c r="T575" s="5"/>
      <c r="U575" s="5" t="e">
        <f>IF(AND(#REF!&gt;=table!$C$10,#REF!&lt;= table!$D$10),-1,IF(AND(#REF!&gt;=table!$E$10,#REF!&lt;=table!$F$10),1,0))</f>
        <v>#REF!</v>
      </c>
      <c r="V575" s="5" t="e">
        <f>IF(AND(#REF!&gt;=table!$C$11,#REF!&lt;= table!$D$11),-1,IF(AND(#REF!&gt;=table!$E$11,#REF!&lt;=table!$F$11),1,0))</f>
        <v>#REF!</v>
      </c>
      <c r="W575" s="5" t="e">
        <f>CONCATENATE(dados[[#This Row],[fator1]],dados[[#This Row],[fator5]],dados[[#This Row],[fator6]])</f>
        <v>#REF!</v>
      </c>
    </row>
    <row r="576" spans="1:23">
      <c r="A576" t="s">
        <v>16</v>
      </c>
      <c r="B576">
        <v>482282</v>
      </c>
      <c r="C576">
        <v>0.15</v>
      </c>
      <c r="D576">
        <v>40</v>
      </c>
      <c r="E576">
        <v>10</v>
      </c>
      <c r="F576">
        <v>15</v>
      </c>
      <c r="G576">
        <v>0</v>
      </c>
      <c r="H576">
        <v>15</v>
      </c>
      <c r="I576">
        <v>1090</v>
      </c>
      <c r="J576">
        <v>0</v>
      </c>
      <c r="K576">
        <v>2.4550000000000001</v>
      </c>
      <c r="L576">
        <v>6.45</v>
      </c>
      <c r="M576">
        <v>5.9</v>
      </c>
      <c r="N576">
        <v>6.2</v>
      </c>
      <c r="O576">
        <v>1683</v>
      </c>
      <c r="P576">
        <v>1396</v>
      </c>
      <c r="Q576" s="5" t="e">
        <f>IF(AND(#REF!&gt;=table!$C$6,#REF!&lt;= table!$D$6),-1,IF(AND(#REF!&gt;=table!$E$6,#REF!&lt;=table!$F$6),1,0))</f>
        <v>#REF!</v>
      </c>
      <c r="R576" s="5" t="e">
        <f>IF(AND(#REF!&gt;=table!$C$7,#REF!&lt;= table!$D$7),-1,IF(AND(#REF!&gt;=table!$E$7,#REF!&lt;=table!$F$7),1,0))</f>
        <v>#REF!</v>
      </c>
      <c r="S576" s="5" t="e">
        <f>IF(AND(#REF!&gt;=table!$C$8,#REF!&lt;= table!$D$8),-1,IF(AND(#REF!&gt;=table!$E$8,#REF!&lt;=table!$F$8),1,0))</f>
        <v>#REF!</v>
      </c>
      <c r="T576" s="5"/>
      <c r="U576" s="5" t="e">
        <f>IF(AND(#REF!&gt;=table!$C$10,#REF!&lt;= table!$D$10),-1,IF(AND(#REF!&gt;=table!$E$10,#REF!&lt;=table!$F$10),1,0))</f>
        <v>#REF!</v>
      </c>
      <c r="V576" s="5" t="e">
        <f>IF(AND(#REF!&gt;=table!$C$11,#REF!&lt;= table!$D$11),-1,IF(AND(#REF!&gt;=table!$E$11,#REF!&lt;=table!$F$11),1,0))</f>
        <v>#REF!</v>
      </c>
      <c r="W576" s="5" t="e">
        <f>CONCATENATE(dados[[#This Row],[fator1]],dados[[#This Row],[fator5]],dados[[#This Row],[fator6]])</f>
        <v>#REF!</v>
      </c>
    </row>
    <row r="577" spans="1:23">
      <c r="A577" t="s">
        <v>16</v>
      </c>
      <c r="B577">
        <v>482283</v>
      </c>
      <c r="C577">
        <v>3</v>
      </c>
      <c r="D577">
        <v>30</v>
      </c>
      <c r="E577">
        <v>21</v>
      </c>
      <c r="F577">
        <v>15</v>
      </c>
      <c r="G577">
        <v>0</v>
      </c>
      <c r="H577">
        <v>25</v>
      </c>
      <c r="I577">
        <v>549</v>
      </c>
      <c r="J577">
        <v>0</v>
      </c>
      <c r="K577">
        <v>2.62</v>
      </c>
      <c r="L577">
        <v>10.200000000000001</v>
      </c>
      <c r="M577">
        <v>8.8000000000000007</v>
      </c>
      <c r="N577">
        <v>12.75</v>
      </c>
      <c r="O577">
        <v>1712</v>
      </c>
      <c r="P577">
        <v>1799</v>
      </c>
      <c r="Q577" s="5" t="e">
        <f>IF(AND(#REF!&gt;=table!$C$6,#REF!&lt;= table!$D$6),-1,IF(AND(#REF!&gt;=table!$E$6,#REF!&lt;=table!$F$6),1,0))</f>
        <v>#REF!</v>
      </c>
      <c r="R577" s="5" t="e">
        <f>IF(AND(#REF!&gt;=table!$C$7,#REF!&lt;= table!$D$7),-1,IF(AND(#REF!&gt;=table!$E$7,#REF!&lt;=table!$F$7),1,0))</f>
        <v>#REF!</v>
      </c>
      <c r="S577" s="5" t="e">
        <f>IF(AND(#REF!&gt;=table!$C$8,#REF!&lt;= table!$D$8),-1,IF(AND(#REF!&gt;=table!$E$8,#REF!&lt;=table!$F$8),1,0))</f>
        <v>#REF!</v>
      </c>
      <c r="T577" s="5"/>
      <c r="U577" s="5" t="e">
        <f>IF(AND(#REF!&gt;=table!$C$10,#REF!&lt;= table!$D$10),-1,IF(AND(#REF!&gt;=table!$E$10,#REF!&lt;=table!$F$10),1,0))</f>
        <v>#REF!</v>
      </c>
      <c r="V577" s="5" t="e">
        <f>IF(AND(#REF!&gt;=table!$C$11,#REF!&lt;= table!$D$11),-1,IF(AND(#REF!&gt;=table!$E$11,#REF!&lt;=table!$F$11),1,0))</f>
        <v>#REF!</v>
      </c>
      <c r="W577" s="5" t="e">
        <f>CONCATENATE(dados[[#This Row],[fator1]],dados[[#This Row],[fator5]],dados[[#This Row],[fator6]])</f>
        <v>#REF!</v>
      </c>
    </row>
    <row r="578" spans="1:23">
      <c r="A578" t="s">
        <v>16</v>
      </c>
      <c r="B578">
        <v>482296</v>
      </c>
      <c r="C578">
        <v>0.15</v>
      </c>
      <c r="D578">
        <v>35</v>
      </c>
      <c r="E578">
        <v>15</v>
      </c>
      <c r="F578">
        <v>10</v>
      </c>
      <c r="G578">
        <v>0</v>
      </c>
      <c r="H578">
        <v>12</v>
      </c>
      <c r="I578">
        <v>985</v>
      </c>
      <c r="J578">
        <v>0</v>
      </c>
      <c r="K578">
        <v>4.0950000000000006</v>
      </c>
      <c r="L578">
        <v>7.1850000000000005</v>
      </c>
      <c r="M578">
        <v>6.95</v>
      </c>
      <c r="N578">
        <v>9.5</v>
      </c>
      <c r="O578">
        <v>1707</v>
      </c>
      <c r="P578">
        <v>0</v>
      </c>
      <c r="Q578" s="5" t="e">
        <f>IF(AND(#REF!&gt;=table!$C$6,#REF!&lt;= table!$D$6),-1,IF(AND(#REF!&gt;=table!$E$6,#REF!&lt;=table!$F$6),1,0))</f>
        <v>#REF!</v>
      </c>
      <c r="R578" s="5" t="e">
        <f>IF(AND(#REF!&gt;=table!$C$7,#REF!&lt;= table!$D$7),-1,IF(AND(#REF!&gt;=table!$E$7,#REF!&lt;=table!$F$7),1,0))</f>
        <v>#REF!</v>
      </c>
      <c r="S578" s="5" t="e">
        <f>IF(AND(#REF!&gt;=table!$C$8,#REF!&lt;= table!$D$8),-1,IF(AND(#REF!&gt;=table!$E$8,#REF!&lt;=table!$F$8),1,0))</f>
        <v>#REF!</v>
      </c>
      <c r="T578" s="5"/>
      <c r="U578" s="5" t="e">
        <f>IF(AND(#REF!&gt;=table!$C$10,#REF!&lt;= table!$D$10),-1,IF(AND(#REF!&gt;=table!$E$10,#REF!&lt;=table!$F$10),1,0))</f>
        <v>#REF!</v>
      </c>
      <c r="V578" s="5" t="e">
        <f>IF(AND(#REF!&gt;=table!$C$11,#REF!&lt;= table!$D$11),-1,IF(AND(#REF!&gt;=table!$E$11,#REF!&lt;=table!$F$11),1,0))</f>
        <v>#REF!</v>
      </c>
      <c r="W578" s="5" t="e">
        <f>CONCATENATE(dados[[#This Row],[fator1]],dados[[#This Row],[fator5]],dados[[#This Row],[fator6]])</f>
        <v>#REF!</v>
      </c>
    </row>
    <row r="579" spans="1:23">
      <c r="A579" t="s">
        <v>17</v>
      </c>
      <c r="B579">
        <v>482315</v>
      </c>
      <c r="C579">
        <v>0.15</v>
      </c>
      <c r="D579">
        <v>40</v>
      </c>
      <c r="E579">
        <v>105</v>
      </c>
      <c r="F579">
        <v>10</v>
      </c>
      <c r="G579">
        <v>10</v>
      </c>
      <c r="H579">
        <v>80</v>
      </c>
      <c r="I579">
        <v>1161</v>
      </c>
      <c r="J579">
        <v>0</v>
      </c>
      <c r="K579">
        <v>4.71</v>
      </c>
      <c r="L579">
        <v>13.4</v>
      </c>
      <c r="M579">
        <v>13.1</v>
      </c>
      <c r="N579">
        <v>17.75</v>
      </c>
      <c r="O579">
        <v>1686</v>
      </c>
      <c r="P579">
        <v>0</v>
      </c>
      <c r="Q579" s="5" t="e">
        <f>IF(AND(#REF!&gt;=table!$C$6,#REF!&lt;= table!$D$6),-1,IF(AND(#REF!&gt;=table!$E$6,#REF!&lt;=table!$F$6),1,0))</f>
        <v>#REF!</v>
      </c>
      <c r="R579" s="5" t="e">
        <f>IF(AND(#REF!&gt;=table!$C$7,#REF!&lt;= table!$D$7),-1,IF(AND(#REF!&gt;=table!$E$7,#REF!&lt;=table!$F$7),1,0))</f>
        <v>#REF!</v>
      </c>
      <c r="S579" s="5" t="e">
        <f>IF(AND(#REF!&gt;=table!$C$8,#REF!&lt;= table!$D$8),-1,IF(AND(#REF!&gt;=table!$E$8,#REF!&lt;=table!$F$8),1,0))</f>
        <v>#REF!</v>
      </c>
      <c r="T579" s="5"/>
      <c r="U579" s="5" t="e">
        <f>IF(AND(#REF!&gt;=table!$C$10,#REF!&lt;= table!$D$10),-1,IF(AND(#REF!&gt;=table!$E$10,#REF!&lt;=table!$F$10),1,0))</f>
        <v>#REF!</v>
      </c>
      <c r="V579" s="5" t="e">
        <f>IF(AND(#REF!&gt;=table!$C$11,#REF!&lt;= table!$D$11),-1,IF(AND(#REF!&gt;=table!$E$11,#REF!&lt;=table!$F$11),1,0))</f>
        <v>#REF!</v>
      </c>
      <c r="W579" s="5" t="e">
        <f>CONCATENATE(dados[[#This Row],[fator1]],dados[[#This Row],[fator5]],dados[[#This Row],[fator6]])</f>
        <v>#REF!</v>
      </c>
    </row>
    <row r="580" spans="1:23">
      <c r="A580" t="s">
        <v>16</v>
      </c>
      <c r="B580">
        <v>482322</v>
      </c>
      <c r="C580">
        <v>0.2</v>
      </c>
      <c r="D580">
        <v>65</v>
      </c>
      <c r="E580">
        <v>26</v>
      </c>
      <c r="F580">
        <v>15</v>
      </c>
      <c r="G580">
        <v>0</v>
      </c>
      <c r="H580">
        <v>30</v>
      </c>
      <c r="I580">
        <v>620</v>
      </c>
      <c r="J580">
        <v>0</v>
      </c>
      <c r="K580">
        <v>2.3850000000000002</v>
      </c>
      <c r="L580">
        <v>4.4000000000000004</v>
      </c>
      <c r="M580">
        <v>4.75</v>
      </c>
      <c r="N580">
        <v>9.3000000000000007</v>
      </c>
      <c r="O580">
        <v>1665</v>
      </c>
      <c r="P580">
        <v>0</v>
      </c>
      <c r="Q580" s="5" t="e">
        <f>IF(AND(#REF!&gt;=table!$C$6,#REF!&lt;= table!$D$6),-1,IF(AND(#REF!&gt;=table!$E$6,#REF!&lt;=table!$F$6),1,0))</f>
        <v>#REF!</v>
      </c>
      <c r="R580" s="5" t="e">
        <f>IF(AND(#REF!&gt;=table!$C$7,#REF!&lt;= table!$D$7),-1,IF(AND(#REF!&gt;=table!$E$7,#REF!&lt;=table!$F$7),1,0))</f>
        <v>#REF!</v>
      </c>
      <c r="S580" s="5" t="e">
        <f>IF(AND(#REF!&gt;=table!$C$8,#REF!&lt;= table!$D$8),-1,IF(AND(#REF!&gt;=table!$E$8,#REF!&lt;=table!$F$8),1,0))</f>
        <v>#REF!</v>
      </c>
      <c r="T580" s="5"/>
      <c r="U580" s="5" t="e">
        <f>IF(AND(#REF!&gt;=table!$C$10,#REF!&lt;= table!$D$10),-1,IF(AND(#REF!&gt;=table!$E$10,#REF!&lt;=table!$F$10),1,0))</f>
        <v>#REF!</v>
      </c>
      <c r="V580" s="5" t="e">
        <f>IF(AND(#REF!&gt;=table!$C$11,#REF!&lt;= table!$D$11),-1,IF(AND(#REF!&gt;=table!$E$11,#REF!&lt;=table!$F$11),1,0))</f>
        <v>#REF!</v>
      </c>
      <c r="W580" s="5" t="e">
        <f>CONCATENATE(dados[[#This Row],[fator1]],dados[[#This Row],[fator5]],dados[[#This Row],[fator6]])</f>
        <v>#REF!</v>
      </c>
    </row>
    <row r="581" spans="1:23">
      <c r="A581" t="s">
        <v>16</v>
      </c>
      <c r="B581">
        <v>482332</v>
      </c>
      <c r="C581">
        <v>16</v>
      </c>
      <c r="D581">
        <v>35</v>
      </c>
      <c r="E581">
        <v>56</v>
      </c>
      <c r="F581">
        <v>10</v>
      </c>
      <c r="G581">
        <v>0</v>
      </c>
      <c r="H581">
        <v>25</v>
      </c>
      <c r="I581">
        <v>1238</v>
      </c>
      <c r="J581">
        <v>0</v>
      </c>
      <c r="K581">
        <v>6.61</v>
      </c>
      <c r="L581">
        <v>18.2</v>
      </c>
      <c r="M581">
        <v>50.9</v>
      </c>
      <c r="N581">
        <v>19.3</v>
      </c>
      <c r="O581">
        <v>1677</v>
      </c>
      <c r="P581">
        <v>351</v>
      </c>
      <c r="Q581" s="5" t="e">
        <f>IF(AND(#REF!&gt;=table!$C$6,#REF!&lt;= table!$D$6),-1,IF(AND(#REF!&gt;=table!$E$6,#REF!&lt;=table!$F$6),1,0))</f>
        <v>#REF!</v>
      </c>
      <c r="R581" s="5" t="e">
        <f>IF(AND(#REF!&gt;=table!$C$7,#REF!&lt;= table!$D$7),-1,IF(AND(#REF!&gt;=table!$E$7,#REF!&lt;=table!$F$7),1,0))</f>
        <v>#REF!</v>
      </c>
      <c r="S581" s="5" t="e">
        <f>IF(AND(#REF!&gt;=table!$C$8,#REF!&lt;= table!$D$8),-1,IF(AND(#REF!&gt;=table!$E$8,#REF!&lt;=table!$F$8),1,0))</f>
        <v>#REF!</v>
      </c>
      <c r="T581" s="5"/>
      <c r="U581" s="5" t="e">
        <f>IF(AND(#REF!&gt;=table!$C$10,#REF!&lt;= table!$D$10),-1,IF(AND(#REF!&gt;=table!$E$10,#REF!&lt;=table!$F$10),1,0))</f>
        <v>#REF!</v>
      </c>
      <c r="V581" s="5" t="e">
        <f>IF(AND(#REF!&gt;=table!$C$11,#REF!&lt;= table!$D$11),-1,IF(AND(#REF!&gt;=table!$E$11,#REF!&lt;=table!$F$11),1,0))</f>
        <v>#REF!</v>
      </c>
      <c r="W581" s="5" t="e">
        <f>CONCATENATE(dados[[#This Row],[fator1]],dados[[#This Row],[fator5]],dados[[#This Row],[fator6]])</f>
        <v>#REF!</v>
      </c>
    </row>
    <row r="582" spans="1:23">
      <c r="A582" t="s">
        <v>16</v>
      </c>
      <c r="B582">
        <v>482333</v>
      </c>
      <c r="C582">
        <v>16</v>
      </c>
      <c r="D582">
        <v>35</v>
      </c>
      <c r="E582">
        <v>56</v>
      </c>
      <c r="F582">
        <v>10</v>
      </c>
      <c r="G582">
        <v>0</v>
      </c>
      <c r="H582">
        <v>25</v>
      </c>
      <c r="I582">
        <v>1299</v>
      </c>
      <c r="J582">
        <v>0</v>
      </c>
      <c r="K582">
        <v>5.17</v>
      </c>
      <c r="L582">
        <v>11</v>
      </c>
      <c r="M582">
        <v>46.6</v>
      </c>
      <c r="N582">
        <v>13.200000000000001</v>
      </c>
      <c r="O582">
        <v>1683</v>
      </c>
      <c r="P582">
        <v>641</v>
      </c>
      <c r="Q582" s="5" t="e">
        <f>IF(AND(#REF!&gt;=table!$C$6,#REF!&lt;= table!$D$6),-1,IF(AND(#REF!&gt;=table!$E$6,#REF!&lt;=table!$F$6),1,0))</f>
        <v>#REF!</v>
      </c>
      <c r="R582" s="5" t="e">
        <f>IF(AND(#REF!&gt;=table!$C$7,#REF!&lt;= table!$D$7),-1,IF(AND(#REF!&gt;=table!$E$7,#REF!&lt;=table!$F$7),1,0))</f>
        <v>#REF!</v>
      </c>
      <c r="S582" s="5" t="e">
        <f>IF(AND(#REF!&gt;=table!$C$8,#REF!&lt;= table!$D$8),-1,IF(AND(#REF!&gt;=table!$E$8,#REF!&lt;=table!$F$8),1,0))</f>
        <v>#REF!</v>
      </c>
      <c r="T582" s="5"/>
      <c r="U582" s="5" t="e">
        <f>IF(AND(#REF!&gt;=table!$C$10,#REF!&lt;= table!$D$10),-1,IF(AND(#REF!&gt;=table!$E$10,#REF!&lt;=table!$F$10),1,0))</f>
        <v>#REF!</v>
      </c>
      <c r="V582" s="5" t="e">
        <f>IF(AND(#REF!&gt;=table!$C$11,#REF!&lt;= table!$D$11),-1,IF(AND(#REF!&gt;=table!$E$11,#REF!&lt;=table!$F$11),1,0))</f>
        <v>#REF!</v>
      </c>
      <c r="W582" s="5" t="e">
        <f>CONCATENATE(dados[[#This Row],[fator1]],dados[[#This Row],[fator5]],dados[[#This Row],[fator6]])</f>
        <v>#REF!</v>
      </c>
    </row>
    <row r="583" spans="1:23">
      <c r="A583" t="s">
        <v>16</v>
      </c>
      <c r="B583">
        <v>482336</v>
      </c>
      <c r="C583">
        <v>16</v>
      </c>
      <c r="D583">
        <v>30</v>
      </c>
      <c r="E583">
        <v>36</v>
      </c>
      <c r="F583">
        <v>3</v>
      </c>
      <c r="G583">
        <v>0</v>
      </c>
      <c r="H583">
        <v>25</v>
      </c>
      <c r="I583">
        <v>864</v>
      </c>
      <c r="J583">
        <v>0</v>
      </c>
      <c r="K583">
        <v>4.43</v>
      </c>
      <c r="L583">
        <v>10.8</v>
      </c>
      <c r="M583">
        <v>30.305</v>
      </c>
      <c r="N583">
        <v>14.63</v>
      </c>
      <c r="O583">
        <v>1668</v>
      </c>
      <c r="P583">
        <v>736</v>
      </c>
      <c r="Q583" s="5" t="e">
        <f>IF(AND(#REF!&gt;=table!$C$6,#REF!&lt;= table!$D$6),-1,IF(AND(#REF!&gt;=table!$E$6,#REF!&lt;=table!$F$6),1,0))</f>
        <v>#REF!</v>
      </c>
      <c r="R583" s="5" t="e">
        <f>IF(AND(#REF!&gt;=table!$C$7,#REF!&lt;= table!$D$7),-1,IF(AND(#REF!&gt;=table!$E$7,#REF!&lt;=table!$F$7),1,0))</f>
        <v>#REF!</v>
      </c>
      <c r="S583" s="5" t="e">
        <f>IF(AND(#REF!&gt;=table!$C$8,#REF!&lt;= table!$D$8),-1,IF(AND(#REF!&gt;=table!$E$8,#REF!&lt;=table!$F$8),1,0))</f>
        <v>#REF!</v>
      </c>
      <c r="T583" s="5"/>
      <c r="U583" s="5" t="e">
        <f>IF(AND(#REF!&gt;=table!$C$10,#REF!&lt;= table!$D$10),-1,IF(AND(#REF!&gt;=table!$E$10,#REF!&lt;=table!$F$10),1,0))</f>
        <v>#REF!</v>
      </c>
      <c r="V583" s="5" t="e">
        <f>IF(AND(#REF!&gt;=table!$C$11,#REF!&lt;= table!$D$11),-1,IF(AND(#REF!&gt;=table!$E$11,#REF!&lt;=table!$F$11),1,0))</f>
        <v>#REF!</v>
      </c>
      <c r="W583" s="5" t="e">
        <f>CONCATENATE(dados[[#This Row],[fator1]],dados[[#This Row],[fator5]],dados[[#This Row],[fator6]])</f>
        <v>#REF!</v>
      </c>
    </row>
    <row r="584" spans="1:23">
      <c r="A584" t="s">
        <v>16</v>
      </c>
      <c r="B584">
        <v>482337</v>
      </c>
      <c r="C584">
        <v>16</v>
      </c>
      <c r="D584">
        <v>30</v>
      </c>
      <c r="E584">
        <v>36</v>
      </c>
      <c r="F584">
        <v>3</v>
      </c>
      <c r="G584">
        <v>0</v>
      </c>
      <c r="H584">
        <v>25</v>
      </c>
      <c r="I584">
        <v>1389</v>
      </c>
      <c r="J584">
        <v>0</v>
      </c>
      <c r="K584">
        <v>4.3899999999999997</v>
      </c>
      <c r="L584">
        <v>10.700000000000001</v>
      </c>
      <c r="M584">
        <v>31.650000000000002</v>
      </c>
      <c r="N584">
        <v>14.4</v>
      </c>
      <c r="O584">
        <v>1698</v>
      </c>
      <c r="P584">
        <v>991</v>
      </c>
      <c r="Q584" s="5" t="e">
        <f>IF(AND(#REF!&gt;=table!$C$6,#REF!&lt;= table!$D$6),-1,IF(AND(#REF!&gt;=table!$E$6,#REF!&lt;=table!$F$6),1,0))</f>
        <v>#REF!</v>
      </c>
      <c r="R584" s="5" t="e">
        <f>IF(AND(#REF!&gt;=table!$C$7,#REF!&lt;= table!$D$7),-1,IF(AND(#REF!&gt;=table!$E$7,#REF!&lt;=table!$F$7),1,0))</f>
        <v>#REF!</v>
      </c>
      <c r="S584" s="5" t="e">
        <f>IF(AND(#REF!&gt;=table!$C$8,#REF!&lt;= table!$D$8),-1,IF(AND(#REF!&gt;=table!$E$8,#REF!&lt;=table!$F$8),1,0))</f>
        <v>#REF!</v>
      </c>
      <c r="T584" s="5"/>
      <c r="U584" s="5" t="e">
        <f>IF(AND(#REF!&gt;=table!$C$10,#REF!&lt;= table!$D$10),-1,IF(AND(#REF!&gt;=table!$E$10,#REF!&lt;=table!$F$10),1,0))</f>
        <v>#REF!</v>
      </c>
      <c r="V584" s="5" t="e">
        <f>IF(AND(#REF!&gt;=table!$C$11,#REF!&lt;= table!$D$11),-1,IF(AND(#REF!&gt;=table!$E$11,#REF!&lt;=table!$F$11),1,0))</f>
        <v>#REF!</v>
      </c>
      <c r="W584" s="5" t="e">
        <f>CONCATENATE(dados[[#This Row],[fator1]],dados[[#This Row],[fator5]],dados[[#This Row],[fator6]])</f>
        <v>#REF!</v>
      </c>
    </row>
    <row r="585" spans="1:23">
      <c r="A585" t="s">
        <v>16</v>
      </c>
      <c r="B585">
        <v>482338</v>
      </c>
      <c r="C585">
        <v>16</v>
      </c>
      <c r="D585">
        <v>35</v>
      </c>
      <c r="E585">
        <v>36</v>
      </c>
      <c r="F585">
        <v>10</v>
      </c>
      <c r="G585">
        <v>0</v>
      </c>
      <c r="H585">
        <v>25</v>
      </c>
      <c r="I585">
        <v>1120</v>
      </c>
      <c r="J585">
        <v>0</v>
      </c>
      <c r="K585">
        <v>5.33</v>
      </c>
      <c r="L585">
        <v>8.7650000000000006</v>
      </c>
      <c r="M585">
        <v>33.590000000000003</v>
      </c>
      <c r="N585">
        <v>14.355</v>
      </c>
      <c r="O585">
        <v>1670</v>
      </c>
      <c r="P585">
        <v>939</v>
      </c>
      <c r="Q585" s="5" t="e">
        <f>IF(AND(#REF!&gt;=table!$C$6,#REF!&lt;= table!$D$6),-1,IF(AND(#REF!&gt;=table!$E$6,#REF!&lt;=table!$F$6),1,0))</f>
        <v>#REF!</v>
      </c>
      <c r="R585" s="5" t="e">
        <f>IF(AND(#REF!&gt;=table!$C$7,#REF!&lt;= table!$D$7),-1,IF(AND(#REF!&gt;=table!$E$7,#REF!&lt;=table!$F$7),1,0))</f>
        <v>#REF!</v>
      </c>
      <c r="S585" s="5" t="e">
        <f>IF(AND(#REF!&gt;=table!$C$8,#REF!&lt;= table!$D$8),-1,IF(AND(#REF!&gt;=table!$E$8,#REF!&lt;=table!$F$8),1,0))</f>
        <v>#REF!</v>
      </c>
      <c r="T585" s="5"/>
      <c r="U585" s="5" t="e">
        <f>IF(AND(#REF!&gt;=table!$C$10,#REF!&lt;= table!$D$10),-1,IF(AND(#REF!&gt;=table!$E$10,#REF!&lt;=table!$F$10),1,0))</f>
        <v>#REF!</v>
      </c>
      <c r="V585" s="5" t="e">
        <f>IF(AND(#REF!&gt;=table!$C$11,#REF!&lt;= table!$D$11),-1,IF(AND(#REF!&gt;=table!$E$11,#REF!&lt;=table!$F$11),1,0))</f>
        <v>#REF!</v>
      </c>
      <c r="W585" s="5" t="e">
        <f>CONCATENATE(dados[[#This Row],[fator1]],dados[[#This Row],[fator5]],dados[[#This Row],[fator6]])</f>
        <v>#REF!</v>
      </c>
    </row>
    <row r="586" spans="1:23">
      <c r="A586" t="s">
        <v>17</v>
      </c>
      <c r="B586">
        <v>482340</v>
      </c>
      <c r="C586">
        <v>16</v>
      </c>
      <c r="D586">
        <v>25</v>
      </c>
      <c r="E586">
        <v>56</v>
      </c>
      <c r="F586">
        <v>10</v>
      </c>
      <c r="G586">
        <v>13</v>
      </c>
      <c r="H586">
        <v>25</v>
      </c>
      <c r="I586">
        <v>690</v>
      </c>
      <c r="J586">
        <v>0</v>
      </c>
      <c r="K586">
        <v>4.84</v>
      </c>
      <c r="L586">
        <v>7.915</v>
      </c>
      <c r="M586">
        <v>48.61</v>
      </c>
      <c r="N586">
        <v>14.89</v>
      </c>
      <c r="O586">
        <v>1690</v>
      </c>
      <c r="P586">
        <v>876</v>
      </c>
      <c r="Q586" s="5" t="e">
        <f>IF(AND(#REF!&gt;=table!$C$6,#REF!&lt;= table!$D$6),-1,IF(AND(#REF!&gt;=table!$E$6,#REF!&lt;=table!$F$6),1,0))</f>
        <v>#REF!</v>
      </c>
      <c r="R586" s="5" t="e">
        <f>IF(AND(#REF!&gt;=table!$C$7,#REF!&lt;= table!$D$7),-1,IF(AND(#REF!&gt;=table!$E$7,#REF!&lt;=table!$F$7),1,0))</f>
        <v>#REF!</v>
      </c>
      <c r="S586" s="5" t="e">
        <f>IF(AND(#REF!&gt;=table!$C$8,#REF!&lt;= table!$D$8),-1,IF(AND(#REF!&gt;=table!$E$8,#REF!&lt;=table!$F$8),1,0))</f>
        <v>#REF!</v>
      </c>
      <c r="T586" s="5"/>
      <c r="U586" s="5" t="e">
        <f>IF(AND(#REF!&gt;=table!$C$10,#REF!&lt;= table!$D$10),-1,IF(AND(#REF!&gt;=table!$E$10,#REF!&lt;=table!$F$10),1,0))</f>
        <v>#REF!</v>
      </c>
      <c r="V586" s="5" t="e">
        <f>IF(AND(#REF!&gt;=table!$C$11,#REF!&lt;= table!$D$11),-1,IF(AND(#REF!&gt;=table!$E$11,#REF!&lt;=table!$F$11),1,0))</f>
        <v>#REF!</v>
      </c>
      <c r="W586" s="5" t="e">
        <f>CONCATENATE(dados[[#This Row],[fator1]],dados[[#This Row],[fator5]],dados[[#This Row],[fator6]])</f>
        <v>#REF!</v>
      </c>
    </row>
    <row r="587" spans="1:23">
      <c r="A587" t="s">
        <v>17</v>
      </c>
      <c r="B587">
        <v>482341</v>
      </c>
      <c r="C587">
        <v>16</v>
      </c>
      <c r="D587">
        <v>25</v>
      </c>
      <c r="E587">
        <v>56</v>
      </c>
      <c r="F587">
        <v>10</v>
      </c>
      <c r="G587">
        <v>13</v>
      </c>
      <c r="H587">
        <v>25</v>
      </c>
      <c r="I587">
        <v>1188</v>
      </c>
      <c r="J587">
        <v>0</v>
      </c>
      <c r="K587">
        <v>2.7505000000000002</v>
      </c>
      <c r="L587">
        <v>7.92</v>
      </c>
      <c r="M587">
        <v>47.300000000000004</v>
      </c>
      <c r="N587">
        <v>18.100000000000001</v>
      </c>
      <c r="O587">
        <v>1703</v>
      </c>
      <c r="P587">
        <v>1390</v>
      </c>
      <c r="Q587" s="5" t="e">
        <f>IF(AND(#REF!&gt;=table!$C$6,#REF!&lt;= table!$D$6),-1,IF(AND(#REF!&gt;=table!$E$6,#REF!&lt;=table!$F$6),1,0))</f>
        <v>#REF!</v>
      </c>
      <c r="R587" s="5" t="e">
        <f>IF(AND(#REF!&gt;=table!$C$7,#REF!&lt;= table!$D$7),-1,IF(AND(#REF!&gt;=table!$E$7,#REF!&lt;=table!$F$7),1,0))</f>
        <v>#REF!</v>
      </c>
      <c r="S587" s="5" t="e">
        <f>IF(AND(#REF!&gt;=table!$C$8,#REF!&lt;= table!$D$8),-1,IF(AND(#REF!&gt;=table!$E$8,#REF!&lt;=table!$F$8),1,0))</f>
        <v>#REF!</v>
      </c>
      <c r="T587" s="5"/>
      <c r="U587" s="5" t="e">
        <f>IF(AND(#REF!&gt;=table!$C$10,#REF!&lt;= table!$D$10),-1,IF(AND(#REF!&gt;=table!$E$10,#REF!&lt;=table!$F$10),1,0))</f>
        <v>#REF!</v>
      </c>
      <c r="V587" s="5" t="e">
        <f>IF(AND(#REF!&gt;=table!$C$11,#REF!&lt;= table!$D$11),-1,IF(AND(#REF!&gt;=table!$E$11,#REF!&lt;=table!$F$11),1,0))</f>
        <v>#REF!</v>
      </c>
      <c r="W587" s="5" t="e">
        <f>CONCATENATE(dados[[#This Row],[fator1]],dados[[#This Row],[fator5]],dados[[#This Row],[fator6]])</f>
        <v>#REF!</v>
      </c>
    </row>
    <row r="588" spans="1:23">
      <c r="A588" t="s">
        <v>17</v>
      </c>
      <c r="B588">
        <v>482343</v>
      </c>
      <c r="C588">
        <v>14</v>
      </c>
      <c r="D588">
        <v>30</v>
      </c>
      <c r="E588">
        <v>66</v>
      </c>
      <c r="F588">
        <v>9</v>
      </c>
      <c r="G588">
        <v>20</v>
      </c>
      <c r="H588">
        <v>25</v>
      </c>
      <c r="I588">
        <v>859</v>
      </c>
      <c r="J588">
        <v>0</v>
      </c>
      <c r="K588">
        <v>3.8250000000000002</v>
      </c>
      <c r="L588">
        <v>8.1650000000000009</v>
      </c>
      <c r="M588">
        <v>7.23</v>
      </c>
      <c r="N588">
        <v>11.055</v>
      </c>
      <c r="O588">
        <v>1699</v>
      </c>
      <c r="P588">
        <v>1436</v>
      </c>
      <c r="Q588" s="5" t="e">
        <f>IF(AND(#REF!&gt;=table!$C$6,#REF!&lt;= table!$D$6),-1,IF(AND(#REF!&gt;=table!$E$6,#REF!&lt;=table!$F$6),1,0))</f>
        <v>#REF!</v>
      </c>
      <c r="R588" s="5" t="e">
        <f>IF(AND(#REF!&gt;=table!$C$7,#REF!&lt;= table!$D$7),-1,IF(AND(#REF!&gt;=table!$E$7,#REF!&lt;=table!$F$7),1,0))</f>
        <v>#REF!</v>
      </c>
      <c r="S588" s="5" t="e">
        <f>IF(AND(#REF!&gt;=table!$C$8,#REF!&lt;= table!$D$8),-1,IF(AND(#REF!&gt;=table!$E$8,#REF!&lt;=table!$F$8),1,0))</f>
        <v>#REF!</v>
      </c>
      <c r="T588" s="5"/>
      <c r="U588" s="5" t="e">
        <f>IF(AND(#REF!&gt;=table!$C$10,#REF!&lt;= table!$D$10),-1,IF(AND(#REF!&gt;=table!$E$10,#REF!&lt;=table!$F$10),1,0))</f>
        <v>#REF!</v>
      </c>
      <c r="V588" s="5" t="e">
        <f>IF(AND(#REF!&gt;=table!$C$11,#REF!&lt;= table!$D$11),-1,IF(AND(#REF!&gt;=table!$E$11,#REF!&lt;=table!$F$11),1,0))</f>
        <v>#REF!</v>
      </c>
      <c r="W588" s="5" t="e">
        <f>CONCATENATE(dados[[#This Row],[fator1]],dados[[#This Row],[fator5]],dados[[#This Row],[fator6]])</f>
        <v>#REF!</v>
      </c>
    </row>
    <row r="589" spans="1:23">
      <c r="A589" t="s">
        <v>17</v>
      </c>
      <c r="B589">
        <v>482344</v>
      </c>
      <c r="C589">
        <v>14</v>
      </c>
      <c r="D589">
        <v>30</v>
      </c>
      <c r="E589">
        <v>86</v>
      </c>
      <c r="F589">
        <v>9</v>
      </c>
      <c r="G589">
        <v>20</v>
      </c>
      <c r="H589">
        <v>25</v>
      </c>
      <c r="I589">
        <v>56</v>
      </c>
      <c r="J589">
        <v>0</v>
      </c>
      <c r="K589">
        <v>6.44</v>
      </c>
      <c r="L589">
        <v>7.4350000000000005</v>
      </c>
      <c r="M589">
        <v>73.430000000000007</v>
      </c>
      <c r="N589">
        <v>15.120000000000001</v>
      </c>
      <c r="O589">
        <v>1685</v>
      </c>
      <c r="P589">
        <v>886</v>
      </c>
      <c r="Q589" s="5" t="e">
        <f>IF(AND(#REF!&gt;=table!$C$6,#REF!&lt;= table!$D$6),-1,IF(AND(#REF!&gt;=table!$E$6,#REF!&lt;=table!$F$6),1,0))</f>
        <v>#REF!</v>
      </c>
      <c r="R589" s="5" t="e">
        <f>IF(AND(#REF!&gt;=table!$C$7,#REF!&lt;= table!$D$7),-1,IF(AND(#REF!&gt;=table!$E$7,#REF!&lt;=table!$F$7),1,0))</f>
        <v>#REF!</v>
      </c>
      <c r="S589" s="5" t="e">
        <f>IF(AND(#REF!&gt;=table!$C$8,#REF!&lt;= table!$D$8),-1,IF(AND(#REF!&gt;=table!$E$8,#REF!&lt;=table!$F$8),1,0))</f>
        <v>#REF!</v>
      </c>
      <c r="T589" s="5"/>
      <c r="U589" s="5" t="e">
        <f>IF(AND(#REF!&gt;=table!$C$10,#REF!&lt;= table!$D$10),-1,IF(AND(#REF!&gt;=table!$E$10,#REF!&lt;=table!$F$10),1,0))</f>
        <v>#REF!</v>
      </c>
      <c r="V589" s="5" t="e">
        <f>IF(AND(#REF!&gt;=table!$C$11,#REF!&lt;= table!$D$11),-1,IF(AND(#REF!&gt;=table!$E$11,#REF!&lt;=table!$F$11),1,0))</f>
        <v>#REF!</v>
      </c>
      <c r="W589" s="5" t="e">
        <f>CONCATENATE(dados[[#This Row],[fator1]],dados[[#This Row],[fator5]],dados[[#This Row],[fator6]])</f>
        <v>#REF!</v>
      </c>
    </row>
    <row r="590" spans="1:23">
      <c r="A590" t="s">
        <v>17</v>
      </c>
      <c r="B590">
        <v>482345</v>
      </c>
      <c r="C590">
        <v>14</v>
      </c>
      <c r="D590">
        <v>30</v>
      </c>
      <c r="E590">
        <v>86</v>
      </c>
      <c r="F590">
        <v>9</v>
      </c>
      <c r="G590">
        <v>20</v>
      </c>
      <c r="H590">
        <v>25</v>
      </c>
      <c r="I590">
        <v>1</v>
      </c>
      <c r="J590">
        <v>0</v>
      </c>
      <c r="K590">
        <v>7.09</v>
      </c>
      <c r="L590">
        <v>15.505000000000001</v>
      </c>
      <c r="M590">
        <v>106.52500000000001</v>
      </c>
      <c r="N590">
        <v>24.03</v>
      </c>
      <c r="O590">
        <v>1677</v>
      </c>
      <c r="P590">
        <v>645</v>
      </c>
      <c r="Q590" s="5" t="e">
        <f>IF(AND(#REF!&gt;=table!$C$6,#REF!&lt;= table!$D$6),-1,IF(AND(#REF!&gt;=table!$E$6,#REF!&lt;=table!$F$6),1,0))</f>
        <v>#REF!</v>
      </c>
      <c r="R590" s="5" t="e">
        <f>IF(AND(#REF!&gt;=table!$C$7,#REF!&lt;= table!$D$7),-1,IF(AND(#REF!&gt;=table!$E$7,#REF!&lt;=table!$F$7),1,0))</f>
        <v>#REF!</v>
      </c>
      <c r="S590" s="5" t="e">
        <f>IF(AND(#REF!&gt;=table!$C$8,#REF!&lt;= table!$D$8),-1,IF(AND(#REF!&gt;=table!$E$8,#REF!&lt;=table!$F$8),1,0))</f>
        <v>#REF!</v>
      </c>
      <c r="T590" s="5"/>
      <c r="U590" s="5" t="e">
        <f>IF(AND(#REF!&gt;=table!$C$10,#REF!&lt;= table!$D$10),-1,IF(AND(#REF!&gt;=table!$E$10,#REF!&lt;=table!$F$10),1,0))</f>
        <v>#REF!</v>
      </c>
      <c r="V590" s="5" t="e">
        <f>IF(AND(#REF!&gt;=table!$C$11,#REF!&lt;= table!$D$11),-1,IF(AND(#REF!&gt;=table!$E$11,#REF!&lt;=table!$F$11),1,0))</f>
        <v>#REF!</v>
      </c>
      <c r="W590" s="5" t="e">
        <f>CONCATENATE(dados[[#This Row],[fator1]],dados[[#This Row],[fator5]],dados[[#This Row],[fator6]])</f>
        <v>#REF!</v>
      </c>
    </row>
    <row r="591" spans="1:23">
      <c r="A591" t="s">
        <v>17</v>
      </c>
      <c r="B591">
        <v>482346</v>
      </c>
      <c r="C591">
        <v>14</v>
      </c>
      <c r="D591">
        <v>30</v>
      </c>
      <c r="E591">
        <v>66</v>
      </c>
      <c r="F591">
        <v>9</v>
      </c>
      <c r="G591">
        <v>20</v>
      </c>
      <c r="H591">
        <v>25</v>
      </c>
      <c r="I591">
        <v>611</v>
      </c>
      <c r="J591">
        <v>0</v>
      </c>
      <c r="K591">
        <v>9.52</v>
      </c>
      <c r="L591">
        <v>17.650000000000002</v>
      </c>
      <c r="M591">
        <v>58.75</v>
      </c>
      <c r="N591">
        <v>21.22</v>
      </c>
      <c r="O591">
        <v>1668</v>
      </c>
      <c r="P591">
        <v>381</v>
      </c>
      <c r="Q591" s="5" t="e">
        <f>IF(AND(#REF!&gt;=table!$C$6,#REF!&lt;= table!$D$6),-1,IF(AND(#REF!&gt;=table!$E$6,#REF!&lt;=table!$F$6),1,0))</f>
        <v>#REF!</v>
      </c>
      <c r="R591" s="5" t="e">
        <f>IF(AND(#REF!&gt;=table!$C$7,#REF!&lt;= table!$D$7),-1,IF(AND(#REF!&gt;=table!$E$7,#REF!&lt;=table!$F$7),1,0))</f>
        <v>#REF!</v>
      </c>
      <c r="S591" s="5" t="e">
        <f>IF(AND(#REF!&gt;=table!$C$8,#REF!&lt;= table!$D$8),-1,IF(AND(#REF!&gt;=table!$E$8,#REF!&lt;=table!$F$8),1,0))</f>
        <v>#REF!</v>
      </c>
      <c r="T591" s="5"/>
      <c r="U591" s="5" t="e">
        <f>IF(AND(#REF!&gt;=table!$C$10,#REF!&lt;= table!$D$10),-1,IF(AND(#REF!&gt;=table!$E$10,#REF!&lt;=table!$F$10),1,0))</f>
        <v>#REF!</v>
      </c>
      <c r="V591" s="5" t="e">
        <f>IF(AND(#REF!&gt;=table!$C$11,#REF!&lt;= table!$D$11),-1,IF(AND(#REF!&gt;=table!$E$11,#REF!&lt;=table!$F$11),1,0))</f>
        <v>#REF!</v>
      </c>
      <c r="W591" s="5" t="e">
        <f>CONCATENATE(dados[[#This Row],[fator1]],dados[[#This Row],[fator5]],dados[[#This Row],[fator6]])</f>
        <v>#REF!</v>
      </c>
    </row>
    <row r="592" spans="1:23">
      <c r="A592" t="s">
        <v>17</v>
      </c>
      <c r="B592">
        <v>482347</v>
      </c>
      <c r="C592">
        <v>14</v>
      </c>
      <c r="D592">
        <v>30</v>
      </c>
      <c r="E592">
        <v>70</v>
      </c>
      <c r="F592">
        <v>9</v>
      </c>
      <c r="G592">
        <v>20</v>
      </c>
      <c r="H592">
        <v>25</v>
      </c>
      <c r="I592">
        <v>1114</v>
      </c>
      <c r="J592">
        <v>0</v>
      </c>
      <c r="K592">
        <v>18.135000000000002</v>
      </c>
      <c r="L592">
        <v>12.52</v>
      </c>
      <c r="M592">
        <v>30.580000000000002</v>
      </c>
      <c r="N592">
        <v>13.49</v>
      </c>
      <c r="O592">
        <v>1672</v>
      </c>
      <c r="P592">
        <v>228</v>
      </c>
      <c r="Q592" s="5" t="e">
        <f>IF(AND(#REF!&gt;=table!$C$6,#REF!&lt;= table!$D$6),-1,IF(AND(#REF!&gt;=table!$E$6,#REF!&lt;=table!$F$6),1,0))</f>
        <v>#REF!</v>
      </c>
      <c r="R592" s="5" t="e">
        <f>IF(AND(#REF!&gt;=table!$C$7,#REF!&lt;= table!$D$7),-1,IF(AND(#REF!&gt;=table!$E$7,#REF!&lt;=table!$F$7),1,0))</f>
        <v>#REF!</v>
      </c>
      <c r="S592" s="5" t="e">
        <f>IF(AND(#REF!&gt;=table!$C$8,#REF!&lt;= table!$D$8),-1,IF(AND(#REF!&gt;=table!$E$8,#REF!&lt;=table!$F$8),1,0))</f>
        <v>#REF!</v>
      </c>
      <c r="T592" s="5"/>
      <c r="U592" s="5" t="e">
        <f>IF(AND(#REF!&gt;=table!$C$10,#REF!&lt;= table!$D$10),-1,IF(AND(#REF!&gt;=table!$E$10,#REF!&lt;=table!$F$10),1,0))</f>
        <v>#REF!</v>
      </c>
      <c r="V592" s="5" t="e">
        <f>IF(AND(#REF!&gt;=table!$C$11,#REF!&lt;= table!$D$11),-1,IF(AND(#REF!&gt;=table!$E$11,#REF!&lt;=table!$F$11),1,0))</f>
        <v>#REF!</v>
      </c>
      <c r="W592" s="5" t="e">
        <f>CONCATENATE(dados[[#This Row],[fator1]],dados[[#This Row],[fator5]],dados[[#This Row],[fator6]])</f>
        <v>#REF!</v>
      </c>
    </row>
    <row r="593" spans="1:23">
      <c r="A593" t="s">
        <v>16</v>
      </c>
      <c r="B593">
        <v>482352</v>
      </c>
      <c r="C593">
        <v>0.1</v>
      </c>
      <c r="D593">
        <v>40</v>
      </c>
      <c r="E593">
        <v>10</v>
      </c>
      <c r="F593">
        <v>8</v>
      </c>
      <c r="G593">
        <v>0</v>
      </c>
      <c r="H593">
        <v>10</v>
      </c>
      <c r="I593">
        <v>1043</v>
      </c>
      <c r="J593">
        <v>0</v>
      </c>
      <c r="K593">
        <v>6.5550000000000006</v>
      </c>
      <c r="L593">
        <v>12.06</v>
      </c>
      <c r="M593">
        <v>11.06</v>
      </c>
      <c r="N593">
        <v>12.235000000000001</v>
      </c>
      <c r="O593">
        <v>1667</v>
      </c>
      <c r="P593">
        <v>639</v>
      </c>
      <c r="Q593" s="5" t="e">
        <f>IF(AND(#REF!&gt;=table!$C$6,#REF!&lt;= table!$D$6),-1,IF(AND(#REF!&gt;=table!$E$6,#REF!&lt;=table!$F$6),1,0))</f>
        <v>#REF!</v>
      </c>
      <c r="R593" s="5" t="e">
        <f>IF(AND(#REF!&gt;=table!$C$7,#REF!&lt;= table!$D$7),-1,IF(AND(#REF!&gt;=table!$E$7,#REF!&lt;=table!$F$7),1,0))</f>
        <v>#REF!</v>
      </c>
      <c r="S593" s="5" t="e">
        <f>IF(AND(#REF!&gt;=table!$C$8,#REF!&lt;= table!$D$8),-1,IF(AND(#REF!&gt;=table!$E$8,#REF!&lt;=table!$F$8),1,0))</f>
        <v>#REF!</v>
      </c>
      <c r="T593" s="5"/>
      <c r="U593" s="5" t="e">
        <f>IF(AND(#REF!&gt;=table!$C$10,#REF!&lt;= table!$D$10),-1,IF(AND(#REF!&gt;=table!$E$10,#REF!&lt;=table!$F$10),1,0))</f>
        <v>#REF!</v>
      </c>
      <c r="V593" s="5" t="e">
        <f>IF(AND(#REF!&gt;=table!$C$11,#REF!&lt;= table!$D$11),-1,IF(AND(#REF!&gt;=table!$E$11,#REF!&lt;=table!$F$11),1,0))</f>
        <v>#REF!</v>
      </c>
      <c r="W593" s="5" t="e">
        <f>CONCATENATE(dados[[#This Row],[fator1]],dados[[#This Row],[fator5]],dados[[#This Row],[fator6]])</f>
        <v>#REF!</v>
      </c>
    </row>
    <row r="594" spans="1:23">
      <c r="A594" t="s">
        <v>16</v>
      </c>
      <c r="B594">
        <v>482357</v>
      </c>
      <c r="C594">
        <v>0.1</v>
      </c>
      <c r="D594">
        <v>40</v>
      </c>
      <c r="E594">
        <v>10</v>
      </c>
      <c r="F594">
        <v>8</v>
      </c>
      <c r="G594">
        <v>0</v>
      </c>
      <c r="H594">
        <v>10</v>
      </c>
      <c r="I594">
        <v>0</v>
      </c>
      <c r="J594">
        <v>0</v>
      </c>
      <c r="K594">
        <v>4.95</v>
      </c>
      <c r="L594">
        <v>10.09</v>
      </c>
      <c r="M594">
        <v>8.4749999999999996</v>
      </c>
      <c r="N594">
        <v>9.8049999999999997</v>
      </c>
      <c r="O594">
        <v>1655</v>
      </c>
      <c r="P594">
        <v>880</v>
      </c>
      <c r="Q594" s="5" t="e">
        <f>IF(AND(#REF!&gt;=table!$C$6,#REF!&lt;= table!$D$6),-1,IF(AND(#REF!&gt;=table!$E$6,#REF!&lt;=table!$F$6),1,0))</f>
        <v>#REF!</v>
      </c>
      <c r="R594" s="5" t="e">
        <f>IF(AND(#REF!&gt;=table!$C$7,#REF!&lt;= table!$D$7),-1,IF(AND(#REF!&gt;=table!$E$7,#REF!&lt;=table!$F$7),1,0))</f>
        <v>#REF!</v>
      </c>
      <c r="S594" s="5" t="e">
        <f>IF(AND(#REF!&gt;=table!$C$8,#REF!&lt;= table!$D$8),-1,IF(AND(#REF!&gt;=table!$E$8,#REF!&lt;=table!$F$8),1,0))</f>
        <v>#REF!</v>
      </c>
      <c r="T594" s="5"/>
      <c r="U594" s="5" t="e">
        <f>IF(AND(#REF!&gt;=table!$C$10,#REF!&lt;= table!$D$10),-1,IF(AND(#REF!&gt;=table!$E$10,#REF!&lt;=table!$F$10),1,0))</f>
        <v>#REF!</v>
      </c>
      <c r="V594" s="5" t="e">
        <f>IF(AND(#REF!&gt;=table!$C$11,#REF!&lt;= table!$D$11),-1,IF(AND(#REF!&gt;=table!$E$11,#REF!&lt;=table!$F$11),1,0))</f>
        <v>#REF!</v>
      </c>
      <c r="W594" s="5" t="e">
        <f>CONCATENATE(dados[[#This Row],[fator1]],dados[[#This Row],[fator5]],dados[[#This Row],[fator6]])</f>
        <v>#REF!</v>
      </c>
    </row>
    <row r="595" spans="1:23">
      <c r="A595" t="s">
        <v>16</v>
      </c>
      <c r="B595">
        <v>482358</v>
      </c>
      <c r="C595">
        <v>4</v>
      </c>
      <c r="D595">
        <v>40</v>
      </c>
      <c r="E595">
        <v>21</v>
      </c>
      <c r="F595">
        <v>20</v>
      </c>
      <c r="G595">
        <v>0</v>
      </c>
      <c r="H595">
        <v>25</v>
      </c>
      <c r="I595">
        <v>891</v>
      </c>
      <c r="J595">
        <v>0</v>
      </c>
      <c r="K595">
        <v>6.5150000000000006</v>
      </c>
      <c r="L595">
        <v>10.68</v>
      </c>
      <c r="M595">
        <v>21.225000000000001</v>
      </c>
      <c r="N595">
        <v>11.47</v>
      </c>
      <c r="O595">
        <v>1653</v>
      </c>
      <c r="P595">
        <v>579</v>
      </c>
      <c r="Q595" s="5" t="e">
        <f>IF(AND(#REF!&gt;=table!$C$6,#REF!&lt;= table!$D$6),-1,IF(AND(#REF!&gt;=table!$E$6,#REF!&lt;=table!$F$6),1,0))</f>
        <v>#REF!</v>
      </c>
      <c r="R595" s="5" t="e">
        <f>IF(AND(#REF!&gt;=table!$C$7,#REF!&lt;= table!$D$7),-1,IF(AND(#REF!&gt;=table!$E$7,#REF!&lt;=table!$F$7),1,0))</f>
        <v>#REF!</v>
      </c>
      <c r="S595" s="5" t="e">
        <f>IF(AND(#REF!&gt;=table!$C$8,#REF!&lt;= table!$D$8),-1,IF(AND(#REF!&gt;=table!$E$8,#REF!&lt;=table!$F$8),1,0))</f>
        <v>#REF!</v>
      </c>
      <c r="T595" s="5"/>
      <c r="U595" s="5" t="e">
        <f>IF(AND(#REF!&gt;=table!$C$10,#REF!&lt;= table!$D$10),-1,IF(AND(#REF!&gt;=table!$E$10,#REF!&lt;=table!$F$10),1,0))</f>
        <v>#REF!</v>
      </c>
      <c r="V595" s="5" t="e">
        <f>IF(AND(#REF!&gt;=table!$C$11,#REF!&lt;= table!$D$11),-1,IF(AND(#REF!&gt;=table!$E$11,#REF!&lt;=table!$F$11),1,0))</f>
        <v>#REF!</v>
      </c>
      <c r="W595" s="5" t="e">
        <f>CONCATENATE(dados[[#This Row],[fator1]],dados[[#This Row],[fator5]],dados[[#This Row],[fator6]])</f>
        <v>#REF!</v>
      </c>
    </row>
    <row r="596" spans="1:23">
      <c r="A596" t="s">
        <v>16</v>
      </c>
      <c r="B596">
        <v>482359</v>
      </c>
      <c r="C596">
        <v>0.15</v>
      </c>
      <c r="D596">
        <v>40</v>
      </c>
      <c r="E596">
        <v>64</v>
      </c>
      <c r="F596">
        <v>10</v>
      </c>
      <c r="G596">
        <v>0</v>
      </c>
      <c r="H596">
        <v>35</v>
      </c>
      <c r="I596">
        <v>1103</v>
      </c>
      <c r="J596">
        <v>0</v>
      </c>
      <c r="K596">
        <v>5.86</v>
      </c>
      <c r="L596">
        <v>7.38</v>
      </c>
      <c r="M596">
        <v>6.7750000000000004</v>
      </c>
      <c r="N596">
        <v>8.01</v>
      </c>
      <c r="O596">
        <v>1694</v>
      </c>
      <c r="P596">
        <v>815</v>
      </c>
      <c r="Q596" s="5" t="e">
        <f>IF(AND(#REF!&gt;=table!$C$6,#REF!&lt;= table!$D$6),-1,IF(AND(#REF!&gt;=table!$E$6,#REF!&lt;=table!$F$6),1,0))</f>
        <v>#REF!</v>
      </c>
      <c r="R596" s="5" t="e">
        <f>IF(AND(#REF!&gt;=table!$C$7,#REF!&lt;= table!$D$7),-1,IF(AND(#REF!&gt;=table!$E$7,#REF!&lt;=table!$F$7),1,0))</f>
        <v>#REF!</v>
      </c>
      <c r="S596" s="5" t="e">
        <f>IF(AND(#REF!&gt;=table!$C$8,#REF!&lt;= table!$D$8),-1,IF(AND(#REF!&gt;=table!$E$8,#REF!&lt;=table!$F$8),1,0))</f>
        <v>#REF!</v>
      </c>
      <c r="T596" s="5"/>
      <c r="U596" s="5" t="e">
        <f>IF(AND(#REF!&gt;=table!$C$10,#REF!&lt;= table!$D$10),-1,IF(AND(#REF!&gt;=table!$E$10,#REF!&lt;=table!$F$10),1,0))</f>
        <v>#REF!</v>
      </c>
      <c r="V596" s="5" t="e">
        <f>IF(AND(#REF!&gt;=table!$C$11,#REF!&lt;= table!$D$11),-1,IF(AND(#REF!&gt;=table!$E$11,#REF!&lt;=table!$F$11),1,0))</f>
        <v>#REF!</v>
      </c>
      <c r="W596" s="5" t="e">
        <f>CONCATENATE(dados[[#This Row],[fator1]],dados[[#This Row],[fator5]],dados[[#This Row],[fator6]])</f>
        <v>#REF!</v>
      </c>
    </row>
    <row r="597" spans="1:23">
      <c r="A597" t="s">
        <v>16</v>
      </c>
      <c r="B597">
        <v>482360</v>
      </c>
      <c r="C597">
        <v>0.15</v>
      </c>
      <c r="D597">
        <v>40</v>
      </c>
      <c r="E597">
        <v>10</v>
      </c>
      <c r="F597">
        <v>15</v>
      </c>
      <c r="G597">
        <v>0</v>
      </c>
      <c r="H597">
        <v>15</v>
      </c>
      <c r="I597">
        <v>1192</v>
      </c>
      <c r="J597">
        <v>0</v>
      </c>
      <c r="K597">
        <v>4.4850000000000003</v>
      </c>
      <c r="L597">
        <v>5.3650000000000002</v>
      </c>
      <c r="M597">
        <v>4.7949999999999999</v>
      </c>
      <c r="N597">
        <v>8.39</v>
      </c>
      <c r="O597">
        <v>1674</v>
      </c>
      <c r="P597">
        <v>1105</v>
      </c>
      <c r="Q597" s="5" t="e">
        <f>IF(AND(#REF!&gt;=table!$C$6,#REF!&lt;= table!$D$6),-1,IF(AND(#REF!&gt;=table!$E$6,#REF!&lt;=table!$F$6),1,0))</f>
        <v>#REF!</v>
      </c>
      <c r="R597" s="5" t="e">
        <f>IF(AND(#REF!&gt;=table!$C$7,#REF!&lt;= table!$D$7),-1,IF(AND(#REF!&gt;=table!$E$7,#REF!&lt;=table!$F$7),1,0))</f>
        <v>#REF!</v>
      </c>
      <c r="S597" s="5" t="e">
        <f>IF(AND(#REF!&gt;=table!$C$8,#REF!&lt;= table!$D$8),-1,IF(AND(#REF!&gt;=table!$E$8,#REF!&lt;=table!$F$8),1,0))</f>
        <v>#REF!</v>
      </c>
      <c r="T597" s="5"/>
      <c r="U597" s="5" t="e">
        <f>IF(AND(#REF!&gt;=table!$C$10,#REF!&lt;= table!$D$10),-1,IF(AND(#REF!&gt;=table!$E$10,#REF!&lt;=table!$F$10),1,0))</f>
        <v>#REF!</v>
      </c>
      <c r="V597" s="5" t="e">
        <f>IF(AND(#REF!&gt;=table!$C$11,#REF!&lt;= table!$D$11),-1,IF(AND(#REF!&gt;=table!$E$11,#REF!&lt;=table!$F$11),1,0))</f>
        <v>#REF!</v>
      </c>
      <c r="W597" s="5" t="e">
        <f>CONCATENATE(dados[[#This Row],[fator1]],dados[[#This Row],[fator5]],dados[[#This Row],[fator6]])</f>
        <v>#REF!</v>
      </c>
    </row>
    <row r="598" spans="1:23">
      <c r="A598" t="s">
        <v>17</v>
      </c>
      <c r="B598">
        <v>482363</v>
      </c>
      <c r="C598">
        <v>11</v>
      </c>
      <c r="D598">
        <v>30</v>
      </c>
      <c r="E598">
        <v>125</v>
      </c>
      <c r="F598">
        <v>4</v>
      </c>
      <c r="G598">
        <v>25</v>
      </c>
      <c r="H598">
        <v>21</v>
      </c>
      <c r="I598">
        <v>513</v>
      </c>
      <c r="J598">
        <v>0</v>
      </c>
      <c r="K598">
        <v>4.5600000000000005</v>
      </c>
      <c r="L598">
        <v>10.68</v>
      </c>
      <c r="M598">
        <v>123.265</v>
      </c>
      <c r="N598">
        <v>12.22</v>
      </c>
      <c r="O598">
        <v>1670</v>
      </c>
      <c r="P598">
        <v>0</v>
      </c>
      <c r="Q598" s="5" t="e">
        <f>IF(AND(#REF!&gt;=table!$C$6,#REF!&lt;= table!$D$6),-1,IF(AND(#REF!&gt;=table!$E$6,#REF!&lt;=table!$F$6),1,0))</f>
        <v>#REF!</v>
      </c>
      <c r="R598" s="5" t="e">
        <f>IF(AND(#REF!&gt;=table!$C$7,#REF!&lt;= table!$D$7),-1,IF(AND(#REF!&gt;=table!$E$7,#REF!&lt;=table!$F$7),1,0))</f>
        <v>#REF!</v>
      </c>
      <c r="S598" s="5" t="e">
        <f>IF(AND(#REF!&gt;=table!$C$8,#REF!&lt;= table!$D$8),-1,IF(AND(#REF!&gt;=table!$E$8,#REF!&lt;=table!$F$8),1,0))</f>
        <v>#REF!</v>
      </c>
      <c r="T598" s="5"/>
      <c r="U598" s="5" t="e">
        <f>IF(AND(#REF!&gt;=table!$C$10,#REF!&lt;= table!$D$10),-1,IF(AND(#REF!&gt;=table!$E$10,#REF!&lt;=table!$F$10),1,0))</f>
        <v>#REF!</v>
      </c>
      <c r="V598" s="5" t="e">
        <f>IF(AND(#REF!&gt;=table!$C$11,#REF!&lt;= table!$D$11),-1,IF(AND(#REF!&gt;=table!$E$11,#REF!&lt;=table!$F$11),1,0))</f>
        <v>#REF!</v>
      </c>
      <c r="W598" s="5" t="e">
        <f>CONCATENATE(dados[[#This Row],[fator1]],dados[[#This Row],[fator5]],dados[[#This Row],[fator6]])</f>
        <v>#REF!</v>
      </c>
    </row>
    <row r="599" spans="1:23">
      <c r="A599" t="s">
        <v>17</v>
      </c>
      <c r="B599">
        <v>482365</v>
      </c>
      <c r="C599">
        <v>13</v>
      </c>
      <c r="D599">
        <v>35</v>
      </c>
      <c r="E599">
        <v>100</v>
      </c>
      <c r="F599">
        <v>2</v>
      </c>
      <c r="G599">
        <v>28</v>
      </c>
      <c r="H599">
        <v>20</v>
      </c>
      <c r="I599">
        <v>51</v>
      </c>
      <c r="J599">
        <v>0</v>
      </c>
      <c r="K599">
        <v>2.4355000000000002</v>
      </c>
      <c r="L599">
        <v>8.2050000000000001</v>
      </c>
      <c r="M599">
        <v>85.09</v>
      </c>
      <c r="N599">
        <v>15.665000000000001</v>
      </c>
      <c r="O599">
        <v>1689</v>
      </c>
      <c r="P599">
        <v>1195</v>
      </c>
      <c r="Q599" s="5" t="e">
        <f>IF(AND(#REF!&gt;=table!$C$6,#REF!&lt;= table!$D$6),-1,IF(AND(#REF!&gt;=table!$E$6,#REF!&lt;=table!$F$6),1,0))</f>
        <v>#REF!</v>
      </c>
      <c r="R599" s="5" t="e">
        <f>IF(AND(#REF!&gt;=table!$C$7,#REF!&lt;= table!$D$7),-1,IF(AND(#REF!&gt;=table!$E$7,#REF!&lt;=table!$F$7),1,0))</f>
        <v>#REF!</v>
      </c>
      <c r="S599" s="5" t="e">
        <f>IF(AND(#REF!&gt;=table!$C$8,#REF!&lt;= table!$D$8),-1,IF(AND(#REF!&gt;=table!$E$8,#REF!&lt;=table!$F$8),1,0))</f>
        <v>#REF!</v>
      </c>
      <c r="T599" s="5"/>
      <c r="U599" s="5" t="e">
        <f>IF(AND(#REF!&gt;=table!$C$10,#REF!&lt;= table!$D$10),-1,IF(AND(#REF!&gt;=table!$E$10,#REF!&lt;=table!$F$10),1,0))</f>
        <v>#REF!</v>
      </c>
      <c r="V599" s="5" t="e">
        <f>IF(AND(#REF!&gt;=table!$C$11,#REF!&lt;= table!$D$11),-1,IF(AND(#REF!&gt;=table!$E$11,#REF!&lt;=table!$F$11),1,0))</f>
        <v>#REF!</v>
      </c>
      <c r="W599" s="5" t="e">
        <f>CONCATENATE(dados[[#This Row],[fator1]],dados[[#This Row],[fator5]],dados[[#This Row],[fator6]])</f>
        <v>#REF!</v>
      </c>
    </row>
    <row r="600" spans="1:23">
      <c r="A600" t="s">
        <v>16</v>
      </c>
      <c r="B600">
        <v>482366</v>
      </c>
      <c r="C600">
        <v>4</v>
      </c>
      <c r="D600">
        <v>40</v>
      </c>
      <c r="E600">
        <v>21</v>
      </c>
      <c r="F600">
        <v>20</v>
      </c>
      <c r="G600">
        <v>0</v>
      </c>
      <c r="H600">
        <v>25</v>
      </c>
      <c r="I600">
        <v>6</v>
      </c>
      <c r="J600">
        <v>620</v>
      </c>
      <c r="K600">
        <v>4.125</v>
      </c>
      <c r="L600">
        <v>5.2350000000000003</v>
      </c>
      <c r="M600">
        <v>3.84</v>
      </c>
      <c r="N600">
        <v>4.5250000000000004</v>
      </c>
      <c r="O600">
        <v>1635</v>
      </c>
      <c r="P600">
        <v>1051</v>
      </c>
      <c r="Q600" s="5" t="e">
        <f>IF(AND(#REF!&gt;=table!$C$6,#REF!&lt;= table!$D$6),-1,IF(AND(#REF!&gt;=table!$E$6,#REF!&lt;=table!$F$6),1,0))</f>
        <v>#REF!</v>
      </c>
      <c r="R600" s="5" t="e">
        <f>IF(AND(#REF!&gt;=table!$C$7,#REF!&lt;= table!$D$7),-1,IF(AND(#REF!&gt;=table!$E$7,#REF!&lt;=table!$F$7),1,0))</f>
        <v>#REF!</v>
      </c>
      <c r="S600" s="5" t="e">
        <f>IF(AND(#REF!&gt;=table!$C$8,#REF!&lt;= table!$D$8),-1,IF(AND(#REF!&gt;=table!$E$8,#REF!&lt;=table!$F$8),1,0))</f>
        <v>#REF!</v>
      </c>
      <c r="T600" s="5"/>
      <c r="U600" s="5" t="e">
        <f>IF(AND(#REF!&gt;=table!$C$10,#REF!&lt;= table!$D$10),-1,IF(AND(#REF!&gt;=table!$E$10,#REF!&lt;=table!$F$10),1,0))</f>
        <v>#REF!</v>
      </c>
      <c r="V600" s="5" t="e">
        <f>IF(AND(#REF!&gt;=table!$C$11,#REF!&lt;= table!$D$11),-1,IF(AND(#REF!&gt;=table!$E$11,#REF!&lt;=table!$F$11),1,0))</f>
        <v>#REF!</v>
      </c>
      <c r="W600" s="5" t="e">
        <f>CONCATENATE(dados[[#This Row],[fator1]],dados[[#This Row],[fator5]],dados[[#This Row],[fator6]])</f>
        <v>#REF!</v>
      </c>
    </row>
    <row r="601" spans="1:23">
      <c r="A601" t="s">
        <v>16</v>
      </c>
      <c r="B601">
        <v>482368</v>
      </c>
      <c r="C601">
        <v>4</v>
      </c>
      <c r="D601">
        <v>40</v>
      </c>
      <c r="E601">
        <v>21</v>
      </c>
      <c r="F601">
        <v>20</v>
      </c>
      <c r="G601">
        <v>0</v>
      </c>
      <c r="H601">
        <v>25</v>
      </c>
      <c r="I601">
        <v>732</v>
      </c>
      <c r="J601">
        <v>0</v>
      </c>
      <c r="K601">
        <v>4.28</v>
      </c>
      <c r="L601">
        <v>4.05</v>
      </c>
      <c r="M601">
        <v>13.23</v>
      </c>
      <c r="N601">
        <v>8.9600000000000009</v>
      </c>
      <c r="O601">
        <v>1632</v>
      </c>
      <c r="P601">
        <v>853</v>
      </c>
      <c r="Q601" s="5" t="e">
        <f>IF(AND(#REF!&gt;=table!$C$6,#REF!&lt;= table!$D$6),-1,IF(AND(#REF!&gt;=table!$E$6,#REF!&lt;=table!$F$6),1,0))</f>
        <v>#REF!</v>
      </c>
      <c r="R601" s="5" t="e">
        <f>IF(AND(#REF!&gt;=table!$C$7,#REF!&lt;= table!$D$7),-1,IF(AND(#REF!&gt;=table!$E$7,#REF!&lt;=table!$F$7),1,0))</f>
        <v>#REF!</v>
      </c>
      <c r="S601" s="5" t="e">
        <f>IF(AND(#REF!&gt;=table!$C$8,#REF!&lt;= table!$D$8),-1,IF(AND(#REF!&gt;=table!$E$8,#REF!&lt;=table!$F$8),1,0))</f>
        <v>#REF!</v>
      </c>
      <c r="T601" s="5"/>
      <c r="U601" s="5" t="e">
        <f>IF(AND(#REF!&gt;=table!$C$10,#REF!&lt;= table!$D$10),-1,IF(AND(#REF!&gt;=table!$E$10,#REF!&lt;=table!$F$10),1,0))</f>
        <v>#REF!</v>
      </c>
      <c r="V601" s="5" t="e">
        <f>IF(AND(#REF!&gt;=table!$C$11,#REF!&lt;= table!$D$11),-1,IF(AND(#REF!&gt;=table!$E$11,#REF!&lt;=table!$F$11),1,0))</f>
        <v>#REF!</v>
      </c>
      <c r="W601" s="5" t="e">
        <f>CONCATENATE(dados[[#This Row],[fator1]],dados[[#This Row],[fator5]],dados[[#This Row],[fator6]])</f>
        <v>#REF!</v>
      </c>
    </row>
    <row r="602" spans="1:23">
      <c r="A602" t="s">
        <v>16</v>
      </c>
      <c r="B602">
        <v>482369</v>
      </c>
      <c r="C602">
        <v>4</v>
      </c>
      <c r="D602">
        <v>40</v>
      </c>
      <c r="E602">
        <v>21</v>
      </c>
      <c r="F602">
        <v>20</v>
      </c>
      <c r="G602">
        <v>0</v>
      </c>
      <c r="H602">
        <v>25</v>
      </c>
      <c r="I602">
        <v>0</v>
      </c>
      <c r="J602">
        <v>0</v>
      </c>
      <c r="K602">
        <v>5.39</v>
      </c>
      <c r="L602">
        <v>6.4250000000000007</v>
      </c>
      <c r="M602">
        <v>5.74</v>
      </c>
      <c r="N602">
        <v>7.71</v>
      </c>
      <c r="O602">
        <v>1700</v>
      </c>
      <c r="P602">
        <v>825</v>
      </c>
      <c r="Q602" s="5" t="e">
        <f>IF(AND(#REF!&gt;=table!$C$6,#REF!&lt;= table!$D$6),-1,IF(AND(#REF!&gt;=table!$E$6,#REF!&lt;=table!$F$6),1,0))</f>
        <v>#REF!</v>
      </c>
      <c r="R602" s="5" t="e">
        <f>IF(AND(#REF!&gt;=table!$C$7,#REF!&lt;= table!$D$7),-1,IF(AND(#REF!&gt;=table!$E$7,#REF!&lt;=table!$F$7),1,0))</f>
        <v>#REF!</v>
      </c>
      <c r="S602" s="5" t="e">
        <f>IF(AND(#REF!&gt;=table!$C$8,#REF!&lt;= table!$D$8),-1,IF(AND(#REF!&gt;=table!$E$8,#REF!&lt;=table!$F$8),1,0))</f>
        <v>#REF!</v>
      </c>
      <c r="T602" s="5"/>
      <c r="U602" s="5" t="e">
        <f>IF(AND(#REF!&gt;=table!$C$10,#REF!&lt;= table!$D$10),-1,IF(AND(#REF!&gt;=table!$E$10,#REF!&lt;=table!$F$10),1,0))</f>
        <v>#REF!</v>
      </c>
      <c r="V602" s="5" t="e">
        <f>IF(AND(#REF!&gt;=table!$C$11,#REF!&lt;= table!$D$11),-1,IF(AND(#REF!&gt;=table!$E$11,#REF!&lt;=table!$F$11),1,0))</f>
        <v>#REF!</v>
      </c>
      <c r="W602" s="5" t="e">
        <f>CONCATENATE(dados[[#This Row],[fator1]],dados[[#This Row],[fator5]],dados[[#This Row],[fator6]])</f>
        <v>#REF!</v>
      </c>
    </row>
    <row r="603" spans="1:23">
      <c r="A603" t="s">
        <v>16</v>
      </c>
      <c r="B603">
        <v>482377</v>
      </c>
      <c r="C603">
        <v>0.15</v>
      </c>
      <c r="D603">
        <v>35</v>
      </c>
      <c r="E603">
        <v>15</v>
      </c>
      <c r="F603">
        <v>10</v>
      </c>
      <c r="G603">
        <v>0</v>
      </c>
      <c r="H603">
        <v>12</v>
      </c>
      <c r="I603">
        <v>907</v>
      </c>
      <c r="J603">
        <v>0</v>
      </c>
      <c r="K603">
        <v>4.3050000000000006</v>
      </c>
      <c r="L603">
        <v>7.7750000000000004</v>
      </c>
      <c r="M603">
        <v>6.91</v>
      </c>
      <c r="N603">
        <v>9.15</v>
      </c>
      <c r="O603">
        <v>1677</v>
      </c>
      <c r="P603">
        <v>1039</v>
      </c>
      <c r="Q603" s="5" t="e">
        <f>IF(AND(#REF!&gt;=table!$C$6,#REF!&lt;= table!$D$6),-1,IF(AND(#REF!&gt;=table!$E$6,#REF!&lt;=table!$F$6),1,0))</f>
        <v>#REF!</v>
      </c>
      <c r="R603" s="5" t="e">
        <f>IF(AND(#REF!&gt;=table!$C$7,#REF!&lt;= table!$D$7),-1,IF(AND(#REF!&gt;=table!$E$7,#REF!&lt;=table!$F$7),1,0))</f>
        <v>#REF!</v>
      </c>
      <c r="S603" s="5" t="e">
        <f>IF(AND(#REF!&gt;=table!$C$8,#REF!&lt;= table!$D$8),-1,IF(AND(#REF!&gt;=table!$E$8,#REF!&lt;=table!$F$8),1,0))</f>
        <v>#REF!</v>
      </c>
      <c r="T603" s="5"/>
      <c r="U603" s="5" t="e">
        <f>IF(AND(#REF!&gt;=table!$C$10,#REF!&lt;= table!$D$10),-1,IF(AND(#REF!&gt;=table!$E$10,#REF!&lt;=table!$F$10),1,0))</f>
        <v>#REF!</v>
      </c>
      <c r="V603" s="5" t="e">
        <f>IF(AND(#REF!&gt;=table!$C$11,#REF!&lt;= table!$D$11),-1,IF(AND(#REF!&gt;=table!$E$11,#REF!&lt;=table!$F$11),1,0))</f>
        <v>#REF!</v>
      </c>
      <c r="W603" s="5" t="e">
        <f>CONCATENATE(dados[[#This Row],[fator1]],dados[[#This Row],[fator5]],dados[[#This Row],[fator6]])</f>
        <v>#REF!</v>
      </c>
    </row>
    <row r="604" spans="1:23">
      <c r="A604" t="s">
        <v>16</v>
      </c>
      <c r="B604">
        <v>482379</v>
      </c>
      <c r="C604">
        <v>0.15</v>
      </c>
      <c r="D604">
        <v>35</v>
      </c>
      <c r="E604">
        <v>15</v>
      </c>
      <c r="F604">
        <v>10</v>
      </c>
      <c r="G604">
        <v>0</v>
      </c>
      <c r="H604">
        <v>12</v>
      </c>
      <c r="I604">
        <v>9</v>
      </c>
      <c r="J604">
        <v>0</v>
      </c>
      <c r="K604">
        <v>7.665</v>
      </c>
      <c r="L604">
        <v>9.91</v>
      </c>
      <c r="M604">
        <v>9.1</v>
      </c>
      <c r="N604">
        <v>9.3650000000000002</v>
      </c>
      <c r="O604">
        <v>1687</v>
      </c>
      <c r="P604">
        <v>522</v>
      </c>
      <c r="Q604" s="5" t="e">
        <f>IF(AND(#REF!&gt;=table!$C$6,#REF!&lt;= table!$D$6),-1,IF(AND(#REF!&gt;=table!$E$6,#REF!&lt;=table!$F$6),1,0))</f>
        <v>#REF!</v>
      </c>
      <c r="R604" s="5" t="e">
        <f>IF(AND(#REF!&gt;=table!$C$7,#REF!&lt;= table!$D$7),-1,IF(AND(#REF!&gt;=table!$E$7,#REF!&lt;=table!$F$7),1,0))</f>
        <v>#REF!</v>
      </c>
      <c r="S604" s="5" t="e">
        <f>IF(AND(#REF!&gt;=table!$C$8,#REF!&lt;= table!$D$8),-1,IF(AND(#REF!&gt;=table!$E$8,#REF!&lt;=table!$F$8),1,0))</f>
        <v>#REF!</v>
      </c>
      <c r="T604" s="5"/>
      <c r="U604" s="5" t="e">
        <f>IF(AND(#REF!&gt;=table!$C$10,#REF!&lt;= table!$D$10),-1,IF(AND(#REF!&gt;=table!$E$10,#REF!&lt;=table!$F$10),1,0))</f>
        <v>#REF!</v>
      </c>
      <c r="V604" s="5" t="e">
        <f>IF(AND(#REF!&gt;=table!$C$11,#REF!&lt;= table!$D$11),-1,IF(AND(#REF!&gt;=table!$E$11,#REF!&lt;=table!$F$11),1,0))</f>
        <v>#REF!</v>
      </c>
      <c r="W604" s="5" t="e">
        <f>CONCATENATE(dados[[#This Row],[fator1]],dados[[#This Row],[fator5]],dados[[#This Row],[fator6]])</f>
        <v>#REF!</v>
      </c>
    </row>
    <row r="605" spans="1:23">
      <c r="A605" t="s">
        <v>16</v>
      </c>
      <c r="B605">
        <v>482380</v>
      </c>
      <c r="C605">
        <v>0.15</v>
      </c>
      <c r="D605">
        <v>35</v>
      </c>
      <c r="E605">
        <v>15</v>
      </c>
      <c r="F605">
        <v>10</v>
      </c>
      <c r="G605">
        <v>0</v>
      </c>
      <c r="H605">
        <v>12</v>
      </c>
      <c r="I605">
        <v>1311</v>
      </c>
      <c r="J605">
        <v>0</v>
      </c>
      <c r="K605">
        <v>4.1399999999999997</v>
      </c>
      <c r="L605">
        <v>6.8250000000000002</v>
      </c>
      <c r="M605">
        <v>6.24</v>
      </c>
      <c r="N605">
        <v>10.705</v>
      </c>
      <c r="O605">
        <v>1681</v>
      </c>
      <c r="P605">
        <v>0</v>
      </c>
      <c r="Q605" s="5" t="e">
        <f>IF(AND(#REF!&gt;=table!$C$6,#REF!&lt;= table!$D$6),-1,IF(AND(#REF!&gt;=table!$E$6,#REF!&lt;=table!$F$6),1,0))</f>
        <v>#REF!</v>
      </c>
      <c r="R605" s="5" t="e">
        <f>IF(AND(#REF!&gt;=table!$C$7,#REF!&lt;= table!$D$7),-1,IF(AND(#REF!&gt;=table!$E$7,#REF!&lt;=table!$F$7),1,0))</f>
        <v>#REF!</v>
      </c>
      <c r="S605" s="5" t="e">
        <f>IF(AND(#REF!&gt;=table!$C$8,#REF!&lt;= table!$D$8),-1,IF(AND(#REF!&gt;=table!$E$8,#REF!&lt;=table!$F$8),1,0))</f>
        <v>#REF!</v>
      </c>
      <c r="T605" s="5"/>
      <c r="U605" s="5" t="e">
        <f>IF(AND(#REF!&gt;=table!$C$10,#REF!&lt;= table!$D$10),-1,IF(AND(#REF!&gt;=table!$E$10,#REF!&lt;=table!$F$10),1,0))</f>
        <v>#REF!</v>
      </c>
      <c r="V605" s="5" t="e">
        <f>IF(AND(#REF!&gt;=table!$C$11,#REF!&lt;= table!$D$11),-1,IF(AND(#REF!&gt;=table!$E$11,#REF!&lt;=table!$F$11),1,0))</f>
        <v>#REF!</v>
      </c>
      <c r="W605" s="5" t="e">
        <f>CONCATENATE(dados[[#This Row],[fator1]],dados[[#This Row],[fator5]],dados[[#This Row],[fator6]])</f>
        <v>#REF!</v>
      </c>
    </row>
    <row r="606" spans="1:23">
      <c r="A606" t="s">
        <v>16</v>
      </c>
      <c r="B606">
        <v>482389</v>
      </c>
      <c r="C606">
        <v>4</v>
      </c>
      <c r="D606">
        <v>40</v>
      </c>
      <c r="E606">
        <v>21</v>
      </c>
      <c r="F606">
        <v>20</v>
      </c>
      <c r="G606">
        <v>0</v>
      </c>
      <c r="H606">
        <v>25</v>
      </c>
      <c r="I606">
        <v>328</v>
      </c>
      <c r="J606">
        <v>0</v>
      </c>
      <c r="K606">
        <v>4.3150000000000004</v>
      </c>
      <c r="L606">
        <v>7.4350000000000005</v>
      </c>
      <c r="M606">
        <v>6.2700000000000005</v>
      </c>
      <c r="N606">
        <v>8.2900000000000009</v>
      </c>
      <c r="O606">
        <v>1686</v>
      </c>
      <c r="P606">
        <v>0</v>
      </c>
      <c r="Q606" s="5" t="e">
        <f>IF(AND(#REF!&gt;=table!$C$6,#REF!&lt;= table!$D$6),-1,IF(AND(#REF!&gt;=table!$E$6,#REF!&lt;=table!$F$6),1,0))</f>
        <v>#REF!</v>
      </c>
      <c r="R606" s="5" t="e">
        <f>IF(AND(#REF!&gt;=table!$C$7,#REF!&lt;= table!$D$7),-1,IF(AND(#REF!&gt;=table!$E$7,#REF!&lt;=table!$F$7),1,0))</f>
        <v>#REF!</v>
      </c>
      <c r="S606" s="5" t="e">
        <f>IF(AND(#REF!&gt;=table!$C$8,#REF!&lt;= table!$D$8),-1,IF(AND(#REF!&gt;=table!$E$8,#REF!&lt;=table!$F$8),1,0))</f>
        <v>#REF!</v>
      </c>
      <c r="T606" s="5"/>
      <c r="U606" s="5" t="e">
        <f>IF(AND(#REF!&gt;=table!$C$10,#REF!&lt;= table!$D$10),-1,IF(AND(#REF!&gt;=table!$E$10,#REF!&lt;=table!$F$10),1,0))</f>
        <v>#REF!</v>
      </c>
      <c r="V606" s="5" t="e">
        <f>IF(AND(#REF!&gt;=table!$C$11,#REF!&lt;= table!$D$11),-1,IF(AND(#REF!&gt;=table!$E$11,#REF!&lt;=table!$F$11),1,0))</f>
        <v>#REF!</v>
      </c>
      <c r="W606" s="5" t="e">
        <f>CONCATENATE(dados[[#This Row],[fator1]],dados[[#This Row],[fator5]],dados[[#This Row],[fator6]])</f>
        <v>#REF!</v>
      </c>
    </row>
    <row r="607" spans="1:23">
      <c r="A607" t="s">
        <v>16</v>
      </c>
      <c r="B607">
        <v>482392</v>
      </c>
      <c r="C607">
        <v>0.15</v>
      </c>
      <c r="D607">
        <v>40</v>
      </c>
      <c r="E607">
        <v>64</v>
      </c>
      <c r="F607">
        <v>10</v>
      </c>
      <c r="G607">
        <v>0</v>
      </c>
      <c r="H607">
        <v>35</v>
      </c>
      <c r="I607">
        <v>1180</v>
      </c>
      <c r="J607">
        <v>640</v>
      </c>
      <c r="K607">
        <v>5.42</v>
      </c>
      <c r="L607">
        <v>7.7350000000000003</v>
      </c>
      <c r="M607">
        <v>5.4950000000000001</v>
      </c>
      <c r="N607">
        <v>7.98</v>
      </c>
      <c r="O607">
        <v>1670</v>
      </c>
      <c r="P607">
        <v>680</v>
      </c>
      <c r="Q607" s="5" t="e">
        <f>IF(AND(#REF!&gt;=table!$C$6,#REF!&lt;= table!$D$6),-1,IF(AND(#REF!&gt;=table!$E$6,#REF!&lt;=table!$F$6),1,0))</f>
        <v>#REF!</v>
      </c>
      <c r="R607" s="5" t="e">
        <f>IF(AND(#REF!&gt;=table!$C$7,#REF!&lt;= table!$D$7),-1,IF(AND(#REF!&gt;=table!$E$7,#REF!&lt;=table!$F$7),1,0))</f>
        <v>#REF!</v>
      </c>
      <c r="S607" s="5" t="e">
        <f>IF(AND(#REF!&gt;=table!$C$8,#REF!&lt;= table!$D$8),-1,IF(AND(#REF!&gt;=table!$E$8,#REF!&lt;=table!$F$8),1,0))</f>
        <v>#REF!</v>
      </c>
      <c r="T607" s="5"/>
      <c r="U607" s="5" t="e">
        <f>IF(AND(#REF!&gt;=table!$C$10,#REF!&lt;= table!$D$10),-1,IF(AND(#REF!&gt;=table!$E$10,#REF!&lt;=table!$F$10),1,0))</f>
        <v>#REF!</v>
      </c>
      <c r="V607" s="5" t="e">
        <f>IF(AND(#REF!&gt;=table!$C$11,#REF!&lt;= table!$D$11),-1,IF(AND(#REF!&gt;=table!$E$11,#REF!&lt;=table!$F$11),1,0))</f>
        <v>#REF!</v>
      </c>
      <c r="W607" s="5" t="e">
        <f>CONCATENATE(dados[[#This Row],[fator1]],dados[[#This Row],[fator5]],dados[[#This Row],[fator6]])</f>
        <v>#REF!</v>
      </c>
    </row>
    <row r="608" spans="1:23">
      <c r="A608" t="s">
        <v>16</v>
      </c>
      <c r="B608">
        <v>482400</v>
      </c>
      <c r="C608">
        <v>0.15</v>
      </c>
      <c r="D608">
        <v>40</v>
      </c>
      <c r="E608">
        <v>10</v>
      </c>
      <c r="F608">
        <v>15</v>
      </c>
      <c r="G608">
        <v>0</v>
      </c>
      <c r="H608">
        <v>15</v>
      </c>
      <c r="I608">
        <v>2213</v>
      </c>
      <c r="J608">
        <v>0</v>
      </c>
      <c r="K608">
        <v>7.7700000000000005</v>
      </c>
      <c r="L608">
        <v>9.125</v>
      </c>
      <c r="M608">
        <v>8.8849999999999998</v>
      </c>
      <c r="N608">
        <v>10.120000000000001</v>
      </c>
      <c r="O608">
        <v>1676</v>
      </c>
      <c r="P608">
        <v>546</v>
      </c>
      <c r="Q608" s="5" t="e">
        <f>IF(AND(#REF!&gt;=table!$C$6,#REF!&lt;= table!$D$6),-1,IF(AND(#REF!&gt;=table!$E$6,#REF!&lt;=table!$F$6),1,0))</f>
        <v>#REF!</v>
      </c>
      <c r="R608" s="5" t="e">
        <f>IF(AND(#REF!&gt;=table!$C$7,#REF!&lt;= table!$D$7),-1,IF(AND(#REF!&gt;=table!$E$7,#REF!&lt;=table!$F$7),1,0))</f>
        <v>#REF!</v>
      </c>
      <c r="S608" s="5" t="e">
        <f>IF(AND(#REF!&gt;=table!$C$8,#REF!&lt;= table!$D$8),-1,IF(AND(#REF!&gt;=table!$E$8,#REF!&lt;=table!$F$8),1,0))</f>
        <v>#REF!</v>
      </c>
      <c r="T608" s="5"/>
      <c r="U608" s="5" t="e">
        <f>IF(AND(#REF!&gt;=table!$C$10,#REF!&lt;= table!$D$10),-1,IF(AND(#REF!&gt;=table!$E$10,#REF!&lt;=table!$F$10),1,0))</f>
        <v>#REF!</v>
      </c>
      <c r="V608" s="5" t="e">
        <f>IF(AND(#REF!&gt;=table!$C$11,#REF!&lt;= table!$D$11),-1,IF(AND(#REF!&gt;=table!$E$11,#REF!&lt;=table!$F$11),1,0))</f>
        <v>#REF!</v>
      </c>
      <c r="W608" s="5" t="e">
        <f>CONCATENATE(dados[[#This Row],[fator1]],dados[[#This Row],[fator5]],dados[[#This Row],[fator6]])</f>
        <v>#REF!</v>
      </c>
    </row>
    <row r="609" spans="1:23">
      <c r="A609" t="s">
        <v>16</v>
      </c>
      <c r="B609">
        <v>482401</v>
      </c>
      <c r="C609">
        <v>0.15</v>
      </c>
      <c r="D609">
        <v>40</v>
      </c>
      <c r="E609">
        <v>10</v>
      </c>
      <c r="F609">
        <v>15</v>
      </c>
      <c r="G609">
        <v>0</v>
      </c>
      <c r="H609">
        <v>15</v>
      </c>
      <c r="I609">
        <v>1007</v>
      </c>
      <c r="J609">
        <v>0</v>
      </c>
      <c r="K609">
        <v>2.4770000000000003</v>
      </c>
      <c r="L609">
        <v>5.44</v>
      </c>
      <c r="M609">
        <v>5.2750000000000004</v>
      </c>
      <c r="N609">
        <v>7.41</v>
      </c>
      <c r="O609">
        <v>1676</v>
      </c>
      <c r="P609">
        <v>1369</v>
      </c>
      <c r="Q609" s="5" t="e">
        <f>IF(AND(#REF!&gt;=table!$C$6,#REF!&lt;= table!$D$6),-1,IF(AND(#REF!&gt;=table!$E$6,#REF!&lt;=table!$F$6),1,0))</f>
        <v>#REF!</v>
      </c>
      <c r="R609" s="5" t="e">
        <f>IF(AND(#REF!&gt;=table!$C$7,#REF!&lt;= table!$D$7),-1,IF(AND(#REF!&gt;=table!$E$7,#REF!&lt;=table!$F$7),1,0))</f>
        <v>#REF!</v>
      </c>
      <c r="S609" s="5" t="e">
        <f>IF(AND(#REF!&gt;=table!$C$8,#REF!&lt;= table!$D$8),-1,IF(AND(#REF!&gt;=table!$E$8,#REF!&lt;=table!$F$8),1,0))</f>
        <v>#REF!</v>
      </c>
      <c r="T609" s="5"/>
      <c r="U609" s="5" t="e">
        <f>IF(AND(#REF!&gt;=table!$C$10,#REF!&lt;= table!$D$10),-1,IF(AND(#REF!&gt;=table!$E$10,#REF!&lt;=table!$F$10),1,0))</f>
        <v>#REF!</v>
      </c>
      <c r="V609" s="5" t="e">
        <f>IF(AND(#REF!&gt;=table!$C$11,#REF!&lt;= table!$D$11),-1,IF(AND(#REF!&gt;=table!$E$11,#REF!&lt;=table!$F$11),1,0))</f>
        <v>#REF!</v>
      </c>
      <c r="W609" s="5" t="e">
        <f>CONCATENATE(dados[[#This Row],[fator1]],dados[[#This Row],[fator5]],dados[[#This Row],[fator6]])</f>
        <v>#REF!</v>
      </c>
    </row>
    <row r="610" spans="1:23">
      <c r="A610" t="s">
        <v>16</v>
      </c>
      <c r="B610">
        <v>482410</v>
      </c>
      <c r="C610">
        <v>0.15</v>
      </c>
      <c r="D610">
        <v>40</v>
      </c>
      <c r="E610">
        <v>10</v>
      </c>
      <c r="F610">
        <v>15</v>
      </c>
      <c r="G610">
        <v>0</v>
      </c>
      <c r="H610">
        <v>15</v>
      </c>
      <c r="I610">
        <v>1429</v>
      </c>
      <c r="J610">
        <v>0</v>
      </c>
      <c r="K610">
        <v>4.3250000000000002</v>
      </c>
      <c r="L610">
        <v>6.3450000000000006</v>
      </c>
      <c r="M610">
        <v>6.04</v>
      </c>
      <c r="N610">
        <v>7</v>
      </c>
      <c r="O610">
        <v>1642</v>
      </c>
      <c r="P610">
        <v>0</v>
      </c>
      <c r="Q610" s="5" t="e">
        <f>IF(AND(#REF!&gt;=table!$C$6,#REF!&lt;= table!$D$6),-1,IF(AND(#REF!&gt;=table!$E$6,#REF!&lt;=table!$F$6),1,0))</f>
        <v>#REF!</v>
      </c>
      <c r="R610" s="5" t="e">
        <f>IF(AND(#REF!&gt;=table!$C$7,#REF!&lt;= table!$D$7),-1,IF(AND(#REF!&gt;=table!$E$7,#REF!&lt;=table!$F$7),1,0))</f>
        <v>#REF!</v>
      </c>
      <c r="S610" s="5" t="e">
        <f>IF(AND(#REF!&gt;=table!$C$8,#REF!&lt;= table!$D$8),-1,IF(AND(#REF!&gt;=table!$E$8,#REF!&lt;=table!$F$8),1,0))</f>
        <v>#REF!</v>
      </c>
      <c r="T610" s="5"/>
      <c r="U610" s="5" t="e">
        <f>IF(AND(#REF!&gt;=table!$C$10,#REF!&lt;= table!$D$10),-1,IF(AND(#REF!&gt;=table!$E$10,#REF!&lt;=table!$F$10),1,0))</f>
        <v>#REF!</v>
      </c>
      <c r="V610" s="5" t="e">
        <f>IF(AND(#REF!&gt;=table!$C$11,#REF!&lt;= table!$D$11),-1,IF(AND(#REF!&gt;=table!$E$11,#REF!&lt;=table!$F$11),1,0))</f>
        <v>#REF!</v>
      </c>
      <c r="W610" s="5" t="e">
        <f>CONCATENATE(dados[[#This Row],[fator1]],dados[[#This Row],[fator5]],dados[[#This Row],[fator6]])</f>
        <v>#REF!</v>
      </c>
    </row>
    <row r="611" spans="1:23">
      <c r="A611" t="s">
        <v>16</v>
      </c>
      <c r="B611">
        <v>482412</v>
      </c>
      <c r="C611">
        <v>0.15</v>
      </c>
      <c r="D611">
        <v>40</v>
      </c>
      <c r="E611">
        <v>10</v>
      </c>
      <c r="F611">
        <v>15</v>
      </c>
      <c r="G611">
        <v>0</v>
      </c>
      <c r="H611">
        <v>15</v>
      </c>
      <c r="I611">
        <v>1092</v>
      </c>
      <c r="J611">
        <v>0</v>
      </c>
      <c r="K611">
        <v>2.2995000000000001</v>
      </c>
      <c r="L611">
        <v>6.7949999999999999</v>
      </c>
      <c r="M611">
        <v>5.86</v>
      </c>
      <c r="N611">
        <v>11.645000000000001</v>
      </c>
      <c r="O611">
        <v>1681</v>
      </c>
      <c r="P611">
        <v>0</v>
      </c>
      <c r="Q611" s="5" t="e">
        <f>IF(AND(#REF!&gt;=table!$C$6,#REF!&lt;= table!$D$6),-1,IF(AND(#REF!&gt;=table!$E$6,#REF!&lt;=table!$F$6),1,0))</f>
        <v>#REF!</v>
      </c>
      <c r="R611" s="5" t="e">
        <f>IF(AND(#REF!&gt;=table!$C$7,#REF!&lt;= table!$D$7),-1,IF(AND(#REF!&gt;=table!$E$7,#REF!&lt;=table!$F$7),1,0))</f>
        <v>#REF!</v>
      </c>
      <c r="S611" s="5" t="e">
        <f>IF(AND(#REF!&gt;=table!$C$8,#REF!&lt;= table!$D$8),-1,IF(AND(#REF!&gt;=table!$E$8,#REF!&lt;=table!$F$8),1,0))</f>
        <v>#REF!</v>
      </c>
      <c r="T611" s="5"/>
      <c r="U611" s="5" t="e">
        <f>IF(AND(#REF!&gt;=table!$C$10,#REF!&lt;= table!$D$10),-1,IF(AND(#REF!&gt;=table!$E$10,#REF!&lt;=table!$F$10),1,0))</f>
        <v>#REF!</v>
      </c>
      <c r="V611" s="5" t="e">
        <f>IF(AND(#REF!&gt;=table!$C$11,#REF!&lt;= table!$D$11),-1,IF(AND(#REF!&gt;=table!$E$11,#REF!&lt;=table!$F$11),1,0))</f>
        <v>#REF!</v>
      </c>
      <c r="W611" s="5" t="e">
        <f>CONCATENATE(dados[[#This Row],[fator1]],dados[[#This Row],[fator5]],dados[[#This Row],[fator6]])</f>
        <v>#REF!</v>
      </c>
    </row>
    <row r="612" spans="1:23">
      <c r="A612" t="s">
        <v>16</v>
      </c>
      <c r="B612">
        <v>482413</v>
      </c>
      <c r="C612">
        <v>0.15</v>
      </c>
      <c r="D612">
        <v>40</v>
      </c>
      <c r="E612">
        <v>10</v>
      </c>
      <c r="F612">
        <v>15</v>
      </c>
      <c r="G612">
        <v>0</v>
      </c>
      <c r="H612">
        <v>15</v>
      </c>
      <c r="I612">
        <v>1180</v>
      </c>
      <c r="J612">
        <v>660</v>
      </c>
      <c r="K612">
        <v>4.63</v>
      </c>
      <c r="L612">
        <v>8.625</v>
      </c>
      <c r="M612">
        <v>5.98</v>
      </c>
      <c r="N612">
        <v>10.93</v>
      </c>
      <c r="O612">
        <v>1651</v>
      </c>
      <c r="P612">
        <v>0</v>
      </c>
      <c r="Q612" s="5" t="e">
        <f>IF(AND(#REF!&gt;=table!$C$6,#REF!&lt;= table!$D$6),-1,IF(AND(#REF!&gt;=table!$E$6,#REF!&lt;=table!$F$6),1,0))</f>
        <v>#REF!</v>
      </c>
      <c r="R612" s="5" t="e">
        <f>IF(AND(#REF!&gt;=table!$C$7,#REF!&lt;= table!$D$7),-1,IF(AND(#REF!&gt;=table!$E$7,#REF!&lt;=table!$F$7),1,0))</f>
        <v>#REF!</v>
      </c>
      <c r="S612" s="5" t="e">
        <f>IF(AND(#REF!&gt;=table!$C$8,#REF!&lt;= table!$D$8),-1,IF(AND(#REF!&gt;=table!$E$8,#REF!&lt;=table!$F$8),1,0))</f>
        <v>#REF!</v>
      </c>
      <c r="T612" s="5"/>
      <c r="U612" s="5" t="e">
        <f>IF(AND(#REF!&gt;=table!$C$10,#REF!&lt;= table!$D$10),-1,IF(AND(#REF!&gt;=table!$E$10,#REF!&lt;=table!$F$10),1,0))</f>
        <v>#REF!</v>
      </c>
      <c r="V612" s="5" t="e">
        <f>IF(AND(#REF!&gt;=table!$C$11,#REF!&lt;= table!$D$11),-1,IF(AND(#REF!&gt;=table!$E$11,#REF!&lt;=table!$F$11),1,0))</f>
        <v>#REF!</v>
      </c>
      <c r="W612" s="5" t="e">
        <f>CONCATENATE(dados[[#This Row],[fator1]],dados[[#This Row],[fator5]],dados[[#This Row],[fator6]])</f>
        <v>#REF!</v>
      </c>
    </row>
    <row r="613" spans="1:23">
      <c r="A613" t="s">
        <v>16</v>
      </c>
      <c r="B613">
        <v>482414</v>
      </c>
      <c r="C613">
        <v>4</v>
      </c>
      <c r="D613">
        <v>40</v>
      </c>
      <c r="E613">
        <v>21</v>
      </c>
      <c r="F613">
        <v>20</v>
      </c>
      <c r="G613">
        <v>0</v>
      </c>
      <c r="H613">
        <v>25</v>
      </c>
      <c r="I613">
        <v>787</v>
      </c>
      <c r="J613">
        <v>0</v>
      </c>
      <c r="K613">
        <v>4.4649999999999999</v>
      </c>
      <c r="L613">
        <v>10.370000000000001</v>
      </c>
      <c r="M613">
        <v>8.2350000000000012</v>
      </c>
      <c r="N613">
        <v>14.765000000000001</v>
      </c>
      <c r="O613">
        <v>1677</v>
      </c>
      <c r="P613">
        <v>1087</v>
      </c>
      <c r="Q613" s="5" t="e">
        <f>IF(AND(#REF!&gt;=table!$C$6,#REF!&lt;= table!$D$6),-1,IF(AND(#REF!&gt;=table!$E$6,#REF!&lt;=table!$F$6),1,0))</f>
        <v>#REF!</v>
      </c>
      <c r="R613" s="5" t="e">
        <f>IF(AND(#REF!&gt;=table!$C$7,#REF!&lt;= table!$D$7),-1,IF(AND(#REF!&gt;=table!$E$7,#REF!&lt;=table!$F$7),1,0))</f>
        <v>#REF!</v>
      </c>
      <c r="S613" s="5" t="e">
        <f>IF(AND(#REF!&gt;=table!$C$8,#REF!&lt;= table!$D$8),-1,IF(AND(#REF!&gt;=table!$E$8,#REF!&lt;=table!$F$8),1,0))</f>
        <v>#REF!</v>
      </c>
      <c r="T613" s="5"/>
      <c r="U613" s="5" t="e">
        <f>IF(AND(#REF!&gt;=table!$C$10,#REF!&lt;= table!$D$10),-1,IF(AND(#REF!&gt;=table!$E$10,#REF!&lt;=table!$F$10),1,0))</f>
        <v>#REF!</v>
      </c>
      <c r="V613" s="5" t="e">
        <f>IF(AND(#REF!&gt;=table!$C$11,#REF!&lt;= table!$D$11),-1,IF(AND(#REF!&gt;=table!$E$11,#REF!&lt;=table!$F$11),1,0))</f>
        <v>#REF!</v>
      </c>
      <c r="W613" s="5" t="e">
        <f>CONCATENATE(dados[[#This Row],[fator1]],dados[[#This Row],[fator5]],dados[[#This Row],[fator6]])</f>
        <v>#REF!</v>
      </c>
    </row>
    <row r="614" spans="1:23">
      <c r="A614" t="s">
        <v>16</v>
      </c>
      <c r="B614">
        <v>482416</v>
      </c>
      <c r="C614">
        <v>4</v>
      </c>
      <c r="D614">
        <v>40</v>
      </c>
      <c r="E614">
        <v>21</v>
      </c>
      <c r="F614">
        <v>20</v>
      </c>
      <c r="G614">
        <v>0</v>
      </c>
      <c r="H614">
        <v>25</v>
      </c>
      <c r="I614">
        <v>2193</v>
      </c>
      <c r="J614">
        <v>1380</v>
      </c>
      <c r="K614">
        <v>6.1000000000000005</v>
      </c>
      <c r="L614">
        <v>4.33</v>
      </c>
      <c r="M614">
        <v>13.215</v>
      </c>
      <c r="N614">
        <v>12.07</v>
      </c>
      <c r="O614">
        <v>1579</v>
      </c>
      <c r="P614">
        <v>530</v>
      </c>
      <c r="Q614" s="5" t="e">
        <f>IF(AND(#REF!&gt;=table!$C$6,#REF!&lt;= table!$D$6),-1,IF(AND(#REF!&gt;=table!$E$6,#REF!&lt;=table!$F$6),1,0))</f>
        <v>#REF!</v>
      </c>
      <c r="R614" s="5" t="e">
        <f>IF(AND(#REF!&gt;=table!$C$7,#REF!&lt;= table!$D$7),-1,IF(AND(#REF!&gt;=table!$E$7,#REF!&lt;=table!$F$7),1,0))</f>
        <v>#REF!</v>
      </c>
      <c r="S614" s="5" t="e">
        <f>IF(AND(#REF!&gt;=table!$C$8,#REF!&lt;= table!$D$8),-1,IF(AND(#REF!&gt;=table!$E$8,#REF!&lt;=table!$F$8),1,0))</f>
        <v>#REF!</v>
      </c>
      <c r="T614" s="5"/>
      <c r="U614" s="5" t="e">
        <f>IF(AND(#REF!&gt;=table!$C$10,#REF!&lt;= table!$D$10),-1,IF(AND(#REF!&gt;=table!$E$10,#REF!&lt;=table!$F$10),1,0))</f>
        <v>#REF!</v>
      </c>
      <c r="V614" s="5" t="e">
        <f>IF(AND(#REF!&gt;=table!$C$11,#REF!&lt;= table!$D$11),-1,IF(AND(#REF!&gt;=table!$E$11,#REF!&lt;=table!$F$11),1,0))</f>
        <v>#REF!</v>
      </c>
      <c r="W614" s="5" t="e">
        <f>CONCATENATE(dados[[#This Row],[fator1]],dados[[#This Row],[fator5]],dados[[#This Row],[fator6]])</f>
        <v>#REF!</v>
      </c>
    </row>
    <row r="615" spans="1:23">
      <c r="A615" t="s">
        <v>16</v>
      </c>
      <c r="B615">
        <v>482421</v>
      </c>
      <c r="C615">
        <v>7</v>
      </c>
      <c r="D615">
        <v>35</v>
      </c>
      <c r="E615">
        <v>170</v>
      </c>
      <c r="F615">
        <v>6</v>
      </c>
      <c r="G615">
        <v>0</v>
      </c>
      <c r="H615">
        <v>20</v>
      </c>
      <c r="I615">
        <v>720</v>
      </c>
      <c r="J615">
        <v>0</v>
      </c>
      <c r="K615">
        <v>5.165</v>
      </c>
      <c r="L615">
        <v>8.77</v>
      </c>
      <c r="M615">
        <v>148.47</v>
      </c>
      <c r="N615">
        <v>12.81</v>
      </c>
      <c r="O615">
        <v>1689</v>
      </c>
      <c r="P615">
        <v>870</v>
      </c>
      <c r="Q615" s="5" t="e">
        <f>IF(AND(#REF!&gt;=table!$C$6,#REF!&lt;= table!$D$6),-1,IF(AND(#REF!&gt;=table!$E$6,#REF!&lt;=table!$F$6),1,0))</f>
        <v>#REF!</v>
      </c>
      <c r="R615" s="5" t="e">
        <f>IF(AND(#REF!&gt;=table!$C$7,#REF!&lt;= table!$D$7),-1,IF(AND(#REF!&gt;=table!$E$7,#REF!&lt;=table!$F$7),1,0))</f>
        <v>#REF!</v>
      </c>
      <c r="S615" s="5" t="e">
        <f>IF(AND(#REF!&gt;=table!$C$8,#REF!&lt;= table!$D$8),-1,IF(AND(#REF!&gt;=table!$E$8,#REF!&lt;=table!$F$8),1,0))</f>
        <v>#REF!</v>
      </c>
      <c r="T615" s="5"/>
      <c r="U615" s="5" t="e">
        <f>IF(AND(#REF!&gt;=table!$C$10,#REF!&lt;= table!$D$10),-1,IF(AND(#REF!&gt;=table!$E$10,#REF!&lt;=table!$F$10),1,0))</f>
        <v>#REF!</v>
      </c>
      <c r="V615" s="5" t="e">
        <f>IF(AND(#REF!&gt;=table!$C$11,#REF!&lt;= table!$D$11),-1,IF(AND(#REF!&gt;=table!$E$11,#REF!&lt;=table!$F$11),1,0))</f>
        <v>#REF!</v>
      </c>
      <c r="W615" s="5" t="e">
        <f>CONCATENATE(dados[[#This Row],[fator1]],dados[[#This Row],[fator5]],dados[[#This Row],[fator6]])</f>
        <v>#REF!</v>
      </c>
    </row>
    <row r="616" spans="1:23">
      <c r="A616" t="s">
        <v>16</v>
      </c>
      <c r="B616">
        <v>482422</v>
      </c>
      <c r="C616">
        <v>7</v>
      </c>
      <c r="D616">
        <v>35</v>
      </c>
      <c r="E616">
        <v>170</v>
      </c>
      <c r="F616">
        <v>6</v>
      </c>
      <c r="G616">
        <v>0</v>
      </c>
      <c r="H616">
        <v>20</v>
      </c>
      <c r="I616">
        <v>6</v>
      </c>
      <c r="J616">
        <v>0</v>
      </c>
      <c r="K616">
        <v>4.8950000000000005</v>
      </c>
      <c r="L616">
        <v>8.35</v>
      </c>
      <c r="M616">
        <v>125.55500000000001</v>
      </c>
      <c r="N616">
        <v>11.66</v>
      </c>
      <c r="O616">
        <v>1688</v>
      </c>
      <c r="P616">
        <v>953</v>
      </c>
      <c r="Q616" s="5" t="e">
        <f>IF(AND(#REF!&gt;=table!$C$6,#REF!&lt;= table!$D$6),-1,IF(AND(#REF!&gt;=table!$E$6,#REF!&lt;=table!$F$6),1,0))</f>
        <v>#REF!</v>
      </c>
      <c r="R616" s="5" t="e">
        <f>IF(AND(#REF!&gt;=table!$C$7,#REF!&lt;= table!$D$7),-1,IF(AND(#REF!&gt;=table!$E$7,#REF!&lt;=table!$F$7),1,0))</f>
        <v>#REF!</v>
      </c>
      <c r="S616" s="5" t="e">
        <f>IF(AND(#REF!&gt;=table!$C$8,#REF!&lt;= table!$D$8),-1,IF(AND(#REF!&gt;=table!$E$8,#REF!&lt;=table!$F$8),1,0))</f>
        <v>#REF!</v>
      </c>
      <c r="T616" s="5"/>
      <c r="U616" s="5" t="e">
        <f>IF(AND(#REF!&gt;=table!$C$10,#REF!&lt;= table!$D$10),-1,IF(AND(#REF!&gt;=table!$E$10,#REF!&lt;=table!$F$10),1,0))</f>
        <v>#REF!</v>
      </c>
      <c r="V616" s="5" t="e">
        <f>IF(AND(#REF!&gt;=table!$C$11,#REF!&lt;= table!$D$11),-1,IF(AND(#REF!&gt;=table!$E$11,#REF!&lt;=table!$F$11),1,0))</f>
        <v>#REF!</v>
      </c>
      <c r="W616" s="5" t="e">
        <f>CONCATENATE(dados[[#This Row],[fator1]],dados[[#This Row],[fator5]],dados[[#This Row],[fator6]])</f>
        <v>#REF!</v>
      </c>
    </row>
    <row r="617" spans="1:23">
      <c r="A617" t="s">
        <v>16</v>
      </c>
      <c r="B617">
        <v>482423</v>
      </c>
      <c r="C617">
        <v>7</v>
      </c>
      <c r="D617">
        <v>35</v>
      </c>
      <c r="E617">
        <v>170</v>
      </c>
      <c r="F617">
        <v>6</v>
      </c>
      <c r="G617">
        <v>0</v>
      </c>
      <c r="H617">
        <v>20</v>
      </c>
      <c r="I617">
        <v>1019</v>
      </c>
      <c r="J617">
        <v>0</v>
      </c>
      <c r="K617">
        <v>5.9649999999999999</v>
      </c>
      <c r="L617">
        <v>6.97</v>
      </c>
      <c r="M617">
        <v>145.85</v>
      </c>
      <c r="N617">
        <v>8.14</v>
      </c>
      <c r="O617">
        <v>1668</v>
      </c>
      <c r="P617">
        <v>725</v>
      </c>
      <c r="Q617" s="5" t="e">
        <f>IF(AND(#REF!&gt;=table!$C$6,#REF!&lt;= table!$D$6),-1,IF(AND(#REF!&gt;=table!$E$6,#REF!&lt;=table!$F$6),1,0))</f>
        <v>#REF!</v>
      </c>
      <c r="R617" s="5" t="e">
        <f>IF(AND(#REF!&gt;=table!$C$7,#REF!&lt;= table!$D$7),-1,IF(AND(#REF!&gt;=table!$E$7,#REF!&lt;=table!$F$7),1,0))</f>
        <v>#REF!</v>
      </c>
      <c r="S617" s="5" t="e">
        <f>IF(AND(#REF!&gt;=table!$C$8,#REF!&lt;= table!$D$8),-1,IF(AND(#REF!&gt;=table!$E$8,#REF!&lt;=table!$F$8),1,0))</f>
        <v>#REF!</v>
      </c>
      <c r="T617" s="5"/>
      <c r="U617" s="5" t="e">
        <f>IF(AND(#REF!&gt;=table!$C$10,#REF!&lt;= table!$D$10),-1,IF(AND(#REF!&gt;=table!$E$10,#REF!&lt;=table!$F$10),1,0))</f>
        <v>#REF!</v>
      </c>
      <c r="V617" s="5" t="e">
        <f>IF(AND(#REF!&gt;=table!$C$11,#REF!&lt;= table!$D$11),-1,IF(AND(#REF!&gt;=table!$E$11,#REF!&lt;=table!$F$11),1,0))</f>
        <v>#REF!</v>
      </c>
      <c r="W617" s="5" t="e">
        <f>CONCATENATE(dados[[#This Row],[fator1]],dados[[#This Row],[fator5]],dados[[#This Row],[fator6]])</f>
        <v>#REF!</v>
      </c>
    </row>
    <row r="618" spans="1:23">
      <c r="A618" t="s">
        <v>16</v>
      </c>
      <c r="B618">
        <v>482424</v>
      </c>
      <c r="C618">
        <v>7</v>
      </c>
      <c r="D618">
        <v>35</v>
      </c>
      <c r="E618">
        <v>170</v>
      </c>
      <c r="F618">
        <v>6</v>
      </c>
      <c r="G618">
        <v>0</v>
      </c>
      <c r="H618">
        <v>20</v>
      </c>
      <c r="I618">
        <v>13</v>
      </c>
      <c r="J618">
        <v>0</v>
      </c>
      <c r="K618">
        <v>5.5533000000000001</v>
      </c>
      <c r="L618">
        <v>10.18</v>
      </c>
      <c r="M618">
        <v>117</v>
      </c>
      <c r="N618">
        <v>13.67</v>
      </c>
      <c r="O618">
        <v>1680</v>
      </c>
      <c r="P618">
        <v>0</v>
      </c>
      <c r="Q618" s="5" t="e">
        <f>IF(AND(#REF!&gt;=table!$C$6,#REF!&lt;= table!$D$6),-1,IF(AND(#REF!&gt;=table!$E$6,#REF!&lt;=table!$F$6),1,0))</f>
        <v>#REF!</v>
      </c>
      <c r="R618" s="5" t="e">
        <f>IF(AND(#REF!&gt;=table!$C$7,#REF!&lt;= table!$D$7),-1,IF(AND(#REF!&gt;=table!$E$7,#REF!&lt;=table!$F$7),1,0))</f>
        <v>#REF!</v>
      </c>
      <c r="S618" s="5" t="e">
        <f>IF(AND(#REF!&gt;=table!$C$8,#REF!&lt;= table!$D$8),-1,IF(AND(#REF!&gt;=table!$E$8,#REF!&lt;=table!$F$8),1,0))</f>
        <v>#REF!</v>
      </c>
      <c r="T618" s="5"/>
      <c r="U618" s="5" t="e">
        <f>IF(AND(#REF!&gt;=table!$C$10,#REF!&lt;= table!$D$10),-1,IF(AND(#REF!&gt;=table!$E$10,#REF!&lt;=table!$F$10),1,0))</f>
        <v>#REF!</v>
      </c>
      <c r="V618" s="5" t="e">
        <f>IF(AND(#REF!&gt;=table!$C$11,#REF!&lt;= table!$D$11),-1,IF(AND(#REF!&gt;=table!$E$11,#REF!&lt;=table!$F$11),1,0))</f>
        <v>#REF!</v>
      </c>
      <c r="W618" s="5" t="e">
        <f>CONCATENATE(dados[[#This Row],[fator1]],dados[[#This Row],[fator5]],dados[[#This Row],[fator6]])</f>
        <v>#REF!</v>
      </c>
    </row>
    <row r="619" spans="1:23">
      <c r="A619" t="s">
        <v>16</v>
      </c>
      <c r="B619">
        <v>482428</v>
      </c>
      <c r="C619">
        <v>9</v>
      </c>
      <c r="D619">
        <v>27</v>
      </c>
      <c r="E619">
        <v>36</v>
      </c>
      <c r="F619">
        <v>8</v>
      </c>
      <c r="G619">
        <v>0</v>
      </c>
      <c r="H619">
        <v>25</v>
      </c>
      <c r="I619">
        <v>635</v>
      </c>
      <c r="J619">
        <v>0</v>
      </c>
      <c r="K619">
        <v>2.7520000000000002</v>
      </c>
      <c r="L619">
        <v>5.5350000000000001</v>
      </c>
      <c r="M619">
        <v>28.075000000000003</v>
      </c>
      <c r="N619">
        <v>8.5250000000000004</v>
      </c>
      <c r="O619">
        <v>1657</v>
      </c>
      <c r="P619">
        <v>0</v>
      </c>
      <c r="Q619" s="5" t="e">
        <f>IF(AND(#REF!&gt;=table!$C$6,#REF!&lt;= table!$D$6),-1,IF(AND(#REF!&gt;=table!$E$6,#REF!&lt;=table!$F$6),1,0))</f>
        <v>#REF!</v>
      </c>
      <c r="R619" s="5" t="e">
        <f>IF(AND(#REF!&gt;=table!$C$7,#REF!&lt;= table!$D$7),-1,IF(AND(#REF!&gt;=table!$E$7,#REF!&lt;=table!$F$7),1,0))</f>
        <v>#REF!</v>
      </c>
      <c r="S619" s="5" t="e">
        <f>IF(AND(#REF!&gt;=table!$C$8,#REF!&lt;= table!$D$8),-1,IF(AND(#REF!&gt;=table!$E$8,#REF!&lt;=table!$F$8),1,0))</f>
        <v>#REF!</v>
      </c>
      <c r="T619" s="5"/>
      <c r="U619" s="5" t="e">
        <f>IF(AND(#REF!&gt;=table!$C$10,#REF!&lt;= table!$D$10),-1,IF(AND(#REF!&gt;=table!$E$10,#REF!&lt;=table!$F$10),1,0))</f>
        <v>#REF!</v>
      </c>
      <c r="V619" s="5" t="e">
        <f>IF(AND(#REF!&gt;=table!$C$11,#REF!&lt;= table!$D$11),-1,IF(AND(#REF!&gt;=table!$E$11,#REF!&lt;=table!$F$11),1,0))</f>
        <v>#REF!</v>
      </c>
      <c r="W619" s="5" t="e">
        <f>CONCATENATE(dados[[#This Row],[fator1]],dados[[#This Row],[fator5]],dados[[#This Row],[fator6]])</f>
        <v>#REF!</v>
      </c>
    </row>
    <row r="620" spans="1:23">
      <c r="A620" t="s">
        <v>16</v>
      </c>
      <c r="B620">
        <v>482430</v>
      </c>
      <c r="C620">
        <v>9</v>
      </c>
      <c r="D620">
        <v>40</v>
      </c>
      <c r="E620">
        <v>46</v>
      </c>
      <c r="F620">
        <v>15</v>
      </c>
      <c r="G620">
        <v>0</v>
      </c>
      <c r="H620">
        <v>25</v>
      </c>
      <c r="I620">
        <v>59</v>
      </c>
      <c r="J620">
        <v>1370</v>
      </c>
      <c r="K620">
        <v>8.9550000000000001</v>
      </c>
      <c r="L620">
        <v>6</v>
      </c>
      <c r="M620">
        <v>34.92</v>
      </c>
      <c r="N620">
        <v>8.8949999999999996</v>
      </c>
      <c r="O620">
        <v>1586</v>
      </c>
      <c r="P620">
        <v>373</v>
      </c>
      <c r="Q620" s="5" t="e">
        <f>IF(AND(#REF!&gt;=table!$C$6,#REF!&lt;= table!$D$6),-1,IF(AND(#REF!&gt;=table!$E$6,#REF!&lt;=table!$F$6),1,0))</f>
        <v>#REF!</v>
      </c>
      <c r="R620" s="5" t="e">
        <f>IF(AND(#REF!&gt;=table!$C$7,#REF!&lt;= table!$D$7),-1,IF(AND(#REF!&gt;=table!$E$7,#REF!&lt;=table!$F$7),1,0))</f>
        <v>#REF!</v>
      </c>
      <c r="S620" s="5" t="e">
        <f>IF(AND(#REF!&gt;=table!$C$8,#REF!&lt;= table!$D$8),-1,IF(AND(#REF!&gt;=table!$E$8,#REF!&lt;=table!$F$8),1,0))</f>
        <v>#REF!</v>
      </c>
      <c r="T620" s="5"/>
      <c r="U620" s="5" t="e">
        <f>IF(AND(#REF!&gt;=table!$C$10,#REF!&lt;= table!$D$10),-1,IF(AND(#REF!&gt;=table!$E$10,#REF!&lt;=table!$F$10),1,0))</f>
        <v>#REF!</v>
      </c>
      <c r="V620" s="5" t="e">
        <f>IF(AND(#REF!&gt;=table!$C$11,#REF!&lt;= table!$D$11),-1,IF(AND(#REF!&gt;=table!$E$11,#REF!&lt;=table!$F$11),1,0))</f>
        <v>#REF!</v>
      </c>
      <c r="W620" s="5" t="e">
        <f>CONCATENATE(dados[[#This Row],[fator1]],dados[[#This Row],[fator5]],dados[[#This Row],[fator6]])</f>
        <v>#REF!</v>
      </c>
    </row>
    <row r="621" spans="1:23">
      <c r="A621" t="s">
        <v>16</v>
      </c>
      <c r="B621">
        <v>482431</v>
      </c>
      <c r="C621">
        <v>7</v>
      </c>
      <c r="D621">
        <v>27</v>
      </c>
      <c r="E621">
        <v>36</v>
      </c>
      <c r="F621">
        <v>8</v>
      </c>
      <c r="G621">
        <v>0</v>
      </c>
      <c r="H621">
        <v>25</v>
      </c>
      <c r="I621">
        <v>2</v>
      </c>
      <c r="J621">
        <v>760</v>
      </c>
      <c r="K621">
        <v>2.7</v>
      </c>
      <c r="L621">
        <v>12.8</v>
      </c>
      <c r="M621">
        <v>25.6</v>
      </c>
      <c r="N621">
        <v>21.35</v>
      </c>
      <c r="O621">
        <v>1662</v>
      </c>
      <c r="P621">
        <v>1129</v>
      </c>
      <c r="Q621" s="5" t="e">
        <f>IF(AND(#REF!&gt;=table!$C$6,#REF!&lt;= table!$D$6),-1,IF(AND(#REF!&gt;=table!$E$6,#REF!&lt;=table!$F$6),1,0))</f>
        <v>#REF!</v>
      </c>
      <c r="R621" s="5" t="e">
        <f>IF(AND(#REF!&gt;=table!$C$7,#REF!&lt;= table!$D$7),-1,IF(AND(#REF!&gt;=table!$E$7,#REF!&lt;=table!$F$7),1,0))</f>
        <v>#REF!</v>
      </c>
      <c r="S621" s="5" t="e">
        <f>IF(AND(#REF!&gt;=table!$C$8,#REF!&lt;= table!$D$8),-1,IF(AND(#REF!&gt;=table!$E$8,#REF!&lt;=table!$F$8),1,0))</f>
        <v>#REF!</v>
      </c>
      <c r="T621" s="5"/>
      <c r="U621" s="5" t="e">
        <f>IF(AND(#REF!&gt;=table!$C$10,#REF!&lt;= table!$D$10),-1,IF(AND(#REF!&gt;=table!$E$10,#REF!&lt;=table!$F$10),1,0))</f>
        <v>#REF!</v>
      </c>
      <c r="V621" s="5" t="e">
        <f>IF(AND(#REF!&gt;=table!$C$11,#REF!&lt;= table!$D$11),-1,IF(AND(#REF!&gt;=table!$E$11,#REF!&lt;=table!$F$11),1,0))</f>
        <v>#REF!</v>
      </c>
      <c r="W621" s="5" t="e">
        <f>CONCATENATE(dados[[#This Row],[fator1]],dados[[#This Row],[fator5]],dados[[#This Row],[fator6]])</f>
        <v>#REF!</v>
      </c>
    </row>
    <row r="622" spans="1:23">
      <c r="A622" t="s">
        <v>16</v>
      </c>
      <c r="B622">
        <v>482436</v>
      </c>
      <c r="C622">
        <v>6</v>
      </c>
      <c r="D622">
        <v>40</v>
      </c>
      <c r="E622">
        <v>30</v>
      </c>
      <c r="F622">
        <v>4</v>
      </c>
      <c r="G622">
        <v>0</v>
      </c>
      <c r="H622">
        <v>23</v>
      </c>
      <c r="I622">
        <v>69</v>
      </c>
      <c r="J622">
        <v>0</v>
      </c>
      <c r="K622">
        <v>4.6450000000000005</v>
      </c>
      <c r="L622">
        <v>7.72</v>
      </c>
      <c r="M622">
        <v>26</v>
      </c>
      <c r="N622">
        <v>8.8000000000000007</v>
      </c>
      <c r="O622">
        <v>1651</v>
      </c>
      <c r="P622">
        <v>0</v>
      </c>
      <c r="Q622" s="5" t="e">
        <f>IF(AND(#REF!&gt;=table!$C$6,#REF!&lt;= table!$D$6),-1,IF(AND(#REF!&gt;=table!$E$6,#REF!&lt;=table!$F$6),1,0))</f>
        <v>#REF!</v>
      </c>
      <c r="R622" s="5" t="e">
        <f>IF(AND(#REF!&gt;=table!$C$7,#REF!&lt;= table!$D$7),-1,IF(AND(#REF!&gt;=table!$E$7,#REF!&lt;=table!$F$7),1,0))</f>
        <v>#REF!</v>
      </c>
      <c r="S622" s="5" t="e">
        <f>IF(AND(#REF!&gt;=table!$C$8,#REF!&lt;= table!$D$8),-1,IF(AND(#REF!&gt;=table!$E$8,#REF!&lt;=table!$F$8),1,0))</f>
        <v>#REF!</v>
      </c>
      <c r="T622" s="5"/>
      <c r="U622" s="5" t="e">
        <f>IF(AND(#REF!&gt;=table!$C$10,#REF!&lt;= table!$D$10),-1,IF(AND(#REF!&gt;=table!$E$10,#REF!&lt;=table!$F$10),1,0))</f>
        <v>#REF!</v>
      </c>
      <c r="V622" s="5" t="e">
        <f>IF(AND(#REF!&gt;=table!$C$11,#REF!&lt;= table!$D$11),-1,IF(AND(#REF!&gt;=table!$E$11,#REF!&lt;=table!$F$11),1,0))</f>
        <v>#REF!</v>
      </c>
      <c r="W622" s="5" t="e">
        <f>CONCATENATE(dados[[#This Row],[fator1]],dados[[#This Row],[fator5]],dados[[#This Row],[fator6]])</f>
        <v>#REF!</v>
      </c>
    </row>
    <row r="623" spans="1:23">
      <c r="A623" t="s">
        <v>16</v>
      </c>
      <c r="B623">
        <v>482443</v>
      </c>
      <c r="C623">
        <v>7</v>
      </c>
      <c r="D623">
        <v>33</v>
      </c>
      <c r="E623">
        <v>150</v>
      </c>
      <c r="F623">
        <v>4</v>
      </c>
      <c r="G623">
        <v>0</v>
      </c>
      <c r="H623">
        <v>25</v>
      </c>
      <c r="I623">
        <v>745</v>
      </c>
      <c r="J623">
        <v>0</v>
      </c>
      <c r="K623">
        <v>2.3125</v>
      </c>
      <c r="L623">
        <v>4.6150000000000002</v>
      </c>
      <c r="M623">
        <v>122.9</v>
      </c>
      <c r="N623">
        <v>14.6</v>
      </c>
      <c r="O623">
        <v>1682</v>
      </c>
      <c r="P623">
        <v>0</v>
      </c>
      <c r="Q623" s="5" t="e">
        <f>IF(AND(#REF!&gt;=table!$C$6,#REF!&lt;= table!$D$6),-1,IF(AND(#REF!&gt;=table!$E$6,#REF!&lt;=table!$F$6),1,0))</f>
        <v>#REF!</v>
      </c>
      <c r="R623" s="5" t="e">
        <f>IF(AND(#REF!&gt;=table!$C$7,#REF!&lt;= table!$D$7),-1,IF(AND(#REF!&gt;=table!$E$7,#REF!&lt;=table!$F$7),1,0))</f>
        <v>#REF!</v>
      </c>
      <c r="S623" s="5" t="e">
        <f>IF(AND(#REF!&gt;=table!$C$8,#REF!&lt;= table!$D$8),-1,IF(AND(#REF!&gt;=table!$E$8,#REF!&lt;=table!$F$8),1,0))</f>
        <v>#REF!</v>
      </c>
      <c r="T623" s="5"/>
      <c r="U623" s="5" t="e">
        <f>IF(AND(#REF!&gt;=table!$C$10,#REF!&lt;= table!$D$10),-1,IF(AND(#REF!&gt;=table!$E$10,#REF!&lt;=table!$F$10),1,0))</f>
        <v>#REF!</v>
      </c>
      <c r="V623" s="5" t="e">
        <f>IF(AND(#REF!&gt;=table!$C$11,#REF!&lt;= table!$D$11),-1,IF(AND(#REF!&gt;=table!$E$11,#REF!&lt;=table!$F$11),1,0))</f>
        <v>#REF!</v>
      </c>
      <c r="W623" s="5" t="e">
        <f>CONCATENATE(dados[[#This Row],[fator1]],dados[[#This Row],[fator5]],dados[[#This Row],[fator6]])</f>
        <v>#REF!</v>
      </c>
    </row>
    <row r="624" spans="1:23">
      <c r="A624" t="s">
        <v>16</v>
      </c>
      <c r="B624">
        <v>482444</v>
      </c>
      <c r="C624">
        <v>7</v>
      </c>
      <c r="D624">
        <v>33</v>
      </c>
      <c r="E624">
        <v>153</v>
      </c>
      <c r="F624">
        <v>4</v>
      </c>
      <c r="G624">
        <v>0</v>
      </c>
      <c r="H624">
        <v>25</v>
      </c>
      <c r="I624">
        <v>1109</v>
      </c>
      <c r="J624">
        <v>0</v>
      </c>
      <c r="K624">
        <v>4.24</v>
      </c>
      <c r="L624">
        <v>8.1850000000000005</v>
      </c>
      <c r="M624">
        <v>130.55000000000001</v>
      </c>
      <c r="N624">
        <v>10.9</v>
      </c>
      <c r="O624">
        <v>1666</v>
      </c>
      <c r="P624">
        <v>1099</v>
      </c>
      <c r="Q624" s="5" t="e">
        <f>IF(AND(#REF!&gt;=table!$C$6,#REF!&lt;= table!$D$6),-1,IF(AND(#REF!&gt;=table!$E$6,#REF!&lt;=table!$F$6),1,0))</f>
        <v>#REF!</v>
      </c>
      <c r="R624" s="5" t="e">
        <f>IF(AND(#REF!&gt;=table!$C$7,#REF!&lt;= table!$D$7),-1,IF(AND(#REF!&gt;=table!$E$7,#REF!&lt;=table!$F$7),1,0))</f>
        <v>#REF!</v>
      </c>
      <c r="S624" s="5" t="e">
        <f>IF(AND(#REF!&gt;=table!$C$8,#REF!&lt;= table!$D$8),-1,IF(AND(#REF!&gt;=table!$E$8,#REF!&lt;=table!$F$8),1,0))</f>
        <v>#REF!</v>
      </c>
      <c r="T624" s="5"/>
      <c r="U624" s="5" t="e">
        <f>IF(AND(#REF!&gt;=table!$C$10,#REF!&lt;= table!$D$10),-1,IF(AND(#REF!&gt;=table!$E$10,#REF!&lt;=table!$F$10),1,0))</f>
        <v>#REF!</v>
      </c>
      <c r="V624" s="5" t="e">
        <f>IF(AND(#REF!&gt;=table!$C$11,#REF!&lt;= table!$D$11),-1,IF(AND(#REF!&gt;=table!$E$11,#REF!&lt;=table!$F$11),1,0))</f>
        <v>#REF!</v>
      </c>
      <c r="W624" s="5" t="e">
        <f>CONCATENATE(dados[[#This Row],[fator1]],dados[[#This Row],[fator5]],dados[[#This Row],[fator6]])</f>
        <v>#REF!</v>
      </c>
    </row>
    <row r="625" spans="1:23">
      <c r="A625" t="s">
        <v>16</v>
      </c>
      <c r="B625">
        <v>482445</v>
      </c>
      <c r="C625">
        <v>6</v>
      </c>
      <c r="D625">
        <v>25</v>
      </c>
      <c r="E625">
        <v>120</v>
      </c>
      <c r="F625">
        <v>4</v>
      </c>
      <c r="G625">
        <v>0</v>
      </c>
      <c r="H625">
        <v>55</v>
      </c>
      <c r="I625">
        <v>674</v>
      </c>
      <c r="J625">
        <v>0</v>
      </c>
      <c r="K625">
        <v>3.355</v>
      </c>
      <c r="L625">
        <v>12.950000000000001</v>
      </c>
      <c r="M625">
        <v>105.3</v>
      </c>
      <c r="N625">
        <v>40.450000000000003</v>
      </c>
      <c r="O625">
        <v>1695</v>
      </c>
      <c r="P625">
        <v>1162</v>
      </c>
      <c r="Q625" s="5" t="e">
        <f>IF(AND(#REF!&gt;=table!$C$6,#REF!&lt;= table!$D$6),-1,IF(AND(#REF!&gt;=table!$E$6,#REF!&lt;=table!$F$6),1,0))</f>
        <v>#REF!</v>
      </c>
      <c r="R625" s="5" t="e">
        <f>IF(AND(#REF!&gt;=table!$C$7,#REF!&lt;= table!$D$7),-1,IF(AND(#REF!&gt;=table!$E$7,#REF!&lt;=table!$F$7),1,0))</f>
        <v>#REF!</v>
      </c>
      <c r="S625" s="5" t="e">
        <f>IF(AND(#REF!&gt;=table!$C$8,#REF!&lt;= table!$D$8),-1,IF(AND(#REF!&gt;=table!$E$8,#REF!&lt;=table!$F$8),1,0))</f>
        <v>#REF!</v>
      </c>
      <c r="T625" s="5"/>
      <c r="U625" s="5" t="e">
        <f>IF(AND(#REF!&gt;=table!$C$10,#REF!&lt;= table!$D$10),-1,IF(AND(#REF!&gt;=table!$E$10,#REF!&lt;=table!$F$10),1,0))</f>
        <v>#REF!</v>
      </c>
      <c r="V625" s="5" t="e">
        <f>IF(AND(#REF!&gt;=table!$C$11,#REF!&lt;= table!$D$11),-1,IF(AND(#REF!&gt;=table!$E$11,#REF!&lt;=table!$F$11),1,0))</f>
        <v>#REF!</v>
      </c>
      <c r="W625" s="5" t="e">
        <f>CONCATENATE(dados[[#This Row],[fator1]],dados[[#This Row],[fator5]],dados[[#This Row],[fator6]])</f>
        <v>#REF!</v>
      </c>
    </row>
    <row r="626" spans="1:23">
      <c r="A626" t="s">
        <v>16</v>
      </c>
      <c r="B626">
        <v>482446</v>
      </c>
      <c r="C626">
        <v>6</v>
      </c>
      <c r="D626">
        <v>25</v>
      </c>
      <c r="E626">
        <v>120</v>
      </c>
      <c r="F626">
        <v>4</v>
      </c>
      <c r="G626">
        <v>0</v>
      </c>
      <c r="H626">
        <v>55</v>
      </c>
      <c r="I626">
        <v>1054</v>
      </c>
      <c r="J626">
        <v>0</v>
      </c>
      <c r="K626">
        <v>7.1050000000000004</v>
      </c>
      <c r="L626">
        <v>14.3</v>
      </c>
      <c r="M626">
        <v>118.51</v>
      </c>
      <c r="N626">
        <v>38.015000000000001</v>
      </c>
      <c r="O626">
        <v>1685</v>
      </c>
      <c r="P626">
        <v>517</v>
      </c>
      <c r="Q626" s="5" t="e">
        <f>IF(AND(#REF!&gt;=table!$C$6,#REF!&lt;= table!$D$6),-1,IF(AND(#REF!&gt;=table!$E$6,#REF!&lt;=table!$F$6),1,0))</f>
        <v>#REF!</v>
      </c>
      <c r="R626" s="5" t="e">
        <f>IF(AND(#REF!&gt;=table!$C$7,#REF!&lt;= table!$D$7),-1,IF(AND(#REF!&gt;=table!$E$7,#REF!&lt;=table!$F$7),1,0))</f>
        <v>#REF!</v>
      </c>
      <c r="S626" s="5" t="e">
        <f>IF(AND(#REF!&gt;=table!$C$8,#REF!&lt;= table!$D$8),-1,IF(AND(#REF!&gt;=table!$E$8,#REF!&lt;=table!$F$8),1,0))</f>
        <v>#REF!</v>
      </c>
      <c r="T626" s="5"/>
      <c r="U626" s="5" t="e">
        <f>IF(AND(#REF!&gt;=table!$C$10,#REF!&lt;= table!$D$10),-1,IF(AND(#REF!&gt;=table!$E$10,#REF!&lt;=table!$F$10),1,0))</f>
        <v>#REF!</v>
      </c>
      <c r="V626" s="5" t="e">
        <f>IF(AND(#REF!&gt;=table!$C$11,#REF!&lt;= table!$D$11),-1,IF(AND(#REF!&gt;=table!$E$11,#REF!&lt;=table!$F$11),1,0))</f>
        <v>#REF!</v>
      </c>
      <c r="W626" s="5" t="e">
        <f>CONCATENATE(dados[[#This Row],[fator1]],dados[[#This Row],[fator5]],dados[[#This Row],[fator6]])</f>
        <v>#REF!</v>
      </c>
    </row>
    <row r="627" spans="1:23">
      <c r="A627" t="s">
        <v>16</v>
      </c>
      <c r="B627">
        <v>482447</v>
      </c>
      <c r="C627">
        <v>6</v>
      </c>
      <c r="D627">
        <v>25</v>
      </c>
      <c r="E627">
        <v>120</v>
      </c>
      <c r="F627">
        <v>4</v>
      </c>
      <c r="G627">
        <v>0</v>
      </c>
      <c r="H627">
        <v>55</v>
      </c>
      <c r="I627">
        <v>310</v>
      </c>
      <c r="J627">
        <v>770</v>
      </c>
      <c r="K627">
        <v>4.5200000000000005</v>
      </c>
      <c r="L627">
        <v>8.4499999999999993</v>
      </c>
      <c r="M627">
        <v>109.75</v>
      </c>
      <c r="N627">
        <v>39.15</v>
      </c>
      <c r="O627">
        <v>1635</v>
      </c>
      <c r="P627">
        <v>896</v>
      </c>
      <c r="Q627" s="5" t="e">
        <f>IF(AND(#REF!&gt;=table!$C$6,#REF!&lt;= table!$D$6),-1,IF(AND(#REF!&gt;=table!$E$6,#REF!&lt;=table!$F$6),1,0))</f>
        <v>#REF!</v>
      </c>
      <c r="R627" s="5" t="e">
        <f>IF(AND(#REF!&gt;=table!$C$7,#REF!&lt;= table!$D$7),-1,IF(AND(#REF!&gt;=table!$E$7,#REF!&lt;=table!$F$7),1,0))</f>
        <v>#REF!</v>
      </c>
      <c r="S627" s="5" t="e">
        <f>IF(AND(#REF!&gt;=table!$C$8,#REF!&lt;= table!$D$8),-1,IF(AND(#REF!&gt;=table!$E$8,#REF!&lt;=table!$F$8),1,0))</f>
        <v>#REF!</v>
      </c>
      <c r="T627" s="5"/>
      <c r="U627" s="5" t="e">
        <f>IF(AND(#REF!&gt;=table!$C$10,#REF!&lt;= table!$D$10),-1,IF(AND(#REF!&gt;=table!$E$10,#REF!&lt;=table!$F$10),1,0))</f>
        <v>#REF!</v>
      </c>
      <c r="V627" s="5" t="e">
        <f>IF(AND(#REF!&gt;=table!$C$11,#REF!&lt;= table!$D$11),-1,IF(AND(#REF!&gt;=table!$E$11,#REF!&lt;=table!$F$11),1,0))</f>
        <v>#REF!</v>
      </c>
      <c r="W627" s="5" t="e">
        <f>CONCATENATE(dados[[#This Row],[fator1]],dados[[#This Row],[fator5]],dados[[#This Row],[fator6]])</f>
        <v>#REF!</v>
      </c>
    </row>
    <row r="628" spans="1:23">
      <c r="A628" t="s">
        <v>16</v>
      </c>
      <c r="B628">
        <v>482448</v>
      </c>
      <c r="C628">
        <v>6</v>
      </c>
      <c r="D628">
        <v>25</v>
      </c>
      <c r="E628">
        <v>120</v>
      </c>
      <c r="F628">
        <v>4</v>
      </c>
      <c r="G628">
        <v>0</v>
      </c>
      <c r="H628">
        <v>55</v>
      </c>
      <c r="I628">
        <v>932</v>
      </c>
      <c r="J628">
        <v>0</v>
      </c>
      <c r="K628">
        <v>4.3600000000000003</v>
      </c>
      <c r="L628">
        <v>10.65</v>
      </c>
      <c r="M628">
        <v>108.15</v>
      </c>
      <c r="N628">
        <v>46.800000000000004</v>
      </c>
      <c r="O628">
        <v>1690</v>
      </c>
      <c r="P628">
        <v>0</v>
      </c>
      <c r="Q628" s="5" t="e">
        <f>IF(AND(#REF!&gt;=table!$C$6,#REF!&lt;= table!$D$6),-1,IF(AND(#REF!&gt;=table!$E$6,#REF!&lt;=table!$F$6),1,0))</f>
        <v>#REF!</v>
      </c>
      <c r="R628" s="5" t="e">
        <f>IF(AND(#REF!&gt;=table!$C$7,#REF!&lt;= table!$D$7),-1,IF(AND(#REF!&gt;=table!$E$7,#REF!&lt;=table!$F$7),1,0))</f>
        <v>#REF!</v>
      </c>
      <c r="S628" s="5" t="e">
        <f>IF(AND(#REF!&gt;=table!$C$8,#REF!&lt;= table!$D$8),-1,IF(AND(#REF!&gt;=table!$E$8,#REF!&lt;=table!$F$8),1,0))</f>
        <v>#REF!</v>
      </c>
      <c r="T628" s="5"/>
      <c r="U628" s="5" t="e">
        <f>IF(AND(#REF!&gt;=table!$C$10,#REF!&lt;= table!$D$10),-1,IF(AND(#REF!&gt;=table!$E$10,#REF!&lt;=table!$F$10),1,0))</f>
        <v>#REF!</v>
      </c>
      <c r="V628" s="5" t="e">
        <f>IF(AND(#REF!&gt;=table!$C$11,#REF!&lt;= table!$D$11),-1,IF(AND(#REF!&gt;=table!$E$11,#REF!&lt;=table!$F$11),1,0))</f>
        <v>#REF!</v>
      </c>
      <c r="W628" s="5" t="e">
        <f>CONCATENATE(dados[[#This Row],[fator1]],dados[[#This Row],[fator5]],dados[[#This Row],[fator6]])</f>
        <v>#REF!</v>
      </c>
    </row>
    <row r="629" spans="1:23">
      <c r="A629" t="s">
        <v>17</v>
      </c>
      <c r="B629">
        <v>482449</v>
      </c>
      <c r="C629">
        <v>9</v>
      </c>
      <c r="D629">
        <v>25</v>
      </c>
      <c r="E629">
        <v>130</v>
      </c>
      <c r="F629">
        <v>3</v>
      </c>
      <c r="G629">
        <v>20</v>
      </c>
      <c r="H629">
        <v>21</v>
      </c>
      <c r="I629">
        <v>913</v>
      </c>
      <c r="J629">
        <v>590</v>
      </c>
      <c r="K629">
        <v>9.120000000000001</v>
      </c>
      <c r="L629">
        <v>16.685000000000002</v>
      </c>
      <c r="M629">
        <v>116.55</v>
      </c>
      <c r="N629">
        <v>17</v>
      </c>
      <c r="O629">
        <v>1674</v>
      </c>
      <c r="P629">
        <v>0</v>
      </c>
      <c r="Q629" s="5" t="e">
        <f>IF(AND(#REF!&gt;=table!$C$6,#REF!&lt;= table!$D$6),-1,IF(AND(#REF!&gt;=table!$E$6,#REF!&lt;=table!$F$6),1,0))</f>
        <v>#REF!</v>
      </c>
      <c r="R629" s="5" t="e">
        <f>IF(AND(#REF!&gt;=table!$C$7,#REF!&lt;= table!$D$7),-1,IF(AND(#REF!&gt;=table!$E$7,#REF!&lt;=table!$F$7),1,0))</f>
        <v>#REF!</v>
      </c>
      <c r="S629" s="5" t="e">
        <f>IF(AND(#REF!&gt;=table!$C$8,#REF!&lt;= table!$D$8),-1,IF(AND(#REF!&gt;=table!$E$8,#REF!&lt;=table!$F$8),1,0))</f>
        <v>#REF!</v>
      </c>
      <c r="T629" s="5"/>
      <c r="U629" s="5" t="e">
        <f>IF(AND(#REF!&gt;=table!$C$10,#REF!&lt;= table!$D$10),-1,IF(AND(#REF!&gt;=table!$E$10,#REF!&lt;=table!$F$10),1,0))</f>
        <v>#REF!</v>
      </c>
      <c r="V629" s="5" t="e">
        <f>IF(AND(#REF!&gt;=table!$C$11,#REF!&lt;= table!$D$11),-1,IF(AND(#REF!&gt;=table!$E$11,#REF!&lt;=table!$F$11),1,0))</f>
        <v>#REF!</v>
      </c>
      <c r="W629" s="5" t="e">
        <f>CONCATENATE(dados[[#This Row],[fator1]],dados[[#This Row],[fator5]],dados[[#This Row],[fator6]])</f>
        <v>#REF!</v>
      </c>
    </row>
    <row r="630" spans="1:23">
      <c r="A630" t="s">
        <v>16</v>
      </c>
      <c r="B630">
        <v>482451</v>
      </c>
      <c r="C630">
        <v>4</v>
      </c>
      <c r="D630">
        <v>40</v>
      </c>
      <c r="E630">
        <v>21</v>
      </c>
      <c r="F630">
        <v>20</v>
      </c>
      <c r="G630">
        <v>0</v>
      </c>
      <c r="H630">
        <v>25</v>
      </c>
      <c r="I630">
        <v>747</v>
      </c>
      <c r="J630">
        <v>0</v>
      </c>
      <c r="K630">
        <v>6.4250000000000007</v>
      </c>
      <c r="L630">
        <v>9.8000000000000007</v>
      </c>
      <c r="M630">
        <v>9.15</v>
      </c>
      <c r="N630">
        <v>8.9500000000000011</v>
      </c>
      <c r="O630">
        <v>1678</v>
      </c>
      <c r="P630">
        <v>544</v>
      </c>
      <c r="Q630" s="5" t="e">
        <f>IF(AND(#REF!&gt;=table!$C$6,#REF!&lt;= table!$D$6),-1,IF(AND(#REF!&gt;=table!$E$6,#REF!&lt;=table!$F$6),1,0))</f>
        <v>#REF!</v>
      </c>
      <c r="R630" s="5" t="e">
        <f>IF(AND(#REF!&gt;=table!$C$7,#REF!&lt;= table!$D$7),-1,IF(AND(#REF!&gt;=table!$E$7,#REF!&lt;=table!$F$7),1,0))</f>
        <v>#REF!</v>
      </c>
      <c r="S630" s="5" t="e">
        <f>IF(AND(#REF!&gt;=table!$C$8,#REF!&lt;= table!$D$8),-1,IF(AND(#REF!&gt;=table!$E$8,#REF!&lt;=table!$F$8),1,0))</f>
        <v>#REF!</v>
      </c>
      <c r="T630" s="5"/>
      <c r="U630" s="5" t="e">
        <f>IF(AND(#REF!&gt;=table!$C$10,#REF!&lt;= table!$D$10),-1,IF(AND(#REF!&gt;=table!$E$10,#REF!&lt;=table!$F$10),1,0))</f>
        <v>#REF!</v>
      </c>
      <c r="V630" s="5" t="e">
        <f>IF(AND(#REF!&gt;=table!$C$11,#REF!&lt;= table!$D$11),-1,IF(AND(#REF!&gt;=table!$E$11,#REF!&lt;=table!$F$11),1,0))</f>
        <v>#REF!</v>
      </c>
      <c r="W630" s="5" t="e">
        <f>CONCATENATE(dados[[#This Row],[fator1]],dados[[#This Row],[fator5]],dados[[#This Row],[fator6]])</f>
        <v>#REF!</v>
      </c>
    </row>
    <row r="631" spans="1:23">
      <c r="A631" t="s">
        <v>17</v>
      </c>
      <c r="B631">
        <v>482457</v>
      </c>
      <c r="C631">
        <v>18</v>
      </c>
      <c r="D631">
        <v>23</v>
      </c>
      <c r="E631">
        <v>145</v>
      </c>
      <c r="F631">
        <v>9</v>
      </c>
      <c r="G631">
        <v>30</v>
      </c>
      <c r="H631">
        <v>25</v>
      </c>
      <c r="I631">
        <v>1</v>
      </c>
      <c r="J631">
        <v>0</v>
      </c>
      <c r="K631">
        <v>4.8</v>
      </c>
      <c r="L631">
        <v>16.75</v>
      </c>
      <c r="M631">
        <v>129.80000000000001</v>
      </c>
      <c r="N631">
        <v>17.600000000000001</v>
      </c>
      <c r="O631">
        <v>1677</v>
      </c>
      <c r="P631">
        <v>0</v>
      </c>
      <c r="Q631" s="5" t="e">
        <f>IF(AND(#REF!&gt;=table!$C$6,#REF!&lt;= table!$D$6),-1,IF(AND(#REF!&gt;=table!$E$6,#REF!&lt;=table!$F$6),1,0))</f>
        <v>#REF!</v>
      </c>
      <c r="R631" s="5" t="e">
        <f>IF(AND(#REF!&gt;=table!$C$7,#REF!&lt;= table!$D$7),-1,IF(AND(#REF!&gt;=table!$E$7,#REF!&lt;=table!$F$7),1,0))</f>
        <v>#REF!</v>
      </c>
      <c r="S631" s="5" t="e">
        <f>IF(AND(#REF!&gt;=table!$C$8,#REF!&lt;= table!$D$8),-1,IF(AND(#REF!&gt;=table!$E$8,#REF!&lt;=table!$F$8),1,0))</f>
        <v>#REF!</v>
      </c>
      <c r="T631" s="5"/>
      <c r="U631" s="5" t="e">
        <f>IF(AND(#REF!&gt;=table!$C$10,#REF!&lt;= table!$D$10),-1,IF(AND(#REF!&gt;=table!$E$10,#REF!&lt;=table!$F$10),1,0))</f>
        <v>#REF!</v>
      </c>
      <c r="V631" s="5" t="e">
        <f>IF(AND(#REF!&gt;=table!$C$11,#REF!&lt;= table!$D$11),-1,IF(AND(#REF!&gt;=table!$E$11,#REF!&lt;=table!$F$11),1,0))</f>
        <v>#REF!</v>
      </c>
      <c r="W631" s="5" t="e">
        <f>CONCATENATE(dados[[#This Row],[fator1]],dados[[#This Row],[fator5]],dados[[#This Row],[fator6]])</f>
        <v>#REF!</v>
      </c>
    </row>
    <row r="632" spans="1:23">
      <c r="A632" t="s">
        <v>17</v>
      </c>
      <c r="B632">
        <v>482458</v>
      </c>
      <c r="C632">
        <v>15</v>
      </c>
      <c r="D632">
        <v>23</v>
      </c>
      <c r="E632">
        <v>155</v>
      </c>
      <c r="F632">
        <v>4</v>
      </c>
      <c r="G632">
        <v>30</v>
      </c>
      <c r="H632">
        <v>25</v>
      </c>
      <c r="I632">
        <v>26</v>
      </c>
      <c r="J632">
        <v>0</v>
      </c>
      <c r="K632">
        <v>9.44</v>
      </c>
      <c r="L632">
        <v>13.85</v>
      </c>
      <c r="M632">
        <v>139.65</v>
      </c>
      <c r="N632">
        <v>15.5</v>
      </c>
      <c r="O632">
        <v>1675</v>
      </c>
      <c r="P632">
        <v>401</v>
      </c>
      <c r="Q632" s="5" t="e">
        <f>IF(AND(#REF!&gt;=table!$C$6,#REF!&lt;= table!$D$6),-1,IF(AND(#REF!&gt;=table!$E$6,#REF!&lt;=table!$F$6),1,0))</f>
        <v>#REF!</v>
      </c>
      <c r="R632" s="5" t="e">
        <f>IF(AND(#REF!&gt;=table!$C$7,#REF!&lt;= table!$D$7),-1,IF(AND(#REF!&gt;=table!$E$7,#REF!&lt;=table!$F$7),1,0))</f>
        <v>#REF!</v>
      </c>
      <c r="S632" s="5" t="e">
        <f>IF(AND(#REF!&gt;=table!$C$8,#REF!&lt;= table!$D$8),-1,IF(AND(#REF!&gt;=table!$E$8,#REF!&lt;=table!$F$8),1,0))</f>
        <v>#REF!</v>
      </c>
      <c r="T632" s="5"/>
      <c r="U632" s="5" t="e">
        <f>IF(AND(#REF!&gt;=table!$C$10,#REF!&lt;= table!$D$10),-1,IF(AND(#REF!&gt;=table!$E$10,#REF!&lt;=table!$F$10),1,0))</f>
        <v>#REF!</v>
      </c>
      <c r="V632" s="5" t="e">
        <f>IF(AND(#REF!&gt;=table!$C$11,#REF!&lt;= table!$D$11),-1,IF(AND(#REF!&gt;=table!$E$11,#REF!&lt;=table!$F$11),1,0))</f>
        <v>#REF!</v>
      </c>
      <c r="W632" s="5" t="e">
        <f>CONCATENATE(dados[[#This Row],[fator1]],dados[[#This Row],[fator5]],dados[[#This Row],[fator6]])</f>
        <v>#REF!</v>
      </c>
    </row>
    <row r="633" spans="1:23">
      <c r="A633" t="s">
        <v>17</v>
      </c>
      <c r="B633">
        <v>482459</v>
      </c>
      <c r="C633">
        <v>18</v>
      </c>
      <c r="D633">
        <v>23</v>
      </c>
      <c r="E633">
        <v>145</v>
      </c>
      <c r="F633">
        <v>9</v>
      </c>
      <c r="G633">
        <v>30</v>
      </c>
      <c r="H633">
        <v>25</v>
      </c>
      <c r="I633">
        <v>1455</v>
      </c>
      <c r="J633">
        <v>0</v>
      </c>
      <c r="K633">
        <v>19.324999999999999</v>
      </c>
      <c r="L633">
        <v>14.27</v>
      </c>
      <c r="M633">
        <v>137.6</v>
      </c>
      <c r="N633">
        <v>16.05</v>
      </c>
      <c r="O633">
        <v>1688</v>
      </c>
      <c r="P633">
        <v>206</v>
      </c>
      <c r="Q633" s="5" t="e">
        <f>IF(AND(#REF!&gt;=table!$C$6,#REF!&lt;= table!$D$6),-1,IF(AND(#REF!&gt;=table!$E$6,#REF!&lt;=table!$F$6),1,0))</f>
        <v>#REF!</v>
      </c>
      <c r="R633" s="5" t="e">
        <f>IF(AND(#REF!&gt;=table!$C$7,#REF!&lt;= table!$D$7),-1,IF(AND(#REF!&gt;=table!$E$7,#REF!&lt;=table!$F$7),1,0))</f>
        <v>#REF!</v>
      </c>
      <c r="S633" s="5" t="e">
        <f>IF(AND(#REF!&gt;=table!$C$8,#REF!&lt;= table!$D$8),-1,IF(AND(#REF!&gt;=table!$E$8,#REF!&lt;=table!$F$8),1,0))</f>
        <v>#REF!</v>
      </c>
      <c r="T633" s="5"/>
      <c r="U633" s="5" t="e">
        <f>IF(AND(#REF!&gt;=table!$C$10,#REF!&lt;= table!$D$10),-1,IF(AND(#REF!&gt;=table!$E$10,#REF!&lt;=table!$F$10),1,0))</f>
        <v>#REF!</v>
      </c>
      <c r="V633" s="5" t="e">
        <f>IF(AND(#REF!&gt;=table!$C$11,#REF!&lt;= table!$D$11),-1,IF(AND(#REF!&gt;=table!$E$11,#REF!&lt;=table!$F$11),1,0))</f>
        <v>#REF!</v>
      </c>
      <c r="W633" s="5" t="e">
        <f>CONCATENATE(dados[[#This Row],[fator1]],dados[[#This Row],[fator5]],dados[[#This Row],[fator6]])</f>
        <v>#REF!</v>
      </c>
    </row>
    <row r="634" spans="1:23">
      <c r="A634" t="s">
        <v>16</v>
      </c>
      <c r="B634">
        <v>482468</v>
      </c>
      <c r="C634">
        <v>3</v>
      </c>
      <c r="D634">
        <v>25</v>
      </c>
      <c r="E634">
        <v>20</v>
      </c>
      <c r="F634">
        <v>15</v>
      </c>
      <c r="G634">
        <v>0</v>
      </c>
      <c r="H634">
        <v>20</v>
      </c>
      <c r="I634">
        <v>1171</v>
      </c>
      <c r="J634">
        <v>0</v>
      </c>
      <c r="K634">
        <v>4.41</v>
      </c>
      <c r="L634">
        <v>11.285</v>
      </c>
      <c r="M634">
        <v>9.9850000000000012</v>
      </c>
      <c r="N634">
        <v>10.795</v>
      </c>
      <c r="O634">
        <v>1659</v>
      </c>
      <c r="P634">
        <v>984</v>
      </c>
      <c r="Q634" s="5" t="e">
        <f>IF(AND(#REF!&gt;=table!$C$6,#REF!&lt;= table!$D$6),-1,IF(AND(#REF!&gt;=table!$E$6,#REF!&lt;=table!$F$6),1,0))</f>
        <v>#REF!</v>
      </c>
      <c r="R634" s="5" t="e">
        <f>IF(AND(#REF!&gt;=table!$C$7,#REF!&lt;= table!$D$7),-1,IF(AND(#REF!&gt;=table!$E$7,#REF!&lt;=table!$F$7),1,0))</f>
        <v>#REF!</v>
      </c>
      <c r="S634" s="5" t="e">
        <f>IF(AND(#REF!&gt;=table!$C$8,#REF!&lt;= table!$D$8),-1,IF(AND(#REF!&gt;=table!$E$8,#REF!&lt;=table!$F$8),1,0))</f>
        <v>#REF!</v>
      </c>
      <c r="T634" s="5"/>
      <c r="U634" s="5" t="e">
        <f>IF(AND(#REF!&gt;=table!$C$10,#REF!&lt;= table!$D$10),-1,IF(AND(#REF!&gt;=table!$E$10,#REF!&lt;=table!$F$10),1,0))</f>
        <v>#REF!</v>
      </c>
      <c r="V634" s="5" t="e">
        <f>IF(AND(#REF!&gt;=table!$C$11,#REF!&lt;= table!$D$11),-1,IF(AND(#REF!&gt;=table!$E$11,#REF!&lt;=table!$F$11),1,0))</f>
        <v>#REF!</v>
      </c>
      <c r="W634" s="5" t="e">
        <f>CONCATENATE(dados[[#This Row],[fator1]],dados[[#This Row],[fator5]],dados[[#This Row],[fator6]])</f>
        <v>#REF!</v>
      </c>
    </row>
    <row r="635" spans="1:23">
      <c r="A635" t="s">
        <v>16</v>
      </c>
      <c r="B635">
        <v>482479</v>
      </c>
      <c r="C635">
        <v>0.19</v>
      </c>
      <c r="D635">
        <v>50</v>
      </c>
      <c r="E635">
        <v>56</v>
      </c>
      <c r="F635">
        <v>15</v>
      </c>
      <c r="G635">
        <v>0</v>
      </c>
      <c r="H635">
        <v>50</v>
      </c>
      <c r="I635">
        <v>1187</v>
      </c>
      <c r="J635">
        <v>680</v>
      </c>
      <c r="K635">
        <v>7.7250000000000005</v>
      </c>
      <c r="L635">
        <v>19.95</v>
      </c>
      <c r="M635">
        <v>9.2000000000000011</v>
      </c>
      <c r="N635">
        <v>24.2</v>
      </c>
      <c r="O635">
        <v>1671</v>
      </c>
      <c r="P635">
        <v>546</v>
      </c>
      <c r="Q635" s="5" t="e">
        <f>IF(AND(#REF!&gt;=table!$C$6,#REF!&lt;= table!$D$6),-1,IF(AND(#REF!&gt;=table!$E$6,#REF!&lt;=table!$F$6),1,0))</f>
        <v>#REF!</v>
      </c>
      <c r="R635" s="5" t="e">
        <f>IF(AND(#REF!&gt;=table!$C$7,#REF!&lt;= table!$D$7),-1,IF(AND(#REF!&gt;=table!$E$7,#REF!&lt;=table!$F$7),1,0))</f>
        <v>#REF!</v>
      </c>
      <c r="S635" s="5" t="e">
        <f>IF(AND(#REF!&gt;=table!$C$8,#REF!&lt;= table!$D$8),-1,IF(AND(#REF!&gt;=table!$E$8,#REF!&lt;=table!$F$8),1,0))</f>
        <v>#REF!</v>
      </c>
      <c r="T635" s="5"/>
      <c r="U635" s="5" t="e">
        <f>IF(AND(#REF!&gt;=table!$C$10,#REF!&lt;= table!$D$10),-1,IF(AND(#REF!&gt;=table!$E$10,#REF!&lt;=table!$F$10),1,0))</f>
        <v>#REF!</v>
      </c>
      <c r="V635" s="5" t="e">
        <f>IF(AND(#REF!&gt;=table!$C$11,#REF!&lt;= table!$D$11),-1,IF(AND(#REF!&gt;=table!$E$11,#REF!&lt;=table!$F$11),1,0))</f>
        <v>#REF!</v>
      </c>
      <c r="W635" s="5" t="e">
        <f>CONCATENATE(dados[[#This Row],[fator1]],dados[[#This Row],[fator5]],dados[[#This Row],[fator6]])</f>
        <v>#REF!</v>
      </c>
    </row>
    <row r="636" spans="1:23">
      <c r="A636" t="s">
        <v>16</v>
      </c>
      <c r="B636">
        <v>482481</v>
      </c>
      <c r="C636">
        <v>9</v>
      </c>
      <c r="D636">
        <v>40</v>
      </c>
      <c r="E636">
        <v>130</v>
      </c>
      <c r="F636">
        <v>6</v>
      </c>
      <c r="G636">
        <v>0</v>
      </c>
      <c r="H636">
        <v>25</v>
      </c>
      <c r="I636">
        <v>40</v>
      </c>
      <c r="J636">
        <v>720</v>
      </c>
      <c r="K636">
        <v>3.49</v>
      </c>
      <c r="L636">
        <v>11.6</v>
      </c>
      <c r="M636">
        <v>105.45</v>
      </c>
      <c r="N636">
        <v>19.8</v>
      </c>
      <c r="O636">
        <v>1681</v>
      </c>
      <c r="P636">
        <v>1141</v>
      </c>
      <c r="Q636" s="5" t="e">
        <f>IF(AND(#REF!&gt;=table!$C$6,#REF!&lt;= table!$D$6),-1,IF(AND(#REF!&gt;=table!$E$6,#REF!&lt;=table!$F$6),1,0))</f>
        <v>#REF!</v>
      </c>
      <c r="R636" s="5" t="e">
        <f>IF(AND(#REF!&gt;=table!$C$7,#REF!&lt;= table!$D$7),-1,IF(AND(#REF!&gt;=table!$E$7,#REF!&lt;=table!$F$7),1,0))</f>
        <v>#REF!</v>
      </c>
      <c r="S636" s="5" t="e">
        <f>IF(AND(#REF!&gt;=table!$C$8,#REF!&lt;= table!$D$8),-1,IF(AND(#REF!&gt;=table!$E$8,#REF!&lt;=table!$F$8),1,0))</f>
        <v>#REF!</v>
      </c>
      <c r="T636" s="5"/>
      <c r="U636" s="5" t="e">
        <f>IF(AND(#REF!&gt;=table!$C$10,#REF!&lt;= table!$D$10),-1,IF(AND(#REF!&gt;=table!$E$10,#REF!&lt;=table!$F$10),1,0))</f>
        <v>#REF!</v>
      </c>
      <c r="V636" s="5" t="e">
        <f>IF(AND(#REF!&gt;=table!$C$11,#REF!&lt;= table!$D$11),-1,IF(AND(#REF!&gt;=table!$E$11,#REF!&lt;=table!$F$11),1,0))</f>
        <v>#REF!</v>
      </c>
      <c r="W636" s="5" t="e">
        <f>CONCATENATE(dados[[#This Row],[fator1]],dados[[#This Row],[fator5]],dados[[#This Row],[fator6]])</f>
        <v>#REF!</v>
      </c>
    </row>
    <row r="637" spans="1:23">
      <c r="A637" t="s">
        <v>16</v>
      </c>
      <c r="B637">
        <v>482486</v>
      </c>
      <c r="C637">
        <v>7</v>
      </c>
      <c r="D637">
        <v>33</v>
      </c>
      <c r="E637">
        <v>153</v>
      </c>
      <c r="F637">
        <v>4</v>
      </c>
      <c r="G637">
        <v>0</v>
      </c>
      <c r="H637">
        <v>25</v>
      </c>
      <c r="I637">
        <v>740</v>
      </c>
      <c r="J637">
        <v>0</v>
      </c>
      <c r="K637">
        <v>3.8450000000000002</v>
      </c>
      <c r="L637">
        <v>8.5</v>
      </c>
      <c r="M637">
        <v>147.05000000000001</v>
      </c>
      <c r="N637">
        <v>13.700000000000001</v>
      </c>
      <c r="O637">
        <v>1687</v>
      </c>
      <c r="P637">
        <v>1055</v>
      </c>
      <c r="Q637" s="5" t="e">
        <f>IF(AND(#REF!&gt;=table!$C$6,#REF!&lt;= table!$D$6),-1,IF(AND(#REF!&gt;=table!$E$6,#REF!&lt;=table!$F$6),1,0))</f>
        <v>#REF!</v>
      </c>
      <c r="R637" s="5" t="e">
        <f>IF(AND(#REF!&gt;=table!$C$7,#REF!&lt;= table!$D$7),-1,IF(AND(#REF!&gt;=table!$E$7,#REF!&lt;=table!$F$7),1,0))</f>
        <v>#REF!</v>
      </c>
      <c r="S637" s="5" t="e">
        <f>IF(AND(#REF!&gt;=table!$C$8,#REF!&lt;= table!$D$8),-1,IF(AND(#REF!&gt;=table!$E$8,#REF!&lt;=table!$F$8),1,0))</f>
        <v>#REF!</v>
      </c>
      <c r="T637" s="5"/>
      <c r="U637" s="5" t="e">
        <f>IF(AND(#REF!&gt;=table!$C$10,#REF!&lt;= table!$D$10),-1,IF(AND(#REF!&gt;=table!$E$10,#REF!&lt;=table!$F$10),1,0))</f>
        <v>#REF!</v>
      </c>
      <c r="V637" s="5" t="e">
        <f>IF(AND(#REF!&gt;=table!$C$11,#REF!&lt;= table!$D$11),-1,IF(AND(#REF!&gt;=table!$E$11,#REF!&lt;=table!$F$11),1,0))</f>
        <v>#REF!</v>
      </c>
      <c r="W637" s="5" t="e">
        <f>CONCATENATE(dados[[#This Row],[fator1]],dados[[#This Row],[fator5]],dados[[#This Row],[fator6]])</f>
        <v>#REF!</v>
      </c>
    </row>
    <row r="638" spans="1:23">
      <c r="A638" t="s">
        <v>16</v>
      </c>
      <c r="B638">
        <v>482490</v>
      </c>
      <c r="C638">
        <v>7</v>
      </c>
      <c r="D638">
        <v>33</v>
      </c>
      <c r="E638">
        <v>153</v>
      </c>
      <c r="F638">
        <v>4</v>
      </c>
      <c r="G638">
        <v>0</v>
      </c>
      <c r="H638">
        <v>25</v>
      </c>
      <c r="I638">
        <v>840</v>
      </c>
      <c r="J638">
        <v>0</v>
      </c>
      <c r="K638">
        <v>4.2300000000000004</v>
      </c>
      <c r="L638">
        <v>7.1000000000000005</v>
      </c>
      <c r="M638">
        <v>132.76500000000001</v>
      </c>
      <c r="N638">
        <v>11.155000000000001</v>
      </c>
      <c r="O638">
        <v>1663</v>
      </c>
      <c r="P638">
        <v>897</v>
      </c>
      <c r="Q638" s="5" t="e">
        <f>IF(AND(#REF!&gt;=table!$C$6,#REF!&lt;= table!$D$6),-1,IF(AND(#REF!&gt;=table!$E$6,#REF!&lt;=table!$F$6),1,0))</f>
        <v>#REF!</v>
      </c>
      <c r="R638" s="5" t="e">
        <f>IF(AND(#REF!&gt;=table!$C$7,#REF!&lt;= table!$D$7),-1,IF(AND(#REF!&gt;=table!$E$7,#REF!&lt;=table!$F$7),1,0))</f>
        <v>#REF!</v>
      </c>
      <c r="S638" s="5" t="e">
        <f>IF(AND(#REF!&gt;=table!$C$8,#REF!&lt;= table!$D$8),-1,IF(AND(#REF!&gt;=table!$E$8,#REF!&lt;=table!$F$8),1,0))</f>
        <v>#REF!</v>
      </c>
      <c r="T638" s="5"/>
      <c r="U638" s="5" t="e">
        <f>IF(AND(#REF!&gt;=table!$C$10,#REF!&lt;= table!$D$10),-1,IF(AND(#REF!&gt;=table!$E$10,#REF!&lt;=table!$F$10),1,0))</f>
        <v>#REF!</v>
      </c>
      <c r="V638" s="5" t="e">
        <f>IF(AND(#REF!&gt;=table!$C$11,#REF!&lt;= table!$D$11),-1,IF(AND(#REF!&gt;=table!$E$11,#REF!&lt;=table!$F$11),1,0))</f>
        <v>#REF!</v>
      </c>
      <c r="W638" s="5" t="e">
        <f>CONCATENATE(dados[[#This Row],[fator1]],dados[[#This Row],[fator5]],dados[[#This Row],[fator6]])</f>
        <v>#REF!</v>
      </c>
    </row>
    <row r="639" spans="1:23">
      <c r="A639" t="s">
        <v>16</v>
      </c>
      <c r="B639">
        <v>482491</v>
      </c>
      <c r="C639">
        <v>0.15</v>
      </c>
      <c r="D639">
        <v>40</v>
      </c>
      <c r="E639">
        <v>10</v>
      </c>
      <c r="F639">
        <v>15</v>
      </c>
      <c r="G639">
        <v>0</v>
      </c>
      <c r="H639">
        <v>15</v>
      </c>
      <c r="I639">
        <v>701</v>
      </c>
      <c r="J639">
        <v>0</v>
      </c>
      <c r="K639">
        <v>3.5300000000000002</v>
      </c>
      <c r="L639">
        <v>7.45</v>
      </c>
      <c r="M639">
        <v>6.9</v>
      </c>
      <c r="N639">
        <v>9.1</v>
      </c>
      <c r="O639">
        <v>1651</v>
      </c>
      <c r="P639">
        <v>0</v>
      </c>
      <c r="Q639" s="5" t="e">
        <f>IF(AND(#REF!&gt;=table!$C$6,#REF!&lt;= table!$D$6),-1,IF(AND(#REF!&gt;=table!$E$6,#REF!&lt;=table!$F$6),1,0))</f>
        <v>#REF!</v>
      </c>
      <c r="R639" s="5" t="e">
        <f>IF(AND(#REF!&gt;=table!$C$7,#REF!&lt;= table!$D$7),-1,IF(AND(#REF!&gt;=table!$E$7,#REF!&lt;=table!$F$7),1,0))</f>
        <v>#REF!</v>
      </c>
      <c r="S639" s="5" t="e">
        <f>IF(AND(#REF!&gt;=table!$C$8,#REF!&lt;= table!$D$8),-1,IF(AND(#REF!&gt;=table!$E$8,#REF!&lt;=table!$F$8),1,0))</f>
        <v>#REF!</v>
      </c>
      <c r="T639" s="5"/>
      <c r="U639" s="5" t="e">
        <f>IF(AND(#REF!&gt;=table!$C$10,#REF!&lt;= table!$D$10),-1,IF(AND(#REF!&gt;=table!$E$10,#REF!&lt;=table!$F$10),1,0))</f>
        <v>#REF!</v>
      </c>
      <c r="V639" s="5" t="e">
        <f>IF(AND(#REF!&gt;=table!$C$11,#REF!&lt;= table!$D$11),-1,IF(AND(#REF!&gt;=table!$E$11,#REF!&lt;=table!$F$11),1,0))</f>
        <v>#REF!</v>
      </c>
      <c r="W639" s="5" t="e">
        <f>CONCATENATE(dados[[#This Row],[fator1]],dados[[#This Row],[fator5]],dados[[#This Row],[fator6]])</f>
        <v>#REF!</v>
      </c>
    </row>
    <row r="640" spans="1:23">
      <c r="A640" t="s">
        <v>16</v>
      </c>
      <c r="B640">
        <v>482498</v>
      </c>
      <c r="C640">
        <v>10</v>
      </c>
      <c r="D640">
        <v>40</v>
      </c>
      <c r="E640">
        <v>42</v>
      </c>
      <c r="F640">
        <v>9</v>
      </c>
      <c r="G640">
        <v>0</v>
      </c>
      <c r="H640">
        <v>25</v>
      </c>
      <c r="I640">
        <v>475</v>
      </c>
      <c r="J640">
        <v>0</v>
      </c>
      <c r="K640">
        <v>5.7549999999999999</v>
      </c>
      <c r="L640">
        <v>6.7</v>
      </c>
      <c r="M640">
        <v>31.400000000000002</v>
      </c>
      <c r="N640">
        <v>8.5500000000000007</v>
      </c>
      <c r="O640">
        <v>1638</v>
      </c>
      <c r="P640">
        <v>533</v>
      </c>
      <c r="Q640" s="5" t="e">
        <f>IF(AND(#REF!&gt;=table!$C$6,#REF!&lt;= table!$D$6),-1,IF(AND(#REF!&gt;=table!$E$6,#REF!&lt;=table!$F$6),1,0))</f>
        <v>#REF!</v>
      </c>
      <c r="R640" s="5" t="e">
        <f>IF(AND(#REF!&gt;=table!$C$7,#REF!&lt;= table!$D$7),-1,IF(AND(#REF!&gt;=table!$E$7,#REF!&lt;=table!$F$7),1,0))</f>
        <v>#REF!</v>
      </c>
      <c r="S640" s="5" t="e">
        <f>IF(AND(#REF!&gt;=table!$C$8,#REF!&lt;= table!$D$8),-1,IF(AND(#REF!&gt;=table!$E$8,#REF!&lt;=table!$F$8),1,0))</f>
        <v>#REF!</v>
      </c>
      <c r="T640" s="5"/>
      <c r="U640" s="5" t="e">
        <f>IF(AND(#REF!&gt;=table!$C$10,#REF!&lt;= table!$D$10),-1,IF(AND(#REF!&gt;=table!$E$10,#REF!&lt;=table!$F$10),1,0))</f>
        <v>#REF!</v>
      </c>
      <c r="V640" s="5" t="e">
        <f>IF(AND(#REF!&gt;=table!$C$11,#REF!&lt;= table!$D$11),-1,IF(AND(#REF!&gt;=table!$E$11,#REF!&lt;=table!$F$11),1,0))</f>
        <v>#REF!</v>
      </c>
      <c r="W640" s="5" t="e">
        <f>CONCATENATE(dados[[#This Row],[fator1]],dados[[#This Row],[fator5]],dados[[#This Row],[fator6]])</f>
        <v>#REF!</v>
      </c>
    </row>
    <row r="641" spans="1:23">
      <c r="A641" t="s">
        <v>16</v>
      </c>
      <c r="B641">
        <v>482499</v>
      </c>
      <c r="C641">
        <v>11</v>
      </c>
      <c r="D641">
        <v>35</v>
      </c>
      <c r="E641">
        <v>45</v>
      </c>
      <c r="F641">
        <v>9</v>
      </c>
      <c r="G641">
        <v>0</v>
      </c>
      <c r="H641">
        <v>25</v>
      </c>
      <c r="I641">
        <v>845</v>
      </c>
      <c r="J641">
        <v>0</v>
      </c>
      <c r="K641">
        <v>4.4800000000000004</v>
      </c>
      <c r="L641">
        <v>7.45</v>
      </c>
      <c r="M641">
        <v>31.215</v>
      </c>
      <c r="N641">
        <v>10.15</v>
      </c>
      <c r="O641">
        <v>1665</v>
      </c>
      <c r="P641">
        <v>0</v>
      </c>
      <c r="Q641" s="5" t="e">
        <f>IF(AND(#REF!&gt;=table!$C$6,#REF!&lt;= table!$D$6),-1,IF(AND(#REF!&gt;=table!$E$6,#REF!&lt;=table!$F$6),1,0))</f>
        <v>#REF!</v>
      </c>
      <c r="R641" s="5" t="e">
        <f>IF(AND(#REF!&gt;=table!$C$7,#REF!&lt;= table!$D$7),-1,IF(AND(#REF!&gt;=table!$E$7,#REF!&lt;=table!$F$7),1,0))</f>
        <v>#REF!</v>
      </c>
      <c r="S641" s="5" t="e">
        <f>IF(AND(#REF!&gt;=table!$C$8,#REF!&lt;= table!$D$8),-1,IF(AND(#REF!&gt;=table!$E$8,#REF!&lt;=table!$F$8),1,0))</f>
        <v>#REF!</v>
      </c>
      <c r="T641" s="5"/>
      <c r="U641" s="5" t="e">
        <f>IF(AND(#REF!&gt;=table!$C$10,#REF!&lt;= table!$D$10),-1,IF(AND(#REF!&gt;=table!$E$10,#REF!&lt;=table!$F$10),1,0))</f>
        <v>#REF!</v>
      </c>
      <c r="V641" s="5" t="e">
        <f>IF(AND(#REF!&gt;=table!$C$11,#REF!&lt;= table!$D$11),-1,IF(AND(#REF!&gt;=table!$E$11,#REF!&lt;=table!$F$11),1,0))</f>
        <v>#REF!</v>
      </c>
      <c r="W641" s="5" t="e">
        <f>CONCATENATE(dados[[#This Row],[fator1]],dados[[#This Row],[fator5]],dados[[#This Row],[fator6]])</f>
        <v>#REF!</v>
      </c>
    </row>
    <row r="642" spans="1:23">
      <c r="A642" t="s">
        <v>16</v>
      </c>
      <c r="B642">
        <v>482507</v>
      </c>
      <c r="C642">
        <v>16</v>
      </c>
      <c r="D642">
        <v>30</v>
      </c>
      <c r="E642">
        <v>36</v>
      </c>
      <c r="F642">
        <v>3</v>
      </c>
      <c r="G642">
        <v>0</v>
      </c>
      <c r="H642">
        <v>25</v>
      </c>
      <c r="I642">
        <v>3</v>
      </c>
      <c r="J642">
        <v>0</v>
      </c>
      <c r="K642">
        <v>11.1</v>
      </c>
      <c r="L642">
        <v>14.950000000000001</v>
      </c>
      <c r="M642">
        <v>32.549999999999997</v>
      </c>
      <c r="N642">
        <v>19.650000000000002</v>
      </c>
      <c r="O642">
        <v>1669</v>
      </c>
      <c r="P642">
        <v>343</v>
      </c>
      <c r="Q642" s="5" t="e">
        <f>IF(AND(#REF!&gt;=table!$C$6,#REF!&lt;= table!$D$6),-1,IF(AND(#REF!&gt;=table!$E$6,#REF!&lt;=table!$F$6),1,0))</f>
        <v>#REF!</v>
      </c>
      <c r="R642" s="5" t="e">
        <f>IF(AND(#REF!&gt;=table!$C$7,#REF!&lt;= table!$D$7),-1,IF(AND(#REF!&gt;=table!$E$7,#REF!&lt;=table!$F$7),1,0))</f>
        <v>#REF!</v>
      </c>
      <c r="S642" s="5" t="e">
        <f>IF(AND(#REF!&gt;=table!$C$8,#REF!&lt;= table!$D$8),-1,IF(AND(#REF!&gt;=table!$E$8,#REF!&lt;=table!$F$8),1,0))</f>
        <v>#REF!</v>
      </c>
      <c r="T642" s="5"/>
      <c r="U642" s="5" t="e">
        <f>IF(AND(#REF!&gt;=table!$C$10,#REF!&lt;= table!$D$10),-1,IF(AND(#REF!&gt;=table!$E$10,#REF!&lt;=table!$F$10),1,0))</f>
        <v>#REF!</v>
      </c>
      <c r="V642" s="5" t="e">
        <f>IF(AND(#REF!&gt;=table!$C$11,#REF!&lt;= table!$D$11),-1,IF(AND(#REF!&gt;=table!$E$11,#REF!&lt;=table!$F$11),1,0))</f>
        <v>#REF!</v>
      </c>
      <c r="W642" s="5" t="e">
        <f>CONCATENATE(dados[[#This Row],[fator1]],dados[[#This Row],[fator5]],dados[[#This Row],[fator6]])</f>
        <v>#REF!</v>
      </c>
    </row>
    <row r="643" spans="1:23">
      <c r="A643" t="s">
        <v>16</v>
      </c>
      <c r="B643">
        <v>482513</v>
      </c>
      <c r="C643">
        <v>0.15</v>
      </c>
      <c r="D643">
        <v>40</v>
      </c>
      <c r="E643">
        <v>10</v>
      </c>
      <c r="F643">
        <v>15</v>
      </c>
      <c r="G643">
        <v>0</v>
      </c>
      <c r="H643">
        <v>15</v>
      </c>
      <c r="I643">
        <v>1214</v>
      </c>
      <c r="J643">
        <v>0</v>
      </c>
      <c r="K643">
        <v>3.4</v>
      </c>
      <c r="L643">
        <v>9.4500000000000011</v>
      </c>
      <c r="M643">
        <v>8.25</v>
      </c>
      <c r="N643">
        <v>11.65</v>
      </c>
      <c r="O643">
        <v>1683</v>
      </c>
      <c r="P643">
        <v>0</v>
      </c>
      <c r="Q643" s="5" t="e">
        <f>IF(AND(#REF!&gt;=table!$C$6,#REF!&lt;= table!$D$6),-1,IF(AND(#REF!&gt;=table!$E$6,#REF!&lt;=table!$F$6),1,0))</f>
        <v>#REF!</v>
      </c>
      <c r="R643" s="5" t="e">
        <f>IF(AND(#REF!&gt;=table!$C$7,#REF!&lt;= table!$D$7),-1,IF(AND(#REF!&gt;=table!$E$7,#REF!&lt;=table!$F$7),1,0))</f>
        <v>#REF!</v>
      </c>
      <c r="S643" s="5" t="e">
        <f>IF(AND(#REF!&gt;=table!$C$8,#REF!&lt;= table!$D$8),-1,IF(AND(#REF!&gt;=table!$E$8,#REF!&lt;=table!$F$8),1,0))</f>
        <v>#REF!</v>
      </c>
      <c r="T643" s="5"/>
      <c r="U643" s="5" t="e">
        <f>IF(AND(#REF!&gt;=table!$C$10,#REF!&lt;= table!$D$10),-1,IF(AND(#REF!&gt;=table!$E$10,#REF!&lt;=table!$F$10),1,0))</f>
        <v>#REF!</v>
      </c>
      <c r="V643" s="5" t="e">
        <f>IF(AND(#REF!&gt;=table!$C$11,#REF!&lt;= table!$D$11),-1,IF(AND(#REF!&gt;=table!$E$11,#REF!&lt;=table!$F$11),1,0))</f>
        <v>#REF!</v>
      </c>
      <c r="W643" s="5" t="e">
        <f>CONCATENATE(dados[[#This Row],[fator1]],dados[[#This Row],[fator5]],dados[[#This Row],[fator6]])</f>
        <v>#REF!</v>
      </c>
    </row>
    <row r="644" spans="1:23">
      <c r="A644" t="s">
        <v>17</v>
      </c>
      <c r="B644">
        <v>482515</v>
      </c>
      <c r="C644">
        <v>8</v>
      </c>
      <c r="D644">
        <v>25</v>
      </c>
      <c r="E644">
        <v>136</v>
      </c>
      <c r="F644">
        <v>6</v>
      </c>
      <c r="G644">
        <v>8</v>
      </c>
      <c r="H644">
        <v>25</v>
      </c>
      <c r="I644">
        <v>113</v>
      </c>
      <c r="J644">
        <v>0</v>
      </c>
      <c r="K644">
        <v>4.62</v>
      </c>
      <c r="L644">
        <v>8.7000000000000011</v>
      </c>
      <c r="M644">
        <v>110.75</v>
      </c>
      <c r="N644">
        <v>12.55</v>
      </c>
      <c r="O644">
        <v>1654</v>
      </c>
      <c r="P644">
        <v>0</v>
      </c>
      <c r="Q644" s="5" t="e">
        <f>IF(AND(#REF!&gt;=table!$C$6,#REF!&lt;= table!$D$6),-1,IF(AND(#REF!&gt;=table!$E$6,#REF!&lt;=table!$F$6),1,0))</f>
        <v>#REF!</v>
      </c>
      <c r="R644" s="5" t="e">
        <f>IF(AND(#REF!&gt;=table!$C$7,#REF!&lt;= table!$D$7),-1,IF(AND(#REF!&gt;=table!$E$7,#REF!&lt;=table!$F$7),1,0))</f>
        <v>#REF!</v>
      </c>
      <c r="S644" s="5" t="e">
        <f>IF(AND(#REF!&gt;=table!$C$8,#REF!&lt;= table!$D$8),-1,IF(AND(#REF!&gt;=table!$E$8,#REF!&lt;=table!$F$8),1,0))</f>
        <v>#REF!</v>
      </c>
      <c r="T644" s="5"/>
      <c r="U644" s="5" t="e">
        <f>IF(AND(#REF!&gt;=table!$C$10,#REF!&lt;= table!$D$10),-1,IF(AND(#REF!&gt;=table!$E$10,#REF!&lt;=table!$F$10),1,0))</f>
        <v>#REF!</v>
      </c>
      <c r="V644" s="5" t="e">
        <f>IF(AND(#REF!&gt;=table!$C$11,#REF!&lt;= table!$D$11),-1,IF(AND(#REF!&gt;=table!$E$11,#REF!&lt;=table!$F$11),1,0))</f>
        <v>#REF!</v>
      </c>
      <c r="W644" s="5" t="e">
        <f>CONCATENATE(dados[[#This Row],[fator1]],dados[[#This Row],[fator5]],dados[[#This Row],[fator6]])</f>
        <v>#REF!</v>
      </c>
    </row>
    <row r="645" spans="1:23">
      <c r="A645" t="s">
        <v>17</v>
      </c>
      <c r="B645">
        <v>482517</v>
      </c>
      <c r="C645">
        <v>8</v>
      </c>
      <c r="D645">
        <v>25</v>
      </c>
      <c r="E645">
        <v>136</v>
      </c>
      <c r="F645">
        <v>6</v>
      </c>
      <c r="G645">
        <v>8</v>
      </c>
      <c r="H645">
        <v>25</v>
      </c>
      <c r="I645">
        <v>669</v>
      </c>
      <c r="J645">
        <v>0</v>
      </c>
      <c r="K645">
        <v>6.8850000000000007</v>
      </c>
      <c r="L645">
        <v>9.02</v>
      </c>
      <c r="M645">
        <v>109.15</v>
      </c>
      <c r="N645">
        <v>14.75</v>
      </c>
      <c r="O645">
        <v>1682</v>
      </c>
      <c r="P645">
        <v>429</v>
      </c>
      <c r="Q645" s="5" t="e">
        <f>IF(AND(#REF!&gt;=table!$C$6,#REF!&lt;= table!$D$6),-1,IF(AND(#REF!&gt;=table!$E$6,#REF!&lt;=table!$F$6),1,0))</f>
        <v>#REF!</v>
      </c>
      <c r="R645" s="5" t="e">
        <f>IF(AND(#REF!&gt;=table!$C$7,#REF!&lt;= table!$D$7),-1,IF(AND(#REF!&gt;=table!$E$7,#REF!&lt;=table!$F$7),1,0))</f>
        <v>#REF!</v>
      </c>
      <c r="S645" s="5" t="e">
        <f>IF(AND(#REF!&gt;=table!$C$8,#REF!&lt;= table!$D$8),-1,IF(AND(#REF!&gt;=table!$E$8,#REF!&lt;=table!$F$8),1,0))</f>
        <v>#REF!</v>
      </c>
      <c r="T645" s="5"/>
      <c r="U645" s="5" t="e">
        <f>IF(AND(#REF!&gt;=table!$C$10,#REF!&lt;= table!$D$10),-1,IF(AND(#REF!&gt;=table!$E$10,#REF!&lt;=table!$F$10),1,0))</f>
        <v>#REF!</v>
      </c>
      <c r="V645" s="5" t="e">
        <f>IF(AND(#REF!&gt;=table!$C$11,#REF!&lt;= table!$D$11),-1,IF(AND(#REF!&gt;=table!$E$11,#REF!&lt;=table!$F$11),1,0))</f>
        <v>#REF!</v>
      </c>
      <c r="W645" s="5" t="e">
        <f>CONCATENATE(dados[[#This Row],[fator1]],dados[[#This Row],[fator5]],dados[[#This Row],[fator6]])</f>
        <v>#REF!</v>
      </c>
    </row>
    <row r="646" spans="1:23">
      <c r="A646" t="s">
        <v>16</v>
      </c>
      <c r="B646">
        <v>482520</v>
      </c>
      <c r="C646">
        <v>4</v>
      </c>
      <c r="D646">
        <v>40</v>
      </c>
      <c r="E646">
        <v>21</v>
      </c>
      <c r="F646">
        <v>10</v>
      </c>
      <c r="G646">
        <v>0</v>
      </c>
      <c r="H646">
        <v>25</v>
      </c>
      <c r="I646">
        <v>1078</v>
      </c>
      <c r="J646">
        <v>700</v>
      </c>
      <c r="K646">
        <v>6.7750000000000004</v>
      </c>
      <c r="L646">
        <v>6.6400000000000006</v>
      </c>
      <c r="M646">
        <v>13.71</v>
      </c>
      <c r="N646">
        <v>12.32</v>
      </c>
      <c r="O646">
        <v>1598</v>
      </c>
      <c r="P646">
        <v>510</v>
      </c>
      <c r="Q646" s="5" t="e">
        <f>IF(AND(#REF!&gt;=table!$C$6,#REF!&lt;= table!$D$6),-1,IF(AND(#REF!&gt;=table!$E$6,#REF!&lt;=table!$F$6),1,0))</f>
        <v>#REF!</v>
      </c>
      <c r="R646" s="5" t="e">
        <f>IF(AND(#REF!&gt;=table!$C$7,#REF!&lt;= table!$D$7),-1,IF(AND(#REF!&gt;=table!$E$7,#REF!&lt;=table!$F$7),1,0))</f>
        <v>#REF!</v>
      </c>
      <c r="S646" s="5" t="e">
        <f>IF(AND(#REF!&gt;=table!$C$8,#REF!&lt;= table!$D$8),-1,IF(AND(#REF!&gt;=table!$E$8,#REF!&lt;=table!$F$8),1,0))</f>
        <v>#REF!</v>
      </c>
      <c r="T646" s="5"/>
      <c r="U646" s="5" t="e">
        <f>IF(AND(#REF!&gt;=table!$C$10,#REF!&lt;= table!$D$10),-1,IF(AND(#REF!&gt;=table!$E$10,#REF!&lt;=table!$F$10),1,0))</f>
        <v>#REF!</v>
      </c>
      <c r="V646" s="5" t="e">
        <f>IF(AND(#REF!&gt;=table!$C$11,#REF!&lt;= table!$D$11),-1,IF(AND(#REF!&gt;=table!$E$11,#REF!&lt;=table!$F$11),1,0))</f>
        <v>#REF!</v>
      </c>
      <c r="W646" s="5" t="e">
        <f>CONCATENATE(dados[[#This Row],[fator1]],dados[[#This Row],[fator5]],dados[[#This Row],[fator6]])</f>
        <v>#REF!</v>
      </c>
    </row>
    <row r="647" spans="1:23">
      <c r="A647" t="s">
        <v>17</v>
      </c>
      <c r="B647">
        <v>482521</v>
      </c>
      <c r="C647">
        <v>12</v>
      </c>
      <c r="D647">
        <v>30</v>
      </c>
      <c r="E647">
        <v>115</v>
      </c>
      <c r="F647">
        <v>4</v>
      </c>
      <c r="G647">
        <v>25</v>
      </c>
      <c r="H647">
        <v>21</v>
      </c>
      <c r="I647">
        <v>123</v>
      </c>
      <c r="J647">
        <v>0</v>
      </c>
      <c r="K647">
        <v>4.59</v>
      </c>
      <c r="L647">
        <v>8.99</v>
      </c>
      <c r="M647">
        <v>64.385000000000005</v>
      </c>
      <c r="N647">
        <v>8.9649999999999999</v>
      </c>
      <c r="O647">
        <v>1668</v>
      </c>
      <c r="P647">
        <v>0</v>
      </c>
      <c r="Q647" s="5" t="e">
        <f>IF(AND(#REF!&gt;=table!$C$6,#REF!&lt;= table!$D$6),-1,IF(AND(#REF!&gt;=table!$E$6,#REF!&lt;=table!$F$6),1,0))</f>
        <v>#REF!</v>
      </c>
      <c r="R647" s="5" t="e">
        <f>IF(AND(#REF!&gt;=table!$C$7,#REF!&lt;= table!$D$7),-1,IF(AND(#REF!&gt;=table!$E$7,#REF!&lt;=table!$F$7),1,0))</f>
        <v>#REF!</v>
      </c>
      <c r="S647" s="5" t="e">
        <f>IF(AND(#REF!&gt;=table!$C$8,#REF!&lt;= table!$D$8),-1,IF(AND(#REF!&gt;=table!$E$8,#REF!&lt;=table!$F$8),1,0))</f>
        <v>#REF!</v>
      </c>
      <c r="T647" s="5"/>
      <c r="U647" s="5" t="e">
        <f>IF(AND(#REF!&gt;=table!$C$10,#REF!&lt;= table!$D$10),-1,IF(AND(#REF!&gt;=table!$E$10,#REF!&lt;=table!$F$10),1,0))</f>
        <v>#REF!</v>
      </c>
      <c r="V647" s="5" t="e">
        <f>IF(AND(#REF!&gt;=table!$C$11,#REF!&lt;= table!$D$11),-1,IF(AND(#REF!&gt;=table!$E$11,#REF!&lt;=table!$F$11),1,0))</f>
        <v>#REF!</v>
      </c>
      <c r="W647" s="5" t="e">
        <f>CONCATENATE(dados[[#This Row],[fator1]],dados[[#This Row],[fator5]],dados[[#This Row],[fator6]])</f>
        <v>#REF!</v>
      </c>
    </row>
    <row r="648" spans="1:23">
      <c r="A648" t="s">
        <v>17</v>
      </c>
      <c r="B648">
        <v>482525</v>
      </c>
      <c r="C648">
        <v>12</v>
      </c>
      <c r="D648">
        <v>30</v>
      </c>
      <c r="E648">
        <v>115</v>
      </c>
      <c r="F648">
        <v>4</v>
      </c>
      <c r="G648">
        <v>25</v>
      </c>
      <c r="H648">
        <v>21</v>
      </c>
      <c r="I648">
        <v>529</v>
      </c>
      <c r="J648">
        <v>0</v>
      </c>
      <c r="K648">
        <v>3.27</v>
      </c>
      <c r="L648">
        <v>10.35</v>
      </c>
      <c r="M648">
        <v>103.78</v>
      </c>
      <c r="N648">
        <v>13.305000000000001</v>
      </c>
      <c r="O648">
        <v>1674</v>
      </c>
      <c r="P648">
        <v>0</v>
      </c>
      <c r="Q648" s="5" t="e">
        <f>IF(AND(#REF!&gt;=table!$C$6,#REF!&lt;= table!$D$6),-1,IF(AND(#REF!&gt;=table!$E$6,#REF!&lt;=table!$F$6),1,0))</f>
        <v>#REF!</v>
      </c>
      <c r="R648" s="5" t="e">
        <f>IF(AND(#REF!&gt;=table!$C$7,#REF!&lt;= table!$D$7),-1,IF(AND(#REF!&gt;=table!$E$7,#REF!&lt;=table!$F$7),1,0))</f>
        <v>#REF!</v>
      </c>
      <c r="S648" s="5" t="e">
        <f>IF(AND(#REF!&gt;=table!$C$8,#REF!&lt;= table!$D$8),-1,IF(AND(#REF!&gt;=table!$E$8,#REF!&lt;=table!$F$8),1,0))</f>
        <v>#REF!</v>
      </c>
      <c r="T648" s="5"/>
      <c r="U648" s="5" t="e">
        <f>IF(AND(#REF!&gt;=table!$C$10,#REF!&lt;= table!$D$10),-1,IF(AND(#REF!&gt;=table!$E$10,#REF!&lt;=table!$F$10),1,0))</f>
        <v>#REF!</v>
      </c>
      <c r="V648" s="5" t="e">
        <f>IF(AND(#REF!&gt;=table!$C$11,#REF!&lt;= table!$D$11),-1,IF(AND(#REF!&gt;=table!$E$11,#REF!&lt;=table!$F$11),1,0))</f>
        <v>#REF!</v>
      </c>
      <c r="W648" s="5" t="e">
        <f>CONCATENATE(dados[[#This Row],[fator1]],dados[[#This Row],[fator5]],dados[[#This Row],[fator6]])</f>
        <v>#REF!</v>
      </c>
    </row>
    <row r="649" spans="1:23">
      <c r="A649" t="s">
        <v>17</v>
      </c>
      <c r="B649">
        <v>482526</v>
      </c>
      <c r="C649">
        <v>12</v>
      </c>
      <c r="D649">
        <v>30</v>
      </c>
      <c r="E649">
        <v>115</v>
      </c>
      <c r="F649">
        <v>4</v>
      </c>
      <c r="G649">
        <v>25</v>
      </c>
      <c r="H649">
        <v>21</v>
      </c>
      <c r="I649">
        <v>94</v>
      </c>
      <c r="J649">
        <v>950</v>
      </c>
      <c r="K649">
        <v>6.1350000000000007</v>
      </c>
      <c r="L649">
        <v>6.29</v>
      </c>
      <c r="M649">
        <v>112.15</v>
      </c>
      <c r="N649">
        <v>10.295</v>
      </c>
      <c r="O649">
        <v>1646</v>
      </c>
      <c r="P649">
        <v>817</v>
      </c>
      <c r="Q649" s="5" t="e">
        <f>IF(AND(#REF!&gt;=table!$C$6,#REF!&lt;= table!$D$6),-1,IF(AND(#REF!&gt;=table!$E$6,#REF!&lt;=table!$F$6),1,0))</f>
        <v>#REF!</v>
      </c>
      <c r="R649" s="5" t="e">
        <f>IF(AND(#REF!&gt;=table!$C$7,#REF!&lt;= table!$D$7),-1,IF(AND(#REF!&gt;=table!$E$7,#REF!&lt;=table!$F$7),1,0))</f>
        <v>#REF!</v>
      </c>
      <c r="S649" s="5" t="e">
        <f>IF(AND(#REF!&gt;=table!$C$8,#REF!&lt;= table!$D$8),-1,IF(AND(#REF!&gt;=table!$E$8,#REF!&lt;=table!$F$8),1,0))</f>
        <v>#REF!</v>
      </c>
      <c r="T649" s="5"/>
      <c r="U649" s="5" t="e">
        <f>IF(AND(#REF!&gt;=table!$C$10,#REF!&lt;= table!$D$10),-1,IF(AND(#REF!&gt;=table!$E$10,#REF!&lt;=table!$F$10),1,0))</f>
        <v>#REF!</v>
      </c>
      <c r="V649" s="5" t="e">
        <f>IF(AND(#REF!&gt;=table!$C$11,#REF!&lt;= table!$D$11),-1,IF(AND(#REF!&gt;=table!$E$11,#REF!&lt;=table!$F$11),1,0))</f>
        <v>#REF!</v>
      </c>
      <c r="W649" s="5" t="e">
        <f>CONCATENATE(dados[[#This Row],[fator1]],dados[[#This Row],[fator5]],dados[[#This Row],[fator6]])</f>
        <v>#REF!</v>
      </c>
    </row>
    <row r="650" spans="1:23">
      <c r="A650" t="s">
        <v>16</v>
      </c>
      <c r="B650">
        <v>482527</v>
      </c>
      <c r="C650">
        <v>0.1</v>
      </c>
      <c r="D650">
        <v>40</v>
      </c>
      <c r="E650">
        <v>10</v>
      </c>
      <c r="F650">
        <v>8</v>
      </c>
      <c r="G650">
        <v>0</v>
      </c>
      <c r="H650">
        <v>10</v>
      </c>
      <c r="I650">
        <v>1105</v>
      </c>
      <c r="J650">
        <v>0</v>
      </c>
      <c r="K650">
        <v>5.085</v>
      </c>
      <c r="L650">
        <v>12.085000000000001</v>
      </c>
      <c r="M650">
        <v>10.85</v>
      </c>
      <c r="N650">
        <v>11.25</v>
      </c>
      <c r="O650">
        <v>1679</v>
      </c>
      <c r="P650">
        <v>0</v>
      </c>
      <c r="Q650" s="5" t="e">
        <f>IF(AND(#REF!&gt;=table!$C$6,#REF!&lt;= table!$D$6),-1,IF(AND(#REF!&gt;=table!$E$6,#REF!&lt;=table!$F$6),1,0))</f>
        <v>#REF!</v>
      </c>
      <c r="R650" s="5" t="e">
        <f>IF(AND(#REF!&gt;=table!$C$7,#REF!&lt;= table!$D$7),-1,IF(AND(#REF!&gt;=table!$E$7,#REF!&lt;=table!$F$7),1,0))</f>
        <v>#REF!</v>
      </c>
      <c r="S650" s="5" t="e">
        <f>IF(AND(#REF!&gt;=table!$C$8,#REF!&lt;= table!$D$8),-1,IF(AND(#REF!&gt;=table!$E$8,#REF!&lt;=table!$F$8),1,0))</f>
        <v>#REF!</v>
      </c>
      <c r="T650" s="5"/>
      <c r="U650" s="5" t="e">
        <f>IF(AND(#REF!&gt;=table!$C$10,#REF!&lt;= table!$D$10),-1,IF(AND(#REF!&gt;=table!$E$10,#REF!&lt;=table!$F$10),1,0))</f>
        <v>#REF!</v>
      </c>
      <c r="V650" s="5" t="e">
        <f>IF(AND(#REF!&gt;=table!$C$11,#REF!&lt;= table!$D$11),-1,IF(AND(#REF!&gt;=table!$E$11,#REF!&lt;=table!$F$11),1,0))</f>
        <v>#REF!</v>
      </c>
      <c r="W650" s="5" t="e">
        <f>CONCATENATE(dados[[#This Row],[fator1]],dados[[#This Row],[fator5]],dados[[#This Row],[fator6]])</f>
        <v>#REF!</v>
      </c>
    </row>
    <row r="651" spans="1:23">
      <c r="A651" t="s">
        <v>16</v>
      </c>
      <c r="B651">
        <v>482536</v>
      </c>
      <c r="C651">
        <v>0.15</v>
      </c>
      <c r="D651">
        <v>40</v>
      </c>
      <c r="E651">
        <v>10</v>
      </c>
      <c r="F651">
        <v>15</v>
      </c>
      <c r="G651">
        <v>0</v>
      </c>
      <c r="H651">
        <v>15</v>
      </c>
      <c r="I651">
        <v>1183</v>
      </c>
      <c r="J651">
        <v>0</v>
      </c>
      <c r="K651">
        <v>2.64</v>
      </c>
      <c r="L651">
        <v>7.9</v>
      </c>
      <c r="M651">
        <v>7.15</v>
      </c>
      <c r="N651">
        <v>11.15</v>
      </c>
      <c r="O651">
        <v>1673</v>
      </c>
      <c r="P651">
        <v>1279</v>
      </c>
      <c r="Q651" s="5" t="e">
        <f>IF(AND(#REF!&gt;=table!$C$6,#REF!&lt;= table!$D$6),-1,IF(AND(#REF!&gt;=table!$E$6,#REF!&lt;=table!$F$6),1,0))</f>
        <v>#REF!</v>
      </c>
      <c r="R651" s="5" t="e">
        <f>IF(AND(#REF!&gt;=table!$C$7,#REF!&lt;= table!$D$7),-1,IF(AND(#REF!&gt;=table!$E$7,#REF!&lt;=table!$F$7),1,0))</f>
        <v>#REF!</v>
      </c>
      <c r="S651" s="5" t="e">
        <f>IF(AND(#REF!&gt;=table!$C$8,#REF!&lt;= table!$D$8),-1,IF(AND(#REF!&gt;=table!$E$8,#REF!&lt;=table!$F$8),1,0))</f>
        <v>#REF!</v>
      </c>
      <c r="T651" s="5"/>
      <c r="U651" s="5" t="e">
        <f>IF(AND(#REF!&gt;=table!$C$10,#REF!&lt;= table!$D$10),-1,IF(AND(#REF!&gt;=table!$E$10,#REF!&lt;=table!$F$10),1,0))</f>
        <v>#REF!</v>
      </c>
      <c r="V651" s="5" t="e">
        <f>IF(AND(#REF!&gt;=table!$C$11,#REF!&lt;= table!$D$11),-1,IF(AND(#REF!&gt;=table!$E$11,#REF!&lt;=table!$F$11),1,0))</f>
        <v>#REF!</v>
      </c>
      <c r="W651" s="5" t="e">
        <f>CONCATENATE(dados[[#This Row],[fator1]],dados[[#This Row],[fator5]],dados[[#This Row],[fator6]])</f>
        <v>#REF!</v>
      </c>
    </row>
    <row r="652" spans="1:23">
      <c r="A652" t="s">
        <v>16</v>
      </c>
      <c r="B652">
        <v>482547</v>
      </c>
      <c r="C652">
        <v>0.15</v>
      </c>
      <c r="D652">
        <v>40</v>
      </c>
      <c r="E652">
        <v>10</v>
      </c>
      <c r="F652">
        <v>15</v>
      </c>
      <c r="G652">
        <v>0</v>
      </c>
      <c r="H652">
        <v>15</v>
      </c>
      <c r="I652">
        <v>1394</v>
      </c>
      <c r="J652">
        <v>0</v>
      </c>
      <c r="K652">
        <v>5.17</v>
      </c>
      <c r="L652">
        <v>10.195</v>
      </c>
      <c r="M652">
        <v>9.3000000000000007</v>
      </c>
      <c r="N652">
        <v>9.7000000000000011</v>
      </c>
      <c r="O652">
        <v>1702</v>
      </c>
      <c r="P652">
        <v>0</v>
      </c>
      <c r="Q652" s="5" t="e">
        <f>IF(AND(#REF!&gt;=table!$C$6,#REF!&lt;= table!$D$6),-1,IF(AND(#REF!&gt;=table!$E$6,#REF!&lt;=table!$F$6),1,0))</f>
        <v>#REF!</v>
      </c>
      <c r="R652" s="5" t="e">
        <f>IF(AND(#REF!&gt;=table!$C$7,#REF!&lt;= table!$D$7),-1,IF(AND(#REF!&gt;=table!$E$7,#REF!&lt;=table!$F$7),1,0))</f>
        <v>#REF!</v>
      </c>
      <c r="S652" s="5" t="e">
        <f>IF(AND(#REF!&gt;=table!$C$8,#REF!&lt;= table!$D$8),-1,IF(AND(#REF!&gt;=table!$E$8,#REF!&lt;=table!$F$8),1,0))</f>
        <v>#REF!</v>
      </c>
      <c r="T652" s="5"/>
      <c r="U652" s="5" t="e">
        <f>IF(AND(#REF!&gt;=table!$C$10,#REF!&lt;= table!$D$10),-1,IF(AND(#REF!&gt;=table!$E$10,#REF!&lt;=table!$F$10),1,0))</f>
        <v>#REF!</v>
      </c>
      <c r="V652" s="5" t="e">
        <f>IF(AND(#REF!&gt;=table!$C$11,#REF!&lt;= table!$D$11),-1,IF(AND(#REF!&gt;=table!$E$11,#REF!&lt;=table!$F$11),1,0))</f>
        <v>#REF!</v>
      </c>
      <c r="W652" s="5" t="e">
        <f>CONCATENATE(dados[[#This Row],[fator1]],dados[[#This Row],[fator5]],dados[[#This Row],[fator6]])</f>
        <v>#REF!</v>
      </c>
    </row>
    <row r="653" spans="1:23">
      <c r="A653" t="s">
        <v>16</v>
      </c>
      <c r="B653">
        <v>482551</v>
      </c>
      <c r="C653">
        <v>0.1</v>
      </c>
      <c r="D653">
        <v>40</v>
      </c>
      <c r="E653">
        <v>10</v>
      </c>
      <c r="F653">
        <v>8</v>
      </c>
      <c r="G653">
        <v>0</v>
      </c>
      <c r="H653">
        <v>10</v>
      </c>
      <c r="I653">
        <v>1672</v>
      </c>
      <c r="J653">
        <v>0</v>
      </c>
      <c r="K653">
        <v>6.22</v>
      </c>
      <c r="L653">
        <v>8.9</v>
      </c>
      <c r="M653">
        <v>8.39</v>
      </c>
      <c r="N653">
        <v>9.35</v>
      </c>
      <c r="O653">
        <v>1685</v>
      </c>
      <c r="P653">
        <v>676</v>
      </c>
      <c r="Q653" s="5" t="e">
        <f>IF(AND(#REF!&gt;=table!$C$6,#REF!&lt;= table!$D$6),-1,IF(AND(#REF!&gt;=table!$E$6,#REF!&lt;=table!$F$6),1,0))</f>
        <v>#REF!</v>
      </c>
      <c r="R653" s="5" t="e">
        <f>IF(AND(#REF!&gt;=table!$C$7,#REF!&lt;= table!$D$7),-1,IF(AND(#REF!&gt;=table!$E$7,#REF!&lt;=table!$F$7),1,0))</f>
        <v>#REF!</v>
      </c>
      <c r="S653" s="5" t="e">
        <f>IF(AND(#REF!&gt;=table!$C$8,#REF!&lt;= table!$D$8),-1,IF(AND(#REF!&gt;=table!$E$8,#REF!&lt;=table!$F$8),1,0))</f>
        <v>#REF!</v>
      </c>
      <c r="T653" s="5"/>
      <c r="U653" s="5" t="e">
        <f>IF(AND(#REF!&gt;=table!$C$10,#REF!&lt;= table!$D$10),-1,IF(AND(#REF!&gt;=table!$E$10,#REF!&lt;=table!$F$10),1,0))</f>
        <v>#REF!</v>
      </c>
      <c r="V653" s="5" t="e">
        <f>IF(AND(#REF!&gt;=table!$C$11,#REF!&lt;= table!$D$11),-1,IF(AND(#REF!&gt;=table!$E$11,#REF!&lt;=table!$F$11),1,0))</f>
        <v>#REF!</v>
      </c>
      <c r="W653" s="5" t="e">
        <f>CONCATENATE(dados[[#This Row],[fator1]],dados[[#This Row],[fator5]],dados[[#This Row],[fator6]])</f>
        <v>#REF!</v>
      </c>
    </row>
    <row r="654" spans="1:23">
      <c r="A654" t="s">
        <v>16</v>
      </c>
      <c r="B654">
        <v>482553</v>
      </c>
      <c r="C654">
        <v>0.15</v>
      </c>
      <c r="D654">
        <v>40</v>
      </c>
      <c r="E654">
        <v>10</v>
      </c>
      <c r="F654">
        <v>15</v>
      </c>
      <c r="G654">
        <v>0</v>
      </c>
      <c r="H654">
        <v>15</v>
      </c>
      <c r="I654">
        <v>1536</v>
      </c>
      <c r="J654">
        <v>980</v>
      </c>
      <c r="K654">
        <v>5.23</v>
      </c>
      <c r="L654">
        <v>9.1</v>
      </c>
      <c r="M654">
        <v>5.2850000000000001</v>
      </c>
      <c r="N654">
        <v>7.33</v>
      </c>
      <c r="O654">
        <v>1624</v>
      </c>
      <c r="P654">
        <v>657</v>
      </c>
      <c r="Q654" s="5" t="e">
        <f>IF(AND(#REF!&gt;=table!$C$6,#REF!&lt;= table!$D$6),-1,IF(AND(#REF!&gt;=table!$E$6,#REF!&lt;=table!$F$6),1,0))</f>
        <v>#REF!</v>
      </c>
      <c r="R654" s="5" t="e">
        <f>IF(AND(#REF!&gt;=table!$C$7,#REF!&lt;= table!$D$7),-1,IF(AND(#REF!&gt;=table!$E$7,#REF!&lt;=table!$F$7),1,0))</f>
        <v>#REF!</v>
      </c>
      <c r="S654" s="5" t="e">
        <f>IF(AND(#REF!&gt;=table!$C$8,#REF!&lt;= table!$D$8),-1,IF(AND(#REF!&gt;=table!$E$8,#REF!&lt;=table!$F$8),1,0))</f>
        <v>#REF!</v>
      </c>
      <c r="T654" s="5"/>
      <c r="U654" s="5" t="e">
        <f>IF(AND(#REF!&gt;=table!$C$10,#REF!&lt;= table!$D$10),-1,IF(AND(#REF!&gt;=table!$E$10,#REF!&lt;=table!$F$10),1,0))</f>
        <v>#REF!</v>
      </c>
      <c r="V654" s="5" t="e">
        <f>IF(AND(#REF!&gt;=table!$C$11,#REF!&lt;= table!$D$11),-1,IF(AND(#REF!&gt;=table!$E$11,#REF!&lt;=table!$F$11),1,0))</f>
        <v>#REF!</v>
      </c>
      <c r="W654" s="5" t="e">
        <f>CONCATENATE(dados[[#This Row],[fator1]],dados[[#This Row],[fator5]],dados[[#This Row],[fator6]])</f>
        <v>#REF!</v>
      </c>
    </row>
    <row r="655" spans="1:23">
      <c r="A655" t="s">
        <v>16</v>
      </c>
      <c r="B655">
        <v>482554</v>
      </c>
      <c r="C655">
        <v>8</v>
      </c>
      <c r="D655">
        <v>40</v>
      </c>
      <c r="E655">
        <v>86</v>
      </c>
      <c r="F655">
        <v>6</v>
      </c>
      <c r="G655">
        <v>0</v>
      </c>
      <c r="H655">
        <v>20</v>
      </c>
      <c r="I655">
        <v>1146</v>
      </c>
      <c r="J655">
        <v>0</v>
      </c>
      <c r="K655">
        <v>3.3250000000000002</v>
      </c>
      <c r="L655">
        <v>8.7000000000000011</v>
      </c>
      <c r="M655">
        <v>57.95</v>
      </c>
      <c r="N655">
        <v>11.700000000000001</v>
      </c>
      <c r="O655">
        <v>1686</v>
      </c>
      <c r="P655">
        <v>0</v>
      </c>
      <c r="Q655" s="5" t="e">
        <f>IF(AND(#REF!&gt;=table!$C$6,#REF!&lt;= table!$D$6),-1,IF(AND(#REF!&gt;=table!$E$6,#REF!&lt;=table!$F$6),1,0))</f>
        <v>#REF!</v>
      </c>
      <c r="R655" s="5" t="e">
        <f>IF(AND(#REF!&gt;=table!$C$7,#REF!&lt;= table!$D$7),-1,IF(AND(#REF!&gt;=table!$E$7,#REF!&lt;=table!$F$7),1,0))</f>
        <v>#REF!</v>
      </c>
      <c r="S655" s="5" t="e">
        <f>IF(AND(#REF!&gt;=table!$C$8,#REF!&lt;= table!$D$8),-1,IF(AND(#REF!&gt;=table!$E$8,#REF!&lt;=table!$F$8),1,0))</f>
        <v>#REF!</v>
      </c>
      <c r="T655" s="5"/>
      <c r="U655" s="5" t="e">
        <f>IF(AND(#REF!&gt;=table!$C$10,#REF!&lt;= table!$D$10),-1,IF(AND(#REF!&gt;=table!$E$10,#REF!&lt;=table!$F$10),1,0))</f>
        <v>#REF!</v>
      </c>
      <c r="V655" s="5" t="e">
        <f>IF(AND(#REF!&gt;=table!$C$11,#REF!&lt;= table!$D$11),-1,IF(AND(#REF!&gt;=table!$E$11,#REF!&lt;=table!$F$11),1,0))</f>
        <v>#REF!</v>
      </c>
      <c r="W655" s="5" t="e">
        <f>CONCATENATE(dados[[#This Row],[fator1]],dados[[#This Row],[fator5]],dados[[#This Row],[fator6]])</f>
        <v>#REF!</v>
      </c>
    </row>
    <row r="656" spans="1:23">
      <c r="A656" t="s">
        <v>16</v>
      </c>
      <c r="B656">
        <v>482555</v>
      </c>
      <c r="C656">
        <v>8</v>
      </c>
      <c r="D656">
        <v>40</v>
      </c>
      <c r="E656">
        <v>86</v>
      </c>
      <c r="F656">
        <v>6</v>
      </c>
      <c r="G656">
        <v>0</v>
      </c>
      <c r="H656">
        <v>20</v>
      </c>
      <c r="I656">
        <v>36</v>
      </c>
      <c r="J656">
        <v>0</v>
      </c>
      <c r="K656">
        <v>5.2450000000000001</v>
      </c>
      <c r="L656">
        <v>11.370000000000001</v>
      </c>
      <c r="M656">
        <v>87</v>
      </c>
      <c r="N656">
        <v>12.950000000000001</v>
      </c>
      <c r="O656">
        <v>1657</v>
      </c>
      <c r="P656">
        <v>888</v>
      </c>
      <c r="Q656" s="5" t="e">
        <f>IF(AND(#REF!&gt;=table!$C$6,#REF!&lt;= table!$D$6),-1,IF(AND(#REF!&gt;=table!$E$6,#REF!&lt;=table!$F$6),1,0))</f>
        <v>#REF!</v>
      </c>
      <c r="R656" s="5" t="e">
        <f>IF(AND(#REF!&gt;=table!$C$7,#REF!&lt;= table!$D$7),-1,IF(AND(#REF!&gt;=table!$E$7,#REF!&lt;=table!$F$7),1,0))</f>
        <v>#REF!</v>
      </c>
      <c r="S656" s="5" t="e">
        <f>IF(AND(#REF!&gt;=table!$C$8,#REF!&lt;= table!$D$8),-1,IF(AND(#REF!&gt;=table!$E$8,#REF!&lt;=table!$F$8),1,0))</f>
        <v>#REF!</v>
      </c>
      <c r="T656" s="5"/>
      <c r="U656" s="5" t="e">
        <f>IF(AND(#REF!&gt;=table!$C$10,#REF!&lt;= table!$D$10),-1,IF(AND(#REF!&gt;=table!$E$10,#REF!&lt;=table!$F$10),1,0))</f>
        <v>#REF!</v>
      </c>
      <c r="V656" s="5" t="e">
        <f>IF(AND(#REF!&gt;=table!$C$11,#REF!&lt;= table!$D$11),-1,IF(AND(#REF!&gt;=table!$E$11,#REF!&lt;=table!$F$11),1,0))</f>
        <v>#REF!</v>
      </c>
      <c r="W656" s="5" t="e">
        <f>CONCATENATE(dados[[#This Row],[fator1]],dados[[#This Row],[fator5]],dados[[#This Row],[fator6]])</f>
        <v>#REF!</v>
      </c>
    </row>
    <row r="657" spans="1:23">
      <c r="A657" t="s">
        <v>16</v>
      </c>
      <c r="B657">
        <v>482559</v>
      </c>
      <c r="C657">
        <v>4</v>
      </c>
      <c r="D657">
        <v>40</v>
      </c>
      <c r="E657">
        <v>21</v>
      </c>
      <c r="F657">
        <v>20</v>
      </c>
      <c r="G657">
        <v>0</v>
      </c>
      <c r="H657">
        <v>25</v>
      </c>
      <c r="I657">
        <v>244</v>
      </c>
      <c r="J657">
        <v>0</v>
      </c>
      <c r="K657">
        <v>3.92</v>
      </c>
      <c r="L657">
        <v>11.450000000000001</v>
      </c>
      <c r="M657">
        <v>22.900000000000002</v>
      </c>
      <c r="N657">
        <v>20.55</v>
      </c>
      <c r="O657">
        <v>1659</v>
      </c>
      <c r="P657">
        <v>0</v>
      </c>
      <c r="Q657" s="5" t="e">
        <f>IF(AND(#REF!&gt;=table!$C$6,#REF!&lt;= table!$D$6),-1,IF(AND(#REF!&gt;=table!$E$6,#REF!&lt;=table!$F$6),1,0))</f>
        <v>#REF!</v>
      </c>
      <c r="R657" s="5" t="e">
        <f>IF(AND(#REF!&gt;=table!$C$7,#REF!&lt;= table!$D$7),-1,IF(AND(#REF!&gt;=table!$E$7,#REF!&lt;=table!$F$7),1,0))</f>
        <v>#REF!</v>
      </c>
      <c r="S657" s="5" t="e">
        <f>IF(AND(#REF!&gt;=table!$C$8,#REF!&lt;= table!$D$8),-1,IF(AND(#REF!&gt;=table!$E$8,#REF!&lt;=table!$F$8),1,0))</f>
        <v>#REF!</v>
      </c>
      <c r="T657" s="5"/>
      <c r="U657" s="5" t="e">
        <f>IF(AND(#REF!&gt;=table!$C$10,#REF!&lt;= table!$D$10),-1,IF(AND(#REF!&gt;=table!$E$10,#REF!&lt;=table!$F$10),1,0))</f>
        <v>#REF!</v>
      </c>
      <c r="V657" s="5" t="e">
        <f>IF(AND(#REF!&gt;=table!$C$11,#REF!&lt;= table!$D$11),-1,IF(AND(#REF!&gt;=table!$E$11,#REF!&lt;=table!$F$11),1,0))</f>
        <v>#REF!</v>
      </c>
      <c r="W657" s="5" t="e">
        <f>CONCATENATE(dados[[#This Row],[fator1]],dados[[#This Row],[fator5]],dados[[#This Row],[fator6]])</f>
        <v>#REF!</v>
      </c>
    </row>
    <row r="658" spans="1:23">
      <c r="A658" t="s">
        <v>17</v>
      </c>
      <c r="B658">
        <v>482572</v>
      </c>
      <c r="C658">
        <v>45</v>
      </c>
      <c r="D658">
        <v>30</v>
      </c>
      <c r="E658">
        <v>126</v>
      </c>
      <c r="F658">
        <v>9</v>
      </c>
      <c r="G658">
        <v>23</v>
      </c>
      <c r="H658">
        <v>22</v>
      </c>
      <c r="I658">
        <v>1027</v>
      </c>
      <c r="J658">
        <v>0</v>
      </c>
      <c r="K658">
        <v>0.17</v>
      </c>
      <c r="L658">
        <v>11.55</v>
      </c>
      <c r="M658">
        <v>100.98</v>
      </c>
      <c r="N658">
        <v>10.885</v>
      </c>
      <c r="O658">
        <v>1657</v>
      </c>
      <c r="P658">
        <v>0</v>
      </c>
      <c r="Q658" s="5" t="e">
        <f>IF(AND(#REF!&gt;=table!$C$6,#REF!&lt;= table!$D$6),-1,IF(AND(#REF!&gt;=table!$E$6,#REF!&lt;=table!$F$6),1,0))</f>
        <v>#REF!</v>
      </c>
      <c r="R658" s="5" t="e">
        <f>IF(AND(#REF!&gt;=table!$C$7,#REF!&lt;= table!$D$7),-1,IF(AND(#REF!&gt;=table!$E$7,#REF!&lt;=table!$F$7),1,0))</f>
        <v>#REF!</v>
      </c>
      <c r="S658" s="5" t="e">
        <f>IF(AND(#REF!&gt;=table!$C$8,#REF!&lt;= table!$D$8),-1,IF(AND(#REF!&gt;=table!$E$8,#REF!&lt;=table!$F$8),1,0))</f>
        <v>#REF!</v>
      </c>
      <c r="T658" s="5"/>
      <c r="U658" s="5" t="e">
        <f>IF(AND(#REF!&gt;=table!$C$10,#REF!&lt;= table!$D$10),-1,IF(AND(#REF!&gt;=table!$E$10,#REF!&lt;=table!$F$10),1,0))</f>
        <v>#REF!</v>
      </c>
      <c r="V658" s="5" t="e">
        <f>IF(AND(#REF!&gt;=table!$C$11,#REF!&lt;= table!$D$11),-1,IF(AND(#REF!&gt;=table!$E$11,#REF!&lt;=table!$F$11),1,0))</f>
        <v>#REF!</v>
      </c>
      <c r="W658" s="5" t="e">
        <f>CONCATENATE(dados[[#This Row],[fator1]],dados[[#This Row],[fator5]],dados[[#This Row],[fator6]])</f>
        <v>#REF!</v>
      </c>
    </row>
    <row r="659" spans="1:23">
      <c r="A659" t="s">
        <v>17</v>
      </c>
      <c r="B659">
        <v>482578</v>
      </c>
      <c r="C659">
        <v>13</v>
      </c>
      <c r="D659">
        <v>35</v>
      </c>
      <c r="E659">
        <v>100</v>
      </c>
      <c r="F659">
        <v>2</v>
      </c>
      <c r="G659">
        <v>28</v>
      </c>
      <c r="H659">
        <v>20</v>
      </c>
      <c r="I659">
        <v>399</v>
      </c>
      <c r="J659">
        <v>0</v>
      </c>
      <c r="K659">
        <v>3.5750000000000002</v>
      </c>
      <c r="L659">
        <v>10.050000000000001</v>
      </c>
      <c r="M659">
        <v>97.965000000000003</v>
      </c>
      <c r="N659">
        <v>12.555</v>
      </c>
      <c r="O659">
        <v>1686</v>
      </c>
      <c r="P659">
        <v>0</v>
      </c>
      <c r="Q659" s="5" t="e">
        <f>IF(AND(#REF!&gt;=table!$C$6,#REF!&lt;= table!$D$6),-1,IF(AND(#REF!&gt;=table!$E$6,#REF!&lt;=table!$F$6),1,0))</f>
        <v>#REF!</v>
      </c>
      <c r="R659" s="5" t="e">
        <f>IF(AND(#REF!&gt;=table!$C$7,#REF!&lt;= table!$D$7),-1,IF(AND(#REF!&gt;=table!$E$7,#REF!&lt;=table!$F$7),1,0))</f>
        <v>#REF!</v>
      </c>
      <c r="S659" s="5" t="e">
        <f>IF(AND(#REF!&gt;=table!$C$8,#REF!&lt;= table!$D$8),-1,IF(AND(#REF!&gt;=table!$E$8,#REF!&lt;=table!$F$8),1,0))</f>
        <v>#REF!</v>
      </c>
      <c r="T659" s="5"/>
      <c r="U659" s="5" t="e">
        <f>IF(AND(#REF!&gt;=table!$C$10,#REF!&lt;= table!$D$10),-1,IF(AND(#REF!&gt;=table!$E$10,#REF!&lt;=table!$F$10),1,0))</f>
        <v>#REF!</v>
      </c>
      <c r="V659" s="5" t="e">
        <f>IF(AND(#REF!&gt;=table!$C$11,#REF!&lt;= table!$D$11),-1,IF(AND(#REF!&gt;=table!$E$11,#REF!&lt;=table!$F$11),1,0))</f>
        <v>#REF!</v>
      </c>
      <c r="W659" s="5" t="e">
        <f>CONCATENATE(dados[[#This Row],[fator1]],dados[[#This Row],[fator5]],dados[[#This Row],[fator6]])</f>
        <v>#REF!</v>
      </c>
    </row>
    <row r="660" spans="1:23">
      <c r="A660" t="s">
        <v>17</v>
      </c>
      <c r="B660">
        <v>482579</v>
      </c>
      <c r="C660">
        <v>13</v>
      </c>
      <c r="D660">
        <v>35</v>
      </c>
      <c r="E660">
        <v>100</v>
      </c>
      <c r="F660">
        <v>2</v>
      </c>
      <c r="G660">
        <v>28</v>
      </c>
      <c r="H660">
        <v>20</v>
      </c>
      <c r="I660">
        <v>346</v>
      </c>
      <c r="J660">
        <v>670</v>
      </c>
      <c r="K660">
        <v>5.05</v>
      </c>
      <c r="L660">
        <v>6.5550000000000006</v>
      </c>
      <c r="M660">
        <v>87.95</v>
      </c>
      <c r="N660">
        <v>8.4499999999999993</v>
      </c>
      <c r="O660">
        <v>1638</v>
      </c>
      <c r="P660">
        <v>918</v>
      </c>
      <c r="Q660" s="5" t="e">
        <f>IF(AND(#REF!&gt;=table!$C$6,#REF!&lt;= table!$D$6),-1,IF(AND(#REF!&gt;=table!$E$6,#REF!&lt;=table!$F$6),1,0))</f>
        <v>#REF!</v>
      </c>
      <c r="R660" s="5" t="e">
        <f>IF(AND(#REF!&gt;=table!$C$7,#REF!&lt;= table!$D$7),-1,IF(AND(#REF!&gt;=table!$E$7,#REF!&lt;=table!$F$7),1,0))</f>
        <v>#REF!</v>
      </c>
      <c r="S660" s="5" t="e">
        <f>IF(AND(#REF!&gt;=table!$C$8,#REF!&lt;= table!$D$8),-1,IF(AND(#REF!&gt;=table!$E$8,#REF!&lt;=table!$F$8),1,0))</f>
        <v>#REF!</v>
      </c>
      <c r="T660" s="5"/>
      <c r="U660" s="5" t="e">
        <f>IF(AND(#REF!&gt;=table!$C$10,#REF!&lt;= table!$D$10),-1,IF(AND(#REF!&gt;=table!$E$10,#REF!&lt;=table!$F$10),1,0))</f>
        <v>#REF!</v>
      </c>
      <c r="V660" s="5" t="e">
        <f>IF(AND(#REF!&gt;=table!$C$11,#REF!&lt;= table!$D$11),-1,IF(AND(#REF!&gt;=table!$E$11,#REF!&lt;=table!$F$11),1,0))</f>
        <v>#REF!</v>
      </c>
      <c r="W660" s="5" t="e">
        <f>CONCATENATE(dados[[#This Row],[fator1]],dados[[#This Row],[fator5]],dados[[#This Row],[fator6]])</f>
        <v>#REF!</v>
      </c>
    </row>
    <row r="661" spans="1:23">
      <c r="A661" t="s">
        <v>16</v>
      </c>
      <c r="B661">
        <v>482581</v>
      </c>
      <c r="C661">
        <v>12</v>
      </c>
      <c r="D661">
        <v>35</v>
      </c>
      <c r="E661">
        <v>86</v>
      </c>
      <c r="F661">
        <v>10</v>
      </c>
      <c r="G661">
        <v>0</v>
      </c>
      <c r="H661">
        <v>25</v>
      </c>
      <c r="I661">
        <v>935</v>
      </c>
      <c r="J661">
        <v>0</v>
      </c>
      <c r="K661">
        <v>4.3050000000000006</v>
      </c>
      <c r="L661">
        <v>9.35</v>
      </c>
      <c r="M661">
        <v>67.25</v>
      </c>
      <c r="N661">
        <v>10.6</v>
      </c>
      <c r="O661">
        <v>1645</v>
      </c>
      <c r="P661">
        <v>773</v>
      </c>
      <c r="Q661" s="5" t="e">
        <f>IF(AND(#REF!&gt;=table!$C$6,#REF!&lt;= table!$D$6),-1,IF(AND(#REF!&gt;=table!$E$6,#REF!&lt;=table!$F$6),1,0))</f>
        <v>#REF!</v>
      </c>
      <c r="R661" s="5" t="e">
        <f>IF(AND(#REF!&gt;=table!$C$7,#REF!&lt;= table!$D$7),-1,IF(AND(#REF!&gt;=table!$E$7,#REF!&lt;=table!$F$7),1,0))</f>
        <v>#REF!</v>
      </c>
      <c r="S661" s="5" t="e">
        <f>IF(AND(#REF!&gt;=table!$C$8,#REF!&lt;= table!$D$8),-1,IF(AND(#REF!&gt;=table!$E$8,#REF!&lt;=table!$F$8),1,0))</f>
        <v>#REF!</v>
      </c>
      <c r="T661" s="5"/>
      <c r="U661" s="5" t="e">
        <f>IF(AND(#REF!&gt;=table!$C$10,#REF!&lt;= table!$D$10),-1,IF(AND(#REF!&gt;=table!$E$10,#REF!&lt;=table!$F$10),1,0))</f>
        <v>#REF!</v>
      </c>
      <c r="V661" s="5" t="e">
        <f>IF(AND(#REF!&gt;=table!$C$11,#REF!&lt;= table!$D$11),-1,IF(AND(#REF!&gt;=table!$E$11,#REF!&lt;=table!$F$11),1,0))</f>
        <v>#REF!</v>
      </c>
      <c r="W661" s="5" t="e">
        <f>CONCATENATE(dados[[#This Row],[fator1]],dados[[#This Row],[fator5]],dados[[#This Row],[fator6]])</f>
        <v>#REF!</v>
      </c>
    </row>
    <row r="662" spans="1:23">
      <c r="A662" t="s">
        <v>17</v>
      </c>
      <c r="B662">
        <v>482583</v>
      </c>
      <c r="C662">
        <v>12</v>
      </c>
      <c r="D662">
        <v>35</v>
      </c>
      <c r="E662">
        <v>95</v>
      </c>
      <c r="F662">
        <v>4</v>
      </c>
      <c r="G662">
        <v>28</v>
      </c>
      <c r="H662">
        <v>20</v>
      </c>
      <c r="I662">
        <v>87</v>
      </c>
      <c r="J662">
        <v>0</v>
      </c>
      <c r="K662">
        <v>5.1749999999999998</v>
      </c>
      <c r="L662">
        <v>10.3</v>
      </c>
      <c r="M662">
        <v>86.75</v>
      </c>
      <c r="N662">
        <v>12.030000000000001</v>
      </c>
      <c r="O662">
        <v>1665</v>
      </c>
      <c r="P662">
        <v>0</v>
      </c>
      <c r="Q662" s="5" t="e">
        <f>IF(AND(#REF!&gt;=table!$C$6,#REF!&lt;= table!$D$6),-1,IF(AND(#REF!&gt;=table!$E$6,#REF!&lt;=table!$F$6),1,0))</f>
        <v>#REF!</v>
      </c>
      <c r="R662" s="5" t="e">
        <f>IF(AND(#REF!&gt;=table!$C$7,#REF!&lt;= table!$D$7),-1,IF(AND(#REF!&gt;=table!$E$7,#REF!&lt;=table!$F$7),1,0))</f>
        <v>#REF!</v>
      </c>
      <c r="S662" s="5" t="e">
        <f>IF(AND(#REF!&gt;=table!$C$8,#REF!&lt;= table!$D$8),-1,IF(AND(#REF!&gt;=table!$E$8,#REF!&lt;=table!$F$8),1,0))</f>
        <v>#REF!</v>
      </c>
      <c r="T662" s="5"/>
      <c r="U662" s="5" t="e">
        <f>IF(AND(#REF!&gt;=table!$C$10,#REF!&lt;= table!$D$10),-1,IF(AND(#REF!&gt;=table!$E$10,#REF!&lt;=table!$F$10),1,0))</f>
        <v>#REF!</v>
      </c>
      <c r="V662" s="5" t="e">
        <f>IF(AND(#REF!&gt;=table!$C$11,#REF!&lt;= table!$D$11),-1,IF(AND(#REF!&gt;=table!$E$11,#REF!&lt;=table!$F$11),1,0))</f>
        <v>#REF!</v>
      </c>
      <c r="W662" s="5" t="e">
        <f>CONCATENATE(dados[[#This Row],[fator1]],dados[[#This Row],[fator5]],dados[[#This Row],[fator6]])</f>
        <v>#REF!</v>
      </c>
    </row>
    <row r="663" spans="1:23">
      <c r="A663" t="s">
        <v>17</v>
      </c>
      <c r="B663">
        <v>482585</v>
      </c>
      <c r="C663">
        <v>18</v>
      </c>
      <c r="D663">
        <v>23</v>
      </c>
      <c r="E663">
        <v>145</v>
      </c>
      <c r="F663">
        <v>9</v>
      </c>
      <c r="G663">
        <v>30</v>
      </c>
      <c r="H663">
        <v>25</v>
      </c>
      <c r="I663">
        <v>1099</v>
      </c>
      <c r="J663">
        <v>860</v>
      </c>
      <c r="K663">
        <v>7.15</v>
      </c>
      <c r="L663">
        <v>14.6</v>
      </c>
      <c r="M663">
        <v>143.9</v>
      </c>
      <c r="N663">
        <v>16.145</v>
      </c>
      <c r="O663">
        <v>1664</v>
      </c>
      <c r="P663">
        <v>473</v>
      </c>
      <c r="Q663" s="5" t="e">
        <f>IF(AND(#REF!&gt;=table!$C$6,#REF!&lt;= table!$D$6),-1,IF(AND(#REF!&gt;=table!$E$6,#REF!&lt;=table!$F$6),1,0))</f>
        <v>#REF!</v>
      </c>
      <c r="R663" s="5" t="e">
        <f>IF(AND(#REF!&gt;=table!$C$7,#REF!&lt;= table!$D$7),-1,IF(AND(#REF!&gt;=table!$E$7,#REF!&lt;=table!$F$7),1,0))</f>
        <v>#REF!</v>
      </c>
      <c r="S663" s="5" t="e">
        <f>IF(AND(#REF!&gt;=table!$C$8,#REF!&lt;= table!$D$8),-1,IF(AND(#REF!&gt;=table!$E$8,#REF!&lt;=table!$F$8),1,0))</f>
        <v>#REF!</v>
      </c>
      <c r="T663" s="5"/>
      <c r="U663" s="5" t="e">
        <f>IF(AND(#REF!&gt;=table!$C$10,#REF!&lt;= table!$D$10),-1,IF(AND(#REF!&gt;=table!$E$10,#REF!&lt;=table!$F$10),1,0))</f>
        <v>#REF!</v>
      </c>
      <c r="V663" s="5" t="e">
        <f>IF(AND(#REF!&gt;=table!$C$11,#REF!&lt;= table!$D$11),-1,IF(AND(#REF!&gt;=table!$E$11,#REF!&lt;=table!$F$11),1,0))</f>
        <v>#REF!</v>
      </c>
      <c r="W663" s="5" t="e">
        <f>CONCATENATE(dados[[#This Row],[fator1]],dados[[#This Row],[fator5]],dados[[#This Row],[fator6]])</f>
        <v>#REF!</v>
      </c>
    </row>
    <row r="664" spans="1:23">
      <c r="A664" t="s">
        <v>16</v>
      </c>
      <c r="B664">
        <v>482586</v>
      </c>
      <c r="C664">
        <v>6</v>
      </c>
      <c r="D664">
        <v>25</v>
      </c>
      <c r="E664">
        <v>120</v>
      </c>
      <c r="F664">
        <v>4</v>
      </c>
      <c r="G664">
        <v>0</v>
      </c>
      <c r="H664">
        <v>55</v>
      </c>
      <c r="I664">
        <v>37</v>
      </c>
      <c r="J664">
        <v>0</v>
      </c>
      <c r="K664">
        <v>3.1550000000000002</v>
      </c>
      <c r="L664">
        <v>10.6</v>
      </c>
      <c r="M664">
        <v>0</v>
      </c>
      <c r="N664">
        <v>0</v>
      </c>
      <c r="O664">
        <v>1687</v>
      </c>
      <c r="P664">
        <v>0</v>
      </c>
      <c r="Q664" s="5" t="e">
        <f>IF(AND(#REF!&gt;=table!$C$6,#REF!&lt;= table!$D$6),-1,IF(AND(#REF!&gt;=table!$E$6,#REF!&lt;=table!$F$6),1,0))</f>
        <v>#REF!</v>
      </c>
      <c r="R664" s="5" t="e">
        <f>IF(AND(#REF!&gt;=table!$C$7,#REF!&lt;= table!$D$7),-1,IF(AND(#REF!&gt;=table!$E$7,#REF!&lt;=table!$F$7),1,0))</f>
        <v>#REF!</v>
      </c>
      <c r="S664" s="5" t="e">
        <f>IF(AND(#REF!&gt;=table!$C$8,#REF!&lt;= table!$D$8),-1,IF(AND(#REF!&gt;=table!$E$8,#REF!&lt;=table!$F$8),1,0))</f>
        <v>#REF!</v>
      </c>
      <c r="T664" s="5"/>
      <c r="U664" s="5" t="e">
        <f>IF(AND(#REF!&gt;=table!$C$10,#REF!&lt;= table!$D$10),-1,IF(AND(#REF!&gt;=table!$E$10,#REF!&lt;=table!$F$10),1,0))</f>
        <v>#REF!</v>
      </c>
      <c r="V664" s="5" t="e">
        <f>IF(AND(#REF!&gt;=table!$C$11,#REF!&lt;= table!$D$11),-1,IF(AND(#REF!&gt;=table!$E$11,#REF!&lt;=table!$F$11),1,0))</f>
        <v>#REF!</v>
      </c>
      <c r="W664" s="5" t="e">
        <f>CONCATENATE(dados[[#This Row],[fator1]],dados[[#This Row],[fator5]],dados[[#This Row],[fator6]])</f>
        <v>#REF!</v>
      </c>
    </row>
    <row r="665" spans="1:23">
      <c r="A665" t="s">
        <v>17</v>
      </c>
      <c r="B665">
        <v>482587</v>
      </c>
      <c r="C665">
        <v>7</v>
      </c>
      <c r="D665">
        <v>35</v>
      </c>
      <c r="E665">
        <v>200</v>
      </c>
      <c r="F665">
        <v>8</v>
      </c>
      <c r="G665">
        <v>50</v>
      </c>
      <c r="H665">
        <v>25</v>
      </c>
      <c r="I665">
        <v>1196</v>
      </c>
      <c r="J665">
        <v>800</v>
      </c>
      <c r="K665">
        <v>5.0150000000000006</v>
      </c>
      <c r="L665">
        <v>13.465</v>
      </c>
      <c r="M665">
        <v>204.76500000000001</v>
      </c>
      <c r="N665">
        <v>20.37</v>
      </c>
      <c r="O665">
        <v>1689</v>
      </c>
      <c r="P665">
        <v>1023</v>
      </c>
      <c r="Q665" s="5" t="e">
        <f>IF(AND(#REF!&gt;=table!$C$6,#REF!&lt;= table!$D$6),-1,IF(AND(#REF!&gt;=table!$E$6,#REF!&lt;=table!$F$6),1,0))</f>
        <v>#REF!</v>
      </c>
      <c r="R665" s="5" t="e">
        <f>IF(AND(#REF!&gt;=table!$C$7,#REF!&lt;= table!$D$7),-1,IF(AND(#REF!&gt;=table!$E$7,#REF!&lt;=table!$F$7),1,0))</f>
        <v>#REF!</v>
      </c>
      <c r="S665" s="5" t="e">
        <f>IF(AND(#REF!&gt;=table!$C$8,#REF!&lt;= table!$D$8),-1,IF(AND(#REF!&gt;=table!$E$8,#REF!&lt;=table!$F$8),1,0))</f>
        <v>#REF!</v>
      </c>
      <c r="T665" s="5"/>
      <c r="U665" s="5" t="e">
        <f>IF(AND(#REF!&gt;=table!$C$10,#REF!&lt;= table!$D$10),-1,IF(AND(#REF!&gt;=table!$E$10,#REF!&lt;=table!$F$10),1,0))</f>
        <v>#REF!</v>
      </c>
      <c r="V665" s="5" t="e">
        <f>IF(AND(#REF!&gt;=table!$C$11,#REF!&lt;= table!$D$11),-1,IF(AND(#REF!&gt;=table!$E$11,#REF!&lt;=table!$F$11),1,0))</f>
        <v>#REF!</v>
      </c>
      <c r="W665" s="5" t="e">
        <f>CONCATENATE(dados[[#This Row],[fator1]],dados[[#This Row],[fator5]],dados[[#This Row],[fator6]])</f>
        <v>#REF!</v>
      </c>
    </row>
    <row r="666" spans="1:23">
      <c r="A666" t="s">
        <v>17</v>
      </c>
      <c r="B666">
        <v>482588</v>
      </c>
      <c r="C666">
        <v>7</v>
      </c>
      <c r="D666">
        <v>35</v>
      </c>
      <c r="E666">
        <v>200</v>
      </c>
      <c r="F666">
        <v>8</v>
      </c>
      <c r="G666">
        <v>50</v>
      </c>
      <c r="H666">
        <v>25</v>
      </c>
      <c r="I666">
        <v>894</v>
      </c>
      <c r="J666">
        <v>980</v>
      </c>
      <c r="K666">
        <v>3.86</v>
      </c>
      <c r="L666">
        <v>9.93</v>
      </c>
      <c r="M666">
        <v>194.74</v>
      </c>
      <c r="N666">
        <v>15.42</v>
      </c>
      <c r="O666">
        <v>1659</v>
      </c>
      <c r="P666">
        <v>1054</v>
      </c>
      <c r="Q666" s="5" t="e">
        <f>IF(AND(#REF!&gt;=table!$C$6,#REF!&lt;= table!$D$6),-1,IF(AND(#REF!&gt;=table!$E$6,#REF!&lt;=table!$F$6),1,0))</f>
        <v>#REF!</v>
      </c>
      <c r="R666" s="5" t="e">
        <f>IF(AND(#REF!&gt;=table!$C$7,#REF!&lt;= table!$D$7),-1,IF(AND(#REF!&gt;=table!$E$7,#REF!&lt;=table!$F$7),1,0))</f>
        <v>#REF!</v>
      </c>
      <c r="S666" s="5" t="e">
        <f>IF(AND(#REF!&gt;=table!$C$8,#REF!&lt;= table!$D$8),-1,IF(AND(#REF!&gt;=table!$E$8,#REF!&lt;=table!$F$8),1,0))</f>
        <v>#REF!</v>
      </c>
      <c r="T666" s="5"/>
      <c r="U666" s="5" t="e">
        <f>IF(AND(#REF!&gt;=table!$C$10,#REF!&lt;= table!$D$10),-1,IF(AND(#REF!&gt;=table!$E$10,#REF!&lt;=table!$F$10),1,0))</f>
        <v>#REF!</v>
      </c>
      <c r="V666" s="5" t="e">
        <f>IF(AND(#REF!&gt;=table!$C$11,#REF!&lt;= table!$D$11),-1,IF(AND(#REF!&gt;=table!$E$11,#REF!&lt;=table!$F$11),1,0))</f>
        <v>#REF!</v>
      </c>
      <c r="W666" s="5" t="e">
        <f>CONCATENATE(dados[[#This Row],[fator1]],dados[[#This Row],[fator5]],dados[[#This Row],[fator6]])</f>
        <v>#REF!</v>
      </c>
    </row>
    <row r="667" spans="1:23">
      <c r="A667" t="s">
        <v>17</v>
      </c>
      <c r="B667">
        <v>482589</v>
      </c>
      <c r="C667">
        <v>7</v>
      </c>
      <c r="D667">
        <v>35</v>
      </c>
      <c r="E667">
        <v>200</v>
      </c>
      <c r="F667">
        <v>8</v>
      </c>
      <c r="G667">
        <v>50</v>
      </c>
      <c r="H667">
        <v>25</v>
      </c>
      <c r="I667">
        <v>700</v>
      </c>
      <c r="J667">
        <v>0</v>
      </c>
      <c r="K667">
        <v>4.13</v>
      </c>
      <c r="L667">
        <v>10.765000000000001</v>
      </c>
      <c r="M667">
        <v>204.595</v>
      </c>
      <c r="N667">
        <v>18.925000000000001</v>
      </c>
      <c r="O667">
        <v>1696</v>
      </c>
      <c r="P667">
        <v>1049</v>
      </c>
      <c r="Q667" s="5" t="e">
        <f>IF(AND(#REF!&gt;=table!$C$6,#REF!&lt;= table!$D$6),-1,IF(AND(#REF!&gt;=table!$E$6,#REF!&lt;=table!$F$6),1,0))</f>
        <v>#REF!</v>
      </c>
      <c r="R667" s="5" t="e">
        <f>IF(AND(#REF!&gt;=table!$C$7,#REF!&lt;= table!$D$7),-1,IF(AND(#REF!&gt;=table!$E$7,#REF!&lt;=table!$F$7),1,0))</f>
        <v>#REF!</v>
      </c>
      <c r="S667" s="5" t="e">
        <f>IF(AND(#REF!&gt;=table!$C$8,#REF!&lt;= table!$D$8),-1,IF(AND(#REF!&gt;=table!$E$8,#REF!&lt;=table!$F$8),1,0))</f>
        <v>#REF!</v>
      </c>
      <c r="T667" s="5"/>
      <c r="U667" s="5" t="e">
        <f>IF(AND(#REF!&gt;=table!$C$10,#REF!&lt;= table!$D$10),-1,IF(AND(#REF!&gt;=table!$E$10,#REF!&lt;=table!$F$10),1,0))</f>
        <v>#REF!</v>
      </c>
      <c r="V667" s="5" t="e">
        <f>IF(AND(#REF!&gt;=table!$C$11,#REF!&lt;= table!$D$11),-1,IF(AND(#REF!&gt;=table!$E$11,#REF!&lt;=table!$F$11),1,0))</f>
        <v>#REF!</v>
      </c>
      <c r="W667" s="5" t="e">
        <f>CONCATENATE(dados[[#This Row],[fator1]],dados[[#This Row],[fator5]],dados[[#This Row],[fator6]])</f>
        <v>#REF!</v>
      </c>
    </row>
    <row r="668" spans="1:23">
      <c r="A668" t="s">
        <v>17</v>
      </c>
      <c r="B668">
        <v>482590</v>
      </c>
      <c r="C668">
        <v>7</v>
      </c>
      <c r="D668">
        <v>35</v>
      </c>
      <c r="E668">
        <v>200</v>
      </c>
      <c r="F668">
        <v>8</v>
      </c>
      <c r="G668">
        <v>50</v>
      </c>
      <c r="H668">
        <v>25</v>
      </c>
      <c r="I668">
        <v>904</v>
      </c>
      <c r="J668">
        <v>0</v>
      </c>
      <c r="K668">
        <v>4.8650000000000002</v>
      </c>
      <c r="L668">
        <v>9.8800000000000008</v>
      </c>
      <c r="M668">
        <v>203.89000000000001</v>
      </c>
      <c r="N668">
        <v>15.815000000000001</v>
      </c>
      <c r="O668">
        <v>1691</v>
      </c>
      <c r="P668">
        <v>943</v>
      </c>
      <c r="Q668" s="5" t="e">
        <f>IF(AND(#REF!&gt;=table!$C$6,#REF!&lt;= table!$D$6),-1,IF(AND(#REF!&gt;=table!$E$6,#REF!&lt;=table!$F$6),1,0))</f>
        <v>#REF!</v>
      </c>
      <c r="R668" s="5" t="e">
        <f>IF(AND(#REF!&gt;=table!$C$7,#REF!&lt;= table!$D$7),-1,IF(AND(#REF!&gt;=table!$E$7,#REF!&lt;=table!$F$7),1,0))</f>
        <v>#REF!</v>
      </c>
      <c r="S668" s="5" t="e">
        <f>IF(AND(#REF!&gt;=table!$C$8,#REF!&lt;= table!$D$8),-1,IF(AND(#REF!&gt;=table!$E$8,#REF!&lt;=table!$F$8),1,0))</f>
        <v>#REF!</v>
      </c>
      <c r="T668" s="5"/>
      <c r="U668" s="5" t="e">
        <f>IF(AND(#REF!&gt;=table!$C$10,#REF!&lt;= table!$D$10),-1,IF(AND(#REF!&gt;=table!$E$10,#REF!&lt;=table!$F$10),1,0))</f>
        <v>#REF!</v>
      </c>
      <c r="V668" s="5" t="e">
        <f>IF(AND(#REF!&gt;=table!$C$11,#REF!&lt;= table!$D$11),-1,IF(AND(#REF!&gt;=table!$E$11,#REF!&lt;=table!$F$11),1,0))</f>
        <v>#REF!</v>
      </c>
      <c r="W668" s="5" t="e">
        <f>CONCATENATE(dados[[#This Row],[fator1]],dados[[#This Row],[fator5]],dados[[#This Row],[fator6]])</f>
        <v>#REF!</v>
      </c>
    </row>
    <row r="669" spans="1:23">
      <c r="A669" t="s">
        <v>16</v>
      </c>
      <c r="B669">
        <v>482591</v>
      </c>
      <c r="C669">
        <v>0.15</v>
      </c>
      <c r="D669">
        <v>35</v>
      </c>
      <c r="E669">
        <v>15</v>
      </c>
      <c r="F669">
        <v>10</v>
      </c>
      <c r="G669">
        <v>0</v>
      </c>
      <c r="H669">
        <v>12</v>
      </c>
      <c r="I669">
        <v>1409</v>
      </c>
      <c r="J669">
        <v>0</v>
      </c>
      <c r="K669">
        <v>3.79</v>
      </c>
      <c r="L669">
        <v>7.9350000000000005</v>
      </c>
      <c r="M669">
        <v>6.4350000000000005</v>
      </c>
      <c r="N669">
        <v>8.4450000000000003</v>
      </c>
      <c r="O669">
        <v>1690</v>
      </c>
      <c r="P669">
        <v>1387</v>
      </c>
      <c r="Q669" s="5" t="e">
        <f>IF(AND(#REF!&gt;=table!$C$6,#REF!&lt;= table!$D$6),-1,IF(AND(#REF!&gt;=table!$E$6,#REF!&lt;=table!$F$6),1,0))</f>
        <v>#REF!</v>
      </c>
      <c r="R669" s="5" t="e">
        <f>IF(AND(#REF!&gt;=table!$C$7,#REF!&lt;= table!$D$7),-1,IF(AND(#REF!&gt;=table!$E$7,#REF!&lt;=table!$F$7),1,0))</f>
        <v>#REF!</v>
      </c>
      <c r="S669" s="5" t="e">
        <f>IF(AND(#REF!&gt;=table!$C$8,#REF!&lt;= table!$D$8),-1,IF(AND(#REF!&gt;=table!$E$8,#REF!&lt;=table!$F$8),1,0))</f>
        <v>#REF!</v>
      </c>
      <c r="T669" s="5"/>
      <c r="U669" s="5" t="e">
        <f>IF(AND(#REF!&gt;=table!$C$10,#REF!&lt;= table!$D$10),-1,IF(AND(#REF!&gt;=table!$E$10,#REF!&lt;=table!$F$10),1,0))</f>
        <v>#REF!</v>
      </c>
      <c r="V669" s="5" t="e">
        <f>IF(AND(#REF!&gt;=table!$C$11,#REF!&lt;= table!$D$11),-1,IF(AND(#REF!&gt;=table!$E$11,#REF!&lt;=table!$F$11),1,0))</f>
        <v>#REF!</v>
      </c>
      <c r="W669" s="5" t="e">
        <f>CONCATENATE(dados[[#This Row],[fator1]],dados[[#This Row],[fator5]],dados[[#This Row],[fator6]])</f>
        <v>#REF!</v>
      </c>
    </row>
    <row r="670" spans="1:23">
      <c r="A670" t="s">
        <v>16</v>
      </c>
      <c r="B670">
        <v>482594</v>
      </c>
      <c r="C670">
        <v>5</v>
      </c>
      <c r="D670">
        <v>25</v>
      </c>
      <c r="E670">
        <v>120</v>
      </c>
      <c r="F670">
        <v>4</v>
      </c>
      <c r="G670">
        <v>0</v>
      </c>
      <c r="H670">
        <v>55</v>
      </c>
      <c r="I670">
        <v>873</v>
      </c>
      <c r="J670">
        <v>0</v>
      </c>
      <c r="K670">
        <v>2.4350000000000001</v>
      </c>
      <c r="L670">
        <v>5.75</v>
      </c>
      <c r="M670">
        <v>105</v>
      </c>
      <c r="N670">
        <v>25.8</v>
      </c>
      <c r="O670">
        <v>1640</v>
      </c>
      <c r="P670">
        <v>840</v>
      </c>
      <c r="Q670" s="5" t="e">
        <f>IF(AND(#REF!&gt;=table!$C$6,#REF!&lt;= table!$D$6),-1,IF(AND(#REF!&gt;=table!$E$6,#REF!&lt;=table!$F$6),1,0))</f>
        <v>#REF!</v>
      </c>
      <c r="R670" s="5" t="e">
        <f>IF(AND(#REF!&gt;=table!$C$7,#REF!&lt;= table!$D$7),-1,IF(AND(#REF!&gt;=table!$E$7,#REF!&lt;=table!$F$7),1,0))</f>
        <v>#REF!</v>
      </c>
      <c r="S670" s="5" t="e">
        <f>IF(AND(#REF!&gt;=table!$C$8,#REF!&lt;= table!$D$8),-1,IF(AND(#REF!&gt;=table!$E$8,#REF!&lt;=table!$F$8),1,0))</f>
        <v>#REF!</v>
      </c>
      <c r="T670" s="5"/>
      <c r="U670" s="5" t="e">
        <f>IF(AND(#REF!&gt;=table!$C$10,#REF!&lt;= table!$D$10),-1,IF(AND(#REF!&gt;=table!$E$10,#REF!&lt;=table!$F$10),1,0))</f>
        <v>#REF!</v>
      </c>
      <c r="V670" s="5" t="e">
        <f>IF(AND(#REF!&gt;=table!$C$11,#REF!&lt;= table!$D$11),-1,IF(AND(#REF!&gt;=table!$E$11,#REF!&lt;=table!$F$11),1,0))</f>
        <v>#REF!</v>
      </c>
      <c r="W670" s="5" t="e">
        <f>CONCATENATE(dados[[#This Row],[fator1]],dados[[#This Row],[fator5]],dados[[#This Row],[fator6]])</f>
        <v>#REF!</v>
      </c>
    </row>
    <row r="671" spans="1:23">
      <c r="A671" t="s">
        <v>16</v>
      </c>
      <c r="B671">
        <v>482600</v>
      </c>
      <c r="C671">
        <v>10</v>
      </c>
      <c r="D671">
        <v>38</v>
      </c>
      <c r="E671">
        <v>150</v>
      </c>
      <c r="F671">
        <v>4</v>
      </c>
      <c r="G671">
        <v>0</v>
      </c>
      <c r="H671">
        <v>25</v>
      </c>
      <c r="I671">
        <v>978</v>
      </c>
      <c r="J671">
        <v>0</v>
      </c>
      <c r="K671">
        <v>5.61</v>
      </c>
      <c r="L671">
        <v>10.3</v>
      </c>
      <c r="M671">
        <v>109.3</v>
      </c>
      <c r="N671">
        <v>13.15</v>
      </c>
      <c r="O671">
        <v>1712</v>
      </c>
      <c r="P671">
        <v>0</v>
      </c>
      <c r="Q671" s="5" t="e">
        <f>IF(AND(#REF!&gt;=table!$C$6,#REF!&lt;= table!$D$6),-1,IF(AND(#REF!&gt;=table!$E$6,#REF!&lt;=table!$F$6),1,0))</f>
        <v>#REF!</v>
      </c>
      <c r="R671" s="5" t="e">
        <f>IF(AND(#REF!&gt;=table!$C$7,#REF!&lt;= table!$D$7),-1,IF(AND(#REF!&gt;=table!$E$7,#REF!&lt;=table!$F$7),1,0))</f>
        <v>#REF!</v>
      </c>
      <c r="S671" s="5" t="e">
        <f>IF(AND(#REF!&gt;=table!$C$8,#REF!&lt;= table!$D$8),-1,IF(AND(#REF!&gt;=table!$E$8,#REF!&lt;=table!$F$8),1,0))</f>
        <v>#REF!</v>
      </c>
      <c r="T671" s="5"/>
      <c r="U671" s="5" t="e">
        <f>IF(AND(#REF!&gt;=table!$C$10,#REF!&lt;= table!$D$10),-1,IF(AND(#REF!&gt;=table!$E$10,#REF!&lt;=table!$F$10),1,0))</f>
        <v>#REF!</v>
      </c>
      <c r="V671" s="5" t="e">
        <f>IF(AND(#REF!&gt;=table!$C$11,#REF!&lt;= table!$D$11),-1,IF(AND(#REF!&gt;=table!$E$11,#REF!&lt;=table!$F$11),1,0))</f>
        <v>#REF!</v>
      </c>
      <c r="W671" s="5" t="e">
        <f>CONCATENATE(dados[[#This Row],[fator1]],dados[[#This Row],[fator5]],dados[[#This Row],[fator6]])</f>
        <v>#REF!</v>
      </c>
    </row>
    <row r="672" spans="1:23">
      <c r="A672" t="s">
        <v>16</v>
      </c>
      <c r="B672">
        <v>482601</v>
      </c>
      <c r="C672">
        <v>10</v>
      </c>
      <c r="D672">
        <v>38</v>
      </c>
      <c r="E672">
        <v>150</v>
      </c>
      <c r="F672">
        <v>4</v>
      </c>
      <c r="G672">
        <v>0</v>
      </c>
      <c r="H672">
        <v>25</v>
      </c>
      <c r="I672">
        <v>1056</v>
      </c>
      <c r="J672">
        <v>0</v>
      </c>
      <c r="K672">
        <v>6.68</v>
      </c>
      <c r="L672">
        <v>10.35</v>
      </c>
      <c r="M672">
        <v>130</v>
      </c>
      <c r="N672">
        <v>11.450000000000001</v>
      </c>
      <c r="O672">
        <v>1690</v>
      </c>
      <c r="P672">
        <v>541</v>
      </c>
      <c r="Q672" s="5" t="e">
        <f>IF(AND(#REF!&gt;=table!$C$6,#REF!&lt;= table!$D$6),-1,IF(AND(#REF!&gt;=table!$E$6,#REF!&lt;=table!$F$6),1,0))</f>
        <v>#REF!</v>
      </c>
      <c r="R672" s="5" t="e">
        <f>IF(AND(#REF!&gt;=table!$C$7,#REF!&lt;= table!$D$7),-1,IF(AND(#REF!&gt;=table!$E$7,#REF!&lt;=table!$F$7),1,0))</f>
        <v>#REF!</v>
      </c>
      <c r="S672" s="5" t="e">
        <f>IF(AND(#REF!&gt;=table!$C$8,#REF!&lt;= table!$D$8),-1,IF(AND(#REF!&gt;=table!$E$8,#REF!&lt;=table!$F$8),1,0))</f>
        <v>#REF!</v>
      </c>
      <c r="T672" s="5"/>
      <c r="U672" s="5" t="e">
        <f>IF(AND(#REF!&gt;=table!$C$10,#REF!&lt;= table!$D$10),-1,IF(AND(#REF!&gt;=table!$E$10,#REF!&lt;=table!$F$10),1,0))</f>
        <v>#REF!</v>
      </c>
      <c r="V672" s="5" t="e">
        <f>IF(AND(#REF!&gt;=table!$C$11,#REF!&lt;= table!$D$11),-1,IF(AND(#REF!&gt;=table!$E$11,#REF!&lt;=table!$F$11),1,0))</f>
        <v>#REF!</v>
      </c>
      <c r="W672" s="5" t="e">
        <f>CONCATENATE(dados[[#This Row],[fator1]],dados[[#This Row],[fator5]],dados[[#This Row],[fator6]])</f>
        <v>#REF!</v>
      </c>
    </row>
    <row r="673" spans="1:23">
      <c r="A673" t="s">
        <v>17</v>
      </c>
      <c r="B673">
        <v>482602</v>
      </c>
      <c r="C673">
        <v>16</v>
      </c>
      <c r="D673">
        <v>30</v>
      </c>
      <c r="E673">
        <v>106</v>
      </c>
      <c r="F673">
        <v>9</v>
      </c>
      <c r="G673">
        <v>20</v>
      </c>
      <c r="H673">
        <v>25</v>
      </c>
      <c r="I673">
        <v>713</v>
      </c>
      <c r="J673">
        <v>0</v>
      </c>
      <c r="K673">
        <v>3</v>
      </c>
      <c r="L673">
        <v>12.25</v>
      </c>
      <c r="M673">
        <v>98.7</v>
      </c>
      <c r="N673">
        <v>16.149999999999999</v>
      </c>
      <c r="O673">
        <v>1679</v>
      </c>
      <c r="P673">
        <v>1111</v>
      </c>
      <c r="Q673" s="5" t="e">
        <f>IF(AND(#REF!&gt;=table!$C$6,#REF!&lt;= table!$D$6),-1,IF(AND(#REF!&gt;=table!$E$6,#REF!&lt;=table!$F$6),1,0))</f>
        <v>#REF!</v>
      </c>
      <c r="R673" s="5" t="e">
        <f>IF(AND(#REF!&gt;=table!$C$7,#REF!&lt;= table!$D$7),-1,IF(AND(#REF!&gt;=table!$E$7,#REF!&lt;=table!$F$7),1,0))</f>
        <v>#REF!</v>
      </c>
      <c r="S673" s="5" t="e">
        <f>IF(AND(#REF!&gt;=table!$C$8,#REF!&lt;= table!$D$8),-1,IF(AND(#REF!&gt;=table!$E$8,#REF!&lt;=table!$F$8),1,0))</f>
        <v>#REF!</v>
      </c>
      <c r="T673" s="5"/>
      <c r="U673" s="5" t="e">
        <f>IF(AND(#REF!&gt;=table!$C$10,#REF!&lt;= table!$D$10),-1,IF(AND(#REF!&gt;=table!$E$10,#REF!&lt;=table!$F$10),1,0))</f>
        <v>#REF!</v>
      </c>
      <c r="V673" s="5" t="e">
        <f>IF(AND(#REF!&gt;=table!$C$11,#REF!&lt;= table!$D$11),-1,IF(AND(#REF!&gt;=table!$E$11,#REF!&lt;=table!$F$11),1,0))</f>
        <v>#REF!</v>
      </c>
      <c r="W673" s="5" t="e">
        <f>CONCATENATE(dados[[#This Row],[fator1]],dados[[#This Row],[fator5]],dados[[#This Row],[fator6]])</f>
        <v>#REF!</v>
      </c>
    </row>
    <row r="674" spans="1:23">
      <c r="A674" t="s">
        <v>16</v>
      </c>
      <c r="B674">
        <v>482611</v>
      </c>
      <c r="C674">
        <v>0.15</v>
      </c>
      <c r="D674">
        <v>35</v>
      </c>
      <c r="E674">
        <v>15</v>
      </c>
      <c r="F674">
        <v>10</v>
      </c>
      <c r="G674">
        <v>0</v>
      </c>
      <c r="H674">
        <v>12</v>
      </c>
      <c r="I674">
        <v>888</v>
      </c>
      <c r="J674">
        <v>980</v>
      </c>
      <c r="K674">
        <v>3.1550000000000002</v>
      </c>
      <c r="L674">
        <v>6.6000000000000005</v>
      </c>
      <c r="M674">
        <v>6.15</v>
      </c>
      <c r="N674">
        <v>9.2000000000000011</v>
      </c>
      <c r="O674">
        <v>1655</v>
      </c>
      <c r="P674">
        <v>0</v>
      </c>
      <c r="Q674" s="5" t="e">
        <f>IF(AND(#REF!&gt;=table!$C$6,#REF!&lt;= table!$D$6),-1,IF(AND(#REF!&gt;=table!$E$6,#REF!&lt;=table!$F$6),1,0))</f>
        <v>#REF!</v>
      </c>
      <c r="R674" s="5" t="e">
        <f>IF(AND(#REF!&gt;=table!$C$7,#REF!&lt;= table!$D$7),-1,IF(AND(#REF!&gt;=table!$E$7,#REF!&lt;=table!$F$7),1,0))</f>
        <v>#REF!</v>
      </c>
      <c r="S674" s="5" t="e">
        <f>IF(AND(#REF!&gt;=table!$C$8,#REF!&lt;= table!$D$8),-1,IF(AND(#REF!&gt;=table!$E$8,#REF!&lt;=table!$F$8),1,0))</f>
        <v>#REF!</v>
      </c>
      <c r="T674" s="5"/>
      <c r="U674" s="5" t="e">
        <f>IF(AND(#REF!&gt;=table!$C$10,#REF!&lt;= table!$D$10),-1,IF(AND(#REF!&gt;=table!$E$10,#REF!&lt;=table!$F$10),1,0))</f>
        <v>#REF!</v>
      </c>
      <c r="V674" s="5" t="e">
        <f>IF(AND(#REF!&gt;=table!$C$11,#REF!&lt;= table!$D$11),-1,IF(AND(#REF!&gt;=table!$E$11,#REF!&lt;=table!$F$11),1,0))</f>
        <v>#REF!</v>
      </c>
      <c r="W674" s="5" t="e">
        <f>CONCATENATE(dados[[#This Row],[fator1]],dados[[#This Row],[fator5]],dados[[#This Row],[fator6]])</f>
        <v>#REF!</v>
      </c>
    </row>
    <row r="675" spans="1:23">
      <c r="A675" t="s">
        <v>16</v>
      </c>
      <c r="B675">
        <v>482630</v>
      </c>
      <c r="C675">
        <v>0.15</v>
      </c>
      <c r="D675">
        <v>40</v>
      </c>
      <c r="E675">
        <v>10</v>
      </c>
      <c r="F675">
        <v>15</v>
      </c>
      <c r="G675">
        <v>0</v>
      </c>
      <c r="H675">
        <v>15</v>
      </c>
      <c r="I675">
        <v>438</v>
      </c>
      <c r="J675">
        <v>0</v>
      </c>
      <c r="K675">
        <v>8.9850000000000012</v>
      </c>
      <c r="L675">
        <v>8.75</v>
      </c>
      <c r="M675">
        <v>8.35</v>
      </c>
      <c r="N675">
        <v>8.1</v>
      </c>
      <c r="O675">
        <v>1662</v>
      </c>
      <c r="P675">
        <v>442</v>
      </c>
      <c r="Q675" s="5" t="e">
        <f>IF(AND(#REF!&gt;=table!$C$6,#REF!&lt;= table!$D$6),-1,IF(AND(#REF!&gt;=table!$E$6,#REF!&lt;=table!$F$6),1,0))</f>
        <v>#REF!</v>
      </c>
      <c r="R675" s="5" t="e">
        <f>IF(AND(#REF!&gt;=table!$C$7,#REF!&lt;= table!$D$7),-1,IF(AND(#REF!&gt;=table!$E$7,#REF!&lt;=table!$F$7),1,0))</f>
        <v>#REF!</v>
      </c>
      <c r="S675" s="5" t="e">
        <f>IF(AND(#REF!&gt;=table!$C$8,#REF!&lt;= table!$D$8),-1,IF(AND(#REF!&gt;=table!$E$8,#REF!&lt;=table!$F$8),1,0))</f>
        <v>#REF!</v>
      </c>
      <c r="T675" s="5"/>
      <c r="U675" s="5" t="e">
        <f>IF(AND(#REF!&gt;=table!$C$10,#REF!&lt;= table!$D$10),-1,IF(AND(#REF!&gt;=table!$E$10,#REF!&lt;=table!$F$10),1,0))</f>
        <v>#REF!</v>
      </c>
      <c r="V675" s="5" t="e">
        <f>IF(AND(#REF!&gt;=table!$C$11,#REF!&lt;= table!$D$11),-1,IF(AND(#REF!&gt;=table!$E$11,#REF!&lt;=table!$F$11),1,0))</f>
        <v>#REF!</v>
      </c>
      <c r="W675" s="5" t="e">
        <f>CONCATENATE(dados[[#This Row],[fator1]],dados[[#This Row],[fator5]],dados[[#This Row],[fator6]])</f>
        <v>#REF!</v>
      </c>
    </row>
    <row r="676" spans="1:23">
      <c r="A676" t="s">
        <v>16</v>
      </c>
      <c r="B676">
        <v>482640</v>
      </c>
      <c r="C676">
        <v>6</v>
      </c>
      <c r="D676">
        <v>30</v>
      </c>
      <c r="E676">
        <v>40</v>
      </c>
      <c r="F676">
        <v>15</v>
      </c>
      <c r="G676">
        <v>0</v>
      </c>
      <c r="H676">
        <v>25</v>
      </c>
      <c r="I676">
        <v>82</v>
      </c>
      <c r="J676">
        <v>0</v>
      </c>
      <c r="K676">
        <v>2.9750000000000001</v>
      </c>
      <c r="L676">
        <v>5.15</v>
      </c>
      <c r="M676">
        <v>39.19</v>
      </c>
      <c r="N676">
        <v>9.125</v>
      </c>
      <c r="O676">
        <v>1636</v>
      </c>
      <c r="P676">
        <v>0</v>
      </c>
      <c r="Q676" s="5" t="e">
        <f>IF(AND(#REF!&gt;=table!$C$6,#REF!&lt;= table!$D$6),-1,IF(AND(#REF!&gt;=table!$E$6,#REF!&lt;=table!$F$6),1,0))</f>
        <v>#REF!</v>
      </c>
      <c r="R676" s="5" t="e">
        <f>IF(AND(#REF!&gt;=table!$C$7,#REF!&lt;= table!$D$7),-1,IF(AND(#REF!&gt;=table!$E$7,#REF!&lt;=table!$F$7),1,0))</f>
        <v>#REF!</v>
      </c>
      <c r="S676" s="5" t="e">
        <f>IF(AND(#REF!&gt;=table!$C$8,#REF!&lt;= table!$D$8),-1,IF(AND(#REF!&gt;=table!$E$8,#REF!&lt;=table!$F$8),1,0))</f>
        <v>#REF!</v>
      </c>
      <c r="T676" s="5"/>
      <c r="U676" s="5" t="e">
        <f>IF(AND(#REF!&gt;=table!$C$10,#REF!&lt;= table!$D$10),-1,IF(AND(#REF!&gt;=table!$E$10,#REF!&lt;=table!$F$10),1,0))</f>
        <v>#REF!</v>
      </c>
      <c r="V676" s="5" t="e">
        <f>IF(AND(#REF!&gt;=table!$C$11,#REF!&lt;= table!$D$11),-1,IF(AND(#REF!&gt;=table!$E$11,#REF!&lt;=table!$F$11),1,0))</f>
        <v>#REF!</v>
      </c>
      <c r="W676" s="5" t="e">
        <f>CONCATENATE(dados[[#This Row],[fator1]],dados[[#This Row],[fator5]],dados[[#This Row],[fator6]])</f>
        <v>#REF!</v>
      </c>
    </row>
    <row r="677" spans="1:23">
      <c r="A677" t="s">
        <v>16</v>
      </c>
      <c r="B677">
        <v>482645</v>
      </c>
      <c r="C677">
        <v>12</v>
      </c>
      <c r="D677">
        <v>35</v>
      </c>
      <c r="E677">
        <v>86</v>
      </c>
      <c r="F677">
        <v>10</v>
      </c>
      <c r="G677">
        <v>0</v>
      </c>
      <c r="H677">
        <v>25</v>
      </c>
      <c r="I677">
        <v>2127</v>
      </c>
      <c r="J677">
        <v>0</v>
      </c>
      <c r="K677">
        <v>5.78</v>
      </c>
      <c r="L677">
        <v>7.82</v>
      </c>
      <c r="M677">
        <v>74.784999999999997</v>
      </c>
      <c r="N677">
        <v>15.925000000000001</v>
      </c>
      <c r="O677">
        <v>1684</v>
      </c>
      <c r="P677">
        <v>892</v>
      </c>
      <c r="Q677" s="5" t="e">
        <f>IF(AND(#REF!&gt;=table!$C$6,#REF!&lt;= table!$D$6),-1,IF(AND(#REF!&gt;=table!$E$6,#REF!&lt;=table!$F$6),1,0))</f>
        <v>#REF!</v>
      </c>
      <c r="R677" s="5" t="e">
        <f>IF(AND(#REF!&gt;=table!$C$7,#REF!&lt;= table!$D$7),-1,IF(AND(#REF!&gt;=table!$E$7,#REF!&lt;=table!$F$7),1,0))</f>
        <v>#REF!</v>
      </c>
      <c r="S677" s="5" t="e">
        <f>IF(AND(#REF!&gt;=table!$C$8,#REF!&lt;= table!$D$8),-1,IF(AND(#REF!&gt;=table!$E$8,#REF!&lt;=table!$F$8),1,0))</f>
        <v>#REF!</v>
      </c>
      <c r="T677" s="5"/>
      <c r="U677" s="5" t="e">
        <f>IF(AND(#REF!&gt;=table!$C$10,#REF!&lt;= table!$D$10),-1,IF(AND(#REF!&gt;=table!$E$10,#REF!&lt;=table!$F$10),1,0))</f>
        <v>#REF!</v>
      </c>
      <c r="V677" s="5" t="e">
        <f>IF(AND(#REF!&gt;=table!$C$11,#REF!&lt;= table!$D$11),-1,IF(AND(#REF!&gt;=table!$E$11,#REF!&lt;=table!$F$11),1,0))</f>
        <v>#REF!</v>
      </c>
      <c r="W677" s="5" t="e">
        <f>CONCATENATE(dados[[#This Row],[fator1]],dados[[#This Row],[fator5]],dados[[#This Row],[fator6]])</f>
        <v>#REF!</v>
      </c>
    </row>
    <row r="678" spans="1:23">
      <c r="A678" t="s">
        <v>16</v>
      </c>
      <c r="B678">
        <v>482647</v>
      </c>
      <c r="C678">
        <v>12</v>
      </c>
      <c r="D678">
        <v>35</v>
      </c>
      <c r="E678">
        <v>86</v>
      </c>
      <c r="F678">
        <v>10</v>
      </c>
      <c r="G678">
        <v>0</v>
      </c>
      <c r="H678">
        <v>25</v>
      </c>
      <c r="I678">
        <v>1182</v>
      </c>
      <c r="J678">
        <v>0</v>
      </c>
      <c r="K678">
        <v>6.3050000000000006</v>
      </c>
      <c r="L678">
        <v>12.785</v>
      </c>
      <c r="M678">
        <v>73.72</v>
      </c>
      <c r="N678">
        <v>19.11</v>
      </c>
      <c r="O678">
        <v>1667</v>
      </c>
      <c r="P678">
        <v>0</v>
      </c>
      <c r="Q678" s="5" t="e">
        <f>IF(AND(#REF!&gt;=table!$C$6,#REF!&lt;= table!$D$6),-1,IF(AND(#REF!&gt;=table!$E$6,#REF!&lt;=table!$F$6),1,0))</f>
        <v>#REF!</v>
      </c>
      <c r="R678" s="5" t="e">
        <f>IF(AND(#REF!&gt;=table!$C$7,#REF!&lt;= table!$D$7),-1,IF(AND(#REF!&gt;=table!$E$7,#REF!&lt;=table!$F$7),1,0))</f>
        <v>#REF!</v>
      </c>
      <c r="S678" s="5" t="e">
        <f>IF(AND(#REF!&gt;=table!$C$8,#REF!&lt;= table!$D$8),-1,IF(AND(#REF!&gt;=table!$E$8,#REF!&lt;=table!$F$8),1,0))</f>
        <v>#REF!</v>
      </c>
      <c r="T678" s="5"/>
      <c r="U678" s="5" t="e">
        <f>IF(AND(#REF!&gt;=table!$C$10,#REF!&lt;= table!$D$10),-1,IF(AND(#REF!&gt;=table!$E$10,#REF!&lt;=table!$F$10),1,0))</f>
        <v>#REF!</v>
      </c>
      <c r="V678" s="5" t="e">
        <f>IF(AND(#REF!&gt;=table!$C$11,#REF!&lt;= table!$D$11),-1,IF(AND(#REF!&gt;=table!$E$11,#REF!&lt;=table!$F$11),1,0))</f>
        <v>#REF!</v>
      </c>
      <c r="W678" s="5" t="e">
        <f>CONCATENATE(dados[[#This Row],[fator1]],dados[[#This Row],[fator5]],dados[[#This Row],[fator6]])</f>
        <v>#REF!</v>
      </c>
    </row>
    <row r="679" spans="1:23">
      <c r="A679" t="s">
        <v>16</v>
      </c>
      <c r="B679">
        <v>482648</v>
      </c>
      <c r="C679">
        <v>12</v>
      </c>
      <c r="D679">
        <v>35</v>
      </c>
      <c r="E679">
        <v>86</v>
      </c>
      <c r="F679">
        <v>10</v>
      </c>
      <c r="G679">
        <v>0</v>
      </c>
      <c r="H679">
        <v>25</v>
      </c>
      <c r="I679">
        <v>0</v>
      </c>
      <c r="J679">
        <v>0</v>
      </c>
      <c r="K679">
        <v>4.0950000000000006</v>
      </c>
      <c r="L679">
        <v>12.09</v>
      </c>
      <c r="M679">
        <v>93.745000000000005</v>
      </c>
      <c r="N679">
        <v>23.06</v>
      </c>
      <c r="O679">
        <v>1665</v>
      </c>
      <c r="P679">
        <v>0</v>
      </c>
      <c r="Q679" s="5" t="e">
        <f>IF(AND(#REF!&gt;=table!$C$6,#REF!&lt;= table!$D$6),-1,IF(AND(#REF!&gt;=table!$E$6,#REF!&lt;=table!$F$6),1,0))</f>
        <v>#REF!</v>
      </c>
      <c r="R679" s="5" t="e">
        <f>IF(AND(#REF!&gt;=table!$C$7,#REF!&lt;= table!$D$7),-1,IF(AND(#REF!&gt;=table!$E$7,#REF!&lt;=table!$F$7),1,0))</f>
        <v>#REF!</v>
      </c>
      <c r="S679" s="5" t="e">
        <f>IF(AND(#REF!&gt;=table!$C$8,#REF!&lt;= table!$D$8),-1,IF(AND(#REF!&gt;=table!$E$8,#REF!&lt;=table!$F$8),1,0))</f>
        <v>#REF!</v>
      </c>
      <c r="T679" s="5"/>
      <c r="U679" s="5" t="e">
        <f>IF(AND(#REF!&gt;=table!$C$10,#REF!&lt;= table!$D$10),-1,IF(AND(#REF!&gt;=table!$E$10,#REF!&lt;=table!$F$10),1,0))</f>
        <v>#REF!</v>
      </c>
      <c r="V679" s="5" t="e">
        <f>IF(AND(#REF!&gt;=table!$C$11,#REF!&lt;= table!$D$11),-1,IF(AND(#REF!&gt;=table!$E$11,#REF!&lt;=table!$F$11),1,0))</f>
        <v>#REF!</v>
      </c>
      <c r="W679" s="5" t="e">
        <f>CONCATENATE(dados[[#This Row],[fator1]],dados[[#This Row],[fator5]],dados[[#This Row],[fator6]])</f>
        <v>#REF!</v>
      </c>
    </row>
    <row r="680" spans="1:23">
      <c r="A680" t="s">
        <v>17</v>
      </c>
      <c r="B680">
        <v>482651</v>
      </c>
      <c r="C680">
        <v>15</v>
      </c>
      <c r="D680">
        <v>35</v>
      </c>
      <c r="E680">
        <v>120</v>
      </c>
      <c r="F680">
        <v>4</v>
      </c>
      <c r="G680">
        <v>15</v>
      </c>
      <c r="H680">
        <v>20</v>
      </c>
      <c r="I680">
        <v>0</v>
      </c>
      <c r="J680">
        <v>0</v>
      </c>
      <c r="K680">
        <v>12.14</v>
      </c>
      <c r="L680">
        <v>15.8</v>
      </c>
      <c r="M680">
        <v>122.67</v>
      </c>
      <c r="N680">
        <v>16.455000000000002</v>
      </c>
      <c r="O680">
        <v>1660</v>
      </c>
      <c r="P680">
        <v>338</v>
      </c>
      <c r="Q680" s="5" t="e">
        <f>IF(AND(#REF!&gt;=table!$C$6,#REF!&lt;= table!$D$6),-1,IF(AND(#REF!&gt;=table!$E$6,#REF!&lt;=table!$F$6),1,0))</f>
        <v>#REF!</v>
      </c>
      <c r="R680" s="5" t="e">
        <f>IF(AND(#REF!&gt;=table!$C$7,#REF!&lt;= table!$D$7),-1,IF(AND(#REF!&gt;=table!$E$7,#REF!&lt;=table!$F$7),1,0))</f>
        <v>#REF!</v>
      </c>
      <c r="S680" s="5" t="e">
        <f>IF(AND(#REF!&gt;=table!$C$8,#REF!&lt;= table!$D$8),-1,IF(AND(#REF!&gt;=table!$E$8,#REF!&lt;=table!$F$8),1,0))</f>
        <v>#REF!</v>
      </c>
      <c r="T680" s="5"/>
      <c r="U680" s="5" t="e">
        <f>IF(AND(#REF!&gt;=table!$C$10,#REF!&lt;= table!$D$10),-1,IF(AND(#REF!&gt;=table!$E$10,#REF!&lt;=table!$F$10),1,0))</f>
        <v>#REF!</v>
      </c>
      <c r="V680" s="5" t="e">
        <f>IF(AND(#REF!&gt;=table!$C$11,#REF!&lt;= table!$D$11),-1,IF(AND(#REF!&gt;=table!$E$11,#REF!&lt;=table!$F$11),1,0))</f>
        <v>#REF!</v>
      </c>
      <c r="W680" s="5" t="e">
        <f>CONCATENATE(dados[[#This Row],[fator1]],dados[[#This Row],[fator5]],dados[[#This Row],[fator6]])</f>
        <v>#REF!</v>
      </c>
    </row>
    <row r="681" spans="1:23">
      <c r="A681" t="s">
        <v>17</v>
      </c>
      <c r="B681">
        <v>482652</v>
      </c>
      <c r="C681">
        <v>15</v>
      </c>
      <c r="D681">
        <v>35</v>
      </c>
      <c r="E681">
        <v>120</v>
      </c>
      <c r="F681">
        <v>4</v>
      </c>
      <c r="G681">
        <v>15</v>
      </c>
      <c r="H681">
        <v>20</v>
      </c>
      <c r="I681">
        <v>50</v>
      </c>
      <c r="J681">
        <v>0</v>
      </c>
      <c r="K681">
        <v>14.275</v>
      </c>
      <c r="L681">
        <v>11.065000000000001</v>
      </c>
      <c r="M681">
        <v>105.12</v>
      </c>
      <c r="N681">
        <v>13.93</v>
      </c>
      <c r="O681">
        <v>1666</v>
      </c>
      <c r="P681">
        <v>0</v>
      </c>
      <c r="Q681" s="5" t="e">
        <f>IF(AND(#REF!&gt;=table!$C$6,#REF!&lt;= table!$D$6),-1,IF(AND(#REF!&gt;=table!$E$6,#REF!&lt;=table!$F$6),1,0))</f>
        <v>#REF!</v>
      </c>
      <c r="R681" s="5" t="e">
        <f>IF(AND(#REF!&gt;=table!$C$7,#REF!&lt;= table!$D$7),-1,IF(AND(#REF!&gt;=table!$E$7,#REF!&lt;=table!$F$7),1,0))</f>
        <v>#REF!</v>
      </c>
      <c r="S681" s="5" t="e">
        <f>IF(AND(#REF!&gt;=table!$C$8,#REF!&lt;= table!$D$8),-1,IF(AND(#REF!&gt;=table!$E$8,#REF!&lt;=table!$F$8),1,0))</f>
        <v>#REF!</v>
      </c>
      <c r="T681" s="5"/>
      <c r="U681" s="5" t="e">
        <f>IF(AND(#REF!&gt;=table!$C$10,#REF!&lt;= table!$D$10),-1,IF(AND(#REF!&gt;=table!$E$10,#REF!&lt;=table!$F$10),1,0))</f>
        <v>#REF!</v>
      </c>
      <c r="V681" s="5" t="e">
        <f>IF(AND(#REF!&gt;=table!$C$11,#REF!&lt;= table!$D$11),-1,IF(AND(#REF!&gt;=table!$E$11,#REF!&lt;=table!$F$11),1,0))</f>
        <v>#REF!</v>
      </c>
      <c r="W681" s="5" t="e">
        <f>CONCATENATE(dados[[#This Row],[fator1]],dados[[#This Row],[fator5]],dados[[#This Row],[fator6]])</f>
        <v>#REF!</v>
      </c>
    </row>
    <row r="682" spans="1:23">
      <c r="A682" t="s">
        <v>16</v>
      </c>
      <c r="B682">
        <v>482655</v>
      </c>
      <c r="C682">
        <v>11</v>
      </c>
      <c r="D682">
        <v>40</v>
      </c>
      <c r="E682">
        <v>151</v>
      </c>
      <c r="F682">
        <v>8</v>
      </c>
      <c r="G682">
        <v>0</v>
      </c>
      <c r="H682">
        <v>25</v>
      </c>
      <c r="I682">
        <v>385</v>
      </c>
      <c r="J682">
        <v>0</v>
      </c>
      <c r="K682">
        <v>4.3650000000000002</v>
      </c>
      <c r="L682">
        <v>10.65</v>
      </c>
      <c r="M682">
        <v>130.84</v>
      </c>
      <c r="N682">
        <v>14.450000000000001</v>
      </c>
      <c r="O682">
        <v>1687</v>
      </c>
      <c r="P682">
        <v>806</v>
      </c>
      <c r="Q682" s="5" t="e">
        <f>IF(AND(#REF!&gt;=table!$C$6,#REF!&lt;= table!$D$6),-1,IF(AND(#REF!&gt;=table!$E$6,#REF!&lt;=table!$F$6),1,0))</f>
        <v>#REF!</v>
      </c>
      <c r="R682" s="5" t="e">
        <f>IF(AND(#REF!&gt;=table!$C$7,#REF!&lt;= table!$D$7),-1,IF(AND(#REF!&gt;=table!$E$7,#REF!&lt;=table!$F$7),1,0))</f>
        <v>#REF!</v>
      </c>
      <c r="S682" s="5" t="e">
        <f>IF(AND(#REF!&gt;=table!$C$8,#REF!&lt;= table!$D$8),-1,IF(AND(#REF!&gt;=table!$E$8,#REF!&lt;=table!$F$8),1,0))</f>
        <v>#REF!</v>
      </c>
      <c r="T682" s="5"/>
      <c r="U682" s="5" t="e">
        <f>IF(AND(#REF!&gt;=table!$C$10,#REF!&lt;= table!$D$10),-1,IF(AND(#REF!&gt;=table!$E$10,#REF!&lt;=table!$F$10),1,0))</f>
        <v>#REF!</v>
      </c>
      <c r="V682" s="5" t="e">
        <f>IF(AND(#REF!&gt;=table!$C$11,#REF!&lt;= table!$D$11),-1,IF(AND(#REF!&gt;=table!$E$11,#REF!&lt;=table!$F$11),1,0))</f>
        <v>#REF!</v>
      </c>
      <c r="W682" s="5" t="e">
        <f>CONCATENATE(dados[[#This Row],[fator1]],dados[[#This Row],[fator5]],dados[[#This Row],[fator6]])</f>
        <v>#REF!</v>
      </c>
    </row>
    <row r="683" spans="1:23">
      <c r="A683" t="s">
        <v>16</v>
      </c>
      <c r="B683">
        <v>482656</v>
      </c>
      <c r="C683">
        <v>11</v>
      </c>
      <c r="D683">
        <v>40</v>
      </c>
      <c r="E683">
        <v>151</v>
      </c>
      <c r="F683">
        <v>8</v>
      </c>
      <c r="G683">
        <v>0</v>
      </c>
      <c r="H683">
        <v>25</v>
      </c>
      <c r="I683">
        <v>1343</v>
      </c>
      <c r="J683">
        <v>0</v>
      </c>
      <c r="K683">
        <v>6.5350000000000001</v>
      </c>
      <c r="L683">
        <v>11.775</v>
      </c>
      <c r="M683">
        <v>142.85</v>
      </c>
      <c r="N683">
        <v>14.55</v>
      </c>
      <c r="O683">
        <v>1661</v>
      </c>
      <c r="P683">
        <v>560</v>
      </c>
      <c r="Q683" s="5" t="e">
        <f>IF(AND(#REF!&gt;=table!$C$6,#REF!&lt;= table!$D$6),-1,IF(AND(#REF!&gt;=table!$E$6,#REF!&lt;=table!$F$6),1,0))</f>
        <v>#REF!</v>
      </c>
      <c r="R683" s="5" t="e">
        <f>IF(AND(#REF!&gt;=table!$C$7,#REF!&lt;= table!$D$7),-1,IF(AND(#REF!&gt;=table!$E$7,#REF!&lt;=table!$F$7),1,0))</f>
        <v>#REF!</v>
      </c>
      <c r="S683" s="5" t="e">
        <f>IF(AND(#REF!&gt;=table!$C$8,#REF!&lt;= table!$D$8),-1,IF(AND(#REF!&gt;=table!$E$8,#REF!&lt;=table!$F$8),1,0))</f>
        <v>#REF!</v>
      </c>
      <c r="T683" s="5"/>
      <c r="U683" s="5" t="e">
        <f>IF(AND(#REF!&gt;=table!$C$10,#REF!&lt;= table!$D$10),-1,IF(AND(#REF!&gt;=table!$E$10,#REF!&lt;=table!$F$10),1,0))</f>
        <v>#REF!</v>
      </c>
      <c r="V683" s="5" t="e">
        <f>IF(AND(#REF!&gt;=table!$C$11,#REF!&lt;= table!$D$11),-1,IF(AND(#REF!&gt;=table!$E$11,#REF!&lt;=table!$F$11),1,0))</f>
        <v>#REF!</v>
      </c>
      <c r="W683" s="5" t="e">
        <f>CONCATENATE(dados[[#This Row],[fator1]],dados[[#This Row],[fator5]],dados[[#This Row],[fator6]])</f>
        <v>#REF!</v>
      </c>
    </row>
    <row r="684" spans="1:23">
      <c r="A684" t="s">
        <v>16</v>
      </c>
      <c r="B684">
        <v>482678</v>
      </c>
      <c r="C684">
        <v>0.2</v>
      </c>
      <c r="D684">
        <v>65</v>
      </c>
      <c r="E684">
        <v>26</v>
      </c>
      <c r="F684">
        <v>15</v>
      </c>
      <c r="G684">
        <v>0</v>
      </c>
      <c r="H684">
        <v>30</v>
      </c>
      <c r="I684">
        <v>1551</v>
      </c>
      <c r="J684">
        <v>0</v>
      </c>
      <c r="K684">
        <v>2.8050000000000002</v>
      </c>
      <c r="L684">
        <v>10.450000000000001</v>
      </c>
      <c r="M684">
        <v>9.9500000000000011</v>
      </c>
      <c r="N684">
        <v>16.45</v>
      </c>
      <c r="O684">
        <v>1697</v>
      </c>
      <c r="P684">
        <v>0</v>
      </c>
      <c r="Q684" s="5" t="e">
        <f>IF(AND(#REF!&gt;=table!$C$6,#REF!&lt;= table!$D$6),-1,IF(AND(#REF!&gt;=table!$E$6,#REF!&lt;=table!$F$6),1,0))</f>
        <v>#REF!</v>
      </c>
      <c r="R684" s="5" t="e">
        <f>IF(AND(#REF!&gt;=table!$C$7,#REF!&lt;= table!$D$7),-1,IF(AND(#REF!&gt;=table!$E$7,#REF!&lt;=table!$F$7),1,0))</f>
        <v>#REF!</v>
      </c>
      <c r="S684" s="5" t="e">
        <f>IF(AND(#REF!&gt;=table!$C$8,#REF!&lt;= table!$D$8),-1,IF(AND(#REF!&gt;=table!$E$8,#REF!&lt;=table!$F$8),1,0))</f>
        <v>#REF!</v>
      </c>
      <c r="T684" s="5"/>
      <c r="U684" s="5" t="e">
        <f>IF(AND(#REF!&gt;=table!$C$10,#REF!&lt;= table!$D$10),-1,IF(AND(#REF!&gt;=table!$E$10,#REF!&lt;=table!$F$10),1,0))</f>
        <v>#REF!</v>
      </c>
      <c r="V684" s="5" t="e">
        <f>IF(AND(#REF!&gt;=table!$C$11,#REF!&lt;= table!$D$11),-1,IF(AND(#REF!&gt;=table!$E$11,#REF!&lt;=table!$F$11),1,0))</f>
        <v>#REF!</v>
      </c>
      <c r="W684" s="5" t="e">
        <f>CONCATENATE(dados[[#This Row],[fator1]],dados[[#This Row],[fator5]],dados[[#This Row],[fator6]])</f>
        <v>#REF!</v>
      </c>
    </row>
    <row r="685" spans="1:23">
      <c r="A685" t="s">
        <v>16</v>
      </c>
      <c r="B685">
        <v>482690</v>
      </c>
      <c r="C685">
        <v>4</v>
      </c>
      <c r="D685">
        <v>40</v>
      </c>
      <c r="E685">
        <v>21</v>
      </c>
      <c r="F685">
        <v>20</v>
      </c>
      <c r="G685">
        <v>0</v>
      </c>
      <c r="H685">
        <v>25</v>
      </c>
      <c r="I685">
        <v>703</v>
      </c>
      <c r="J685">
        <v>0</v>
      </c>
      <c r="K685">
        <v>3.63</v>
      </c>
      <c r="L685">
        <v>10.4</v>
      </c>
      <c r="M685">
        <v>8.85</v>
      </c>
      <c r="N685">
        <v>12.6</v>
      </c>
      <c r="O685">
        <v>1648</v>
      </c>
      <c r="P685">
        <v>0</v>
      </c>
      <c r="Q685" s="5" t="e">
        <f>IF(AND(#REF!&gt;=table!$C$6,#REF!&lt;= table!$D$6),-1,IF(AND(#REF!&gt;=table!$E$6,#REF!&lt;=table!$F$6),1,0))</f>
        <v>#REF!</v>
      </c>
      <c r="R685" s="5" t="e">
        <f>IF(AND(#REF!&gt;=table!$C$7,#REF!&lt;= table!$D$7),-1,IF(AND(#REF!&gt;=table!$E$7,#REF!&lt;=table!$F$7),1,0))</f>
        <v>#REF!</v>
      </c>
      <c r="S685" s="5" t="e">
        <f>IF(AND(#REF!&gt;=table!$C$8,#REF!&lt;= table!$D$8),-1,IF(AND(#REF!&gt;=table!$E$8,#REF!&lt;=table!$F$8),1,0))</f>
        <v>#REF!</v>
      </c>
      <c r="T685" s="5"/>
      <c r="U685" s="5" t="e">
        <f>IF(AND(#REF!&gt;=table!$C$10,#REF!&lt;= table!$D$10),-1,IF(AND(#REF!&gt;=table!$E$10,#REF!&lt;=table!$F$10),1,0))</f>
        <v>#REF!</v>
      </c>
      <c r="V685" s="5" t="e">
        <f>IF(AND(#REF!&gt;=table!$C$11,#REF!&lt;= table!$D$11),-1,IF(AND(#REF!&gt;=table!$E$11,#REF!&lt;=table!$F$11),1,0))</f>
        <v>#REF!</v>
      </c>
      <c r="W685" s="5" t="e">
        <f>CONCATENATE(dados[[#This Row],[fator1]],dados[[#This Row],[fator5]],dados[[#This Row],[fator6]])</f>
        <v>#REF!</v>
      </c>
    </row>
    <row r="686" spans="1:23">
      <c r="A686" t="s">
        <v>16</v>
      </c>
      <c r="B686">
        <v>482701</v>
      </c>
      <c r="C686">
        <v>0.15</v>
      </c>
      <c r="D686">
        <v>40</v>
      </c>
      <c r="E686">
        <v>10</v>
      </c>
      <c r="F686">
        <v>15</v>
      </c>
      <c r="G686">
        <v>0</v>
      </c>
      <c r="H686">
        <v>15</v>
      </c>
      <c r="I686">
        <v>1165</v>
      </c>
      <c r="J686">
        <v>0</v>
      </c>
      <c r="K686">
        <v>5.3100000000000005</v>
      </c>
      <c r="L686">
        <v>10.8</v>
      </c>
      <c r="M686">
        <v>9.9500000000000011</v>
      </c>
      <c r="N686">
        <v>15.200000000000001</v>
      </c>
      <c r="O686">
        <v>1686</v>
      </c>
      <c r="P686">
        <v>0</v>
      </c>
      <c r="Q686" s="5" t="e">
        <f>IF(AND(#REF!&gt;=table!$C$6,#REF!&lt;= table!$D$6),-1,IF(AND(#REF!&gt;=table!$E$6,#REF!&lt;=table!$F$6),1,0))</f>
        <v>#REF!</v>
      </c>
      <c r="R686" s="5" t="e">
        <f>IF(AND(#REF!&gt;=table!$C$7,#REF!&lt;= table!$D$7),-1,IF(AND(#REF!&gt;=table!$E$7,#REF!&lt;=table!$F$7),1,0))</f>
        <v>#REF!</v>
      </c>
      <c r="S686" s="5" t="e">
        <f>IF(AND(#REF!&gt;=table!$C$8,#REF!&lt;= table!$D$8),-1,IF(AND(#REF!&gt;=table!$E$8,#REF!&lt;=table!$F$8),1,0))</f>
        <v>#REF!</v>
      </c>
      <c r="T686" s="5"/>
      <c r="U686" s="5" t="e">
        <f>IF(AND(#REF!&gt;=table!$C$10,#REF!&lt;= table!$D$10),-1,IF(AND(#REF!&gt;=table!$E$10,#REF!&lt;=table!$F$10),1,0))</f>
        <v>#REF!</v>
      </c>
      <c r="V686" s="5" t="e">
        <f>IF(AND(#REF!&gt;=table!$C$11,#REF!&lt;= table!$D$11),-1,IF(AND(#REF!&gt;=table!$E$11,#REF!&lt;=table!$F$11),1,0))</f>
        <v>#REF!</v>
      </c>
      <c r="W686" s="5" t="e">
        <f>CONCATENATE(dados[[#This Row],[fator1]],dados[[#This Row],[fator5]],dados[[#This Row],[fator6]])</f>
        <v>#REF!</v>
      </c>
    </row>
    <row r="687" spans="1:23">
      <c r="A687" t="s">
        <v>17</v>
      </c>
      <c r="B687">
        <v>482712</v>
      </c>
      <c r="C687">
        <v>14</v>
      </c>
      <c r="D687">
        <v>30</v>
      </c>
      <c r="E687">
        <v>66</v>
      </c>
      <c r="F687">
        <v>9</v>
      </c>
      <c r="G687">
        <v>20</v>
      </c>
      <c r="H687">
        <v>25</v>
      </c>
      <c r="I687">
        <v>1285</v>
      </c>
      <c r="J687">
        <v>0</v>
      </c>
      <c r="K687">
        <v>12.16</v>
      </c>
      <c r="L687">
        <v>16.600000000000001</v>
      </c>
      <c r="M687">
        <v>54.815000000000005</v>
      </c>
      <c r="N687">
        <v>20.13</v>
      </c>
      <c r="O687">
        <v>1668</v>
      </c>
      <c r="P687">
        <v>0</v>
      </c>
      <c r="Q687" s="5" t="e">
        <f>IF(AND(#REF!&gt;=table!$C$6,#REF!&lt;= table!$D$6),-1,IF(AND(#REF!&gt;=table!$E$6,#REF!&lt;=table!$F$6),1,0))</f>
        <v>#REF!</v>
      </c>
      <c r="R687" s="5" t="e">
        <f>IF(AND(#REF!&gt;=table!$C$7,#REF!&lt;= table!$D$7),-1,IF(AND(#REF!&gt;=table!$E$7,#REF!&lt;=table!$F$7),1,0))</f>
        <v>#REF!</v>
      </c>
      <c r="S687" s="5" t="e">
        <f>IF(AND(#REF!&gt;=table!$C$8,#REF!&lt;= table!$D$8),-1,IF(AND(#REF!&gt;=table!$E$8,#REF!&lt;=table!$F$8),1,0))</f>
        <v>#REF!</v>
      </c>
      <c r="T687" s="5"/>
      <c r="U687" s="5" t="e">
        <f>IF(AND(#REF!&gt;=table!$C$10,#REF!&lt;= table!$D$10),-1,IF(AND(#REF!&gt;=table!$E$10,#REF!&lt;=table!$F$10),1,0))</f>
        <v>#REF!</v>
      </c>
      <c r="V687" s="5" t="e">
        <f>IF(AND(#REF!&gt;=table!$C$11,#REF!&lt;= table!$D$11),-1,IF(AND(#REF!&gt;=table!$E$11,#REF!&lt;=table!$F$11),1,0))</f>
        <v>#REF!</v>
      </c>
      <c r="W687" s="5" t="e">
        <f>CONCATENATE(dados[[#This Row],[fator1]],dados[[#This Row],[fator5]],dados[[#This Row],[fator6]])</f>
        <v>#REF!</v>
      </c>
    </row>
    <row r="688" spans="1:23">
      <c r="A688" t="s">
        <v>17</v>
      </c>
      <c r="B688">
        <v>482713</v>
      </c>
      <c r="C688">
        <v>14</v>
      </c>
      <c r="D688">
        <v>30</v>
      </c>
      <c r="E688">
        <v>66</v>
      </c>
      <c r="F688">
        <v>9</v>
      </c>
      <c r="G688">
        <v>20</v>
      </c>
      <c r="H688">
        <v>25</v>
      </c>
      <c r="I688">
        <v>0</v>
      </c>
      <c r="J688">
        <v>0</v>
      </c>
      <c r="K688">
        <v>5.24</v>
      </c>
      <c r="L688">
        <v>17.150000000000002</v>
      </c>
      <c r="M688">
        <v>67.95</v>
      </c>
      <c r="N688">
        <v>22.95</v>
      </c>
      <c r="O688">
        <v>1680</v>
      </c>
      <c r="P688">
        <v>635</v>
      </c>
      <c r="Q688" s="5" t="e">
        <f>IF(AND(#REF!&gt;=table!$C$6,#REF!&lt;= table!$D$6),-1,IF(AND(#REF!&gt;=table!$E$6,#REF!&lt;=table!$F$6),1,0))</f>
        <v>#REF!</v>
      </c>
      <c r="R688" s="5" t="e">
        <f>IF(AND(#REF!&gt;=table!$C$7,#REF!&lt;= table!$D$7),-1,IF(AND(#REF!&gt;=table!$E$7,#REF!&lt;=table!$F$7),1,0))</f>
        <v>#REF!</v>
      </c>
      <c r="S688" s="5" t="e">
        <f>IF(AND(#REF!&gt;=table!$C$8,#REF!&lt;= table!$D$8),-1,IF(AND(#REF!&gt;=table!$E$8,#REF!&lt;=table!$F$8),1,0))</f>
        <v>#REF!</v>
      </c>
      <c r="T688" s="5"/>
      <c r="U688" s="5" t="e">
        <f>IF(AND(#REF!&gt;=table!$C$10,#REF!&lt;= table!$D$10),-1,IF(AND(#REF!&gt;=table!$E$10,#REF!&lt;=table!$F$10),1,0))</f>
        <v>#REF!</v>
      </c>
      <c r="V688" s="5" t="e">
        <f>IF(AND(#REF!&gt;=table!$C$11,#REF!&lt;= table!$D$11),-1,IF(AND(#REF!&gt;=table!$E$11,#REF!&lt;=table!$F$11),1,0))</f>
        <v>#REF!</v>
      </c>
      <c r="W688" s="5" t="e">
        <f>CONCATENATE(dados[[#This Row],[fator1]],dados[[#This Row],[fator5]],dados[[#This Row],[fator6]])</f>
        <v>#REF!</v>
      </c>
    </row>
    <row r="689" spans="1:23">
      <c r="A689" t="s">
        <v>16</v>
      </c>
      <c r="B689">
        <v>482717</v>
      </c>
      <c r="C689">
        <v>8</v>
      </c>
      <c r="D689">
        <v>27</v>
      </c>
      <c r="E689">
        <v>86</v>
      </c>
      <c r="F689">
        <v>9</v>
      </c>
      <c r="G689">
        <v>0</v>
      </c>
      <c r="H689">
        <v>25</v>
      </c>
      <c r="I689">
        <v>44</v>
      </c>
      <c r="J689">
        <v>0</v>
      </c>
      <c r="K689">
        <v>2.6850000000000001</v>
      </c>
      <c r="L689">
        <v>5.65</v>
      </c>
      <c r="M689">
        <v>65.400000000000006</v>
      </c>
      <c r="N689">
        <v>14</v>
      </c>
      <c r="O689">
        <v>1687</v>
      </c>
      <c r="P689">
        <v>1663</v>
      </c>
      <c r="Q689" s="5" t="e">
        <f>IF(AND(#REF!&gt;=table!$C$6,#REF!&lt;= table!$D$6),-1,IF(AND(#REF!&gt;=table!$E$6,#REF!&lt;=table!$F$6),1,0))</f>
        <v>#REF!</v>
      </c>
      <c r="R689" s="5" t="e">
        <f>IF(AND(#REF!&gt;=table!$C$7,#REF!&lt;= table!$D$7),-1,IF(AND(#REF!&gt;=table!$E$7,#REF!&lt;=table!$F$7),1,0))</f>
        <v>#REF!</v>
      </c>
      <c r="S689" s="5" t="e">
        <f>IF(AND(#REF!&gt;=table!$C$8,#REF!&lt;= table!$D$8),-1,IF(AND(#REF!&gt;=table!$E$8,#REF!&lt;=table!$F$8),1,0))</f>
        <v>#REF!</v>
      </c>
      <c r="T689" s="5"/>
      <c r="U689" s="5" t="e">
        <f>IF(AND(#REF!&gt;=table!$C$10,#REF!&lt;= table!$D$10),-1,IF(AND(#REF!&gt;=table!$E$10,#REF!&lt;=table!$F$10),1,0))</f>
        <v>#REF!</v>
      </c>
      <c r="V689" s="5" t="e">
        <f>IF(AND(#REF!&gt;=table!$C$11,#REF!&lt;= table!$D$11),-1,IF(AND(#REF!&gt;=table!$E$11,#REF!&lt;=table!$F$11),1,0))</f>
        <v>#REF!</v>
      </c>
      <c r="W689" s="5" t="e">
        <f>CONCATENATE(dados[[#This Row],[fator1]],dados[[#This Row],[fator5]],dados[[#This Row],[fator6]])</f>
        <v>#REF!</v>
      </c>
    </row>
    <row r="690" spans="1:23">
      <c r="A690" t="s">
        <v>16</v>
      </c>
      <c r="B690">
        <v>482722</v>
      </c>
      <c r="C690">
        <v>8</v>
      </c>
      <c r="D690">
        <v>30</v>
      </c>
      <c r="E690">
        <v>86</v>
      </c>
      <c r="F690">
        <v>8</v>
      </c>
      <c r="G690">
        <v>0</v>
      </c>
      <c r="H690">
        <v>22</v>
      </c>
      <c r="I690">
        <v>15</v>
      </c>
      <c r="J690">
        <v>0</v>
      </c>
      <c r="K690">
        <v>3.75</v>
      </c>
      <c r="L690">
        <v>13.4</v>
      </c>
      <c r="M690">
        <v>94.685000000000002</v>
      </c>
      <c r="N690">
        <v>18.765000000000001</v>
      </c>
      <c r="O690">
        <v>1678</v>
      </c>
      <c r="P690">
        <v>0</v>
      </c>
      <c r="Q690" s="5" t="e">
        <f>IF(AND(#REF!&gt;=table!$C$6,#REF!&lt;= table!$D$6),-1,IF(AND(#REF!&gt;=table!$E$6,#REF!&lt;=table!$F$6),1,0))</f>
        <v>#REF!</v>
      </c>
      <c r="R690" s="5" t="e">
        <f>IF(AND(#REF!&gt;=table!$C$7,#REF!&lt;= table!$D$7),-1,IF(AND(#REF!&gt;=table!$E$7,#REF!&lt;=table!$F$7),1,0))</f>
        <v>#REF!</v>
      </c>
      <c r="S690" s="5" t="e">
        <f>IF(AND(#REF!&gt;=table!$C$8,#REF!&lt;= table!$D$8),-1,IF(AND(#REF!&gt;=table!$E$8,#REF!&lt;=table!$F$8),1,0))</f>
        <v>#REF!</v>
      </c>
      <c r="T690" s="5"/>
      <c r="U690" s="5" t="e">
        <f>IF(AND(#REF!&gt;=table!$C$10,#REF!&lt;= table!$D$10),-1,IF(AND(#REF!&gt;=table!$E$10,#REF!&lt;=table!$F$10),1,0))</f>
        <v>#REF!</v>
      </c>
      <c r="V690" s="5" t="e">
        <f>IF(AND(#REF!&gt;=table!$C$11,#REF!&lt;= table!$D$11),-1,IF(AND(#REF!&gt;=table!$E$11,#REF!&lt;=table!$F$11),1,0))</f>
        <v>#REF!</v>
      </c>
      <c r="W690" s="5" t="e">
        <f>CONCATENATE(dados[[#This Row],[fator1]],dados[[#This Row],[fator5]],dados[[#This Row],[fator6]])</f>
        <v>#REF!</v>
      </c>
    </row>
    <row r="691" spans="1:23">
      <c r="A691" t="s">
        <v>16</v>
      </c>
      <c r="B691">
        <v>482724</v>
      </c>
      <c r="C691">
        <v>8</v>
      </c>
      <c r="D691">
        <v>27</v>
      </c>
      <c r="E691">
        <v>61</v>
      </c>
      <c r="F691">
        <v>8</v>
      </c>
      <c r="G691">
        <v>0</v>
      </c>
      <c r="H691">
        <v>25</v>
      </c>
      <c r="I691">
        <v>23</v>
      </c>
      <c r="J691">
        <v>0</v>
      </c>
      <c r="K691">
        <v>5.36</v>
      </c>
      <c r="L691">
        <v>11.86</v>
      </c>
      <c r="M691">
        <v>50.050000000000004</v>
      </c>
      <c r="N691">
        <v>14.4</v>
      </c>
      <c r="O691">
        <v>1671</v>
      </c>
      <c r="P691">
        <v>868</v>
      </c>
      <c r="Q691" s="5" t="e">
        <f>IF(AND(#REF!&gt;=table!$C$6,#REF!&lt;= table!$D$6),-1,IF(AND(#REF!&gt;=table!$E$6,#REF!&lt;=table!$F$6),1,0))</f>
        <v>#REF!</v>
      </c>
      <c r="R691" s="5" t="e">
        <f>IF(AND(#REF!&gt;=table!$C$7,#REF!&lt;= table!$D$7),-1,IF(AND(#REF!&gt;=table!$E$7,#REF!&lt;=table!$F$7),1,0))</f>
        <v>#REF!</v>
      </c>
      <c r="S691" s="5" t="e">
        <f>IF(AND(#REF!&gt;=table!$C$8,#REF!&lt;= table!$D$8),-1,IF(AND(#REF!&gt;=table!$E$8,#REF!&lt;=table!$F$8),1,0))</f>
        <v>#REF!</v>
      </c>
      <c r="T691" s="5"/>
      <c r="U691" s="5" t="e">
        <f>IF(AND(#REF!&gt;=table!$C$10,#REF!&lt;= table!$D$10),-1,IF(AND(#REF!&gt;=table!$E$10,#REF!&lt;=table!$F$10),1,0))</f>
        <v>#REF!</v>
      </c>
      <c r="V691" s="5" t="e">
        <f>IF(AND(#REF!&gt;=table!$C$11,#REF!&lt;= table!$D$11),-1,IF(AND(#REF!&gt;=table!$E$11,#REF!&lt;=table!$F$11),1,0))</f>
        <v>#REF!</v>
      </c>
      <c r="W691" s="5" t="e">
        <f>CONCATENATE(dados[[#This Row],[fator1]],dados[[#This Row],[fator5]],dados[[#This Row],[fator6]])</f>
        <v>#REF!</v>
      </c>
    </row>
    <row r="692" spans="1:23">
      <c r="A692" t="s">
        <v>16</v>
      </c>
      <c r="B692">
        <v>482726</v>
      </c>
      <c r="C692">
        <v>6</v>
      </c>
      <c r="D692">
        <v>40</v>
      </c>
      <c r="E692">
        <v>66</v>
      </c>
      <c r="F692">
        <v>10</v>
      </c>
      <c r="G692">
        <v>0</v>
      </c>
      <c r="H692">
        <v>25</v>
      </c>
      <c r="I692">
        <v>1296</v>
      </c>
      <c r="J692">
        <v>0</v>
      </c>
      <c r="K692">
        <v>5.71</v>
      </c>
      <c r="L692">
        <v>11.450000000000001</v>
      </c>
      <c r="M692">
        <v>52.24</v>
      </c>
      <c r="N692">
        <v>15.88</v>
      </c>
      <c r="O692">
        <v>1665</v>
      </c>
      <c r="P692">
        <v>0</v>
      </c>
      <c r="Q692" s="5" t="e">
        <f>IF(AND(#REF!&gt;=table!$C$6,#REF!&lt;= table!$D$6),-1,IF(AND(#REF!&gt;=table!$E$6,#REF!&lt;=table!$F$6),1,0))</f>
        <v>#REF!</v>
      </c>
      <c r="R692" s="5" t="e">
        <f>IF(AND(#REF!&gt;=table!$C$7,#REF!&lt;= table!$D$7),-1,IF(AND(#REF!&gt;=table!$E$7,#REF!&lt;=table!$F$7),1,0))</f>
        <v>#REF!</v>
      </c>
      <c r="S692" s="5" t="e">
        <f>IF(AND(#REF!&gt;=table!$C$8,#REF!&lt;= table!$D$8),-1,IF(AND(#REF!&gt;=table!$E$8,#REF!&lt;=table!$F$8),1,0))</f>
        <v>#REF!</v>
      </c>
      <c r="T692" s="5"/>
      <c r="U692" s="5" t="e">
        <f>IF(AND(#REF!&gt;=table!$C$10,#REF!&lt;= table!$D$10),-1,IF(AND(#REF!&gt;=table!$E$10,#REF!&lt;=table!$F$10),1,0))</f>
        <v>#REF!</v>
      </c>
      <c r="V692" s="5" t="e">
        <f>IF(AND(#REF!&gt;=table!$C$11,#REF!&lt;= table!$D$11),-1,IF(AND(#REF!&gt;=table!$E$11,#REF!&lt;=table!$F$11),1,0))</f>
        <v>#REF!</v>
      </c>
      <c r="W692" s="5" t="e">
        <f>CONCATENATE(dados[[#This Row],[fator1]],dados[[#This Row],[fator5]],dados[[#This Row],[fator6]])</f>
        <v>#REF!</v>
      </c>
    </row>
    <row r="693" spans="1:23">
      <c r="A693" t="s">
        <v>18</v>
      </c>
      <c r="B693">
        <v>482727</v>
      </c>
      <c r="C693">
        <v>11</v>
      </c>
      <c r="D693">
        <v>3</v>
      </c>
      <c r="E693">
        <v>36</v>
      </c>
      <c r="F693">
        <v>10</v>
      </c>
      <c r="G693">
        <v>22</v>
      </c>
      <c r="H693">
        <v>25</v>
      </c>
      <c r="I693">
        <v>1242</v>
      </c>
      <c r="J693">
        <v>0</v>
      </c>
      <c r="K693">
        <v>7.71</v>
      </c>
      <c r="L693">
        <v>13.55</v>
      </c>
      <c r="M693">
        <v>32.555</v>
      </c>
      <c r="N693">
        <v>13.81</v>
      </c>
      <c r="O693">
        <v>1657</v>
      </c>
      <c r="P693">
        <v>473</v>
      </c>
      <c r="Q693" s="5" t="e">
        <f>IF(AND(#REF!&gt;=table!$C$6,#REF!&lt;= table!$D$6),-1,IF(AND(#REF!&gt;=table!$E$6,#REF!&lt;=table!$F$6),1,0))</f>
        <v>#REF!</v>
      </c>
      <c r="R693" s="5" t="e">
        <f>IF(AND(#REF!&gt;=table!$C$7,#REF!&lt;= table!$D$7),-1,IF(AND(#REF!&gt;=table!$E$7,#REF!&lt;=table!$F$7),1,0))</f>
        <v>#REF!</v>
      </c>
      <c r="S693" s="5" t="e">
        <f>IF(AND(#REF!&gt;=table!$C$8,#REF!&lt;= table!$D$8),-1,IF(AND(#REF!&gt;=table!$E$8,#REF!&lt;=table!$F$8),1,0))</f>
        <v>#REF!</v>
      </c>
      <c r="T693" s="5"/>
      <c r="U693" s="5" t="e">
        <f>IF(AND(#REF!&gt;=table!$C$10,#REF!&lt;= table!$D$10),-1,IF(AND(#REF!&gt;=table!$E$10,#REF!&lt;=table!$F$10),1,0))</f>
        <v>#REF!</v>
      </c>
      <c r="V693" s="5" t="e">
        <f>IF(AND(#REF!&gt;=table!$C$11,#REF!&lt;= table!$D$11),-1,IF(AND(#REF!&gt;=table!$E$11,#REF!&lt;=table!$F$11),1,0))</f>
        <v>#REF!</v>
      </c>
      <c r="W693" s="5" t="e">
        <f>CONCATENATE(dados[[#This Row],[fator1]],dados[[#This Row],[fator5]],dados[[#This Row],[fator6]])</f>
        <v>#REF!</v>
      </c>
    </row>
    <row r="694" spans="1:23">
      <c r="A694" t="s">
        <v>18</v>
      </c>
      <c r="B694">
        <v>482729</v>
      </c>
      <c r="C694">
        <v>16</v>
      </c>
      <c r="D694">
        <v>0</v>
      </c>
      <c r="E694">
        <v>106</v>
      </c>
      <c r="F694">
        <v>8</v>
      </c>
      <c r="G694">
        <v>22</v>
      </c>
      <c r="H694">
        <v>25</v>
      </c>
      <c r="I694">
        <v>39</v>
      </c>
      <c r="J694">
        <v>0</v>
      </c>
      <c r="K694">
        <v>3.7750000000000004</v>
      </c>
      <c r="L694">
        <v>10.5</v>
      </c>
      <c r="M694">
        <v>91.55</v>
      </c>
      <c r="N694">
        <v>13.4</v>
      </c>
      <c r="O694">
        <v>1671</v>
      </c>
      <c r="P694">
        <v>831</v>
      </c>
      <c r="Q694" s="5" t="e">
        <f>IF(AND(#REF!&gt;=table!$C$6,#REF!&lt;= table!$D$6),-1,IF(AND(#REF!&gt;=table!$E$6,#REF!&lt;=table!$F$6),1,0))</f>
        <v>#REF!</v>
      </c>
      <c r="R694" s="5" t="e">
        <f>IF(AND(#REF!&gt;=table!$C$7,#REF!&lt;= table!$D$7),-1,IF(AND(#REF!&gt;=table!$E$7,#REF!&lt;=table!$F$7),1,0))</f>
        <v>#REF!</v>
      </c>
      <c r="S694" s="5" t="e">
        <f>IF(AND(#REF!&gt;=table!$C$8,#REF!&lt;= table!$D$8),-1,IF(AND(#REF!&gt;=table!$E$8,#REF!&lt;=table!$F$8),1,0))</f>
        <v>#REF!</v>
      </c>
      <c r="T694" s="5"/>
      <c r="U694" s="5" t="e">
        <f>IF(AND(#REF!&gt;=table!$C$10,#REF!&lt;= table!$D$10),-1,IF(AND(#REF!&gt;=table!$E$10,#REF!&lt;=table!$F$10),1,0))</f>
        <v>#REF!</v>
      </c>
      <c r="V694" s="5" t="e">
        <f>IF(AND(#REF!&gt;=table!$C$11,#REF!&lt;= table!$D$11),-1,IF(AND(#REF!&gt;=table!$E$11,#REF!&lt;=table!$F$11),1,0))</f>
        <v>#REF!</v>
      </c>
      <c r="W694" s="5" t="e">
        <f>CONCATENATE(dados[[#This Row],[fator1]],dados[[#This Row],[fator5]],dados[[#This Row],[fator6]])</f>
        <v>#REF!</v>
      </c>
    </row>
    <row r="695" spans="1:23">
      <c r="A695" t="s">
        <v>17</v>
      </c>
      <c r="B695">
        <v>482730</v>
      </c>
      <c r="C695">
        <v>8</v>
      </c>
      <c r="D695">
        <v>30</v>
      </c>
      <c r="E695">
        <v>153</v>
      </c>
      <c r="F695">
        <v>2</v>
      </c>
      <c r="G695">
        <v>20</v>
      </c>
      <c r="H695">
        <v>18</v>
      </c>
      <c r="I695">
        <v>1468</v>
      </c>
      <c r="J695">
        <v>0</v>
      </c>
      <c r="K695">
        <v>2.895</v>
      </c>
      <c r="L695">
        <v>5.6000000000000005</v>
      </c>
      <c r="M695">
        <v>132.54500000000002</v>
      </c>
      <c r="N695">
        <v>10.33</v>
      </c>
      <c r="O695">
        <v>1676</v>
      </c>
      <c r="P695">
        <v>0</v>
      </c>
      <c r="Q695" s="5" t="e">
        <f>IF(AND(#REF!&gt;=table!$C$6,#REF!&lt;= table!$D$6),-1,IF(AND(#REF!&gt;=table!$E$6,#REF!&lt;=table!$F$6),1,0))</f>
        <v>#REF!</v>
      </c>
      <c r="R695" s="5" t="e">
        <f>IF(AND(#REF!&gt;=table!$C$7,#REF!&lt;= table!$D$7),-1,IF(AND(#REF!&gt;=table!$E$7,#REF!&lt;=table!$F$7),1,0))</f>
        <v>#REF!</v>
      </c>
      <c r="S695" s="5" t="e">
        <f>IF(AND(#REF!&gt;=table!$C$8,#REF!&lt;= table!$D$8),-1,IF(AND(#REF!&gt;=table!$E$8,#REF!&lt;=table!$F$8),1,0))</f>
        <v>#REF!</v>
      </c>
      <c r="T695" s="5"/>
      <c r="U695" s="5" t="e">
        <f>IF(AND(#REF!&gt;=table!$C$10,#REF!&lt;= table!$D$10),-1,IF(AND(#REF!&gt;=table!$E$10,#REF!&lt;=table!$F$10),1,0))</f>
        <v>#REF!</v>
      </c>
      <c r="V695" s="5" t="e">
        <f>IF(AND(#REF!&gt;=table!$C$11,#REF!&lt;= table!$D$11),-1,IF(AND(#REF!&gt;=table!$E$11,#REF!&lt;=table!$F$11),1,0))</f>
        <v>#REF!</v>
      </c>
      <c r="W695" s="5" t="e">
        <f>CONCATENATE(dados[[#This Row],[fator1]],dados[[#This Row],[fator5]],dados[[#This Row],[fator6]])</f>
        <v>#REF!</v>
      </c>
    </row>
    <row r="696" spans="1:23">
      <c r="A696" t="s">
        <v>17</v>
      </c>
      <c r="B696">
        <v>482731</v>
      </c>
      <c r="C696">
        <v>10</v>
      </c>
      <c r="D696">
        <v>25</v>
      </c>
      <c r="E696">
        <v>156</v>
      </c>
      <c r="F696">
        <v>8</v>
      </c>
      <c r="G696">
        <v>20</v>
      </c>
      <c r="H696">
        <v>25</v>
      </c>
      <c r="I696">
        <v>1124</v>
      </c>
      <c r="J696">
        <v>670</v>
      </c>
      <c r="K696">
        <v>6.1050000000000004</v>
      </c>
      <c r="L696">
        <v>6.5</v>
      </c>
      <c r="M696">
        <v>144.85</v>
      </c>
      <c r="N696">
        <v>9.15</v>
      </c>
      <c r="O696">
        <v>1639</v>
      </c>
      <c r="P696">
        <v>0</v>
      </c>
      <c r="Q696" s="5" t="e">
        <f>IF(AND(#REF!&gt;=table!$C$6,#REF!&lt;= table!$D$6),-1,IF(AND(#REF!&gt;=table!$E$6,#REF!&lt;=table!$F$6),1,0))</f>
        <v>#REF!</v>
      </c>
      <c r="R696" s="5" t="e">
        <f>IF(AND(#REF!&gt;=table!$C$7,#REF!&lt;= table!$D$7),-1,IF(AND(#REF!&gt;=table!$E$7,#REF!&lt;=table!$F$7),1,0))</f>
        <v>#REF!</v>
      </c>
      <c r="S696" s="5" t="e">
        <f>IF(AND(#REF!&gt;=table!$C$8,#REF!&lt;= table!$D$8),-1,IF(AND(#REF!&gt;=table!$E$8,#REF!&lt;=table!$F$8),1,0))</f>
        <v>#REF!</v>
      </c>
      <c r="T696" s="5"/>
      <c r="U696" s="5" t="e">
        <f>IF(AND(#REF!&gt;=table!$C$10,#REF!&lt;= table!$D$10),-1,IF(AND(#REF!&gt;=table!$E$10,#REF!&lt;=table!$F$10),1,0))</f>
        <v>#REF!</v>
      </c>
      <c r="V696" s="5" t="e">
        <f>IF(AND(#REF!&gt;=table!$C$11,#REF!&lt;= table!$D$11),-1,IF(AND(#REF!&gt;=table!$E$11,#REF!&lt;=table!$F$11),1,0))</f>
        <v>#REF!</v>
      </c>
      <c r="W696" s="5" t="e">
        <f>CONCATENATE(dados[[#This Row],[fator1]],dados[[#This Row],[fator5]],dados[[#This Row],[fator6]])</f>
        <v>#REF!</v>
      </c>
    </row>
    <row r="697" spans="1:23">
      <c r="A697" t="s">
        <v>17</v>
      </c>
      <c r="B697">
        <v>482734</v>
      </c>
      <c r="C697">
        <v>10</v>
      </c>
      <c r="D697">
        <v>25</v>
      </c>
      <c r="E697">
        <v>156</v>
      </c>
      <c r="F697">
        <v>8</v>
      </c>
      <c r="G697">
        <v>20</v>
      </c>
      <c r="H697">
        <v>25</v>
      </c>
      <c r="I697">
        <v>1902</v>
      </c>
      <c r="J697">
        <v>0</v>
      </c>
      <c r="K697">
        <v>6.2350000000000003</v>
      </c>
      <c r="L697">
        <v>13.35</v>
      </c>
      <c r="M697">
        <v>137.15</v>
      </c>
      <c r="N697">
        <v>16.664999999999999</v>
      </c>
      <c r="O697">
        <v>1678</v>
      </c>
      <c r="P697">
        <v>547</v>
      </c>
      <c r="Q697" s="5" t="e">
        <f>IF(AND(#REF!&gt;=table!$C$6,#REF!&lt;= table!$D$6),-1,IF(AND(#REF!&gt;=table!$E$6,#REF!&lt;=table!$F$6),1,0))</f>
        <v>#REF!</v>
      </c>
      <c r="R697" s="5" t="e">
        <f>IF(AND(#REF!&gt;=table!$C$7,#REF!&lt;= table!$D$7),-1,IF(AND(#REF!&gt;=table!$E$7,#REF!&lt;=table!$F$7),1,0))</f>
        <v>#REF!</v>
      </c>
      <c r="S697" s="5" t="e">
        <f>IF(AND(#REF!&gt;=table!$C$8,#REF!&lt;= table!$D$8),-1,IF(AND(#REF!&gt;=table!$E$8,#REF!&lt;=table!$F$8),1,0))</f>
        <v>#REF!</v>
      </c>
      <c r="T697" s="5"/>
      <c r="U697" s="5" t="e">
        <f>IF(AND(#REF!&gt;=table!$C$10,#REF!&lt;= table!$D$10),-1,IF(AND(#REF!&gt;=table!$E$10,#REF!&lt;=table!$F$10),1,0))</f>
        <v>#REF!</v>
      </c>
      <c r="V697" s="5" t="e">
        <f>IF(AND(#REF!&gt;=table!$C$11,#REF!&lt;= table!$D$11),-1,IF(AND(#REF!&gt;=table!$E$11,#REF!&lt;=table!$F$11),1,0))</f>
        <v>#REF!</v>
      </c>
      <c r="W697" s="5" t="e">
        <f>CONCATENATE(dados[[#This Row],[fator1]],dados[[#This Row],[fator5]],dados[[#This Row],[fator6]])</f>
        <v>#REF!</v>
      </c>
    </row>
    <row r="698" spans="1:23">
      <c r="A698" t="s">
        <v>17</v>
      </c>
      <c r="B698">
        <v>482736</v>
      </c>
      <c r="C698">
        <v>18</v>
      </c>
      <c r="D698">
        <v>30</v>
      </c>
      <c r="E698">
        <v>136</v>
      </c>
      <c r="F698">
        <v>3</v>
      </c>
      <c r="G698">
        <v>20</v>
      </c>
      <c r="H698">
        <v>25</v>
      </c>
      <c r="I698">
        <v>700</v>
      </c>
      <c r="J698">
        <v>500</v>
      </c>
      <c r="K698">
        <v>3.71</v>
      </c>
      <c r="L698">
        <v>7.3050000000000006</v>
      </c>
      <c r="M698">
        <v>100.935</v>
      </c>
      <c r="N698">
        <v>16.535</v>
      </c>
      <c r="O698">
        <v>1660</v>
      </c>
      <c r="P698">
        <v>1366</v>
      </c>
      <c r="Q698" s="5" t="e">
        <f>IF(AND(#REF!&gt;=table!$C$6,#REF!&lt;= table!$D$6),-1,IF(AND(#REF!&gt;=table!$E$6,#REF!&lt;=table!$F$6),1,0))</f>
        <v>#REF!</v>
      </c>
      <c r="R698" s="5" t="e">
        <f>IF(AND(#REF!&gt;=table!$C$7,#REF!&lt;= table!$D$7),-1,IF(AND(#REF!&gt;=table!$E$7,#REF!&lt;=table!$F$7),1,0))</f>
        <v>#REF!</v>
      </c>
      <c r="S698" s="5" t="e">
        <f>IF(AND(#REF!&gt;=table!$C$8,#REF!&lt;= table!$D$8),-1,IF(AND(#REF!&gt;=table!$E$8,#REF!&lt;=table!$F$8),1,0))</f>
        <v>#REF!</v>
      </c>
      <c r="T698" s="5"/>
      <c r="U698" s="5" t="e">
        <f>IF(AND(#REF!&gt;=table!$C$10,#REF!&lt;= table!$D$10),-1,IF(AND(#REF!&gt;=table!$E$10,#REF!&lt;=table!$F$10),1,0))</f>
        <v>#REF!</v>
      </c>
      <c r="V698" s="5" t="e">
        <f>IF(AND(#REF!&gt;=table!$C$11,#REF!&lt;= table!$D$11),-1,IF(AND(#REF!&gt;=table!$E$11,#REF!&lt;=table!$F$11),1,0))</f>
        <v>#REF!</v>
      </c>
      <c r="W698" s="5" t="e">
        <f>CONCATENATE(dados[[#This Row],[fator1]],dados[[#This Row],[fator5]],dados[[#This Row],[fator6]])</f>
        <v>#REF!</v>
      </c>
    </row>
    <row r="699" spans="1:23">
      <c r="A699" t="s">
        <v>17</v>
      </c>
      <c r="B699">
        <v>482737</v>
      </c>
      <c r="C699">
        <v>18</v>
      </c>
      <c r="D699">
        <v>30</v>
      </c>
      <c r="E699">
        <v>136</v>
      </c>
      <c r="F699">
        <v>3</v>
      </c>
      <c r="G699">
        <v>20</v>
      </c>
      <c r="H699">
        <v>25</v>
      </c>
      <c r="I699">
        <v>1591</v>
      </c>
      <c r="J699">
        <v>0</v>
      </c>
      <c r="K699">
        <v>3.4233000000000002</v>
      </c>
      <c r="L699">
        <v>13</v>
      </c>
      <c r="M699">
        <v>119.7</v>
      </c>
      <c r="N699">
        <v>20.650000000000002</v>
      </c>
      <c r="O699">
        <v>1707</v>
      </c>
      <c r="P699">
        <v>1284</v>
      </c>
      <c r="Q699" s="5" t="e">
        <f>IF(AND(#REF!&gt;=table!$C$6,#REF!&lt;= table!$D$6),-1,IF(AND(#REF!&gt;=table!$E$6,#REF!&lt;=table!$F$6),1,0))</f>
        <v>#REF!</v>
      </c>
      <c r="R699" s="5" t="e">
        <f>IF(AND(#REF!&gt;=table!$C$7,#REF!&lt;= table!$D$7),-1,IF(AND(#REF!&gt;=table!$E$7,#REF!&lt;=table!$F$7),1,0))</f>
        <v>#REF!</v>
      </c>
      <c r="S699" s="5" t="e">
        <f>IF(AND(#REF!&gt;=table!$C$8,#REF!&lt;= table!$D$8),-1,IF(AND(#REF!&gt;=table!$E$8,#REF!&lt;=table!$F$8),1,0))</f>
        <v>#REF!</v>
      </c>
      <c r="T699" s="5"/>
      <c r="U699" s="5" t="e">
        <f>IF(AND(#REF!&gt;=table!$C$10,#REF!&lt;= table!$D$10),-1,IF(AND(#REF!&gt;=table!$E$10,#REF!&lt;=table!$F$10),1,0))</f>
        <v>#REF!</v>
      </c>
      <c r="V699" s="5" t="e">
        <f>IF(AND(#REF!&gt;=table!$C$11,#REF!&lt;= table!$D$11),-1,IF(AND(#REF!&gt;=table!$E$11,#REF!&lt;=table!$F$11),1,0))</f>
        <v>#REF!</v>
      </c>
      <c r="W699" s="5" t="e">
        <f>CONCATENATE(dados[[#This Row],[fator1]],dados[[#This Row],[fator5]],dados[[#This Row],[fator6]])</f>
        <v>#REF!</v>
      </c>
    </row>
    <row r="700" spans="1:23">
      <c r="A700" t="s">
        <v>17</v>
      </c>
      <c r="B700">
        <v>482741</v>
      </c>
      <c r="C700">
        <v>8</v>
      </c>
      <c r="D700">
        <v>30</v>
      </c>
      <c r="E700">
        <v>153</v>
      </c>
      <c r="F700">
        <v>2</v>
      </c>
      <c r="G700">
        <v>20</v>
      </c>
      <c r="H700">
        <v>18</v>
      </c>
      <c r="I700">
        <v>287</v>
      </c>
      <c r="J700">
        <v>0</v>
      </c>
      <c r="K700">
        <v>2.4450000000000003</v>
      </c>
      <c r="L700">
        <v>6.2</v>
      </c>
      <c r="M700">
        <v>120.60000000000001</v>
      </c>
      <c r="N700">
        <v>12.4</v>
      </c>
      <c r="O700">
        <v>1679</v>
      </c>
      <c r="P700">
        <v>0</v>
      </c>
      <c r="Q700" s="5" t="e">
        <f>IF(AND(#REF!&gt;=table!$C$6,#REF!&lt;= table!$D$6),-1,IF(AND(#REF!&gt;=table!$E$6,#REF!&lt;=table!$F$6),1,0))</f>
        <v>#REF!</v>
      </c>
      <c r="R700" s="5" t="e">
        <f>IF(AND(#REF!&gt;=table!$C$7,#REF!&lt;= table!$D$7),-1,IF(AND(#REF!&gt;=table!$E$7,#REF!&lt;=table!$F$7),1,0))</f>
        <v>#REF!</v>
      </c>
      <c r="S700" s="5" t="e">
        <f>IF(AND(#REF!&gt;=table!$C$8,#REF!&lt;= table!$D$8),-1,IF(AND(#REF!&gt;=table!$E$8,#REF!&lt;=table!$F$8),1,0))</f>
        <v>#REF!</v>
      </c>
      <c r="T700" s="5"/>
      <c r="U700" s="5" t="e">
        <f>IF(AND(#REF!&gt;=table!$C$10,#REF!&lt;= table!$D$10),-1,IF(AND(#REF!&gt;=table!$E$10,#REF!&lt;=table!$F$10),1,0))</f>
        <v>#REF!</v>
      </c>
      <c r="V700" s="5" t="e">
        <f>IF(AND(#REF!&gt;=table!$C$11,#REF!&lt;= table!$D$11),-1,IF(AND(#REF!&gt;=table!$E$11,#REF!&lt;=table!$F$11),1,0))</f>
        <v>#REF!</v>
      </c>
      <c r="W700" s="5" t="e">
        <f>CONCATENATE(dados[[#This Row],[fator1]],dados[[#This Row],[fator5]],dados[[#This Row],[fator6]])</f>
        <v>#REF!</v>
      </c>
    </row>
    <row r="701" spans="1:23">
      <c r="A701" t="s">
        <v>16</v>
      </c>
      <c r="B701">
        <v>482745</v>
      </c>
      <c r="C701">
        <v>6</v>
      </c>
      <c r="D701">
        <v>40</v>
      </c>
      <c r="E701">
        <v>66</v>
      </c>
      <c r="F701">
        <v>10</v>
      </c>
      <c r="G701">
        <v>0</v>
      </c>
      <c r="H701">
        <v>25</v>
      </c>
      <c r="I701">
        <v>1456</v>
      </c>
      <c r="J701">
        <v>0</v>
      </c>
      <c r="K701">
        <v>5.7850000000000001</v>
      </c>
      <c r="L701">
        <v>11.455</v>
      </c>
      <c r="M701">
        <v>52.975000000000001</v>
      </c>
      <c r="N701">
        <v>15.035</v>
      </c>
      <c r="O701">
        <v>1673</v>
      </c>
      <c r="P701">
        <v>0</v>
      </c>
      <c r="Q701" s="5" t="e">
        <f>IF(AND(#REF!&gt;=table!$C$6,#REF!&lt;= table!$D$6),-1,IF(AND(#REF!&gt;=table!$E$6,#REF!&lt;=table!$F$6),1,0))</f>
        <v>#REF!</v>
      </c>
      <c r="R701" s="5" t="e">
        <f>IF(AND(#REF!&gt;=table!$C$7,#REF!&lt;= table!$D$7),-1,IF(AND(#REF!&gt;=table!$E$7,#REF!&lt;=table!$F$7),1,0))</f>
        <v>#REF!</v>
      </c>
      <c r="S701" s="5" t="e">
        <f>IF(AND(#REF!&gt;=table!$C$8,#REF!&lt;= table!$D$8),-1,IF(AND(#REF!&gt;=table!$E$8,#REF!&lt;=table!$F$8),1,0))</f>
        <v>#REF!</v>
      </c>
      <c r="T701" s="5"/>
      <c r="U701" s="5" t="e">
        <f>IF(AND(#REF!&gt;=table!$C$10,#REF!&lt;= table!$D$10),-1,IF(AND(#REF!&gt;=table!$E$10,#REF!&lt;=table!$F$10),1,0))</f>
        <v>#REF!</v>
      </c>
      <c r="V701" s="5" t="e">
        <f>IF(AND(#REF!&gt;=table!$C$11,#REF!&lt;= table!$D$11),-1,IF(AND(#REF!&gt;=table!$E$11,#REF!&lt;=table!$F$11),1,0))</f>
        <v>#REF!</v>
      </c>
      <c r="W701" s="5" t="e">
        <f>CONCATENATE(dados[[#This Row],[fator1]],dados[[#This Row],[fator5]],dados[[#This Row],[fator6]])</f>
        <v>#REF!</v>
      </c>
    </row>
    <row r="702" spans="1:23">
      <c r="A702" t="s">
        <v>17</v>
      </c>
      <c r="B702">
        <v>482747</v>
      </c>
      <c r="C702">
        <v>18</v>
      </c>
      <c r="D702">
        <v>23</v>
      </c>
      <c r="E702">
        <v>145</v>
      </c>
      <c r="F702">
        <v>9</v>
      </c>
      <c r="G702">
        <v>30</v>
      </c>
      <c r="H702">
        <v>25</v>
      </c>
      <c r="I702">
        <v>1446</v>
      </c>
      <c r="J702">
        <v>0</v>
      </c>
      <c r="K702">
        <v>3.4550000000000001</v>
      </c>
      <c r="L702">
        <v>8</v>
      </c>
      <c r="M702">
        <v>139.95000000000002</v>
      </c>
      <c r="N702">
        <v>15.200000000000001</v>
      </c>
      <c r="O702">
        <v>1664</v>
      </c>
      <c r="P702">
        <v>1064</v>
      </c>
      <c r="Q702" s="5" t="e">
        <f>IF(AND(#REF!&gt;=table!$C$6,#REF!&lt;= table!$D$6),-1,IF(AND(#REF!&gt;=table!$E$6,#REF!&lt;=table!$F$6),1,0))</f>
        <v>#REF!</v>
      </c>
      <c r="R702" s="5" t="e">
        <f>IF(AND(#REF!&gt;=table!$C$7,#REF!&lt;= table!$D$7),-1,IF(AND(#REF!&gt;=table!$E$7,#REF!&lt;=table!$F$7),1,0))</f>
        <v>#REF!</v>
      </c>
      <c r="S702" s="5" t="e">
        <f>IF(AND(#REF!&gt;=table!$C$8,#REF!&lt;= table!$D$8),-1,IF(AND(#REF!&gt;=table!$E$8,#REF!&lt;=table!$F$8),1,0))</f>
        <v>#REF!</v>
      </c>
      <c r="T702" s="5"/>
      <c r="U702" s="5" t="e">
        <f>IF(AND(#REF!&gt;=table!$C$10,#REF!&lt;= table!$D$10),-1,IF(AND(#REF!&gt;=table!$E$10,#REF!&lt;=table!$F$10),1,0))</f>
        <v>#REF!</v>
      </c>
      <c r="V702" s="5" t="e">
        <f>IF(AND(#REF!&gt;=table!$C$11,#REF!&lt;= table!$D$11),-1,IF(AND(#REF!&gt;=table!$E$11,#REF!&lt;=table!$F$11),1,0))</f>
        <v>#REF!</v>
      </c>
      <c r="W702" s="5" t="e">
        <f>CONCATENATE(dados[[#This Row],[fator1]],dados[[#This Row],[fator5]],dados[[#This Row],[fator6]])</f>
        <v>#REF!</v>
      </c>
    </row>
    <row r="703" spans="1:23">
      <c r="A703" t="s">
        <v>16</v>
      </c>
      <c r="B703">
        <v>482753</v>
      </c>
      <c r="C703">
        <v>8</v>
      </c>
      <c r="D703">
        <v>27</v>
      </c>
      <c r="E703">
        <v>61</v>
      </c>
      <c r="F703">
        <v>8</v>
      </c>
      <c r="G703">
        <v>0</v>
      </c>
      <c r="H703">
        <v>25</v>
      </c>
      <c r="I703">
        <v>5</v>
      </c>
      <c r="J703">
        <v>0</v>
      </c>
      <c r="K703">
        <v>4.8500000000000005</v>
      </c>
      <c r="L703">
        <v>8.23</v>
      </c>
      <c r="M703">
        <v>62.63</v>
      </c>
      <c r="N703">
        <v>9.0350000000000001</v>
      </c>
      <c r="O703">
        <v>1651</v>
      </c>
      <c r="P703">
        <v>0</v>
      </c>
      <c r="Q703" s="5" t="e">
        <f>IF(AND(#REF!&gt;=table!$C$6,#REF!&lt;= table!$D$6),-1,IF(AND(#REF!&gt;=table!$E$6,#REF!&lt;=table!$F$6),1,0))</f>
        <v>#REF!</v>
      </c>
      <c r="R703" s="5" t="e">
        <f>IF(AND(#REF!&gt;=table!$C$7,#REF!&lt;= table!$D$7),-1,IF(AND(#REF!&gt;=table!$E$7,#REF!&lt;=table!$F$7),1,0))</f>
        <v>#REF!</v>
      </c>
      <c r="S703" s="5" t="e">
        <f>IF(AND(#REF!&gt;=table!$C$8,#REF!&lt;= table!$D$8),-1,IF(AND(#REF!&gt;=table!$E$8,#REF!&lt;=table!$F$8),1,0))</f>
        <v>#REF!</v>
      </c>
      <c r="T703" s="5"/>
      <c r="U703" s="5" t="e">
        <f>IF(AND(#REF!&gt;=table!$C$10,#REF!&lt;= table!$D$10),-1,IF(AND(#REF!&gt;=table!$E$10,#REF!&lt;=table!$F$10),1,0))</f>
        <v>#REF!</v>
      </c>
      <c r="V703" s="5" t="e">
        <f>IF(AND(#REF!&gt;=table!$C$11,#REF!&lt;= table!$D$11),-1,IF(AND(#REF!&gt;=table!$E$11,#REF!&lt;=table!$F$11),1,0))</f>
        <v>#REF!</v>
      </c>
      <c r="W703" s="5" t="e">
        <f>CONCATENATE(dados[[#This Row],[fator1]],dados[[#This Row],[fator5]],dados[[#This Row],[fator6]])</f>
        <v>#REF!</v>
      </c>
    </row>
    <row r="704" spans="1:23">
      <c r="A704" t="s">
        <v>16</v>
      </c>
      <c r="B704">
        <v>482757</v>
      </c>
      <c r="C704">
        <v>6</v>
      </c>
      <c r="D704">
        <v>25</v>
      </c>
      <c r="E704">
        <v>120</v>
      </c>
      <c r="F704">
        <v>4</v>
      </c>
      <c r="G704">
        <v>0</v>
      </c>
      <c r="H704">
        <v>55</v>
      </c>
      <c r="I704">
        <v>53</v>
      </c>
      <c r="J704">
        <v>0</v>
      </c>
      <c r="K704">
        <v>2.7450000000000001</v>
      </c>
      <c r="L704">
        <v>8.0500000000000007</v>
      </c>
      <c r="M704">
        <v>108</v>
      </c>
      <c r="N704">
        <v>36.65</v>
      </c>
      <c r="O704">
        <v>1674</v>
      </c>
      <c r="P704">
        <v>0</v>
      </c>
      <c r="Q704" s="5" t="e">
        <f>IF(AND(#REF!&gt;=table!$C$6,#REF!&lt;= table!$D$6),-1,IF(AND(#REF!&gt;=table!$E$6,#REF!&lt;=table!$F$6),1,0))</f>
        <v>#REF!</v>
      </c>
      <c r="R704" s="5" t="e">
        <f>IF(AND(#REF!&gt;=table!$C$7,#REF!&lt;= table!$D$7),-1,IF(AND(#REF!&gt;=table!$E$7,#REF!&lt;=table!$F$7),1,0))</f>
        <v>#REF!</v>
      </c>
      <c r="S704" s="5" t="e">
        <f>IF(AND(#REF!&gt;=table!$C$8,#REF!&lt;= table!$D$8),-1,IF(AND(#REF!&gt;=table!$E$8,#REF!&lt;=table!$F$8),1,0))</f>
        <v>#REF!</v>
      </c>
      <c r="T704" s="5"/>
      <c r="U704" s="5" t="e">
        <f>IF(AND(#REF!&gt;=table!$C$10,#REF!&lt;= table!$D$10),-1,IF(AND(#REF!&gt;=table!$E$10,#REF!&lt;=table!$F$10),1,0))</f>
        <v>#REF!</v>
      </c>
      <c r="V704" s="5" t="e">
        <f>IF(AND(#REF!&gt;=table!$C$11,#REF!&lt;= table!$D$11),-1,IF(AND(#REF!&gt;=table!$E$11,#REF!&lt;=table!$F$11),1,0))</f>
        <v>#REF!</v>
      </c>
      <c r="W704" s="5" t="e">
        <f>CONCATENATE(dados[[#This Row],[fator1]],dados[[#This Row],[fator5]],dados[[#This Row],[fator6]])</f>
        <v>#REF!</v>
      </c>
    </row>
    <row r="705" spans="1:23">
      <c r="A705" t="s">
        <v>16</v>
      </c>
      <c r="B705">
        <v>482759</v>
      </c>
      <c r="C705">
        <v>10</v>
      </c>
      <c r="D705">
        <v>38</v>
      </c>
      <c r="E705">
        <v>150</v>
      </c>
      <c r="F705">
        <v>4</v>
      </c>
      <c r="G705">
        <v>0</v>
      </c>
      <c r="H705">
        <v>25</v>
      </c>
      <c r="I705">
        <v>1488</v>
      </c>
      <c r="J705">
        <v>580</v>
      </c>
      <c r="K705">
        <v>4.9850000000000003</v>
      </c>
      <c r="L705">
        <v>11.005000000000001</v>
      </c>
      <c r="M705">
        <v>124.25</v>
      </c>
      <c r="N705">
        <v>22.05</v>
      </c>
      <c r="O705">
        <v>1693</v>
      </c>
      <c r="P705">
        <v>918</v>
      </c>
      <c r="Q705" s="5" t="e">
        <f>IF(AND(#REF!&gt;=table!$C$6,#REF!&lt;= table!$D$6),-1,IF(AND(#REF!&gt;=table!$E$6,#REF!&lt;=table!$F$6),1,0))</f>
        <v>#REF!</v>
      </c>
      <c r="R705" s="5" t="e">
        <f>IF(AND(#REF!&gt;=table!$C$7,#REF!&lt;= table!$D$7),-1,IF(AND(#REF!&gt;=table!$E$7,#REF!&lt;=table!$F$7),1,0))</f>
        <v>#REF!</v>
      </c>
      <c r="S705" s="5" t="e">
        <f>IF(AND(#REF!&gt;=table!$C$8,#REF!&lt;= table!$D$8),-1,IF(AND(#REF!&gt;=table!$E$8,#REF!&lt;=table!$F$8),1,0))</f>
        <v>#REF!</v>
      </c>
      <c r="T705" s="5"/>
      <c r="U705" s="5" t="e">
        <f>IF(AND(#REF!&gt;=table!$C$10,#REF!&lt;= table!$D$10),-1,IF(AND(#REF!&gt;=table!$E$10,#REF!&lt;=table!$F$10),1,0))</f>
        <v>#REF!</v>
      </c>
      <c r="V705" s="5" t="e">
        <f>IF(AND(#REF!&gt;=table!$C$11,#REF!&lt;= table!$D$11),-1,IF(AND(#REF!&gt;=table!$E$11,#REF!&lt;=table!$F$11),1,0))</f>
        <v>#REF!</v>
      </c>
      <c r="W705" s="5" t="e">
        <f>CONCATENATE(dados[[#This Row],[fator1]],dados[[#This Row],[fator5]],dados[[#This Row],[fator6]])</f>
        <v>#REF!</v>
      </c>
    </row>
    <row r="706" spans="1:23">
      <c r="A706" t="s">
        <v>17</v>
      </c>
      <c r="B706">
        <v>482760</v>
      </c>
      <c r="C706">
        <v>7</v>
      </c>
      <c r="D706">
        <v>30</v>
      </c>
      <c r="E706">
        <v>175</v>
      </c>
      <c r="F706">
        <v>3</v>
      </c>
      <c r="G706">
        <v>25</v>
      </c>
      <c r="H706">
        <v>18</v>
      </c>
      <c r="I706">
        <v>999</v>
      </c>
      <c r="J706">
        <v>590</v>
      </c>
      <c r="K706">
        <v>2.44</v>
      </c>
      <c r="L706">
        <v>5.1000000000000005</v>
      </c>
      <c r="M706">
        <v>153.65</v>
      </c>
      <c r="N706">
        <v>9.4</v>
      </c>
      <c r="O706">
        <v>1673</v>
      </c>
      <c r="P706">
        <v>0</v>
      </c>
      <c r="Q706" s="5" t="e">
        <f>IF(AND(#REF!&gt;=table!$C$6,#REF!&lt;= table!$D$6),-1,IF(AND(#REF!&gt;=table!$E$6,#REF!&lt;=table!$F$6),1,0))</f>
        <v>#REF!</v>
      </c>
      <c r="R706" s="5" t="e">
        <f>IF(AND(#REF!&gt;=table!$C$7,#REF!&lt;= table!$D$7),-1,IF(AND(#REF!&gt;=table!$E$7,#REF!&lt;=table!$F$7),1,0))</f>
        <v>#REF!</v>
      </c>
      <c r="S706" s="5" t="e">
        <f>IF(AND(#REF!&gt;=table!$C$8,#REF!&lt;= table!$D$8),-1,IF(AND(#REF!&gt;=table!$E$8,#REF!&lt;=table!$F$8),1,0))</f>
        <v>#REF!</v>
      </c>
      <c r="T706" s="5"/>
      <c r="U706" s="5" t="e">
        <f>IF(AND(#REF!&gt;=table!$C$10,#REF!&lt;= table!$D$10),-1,IF(AND(#REF!&gt;=table!$E$10,#REF!&lt;=table!$F$10),1,0))</f>
        <v>#REF!</v>
      </c>
      <c r="V706" s="5" t="e">
        <f>IF(AND(#REF!&gt;=table!$C$11,#REF!&lt;= table!$D$11),-1,IF(AND(#REF!&gt;=table!$E$11,#REF!&lt;=table!$F$11),1,0))</f>
        <v>#REF!</v>
      </c>
      <c r="W706" s="5" t="e">
        <f>CONCATENATE(dados[[#This Row],[fator1]],dados[[#This Row],[fator5]],dados[[#This Row],[fator6]])</f>
        <v>#REF!</v>
      </c>
    </row>
    <row r="707" spans="1:23">
      <c r="A707" t="s">
        <v>17</v>
      </c>
      <c r="B707">
        <v>482770</v>
      </c>
      <c r="C707">
        <v>6</v>
      </c>
      <c r="D707">
        <v>30</v>
      </c>
      <c r="E707">
        <v>110</v>
      </c>
      <c r="F707">
        <v>10</v>
      </c>
      <c r="G707">
        <v>21</v>
      </c>
      <c r="H707">
        <v>25</v>
      </c>
      <c r="I707">
        <v>713</v>
      </c>
      <c r="J707">
        <v>0</v>
      </c>
      <c r="K707">
        <v>2.8450000000000002</v>
      </c>
      <c r="L707">
        <v>4.75</v>
      </c>
      <c r="M707">
        <v>111.5</v>
      </c>
      <c r="N707">
        <v>15.950000000000001</v>
      </c>
      <c r="O707">
        <v>1678</v>
      </c>
      <c r="P707">
        <v>0</v>
      </c>
      <c r="Q707" s="5" t="e">
        <f>IF(AND(#REF!&gt;=table!$C$6,#REF!&lt;= table!$D$6),-1,IF(AND(#REF!&gt;=table!$E$6,#REF!&lt;=table!$F$6),1,0))</f>
        <v>#REF!</v>
      </c>
      <c r="R707" s="5" t="e">
        <f>IF(AND(#REF!&gt;=table!$C$7,#REF!&lt;= table!$D$7),-1,IF(AND(#REF!&gt;=table!$E$7,#REF!&lt;=table!$F$7),1,0))</f>
        <v>#REF!</v>
      </c>
      <c r="S707" s="5" t="e">
        <f>IF(AND(#REF!&gt;=table!$C$8,#REF!&lt;= table!$D$8),-1,IF(AND(#REF!&gt;=table!$E$8,#REF!&lt;=table!$F$8),1,0))</f>
        <v>#REF!</v>
      </c>
      <c r="T707" s="5"/>
      <c r="U707" s="5" t="e">
        <f>IF(AND(#REF!&gt;=table!$C$10,#REF!&lt;= table!$D$10),-1,IF(AND(#REF!&gt;=table!$E$10,#REF!&lt;=table!$F$10),1,0))</f>
        <v>#REF!</v>
      </c>
      <c r="V707" s="5" t="e">
        <f>IF(AND(#REF!&gt;=table!$C$11,#REF!&lt;= table!$D$11),-1,IF(AND(#REF!&gt;=table!$E$11,#REF!&lt;=table!$F$11),1,0))</f>
        <v>#REF!</v>
      </c>
      <c r="W707" s="5" t="e">
        <f>CONCATENATE(dados[[#This Row],[fator1]],dados[[#This Row],[fator5]],dados[[#This Row],[fator6]])</f>
        <v>#REF!</v>
      </c>
    </row>
    <row r="708" spans="1:23">
      <c r="A708" t="s">
        <v>16</v>
      </c>
      <c r="B708">
        <v>482776</v>
      </c>
      <c r="C708">
        <v>0.1</v>
      </c>
      <c r="D708">
        <v>40</v>
      </c>
      <c r="E708">
        <v>10</v>
      </c>
      <c r="F708">
        <v>8</v>
      </c>
      <c r="G708">
        <v>0</v>
      </c>
      <c r="H708">
        <v>10</v>
      </c>
      <c r="I708">
        <v>2729</v>
      </c>
      <c r="J708">
        <v>0</v>
      </c>
      <c r="K708">
        <v>3.33</v>
      </c>
      <c r="L708">
        <v>8.7000000000000011</v>
      </c>
      <c r="M708">
        <v>7.5</v>
      </c>
      <c r="N708">
        <v>10.3</v>
      </c>
      <c r="O708">
        <v>1670</v>
      </c>
      <c r="P708">
        <v>1104</v>
      </c>
      <c r="Q708" s="5" t="e">
        <f>IF(AND(#REF!&gt;=table!$C$6,#REF!&lt;= table!$D$6),-1,IF(AND(#REF!&gt;=table!$E$6,#REF!&lt;=table!$F$6),1,0))</f>
        <v>#REF!</v>
      </c>
      <c r="R708" s="5" t="e">
        <f>IF(AND(#REF!&gt;=table!$C$7,#REF!&lt;= table!$D$7),-1,IF(AND(#REF!&gt;=table!$E$7,#REF!&lt;=table!$F$7),1,0))</f>
        <v>#REF!</v>
      </c>
      <c r="S708" s="5" t="e">
        <f>IF(AND(#REF!&gt;=table!$C$8,#REF!&lt;= table!$D$8),-1,IF(AND(#REF!&gt;=table!$E$8,#REF!&lt;=table!$F$8),1,0))</f>
        <v>#REF!</v>
      </c>
      <c r="T708" s="5"/>
      <c r="U708" s="5" t="e">
        <f>IF(AND(#REF!&gt;=table!$C$10,#REF!&lt;= table!$D$10),-1,IF(AND(#REF!&gt;=table!$E$10,#REF!&lt;=table!$F$10),1,0))</f>
        <v>#REF!</v>
      </c>
      <c r="V708" s="5" t="e">
        <f>IF(AND(#REF!&gt;=table!$C$11,#REF!&lt;= table!$D$11),-1,IF(AND(#REF!&gt;=table!$E$11,#REF!&lt;=table!$F$11),1,0))</f>
        <v>#REF!</v>
      </c>
      <c r="W708" s="5" t="e">
        <f>CONCATENATE(dados[[#This Row],[fator1]],dados[[#This Row],[fator5]],dados[[#This Row],[fator6]])</f>
        <v>#REF!</v>
      </c>
    </row>
    <row r="709" spans="1:23">
      <c r="A709" t="s">
        <v>16</v>
      </c>
      <c r="B709">
        <v>482777</v>
      </c>
      <c r="C709">
        <v>0.15</v>
      </c>
      <c r="D709">
        <v>40</v>
      </c>
      <c r="E709">
        <v>10</v>
      </c>
      <c r="F709">
        <v>15</v>
      </c>
      <c r="G709">
        <v>0</v>
      </c>
      <c r="H709">
        <v>15</v>
      </c>
      <c r="I709">
        <v>785</v>
      </c>
      <c r="J709">
        <v>0</v>
      </c>
      <c r="K709">
        <v>3.0649999999999999</v>
      </c>
      <c r="L709">
        <v>10</v>
      </c>
      <c r="M709">
        <v>7.5</v>
      </c>
      <c r="N709">
        <v>14.4</v>
      </c>
      <c r="O709">
        <v>1736</v>
      </c>
      <c r="P709">
        <v>0</v>
      </c>
      <c r="Q709" s="5" t="e">
        <f>IF(AND(#REF!&gt;=table!$C$6,#REF!&lt;= table!$D$6),-1,IF(AND(#REF!&gt;=table!$E$6,#REF!&lt;=table!$F$6),1,0))</f>
        <v>#REF!</v>
      </c>
      <c r="R709" s="5" t="e">
        <f>IF(AND(#REF!&gt;=table!$C$7,#REF!&lt;= table!$D$7),-1,IF(AND(#REF!&gt;=table!$E$7,#REF!&lt;=table!$F$7),1,0))</f>
        <v>#REF!</v>
      </c>
      <c r="S709" s="5" t="e">
        <f>IF(AND(#REF!&gt;=table!$C$8,#REF!&lt;= table!$D$8),-1,IF(AND(#REF!&gt;=table!$E$8,#REF!&lt;=table!$F$8),1,0))</f>
        <v>#REF!</v>
      </c>
      <c r="T709" s="5"/>
      <c r="U709" s="5" t="e">
        <f>IF(AND(#REF!&gt;=table!$C$10,#REF!&lt;= table!$D$10),-1,IF(AND(#REF!&gt;=table!$E$10,#REF!&lt;=table!$F$10),1,0))</f>
        <v>#REF!</v>
      </c>
      <c r="V709" s="5" t="e">
        <f>IF(AND(#REF!&gt;=table!$C$11,#REF!&lt;= table!$D$11),-1,IF(AND(#REF!&gt;=table!$E$11,#REF!&lt;=table!$F$11),1,0))</f>
        <v>#REF!</v>
      </c>
      <c r="W709" s="5" t="e">
        <f>CONCATENATE(dados[[#This Row],[fator1]],dados[[#This Row],[fator5]],dados[[#This Row],[fator6]])</f>
        <v>#REF!</v>
      </c>
    </row>
    <row r="710" spans="1:23">
      <c r="A710" t="s">
        <v>17</v>
      </c>
      <c r="B710">
        <v>482779</v>
      </c>
      <c r="C710">
        <v>7</v>
      </c>
      <c r="D710">
        <v>30</v>
      </c>
      <c r="E710">
        <v>175</v>
      </c>
      <c r="F710">
        <v>3</v>
      </c>
      <c r="G710">
        <v>25</v>
      </c>
      <c r="H710">
        <v>18</v>
      </c>
      <c r="I710">
        <v>1209</v>
      </c>
      <c r="J710">
        <v>0</v>
      </c>
      <c r="K710">
        <v>3.38</v>
      </c>
      <c r="L710">
        <v>5.8</v>
      </c>
      <c r="M710">
        <v>153.45000000000002</v>
      </c>
      <c r="N710">
        <v>8.5</v>
      </c>
      <c r="O710">
        <v>1660</v>
      </c>
      <c r="P710">
        <v>1025</v>
      </c>
      <c r="Q710" s="5" t="e">
        <f>IF(AND(#REF!&gt;=table!$C$6,#REF!&lt;= table!$D$6),-1,IF(AND(#REF!&gt;=table!$E$6,#REF!&lt;=table!$F$6),1,0))</f>
        <v>#REF!</v>
      </c>
      <c r="R710" s="5" t="e">
        <f>IF(AND(#REF!&gt;=table!$C$7,#REF!&lt;= table!$D$7),-1,IF(AND(#REF!&gt;=table!$E$7,#REF!&lt;=table!$F$7),1,0))</f>
        <v>#REF!</v>
      </c>
      <c r="S710" s="5" t="e">
        <f>IF(AND(#REF!&gt;=table!$C$8,#REF!&lt;= table!$D$8),-1,IF(AND(#REF!&gt;=table!$E$8,#REF!&lt;=table!$F$8),1,0))</f>
        <v>#REF!</v>
      </c>
      <c r="T710" s="5"/>
      <c r="U710" s="5" t="e">
        <f>IF(AND(#REF!&gt;=table!$C$10,#REF!&lt;= table!$D$10),-1,IF(AND(#REF!&gt;=table!$E$10,#REF!&lt;=table!$F$10),1,0))</f>
        <v>#REF!</v>
      </c>
      <c r="V710" s="5" t="e">
        <f>IF(AND(#REF!&gt;=table!$C$11,#REF!&lt;= table!$D$11),-1,IF(AND(#REF!&gt;=table!$E$11,#REF!&lt;=table!$F$11),1,0))</f>
        <v>#REF!</v>
      </c>
      <c r="W710" s="5" t="e">
        <f>CONCATENATE(dados[[#This Row],[fator1]],dados[[#This Row],[fator5]],dados[[#This Row],[fator6]])</f>
        <v>#REF!</v>
      </c>
    </row>
    <row r="711" spans="1:23">
      <c r="A711" t="s">
        <v>17</v>
      </c>
      <c r="B711">
        <v>482782</v>
      </c>
      <c r="C711">
        <v>7</v>
      </c>
      <c r="D711">
        <v>30</v>
      </c>
      <c r="E711">
        <v>175</v>
      </c>
      <c r="F711">
        <v>3</v>
      </c>
      <c r="G711">
        <v>25</v>
      </c>
      <c r="H711">
        <v>18</v>
      </c>
      <c r="I711">
        <v>1548</v>
      </c>
      <c r="J711">
        <v>0</v>
      </c>
      <c r="K711">
        <v>4.3250000000000002</v>
      </c>
      <c r="L711">
        <v>3.7800000000000002</v>
      </c>
      <c r="M711">
        <v>152.45000000000002</v>
      </c>
      <c r="N711">
        <v>9.2000000000000011</v>
      </c>
      <c r="O711">
        <v>1674</v>
      </c>
      <c r="P711">
        <v>0</v>
      </c>
      <c r="Q711" s="5" t="e">
        <f>IF(AND(#REF!&gt;=table!$C$6,#REF!&lt;= table!$D$6),-1,IF(AND(#REF!&gt;=table!$E$6,#REF!&lt;=table!$F$6),1,0))</f>
        <v>#REF!</v>
      </c>
      <c r="R711" s="5" t="e">
        <f>IF(AND(#REF!&gt;=table!$C$7,#REF!&lt;= table!$D$7),-1,IF(AND(#REF!&gt;=table!$E$7,#REF!&lt;=table!$F$7),1,0))</f>
        <v>#REF!</v>
      </c>
      <c r="S711" s="5" t="e">
        <f>IF(AND(#REF!&gt;=table!$C$8,#REF!&lt;= table!$D$8),-1,IF(AND(#REF!&gt;=table!$E$8,#REF!&lt;=table!$F$8),1,0))</f>
        <v>#REF!</v>
      </c>
      <c r="T711" s="5"/>
      <c r="U711" s="5" t="e">
        <f>IF(AND(#REF!&gt;=table!$C$10,#REF!&lt;= table!$D$10),-1,IF(AND(#REF!&gt;=table!$E$10,#REF!&lt;=table!$F$10),1,0))</f>
        <v>#REF!</v>
      </c>
      <c r="V711" s="5" t="e">
        <f>IF(AND(#REF!&gt;=table!$C$11,#REF!&lt;= table!$D$11),-1,IF(AND(#REF!&gt;=table!$E$11,#REF!&lt;=table!$F$11),1,0))</f>
        <v>#REF!</v>
      </c>
      <c r="W711" s="5" t="e">
        <f>CONCATENATE(dados[[#This Row],[fator1]],dados[[#This Row],[fator5]],dados[[#This Row],[fator6]])</f>
        <v>#REF!</v>
      </c>
    </row>
    <row r="712" spans="1:23">
      <c r="A712" t="s">
        <v>17</v>
      </c>
      <c r="B712">
        <v>482790</v>
      </c>
      <c r="C712">
        <v>21</v>
      </c>
      <c r="D712">
        <v>30</v>
      </c>
      <c r="E712">
        <v>96</v>
      </c>
      <c r="F712">
        <v>9</v>
      </c>
      <c r="G712">
        <v>20</v>
      </c>
      <c r="H712">
        <v>25</v>
      </c>
      <c r="I712">
        <v>41</v>
      </c>
      <c r="J712">
        <v>0</v>
      </c>
      <c r="K712">
        <v>2.6665000000000001</v>
      </c>
      <c r="L712">
        <v>5.59</v>
      </c>
      <c r="M712">
        <v>88.97</v>
      </c>
      <c r="N712">
        <v>12.875</v>
      </c>
      <c r="O712">
        <v>1671</v>
      </c>
      <c r="P712">
        <v>0</v>
      </c>
      <c r="Q712" s="5" t="e">
        <f>IF(AND(#REF!&gt;=table!$C$6,#REF!&lt;= table!$D$6),-1,IF(AND(#REF!&gt;=table!$E$6,#REF!&lt;=table!$F$6),1,0))</f>
        <v>#REF!</v>
      </c>
      <c r="R712" s="5" t="e">
        <f>IF(AND(#REF!&gt;=table!$C$7,#REF!&lt;= table!$D$7),-1,IF(AND(#REF!&gt;=table!$E$7,#REF!&lt;=table!$F$7),1,0))</f>
        <v>#REF!</v>
      </c>
      <c r="S712" s="5" t="e">
        <f>IF(AND(#REF!&gt;=table!$C$8,#REF!&lt;= table!$D$8),-1,IF(AND(#REF!&gt;=table!$E$8,#REF!&lt;=table!$F$8),1,0))</f>
        <v>#REF!</v>
      </c>
      <c r="T712" s="5"/>
      <c r="U712" s="5" t="e">
        <f>IF(AND(#REF!&gt;=table!$C$10,#REF!&lt;= table!$D$10),-1,IF(AND(#REF!&gt;=table!$E$10,#REF!&lt;=table!$F$10),1,0))</f>
        <v>#REF!</v>
      </c>
      <c r="V712" s="5" t="e">
        <f>IF(AND(#REF!&gt;=table!$C$11,#REF!&lt;= table!$D$11),-1,IF(AND(#REF!&gt;=table!$E$11,#REF!&lt;=table!$F$11),1,0))</f>
        <v>#REF!</v>
      </c>
      <c r="W712" s="5" t="e">
        <f>CONCATENATE(dados[[#This Row],[fator1]],dados[[#This Row],[fator5]],dados[[#This Row],[fator6]])</f>
        <v>#REF!</v>
      </c>
    </row>
    <row r="713" spans="1:23">
      <c r="A713" t="s">
        <v>16</v>
      </c>
      <c r="B713">
        <v>482799</v>
      </c>
      <c r="C713">
        <v>0.2</v>
      </c>
      <c r="D713">
        <v>65</v>
      </c>
      <c r="E713">
        <v>26</v>
      </c>
      <c r="F713">
        <v>15</v>
      </c>
      <c r="G713">
        <v>0</v>
      </c>
      <c r="H713">
        <v>30</v>
      </c>
      <c r="I713">
        <v>1216</v>
      </c>
      <c r="J713">
        <v>0</v>
      </c>
      <c r="K713">
        <v>2.6750000000000003</v>
      </c>
      <c r="L713">
        <v>4.9000000000000004</v>
      </c>
      <c r="M713">
        <v>5.15</v>
      </c>
      <c r="N713">
        <v>14.8</v>
      </c>
      <c r="O713">
        <v>1691</v>
      </c>
      <c r="P713">
        <v>1699</v>
      </c>
      <c r="Q713" s="5" t="e">
        <f>IF(AND(#REF!&gt;=table!$C$6,#REF!&lt;= table!$D$6),-1,IF(AND(#REF!&gt;=table!$E$6,#REF!&lt;=table!$F$6),1,0))</f>
        <v>#REF!</v>
      </c>
      <c r="R713" s="5" t="e">
        <f>IF(AND(#REF!&gt;=table!$C$7,#REF!&lt;= table!$D$7),-1,IF(AND(#REF!&gt;=table!$E$7,#REF!&lt;=table!$F$7),1,0))</f>
        <v>#REF!</v>
      </c>
      <c r="S713" s="5" t="e">
        <f>IF(AND(#REF!&gt;=table!$C$8,#REF!&lt;= table!$D$8),-1,IF(AND(#REF!&gt;=table!$E$8,#REF!&lt;=table!$F$8),1,0))</f>
        <v>#REF!</v>
      </c>
      <c r="T713" s="5"/>
      <c r="U713" s="5" t="e">
        <f>IF(AND(#REF!&gt;=table!$C$10,#REF!&lt;= table!$D$10),-1,IF(AND(#REF!&gt;=table!$E$10,#REF!&lt;=table!$F$10),1,0))</f>
        <v>#REF!</v>
      </c>
      <c r="V713" s="5" t="e">
        <f>IF(AND(#REF!&gt;=table!$C$11,#REF!&lt;= table!$D$11),-1,IF(AND(#REF!&gt;=table!$E$11,#REF!&lt;=table!$F$11),1,0))</f>
        <v>#REF!</v>
      </c>
      <c r="W713" s="5" t="e">
        <f>CONCATENATE(dados[[#This Row],[fator1]],dados[[#This Row],[fator5]],dados[[#This Row],[fator6]])</f>
        <v>#REF!</v>
      </c>
    </row>
    <row r="714" spans="1:23">
      <c r="A714" t="s">
        <v>16</v>
      </c>
      <c r="B714">
        <v>482800</v>
      </c>
      <c r="C714">
        <v>3</v>
      </c>
      <c r="D714">
        <v>30</v>
      </c>
      <c r="E714">
        <v>21</v>
      </c>
      <c r="F714">
        <v>15</v>
      </c>
      <c r="G714">
        <v>0</v>
      </c>
      <c r="H714">
        <v>25</v>
      </c>
      <c r="I714">
        <v>627</v>
      </c>
      <c r="J714">
        <v>0</v>
      </c>
      <c r="K714">
        <v>3.13</v>
      </c>
      <c r="L714">
        <v>4</v>
      </c>
      <c r="M714">
        <v>13.065000000000001</v>
      </c>
      <c r="N714">
        <v>11.290000000000001</v>
      </c>
      <c r="O714">
        <v>1651</v>
      </c>
      <c r="P714">
        <v>1208</v>
      </c>
      <c r="Q714" s="5" t="e">
        <f>IF(AND(#REF!&gt;=table!$C$6,#REF!&lt;= table!$D$6),-1,IF(AND(#REF!&gt;=table!$E$6,#REF!&lt;=table!$F$6),1,0))</f>
        <v>#REF!</v>
      </c>
      <c r="R714" s="5" t="e">
        <f>IF(AND(#REF!&gt;=table!$C$7,#REF!&lt;= table!$D$7),-1,IF(AND(#REF!&gt;=table!$E$7,#REF!&lt;=table!$F$7),1,0))</f>
        <v>#REF!</v>
      </c>
      <c r="S714" s="5" t="e">
        <f>IF(AND(#REF!&gt;=table!$C$8,#REF!&lt;= table!$D$8),-1,IF(AND(#REF!&gt;=table!$E$8,#REF!&lt;=table!$F$8),1,0))</f>
        <v>#REF!</v>
      </c>
      <c r="T714" s="5"/>
      <c r="U714" s="5" t="e">
        <f>IF(AND(#REF!&gt;=table!$C$10,#REF!&lt;= table!$D$10),-1,IF(AND(#REF!&gt;=table!$E$10,#REF!&lt;=table!$F$10),1,0))</f>
        <v>#REF!</v>
      </c>
      <c r="V714" s="5" t="e">
        <f>IF(AND(#REF!&gt;=table!$C$11,#REF!&lt;= table!$D$11),-1,IF(AND(#REF!&gt;=table!$E$11,#REF!&lt;=table!$F$11),1,0))</f>
        <v>#REF!</v>
      </c>
      <c r="W714" s="5" t="e">
        <f>CONCATENATE(dados[[#This Row],[fator1]],dados[[#This Row],[fator5]],dados[[#This Row],[fator6]])</f>
        <v>#REF!</v>
      </c>
    </row>
    <row r="715" spans="1:23">
      <c r="A715" t="s">
        <v>17</v>
      </c>
      <c r="B715">
        <v>482805</v>
      </c>
      <c r="C715">
        <v>16</v>
      </c>
      <c r="D715">
        <v>30</v>
      </c>
      <c r="E715">
        <v>106</v>
      </c>
      <c r="F715">
        <v>9</v>
      </c>
      <c r="G715">
        <v>20</v>
      </c>
      <c r="H715">
        <v>25</v>
      </c>
      <c r="I715">
        <v>1145</v>
      </c>
      <c r="J715">
        <v>0</v>
      </c>
      <c r="K715">
        <v>6.0200000000000005</v>
      </c>
      <c r="L715">
        <v>13.4</v>
      </c>
      <c r="M715">
        <v>90</v>
      </c>
      <c r="N715">
        <v>20.95</v>
      </c>
      <c r="O715">
        <v>1673</v>
      </c>
      <c r="P715">
        <v>0</v>
      </c>
      <c r="Q715" s="5" t="e">
        <f>IF(AND(#REF!&gt;=table!$C$6,#REF!&lt;= table!$D$6),-1,IF(AND(#REF!&gt;=table!$E$6,#REF!&lt;=table!$F$6),1,0))</f>
        <v>#REF!</v>
      </c>
      <c r="R715" s="5" t="e">
        <f>IF(AND(#REF!&gt;=table!$C$7,#REF!&lt;= table!$D$7),-1,IF(AND(#REF!&gt;=table!$E$7,#REF!&lt;=table!$F$7),1,0))</f>
        <v>#REF!</v>
      </c>
      <c r="S715" s="5" t="e">
        <f>IF(AND(#REF!&gt;=table!$C$8,#REF!&lt;= table!$D$8),-1,IF(AND(#REF!&gt;=table!$E$8,#REF!&lt;=table!$F$8),1,0))</f>
        <v>#REF!</v>
      </c>
      <c r="T715" s="5"/>
      <c r="U715" s="5" t="e">
        <f>IF(AND(#REF!&gt;=table!$C$10,#REF!&lt;= table!$D$10),-1,IF(AND(#REF!&gt;=table!$E$10,#REF!&lt;=table!$F$10),1,0))</f>
        <v>#REF!</v>
      </c>
      <c r="V715" s="5" t="e">
        <f>IF(AND(#REF!&gt;=table!$C$11,#REF!&lt;= table!$D$11),-1,IF(AND(#REF!&gt;=table!$E$11,#REF!&lt;=table!$F$11),1,0))</f>
        <v>#REF!</v>
      </c>
      <c r="W715" s="5" t="e">
        <f>CONCATENATE(dados[[#This Row],[fator1]],dados[[#This Row],[fator5]],dados[[#This Row],[fator6]])</f>
        <v>#REF!</v>
      </c>
    </row>
    <row r="716" spans="1:23">
      <c r="A716" t="s">
        <v>17</v>
      </c>
      <c r="B716">
        <v>482806</v>
      </c>
      <c r="C716">
        <v>16</v>
      </c>
      <c r="D716">
        <v>30</v>
      </c>
      <c r="E716">
        <v>106</v>
      </c>
      <c r="F716">
        <v>9</v>
      </c>
      <c r="G716">
        <v>20</v>
      </c>
      <c r="H716">
        <v>25</v>
      </c>
      <c r="I716">
        <v>1974</v>
      </c>
      <c r="J716">
        <v>0</v>
      </c>
      <c r="K716">
        <v>6.1000000000000005</v>
      </c>
      <c r="L716">
        <v>10.1</v>
      </c>
      <c r="M716">
        <v>74</v>
      </c>
      <c r="N716">
        <v>13.55</v>
      </c>
      <c r="O716">
        <v>1656</v>
      </c>
      <c r="P716">
        <v>0</v>
      </c>
      <c r="Q716" s="5" t="e">
        <f>IF(AND(#REF!&gt;=table!$C$6,#REF!&lt;= table!$D$6),-1,IF(AND(#REF!&gt;=table!$E$6,#REF!&lt;=table!$F$6),1,0))</f>
        <v>#REF!</v>
      </c>
      <c r="R716" s="5" t="e">
        <f>IF(AND(#REF!&gt;=table!$C$7,#REF!&lt;= table!$D$7),-1,IF(AND(#REF!&gt;=table!$E$7,#REF!&lt;=table!$F$7),1,0))</f>
        <v>#REF!</v>
      </c>
      <c r="S716" s="5" t="e">
        <f>IF(AND(#REF!&gt;=table!$C$8,#REF!&lt;= table!$D$8),-1,IF(AND(#REF!&gt;=table!$E$8,#REF!&lt;=table!$F$8),1,0))</f>
        <v>#REF!</v>
      </c>
      <c r="T716" s="5"/>
      <c r="U716" s="5" t="e">
        <f>IF(AND(#REF!&gt;=table!$C$10,#REF!&lt;= table!$D$10),-1,IF(AND(#REF!&gt;=table!$E$10,#REF!&lt;=table!$F$10),1,0))</f>
        <v>#REF!</v>
      </c>
      <c r="V716" s="5" t="e">
        <f>IF(AND(#REF!&gt;=table!$C$11,#REF!&lt;= table!$D$11),-1,IF(AND(#REF!&gt;=table!$E$11,#REF!&lt;=table!$F$11),1,0))</f>
        <v>#REF!</v>
      </c>
      <c r="W716" s="5" t="e">
        <f>CONCATENATE(dados[[#This Row],[fator1]],dados[[#This Row],[fator5]],dados[[#This Row],[fator6]])</f>
        <v>#REF!</v>
      </c>
    </row>
    <row r="717" spans="1:23">
      <c r="A717" t="s">
        <v>17</v>
      </c>
      <c r="B717">
        <v>482808</v>
      </c>
      <c r="C717">
        <v>22</v>
      </c>
      <c r="D717">
        <v>30</v>
      </c>
      <c r="E717">
        <v>101</v>
      </c>
      <c r="F717">
        <v>9</v>
      </c>
      <c r="G717">
        <v>20</v>
      </c>
      <c r="H717">
        <v>25</v>
      </c>
      <c r="I717">
        <v>678</v>
      </c>
      <c r="J717">
        <v>0</v>
      </c>
      <c r="K717">
        <v>3.73</v>
      </c>
      <c r="L717">
        <v>8.35</v>
      </c>
      <c r="M717">
        <v>85.95</v>
      </c>
      <c r="N717">
        <v>10.65</v>
      </c>
      <c r="O717">
        <v>1683</v>
      </c>
      <c r="P717">
        <v>0</v>
      </c>
      <c r="Q717" s="5" t="e">
        <f>IF(AND(#REF!&gt;=table!$C$6,#REF!&lt;= table!$D$6),-1,IF(AND(#REF!&gt;=table!$E$6,#REF!&lt;=table!$F$6),1,0))</f>
        <v>#REF!</v>
      </c>
      <c r="R717" s="5" t="e">
        <f>IF(AND(#REF!&gt;=table!$C$7,#REF!&lt;= table!$D$7),-1,IF(AND(#REF!&gt;=table!$E$7,#REF!&lt;=table!$F$7),1,0))</f>
        <v>#REF!</v>
      </c>
      <c r="S717" s="5" t="e">
        <f>IF(AND(#REF!&gt;=table!$C$8,#REF!&lt;= table!$D$8),-1,IF(AND(#REF!&gt;=table!$E$8,#REF!&lt;=table!$F$8),1,0))</f>
        <v>#REF!</v>
      </c>
      <c r="T717" s="5"/>
      <c r="U717" s="5" t="e">
        <f>IF(AND(#REF!&gt;=table!$C$10,#REF!&lt;= table!$D$10),-1,IF(AND(#REF!&gt;=table!$E$10,#REF!&lt;=table!$F$10),1,0))</f>
        <v>#REF!</v>
      </c>
      <c r="V717" s="5" t="e">
        <f>IF(AND(#REF!&gt;=table!$C$11,#REF!&lt;= table!$D$11),-1,IF(AND(#REF!&gt;=table!$E$11,#REF!&lt;=table!$F$11),1,0))</f>
        <v>#REF!</v>
      </c>
      <c r="W717" s="5" t="e">
        <f>CONCATENATE(dados[[#This Row],[fator1]],dados[[#This Row],[fator5]],dados[[#This Row],[fator6]])</f>
        <v>#REF!</v>
      </c>
    </row>
    <row r="718" spans="1:23">
      <c r="A718" t="s">
        <v>17</v>
      </c>
      <c r="B718">
        <v>482809</v>
      </c>
      <c r="C718">
        <v>22</v>
      </c>
      <c r="D718">
        <v>30</v>
      </c>
      <c r="E718">
        <v>101</v>
      </c>
      <c r="F718">
        <v>9</v>
      </c>
      <c r="G718">
        <v>20</v>
      </c>
      <c r="H718">
        <v>25</v>
      </c>
      <c r="I718">
        <v>231</v>
      </c>
      <c r="J718">
        <v>0</v>
      </c>
      <c r="K718">
        <v>3.4850000000000003</v>
      </c>
      <c r="L718">
        <v>5.8</v>
      </c>
      <c r="M718">
        <v>71.045000000000002</v>
      </c>
      <c r="N718">
        <v>11.05</v>
      </c>
      <c r="O718">
        <v>1678</v>
      </c>
      <c r="P718">
        <v>1150</v>
      </c>
      <c r="Q718" s="5" t="e">
        <f>IF(AND(#REF!&gt;=table!$C$6,#REF!&lt;= table!$D$6),-1,IF(AND(#REF!&gt;=table!$E$6,#REF!&lt;=table!$F$6),1,0))</f>
        <v>#REF!</v>
      </c>
      <c r="R718" s="5" t="e">
        <f>IF(AND(#REF!&gt;=table!$C$7,#REF!&lt;= table!$D$7),-1,IF(AND(#REF!&gt;=table!$E$7,#REF!&lt;=table!$F$7),1,0))</f>
        <v>#REF!</v>
      </c>
      <c r="S718" s="5" t="e">
        <f>IF(AND(#REF!&gt;=table!$C$8,#REF!&lt;= table!$D$8),-1,IF(AND(#REF!&gt;=table!$E$8,#REF!&lt;=table!$F$8),1,0))</f>
        <v>#REF!</v>
      </c>
      <c r="T718" s="5"/>
      <c r="U718" s="5" t="e">
        <f>IF(AND(#REF!&gt;=table!$C$10,#REF!&lt;= table!$D$10),-1,IF(AND(#REF!&gt;=table!$E$10,#REF!&lt;=table!$F$10),1,0))</f>
        <v>#REF!</v>
      </c>
      <c r="V718" s="5" t="e">
        <f>IF(AND(#REF!&gt;=table!$C$11,#REF!&lt;= table!$D$11),-1,IF(AND(#REF!&gt;=table!$E$11,#REF!&lt;=table!$F$11),1,0))</f>
        <v>#REF!</v>
      </c>
      <c r="W718" s="5" t="e">
        <f>CONCATENATE(dados[[#This Row],[fator1]],dados[[#This Row],[fator5]],dados[[#This Row],[fator6]])</f>
        <v>#REF!</v>
      </c>
    </row>
    <row r="719" spans="1:23">
      <c r="A719" t="s">
        <v>16</v>
      </c>
      <c r="B719">
        <v>482810</v>
      </c>
      <c r="C719">
        <v>7</v>
      </c>
      <c r="D719">
        <v>33</v>
      </c>
      <c r="E719">
        <v>153</v>
      </c>
      <c r="F719">
        <v>4</v>
      </c>
      <c r="G719">
        <v>0</v>
      </c>
      <c r="H719">
        <v>25</v>
      </c>
      <c r="I719">
        <v>241</v>
      </c>
      <c r="J719">
        <v>700</v>
      </c>
      <c r="K719">
        <v>12.07</v>
      </c>
      <c r="L719">
        <v>9.94</v>
      </c>
      <c r="M719">
        <v>118.95500000000001</v>
      </c>
      <c r="N719">
        <v>14.23</v>
      </c>
      <c r="O719">
        <v>1679</v>
      </c>
      <c r="P719">
        <v>333</v>
      </c>
      <c r="Q719" s="5" t="e">
        <f>IF(AND(#REF!&gt;=table!$C$6,#REF!&lt;= table!$D$6),-1,IF(AND(#REF!&gt;=table!$E$6,#REF!&lt;=table!$F$6),1,0))</f>
        <v>#REF!</v>
      </c>
      <c r="R719" s="5" t="e">
        <f>IF(AND(#REF!&gt;=table!$C$7,#REF!&lt;= table!$D$7),-1,IF(AND(#REF!&gt;=table!$E$7,#REF!&lt;=table!$F$7),1,0))</f>
        <v>#REF!</v>
      </c>
      <c r="S719" s="5" t="e">
        <f>IF(AND(#REF!&gt;=table!$C$8,#REF!&lt;= table!$D$8),-1,IF(AND(#REF!&gt;=table!$E$8,#REF!&lt;=table!$F$8),1,0))</f>
        <v>#REF!</v>
      </c>
      <c r="T719" s="5"/>
      <c r="U719" s="5" t="e">
        <f>IF(AND(#REF!&gt;=table!$C$10,#REF!&lt;= table!$D$10),-1,IF(AND(#REF!&gt;=table!$E$10,#REF!&lt;=table!$F$10),1,0))</f>
        <v>#REF!</v>
      </c>
      <c r="V719" s="5" t="e">
        <f>IF(AND(#REF!&gt;=table!$C$11,#REF!&lt;= table!$D$11),-1,IF(AND(#REF!&gt;=table!$E$11,#REF!&lt;=table!$F$11),1,0))</f>
        <v>#REF!</v>
      </c>
      <c r="W719" s="5" t="e">
        <f>CONCATENATE(dados[[#This Row],[fator1]],dados[[#This Row],[fator5]],dados[[#This Row],[fator6]])</f>
        <v>#REF!</v>
      </c>
    </row>
    <row r="720" spans="1:23">
      <c r="A720" t="s">
        <v>17</v>
      </c>
      <c r="B720">
        <v>482811</v>
      </c>
      <c r="C720">
        <v>16</v>
      </c>
      <c r="D720">
        <v>30</v>
      </c>
      <c r="E720">
        <v>106</v>
      </c>
      <c r="F720">
        <v>9</v>
      </c>
      <c r="G720">
        <v>20</v>
      </c>
      <c r="H720">
        <v>25</v>
      </c>
      <c r="I720">
        <v>721</v>
      </c>
      <c r="J720">
        <v>620</v>
      </c>
      <c r="K720">
        <v>4.9750000000000005</v>
      </c>
      <c r="L720">
        <v>17.25</v>
      </c>
      <c r="M720">
        <v>90.100000000000009</v>
      </c>
      <c r="N720">
        <v>22.3</v>
      </c>
      <c r="O720">
        <v>1691</v>
      </c>
      <c r="P720">
        <v>744</v>
      </c>
      <c r="Q720" s="5" t="e">
        <f>IF(AND(#REF!&gt;=table!$C$6,#REF!&lt;= table!$D$6),-1,IF(AND(#REF!&gt;=table!$E$6,#REF!&lt;=table!$F$6),1,0))</f>
        <v>#REF!</v>
      </c>
      <c r="R720" s="5" t="e">
        <f>IF(AND(#REF!&gt;=table!$C$7,#REF!&lt;= table!$D$7),-1,IF(AND(#REF!&gt;=table!$E$7,#REF!&lt;=table!$F$7),1,0))</f>
        <v>#REF!</v>
      </c>
      <c r="S720" s="5" t="e">
        <f>IF(AND(#REF!&gt;=table!$C$8,#REF!&lt;= table!$D$8),-1,IF(AND(#REF!&gt;=table!$E$8,#REF!&lt;=table!$F$8),1,0))</f>
        <v>#REF!</v>
      </c>
      <c r="T720" s="5"/>
      <c r="U720" s="5" t="e">
        <f>IF(AND(#REF!&gt;=table!$C$10,#REF!&lt;= table!$D$10),-1,IF(AND(#REF!&gt;=table!$E$10,#REF!&lt;=table!$F$10),1,0))</f>
        <v>#REF!</v>
      </c>
      <c r="V720" s="5" t="e">
        <f>IF(AND(#REF!&gt;=table!$C$11,#REF!&lt;= table!$D$11),-1,IF(AND(#REF!&gt;=table!$E$11,#REF!&lt;=table!$F$11),1,0))</f>
        <v>#REF!</v>
      </c>
      <c r="W720" s="5" t="e">
        <f>CONCATENATE(dados[[#This Row],[fator1]],dados[[#This Row],[fator5]],dados[[#This Row],[fator6]])</f>
        <v>#REF!</v>
      </c>
    </row>
    <row r="721" spans="1:23">
      <c r="A721" t="s">
        <v>17</v>
      </c>
      <c r="B721">
        <v>482816</v>
      </c>
      <c r="C721">
        <v>12</v>
      </c>
      <c r="D721">
        <v>50</v>
      </c>
      <c r="E721">
        <v>210</v>
      </c>
      <c r="F721">
        <v>4</v>
      </c>
      <c r="G721">
        <v>50</v>
      </c>
      <c r="H721">
        <v>25</v>
      </c>
      <c r="I721">
        <v>156</v>
      </c>
      <c r="J721">
        <v>0</v>
      </c>
      <c r="K721">
        <v>3.7350000000000003</v>
      </c>
      <c r="L721">
        <v>9.35</v>
      </c>
      <c r="M721">
        <v>163.5</v>
      </c>
      <c r="N721">
        <v>13.15</v>
      </c>
      <c r="O721">
        <v>1682</v>
      </c>
      <c r="P721">
        <v>0</v>
      </c>
      <c r="Q721" s="5" t="e">
        <f>IF(AND(#REF!&gt;=table!$C$6,#REF!&lt;= table!$D$6),-1,IF(AND(#REF!&gt;=table!$E$6,#REF!&lt;=table!$F$6),1,0))</f>
        <v>#REF!</v>
      </c>
      <c r="R721" s="5" t="e">
        <f>IF(AND(#REF!&gt;=table!$C$7,#REF!&lt;= table!$D$7),-1,IF(AND(#REF!&gt;=table!$E$7,#REF!&lt;=table!$F$7),1,0))</f>
        <v>#REF!</v>
      </c>
      <c r="S721" s="5" t="e">
        <f>IF(AND(#REF!&gt;=table!$C$8,#REF!&lt;= table!$D$8),-1,IF(AND(#REF!&gt;=table!$E$8,#REF!&lt;=table!$F$8),1,0))</f>
        <v>#REF!</v>
      </c>
      <c r="T721" s="5"/>
      <c r="U721" s="5" t="e">
        <f>IF(AND(#REF!&gt;=table!$C$10,#REF!&lt;= table!$D$10),-1,IF(AND(#REF!&gt;=table!$E$10,#REF!&lt;=table!$F$10),1,0))</f>
        <v>#REF!</v>
      </c>
      <c r="V721" s="5" t="e">
        <f>IF(AND(#REF!&gt;=table!$C$11,#REF!&lt;= table!$D$11),-1,IF(AND(#REF!&gt;=table!$E$11,#REF!&lt;=table!$F$11),1,0))</f>
        <v>#REF!</v>
      </c>
      <c r="W721" s="5" t="e">
        <f>CONCATENATE(dados[[#This Row],[fator1]],dados[[#This Row],[fator5]],dados[[#This Row],[fator6]])</f>
        <v>#REF!</v>
      </c>
    </row>
    <row r="722" spans="1:23">
      <c r="A722" t="s">
        <v>17</v>
      </c>
      <c r="B722">
        <v>482823</v>
      </c>
      <c r="C722">
        <v>7</v>
      </c>
      <c r="D722">
        <v>35</v>
      </c>
      <c r="E722">
        <v>200</v>
      </c>
      <c r="F722">
        <v>8</v>
      </c>
      <c r="G722">
        <v>50</v>
      </c>
      <c r="H722">
        <v>25</v>
      </c>
      <c r="I722">
        <v>658</v>
      </c>
      <c r="J722">
        <v>0</v>
      </c>
      <c r="K722">
        <v>6.29</v>
      </c>
      <c r="L722">
        <v>9.5500000000000007</v>
      </c>
      <c r="M722">
        <v>200.25</v>
      </c>
      <c r="N722">
        <v>13.1</v>
      </c>
      <c r="O722">
        <v>1687</v>
      </c>
      <c r="P722">
        <v>0</v>
      </c>
      <c r="Q722" s="5" t="e">
        <f>IF(AND(#REF!&gt;=table!$C$6,#REF!&lt;= table!$D$6),-1,IF(AND(#REF!&gt;=table!$E$6,#REF!&lt;=table!$F$6),1,0))</f>
        <v>#REF!</v>
      </c>
      <c r="R722" s="5" t="e">
        <f>IF(AND(#REF!&gt;=table!$C$7,#REF!&lt;= table!$D$7),-1,IF(AND(#REF!&gt;=table!$E$7,#REF!&lt;=table!$F$7),1,0))</f>
        <v>#REF!</v>
      </c>
      <c r="S722" s="5" t="e">
        <f>IF(AND(#REF!&gt;=table!$C$8,#REF!&lt;= table!$D$8),-1,IF(AND(#REF!&gt;=table!$E$8,#REF!&lt;=table!$F$8),1,0))</f>
        <v>#REF!</v>
      </c>
      <c r="T722" s="5"/>
      <c r="U722" s="5" t="e">
        <f>IF(AND(#REF!&gt;=table!$C$10,#REF!&lt;= table!$D$10),-1,IF(AND(#REF!&gt;=table!$E$10,#REF!&lt;=table!$F$10),1,0))</f>
        <v>#REF!</v>
      </c>
      <c r="V722" s="5" t="e">
        <f>IF(AND(#REF!&gt;=table!$C$11,#REF!&lt;= table!$D$11),-1,IF(AND(#REF!&gt;=table!$E$11,#REF!&lt;=table!$F$11),1,0))</f>
        <v>#REF!</v>
      </c>
      <c r="W722" s="5" t="e">
        <f>CONCATENATE(dados[[#This Row],[fator1]],dados[[#This Row],[fator5]],dados[[#This Row],[fator6]])</f>
        <v>#REF!</v>
      </c>
    </row>
    <row r="723" spans="1:23">
      <c r="A723" t="s">
        <v>16</v>
      </c>
      <c r="B723">
        <v>482839</v>
      </c>
      <c r="C723">
        <v>0.15</v>
      </c>
      <c r="D723">
        <v>40</v>
      </c>
      <c r="E723">
        <v>10</v>
      </c>
      <c r="F723">
        <v>15</v>
      </c>
      <c r="G723">
        <v>0</v>
      </c>
      <c r="H723">
        <v>15</v>
      </c>
      <c r="I723">
        <v>1922</v>
      </c>
      <c r="J723">
        <v>0</v>
      </c>
      <c r="K723">
        <v>2.7150000000000003</v>
      </c>
      <c r="L723">
        <v>5.65</v>
      </c>
      <c r="M723">
        <v>5.8</v>
      </c>
      <c r="N723">
        <v>10.85</v>
      </c>
      <c r="O723">
        <v>1687</v>
      </c>
      <c r="P723">
        <v>1456</v>
      </c>
      <c r="Q723" s="5" t="e">
        <f>IF(AND(#REF!&gt;=table!$C$6,#REF!&lt;= table!$D$6),-1,IF(AND(#REF!&gt;=table!$E$6,#REF!&lt;=table!$F$6),1,0))</f>
        <v>#REF!</v>
      </c>
      <c r="R723" s="5" t="e">
        <f>IF(AND(#REF!&gt;=table!$C$7,#REF!&lt;= table!$D$7),-1,IF(AND(#REF!&gt;=table!$E$7,#REF!&lt;=table!$F$7),1,0))</f>
        <v>#REF!</v>
      </c>
      <c r="S723" s="5" t="e">
        <f>IF(AND(#REF!&gt;=table!$C$8,#REF!&lt;= table!$D$8),-1,IF(AND(#REF!&gt;=table!$E$8,#REF!&lt;=table!$F$8),1,0))</f>
        <v>#REF!</v>
      </c>
      <c r="T723" s="5"/>
      <c r="U723" s="5" t="e">
        <f>IF(AND(#REF!&gt;=table!$C$10,#REF!&lt;= table!$D$10),-1,IF(AND(#REF!&gt;=table!$E$10,#REF!&lt;=table!$F$10),1,0))</f>
        <v>#REF!</v>
      </c>
      <c r="V723" s="5" t="e">
        <f>IF(AND(#REF!&gt;=table!$C$11,#REF!&lt;= table!$D$11),-1,IF(AND(#REF!&gt;=table!$E$11,#REF!&lt;=table!$F$11),1,0))</f>
        <v>#REF!</v>
      </c>
      <c r="W723" s="5" t="e">
        <f>CONCATENATE(dados[[#This Row],[fator1]],dados[[#This Row],[fator5]],dados[[#This Row],[fator6]])</f>
        <v>#REF!</v>
      </c>
    </row>
    <row r="724" spans="1:23">
      <c r="A724" t="s">
        <v>16</v>
      </c>
      <c r="B724">
        <v>482846</v>
      </c>
      <c r="C724">
        <v>9</v>
      </c>
      <c r="D724">
        <v>27</v>
      </c>
      <c r="E724">
        <v>36</v>
      </c>
      <c r="F724">
        <v>8</v>
      </c>
      <c r="G724">
        <v>0</v>
      </c>
      <c r="H724">
        <v>25</v>
      </c>
      <c r="I724">
        <v>997</v>
      </c>
      <c r="J724">
        <v>0</v>
      </c>
      <c r="K724">
        <v>2.61</v>
      </c>
      <c r="L724">
        <v>3.9</v>
      </c>
      <c r="M724">
        <v>32.71</v>
      </c>
      <c r="N724">
        <v>8.58</v>
      </c>
      <c r="O724">
        <v>1679</v>
      </c>
      <c r="P724">
        <v>0</v>
      </c>
      <c r="Q724" s="5" t="e">
        <f>IF(AND(#REF!&gt;=table!$C$6,#REF!&lt;= table!$D$6),-1,IF(AND(#REF!&gt;=table!$E$6,#REF!&lt;=table!$F$6),1,0))</f>
        <v>#REF!</v>
      </c>
      <c r="R724" s="5" t="e">
        <f>IF(AND(#REF!&gt;=table!$C$7,#REF!&lt;= table!$D$7),-1,IF(AND(#REF!&gt;=table!$E$7,#REF!&lt;=table!$F$7),1,0))</f>
        <v>#REF!</v>
      </c>
      <c r="S724" s="5" t="e">
        <f>IF(AND(#REF!&gt;=table!$C$8,#REF!&lt;= table!$D$8),-1,IF(AND(#REF!&gt;=table!$E$8,#REF!&lt;=table!$F$8),1,0))</f>
        <v>#REF!</v>
      </c>
      <c r="T724" s="5"/>
      <c r="U724" s="5" t="e">
        <f>IF(AND(#REF!&gt;=table!$C$10,#REF!&lt;= table!$D$10),-1,IF(AND(#REF!&gt;=table!$E$10,#REF!&lt;=table!$F$10),1,0))</f>
        <v>#REF!</v>
      </c>
      <c r="V724" s="5" t="e">
        <f>IF(AND(#REF!&gt;=table!$C$11,#REF!&lt;= table!$D$11),-1,IF(AND(#REF!&gt;=table!$E$11,#REF!&lt;=table!$F$11),1,0))</f>
        <v>#REF!</v>
      </c>
      <c r="W724" s="5" t="e">
        <f>CONCATENATE(dados[[#This Row],[fator1]],dados[[#This Row],[fator5]],dados[[#This Row],[fator6]])</f>
        <v>#REF!</v>
      </c>
    </row>
    <row r="725" spans="1:23">
      <c r="A725" t="s">
        <v>16</v>
      </c>
      <c r="B725">
        <v>482852</v>
      </c>
      <c r="C725">
        <v>0.1</v>
      </c>
      <c r="D725">
        <v>35</v>
      </c>
      <c r="E725">
        <v>10</v>
      </c>
      <c r="F725">
        <v>10</v>
      </c>
      <c r="G725">
        <v>0</v>
      </c>
      <c r="H725">
        <v>12</v>
      </c>
      <c r="I725">
        <v>2254</v>
      </c>
      <c r="J725">
        <v>0</v>
      </c>
      <c r="K725">
        <v>5.2450000000000001</v>
      </c>
      <c r="L725">
        <v>7.3500000000000005</v>
      </c>
      <c r="M725">
        <v>6.73</v>
      </c>
      <c r="N725">
        <v>8.85</v>
      </c>
      <c r="O725">
        <v>1669</v>
      </c>
      <c r="P725">
        <v>0</v>
      </c>
      <c r="Q725" s="5" t="e">
        <f>IF(AND(#REF!&gt;=table!$C$6,#REF!&lt;= table!$D$6),-1,IF(AND(#REF!&gt;=table!$E$6,#REF!&lt;=table!$F$6),1,0))</f>
        <v>#REF!</v>
      </c>
      <c r="R725" s="5" t="e">
        <f>IF(AND(#REF!&gt;=table!$C$7,#REF!&lt;= table!$D$7),-1,IF(AND(#REF!&gt;=table!$E$7,#REF!&lt;=table!$F$7),1,0))</f>
        <v>#REF!</v>
      </c>
      <c r="S725" s="5" t="e">
        <f>IF(AND(#REF!&gt;=table!$C$8,#REF!&lt;= table!$D$8),-1,IF(AND(#REF!&gt;=table!$E$8,#REF!&lt;=table!$F$8),1,0))</f>
        <v>#REF!</v>
      </c>
      <c r="T725" s="5"/>
      <c r="U725" s="5" t="e">
        <f>IF(AND(#REF!&gt;=table!$C$10,#REF!&lt;= table!$D$10),-1,IF(AND(#REF!&gt;=table!$E$10,#REF!&lt;=table!$F$10),1,0))</f>
        <v>#REF!</v>
      </c>
      <c r="V725" s="5" t="e">
        <f>IF(AND(#REF!&gt;=table!$C$11,#REF!&lt;= table!$D$11),-1,IF(AND(#REF!&gt;=table!$E$11,#REF!&lt;=table!$F$11),1,0))</f>
        <v>#REF!</v>
      </c>
      <c r="W725" s="5" t="e">
        <f>CONCATENATE(dados[[#This Row],[fator1]],dados[[#This Row],[fator5]],dados[[#This Row],[fator6]])</f>
        <v>#REF!</v>
      </c>
    </row>
    <row r="726" spans="1:23">
      <c r="A726" t="s">
        <v>16</v>
      </c>
      <c r="B726">
        <v>482859</v>
      </c>
      <c r="C726">
        <v>0.1</v>
      </c>
      <c r="D726">
        <v>35</v>
      </c>
      <c r="E726">
        <v>10</v>
      </c>
      <c r="F726">
        <v>10</v>
      </c>
      <c r="G726">
        <v>0</v>
      </c>
      <c r="H726">
        <v>12</v>
      </c>
      <c r="I726">
        <v>370</v>
      </c>
      <c r="J726">
        <v>0</v>
      </c>
      <c r="K726">
        <v>3.7750000000000004</v>
      </c>
      <c r="L726">
        <v>7.6000000000000005</v>
      </c>
      <c r="M726">
        <v>7</v>
      </c>
      <c r="N726">
        <v>8.3000000000000007</v>
      </c>
      <c r="O726">
        <v>1688</v>
      </c>
      <c r="P726">
        <v>1034</v>
      </c>
      <c r="Q726" s="5" t="e">
        <f>IF(AND(#REF!&gt;=table!$C$6,#REF!&lt;= table!$D$6),-1,IF(AND(#REF!&gt;=table!$E$6,#REF!&lt;=table!$F$6),1,0))</f>
        <v>#REF!</v>
      </c>
      <c r="R726" s="5" t="e">
        <f>IF(AND(#REF!&gt;=table!$C$7,#REF!&lt;= table!$D$7),-1,IF(AND(#REF!&gt;=table!$E$7,#REF!&lt;=table!$F$7),1,0))</f>
        <v>#REF!</v>
      </c>
      <c r="S726" s="5" t="e">
        <f>IF(AND(#REF!&gt;=table!$C$8,#REF!&lt;= table!$D$8),-1,IF(AND(#REF!&gt;=table!$E$8,#REF!&lt;=table!$F$8),1,0))</f>
        <v>#REF!</v>
      </c>
      <c r="T726" s="5"/>
      <c r="U726" s="5" t="e">
        <f>IF(AND(#REF!&gt;=table!$C$10,#REF!&lt;= table!$D$10),-1,IF(AND(#REF!&gt;=table!$E$10,#REF!&lt;=table!$F$10),1,0))</f>
        <v>#REF!</v>
      </c>
      <c r="V726" s="5" t="e">
        <f>IF(AND(#REF!&gt;=table!$C$11,#REF!&lt;= table!$D$11),-1,IF(AND(#REF!&gt;=table!$E$11,#REF!&lt;=table!$F$11),1,0))</f>
        <v>#REF!</v>
      </c>
      <c r="W726" s="5" t="e">
        <f>CONCATENATE(dados[[#This Row],[fator1]],dados[[#This Row],[fator5]],dados[[#This Row],[fator6]])</f>
        <v>#REF!</v>
      </c>
    </row>
    <row r="727" spans="1:23">
      <c r="A727" t="s">
        <v>16</v>
      </c>
      <c r="B727">
        <v>482861</v>
      </c>
      <c r="C727">
        <v>12</v>
      </c>
      <c r="D727">
        <v>35</v>
      </c>
      <c r="E727">
        <v>180</v>
      </c>
      <c r="F727">
        <v>6</v>
      </c>
      <c r="G727">
        <v>0</v>
      </c>
      <c r="H727">
        <v>20</v>
      </c>
      <c r="I727">
        <v>2714</v>
      </c>
      <c r="J727">
        <v>0</v>
      </c>
      <c r="K727">
        <v>10.59</v>
      </c>
      <c r="L727">
        <v>13.4</v>
      </c>
      <c r="M727">
        <v>157.15</v>
      </c>
      <c r="N727">
        <v>11.65</v>
      </c>
      <c r="O727">
        <v>1677</v>
      </c>
      <c r="P727">
        <v>0</v>
      </c>
      <c r="Q727" s="5" t="e">
        <f>IF(AND(#REF!&gt;=table!$C$6,#REF!&lt;= table!$D$6),-1,IF(AND(#REF!&gt;=table!$E$6,#REF!&lt;=table!$F$6),1,0))</f>
        <v>#REF!</v>
      </c>
      <c r="R727" s="5" t="e">
        <f>IF(AND(#REF!&gt;=table!$C$7,#REF!&lt;= table!$D$7),-1,IF(AND(#REF!&gt;=table!$E$7,#REF!&lt;=table!$F$7),1,0))</f>
        <v>#REF!</v>
      </c>
      <c r="S727" s="5" t="e">
        <f>IF(AND(#REF!&gt;=table!$C$8,#REF!&lt;= table!$D$8),-1,IF(AND(#REF!&gt;=table!$E$8,#REF!&lt;=table!$F$8),1,0))</f>
        <v>#REF!</v>
      </c>
      <c r="T727" s="5"/>
      <c r="U727" s="5" t="e">
        <f>IF(AND(#REF!&gt;=table!$C$10,#REF!&lt;= table!$D$10),-1,IF(AND(#REF!&gt;=table!$E$10,#REF!&lt;=table!$F$10),1,0))</f>
        <v>#REF!</v>
      </c>
      <c r="V727" s="5" t="e">
        <f>IF(AND(#REF!&gt;=table!$C$11,#REF!&lt;= table!$D$11),-1,IF(AND(#REF!&gt;=table!$E$11,#REF!&lt;=table!$F$11),1,0))</f>
        <v>#REF!</v>
      </c>
      <c r="W727" s="5" t="e">
        <f>CONCATENATE(dados[[#This Row],[fator1]],dados[[#This Row],[fator5]],dados[[#This Row],[fator6]])</f>
        <v>#REF!</v>
      </c>
    </row>
    <row r="728" spans="1:23">
      <c r="A728" t="s">
        <v>16</v>
      </c>
      <c r="B728">
        <v>482869</v>
      </c>
      <c r="C728">
        <v>16</v>
      </c>
      <c r="D728">
        <v>27</v>
      </c>
      <c r="E728">
        <v>36</v>
      </c>
      <c r="F728">
        <v>8</v>
      </c>
      <c r="G728">
        <v>0</v>
      </c>
      <c r="H728">
        <v>25</v>
      </c>
      <c r="I728">
        <v>32</v>
      </c>
      <c r="J728">
        <v>0</v>
      </c>
      <c r="K728">
        <v>4.0250000000000004</v>
      </c>
      <c r="L728">
        <v>9.9</v>
      </c>
      <c r="M728">
        <v>33.85</v>
      </c>
      <c r="N728">
        <v>13.25</v>
      </c>
      <c r="O728">
        <v>1679</v>
      </c>
      <c r="P728">
        <v>1005</v>
      </c>
      <c r="Q728" s="5" t="e">
        <f>IF(AND(#REF!&gt;=table!$C$6,#REF!&lt;= table!$D$6),-1,IF(AND(#REF!&gt;=table!$E$6,#REF!&lt;=table!$F$6),1,0))</f>
        <v>#REF!</v>
      </c>
      <c r="R728" s="5" t="e">
        <f>IF(AND(#REF!&gt;=table!$C$7,#REF!&lt;= table!$D$7),-1,IF(AND(#REF!&gt;=table!$E$7,#REF!&lt;=table!$F$7),1,0))</f>
        <v>#REF!</v>
      </c>
      <c r="S728" s="5" t="e">
        <f>IF(AND(#REF!&gt;=table!$C$8,#REF!&lt;= table!$D$8),-1,IF(AND(#REF!&gt;=table!$E$8,#REF!&lt;=table!$F$8),1,0))</f>
        <v>#REF!</v>
      </c>
      <c r="T728" s="5"/>
      <c r="U728" s="5" t="e">
        <f>IF(AND(#REF!&gt;=table!$C$10,#REF!&lt;= table!$D$10),-1,IF(AND(#REF!&gt;=table!$E$10,#REF!&lt;=table!$F$10),1,0))</f>
        <v>#REF!</v>
      </c>
      <c r="V728" s="5" t="e">
        <f>IF(AND(#REF!&gt;=table!$C$11,#REF!&lt;= table!$D$11),-1,IF(AND(#REF!&gt;=table!$E$11,#REF!&lt;=table!$F$11),1,0))</f>
        <v>#REF!</v>
      </c>
      <c r="W728" s="5" t="e">
        <f>CONCATENATE(dados[[#This Row],[fator1]],dados[[#This Row],[fator5]],dados[[#This Row],[fator6]])</f>
        <v>#REF!</v>
      </c>
    </row>
    <row r="729" spans="1:23">
      <c r="A729" t="s">
        <v>16</v>
      </c>
      <c r="B729">
        <v>482871</v>
      </c>
      <c r="C729">
        <v>16</v>
      </c>
      <c r="D729">
        <v>30</v>
      </c>
      <c r="E729">
        <v>36</v>
      </c>
      <c r="F729">
        <v>3</v>
      </c>
      <c r="G729">
        <v>0</v>
      </c>
      <c r="H729">
        <v>25</v>
      </c>
      <c r="I729">
        <v>1457</v>
      </c>
      <c r="J729">
        <v>0</v>
      </c>
      <c r="K729">
        <v>8.33</v>
      </c>
      <c r="L729">
        <v>13.200000000000001</v>
      </c>
      <c r="M729">
        <v>32.950000000000003</v>
      </c>
      <c r="N729">
        <v>18.75</v>
      </c>
      <c r="O729">
        <v>1673</v>
      </c>
      <c r="P729">
        <v>442</v>
      </c>
      <c r="Q729" s="5" t="e">
        <f>IF(AND(#REF!&gt;=table!$C$6,#REF!&lt;= table!$D$6),-1,IF(AND(#REF!&gt;=table!$E$6,#REF!&lt;=table!$F$6),1,0))</f>
        <v>#REF!</v>
      </c>
      <c r="R729" s="5" t="e">
        <f>IF(AND(#REF!&gt;=table!$C$7,#REF!&lt;= table!$D$7),-1,IF(AND(#REF!&gt;=table!$E$7,#REF!&lt;=table!$F$7),1,0))</f>
        <v>#REF!</v>
      </c>
      <c r="S729" s="5" t="e">
        <f>IF(AND(#REF!&gt;=table!$C$8,#REF!&lt;= table!$D$8),-1,IF(AND(#REF!&gt;=table!$E$8,#REF!&lt;=table!$F$8),1,0))</f>
        <v>#REF!</v>
      </c>
      <c r="T729" s="5"/>
      <c r="U729" s="5" t="e">
        <f>IF(AND(#REF!&gt;=table!$C$10,#REF!&lt;= table!$D$10),-1,IF(AND(#REF!&gt;=table!$E$10,#REF!&lt;=table!$F$10),1,0))</f>
        <v>#REF!</v>
      </c>
      <c r="V729" s="5" t="e">
        <f>IF(AND(#REF!&gt;=table!$C$11,#REF!&lt;= table!$D$11),-1,IF(AND(#REF!&gt;=table!$E$11,#REF!&lt;=table!$F$11),1,0))</f>
        <v>#REF!</v>
      </c>
      <c r="W729" s="5" t="e">
        <f>CONCATENATE(dados[[#This Row],[fator1]],dados[[#This Row],[fator5]],dados[[#This Row],[fator6]])</f>
        <v>#REF!</v>
      </c>
    </row>
    <row r="730" spans="1:23">
      <c r="A730" t="s">
        <v>16</v>
      </c>
      <c r="B730">
        <v>482872</v>
      </c>
      <c r="C730">
        <v>16</v>
      </c>
      <c r="D730">
        <v>35</v>
      </c>
      <c r="E730">
        <v>36</v>
      </c>
      <c r="F730">
        <v>10</v>
      </c>
      <c r="G730">
        <v>0</v>
      </c>
      <c r="H730">
        <v>25</v>
      </c>
      <c r="I730">
        <v>687</v>
      </c>
      <c r="J730">
        <v>0</v>
      </c>
      <c r="K730">
        <v>22.445</v>
      </c>
      <c r="L730">
        <v>12.8</v>
      </c>
      <c r="M730">
        <v>28.845000000000002</v>
      </c>
      <c r="N730">
        <v>12.525</v>
      </c>
      <c r="O730">
        <v>1684</v>
      </c>
      <c r="P730">
        <v>0</v>
      </c>
      <c r="Q730" s="5" t="e">
        <f>IF(AND(#REF!&gt;=table!$C$6,#REF!&lt;= table!$D$6),-1,IF(AND(#REF!&gt;=table!$E$6,#REF!&lt;=table!$F$6),1,0))</f>
        <v>#REF!</v>
      </c>
      <c r="R730" s="5" t="e">
        <f>IF(AND(#REF!&gt;=table!$C$7,#REF!&lt;= table!$D$7),-1,IF(AND(#REF!&gt;=table!$E$7,#REF!&lt;=table!$F$7),1,0))</f>
        <v>#REF!</v>
      </c>
      <c r="S730" s="5" t="e">
        <f>IF(AND(#REF!&gt;=table!$C$8,#REF!&lt;= table!$D$8),-1,IF(AND(#REF!&gt;=table!$E$8,#REF!&lt;=table!$F$8),1,0))</f>
        <v>#REF!</v>
      </c>
      <c r="T730" s="5"/>
      <c r="U730" s="5" t="e">
        <f>IF(AND(#REF!&gt;=table!$C$10,#REF!&lt;= table!$D$10),-1,IF(AND(#REF!&gt;=table!$E$10,#REF!&lt;=table!$F$10),1,0))</f>
        <v>#REF!</v>
      </c>
      <c r="V730" s="5" t="e">
        <f>IF(AND(#REF!&gt;=table!$C$11,#REF!&lt;= table!$D$11),-1,IF(AND(#REF!&gt;=table!$E$11,#REF!&lt;=table!$F$11),1,0))</f>
        <v>#REF!</v>
      </c>
      <c r="W730" s="5" t="e">
        <f>CONCATENATE(dados[[#This Row],[fator1]],dados[[#This Row],[fator5]],dados[[#This Row],[fator6]])</f>
        <v>#REF!</v>
      </c>
    </row>
    <row r="731" spans="1:23">
      <c r="A731" t="s">
        <v>16</v>
      </c>
      <c r="B731">
        <v>482874</v>
      </c>
      <c r="C731">
        <v>10</v>
      </c>
      <c r="D731">
        <v>30</v>
      </c>
      <c r="E731">
        <v>96</v>
      </c>
      <c r="F731">
        <v>8</v>
      </c>
      <c r="G731">
        <v>0</v>
      </c>
      <c r="H731">
        <v>25</v>
      </c>
      <c r="I731">
        <v>1773</v>
      </c>
      <c r="J731">
        <v>0</v>
      </c>
      <c r="K731">
        <v>7.3650000000000002</v>
      </c>
      <c r="L731">
        <v>11.15</v>
      </c>
      <c r="M731">
        <v>64.3</v>
      </c>
      <c r="N731">
        <v>14.65</v>
      </c>
      <c r="O731">
        <v>1654</v>
      </c>
      <c r="P731">
        <v>463</v>
      </c>
      <c r="Q731" s="5" t="e">
        <f>IF(AND(#REF!&gt;=table!$C$6,#REF!&lt;= table!$D$6),-1,IF(AND(#REF!&gt;=table!$E$6,#REF!&lt;=table!$F$6),1,0))</f>
        <v>#REF!</v>
      </c>
      <c r="R731" s="5" t="e">
        <f>IF(AND(#REF!&gt;=table!$C$7,#REF!&lt;= table!$D$7),-1,IF(AND(#REF!&gt;=table!$E$7,#REF!&lt;=table!$F$7),1,0))</f>
        <v>#REF!</v>
      </c>
      <c r="S731" s="5" t="e">
        <f>IF(AND(#REF!&gt;=table!$C$8,#REF!&lt;= table!$D$8),-1,IF(AND(#REF!&gt;=table!$E$8,#REF!&lt;=table!$F$8),1,0))</f>
        <v>#REF!</v>
      </c>
      <c r="T731" s="5"/>
      <c r="U731" s="5" t="e">
        <f>IF(AND(#REF!&gt;=table!$C$10,#REF!&lt;= table!$D$10),-1,IF(AND(#REF!&gt;=table!$E$10,#REF!&lt;=table!$F$10),1,0))</f>
        <v>#REF!</v>
      </c>
      <c r="V731" s="5" t="e">
        <f>IF(AND(#REF!&gt;=table!$C$11,#REF!&lt;= table!$D$11),-1,IF(AND(#REF!&gt;=table!$E$11,#REF!&lt;=table!$F$11),1,0))</f>
        <v>#REF!</v>
      </c>
      <c r="W731" s="5" t="e">
        <f>CONCATENATE(dados[[#This Row],[fator1]],dados[[#This Row],[fator5]],dados[[#This Row],[fator6]])</f>
        <v>#REF!</v>
      </c>
    </row>
    <row r="732" spans="1:23">
      <c r="A732" t="s">
        <v>16</v>
      </c>
      <c r="B732">
        <v>482876</v>
      </c>
      <c r="C732">
        <v>0.15</v>
      </c>
      <c r="D732">
        <v>40</v>
      </c>
      <c r="E732">
        <v>10</v>
      </c>
      <c r="F732">
        <v>15</v>
      </c>
      <c r="G732">
        <v>0</v>
      </c>
      <c r="H732">
        <v>15</v>
      </c>
      <c r="I732">
        <v>1114</v>
      </c>
      <c r="J732">
        <v>0</v>
      </c>
      <c r="K732">
        <v>5.3100000000000005</v>
      </c>
      <c r="L732">
        <v>10.700000000000001</v>
      </c>
      <c r="M732">
        <v>9.8000000000000007</v>
      </c>
      <c r="N732">
        <v>9.5</v>
      </c>
      <c r="O732">
        <v>1687</v>
      </c>
      <c r="P732">
        <v>787</v>
      </c>
      <c r="Q732" s="5" t="e">
        <f>IF(AND(#REF!&gt;=table!$C$6,#REF!&lt;= table!$D$6),-1,IF(AND(#REF!&gt;=table!$E$6,#REF!&lt;=table!$F$6),1,0))</f>
        <v>#REF!</v>
      </c>
      <c r="R732" s="5" t="e">
        <f>IF(AND(#REF!&gt;=table!$C$7,#REF!&lt;= table!$D$7),-1,IF(AND(#REF!&gt;=table!$E$7,#REF!&lt;=table!$F$7),1,0))</f>
        <v>#REF!</v>
      </c>
      <c r="S732" s="5" t="e">
        <f>IF(AND(#REF!&gt;=table!$C$8,#REF!&lt;= table!$D$8),-1,IF(AND(#REF!&gt;=table!$E$8,#REF!&lt;=table!$F$8),1,0))</f>
        <v>#REF!</v>
      </c>
      <c r="T732" s="5"/>
      <c r="U732" s="5" t="e">
        <f>IF(AND(#REF!&gt;=table!$C$10,#REF!&lt;= table!$D$10),-1,IF(AND(#REF!&gt;=table!$E$10,#REF!&lt;=table!$F$10),1,0))</f>
        <v>#REF!</v>
      </c>
      <c r="V732" s="5" t="e">
        <f>IF(AND(#REF!&gt;=table!$C$11,#REF!&lt;= table!$D$11),-1,IF(AND(#REF!&gt;=table!$E$11,#REF!&lt;=table!$F$11),1,0))</f>
        <v>#REF!</v>
      </c>
      <c r="W732" s="5" t="e">
        <f>CONCATENATE(dados[[#This Row],[fator1]],dados[[#This Row],[fator5]],dados[[#This Row],[fator6]])</f>
        <v>#REF!</v>
      </c>
    </row>
    <row r="733" spans="1:23">
      <c r="A733" t="s">
        <v>16</v>
      </c>
      <c r="B733">
        <v>482878</v>
      </c>
      <c r="C733">
        <v>0.15</v>
      </c>
      <c r="D733">
        <v>40</v>
      </c>
      <c r="E733">
        <v>10</v>
      </c>
      <c r="F733">
        <v>15</v>
      </c>
      <c r="G733">
        <v>0</v>
      </c>
      <c r="H733">
        <v>15</v>
      </c>
      <c r="I733">
        <v>164</v>
      </c>
      <c r="J733">
        <v>0</v>
      </c>
      <c r="K733">
        <v>5.3</v>
      </c>
      <c r="L733">
        <v>4.96</v>
      </c>
      <c r="M733">
        <v>4.99</v>
      </c>
      <c r="N733">
        <v>7.1400000000000006</v>
      </c>
      <c r="O733">
        <v>1641</v>
      </c>
      <c r="P733">
        <v>0</v>
      </c>
      <c r="Q733" s="5" t="e">
        <f>IF(AND(#REF!&gt;=table!$C$6,#REF!&lt;= table!$D$6),-1,IF(AND(#REF!&gt;=table!$E$6,#REF!&lt;=table!$F$6),1,0))</f>
        <v>#REF!</v>
      </c>
      <c r="R733" s="5" t="e">
        <f>IF(AND(#REF!&gt;=table!$C$7,#REF!&lt;= table!$D$7),-1,IF(AND(#REF!&gt;=table!$E$7,#REF!&lt;=table!$F$7),1,0))</f>
        <v>#REF!</v>
      </c>
      <c r="S733" s="5" t="e">
        <f>IF(AND(#REF!&gt;=table!$C$8,#REF!&lt;= table!$D$8),-1,IF(AND(#REF!&gt;=table!$E$8,#REF!&lt;=table!$F$8),1,0))</f>
        <v>#REF!</v>
      </c>
      <c r="T733" s="5"/>
      <c r="U733" s="5" t="e">
        <f>IF(AND(#REF!&gt;=table!$C$10,#REF!&lt;= table!$D$10),-1,IF(AND(#REF!&gt;=table!$E$10,#REF!&lt;=table!$F$10),1,0))</f>
        <v>#REF!</v>
      </c>
      <c r="V733" s="5" t="e">
        <f>IF(AND(#REF!&gt;=table!$C$11,#REF!&lt;= table!$D$11),-1,IF(AND(#REF!&gt;=table!$E$11,#REF!&lt;=table!$F$11),1,0))</f>
        <v>#REF!</v>
      </c>
      <c r="W733" s="5" t="e">
        <f>CONCATENATE(dados[[#This Row],[fator1]],dados[[#This Row],[fator5]],dados[[#This Row],[fator6]])</f>
        <v>#REF!</v>
      </c>
    </row>
    <row r="734" spans="1:23">
      <c r="A734" t="s">
        <v>16</v>
      </c>
      <c r="B734">
        <v>482882</v>
      </c>
      <c r="C734">
        <v>0.15</v>
      </c>
      <c r="D734">
        <v>40</v>
      </c>
      <c r="E734">
        <v>10</v>
      </c>
      <c r="F734">
        <v>15</v>
      </c>
      <c r="G734">
        <v>0</v>
      </c>
      <c r="H734">
        <v>15</v>
      </c>
      <c r="I734">
        <v>1114</v>
      </c>
      <c r="J734">
        <v>0</v>
      </c>
      <c r="K734">
        <v>6.29</v>
      </c>
      <c r="L734">
        <v>10.935</v>
      </c>
      <c r="M734">
        <v>9.9150000000000009</v>
      </c>
      <c r="N734">
        <v>13.84</v>
      </c>
      <c r="O734">
        <v>1671</v>
      </c>
      <c r="P734">
        <v>612</v>
      </c>
      <c r="Q734" s="5" t="e">
        <f>IF(AND(#REF!&gt;=table!$C$6,#REF!&lt;= table!$D$6),-1,IF(AND(#REF!&gt;=table!$E$6,#REF!&lt;=table!$F$6),1,0))</f>
        <v>#REF!</v>
      </c>
      <c r="R734" s="5" t="e">
        <f>IF(AND(#REF!&gt;=table!$C$7,#REF!&lt;= table!$D$7),-1,IF(AND(#REF!&gt;=table!$E$7,#REF!&lt;=table!$F$7),1,0))</f>
        <v>#REF!</v>
      </c>
      <c r="S734" s="5" t="e">
        <f>IF(AND(#REF!&gt;=table!$C$8,#REF!&lt;= table!$D$8),-1,IF(AND(#REF!&gt;=table!$E$8,#REF!&lt;=table!$F$8),1,0))</f>
        <v>#REF!</v>
      </c>
      <c r="T734" s="5"/>
      <c r="U734" s="5" t="e">
        <f>IF(AND(#REF!&gt;=table!$C$10,#REF!&lt;= table!$D$10),-1,IF(AND(#REF!&gt;=table!$E$10,#REF!&lt;=table!$F$10),1,0))</f>
        <v>#REF!</v>
      </c>
      <c r="V734" s="5" t="e">
        <f>IF(AND(#REF!&gt;=table!$C$11,#REF!&lt;= table!$D$11),-1,IF(AND(#REF!&gt;=table!$E$11,#REF!&lt;=table!$F$11),1,0))</f>
        <v>#REF!</v>
      </c>
      <c r="W734" s="5" t="e">
        <f>CONCATENATE(dados[[#This Row],[fator1]],dados[[#This Row],[fator5]],dados[[#This Row],[fator6]])</f>
        <v>#REF!</v>
      </c>
    </row>
    <row r="735" spans="1:23">
      <c r="A735" t="s">
        <v>16</v>
      </c>
      <c r="B735">
        <v>482898</v>
      </c>
      <c r="C735">
        <v>0.15</v>
      </c>
      <c r="D735">
        <v>40</v>
      </c>
      <c r="E735">
        <v>10</v>
      </c>
      <c r="F735">
        <v>15</v>
      </c>
      <c r="G735">
        <v>0</v>
      </c>
      <c r="H735">
        <v>15</v>
      </c>
      <c r="I735">
        <v>1814</v>
      </c>
      <c r="J735">
        <v>0</v>
      </c>
      <c r="K735">
        <v>2.5460000000000003</v>
      </c>
      <c r="L735">
        <v>7.09</v>
      </c>
      <c r="M735">
        <v>5.25</v>
      </c>
      <c r="N735">
        <v>10.950000000000001</v>
      </c>
      <c r="O735">
        <v>1689</v>
      </c>
      <c r="P735">
        <v>1277</v>
      </c>
      <c r="Q735" s="5" t="e">
        <f>IF(AND(#REF!&gt;=table!$C$6,#REF!&lt;= table!$D$6),-1,IF(AND(#REF!&gt;=table!$E$6,#REF!&lt;=table!$F$6),1,0))</f>
        <v>#REF!</v>
      </c>
      <c r="R735" s="5" t="e">
        <f>IF(AND(#REF!&gt;=table!$C$7,#REF!&lt;= table!$D$7),-1,IF(AND(#REF!&gt;=table!$E$7,#REF!&lt;=table!$F$7),1,0))</f>
        <v>#REF!</v>
      </c>
      <c r="S735" s="5" t="e">
        <f>IF(AND(#REF!&gt;=table!$C$8,#REF!&lt;= table!$D$8),-1,IF(AND(#REF!&gt;=table!$E$8,#REF!&lt;=table!$F$8),1,0))</f>
        <v>#REF!</v>
      </c>
      <c r="T735" s="5"/>
      <c r="U735" s="5" t="e">
        <f>IF(AND(#REF!&gt;=table!$C$10,#REF!&lt;= table!$D$10),-1,IF(AND(#REF!&gt;=table!$E$10,#REF!&lt;=table!$F$10),1,0))</f>
        <v>#REF!</v>
      </c>
      <c r="V735" s="5" t="e">
        <f>IF(AND(#REF!&gt;=table!$C$11,#REF!&lt;= table!$D$11),-1,IF(AND(#REF!&gt;=table!$E$11,#REF!&lt;=table!$F$11),1,0))</f>
        <v>#REF!</v>
      </c>
      <c r="W735" s="5" t="e">
        <f>CONCATENATE(dados[[#This Row],[fator1]],dados[[#This Row],[fator5]],dados[[#This Row],[fator6]])</f>
        <v>#REF!</v>
      </c>
    </row>
    <row r="736" spans="1:23">
      <c r="A736" t="s">
        <v>16</v>
      </c>
      <c r="B736">
        <v>482904</v>
      </c>
      <c r="C736">
        <v>0.15</v>
      </c>
      <c r="D736">
        <v>40</v>
      </c>
      <c r="E736">
        <v>64</v>
      </c>
      <c r="F736">
        <v>10</v>
      </c>
      <c r="G736">
        <v>0</v>
      </c>
      <c r="H736">
        <v>35</v>
      </c>
      <c r="I736">
        <v>1112</v>
      </c>
      <c r="J736">
        <v>0</v>
      </c>
      <c r="K736">
        <v>2.97</v>
      </c>
      <c r="L736">
        <v>7.2</v>
      </c>
      <c r="M736">
        <v>6</v>
      </c>
      <c r="N736">
        <v>11.1</v>
      </c>
      <c r="O736">
        <v>1679</v>
      </c>
      <c r="P736">
        <v>0</v>
      </c>
      <c r="Q736" s="5" t="e">
        <f>IF(AND(#REF!&gt;=table!$C$6,#REF!&lt;= table!$D$6),-1,IF(AND(#REF!&gt;=table!$E$6,#REF!&lt;=table!$F$6),1,0))</f>
        <v>#REF!</v>
      </c>
      <c r="R736" s="5" t="e">
        <f>IF(AND(#REF!&gt;=table!$C$7,#REF!&lt;= table!$D$7),-1,IF(AND(#REF!&gt;=table!$E$7,#REF!&lt;=table!$F$7),1,0))</f>
        <v>#REF!</v>
      </c>
      <c r="S736" s="5" t="e">
        <f>IF(AND(#REF!&gt;=table!$C$8,#REF!&lt;= table!$D$8),-1,IF(AND(#REF!&gt;=table!$E$8,#REF!&lt;=table!$F$8),1,0))</f>
        <v>#REF!</v>
      </c>
      <c r="T736" s="5"/>
      <c r="U736" s="5" t="e">
        <f>IF(AND(#REF!&gt;=table!$C$10,#REF!&lt;= table!$D$10),-1,IF(AND(#REF!&gt;=table!$E$10,#REF!&lt;=table!$F$10),1,0))</f>
        <v>#REF!</v>
      </c>
      <c r="V736" s="5" t="e">
        <f>IF(AND(#REF!&gt;=table!$C$11,#REF!&lt;= table!$D$11),-1,IF(AND(#REF!&gt;=table!$E$11,#REF!&lt;=table!$F$11),1,0))</f>
        <v>#REF!</v>
      </c>
      <c r="W736" s="5" t="e">
        <f>CONCATENATE(dados[[#This Row],[fator1]],dados[[#This Row],[fator5]],dados[[#This Row],[fator6]])</f>
        <v>#REF!</v>
      </c>
    </row>
    <row r="737" spans="1:23">
      <c r="A737" t="s">
        <v>17</v>
      </c>
      <c r="B737">
        <v>482905</v>
      </c>
      <c r="C737">
        <v>13</v>
      </c>
      <c r="D737">
        <v>35</v>
      </c>
      <c r="E737">
        <v>100</v>
      </c>
      <c r="F737">
        <v>2</v>
      </c>
      <c r="G737">
        <v>28</v>
      </c>
      <c r="H737">
        <v>20</v>
      </c>
      <c r="I737">
        <v>1181</v>
      </c>
      <c r="J737">
        <v>0</v>
      </c>
      <c r="K737">
        <v>4.97</v>
      </c>
      <c r="L737">
        <v>11.950000000000001</v>
      </c>
      <c r="M737">
        <v>95.600000000000009</v>
      </c>
      <c r="N737">
        <v>17.600000000000001</v>
      </c>
      <c r="O737">
        <v>1693</v>
      </c>
      <c r="P737">
        <v>0</v>
      </c>
      <c r="Q737" s="5" t="e">
        <f>IF(AND(#REF!&gt;=table!$C$6,#REF!&lt;= table!$D$6),-1,IF(AND(#REF!&gt;=table!$E$6,#REF!&lt;=table!$F$6),1,0))</f>
        <v>#REF!</v>
      </c>
      <c r="R737" s="5" t="e">
        <f>IF(AND(#REF!&gt;=table!$C$7,#REF!&lt;= table!$D$7),-1,IF(AND(#REF!&gt;=table!$E$7,#REF!&lt;=table!$F$7),1,0))</f>
        <v>#REF!</v>
      </c>
      <c r="S737" s="5" t="e">
        <f>IF(AND(#REF!&gt;=table!$C$8,#REF!&lt;= table!$D$8),-1,IF(AND(#REF!&gt;=table!$E$8,#REF!&lt;=table!$F$8),1,0))</f>
        <v>#REF!</v>
      </c>
      <c r="T737" s="5"/>
      <c r="U737" s="5" t="e">
        <f>IF(AND(#REF!&gt;=table!$C$10,#REF!&lt;= table!$D$10),-1,IF(AND(#REF!&gt;=table!$E$10,#REF!&lt;=table!$F$10),1,0))</f>
        <v>#REF!</v>
      </c>
      <c r="V737" s="5" t="e">
        <f>IF(AND(#REF!&gt;=table!$C$11,#REF!&lt;= table!$D$11),-1,IF(AND(#REF!&gt;=table!$E$11,#REF!&lt;=table!$F$11),1,0))</f>
        <v>#REF!</v>
      </c>
      <c r="W737" s="5" t="e">
        <f>CONCATENATE(dados[[#This Row],[fator1]],dados[[#This Row],[fator5]],dados[[#This Row],[fator6]])</f>
        <v>#REF!</v>
      </c>
    </row>
    <row r="738" spans="1:23">
      <c r="A738" t="s">
        <v>16</v>
      </c>
      <c r="B738">
        <v>482908</v>
      </c>
      <c r="C738">
        <v>0.15</v>
      </c>
      <c r="D738">
        <v>40</v>
      </c>
      <c r="E738">
        <v>10</v>
      </c>
      <c r="F738">
        <v>15</v>
      </c>
      <c r="G738">
        <v>0</v>
      </c>
      <c r="H738">
        <v>15</v>
      </c>
      <c r="I738">
        <v>848</v>
      </c>
      <c r="J738">
        <v>1190</v>
      </c>
      <c r="K738">
        <v>5.7949999999999999</v>
      </c>
      <c r="L738">
        <v>8.0150000000000006</v>
      </c>
      <c r="M738">
        <v>4</v>
      </c>
      <c r="N738">
        <v>7.75</v>
      </c>
      <c r="O738">
        <v>1674</v>
      </c>
      <c r="P738">
        <v>0</v>
      </c>
      <c r="Q738" s="5" t="e">
        <f>IF(AND(#REF!&gt;=table!$C$6,#REF!&lt;= table!$D$6),-1,IF(AND(#REF!&gt;=table!$E$6,#REF!&lt;=table!$F$6),1,0))</f>
        <v>#REF!</v>
      </c>
      <c r="R738" s="5" t="e">
        <f>IF(AND(#REF!&gt;=table!$C$7,#REF!&lt;= table!$D$7),-1,IF(AND(#REF!&gt;=table!$E$7,#REF!&lt;=table!$F$7),1,0))</f>
        <v>#REF!</v>
      </c>
      <c r="S738" s="5" t="e">
        <f>IF(AND(#REF!&gt;=table!$C$8,#REF!&lt;= table!$D$8),-1,IF(AND(#REF!&gt;=table!$E$8,#REF!&lt;=table!$F$8),1,0))</f>
        <v>#REF!</v>
      </c>
      <c r="T738" s="5"/>
      <c r="U738" s="5" t="e">
        <f>IF(AND(#REF!&gt;=table!$C$10,#REF!&lt;= table!$D$10),-1,IF(AND(#REF!&gt;=table!$E$10,#REF!&lt;=table!$F$10),1,0))</f>
        <v>#REF!</v>
      </c>
      <c r="V738" s="5" t="e">
        <f>IF(AND(#REF!&gt;=table!$C$11,#REF!&lt;= table!$D$11),-1,IF(AND(#REF!&gt;=table!$E$11,#REF!&lt;=table!$F$11),1,0))</f>
        <v>#REF!</v>
      </c>
      <c r="W738" s="5" t="e">
        <f>CONCATENATE(dados[[#This Row],[fator1]],dados[[#This Row],[fator5]],dados[[#This Row],[fator6]])</f>
        <v>#REF!</v>
      </c>
    </row>
    <row r="739" spans="1:23">
      <c r="A739" t="s">
        <v>16</v>
      </c>
      <c r="B739">
        <v>482920</v>
      </c>
      <c r="C739">
        <v>7</v>
      </c>
      <c r="D739">
        <v>33</v>
      </c>
      <c r="E739">
        <v>153</v>
      </c>
      <c r="F739">
        <v>4</v>
      </c>
      <c r="G739">
        <v>0</v>
      </c>
      <c r="H739">
        <v>25</v>
      </c>
      <c r="I739">
        <v>925</v>
      </c>
      <c r="J739">
        <v>0</v>
      </c>
      <c r="K739">
        <v>5.5250000000000004</v>
      </c>
      <c r="L739">
        <v>8.1</v>
      </c>
      <c r="M739">
        <v>142.20000000000002</v>
      </c>
      <c r="N739">
        <v>14.25</v>
      </c>
      <c r="O739">
        <v>1688</v>
      </c>
      <c r="P739">
        <v>0</v>
      </c>
      <c r="Q739" s="5" t="e">
        <f>IF(AND(#REF!&gt;=table!$C$6,#REF!&lt;= table!$D$6),-1,IF(AND(#REF!&gt;=table!$E$6,#REF!&lt;=table!$F$6),1,0))</f>
        <v>#REF!</v>
      </c>
      <c r="R739" s="5" t="e">
        <f>IF(AND(#REF!&gt;=table!$C$7,#REF!&lt;= table!$D$7),-1,IF(AND(#REF!&gt;=table!$E$7,#REF!&lt;=table!$F$7),1,0))</f>
        <v>#REF!</v>
      </c>
      <c r="S739" s="5" t="e">
        <f>IF(AND(#REF!&gt;=table!$C$8,#REF!&lt;= table!$D$8),-1,IF(AND(#REF!&gt;=table!$E$8,#REF!&lt;=table!$F$8),1,0))</f>
        <v>#REF!</v>
      </c>
      <c r="T739" s="5"/>
      <c r="U739" s="5" t="e">
        <f>IF(AND(#REF!&gt;=table!$C$10,#REF!&lt;= table!$D$10),-1,IF(AND(#REF!&gt;=table!$E$10,#REF!&lt;=table!$F$10),1,0))</f>
        <v>#REF!</v>
      </c>
      <c r="V739" s="5" t="e">
        <f>IF(AND(#REF!&gt;=table!$C$11,#REF!&lt;= table!$D$11),-1,IF(AND(#REF!&gt;=table!$E$11,#REF!&lt;=table!$F$11),1,0))</f>
        <v>#REF!</v>
      </c>
      <c r="W739" s="5" t="e">
        <f>CONCATENATE(dados[[#This Row],[fator1]],dados[[#This Row],[fator5]],dados[[#This Row],[fator6]])</f>
        <v>#REF!</v>
      </c>
    </row>
    <row r="740" spans="1:23">
      <c r="A740" t="s">
        <v>16</v>
      </c>
      <c r="B740">
        <v>482921</v>
      </c>
      <c r="C740">
        <v>11</v>
      </c>
      <c r="D740">
        <v>40</v>
      </c>
      <c r="E740">
        <v>151</v>
      </c>
      <c r="F740">
        <v>8</v>
      </c>
      <c r="G740">
        <v>0</v>
      </c>
      <c r="H740">
        <v>25</v>
      </c>
      <c r="I740">
        <v>44</v>
      </c>
      <c r="J740">
        <v>0</v>
      </c>
      <c r="K740">
        <v>4.6550000000000002</v>
      </c>
      <c r="L740">
        <v>14.5</v>
      </c>
      <c r="M740">
        <v>142.9</v>
      </c>
      <c r="N740">
        <v>18.25</v>
      </c>
      <c r="O740">
        <v>1693</v>
      </c>
      <c r="P740">
        <v>0</v>
      </c>
      <c r="Q740" s="5" t="e">
        <f>IF(AND(#REF!&gt;=table!$C$6,#REF!&lt;= table!$D$6),-1,IF(AND(#REF!&gt;=table!$E$6,#REF!&lt;=table!$F$6),1,0))</f>
        <v>#REF!</v>
      </c>
      <c r="R740" s="5" t="e">
        <f>IF(AND(#REF!&gt;=table!$C$7,#REF!&lt;= table!$D$7),-1,IF(AND(#REF!&gt;=table!$E$7,#REF!&lt;=table!$F$7),1,0))</f>
        <v>#REF!</v>
      </c>
      <c r="S740" s="5" t="e">
        <f>IF(AND(#REF!&gt;=table!$C$8,#REF!&lt;= table!$D$8),-1,IF(AND(#REF!&gt;=table!$E$8,#REF!&lt;=table!$F$8),1,0))</f>
        <v>#REF!</v>
      </c>
      <c r="T740" s="5"/>
      <c r="U740" s="5" t="e">
        <f>IF(AND(#REF!&gt;=table!$C$10,#REF!&lt;= table!$D$10),-1,IF(AND(#REF!&gt;=table!$E$10,#REF!&lt;=table!$F$10),1,0))</f>
        <v>#REF!</v>
      </c>
      <c r="V740" s="5" t="e">
        <f>IF(AND(#REF!&gt;=table!$C$11,#REF!&lt;= table!$D$11),-1,IF(AND(#REF!&gt;=table!$E$11,#REF!&lt;=table!$F$11),1,0))</f>
        <v>#REF!</v>
      </c>
      <c r="W740" s="5" t="e">
        <f>CONCATENATE(dados[[#This Row],[fator1]],dados[[#This Row],[fator5]],dados[[#This Row],[fator6]])</f>
        <v>#REF!</v>
      </c>
    </row>
    <row r="741" spans="1:23">
      <c r="A741" t="s">
        <v>16</v>
      </c>
      <c r="B741">
        <v>482922</v>
      </c>
      <c r="C741">
        <v>0.15</v>
      </c>
      <c r="D741">
        <v>40</v>
      </c>
      <c r="E741">
        <v>10</v>
      </c>
      <c r="F741">
        <v>15</v>
      </c>
      <c r="G741">
        <v>0</v>
      </c>
      <c r="H741">
        <v>15</v>
      </c>
      <c r="I741">
        <v>1965</v>
      </c>
      <c r="J741">
        <v>0</v>
      </c>
      <c r="K741">
        <v>3.7350000000000003</v>
      </c>
      <c r="L741">
        <v>11.55</v>
      </c>
      <c r="M741">
        <v>10.25</v>
      </c>
      <c r="N741">
        <v>10.8</v>
      </c>
      <c r="O741">
        <v>1663</v>
      </c>
      <c r="P741">
        <v>679</v>
      </c>
      <c r="Q741" s="5" t="e">
        <f>IF(AND(#REF!&gt;=table!$C$6,#REF!&lt;= table!$D$6),-1,IF(AND(#REF!&gt;=table!$E$6,#REF!&lt;=table!$F$6),1,0))</f>
        <v>#REF!</v>
      </c>
      <c r="R741" s="5" t="e">
        <f>IF(AND(#REF!&gt;=table!$C$7,#REF!&lt;= table!$D$7),-1,IF(AND(#REF!&gt;=table!$E$7,#REF!&lt;=table!$F$7),1,0))</f>
        <v>#REF!</v>
      </c>
      <c r="S741" s="5" t="e">
        <f>IF(AND(#REF!&gt;=table!$C$8,#REF!&lt;= table!$D$8),-1,IF(AND(#REF!&gt;=table!$E$8,#REF!&lt;=table!$F$8),1,0))</f>
        <v>#REF!</v>
      </c>
      <c r="T741" s="5"/>
      <c r="U741" s="5" t="e">
        <f>IF(AND(#REF!&gt;=table!$C$10,#REF!&lt;= table!$D$10),-1,IF(AND(#REF!&gt;=table!$E$10,#REF!&lt;=table!$F$10),1,0))</f>
        <v>#REF!</v>
      </c>
      <c r="V741" s="5" t="e">
        <f>IF(AND(#REF!&gt;=table!$C$11,#REF!&lt;= table!$D$11),-1,IF(AND(#REF!&gt;=table!$E$11,#REF!&lt;=table!$F$11),1,0))</f>
        <v>#REF!</v>
      </c>
      <c r="W741" s="5" t="e">
        <f>CONCATENATE(dados[[#This Row],[fator1]],dados[[#This Row],[fator5]],dados[[#This Row],[fator6]])</f>
        <v>#REF!</v>
      </c>
    </row>
    <row r="742" spans="1:23">
      <c r="A742" t="s">
        <v>16</v>
      </c>
      <c r="B742">
        <v>482923</v>
      </c>
      <c r="C742">
        <v>0.15</v>
      </c>
      <c r="D742">
        <v>40</v>
      </c>
      <c r="E742">
        <v>10</v>
      </c>
      <c r="F742">
        <v>15</v>
      </c>
      <c r="G742">
        <v>0</v>
      </c>
      <c r="H742">
        <v>15</v>
      </c>
      <c r="I742">
        <v>353</v>
      </c>
      <c r="J742">
        <v>0</v>
      </c>
      <c r="K742">
        <v>4.18</v>
      </c>
      <c r="L742">
        <v>8.07</v>
      </c>
      <c r="M742">
        <v>6.65</v>
      </c>
      <c r="N742">
        <v>10.5</v>
      </c>
      <c r="O742">
        <v>1685</v>
      </c>
      <c r="P742">
        <v>1157</v>
      </c>
      <c r="Q742" s="5" t="e">
        <f>IF(AND(#REF!&gt;=table!$C$6,#REF!&lt;= table!$D$6),-1,IF(AND(#REF!&gt;=table!$E$6,#REF!&lt;=table!$F$6),1,0))</f>
        <v>#REF!</v>
      </c>
      <c r="R742" s="5" t="e">
        <f>IF(AND(#REF!&gt;=table!$C$7,#REF!&lt;= table!$D$7),-1,IF(AND(#REF!&gt;=table!$E$7,#REF!&lt;=table!$F$7),1,0))</f>
        <v>#REF!</v>
      </c>
      <c r="S742" s="5" t="e">
        <f>IF(AND(#REF!&gt;=table!$C$8,#REF!&lt;= table!$D$8),-1,IF(AND(#REF!&gt;=table!$E$8,#REF!&lt;=table!$F$8),1,0))</f>
        <v>#REF!</v>
      </c>
      <c r="T742" s="5"/>
      <c r="U742" s="5" t="e">
        <f>IF(AND(#REF!&gt;=table!$C$10,#REF!&lt;= table!$D$10),-1,IF(AND(#REF!&gt;=table!$E$10,#REF!&lt;=table!$F$10),1,0))</f>
        <v>#REF!</v>
      </c>
      <c r="V742" s="5" t="e">
        <f>IF(AND(#REF!&gt;=table!$C$11,#REF!&lt;= table!$D$11),-1,IF(AND(#REF!&gt;=table!$E$11,#REF!&lt;=table!$F$11),1,0))</f>
        <v>#REF!</v>
      </c>
      <c r="W742" s="5" t="e">
        <f>CONCATENATE(dados[[#This Row],[fator1]],dados[[#This Row],[fator5]],dados[[#This Row],[fator6]])</f>
        <v>#REF!</v>
      </c>
    </row>
    <row r="743" spans="1:23">
      <c r="A743" t="s">
        <v>16</v>
      </c>
      <c r="B743">
        <v>482924</v>
      </c>
      <c r="C743">
        <v>0.15</v>
      </c>
      <c r="D743">
        <v>40</v>
      </c>
      <c r="E743">
        <v>10</v>
      </c>
      <c r="F743">
        <v>15</v>
      </c>
      <c r="G743">
        <v>0</v>
      </c>
      <c r="H743">
        <v>15</v>
      </c>
      <c r="I743">
        <v>847</v>
      </c>
      <c r="J743">
        <v>0</v>
      </c>
      <c r="K743">
        <v>3.29</v>
      </c>
      <c r="L743">
        <v>4.25</v>
      </c>
      <c r="M743">
        <v>4.74</v>
      </c>
      <c r="N743">
        <v>7.3950000000000005</v>
      </c>
      <c r="O743">
        <v>1679</v>
      </c>
      <c r="P743">
        <v>0</v>
      </c>
      <c r="Q743" s="5" t="e">
        <f>IF(AND(#REF!&gt;=table!$C$6,#REF!&lt;= table!$D$6),-1,IF(AND(#REF!&gt;=table!$E$6,#REF!&lt;=table!$F$6),1,0))</f>
        <v>#REF!</v>
      </c>
      <c r="R743" s="5" t="e">
        <f>IF(AND(#REF!&gt;=table!$C$7,#REF!&lt;= table!$D$7),-1,IF(AND(#REF!&gt;=table!$E$7,#REF!&lt;=table!$F$7),1,0))</f>
        <v>#REF!</v>
      </c>
      <c r="S743" s="5" t="e">
        <f>IF(AND(#REF!&gt;=table!$C$8,#REF!&lt;= table!$D$8),-1,IF(AND(#REF!&gt;=table!$E$8,#REF!&lt;=table!$F$8),1,0))</f>
        <v>#REF!</v>
      </c>
      <c r="T743" s="5"/>
      <c r="U743" s="5" t="e">
        <f>IF(AND(#REF!&gt;=table!$C$10,#REF!&lt;= table!$D$10),-1,IF(AND(#REF!&gt;=table!$E$10,#REF!&lt;=table!$F$10),1,0))</f>
        <v>#REF!</v>
      </c>
      <c r="V743" s="5" t="e">
        <f>IF(AND(#REF!&gt;=table!$C$11,#REF!&lt;= table!$D$11),-1,IF(AND(#REF!&gt;=table!$E$11,#REF!&lt;=table!$F$11),1,0))</f>
        <v>#REF!</v>
      </c>
      <c r="W743" s="5" t="e">
        <f>CONCATENATE(dados[[#This Row],[fator1]],dados[[#This Row],[fator5]],dados[[#This Row],[fator6]])</f>
        <v>#REF!</v>
      </c>
    </row>
    <row r="744" spans="1:23">
      <c r="A744" t="s">
        <v>16</v>
      </c>
      <c r="B744">
        <v>482934</v>
      </c>
      <c r="C744">
        <v>9</v>
      </c>
      <c r="D744">
        <v>35</v>
      </c>
      <c r="E744">
        <v>36</v>
      </c>
      <c r="F744">
        <v>9</v>
      </c>
      <c r="G744">
        <v>0</v>
      </c>
      <c r="H744">
        <v>25</v>
      </c>
      <c r="I744">
        <v>597</v>
      </c>
      <c r="J744">
        <v>0</v>
      </c>
      <c r="K744">
        <v>4.3950000000000005</v>
      </c>
      <c r="L744">
        <v>7.48</v>
      </c>
      <c r="M744">
        <v>32.5</v>
      </c>
      <c r="N744">
        <v>12.15</v>
      </c>
      <c r="O744">
        <v>1669</v>
      </c>
      <c r="P744">
        <v>0</v>
      </c>
      <c r="Q744" s="5" t="e">
        <f>IF(AND(#REF!&gt;=table!$C$6,#REF!&lt;= table!$D$6),-1,IF(AND(#REF!&gt;=table!$E$6,#REF!&lt;=table!$F$6),1,0))</f>
        <v>#REF!</v>
      </c>
      <c r="R744" s="5" t="e">
        <f>IF(AND(#REF!&gt;=table!$C$7,#REF!&lt;= table!$D$7),-1,IF(AND(#REF!&gt;=table!$E$7,#REF!&lt;=table!$F$7),1,0))</f>
        <v>#REF!</v>
      </c>
      <c r="S744" s="5" t="e">
        <f>IF(AND(#REF!&gt;=table!$C$8,#REF!&lt;= table!$D$8),-1,IF(AND(#REF!&gt;=table!$E$8,#REF!&lt;=table!$F$8),1,0))</f>
        <v>#REF!</v>
      </c>
      <c r="T744" s="5"/>
      <c r="U744" s="5" t="e">
        <f>IF(AND(#REF!&gt;=table!$C$10,#REF!&lt;= table!$D$10),-1,IF(AND(#REF!&gt;=table!$E$10,#REF!&lt;=table!$F$10),1,0))</f>
        <v>#REF!</v>
      </c>
      <c r="V744" s="5" t="e">
        <f>IF(AND(#REF!&gt;=table!$C$11,#REF!&lt;= table!$D$11),-1,IF(AND(#REF!&gt;=table!$E$11,#REF!&lt;=table!$F$11),1,0))</f>
        <v>#REF!</v>
      </c>
      <c r="W744" s="5" t="e">
        <f>CONCATENATE(dados[[#This Row],[fator1]],dados[[#This Row],[fator5]],dados[[#This Row],[fator6]])</f>
        <v>#REF!</v>
      </c>
    </row>
    <row r="745" spans="1:23">
      <c r="A745" t="s">
        <v>16</v>
      </c>
      <c r="B745">
        <v>482935</v>
      </c>
      <c r="C745">
        <v>3</v>
      </c>
      <c r="D745">
        <v>30</v>
      </c>
      <c r="E745">
        <v>21</v>
      </c>
      <c r="F745">
        <v>15</v>
      </c>
      <c r="G745">
        <v>0</v>
      </c>
      <c r="H745">
        <v>25</v>
      </c>
      <c r="I745">
        <v>948</v>
      </c>
      <c r="J745">
        <v>0</v>
      </c>
      <c r="K745">
        <v>4.4550000000000001</v>
      </c>
      <c r="L745">
        <v>9.8000000000000007</v>
      </c>
      <c r="M745">
        <v>9.75</v>
      </c>
      <c r="N745">
        <v>15.3</v>
      </c>
      <c r="O745">
        <v>1675</v>
      </c>
      <c r="P745">
        <v>796</v>
      </c>
      <c r="Q745" s="5" t="e">
        <f>IF(AND(#REF!&gt;=table!$C$6,#REF!&lt;= table!$D$6),-1,IF(AND(#REF!&gt;=table!$E$6,#REF!&lt;=table!$F$6),1,0))</f>
        <v>#REF!</v>
      </c>
      <c r="R745" s="5" t="e">
        <f>IF(AND(#REF!&gt;=table!$C$7,#REF!&lt;= table!$D$7),-1,IF(AND(#REF!&gt;=table!$E$7,#REF!&lt;=table!$F$7),1,0))</f>
        <v>#REF!</v>
      </c>
      <c r="S745" s="5" t="e">
        <f>IF(AND(#REF!&gt;=table!$C$8,#REF!&lt;= table!$D$8),-1,IF(AND(#REF!&gt;=table!$E$8,#REF!&lt;=table!$F$8),1,0))</f>
        <v>#REF!</v>
      </c>
      <c r="T745" s="5"/>
      <c r="U745" s="5" t="e">
        <f>IF(AND(#REF!&gt;=table!$C$10,#REF!&lt;= table!$D$10),-1,IF(AND(#REF!&gt;=table!$E$10,#REF!&lt;=table!$F$10),1,0))</f>
        <v>#REF!</v>
      </c>
      <c r="V745" s="5" t="e">
        <f>IF(AND(#REF!&gt;=table!$C$11,#REF!&lt;= table!$D$11),-1,IF(AND(#REF!&gt;=table!$E$11,#REF!&lt;=table!$F$11),1,0))</f>
        <v>#REF!</v>
      </c>
      <c r="W745" s="5" t="e">
        <f>CONCATENATE(dados[[#This Row],[fator1]],dados[[#This Row],[fator5]],dados[[#This Row],[fator6]])</f>
        <v>#REF!</v>
      </c>
    </row>
    <row r="746" spans="1:23">
      <c r="A746" t="s">
        <v>17</v>
      </c>
      <c r="B746">
        <v>482941</v>
      </c>
      <c r="C746">
        <v>16</v>
      </c>
      <c r="D746">
        <v>35</v>
      </c>
      <c r="E746">
        <v>120</v>
      </c>
      <c r="F746">
        <v>4</v>
      </c>
      <c r="G746">
        <v>30</v>
      </c>
      <c r="H746">
        <v>20</v>
      </c>
      <c r="I746">
        <v>187</v>
      </c>
      <c r="J746">
        <v>0</v>
      </c>
      <c r="K746">
        <v>2.56</v>
      </c>
      <c r="L746">
        <v>6.15</v>
      </c>
      <c r="M746">
        <v>109.2</v>
      </c>
      <c r="N746">
        <v>10.4</v>
      </c>
      <c r="O746">
        <v>1682</v>
      </c>
      <c r="P746">
        <v>1442</v>
      </c>
      <c r="Q746" s="5" t="e">
        <f>IF(AND(#REF!&gt;=table!$C$6,#REF!&lt;= table!$D$6),-1,IF(AND(#REF!&gt;=table!$E$6,#REF!&lt;=table!$F$6),1,0))</f>
        <v>#REF!</v>
      </c>
      <c r="R746" s="5" t="e">
        <f>IF(AND(#REF!&gt;=table!$C$7,#REF!&lt;= table!$D$7),-1,IF(AND(#REF!&gt;=table!$E$7,#REF!&lt;=table!$F$7),1,0))</f>
        <v>#REF!</v>
      </c>
      <c r="S746" s="5" t="e">
        <f>IF(AND(#REF!&gt;=table!$C$8,#REF!&lt;= table!$D$8),-1,IF(AND(#REF!&gt;=table!$E$8,#REF!&lt;=table!$F$8),1,0))</f>
        <v>#REF!</v>
      </c>
      <c r="T746" s="5"/>
      <c r="U746" s="5" t="e">
        <f>IF(AND(#REF!&gt;=table!$C$10,#REF!&lt;= table!$D$10),-1,IF(AND(#REF!&gt;=table!$E$10,#REF!&lt;=table!$F$10),1,0))</f>
        <v>#REF!</v>
      </c>
      <c r="V746" s="5" t="e">
        <f>IF(AND(#REF!&gt;=table!$C$11,#REF!&lt;= table!$D$11),-1,IF(AND(#REF!&gt;=table!$E$11,#REF!&lt;=table!$F$11),1,0))</f>
        <v>#REF!</v>
      </c>
      <c r="W746" s="5" t="e">
        <f>CONCATENATE(dados[[#This Row],[fator1]],dados[[#This Row],[fator5]],dados[[#This Row],[fator6]])</f>
        <v>#REF!</v>
      </c>
    </row>
    <row r="747" spans="1:23">
      <c r="A747" t="s">
        <v>16</v>
      </c>
      <c r="B747">
        <v>482946</v>
      </c>
      <c r="C747">
        <v>11</v>
      </c>
      <c r="D747">
        <v>40</v>
      </c>
      <c r="E747">
        <v>151</v>
      </c>
      <c r="F747">
        <v>8</v>
      </c>
      <c r="G747">
        <v>0</v>
      </c>
      <c r="H747">
        <v>25</v>
      </c>
      <c r="I747">
        <v>39</v>
      </c>
      <c r="J747">
        <v>0</v>
      </c>
      <c r="K747">
        <v>4.0449999999999999</v>
      </c>
      <c r="L747">
        <v>14.1</v>
      </c>
      <c r="M747">
        <v>125.55</v>
      </c>
      <c r="N747">
        <v>16</v>
      </c>
      <c r="O747">
        <v>1669</v>
      </c>
      <c r="P747">
        <v>809</v>
      </c>
      <c r="Q747" s="5" t="e">
        <f>IF(AND(#REF!&gt;=table!$C$6,#REF!&lt;= table!$D$6),-1,IF(AND(#REF!&gt;=table!$E$6,#REF!&lt;=table!$F$6),1,0))</f>
        <v>#REF!</v>
      </c>
      <c r="R747" s="5" t="e">
        <f>IF(AND(#REF!&gt;=table!$C$7,#REF!&lt;= table!$D$7),-1,IF(AND(#REF!&gt;=table!$E$7,#REF!&lt;=table!$F$7),1,0))</f>
        <v>#REF!</v>
      </c>
      <c r="S747" s="5" t="e">
        <f>IF(AND(#REF!&gt;=table!$C$8,#REF!&lt;= table!$D$8),-1,IF(AND(#REF!&gt;=table!$E$8,#REF!&lt;=table!$F$8),1,0))</f>
        <v>#REF!</v>
      </c>
      <c r="T747" s="5"/>
      <c r="U747" s="5" t="e">
        <f>IF(AND(#REF!&gt;=table!$C$10,#REF!&lt;= table!$D$10),-1,IF(AND(#REF!&gt;=table!$E$10,#REF!&lt;=table!$F$10),1,0))</f>
        <v>#REF!</v>
      </c>
      <c r="V747" s="5" t="e">
        <f>IF(AND(#REF!&gt;=table!$C$11,#REF!&lt;= table!$D$11),-1,IF(AND(#REF!&gt;=table!$E$11,#REF!&lt;=table!$F$11),1,0))</f>
        <v>#REF!</v>
      </c>
      <c r="W747" s="5" t="e">
        <f>CONCATENATE(dados[[#This Row],[fator1]],dados[[#This Row],[fator5]],dados[[#This Row],[fator6]])</f>
        <v>#REF!</v>
      </c>
    </row>
    <row r="748" spans="1:23">
      <c r="A748" t="s">
        <v>16</v>
      </c>
      <c r="B748">
        <v>482947</v>
      </c>
      <c r="C748">
        <v>11</v>
      </c>
      <c r="D748">
        <v>40</v>
      </c>
      <c r="E748">
        <v>151</v>
      </c>
      <c r="F748">
        <v>8</v>
      </c>
      <c r="G748">
        <v>0</v>
      </c>
      <c r="H748">
        <v>25</v>
      </c>
      <c r="I748">
        <v>211</v>
      </c>
      <c r="J748">
        <v>0</v>
      </c>
      <c r="K748">
        <v>8.4850000000000012</v>
      </c>
      <c r="L748">
        <v>17.8</v>
      </c>
      <c r="M748">
        <v>144.51500000000001</v>
      </c>
      <c r="N748">
        <v>18.77</v>
      </c>
      <c r="O748">
        <v>1680</v>
      </c>
      <c r="P748">
        <v>0</v>
      </c>
      <c r="Q748" s="5" t="e">
        <f>IF(AND(#REF!&gt;=table!$C$6,#REF!&lt;= table!$D$6),-1,IF(AND(#REF!&gt;=table!$E$6,#REF!&lt;=table!$F$6),1,0))</f>
        <v>#REF!</v>
      </c>
      <c r="R748" s="5" t="e">
        <f>IF(AND(#REF!&gt;=table!$C$7,#REF!&lt;= table!$D$7),-1,IF(AND(#REF!&gt;=table!$E$7,#REF!&lt;=table!$F$7),1,0))</f>
        <v>#REF!</v>
      </c>
      <c r="S748" s="5" t="e">
        <f>IF(AND(#REF!&gt;=table!$C$8,#REF!&lt;= table!$D$8),-1,IF(AND(#REF!&gt;=table!$E$8,#REF!&lt;=table!$F$8),1,0))</f>
        <v>#REF!</v>
      </c>
      <c r="T748" s="5"/>
      <c r="U748" s="5" t="e">
        <f>IF(AND(#REF!&gt;=table!$C$10,#REF!&lt;= table!$D$10),-1,IF(AND(#REF!&gt;=table!$E$10,#REF!&lt;=table!$F$10),1,0))</f>
        <v>#REF!</v>
      </c>
      <c r="V748" s="5" t="e">
        <f>IF(AND(#REF!&gt;=table!$C$11,#REF!&lt;= table!$D$11),-1,IF(AND(#REF!&gt;=table!$E$11,#REF!&lt;=table!$F$11),1,0))</f>
        <v>#REF!</v>
      </c>
      <c r="W748" s="5" t="e">
        <f>CONCATENATE(dados[[#This Row],[fator1]],dados[[#This Row],[fator5]],dados[[#This Row],[fator6]])</f>
        <v>#REF!</v>
      </c>
    </row>
    <row r="749" spans="1:23">
      <c r="A749" t="s">
        <v>16</v>
      </c>
      <c r="B749">
        <v>482948</v>
      </c>
      <c r="C749">
        <v>11</v>
      </c>
      <c r="D749">
        <v>40</v>
      </c>
      <c r="E749">
        <v>151</v>
      </c>
      <c r="F749">
        <v>8</v>
      </c>
      <c r="G749">
        <v>0</v>
      </c>
      <c r="H749">
        <v>25</v>
      </c>
      <c r="I749">
        <v>37</v>
      </c>
      <c r="J749">
        <v>0</v>
      </c>
      <c r="K749">
        <v>6.21</v>
      </c>
      <c r="L749">
        <v>14.700000000000001</v>
      </c>
      <c r="M749">
        <v>111.4</v>
      </c>
      <c r="N749">
        <v>16.285</v>
      </c>
      <c r="O749">
        <v>1681</v>
      </c>
      <c r="P749">
        <v>573</v>
      </c>
      <c r="Q749" s="5" t="e">
        <f>IF(AND(#REF!&gt;=table!$C$6,#REF!&lt;= table!$D$6),-1,IF(AND(#REF!&gt;=table!$E$6,#REF!&lt;=table!$F$6),1,0))</f>
        <v>#REF!</v>
      </c>
      <c r="R749" s="5" t="e">
        <f>IF(AND(#REF!&gt;=table!$C$7,#REF!&lt;= table!$D$7),-1,IF(AND(#REF!&gt;=table!$E$7,#REF!&lt;=table!$F$7),1,0))</f>
        <v>#REF!</v>
      </c>
      <c r="S749" s="5" t="e">
        <f>IF(AND(#REF!&gt;=table!$C$8,#REF!&lt;= table!$D$8),-1,IF(AND(#REF!&gt;=table!$E$8,#REF!&lt;=table!$F$8),1,0))</f>
        <v>#REF!</v>
      </c>
      <c r="T749" s="5"/>
      <c r="U749" s="5" t="e">
        <f>IF(AND(#REF!&gt;=table!$C$10,#REF!&lt;= table!$D$10),-1,IF(AND(#REF!&gt;=table!$E$10,#REF!&lt;=table!$F$10),1,0))</f>
        <v>#REF!</v>
      </c>
      <c r="V749" s="5" t="e">
        <f>IF(AND(#REF!&gt;=table!$C$11,#REF!&lt;= table!$D$11),-1,IF(AND(#REF!&gt;=table!$E$11,#REF!&lt;=table!$F$11),1,0))</f>
        <v>#REF!</v>
      </c>
      <c r="W749" s="5" t="e">
        <f>CONCATENATE(dados[[#This Row],[fator1]],dados[[#This Row],[fator5]],dados[[#This Row],[fator6]])</f>
        <v>#REF!</v>
      </c>
    </row>
    <row r="750" spans="1:23">
      <c r="A750" t="s">
        <v>16</v>
      </c>
      <c r="B750">
        <v>482957</v>
      </c>
      <c r="C750">
        <v>10</v>
      </c>
      <c r="D750">
        <v>40</v>
      </c>
      <c r="E750">
        <v>136</v>
      </c>
      <c r="F750">
        <v>6</v>
      </c>
      <c r="G750">
        <v>0</v>
      </c>
      <c r="H750">
        <v>25</v>
      </c>
      <c r="I750">
        <v>191</v>
      </c>
      <c r="J750">
        <v>810</v>
      </c>
      <c r="K750">
        <v>3.6850000000000001</v>
      </c>
      <c r="L750">
        <v>9.8000000000000007</v>
      </c>
      <c r="M750">
        <v>126.5</v>
      </c>
      <c r="N750">
        <v>18.45</v>
      </c>
      <c r="O750">
        <v>1679</v>
      </c>
      <c r="P750">
        <v>0</v>
      </c>
      <c r="Q750" s="5" t="e">
        <f>IF(AND(#REF!&gt;=table!$C$6,#REF!&lt;= table!$D$6),-1,IF(AND(#REF!&gt;=table!$E$6,#REF!&lt;=table!$F$6),1,0))</f>
        <v>#REF!</v>
      </c>
      <c r="R750" s="5" t="e">
        <f>IF(AND(#REF!&gt;=table!$C$7,#REF!&lt;= table!$D$7),-1,IF(AND(#REF!&gt;=table!$E$7,#REF!&lt;=table!$F$7),1,0))</f>
        <v>#REF!</v>
      </c>
      <c r="S750" s="5" t="e">
        <f>IF(AND(#REF!&gt;=table!$C$8,#REF!&lt;= table!$D$8),-1,IF(AND(#REF!&gt;=table!$E$8,#REF!&lt;=table!$F$8),1,0))</f>
        <v>#REF!</v>
      </c>
      <c r="T750" s="5"/>
      <c r="U750" s="5" t="e">
        <f>IF(AND(#REF!&gt;=table!$C$10,#REF!&lt;= table!$D$10),-1,IF(AND(#REF!&gt;=table!$E$10,#REF!&lt;=table!$F$10),1,0))</f>
        <v>#REF!</v>
      </c>
      <c r="V750" s="5" t="e">
        <f>IF(AND(#REF!&gt;=table!$C$11,#REF!&lt;= table!$D$11),-1,IF(AND(#REF!&gt;=table!$E$11,#REF!&lt;=table!$F$11),1,0))</f>
        <v>#REF!</v>
      </c>
      <c r="W750" s="5" t="e">
        <f>CONCATENATE(dados[[#This Row],[fator1]],dados[[#This Row],[fator5]],dados[[#This Row],[fator6]])</f>
        <v>#REF!</v>
      </c>
    </row>
    <row r="751" spans="1:23">
      <c r="A751" t="s">
        <v>16</v>
      </c>
      <c r="B751">
        <v>482958</v>
      </c>
      <c r="C751">
        <v>0.1</v>
      </c>
      <c r="D751">
        <v>40</v>
      </c>
      <c r="E751">
        <v>10</v>
      </c>
      <c r="F751">
        <v>8</v>
      </c>
      <c r="G751">
        <v>0</v>
      </c>
      <c r="H751">
        <v>10</v>
      </c>
      <c r="I751">
        <v>1004</v>
      </c>
      <c r="J751">
        <v>0</v>
      </c>
      <c r="K751">
        <v>3.1850000000000001</v>
      </c>
      <c r="L751">
        <v>8.75</v>
      </c>
      <c r="M751">
        <v>7.3500000000000005</v>
      </c>
      <c r="N751">
        <v>9.5500000000000007</v>
      </c>
      <c r="O751">
        <v>1676</v>
      </c>
      <c r="P751">
        <v>1151</v>
      </c>
      <c r="Q751" s="5" t="e">
        <f>IF(AND(#REF!&gt;=table!$C$6,#REF!&lt;= table!$D$6),-1,IF(AND(#REF!&gt;=table!$E$6,#REF!&lt;=table!$F$6),1,0))</f>
        <v>#REF!</v>
      </c>
      <c r="R751" s="5" t="e">
        <f>IF(AND(#REF!&gt;=table!$C$7,#REF!&lt;= table!$D$7),-1,IF(AND(#REF!&gt;=table!$E$7,#REF!&lt;=table!$F$7),1,0))</f>
        <v>#REF!</v>
      </c>
      <c r="S751" s="5" t="e">
        <f>IF(AND(#REF!&gt;=table!$C$8,#REF!&lt;= table!$D$8),-1,IF(AND(#REF!&gt;=table!$E$8,#REF!&lt;=table!$F$8),1,0))</f>
        <v>#REF!</v>
      </c>
      <c r="T751" s="5"/>
      <c r="U751" s="5" t="e">
        <f>IF(AND(#REF!&gt;=table!$C$10,#REF!&lt;= table!$D$10),-1,IF(AND(#REF!&gt;=table!$E$10,#REF!&lt;=table!$F$10),1,0))</f>
        <v>#REF!</v>
      </c>
      <c r="V751" s="5" t="e">
        <f>IF(AND(#REF!&gt;=table!$C$11,#REF!&lt;= table!$D$11),-1,IF(AND(#REF!&gt;=table!$E$11,#REF!&lt;=table!$F$11),1,0))</f>
        <v>#REF!</v>
      </c>
      <c r="W751" s="5" t="e">
        <f>CONCATENATE(dados[[#This Row],[fator1]],dados[[#This Row],[fator5]],dados[[#This Row],[fator6]])</f>
        <v>#REF!</v>
      </c>
    </row>
    <row r="752" spans="1:23">
      <c r="A752" t="s">
        <v>17</v>
      </c>
      <c r="B752">
        <v>482966</v>
      </c>
      <c r="C752">
        <v>8</v>
      </c>
      <c r="D752">
        <v>30</v>
      </c>
      <c r="E752">
        <v>153</v>
      </c>
      <c r="F752">
        <v>2</v>
      </c>
      <c r="G752">
        <v>20</v>
      </c>
      <c r="H752">
        <v>18</v>
      </c>
      <c r="I752">
        <v>874</v>
      </c>
      <c r="J752">
        <v>0</v>
      </c>
      <c r="K752">
        <v>3.5950000000000002</v>
      </c>
      <c r="L752">
        <v>9.9500000000000011</v>
      </c>
      <c r="M752">
        <v>127.75</v>
      </c>
      <c r="N752">
        <v>13.35</v>
      </c>
      <c r="O752">
        <v>1712</v>
      </c>
      <c r="P752">
        <v>1130</v>
      </c>
      <c r="Q752" s="5" t="e">
        <f>IF(AND(#REF!&gt;=table!$C$6,#REF!&lt;= table!$D$6),-1,IF(AND(#REF!&gt;=table!$E$6,#REF!&lt;=table!$F$6),1,0))</f>
        <v>#REF!</v>
      </c>
      <c r="R752" s="5" t="e">
        <f>IF(AND(#REF!&gt;=table!$C$7,#REF!&lt;= table!$D$7),-1,IF(AND(#REF!&gt;=table!$E$7,#REF!&lt;=table!$F$7),1,0))</f>
        <v>#REF!</v>
      </c>
      <c r="S752" s="5" t="e">
        <f>IF(AND(#REF!&gt;=table!$C$8,#REF!&lt;= table!$D$8),-1,IF(AND(#REF!&gt;=table!$E$8,#REF!&lt;=table!$F$8),1,0))</f>
        <v>#REF!</v>
      </c>
      <c r="T752" s="5"/>
      <c r="U752" s="5" t="e">
        <f>IF(AND(#REF!&gt;=table!$C$10,#REF!&lt;= table!$D$10),-1,IF(AND(#REF!&gt;=table!$E$10,#REF!&lt;=table!$F$10),1,0))</f>
        <v>#REF!</v>
      </c>
      <c r="V752" s="5" t="e">
        <f>IF(AND(#REF!&gt;=table!$C$11,#REF!&lt;= table!$D$11),-1,IF(AND(#REF!&gt;=table!$E$11,#REF!&lt;=table!$F$11),1,0))</f>
        <v>#REF!</v>
      </c>
      <c r="W752" s="5" t="e">
        <f>CONCATENATE(dados[[#This Row],[fator1]],dados[[#This Row],[fator5]],dados[[#This Row],[fator6]])</f>
        <v>#REF!</v>
      </c>
    </row>
    <row r="753" spans="1:23">
      <c r="A753" t="s">
        <v>17</v>
      </c>
      <c r="B753">
        <v>482970</v>
      </c>
      <c r="C753">
        <v>14</v>
      </c>
      <c r="D753">
        <v>30</v>
      </c>
      <c r="E753">
        <v>110</v>
      </c>
      <c r="F753">
        <v>4</v>
      </c>
      <c r="G753">
        <v>20</v>
      </c>
      <c r="H753">
        <v>22</v>
      </c>
      <c r="I753">
        <v>69</v>
      </c>
      <c r="J753">
        <v>0</v>
      </c>
      <c r="K753">
        <v>5.085</v>
      </c>
      <c r="L753">
        <v>12.120000000000001</v>
      </c>
      <c r="M753">
        <v>97.83</v>
      </c>
      <c r="N753">
        <v>15.995000000000001</v>
      </c>
      <c r="O753">
        <v>1675</v>
      </c>
      <c r="P753">
        <v>0</v>
      </c>
      <c r="Q753" s="5" t="e">
        <f>IF(AND(#REF!&gt;=table!$C$6,#REF!&lt;= table!$D$6),-1,IF(AND(#REF!&gt;=table!$E$6,#REF!&lt;=table!$F$6),1,0))</f>
        <v>#REF!</v>
      </c>
      <c r="R753" s="5" t="e">
        <f>IF(AND(#REF!&gt;=table!$C$7,#REF!&lt;= table!$D$7),-1,IF(AND(#REF!&gt;=table!$E$7,#REF!&lt;=table!$F$7),1,0))</f>
        <v>#REF!</v>
      </c>
      <c r="S753" s="5" t="e">
        <f>IF(AND(#REF!&gt;=table!$C$8,#REF!&lt;= table!$D$8),-1,IF(AND(#REF!&gt;=table!$E$8,#REF!&lt;=table!$F$8),1,0))</f>
        <v>#REF!</v>
      </c>
      <c r="T753" s="5"/>
      <c r="U753" s="5" t="e">
        <f>IF(AND(#REF!&gt;=table!$C$10,#REF!&lt;= table!$D$10),-1,IF(AND(#REF!&gt;=table!$E$10,#REF!&lt;=table!$F$10),1,0))</f>
        <v>#REF!</v>
      </c>
      <c r="V753" s="5" t="e">
        <f>IF(AND(#REF!&gt;=table!$C$11,#REF!&lt;= table!$D$11),-1,IF(AND(#REF!&gt;=table!$E$11,#REF!&lt;=table!$F$11),1,0))</f>
        <v>#REF!</v>
      </c>
      <c r="W753" s="5" t="e">
        <f>CONCATENATE(dados[[#This Row],[fator1]],dados[[#This Row],[fator5]],dados[[#This Row],[fator6]])</f>
        <v>#REF!</v>
      </c>
    </row>
    <row r="754" spans="1:23">
      <c r="A754" t="s">
        <v>16</v>
      </c>
      <c r="B754">
        <v>482985</v>
      </c>
      <c r="C754">
        <v>9</v>
      </c>
      <c r="D754">
        <v>35</v>
      </c>
      <c r="E754">
        <v>36</v>
      </c>
      <c r="F754">
        <v>9</v>
      </c>
      <c r="G754">
        <v>0</v>
      </c>
      <c r="H754">
        <v>25</v>
      </c>
      <c r="I754">
        <v>1718</v>
      </c>
      <c r="J754">
        <v>0</v>
      </c>
      <c r="K754">
        <v>3.9850000000000003</v>
      </c>
      <c r="L754">
        <v>8.4</v>
      </c>
      <c r="M754">
        <v>28.75</v>
      </c>
      <c r="N754">
        <v>15.950000000000001</v>
      </c>
      <c r="O754">
        <v>1648</v>
      </c>
      <c r="P754">
        <v>731</v>
      </c>
      <c r="Q754" s="5" t="e">
        <f>IF(AND(#REF!&gt;=table!$C$6,#REF!&lt;= table!$D$6),-1,IF(AND(#REF!&gt;=table!$E$6,#REF!&lt;=table!$F$6),1,0))</f>
        <v>#REF!</v>
      </c>
      <c r="R754" s="5" t="e">
        <f>IF(AND(#REF!&gt;=table!$C$7,#REF!&lt;= table!$D$7),-1,IF(AND(#REF!&gt;=table!$E$7,#REF!&lt;=table!$F$7),1,0))</f>
        <v>#REF!</v>
      </c>
      <c r="S754" s="5" t="e">
        <f>IF(AND(#REF!&gt;=table!$C$8,#REF!&lt;= table!$D$8),-1,IF(AND(#REF!&gt;=table!$E$8,#REF!&lt;=table!$F$8),1,0))</f>
        <v>#REF!</v>
      </c>
      <c r="T754" s="5"/>
      <c r="U754" s="5" t="e">
        <f>IF(AND(#REF!&gt;=table!$C$10,#REF!&lt;= table!$D$10),-1,IF(AND(#REF!&gt;=table!$E$10,#REF!&lt;=table!$F$10),1,0))</f>
        <v>#REF!</v>
      </c>
      <c r="V754" s="5" t="e">
        <f>IF(AND(#REF!&gt;=table!$C$11,#REF!&lt;= table!$D$11),-1,IF(AND(#REF!&gt;=table!$E$11,#REF!&lt;=table!$F$11),1,0))</f>
        <v>#REF!</v>
      </c>
      <c r="W754" s="5" t="e">
        <f>CONCATENATE(dados[[#This Row],[fator1]],dados[[#This Row],[fator5]],dados[[#This Row],[fator6]])</f>
        <v>#REF!</v>
      </c>
    </row>
    <row r="755" spans="1:23">
      <c r="A755" t="s">
        <v>16</v>
      </c>
      <c r="B755">
        <v>482989</v>
      </c>
      <c r="C755">
        <v>9</v>
      </c>
      <c r="D755">
        <v>35</v>
      </c>
      <c r="E755">
        <v>36</v>
      </c>
      <c r="F755">
        <v>9</v>
      </c>
      <c r="G755">
        <v>0</v>
      </c>
      <c r="H755">
        <v>25</v>
      </c>
      <c r="I755">
        <v>1235</v>
      </c>
      <c r="J755">
        <v>0</v>
      </c>
      <c r="K755">
        <v>4.5933000000000002</v>
      </c>
      <c r="L755">
        <v>4.0999999999999996</v>
      </c>
      <c r="M755">
        <v>31.55</v>
      </c>
      <c r="N755">
        <v>8.4</v>
      </c>
      <c r="O755">
        <v>1668</v>
      </c>
      <c r="P755">
        <v>813</v>
      </c>
      <c r="Q755" s="5" t="e">
        <f>IF(AND(#REF!&gt;=table!$C$6,#REF!&lt;= table!$D$6),-1,IF(AND(#REF!&gt;=table!$E$6,#REF!&lt;=table!$F$6),1,0))</f>
        <v>#REF!</v>
      </c>
      <c r="R755" s="5" t="e">
        <f>IF(AND(#REF!&gt;=table!$C$7,#REF!&lt;= table!$D$7),-1,IF(AND(#REF!&gt;=table!$E$7,#REF!&lt;=table!$F$7),1,0))</f>
        <v>#REF!</v>
      </c>
      <c r="S755" s="5" t="e">
        <f>IF(AND(#REF!&gt;=table!$C$8,#REF!&lt;= table!$D$8),-1,IF(AND(#REF!&gt;=table!$E$8,#REF!&lt;=table!$F$8),1,0))</f>
        <v>#REF!</v>
      </c>
      <c r="T755" s="5"/>
      <c r="U755" s="5" t="e">
        <f>IF(AND(#REF!&gt;=table!$C$10,#REF!&lt;= table!$D$10),-1,IF(AND(#REF!&gt;=table!$E$10,#REF!&lt;=table!$F$10),1,0))</f>
        <v>#REF!</v>
      </c>
      <c r="V755" s="5" t="e">
        <f>IF(AND(#REF!&gt;=table!$C$11,#REF!&lt;= table!$D$11),-1,IF(AND(#REF!&gt;=table!$E$11,#REF!&lt;=table!$F$11),1,0))</f>
        <v>#REF!</v>
      </c>
      <c r="W755" s="5" t="e">
        <f>CONCATENATE(dados[[#This Row],[fator1]],dados[[#This Row],[fator5]],dados[[#This Row],[fator6]])</f>
        <v>#REF!</v>
      </c>
    </row>
    <row r="756" spans="1:23">
      <c r="A756" t="s">
        <v>17</v>
      </c>
      <c r="B756">
        <v>482993</v>
      </c>
      <c r="C756">
        <v>15</v>
      </c>
      <c r="D756">
        <v>35</v>
      </c>
      <c r="E756">
        <v>120</v>
      </c>
      <c r="F756">
        <v>4</v>
      </c>
      <c r="G756">
        <v>15</v>
      </c>
      <c r="H756">
        <v>20</v>
      </c>
      <c r="I756">
        <v>6</v>
      </c>
      <c r="J756">
        <v>0</v>
      </c>
      <c r="K756">
        <v>2.7050000000000001</v>
      </c>
      <c r="L756">
        <v>8.3000000000000007</v>
      </c>
      <c r="M756">
        <v>91.8</v>
      </c>
      <c r="N756">
        <v>11.75</v>
      </c>
      <c r="O756">
        <v>1684</v>
      </c>
      <c r="P756">
        <v>1228</v>
      </c>
      <c r="Q756" s="5" t="e">
        <f>IF(AND(#REF!&gt;=table!$C$6,#REF!&lt;= table!$D$6),-1,IF(AND(#REF!&gt;=table!$E$6,#REF!&lt;=table!$F$6),1,0))</f>
        <v>#REF!</v>
      </c>
      <c r="R756" s="5" t="e">
        <f>IF(AND(#REF!&gt;=table!$C$7,#REF!&lt;= table!$D$7),-1,IF(AND(#REF!&gt;=table!$E$7,#REF!&lt;=table!$F$7),1,0))</f>
        <v>#REF!</v>
      </c>
      <c r="S756" s="5" t="e">
        <f>IF(AND(#REF!&gt;=table!$C$8,#REF!&lt;= table!$D$8),-1,IF(AND(#REF!&gt;=table!$E$8,#REF!&lt;=table!$F$8),1,0))</f>
        <v>#REF!</v>
      </c>
      <c r="T756" s="5"/>
      <c r="U756" s="5" t="e">
        <f>IF(AND(#REF!&gt;=table!$C$10,#REF!&lt;= table!$D$10),-1,IF(AND(#REF!&gt;=table!$E$10,#REF!&lt;=table!$F$10),1,0))</f>
        <v>#REF!</v>
      </c>
      <c r="V756" s="5" t="e">
        <f>IF(AND(#REF!&gt;=table!$C$11,#REF!&lt;= table!$D$11),-1,IF(AND(#REF!&gt;=table!$E$11,#REF!&lt;=table!$F$11),1,0))</f>
        <v>#REF!</v>
      </c>
      <c r="W756" s="5" t="e">
        <f>CONCATENATE(dados[[#This Row],[fator1]],dados[[#This Row],[fator5]],dados[[#This Row],[fator6]])</f>
        <v>#REF!</v>
      </c>
    </row>
    <row r="757" spans="1:23">
      <c r="A757" t="s">
        <v>16</v>
      </c>
      <c r="B757">
        <v>483005</v>
      </c>
      <c r="C757">
        <v>16</v>
      </c>
      <c r="D757">
        <v>35</v>
      </c>
      <c r="E757">
        <v>56</v>
      </c>
      <c r="F757">
        <v>10</v>
      </c>
      <c r="G757">
        <v>0</v>
      </c>
      <c r="H757">
        <v>25</v>
      </c>
      <c r="I757">
        <v>10</v>
      </c>
      <c r="J757">
        <v>0</v>
      </c>
      <c r="K757">
        <v>6.5550000000000006</v>
      </c>
      <c r="L757">
        <v>10.55</v>
      </c>
      <c r="M757">
        <v>53.7</v>
      </c>
      <c r="N757">
        <v>8.1999999999999993</v>
      </c>
      <c r="O757">
        <v>1743</v>
      </c>
      <c r="P757">
        <v>0</v>
      </c>
      <c r="Q757" s="5" t="e">
        <f>IF(AND(#REF!&gt;=table!$C$6,#REF!&lt;= table!$D$6),-1,IF(AND(#REF!&gt;=table!$E$6,#REF!&lt;=table!$F$6),1,0))</f>
        <v>#REF!</v>
      </c>
      <c r="R757" s="5" t="e">
        <f>IF(AND(#REF!&gt;=table!$C$7,#REF!&lt;= table!$D$7),-1,IF(AND(#REF!&gt;=table!$E$7,#REF!&lt;=table!$F$7),1,0))</f>
        <v>#REF!</v>
      </c>
      <c r="S757" s="5" t="e">
        <f>IF(AND(#REF!&gt;=table!$C$8,#REF!&lt;= table!$D$8),-1,IF(AND(#REF!&gt;=table!$E$8,#REF!&lt;=table!$F$8),1,0))</f>
        <v>#REF!</v>
      </c>
      <c r="T757" s="5"/>
      <c r="U757" s="5" t="e">
        <f>IF(AND(#REF!&gt;=table!$C$10,#REF!&lt;= table!$D$10),-1,IF(AND(#REF!&gt;=table!$E$10,#REF!&lt;=table!$F$10),1,0))</f>
        <v>#REF!</v>
      </c>
      <c r="V757" s="5" t="e">
        <f>IF(AND(#REF!&gt;=table!$C$11,#REF!&lt;= table!$D$11),-1,IF(AND(#REF!&gt;=table!$E$11,#REF!&lt;=table!$F$11),1,0))</f>
        <v>#REF!</v>
      </c>
      <c r="W757" s="5" t="e">
        <f>CONCATENATE(dados[[#This Row],[fator1]],dados[[#This Row],[fator5]],dados[[#This Row],[fator6]])</f>
        <v>#REF!</v>
      </c>
    </row>
    <row r="758" spans="1:23">
      <c r="A758" t="s">
        <v>16</v>
      </c>
      <c r="B758">
        <v>483018</v>
      </c>
      <c r="C758">
        <v>0.15</v>
      </c>
      <c r="D758">
        <v>40</v>
      </c>
      <c r="E758">
        <v>10</v>
      </c>
      <c r="F758">
        <v>15</v>
      </c>
      <c r="G758">
        <v>0</v>
      </c>
      <c r="H758">
        <v>15</v>
      </c>
      <c r="I758">
        <v>1108</v>
      </c>
      <c r="J758">
        <v>0</v>
      </c>
      <c r="K758">
        <v>2.5100000000000002</v>
      </c>
      <c r="L758">
        <v>6.5</v>
      </c>
      <c r="M758">
        <v>5.8500000000000005</v>
      </c>
      <c r="N758">
        <v>8.25</v>
      </c>
      <c r="O758">
        <v>1713</v>
      </c>
      <c r="P758">
        <v>0</v>
      </c>
      <c r="Q758" s="5" t="e">
        <f>IF(AND(#REF!&gt;=table!$C$6,#REF!&lt;= table!$D$6),-1,IF(AND(#REF!&gt;=table!$E$6,#REF!&lt;=table!$F$6),1,0))</f>
        <v>#REF!</v>
      </c>
      <c r="R758" s="5" t="e">
        <f>IF(AND(#REF!&gt;=table!$C$7,#REF!&lt;= table!$D$7),-1,IF(AND(#REF!&gt;=table!$E$7,#REF!&lt;=table!$F$7),1,0))</f>
        <v>#REF!</v>
      </c>
      <c r="S758" s="5" t="e">
        <f>IF(AND(#REF!&gt;=table!$C$8,#REF!&lt;= table!$D$8),-1,IF(AND(#REF!&gt;=table!$E$8,#REF!&lt;=table!$F$8),1,0))</f>
        <v>#REF!</v>
      </c>
      <c r="T758" s="5"/>
      <c r="U758" s="5" t="e">
        <f>IF(AND(#REF!&gt;=table!$C$10,#REF!&lt;= table!$D$10),-1,IF(AND(#REF!&gt;=table!$E$10,#REF!&lt;=table!$F$10),1,0))</f>
        <v>#REF!</v>
      </c>
      <c r="V758" s="5" t="e">
        <f>IF(AND(#REF!&gt;=table!$C$11,#REF!&lt;= table!$D$11),-1,IF(AND(#REF!&gt;=table!$E$11,#REF!&lt;=table!$F$11),1,0))</f>
        <v>#REF!</v>
      </c>
      <c r="W758" s="5" t="e">
        <f>CONCATENATE(dados[[#This Row],[fator1]],dados[[#This Row],[fator5]],dados[[#This Row],[fator6]])</f>
        <v>#REF!</v>
      </c>
    </row>
    <row r="759" spans="1:23">
      <c r="A759" t="s">
        <v>17</v>
      </c>
      <c r="B759">
        <v>483021</v>
      </c>
      <c r="C759">
        <v>14</v>
      </c>
      <c r="D759">
        <v>30</v>
      </c>
      <c r="E759">
        <v>110</v>
      </c>
      <c r="F759">
        <v>4</v>
      </c>
      <c r="G759">
        <v>20</v>
      </c>
      <c r="H759">
        <v>22</v>
      </c>
      <c r="I759">
        <v>678</v>
      </c>
      <c r="J759">
        <v>0</v>
      </c>
      <c r="K759">
        <v>2.7120000000000002</v>
      </c>
      <c r="L759">
        <v>6.5449999999999999</v>
      </c>
      <c r="M759">
        <v>86.45</v>
      </c>
      <c r="N759">
        <v>12</v>
      </c>
      <c r="O759">
        <v>1692</v>
      </c>
      <c r="P759">
        <v>0</v>
      </c>
      <c r="Q759" s="5" t="e">
        <f>IF(AND(#REF!&gt;=table!$C$6,#REF!&lt;= table!$D$6),-1,IF(AND(#REF!&gt;=table!$E$6,#REF!&lt;=table!$F$6),1,0))</f>
        <v>#REF!</v>
      </c>
      <c r="R759" s="5" t="e">
        <f>IF(AND(#REF!&gt;=table!$C$7,#REF!&lt;= table!$D$7),-1,IF(AND(#REF!&gt;=table!$E$7,#REF!&lt;=table!$F$7),1,0))</f>
        <v>#REF!</v>
      </c>
      <c r="S759" s="5" t="e">
        <f>IF(AND(#REF!&gt;=table!$C$8,#REF!&lt;= table!$D$8),-1,IF(AND(#REF!&gt;=table!$E$8,#REF!&lt;=table!$F$8),1,0))</f>
        <v>#REF!</v>
      </c>
      <c r="T759" s="5"/>
      <c r="U759" s="5" t="e">
        <f>IF(AND(#REF!&gt;=table!$C$10,#REF!&lt;= table!$D$10),-1,IF(AND(#REF!&gt;=table!$E$10,#REF!&lt;=table!$F$10),1,0))</f>
        <v>#REF!</v>
      </c>
      <c r="V759" s="5" t="e">
        <f>IF(AND(#REF!&gt;=table!$C$11,#REF!&lt;= table!$D$11),-1,IF(AND(#REF!&gt;=table!$E$11,#REF!&lt;=table!$F$11),1,0))</f>
        <v>#REF!</v>
      </c>
      <c r="W759" s="5" t="e">
        <f>CONCATENATE(dados[[#This Row],[fator1]],dados[[#This Row],[fator5]],dados[[#This Row],[fator6]])</f>
        <v>#REF!</v>
      </c>
    </row>
    <row r="760" spans="1:23">
      <c r="A760" t="s">
        <v>16</v>
      </c>
      <c r="B760">
        <v>483024</v>
      </c>
      <c r="C760">
        <v>12</v>
      </c>
      <c r="D760">
        <v>35</v>
      </c>
      <c r="E760">
        <v>86</v>
      </c>
      <c r="F760">
        <v>8</v>
      </c>
      <c r="G760">
        <v>0</v>
      </c>
      <c r="H760">
        <v>25</v>
      </c>
      <c r="I760">
        <v>992</v>
      </c>
      <c r="J760">
        <v>0</v>
      </c>
      <c r="K760">
        <v>4.04</v>
      </c>
      <c r="L760">
        <v>11.56</v>
      </c>
      <c r="M760">
        <v>82.245000000000005</v>
      </c>
      <c r="N760">
        <v>17.04</v>
      </c>
      <c r="O760">
        <v>1687</v>
      </c>
      <c r="P760">
        <v>1106</v>
      </c>
      <c r="Q760" s="5" t="e">
        <f>IF(AND(#REF!&gt;=table!$C$6,#REF!&lt;= table!$D$6),-1,IF(AND(#REF!&gt;=table!$E$6,#REF!&lt;=table!$F$6),1,0))</f>
        <v>#REF!</v>
      </c>
      <c r="R760" s="5" t="e">
        <f>IF(AND(#REF!&gt;=table!$C$7,#REF!&lt;= table!$D$7),-1,IF(AND(#REF!&gt;=table!$E$7,#REF!&lt;=table!$F$7),1,0))</f>
        <v>#REF!</v>
      </c>
      <c r="S760" s="5" t="e">
        <f>IF(AND(#REF!&gt;=table!$C$8,#REF!&lt;= table!$D$8),-1,IF(AND(#REF!&gt;=table!$E$8,#REF!&lt;=table!$F$8),1,0))</f>
        <v>#REF!</v>
      </c>
      <c r="T760" s="5"/>
      <c r="U760" s="5" t="e">
        <f>IF(AND(#REF!&gt;=table!$C$10,#REF!&lt;= table!$D$10),-1,IF(AND(#REF!&gt;=table!$E$10,#REF!&lt;=table!$F$10),1,0))</f>
        <v>#REF!</v>
      </c>
      <c r="V760" s="5" t="e">
        <f>IF(AND(#REF!&gt;=table!$C$11,#REF!&lt;= table!$D$11),-1,IF(AND(#REF!&gt;=table!$E$11,#REF!&lt;=table!$F$11),1,0))</f>
        <v>#REF!</v>
      </c>
      <c r="W760" s="5" t="e">
        <f>CONCATENATE(dados[[#This Row],[fator1]],dados[[#This Row],[fator5]],dados[[#This Row],[fator6]])</f>
        <v>#REF!</v>
      </c>
    </row>
    <row r="761" spans="1:23">
      <c r="A761" t="s">
        <v>17</v>
      </c>
      <c r="B761">
        <v>483025</v>
      </c>
      <c r="C761">
        <v>14</v>
      </c>
      <c r="D761">
        <v>30</v>
      </c>
      <c r="E761">
        <v>110</v>
      </c>
      <c r="F761">
        <v>4</v>
      </c>
      <c r="G761">
        <v>20</v>
      </c>
      <c r="H761">
        <v>22</v>
      </c>
      <c r="I761">
        <v>265</v>
      </c>
      <c r="J761">
        <v>0</v>
      </c>
      <c r="K761">
        <v>3.8850000000000002</v>
      </c>
      <c r="L761">
        <v>5.15</v>
      </c>
      <c r="M761">
        <v>88.564999999999998</v>
      </c>
      <c r="N761">
        <v>8.1</v>
      </c>
      <c r="O761">
        <v>1643</v>
      </c>
      <c r="P761">
        <v>0</v>
      </c>
      <c r="Q761" s="5" t="e">
        <f>IF(AND(#REF!&gt;=table!$C$6,#REF!&lt;= table!$D$6),-1,IF(AND(#REF!&gt;=table!$E$6,#REF!&lt;=table!$F$6),1,0))</f>
        <v>#REF!</v>
      </c>
      <c r="R761" s="5" t="e">
        <f>IF(AND(#REF!&gt;=table!$C$7,#REF!&lt;= table!$D$7),-1,IF(AND(#REF!&gt;=table!$E$7,#REF!&lt;=table!$F$7),1,0))</f>
        <v>#REF!</v>
      </c>
      <c r="S761" s="5" t="e">
        <f>IF(AND(#REF!&gt;=table!$C$8,#REF!&lt;= table!$D$8),-1,IF(AND(#REF!&gt;=table!$E$8,#REF!&lt;=table!$F$8),1,0))</f>
        <v>#REF!</v>
      </c>
      <c r="T761" s="5"/>
      <c r="U761" s="5" t="e">
        <f>IF(AND(#REF!&gt;=table!$C$10,#REF!&lt;= table!$D$10),-1,IF(AND(#REF!&gt;=table!$E$10,#REF!&lt;=table!$F$10),1,0))</f>
        <v>#REF!</v>
      </c>
      <c r="V761" s="5" t="e">
        <f>IF(AND(#REF!&gt;=table!$C$11,#REF!&lt;= table!$D$11),-1,IF(AND(#REF!&gt;=table!$E$11,#REF!&lt;=table!$F$11),1,0))</f>
        <v>#REF!</v>
      </c>
      <c r="W761" s="5" t="e">
        <f>CONCATENATE(dados[[#This Row],[fator1]],dados[[#This Row],[fator5]],dados[[#This Row],[fator6]])</f>
        <v>#REF!</v>
      </c>
    </row>
    <row r="762" spans="1:23">
      <c r="A762" t="s">
        <v>16</v>
      </c>
      <c r="B762">
        <v>483028</v>
      </c>
      <c r="C762">
        <v>15</v>
      </c>
      <c r="D762">
        <v>35</v>
      </c>
      <c r="E762">
        <v>86</v>
      </c>
      <c r="F762">
        <v>10</v>
      </c>
      <c r="G762">
        <v>0</v>
      </c>
      <c r="H762">
        <v>25</v>
      </c>
      <c r="I762">
        <v>1</v>
      </c>
      <c r="J762">
        <v>0</v>
      </c>
      <c r="K762">
        <v>17.510000000000002</v>
      </c>
      <c r="L762">
        <v>15.3</v>
      </c>
      <c r="M762">
        <v>72.55</v>
      </c>
      <c r="N762">
        <v>20.7</v>
      </c>
      <c r="O762">
        <v>1675</v>
      </c>
      <c r="P762">
        <v>220</v>
      </c>
      <c r="Q762" s="5" t="e">
        <f>IF(AND(#REF!&gt;=table!$C$6,#REF!&lt;= table!$D$6),-1,IF(AND(#REF!&gt;=table!$E$6,#REF!&lt;=table!$F$6),1,0))</f>
        <v>#REF!</v>
      </c>
      <c r="R762" s="5" t="e">
        <f>IF(AND(#REF!&gt;=table!$C$7,#REF!&lt;= table!$D$7),-1,IF(AND(#REF!&gt;=table!$E$7,#REF!&lt;=table!$F$7),1,0))</f>
        <v>#REF!</v>
      </c>
      <c r="S762" s="5" t="e">
        <f>IF(AND(#REF!&gt;=table!$C$8,#REF!&lt;= table!$D$8),-1,IF(AND(#REF!&gt;=table!$E$8,#REF!&lt;=table!$F$8),1,0))</f>
        <v>#REF!</v>
      </c>
      <c r="T762" s="5"/>
      <c r="U762" s="5" t="e">
        <f>IF(AND(#REF!&gt;=table!$C$10,#REF!&lt;= table!$D$10),-1,IF(AND(#REF!&gt;=table!$E$10,#REF!&lt;=table!$F$10),1,0))</f>
        <v>#REF!</v>
      </c>
      <c r="V762" s="5" t="e">
        <f>IF(AND(#REF!&gt;=table!$C$11,#REF!&lt;= table!$D$11),-1,IF(AND(#REF!&gt;=table!$E$11,#REF!&lt;=table!$F$11),1,0))</f>
        <v>#REF!</v>
      </c>
      <c r="W762" s="5" t="e">
        <f>CONCATENATE(dados[[#This Row],[fator1]],dados[[#This Row],[fator5]],dados[[#This Row],[fator6]])</f>
        <v>#REF!</v>
      </c>
    </row>
    <row r="763" spans="1:23">
      <c r="A763" t="s">
        <v>17</v>
      </c>
      <c r="B763">
        <v>483029</v>
      </c>
      <c r="C763">
        <v>14</v>
      </c>
      <c r="D763">
        <v>30</v>
      </c>
      <c r="E763">
        <v>110</v>
      </c>
      <c r="F763">
        <v>4</v>
      </c>
      <c r="G763">
        <v>20</v>
      </c>
      <c r="H763">
        <v>22</v>
      </c>
      <c r="I763">
        <v>637</v>
      </c>
      <c r="J763">
        <v>0</v>
      </c>
      <c r="K763">
        <v>3.5150000000000001</v>
      </c>
      <c r="L763">
        <v>8.0500000000000007</v>
      </c>
      <c r="M763">
        <v>104.85000000000001</v>
      </c>
      <c r="N763">
        <v>11.200000000000001</v>
      </c>
      <c r="O763">
        <v>1668</v>
      </c>
      <c r="P763">
        <v>921</v>
      </c>
      <c r="Q763" s="5" t="e">
        <f>IF(AND(#REF!&gt;=table!$C$6,#REF!&lt;= table!$D$6),-1,IF(AND(#REF!&gt;=table!$E$6,#REF!&lt;=table!$F$6),1,0))</f>
        <v>#REF!</v>
      </c>
      <c r="R763" s="5" t="e">
        <f>IF(AND(#REF!&gt;=table!$C$7,#REF!&lt;= table!$D$7),-1,IF(AND(#REF!&gt;=table!$E$7,#REF!&lt;=table!$F$7),1,0))</f>
        <v>#REF!</v>
      </c>
      <c r="S763" s="5" t="e">
        <f>IF(AND(#REF!&gt;=table!$C$8,#REF!&lt;= table!$D$8),-1,IF(AND(#REF!&gt;=table!$E$8,#REF!&lt;=table!$F$8),1,0))</f>
        <v>#REF!</v>
      </c>
      <c r="T763" s="5"/>
      <c r="U763" s="5" t="e">
        <f>IF(AND(#REF!&gt;=table!$C$10,#REF!&lt;= table!$D$10),-1,IF(AND(#REF!&gt;=table!$E$10,#REF!&lt;=table!$F$10),1,0))</f>
        <v>#REF!</v>
      </c>
      <c r="V763" s="5" t="e">
        <f>IF(AND(#REF!&gt;=table!$C$11,#REF!&lt;= table!$D$11),-1,IF(AND(#REF!&gt;=table!$E$11,#REF!&lt;=table!$F$11),1,0))</f>
        <v>#REF!</v>
      </c>
      <c r="W763" s="5" t="e">
        <f>CONCATENATE(dados[[#This Row],[fator1]],dados[[#This Row],[fator5]],dados[[#This Row],[fator6]])</f>
        <v>#REF!</v>
      </c>
    </row>
    <row r="764" spans="1:23">
      <c r="A764" t="s">
        <v>16</v>
      </c>
      <c r="B764">
        <v>483033</v>
      </c>
      <c r="C764">
        <v>8</v>
      </c>
      <c r="D764">
        <v>30</v>
      </c>
      <c r="E764">
        <v>86</v>
      </c>
      <c r="F764">
        <v>8</v>
      </c>
      <c r="G764">
        <v>0</v>
      </c>
      <c r="H764">
        <v>25</v>
      </c>
      <c r="I764">
        <v>805</v>
      </c>
      <c r="J764">
        <v>0</v>
      </c>
      <c r="K764">
        <v>2.7550000000000003</v>
      </c>
      <c r="L764">
        <v>5.95</v>
      </c>
      <c r="M764">
        <v>86.935000000000002</v>
      </c>
      <c r="N764">
        <v>11.040000000000001</v>
      </c>
      <c r="O764">
        <v>1685</v>
      </c>
      <c r="P764">
        <v>0</v>
      </c>
      <c r="Q764" s="5" t="e">
        <f>IF(AND(#REF!&gt;=table!$C$6,#REF!&lt;= table!$D$6),-1,IF(AND(#REF!&gt;=table!$E$6,#REF!&lt;=table!$F$6),1,0))</f>
        <v>#REF!</v>
      </c>
      <c r="R764" s="5" t="e">
        <f>IF(AND(#REF!&gt;=table!$C$7,#REF!&lt;= table!$D$7),-1,IF(AND(#REF!&gt;=table!$E$7,#REF!&lt;=table!$F$7),1,0))</f>
        <v>#REF!</v>
      </c>
      <c r="S764" s="5" t="e">
        <f>IF(AND(#REF!&gt;=table!$C$8,#REF!&lt;= table!$D$8),-1,IF(AND(#REF!&gt;=table!$E$8,#REF!&lt;=table!$F$8),1,0))</f>
        <v>#REF!</v>
      </c>
      <c r="T764" s="5"/>
      <c r="U764" s="5" t="e">
        <f>IF(AND(#REF!&gt;=table!$C$10,#REF!&lt;= table!$D$10),-1,IF(AND(#REF!&gt;=table!$E$10,#REF!&lt;=table!$F$10),1,0))</f>
        <v>#REF!</v>
      </c>
      <c r="V764" s="5" t="e">
        <f>IF(AND(#REF!&gt;=table!$C$11,#REF!&lt;= table!$D$11),-1,IF(AND(#REF!&gt;=table!$E$11,#REF!&lt;=table!$F$11),1,0))</f>
        <v>#REF!</v>
      </c>
      <c r="W764" s="5" t="e">
        <f>CONCATENATE(dados[[#This Row],[fator1]],dados[[#This Row],[fator5]],dados[[#This Row],[fator6]])</f>
        <v>#REF!</v>
      </c>
    </row>
    <row r="765" spans="1:23">
      <c r="A765" t="s">
        <v>17</v>
      </c>
      <c r="B765">
        <v>483050</v>
      </c>
      <c r="C765">
        <v>20</v>
      </c>
      <c r="D765">
        <v>33</v>
      </c>
      <c r="E765">
        <v>40</v>
      </c>
      <c r="F765">
        <v>5</v>
      </c>
      <c r="G765">
        <v>20</v>
      </c>
      <c r="H765">
        <v>25</v>
      </c>
      <c r="I765">
        <v>744</v>
      </c>
      <c r="J765">
        <v>0</v>
      </c>
      <c r="K765">
        <v>2.21</v>
      </c>
      <c r="L765">
        <v>4.05</v>
      </c>
      <c r="M765">
        <v>34.800000000000004</v>
      </c>
      <c r="N765">
        <v>9.75</v>
      </c>
      <c r="O765">
        <v>1705</v>
      </c>
      <c r="P765">
        <v>0</v>
      </c>
      <c r="Q765" s="5" t="e">
        <f>IF(AND(#REF!&gt;=table!$C$6,#REF!&lt;= table!$D$6),-1,IF(AND(#REF!&gt;=table!$E$6,#REF!&lt;=table!$F$6),1,0))</f>
        <v>#REF!</v>
      </c>
      <c r="R765" s="5" t="e">
        <f>IF(AND(#REF!&gt;=table!$C$7,#REF!&lt;= table!$D$7),-1,IF(AND(#REF!&gt;=table!$E$7,#REF!&lt;=table!$F$7),1,0))</f>
        <v>#REF!</v>
      </c>
      <c r="S765" s="5" t="e">
        <f>IF(AND(#REF!&gt;=table!$C$8,#REF!&lt;= table!$D$8),-1,IF(AND(#REF!&gt;=table!$E$8,#REF!&lt;=table!$F$8),1,0))</f>
        <v>#REF!</v>
      </c>
      <c r="T765" s="5"/>
      <c r="U765" s="5" t="e">
        <f>IF(AND(#REF!&gt;=table!$C$10,#REF!&lt;= table!$D$10),-1,IF(AND(#REF!&gt;=table!$E$10,#REF!&lt;=table!$F$10),1,0))</f>
        <v>#REF!</v>
      </c>
      <c r="V765" s="5" t="e">
        <f>IF(AND(#REF!&gt;=table!$C$11,#REF!&lt;= table!$D$11),-1,IF(AND(#REF!&gt;=table!$E$11,#REF!&lt;=table!$F$11),1,0))</f>
        <v>#REF!</v>
      </c>
      <c r="W765" s="5" t="e">
        <f>CONCATENATE(dados[[#This Row],[fator1]],dados[[#This Row],[fator5]],dados[[#This Row],[fator6]])</f>
        <v>#REF!</v>
      </c>
    </row>
    <row r="766" spans="1:23">
      <c r="A766" t="s">
        <v>17</v>
      </c>
      <c r="B766">
        <v>483051</v>
      </c>
      <c r="C766">
        <v>20</v>
      </c>
      <c r="D766">
        <v>33</v>
      </c>
      <c r="E766">
        <v>40</v>
      </c>
      <c r="F766">
        <v>5</v>
      </c>
      <c r="G766">
        <v>20</v>
      </c>
      <c r="H766">
        <v>25</v>
      </c>
      <c r="I766">
        <v>983</v>
      </c>
      <c r="J766">
        <v>0</v>
      </c>
      <c r="K766">
        <v>2.5129999999999999</v>
      </c>
      <c r="L766">
        <v>4.9000000000000004</v>
      </c>
      <c r="M766">
        <v>36.1</v>
      </c>
      <c r="N766">
        <v>9.25</v>
      </c>
      <c r="O766">
        <v>1677</v>
      </c>
      <c r="P766">
        <v>1456</v>
      </c>
      <c r="Q766" s="5" t="e">
        <f>IF(AND(#REF!&gt;=table!$C$6,#REF!&lt;= table!$D$6),-1,IF(AND(#REF!&gt;=table!$E$6,#REF!&lt;=table!$F$6),1,0))</f>
        <v>#REF!</v>
      </c>
      <c r="R766" s="5" t="e">
        <f>IF(AND(#REF!&gt;=table!$C$7,#REF!&lt;= table!$D$7),-1,IF(AND(#REF!&gt;=table!$E$7,#REF!&lt;=table!$F$7),1,0))</f>
        <v>#REF!</v>
      </c>
      <c r="S766" s="5" t="e">
        <f>IF(AND(#REF!&gt;=table!$C$8,#REF!&lt;= table!$D$8),-1,IF(AND(#REF!&gt;=table!$E$8,#REF!&lt;=table!$F$8),1,0))</f>
        <v>#REF!</v>
      </c>
      <c r="T766" s="5"/>
      <c r="U766" s="5" t="e">
        <f>IF(AND(#REF!&gt;=table!$C$10,#REF!&lt;= table!$D$10),-1,IF(AND(#REF!&gt;=table!$E$10,#REF!&lt;=table!$F$10),1,0))</f>
        <v>#REF!</v>
      </c>
      <c r="V766" s="5" t="e">
        <f>IF(AND(#REF!&gt;=table!$C$11,#REF!&lt;= table!$D$11),-1,IF(AND(#REF!&gt;=table!$E$11,#REF!&lt;=table!$F$11),1,0))</f>
        <v>#REF!</v>
      </c>
      <c r="W766" s="5" t="e">
        <f>CONCATENATE(dados[[#This Row],[fator1]],dados[[#This Row],[fator5]],dados[[#This Row],[fator6]])</f>
        <v>#REF!</v>
      </c>
    </row>
    <row r="767" spans="1:23">
      <c r="A767" t="s">
        <v>17</v>
      </c>
      <c r="B767">
        <v>483052</v>
      </c>
      <c r="C767">
        <v>20</v>
      </c>
      <c r="D767">
        <v>33</v>
      </c>
      <c r="E767">
        <v>66</v>
      </c>
      <c r="F767">
        <v>4</v>
      </c>
      <c r="G767">
        <v>20</v>
      </c>
      <c r="H767">
        <v>25</v>
      </c>
      <c r="I767">
        <v>1009</v>
      </c>
      <c r="J767">
        <v>870</v>
      </c>
      <c r="K767">
        <v>2.2200000000000002</v>
      </c>
      <c r="L767">
        <v>10.3</v>
      </c>
      <c r="M767">
        <v>51.35</v>
      </c>
      <c r="N767">
        <v>14.700000000000001</v>
      </c>
      <c r="O767">
        <v>1681</v>
      </c>
      <c r="P767">
        <v>996</v>
      </c>
      <c r="Q767" s="5" t="e">
        <f>IF(AND(#REF!&gt;=table!$C$6,#REF!&lt;= table!$D$6),-1,IF(AND(#REF!&gt;=table!$E$6,#REF!&lt;=table!$F$6),1,0))</f>
        <v>#REF!</v>
      </c>
      <c r="R767" s="5" t="e">
        <f>IF(AND(#REF!&gt;=table!$C$7,#REF!&lt;= table!$D$7),-1,IF(AND(#REF!&gt;=table!$E$7,#REF!&lt;=table!$F$7),1,0))</f>
        <v>#REF!</v>
      </c>
      <c r="S767" s="5" t="e">
        <f>IF(AND(#REF!&gt;=table!$C$8,#REF!&lt;= table!$D$8),-1,IF(AND(#REF!&gt;=table!$E$8,#REF!&lt;=table!$F$8),1,0))</f>
        <v>#REF!</v>
      </c>
      <c r="T767" s="5"/>
      <c r="U767" s="5" t="e">
        <f>IF(AND(#REF!&gt;=table!$C$10,#REF!&lt;= table!$D$10),-1,IF(AND(#REF!&gt;=table!$E$10,#REF!&lt;=table!$F$10),1,0))</f>
        <v>#REF!</v>
      </c>
      <c r="V767" s="5" t="e">
        <f>IF(AND(#REF!&gt;=table!$C$11,#REF!&lt;= table!$D$11),-1,IF(AND(#REF!&gt;=table!$E$11,#REF!&lt;=table!$F$11),1,0))</f>
        <v>#REF!</v>
      </c>
      <c r="W767" s="5" t="e">
        <f>CONCATENATE(dados[[#This Row],[fator1]],dados[[#This Row],[fator5]],dados[[#This Row],[fator6]])</f>
        <v>#REF!</v>
      </c>
    </row>
    <row r="768" spans="1:23">
      <c r="A768" t="s">
        <v>17</v>
      </c>
      <c r="B768">
        <v>483054</v>
      </c>
      <c r="C768">
        <v>20</v>
      </c>
      <c r="D768">
        <v>33</v>
      </c>
      <c r="E768">
        <v>66</v>
      </c>
      <c r="F768">
        <v>4</v>
      </c>
      <c r="G768">
        <v>20</v>
      </c>
      <c r="H768">
        <v>25</v>
      </c>
      <c r="I768">
        <v>930</v>
      </c>
      <c r="J768">
        <v>630</v>
      </c>
      <c r="K768">
        <v>4.165</v>
      </c>
      <c r="L768">
        <v>8.1300000000000008</v>
      </c>
      <c r="M768">
        <v>51.300000000000004</v>
      </c>
      <c r="N768">
        <v>11.08</v>
      </c>
      <c r="O768">
        <v>1552</v>
      </c>
      <c r="P768">
        <v>0</v>
      </c>
      <c r="Q768" s="5" t="e">
        <f>IF(AND(#REF!&gt;=table!$C$6,#REF!&lt;= table!$D$6),-1,IF(AND(#REF!&gt;=table!$E$6,#REF!&lt;=table!$F$6),1,0))</f>
        <v>#REF!</v>
      </c>
      <c r="R768" s="5" t="e">
        <f>IF(AND(#REF!&gt;=table!$C$7,#REF!&lt;= table!$D$7),-1,IF(AND(#REF!&gt;=table!$E$7,#REF!&lt;=table!$F$7),1,0))</f>
        <v>#REF!</v>
      </c>
      <c r="S768" s="5" t="e">
        <f>IF(AND(#REF!&gt;=table!$C$8,#REF!&lt;= table!$D$8),-1,IF(AND(#REF!&gt;=table!$E$8,#REF!&lt;=table!$F$8),1,0))</f>
        <v>#REF!</v>
      </c>
      <c r="T768" s="5"/>
      <c r="U768" s="5" t="e">
        <f>IF(AND(#REF!&gt;=table!$C$10,#REF!&lt;= table!$D$10),-1,IF(AND(#REF!&gt;=table!$E$10,#REF!&lt;=table!$F$10),1,0))</f>
        <v>#REF!</v>
      </c>
      <c r="V768" s="5" t="e">
        <f>IF(AND(#REF!&gt;=table!$C$11,#REF!&lt;= table!$D$11),-1,IF(AND(#REF!&gt;=table!$E$11,#REF!&lt;=table!$F$11),1,0))</f>
        <v>#REF!</v>
      </c>
      <c r="W768" s="5" t="e">
        <f>CONCATENATE(dados[[#This Row],[fator1]],dados[[#This Row],[fator5]],dados[[#This Row],[fator6]])</f>
        <v>#REF!</v>
      </c>
    </row>
    <row r="769" spans="1:23">
      <c r="A769" t="s">
        <v>17</v>
      </c>
      <c r="B769">
        <v>483057</v>
      </c>
      <c r="C769">
        <v>7</v>
      </c>
      <c r="D769">
        <v>25</v>
      </c>
      <c r="E769">
        <v>126</v>
      </c>
      <c r="F769">
        <v>9</v>
      </c>
      <c r="G769">
        <v>110</v>
      </c>
      <c r="H769">
        <v>50</v>
      </c>
      <c r="I769">
        <v>19</v>
      </c>
      <c r="J769">
        <v>0</v>
      </c>
      <c r="K769">
        <v>2.33</v>
      </c>
      <c r="L769">
        <v>5.2</v>
      </c>
      <c r="M769">
        <v>121.85000000000001</v>
      </c>
      <c r="N769">
        <v>41.800000000000004</v>
      </c>
      <c r="O769">
        <v>1647</v>
      </c>
      <c r="P769">
        <v>1063</v>
      </c>
      <c r="Q769" s="5" t="e">
        <f>IF(AND(#REF!&gt;=table!$C$6,#REF!&lt;= table!$D$6),-1,IF(AND(#REF!&gt;=table!$E$6,#REF!&lt;=table!$F$6),1,0))</f>
        <v>#REF!</v>
      </c>
      <c r="R769" s="5" t="e">
        <f>IF(AND(#REF!&gt;=table!$C$7,#REF!&lt;= table!$D$7),-1,IF(AND(#REF!&gt;=table!$E$7,#REF!&lt;=table!$F$7),1,0))</f>
        <v>#REF!</v>
      </c>
      <c r="S769" s="5" t="e">
        <f>IF(AND(#REF!&gt;=table!$C$8,#REF!&lt;= table!$D$8),-1,IF(AND(#REF!&gt;=table!$E$8,#REF!&lt;=table!$F$8),1,0))</f>
        <v>#REF!</v>
      </c>
      <c r="T769" s="5"/>
      <c r="U769" s="5" t="e">
        <f>IF(AND(#REF!&gt;=table!$C$10,#REF!&lt;= table!$D$10),-1,IF(AND(#REF!&gt;=table!$E$10,#REF!&lt;=table!$F$10),1,0))</f>
        <v>#REF!</v>
      </c>
      <c r="V769" s="5" t="e">
        <f>IF(AND(#REF!&gt;=table!$C$11,#REF!&lt;= table!$D$11),-1,IF(AND(#REF!&gt;=table!$E$11,#REF!&lt;=table!$F$11),1,0))</f>
        <v>#REF!</v>
      </c>
      <c r="W769" s="5" t="e">
        <f>CONCATENATE(dados[[#This Row],[fator1]],dados[[#This Row],[fator5]],dados[[#This Row],[fator6]])</f>
        <v>#REF!</v>
      </c>
    </row>
    <row r="770" spans="1:23">
      <c r="A770" t="s">
        <v>17</v>
      </c>
      <c r="B770">
        <v>483060</v>
      </c>
      <c r="C770">
        <v>29</v>
      </c>
      <c r="D770">
        <v>25</v>
      </c>
      <c r="E770">
        <v>131</v>
      </c>
      <c r="F770">
        <v>6</v>
      </c>
      <c r="G770">
        <v>21</v>
      </c>
      <c r="H770">
        <v>25</v>
      </c>
      <c r="I770">
        <v>1027</v>
      </c>
      <c r="J770">
        <v>0</v>
      </c>
      <c r="K770">
        <v>5.34</v>
      </c>
      <c r="L770">
        <v>10.700000000000001</v>
      </c>
      <c r="M770">
        <v>108.4</v>
      </c>
      <c r="N770">
        <v>17.25</v>
      </c>
      <c r="O770">
        <v>1675</v>
      </c>
      <c r="P770">
        <v>795</v>
      </c>
      <c r="Q770" s="5" t="e">
        <f>IF(AND(#REF!&gt;=table!$C$6,#REF!&lt;= table!$D$6),-1,IF(AND(#REF!&gt;=table!$E$6,#REF!&lt;=table!$F$6),1,0))</f>
        <v>#REF!</v>
      </c>
      <c r="R770" s="5" t="e">
        <f>IF(AND(#REF!&gt;=table!$C$7,#REF!&lt;= table!$D$7),-1,IF(AND(#REF!&gt;=table!$E$7,#REF!&lt;=table!$F$7),1,0))</f>
        <v>#REF!</v>
      </c>
      <c r="S770" s="5" t="e">
        <f>IF(AND(#REF!&gt;=table!$C$8,#REF!&lt;= table!$D$8),-1,IF(AND(#REF!&gt;=table!$E$8,#REF!&lt;=table!$F$8),1,0))</f>
        <v>#REF!</v>
      </c>
      <c r="T770" s="5"/>
      <c r="U770" s="5" t="e">
        <f>IF(AND(#REF!&gt;=table!$C$10,#REF!&lt;= table!$D$10),-1,IF(AND(#REF!&gt;=table!$E$10,#REF!&lt;=table!$F$10),1,0))</f>
        <v>#REF!</v>
      </c>
      <c r="V770" s="5" t="e">
        <f>IF(AND(#REF!&gt;=table!$C$11,#REF!&lt;= table!$D$11),-1,IF(AND(#REF!&gt;=table!$E$11,#REF!&lt;=table!$F$11),1,0))</f>
        <v>#REF!</v>
      </c>
      <c r="W770" s="5" t="e">
        <f>CONCATENATE(dados[[#This Row],[fator1]],dados[[#This Row],[fator5]],dados[[#This Row],[fator6]])</f>
        <v>#REF!</v>
      </c>
    </row>
    <row r="771" spans="1:23">
      <c r="A771" t="s">
        <v>17</v>
      </c>
      <c r="B771">
        <v>483063</v>
      </c>
      <c r="C771">
        <v>12</v>
      </c>
      <c r="D771">
        <v>25</v>
      </c>
      <c r="E771">
        <v>120</v>
      </c>
      <c r="F771">
        <v>9</v>
      </c>
      <c r="G771">
        <v>110</v>
      </c>
      <c r="H771">
        <v>50</v>
      </c>
      <c r="I771">
        <v>695</v>
      </c>
      <c r="J771">
        <v>0</v>
      </c>
      <c r="K771">
        <v>5.165</v>
      </c>
      <c r="L771">
        <v>12.1</v>
      </c>
      <c r="M771">
        <v>109</v>
      </c>
      <c r="N771">
        <v>30.95</v>
      </c>
      <c r="O771">
        <v>1673</v>
      </c>
      <c r="P771">
        <v>563</v>
      </c>
      <c r="Q771" s="5" t="e">
        <f>IF(AND(#REF!&gt;=table!$C$6,#REF!&lt;= table!$D$6),-1,IF(AND(#REF!&gt;=table!$E$6,#REF!&lt;=table!$F$6),1,0))</f>
        <v>#REF!</v>
      </c>
      <c r="R771" s="5" t="e">
        <f>IF(AND(#REF!&gt;=table!$C$7,#REF!&lt;= table!$D$7),-1,IF(AND(#REF!&gt;=table!$E$7,#REF!&lt;=table!$F$7),1,0))</f>
        <v>#REF!</v>
      </c>
      <c r="S771" s="5" t="e">
        <f>IF(AND(#REF!&gt;=table!$C$8,#REF!&lt;= table!$D$8),-1,IF(AND(#REF!&gt;=table!$E$8,#REF!&lt;=table!$F$8),1,0))</f>
        <v>#REF!</v>
      </c>
      <c r="T771" s="5"/>
      <c r="U771" s="5" t="e">
        <f>IF(AND(#REF!&gt;=table!$C$10,#REF!&lt;= table!$D$10),-1,IF(AND(#REF!&gt;=table!$E$10,#REF!&lt;=table!$F$10),1,0))</f>
        <v>#REF!</v>
      </c>
      <c r="V771" s="5" t="e">
        <f>IF(AND(#REF!&gt;=table!$C$11,#REF!&lt;= table!$D$11),-1,IF(AND(#REF!&gt;=table!$E$11,#REF!&lt;=table!$F$11),1,0))</f>
        <v>#REF!</v>
      </c>
      <c r="W771" s="5" t="e">
        <f>CONCATENATE(dados[[#This Row],[fator1]],dados[[#This Row],[fator5]],dados[[#This Row],[fator6]])</f>
        <v>#REF!</v>
      </c>
    </row>
    <row r="772" spans="1:23">
      <c r="A772" t="s">
        <v>17</v>
      </c>
      <c r="B772">
        <v>483064</v>
      </c>
      <c r="C772">
        <v>29</v>
      </c>
      <c r="D772">
        <v>25</v>
      </c>
      <c r="E772">
        <v>131</v>
      </c>
      <c r="F772">
        <v>6</v>
      </c>
      <c r="G772">
        <v>21</v>
      </c>
      <c r="H772">
        <v>25</v>
      </c>
      <c r="I772">
        <v>40</v>
      </c>
      <c r="J772">
        <v>0</v>
      </c>
      <c r="K772">
        <v>8.4</v>
      </c>
      <c r="L772">
        <v>12.9</v>
      </c>
      <c r="M772">
        <v>97.600000000000009</v>
      </c>
      <c r="N772">
        <v>25.7</v>
      </c>
      <c r="O772">
        <v>1698</v>
      </c>
      <c r="P772">
        <v>424</v>
      </c>
      <c r="Q772" s="5" t="e">
        <f>IF(AND(#REF!&gt;=table!$C$6,#REF!&lt;= table!$D$6),-1,IF(AND(#REF!&gt;=table!$E$6,#REF!&lt;=table!$F$6),1,0))</f>
        <v>#REF!</v>
      </c>
      <c r="R772" s="5" t="e">
        <f>IF(AND(#REF!&gt;=table!$C$7,#REF!&lt;= table!$D$7),-1,IF(AND(#REF!&gt;=table!$E$7,#REF!&lt;=table!$F$7),1,0))</f>
        <v>#REF!</v>
      </c>
      <c r="S772" s="5" t="e">
        <f>IF(AND(#REF!&gt;=table!$C$8,#REF!&lt;= table!$D$8),-1,IF(AND(#REF!&gt;=table!$E$8,#REF!&lt;=table!$F$8),1,0))</f>
        <v>#REF!</v>
      </c>
      <c r="T772" s="5"/>
      <c r="U772" s="5" t="e">
        <f>IF(AND(#REF!&gt;=table!$C$10,#REF!&lt;= table!$D$10),-1,IF(AND(#REF!&gt;=table!$E$10,#REF!&lt;=table!$F$10),1,0))</f>
        <v>#REF!</v>
      </c>
      <c r="V772" s="5" t="e">
        <f>IF(AND(#REF!&gt;=table!$C$11,#REF!&lt;= table!$D$11),-1,IF(AND(#REF!&gt;=table!$E$11,#REF!&lt;=table!$F$11),1,0))</f>
        <v>#REF!</v>
      </c>
      <c r="W772" s="5" t="e">
        <f>CONCATENATE(dados[[#This Row],[fator1]],dados[[#This Row],[fator5]],dados[[#This Row],[fator6]])</f>
        <v>#REF!</v>
      </c>
    </row>
    <row r="773" spans="1:23">
      <c r="A773" t="s">
        <v>17</v>
      </c>
      <c r="B773">
        <v>483066</v>
      </c>
      <c r="C773">
        <v>14</v>
      </c>
      <c r="D773">
        <v>30</v>
      </c>
      <c r="E773">
        <v>66</v>
      </c>
      <c r="F773">
        <v>9</v>
      </c>
      <c r="G773">
        <v>20</v>
      </c>
      <c r="H773">
        <v>25</v>
      </c>
      <c r="I773">
        <v>838</v>
      </c>
      <c r="J773">
        <v>0</v>
      </c>
      <c r="K773">
        <v>4.05</v>
      </c>
      <c r="L773">
        <v>3.8000000000000003</v>
      </c>
      <c r="M773">
        <v>72.63</v>
      </c>
      <c r="N773">
        <v>9.5850000000000009</v>
      </c>
      <c r="O773">
        <v>1670</v>
      </c>
      <c r="P773">
        <v>969</v>
      </c>
      <c r="Q773" s="5" t="e">
        <f>IF(AND(#REF!&gt;=table!$C$6,#REF!&lt;= table!$D$6),-1,IF(AND(#REF!&gt;=table!$E$6,#REF!&lt;=table!$F$6),1,0))</f>
        <v>#REF!</v>
      </c>
      <c r="R773" s="5" t="e">
        <f>IF(AND(#REF!&gt;=table!$C$7,#REF!&lt;= table!$D$7),-1,IF(AND(#REF!&gt;=table!$E$7,#REF!&lt;=table!$F$7),1,0))</f>
        <v>#REF!</v>
      </c>
      <c r="S773" s="5" t="e">
        <f>IF(AND(#REF!&gt;=table!$C$8,#REF!&lt;= table!$D$8),-1,IF(AND(#REF!&gt;=table!$E$8,#REF!&lt;=table!$F$8),1,0))</f>
        <v>#REF!</v>
      </c>
      <c r="T773" s="5"/>
      <c r="U773" s="5" t="e">
        <f>IF(AND(#REF!&gt;=table!$C$10,#REF!&lt;= table!$D$10),-1,IF(AND(#REF!&gt;=table!$E$10,#REF!&lt;=table!$F$10),1,0))</f>
        <v>#REF!</v>
      </c>
      <c r="V773" s="5" t="e">
        <f>IF(AND(#REF!&gt;=table!$C$11,#REF!&lt;= table!$D$11),-1,IF(AND(#REF!&gt;=table!$E$11,#REF!&lt;=table!$F$11),1,0))</f>
        <v>#REF!</v>
      </c>
      <c r="W773" s="5" t="e">
        <f>CONCATENATE(dados[[#This Row],[fator1]],dados[[#This Row],[fator5]],dados[[#This Row],[fator6]])</f>
        <v>#REF!</v>
      </c>
    </row>
    <row r="774" spans="1:23">
      <c r="A774" t="s">
        <v>16</v>
      </c>
      <c r="B774">
        <v>483069</v>
      </c>
      <c r="C774">
        <v>0.15</v>
      </c>
      <c r="D774">
        <v>35</v>
      </c>
      <c r="E774">
        <v>15</v>
      </c>
      <c r="F774">
        <v>10</v>
      </c>
      <c r="G774">
        <v>0</v>
      </c>
      <c r="H774">
        <v>12</v>
      </c>
      <c r="I774">
        <v>831</v>
      </c>
      <c r="J774">
        <v>0</v>
      </c>
      <c r="K774">
        <v>3.585</v>
      </c>
      <c r="L774">
        <v>4.2</v>
      </c>
      <c r="M774">
        <v>3.75</v>
      </c>
      <c r="N774">
        <v>9.9500000000000011</v>
      </c>
      <c r="O774">
        <v>1681</v>
      </c>
      <c r="P774">
        <v>0</v>
      </c>
      <c r="Q774" s="5" t="e">
        <f>IF(AND(#REF!&gt;=table!$C$6,#REF!&lt;= table!$D$6),-1,IF(AND(#REF!&gt;=table!$E$6,#REF!&lt;=table!$F$6),1,0))</f>
        <v>#REF!</v>
      </c>
      <c r="R774" s="5" t="e">
        <f>IF(AND(#REF!&gt;=table!$C$7,#REF!&lt;= table!$D$7),-1,IF(AND(#REF!&gt;=table!$E$7,#REF!&lt;=table!$F$7),1,0))</f>
        <v>#REF!</v>
      </c>
      <c r="S774" s="5" t="e">
        <f>IF(AND(#REF!&gt;=table!$C$8,#REF!&lt;= table!$D$8),-1,IF(AND(#REF!&gt;=table!$E$8,#REF!&lt;=table!$F$8),1,0))</f>
        <v>#REF!</v>
      </c>
      <c r="T774" s="5"/>
      <c r="U774" s="5" t="e">
        <f>IF(AND(#REF!&gt;=table!$C$10,#REF!&lt;= table!$D$10),-1,IF(AND(#REF!&gt;=table!$E$10,#REF!&lt;=table!$F$10),1,0))</f>
        <v>#REF!</v>
      </c>
      <c r="V774" s="5" t="e">
        <f>IF(AND(#REF!&gt;=table!$C$11,#REF!&lt;= table!$D$11),-1,IF(AND(#REF!&gt;=table!$E$11,#REF!&lt;=table!$F$11),1,0))</f>
        <v>#REF!</v>
      </c>
      <c r="W774" s="5" t="e">
        <f>CONCATENATE(dados[[#This Row],[fator1]],dados[[#This Row],[fator5]],dados[[#This Row],[fator6]])</f>
        <v>#REF!</v>
      </c>
    </row>
    <row r="775" spans="1:23">
      <c r="A775" t="s">
        <v>16</v>
      </c>
      <c r="B775">
        <v>483070</v>
      </c>
      <c r="C775">
        <v>0.15</v>
      </c>
      <c r="D775">
        <v>35</v>
      </c>
      <c r="E775">
        <v>15</v>
      </c>
      <c r="F775">
        <v>10</v>
      </c>
      <c r="G775">
        <v>0</v>
      </c>
      <c r="H775">
        <v>12</v>
      </c>
      <c r="I775">
        <v>2</v>
      </c>
      <c r="J775">
        <v>0</v>
      </c>
      <c r="K775">
        <v>2.9633000000000003</v>
      </c>
      <c r="L775">
        <v>2.7</v>
      </c>
      <c r="M775">
        <v>2.7</v>
      </c>
      <c r="N775">
        <v>3.95</v>
      </c>
      <c r="O775">
        <v>1667</v>
      </c>
      <c r="P775">
        <v>1277</v>
      </c>
      <c r="Q775" s="5" t="e">
        <f>IF(AND(#REF!&gt;=table!$C$6,#REF!&lt;= table!$D$6),-1,IF(AND(#REF!&gt;=table!$E$6,#REF!&lt;=table!$F$6),1,0))</f>
        <v>#REF!</v>
      </c>
      <c r="R775" s="5" t="e">
        <f>IF(AND(#REF!&gt;=table!$C$7,#REF!&lt;= table!$D$7),-1,IF(AND(#REF!&gt;=table!$E$7,#REF!&lt;=table!$F$7),1,0))</f>
        <v>#REF!</v>
      </c>
      <c r="S775" s="5" t="e">
        <f>IF(AND(#REF!&gt;=table!$C$8,#REF!&lt;= table!$D$8),-1,IF(AND(#REF!&gt;=table!$E$8,#REF!&lt;=table!$F$8),1,0))</f>
        <v>#REF!</v>
      </c>
      <c r="T775" s="5"/>
      <c r="U775" s="5" t="e">
        <f>IF(AND(#REF!&gt;=table!$C$10,#REF!&lt;= table!$D$10),-1,IF(AND(#REF!&gt;=table!$E$10,#REF!&lt;=table!$F$10),1,0))</f>
        <v>#REF!</v>
      </c>
      <c r="V775" s="5" t="e">
        <f>IF(AND(#REF!&gt;=table!$C$11,#REF!&lt;= table!$D$11),-1,IF(AND(#REF!&gt;=table!$E$11,#REF!&lt;=table!$F$11),1,0))</f>
        <v>#REF!</v>
      </c>
      <c r="W775" s="5" t="e">
        <f>CONCATENATE(dados[[#This Row],[fator1]],dados[[#This Row],[fator5]],dados[[#This Row],[fator6]])</f>
        <v>#REF!</v>
      </c>
    </row>
    <row r="776" spans="1:23">
      <c r="A776" t="s">
        <v>17</v>
      </c>
      <c r="B776">
        <v>483074</v>
      </c>
      <c r="C776">
        <v>29</v>
      </c>
      <c r="D776">
        <v>25</v>
      </c>
      <c r="E776">
        <v>131</v>
      </c>
      <c r="F776">
        <v>6</v>
      </c>
      <c r="G776">
        <v>21</v>
      </c>
      <c r="H776">
        <v>25</v>
      </c>
      <c r="I776">
        <v>100</v>
      </c>
      <c r="J776">
        <v>0</v>
      </c>
      <c r="K776">
        <v>3.5650000000000004</v>
      </c>
      <c r="L776">
        <v>8.4</v>
      </c>
      <c r="M776">
        <v>104.85000000000001</v>
      </c>
      <c r="N776">
        <v>13.15</v>
      </c>
      <c r="O776">
        <v>1693</v>
      </c>
      <c r="P776">
        <v>0</v>
      </c>
      <c r="Q776" s="5" t="e">
        <f>IF(AND(#REF!&gt;=table!$C$6,#REF!&lt;= table!$D$6),-1,IF(AND(#REF!&gt;=table!$E$6,#REF!&lt;=table!$F$6),1,0))</f>
        <v>#REF!</v>
      </c>
      <c r="R776" s="5" t="e">
        <f>IF(AND(#REF!&gt;=table!$C$7,#REF!&lt;= table!$D$7),-1,IF(AND(#REF!&gt;=table!$E$7,#REF!&lt;=table!$F$7),1,0))</f>
        <v>#REF!</v>
      </c>
      <c r="S776" s="5" t="e">
        <f>IF(AND(#REF!&gt;=table!$C$8,#REF!&lt;= table!$D$8),-1,IF(AND(#REF!&gt;=table!$E$8,#REF!&lt;=table!$F$8),1,0))</f>
        <v>#REF!</v>
      </c>
      <c r="T776" s="5"/>
      <c r="U776" s="5" t="e">
        <f>IF(AND(#REF!&gt;=table!$C$10,#REF!&lt;= table!$D$10),-1,IF(AND(#REF!&gt;=table!$E$10,#REF!&lt;=table!$F$10),1,0))</f>
        <v>#REF!</v>
      </c>
      <c r="V776" s="5" t="e">
        <f>IF(AND(#REF!&gt;=table!$C$11,#REF!&lt;= table!$D$11),-1,IF(AND(#REF!&gt;=table!$E$11,#REF!&lt;=table!$F$11),1,0))</f>
        <v>#REF!</v>
      </c>
      <c r="W776" s="5" t="e">
        <f>CONCATENATE(dados[[#This Row],[fator1]],dados[[#This Row],[fator5]],dados[[#This Row],[fator6]])</f>
        <v>#REF!</v>
      </c>
    </row>
    <row r="777" spans="1:23">
      <c r="A777" t="s">
        <v>17</v>
      </c>
      <c r="B777">
        <v>483075</v>
      </c>
      <c r="C777">
        <v>29</v>
      </c>
      <c r="D777">
        <v>25</v>
      </c>
      <c r="E777">
        <v>131</v>
      </c>
      <c r="F777">
        <v>6</v>
      </c>
      <c r="G777">
        <v>21</v>
      </c>
      <c r="H777">
        <v>25</v>
      </c>
      <c r="I777">
        <v>70</v>
      </c>
      <c r="J777">
        <v>0</v>
      </c>
      <c r="K777">
        <v>6.665</v>
      </c>
      <c r="L777">
        <v>16.41</v>
      </c>
      <c r="M777">
        <v>55</v>
      </c>
      <c r="N777">
        <v>21.95</v>
      </c>
      <c r="O777">
        <v>1666</v>
      </c>
      <c r="P777">
        <v>529</v>
      </c>
      <c r="Q777" s="5" t="e">
        <f>IF(AND(#REF!&gt;=table!$C$6,#REF!&lt;= table!$D$6),-1,IF(AND(#REF!&gt;=table!$E$6,#REF!&lt;=table!$F$6),1,0))</f>
        <v>#REF!</v>
      </c>
      <c r="R777" s="5" t="e">
        <f>IF(AND(#REF!&gt;=table!$C$7,#REF!&lt;= table!$D$7),-1,IF(AND(#REF!&gt;=table!$E$7,#REF!&lt;=table!$F$7),1,0))</f>
        <v>#REF!</v>
      </c>
      <c r="S777" s="5" t="e">
        <f>IF(AND(#REF!&gt;=table!$C$8,#REF!&lt;= table!$D$8),-1,IF(AND(#REF!&gt;=table!$E$8,#REF!&lt;=table!$F$8),1,0))</f>
        <v>#REF!</v>
      </c>
      <c r="T777" s="5"/>
      <c r="U777" s="5" t="e">
        <f>IF(AND(#REF!&gt;=table!$C$10,#REF!&lt;= table!$D$10),-1,IF(AND(#REF!&gt;=table!$E$10,#REF!&lt;=table!$F$10),1,0))</f>
        <v>#REF!</v>
      </c>
      <c r="V777" s="5" t="e">
        <f>IF(AND(#REF!&gt;=table!$C$11,#REF!&lt;= table!$D$11),-1,IF(AND(#REF!&gt;=table!$E$11,#REF!&lt;=table!$F$11),1,0))</f>
        <v>#REF!</v>
      </c>
      <c r="W777" s="5" t="e">
        <f>CONCATENATE(dados[[#This Row],[fator1]],dados[[#This Row],[fator5]],dados[[#This Row],[fator6]])</f>
        <v>#REF!</v>
      </c>
    </row>
    <row r="778" spans="1:23">
      <c r="A778" t="s">
        <v>17</v>
      </c>
      <c r="B778">
        <v>483077</v>
      </c>
      <c r="C778">
        <v>29</v>
      </c>
      <c r="D778">
        <v>25</v>
      </c>
      <c r="E778">
        <v>131</v>
      </c>
      <c r="F778">
        <v>6</v>
      </c>
      <c r="G778">
        <v>21</v>
      </c>
      <c r="H778">
        <v>25</v>
      </c>
      <c r="I778">
        <v>0</v>
      </c>
      <c r="J778">
        <v>850</v>
      </c>
      <c r="K778">
        <v>14.48</v>
      </c>
      <c r="L778">
        <v>17.600000000000001</v>
      </c>
      <c r="M778">
        <v>102.60000000000001</v>
      </c>
      <c r="N778">
        <v>19.8</v>
      </c>
      <c r="O778">
        <v>1677</v>
      </c>
      <c r="P778">
        <v>0</v>
      </c>
      <c r="Q778" s="5" t="e">
        <f>IF(AND(#REF!&gt;=table!$C$6,#REF!&lt;= table!$D$6),-1,IF(AND(#REF!&gt;=table!$E$6,#REF!&lt;=table!$F$6),1,0))</f>
        <v>#REF!</v>
      </c>
      <c r="R778" s="5" t="e">
        <f>IF(AND(#REF!&gt;=table!$C$7,#REF!&lt;= table!$D$7),-1,IF(AND(#REF!&gt;=table!$E$7,#REF!&lt;=table!$F$7),1,0))</f>
        <v>#REF!</v>
      </c>
      <c r="S778" s="5" t="e">
        <f>IF(AND(#REF!&gt;=table!$C$8,#REF!&lt;= table!$D$8),-1,IF(AND(#REF!&gt;=table!$E$8,#REF!&lt;=table!$F$8),1,0))</f>
        <v>#REF!</v>
      </c>
      <c r="T778" s="5"/>
      <c r="U778" s="5" t="e">
        <f>IF(AND(#REF!&gt;=table!$C$10,#REF!&lt;= table!$D$10),-1,IF(AND(#REF!&gt;=table!$E$10,#REF!&lt;=table!$F$10),1,0))</f>
        <v>#REF!</v>
      </c>
      <c r="V778" s="5" t="e">
        <f>IF(AND(#REF!&gt;=table!$C$11,#REF!&lt;= table!$D$11),-1,IF(AND(#REF!&gt;=table!$E$11,#REF!&lt;=table!$F$11),1,0))</f>
        <v>#REF!</v>
      </c>
      <c r="W778" s="5" t="e">
        <f>CONCATENATE(dados[[#This Row],[fator1]],dados[[#This Row],[fator5]],dados[[#This Row],[fator6]])</f>
        <v>#REF!</v>
      </c>
    </row>
    <row r="779" spans="1:23">
      <c r="A779" t="s">
        <v>18</v>
      </c>
      <c r="B779">
        <v>483079</v>
      </c>
      <c r="C779">
        <v>3</v>
      </c>
      <c r="D779">
        <v>5</v>
      </c>
      <c r="E779">
        <v>26</v>
      </c>
      <c r="F779">
        <v>15</v>
      </c>
      <c r="G779">
        <v>42</v>
      </c>
      <c r="H779">
        <v>30</v>
      </c>
      <c r="I779">
        <v>0</v>
      </c>
      <c r="J779">
        <v>0</v>
      </c>
      <c r="K779">
        <v>5.63</v>
      </c>
      <c r="L779">
        <v>9.8000000000000007</v>
      </c>
      <c r="M779">
        <v>14.35</v>
      </c>
      <c r="N779">
        <v>13.9</v>
      </c>
      <c r="O779">
        <v>1680</v>
      </c>
      <c r="P779">
        <v>0</v>
      </c>
      <c r="Q779" s="5" t="e">
        <f>IF(AND(#REF!&gt;=table!$C$6,#REF!&lt;= table!$D$6),-1,IF(AND(#REF!&gt;=table!$E$6,#REF!&lt;=table!$F$6),1,0))</f>
        <v>#REF!</v>
      </c>
      <c r="R779" s="5" t="e">
        <f>IF(AND(#REF!&gt;=table!$C$7,#REF!&lt;= table!$D$7),-1,IF(AND(#REF!&gt;=table!$E$7,#REF!&lt;=table!$F$7),1,0))</f>
        <v>#REF!</v>
      </c>
      <c r="S779" s="5" t="e">
        <f>IF(AND(#REF!&gt;=table!$C$8,#REF!&lt;= table!$D$8),-1,IF(AND(#REF!&gt;=table!$E$8,#REF!&lt;=table!$F$8),1,0))</f>
        <v>#REF!</v>
      </c>
      <c r="T779" s="5"/>
      <c r="U779" s="5" t="e">
        <f>IF(AND(#REF!&gt;=table!$C$10,#REF!&lt;= table!$D$10),-1,IF(AND(#REF!&gt;=table!$E$10,#REF!&lt;=table!$F$10),1,0))</f>
        <v>#REF!</v>
      </c>
      <c r="V779" s="5" t="e">
        <f>IF(AND(#REF!&gt;=table!$C$11,#REF!&lt;= table!$D$11),-1,IF(AND(#REF!&gt;=table!$E$11,#REF!&lt;=table!$F$11),1,0))</f>
        <v>#REF!</v>
      </c>
      <c r="W779" s="5" t="e">
        <f>CONCATENATE(dados[[#This Row],[fator1]],dados[[#This Row],[fator5]],dados[[#This Row],[fator6]])</f>
        <v>#REF!</v>
      </c>
    </row>
    <row r="780" spans="1:23">
      <c r="A780" t="s">
        <v>16</v>
      </c>
      <c r="B780">
        <v>483088</v>
      </c>
      <c r="C780">
        <v>0.15</v>
      </c>
      <c r="D780">
        <v>40</v>
      </c>
      <c r="E780">
        <v>10</v>
      </c>
      <c r="F780">
        <v>15</v>
      </c>
      <c r="G780">
        <v>0</v>
      </c>
      <c r="H780">
        <v>15</v>
      </c>
      <c r="I780">
        <v>174</v>
      </c>
      <c r="J780">
        <v>0</v>
      </c>
      <c r="K780">
        <v>3.47</v>
      </c>
      <c r="L780">
        <v>11.35</v>
      </c>
      <c r="M780">
        <v>9.2000000000000011</v>
      </c>
      <c r="N780">
        <v>16.7</v>
      </c>
      <c r="O780">
        <v>1679</v>
      </c>
      <c r="P780">
        <v>919</v>
      </c>
      <c r="Q780" s="5" t="e">
        <f>IF(AND(#REF!&gt;=table!$C$6,#REF!&lt;= table!$D$6),-1,IF(AND(#REF!&gt;=table!$E$6,#REF!&lt;=table!$F$6),1,0))</f>
        <v>#REF!</v>
      </c>
      <c r="R780" s="5" t="e">
        <f>IF(AND(#REF!&gt;=table!$C$7,#REF!&lt;= table!$D$7),-1,IF(AND(#REF!&gt;=table!$E$7,#REF!&lt;=table!$F$7),1,0))</f>
        <v>#REF!</v>
      </c>
      <c r="S780" s="5" t="e">
        <f>IF(AND(#REF!&gt;=table!$C$8,#REF!&lt;= table!$D$8),-1,IF(AND(#REF!&gt;=table!$E$8,#REF!&lt;=table!$F$8),1,0))</f>
        <v>#REF!</v>
      </c>
      <c r="T780" s="5"/>
      <c r="U780" s="5" t="e">
        <f>IF(AND(#REF!&gt;=table!$C$10,#REF!&lt;= table!$D$10),-1,IF(AND(#REF!&gt;=table!$E$10,#REF!&lt;=table!$F$10),1,0))</f>
        <v>#REF!</v>
      </c>
      <c r="V780" s="5" t="e">
        <f>IF(AND(#REF!&gt;=table!$C$11,#REF!&lt;= table!$D$11),-1,IF(AND(#REF!&gt;=table!$E$11,#REF!&lt;=table!$F$11),1,0))</f>
        <v>#REF!</v>
      </c>
      <c r="W780" s="5" t="e">
        <f>CONCATENATE(dados[[#This Row],[fator1]],dados[[#This Row],[fator5]],dados[[#This Row],[fator6]])</f>
        <v>#REF!</v>
      </c>
    </row>
    <row r="781" spans="1:23">
      <c r="A781" t="s">
        <v>16</v>
      </c>
      <c r="B781">
        <v>483092</v>
      </c>
      <c r="C781">
        <v>16</v>
      </c>
      <c r="D781">
        <v>35</v>
      </c>
      <c r="E781">
        <v>36</v>
      </c>
      <c r="F781">
        <v>10</v>
      </c>
      <c r="G781">
        <v>0</v>
      </c>
      <c r="H781">
        <v>25</v>
      </c>
      <c r="I781">
        <v>895</v>
      </c>
      <c r="J781">
        <v>0</v>
      </c>
      <c r="K781">
        <v>2.62</v>
      </c>
      <c r="L781">
        <v>9.2000000000000011</v>
      </c>
      <c r="M781">
        <v>31.8</v>
      </c>
      <c r="N781">
        <v>16.3</v>
      </c>
      <c r="O781">
        <v>1693</v>
      </c>
      <c r="P781">
        <v>1379</v>
      </c>
      <c r="Q781" s="5" t="e">
        <f>IF(AND(#REF!&gt;=table!$C$6,#REF!&lt;= table!$D$6),-1,IF(AND(#REF!&gt;=table!$E$6,#REF!&lt;=table!$F$6),1,0))</f>
        <v>#REF!</v>
      </c>
      <c r="R781" s="5" t="e">
        <f>IF(AND(#REF!&gt;=table!$C$7,#REF!&lt;= table!$D$7),-1,IF(AND(#REF!&gt;=table!$E$7,#REF!&lt;=table!$F$7),1,0))</f>
        <v>#REF!</v>
      </c>
      <c r="S781" s="5" t="e">
        <f>IF(AND(#REF!&gt;=table!$C$8,#REF!&lt;= table!$D$8),-1,IF(AND(#REF!&gt;=table!$E$8,#REF!&lt;=table!$F$8),1,0))</f>
        <v>#REF!</v>
      </c>
      <c r="T781" s="5"/>
      <c r="U781" s="5" t="e">
        <f>IF(AND(#REF!&gt;=table!$C$10,#REF!&lt;= table!$D$10),-1,IF(AND(#REF!&gt;=table!$E$10,#REF!&lt;=table!$F$10),1,0))</f>
        <v>#REF!</v>
      </c>
      <c r="V781" s="5" t="e">
        <f>IF(AND(#REF!&gt;=table!$C$11,#REF!&lt;= table!$D$11),-1,IF(AND(#REF!&gt;=table!$E$11,#REF!&lt;=table!$F$11),1,0))</f>
        <v>#REF!</v>
      </c>
      <c r="W781" s="5" t="e">
        <f>CONCATENATE(dados[[#This Row],[fator1]],dados[[#This Row],[fator5]],dados[[#This Row],[fator6]])</f>
        <v>#REF!</v>
      </c>
    </row>
    <row r="782" spans="1:23">
      <c r="A782" t="s">
        <v>17</v>
      </c>
      <c r="B782">
        <v>483103</v>
      </c>
      <c r="C782">
        <v>18</v>
      </c>
      <c r="D782">
        <v>23</v>
      </c>
      <c r="E782">
        <v>145</v>
      </c>
      <c r="F782">
        <v>9</v>
      </c>
      <c r="G782">
        <v>30</v>
      </c>
      <c r="H782">
        <v>25</v>
      </c>
      <c r="I782">
        <v>0</v>
      </c>
      <c r="J782">
        <v>0</v>
      </c>
      <c r="K782">
        <v>4.665</v>
      </c>
      <c r="L782">
        <v>6.4</v>
      </c>
      <c r="M782">
        <v>159.75</v>
      </c>
      <c r="N782">
        <v>17.150000000000002</v>
      </c>
      <c r="O782">
        <v>1689</v>
      </c>
      <c r="P782">
        <v>0</v>
      </c>
      <c r="Q782" s="5" t="e">
        <f>IF(AND(#REF!&gt;=table!$C$6,#REF!&lt;= table!$D$6),-1,IF(AND(#REF!&gt;=table!$E$6,#REF!&lt;=table!$F$6),1,0))</f>
        <v>#REF!</v>
      </c>
      <c r="R782" s="5" t="e">
        <f>IF(AND(#REF!&gt;=table!$C$7,#REF!&lt;= table!$D$7),-1,IF(AND(#REF!&gt;=table!$E$7,#REF!&lt;=table!$F$7),1,0))</f>
        <v>#REF!</v>
      </c>
      <c r="S782" s="5" t="e">
        <f>IF(AND(#REF!&gt;=table!$C$8,#REF!&lt;= table!$D$8),-1,IF(AND(#REF!&gt;=table!$E$8,#REF!&lt;=table!$F$8),1,0))</f>
        <v>#REF!</v>
      </c>
      <c r="T782" s="5"/>
      <c r="U782" s="5" t="e">
        <f>IF(AND(#REF!&gt;=table!$C$10,#REF!&lt;= table!$D$10),-1,IF(AND(#REF!&gt;=table!$E$10,#REF!&lt;=table!$F$10),1,0))</f>
        <v>#REF!</v>
      </c>
      <c r="V782" s="5" t="e">
        <f>IF(AND(#REF!&gt;=table!$C$11,#REF!&lt;= table!$D$11),-1,IF(AND(#REF!&gt;=table!$E$11,#REF!&lt;=table!$F$11),1,0))</f>
        <v>#REF!</v>
      </c>
      <c r="W782" s="5" t="e">
        <f>CONCATENATE(dados[[#This Row],[fator1]],dados[[#This Row],[fator5]],dados[[#This Row],[fator6]])</f>
        <v>#REF!</v>
      </c>
    </row>
    <row r="783" spans="1:23">
      <c r="A783" t="s">
        <v>16</v>
      </c>
      <c r="B783">
        <v>483104</v>
      </c>
      <c r="C783">
        <v>0.15</v>
      </c>
      <c r="D783">
        <v>40</v>
      </c>
      <c r="E783">
        <v>10</v>
      </c>
      <c r="F783">
        <v>15</v>
      </c>
      <c r="G783">
        <v>0</v>
      </c>
      <c r="H783">
        <v>15</v>
      </c>
      <c r="I783">
        <v>1382</v>
      </c>
      <c r="J783">
        <v>0</v>
      </c>
      <c r="K783">
        <v>3.15</v>
      </c>
      <c r="L783">
        <v>4.05</v>
      </c>
      <c r="M783">
        <v>3.8000000000000003</v>
      </c>
      <c r="N783">
        <v>6.45</v>
      </c>
      <c r="O783">
        <v>1686</v>
      </c>
      <c r="P783">
        <v>0</v>
      </c>
      <c r="Q783" s="5" t="e">
        <f>IF(AND(#REF!&gt;=table!$C$6,#REF!&lt;= table!$D$6),-1,IF(AND(#REF!&gt;=table!$E$6,#REF!&lt;=table!$F$6),1,0))</f>
        <v>#REF!</v>
      </c>
      <c r="R783" s="5" t="e">
        <f>IF(AND(#REF!&gt;=table!$C$7,#REF!&lt;= table!$D$7),-1,IF(AND(#REF!&gt;=table!$E$7,#REF!&lt;=table!$F$7),1,0))</f>
        <v>#REF!</v>
      </c>
      <c r="S783" s="5" t="e">
        <f>IF(AND(#REF!&gt;=table!$C$8,#REF!&lt;= table!$D$8),-1,IF(AND(#REF!&gt;=table!$E$8,#REF!&lt;=table!$F$8),1,0))</f>
        <v>#REF!</v>
      </c>
      <c r="T783" s="5"/>
      <c r="U783" s="5" t="e">
        <f>IF(AND(#REF!&gt;=table!$C$10,#REF!&lt;= table!$D$10),-1,IF(AND(#REF!&gt;=table!$E$10,#REF!&lt;=table!$F$10),1,0))</f>
        <v>#REF!</v>
      </c>
      <c r="V783" s="5" t="e">
        <f>IF(AND(#REF!&gt;=table!$C$11,#REF!&lt;= table!$D$11),-1,IF(AND(#REF!&gt;=table!$E$11,#REF!&lt;=table!$F$11),1,0))</f>
        <v>#REF!</v>
      </c>
      <c r="W783" s="5" t="e">
        <f>CONCATENATE(dados[[#This Row],[fator1]],dados[[#This Row],[fator5]],dados[[#This Row],[fator6]])</f>
        <v>#REF!</v>
      </c>
    </row>
    <row r="784" spans="1:23">
      <c r="A784" t="s">
        <v>16</v>
      </c>
      <c r="B784">
        <v>483106</v>
      </c>
      <c r="C784">
        <v>0.1</v>
      </c>
      <c r="D784">
        <v>40</v>
      </c>
      <c r="E784">
        <v>10</v>
      </c>
      <c r="F784">
        <v>8</v>
      </c>
      <c r="G784">
        <v>0</v>
      </c>
      <c r="H784">
        <v>10</v>
      </c>
      <c r="I784">
        <v>964</v>
      </c>
      <c r="J784">
        <v>0</v>
      </c>
      <c r="K784">
        <v>2.46</v>
      </c>
      <c r="L784">
        <v>5.1000000000000005</v>
      </c>
      <c r="M784">
        <v>5.34</v>
      </c>
      <c r="N784">
        <v>7.42</v>
      </c>
      <c r="O784">
        <v>1666</v>
      </c>
      <c r="P784">
        <v>0</v>
      </c>
      <c r="Q784" s="5" t="e">
        <f>IF(AND(#REF!&gt;=table!$C$6,#REF!&lt;= table!$D$6),-1,IF(AND(#REF!&gt;=table!$E$6,#REF!&lt;=table!$F$6),1,0))</f>
        <v>#REF!</v>
      </c>
      <c r="R784" s="5" t="e">
        <f>IF(AND(#REF!&gt;=table!$C$7,#REF!&lt;= table!$D$7),-1,IF(AND(#REF!&gt;=table!$E$7,#REF!&lt;=table!$F$7),1,0))</f>
        <v>#REF!</v>
      </c>
      <c r="S784" s="5" t="e">
        <f>IF(AND(#REF!&gt;=table!$C$8,#REF!&lt;= table!$D$8),-1,IF(AND(#REF!&gt;=table!$E$8,#REF!&lt;=table!$F$8),1,0))</f>
        <v>#REF!</v>
      </c>
      <c r="T784" s="5"/>
      <c r="U784" s="5" t="e">
        <f>IF(AND(#REF!&gt;=table!$C$10,#REF!&lt;= table!$D$10),-1,IF(AND(#REF!&gt;=table!$E$10,#REF!&lt;=table!$F$10),1,0))</f>
        <v>#REF!</v>
      </c>
      <c r="V784" s="5" t="e">
        <f>IF(AND(#REF!&gt;=table!$C$11,#REF!&lt;= table!$D$11),-1,IF(AND(#REF!&gt;=table!$E$11,#REF!&lt;=table!$F$11),1,0))</f>
        <v>#REF!</v>
      </c>
      <c r="W784" s="5" t="e">
        <f>CONCATENATE(dados[[#This Row],[fator1]],dados[[#This Row],[fator5]],dados[[#This Row],[fator6]])</f>
        <v>#REF!</v>
      </c>
    </row>
    <row r="785" spans="1:23">
      <c r="A785" t="s">
        <v>16</v>
      </c>
      <c r="B785">
        <v>483109</v>
      </c>
      <c r="C785">
        <v>0.15</v>
      </c>
      <c r="D785">
        <v>40</v>
      </c>
      <c r="E785">
        <v>10</v>
      </c>
      <c r="F785">
        <v>15</v>
      </c>
      <c r="G785">
        <v>0</v>
      </c>
      <c r="H785">
        <v>15</v>
      </c>
      <c r="I785">
        <v>32</v>
      </c>
      <c r="J785">
        <v>0</v>
      </c>
      <c r="K785">
        <v>3.72</v>
      </c>
      <c r="L785">
        <v>7.2</v>
      </c>
      <c r="M785">
        <v>6.4</v>
      </c>
      <c r="N785">
        <v>6.45</v>
      </c>
      <c r="O785">
        <v>1642</v>
      </c>
      <c r="P785">
        <v>777</v>
      </c>
      <c r="Q785" s="5" t="e">
        <f>IF(AND(#REF!&gt;=table!$C$6,#REF!&lt;= table!$D$6),-1,IF(AND(#REF!&gt;=table!$E$6,#REF!&lt;=table!$F$6),1,0))</f>
        <v>#REF!</v>
      </c>
      <c r="R785" s="5" t="e">
        <f>IF(AND(#REF!&gt;=table!$C$7,#REF!&lt;= table!$D$7),-1,IF(AND(#REF!&gt;=table!$E$7,#REF!&lt;=table!$F$7),1,0))</f>
        <v>#REF!</v>
      </c>
      <c r="S785" s="5" t="e">
        <f>IF(AND(#REF!&gt;=table!$C$8,#REF!&lt;= table!$D$8),-1,IF(AND(#REF!&gt;=table!$E$8,#REF!&lt;=table!$F$8),1,0))</f>
        <v>#REF!</v>
      </c>
      <c r="T785" s="5"/>
      <c r="U785" s="5" t="e">
        <f>IF(AND(#REF!&gt;=table!$C$10,#REF!&lt;= table!$D$10),-1,IF(AND(#REF!&gt;=table!$E$10,#REF!&lt;=table!$F$10),1,0))</f>
        <v>#REF!</v>
      </c>
      <c r="V785" s="5" t="e">
        <f>IF(AND(#REF!&gt;=table!$C$11,#REF!&lt;= table!$D$11),-1,IF(AND(#REF!&gt;=table!$E$11,#REF!&lt;=table!$F$11),1,0))</f>
        <v>#REF!</v>
      </c>
      <c r="W785" s="5" t="e">
        <f>CONCATENATE(dados[[#This Row],[fator1]],dados[[#This Row],[fator5]],dados[[#This Row],[fator6]])</f>
        <v>#REF!</v>
      </c>
    </row>
    <row r="786" spans="1:23">
      <c r="A786" t="s">
        <v>16</v>
      </c>
      <c r="B786">
        <v>483110</v>
      </c>
      <c r="C786">
        <v>3</v>
      </c>
      <c r="D786">
        <v>30</v>
      </c>
      <c r="E786">
        <v>21</v>
      </c>
      <c r="F786">
        <v>15</v>
      </c>
      <c r="G786">
        <v>0</v>
      </c>
      <c r="H786">
        <v>25</v>
      </c>
      <c r="I786">
        <v>885</v>
      </c>
      <c r="J786">
        <v>0</v>
      </c>
      <c r="K786">
        <v>4.4249999999999998</v>
      </c>
      <c r="L786">
        <v>5.62</v>
      </c>
      <c r="M786">
        <v>5.42</v>
      </c>
      <c r="N786">
        <v>6.71</v>
      </c>
      <c r="O786">
        <v>1663</v>
      </c>
      <c r="P786">
        <v>1022</v>
      </c>
      <c r="Q786" s="5" t="e">
        <f>IF(AND(#REF!&gt;=table!$C$6,#REF!&lt;= table!$D$6),-1,IF(AND(#REF!&gt;=table!$E$6,#REF!&lt;=table!$F$6),1,0))</f>
        <v>#REF!</v>
      </c>
      <c r="R786" s="5" t="e">
        <f>IF(AND(#REF!&gt;=table!$C$7,#REF!&lt;= table!$D$7),-1,IF(AND(#REF!&gt;=table!$E$7,#REF!&lt;=table!$F$7),1,0))</f>
        <v>#REF!</v>
      </c>
      <c r="S786" s="5" t="e">
        <f>IF(AND(#REF!&gt;=table!$C$8,#REF!&lt;= table!$D$8),-1,IF(AND(#REF!&gt;=table!$E$8,#REF!&lt;=table!$F$8),1,0))</f>
        <v>#REF!</v>
      </c>
      <c r="T786" s="5"/>
      <c r="U786" s="5" t="e">
        <f>IF(AND(#REF!&gt;=table!$C$10,#REF!&lt;= table!$D$10),-1,IF(AND(#REF!&gt;=table!$E$10,#REF!&lt;=table!$F$10),1,0))</f>
        <v>#REF!</v>
      </c>
      <c r="V786" s="5" t="e">
        <f>IF(AND(#REF!&gt;=table!$C$11,#REF!&lt;= table!$D$11),-1,IF(AND(#REF!&gt;=table!$E$11,#REF!&lt;=table!$F$11),1,0))</f>
        <v>#REF!</v>
      </c>
      <c r="W786" s="5" t="e">
        <f>CONCATENATE(dados[[#This Row],[fator1]],dados[[#This Row],[fator5]],dados[[#This Row],[fator6]])</f>
        <v>#REF!</v>
      </c>
    </row>
    <row r="787" spans="1:23">
      <c r="A787" t="s">
        <v>17</v>
      </c>
      <c r="B787">
        <v>483113</v>
      </c>
      <c r="C787">
        <v>8</v>
      </c>
      <c r="D787">
        <v>30</v>
      </c>
      <c r="E787">
        <v>153</v>
      </c>
      <c r="F787">
        <v>2</v>
      </c>
      <c r="G787">
        <v>20</v>
      </c>
      <c r="H787">
        <v>18</v>
      </c>
      <c r="I787">
        <v>704</v>
      </c>
      <c r="J787">
        <v>0</v>
      </c>
      <c r="K787">
        <v>3.79</v>
      </c>
      <c r="L787">
        <v>3.88</v>
      </c>
      <c r="M787">
        <v>129.31</v>
      </c>
      <c r="N787">
        <v>9.4250000000000007</v>
      </c>
      <c r="O787">
        <v>1681</v>
      </c>
      <c r="P787">
        <v>1241</v>
      </c>
      <c r="Q787" s="5" t="e">
        <f>IF(AND(#REF!&gt;=table!$C$6,#REF!&lt;= table!$D$6),-1,IF(AND(#REF!&gt;=table!$E$6,#REF!&lt;=table!$F$6),1,0))</f>
        <v>#REF!</v>
      </c>
      <c r="R787" s="5" t="e">
        <f>IF(AND(#REF!&gt;=table!$C$7,#REF!&lt;= table!$D$7),-1,IF(AND(#REF!&gt;=table!$E$7,#REF!&lt;=table!$F$7),1,0))</f>
        <v>#REF!</v>
      </c>
      <c r="S787" s="5" t="e">
        <f>IF(AND(#REF!&gt;=table!$C$8,#REF!&lt;= table!$D$8),-1,IF(AND(#REF!&gt;=table!$E$8,#REF!&lt;=table!$F$8),1,0))</f>
        <v>#REF!</v>
      </c>
      <c r="T787" s="5"/>
      <c r="U787" s="5" t="e">
        <f>IF(AND(#REF!&gt;=table!$C$10,#REF!&lt;= table!$D$10),-1,IF(AND(#REF!&gt;=table!$E$10,#REF!&lt;=table!$F$10),1,0))</f>
        <v>#REF!</v>
      </c>
      <c r="V787" s="5" t="e">
        <f>IF(AND(#REF!&gt;=table!$C$11,#REF!&lt;= table!$D$11),-1,IF(AND(#REF!&gt;=table!$E$11,#REF!&lt;=table!$F$11),1,0))</f>
        <v>#REF!</v>
      </c>
      <c r="W787" s="5" t="e">
        <f>CONCATENATE(dados[[#This Row],[fator1]],dados[[#This Row],[fator5]],dados[[#This Row],[fator6]])</f>
        <v>#REF!</v>
      </c>
    </row>
    <row r="788" spans="1:23">
      <c r="A788" t="s">
        <v>17</v>
      </c>
      <c r="B788">
        <v>483115</v>
      </c>
      <c r="C788">
        <v>11</v>
      </c>
      <c r="D788">
        <v>30</v>
      </c>
      <c r="E788">
        <v>125</v>
      </c>
      <c r="F788">
        <v>4</v>
      </c>
      <c r="G788">
        <v>25</v>
      </c>
      <c r="H788">
        <v>21</v>
      </c>
      <c r="I788">
        <v>458</v>
      </c>
      <c r="J788">
        <v>0</v>
      </c>
      <c r="K788">
        <v>4.1900000000000004</v>
      </c>
      <c r="L788">
        <v>11.25</v>
      </c>
      <c r="M788">
        <v>122.45</v>
      </c>
      <c r="N788">
        <v>13</v>
      </c>
      <c r="O788">
        <v>1686</v>
      </c>
      <c r="P788">
        <v>0</v>
      </c>
      <c r="Q788" s="5" t="e">
        <f>IF(AND(#REF!&gt;=table!$C$6,#REF!&lt;= table!$D$6),-1,IF(AND(#REF!&gt;=table!$E$6,#REF!&lt;=table!$F$6),1,0))</f>
        <v>#REF!</v>
      </c>
      <c r="R788" s="5" t="e">
        <f>IF(AND(#REF!&gt;=table!$C$7,#REF!&lt;= table!$D$7),-1,IF(AND(#REF!&gt;=table!$E$7,#REF!&lt;=table!$F$7),1,0))</f>
        <v>#REF!</v>
      </c>
      <c r="S788" s="5" t="e">
        <f>IF(AND(#REF!&gt;=table!$C$8,#REF!&lt;= table!$D$8),-1,IF(AND(#REF!&gt;=table!$E$8,#REF!&lt;=table!$F$8),1,0))</f>
        <v>#REF!</v>
      </c>
      <c r="T788" s="5"/>
      <c r="U788" s="5" t="e">
        <f>IF(AND(#REF!&gt;=table!$C$10,#REF!&lt;= table!$D$10),-1,IF(AND(#REF!&gt;=table!$E$10,#REF!&lt;=table!$F$10),1,0))</f>
        <v>#REF!</v>
      </c>
      <c r="V788" s="5" t="e">
        <f>IF(AND(#REF!&gt;=table!$C$11,#REF!&lt;= table!$D$11),-1,IF(AND(#REF!&gt;=table!$E$11,#REF!&lt;=table!$F$11),1,0))</f>
        <v>#REF!</v>
      </c>
      <c r="W788" s="5" t="e">
        <f>CONCATENATE(dados[[#This Row],[fator1]],dados[[#This Row],[fator5]],dados[[#This Row],[fator6]])</f>
        <v>#REF!</v>
      </c>
    </row>
    <row r="789" spans="1:23">
      <c r="A789" t="s">
        <v>17</v>
      </c>
      <c r="B789">
        <v>483116</v>
      </c>
      <c r="C789">
        <v>12</v>
      </c>
      <c r="D789">
        <v>30</v>
      </c>
      <c r="E789">
        <v>115</v>
      </c>
      <c r="F789">
        <v>4</v>
      </c>
      <c r="G789">
        <v>25</v>
      </c>
      <c r="H789">
        <v>21</v>
      </c>
      <c r="I789">
        <v>0</v>
      </c>
      <c r="J789">
        <v>0</v>
      </c>
      <c r="K789">
        <v>11.895000000000001</v>
      </c>
      <c r="L789">
        <v>9.5</v>
      </c>
      <c r="M789">
        <v>120.2</v>
      </c>
      <c r="N789">
        <v>8.35</v>
      </c>
      <c r="O789">
        <v>1669</v>
      </c>
      <c r="P789">
        <v>289</v>
      </c>
      <c r="Q789" s="5" t="e">
        <f>IF(AND(#REF!&gt;=table!$C$6,#REF!&lt;= table!$D$6),-1,IF(AND(#REF!&gt;=table!$E$6,#REF!&lt;=table!$F$6),1,0))</f>
        <v>#REF!</v>
      </c>
      <c r="R789" s="5" t="e">
        <f>IF(AND(#REF!&gt;=table!$C$7,#REF!&lt;= table!$D$7),-1,IF(AND(#REF!&gt;=table!$E$7,#REF!&lt;=table!$F$7),1,0))</f>
        <v>#REF!</v>
      </c>
      <c r="S789" s="5" t="e">
        <f>IF(AND(#REF!&gt;=table!$C$8,#REF!&lt;= table!$D$8),-1,IF(AND(#REF!&gt;=table!$E$8,#REF!&lt;=table!$F$8),1,0))</f>
        <v>#REF!</v>
      </c>
      <c r="T789" s="5"/>
      <c r="U789" s="5" t="e">
        <f>IF(AND(#REF!&gt;=table!$C$10,#REF!&lt;= table!$D$10),-1,IF(AND(#REF!&gt;=table!$E$10,#REF!&lt;=table!$F$10),1,0))</f>
        <v>#REF!</v>
      </c>
      <c r="V789" s="5" t="e">
        <f>IF(AND(#REF!&gt;=table!$C$11,#REF!&lt;= table!$D$11),-1,IF(AND(#REF!&gt;=table!$E$11,#REF!&lt;=table!$F$11),1,0))</f>
        <v>#REF!</v>
      </c>
      <c r="W789" s="5" t="e">
        <f>CONCATENATE(dados[[#This Row],[fator1]],dados[[#This Row],[fator5]],dados[[#This Row],[fator6]])</f>
        <v>#REF!</v>
      </c>
    </row>
    <row r="790" spans="1:23">
      <c r="A790" t="s">
        <v>17</v>
      </c>
      <c r="B790">
        <v>483117</v>
      </c>
      <c r="C790">
        <v>16</v>
      </c>
      <c r="D790">
        <v>30</v>
      </c>
      <c r="E790">
        <v>106</v>
      </c>
      <c r="F790">
        <v>9</v>
      </c>
      <c r="G790">
        <v>20</v>
      </c>
      <c r="H790">
        <v>25</v>
      </c>
      <c r="I790">
        <v>2721</v>
      </c>
      <c r="J790">
        <v>0</v>
      </c>
      <c r="K790">
        <v>15.855</v>
      </c>
      <c r="L790">
        <v>10.875</v>
      </c>
      <c r="M790">
        <v>81.45</v>
      </c>
      <c r="N790">
        <v>14.3</v>
      </c>
      <c r="O790">
        <v>1690</v>
      </c>
      <c r="P790">
        <v>251</v>
      </c>
      <c r="Q790" s="5" t="e">
        <f>IF(AND(#REF!&gt;=table!$C$6,#REF!&lt;= table!$D$6),-1,IF(AND(#REF!&gt;=table!$E$6,#REF!&lt;=table!$F$6),1,0))</f>
        <v>#REF!</v>
      </c>
      <c r="R790" s="5" t="e">
        <f>IF(AND(#REF!&gt;=table!$C$7,#REF!&lt;= table!$D$7),-1,IF(AND(#REF!&gt;=table!$E$7,#REF!&lt;=table!$F$7),1,0))</f>
        <v>#REF!</v>
      </c>
      <c r="S790" s="5" t="e">
        <f>IF(AND(#REF!&gt;=table!$C$8,#REF!&lt;= table!$D$8),-1,IF(AND(#REF!&gt;=table!$E$8,#REF!&lt;=table!$F$8),1,0))</f>
        <v>#REF!</v>
      </c>
      <c r="T790" s="5"/>
      <c r="U790" s="5" t="e">
        <f>IF(AND(#REF!&gt;=table!$C$10,#REF!&lt;= table!$D$10),-1,IF(AND(#REF!&gt;=table!$E$10,#REF!&lt;=table!$F$10),1,0))</f>
        <v>#REF!</v>
      </c>
      <c r="V790" s="5" t="e">
        <f>IF(AND(#REF!&gt;=table!$C$11,#REF!&lt;= table!$D$11),-1,IF(AND(#REF!&gt;=table!$E$11,#REF!&lt;=table!$F$11),1,0))</f>
        <v>#REF!</v>
      </c>
      <c r="W790" s="5" t="e">
        <f>CONCATENATE(dados[[#This Row],[fator1]],dados[[#This Row],[fator5]],dados[[#This Row],[fator6]])</f>
        <v>#REF!</v>
      </c>
    </row>
    <row r="791" spans="1:23">
      <c r="A791" t="s">
        <v>17</v>
      </c>
      <c r="B791">
        <v>483118</v>
      </c>
      <c r="C791">
        <v>16</v>
      </c>
      <c r="D791">
        <v>30</v>
      </c>
      <c r="E791">
        <v>106</v>
      </c>
      <c r="F791">
        <v>9</v>
      </c>
      <c r="G791">
        <v>20</v>
      </c>
      <c r="H791">
        <v>25</v>
      </c>
      <c r="I791">
        <v>929</v>
      </c>
      <c r="J791">
        <v>0</v>
      </c>
      <c r="K791">
        <v>4.08</v>
      </c>
      <c r="L791">
        <v>5.6000000000000005</v>
      </c>
      <c r="M791">
        <v>103.35000000000001</v>
      </c>
      <c r="N791">
        <v>13.700000000000001</v>
      </c>
      <c r="O791">
        <v>1677</v>
      </c>
      <c r="P791">
        <v>0</v>
      </c>
      <c r="Q791" s="5" t="e">
        <f>IF(AND(#REF!&gt;=table!$C$6,#REF!&lt;= table!$D$6),-1,IF(AND(#REF!&gt;=table!$E$6,#REF!&lt;=table!$F$6),1,0))</f>
        <v>#REF!</v>
      </c>
      <c r="R791" s="5" t="e">
        <f>IF(AND(#REF!&gt;=table!$C$7,#REF!&lt;= table!$D$7),-1,IF(AND(#REF!&gt;=table!$E$7,#REF!&lt;=table!$F$7),1,0))</f>
        <v>#REF!</v>
      </c>
      <c r="S791" s="5" t="e">
        <f>IF(AND(#REF!&gt;=table!$C$8,#REF!&lt;= table!$D$8),-1,IF(AND(#REF!&gt;=table!$E$8,#REF!&lt;=table!$F$8),1,0))</f>
        <v>#REF!</v>
      </c>
      <c r="T791" s="5"/>
      <c r="U791" s="5" t="e">
        <f>IF(AND(#REF!&gt;=table!$C$10,#REF!&lt;= table!$D$10),-1,IF(AND(#REF!&gt;=table!$E$10,#REF!&lt;=table!$F$10),1,0))</f>
        <v>#REF!</v>
      </c>
      <c r="V791" s="5" t="e">
        <f>IF(AND(#REF!&gt;=table!$C$11,#REF!&lt;= table!$D$11),-1,IF(AND(#REF!&gt;=table!$E$11,#REF!&lt;=table!$F$11),1,0))</f>
        <v>#REF!</v>
      </c>
      <c r="W791" s="5" t="e">
        <f>CONCATENATE(dados[[#This Row],[fator1]],dados[[#This Row],[fator5]],dados[[#This Row],[fator6]])</f>
        <v>#REF!</v>
      </c>
    </row>
    <row r="792" spans="1:23">
      <c r="A792" t="s">
        <v>17</v>
      </c>
      <c r="B792">
        <v>483120</v>
      </c>
      <c r="C792">
        <v>16</v>
      </c>
      <c r="D792">
        <v>30</v>
      </c>
      <c r="E792">
        <v>116</v>
      </c>
      <c r="F792">
        <v>6</v>
      </c>
      <c r="G792">
        <v>20</v>
      </c>
      <c r="H792">
        <v>25</v>
      </c>
      <c r="I792">
        <v>135</v>
      </c>
      <c r="J792">
        <v>0</v>
      </c>
      <c r="K792">
        <v>8.4</v>
      </c>
      <c r="L792">
        <v>16.3</v>
      </c>
      <c r="M792">
        <v>111.3</v>
      </c>
      <c r="N792">
        <v>19.55</v>
      </c>
      <c r="O792">
        <v>1675</v>
      </c>
      <c r="P792">
        <v>358</v>
      </c>
      <c r="Q792" s="5" t="e">
        <f>IF(AND(#REF!&gt;=table!$C$6,#REF!&lt;= table!$D$6),-1,IF(AND(#REF!&gt;=table!$E$6,#REF!&lt;=table!$F$6),1,0))</f>
        <v>#REF!</v>
      </c>
      <c r="R792" s="5" t="e">
        <f>IF(AND(#REF!&gt;=table!$C$7,#REF!&lt;= table!$D$7),-1,IF(AND(#REF!&gt;=table!$E$7,#REF!&lt;=table!$F$7),1,0))</f>
        <v>#REF!</v>
      </c>
      <c r="S792" s="5" t="e">
        <f>IF(AND(#REF!&gt;=table!$C$8,#REF!&lt;= table!$D$8),-1,IF(AND(#REF!&gt;=table!$E$8,#REF!&lt;=table!$F$8),1,0))</f>
        <v>#REF!</v>
      </c>
      <c r="T792" s="5"/>
      <c r="U792" s="5" t="e">
        <f>IF(AND(#REF!&gt;=table!$C$10,#REF!&lt;= table!$D$10),-1,IF(AND(#REF!&gt;=table!$E$10,#REF!&lt;=table!$F$10),1,0))</f>
        <v>#REF!</v>
      </c>
      <c r="V792" s="5" t="e">
        <f>IF(AND(#REF!&gt;=table!$C$11,#REF!&lt;= table!$D$11),-1,IF(AND(#REF!&gt;=table!$E$11,#REF!&lt;=table!$F$11),1,0))</f>
        <v>#REF!</v>
      </c>
      <c r="W792" s="5" t="e">
        <f>CONCATENATE(dados[[#This Row],[fator1]],dados[[#This Row],[fator5]],dados[[#This Row],[fator6]])</f>
        <v>#REF!</v>
      </c>
    </row>
    <row r="793" spans="1:23">
      <c r="A793" t="s">
        <v>17</v>
      </c>
      <c r="B793">
        <v>483121</v>
      </c>
      <c r="C793">
        <v>14</v>
      </c>
      <c r="D793">
        <v>25</v>
      </c>
      <c r="E793">
        <v>130</v>
      </c>
      <c r="F793">
        <v>9</v>
      </c>
      <c r="G793">
        <v>110</v>
      </c>
      <c r="H793">
        <v>50</v>
      </c>
      <c r="I793">
        <v>743</v>
      </c>
      <c r="J793">
        <v>0</v>
      </c>
      <c r="K793">
        <v>8.68</v>
      </c>
      <c r="L793">
        <v>17.330000000000002</v>
      </c>
      <c r="M793">
        <v>124.65</v>
      </c>
      <c r="N793">
        <v>34.1</v>
      </c>
      <c r="O793">
        <v>1672</v>
      </c>
      <c r="P793">
        <v>0</v>
      </c>
      <c r="Q793" s="5" t="e">
        <f>IF(AND(#REF!&gt;=table!$C$6,#REF!&lt;= table!$D$6),-1,IF(AND(#REF!&gt;=table!$E$6,#REF!&lt;=table!$F$6),1,0))</f>
        <v>#REF!</v>
      </c>
      <c r="R793" s="5" t="e">
        <f>IF(AND(#REF!&gt;=table!$C$7,#REF!&lt;= table!$D$7),-1,IF(AND(#REF!&gt;=table!$E$7,#REF!&lt;=table!$F$7),1,0))</f>
        <v>#REF!</v>
      </c>
      <c r="S793" s="5" t="e">
        <f>IF(AND(#REF!&gt;=table!$C$8,#REF!&lt;= table!$D$8),-1,IF(AND(#REF!&gt;=table!$E$8,#REF!&lt;=table!$F$8),1,0))</f>
        <v>#REF!</v>
      </c>
      <c r="T793" s="5"/>
      <c r="U793" s="5" t="e">
        <f>IF(AND(#REF!&gt;=table!$C$10,#REF!&lt;= table!$D$10),-1,IF(AND(#REF!&gt;=table!$E$10,#REF!&lt;=table!$F$10),1,0))</f>
        <v>#REF!</v>
      </c>
      <c r="V793" s="5" t="e">
        <f>IF(AND(#REF!&gt;=table!$C$11,#REF!&lt;= table!$D$11),-1,IF(AND(#REF!&gt;=table!$E$11,#REF!&lt;=table!$F$11),1,0))</f>
        <v>#REF!</v>
      </c>
      <c r="W793" s="5" t="e">
        <f>CONCATENATE(dados[[#This Row],[fator1]],dados[[#This Row],[fator5]],dados[[#This Row],[fator6]])</f>
        <v>#REF!</v>
      </c>
    </row>
    <row r="794" spans="1:23">
      <c r="A794" t="s">
        <v>17</v>
      </c>
      <c r="B794">
        <v>483122</v>
      </c>
      <c r="C794">
        <v>14</v>
      </c>
      <c r="D794">
        <v>25</v>
      </c>
      <c r="E794">
        <v>130</v>
      </c>
      <c r="F794">
        <v>9</v>
      </c>
      <c r="G794">
        <v>110</v>
      </c>
      <c r="H794">
        <v>50</v>
      </c>
      <c r="I794">
        <v>1037</v>
      </c>
      <c r="J794">
        <v>0</v>
      </c>
      <c r="K794">
        <v>8.5500000000000007</v>
      </c>
      <c r="L794">
        <v>10.4</v>
      </c>
      <c r="M794">
        <v>120.4</v>
      </c>
      <c r="N794">
        <v>34.4</v>
      </c>
      <c r="O794">
        <v>1656</v>
      </c>
      <c r="P794">
        <v>413</v>
      </c>
      <c r="Q794" s="5" t="e">
        <f>IF(AND(#REF!&gt;=table!$C$6,#REF!&lt;= table!$D$6),-1,IF(AND(#REF!&gt;=table!$E$6,#REF!&lt;=table!$F$6),1,0))</f>
        <v>#REF!</v>
      </c>
      <c r="R794" s="5" t="e">
        <f>IF(AND(#REF!&gt;=table!$C$7,#REF!&lt;= table!$D$7),-1,IF(AND(#REF!&gt;=table!$E$7,#REF!&lt;=table!$F$7),1,0))</f>
        <v>#REF!</v>
      </c>
      <c r="S794" s="5" t="e">
        <f>IF(AND(#REF!&gt;=table!$C$8,#REF!&lt;= table!$D$8),-1,IF(AND(#REF!&gt;=table!$E$8,#REF!&lt;=table!$F$8),1,0))</f>
        <v>#REF!</v>
      </c>
      <c r="T794" s="5"/>
      <c r="U794" s="5" t="e">
        <f>IF(AND(#REF!&gt;=table!$C$10,#REF!&lt;= table!$D$10),-1,IF(AND(#REF!&gt;=table!$E$10,#REF!&lt;=table!$F$10),1,0))</f>
        <v>#REF!</v>
      </c>
      <c r="V794" s="5" t="e">
        <f>IF(AND(#REF!&gt;=table!$C$11,#REF!&lt;= table!$D$11),-1,IF(AND(#REF!&gt;=table!$E$11,#REF!&lt;=table!$F$11),1,0))</f>
        <v>#REF!</v>
      </c>
      <c r="W794" s="5" t="e">
        <f>CONCATENATE(dados[[#This Row],[fator1]],dados[[#This Row],[fator5]],dados[[#This Row],[fator6]])</f>
        <v>#REF!</v>
      </c>
    </row>
    <row r="795" spans="1:23">
      <c r="A795" t="s">
        <v>16</v>
      </c>
      <c r="B795">
        <v>483135</v>
      </c>
      <c r="C795">
        <v>0.15</v>
      </c>
      <c r="D795">
        <v>40</v>
      </c>
      <c r="E795">
        <v>10</v>
      </c>
      <c r="F795">
        <v>15</v>
      </c>
      <c r="G795">
        <v>0</v>
      </c>
      <c r="H795">
        <v>15</v>
      </c>
      <c r="I795">
        <v>719</v>
      </c>
      <c r="J795">
        <v>0</v>
      </c>
      <c r="K795">
        <v>3.49</v>
      </c>
      <c r="L795">
        <v>9.65</v>
      </c>
      <c r="M795">
        <v>8.7050000000000001</v>
      </c>
      <c r="N795">
        <v>8.2900000000000009</v>
      </c>
      <c r="O795">
        <v>1664</v>
      </c>
      <c r="P795">
        <v>0</v>
      </c>
      <c r="Q795" s="5" t="e">
        <f>IF(AND(#REF!&gt;=table!$C$6,#REF!&lt;= table!$D$6),-1,IF(AND(#REF!&gt;=table!$E$6,#REF!&lt;=table!$F$6),1,0))</f>
        <v>#REF!</v>
      </c>
      <c r="R795" s="5" t="e">
        <f>IF(AND(#REF!&gt;=table!$C$7,#REF!&lt;= table!$D$7),-1,IF(AND(#REF!&gt;=table!$E$7,#REF!&lt;=table!$F$7),1,0))</f>
        <v>#REF!</v>
      </c>
      <c r="S795" s="5" t="e">
        <f>IF(AND(#REF!&gt;=table!$C$8,#REF!&lt;= table!$D$8),-1,IF(AND(#REF!&gt;=table!$E$8,#REF!&lt;=table!$F$8),1,0))</f>
        <v>#REF!</v>
      </c>
      <c r="T795" s="5"/>
      <c r="U795" s="5" t="e">
        <f>IF(AND(#REF!&gt;=table!$C$10,#REF!&lt;= table!$D$10),-1,IF(AND(#REF!&gt;=table!$E$10,#REF!&lt;=table!$F$10),1,0))</f>
        <v>#REF!</v>
      </c>
      <c r="V795" s="5" t="e">
        <f>IF(AND(#REF!&gt;=table!$C$11,#REF!&lt;= table!$D$11),-1,IF(AND(#REF!&gt;=table!$E$11,#REF!&lt;=table!$F$11),1,0))</f>
        <v>#REF!</v>
      </c>
      <c r="W795" s="5" t="e">
        <f>CONCATENATE(dados[[#This Row],[fator1]],dados[[#This Row],[fator5]],dados[[#This Row],[fator6]])</f>
        <v>#REF!</v>
      </c>
    </row>
    <row r="796" spans="1:23">
      <c r="A796" t="s">
        <v>16</v>
      </c>
      <c r="B796">
        <v>483138</v>
      </c>
      <c r="C796">
        <v>0.1</v>
      </c>
      <c r="D796">
        <v>40</v>
      </c>
      <c r="E796">
        <v>10</v>
      </c>
      <c r="F796">
        <v>8</v>
      </c>
      <c r="G796">
        <v>0</v>
      </c>
      <c r="H796">
        <v>10</v>
      </c>
      <c r="I796">
        <v>601</v>
      </c>
      <c r="J796">
        <v>0</v>
      </c>
      <c r="K796">
        <v>4.17</v>
      </c>
      <c r="L796">
        <v>8.4850000000000012</v>
      </c>
      <c r="M796">
        <v>6.8500000000000005</v>
      </c>
      <c r="N796">
        <v>10.55</v>
      </c>
      <c r="O796">
        <v>1686</v>
      </c>
      <c r="P796">
        <v>0</v>
      </c>
      <c r="Q796" s="5" t="e">
        <f>IF(AND(#REF!&gt;=table!$C$6,#REF!&lt;= table!$D$6),-1,IF(AND(#REF!&gt;=table!$E$6,#REF!&lt;=table!$F$6),1,0))</f>
        <v>#REF!</v>
      </c>
      <c r="R796" s="5" t="e">
        <f>IF(AND(#REF!&gt;=table!$C$7,#REF!&lt;= table!$D$7),-1,IF(AND(#REF!&gt;=table!$E$7,#REF!&lt;=table!$F$7),1,0))</f>
        <v>#REF!</v>
      </c>
      <c r="S796" s="5" t="e">
        <f>IF(AND(#REF!&gt;=table!$C$8,#REF!&lt;= table!$D$8),-1,IF(AND(#REF!&gt;=table!$E$8,#REF!&lt;=table!$F$8),1,0))</f>
        <v>#REF!</v>
      </c>
      <c r="T796" s="5"/>
      <c r="U796" s="5" t="e">
        <f>IF(AND(#REF!&gt;=table!$C$10,#REF!&lt;= table!$D$10),-1,IF(AND(#REF!&gt;=table!$E$10,#REF!&lt;=table!$F$10),1,0))</f>
        <v>#REF!</v>
      </c>
      <c r="V796" s="5" t="e">
        <f>IF(AND(#REF!&gt;=table!$C$11,#REF!&lt;= table!$D$11),-1,IF(AND(#REF!&gt;=table!$E$11,#REF!&lt;=table!$F$11),1,0))</f>
        <v>#REF!</v>
      </c>
      <c r="W796" s="5" t="e">
        <f>CONCATENATE(dados[[#This Row],[fator1]],dados[[#This Row],[fator5]],dados[[#This Row],[fator6]])</f>
        <v>#REF!</v>
      </c>
    </row>
    <row r="797" spans="1:23">
      <c r="A797" t="s">
        <v>16</v>
      </c>
      <c r="B797">
        <v>483139</v>
      </c>
      <c r="C797">
        <v>0.1</v>
      </c>
      <c r="D797">
        <v>40</v>
      </c>
      <c r="E797">
        <v>10</v>
      </c>
      <c r="F797">
        <v>8</v>
      </c>
      <c r="G797">
        <v>0</v>
      </c>
      <c r="H797">
        <v>10</v>
      </c>
      <c r="I797">
        <v>1158</v>
      </c>
      <c r="J797">
        <v>0</v>
      </c>
      <c r="K797">
        <v>3.165</v>
      </c>
      <c r="L797">
        <v>9.0500000000000007</v>
      </c>
      <c r="M797">
        <v>8.25</v>
      </c>
      <c r="N797">
        <v>12.15</v>
      </c>
      <c r="O797">
        <v>1684</v>
      </c>
      <c r="P797">
        <v>0</v>
      </c>
      <c r="Q797" s="5" t="e">
        <f>IF(AND(#REF!&gt;=table!$C$6,#REF!&lt;= table!$D$6),-1,IF(AND(#REF!&gt;=table!$E$6,#REF!&lt;=table!$F$6),1,0))</f>
        <v>#REF!</v>
      </c>
      <c r="R797" s="5" t="e">
        <f>IF(AND(#REF!&gt;=table!$C$7,#REF!&lt;= table!$D$7),-1,IF(AND(#REF!&gt;=table!$E$7,#REF!&lt;=table!$F$7),1,0))</f>
        <v>#REF!</v>
      </c>
      <c r="S797" s="5" t="e">
        <f>IF(AND(#REF!&gt;=table!$C$8,#REF!&lt;= table!$D$8),-1,IF(AND(#REF!&gt;=table!$E$8,#REF!&lt;=table!$F$8),1,0))</f>
        <v>#REF!</v>
      </c>
      <c r="T797" s="5"/>
      <c r="U797" s="5" t="e">
        <f>IF(AND(#REF!&gt;=table!$C$10,#REF!&lt;= table!$D$10),-1,IF(AND(#REF!&gt;=table!$E$10,#REF!&lt;=table!$F$10),1,0))</f>
        <v>#REF!</v>
      </c>
      <c r="V797" s="5" t="e">
        <f>IF(AND(#REF!&gt;=table!$C$11,#REF!&lt;= table!$D$11),-1,IF(AND(#REF!&gt;=table!$E$11,#REF!&lt;=table!$F$11),1,0))</f>
        <v>#REF!</v>
      </c>
      <c r="W797" s="5" t="e">
        <f>CONCATENATE(dados[[#This Row],[fator1]],dados[[#This Row],[fator5]],dados[[#This Row],[fator6]])</f>
        <v>#REF!</v>
      </c>
    </row>
    <row r="798" spans="1:23">
      <c r="A798" t="s">
        <v>16</v>
      </c>
      <c r="B798">
        <v>483144</v>
      </c>
      <c r="C798">
        <v>6</v>
      </c>
      <c r="D798">
        <v>25</v>
      </c>
      <c r="E798">
        <v>120</v>
      </c>
      <c r="F798">
        <v>4</v>
      </c>
      <c r="G798">
        <v>0</v>
      </c>
      <c r="H798">
        <v>55</v>
      </c>
      <c r="I798">
        <v>397</v>
      </c>
      <c r="J798">
        <v>0</v>
      </c>
      <c r="K798">
        <v>3.8250000000000002</v>
      </c>
      <c r="L798">
        <v>9.1</v>
      </c>
      <c r="M798">
        <v>83.785000000000011</v>
      </c>
      <c r="N798">
        <v>26.475000000000001</v>
      </c>
      <c r="O798">
        <v>1667</v>
      </c>
      <c r="P798">
        <v>941</v>
      </c>
      <c r="Q798" s="5" t="e">
        <f>IF(AND(#REF!&gt;=table!$C$6,#REF!&lt;= table!$D$6),-1,IF(AND(#REF!&gt;=table!$E$6,#REF!&lt;=table!$F$6),1,0))</f>
        <v>#REF!</v>
      </c>
      <c r="R798" s="5" t="e">
        <f>IF(AND(#REF!&gt;=table!$C$7,#REF!&lt;= table!$D$7),-1,IF(AND(#REF!&gt;=table!$E$7,#REF!&lt;=table!$F$7),1,0))</f>
        <v>#REF!</v>
      </c>
      <c r="S798" s="5" t="e">
        <f>IF(AND(#REF!&gt;=table!$C$8,#REF!&lt;= table!$D$8),-1,IF(AND(#REF!&gt;=table!$E$8,#REF!&lt;=table!$F$8),1,0))</f>
        <v>#REF!</v>
      </c>
      <c r="T798" s="5"/>
      <c r="U798" s="5" t="e">
        <f>IF(AND(#REF!&gt;=table!$C$10,#REF!&lt;= table!$D$10),-1,IF(AND(#REF!&gt;=table!$E$10,#REF!&lt;=table!$F$10),1,0))</f>
        <v>#REF!</v>
      </c>
      <c r="V798" s="5" t="e">
        <f>IF(AND(#REF!&gt;=table!$C$11,#REF!&lt;= table!$D$11),-1,IF(AND(#REF!&gt;=table!$E$11,#REF!&lt;=table!$F$11),1,0))</f>
        <v>#REF!</v>
      </c>
      <c r="W798" s="5" t="e">
        <f>CONCATENATE(dados[[#This Row],[fator1]],dados[[#This Row],[fator5]],dados[[#This Row],[fator6]])</f>
        <v>#REF!</v>
      </c>
    </row>
    <row r="799" spans="1:23">
      <c r="A799" t="s">
        <v>16</v>
      </c>
      <c r="B799">
        <v>483146</v>
      </c>
      <c r="C799">
        <v>10</v>
      </c>
      <c r="D799">
        <v>40</v>
      </c>
      <c r="E799">
        <v>96</v>
      </c>
      <c r="F799">
        <v>8</v>
      </c>
      <c r="G799">
        <v>0</v>
      </c>
      <c r="H799">
        <v>25</v>
      </c>
      <c r="I799">
        <v>435</v>
      </c>
      <c r="J799">
        <v>0</v>
      </c>
      <c r="K799">
        <v>3.9</v>
      </c>
      <c r="L799">
        <v>7.5</v>
      </c>
      <c r="M799">
        <v>73.83</v>
      </c>
      <c r="N799">
        <v>11.435</v>
      </c>
      <c r="O799">
        <v>1677</v>
      </c>
      <c r="P799">
        <v>1020</v>
      </c>
      <c r="Q799" s="5" t="e">
        <f>IF(AND(#REF!&gt;=table!$C$6,#REF!&lt;= table!$D$6),-1,IF(AND(#REF!&gt;=table!$E$6,#REF!&lt;=table!$F$6),1,0))</f>
        <v>#REF!</v>
      </c>
      <c r="R799" s="5" t="e">
        <f>IF(AND(#REF!&gt;=table!$C$7,#REF!&lt;= table!$D$7),-1,IF(AND(#REF!&gt;=table!$E$7,#REF!&lt;=table!$F$7),1,0))</f>
        <v>#REF!</v>
      </c>
      <c r="S799" s="5" t="e">
        <f>IF(AND(#REF!&gt;=table!$C$8,#REF!&lt;= table!$D$8),-1,IF(AND(#REF!&gt;=table!$E$8,#REF!&lt;=table!$F$8),1,0))</f>
        <v>#REF!</v>
      </c>
      <c r="T799" s="5"/>
      <c r="U799" s="5" t="e">
        <f>IF(AND(#REF!&gt;=table!$C$10,#REF!&lt;= table!$D$10),-1,IF(AND(#REF!&gt;=table!$E$10,#REF!&lt;=table!$F$10),1,0))</f>
        <v>#REF!</v>
      </c>
      <c r="V799" s="5" t="e">
        <f>IF(AND(#REF!&gt;=table!$C$11,#REF!&lt;= table!$D$11),-1,IF(AND(#REF!&gt;=table!$E$11,#REF!&lt;=table!$F$11),1,0))</f>
        <v>#REF!</v>
      </c>
      <c r="W799" s="5" t="e">
        <f>CONCATENATE(dados[[#This Row],[fator1]],dados[[#This Row],[fator5]],dados[[#This Row],[fator6]])</f>
        <v>#REF!</v>
      </c>
    </row>
    <row r="800" spans="1:23">
      <c r="A800" t="s">
        <v>16</v>
      </c>
      <c r="B800">
        <v>483148</v>
      </c>
      <c r="C800">
        <v>6</v>
      </c>
      <c r="D800">
        <v>25</v>
      </c>
      <c r="E800">
        <v>120</v>
      </c>
      <c r="F800">
        <v>4</v>
      </c>
      <c r="G800">
        <v>0</v>
      </c>
      <c r="H800">
        <v>55</v>
      </c>
      <c r="I800">
        <v>496</v>
      </c>
      <c r="J800">
        <v>0</v>
      </c>
      <c r="K800">
        <v>3.2150000000000003</v>
      </c>
      <c r="L800">
        <v>8.5500000000000007</v>
      </c>
      <c r="M800">
        <v>100.60000000000001</v>
      </c>
      <c r="N800">
        <v>34.200000000000003</v>
      </c>
      <c r="O800">
        <v>1695</v>
      </c>
      <c r="P800">
        <v>0</v>
      </c>
      <c r="Q800" s="5" t="e">
        <f>IF(AND(#REF!&gt;=table!$C$6,#REF!&lt;= table!$D$6),-1,IF(AND(#REF!&gt;=table!$E$6,#REF!&lt;=table!$F$6),1,0))</f>
        <v>#REF!</v>
      </c>
      <c r="R800" s="5" t="e">
        <f>IF(AND(#REF!&gt;=table!$C$7,#REF!&lt;= table!$D$7),-1,IF(AND(#REF!&gt;=table!$E$7,#REF!&lt;=table!$F$7),1,0))</f>
        <v>#REF!</v>
      </c>
      <c r="S800" s="5" t="e">
        <f>IF(AND(#REF!&gt;=table!$C$8,#REF!&lt;= table!$D$8),-1,IF(AND(#REF!&gt;=table!$E$8,#REF!&lt;=table!$F$8),1,0))</f>
        <v>#REF!</v>
      </c>
      <c r="T800" s="5"/>
      <c r="U800" s="5" t="e">
        <f>IF(AND(#REF!&gt;=table!$C$10,#REF!&lt;= table!$D$10),-1,IF(AND(#REF!&gt;=table!$E$10,#REF!&lt;=table!$F$10),1,0))</f>
        <v>#REF!</v>
      </c>
      <c r="V800" s="5" t="e">
        <f>IF(AND(#REF!&gt;=table!$C$11,#REF!&lt;= table!$D$11),-1,IF(AND(#REF!&gt;=table!$E$11,#REF!&lt;=table!$F$11),1,0))</f>
        <v>#REF!</v>
      </c>
      <c r="W800" s="5" t="e">
        <f>CONCATENATE(dados[[#This Row],[fator1]],dados[[#This Row],[fator5]],dados[[#This Row],[fator6]])</f>
        <v>#REF!</v>
      </c>
    </row>
    <row r="801" spans="1:23">
      <c r="A801" t="s">
        <v>16</v>
      </c>
      <c r="B801">
        <v>483150</v>
      </c>
      <c r="C801">
        <v>10</v>
      </c>
      <c r="D801">
        <v>40</v>
      </c>
      <c r="E801">
        <v>96</v>
      </c>
      <c r="F801">
        <v>8</v>
      </c>
      <c r="G801">
        <v>0</v>
      </c>
      <c r="H801">
        <v>25</v>
      </c>
      <c r="I801">
        <v>393</v>
      </c>
      <c r="J801">
        <v>0</v>
      </c>
      <c r="K801">
        <v>3.5050000000000003</v>
      </c>
      <c r="L801">
        <v>10.5</v>
      </c>
      <c r="M801">
        <v>75.350000000000009</v>
      </c>
      <c r="N801">
        <v>14.700000000000001</v>
      </c>
      <c r="O801">
        <v>1687</v>
      </c>
      <c r="P801">
        <v>0</v>
      </c>
      <c r="Q801" s="5" t="e">
        <f>IF(AND(#REF!&gt;=table!$C$6,#REF!&lt;= table!$D$6),-1,IF(AND(#REF!&gt;=table!$E$6,#REF!&lt;=table!$F$6),1,0))</f>
        <v>#REF!</v>
      </c>
      <c r="R801" s="5" t="e">
        <f>IF(AND(#REF!&gt;=table!$C$7,#REF!&lt;= table!$D$7),-1,IF(AND(#REF!&gt;=table!$E$7,#REF!&lt;=table!$F$7),1,0))</f>
        <v>#REF!</v>
      </c>
      <c r="S801" s="5" t="e">
        <f>IF(AND(#REF!&gt;=table!$C$8,#REF!&lt;= table!$D$8),-1,IF(AND(#REF!&gt;=table!$E$8,#REF!&lt;=table!$F$8),1,0))</f>
        <v>#REF!</v>
      </c>
      <c r="T801" s="5"/>
      <c r="U801" s="5" t="e">
        <f>IF(AND(#REF!&gt;=table!$C$10,#REF!&lt;= table!$D$10),-1,IF(AND(#REF!&gt;=table!$E$10,#REF!&lt;=table!$F$10),1,0))</f>
        <v>#REF!</v>
      </c>
      <c r="V801" s="5" t="e">
        <f>IF(AND(#REF!&gt;=table!$C$11,#REF!&lt;= table!$D$11),-1,IF(AND(#REF!&gt;=table!$E$11,#REF!&lt;=table!$F$11),1,0))</f>
        <v>#REF!</v>
      </c>
      <c r="W801" s="5" t="e">
        <f>CONCATENATE(dados[[#This Row],[fator1]],dados[[#This Row],[fator5]],dados[[#This Row],[fator6]])</f>
        <v>#REF!</v>
      </c>
    </row>
    <row r="802" spans="1:23">
      <c r="A802" t="s">
        <v>16</v>
      </c>
      <c r="B802">
        <v>483152</v>
      </c>
      <c r="C802">
        <v>8</v>
      </c>
      <c r="D802">
        <v>40</v>
      </c>
      <c r="E802">
        <v>86</v>
      </c>
      <c r="F802">
        <v>9</v>
      </c>
      <c r="G802">
        <v>0</v>
      </c>
      <c r="H802">
        <v>25</v>
      </c>
      <c r="I802">
        <v>1382</v>
      </c>
      <c r="J802">
        <v>560</v>
      </c>
      <c r="K802">
        <v>11.155000000000001</v>
      </c>
      <c r="L802">
        <v>10.725</v>
      </c>
      <c r="M802">
        <v>76.615000000000009</v>
      </c>
      <c r="N802">
        <v>13.205</v>
      </c>
      <c r="O802">
        <v>1675</v>
      </c>
      <c r="P802">
        <v>300</v>
      </c>
      <c r="Q802" s="5" t="e">
        <f>IF(AND(#REF!&gt;=table!$C$6,#REF!&lt;= table!$D$6),-1,IF(AND(#REF!&gt;=table!$E$6,#REF!&lt;=table!$F$6),1,0))</f>
        <v>#REF!</v>
      </c>
      <c r="R802" s="5" t="e">
        <f>IF(AND(#REF!&gt;=table!$C$7,#REF!&lt;= table!$D$7),-1,IF(AND(#REF!&gt;=table!$E$7,#REF!&lt;=table!$F$7),1,0))</f>
        <v>#REF!</v>
      </c>
      <c r="S802" s="5" t="e">
        <f>IF(AND(#REF!&gt;=table!$C$8,#REF!&lt;= table!$D$8),-1,IF(AND(#REF!&gt;=table!$E$8,#REF!&lt;=table!$F$8),1,0))</f>
        <v>#REF!</v>
      </c>
      <c r="T802" s="5"/>
      <c r="U802" s="5" t="e">
        <f>IF(AND(#REF!&gt;=table!$C$10,#REF!&lt;= table!$D$10),-1,IF(AND(#REF!&gt;=table!$E$10,#REF!&lt;=table!$F$10),1,0))</f>
        <v>#REF!</v>
      </c>
      <c r="V802" s="5" t="e">
        <f>IF(AND(#REF!&gt;=table!$C$11,#REF!&lt;= table!$D$11),-1,IF(AND(#REF!&gt;=table!$E$11,#REF!&lt;=table!$F$11),1,0))</f>
        <v>#REF!</v>
      </c>
      <c r="W802" s="5" t="e">
        <f>CONCATENATE(dados[[#This Row],[fator1]],dados[[#This Row],[fator5]],dados[[#This Row],[fator6]])</f>
        <v>#REF!</v>
      </c>
    </row>
    <row r="803" spans="1:23">
      <c r="A803" t="s">
        <v>16</v>
      </c>
      <c r="B803">
        <v>483154</v>
      </c>
      <c r="C803">
        <v>8</v>
      </c>
      <c r="D803">
        <v>27</v>
      </c>
      <c r="E803">
        <v>86</v>
      </c>
      <c r="F803">
        <v>8</v>
      </c>
      <c r="G803">
        <v>0</v>
      </c>
      <c r="H803">
        <v>25</v>
      </c>
      <c r="I803">
        <v>1494</v>
      </c>
      <c r="J803">
        <v>570</v>
      </c>
      <c r="K803">
        <v>6.34</v>
      </c>
      <c r="L803">
        <v>10.4</v>
      </c>
      <c r="M803">
        <v>69</v>
      </c>
      <c r="N803">
        <v>18.75</v>
      </c>
      <c r="O803">
        <v>1706</v>
      </c>
      <c r="P803">
        <v>507</v>
      </c>
      <c r="Q803" s="5" t="e">
        <f>IF(AND(#REF!&gt;=table!$C$6,#REF!&lt;= table!$D$6),-1,IF(AND(#REF!&gt;=table!$E$6,#REF!&lt;=table!$F$6),1,0))</f>
        <v>#REF!</v>
      </c>
      <c r="R803" s="5" t="e">
        <f>IF(AND(#REF!&gt;=table!$C$7,#REF!&lt;= table!$D$7),-1,IF(AND(#REF!&gt;=table!$E$7,#REF!&lt;=table!$F$7),1,0))</f>
        <v>#REF!</v>
      </c>
      <c r="S803" s="5" t="e">
        <f>IF(AND(#REF!&gt;=table!$C$8,#REF!&lt;= table!$D$8),-1,IF(AND(#REF!&gt;=table!$E$8,#REF!&lt;=table!$F$8),1,0))</f>
        <v>#REF!</v>
      </c>
      <c r="T803" s="5"/>
      <c r="U803" s="5" t="e">
        <f>IF(AND(#REF!&gt;=table!$C$10,#REF!&lt;= table!$D$10),-1,IF(AND(#REF!&gt;=table!$E$10,#REF!&lt;=table!$F$10),1,0))</f>
        <v>#REF!</v>
      </c>
      <c r="V803" s="5" t="e">
        <f>IF(AND(#REF!&gt;=table!$C$11,#REF!&lt;= table!$D$11),-1,IF(AND(#REF!&gt;=table!$E$11,#REF!&lt;=table!$F$11),1,0))</f>
        <v>#REF!</v>
      </c>
      <c r="W803" s="5" t="e">
        <f>CONCATENATE(dados[[#This Row],[fator1]],dados[[#This Row],[fator5]],dados[[#This Row],[fator6]])</f>
        <v>#REF!</v>
      </c>
    </row>
    <row r="804" spans="1:23">
      <c r="A804" t="s">
        <v>17</v>
      </c>
      <c r="B804">
        <v>483156</v>
      </c>
      <c r="C804">
        <v>9</v>
      </c>
      <c r="D804">
        <v>25</v>
      </c>
      <c r="E804">
        <v>150</v>
      </c>
      <c r="F804">
        <v>7</v>
      </c>
      <c r="G804">
        <v>20</v>
      </c>
      <c r="H804">
        <v>21</v>
      </c>
      <c r="I804">
        <v>143</v>
      </c>
      <c r="J804">
        <v>0</v>
      </c>
      <c r="K804">
        <v>4.29</v>
      </c>
      <c r="L804">
        <v>7.7</v>
      </c>
      <c r="M804">
        <v>130.80000000000001</v>
      </c>
      <c r="N804">
        <v>15</v>
      </c>
      <c r="O804">
        <v>1681</v>
      </c>
      <c r="P804">
        <v>813</v>
      </c>
      <c r="Q804" s="5" t="e">
        <f>IF(AND(#REF!&gt;=table!$C$6,#REF!&lt;= table!$D$6),-1,IF(AND(#REF!&gt;=table!$E$6,#REF!&lt;=table!$F$6),1,0))</f>
        <v>#REF!</v>
      </c>
      <c r="R804" s="5" t="e">
        <f>IF(AND(#REF!&gt;=table!$C$7,#REF!&lt;= table!$D$7),-1,IF(AND(#REF!&gt;=table!$E$7,#REF!&lt;=table!$F$7),1,0))</f>
        <v>#REF!</v>
      </c>
      <c r="S804" s="5" t="e">
        <f>IF(AND(#REF!&gt;=table!$C$8,#REF!&lt;= table!$D$8),-1,IF(AND(#REF!&gt;=table!$E$8,#REF!&lt;=table!$F$8),1,0))</f>
        <v>#REF!</v>
      </c>
      <c r="T804" s="5"/>
      <c r="U804" s="5" t="e">
        <f>IF(AND(#REF!&gt;=table!$C$10,#REF!&lt;= table!$D$10),-1,IF(AND(#REF!&gt;=table!$E$10,#REF!&lt;=table!$F$10),1,0))</f>
        <v>#REF!</v>
      </c>
      <c r="V804" s="5" t="e">
        <f>IF(AND(#REF!&gt;=table!$C$11,#REF!&lt;= table!$D$11),-1,IF(AND(#REF!&gt;=table!$E$11,#REF!&lt;=table!$F$11),1,0))</f>
        <v>#REF!</v>
      </c>
      <c r="W804" s="5" t="e">
        <f>CONCATENATE(dados[[#This Row],[fator1]],dados[[#This Row],[fator5]],dados[[#This Row],[fator6]])</f>
        <v>#REF!</v>
      </c>
    </row>
    <row r="805" spans="1:23">
      <c r="A805" t="s">
        <v>16</v>
      </c>
      <c r="B805">
        <v>483162</v>
      </c>
      <c r="C805">
        <v>0.15</v>
      </c>
      <c r="D805">
        <v>40</v>
      </c>
      <c r="E805">
        <v>10</v>
      </c>
      <c r="F805">
        <v>15</v>
      </c>
      <c r="G805">
        <v>0</v>
      </c>
      <c r="H805">
        <v>15</v>
      </c>
      <c r="I805">
        <v>462</v>
      </c>
      <c r="J805">
        <v>0</v>
      </c>
      <c r="K805">
        <v>3.5650000000000004</v>
      </c>
      <c r="L805">
        <v>6.1000000000000005</v>
      </c>
      <c r="M805">
        <v>5.75</v>
      </c>
      <c r="N805">
        <v>5.3</v>
      </c>
      <c r="O805">
        <v>1649</v>
      </c>
      <c r="P805">
        <v>0</v>
      </c>
      <c r="Q805" s="5" t="e">
        <f>IF(AND(#REF!&gt;=table!$C$6,#REF!&lt;= table!$D$6),-1,IF(AND(#REF!&gt;=table!$E$6,#REF!&lt;=table!$F$6),1,0))</f>
        <v>#REF!</v>
      </c>
      <c r="R805" s="5" t="e">
        <f>IF(AND(#REF!&gt;=table!$C$7,#REF!&lt;= table!$D$7),-1,IF(AND(#REF!&gt;=table!$E$7,#REF!&lt;=table!$F$7),1,0))</f>
        <v>#REF!</v>
      </c>
      <c r="S805" s="5" t="e">
        <f>IF(AND(#REF!&gt;=table!$C$8,#REF!&lt;= table!$D$8),-1,IF(AND(#REF!&gt;=table!$E$8,#REF!&lt;=table!$F$8),1,0))</f>
        <v>#REF!</v>
      </c>
      <c r="T805" s="5"/>
      <c r="U805" s="5" t="e">
        <f>IF(AND(#REF!&gt;=table!$C$10,#REF!&lt;= table!$D$10),-1,IF(AND(#REF!&gt;=table!$E$10,#REF!&lt;=table!$F$10),1,0))</f>
        <v>#REF!</v>
      </c>
      <c r="V805" s="5" t="e">
        <f>IF(AND(#REF!&gt;=table!$C$11,#REF!&lt;= table!$D$11),-1,IF(AND(#REF!&gt;=table!$E$11,#REF!&lt;=table!$F$11),1,0))</f>
        <v>#REF!</v>
      </c>
      <c r="W805" s="5" t="e">
        <f>CONCATENATE(dados[[#This Row],[fator1]],dados[[#This Row],[fator5]],dados[[#This Row],[fator6]])</f>
        <v>#REF!</v>
      </c>
    </row>
    <row r="806" spans="1:23">
      <c r="A806" t="s">
        <v>16</v>
      </c>
      <c r="B806">
        <v>483164</v>
      </c>
      <c r="C806">
        <v>16</v>
      </c>
      <c r="D806">
        <v>30</v>
      </c>
      <c r="E806">
        <v>36</v>
      </c>
      <c r="F806">
        <v>3</v>
      </c>
      <c r="G806">
        <v>0</v>
      </c>
      <c r="H806">
        <v>25</v>
      </c>
      <c r="I806">
        <v>1128</v>
      </c>
      <c r="J806">
        <v>0</v>
      </c>
      <c r="K806">
        <v>4.38</v>
      </c>
      <c r="L806">
        <v>9.2000000000000011</v>
      </c>
      <c r="M806">
        <v>32.200000000000003</v>
      </c>
      <c r="N806">
        <v>11</v>
      </c>
      <c r="O806">
        <v>1503</v>
      </c>
      <c r="P806">
        <v>188</v>
      </c>
      <c r="Q806" s="5" t="e">
        <f>IF(AND(#REF!&gt;=table!$C$6,#REF!&lt;= table!$D$6),-1,IF(AND(#REF!&gt;=table!$E$6,#REF!&lt;=table!$F$6),1,0))</f>
        <v>#REF!</v>
      </c>
      <c r="R806" s="5" t="e">
        <f>IF(AND(#REF!&gt;=table!$C$7,#REF!&lt;= table!$D$7),-1,IF(AND(#REF!&gt;=table!$E$7,#REF!&lt;=table!$F$7),1,0))</f>
        <v>#REF!</v>
      </c>
      <c r="S806" s="5" t="e">
        <f>IF(AND(#REF!&gt;=table!$C$8,#REF!&lt;= table!$D$8),-1,IF(AND(#REF!&gt;=table!$E$8,#REF!&lt;=table!$F$8),1,0))</f>
        <v>#REF!</v>
      </c>
      <c r="T806" s="5"/>
      <c r="U806" s="5" t="e">
        <f>IF(AND(#REF!&gt;=table!$C$10,#REF!&lt;= table!$D$10),-1,IF(AND(#REF!&gt;=table!$E$10,#REF!&lt;=table!$F$10),1,0))</f>
        <v>#REF!</v>
      </c>
      <c r="V806" s="5" t="e">
        <f>IF(AND(#REF!&gt;=table!$C$11,#REF!&lt;= table!$D$11),-1,IF(AND(#REF!&gt;=table!$E$11,#REF!&lt;=table!$F$11),1,0))</f>
        <v>#REF!</v>
      </c>
      <c r="W806" s="5" t="e">
        <f>CONCATENATE(dados[[#This Row],[fator1]],dados[[#This Row],[fator5]],dados[[#This Row],[fator6]])</f>
        <v>#REF!</v>
      </c>
    </row>
    <row r="807" spans="1:23">
      <c r="A807" t="s">
        <v>16</v>
      </c>
      <c r="B807">
        <v>483165</v>
      </c>
      <c r="C807">
        <v>8</v>
      </c>
      <c r="D807">
        <v>27</v>
      </c>
      <c r="E807">
        <v>86</v>
      </c>
      <c r="F807">
        <v>9</v>
      </c>
      <c r="G807">
        <v>0</v>
      </c>
      <c r="H807">
        <v>25</v>
      </c>
      <c r="I807">
        <v>4</v>
      </c>
      <c r="J807">
        <v>0</v>
      </c>
      <c r="K807">
        <v>5.68</v>
      </c>
      <c r="L807">
        <v>11.25</v>
      </c>
      <c r="M807">
        <v>72.88</v>
      </c>
      <c r="N807">
        <v>13.185</v>
      </c>
      <c r="O807">
        <v>1665</v>
      </c>
      <c r="P807">
        <v>468</v>
      </c>
      <c r="Q807" s="5" t="e">
        <f>IF(AND(#REF!&gt;=table!$C$6,#REF!&lt;= table!$D$6),-1,IF(AND(#REF!&gt;=table!$E$6,#REF!&lt;=table!$F$6),1,0))</f>
        <v>#REF!</v>
      </c>
      <c r="R807" s="5" t="e">
        <f>IF(AND(#REF!&gt;=table!$C$7,#REF!&lt;= table!$D$7),-1,IF(AND(#REF!&gt;=table!$E$7,#REF!&lt;=table!$F$7),1,0))</f>
        <v>#REF!</v>
      </c>
      <c r="S807" s="5" t="e">
        <f>IF(AND(#REF!&gt;=table!$C$8,#REF!&lt;= table!$D$8),-1,IF(AND(#REF!&gt;=table!$E$8,#REF!&lt;=table!$F$8),1,0))</f>
        <v>#REF!</v>
      </c>
      <c r="T807" s="5"/>
      <c r="U807" s="5" t="e">
        <f>IF(AND(#REF!&gt;=table!$C$10,#REF!&lt;= table!$D$10),-1,IF(AND(#REF!&gt;=table!$E$10,#REF!&lt;=table!$F$10),1,0))</f>
        <v>#REF!</v>
      </c>
      <c r="V807" s="5" t="e">
        <f>IF(AND(#REF!&gt;=table!$C$11,#REF!&lt;= table!$D$11),-1,IF(AND(#REF!&gt;=table!$E$11,#REF!&lt;=table!$F$11),1,0))</f>
        <v>#REF!</v>
      </c>
      <c r="W807" s="5" t="e">
        <f>CONCATENATE(dados[[#This Row],[fator1]],dados[[#This Row],[fator5]],dados[[#This Row],[fator6]])</f>
        <v>#REF!</v>
      </c>
    </row>
    <row r="808" spans="1:23">
      <c r="A808" t="s">
        <v>16</v>
      </c>
      <c r="B808">
        <v>483170</v>
      </c>
      <c r="C808">
        <v>0.15</v>
      </c>
      <c r="D808">
        <v>40</v>
      </c>
      <c r="E808">
        <v>10</v>
      </c>
      <c r="F808">
        <v>15</v>
      </c>
      <c r="G808">
        <v>0</v>
      </c>
      <c r="H808">
        <v>15</v>
      </c>
      <c r="I808">
        <v>482</v>
      </c>
      <c r="J808">
        <v>0</v>
      </c>
      <c r="K808">
        <v>3.6950000000000003</v>
      </c>
      <c r="L808">
        <v>6.9350000000000005</v>
      </c>
      <c r="M808">
        <v>6.0049999999999999</v>
      </c>
      <c r="N808">
        <v>7.585</v>
      </c>
      <c r="O808">
        <v>1658</v>
      </c>
      <c r="P808">
        <v>1100</v>
      </c>
      <c r="Q808" s="5" t="e">
        <f>IF(AND(#REF!&gt;=table!$C$6,#REF!&lt;= table!$D$6),-1,IF(AND(#REF!&gt;=table!$E$6,#REF!&lt;=table!$F$6),1,0))</f>
        <v>#REF!</v>
      </c>
      <c r="R808" s="5" t="e">
        <f>IF(AND(#REF!&gt;=table!$C$7,#REF!&lt;= table!$D$7),-1,IF(AND(#REF!&gt;=table!$E$7,#REF!&lt;=table!$F$7),1,0))</f>
        <v>#REF!</v>
      </c>
      <c r="S808" s="5" t="e">
        <f>IF(AND(#REF!&gt;=table!$C$8,#REF!&lt;= table!$D$8),-1,IF(AND(#REF!&gt;=table!$E$8,#REF!&lt;=table!$F$8),1,0))</f>
        <v>#REF!</v>
      </c>
      <c r="T808" s="5"/>
      <c r="U808" s="5" t="e">
        <f>IF(AND(#REF!&gt;=table!$C$10,#REF!&lt;= table!$D$10),-1,IF(AND(#REF!&gt;=table!$E$10,#REF!&lt;=table!$F$10),1,0))</f>
        <v>#REF!</v>
      </c>
      <c r="V808" s="5" t="e">
        <f>IF(AND(#REF!&gt;=table!$C$11,#REF!&lt;= table!$D$11),-1,IF(AND(#REF!&gt;=table!$E$11,#REF!&lt;=table!$F$11),1,0))</f>
        <v>#REF!</v>
      </c>
      <c r="W808" s="5" t="e">
        <f>CONCATENATE(dados[[#This Row],[fator1]],dados[[#This Row],[fator5]],dados[[#This Row],[fator6]])</f>
        <v>#REF!</v>
      </c>
    </row>
    <row r="809" spans="1:23">
      <c r="A809" t="s">
        <v>16</v>
      </c>
      <c r="B809">
        <v>483176</v>
      </c>
      <c r="C809">
        <v>16</v>
      </c>
      <c r="D809">
        <v>35</v>
      </c>
      <c r="E809">
        <v>36</v>
      </c>
      <c r="F809">
        <v>10</v>
      </c>
      <c r="G809">
        <v>0</v>
      </c>
      <c r="H809">
        <v>25</v>
      </c>
      <c r="I809">
        <v>1192</v>
      </c>
      <c r="J809">
        <v>0</v>
      </c>
      <c r="K809">
        <v>3.27</v>
      </c>
      <c r="L809">
        <v>7.2</v>
      </c>
      <c r="M809">
        <v>27.400000000000002</v>
      </c>
      <c r="N809">
        <v>14.85</v>
      </c>
      <c r="O809">
        <v>1690</v>
      </c>
      <c r="P809">
        <v>1429</v>
      </c>
      <c r="Q809" s="5" t="e">
        <f>IF(AND(#REF!&gt;=table!$C$6,#REF!&lt;= table!$D$6),-1,IF(AND(#REF!&gt;=table!$E$6,#REF!&lt;=table!$F$6),1,0))</f>
        <v>#REF!</v>
      </c>
      <c r="R809" s="5" t="e">
        <f>IF(AND(#REF!&gt;=table!$C$7,#REF!&lt;= table!$D$7),-1,IF(AND(#REF!&gt;=table!$E$7,#REF!&lt;=table!$F$7),1,0))</f>
        <v>#REF!</v>
      </c>
      <c r="S809" s="5" t="e">
        <f>IF(AND(#REF!&gt;=table!$C$8,#REF!&lt;= table!$D$8),-1,IF(AND(#REF!&gt;=table!$E$8,#REF!&lt;=table!$F$8),1,0))</f>
        <v>#REF!</v>
      </c>
      <c r="T809" s="5"/>
      <c r="U809" s="5" t="e">
        <f>IF(AND(#REF!&gt;=table!$C$10,#REF!&lt;= table!$D$10),-1,IF(AND(#REF!&gt;=table!$E$10,#REF!&lt;=table!$F$10),1,0))</f>
        <v>#REF!</v>
      </c>
      <c r="V809" s="5" t="e">
        <f>IF(AND(#REF!&gt;=table!$C$11,#REF!&lt;= table!$D$11),-1,IF(AND(#REF!&gt;=table!$E$11,#REF!&lt;=table!$F$11),1,0))</f>
        <v>#REF!</v>
      </c>
      <c r="W809" s="5" t="e">
        <f>CONCATENATE(dados[[#This Row],[fator1]],dados[[#This Row],[fator5]],dados[[#This Row],[fator6]])</f>
        <v>#REF!</v>
      </c>
    </row>
    <row r="810" spans="1:23">
      <c r="A810" t="s">
        <v>16</v>
      </c>
      <c r="B810">
        <v>483178</v>
      </c>
      <c r="C810">
        <v>0.15</v>
      </c>
      <c r="D810">
        <v>35</v>
      </c>
      <c r="E810">
        <v>15</v>
      </c>
      <c r="F810">
        <v>10</v>
      </c>
      <c r="G810">
        <v>0</v>
      </c>
      <c r="H810">
        <v>12</v>
      </c>
      <c r="I810">
        <v>655</v>
      </c>
      <c r="J810">
        <v>590</v>
      </c>
      <c r="K810">
        <v>7.55</v>
      </c>
      <c r="L810">
        <v>9.3000000000000007</v>
      </c>
      <c r="M810">
        <v>7.4</v>
      </c>
      <c r="N810">
        <v>7.7</v>
      </c>
      <c r="O810">
        <v>1637</v>
      </c>
      <c r="P810">
        <v>481</v>
      </c>
      <c r="Q810" s="5" t="e">
        <f>IF(AND(#REF!&gt;=table!$C$6,#REF!&lt;= table!$D$6),-1,IF(AND(#REF!&gt;=table!$E$6,#REF!&lt;=table!$F$6),1,0))</f>
        <v>#REF!</v>
      </c>
      <c r="R810" s="5" t="e">
        <f>IF(AND(#REF!&gt;=table!$C$7,#REF!&lt;= table!$D$7),-1,IF(AND(#REF!&gt;=table!$E$7,#REF!&lt;=table!$F$7),1,0))</f>
        <v>#REF!</v>
      </c>
      <c r="S810" s="5" t="e">
        <f>IF(AND(#REF!&gt;=table!$C$8,#REF!&lt;= table!$D$8),-1,IF(AND(#REF!&gt;=table!$E$8,#REF!&lt;=table!$F$8),1,0))</f>
        <v>#REF!</v>
      </c>
      <c r="T810" s="5"/>
      <c r="U810" s="5" t="e">
        <f>IF(AND(#REF!&gt;=table!$C$10,#REF!&lt;= table!$D$10),-1,IF(AND(#REF!&gt;=table!$E$10,#REF!&lt;=table!$F$10),1,0))</f>
        <v>#REF!</v>
      </c>
      <c r="V810" s="5" t="e">
        <f>IF(AND(#REF!&gt;=table!$C$11,#REF!&lt;= table!$D$11),-1,IF(AND(#REF!&gt;=table!$E$11,#REF!&lt;=table!$F$11),1,0))</f>
        <v>#REF!</v>
      </c>
      <c r="W810" s="5" t="e">
        <f>CONCATENATE(dados[[#This Row],[fator1]],dados[[#This Row],[fator5]],dados[[#This Row],[fator6]])</f>
        <v>#REF!</v>
      </c>
    </row>
    <row r="811" spans="1:23">
      <c r="A811" t="s">
        <v>16</v>
      </c>
      <c r="B811">
        <v>483180</v>
      </c>
      <c r="C811">
        <v>0.15</v>
      </c>
      <c r="D811">
        <v>35</v>
      </c>
      <c r="E811">
        <v>15</v>
      </c>
      <c r="F811">
        <v>10</v>
      </c>
      <c r="G811">
        <v>0</v>
      </c>
      <c r="H811">
        <v>12</v>
      </c>
      <c r="I811">
        <v>963</v>
      </c>
      <c r="J811">
        <v>1050</v>
      </c>
      <c r="K811">
        <v>10.585000000000001</v>
      </c>
      <c r="L811">
        <v>12.25</v>
      </c>
      <c r="M811">
        <v>10</v>
      </c>
      <c r="N811">
        <v>8.25</v>
      </c>
      <c r="O811">
        <v>1635</v>
      </c>
      <c r="P811">
        <v>0</v>
      </c>
      <c r="Q811" s="5" t="e">
        <f>IF(AND(#REF!&gt;=table!$C$6,#REF!&lt;= table!$D$6),-1,IF(AND(#REF!&gt;=table!$E$6,#REF!&lt;=table!$F$6),1,0))</f>
        <v>#REF!</v>
      </c>
      <c r="R811" s="5" t="e">
        <f>IF(AND(#REF!&gt;=table!$C$7,#REF!&lt;= table!$D$7),-1,IF(AND(#REF!&gt;=table!$E$7,#REF!&lt;=table!$F$7),1,0))</f>
        <v>#REF!</v>
      </c>
      <c r="S811" s="5" t="e">
        <f>IF(AND(#REF!&gt;=table!$C$8,#REF!&lt;= table!$D$8),-1,IF(AND(#REF!&gt;=table!$E$8,#REF!&lt;=table!$F$8),1,0))</f>
        <v>#REF!</v>
      </c>
      <c r="T811" s="5"/>
      <c r="U811" s="5" t="e">
        <f>IF(AND(#REF!&gt;=table!$C$10,#REF!&lt;= table!$D$10),-1,IF(AND(#REF!&gt;=table!$E$10,#REF!&lt;=table!$F$10),1,0))</f>
        <v>#REF!</v>
      </c>
      <c r="V811" s="5" t="e">
        <f>IF(AND(#REF!&gt;=table!$C$11,#REF!&lt;= table!$D$11),-1,IF(AND(#REF!&gt;=table!$E$11,#REF!&lt;=table!$F$11),1,0))</f>
        <v>#REF!</v>
      </c>
      <c r="W811" s="5" t="e">
        <f>CONCATENATE(dados[[#This Row],[fator1]],dados[[#This Row],[fator5]],dados[[#This Row],[fator6]])</f>
        <v>#REF!</v>
      </c>
    </row>
    <row r="812" spans="1:23">
      <c r="A812" t="s">
        <v>17</v>
      </c>
      <c r="B812">
        <v>483183</v>
      </c>
      <c r="C812">
        <v>7</v>
      </c>
      <c r="D812">
        <v>20</v>
      </c>
      <c r="E812">
        <v>120</v>
      </c>
      <c r="F812">
        <v>4</v>
      </c>
      <c r="G812">
        <v>105</v>
      </c>
      <c r="H812">
        <v>25</v>
      </c>
      <c r="I812">
        <v>1364</v>
      </c>
      <c r="J812">
        <v>930</v>
      </c>
      <c r="K812">
        <v>3.21</v>
      </c>
      <c r="L812">
        <v>4.7</v>
      </c>
      <c r="M812">
        <v>90.045000000000002</v>
      </c>
      <c r="N812">
        <v>18.809999999999999</v>
      </c>
      <c r="O812">
        <v>1623</v>
      </c>
      <c r="P812">
        <v>793</v>
      </c>
      <c r="Q812" s="5" t="e">
        <f>IF(AND(#REF!&gt;=table!$C$6,#REF!&lt;= table!$D$6),-1,IF(AND(#REF!&gt;=table!$E$6,#REF!&lt;=table!$F$6),1,0))</f>
        <v>#REF!</v>
      </c>
      <c r="R812" s="5" t="e">
        <f>IF(AND(#REF!&gt;=table!$C$7,#REF!&lt;= table!$D$7),-1,IF(AND(#REF!&gt;=table!$E$7,#REF!&lt;=table!$F$7),1,0))</f>
        <v>#REF!</v>
      </c>
      <c r="S812" s="5" t="e">
        <f>IF(AND(#REF!&gt;=table!$C$8,#REF!&lt;= table!$D$8),-1,IF(AND(#REF!&gt;=table!$E$8,#REF!&lt;=table!$F$8),1,0))</f>
        <v>#REF!</v>
      </c>
      <c r="T812" s="5"/>
      <c r="U812" s="5" t="e">
        <f>IF(AND(#REF!&gt;=table!$C$10,#REF!&lt;= table!$D$10),-1,IF(AND(#REF!&gt;=table!$E$10,#REF!&lt;=table!$F$10),1,0))</f>
        <v>#REF!</v>
      </c>
      <c r="V812" s="5" t="e">
        <f>IF(AND(#REF!&gt;=table!$C$11,#REF!&lt;= table!$D$11),-1,IF(AND(#REF!&gt;=table!$E$11,#REF!&lt;=table!$F$11),1,0))</f>
        <v>#REF!</v>
      </c>
      <c r="W812" s="5" t="e">
        <f>CONCATENATE(dados[[#This Row],[fator1]],dados[[#This Row],[fator5]],dados[[#This Row],[fator6]])</f>
        <v>#REF!</v>
      </c>
    </row>
    <row r="813" spans="1:23">
      <c r="A813" t="s">
        <v>17</v>
      </c>
      <c r="B813">
        <v>483185</v>
      </c>
      <c r="C813">
        <v>7</v>
      </c>
      <c r="D813">
        <v>35</v>
      </c>
      <c r="E813">
        <v>200</v>
      </c>
      <c r="F813">
        <v>8</v>
      </c>
      <c r="G813">
        <v>50</v>
      </c>
      <c r="H813">
        <v>25</v>
      </c>
      <c r="I813">
        <v>1001</v>
      </c>
      <c r="J813">
        <v>1460</v>
      </c>
      <c r="K813">
        <v>4.1050000000000004</v>
      </c>
      <c r="L813">
        <v>14.700000000000001</v>
      </c>
      <c r="M813">
        <v>163.155</v>
      </c>
      <c r="N813">
        <v>14.8</v>
      </c>
      <c r="O813">
        <v>1680</v>
      </c>
      <c r="P813">
        <v>848</v>
      </c>
      <c r="Q813" s="5" t="e">
        <f>IF(AND(#REF!&gt;=table!$C$6,#REF!&lt;= table!$D$6),-1,IF(AND(#REF!&gt;=table!$E$6,#REF!&lt;=table!$F$6),1,0))</f>
        <v>#REF!</v>
      </c>
      <c r="R813" s="5" t="e">
        <f>IF(AND(#REF!&gt;=table!$C$7,#REF!&lt;= table!$D$7),-1,IF(AND(#REF!&gt;=table!$E$7,#REF!&lt;=table!$F$7),1,0))</f>
        <v>#REF!</v>
      </c>
      <c r="S813" s="5" t="e">
        <f>IF(AND(#REF!&gt;=table!$C$8,#REF!&lt;= table!$D$8),-1,IF(AND(#REF!&gt;=table!$E$8,#REF!&lt;=table!$F$8),1,0))</f>
        <v>#REF!</v>
      </c>
      <c r="T813" s="5"/>
      <c r="U813" s="5" t="e">
        <f>IF(AND(#REF!&gt;=table!$C$10,#REF!&lt;= table!$D$10),-1,IF(AND(#REF!&gt;=table!$E$10,#REF!&lt;=table!$F$10),1,0))</f>
        <v>#REF!</v>
      </c>
      <c r="V813" s="5" t="e">
        <f>IF(AND(#REF!&gt;=table!$C$11,#REF!&lt;= table!$D$11),-1,IF(AND(#REF!&gt;=table!$E$11,#REF!&lt;=table!$F$11),1,0))</f>
        <v>#REF!</v>
      </c>
      <c r="W813" s="5" t="e">
        <f>CONCATENATE(dados[[#This Row],[fator1]],dados[[#This Row],[fator5]],dados[[#This Row],[fator6]])</f>
        <v>#REF!</v>
      </c>
    </row>
    <row r="814" spans="1:23">
      <c r="A814" t="s">
        <v>16</v>
      </c>
      <c r="B814">
        <v>483187</v>
      </c>
      <c r="C814">
        <v>0.19</v>
      </c>
      <c r="D814">
        <v>50</v>
      </c>
      <c r="E814">
        <v>56</v>
      </c>
      <c r="F814">
        <v>15</v>
      </c>
      <c r="G814">
        <v>0</v>
      </c>
      <c r="H814">
        <v>50</v>
      </c>
      <c r="I814">
        <v>805</v>
      </c>
      <c r="J814">
        <v>0</v>
      </c>
      <c r="K814">
        <v>5.0600000000000005</v>
      </c>
      <c r="L814">
        <v>9.5050000000000008</v>
      </c>
      <c r="M814">
        <v>9.3949999999999996</v>
      </c>
      <c r="N814">
        <v>15.625</v>
      </c>
      <c r="O814">
        <v>1695</v>
      </c>
      <c r="P814">
        <v>0</v>
      </c>
      <c r="Q814" s="5" t="e">
        <f>IF(AND(#REF!&gt;=table!$C$6,#REF!&lt;= table!$D$6),-1,IF(AND(#REF!&gt;=table!$E$6,#REF!&lt;=table!$F$6),1,0))</f>
        <v>#REF!</v>
      </c>
      <c r="R814" s="5" t="e">
        <f>IF(AND(#REF!&gt;=table!$C$7,#REF!&lt;= table!$D$7),-1,IF(AND(#REF!&gt;=table!$E$7,#REF!&lt;=table!$F$7),1,0))</f>
        <v>#REF!</v>
      </c>
      <c r="S814" s="5" t="e">
        <f>IF(AND(#REF!&gt;=table!$C$8,#REF!&lt;= table!$D$8),-1,IF(AND(#REF!&gt;=table!$E$8,#REF!&lt;=table!$F$8),1,0))</f>
        <v>#REF!</v>
      </c>
      <c r="T814" s="5"/>
      <c r="U814" s="5" t="e">
        <f>IF(AND(#REF!&gt;=table!$C$10,#REF!&lt;= table!$D$10),-1,IF(AND(#REF!&gt;=table!$E$10,#REF!&lt;=table!$F$10),1,0))</f>
        <v>#REF!</v>
      </c>
      <c r="V814" s="5" t="e">
        <f>IF(AND(#REF!&gt;=table!$C$11,#REF!&lt;= table!$D$11),-1,IF(AND(#REF!&gt;=table!$E$11,#REF!&lt;=table!$F$11),1,0))</f>
        <v>#REF!</v>
      </c>
      <c r="W814" s="5" t="e">
        <f>CONCATENATE(dados[[#This Row],[fator1]],dados[[#This Row],[fator5]],dados[[#This Row],[fator6]])</f>
        <v>#REF!</v>
      </c>
    </row>
    <row r="815" spans="1:23">
      <c r="A815" t="s">
        <v>16</v>
      </c>
      <c r="B815">
        <v>483189</v>
      </c>
      <c r="C815">
        <v>0.18</v>
      </c>
      <c r="D815">
        <v>50</v>
      </c>
      <c r="E815">
        <v>56</v>
      </c>
      <c r="F815">
        <v>15</v>
      </c>
      <c r="G815">
        <v>0</v>
      </c>
      <c r="H815">
        <v>50</v>
      </c>
      <c r="I815">
        <v>845</v>
      </c>
      <c r="J815">
        <v>0</v>
      </c>
      <c r="K815">
        <v>2.98</v>
      </c>
      <c r="L815">
        <v>6.1000000000000005</v>
      </c>
      <c r="M815">
        <v>5.7</v>
      </c>
      <c r="N815">
        <v>9.4500000000000011</v>
      </c>
      <c r="O815">
        <v>1657</v>
      </c>
      <c r="P815">
        <v>0</v>
      </c>
      <c r="Q815" s="5" t="e">
        <f>IF(AND(#REF!&gt;=table!$C$6,#REF!&lt;= table!$D$6),-1,IF(AND(#REF!&gt;=table!$E$6,#REF!&lt;=table!$F$6),1,0))</f>
        <v>#REF!</v>
      </c>
      <c r="R815" s="5" t="e">
        <f>IF(AND(#REF!&gt;=table!$C$7,#REF!&lt;= table!$D$7),-1,IF(AND(#REF!&gt;=table!$E$7,#REF!&lt;=table!$F$7),1,0))</f>
        <v>#REF!</v>
      </c>
      <c r="S815" s="5" t="e">
        <f>IF(AND(#REF!&gt;=table!$C$8,#REF!&lt;= table!$D$8),-1,IF(AND(#REF!&gt;=table!$E$8,#REF!&lt;=table!$F$8),1,0))</f>
        <v>#REF!</v>
      </c>
      <c r="T815" s="5"/>
      <c r="U815" s="5" t="e">
        <f>IF(AND(#REF!&gt;=table!$C$10,#REF!&lt;= table!$D$10),-1,IF(AND(#REF!&gt;=table!$E$10,#REF!&lt;=table!$F$10),1,0))</f>
        <v>#REF!</v>
      </c>
      <c r="V815" s="5" t="e">
        <f>IF(AND(#REF!&gt;=table!$C$11,#REF!&lt;= table!$D$11),-1,IF(AND(#REF!&gt;=table!$E$11,#REF!&lt;=table!$F$11),1,0))</f>
        <v>#REF!</v>
      </c>
      <c r="W815" s="5" t="e">
        <f>CONCATENATE(dados[[#This Row],[fator1]],dados[[#This Row],[fator5]],dados[[#This Row],[fator6]])</f>
        <v>#REF!</v>
      </c>
    </row>
    <row r="816" spans="1:23">
      <c r="A816" t="s">
        <v>18</v>
      </c>
      <c r="B816">
        <v>483197</v>
      </c>
      <c r="C816">
        <v>20</v>
      </c>
      <c r="D816">
        <v>2.5</v>
      </c>
      <c r="E816">
        <v>66</v>
      </c>
      <c r="F816">
        <v>10</v>
      </c>
      <c r="G816">
        <v>28</v>
      </c>
      <c r="H816">
        <v>25</v>
      </c>
      <c r="I816">
        <v>1</v>
      </c>
      <c r="J816">
        <v>0</v>
      </c>
      <c r="K816">
        <v>8.4550000000000001</v>
      </c>
      <c r="L816">
        <v>16.89</v>
      </c>
      <c r="M816">
        <v>73.39</v>
      </c>
      <c r="N816">
        <v>21.525000000000002</v>
      </c>
      <c r="O816">
        <v>1673</v>
      </c>
      <c r="P816">
        <v>478</v>
      </c>
      <c r="Q816" s="5" t="e">
        <f>IF(AND(#REF!&gt;=table!$C$6,#REF!&lt;= table!$D$6),-1,IF(AND(#REF!&gt;=table!$E$6,#REF!&lt;=table!$F$6),1,0))</f>
        <v>#REF!</v>
      </c>
      <c r="R816" s="5" t="e">
        <f>IF(AND(#REF!&gt;=table!$C$7,#REF!&lt;= table!$D$7),-1,IF(AND(#REF!&gt;=table!$E$7,#REF!&lt;=table!$F$7),1,0))</f>
        <v>#REF!</v>
      </c>
      <c r="S816" s="5" t="e">
        <f>IF(AND(#REF!&gt;=table!$C$8,#REF!&lt;= table!$D$8),-1,IF(AND(#REF!&gt;=table!$E$8,#REF!&lt;=table!$F$8),1,0))</f>
        <v>#REF!</v>
      </c>
      <c r="T816" s="5"/>
      <c r="U816" s="5" t="e">
        <f>IF(AND(#REF!&gt;=table!$C$10,#REF!&lt;= table!$D$10),-1,IF(AND(#REF!&gt;=table!$E$10,#REF!&lt;=table!$F$10),1,0))</f>
        <v>#REF!</v>
      </c>
      <c r="V816" s="5" t="e">
        <f>IF(AND(#REF!&gt;=table!$C$11,#REF!&lt;= table!$D$11),-1,IF(AND(#REF!&gt;=table!$E$11,#REF!&lt;=table!$F$11),1,0))</f>
        <v>#REF!</v>
      </c>
      <c r="W816" s="5" t="e">
        <f>CONCATENATE(dados[[#This Row],[fator1]],dados[[#This Row],[fator5]],dados[[#This Row],[fator6]])</f>
        <v>#REF!</v>
      </c>
    </row>
    <row r="817" spans="1:23">
      <c r="A817" t="s">
        <v>16</v>
      </c>
      <c r="B817">
        <v>483199</v>
      </c>
      <c r="C817">
        <v>0.15</v>
      </c>
      <c r="D817">
        <v>40</v>
      </c>
      <c r="E817">
        <v>10</v>
      </c>
      <c r="F817">
        <v>15</v>
      </c>
      <c r="G817">
        <v>0</v>
      </c>
      <c r="H817">
        <v>15</v>
      </c>
      <c r="I817">
        <v>841</v>
      </c>
      <c r="J817">
        <v>0</v>
      </c>
      <c r="K817">
        <v>4.7050000000000001</v>
      </c>
      <c r="L817">
        <v>8.75</v>
      </c>
      <c r="M817">
        <v>8.3000000000000007</v>
      </c>
      <c r="N817">
        <v>11</v>
      </c>
      <c r="O817">
        <v>1687</v>
      </c>
      <c r="P817">
        <v>0</v>
      </c>
      <c r="Q817" s="5" t="e">
        <f>IF(AND(#REF!&gt;=table!$C$6,#REF!&lt;= table!$D$6),-1,IF(AND(#REF!&gt;=table!$E$6,#REF!&lt;=table!$F$6),1,0))</f>
        <v>#REF!</v>
      </c>
      <c r="R817" s="5" t="e">
        <f>IF(AND(#REF!&gt;=table!$C$7,#REF!&lt;= table!$D$7),-1,IF(AND(#REF!&gt;=table!$E$7,#REF!&lt;=table!$F$7),1,0))</f>
        <v>#REF!</v>
      </c>
      <c r="S817" s="5" t="e">
        <f>IF(AND(#REF!&gt;=table!$C$8,#REF!&lt;= table!$D$8),-1,IF(AND(#REF!&gt;=table!$E$8,#REF!&lt;=table!$F$8),1,0))</f>
        <v>#REF!</v>
      </c>
      <c r="T817" s="5"/>
      <c r="U817" s="5" t="e">
        <f>IF(AND(#REF!&gt;=table!$C$10,#REF!&lt;= table!$D$10),-1,IF(AND(#REF!&gt;=table!$E$10,#REF!&lt;=table!$F$10),1,0))</f>
        <v>#REF!</v>
      </c>
      <c r="V817" s="5" t="e">
        <f>IF(AND(#REF!&gt;=table!$C$11,#REF!&lt;= table!$D$11),-1,IF(AND(#REF!&gt;=table!$E$11,#REF!&lt;=table!$F$11),1,0))</f>
        <v>#REF!</v>
      </c>
      <c r="W817" s="5" t="e">
        <f>CONCATENATE(dados[[#This Row],[fator1]],dados[[#This Row],[fator5]],dados[[#This Row],[fator6]])</f>
        <v>#REF!</v>
      </c>
    </row>
    <row r="818" spans="1:23">
      <c r="A818" t="s">
        <v>16</v>
      </c>
      <c r="B818">
        <v>483209</v>
      </c>
      <c r="C818">
        <v>10</v>
      </c>
      <c r="D818">
        <v>38</v>
      </c>
      <c r="E818">
        <v>150</v>
      </c>
      <c r="F818">
        <v>4</v>
      </c>
      <c r="G818">
        <v>0</v>
      </c>
      <c r="H818">
        <v>25</v>
      </c>
      <c r="I818">
        <v>857</v>
      </c>
      <c r="J818">
        <v>10</v>
      </c>
      <c r="K818">
        <v>3.61</v>
      </c>
      <c r="L818">
        <v>8.1</v>
      </c>
      <c r="M818">
        <v>113.22500000000001</v>
      </c>
      <c r="N818">
        <v>16.330000000000002</v>
      </c>
      <c r="O818">
        <v>1676</v>
      </c>
      <c r="P818">
        <v>0</v>
      </c>
      <c r="Q818" s="5" t="e">
        <f>IF(AND(#REF!&gt;=table!$C$6,#REF!&lt;= table!$D$6),-1,IF(AND(#REF!&gt;=table!$E$6,#REF!&lt;=table!$F$6),1,0))</f>
        <v>#REF!</v>
      </c>
      <c r="R818" s="5" t="e">
        <f>IF(AND(#REF!&gt;=table!$C$7,#REF!&lt;= table!$D$7),-1,IF(AND(#REF!&gt;=table!$E$7,#REF!&lt;=table!$F$7),1,0))</f>
        <v>#REF!</v>
      </c>
      <c r="S818" s="5" t="e">
        <f>IF(AND(#REF!&gt;=table!$C$8,#REF!&lt;= table!$D$8),-1,IF(AND(#REF!&gt;=table!$E$8,#REF!&lt;=table!$F$8),1,0))</f>
        <v>#REF!</v>
      </c>
      <c r="T818" s="5"/>
      <c r="U818" s="5" t="e">
        <f>IF(AND(#REF!&gt;=table!$C$10,#REF!&lt;= table!$D$10),-1,IF(AND(#REF!&gt;=table!$E$10,#REF!&lt;=table!$F$10),1,0))</f>
        <v>#REF!</v>
      </c>
      <c r="V818" s="5" t="e">
        <f>IF(AND(#REF!&gt;=table!$C$11,#REF!&lt;= table!$D$11),-1,IF(AND(#REF!&gt;=table!$E$11,#REF!&lt;=table!$F$11),1,0))</f>
        <v>#REF!</v>
      </c>
      <c r="W818" s="5" t="e">
        <f>CONCATENATE(dados[[#This Row],[fator1]],dados[[#This Row],[fator5]],dados[[#This Row],[fator6]])</f>
        <v>#REF!</v>
      </c>
    </row>
    <row r="819" spans="1:23">
      <c r="A819" t="s">
        <v>16</v>
      </c>
      <c r="B819">
        <v>483213</v>
      </c>
      <c r="C819">
        <v>10</v>
      </c>
      <c r="D819">
        <v>45</v>
      </c>
      <c r="E819">
        <v>156</v>
      </c>
      <c r="F819">
        <v>8</v>
      </c>
      <c r="G819">
        <v>0</v>
      </c>
      <c r="H819">
        <v>25</v>
      </c>
      <c r="I819">
        <v>169</v>
      </c>
      <c r="J819">
        <v>0</v>
      </c>
      <c r="K819">
        <v>5.86</v>
      </c>
      <c r="L819">
        <v>10.450000000000001</v>
      </c>
      <c r="M819">
        <v>137.5</v>
      </c>
      <c r="N819">
        <v>11.3</v>
      </c>
      <c r="O819">
        <v>1691</v>
      </c>
      <c r="P819">
        <v>0</v>
      </c>
      <c r="Q819" s="5" t="e">
        <f>IF(AND(#REF!&gt;=table!$C$6,#REF!&lt;= table!$D$6),-1,IF(AND(#REF!&gt;=table!$E$6,#REF!&lt;=table!$F$6),1,0))</f>
        <v>#REF!</v>
      </c>
      <c r="R819" s="5" t="e">
        <f>IF(AND(#REF!&gt;=table!$C$7,#REF!&lt;= table!$D$7),-1,IF(AND(#REF!&gt;=table!$E$7,#REF!&lt;=table!$F$7),1,0))</f>
        <v>#REF!</v>
      </c>
      <c r="S819" s="5" t="e">
        <f>IF(AND(#REF!&gt;=table!$C$8,#REF!&lt;= table!$D$8),-1,IF(AND(#REF!&gt;=table!$E$8,#REF!&lt;=table!$F$8),1,0))</f>
        <v>#REF!</v>
      </c>
      <c r="T819" s="5"/>
      <c r="U819" s="5" t="e">
        <f>IF(AND(#REF!&gt;=table!$C$10,#REF!&lt;= table!$D$10),-1,IF(AND(#REF!&gt;=table!$E$10,#REF!&lt;=table!$F$10),1,0))</f>
        <v>#REF!</v>
      </c>
      <c r="V819" s="5" t="e">
        <f>IF(AND(#REF!&gt;=table!$C$11,#REF!&lt;= table!$D$11),-1,IF(AND(#REF!&gt;=table!$E$11,#REF!&lt;=table!$F$11),1,0))</f>
        <v>#REF!</v>
      </c>
      <c r="W819" s="5" t="e">
        <f>CONCATENATE(dados[[#This Row],[fator1]],dados[[#This Row],[fator5]],dados[[#This Row],[fator6]])</f>
        <v>#REF!</v>
      </c>
    </row>
    <row r="820" spans="1:23">
      <c r="A820" t="s">
        <v>16</v>
      </c>
      <c r="B820">
        <v>483214</v>
      </c>
      <c r="C820">
        <v>12</v>
      </c>
      <c r="D820">
        <v>35</v>
      </c>
      <c r="E820">
        <v>180</v>
      </c>
      <c r="F820">
        <v>6</v>
      </c>
      <c r="G820">
        <v>0</v>
      </c>
      <c r="H820">
        <v>20</v>
      </c>
      <c r="I820">
        <v>370</v>
      </c>
      <c r="J820">
        <v>0</v>
      </c>
      <c r="K820">
        <v>2.71</v>
      </c>
      <c r="L820">
        <v>7.5</v>
      </c>
      <c r="M820">
        <v>149.15</v>
      </c>
      <c r="N820">
        <v>11.05</v>
      </c>
      <c r="O820">
        <v>1687</v>
      </c>
      <c r="P820">
        <v>1357</v>
      </c>
      <c r="Q820" s="5" t="e">
        <f>IF(AND(#REF!&gt;=table!$C$6,#REF!&lt;= table!$D$6),-1,IF(AND(#REF!&gt;=table!$E$6,#REF!&lt;=table!$F$6),1,0))</f>
        <v>#REF!</v>
      </c>
      <c r="R820" s="5" t="e">
        <f>IF(AND(#REF!&gt;=table!$C$7,#REF!&lt;= table!$D$7),-1,IF(AND(#REF!&gt;=table!$E$7,#REF!&lt;=table!$F$7),1,0))</f>
        <v>#REF!</v>
      </c>
      <c r="S820" s="5" t="e">
        <f>IF(AND(#REF!&gt;=table!$C$8,#REF!&lt;= table!$D$8),-1,IF(AND(#REF!&gt;=table!$E$8,#REF!&lt;=table!$F$8),1,0))</f>
        <v>#REF!</v>
      </c>
      <c r="T820" s="5"/>
      <c r="U820" s="5" t="e">
        <f>IF(AND(#REF!&gt;=table!$C$10,#REF!&lt;= table!$D$10),-1,IF(AND(#REF!&gt;=table!$E$10,#REF!&lt;=table!$F$10),1,0))</f>
        <v>#REF!</v>
      </c>
      <c r="V820" s="5" t="e">
        <f>IF(AND(#REF!&gt;=table!$C$11,#REF!&lt;= table!$D$11),-1,IF(AND(#REF!&gt;=table!$E$11,#REF!&lt;=table!$F$11),1,0))</f>
        <v>#REF!</v>
      </c>
      <c r="W820" s="5" t="e">
        <f>CONCATENATE(dados[[#This Row],[fator1]],dados[[#This Row],[fator5]],dados[[#This Row],[fator6]])</f>
        <v>#REF!</v>
      </c>
    </row>
    <row r="821" spans="1:23">
      <c r="A821" t="s">
        <v>16</v>
      </c>
      <c r="B821">
        <v>483216</v>
      </c>
      <c r="C821">
        <v>12</v>
      </c>
      <c r="D821">
        <v>35</v>
      </c>
      <c r="E821">
        <v>180</v>
      </c>
      <c r="F821">
        <v>6</v>
      </c>
      <c r="G821">
        <v>0</v>
      </c>
      <c r="H821">
        <v>20</v>
      </c>
      <c r="I821">
        <v>1267</v>
      </c>
      <c r="J821">
        <v>0</v>
      </c>
      <c r="K821">
        <v>2.8650000000000002</v>
      </c>
      <c r="L821">
        <v>4.7</v>
      </c>
      <c r="M821">
        <v>138.4</v>
      </c>
      <c r="N821">
        <v>9</v>
      </c>
      <c r="O821">
        <v>1680</v>
      </c>
      <c r="P821">
        <v>0</v>
      </c>
      <c r="Q821" s="5" t="e">
        <f>IF(AND(#REF!&gt;=table!$C$6,#REF!&lt;= table!$D$6),-1,IF(AND(#REF!&gt;=table!$E$6,#REF!&lt;=table!$F$6),1,0))</f>
        <v>#REF!</v>
      </c>
      <c r="R821" s="5" t="e">
        <f>IF(AND(#REF!&gt;=table!$C$7,#REF!&lt;= table!$D$7),-1,IF(AND(#REF!&gt;=table!$E$7,#REF!&lt;=table!$F$7),1,0))</f>
        <v>#REF!</v>
      </c>
      <c r="S821" s="5" t="e">
        <f>IF(AND(#REF!&gt;=table!$C$8,#REF!&lt;= table!$D$8),-1,IF(AND(#REF!&gt;=table!$E$8,#REF!&lt;=table!$F$8),1,0))</f>
        <v>#REF!</v>
      </c>
      <c r="T821" s="5"/>
      <c r="U821" s="5" t="e">
        <f>IF(AND(#REF!&gt;=table!$C$10,#REF!&lt;= table!$D$10),-1,IF(AND(#REF!&gt;=table!$E$10,#REF!&lt;=table!$F$10),1,0))</f>
        <v>#REF!</v>
      </c>
      <c r="V821" s="5" t="e">
        <f>IF(AND(#REF!&gt;=table!$C$11,#REF!&lt;= table!$D$11),-1,IF(AND(#REF!&gt;=table!$E$11,#REF!&lt;=table!$F$11),1,0))</f>
        <v>#REF!</v>
      </c>
      <c r="W821" s="5" t="e">
        <f>CONCATENATE(dados[[#This Row],[fator1]],dados[[#This Row],[fator5]],dados[[#This Row],[fator6]])</f>
        <v>#REF!</v>
      </c>
    </row>
    <row r="822" spans="1:23">
      <c r="A822" t="s">
        <v>16</v>
      </c>
      <c r="B822">
        <v>483220</v>
      </c>
      <c r="C822">
        <v>16</v>
      </c>
      <c r="D822">
        <v>35</v>
      </c>
      <c r="E822">
        <v>56</v>
      </c>
      <c r="F822">
        <v>10</v>
      </c>
      <c r="G822">
        <v>0</v>
      </c>
      <c r="H822">
        <v>25</v>
      </c>
      <c r="I822">
        <v>1022</v>
      </c>
      <c r="J822">
        <v>0</v>
      </c>
      <c r="K822">
        <v>7.7250000000000005</v>
      </c>
      <c r="L822">
        <v>10.28</v>
      </c>
      <c r="M822">
        <v>48.550000000000004</v>
      </c>
      <c r="N822">
        <v>10.9</v>
      </c>
      <c r="O822">
        <v>1663</v>
      </c>
      <c r="P822">
        <v>495</v>
      </c>
      <c r="Q822" s="5" t="e">
        <f>IF(AND(#REF!&gt;=table!$C$6,#REF!&lt;= table!$D$6),-1,IF(AND(#REF!&gt;=table!$E$6,#REF!&lt;=table!$F$6),1,0))</f>
        <v>#REF!</v>
      </c>
      <c r="R822" s="5" t="e">
        <f>IF(AND(#REF!&gt;=table!$C$7,#REF!&lt;= table!$D$7),-1,IF(AND(#REF!&gt;=table!$E$7,#REF!&lt;=table!$F$7),1,0))</f>
        <v>#REF!</v>
      </c>
      <c r="S822" s="5" t="e">
        <f>IF(AND(#REF!&gt;=table!$C$8,#REF!&lt;= table!$D$8),-1,IF(AND(#REF!&gt;=table!$E$8,#REF!&lt;=table!$F$8),1,0))</f>
        <v>#REF!</v>
      </c>
      <c r="T822" s="5"/>
      <c r="U822" s="5" t="e">
        <f>IF(AND(#REF!&gt;=table!$C$10,#REF!&lt;= table!$D$10),-1,IF(AND(#REF!&gt;=table!$E$10,#REF!&lt;=table!$F$10),1,0))</f>
        <v>#REF!</v>
      </c>
      <c r="V822" s="5" t="e">
        <f>IF(AND(#REF!&gt;=table!$C$11,#REF!&lt;= table!$D$11),-1,IF(AND(#REF!&gt;=table!$E$11,#REF!&lt;=table!$F$11),1,0))</f>
        <v>#REF!</v>
      </c>
      <c r="W822" s="5" t="e">
        <f>CONCATENATE(dados[[#This Row],[fator1]],dados[[#This Row],[fator5]],dados[[#This Row],[fator6]])</f>
        <v>#REF!</v>
      </c>
    </row>
    <row r="823" spans="1:23">
      <c r="A823" t="s">
        <v>16</v>
      </c>
      <c r="B823">
        <v>483228</v>
      </c>
      <c r="C823">
        <v>0.15</v>
      </c>
      <c r="D823">
        <v>35</v>
      </c>
      <c r="E823">
        <v>15</v>
      </c>
      <c r="F823">
        <v>10</v>
      </c>
      <c r="G823">
        <v>0</v>
      </c>
      <c r="H823">
        <v>12</v>
      </c>
      <c r="I823">
        <v>617</v>
      </c>
      <c r="J823">
        <v>0</v>
      </c>
      <c r="K823">
        <v>3.41</v>
      </c>
      <c r="L823">
        <v>4.5</v>
      </c>
      <c r="M823">
        <v>4.1500000000000004</v>
      </c>
      <c r="N823">
        <v>6.8500000000000005</v>
      </c>
      <c r="O823">
        <v>1672</v>
      </c>
      <c r="P823">
        <v>1110</v>
      </c>
      <c r="Q823" s="5" t="e">
        <f>IF(AND(#REF!&gt;=table!$C$6,#REF!&lt;= table!$D$6),-1,IF(AND(#REF!&gt;=table!$E$6,#REF!&lt;=table!$F$6),1,0))</f>
        <v>#REF!</v>
      </c>
      <c r="R823" s="5" t="e">
        <f>IF(AND(#REF!&gt;=table!$C$7,#REF!&lt;= table!$D$7),-1,IF(AND(#REF!&gt;=table!$E$7,#REF!&lt;=table!$F$7),1,0))</f>
        <v>#REF!</v>
      </c>
      <c r="S823" s="5" t="e">
        <f>IF(AND(#REF!&gt;=table!$C$8,#REF!&lt;= table!$D$8),-1,IF(AND(#REF!&gt;=table!$E$8,#REF!&lt;=table!$F$8),1,0))</f>
        <v>#REF!</v>
      </c>
      <c r="T823" s="5"/>
      <c r="U823" s="5" t="e">
        <f>IF(AND(#REF!&gt;=table!$C$10,#REF!&lt;= table!$D$10),-1,IF(AND(#REF!&gt;=table!$E$10,#REF!&lt;=table!$F$10),1,0))</f>
        <v>#REF!</v>
      </c>
      <c r="V823" s="5" t="e">
        <f>IF(AND(#REF!&gt;=table!$C$11,#REF!&lt;= table!$D$11),-1,IF(AND(#REF!&gt;=table!$E$11,#REF!&lt;=table!$F$11),1,0))</f>
        <v>#REF!</v>
      </c>
      <c r="W823" s="5" t="e">
        <f>CONCATENATE(dados[[#This Row],[fator1]],dados[[#This Row],[fator5]],dados[[#This Row],[fator6]])</f>
        <v>#REF!</v>
      </c>
    </row>
    <row r="824" spans="1:23">
      <c r="A824" t="s">
        <v>16</v>
      </c>
      <c r="B824">
        <v>483234</v>
      </c>
      <c r="C824">
        <v>16</v>
      </c>
      <c r="D824">
        <v>35</v>
      </c>
      <c r="E824">
        <v>56</v>
      </c>
      <c r="F824">
        <v>10</v>
      </c>
      <c r="G824">
        <v>0</v>
      </c>
      <c r="H824">
        <v>25</v>
      </c>
      <c r="I824">
        <v>741</v>
      </c>
      <c r="J824">
        <v>0</v>
      </c>
      <c r="K824">
        <v>20.21</v>
      </c>
      <c r="L824">
        <v>10.15</v>
      </c>
      <c r="M824">
        <v>46.1</v>
      </c>
      <c r="N824">
        <v>12.25</v>
      </c>
      <c r="O824">
        <v>1637</v>
      </c>
      <c r="P824">
        <v>0</v>
      </c>
      <c r="Q824" s="5" t="e">
        <f>IF(AND(#REF!&gt;=table!$C$6,#REF!&lt;= table!$D$6),-1,IF(AND(#REF!&gt;=table!$E$6,#REF!&lt;=table!$F$6),1,0))</f>
        <v>#REF!</v>
      </c>
      <c r="R824" s="5" t="e">
        <f>IF(AND(#REF!&gt;=table!$C$7,#REF!&lt;= table!$D$7),-1,IF(AND(#REF!&gt;=table!$E$7,#REF!&lt;=table!$F$7),1,0))</f>
        <v>#REF!</v>
      </c>
      <c r="S824" s="5" t="e">
        <f>IF(AND(#REF!&gt;=table!$C$8,#REF!&lt;= table!$D$8),-1,IF(AND(#REF!&gt;=table!$E$8,#REF!&lt;=table!$F$8),1,0))</f>
        <v>#REF!</v>
      </c>
      <c r="T824" s="5"/>
      <c r="U824" s="5" t="e">
        <f>IF(AND(#REF!&gt;=table!$C$10,#REF!&lt;= table!$D$10),-1,IF(AND(#REF!&gt;=table!$E$10,#REF!&lt;=table!$F$10),1,0))</f>
        <v>#REF!</v>
      </c>
      <c r="V824" s="5" t="e">
        <f>IF(AND(#REF!&gt;=table!$C$11,#REF!&lt;= table!$D$11),-1,IF(AND(#REF!&gt;=table!$E$11,#REF!&lt;=table!$F$11),1,0))</f>
        <v>#REF!</v>
      </c>
      <c r="W824" s="5" t="e">
        <f>CONCATENATE(dados[[#This Row],[fator1]],dados[[#This Row],[fator5]],dados[[#This Row],[fator6]])</f>
        <v>#REF!</v>
      </c>
    </row>
    <row r="825" spans="1:23">
      <c r="A825" t="s">
        <v>17</v>
      </c>
      <c r="B825">
        <v>483240</v>
      </c>
      <c r="C825">
        <v>18</v>
      </c>
      <c r="D825">
        <v>23</v>
      </c>
      <c r="E825">
        <v>145</v>
      </c>
      <c r="F825">
        <v>9</v>
      </c>
      <c r="G825">
        <v>30</v>
      </c>
      <c r="H825">
        <v>25</v>
      </c>
      <c r="I825">
        <v>1070</v>
      </c>
      <c r="J825">
        <v>0</v>
      </c>
      <c r="K825">
        <v>11.505000000000001</v>
      </c>
      <c r="L825">
        <v>9.35</v>
      </c>
      <c r="M825">
        <v>125</v>
      </c>
      <c r="N825">
        <v>12.6</v>
      </c>
      <c r="O825">
        <v>1671</v>
      </c>
      <c r="P825">
        <v>369</v>
      </c>
      <c r="Q825" s="5" t="e">
        <f>IF(AND(#REF!&gt;=table!$C$6,#REF!&lt;= table!$D$6),-1,IF(AND(#REF!&gt;=table!$E$6,#REF!&lt;=table!$F$6),1,0))</f>
        <v>#REF!</v>
      </c>
      <c r="R825" s="5" t="e">
        <f>IF(AND(#REF!&gt;=table!$C$7,#REF!&lt;= table!$D$7),-1,IF(AND(#REF!&gt;=table!$E$7,#REF!&lt;=table!$F$7),1,0))</f>
        <v>#REF!</v>
      </c>
      <c r="S825" s="5" t="e">
        <f>IF(AND(#REF!&gt;=table!$C$8,#REF!&lt;= table!$D$8),-1,IF(AND(#REF!&gt;=table!$E$8,#REF!&lt;=table!$F$8),1,0))</f>
        <v>#REF!</v>
      </c>
      <c r="T825" s="5"/>
      <c r="U825" s="5" t="e">
        <f>IF(AND(#REF!&gt;=table!$C$10,#REF!&lt;= table!$D$10),-1,IF(AND(#REF!&gt;=table!$E$10,#REF!&lt;=table!$F$10),1,0))</f>
        <v>#REF!</v>
      </c>
      <c r="V825" s="5" t="e">
        <f>IF(AND(#REF!&gt;=table!$C$11,#REF!&lt;= table!$D$11),-1,IF(AND(#REF!&gt;=table!$E$11,#REF!&lt;=table!$F$11),1,0))</f>
        <v>#REF!</v>
      </c>
      <c r="W825" s="5" t="e">
        <f>CONCATENATE(dados[[#This Row],[fator1]],dados[[#This Row],[fator5]],dados[[#This Row],[fator6]])</f>
        <v>#REF!</v>
      </c>
    </row>
    <row r="826" spans="1:23">
      <c r="A826" t="s">
        <v>17</v>
      </c>
      <c r="B826">
        <v>483241</v>
      </c>
      <c r="C826">
        <v>16</v>
      </c>
      <c r="D826">
        <v>23</v>
      </c>
      <c r="E826">
        <v>145</v>
      </c>
      <c r="F826">
        <v>9</v>
      </c>
      <c r="G826">
        <v>30</v>
      </c>
      <c r="H826">
        <v>25</v>
      </c>
      <c r="I826">
        <v>1496</v>
      </c>
      <c r="J826">
        <v>470</v>
      </c>
      <c r="K826">
        <v>3.72</v>
      </c>
      <c r="L826">
        <v>5.9</v>
      </c>
      <c r="M826">
        <v>112.05</v>
      </c>
      <c r="N826">
        <v>11.5</v>
      </c>
      <c r="O826">
        <v>1656</v>
      </c>
      <c r="P826">
        <v>1026</v>
      </c>
      <c r="Q826" s="5" t="e">
        <f>IF(AND(#REF!&gt;=table!$C$6,#REF!&lt;= table!$D$6),-1,IF(AND(#REF!&gt;=table!$E$6,#REF!&lt;=table!$F$6),1,0))</f>
        <v>#REF!</v>
      </c>
      <c r="R826" s="5" t="e">
        <f>IF(AND(#REF!&gt;=table!$C$7,#REF!&lt;= table!$D$7),-1,IF(AND(#REF!&gt;=table!$E$7,#REF!&lt;=table!$F$7),1,0))</f>
        <v>#REF!</v>
      </c>
      <c r="S826" s="5" t="e">
        <f>IF(AND(#REF!&gt;=table!$C$8,#REF!&lt;= table!$D$8),-1,IF(AND(#REF!&gt;=table!$E$8,#REF!&lt;=table!$F$8),1,0))</f>
        <v>#REF!</v>
      </c>
      <c r="T826" s="5"/>
      <c r="U826" s="5" t="e">
        <f>IF(AND(#REF!&gt;=table!$C$10,#REF!&lt;= table!$D$10),-1,IF(AND(#REF!&gt;=table!$E$10,#REF!&lt;=table!$F$10),1,0))</f>
        <v>#REF!</v>
      </c>
      <c r="V826" s="5" t="e">
        <f>IF(AND(#REF!&gt;=table!$C$11,#REF!&lt;= table!$D$11),-1,IF(AND(#REF!&gt;=table!$E$11,#REF!&lt;=table!$F$11),1,0))</f>
        <v>#REF!</v>
      </c>
      <c r="W826" s="5" t="e">
        <f>CONCATENATE(dados[[#This Row],[fator1]],dados[[#This Row],[fator5]],dados[[#This Row],[fator6]])</f>
        <v>#REF!</v>
      </c>
    </row>
    <row r="827" spans="1:23">
      <c r="A827" t="s">
        <v>17</v>
      </c>
      <c r="B827">
        <v>483247</v>
      </c>
      <c r="C827">
        <v>29</v>
      </c>
      <c r="D827">
        <v>30</v>
      </c>
      <c r="E827">
        <v>126</v>
      </c>
      <c r="F827">
        <v>6</v>
      </c>
      <c r="G827">
        <v>23</v>
      </c>
      <c r="H827">
        <v>23</v>
      </c>
      <c r="I827">
        <v>615</v>
      </c>
      <c r="J827">
        <v>0</v>
      </c>
      <c r="K827">
        <v>2.835</v>
      </c>
      <c r="L827">
        <v>8.35</v>
      </c>
      <c r="M827">
        <v>130.12</v>
      </c>
      <c r="N827">
        <v>16.795000000000002</v>
      </c>
      <c r="O827">
        <v>1691</v>
      </c>
      <c r="P827">
        <v>0</v>
      </c>
      <c r="Q827" s="5" t="e">
        <f>IF(AND(#REF!&gt;=table!$C$6,#REF!&lt;= table!$D$6),-1,IF(AND(#REF!&gt;=table!$E$6,#REF!&lt;=table!$F$6),1,0))</f>
        <v>#REF!</v>
      </c>
      <c r="R827" s="5" t="e">
        <f>IF(AND(#REF!&gt;=table!$C$7,#REF!&lt;= table!$D$7),-1,IF(AND(#REF!&gt;=table!$E$7,#REF!&lt;=table!$F$7),1,0))</f>
        <v>#REF!</v>
      </c>
      <c r="S827" s="5" t="e">
        <f>IF(AND(#REF!&gt;=table!$C$8,#REF!&lt;= table!$D$8),-1,IF(AND(#REF!&gt;=table!$E$8,#REF!&lt;=table!$F$8),1,0))</f>
        <v>#REF!</v>
      </c>
      <c r="T827" s="5"/>
      <c r="U827" s="5" t="e">
        <f>IF(AND(#REF!&gt;=table!$C$10,#REF!&lt;= table!$D$10),-1,IF(AND(#REF!&gt;=table!$E$10,#REF!&lt;=table!$F$10),1,0))</f>
        <v>#REF!</v>
      </c>
      <c r="V827" s="5" t="e">
        <f>IF(AND(#REF!&gt;=table!$C$11,#REF!&lt;= table!$D$11),-1,IF(AND(#REF!&gt;=table!$E$11,#REF!&lt;=table!$F$11),1,0))</f>
        <v>#REF!</v>
      </c>
      <c r="W827" s="5" t="e">
        <f>CONCATENATE(dados[[#This Row],[fator1]],dados[[#This Row],[fator5]],dados[[#This Row],[fator6]])</f>
        <v>#REF!</v>
      </c>
    </row>
    <row r="828" spans="1:23">
      <c r="A828" t="s">
        <v>17</v>
      </c>
      <c r="B828">
        <v>483248</v>
      </c>
      <c r="C828">
        <v>29</v>
      </c>
      <c r="D828">
        <v>30</v>
      </c>
      <c r="E828">
        <v>126</v>
      </c>
      <c r="F828">
        <v>6</v>
      </c>
      <c r="G828">
        <v>23</v>
      </c>
      <c r="H828">
        <v>23</v>
      </c>
      <c r="I828">
        <v>960</v>
      </c>
      <c r="J828">
        <v>1260</v>
      </c>
      <c r="K828">
        <v>9.625</v>
      </c>
      <c r="L828">
        <v>15.4</v>
      </c>
      <c r="M828">
        <v>114.53500000000001</v>
      </c>
      <c r="N828">
        <v>15.05</v>
      </c>
      <c r="O828">
        <v>1687</v>
      </c>
      <c r="P828">
        <v>385</v>
      </c>
      <c r="Q828" s="5" t="e">
        <f>IF(AND(#REF!&gt;=table!$C$6,#REF!&lt;= table!$D$6),-1,IF(AND(#REF!&gt;=table!$E$6,#REF!&lt;=table!$F$6),1,0))</f>
        <v>#REF!</v>
      </c>
      <c r="R828" s="5" t="e">
        <f>IF(AND(#REF!&gt;=table!$C$7,#REF!&lt;= table!$D$7),-1,IF(AND(#REF!&gt;=table!$E$7,#REF!&lt;=table!$F$7),1,0))</f>
        <v>#REF!</v>
      </c>
      <c r="S828" s="5" t="e">
        <f>IF(AND(#REF!&gt;=table!$C$8,#REF!&lt;= table!$D$8),-1,IF(AND(#REF!&gt;=table!$E$8,#REF!&lt;=table!$F$8),1,0))</f>
        <v>#REF!</v>
      </c>
      <c r="T828" s="5"/>
      <c r="U828" s="5" t="e">
        <f>IF(AND(#REF!&gt;=table!$C$10,#REF!&lt;= table!$D$10),-1,IF(AND(#REF!&gt;=table!$E$10,#REF!&lt;=table!$F$10),1,0))</f>
        <v>#REF!</v>
      </c>
      <c r="V828" s="5" t="e">
        <f>IF(AND(#REF!&gt;=table!$C$11,#REF!&lt;= table!$D$11),-1,IF(AND(#REF!&gt;=table!$E$11,#REF!&lt;=table!$F$11),1,0))</f>
        <v>#REF!</v>
      </c>
      <c r="W828" s="5" t="e">
        <f>CONCATENATE(dados[[#This Row],[fator1]],dados[[#This Row],[fator5]],dados[[#This Row],[fator6]])</f>
        <v>#REF!</v>
      </c>
    </row>
    <row r="829" spans="1:23">
      <c r="A829" t="s">
        <v>17</v>
      </c>
      <c r="B829">
        <v>483250</v>
      </c>
      <c r="C829">
        <v>18</v>
      </c>
      <c r="D829">
        <v>30</v>
      </c>
      <c r="E829">
        <v>136</v>
      </c>
      <c r="F829">
        <v>3</v>
      </c>
      <c r="G829">
        <v>20</v>
      </c>
      <c r="H829">
        <v>25</v>
      </c>
      <c r="I829">
        <v>496</v>
      </c>
      <c r="J829">
        <v>0</v>
      </c>
      <c r="K829">
        <v>9.75</v>
      </c>
      <c r="L829">
        <v>12.66</v>
      </c>
      <c r="M829">
        <v>110.55500000000001</v>
      </c>
      <c r="N829">
        <v>14.385000000000002</v>
      </c>
      <c r="O829">
        <v>1672</v>
      </c>
      <c r="P829">
        <v>419</v>
      </c>
      <c r="Q829" s="5" t="e">
        <f>IF(AND(#REF!&gt;=table!$C$6,#REF!&lt;= table!$D$6),-1,IF(AND(#REF!&gt;=table!$E$6,#REF!&lt;=table!$F$6),1,0))</f>
        <v>#REF!</v>
      </c>
      <c r="R829" s="5" t="e">
        <f>IF(AND(#REF!&gt;=table!$C$7,#REF!&lt;= table!$D$7),-1,IF(AND(#REF!&gt;=table!$E$7,#REF!&lt;=table!$F$7),1,0))</f>
        <v>#REF!</v>
      </c>
      <c r="S829" s="5" t="e">
        <f>IF(AND(#REF!&gt;=table!$C$8,#REF!&lt;= table!$D$8),-1,IF(AND(#REF!&gt;=table!$E$8,#REF!&lt;=table!$F$8),1,0))</f>
        <v>#REF!</v>
      </c>
      <c r="T829" s="5"/>
      <c r="U829" s="5" t="e">
        <f>IF(AND(#REF!&gt;=table!$C$10,#REF!&lt;= table!$D$10),-1,IF(AND(#REF!&gt;=table!$E$10,#REF!&lt;=table!$F$10),1,0))</f>
        <v>#REF!</v>
      </c>
      <c r="V829" s="5" t="e">
        <f>IF(AND(#REF!&gt;=table!$C$11,#REF!&lt;= table!$D$11),-1,IF(AND(#REF!&gt;=table!$E$11,#REF!&lt;=table!$F$11),1,0))</f>
        <v>#REF!</v>
      </c>
      <c r="W829" s="5" t="e">
        <f>CONCATENATE(dados[[#This Row],[fator1]],dados[[#This Row],[fator5]],dados[[#This Row],[fator6]])</f>
        <v>#REF!</v>
      </c>
    </row>
    <row r="830" spans="1:23">
      <c r="A830" t="s">
        <v>17</v>
      </c>
      <c r="B830">
        <v>483251</v>
      </c>
      <c r="C830">
        <v>18</v>
      </c>
      <c r="D830">
        <v>30</v>
      </c>
      <c r="E830">
        <v>136</v>
      </c>
      <c r="F830">
        <v>3</v>
      </c>
      <c r="G830">
        <v>20</v>
      </c>
      <c r="H830">
        <v>25</v>
      </c>
      <c r="I830">
        <v>1623</v>
      </c>
      <c r="J830">
        <v>0</v>
      </c>
      <c r="K830">
        <v>6.76</v>
      </c>
      <c r="L830">
        <v>9.0150000000000006</v>
      </c>
      <c r="M830">
        <v>124.60000000000001</v>
      </c>
      <c r="N830">
        <v>16.185000000000002</v>
      </c>
      <c r="O830">
        <v>1682</v>
      </c>
      <c r="P830">
        <v>610</v>
      </c>
      <c r="Q830" s="5" t="e">
        <f>IF(AND(#REF!&gt;=table!$C$6,#REF!&lt;= table!$D$6),-1,IF(AND(#REF!&gt;=table!$E$6,#REF!&lt;=table!$F$6),1,0))</f>
        <v>#REF!</v>
      </c>
      <c r="R830" s="5" t="e">
        <f>IF(AND(#REF!&gt;=table!$C$7,#REF!&lt;= table!$D$7),-1,IF(AND(#REF!&gt;=table!$E$7,#REF!&lt;=table!$F$7),1,0))</f>
        <v>#REF!</v>
      </c>
      <c r="S830" s="5" t="e">
        <f>IF(AND(#REF!&gt;=table!$C$8,#REF!&lt;= table!$D$8),-1,IF(AND(#REF!&gt;=table!$E$8,#REF!&lt;=table!$F$8),1,0))</f>
        <v>#REF!</v>
      </c>
      <c r="T830" s="5"/>
      <c r="U830" s="5" t="e">
        <f>IF(AND(#REF!&gt;=table!$C$10,#REF!&lt;= table!$D$10),-1,IF(AND(#REF!&gt;=table!$E$10,#REF!&lt;=table!$F$10),1,0))</f>
        <v>#REF!</v>
      </c>
      <c r="V830" s="5" t="e">
        <f>IF(AND(#REF!&gt;=table!$C$11,#REF!&lt;= table!$D$11),-1,IF(AND(#REF!&gt;=table!$E$11,#REF!&lt;=table!$F$11),1,0))</f>
        <v>#REF!</v>
      </c>
      <c r="W830" s="5" t="e">
        <f>CONCATENATE(dados[[#This Row],[fator1]],dados[[#This Row],[fator5]],dados[[#This Row],[fator6]])</f>
        <v>#REF!</v>
      </c>
    </row>
    <row r="831" spans="1:23">
      <c r="A831" t="s">
        <v>17</v>
      </c>
      <c r="B831">
        <v>483253</v>
      </c>
      <c r="C831">
        <v>16</v>
      </c>
      <c r="D831">
        <v>35</v>
      </c>
      <c r="E831">
        <v>136</v>
      </c>
      <c r="F831">
        <v>4</v>
      </c>
      <c r="G831">
        <v>30</v>
      </c>
      <c r="H831">
        <v>25</v>
      </c>
      <c r="I831">
        <v>83</v>
      </c>
      <c r="J831">
        <v>0</v>
      </c>
      <c r="K831">
        <v>4.1500000000000004</v>
      </c>
      <c r="L831">
        <v>10.68</v>
      </c>
      <c r="M831">
        <v>119.63</v>
      </c>
      <c r="N831">
        <v>15.195</v>
      </c>
      <c r="O831">
        <v>1683</v>
      </c>
      <c r="P831">
        <v>1191</v>
      </c>
      <c r="Q831" s="5" t="e">
        <f>IF(AND(#REF!&gt;=table!$C$6,#REF!&lt;= table!$D$6),-1,IF(AND(#REF!&gt;=table!$E$6,#REF!&lt;=table!$F$6),1,0))</f>
        <v>#REF!</v>
      </c>
      <c r="R831" s="5" t="e">
        <f>IF(AND(#REF!&gt;=table!$C$7,#REF!&lt;= table!$D$7),-1,IF(AND(#REF!&gt;=table!$E$7,#REF!&lt;=table!$F$7),1,0))</f>
        <v>#REF!</v>
      </c>
      <c r="S831" s="5" t="e">
        <f>IF(AND(#REF!&gt;=table!$C$8,#REF!&lt;= table!$D$8),-1,IF(AND(#REF!&gt;=table!$E$8,#REF!&lt;=table!$F$8),1,0))</f>
        <v>#REF!</v>
      </c>
      <c r="T831" s="5"/>
      <c r="U831" s="5" t="e">
        <f>IF(AND(#REF!&gt;=table!$C$10,#REF!&lt;= table!$D$10),-1,IF(AND(#REF!&gt;=table!$E$10,#REF!&lt;=table!$F$10),1,0))</f>
        <v>#REF!</v>
      </c>
      <c r="V831" s="5" t="e">
        <f>IF(AND(#REF!&gt;=table!$C$11,#REF!&lt;= table!$D$11),-1,IF(AND(#REF!&gt;=table!$E$11,#REF!&lt;=table!$F$11),1,0))</f>
        <v>#REF!</v>
      </c>
      <c r="W831" s="5" t="e">
        <f>CONCATENATE(dados[[#This Row],[fator1]],dados[[#This Row],[fator5]],dados[[#This Row],[fator6]])</f>
        <v>#REF!</v>
      </c>
    </row>
    <row r="832" spans="1:23">
      <c r="A832" t="s">
        <v>17</v>
      </c>
      <c r="B832">
        <v>483254</v>
      </c>
      <c r="C832">
        <v>16</v>
      </c>
      <c r="D832">
        <v>35</v>
      </c>
      <c r="E832">
        <v>136</v>
      </c>
      <c r="F832">
        <v>4</v>
      </c>
      <c r="G832">
        <v>30</v>
      </c>
      <c r="H832">
        <v>25</v>
      </c>
      <c r="I832">
        <v>4</v>
      </c>
      <c r="J832">
        <v>530</v>
      </c>
      <c r="K832">
        <v>16.059999999999999</v>
      </c>
      <c r="L832">
        <v>21.57</v>
      </c>
      <c r="M832">
        <v>134.54500000000002</v>
      </c>
      <c r="N832">
        <v>17.21</v>
      </c>
      <c r="O832">
        <v>1673</v>
      </c>
      <c r="P832">
        <v>247</v>
      </c>
      <c r="Q832" s="5" t="e">
        <f>IF(AND(#REF!&gt;=table!$C$6,#REF!&lt;= table!$D$6),-1,IF(AND(#REF!&gt;=table!$E$6,#REF!&lt;=table!$F$6),1,0))</f>
        <v>#REF!</v>
      </c>
      <c r="R832" s="5" t="e">
        <f>IF(AND(#REF!&gt;=table!$C$7,#REF!&lt;= table!$D$7),-1,IF(AND(#REF!&gt;=table!$E$7,#REF!&lt;=table!$F$7),1,0))</f>
        <v>#REF!</v>
      </c>
      <c r="S832" s="5" t="e">
        <f>IF(AND(#REF!&gt;=table!$C$8,#REF!&lt;= table!$D$8),-1,IF(AND(#REF!&gt;=table!$E$8,#REF!&lt;=table!$F$8),1,0))</f>
        <v>#REF!</v>
      </c>
      <c r="T832" s="5"/>
      <c r="U832" s="5" t="e">
        <f>IF(AND(#REF!&gt;=table!$C$10,#REF!&lt;= table!$D$10),-1,IF(AND(#REF!&gt;=table!$E$10,#REF!&lt;=table!$F$10),1,0))</f>
        <v>#REF!</v>
      </c>
      <c r="V832" s="5" t="e">
        <f>IF(AND(#REF!&gt;=table!$C$11,#REF!&lt;= table!$D$11),-1,IF(AND(#REF!&gt;=table!$E$11,#REF!&lt;=table!$F$11),1,0))</f>
        <v>#REF!</v>
      </c>
      <c r="W832" s="5" t="e">
        <f>CONCATENATE(dados[[#This Row],[fator1]],dados[[#This Row],[fator5]],dados[[#This Row],[fator6]])</f>
        <v>#REF!</v>
      </c>
    </row>
    <row r="833" spans="1:23">
      <c r="A833" t="s">
        <v>17</v>
      </c>
      <c r="B833">
        <v>483255</v>
      </c>
      <c r="C833">
        <v>16</v>
      </c>
      <c r="D833">
        <v>35</v>
      </c>
      <c r="E833">
        <v>136</v>
      </c>
      <c r="F833">
        <v>4</v>
      </c>
      <c r="G833">
        <v>30</v>
      </c>
      <c r="H833">
        <v>25</v>
      </c>
      <c r="I833">
        <v>627</v>
      </c>
      <c r="J833">
        <v>650</v>
      </c>
      <c r="K833">
        <v>8.02</v>
      </c>
      <c r="L833">
        <v>20.375</v>
      </c>
      <c r="M833">
        <v>141.42000000000002</v>
      </c>
      <c r="N833">
        <v>20.03</v>
      </c>
      <c r="O833">
        <v>1690</v>
      </c>
      <c r="P833">
        <v>0</v>
      </c>
      <c r="Q833" s="5" t="e">
        <f>IF(AND(#REF!&gt;=table!$C$6,#REF!&lt;= table!$D$6),-1,IF(AND(#REF!&gt;=table!$E$6,#REF!&lt;=table!$F$6),1,0))</f>
        <v>#REF!</v>
      </c>
      <c r="R833" s="5" t="e">
        <f>IF(AND(#REF!&gt;=table!$C$7,#REF!&lt;= table!$D$7),-1,IF(AND(#REF!&gt;=table!$E$7,#REF!&lt;=table!$F$7),1,0))</f>
        <v>#REF!</v>
      </c>
      <c r="S833" s="5" t="e">
        <f>IF(AND(#REF!&gt;=table!$C$8,#REF!&lt;= table!$D$8),-1,IF(AND(#REF!&gt;=table!$E$8,#REF!&lt;=table!$F$8),1,0))</f>
        <v>#REF!</v>
      </c>
      <c r="T833" s="5"/>
      <c r="U833" s="5" t="e">
        <f>IF(AND(#REF!&gt;=table!$C$10,#REF!&lt;= table!$D$10),-1,IF(AND(#REF!&gt;=table!$E$10,#REF!&lt;=table!$F$10),1,0))</f>
        <v>#REF!</v>
      </c>
      <c r="V833" s="5" t="e">
        <f>IF(AND(#REF!&gt;=table!$C$11,#REF!&lt;= table!$D$11),-1,IF(AND(#REF!&gt;=table!$E$11,#REF!&lt;=table!$F$11),1,0))</f>
        <v>#REF!</v>
      </c>
      <c r="W833" s="5" t="e">
        <f>CONCATENATE(dados[[#This Row],[fator1]],dados[[#This Row],[fator5]],dados[[#This Row],[fator6]])</f>
        <v>#REF!</v>
      </c>
    </row>
    <row r="834" spans="1:23">
      <c r="A834" t="s">
        <v>17</v>
      </c>
      <c r="B834">
        <v>483258</v>
      </c>
      <c r="C834">
        <v>29</v>
      </c>
      <c r="D834">
        <v>25</v>
      </c>
      <c r="E834">
        <v>131</v>
      </c>
      <c r="F834">
        <v>6</v>
      </c>
      <c r="G834">
        <v>21</v>
      </c>
      <c r="H834">
        <v>25</v>
      </c>
      <c r="I834">
        <v>1348</v>
      </c>
      <c r="J834">
        <v>0</v>
      </c>
      <c r="K834">
        <v>6.585</v>
      </c>
      <c r="L834">
        <v>11.450000000000001</v>
      </c>
      <c r="M834">
        <v>131.33000000000001</v>
      </c>
      <c r="N834">
        <v>14.025</v>
      </c>
      <c r="O834">
        <v>1664</v>
      </c>
      <c r="P834">
        <v>570</v>
      </c>
      <c r="Q834" s="5" t="e">
        <f>IF(AND(#REF!&gt;=table!$C$6,#REF!&lt;= table!$D$6),-1,IF(AND(#REF!&gt;=table!$E$6,#REF!&lt;=table!$F$6),1,0))</f>
        <v>#REF!</v>
      </c>
      <c r="R834" s="5" t="e">
        <f>IF(AND(#REF!&gt;=table!$C$7,#REF!&lt;= table!$D$7),-1,IF(AND(#REF!&gt;=table!$E$7,#REF!&lt;=table!$F$7),1,0))</f>
        <v>#REF!</v>
      </c>
      <c r="S834" s="5" t="e">
        <f>IF(AND(#REF!&gt;=table!$C$8,#REF!&lt;= table!$D$8),-1,IF(AND(#REF!&gt;=table!$E$8,#REF!&lt;=table!$F$8),1,0))</f>
        <v>#REF!</v>
      </c>
      <c r="T834" s="5"/>
      <c r="U834" s="5" t="e">
        <f>IF(AND(#REF!&gt;=table!$C$10,#REF!&lt;= table!$D$10),-1,IF(AND(#REF!&gt;=table!$E$10,#REF!&lt;=table!$F$10),1,0))</f>
        <v>#REF!</v>
      </c>
      <c r="V834" s="5" t="e">
        <f>IF(AND(#REF!&gt;=table!$C$11,#REF!&lt;= table!$D$11),-1,IF(AND(#REF!&gt;=table!$E$11,#REF!&lt;=table!$F$11),1,0))</f>
        <v>#REF!</v>
      </c>
      <c r="W834" s="5" t="e">
        <f>CONCATENATE(dados[[#This Row],[fator1]],dados[[#This Row],[fator5]],dados[[#This Row],[fator6]])</f>
        <v>#REF!</v>
      </c>
    </row>
    <row r="835" spans="1:23">
      <c r="A835" t="s">
        <v>17</v>
      </c>
      <c r="B835">
        <v>483259</v>
      </c>
      <c r="C835">
        <v>29</v>
      </c>
      <c r="D835">
        <v>25</v>
      </c>
      <c r="E835">
        <v>131</v>
      </c>
      <c r="F835">
        <v>6</v>
      </c>
      <c r="G835">
        <v>21</v>
      </c>
      <c r="H835">
        <v>25</v>
      </c>
      <c r="I835">
        <v>448</v>
      </c>
      <c r="J835">
        <v>0</v>
      </c>
      <c r="K835">
        <v>9.7799999999999994</v>
      </c>
      <c r="L835">
        <v>15.4</v>
      </c>
      <c r="M835">
        <v>148.9</v>
      </c>
      <c r="N835">
        <v>19.850000000000001</v>
      </c>
      <c r="O835">
        <v>1682</v>
      </c>
      <c r="P835">
        <v>0</v>
      </c>
      <c r="Q835" s="5" t="e">
        <f>IF(AND(#REF!&gt;=table!$C$6,#REF!&lt;= table!$D$6),-1,IF(AND(#REF!&gt;=table!$E$6,#REF!&lt;=table!$F$6),1,0))</f>
        <v>#REF!</v>
      </c>
      <c r="R835" s="5" t="e">
        <f>IF(AND(#REF!&gt;=table!$C$7,#REF!&lt;= table!$D$7),-1,IF(AND(#REF!&gt;=table!$E$7,#REF!&lt;=table!$F$7),1,0))</f>
        <v>#REF!</v>
      </c>
      <c r="S835" s="5" t="e">
        <f>IF(AND(#REF!&gt;=table!$C$8,#REF!&lt;= table!$D$8),-1,IF(AND(#REF!&gt;=table!$E$8,#REF!&lt;=table!$F$8),1,0))</f>
        <v>#REF!</v>
      </c>
      <c r="T835" s="5"/>
      <c r="U835" s="5" t="e">
        <f>IF(AND(#REF!&gt;=table!$C$10,#REF!&lt;= table!$D$10),-1,IF(AND(#REF!&gt;=table!$E$10,#REF!&lt;=table!$F$10),1,0))</f>
        <v>#REF!</v>
      </c>
      <c r="V835" s="5" t="e">
        <f>IF(AND(#REF!&gt;=table!$C$11,#REF!&lt;= table!$D$11),-1,IF(AND(#REF!&gt;=table!$E$11,#REF!&lt;=table!$F$11),1,0))</f>
        <v>#REF!</v>
      </c>
      <c r="W835" s="5" t="e">
        <f>CONCATENATE(dados[[#This Row],[fator1]],dados[[#This Row],[fator5]],dados[[#This Row],[fator6]])</f>
        <v>#REF!</v>
      </c>
    </row>
    <row r="836" spans="1:23">
      <c r="A836" t="s">
        <v>17</v>
      </c>
      <c r="B836">
        <v>483260</v>
      </c>
      <c r="C836">
        <v>29</v>
      </c>
      <c r="D836">
        <v>25</v>
      </c>
      <c r="E836">
        <v>131</v>
      </c>
      <c r="F836">
        <v>6</v>
      </c>
      <c r="G836">
        <v>21</v>
      </c>
      <c r="H836">
        <v>25</v>
      </c>
      <c r="I836">
        <v>8</v>
      </c>
      <c r="J836">
        <v>0</v>
      </c>
      <c r="K836">
        <v>8.8350000000000009</v>
      </c>
      <c r="L836">
        <v>22.05</v>
      </c>
      <c r="M836">
        <v>123.5</v>
      </c>
      <c r="N836">
        <v>31.2</v>
      </c>
      <c r="O836">
        <v>1688</v>
      </c>
      <c r="P836">
        <v>436</v>
      </c>
      <c r="Q836" s="5" t="e">
        <f>IF(AND(#REF!&gt;=table!$C$6,#REF!&lt;= table!$D$6),-1,IF(AND(#REF!&gt;=table!$E$6,#REF!&lt;=table!$F$6),1,0))</f>
        <v>#REF!</v>
      </c>
      <c r="R836" s="5" t="e">
        <f>IF(AND(#REF!&gt;=table!$C$7,#REF!&lt;= table!$D$7),-1,IF(AND(#REF!&gt;=table!$E$7,#REF!&lt;=table!$F$7),1,0))</f>
        <v>#REF!</v>
      </c>
      <c r="S836" s="5" t="e">
        <f>IF(AND(#REF!&gt;=table!$C$8,#REF!&lt;= table!$D$8),-1,IF(AND(#REF!&gt;=table!$E$8,#REF!&lt;=table!$F$8),1,0))</f>
        <v>#REF!</v>
      </c>
      <c r="T836" s="5"/>
      <c r="U836" s="5" t="e">
        <f>IF(AND(#REF!&gt;=table!$C$10,#REF!&lt;= table!$D$10),-1,IF(AND(#REF!&gt;=table!$E$10,#REF!&lt;=table!$F$10),1,0))</f>
        <v>#REF!</v>
      </c>
      <c r="V836" s="5" t="e">
        <f>IF(AND(#REF!&gt;=table!$C$11,#REF!&lt;= table!$D$11),-1,IF(AND(#REF!&gt;=table!$E$11,#REF!&lt;=table!$F$11),1,0))</f>
        <v>#REF!</v>
      </c>
      <c r="W836" s="5" t="e">
        <f>CONCATENATE(dados[[#This Row],[fator1]],dados[[#This Row],[fator5]],dados[[#This Row],[fator6]])</f>
        <v>#REF!</v>
      </c>
    </row>
    <row r="837" spans="1:23">
      <c r="A837" t="s">
        <v>16</v>
      </c>
      <c r="B837">
        <v>483269</v>
      </c>
      <c r="C837">
        <v>17</v>
      </c>
      <c r="D837">
        <v>55</v>
      </c>
      <c r="E837">
        <v>75</v>
      </c>
      <c r="F837">
        <v>15</v>
      </c>
      <c r="G837">
        <v>0</v>
      </c>
      <c r="H837">
        <v>20</v>
      </c>
      <c r="I837">
        <v>990</v>
      </c>
      <c r="J837">
        <v>0</v>
      </c>
      <c r="K837">
        <v>5.2450000000000001</v>
      </c>
      <c r="L837">
        <v>7.8850000000000007</v>
      </c>
      <c r="M837">
        <v>65.400000000000006</v>
      </c>
      <c r="N837">
        <v>12.200000000000001</v>
      </c>
      <c r="O837">
        <v>1671</v>
      </c>
      <c r="P837">
        <v>870</v>
      </c>
      <c r="Q837" s="5" t="e">
        <f>IF(AND(#REF!&gt;=table!$C$6,#REF!&lt;= table!$D$6),-1,IF(AND(#REF!&gt;=table!$E$6,#REF!&lt;=table!$F$6),1,0))</f>
        <v>#REF!</v>
      </c>
      <c r="R837" s="5" t="e">
        <f>IF(AND(#REF!&gt;=table!$C$7,#REF!&lt;= table!$D$7),-1,IF(AND(#REF!&gt;=table!$E$7,#REF!&lt;=table!$F$7),1,0))</f>
        <v>#REF!</v>
      </c>
      <c r="S837" s="5" t="e">
        <f>IF(AND(#REF!&gt;=table!$C$8,#REF!&lt;= table!$D$8),-1,IF(AND(#REF!&gt;=table!$E$8,#REF!&lt;=table!$F$8),1,0))</f>
        <v>#REF!</v>
      </c>
      <c r="T837" s="5"/>
      <c r="U837" s="5" t="e">
        <f>IF(AND(#REF!&gt;=table!$C$10,#REF!&lt;= table!$D$10),-1,IF(AND(#REF!&gt;=table!$E$10,#REF!&lt;=table!$F$10),1,0))</f>
        <v>#REF!</v>
      </c>
      <c r="V837" s="5" t="e">
        <f>IF(AND(#REF!&gt;=table!$C$11,#REF!&lt;= table!$D$11),-1,IF(AND(#REF!&gt;=table!$E$11,#REF!&lt;=table!$F$11),1,0))</f>
        <v>#REF!</v>
      </c>
      <c r="W837" s="5" t="e">
        <f>CONCATENATE(dados[[#This Row],[fator1]],dados[[#This Row],[fator5]],dados[[#This Row],[fator6]])</f>
        <v>#REF!</v>
      </c>
    </row>
    <row r="838" spans="1:23">
      <c r="A838" t="s">
        <v>16</v>
      </c>
      <c r="B838">
        <v>483270</v>
      </c>
      <c r="C838">
        <v>17</v>
      </c>
      <c r="D838">
        <v>55</v>
      </c>
      <c r="E838">
        <v>75</v>
      </c>
      <c r="F838">
        <v>15</v>
      </c>
      <c r="G838">
        <v>0</v>
      </c>
      <c r="H838">
        <v>20</v>
      </c>
      <c r="I838">
        <v>939</v>
      </c>
      <c r="J838">
        <v>0</v>
      </c>
      <c r="K838">
        <v>2.89</v>
      </c>
      <c r="L838">
        <v>7.25</v>
      </c>
      <c r="M838">
        <v>67.3</v>
      </c>
      <c r="N838">
        <v>11.85</v>
      </c>
      <c r="O838">
        <v>1678</v>
      </c>
      <c r="P838">
        <v>1076</v>
      </c>
      <c r="Q838" s="5" t="e">
        <f>IF(AND(#REF!&gt;=table!$C$6,#REF!&lt;= table!$D$6),-1,IF(AND(#REF!&gt;=table!$E$6,#REF!&lt;=table!$F$6),1,0))</f>
        <v>#REF!</v>
      </c>
      <c r="R838" s="5" t="e">
        <f>IF(AND(#REF!&gt;=table!$C$7,#REF!&lt;= table!$D$7),-1,IF(AND(#REF!&gt;=table!$E$7,#REF!&lt;=table!$F$7),1,0))</f>
        <v>#REF!</v>
      </c>
      <c r="S838" s="5" t="e">
        <f>IF(AND(#REF!&gt;=table!$C$8,#REF!&lt;= table!$D$8),-1,IF(AND(#REF!&gt;=table!$E$8,#REF!&lt;=table!$F$8),1,0))</f>
        <v>#REF!</v>
      </c>
      <c r="T838" s="5"/>
      <c r="U838" s="5" t="e">
        <f>IF(AND(#REF!&gt;=table!$C$10,#REF!&lt;= table!$D$10),-1,IF(AND(#REF!&gt;=table!$E$10,#REF!&lt;=table!$F$10),1,0))</f>
        <v>#REF!</v>
      </c>
      <c r="V838" s="5" t="e">
        <f>IF(AND(#REF!&gt;=table!$C$11,#REF!&lt;= table!$D$11),-1,IF(AND(#REF!&gt;=table!$E$11,#REF!&lt;=table!$F$11),1,0))</f>
        <v>#REF!</v>
      </c>
      <c r="W838" s="5" t="e">
        <f>CONCATENATE(dados[[#This Row],[fator1]],dados[[#This Row],[fator5]],dados[[#This Row],[fator6]])</f>
        <v>#REF!</v>
      </c>
    </row>
    <row r="839" spans="1:23">
      <c r="A839" t="s">
        <v>17</v>
      </c>
      <c r="B839">
        <v>483274</v>
      </c>
      <c r="C839">
        <v>16</v>
      </c>
      <c r="D839">
        <v>33</v>
      </c>
      <c r="E839">
        <v>150</v>
      </c>
      <c r="F839">
        <v>10</v>
      </c>
      <c r="G839">
        <v>15</v>
      </c>
      <c r="H839">
        <v>25</v>
      </c>
      <c r="I839">
        <v>498</v>
      </c>
      <c r="J839">
        <v>0</v>
      </c>
      <c r="K839">
        <v>3.4650000000000003</v>
      </c>
      <c r="L839">
        <v>10.6</v>
      </c>
      <c r="M839">
        <v>140.35</v>
      </c>
      <c r="N839">
        <v>12.35</v>
      </c>
      <c r="O839">
        <v>1677</v>
      </c>
      <c r="P839">
        <v>1125</v>
      </c>
      <c r="Q839" s="5" t="e">
        <f>IF(AND(#REF!&gt;=table!$C$6,#REF!&lt;= table!$D$6),-1,IF(AND(#REF!&gt;=table!$E$6,#REF!&lt;=table!$F$6),1,0))</f>
        <v>#REF!</v>
      </c>
      <c r="R839" s="5" t="e">
        <f>IF(AND(#REF!&gt;=table!$C$7,#REF!&lt;= table!$D$7),-1,IF(AND(#REF!&gt;=table!$E$7,#REF!&lt;=table!$F$7),1,0))</f>
        <v>#REF!</v>
      </c>
      <c r="S839" s="5" t="e">
        <f>IF(AND(#REF!&gt;=table!$C$8,#REF!&lt;= table!$D$8),-1,IF(AND(#REF!&gt;=table!$E$8,#REF!&lt;=table!$F$8),1,0))</f>
        <v>#REF!</v>
      </c>
      <c r="T839" s="5"/>
      <c r="U839" s="5" t="e">
        <f>IF(AND(#REF!&gt;=table!$C$10,#REF!&lt;= table!$D$10),-1,IF(AND(#REF!&gt;=table!$E$10,#REF!&lt;=table!$F$10),1,0))</f>
        <v>#REF!</v>
      </c>
      <c r="V839" s="5" t="e">
        <f>IF(AND(#REF!&gt;=table!$C$11,#REF!&lt;= table!$D$11),-1,IF(AND(#REF!&gt;=table!$E$11,#REF!&lt;=table!$F$11),1,0))</f>
        <v>#REF!</v>
      </c>
      <c r="W839" s="5" t="e">
        <f>CONCATENATE(dados[[#This Row],[fator1]],dados[[#This Row],[fator5]],dados[[#This Row],[fator6]])</f>
        <v>#REF!</v>
      </c>
    </row>
    <row r="840" spans="1:23">
      <c r="A840" t="s">
        <v>17</v>
      </c>
      <c r="B840">
        <v>483277</v>
      </c>
      <c r="C840">
        <v>15</v>
      </c>
      <c r="D840">
        <v>33</v>
      </c>
      <c r="E840">
        <v>140</v>
      </c>
      <c r="F840">
        <v>10</v>
      </c>
      <c r="G840">
        <v>15</v>
      </c>
      <c r="H840">
        <v>25</v>
      </c>
      <c r="I840">
        <v>74</v>
      </c>
      <c r="J840">
        <v>0</v>
      </c>
      <c r="K840">
        <v>5.48</v>
      </c>
      <c r="L840">
        <v>12.3</v>
      </c>
      <c r="M840">
        <v>135.80000000000001</v>
      </c>
      <c r="N840">
        <v>17.650000000000002</v>
      </c>
      <c r="O840">
        <v>1673</v>
      </c>
      <c r="P840">
        <v>515</v>
      </c>
      <c r="Q840" s="5" t="e">
        <f>IF(AND(#REF!&gt;=table!$C$6,#REF!&lt;= table!$D$6),-1,IF(AND(#REF!&gt;=table!$E$6,#REF!&lt;=table!$F$6),1,0))</f>
        <v>#REF!</v>
      </c>
      <c r="R840" s="5" t="e">
        <f>IF(AND(#REF!&gt;=table!$C$7,#REF!&lt;= table!$D$7),-1,IF(AND(#REF!&gt;=table!$E$7,#REF!&lt;=table!$F$7),1,0))</f>
        <v>#REF!</v>
      </c>
      <c r="S840" s="5" t="e">
        <f>IF(AND(#REF!&gt;=table!$C$8,#REF!&lt;= table!$D$8),-1,IF(AND(#REF!&gt;=table!$E$8,#REF!&lt;=table!$F$8),1,0))</f>
        <v>#REF!</v>
      </c>
      <c r="T840" s="5"/>
      <c r="U840" s="5" t="e">
        <f>IF(AND(#REF!&gt;=table!$C$10,#REF!&lt;= table!$D$10),-1,IF(AND(#REF!&gt;=table!$E$10,#REF!&lt;=table!$F$10),1,0))</f>
        <v>#REF!</v>
      </c>
      <c r="V840" s="5" t="e">
        <f>IF(AND(#REF!&gt;=table!$C$11,#REF!&lt;= table!$D$11),-1,IF(AND(#REF!&gt;=table!$E$11,#REF!&lt;=table!$F$11),1,0))</f>
        <v>#REF!</v>
      </c>
      <c r="W840" s="5" t="e">
        <f>CONCATENATE(dados[[#This Row],[fator1]],dados[[#This Row],[fator5]],dados[[#This Row],[fator6]])</f>
        <v>#REF!</v>
      </c>
    </row>
    <row r="841" spans="1:23">
      <c r="A841" t="s">
        <v>16</v>
      </c>
      <c r="B841">
        <v>483279</v>
      </c>
      <c r="C841">
        <v>7</v>
      </c>
      <c r="D841">
        <v>33</v>
      </c>
      <c r="E841">
        <v>153</v>
      </c>
      <c r="F841">
        <v>4</v>
      </c>
      <c r="G841">
        <v>0</v>
      </c>
      <c r="H841">
        <v>25</v>
      </c>
      <c r="I841">
        <v>203</v>
      </c>
      <c r="J841">
        <v>810</v>
      </c>
      <c r="K841">
        <v>4.8500000000000005</v>
      </c>
      <c r="L841">
        <v>11.995000000000001</v>
      </c>
      <c r="M841">
        <v>137.97499999999999</v>
      </c>
      <c r="N841">
        <v>16.28</v>
      </c>
      <c r="O841">
        <v>1684</v>
      </c>
      <c r="P841">
        <v>0</v>
      </c>
      <c r="Q841" s="5" t="e">
        <f>IF(AND(#REF!&gt;=table!$C$6,#REF!&lt;= table!$D$6),-1,IF(AND(#REF!&gt;=table!$E$6,#REF!&lt;=table!$F$6),1,0))</f>
        <v>#REF!</v>
      </c>
      <c r="R841" s="5" t="e">
        <f>IF(AND(#REF!&gt;=table!$C$7,#REF!&lt;= table!$D$7),-1,IF(AND(#REF!&gt;=table!$E$7,#REF!&lt;=table!$F$7),1,0))</f>
        <v>#REF!</v>
      </c>
      <c r="S841" s="5" t="e">
        <f>IF(AND(#REF!&gt;=table!$C$8,#REF!&lt;= table!$D$8),-1,IF(AND(#REF!&gt;=table!$E$8,#REF!&lt;=table!$F$8),1,0))</f>
        <v>#REF!</v>
      </c>
      <c r="T841" s="5"/>
      <c r="U841" s="5" t="e">
        <f>IF(AND(#REF!&gt;=table!$C$10,#REF!&lt;= table!$D$10),-1,IF(AND(#REF!&gt;=table!$E$10,#REF!&lt;=table!$F$10),1,0))</f>
        <v>#REF!</v>
      </c>
      <c r="V841" s="5" t="e">
        <f>IF(AND(#REF!&gt;=table!$C$11,#REF!&lt;= table!$D$11),-1,IF(AND(#REF!&gt;=table!$E$11,#REF!&lt;=table!$F$11),1,0))</f>
        <v>#REF!</v>
      </c>
      <c r="W841" s="5" t="e">
        <f>CONCATENATE(dados[[#This Row],[fator1]],dados[[#This Row],[fator5]],dados[[#This Row],[fator6]])</f>
        <v>#REF!</v>
      </c>
    </row>
    <row r="842" spans="1:23">
      <c r="A842" t="s">
        <v>17</v>
      </c>
      <c r="B842">
        <v>483282</v>
      </c>
      <c r="C842">
        <v>8</v>
      </c>
      <c r="D842">
        <v>30</v>
      </c>
      <c r="E842">
        <v>153</v>
      </c>
      <c r="F842">
        <v>2</v>
      </c>
      <c r="G842">
        <v>20</v>
      </c>
      <c r="H842">
        <v>18</v>
      </c>
      <c r="I842">
        <v>5</v>
      </c>
      <c r="J842">
        <v>720</v>
      </c>
      <c r="K842">
        <v>2.6950000000000003</v>
      </c>
      <c r="L842">
        <v>4.45</v>
      </c>
      <c r="M842">
        <v>151.47999999999999</v>
      </c>
      <c r="N842">
        <v>13.875</v>
      </c>
      <c r="O842">
        <v>1679</v>
      </c>
      <c r="P842">
        <v>0</v>
      </c>
      <c r="Q842" s="5" t="e">
        <f>IF(AND(#REF!&gt;=table!$C$6,#REF!&lt;= table!$D$6),-1,IF(AND(#REF!&gt;=table!$E$6,#REF!&lt;=table!$F$6),1,0))</f>
        <v>#REF!</v>
      </c>
      <c r="R842" s="5" t="e">
        <f>IF(AND(#REF!&gt;=table!$C$7,#REF!&lt;= table!$D$7),-1,IF(AND(#REF!&gt;=table!$E$7,#REF!&lt;=table!$F$7),1,0))</f>
        <v>#REF!</v>
      </c>
      <c r="S842" s="5" t="e">
        <f>IF(AND(#REF!&gt;=table!$C$8,#REF!&lt;= table!$D$8),-1,IF(AND(#REF!&gt;=table!$E$8,#REF!&lt;=table!$F$8),1,0))</f>
        <v>#REF!</v>
      </c>
      <c r="T842" s="5"/>
      <c r="U842" s="5" t="e">
        <f>IF(AND(#REF!&gt;=table!$C$10,#REF!&lt;= table!$D$10),-1,IF(AND(#REF!&gt;=table!$E$10,#REF!&lt;=table!$F$10),1,0))</f>
        <v>#REF!</v>
      </c>
      <c r="V842" s="5" t="e">
        <f>IF(AND(#REF!&gt;=table!$C$11,#REF!&lt;= table!$D$11),-1,IF(AND(#REF!&gt;=table!$E$11,#REF!&lt;=table!$F$11),1,0))</f>
        <v>#REF!</v>
      </c>
      <c r="W842" s="5" t="e">
        <f>CONCATENATE(dados[[#This Row],[fator1]],dados[[#This Row],[fator5]],dados[[#This Row],[fator6]])</f>
        <v>#REF!</v>
      </c>
    </row>
    <row r="843" spans="1:23">
      <c r="A843" t="s">
        <v>17</v>
      </c>
      <c r="B843">
        <v>483284</v>
      </c>
      <c r="C843">
        <v>8</v>
      </c>
      <c r="D843">
        <v>30</v>
      </c>
      <c r="E843">
        <v>153</v>
      </c>
      <c r="F843">
        <v>2</v>
      </c>
      <c r="G843">
        <v>20</v>
      </c>
      <c r="H843">
        <v>18</v>
      </c>
      <c r="I843">
        <v>662</v>
      </c>
      <c r="J843">
        <v>0</v>
      </c>
      <c r="K843">
        <v>3.22</v>
      </c>
      <c r="L843">
        <v>4.7</v>
      </c>
      <c r="M843">
        <v>135.36500000000001</v>
      </c>
      <c r="N843">
        <v>10.15</v>
      </c>
      <c r="O843">
        <v>1680</v>
      </c>
      <c r="P843">
        <v>0</v>
      </c>
      <c r="Q843" s="5" t="e">
        <f>IF(AND(#REF!&gt;=table!$C$6,#REF!&lt;= table!$D$6),-1,IF(AND(#REF!&gt;=table!$E$6,#REF!&lt;=table!$F$6),1,0))</f>
        <v>#REF!</v>
      </c>
      <c r="R843" s="5" t="e">
        <f>IF(AND(#REF!&gt;=table!$C$7,#REF!&lt;= table!$D$7),-1,IF(AND(#REF!&gt;=table!$E$7,#REF!&lt;=table!$F$7),1,0))</f>
        <v>#REF!</v>
      </c>
      <c r="S843" s="5" t="e">
        <f>IF(AND(#REF!&gt;=table!$C$8,#REF!&lt;= table!$D$8),-1,IF(AND(#REF!&gt;=table!$E$8,#REF!&lt;=table!$F$8),1,0))</f>
        <v>#REF!</v>
      </c>
      <c r="T843" s="5"/>
      <c r="U843" s="5" t="e">
        <f>IF(AND(#REF!&gt;=table!$C$10,#REF!&lt;= table!$D$10),-1,IF(AND(#REF!&gt;=table!$E$10,#REF!&lt;=table!$F$10),1,0))</f>
        <v>#REF!</v>
      </c>
      <c r="V843" s="5" t="e">
        <f>IF(AND(#REF!&gt;=table!$C$11,#REF!&lt;= table!$D$11),-1,IF(AND(#REF!&gt;=table!$E$11,#REF!&lt;=table!$F$11),1,0))</f>
        <v>#REF!</v>
      </c>
      <c r="W843" s="5" t="e">
        <f>CONCATENATE(dados[[#This Row],[fator1]],dados[[#This Row],[fator5]],dados[[#This Row],[fator6]])</f>
        <v>#REF!</v>
      </c>
    </row>
    <row r="844" spans="1:23">
      <c r="A844" t="s">
        <v>17</v>
      </c>
      <c r="B844">
        <v>483285</v>
      </c>
      <c r="C844">
        <v>8</v>
      </c>
      <c r="D844">
        <v>30</v>
      </c>
      <c r="E844">
        <v>153</v>
      </c>
      <c r="F844">
        <v>2</v>
      </c>
      <c r="G844">
        <v>20</v>
      </c>
      <c r="H844">
        <v>18</v>
      </c>
      <c r="I844">
        <v>417</v>
      </c>
      <c r="J844">
        <v>0</v>
      </c>
      <c r="K844">
        <v>3.77</v>
      </c>
      <c r="L844">
        <v>4.8950000000000005</v>
      </c>
      <c r="M844">
        <v>135.85</v>
      </c>
      <c r="N844">
        <v>7.4</v>
      </c>
      <c r="O844">
        <v>1685</v>
      </c>
      <c r="P844">
        <v>0</v>
      </c>
      <c r="Q844" s="5" t="e">
        <f>IF(AND(#REF!&gt;=table!$C$6,#REF!&lt;= table!$D$6),-1,IF(AND(#REF!&gt;=table!$E$6,#REF!&lt;=table!$F$6),1,0))</f>
        <v>#REF!</v>
      </c>
      <c r="R844" s="5" t="e">
        <f>IF(AND(#REF!&gt;=table!$C$7,#REF!&lt;= table!$D$7),-1,IF(AND(#REF!&gt;=table!$E$7,#REF!&lt;=table!$F$7),1,0))</f>
        <v>#REF!</v>
      </c>
      <c r="S844" s="5" t="e">
        <f>IF(AND(#REF!&gt;=table!$C$8,#REF!&lt;= table!$D$8),-1,IF(AND(#REF!&gt;=table!$E$8,#REF!&lt;=table!$F$8),1,0))</f>
        <v>#REF!</v>
      </c>
      <c r="T844" s="5"/>
      <c r="U844" s="5" t="e">
        <f>IF(AND(#REF!&gt;=table!$C$10,#REF!&lt;= table!$D$10),-1,IF(AND(#REF!&gt;=table!$E$10,#REF!&lt;=table!$F$10),1,0))</f>
        <v>#REF!</v>
      </c>
      <c r="V844" s="5" t="e">
        <f>IF(AND(#REF!&gt;=table!$C$11,#REF!&lt;= table!$D$11),-1,IF(AND(#REF!&gt;=table!$E$11,#REF!&lt;=table!$F$11),1,0))</f>
        <v>#REF!</v>
      </c>
      <c r="W844" s="5" t="e">
        <f>CONCATENATE(dados[[#This Row],[fator1]],dados[[#This Row],[fator5]],dados[[#This Row],[fator6]])</f>
        <v>#REF!</v>
      </c>
    </row>
    <row r="845" spans="1:23">
      <c r="A845" t="s">
        <v>17</v>
      </c>
      <c r="B845">
        <v>483291</v>
      </c>
      <c r="C845">
        <v>29</v>
      </c>
      <c r="D845">
        <v>30</v>
      </c>
      <c r="E845">
        <v>126</v>
      </c>
      <c r="F845">
        <v>6</v>
      </c>
      <c r="G845">
        <v>23</v>
      </c>
      <c r="H845">
        <v>23</v>
      </c>
      <c r="I845">
        <v>705</v>
      </c>
      <c r="J845">
        <v>1100</v>
      </c>
      <c r="K845">
        <v>2.5950000000000002</v>
      </c>
      <c r="L845">
        <v>5.45</v>
      </c>
      <c r="M845">
        <v>135.1</v>
      </c>
      <c r="N845">
        <v>18.350000000000001</v>
      </c>
      <c r="O845">
        <v>1647</v>
      </c>
      <c r="P845">
        <v>1117</v>
      </c>
      <c r="Q845" s="5" t="e">
        <f>IF(AND(#REF!&gt;=table!$C$6,#REF!&lt;= table!$D$6),-1,IF(AND(#REF!&gt;=table!$E$6,#REF!&lt;=table!$F$6),1,0))</f>
        <v>#REF!</v>
      </c>
      <c r="R845" s="5" t="e">
        <f>IF(AND(#REF!&gt;=table!$C$7,#REF!&lt;= table!$D$7),-1,IF(AND(#REF!&gt;=table!$E$7,#REF!&lt;=table!$F$7),1,0))</f>
        <v>#REF!</v>
      </c>
      <c r="S845" s="5" t="e">
        <f>IF(AND(#REF!&gt;=table!$C$8,#REF!&lt;= table!$D$8),-1,IF(AND(#REF!&gt;=table!$E$8,#REF!&lt;=table!$F$8),1,0))</f>
        <v>#REF!</v>
      </c>
      <c r="T845" s="5"/>
      <c r="U845" s="5" t="e">
        <f>IF(AND(#REF!&gt;=table!$C$10,#REF!&lt;= table!$D$10),-1,IF(AND(#REF!&gt;=table!$E$10,#REF!&lt;=table!$F$10),1,0))</f>
        <v>#REF!</v>
      </c>
      <c r="V845" s="5" t="e">
        <f>IF(AND(#REF!&gt;=table!$C$11,#REF!&lt;= table!$D$11),-1,IF(AND(#REF!&gt;=table!$E$11,#REF!&lt;=table!$F$11),1,0))</f>
        <v>#REF!</v>
      </c>
      <c r="W845" s="5" t="e">
        <f>CONCATENATE(dados[[#This Row],[fator1]],dados[[#This Row],[fator5]],dados[[#This Row],[fator6]])</f>
        <v>#REF!</v>
      </c>
    </row>
    <row r="846" spans="1:23">
      <c r="A846" t="s">
        <v>17</v>
      </c>
      <c r="B846">
        <v>483292</v>
      </c>
      <c r="C846">
        <v>29</v>
      </c>
      <c r="D846">
        <v>30</v>
      </c>
      <c r="E846">
        <v>126</v>
      </c>
      <c r="F846">
        <v>6</v>
      </c>
      <c r="G846">
        <v>23</v>
      </c>
      <c r="H846">
        <v>23</v>
      </c>
      <c r="I846">
        <v>1210</v>
      </c>
      <c r="J846">
        <v>0</v>
      </c>
      <c r="K846">
        <v>3.5650000000000004</v>
      </c>
      <c r="L846">
        <v>3.35</v>
      </c>
      <c r="M846">
        <v>109.2</v>
      </c>
      <c r="N846">
        <v>13.8</v>
      </c>
      <c r="O846">
        <v>1649</v>
      </c>
      <c r="P846">
        <v>1279</v>
      </c>
      <c r="Q846" s="5" t="e">
        <f>IF(AND(#REF!&gt;=table!$C$6,#REF!&lt;= table!$D$6),-1,IF(AND(#REF!&gt;=table!$E$6,#REF!&lt;=table!$F$6),1,0))</f>
        <v>#REF!</v>
      </c>
      <c r="R846" s="5" t="e">
        <f>IF(AND(#REF!&gt;=table!$C$7,#REF!&lt;= table!$D$7),-1,IF(AND(#REF!&gt;=table!$E$7,#REF!&lt;=table!$F$7),1,0))</f>
        <v>#REF!</v>
      </c>
      <c r="S846" s="5" t="e">
        <f>IF(AND(#REF!&gt;=table!$C$8,#REF!&lt;= table!$D$8),-1,IF(AND(#REF!&gt;=table!$E$8,#REF!&lt;=table!$F$8),1,0))</f>
        <v>#REF!</v>
      </c>
      <c r="T846" s="5"/>
      <c r="U846" s="5" t="e">
        <f>IF(AND(#REF!&gt;=table!$C$10,#REF!&lt;= table!$D$10),-1,IF(AND(#REF!&gt;=table!$E$10,#REF!&lt;=table!$F$10),1,0))</f>
        <v>#REF!</v>
      </c>
      <c r="V846" s="5" t="e">
        <f>IF(AND(#REF!&gt;=table!$C$11,#REF!&lt;= table!$D$11),-1,IF(AND(#REF!&gt;=table!$E$11,#REF!&lt;=table!$F$11),1,0))</f>
        <v>#REF!</v>
      </c>
      <c r="W846" s="5" t="e">
        <f>CONCATENATE(dados[[#This Row],[fator1]],dados[[#This Row],[fator5]],dados[[#This Row],[fator6]])</f>
        <v>#REF!</v>
      </c>
    </row>
    <row r="847" spans="1:23">
      <c r="A847" t="s">
        <v>17</v>
      </c>
      <c r="B847">
        <v>483293</v>
      </c>
      <c r="C847">
        <v>29</v>
      </c>
      <c r="D847">
        <v>30</v>
      </c>
      <c r="E847">
        <v>126</v>
      </c>
      <c r="F847">
        <v>6</v>
      </c>
      <c r="G847">
        <v>23</v>
      </c>
      <c r="H847">
        <v>23</v>
      </c>
      <c r="I847">
        <v>801</v>
      </c>
      <c r="J847">
        <v>0</v>
      </c>
      <c r="K847">
        <v>3.62</v>
      </c>
      <c r="L847">
        <v>6.15</v>
      </c>
      <c r="M847">
        <v>107.105</v>
      </c>
      <c r="N847">
        <v>12.05</v>
      </c>
      <c r="O847">
        <v>1686</v>
      </c>
      <c r="P847">
        <v>1588</v>
      </c>
      <c r="Q847" s="5" t="e">
        <f>IF(AND(#REF!&gt;=table!$C$6,#REF!&lt;= table!$D$6),-1,IF(AND(#REF!&gt;=table!$E$6,#REF!&lt;=table!$F$6),1,0))</f>
        <v>#REF!</v>
      </c>
      <c r="R847" s="5" t="e">
        <f>IF(AND(#REF!&gt;=table!$C$7,#REF!&lt;= table!$D$7),-1,IF(AND(#REF!&gt;=table!$E$7,#REF!&lt;=table!$F$7),1,0))</f>
        <v>#REF!</v>
      </c>
      <c r="S847" s="5" t="e">
        <f>IF(AND(#REF!&gt;=table!$C$8,#REF!&lt;= table!$D$8),-1,IF(AND(#REF!&gt;=table!$E$8,#REF!&lt;=table!$F$8),1,0))</f>
        <v>#REF!</v>
      </c>
      <c r="T847" s="5"/>
      <c r="U847" s="5" t="e">
        <f>IF(AND(#REF!&gt;=table!$C$10,#REF!&lt;= table!$D$10),-1,IF(AND(#REF!&gt;=table!$E$10,#REF!&lt;=table!$F$10),1,0))</f>
        <v>#REF!</v>
      </c>
      <c r="V847" s="5" t="e">
        <f>IF(AND(#REF!&gt;=table!$C$11,#REF!&lt;= table!$D$11),-1,IF(AND(#REF!&gt;=table!$E$11,#REF!&lt;=table!$F$11),1,0))</f>
        <v>#REF!</v>
      </c>
      <c r="W847" s="5" t="e">
        <f>CONCATENATE(dados[[#This Row],[fator1]],dados[[#This Row],[fator5]],dados[[#This Row],[fator6]])</f>
        <v>#REF!</v>
      </c>
    </row>
    <row r="848" spans="1:23">
      <c r="A848" t="s">
        <v>17</v>
      </c>
      <c r="B848">
        <v>483294</v>
      </c>
      <c r="C848">
        <v>8</v>
      </c>
      <c r="D848">
        <v>30</v>
      </c>
      <c r="E848">
        <v>153</v>
      </c>
      <c r="F848">
        <v>2</v>
      </c>
      <c r="G848">
        <v>20</v>
      </c>
      <c r="H848">
        <v>18</v>
      </c>
      <c r="I848">
        <v>0</v>
      </c>
      <c r="J848">
        <v>0</v>
      </c>
      <c r="K848">
        <v>3.4250000000000003</v>
      </c>
      <c r="L848">
        <v>6.3</v>
      </c>
      <c r="M848">
        <v>129.9</v>
      </c>
      <c r="N848">
        <v>9.4</v>
      </c>
      <c r="O848">
        <v>1697</v>
      </c>
      <c r="P848">
        <v>1027</v>
      </c>
      <c r="Q848" s="5" t="e">
        <f>IF(AND(#REF!&gt;=table!$C$6,#REF!&lt;= table!$D$6),-1,IF(AND(#REF!&gt;=table!$E$6,#REF!&lt;=table!$F$6),1,0))</f>
        <v>#REF!</v>
      </c>
      <c r="R848" s="5" t="e">
        <f>IF(AND(#REF!&gt;=table!$C$7,#REF!&lt;= table!$D$7),-1,IF(AND(#REF!&gt;=table!$E$7,#REF!&lt;=table!$F$7),1,0))</f>
        <v>#REF!</v>
      </c>
      <c r="S848" s="5" t="e">
        <f>IF(AND(#REF!&gt;=table!$C$8,#REF!&lt;= table!$D$8),-1,IF(AND(#REF!&gt;=table!$E$8,#REF!&lt;=table!$F$8),1,0))</f>
        <v>#REF!</v>
      </c>
      <c r="T848" s="5"/>
      <c r="U848" s="5" t="e">
        <f>IF(AND(#REF!&gt;=table!$C$10,#REF!&lt;= table!$D$10),-1,IF(AND(#REF!&gt;=table!$E$10,#REF!&lt;=table!$F$10),1,0))</f>
        <v>#REF!</v>
      </c>
      <c r="V848" s="5" t="e">
        <f>IF(AND(#REF!&gt;=table!$C$11,#REF!&lt;= table!$D$11),-1,IF(AND(#REF!&gt;=table!$E$11,#REF!&lt;=table!$F$11),1,0))</f>
        <v>#REF!</v>
      </c>
      <c r="W848" s="5" t="e">
        <f>CONCATENATE(dados[[#This Row],[fator1]],dados[[#This Row],[fator5]],dados[[#This Row],[fator6]])</f>
        <v>#REF!</v>
      </c>
    </row>
    <row r="849" spans="1:23">
      <c r="A849" t="s">
        <v>17</v>
      </c>
      <c r="B849">
        <v>483295</v>
      </c>
      <c r="C849">
        <v>8</v>
      </c>
      <c r="D849">
        <v>30</v>
      </c>
      <c r="E849">
        <v>153</v>
      </c>
      <c r="F849">
        <v>2</v>
      </c>
      <c r="G849">
        <v>20</v>
      </c>
      <c r="H849">
        <v>18</v>
      </c>
      <c r="I849">
        <v>976</v>
      </c>
      <c r="J849">
        <v>490</v>
      </c>
      <c r="K849">
        <v>5.4850000000000003</v>
      </c>
      <c r="L849">
        <v>13.950000000000001</v>
      </c>
      <c r="M849">
        <v>140.65</v>
      </c>
      <c r="N849">
        <v>13</v>
      </c>
      <c r="O849">
        <v>1686</v>
      </c>
      <c r="P849">
        <v>577</v>
      </c>
      <c r="Q849" s="5" t="e">
        <f>IF(AND(#REF!&gt;=table!$C$6,#REF!&lt;= table!$D$6),-1,IF(AND(#REF!&gt;=table!$E$6,#REF!&lt;=table!$F$6),1,0))</f>
        <v>#REF!</v>
      </c>
      <c r="R849" s="5" t="e">
        <f>IF(AND(#REF!&gt;=table!$C$7,#REF!&lt;= table!$D$7),-1,IF(AND(#REF!&gt;=table!$E$7,#REF!&lt;=table!$F$7),1,0))</f>
        <v>#REF!</v>
      </c>
      <c r="S849" s="5" t="e">
        <f>IF(AND(#REF!&gt;=table!$C$8,#REF!&lt;= table!$D$8),-1,IF(AND(#REF!&gt;=table!$E$8,#REF!&lt;=table!$F$8),1,0))</f>
        <v>#REF!</v>
      </c>
      <c r="T849" s="5"/>
      <c r="U849" s="5" t="e">
        <f>IF(AND(#REF!&gt;=table!$C$10,#REF!&lt;= table!$D$10),-1,IF(AND(#REF!&gt;=table!$E$10,#REF!&lt;=table!$F$10),1,0))</f>
        <v>#REF!</v>
      </c>
      <c r="V849" s="5" t="e">
        <f>IF(AND(#REF!&gt;=table!$C$11,#REF!&lt;= table!$D$11),-1,IF(AND(#REF!&gt;=table!$E$11,#REF!&lt;=table!$F$11),1,0))</f>
        <v>#REF!</v>
      </c>
      <c r="W849" s="5" t="e">
        <f>CONCATENATE(dados[[#This Row],[fator1]],dados[[#This Row],[fator5]],dados[[#This Row],[fator6]])</f>
        <v>#REF!</v>
      </c>
    </row>
    <row r="850" spans="1:23">
      <c r="A850" t="s">
        <v>17</v>
      </c>
      <c r="B850">
        <v>483298</v>
      </c>
      <c r="C850">
        <v>6</v>
      </c>
      <c r="D850">
        <v>30</v>
      </c>
      <c r="E850">
        <v>110</v>
      </c>
      <c r="F850">
        <v>10</v>
      </c>
      <c r="G850">
        <v>21</v>
      </c>
      <c r="H850">
        <v>25</v>
      </c>
      <c r="I850">
        <v>792</v>
      </c>
      <c r="J850">
        <v>0</v>
      </c>
      <c r="K850">
        <v>5.16</v>
      </c>
      <c r="L850">
        <v>10.55</v>
      </c>
      <c r="M850">
        <v>106.85000000000001</v>
      </c>
      <c r="N850">
        <v>10.6</v>
      </c>
      <c r="O850">
        <v>1645</v>
      </c>
      <c r="P850">
        <v>511</v>
      </c>
      <c r="Q850" s="5" t="e">
        <f>IF(AND(#REF!&gt;=table!$C$6,#REF!&lt;= table!$D$6),-1,IF(AND(#REF!&gt;=table!$E$6,#REF!&lt;=table!$F$6),1,0))</f>
        <v>#REF!</v>
      </c>
      <c r="R850" s="5" t="e">
        <f>IF(AND(#REF!&gt;=table!$C$7,#REF!&lt;= table!$D$7),-1,IF(AND(#REF!&gt;=table!$E$7,#REF!&lt;=table!$F$7),1,0))</f>
        <v>#REF!</v>
      </c>
      <c r="S850" s="5" t="e">
        <f>IF(AND(#REF!&gt;=table!$C$8,#REF!&lt;= table!$D$8),-1,IF(AND(#REF!&gt;=table!$E$8,#REF!&lt;=table!$F$8),1,0))</f>
        <v>#REF!</v>
      </c>
      <c r="T850" s="5"/>
      <c r="U850" s="5" t="e">
        <f>IF(AND(#REF!&gt;=table!$C$10,#REF!&lt;= table!$D$10),-1,IF(AND(#REF!&gt;=table!$E$10,#REF!&lt;=table!$F$10),1,0))</f>
        <v>#REF!</v>
      </c>
      <c r="V850" s="5" t="e">
        <f>IF(AND(#REF!&gt;=table!$C$11,#REF!&lt;= table!$D$11),-1,IF(AND(#REF!&gt;=table!$E$11,#REF!&lt;=table!$F$11),1,0))</f>
        <v>#REF!</v>
      </c>
      <c r="W850" s="5" t="e">
        <f>CONCATENATE(dados[[#This Row],[fator1]],dados[[#This Row],[fator5]],dados[[#This Row],[fator6]])</f>
        <v>#REF!</v>
      </c>
    </row>
    <row r="851" spans="1:23">
      <c r="A851" t="s">
        <v>16</v>
      </c>
      <c r="B851">
        <v>483304</v>
      </c>
      <c r="C851">
        <v>0.15</v>
      </c>
      <c r="D851">
        <v>40</v>
      </c>
      <c r="E851">
        <v>10</v>
      </c>
      <c r="F851">
        <v>15</v>
      </c>
      <c r="G851">
        <v>0</v>
      </c>
      <c r="H851">
        <v>15</v>
      </c>
      <c r="I851">
        <v>772</v>
      </c>
      <c r="J851">
        <v>0</v>
      </c>
      <c r="K851">
        <v>13.35</v>
      </c>
      <c r="L851">
        <v>10.085000000000001</v>
      </c>
      <c r="M851">
        <v>10.050000000000001</v>
      </c>
      <c r="N851">
        <v>9.25</v>
      </c>
      <c r="O851">
        <v>1654</v>
      </c>
      <c r="P851">
        <v>0</v>
      </c>
      <c r="Q851" s="5" t="e">
        <f>IF(AND(#REF!&gt;=table!$C$6,#REF!&lt;= table!$D$6),-1,IF(AND(#REF!&gt;=table!$E$6,#REF!&lt;=table!$F$6),1,0))</f>
        <v>#REF!</v>
      </c>
      <c r="R851" s="5" t="e">
        <f>IF(AND(#REF!&gt;=table!$C$7,#REF!&lt;= table!$D$7),-1,IF(AND(#REF!&gt;=table!$E$7,#REF!&lt;=table!$F$7),1,0))</f>
        <v>#REF!</v>
      </c>
      <c r="S851" s="5" t="e">
        <f>IF(AND(#REF!&gt;=table!$C$8,#REF!&lt;= table!$D$8),-1,IF(AND(#REF!&gt;=table!$E$8,#REF!&lt;=table!$F$8),1,0))</f>
        <v>#REF!</v>
      </c>
      <c r="T851" s="5"/>
      <c r="U851" s="5" t="e">
        <f>IF(AND(#REF!&gt;=table!$C$10,#REF!&lt;= table!$D$10),-1,IF(AND(#REF!&gt;=table!$E$10,#REF!&lt;=table!$F$10),1,0))</f>
        <v>#REF!</v>
      </c>
      <c r="V851" s="5" t="e">
        <f>IF(AND(#REF!&gt;=table!$C$11,#REF!&lt;= table!$D$11),-1,IF(AND(#REF!&gt;=table!$E$11,#REF!&lt;=table!$F$11),1,0))</f>
        <v>#REF!</v>
      </c>
      <c r="W851" s="5" t="e">
        <f>CONCATENATE(dados[[#This Row],[fator1]],dados[[#This Row],[fator5]],dados[[#This Row],[fator6]])</f>
        <v>#REF!</v>
      </c>
    </row>
    <row r="852" spans="1:23">
      <c r="A852" t="s">
        <v>16</v>
      </c>
      <c r="B852">
        <v>483307</v>
      </c>
      <c r="C852">
        <v>0.15</v>
      </c>
      <c r="D852">
        <v>40</v>
      </c>
      <c r="E852">
        <v>10</v>
      </c>
      <c r="F852">
        <v>15</v>
      </c>
      <c r="G852">
        <v>0</v>
      </c>
      <c r="H852">
        <v>15</v>
      </c>
      <c r="I852">
        <v>1530</v>
      </c>
      <c r="J852">
        <v>0</v>
      </c>
      <c r="K852">
        <v>4.4400000000000004</v>
      </c>
      <c r="L852">
        <v>10.25</v>
      </c>
      <c r="M852">
        <v>9.0500000000000007</v>
      </c>
      <c r="N852">
        <v>10.8</v>
      </c>
      <c r="O852">
        <v>1684</v>
      </c>
      <c r="P852">
        <v>976</v>
      </c>
      <c r="Q852" s="5" t="e">
        <f>IF(AND(#REF!&gt;=table!$C$6,#REF!&lt;= table!$D$6),-1,IF(AND(#REF!&gt;=table!$E$6,#REF!&lt;=table!$F$6),1,0))</f>
        <v>#REF!</v>
      </c>
      <c r="R852" s="5" t="e">
        <f>IF(AND(#REF!&gt;=table!$C$7,#REF!&lt;= table!$D$7),-1,IF(AND(#REF!&gt;=table!$E$7,#REF!&lt;=table!$F$7),1,0))</f>
        <v>#REF!</v>
      </c>
      <c r="S852" s="5" t="e">
        <f>IF(AND(#REF!&gt;=table!$C$8,#REF!&lt;= table!$D$8),-1,IF(AND(#REF!&gt;=table!$E$8,#REF!&lt;=table!$F$8),1,0))</f>
        <v>#REF!</v>
      </c>
      <c r="T852" s="5"/>
      <c r="U852" s="5" t="e">
        <f>IF(AND(#REF!&gt;=table!$C$10,#REF!&lt;= table!$D$10),-1,IF(AND(#REF!&gt;=table!$E$10,#REF!&lt;=table!$F$10),1,0))</f>
        <v>#REF!</v>
      </c>
      <c r="V852" s="5" t="e">
        <f>IF(AND(#REF!&gt;=table!$C$11,#REF!&lt;= table!$D$11),-1,IF(AND(#REF!&gt;=table!$E$11,#REF!&lt;=table!$F$11),1,0))</f>
        <v>#REF!</v>
      </c>
      <c r="W852" s="5" t="e">
        <f>CONCATENATE(dados[[#This Row],[fator1]],dados[[#This Row],[fator5]],dados[[#This Row],[fator6]])</f>
        <v>#REF!</v>
      </c>
    </row>
    <row r="853" spans="1:23">
      <c r="A853" t="s">
        <v>16</v>
      </c>
      <c r="B853">
        <v>483308</v>
      </c>
      <c r="C853">
        <v>16</v>
      </c>
      <c r="D853">
        <v>35</v>
      </c>
      <c r="E853">
        <v>56</v>
      </c>
      <c r="F853">
        <v>10</v>
      </c>
      <c r="G853">
        <v>0</v>
      </c>
      <c r="H853">
        <v>25</v>
      </c>
      <c r="I853">
        <v>1601</v>
      </c>
      <c r="J853">
        <v>0</v>
      </c>
      <c r="K853">
        <v>6.63</v>
      </c>
      <c r="L853">
        <v>13.3</v>
      </c>
      <c r="M853">
        <v>45.550000000000004</v>
      </c>
      <c r="N853">
        <v>14.700000000000001</v>
      </c>
      <c r="O853">
        <v>1658</v>
      </c>
      <c r="P853">
        <v>497</v>
      </c>
      <c r="Q853" s="5" t="e">
        <f>IF(AND(#REF!&gt;=table!$C$6,#REF!&lt;= table!$D$6),-1,IF(AND(#REF!&gt;=table!$E$6,#REF!&lt;=table!$F$6),1,0))</f>
        <v>#REF!</v>
      </c>
      <c r="R853" s="5" t="e">
        <f>IF(AND(#REF!&gt;=table!$C$7,#REF!&lt;= table!$D$7),-1,IF(AND(#REF!&gt;=table!$E$7,#REF!&lt;=table!$F$7),1,0))</f>
        <v>#REF!</v>
      </c>
      <c r="S853" s="5" t="e">
        <f>IF(AND(#REF!&gt;=table!$C$8,#REF!&lt;= table!$D$8),-1,IF(AND(#REF!&gt;=table!$E$8,#REF!&lt;=table!$F$8),1,0))</f>
        <v>#REF!</v>
      </c>
      <c r="T853" s="5"/>
      <c r="U853" s="5" t="e">
        <f>IF(AND(#REF!&gt;=table!$C$10,#REF!&lt;= table!$D$10),-1,IF(AND(#REF!&gt;=table!$E$10,#REF!&lt;=table!$F$10),1,0))</f>
        <v>#REF!</v>
      </c>
      <c r="V853" s="5" t="e">
        <f>IF(AND(#REF!&gt;=table!$C$11,#REF!&lt;= table!$D$11),-1,IF(AND(#REF!&gt;=table!$E$11,#REF!&lt;=table!$F$11),1,0))</f>
        <v>#REF!</v>
      </c>
      <c r="W853" s="5" t="e">
        <f>CONCATENATE(dados[[#This Row],[fator1]],dados[[#This Row],[fator5]],dados[[#This Row],[fator6]])</f>
        <v>#REF!</v>
      </c>
    </row>
    <row r="854" spans="1:23">
      <c r="A854" t="s">
        <v>17</v>
      </c>
      <c r="B854">
        <v>483310</v>
      </c>
      <c r="C854">
        <v>14</v>
      </c>
      <c r="D854">
        <v>30</v>
      </c>
      <c r="E854">
        <v>66</v>
      </c>
      <c r="F854">
        <v>9</v>
      </c>
      <c r="G854">
        <v>20</v>
      </c>
      <c r="H854">
        <v>25</v>
      </c>
      <c r="I854">
        <v>0</v>
      </c>
      <c r="J854">
        <v>0</v>
      </c>
      <c r="K854">
        <v>3.875</v>
      </c>
      <c r="L854">
        <v>14.1</v>
      </c>
      <c r="M854">
        <v>63.65</v>
      </c>
      <c r="N854">
        <v>20.55</v>
      </c>
      <c r="O854">
        <v>1687</v>
      </c>
      <c r="P854">
        <v>1010</v>
      </c>
      <c r="Q854" s="5" t="e">
        <f>IF(AND(#REF!&gt;=table!$C$6,#REF!&lt;= table!$D$6),-1,IF(AND(#REF!&gt;=table!$E$6,#REF!&lt;=table!$F$6),1,0))</f>
        <v>#REF!</v>
      </c>
      <c r="R854" s="5" t="e">
        <f>IF(AND(#REF!&gt;=table!$C$7,#REF!&lt;= table!$D$7),-1,IF(AND(#REF!&gt;=table!$E$7,#REF!&lt;=table!$F$7),1,0))</f>
        <v>#REF!</v>
      </c>
      <c r="S854" s="5" t="e">
        <f>IF(AND(#REF!&gt;=table!$C$8,#REF!&lt;= table!$D$8),-1,IF(AND(#REF!&gt;=table!$E$8,#REF!&lt;=table!$F$8),1,0))</f>
        <v>#REF!</v>
      </c>
      <c r="T854" s="5"/>
      <c r="U854" s="5" t="e">
        <f>IF(AND(#REF!&gt;=table!$C$10,#REF!&lt;= table!$D$10),-1,IF(AND(#REF!&gt;=table!$E$10,#REF!&lt;=table!$F$10),1,0))</f>
        <v>#REF!</v>
      </c>
      <c r="V854" s="5" t="e">
        <f>IF(AND(#REF!&gt;=table!$C$11,#REF!&lt;= table!$D$11),-1,IF(AND(#REF!&gt;=table!$E$11,#REF!&lt;=table!$F$11),1,0))</f>
        <v>#REF!</v>
      </c>
      <c r="W854" s="5" t="e">
        <f>CONCATENATE(dados[[#This Row],[fator1]],dados[[#This Row],[fator5]],dados[[#This Row],[fator6]])</f>
        <v>#REF!</v>
      </c>
    </row>
    <row r="855" spans="1:23">
      <c r="A855" t="s">
        <v>16</v>
      </c>
      <c r="B855">
        <v>483311</v>
      </c>
      <c r="C855">
        <v>16</v>
      </c>
      <c r="D855">
        <v>35</v>
      </c>
      <c r="E855">
        <v>56</v>
      </c>
      <c r="F855">
        <v>10</v>
      </c>
      <c r="G855">
        <v>0</v>
      </c>
      <c r="H855">
        <v>25</v>
      </c>
      <c r="I855">
        <v>1309</v>
      </c>
      <c r="J855">
        <v>0</v>
      </c>
      <c r="K855">
        <v>4.38</v>
      </c>
      <c r="L855">
        <v>7.9550000000000001</v>
      </c>
      <c r="M855">
        <v>36.200000000000003</v>
      </c>
      <c r="N855">
        <v>8.15</v>
      </c>
      <c r="O855">
        <v>1672</v>
      </c>
      <c r="P855">
        <v>978</v>
      </c>
      <c r="Q855" s="5" t="e">
        <f>IF(AND(#REF!&gt;=table!$C$6,#REF!&lt;= table!$D$6),-1,IF(AND(#REF!&gt;=table!$E$6,#REF!&lt;=table!$F$6),1,0))</f>
        <v>#REF!</v>
      </c>
      <c r="R855" s="5" t="e">
        <f>IF(AND(#REF!&gt;=table!$C$7,#REF!&lt;= table!$D$7),-1,IF(AND(#REF!&gt;=table!$E$7,#REF!&lt;=table!$F$7),1,0))</f>
        <v>#REF!</v>
      </c>
      <c r="S855" s="5" t="e">
        <f>IF(AND(#REF!&gt;=table!$C$8,#REF!&lt;= table!$D$8),-1,IF(AND(#REF!&gt;=table!$E$8,#REF!&lt;=table!$F$8),1,0))</f>
        <v>#REF!</v>
      </c>
      <c r="T855" s="5"/>
      <c r="U855" s="5" t="e">
        <f>IF(AND(#REF!&gt;=table!$C$10,#REF!&lt;= table!$D$10),-1,IF(AND(#REF!&gt;=table!$E$10,#REF!&lt;=table!$F$10),1,0))</f>
        <v>#REF!</v>
      </c>
      <c r="V855" s="5" t="e">
        <f>IF(AND(#REF!&gt;=table!$C$11,#REF!&lt;= table!$D$11),-1,IF(AND(#REF!&gt;=table!$E$11,#REF!&lt;=table!$F$11),1,0))</f>
        <v>#REF!</v>
      </c>
      <c r="W855" s="5" t="e">
        <f>CONCATENATE(dados[[#This Row],[fator1]],dados[[#This Row],[fator5]],dados[[#This Row],[fator6]])</f>
        <v>#REF!</v>
      </c>
    </row>
    <row r="856" spans="1:23">
      <c r="A856" t="s">
        <v>16</v>
      </c>
      <c r="B856">
        <v>483316</v>
      </c>
      <c r="C856">
        <v>9</v>
      </c>
      <c r="D856">
        <v>35</v>
      </c>
      <c r="E856">
        <v>50</v>
      </c>
      <c r="F856">
        <v>9</v>
      </c>
      <c r="G856">
        <v>0</v>
      </c>
      <c r="H856">
        <v>25</v>
      </c>
      <c r="I856">
        <v>1113</v>
      </c>
      <c r="J856">
        <v>0</v>
      </c>
      <c r="K856">
        <v>7.585</v>
      </c>
      <c r="L856">
        <v>20.705000000000002</v>
      </c>
      <c r="M856">
        <v>45.965000000000003</v>
      </c>
      <c r="N856">
        <v>20.875</v>
      </c>
      <c r="O856">
        <v>1683</v>
      </c>
      <c r="P856">
        <v>0</v>
      </c>
      <c r="Q856" s="5" t="e">
        <f>IF(AND(#REF!&gt;=table!$C$6,#REF!&lt;= table!$D$6),-1,IF(AND(#REF!&gt;=table!$E$6,#REF!&lt;=table!$F$6),1,0))</f>
        <v>#REF!</v>
      </c>
      <c r="R856" s="5" t="e">
        <f>IF(AND(#REF!&gt;=table!$C$7,#REF!&lt;= table!$D$7),-1,IF(AND(#REF!&gt;=table!$E$7,#REF!&lt;=table!$F$7),1,0))</f>
        <v>#REF!</v>
      </c>
      <c r="S856" s="5" t="e">
        <f>IF(AND(#REF!&gt;=table!$C$8,#REF!&lt;= table!$D$8),-1,IF(AND(#REF!&gt;=table!$E$8,#REF!&lt;=table!$F$8),1,0))</f>
        <v>#REF!</v>
      </c>
      <c r="T856" s="5"/>
      <c r="U856" s="5" t="e">
        <f>IF(AND(#REF!&gt;=table!$C$10,#REF!&lt;= table!$D$10),-1,IF(AND(#REF!&gt;=table!$E$10,#REF!&lt;=table!$F$10),1,0))</f>
        <v>#REF!</v>
      </c>
      <c r="V856" s="5" t="e">
        <f>IF(AND(#REF!&gt;=table!$C$11,#REF!&lt;= table!$D$11),-1,IF(AND(#REF!&gt;=table!$E$11,#REF!&lt;=table!$F$11),1,0))</f>
        <v>#REF!</v>
      </c>
      <c r="W856" s="5" t="e">
        <f>CONCATENATE(dados[[#This Row],[fator1]],dados[[#This Row],[fator5]],dados[[#This Row],[fator6]])</f>
        <v>#REF!</v>
      </c>
    </row>
    <row r="857" spans="1:23">
      <c r="A857" t="s">
        <v>16</v>
      </c>
      <c r="B857">
        <v>483318</v>
      </c>
      <c r="C857">
        <v>9</v>
      </c>
      <c r="D857">
        <v>35</v>
      </c>
      <c r="E857">
        <v>50</v>
      </c>
      <c r="F857">
        <v>9</v>
      </c>
      <c r="G857">
        <v>0</v>
      </c>
      <c r="H857">
        <v>25</v>
      </c>
      <c r="I857">
        <v>0</v>
      </c>
      <c r="J857">
        <v>0</v>
      </c>
      <c r="K857">
        <v>6.7450000000000001</v>
      </c>
      <c r="L857">
        <v>21.605</v>
      </c>
      <c r="M857">
        <v>41.1</v>
      </c>
      <c r="N857">
        <v>21.7</v>
      </c>
      <c r="O857">
        <v>1685</v>
      </c>
      <c r="P857">
        <v>0</v>
      </c>
      <c r="Q857" s="5" t="e">
        <f>IF(AND(#REF!&gt;=table!$C$6,#REF!&lt;= table!$D$6),-1,IF(AND(#REF!&gt;=table!$E$6,#REF!&lt;=table!$F$6),1,0))</f>
        <v>#REF!</v>
      </c>
      <c r="R857" s="5" t="e">
        <f>IF(AND(#REF!&gt;=table!$C$7,#REF!&lt;= table!$D$7),-1,IF(AND(#REF!&gt;=table!$E$7,#REF!&lt;=table!$F$7),1,0))</f>
        <v>#REF!</v>
      </c>
      <c r="S857" s="5" t="e">
        <f>IF(AND(#REF!&gt;=table!$C$8,#REF!&lt;= table!$D$8),-1,IF(AND(#REF!&gt;=table!$E$8,#REF!&lt;=table!$F$8),1,0))</f>
        <v>#REF!</v>
      </c>
      <c r="T857" s="5"/>
      <c r="U857" s="5" t="e">
        <f>IF(AND(#REF!&gt;=table!$C$10,#REF!&lt;= table!$D$10),-1,IF(AND(#REF!&gt;=table!$E$10,#REF!&lt;=table!$F$10),1,0))</f>
        <v>#REF!</v>
      </c>
      <c r="V857" s="5" t="e">
        <f>IF(AND(#REF!&gt;=table!$C$11,#REF!&lt;= table!$D$11),-1,IF(AND(#REF!&gt;=table!$E$11,#REF!&lt;=table!$F$11),1,0))</f>
        <v>#REF!</v>
      </c>
      <c r="W857" s="5" t="e">
        <f>CONCATENATE(dados[[#This Row],[fator1]],dados[[#This Row],[fator5]],dados[[#This Row],[fator6]])</f>
        <v>#REF!</v>
      </c>
    </row>
    <row r="858" spans="1:23">
      <c r="A858" t="s">
        <v>16</v>
      </c>
      <c r="B858">
        <v>483319</v>
      </c>
      <c r="C858">
        <v>6</v>
      </c>
      <c r="D858">
        <v>25</v>
      </c>
      <c r="E858">
        <v>120</v>
      </c>
      <c r="F858">
        <v>4</v>
      </c>
      <c r="G858">
        <v>0</v>
      </c>
      <c r="H858">
        <v>55</v>
      </c>
      <c r="I858">
        <v>96</v>
      </c>
      <c r="J858">
        <v>0</v>
      </c>
      <c r="K858">
        <v>3.96</v>
      </c>
      <c r="L858">
        <v>9.0850000000000009</v>
      </c>
      <c r="M858">
        <v>108.5</v>
      </c>
      <c r="N858">
        <v>40.1</v>
      </c>
      <c r="O858">
        <v>1692</v>
      </c>
      <c r="P858">
        <v>0</v>
      </c>
      <c r="Q858" s="5" t="e">
        <f>IF(AND(#REF!&gt;=table!$C$6,#REF!&lt;= table!$D$6),-1,IF(AND(#REF!&gt;=table!$E$6,#REF!&lt;=table!$F$6),1,0))</f>
        <v>#REF!</v>
      </c>
      <c r="R858" s="5" t="e">
        <f>IF(AND(#REF!&gt;=table!$C$7,#REF!&lt;= table!$D$7),-1,IF(AND(#REF!&gt;=table!$E$7,#REF!&lt;=table!$F$7),1,0))</f>
        <v>#REF!</v>
      </c>
      <c r="S858" s="5" t="e">
        <f>IF(AND(#REF!&gt;=table!$C$8,#REF!&lt;= table!$D$8),-1,IF(AND(#REF!&gt;=table!$E$8,#REF!&lt;=table!$F$8),1,0))</f>
        <v>#REF!</v>
      </c>
      <c r="T858" s="5"/>
      <c r="U858" s="5" t="e">
        <f>IF(AND(#REF!&gt;=table!$C$10,#REF!&lt;= table!$D$10),-1,IF(AND(#REF!&gt;=table!$E$10,#REF!&lt;=table!$F$10),1,0))</f>
        <v>#REF!</v>
      </c>
      <c r="V858" s="5" t="e">
        <f>IF(AND(#REF!&gt;=table!$C$11,#REF!&lt;= table!$D$11),-1,IF(AND(#REF!&gt;=table!$E$11,#REF!&lt;=table!$F$11),1,0))</f>
        <v>#REF!</v>
      </c>
      <c r="W858" s="5" t="e">
        <f>CONCATENATE(dados[[#This Row],[fator1]],dados[[#This Row],[fator5]],dados[[#This Row],[fator6]])</f>
        <v>#REF!</v>
      </c>
    </row>
    <row r="859" spans="1:23">
      <c r="A859" t="s">
        <v>16</v>
      </c>
      <c r="B859">
        <v>483320</v>
      </c>
      <c r="C859">
        <v>9</v>
      </c>
      <c r="D859">
        <v>27</v>
      </c>
      <c r="E859">
        <v>36</v>
      </c>
      <c r="F859">
        <v>8</v>
      </c>
      <c r="G859">
        <v>0</v>
      </c>
      <c r="H859">
        <v>25</v>
      </c>
      <c r="I859">
        <v>1565</v>
      </c>
      <c r="J859">
        <v>0</v>
      </c>
      <c r="K859">
        <v>10.98</v>
      </c>
      <c r="L859">
        <v>15.4</v>
      </c>
      <c r="M859">
        <v>35.5</v>
      </c>
      <c r="N859">
        <v>15</v>
      </c>
      <c r="O859">
        <v>1683</v>
      </c>
      <c r="P859">
        <v>0</v>
      </c>
      <c r="Q859" s="5" t="e">
        <f>IF(AND(#REF!&gt;=table!$C$6,#REF!&lt;= table!$D$6),-1,IF(AND(#REF!&gt;=table!$E$6,#REF!&lt;=table!$F$6),1,0))</f>
        <v>#REF!</v>
      </c>
      <c r="R859" s="5" t="e">
        <f>IF(AND(#REF!&gt;=table!$C$7,#REF!&lt;= table!$D$7),-1,IF(AND(#REF!&gt;=table!$E$7,#REF!&lt;=table!$F$7),1,0))</f>
        <v>#REF!</v>
      </c>
      <c r="S859" s="5" t="e">
        <f>IF(AND(#REF!&gt;=table!$C$8,#REF!&lt;= table!$D$8),-1,IF(AND(#REF!&gt;=table!$E$8,#REF!&lt;=table!$F$8),1,0))</f>
        <v>#REF!</v>
      </c>
      <c r="T859" s="5"/>
      <c r="U859" s="5" t="e">
        <f>IF(AND(#REF!&gt;=table!$C$10,#REF!&lt;= table!$D$10),-1,IF(AND(#REF!&gt;=table!$E$10,#REF!&lt;=table!$F$10),1,0))</f>
        <v>#REF!</v>
      </c>
      <c r="V859" s="5" t="e">
        <f>IF(AND(#REF!&gt;=table!$C$11,#REF!&lt;= table!$D$11),-1,IF(AND(#REF!&gt;=table!$E$11,#REF!&lt;=table!$F$11),1,0))</f>
        <v>#REF!</v>
      </c>
      <c r="W859" s="5" t="e">
        <f>CONCATENATE(dados[[#This Row],[fator1]],dados[[#This Row],[fator5]],dados[[#This Row],[fator6]])</f>
        <v>#REF!</v>
      </c>
    </row>
    <row r="860" spans="1:23">
      <c r="A860" t="s">
        <v>16</v>
      </c>
      <c r="B860">
        <v>483321</v>
      </c>
      <c r="C860">
        <v>6</v>
      </c>
      <c r="D860">
        <v>25</v>
      </c>
      <c r="E860">
        <v>120</v>
      </c>
      <c r="F860">
        <v>4</v>
      </c>
      <c r="G860">
        <v>0</v>
      </c>
      <c r="H860">
        <v>55</v>
      </c>
      <c r="I860">
        <v>733</v>
      </c>
      <c r="J860">
        <v>0</v>
      </c>
      <c r="K860">
        <v>4.1100000000000003</v>
      </c>
      <c r="L860">
        <v>9.8450000000000006</v>
      </c>
      <c r="M860">
        <v>102.67</v>
      </c>
      <c r="N860">
        <v>27.255000000000003</v>
      </c>
      <c r="O860">
        <v>1687</v>
      </c>
      <c r="P860">
        <v>0</v>
      </c>
      <c r="Q860" s="5" t="e">
        <f>IF(AND(#REF!&gt;=table!$C$6,#REF!&lt;= table!$D$6),-1,IF(AND(#REF!&gt;=table!$E$6,#REF!&lt;=table!$F$6),1,0))</f>
        <v>#REF!</v>
      </c>
      <c r="R860" s="5" t="e">
        <f>IF(AND(#REF!&gt;=table!$C$7,#REF!&lt;= table!$D$7),-1,IF(AND(#REF!&gt;=table!$E$7,#REF!&lt;=table!$F$7),1,0))</f>
        <v>#REF!</v>
      </c>
      <c r="S860" s="5" t="e">
        <f>IF(AND(#REF!&gt;=table!$C$8,#REF!&lt;= table!$D$8),-1,IF(AND(#REF!&gt;=table!$E$8,#REF!&lt;=table!$F$8),1,0))</f>
        <v>#REF!</v>
      </c>
      <c r="T860" s="5"/>
      <c r="U860" s="5" t="e">
        <f>IF(AND(#REF!&gt;=table!$C$10,#REF!&lt;= table!$D$10),-1,IF(AND(#REF!&gt;=table!$E$10,#REF!&lt;=table!$F$10),1,0))</f>
        <v>#REF!</v>
      </c>
      <c r="V860" s="5" t="e">
        <f>IF(AND(#REF!&gt;=table!$C$11,#REF!&lt;= table!$D$11),-1,IF(AND(#REF!&gt;=table!$E$11,#REF!&lt;=table!$F$11),1,0))</f>
        <v>#REF!</v>
      </c>
      <c r="W860" s="5" t="e">
        <f>CONCATENATE(dados[[#This Row],[fator1]],dados[[#This Row],[fator5]],dados[[#This Row],[fator6]])</f>
        <v>#REF!</v>
      </c>
    </row>
    <row r="861" spans="1:23">
      <c r="A861" t="s">
        <v>16</v>
      </c>
      <c r="B861">
        <v>483322</v>
      </c>
      <c r="C861">
        <v>6</v>
      </c>
      <c r="D861">
        <v>25</v>
      </c>
      <c r="E861">
        <v>120</v>
      </c>
      <c r="F861">
        <v>4</v>
      </c>
      <c r="G861">
        <v>0</v>
      </c>
      <c r="H861">
        <v>55</v>
      </c>
      <c r="I861">
        <v>1670</v>
      </c>
      <c r="J861">
        <v>510</v>
      </c>
      <c r="K861">
        <v>3.64</v>
      </c>
      <c r="L861">
        <v>8.65</v>
      </c>
      <c r="M861">
        <v>107.97</v>
      </c>
      <c r="N861">
        <v>43.72</v>
      </c>
      <c r="O861">
        <v>1682</v>
      </c>
      <c r="P861">
        <v>1083</v>
      </c>
      <c r="Q861" s="5" t="e">
        <f>IF(AND(#REF!&gt;=table!$C$6,#REF!&lt;= table!$D$6),-1,IF(AND(#REF!&gt;=table!$E$6,#REF!&lt;=table!$F$6),1,0))</f>
        <v>#REF!</v>
      </c>
      <c r="R861" s="5" t="e">
        <f>IF(AND(#REF!&gt;=table!$C$7,#REF!&lt;= table!$D$7),-1,IF(AND(#REF!&gt;=table!$E$7,#REF!&lt;=table!$F$7),1,0))</f>
        <v>#REF!</v>
      </c>
      <c r="S861" s="5" t="e">
        <f>IF(AND(#REF!&gt;=table!$C$8,#REF!&lt;= table!$D$8),-1,IF(AND(#REF!&gt;=table!$E$8,#REF!&lt;=table!$F$8),1,0))</f>
        <v>#REF!</v>
      </c>
      <c r="T861" s="5"/>
      <c r="U861" s="5" t="e">
        <f>IF(AND(#REF!&gt;=table!$C$10,#REF!&lt;= table!$D$10),-1,IF(AND(#REF!&gt;=table!$E$10,#REF!&lt;=table!$F$10),1,0))</f>
        <v>#REF!</v>
      </c>
      <c r="V861" s="5" t="e">
        <f>IF(AND(#REF!&gt;=table!$C$11,#REF!&lt;= table!$D$11),-1,IF(AND(#REF!&gt;=table!$E$11,#REF!&lt;=table!$F$11),1,0))</f>
        <v>#REF!</v>
      </c>
      <c r="W861" s="5" t="e">
        <f>CONCATENATE(dados[[#This Row],[fator1]],dados[[#This Row],[fator5]],dados[[#This Row],[fator6]])</f>
        <v>#REF!</v>
      </c>
    </row>
    <row r="862" spans="1:23">
      <c r="A862" t="s">
        <v>16</v>
      </c>
      <c r="B862">
        <v>483323</v>
      </c>
      <c r="C862">
        <v>6</v>
      </c>
      <c r="D862">
        <v>25</v>
      </c>
      <c r="E862">
        <v>120</v>
      </c>
      <c r="F862">
        <v>4</v>
      </c>
      <c r="G862">
        <v>0</v>
      </c>
      <c r="H862">
        <v>55</v>
      </c>
      <c r="I862">
        <v>640</v>
      </c>
      <c r="J862">
        <v>0</v>
      </c>
      <c r="K862">
        <v>3.31</v>
      </c>
      <c r="L862">
        <v>11.8</v>
      </c>
      <c r="M862">
        <v>106.5</v>
      </c>
      <c r="N862">
        <v>35.15</v>
      </c>
      <c r="O862">
        <v>1687</v>
      </c>
      <c r="P862">
        <v>0</v>
      </c>
      <c r="Q862" s="5" t="e">
        <f>IF(AND(#REF!&gt;=table!$C$6,#REF!&lt;= table!$D$6),-1,IF(AND(#REF!&gt;=table!$E$6,#REF!&lt;=table!$F$6),1,0))</f>
        <v>#REF!</v>
      </c>
      <c r="R862" s="5" t="e">
        <f>IF(AND(#REF!&gt;=table!$C$7,#REF!&lt;= table!$D$7),-1,IF(AND(#REF!&gt;=table!$E$7,#REF!&lt;=table!$F$7),1,0))</f>
        <v>#REF!</v>
      </c>
      <c r="S862" s="5" t="e">
        <f>IF(AND(#REF!&gt;=table!$C$8,#REF!&lt;= table!$D$8),-1,IF(AND(#REF!&gt;=table!$E$8,#REF!&lt;=table!$F$8),1,0))</f>
        <v>#REF!</v>
      </c>
      <c r="T862" s="5"/>
      <c r="U862" s="5" t="e">
        <f>IF(AND(#REF!&gt;=table!$C$10,#REF!&lt;= table!$D$10),-1,IF(AND(#REF!&gt;=table!$E$10,#REF!&lt;=table!$F$10),1,0))</f>
        <v>#REF!</v>
      </c>
      <c r="V862" s="5" t="e">
        <f>IF(AND(#REF!&gt;=table!$C$11,#REF!&lt;= table!$D$11),-1,IF(AND(#REF!&gt;=table!$E$11,#REF!&lt;=table!$F$11),1,0))</f>
        <v>#REF!</v>
      </c>
      <c r="W862" s="5" t="e">
        <f>CONCATENATE(dados[[#This Row],[fator1]],dados[[#This Row],[fator5]],dados[[#This Row],[fator6]])</f>
        <v>#REF!</v>
      </c>
    </row>
    <row r="863" spans="1:23">
      <c r="A863" t="s">
        <v>17</v>
      </c>
      <c r="B863">
        <v>483325</v>
      </c>
      <c r="C863">
        <v>16</v>
      </c>
      <c r="D863">
        <v>33</v>
      </c>
      <c r="E863">
        <v>150</v>
      </c>
      <c r="F863">
        <v>10</v>
      </c>
      <c r="G863">
        <v>15</v>
      </c>
      <c r="H863">
        <v>25</v>
      </c>
      <c r="I863">
        <v>1148</v>
      </c>
      <c r="J863">
        <v>1930</v>
      </c>
      <c r="K863">
        <v>3.1350000000000002</v>
      </c>
      <c r="L863">
        <v>14.25</v>
      </c>
      <c r="M863">
        <v>134.94999999999999</v>
      </c>
      <c r="N863">
        <v>22.85</v>
      </c>
      <c r="O863">
        <v>1697</v>
      </c>
      <c r="P863">
        <v>1221</v>
      </c>
      <c r="Q863" s="5" t="e">
        <f>IF(AND(#REF!&gt;=table!$C$6,#REF!&lt;= table!$D$6),-1,IF(AND(#REF!&gt;=table!$E$6,#REF!&lt;=table!$F$6),1,0))</f>
        <v>#REF!</v>
      </c>
      <c r="R863" s="5" t="e">
        <f>IF(AND(#REF!&gt;=table!$C$7,#REF!&lt;= table!$D$7),-1,IF(AND(#REF!&gt;=table!$E$7,#REF!&lt;=table!$F$7),1,0))</f>
        <v>#REF!</v>
      </c>
      <c r="S863" s="5" t="e">
        <f>IF(AND(#REF!&gt;=table!$C$8,#REF!&lt;= table!$D$8),-1,IF(AND(#REF!&gt;=table!$E$8,#REF!&lt;=table!$F$8),1,0))</f>
        <v>#REF!</v>
      </c>
      <c r="T863" s="5"/>
      <c r="U863" s="5" t="e">
        <f>IF(AND(#REF!&gt;=table!$C$10,#REF!&lt;= table!$D$10),-1,IF(AND(#REF!&gt;=table!$E$10,#REF!&lt;=table!$F$10),1,0))</f>
        <v>#REF!</v>
      </c>
      <c r="V863" s="5" t="e">
        <f>IF(AND(#REF!&gt;=table!$C$11,#REF!&lt;= table!$D$11),-1,IF(AND(#REF!&gt;=table!$E$11,#REF!&lt;=table!$F$11),1,0))</f>
        <v>#REF!</v>
      </c>
      <c r="W863" s="5" t="e">
        <f>CONCATENATE(dados[[#This Row],[fator1]],dados[[#This Row],[fator5]],dados[[#This Row],[fator6]])</f>
        <v>#REF!</v>
      </c>
    </row>
    <row r="864" spans="1:23">
      <c r="A864" t="s">
        <v>17</v>
      </c>
      <c r="B864">
        <v>483326</v>
      </c>
      <c r="C864">
        <v>12</v>
      </c>
      <c r="D864">
        <v>25</v>
      </c>
      <c r="E864">
        <v>120</v>
      </c>
      <c r="F864">
        <v>9</v>
      </c>
      <c r="G864">
        <v>110</v>
      </c>
      <c r="H864">
        <v>50</v>
      </c>
      <c r="I864">
        <v>1277</v>
      </c>
      <c r="J864">
        <v>1130</v>
      </c>
      <c r="K864">
        <v>3.0250000000000004</v>
      </c>
      <c r="L864">
        <v>6.7</v>
      </c>
      <c r="M864">
        <v>122.7</v>
      </c>
      <c r="N864">
        <v>38.9</v>
      </c>
      <c r="O864">
        <v>1669</v>
      </c>
      <c r="P864">
        <v>1012</v>
      </c>
      <c r="Q864" s="5" t="e">
        <f>IF(AND(#REF!&gt;=table!$C$6,#REF!&lt;= table!$D$6),-1,IF(AND(#REF!&gt;=table!$E$6,#REF!&lt;=table!$F$6),1,0))</f>
        <v>#REF!</v>
      </c>
      <c r="R864" s="5" t="e">
        <f>IF(AND(#REF!&gt;=table!$C$7,#REF!&lt;= table!$D$7),-1,IF(AND(#REF!&gt;=table!$E$7,#REF!&lt;=table!$F$7),1,0))</f>
        <v>#REF!</v>
      </c>
      <c r="S864" s="5" t="e">
        <f>IF(AND(#REF!&gt;=table!$C$8,#REF!&lt;= table!$D$8),-1,IF(AND(#REF!&gt;=table!$E$8,#REF!&lt;=table!$F$8),1,0))</f>
        <v>#REF!</v>
      </c>
      <c r="T864" s="5"/>
      <c r="U864" s="5" t="e">
        <f>IF(AND(#REF!&gt;=table!$C$10,#REF!&lt;= table!$D$10),-1,IF(AND(#REF!&gt;=table!$E$10,#REF!&lt;=table!$F$10),1,0))</f>
        <v>#REF!</v>
      </c>
      <c r="V864" s="5" t="e">
        <f>IF(AND(#REF!&gt;=table!$C$11,#REF!&lt;= table!$D$11),-1,IF(AND(#REF!&gt;=table!$E$11,#REF!&lt;=table!$F$11),1,0))</f>
        <v>#REF!</v>
      </c>
      <c r="W864" s="5" t="e">
        <f>CONCATENATE(dados[[#This Row],[fator1]],dados[[#This Row],[fator5]],dados[[#This Row],[fator6]])</f>
        <v>#REF!</v>
      </c>
    </row>
    <row r="865" spans="1:23">
      <c r="A865" t="s">
        <v>16</v>
      </c>
      <c r="B865">
        <v>483330</v>
      </c>
      <c r="C865">
        <v>6</v>
      </c>
      <c r="D865">
        <v>25</v>
      </c>
      <c r="E865">
        <v>120</v>
      </c>
      <c r="F865">
        <v>4</v>
      </c>
      <c r="G865">
        <v>0</v>
      </c>
      <c r="H865">
        <v>55</v>
      </c>
      <c r="I865">
        <v>687</v>
      </c>
      <c r="J865">
        <v>0</v>
      </c>
      <c r="K865">
        <v>2.2810000000000001</v>
      </c>
      <c r="L865">
        <v>7.3</v>
      </c>
      <c r="M865">
        <v>86.45</v>
      </c>
      <c r="N865">
        <v>26.95</v>
      </c>
      <c r="O865">
        <v>1691</v>
      </c>
      <c r="P865">
        <v>0</v>
      </c>
      <c r="Q865" s="5" t="e">
        <f>IF(AND(#REF!&gt;=table!$C$6,#REF!&lt;= table!$D$6),-1,IF(AND(#REF!&gt;=table!$E$6,#REF!&lt;=table!$F$6),1,0))</f>
        <v>#REF!</v>
      </c>
      <c r="R865" s="5" t="e">
        <f>IF(AND(#REF!&gt;=table!$C$7,#REF!&lt;= table!$D$7),-1,IF(AND(#REF!&gt;=table!$E$7,#REF!&lt;=table!$F$7),1,0))</f>
        <v>#REF!</v>
      </c>
      <c r="S865" s="5" t="e">
        <f>IF(AND(#REF!&gt;=table!$C$8,#REF!&lt;= table!$D$8),-1,IF(AND(#REF!&gt;=table!$E$8,#REF!&lt;=table!$F$8),1,0))</f>
        <v>#REF!</v>
      </c>
      <c r="T865" s="5"/>
      <c r="U865" s="5" t="e">
        <f>IF(AND(#REF!&gt;=table!$C$10,#REF!&lt;= table!$D$10),-1,IF(AND(#REF!&gt;=table!$E$10,#REF!&lt;=table!$F$10),1,0))</f>
        <v>#REF!</v>
      </c>
      <c r="V865" s="5" t="e">
        <f>IF(AND(#REF!&gt;=table!$C$11,#REF!&lt;= table!$D$11),-1,IF(AND(#REF!&gt;=table!$E$11,#REF!&lt;=table!$F$11),1,0))</f>
        <v>#REF!</v>
      </c>
      <c r="W865" s="5" t="e">
        <f>CONCATENATE(dados[[#This Row],[fator1]],dados[[#This Row],[fator5]],dados[[#This Row],[fator6]])</f>
        <v>#REF!</v>
      </c>
    </row>
    <row r="866" spans="1:23">
      <c r="A866" t="s">
        <v>17</v>
      </c>
      <c r="B866">
        <v>483331</v>
      </c>
      <c r="C866">
        <v>14</v>
      </c>
      <c r="D866">
        <v>30</v>
      </c>
      <c r="E866">
        <v>86</v>
      </c>
      <c r="F866">
        <v>9</v>
      </c>
      <c r="G866">
        <v>20</v>
      </c>
      <c r="H866">
        <v>25</v>
      </c>
      <c r="I866">
        <v>1194</v>
      </c>
      <c r="J866">
        <v>0</v>
      </c>
      <c r="K866">
        <v>3.06</v>
      </c>
      <c r="L866">
        <v>6.4</v>
      </c>
      <c r="M866">
        <v>73.350000000000009</v>
      </c>
      <c r="N866">
        <v>12.65</v>
      </c>
      <c r="O866">
        <v>1673</v>
      </c>
      <c r="P866">
        <v>0</v>
      </c>
      <c r="Q866" s="5" t="e">
        <f>IF(AND(#REF!&gt;=table!$C$6,#REF!&lt;= table!$D$6),-1,IF(AND(#REF!&gt;=table!$E$6,#REF!&lt;=table!$F$6),1,0))</f>
        <v>#REF!</v>
      </c>
      <c r="R866" s="5" t="e">
        <f>IF(AND(#REF!&gt;=table!$C$7,#REF!&lt;= table!$D$7),-1,IF(AND(#REF!&gt;=table!$E$7,#REF!&lt;=table!$F$7),1,0))</f>
        <v>#REF!</v>
      </c>
      <c r="S866" s="5" t="e">
        <f>IF(AND(#REF!&gt;=table!$C$8,#REF!&lt;= table!$D$8),-1,IF(AND(#REF!&gt;=table!$E$8,#REF!&lt;=table!$F$8),1,0))</f>
        <v>#REF!</v>
      </c>
      <c r="T866" s="5"/>
      <c r="U866" s="5" t="e">
        <f>IF(AND(#REF!&gt;=table!$C$10,#REF!&lt;= table!$D$10),-1,IF(AND(#REF!&gt;=table!$E$10,#REF!&lt;=table!$F$10),1,0))</f>
        <v>#REF!</v>
      </c>
      <c r="V866" s="5" t="e">
        <f>IF(AND(#REF!&gt;=table!$C$11,#REF!&lt;= table!$D$11),-1,IF(AND(#REF!&gt;=table!$E$11,#REF!&lt;=table!$F$11),1,0))</f>
        <v>#REF!</v>
      </c>
      <c r="W866" s="5" t="e">
        <f>CONCATENATE(dados[[#This Row],[fator1]],dados[[#This Row],[fator5]],dados[[#This Row],[fator6]])</f>
        <v>#REF!</v>
      </c>
    </row>
    <row r="867" spans="1:23">
      <c r="A867" t="s">
        <v>17</v>
      </c>
      <c r="B867">
        <v>483332</v>
      </c>
      <c r="C867">
        <v>14</v>
      </c>
      <c r="D867">
        <v>30</v>
      </c>
      <c r="E867">
        <v>126</v>
      </c>
      <c r="F867">
        <v>9</v>
      </c>
      <c r="G867">
        <v>20</v>
      </c>
      <c r="H867">
        <v>25</v>
      </c>
      <c r="I867">
        <v>1425</v>
      </c>
      <c r="J867">
        <v>0</v>
      </c>
      <c r="K867">
        <v>4.6349999999999998</v>
      </c>
      <c r="L867">
        <v>6.95</v>
      </c>
      <c r="M867">
        <v>54.9</v>
      </c>
      <c r="N867">
        <v>12.35</v>
      </c>
      <c r="O867">
        <v>1685</v>
      </c>
      <c r="P867">
        <v>0</v>
      </c>
      <c r="Q867" s="5" t="e">
        <f>IF(AND(#REF!&gt;=table!$C$6,#REF!&lt;= table!$D$6),-1,IF(AND(#REF!&gt;=table!$E$6,#REF!&lt;=table!$F$6),1,0))</f>
        <v>#REF!</v>
      </c>
      <c r="R867" s="5" t="e">
        <f>IF(AND(#REF!&gt;=table!$C$7,#REF!&lt;= table!$D$7),-1,IF(AND(#REF!&gt;=table!$E$7,#REF!&lt;=table!$F$7),1,0))</f>
        <v>#REF!</v>
      </c>
      <c r="S867" s="5" t="e">
        <f>IF(AND(#REF!&gt;=table!$C$8,#REF!&lt;= table!$D$8),-1,IF(AND(#REF!&gt;=table!$E$8,#REF!&lt;=table!$F$8),1,0))</f>
        <v>#REF!</v>
      </c>
      <c r="T867" s="5"/>
      <c r="U867" s="5" t="e">
        <f>IF(AND(#REF!&gt;=table!$C$10,#REF!&lt;= table!$D$10),-1,IF(AND(#REF!&gt;=table!$E$10,#REF!&lt;=table!$F$10),1,0))</f>
        <v>#REF!</v>
      </c>
      <c r="V867" s="5" t="e">
        <f>IF(AND(#REF!&gt;=table!$C$11,#REF!&lt;= table!$D$11),-1,IF(AND(#REF!&gt;=table!$E$11,#REF!&lt;=table!$F$11),1,0))</f>
        <v>#REF!</v>
      </c>
      <c r="W867" s="5" t="e">
        <f>CONCATENATE(dados[[#This Row],[fator1]],dados[[#This Row],[fator5]],dados[[#This Row],[fator6]])</f>
        <v>#REF!</v>
      </c>
    </row>
    <row r="868" spans="1:23">
      <c r="A868" t="s">
        <v>17</v>
      </c>
      <c r="B868">
        <v>483333</v>
      </c>
      <c r="C868">
        <v>12</v>
      </c>
      <c r="D868">
        <v>30</v>
      </c>
      <c r="E868">
        <v>130</v>
      </c>
      <c r="F868">
        <v>9</v>
      </c>
      <c r="G868">
        <v>20</v>
      </c>
      <c r="H868">
        <v>25</v>
      </c>
      <c r="I868">
        <v>1024</v>
      </c>
      <c r="J868">
        <v>0</v>
      </c>
      <c r="K868">
        <v>2.2650000000000001</v>
      </c>
      <c r="L868">
        <v>4.2</v>
      </c>
      <c r="M868">
        <v>94.15</v>
      </c>
      <c r="N868">
        <v>13.35</v>
      </c>
      <c r="O868">
        <v>1664</v>
      </c>
      <c r="P868">
        <v>1348</v>
      </c>
      <c r="Q868" s="5" t="e">
        <f>IF(AND(#REF!&gt;=table!$C$6,#REF!&lt;= table!$D$6),-1,IF(AND(#REF!&gt;=table!$E$6,#REF!&lt;=table!$F$6),1,0))</f>
        <v>#REF!</v>
      </c>
      <c r="R868" s="5" t="e">
        <f>IF(AND(#REF!&gt;=table!$C$7,#REF!&lt;= table!$D$7),-1,IF(AND(#REF!&gt;=table!$E$7,#REF!&lt;=table!$F$7),1,0))</f>
        <v>#REF!</v>
      </c>
      <c r="S868" s="5" t="e">
        <f>IF(AND(#REF!&gt;=table!$C$8,#REF!&lt;= table!$D$8),-1,IF(AND(#REF!&gt;=table!$E$8,#REF!&lt;=table!$F$8),1,0))</f>
        <v>#REF!</v>
      </c>
      <c r="T868" s="5"/>
      <c r="U868" s="5" t="e">
        <f>IF(AND(#REF!&gt;=table!$C$10,#REF!&lt;= table!$D$10),-1,IF(AND(#REF!&gt;=table!$E$10,#REF!&lt;=table!$F$10),1,0))</f>
        <v>#REF!</v>
      </c>
      <c r="V868" s="5" t="e">
        <f>IF(AND(#REF!&gt;=table!$C$11,#REF!&lt;= table!$D$11),-1,IF(AND(#REF!&gt;=table!$E$11,#REF!&lt;=table!$F$11),1,0))</f>
        <v>#REF!</v>
      </c>
      <c r="W868" s="5" t="e">
        <f>CONCATENATE(dados[[#This Row],[fator1]],dados[[#This Row],[fator5]],dados[[#This Row],[fator6]])</f>
        <v>#REF!</v>
      </c>
    </row>
    <row r="869" spans="1:23">
      <c r="A869" t="s">
        <v>17</v>
      </c>
      <c r="B869">
        <v>483336</v>
      </c>
      <c r="C869">
        <v>12</v>
      </c>
      <c r="D869">
        <v>30</v>
      </c>
      <c r="E869">
        <v>130</v>
      </c>
      <c r="F869">
        <v>9</v>
      </c>
      <c r="G869">
        <v>20</v>
      </c>
      <c r="H869">
        <v>25</v>
      </c>
      <c r="I869">
        <v>18</v>
      </c>
      <c r="J869">
        <v>0</v>
      </c>
      <c r="K869">
        <v>4.165</v>
      </c>
      <c r="L869">
        <v>11.450000000000001</v>
      </c>
      <c r="M869">
        <v>125.75</v>
      </c>
      <c r="N869">
        <v>17</v>
      </c>
      <c r="O869">
        <v>1645</v>
      </c>
      <c r="P869">
        <v>0</v>
      </c>
      <c r="Q869" s="5" t="e">
        <f>IF(AND(#REF!&gt;=table!$C$6,#REF!&lt;= table!$D$6),-1,IF(AND(#REF!&gt;=table!$E$6,#REF!&lt;=table!$F$6),1,0))</f>
        <v>#REF!</v>
      </c>
      <c r="R869" s="5" t="e">
        <f>IF(AND(#REF!&gt;=table!$C$7,#REF!&lt;= table!$D$7),-1,IF(AND(#REF!&gt;=table!$E$7,#REF!&lt;=table!$F$7),1,0))</f>
        <v>#REF!</v>
      </c>
      <c r="S869" s="5" t="e">
        <f>IF(AND(#REF!&gt;=table!$C$8,#REF!&lt;= table!$D$8),-1,IF(AND(#REF!&gt;=table!$E$8,#REF!&lt;=table!$F$8),1,0))</f>
        <v>#REF!</v>
      </c>
      <c r="T869" s="5"/>
      <c r="U869" s="5" t="e">
        <f>IF(AND(#REF!&gt;=table!$C$10,#REF!&lt;= table!$D$10),-1,IF(AND(#REF!&gt;=table!$E$10,#REF!&lt;=table!$F$10),1,0))</f>
        <v>#REF!</v>
      </c>
      <c r="V869" s="5" t="e">
        <f>IF(AND(#REF!&gt;=table!$C$11,#REF!&lt;= table!$D$11),-1,IF(AND(#REF!&gt;=table!$E$11,#REF!&lt;=table!$F$11),1,0))</f>
        <v>#REF!</v>
      </c>
      <c r="W869" s="5" t="e">
        <f>CONCATENATE(dados[[#This Row],[fator1]],dados[[#This Row],[fator5]],dados[[#This Row],[fator6]])</f>
        <v>#REF!</v>
      </c>
    </row>
    <row r="870" spans="1:23">
      <c r="A870" t="s">
        <v>16</v>
      </c>
      <c r="B870">
        <v>483346</v>
      </c>
      <c r="C870">
        <v>0.18</v>
      </c>
      <c r="D870">
        <v>40</v>
      </c>
      <c r="E870">
        <v>70</v>
      </c>
      <c r="F870">
        <v>15</v>
      </c>
      <c r="G870">
        <v>0</v>
      </c>
      <c r="H870">
        <v>80</v>
      </c>
      <c r="I870">
        <v>1149</v>
      </c>
      <c r="J870">
        <v>650</v>
      </c>
      <c r="K870">
        <v>4.875</v>
      </c>
      <c r="L870">
        <v>12.85</v>
      </c>
      <c r="M870">
        <v>3.9</v>
      </c>
      <c r="N870">
        <v>12.950000000000001</v>
      </c>
      <c r="O870">
        <v>1666</v>
      </c>
      <c r="P870">
        <v>1404</v>
      </c>
      <c r="Q870" s="5" t="e">
        <f>IF(AND(#REF!&gt;=table!$C$6,#REF!&lt;= table!$D$6),-1,IF(AND(#REF!&gt;=table!$E$6,#REF!&lt;=table!$F$6),1,0))</f>
        <v>#REF!</v>
      </c>
      <c r="R870" s="5" t="e">
        <f>IF(AND(#REF!&gt;=table!$C$7,#REF!&lt;= table!$D$7),-1,IF(AND(#REF!&gt;=table!$E$7,#REF!&lt;=table!$F$7),1,0))</f>
        <v>#REF!</v>
      </c>
      <c r="S870" s="5" t="e">
        <f>IF(AND(#REF!&gt;=table!$C$8,#REF!&lt;= table!$D$8),-1,IF(AND(#REF!&gt;=table!$E$8,#REF!&lt;=table!$F$8),1,0))</f>
        <v>#REF!</v>
      </c>
      <c r="T870" s="5"/>
      <c r="U870" s="5" t="e">
        <f>IF(AND(#REF!&gt;=table!$C$10,#REF!&lt;= table!$D$10),-1,IF(AND(#REF!&gt;=table!$E$10,#REF!&lt;=table!$F$10),1,0))</f>
        <v>#REF!</v>
      </c>
      <c r="V870" s="5" t="e">
        <f>IF(AND(#REF!&gt;=table!$C$11,#REF!&lt;= table!$D$11),-1,IF(AND(#REF!&gt;=table!$E$11,#REF!&lt;=table!$F$11),1,0))</f>
        <v>#REF!</v>
      </c>
      <c r="W870" s="5" t="e">
        <f>CONCATENATE(dados[[#This Row],[fator1]],dados[[#This Row],[fator5]],dados[[#This Row],[fator6]])</f>
        <v>#REF!</v>
      </c>
    </row>
    <row r="871" spans="1:23">
      <c r="A871" t="s">
        <v>16</v>
      </c>
      <c r="B871">
        <v>483348</v>
      </c>
      <c r="C871">
        <v>0.18</v>
      </c>
      <c r="D871">
        <v>50</v>
      </c>
      <c r="E871">
        <v>56</v>
      </c>
      <c r="F871">
        <v>15</v>
      </c>
      <c r="G871">
        <v>0</v>
      </c>
      <c r="H871">
        <v>50</v>
      </c>
      <c r="I871">
        <v>198</v>
      </c>
      <c r="J871">
        <v>640</v>
      </c>
      <c r="K871">
        <v>3.3450000000000002</v>
      </c>
      <c r="L871">
        <v>5.05</v>
      </c>
      <c r="M871">
        <v>4.4000000000000004</v>
      </c>
      <c r="N871">
        <v>13.1</v>
      </c>
      <c r="O871">
        <v>1620</v>
      </c>
      <c r="P871">
        <v>1086</v>
      </c>
      <c r="Q871" s="5" t="e">
        <f>IF(AND(#REF!&gt;=table!$C$6,#REF!&lt;= table!$D$6),-1,IF(AND(#REF!&gt;=table!$E$6,#REF!&lt;=table!$F$6),1,0))</f>
        <v>#REF!</v>
      </c>
      <c r="R871" s="5" t="e">
        <f>IF(AND(#REF!&gt;=table!$C$7,#REF!&lt;= table!$D$7),-1,IF(AND(#REF!&gt;=table!$E$7,#REF!&lt;=table!$F$7),1,0))</f>
        <v>#REF!</v>
      </c>
      <c r="S871" s="5" t="e">
        <f>IF(AND(#REF!&gt;=table!$C$8,#REF!&lt;= table!$D$8),-1,IF(AND(#REF!&gt;=table!$E$8,#REF!&lt;=table!$F$8),1,0))</f>
        <v>#REF!</v>
      </c>
      <c r="T871" s="5"/>
      <c r="U871" s="5" t="e">
        <f>IF(AND(#REF!&gt;=table!$C$10,#REF!&lt;= table!$D$10),-1,IF(AND(#REF!&gt;=table!$E$10,#REF!&lt;=table!$F$10),1,0))</f>
        <v>#REF!</v>
      </c>
      <c r="V871" s="5" t="e">
        <f>IF(AND(#REF!&gt;=table!$C$11,#REF!&lt;= table!$D$11),-1,IF(AND(#REF!&gt;=table!$E$11,#REF!&lt;=table!$F$11),1,0))</f>
        <v>#REF!</v>
      </c>
      <c r="W871" s="5" t="e">
        <f>CONCATENATE(dados[[#This Row],[fator1]],dados[[#This Row],[fator5]],dados[[#This Row],[fator6]])</f>
        <v>#REF!</v>
      </c>
    </row>
    <row r="872" spans="1:23">
      <c r="A872" t="s">
        <v>17</v>
      </c>
      <c r="B872">
        <v>483351</v>
      </c>
      <c r="C872">
        <v>14</v>
      </c>
      <c r="D872">
        <v>30</v>
      </c>
      <c r="E872">
        <v>66</v>
      </c>
      <c r="F872">
        <v>9</v>
      </c>
      <c r="G872">
        <v>20</v>
      </c>
      <c r="H872">
        <v>25</v>
      </c>
      <c r="I872">
        <v>425</v>
      </c>
      <c r="J872">
        <v>460</v>
      </c>
      <c r="K872">
        <v>4.4400000000000004</v>
      </c>
      <c r="L872">
        <v>8.9</v>
      </c>
      <c r="M872">
        <v>55.065000000000005</v>
      </c>
      <c r="N872">
        <v>9.7350000000000012</v>
      </c>
      <c r="O872">
        <v>1610</v>
      </c>
      <c r="P872">
        <v>592</v>
      </c>
      <c r="Q872" s="5" t="e">
        <f>IF(AND(#REF!&gt;=table!$C$6,#REF!&lt;= table!$D$6),-1,IF(AND(#REF!&gt;=table!$E$6,#REF!&lt;=table!$F$6),1,0))</f>
        <v>#REF!</v>
      </c>
      <c r="R872" s="5" t="e">
        <f>IF(AND(#REF!&gt;=table!$C$7,#REF!&lt;= table!$D$7),-1,IF(AND(#REF!&gt;=table!$E$7,#REF!&lt;=table!$F$7),1,0))</f>
        <v>#REF!</v>
      </c>
      <c r="S872" s="5" t="e">
        <f>IF(AND(#REF!&gt;=table!$C$8,#REF!&lt;= table!$D$8),-1,IF(AND(#REF!&gt;=table!$E$8,#REF!&lt;=table!$F$8),1,0))</f>
        <v>#REF!</v>
      </c>
      <c r="T872" s="5"/>
      <c r="U872" s="5" t="e">
        <f>IF(AND(#REF!&gt;=table!$C$10,#REF!&lt;= table!$D$10),-1,IF(AND(#REF!&gt;=table!$E$10,#REF!&lt;=table!$F$10),1,0))</f>
        <v>#REF!</v>
      </c>
      <c r="V872" s="5" t="e">
        <f>IF(AND(#REF!&gt;=table!$C$11,#REF!&lt;= table!$D$11),-1,IF(AND(#REF!&gt;=table!$E$11,#REF!&lt;=table!$F$11),1,0))</f>
        <v>#REF!</v>
      </c>
      <c r="W872" s="5" t="e">
        <f>CONCATENATE(dados[[#This Row],[fator1]],dados[[#This Row],[fator5]],dados[[#This Row],[fator6]])</f>
        <v>#REF!</v>
      </c>
    </row>
    <row r="873" spans="1:23">
      <c r="A873" t="s">
        <v>16</v>
      </c>
      <c r="B873">
        <v>483352</v>
      </c>
      <c r="C873">
        <v>16</v>
      </c>
      <c r="D873">
        <v>35</v>
      </c>
      <c r="E873">
        <v>56</v>
      </c>
      <c r="F873">
        <v>10</v>
      </c>
      <c r="G873">
        <v>0</v>
      </c>
      <c r="H873">
        <v>25</v>
      </c>
      <c r="I873">
        <v>587</v>
      </c>
      <c r="J873">
        <v>0</v>
      </c>
      <c r="K873">
        <v>4.6100000000000003</v>
      </c>
      <c r="L873">
        <v>6.04</v>
      </c>
      <c r="M873">
        <v>47.65</v>
      </c>
      <c r="N873">
        <v>12.15</v>
      </c>
      <c r="O873">
        <v>1666</v>
      </c>
      <c r="P873">
        <v>0</v>
      </c>
      <c r="Q873" s="5" t="e">
        <f>IF(AND(#REF!&gt;=table!$C$6,#REF!&lt;= table!$D$6),-1,IF(AND(#REF!&gt;=table!$E$6,#REF!&lt;=table!$F$6),1,0))</f>
        <v>#REF!</v>
      </c>
      <c r="R873" s="5" t="e">
        <f>IF(AND(#REF!&gt;=table!$C$7,#REF!&lt;= table!$D$7),-1,IF(AND(#REF!&gt;=table!$E$7,#REF!&lt;=table!$F$7),1,0))</f>
        <v>#REF!</v>
      </c>
      <c r="S873" s="5" t="e">
        <f>IF(AND(#REF!&gt;=table!$C$8,#REF!&lt;= table!$D$8),-1,IF(AND(#REF!&gt;=table!$E$8,#REF!&lt;=table!$F$8),1,0))</f>
        <v>#REF!</v>
      </c>
      <c r="T873" s="5"/>
      <c r="U873" s="5" t="e">
        <f>IF(AND(#REF!&gt;=table!$C$10,#REF!&lt;= table!$D$10),-1,IF(AND(#REF!&gt;=table!$E$10,#REF!&lt;=table!$F$10),1,0))</f>
        <v>#REF!</v>
      </c>
      <c r="V873" s="5" t="e">
        <f>IF(AND(#REF!&gt;=table!$C$11,#REF!&lt;= table!$D$11),-1,IF(AND(#REF!&gt;=table!$E$11,#REF!&lt;=table!$F$11),1,0))</f>
        <v>#REF!</v>
      </c>
      <c r="W873" s="5" t="e">
        <f>CONCATENATE(dados[[#This Row],[fator1]],dados[[#This Row],[fator5]],dados[[#This Row],[fator6]])</f>
        <v>#REF!</v>
      </c>
    </row>
    <row r="874" spans="1:23">
      <c r="A874" t="s">
        <v>16</v>
      </c>
      <c r="B874">
        <v>483354</v>
      </c>
      <c r="C874">
        <v>16</v>
      </c>
      <c r="D874">
        <v>35</v>
      </c>
      <c r="E874">
        <v>56</v>
      </c>
      <c r="F874">
        <v>10</v>
      </c>
      <c r="G874">
        <v>0</v>
      </c>
      <c r="H874">
        <v>25</v>
      </c>
      <c r="I874">
        <v>0</v>
      </c>
      <c r="J874">
        <v>0</v>
      </c>
      <c r="K874">
        <v>2.5300000000000002</v>
      </c>
      <c r="L874">
        <v>7.95</v>
      </c>
      <c r="M874">
        <v>43.6</v>
      </c>
      <c r="N874">
        <v>10.5</v>
      </c>
      <c r="O874">
        <v>1679</v>
      </c>
      <c r="P874">
        <v>0</v>
      </c>
      <c r="Q874" s="5" t="e">
        <f>IF(AND(#REF!&gt;=table!$C$6,#REF!&lt;= table!$D$6),-1,IF(AND(#REF!&gt;=table!$E$6,#REF!&lt;=table!$F$6),1,0))</f>
        <v>#REF!</v>
      </c>
      <c r="R874" s="5" t="e">
        <f>IF(AND(#REF!&gt;=table!$C$7,#REF!&lt;= table!$D$7),-1,IF(AND(#REF!&gt;=table!$E$7,#REF!&lt;=table!$F$7),1,0))</f>
        <v>#REF!</v>
      </c>
      <c r="S874" s="5" t="e">
        <f>IF(AND(#REF!&gt;=table!$C$8,#REF!&lt;= table!$D$8),-1,IF(AND(#REF!&gt;=table!$E$8,#REF!&lt;=table!$F$8),1,0))</f>
        <v>#REF!</v>
      </c>
      <c r="T874" s="5"/>
      <c r="U874" s="5" t="e">
        <f>IF(AND(#REF!&gt;=table!$C$10,#REF!&lt;= table!$D$10),-1,IF(AND(#REF!&gt;=table!$E$10,#REF!&lt;=table!$F$10),1,0))</f>
        <v>#REF!</v>
      </c>
      <c r="V874" s="5" t="e">
        <f>IF(AND(#REF!&gt;=table!$C$11,#REF!&lt;= table!$D$11),-1,IF(AND(#REF!&gt;=table!$E$11,#REF!&lt;=table!$F$11),1,0))</f>
        <v>#REF!</v>
      </c>
      <c r="W874" s="5" t="e">
        <f>CONCATENATE(dados[[#This Row],[fator1]],dados[[#This Row],[fator5]],dados[[#This Row],[fator6]])</f>
        <v>#REF!</v>
      </c>
    </row>
    <row r="875" spans="1:23">
      <c r="A875" t="s">
        <v>16</v>
      </c>
      <c r="B875">
        <v>483362</v>
      </c>
      <c r="C875">
        <v>4</v>
      </c>
      <c r="D875">
        <v>40</v>
      </c>
      <c r="E875">
        <v>21</v>
      </c>
      <c r="F875">
        <v>20</v>
      </c>
      <c r="G875">
        <v>0</v>
      </c>
      <c r="H875">
        <v>25</v>
      </c>
      <c r="I875">
        <v>57</v>
      </c>
      <c r="J875">
        <v>0</v>
      </c>
      <c r="K875">
        <v>4.1050000000000004</v>
      </c>
      <c r="L875">
        <v>10.9</v>
      </c>
      <c r="M875">
        <v>10.52</v>
      </c>
      <c r="N875">
        <v>14.265000000000001</v>
      </c>
      <c r="O875">
        <v>1690</v>
      </c>
      <c r="P875">
        <v>0</v>
      </c>
      <c r="Q875" s="5" t="e">
        <f>IF(AND(#REF!&gt;=table!$C$6,#REF!&lt;= table!$D$6),-1,IF(AND(#REF!&gt;=table!$E$6,#REF!&lt;=table!$F$6),1,0))</f>
        <v>#REF!</v>
      </c>
      <c r="R875" s="5" t="e">
        <f>IF(AND(#REF!&gt;=table!$C$7,#REF!&lt;= table!$D$7),-1,IF(AND(#REF!&gt;=table!$E$7,#REF!&lt;=table!$F$7),1,0))</f>
        <v>#REF!</v>
      </c>
      <c r="S875" s="5" t="e">
        <f>IF(AND(#REF!&gt;=table!$C$8,#REF!&lt;= table!$D$8),-1,IF(AND(#REF!&gt;=table!$E$8,#REF!&lt;=table!$F$8),1,0))</f>
        <v>#REF!</v>
      </c>
      <c r="T875" s="5"/>
      <c r="U875" s="5" t="e">
        <f>IF(AND(#REF!&gt;=table!$C$10,#REF!&lt;= table!$D$10),-1,IF(AND(#REF!&gt;=table!$E$10,#REF!&lt;=table!$F$10),1,0))</f>
        <v>#REF!</v>
      </c>
      <c r="V875" s="5" t="e">
        <f>IF(AND(#REF!&gt;=table!$C$11,#REF!&lt;= table!$D$11),-1,IF(AND(#REF!&gt;=table!$E$11,#REF!&lt;=table!$F$11),1,0))</f>
        <v>#REF!</v>
      </c>
      <c r="W875" s="5" t="e">
        <f>CONCATENATE(dados[[#This Row],[fator1]],dados[[#This Row],[fator5]],dados[[#This Row],[fator6]])</f>
        <v>#REF!</v>
      </c>
    </row>
    <row r="876" spans="1:23">
      <c r="A876" t="s">
        <v>16</v>
      </c>
      <c r="B876">
        <v>483364</v>
      </c>
      <c r="C876">
        <v>0.18</v>
      </c>
      <c r="D876">
        <v>50</v>
      </c>
      <c r="E876">
        <v>56</v>
      </c>
      <c r="F876">
        <v>15</v>
      </c>
      <c r="G876">
        <v>0</v>
      </c>
      <c r="H876">
        <v>50</v>
      </c>
      <c r="I876">
        <v>1074</v>
      </c>
      <c r="J876">
        <v>0</v>
      </c>
      <c r="K876">
        <v>3.1750000000000003</v>
      </c>
      <c r="L876">
        <v>4.45</v>
      </c>
      <c r="M876">
        <v>8.1999999999999993</v>
      </c>
      <c r="N876">
        <v>10.85</v>
      </c>
      <c r="O876">
        <v>1663</v>
      </c>
      <c r="P876">
        <v>710</v>
      </c>
      <c r="Q876" s="5" t="e">
        <f>IF(AND(#REF!&gt;=table!$C$6,#REF!&lt;= table!$D$6),-1,IF(AND(#REF!&gt;=table!$E$6,#REF!&lt;=table!$F$6),1,0))</f>
        <v>#REF!</v>
      </c>
      <c r="R876" s="5" t="e">
        <f>IF(AND(#REF!&gt;=table!$C$7,#REF!&lt;= table!$D$7),-1,IF(AND(#REF!&gt;=table!$E$7,#REF!&lt;=table!$F$7),1,0))</f>
        <v>#REF!</v>
      </c>
      <c r="S876" s="5" t="e">
        <f>IF(AND(#REF!&gt;=table!$C$8,#REF!&lt;= table!$D$8),-1,IF(AND(#REF!&gt;=table!$E$8,#REF!&lt;=table!$F$8),1,0))</f>
        <v>#REF!</v>
      </c>
      <c r="T876" s="5"/>
      <c r="U876" s="5" t="e">
        <f>IF(AND(#REF!&gt;=table!$C$10,#REF!&lt;= table!$D$10),-1,IF(AND(#REF!&gt;=table!$E$10,#REF!&lt;=table!$F$10),1,0))</f>
        <v>#REF!</v>
      </c>
      <c r="V876" s="5" t="e">
        <f>IF(AND(#REF!&gt;=table!$C$11,#REF!&lt;= table!$D$11),-1,IF(AND(#REF!&gt;=table!$E$11,#REF!&lt;=table!$F$11),1,0))</f>
        <v>#REF!</v>
      </c>
      <c r="W876" s="5" t="e">
        <f>CONCATENATE(dados[[#This Row],[fator1]],dados[[#This Row],[fator5]],dados[[#This Row],[fator6]])</f>
        <v>#REF!</v>
      </c>
    </row>
    <row r="877" spans="1:23">
      <c r="A877" t="s">
        <v>16</v>
      </c>
      <c r="B877">
        <v>483365</v>
      </c>
      <c r="C877">
        <v>4</v>
      </c>
      <c r="D877">
        <v>40</v>
      </c>
      <c r="E877">
        <v>21</v>
      </c>
      <c r="F877">
        <v>20</v>
      </c>
      <c r="G877">
        <v>0</v>
      </c>
      <c r="H877">
        <v>25</v>
      </c>
      <c r="I877">
        <v>1</v>
      </c>
      <c r="J877">
        <v>0</v>
      </c>
      <c r="K877">
        <v>3.1750000000000003</v>
      </c>
      <c r="L877">
        <v>4.45</v>
      </c>
      <c r="M877">
        <v>14.855</v>
      </c>
      <c r="N877">
        <v>11.63</v>
      </c>
      <c r="O877">
        <v>1679</v>
      </c>
      <c r="P877">
        <v>0</v>
      </c>
      <c r="Q877" s="5" t="e">
        <f>IF(AND(#REF!&gt;=table!$C$6,#REF!&lt;= table!$D$6),-1,IF(AND(#REF!&gt;=table!$E$6,#REF!&lt;=table!$F$6),1,0))</f>
        <v>#REF!</v>
      </c>
      <c r="R877" s="5" t="e">
        <f>IF(AND(#REF!&gt;=table!$C$7,#REF!&lt;= table!$D$7),-1,IF(AND(#REF!&gt;=table!$E$7,#REF!&lt;=table!$F$7),1,0))</f>
        <v>#REF!</v>
      </c>
      <c r="S877" s="5" t="e">
        <f>IF(AND(#REF!&gt;=table!$C$8,#REF!&lt;= table!$D$8),-1,IF(AND(#REF!&gt;=table!$E$8,#REF!&lt;=table!$F$8),1,0))</f>
        <v>#REF!</v>
      </c>
      <c r="T877" s="5"/>
      <c r="U877" s="5" t="e">
        <f>IF(AND(#REF!&gt;=table!$C$10,#REF!&lt;= table!$D$10),-1,IF(AND(#REF!&gt;=table!$E$10,#REF!&lt;=table!$F$10),1,0))</f>
        <v>#REF!</v>
      </c>
      <c r="V877" s="5" t="e">
        <f>IF(AND(#REF!&gt;=table!$C$11,#REF!&lt;= table!$D$11),-1,IF(AND(#REF!&gt;=table!$E$11,#REF!&lt;=table!$F$11),1,0))</f>
        <v>#REF!</v>
      </c>
      <c r="W877" s="5" t="e">
        <f>CONCATENATE(dados[[#This Row],[fator1]],dados[[#This Row],[fator5]],dados[[#This Row],[fator6]])</f>
        <v>#REF!</v>
      </c>
    </row>
    <row r="878" spans="1:23">
      <c r="A878" t="s">
        <v>16</v>
      </c>
      <c r="B878">
        <v>483370</v>
      </c>
      <c r="C878">
        <v>4</v>
      </c>
      <c r="D878">
        <v>40</v>
      </c>
      <c r="E878">
        <v>21</v>
      </c>
      <c r="F878">
        <v>10</v>
      </c>
      <c r="G878">
        <v>0</v>
      </c>
      <c r="H878">
        <v>25</v>
      </c>
      <c r="I878">
        <v>21</v>
      </c>
      <c r="J878">
        <v>0</v>
      </c>
      <c r="K878">
        <v>8.0250000000000004</v>
      </c>
      <c r="L878">
        <v>16.574999999999999</v>
      </c>
      <c r="M878">
        <v>22.6</v>
      </c>
      <c r="N878">
        <v>12.63</v>
      </c>
      <c r="O878">
        <v>1682</v>
      </c>
      <c r="P878">
        <v>0</v>
      </c>
      <c r="Q878" s="5" t="e">
        <f>IF(AND(#REF!&gt;=table!$C$6,#REF!&lt;= table!$D$6),-1,IF(AND(#REF!&gt;=table!$E$6,#REF!&lt;=table!$F$6),1,0))</f>
        <v>#REF!</v>
      </c>
      <c r="R878" s="5" t="e">
        <f>IF(AND(#REF!&gt;=table!$C$7,#REF!&lt;= table!$D$7),-1,IF(AND(#REF!&gt;=table!$E$7,#REF!&lt;=table!$F$7),1,0))</f>
        <v>#REF!</v>
      </c>
      <c r="S878" s="5" t="e">
        <f>IF(AND(#REF!&gt;=table!$C$8,#REF!&lt;= table!$D$8),-1,IF(AND(#REF!&gt;=table!$E$8,#REF!&lt;=table!$F$8),1,0))</f>
        <v>#REF!</v>
      </c>
      <c r="T878" s="5"/>
      <c r="U878" s="5" t="e">
        <f>IF(AND(#REF!&gt;=table!$C$10,#REF!&lt;= table!$D$10),-1,IF(AND(#REF!&gt;=table!$E$10,#REF!&lt;=table!$F$10),1,0))</f>
        <v>#REF!</v>
      </c>
      <c r="V878" s="5" t="e">
        <f>IF(AND(#REF!&gt;=table!$C$11,#REF!&lt;= table!$D$11),-1,IF(AND(#REF!&gt;=table!$E$11,#REF!&lt;=table!$F$11),1,0))</f>
        <v>#REF!</v>
      </c>
      <c r="W878" s="5" t="e">
        <f>CONCATENATE(dados[[#This Row],[fator1]],dados[[#This Row],[fator5]],dados[[#This Row],[fator6]])</f>
        <v>#REF!</v>
      </c>
    </row>
    <row r="879" spans="1:23">
      <c r="A879" t="s">
        <v>17</v>
      </c>
      <c r="B879">
        <v>483376</v>
      </c>
      <c r="C879">
        <v>16</v>
      </c>
      <c r="D879">
        <v>30</v>
      </c>
      <c r="E879">
        <v>126</v>
      </c>
      <c r="F879">
        <v>6</v>
      </c>
      <c r="G879">
        <v>20</v>
      </c>
      <c r="H879">
        <v>25</v>
      </c>
      <c r="I879">
        <v>1217</v>
      </c>
      <c r="J879">
        <v>0</v>
      </c>
      <c r="K879">
        <v>6.3</v>
      </c>
      <c r="L879">
        <v>16.100000000000001</v>
      </c>
      <c r="M879">
        <v>139.1</v>
      </c>
      <c r="N879">
        <v>17</v>
      </c>
      <c r="O879">
        <v>1678</v>
      </c>
      <c r="P879">
        <v>0</v>
      </c>
      <c r="Q879" s="5" t="e">
        <f>IF(AND(#REF!&gt;=table!$C$6,#REF!&lt;= table!$D$6),-1,IF(AND(#REF!&gt;=table!$E$6,#REF!&lt;=table!$F$6),1,0))</f>
        <v>#REF!</v>
      </c>
      <c r="R879" s="5" t="e">
        <f>IF(AND(#REF!&gt;=table!$C$7,#REF!&lt;= table!$D$7),-1,IF(AND(#REF!&gt;=table!$E$7,#REF!&lt;=table!$F$7),1,0))</f>
        <v>#REF!</v>
      </c>
      <c r="S879" s="5" t="e">
        <f>IF(AND(#REF!&gt;=table!$C$8,#REF!&lt;= table!$D$8),-1,IF(AND(#REF!&gt;=table!$E$8,#REF!&lt;=table!$F$8),1,0))</f>
        <v>#REF!</v>
      </c>
      <c r="T879" s="5"/>
      <c r="U879" s="5" t="e">
        <f>IF(AND(#REF!&gt;=table!$C$10,#REF!&lt;= table!$D$10),-1,IF(AND(#REF!&gt;=table!$E$10,#REF!&lt;=table!$F$10),1,0))</f>
        <v>#REF!</v>
      </c>
      <c r="V879" s="5" t="e">
        <f>IF(AND(#REF!&gt;=table!$C$11,#REF!&lt;= table!$D$11),-1,IF(AND(#REF!&gt;=table!$E$11,#REF!&lt;=table!$F$11),1,0))</f>
        <v>#REF!</v>
      </c>
      <c r="W879" s="5" t="e">
        <f>CONCATENATE(dados[[#This Row],[fator1]],dados[[#This Row],[fator5]],dados[[#This Row],[fator6]])</f>
        <v>#REF!</v>
      </c>
    </row>
    <row r="880" spans="1:23">
      <c r="A880" t="s">
        <v>17</v>
      </c>
      <c r="B880">
        <v>483377</v>
      </c>
      <c r="C880">
        <v>16</v>
      </c>
      <c r="D880">
        <v>30</v>
      </c>
      <c r="E880">
        <v>126</v>
      </c>
      <c r="F880">
        <v>6</v>
      </c>
      <c r="G880">
        <v>20</v>
      </c>
      <c r="H880">
        <v>25</v>
      </c>
      <c r="I880">
        <v>778</v>
      </c>
      <c r="J880">
        <v>1160</v>
      </c>
      <c r="K880">
        <v>9.5050000000000008</v>
      </c>
      <c r="L880">
        <v>19.45</v>
      </c>
      <c r="M880">
        <v>129.25</v>
      </c>
      <c r="N880">
        <v>18.25</v>
      </c>
      <c r="O880">
        <v>1692</v>
      </c>
      <c r="P880">
        <v>0</v>
      </c>
      <c r="Q880" s="5" t="e">
        <f>IF(AND(#REF!&gt;=table!$C$6,#REF!&lt;= table!$D$6),-1,IF(AND(#REF!&gt;=table!$E$6,#REF!&lt;=table!$F$6),1,0))</f>
        <v>#REF!</v>
      </c>
      <c r="R880" s="5" t="e">
        <f>IF(AND(#REF!&gt;=table!$C$7,#REF!&lt;= table!$D$7),-1,IF(AND(#REF!&gt;=table!$E$7,#REF!&lt;=table!$F$7),1,0))</f>
        <v>#REF!</v>
      </c>
      <c r="S880" s="5" t="e">
        <f>IF(AND(#REF!&gt;=table!$C$8,#REF!&lt;= table!$D$8),-1,IF(AND(#REF!&gt;=table!$E$8,#REF!&lt;=table!$F$8),1,0))</f>
        <v>#REF!</v>
      </c>
      <c r="T880" s="5"/>
      <c r="U880" s="5" t="e">
        <f>IF(AND(#REF!&gt;=table!$C$10,#REF!&lt;= table!$D$10),-1,IF(AND(#REF!&gt;=table!$E$10,#REF!&lt;=table!$F$10),1,0))</f>
        <v>#REF!</v>
      </c>
      <c r="V880" s="5" t="e">
        <f>IF(AND(#REF!&gt;=table!$C$11,#REF!&lt;= table!$D$11),-1,IF(AND(#REF!&gt;=table!$E$11,#REF!&lt;=table!$F$11),1,0))</f>
        <v>#REF!</v>
      </c>
      <c r="W880" s="5" t="e">
        <f>CONCATENATE(dados[[#This Row],[fator1]],dados[[#This Row],[fator5]],dados[[#This Row],[fator6]])</f>
        <v>#REF!</v>
      </c>
    </row>
    <row r="881" spans="1:23">
      <c r="A881" t="s">
        <v>16</v>
      </c>
      <c r="B881">
        <v>483380</v>
      </c>
      <c r="C881">
        <v>0.2</v>
      </c>
      <c r="D881">
        <v>65</v>
      </c>
      <c r="E881">
        <v>26</v>
      </c>
      <c r="F881">
        <v>15</v>
      </c>
      <c r="G881">
        <v>0</v>
      </c>
      <c r="H881">
        <v>30</v>
      </c>
      <c r="I881">
        <v>52</v>
      </c>
      <c r="J881">
        <v>0</v>
      </c>
      <c r="K881">
        <v>4.68</v>
      </c>
      <c r="L881">
        <v>10.15</v>
      </c>
      <c r="M881">
        <v>9.2050000000000001</v>
      </c>
      <c r="N881">
        <v>9.8350000000000009</v>
      </c>
      <c r="O881">
        <v>1651</v>
      </c>
      <c r="P881">
        <v>0</v>
      </c>
      <c r="Q881" s="5" t="e">
        <f>IF(AND(#REF!&gt;=table!$C$6,#REF!&lt;= table!$D$6),-1,IF(AND(#REF!&gt;=table!$E$6,#REF!&lt;=table!$F$6),1,0))</f>
        <v>#REF!</v>
      </c>
      <c r="R881" s="5" t="e">
        <f>IF(AND(#REF!&gt;=table!$C$7,#REF!&lt;= table!$D$7),-1,IF(AND(#REF!&gt;=table!$E$7,#REF!&lt;=table!$F$7),1,0))</f>
        <v>#REF!</v>
      </c>
      <c r="S881" s="5" t="e">
        <f>IF(AND(#REF!&gt;=table!$C$8,#REF!&lt;= table!$D$8),-1,IF(AND(#REF!&gt;=table!$E$8,#REF!&lt;=table!$F$8),1,0))</f>
        <v>#REF!</v>
      </c>
      <c r="T881" s="5"/>
      <c r="U881" s="5" t="e">
        <f>IF(AND(#REF!&gt;=table!$C$10,#REF!&lt;= table!$D$10),-1,IF(AND(#REF!&gt;=table!$E$10,#REF!&lt;=table!$F$10),1,0))</f>
        <v>#REF!</v>
      </c>
      <c r="V881" s="5" t="e">
        <f>IF(AND(#REF!&gt;=table!$C$11,#REF!&lt;= table!$D$11),-1,IF(AND(#REF!&gt;=table!$E$11,#REF!&lt;=table!$F$11),1,0))</f>
        <v>#REF!</v>
      </c>
      <c r="W881" s="5" t="e">
        <f>CONCATENATE(dados[[#This Row],[fator1]],dados[[#This Row],[fator5]],dados[[#This Row],[fator6]])</f>
        <v>#REF!</v>
      </c>
    </row>
    <row r="882" spans="1:23">
      <c r="A882" t="s">
        <v>16</v>
      </c>
      <c r="B882">
        <v>483381</v>
      </c>
      <c r="C882">
        <v>0.2</v>
      </c>
      <c r="D882">
        <v>65</v>
      </c>
      <c r="E882">
        <v>26</v>
      </c>
      <c r="F882">
        <v>15</v>
      </c>
      <c r="G882">
        <v>0</v>
      </c>
      <c r="H882">
        <v>30</v>
      </c>
      <c r="I882">
        <v>161</v>
      </c>
      <c r="J882">
        <v>0</v>
      </c>
      <c r="K882">
        <v>6.7150000000000007</v>
      </c>
      <c r="L882">
        <v>9.7550000000000008</v>
      </c>
      <c r="M882">
        <v>9.4150000000000009</v>
      </c>
      <c r="N882">
        <v>14.425000000000001</v>
      </c>
      <c r="O882">
        <v>1685</v>
      </c>
      <c r="P882">
        <v>0</v>
      </c>
      <c r="Q882" s="5" t="e">
        <f>IF(AND(#REF!&gt;=table!$C$6,#REF!&lt;= table!$D$6),-1,IF(AND(#REF!&gt;=table!$E$6,#REF!&lt;=table!$F$6),1,0))</f>
        <v>#REF!</v>
      </c>
      <c r="R882" s="5" t="e">
        <f>IF(AND(#REF!&gt;=table!$C$7,#REF!&lt;= table!$D$7),-1,IF(AND(#REF!&gt;=table!$E$7,#REF!&lt;=table!$F$7),1,0))</f>
        <v>#REF!</v>
      </c>
      <c r="S882" s="5" t="e">
        <f>IF(AND(#REF!&gt;=table!$C$8,#REF!&lt;= table!$D$8),-1,IF(AND(#REF!&gt;=table!$E$8,#REF!&lt;=table!$F$8),1,0))</f>
        <v>#REF!</v>
      </c>
      <c r="T882" s="5"/>
      <c r="U882" s="5" t="e">
        <f>IF(AND(#REF!&gt;=table!$C$10,#REF!&lt;= table!$D$10),-1,IF(AND(#REF!&gt;=table!$E$10,#REF!&lt;=table!$F$10),1,0))</f>
        <v>#REF!</v>
      </c>
      <c r="V882" s="5" t="e">
        <f>IF(AND(#REF!&gt;=table!$C$11,#REF!&lt;= table!$D$11),-1,IF(AND(#REF!&gt;=table!$E$11,#REF!&lt;=table!$F$11),1,0))</f>
        <v>#REF!</v>
      </c>
      <c r="W882" s="5" t="e">
        <f>CONCATENATE(dados[[#This Row],[fator1]],dados[[#This Row],[fator5]],dados[[#This Row],[fator6]])</f>
        <v>#REF!</v>
      </c>
    </row>
    <row r="883" spans="1:23">
      <c r="A883" t="s">
        <v>16</v>
      </c>
      <c r="B883">
        <v>483384</v>
      </c>
      <c r="C883">
        <v>0.1</v>
      </c>
      <c r="D883">
        <v>40</v>
      </c>
      <c r="E883">
        <v>10</v>
      </c>
      <c r="F883">
        <v>8</v>
      </c>
      <c r="G883">
        <v>0</v>
      </c>
      <c r="H883">
        <v>10</v>
      </c>
      <c r="I883">
        <v>1032</v>
      </c>
      <c r="J883">
        <v>0</v>
      </c>
      <c r="K883">
        <v>3.6950000000000003</v>
      </c>
      <c r="L883">
        <v>9.4350000000000005</v>
      </c>
      <c r="M883">
        <v>8.7650000000000006</v>
      </c>
      <c r="N883">
        <v>11.235000000000001</v>
      </c>
      <c r="O883">
        <v>1682</v>
      </c>
      <c r="P883">
        <v>1199</v>
      </c>
      <c r="Q883" s="5" t="e">
        <f>IF(AND(#REF!&gt;=table!$C$6,#REF!&lt;= table!$D$6),-1,IF(AND(#REF!&gt;=table!$E$6,#REF!&lt;=table!$F$6),1,0))</f>
        <v>#REF!</v>
      </c>
      <c r="R883" s="5" t="e">
        <f>IF(AND(#REF!&gt;=table!$C$7,#REF!&lt;= table!$D$7),-1,IF(AND(#REF!&gt;=table!$E$7,#REF!&lt;=table!$F$7),1,0))</f>
        <v>#REF!</v>
      </c>
      <c r="S883" s="5" t="e">
        <f>IF(AND(#REF!&gt;=table!$C$8,#REF!&lt;= table!$D$8),-1,IF(AND(#REF!&gt;=table!$E$8,#REF!&lt;=table!$F$8),1,0))</f>
        <v>#REF!</v>
      </c>
      <c r="T883" s="5"/>
      <c r="U883" s="5" t="e">
        <f>IF(AND(#REF!&gt;=table!$C$10,#REF!&lt;= table!$D$10),-1,IF(AND(#REF!&gt;=table!$E$10,#REF!&lt;=table!$F$10),1,0))</f>
        <v>#REF!</v>
      </c>
      <c r="V883" s="5" t="e">
        <f>IF(AND(#REF!&gt;=table!$C$11,#REF!&lt;= table!$D$11),-1,IF(AND(#REF!&gt;=table!$E$11,#REF!&lt;=table!$F$11),1,0))</f>
        <v>#REF!</v>
      </c>
      <c r="W883" s="5" t="e">
        <f>CONCATENATE(dados[[#This Row],[fator1]],dados[[#This Row],[fator5]],dados[[#This Row],[fator6]])</f>
        <v>#REF!</v>
      </c>
    </row>
    <row r="884" spans="1:23">
      <c r="A884" t="s">
        <v>16</v>
      </c>
      <c r="B884">
        <v>483385</v>
      </c>
      <c r="C884">
        <v>0.1</v>
      </c>
      <c r="D884">
        <v>40</v>
      </c>
      <c r="E884">
        <v>10</v>
      </c>
      <c r="F884">
        <v>8</v>
      </c>
      <c r="G884">
        <v>0</v>
      </c>
      <c r="H884">
        <v>10</v>
      </c>
      <c r="I884">
        <v>3759</v>
      </c>
      <c r="J884">
        <v>0</v>
      </c>
      <c r="K884">
        <v>6.98</v>
      </c>
      <c r="L884">
        <v>9.6650000000000009</v>
      </c>
      <c r="M884">
        <v>7.95</v>
      </c>
      <c r="N884">
        <v>8.9</v>
      </c>
      <c r="O884">
        <v>1715</v>
      </c>
      <c r="P884">
        <v>750</v>
      </c>
      <c r="Q884" s="5" t="e">
        <f>IF(AND(#REF!&gt;=table!$C$6,#REF!&lt;= table!$D$6),-1,IF(AND(#REF!&gt;=table!$E$6,#REF!&lt;=table!$F$6),1,0))</f>
        <v>#REF!</v>
      </c>
      <c r="R884" s="5" t="e">
        <f>IF(AND(#REF!&gt;=table!$C$7,#REF!&lt;= table!$D$7),-1,IF(AND(#REF!&gt;=table!$E$7,#REF!&lt;=table!$F$7),1,0))</f>
        <v>#REF!</v>
      </c>
      <c r="S884" s="5" t="e">
        <f>IF(AND(#REF!&gt;=table!$C$8,#REF!&lt;= table!$D$8),-1,IF(AND(#REF!&gt;=table!$E$8,#REF!&lt;=table!$F$8),1,0))</f>
        <v>#REF!</v>
      </c>
      <c r="T884" s="5"/>
      <c r="U884" s="5" t="e">
        <f>IF(AND(#REF!&gt;=table!$C$10,#REF!&lt;= table!$D$10),-1,IF(AND(#REF!&gt;=table!$E$10,#REF!&lt;=table!$F$10),1,0))</f>
        <v>#REF!</v>
      </c>
      <c r="V884" s="5" t="e">
        <f>IF(AND(#REF!&gt;=table!$C$11,#REF!&lt;= table!$D$11),-1,IF(AND(#REF!&gt;=table!$E$11,#REF!&lt;=table!$F$11),1,0))</f>
        <v>#REF!</v>
      </c>
      <c r="W884" s="5" t="e">
        <f>CONCATENATE(dados[[#This Row],[fator1]],dados[[#This Row],[fator5]],dados[[#This Row],[fator6]])</f>
        <v>#REF!</v>
      </c>
    </row>
    <row r="885" spans="1:23">
      <c r="A885" t="s">
        <v>16</v>
      </c>
      <c r="B885">
        <v>483386</v>
      </c>
      <c r="C885">
        <v>0.1</v>
      </c>
      <c r="D885">
        <v>40</v>
      </c>
      <c r="E885">
        <v>10</v>
      </c>
      <c r="F885">
        <v>8</v>
      </c>
      <c r="G885">
        <v>0</v>
      </c>
      <c r="H885">
        <v>10</v>
      </c>
      <c r="I885">
        <v>1761</v>
      </c>
      <c r="J885">
        <v>0</v>
      </c>
      <c r="K885">
        <v>4.03</v>
      </c>
      <c r="L885">
        <v>5.5650000000000004</v>
      </c>
      <c r="M885">
        <v>6.75</v>
      </c>
      <c r="N885">
        <v>6.3</v>
      </c>
      <c r="O885">
        <v>1668</v>
      </c>
      <c r="P885">
        <v>617</v>
      </c>
      <c r="Q885" s="5" t="e">
        <f>IF(AND(#REF!&gt;=table!$C$6,#REF!&lt;= table!$D$6),-1,IF(AND(#REF!&gt;=table!$E$6,#REF!&lt;=table!$F$6),1,0))</f>
        <v>#REF!</v>
      </c>
      <c r="R885" s="5" t="e">
        <f>IF(AND(#REF!&gt;=table!$C$7,#REF!&lt;= table!$D$7),-1,IF(AND(#REF!&gt;=table!$E$7,#REF!&lt;=table!$F$7),1,0))</f>
        <v>#REF!</v>
      </c>
      <c r="S885" s="5" t="e">
        <f>IF(AND(#REF!&gt;=table!$C$8,#REF!&lt;= table!$D$8),-1,IF(AND(#REF!&gt;=table!$E$8,#REF!&lt;=table!$F$8),1,0))</f>
        <v>#REF!</v>
      </c>
      <c r="T885" s="5"/>
      <c r="U885" s="5" t="e">
        <f>IF(AND(#REF!&gt;=table!$C$10,#REF!&lt;= table!$D$10),-1,IF(AND(#REF!&gt;=table!$E$10,#REF!&lt;=table!$F$10),1,0))</f>
        <v>#REF!</v>
      </c>
      <c r="V885" s="5" t="e">
        <f>IF(AND(#REF!&gt;=table!$C$11,#REF!&lt;= table!$D$11),-1,IF(AND(#REF!&gt;=table!$E$11,#REF!&lt;=table!$F$11),1,0))</f>
        <v>#REF!</v>
      </c>
      <c r="W885" s="5" t="e">
        <f>CONCATENATE(dados[[#This Row],[fator1]],dados[[#This Row],[fator5]],dados[[#This Row],[fator6]])</f>
        <v>#REF!</v>
      </c>
    </row>
    <row r="886" spans="1:23">
      <c r="A886" t="s">
        <v>16</v>
      </c>
      <c r="B886">
        <v>483391</v>
      </c>
      <c r="C886">
        <v>9</v>
      </c>
      <c r="D886">
        <v>40</v>
      </c>
      <c r="E886">
        <v>130</v>
      </c>
      <c r="F886">
        <v>6</v>
      </c>
      <c r="G886">
        <v>0</v>
      </c>
      <c r="H886">
        <v>25</v>
      </c>
      <c r="I886">
        <v>1539</v>
      </c>
      <c r="J886">
        <v>0</v>
      </c>
      <c r="K886">
        <v>4.6050000000000004</v>
      </c>
      <c r="L886">
        <v>9.3350000000000009</v>
      </c>
      <c r="M886">
        <v>97.350000000000009</v>
      </c>
      <c r="N886">
        <v>12.200000000000001</v>
      </c>
      <c r="O886">
        <v>1669</v>
      </c>
      <c r="P886">
        <v>1089</v>
      </c>
      <c r="Q886" s="5" t="e">
        <f>IF(AND(#REF!&gt;=table!$C$6,#REF!&lt;= table!$D$6),-1,IF(AND(#REF!&gt;=table!$E$6,#REF!&lt;=table!$F$6),1,0))</f>
        <v>#REF!</v>
      </c>
      <c r="R886" s="5" t="e">
        <f>IF(AND(#REF!&gt;=table!$C$7,#REF!&lt;= table!$D$7),-1,IF(AND(#REF!&gt;=table!$E$7,#REF!&lt;=table!$F$7),1,0))</f>
        <v>#REF!</v>
      </c>
      <c r="S886" s="5" t="e">
        <f>IF(AND(#REF!&gt;=table!$C$8,#REF!&lt;= table!$D$8),-1,IF(AND(#REF!&gt;=table!$E$8,#REF!&lt;=table!$F$8),1,0))</f>
        <v>#REF!</v>
      </c>
      <c r="T886" s="5"/>
      <c r="U886" s="5" t="e">
        <f>IF(AND(#REF!&gt;=table!$C$10,#REF!&lt;= table!$D$10),-1,IF(AND(#REF!&gt;=table!$E$10,#REF!&lt;=table!$F$10),1,0))</f>
        <v>#REF!</v>
      </c>
      <c r="V886" s="5" t="e">
        <f>IF(AND(#REF!&gt;=table!$C$11,#REF!&lt;= table!$D$11),-1,IF(AND(#REF!&gt;=table!$E$11,#REF!&lt;=table!$F$11),1,0))</f>
        <v>#REF!</v>
      </c>
      <c r="W886" s="5" t="e">
        <f>CONCATENATE(dados[[#This Row],[fator1]],dados[[#This Row],[fator5]],dados[[#This Row],[fator6]])</f>
        <v>#REF!</v>
      </c>
    </row>
    <row r="887" spans="1:23">
      <c r="A887" t="s">
        <v>16</v>
      </c>
      <c r="B887">
        <v>483400</v>
      </c>
      <c r="C887">
        <v>12</v>
      </c>
      <c r="D887">
        <v>35</v>
      </c>
      <c r="E887">
        <v>180</v>
      </c>
      <c r="F887">
        <v>6</v>
      </c>
      <c r="G887">
        <v>0</v>
      </c>
      <c r="H887">
        <v>20</v>
      </c>
      <c r="I887">
        <v>0</v>
      </c>
      <c r="J887">
        <v>0</v>
      </c>
      <c r="K887">
        <v>2.7410000000000001</v>
      </c>
      <c r="L887">
        <v>6.8950000000000005</v>
      </c>
      <c r="M887">
        <v>138.5</v>
      </c>
      <c r="N887">
        <v>9.85</v>
      </c>
      <c r="O887">
        <v>1678</v>
      </c>
      <c r="P887">
        <v>0</v>
      </c>
      <c r="Q887" s="5" t="e">
        <f>IF(AND(#REF!&gt;=table!$C$6,#REF!&lt;= table!$D$6),-1,IF(AND(#REF!&gt;=table!$E$6,#REF!&lt;=table!$F$6),1,0))</f>
        <v>#REF!</v>
      </c>
      <c r="R887" s="5" t="e">
        <f>IF(AND(#REF!&gt;=table!$C$7,#REF!&lt;= table!$D$7),-1,IF(AND(#REF!&gt;=table!$E$7,#REF!&lt;=table!$F$7),1,0))</f>
        <v>#REF!</v>
      </c>
      <c r="S887" s="5" t="e">
        <f>IF(AND(#REF!&gt;=table!$C$8,#REF!&lt;= table!$D$8),-1,IF(AND(#REF!&gt;=table!$E$8,#REF!&lt;=table!$F$8),1,0))</f>
        <v>#REF!</v>
      </c>
      <c r="T887" s="5"/>
      <c r="U887" s="5" t="e">
        <f>IF(AND(#REF!&gt;=table!$C$10,#REF!&lt;= table!$D$10),-1,IF(AND(#REF!&gt;=table!$E$10,#REF!&lt;=table!$F$10),1,0))</f>
        <v>#REF!</v>
      </c>
      <c r="V887" s="5" t="e">
        <f>IF(AND(#REF!&gt;=table!$C$11,#REF!&lt;= table!$D$11),-1,IF(AND(#REF!&gt;=table!$E$11,#REF!&lt;=table!$F$11),1,0))</f>
        <v>#REF!</v>
      </c>
      <c r="W887" s="5" t="e">
        <f>CONCATENATE(dados[[#This Row],[fator1]],dados[[#This Row],[fator5]],dados[[#This Row],[fator6]])</f>
        <v>#REF!</v>
      </c>
    </row>
    <row r="888" spans="1:23">
      <c r="A888" t="s">
        <v>16</v>
      </c>
      <c r="B888">
        <v>483401</v>
      </c>
      <c r="C888">
        <v>12</v>
      </c>
      <c r="D888">
        <v>35</v>
      </c>
      <c r="E888">
        <v>180</v>
      </c>
      <c r="F888">
        <v>6</v>
      </c>
      <c r="G888">
        <v>0</v>
      </c>
      <c r="H888">
        <v>20</v>
      </c>
      <c r="I888">
        <v>847</v>
      </c>
      <c r="J888">
        <v>1020</v>
      </c>
      <c r="K888">
        <v>5.1000000000000005</v>
      </c>
      <c r="L888">
        <v>6.1000000000000005</v>
      </c>
      <c r="M888">
        <v>155.53</v>
      </c>
      <c r="N888">
        <v>12.870000000000001</v>
      </c>
      <c r="O888">
        <v>1622</v>
      </c>
      <c r="P888">
        <v>796</v>
      </c>
      <c r="Q888" s="5" t="e">
        <f>IF(AND(#REF!&gt;=table!$C$6,#REF!&lt;= table!$D$6),-1,IF(AND(#REF!&gt;=table!$E$6,#REF!&lt;=table!$F$6),1,0))</f>
        <v>#REF!</v>
      </c>
      <c r="R888" s="5" t="e">
        <f>IF(AND(#REF!&gt;=table!$C$7,#REF!&lt;= table!$D$7),-1,IF(AND(#REF!&gt;=table!$E$7,#REF!&lt;=table!$F$7),1,0))</f>
        <v>#REF!</v>
      </c>
      <c r="S888" s="5" t="e">
        <f>IF(AND(#REF!&gt;=table!$C$8,#REF!&lt;= table!$D$8),-1,IF(AND(#REF!&gt;=table!$E$8,#REF!&lt;=table!$F$8),1,0))</f>
        <v>#REF!</v>
      </c>
      <c r="T888" s="5"/>
      <c r="U888" s="5" t="e">
        <f>IF(AND(#REF!&gt;=table!$C$10,#REF!&lt;= table!$D$10),-1,IF(AND(#REF!&gt;=table!$E$10,#REF!&lt;=table!$F$10),1,0))</f>
        <v>#REF!</v>
      </c>
      <c r="V888" s="5" t="e">
        <f>IF(AND(#REF!&gt;=table!$C$11,#REF!&lt;= table!$D$11),-1,IF(AND(#REF!&gt;=table!$E$11,#REF!&lt;=table!$F$11),1,0))</f>
        <v>#REF!</v>
      </c>
      <c r="W888" s="5" t="e">
        <f>CONCATENATE(dados[[#This Row],[fator1]],dados[[#This Row],[fator5]],dados[[#This Row],[fator6]])</f>
        <v>#REF!</v>
      </c>
    </row>
    <row r="889" spans="1:23">
      <c r="A889" t="s">
        <v>16</v>
      </c>
      <c r="B889">
        <v>483402</v>
      </c>
      <c r="C889">
        <v>12</v>
      </c>
      <c r="D889">
        <v>35</v>
      </c>
      <c r="E889">
        <v>180</v>
      </c>
      <c r="F889">
        <v>6</v>
      </c>
      <c r="G889">
        <v>0</v>
      </c>
      <c r="H889">
        <v>20</v>
      </c>
      <c r="I889">
        <v>1438</v>
      </c>
      <c r="J889">
        <v>680</v>
      </c>
      <c r="K889">
        <v>5.63</v>
      </c>
      <c r="L889">
        <v>5.0350000000000001</v>
      </c>
      <c r="M889">
        <v>144.405</v>
      </c>
      <c r="N889">
        <v>10.585000000000001</v>
      </c>
      <c r="O889">
        <v>1626</v>
      </c>
      <c r="P889">
        <v>684</v>
      </c>
      <c r="Q889" s="5" t="e">
        <f>IF(AND(#REF!&gt;=table!$C$6,#REF!&lt;= table!$D$6),-1,IF(AND(#REF!&gt;=table!$E$6,#REF!&lt;=table!$F$6),1,0))</f>
        <v>#REF!</v>
      </c>
      <c r="R889" s="5" t="e">
        <f>IF(AND(#REF!&gt;=table!$C$7,#REF!&lt;= table!$D$7),-1,IF(AND(#REF!&gt;=table!$E$7,#REF!&lt;=table!$F$7),1,0))</f>
        <v>#REF!</v>
      </c>
      <c r="S889" s="5" t="e">
        <f>IF(AND(#REF!&gt;=table!$C$8,#REF!&lt;= table!$D$8),-1,IF(AND(#REF!&gt;=table!$E$8,#REF!&lt;=table!$F$8),1,0))</f>
        <v>#REF!</v>
      </c>
      <c r="T889" s="5"/>
      <c r="U889" s="5" t="e">
        <f>IF(AND(#REF!&gt;=table!$C$10,#REF!&lt;= table!$D$10),-1,IF(AND(#REF!&gt;=table!$E$10,#REF!&lt;=table!$F$10),1,0))</f>
        <v>#REF!</v>
      </c>
      <c r="V889" s="5" t="e">
        <f>IF(AND(#REF!&gt;=table!$C$11,#REF!&lt;= table!$D$11),-1,IF(AND(#REF!&gt;=table!$E$11,#REF!&lt;=table!$F$11),1,0))</f>
        <v>#REF!</v>
      </c>
      <c r="W889" s="5" t="e">
        <f>CONCATENATE(dados[[#This Row],[fator1]],dados[[#This Row],[fator5]],dados[[#This Row],[fator6]])</f>
        <v>#REF!</v>
      </c>
    </row>
    <row r="890" spans="1:23">
      <c r="A890" t="s">
        <v>17</v>
      </c>
      <c r="B890">
        <v>483417</v>
      </c>
      <c r="C890">
        <v>6</v>
      </c>
      <c r="D890">
        <v>30</v>
      </c>
      <c r="E890">
        <v>110</v>
      </c>
      <c r="F890">
        <v>10</v>
      </c>
      <c r="G890">
        <v>21</v>
      </c>
      <c r="H890">
        <v>25</v>
      </c>
      <c r="I890">
        <v>98</v>
      </c>
      <c r="J890">
        <v>0</v>
      </c>
      <c r="K890">
        <v>4.4850000000000003</v>
      </c>
      <c r="L890">
        <v>9.6750000000000007</v>
      </c>
      <c r="M890">
        <v>100.52</v>
      </c>
      <c r="N890">
        <v>15.36</v>
      </c>
      <c r="O890">
        <v>1661</v>
      </c>
      <c r="P890">
        <v>722</v>
      </c>
      <c r="Q890" s="5" t="e">
        <f>IF(AND(#REF!&gt;=table!$C$6,#REF!&lt;= table!$D$6),-1,IF(AND(#REF!&gt;=table!$E$6,#REF!&lt;=table!$F$6),1,0))</f>
        <v>#REF!</v>
      </c>
      <c r="R890" s="5" t="e">
        <f>IF(AND(#REF!&gt;=table!$C$7,#REF!&lt;= table!$D$7),-1,IF(AND(#REF!&gt;=table!$E$7,#REF!&lt;=table!$F$7),1,0))</f>
        <v>#REF!</v>
      </c>
      <c r="S890" s="5" t="e">
        <f>IF(AND(#REF!&gt;=table!$C$8,#REF!&lt;= table!$D$8),-1,IF(AND(#REF!&gt;=table!$E$8,#REF!&lt;=table!$F$8),1,0))</f>
        <v>#REF!</v>
      </c>
      <c r="T890" s="5"/>
      <c r="U890" s="5" t="e">
        <f>IF(AND(#REF!&gt;=table!$C$10,#REF!&lt;= table!$D$10),-1,IF(AND(#REF!&gt;=table!$E$10,#REF!&lt;=table!$F$10),1,0))</f>
        <v>#REF!</v>
      </c>
      <c r="V890" s="5" t="e">
        <f>IF(AND(#REF!&gt;=table!$C$11,#REF!&lt;= table!$D$11),-1,IF(AND(#REF!&gt;=table!$E$11,#REF!&lt;=table!$F$11),1,0))</f>
        <v>#REF!</v>
      </c>
      <c r="W890" s="5" t="e">
        <f>CONCATENATE(dados[[#This Row],[fator1]],dados[[#This Row],[fator5]],dados[[#This Row],[fator6]])</f>
        <v>#REF!</v>
      </c>
    </row>
    <row r="891" spans="1:23">
      <c r="A891" t="s">
        <v>17</v>
      </c>
      <c r="B891">
        <v>483418</v>
      </c>
      <c r="C891">
        <v>6</v>
      </c>
      <c r="D891">
        <v>30</v>
      </c>
      <c r="E891">
        <v>110</v>
      </c>
      <c r="F891">
        <v>10</v>
      </c>
      <c r="G891">
        <v>21</v>
      </c>
      <c r="H891">
        <v>25</v>
      </c>
      <c r="I891">
        <v>1776</v>
      </c>
      <c r="J891">
        <v>0</v>
      </c>
      <c r="K891">
        <v>7.1450000000000005</v>
      </c>
      <c r="L891">
        <v>7.32</v>
      </c>
      <c r="M891">
        <v>104.01</v>
      </c>
      <c r="N891">
        <v>11.445</v>
      </c>
      <c r="O891">
        <v>1630</v>
      </c>
      <c r="P891">
        <v>547</v>
      </c>
      <c r="Q891" s="5" t="e">
        <f>IF(AND(#REF!&gt;=table!$C$6,#REF!&lt;= table!$D$6),-1,IF(AND(#REF!&gt;=table!$E$6,#REF!&lt;=table!$F$6),1,0))</f>
        <v>#REF!</v>
      </c>
      <c r="R891" s="5" t="e">
        <f>IF(AND(#REF!&gt;=table!$C$7,#REF!&lt;= table!$D$7),-1,IF(AND(#REF!&gt;=table!$E$7,#REF!&lt;=table!$F$7),1,0))</f>
        <v>#REF!</v>
      </c>
      <c r="S891" s="5" t="e">
        <f>IF(AND(#REF!&gt;=table!$C$8,#REF!&lt;= table!$D$8),-1,IF(AND(#REF!&gt;=table!$E$8,#REF!&lt;=table!$F$8),1,0))</f>
        <v>#REF!</v>
      </c>
      <c r="T891" s="5"/>
      <c r="U891" s="5" t="e">
        <f>IF(AND(#REF!&gt;=table!$C$10,#REF!&lt;= table!$D$10),-1,IF(AND(#REF!&gt;=table!$E$10,#REF!&lt;=table!$F$10),1,0))</f>
        <v>#REF!</v>
      </c>
      <c r="V891" s="5" t="e">
        <f>IF(AND(#REF!&gt;=table!$C$11,#REF!&lt;= table!$D$11),-1,IF(AND(#REF!&gt;=table!$E$11,#REF!&lt;=table!$F$11),1,0))</f>
        <v>#REF!</v>
      </c>
      <c r="W891" s="5" t="e">
        <f>CONCATENATE(dados[[#This Row],[fator1]],dados[[#This Row],[fator5]],dados[[#This Row],[fator6]])</f>
        <v>#REF!</v>
      </c>
    </row>
    <row r="892" spans="1:23">
      <c r="A892" t="s">
        <v>17</v>
      </c>
      <c r="B892">
        <v>483422</v>
      </c>
      <c r="C892">
        <v>9</v>
      </c>
      <c r="D892">
        <v>25</v>
      </c>
      <c r="E892">
        <v>130</v>
      </c>
      <c r="F892">
        <v>3</v>
      </c>
      <c r="G892">
        <v>20</v>
      </c>
      <c r="H892">
        <v>21</v>
      </c>
      <c r="I892">
        <v>819</v>
      </c>
      <c r="J892">
        <v>0</v>
      </c>
      <c r="K892">
        <v>1.8180000000000001</v>
      </c>
      <c r="L892">
        <v>5.5750000000000002</v>
      </c>
      <c r="M892">
        <v>108.74000000000001</v>
      </c>
      <c r="N892">
        <v>14.25</v>
      </c>
      <c r="O892">
        <v>1697</v>
      </c>
      <c r="P892">
        <v>1638</v>
      </c>
      <c r="Q892" s="5" t="e">
        <f>IF(AND(#REF!&gt;=table!$C$6,#REF!&lt;= table!$D$6),-1,IF(AND(#REF!&gt;=table!$E$6,#REF!&lt;=table!$F$6),1,0))</f>
        <v>#REF!</v>
      </c>
      <c r="R892" s="5" t="e">
        <f>IF(AND(#REF!&gt;=table!$C$7,#REF!&lt;= table!$D$7),-1,IF(AND(#REF!&gt;=table!$E$7,#REF!&lt;=table!$F$7),1,0))</f>
        <v>#REF!</v>
      </c>
      <c r="S892" s="5" t="e">
        <f>IF(AND(#REF!&gt;=table!$C$8,#REF!&lt;= table!$D$8),-1,IF(AND(#REF!&gt;=table!$E$8,#REF!&lt;=table!$F$8),1,0))</f>
        <v>#REF!</v>
      </c>
      <c r="T892" s="5"/>
      <c r="U892" s="5" t="e">
        <f>IF(AND(#REF!&gt;=table!$C$10,#REF!&lt;= table!$D$10),-1,IF(AND(#REF!&gt;=table!$E$10,#REF!&lt;=table!$F$10),1,0))</f>
        <v>#REF!</v>
      </c>
      <c r="V892" s="5" t="e">
        <f>IF(AND(#REF!&gt;=table!$C$11,#REF!&lt;= table!$D$11),-1,IF(AND(#REF!&gt;=table!$E$11,#REF!&lt;=table!$F$11),1,0))</f>
        <v>#REF!</v>
      </c>
      <c r="W892" s="5" t="e">
        <f>CONCATENATE(dados[[#This Row],[fator1]],dados[[#This Row],[fator5]],dados[[#This Row],[fator6]])</f>
        <v>#REF!</v>
      </c>
    </row>
    <row r="893" spans="1:23">
      <c r="A893" t="s">
        <v>16</v>
      </c>
      <c r="B893">
        <v>483428</v>
      </c>
      <c r="C893">
        <v>4</v>
      </c>
      <c r="D893">
        <v>40</v>
      </c>
      <c r="E893">
        <v>21</v>
      </c>
      <c r="F893">
        <v>10</v>
      </c>
      <c r="G893">
        <v>0</v>
      </c>
      <c r="H893">
        <v>25</v>
      </c>
      <c r="I893">
        <v>970</v>
      </c>
      <c r="J893">
        <v>0</v>
      </c>
      <c r="K893">
        <v>2.5954999999999999</v>
      </c>
      <c r="L893">
        <v>8.5950000000000006</v>
      </c>
      <c r="M893">
        <v>12.115</v>
      </c>
      <c r="N893">
        <v>8.9</v>
      </c>
      <c r="O893">
        <v>1654</v>
      </c>
      <c r="P893">
        <v>1168</v>
      </c>
      <c r="Q893" s="5" t="e">
        <f>IF(AND(#REF!&gt;=table!$C$6,#REF!&lt;= table!$D$6),-1,IF(AND(#REF!&gt;=table!$E$6,#REF!&lt;=table!$F$6),1,0))</f>
        <v>#REF!</v>
      </c>
      <c r="R893" s="5" t="e">
        <f>IF(AND(#REF!&gt;=table!$C$7,#REF!&lt;= table!$D$7),-1,IF(AND(#REF!&gt;=table!$E$7,#REF!&lt;=table!$F$7),1,0))</f>
        <v>#REF!</v>
      </c>
      <c r="S893" s="5" t="e">
        <f>IF(AND(#REF!&gt;=table!$C$8,#REF!&lt;= table!$D$8),-1,IF(AND(#REF!&gt;=table!$E$8,#REF!&lt;=table!$F$8),1,0))</f>
        <v>#REF!</v>
      </c>
      <c r="T893" s="5"/>
      <c r="U893" s="5" t="e">
        <f>IF(AND(#REF!&gt;=table!$C$10,#REF!&lt;= table!$D$10),-1,IF(AND(#REF!&gt;=table!$E$10,#REF!&lt;=table!$F$10),1,0))</f>
        <v>#REF!</v>
      </c>
      <c r="V893" s="5" t="e">
        <f>IF(AND(#REF!&gt;=table!$C$11,#REF!&lt;= table!$D$11),-1,IF(AND(#REF!&gt;=table!$E$11,#REF!&lt;=table!$F$11),1,0))</f>
        <v>#REF!</v>
      </c>
      <c r="W893" s="5" t="e">
        <f>CONCATENATE(dados[[#This Row],[fator1]],dados[[#This Row],[fator5]],dados[[#This Row],[fator6]])</f>
        <v>#REF!</v>
      </c>
    </row>
    <row r="894" spans="1:23">
      <c r="A894" t="s">
        <v>17</v>
      </c>
      <c r="B894">
        <v>483429</v>
      </c>
      <c r="C894">
        <v>4</v>
      </c>
      <c r="D894">
        <v>25</v>
      </c>
      <c r="E894">
        <v>23</v>
      </c>
      <c r="F894">
        <v>10</v>
      </c>
      <c r="G894">
        <v>110</v>
      </c>
      <c r="H894">
        <v>50</v>
      </c>
      <c r="I894">
        <v>188</v>
      </c>
      <c r="J894">
        <v>750</v>
      </c>
      <c r="K894">
        <v>5.22</v>
      </c>
      <c r="L894">
        <v>9.0050000000000008</v>
      </c>
      <c r="M894">
        <v>17.45</v>
      </c>
      <c r="N894">
        <v>31.25</v>
      </c>
      <c r="O894">
        <v>1646</v>
      </c>
      <c r="P894">
        <v>0</v>
      </c>
      <c r="Q894" s="5" t="e">
        <f>IF(AND(#REF!&gt;=table!$C$6,#REF!&lt;= table!$D$6),-1,IF(AND(#REF!&gt;=table!$E$6,#REF!&lt;=table!$F$6),1,0))</f>
        <v>#REF!</v>
      </c>
      <c r="R894" s="5" t="e">
        <f>IF(AND(#REF!&gt;=table!$C$7,#REF!&lt;= table!$D$7),-1,IF(AND(#REF!&gt;=table!$E$7,#REF!&lt;=table!$F$7),1,0))</f>
        <v>#REF!</v>
      </c>
      <c r="S894" s="5" t="e">
        <f>IF(AND(#REF!&gt;=table!$C$8,#REF!&lt;= table!$D$8),-1,IF(AND(#REF!&gt;=table!$E$8,#REF!&lt;=table!$F$8),1,0))</f>
        <v>#REF!</v>
      </c>
      <c r="T894" s="5"/>
      <c r="U894" s="5" t="e">
        <f>IF(AND(#REF!&gt;=table!$C$10,#REF!&lt;= table!$D$10),-1,IF(AND(#REF!&gt;=table!$E$10,#REF!&lt;=table!$F$10),1,0))</f>
        <v>#REF!</v>
      </c>
      <c r="V894" s="5" t="e">
        <f>IF(AND(#REF!&gt;=table!$C$11,#REF!&lt;= table!$D$11),-1,IF(AND(#REF!&gt;=table!$E$11,#REF!&lt;=table!$F$11),1,0))</f>
        <v>#REF!</v>
      </c>
      <c r="W894" s="5" t="e">
        <f>CONCATENATE(dados[[#This Row],[fator1]],dados[[#This Row],[fator5]],dados[[#This Row],[fator6]])</f>
        <v>#REF!</v>
      </c>
    </row>
    <row r="895" spans="1:23">
      <c r="A895" t="s">
        <v>17</v>
      </c>
      <c r="B895">
        <v>483430</v>
      </c>
      <c r="C895">
        <v>13</v>
      </c>
      <c r="D895">
        <v>30</v>
      </c>
      <c r="E895">
        <v>106</v>
      </c>
      <c r="F895">
        <v>10</v>
      </c>
      <c r="G895">
        <v>20</v>
      </c>
      <c r="H895">
        <v>25</v>
      </c>
      <c r="I895">
        <v>666</v>
      </c>
      <c r="J895">
        <v>0</v>
      </c>
      <c r="K895">
        <v>6.5600000000000005</v>
      </c>
      <c r="L895">
        <v>6.6050000000000004</v>
      </c>
      <c r="M895">
        <v>72.55</v>
      </c>
      <c r="N895">
        <v>12.02</v>
      </c>
      <c r="O895">
        <v>1669</v>
      </c>
      <c r="P895">
        <v>651</v>
      </c>
      <c r="Q895" s="5" t="e">
        <f>IF(AND(#REF!&gt;=table!$C$6,#REF!&lt;= table!$D$6),-1,IF(AND(#REF!&gt;=table!$E$6,#REF!&lt;=table!$F$6),1,0))</f>
        <v>#REF!</v>
      </c>
      <c r="R895" s="5" t="e">
        <f>IF(AND(#REF!&gt;=table!$C$7,#REF!&lt;= table!$D$7),-1,IF(AND(#REF!&gt;=table!$E$7,#REF!&lt;=table!$F$7),1,0))</f>
        <v>#REF!</v>
      </c>
      <c r="S895" s="5" t="e">
        <f>IF(AND(#REF!&gt;=table!$C$8,#REF!&lt;= table!$D$8),-1,IF(AND(#REF!&gt;=table!$E$8,#REF!&lt;=table!$F$8),1,0))</f>
        <v>#REF!</v>
      </c>
      <c r="T895" s="5"/>
      <c r="U895" s="5" t="e">
        <f>IF(AND(#REF!&gt;=table!$C$10,#REF!&lt;= table!$D$10),-1,IF(AND(#REF!&gt;=table!$E$10,#REF!&lt;=table!$F$10),1,0))</f>
        <v>#REF!</v>
      </c>
      <c r="V895" s="5" t="e">
        <f>IF(AND(#REF!&gt;=table!$C$11,#REF!&lt;= table!$D$11),-1,IF(AND(#REF!&gt;=table!$E$11,#REF!&lt;=table!$F$11),1,0))</f>
        <v>#REF!</v>
      </c>
      <c r="W895" s="5" t="e">
        <f>CONCATENATE(dados[[#This Row],[fator1]],dados[[#This Row],[fator5]],dados[[#This Row],[fator6]])</f>
        <v>#REF!</v>
      </c>
    </row>
    <row r="896" spans="1:23">
      <c r="A896" t="s">
        <v>16</v>
      </c>
      <c r="B896">
        <v>483434</v>
      </c>
      <c r="C896">
        <v>13</v>
      </c>
      <c r="D896">
        <v>35</v>
      </c>
      <c r="E896">
        <v>120</v>
      </c>
      <c r="F896">
        <v>10</v>
      </c>
      <c r="G896">
        <v>0</v>
      </c>
      <c r="H896">
        <v>25</v>
      </c>
      <c r="I896">
        <v>944</v>
      </c>
      <c r="J896">
        <v>1050</v>
      </c>
      <c r="K896">
        <v>6.8150000000000004</v>
      </c>
      <c r="L896">
        <v>5.6850000000000005</v>
      </c>
      <c r="M896">
        <v>104.53500000000001</v>
      </c>
      <c r="N896">
        <v>9.36</v>
      </c>
      <c r="O896">
        <v>1681</v>
      </c>
      <c r="P896">
        <v>0</v>
      </c>
      <c r="Q896" s="5" t="e">
        <f>IF(AND(#REF!&gt;=table!$C$6,#REF!&lt;= table!$D$6),-1,IF(AND(#REF!&gt;=table!$E$6,#REF!&lt;=table!$F$6),1,0))</f>
        <v>#REF!</v>
      </c>
      <c r="R896" s="5" t="e">
        <f>IF(AND(#REF!&gt;=table!$C$7,#REF!&lt;= table!$D$7),-1,IF(AND(#REF!&gt;=table!$E$7,#REF!&lt;=table!$F$7),1,0))</f>
        <v>#REF!</v>
      </c>
      <c r="S896" s="5" t="e">
        <f>IF(AND(#REF!&gt;=table!$C$8,#REF!&lt;= table!$D$8),-1,IF(AND(#REF!&gt;=table!$E$8,#REF!&lt;=table!$F$8),1,0))</f>
        <v>#REF!</v>
      </c>
      <c r="T896" s="5"/>
      <c r="U896" s="5" t="e">
        <f>IF(AND(#REF!&gt;=table!$C$10,#REF!&lt;= table!$D$10),-1,IF(AND(#REF!&gt;=table!$E$10,#REF!&lt;=table!$F$10),1,0))</f>
        <v>#REF!</v>
      </c>
      <c r="V896" s="5" t="e">
        <f>IF(AND(#REF!&gt;=table!$C$11,#REF!&lt;= table!$D$11),-1,IF(AND(#REF!&gt;=table!$E$11,#REF!&lt;=table!$F$11),1,0))</f>
        <v>#REF!</v>
      </c>
      <c r="W896" s="5" t="e">
        <f>CONCATENATE(dados[[#This Row],[fator1]],dados[[#This Row],[fator5]],dados[[#This Row],[fator6]])</f>
        <v>#REF!</v>
      </c>
    </row>
    <row r="897" spans="1:23">
      <c r="A897" t="s">
        <v>17</v>
      </c>
      <c r="B897">
        <v>483440</v>
      </c>
      <c r="C897">
        <v>14</v>
      </c>
      <c r="D897">
        <v>30</v>
      </c>
      <c r="E897">
        <v>66</v>
      </c>
      <c r="F897">
        <v>9</v>
      </c>
      <c r="G897">
        <v>20</v>
      </c>
      <c r="H897">
        <v>25</v>
      </c>
      <c r="I897">
        <v>1406</v>
      </c>
      <c r="J897">
        <v>0</v>
      </c>
      <c r="K897">
        <v>14.5</v>
      </c>
      <c r="L897">
        <v>9.66</v>
      </c>
      <c r="M897">
        <v>60.335000000000001</v>
      </c>
      <c r="N897">
        <v>11.655000000000001</v>
      </c>
      <c r="O897">
        <v>1634</v>
      </c>
      <c r="P897">
        <v>428</v>
      </c>
      <c r="Q897" s="5" t="e">
        <f>IF(AND(#REF!&gt;=table!$C$6,#REF!&lt;= table!$D$6),-1,IF(AND(#REF!&gt;=table!$E$6,#REF!&lt;=table!$F$6),1,0))</f>
        <v>#REF!</v>
      </c>
      <c r="R897" s="5" t="e">
        <f>IF(AND(#REF!&gt;=table!$C$7,#REF!&lt;= table!$D$7),-1,IF(AND(#REF!&gt;=table!$E$7,#REF!&lt;=table!$F$7),1,0))</f>
        <v>#REF!</v>
      </c>
      <c r="S897" s="5" t="e">
        <f>IF(AND(#REF!&gt;=table!$C$8,#REF!&lt;= table!$D$8),-1,IF(AND(#REF!&gt;=table!$E$8,#REF!&lt;=table!$F$8),1,0))</f>
        <v>#REF!</v>
      </c>
      <c r="T897" s="5"/>
      <c r="U897" s="5" t="e">
        <f>IF(AND(#REF!&gt;=table!$C$10,#REF!&lt;= table!$D$10),-1,IF(AND(#REF!&gt;=table!$E$10,#REF!&lt;=table!$F$10),1,0))</f>
        <v>#REF!</v>
      </c>
      <c r="V897" s="5" t="e">
        <f>IF(AND(#REF!&gt;=table!$C$11,#REF!&lt;= table!$D$11),-1,IF(AND(#REF!&gt;=table!$E$11,#REF!&lt;=table!$F$11),1,0))</f>
        <v>#REF!</v>
      </c>
      <c r="W897" s="5" t="e">
        <f>CONCATENATE(dados[[#This Row],[fator1]],dados[[#This Row],[fator5]],dados[[#This Row],[fator6]])</f>
        <v>#REF!</v>
      </c>
    </row>
    <row r="898" spans="1:23">
      <c r="A898" t="s">
        <v>16</v>
      </c>
      <c r="B898">
        <v>483443</v>
      </c>
      <c r="C898">
        <v>4</v>
      </c>
      <c r="D898">
        <v>40</v>
      </c>
      <c r="E898">
        <v>21</v>
      </c>
      <c r="F898">
        <v>10</v>
      </c>
      <c r="G898">
        <v>0</v>
      </c>
      <c r="H898">
        <v>25</v>
      </c>
      <c r="I898">
        <v>1201</v>
      </c>
      <c r="J898">
        <v>0</v>
      </c>
      <c r="K898">
        <v>4.47</v>
      </c>
      <c r="L898">
        <v>7.2350000000000003</v>
      </c>
      <c r="M898">
        <v>17.690000000000001</v>
      </c>
      <c r="N898">
        <v>13.945</v>
      </c>
      <c r="O898">
        <v>1693</v>
      </c>
      <c r="P898">
        <v>1135</v>
      </c>
      <c r="Q898" s="5" t="e">
        <f>IF(AND(#REF!&gt;=table!$C$6,#REF!&lt;= table!$D$6),-1,IF(AND(#REF!&gt;=table!$E$6,#REF!&lt;=table!$F$6),1,0))</f>
        <v>#REF!</v>
      </c>
      <c r="R898" s="5" t="e">
        <f>IF(AND(#REF!&gt;=table!$C$7,#REF!&lt;= table!$D$7),-1,IF(AND(#REF!&gt;=table!$E$7,#REF!&lt;=table!$F$7),1,0))</f>
        <v>#REF!</v>
      </c>
      <c r="S898" s="5" t="e">
        <f>IF(AND(#REF!&gt;=table!$C$8,#REF!&lt;= table!$D$8),-1,IF(AND(#REF!&gt;=table!$E$8,#REF!&lt;=table!$F$8),1,0))</f>
        <v>#REF!</v>
      </c>
      <c r="T898" s="5"/>
      <c r="U898" s="5" t="e">
        <f>IF(AND(#REF!&gt;=table!$C$10,#REF!&lt;= table!$D$10),-1,IF(AND(#REF!&gt;=table!$E$10,#REF!&lt;=table!$F$10),1,0))</f>
        <v>#REF!</v>
      </c>
      <c r="V898" s="5" t="e">
        <f>IF(AND(#REF!&gt;=table!$C$11,#REF!&lt;= table!$D$11),-1,IF(AND(#REF!&gt;=table!$E$11,#REF!&lt;=table!$F$11),1,0))</f>
        <v>#REF!</v>
      </c>
      <c r="W898" s="5" t="e">
        <f>CONCATENATE(dados[[#This Row],[fator1]],dados[[#This Row],[fator5]],dados[[#This Row],[fator6]])</f>
        <v>#REF!</v>
      </c>
    </row>
    <row r="899" spans="1:23">
      <c r="A899" t="s">
        <v>16</v>
      </c>
      <c r="B899">
        <v>483444</v>
      </c>
      <c r="C899">
        <v>0.1</v>
      </c>
      <c r="D899">
        <v>40</v>
      </c>
      <c r="E899">
        <v>10</v>
      </c>
      <c r="F899">
        <v>8</v>
      </c>
      <c r="G899">
        <v>0</v>
      </c>
      <c r="H899">
        <v>10</v>
      </c>
      <c r="I899">
        <v>1141</v>
      </c>
      <c r="J899">
        <v>0</v>
      </c>
      <c r="K899">
        <v>3.9550000000000001</v>
      </c>
      <c r="L899">
        <v>5.63</v>
      </c>
      <c r="M899">
        <v>5.23</v>
      </c>
      <c r="N899">
        <v>6.1750000000000007</v>
      </c>
      <c r="O899">
        <v>1658</v>
      </c>
      <c r="P899">
        <v>0</v>
      </c>
      <c r="Q899" s="5" t="e">
        <f>IF(AND(#REF!&gt;=table!$C$6,#REF!&lt;= table!$D$6),-1,IF(AND(#REF!&gt;=table!$E$6,#REF!&lt;=table!$F$6),1,0))</f>
        <v>#REF!</v>
      </c>
      <c r="R899" s="5" t="e">
        <f>IF(AND(#REF!&gt;=table!$C$7,#REF!&lt;= table!$D$7),-1,IF(AND(#REF!&gt;=table!$E$7,#REF!&lt;=table!$F$7),1,0))</f>
        <v>#REF!</v>
      </c>
      <c r="S899" s="5" t="e">
        <f>IF(AND(#REF!&gt;=table!$C$8,#REF!&lt;= table!$D$8),-1,IF(AND(#REF!&gt;=table!$E$8,#REF!&lt;=table!$F$8),1,0))</f>
        <v>#REF!</v>
      </c>
      <c r="T899" s="5"/>
      <c r="U899" s="5" t="e">
        <f>IF(AND(#REF!&gt;=table!$C$10,#REF!&lt;= table!$D$10),-1,IF(AND(#REF!&gt;=table!$E$10,#REF!&lt;=table!$F$10),1,0))</f>
        <v>#REF!</v>
      </c>
      <c r="V899" s="5" t="e">
        <f>IF(AND(#REF!&gt;=table!$C$11,#REF!&lt;= table!$D$11),-1,IF(AND(#REF!&gt;=table!$E$11,#REF!&lt;=table!$F$11),1,0))</f>
        <v>#REF!</v>
      </c>
      <c r="W899" s="5" t="e">
        <f>CONCATENATE(dados[[#This Row],[fator1]],dados[[#This Row],[fator5]],dados[[#This Row],[fator6]])</f>
        <v>#REF!</v>
      </c>
    </row>
    <row r="900" spans="1:23">
      <c r="A900" t="s">
        <v>16</v>
      </c>
      <c r="B900">
        <v>483447</v>
      </c>
      <c r="C900">
        <v>0.15</v>
      </c>
      <c r="D900">
        <v>40</v>
      </c>
      <c r="E900">
        <v>10</v>
      </c>
      <c r="F900">
        <v>15</v>
      </c>
      <c r="G900">
        <v>0</v>
      </c>
      <c r="H900">
        <v>15</v>
      </c>
      <c r="I900">
        <v>1538</v>
      </c>
      <c r="J900">
        <v>0</v>
      </c>
      <c r="K900">
        <v>8.3800000000000008</v>
      </c>
      <c r="L900">
        <v>6.5650000000000004</v>
      </c>
      <c r="M900">
        <v>6.17</v>
      </c>
      <c r="N900">
        <v>5.38</v>
      </c>
      <c r="O900">
        <v>1638</v>
      </c>
      <c r="P900">
        <v>459</v>
      </c>
      <c r="Q900" s="5" t="e">
        <f>IF(AND(#REF!&gt;=table!$C$6,#REF!&lt;= table!$D$6),-1,IF(AND(#REF!&gt;=table!$E$6,#REF!&lt;=table!$F$6),1,0))</f>
        <v>#REF!</v>
      </c>
      <c r="R900" s="5" t="e">
        <f>IF(AND(#REF!&gt;=table!$C$7,#REF!&lt;= table!$D$7),-1,IF(AND(#REF!&gt;=table!$E$7,#REF!&lt;=table!$F$7),1,0))</f>
        <v>#REF!</v>
      </c>
      <c r="S900" s="5" t="e">
        <f>IF(AND(#REF!&gt;=table!$C$8,#REF!&lt;= table!$D$8),-1,IF(AND(#REF!&gt;=table!$E$8,#REF!&lt;=table!$F$8),1,0))</f>
        <v>#REF!</v>
      </c>
      <c r="T900" s="5"/>
      <c r="U900" s="5" t="e">
        <f>IF(AND(#REF!&gt;=table!$C$10,#REF!&lt;= table!$D$10),-1,IF(AND(#REF!&gt;=table!$E$10,#REF!&lt;=table!$F$10),1,0))</f>
        <v>#REF!</v>
      </c>
      <c r="V900" s="5" t="e">
        <f>IF(AND(#REF!&gt;=table!$C$11,#REF!&lt;= table!$D$11),-1,IF(AND(#REF!&gt;=table!$E$11,#REF!&lt;=table!$F$11),1,0))</f>
        <v>#REF!</v>
      </c>
      <c r="W900" s="5" t="e">
        <f>CONCATENATE(dados[[#This Row],[fator1]],dados[[#This Row],[fator5]],dados[[#This Row],[fator6]])</f>
        <v>#REF!</v>
      </c>
    </row>
    <row r="901" spans="1:23">
      <c r="A901" t="s">
        <v>17</v>
      </c>
      <c r="B901">
        <v>483455</v>
      </c>
      <c r="C901">
        <v>9</v>
      </c>
      <c r="D901">
        <v>25</v>
      </c>
      <c r="E901">
        <v>130</v>
      </c>
      <c r="F901">
        <v>3</v>
      </c>
      <c r="G901">
        <v>20</v>
      </c>
      <c r="H901">
        <v>21</v>
      </c>
      <c r="I901">
        <v>32</v>
      </c>
      <c r="J901">
        <v>770</v>
      </c>
      <c r="K901">
        <v>4.45</v>
      </c>
      <c r="L901">
        <v>13.265000000000001</v>
      </c>
      <c r="M901">
        <v>110.405</v>
      </c>
      <c r="N901">
        <v>13.605</v>
      </c>
      <c r="O901">
        <v>1678</v>
      </c>
      <c r="P901">
        <v>863</v>
      </c>
      <c r="Q901" s="5" t="e">
        <f>IF(AND(#REF!&gt;=table!$C$6,#REF!&lt;= table!$D$6),-1,IF(AND(#REF!&gt;=table!$E$6,#REF!&lt;=table!$F$6),1,0))</f>
        <v>#REF!</v>
      </c>
      <c r="R901" s="5" t="e">
        <f>IF(AND(#REF!&gt;=table!$C$7,#REF!&lt;= table!$D$7),-1,IF(AND(#REF!&gt;=table!$E$7,#REF!&lt;=table!$F$7),1,0))</f>
        <v>#REF!</v>
      </c>
      <c r="S901" s="5" t="e">
        <f>IF(AND(#REF!&gt;=table!$C$8,#REF!&lt;= table!$D$8),-1,IF(AND(#REF!&gt;=table!$E$8,#REF!&lt;=table!$F$8),1,0))</f>
        <v>#REF!</v>
      </c>
      <c r="T901" s="5"/>
      <c r="U901" s="5" t="e">
        <f>IF(AND(#REF!&gt;=table!$C$10,#REF!&lt;= table!$D$10),-1,IF(AND(#REF!&gt;=table!$E$10,#REF!&lt;=table!$F$10),1,0))</f>
        <v>#REF!</v>
      </c>
      <c r="V901" s="5" t="e">
        <f>IF(AND(#REF!&gt;=table!$C$11,#REF!&lt;= table!$D$11),-1,IF(AND(#REF!&gt;=table!$E$11,#REF!&lt;=table!$F$11),1,0))</f>
        <v>#REF!</v>
      </c>
      <c r="W901" s="5" t="e">
        <f>CONCATENATE(dados[[#This Row],[fator1]],dados[[#This Row],[fator5]],dados[[#This Row],[fator6]])</f>
        <v>#REF!</v>
      </c>
    </row>
    <row r="902" spans="1:23">
      <c r="A902" t="s">
        <v>16</v>
      </c>
      <c r="B902">
        <v>483458</v>
      </c>
      <c r="C902">
        <v>9</v>
      </c>
      <c r="D902">
        <v>35</v>
      </c>
      <c r="E902">
        <v>36</v>
      </c>
      <c r="F902">
        <v>9</v>
      </c>
      <c r="G902">
        <v>0</v>
      </c>
      <c r="H902">
        <v>25</v>
      </c>
      <c r="I902">
        <v>1194</v>
      </c>
      <c r="J902">
        <v>730</v>
      </c>
      <c r="K902">
        <v>4.82</v>
      </c>
      <c r="L902">
        <v>5.0950000000000006</v>
      </c>
      <c r="M902">
        <v>3.88</v>
      </c>
      <c r="N902">
        <v>5.5350000000000001</v>
      </c>
      <c r="O902">
        <v>1641</v>
      </c>
      <c r="P902">
        <v>0</v>
      </c>
      <c r="Q902" s="5" t="e">
        <f>IF(AND(#REF!&gt;=table!$C$6,#REF!&lt;= table!$D$6),-1,IF(AND(#REF!&gt;=table!$E$6,#REF!&lt;=table!$F$6),1,0))</f>
        <v>#REF!</v>
      </c>
      <c r="R902" s="5" t="e">
        <f>IF(AND(#REF!&gt;=table!$C$7,#REF!&lt;= table!$D$7),-1,IF(AND(#REF!&gt;=table!$E$7,#REF!&lt;=table!$F$7),1,0))</f>
        <v>#REF!</v>
      </c>
      <c r="S902" s="5" t="e">
        <f>IF(AND(#REF!&gt;=table!$C$8,#REF!&lt;= table!$D$8),-1,IF(AND(#REF!&gt;=table!$E$8,#REF!&lt;=table!$F$8),1,0))</f>
        <v>#REF!</v>
      </c>
      <c r="T902" s="5"/>
      <c r="U902" s="5" t="e">
        <f>IF(AND(#REF!&gt;=table!$C$10,#REF!&lt;= table!$D$10),-1,IF(AND(#REF!&gt;=table!$E$10,#REF!&lt;=table!$F$10),1,0))</f>
        <v>#REF!</v>
      </c>
      <c r="V902" s="5" t="e">
        <f>IF(AND(#REF!&gt;=table!$C$11,#REF!&lt;= table!$D$11),-1,IF(AND(#REF!&gt;=table!$E$11,#REF!&lt;=table!$F$11),1,0))</f>
        <v>#REF!</v>
      </c>
      <c r="W902" s="5" t="e">
        <f>CONCATENATE(dados[[#This Row],[fator1]],dados[[#This Row],[fator5]],dados[[#This Row],[fator6]])</f>
        <v>#REF!</v>
      </c>
    </row>
    <row r="903" spans="1:23">
      <c r="A903" t="s">
        <v>16</v>
      </c>
      <c r="B903">
        <v>483460</v>
      </c>
      <c r="C903">
        <v>11</v>
      </c>
      <c r="D903">
        <v>35</v>
      </c>
      <c r="E903">
        <v>45</v>
      </c>
      <c r="F903">
        <v>9</v>
      </c>
      <c r="G903">
        <v>0</v>
      </c>
      <c r="H903">
        <v>25</v>
      </c>
      <c r="I903">
        <v>986</v>
      </c>
      <c r="J903">
        <v>0</v>
      </c>
      <c r="K903">
        <v>2.2645</v>
      </c>
      <c r="L903">
        <v>3.0350000000000001</v>
      </c>
      <c r="M903">
        <v>31.85</v>
      </c>
      <c r="N903">
        <v>10.465</v>
      </c>
      <c r="O903">
        <v>1688</v>
      </c>
      <c r="P903">
        <v>1633</v>
      </c>
      <c r="Q903" s="5" t="e">
        <f>IF(AND(#REF!&gt;=table!$C$6,#REF!&lt;= table!$D$6),-1,IF(AND(#REF!&gt;=table!$E$6,#REF!&lt;=table!$F$6),1,0))</f>
        <v>#REF!</v>
      </c>
      <c r="R903" s="5" t="e">
        <f>IF(AND(#REF!&gt;=table!$C$7,#REF!&lt;= table!$D$7),-1,IF(AND(#REF!&gt;=table!$E$7,#REF!&lt;=table!$F$7),1,0))</f>
        <v>#REF!</v>
      </c>
      <c r="S903" s="5" t="e">
        <f>IF(AND(#REF!&gt;=table!$C$8,#REF!&lt;= table!$D$8),-1,IF(AND(#REF!&gt;=table!$E$8,#REF!&lt;=table!$F$8),1,0))</f>
        <v>#REF!</v>
      </c>
      <c r="T903" s="5"/>
      <c r="U903" s="5" t="e">
        <f>IF(AND(#REF!&gt;=table!$C$10,#REF!&lt;= table!$D$10),-1,IF(AND(#REF!&gt;=table!$E$10,#REF!&lt;=table!$F$10),1,0))</f>
        <v>#REF!</v>
      </c>
      <c r="V903" s="5" t="e">
        <f>IF(AND(#REF!&gt;=table!$C$11,#REF!&lt;= table!$D$11),-1,IF(AND(#REF!&gt;=table!$E$11,#REF!&lt;=table!$F$11),1,0))</f>
        <v>#REF!</v>
      </c>
      <c r="W903" s="5" t="e">
        <f>CONCATENATE(dados[[#This Row],[fator1]],dados[[#This Row],[fator5]],dados[[#This Row],[fator6]])</f>
        <v>#REF!</v>
      </c>
    </row>
    <row r="904" spans="1:23">
      <c r="A904" t="s">
        <v>16</v>
      </c>
      <c r="B904">
        <v>483461</v>
      </c>
      <c r="C904">
        <v>16</v>
      </c>
      <c r="D904">
        <v>35</v>
      </c>
      <c r="E904">
        <v>36</v>
      </c>
      <c r="F904">
        <v>10</v>
      </c>
      <c r="G904">
        <v>0</v>
      </c>
      <c r="H904">
        <v>25</v>
      </c>
      <c r="I904">
        <v>557</v>
      </c>
      <c r="J904">
        <v>0</v>
      </c>
      <c r="K904">
        <v>4.3</v>
      </c>
      <c r="L904">
        <v>12.02</v>
      </c>
      <c r="M904">
        <v>29.525000000000002</v>
      </c>
      <c r="N904">
        <v>15.845000000000001</v>
      </c>
      <c r="O904">
        <v>1661</v>
      </c>
      <c r="P904">
        <v>690</v>
      </c>
      <c r="Q904" s="5" t="e">
        <f>IF(AND(#REF!&gt;=table!$C$6,#REF!&lt;= table!$D$6),-1,IF(AND(#REF!&gt;=table!$E$6,#REF!&lt;=table!$F$6),1,0))</f>
        <v>#REF!</v>
      </c>
      <c r="R904" s="5" t="e">
        <f>IF(AND(#REF!&gt;=table!$C$7,#REF!&lt;= table!$D$7),-1,IF(AND(#REF!&gt;=table!$E$7,#REF!&lt;=table!$F$7),1,0))</f>
        <v>#REF!</v>
      </c>
      <c r="S904" s="5" t="e">
        <f>IF(AND(#REF!&gt;=table!$C$8,#REF!&lt;= table!$D$8),-1,IF(AND(#REF!&gt;=table!$E$8,#REF!&lt;=table!$F$8),1,0))</f>
        <v>#REF!</v>
      </c>
      <c r="T904" s="5"/>
      <c r="U904" s="5" t="e">
        <f>IF(AND(#REF!&gt;=table!$C$10,#REF!&lt;= table!$D$10),-1,IF(AND(#REF!&gt;=table!$E$10,#REF!&lt;=table!$F$10),1,0))</f>
        <v>#REF!</v>
      </c>
      <c r="V904" s="5" t="e">
        <f>IF(AND(#REF!&gt;=table!$C$11,#REF!&lt;= table!$D$11),-1,IF(AND(#REF!&gt;=table!$E$11,#REF!&lt;=table!$F$11),1,0))</f>
        <v>#REF!</v>
      </c>
      <c r="W904" s="5" t="e">
        <f>CONCATENATE(dados[[#This Row],[fator1]],dados[[#This Row],[fator5]],dados[[#This Row],[fator6]])</f>
        <v>#REF!</v>
      </c>
    </row>
    <row r="905" spans="1:23">
      <c r="A905" t="s">
        <v>16</v>
      </c>
      <c r="B905">
        <v>483464</v>
      </c>
      <c r="C905">
        <v>10</v>
      </c>
      <c r="D905">
        <v>38</v>
      </c>
      <c r="E905">
        <v>150</v>
      </c>
      <c r="F905">
        <v>4</v>
      </c>
      <c r="G905">
        <v>0</v>
      </c>
      <c r="H905">
        <v>25</v>
      </c>
      <c r="I905">
        <v>449</v>
      </c>
      <c r="J905">
        <v>0</v>
      </c>
      <c r="K905">
        <v>4.1100000000000003</v>
      </c>
      <c r="L905">
        <v>10.875</v>
      </c>
      <c r="M905">
        <v>118.39500000000001</v>
      </c>
      <c r="N905">
        <v>13.06</v>
      </c>
      <c r="O905">
        <v>1684</v>
      </c>
      <c r="P905">
        <v>1018</v>
      </c>
      <c r="Q905" s="5" t="e">
        <f>IF(AND(#REF!&gt;=table!$C$6,#REF!&lt;= table!$D$6),-1,IF(AND(#REF!&gt;=table!$E$6,#REF!&lt;=table!$F$6),1,0))</f>
        <v>#REF!</v>
      </c>
      <c r="R905" s="5" t="e">
        <f>IF(AND(#REF!&gt;=table!$C$7,#REF!&lt;= table!$D$7),-1,IF(AND(#REF!&gt;=table!$E$7,#REF!&lt;=table!$F$7),1,0))</f>
        <v>#REF!</v>
      </c>
      <c r="S905" s="5" t="e">
        <f>IF(AND(#REF!&gt;=table!$C$8,#REF!&lt;= table!$D$8),-1,IF(AND(#REF!&gt;=table!$E$8,#REF!&lt;=table!$F$8),1,0))</f>
        <v>#REF!</v>
      </c>
      <c r="T905" s="5"/>
      <c r="U905" s="5" t="e">
        <f>IF(AND(#REF!&gt;=table!$C$10,#REF!&lt;= table!$D$10),-1,IF(AND(#REF!&gt;=table!$E$10,#REF!&lt;=table!$F$10),1,0))</f>
        <v>#REF!</v>
      </c>
      <c r="V905" s="5" t="e">
        <f>IF(AND(#REF!&gt;=table!$C$11,#REF!&lt;= table!$D$11),-1,IF(AND(#REF!&gt;=table!$E$11,#REF!&lt;=table!$F$11),1,0))</f>
        <v>#REF!</v>
      </c>
      <c r="W905" s="5" t="e">
        <f>CONCATENATE(dados[[#This Row],[fator1]],dados[[#This Row],[fator5]],dados[[#This Row],[fator6]])</f>
        <v>#REF!</v>
      </c>
    </row>
    <row r="906" spans="1:23">
      <c r="A906" t="s">
        <v>16</v>
      </c>
      <c r="B906">
        <v>483465</v>
      </c>
      <c r="C906">
        <v>12</v>
      </c>
      <c r="D906">
        <v>35</v>
      </c>
      <c r="E906">
        <v>86</v>
      </c>
      <c r="F906">
        <v>8</v>
      </c>
      <c r="G906">
        <v>0</v>
      </c>
      <c r="H906">
        <v>25</v>
      </c>
      <c r="I906">
        <v>856</v>
      </c>
      <c r="J906">
        <v>0</v>
      </c>
      <c r="K906">
        <v>4.1100000000000003</v>
      </c>
      <c r="L906">
        <v>10.875</v>
      </c>
      <c r="M906">
        <v>74.665000000000006</v>
      </c>
      <c r="N906">
        <v>12.495000000000001</v>
      </c>
      <c r="O906">
        <v>1664</v>
      </c>
      <c r="P906">
        <v>506</v>
      </c>
      <c r="Q906" s="5" t="e">
        <f>IF(AND(#REF!&gt;=table!$C$6,#REF!&lt;= table!$D$6),-1,IF(AND(#REF!&gt;=table!$E$6,#REF!&lt;=table!$F$6),1,0))</f>
        <v>#REF!</v>
      </c>
      <c r="R906" s="5" t="e">
        <f>IF(AND(#REF!&gt;=table!$C$7,#REF!&lt;= table!$D$7),-1,IF(AND(#REF!&gt;=table!$E$7,#REF!&lt;=table!$F$7),1,0))</f>
        <v>#REF!</v>
      </c>
      <c r="S906" s="5" t="e">
        <f>IF(AND(#REF!&gt;=table!$C$8,#REF!&lt;= table!$D$8),-1,IF(AND(#REF!&gt;=table!$E$8,#REF!&lt;=table!$F$8),1,0))</f>
        <v>#REF!</v>
      </c>
      <c r="T906" s="5"/>
      <c r="U906" s="5" t="e">
        <f>IF(AND(#REF!&gt;=table!$C$10,#REF!&lt;= table!$D$10),-1,IF(AND(#REF!&gt;=table!$E$10,#REF!&lt;=table!$F$10),1,0))</f>
        <v>#REF!</v>
      </c>
      <c r="V906" s="5" t="e">
        <f>IF(AND(#REF!&gt;=table!$C$11,#REF!&lt;= table!$D$11),-1,IF(AND(#REF!&gt;=table!$E$11,#REF!&lt;=table!$F$11),1,0))</f>
        <v>#REF!</v>
      </c>
      <c r="W906" s="5" t="e">
        <f>CONCATENATE(dados[[#This Row],[fator1]],dados[[#This Row],[fator5]],dados[[#This Row],[fator6]])</f>
        <v>#REF!</v>
      </c>
    </row>
    <row r="907" spans="1:23">
      <c r="A907" t="s">
        <v>17</v>
      </c>
      <c r="B907">
        <v>483484</v>
      </c>
      <c r="C907">
        <v>14</v>
      </c>
      <c r="D907">
        <v>30</v>
      </c>
      <c r="E907">
        <v>86</v>
      </c>
      <c r="F907">
        <v>9</v>
      </c>
      <c r="G907">
        <v>20</v>
      </c>
      <c r="H907">
        <v>25</v>
      </c>
      <c r="I907">
        <v>949</v>
      </c>
      <c r="J907">
        <v>0</v>
      </c>
      <c r="K907">
        <v>3.105</v>
      </c>
      <c r="L907">
        <v>13.25</v>
      </c>
      <c r="M907">
        <v>23.400000000000002</v>
      </c>
      <c r="N907">
        <v>18.5</v>
      </c>
      <c r="O907">
        <v>1683</v>
      </c>
      <c r="P907">
        <v>1169</v>
      </c>
      <c r="Q907" s="5" t="e">
        <f>IF(AND(#REF!&gt;=table!$C$6,#REF!&lt;= table!$D$6),-1,IF(AND(#REF!&gt;=table!$E$6,#REF!&lt;=table!$F$6),1,0))</f>
        <v>#REF!</v>
      </c>
      <c r="R907" s="5" t="e">
        <f>IF(AND(#REF!&gt;=table!$C$7,#REF!&lt;= table!$D$7),-1,IF(AND(#REF!&gt;=table!$E$7,#REF!&lt;=table!$F$7),1,0))</f>
        <v>#REF!</v>
      </c>
      <c r="S907" s="5" t="e">
        <f>IF(AND(#REF!&gt;=table!$C$8,#REF!&lt;= table!$D$8),-1,IF(AND(#REF!&gt;=table!$E$8,#REF!&lt;=table!$F$8),1,0))</f>
        <v>#REF!</v>
      </c>
      <c r="T907" s="5"/>
      <c r="U907" s="5" t="e">
        <f>IF(AND(#REF!&gt;=table!$C$10,#REF!&lt;= table!$D$10),-1,IF(AND(#REF!&gt;=table!$E$10,#REF!&lt;=table!$F$10),1,0))</f>
        <v>#REF!</v>
      </c>
      <c r="V907" s="5" t="e">
        <f>IF(AND(#REF!&gt;=table!$C$11,#REF!&lt;= table!$D$11),-1,IF(AND(#REF!&gt;=table!$E$11,#REF!&lt;=table!$F$11),1,0))</f>
        <v>#REF!</v>
      </c>
      <c r="W907" s="5" t="e">
        <f>CONCATENATE(dados[[#This Row],[fator1]],dados[[#This Row],[fator5]],dados[[#This Row],[fator6]])</f>
        <v>#REF!</v>
      </c>
    </row>
    <row r="908" spans="1:23">
      <c r="A908" t="s">
        <v>17</v>
      </c>
      <c r="B908">
        <v>483487</v>
      </c>
      <c r="C908">
        <v>10</v>
      </c>
      <c r="D908">
        <v>25</v>
      </c>
      <c r="E908">
        <v>40</v>
      </c>
      <c r="F908">
        <v>10</v>
      </c>
      <c r="G908">
        <v>110</v>
      </c>
      <c r="H908">
        <v>50</v>
      </c>
      <c r="I908">
        <v>633</v>
      </c>
      <c r="J908">
        <v>0</v>
      </c>
      <c r="K908">
        <v>3.085</v>
      </c>
      <c r="L908">
        <v>5.8</v>
      </c>
      <c r="M908">
        <v>34.85</v>
      </c>
      <c r="N908">
        <v>22.400000000000002</v>
      </c>
      <c r="O908">
        <v>1621</v>
      </c>
      <c r="P908">
        <v>980</v>
      </c>
      <c r="Q908" s="5" t="e">
        <f>IF(AND(#REF!&gt;=table!$C$6,#REF!&lt;= table!$D$6),-1,IF(AND(#REF!&gt;=table!$E$6,#REF!&lt;=table!$F$6),1,0))</f>
        <v>#REF!</v>
      </c>
      <c r="R908" s="5" t="e">
        <f>IF(AND(#REF!&gt;=table!$C$7,#REF!&lt;= table!$D$7),-1,IF(AND(#REF!&gt;=table!$E$7,#REF!&lt;=table!$F$7),1,0))</f>
        <v>#REF!</v>
      </c>
      <c r="S908" s="5" t="e">
        <f>IF(AND(#REF!&gt;=table!$C$8,#REF!&lt;= table!$D$8),-1,IF(AND(#REF!&gt;=table!$E$8,#REF!&lt;=table!$F$8),1,0))</f>
        <v>#REF!</v>
      </c>
      <c r="T908" s="5"/>
      <c r="U908" s="5" t="e">
        <f>IF(AND(#REF!&gt;=table!$C$10,#REF!&lt;= table!$D$10),-1,IF(AND(#REF!&gt;=table!$E$10,#REF!&lt;=table!$F$10),1,0))</f>
        <v>#REF!</v>
      </c>
      <c r="V908" s="5" t="e">
        <f>IF(AND(#REF!&gt;=table!$C$11,#REF!&lt;= table!$D$11),-1,IF(AND(#REF!&gt;=table!$E$11,#REF!&lt;=table!$F$11),1,0))</f>
        <v>#REF!</v>
      </c>
      <c r="W908" s="5" t="e">
        <f>CONCATENATE(dados[[#This Row],[fator1]],dados[[#This Row],[fator5]],dados[[#This Row],[fator6]])</f>
        <v>#REF!</v>
      </c>
    </row>
    <row r="909" spans="1:23">
      <c r="A909" t="s">
        <v>17</v>
      </c>
      <c r="B909">
        <v>483489</v>
      </c>
      <c r="C909">
        <v>7</v>
      </c>
      <c r="D909">
        <v>25</v>
      </c>
      <c r="E909">
        <v>106</v>
      </c>
      <c r="F909">
        <v>9</v>
      </c>
      <c r="G909">
        <v>110</v>
      </c>
      <c r="H909">
        <v>50</v>
      </c>
      <c r="I909">
        <v>0</v>
      </c>
      <c r="J909">
        <v>0</v>
      </c>
      <c r="K909">
        <v>2.5335000000000001</v>
      </c>
      <c r="L909">
        <v>7.1750000000000007</v>
      </c>
      <c r="M909">
        <v>105.94</v>
      </c>
      <c r="N909">
        <v>43.274999999999999</v>
      </c>
      <c r="O909">
        <v>1686</v>
      </c>
      <c r="P909">
        <v>1315</v>
      </c>
      <c r="Q909" s="5" t="e">
        <f>IF(AND(#REF!&gt;=table!$C$6,#REF!&lt;= table!$D$6),-1,IF(AND(#REF!&gt;=table!$E$6,#REF!&lt;=table!$F$6),1,0))</f>
        <v>#REF!</v>
      </c>
      <c r="R909" s="5" t="e">
        <f>IF(AND(#REF!&gt;=table!$C$7,#REF!&lt;= table!$D$7),-1,IF(AND(#REF!&gt;=table!$E$7,#REF!&lt;=table!$F$7),1,0))</f>
        <v>#REF!</v>
      </c>
      <c r="S909" s="5" t="e">
        <f>IF(AND(#REF!&gt;=table!$C$8,#REF!&lt;= table!$D$8),-1,IF(AND(#REF!&gt;=table!$E$8,#REF!&lt;=table!$F$8),1,0))</f>
        <v>#REF!</v>
      </c>
      <c r="T909" s="5"/>
      <c r="U909" s="5" t="e">
        <f>IF(AND(#REF!&gt;=table!$C$10,#REF!&lt;= table!$D$10),-1,IF(AND(#REF!&gt;=table!$E$10,#REF!&lt;=table!$F$10),1,0))</f>
        <v>#REF!</v>
      </c>
      <c r="V909" s="5" t="e">
        <f>IF(AND(#REF!&gt;=table!$C$11,#REF!&lt;= table!$D$11),-1,IF(AND(#REF!&gt;=table!$E$11,#REF!&lt;=table!$F$11),1,0))</f>
        <v>#REF!</v>
      </c>
      <c r="W909" s="5" t="e">
        <f>CONCATENATE(dados[[#This Row],[fator1]],dados[[#This Row],[fator5]],dados[[#This Row],[fator6]])</f>
        <v>#REF!</v>
      </c>
    </row>
    <row r="910" spans="1:23">
      <c r="A910" t="s">
        <v>17</v>
      </c>
      <c r="B910">
        <v>483490</v>
      </c>
      <c r="C910">
        <v>12</v>
      </c>
      <c r="D910">
        <v>25</v>
      </c>
      <c r="E910">
        <v>120</v>
      </c>
      <c r="F910">
        <v>9</v>
      </c>
      <c r="G910">
        <v>110</v>
      </c>
      <c r="H910">
        <v>50</v>
      </c>
      <c r="I910">
        <v>5</v>
      </c>
      <c r="J910">
        <v>0</v>
      </c>
      <c r="K910">
        <v>4.8267000000000007</v>
      </c>
      <c r="L910">
        <v>12.85</v>
      </c>
      <c r="M910">
        <v>101.60000000000001</v>
      </c>
      <c r="N910">
        <v>35.700000000000003</v>
      </c>
      <c r="O910">
        <v>1660</v>
      </c>
      <c r="P910">
        <v>0</v>
      </c>
      <c r="Q910" s="5" t="e">
        <f>IF(AND(#REF!&gt;=table!$C$6,#REF!&lt;= table!$D$6),-1,IF(AND(#REF!&gt;=table!$E$6,#REF!&lt;=table!$F$6),1,0))</f>
        <v>#REF!</v>
      </c>
      <c r="R910" s="5" t="e">
        <f>IF(AND(#REF!&gt;=table!$C$7,#REF!&lt;= table!$D$7),-1,IF(AND(#REF!&gt;=table!$E$7,#REF!&lt;=table!$F$7),1,0))</f>
        <v>#REF!</v>
      </c>
      <c r="S910" s="5" t="e">
        <f>IF(AND(#REF!&gt;=table!$C$8,#REF!&lt;= table!$D$8),-1,IF(AND(#REF!&gt;=table!$E$8,#REF!&lt;=table!$F$8),1,0))</f>
        <v>#REF!</v>
      </c>
      <c r="T910" s="5"/>
      <c r="U910" s="5" t="e">
        <f>IF(AND(#REF!&gt;=table!$C$10,#REF!&lt;= table!$D$10),-1,IF(AND(#REF!&gt;=table!$E$10,#REF!&lt;=table!$F$10),1,0))</f>
        <v>#REF!</v>
      </c>
      <c r="V910" s="5" t="e">
        <f>IF(AND(#REF!&gt;=table!$C$11,#REF!&lt;= table!$D$11),-1,IF(AND(#REF!&gt;=table!$E$11,#REF!&lt;=table!$F$11),1,0))</f>
        <v>#REF!</v>
      </c>
      <c r="W910" s="5" t="e">
        <f>CONCATENATE(dados[[#This Row],[fator1]],dados[[#This Row],[fator5]],dados[[#This Row],[fator6]])</f>
        <v>#REF!</v>
      </c>
    </row>
    <row r="911" spans="1:23">
      <c r="A911" t="s">
        <v>17</v>
      </c>
      <c r="B911">
        <v>483491</v>
      </c>
      <c r="C911">
        <v>12</v>
      </c>
      <c r="D911">
        <v>25</v>
      </c>
      <c r="E911">
        <v>120</v>
      </c>
      <c r="F911">
        <v>9</v>
      </c>
      <c r="G911">
        <v>110</v>
      </c>
      <c r="H911">
        <v>50</v>
      </c>
      <c r="I911">
        <v>452</v>
      </c>
      <c r="J911">
        <v>0</v>
      </c>
      <c r="K911">
        <v>6.5250000000000004</v>
      </c>
      <c r="L911">
        <v>11.85</v>
      </c>
      <c r="M911">
        <v>112.8</v>
      </c>
      <c r="N911">
        <v>36.9</v>
      </c>
      <c r="O911">
        <v>1688</v>
      </c>
      <c r="P911">
        <v>557</v>
      </c>
      <c r="Q911" s="5" t="e">
        <f>IF(AND(#REF!&gt;=table!$C$6,#REF!&lt;= table!$D$6),-1,IF(AND(#REF!&gt;=table!$E$6,#REF!&lt;=table!$F$6),1,0))</f>
        <v>#REF!</v>
      </c>
      <c r="R911" s="5" t="e">
        <f>IF(AND(#REF!&gt;=table!$C$7,#REF!&lt;= table!$D$7),-1,IF(AND(#REF!&gt;=table!$E$7,#REF!&lt;=table!$F$7),1,0))</f>
        <v>#REF!</v>
      </c>
      <c r="S911" s="5" t="e">
        <f>IF(AND(#REF!&gt;=table!$C$8,#REF!&lt;= table!$D$8),-1,IF(AND(#REF!&gt;=table!$E$8,#REF!&lt;=table!$F$8),1,0))</f>
        <v>#REF!</v>
      </c>
      <c r="T911" s="5"/>
      <c r="U911" s="5" t="e">
        <f>IF(AND(#REF!&gt;=table!$C$10,#REF!&lt;= table!$D$10),-1,IF(AND(#REF!&gt;=table!$E$10,#REF!&lt;=table!$F$10),1,0))</f>
        <v>#REF!</v>
      </c>
      <c r="V911" s="5" t="e">
        <f>IF(AND(#REF!&gt;=table!$C$11,#REF!&lt;= table!$D$11),-1,IF(AND(#REF!&gt;=table!$E$11,#REF!&lt;=table!$F$11),1,0))</f>
        <v>#REF!</v>
      </c>
      <c r="W911" s="5" t="e">
        <f>CONCATENATE(dados[[#This Row],[fator1]],dados[[#This Row],[fator5]],dados[[#This Row],[fator6]])</f>
        <v>#REF!</v>
      </c>
    </row>
    <row r="912" spans="1:23">
      <c r="A912" t="s">
        <v>17</v>
      </c>
      <c r="B912">
        <v>483492</v>
      </c>
      <c r="C912">
        <v>16</v>
      </c>
      <c r="D912">
        <v>30</v>
      </c>
      <c r="E912">
        <v>116</v>
      </c>
      <c r="F912">
        <v>6</v>
      </c>
      <c r="G912">
        <v>20</v>
      </c>
      <c r="H912">
        <v>25</v>
      </c>
      <c r="I912">
        <v>0</v>
      </c>
      <c r="J912">
        <v>0</v>
      </c>
      <c r="K912">
        <v>3.0649999999999999</v>
      </c>
      <c r="L912">
        <v>9.85</v>
      </c>
      <c r="M912">
        <v>96.885000000000005</v>
      </c>
      <c r="N912">
        <v>19.95</v>
      </c>
      <c r="O912">
        <v>1694</v>
      </c>
      <c r="P912">
        <v>0</v>
      </c>
      <c r="Q912" s="5" t="e">
        <f>IF(AND(#REF!&gt;=table!$C$6,#REF!&lt;= table!$D$6),-1,IF(AND(#REF!&gt;=table!$E$6,#REF!&lt;=table!$F$6),1,0))</f>
        <v>#REF!</v>
      </c>
      <c r="R912" s="5" t="e">
        <f>IF(AND(#REF!&gt;=table!$C$7,#REF!&lt;= table!$D$7),-1,IF(AND(#REF!&gt;=table!$E$7,#REF!&lt;=table!$F$7),1,0))</f>
        <v>#REF!</v>
      </c>
      <c r="S912" s="5" t="e">
        <f>IF(AND(#REF!&gt;=table!$C$8,#REF!&lt;= table!$D$8),-1,IF(AND(#REF!&gt;=table!$E$8,#REF!&lt;=table!$F$8),1,0))</f>
        <v>#REF!</v>
      </c>
      <c r="T912" s="5"/>
      <c r="U912" s="5" t="e">
        <f>IF(AND(#REF!&gt;=table!$C$10,#REF!&lt;= table!$D$10),-1,IF(AND(#REF!&gt;=table!$E$10,#REF!&lt;=table!$F$10),1,0))</f>
        <v>#REF!</v>
      </c>
      <c r="V912" s="5" t="e">
        <f>IF(AND(#REF!&gt;=table!$C$11,#REF!&lt;= table!$D$11),-1,IF(AND(#REF!&gt;=table!$E$11,#REF!&lt;=table!$F$11),1,0))</f>
        <v>#REF!</v>
      </c>
      <c r="W912" s="5" t="e">
        <f>CONCATENATE(dados[[#This Row],[fator1]],dados[[#This Row],[fator5]],dados[[#This Row],[fator6]])</f>
        <v>#REF!</v>
      </c>
    </row>
    <row r="913" spans="1:23">
      <c r="A913" t="s">
        <v>17</v>
      </c>
      <c r="B913">
        <v>483496</v>
      </c>
      <c r="C913">
        <v>16</v>
      </c>
      <c r="D913">
        <v>30</v>
      </c>
      <c r="E913">
        <v>106</v>
      </c>
      <c r="F913">
        <v>6</v>
      </c>
      <c r="G913">
        <v>20</v>
      </c>
      <c r="H913">
        <v>25</v>
      </c>
      <c r="I913">
        <v>426</v>
      </c>
      <c r="J913">
        <v>0</v>
      </c>
      <c r="K913">
        <v>5.8</v>
      </c>
      <c r="L913">
        <v>10.450000000000001</v>
      </c>
      <c r="M913">
        <v>100.74000000000001</v>
      </c>
      <c r="N913">
        <v>14.145000000000001</v>
      </c>
      <c r="O913">
        <v>1690</v>
      </c>
      <c r="P913">
        <v>582</v>
      </c>
      <c r="Q913" s="5" t="e">
        <f>IF(AND(#REF!&gt;=table!$C$6,#REF!&lt;= table!$D$6),-1,IF(AND(#REF!&gt;=table!$E$6,#REF!&lt;=table!$F$6),1,0))</f>
        <v>#REF!</v>
      </c>
      <c r="R913" s="5" t="e">
        <f>IF(AND(#REF!&gt;=table!$C$7,#REF!&lt;= table!$D$7),-1,IF(AND(#REF!&gt;=table!$E$7,#REF!&lt;=table!$F$7),1,0))</f>
        <v>#REF!</v>
      </c>
      <c r="S913" s="5" t="e">
        <f>IF(AND(#REF!&gt;=table!$C$8,#REF!&lt;= table!$D$8),-1,IF(AND(#REF!&gt;=table!$E$8,#REF!&lt;=table!$F$8),1,0))</f>
        <v>#REF!</v>
      </c>
      <c r="T913" s="5"/>
      <c r="U913" s="5" t="e">
        <f>IF(AND(#REF!&gt;=table!$C$10,#REF!&lt;= table!$D$10),-1,IF(AND(#REF!&gt;=table!$E$10,#REF!&lt;=table!$F$10),1,0))</f>
        <v>#REF!</v>
      </c>
      <c r="V913" s="5" t="e">
        <f>IF(AND(#REF!&gt;=table!$C$11,#REF!&lt;= table!$D$11),-1,IF(AND(#REF!&gt;=table!$E$11,#REF!&lt;=table!$F$11),1,0))</f>
        <v>#REF!</v>
      </c>
      <c r="W913" s="5" t="e">
        <f>CONCATENATE(dados[[#This Row],[fator1]],dados[[#This Row],[fator5]],dados[[#This Row],[fator6]])</f>
        <v>#REF!</v>
      </c>
    </row>
    <row r="914" spans="1:23">
      <c r="A914" t="s">
        <v>16</v>
      </c>
      <c r="B914">
        <v>483500</v>
      </c>
      <c r="C914">
        <v>0.15</v>
      </c>
      <c r="D914">
        <v>40</v>
      </c>
      <c r="E914">
        <v>10</v>
      </c>
      <c r="F914">
        <v>15</v>
      </c>
      <c r="G914">
        <v>0</v>
      </c>
      <c r="H914">
        <v>15</v>
      </c>
      <c r="I914">
        <v>749</v>
      </c>
      <c r="J914">
        <v>0</v>
      </c>
      <c r="K914">
        <v>2.4955000000000003</v>
      </c>
      <c r="L914">
        <v>4.9400000000000004</v>
      </c>
      <c r="M914">
        <v>4.6349999999999998</v>
      </c>
      <c r="N914">
        <v>7.55</v>
      </c>
      <c r="O914">
        <v>1671</v>
      </c>
      <c r="P914">
        <v>1390</v>
      </c>
      <c r="Q914" s="5" t="e">
        <f>IF(AND(#REF!&gt;=table!$C$6,#REF!&lt;= table!$D$6),-1,IF(AND(#REF!&gt;=table!$E$6,#REF!&lt;=table!$F$6),1,0))</f>
        <v>#REF!</v>
      </c>
      <c r="R914" s="5" t="e">
        <f>IF(AND(#REF!&gt;=table!$C$7,#REF!&lt;= table!$D$7),-1,IF(AND(#REF!&gt;=table!$E$7,#REF!&lt;=table!$F$7),1,0))</f>
        <v>#REF!</v>
      </c>
      <c r="S914" s="5" t="e">
        <f>IF(AND(#REF!&gt;=table!$C$8,#REF!&lt;= table!$D$8),-1,IF(AND(#REF!&gt;=table!$E$8,#REF!&lt;=table!$F$8),1,0))</f>
        <v>#REF!</v>
      </c>
      <c r="T914" s="5"/>
      <c r="U914" s="5" t="e">
        <f>IF(AND(#REF!&gt;=table!$C$10,#REF!&lt;= table!$D$10),-1,IF(AND(#REF!&gt;=table!$E$10,#REF!&lt;=table!$F$10),1,0))</f>
        <v>#REF!</v>
      </c>
      <c r="V914" s="5" t="e">
        <f>IF(AND(#REF!&gt;=table!$C$11,#REF!&lt;= table!$D$11),-1,IF(AND(#REF!&gt;=table!$E$11,#REF!&lt;=table!$F$11),1,0))</f>
        <v>#REF!</v>
      </c>
      <c r="W914" s="5" t="e">
        <f>CONCATENATE(dados[[#This Row],[fator1]],dados[[#This Row],[fator5]],dados[[#This Row],[fator6]])</f>
        <v>#REF!</v>
      </c>
    </row>
    <row r="915" spans="1:23">
      <c r="A915" t="s">
        <v>16</v>
      </c>
      <c r="B915">
        <v>483501</v>
      </c>
      <c r="C915">
        <v>0.15</v>
      </c>
      <c r="D915">
        <v>40</v>
      </c>
      <c r="E915">
        <v>10</v>
      </c>
      <c r="F915">
        <v>15</v>
      </c>
      <c r="G915">
        <v>0</v>
      </c>
      <c r="H915">
        <v>15</v>
      </c>
      <c r="I915">
        <v>747</v>
      </c>
      <c r="J915">
        <v>0</v>
      </c>
      <c r="K915">
        <v>3.0649999999999999</v>
      </c>
      <c r="L915">
        <v>4.25</v>
      </c>
      <c r="M915">
        <v>4.5</v>
      </c>
      <c r="N915">
        <v>4.95</v>
      </c>
      <c r="O915">
        <v>1654</v>
      </c>
      <c r="P915">
        <v>1144</v>
      </c>
      <c r="Q915" s="5" t="e">
        <f>IF(AND(#REF!&gt;=table!$C$6,#REF!&lt;= table!$D$6),-1,IF(AND(#REF!&gt;=table!$E$6,#REF!&lt;=table!$F$6),1,0))</f>
        <v>#REF!</v>
      </c>
      <c r="R915" s="5" t="e">
        <f>IF(AND(#REF!&gt;=table!$C$7,#REF!&lt;= table!$D$7),-1,IF(AND(#REF!&gt;=table!$E$7,#REF!&lt;=table!$F$7),1,0))</f>
        <v>#REF!</v>
      </c>
      <c r="S915" s="5" t="e">
        <f>IF(AND(#REF!&gt;=table!$C$8,#REF!&lt;= table!$D$8),-1,IF(AND(#REF!&gt;=table!$E$8,#REF!&lt;=table!$F$8),1,0))</f>
        <v>#REF!</v>
      </c>
      <c r="T915" s="5"/>
      <c r="U915" s="5" t="e">
        <f>IF(AND(#REF!&gt;=table!$C$10,#REF!&lt;= table!$D$10),-1,IF(AND(#REF!&gt;=table!$E$10,#REF!&lt;=table!$F$10),1,0))</f>
        <v>#REF!</v>
      </c>
      <c r="V915" s="5" t="e">
        <f>IF(AND(#REF!&gt;=table!$C$11,#REF!&lt;= table!$D$11),-1,IF(AND(#REF!&gt;=table!$E$11,#REF!&lt;=table!$F$11),1,0))</f>
        <v>#REF!</v>
      </c>
      <c r="W915" s="5" t="e">
        <f>CONCATENATE(dados[[#This Row],[fator1]],dados[[#This Row],[fator5]],dados[[#This Row],[fator6]])</f>
        <v>#REF!</v>
      </c>
    </row>
    <row r="916" spans="1:23">
      <c r="A916" t="s">
        <v>16</v>
      </c>
      <c r="B916">
        <v>483503</v>
      </c>
      <c r="C916">
        <v>0.15</v>
      </c>
      <c r="D916">
        <v>40</v>
      </c>
      <c r="E916">
        <v>10</v>
      </c>
      <c r="F916">
        <v>15</v>
      </c>
      <c r="G916">
        <v>0</v>
      </c>
      <c r="H916">
        <v>15</v>
      </c>
      <c r="I916">
        <v>1065</v>
      </c>
      <c r="J916">
        <v>0</v>
      </c>
      <c r="K916">
        <v>2.4650000000000003</v>
      </c>
      <c r="L916">
        <v>4.6000000000000005</v>
      </c>
      <c r="M916">
        <v>3.9</v>
      </c>
      <c r="N916">
        <v>7.5</v>
      </c>
      <c r="O916">
        <v>1679</v>
      </c>
      <c r="P916">
        <v>1245</v>
      </c>
      <c r="Q916" s="5" t="e">
        <f>IF(AND(#REF!&gt;=table!$C$6,#REF!&lt;= table!$D$6),-1,IF(AND(#REF!&gt;=table!$E$6,#REF!&lt;=table!$F$6),1,0))</f>
        <v>#REF!</v>
      </c>
      <c r="R916" s="5" t="e">
        <f>IF(AND(#REF!&gt;=table!$C$7,#REF!&lt;= table!$D$7),-1,IF(AND(#REF!&gt;=table!$E$7,#REF!&lt;=table!$F$7),1,0))</f>
        <v>#REF!</v>
      </c>
      <c r="S916" s="5" t="e">
        <f>IF(AND(#REF!&gt;=table!$C$8,#REF!&lt;= table!$D$8),-1,IF(AND(#REF!&gt;=table!$E$8,#REF!&lt;=table!$F$8),1,0))</f>
        <v>#REF!</v>
      </c>
      <c r="T916" s="5"/>
      <c r="U916" s="5" t="e">
        <f>IF(AND(#REF!&gt;=table!$C$10,#REF!&lt;= table!$D$10),-1,IF(AND(#REF!&gt;=table!$E$10,#REF!&lt;=table!$F$10),1,0))</f>
        <v>#REF!</v>
      </c>
      <c r="V916" s="5" t="e">
        <f>IF(AND(#REF!&gt;=table!$C$11,#REF!&lt;= table!$D$11),-1,IF(AND(#REF!&gt;=table!$E$11,#REF!&lt;=table!$F$11),1,0))</f>
        <v>#REF!</v>
      </c>
      <c r="W916" s="5" t="e">
        <f>CONCATENATE(dados[[#This Row],[fator1]],dados[[#This Row],[fator5]],dados[[#This Row],[fator6]])</f>
        <v>#REF!</v>
      </c>
    </row>
    <row r="917" spans="1:23">
      <c r="A917" t="s">
        <v>16</v>
      </c>
      <c r="B917">
        <v>483508</v>
      </c>
      <c r="C917">
        <v>0.15</v>
      </c>
      <c r="D917">
        <v>40</v>
      </c>
      <c r="E917">
        <v>10</v>
      </c>
      <c r="F917">
        <v>15</v>
      </c>
      <c r="G917">
        <v>0</v>
      </c>
      <c r="H917">
        <v>15</v>
      </c>
      <c r="I917">
        <v>1213</v>
      </c>
      <c r="J917">
        <v>0</v>
      </c>
      <c r="K917">
        <v>3.1950000000000003</v>
      </c>
      <c r="L917">
        <v>7.55</v>
      </c>
      <c r="M917">
        <v>6.2</v>
      </c>
      <c r="N917">
        <v>9.4500000000000011</v>
      </c>
      <c r="O917">
        <v>1685</v>
      </c>
      <c r="P917">
        <v>1185</v>
      </c>
      <c r="Q917" s="5" t="e">
        <f>IF(AND(#REF!&gt;=table!$C$6,#REF!&lt;= table!$D$6),-1,IF(AND(#REF!&gt;=table!$E$6,#REF!&lt;=table!$F$6),1,0))</f>
        <v>#REF!</v>
      </c>
      <c r="R917" s="5" t="e">
        <f>IF(AND(#REF!&gt;=table!$C$7,#REF!&lt;= table!$D$7),-1,IF(AND(#REF!&gt;=table!$E$7,#REF!&lt;=table!$F$7),1,0))</f>
        <v>#REF!</v>
      </c>
      <c r="S917" s="5" t="e">
        <f>IF(AND(#REF!&gt;=table!$C$8,#REF!&lt;= table!$D$8),-1,IF(AND(#REF!&gt;=table!$E$8,#REF!&lt;=table!$F$8),1,0))</f>
        <v>#REF!</v>
      </c>
      <c r="T917" s="5"/>
      <c r="U917" s="5" t="e">
        <f>IF(AND(#REF!&gt;=table!$C$10,#REF!&lt;= table!$D$10),-1,IF(AND(#REF!&gt;=table!$E$10,#REF!&lt;=table!$F$10),1,0))</f>
        <v>#REF!</v>
      </c>
      <c r="V917" s="5" t="e">
        <f>IF(AND(#REF!&gt;=table!$C$11,#REF!&lt;= table!$D$11),-1,IF(AND(#REF!&gt;=table!$E$11,#REF!&lt;=table!$F$11),1,0))</f>
        <v>#REF!</v>
      </c>
      <c r="W917" s="5" t="e">
        <f>CONCATENATE(dados[[#This Row],[fator1]],dados[[#This Row],[fator5]],dados[[#This Row],[fator6]])</f>
        <v>#REF!</v>
      </c>
    </row>
    <row r="918" spans="1:23">
      <c r="A918" t="s">
        <v>16</v>
      </c>
      <c r="B918">
        <v>483509</v>
      </c>
      <c r="C918">
        <v>0.15</v>
      </c>
      <c r="D918">
        <v>40</v>
      </c>
      <c r="E918">
        <v>10</v>
      </c>
      <c r="F918">
        <v>15</v>
      </c>
      <c r="G918">
        <v>0</v>
      </c>
      <c r="H918">
        <v>15</v>
      </c>
      <c r="I918">
        <v>2</v>
      </c>
      <c r="J918">
        <v>0</v>
      </c>
      <c r="K918">
        <v>3.4</v>
      </c>
      <c r="L918">
        <v>8.4499999999999993</v>
      </c>
      <c r="M918">
        <v>7.25</v>
      </c>
      <c r="N918">
        <v>10.3</v>
      </c>
      <c r="O918">
        <v>1687</v>
      </c>
      <c r="P918">
        <v>0</v>
      </c>
      <c r="Q918" s="5" t="e">
        <f>IF(AND(#REF!&gt;=table!$C$6,#REF!&lt;= table!$D$6),-1,IF(AND(#REF!&gt;=table!$E$6,#REF!&lt;=table!$F$6),1,0))</f>
        <v>#REF!</v>
      </c>
      <c r="R918" s="5" t="e">
        <f>IF(AND(#REF!&gt;=table!$C$7,#REF!&lt;= table!$D$7),-1,IF(AND(#REF!&gt;=table!$E$7,#REF!&lt;=table!$F$7),1,0))</f>
        <v>#REF!</v>
      </c>
      <c r="S918" s="5" t="e">
        <f>IF(AND(#REF!&gt;=table!$C$8,#REF!&lt;= table!$D$8),-1,IF(AND(#REF!&gt;=table!$E$8,#REF!&lt;=table!$F$8),1,0))</f>
        <v>#REF!</v>
      </c>
      <c r="T918" s="5"/>
      <c r="U918" s="5" t="e">
        <f>IF(AND(#REF!&gt;=table!$C$10,#REF!&lt;= table!$D$10),-1,IF(AND(#REF!&gt;=table!$E$10,#REF!&lt;=table!$F$10),1,0))</f>
        <v>#REF!</v>
      </c>
      <c r="V918" s="5" t="e">
        <f>IF(AND(#REF!&gt;=table!$C$11,#REF!&lt;= table!$D$11),-1,IF(AND(#REF!&gt;=table!$E$11,#REF!&lt;=table!$F$11),1,0))</f>
        <v>#REF!</v>
      </c>
      <c r="W918" s="5" t="e">
        <f>CONCATENATE(dados[[#This Row],[fator1]],dados[[#This Row],[fator5]],dados[[#This Row],[fator6]])</f>
        <v>#REF!</v>
      </c>
    </row>
    <row r="919" spans="1:23">
      <c r="A919" t="s">
        <v>16</v>
      </c>
      <c r="B919">
        <v>483513</v>
      </c>
      <c r="C919">
        <v>0.15</v>
      </c>
      <c r="D919">
        <v>40</v>
      </c>
      <c r="E919">
        <v>64</v>
      </c>
      <c r="F919">
        <v>10</v>
      </c>
      <c r="G919">
        <v>0</v>
      </c>
      <c r="H919">
        <v>35</v>
      </c>
      <c r="I919">
        <v>585</v>
      </c>
      <c r="J919">
        <v>420</v>
      </c>
      <c r="K919">
        <v>2.1160000000000001</v>
      </c>
      <c r="L919">
        <v>4.3050000000000006</v>
      </c>
      <c r="M919">
        <v>3.8000000000000003</v>
      </c>
      <c r="N919">
        <v>11.15</v>
      </c>
      <c r="O919">
        <v>1647</v>
      </c>
      <c r="P919">
        <v>0</v>
      </c>
      <c r="Q919" s="5" t="e">
        <f>IF(AND(#REF!&gt;=table!$C$6,#REF!&lt;= table!$D$6),-1,IF(AND(#REF!&gt;=table!$E$6,#REF!&lt;=table!$F$6),1,0))</f>
        <v>#REF!</v>
      </c>
      <c r="R919" s="5" t="e">
        <f>IF(AND(#REF!&gt;=table!$C$7,#REF!&lt;= table!$D$7),-1,IF(AND(#REF!&gt;=table!$E$7,#REF!&lt;=table!$F$7),1,0))</f>
        <v>#REF!</v>
      </c>
      <c r="S919" s="5" t="e">
        <f>IF(AND(#REF!&gt;=table!$C$8,#REF!&lt;= table!$D$8),-1,IF(AND(#REF!&gt;=table!$E$8,#REF!&lt;=table!$F$8),1,0))</f>
        <v>#REF!</v>
      </c>
      <c r="T919" s="5"/>
      <c r="U919" s="5" t="e">
        <f>IF(AND(#REF!&gt;=table!$C$10,#REF!&lt;= table!$D$10),-1,IF(AND(#REF!&gt;=table!$E$10,#REF!&lt;=table!$F$10),1,0))</f>
        <v>#REF!</v>
      </c>
      <c r="V919" s="5" t="e">
        <f>IF(AND(#REF!&gt;=table!$C$11,#REF!&lt;= table!$D$11),-1,IF(AND(#REF!&gt;=table!$E$11,#REF!&lt;=table!$F$11),1,0))</f>
        <v>#REF!</v>
      </c>
      <c r="W919" s="5" t="e">
        <f>CONCATENATE(dados[[#This Row],[fator1]],dados[[#This Row],[fator5]],dados[[#This Row],[fator6]])</f>
        <v>#REF!</v>
      </c>
    </row>
    <row r="920" spans="1:23">
      <c r="A920" t="s">
        <v>17</v>
      </c>
      <c r="B920">
        <v>483518</v>
      </c>
      <c r="C920">
        <v>10</v>
      </c>
      <c r="D920">
        <v>25</v>
      </c>
      <c r="E920">
        <v>130</v>
      </c>
      <c r="F920">
        <v>3</v>
      </c>
      <c r="G920">
        <v>20</v>
      </c>
      <c r="H920">
        <v>21</v>
      </c>
      <c r="I920">
        <v>53</v>
      </c>
      <c r="J920">
        <v>0</v>
      </c>
      <c r="K920">
        <v>3.31</v>
      </c>
      <c r="L920">
        <v>4.0999999999999996</v>
      </c>
      <c r="M920">
        <v>106.45</v>
      </c>
      <c r="N920">
        <v>6.75</v>
      </c>
      <c r="O920">
        <v>1652</v>
      </c>
      <c r="P920">
        <v>0</v>
      </c>
      <c r="Q920" s="5" t="e">
        <f>IF(AND(#REF!&gt;=table!$C$6,#REF!&lt;= table!$D$6),-1,IF(AND(#REF!&gt;=table!$E$6,#REF!&lt;=table!$F$6),1,0))</f>
        <v>#REF!</v>
      </c>
      <c r="R920" s="5" t="e">
        <f>IF(AND(#REF!&gt;=table!$C$7,#REF!&lt;= table!$D$7),-1,IF(AND(#REF!&gt;=table!$E$7,#REF!&lt;=table!$F$7),1,0))</f>
        <v>#REF!</v>
      </c>
      <c r="S920" s="5" t="e">
        <f>IF(AND(#REF!&gt;=table!$C$8,#REF!&lt;= table!$D$8),-1,IF(AND(#REF!&gt;=table!$E$8,#REF!&lt;=table!$F$8),1,0))</f>
        <v>#REF!</v>
      </c>
      <c r="T920" s="5"/>
      <c r="U920" s="5" t="e">
        <f>IF(AND(#REF!&gt;=table!$C$10,#REF!&lt;= table!$D$10),-1,IF(AND(#REF!&gt;=table!$E$10,#REF!&lt;=table!$F$10),1,0))</f>
        <v>#REF!</v>
      </c>
      <c r="V920" s="5" t="e">
        <f>IF(AND(#REF!&gt;=table!$C$11,#REF!&lt;= table!$D$11),-1,IF(AND(#REF!&gt;=table!$E$11,#REF!&lt;=table!$F$11),1,0))</f>
        <v>#REF!</v>
      </c>
      <c r="W920" s="5" t="e">
        <f>CONCATENATE(dados[[#This Row],[fator1]],dados[[#This Row],[fator5]],dados[[#This Row],[fator6]])</f>
        <v>#REF!</v>
      </c>
    </row>
    <row r="921" spans="1:23">
      <c r="A921" t="s">
        <v>17</v>
      </c>
      <c r="B921">
        <v>483521</v>
      </c>
      <c r="C921">
        <v>9</v>
      </c>
      <c r="D921">
        <v>25</v>
      </c>
      <c r="E921">
        <v>130</v>
      </c>
      <c r="F921">
        <v>3</v>
      </c>
      <c r="G921">
        <v>20</v>
      </c>
      <c r="H921">
        <v>21</v>
      </c>
      <c r="I921">
        <v>591</v>
      </c>
      <c r="J921">
        <v>530</v>
      </c>
      <c r="K921">
        <v>2.6960000000000002</v>
      </c>
      <c r="L921">
        <v>4.585</v>
      </c>
      <c r="M921">
        <v>114.39</v>
      </c>
      <c r="N921">
        <v>11.61</v>
      </c>
      <c r="O921">
        <v>1645</v>
      </c>
      <c r="P921">
        <v>1259</v>
      </c>
      <c r="Q921" s="5" t="e">
        <f>IF(AND(#REF!&gt;=table!$C$6,#REF!&lt;= table!$D$6),-1,IF(AND(#REF!&gt;=table!$E$6,#REF!&lt;=table!$F$6),1,0))</f>
        <v>#REF!</v>
      </c>
      <c r="R921" s="5" t="e">
        <f>IF(AND(#REF!&gt;=table!$C$7,#REF!&lt;= table!$D$7),-1,IF(AND(#REF!&gt;=table!$E$7,#REF!&lt;=table!$F$7),1,0))</f>
        <v>#REF!</v>
      </c>
      <c r="S921" s="5" t="e">
        <f>IF(AND(#REF!&gt;=table!$C$8,#REF!&lt;= table!$D$8),-1,IF(AND(#REF!&gt;=table!$E$8,#REF!&lt;=table!$F$8),1,0))</f>
        <v>#REF!</v>
      </c>
      <c r="T921" s="5"/>
      <c r="U921" s="5" t="e">
        <f>IF(AND(#REF!&gt;=table!$C$10,#REF!&lt;= table!$D$10),-1,IF(AND(#REF!&gt;=table!$E$10,#REF!&lt;=table!$F$10),1,0))</f>
        <v>#REF!</v>
      </c>
      <c r="V921" s="5" t="e">
        <f>IF(AND(#REF!&gt;=table!$C$11,#REF!&lt;= table!$D$11),-1,IF(AND(#REF!&gt;=table!$E$11,#REF!&lt;=table!$F$11),1,0))</f>
        <v>#REF!</v>
      </c>
      <c r="W921" s="5" t="e">
        <f>CONCATENATE(dados[[#This Row],[fator1]],dados[[#This Row],[fator5]],dados[[#This Row],[fator6]])</f>
        <v>#REF!</v>
      </c>
    </row>
    <row r="922" spans="1:23">
      <c r="A922" t="s">
        <v>17</v>
      </c>
      <c r="B922">
        <v>483522</v>
      </c>
      <c r="C922">
        <v>9</v>
      </c>
      <c r="D922">
        <v>25</v>
      </c>
      <c r="E922">
        <v>130</v>
      </c>
      <c r="F922">
        <v>3</v>
      </c>
      <c r="G922">
        <v>20</v>
      </c>
      <c r="H922">
        <v>21</v>
      </c>
      <c r="I922">
        <v>121</v>
      </c>
      <c r="J922">
        <v>850</v>
      </c>
      <c r="K922">
        <v>4.4400000000000004</v>
      </c>
      <c r="L922">
        <v>13.75</v>
      </c>
      <c r="M922">
        <v>110.05</v>
      </c>
      <c r="N922">
        <v>12.8</v>
      </c>
      <c r="O922">
        <v>1642</v>
      </c>
      <c r="P922">
        <v>579</v>
      </c>
      <c r="Q922" s="5" t="e">
        <f>IF(AND(#REF!&gt;=table!$C$6,#REF!&lt;= table!$D$6),-1,IF(AND(#REF!&gt;=table!$E$6,#REF!&lt;=table!$F$6),1,0))</f>
        <v>#REF!</v>
      </c>
      <c r="R922" s="5" t="e">
        <f>IF(AND(#REF!&gt;=table!$C$7,#REF!&lt;= table!$D$7),-1,IF(AND(#REF!&gt;=table!$E$7,#REF!&lt;=table!$F$7),1,0))</f>
        <v>#REF!</v>
      </c>
      <c r="S922" s="5" t="e">
        <f>IF(AND(#REF!&gt;=table!$C$8,#REF!&lt;= table!$D$8),-1,IF(AND(#REF!&gt;=table!$E$8,#REF!&lt;=table!$F$8),1,0))</f>
        <v>#REF!</v>
      </c>
      <c r="T922" s="5"/>
      <c r="U922" s="5" t="e">
        <f>IF(AND(#REF!&gt;=table!$C$10,#REF!&lt;= table!$D$10),-1,IF(AND(#REF!&gt;=table!$E$10,#REF!&lt;=table!$F$10),1,0))</f>
        <v>#REF!</v>
      </c>
      <c r="V922" s="5" t="e">
        <f>IF(AND(#REF!&gt;=table!$C$11,#REF!&lt;= table!$D$11),-1,IF(AND(#REF!&gt;=table!$E$11,#REF!&lt;=table!$F$11),1,0))</f>
        <v>#REF!</v>
      </c>
      <c r="W922" s="5" t="e">
        <f>CONCATENATE(dados[[#This Row],[fator1]],dados[[#This Row],[fator5]],dados[[#This Row],[fator6]])</f>
        <v>#REF!</v>
      </c>
    </row>
    <row r="923" spans="1:23">
      <c r="A923" t="s">
        <v>16</v>
      </c>
      <c r="B923">
        <v>483523</v>
      </c>
      <c r="C923">
        <v>0.15</v>
      </c>
      <c r="D923">
        <v>35</v>
      </c>
      <c r="E923">
        <v>15</v>
      </c>
      <c r="F923">
        <v>10</v>
      </c>
      <c r="G923">
        <v>0</v>
      </c>
      <c r="H923">
        <v>12</v>
      </c>
      <c r="I923">
        <v>644</v>
      </c>
      <c r="J923">
        <v>0</v>
      </c>
      <c r="K923">
        <v>3.4550000000000001</v>
      </c>
      <c r="L923">
        <v>8.15</v>
      </c>
      <c r="M923">
        <v>7.45</v>
      </c>
      <c r="N923">
        <v>8.9500000000000011</v>
      </c>
      <c r="O923">
        <v>1687</v>
      </c>
      <c r="P923">
        <v>1191</v>
      </c>
      <c r="Q923" s="5" t="e">
        <f>IF(AND(#REF!&gt;=table!$C$6,#REF!&lt;= table!$D$6),-1,IF(AND(#REF!&gt;=table!$E$6,#REF!&lt;=table!$F$6),1,0))</f>
        <v>#REF!</v>
      </c>
      <c r="R923" s="5" t="e">
        <f>IF(AND(#REF!&gt;=table!$C$7,#REF!&lt;= table!$D$7),-1,IF(AND(#REF!&gt;=table!$E$7,#REF!&lt;=table!$F$7),1,0))</f>
        <v>#REF!</v>
      </c>
      <c r="S923" s="5" t="e">
        <f>IF(AND(#REF!&gt;=table!$C$8,#REF!&lt;= table!$D$8),-1,IF(AND(#REF!&gt;=table!$E$8,#REF!&lt;=table!$F$8),1,0))</f>
        <v>#REF!</v>
      </c>
      <c r="T923" s="5"/>
      <c r="U923" s="5" t="e">
        <f>IF(AND(#REF!&gt;=table!$C$10,#REF!&lt;= table!$D$10),-1,IF(AND(#REF!&gt;=table!$E$10,#REF!&lt;=table!$F$10),1,0))</f>
        <v>#REF!</v>
      </c>
      <c r="V923" s="5" t="e">
        <f>IF(AND(#REF!&gt;=table!$C$11,#REF!&lt;= table!$D$11),-1,IF(AND(#REF!&gt;=table!$E$11,#REF!&lt;=table!$F$11),1,0))</f>
        <v>#REF!</v>
      </c>
      <c r="W923" s="5" t="e">
        <f>CONCATENATE(dados[[#This Row],[fator1]],dados[[#This Row],[fator5]],dados[[#This Row],[fator6]])</f>
        <v>#REF!</v>
      </c>
    </row>
    <row r="924" spans="1:23">
      <c r="A924" t="s">
        <v>17</v>
      </c>
      <c r="B924">
        <v>483524</v>
      </c>
      <c r="C924">
        <v>9</v>
      </c>
      <c r="D924">
        <v>25</v>
      </c>
      <c r="E924">
        <v>130</v>
      </c>
      <c r="F924">
        <v>3</v>
      </c>
      <c r="G924">
        <v>20</v>
      </c>
      <c r="H924">
        <v>21</v>
      </c>
      <c r="I924">
        <v>420</v>
      </c>
      <c r="J924">
        <v>0</v>
      </c>
      <c r="K924">
        <v>2.0550000000000002</v>
      </c>
      <c r="L924">
        <v>4.24</v>
      </c>
      <c r="M924">
        <v>93.745000000000005</v>
      </c>
      <c r="N924">
        <v>14.765000000000001</v>
      </c>
      <c r="O924">
        <v>1691</v>
      </c>
      <c r="P924">
        <v>1619</v>
      </c>
      <c r="Q924" s="5" t="e">
        <f>IF(AND(#REF!&gt;=table!$C$6,#REF!&lt;= table!$D$6),-1,IF(AND(#REF!&gt;=table!$E$6,#REF!&lt;=table!$F$6),1,0))</f>
        <v>#REF!</v>
      </c>
      <c r="R924" s="5" t="e">
        <f>IF(AND(#REF!&gt;=table!$C$7,#REF!&lt;= table!$D$7),-1,IF(AND(#REF!&gt;=table!$E$7,#REF!&lt;=table!$F$7),1,0))</f>
        <v>#REF!</v>
      </c>
      <c r="S924" s="5" t="e">
        <f>IF(AND(#REF!&gt;=table!$C$8,#REF!&lt;= table!$D$8),-1,IF(AND(#REF!&gt;=table!$E$8,#REF!&lt;=table!$F$8),1,0))</f>
        <v>#REF!</v>
      </c>
      <c r="T924" s="5"/>
      <c r="U924" s="5" t="e">
        <f>IF(AND(#REF!&gt;=table!$C$10,#REF!&lt;= table!$D$10),-1,IF(AND(#REF!&gt;=table!$E$10,#REF!&lt;=table!$F$10),1,0))</f>
        <v>#REF!</v>
      </c>
      <c r="V924" s="5" t="e">
        <f>IF(AND(#REF!&gt;=table!$C$11,#REF!&lt;= table!$D$11),-1,IF(AND(#REF!&gt;=table!$E$11,#REF!&lt;=table!$F$11),1,0))</f>
        <v>#REF!</v>
      </c>
      <c r="W924" s="5" t="e">
        <f>CONCATENATE(dados[[#This Row],[fator1]],dados[[#This Row],[fator5]],dados[[#This Row],[fator6]])</f>
        <v>#REF!</v>
      </c>
    </row>
    <row r="925" spans="1:23">
      <c r="A925" t="s">
        <v>17</v>
      </c>
      <c r="B925">
        <v>483526</v>
      </c>
      <c r="C925">
        <v>18</v>
      </c>
      <c r="D925">
        <v>23</v>
      </c>
      <c r="E925">
        <v>145</v>
      </c>
      <c r="F925">
        <v>9</v>
      </c>
      <c r="G925">
        <v>30</v>
      </c>
      <c r="H925">
        <v>25</v>
      </c>
      <c r="I925">
        <v>141</v>
      </c>
      <c r="J925">
        <v>0</v>
      </c>
      <c r="K925">
        <v>16.57</v>
      </c>
      <c r="L925">
        <v>12.8</v>
      </c>
      <c r="M925">
        <v>108.55</v>
      </c>
      <c r="N925">
        <v>13.9</v>
      </c>
      <c r="O925">
        <v>1698</v>
      </c>
      <c r="P925">
        <v>0</v>
      </c>
      <c r="Q925" s="5" t="e">
        <f>IF(AND(#REF!&gt;=table!$C$6,#REF!&lt;= table!$D$6),-1,IF(AND(#REF!&gt;=table!$E$6,#REF!&lt;=table!$F$6),1,0))</f>
        <v>#REF!</v>
      </c>
      <c r="R925" s="5" t="e">
        <f>IF(AND(#REF!&gt;=table!$C$7,#REF!&lt;= table!$D$7),-1,IF(AND(#REF!&gt;=table!$E$7,#REF!&lt;=table!$F$7),1,0))</f>
        <v>#REF!</v>
      </c>
      <c r="S925" s="5" t="e">
        <f>IF(AND(#REF!&gt;=table!$C$8,#REF!&lt;= table!$D$8),-1,IF(AND(#REF!&gt;=table!$E$8,#REF!&lt;=table!$F$8),1,0))</f>
        <v>#REF!</v>
      </c>
      <c r="T925" s="5"/>
      <c r="U925" s="5" t="e">
        <f>IF(AND(#REF!&gt;=table!$C$10,#REF!&lt;= table!$D$10),-1,IF(AND(#REF!&gt;=table!$E$10,#REF!&lt;=table!$F$10),1,0))</f>
        <v>#REF!</v>
      </c>
      <c r="V925" s="5" t="e">
        <f>IF(AND(#REF!&gt;=table!$C$11,#REF!&lt;= table!$D$11),-1,IF(AND(#REF!&gt;=table!$E$11,#REF!&lt;=table!$F$11),1,0))</f>
        <v>#REF!</v>
      </c>
      <c r="W925" s="5" t="e">
        <f>CONCATENATE(dados[[#This Row],[fator1]],dados[[#This Row],[fator5]],dados[[#This Row],[fator6]])</f>
        <v>#REF!</v>
      </c>
    </row>
    <row r="926" spans="1:23">
      <c r="A926" t="s">
        <v>17</v>
      </c>
      <c r="B926">
        <v>483528</v>
      </c>
      <c r="C926">
        <v>18</v>
      </c>
      <c r="D926">
        <v>23</v>
      </c>
      <c r="E926">
        <v>145</v>
      </c>
      <c r="F926">
        <v>9</v>
      </c>
      <c r="G926">
        <v>30</v>
      </c>
      <c r="H926">
        <v>25</v>
      </c>
      <c r="I926">
        <v>553</v>
      </c>
      <c r="J926">
        <v>0</v>
      </c>
      <c r="K926">
        <v>4.9400000000000004</v>
      </c>
      <c r="L926">
        <v>9.0500000000000007</v>
      </c>
      <c r="M926">
        <v>114.10000000000001</v>
      </c>
      <c r="N926">
        <v>14.35</v>
      </c>
      <c r="O926">
        <v>1652</v>
      </c>
      <c r="P926">
        <v>695</v>
      </c>
      <c r="Q926" s="5" t="e">
        <f>IF(AND(#REF!&gt;=table!$C$6,#REF!&lt;= table!$D$6),-1,IF(AND(#REF!&gt;=table!$E$6,#REF!&lt;=table!$F$6),1,0))</f>
        <v>#REF!</v>
      </c>
      <c r="R926" s="5" t="e">
        <f>IF(AND(#REF!&gt;=table!$C$7,#REF!&lt;= table!$D$7),-1,IF(AND(#REF!&gt;=table!$E$7,#REF!&lt;=table!$F$7),1,0))</f>
        <v>#REF!</v>
      </c>
      <c r="S926" s="5" t="e">
        <f>IF(AND(#REF!&gt;=table!$C$8,#REF!&lt;= table!$D$8),-1,IF(AND(#REF!&gt;=table!$E$8,#REF!&lt;=table!$F$8),1,0))</f>
        <v>#REF!</v>
      </c>
      <c r="T926" s="5"/>
      <c r="U926" s="5" t="e">
        <f>IF(AND(#REF!&gt;=table!$C$10,#REF!&lt;= table!$D$10),-1,IF(AND(#REF!&gt;=table!$E$10,#REF!&lt;=table!$F$10),1,0))</f>
        <v>#REF!</v>
      </c>
      <c r="V926" s="5" t="e">
        <f>IF(AND(#REF!&gt;=table!$C$11,#REF!&lt;= table!$D$11),-1,IF(AND(#REF!&gt;=table!$E$11,#REF!&lt;=table!$F$11),1,0))</f>
        <v>#REF!</v>
      </c>
      <c r="W926" s="5" t="e">
        <f>CONCATENATE(dados[[#This Row],[fator1]],dados[[#This Row],[fator5]],dados[[#This Row],[fator6]])</f>
        <v>#REF!</v>
      </c>
    </row>
    <row r="927" spans="1:23">
      <c r="A927" t="s">
        <v>16</v>
      </c>
      <c r="B927">
        <v>483539</v>
      </c>
      <c r="C927">
        <v>4</v>
      </c>
      <c r="D927">
        <v>40</v>
      </c>
      <c r="E927">
        <v>21</v>
      </c>
      <c r="F927">
        <v>10</v>
      </c>
      <c r="G927">
        <v>0</v>
      </c>
      <c r="H927">
        <v>25</v>
      </c>
      <c r="I927">
        <v>227</v>
      </c>
      <c r="J927">
        <v>0</v>
      </c>
      <c r="K927">
        <v>2.38</v>
      </c>
      <c r="L927">
        <v>5.6000000000000005</v>
      </c>
      <c r="M927">
        <v>5.2149999999999999</v>
      </c>
      <c r="N927">
        <v>9.19</v>
      </c>
      <c r="O927">
        <v>1685</v>
      </c>
      <c r="P927">
        <v>0</v>
      </c>
      <c r="Q927" s="5" t="e">
        <f>IF(AND(#REF!&gt;=table!$C$6,#REF!&lt;= table!$D$6),-1,IF(AND(#REF!&gt;=table!$E$6,#REF!&lt;=table!$F$6),1,0))</f>
        <v>#REF!</v>
      </c>
      <c r="R927" s="5" t="e">
        <f>IF(AND(#REF!&gt;=table!$C$7,#REF!&lt;= table!$D$7),-1,IF(AND(#REF!&gt;=table!$E$7,#REF!&lt;=table!$F$7),1,0))</f>
        <v>#REF!</v>
      </c>
      <c r="S927" s="5" t="e">
        <f>IF(AND(#REF!&gt;=table!$C$8,#REF!&lt;= table!$D$8),-1,IF(AND(#REF!&gt;=table!$E$8,#REF!&lt;=table!$F$8),1,0))</f>
        <v>#REF!</v>
      </c>
      <c r="T927" s="5"/>
      <c r="U927" s="5" t="e">
        <f>IF(AND(#REF!&gt;=table!$C$10,#REF!&lt;= table!$D$10),-1,IF(AND(#REF!&gt;=table!$E$10,#REF!&lt;=table!$F$10),1,0))</f>
        <v>#REF!</v>
      </c>
      <c r="V927" s="5" t="e">
        <f>IF(AND(#REF!&gt;=table!$C$11,#REF!&lt;= table!$D$11),-1,IF(AND(#REF!&gt;=table!$E$11,#REF!&lt;=table!$F$11),1,0))</f>
        <v>#REF!</v>
      </c>
      <c r="W927" s="5" t="e">
        <f>CONCATENATE(dados[[#This Row],[fator1]],dados[[#This Row],[fator5]],dados[[#This Row],[fator6]])</f>
        <v>#REF!</v>
      </c>
    </row>
    <row r="928" spans="1:23">
      <c r="A928" t="s">
        <v>16</v>
      </c>
      <c r="B928">
        <v>483550</v>
      </c>
      <c r="C928">
        <v>0.15</v>
      </c>
      <c r="D928">
        <v>40</v>
      </c>
      <c r="E928">
        <v>10</v>
      </c>
      <c r="F928">
        <v>15</v>
      </c>
      <c r="G928">
        <v>0</v>
      </c>
      <c r="H928">
        <v>15</v>
      </c>
      <c r="I928">
        <v>2045</v>
      </c>
      <c r="J928">
        <v>1220</v>
      </c>
      <c r="K928">
        <v>2.71</v>
      </c>
      <c r="L928">
        <v>6.95</v>
      </c>
      <c r="M928">
        <v>4.25</v>
      </c>
      <c r="N928">
        <v>9.7000000000000011</v>
      </c>
      <c r="O928">
        <v>1684</v>
      </c>
      <c r="P928">
        <v>0</v>
      </c>
      <c r="Q928" s="5" t="e">
        <f>IF(AND(#REF!&gt;=table!$C$6,#REF!&lt;= table!$D$6),-1,IF(AND(#REF!&gt;=table!$E$6,#REF!&lt;=table!$F$6),1,0))</f>
        <v>#REF!</v>
      </c>
      <c r="R928" s="5" t="e">
        <f>IF(AND(#REF!&gt;=table!$C$7,#REF!&lt;= table!$D$7),-1,IF(AND(#REF!&gt;=table!$E$7,#REF!&lt;=table!$F$7),1,0))</f>
        <v>#REF!</v>
      </c>
      <c r="S928" s="5" t="e">
        <f>IF(AND(#REF!&gt;=table!$C$8,#REF!&lt;= table!$D$8),-1,IF(AND(#REF!&gt;=table!$E$8,#REF!&lt;=table!$F$8),1,0))</f>
        <v>#REF!</v>
      </c>
      <c r="T928" s="5"/>
      <c r="U928" s="5" t="e">
        <f>IF(AND(#REF!&gt;=table!$C$10,#REF!&lt;= table!$D$10),-1,IF(AND(#REF!&gt;=table!$E$10,#REF!&lt;=table!$F$10),1,0))</f>
        <v>#REF!</v>
      </c>
      <c r="V928" s="5" t="e">
        <f>IF(AND(#REF!&gt;=table!$C$11,#REF!&lt;= table!$D$11),-1,IF(AND(#REF!&gt;=table!$E$11,#REF!&lt;=table!$F$11),1,0))</f>
        <v>#REF!</v>
      </c>
      <c r="W928" s="5" t="e">
        <f>CONCATENATE(dados[[#This Row],[fator1]],dados[[#This Row],[fator5]],dados[[#This Row],[fator6]])</f>
        <v>#REF!</v>
      </c>
    </row>
    <row r="929" spans="1:23">
      <c r="A929" t="s">
        <v>16</v>
      </c>
      <c r="B929">
        <v>483555</v>
      </c>
      <c r="C929">
        <v>0.15</v>
      </c>
      <c r="D929">
        <v>40</v>
      </c>
      <c r="E929">
        <v>10</v>
      </c>
      <c r="F929">
        <v>15</v>
      </c>
      <c r="G929">
        <v>0</v>
      </c>
      <c r="H929">
        <v>15</v>
      </c>
      <c r="I929">
        <v>734</v>
      </c>
      <c r="J929">
        <v>0</v>
      </c>
      <c r="K929">
        <v>2.5050000000000003</v>
      </c>
      <c r="L929">
        <v>3.95</v>
      </c>
      <c r="M929">
        <v>3.9</v>
      </c>
      <c r="N929">
        <v>11.15</v>
      </c>
      <c r="O929">
        <v>1665</v>
      </c>
      <c r="P929">
        <v>0</v>
      </c>
      <c r="Q929" s="5" t="e">
        <f>IF(AND(#REF!&gt;=table!$C$6,#REF!&lt;= table!$D$6),-1,IF(AND(#REF!&gt;=table!$E$6,#REF!&lt;=table!$F$6),1,0))</f>
        <v>#REF!</v>
      </c>
      <c r="R929" s="5" t="e">
        <f>IF(AND(#REF!&gt;=table!$C$7,#REF!&lt;= table!$D$7),-1,IF(AND(#REF!&gt;=table!$E$7,#REF!&lt;=table!$F$7),1,0))</f>
        <v>#REF!</v>
      </c>
      <c r="S929" s="5" t="e">
        <f>IF(AND(#REF!&gt;=table!$C$8,#REF!&lt;= table!$D$8),-1,IF(AND(#REF!&gt;=table!$E$8,#REF!&lt;=table!$F$8),1,0))</f>
        <v>#REF!</v>
      </c>
      <c r="T929" s="5"/>
      <c r="U929" s="5" t="e">
        <f>IF(AND(#REF!&gt;=table!$C$10,#REF!&lt;= table!$D$10),-1,IF(AND(#REF!&gt;=table!$E$10,#REF!&lt;=table!$F$10),1,0))</f>
        <v>#REF!</v>
      </c>
      <c r="V929" s="5" t="e">
        <f>IF(AND(#REF!&gt;=table!$C$11,#REF!&lt;= table!$D$11),-1,IF(AND(#REF!&gt;=table!$E$11,#REF!&lt;=table!$F$11),1,0))</f>
        <v>#REF!</v>
      </c>
      <c r="W929" s="5" t="e">
        <f>CONCATENATE(dados[[#This Row],[fator1]],dados[[#This Row],[fator5]],dados[[#This Row],[fator6]])</f>
        <v>#REF!</v>
      </c>
    </row>
    <row r="930" spans="1:23">
      <c r="A930" t="s">
        <v>17</v>
      </c>
      <c r="B930">
        <v>483567</v>
      </c>
      <c r="C930">
        <v>15</v>
      </c>
      <c r="D930">
        <v>35</v>
      </c>
      <c r="E930">
        <v>120</v>
      </c>
      <c r="F930">
        <v>4</v>
      </c>
      <c r="G930">
        <v>15</v>
      </c>
      <c r="H930">
        <v>20</v>
      </c>
      <c r="I930">
        <v>0</v>
      </c>
      <c r="J930">
        <v>0</v>
      </c>
      <c r="K930">
        <v>4.1749999999999998</v>
      </c>
      <c r="L930">
        <v>11.31</v>
      </c>
      <c r="M930">
        <v>111</v>
      </c>
      <c r="N930">
        <v>12</v>
      </c>
      <c r="O930">
        <v>1665</v>
      </c>
      <c r="P930">
        <v>974</v>
      </c>
      <c r="Q930" s="5" t="e">
        <f>IF(AND(#REF!&gt;=table!$C$6,#REF!&lt;= table!$D$6),-1,IF(AND(#REF!&gt;=table!$E$6,#REF!&lt;=table!$F$6),1,0))</f>
        <v>#REF!</v>
      </c>
      <c r="R930" s="5" t="e">
        <f>IF(AND(#REF!&gt;=table!$C$7,#REF!&lt;= table!$D$7),-1,IF(AND(#REF!&gt;=table!$E$7,#REF!&lt;=table!$F$7),1,0))</f>
        <v>#REF!</v>
      </c>
      <c r="S930" s="5" t="e">
        <f>IF(AND(#REF!&gt;=table!$C$8,#REF!&lt;= table!$D$8),-1,IF(AND(#REF!&gt;=table!$E$8,#REF!&lt;=table!$F$8),1,0))</f>
        <v>#REF!</v>
      </c>
      <c r="T930" s="5"/>
      <c r="U930" s="5" t="e">
        <f>IF(AND(#REF!&gt;=table!$C$10,#REF!&lt;= table!$D$10),-1,IF(AND(#REF!&gt;=table!$E$10,#REF!&lt;=table!$F$10),1,0))</f>
        <v>#REF!</v>
      </c>
      <c r="V930" s="5" t="e">
        <f>IF(AND(#REF!&gt;=table!$C$11,#REF!&lt;= table!$D$11),-1,IF(AND(#REF!&gt;=table!$E$11,#REF!&lt;=table!$F$11),1,0))</f>
        <v>#REF!</v>
      </c>
      <c r="W930" s="5" t="e">
        <f>CONCATENATE(dados[[#This Row],[fator1]],dados[[#This Row],[fator5]],dados[[#This Row],[fator6]])</f>
        <v>#REF!</v>
      </c>
    </row>
    <row r="931" spans="1:23">
      <c r="A931" t="s">
        <v>16</v>
      </c>
      <c r="B931">
        <v>483570</v>
      </c>
      <c r="C931">
        <v>11</v>
      </c>
      <c r="D931">
        <v>40</v>
      </c>
      <c r="E931">
        <v>151</v>
      </c>
      <c r="F931">
        <v>8</v>
      </c>
      <c r="G931">
        <v>0</v>
      </c>
      <c r="H931">
        <v>25</v>
      </c>
      <c r="I931">
        <v>32</v>
      </c>
      <c r="J931">
        <v>0</v>
      </c>
      <c r="K931">
        <v>3.1350000000000002</v>
      </c>
      <c r="L931">
        <v>11.65</v>
      </c>
      <c r="M931">
        <v>137.07</v>
      </c>
      <c r="N931">
        <v>19.545000000000002</v>
      </c>
      <c r="O931">
        <v>1688</v>
      </c>
      <c r="P931">
        <v>1062</v>
      </c>
      <c r="Q931" s="5" t="e">
        <f>IF(AND(#REF!&gt;=table!$C$6,#REF!&lt;= table!$D$6),-1,IF(AND(#REF!&gt;=table!$E$6,#REF!&lt;=table!$F$6),1,0))</f>
        <v>#REF!</v>
      </c>
      <c r="R931" s="5" t="e">
        <f>IF(AND(#REF!&gt;=table!$C$7,#REF!&lt;= table!$D$7),-1,IF(AND(#REF!&gt;=table!$E$7,#REF!&lt;=table!$F$7),1,0))</f>
        <v>#REF!</v>
      </c>
      <c r="S931" s="5" t="e">
        <f>IF(AND(#REF!&gt;=table!$C$8,#REF!&lt;= table!$D$8),-1,IF(AND(#REF!&gt;=table!$E$8,#REF!&lt;=table!$F$8),1,0))</f>
        <v>#REF!</v>
      </c>
      <c r="T931" s="5"/>
      <c r="U931" s="5" t="e">
        <f>IF(AND(#REF!&gt;=table!$C$10,#REF!&lt;= table!$D$10),-1,IF(AND(#REF!&gt;=table!$E$10,#REF!&lt;=table!$F$10),1,0))</f>
        <v>#REF!</v>
      </c>
      <c r="V931" s="5" t="e">
        <f>IF(AND(#REF!&gt;=table!$C$11,#REF!&lt;= table!$D$11),-1,IF(AND(#REF!&gt;=table!$E$11,#REF!&lt;=table!$F$11),1,0))</f>
        <v>#REF!</v>
      </c>
      <c r="W931" s="5" t="e">
        <f>CONCATENATE(dados[[#This Row],[fator1]],dados[[#This Row],[fator5]],dados[[#This Row],[fator6]])</f>
        <v>#REF!</v>
      </c>
    </row>
    <row r="932" spans="1:23">
      <c r="A932" t="s">
        <v>16</v>
      </c>
      <c r="B932">
        <v>483572</v>
      </c>
      <c r="C932">
        <v>6</v>
      </c>
      <c r="D932">
        <v>25</v>
      </c>
      <c r="E932">
        <v>120</v>
      </c>
      <c r="F932">
        <v>4</v>
      </c>
      <c r="G932">
        <v>0</v>
      </c>
      <c r="H932">
        <v>55</v>
      </c>
      <c r="I932">
        <v>246</v>
      </c>
      <c r="J932">
        <v>0</v>
      </c>
      <c r="K932">
        <v>2.875</v>
      </c>
      <c r="L932">
        <v>10.3</v>
      </c>
      <c r="M932">
        <v>95.085000000000008</v>
      </c>
      <c r="N932">
        <v>20.900000000000002</v>
      </c>
      <c r="O932">
        <v>1696</v>
      </c>
      <c r="P932">
        <v>0</v>
      </c>
      <c r="Q932" s="5" t="e">
        <f>IF(AND(#REF!&gt;=table!$C$6,#REF!&lt;= table!$D$6),-1,IF(AND(#REF!&gt;=table!$E$6,#REF!&lt;=table!$F$6),1,0))</f>
        <v>#REF!</v>
      </c>
      <c r="R932" s="5" t="e">
        <f>IF(AND(#REF!&gt;=table!$C$7,#REF!&lt;= table!$D$7),-1,IF(AND(#REF!&gt;=table!$E$7,#REF!&lt;=table!$F$7),1,0))</f>
        <v>#REF!</v>
      </c>
      <c r="S932" s="5" t="e">
        <f>IF(AND(#REF!&gt;=table!$C$8,#REF!&lt;= table!$D$8),-1,IF(AND(#REF!&gt;=table!$E$8,#REF!&lt;=table!$F$8),1,0))</f>
        <v>#REF!</v>
      </c>
      <c r="T932" s="5"/>
      <c r="U932" s="5" t="e">
        <f>IF(AND(#REF!&gt;=table!$C$10,#REF!&lt;= table!$D$10),-1,IF(AND(#REF!&gt;=table!$E$10,#REF!&lt;=table!$F$10),1,0))</f>
        <v>#REF!</v>
      </c>
      <c r="V932" s="5" t="e">
        <f>IF(AND(#REF!&gt;=table!$C$11,#REF!&lt;= table!$D$11),-1,IF(AND(#REF!&gt;=table!$E$11,#REF!&lt;=table!$F$11),1,0))</f>
        <v>#REF!</v>
      </c>
      <c r="W932" s="5" t="e">
        <f>CONCATENATE(dados[[#This Row],[fator1]],dados[[#This Row],[fator5]],dados[[#This Row],[fator6]])</f>
        <v>#REF!</v>
      </c>
    </row>
    <row r="933" spans="1:23">
      <c r="A933" t="s">
        <v>16</v>
      </c>
      <c r="B933">
        <v>483573</v>
      </c>
      <c r="C933">
        <v>6</v>
      </c>
      <c r="D933">
        <v>25</v>
      </c>
      <c r="E933">
        <v>120</v>
      </c>
      <c r="F933">
        <v>4</v>
      </c>
      <c r="G933">
        <v>0</v>
      </c>
      <c r="H933">
        <v>55</v>
      </c>
      <c r="I933">
        <v>1238</v>
      </c>
      <c r="J933">
        <v>0</v>
      </c>
      <c r="K933">
        <v>2.7</v>
      </c>
      <c r="L933">
        <v>5.8500000000000005</v>
      </c>
      <c r="M933">
        <v>99.42</v>
      </c>
      <c r="N933">
        <v>35.045000000000002</v>
      </c>
      <c r="O933">
        <v>1678</v>
      </c>
      <c r="P933">
        <v>0</v>
      </c>
      <c r="Q933" s="5" t="e">
        <f>IF(AND(#REF!&gt;=table!$C$6,#REF!&lt;= table!$D$6),-1,IF(AND(#REF!&gt;=table!$E$6,#REF!&lt;=table!$F$6),1,0))</f>
        <v>#REF!</v>
      </c>
      <c r="R933" s="5" t="e">
        <f>IF(AND(#REF!&gt;=table!$C$7,#REF!&lt;= table!$D$7),-1,IF(AND(#REF!&gt;=table!$E$7,#REF!&lt;=table!$F$7),1,0))</f>
        <v>#REF!</v>
      </c>
      <c r="S933" s="5" t="e">
        <f>IF(AND(#REF!&gt;=table!$C$8,#REF!&lt;= table!$D$8),-1,IF(AND(#REF!&gt;=table!$E$8,#REF!&lt;=table!$F$8),1,0))</f>
        <v>#REF!</v>
      </c>
      <c r="T933" s="5"/>
      <c r="U933" s="5" t="e">
        <f>IF(AND(#REF!&gt;=table!$C$10,#REF!&lt;= table!$D$10),-1,IF(AND(#REF!&gt;=table!$E$10,#REF!&lt;=table!$F$10),1,0))</f>
        <v>#REF!</v>
      </c>
      <c r="V933" s="5" t="e">
        <f>IF(AND(#REF!&gt;=table!$C$11,#REF!&lt;= table!$D$11),-1,IF(AND(#REF!&gt;=table!$E$11,#REF!&lt;=table!$F$11),1,0))</f>
        <v>#REF!</v>
      </c>
      <c r="W933" s="5" t="e">
        <f>CONCATENATE(dados[[#This Row],[fator1]],dados[[#This Row],[fator5]],dados[[#This Row],[fator6]])</f>
        <v>#REF!</v>
      </c>
    </row>
    <row r="934" spans="1:23">
      <c r="A934" t="s">
        <v>16</v>
      </c>
      <c r="B934">
        <v>483581</v>
      </c>
      <c r="C934">
        <v>0.15</v>
      </c>
      <c r="D934">
        <v>40</v>
      </c>
      <c r="E934">
        <v>10</v>
      </c>
      <c r="F934">
        <v>15</v>
      </c>
      <c r="G934">
        <v>0</v>
      </c>
      <c r="H934">
        <v>15</v>
      </c>
      <c r="I934">
        <v>1231</v>
      </c>
      <c r="J934">
        <v>650</v>
      </c>
      <c r="K934">
        <v>4.3100000000000005</v>
      </c>
      <c r="L934">
        <v>4.92</v>
      </c>
      <c r="M934">
        <v>4.53</v>
      </c>
      <c r="N934">
        <v>7.3900000000000006</v>
      </c>
      <c r="O934">
        <v>1623</v>
      </c>
      <c r="P934">
        <v>747</v>
      </c>
      <c r="Q934" s="5" t="e">
        <f>IF(AND(#REF!&gt;=table!$C$6,#REF!&lt;= table!$D$6),-1,IF(AND(#REF!&gt;=table!$E$6,#REF!&lt;=table!$F$6),1,0))</f>
        <v>#REF!</v>
      </c>
      <c r="R934" s="5" t="e">
        <f>IF(AND(#REF!&gt;=table!$C$7,#REF!&lt;= table!$D$7),-1,IF(AND(#REF!&gt;=table!$E$7,#REF!&lt;=table!$F$7),1,0))</f>
        <v>#REF!</v>
      </c>
      <c r="S934" s="5" t="e">
        <f>IF(AND(#REF!&gt;=table!$C$8,#REF!&lt;= table!$D$8),-1,IF(AND(#REF!&gt;=table!$E$8,#REF!&lt;=table!$F$8),1,0))</f>
        <v>#REF!</v>
      </c>
      <c r="T934" s="5"/>
      <c r="U934" s="5" t="e">
        <f>IF(AND(#REF!&gt;=table!$C$10,#REF!&lt;= table!$D$10),-1,IF(AND(#REF!&gt;=table!$E$10,#REF!&lt;=table!$F$10),1,0))</f>
        <v>#REF!</v>
      </c>
      <c r="V934" s="5" t="e">
        <f>IF(AND(#REF!&gt;=table!$C$11,#REF!&lt;= table!$D$11),-1,IF(AND(#REF!&gt;=table!$E$11,#REF!&lt;=table!$F$11),1,0))</f>
        <v>#REF!</v>
      </c>
      <c r="W934" s="5" t="e">
        <f>CONCATENATE(dados[[#This Row],[fator1]],dados[[#This Row],[fator5]],dados[[#This Row],[fator6]])</f>
        <v>#REF!</v>
      </c>
    </row>
    <row r="935" spans="1:23">
      <c r="A935" t="s">
        <v>16</v>
      </c>
      <c r="B935">
        <v>483582</v>
      </c>
      <c r="C935">
        <v>0.15</v>
      </c>
      <c r="D935">
        <v>40</v>
      </c>
      <c r="E935">
        <v>10</v>
      </c>
      <c r="F935">
        <v>15</v>
      </c>
      <c r="G935">
        <v>0</v>
      </c>
      <c r="H935">
        <v>15</v>
      </c>
      <c r="I935">
        <v>503</v>
      </c>
      <c r="J935">
        <v>0</v>
      </c>
      <c r="K935">
        <v>3.875</v>
      </c>
      <c r="L935">
        <v>7.9250000000000007</v>
      </c>
      <c r="M935">
        <v>6.95</v>
      </c>
      <c r="N935">
        <v>7</v>
      </c>
      <c r="O935">
        <v>1649</v>
      </c>
      <c r="P935">
        <v>667</v>
      </c>
      <c r="Q935" s="5" t="e">
        <f>IF(AND(#REF!&gt;=table!$C$6,#REF!&lt;= table!$D$6),-1,IF(AND(#REF!&gt;=table!$E$6,#REF!&lt;=table!$F$6),1,0))</f>
        <v>#REF!</v>
      </c>
      <c r="R935" s="5" t="e">
        <f>IF(AND(#REF!&gt;=table!$C$7,#REF!&lt;= table!$D$7),-1,IF(AND(#REF!&gt;=table!$E$7,#REF!&lt;=table!$F$7),1,0))</f>
        <v>#REF!</v>
      </c>
      <c r="S935" s="5" t="e">
        <f>IF(AND(#REF!&gt;=table!$C$8,#REF!&lt;= table!$D$8),-1,IF(AND(#REF!&gt;=table!$E$8,#REF!&lt;=table!$F$8),1,0))</f>
        <v>#REF!</v>
      </c>
      <c r="T935" s="5"/>
      <c r="U935" s="5" t="e">
        <f>IF(AND(#REF!&gt;=table!$C$10,#REF!&lt;= table!$D$10),-1,IF(AND(#REF!&gt;=table!$E$10,#REF!&lt;=table!$F$10),1,0))</f>
        <v>#REF!</v>
      </c>
      <c r="V935" s="5" t="e">
        <f>IF(AND(#REF!&gt;=table!$C$11,#REF!&lt;= table!$D$11),-1,IF(AND(#REF!&gt;=table!$E$11,#REF!&lt;=table!$F$11),1,0))</f>
        <v>#REF!</v>
      </c>
      <c r="W935" s="5" t="e">
        <f>CONCATENATE(dados[[#This Row],[fator1]],dados[[#This Row],[fator5]],dados[[#This Row],[fator6]])</f>
        <v>#REF!</v>
      </c>
    </row>
    <row r="936" spans="1:23">
      <c r="A936" t="s">
        <v>17</v>
      </c>
      <c r="B936">
        <v>483587</v>
      </c>
      <c r="C936">
        <v>13</v>
      </c>
      <c r="D936">
        <v>35</v>
      </c>
      <c r="E936">
        <v>100</v>
      </c>
      <c r="F936">
        <v>4</v>
      </c>
      <c r="G936">
        <v>28</v>
      </c>
      <c r="H936">
        <v>20</v>
      </c>
      <c r="I936">
        <v>541</v>
      </c>
      <c r="J936">
        <v>0</v>
      </c>
      <c r="K936">
        <v>5.2149999999999999</v>
      </c>
      <c r="L936">
        <v>7.8500000000000005</v>
      </c>
      <c r="M936">
        <v>109.10000000000001</v>
      </c>
      <c r="N936">
        <v>13.450000000000001</v>
      </c>
      <c r="O936">
        <v>1656</v>
      </c>
      <c r="P936">
        <v>715</v>
      </c>
      <c r="Q936" s="5" t="e">
        <f>IF(AND(#REF!&gt;=table!$C$6,#REF!&lt;= table!$D$6),-1,IF(AND(#REF!&gt;=table!$E$6,#REF!&lt;=table!$F$6),1,0))</f>
        <v>#REF!</v>
      </c>
      <c r="R936" s="5" t="e">
        <f>IF(AND(#REF!&gt;=table!$C$7,#REF!&lt;= table!$D$7),-1,IF(AND(#REF!&gt;=table!$E$7,#REF!&lt;=table!$F$7),1,0))</f>
        <v>#REF!</v>
      </c>
      <c r="S936" s="5" t="e">
        <f>IF(AND(#REF!&gt;=table!$C$8,#REF!&lt;= table!$D$8),-1,IF(AND(#REF!&gt;=table!$E$8,#REF!&lt;=table!$F$8),1,0))</f>
        <v>#REF!</v>
      </c>
      <c r="T936" s="5"/>
      <c r="U936" s="5" t="e">
        <f>IF(AND(#REF!&gt;=table!$C$10,#REF!&lt;= table!$D$10),-1,IF(AND(#REF!&gt;=table!$E$10,#REF!&lt;=table!$F$10),1,0))</f>
        <v>#REF!</v>
      </c>
      <c r="V936" s="5" t="e">
        <f>IF(AND(#REF!&gt;=table!$C$11,#REF!&lt;= table!$D$11),-1,IF(AND(#REF!&gt;=table!$E$11,#REF!&lt;=table!$F$11),1,0))</f>
        <v>#REF!</v>
      </c>
      <c r="W936" s="5" t="e">
        <f>CONCATENATE(dados[[#This Row],[fator1]],dados[[#This Row],[fator5]],dados[[#This Row],[fator6]])</f>
        <v>#REF!</v>
      </c>
    </row>
    <row r="937" spans="1:23">
      <c r="A937" t="s">
        <v>17</v>
      </c>
      <c r="B937">
        <v>483588</v>
      </c>
      <c r="C937">
        <v>18</v>
      </c>
      <c r="D937">
        <v>23</v>
      </c>
      <c r="E937">
        <v>145</v>
      </c>
      <c r="F937">
        <v>6</v>
      </c>
      <c r="G937">
        <v>30</v>
      </c>
      <c r="H937">
        <v>25</v>
      </c>
      <c r="I937">
        <v>629</v>
      </c>
      <c r="J937">
        <v>580</v>
      </c>
      <c r="K937">
        <v>4.415</v>
      </c>
      <c r="L937">
        <v>11.85</v>
      </c>
      <c r="M937">
        <v>116.3</v>
      </c>
      <c r="N937">
        <v>16.8</v>
      </c>
      <c r="O937">
        <v>1670</v>
      </c>
      <c r="P937">
        <v>670</v>
      </c>
      <c r="Q937" s="5" t="e">
        <f>IF(AND(#REF!&gt;=table!$C$6,#REF!&lt;= table!$D$6),-1,IF(AND(#REF!&gt;=table!$E$6,#REF!&lt;=table!$F$6),1,0))</f>
        <v>#REF!</v>
      </c>
      <c r="R937" s="5" t="e">
        <f>IF(AND(#REF!&gt;=table!$C$7,#REF!&lt;= table!$D$7),-1,IF(AND(#REF!&gt;=table!$E$7,#REF!&lt;=table!$F$7),1,0))</f>
        <v>#REF!</v>
      </c>
      <c r="S937" s="5" t="e">
        <f>IF(AND(#REF!&gt;=table!$C$8,#REF!&lt;= table!$D$8),-1,IF(AND(#REF!&gt;=table!$E$8,#REF!&lt;=table!$F$8),1,0))</f>
        <v>#REF!</v>
      </c>
      <c r="T937" s="5"/>
      <c r="U937" s="5" t="e">
        <f>IF(AND(#REF!&gt;=table!$C$10,#REF!&lt;= table!$D$10),-1,IF(AND(#REF!&gt;=table!$E$10,#REF!&lt;=table!$F$10),1,0))</f>
        <v>#REF!</v>
      </c>
      <c r="V937" s="5" t="e">
        <f>IF(AND(#REF!&gt;=table!$C$11,#REF!&lt;= table!$D$11),-1,IF(AND(#REF!&gt;=table!$E$11,#REF!&lt;=table!$F$11),1,0))</f>
        <v>#REF!</v>
      </c>
      <c r="W937" s="5" t="e">
        <f>CONCATENATE(dados[[#This Row],[fator1]],dados[[#This Row],[fator5]],dados[[#This Row],[fator6]])</f>
        <v>#REF!</v>
      </c>
    </row>
    <row r="938" spans="1:23">
      <c r="A938" t="s">
        <v>17</v>
      </c>
      <c r="B938">
        <v>483589</v>
      </c>
      <c r="C938">
        <v>18</v>
      </c>
      <c r="D938">
        <v>23</v>
      </c>
      <c r="E938">
        <v>145</v>
      </c>
      <c r="F938">
        <v>6</v>
      </c>
      <c r="G938">
        <v>30</v>
      </c>
      <c r="H938">
        <v>25</v>
      </c>
      <c r="I938">
        <v>948</v>
      </c>
      <c r="J938">
        <v>0</v>
      </c>
      <c r="K938">
        <v>4.3550000000000004</v>
      </c>
      <c r="L938">
        <v>12.795</v>
      </c>
      <c r="M938">
        <v>137.85</v>
      </c>
      <c r="N938">
        <v>22.635000000000002</v>
      </c>
      <c r="O938">
        <v>1673</v>
      </c>
      <c r="P938">
        <v>976</v>
      </c>
      <c r="Q938" s="5" t="e">
        <f>IF(AND(#REF!&gt;=table!$C$6,#REF!&lt;= table!$D$6),-1,IF(AND(#REF!&gt;=table!$E$6,#REF!&lt;=table!$F$6),1,0))</f>
        <v>#REF!</v>
      </c>
      <c r="R938" s="5" t="e">
        <f>IF(AND(#REF!&gt;=table!$C$7,#REF!&lt;= table!$D$7),-1,IF(AND(#REF!&gt;=table!$E$7,#REF!&lt;=table!$F$7),1,0))</f>
        <v>#REF!</v>
      </c>
      <c r="S938" s="5" t="e">
        <f>IF(AND(#REF!&gt;=table!$C$8,#REF!&lt;= table!$D$8),-1,IF(AND(#REF!&gt;=table!$E$8,#REF!&lt;=table!$F$8),1,0))</f>
        <v>#REF!</v>
      </c>
      <c r="T938" s="5"/>
      <c r="U938" s="5" t="e">
        <f>IF(AND(#REF!&gt;=table!$C$10,#REF!&lt;= table!$D$10),-1,IF(AND(#REF!&gt;=table!$E$10,#REF!&lt;=table!$F$10),1,0))</f>
        <v>#REF!</v>
      </c>
      <c r="V938" s="5" t="e">
        <f>IF(AND(#REF!&gt;=table!$C$11,#REF!&lt;= table!$D$11),-1,IF(AND(#REF!&gt;=table!$E$11,#REF!&lt;=table!$F$11),1,0))</f>
        <v>#REF!</v>
      </c>
      <c r="W938" s="5" t="e">
        <f>CONCATENATE(dados[[#This Row],[fator1]],dados[[#This Row],[fator5]],dados[[#This Row],[fator6]])</f>
        <v>#REF!</v>
      </c>
    </row>
    <row r="939" spans="1:23">
      <c r="A939" t="s">
        <v>17</v>
      </c>
      <c r="B939">
        <v>483591</v>
      </c>
      <c r="C939">
        <v>16</v>
      </c>
      <c r="D939">
        <v>30</v>
      </c>
      <c r="E939">
        <v>116</v>
      </c>
      <c r="F939">
        <v>6</v>
      </c>
      <c r="G939">
        <v>20</v>
      </c>
      <c r="H939">
        <v>25</v>
      </c>
      <c r="I939">
        <v>56</v>
      </c>
      <c r="J939">
        <v>0</v>
      </c>
      <c r="K939">
        <v>6.0950000000000006</v>
      </c>
      <c r="L939">
        <v>14.3</v>
      </c>
      <c r="M939">
        <v>100.7</v>
      </c>
      <c r="N939">
        <v>20.3</v>
      </c>
      <c r="O939">
        <v>1664</v>
      </c>
      <c r="P939">
        <v>593</v>
      </c>
      <c r="Q939" s="5" t="e">
        <f>IF(AND(#REF!&gt;=table!$C$6,#REF!&lt;= table!$D$6),-1,IF(AND(#REF!&gt;=table!$E$6,#REF!&lt;=table!$F$6),1,0))</f>
        <v>#REF!</v>
      </c>
      <c r="R939" s="5" t="e">
        <f>IF(AND(#REF!&gt;=table!$C$7,#REF!&lt;= table!$D$7),-1,IF(AND(#REF!&gt;=table!$E$7,#REF!&lt;=table!$F$7),1,0))</f>
        <v>#REF!</v>
      </c>
      <c r="S939" s="5" t="e">
        <f>IF(AND(#REF!&gt;=table!$C$8,#REF!&lt;= table!$D$8),-1,IF(AND(#REF!&gt;=table!$E$8,#REF!&lt;=table!$F$8),1,0))</f>
        <v>#REF!</v>
      </c>
      <c r="T939" s="5"/>
      <c r="U939" s="5" t="e">
        <f>IF(AND(#REF!&gt;=table!$C$10,#REF!&lt;= table!$D$10),-1,IF(AND(#REF!&gt;=table!$E$10,#REF!&lt;=table!$F$10),1,0))</f>
        <v>#REF!</v>
      </c>
      <c r="V939" s="5" t="e">
        <f>IF(AND(#REF!&gt;=table!$C$11,#REF!&lt;= table!$D$11),-1,IF(AND(#REF!&gt;=table!$E$11,#REF!&lt;=table!$F$11),1,0))</f>
        <v>#REF!</v>
      </c>
      <c r="W939" s="5" t="e">
        <f>CONCATENATE(dados[[#This Row],[fator1]],dados[[#This Row],[fator5]],dados[[#This Row],[fator6]])</f>
        <v>#REF!</v>
      </c>
    </row>
    <row r="940" spans="1:23">
      <c r="A940" t="s">
        <v>17</v>
      </c>
      <c r="B940">
        <v>483592</v>
      </c>
      <c r="C940">
        <v>4</v>
      </c>
      <c r="D940">
        <v>25</v>
      </c>
      <c r="E940">
        <v>23</v>
      </c>
      <c r="F940">
        <v>10</v>
      </c>
      <c r="G940">
        <v>110</v>
      </c>
      <c r="H940">
        <v>50</v>
      </c>
      <c r="I940">
        <v>836</v>
      </c>
      <c r="J940">
        <v>0</v>
      </c>
      <c r="K940">
        <v>4.47</v>
      </c>
      <c r="L940">
        <v>4.8</v>
      </c>
      <c r="M940">
        <v>17.350000000000001</v>
      </c>
      <c r="N940">
        <v>34.450000000000003</v>
      </c>
      <c r="O940">
        <v>1647</v>
      </c>
      <c r="P940">
        <v>805</v>
      </c>
      <c r="Q940" s="5" t="e">
        <f>IF(AND(#REF!&gt;=table!$C$6,#REF!&lt;= table!$D$6),-1,IF(AND(#REF!&gt;=table!$E$6,#REF!&lt;=table!$F$6),1,0))</f>
        <v>#REF!</v>
      </c>
      <c r="R940" s="5" t="e">
        <f>IF(AND(#REF!&gt;=table!$C$7,#REF!&lt;= table!$D$7),-1,IF(AND(#REF!&gt;=table!$E$7,#REF!&lt;=table!$F$7),1,0))</f>
        <v>#REF!</v>
      </c>
      <c r="S940" s="5" t="e">
        <f>IF(AND(#REF!&gt;=table!$C$8,#REF!&lt;= table!$D$8),-1,IF(AND(#REF!&gt;=table!$E$8,#REF!&lt;=table!$F$8),1,0))</f>
        <v>#REF!</v>
      </c>
      <c r="T940" s="5"/>
      <c r="U940" s="5" t="e">
        <f>IF(AND(#REF!&gt;=table!$C$10,#REF!&lt;= table!$D$10),-1,IF(AND(#REF!&gt;=table!$E$10,#REF!&lt;=table!$F$10),1,0))</f>
        <v>#REF!</v>
      </c>
      <c r="V940" s="5" t="e">
        <f>IF(AND(#REF!&gt;=table!$C$11,#REF!&lt;= table!$D$11),-1,IF(AND(#REF!&gt;=table!$E$11,#REF!&lt;=table!$F$11),1,0))</f>
        <v>#REF!</v>
      </c>
      <c r="W940" s="5" t="e">
        <f>CONCATENATE(dados[[#This Row],[fator1]],dados[[#This Row],[fator5]],dados[[#This Row],[fator6]])</f>
        <v>#REF!</v>
      </c>
    </row>
    <row r="941" spans="1:23">
      <c r="A941" t="s">
        <v>17</v>
      </c>
      <c r="B941">
        <v>483593</v>
      </c>
      <c r="C941">
        <v>4</v>
      </c>
      <c r="D941">
        <v>25</v>
      </c>
      <c r="E941">
        <v>23</v>
      </c>
      <c r="F941">
        <v>10</v>
      </c>
      <c r="G941">
        <v>110</v>
      </c>
      <c r="H941">
        <v>50</v>
      </c>
      <c r="I941">
        <v>1</v>
      </c>
      <c r="J941">
        <v>0</v>
      </c>
      <c r="K941">
        <v>4.6850000000000005</v>
      </c>
      <c r="L941">
        <v>5.1950000000000003</v>
      </c>
      <c r="M941">
        <v>16.55</v>
      </c>
      <c r="N941">
        <v>23.35</v>
      </c>
      <c r="O941">
        <v>1642</v>
      </c>
      <c r="P941">
        <v>954</v>
      </c>
      <c r="Q941" s="5" t="e">
        <f>IF(AND(#REF!&gt;=table!$C$6,#REF!&lt;= table!$D$6),-1,IF(AND(#REF!&gt;=table!$E$6,#REF!&lt;=table!$F$6),1,0))</f>
        <v>#REF!</v>
      </c>
      <c r="R941" s="5" t="e">
        <f>IF(AND(#REF!&gt;=table!$C$7,#REF!&lt;= table!$D$7),-1,IF(AND(#REF!&gt;=table!$E$7,#REF!&lt;=table!$F$7),1,0))</f>
        <v>#REF!</v>
      </c>
      <c r="S941" s="5" t="e">
        <f>IF(AND(#REF!&gt;=table!$C$8,#REF!&lt;= table!$D$8),-1,IF(AND(#REF!&gt;=table!$E$8,#REF!&lt;=table!$F$8),1,0))</f>
        <v>#REF!</v>
      </c>
      <c r="T941" s="5"/>
      <c r="U941" s="5" t="e">
        <f>IF(AND(#REF!&gt;=table!$C$10,#REF!&lt;= table!$D$10),-1,IF(AND(#REF!&gt;=table!$E$10,#REF!&lt;=table!$F$10),1,0))</f>
        <v>#REF!</v>
      </c>
      <c r="V941" s="5" t="e">
        <f>IF(AND(#REF!&gt;=table!$C$11,#REF!&lt;= table!$D$11),-1,IF(AND(#REF!&gt;=table!$E$11,#REF!&lt;=table!$F$11),1,0))</f>
        <v>#REF!</v>
      </c>
      <c r="W941" s="5" t="e">
        <f>CONCATENATE(dados[[#This Row],[fator1]],dados[[#This Row],[fator5]],dados[[#This Row],[fator6]])</f>
        <v>#REF!</v>
      </c>
    </row>
    <row r="942" spans="1:23">
      <c r="A942" t="s">
        <v>17</v>
      </c>
      <c r="B942">
        <v>483597</v>
      </c>
      <c r="C942">
        <v>18</v>
      </c>
      <c r="D942">
        <v>23</v>
      </c>
      <c r="E942">
        <v>145</v>
      </c>
      <c r="F942">
        <v>6</v>
      </c>
      <c r="G942">
        <v>30</v>
      </c>
      <c r="H942">
        <v>25</v>
      </c>
      <c r="I942">
        <v>0</v>
      </c>
      <c r="J942">
        <v>0</v>
      </c>
      <c r="K942">
        <v>1.8945000000000001</v>
      </c>
      <c r="L942">
        <v>3.5750000000000002</v>
      </c>
      <c r="M942">
        <v>157.20000000000002</v>
      </c>
      <c r="N942">
        <v>15.450000000000001</v>
      </c>
      <c r="O942">
        <v>1687</v>
      </c>
      <c r="P942">
        <v>0</v>
      </c>
      <c r="Q942" s="5" t="e">
        <f>IF(AND(#REF!&gt;=table!$C$6,#REF!&lt;= table!$D$6),-1,IF(AND(#REF!&gt;=table!$E$6,#REF!&lt;=table!$F$6),1,0))</f>
        <v>#REF!</v>
      </c>
      <c r="R942" s="5" t="e">
        <f>IF(AND(#REF!&gt;=table!$C$7,#REF!&lt;= table!$D$7),-1,IF(AND(#REF!&gt;=table!$E$7,#REF!&lt;=table!$F$7),1,0))</f>
        <v>#REF!</v>
      </c>
      <c r="S942" s="5" t="e">
        <f>IF(AND(#REF!&gt;=table!$C$8,#REF!&lt;= table!$D$8),-1,IF(AND(#REF!&gt;=table!$E$8,#REF!&lt;=table!$F$8),1,0))</f>
        <v>#REF!</v>
      </c>
      <c r="T942" s="5"/>
      <c r="U942" s="5" t="e">
        <f>IF(AND(#REF!&gt;=table!$C$10,#REF!&lt;= table!$D$10),-1,IF(AND(#REF!&gt;=table!$E$10,#REF!&lt;=table!$F$10),1,0))</f>
        <v>#REF!</v>
      </c>
      <c r="V942" s="5" t="e">
        <f>IF(AND(#REF!&gt;=table!$C$11,#REF!&lt;= table!$D$11),-1,IF(AND(#REF!&gt;=table!$E$11,#REF!&lt;=table!$F$11),1,0))</f>
        <v>#REF!</v>
      </c>
      <c r="W942" s="5" t="e">
        <f>CONCATENATE(dados[[#This Row],[fator1]],dados[[#This Row],[fator5]],dados[[#This Row],[fator6]])</f>
        <v>#REF!</v>
      </c>
    </row>
    <row r="943" spans="1:23">
      <c r="A943" t="s">
        <v>16</v>
      </c>
      <c r="B943">
        <v>483598</v>
      </c>
      <c r="C943">
        <v>10</v>
      </c>
      <c r="D943">
        <v>38</v>
      </c>
      <c r="E943">
        <v>150</v>
      </c>
      <c r="F943">
        <v>4</v>
      </c>
      <c r="G943">
        <v>0</v>
      </c>
      <c r="H943">
        <v>25</v>
      </c>
      <c r="I943">
        <v>43</v>
      </c>
      <c r="J943">
        <v>0</v>
      </c>
      <c r="K943">
        <v>2.2749999999999999</v>
      </c>
      <c r="L943">
        <v>3.0500000000000003</v>
      </c>
      <c r="M943">
        <v>126.27</v>
      </c>
      <c r="N943">
        <v>13.57</v>
      </c>
      <c r="O943">
        <v>1675</v>
      </c>
      <c r="P943">
        <v>0</v>
      </c>
      <c r="Q943" s="5" t="e">
        <f>IF(AND(#REF!&gt;=table!$C$6,#REF!&lt;= table!$D$6),-1,IF(AND(#REF!&gt;=table!$E$6,#REF!&lt;=table!$F$6),1,0))</f>
        <v>#REF!</v>
      </c>
      <c r="R943" s="5" t="e">
        <f>IF(AND(#REF!&gt;=table!$C$7,#REF!&lt;= table!$D$7),-1,IF(AND(#REF!&gt;=table!$E$7,#REF!&lt;=table!$F$7),1,0))</f>
        <v>#REF!</v>
      </c>
      <c r="S943" s="5" t="e">
        <f>IF(AND(#REF!&gt;=table!$C$8,#REF!&lt;= table!$D$8),-1,IF(AND(#REF!&gt;=table!$E$8,#REF!&lt;=table!$F$8),1,0))</f>
        <v>#REF!</v>
      </c>
      <c r="T943" s="5"/>
      <c r="U943" s="5" t="e">
        <f>IF(AND(#REF!&gt;=table!$C$10,#REF!&lt;= table!$D$10),-1,IF(AND(#REF!&gt;=table!$E$10,#REF!&lt;=table!$F$10),1,0))</f>
        <v>#REF!</v>
      </c>
      <c r="V943" s="5" t="e">
        <f>IF(AND(#REF!&gt;=table!$C$11,#REF!&lt;= table!$D$11),-1,IF(AND(#REF!&gt;=table!$E$11,#REF!&lt;=table!$F$11),1,0))</f>
        <v>#REF!</v>
      </c>
      <c r="W943" s="5" t="e">
        <f>CONCATENATE(dados[[#This Row],[fator1]],dados[[#This Row],[fator5]],dados[[#This Row],[fator6]])</f>
        <v>#REF!</v>
      </c>
    </row>
    <row r="944" spans="1:23">
      <c r="A944" t="s">
        <v>16</v>
      </c>
      <c r="B944">
        <v>483599</v>
      </c>
      <c r="C944">
        <v>10</v>
      </c>
      <c r="D944">
        <v>38</v>
      </c>
      <c r="E944">
        <v>150</v>
      </c>
      <c r="F944">
        <v>4</v>
      </c>
      <c r="G944">
        <v>0</v>
      </c>
      <c r="H944">
        <v>25</v>
      </c>
      <c r="I944">
        <v>694</v>
      </c>
      <c r="J944">
        <v>1540</v>
      </c>
      <c r="K944">
        <v>1.9245000000000001</v>
      </c>
      <c r="L944">
        <v>3.6350000000000002</v>
      </c>
      <c r="M944">
        <v>138.5</v>
      </c>
      <c r="N944">
        <v>18.350000000000001</v>
      </c>
      <c r="O944">
        <v>1660</v>
      </c>
      <c r="P944">
        <v>1533</v>
      </c>
      <c r="Q944" s="5" t="e">
        <f>IF(AND(#REF!&gt;=table!$C$6,#REF!&lt;= table!$D$6),-1,IF(AND(#REF!&gt;=table!$E$6,#REF!&lt;=table!$F$6),1,0))</f>
        <v>#REF!</v>
      </c>
      <c r="R944" s="5" t="e">
        <f>IF(AND(#REF!&gt;=table!$C$7,#REF!&lt;= table!$D$7),-1,IF(AND(#REF!&gt;=table!$E$7,#REF!&lt;=table!$F$7),1,0))</f>
        <v>#REF!</v>
      </c>
      <c r="S944" s="5" t="e">
        <f>IF(AND(#REF!&gt;=table!$C$8,#REF!&lt;= table!$D$8),-1,IF(AND(#REF!&gt;=table!$E$8,#REF!&lt;=table!$F$8),1,0))</f>
        <v>#REF!</v>
      </c>
      <c r="T944" s="5"/>
      <c r="U944" s="5" t="e">
        <f>IF(AND(#REF!&gt;=table!$C$10,#REF!&lt;= table!$D$10),-1,IF(AND(#REF!&gt;=table!$E$10,#REF!&lt;=table!$F$10),1,0))</f>
        <v>#REF!</v>
      </c>
      <c r="V944" s="5" t="e">
        <f>IF(AND(#REF!&gt;=table!$C$11,#REF!&lt;= table!$D$11),-1,IF(AND(#REF!&gt;=table!$E$11,#REF!&lt;=table!$F$11),1,0))</f>
        <v>#REF!</v>
      </c>
      <c r="W944" s="5" t="e">
        <f>CONCATENATE(dados[[#This Row],[fator1]],dados[[#This Row],[fator5]],dados[[#This Row],[fator6]])</f>
        <v>#REF!</v>
      </c>
    </row>
    <row r="945" spans="1:23">
      <c r="A945" t="s">
        <v>16</v>
      </c>
      <c r="B945">
        <v>483607</v>
      </c>
      <c r="C945">
        <v>12</v>
      </c>
      <c r="D945">
        <v>35</v>
      </c>
      <c r="E945">
        <v>180</v>
      </c>
      <c r="F945">
        <v>6</v>
      </c>
      <c r="G945">
        <v>0</v>
      </c>
      <c r="H945">
        <v>20</v>
      </c>
      <c r="I945">
        <v>331</v>
      </c>
      <c r="J945">
        <v>0</v>
      </c>
      <c r="K945">
        <v>5.415</v>
      </c>
      <c r="L945">
        <v>11.200000000000001</v>
      </c>
      <c r="M945">
        <v>158.1</v>
      </c>
      <c r="N945">
        <v>13.65</v>
      </c>
      <c r="O945">
        <v>1685</v>
      </c>
      <c r="P945">
        <v>667</v>
      </c>
      <c r="Q945" s="5" t="e">
        <f>IF(AND(#REF!&gt;=table!$C$6,#REF!&lt;= table!$D$6),-1,IF(AND(#REF!&gt;=table!$E$6,#REF!&lt;=table!$F$6),1,0))</f>
        <v>#REF!</v>
      </c>
      <c r="R945" s="5" t="e">
        <f>IF(AND(#REF!&gt;=table!$C$7,#REF!&lt;= table!$D$7),-1,IF(AND(#REF!&gt;=table!$E$7,#REF!&lt;=table!$F$7),1,0))</f>
        <v>#REF!</v>
      </c>
      <c r="S945" s="5" t="e">
        <f>IF(AND(#REF!&gt;=table!$C$8,#REF!&lt;= table!$D$8),-1,IF(AND(#REF!&gt;=table!$E$8,#REF!&lt;=table!$F$8),1,0))</f>
        <v>#REF!</v>
      </c>
      <c r="T945" s="5"/>
      <c r="U945" s="5" t="e">
        <f>IF(AND(#REF!&gt;=table!$C$10,#REF!&lt;= table!$D$10),-1,IF(AND(#REF!&gt;=table!$E$10,#REF!&lt;=table!$F$10),1,0))</f>
        <v>#REF!</v>
      </c>
      <c r="V945" s="5" t="e">
        <f>IF(AND(#REF!&gt;=table!$C$11,#REF!&lt;= table!$D$11),-1,IF(AND(#REF!&gt;=table!$E$11,#REF!&lt;=table!$F$11),1,0))</f>
        <v>#REF!</v>
      </c>
      <c r="W945" s="5" t="e">
        <f>CONCATENATE(dados[[#This Row],[fator1]],dados[[#This Row],[fator5]],dados[[#This Row],[fator6]])</f>
        <v>#REF!</v>
      </c>
    </row>
    <row r="946" spans="1:23">
      <c r="A946" t="s">
        <v>17</v>
      </c>
      <c r="B946">
        <v>483608</v>
      </c>
      <c r="C946">
        <v>20</v>
      </c>
      <c r="D946">
        <v>18</v>
      </c>
      <c r="E946">
        <v>36</v>
      </c>
      <c r="F946">
        <v>10</v>
      </c>
      <c r="G946">
        <v>20</v>
      </c>
      <c r="H946">
        <v>25</v>
      </c>
      <c r="I946">
        <v>729</v>
      </c>
      <c r="J946">
        <v>0</v>
      </c>
      <c r="K946">
        <v>6.6150000000000002</v>
      </c>
      <c r="L946">
        <v>9.25</v>
      </c>
      <c r="M946">
        <v>29.525000000000002</v>
      </c>
      <c r="N946">
        <v>12.325000000000001</v>
      </c>
      <c r="O946">
        <v>1672</v>
      </c>
      <c r="P946">
        <v>598</v>
      </c>
      <c r="Q946" s="5" t="e">
        <f>IF(AND(#REF!&gt;=table!$C$6,#REF!&lt;= table!$D$6),-1,IF(AND(#REF!&gt;=table!$E$6,#REF!&lt;=table!$F$6),1,0))</f>
        <v>#REF!</v>
      </c>
      <c r="R946" s="5" t="e">
        <f>IF(AND(#REF!&gt;=table!$C$7,#REF!&lt;= table!$D$7),-1,IF(AND(#REF!&gt;=table!$E$7,#REF!&lt;=table!$F$7),1,0))</f>
        <v>#REF!</v>
      </c>
      <c r="S946" s="5" t="e">
        <f>IF(AND(#REF!&gt;=table!$C$8,#REF!&lt;= table!$D$8),-1,IF(AND(#REF!&gt;=table!$E$8,#REF!&lt;=table!$F$8),1,0))</f>
        <v>#REF!</v>
      </c>
      <c r="T946" s="5"/>
      <c r="U946" s="5" t="e">
        <f>IF(AND(#REF!&gt;=table!$C$10,#REF!&lt;= table!$D$10),-1,IF(AND(#REF!&gt;=table!$E$10,#REF!&lt;=table!$F$10),1,0))</f>
        <v>#REF!</v>
      </c>
      <c r="V946" s="5" t="e">
        <f>IF(AND(#REF!&gt;=table!$C$11,#REF!&lt;= table!$D$11),-1,IF(AND(#REF!&gt;=table!$E$11,#REF!&lt;=table!$F$11),1,0))</f>
        <v>#REF!</v>
      </c>
      <c r="W946" s="5" t="e">
        <f>CONCATENATE(dados[[#This Row],[fator1]],dados[[#This Row],[fator5]],dados[[#This Row],[fator6]])</f>
        <v>#REF!</v>
      </c>
    </row>
    <row r="947" spans="1:23">
      <c r="A947" t="s">
        <v>16</v>
      </c>
      <c r="B947">
        <v>483612</v>
      </c>
      <c r="C947">
        <v>0.15</v>
      </c>
      <c r="D947">
        <v>35</v>
      </c>
      <c r="E947">
        <v>15</v>
      </c>
      <c r="F947">
        <v>10</v>
      </c>
      <c r="G947">
        <v>0</v>
      </c>
      <c r="H947">
        <v>12</v>
      </c>
      <c r="I947">
        <v>486</v>
      </c>
      <c r="J947">
        <v>0</v>
      </c>
      <c r="K947">
        <v>5.4750000000000005</v>
      </c>
      <c r="L947">
        <v>12.25</v>
      </c>
      <c r="M947">
        <v>8.5150000000000006</v>
      </c>
      <c r="N947">
        <v>8.51</v>
      </c>
      <c r="O947">
        <v>1666</v>
      </c>
      <c r="P947">
        <v>0</v>
      </c>
      <c r="Q947" s="5" t="e">
        <f>IF(AND(#REF!&gt;=table!$C$6,#REF!&lt;= table!$D$6),-1,IF(AND(#REF!&gt;=table!$E$6,#REF!&lt;=table!$F$6),1,0))</f>
        <v>#REF!</v>
      </c>
      <c r="R947" s="5" t="e">
        <f>IF(AND(#REF!&gt;=table!$C$7,#REF!&lt;= table!$D$7),-1,IF(AND(#REF!&gt;=table!$E$7,#REF!&lt;=table!$F$7),1,0))</f>
        <v>#REF!</v>
      </c>
      <c r="S947" s="5" t="e">
        <f>IF(AND(#REF!&gt;=table!$C$8,#REF!&lt;= table!$D$8),-1,IF(AND(#REF!&gt;=table!$E$8,#REF!&lt;=table!$F$8),1,0))</f>
        <v>#REF!</v>
      </c>
      <c r="T947" s="5"/>
      <c r="U947" s="5" t="e">
        <f>IF(AND(#REF!&gt;=table!$C$10,#REF!&lt;= table!$D$10),-1,IF(AND(#REF!&gt;=table!$E$10,#REF!&lt;=table!$F$10),1,0))</f>
        <v>#REF!</v>
      </c>
      <c r="V947" s="5" t="e">
        <f>IF(AND(#REF!&gt;=table!$C$11,#REF!&lt;= table!$D$11),-1,IF(AND(#REF!&gt;=table!$E$11,#REF!&lt;=table!$F$11),1,0))</f>
        <v>#REF!</v>
      </c>
      <c r="W947" s="5" t="e">
        <f>CONCATENATE(dados[[#This Row],[fator1]],dados[[#This Row],[fator5]],dados[[#This Row],[fator6]])</f>
        <v>#REF!</v>
      </c>
    </row>
    <row r="948" spans="1:23">
      <c r="A948" t="s">
        <v>16</v>
      </c>
      <c r="B948">
        <v>483617</v>
      </c>
      <c r="C948">
        <v>6</v>
      </c>
      <c r="D948">
        <v>25</v>
      </c>
      <c r="E948">
        <v>120</v>
      </c>
      <c r="F948">
        <v>4</v>
      </c>
      <c r="G948">
        <v>0</v>
      </c>
      <c r="H948">
        <v>55</v>
      </c>
      <c r="I948">
        <v>247</v>
      </c>
      <c r="J948">
        <v>0</v>
      </c>
      <c r="K948">
        <v>2.895</v>
      </c>
      <c r="L948">
        <v>11.05</v>
      </c>
      <c r="M948">
        <v>95.100000000000009</v>
      </c>
      <c r="N948">
        <v>23.7</v>
      </c>
      <c r="O948">
        <v>1670</v>
      </c>
      <c r="P948">
        <v>1230</v>
      </c>
      <c r="Q948" s="5" t="e">
        <f>IF(AND(#REF!&gt;=table!$C$6,#REF!&lt;= table!$D$6),-1,IF(AND(#REF!&gt;=table!$E$6,#REF!&lt;=table!$F$6),1,0))</f>
        <v>#REF!</v>
      </c>
      <c r="R948" s="5" t="e">
        <f>IF(AND(#REF!&gt;=table!$C$7,#REF!&lt;= table!$D$7),-1,IF(AND(#REF!&gt;=table!$E$7,#REF!&lt;=table!$F$7),1,0))</f>
        <v>#REF!</v>
      </c>
      <c r="S948" s="5" t="e">
        <f>IF(AND(#REF!&gt;=table!$C$8,#REF!&lt;= table!$D$8),-1,IF(AND(#REF!&gt;=table!$E$8,#REF!&lt;=table!$F$8),1,0))</f>
        <v>#REF!</v>
      </c>
      <c r="T948" s="5"/>
      <c r="U948" s="5" t="e">
        <f>IF(AND(#REF!&gt;=table!$C$10,#REF!&lt;= table!$D$10),-1,IF(AND(#REF!&gt;=table!$E$10,#REF!&lt;=table!$F$10),1,0))</f>
        <v>#REF!</v>
      </c>
      <c r="V948" s="5" t="e">
        <f>IF(AND(#REF!&gt;=table!$C$11,#REF!&lt;= table!$D$11),-1,IF(AND(#REF!&gt;=table!$E$11,#REF!&lt;=table!$F$11),1,0))</f>
        <v>#REF!</v>
      </c>
      <c r="W948" s="5" t="e">
        <f>CONCATENATE(dados[[#This Row],[fator1]],dados[[#This Row],[fator5]],dados[[#This Row],[fator6]])</f>
        <v>#REF!</v>
      </c>
    </row>
    <row r="949" spans="1:23">
      <c r="A949" t="s">
        <v>16</v>
      </c>
      <c r="B949">
        <v>483619</v>
      </c>
      <c r="C949">
        <v>6</v>
      </c>
      <c r="D949">
        <v>25</v>
      </c>
      <c r="E949">
        <v>120</v>
      </c>
      <c r="F949">
        <v>4</v>
      </c>
      <c r="G949">
        <v>0</v>
      </c>
      <c r="H949">
        <v>55</v>
      </c>
      <c r="I949">
        <v>573</v>
      </c>
      <c r="J949">
        <v>0</v>
      </c>
      <c r="K949">
        <v>2.3780000000000001</v>
      </c>
      <c r="L949">
        <v>7.9750000000000005</v>
      </c>
      <c r="M949">
        <v>93.4</v>
      </c>
      <c r="N949">
        <v>26.35</v>
      </c>
      <c r="O949">
        <v>1691</v>
      </c>
      <c r="P949">
        <v>0</v>
      </c>
      <c r="Q949" s="5" t="e">
        <f>IF(AND(#REF!&gt;=table!$C$6,#REF!&lt;= table!$D$6),-1,IF(AND(#REF!&gt;=table!$E$6,#REF!&lt;=table!$F$6),1,0))</f>
        <v>#REF!</v>
      </c>
      <c r="R949" s="5" t="e">
        <f>IF(AND(#REF!&gt;=table!$C$7,#REF!&lt;= table!$D$7),-1,IF(AND(#REF!&gt;=table!$E$7,#REF!&lt;=table!$F$7),1,0))</f>
        <v>#REF!</v>
      </c>
      <c r="S949" s="5" t="e">
        <f>IF(AND(#REF!&gt;=table!$C$8,#REF!&lt;= table!$D$8),-1,IF(AND(#REF!&gt;=table!$E$8,#REF!&lt;=table!$F$8),1,0))</f>
        <v>#REF!</v>
      </c>
      <c r="T949" s="5"/>
      <c r="U949" s="5" t="e">
        <f>IF(AND(#REF!&gt;=table!$C$10,#REF!&lt;= table!$D$10),-1,IF(AND(#REF!&gt;=table!$E$10,#REF!&lt;=table!$F$10),1,0))</f>
        <v>#REF!</v>
      </c>
      <c r="V949" s="5" t="e">
        <f>IF(AND(#REF!&gt;=table!$C$11,#REF!&lt;= table!$D$11),-1,IF(AND(#REF!&gt;=table!$E$11,#REF!&lt;=table!$F$11),1,0))</f>
        <v>#REF!</v>
      </c>
      <c r="W949" s="5" t="e">
        <f>CONCATENATE(dados[[#This Row],[fator1]],dados[[#This Row],[fator5]],dados[[#This Row],[fator6]])</f>
        <v>#REF!</v>
      </c>
    </row>
    <row r="950" spans="1:23">
      <c r="A950" t="s">
        <v>16</v>
      </c>
      <c r="B950">
        <v>483620</v>
      </c>
      <c r="C950">
        <v>8</v>
      </c>
      <c r="D950">
        <v>40</v>
      </c>
      <c r="E950">
        <v>61</v>
      </c>
      <c r="F950">
        <v>8</v>
      </c>
      <c r="G950">
        <v>0</v>
      </c>
      <c r="H950">
        <v>25</v>
      </c>
      <c r="I950">
        <v>715</v>
      </c>
      <c r="J950">
        <v>0</v>
      </c>
      <c r="K950">
        <v>3.3450000000000002</v>
      </c>
      <c r="L950">
        <v>10.75</v>
      </c>
      <c r="M950">
        <v>62.35</v>
      </c>
      <c r="N950">
        <v>15.55</v>
      </c>
      <c r="O950">
        <v>1688</v>
      </c>
      <c r="P950">
        <v>0</v>
      </c>
      <c r="Q950" s="5" t="e">
        <f>IF(AND(#REF!&gt;=table!$C$6,#REF!&lt;= table!$D$6),-1,IF(AND(#REF!&gt;=table!$E$6,#REF!&lt;=table!$F$6),1,0))</f>
        <v>#REF!</v>
      </c>
      <c r="R950" s="5" t="e">
        <f>IF(AND(#REF!&gt;=table!$C$7,#REF!&lt;= table!$D$7),-1,IF(AND(#REF!&gt;=table!$E$7,#REF!&lt;=table!$F$7),1,0))</f>
        <v>#REF!</v>
      </c>
      <c r="S950" s="5" t="e">
        <f>IF(AND(#REF!&gt;=table!$C$8,#REF!&lt;= table!$D$8),-1,IF(AND(#REF!&gt;=table!$E$8,#REF!&lt;=table!$F$8),1,0))</f>
        <v>#REF!</v>
      </c>
      <c r="T950" s="5"/>
      <c r="U950" s="5" t="e">
        <f>IF(AND(#REF!&gt;=table!$C$10,#REF!&lt;= table!$D$10),-1,IF(AND(#REF!&gt;=table!$E$10,#REF!&lt;=table!$F$10),1,0))</f>
        <v>#REF!</v>
      </c>
      <c r="V950" s="5" t="e">
        <f>IF(AND(#REF!&gt;=table!$C$11,#REF!&lt;= table!$D$11),-1,IF(AND(#REF!&gt;=table!$E$11,#REF!&lt;=table!$F$11),1,0))</f>
        <v>#REF!</v>
      </c>
      <c r="W950" s="5" t="e">
        <f>CONCATENATE(dados[[#This Row],[fator1]],dados[[#This Row],[fator5]],dados[[#This Row],[fator6]])</f>
        <v>#REF!</v>
      </c>
    </row>
    <row r="951" spans="1:23">
      <c r="A951" t="s">
        <v>16</v>
      </c>
      <c r="B951">
        <v>483621</v>
      </c>
      <c r="C951">
        <v>8</v>
      </c>
      <c r="D951">
        <v>30</v>
      </c>
      <c r="E951">
        <v>61</v>
      </c>
      <c r="F951">
        <v>8</v>
      </c>
      <c r="G951">
        <v>0</v>
      </c>
      <c r="H951">
        <v>25</v>
      </c>
      <c r="I951">
        <v>604</v>
      </c>
      <c r="J951">
        <v>0</v>
      </c>
      <c r="K951">
        <v>3.4950000000000001</v>
      </c>
      <c r="L951">
        <v>9.9500000000000011</v>
      </c>
      <c r="M951">
        <v>57.910000000000004</v>
      </c>
      <c r="N951">
        <v>13.790000000000001</v>
      </c>
      <c r="O951">
        <v>1664</v>
      </c>
      <c r="P951">
        <v>0</v>
      </c>
      <c r="Q951" s="5" t="e">
        <f>IF(AND(#REF!&gt;=table!$C$6,#REF!&lt;= table!$D$6),-1,IF(AND(#REF!&gt;=table!$E$6,#REF!&lt;=table!$F$6),1,0))</f>
        <v>#REF!</v>
      </c>
      <c r="R951" s="5" t="e">
        <f>IF(AND(#REF!&gt;=table!$C$7,#REF!&lt;= table!$D$7),-1,IF(AND(#REF!&gt;=table!$E$7,#REF!&lt;=table!$F$7),1,0))</f>
        <v>#REF!</v>
      </c>
      <c r="S951" s="5" t="e">
        <f>IF(AND(#REF!&gt;=table!$C$8,#REF!&lt;= table!$D$8),-1,IF(AND(#REF!&gt;=table!$E$8,#REF!&lt;=table!$F$8),1,0))</f>
        <v>#REF!</v>
      </c>
      <c r="T951" s="5"/>
      <c r="U951" s="5" t="e">
        <f>IF(AND(#REF!&gt;=table!$C$10,#REF!&lt;= table!$D$10),-1,IF(AND(#REF!&gt;=table!$E$10,#REF!&lt;=table!$F$10),1,0))</f>
        <v>#REF!</v>
      </c>
      <c r="V951" s="5" t="e">
        <f>IF(AND(#REF!&gt;=table!$C$11,#REF!&lt;= table!$D$11),-1,IF(AND(#REF!&gt;=table!$E$11,#REF!&lt;=table!$F$11),1,0))</f>
        <v>#REF!</v>
      </c>
      <c r="W951" s="5" t="e">
        <f>CONCATENATE(dados[[#This Row],[fator1]],dados[[#This Row],[fator5]],dados[[#This Row],[fator6]])</f>
        <v>#REF!</v>
      </c>
    </row>
    <row r="952" spans="1:23">
      <c r="A952" t="s">
        <v>16</v>
      </c>
      <c r="B952">
        <v>483624</v>
      </c>
      <c r="C952">
        <v>6</v>
      </c>
      <c r="D952">
        <v>40</v>
      </c>
      <c r="E952">
        <v>66</v>
      </c>
      <c r="F952">
        <v>10</v>
      </c>
      <c r="G952">
        <v>0</v>
      </c>
      <c r="H952">
        <v>25</v>
      </c>
      <c r="I952">
        <v>1187</v>
      </c>
      <c r="J952">
        <v>1910</v>
      </c>
      <c r="K952">
        <v>3</v>
      </c>
      <c r="L952">
        <v>11.200000000000001</v>
      </c>
      <c r="M952">
        <v>60.105000000000004</v>
      </c>
      <c r="N952">
        <v>11.19</v>
      </c>
      <c r="O952">
        <v>1678</v>
      </c>
      <c r="P952">
        <v>1118</v>
      </c>
      <c r="Q952" s="5" t="e">
        <f>IF(AND(#REF!&gt;=table!$C$6,#REF!&lt;= table!$D$6),-1,IF(AND(#REF!&gt;=table!$E$6,#REF!&lt;=table!$F$6),1,0))</f>
        <v>#REF!</v>
      </c>
      <c r="R952" s="5" t="e">
        <f>IF(AND(#REF!&gt;=table!$C$7,#REF!&lt;= table!$D$7),-1,IF(AND(#REF!&gt;=table!$E$7,#REF!&lt;=table!$F$7),1,0))</f>
        <v>#REF!</v>
      </c>
      <c r="S952" s="5" t="e">
        <f>IF(AND(#REF!&gt;=table!$C$8,#REF!&lt;= table!$D$8),-1,IF(AND(#REF!&gt;=table!$E$8,#REF!&lt;=table!$F$8),1,0))</f>
        <v>#REF!</v>
      </c>
      <c r="T952" s="5"/>
      <c r="U952" s="5" t="e">
        <f>IF(AND(#REF!&gt;=table!$C$10,#REF!&lt;= table!$D$10),-1,IF(AND(#REF!&gt;=table!$E$10,#REF!&lt;=table!$F$10),1,0))</f>
        <v>#REF!</v>
      </c>
      <c r="V952" s="5" t="e">
        <f>IF(AND(#REF!&gt;=table!$C$11,#REF!&lt;= table!$D$11),-1,IF(AND(#REF!&gt;=table!$E$11,#REF!&lt;=table!$F$11),1,0))</f>
        <v>#REF!</v>
      </c>
      <c r="W952" s="5" t="e">
        <f>CONCATENATE(dados[[#This Row],[fator1]],dados[[#This Row],[fator5]],dados[[#This Row],[fator6]])</f>
        <v>#REF!</v>
      </c>
    </row>
    <row r="953" spans="1:23">
      <c r="A953" t="s">
        <v>16</v>
      </c>
      <c r="B953">
        <v>483626</v>
      </c>
      <c r="C953">
        <v>0.15</v>
      </c>
      <c r="D953">
        <v>40</v>
      </c>
      <c r="E953">
        <v>10</v>
      </c>
      <c r="F953">
        <v>15</v>
      </c>
      <c r="G953">
        <v>0</v>
      </c>
      <c r="H953">
        <v>15</v>
      </c>
      <c r="I953">
        <v>180</v>
      </c>
      <c r="J953">
        <v>0</v>
      </c>
      <c r="K953">
        <v>4.7549999999999999</v>
      </c>
      <c r="L953">
        <v>7.45</v>
      </c>
      <c r="M953">
        <v>6.4</v>
      </c>
      <c r="N953">
        <v>9.5500000000000007</v>
      </c>
      <c r="O953">
        <v>1634</v>
      </c>
      <c r="P953">
        <v>947</v>
      </c>
      <c r="Q953" s="5" t="e">
        <f>IF(AND(#REF!&gt;=table!$C$6,#REF!&lt;= table!$D$6),-1,IF(AND(#REF!&gt;=table!$E$6,#REF!&lt;=table!$F$6),1,0))</f>
        <v>#REF!</v>
      </c>
      <c r="R953" s="5" t="e">
        <f>IF(AND(#REF!&gt;=table!$C$7,#REF!&lt;= table!$D$7),-1,IF(AND(#REF!&gt;=table!$E$7,#REF!&lt;=table!$F$7),1,0))</f>
        <v>#REF!</v>
      </c>
      <c r="S953" s="5" t="e">
        <f>IF(AND(#REF!&gt;=table!$C$8,#REF!&lt;= table!$D$8),-1,IF(AND(#REF!&gt;=table!$E$8,#REF!&lt;=table!$F$8),1,0))</f>
        <v>#REF!</v>
      </c>
      <c r="T953" s="5"/>
      <c r="U953" s="5" t="e">
        <f>IF(AND(#REF!&gt;=table!$C$10,#REF!&lt;= table!$D$10),-1,IF(AND(#REF!&gt;=table!$E$10,#REF!&lt;=table!$F$10),1,0))</f>
        <v>#REF!</v>
      </c>
      <c r="V953" s="5" t="e">
        <f>IF(AND(#REF!&gt;=table!$C$11,#REF!&lt;= table!$D$11),-1,IF(AND(#REF!&gt;=table!$E$11,#REF!&lt;=table!$F$11),1,0))</f>
        <v>#REF!</v>
      </c>
      <c r="W953" s="5" t="e">
        <f>CONCATENATE(dados[[#This Row],[fator1]],dados[[#This Row],[fator5]],dados[[#This Row],[fator6]])</f>
        <v>#REF!</v>
      </c>
    </row>
    <row r="954" spans="1:23">
      <c r="A954" t="s">
        <v>16</v>
      </c>
      <c r="B954">
        <v>483628</v>
      </c>
      <c r="C954">
        <v>0.15</v>
      </c>
      <c r="D954">
        <v>40</v>
      </c>
      <c r="E954">
        <v>10</v>
      </c>
      <c r="F954">
        <v>15</v>
      </c>
      <c r="G954">
        <v>0</v>
      </c>
      <c r="H954">
        <v>15</v>
      </c>
      <c r="I954">
        <v>167</v>
      </c>
      <c r="J954">
        <v>0</v>
      </c>
      <c r="K954">
        <v>0</v>
      </c>
      <c r="L954">
        <v>0</v>
      </c>
      <c r="M954">
        <v>8.35</v>
      </c>
      <c r="N954">
        <v>12.8</v>
      </c>
      <c r="O954">
        <v>1688</v>
      </c>
      <c r="P954">
        <v>0</v>
      </c>
      <c r="Q954" s="5" t="e">
        <f>IF(AND(#REF!&gt;=table!$C$6,#REF!&lt;= table!$D$6),-1,IF(AND(#REF!&gt;=table!$E$6,#REF!&lt;=table!$F$6),1,0))</f>
        <v>#REF!</v>
      </c>
      <c r="R954" s="5" t="e">
        <f>IF(AND(#REF!&gt;=table!$C$7,#REF!&lt;= table!$D$7),-1,IF(AND(#REF!&gt;=table!$E$7,#REF!&lt;=table!$F$7),1,0))</f>
        <v>#REF!</v>
      </c>
      <c r="S954" s="5" t="e">
        <f>IF(AND(#REF!&gt;=table!$C$8,#REF!&lt;= table!$D$8),-1,IF(AND(#REF!&gt;=table!$E$8,#REF!&lt;=table!$F$8),1,0))</f>
        <v>#REF!</v>
      </c>
      <c r="T954" s="5"/>
      <c r="U954" s="5" t="e">
        <f>IF(AND(#REF!&gt;=table!$C$10,#REF!&lt;= table!$D$10),-1,IF(AND(#REF!&gt;=table!$E$10,#REF!&lt;=table!$F$10),1,0))</f>
        <v>#REF!</v>
      </c>
      <c r="V954" s="5" t="e">
        <f>IF(AND(#REF!&gt;=table!$C$11,#REF!&lt;= table!$D$11),-1,IF(AND(#REF!&gt;=table!$E$11,#REF!&lt;=table!$F$11),1,0))</f>
        <v>#REF!</v>
      </c>
      <c r="W954" s="5" t="e">
        <f>CONCATENATE(dados[[#This Row],[fator1]],dados[[#This Row],[fator5]],dados[[#This Row],[fator6]])</f>
        <v>#REF!</v>
      </c>
    </row>
    <row r="955" spans="1:23">
      <c r="A955" t="s">
        <v>16</v>
      </c>
      <c r="B955">
        <v>483635</v>
      </c>
      <c r="C955">
        <v>8</v>
      </c>
      <c r="D955">
        <v>40</v>
      </c>
      <c r="E955">
        <v>86</v>
      </c>
      <c r="F955">
        <v>8</v>
      </c>
      <c r="G955">
        <v>0</v>
      </c>
      <c r="H955">
        <v>25</v>
      </c>
      <c r="I955">
        <v>303</v>
      </c>
      <c r="J955">
        <v>0</v>
      </c>
      <c r="K955">
        <v>2.2095000000000002</v>
      </c>
      <c r="L955">
        <v>6.9250000000000007</v>
      </c>
      <c r="M955">
        <v>62.85</v>
      </c>
      <c r="N955">
        <v>10.050000000000001</v>
      </c>
      <c r="O955">
        <v>1667</v>
      </c>
      <c r="P955">
        <v>0</v>
      </c>
      <c r="Q955" s="5" t="e">
        <f>IF(AND(#REF!&gt;=table!$C$6,#REF!&lt;= table!$D$6),-1,IF(AND(#REF!&gt;=table!$E$6,#REF!&lt;=table!$F$6),1,0))</f>
        <v>#REF!</v>
      </c>
      <c r="R955" s="5" t="e">
        <f>IF(AND(#REF!&gt;=table!$C$7,#REF!&lt;= table!$D$7),-1,IF(AND(#REF!&gt;=table!$E$7,#REF!&lt;=table!$F$7),1,0))</f>
        <v>#REF!</v>
      </c>
      <c r="S955" s="5" t="e">
        <f>IF(AND(#REF!&gt;=table!$C$8,#REF!&lt;= table!$D$8),-1,IF(AND(#REF!&gt;=table!$E$8,#REF!&lt;=table!$F$8),1,0))</f>
        <v>#REF!</v>
      </c>
      <c r="T955" s="5"/>
      <c r="U955" s="5" t="e">
        <f>IF(AND(#REF!&gt;=table!$C$10,#REF!&lt;= table!$D$10),-1,IF(AND(#REF!&gt;=table!$E$10,#REF!&lt;=table!$F$10),1,0))</f>
        <v>#REF!</v>
      </c>
      <c r="V955" s="5" t="e">
        <f>IF(AND(#REF!&gt;=table!$C$11,#REF!&lt;= table!$D$11),-1,IF(AND(#REF!&gt;=table!$E$11,#REF!&lt;=table!$F$11),1,0))</f>
        <v>#REF!</v>
      </c>
      <c r="W955" s="5" t="e">
        <f>CONCATENATE(dados[[#This Row],[fator1]],dados[[#This Row],[fator5]],dados[[#This Row],[fator6]])</f>
        <v>#REF!</v>
      </c>
    </row>
    <row r="956" spans="1:23">
      <c r="A956" t="s">
        <v>16</v>
      </c>
      <c r="B956">
        <v>483636</v>
      </c>
      <c r="C956">
        <v>10</v>
      </c>
      <c r="D956">
        <v>40</v>
      </c>
      <c r="E956">
        <v>96</v>
      </c>
      <c r="F956">
        <v>8</v>
      </c>
      <c r="G956">
        <v>0</v>
      </c>
      <c r="H956">
        <v>25</v>
      </c>
      <c r="I956">
        <v>704</v>
      </c>
      <c r="J956">
        <v>0</v>
      </c>
      <c r="K956">
        <v>3.15</v>
      </c>
      <c r="L956">
        <v>8.65</v>
      </c>
      <c r="M956">
        <v>71.55</v>
      </c>
      <c r="N956">
        <v>12.25</v>
      </c>
      <c r="O956">
        <v>1678</v>
      </c>
      <c r="P956">
        <v>1062</v>
      </c>
      <c r="Q956" s="5" t="e">
        <f>IF(AND(#REF!&gt;=table!$C$6,#REF!&lt;= table!$D$6),-1,IF(AND(#REF!&gt;=table!$E$6,#REF!&lt;=table!$F$6),1,0))</f>
        <v>#REF!</v>
      </c>
      <c r="R956" s="5" t="e">
        <f>IF(AND(#REF!&gt;=table!$C$7,#REF!&lt;= table!$D$7),-1,IF(AND(#REF!&gt;=table!$E$7,#REF!&lt;=table!$F$7),1,0))</f>
        <v>#REF!</v>
      </c>
      <c r="S956" s="5" t="e">
        <f>IF(AND(#REF!&gt;=table!$C$8,#REF!&lt;= table!$D$8),-1,IF(AND(#REF!&gt;=table!$E$8,#REF!&lt;=table!$F$8),1,0))</f>
        <v>#REF!</v>
      </c>
      <c r="T956" s="5"/>
      <c r="U956" s="5" t="e">
        <f>IF(AND(#REF!&gt;=table!$C$10,#REF!&lt;= table!$D$10),-1,IF(AND(#REF!&gt;=table!$E$10,#REF!&lt;=table!$F$10),1,0))</f>
        <v>#REF!</v>
      </c>
      <c r="V956" s="5" t="e">
        <f>IF(AND(#REF!&gt;=table!$C$11,#REF!&lt;= table!$D$11),-1,IF(AND(#REF!&gt;=table!$E$11,#REF!&lt;=table!$F$11),1,0))</f>
        <v>#REF!</v>
      </c>
      <c r="W956" s="5" t="e">
        <f>CONCATENATE(dados[[#This Row],[fator1]],dados[[#This Row],[fator5]],dados[[#This Row],[fator6]])</f>
        <v>#REF!</v>
      </c>
    </row>
    <row r="957" spans="1:23">
      <c r="A957" t="s">
        <v>16</v>
      </c>
      <c r="B957">
        <v>483640</v>
      </c>
      <c r="C957">
        <v>8</v>
      </c>
      <c r="D957">
        <v>30</v>
      </c>
      <c r="E957">
        <v>86</v>
      </c>
      <c r="F957">
        <v>9</v>
      </c>
      <c r="G957">
        <v>0</v>
      </c>
      <c r="H957">
        <v>25</v>
      </c>
      <c r="I957">
        <v>944</v>
      </c>
      <c r="J957">
        <v>0</v>
      </c>
      <c r="K957">
        <v>4.5150000000000006</v>
      </c>
      <c r="L957">
        <v>9.7000000000000011</v>
      </c>
      <c r="M957">
        <v>78.035000000000011</v>
      </c>
      <c r="N957">
        <v>17.085000000000001</v>
      </c>
      <c r="O957">
        <v>1683</v>
      </c>
      <c r="P957">
        <v>786</v>
      </c>
      <c r="Q957" s="5" t="e">
        <f>IF(AND(#REF!&gt;=table!$C$6,#REF!&lt;= table!$D$6),-1,IF(AND(#REF!&gt;=table!$E$6,#REF!&lt;=table!$F$6),1,0))</f>
        <v>#REF!</v>
      </c>
      <c r="R957" s="5" t="e">
        <f>IF(AND(#REF!&gt;=table!$C$7,#REF!&lt;= table!$D$7),-1,IF(AND(#REF!&gt;=table!$E$7,#REF!&lt;=table!$F$7),1,0))</f>
        <v>#REF!</v>
      </c>
      <c r="S957" s="5" t="e">
        <f>IF(AND(#REF!&gt;=table!$C$8,#REF!&lt;= table!$D$8),-1,IF(AND(#REF!&gt;=table!$E$8,#REF!&lt;=table!$F$8),1,0))</f>
        <v>#REF!</v>
      </c>
      <c r="T957" s="5"/>
      <c r="U957" s="5" t="e">
        <f>IF(AND(#REF!&gt;=table!$C$10,#REF!&lt;= table!$D$10),-1,IF(AND(#REF!&gt;=table!$E$10,#REF!&lt;=table!$F$10),1,0))</f>
        <v>#REF!</v>
      </c>
      <c r="V957" s="5" t="e">
        <f>IF(AND(#REF!&gt;=table!$C$11,#REF!&lt;= table!$D$11),-1,IF(AND(#REF!&gt;=table!$E$11,#REF!&lt;=table!$F$11),1,0))</f>
        <v>#REF!</v>
      </c>
      <c r="W957" s="5" t="e">
        <f>CONCATENATE(dados[[#This Row],[fator1]],dados[[#This Row],[fator5]],dados[[#This Row],[fator6]])</f>
        <v>#REF!</v>
      </c>
    </row>
    <row r="958" spans="1:23">
      <c r="A958" t="s">
        <v>17</v>
      </c>
      <c r="B958">
        <v>483643</v>
      </c>
      <c r="C958">
        <v>9</v>
      </c>
      <c r="D958">
        <v>25</v>
      </c>
      <c r="E958">
        <v>130</v>
      </c>
      <c r="F958">
        <v>3</v>
      </c>
      <c r="G958">
        <v>20</v>
      </c>
      <c r="H958">
        <v>21</v>
      </c>
      <c r="I958">
        <v>702</v>
      </c>
      <c r="J958">
        <v>0</v>
      </c>
      <c r="K958">
        <v>3.3050000000000002</v>
      </c>
      <c r="L958">
        <v>7.7</v>
      </c>
      <c r="M958">
        <v>116.67</v>
      </c>
      <c r="N958">
        <v>14.245000000000001</v>
      </c>
      <c r="O958">
        <v>1700</v>
      </c>
      <c r="P958">
        <v>0</v>
      </c>
      <c r="Q958" s="5" t="e">
        <f>IF(AND(#REF!&gt;=table!$C$6,#REF!&lt;= table!$D$6),-1,IF(AND(#REF!&gt;=table!$E$6,#REF!&lt;=table!$F$6),1,0))</f>
        <v>#REF!</v>
      </c>
      <c r="R958" s="5" t="e">
        <f>IF(AND(#REF!&gt;=table!$C$7,#REF!&lt;= table!$D$7),-1,IF(AND(#REF!&gt;=table!$E$7,#REF!&lt;=table!$F$7),1,0))</f>
        <v>#REF!</v>
      </c>
      <c r="S958" s="5" t="e">
        <f>IF(AND(#REF!&gt;=table!$C$8,#REF!&lt;= table!$D$8),-1,IF(AND(#REF!&gt;=table!$E$8,#REF!&lt;=table!$F$8),1,0))</f>
        <v>#REF!</v>
      </c>
      <c r="T958" s="5"/>
      <c r="U958" s="5" t="e">
        <f>IF(AND(#REF!&gt;=table!$C$10,#REF!&lt;= table!$D$10),-1,IF(AND(#REF!&gt;=table!$E$10,#REF!&lt;=table!$F$10),1,0))</f>
        <v>#REF!</v>
      </c>
      <c r="V958" s="5" t="e">
        <f>IF(AND(#REF!&gt;=table!$C$11,#REF!&lt;= table!$D$11),-1,IF(AND(#REF!&gt;=table!$E$11,#REF!&lt;=table!$F$11),1,0))</f>
        <v>#REF!</v>
      </c>
      <c r="W958" s="5" t="e">
        <f>CONCATENATE(dados[[#This Row],[fator1]],dados[[#This Row],[fator5]],dados[[#This Row],[fator6]])</f>
        <v>#REF!</v>
      </c>
    </row>
    <row r="959" spans="1:23">
      <c r="A959" t="s">
        <v>17</v>
      </c>
      <c r="B959">
        <v>483652</v>
      </c>
      <c r="C959">
        <v>30</v>
      </c>
      <c r="D959">
        <v>25</v>
      </c>
      <c r="E959">
        <v>135</v>
      </c>
      <c r="F959">
        <v>8</v>
      </c>
      <c r="G959">
        <v>13</v>
      </c>
      <c r="H959">
        <v>25</v>
      </c>
      <c r="I959">
        <v>1357</v>
      </c>
      <c r="J959">
        <v>0</v>
      </c>
      <c r="K959">
        <v>5.14</v>
      </c>
      <c r="L959">
        <v>13.975000000000001</v>
      </c>
      <c r="M959">
        <v>114.45</v>
      </c>
      <c r="N959">
        <v>16.75</v>
      </c>
      <c r="O959">
        <v>1668</v>
      </c>
      <c r="P959">
        <v>0</v>
      </c>
      <c r="Q959" s="5" t="e">
        <f>IF(AND(#REF!&gt;=table!$C$6,#REF!&lt;= table!$D$6),-1,IF(AND(#REF!&gt;=table!$E$6,#REF!&lt;=table!$F$6),1,0))</f>
        <v>#REF!</v>
      </c>
      <c r="R959" s="5" t="e">
        <f>IF(AND(#REF!&gt;=table!$C$7,#REF!&lt;= table!$D$7),-1,IF(AND(#REF!&gt;=table!$E$7,#REF!&lt;=table!$F$7),1,0))</f>
        <v>#REF!</v>
      </c>
      <c r="S959" s="5" t="e">
        <f>IF(AND(#REF!&gt;=table!$C$8,#REF!&lt;= table!$D$8),-1,IF(AND(#REF!&gt;=table!$E$8,#REF!&lt;=table!$F$8),1,0))</f>
        <v>#REF!</v>
      </c>
      <c r="T959" s="5"/>
      <c r="U959" s="5" t="e">
        <f>IF(AND(#REF!&gt;=table!$C$10,#REF!&lt;= table!$D$10),-1,IF(AND(#REF!&gt;=table!$E$10,#REF!&lt;=table!$F$10),1,0))</f>
        <v>#REF!</v>
      </c>
      <c r="V959" s="5" t="e">
        <f>IF(AND(#REF!&gt;=table!$C$11,#REF!&lt;= table!$D$11),-1,IF(AND(#REF!&gt;=table!$E$11,#REF!&lt;=table!$F$11),1,0))</f>
        <v>#REF!</v>
      </c>
      <c r="W959" s="5" t="e">
        <f>CONCATENATE(dados[[#This Row],[fator1]],dados[[#This Row],[fator5]],dados[[#This Row],[fator6]])</f>
        <v>#REF!</v>
      </c>
    </row>
    <row r="960" spans="1:23">
      <c r="A960" t="s">
        <v>17</v>
      </c>
      <c r="B960">
        <v>483654</v>
      </c>
      <c r="C960">
        <v>30</v>
      </c>
      <c r="D960">
        <v>25</v>
      </c>
      <c r="E960">
        <v>135</v>
      </c>
      <c r="F960">
        <v>8</v>
      </c>
      <c r="G960">
        <v>13</v>
      </c>
      <c r="H960">
        <v>25</v>
      </c>
      <c r="I960">
        <v>1012</v>
      </c>
      <c r="J960">
        <v>0</v>
      </c>
      <c r="K960">
        <v>5.4</v>
      </c>
      <c r="L960">
        <v>12.55</v>
      </c>
      <c r="M960">
        <v>113.8</v>
      </c>
      <c r="N960">
        <v>15.25</v>
      </c>
      <c r="O960">
        <v>1689</v>
      </c>
      <c r="P960">
        <v>0</v>
      </c>
      <c r="Q960" s="5" t="e">
        <f>IF(AND(#REF!&gt;=table!$C$6,#REF!&lt;= table!$D$6),-1,IF(AND(#REF!&gt;=table!$E$6,#REF!&lt;=table!$F$6),1,0))</f>
        <v>#REF!</v>
      </c>
      <c r="R960" s="5" t="e">
        <f>IF(AND(#REF!&gt;=table!$C$7,#REF!&lt;= table!$D$7),-1,IF(AND(#REF!&gt;=table!$E$7,#REF!&lt;=table!$F$7),1,0))</f>
        <v>#REF!</v>
      </c>
      <c r="S960" s="5" t="e">
        <f>IF(AND(#REF!&gt;=table!$C$8,#REF!&lt;= table!$D$8),-1,IF(AND(#REF!&gt;=table!$E$8,#REF!&lt;=table!$F$8),1,0))</f>
        <v>#REF!</v>
      </c>
      <c r="T960" s="5"/>
      <c r="U960" s="5" t="e">
        <f>IF(AND(#REF!&gt;=table!$C$10,#REF!&lt;= table!$D$10),-1,IF(AND(#REF!&gt;=table!$E$10,#REF!&lt;=table!$F$10),1,0))</f>
        <v>#REF!</v>
      </c>
      <c r="V960" s="5" t="e">
        <f>IF(AND(#REF!&gt;=table!$C$11,#REF!&lt;= table!$D$11),-1,IF(AND(#REF!&gt;=table!$E$11,#REF!&lt;=table!$F$11),1,0))</f>
        <v>#REF!</v>
      </c>
      <c r="W960" s="5" t="e">
        <f>CONCATENATE(dados[[#This Row],[fator1]],dados[[#This Row],[fator5]],dados[[#This Row],[fator6]])</f>
        <v>#REF!</v>
      </c>
    </row>
    <row r="961" spans="1:23">
      <c r="A961" t="s">
        <v>17</v>
      </c>
      <c r="B961">
        <v>483655</v>
      </c>
      <c r="C961">
        <v>16</v>
      </c>
      <c r="D961">
        <v>25</v>
      </c>
      <c r="E961">
        <v>60</v>
      </c>
      <c r="F961">
        <v>10</v>
      </c>
      <c r="G961">
        <v>13</v>
      </c>
      <c r="H961">
        <v>25</v>
      </c>
      <c r="I961">
        <v>14</v>
      </c>
      <c r="J961">
        <v>0</v>
      </c>
      <c r="K961">
        <v>4.67</v>
      </c>
      <c r="L961">
        <v>13.950000000000001</v>
      </c>
      <c r="M961">
        <v>30.8</v>
      </c>
      <c r="N961">
        <v>11.6</v>
      </c>
      <c r="O961">
        <v>1667</v>
      </c>
      <c r="P961">
        <v>0</v>
      </c>
      <c r="Q961" s="5" t="e">
        <f>IF(AND(#REF!&gt;=table!$C$6,#REF!&lt;= table!$D$6),-1,IF(AND(#REF!&gt;=table!$E$6,#REF!&lt;=table!$F$6),1,0))</f>
        <v>#REF!</v>
      </c>
      <c r="R961" s="5" t="e">
        <f>IF(AND(#REF!&gt;=table!$C$7,#REF!&lt;= table!$D$7),-1,IF(AND(#REF!&gt;=table!$E$7,#REF!&lt;=table!$F$7),1,0))</f>
        <v>#REF!</v>
      </c>
      <c r="S961" s="5" t="e">
        <f>IF(AND(#REF!&gt;=table!$C$8,#REF!&lt;= table!$D$8),-1,IF(AND(#REF!&gt;=table!$E$8,#REF!&lt;=table!$F$8),1,0))</f>
        <v>#REF!</v>
      </c>
      <c r="T961" s="5"/>
      <c r="U961" s="5" t="e">
        <f>IF(AND(#REF!&gt;=table!$C$10,#REF!&lt;= table!$D$10),-1,IF(AND(#REF!&gt;=table!$E$10,#REF!&lt;=table!$F$10),1,0))</f>
        <v>#REF!</v>
      </c>
      <c r="V961" s="5" t="e">
        <f>IF(AND(#REF!&gt;=table!$C$11,#REF!&lt;= table!$D$11),-1,IF(AND(#REF!&gt;=table!$E$11,#REF!&lt;=table!$F$11),1,0))</f>
        <v>#REF!</v>
      </c>
      <c r="W961" s="5" t="e">
        <f>CONCATENATE(dados[[#This Row],[fator1]],dados[[#This Row],[fator5]],dados[[#This Row],[fator6]])</f>
        <v>#REF!</v>
      </c>
    </row>
    <row r="962" spans="1:23">
      <c r="A962" t="s">
        <v>16</v>
      </c>
      <c r="B962">
        <v>483661</v>
      </c>
      <c r="C962">
        <v>16</v>
      </c>
      <c r="D962">
        <v>35</v>
      </c>
      <c r="E962">
        <v>56</v>
      </c>
      <c r="F962">
        <v>10</v>
      </c>
      <c r="G962">
        <v>0</v>
      </c>
      <c r="H962">
        <v>25</v>
      </c>
      <c r="I962">
        <v>56</v>
      </c>
      <c r="J962">
        <v>640</v>
      </c>
      <c r="K962">
        <v>3.63</v>
      </c>
      <c r="L962">
        <v>19.400000000000002</v>
      </c>
      <c r="M962">
        <v>45.715000000000003</v>
      </c>
      <c r="N962">
        <v>18.309999999999999</v>
      </c>
      <c r="O962">
        <v>1691</v>
      </c>
      <c r="P962">
        <v>1067</v>
      </c>
      <c r="Q962" s="5" t="e">
        <f>IF(AND(#REF!&gt;=table!$C$6,#REF!&lt;= table!$D$6),-1,IF(AND(#REF!&gt;=table!$E$6,#REF!&lt;=table!$F$6),1,0))</f>
        <v>#REF!</v>
      </c>
      <c r="R962" s="5" t="e">
        <f>IF(AND(#REF!&gt;=table!$C$7,#REF!&lt;= table!$D$7),-1,IF(AND(#REF!&gt;=table!$E$7,#REF!&lt;=table!$F$7),1,0))</f>
        <v>#REF!</v>
      </c>
      <c r="S962" s="5" t="e">
        <f>IF(AND(#REF!&gt;=table!$C$8,#REF!&lt;= table!$D$8),-1,IF(AND(#REF!&gt;=table!$E$8,#REF!&lt;=table!$F$8),1,0))</f>
        <v>#REF!</v>
      </c>
      <c r="T962" s="5"/>
      <c r="U962" s="5" t="e">
        <f>IF(AND(#REF!&gt;=table!$C$10,#REF!&lt;= table!$D$10),-1,IF(AND(#REF!&gt;=table!$E$10,#REF!&lt;=table!$F$10),1,0))</f>
        <v>#REF!</v>
      </c>
      <c r="V962" s="5" t="e">
        <f>IF(AND(#REF!&gt;=table!$C$11,#REF!&lt;= table!$D$11),-1,IF(AND(#REF!&gt;=table!$E$11,#REF!&lt;=table!$F$11),1,0))</f>
        <v>#REF!</v>
      </c>
      <c r="W962" s="5" t="e">
        <f>CONCATENATE(dados[[#This Row],[fator1]],dados[[#This Row],[fator5]],dados[[#This Row],[fator6]])</f>
        <v>#REF!</v>
      </c>
    </row>
    <row r="963" spans="1:23">
      <c r="A963" t="s">
        <v>17</v>
      </c>
      <c r="B963">
        <v>483662</v>
      </c>
      <c r="C963">
        <v>6</v>
      </c>
      <c r="D963">
        <v>30</v>
      </c>
      <c r="E963">
        <v>110</v>
      </c>
      <c r="F963">
        <v>10</v>
      </c>
      <c r="G963">
        <v>21</v>
      </c>
      <c r="H963">
        <v>25</v>
      </c>
      <c r="I963">
        <v>4</v>
      </c>
      <c r="J963">
        <v>0</v>
      </c>
      <c r="K963">
        <v>2.6550000000000002</v>
      </c>
      <c r="L963">
        <v>5.1000000000000005</v>
      </c>
      <c r="M963">
        <v>87.835000000000008</v>
      </c>
      <c r="N963">
        <v>11.725000000000001</v>
      </c>
      <c r="O963">
        <v>1660</v>
      </c>
      <c r="P963">
        <v>0</v>
      </c>
      <c r="Q963" s="5" t="e">
        <f>IF(AND(#REF!&gt;=table!$C$6,#REF!&lt;= table!$D$6),-1,IF(AND(#REF!&gt;=table!$E$6,#REF!&lt;=table!$F$6),1,0))</f>
        <v>#REF!</v>
      </c>
      <c r="R963" s="5" t="e">
        <f>IF(AND(#REF!&gt;=table!$C$7,#REF!&lt;= table!$D$7),-1,IF(AND(#REF!&gt;=table!$E$7,#REF!&lt;=table!$F$7),1,0))</f>
        <v>#REF!</v>
      </c>
      <c r="S963" s="5" t="e">
        <f>IF(AND(#REF!&gt;=table!$C$8,#REF!&lt;= table!$D$8),-1,IF(AND(#REF!&gt;=table!$E$8,#REF!&lt;=table!$F$8),1,0))</f>
        <v>#REF!</v>
      </c>
      <c r="T963" s="5"/>
      <c r="U963" s="5" t="e">
        <f>IF(AND(#REF!&gt;=table!$C$10,#REF!&lt;= table!$D$10),-1,IF(AND(#REF!&gt;=table!$E$10,#REF!&lt;=table!$F$10),1,0))</f>
        <v>#REF!</v>
      </c>
      <c r="V963" s="5" t="e">
        <f>IF(AND(#REF!&gt;=table!$C$11,#REF!&lt;= table!$D$11),-1,IF(AND(#REF!&gt;=table!$E$11,#REF!&lt;=table!$F$11),1,0))</f>
        <v>#REF!</v>
      </c>
      <c r="W963" s="5" t="e">
        <f>CONCATENATE(dados[[#This Row],[fator1]],dados[[#This Row],[fator5]],dados[[#This Row],[fator6]])</f>
        <v>#REF!</v>
      </c>
    </row>
    <row r="964" spans="1:23">
      <c r="A964" t="s">
        <v>17</v>
      </c>
      <c r="B964">
        <v>483667</v>
      </c>
      <c r="C964">
        <v>8</v>
      </c>
      <c r="D964">
        <v>25</v>
      </c>
      <c r="E964">
        <v>136</v>
      </c>
      <c r="F964">
        <v>6</v>
      </c>
      <c r="G964">
        <v>8</v>
      </c>
      <c r="H964">
        <v>25</v>
      </c>
      <c r="I964">
        <v>1040</v>
      </c>
      <c r="J964">
        <v>0</v>
      </c>
      <c r="K964">
        <v>6.3500000000000005</v>
      </c>
      <c r="L964">
        <v>16.600000000000001</v>
      </c>
      <c r="M964">
        <v>103.8</v>
      </c>
      <c r="N964">
        <v>13.75</v>
      </c>
      <c r="O964">
        <v>1674</v>
      </c>
      <c r="P964">
        <v>481</v>
      </c>
      <c r="Q964" s="5" t="e">
        <f>IF(AND(#REF!&gt;=table!$C$6,#REF!&lt;= table!$D$6),-1,IF(AND(#REF!&gt;=table!$E$6,#REF!&lt;=table!$F$6),1,0))</f>
        <v>#REF!</v>
      </c>
      <c r="R964" s="5" t="e">
        <f>IF(AND(#REF!&gt;=table!$C$7,#REF!&lt;= table!$D$7),-1,IF(AND(#REF!&gt;=table!$E$7,#REF!&lt;=table!$F$7),1,0))</f>
        <v>#REF!</v>
      </c>
      <c r="S964" s="5" t="e">
        <f>IF(AND(#REF!&gt;=table!$C$8,#REF!&lt;= table!$D$8),-1,IF(AND(#REF!&gt;=table!$E$8,#REF!&lt;=table!$F$8),1,0))</f>
        <v>#REF!</v>
      </c>
      <c r="T964" s="5"/>
      <c r="U964" s="5" t="e">
        <f>IF(AND(#REF!&gt;=table!$C$10,#REF!&lt;= table!$D$10),-1,IF(AND(#REF!&gt;=table!$E$10,#REF!&lt;=table!$F$10),1,0))</f>
        <v>#REF!</v>
      </c>
      <c r="V964" s="5" t="e">
        <f>IF(AND(#REF!&gt;=table!$C$11,#REF!&lt;= table!$D$11),-1,IF(AND(#REF!&gt;=table!$E$11,#REF!&lt;=table!$F$11),1,0))</f>
        <v>#REF!</v>
      </c>
      <c r="W964" s="5" t="e">
        <f>CONCATENATE(dados[[#This Row],[fator1]],dados[[#This Row],[fator5]],dados[[#This Row],[fator6]])</f>
        <v>#REF!</v>
      </c>
    </row>
    <row r="965" spans="1:23">
      <c r="A965" t="s">
        <v>17</v>
      </c>
      <c r="B965">
        <v>483668</v>
      </c>
      <c r="C965">
        <v>8</v>
      </c>
      <c r="D965">
        <v>25</v>
      </c>
      <c r="E965">
        <v>136</v>
      </c>
      <c r="F965">
        <v>6</v>
      </c>
      <c r="G965">
        <v>8</v>
      </c>
      <c r="H965">
        <v>25</v>
      </c>
      <c r="I965">
        <v>507</v>
      </c>
      <c r="J965">
        <v>610</v>
      </c>
      <c r="K965">
        <v>6.76</v>
      </c>
      <c r="L965">
        <v>20.765000000000001</v>
      </c>
      <c r="M965">
        <v>123.75</v>
      </c>
      <c r="N965">
        <v>14.55</v>
      </c>
      <c r="O965">
        <v>1697</v>
      </c>
      <c r="P965">
        <v>0</v>
      </c>
      <c r="Q965" s="5" t="e">
        <f>IF(AND(#REF!&gt;=table!$C$6,#REF!&lt;= table!$D$6),-1,IF(AND(#REF!&gt;=table!$E$6,#REF!&lt;=table!$F$6),1,0))</f>
        <v>#REF!</v>
      </c>
      <c r="R965" s="5" t="e">
        <f>IF(AND(#REF!&gt;=table!$C$7,#REF!&lt;= table!$D$7),-1,IF(AND(#REF!&gt;=table!$E$7,#REF!&lt;=table!$F$7),1,0))</f>
        <v>#REF!</v>
      </c>
      <c r="S965" s="5" t="e">
        <f>IF(AND(#REF!&gt;=table!$C$8,#REF!&lt;= table!$D$8),-1,IF(AND(#REF!&gt;=table!$E$8,#REF!&lt;=table!$F$8),1,0))</f>
        <v>#REF!</v>
      </c>
      <c r="T965" s="5"/>
      <c r="U965" s="5" t="e">
        <f>IF(AND(#REF!&gt;=table!$C$10,#REF!&lt;= table!$D$10),-1,IF(AND(#REF!&gt;=table!$E$10,#REF!&lt;=table!$F$10),1,0))</f>
        <v>#REF!</v>
      </c>
      <c r="V965" s="5" t="e">
        <f>IF(AND(#REF!&gt;=table!$C$11,#REF!&lt;= table!$D$11),-1,IF(AND(#REF!&gt;=table!$E$11,#REF!&lt;=table!$F$11),1,0))</f>
        <v>#REF!</v>
      </c>
      <c r="W965" s="5" t="e">
        <f>CONCATENATE(dados[[#This Row],[fator1]],dados[[#This Row],[fator5]],dados[[#This Row],[fator6]])</f>
        <v>#REF!</v>
      </c>
    </row>
    <row r="966" spans="1:23">
      <c r="A966" t="s">
        <v>17</v>
      </c>
      <c r="B966">
        <v>483669</v>
      </c>
      <c r="C966">
        <v>8</v>
      </c>
      <c r="D966">
        <v>25</v>
      </c>
      <c r="E966">
        <v>136</v>
      </c>
      <c r="F966">
        <v>6</v>
      </c>
      <c r="G966">
        <v>8</v>
      </c>
      <c r="H966">
        <v>25</v>
      </c>
      <c r="I966">
        <v>17</v>
      </c>
      <c r="J966">
        <v>0</v>
      </c>
      <c r="K966">
        <v>3.7250000000000001</v>
      </c>
      <c r="L966">
        <v>15.4</v>
      </c>
      <c r="M966">
        <v>71.19</v>
      </c>
      <c r="N966">
        <v>15.995000000000001</v>
      </c>
      <c r="O966">
        <v>1657</v>
      </c>
      <c r="P966">
        <v>879</v>
      </c>
      <c r="Q966" s="5" t="e">
        <f>IF(AND(#REF!&gt;=table!$C$6,#REF!&lt;= table!$D$6),-1,IF(AND(#REF!&gt;=table!$E$6,#REF!&lt;=table!$F$6),1,0))</f>
        <v>#REF!</v>
      </c>
      <c r="R966" s="5" t="e">
        <f>IF(AND(#REF!&gt;=table!$C$7,#REF!&lt;= table!$D$7),-1,IF(AND(#REF!&gt;=table!$E$7,#REF!&lt;=table!$F$7),1,0))</f>
        <v>#REF!</v>
      </c>
      <c r="S966" s="5" t="e">
        <f>IF(AND(#REF!&gt;=table!$C$8,#REF!&lt;= table!$D$8),-1,IF(AND(#REF!&gt;=table!$E$8,#REF!&lt;=table!$F$8),1,0))</f>
        <v>#REF!</v>
      </c>
      <c r="T966" s="5"/>
      <c r="U966" s="5" t="e">
        <f>IF(AND(#REF!&gt;=table!$C$10,#REF!&lt;= table!$D$10),-1,IF(AND(#REF!&gt;=table!$E$10,#REF!&lt;=table!$F$10),1,0))</f>
        <v>#REF!</v>
      </c>
      <c r="V966" s="5" t="e">
        <f>IF(AND(#REF!&gt;=table!$C$11,#REF!&lt;= table!$D$11),-1,IF(AND(#REF!&gt;=table!$E$11,#REF!&lt;=table!$F$11),1,0))</f>
        <v>#REF!</v>
      </c>
      <c r="W966" s="5" t="e">
        <f>CONCATENATE(dados[[#This Row],[fator1]],dados[[#This Row],[fator5]],dados[[#This Row],[fator6]])</f>
        <v>#REF!</v>
      </c>
    </row>
    <row r="967" spans="1:23">
      <c r="A967" t="s">
        <v>16</v>
      </c>
      <c r="B967">
        <v>483676</v>
      </c>
      <c r="C967">
        <v>4</v>
      </c>
      <c r="D967">
        <v>40</v>
      </c>
      <c r="E967">
        <v>21</v>
      </c>
      <c r="F967">
        <v>10</v>
      </c>
      <c r="G967">
        <v>0</v>
      </c>
      <c r="H967">
        <v>25</v>
      </c>
      <c r="I967">
        <v>1720</v>
      </c>
      <c r="J967">
        <v>1050</v>
      </c>
      <c r="K967">
        <v>23.03</v>
      </c>
      <c r="L967">
        <v>22.400000000000002</v>
      </c>
      <c r="M967">
        <v>18.059999999999999</v>
      </c>
      <c r="N967">
        <v>10.99</v>
      </c>
      <c r="O967">
        <v>1664</v>
      </c>
      <c r="P967">
        <v>172</v>
      </c>
      <c r="Q967" s="5" t="e">
        <f>IF(AND(#REF!&gt;=table!$C$6,#REF!&lt;= table!$D$6),-1,IF(AND(#REF!&gt;=table!$E$6,#REF!&lt;=table!$F$6),1,0))</f>
        <v>#REF!</v>
      </c>
      <c r="R967" s="5" t="e">
        <f>IF(AND(#REF!&gt;=table!$C$7,#REF!&lt;= table!$D$7),-1,IF(AND(#REF!&gt;=table!$E$7,#REF!&lt;=table!$F$7),1,0))</f>
        <v>#REF!</v>
      </c>
      <c r="S967" s="5" t="e">
        <f>IF(AND(#REF!&gt;=table!$C$8,#REF!&lt;= table!$D$8),-1,IF(AND(#REF!&gt;=table!$E$8,#REF!&lt;=table!$F$8),1,0))</f>
        <v>#REF!</v>
      </c>
      <c r="T967" s="5"/>
      <c r="U967" s="5" t="e">
        <f>IF(AND(#REF!&gt;=table!$C$10,#REF!&lt;= table!$D$10),-1,IF(AND(#REF!&gt;=table!$E$10,#REF!&lt;=table!$F$10),1,0))</f>
        <v>#REF!</v>
      </c>
      <c r="V967" s="5" t="e">
        <f>IF(AND(#REF!&gt;=table!$C$11,#REF!&lt;= table!$D$11),-1,IF(AND(#REF!&gt;=table!$E$11,#REF!&lt;=table!$F$11),1,0))</f>
        <v>#REF!</v>
      </c>
      <c r="W967" s="5" t="e">
        <f>CONCATENATE(dados[[#This Row],[fator1]],dados[[#This Row],[fator5]],dados[[#This Row],[fator6]])</f>
        <v>#REF!</v>
      </c>
    </row>
    <row r="968" spans="1:23">
      <c r="A968" t="s">
        <v>16</v>
      </c>
      <c r="B968">
        <v>483677</v>
      </c>
      <c r="C968">
        <v>13</v>
      </c>
      <c r="D968">
        <v>35</v>
      </c>
      <c r="E968">
        <v>120</v>
      </c>
      <c r="F968">
        <v>10</v>
      </c>
      <c r="G968">
        <v>0</v>
      </c>
      <c r="H968">
        <v>25</v>
      </c>
      <c r="I968">
        <v>22</v>
      </c>
      <c r="J968">
        <v>0</v>
      </c>
      <c r="K968">
        <v>4.1100000000000003</v>
      </c>
      <c r="L968">
        <v>5.65</v>
      </c>
      <c r="M968">
        <v>85.75</v>
      </c>
      <c r="N968">
        <v>8.5500000000000007</v>
      </c>
      <c r="O968">
        <v>1650</v>
      </c>
      <c r="P968">
        <v>0</v>
      </c>
      <c r="Q968" s="5" t="e">
        <f>IF(AND(#REF!&gt;=table!$C$6,#REF!&lt;= table!$D$6),-1,IF(AND(#REF!&gt;=table!$E$6,#REF!&lt;=table!$F$6),1,0))</f>
        <v>#REF!</v>
      </c>
      <c r="R968" s="5" t="e">
        <f>IF(AND(#REF!&gt;=table!$C$7,#REF!&lt;= table!$D$7),-1,IF(AND(#REF!&gt;=table!$E$7,#REF!&lt;=table!$F$7),1,0))</f>
        <v>#REF!</v>
      </c>
      <c r="S968" s="5" t="e">
        <f>IF(AND(#REF!&gt;=table!$C$8,#REF!&lt;= table!$D$8),-1,IF(AND(#REF!&gt;=table!$E$8,#REF!&lt;=table!$F$8),1,0))</f>
        <v>#REF!</v>
      </c>
      <c r="T968" s="5"/>
      <c r="U968" s="5" t="e">
        <f>IF(AND(#REF!&gt;=table!$C$10,#REF!&lt;= table!$D$10),-1,IF(AND(#REF!&gt;=table!$E$10,#REF!&lt;=table!$F$10),1,0))</f>
        <v>#REF!</v>
      </c>
      <c r="V968" s="5" t="e">
        <f>IF(AND(#REF!&gt;=table!$C$11,#REF!&lt;= table!$D$11),-1,IF(AND(#REF!&gt;=table!$E$11,#REF!&lt;=table!$F$11),1,0))</f>
        <v>#REF!</v>
      </c>
      <c r="W968" s="5" t="e">
        <f>CONCATENATE(dados[[#This Row],[fator1]],dados[[#This Row],[fator5]],dados[[#This Row],[fator6]])</f>
        <v>#REF!</v>
      </c>
    </row>
    <row r="969" spans="1:23">
      <c r="A969" t="s">
        <v>16</v>
      </c>
      <c r="B969">
        <v>483679</v>
      </c>
      <c r="C969">
        <v>4</v>
      </c>
      <c r="D969">
        <v>40</v>
      </c>
      <c r="E969">
        <v>21</v>
      </c>
      <c r="F969">
        <v>10</v>
      </c>
      <c r="G969">
        <v>0</v>
      </c>
      <c r="H969">
        <v>25</v>
      </c>
      <c r="I969">
        <v>958</v>
      </c>
      <c r="J969">
        <v>790</v>
      </c>
      <c r="K969">
        <v>14.47</v>
      </c>
      <c r="L969">
        <v>17.600000000000001</v>
      </c>
      <c r="M969">
        <v>9.8000000000000007</v>
      </c>
      <c r="N969">
        <v>13</v>
      </c>
      <c r="O969">
        <v>1666</v>
      </c>
      <c r="P969">
        <v>256</v>
      </c>
      <c r="Q969" s="5" t="e">
        <f>IF(AND(#REF!&gt;=table!$C$6,#REF!&lt;= table!$D$6),-1,IF(AND(#REF!&gt;=table!$E$6,#REF!&lt;=table!$F$6),1,0))</f>
        <v>#REF!</v>
      </c>
      <c r="R969" s="5" t="e">
        <f>IF(AND(#REF!&gt;=table!$C$7,#REF!&lt;= table!$D$7),-1,IF(AND(#REF!&gt;=table!$E$7,#REF!&lt;=table!$F$7),1,0))</f>
        <v>#REF!</v>
      </c>
      <c r="S969" s="5" t="e">
        <f>IF(AND(#REF!&gt;=table!$C$8,#REF!&lt;= table!$D$8),-1,IF(AND(#REF!&gt;=table!$E$8,#REF!&lt;=table!$F$8),1,0))</f>
        <v>#REF!</v>
      </c>
      <c r="T969" s="5"/>
      <c r="U969" s="5" t="e">
        <f>IF(AND(#REF!&gt;=table!$C$10,#REF!&lt;= table!$D$10),-1,IF(AND(#REF!&gt;=table!$E$10,#REF!&lt;=table!$F$10),1,0))</f>
        <v>#REF!</v>
      </c>
      <c r="V969" s="5" t="e">
        <f>IF(AND(#REF!&gt;=table!$C$11,#REF!&lt;= table!$D$11),-1,IF(AND(#REF!&gt;=table!$E$11,#REF!&lt;=table!$F$11),1,0))</f>
        <v>#REF!</v>
      </c>
      <c r="W969" s="5" t="e">
        <f>CONCATENATE(dados[[#This Row],[fator1]],dados[[#This Row],[fator5]],dados[[#This Row],[fator6]])</f>
        <v>#REF!</v>
      </c>
    </row>
    <row r="970" spans="1:23">
      <c r="A970" t="s">
        <v>16</v>
      </c>
      <c r="B970">
        <v>483680</v>
      </c>
      <c r="C970">
        <v>12</v>
      </c>
      <c r="D970">
        <v>35</v>
      </c>
      <c r="E970">
        <v>86</v>
      </c>
      <c r="F970">
        <v>10</v>
      </c>
      <c r="G970">
        <v>0</v>
      </c>
      <c r="H970">
        <v>25</v>
      </c>
      <c r="I970">
        <v>747</v>
      </c>
      <c r="J970">
        <v>0</v>
      </c>
      <c r="K970">
        <v>2.5920000000000001</v>
      </c>
      <c r="L970">
        <v>8.48</v>
      </c>
      <c r="M970">
        <v>47.555</v>
      </c>
      <c r="N970">
        <v>16.995000000000001</v>
      </c>
      <c r="O970">
        <v>1676</v>
      </c>
      <c r="P970">
        <v>1386</v>
      </c>
      <c r="Q970" s="5" t="e">
        <f>IF(AND(#REF!&gt;=table!$C$6,#REF!&lt;= table!$D$6),-1,IF(AND(#REF!&gt;=table!$E$6,#REF!&lt;=table!$F$6),1,0))</f>
        <v>#REF!</v>
      </c>
      <c r="R970" s="5" t="e">
        <f>IF(AND(#REF!&gt;=table!$C$7,#REF!&lt;= table!$D$7),-1,IF(AND(#REF!&gt;=table!$E$7,#REF!&lt;=table!$F$7),1,0))</f>
        <v>#REF!</v>
      </c>
      <c r="S970" s="5" t="e">
        <f>IF(AND(#REF!&gt;=table!$C$8,#REF!&lt;= table!$D$8),-1,IF(AND(#REF!&gt;=table!$E$8,#REF!&lt;=table!$F$8),1,0))</f>
        <v>#REF!</v>
      </c>
      <c r="T970" s="5"/>
      <c r="U970" s="5" t="e">
        <f>IF(AND(#REF!&gt;=table!$C$10,#REF!&lt;= table!$D$10),-1,IF(AND(#REF!&gt;=table!$E$10,#REF!&lt;=table!$F$10),1,0))</f>
        <v>#REF!</v>
      </c>
      <c r="V970" s="5" t="e">
        <f>IF(AND(#REF!&gt;=table!$C$11,#REF!&lt;= table!$D$11),-1,IF(AND(#REF!&gt;=table!$E$11,#REF!&lt;=table!$F$11),1,0))</f>
        <v>#REF!</v>
      </c>
      <c r="W970" s="5" t="e">
        <f>CONCATENATE(dados[[#This Row],[fator1]],dados[[#This Row],[fator5]],dados[[#This Row],[fator6]])</f>
        <v>#REF!</v>
      </c>
    </row>
    <row r="971" spans="1:23">
      <c r="A971" t="s">
        <v>18</v>
      </c>
      <c r="B971">
        <v>483687</v>
      </c>
      <c r="C971">
        <v>3</v>
      </c>
      <c r="D971">
        <v>5</v>
      </c>
      <c r="E971">
        <v>26</v>
      </c>
      <c r="F971">
        <v>15</v>
      </c>
      <c r="G971">
        <v>42</v>
      </c>
      <c r="H971">
        <v>30</v>
      </c>
      <c r="I971">
        <v>1284</v>
      </c>
      <c r="J971">
        <v>0</v>
      </c>
      <c r="K971">
        <v>5.4249999999999998</v>
      </c>
      <c r="L971">
        <v>8.3250000000000011</v>
      </c>
      <c r="M971">
        <v>15.525</v>
      </c>
      <c r="N971">
        <v>10.025</v>
      </c>
      <c r="O971">
        <v>1660</v>
      </c>
      <c r="P971">
        <v>0</v>
      </c>
      <c r="Q971" s="5" t="e">
        <f>IF(AND(#REF!&gt;=table!$C$6,#REF!&lt;= table!$D$6),-1,IF(AND(#REF!&gt;=table!$E$6,#REF!&lt;=table!$F$6),1,0))</f>
        <v>#REF!</v>
      </c>
      <c r="R971" s="5" t="e">
        <f>IF(AND(#REF!&gt;=table!$C$7,#REF!&lt;= table!$D$7),-1,IF(AND(#REF!&gt;=table!$E$7,#REF!&lt;=table!$F$7),1,0))</f>
        <v>#REF!</v>
      </c>
      <c r="S971" s="5" t="e">
        <f>IF(AND(#REF!&gt;=table!$C$8,#REF!&lt;= table!$D$8),-1,IF(AND(#REF!&gt;=table!$E$8,#REF!&lt;=table!$F$8),1,0))</f>
        <v>#REF!</v>
      </c>
      <c r="T971" s="5"/>
      <c r="U971" s="5" t="e">
        <f>IF(AND(#REF!&gt;=table!$C$10,#REF!&lt;= table!$D$10),-1,IF(AND(#REF!&gt;=table!$E$10,#REF!&lt;=table!$F$10),1,0))</f>
        <v>#REF!</v>
      </c>
      <c r="V971" s="5" t="e">
        <f>IF(AND(#REF!&gt;=table!$C$11,#REF!&lt;= table!$D$11),-1,IF(AND(#REF!&gt;=table!$E$11,#REF!&lt;=table!$F$11),1,0))</f>
        <v>#REF!</v>
      </c>
      <c r="W971" s="5" t="e">
        <f>CONCATENATE(dados[[#This Row],[fator1]],dados[[#This Row],[fator5]],dados[[#This Row],[fator6]])</f>
        <v>#REF!</v>
      </c>
    </row>
    <row r="972" spans="1:23">
      <c r="A972" t="s">
        <v>16</v>
      </c>
      <c r="B972">
        <v>483692</v>
      </c>
      <c r="C972">
        <v>8</v>
      </c>
      <c r="D972">
        <v>30</v>
      </c>
      <c r="E972">
        <v>86</v>
      </c>
      <c r="F972">
        <v>8</v>
      </c>
      <c r="G972">
        <v>0</v>
      </c>
      <c r="H972">
        <v>25</v>
      </c>
      <c r="I972">
        <v>35</v>
      </c>
      <c r="J972">
        <v>0</v>
      </c>
      <c r="K972">
        <v>4.5</v>
      </c>
      <c r="L972">
        <v>12.975000000000001</v>
      </c>
      <c r="M972">
        <v>78.739999999999995</v>
      </c>
      <c r="N972">
        <v>12.73</v>
      </c>
      <c r="O972">
        <v>1685</v>
      </c>
      <c r="P972">
        <v>973</v>
      </c>
      <c r="Q972" s="5" t="e">
        <f>IF(AND(#REF!&gt;=table!$C$6,#REF!&lt;= table!$D$6),-1,IF(AND(#REF!&gt;=table!$E$6,#REF!&lt;=table!$F$6),1,0))</f>
        <v>#REF!</v>
      </c>
      <c r="R972" s="5" t="e">
        <f>IF(AND(#REF!&gt;=table!$C$7,#REF!&lt;= table!$D$7),-1,IF(AND(#REF!&gt;=table!$E$7,#REF!&lt;=table!$F$7),1,0))</f>
        <v>#REF!</v>
      </c>
      <c r="S972" s="5" t="e">
        <f>IF(AND(#REF!&gt;=table!$C$8,#REF!&lt;= table!$D$8),-1,IF(AND(#REF!&gt;=table!$E$8,#REF!&lt;=table!$F$8),1,0))</f>
        <v>#REF!</v>
      </c>
      <c r="T972" s="5"/>
      <c r="U972" s="5" t="e">
        <f>IF(AND(#REF!&gt;=table!$C$10,#REF!&lt;= table!$D$10),-1,IF(AND(#REF!&gt;=table!$E$10,#REF!&lt;=table!$F$10),1,0))</f>
        <v>#REF!</v>
      </c>
      <c r="V972" s="5" t="e">
        <f>IF(AND(#REF!&gt;=table!$C$11,#REF!&lt;= table!$D$11),-1,IF(AND(#REF!&gt;=table!$E$11,#REF!&lt;=table!$F$11),1,0))</f>
        <v>#REF!</v>
      </c>
      <c r="W972" s="5" t="e">
        <f>CONCATENATE(dados[[#This Row],[fator1]],dados[[#This Row],[fator5]],dados[[#This Row],[fator6]])</f>
        <v>#REF!</v>
      </c>
    </row>
    <row r="973" spans="1:23">
      <c r="A973" t="s">
        <v>17</v>
      </c>
      <c r="B973">
        <v>483704</v>
      </c>
      <c r="C973">
        <v>18</v>
      </c>
      <c r="D973">
        <v>23</v>
      </c>
      <c r="E973">
        <v>145</v>
      </c>
      <c r="F973">
        <v>9</v>
      </c>
      <c r="G973">
        <v>30</v>
      </c>
      <c r="H973">
        <v>25</v>
      </c>
      <c r="I973">
        <v>474</v>
      </c>
      <c r="J973">
        <v>0</v>
      </c>
      <c r="K973">
        <v>2.5420000000000003</v>
      </c>
      <c r="L973">
        <v>10.915000000000001</v>
      </c>
      <c r="M973">
        <v>126.21000000000001</v>
      </c>
      <c r="N973">
        <v>20.025000000000002</v>
      </c>
      <c r="O973">
        <v>1677</v>
      </c>
      <c r="P973">
        <v>0</v>
      </c>
      <c r="Q973" s="5" t="e">
        <f>IF(AND(#REF!&gt;=table!$C$6,#REF!&lt;= table!$D$6),-1,IF(AND(#REF!&gt;=table!$E$6,#REF!&lt;=table!$F$6),1,0))</f>
        <v>#REF!</v>
      </c>
      <c r="R973" s="5" t="e">
        <f>IF(AND(#REF!&gt;=table!$C$7,#REF!&lt;= table!$D$7),-1,IF(AND(#REF!&gt;=table!$E$7,#REF!&lt;=table!$F$7),1,0))</f>
        <v>#REF!</v>
      </c>
      <c r="S973" s="5" t="e">
        <f>IF(AND(#REF!&gt;=table!$C$8,#REF!&lt;= table!$D$8),-1,IF(AND(#REF!&gt;=table!$E$8,#REF!&lt;=table!$F$8),1,0))</f>
        <v>#REF!</v>
      </c>
      <c r="T973" s="5"/>
      <c r="U973" s="5" t="e">
        <f>IF(AND(#REF!&gt;=table!$C$10,#REF!&lt;= table!$D$10),-1,IF(AND(#REF!&gt;=table!$E$10,#REF!&lt;=table!$F$10),1,0))</f>
        <v>#REF!</v>
      </c>
      <c r="V973" s="5" t="e">
        <f>IF(AND(#REF!&gt;=table!$C$11,#REF!&lt;= table!$D$11),-1,IF(AND(#REF!&gt;=table!$E$11,#REF!&lt;=table!$F$11),1,0))</f>
        <v>#REF!</v>
      </c>
      <c r="W973" s="5" t="e">
        <f>CONCATENATE(dados[[#This Row],[fator1]],dados[[#This Row],[fator5]],dados[[#This Row],[fator6]])</f>
        <v>#REF!</v>
      </c>
    </row>
    <row r="974" spans="1:23">
      <c r="A974" t="s">
        <v>16</v>
      </c>
      <c r="B974">
        <v>483705</v>
      </c>
      <c r="C974">
        <v>8</v>
      </c>
      <c r="D974">
        <v>30</v>
      </c>
      <c r="E974">
        <v>61</v>
      </c>
      <c r="F974">
        <v>8</v>
      </c>
      <c r="G974">
        <v>0</v>
      </c>
      <c r="H974">
        <v>25</v>
      </c>
      <c r="I974">
        <v>799</v>
      </c>
      <c r="J974">
        <v>0</v>
      </c>
      <c r="K974">
        <v>4.63</v>
      </c>
      <c r="L974">
        <v>7.22</v>
      </c>
      <c r="M974">
        <v>45.385000000000005</v>
      </c>
      <c r="N974">
        <v>10.605</v>
      </c>
      <c r="O974">
        <v>1644</v>
      </c>
      <c r="P974">
        <v>0</v>
      </c>
      <c r="Q974" s="5" t="e">
        <f>IF(AND(#REF!&gt;=table!$C$6,#REF!&lt;= table!$D$6),-1,IF(AND(#REF!&gt;=table!$E$6,#REF!&lt;=table!$F$6),1,0))</f>
        <v>#REF!</v>
      </c>
      <c r="R974" s="5" t="e">
        <f>IF(AND(#REF!&gt;=table!$C$7,#REF!&lt;= table!$D$7),-1,IF(AND(#REF!&gt;=table!$E$7,#REF!&lt;=table!$F$7),1,0))</f>
        <v>#REF!</v>
      </c>
      <c r="S974" s="5" t="e">
        <f>IF(AND(#REF!&gt;=table!$C$8,#REF!&lt;= table!$D$8),-1,IF(AND(#REF!&gt;=table!$E$8,#REF!&lt;=table!$F$8),1,0))</f>
        <v>#REF!</v>
      </c>
      <c r="T974" s="5"/>
      <c r="U974" s="5" t="e">
        <f>IF(AND(#REF!&gt;=table!$C$10,#REF!&lt;= table!$D$10),-1,IF(AND(#REF!&gt;=table!$E$10,#REF!&lt;=table!$F$10),1,0))</f>
        <v>#REF!</v>
      </c>
      <c r="V974" s="5" t="e">
        <f>IF(AND(#REF!&gt;=table!$C$11,#REF!&lt;= table!$D$11),-1,IF(AND(#REF!&gt;=table!$E$11,#REF!&lt;=table!$F$11),1,0))</f>
        <v>#REF!</v>
      </c>
      <c r="W974" s="5" t="e">
        <f>CONCATENATE(dados[[#This Row],[fator1]],dados[[#This Row],[fator5]],dados[[#This Row],[fator6]])</f>
        <v>#REF!</v>
      </c>
    </row>
    <row r="975" spans="1:23">
      <c r="A975" t="s">
        <v>16</v>
      </c>
      <c r="B975">
        <v>483706</v>
      </c>
      <c r="C975">
        <v>8</v>
      </c>
      <c r="D975">
        <v>40</v>
      </c>
      <c r="E975">
        <v>65</v>
      </c>
      <c r="F975">
        <v>8</v>
      </c>
      <c r="G975">
        <v>0</v>
      </c>
      <c r="H975">
        <v>25</v>
      </c>
      <c r="I975">
        <v>0</v>
      </c>
      <c r="J975">
        <v>0</v>
      </c>
      <c r="K975">
        <v>2.3740000000000001</v>
      </c>
      <c r="L975">
        <v>10.645000000000001</v>
      </c>
      <c r="M975">
        <v>48.495000000000005</v>
      </c>
      <c r="N975">
        <v>12.625</v>
      </c>
      <c r="O975">
        <v>1679</v>
      </c>
      <c r="P975">
        <v>0</v>
      </c>
      <c r="Q975" s="5" t="e">
        <f>IF(AND(#REF!&gt;=table!$C$6,#REF!&lt;= table!$D$6),-1,IF(AND(#REF!&gt;=table!$E$6,#REF!&lt;=table!$F$6),1,0))</f>
        <v>#REF!</v>
      </c>
      <c r="R975" s="5" t="e">
        <f>IF(AND(#REF!&gt;=table!$C$7,#REF!&lt;= table!$D$7),-1,IF(AND(#REF!&gt;=table!$E$7,#REF!&lt;=table!$F$7),1,0))</f>
        <v>#REF!</v>
      </c>
      <c r="S975" s="5" t="e">
        <f>IF(AND(#REF!&gt;=table!$C$8,#REF!&lt;= table!$D$8),-1,IF(AND(#REF!&gt;=table!$E$8,#REF!&lt;=table!$F$8),1,0))</f>
        <v>#REF!</v>
      </c>
      <c r="T975" s="5"/>
      <c r="U975" s="5" t="e">
        <f>IF(AND(#REF!&gt;=table!$C$10,#REF!&lt;= table!$D$10),-1,IF(AND(#REF!&gt;=table!$E$10,#REF!&lt;=table!$F$10),1,0))</f>
        <v>#REF!</v>
      </c>
      <c r="V975" s="5" t="e">
        <f>IF(AND(#REF!&gt;=table!$C$11,#REF!&lt;= table!$D$11),-1,IF(AND(#REF!&gt;=table!$E$11,#REF!&lt;=table!$F$11),1,0))</f>
        <v>#REF!</v>
      </c>
      <c r="W975" s="5" t="e">
        <f>CONCATENATE(dados[[#This Row],[fator1]],dados[[#This Row],[fator5]],dados[[#This Row],[fator6]])</f>
        <v>#REF!</v>
      </c>
    </row>
    <row r="976" spans="1:23">
      <c r="A976" t="s">
        <v>16</v>
      </c>
      <c r="B976">
        <v>483713</v>
      </c>
      <c r="C976">
        <v>16</v>
      </c>
      <c r="D976">
        <v>30</v>
      </c>
      <c r="E976">
        <v>56</v>
      </c>
      <c r="F976">
        <v>3</v>
      </c>
      <c r="G976">
        <v>0</v>
      </c>
      <c r="H976">
        <v>25</v>
      </c>
      <c r="I976">
        <v>1058</v>
      </c>
      <c r="J976">
        <v>0</v>
      </c>
      <c r="K976">
        <v>4.7350000000000003</v>
      </c>
      <c r="L976">
        <v>13.255000000000001</v>
      </c>
      <c r="M976">
        <v>49.28</v>
      </c>
      <c r="N976">
        <v>16.25</v>
      </c>
      <c r="O976">
        <v>1676</v>
      </c>
      <c r="P976">
        <v>821</v>
      </c>
      <c r="Q976" s="5" t="e">
        <f>IF(AND(#REF!&gt;=table!$C$6,#REF!&lt;= table!$D$6),-1,IF(AND(#REF!&gt;=table!$E$6,#REF!&lt;=table!$F$6),1,0))</f>
        <v>#REF!</v>
      </c>
      <c r="R976" s="5" t="e">
        <f>IF(AND(#REF!&gt;=table!$C$7,#REF!&lt;= table!$D$7),-1,IF(AND(#REF!&gt;=table!$E$7,#REF!&lt;=table!$F$7),1,0))</f>
        <v>#REF!</v>
      </c>
      <c r="S976" s="5" t="e">
        <f>IF(AND(#REF!&gt;=table!$C$8,#REF!&lt;= table!$D$8),-1,IF(AND(#REF!&gt;=table!$E$8,#REF!&lt;=table!$F$8),1,0))</f>
        <v>#REF!</v>
      </c>
      <c r="T976" s="5"/>
      <c r="U976" s="5" t="e">
        <f>IF(AND(#REF!&gt;=table!$C$10,#REF!&lt;= table!$D$10),-1,IF(AND(#REF!&gt;=table!$E$10,#REF!&lt;=table!$F$10),1,0))</f>
        <v>#REF!</v>
      </c>
      <c r="V976" s="5" t="e">
        <f>IF(AND(#REF!&gt;=table!$C$11,#REF!&lt;= table!$D$11),-1,IF(AND(#REF!&gt;=table!$E$11,#REF!&lt;=table!$F$11),1,0))</f>
        <v>#REF!</v>
      </c>
      <c r="W976" s="5" t="e">
        <f>CONCATENATE(dados[[#This Row],[fator1]],dados[[#This Row],[fator5]],dados[[#This Row],[fator6]])</f>
        <v>#REF!</v>
      </c>
    </row>
    <row r="977" spans="1:23">
      <c r="A977" t="s">
        <v>17</v>
      </c>
      <c r="B977">
        <v>483720</v>
      </c>
      <c r="C977">
        <v>9</v>
      </c>
      <c r="D977">
        <v>25</v>
      </c>
      <c r="E977">
        <v>130</v>
      </c>
      <c r="F977">
        <v>3</v>
      </c>
      <c r="G977">
        <v>20</v>
      </c>
      <c r="H977">
        <v>21</v>
      </c>
      <c r="I977">
        <v>36</v>
      </c>
      <c r="J977">
        <v>860</v>
      </c>
      <c r="K977">
        <v>4.8950000000000005</v>
      </c>
      <c r="L977">
        <v>5.5350000000000001</v>
      </c>
      <c r="M977">
        <v>126.30500000000001</v>
      </c>
      <c r="N977">
        <v>9.9500000000000011</v>
      </c>
      <c r="O977">
        <v>1591</v>
      </c>
      <c r="P977">
        <v>722</v>
      </c>
      <c r="Q977" s="5" t="e">
        <f>IF(AND(#REF!&gt;=table!$C$6,#REF!&lt;= table!$D$6),-1,IF(AND(#REF!&gt;=table!$E$6,#REF!&lt;=table!$F$6),1,0))</f>
        <v>#REF!</v>
      </c>
      <c r="R977" s="5" t="e">
        <f>IF(AND(#REF!&gt;=table!$C$7,#REF!&lt;= table!$D$7),-1,IF(AND(#REF!&gt;=table!$E$7,#REF!&lt;=table!$F$7),1,0))</f>
        <v>#REF!</v>
      </c>
      <c r="S977" s="5" t="e">
        <f>IF(AND(#REF!&gt;=table!$C$8,#REF!&lt;= table!$D$8),-1,IF(AND(#REF!&gt;=table!$E$8,#REF!&lt;=table!$F$8),1,0))</f>
        <v>#REF!</v>
      </c>
      <c r="T977" s="5"/>
      <c r="U977" s="5" t="e">
        <f>IF(AND(#REF!&gt;=table!$C$10,#REF!&lt;= table!$D$10),-1,IF(AND(#REF!&gt;=table!$E$10,#REF!&lt;=table!$F$10),1,0))</f>
        <v>#REF!</v>
      </c>
      <c r="V977" s="5" t="e">
        <f>IF(AND(#REF!&gt;=table!$C$11,#REF!&lt;= table!$D$11),-1,IF(AND(#REF!&gt;=table!$E$11,#REF!&lt;=table!$F$11),1,0))</f>
        <v>#REF!</v>
      </c>
      <c r="W977" s="5" t="e">
        <f>CONCATENATE(dados[[#This Row],[fator1]],dados[[#This Row],[fator5]],dados[[#This Row],[fator6]])</f>
        <v>#REF!</v>
      </c>
    </row>
    <row r="978" spans="1:23">
      <c r="A978" t="s">
        <v>17</v>
      </c>
      <c r="B978">
        <v>483725</v>
      </c>
      <c r="C978">
        <v>9</v>
      </c>
      <c r="D978">
        <v>25</v>
      </c>
      <c r="E978">
        <v>130</v>
      </c>
      <c r="F978">
        <v>3</v>
      </c>
      <c r="G978">
        <v>20</v>
      </c>
      <c r="H978">
        <v>21</v>
      </c>
      <c r="I978">
        <v>462</v>
      </c>
      <c r="J978">
        <v>0</v>
      </c>
      <c r="K978">
        <v>4.67</v>
      </c>
      <c r="L978">
        <v>5.4</v>
      </c>
      <c r="M978">
        <v>113.795</v>
      </c>
      <c r="N978">
        <v>9.3849999999999998</v>
      </c>
      <c r="O978">
        <v>1675</v>
      </c>
      <c r="P978">
        <v>0</v>
      </c>
      <c r="Q978" s="5" t="e">
        <f>IF(AND(#REF!&gt;=table!$C$6,#REF!&lt;= table!$D$6),-1,IF(AND(#REF!&gt;=table!$E$6,#REF!&lt;=table!$F$6),1,0))</f>
        <v>#REF!</v>
      </c>
      <c r="R978" s="5" t="e">
        <f>IF(AND(#REF!&gt;=table!$C$7,#REF!&lt;= table!$D$7),-1,IF(AND(#REF!&gt;=table!$E$7,#REF!&lt;=table!$F$7),1,0))</f>
        <v>#REF!</v>
      </c>
      <c r="S978" s="5" t="e">
        <f>IF(AND(#REF!&gt;=table!$C$8,#REF!&lt;= table!$D$8),-1,IF(AND(#REF!&gt;=table!$E$8,#REF!&lt;=table!$F$8),1,0))</f>
        <v>#REF!</v>
      </c>
      <c r="T978" s="5"/>
      <c r="U978" s="5" t="e">
        <f>IF(AND(#REF!&gt;=table!$C$10,#REF!&lt;= table!$D$10),-1,IF(AND(#REF!&gt;=table!$E$10,#REF!&lt;=table!$F$10),1,0))</f>
        <v>#REF!</v>
      </c>
      <c r="V978" s="5" t="e">
        <f>IF(AND(#REF!&gt;=table!$C$11,#REF!&lt;= table!$D$11),-1,IF(AND(#REF!&gt;=table!$E$11,#REF!&lt;=table!$F$11),1,0))</f>
        <v>#REF!</v>
      </c>
      <c r="W978" s="5" t="e">
        <f>CONCATENATE(dados[[#This Row],[fator1]],dados[[#This Row],[fator5]],dados[[#This Row],[fator6]])</f>
        <v>#REF!</v>
      </c>
    </row>
    <row r="979" spans="1:23">
      <c r="A979" t="s">
        <v>17</v>
      </c>
      <c r="B979">
        <v>483726</v>
      </c>
      <c r="C979">
        <v>9</v>
      </c>
      <c r="D979">
        <v>25</v>
      </c>
      <c r="E979">
        <v>130</v>
      </c>
      <c r="F979">
        <v>3</v>
      </c>
      <c r="G979">
        <v>20</v>
      </c>
      <c r="H979">
        <v>21</v>
      </c>
      <c r="I979">
        <v>774</v>
      </c>
      <c r="J979">
        <v>0</v>
      </c>
      <c r="K979">
        <v>2.4915000000000003</v>
      </c>
      <c r="L979">
        <v>7.7250000000000005</v>
      </c>
      <c r="M979">
        <v>122.47500000000001</v>
      </c>
      <c r="N979">
        <v>10.485000000000001</v>
      </c>
      <c r="O979">
        <v>1669</v>
      </c>
      <c r="P979">
        <v>0</v>
      </c>
      <c r="Q979" s="5" t="e">
        <f>IF(AND(#REF!&gt;=table!$C$6,#REF!&lt;= table!$D$6),-1,IF(AND(#REF!&gt;=table!$E$6,#REF!&lt;=table!$F$6),1,0))</f>
        <v>#REF!</v>
      </c>
      <c r="R979" s="5" t="e">
        <f>IF(AND(#REF!&gt;=table!$C$7,#REF!&lt;= table!$D$7),-1,IF(AND(#REF!&gt;=table!$E$7,#REF!&lt;=table!$F$7),1,0))</f>
        <v>#REF!</v>
      </c>
      <c r="S979" s="5" t="e">
        <f>IF(AND(#REF!&gt;=table!$C$8,#REF!&lt;= table!$D$8),-1,IF(AND(#REF!&gt;=table!$E$8,#REF!&lt;=table!$F$8),1,0))</f>
        <v>#REF!</v>
      </c>
      <c r="T979" s="5"/>
      <c r="U979" s="5" t="e">
        <f>IF(AND(#REF!&gt;=table!$C$10,#REF!&lt;= table!$D$10),-1,IF(AND(#REF!&gt;=table!$E$10,#REF!&lt;=table!$F$10),1,0))</f>
        <v>#REF!</v>
      </c>
      <c r="V979" s="5" t="e">
        <f>IF(AND(#REF!&gt;=table!$C$11,#REF!&lt;= table!$D$11),-1,IF(AND(#REF!&gt;=table!$E$11,#REF!&lt;=table!$F$11),1,0))</f>
        <v>#REF!</v>
      </c>
      <c r="W979" s="5" t="e">
        <f>CONCATENATE(dados[[#This Row],[fator1]],dados[[#This Row],[fator5]],dados[[#This Row],[fator6]])</f>
        <v>#REF!</v>
      </c>
    </row>
    <row r="980" spans="1:23">
      <c r="A980" t="s">
        <v>17</v>
      </c>
      <c r="B980">
        <v>483733</v>
      </c>
      <c r="C980">
        <v>14</v>
      </c>
      <c r="D980">
        <v>30</v>
      </c>
      <c r="E980">
        <v>110</v>
      </c>
      <c r="F980">
        <v>4</v>
      </c>
      <c r="G980">
        <v>20</v>
      </c>
      <c r="H980">
        <v>22</v>
      </c>
      <c r="I980">
        <v>59</v>
      </c>
      <c r="J980">
        <v>0</v>
      </c>
      <c r="K980">
        <v>2.0220000000000002</v>
      </c>
      <c r="L980">
        <v>7.53</v>
      </c>
      <c r="M980">
        <v>75.424999999999997</v>
      </c>
      <c r="N980">
        <v>14.42</v>
      </c>
      <c r="O980">
        <v>1724</v>
      </c>
      <c r="P980">
        <v>1658</v>
      </c>
      <c r="Q980" s="5" t="e">
        <f>IF(AND(#REF!&gt;=table!$C$6,#REF!&lt;= table!$D$6),-1,IF(AND(#REF!&gt;=table!$E$6,#REF!&lt;=table!$F$6),1,0))</f>
        <v>#REF!</v>
      </c>
      <c r="R980" s="5" t="e">
        <f>IF(AND(#REF!&gt;=table!$C$7,#REF!&lt;= table!$D$7),-1,IF(AND(#REF!&gt;=table!$E$7,#REF!&lt;=table!$F$7),1,0))</f>
        <v>#REF!</v>
      </c>
      <c r="S980" s="5" t="e">
        <f>IF(AND(#REF!&gt;=table!$C$8,#REF!&lt;= table!$D$8),-1,IF(AND(#REF!&gt;=table!$E$8,#REF!&lt;=table!$F$8),1,0))</f>
        <v>#REF!</v>
      </c>
      <c r="T980" s="5"/>
      <c r="U980" s="5" t="e">
        <f>IF(AND(#REF!&gt;=table!$C$10,#REF!&lt;= table!$D$10),-1,IF(AND(#REF!&gt;=table!$E$10,#REF!&lt;=table!$F$10),1,0))</f>
        <v>#REF!</v>
      </c>
      <c r="V980" s="5" t="e">
        <f>IF(AND(#REF!&gt;=table!$C$11,#REF!&lt;= table!$D$11),-1,IF(AND(#REF!&gt;=table!$E$11,#REF!&lt;=table!$F$11),1,0))</f>
        <v>#REF!</v>
      </c>
      <c r="W980" s="5" t="e">
        <f>CONCATENATE(dados[[#This Row],[fator1]],dados[[#This Row],[fator5]],dados[[#This Row],[fator6]])</f>
        <v>#REF!</v>
      </c>
    </row>
    <row r="981" spans="1:23">
      <c r="A981" t="s">
        <v>16</v>
      </c>
      <c r="B981">
        <v>483735</v>
      </c>
      <c r="C981">
        <v>16</v>
      </c>
      <c r="D981">
        <v>35</v>
      </c>
      <c r="E981">
        <v>40</v>
      </c>
      <c r="F981">
        <v>10</v>
      </c>
      <c r="G981">
        <v>0</v>
      </c>
      <c r="H981">
        <v>25</v>
      </c>
      <c r="I981">
        <v>391</v>
      </c>
      <c r="J981">
        <v>1100</v>
      </c>
      <c r="K981">
        <v>6.84</v>
      </c>
      <c r="L981">
        <v>6.63</v>
      </c>
      <c r="M981">
        <v>24.36</v>
      </c>
      <c r="N981">
        <v>9.7949999999999999</v>
      </c>
      <c r="O981">
        <v>1625</v>
      </c>
      <c r="P981">
        <v>586</v>
      </c>
      <c r="Q981" s="5" t="e">
        <f>IF(AND(#REF!&gt;=table!$C$6,#REF!&lt;= table!$D$6),-1,IF(AND(#REF!&gt;=table!$E$6,#REF!&lt;=table!$F$6),1,0))</f>
        <v>#REF!</v>
      </c>
      <c r="R981" s="5" t="e">
        <f>IF(AND(#REF!&gt;=table!$C$7,#REF!&lt;= table!$D$7),-1,IF(AND(#REF!&gt;=table!$E$7,#REF!&lt;=table!$F$7),1,0))</f>
        <v>#REF!</v>
      </c>
      <c r="S981" s="5" t="e">
        <f>IF(AND(#REF!&gt;=table!$C$8,#REF!&lt;= table!$D$8),-1,IF(AND(#REF!&gt;=table!$E$8,#REF!&lt;=table!$F$8),1,0))</f>
        <v>#REF!</v>
      </c>
      <c r="T981" s="5"/>
      <c r="U981" s="5" t="e">
        <f>IF(AND(#REF!&gt;=table!$C$10,#REF!&lt;= table!$D$10),-1,IF(AND(#REF!&gt;=table!$E$10,#REF!&lt;=table!$F$10),1,0))</f>
        <v>#REF!</v>
      </c>
      <c r="V981" s="5" t="e">
        <f>IF(AND(#REF!&gt;=table!$C$11,#REF!&lt;= table!$D$11),-1,IF(AND(#REF!&gt;=table!$E$11,#REF!&lt;=table!$F$11),1,0))</f>
        <v>#REF!</v>
      </c>
      <c r="W981" s="5" t="e">
        <f>CONCATENATE(dados[[#This Row],[fator1]],dados[[#This Row],[fator5]],dados[[#This Row],[fator6]])</f>
        <v>#REF!</v>
      </c>
    </row>
    <row r="982" spans="1:23">
      <c r="A982" t="s">
        <v>17</v>
      </c>
      <c r="B982">
        <v>483742</v>
      </c>
      <c r="C982">
        <v>31</v>
      </c>
      <c r="D982">
        <v>30</v>
      </c>
      <c r="E982">
        <v>66</v>
      </c>
      <c r="F982">
        <v>9</v>
      </c>
      <c r="G982">
        <v>20</v>
      </c>
      <c r="H982">
        <v>25</v>
      </c>
      <c r="I982">
        <v>169</v>
      </c>
      <c r="J982">
        <v>0</v>
      </c>
      <c r="K982">
        <v>6.16</v>
      </c>
      <c r="L982">
        <v>10.36</v>
      </c>
      <c r="M982">
        <v>41.125</v>
      </c>
      <c r="N982">
        <v>11.3</v>
      </c>
      <c r="O982">
        <v>1682</v>
      </c>
      <c r="P982">
        <v>690</v>
      </c>
      <c r="Q982" s="5" t="e">
        <f>IF(AND(#REF!&gt;=table!$C$6,#REF!&lt;= table!$D$6),-1,IF(AND(#REF!&gt;=table!$E$6,#REF!&lt;=table!$F$6),1,0))</f>
        <v>#REF!</v>
      </c>
      <c r="R982" s="5" t="e">
        <f>IF(AND(#REF!&gt;=table!$C$7,#REF!&lt;= table!$D$7),-1,IF(AND(#REF!&gt;=table!$E$7,#REF!&lt;=table!$F$7),1,0))</f>
        <v>#REF!</v>
      </c>
      <c r="S982" s="5" t="e">
        <f>IF(AND(#REF!&gt;=table!$C$8,#REF!&lt;= table!$D$8),-1,IF(AND(#REF!&gt;=table!$E$8,#REF!&lt;=table!$F$8),1,0))</f>
        <v>#REF!</v>
      </c>
      <c r="T982" s="5"/>
      <c r="U982" s="5" t="e">
        <f>IF(AND(#REF!&gt;=table!$C$10,#REF!&lt;= table!$D$10),-1,IF(AND(#REF!&gt;=table!$E$10,#REF!&lt;=table!$F$10),1,0))</f>
        <v>#REF!</v>
      </c>
      <c r="V982" s="5" t="e">
        <f>IF(AND(#REF!&gt;=table!$C$11,#REF!&lt;= table!$D$11),-1,IF(AND(#REF!&gt;=table!$E$11,#REF!&lt;=table!$F$11),1,0))</f>
        <v>#REF!</v>
      </c>
      <c r="W982" s="5" t="e">
        <f>CONCATENATE(dados[[#This Row],[fator1]],dados[[#This Row],[fator5]],dados[[#This Row],[fator6]])</f>
        <v>#REF!</v>
      </c>
    </row>
    <row r="983" spans="1:23">
      <c r="A983" t="s">
        <v>17</v>
      </c>
      <c r="B983">
        <v>483744</v>
      </c>
      <c r="C983">
        <v>46</v>
      </c>
      <c r="D983">
        <v>18</v>
      </c>
      <c r="E983">
        <v>66</v>
      </c>
      <c r="F983">
        <v>10</v>
      </c>
      <c r="G983">
        <v>20</v>
      </c>
      <c r="H983">
        <v>23</v>
      </c>
      <c r="I983">
        <v>16</v>
      </c>
      <c r="J983">
        <v>0</v>
      </c>
      <c r="K983">
        <v>6.48</v>
      </c>
      <c r="L983">
        <v>18.215</v>
      </c>
      <c r="M983">
        <v>52.385000000000005</v>
      </c>
      <c r="N983">
        <v>20.045000000000002</v>
      </c>
      <c r="O983">
        <v>1683</v>
      </c>
      <c r="P983">
        <v>559</v>
      </c>
      <c r="Q983" s="5" t="e">
        <f>IF(AND(#REF!&gt;=table!$C$6,#REF!&lt;= table!$D$6),-1,IF(AND(#REF!&gt;=table!$E$6,#REF!&lt;=table!$F$6),1,0))</f>
        <v>#REF!</v>
      </c>
      <c r="R983" s="5" t="e">
        <f>IF(AND(#REF!&gt;=table!$C$7,#REF!&lt;= table!$D$7),-1,IF(AND(#REF!&gt;=table!$E$7,#REF!&lt;=table!$F$7),1,0))</f>
        <v>#REF!</v>
      </c>
      <c r="S983" s="5" t="e">
        <f>IF(AND(#REF!&gt;=table!$C$8,#REF!&lt;= table!$D$8),-1,IF(AND(#REF!&gt;=table!$E$8,#REF!&lt;=table!$F$8),1,0))</f>
        <v>#REF!</v>
      </c>
      <c r="T983" s="5"/>
      <c r="U983" s="5" t="e">
        <f>IF(AND(#REF!&gt;=table!$C$10,#REF!&lt;= table!$D$10),-1,IF(AND(#REF!&gt;=table!$E$10,#REF!&lt;=table!$F$10),1,0))</f>
        <v>#REF!</v>
      </c>
      <c r="V983" s="5" t="e">
        <f>IF(AND(#REF!&gt;=table!$C$11,#REF!&lt;= table!$D$11),-1,IF(AND(#REF!&gt;=table!$E$11,#REF!&lt;=table!$F$11),1,0))</f>
        <v>#REF!</v>
      </c>
      <c r="W983" s="5" t="e">
        <f>CONCATENATE(dados[[#This Row],[fator1]],dados[[#This Row],[fator5]],dados[[#This Row],[fator6]])</f>
        <v>#REF!</v>
      </c>
    </row>
    <row r="984" spans="1:23">
      <c r="A984" t="s">
        <v>18</v>
      </c>
      <c r="B984">
        <v>483745</v>
      </c>
      <c r="C984">
        <v>3</v>
      </c>
      <c r="D984">
        <v>5</v>
      </c>
      <c r="E984">
        <v>26</v>
      </c>
      <c r="F984">
        <v>15</v>
      </c>
      <c r="G984">
        <v>42</v>
      </c>
      <c r="H984">
        <v>30</v>
      </c>
      <c r="I984">
        <v>1113</v>
      </c>
      <c r="J984">
        <v>720</v>
      </c>
      <c r="K984">
        <v>15.565000000000001</v>
      </c>
      <c r="L984">
        <v>13.290000000000001</v>
      </c>
      <c r="M984">
        <v>23.205000000000002</v>
      </c>
      <c r="N984">
        <v>13.280000000000001</v>
      </c>
      <c r="O984">
        <v>1685</v>
      </c>
      <c r="P984">
        <v>425</v>
      </c>
      <c r="Q984" s="5" t="e">
        <f>IF(AND(#REF!&gt;=table!$C$6,#REF!&lt;= table!$D$6),-1,IF(AND(#REF!&gt;=table!$E$6,#REF!&lt;=table!$F$6),1,0))</f>
        <v>#REF!</v>
      </c>
      <c r="R984" s="5" t="e">
        <f>IF(AND(#REF!&gt;=table!$C$7,#REF!&lt;= table!$D$7),-1,IF(AND(#REF!&gt;=table!$E$7,#REF!&lt;=table!$F$7),1,0))</f>
        <v>#REF!</v>
      </c>
      <c r="S984" s="5" t="e">
        <f>IF(AND(#REF!&gt;=table!$C$8,#REF!&lt;= table!$D$8),-1,IF(AND(#REF!&gt;=table!$E$8,#REF!&lt;=table!$F$8),1,0))</f>
        <v>#REF!</v>
      </c>
      <c r="T984" s="5"/>
      <c r="U984" s="5" t="e">
        <f>IF(AND(#REF!&gt;=table!$C$10,#REF!&lt;= table!$D$10),-1,IF(AND(#REF!&gt;=table!$E$10,#REF!&lt;=table!$F$10),1,0))</f>
        <v>#REF!</v>
      </c>
      <c r="V984" s="5" t="e">
        <f>IF(AND(#REF!&gt;=table!$C$11,#REF!&lt;= table!$D$11),-1,IF(AND(#REF!&gt;=table!$E$11,#REF!&lt;=table!$F$11),1,0))</f>
        <v>#REF!</v>
      </c>
      <c r="W984" s="5" t="e">
        <f>CONCATENATE(dados[[#This Row],[fator1]],dados[[#This Row],[fator5]],dados[[#This Row],[fator6]])</f>
        <v>#REF!</v>
      </c>
    </row>
    <row r="985" spans="1:23">
      <c r="A985" t="s">
        <v>16</v>
      </c>
      <c r="B985">
        <v>483747</v>
      </c>
      <c r="C985">
        <v>0.15</v>
      </c>
      <c r="D985">
        <v>40</v>
      </c>
      <c r="E985">
        <v>10</v>
      </c>
      <c r="F985">
        <v>15</v>
      </c>
      <c r="G985">
        <v>0</v>
      </c>
      <c r="H985">
        <v>15</v>
      </c>
      <c r="I985">
        <v>214</v>
      </c>
      <c r="J985">
        <v>0</v>
      </c>
      <c r="K985">
        <v>9.7149999999999999</v>
      </c>
      <c r="L985">
        <v>18.38</v>
      </c>
      <c r="M985">
        <v>12.255000000000001</v>
      </c>
      <c r="N985">
        <v>14.545</v>
      </c>
      <c r="O985">
        <v>1687</v>
      </c>
      <c r="P985">
        <v>799</v>
      </c>
      <c r="Q985" s="5" t="e">
        <f>IF(AND(#REF!&gt;=table!$C$6,#REF!&lt;= table!$D$6),-1,IF(AND(#REF!&gt;=table!$E$6,#REF!&lt;=table!$F$6),1,0))</f>
        <v>#REF!</v>
      </c>
      <c r="R985" s="5" t="e">
        <f>IF(AND(#REF!&gt;=table!$C$7,#REF!&lt;= table!$D$7),-1,IF(AND(#REF!&gt;=table!$E$7,#REF!&lt;=table!$F$7),1,0))</f>
        <v>#REF!</v>
      </c>
      <c r="S985" s="5" t="e">
        <f>IF(AND(#REF!&gt;=table!$C$8,#REF!&lt;= table!$D$8),-1,IF(AND(#REF!&gt;=table!$E$8,#REF!&lt;=table!$F$8),1,0))</f>
        <v>#REF!</v>
      </c>
      <c r="T985" s="5"/>
      <c r="U985" s="5" t="e">
        <f>IF(AND(#REF!&gt;=table!$C$10,#REF!&lt;= table!$D$10),-1,IF(AND(#REF!&gt;=table!$E$10,#REF!&lt;=table!$F$10),1,0))</f>
        <v>#REF!</v>
      </c>
      <c r="V985" s="5" t="e">
        <f>IF(AND(#REF!&gt;=table!$C$11,#REF!&lt;= table!$D$11),-1,IF(AND(#REF!&gt;=table!$E$11,#REF!&lt;=table!$F$11),1,0))</f>
        <v>#REF!</v>
      </c>
      <c r="W985" s="5" t="e">
        <f>CONCATENATE(dados[[#This Row],[fator1]],dados[[#This Row],[fator5]],dados[[#This Row],[fator6]])</f>
        <v>#REF!</v>
      </c>
    </row>
    <row r="986" spans="1:23">
      <c r="A986" t="s">
        <v>17</v>
      </c>
      <c r="B986">
        <v>483761</v>
      </c>
      <c r="C986">
        <v>10</v>
      </c>
      <c r="D986">
        <v>25</v>
      </c>
      <c r="E986">
        <v>156</v>
      </c>
      <c r="F986">
        <v>8</v>
      </c>
      <c r="G986">
        <v>20</v>
      </c>
      <c r="H986">
        <v>25</v>
      </c>
      <c r="I986">
        <v>565</v>
      </c>
      <c r="J986">
        <v>0</v>
      </c>
      <c r="K986">
        <v>6.3850000000000007</v>
      </c>
      <c r="L986">
        <v>15.21</v>
      </c>
      <c r="M986">
        <v>119.8</v>
      </c>
      <c r="N986">
        <v>18.37</v>
      </c>
      <c r="O986">
        <v>1679</v>
      </c>
      <c r="P986">
        <v>0</v>
      </c>
      <c r="Q986" s="5" t="e">
        <f>IF(AND(#REF!&gt;=table!$C$6,#REF!&lt;= table!$D$6),-1,IF(AND(#REF!&gt;=table!$E$6,#REF!&lt;=table!$F$6),1,0))</f>
        <v>#REF!</v>
      </c>
      <c r="R986" s="5" t="e">
        <f>IF(AND(#REF!&gt;=table!$C$7,#REF!&lt;= table!$D$7),-1,IF(AND(#REF!&gt;=table!$E$7,#REF!&lt;=table!$F$7),1,0))</f>
        <v>#REF!</v>
      </c>
      <c r="S986" s="5" t="e">
        <f>IF(AND(#REF!&gt;=table!$C$8,#REF!&lt;= table!$D$8),-1,IF(AND(#REF!&gt;=table!$E$8,#REF!&lt;=table!$F$8),1,0))</f>
        <v>#REF!</v>
      </c>
      <c r="T986" s="5"/>
      <c r="U986" s="5" t="e">
        <f>IF(AND(#REF!&gt;=table!$C$10,#REF!&lt;= table!$D$10),-1,IF(AND(#REF!&gt;=table!$E$10,#REF!&lt;=table!$F$10),1,0))</f>
        <v>#REF!</v>
      </c>
      <c r="V986" s="5" t="e">
        <f>IF(AND(#REF!&gt;=table!$C$11,#REF!&lt;= table!$D$11),-1,IF(AND(#REF!&gt;=table!$E$11,#REF!&lt;=table!$F$11),1,0))</f>
        <v>#REF!</v>
      </c>
      <c r="W986" s="5" t="e">
        <f>CONCATENATE(dados[[#This Row],[fator1]],dados[[#This Row],[fator5]],dados[[#This Row],[fator6]])</f>
        <v>#REF!</v>
      </c>
    </row>
    <row r="987" spans="1:23">
      <c r="A987" t="s">
        <v>17</v>
      </c>
      <c r="B987">
        <v>483762</v>
      </c>
      <c r="C987">
        <v>10</v>
      </c>
      <c r="D987">
        <v>25</v>
      </c>
      <c r="E987">
        <v>156</v>
      </c>
      <c r="F987">
        <v>8</v>
      </c>
      <c r="G987">
        <v>20</v>
      </c>
      <c r="H987">
        <v>25</v>
      </c>
      <c r="I987">
        <v>158</v>
      </c>
      <c r="J987">
        <v>0</v>
      </c>
      <c r="K987">
        <v>2.6859999999999999</v>
      </c>
      <c r="L987">
        <v>15.295</v>
      </c>
      <c r="M987">
        <v>132.785</v>
      </c>
      <c r="N987">
        <v>20.43</v>
      </c>
      <c r="O987">
        <v>1689</v>
      </c>
      <c r="P987">
        <v>1100</v>
      </c>
      <c r="Q987" s="5" t="e">
        <f>IF(AND(#REF!&gt;=table!$C$6,#REF!&lt;= table!$D$6),-1,IF(AND(#REF!&gt;=table!$E$6,#REF!&lt;=table!$F$6),1,0))</f>
        <v>#REF!</v>
      </c>
      <c r="R987" s="5" t="e">
        <f>IF(AND(#REF!&gt;=table!$C$7,#REF!&lt;= table!$D$7),-1,IF(AND(#REF!&gt;=table!$E$7,#REF!&lt;=table!$F$7),1,0))</f>
        <v>#REF!</v>
      </c>
      <c r="S987" s="5" t="e">
        <f>IF(AND(#REF!&gt;=table!$C$8,#REF!&lt;= table!$D$8),-1,IF(AND(#REF!&gt;=table!$E$8,#REF!&lt;=table!$F$8),1,0))</f>
        <v>#REF!</v>
      </c>
      <c r="T987" s="5"/>
      <c r="U987" s="5" t="e">
        <f>IF(AND(#REF!&gt;=table!$C$10,#REF!&lt;= table!$D$10),-1,IF(AND(#REF!&gt;=table!$E$10,#REF!&lt;=table!$F$10),1,0))</f>
        <v>#REF!</v>
      </c>
      <c r="V987" s="5" t="e">
        <f>IF(AND(#REF!&gt;=table!$C$11,#REF!&lt;= table!$D$11),-1,IF(AND(#REF!&gt;=table!$E$11,#REF!&lt;=table!$F$11),1,0))</f>
        <v>#REF!</v>
      </c>
      <c r="W987" s="5" t="e">
        <f>CONCATENATE(dados[[#This Row],[fator1]],dados[[#This Row],[fator5]],dados[[#This Row],[fator6]])</f>
        <v>#REF!</v>
      </c>
    </row>
    <row r="988" spans="1:23">
      <c r="A988" t="s">
        <v>17</v>
      </c>
      <c r="B988">
        <v>483763</v>
      </c>
      <c r="C988">
        <v>10</v>
      </c>
      <c r="D988">
        <v>25</v>
      </c>
      <c r="E988">
        <v>156</v>
      </c>
      <c r="F988">
        <v>8</v>
      </c>
      <c r="G988">
        <v>20</v>
      </c>
      <c r="H988">
        <v>25</v>
      </c>
      <c r="I988">
        <v>1</v>
      </c>
      <c r="J988">
        <v>0</v>
      </c>
      <c r="K988">
        <v>2.339</v>
      </c>
      <c r="L988">
        <v>9.0500000000000007</v>
      </c>
      <c r="M988">
        <v>145.495</v>
      </c>
      <c r="N988">
        <v>14.775</v>
      </c>
      <c r="O988">
        <v>1678</v>
      </c>
      <c r="P988">
        <v>1338</v>
      </c>
      <c r="Q988" s="5" t="e">
        <f>IF(AND(#REF!&gt;=table!$C$6,#REF!&lt;= table!$D$6),-1,IF(AND(#REF!&gt;=table!$E$6,#REF!&lt;=table!$F$6),1,0))</f>
        <v>#REF!</v>
      </c>
      <c r="R988" s="5" t="e">
        <f>IF(AND(#REF!&gt;=table!$C$7,#REF!&lt;= table!$D$7),-1,IF(AND(#REF!&gt;=table!$E$7,#REF!&lt;=table!$F$7),1,0))</f>
        <v>#REF!</v>
      </c>
      <c r="S988" s="5" t="e">
        <f>IF(AND(#REF!&gt;=table!$C$8,#REF!&lt;= table!$D$8),-1,IF(AND(#REF!&gt;=table!$E$8,#REF!&lt;=table!$F$8),1,0))</f>
        <v>#REF!</v>
      </c>
      <c r="T988" s="5"/>
      <c r="U988" s="5" t="e">
        <f>IF(AND(#REF!&gt;=table!$C$10,#REF!&lt;= table!$D$10),-1,IF(AND(#REF!&gt;=table!$E$10,#REF!&lt;=table!$F$10),1,0))</f>
        <v>#REF!</v>
      </c>
      <c r="V988" s="5" t="e">
        <f>IF(AND(#REF!&gt;=table!$C$11,#REF!&lt;= table!$D$11),-1,IF(AND(#REF!&gt;=table!$E$11,#REF!&lt;=table!$F$11),1,0))</f>
        <v>#REF!</v>
      </c>
      <c r="W988" s="5" t="e">
        <f>CONCATENATE(dados[[#This Row],[fator1]],dados[[#This Row],[fator5]],dados[[#This Row],[fator6]])</f>
        <v>#REF!</v>
      </c>
    </row>
    <row r="989" spans="1:23">
      <c r="A989" t="s">
        <v>16</v>
      </c>
      <c r="B989">
        <v>483765</v>
      </c>
      <c r="C989">
        <v>0.15</v>
      </c>
      <c r="D989">
        <v>40</v>
      </c>
      <c r="E989">
        <v>64</v>
      </c>
      <c r="F989">
        <v>10</v>
      </c>
      <c r="G989">
        <v>0</v>
      </c>
      <c r="H989">
        <v>35</v>
      </c>
      <c r="I989">
        <v>239</v>
      </c>
      <c r="J989">
        <v>0</v>
      </c>
      <c r="K989">
        <v>2.0020000000000002</v>
      </c>
      <c r="L989">
        <v>8.2200000000000006</v>
      </c>
      <c r="M989">
        <v>7.8100000000000005</v>
      </c>
      <c r="N989">
        <v>15.72</v>
      </c>
      <c r="O989">
        <v>1684</v>
      </c>
      <c r="P989">
        <v>1372</v>
      </c>
      <c r="Q989" s="5" t="e">
        <f>IF(AND(#REF!&gt;=table!$C$6,#REF!&lt;= table!$D$6),-1,IF(AND(#REF!&gt;=table!$E$6,#REF!&lt;=table!$F$6),1,0))</f>
        <v>#REF!</v>
      </c>
      <c r="R989" s="5" t="e">
        <f>IF(AND(#REF!&gt;=table!$C$7,#REF!&lt;= table!$D$7),-1,IF(AND(#REF!&gt;=table!$E$7,#REF!&lt;=table!$F$7),1,0))</f>
        <v>#REF!</v>
      </c>
      <c r="S989" s="5" t="e">
        <f>IF(AND(#REF!&gt;=table!$C$8,#REF!&lt;= table!$D$8),-1,IF(AND(#REF!&gt;=table!$E$8,#REF!&lt;=table!$F$8),1,0))</f>
        <v>#REF!</v>
      </c>
      <c r="T989" s="5"/>
      <c r="U989" s="5" t="e">
        <f>IF(AND(#REF!&gt;=table!$C$10,#REF!&lt;= table!$D$10),-1,IF(AND(#REF!&gt;=table!$E$10,#REF!&lt;=table!$F$10),1,0))</f>
        <v>#REF!</v>
      </c>
      <c r="V989" s="5" t="e">
        <f>IF(AND(#REF!&gt;=table!$C$11,#REF!&lt;= table!$D$11),-1,IF(AND(#REF!&gt;=table!$E$11,#REF!&lt;=table!$F$11),1,0))</f>
        <v>#REF!</v>
      </c>
      <c r="W989" s="5" t="e">
        <f>CONCATENATE(dados[[#This Row],[fator1]],dados[[#This Row],[fator5]],dados[[#This Row],[fator6]])</f>
        <v>#REF!</v>
      </c>
    </row>
    <row r="990" spans="1:23">
      <c r="A990" t="s">
        <v>16</v>
      </c>
      <c r="B990">
        <v>483781</v>
      </c>
      <c r="C990">
        <v>4</v>
      </c>
      <c r="D990">
        <v>40</v>
      </c>
      <c r="E990">
        <v>21</v>
      </c>
      <c r="F990">
        <v>20</v>
      </c>
      <c r="G990">
        <v>0</v>
      </c>
      <c r="H990">
        <v>25</v>
      </c>
      <c r="I990">
        <v>289</v>
      </c>
      <c r="J990">
        <v>0</v>
      </c>
      <c r="K990">
        <v>2.2850000000000001</v>
      </c>
      <c r="L990">
        <v>9</v>
      </c>
      <c r="M990">
        <v>8.3000000000000007</v>
      </c>
      <c r="N990">
        <v>18.3</v>
      </c>
      <c r="O990">
        <v>1659</v>
      </c>
      <c r="P990">
        <v>1015</v>
      </c>
      <c r="Q990" s="5" t="e">
        <f>IF(AND(#REF!&gt;=table!$C$6,#REF!&lt;= table!$D$6),-1,IF(AND(#REF!&gt;=table!$E$6,#REF!&lt;=table!$F$6),1,0))</f>
        <v>#REF!</v>
      </c>
      <c r="R990" s="5" t="e">
        <f>IF(AND(#REF!&gt;=table!$C$7,#REF!&lt;= table!$D$7),-1,IF(AND(#REF!&gt;=table!$E$7,#REF!&lt;=table!$F$7),1,0))</f>
        <v>#REF!</v>
      </c>
      <c r="S990" s="5" t="e">
        <f>IF(AND(#REF!&gt;=table!$C$8,#REF!&lt;= table!$D$8),-1,IF(AND(#REF!&gt;=table!$E$8,#REF!&lt;=table!$F$8),1,0))</f>
        <v>#REF!</v>
      </c>
      <c r="T990" s="5"/>
      <c r="U990" s="5" t="e">
        <f>IF(AND(#REF!&gt;=table!$C$10,#REF!&lt;= table!$D$10),-1,IF(AND(#REF!&gt;=table!$E$10,#REF!&lt;=table!$F$10),1,0))</f>
        <v>#REF!</v>
      </c>
      <c r="V990" s="5" t="e">
        <f>IF(AND(#REF!&gt;=table!$C$11,#REF!&lt;= table!$D$11),-1,IF(AND(#REF!&gt;=table!$E$11,#REF!&lt;=table!$F$11),1,0))</f>
        <v>#REF!</v>
      </c>
      <c r="W990" s="5" t="e">
        <f>CONCATENATE(dados[[#This Row],[fator1]],dados[[#This Row],[fator5]],dados[[#This Row],[fator6]])</f>
        <v>#REF!</v>
      </c>
    </row>
    <row r="991" spans="1:23">
      <c r="A991" t="s">
        <v>16</v>
      </c>
      <c r="B991">
        <v>483782</v>
      </c>
      <c r="C991">
        <v>8</v>
      </c>
      <c r="D991">
        <v>30</v>
      </c>
      <c r="E991">
        <v>61</v>
      </c>
      <c r="F991">
        <v>8</v>
      </c>
      <c r="G991">
        <v>0</v>
      </c>
      <c r="H991">
        <v>25</v>
      </c>
      <c r="I991">
        <v>0</v>
      </c>
      <c r="J991">
        <v>0</v>
      </c>
      <c r="K991">
        <v>3.29</v>
      </c>
      <c r="L991">
        <v>12.6</v>
      </c>
      <c r="M991">
        <v>52.7</v>
      </c>
      <c r="N991">
        <v>16.45</v>
      </c>
      <c r="O991">
        <v>1676</v>
      </c>
      <c r="P991">
        <v>0</v>
      </c>
      <c r="Q991" s="5" t="e">
        <f>IF(AND(#REF!&gt;=table!$C$6,#REF!&lt;= table!$D$6),-1,IF(AND(#REF!&gt;=table!$E$6,#REF!&lt;=table!$F$6),1,0))</f>
        <v>#REF!</v>
      </c>
      <c r="R991" s="5" t="e">
        <f>IF(AND(#REF!&gt;=table!$C$7,#REF!&lt;= table!$D$7),-1,IF(AND(#REF!&gt;=table!$E$7,#REF!&lt;=table!$F$7),1,0))</f>
        <v>#REF!</v>
      </c>
      <c r="S991" s="5" t="e">
        <f>IF(AND(#REF!&gt;=table!$C$8,#REF!&lt;= table!$D$8),-1,IF(AND(#REF!&gt;=table!$E$8,#REF!&lt;=table!$F$8),1,0))</f>
        <v>#REF!</v>
      </c>
      <c r="T991" s="5"/>
      <c r="U991" s="5" t="e">
        <f>IF(AND(#REF!&gt;=table!$C$10,#REF!&lt;= table!$D$10),-1,IF(AND(#REF!&gt;=table!$E$10,#REF!&lt;=table!$F$10),1,0))</f>
        <v>#REF!</v>
      </c>
      <c r="V991" s="5" t="e">
        <f>IF(AND(#REF!&gt;=table!$C$11,#REF!&lt;= table!$D$11),-1,IF(AND(#REF!&gt;=table!$E$11,#REF!&lt;=table!$F$11),1,0))</f>
        <v>#REF!</v>
      </c>
      <c r="W991" s="5" t="e">
        <f>CONCATENATE(dados[[#This Row],[fator1]],dados[[#This Row],[fator5]],dados[[#This Row],[fator6]])</f>
        <v>#REF!</v>
      </c>
    </row>
    <row r="992" spans="1:23">
      <c r="A992" t="s">
        <v>16</v>
      </c>
      <c r="B992">
        <v>483783</v>
      </c>
      <c r="C992">
        <v>6</v>
      </c>
      <c r="D992">
        <v>40</v>
      </c>
      <c r="E992">
        <v>66</v>
      </c>
      <c r="F992">
        <v>10</v>
      </c>
      <c r="G992">
        <v>0</v>
      </c>
      <c r="H992">
        <v>25</v>
      </c>
      <c r="I992">
        <v>956</v>
      </c>
      <c r="J992">
        <v>0</v>
      </c>
      <c r="K992">
        <v>3.17</v>
      </c>
      <c r="L992">
        <v>5.7</v>
      </c>
      <c r="M992">
        <v>53.65</v>
      </c>
      <c r="N992">
        <v>12.950000000000001</v>
      </c>
      <c r="O992">
        <v>1663</v>
      </c>
      <c r="P992">
        <v>1182</v>
      </c>
      <c r="Q992" s="5" t="e">
        <f>IF(AND(#REF!&gt;=table!$C$6,#REF!&lt;= table!$D$6),-1,IF(AND(#REF!&gt;=table!$E$6,#REF!&lt;=table!$F$6),1,0))</f>
        <v>#REF!</v>
      </c>
      <c r="R992" s="5" t="e">
        <f>IF(AND(#REF!&gt;=table!$C$7,#REF!&lt;= table!$D$7),-1,IF(AND(#REF!&gt;=table!$E$7,#REF!&lt;=table!$F$7),1,0))</f>
        <v>#REF!</v>
      </c>
      <c r="S992" s="5" t="e">
        <f>IF(AND(#REF!&gt;=table!$C$8,#REF!&lt;= table!$D$8),-1,IF(AND(#REF!&gt;=table!$E$8,#REF!&lt;=table!$F$8),1,0))</f>
        <v>#REF!</v>
      </c>
      <c r="T992" s="5"/>
      <c r="U992" s="5" t="e">
        <f>IF(AND(#REF!&gt;=table!$C$10,#REF!&lt;= table!$D$10),-1,IF(AND(#REF!&gt;=table!$E$10,#REF!&lt;=table!$F$10),1,0))</f>
        <v>#REF!</v>
      </c>
      <c r="V992" s="5" t="e">
        <f>IF(AND(#REF!&gt;=table!$C$11,#REF!&lt;= table!$D$11),-1,IF(AND(#REF!&gt;=table!$E$11,#REF!&lt;=table!$F$11),1,0))</f>
        <v>#REF!</v>
      </c>
      <c r="W992" s="5" t="e">
        <f>CONCATENATE(dados[[#This Row],[fator1]],dados[[#This Row],[fator5]],dados[[#This Row],[fator6]])</f>
        <v>#REF!</v>
      </c>
    </row>
    <row r="993" spans="1:23">
      <c r="A993" t="s">
        <v>16</v>
      </c>
      <c r="B993">
        <v>483784</v>
      </c>
      <c r="C993">
        <v>4</v>
      </c>
      <c r="D993">
        <v>40</v>
      </c>
      <c r="E993">
        <v>21</v>
      </c>
      <c r="F993">
        <v>20</v>
      </c>
      <c r="G993">
        <v>0</v>
      </c>
      <c r="H993">
        <v>25</v>
      </c>
      <c r="I993">
        <v>409</v>
      </c>
      <c r="J993">
        <v>0</v>
      </c>
      <c r="K993">
        <v>2.835</v>
      </c>
      <c r="L993">
        <v>6.7</v>
      </c>
      <c r="M993">
        <v>16.25</v>
      </c>
      <c r="N993">
        <v>13.9</v>
      </c>
      <c r="O993">
        <v>1669</v>
      </c>
      <c r="P993">
        <v>0</v>
      </c>
      <c r="Q993" s="5" t="e">
        <f>IF(AND(#REF!&gt;=table!$C$6,#REF!&lt;= table!$D$6),-1,IF(AND(#REF!&gt;=table!$E$6,#REF!&lt;=table!$F$6),1,0))</f>
        <v>#REF!</v>
      </c>
      <c r="R993" s="5" t="e">
        <f>IF(AND(#REF!&gt;=table!$C$7,#REF!&lt;= table!$D$7),-1,IF(AND(#REF!&gt;=table!$E$7,#REF!&lt;=table!$F$7),1,0))</f>
        <v>#REF!</v>
      </c>
      <c r="S993" s="5" t="e">
        <f>IF(AND(#REF!&gt;=table!$C$8,#REF!&lt;= table!$D$8),-1,IF(AND(#REF!&gt;=table!$E$8,#REF!&lt;=table!$F$8),1,0))</f>
        <v>#REF!</v>
      </c>
      <c r="T993" s="5"/>
      <c r="U993" s="5" t="e">
        <f>IF(AND(#REF!&gt;=table!$C$10,#REF!&lt;= table!$D$10),-1,IF(AND(#REF!&gt;=table!$E$10,#REF!&lt;=table!$F$10),1,0))</f>
        <v>#REF!</v>
      </c>
      <c r="V993" s="5" t="e">
        <f>IF(AND(#REF!&gt;=table!$C$11,#REF!&lt;= table!$D$11),-1,IF(AND(#REF!&gt;=table!$E$11,#REF!&lt;=table!$F$11),1,0))</f>
        <v>#REF!</v>
      </c>
      <c r="W993" s="5" t="e">
        <f>CONCATENATE(dados[[#This Row],[fator1]],dados[[#This Row],[fator5]],dados[[#This Row],[fator6]])</f>
        <v>#REF!</v>
      </c>
    </row>
    <row r="994" spans="1:23">
      <c r="A994" t="s">
        <v>16</v>
      </c>
      <c r="B994">
        <v>483785</v>
      </c>
      <c r="C994">
        <v>4</v>
      </c>
      <c r="D994">
        <v>40</v>
      </c>
      <c r="E994">
        <v>21</v>
      </c>
      <c r="F994">
        <v>20</v>
      </c>
      <c r="G994">
        <v>0</v>
      </c>
      <c r="H994">
        <v>25</v>
      </c>
      <c r="I994">
        <v>644</v>
      </c>
      <c r="J994">
        <v>0</v>
      </c>
      <c r="K994">
        <v>3.5950000000000002</v>
      </c>
      <c r="L994">
        <v>8.7000000000000011</v>
      </c>
      <c r="M994">
        <v>21.085000000000001</v>
      </c>
      <c r="N994">
        <v>15.835000000000001</v>
      </c>
      <c r="O994">
        <v>1641</v>
      </c>
      <c r="P994">
        <v>626</v>
      </c>
      <c r="Q994" s="5" t="e">
        <f>IF(AND(#REF!&gt;=table!$C$6,#REF!&lt;= table!$D$6),-1,IF(AND(#REF!&gt;=table!$E$6,#REF!&lt;=table!$F$6),1,0))</f>
        <v>#REF!</v>
      </c>
      <c r="R994" s="5" t="e">
        <f>IF(AND(#REF!&gt;=table!$C$7,#REF!&lt;= table!$D$7),-1,IF(AND(#REF!&gt;=table!$E$7,#REF!&lt;=table!$F$7),1,0))</f>
        <v>#REF!</v>
      </c>
      <c r="S994" s="5" t="e">
        <f>IF(AND(#REF!&gt;=table!$C$8,#REF!&lt;= table!$D$8),-1,IF(AND(#REF!&gt;=table!$E$8,#REF!&lt;=table!$F$8),1,0))</f>
        <v>#REF!</v>
      </c>
      <c r="T994" s="5"/>
      <c r="U994" s="5" t="e">
        <f>IF(AND(#REF!&gt;=table!$C$10,#REF!&lt;= table!$D$10),-1,IF(AND(#REF!&gt;=table!$E$10,#REF!&lt;=table!$F$10),1,0))</f>
        <v>#REF!</v>
      </c>
      <c r="V994" s="5" t="e">
        <f>IF(AND(#REF!&gt;=table!$C$11,#REF!&lt;= table!$D$11),-1,IF(AND(#REF!&gt;=table!$E$11,#REF!&lt;=table!$F$11),1,0))</f>
        <v>#REF!</v>
      </c>
      <c r="W994" s="5" t="e">
        <f>CONCATENATE(dados[[#This Row],[fator1]],dados[[#This Row],[fator5]],dados[[#This Row],[fator6]])</f>
        <v>#REF!</v>
      </c>
    </row>
    <row r="995" spans="1:23">
      <c r="A995" t="s">
        <v>16</v>
      </c>
      <c r="B995">
        <v>483786</v>
      </c>
      <c r="C995">
        <v>8</v>
      </c>
      <c r="D995">
        <v>40</v>
      </c>
      <c r="E995">
        <v>65</v>
      </c>
      <c r="F995">
        <v>8</v>
      </c>
      <c r="G995">
        <v>0</v>
      </c>
      <c r="H995">
        <v>25</v>
      </c>
      <c r="I995">
        <v>1053</v>
      </c>
      <c r="J995">
        <v>0</v>
      </c>
      <c r="K995">
        <v>4.1550000000000002</v>
      </c>
      <c r="L995">
        <v>7.4550000000000001</v>
      </c>
      <c r="M995">
        <v>57.72</v>
      </c>
      <c r="N995">
        <v>15.385000000000002</v>
      </c>
      <c r="O995">
        <v>1666</v>
      </c>
      <c r="P995">
        <v>948</v>
      </c>
      <c r="Q995" s="5" t="e">
        <f>IF(AND(#REF!&gt;=table!$C$6,#REF!&lt;= table!$D$6),-1,IF(AND(#REF!&gt;=table!$E$6,#REF!&lt;=table!$F$6),1,0))</f>
        <v>#REF!</v>
      </c>
      <c r="R995" s="5" t="e">
        <f>IF(AND(#REF!&gt;=table!$C$7,#REF!&lt;= table!$D$7),-1,IF(AND(#REF!&gt;=table!$E$7,#REF!&lt;=table!$F$7),1,0))</f>
        <v>#REF!</v>
      </c>
      <c r="S995" s="5" t="e">
        <f>IF(AND(#REF!&gt;=table!$C$8,#REF!&lt;= table!$D$8),-1,IF(AND(#REF!&gt;=table!$E$8,#REF!&lt;=table!$F$8),1,0))</f>
        <v>#REF!</v>
      </c>
      <c r="T995" s="5"/>
      <c r="U995" s="5" t="e">
        <f>IF(AND(#REF!&gt;=table!$C$10,#REF!&lt;= table!$D$10),-1,IF(AND(#REF!&gt;=table!$E$10,#REF!&lt;=table!$F$10),1,0))</f>
        <v>#REF!</v>
      </c>
      <c r="V995" s="5" t="e">
        <f>IF(AND(#REF!&gt;=table!$C$11,#REF!&lt;= table!$D$11),-1,IF(AND(#REF!&gt;=table!$E$11,#REF!&lt;=table!$F$11),1,0))</f>
        <v>#REF!</v>
      </c>
      <c r="W995" s="5" t="e">
        <f>CONCATENATE(dados[[#This Row],[fator1]],dados[[#This Row],[fator5]],dados[[#This Row],[fator6]])</f>
        <v>#REF!</v>
      </c>
    </row>
    <row r="996" spans="1:23">
      <c r="A996" t="s">
        <v>16</v>
      </c>
      <c r="B996">
        <v>483787</v>
      </c>
      <c r="C996">
        <v>8</v>
      </c>
      <c r="D996">
        <v>40</v>
      </c>
      <c r="E996">
        <v>65</v>
      </c>
      <c r="F996">
        <v>8</v>
      </c>
      <c r="G996">
        <v>0</v>
      </c>
      <c r="H996">
        <v>25</v>
      </c>
      <c r="I996">
        <v>563</v>
      </c>
      <c r="J996">
        <v>0</v>
      </c>
      <c r="K996">
        <v>3.3149999999999999</v>
      </c>
      <c r="L996">
        <v>10.72</v>
      </c>
      <c r="M996">
        <v>50.425000000000004</v>
      </c>
      <c r="N996">
        <v>20.505000000000003</v>
      </c>
      <c r="O996">
        <v>1676</v>
      </c>
      <c r="P996">
        <v>0</v>
      </c>
      <c r="Q996" s="5" t="e">
        <f>IF(AND(#REF!&gt;=table!$C$6,#REF!&lt;= table!$D$6),-1,IF(AND(#REF!&gt;=table!$E$6,#REF!&lt;=table!$F$6),1,0))</f>
        <v>#REF!</v>
      </c>
      <c r="R996" s="5" t="e">
        <f>IF(AND(#REF!&gt;=table!$C$7,#REF!&lt;= table!$D$7),-1,IF(AND(#REF!&gt;=table!$E$7,#REF!&lt;=table!$F$7),1,0))</f>
        <v>#REF!</v>
      </c>
      <c r="S996" s="5" t="e">
        <f>IF(AND(#REF!&gt;=table!$C$8,#REF!&lt;= table!$D$8),-1,IF(AND(#REF!&gt;=table!$E$8,#REF!&lt;=table!$F$8),1,0))</f>
        <v>#REF!</v>
      </c>
      <c r="T996" s="5"/>
      <c r="U996" s="5" t="e">
        <f>IF(AND(#REF!&gt;=table!$C$10,#REF!&lt;= table!$D$10),-1,IF(AND(#REF!&gt;=table!$E$10,#REF!&lt;=table!$F$10),1,0))</f>
        <v>#REF!</v>
      </c>
      <c r="V996" s="5" t="e">
        <f>IF(AND(#REF!&gt;=table!$C$11,#REF!&lt;= table!$D$11),-1,IF(AND(#REF!&gt;=table!$E$11,#REF!&lt;=table!$F$11),1,0))</f>
        <v>#REF!</v>
      </c>
      <c r="W996" s="5" t="e">
        <f>CONCATENATE(dados[[#This Row],[fator1]],dados[[#This Row],[fator5]],dados[[#This Row],[fator6]])</f>
        <v>#REF!</v>
      </c>
    </row>
    <row r="997" spans="1:23">
      <c r="A997" t="s">
        <v>16</v>
      </c>
      <c r="B997">
        <v>483794</v>
      </c>
      <c r="C997">
        <v>8</v>
      </c>
      <c r="D997">
        <v>30</v>
      </c>
      <c r="E997">
        <v>86</v>
      </c>
      <c r="F997">
        <v>8</v>
      </c>
      <c r="G997">
        <v>0</v>
      </c>
      <c r="H997">
        <v>25</v>
      </c>
      <c r="I997">
        <v>724</v>
      </c>
      <c r="J997">
        <v>0</v>
      </c>
      <c r="K997">
        <v>3.645</v>
      </c>
      <c r="L997">
        <v>13.25</v>
      </c>
      <c r="M997">
        <v>78.50500000000001</v>
      </c>
      <c r="N997">
        <v>20.405000000000001</v>
      </c>
      <c r="O997">
        <v>1680</v>
      </c>
      <c r="P997">
        <v>932</v>
      </c>
      <c r="Q997" s="5" t="e">
        <f>IF(AND(#REF!&gt;=table!$C$6,#REF!&lt;= table!$D$6),-1,IF(AND(#REF!&gt;=table!$E$6,#REF!&lt;=table!$F$6),1,0))</f>
        <v>#REF!</v>
      </c>
      <c r="R997" s="5" t="e">
        <f>IF(AND(#REF!&gt;=table!$C$7,#REF!&lt;= table!$D$7),-1,IF(AND(#REF!&gt;=table!$E$7,#REF!&lt;=table!$F$7),1,0))</f>
        <v>#REF!</v>
      </c>
      <c r="S997" s="5" t="e">
        <f>IF(AND(#REF!&gt;=table!$C$8,#REF!&lt;= table!$D$8),-1,IF(AND(#REF!&gt;=table!$E$8,#REF!&lt;=table!$F$8),1,0))</f>
        <v>#REF!</v>
      </c>
      <c r="T997" s="5"/>
      <c r="U997" s="5" t="e">
        <f>IF(AND(#REF!&gt;=table!$C$10,#REF!&lt;= table!$D$10),-1,IF(AND(#REF!&gt;=table!$E$10,#REF!&lt;=table!$F$10),1,0))</f>
        <v>#REF!</v>
      </c>
      <c r="V997" s="5" t="e">
        <f>IF(AND(#REF!&gt;=table!$C$11,#REF!&lt;= table!$D$11),-1,IF(AND(#REF!&gt;=table!$E$11,#REF!&lt;=table!$F$11),1,0))</f>
        <v>#REF!</v>
      </c>
      <c r="W997" s="5" t="e">
        <f>CONCATENATE(dados[[#This Row],[fator1]],dados[[#This Row],[fator5]],dados[[#This Row],[fator6]])</f>
        <v>#REF!</v>
      </c>
    </row>
    <row r="998" spans="1:23">
      <c r="A998" t="s">
        <v>16</v>
      </c>
      <c r="B998">
        <v>483796</v>
      </c>
      <c r="C998">
        <v>0.15</v>
      </c>
      <c r="D998">
        <v>40</v>
      </c>
      <c r="E998">
        <v>64</v>
      </c>
      <c r="F998">
        <v>10</v>
      </c>
      <c r="G998">
        <v>0</v>
      </c>
      <c r="H998">
        <v>35</v>
      </c>
      <c r="I998">
        <v>852</v>
      </c>
      <c r="J998">
        <v>0</v>
      </c>
      <c r="K998">
        <v>5.53</v>
      </c>
      <c r="L998">
        <v>15.995000000000001</v>
      </c>
      <c r="M998">
        <v>13.535</v>
      </c>
      <c r="N998">
        <v>20.765000000000001</v>
      </c>
      <c r="O998">
        <v>1682</v>
      </c>
      <c r="P998">
        <v>0</v>
      </c>
      <c r="Q998" s="5" t="e">
        <f>IF(AND(#REF!&gt;=table!$C$6,#REF!&lt;= table!$D$6),-1,IF(AND(#REF!&gt;=table!$E$6,#REF!&lt;=table!$F$6),1,0))</f>
        <v>#REF!</v>
      </c>
      <c r="R998" s="5" t="e">
        <f>IF(AND(#REF!&gt;=table!$C$7,#REF!&lt;= table!$D$7),-1,IF(AND(#REF!&gt;=table!$E$7,#REF!&lt;=table!$F$7),1,0))</f>
        <v>#REF!</v>
      </c>
      <c r="S998" s="5" t="e">
        <f>IF(AND(#REF!&gt;=table!$C$8,#REF!&lt;= table!$D$8),-1,IF(AND(#REF!&gt;=table!$E$8,#REF!&lt;=table!$F$8),1,0))</f>
        <v>#REF!</v>
      </c>
      <c r="T998" s="5"/>
      <c r="U998" s="5" t="e">
        <f>IF(AND(#REF!&gt;=table!$C$10,#REF!&lt;= table!$D$10),-1,IF(AND(#REF!&gt;=table!$E$10,#REF!&lt;=table!$F$10),1,0))</f>
        <v>#REF!</v>
      </c>
      <c r="V998" s="5" t="e">
        <f>IF(AND(#REF!&gt;=table!$C$11,#REF!&lt;= table!$D$11),-1,IF(AND(#REF!&gt;=table!$E$11,#REF!&lt;=table!$F$11),1,0))</f>
        <v>#REF!</v>
      </c>
      <c r="W998" s="5" t="e">
        <f>CONCATENATE(dados[[#This Row],[fator1]],dados[[#This Row],[fator5]],dados[[#This Row],[fator6]])</f>
        <v>#REF!</v>
      </c>
    </row>
    <row r="999" spans="1:23">
      <c r="A999" t="s">
        <v>16</v>
      </c>
      <c r="B999">
        <v>483807</v>
      </c>
      <c r="C999">
        <v>8</v>
      </c>
      <c r="D999">
        <v>40</v>
      </c>
      <c r="E999">
        <v>86</v>
      </c>
      <c r="F999">
        <v>8</v>
      </c>
      <c r="G999">
        <v>0</v>
      </c>
      <c r="H999">
        <v>25</v>
      </c>
      <c r="I999">
        <v>4</v>
      </c>
      <c r="J999">
        <v>0</v>
      </c>
      <c r="K999">
        <v>8.17</v>
      </c>
      <c r="L999">
        <v>12.995000000000001</v>
      </c>
      <c r="M999">
        <v>79.760000000000005</v>
      </c>
      <c r="N999">
        <v>17.355</v>
      </c>
      <c r="O999">
        <v>1664</v>
      </c>
      <c r="P999">
        <v>360</v>
      </c>
      <c r="Q999" s="5" t="e">
        <f>IF(AND(#REF!&gt;=table!$C$6,#REF!&lt;= table!$D$6),-1,IF(AND(#REF!&gt;=table!$E$6,#REF!&lt;=table!$F$6),1,0))</f>
        <v>#REF!</v>
      </c>
      <c r="R999" s="5" t="e">
        <f>IF(AND(#REF!&gt;=table!$C$7,#REF!&lt;= table!$D$7),-1,IF(AND(#REF!&gt;=table!$E$7,#REF!&lt;=table!$F$7),1,0))</f>
        <v>#REF!</v>
      </c>
      <c r="S999" s="5" t="e">
        <f>IF(AND(#REF!&gt;=table!$C$8,#REF!&lt;= table!$D$8),-1,IF(AND(#REF!&gt;=table!$E$8,#REF!&lt;=table!$F$8),1,0))</f>
        <v>#REF!</v>
      </c>
      <c r="T999" s="5"/>
      <c r="U999" s="5" t="e">
        <f>IF(AND(#REF!&gt;=table!$C$10,#REF!&lt;= table!$D$10),-1,IF(AND(#REF!&gt;=table!$E$10,#REF!&lt;=table!$F$10),1,0))</f>
        <v>#REF!</v>
      </c>
      <c r="V999" s="5" t="e">
        <f>IF(AND(#REF!&gt;=table!$C$11,#REF!&lt;= table!$D$11),-1,IF(AND(#REF!&gt;=table!$E$11,#REF!&lt;=table!$F$11),1,0))</f>
        <v>#REF!</v>
      </c>
      <c r="W999" s="5" t="e">
        <f>CONCATENATE(dados[[#This Row],[fator1]],dados[[#This Row],[fator5]],dados[[#This Row],[fator6]])</f>
        <v>#REF!</v>
      </c>
    </row>
    <row r="1000" spans="1:23">
      <c r="A1000" t="s">
        <v>16</v>
      </c>
      <c r="B1000">
        <v>483808</v>
      </c>
      <c r="C1000">
        <v>8</v>
      </c>
      <c r="D1000">
        <v>30</v>
      </c>
      <c r="E1000">
        <v>86</v>
      </c>
      <c r="F1000">
        <v>8</v>
      </c>
      <c r="G1000">
        <v>0</v>
      </c>
      <c r="H1000">
        <v>25</v>
      </c>
      <c r="I1000">
        <v>883</v>
      </c>
      <c r="J1000">
        <v>0</v>
      </c>
      <c r="K1000">
        <v>3.0300000000000002</v>
      </c>
      <c r="L1000">
        <v>9.26</v>
      </c>
      <c r="M1000">
        <v>79.006700000000009</v>
      </c>
      <c r="N1000">
        <v>14.595000000000001</v>
      </c>
      <c r="O1000">
        <v>1693</v>
      </c>
      <c r="P1000">
        <v>1188</v>
      </c>
      <c r="Q1000" s="5" t="e">
        <f>IF(AND(#REF!&gt;=table!$C$6,#REF!&lt;= table!$D$6),-1,IF(AND(#REF!&gt;=table!$E$6,#REF!&lt;=table!$F$6),1,0))</f>
        <v>#REF!</v>
      </c>
      <c r="R1000" s="5" t="e">
        <f>IF(AND(#REF!&gt;=table!$C$7,#REF!&lt;= table!$D$7),-1,IF(AND(#REF!&gt;=table!$E$7,#REF!&lt;=table!$F$7),1,0))</f>
        <v>#REF!</v>
      </c>
      <c r="S1000" s="5" t="e">
        <f>IF(AND(#REF!&gt;=table!$C$8,#REF!&lt;= table!$D$8),-1,IF(AND(#REF!&gt;=table!$E$8,#REF!&lt;=table!$F$8),1,0))</f>
        <v>#REF!</v>
      </c>
      <c r="T1000" s="5"/>
      <c r="U1000" s="5" t="e">
        <f>IF(AND(#REF!&gt;=table!$C$10,#REF!&lt;= table!$D$10),-1,IF(AND(#REF!&gt;=table!$E$10,#REF!&lt;=table!$F$10),1,0))</f>
        <v>#REF!</v>
      </c>
      <c r="V1000" s="5" t="e">
        <f>IF(AND(#REF!&gt;=table!$C$11,#REF!&lt;= table!$D$11),-1,IF(AND(#REF!&gt;=table!$E$11,#REF!&lt;=table!$F$11),1,0))</f>
        <v>#REF!</v>
      </c>
      <c r="W1000" s="5" t="e">
        <f>CONCATENATE(dados[[#This Row],[fator1]],dados[[#This Row],[fator5]],dados[[#This Row],[fator6]])</f>
        <v>#REF!</v>
      </c>
    </row>
    <row r="1001" spans="1:23">
      <c r="A1001" t="s">
        <v>16</v>
      </c>
      <c r="B1001">
        <v>483809</v>
      </c>
      <c r="C1001">
        <v>8</v>
      </c>
      <c r="D1001">
        <v>40</v>
      </c>
      <c r="E1001">
        <v>86</v>
      </c>
      <c r="F1001">
        <v>9</v>
      </c>
      <c r="G1001">
        <v>0</v>
      </c>
      <c r="H1001">
        <v>25</v>
      </c>
      <c r="I1001">
        <v>767</v>
      </c>
      <c r="J1001">
        <v>0</v>
      </c>
      <c r="K1001">
        <v>4.4649999999999999</v>
      </c>
      <c r="L1001">
        <v>10.78</v>
      </c>
      <c r="M1001">
        <v>70.05</v>
      </c>
      <c r="N1001">
        <v>14.74</v>
      </c>
      <c r="O1001">
        <v>1675</v>
      </c>
      <c r="P1001">
        <v>0</v>
      </c>
      <c r="Q1001" s="5" t="e">
        <f>IF(AND(#REF!&gt;=table!$C$6,#REF!&lt;= table!$D$6),-1,IF(AND(#REF!&gt;=table!$E$6,#REF!&lt;=table!$F$6),1,0))</f>
        <v>#REF!</v>
      </c>
      <c r="R1001" s="5" t="e">
        <f>IF(AND(#REF!&gt;=table!$C$7,#REF!&lt;= table!$D$7),-1,IF(AND(#REF!&gt;=table!$E$7,#REF!&lt;=table!$F$7),1,0))</f>
        <v>#REF!</v>
      </c>
      <c r="S1001" s="5" t="e">
        <f>IF(AND(#REF!&gt;=table!$C$8,#REF!&lt;= table!$D$8),-1,IF(AND(#REF!&gt;=table!$E$8,#REF!&lt;=table!$F$8),1,0))</f>
        <v>#REF!</v>
      </c>
      <c r="T1001" s="5"/>
      <c r="U1001" s="5" t="e">
        <f>IF(AND(#REF!&gt;=table!$C$10,#REF!&lt;= table!$D$10),-1,IF(AND(#REF!&gt;=table!$E$10,#REF!&lt;=table!$F$10),1,0))</f>
        <v>#REF!</v>
      </c>
      <c r="V1001" s="5" t="e">
        <f>IF(AND(#REF!&gt;=table!$C$11,#REF!&lt;= table!$D$11),-1,IF(AND(#REF!&gt;=table!$E$11,#REF!&lt;=table!$F$11),1,0))</f>
        <v>#REF!</v>
      </c>
      <c r="W1001" s="5" t="e">
        <f>CONCATENATE(dados[[#This Row],[fator1]],dados[[#This Row],[fator5]],dados[[#This Row],[fator6]])</f>
        <v>#REF!</v>
      </c>
    </row>
    <row r="1002" spans="1:23">
      <c r="A1002" t="s">
        <v>16</v>
      </c>
      <c r="B1002">
        <v>483811</v>
      </c>
      <c r="C1002">
        <v>10</v>
      </c>
      <c r="D1002">
        <v>40</v>
      </c>
      <c r="E1002">
        <v>96</v>
      </c>
      <c r="F1002">
        <v>8</v>
      </c>
      <c r="G1002">
        <v>0</v>
      </c>
      <c r="H1002">
        <v>25</v>
      </c>
      <c r="I1002">
        <v>1063</v>
      </c>
      <c r="J1002">
        <v>80</v>
      </c>
      <c r="K1002">
        <v>3.73</v>
      </c>
      <c r="L1002">
        <v>10.130000000000001</v>
      </c>
      <c r="M1002">
        <v>85.445000000000007</v>
      </c>
      <c r="N1002">
        <v>15.405000000000001</v>
      </c>
      <c r="O1002">
        <v>1678</v>
      </c>
      <c r="P1002">
        <v>0</v>
      </c>
      <c r="Q1002" s="5" t="e">
        <f>IF(AND(#REF!&gt;=table!$C$6,#REF!&lt;= table!$D$6),-1,IF(AND(#REF!&gt;=table!$E$6,#REF!&lt;=table!$F$6),1,0))</f>
        <v>#REF!</v>
      </c>
      <c r="R1002" s="5" t="e">
        <f>IF(AND(#REF!&gt;=table!$C$7,#REF!&lt;= table!$D$7),-1,IF(AND(#REF!&gt;=table!$E$7,#REF!&lt;=table!$F$7),1,0))</f>
        <v>#REF!</v>
      </c>
      <c r="S1002" s="5" t="e">
        <f>IF(AND(#REF!&gt;=table!$C$8,#REF!&lt;= table!$D$8),-1,IF(AND(#REF!&gt;=table!$E$8,#REF!&lt;=table!$F$8),1,0))</f>
        <v>#REF!</v>
      </c>
      <c r="T1002" s="5"/>
      <c r="U1002" s="5" t="e">
        <f>IF(AND(#REF!&gt;=table!$C$10,#REF!&lt;= table!$D$10),-1,IF(AND(#REF!&gt;=table!$E$10,#REF!&lt;=table!$F$10),1,0))</f>
        <v>#REF!</v>
      </c>
      <c r="V1002" s="5" t="e">
        <f>IF(AND(#REF!&gt;=table!$C$11,#REF!&lt;= table!$D$11),-1,IF(AND(#REF!&gt;=table!$E$11,#REF!&lt;=table!$F$11),1,0))</f>
        <v>#REF!</v>
      </c>
      <c r="W1002" s="5" t="e">
        <f>CONCATENATE(dados[[#This Row],[fator1]],dados[[#This Row],[fator5]],dados[[#This Row],[fator6]])</f>
        <v>#REF!</v>
      </c>
    </row>
    <row r="1003" spans="1:23">
      <c r="A1003" t="s">
        <v>17</v>
      </c>
      <c r="B1003">
        <v>483812</v>
      </c>
      <c r="C1003">
        <v>16</v>
      </c>
      <c r="D1003">
        <v>30</v>
      </c>
      <c r="E1003">
        <v>150</v>
      </c>
      <c r="F1003">
        <v>8</v>
      </c>
      <c r="G1003">
        <v>28</v>
      </c>
      <c r="H1003">
        <v>25</v>
      </c>
      <c r="I1003">
        <v>416</v>
      </c>
      <c r="J1003">
        <v>0</v>
      </c>
      <c r="K1003">
        <v>3.6350000000000002</v>
      </c>
      <c r="L1003">
        <v>8.0299999999999994</v>
      </c>
      <c r="M1003">
        <v>137.005</v>
      </c>
      <c r="N1003">
        <v>11.67</v>
      </c>
      <c r="O1003">
        <v>1644</v>
      </c>
      <c r="P1003">
        <v>736</v>
      </c>
      <c r="Q1003" s="5" t="e">
        <f>IF(AND(#REF!&gt;=table!$C$6,#REF!&lt;= table!$D$6),-1,IF(AND(#REF!&gt;=table!$E$6,#REF!&lt;=table!$F$6),1,0))</f>
        <v>#REF!</v>
      </c>
      <c r="R1003" s="5" t="e">
        <f>IF(AND(#REF!&gt;=table!$C$7,#REF!&lt;= table!$D$7),-1,IF(AND(#REF!&gt;=table!$E$7,#REF!&lt;=table!$F$7),1,0))</f>
        <v>#REF!</v>
      </c>
      <c r="S1003" s="5" t="e">
        <f>IF(AND(#REF!&gt;=table!$C$8,#REF!&lt;= table!$D$8),-1,IF(AND(#REF!&gt;=table!$E$8,#REF!&lt;=table!$F$8),1,0))</f>
        <v>#REF!</v>
      </c>
      <c r="T1003" s="5"/>
      <c r="U1003" s="5" t="e">
        <f>IF(AND(#REF!&gt;=table!$C$10,#REF!&lt;= table!$D$10),-1,IF(AND(#REF!&gt;=table!$E$10,#REF!&lt;=table!$F$10),1,0))</f>
        <v>#REF!</v>
      </c>
      <c r="V1003" s="5" t="e">
        <f>IF(AND(#REF!&gt;=table!$C$11,#REF!&lt;= table!$D$11),-1,IF(AND(#REF!&gt;=table!$E$11,#REF!&lt;=table!$F$11),1,0))</f>
        <v>#REF!</v>
      </c>
      <c r="W1003" s="5" t="e">
        <f>CONCATENATE(dados[[#This Row],[fator1]],dados[[#This Row],[fator5]],dados[[#This Row],[fator6]])</f>
        <v>#REF!</v>
      </c>
    </row>
    <row r="1004" spans="1:23">
      <c r="A1004" t="s">
        <v>17</v>
      </c>
      <c r="B1004">
        <v>483825</v>
      </c>
      <c r="C1004">
        <v>16</v>
      </c>
      <c r="D1004">
        <v>23</v>
      </c>
      <c r="E1004">
        <v>145</v>
      </c>
      <c r="F1004">
        <v>9</v>
      </c>
      <c r="G1004">
        <v>30</v>
      </c>
      <c r="H1004">
        <v>25</v>
      </c>
      <c r="I1004">
        <v>594</v>
      </c>
      <c r="J1004">
        <v>0</v>
      </c>
      <c r="K1004">
        <v>7.085</v>
      </c>
      <c r="L1004">
        <v>9.75</v>
      </c>
      <c r="M1004">
        <v>125.515</v>
      </c>
      <c r="N1004">
        <v>10.94</v>
      </c>
      <c r="O1004">
        <v>1657</v>
      </c>
      <c r="P1004">
        <v>437</v>
      </c>
      <c r="Q1004" s="5" t="e">
        <f>IF(AND(#REF!&gt;=table!$C$6,#REF!&lt;= table!$D$6),-1,IF(AND(#REF!&gt;=table!$E$6,#REF!&lt;=table!$F$6),1,0))</f>
        <v>#REF!</v>
      </c>
      <c r="R1004" s="5" t="e">
        <f>IF(AND(#REF!&gt;=table!$C$7,#REF!&lt;= table!$D$7),-1,IF(AND(#REF!&gt;=table!$E$7,#REF!&lt;=table!$F$7),1,0))</f>
        <v>#REF!</v>
      </c>
      <c r="S1004" s="5" t="e">
        <f>IF(AND(#REF!&gt;=table!$C$8,#REF!&lt;= table!$D$8),-1,IF(AND(#REF!&gt;=table!$E$8,#REF!&lt;=table!$F$8),1,0))</f>
        <v>#REF!</v>
      </c>
      <c r="T1004" s="5"/>
      <c r="U1004" s="5" t="e">
        <f>IF(AND(#REF!&gt;=table!$C$10,#REF!&lt;= table!$D$10),-1,IF(AND(#REF!&gt;=table!$E$10,#REF!&lt;=table!$F$10),1,0))</f>
        <v>#REF!</v>
      </c>
      <c r="V1004" s="5" t="e">
        <f>IF(AND(#REF!&gt;=table!$C$11,#REF!&lt;= table!$D$11),-1,IF(AND(#REF!&gt;=table!$E$11,#REF!&lt;=table!$F$11),1,0))</f>
        <v>#REF!</v>
      </c>
      <c r="W1004" s="5" t="e">
        <f>CONCATENATE(dados[[#This Row],[fator1]],dados[[#This Row],[fator5]],dados[[#This Row],[fator6]])</f>
        <v>#REF!</v>
      </c>
    </row>
    <row r="1005" spans="1:23">
      <c r="A1005" t="s">
        <v>16</v>
      </c>
      <c r="B1005">
        <v>483833</v>
      </c>
      <c r="C1005">
        <v>0.15</v>
      </c>
      <c r="D1005">
        <v>40</v>
      </c>
      <c r="E1005">
        <v>10</v>
      </c>
      <c r="F1005">
        <v>15</v>
      </c>
      <c r="G1005">
        <v>0</v>
      </c>
      <c r="H1005">
        <v>15</v>
      </c>
      <c r="I1005">
        <v>1064</v>
      </c>
      <c r="J1005">
        <v>0</v>
      </c>
      <c r="K1005">
        <v>4.93</v>
      </c>
      <c r="L1005">
        <v>8.36</v>
      </c>
      <c r="M1005">
        <v>8.1050000000000004</v>
      </c>
      <c r="N1005">
        <v>10.105</v>
      </c>
      <c r="O1005">
        <v>1676</v>
      </c>
      <c r="P1005">
        <v>0</v>
      </c>
      <c r="Q1005" s="5" t="e">
        <f>IF(AND(#REF!&gt;=table!$C$6,#REF!&lt;= table!$D$6),-1,IF(AND(#REF!&gt;=table!$E$6,#REF!&lt;=table!$F$6),1,0))</f>
        <v>#REF!</v>
      </c>
      <c r="R1005" s="5" t="e">
        <f>IF(AND(#REF!&gt;=table!$C$7,#REF!&lt;= table!$D$7),-1,IF(AND(#REF!&gt;=table!$E$7,#REF!&lt;=table!$F$7),1,0))</f>
        <v>#REF!</v>
      </c>
      <c r="S1005" s="5" t="e">
        <f>IF(AND(#REF!&gt;=table!$C$8,#REF!&lt;= table!$D$8),-1,IF(AND(#REF!&gt;=table!$E$8,#REF!&lt;=table!$F$8),1,0))</f>
        <v>#REF!</v>
      </c>
      <c r="T1005" s="5"/>
      <c r="U1005" s="5" t="e">
        <f>IF(AND(#REF!&gt;=table!$C$10,#REF!&lt;= table!$D$10),-1,IF(AND(#REF!&gt;=table!$E$10,#REF!&lt;=table!$F$10),1,0))</f>
        <v>#REF!</v>
      </c>
      <c r="V1005" s="5" t="e">
        <f>IF(AND(#REF!&gt;=table!$C$11,#REF!&lt;= table!$D$11),-1,IF(AND(#REF!&gt;=table!$E$11,#REF!&lt;=table!$F$11),1,0))</f>
        <v>#REF!</v>
      </c>
      <c r="W1005" s="5" t="e">
        <f>CONCATENATE(dados[[#This Row],[fator1]],dados[[#This Row],[fator5]],dados[[#This Row],[fator6]])</f>
        <v>#REF!</v>
      </c>
    </row>
    <row r="1006" spans="1:23">
      <c r="A1006" t="s">
        <v>16</v>
      </c>
      <c r="B1006">
        <v>483834</v>
      </c>
      <c r="C1006">
        <v>0.15</v>
      </c>
      <c r="D1006">
        <v>40</v>
      </c>
      <c r="E1006">
        <v>10</v>
      </c>
      <c r="F1006">
        <v>15</v>
      </c>
      <c r="G1006">
        <v>0</v>
      </c>
      <c r="H1006">
        <v>15</v>
      </c>
      <c r="I1006">
        <v>875</v>
      </c>
      <c r="J1006">
        <v>0</v>
      </c>
      <c r="K1006">
        <v>9.68</v>
      </c>
      <c r="L1006">
        <v>8.35</v>
      </c>
      <c r="M1006">
        <v>8.36</v>
      </c>
      <c r="N1006">
        <v>8.06</v>
      </c>
      <c r="O1006">
        <v>1663</v>
      </c>
      <c r="P1006">
        <v>362</v>
      </c>
      <c r="Q1006" s="5" t="e">
        <f>IF(AND(#REF!&gt;=table!$C$6,#REF!&lt;= table!$D$6),-1,IF(AND(#REF!&gt;=table!$E$6,#REF!&lt;=table!$F$6),1,0))</f>
        <v>#REF!</v>
      </c>
      <c r="R1006" s="5" t="e">
        <f>IF(AND(#REF!&gt;=table!$C$7,#REF!&lt;= table!$D$7),-1,IF(AND(#REF!&gt;=table!$E$7,#REF!&lt;=table!$F$7),1,0))</f>
        <v>#REF!</v>
      </c>
      <c r="S1006" s="5" t="e">
        <f>IF(AND(#REF!&gt;=table!$C$8,#REF!&lt;= table!$D$8),-1,IF(AND(#REF!&gt;=table!$E$8,#REF!&lt;=table!$F$8),1,0))</f>
        <v>#REF!</v>
      </c>
      <c r="T1006" s="5"/>
      <c r="U1006" s="5" t="e">
        <f>IF(AND(#REF!&gt;=table!$C$10,#REF!&lt;= table!$D$10),-1,IF(AND(#REF!&gt;=table!$E$10,#REF!&lt;=table!$F$10),1,0))</f>
        <v>#REF!</v>
      </c>
      <c r="V1006" s="5" t="e">
        <f>IF(AND(#REF!&gt;=table!$C$11,#REF!&lt;= table!$D$11),-1,IF(AND(#REF!&gt;=table!$E$11,#REF!&lt;=table!$F$11),1,0))</f>
        <v>#REF!</v>
      </c>
      <c r="W1006" s="5" t="e">
        <f>CONCATENATE(dados[[#This Row],[fator1]],dados[[#This Row],[fator5]],dados[[#This Row],[fator6]])</f>
        <v>#REF!</v>
      </c>
    </row>
    <row r="1007" spans="1:23">
      <c r="A1007" t="s">
        <v>16</v>
      </c>
      <c r="B1007">
        <v>483837</v>
      </c>
      <c r="C1007">
        <v>12</v>
      </c>
      <c r="D1007">
        <v>35</v>
      </c>
      <c r="E1007">
        <v>86</v>
      </c>
      <c r="F1007">
        <v>8</v>
      </c>
      <c r="G1007">
        <v>0</v>
      </c>
      <c r="H1007">
        <v>25</v>
      </c>
      <c r="I1007">
        <v>770</v>
      </c>
      <c r="J1007">
        <v>0</v>
      </c>
      <c r="K1007">
        <v>3.35</v>
      </c>
      <c r="L1007">
        <v>10.225</v>
      </c>
      <c r="M1007">
        <v>80.53</v>
      </c>
      <c r="N1007">
        <v>14.84</v>
      </c>
      <c r="O1007">
        <v>1682</v>
      </c>
      <c r="P1007">
        <v>1107</v>
      </c>
      <c r="Q1007" s="5" t="e">
        <f>IF(AND(#REF!&gt;=table!$C$6,#REF!&lt;= table!$D$6),-1,IF(AND(#REF!&gt;=table!$E$6,#REF!&lt;=table!$F$6),1,0))</f>
        <v>#REF!</v>
      </c>
      <c r="R1007" s="5" t="e">
        <f>IF(AND(#REF!&gt;=table!$C$7,#REF!&lt;= table!$D$7),-1,IF(AND(#REF!&gt;=table!$E$7,#REF!&lt;=table!$F$7),1,0))</f>
        <v>#REF!</v>
      </c>
      <c r="S1007" s="5" t="e">
        <f>IF(AND(#REF!&gt;=table!$C$8,#REF!&lt;= table!$D$8),-1,IF(AND(#REF!&gt;=table!$E$8,#REF!&lt;=table!$F$8),1,0))</f>
        <v>#REF!</v>
      </c>
      <c r="T1007" s="5"/>
      <c r="U1007" s="5" t="e">
        <f>IF(AND(#REF!&gt;=table!$C$10,#REF!&lt;= table!$D$10),-1,IF(AND(#REF!&gt;=table!$E$10,#REF!&lt;=table!$F$10),1,0))</f>
        <v>#REF!</v>
      </c>
      <c r="V1007" s="5" t="e">
        <f>IF(AND(#REF!&gt;=table!$C$11,#REF!&lt;= table!$D$11),-1,IF(AND(#REF!&gt;=table!$E$11,#REF!&lt;=table!$F$11),1,0))</f>
        <v>#REF!</v>
      </c>
      <c r="W1007" s="5" t="e">
        <f>CONCATENATE(dados[[#This Row],[fator1]],dados[[#This Row],[fator5]],dados[[#This Row],[fator6]])</f>
        <v>#REF!</v>
      </c>
    </row>
    <row r="1008" spans="1:23">
      <c r="A1008" t="s">
        <v>16</v>
      </c>
      <c r="B1008">
        <v>483838</v>
      </c>
      <c r="C1008">
        <v>12</v>
      </c>
      <c r="D1008">
        <v>35</v>
      </c>
      <c r="E1008">
        <v>86</v>
      </c>
      <c r="F1008">
        <v>10</v>
      </c>
      <c r="G1008">
        <v>0</v>
      </c>
      <c r="H1008">
        <v>25</v>
      </c>
      <c r="I1008">
        <v>53</v>
      </c>
      <c r="J1008">
        <v>0</v>
      </c>
      <c r="K1008">
        <v>10.38</v>
      </c>
      <c r="L1008">
        <v>16.18</v>
      </c>
      <c r="M1008">
        <v>74.510000000000005</v>
      </c>
      <c r="N1008">
        <v>17.385000000000002</v>
      </c>
      <c r="O1008">
        <v>1636</v>
      </c>
      <c r="P1008">
        <v>316</v>
      </c>
      <c r="Q1008" s="5" t="e">
        <f>IF(AND(#REF!&gt;=table!$C$6,#REF!&lt;= table!$D$6),-1,IF(AND(#REF!&gt;=table!$E$6,#REF!&lt;=table!$F$6),1,0))</f>
        <v>#REF!</v>
      </c>
      <c r="R1008" s="5" t="e">
        <f>IF(AND(#REF!&gt;=table!$C$7,#REF!&lt;= table!$D$7),-1,IF(AND(#REF!&gt;=table!$E$7,#REF!&lt;=table!$F$7),1,0))</f>
        <v>#REF!</v>
      </c>
      <c r="S1008" s="5" t="e">
        <f>IF(AND(#REF!&gt;=table!$C$8,#REF!&lt;= table!$D$8),-1,IF(AND(#REF!&gt;=table!$E$8,#REF!&lt;=table!$F$8),1,0))</f>
        <v>#REF!</v>
      </c>
      <c r="T1008" s="5"/>
      <c r="U1008" s="5" t="e">
        <f>IF(AND(#REF!&gt;=table!$C$10,#REF!&lt;= table!$D$10),-1,IF(AND(#REF!&gt;=table!$E$10,#REF!&lt;=table!$F$10),1,0))</f>
        <v>#REF!</v>
      </c>
      <c r="V1008" s="5" t="e">
        <f>IF(AND(#REF!&gt;=table!$C$11,#REF!&lt;= table!$D$11),-1,IF(AND(#REF!&gt;=table!$E$11,#REF!&lt;=table!$F$11),1,0))</f>
        <v>#REF!</v>
      </c>
      <c r="W1008" s="5" t="e">
        <f>CONCATENATE(dados[[#This Row],[fator1]],dados[[#This Row],[fator5]],dados[[#This Row],[fator6]])</f>
        <v>#REF!</v>
      </c>
    </row>
    <row r="1009" spans="1:23">
      <c r="A1009" t="s">
        <v>16</v>
      </c>
      <c r="B1009">
        <v>483840</v>
      </c>
      <c r="C1009">
        <v>12</v>
      </c>
      <c r="D1009">
        <v>35</v>
      </c>
      <c r="E1009">
        <v>86</v>
      </c>
      <c r="F1009">
        <v>10</v>
      </c>
      <c r="G1009">
        <v>0</v>
      </c>
      <c r="H1009">
        <v>25</v>
      </c>
      <c r="I1009">
        <v>291</v>
      </c>
      <c r="J1009">
        <v>0</v>
      </c>
      <c r="K1009">
        <v>7.0350000000000001</v>
      </c>
      <c r="L1009">
        <v>14.8</v>
      </c>
      <c r="M1009">
        <v>80.13</v>
      </c>
      <c r="N1009">
        <v>17.73</v>
      </c>
      <c r="O1009">
        <v>1679</v>
      </c>
      <c r="P1009">
        <v>425</v>
      </c>
      <c r="Q1009" s="5" t="e">
        <f>IF(AND(#REF!&gt;=table!$C$6,#REF!&lt;= table!$D$6),-1,IF(AND(#REF!&gt;=table!$E$6,#REF!&lt;=table!$F$6),1,0))</f>
        <v>#REF!</v>
      </c>
      <c r="R1009" s="5" t="e">
        <f>IF(AND(#REF!&gt;=table!$C$7,#REF!&lt;= table!$D$7),-1,IF(AND(#REF!&gt;=table!$E$7,#REF!&lt;=table!$F$7),1,0))</f>
        <v>#REF!</v>
      </c>
      <c r="S1009" s="5" t="e">
        <f>IF(AND(#REF!&gt;=table!$C$8,#REF!&lt;= table!$D$8),-1,IF(AND(#REF!&gt;=table!$E$8,#REF!&lt;=table!$F$8),1,0))</f>
        <v>#REF!</v>
      </c>
      <c r="T1009" s="5"/>
      <c r="U1009" s="5" t="e">
        <f>IF(AND(#REF!&gt;=table!$C$10,#REF!&lt;= table!$D$10),-1,IF(AND(#REF!&gt;=table!$E$10,#REF!&lt;=table!$F$10),1,0))</f>
        <v>#REF!</v>
      </c>
      <c r="V1009" s="5" t="e">
        <f>IF(AND(#REF!&gt;=table!$C$11,#REF!&lt;= table!$D$11),-1,IF(AND(#REF!&gt;=table!$E$11,#REF!&lt;=table!$F$11),1,0))</f>
        <v>#REF!</v>
      </c>
      <c r="W1009" s="5" t="e">
        <f>CONCATENATE(dados[[#This Row],[fator1]],dados[[#This Row],[fator5]],dados[[#This Row],[fator6]])</f>
        <v>#REF!</v>
      </c>
    </row>
    <row r="1010" spans="1:23">
      <c r="A1010" t="s">
        <v>16</v>
      </c>
      <c r="B1010">
        <v>483843</v>
      </c>
      <c r="C1010">
        <v>12</v>
      </c>
      <c r="D1010">
        <v>27</v>
      </c>
      <c r="E1010">
        <v>36</v>
      </c>
      <c r="F1010">
        <v>8</v>
      </c>
      <c r="G1010">
        <v>0</v>
      </c>
      <c r="H1010">
        <v>25</v>
      </c>
      <c r="I1010">
        <v>687</v>
      </c>
      <c r="J1010">
        <v>0</v>
      </c>
      <c r="K1010">
        <v>17.54</v>
      </c>
      <c r="L1010">
        <v>10.755000000000001</v>
      </c>
      <c r="M1010">
        <v>29.705000000000002</v>
      </c>
      <c r="N1010">
        <v>9.6150000000000002</v>
      </c>
      <c r="O1010">
        <v>1667</v>
      </c>
      <c r="P1010">
        <v>316</v>
      </c>
      <c r="Q1010" s="5" t="e">
        <f>IF(AND(#REF!&gt;=table!$C$6,#REF!&lt;= table!$D$6),-1,IF(AND(#REF!&gt;=table!$E$6,#REF!&lt;=table!$F$6),1,0))</f>
        <v>#REF!</v>
      </c>
      <c r="R1010" s="5" t="e">
        <f>IF(AND(#REF!&gt;=table!$C$7,#REF!&lt;= table!$D$7),-1,IF(AND(#REF!&gt;=table!$E$7,#REF!&lt;=table!$F$7),1,0))</f>
        <v>#REF!</v>
      </c>
      <c r="S1010" s="5" t="e">
        <f>IF(AND(#REF!&gt;=table!$C$8,#REF!&lt;= table!$D$8),-1,IF(AND(#REF!&gt;=table!$E$8,#REF!&lt;=table!$F$8),1,0))</f>
        <v>#REF!</v>
      </c>
      <c r="T1010" s="5"/>
      <c r="U1010" s="5" t="e">
        <f>IF(AND(#REF!&gt;=table!$C$10,#REF!&lt;= table!$D$10),-1,IF(AND(#REF!&gt;=table!$E$10,#REF!&lt;=table!$F$10),1,0))</f>
        <v>#REF!</v>
      </c>
      <c r="V1010" s="5" t="e">
        <f>IF(AND(#REF!&gt;=table!$C$11,#REF!&lt;= table!$D$11),-1,IF(AND(#REF!&gt;=table!$E$11,#REF!&lt;=table!$F$11),1,0))</f>
        <v>#REF!</v>
      </c>
      <c r="W1010" s="5" t="e">
        <f>CONCATENATE(dados[[#This Row],[fator1]],dados[[#This Row],[fator5]],dados[[#This Row],[fator6]])</f>
        <v>#REF!</v>
      </c>
    </row>
    <row r="1011" spans="1:23">
      <c r="A1011" t="s">
        <v>16</v>
      </c>
      <c r="B1011">
        <v>483846</v>
      </c>
      <c r="C1011">
        <v>3</v>
      </c>
      <c r="D1011">
        <v>30</v>
      </c>
      <c r="E1011">
        <v>21</v>
      </c>
      <c r="F1011">
        <v>15</v>
      </c>
      <c r="G1011">
        <v>0</v>
      </c>
      <c r="H1011">
        <v>25</v>
      </c>
      <c r="I1011">
        <v>0</v>
      </c>
      <c r="J1011">
        <v>0</v>
      </c>
      <c r="K1011">
        <v>6.92</v>
      </c>
      <c r="L1011">
        <v>12.35</v>
      </c>
      <c r="M1011">
        <v>11.945</v>
      </c>
      <c r="N1011">
        <v>13.05</v>
      </c>
      <c r="O1011">
        <v>1662</v>
      </c>
      <c r="P1011">
        <v>554</v>
      </c>
      <c r="Q1011" s="5" t="e">
        <f>IF(AND(#REF!&gt;=table!$C$6,#REF!&lt;= table!$D$6),-1,IF(AND(#REF!&gt;=table!$E$6,#REF!&lt;=table!$F$6),1,0))</f>
        <v>#REF!</v>
      </c>
      <c r="R1011" s="5" t="e">
        <f>IF(AND(#REF!&gt;=table!$C$7,#REF!&lt;= table!$D$7),-1,IF(AND(#REF!&gt;=table!$E$7,#REF!&lt;=table!$F$7),1,0))</f>
        <v>#REF!</v>
      </c>
      <c r="S1011" s="5" t="e">
        <f>IF(AND(#REF!&gt;=table!$C$8,#REF!&lt;= table!$D$8),-1,IF(AND(#REF!&gt;=table!$E$8,#REF!&lt;=table!$F$8),1,0))</f>
        <v>#REF!</v>
      </c>
      <c r="T1011" s="5"/>
      <c r="U1011" s="5" t="e">
        <f>IF(AND(#REF!&gt;=table!$C$10,#REF!&lt;= table!$D$10),-1,IF(AND(#REF!&gt;=table!$E$10,#REF!&lt;=table!$F$10),1,0))</f>
        <v>#REF!</v>
      </c>
      <c r="V1011" s="5" t="e">
        <f>IF(AND(#REF!&gt;=table!$C$11,#REF!&lt;= table!$D$11),-1,IF(AND(#REF!&gt;=table!$E$11,#REF!&lt;=table!$F$11),1,0))</f>
        <v>#REF!</v>
      </c>
      <c r="W1011" s="5" t="e">
        <f>CONCATENATE(dados[[#This Row],[fator1]],dados[[#This Row],[fator5]],dados[[#This Row],[fator6]])</f>
        <v>#REF!</v>
      </c>
    </row>
    <row r="1012" spans="1:23">
      <c r="A1012" t="s">
        <v>17</v>
      </c>
      <c r="B1012">
        <v>483855</v>
      </c>
      <c r="C1012">
        <v>16</v>
      </c>
      <c r="D1012">
        <v>30</v>
      </c>
      <c r="E1012">
        <v>106</v>
      </c>
      <c r="F1012">
        <v>9</v>
      </c>
      <c r="G1012">
        <v>20</v>
      </c>
      <c r="H1012">
        <v>25</v>
      </c>
      <c r="I1012">
        <v>3</v>
      </c>
      <c r="J1012">
        <v>0</v>
      </c>
      <c r="K1012">
        <v>9.995000000000001</v>
      </c>
      <c r="L1012">
        <v>12.75</v>
      </c>
      <c r="M1012">
        <v>120.64</v>
      </c>
      <c r="N1012">
        <v>14.875</v>
      </c>
      <c r="O1012">
        <v>1637</v>
      </c>
      <c r="P1012">
        <v>267</v>
      </c>
      <c r="Q1012" s="5" t="e">
        <f>IF(AND(#REF!&gt;=table!$C$6,#REF!&lt;= table!$D$6),-1,IF(AND(#REF!&gt;=table!$E$6,#REF!&lt;=table!$F$6),1,0))</f>
        <v>#REF!</v>
      </c>
      <c r="R1012" s="5" t="e">
        <f>IF(AND(#REF!&gt;=table!$C$7,#REF!&lt;= table!$D$7),-1,IF(AND(#REF!&gt;=table!$E$7,#REF!&lt;=table!$F$7),1,0))</f>
        <v>#REF!</v>
      </c>
      <c r="S1012" s="5" t="e">
        <f>IF(AND(#REF!&gt;=table!$C$8,#REF!&lt;= table!$D$8),-1,IF(AND(#REF!&gt;=table!$E$8,#REF!&lt;=table!$F$8),1,0))</f>
        <v>#REF!</v>
      </c>
      <c r="T1012" s="5"/>
      <c r="U1012" s="5" t="e">
        <f>IF(AND(#REF!&gt;=table!$C$10,#REF!&lt;= table!$D$10),-1,IF(AND(#REF!&gt;=table!$E$10,#REF!&lt;=table!$F$10),1,0))</f>
        <v>#REF!</v>
      </c>
      <c r="V1012" s="5" t="e">
        <f>IF(AND(#REF!&gt;=table!$C$11,#REF!&lt;= table!$D$11),-1,IF(AND(#REF!&gt;=table!$E$11,#REF!&lt;=table!$F$11),1,0))</f>
        <v>#REF!</v>
      </c>
      <c r="W1012" s="5" t="e">
        <f>CONCATENATE(dados[[#This Row],[fator1]],dados[[#This Row],[fator5]],dados[[#This Row],[fator6]])</f>
        <v>#REF!</v>
      </c>
    </row>
    <row r="1013" spans="1:23">
      <c r="A1013" t="s">
        <v>17</v>
      </c>
      <c r="B1013">
        <v>483856</v>
      </c>
      <c r="C1013">
        <v>16</v>
      </c>
      <c r="D1013">
        <v>30</v>
      </c>
      <c r="E1013">
        <v>106</v>
      </c>
      <c r="F1013">
        <v>9</v>
      </c>
      <c r="G1013">
        <v>20</v>
      </c>
      <c r="H1013">
        <v>25</v>
      </c>
      <c r="I1013">
        <v>2096</v>
      </c>
      <c r="J1013">
        <v>1020</v>
      </c>
      <c r="K1013">
        <v>8.4649999999999999</v>
      </c>
      <c r="L1013">
        <v>11.18</v>
      </c>
      <c r="M1013">
        <v>77.62</v>
      </c>
      <c r="N1013">
        <v>11.145000000000001</v>
      </c>
      <c r="O1013">
        <v>1667</v>
      </c>
      <c r="P1013">
        <v>0</v>
      </c>
      <c r="Q1013" s="5" t="e">
        <f>IF(AND(#REF!&gt;=table!$C$6,#REF!&lt;= table!$D$6),-1,IF(AND(#REF!&gt;=table!$E$6,#REF!&lt;=table!$F$6),1,0))</f>
        <v>#REF!</v>
      </c>
      <c r="R1013" s="5" t="e">
        <f>IF(AND(#REF!&gt;=table!$C$7,#REF!&lt;= table!$D$7),-1,IF(AND(#REF!&gt;=table!$E$7,#REF!&lt;=table!$F$7),1,0))</f>
        <v>#REF!</v>
      </c>
      <c r="S1013" s="5" t="e">
        <f>IF(AND(#REF!&gt;=table!$C$8,#REF!&lt;= table!$D$8),-1,IF(AND(#REF!&gt;=table!$E$8,#REF!&lt;=table!$F$8),1,0))</f>
        <v>#REF!</v>
      </c>
      <c r="T1013" s="5"/>
      <c r="U1013" s="5" t="e">
        <f>IF(AND(#REF!&gt;=table!$C$10,#REF!&lt;= table!$D$10),-1,IF(AND(#REF!&gt;=table!$E$10,#REF!&lt;=table!$F$10),1,0))</f>
        <v>#REF!</v>
      </c>
      <c r="V1013" s="5" t="e">
        <f>IF(AND(#REF!&gt;=table!$C$11,#REF!&lt;= table!$D$11),-1,IF(AND(#REF!&gt;=table!$E$11,#REF!&lt;=table!$F$11),1,0))</f>
        <v>#REF!</v>
      </c>
      <c r="W1013" s="5" t="e">
        <f>CONCATENATE(dados[[#This Row],[fator1]],dados[[#This Row],[fator5]],dados[[#This Row],[fator6]])</f>
        <v>#REF!</v>
      </c>
    </row>
    <row r="1014" spans="1:23">
      <c r="A1014" t="s">
        <v>17</v>
      </c>
      <c r="B1014">
        <v>483861</v>
      </c>
      <c r="C1014">
        <v>16</v>
      </c>
      <c r="D1014">
        <v>35</v>
      </c>
      <c r="E1014">
        <v>136</v>
      </c>
      <c r="F1014">
        <v>4</v>
      </c>
      <c r="G1014">
        <v>30</v>
      </c>
      <c r="H1014">
        <v>25</v>
      </c>
      <c r="I1014">
        <v>1410</v>
      </c>
      <c r="J1014">
        <v>0</v>
      </c>
      <c r="K1014">
        <v>3.39</v>
      </c>
      <c r="L1014">
        <v>10.200000000000001</v>
      </c>
      <c r="M1014">
        <v>101.795</v>
      </c>
      <c r="N1014">
        <v>17.125</v>
      </c>
      <c r="O1014">
        <v>1693</v>
      </c>
      <c r="P1014">
        <v>1045</v>
      </c>
      <c r="Q1014" s="5" t="e">
        <f>IF(AND(#REF!&gt;=table!$C$6,#REF!&lt;= table!$D$6),-1,IF(AND(#REF!&gt;=table!$E$6,#REF!&lt;=table!$F$6),1,0))</f>
        <v>#REF!</v>
      </c>
      <c r="R1014" s="5" t="e">
        <f>IF(AND(#REF!&gt;=table!$C$7,#REF!&lt;= table!$D$7),-1,IF(AND(#REF!&gt;=table!$E$7,#REF!&lt;=table!$F$7),1,0))</f>
        <v>#REF!</v>
      </c>
      <c r="S1014" s="5" t="e">
        <f>IF(AND(#REF!&gt;=table!$C$8,#REF!&lt;= table!$D$8),-1,IF(AND(#REF!&gt;=table!$E$8,#REF!&lt;=table!$F$8),1,0))</f>
        <v>#REF!</v>
      </c>
      <c r="T1014" s="5"/>
      <c r="U1014" s="5" t="e">
        <f>IF(AND(#REF!&gt;=table!$C$10,#REF!&lt;= table!$D$10),-1,IF(AND(#REF!&gt;=table!$E$10,#REF!&lt;=table!$F$10),1,0))</f>
        <v>#REF!</v>
      </c>
      <c r="V1014" s="5" t="e">
        <f>IF(AND(#REF!&gt;=table!$C$11,#REF!&lt;= table!$D$11),-1,IF(AND(#REF!&gt;=table!$E$11,#REF!&lt;=table!$F$11),1,0))</f>
        <v>#REF!</v>
      </c>
      <c r="W1014" s="5" t="e">
        <f>CONCATENATE(dados[[#This Row],[fator1]],dados[[#This Row],[fator5]],dados[[#This Row],[fator6]])</f>
        <v>#REF!</v>
      </c>
    </row>
    <row r="1015" spans="1:23">
      <c r="A1015" t="s">
        <v>17</v>
      </c>
      <c r="B1015">
        <v>483863</v>
      </c>
      <c r="C1015">
        <v>14</v>
      </c>
      <c r="D1015">
        <v>30</v>
      </c>
      <c r="E1015">
        <v>66</v>
      </c>
      <c r="F1015">
        <v>9</v>
      </c>
      <c r="G1015">
        <v>20</v>
      </c>
      <c r="H1015">
        <v>25</v>
      </c>
      <c r="I1015">
        <v>583</v>
      </c>
      <c r="J1015">
        <v>0</v>
      </c>
      <c r="K1015">
        <v>27.335000000000001</v>
      </c>
      <c r="L1015">
        <v>15.335000000000001</v>
      </c>
      <c r="M1015">
        <v>14.57</v>
      </c>
      <c r="N1015">
        <v>15.63</v>
      </c>
      <c r="O1015">
        <v>1665</v>
      </c>
      <c r="P1015">
        <v>177</v>
      </c>
      <c r="Q1015" s="5" t="e">
        <f>IF(AND(#REF!&gt;=table!$C$6,#REF!&lt;= table!$D$6),-1,IF(AND(#REF!&gt;=table!$E$6,#REF!&lt;=table!$F$6),1,0))</f>
        <v>#REF!</v>
      </c>
      <c r="R1015" s="5" t="e">
        <f>IF(AND(#REF!&gt;=table!$C$7,#REF!&lt;= table!$D$7),-1,IF(AND(#REF!&gt;=table!$E$7,#REF!&lt;=table!$F$7),1,0))</f>
        <v>#REF!</v>
      </c>
      <c r="S1015" s="5" t="e">
        <f>IF(AND(#REF!&gt;=table!$C$8,#REF!&lt;= table!$D$8),-1,IF(AND(#REF!&gt;=table!$E$8,#REF!&lt;=table!$F$8),1,0))</f>
        <v>#REF!</v>
      </c>
      <c r="T1015" s="5"/>
      <c r="U1015" s="5" t="e">
        <f>IF(AND(#REF!&gt;=table!$C$10,#REF!&lt;= table!$D$10),-1,IF(AND(#REF!&gt;=table!$E$10,#REF!&lt;=table!$F$10),1,0))</f>
        <v>#REF!</v>
      </c>
      <c r="V1015" s="5" t="e">
        <f>IF(AND(#REF!&gt;=table!$C$11,#REF!&lt;= table!$D$11),-1,IF(AND(#REF!&gt;=table!$E$11,#REF!&lt;=table!$F$11),1,0))</f>
        <v>#REF!</v>
      </c>
      <c r="W1015" s="5" t="e">
        <f>CONCATENATE(dados[[#This Row],[fator1]],dados[[#This Row],[fator5]],dados[[#This Row],[fator6]])</f>
        <v>#REF!</v>
      </c>
    </row>
    <row r="1016" spans="1:23">
      <c r="A1016" t="s">
        <v>17</v>
      </c>
      <c r="B1016">
        <v>483866</v>
      </c>
      <c r="C1016">
        <v>14</v>
      </c>
      <c r="D1016">
        <v>30</v>
      </c>
      <c r="E1016">
        <v>86</v>
      </c>
      <c r="F1016">
        <v>9</v>
      </c>
      <c r="G1016">
        <v>20</v>
      </c>
      <c r="H1016">
        <v>25</v>
      </c>
      <c r="I1016">
        <v>1</v>
      </c>
      <c r="J1016">
        <v>0</v>
      </c>
      <c r="K1016">
        <v>17.945</v>
      </c>
      <c r="L1016">
        <v>19.365000000000002</v>
      </c>
      <c r="M1016">
        <v>76.100000000000009</v>
      </c>
      <c r="N1016">
        <v>24.650000000000002</v>
      </c>
      <c r="O1016">
        <v>1663</v>
      </c>
      <c r="P1016">
        <v>193</v>
      </c>
      <c r="Q1016" s="5" t="e">
        <f>IF(AND(#REF!&gt;=table!$C$6,#REF!&lt;= table!$D$6),-1,IF(AND(#REF!&gt;=table!$E$6,#REF!&lt;=table!$F$6),1,0))</f>
        <v>#REF!</v>
      </c>
      <c r="R1016" s="5" t="e">
        <f>IF(AND(#REF!&gt;=table!$C$7,#REF!&lt;= table!$D$7),-1,IF(AND(#REF!&gt;=table!$E$7,#REF!&lt;=table!$F$7),1,0))</f>
        <v>#REF!</v>
      </c>
      <c r="S1016" s="5" t="e">
        <f>IF(AND(#REF!&gt;=table!$C$8,#REF!&lt;= table!$D$8),-1,IF(AND(#REF!&gt;=table!$E$8,#REF!&lt;=table!$F$8),1,0))</f>
        <v>#REF!</v>
      </c>
      <c r="T1016" s="5"/>
      <c r="U1016" s="5" t="e">
        <f>IF(AND(#REF!&gt;=table!$C$10,#REF!&lt;= table!$D$10),-1,IF(AND(#REF!&gt;=table!$E$10,#REF!&lt;=table!$F$10),1,0))</f>
        <v>#REF!</v>
      </c>
      <c r="V1016" s="5" t="e">
        <f>IF(AND(#REF!&gt;=table!$C$11,#REF!&lt;= table!$D$11),-1,IF(AND(#REF!&gt;=table!$E$11,#REF!&lt;=table!$F$11),1,0))</f>
        <v>#REF!</v>
      </c>
      <c r="W1016" s="5" t="e">
        <f>CONCATENATE(dados[[#This Row],[fator1]],dados[[#This Row],[fator5]],dados[[#This Row],[fator6]])</f>
        <v>#REF!</v>
      </c>
    </row>
    <row r="1017" spans="1:23">
      <c r="A1017" t="s">
        <v>17</v>
      </c>
      <c r="B1017">
        <v>483867</v>
      </c>
      <c r="C1017">
        <v>14</v>
      </c>
      <c r="D1017">
        <v>30</v>
      </c>
      <c r="E1017">
        <v>86</v>
      </c>
      <c r="F1017">
        <v>9</v>
      </c>
      <c r="G1017">
        <v>20</v>
      </c>
      <c r="H1017">
        <v>25</v>
      </c>
      <c r="I1017">
        <v>1027</v>
      </c>
      <c r="J1017">
        <v>0</v>
      </c>
      <c r="K1017">
        <v>7.5950000000000006</v>
      </c>
      <c r="L1017">
        <v>14.83</v>
      </c>
      <c r="M1017">
        <v>53.08</v>
      </c>
      <c r="N1017">
        <v>19.61</v>
      </c>
      <c r="O1017">
        <v>1664</v>
      </c>
      <c r="P1017">
        <v>413</v>
      </c>
      <c r="Q1017" s="5" t="e">
        <f>IF(AND(#REF!&gt;=table!$C$6,#REF!&lt;= table!$D$6),-1,IF(AND(#REF!&gt;=table!$E$6,#REF!&lt;=table!$F$6),1,0))</f>
        <v>#REF!</v>
      </c>
      <c r="R1017" s="5" t="e">
        <f>IF(AND(#REF!&gt;=table!$C$7,#REF!&lt;= table!$D$7),-1,IF(AND(#REF!&gt;=table!$E$7,#REF!&lt;=table!$F$7),1,0))</f>
        <v>#REF!</v>
      </c>
      <c r="S1017" s="5" t="e">
        <f>IF(AND(#REF!&gt;=table!$C$8,#REF!&lt;= table!$D$8),-1,IF(AND(#REF!&gt;=table!$E$8,#REF!&lt;=table!$F$8),1,0))</f>
        <v>#REF!</v>
      </c>
      <c r="T1017" s="5"/>
      <c r="U1017" s="5" t="e">
        <f>IF(AND(#REF!&gt;=table!$C$10,#REF!&lt;= table!$D$10),-1,IF(AND(#REF!&gt;=table!$E$10,#REF!&lt;=table!$F$10),1,0))</f>
        <v>#REF!</v>
      </c>
      <c r="V1017" s="5" t="e">
        <f>IF(AND(#REF!&gt;=table!$C$11,#REF!&lt;= table!$D$11),-1,IF(AND(#REF!&gt;=table!$E$11,#REF!&lt;=table!$F$11),1,0))</f>
        <v>#REF!</v>
      </c>
      <c r="W1017" s="5" t="e">
        <f>CONCATENATE(dados[[#This Row],[fator1]],dados[[#This Row],[fator5]],dados[[#This Row],[fator6]])</f>
        <v>#REF!</v>
      </c>
    </row>
    <row r="1018" spans="1:23">
      <c r="A1018" t="s">
        <v>16</v>
      </c>
      <c r="B1018">
        <v>483869</v>
      </c>
      <c r="C1018">
        <v>0.15</v>
      </c>
      <c r="D1018">
        <v>35</v>
      </c>
      <c r="E1018">
        <v>15</v>
      </c>
      <c r="F1018">
        <v>10</v>
      </c>
      <c r="G1018">
        <v>0</v>
      </c>
      <c r="H1018">
        <v>12</v>
      </c>
      <c r="I1018">
        <v>165</v>
      </c>
      <c r="J1018">
        <v>0</v>
      </c>
      <c r="K1018">
        <v>5.98</v>
      </c>
      <c r="L1018">
        <v>13.99</v>
      </c>
      <c r="M1018">
        <v>12.535</v>
      </c>
      <c r="N1018">
        <v>12.355</v>
      </c>
      <c r="O1018">
        <v>1686</v>
      </c>
      <c r="P1018">
        <v>610</v>
      </c>
      <c r="Q1018" s="5" t="e">
        <f>IF(AND(#REF!&gt;=table!$C$6,#REF!&lt;= table!$D$6),-1,IF(AND(#REF!&gt;=table!$E$6,#REF!&lt;=table!$F$6),1,0))</f>
        <v>#REF!</v>
      </c>
      <c r="R1018" s="5" t="e">
        <f>IF(AND(#REF!&gt;=table!$C$7,#REF!&lt;= table!$D$7),-1,IF(AND(#REF!&gt;=table!$E$7,#REF!&lt;=table!$F$7),1,0))</f>
        <v>#REF!</v>
      </c>
      <c r="S1018" s="5" t="e">
        <f>IF(AND(#REF!&gt;=table!$C$8,#REF!&lt;= table!$D$8),-1,IF(AND(#REF!&gt;=table!$E$8,#REF!&lt;=table!$F$8),1,0))</f>
        <v>#REF!</v>
      </c>
      <c r="T1018" s="5"/>
      <c r="U1018" s="5" t="e">
        <f>IF(AND(#REF!&gt;=table!$C$10,#REF!&lt;= table!$D$10),-1,IF(AND(#REF!&gt;=table!$E$10,#REF!&lt;=table!$F$10),1,0))</f>
        <v>#REF!</v>
      </c>
      <c r="V1018" s="5" t="e">
        <f>IF(AND(#REF!&gt;=table!$C$11,#REF!&lt;= table!$D$11),-1,IF(AND(#REF!&gt;=table!$E$11,#REF!&lt;=table!$F$11),1,0))</f>
        <v>#REF!</v>
      </c>
      <c r="W1018" s="5" t="e">
        <f>CONCATENATE(dados[[#This Row],[fator1]],dados[[#This Row],[fator5]],dados[[#This Row],[fator6]])</f>
        <v>#REF!</v>
      </c>
    </row>
    <row r="1019" spans="1:23">
      <c r="A1019" t="s">
        <v>16</v>
      </c>
      <c r="B1019">
        <v>483870</v>
      </c>
      <c r="C1019">
        <v>0.15</v>
      </c>
      <c r="D1019">
        <v>35</v>
      </c>
      <c r="E1019">
        <v>15</v>
      </c>
      <c r="F1019">
        <v>10</v>
      </c>
      <c r="G1019">
        <v>0</v>
      </c>
      <c r="H1019">
        <v>12</v>
      </c>
      <c r="I1019">
        <v>639</v>
      </c>
      <c r="J1019">
        <v>0</v>
      </c>
      <c r="K1019">
        <v>4.3550000000000004</v>
      </c>
      <c r="L1019">
        <v>13.06</v>
      </c>
      <c r="M1019">
        <v>11.09</v>
      </c>
      <c r="N1019">
        <v>14.405000000000001</v>
      </c>
      <c r="O1019">
        <v>1674</v>
      </c>
      <c r="P1019">
        <v>924</v>
      </c>
      <c r="Q1019" s="5" t="e">
        <f>IF(AND(#REF!&gt;=table!$C$6,#REF!&lt;= table!$D$6),-1,IF(AND(#REF!&gt;=table!$E$6,#REF!&lt;=table!$F$6),1,0))</f>
        <v>#REF!</v>
      </c>
      <c r="R1019" s="5" t="e">
        <f>IF(AND(#REF!&gt;=table!$C$7,#REF!&lt;= table!$D$7),-1,IF(AND(#REF!&gt;=table!$E$7,#REF!&lt;=table!$F$7),1,0))</f>
        <v>#REF!</v>
      </c>
      <c r="S1019" s="5" t="e">
        <f>IF(AND(#REF!&gt;=table!$C$8,#REF!&lt;= table!$D$8),-1,IF(AND(#REF!&gt;=table!$E$8,#REF!&lt;=table!$F$8),1,0))</f>
        <v>#REF!</v>
      </c>
      <c r="T1019" s="5"/>
      <c r="U1019" s="5" t="e">
        <f>IF(AND(#REF!&gt;=table!$C$10,#REF!&lt;= table!$D$10),-1,IF(AND(#REF!&gt;=table!$E$10,#REF!&lt;=table!$F$10),1,0))</f>
        <v>#REF!</v>
      </c>
      <c r="V1019" s="5" t="e">
        <f>IF(AND(#REF!&gt;=table!$C$11,#REF!&lt;= table!$D$11),-1,IF(AND(#REF!&gt;=table!$E$11,#REF!&lt;=table!$F$11),1,0))</f>
        <v>#REF!</v>
      </c>
      <c r="W1019" s="5" t="e">
        <f>CONCATENATE(dados[[#This Row],[fator1]],dados[[#This Row],[fator5]],dados[[#This Row],[fator6]])</f>
        <v>#REF!</v>
      </c>
    </row>
    <row r="1020" spans="1:23">
      <c r="A1020" t="s">
        <v>16</v>
      </c>
      <c r="B1020">
        <v>483871</v>
      </c>
      <c r="C1020">
        <v>0.1</v>
      </c>
      <c r="D1020">
        <v>35</v>
      </c>
      <c r="E1020">
        <v>10</v>
      </c>
      <c r="F1020">
        <v>10</v>
      </c>
      <c r="G1020">
        <v>0</v>
      </c>
      <c r="H1020">
        <v>12</v>
      </c>
      <c r="I1020">
        <v>0</v>
      </c>
      <c r="J1020">
        <v>0</v>
      </c>
      <c r="K1020">
        <v>3.3650000000000002</v>
      </c>
      <c r="L1020">
        <v>11.76</v>
      </c>
      <c r="M1020">
        <v>10.355</v>
      </c>
      <c r="N1020">
        <v>10.35</v>
      </c>
      <c r="O1020">
        <v>1641</v>
      </c>
      <c r="P1020">
        <v>848</v>
      </c>
      <c r="Q1020" s="5" t="e">
        <f>IF(AND(#REF!&gt;=table!$C$6,#REF!&lt;= table!$D$6),-1,IF(AND(#REF!&gt;=table!$E$6,#REF!&lt;=table!$F$6),1,0))</f>
        <v>#REF!</v>
      </c>
      <c r="R1020" s="5" t="e">
        <f>IF(AND(#REF!&gt;=table!$C$7,#REF!&lt;= table!$D$7),-1,IF(AND(#REF!&gt;=table!$E$7,#REF!&lt;=table!$F$7),1,0))</f>
        <v>#REF!</v>
      </c>
      <c r="S1020" s="5" t="e">
        <f>IF(AND(#REF!&gt;=table!$C$8,#REF!&lt;= table!$D$8),-1,IF(AND(#REF!&gt;=table!$E$8,#REF!&lt;=table!$F$8),1,0))</f>
        <v>#REF!</v>
      </c>
      <c r="T1020" s="5"/>
      <c r="U1020" s="5" t="e">
        <f>IF(AND(#REF!&gt;=table!$C$10,#REF!&lt;= table!$D$10),-1,IF(AND(#REF!&gt;=table!$E$10,#REF!&lt;=table!$F$10),1,0))</f>
        <v>#REF!</v>
      </c>
      <c r="V1020" s="5" t="e">
        <f>IF(AND(#REF!&gt;=table!$C$11,#REF!&lt;= table!$D$11),-1,IF(AND(#REF!&gt;=table!$E$11,#REF!&lt;=table!$F$11),1,0))</f>
        <v>#REF!</v>
      </c>
      <c r="W1020" s="5" t="e">
        <f>CONCATENATE(dados[[#This Row],[fator1]],dados[[#This Row],[fator5]],dados[[#This Row],[fator6]])</f>
        <v>#REF!</v>
      </c>
    </row>
    <row r="1021" spans="1:23">
      <c r="A1021" t="s">
        <v>16</v>
      </c>
      <c r="B1021">
        <v>483874</v>
      </c>
      <c r="C1021">
        <v>4</v>
      </c>
      <c r="D1021">
        <v>40</v>
      </c>
      <c r="E1021">
        <v>21</v>
      </c>
      <c r="F1021">
        <v>20</v>
      </c>
      <c r="G1021">
        <v>0</v>
      </c>
      <c r="H1021">
        <v>25</v>
      </c>
      <c r="I1021">
        <v>268</v>
      </c>
      <c r="J1021">
        <v>0</v>
      </c>
      <c r="K1021">
        <v>3.66</v>
      </c>
      <c r="L1021">
        <v>7.23</v>
      </c>
      <c r="M1021">
        <v>20.335000000000001</v>
      </c>
      <c r="N1021">
        <v>10.175000000000001</v>
      </c>
      <c r="O1021">
        <v>1648</v>
      </c>
      <c r="P1021">
        <v>976</v>
      </c>
      <c r="Q1021" s="5" t="e">
        <f>IF(AND(#REF!&gt;=table!$C$6,#REF!&lt;= table!$D$6),-1,IF(AND(#REF!&gt;=table!$E$6,#REF!&lt;=table!$F$6),1,0))</f>
        <v>#REF!</v>
      </c>
      <c r="R1021" s="5" t="e">
        <f>IF(AND(#REF!&gt;=table!$C$7,#REF!&lt;= table!$D$7),-1,IF(AND(#REF!&gt;=table!$E$7,#REF!&lt;=table!$F$7),1,0))</f>
        <v>#REF!</v>
      </c>
      <c r="S1021" s="5" t="e">
        <f>IF(AND(#REF!&gt;=table!$C$8,#REF!&lt;= table!$D$8),-1,IF(AND(#REF!&gt;=table!$E$8,#REF!&lt;=table!$F$8),1,0))</f>
        <v>#REF!</v>
      </c>
      <c r="T1021" s="5"/>
      <c r="U1021" s="5" t="e">
        <f>IF(AND(#REF!&gt;=table!$C$10,#REF!&lt;= table!$D$10),-1,IF(AND(#REF!&gt;=table!$E$10,#REF!&lt;=table!$F$10),1,0))</f>
        <v>#REF!</v>
      </c>
      <c r="V1021" s="5" t="e">
        <f>IF(AND(#REF!&gt;=table!$C$11,#REF!&lt;= table!$D$11),-1,IF(AND(#REF!&gt;=table!$E$11,#REF!&lt;=table!$F$11),1,0))</f>
        <v>#REF!</v>
      </c>
      <c r="W1021" s="5" t="e">
        <f>CONCATENATE(dados[[#This Row],[fator1]],dados[[#This Row],[fator5]],dados[[#This Row],[fator6]])</f>
        <v>#REF!</v>
      </c>
    </row>
    <row r="1022" spans="1:23">
      <c r="A1022" t="s">
        <v>16</v>
      </c>
      <c r="B1022">
        <v>483886</v>
      </c>
      <c r="C1022">
        <v>0.1</v>
      </c>
      <c r="D1022">
        <v>35</v>
      </c>
      <c r="E1022">
        <v>10</v>
      </c>
      <c r="F1022">
        <v>10</v>
      </c>
      <c r="G1022">
        <v>0</v>
      </c>
      <c r="H1022">
        <v>12</v>
      </c>
      <c r="I1022">
        <v>557</v>
      </c>
      <c r="J1022">
        <v>0</v>
      </c>
      <c r="K1022">
        <v>4.7050000000000001</v>
      </c>
      <c r="L1022">
        <v>10.050000000000001</v>
      </c>
      <c r="M1022">
        <v>9.43</v>
      </c>
      <c r="N1022">
        <v>11.685</v>
      </c>
      <c r="O1022">
        <v>1679</v>
      </c>
      <c r="P1022">
        <v>745</v>
      </c>
      <c r="Q1022" s="5" t="e">
        <f>IF(AND(#REF!&gt;=table!$C$6,#REF!&lt;= table!$D$6),-1,IF(AND(#REF!&gt;=table!$E$6,#REF!&lt;=table!$F$6),1,0))</f>
        <v>#REF!</v>
      </c>
      <c r="R1022" s="5" t="e">
        <f>IF(AND(#REF!&gt;=table!$C$7,#REF!&lt;= table!$D$7),-1,IF(AND(#REF!&gt;=table!$E$7,#REF!&lt;=table!$F$7),1,0))</f>
        <v>#REF!</v>
      </c>
      <c r="S1022" s="5" t="e">
        <f>IF(AND(#REF!&gt;=table!$C$8,#REF!&lt;= table!$D$8),-1,IF(AND(#REF!&gt;=table!$E$8,#REF!&lt;=table!$F$8),1,0))</f>
        <v>#REF!</v>
      </c>
      <c r="T1022" s="5"/>
      <c r="U1022" s="5" t="e">
        <f>IF(AND(#REF!&gt;=table!$C$10,#REF!&lt;= table!$D$10),-1,IF(AND(#REF!&gt;=table!$E$10,#REF!&lt;=table!$F$10),1,0))</f>
        <v>#REF!</v>
      </c>
      <c r="V1022" s="5" t="e">
        <f>IF(AND(#REF!&gt;=table!$C$11,#REF!&lt;= table!$D$11),-1,IF(AND(#REF!&gt;=table!$E$11,#REF!&lt;=table!$F$11),1,0))</f>
        <v>#REF!</v>
      </c>
      <c r="W1022" s="5" t="e">
        <f>CONCATENATE(dados[[#This Row],[fator1]],dados[[#This Row],[fator5]],dados[[#This Row],[fator6]])</f>
        <v>#REF!</v>
      </c>
    </row>
    <row r="1023" spans="1:23">
      <c r="A1023" t="s">
        <v>16</v>
      </c>
      <c r="B1023">
        <v>483887</v>
      </c>
      <c r="C1023">
        <v>0.1</v>
      </c>
      <c r="D1023">
        <v>35</v>
      </c>
      <c r="E1023">
        <v>10</v>
      </c>
      <c r="F1023">
        <v>10</v>
      </c>
      <c r="G1023">
        <v>0</v>
      </c>
      <c r="H1023">
        <v>12</v>
      </c>
      <c r="I1023">
        <v>1546</v>
      </c>
      <c r="J1023">
        <v>0</v>
      </c>
      <c r="K1023">
        <v>3.125</v>
      </c>
      <c r="L1023">
        <v>9.83</v>
      </c>
      <c r="M1023">
        <v>8.4150000000000009</v>
      </c>
      <c r="N1023">
        <v>10.48</v>
      </c>
      <c r="O1023">
        <v>1671</v>
      </c>
      <c r="P1023">
        <v>1295</v>
      </c>
      <c r="Q1023" s="5" t="e">
        <f>IF(AND(#REF!&gt;=table!$C$6,#REF!&lt;= table!$D$6),-1,IF(AND(#REF!&gt;=table!$E$6,#REF!&lt;=table!$F$6),1,0))</f>
        <v>#REF!</v>
      </c>
      <c r="R1023" s="5" t="e">
        <f>IF(AND(#REF!&gt;=table!$C$7,#REF!&lt;= table!$D$7),-1,IF(AND(#REF!&gt;=table!$E$7,#REF!&lt;=table!$F$7),1,0))</f>
        <v>#REF!</v>
      </c>
      <c r="S1023" s="5" t="e">
        <f>IF(AND(#REF!&gt;=table!$C$8,#REF!&lt;= table!$D$8),-1,IF(AND(#REF!&gt;=table!$E$8,#REF!&lt;=table!$F$8),1,0))</f>
        <v>#REF!</v>
      </c>
      <c r="T1023" s="5"/>
      <c r="U1023" s="5" t="e">
        <f>IF(AND(#REF!&gt;=table!$C$10,#REF!&lt;= table!$D$10),-1,IF(AND(#REF!&gt;=table!$E$10,#REF!&lt;=table!$F$10),1,0))</f>
        <v>#REF!</v>
      </c>
      <c r="V1023" s="5" t="e">
        <f>IF(AND(#REF!&gt;=table!$C$11,#REF!&lt;= table!$D$11),-1,IF(AND(#REF!&gt;=table!$E$11,#REF!&lt;=table!$F$11),1,0))</f>
        <v>#REF!</v>
      </c>
      <c r="W1023" s="5" t="e">
        <f>CONCATENATE(dados[[#This Row],[fator1]],dados[[#This Row],[fator5]],dados[[#This Row],[fator6]])</f>
        <v>#REF!</v>
      </c>
    </row>
    <row r="1024" spans="1:23">
      <c r="A1024" t="s">
        <v>16</v>
      </c>
      <c r="B1024">
        <v>483888</v>
      </c>
      <c r="C1024">
        <v>0.1</v>
      </c>
      <c r="D1024">
        <v>35</v>
      </c>
      <c r="E1024">
        <v>10</v>
      </c>
      <c r="F1024">
        <v>10</v>
      </c>
      <c r="G1024">
        <v>0</v>
      </c>
      <c r="H1024">
        <v>12</v>
      </c>
      <c r="I1024">
        <v>0</v>
      </c>
      <c r="J1024">
        <v>0</v>
      </c>
      <c r="K1024">
        <v>2.44</v>
      </c>
      <c r="L1024">
        <v>5.71</v>
      </c>
      <c r="M1024">
        <v>5.75</v>
      </c>
      <c r="N1024">
        <v>9.9500000000000011</v>
      </c>
      <c r="O1024">
        <v>1673</v>
      </c>
      <c r="P1024">
        <v>1474</v>
      </c>
      <c r="Q1024" s="5" t="e">
        <f>IF(AND(#REF!&gt;=table!$C$6,#REF!&lt;= table!$D$6),-1,IF(AND(#REF!&gt;=table!$E$6,#REF!&lt;=table!$F$6),1,0))</f>
        <v>#REF!</v>
      </c>
      <c r="R1024" s="5" t="e">
        <f>IF(AND(#REF!&gt;=table!$C$7,#REF!&lt;= table!$D$7),-1,IF(AND(#REF!&gt;=table!$E$7,#REF!&lt;=table!$F$7),1,0))</f>
        <v>#REF!</v>
      </c>
      <c r="S1024" s="5" t="e">
        <f>IF(AND(#REF!&gt;=table!$C$8,#REF!&lt;= table!$D$8),-1,IF(AND(#REF!&gt;=table!$E$8,#REF!&lt;=table!$F$8),1,0))</f>
        <v>#REF!</v>
      </c>
      <c r="T1024" s="5"/>
      <c r="U1024" s="5" t="e">
        <f>IF(AND(#REF!&gt;=table!$C$10,#REF!&lt;= table!$D$10),-1,IF(AND(#REF!&gt;=table!$E$10,#REF!&lt;=table!$F$10),1,0))</f>
        <v>#REF!</v>
      </c>
      <c r="V1024" s="5" t="e">
        <f>IF(AND(#REF!&gt;=table!$C$11,#REF!&lt;= table!$D$11),-1,IF(AND(#REF!&gt;=table!$E$11,#REF!&lt;=table!$F$11),1,0))</f>
        <v>#REF!</v>
      </c>
      <c r="W1024" s="5" t="e">
        <f>CONCATENATE(dados[[#This Row],[fator1]],dados[[#This Row],[fator5]],dados[[#This Row],[fator6]])</f>
        <v>#REF!</v>
      </c>
    </row>
    <row r="1025" spans="1:23">
      <c r="A1025" t="s">
        <v>16</v>
      </c>
      <c r="B1025">
        <v>483889</v>
      </c>
      <c r="C1025">
        <v>0.15</v>
      </c>
      <c r="D1025">
        <v>35</v>
      </c>
      <c r="E1025">
        <v>15</v>
      </c>
      <c r="F1025">
        <v>10</v>
      </c>
      <c r="G1025">
        <v>0</v>
      </c>
      <c r="H1025">
        <v>12</v>
      </c>
      <c r="I1025">
        <v>1380</v>
      </c>
      <c r="J1025">
        <v>0</v>
      </c>
      <c r="K1025">
        <v>3.95</v>
      </c>
      <c r="L1025">
        <v>13.645000000000001</v>
      </c>
      <c r="M1025">
        <v>10.825000000000001</v>
      </c>
      <c r="N1025">
        <v>14.565000000000001</v>
      </c>
      <c r="O1025">
        <v>1674</v>
      </c>
      <c r="P1025">
        <v>1021</v>
      </c>
      <c r="Q1025" s="5" t="e">
        <f>IF(AND(#REF!&gt;=table!$C$6,#REF!&lt;= table!$D$6),-1,IF(AND(#REF!&gt;=table!$E$6,#REF!&lt;=table!$F$6),1,0))</f>
        <v>#REF!</v>
      </c>
      <c r="R1025" s="5" t="e">
        <f>IF(AND(#REF!&gt;=table!$C$7,#REF!&lt;= table!$D$7),-1,IF(AND(#REF!&gt;=table!$E$7,#REF!&lt;=table!$F$7),1,0))</f>
        <v>#REF!</v>
      </c>
      <c r="S1025" s="5" t="e">
        <f>IF(AND(#REF!&gt;=table!$C$8,#REF!&lt;= table!$D$8),-1,IF(AND(#REF!&gt;=table!$E$8,#REF!&lt;=table!$F$8),1,0))</f>
        <v>#REF!</v>
      </c>
      <c r="T1025" s="5"/>
      <c r="U1025" s="5" t="e">
        <f>IF(AND(#REF!&gt;=table!$C$10,#REF!&lt;= table!$D$10),-1,IF(AND(#REF!&gt;=table!$E$10,#REF!&lt;=table!$F$10),1,0))</f>
        <v>#REF!</v>
      </c>
      <c r="V1025" s="5" t="e">
        <f>IF(AND(#REF!&gt;=table!$C$11,#REF!&lt;= table!$D$11),-1,IF(AND(#REF!&gt;=table!$E$11,#REF!&lt;=table!$F$11),1,0))</f>
        <v>#REF!</v>
      </c>
      <c r="W1025" s="5" t="e">
        <f>CONCATENATE(dados[[#This Row],[fator1]],dados[[#This Row],[fator5]],dados[[#This Row],[fator6]])</f>
        <v>#REF!</v>
      </c>
    </row>
    <row r="1026" spans="1:23">
      <c r="A1026" t="s">
        <v>16</v>
      </c>
      <c r="B1026">
        <v>483891</v>
      </c>
      <c r="C1026">
        <v>0.15</v>
      </c>
      <c r="D1026">
        <v>35</v>
      </c>
      <c r="E1026">
        <v>15</v>
      </c>
      <c r="F1026">
        <v>10</v>
      </c>
      <c r="G1026">
        <v>0</v>
      </c>
      <c r="H1026">
        <v>12</v>
      </c>
      <c r="I1026">
        <v>6</v>
      </c>
      <c r="J1026">
        <v>0</v>
      </c>
      <c r="K1026">
        <v>3.17</v>
      </c>
      <c r="L1026">
        <v>9.4649999999999999</v>
      </c>
      <c r="M1026">
        <v>9.15</v>
      </c>
      <c r="N1026">
        <v>10.28</v>
      </c>
      <c r="O1026">
        <v>1661</v>
      </c>
      <c r="P1026">
        <v>1073</v>
      </c>
      <c r="Q1026" s="5" t="e">
        <f>IF(AND(#REF!&gt;=table!$C$6,#REF!&lt;= table!$D$6),-1,IF(AND(#REF!&gt;=table!$E$6,#REF!&lt;=table!$F$6),1,0))</f>
        <v>#REF!</v>
      </c>
      <c r="R1026" s="5" t="e">
        <f>IF(AND(#REF!&gt;=table!$C$7,#REF!&lt;= table!$D$7),-1,IF(AND(#REF!&gt;=table!$E$7,#REF!&lt;=table!$F$7),1,0))</f>
        <v>#REF!</v>
      </c>
      <c r="S1026" s="5" t="e">
        <f>IF(AND(#REF!&gt;=table!$C$8,#REF!&lt;= table!$D$8),-1,IF(AND(#REF!&gt;=table!$E$8,#REF!&lt;=table!$F$8),1,0))</f>
        <v>#REF!</v>
      </c>
      <c r="T1026" s="5"/>
      <c r="U1026" s="5" t="e">
        <f>IF(AND(#REF!&gt;=table!$C$10,#REF!&lt;= table!$D$10),-1,IF(AND(#REF!&gt;=table!$E$10,#REF!&lt;=table!$F$10),1,0))</f>
        <v>#REF!</v>
      </c>
      <c r="V1026" s="5" t="e">
        <f>IF(AND(#REF!&gt;=table!$C$11,#REF!&lt;= table!$D$11),-1,IF(AND(#REF!&gt;=table!$E$11,#REF!&lt;=table!$F$11),1,0))</f>
        <v>#REF!</v>
      </c>
      <c r="W1026" s="5" t="e">
        <f>CONCATENATE(dados[[#This Row],[fator1]],dados[[#This Row],[fator5]],dados[[#This Row],[fator6]])</f>
        <v>#REF!</v>
      </c>
    </row>
    <row r="1027" spans="1:23">
      <c r="A1027" t="s">
        <v>16</v>
      </c>
      <c r="B1027">
        <v>483892</v>
      </c>
      <c r="C1027">
        <v>0.15</v>
      </c>
      <c r="D1027">
        <v>35</v>
      </c>
      <c r="E1027">
        <v>15</v>
      </c>
      <c r="F1027">
        <v>10</v>
      </c>
      <c r="G1027">
        <v>0</v>
      </c>
      <c r="H1027">
        <v>12</v>
      </c>
      <c r="I1027">
        <v>1015</v>
      </c>
      <c r="J1027">
        <v>0</v>
      </c>
      <c r="K1027">
        <v>6.91</v>
      </c>
      <c r="L1027">
        <v>10.77</v>
      </c>
      <c r="M1027">
        <v>10.135</v>
      </c>
      <c r="N1027">
        <v>6.54</v>
      </c>
      <c r="O1027">
        <v>1646</v>
      </c>
      <c r="P1027">
        <v>476</v>
      </c>
      <c r="Q1027" s="5" t="e">
        <f>IF(AND(#REF!&gt;=table!$C$6,#REF!&lt;= table!$D$6),-1,IF(AND(#REF!&gt;=table!$E$6,#REF!&lt;=table!$F$6),1,0))</f>
        <v>#REF!</v>
      </c>
      <c r="R1027" s="5" t="e">
        <f>IF(AND(#REF!&gt;=table!$C$7,#REF!&lt;= table!$D$7),-1,IF(AND(#REF!&gt;=table!$E$7,#REF!&lt;=table!$F$7),1,0))</f>
        <v>#REF!</v>
      </c>
      <c r="S1027" s="5" t="e">
        <f>IF(AND(#REF!&gt;=table!$C$8,#REF!&lt;= table!$D$8),-1,IF(AND(#REF!&gt;=table!$E$8,#REF!&lt;=table!$F$8),1,0))</f>
        <v>#REF!</v>
      </c>
      <c r="T1027" s="5"/>
      <c r="U1027" s="5" t="e">
        <f>IF(AND(#REF!&gt;=table!$C$10,#REF!&lt;= table!$D$10),-1,IF(AND(#REF!&gt;=table!$E$10,#REF!&lt;=table!$F$10),1,0))</f>
        <v>#REF!</v>
      </c>
      <c r="V1027" s="5" t="e">
        <f>IF(AND(#REF!&gt;=table!$C$11,#REF!&lt;= table!$D$11),-1,IF(AND(#REF!&gt;=table!$E$11,#REF!&lt;=table!$F$11),1,0))</f>
        <v>#REF!</v>
      </c>
      <c r="W1027" s="5" t="e">
        <f>CONCATENATE(dados[[#This Row],[fator1]],dados[[#This Row],[fator5]],dados[[#This Row],[fator6]])</f>
        <v>#REF!</v>
      </c>
    </row>
    <row r="1028" spans="1:23">
      <c r="A1028" t="s">
        <v>17</v>
      </c>
      <c r="B1028">
        <v>483893</v>
      </c>
      <c r="C1028">
        <v>9</v>
      </c>
      <c r="D1028">
        <v>25</v>
      </c>
      <c r="E1028">
        <v>130</v>
      </c>
      <c r="F1028">
        <v>3</v>
      </c>
      <c r="G1028">
        <v>20</v>
      </c>
      <c r="H1028">
        <v>21</v>
      </c>
      <c r="I1028">
        <v>1092</v>
      </c>
      <c r="J1028">
        <v>0</v>
      </c>
      <c r="K1028">
        <v>4.1100000000000003</v>
      </c>
      <c r="L1028">
        <v>8.3000000000000007</v>
      </c>
      <c r="M1028">
        <v>111.25</v>
      </c>
      <c r="N1028">
        <v>9.39</v>
      </c>
      <c r="O1028">
        <v>1685</v>
      </c>
      <c r="P1028">
        <v>1069</v>
      </c>
      <c r="Q1028" s="5" t="e">
        <f>IF(AND(#REF!&gt;=table!$C$6,#REF!&lt;= table!$D$6),-1,IF(AND(#REF!&gt;=table!$E$6,#REF!&lt;=table!$F$6),1,0))</f>
        <v>#REF!</v>
      </c>
      <c r="R1028" s="5" t="e">
        <f>IF(AND(#REF!&gt;=table!$C$7,#REF!&lt;= table!$D$7),-1,IF(AND(#REF!&gt;=table!$E$7,#REF!&lt;=table!$F$7),1,0))</f>
        <v>#REF!</v>
      </c>
      <c r="S1028" s="5" t="e">
        <f>IF(AND(#REF!&gt;=table!$C$8,#REF!&lt;= table!$D$8),-1,IF(AND(#REF!&gt;=table!$E$8,#REF!&lt;=table!$F$8),1,0))</f>
        <v>#REF!</v>
      </c>
      <c r="T1028" s="5"/>
      <c r="U1028" s="5" t="e">
        <f>IF(AND(#REF!&gt;=table!$C$10,#REF!&lt;= table!$D$10),-1,IF(AND(#REF!&gt;=table!$E$10,#REF!&lt;=table!$F$10),1,0))</f>
        <v>#REF!</v>
      </c>
      <c r="V1028" s="5" t="e">
        <f>IF(AND(#REF!&gt;=table!$C$11,#REF!&lt;= table!$D$11),-1,IF(AND(#REF!&gt;=table!$E$11,#REF!&lt;=table!$F$11),1,0))</f>
        <v>#REF!</v>
      </c>
      <c r="W1028" s="5" t="e">
        <f>CONCATENATE(dados[[#This Row],[fator1]],dados[[#This Row],[fator5]],dados[[#This Row],[fator6]])</f>
        <v>#REF!</v>
      </c>
    </row>
    <row r="1029" spans="1:23">
      <c r="A1029" t="s">
        <v>16</v>
      </c>
      <c r="B1029">
        <v>483909</v>
      </c>
      <c r="C1029">
        <v>0.15</v>
      </c>
      <c r="D1029">
        <v>40</v>
      </c>
      <c r="E1029">
        <v>10</v>
      </c>
      <c r="F1029">
        <v>15</v>
      </c>
      <c r="G1029">
        <v>0</v>
      </c>
      <c r="H1029">
        <v>15</v>
      </c>
      <c r="I1029">
        <v>30</v>
      </c>
      <c r="J1029">
        <v>0</v>
      </c>
      <c r="K1029">
        <v>9.5050000000000008</v>
      </c>
      <c r="L1029">
        <v>15.195</v>
      </c>
      <c r="M1029">
        <v>13.995000000000001</v>
      </c>
      <c r="N1029">
        <v>18.155000000000001</v>
      </c>
      <c r="O1029">
        <v>1670</v>
      </c>
      <c r="P1029">
        <v>369</v>
      </c>
      <c r="Q1029" s="5" t="e">
        <f>IF(AND(#REF!&gt;=table!$C$6,#REF!&lt;= table!$D$6),-1,IF(AND(#REF!&gt;=table!$E$6,#REF!&lt;=table!$F$6),1,0))</f>
        <v>#REF!</v>
      </c>
      <c r="R1029" s="5" t="e">
        <f>IF(AND(#REF!&gt;=table!$C$7,#REF!&lt;= table!$D$7),-1,IF(AND(#REF!&gt;=table!$E$7,#REF!&lt;=table!$F$7),1,0))</f>
        <v>#REF!</v>
      </c>
      <c r="S1029" s="5" t="e">
        <f>IF(AND(#REF!&gt;=table!$C$8,#REF!&lt;= table!$D$8),-1,IF(AND(#REF!&gt;=table!$E$8,#REF!&lt;=table!$F$8),1,0))</f>
        <v>#REF!</v>
      </c>
      <c r="T1029" s="5"/>
      <c r="U1029" s="5" t="e">
        <f>IF(AND(#REF!&gt;=table!$C$10,#REF!&lt;= table!$D$10),-1,IF(AND(#REF!&gt;=table!$E$10,#REF!&lt;=table!$F$10),1,0))</f>
        <v>#REF!</v>
      </c>
      <c r="V1029" s="5" t="e">
        <f>IF(AND(#REF!&gt;=table!$C$11,#REF!&lt;= table!$D$11),-1,IF(AND(#REF!&gt;=table!$E$11,#REF!&lt;=table!$F$11),1,0))</f>
        <v>#REF!</v>
      </c>
      <c r="W1029" s="5" t="e">
        <f>CONCATENATE(dados[[#This Row],[fator1]],dados[[#This Row],[fator5]],dados[[#This Row],[fator6]])</f>
        <v>#REF!</v>
      </c>
    </row>
    <row r="1030" spans="1:23">
      <c r="A1030" t="s">
        <v>16</v>
      </c>
      <c r="B1030">
        <v>483910</v>
      </c>
      <c r="C1030">
        <v>0.15</v>
      </c>
      <c r="D1030">
        <v>35</v>
      </c>
      <c r="E1030">
        <v>15</v>
      </c>
      <c r="F1030">
        <v>10</v>
      </c>
      <c r="G1030">
        <v>0</v>
      </c>
      <c r="H1030">
        <v>12</v>
      </c>
      <c r="I1030">
        <v>0</v>
      </c>
      <c r="J1030">
        <v>730</v>
      </c>
      <c r="K1030">
        <v>3.355</v>
      </c>
      <c r="L1030">
        <v>11.955</v>
      </c>
      <c r="M1030">
        <v>7.29</v>
      </c>
      <c r="N1030">
        <v>18.28</v>
      </c>
      <c r="O1030">
        <v>1658</v>
      </c>
      <c r="P1030">
        <v>1074</v>
      </c>
      <c r="Q1030" s="5" t="e">
        <f>IF(AND(#REF!&gt;=table!$C$6,#REF!&lt;= table!$D$6),-1,IF(AND(#REF!&gt;=table!$E$6,#REF!&lt;=table!$F$6),1,0))</f>
        <v>#REF!</v>
      </c>
      <c r="R1030" s="5" t="e">
        <f>IF(AND(#REF!&gt;=table!$C$7,#REF!&lt;= table!$D$7),-1,IF(AND(#REF!&gt;=table!$E$7,#REF!&lt;=table!$F$7),1,0))</f>
        <v>#REF!</v>
      </c>
      <c r="S1030" s="5" t="e">
        <f>IF(AND(#REF!&gt;=table!$C$8,#REF!&lt;= table!$D$8),-1,IF(AND(#REF!&gt;=table!$E$8,#REF!&lt;=table!$F$8),1,0))</f>
        <v>#REF!</v>
      </c>
      <c r="T1030" s="5"/>
      <c r="U1030" s="5" t="e">
        <f>IF(AND(#REF!&gt;=table!$C$10,#REF!&lt;= table!$D$10),-1,IF(AND(#REF!&gt;=table!$E$10,#REF!&lt;=table!$F$10),1,0))</f>
        <v>#REF!</v>
      </c>
      <c r="V1030" s="5" t="e">
        <f>IF(AND(#REF!&gt;=table!$C$11,#REF!&lt;= table!$D$11),-1,IF(AND(#REF!&gt;=table!$E$11,#REF!&lt;=table!$F$11),1,0))</f>
        <v>#REF!</v>
      </c>
      <c r="W1030" s="5" t="e">
        <f>CONCATENATE(dados[[#This Row],[fator1]],dados[[#This Row],[fator5]],dados[[#This Row],[fator6]])</f>
        <v>#REF!</v>
      </c>
    </row>
    <row r="1031" spans="1:23">
      <c r="A1031" t="s">
        <v>16</v>
      </c>
      <c r="B1031">
        <v>483913</v>
      </c>
      <c r="C1031">
        <v>0.15</v>
      </c>
      <c r="D1031">
        <v>35</v>
      </c>
      <c r="E1031">
        <v>15</v>
      </c>
      <c r="F1031">
        <v>10</v>
      </c>
      <c r="G1031">
        <v>0</v>
      </c>
      <c r="H1031">
        <v>12</v>
      </c>
      <c r="I1031">
        <v>1094</v>
      </c>
      <c r="J1031">
        <v>0</v>
      </c>
      <c r="K1031">
        <v>4.3600000000000003</v>
      </c>
      <c r="L1031">
        <v>10.105</v>
      </c>
      <c r="M1031">
        <v>9.4749999999999996</v>
      </c>
      <c r="N1031">
        <v>12.13</v>
      </c>
      <c r="O1031">
        <v>1672</v>
      </c>
      <c r="P1031">
        <v>875</v>
      </c>
      <c r="Q1031" s="5" t="e">
        <f>IF(AND(#REF!&gt;=table!$C$6,#REF!&lt;= table!$D$6),-1,IF(AND(#REF!&gt;=table!$E$6,#REF!&lt;=table!$F$6),1,0))</f>
        <v>#REF!</v>
      </c>
      <c r="R1031" s="5" t="e">
        <f>IF(AND(#REF!&gt;=table!$C$7,#REF!&lt;= table!$D$7),-1,IF(AND(#REF!&gt;=table!$E$7,#REF!&lt;=table!$F$7),1,0))</f>
        <v>#REF!</v>
      </c>
      <c r="S1031" s="5" t="e">
        <f>IF(AND(#REF!&gt;=table!$C$8,#REF!&lt;= table!$D$8),-1,IF(AND(#REF!&gt;=table!$E$8,#REF!&lt;=table!$F$8),1,0))</f>
        <v>#REF!</v>
      </c>
      <c r="T1031" s="5"/>
      <c r="U1031" s="5" t="e">
        <f>IF(AND(#REF!&gt;=table!$C$10,#REF!&lt;= table!$D$10),-1,IF(AND(#REF!&gt;=table!$E$10,#REF!&lt;=table!$F$10),1,0))</f>
        <v>#REF!</v>
      </c>
      <c r="V1031" s="5" t="e">
        <f>IF(AND(#REF!&gt;=table!$C$11,#REF!&lt;= table!$D$11),-1,IF(AND(#REF!&gt;=table!$E$11,#REF!&lt;=table!$F$11),1,0))</f>
        <v>#REF!</v>
      </c>
      <c r="W1031" s="5" t="e">
        <f>CONCATENATE(dados[[#This Row],[fator1]],dados[[#This Row],[fator5]],dados[[#This Row],[fator6]])</f>
        <v>#REF!</v>
      </c>
    </row>
    <row r="1032" spans="1:23">
      <c r="A1032" t="s">
        <v>16</v>
      </c>
      <c r="B1032">
        <v>483914</v>
      </c>
      <c r="C1032">
        <v>0.15</v>
      </c>
      <c r="D1032">
        <v>35</v>
      </c>
      <c r="E1032">
        <v>15</v>
      </c>
      <c r="F1032">
        <v>10</v>
      </c>
      <c r="G1032">
        <v>0</v>
      </c>
      <c r="H1032">
        <v>12</v>
      </c>
      <c r="I1032">
        <v>32</v>
      </c>
      <c r="J1032">
        <v>0</v>
      </c>
      <c r="K1032">
        <v>4.17</v>
      </c>
      <c r="L1032">
        <v>10.775</v>
      </c>
      <c r="M1032">
        <v>9.75</v>
      </c>
      <c r="N1032">
        <v>9.7149999999999999</v>
      </c>
      <c r="O1032">
        <v>1652</v>
      </c>
      <c r="P1032">
        <v>609</v>
      </c>
      <c r="Q1032" s="5" t="e">
        <f>IF(AND(#REF!&gt;=table!$C$6,#REF!&lt;= table!$D$6),-1,IF(AND(#REF!&gt;=table!$E$6,#REF!&lt;=table!$F$6),1,0))</f>
        <v>#REF!</v>
      </c>
      <c r="R1032" s="5" t="e">
        <f>IF(AND(#REF!&gt;=table!$C$7,#REF!&lt;= table!$D$7),-1,IF(AND(#REF!&gt;=table!$E$7,#REF!&lt;=table!$F$7),1,0))</f>
        <v>#REF!</v>
      </c>
      <c r="S1032" s="5" t="e">
        <f>IF(AND(#REF!&gt;=table!$C$8,#REF!&lt;= table!$D$8),-1,IF(AND(#REF!&gt;=table!$E$8,#REF!&lt;=table!$F$8),1,0))</f>
        <v>#REF!</v>
      </c>
      <c r="T1032" s="5"/>
      <c r="U1032" s="5" t="e">
        <f>IF(AND(#REF!&gt;=table!$C$10,#REF!&lt;= table!$D$10),-1,IF(AND(#REF!&gt;=table!$E$10,#REF!&lt;=table!$F$10),1,0))</f>
        <v>#REF!</v>
      </c>
      <c r="V1032" s="5" t="e">
        <f>IF(AND(#REF!&gt;=table!$C$11,#REF!&lt;= table!$D$11),-1,IF(AND(#REF!&gt;=table!$E$11,#REF!&lt;=table!$F$11),1,0))</f>
        <v>#REF!</v>
      </c>
      <c r="W1032" s="5" t="e">
        <f>CONCATENATE(dados[[#This Row],[fator1]],dados[[#This Row],[fator5]],dados[[#This Row],[fator6]])</f>
        <v>#REF!</v>
      </c>
    </row>
    <row r="1033" spans="1:23">
      <c r="A1033" t="s">
        <v>16</v>
      </c>
      <c r="B1033">
        <v>483915</v>
      </c>
      <c r="C1033">
        <v>0.15</v>
      </c>
      <c r="D1033">
        <v>35</v>
      </c>
      <c r="E1033">
        <v>15</v>
      </c>
      <c r="F1033">
        <v>10</v>
      </c>
      <c r="G1033">
        <v>0</v>
      </c>
      <c r="H1033">
        <v>12</v>
      </c>
      <c r="I1033">
        <v>456</v>
      </c>
      <c r="J1033">
        <v>0</v>
      </c>
      <c r="K1033">
        <v>9.4450000000000003</v>
      </c>
      <c r="L1033">
        <v>12.115</v>
      </c>
      <c r="M1033">
        <v>11.64</v>
      </c>
      <c r="N1033">
        <v>10.725</v>
      </c>
      <c r="O1033">
        <v>1667</v>
      </c>
      <c r="P1033">
        <v>362</v>
      </c>
      <c r="Q1033" s="5" t="e">
        <f>IF(AND(#REF!&gt;=table!$C$6,#REF!&lt;= table!$D$6),-1,IF(AND(#REF!&gt;=table!$E$6,#REF!&lt;=table!$F$6),1,0))</f>
        <v>#REF!</v>
      </c>
      <c r="R1033" s="5" t="e">
        <f>IF(AND(#REF!&gt;=table!$C$7,#REF!&lt;= table!$D$7),-1,IF(AND(#REF!&gt;=table!$E$7,#REF!&lt;=table!$F$7),1,0))</f>
        <v>#REF!</v>
      </c>
      <c r="S1033" s="5" t="e">
        <f>IF(AND(#REF!&gt;=table!$C$8,#REF!&lt;= table!$D$8),-1,IF(AND(#REF!&gt;=table!$E$8,#REF!&lt;=table!$F$8),1,0))</f>
        <v>#REF!</v>
      </c>
      <c r="T1033" s="5"/>
      <c r="U1033" s="5" t="e">
        <f>IF(AND(#REF!&gt;=table!$C$10,#REF!&lt;= table!$D$10),-1,IF(AND(#REF!&gt;=table!$E$10,#REF!&lt;=table!$F$10),1,0))</f>
        <v>#REF!</v>
      </c>
      <c r="V1033" s="5" t="e">
        <f>IF(AND(#REF!&gt;=table!$C$11,#REF!&lt;= table!$D$11),-1,IF(AND(#REF!&gt;=table!$E$11,#REF!&lt;=table!$F$11),1,0))</f>
        <v>#REF!</v>
      </c>
      <c r="W1033" s="5" t="e">
        <f>CONCATENATE(dados[[#This Row],[fator1]],dados[[#This Row],[fator5]],dados[[#This Row],[fator6]])</f>
        <v>#REF!</v>
      </c>
    </row>
    <row r="1034" spans="1:23">
      <c r="A1034" t="s">
        <v>17</v>
      </c>
      <c r="B1034">
        <v>483920</v>
      </c>
      <c r="C1034">
        <v>18</v>
      </c>
      <c r="D1034">
        <v>23</v>
      </c>
      <c r="E1034">
        <v>145</v>
      </c>
      <c r="F1034">
        <v>4</v>
      </c>
      <c r="G1034">
        <v>30</v>
      </c>
      <c r="H1034">
        <v>25</v>
      </c>
      <c r="I1034">
        <v>1232</v>
      </c>
      <c r="J1034">
        <v>0</v>
      </c>
      <c r="K1034">
        <v>13.16</v>
      </c>
      <c r="L1034">
        <v>22.85</v>
      </c>
      <c r="M1034">
        <v>130</v>
      </c>
      <c r="N1034">
        <v>20.45</v>
      </c>
      <c r="O1034">
        <v>1647</v>
      </c>
      <c r="P1034">
        <v>252</v>
      </c>
      <c r="Q1034" s="5" t="e">
        <f>IF(AND(#REF!&gt;=table!$C$6,#REF!&lt;= table!$D$6),-1,IF(AND(#REF!&gt;=table!$E$6,#REF!&lt;=table!$F$6),1,0))</f>
        <v>#REF!</v>
      </c>
      <c r="R1034" s="5" t="e">
        <f>IF(AND(#REF!&gt;=table!$C$7,#REF!&lt;= table!$D$7),-1,IF(AND(#REF!&gt;=table!$E$7,#REF!&lt;=table!$F$7),1,0))</f>
        <v>#REF!</v>
      </c>
      <c r="S1034" s="5" t="e">
        <f>IF(AND(#REF!&gt;=table!$C$8,#REF!&lt;= table!$D$8),-1,IF(AND(#REF!&gt;=table!$E$8,#REF!&lt;=table!$F$8),1,0))</f>
        <v>#REF!</v>
      </c>
      <c r="T1034" s="5"/>
      <c r="U1034" s="5" t="e">
        <f>IF(AND(#REF!&gt;=table!$C$10,#REF!&lt;= table!$D$10),-1,IF(AND(#REF!&gt;=table!$E$10,#REF!&lt;=table!$F$10),1,0))</f>
        <v>#REF!</v>
      </c>
      <c r="V1034" s="5" t="e">
        <f>IF(AND(#REF!&gt;=table!$C$11,#REF!&lt;= table!$D$11),-1,IF(AND(#REF!&gt;=table!$E$11,#REF!&lt;=table!$F$11),1,0))</f>
        <v>#REF!</v>
      </c>
      <c r="W1034" s="5" t="e">
        <f>CONCATENATE(dados[[#This Row],[fator1]],dados[[#This Row],[fator5]],dados[[#This Row],[fator6]])</f>
        <v>#REF!</v>
      </c>
    </row>
    <row r="1035" spans="1:23">
      <c r="A1035" t="s">
        <v>16</v>
      </c>
      <c r="B1035">
        <v>483921</v>
      </c>
      <c r="C1035">
        <v>0.15</v>
      </c>
      <c r="D1035">
        <v>40</v>
      </c>
      <c r="E1035">
        <v>10</v>
      </c>
      <c r="F1035">
        <v>15</v>
      </c>
      <c r="G1035">
        <v>0</v>
      </c>
      <c r="H1035">
        <v>15</v>
      </c>
      <c r="I1035">
        <v>925</v>
      </c>
      <c r="J1035">
        <v>0</v>
      </c>
      <c r="K1035">
        <v>4.95</v>
      </c>
      <c r="L1035">
        <v>9.245000000000001</v>
      </c>
      <c r="M1035">
        <v>7.55</v>
      </c>
      <c r="N1035">
        <v>8.9</v>
      </c>
      <c r="O1035">
        <v>1670</v>
      </c>
      <c r="P1035">
        <v>745</v>
      </c>
      <c r="Q1035" s="5" t="e">
        <f>IF(AND(#REF!&gt;=table!$C$6,#REF!&lt;= table!$D$6),-1,IF(AND(#REF!&gt;=table!$E$6,#REF!&lt;=table!$F$6),1,0))</f>
        <v>#REF!</v>
      </c>
      <c r="R1035" s="5" t="e">
        <f>IF(AND(#REF!&gt;=table!$C$7,#REF!&lt;= table!$D$7),-1,IF(AND(#REF!&gt;=table!$E$7,#REF!&lt;=table!$F$7),1,0))</f>
        <v>#REF!</v>
      </c>
      <c r="S1035" s="5" t="e">
        <f>IF(AND(#REF!&gt;=table!$C$8,#REF!&lt;= table!$D$8),-1,IF(AND(#REF!&gt;=table!$E$8,#REF!&lt;=table!$F$8),1,0))</f>
        <v>#REF!</v>
      </c>
      <c r="T1035" s="5"/>
      <c r="U1035" s="5" t="e">
        <f>IF(AND(#REF!&gt;=table!$C$10,#REF!&lt;= table!$D$10),-1,IF(AND(#REF!&gt;=table!$E$10,#REF!&lt;=table!$F$10),1,0))</f>
        <v>#REF!</v>
      </c>
      <c r="V1035" s="5" t="e">
        <f>IF(AND(#REF!&gt;=table!$C$11,#REF!&lt;= table!$D$11),-1,IF(AND(#REF!&gt;=table!$E$11,#REF!&lt;=table!$F$11),1,0))</f>
        <v>#REF!</v>
      </c>
      <c r="W1035" s="5" t="e">
        <f>CONCATENATE(dados[[#This Row],[fator1]],dados[[#This Row],[fator5]],dados[[#This Row],[fator6]])</f>
        <v>#REF!</v>
      </c>
    </row>
    <row r="1036" spans="1:23">
      <c r="A1036" t="s">
        <v>16</v>
      </c>
      <c r="B1036">
        <v>483923</v>
      </c>
      <c r="C1036">
        <v>0.15</v>
      </c>
      <c r="D1036">
        <v>40</v>
      </c>
      <c r="E1036">
        <v>10</v>
      </c>
      <c r="F1036">
        <v>15</v>
      </c>
      <c r="G1036">
        <v>0</v>
      </c>
      <c r="H1036">
        <v>15</v>
      </c>
      <c r="I1036">
        <v>640</v>
      </c>
      <c r="J1036">
        <v>0</v>
      </c>
      <c r="K1036">
        <v>4.29</v>
      </c>
      <c r="L1036">
        <v>9.7200000000000006</v>
      </c>
      <c r="M1036">
        <v>9.2149999999999999</v>
      </c>
      <c r="N1036">
        <v>10.6</v>
      </c>
      <c r="O1036">
        <v>1673</v>
      </c>
      <c r="P1036">
        <v>0</v>
      </c>
      <c r="Q1036" s="5" t="e">
        <f>IF(AND(#REF!&gt;=table!$C$6,#REF!&lt;= table!$D$6),-1,IF(AND(#REF!&gt;=table!$E$6,#REF!&lt;=table!$F$6),1,0))</f>
        <v>#REF!</v>
      </c>
      <c r="R1036" s="5" t="e">
        <f>IF(AND(#REF!&gt;=table!$C$7,#REF!&lt;= table!$D$7),-1,IF(AND(#REF!&gt;=table!$E$7,#REF!&lt;=table!$F$7),1,0))</f>
        <v>#REF!</v>
      </c>
      <c r="S1036" s="5" t="e">
        <f>IF(AND(#REF!&gt;=table!$C$8,#REF!&lt;= table!$D$8),-1,IF(AND(#REF!&gt;=table!$E$8,#REF!&lt;=table!$F$8),1,0))</f>
        <v>#REF!</v>
      </c>
      <c r="T1036" s="5"/>
      <c r="U1036" s="5" t="e">
        <f>IF(AND(#REF!&gt;=table!$C$10,#REF!&lt;= table!$D$10),-1,IF(AND(#REF!&gt;=table!$E$10,#REF!&lt;=table!$F$10),1,0))</f>
        <v>#REF!</v>
      </c>
      <c r="V1036" s="5" t="e">
        <f>IF(AND(#REF!&gt;=table!$C$11,#REF!&lt;= table!$D$11),-1,IF(AND(#REF!&gt;=table!$E$11,#REF!&lt;=table!$F$11),1,0))</f>
        <v>#REF!</v>
      </c>
      <c r="W1036" s="5" t="e">
        <f>CONCATENATE(dados[[#This Row],[fator1]],dados[[#This Row],[fator5]],dados[[#This Row],[fator6]])</f>
        <v>#REF!</v>
      </c>
    </row>
    <row r="1037" spans="1:23">
      <c r="A1037" t="s">
        <v>17</v>
      </c>
      <c r="B1037">
        <v>483924</v>
      </c>
      <c r="C1037">
        <v>14</v>
      </c>
      <c r="D1037">
        <v>30</v>
      </c>
      <c r="E1037">
        <v>86</v>
      </c>
      <c r="F1037">
        <v>9</v>
      </c>
      <c r="G1037">
        <v>20</v>
      </c>
      <c r="H1037">
        <v>25</v>
      </c>
      <c r="I1037">
        <v>2144</v>
      </c>
      <c r="J1037">
        <v>0</v>
      </c>
      <c r="K1037">
        <v>5.47</v>
      </c>
      <c r="L1037">
        <v>10.59</v>
      </c>
      <c r="M1037">
        <v>70.855000000000004</v>
      </c>
      <c r="N1037">
        <v>15.015000000000001</v>
      </c>
      <c r="O1037">
        <v>1669</v>
      </c>
      <c r="P1037">
        <v>0</v>
      </c>
      <c r="Q1037" s="5" t="e">
        <f>IF(AND(#REF!&gt;=table!$C$6,#REF!&lt;= table!$D$6),-1,IF(AND(#REF!&gt;=table!$E$6,#REF!&lt;=table!$F$6),1,0))</f>
        <v>#REF!</v>
      </c>
      <c r="R1037" s="5" t="e">
        <f>IF(AND(#REF!&gt;=table!$C$7,#REF!&lt;= table!$D$7),-1,IF(AND(#REF!&gt;=table!$E$7,#REF!&lt;=table!$F$7),1,0))</f>
        <v>#REF!</v>
      </c>
      <c r="S1037" s="5" t="e">
        <f>IF(AND(#REF!&gt;=table!$C$8,#REF!&lt;= table!$D$8),-1,IF(AND(#REF!&gt;=table!$E$8,#REF!&lt;=table!$F$8),1,0))</f>
        <v>#REF!</v>
      </c>
      <c r="T1037" s="5"/>
      <c r="U1037" s="5" t="e">
        <f>IF(AND(#REF!&gt;=table!$C$10,#REF!&lt;= table!$D$10),-1,IF(AND(#REF!&gt;=table!$E$10,#REF!&lt;=table!$F$10),1,0))</f>
        <v>#REF!</v>
      </c>
      <c r="V1037" s="5" t="e">
        <f>IF(AND(#REF!&gt;=table!$C$11,#REF!&lt;= table!$D$11),-1,IF(AND(#REF!&gt;=table!$E$11,#REF!&lt;=table!$F$11),1,0))</f>
        <v>#REF!</v>
      </c>
      <c r="W1037" s="5" t="e">
        <f>CONCATENATE(dados[[#This Row],[fator1]],dados[[#This Row],[fator5]],dados[[#This Row],[fator6]])</f>
        <v>#REF!</v>
      </c>
    </row>
    <row r="1038" spans="1:23">
      <c r="A1038" t="s">
        <v>17</v>
      </c>
      <c r="B1038">
        <v>483925</v>
      </c>
      <c r="C1038">
        <v>16</v>
      </c>
      <c r="D1038">
        <v>30</v>
      </c>
      <c r="E1038">
        <v>106</v>
      </c>
      <c r="F1038">
        <v>9</v>
      </c>
      <c r="G1038">
        <v>20</v>
      </c>
      <c r="H1038">
        <v>25</v>
      </c>
      <c r="I1038">
        <v>0</v>
      </c>
      <c r="J1038">
        <v>0</v>
      </c>
      <c r="K1038">
        <v>5.5750000000000002</v>
      </c>
      <c r="L1038">
        <v>17</v>
      </c>
      <c r="M1038">
        <v>100</v>
      </c>
      <c r="N1038">
        <v>18.45</v>
      </c>
      <c r="O1038">
        <v>1698</v>
      </c>
      <c r="P1038">
        <v>592</v>
      </c>
      <c r="Q1038" s="5" t="e">
        <f>IF(AND(#REF!&gt;=table!$C$6,#REF!&lt;= table!$D$6),-1,IF(AND(#REF!&gt;=table!$E$6,#REF!&lt;=table!$F$6),1,0))</f>
        <v>#REF!</v>
      </c>
      <c r="R1038" s="5" t="e">
        <f>IF(AND(#REF!&gt;=table!$C$7,#REF!&lt;= table!$D$7),-1,IF(AND(#REF!&gt;=table!$E$7,#REF!&lt;=table!$F$7),1,0))</f>
        <v>#REF!</v>
      </c>
      <c r="S1038" s="5" t="e">
        <f>IF(AND(#REF!&gt;=table!$C$8,#REF!&lt;= table!$D$8),-1,IF(AND(#REF!&gt;=table!$E$8,#REF!&lt;=table!$F$8),1,0))</f>
        <v>#REF!</v>
      </c>
      <c r="T1038" s="5"/>
      <c r="U1038" s="5" t="e">
        <f>IF(AND(#REF!&gt;=table!$C$10,#REF!&lt;= table!$D$10),-1,IF(AND(#REF!&gt;=table!$E$10,#REF!&lt;=table!$F$10),1,0))</f>
        <v>#REF!</v>
      </c>
      <c r="V1038" s="5" t="e">
        <f>IF(AND(#REF!&gt;=table!$C$11,#REF!&lt;= table!$D$11),-1,IF(AND(#REF!&gt;=table!$E$11,#REF!&lt;=table!$F$11),1,0))</f>
        <v>#REF!</v>
      </c>
      <c r="W1038" s="5" t="e">
        <f>CONCATENATE(dados[[#This Row],[fator1]],dados[[#This Row],[fator5]],dados[[#This Row],[fator6]])</f>
        <v>#REF!</v>
      </c>
    </row>
    <row r="1039" spans="1:23">
      <c r="A1039" t="s">
        <v>17</v>
      </c>
      <c r="B1039">
        <v>483927</v>
      </c>
      <c r="C1039">
        <v>16</v>
      </c>
      <c r="D1039">
        <v>30</v>
      </c>
      <c r="E1039">
        <v>106</v>
      </c>
      <c r="F1039">
        <v>9</v>
      </c>
      <c r="G1039">
        <v>20</v>
      </c>
      <c r="H1039">
        <v>25</v>
      </c>
      <c r="I1039">
        <v>699</v>
      </c>
      <c r="J1039">
        <v>0</v>
      </c>
      <c r="K1039">
        <v>17.7</v>
      </c>
      <c r="L1039">
        <v>20.835000000000001</v>
      </c>
      <c r="M1039">
        <v>92.9</v>
      </c>
      <c r="N1039">
        <v>24.05</v>
      </c>
      <c r="O1039">
        <v>1669</v>
      </c>
      <c r="P1039">
        <v>211</v>
      </c>
      <c r="Q1039" s="5" t="e">
        <f>IF(AND(#REF!&gt;=table!$C$6,#REF!&lt;= table!$D$6),-1,IF(AND(#REF!&gt;=table!$E$6,#REF!&lt;=table!$F$6),1,0))</f>
        <v>#REF!</v>
      </c>
      <c r="R1039" s="5" t="e">
        <f>IF(AND(#REF!&gt;=table!$C$7,#REF!&lt;= table!$D$7),-1,IF(AND(#REF!&gt;=table!$E$7,#REF!&lt;=table!$F$7),1,0))</f>
        <v>#REF!</v>
      </c>
      <c r="S1039" s="5" t="e">
        <f>IF(AND(#REF!&gt;=table!$C$8,#REF!&lt;= table!$D$8),-1,IF(AND(#REF!&gt;=table!$E$8,#REF!&lt;=table!$F$8),1,0))</f>
        <v>#REF!</v>
      </c>
      <c r="T1039" s="5"/>
      <c r="U1039" s="5" t="e">
        <f>IF(AND(#REF!&gt;=table!$C$10,#REF!&lt;= table!$D$10),-1,IF(AND(#REF!&gt;=table!$E$10,#REF!&lt;=table!$F$10),1,0))</f>
        <v>#REF!</v>
      </c>
      <c r="V1039" s="5" t="e">
        <f>IF(AND(#REF!&gt;=table!$C$11,#REF!&lt;= table!$D$11),-1,IF(AND(#REF!&gt;=table!$E$11,#REF!&lt;=table!$F$11),1,0))</f>
        <v>#REF!</v>
      </c>
      <c r="W1039" s="5" t="e">
        <f>CONCATENATE(dados[[#This Row],[fator1]],dados[[#This Row],[fator5]],dados[[#This Row],[fator6]])</f>
        <v>#REF!</v>
      </c>
    </row>
    <row r="1040" spans="1:23">
      <c r="A1040" t="s">
        <v>16</v>
      </c>
      <c r="B1040">
        <v>483931</v>
      </c>
      <c r="C1040">
        <v>0.15</v>
      </c>
      <c r="D1040">
        <v>40</v>
      </c>
      <c r="E1040">
        <v>10</v>
      </c>
      <c r="F1040">
        <v>15</v>
      </c>
      <c r="G1040">
        <v>0</v>
      </c>
      <c r="H1040">
        <v>15</v>
      </c>
      <c r="I1040">
        <v>0</v>
      </c>
      <c r="J1040">
        <v>0</v>
      </c>
      <c r="K1040">
        <v>7.415</v>
      </c>
      <c r="L1040">
        <v>12.59</v>
      </c>
      <c r="M1040">
        <v>11.245000000000001</v>
      </c>
      <c r="N1040">
        <v>12.48</v>
      </c>
      <c r="O1040">
        <v>1665</v>
      </c>
      <c r="P1040">
        <v>0</v>
      </c>
      <c r="Q1040" s="5" t="e">
        <f>IF(AND(#REF!&gt;=table!$C$6,#REF!&lt;= table!$D$6),-1,IF(AND(#REF!&gt;=table!$E$6,#REF!&lt;=table!$F$6),1,0))</f>
        <v>#REF!</v>
      </c>
      <c r="R1040" s="5" t="e">
        <f>IF(AND(#REF!&gt;=table!$C$7,#REF!&lt;= table!$D$7),-1,IF(AND(#REF!&gt;=table!$E$7,#REF!&lt;=table!$F$7),1,0))</f>
        <v>#REF!</v>
      </c>
      <c r="S1040" s="5" t="e">
        <f>IF(AND(#REF!&gt;=table!$C$8,#REF!&lt;= table!$D$8),-1,IF(AND(#REF!&gt;=table!$E$8,#REF!&lt;=table!$F$8),1,0))</f>
        <v>#REF!</v>
      </c>
      <c r="T1040" s="5"/>
      <c r="U1040" s="5" t="e">
        <f>IF(AND(#REF!&gt;=table!$C$10,#REF!&lt;= table!$D$10),-1,IF(AND(#REF!&gt;=table!$E$10,#REF!&lt;=table!$F$10),1,0))</f>
        <v>#REF!</v>
      </c>
      <c r="V1040" s="5" t="e">
        <f>IF(AND(#REF!&gt;=table!$C$11,#REF!&lt;= table!$D$11),-1,IF(AND(#REF!&gt;=table!$E$11,#REF!&lt;=table!$F$11),1,0))</f>
        <v>#REF!</v>
      </c>
      <c r="W1040" s="5" t="e">
        <f>CONCATENATE(dados[[#This Row],[fator1]],dados[[#This Row],[fator5]],dados[[#This Row],[fator6]])</f>
        <v>#REF!</v>
      </c>
    </row>
    <row r="1041" spans="1:23">
      <c r="A1041" t="s">
        <v>17</v>
      </c>
      <c r="B1041">
        <v>483933</v>
      </c>
      <c r="C1041">
        <v>46</v>
      </c>
      <c r="D1041">
        <v>18</v>
      </c>
      <c r="E1041">
        <v>66</v>
      </c>
      <c r="F1041">
        <v>10</v>
      </c>
      <c r="G1041">
        <v>20</v>
      </c>
      <c r="H1041">
        <v>23</v>
      </c>
      <c r="I1041">
        <v>1097</v>
      </c>
      <c r="J1041">
        <v>0</v>
      </c>
      <c r="K1041">
        <v>4.665</v>
      </c>
      <c r="L1041">
        <v>13.85</v>
      </c>
      <c r="M1041">
        <v>56.300000000000004</v>
      </c>
      <c r="N1041">
        <v>20.55</v>
      </c>
      <c r="O1041">
        <v>1702</v>
      </c>
      <c r="P1041">
        <v>820</v>
      </c>
      <c r="Q1041" s="5" t="e">
        <f>IF(AND(#REF!&gt;=table!$C$6,#REF!&lt;= table!$D$6),-1,IF(AND(#REF!&gt;=table!$E$6,#REF!&lt;=table!$F$6),1,0))</f>
        <v>#REF!</v>
      </c>
      <c r="R1041" s="5" t="e">
        <f>IF(AND(#REF!&gt;=table!$C$7,#REF!&lt;= table!$D$7),-1,IF(AND(#REF!&gt;=table!$E$7,#REF!&lt;=table!$F$7),1,0))</f>
        <v>#REF!</v>
      </c>
      <c r="S1041" s="5" t="e">
        <f>IF(AND(#REF!&gt;=table!$C$8,#REF!&lt;= table!$D$8),-1,IF(AND(#REF!&gt;=table!$E$8,#REF!&lt;=table!$F$8),1,0))</f>
        <v>#REF!</v>
      </c>
      <c r="T1041" s="5"/>
      <c r="U1041" s="5" t="e">
        <f>IF(AND(#REF!&gt;=table!$C$10,#REF!&lt;= table!$D$10),-1,IF(AND(#REF!&gt;=table!$E$10,#REF!&lt;=table!$F$10),1,0))</f>
        <v>#REF!</v>
      </c>
      <c r="V1041" s="5" t="e">
        <f>IF(AND(#REF!&gt;=table!$C$11,#REF!&lt;= table!$D$11),-1,IF(AND(#REF!&gt;=table!$E$11,#REF!&lt;=table!$F$11),1,0))</f>
        <v>#REF!</v>
      </c>
      <c r="W1041" s="5" t="e">
        <f>CONCATENATE(dados[[#This Row],[fator1]],dados[[#This Row],[fator5]],dados[[#This Row],[fator6]])</f>
        <v>#REF!</v>
      </c>
    </row>
    <row r="1042" spans="1:23">
      <c r="A1042" t="s">
        <v>17</v>
      </c>
      <c r="B1042">
        <v>483937</v>
      </c>
      <c r="C1042">
        <v>18</v>
      </c>
      <c r="D1042">
        <v>23</v>
      </c>
      <c r="E1042">
        <v>145</v>
      </c>
      <c r="F1042">
        <v>9</v>
      </c>
      <c r="G1042">
        <v>30</v>
      </c>
      <c r="H1042">
        <v>25</v>
      </c>
      <c r="I1042">
        <v>261</v>
      </c>
      <c r="J1042">
        <v>0</v>
      </c>
      <c r="K1042">
        <v>12.63</v>
      </c>
      <c r="L1042">
        <v>14.6</v>
      </c>
      <c r="M1042">
        <v>49.39</v>
      </c>
      <c r="N1042">
        <v>15.025</v>
      </c>
      <c r="O1042">
        <v>1683</v>
      </c>
      <c r="P1042">
        <v>316</v>
      </c>
      <c r="Q1042" s="5" t="e">
        <f>IF(AND(#REF!&gt;=table!$C$6,#REF!&lt;= table!$D$6),-1,IF(AND(#REF!&gt;=table!$E$6,#REF!&lt;=table!$F$6),1,0))</f>
        <v>#REF!</v>
      </c>
      <c r="R1042" s="5" t="e">
        <f>IF(AND(#REF!&gt;=table!$C$7,#REF!&lt;= table!$D$7),-1,IF(AND(#REF!&gt;=table!$E$7,#REF!&lt;=table!$F$7),1,0))</f>
        <v>#REF!</v>
      </c>
      <c r="S1042" s="5" t="e">
        <f>IF(AND(#REF!&gt;=table!$C$8,#REF!&lt;= table!$D$8),-1,IF(AND(#REF!&gt;=table!$E$8,#REF!&lt;=table!$F$8),1,0))</f>
        <v>#REF!</v>
      </c>
      <c r="T1042" s="5"/>
      <c r="U1042" s="5" t="e">
        <f>IF(AND(#REF!&gt;=table!$C$10,#REF!&lt;= table!$D$10),-1,IF(AND(#REF!&gt;=table!$E$10,#REF!&lt;=table!$F$10),1,0))</f>
        <v>#REF!</v>
      </c>
      <c r="V1042" s="5" t="e">
        <f>IF(AND(#REF!&gt;=table!$C$11,#REF!&lt;= table!$D$11),-1,IF(AND(#REF!&gt;=table!$E$11,#REF!&lt;=table!$F$11),1,0))</f>
        <v>#REF!</v>
      </c>
      <c r="W1042" s="5" t="e">
        <f>CONCATENATE(dados[[#This Row],[fator1]],dados[[#This Row],[fator5]],dados[[#This Row],[fator6]])</f>
        <v>#REF!</v>
      </c>
    </row>
    <row r="1043" spans="1:23">
      <c r="A1043" t="s">
        <v>17</v>
      </c>
      <c r="B1043">
        <v>483939</v>
      </c>
      <c r="C1043">
        <v>24</v>
      </c>
      <c r="D1043">
        <v>30</v>
      </c>
      <c r="E1043">
        <v>106</v>
      </c>
      <c r="F1043">
        <v>9</v>
      </c>
      <c r="G1043">
        <v>20</v>
      </c>
      <c r="H1043">
        <v>25</v>
      </c>
      <c r="I1043">
        <v>672</v>
      </c>
      <c r="J1043">
        <v>0</v>
      </c>
      <c r="K1043">
        <v>12.52</v>
      </c>
      <c r="L1043">
        <v>21.25</v>
      </c>
      <c r="M1043">
        <v>94.65</v>
      </c>
      <c r="N1043">
        <v>21.3</v>
      </c>
      <c r="O1043">
        <v>1675</v>
      </c>
      <c r="P1043">
        <v>0</v>
      </c>
      <c r="Q1043" s="5" t="e">
        <f>IF(AND(#REF!&gt;=table!$C$6,#REF!&lt;= table!$D$6),-1,IF(AND(#REF!&gt;=table!$E$6,#REF!&lt;=table!$F$6),1,0))</f>
        <v>#REF!</v>
      </c>
      <c r="R1043" s="5" t="e">
        <f>IF(AND(#REF!&gt;=table!$C$7,#REF!&lt;= table!$D$7),-1,IF(AND(#REF!&gt;=table!$E$7,#REF!&lt;=table!$F$7),1,0))</f>
        <v>#REF!</v>
      </c>
      <c r="S1043" s="5" t="e">
        <f>IF(AND(#REF!&gt;=table!$C$8,#REF!&lt;= table!$D$8),-1,IF(AND(#REF!&gt;=table!$E$8,#REF!&lt;=table!$F$8),1,0))</f>
        <v>#REF!</v>
      </c>
      <c r="T1043" s="5"/>
      <c r="U1043" s="5" t="e">
        <f>IF(AND(#REF!&gt;=table!$C$10,#REF!&lt;= table!$D$10),-1,IF(AND(#REF!&gt;=table!$E$10,#REF!&lt;=table!$F$10),1,0))</f>
        <v>#REF!</v>
      </c>
      <c r="V1043" s="5" t="e">
        <f>IF(AND(#REF!&gt;=table!$C$11,#REF!&lt;= table!$D$11),-1,IF(AND(#REF!&gt;=table!$E$11,#REF!&lt;=table!$F$11),1,0))</f>
        <v>#REF!</v>
      </c>
      <c r="W1043" s="5" t="e">
        <f>CONCATENATE(dados[[#This Row],[fator1]],dados[[#This Row],[fator5]],dados[[#This Row],[fator6]])</f>
        <v>#REF!</v>
      </c>
    </row>
    <row r="1044" spans="1:23">
      <c r="A1044" t="s">
        <v>16</v>
      </c>
      <c r="B1044">
        <v>483940</v>
      </c>
      <c r="C1044">
        <v>8</v>
      </c>
      <c r="D1044">
        <v>30</v>
      </c>
      <c r="E1044">
        <v>61</v>
      </c>
      <c r="F1044">
        <v>8</v>
      </c>
      <c r="G1044">
        <v>0</v>
      </c>
      <c r="H1044">
        <v>25</v>
      </c>
      <c r="I1044">
        <v>207</v>
      </c>
      <c r="J1044">
        <v>0</v>
      </c>
      <c r="K1044">
        <v>10.33</v>
      </c>
      <c r="L1044">
        <v>16.850000000000001</v>
      </c>
      <c r="M1044">
        <v>51.95</v>
      </c>
      <c r="N1044">
        <v>17.55</v>
      </c>
      <c r="O1044">
        <v>1666</v>
      </c>
      <c r="P1044">
        <v>0</v>
      </c>
      <c r="Q1044" s="5" t="e">
        <f>IF(AND(#REF!&gt;=table!$C$6,#REF!&lt;= table!$D$6),-1,IF(AND(#REF!&gt;=table!$E$6,#REF!&lt;=table!$F$6),1,0))</f>
        <v>#REF!</v>
      </c>
      <c r="R1044" s="5" t="e">
        <f>IF(AND(#REF!&gt;=table!$C$7,#REF!&lt;= table!$D$7),-1,IF(AND(#REF!&gt;=table!$E$7,#REF!&lt;=table!$F$7),1,0))</f>
        <v>#REF!</v>
      </c>
      <c r="S1044" s="5" t="e">
        <f>IF(AND(#REF!&gt;=table!$C$8,#REF!&lt;= table!$D$8),-1,IF(AND(#REF!&gt;=table!$E$8,#REF!&lt;=table!$F$8),1,0))</f>
        <v>#REF!</v>
      </c>
      <c r="T1044" s="5"/>
      <c r="U1044" s="5" t="e">
        <f>IF(AND(#REF!&gt;=table!$C$10,#REF!&lt;= table!$D$10),-1,IF(AND(#REF!&gt;=table!$E$10,#REF!&lt;=table!$F$10),1,0))</f>
        <v>#REF!</v>
      </c>
      <c r="V1044" s="5" t="e">
        <f>IF(AND(#REF!&gt;=table!$C$11,#REF!&lt;= table!$D$11),-1,IF(AND(#REF!&gt;=table!$E$11,#REF!&lt;=table!$F$11),1,0))</f>
        <v>#REF!</v>
      </c>
      <c r="W1044" s="5" t="e">
        <f>CONCATENATE(dados[[#This Row],[fator1]],dados[[#This Row],[fator5]],dados[[#This Row],[fator6]])</f>
        <v>#REF!</v>
      </c>
    </row>
    <row r="1045" spans="1:23">
      <c r="A1045" t="s">
        <v>16</v>
      </c>
      <c r="B1045">
        <v>483943</v>
      </c>
      <c r="C1045">
        <v>6</v>
      </c>
      <c r="D1045">
        <v>40</v>
      </c>
      <c r="E1045">
        <v>66</v>
      </c>
      <c r="F1045">
        <v>8</v>
      </c>
      <c r="G1045">
        <v>0</v>
      </c>
      <c r="H1045">
        <v>25</v>
      </c>
      <c r="I1045">
        <v>0</v>
      </c>
      <c r="J1045">
        <v>0</v>
      </c>
      <c r="K1045">
        <v>5.36</v>
      </c>
      <c r="L1045">
        <v>11.35</v>
      </c>
      <c r="M1045">
        <v>52.6</v>
      </c>
      <c r="N1045">
        <v>11.450000000000001</v>
      </c>
      <c r="O1045">
        <v>1667</v>
      </c>
      <c r="P1045">
        <v>713</v>
      </c>
      <c r="Q1045" s="5" t="e">
        <f>IF(AND(#REF!&gt;=table!$C$6,#REF!&lt;= table!$D$6),-1,IF(AND(#REF!&gt;=table!$E$6,#REF!&lt;=table!$F$6),1,0))</f>
        <v>#REF!</v>
      </c>
      <c r="R1045" s="5" t="e">
        <f>IF(AND(#REF!&gt;=table!$C$7,#REF!&lt;= table!$D$7),-1,IF(AND(#REF!&gt;=table!$E$7,#REF!&lt;=table!$F$7),1,0))</f>
        <v>#REF!</v>
      </c>
      <c r="S1045" s="5" t="e">
        <f>IF(AND(#REF!&gt;=table!$C$8,#REF!&lt;= table!$D$8),-1,IF(AND(#REF!&gt;=table!$E$8,#REF!&lt;=table!$F$8),1,0))</f>
        <v>#REF!</v>
      </c>
      <c r="T1045" s="5"/>
      <c r="U1045" s="5" t="e">
        <f>IF(AND(#REF!&gt;=table!$C$10,#REF!&lt;= table!$D$10),-1,IF(AND(#REF!&gt;=table!$E$10,#REF!&lt;=table!$F$10),1,0))</f>
        <v>#REF!</v>
      </c>
      <c r="V1045" s="5" t="e">
        <f>IF(AND(#REF!&gt;=table!$C$11,#REF!&lt;= table!$D$11),-1,IF(AND(#REF!&gt;=table!$E$11,#REF!&lt;=table!$F$11),1,0))</f>
        <v>#REF!</v>
      </c>
      <c r="W1045" s="5" t="e">
        <f>CONCATENATE(dados[[#This Row],[fator1]],dados[[#This Row],[fator5]],dados[[#This Row],[fator6]])</f>
        <v>#REF!</v>
      </c>
    </row>
    <row r="1046" spans="1:23">
      <c r="A1046" t="s">
        <v>16</v>
      </c>
      <c r="B1046">
        <v>483944</v>
      </c>
      <c r="C1046">
        <v>8</v>
      </c>
      <c r="D1046">
        <v>30</v>
      </c>
      <c r="E1046">
        <v>61</v>
      </c>
      <c r="F1046">
        <v>8</v>
      </c>
      <c r="G1046">
        <v>0</v>
      </c>
      <c r="H1046">
        <v>25</v>
      </c>
      <c r="I1046">
        <v>490</v>
      </c>
      <c r="J1046">
        <v>0</v>
      </c>
      <c r="K1046">
        <v>5.3150000000000004</v>
      </c>
      <c r="L1046">
        <v>11.25</v>
      </c>
      <c r="M1046">
        <v>52.75</v>
      </c>
      <c r="N1046">
        <v>12.65</v>
      </c>
      <c r="O1046">
        <v>1651</v>
      </c>
      <c r="P1046">
        <v>643</v>
      </c>
      <c r="Q1046" s="5" t="e">
        <f>IF(AND(#REF!&gt;=table!$C$6,#REF!&lt;= table!$D$6),-1,IF(AND(#REF!&gt;=table!$E$6,#REF!&lt;=table!$F$6),1,0))</f>
        <v>#REF!</v>
      </c>
      <c r="R1046" s="5" t="e">
        <f>IF(AND(#REF!&gt;=table!$C$7,#REF!&lt;= table!$D$7),-1,IF(AND(#REF!&gt;=table!$E$7,#REF!&lt;=table!$F$7),1,0))</f>
        <v>#REF!</v>
      </c>
      <c r="S1046" s="5" t="e">
        <f>IF(AND(#REF!&gt;=table!$C$8,#REF!&lt;= table!$D$8),-1,IF(AND(#REF!&gt;=table!$E$8,#REF!&lt;=table!$F$8),1,0))</f>
        <v>#REF!</v>
      </c>
      <c r="T1046" s="5"/>
      <c r="U1046" s="5" t="e">
        <f>IF(AND(#REF!&gt;=table!$C$10,#REF!&lt;= table!$D$10),-1,IF(AND(#REF!&gt;=table!$E$10,#REF!&lt;=table!$F$10),1,0))</f>
        <v>#REF!</v>
      </c>
      <c r="V1046" s="5" t="e">
        <f>IF(AND(#REF!&gt;=table!$C$11,#REF!&lt;= table!$D$11),-1,IF(AND(#REF!&gt;=table!$E$11,#REF!&lt;=table!$F$11),1,0))</f>
        <v>#REF!</v>
      </c>
      <c r="W1046" s="5" t="e">
        <f>CONCATENATE(dados[[#This Row],[fator1]],dados[[#This Row],[fator5]],dados[[#This Row],[fator6]])</f>
        <v>#REF!</v>
      </c>
    </row>
    <row r="1047" spans="1:23">
      <c r="A1047" t="s">
        <v>16</v>
      </c>
      <c r="B1047">
        <v>483945</v>
      </c>
      <c r="C1047">
        <v>6</v>
      </c>
      <c r="D1047">
        <v>40</v>
      </c>
      <c r="E1047">
        <v>66</v>
      </c>
      <c r="F1047">
        <v>10</v>
      </c>
      <c r="G1047">
        <v>0</v>
      </c>
      <c r="H1047">
        <v>25</v>
      </c>
      <c r="I1047">
        <v>29</v>
      </c>
      <c r="J1047">
        <v>0</v>
      </c>
      <c r="K1047">
        <v>5.1450000000000005</v>
      </c>
      <c r="L1047">
        <v>11.75</v>
      </c>
      <c r="M1047">
        <v>52.95</v>
      </c>
      <c r="N1047">
        <v>11.74</v>
      </c>
      <c r="O1047">
        <v>1665</v>
      </c>
      <c r="P1047">
        <v>787</v>
      </c>
      <c r="Q1047" s="5" t="e">
        <f>IF(AND(#REF!&gt;=table!$C$6,#REF!&lt;= table!$D$6),-1,IF(AND(#REF!&gt;=table!$E$6,#REF!&lt;=table!$F$6),1,0))</f>
        <v>#REF!</v>
      </c>
      <c r="R1047" s="5" t="e">
        <f>IF(AND(#REF!&gt;=table!$C$7,#REF!&lt;= table!$D$7),-1,IF(AND(#REF!&gt;=table!$E$7,#REF!&lt;=table!$F$7),1,0))</f>
        <v>#REF!</v>
      </c>
      <c r="S1047" s="5" t="e">
        <f>IF(AND(#REF!&gt;=table!$C$8,#REF!&lt;= table!$D$8),-1,IF(AND(#REF!&gt;=table!$E$8,#REF!&lt;=table!$F$8),1,0))</f>
        <v>#REF!</v>
      </c>
      <c r="T1047" s="5"/>
      <c r="U1047" s="5" t="e">
        <f>IF(AND(#REF!&gt;=table!$C$10,#REF!&lt;= table!$D$10),-1,IF(AND(#REF!&gt;=table!$E$10,#REF!&lt;=table!$F$10),1,0))</f>
        <v>#REF!</v>
      </c>
      <c r="V1047" s="5" t="e">
        <f>IF(AND(#REF!&gt;=table!$C$11,#REF!&lt;= table!$D$11),-1,IF(AND(#REF!&gt;=table!$E$11,#REF!&lt;=table!$F$11),1,0))</f>
        <v>#REF!</v>
      </c>
      <c r="W1047" s="5" t="e">
        <f>CONCATENATE(dados[[#This Row],[fator1]],dados[[#This Row],[fator5]],dados[[#This Row],[fator6]])</f>
        <v>#REF!</v>
      </c>
    </row>
    <row r="1048" spans="1:23">
      <c r="A1048" t="s">
        <v>16</v>
      </c>
      <c r="B1048">
        <v>483947</v>
      </c>
      <c r="C1048">
        <v>6</v>
      </c>
      <c r="D1048">
        <v>40</v>
      </c>
      <c r="E1048">
        <v>30</v>
      </c>
      <c r="F1048">
        <v>4</v>
      </c>
      <c r="G1048">
        <v>0</v>
      </c>
      <c r="H1048">
        <v>23</v>
      </c>
      <c r="I1048">
        <v>484</v>
      </c>
      <c r="J1048">
        <v>0</v>
      </c>
      <c r="K1048">
        <v>6.19</v>
      </c>
      <c r="L1048">
        <v>12.4</v>
      </c>
      <c r="M1048">
        <v>33.795000000000002</v>
      </c>
      <c r="N1048">
        <v>11.315000000000001</v>
      </c>
      <c r="O1048">
        <v>1669</v>
      </c>
      <c r="P1048">
        <v>548</v>
      </c>
      <c r="Q1048" s="5" t="e">
        <f>IF(AND(#REF!&gt;=table!$C$6,#REF!&lt;= table!$D$6),-1,IF(AND(#REF!&gt;=table!$E$6,#REF!&lt;=table!$F$6),1,0))</f>
        <v>#REF!</v>
      </c>
      <c r="R1048" s="5" t="e">
        <f>IF(AND(#REF!&gt;=table!$C$7,#REF!&lt;= table!$D$7),-1,IF(AND(#REF!&gt;=table!$E$7,#REF!&lt;=table!$F$7),1,0))</f>
        <v>#REF!</v>
      </c>
      <c r="S1048" s="5" t="e">
        <f>IF(AND(#REF!&gt;=table!$C$8,#REF!&lt;= table!$D$8),-1,IF(AND(#REF!&gt;=table!$E$8,#REF!&lt;=table!$F$8),1,0))</f>
        <v>#REF!</v>
      </c>
      <c r="T1048" s="5"/>
      <c r="U1048" s="5" t="e">
        <f>IF(AND(#REF!&gt;=table!$C$10,#REF!&lt;= table!$D$10),-1,IF(AND(#REF!&gt;=table!$E$10,#REF!&lt;=table!$F$10),1,0))</f>
        <v>#REF!</v>
      </c>
      <c r="V1048" s="5" t="e">
        <f>IF(AND(#REF!&gt;=table!$C$11,#REF!&lt;= table!$D$11),-1,IF(AND(#REF!&gt;=table!$E$11,#REF!&lt;=table!$F$11),1,0))</f>
        <v>#REF!</v>
      </c>
      <c r="W1048" s="5" t="e">
        <f>CONCATENATE(dados[[#This Row],[fator1]],dados[[#This Row],[fator5]],dados[[#This Row],[fator6]])</f>
        <v>#REF!</v>
      </c>
    </row>
    <row r="1049" spans="1:23">
      <c r="A1049" t="s">
        <v>16</v>
      </c>
      <c r="B1049">
        <v>483949</v>
      </c>
      <c r="C1049">
        <v>0.15</v>
      </c>
      <c r="D1049">
        <v>40</v>
      </c>
      <c r="E1049">
        <v>64</v>
      </c>
      <c r="F1049">
        <v>10</v>
      </c>
      <c r="G1049">
        <v>0</v>
      </c>
      <c r="H1049">
        <v>35</v>
      </c>
      <c r="I1049">
        <v>0</v>
      </c>
      <c r="J1049">
        <v>0</v>
      </c>
      <c r="K1049">
        <v>3.3050000000000002</v>
      </c>
      <c r="L1049">
        <v>13.450000000000001</v>
      </c>
      <c r="M1049">
        <v>12.35</v>
      </c>
      <c r="N1049">
        <v>20.75</v>
      </c>
      <c r="O1049">
        <v>1643</v>
      </c>
      <c r="P1049">
        <v>817</v>
      </c>
      <c r="Q1049" s="5" t="e">
        <f>IF(AND(#REF!&gt;=table!$C$6,#REF!&lt;= table!$D$6),-1,IF(AND(#REF!&gt;=table!$E$6,#REF!&lt;=table!$F$6),1,0))</f>
        <v>#REF!</v>
      </c>
      <c r="R1049" s="5" t="e">
        <f>IF(AND(#REF!&gt;=table!$C$7,#REF!&lt;= table!$D$7),-1,IF(AND(#REF!&gt;=table!$E$7,#REF!&lt;=table!$F$7),1,0))</f>
        <v>#REF!</v>
      </c>
      <c r="S1049" s="5" t="e">
        <f>IF(AND(#REF!&gt;=table!$C$8,#REF!&lt;= table!$D$8),-1,IF(AND(#REF!&gt;=table!$E$8,#REF!&lt;=table!$F$8),1,0))</f>
        <v>#REF!</v>
      </c>
      <c r="T1049" s="5"/>
      <c r="U1049" s="5" t="e">
        <f>IF(AND(#REF!&gt;=table!$C$10,#REF!&lt;= table!$D$10),-1,IF(AND(#REF!&gt;=table!$E$10,#REF!&lt;=table!$F$10),1,0))</f>
        <v>#REF!</v>
      </c>
      <c r="V1049" s="5" t="e">
        <f>IF(AND(#REF!&gt;=table!$C$11,#REF!&lt;= table!$D$11),-1,IF(AND(#REF!&gt;=table!$E$11,#REF!&lt;=table!$F$11),1,0))</f>
        <v>#REF!</v>
      </c>
      <c r="W1049" s="5" t="e">
        <f>CONCATENATE(dados[[#This Row],[fator1]],dados[[#This Row],[fator5]],dados[[#This Row],[fator6]])</f>
        <v>#REF!</v>
      </c>
    </row>
    <row r="1050" spans="1:23">
      <c r="A1050" t="s">
        <v>16</v>
      </c>
      <c r="B1050">
        <v>483951</v>
      </c>
      <c r="C1050">
        <v>0.15</v>
      </c>
      <c r="D1050">
        <v>40</v>
      </c>
      <c r="E1050">
        <v>64</v>
      </c>
      <c r="F1050">
        <v>10</v>
      </c>
      <c r="G1050">
        <v>0</v>
      </c>
      <c r="H1050">
        <v>35</v>
      </c>
      <c r="I1050">
        <v>362</v>
      </c>
      <c r="J1050">
        <v>0</v>
      </c>
      <c r="K1050">
        <v>4.7</v>
      </c>
      <c r="L1050">
        <v>15.75</v>
      </c>
      <c r="M1050">
        <v>12</v>
      </c>
      <c r="N1050">
        <v>15.25</v>
      </c>
      <c r="O1050">
        <v>1701</v>
      </c>
      <c r="P1050">
        <v>766</v>
      </c>
      <c r="Q1050" s="5" t="e">
        <f>IF(AND(#REF!&gt;=table!$C$6,#REF!&lt;= table!$D$6),-1,IF(AND(#REF!&gt;=table!$E$6,#REF!&lt;=table!$F$6),1,0))</f>
        <v>#REF!</v>
      </c>
      <c r="R1050" s="5" t="e">
        <f>IF(AND(#REF!&gt;=table!$C$7,#REF!&lt;= table!$D$7),-1,IF(AND(#REF!&gt;=table!$E$7,#REF!&lt;=table!$F$7),1,0))</f>
        <v>#REF!</v>
      </c>
      <c r="S1050" s="5" t="e">
        <f>IF(AND(#REF!&gt;=table!$C$8,#REF!&lt;= table!$D$8),-1,IF(AND(#REF!&gt;=table!$E$8,#REF!&lt;=table!$F$8),1,0))</f>
        <v>#REF!</v>
      </c>
      <c r="T1050" s="5"/>
      <c r="U1050" s="5" t="e">
        <f>IF(AND(#REF!&gt;=table!$C$10,#REF!&lt;= table!$D$10),-1,IF(AND(#REF!&gt;=table!$E$10,#REF!&lt;=table!$F$10),1,0))</f>
        <v>#REF!</v>
      </c>
      <c r="V1050" s="5" t="e">
        <f>IF(AND(#REF!&gt;=table!$C$11,#REF!&lt;= table!$D$11),-1,IF(AND(#REF!&gt;=table!$E$11,#REF!&lt;=table!$F$11),1,0))</f>
        <v>#REF!</v>
      </c>
      <c r="W1050" s="5" t="e">
        <f>CONCATENATE(dados[[#This Row],[fator1]],dados[[#This Row],[fator5]],dados[[#This Row],[fator6]])</f>
        <v>#REF!</v>
      </c>
    </row>
    <row r="1051" spans="1:23">
      <c r="A1051" t="s">
        <v>16</v>
      </c>
      <c r="B1051">
        <v>483952</v>
      </c>
      <c r="C1051">
        <v>11</v>
      </c>
      <c r="D1051">
        <v>40</v>
      </c>
      <c r="E1051">
        <v>151</v>
      </c>
      <c r="F1051">
        <v>8</v>
      </c>
      <c r="G1051">
        <v>0</v>
      </c>
      <c r="H1051">
        <v>25</v>
      </c>
      <c r="I1051">
        <v>103</v>
      </c>
      <c r="J1051">
        <v>0</v>
      </c>
      <c r="K1051">
        <v>5.0350000000000001</v>
      </c>
      <c r="L1051">
        <v>19.445</v>
      </c>
      <c r="M1051">
        <v>142.9</v>
      </c>
      <c r="N1051">
        <v>17.7</v>
      </c>
      <c r="O1051">
        <v>1656</v>
      </c>
      <c r="P1051">
        <v>491</v>
      </c>
      <c r="Q1051" s="5" t="e">
        <f>IF(AND(#REF!&gt;=table!$C$6,#REF!&lt;= table!$D$6),-1,IF(AND(#REF!&gt;=table!$E$6,#REF!&lt;=table!$F$6),1,0))</f>
        <v>#REF!</v>
      </c>
      <c r="R1051" s="5" t="e">
        <f>IF(AND(#REF!&gt;=table!$C$7,#REF!&lt;= table!$D$7),-1,IF(AND(#REF!&gt;=table!$E$7,#REF!&lt;=table!$F$7),1,0))</f>
        <v>#REF!</v>
      </c>
      <c r="S1051" s="5" t="e">
        <f>IF(AND(#REF!&gt;=table!$C$8,#REF!&lt;= table!$D$8),-1,IF(AND(#REF!&gt;=table!$E$8,#REF!&lt;=table!$F$8),1,0))</f>
        <v>#REF!</v>
      </c>
      <c r="T1051" s="5"/>
      <c r="U1051" s="5" t="e">
        <f>IF(AND(#REF!&gt;=table!$C$10,#REF!&lt;= table!$D$10),-1,IF(AND(#REF!&gt;=table!$E$10,#REF!&lt;=table!$F$10),1,0))</f>
        <v>#REF!</v>
      </c>
      <c r="V1051" s="5" t="e">
        <f>IF(AND(#REF!&gt;=table!$C$11,#REF!&lt;= table!$D$11),-1,IF(AND(#REF!&gt;=table!$E$11,#REF!&lt;=table!$F$11),1,0))</f>
        <v>#REF!</v>
      </c>
      <c r="W1051" s="5" t="e">
        <f>CONCATENATE(dados[[#This Row],[fator1]],dados[[#This Row],[fator5]],dados[[#This Row],[fator6]])</f>
        <v>#REF!</v>
      </c>
    </row>
    <row r="1052" spans="1:23">
      <c r="A1052" t="s">
        <v>16</v>
      </c>
      <c r="B1052">
        <v>483954</v>
      </c>
      <c r="C1052">
        <v>11</v>
      </c>
      <c r="D1052">
        <v>40</v>
      </c>
      <c r="E1052">
        <v>151</v>
      </c>
      <c r="F1052">
        <v>8</v>
      </c>
      <c r="G1052">
        <v>0</v>
      </c>
      <c r="H1052">
        <v>25</v>
      </c>
      <c r="I1052">
        <v>188</v>
      </c>
      <c r="J1052">
        <v>0</v>
      </c>
      <c r="K1052">
        <v>10.565000000000001</v>
      </c>
      <c r="L1052">
        <v>13.41</v>
      </c>
      <c r="M1052">
        <v>134.5</v>
      </c>
      <c r="N1052">
        <v>11.77</v>
      </c>
      <c r="O1052">
        <v>1667</v>
      </c>
      <c r="P1052">
        <v>0</v>
      </c>
      <c r="Q1052" s="5" t="e">
        <f>IF(AND(#REF!&gt;=table!$C$6,#REF!&lt;= table!$D$6),-1,IF(AND(#REF!&gt;=table!$E$6,#REF!&lt;=table!$F$6),1,0))</f>
        <v>#REF!</v>
      </c>
      <c r="R1052" s="5" t="e">
        <f>IF(AND(#REF!&gt;=table!$C$7,#REF!&lt;= table!$D$7),-1,IF(AND(#REF!&gt;=table!$E$7,#REF!&lt;=table!$F$7),1,0))</f>
        <v>#REF!</v>
      </c>
      <c r="S1052" s="5" t="e">
        <f>IF(AND(#REF!&gt;=table!$C$8,#REF!&lt;= table!$D$8),-1,IF(AND(#REF!&gt;=table!$E$8,#REF!&lt;=table!$F$8),1,0))</f>
        <v>#REF!</v>
      </c>
      <c r="T1052" s="5"/>
      <c r="U1052" s="5" t="e">
        <f>IF(AND(#REF!&gt;=table!$C$10,#REF!&lt;= table!$D$10),-1,IF(AND(#REF!&gt;=table!$E$10,#REF!&lt;=table!$F$10),1,0))</f>
        <v>#REF!</v>
      </c>
      <c r="V1052" s="5" t="e">
        <f>IF(AND(#REF!&gt;=table!$C$11,#REF!&lt;= table!$D$11),-1,IF(AND(#REF!&gt;=table!$E$11,#REF!&lt;=table!$F$11),1,0))</f>
        <v>#REF!</v>
      </c>
      <c r="W1052" s="5" t="e">
        <f>CONCATENATE(dados[[#This Row],[fator1]],dados[[#This Row],[fator5]],dados[[#This Row],[fator6]])</f>
        <v>#REF!</v>
      </c>
    </row>
    <row r="1053" spans="1:23">
      <c r="A1053" t="s">
        <v>16</v>
      </c>
      <c r="B1053">
        <v>483955</v>
      </c>
      <c r="C1053">
        <v>11</v>
      </c>
      <c r="D1053">
        <v>40</v>
      </c>
      <c r="E1053">
        <v>151</v>
      </c>
      <c r="F1053">
        <v>8</v>
      </c>
      <c r="G1053">
        <v>0</v>
      </c>
      <c r="H1053">
        <v>25</v>
      </c>
      <c r="I1053">
        <v>1839</v>
      </c>
      <c r="J1053">
        <v>0</v>
      </c>
      <c r="K1053">
        <v>18.225000000000001</v>
      </c>
      <c r="L1053">
        <v>16.350000000000001</v>
      </c>
      <c r="M1053">
        <v>126.8</v>
      </c>
      <c r="N1053">
        <v>16.600000000000001</v>
      </c>
      <c r="O1053">
        <v>1660</v>
      </c>
      <c r="P1053">
        <v>0</v>
      </c>
      <c r="Q1053" s="5" t="e">
        <f>IF(AND(#REF!&gt;=table!$C$6,#REF!&lt;= table!$D$6),-1,IF(AND(#REF!&gt;=table!$E$6,#REF!&lt;=table!$F$6),1,0))</f>
        <v>#REF!</v>
      </c>
      <c r="R1053" s="5" t="e">
        <f>IF(AND(#REF!&gt;=table!$C$7,#REF!&lt;= table!$D$7),-1,IF(AND(#REF!&gt;=table!$E$7,#REF!&lt;=table!$F$7),1,0))</f>
        <v>#REF!</v>
      </c>
      <c r="S1053" s="5" t="e">
        <f>IF(AND(#REF!&gt;=table!$C$8,#REF!&lt;= table!$D$8),-1,IF(AND(#REF!&gt;=table!$E$8,#REF!&lt;=table!$F$8),1,0))</f>
        <v>#REF!</v>
      </c>
      <c r="T1053" s="5"/>
      <c r="U1053" s="5" t="e">
        <f>IF(AND(#REF!&gt;=table!$C$10,#REF!&lt;= table!$D$10),-1,IF(AND(#REF!&gt;=table!$E$10,#REF!&lt;=table!$F$10),1,0))</f>
        <v>#REF!</v>
      </c>
      <c r="V1053" s="5" t="e">
        <f>IF(AND(#REF!&gt;=table!$C$11,#REF!&lt;= table!$D$11),-1,IF(AND(#REF!&gt;=table!$E$11,#REF!&lt;=table!$F$11),1,0))</f>
        <v>#REF!</v>
      </c>
      <c r="W1053" s="5" t="e">
        <f>CONCATENATE(dados[[#This Row],[fator1]],dados[[#This Row],[fator5]],dados[[#This Row],[fator6]])</f>
        <v>#REF!</v>
      </c>
    </row>
    <row r="1054" spans="1:23">
      <c r="A1054" t="s">
        <v>16</v>
      </c>
      <c r="B1054">
        <v>483956</v>
      </c>
      <c r="C1054">
        <v>11</v>
      </c>
      <c r="D1054">
        <v>40</v>
      </c>
      <c r="E1054">
        <v>151</v>
      </c>
      <c r="F1054">
        <v>8</v>
      </c>
      <c r="G1054">
        <v>0</v>
      </c>
      <c r="H1054">
        <v>25</v>
      </c>
      <c r="I1054">
        <v>313</v>
      </c>
      <c r="J1054">
        <v>610</v>
      </c>
      <c r="K1054">
        <v>11.835000000000001</v>
      </c>
      <c r="L1054">
        <v>17.095000000000002</v>
      </c>
      <c r="M1054">
        <v>137.755</v>
      </c>
      <c r="N1054">
        <v>13.615</v>
      </c>
      <c r="O1054">
        <v>1641</v>
      </c>
      <c r="P1054">
        <v>321</v>
      </c>
      <c r="Q1054" s="5" t="e">
        <f>IF(AND(#REF!&gt;=table!$C$6,#REF!&lt;= table!$D$6),-1,IF(AND(#REF!&gt;=table!$E$6,#REF!&lt;=table!$F$6),1,0))</f>
        <v>#REF!</v>
      </c>
      <c r="R1054" s="5" t="e">
        <f>IF(AND(#REF!&gt;=table!$C$7,#REF!&lt;= table!$D$7),-1,IF(AND(#REF!&gt;=table!$E$7,#REF!&lt;=table!$F$7),1,0))</f>
        <v>#REF!</v>
      </c>
      <c r="S1054" s="5" t="e">
        <f>IF(AND(#REF!&gt;=table!$C$8,#REF!&lt;= table!$D$8),-1,IF(AND(#REF!&gt;=table!$E$8,#REF!&lt;=table!$F$8),1,0))</f>
        <v>#REF!</v>
      </c>
      <c r="T1054" s="5"/>
      <c r="U1054" s="5" t="e">
        <f>IF(AND(#REF!&gt;=table!$C$10,#REF!&lt;= table!$D$10),-1,IF(AND(#REF!&gt;=table!$E$10,#REF!&lt;=table!$F$10),1,0))</f>
        <v>#REF!</v>
      </c>
      <c r="V1054" s="5" t="e">
        <f>IF(AND(#REF!&gt;=table!$C$11,#REF!&lt;= table!$D$11),-1,IF(AND(#REF!&gt;=table!$E$11,#REF!&lt;=table!$F$11),1,0))</f>
        <v>#REF!</v>
      </c>
      <c r="W1054" s="5" t="e">
        <f>CONCATENATE(dados[[#This Row],[fator1]],dados[[#This Row],[fator5]],dados[[#This Row],[fator6]])</f>
        <v>#REF!</v>
      </c>
    </row>
    <row r="1055" spans="1:23">
      <c r="A1055" t="s">
        <v>18</v>
      </c>
      <c r="B1055">
        <v>483962</v>
      </c>
      <c r="C1055">
        <v>3</v>
      </c>
      <c r="D1055">
        <v>5</v>
      </c>
      <c r="E1055">
        <v>26</v>
      </c>
      <c r="F1055">
        <v>15</v>
      </c>
      <c r="G1055">
        <v>42</v>
      </c>
      <c r="H1055">
        <v>30</v>
      </c>
      <c r="I1055">
        <v>958</v>
      </c>
      <c r="J1055">
        <v>0</v>
      </c>
      <c r="K1055">
        <v>5.625</v>
      </c>
      <c r="L1055">
        <v>9.85</v>
      </c>
      <c r="M1055">
        <v>20.55</v>
      </c>
      <c r="N1055">
        <v>11.05</v>
      </c>
      <c r="O1055">
        <v>1674</v>
      </c>
      <c r="P1055">
        <v>0</v>
      </c>
      <c r="Q1055" s="5" t="e">
        <f>IF(AND(#REF!&gt;=table!$C$6,#REF!&lt;= table!$D$6),-1,IF(AND(#REF!&gt;=table!$E$6,#REF!&lt;=table!$F$6),1,0))</f>
        <v>#REF!</v>
      </c>
      <c r="R1055" s="5" t="e">
        <f>IF(AND(#REF!&gt;=table!$C$7,#REF!&lt;= table!$D$7),-1,IF(AND(#REF!&gt;=table!$E$7,#REF!&lt;=table!$F$7),1,0))</f>
        <v>#REF!</v>
      </c>
      <c r="S1055" s="5" t="e">
        <f>IF(AND(#REF!&gt;=table!$C$8,#REF!&lt;= table!$D$8),-1,IF(AND(#REF!&gt;=table!$E$8,#REF!&lt;=table!$F$8),1,0))</f>
        <v>#REF!</v>
      </c>
      <c r="T1055" s="5"/>
      <c r="U1055" s="5" t="e">
        <f>IF(AND(#REF!&gt;=table!$C$10,#REF!&lt;= table!$D$10),-1,IF(AND(#REF!&gt;=table!$E$10,#REF!&lt;=table!$F$10),1,0))</f>
        <v>#REF!</v>
      </c>
      <c r="V1055" s="5" t="e">
        <f>IF(AND(#REF!&gt;=table!$C$11,#REF!&lt;= table!$D$11),-1,IF(AND(#REF!&gt;=table!$E$11,#REF!&lt;=table!$F$11),1,0))</f>
        <v>#REF!</v>
      </c>
      <c r="W1055" s="5" t="e">
        <f>CONCATENATE(dados[[#This Row],[fator1]],dados[[#This Row],[fator5]],dados[[#This Row],[fator6]])</f>
        <v>#REF!</v>
      </c>
    </row>
    <row r="1056" spans="1:23">
      <c r="A1056" t="s">
        <v>18</v>
      </c>
      <c r="B1056">
        <v>483963</v>
      </c>
      <c r="C1056">
        <v>3</v>
      </c>
      <c r="D1056">
        <v>5</v>
      </c>
      <c r="E1056">
        <v>26</v>
      </c>
      <c r="F1056">
        <v>15</v>
      </c>
      <c r="G1056">
        <v>42</v>
      </c>
      <c r="H1056">
        <v>30</v>
      </c>
      <c r="I1056">
        <v>800</v>
      </c>
      <c r="J1056">
        <v>0</v>
      </c>
      <c r="K1056">
        <v>3.9250000000000003</v>
      </c>
      <c r="L1056">
        <v>8</v>
      </c>
      <c r="M1056">
        <v>18.03</v>
      </c>
      <c r="N1056">
        <v>10.355</v>
      </c>
      <c r="O1056">
        <v>1642</v>
      </c>
      <c r="P1056">
        <v>0</v>
      </c>
      <c r="Q1056" s="5" t="e">
        <f>IF(AND(#REF!&gt;=table!$C$6,#REF!&lt;= table!$D$6),-1,IF(AND(#REF!&gt;=table!$E$6,#REF!&lt;=table!$F$6),1,0))</f>
        <v>#REF!</v>
      </c>
      <c r="R1056" s="5" t="e">
        <f>IF(AND(#REF!&gt;=table!$C$7,#REF!&lt;= table!$D$7),-1,IF(AND(#REF!&gt;=table!$E$7,#REF!&lt;=table!$F$7),1,0))</f>
        <v>#REF!</v>
      </c>
      <c r="S1056" s="5" t="e">
        <f>IF(AND(#REF!&gt;=table!$C$8,#REF!&lt;= table!$D$8),-1,IF(AND(#REF!&gt;=table!$E$8,#REF!&lt;=table!$F$8),1,0))</f>
        <v>#REF!</v>
      </c>
      <c r="T1056" s="5"/>
      <c r="U1056" s="5" t="e">
        <f>IF(AND(#REF!&gt;=table!$C$10,#REF!&lt;= table!$D$10),-1,IF(AND(#REF!&gt;=table!$E$10,#REF!&lt;=table!$F$10),1,0))</f>
        <v>#REF!</v>
      </c>
      <c r="V1056" s="5" t="e">
        <f>IF(AND(#REF!&gt;=table!$C$11,#REF!&lt;= table!$D$11),-1,IF(AND(#REF!&gt;=table!$E$11,#REF!&lt;=table!$F$11),1,0))</f>
        <v>#REF!</v>
      </c>
      <c r="W1056" s="5" t="e">
        <f>CONCATENATE(dados[[#This Row],[fator1]],dados[[#This Row],[fator5]],dados[[#This Row],[fator6]])</f>
        <v>#REF!</v>
      </c>
    </row>
    <row r="1057" spans="1:23">
      <c r="A1057" t="s">
        <v>18</v>
      </c>
      <c r="B1057">
        <v>483964</v>
      </c>
      <c r="C1057">
        <v>3</v>
      </c>
      <c r="D1057">
        <v>5</v>
      </c>
      <c r="E1057">
        <v>26</v>
      </c>
      <c r="F1057">
        <v>15</v>
      </c>
      <c r="G1057">
        <v>42</v>
      </c>
      <c r="H1057">
        <v>30</v>
      </c>
      <c r="I1057">
        <v>625</v>
      </c>
      <c r="J1057">
        <v>0</v>
      </c>
      <c r="K1057">
        <v>5.7850000000000001</v>
      </c>
      <c r="L1057">
        <v>11.8</v>
      </c>
      <c r="M1057">
        <v>25.7</v>
      </c>
      <c r="N1057">
        <v>17.650000000000002</v>
      </c>
      <c r="O1057">
        <v>1653</v>
      </c>
      <c r="P1057">
        <v>0</v>
      </c>
      <c r="Q1057" s="5" t="e">
        <f>IF(AND(#REF!&gt;=table!$C$6,#REF!&lt;= table!$D$6),-1,IF(AND(#REF!&gt;=table!$E$6,#REF!&lt;=table!$F$6),1,0))</f>
        <v>#REF!</v>
      </c>
      <c r="R1057" s="5" t="e">
        <f>IF(AND(#REF!&gt;=table!$C$7,#REF!&lt;= table!$D$7),-1,IF(AND(#REF!&gt;=table!$E$7,#REF!&lt;=table!$F$7),1,0))</f>
        <v>#REF!</v>
      </c>
      <c r="S1057" s="5" t="e">
        <f>IF(AND(#REF!&gt;=table!$C$8,#REF!&lt;= table!$D$8),-1,IF(AND(#REF!&gt;=table!$E$8,#REF!&lt;=table!$F$8),1,0))</f>
        <v>#REF!</v>
      </c>
      <c r="T1057" s="5"/>
      <c r="U1057" s="5" t="e">
        <f>IF(AND(#REF!&gt;=table!$C$10,#REF!&lt;= table!$D$10),-1,IF(AND(#REF!&gt;=table!$E$10,#REF!&lt;=table!$F$10),1,0))</f>
        <v>#REF!</v>
      </c>
      <c r="V1057" s="5" t="e">
        <f>IF(AND(#REF!&gt;=table!$C$11,#REF!&lt;= table!$D$11),-1,IF(AND(#REF!&gt;=table!$E$11,#REF!&lt;=table!$F$11),1,0))</f>
        <v>#REF!</v>
      </c>
      <c r="W1057" s="5" t="e">
        <f>CONCATENATE(dados[[#This Row],[fator1]],dados[[#This Row],[fator5]],dados[[#This Row],[fator6]])</f>
        <v>#REF!</v>
      </c>
    </row>
    <row r="1058" spans="1:23">
      <c r="A1058" t="s">
        <v>17</v>
      </c>
      <c r="B1058">
        <v>483971</v>
      </c>
      <c r="C1058">
        <v>14</v>
      </c>
      <c r="D1058">
        <v>30</v>
      </c>
      <c r="E1058">
        <v>110</v>
      </c>
      <c r="F1058">
        <v>4</v>
      </c>
      <c r="G1058">
        <v>20</v>
      </c>
      <c r="H1058">
        <v>22</v>
      </c>
      <c r="I1058">
        <v>883</v>
      </c>
      <c r="J1058">
        <v>0</v>
      </c>
      <c r="K1058">
        <v>3.9650000000000003</v>
      </c>
      <c r="L1058">
        <v>7.3550000000000004</v>
      </c>
      <c r="M1058">
        <v>96.5</v>
      </c>
      <c r="N1058">
        <v>9.5</v>
      </c>
      <c r="O1058">
        <v>1654</v>
      </c>
      <c r="P1058">
        <v>902</v>
      </c>
      <c r="Q1058" s="5" t="e">
        <f>IF(AND(#REF!&gt;=table!$C$6,#REF!&lt;= table!$D$6),-1,IF(AND(#REF!&gt;=table!$E$6,#REF!&lt;=table!$F$6),1,0))</f>
        <v>#REF!</v>
      </c>
      <c r="R1058" s="5" t="e">
        <f>IF(AND(#REF!&gt;=table!$C$7,#REF!&lt;= table!$D$7),-1,IF(AND(#REF!&gt;=table!$E$7,#REF!&lt;=table!$F$7),1,0))</f>
        <v>#REF!</v>
      </c>
      <c r="S1058" s="5" t="e">
        <f>IF(AND(#REF!&gt;=table!$C$8,#REF!&lt;= table!$D$8),-1,IF(AND(#REF!&gt;=table!$E$8,#REF!&lt;=table!$F$8),1,0))</f>
        <v>#REF!</v>
      </c>
      <c r="T1058" s="5"/>
      <c r="U1058" s="5" t="e">
        <f>IF(AND(#REF!&gt;=table!$C$10,#REF!&lt;= table!$D$10),-1,IF(AND(#REF!&gt;=table!$E$10,#REF!&lt;=table!$F$10),1,0))</f>
        <v>#REF!</v>
      </c>
      <c r="V1058" s="5" t="e">
        <f>IF(AND(#REF!&gt;=table!$C$11,#REF!&lt;= table!$D$11),-1,IF(AND(#REF!&gt;=table!$E$11,#REF!&lt;=table!$F$11),1,0))</f>
        <v>#REF!</v>
      </c>
      <c r="W1058" s="5" t="e">
        <f>CONCATENATE(dados[[#This Row],[fator1]],dados[[#This Row],[fator5]],dados[[#This Row],[fator6]])</f>
        <v>#REF!</v>
      </c>
    </row>
    <row r="1059" spans="1:23">
      <c r="A1059" t="s">
        <v>17</v>
      </c>
      <c r="B1059">
        <v>483973</v>
      </c>
      <c r="C1059">
        <v>16</v>
      </c>
      <c r="D1059">
        <v>35</v>
      </c>
      <c r="E1059">
        <v>120</v>
      </c>
      <c r="F1059">
        <v>4</v>
      </c>
      <c r="G1059">
        <v>30</v>
      </c>
      <c r="H1059">
        <v>20</v>
      </c>
      <c r="I1059">
        <v>559</v>
      </c>
      <c r="J1059">
        <v>780</v>
      </c>
      <c r="K1059">
        <v>4.875</v>
      </c>
      <c r="L1059">
        <v>14.35</v>
      </c>
      <c r="M1059">
        <v>101</v>
      </c>
      <c r="N1059">
        <v>15.15</v>
      </c>
      <c r="O1059">
        <v>1667</v>
      </c>
      <c r="P1059">
        <v>680</v>
      </c>
      <c r="Q1059" s="5" t="e">
        <f>IF(AND(#REF!&gt;=table!$C$6,#REF!&lt;= table!$D$6),-1,IF(AND(#REF!&gt;=table!$E$6,#REF!&lt;=table!$F$6),1,0))</f>
        <v>#REF!</v>
      </c>
      <c r="R1059" s="5" t="e">
        <f>IF(AND(#REF!&gt;=table!$C$7,#REF!&lt;= table!$D$7),-1,IF(AND(#REF!&gt;=table!$E$7,#REF!&lt;=table!$F$7),1,0))</f>
        <v>#REF!</v>
      </c>
      <c r="S1059" s="5" t="e">
        <f>IF(AND(#REF!&gt;=table!$C$8,#REF!&lt;= table!$D$8),-1,IF(AND(#REF!&gt;=table!$E$8,#REF!&lt;=table!$F$8),1,0))</f>
        <v>#REF!</v>
      </c>
      <c r="T1059" s="5"/>
      <c r="U1059" s="5" t="e">
        <f>IF(AND(#REF!&gt;=table!$C$10,#REF!&lt;= table!$D$10),-1,IF(AND(#REF!&gt;=table!$E$10,#REF!&lt;=table!$F$10),1,0))</f>
        <v>#REF!</v>
      </c>
      <c r="V1059" s="5" t="e">
        <f>IF(AND(#REF!&gt;=table!$C$11,#REF!&lt;= table!$D$11),-1,IF(AND(#REF!&gt;=table!$E$11,#REF!&lt;=table!$F$11),1,0))</f>
        <v>#REF!</v>
      </c>
      <c r="W1059" s="5" t="e">
        <f>CONCATENATE(dados[[#This Row],[fator1]],dados[[#This Row],[fator5]],dados[[#This Row],[fator6]])</f>
        <v>#REF!</v>
      </c>
    </row>
    <row r="1060" spans="1:23">
      <c r="A1060" t="s">
        <v>17</v>
      </c>
      <c r="B1060">
        <v>483974</v>
      </c>
      <c r="C1060">
        <v>16</v>
      </c>
      <c r="D1060">
        <v>23</v>
      </c>
      <c r="E1060">
        <v>145</v>
      </c>
      <c r="F1060">
        <v>9</v>
      </c>
      <c r="G1060">
        <v>30</v>
      </c>
      <c r="H1060">
        <v>25</v>
      </c>
      <c r="I1060">
        <v>657</v>
      </c>
      <c r="J1060">
        <v>0</v>
      </c>
      <c r="K1060">
        <v>5.4050000000000002</v>
      </c>
      <c r="L1060">
        <v>13.9</v>
      </c>
      <c r="M1060">
        <v>132.25</v>
      </c>
      <c r="N1060">
        <v>22.45</v>
      </c>
      <c r="O1060">
        <v>1678</v>
      </c>
      <c r="P1060">
        <v>669</v>
      </c>
      <c r="Q1060" s="5" t="e">
        <f>IF(AND(#REF!&gt;=table!$C$6,#REF!&lt;= table!$D$6),-1,IF(AND(#REF!&gt;=table!$E$6,#REF!&lt;=table!$F$6),1,0))</f>
        <v>#REF!</v>
      </c>
      <c r="R1060" s="5" t="e">
        <f>IF(AND(#REF!&gt;=table!$C$7,#REF!&lt;= table!$D$7),-1,IF(AND(#REF!&gt;=table!$E$7,#REF!&lt;=table!$F$7),1,0))</f>
        <v>#REF!</v>
      </c>
      <c r="S1060" s="5" t="e">
        <f>IF(AND(#REF!&gt;=table!$C$8,#REF!&lt;= table!$D$8),-1,IF(AND(#REF!&gt;=table!$E$8,#REF!&lt;=table!$F$8),1,0))</f>
        <v>#REF!</v>
      </c>
      <c r="T1060" s="5"/>
      <c r="U1060" s="5" t="e">
        <f>IF(AND(#REF!&gt;=table!$C$10,#REF!&lt;= table!$D$10),-1,IF(AND(#REF!&gt;=table!$E$10,#REF!&lt;=table!$F$10),1,0))</f>
        <v>#REF!</v>
      </c>
      <c r="V1060" s="5" t="e">
        <f>IF(AND(#REF!&gt;=table!$C$11,#REF!&lt;= table!$D$11),-1,IF(AND(#REF!&gt;=table!$E$11,#REF!&lt;=table!$F$11),1,0))</f>
        <v>#REF!</v>
      </c>
      <c r="W1060" s="5" t="e">
        <f>CONCATENATE(dados[[#This Row],[fator1]],dados[[#This Row],[fator5]],dados[[#This Row],[fator6]])</f>
        <v>#REF!</v>
      </c>
    </row>
    <row r="1061" spans="1:23">
      <c r="A1061" t="s">
        <v>16</v>
      </c>
      <c r="B1061">
        <v>483975</v>
      </c>
      <c r="C1061">
        <v>9</v>
      </c>
      <c r="D1061">
        <v>35</v>
      </c>
      <c r="E1061">
        <v>36</v>
      </c>
      <c r="F1061">
        <v>9</v>
      </c>
      <c r="G1061">
        <v>0</v>
      </c>
      <c r="H1061">
        <v>25</v>
      </c>
      <c r="I1061">
        <v>37</v>
      </c>
      <c r="J1061">
        <v>0</v>
      </c>
      <c r="K1061">
        <v>14.905000000000001</v>
      </c>
      <c r="L1061">
        <v>19.650000000000002</v>
      </c>
      <c r="M1061">
        <v>18.400000000000002</v>
      </c>
      <c r="N1061">
        <v>17.95</v>
      </c>
      <c r="O1061">
        <v>1638</v>
      </c>
      <c r="P1061">
        <v>288</v>
      </c>
      <c r="Q1061" s="5" t="e">
        <f>IF(AND(#REF!&gt;=table!$C$6,#REF!&lt;= table!$D$6),-1,IF(AND(#REF!&gt;=table!$E$6,#REF!&lt;=table!$F$6),1,0))</f>
        <v>#REF!</v>
      </c>
      <c r="R1061" s="5" t="e">
        <f>IF(AND(#REF!&gt;=table!$C$7,#REF!&lt;= table!$D$7),-1,IF(AND(#REF!&gt;=table!$E$7,#REF!&lt;=table!$F$7),1,0))</f>
        <v>#REF!</v>
      </c>
      <c r="S1061" s="5" t="e">
        <f>IF(AND(#REF!&gt;=table!$C$8,#REF!&lt;= table!$D$8),-1,IF(AND(#REF!&gt;=table!$E$8,#REF!&lt;=table!$F$8),1,0))</f>
        <v>#REF!</v>
      </c>
      <c r="T1061" s="5"/>
      <c r="U1061" s="5" t="e">
        <f>IF(AND(#REF!&gt;=table!$C$10,#REF!&lt;= table!$D$10),-1,IF(AND(#REF!&gt;=table!$E$10,#REF!&lt;=table!$F$10),1,0))</f>
        <v>#REF!</v>
      </c>
      <c r="V1061" s="5" t="e">
        <f>IF(AND(#REF!&gt;=table!$C$11,#REF!&lt;= table!$D$11),-1,IF(AND(#REF!&gt;=table!$E$11,#REF!&lt;=table!$F$11),1,0))</f>
        <v>#REF!</v>
      </c>
      <c r="W1061" s="5" t="e">
        <f>CONCATENATE(dados[[#This Row],[fator1]],dados[[#This Row],[fator5]],dados[[#This Row],[fator6]])</f>
        <v>#REF!</v>
      </c>
    </row>
    <row r="1062" spans="1:23">
      <c r="A1062" t="s">
        <v>16</v>
      </c>
      <c r="B1062">
        <v>483983</v>
      </c>
      <c r="C1062">
        <v>0.15</v>
      </c>
      <c r="D1062">
        <v>40</v>
      </c>
      <c r="E1062">
        <v>10</v>
      </c>
      <c r="F1062">
        <v>15</v>
      </c>
      <c r="G1062">
        <v>0</v>
      </c>
      <c r="H1062">
        <v>15</v>
      </c>
      <c r="I1062">
        <v>979</v>
      </c>
      <c r="J1062">
        <v>0</v>
      </c>
      <c r="K1062">
        <v>3.86</v>
      </c>
      <c r="L1062">
        <v>10.4</v>
      </c>
      <c r="M1062">
        <v>8.9</v>
      </c>
      <c r="N1062">
        <v>10.950000000000001</v>
      </c>
      <c r="O1062">
        <v>1652</v>
      </c>
      <c r="P1062">
        <v>834</v>
      </c>
      <c r="Q1062" s="5" t="e">
        <f>IF(AND(#REF!&gt;=table!$C$6,#REF!&lt;= table!$D$6),-1,IF(AND(#REF!&gt;=table!$E$6,#REF!&lt;=table!$F$6),1,0))</f>
        <v>#REF!</v>
      </c>
      <c r="R1062" s="5" t="e">
        <f>IF(AND(#REF!&gt;=table!$C$7,#REF!&lt;= table!$D$7),-1,IF(AND(#REF!&gt;=table!$E$7,#REF!&lt;=table!$F$7),1,0))</f>
        <v>#REF!</v>
      </c>
      <c r="S1062" s="5" t="e">
        <f>IF(AND(#REF!&gt;=table!$C$8,#REF!&lt;= table!$D$8),-1,IF(AND(#REF!&gt;=table!$E$8,#REF!&lt;=table!$F$8),1,0))</f>
        <v>#REF!</v>
      </c>
      <c r="T1062" s="5"/>
      <c r="U1062" s="5" t="e">
        <f>IF(AND(#REF!&gt;=table!$C$10,#REF!&lt;= table!$D$10),-1,IF(AND(#REF!&gt;=table!$E$10,#REF!&lt;=table!$F$10),1,0))</f>
        <v>#REF!</v>
      </c>
      <c r="V1062" s="5" t="e">
        <f>IF(AND(#REF!&gt;=table!$C$11,#REF!&lt;= table!$D$11),-1,IF(AND(#REF!&gt;=table!$E$11,#REF!&lt;=table!$F$11),1,0))</f>
        <v>#REF!</v>
      </c>
      <c r="W1062" s="5" t="e">
        <f>CONCATENATE(dados[[#This Row],[fator1]],dados[[#This Row],[fator5]],dados[[#This Row],[fator6]])</f>
        <v>#REF!</v>
      </c>
    </row>
    <row r="1063" spans="1:23">
      <c r="A1063" t="s">
        <v>16</v>
      </c>
      <c r="B1063">
        <v>483986</v>
      </c>
      <c r="C1063">
        <v>16</v>
      </c>
      <c r="D1063">
        <v>35</v>
      </c>
      <c r="E1063">
        <v>56</v>
      </c>
      <c r="F1063">
        <v>10</v>
      </c>
      <c r="G1063">
        <v>0</v>
      </c>
      <c r="H1063">
        <v>25</v>
      </c>
      <c r="I1063">
        <v>1209</v>
      </c>
      <c r="J1063">
        <v>0</v>
      </c>
      <c r="K1063">
        <v>3.7050000000000001</v>
      </c>
      <c r="L1063">
        <v>8.02</v>
      </c>
      <c r="M1063">
        <v>48.785000000000004</v>
      </c>
      <c r="N1063">
        <v>12.84</v>
      </c>
      <c r="O1063">
        <v>1659</v>
      </c>
      <c r="P1063">
        <v>1046</v>
      </c>
      <c r="Q1063" s="5" t="e">
        <f>IF(AND(#REF!&gt;=table!$C$6,#REF!&lt;= table!$D$6),-1,IF(AND(#REF!&gt;=table!$E$6,#REF!&lt;=table!$F$6),1,0))</f>
        <v>#REF!</v>
      </c>
      <c r="R1063" s="5" t="e">
        <f>IF(AND(#REF!&gt;=table!$C$7,#REF!&lt;= table!$D$7),-1,IF(AND(#REF!&gt;=table!$E$7,#REF!&lt;=table!$F$7),1,0))</f>
        <v>#REF!</v>
      </c>
      <c r="S1063" s="5" t="e">
        <f>IF(AND(#REF!&gt;=table!$C$8,#REF!&lt;= table!$D$8),-1,IF(AND(#REF!&gt;=table!$E$8,#REF!&lt;=table!$F$8),1,0))</f>
        <v>#REF!</v>
      </c>
      <c r="T1063" s="5"/>
      <c r="U1063" s="5" t="e">
        <f>IF(AND(#REF!&gt;=table!$C$10,#REF!&lt;= table!$D$10),-1,IF(AND(#REF!&gt;=table!$E$10,#REF!&lt;=table!$F$10),1,0))</f>
        <v>#REF!</v>
      </c>
      <c r="V1063" s="5" t="e">
        <f>IF(AND(#REF!&gt;=table!$C$11,#REF!&lt;= table!$D$11),-1,IF(AND(#REF!&gt;=table!$E$11,#REF!&lt;=table!$F$11),1,0))</f>
        <v>#REF!</v>
      </c>
      <c r="W1063" s="5" t="e">
        <f>CONCATENATE(dados[[#This Row],[fator1]],dados[[#This Row],[fator5]],dados[[#This Row],[fator6]])</f>
        <v>#REF!</v>
      </c>
    </row>
    <row r="1064" spans="1:23">
      <c r="A1064" t="s">
        <v>16</v>
      </c>
      <c r="B1064">
        <v>483987</v>
      </c>
      <c r="C1064">
        <v>16</v>
      </c>
      <c r="D1064">
        <v>35</v>
      </c>
      <c r="E1064">
        <v>56</v>
      </c>
      <c r="F1064">
        <v>10</v>
      </c>
      <c r="G1064">
        <v>0</v>
      </c>
      <c r="H1064">
        <v>25</v>
      </c>
      <c r="I1064">
        <v>857</v>
      </c>
      <c r="J1064">
        <v>0</v>
      </c>
      <c r="K1064">
        <v>5.19</v>
      </c>
      <c r="L1064">
        <v>12.15</v>
      </c>
      <c r="M1064">
        <v>50.15</v>
      </c>
      <c r="N1064">
        <v>10.700000000000001</v>
      </c>
      <c r="O1064">
        <v>1652</v>
      </c>
      <c r="P1064">
        <v>625</v>
      </c>
      <c r="Q1064" s="5" t="e">
        <f>IF(AND(#REF!&gt;=table!$C$6,#REF!&lt;= table!$D$6),-1,IF(AND(#REF!&gt;=table!$E$6,#REF!&lt;=table!$F$6),1,0))</f>
        <v>#REF!</v>
      </c>
      <c r="R1064" s="5" t="e">
        <f>IF(AND(#REF!&gt;=table!$C$7,#REF!&lt;= table!$D$7),-1,IF(AND(#REF!&gt;=table!$E$7,#REF!&lt;=table!$F$7),1,0))</f>
        <v>#REF!</v>
      </c>
      <c r="S1064" s="5" t="e">
        <f>IF(AND(#REF!&gt;=table!$C$8,#REF!&lt;= table!$D$8),-1,IF(AND(#REF!&gt;=table!$E$8,#REF!&lt;=table!$F$8),1,0))</f>
        <v>#REF!</v>
      </c>
      <c r="T1064" s="5"/>
      <c r="U1064" s="5" t="e">
        <f>IF(AND(#REF!&gt;=table!$C$10,#REF!&lt;= table!$D$10),-1,IF(AND(#REF!&gt;=table!$E$10,#REF!&lt;=table!$F$10),1,0))</f>
        <v>#REF!</v>
      </c>
      <c r="V1064" s="5" t="e">
        <f>IF(AND(#REF!&gt;=table!$C$11,#REF!&lt;= table!$D$11),-1,IF(AND(#REF!&gt;=table!$E$11,#REF!&lt;=table!$F$11),1,0))</f>
        <v>#REF!</v>
      </c>
      <c r="W1064" s="5" t="e">
        <f>CONCATENATE(dados[[#This Row],[fator1]],dados[[#This Row],[fator5]],dados[[#This Row],[fator6]])</f>
        <v>#REF!</v>
      </c>
    </row>
    <row r="1065" spans="1:23">
      <c r="A1065" t="s">
        <v>16</v>
      </c>
      <c r="B1065">
        <v>483988</v>
      </c>
      <c r="C1065">
        <v>16</v>
      </c>
      <c r="D1065">
        <v>35</v>
      </c>
      <c r="E1065">
        <v>56</v>
      </c>
      <c r="F1065">
        <v>10</v>
      </c>
      <c r="G1065">
        <v>0</v>
      </c>
      <c r="H1065">
        <v>25</v>
      </c>
      <c r="I1065">
        <v>509</v>
      </c>
      <c r="J1065">
        <v>0</v>
      </c>
      <c r="K1065">
        <v>4.7700000000000005</v>
      </c>
      <c r="L1065">
        <v>9.4</v>
      </c>
      <c r="M1065">
        <v>45.695</v>
      </c>
      <c r="N1065">
        <v>9.75</v>
      </c>
      <c r="O1065">
        <v>1651</v>
      </c>
      <c r="P1065">
        <v>743</v>
      </c>
      <c r="Q1065" s="5" t="e">
        <f>IF(AND(#REF!&gt;=table!$C$6,#REF!&lt;= table!$D$6),-1,IF(AND(#REF!&gt;=table!$E$6,#REF!&lt;=table!$F$6),1,0))</f>
        <v>#REF!</v>
      </c>
      <c r="R1065" s="5" t="e">
        <f>IF(AND(#REF!&gt;=table!$C$7,#REF!&lt;= table!$D$7),-1,IF(AND(#REF!&gt;=table!$E$7,#REF!&lt;=table!$F$7),1,0))</f>
        <v>#REF!</v>
      </c>
      <c r="S1065" s="5" t="e">
        <f>IF(AND(#REF!&gt;=table!$C$8,#REF!&lt;= table!$D$8),-1,IF(AND(#REF!&gt;=table!$E$8,#REF!&lt;=table!$F$8),1,0))</f>
        <v>#REF!</v>
      </c>
      <c r="T1065" s="5"/>
      <c r="U1065" s="5" t="e">
        <f>IF(AND(#REF!&gt;=table!$C$10,#REF!&lt;= table!$D$10),-1,IF(AND(#REF!&gt;=table!$E$10,#REF!&lt;=table!$F$10),1,0))</f>
        <v>#REF!</v>
      </c>
      <c r="V1065" s="5" t="e">
        <f>IF(AND(#REF!&gt;=table!$C$11,#REF!&lt;= table!$D$11),-1,IF(AND(#REF!&gt;=table!$E$11,#REF!&lt;=table!$F$11),1,0))</f>
        <v>#REF!</v>
      </c>
      <c r="W1065" s="5" t="e">
        <f>CONCATENATE(dados[[#This Row],[fator1]],dados[[#This Row],[fator5]],dados[[#This Row],[fator6]])</f>
        <v>#REF!</v>
      </c>
    </row>
    <row r="1066" spans="1:23">
      <c r="A1066" t="s">
        <v>17</v>
      </c>
      <c r="B1066">
        <v>483990</v>
      </c>
      <c r="C1066">
        <v>9</v>
      </c>
      <c r="D1066">
        <v>30</v>
      </c>
      <c r="E1066">
        <v>160</v>
      </c>
      <c r="F1066">
        <v>3</v>
      </c>
      <c r="G1066">
        <v>30</v>
      </c>
      <c r="H1066">
        <v>18</v>
      </c>
      <c r="I1066">
        <v>1163</v>
      </c>
      <c r="J1066">
        <v>0</v>
      </c>
      <c r="K1066">
        <v>4.59</v>
      </c>
      <c r="L1066">
        <v>11.200000000000001</v>
      </c>
      <c r="M1066">
        <v>125.85000000000001</v>
      </c>
      <c r="N1066">
        <v>14.65</v>
      </c>
      <c r="O1066">
        <v>1707</v>
      </c>
      <c r="P1066">
        <v>0</v>
      </c>
      <c r="Q1066" s="5" t="e">
        <f>IF(AND(#REF!&gt;=table!$C$6,#REF!&lt;= table!$D$6),-1,IF(AND(#REF!&gt;=table!$E$6,#REF!&lt;=table!$F$6),1,0))</f>
        <v>#REF!</v>
      </c>
      <c r="R1066" s="5" t="e">
        <f>IF(AND(#REF!&gt;=table!$C$7,#REF!&lt;= table!$D$7),-1,IF(AND(#REF!&gt;=table!$E$7,#REF!&lt;=table!$F$7),1,0))</f>
        <v>#REF!</v>
      </c>
      <c r="S1066" s="5" t="e">
        <f>IF(AND(#REF!&gt;=table!$C$8,#REF!&lt;= table!$D$8),-1,IF(AND(#REF!&gt;=table!$E$8,#REF!&lt;=table!$F$8),1,0))</f>
        <v>#REF!</v>
      </c>
      <c r="T1066" s="5"/>
      <c r="U1066" s="5" t="e">
        <f>IF(AND(#REF!&gt;=table!$C$10,#REF!&lt;= table!$D$10),-1,IF(AND(#REF!&gt;=table!$E$10,#REF!&lt;=table!$F$10),1,0))</f>
        <v>#REF!</v>
      </c>
      <c r="V1066" s="5" t="e">
        <f>IF(AND(#REF!&gt;=table!$C$11,#REF!&lt;= table!$D$11),-1,IF(AND(#REF!&gt;=table!$E$11,#REF!&lt;=table!$F$11),1,0))</f>
        <v>#REF!</v>
      </c>
      <c r="W1066" s="5" t="e">
        <f>CONCATENATE(dados[[#This Row],[fator1]],dados[[#This Row],[fator5]],dados[[#This Row],[fator6]])</f>
        <v>#REF!</v>
      </c>
    </row>
    <row r="1067" spans="1:23">
      <c r="A1067" t="s">
        <v>16</v>
      </c>
      <c r="B1067">
        <v>483991</v>
      </c>
      <c r="C1067">
        <v>16</v>
      </c>
      <c r="D1067">
        <v>35</v>
      </c>
      <c r="E1067">
        <v>56</v>
      </c>
      <c r="F1067">
        <v>10</v>
      </c>
      <c r="G1067">
        <v>0</v>
      </c>
      <c r="H1067">
        <v>25</v>
      </c>
      <c r="I1067">
        <v>1332</v>
      </c>
      <c r="J1067">
        <v>0</v>
      </c>
      <c r="K1067">
        <v>3.895</v>
      </c>
      <c r="L1067">
        <v>8.5</v>
      </c>
      <c r="M1067">
        <v>45.2</v>
      </c>
      <c r="N1067">
        <v>12.700000000000001</v>
      </c>
      <c r="O1067">
        <v>1678</v>
      </c>
      <c r="P1067">
        <v>0</v>
      </c>
      <c r="Q1067" s="5" t="e">
        <f>IF(AND(#REF!&gt;=table!$C$6,#REF!&lt;= table!$D$6),-1,IF(AND(#REF!&gt;=table!$E$6,#REF!&lt;=table!$F$6),1,0))</f>
        <v>#REF!</v>
      </c>
      <c r="R1067" s="5" t="e">
        <f>IF(AND(#REF!&gt;=table!$C$7,#REF!&lt;= table!$D$7),-1,IF(AND(#REF!&gt;=table!$E$7,#REF!&lt;=table!$F$7),1,0))</f>
        <v>#REF!</v>
      </c>
      <c r="S1067" s="5" t="e">
        <f>IF(AND(#REF!&gt;=table!$C$8,#REF!&lt;= table!$D$8),-1,IF(AND(#REF!&gt;=table!$E$8,#REF!&lt;=table!$F$8),1,0))</f>
        <v>#REF!</v>
      </c>
      <c r="T1067" s="5"/>
      <c r="U1067" s="5" t="e">
        <f>IF(AND(#REF!&gt;=table!$C$10,#REF!&lt;= table!$D$10),-1,IF(AND(#REF!&gt;=table!$E$10,#REF!&lt;=table!$F$10),1,0))</f>
        <v>#REF!</v>
      </c>
      <c r="V1067" s="5" t="e">
        <f>IF(AND(#REF!&gt;=table!$C$11,#REF!&lt;= table!$D$11),-1,IF(AND(#REF!&gt;=table!$E$11,#REF!&lt;=table!$F$11),1,0))</f>
        <v>#REF!</v>
      </c>
      <c r="W1067" s="5" t="e">
        <f>CONCATENATE(dados[[#This Row],[fator1]],dados[[#This Row],[fator5]],dados[[#This Row],[fator6]])</f>
        <v>#REF!</v>
      </c>
    </row>
    <row r="1068" spans="1:23">
      <c r="A1068" t="s">
        <v>16</v>
      </c>
      <c r="B1068">
        <v>483994</v>
      </c>
      <c r="C1068">
        <v>11</v>
      </c>
      <c r="D1068">
        <v>35</v>
      </c>
      <c r="E1068">
        <v>45</v>
      </c>
      <c r="F1068">
        <v>9</v>
      </c>
      <c r="G1068">
        <v>0</v>
      </c>
      <c r="H1068">
        <v>25</v>
      </c>
      <c r="I1068">
        <v>744</v>
      </c>
      <c r="J1068">
        <v>600</v>
      </c>
      <c r="K1068">
        <v>3.84</v>
      </c>
      <c r="L1068">
        <v>8.9550000000000001</v>
      </c>
      <c r="M1068">
        <v>35.550000000000004</v>
      </c>
      <c r="N1068">
        <v>8.9500000000000011</v>
      </c>
      <c r="O1068">
        <v>1670</v>
      </c>
      <c r="P1068">
        <v>1191</v>
      </c>
      <c r="Q1068" s="5" t="e">
        <f>IF(AND(#REF!&gt;=table!$C$6,#REF!&lt;= table!$D$6),-1,IF(AND(#REF!&gt;=table!$E$6,#REF!&lt;=table!$F$6),1,0))</f>
        <v>#REF!</v>
      </c>
      <c r="R1068" s="5" t="e">
        <f>IF(AND(#REF!&gt;=table!$C$7,#REF!&lt;= table!$D$7),-1,IF(AND(#REF!&gt;=table!$E$7,#REF!&lt;=table!$F$7),1,0))</f>
        <v>#REF!</v>
      </c>
      <c r="S1068" s="5" t="e">
        <f>IF(AND(#REF!&gt;=table!$C$8,#REF!&lt;= table!$D$8),-1,IF(AND(#REF!&gt;=table!$E$8,#REF!&lt;=table!$F$8),1,0))</f>
        <v>#REF!</v>
      </c>
      <c r="T1068" s="5"/>
      <c r="U1068" s="5" t="e">
        <f>IF(AND(#REF!&gt;=table!$C$10,#REF!&lt;= table!$D$10),-1,IF(AND(#REF!&gt;=table!$E$10,#REF!&lt;=table!$F$10),1,0))</f>
        <v>#REF!</v>
      </c>
      <c r="V1068" s="5" t="e">
        <f>IF(AND(#REF!&gt;=table!$C$11,#REF!&lt;= table!$D$11),-1,IF(AND(#REF!&gt;=table!$E$11,#REF!&lt;=table!$F$11),1,0))</f>
        <v>#REF!</v>
      </c>
      <c r="W1068" s="5" t="e">
        <f>CONCATENATE(dados[[#This Row],[fator1]],dados[[#This Row],[fator5]],dados[[#This Row],[fator6]])</f>
        <v>#REF!</v>
      </c>
    </row>
    <row r="1069" spans="1:23">
      <c r="A1069" t="s">
        <v>17</v>
      </c>
      <c r="B1069">
        <v>483997</v>
      </c>
      <c r="C1069">
        <v>16</v>
      </c>
      <c r="D1069">
        <v>30</v>
      </c>
      <c r="E1069">
        <v>150</v>
      </c>
      <c r="F1069">
        <v>8</v>
      </c>
      <c r="G1069">
        <v>28</v>
      </c>
      <c r="H1069">
        <v>25</v>
      </c>
      <c r="I1069">
        <v>479</v>
      </c>
      <c r="J1069">
        <v>390</v>
      </c>
      <c r="K1069">
        <v>3.835</v>
      </c>
      <c r="L1069">
        <v>11.950000000000001</v>
      </c>
      <c r="M1069">
        <v>138.85</v>
      </c>
      <c r="N1069">
        <v>11.6</v>
      </c>
      <c r="O1069">
        <v>1656</v>
      </c>
      <c r="P1069">
        <v>1090</v>
      </c>
      <c r="Q1069" s="5" t="e">
        <f>IF(AND(#REF!&gt;=table!$C$6,#REF!&lt;= table!$D$6),-1,IF(AND(#REF!&gt;=table!$E$6,#REF!&lt;=table!$F$6),1,0))</f>
        <v>#REF!</v>
      </c>
      <c r="R1069" s="5" t="e">
        <f>IF(AND(#REF!&gt;=table!$C$7,#REF!&lt;= table!$D$7),-1,IF(AND(#REF!&gt;=table!$E$7,#REF!&lt;=table!$F$7),1,0))</f>
        <v>#REF!</v>
      </c>
      <c r="S1069" s="5" t="e">
        <f>IF(AND(#REF!&gt;=table!$C$8,#REF!&lt;= table!$D$8),-1,IF(AND(#REF!&gt;=table!$E$8,#REF!&lt;=table!$F$8),1,0))</f>
        <v>#REF!</v>
      </c>
      <c r="T1069" s="5"/>
      <c r="U1069" s="5" t="e">
        <f>IF(AND(#REF!&gt;=table!$C$10,#REF!&lt;= table!$D$10),-1,IF(AND(#REF!&gt;=table!$E$10,#REF!&lt;=table!$F$10),1,0))</f>
        <v>#REF!</v>
      </c>
      <c r="V1069" s="5" t="e">
        <f>IF(AND(#REF!&gt;=table!$C$11,#REF!&lt;= table!$D$11),-1,IF(AND(#REF!&gt;=table!$E$11,#REF!&lt;=table!$F$11),1,0))</f>
        <v>#REF!</v>
      </c>
      <c r="W1069" s="5" t="e">
        <f>CONCATENATE(dados[[#This Row],[fator1]],dados[[#This Row],[fator5]],dados[[#This Row],[fator6]])</f>
        <v>#REF!</v>
      </c>
    </row>
    <row r="1070" spans="1:23">
      <c r="A1070" t="s">
        <v>16</v>
      </c>
      <c r="B1070">
        <v>484001</v>
      </c>
      <c r="C1070">
        <v>9</v>
      </c>
      <c r="D1070">
        <v>35</v>
      </c>
      <c r="E1070">
        <v>36</v>
      </c>
      <c r="F1070">
        <v>9</v>
      </c>
      <c r="G1070">
        <v>0</v>
      </c>
      <c r="H1070">
        <v>25</v>
      </c>
      <c r="I1070">
        <v>13</v>
      </c>
      <c r="J1070">
        <v>0</v>
      </c>
      <c r="K1070">
        <v>6.26</v>
      </c>
      <c r="L1070">
        <v>17.600000000000001</v>
      </c>
      <c r="M1070">
        <v>44.4</v>
      </c>
      <c r="N1070">
        <v>24.400000000000002</v>
      </c>
      <c r="O1070">
        <v>1669</v>
      </c>
      <c r="P1070">
        <v>0</v>
      </c>
      <c r="Q1070" s="5" t="e">
        <f>IF(AND(#REF!&gt;=table!$C$6,#REF!&lt;= table!$D$6),-1,IF(AND(#REF!&gt;=table!$E$6,#REF!&lt;=table!$F$6),1,0))</f>
        <v>#REF!</v>
      </c>
      <c r="R1070" s="5" t="e">
        <f>IF(AND(#REF!&gt;=table!$C$7,#REF!&lt;= table!$D$7),-1,IF(AND(#REF!&gt;=table!$E$7,#REF!&lt;=table!$F$7),1,0))</f>
        <v>#REF!</v>
      </c>
      <c r="S1070" s="5" t="e">
        <f>IF(AND(#REF!&gt;=table!$C$8,#REF!&lt;= table!$D$8),-1,IF(AND(#REF!&gt;=table!$E$8,#REF!&lt;=table!$F$8),1,0))</f>
        <v>#REF!</v>
      </c>
      <c r="T1070" s="5"/>
      <c r="U1070" s="5" t="e">
        <f>IF(AND(#REF!&gt;=table!$C$10,#REF!&lt;= table!$D$10),-1,IF(AND(#REF!&gt;=table!$E$10,#REF!&lt;=table!$F$10),1,0))</f>
        <v>#REF!</v>
      </c>
      <c r="V1070" s="5" t="e">
        <f>IF(AND(#REF!&gt;=table!$C$11,#REF!&lt;= table!$D$11),-1,IF(AND(#REF!&gt;=table!$E$11,#REF!&lt;=table!$F$11),1,0))</f>
        <v>#REF!</v>
      </c>
      <c r="W1070" s="5" t="e">
        <f>CONCATENATE(dados[[#This Row],[fator1]],dados[[#This Row],[fator5]],dados[[#This Row],[fator6]])</f>
        <v>#REF!</v>
      </c>
    </row>
    <row r="1071" spans="1:23">
      <c r="A1071" t="s">
        <v>17</v>
      </c>
      <c r="B1071">
        <v>484003</v>
      </c>
      <c r="C1071">
        <v>27</v>
      </c>
      <c r="D1071">
        <v>33</v>
      </c>
      <c r="E1071">
        <v>125</v>
      </c>
      <c r="F1071">
        <v>3</v>
      </c>
      <c r="G1071">
        <v>18</v>
      </c>
      <c r="H1071">
        <v>18</v>
      </c>
      <c r="I1071">
        <v>842</v>
      </c>
      <c r="J1071">
        <v>0</v>
      </c>
      <c r="K1071">
        <v>2.9850000000000003</v>
      </c>
      <c r="L1071">
        <v>3.85</v>
      </c>
      <c r="M1071">
        <v>104.5</v>
      </c>
      <c r="N1071">
        <v>12.1</v>
      </c>
      <c r="O1071">
        <v>1670</v>
      </c>
      <c r="P1071">
        <v>1324</v>
      </c>
      <c r="Q1071" s="5" t="e">
        <f>IF(AND(#REF!&gt;=table!$C$6,#REF!&lt;= table!$D$6),-1,IF(AND(#REF!&gt;=table!$E$6,#REF!&lt;=table!$F$6),1,0))</f>
        <v>#REF!</v>
      </c>
      <c r="R1071" s="5" t="e">
        <f>IF(AND(#REF!&gt;=table!$C$7,#REF!&lt;= table!$D$7),-1,IF(AND(#REF!&gt;=table!$E$7,#REF!&lt;=table!$F$7),1,0))</f>
        <v>#REF!</v>
      </c>
      <c r="S1071" s="5" t="e">
        <f>IF(AND(#REF!&gt;=table!$C$8,#REF!&lt;= table!$D$8),-1,IF(AND(#REF!&gt;=table!$E$8,#REF!&lt;=table!$F$8),1,0))</f>
        <v>#REF!</v>
      </c>
      <c r="T1071" s="5"/>
      <c r="U1071" s="5" t="e">
        <f>IF(AND(#REF!&gt;=table!$C$10,#REF!&lt;= table!$D$10),-1,IF(AND(#REF!&gt;=table!$E$10,#REF!&lt;=table!$F$10),1,0))</f>
        <v>#REF!</v>
      </c>
      <c r="V1071" s="5" t="e">
        <f>IF(AND(#REF!&gt;=table!$C$11,#REF!&lt;= table!$D$11),-1,IF(AND(#REF!&gt;=table!$E$11,#REF!&lt;=table!$F$11),1,0))</f>
        <v>#REF!</v>
      </c>
      <c r="W1071" s="5" t="e">
        <f>CONCATENATE(dados[[#This Row],[fator1]],dados[[#This Row],[fator5]],dados[[#This Row],[fator6]])</f>
        <v>#REF!</v>
      </c>
    </row>
    <row r="1072" spans="1:23">
      <c r="A1072" t="s">
        <v>17</v>
      </c>
      <c r="B1072">
        <v>484004</v>
      </c>
      <c r="C1072">
        <v>27</v>
      </c>
      <c r="D1072">
        <v>33</v>
      </c>
      <c r="E1072">
        <v>125</v>
      </c>
      <c r="F1072">
        <v>3</v>
      </c>
      <c r="G1072">
        <v>18</v>
      </c>
      <c r="H1072">
        <v>18</v>
      </c>
      <c r="I1072">
        <v>669</v>
      </c>
      <c r="J1072">
        <v>0</v>
      </c>
      <c r="K1072">
        <v>3.69</v>
      </c>
      <c r="L1072">
        <v>4.4000000000000004</v>
      </c>
      <c r="M1072">
        <v>115</v>
      </c>
      <c r="N1072">
        <v>9.7000000000000011</v>
      </c>
      <c r="O1072">
        <v>1674</v>
      </c>
      <c r="P1072">
        <v>0</v>
      </c>
      <c r="Q1072" s="5" t="e">
        <f>IF(AND(#REF!&gt;=table!$C$6,#REF!&lt;= table!$D$6),-1,IF(AND(#REF!&gt;=table!$E$6,#REF!&lt;=table!$F$6),1,0))</f>
        <v>#REF!</v>
      </c>
      <c r="R1072" s="5" t="e">
        <f>IF(AND(#REF!&gt;=table!$C$7,#REF!&lt;= table!$D$7),-1,IF(AND(#REF!&gt;=table!$E$7,#REF!&lt;=table!$F$7),1,0))</f>
        <v>#REF!</v>
      </c>
      <c r="S1072" s="5" t="e">
        <f>IF(AND(#REF!&gt;=table!$C$8,#REF!&lt;= table!$D$8),-1,IF(AND(#REF!&gt;=table!$E$8,#REF!&lt;=table!$F$8),1,0))</f>
        <v>#REF!</v>
      </c>
      <c r="T1072" s="5"/>
      <c r="U1072" s="5" t="e">
        <f>IF(AND(#REF!&gt;=table!$C$10,#REF!&lt;= table!$D$10),-1,IF(AND(#REF!&gt;=table!$E$10,#REF!&lt;=table!$F$10),1,0))</f>
        <v>#REF!</v>
      </c>
      <c r="V1072" s="5" t="e">
        <f>IF(AND(#REF!&gt;=table!$C$11,#REF!&lt;= table!$D$11),-1,IF(AND(#REF!&gt;=table!$E$11,#REF!&lt;=table!$F$11),1,0))</f>
        <v>#REF!</v>
      </c>
      <c r="W1072" s="5" t="e">
        <f>CONCATENATE(dados[[#This Row],[fator1]],dados[[#This Row],[fator5]],dados[[#This Row],[fator6]])</f>
        <v>#REF!</v>
      </c>
    </row>
    <row r="1073" spans="1:23">
      <c r="A1073" t="s">
        <v>17</v>
      </c>
      <c r="B1073">
        <v>484005</v>
      </c>
      <c r="C1073">
        <v>27</v>
      </c>
      <c r="D1073">
        <v>33</v>
      </c>
      <c r="E1073">
        <v>125</v>
      </c>
      <c r="F1073">
        <v>3</v>
      </c>
      <c r="G1073">
        <v>18</v>
      </c>
      <c r="H1073">
        <v>18</v>
      </c>
      <c r="I1073">
        <v>236</v>
      </c>
      <c r="J1073">
        <v>0</v>
      </c>
      <c r="K1073">
        <v>3.5950000000000002</v>
      </c>
      <c r="L1073">
        <v>5.2</v>
      </c>
      <c r="M1073">
        <v>112.38</v>
      </c>
      <c r="N1073">
        <v>8.2750000000000004</v>
      </c>
      <c r="O1073">
        <v>1652</v>
      </c>
      <c r="P1073">
        <v>0</v>
      </c>
      <c r="Q1073" s="5" t="e">
        <f>IF(AND(#REF!&gt;=table!$C$6,#REF!&lt;= table!$D$6),-1,IF(AND(#REF!&gt;=table!$E$6,#REF!&lt;=table!$F$6),1,0))</f>
        <v>#REF!</v>
      </c>
      <c r="R1073" s="5" t="e">
        <f>IF(AND(#REF!&gt;=table!$C$7,#REF!&lt;= table!$D$7),-1,IF(AND(#REF!&gt;=table!$E$7,#REF!&lt;=table!$F$7),1,0))</f>
        <v>#REF!</v>
      </c>
      <c r="S1073" s="5" t="e">
        <f>IF(AND(#REF!&gt;=table!$C$8,#REF!&lt;= table!$D$8),-1,IF(AND(#REF!&gt;=table!$E$8,#REF!&lt;=table!$F$8),1,0))</f>
        <v>#REF!</v>
      </c>
      <c r="T1073" s="5"/>
      <c r="U1073" s="5" t="e">
        <f>IF(AND(#REF!&gt;=table!$C$10,#REF!&lt;= table!$D$10),-1,IF(AND(#REF!&gt;=table!$E$10,#REF!&lt;=table!$F$10),1,0))</f>
        <v>#REF!</v>
      </c>
      <c r="V1073" s="5" t="e">
        <f>IF(AND(#REF!&gt;=table!$C$11,#REF!&lt;= table!$D$11),-1,IF(AND(#REF!&gt;=table!$E$11,#REF!&lt;=table!$F$11),1,0))</f>
        <v>#REF!</v>
      </c>
      <c r="W1073" s="5" t="e">
        <f>CONCATENATE(dados[[#This Row],[fator1]],dados[[#This Row],[fator5]],dados[[#This Row],[fator6]])</f>
        <v>#REF!</v>
      </c>
    </row>
    <row r="1074" spans="1:23">
      <c r="A1074" t="s">
        <v>17</v>
      </c>
      <c r="B1074">
        <v>484007</v>
      </c>
      <c r="C1074">
        <v>14</v>
      </c>
      <c r="D1074">
        <v>25</v>
      </c>
      <c r="E1074">
        <v>130</v>
      </c>
      <c r="F1074">
        <v>9</v>
      </c>
      <c r="G1074">
        <v>110</v>
      </c>
      <c r="H1074">
        <v>50</v>
      </c>
      <c r="I1074">
        <v>531</v>
      </c>
      <c r="J1074">
        <v>0</v>
      </c>
      <c r="K1074">
        <v>5.5049999999999999</v>
      </c>
      <c r="L1074">
        <v>11.5</v>
      </c>
      <c r="M1074">
        <v>96.850000000000009</v>
      </c>
      <c r="N1074">
        <v>26.7</v>
      </c>
      <c r="O1074">
        <v>1655</v>
      </c>
      <c r="P1074">
        <v>691</v>
      </c>
      <c r="Q1074" s="5" t="e">
        <f>IF(AND(#REF!&gt;=table!$C$6,#REF!&lt;= table!$D$6),-1,IF(AND(#REF!&gt;=table!$E$6,#REF!&lt;=table!$F$6),1,0))</f>
        <v>#REF!</v>
      </c>
      <c r="R1074" s="5" t="e">
        <f>IF(AND(#REF!&gt;=table!$C$7,#REF!&lt;= table!$D$7),-1,IF(AND(#REF!&gt;=table!$E$7,#REF!&lt;=table!$F$7),1,0))</f>
        <v>#REF!</v>
      </c>
      <c r="S1074" s="5" t="e">
        <f>IF(AND(#REF!&gt;=table!$C$8,#REF!&lt;= table!$D$8),-1,IF(AND(#REF!&gt;=table!$E$8,#REF!&lt;=table!$F$8),1,0))</f>
        <v>#REF!</v>
      </c>
      <c r="T1074" s="5"/>
      <c r="U1074" s="5" t="e">
        <f>IF(AND(#REF!&gt;=table!$C$10,#REF!&lt;= table!$D$10),-1,IF(AND(#REF!&gt;=table!$E$10,#REF!&lt;=table!$F$10),1,0))</f>
        <v>#REF!</v>
      </c>
      <c r="V1074" s="5" t="e">
        <f>IF(AND(#REF!&gt;=table!$C$11,#REF!&lt;= table!$D$11),-1,IF(AND(#REF!&gt;=table!$E$11,#REF!&lt;=table!$F$11),1,0))</f>
        <v>#REF!</v>
      </c>
      <c r="W1074" s="5" t="e">
        <f>CONCATENATE(dados[[#This Row],[fator1]],dados[[#This Row],[fator5]],dados[[#This Row],[fator6]])</f>
        <v>#REF!</v>
      </c>
    </row>
    <row r="1075" spans="1:23">
      <c r="A1075" t="s">
        <v>17</v>
      </c>
      <c r="B1075">
        <v>484009</v>
      </c>
      <c r="C1075">
        <v>4</v>
      </c>
      <c r="D1075">
        <v>25</v>
      </c>
      <c r="E1075">
        <v>23</v>
      </c>
      <c r="F1075">
        <v>10</v>
      </c>
      <c r="G1075">
        <v>110</v>
      </c>
      <c r="H1075">
        <v>50</v>
      </c>
      <c r="I1075">
        <v>197</v>
      </c>
      <c r="J1075">
        <v>0</v>
      </c>
      <c r="K1075">
        <v>3.2850000000000001</v>
      </c>
      <c r="L1075">
        <v>7.05</v>
      </c>
      <c r="M1075">
        <v>18.2</v>
      </c>
      <c r="N1075">
        <v>32.1</v>
      </c>
      <c r="O1075">
        <v>1656</v>
      </c>
      <c r="P1075">
        <v>1026</v>
      </c>
      <c r="Q1075" s="5" t="e">
        <f>IF(AND(#REF!&gt;=table!$C$6,#REF!&lt;= table!$D$6),-1,IF(AND(#REF!&gt;=table!$E$6,#REF!&lt;=table!$F$6),1,0))</f>
        <v>#REF!</v>
      </c>
      <c r="R1075" s="5" t="e">
        <f>IF(AND(#REF!&gt;=table!$C$7,#REF!&lt;= table!$D$7),-1,IF(AND(#REF!&gt;=table!$E$7,#REF!&lt;=table!$F$7),1,0))</f>
        <v>#REF!</v>
      </c>
      <c r="S1075" s="5" t="e">
        <f>IF(AND(#REF!&gt;=table!$C$8,#REF!&lt;= table!$D$8),-1,IF(AND(#REF!&gt;=table!$E$8,#REF!&lt;=table!$F$8),1,0))</f>
        <v>#REF!</v>
      </c>
      <c r="T1075" s="5"/>
      <c r="U1075" s="5" t="e">
        <f>IF(AND(#REF!&gt;=table!$C$10,#REF!&lt;= table!$D$10),-1,IF(AND(#REF!&gt;=table!$E$10,#REF!&lt;=table!$F$10),1,0))</f>
        <v>#REF!</v>
      </c>
      <c r="V1075" s="5" t="e">
        <f>IF(AND(#REF!&gt;=table!$C$11,#REF!&lt;= table!$D$11),-1,IF(AND(#REF!&gt;=table!$E$11,#REF!&lt;=table!$F$11),1,0))</f>
        <v>#REF!</v>
      </c>
      <c r="W1075" s="5" t="e">
        <f>CONCATENATE(dados[[#This Row],[fator1]],dados[[#This Row],[fator5]],dados[[#This Row],[fator6]])</f>
        <v>#REF!</v>
      </c>
    </row>
    <row r="1076" spans="1:23">
      <c r="A1076" t="s">
        <v>16</v>
      </c>
      <c r="B1076">
        <v>484010</v>
      </c>
      <c r="C1076">
        <v>0.15</v>
      </c>
      <c r="D1076">
        <v>35</v>
      </c>
      <c r="E1076">
        <v>15</v>
      </c>
      <c r="F1076">
        <v>10</v>
      </c>
      <c r="G1076">
        <v>0</v>
      </c>
      <c r="H1076">
        <v>12</v>
      </c>
      <c r="I1076">
        <v>1068</v>
      </c>
      <c r="J1076">
        <v>0</v>
      </c>
      <c r="K1076">
        <v>4.76</v>
      </c>
      <c r="L1076">
        <v>10.85</v>
      </c>
      <c r="M1076">
        <v>9.5</v>
      </c>
      <c r="N1076">
        <v>11.15</v>
      </c>
      <c r="O1076">
        <v>1652</v>
      </c>
      <c r="P1076">
        <v>680</v>
      </c>
      <c r="Q1076" s="5" t="e">
        <f>IF(AND(#REF!&gt;=table!$C$6,#REF!&lt;= table!$D$6),-1,IF(AND(#REF!&gt;=table!$E$6,#REF!&lt;=table!$F$6),1,0))</f>
        <v>#REF!</v>
      </c>
      <c r="R1076" s="5" t="e">
        <f>IF(AND(#REF!&gt;=table!$C$7,#REF!&lt;= table!$D$7),-1,IF(AND(#REF!&gt;=table!$E$7,#REF!&lt;=table!$F$7),1,0))</f>
        <v>#REF!</v>
      </c>
      <c r="S1076" s="5" t="e">
        <f>IF(AND(#REF!&gt;=table!$C$8,#REF!&lt;= table!$D$8),-1,IF(AND(#REF!&gt;=table!$E$8,#REF!&lt;=table!$F$8),1,0))</f>
        <v>#REF!</v>
      </c>
      <c r="T1076" s="5"/>
      <c r="U1076" s="5" t="e">
        <f>IF(AND(#REF!&gt;=table!$C$10,#REF!&lt;= table!$D$10),-1,IF(AND(#REF!&gt;=table!$E$10,#REF!&lt;=table!$F$10),1,0))</f>
        <v>#REF!</v>
      </c>
      <c r="V1076" s="5" t="e">
        <f>IF(AND(#REF!&gt;=table!$C$11,#REF!&lt;= table!$D$11),-1,IF(AND(#REF!&gt;=table!$E$11,#REF!&lt;=table!$F$11),1,0))</f>
        <v>#REF!</v>
      </c>
      <c r="W1076" s="5" t="e">
        <f>CONCATENATE(dados[[#This Row],[fator1]],dados[[#This Row],[fator5]],dados[[#This Row],[fator6]])</f>
        <v>#REF!</v>
      </c>
    </row>
    <row r="1077" spans="1:23">
      <c r="A1077" t="s">
        <v>16</v>
      </c>
      <c r="B1077">
        <v>484014</v>
      </c>
      <c r="C1077">
        <v>4</v>
      </c>
      <c r="D1077">
        <v>40</v>
      </c>
      <c r="E1077">
        <v>21</v>
      </c>
      <c r="F1077">
        <v>20</v>
      </c>
      <c r="G1077">
        <v>0</v>
      </c>
      <c r="H1077">
        <v>25</v>
      </c>
      <c r="I1077">
        <v>1461</v>
      </c>
      <c r="J1077">
        <v>0</v>
      </c>
      <c r="K1077">
        <v>5.24</v>
      </c>
      <c r="L1077">
        <v>9.3000000000000007</v>
      </c>
      <c r="M1077">
        <v>8.7000000000000011</v>
      </c>
      <c r="N1077">
        <v>8.25</v>
      </c>
      <c r="O1077">
        <v>1641</v>
      </c>
      <c r="P1077">
        <v>581</v>
      </c>
      <c r="Q1077" s="5" t="e">
        <f>IF(AND(#REF!&gt;=table!$C$6,#REF!&lt;= table!$D$6),-1,IF(AND(#REF!&gt;=table!$E$6,#REF!&lt;=table!$F$6),1,0))</f>
        <v>#REF!</v>
      </c>
      <c r="R1077" s="5" t="e">
        <f>IF(AND(#REF!&gt;=table!$C$7,#REF!&lt;= table!$D$7),-1,IF(AND(#REF!&gt;=table!$E$7,#REF!&lt;=table!$F$7),1,0))</f>
        <v>#REF!</v>
      </c>
      <c r="S1077" s="5" t="e">
        <f>IF(AND(#REF!&gt;=table!$C$8,#REF!&lt;= table!$D$8),-1,IF(AND(#REF!&gt;=table!$E$8,#REF!&lt;=table!$F$8),1,0))</f>
        <v>#REF!</v>
      </c>
      <c r="T1077" s="5"/>
      <c r="U1077" s="5" t="e">
        <f>IF(AND(#REF!&gt;=table!$C$10,#REF!&lt;= table!$D$10),-1,IF(AND(#REF!&gt;=table!$E$10,#REF!&lt;=table!$F$10),1,0))</f>
        <v>#REF!</v>
      </c>
      <c r="V1077" s="5" t="e">
        <f>IF(AND(#REF!&gt;=table!$C$11,#REF!&lt;= table!$D$11),-1,IF(AND(#REF!&gt;=table!$E$11,#REF!&lt;=table!$F$11),1,0))</f>
        <v>#REF!</v>
      </c>
      <c r="W1077" s="5" t="e">
        <f>CONCATENATE(dados[[#This Row],[fator1]],dados[[#This Row],[fator5]],dados[[#This Row],[fator6]])</f>
        <v>#REF!</v>
      </c>
    </row>
    <row r="1078" spans="1:23">
      <c r="A1078" t="s">
        <v>16</v>
      </c>
      <c r="B1078">
        <v>484016</v>
      </c>
      <c r="C1078">
        <v>4</v>
      </c>
      <c r="D1078">
        <v>40</v>
      </c>
      <c r="E1078">
        <v>21</v>
      </c>
      <c r="F1078">
        <v>20</v>
      </c>
      <c r="G1078">
        <v>0</v>
      </c>
      <c r="H1078">
        <v>25</v>
      </c>
      <c r="I1078">
        <v>1767</v>
      </c>
      <c r="J1078">
        <v>630</v>
      </c>
      <c r="K1078">
        <v>9.59</v>
      </c>
      <c r="L1078">
        <v>9.5500000000000007</v>
      </c>
      <c r="M1078">
        <v>12.25</v>
      </c>
      <c r="N1078">
        <v>11.05</v>
      </c>
      <c r="O1078">
        <v>1669</v>
      </c>
      <c r="P1078">
        <v>407</v>
      </c>
      <c r="Q1078" s="5" t="e">
        <f>IF(AND(#REF!&gt;=table!$C$6,#REF!&lt;= table!$D$6),-1,IF(AND(#REF!&gt;=table!$E$6,#REF!&lt;=table!$F$6),1,0))</f>
        <v>#REF!</v>
      </c>
      <c r="R1078" s="5" t="e">
        <f>IF(AND(#REF!&gt;=table!$C$7,#REF!&lt;= table!$D$7),-1,IF(AND(#REF!&gt;=table!$E$7,#REF!&lt;=table!$F$7),1,0))</f>
        <v>#REF!</v>
      </c>
      <c r="S1078" s="5" t="e">
        <f>IF(AND(#REF!&gt;=table!$C$8,#REF!&lt;= table!$D$8),-1,IF(AND(#REF!&gt;=table!$E$8,#REF!&lt;=table!$F$8),1,0))</f>
        <v>#REF!</v>
      </c>
      <c r="T1078" s="5"/>
      <c r="U1078" s="5" t="e">
        <f>IF(AND(#REF!&gt;=table!$C$10,#REF!&lt;= table!$D$10),-1,IF(AND(#REF!&gt;=table!$E$10,#REF!&lt;=table!$F$10),1,0))</f>
        <v>#REF!</v>
      </c>
      <c r="V1078" s="5" t="e">
        <f>IF(AND(#REF!&gt;=table!$C$11,#REF!&lt;= table!$D$11),-1,IF(AND(#REF!&gt;=table!$E$11,#REF!&lt;=table!$F$11),1,0))</f>
        <v>#REF!</v>
      </c>
      <c r="W1078" s="5" t="e">
        <f>CONCATENATE(dados[[#This Row],[fator1]],dados[[#This Row],[fator5]],dados[[#This Row],[fator6]])</f>
        <v>#REF!</v>
      </c>
    </row>
    <row r="1079" spans="1:23">
      <c r="A1079" t="s">
        <v>16</v>
      </c>
      <c r="B1079">
        <v>484018</v>
      </c>
      <c r="C1079">
        <v>0.15</v>
      </c>
      <c r="D1079">
        <v>40</v>
      </c>
      <c r="E1079">
        <v>10</v>
      </c>
      <c r="F1079">
        <v>15</v>
      </c>
      <c r="G1079">
        <v>0</v>
      </c>
      <c r="H1079">
        <v>15</v>
      </c>
      <c r="I1079">
        <v>720</v>
      </c>
      <c r="J1079">
        <v>0</v>
      </c>
      <c r="K1079">
        <v>4.4400000000000004</v>
      </c>
      <c r="L1079">
        <v>11</v>
      </c>
      <c r="M1079">
        <v>11.015000000000001</v>
      </c>
      <c r="N1079">
        <v>10.645000000000001</v>
      </c>
      <c r="O1079">
        <v>1646</v>
      </c>
      <c r="P1079">
        <v>0</v>
      </c>
      <c r="Q1079" s="5" t="e">
        <f>IF(AND(#REF!&gt;=table!$C$6,#REF!&lt;= table!$D$6),-1,IF(AND(#REF!&gt;=table!$E$6,#REF!&lt;=table!$F$6),1,0))</f>
        <v>#REF!</v>
      </c>
      <c r="R1079" s="5" t="e">
        <f>IF(AND(#REF!&gt;=table!$C$7,#REF!&lt;= table!$D$7),-1,IF(AND(#REF!&gt;=table!$E$7,#REF!&lt;=table!$F$7),1,0))</f>
        <v>#REF!</v>
      </c>
      <c r="S1079" s="5" t="e">
        <f>IF(AND(#REF!&gt;=table!$C$8,#REF!&lt;= table!$D$8),-1,IF(AND(#REF!&gt;=table!$E$8,#REF!&lt;=table!$F$8),1,0))</f>
        <v>#REF!</v>
      </c>
      <c r="T1079" s="5"/>
      <c r="U1079" s="5" t="e">
        <f>IF(AND(#REF!&gt;=table!$C$10,#REF!&lt;= table!$D$10),-1,IF(AND(#REF!&gt;=table!$E$10,#REF!&lt;=table!$F$10),1,0))</f>
        <v>#REF!</v>
      </c>
      <c r="V1079" s="5" t="e">
        <f>IF(AND(#REF!&gt;=table!$C$11,#REF!&lt;= table!$D$11),-1,IF(AND(#REF!&gt;=table!$E$11,#REF!&lt;=table!$F$11),1,0))</f>
        <v>#REF!</v>
      </c>
      <c r="W1079" s="5" t="e">
        <f>CONCATENATE(dados[[#This Row],[fator1]],dados[[#This Row],[fator5]],dados[[#This Row],[fator6]])</f>
        <v>#REF!</v>
      </c>
    </row>
    <row r="1080" spans="1:23">
      <c r="A1080" t="s">
        <v>16</v>
      </c>
      <c r="B1080">
        <v>484023</v>
      </c>
      <c r="C1080">
        <v>0.15</v>
      </c>
      <c r="D1080">
        <v>40</v>
      </c>
      <c r="E1080">
        <v>10</v>
      </c>
      <c r="F1080">
        <v>15</v>
      </c>
      <c r="G1080">
        <v>0</v>
      </c>
      <c r="H1080">
        <v>15</v>
      </c>
      <c r="I1080">
        <v>258</v>
      </c>
      <c r="J1080">
        <v>0</v>
      </c>
      <c r="K1080">
        <v>4.24</v>
      </c>
      <c r="L1080">
        <v>6.3500000000000005</v>
      </c>
      <c r="M1080">
        <v>4.3</v>
      </c>
      <c r="N1080">
        <v>6.45</v>
      </c>
      <c r="O1080">
        <v>1650</v>
      </c>
      <c r="P1080">
        <v>631</v>
      </c>
      <c r="Q1080" s="5" t="e">
        <f>IF(AND(#REF!&gt;=table!$C$6,#REF!&lt;= table!$D$6),-1,IF(AND(#REF!&gt;=table!$E$6,#REF!&lt;=table!$F$6),1,0))</f>
        <v>#REF!</v>
      </c>
      <c r="R1080" s="5" t="e">
        <f>IF(AND(#REF!&gt;=table!$C$7,#REF!&lt;= table!$D$7),-1,IF(AND(#REF!&gt;=table!$E$7,#REF!&lt;=table!$F$7),1,0))</f>
        <v>#REF!</v>
      </c>
      <c r="S1080" s="5" t="e">
        <f>IF(AND(#REF!&gt;=table!$C$8,#REF!&lt;= table!$D$8),-1,IF(AND(#REF!&gt;=table!$E$8,#REF!&lt;=table!$F$8),1,0))</f>
        <v>#REF!</v>
      </c>
      <c r="T1080" s="5"/>
      <c r="U1080" s="5" t="e">
        <f>IF(AND(#REF!&gt;=table!$C$10,#REF!&lt;= table!$D$10),-1,IF(AND(#REF!&gt;=table!$E$10,#REF!&lt;=table!$F$10),1,0))</f>
        <v>#REF!</v>
      </c>
      <c r="V1080" s="5" t="e">
        <f>IF(AND(#REF!&gt;=table!$C$11,#REF!&lt;= table!$D$11),-1,IF(AND(#REF!&gt;=table!$E$11,#REF!&lt;=table!$F$11),1,0))</f>
        <v>#REF!</v>
      </c>
      <c r="W1080" s="5" t="e">
        <f>CONCATENATE(dados[[#This Row],[fator1]],dados[[#This Row],[fator5]],dados[[#This Row],[fator6]])</f>
        <v>#REF!</v>
      </c>
    </row>
    <row r="1081" spans="1:23">
      <c r="A1081" t="s">
        <v>17</v>
      </c>
      <c r="B1081">
        <v>484032</v>
      </c>
      <c r="C1081">
        <v>18</v>
      </c>
      <c r="D1081">
        <v>23</v>
      </c>
      <c r="E1081">
        <v>145</v>
      </c>
      <c r="F1081">
        <v>9</v>
      </c>
      <c r="G1081">
        <v>30</v>
      </c>
      <c r="H1081">
        <v>25</v>
      </c>
      <c r="I1081">
        <v>987</v>
      </c>
      <c r="J1081">
        <v>0</v>
      </c>
      <c r="K1081">
        <v>3.6550000000000002</v>
      </c>
      <c r="L1081">
        <v>8.15</v>
      </c>
      <c r="M1081">
        <v>123.95</v>
      </c>
      <c r="N1081">
        <v>11.200000000000001</v>
      </c>
      <c r="O1081">
        <v>1657</v>
      </c>
      <c r="P1081">
        <v>0</v>
      </c>
      <c r="Q1081" s="5" t="e">
        <f>IF(AND(#REF!&gt;=table!$C$6,#REF!&lt;= table!$D$6),-1,IF(AND(#REF!&gt;=table!$E$6,#REF!&lt;=table!$F$6),1,0))</f>
        <v>#REF!</v>
      </c>
      <c r="R1081" s="5" t="e">
        <f>IF(AND(#REF!&gt;=table!$C$7,#REF!&lt;= table!$D$7),-1,IF(AND(#REF!&gt;=table!$E$7,#REF!&lt;=table!$F$7),1,0))</f>
        <v>#REF!</v>
      </c>
      <c r="S1081" s="5" t="e">
        <f>IF(AND(#REF!&gt;=table!$C$8,#REF!&lt;= table!$D$8),-1,IF(AND(#REF!&gt;=table!$E$8,#REF!&lt;=table!$F$8),1,0))</f>
        <v>#REF!</v>
      </c>
      <c r="T1081" s="5"/>
      <c r="U1081" s="5" t="e">
        <f>IF(AND(#REF!&gt;=table!$C$10,#REF!&lt;= table!$D$10),-1,IF(AND(#REF!&gt;=table!$E$10,#REF!&lt;=table!$F$10),1,0))</f>
        <v>#REF!</v>
      </c>
      <c r="V1081" s="5" t="e">
        <f>IF(AND(#REF!&gt;=table!$C$11,#REF!&lt;= table!$D$11),-1,IF(AND(#REF!&gt;=table!$E$11,#REF!&lt;=table!$F$11),1,0))</f>
        <v>#REF!</v>
      </c>
      <c r="W1081" s="5" t="e">
        <f>CONCATENATE(dados[[#This Row],[fator1]],dados[[#This Row],[fator5]],dados[[#This Row],[fator6]])</f>
        <v>#REF!</v>
      </c>
    </row>
    <row r="1082" spans="1:23">
      <c r="A1082" t="s">
        <v>16</v>
      </c>
      <c r="B1082">
        <v>484045</v>
      </c>
      <c r="C1082">
        <v>9</v>
      </c>
      <c r="D1082">
        <v>27</v>
      </c>
      <c r="E1082">
        <v>36</v>
      </c>
      <c r="F1082">
        <v>8</v>
      </c>
      <c r="G1082">
        <v>0</v>
      </c>
      <c r="H1082">
        <v>25</v>
      </c>
      <c r="I1082">
        <v>571</v>
      </c>
      <c r="J1082">
        <v>0</v>
      </c>
      <c r="K1082">
        <v>4.5600000000000005</v>
      </c>
      <c r="L1082">
        <v>11.8</v>
      </c>
      <c r="M1082">
        <v>31.03</v>
      </c>
      <c r="N1082">
        <v>12.335000000000001</v>
      </c>
      <c r="O1082">
        <v>1681</v>
      </c>
      <c r="P1082">
        <v>0</v>
      </c>
      <c r="Q1082" s="5" t="e">
        <f>IF(AND(#REF!&gt;=table!$C$6,#REF!&lt;= table!$D$6),-1,IF(AND(#REF!&gt;=table!$E$6,#REF!&lt;=table!$F$6),1,0))</f>
        <v>#REF!</v>
      </c>
      <c r="R1082" s="5" t="e">
        <f>IF(AND(#REF!&gt;=table!$C$7,#REF!&lt;= table!$D$7),-1,IF(AND(#REF!&gt;=table!$E$7,#REF!&lt;=table!$F$7),1,0))</f>
        <v>#REF!</v>
      </c>
      <c r="S1082" s="5" t="e">
        <f>IF(AND(#REF!&gt;=table!$C$8,#REF!&lt;= table!$D$8),-1,IF(AND(#REF!&gt;=table!$E$8,#REF!&lt;=table!$F$8),1,0))</f>
        <v>#REF!</v>
      </c>
      <c r="T1082" s="5"/>
      <c r="U1082" s="5" t="e">
        <f>IF(AND(#REF!&gt;=table!$C$10,#REF!&lt;= table!$D$10),-1,IF(AND(#REF!&gt;=table!$E$10,#REF!&lt;=table!$F$10),1,0))</f>
        <v>#REF!</v>
      </c>
      <c r="V1082" s="5" t="e">
        <f>IF(AND(#REF!&gt;=table!$C$11,#REF!&lt;= table!$D$11),-1,IF(AND(#REF!&gt;=table!$E$11,#REF!&lt;=table!$F$11),1,0))</f>
        <v>#REF!</v>
      </c>
      <c r="W1082" s="5" t="e">
        <f>CONCATENATE(dados[[#This Row],[fator1]],dados[[#This Row],[fator5]],dados[[#This Row],[fator6]])</f>
        <v>#REF!</v>
      </c>
    </row>
    <row r="1083" spans="1:23">
      <c r="A1083" t="s">
        <v>17</v>
      </c>
      <c r="B1083">
        <v>484047</v>
      </c>
      <c r="C1083">
        <v>18</v>
      </c>
      <c r="D1083">
        <v>23</v>
      </c>
      <c r="E1083">
        <v>145</v>
      </c>
      <c r="F1083">
        <v>9</v>
      </c>
      <c r="G1083">
        <v>30</v>
      </c>
      <c r="H1083">
        <v>25</v>
      </c>
      <c r="I1083">
        <v>1075</v>
      </c>
      <c r="J1083">
        <v>0</v>
      </c>
      <c r="K1083">
        <v>4.6349999999999998</v>
      </c>
      <c r="L1083">
        <v>9.5500000000000007</v>
      </c>
      <c r="M1083">
        <v>139.30000000000001</v>
      </c>
      <c r="N1083">
        <v>15.75</v>
      </c>
      <c r="O1083">
        <v>1685</v>
      </c>
      <c r="P1083">
        <v>792</v>
      </c>
      <c r="Q1083" s="5" t="e">
        <f>IF(AND(#REF!&gt;=table!$C$6,#REF!&lt;= table!$D$6),-1,IF(AND(#REF!&gt;=table!$E$6,#REF!&lt;=table!$F$6),1,0))</f>
        <v>#REF!</v>
      </c>
      <c r="R1083" s="5" t="e">
        <f>IF(AND(#REF!&gt;=table!$C$7,#REF!&lt;= table!$D$7),-1,IF(AND(#REF!&gt;=table!$E$7,#REF!&lt;=table!$F$7),1,0))</f>
        <v>#REF!</v>
      </c>
      <c r="S1083" s="5" t="e">
        <f>IF(AND(#REF!&gt;=table!$C$8,#REF!&lt;= table!$D$8),-1,IF(AND(#REF!&gt;=table!$E$8,#REF!&lt;=table!$F$8),1,0))</f>
        <v>#REF!</v>
      </c>
      <c r="T1083" s="5"/>
      <c r="U1083" s="5" t="e">
        <f>IF(AND(#REF!&gt;=table!$C$10,#REF!&lt;= table!$D$10),-1,IF(AND(#REF!&gt;=table!$E$10,#REF!&lt;=table!$F$10),1,0))</f>
        <v>#REF!</v>
      </c>
      <c r="V1083" s="5" t="e">
        <f>IF(AND(#REF!&gt;=table!$C$11,#REF!&lt;= table!$D$11),-1,IF(AND(#REF!&gt;=table!$E$11,#REF!&lt;=table!$F$11),1,0))</f>
        <v>#REF!</v>
      </c>
      <c r="W1083" s="5" t="e">
        <f>CONCATENATE(dados[[#This Row],[fator1]],dados[[#This Row],[fator5]],dados[[#This Row],[fator6]])</f>
        <v>#REF!</v>
      </c>
    </row>
    <row r="1084" spans="1:23">
      <c r="A1084" t="s">
        <v>17</v>
      </c>
      <c r="B1084">
        <v>484049</v>
      </c>
      <c r="C1084">
        <v>14</v>
      </c>
      <c r="D1084">
        <v>30</v>
      </c>
      <c r="E1084">
        <v>210</v>
      </c>
      <c r="F1084">
        <v>3</v>
      </c>
      <c r="G1084">
        <v>40</v>
      </c>
      <c r="H1084">
        <v>25</v>
      </c>
      <c r="I1084">
        <v>358</v>
      </c>
      <c r="J1084">
        <v>0</v>
      </c>
      <c r="K1084">
        <v>6.08</v>
      </c>
      <c r="L1084">
        <v>11.35</v>
      </c>
      <c r="M1084">
        <v>174</v>
      </c>
      <c r="N1084">
        <v>17.150000000000002</v>
      </c>
      <c r="O1084">
        <v>1686</v>
      </c>
      <c r="P1084">
        <v>634</v>
      </c>
      <c r="Q1084" s="5" t="e">
        <f>IF(AND(#REF!&gt;=table!$C$6,#REF!&lt;= table!$D$6),-1,IF(AND(#REF!&gt;=table!$E$6,#REF!&lt;=table!$F$6),1,0))</f>
        <v>#REF!</v>
      </c>
      <c r="R1084" s="5" t="e">
        <f>IF(AND(#REF!&gt;=table!$C$7,#REF!&lt;= table!$D$7),-1,IF(AND(#REF!&gt;=table!$E$7,#REF!&lt;=table!$F$7),1,0))</f>
        <v>#REF!</v>
      </c>
      <c r="S1084" s="5" t="e">
        <f>IF(AND(#REF!&gt;=table!$C$8,#REF!&lt;= table!$D$8),-1,IF(AND(#REF!&gt;=table!$E$8,#REF!&lt;=table!$F$8),1,0))</f>
        <v>#REF!</v>
      </c>
      <c r="T1084" s="5"/>
      <c r="U1084" s="5" t="e">
        <f>IF(AND(#REF!&gt;=table!$C$10,#REF!&lt;= table!$D$10),-1,IF(AND(#REF!&gt;=table!$E$10,#REF!&lt;=table!$F$10),1,0))</f>
        <v>#REF!</v>
      </c>
      <c r="V1084" s="5" t="e">
        <f>IF(AND(#REF!&gt;=table!$C$11,#REF!&lt;= table!$D$11),-1,IF(AND(#REF!&gt;=table!$E$11,#REF!&lt;=table!$F$11),1,0))</f>
        <v>#REF!</v>
      </c>
      <c r="W1084" s="5" t="e">
        <f>CONCATENATE(dados[[#This Row],[fator1]],dados[[#This Row],[fator5]],dados[[#This Row],[fator6]])</f>
        <v>#REF!</v>
      </c>
    </row>
    <row r="1085" spans="1:23">
      <c r="A1085" t="s">
        <v>17</v>
      </c>
      <c r="B1085">
        <v>484050</v>
      </c>
      <c r="C1085">
        <v>14</v>
      </c>
      <c r="D1085">
        <v>30</v>
      </c>
      <c r="E1085">
        <v>210</v>
      </c>
      <c r="F1085">
        <v>3</v>
      </c>
      <c r="G1085">
        <v>40</v>
      </c>
      <c r="H1085">
        <v>25</v>
      </c>
      <c r="I1085">
        <v>358</v>
      </c>
      <c r="J1085">
        <v>0</v>
      </c>
      <c r="K1085">
        <v>7.665</v>
      </c>
      <c r="L1085">
        <v>12.65</v>
      </c>
      <c r="M1085">
        <v>195.57</v>
      </c>
      <c r="N1085">
        <v>16.09</v>
      </c>
      <c r="O1085">
        <v>1679</v>
      </c>
      <c r="P1085">
        <v>497</v>
      </c>
      <c r="Q1085" s="5" t="e">
        <f>IF(AND(#REF!&gt;=table!$C$6,#REF!&lt;= table!$D$6),-1,IF(AND(#REF!&gt;=table!$E$6,#REF!&lt;=table!$F$6),1,0))</f>
        <v>#REF!</v>
      </c>
      <c r="R1085" s="5" t="e">
        <f>IF(AND(#REF!&gt;=table!$C$7,#REF!&lt;= table!$D$7),-1,IF(AND(#REF!&gt;=table!$E$7,#REF!&lt;=table!$F$7),1,0))</f>
        <v>#REF!</v>
      </c>
      <c r="S1085" s="5" t="e">
        <f>IF(AND(#REF!&gt;=table!$C$8,#REF!&lt;= table!$D$8),-1,IF(AND(#REF!&gt;=table!$E$8,#REF!&lt;=table!$F$8),1,0))</f>
        <v>#REF!</v>
      </c>
      <c r="T1085" s="5"/>
      <c r="U1085" s="5" t="e">
        <f>IF(AND(#REF!&gt;=table!$C$10,#REF!&lt;= table!$D$10),-1,IF(AND(#REF!&gt;=table!$E$10,#REF!&lt;=table!$F$10),1,0))</f>
        <v>#REF!</v>
      </c>
      <c r="V1085" s="5" t="e">
        <f>IF(AND(#REF!&gt;=table!$C$11,#REF!&lt;= table!$D$11),-1,IF(AND(#REF!&gt;=table!$E$11,#REF!&lt;=table!$F$11),1,0))</f>
        <v>#REF!</v>
      </c>
      <c r="W1085" s="5" t="e">
        <f>CONCATENATE(dados[[#This Row],[fator1]],dados[[#This Row],[fator5]],dados[[#This Row],[fator6]])</f>
        <v>#REF!</v>
      </c>
    </row>
    <row r="1086" spans="1:23">
      <c r="A1086" t="s">
        <v>17</v>
      </c>
      <c r="B1086">
        <v>484051</v>
      </c>
      <c r="C1086">
        <v>18</v>
      </c>
      <c r="D1086">
        <v>30</v>
      </c>
      <c r="E1086">
        <v>136</v>
      </c>
      <c r="F1086">
        <v>3</v>
      </c>
      <c r="G1086">
        <v>20</v>
      </c>
      <c r="H1086">
        <v>25</v>
      </c>
      <c r="I1086">
        <v>724</v>
      </c>
      <c r="J1086">
        <v>0</v>
      </c>
      <c r="K1086">
        <v>3.81</v>
      </c>
      <c r="L1086">
        <v>10.950000000000001</v>
      </c>
      <c r="M1086">
        <v>136.75</v>
      </c>
      <c r="N1086">
        <v>12.35</v>
      </c>
      <c r="O1086">
        <v>1678</v>
      </c>
      <c r="P1086">
        <v>0</v>
      </c>
      <c r="Q1086" s="5" t="e">
        <f>IF(AND(#REF!&gt;=table!$C$6,#REF!&lt;= table!$D$6),-1,IF(AND(#REF!&gt;=table!$E$6,#REF!&lt;=table!$F$6),1,0))</f>
        <v>#REF!</v>
      </c>
      <c r="R1086" s="5" t="e">
        <f>IF(AND(#REF!&gt;=table!$C$7,#REF!&lt;= table!$D$7),-1,IF(AND(#REF!&gt;=table!$E$7,#REF!&lt;=table!$F$7),1,0))</f>
        <v>#REF!</v>
      </c>
      <c r="S1086" s="5" t="e">
        <f>IF(AND(#REF!&gt;=table!$C$8,#REF!&lt;= table!$D$8),-1,IF(AND(#REF!&gt;=table!$E$8,#REF!&lt;=table!$F$8),1,0))</f>
        <v>#REF!</v>
      </c>
      <c r="T1086" s="5"/>
      <c r="U1086" s="5" t="e">
        <f>IF(AND(#REF!&gt;=table!$C$10,#REF!&lt;= table!$D$10),-1,IF(AND(#REF!&gt;=table!$E$10,#REF!&lt;=table!$F$10),1,0))</f>
        <v>#REF!</v>
      </c>
      <c r="V1086" s="5" t="e">
        <f>IF(AND(#REF!&gt;=table!$C$11,#REF!&lt;= table!$D$11),-1,IF(AND(#REF!&gt;=table!$E$11,#REF!&lt;=table!$F$11),1,0))</f>
        <v>#REF!</v>
      </c>
      <c r="W1086" s="5" t="e">
        <f>CONCATENATE(dados[[#This Row],[fator1]],dados[[#This Row],[fator5]],dados[[#This Row],[fator6]])</f>
        <v>#REF!</v>
      </c>
    </row>
    <row r="1087" spans="1:23">
      <c r="A1087" t="s">
        <v>17</v>
      </c>
      <c r="B1087">
        <v>484054</v>
      </c>
      <c r="C1087">
        <v>13</v>
      </c>
      <c r="D1087">
        <v>25</v>
      </c>
      <c r="E1087">
        <v>140</v>
      </c>
      <c r="F1087">
        <v>10</v>
      </c>
      <c r="G1087">
        <v>33</v>
      </c>
      <c r="H1087">
        <v>25</v>
      </c>
      <c r="I1087">
        <v>1319</v>
      </c>
      <c r="J1087">
        <v>0</v>
      </c>
      <c r="K1087">
        <v>5.66</v>
      </c>
      <c r="L1087">
        <v>10.55</v>
      </c>
      <c r="M1087">
        <v>139.30000000000001</v>
      </c>
      <c r="N1087">
        <v>14.75</v>
      </c>
      <c r="O1087">
        <v>1668</v>
      </c>
      <c r="P1087">
        <v>0</v>
      </c>
      <c r="Q1087" s="5" t="e">
        <f>IF(AND(#REF!&gt;=table!$C$6,#REF!&lt;= table!$D$6),-1,IF(AND(#REF!&gt;=table!$E$6,#REF!&lt;=table!$F$6),1,0))</f>
        <v>#REF!</v>
      </c>
      <c r="R1087" s="5" t="e">
        <f>IF(AND(#REF!&gt;=table!$C$7,#REF!&lt;= table!$D$7),-1,IF(AND(#REF!&gt;=table!$E$7,#REF!&lt;=table!$F$7),1,0))</f>
        <v>#REF!</v>
      </c>
      <c r="S1087" s="5" t="e">
        <f>IF(AND(#REF!&gt;=table!$C$8,#REF!&lt;= table!$D$8),-1,IF(AND(#REF!&gt;=table!$E$8,#REF!&lt;=table!$F$8),1,0))</f>
        <v>#REF!</v>
      </c>
      <c r="T1087" s="5"/>
      <c r="U1087" s="5" t="e">
        <f>IF(AND(#REF!&gt;=table!$C$10,#REF!&lt;= table!$D$10),-1,IF(AND(#REF!&gt;=table!$E$10,#REF!&lt;=table!$F$10),1,0))</f>
        <v>#REF!</v>
      </c>
      <c r="V1087" s="5" t="e">
        <f>IF(AND(#REF!&gt;=table!$C$11,#REF!&lt;= table!$D$11),-1,IF(AND(#REF!&gt;=table!$E$11,#REF!&lt;=table!$F$11),1,0))</f>
        <v>#REF!</v>
      </c>
      <c r="W1087" s="5" t="e">
        <f>CONCATENATE(dados[[#This Row],[fator1]],dados[[#This Row],[fator5]],dados[[#This Row],[fator6]])</f>
        <v>#REF!</v>
      </c>
    </row>
    <row r="1088" spans="1:23">
      <c r="A1088" t="s">
        <v>17</v>
      </c>
      <c r="B1088">
        <v>484055</v>
      </c>
      <c r="C1088">
        <v>8</v>
      </c>
      <c r="D1088">
        <v>30</v>
      </c>
      <c r="E1088">
        <v>155</v>
      </c>
      <c r="F1088">
        <v>4</v>
      </c>
      <c r="G1088">
        <v>22</v>
      </c>
      <c r="H1088">
        <v>25</v>
      </c>
      <c r="I1088">
        <v>1799</v>
      </c>
      <c r="J1088">
        <v>0</v>
      </c>
      <c r="K1088">
        <v>9.3350000000000009</v>
      </c>
      <c r="L1088">
        <v>15.700000000000001</v>
      </c>
      <c r="M1088">
        <v>142.69</v>
      </c>
      <c r="N1088">
        <v>14.535</v>
      </c>
      <c r="O1088">
        <v>1666</v>
      </c>
      <c r="P1088">
        <v>0</v>
      </c>
      <c r="Q1088" s="5" t="e">
        <f>IF(AND(#REF!&gt;=table!$C$6,#REF!&lt;= table!$D$6),-1,IF(AND(#REF!&gt;=table!$E$6,#REF!&lt;=table!$F$6),1,0))</f>
        <v>#REF!</v>
      </c>
      <c r="R1088" s="5" t="e">
        <f>IF(AND(#REF!&gt;=table!$C$7,#REF!&lt;= table!$D$7),-1,IF(AND(#REF!&gt;=table!$E$7,#REF!&lt;=table!$F$7),1,0))</f>
        <v>#REF!</v>
      </c>
      <c r="S1088" s="5" t="e">
        <f>IF(AND(#REF!&gt;=table!$C$8,#REF!&lt;= table!$D$8),-1,IF(AND(#REF!&gt;=table!$E$8,#REF!&lt;=table!$F$8),1,0))</f>
        <v>#REF!</v>
      </c>
      <c r="T1088" s="5"/>
      <c r="U1088" s="5" t="e">
        <f>IF(AND(#REF!&gt;=table!$C$10,#REF!&lt;= table!$D$10),-1,IF(AND(#REF!&gt;=table!$E$10,#REF!&lt;=table!$F$10),1,0))</f>
        <v>#REF!</v>
      </c>
      <c r="V1088" s="5" t="e">
        <f>IF(AND(#REF!&gt;=table!$C$11,#REF!&lt;= table!$D$11),-1,IF(AND(#REF!&gt;=table!$E$11,#REF!&lt;=table!$F$11),1,0))</f>
        <v>#REF!</v>
      </c>
      <c r="W1088" s="5" t="e">
        <f>CONCATENATE(dados[[#This Row],[fator1]],dados[[#This Row],[fator5]],dados[[#This Row],[fator6]])</f>
        <v>#REF!</v>
      </c>
    </row>
    <row r="1089" spans="1:23">
      <c r="A1089" t="s">
        <v>16</v>
      </c>
      <c r="B1089">
        <v>484061</v>
      </c>
      <c r="C1089">
        <v>0.15</v>
      </c>
      <c r="D1089">
        <v>40</v>
      </c>
      <c r="E1089">
        <v>10</v>
      </c>
      <c r="F1089">
        <v>15</v>
      </c>
      <c r="G1089">
        <v>0</v>
      </c>
      <c r="H1089">
        <v>15</v>
      </c>
      <c r="I1089">
        <v>715</v>
      </c>
      <c r="J1089">
        <v>0</v>
      </c>
      <c r="K1089">
        <v>3.15</v>
      </c>
      <c r="L1089">
        <v>7.95</v>
      </c>
      <c r="M1089">
        <v>6.8</v>
      </c>
      <c r="N1089">
        <v>10.9</v>
      </c>
      <c r="O1089">
        <v>1668</v>
      </c>
      <c r="P1089">
        <v>0</v>
      </c>
      <c r="Q1089" s="5" t="e">
        <f>IF(AND(#REF!&gt;=table!$C$6,#REF!&lt;= table!$D$6),-1,IF(AND(#REF!&gt;=table!$E$6,#REF!&lt;=table!$F$6),1,0))</f>
        <v>#REF!</v>
      </c>
      <c r="R1089" s="5" t="e">
        <f>IF(AND(#REF!&gt;=table!$C$7,#REF!&lt;= table!$D$7),-1,IF(AND(#REF!&gt;=table!$E$7,#REF!&lt;=table!$F$7),1,0))</f>
        <v>#REF!</v>
      </c>
      <c r="S1089" s="5" t="e">
        <f>IF(AND(#REF!&gt;=table!$C$8,#REF!&lt;= table!$D$8),-1,IF(AND(#REF!&gt;=table!$E$8,#REF!&lt;=table!$F$8),1,0))</f>
        <v>#REF!</v>
      </c>
      <c r="T1089" s="5"/>
      <c r="U1089" s="5" t="e">
        <f>IF(AND(#REF!&gt;=table!$C$10,#REF!&lt;= table!$D$10),-1,IF(AND(#REF!&gt;=table!$E$10,#REF!&lt;=table!$F$10),1,0))</f>
        <v>#REF!</v>
      </c>
      <c r="V1089" s="5" t="e">
        <f>IF(AND(#REF!&gt;=table!$C$11,#REF!&lt;= table!$D$11),-1,IF(AND(#REF!&gt;=table!$E$11,#REF!&lt;=table!$F$11),1,0))</f>
        <v>#REF!</v>
      </c>
      <c r="W1089" s="5" t="e">
        <f>CONCATENATE(dados[[#This Row],[fator1]],dados[[#This Row],[fator5]],dados[[#This Row],[fator6]])</f>
        <v>#REF!</v>
      </c>
    </row>
    <row r="1090" spans="1:23">
      <c r="A1090" t="s">
        <v>17</v>
      </c>
      <c r="B1090">
        <v>484065</v>
      </c>
      <c r="C1090">
        <v>18</v>
      </c>
      <c r="D1090">
        <v>23</v>
      </c>
      <c r="E1090">
        <v>145</v>
      </c>
      <c r="F1090">
        <v>9</v>
      </c>
      <c r="G1090">
        <v>30</v>
      </c>
      <c r="H1090">
        <v>25</v>
      </c>
      <c r="I1090">
        <v>648</v>
      </c>
      <c r="J1090">
        <v>0</v>
      </c>
      <c r="K1090">
        <v>4.7850000000000001</v>
      </c>
      <c r="L1090">
        <v>17.55</v>
      </c>
      <c r="M1090">
        <v>123.35000000000001</v>
      </c>
      <c r="N1090">
        <v>23.7</v>
      </c>
      <c r="O1090">
        <v>1678</v>
      </c>
      <c r="P1090">
        <v>0</v>
      </c>
      <c r="Q1090" s="5" t="e">
        <f>IF(AND(#REF!&gt;=table!$C$6,#REF!&lt;= table!$D$6),-1,IF(AND(#REF!&gt;=table!$E$6,#REF!&lt;=table!$F$6),1,0))</f>
        <v>#REF!</v>
      </c>
      <c r="R1090" s="5" t="e">
        <f>IF(AND(#REF!&gt;=table!$C$7,#REF!&lt;= table!$D$7),-1,IF(AND(#REF!&gt;=table!$E$7,#REF!&lt;=table!$F$7),1,0))</f>
        <v>#REF!</v>
      </c>
      <c r="S1090" s="5" t="e">
        <f>IF(AND(#REF!&gt;=table!$C$8,#REF!&lt;= table!$D$8),-1,IF(AND(#REF!&gt;=table!$E$8,#REF!&lt;=table!$F$8),1,0))</f>
        <v>#REF!</v>
      </c>
      <c r="T1090" s="5"/>
      <c r="U1090" s="5" t="e">
        <f>IF(AND(#REF!&gt;=table!$C$10,#REF!&lt;= table!$D$10),-1,IF(AND(#REF!&gt;=table!$E$10,#REF!&lt;=table!$F$10),1,0))</f>
        <v>#REF!</v>
      </c>
      <c r="V1090" s="5" t="e">
        <f>IF(AND(#REF!&gt;=table!$C$11,#REF!&lt;= table!$D$11),-1,IF(AND(#REF!&gt;=table!$E$11,#REF!&lt;=table!$F$11),1,0))</f>
        <v>#REF!</v>
      </c>
      <c r="W1090" s="5" t="e">
        <f>CONCATENATE(dados[[#This Row],[fator1]],dados[[#This Row],[fator5]],dados[[#This Row],[fator6]])</f>
        <v>#REF!</v>
      </c>
    </row>
    <row r="1091" spans="1:23">
      <c r="A1091" t="s">
        <v>17</v>
      </c>
      <c r="B1091">
        <v>484066</v>
      </c>
      <c r="C1091">
        <v>16</v>
      </c>
      <c r="D1091">
        <v>23</v>
      </c>
      <c r="E1091">
        <v>145</v>
      </c>
      <c r="F1091">
        <v>9</v>
      </c>
      <c r="G1091">
        <v>30</v>
      </c>
      <c r="H1091">
        <v>25</v>
      </c>
      <c r="I1091">
        <v>393</v>
      </c>
      <c r="J1091">
        <v>0</v>
      </c>
      <c r="K1091">
        <v>3.29</v>
      </c>
      <c r="L1091">
        <v>9.3000000000000007</v>
      </c>
      <c r="M1091">
        <v>129.4</v>
      </c>
      <c r="N1091">
        <v>13.85</v>
      </c>
      <c r="O1091">
        <v>1678</v>
      </c>
      <c r="P1091">
        <v>0</v>
      </c>
      <c r="Q1091" s="5" t="e">
        <f>IF(AND(#REF!&gt;=table!$C$6,#REF!&lt;= table!$D$6),-1,IF(AND(#REF!&gt;=table!$E$6,#REF!&lt;=table!$F$6),1,0))</f>
        <v>#REF!</v>
      </c>
      <c r="R1091" s="5" t="e">
        <f>IF(AND(#REF!&gt;=table!$C$7,#REF!&lt;= table!$D$7),-1,IF(AND(#REF!&gt;=table!$E$7,#REF!&lt;=table!$F$7),1,0))</f>
        <v>#REF!</v>
      </c>
      <c r="S1091" s="5" t="e">
        <f>IF(AND(#REF!&gt;=table!$C$8,#REF!&lt;= table!$D$8),-1,IF(AND(#REF!&gt;=table!$E$8,#REF!&lt;=table!$F$8),1,0))</f>
        <v>#REF!</v>
      </c>
      <c r="T1091" s="5"/>
      <c r="U1091" s="5" t="e">
        <f>IF(AND(#REF!&gt;=table!$C$10,#REF!&lt;= table!$D$10),-1,IF(AND(#REF!&gt;=table!$E$10,#REF!&lt;=table!$F$10),1,0))</f>
        <v>#REF!</v>
      </c>
      <c r="V1091" s="5" t="e">
        <f>IF(AND(#REF!&gt;=table!$C$11,#REF!&lt;= table!$D$11),-1,IF(AND(#REF!&gt;=table!$E$11,#REF!&lt;=table!$F$11),1,0))</f>
        <v>#REF!</v>
      </c>
      <c r="W1091" s="5" t="e">
        <f>CONCATENATE(dados[[#This Row],[fator1]],dados[[#This Row],[fator5]],dados[[#This Row],[fator6]])</f>
        <v>#REF!</v>
      </c>
    </row>
    <row r="1092" spans="1:23">
      <c r="A1092" t="s">
        <v>17</v>
      </c>
      <c r="B1092">
        <v>484067</v>
      </c>
      <c r="C1092">
        <v>14</v>
      </c>
      <c r="D1092">
        <v>30</v>
      </c>
      <c r="E1092">
        <v>110</v>
      </c>
      <c r="F1092">
        <v>4</v>
      </c>
      <c r="G1092">
        <v>20</v>
      </c>
      <c r="H1092">
        <v>22</v>
      </c>
      <c r="I1092">
        <v>592</v>
      </c>
      <c r="J1092">
        <v>0</v>
      </c>
      <c r="K1092">
        <v>8.5299999999999994</v>
      </c>
      <c r="L1092">
        <v>11.3</v>
      </c>
      <c r="M1092">
        <v>97.8</v>
      </c>
      <c r="N1092">
        <v>11.3</v>
      </c>
      <c r="O1092">
        <v>1675</v>
      </c>
      <c r="P1092">
        <v>430</v>
      </c>
      <c r="Q1092" s="5" t="e">
        <f>IF(AND(#REF!&gt;=table!$C$6,#REF!&lt;= table!$D$6),-1,IF(AND(#REF!&gt;=table!$E$6,#REF!&lt;=table!$F$6),1,0))</f>
        <v>#REF!</v>
      </c>
      <c r="R1092" s="5" t="e">
        <f>IF(AND(#REF!&gt;=table!$C$7,#REF!&lt;= table!$D$7),-1,IF(AND(#REF!&gt;=table!$E$7,#REF!&lt;=table!$F$7),1,0))</f>
        <v>#REF!</v>
      </c>
      <c r="S1092" s="5" t="e">
        <f>IF(AND(#REF!&gt;=table!$C$8,#REF!&lt;= table!$D$8),-1,IF(AND(#REF!&gt;=table!$E$8,#REF!&lt;=table!$F$8),1,0))</f>
        <v>#REF!</v>
      </c>
      <c r="T1092" s="5"/>
      <c r="U1092" s="5" t="e">
        <f>IF(AND(#REF!&gt;=table!$C$10,#REF!&lt;= table!$D$10),-1,IF(AND(#REF!&gt;=table!$E$10,#REF!&lt;=table!$F$10),1,0))</f>
        <v>#REF!</v>
      </c>
      <c r="V1092" s="5" t="e">
        <f>IF(AND(#REF!&gt;=table!$C$11,#REF!&lt;= table!$D$11),-1,IF(AND(#REF!&gt;=table!$E$11,#REF!&lt;=table!$F$11),1,0))</f>
        <v>#REF!</v>
      </c>
      <c r="W1092" s="5" t="e">
        <f>CONCATENATE(dados[[#This Row],[fator1]],dados[[#This Row],[fator5]],dados[[#This Row],[fator6]])</f>
        <v>#REF!</v>
      </c>
    </row>
    <row r="1093" spans="1:23">
      <c r="A1093" t="s">
        <v>16</v>
      </c>
      <c r="B1093">
        <v>484068</v>
      </c>
      <c r="C1093">
        <v>8</v>
      </c>
      <c r="D1093">
        <v>30</v>
      </c>
      <c r="E1093">
        <v>61</v>
      </c>
      <c r="F1093">
        <v>8</v>
      </c>
      <c r="G1093">
        <v>0</v>
      </c>
      <c r="H1093">
        <v>25</v>
      </c>
      <c r="I1093">
        <v>1099</v>
      </c>
      <c r="J1093">
        <v>0</v>
      </c>
      <c r="K1093">
        <v>4.07</v>
      </c>
      <c r="L1093">
        <v>15.4</v>
      </c>
      <c r="M1093">
        <v>56.6</v>
      </c>
      <c r="N1093">
        <v>18.900000000000002</v>
      </c>
      <c r="O1093">
        <v>1684</v>
      </c>
      <c r="P1093">
        <v>721</v>
      </c>
      <c r="Q1093" s="5" t="e">
        <f>IF(AND(#REF!&gt;=table!$C$6,#REF!&lt;= table!$D$6),-1,IF(AND(#REF!&gt;=table!$E$6,#REF!&lt;=table!$F$6),1,0))</f>
        <v>#REF!</v>
      </c>
      <c r="R1093" s="5" t="e">
        <f>IF(AND(#REF!&gt;=table!$C$7,#REF!&lt;= table!$D$7),-1,IF(AND(#REF!&gt;=table!$E$7,#REF!&lt;=table!$F$7),1,0))</f>
        <v>#REF!</v>
      </c>
      <c r="S1093" s="5" t="e">
        <f>IF(AND(#REF!&gt;=table!$C$8,#REF!&lt;= table!$D$8),-1,IF(AND(#REF!&gt;=table!$E$8,#REF!&lt;=table!$F$8),1,0))</f>
        <v>#REF!</v>
      </c>
      <c r="T1093" s="5"/>
      <c r="U1093" s="5" t="e">
        <f>IF(AND(#REF!&gt;=table!$C$10,#REF!&lt;= table!$D$10),-1,IF(AND(#REF!&gt;=table!$E$10,#REF!&lt;=table!$F$10),1,0))</f>
        <v>#REF!</v>
      </c>
      <c r="V1093" s="5" t="e">
        <f>IF(AND(#REF!&gt;=table!$C$11,#REF!&lt;= table!$D$11),-1,IF(AND(#REF!&gt;=table!$E$11,#REF!&lt;=table!$F$11),1,0))</f>
        <v>#REF!</v>
      </c>
      <c r="W1093" s="5" t="e">
        <f>CONCATENATE(dados[[#This Row],[fator1]],dados[[#This Row],[fator5]],dados[[#This Row],[fator6]])</f>
        <v>#REF!</v>
      </c>
    </row>
    <row r="1094" spans="1:23">
      <c r="A1094" t="s">
        <v>17</v>
      </c>
      <c r="B1094">
        <v>484075</v>
      </c>
      <c r="C1094">
        <v>15</v>
      </c>
      <c r="D1094">
        <v>35</v>
      </c>
      <c r="E1094">
        <v>120</v>
      </c>
      <c r="F1094">
        <v>4</v>
      </c>
      <c r="G1094">
        <v>15</v>
      </c>
      <c r="H1094">
        <v>20</v>
      </c>
      <c r="I1094">
        <v>1524</v>
      </c>
      <c r="J1094">
        <v>550</v>
      </c>
      <c r="K1094">
        <v>9.2650000000000006</v>
      </c>
      <c r="L1094">
        <v>14.42</v>
      </c>
      <c r="M1094">
        <v>97.945000000000007</v>
      </c>
      <c r="N1094">
        <v>12.6</v>
      </c>
      <c r="O1094">
        <v>1660</v>
      </c>
      <c r="P1094">
        <v>0</v>
      </c>
      <c r="Q1094" s="5" t="e">
        <f>IF(AND(#REF!&gt;=table!$C$6,#REF!&lt;= table!$D$6),-1,IF(AND(#REF!&gt;=table!$E$6,#REF!&lt;=table!$F$6),1,0))</f>
        <v>#REF!</v>
      </c>
      <c r="R1094" s="5" t="e">
        <f>IF(AND(#REF!&gt;=table!$C$7,#REF!&lt;= table!$D$7),-1,IF(AND(#REF!&gt;=table!$E$7,#REF!&lt;=table!$F$7),1,0))</f>
        <v>#REF!</v>
      </c>
      <c r="S1094" s="5" t="e">
        <f>IF(AND(#REF!&gt;=table!$C$8,#REF!&lt;= table!$D$8),-1,IF(AND(#REF!&gt;=table!$E$8,#REF!&lt;=table!$F$8),1,0))</f>
        <v>#REF!</v>
      </c>
      <c r="T1094" s="5"/>
      <c r="U1094" s="5" t="e">
        <f>IF(AND(#REF!&gt;=table!$C$10,#REF!&lt;= table!$D$10),-1,IF(AND(#REF!&gt;=table!$E$10,#REF!&lt;=table!$F$10),1,0))</f>
        <v>#REF!</v>
      </c>
      <c r="V1094" s="5" t="e">
        <f>IF(AND(#REF!&gt;=table!$C$11,#REF!&lt;= table!$D$11),-1,IF(AND(#REF!&gt;=table!$E$11,#REF!&lt;=table!$F$11),1,0))</f>
        <v>#REF!</v>
      </c>
      <c r="W1094" s="5" t="e">
        <f>CONCATENATE(dados[[#This Row],[fator1]],dados[[#This Row],[fator5]],dados[[#This Row],[fator6]])</f>
        <v>#REF!</v>
      </c>
    </row>
    <row r="1095" spans="1:23">
      <c r="A1095" t="s">
        <v>16</v>
      </c>
      <c r="B1095">
        <v>484076</v>
      </c>
      <c r="C1095">
        <v>16</v>
      </c>
      <c r="D1095">
        <v>35</v>
      </c>
      <c r="E1095">
        <v>36</v>
      </c>
      <c r="F1095">
        <v>10</v>
      </c>
      <c r="G1095">
        <v>0</v>
      </c>
      <c r="H1095">
        <v>25</v>
      </c>
      <c r="I1095">
        <v>269</v>
      </c>
      <c r="J1095">
        <v>0</v>
      </c>
      <c r="K1095">
        <v>7.7</v>
      </c>
      <c r="L1095">
        <v>20</v>
      </c>
      <c r="M1095">
        <v>31.305000000000003</v>
      </c>
      <c r="N1095">
        <v>16.8</v>
      </c>
      <c r="O1095">
        <v>1650</v>
      </c>
      <c r="P1095">
        <v>361</v>
      </c>
      <c r="Q1095" s="5" t="e">
        <f>IF(AND(#REF!&gt;=table!$C$6,#REF!&lt;= table!$D$6),-1,IF(AND(#REF!&gt;=table!$E$6,#REF!&lt;=table!$F$6),1,0))</f>
        <v>#REF!</v>
      </c>
      <c r="R1095" s="5" t="e">
        <f>IF(AND(#REF!&gt;=table!$C$7,#REF!&lt;= table!$D$7),-1,IF(AND(#REF!&gt;=table!$E$7,#REF!&lt;=table!$F$7),1,0))</f>
        <v>#REF!</v>
      </c>
      <c r="S1095" s="5" t="e">
        <f>IF(AND(#REF!&gt;=table!$C$8,#REF!&lt;= table!$D$8),-1,IF(AND(#REF!&gt;=table!$E$8,#REF!&lt;=table!$F$8),1,0))</f>
        <v>#REF!</v>
      </c>
      <c r="T1095" s="5"/>
      <c r="U1095" s="5" t="e">
        <f>IF(AND(#REF!&gt;=table!$C$10,#REF!&lt;= table!$D$10),-1,IF(AND(#REF!&gt;=table!$E$10,#REF!&lt;=table!$F$10),1,0))</f>
        <v>#REF!</v>
      </c>
      <c r="V1095" s="5" t="e">
        <f>IF(AND(#REF!&gt;=table!$C$11,#REF!&lt;= table!$D$11),-1,IF(AND(#REF!&gt;=table!$E$11,#REF!&lt;=table!$F$11),1,0))</f>
        <v>#REF!</v>
      </c>
      <c r="W1095" s="5" t="e">
        <f>CONCATENATE(dados[[#This Row],[fator1]],dados[[#This Row],[fator5]],dados[[#This Row],[fator6]])</f>
        <v>#REF!</v>
      </c>
    </row>
    <row r="1096" spans="1:23">
      <c r="A1096" t="s">
        <v>16</v>
      </c>
      <c r="B1096">
        <v>484078</v>
      </c>
      <c r="C1096">
        <v>16</v>
      </c>
      <c r="D1096">
        <v>35</v>
      </c>
      <c r="E1096">
        <v>36</v>
      </c>
      <c r="F1096">
        <v>10</v>
      </c>
      <c r="G1096">
        <v>0</v>
      </c>
      <c r="H1096">
        <v>25</v>
      </c>
      <c r="I1096">
        <v>1851</v>
      </c>
      <c r="J1096">
        <v>560</v>
      </c>
      <c r="K1096">
        <v>13.675000000000001</v>
      </c>
      <c r="L1096">
        <v>11.05</v>
      </c>
      <c r="M1096">
        <v>32.200000000000003</v>
      </c>
      <c r="N1096">
        <v>10.75</v>
      </c>
      <c r="O1096">
        <v>1643</v>
      </c>
      <c r="P1096">
        <v>295</v>
      </c>
      <c r="Q1096" s="5" t="e">
        <f>IF(AND(#REF!&gt;=table!$C$6,#REF!&lt;= table!$D$6),-1,IF(AND(#REF!&gt;=table!$E$6,#REF!&lt;=table!$F$6),1,0))</f>
        <v>#REF!</v>
      </c>
      <c r="R1096" s="5" t="e">
        <f>IF(AND(#REF!&gt;=table!$C$7,#REF!&lt;= table!$D$7),-1,IF(AND(#REF!&gt;=table!$E$7,#REF!&lt;=table!$F$7),1,0))</f>
        <v>#REF!</v>
      </c>
      <c r="S1096" s="5" t="e">
        <f>IF(AND(#REF!&gt;=table!$C$8,#REF!&lt;= table!$D$8),-1,IF(AND(#REF!&gt;=table!$E$8,#REF!&lt;=table!$F$8),1,0))</f>
        <v>#REF!</v>
      </c>
      <c r="T1096" s="5"/>
      <c r="U1096" s="5" t="e">
        <f>IF(AND(#REF!&gt;=table!$C$10,#REF!&lt;= table!$D$10),-1,IF(AND(#REF!&gt;=table!$E$10,#REF!&lt;=table!$F$10),1,0))</f>
        <v>#REF!</v>
      </c>
      <c r="V1096" s="5" t="e">
        <f>IF(AND(#REF!&gt;=table!$C$11,#REF!&lt;= table!$D$11),-1,IF(AND(#REF!&gt;=table!$E$11,#REF!&lt;=table!$F$11),1,0))</f>
        <v>#REF!</v>
      </c>
      <c r="W1096" s="5" t="e">
        <f>CONCATENATE(dados[[#This Row],[fator1]],dados[[#This Row],[fator5]],dados[[#This Row],[fator6]])</f>
        <v>#REF!</v>
      </c>
    </row>
    <row r="1097" spans="1:23">
      <c r="A1097" t="s">
        <v>16</v>
      </c>
      <c r="B1097">
        <v>484079</v>
      </c>
      <c r="C1097">
        <v>12</v>
      </c>
      <c r="D1097">
        <v>35</v>
      </c>
      <c r="E1097">
        <v>86</v>
      </c>
      <c r="F1097">
        <v>10</v>
      </c>
      <c r="G1097">
        <v>0</v>
      </c>
      <c r="H1097">
        <v>25</v>
      </c>
      <c r="I1097">
        <v>238</v>
      </c>
      <c r="J1097">
        <v>0</v>
      </c>
      <c r="K1097">
        <v>7.585</v>
      </c>
      <c r="L1097">
        <v>8.6</v>
      </c>
      <c r="M1097">
        <v>76.64</v>
      </c>
      <c r="N1097">
        <v>11.07</v>
      </c>
      <c r="O1097">
        <v>1664</v>
      </c>
      <c r="P1097">
        <v>467</v>
      </c>
      <c r="Q1097" s="5" t="e">
        <f>IF(AND(#REF!&gt;=table!$C$6,#REF!&lt;= table!$D$6),-1,IF(AND(#REF!&gt;=table!$E$6,#REF!&lt;=table!$F$6),1,0))</f>
        <v>#REF!</v>
      </c>
      <c r="R1097" s="5" t="e">
        <f>IF(AND(#REF!&gt;=table!$C$7,#REF!&lt;= table!$D$7),-1,IF(AND(#REF!&gt;=table!$E$7,#REF!&lt;=table!$F$7),1,0))</f>
        <v>#REF!</v>
      </c>
      <c r="S1097" s="5" t="e">
        <f>IF(AND(#REF!&gt;=table!$C$8,#REF!&lt;= table!$D$8),-1,IF(AND(#REF!&gt;=table!$E$8,#REF!&lt;=table!$F$8),1,0))</f>
        <v>#REF!</v>
      </c>
      <c r="T1097" s="5"/>
      <c r="U1097" s="5" t="e">
        <f>IF(AND(#REF!&gt;=table!$C$10,#REF!&lt;= table!$D$10),-1,IF(AND(#REF!&gt;=table!$E$10,#REF!&lt;=table!$F$10),1,0))</f>
        <v>#REF!</v>
      </c>
      <c r="V1097" s="5" t="e">
        <f>IF(AND(#REF!&gt;=table!$C$11,#REF!&lt;= table!$D$11),-1,IF(AND(#REF!&gt;=table!$E$11,#REF!&lt;=table!$F$11),1,0))</f>
        <v>#REF!</v>
      </c>
      <c r="W1097" s="5" t="e">
        <f>CONCATENATE(dados[[#This Row],[fator1]],dados[[#This Row],[fator5]],dados[[#This Row],[fator6]])</f>
        <v>#REF!</v>
      </c>
    </row>
    <row r="1098" spans="1:23">
      <c r="A1098" t="s">
        <v>16</v>
      </c>
      <c r="B1098">
        <v>484080</v>
      </c>
      <c r="C1098">
        <v>12</v>
      </c>
      <c r="D1098">
        <v>35</v>
      </c>
      <c r="E1098">
        <v>86</v>
      </c>
      <c r="F1098">
        <v>10</v>
      </c>
      <c r="G1098">
        <v>0</v>
      </c>
      <c r="H1098">
        <v>25</v>
      </c>
      <c r="I1098">
        <v>757</v>
      </c>
      <c r="J1098">
        <v>0</v>
      </c>
      <c r="K1098">
        <v>5.48</v>
      </c>
      <c r="L1098">
        <v>9.84</v>
      </c>
      <c r="M1098">
        <v>73.47</v>
      </c>
      <c r="N1098">
        <v>18.41</v>
      </c>
      <c r="O1098">
        <v>1689</v>
      </c>
      <c r="P1098">
        <v>624</v>
      </c>
      <c r="Q1098" s="5" t="e">
        <f>IF(AND(#REF!&gt;=table!$C$6,#REF!&lt;= table!$D$6),-1,IF(AND(#REF!&gt;=table!$E$6,#REF!&lt;=table!$F$6),1,0))</f>
        <v>#REF!</v>
      </c>
      <c r="R1098" s="5" t="e">
        <f>IF(AND(#REF!&gt;=table!$C$7,#REF!&lt;= table!$D$7),-1,IF(AND(#REF!&gt;=table!$E$7,#REF!&lt;=table!$F$7),1,0))</f>
        <v>#REF!</v>
      </c>
      <c r="S1098" s="5" t="e">
        <f>IF(AND(#REF!&gt;=table!$C$8,#REF!&lt;= table!$D$8),-1,IF(AND(#REF!&gt;=table!$E$8,#REF!&lt;=table!$F$8),1,0))</f>
        <v>#REF!</v>
      </c>
      <c r="T1098" s="5"/>
      <c r="U1098" s="5" t="e">
        <f>IF(AND(#REF!&gt;=table!$C$10,#REF!&lt;= table!$D$10),-1,IF(AND(#REF!&gt;=table!$E$10,#REF!&lt;=table!$F$10),1,0))</f>
        <v>#REF!</v>
      </c>
      <c r="V1098" s="5" t="e">
        <f>IF(AND(#REF!&gt;=table!$C$11,#REF!&lt;= table!$D$11),-1,IF(AND(#REF!&gt;=table!$E$11,#REF!&lt;=table!$F$11),1,0))</f>
        <v>#REF!</v>
      </c>
      <c r="W1098" s="5" t="e">
        <f>CONCATENATE(dados[[#This Row],[fator1]],dados[[#This Row],[fator5]],dados[[#This Row],[fator6]])</f>
        <v>#REF!</v>
      </c>
    </row>
    <row r="1099" spans="1:23">
      <c r="A1099" t="s">
        <v>16</v>
      </c>
      <c r="B1099">
        <v>484081</v>
      </c>
      <c r="C1099">
        <v>12</v>
      </c>
      <c r="D1099">
        <v>35</v>
      </c>
      <c r="E1099">
        <v>86</v>
      </c>
      <c r="F1099">
        <v>10</v>
      </c>
      <c r="G1099">
        <v>0</v>
      </c>
      <c r="H1099">
        <v>25</v>
      </c>
      <c r="I1099">
        <v>26</v>
      </c>
      <c r="J1099">
        <v>0</v>
      </c>
      <c r="K1099">
        <v>3.7750000000000004</v>
      </c>
      <c r="L1099">
        <v>9.9500000000000011</v>
      </c>
      <c r="M1099">
        <v>70.2</v>
      </c>
      <c r="N1099">
        <v>14.65</v>
      </c>
      <c r="O1099">
        <v>1663</v>
      </c>
      <c r="P1099">
        <v>775</v>
      </c>
      <c r="Q1099" s="5" t="e">
        <f>IF(AND(#REF!&gt;=table!$C$6,#REF!&lt;= table!$D$6),-1,IF(AND(#REF!&gt;=table!$E$6,#REF!&lt;=table!$F$6),1,0))</f>
        <v>#REF!</v>
      </c>
      <c r="R1099" s="5" t="e">
        <f>IF(AND(#REF!&gt;=table!$C$7,#REF!&lt;= table!$D$7),-1,IF(AND(#REF!&gt;=table!$E$7,#REF!&lt;=table!$F$7),1,0))</f>
        <v>#REF!</v>
      </c>
      <c r="S1099" s="5" t="e">
        <f>IF(AND(#REF!&gt;=table!$C$8,#REF!&lt;= table!$D$8),-1,IF(AND(#REF!&gt;=table!$E$8,#REF!&lt;=table!$F$8),1,0))</f>
        <v>#REF!</v>
      </c>
      <c r="T1099" s="5"/>
      <c r="U1099" s="5" t="e">
        <f>IF(AND(#REF!&gt;=table!$C$10,#REF!&lt;= table!$D$10),-1,IF(AND(#REF!&gt;=table!$E$10,#REF!&lt;=table!$F$10),1,0))</f>
        <v>#REF!</v>
      </c>
      <c r="V1099" s="5" t="e">
        <f>IF(AND(#REF!&gt;=table!$C$11,#REF!&lt;= table!$D$11),-1,IF(AND(#REF!&gt;=table!$E$11,#REF!&lt;=table!$F$11),1,0))</f>
        <v>#REF!</v>
      </c>
      <c r="W1099" s="5" t="e">
        <f>CONCATENATE(dados[[#This Row],[fator1]],dados[[#This Row],[fator5]],dados[[#This Row],[fator6]])</f>
        <v>#REF!</v>
      </c>
    </row>
    <row r="1100" spans="1:23">
      <c r="A1100" t="s">
        <v>16</v>
      </c>
      <c r="B1100">
        <v>484084</v>
      </c>
      <c r="C1100">
        <v>10</v>
      </c>
      <c r="D1100">
        <v>30</v>
      </c>
      <c r="E1100">
        <v>100</v>
      </c>
      <c r="F1100">
        <v>8</v>
      </c>
      <c r="G1100">
        <v>0</v>
      </c>
      <c r="H1100">
        <v>25</v>
      </c>
      <c r="I1100">
        <v>932</v>
      </c>
      <c r="J1100">
        <v>0</v>
      </c>
      <c r="K1100">
        <v>3.95</v>
      </c>
      <c r="L1100">
        <v>8.25</v>
      </c>
      <c r="M1100">
        <v>74.350000000000009</v>
      </c>
      <c r="N1100">
        <v>12.1</v>
      </c>
      <c r="O1100">
        <v>1641</v>
      </c>
      <c r="P1100">
        <v>759</v>
      </c>
      <c r="Q1100" s="5" t="e">
        <f>IF(AND(#REF!&gt;=table!$C$6,#REF!&lt;= table!$D$6),-1,IF(AND(#REF!&gt;=table!$E$6,#REF!&lt;=table!$F$6),1,0))</f>
        <v>#REF!</v>
      </c>
      <c r="R1100" s="5" t="e">
        <f>IF(AND(#REF!&gt;=table!$C$7,#REF!&lt;= table!$D$7),-1,IF(AND(#REF!&gt;=table!$E$7,#REF!&lt;=table!$F$7),1,0))</f>
        <v>#REF!</v>
      </c>
      <c r="S1100" s="5" t="e">
        <f>IF(AND(#REF!&gt;=table!$C$8,#REF!&lt;= table!$D$8),-1,IF(AND(#REF!&gt;=table!$E$8,#REF!&lt;=table!$F$8),1,0))</f>
        <v>#REF!</v>
      </c>
      <c r="T1100" s="5"/>
      <c r="U1100" s="5" t="e">
        <f>IF(AND(#REF!&gt;=table!$C$10,#REF!&lt;= table!$D$10),-1,IF(AND(#REF!&gt;=table!$E$10,#REF!&lt;=table!$F$10),1,0))</f>
        <v>#REF!</v>
      </c>
      <c r="V1100" s="5" t="e">
        <f>IF(AND(#REF!&gt;=table!$C$11,#REF!&lt;= table!$D$11),-1,IF(AND(#REF!&gt;=table!$E$11,#REF!&lt;=table!$F$11),1,0))</f>
        <v>#REF!</v>
      </c>
      <c r="W1100" s="5" t="e">
        <f>CONCATENATE(dados[[#This Row],[fator1]],dados[[#This Row],[fator5]],dados[[#This Row],[fator6]])</f>
        <v>#REF!</v>
      </c>
    </row>
    <row r="1101" spans="1:23">
      <c r="A1101" t="s">
        <v>16</v>
      </c>
      <c r="B1101">
        <v>484085</v>
      </c>
      <c r="C1101">
        <v>0.15</v>
      </c>
      <c r="D1101">
        <v>40</v>
      </c>
      <c r="E1101">
        <v>10</v>
      </c>
      <c r="F1101">
        <v>15</v>
      </c>
      <c r="G1101">
        <v>0</v>
      </c>
      <c r="H1101">
        <v>15</v>
      </c>
      <c r="I1101">
        <v>1693</v>
      </c>
      <c r="J1101">
        <v>0</v>
      </c>
      <c r="K1101">
        <v>4.96</v>
      </c>
      <c r="L1101">
        <v>8.5050000000000008</v>
      </c>
      <c r="M1101">
        <v>7.65</v>
      </c>
      <c r="N1101">
        <v>10.5</v>
      </c>
      <c r="O1101">
        <v>1679</v>
      </c>
      <c r="P1101">
        <v>609</v>
      </c>
      <c r="Q1101" s="5" t="e">
        <f>IF(AND(#REF!&gt;=table!$C$6,#REF!&lt;= table!$D$6),-1,IF(AND(#REF!&gt;=table!$E$6,#REF!&lt;=table!$F$6),1,0))</f>
        <v>#REF!</v>
      </c>
      <c r="R1101" s="5" t="e">
        <f>IF(AND(#REF!&gt;=table!$C$7,#REF!&lt;= table!$D$7),-1,IF(AND(#REF!&gt;=table!$E$7,#REF!&lt;=table!$F$7),1,0))</f>
        <v>#REF!</v>
      </c>
      <c r="S1101" s="5" t="e">
        <f>IF(AND(#REF!&gt;=table!$C$8,#REF!&lt;= table!$D$8),-1,IF(AND(#REF!&gt;=table!$E$8,#REF!&lt;=table!$F$8),1,0))</f>
        <v>#REF!</v>
      </c>
      <c r="T1101" s="5"/>
      <c r="U1101" s="5" t="e">
        <f>IF(AND(#REF!&gt;=table!$C$10,#REF!&lt;= table!$D$10),-1,IF(AND(#REF!&gt;=table!$E$10,#REF!&lt;=table!$F$10),1,0))</f>
        <v>#REF!</v>
      </c>
      <c r="V1101" s="5" t="e">
        <f>IF(AND(#REF!&gt;=table!$C$11,#REF!&lt;= table!$D$11),-1,IF(AND(#REF!&gt;=table!$E$11,#REF!&lt;=table!$F$11),1,0))</f>
        <v>#REF!</v>
      </c>
      <c r="W1101" s="5" t="e">
        <f>CONCATENATE(dados[[#This Row],[fator1]],dados[[#This Row],[fator5]],dados[[#This Row],[fator6]])</f>
        <v>#REF!</v>
      </c>
    </row>
    <row r="1102" spans="1:23">
      <c r="A1102" t="s">
        <v>16</v>
      </c>
      <c r="B1102">
        <v>484086</v>
      </c>
      <c r="C1102">
        <v>0.15</v>
      </c>
      <c r="D1102">
        <v>40</v>
      </c>
      <c r="E1102">
        <v>10</v>
      </c>
      <c r="F1102">
        <v>15</v>
      </c>
      <c r="G1102">
        <v>0</v>
      </c>
      <c r="H1102">
        <v>15</v>
      </c>
      <c r="I1102">
        <v>1131</v>
      </c>
      <c r="J1102">
        <v>0</v>
      </c>
      <c r="K1102">
        <v>3.5950000000000002</v>
      </c>
      <c r="L1102">
        <v>7.95</v>
      </c>
      <c r="M1102">
        <v>7.65</v>
      </c>
      <c r="N1102">
        <v>10.55</v>
      </c>
      <c r="O1102">
        <v>1677</v>
      </c>
      <c r="P1102">
        <v>1042</v>
      </c>
      <c r="Q1102" s="5" t="e">
        <f>IF(AND(#REF!&gt;=table!$C$6,#REF!&lt;= table!$D$6),-1,IF(AND(#REF!&gt;=table!$E$6,#REF!&lt;=table!$F$6),1,0))</f>
        <v>#REF!</v>
      </c>
      <c r="R1102" s="5" t="e">
        <f>IF(AND(#REF!&gt;=table!$C$7,#REF!&lt;= table!$D$7),-1,IF(AND(#REF!&gt;=table!$E$7,#REF!&lt;=table!$F$7),1,0))</f>
        <v>#REF!</v>
      </c>
      <c r="S1102" s="5" t="e">
        <f>IF(AND(#REF!&gt;=table!$C$8,#REF!&lt;= table!$D$8),-1,IF(AND(#REF!&gt;=table!$E$8,#REF!&lt;=table!$F$8),1,0))</f>
        <v>#REF!</v>
      </c>
      <c r="T1102" s="5"/>
      <c r="U1102" s="5" t="e">
        <f>IF(AND(#REF!&gt;=table!$C$10,#REF!&lt;= table!$D$10),-1,IF(AND(#REF!&gt;=table!$E$10,#REF!&lt;=table!$F$10),1,0))</f>
        <v>#REF!</v>
      </c>
      <c r="V1102" s="5" t="e">
        <f>IF(AND(#REF!&gt;=table!$C$11,#REF!&lt;= table!$D$11),-1,IF(AND(#REF!&gt;=table!$E$11,#REF!&lt;=table!$F$11),1,0))</f>
        <v>#REF!</v>
      </c>
      <c r="W1102" s="5" t="e">
        <f>CONCATENATE(dados[[#This Row],[fator1]],dados[[#This Row],[fator5]],dados[[#This Row],[fator6]])</f>
        <v>#REF!</v>
      </c>
    </row>
    <row r="1103" spans="1:23">
      <c r="A1103" t="s">
        <v>16</v>
      </c>
      <c r="B1103">
        <v>484087</v>
      </c>
      <c r="C1103">
        <v>10</v>
      </c>
      <c r="D1103">
        <v>40</v>
      </c>
      <c r="E1103">
        <v>96</v>
      </c>
      <c r="F1103">
        <v>8</v>
      </c>
      <c r="G1103">
        <v>0</v>
      </c>
      <c r="H1103">
        <v>25</v>
      </c>
      <c r="I1103">
        <v>763</v>
      </c>
      <c r="J1103">
        <v>0</v>
      </c>
      <c r="K1103">
        <v>2.75</v>
      </c>
      <c r="L1103">
        <v>5.1000000000000005</v>
      </c>
      <c r="M1103">
        <v>75.7</v>
      </c>
      <c r="N1103">
        <v>15.55</v>
      </c>
      <c r="O1103">
        <v>1666</v>
      </c>
      <c r="P1103">
        <v>0</v>
      </c>
      <c r="Q1103" s="5" t="e">
        <f>IF(AND(#REF!&gt;=table!$C$6,#REF!&lt;= table!$D$6),-1,IF(AND(#REF!&gt;=table!$E$6,#REF!&lt;=table!$F$6),1,0))</f>
        <v>#REF!</v>
      </c>
      <c r="R1103" s="5" t="e">
        <f>IF(AND(#REF!&gt;=table!$C$7,#REF!&lt;= table!$D$7),-1,IF(AND(#REF!&gt;=table!$E$7,#REF!&lt;=table!$F$7),1,0))</f>
        <v>#REF!</v>
      </c>
      <c r="S1103" s="5" t="e">
        <f>IF(AND(#REF!&gt;=table!$C$8,#REF!&lt;= table!$D$8),-1,IF(AND(#REF!&gt;=table!$E$8,#REF!&lt;=table!$F$8),1,0))</f>
        <v>#REF!</v>
      </c>
      <c r="T1103" s="5"/>
      <c r="U1103" s="5" t="e">
        <f>IF(AND(#REF!&gt;=table!$C$10,#REF!&lt;= table!$D$10),-1,IF(AND(#REF!&gt;=table!$E$10,#REF!&lt;=table!$F$10),1,0))</f>
        <v>#REF!</v>
      </c>
      <c r="V1103" s="5" t="e">
        <f>IF(AND(#REF!&gt;=table!$C$11,#REF!&lt;= table!$D$11),-1,IF(AND(#REF!&gt;=table!$E$11,#REF!&lt;=table!$F$11),1,0))</f>
        <v>#REF!</v>
      </c>
      <c r="W1103" s="5" t="e">
        <f>CONCATENATE(dados[[#This Row],[fator1]],dados[[#This Row],[fator5]],dados[[#This Row],[fator6]])</f>
        <v>#REF!</v>
      </c>
    </row>
    <row r="1104" spans="1:23">
      <c r="A1104" t="s">
        <v>16</v>
      </c>
      <c r="B1104">
        <v>484088</v>
      </c>
      <c r="C1104">
        <v>10</v>
      </c>
      <c r="D1104">
        <v>40</v>
      </c>
      <c r="E1104">
        <v>96</v>
      </c>
      <c r="F1104">
        <v>8</v>
      </c>
      <c r="G1104">
        <v>0</v>
      </c>
      <c r="H1104">
        <v>25</v>
      </c>
      <c r="I1104">
        <v>621</v>
      </c>
      <c r="J1104">
        <v>0</v>
      </c>
      <c r="K1104">
        <v>2.92</v>
      </c>
      <c r="L1104">
        <v>7.8500000000000005</v>
      </c>
      <c r="M1104">
        <v>84.5</v>
      </c>
      <c r="N1104">
        <v>12.85</v>
      </c>
      <c r="O1104">
        <v>1656</v>
      </c>
      <c r="P1104">
        <v>939</v>
      </c>
      <c r="Q1104" s="5" t="e">
        <f>IF(AND(#REF!&gt;=table!$C$6,#REF!&lt;= table!$D$6),-1,IF(AND(#REF!&gt;=table!$E$6,#REF!&lt;=table!$F$6),1,0))</f>
        <v>#REF!</v>
      </c>
      <c r="R1104" s="5" t="e">
        <f>IF(AND(#REF!&gt;=table!$C$7,#REF!&lt;= table!$D$7),-1,IF(AND(#REF!&gt;=table!$E$7,#REF!&lt;=table!$F$7),1,0))</f>
        <v>#REF!</v>
      </c>
      <c r="S1104" s="5" t="e">
        <f>IF(AND(#REF!&gt;=table!$C$8,#REF!&lt;= table!$D$8),-1,IF(AND(#REF!&gt;=table!$E$8,#REF!&lt;=table!$F$8),1,0))</f>
        <v>#REF!</v>
      </c>
      <c r="T1104" s="5"/>
      <c r="U1104" s="5" t="e">
        <f>IF(AND(#REF!&gt;=table!$C$10,#REF!&lt;= table!$D$10),-1,IF(AND(#REF!&gt;=table!$E$10,#REF!&lt;=table!$F$10),1,0))</f>
        <v>#REF!</v>
      </c>
      <c r="V1104" s="5" t="e">
        <f>IF(AND(#REF!&gt;=table!$C$11,#REF!&lt;= table!$D$11),-1,IF(AND(#REF!&gt;=table!$E$11,#REF!&lt;=table!$F$11),1,0))</f>
        <v>#REF!</v>
      </c>
      <c r="W1104" s="5" t="e">
        <f>CONCATENATE(dados[[#This Row],[fator1]],dados[[#This Row],[fator5]],dados[[#This Row],[fator6]])</f>
        <v>#REF!</v>
      </c>
    </row>
    <row r="1105" spans="1:23">
      <c r="A1105" t="s">
        <v>16</v>
      </c>
      <c r="B1105">
        <v>484089</v>
      </c>
      <c r="C1105">
        <v>0.2</v>
      </c>
      <c r="D1105">
        <v>65</v>
      </c>
      <c r="E1105">
        <v>26</v>
      </c>
      <c r="F1105">
        <v>15</v>
      </c>
      <c r="G1105">
        <v>0</v>
      </c>
      <c r="H1105">
        <v>30</v>
      </c>
      <c r="I1105">
        <v>1687</v>
      </c>
      <c r="J1105">
        <v>0</v>
      </c>
      <c r="K1105">
        <v>4.0350000000000001</v>
      </c>
      <c r="L1105">
        <v>8.25</v>
      </c>
      <c r="M1105">
        <v>7.75</v>
      </c>
      <c r="N1105">
        <v>13.65</v>
      </c>
      <c r="O1105">
        <v>1677</v>
      </c>
      <c r="P1105">
        <v>885</v>
      </c>
      <c r="Q1105" s="5" t="e">
        <f>IF(AND(#REF!&gt;=table!$C$6,#REF!&lt;= table!$D$6),-1,IF(AND(#REF!&gt;=table!$E$6,#REF!&lt;=table!$F$6),1,0))</f>
        <v>#REF!</v>
      </c>
      <c r="R1105" s="5" t="e">
        <f>IF(AND(#REF!&gt;=table!$C$7,#REF!&lt;= table!$D$7),-1,IF(AND(#REF!&gt;=table!$E$7,#REF!&lt;=table!$F$7),1,0))</f>
        <v>#REF!</v>
      </c>
      <c r="S1105" s="5" t="e">
        <f>IF(AND(#REF!&gt;=table!$C$8,#REF!&lt;= table!$D$8),-1,IF(AND(#REF!&gt;=table!$E$8,#REF!&lt;=table!$F$8),1,0))</f>
        <v>#REF!</v>
      </c>
      <c r="T1105" s="5"/>
      <c r="U1105" s="5" t="e">
        <f>IF(AND(#REF!&gt;=table!$C$10,#REF!&lt;= table!$D$10),-1,IF(AND(#REF!&gt;=table!$E$10,#REF!&lt;=table!$F$10),1,0))</f>
        <v>#REF!</v>
      </c>
      <c r="V1105" s="5" t="e">
        <f>IF(AND(#REF!&gt;=table!$C$11,#REF!&lt;= table!$D$11),-1,IF(AND(#REF!&gt;=table!$E$11,#REF!&lt;=table!$F$11),1,0))</f>
        <v>#REF!</v>
      </c>
      <c r="W1105" s="5" t="e">
        <f>CONCATENATE(dados[[#This Row],[fator1]],dados[[#This Row],[fator5]],dados[[#This Row],[fator6]])</f>
        <v>#REF!</v>
      </c>
    </row>
    <row r="1106" spans="1:23">
      <c r="A1106" t="s">
        <v>16</v>
      </c>
      <c r="B1106">
        <v>484090</v>
      </c>
      <c r="C1106">
        <v>0.23</v>
      </c>
      <c r="D1106">
        <v>65</v>
      </c>
      <c r="E1106">
        <v>26</v>
      </c>
      <c r="F1106">
        <v>15</v>
      </c>
      <c r="G1106">
        <v>0</v>
      </c>
      <c r="H1106">
        <v>35</v>
      </c>
      <c r="I1106">
        <v>1552</v>
      </c>
      <c r="J1106">
        <v>0</v>
      </c>
      <c r="K1106">
        <v>3.875</v>
      </c>
      <c r="L1106">
        <v>9.75</v>
      </c>
      <c r="M1106">
        <v>8.4499999999999993</v>
      </c>
      <c r="N1106">
        <v>13.9</v>
      </c>
      <c r="O1106">
        <v>1649</v>
      </c>
      <c r="P1106">
        <v>0</v>
      </c>
      <c r="Q1106" s="5" t="e">
        <f>IF(AND(#REF!&gt;=table!$C$6,#REF!&lt;= table!$D$6),-1,IF(AND(#REF!&gt;=table!$E$6,#REF!&lt;=table!$F$6),1,0))</f>
        <v>#REF!</v>
      </c>
      <c r="R1106" s="5" t="e">
        <f>IF(AND(#REF!&gt;=table!$C$7,#REF!&lt;= table!$D$7),-1,IF(AND(#REF!&gt;=table!$E$7,#REF!&lt;=table!$F$7),1,0))</f>
        <v>#REF!</v>
      </c>
      <c r="S1106" s="5" t="e">
        <f>IF(AND(#REF!&gt;=table!$C$8,#REF!&lt;= table!$D$8),-1,IF(AND(#REF!&gt;=table!$E$8,#REF!&lt;=table!$F$8),1,0))</f>
        <v>#REF!</v>
      </c>
      <c r="T1106" s="5"/>
      <c r="U1106" s="5" t="e">
        <f>IF(AND(#REF!&gt;=table!$C$10,#REF!&lt;= table!$D$10),-1,IF(AND(#REF!&gt;=table!$E$10,#REF!&lt;=table!$F$10),1,0))</f>
        <v>#REF!</v>
      </c>
      <c r="V1106" s="5" t="e">
        <f>IF(AND(#REF!&gt;=table!$C$11,#REF!&lt;= table!$D$11),-1,IF(AND(#REF!&gt;=table!$E$11,#REF!&lt;=table!$F$11),1,0))</f>
        <v>#REF!</v>
      </c>
      <c r="W1106" s="5" t="e">
        <f>CONCATENATE(dados[[#This Row],[fator1]],dados[[#This Row],[fator5]],dados[[#This Row],[fator6]])</f>
        <v>#REF!</v>
      </c>
    </row>
    <row r="1107" spans="1:23">
      <c r="A1107" t="s">
        <v>16</v>
      </c>
      <c r="B1107">
        <v>484091</v>
      </c>
      <c r="C1107">
        <v>0.23</v>
      </c>
      <c r="D1107">
        <v>65</v>
      </c>
      <c r="E1107">
        <v>26</v>
      </c>
      <c r="F1107">
        <v>15</v>
      </c>
      <c r="G1107">
        <v>0</v>
      </c>
      <c r="H1107">
        <v>35</v>
      </c>
      <c r="I1107">
        <v>539</v>
      </c>
      <c r="J1107">
        <v>520</v>
      </c>
      <c r="K1107">
        <v>4.2650000000000006</v>
      </c>
      <c r="L1107">
        <v>7.65</v>
      </c>
      <c r="M1107">
        <v>6.2</v>
      </c>
      <c r="N1107">
        <v>12.75</v>
      </c>
      <c r="O1107">
        <v>1629</v>
      </c>
      <c r="P1107">
        <v>771</v>
      </c>
      <c r="Q1107" s="5" t="e">
        <f>IF(AND(#REF!&gt;=table!$C$6,#REF!&lt;= table!$D$6),-1,IF(AND(#REF!&gt;=table!$E$6,#REF!&lt;=table!$F$6),1,0))</f>
        <v>#REF!</v>
      </c>
      <c r="R1107" s="5" t="e">
        <f>IF(AND(#REF!&gt;=table!$C$7,#REF!&lt;= table!$D$7),-1,IF(AND(#REF!&gt;=table!$E$7,#REF!&lt;=table!$F$7),1,0))</f>
        <v>#REF!</v>
      </c>
      <c r="S1107" s="5" t="e">
        <f>IF(AND(#REF!&gt;=table!$C$8,#REF!&lt;= table!$D$8),-1,IF(AND(#REF!&gt;=table!$E$8,#REF!&lt;=table!$F$8),1,0))</f>
        <v>#REF!</v>
      </c>
      <c r="T1107" s="5"/>
      <c r="U1107" s="5" t="e">
        <f>IF(AND(#REF!&gt;=table!$C$10,#REF!&lt;= table!$D$10),-1,IF(AND(#REF!&gt;=table!$E$10,#REF!&lt;=table!$F$10),1,0))</f>
        <v>#REF!</v>
      </c>
      <c r="V1107" s="5" t="e">
        <f>IF(AND(#REF!&gt;=table!$C$11,#REF!&lt;= table!$D$11),-1,IF(AND(#REF!&gt;=table!$E$11,#REF!&lt;=table!$F$11),1,0))</f>
        <v>#REF!</v>
      </c>
      <c r="W1107" s="5" t="e">
        <f>CONCATENATE(dados[[#This Row],[fator1]],dados[[#This Row],[fator5]],dados[[#This Row],[fator6]])</f>
        <v>#REF!</v>
      </c>
    </row>
    <row r="1108" spans="1:23">
      <c r="A1108" t="s">
        <v>17</v>
      </c>
      <c r="B1108">
        <v>484092</v>
      </c>
      <c r="C1108">
        <v>14</v>
      </c>
      <c r="D1108">
        <v>30</v>
      </c>
      <c r="E1108">
        <v>110</v>
      </c>
      <c r="F1108">
        <v>3</v>
      </c>
      <c r="G1108">
        <v>20</v>
      </c>
      <c r="H1108">
        <v>22</v>
      </c>
      <c r="I1108">
        <v>831</v>
      </c>
      <c r="J1108">
        <v>0</v>
      </c>
      <c r="K1108">
        <v>4.1749999999999998</v>
      </c>
      <c r="L1108">
        <v>5.1000000000000005</v>
      </c>
      <c r="M1108">
        <v>92.55</v>
      </c>
      <c r="N1108">
        <v>8.5500000000000007</v>
      </c>
      <c r="O1108">
        <v>1634</v>
      </c>
      <c r="P1108">
        <v>700</v>
      </c>
      <c r="Q1108" s="5" t="e">
        <f>IF(AND(#REF!&gt;=table!$C$6,#REF!&lt;= table!$D$6),-1,IF(AND(#REF!&gt;=table!$E$6,#REF!&lt;=table!$F$6),1,0))</f>
        <v>#REF!</v>
      </c>
      <c r="R1108" s="5" t="e">
        <f>IF(AND(#REF!&gt;=table!$C$7,#REF!&lt;= table!$D$7),-1,IF(AND(#REF!&gt;=table!$E$7,#REF!&lt;=table!$F$7),1,0))</f>
        <v>#REF!</v>
      </c>
      <c r="S1108" s="5" t="e">
        <f>IF(AND(#REF!&gt;=table!$C$8,#REF!&lt;= table!$D$8),-1,IF(AND(#REF!&gt;=table!$E$8,#REF!&lt;=table!$F$8),1,0))</f>
        <v>#REF!</v>
      </c>
      <c r="T1108" s="5"/>
      <c r="U1108" s="5" t="e">
        <f>IF(AND(#REF!&gt;=table!$C$10,#REF!&lt;= table!$D$10),-1,IF(AND(#REF!&gt;=table!$E$10,#REF!&lt;=table!$F$10),1,0))</f>
        <v>#REF!</v>
      </c>
      <c r="V1108" s="5" t="e">
        <f>IF(AND(#REF!&gt;=table!$C$11,#REF!&lt;= table!$D$11),-1,IF(AND(#REF!&gt;=table!$E$11,#REF!&lt;=table!$F$11),1,0))</f>
        <v>#REF!</v>
      </c>
      <c r="W1108" s="5" t="e">
        <f>CONCATENATE(dados[[#This Row],[fator1]],dados[[#This Row],[fator5]],dados[[#This Row],[fator6]])</f>
        <v>#REF!</v>
      </c>
    </row>
    <row r="1109" spans="1:23">
      <c r="A1109" t="s">
        <v>17</v>
      </c>
      <c r="B1109">
        <v>484093</v>
      </c>
      <c r="C1109">
        <v>18</v>
      </c>
      <c r="D1109">
        <v>23</v>
      </c>
      <c r="E1109">
        <v>145</v>
      </c>
      <c r="F1109">
        <v>9</v>
      </c>
      <c r="G1109">
        <v>30</v>
      </c>
      <c r="H1109">
        <v>25</v>
      </c>
      <c r="I1109">
        <v>458</v>
      </c>
      <c r="J1109">
        <v>0</v>
      </c>
      <c r="K1109">
        <v>3.6550000000000002</v>
      </c>
      <c r="L1109">
        <v>10</v>
      </c>
      <c r="M1109">
        <v>113.55</v>
      </c>
      <c r="N1109">
        <v>13.950000000000001</v>
      </c>
      <c r="O1109">
        <v>1641</v>
      </c>
      <c r="P1109">
        <v>698</v>
      </c>
      <c r="Q1109" s="5" t="e">
        <f>IF(AND(#REF!&gt;=table!$C$6,#REF!&lt;= table!$D$6),-1,IF(AND(#REF!&gt;=table!$E$6,#REF!&lt;=table!$F$6),1,0))</f>
        <v>#REF!</v>
      </c>
      <c r="R1109" s="5" t="e">
        <f>IF(AND(#REF!&gt;=table!$C$7,#REF!&lt;= table!$D$7),-1,IF(AND(#REF!&gt;=table!$E$7,#REF!&lt;=table!$F$7),1,0))</f>
        <v>#REF!</v>
      </c>
      <c r="S1109" s="5" t="e">
        <f>IF(AND(#REF!&gt;=table!$C$8,#REF!&lt;= table!$D$8),-1,IF(AND(#REF!&gt;=table!$E$8,#REF!&lt;=table!$F$8),1,0))</f>
        <v>#REF!</v>
      </c>
      <c r="T1109" s="5"/>
      <c r="U1109" s="5" t="e">
        <f>IF(AND(#REF!&gt;=table!$C$10,#REF!&lt;= table!$D$10),-1,IF(AND(#REF!&gt;=table!$E$10,#REF!&lt;=table!$F$10),1,0))</f>
        <v>#REF!</v>
      </c>
      <c r="V1109" s="5" t="e">
        <f>IF(AND(#REF!&gt;=table!$C$11,#REF!&lt;= table!$D$11),-1,IF(AND(#REF!&gt;=table!$E$11,#REF!&lt;=table!$F$11),1,0))</f>
        <v>#REF!</v>
      </c>
      <c r="W1109" s="5" t="e">
        <f>CONCATENATE(dados[[#This Row],[fator1]],dados[[#This Row],[fator5]],dados[[#This Row],[fator6]])</f>
        <v>#REF!</v>
      </c>
    </row>
    <row r="1110" spans="1:23">
      <c r="A1110" t="s">
        <v>16</v>
      </c>
      <c r="B1110">
        <v>484097</v>
      </c>
      <c r="C1110">
        <v>7</v>
      </c>
      <c r="D1110">
        <v>33</v>
      </c>
      <c r="E1110">
        <v>153</v>
      </c>
      <c r="F1110">
        <v>4</v>
      </c>
      <c r="G1110">
        <v>0</v>
      </c>
      <c r="H1110">
        <v>25</v>
      </c>
      <c r="I1110">
        <v>1337</v>
      </c>
      <c r="J1110">
        <v>640</v>
      </c>
      <c r="K1110">
        <v>6.085</v>
      </c>
      <c r="L1110">
        <v>7.5449999999999999</v>
      </c>
      <c r="M1110">
        <v>142.15</v>
      </c>
      <c r="N1110">
        <v>10.5</v>
      </c>
      <c r="O1110">
        <v>1612</v>
      </c>
      <c r="P1110">
        <v>501</v>
      </c>
      <c r="Q1110" s="5" t="e">
        <f>IF(AND(#REF!&gt;=table!$C$6,#REF!&lt;= table!$D$6),-1,IF(AND(#REF!&gt;=table!$E$6,#REF!&lt;=table!$F$6),1,0))</f>
        <v>#REF!</v>
      </c>
      <c r="R1110" s="5" t="e">
        <f>IF(AND(#REF!&gt;=table!$C$7,#REF!&lt;= table!$D$7),-1,IF(AND(#REF!&gt;=table!$E$7,#REF!&lt;=table!$F$7),1,0))</f>
        <v>#REF!</v>
      </c>
      <c r="S1110" s="5" t="e">
        <f>IF(AND(#REF!&gt;=table!$C$8,#REF!&lt;= table!$D$8),-1,IF(AND(#REF!&gt;=table!$E$8,#REF!&lt;=table!$F$8),1,0))</f>
        <v>#REF!</v>
      </c>
      <c r="T1110" s="5"/>
      <c r="U1110" s="5" t="e">
        <f>IF(AND(#REF!&gt;=table!$C$10,#REF!&lt;= table!$D$10),-1,IF(AND(#REF!&gt;=table!$E$10,#REF!&lt;=table!$F$10),1,0))</f>
        <v>#REF!</v>
      </c>
      <c r="V1110" s="5" t="e">
        <f>IF(AND(#REF!&gt;=table!$C$11,#REF!&lt;= table!$D$11),-1,IF(AND(#REF!&gt;=table!$E$11,#REF!&lt;=table!$F$11),1,0))</f>
        <v>#REF!</v>
      </c>
      <c r="W1110" s="5" t="e">
        <f>CONCATENATE(dados[[#This Row],[fator1]],dados[[#This Row],[fator5]],dados[[#This Row],[fator6]])</f>
        <v>#REF!</v>
      </c>
    </row>
    <row r="1111" spans="1:23">
      <c r="A1111" t="s">
        <v>16</v>
      </c>
      <c r="B1111">
        <v>484098</v>
      </c>
      <c r="C1111">
        <v>7</v>
      </c>
      <c r="D1111">
        <v>33</v>
      </c>
      <c r="E1111">
        <v>153</v>
      </c>
      <c r="F1111">
        <v>4</v>
      </c>
      <c r="G1111">
        <v>0</v>
      </c>
      <c r="H1111">
        <v>25</v>
      </c>
      <c r="I1111">
        <v>760</v>
      </c>
      <c r="J1111">
        <v>0</v>
      </c>
      <c r="K1111">
        <v>3.3000000000000003</v>
      </c>
      <c r="L1111">
        <v>7.7</v>
      </c>
      <c r="M1111">
        <v>135.44999999999999</v>
      </c>
      <c r="N1111">
        <v>16.45</v>
      </c>
      <c r="O1111">
        <v>1712</v>
      </c>
      <c r="P1111">
        <v>1176</v>
      </c>
      <c r="Q1111" s="5" t="e">
        <f>IF(AND(#REF!&gt;=table!$C$6,#REF!&lt;= table!$D$6),-1,IF(AND(#REF!&gt;=table!$E$6,#REF!&lt;=table!$F$6),1,0))</f>
        <v>#REF!</v>
      </c>
      <c r="R1111" s="5" t="e">
        <f>IF(AND(#REF!&gt;=table!$C$7,#REF!&lt;= table!$D$7),-1,IF(AND(#REF!&gt;=table!$E$7,#REF!&lt;=table!$F$7),1,0))</f>
        <v>#REF!</v>
      </c>
      <c r="S1111" s="5" t="e">
        <f>IF(AND(#REF!&gt;=table!$C$8,#REF!&lt;= table!$D$8),-1,IF(AND(#REF!&gt;=table!$E$8,#REF!&lt;=table!$F$8),1,0))</f>
        <v>#REF!</v>
      </c>
      <c r="T1111" s="5"/>
      <c r="U1111" s="5" t="e">
        <f>IF(AND(#REF!&gt;=table!$C$10,#REF!&lt;= table!$D$10),-1,IF(AND(#REF!&gt;=table!$E$10,#REF!&lt;=table!$F$10),1,0))</f>
        <v>#REF!</v>
      </c>
      <c r="V1111" s="5" t="e">
        <f>IF(AND(#REF!&gt;=table!$C$11,#REF!&lt;= table!$D$11),-1,IF(AND(#REF!&gt;=table!$E$11,#REF!&lt;=table!$F$11),1,0))</f>
        <v>#REF!</v>
      </c>
      <c r="W1111" s="5" t="e">
        <f>CONCATENATE(dados[[#This Row],[fator1]],dados[[#This Row],[fator5]],dados[[#This Row],[fator6]])</f>
        <v>#REF!</v>
      </c>
    </row>
    <row r="1112" spans="1:23">
      <c r="A1112" t="s">
        <v>16</v>
      </c>
      <c r="B1112">
        <v>484103</v>
      </c>
      <c r="C1112">
        <v>0.15</v>
      </c>
      <c r="D1112">
        <v>40</v>
      </c>
      <c r="E1112">
        <v>10</v>
      </c>
      <c r="F1112">
        <v>15</v>
      </c>
      <c r="G1112">
        <v>0</v>
      </c>
      <c r="H1112">
        <v>15</v>
      </c>
      <c r="I1112">
        <v>971</v>
      </c>
      <c r="J1112">
        <v>680</v>
      </c>
      <c r="K1112">
        <v>6.1400000000000006</v>
      </c>
      <c r="L1112">
        <v>7.1000000000000005</v>
      </c>
      <c r="M1112">
        <v>5.6000000000000005</v>
      </c>
      <c r="N1112">
        <v>8.75</v>
      </c>
      <c r="O1112">
        <v>1637</v>
      </c>
      <c r="P1112">
        <v>502</v>
      </c>
      <c r="Q1112" s="5" t="e">
        <f>IF(AND(#REF!&gt;=table!$C$6,#REF!&lt;= table!$D$6),-1,IF(AND(#REF!&gt;=table!$E$6,#REF!&lt;=table!$F$6),1,0))</f>
        <v>#REF!</v>
      </c>
      <c r="R1112" s="5" t="e">
        <f>IF(AND(#REF!&gt;=table!$C$7,#REF!&lt;= table!$D$7),-1,IF(AND(#REF!&gt;=table!$E$7,#REF!&lt;=table!$F$7),1,0))</f>
        <v>#REF!</v>
      </c>
      <c r="S1112" s="5" t="e">
        <f>IF(AND(#REF!&gt;=table!$C$8,#REF!&lt;= table!$D$8),-1,IF(AND(#REF!&gt;=table!$E$8,#REF!&lt;=table!$F$8),1,0))</f>
        <v>#REF!</v>
      </c>
      <c r="T1112" s="5"/>
      <c r="U1112" s="5" t="e">
        <f>IF(AND(#REF!&gt;=table!$C$10,#REF!&lt;= table!$D$10),-1,IF(AND(#REF!&gt;=table!$E$10,#REF!&lt;=table!$F$10),1,0))</f>
        <v>#REF!</v>
      </c>
      <c r="V1112" s="5" t="e">
        <f>IF(AND(#REF!&gt;=table!$C$11,#REF!&lt;= table!$D$11),-1,IF(AND(#REF!&gt;=table!$E$11,#REF!&lt;=table!$F$11),1,0))</f>
        <v>#REF!</v>
      </c>
      <c r="W1112" s="5" t="e">
        <f>CONCATENATE(dados[[#This Row],[fator1]],dados[[#This Row],[fator5]],dados[[#This Row],[fator6]])</f>
        <v>#REF!</v>
      </c>
    </row>
    <row r="1113" spans="1:23">
      <c r="A1113" t="s">
        <v>16</v>
      </c>
      <c r="B1113">
        <v>484105</v>
      </c>
      <c r="C1113">
        <v>0.1</v>
      </c>
      <c r="D1113">
        <v>40</v>
      </c>
      <c r="E1113">
        <v>10</v>
      </c>
      <c r="F1113">
        <v>8</v>
      </c>
      <c r="G1113">
        <v>0</v>
      </c>
      <c r="H1113">
        <v>10</v>
      </c>
      <c r="I1113">
        <v>389</v>
      </c>
      <c r="J1113">
        <v>0</v>
      </c>
      <c r="K1113">
        <v>2.7350000000000003</v>
      </c>
      <c r="L1113">
        <v>5.1850000000000005</v>
      </c>
      <c r="M1113">
        <v>3.4</v>
      </c>
      <c r="N1113">
        <v>6.15</v>
      </c>
      <c r="O1113">
        <v>1703</v>
      </c>
      <c r="P1113">
        <v>1193</v>
      </c>
      <c r="Q1113" s="5" t="e">
        <f>IF(AND(#REF!&gt;=table!$C$6,#REF!&lt;= table!$D$6),-1,IF(AND(#REF!&gt;=table!$E$6,#REF!&lt;=table!$F$6),1,0))</f>
        <v>#REF!</v>
      </c>
      <c r="R1113" s="5" t="e">
        <f>IF(AND(#REF!&gt;=table!$C$7,#REF!&lt;= table!$D$7),-1,IF(AND(#REF!&gt;=table!$E$7,#REF!&lt;=table!$F$7),1,0))</f>
        <v>#REF!</v>
      </c>
      <c r="S1113" s="5" t="e">
        <f>IF(AND(#REF!&gt;=table!$C$8,#REF!&lt;= table!$D$8),-1,IF(AND(#REF!&gt;=table!$E$8,#REF!&lt;=table!$F$8),1,0))</f>
        <v>#REF!</v>
      </c>
      <c r="T1113" s="5"/>
      <c r="U1113" s="5" t="e">
        <f>IF(AND(#REF!&gt;=table!$C$10,#REF!&lt;= table!$D$10),-1,IF(AND(#REF!&gt;=table!$E$10,#REF!&lt;=table!$F$10),1,0))</f>
        <v>#REF!</v>
      </c>
      <c r="V1113" s="5" t="e">
        <f>IF(AND(#REF!&gt;=table!$C$11,#REF!&lt;= table!$D$11),-1,IF(AND(#REF!&gt;=table!$E$11,#REF!&lt;=table!$F$11),1,0))</f>
        <v>#REF!</v>
      </c>
      <c r="W1113" s="5" t="e">
        <f>CONCATENATE(dados[[#This Row],[fator1]],dados[[#This Row],[fator5]],dados[[#This Row],[fator6]])</f>
        <v>#REF!</v>
      </c>
    </row>
    <row r="1114" spans="1:23">
      <c r="A1114" t="s">
        <v>16</v>
      </c>
      <c r="B1114">
        <v>484106</v>
      </c>
      <c r="C1114">
        <v>0.15</v>
      </c>
      <c r="D1114">
        <v>40</v>
      </c>
      <c r="E1114">
        <v>10</v>
      </c>
      <c r="F1114">
        <v>15</v>
      </c>
      <c r="G1114">
        <v>0</v>
      </c>
      <c r="H1114">
        <v>15</v>
      </c>
      <c r="I1114">
        <v>233</v>
      </c>
      <c r="J1114">
        <v>0</v>
      </c>
      <c r="K1114">
        <v>3.06</v>
      </c>
      <c r="L1114">
        <v>6.45</v>
      </c>
      <c r="M1114">
        <v>5.6000000000000005</v>
      </c>
      <c r="N1114">
        <v>10.4</v>
      </c>
      <c r="O1114">
        <v>1669</v>
      </c>
      <c r="P1114">
        <v>1020</v>
      </c>
      <c r="Q1114" s="5" t="e">
        <f>IF(AND(#REF!&gt;=table!$C$6,#REF!&lt;= table!$D$6),-1,IF(AND(#REF!&gt;=table!$E$6,#REF!&lt;=table!$F$6),1,0))</f>
        <v>#REF!</v>
      </c>
      <c r="R1114" s="5" t="e">
        <f>IF(AND(#REF!&gt;=table!$C$7,#REF!&lt;= table!$D$7),-1,IF(AND(#REF!&gt;=table!$E$7,#REF!&lt;=table!$F$7),1,0))</f>
        <v>#REF!</v>
      </c>
      <c r="S1114" s="5" t="e">
        <f>IF(AND(#REF!&gt;=table!$C$8,#REF!&lt;= table!$D$8),-1,IF(AND(#REF!&gt;=table!$E$8,#REF!&lt;=table!$F$8),1,0))</f>
        <v>#REF!</v>
      </c>
      <c r="T1114" s="5"/>
      <c r="U1114" s="5" t="e">
        <f>IF(AND(#REF!&gt;=table!$C$10,#REF!&lt;= table!$D$10),-1,IF(AND(#REF!&gt;=table!$E$10,#REF!&lt;=table!$F$10),1,0))</f>
        <v>#REF!</v>
      </c>
      <c r="V1114" s="5" t="e">
        <f>IF(AND(#REF!&gt;=table!$C$11,#REF!&lt;= table!$D$11),-1,IF(AND(#REF!&gt;=table!$E$11,#REF!&lt;=table!$F$11),1,0))</f>
        <v>#REF!</v>
      </c>
      <c r="W1114" s="5" t="e">
        <f>CONCATENATE(dados[[#This Row],[fator1]],dados[[#This Row],[fator5]],dados[[#This Row],[fator6]])</f>
        <v>#REF!</v>
      </c>
    </row>
    <row r="1115" spans="1:23">
      <c r="A1115" t="s">
        <v>17</v>
      </c>
      <c r="B1115">
        <v>484107</v>
      </c>
      <c r="C1115">
        <v>6</v>
      </c>
      <c r="D1115">
        <v>30</v>
      </c>
      <c r="E1115">
        <v>110</v>
      </c>
      <c r="F1115">
        <v>10</v>
      </c>
      <c r="G1115">
        <v>21</v>
      </c>
      <c r="H1115">
        <v>25</v>
      </c>
      <c r="I1115">
        <v>264</v>
      </c>
      <c r="J1115">
        <v>0</v>
      </c>
      <c r="K1115">
        <v>3.2450000000000001</v>
      </c>
      <c r="L1115">
        <v>7.1750000000000007</v>
      </c>
      <c r="M1115">
        <v>91.2</v>
      </c>
      <c r="N1115">
        <v>12.85</v>
      </c>
      <c r="O1115">
        <v>1680</v>
      </c>
      <c r="P1115">
        <v>0</v>
      </c>
      <c r="Q1115" s="5" t="e">
        <f>IF(AND(#REF!&gt;=table!$C$6,#REF!&lt;= table!$D$6),-1,IF(AND(#REF!&gt;=table!$E$6,#REF!&lt;=table!$F$6),1,0))</f>
        <v>#REF!</v>
      </c>
      <c r="R1115" s="5" t="e">
        <f>IF(AND(#REF!&gt;=table!$C$7,#REF!&lt;= table!$D$7),-1,IF(AND(#REF!&gt;=table!$E$7,#REF!&lt;=table!$F$7),1,0))</f>
        <v>#REF!</v>
      </c>
      <c r="S1115" s="5" t="e">
        <f>IF(AND(#REF!&gt;=table!$C$8,#REF!&lt;= table!$D$8),-1,IF(AND(#REF!&gt;=table!$E$8,#REF!&lt;=table!$F$8),1,0))</f>
        <v>#REF!</v>
      </c>
      <c r="T1115" s="5"/>
      <c r="U1115" s="5" t="e">
        <f>IF(AND(#REF!&gt;=table!$C$10,#REF!&lt;= table!$D$10),-1,IF(AND(#REF!&gt;=table!$E$10,#REF!&lt;=table!$F$10),1,0))</f>
        <v>#REF!</v>
      </c>
      <c r="V1115" s="5" t="e">
        <f>IF(AND(#REF!&gt;=table!$C$11,#REF!&lt;= table!$D$11),-1,IF(AND(#REF!&gt;=table!$E$11,#REF!&lt;=table!$F$11),1,0))</f>
        <v>#REF!</v>
      </c>
      <c r="W1115" s="5" t="e">
        <f>CONCATENATE(dados[[#This Row],[fator1]],dados[[#This Row],[fator5]],dados[[#This Row],[fator6]])</f>
        <v>#REF!</v>
      </c>
    </row>
    <row r="1116" spans="1:23">
      <c r="A1116" t="s">
        <v>16</v>
      </c>
      <c r="B1116">
        <v>484112</v>
      </c>
      <c r="C1116">
        <v>4</v>
      </c>
      <c r="D1116">
        <v>40</v>
      </c>
      <c r="E1116">
        <v>21</v>
      </c>
      <c r="F1116">
        <v>10</v>
      </c>
      <c r="G1116">
        <v>0</v>
      </c>
      <c r="H1116">
        <v>25</v>
      </c>
      <c r="I1116">
        <v>99</v>
      </c>
      <c r="J1116">
        <v>560</v>
      </c>
      <c r="K1116">
        <v>5.1100000000000003</v>
      </c>
      <c r="L1116">
        <v>4.8500000000000005</v>
      </c>
      <c r="M1116">
        <v>16.2</v>
      </c>
      <c r="N1116">
        <v>5.95</v>
      </c>
      <c r="O1116">
        <v>1605</v>
      </c>
      <c r="P1116">
        <v>518</v>
      </c>
      <c r="Q1116" s="5" t="e">
        <f>IF(AND(#REF!&gt;=table!$C$6,#REF!&lt;= table!$D$6),-1,IF(AND(#REF!&gt;=table!$E$6,#REF!&lt;=table!$F$6),1,0))</f>
        <v>#REF!</v>
      </c>
      <c r="R1116" s="5" t="e">
        <f>IF(AND(#REF!&gt;=table!$C$7,#REF!&lt;= table!$D$7),-1,IF(AND(#REF!&gt;=table!$E$7,#REF!&lt;=table!$F$7),1,0))</f>
        <v>#REF!</v>
      </c>
      <c r="S1116" s="5" t="e">
        <f>IF(AND(#REF!&gt;=table!$C$8,#REF!&lt;= table!$D$8),-1,IF(AND(#REF!&gt;=table!$E$8,#REF!&lt;=table!$F$8),1,0))</f>
        <v>#REF!</v>
      </c>
      <c r="T1116" s="5"/>
      <c r="U1116" s="5" t="e">
        <f>IF(AND(#REF!&gt;=table!$C$10,#REF!&lt;= table!$D$10),-1,IF(AND(#REF!&gt;=table!$E$10,#REF!&lt;=table!$F$10),1,0))</f>
        <v>#REF!</v>
      </c>
      <c r="V1116" s="5" t="e">
        <f>IF(AND(#REF!&gt;=table!$C$11,#REF!&lt;= table!$D$11),-1,IF(AND(#REF!&gt;=table!$E$11,#REF!&lt;=table!$F$11),1,0))</f>
        <v>#REF!</v>
      </c>
      <c r="W1116" s="5" t="e">
        <f>CONCATENATE(dados[[#This Row],[fator1]],dados[[#This Row],[fator5]],dados[[#This Row],[fator6]])</f>
        <v>#REF!</v>
      </c>
    </row>
    <row r="1117" spans="1:23">
      <c r="A1117" t="s">
        <v>16</v>
      </c>
      <c r="B1117">
        <v>484113</v>
      </c>
      <c r="C1117">
        <v>4</v>
      </c>
      <c r="D1117">
        <v>40</v>
      </c>
      <c r="E1117">
        <v>21</v>
      </c>
      <c r="F1117">
        <v>10</v>
      </c>
      <c r="G1117">
        <v>0</v>
      </c>
      <c r="H1117">
        <v>25</v>
      </c>
      <c r="I1117">
        <v>1</v>
      </c>
      <c r="J1117">
        <v>0</v>
      </c>
      <c r="K1117">
        <v>3.7650000000000001</v>
      </c>
      <c r="L1117">
        <v>3.9</v>
      </c>
      <c r="M1117">
        <v>15.55</v>
      </c>
      <c r="N1117">
        <v>9.65</v>
      </c>
      <c r="O1117">
        <v>1653</v>
      </c>
      <c r="P1117">
        <v>874</v>
      </c>
      <c r="Q1117" s="5" t="e">
        <f>IF(AND(#REF!&gt;=table!$C$6,#REF!&lt;= table!$D$6),-1,IF(AND(#REF!&gt;=table!$E$6,#REF!&lt;=table!$F$6),1,0))</f>
        <v>#REF!</v>
      </c>
      <c r="R1117" s="5" t="e">
        <f>IF(AND(#REF!&gt;=table!$C$7,#REF!&lt;= table!$D$7),-1,IF(AND(#REF!&gt;=table!$E$7,#REF!&lt;=table!$F$7),1,0))</f>
        <v>#REF!</v>
      </c>
      <c r="S1117" s="5" t="e">
        <f>IF(AND(#REF!&gt;=table!$C$8,#REF!&lt;= table!$D$8),-1,IF(AND(#REF!&gt;=table!$E$8,#REF!&lt;=table!$F$8),1,0))</f>
        <v>#REF!</v>
      </c>
      <c r="T1117" s="5"/>
      <c r="U1117" s="5" t="e">
        <f>IF(AND(#REF!&gt;=table!$C$10,#REF!&lt;= table!$D$10),-1,IF(AND(#REF!&gt;=table!$E$10,#REF!&lt;=table!$F$10),1,0))</f>
        <v>#REF!</v>
      </c>
      <c r="V1117" s="5" t="e">
        <f>IF(AND(#REF!&gt;=table!$C$11,#REF!&lt;= table!$D$11),-1,IF(AND(#REF!&gt;=table!$E$11,#REF!&lt;=table!$F$11),1,0))</f>
        <v>#REF!</v>
      </c>
      <c r="W1117" s="5" t="e">
        <f>CONCATENATE(dados[[#This Row],[fator1]],dados[[#This Row],[fator5]],dados[[#This Row],[fator6]])</f>
        <v>#REF!</v>
      </c>
    </row>
    <row r="1118" spans="1:23">
      <c r="A1118" t="s">
        <v>16</v>
      </c>
      <c r="B1118">
        <v>484114</v>
      </c>
      <c r="C1118">
        <v>10</v>
      </c>
      <c r="D1118">
        <v>40</v>
      </c>
      <c r="E1118">
        <v>96</v>
      </c>
      <c r="F1118">
        <v>8</v>
      </c>
      <c r="G1118">
        <v>0</v>
      </c>
      <c r="H1118">
        <v>25</v>
      </c>
      <c r="I1118">
        <v>421</v>
      </c>
      <c r="J1118">
        <v>0</v>
      </c>
      <c r="K1118">
        <v>4.1050000000000004</v>
      </c>
      <c r="L1118">
        <v>11.5</v>
      </c>
      <c r="M1118">
        <v>69.454999999999998</v>
      </c>
      <c r="N1118">
        <v>15.59</v>
      </c>
      <c r="O1118">
        <v>1685</v>
      </c>
      <c r="P1118">
        <v>950</v>
      </c>
      <c r="Q1118" s="5" t="e">
        <f>IF(AND(#REF!&gt;=table!$C$6,#REF!&lt;= table!$D$6),-1,IF(AND(#REF!&gt;=table!$E$6,#REF!&lt;=table!$F$6),1,0))</f>
        <v>#REF!</v>
      </c>
      <c r="R1118" s="5" t="e">
        <f>IF(AND(#REF!&gt;=table!$C$7,#REF!&lt;= table!$D$7),-1,IF(AND(#REF!&gt;=table!$E$7,#REF!&lt;=table!$F$7),1,0))</f>
        <v>#REF!</v>
      </c>
      <c r="S1118" s="5" t="e">
        <f>IF(AND(#REF!&gt;=table!$C$8,#REF!&lt;= table!$D$8),-1,IF(AND(#REF!&gt;=table!$E$8,#REF!&lt;=table!$F$8),1,0))</f>
        <v>#REF!</v>
      </c>
      <c r="T1118" s="5"/>
      <c r="U1118" s="5" t="e">
        <f>IF(AND(#REF!&gt;=table!$C$10,#REF!&lt;= table!$D$10),-1,IF(AND(#REF!&gt;=table!$E$10,#REF!&lt;=table!$F$10),1,0))</f>
        <v>#REF!</v>
      </c>
      <c r="V1118" s="5" t="e">
        <f>IF(AND(#REF!&gt;=table!$C$11,#REF!&lt;= table!$D$11),-1,IF(AND(#REF!&gt;=table!$E$11,#REF!&lt;=table!$F$11),1,0))</f>
        <v>#REF!</v>
      </c>
      <c r="W1118" s="5" t="e">
        <f>CONCATENATE(dados[[#This Row],[fator1]],dados[[#This Row],[fator5]],dados[[#This Row],[fator6]])</f>
        <v>#REF!</v>
      </c>
    </row>
    <row r="1119" spans="1:23">
      <c r="A1119" t="s">
        <v>16</v>
      </c>
      <c r="B1119">
        <v>484116</v>
      </c>
      <c r="C1119">
        <v>10</v>
      </c>
      <c r="D1119">
        <v>40</v>
      </c>
      <c r="E1119">
        <v>96</v>
      </c>
      <c r="F1119">
        <v>8</v>
      </c>
      <c r="G1119">
        <v>0</v>
      </c>
      <c r="H1119">
        <v>25</v>
      </c>
      <c r="I1119">
        <v>1036</v>
      </c>
      <c r="J1119">
        <v>0</v>
      </c>
      <c r="K1119">
        <v>7.3650000000000002</v>
      </c>
      <c r="L1119">
        <v>10.200000000000001</v>
      </c>
      <c r="M1119">
        <v>84.7</v>
      </c>
      <c r="N1119">
        <v>8.3000000000000007</v>
      </c>
      <c r="O1119">
        <v>1658</v>
      </c>
      <c r="P1119">
        <v>426</v>
      </c>
      <c r="Q1119" s="5" t="e">
        <f>IF(AND(#REF!&gt;=table!$C$6,#REF!&lt;= table!$D$6),-1,IF(AND(#REF!&gt;=table!$E$6,#REF!&lt;=table!$F$6),1,0))</f>
        <v>#REF!</v>
      </c>
      <c r="R1119" s="5" t="e">
        <f>IF(AND(#REF!&gt;=table!$C$7,#REF!&lt;= table!$D$7),-1,IF(AND(#REF!&gt;=table!$E$7,#REF!&lt;=table!$F$7),1,0))</f>
        <v>#REF!</v>
      </c>
      <c r="S1119" s="5" t="e">
        <f>IF(AND(#REF!&gt;=table!$C$8,#REF!&lt;= table!$D$8),-1,IF(AND(#REF!&gt;=table!$E$8,#REF!&lt;=table!$F$8),1,0))</f>
        <v>#REF!</v>
      </c>
      <c r="T1119" s="5"/>
      <c r="U1119" s="5" t="e">
        <f>IF(AND(#REF!&gt;=table!$C$10,#REF!&lt;= table!$D$10),-1,IF(AND(#REF!&gt;=table!$E$10,#REF!&lt;=table!$F$10),1,0))</f>
        <v>#REF!</v>
      </c>
      <c r="V1119" s="5" t="e">
        <f>IF(AND(#REF!&gt;=table!$C$11,#REF!&lt;= table!$D$11),-1,IF(AND(#REF!&gt;=table!$E$11,#REF!&lt;=table!$F$11),1,0))</f>
        <v>#REF!</v>
      </c>
      <c r="W1119" s="5" t="e">
        <f>CONCATENATE(dados[[#This Row],[fator1]],dados[[#This Row],[fator5]],dados[[#This Row],[fator6]])</f>
        <v>#REF!</v>
      </c>
    </row>
    <row r="1120" spans="1:23">
      <c r="A1120" t="s">
        <v>16</v>
      </c>
      <c r="B1120">
        <v>484117</v>
      </c>
      <c r="C1120">
        <v>10</v>
      </c>
      <c r="D1120">
        <v>40</v>
      </c>
      <c r="E1120">
        <v>96</v>
      </c>
      <c r="F1120">
        <v>8</v>
      </c>
      <c r="G1120">
        <v>0</v>
      </c>
      <c r="H1120">
        <v>25</v>
      </c>
      <c r="I1120">
        <v>661</v>
      </c>
      <c r="J1120">
        <v>0</v>
      </c>
      <c r="K1120">
        <v>4.4550000000000001</v>
      </c>
      <c r="L1120">
        <v>12.200000000000001</v>
      </c>
      <c r="M1120">
        <v>87.51</v>
      </c>
      <c r="N1120">
        <v>12</v>
      </c>
      <c r="O1120">
        <v>1671</v>
      </c>
      <c r="P1120">
        <v>0</v>
      </c>
      <c r="Q1120" s="5" t="e">
        <f>IF(AND(#REF!&gt;=table!$C$6,#REF!&lt;= table!$D$6),-1,IF(AND(#REF!&gt;=table!$E$6,#REF!&lt;=table!$F$6),1,0))</f>
        <v>#REF!</v>
      </c>
      <c r="R1120" s="5" t="e">
        <f>IF(AND(#REF!&gt;=table!$C$7,#REF!&lt;= table!$D$7),-1,IF(AND(#REF!&gt;=table!$E$7,#REF!&lt;=table!$F$7),1,0))</f>
        <v>#REF!</v>
      </c>
      <c r="S1120" s="5" t="e">
        <f>IF(AND(#REF!&gt;=table!$C$8,#REF!&lt;= table!$D$8),-1,IF(AND(#REF!&gt;=table!$E$8,#REF!&lt;=table!$F$8),1,0))</f>
        <v>#REF!</v>
      </c>
      <c r="T1120" s="5"/>
      <c r="U1120" s="5" t="e">
        <f>IF(AND(#REF!&gt;=table!$C$10,#REF!&lt;= table!$D$10),-1,IF(AND(#REF!&gt;=table!$E$10,#REF!&lt;=table!$F$10),1,0))</f>
        <v>#REF!</v>
      </c>
      <c r="V1120" s="5" t="e">
        <f>IF(AND(#REF!&gt;=table!$C$11,#REF!&lt;= table!$D$11),-1,IF(AND(#REF!&gt;=table!$E$11,#REF!&lt;=table!$F$11),1,0))</f>
        <v>#REF!</v>
      </c>
      <c r="W1120" s="5" t="e">
        <f>CONCATENATE(dados[[#This Row],[fator1]],dados[[#This Row],[fator5]],dados[[#This Row],[fator6]])</f>
        <v>#REF!</v>
      </c>
    </row>
    <row r="1121" spans="1:23">
      <c r="A1121" t="s">
        <v>16</v>
      </c>
      <c r="B1121">
        <v>484120</v>
      </c>
      <c r="C1121">
        <v>10</v>
      </c>
      <c r="D1121">
        <v>40</v>
      </c>
      <c r="E1121">
        <v>96</v>
      </c>
      <c r="F1121">
        <v>8</v>
      </c>
      <c r="G1121">
        <v>0</v>
      </c>
      <c r="H1121">
        <v>25</v>
      </c>
      <c r="I1121">
        <v>0</v>
      </c>
      <c r="J1121">
        <v>760</v>
      </c>
      <c r="K1121">
        <v>3.9050000000000002</v>
      </c>
      <c r="L1121">
        <v>17.350000000000001</v>
      </c>
      <c r="M1121">
        <v>79.150000000000006</v>
      </c>
      <c r="N1121">
        <v>14.05</v>
      </c>
      <c r="O1121">
        <v>1700</v>
      </c>
      <c r="P1121">
        <v>0</v>
      </c>
      <c r="Q1121" s="5" t="e">
        <f>IF(AND(#REF!&gt;=table!$C$6,#REF!&lt;= table!$D$6),-1,IF(AND(#REF!&gt;=table!$E$6,#REF!&lt;=table!$F$6),1,0))</f>
        <v>#REF!</v>
      </c>
      <c r="R1121" s="5" t="e">
        <f>IF(AND(#REF!&gt;=table!$C$7,#REF!&lt;= table!$D$7),-1,IF(AND(#REF!&gt;=table!$E$7,#REF!&lt;=table!$F$7),1,0))</f>
        <v>#REF!</v>
      </c>
      <c r="S1121" s="5" t="e">
        <f>IF(AND(#REF!&gt;=table!$C$8,#REF!&lt;= table!$D$8),-1,IF(AND(#REF!&gt;=table!$E$8,#REF!&lt;=table!$F$8),1,0))</f>
        <v>#REF!</v>
      </c>
      <c r="T1121" s="5"/>
      <c r="U1121" s="5" t="e">
        <f>IF(AND(#REF!&gt;=table!$C$10,#REF!&lt;= table!$D$10),-1,IF(AND(#REF!&gt;=table!$E$10,#REF!&lt;=table!$F$10),1,0))</f>
        <v>#REF!</v>
      </c>
      <c r="V1121" s="5" t="e">
        <f>IF(AND(#REF!&gt;=table!$C$11,#REF!&lt;= table!$D$11),-1,IF(AND(#REF!&gt;=table!$E$11,#REF!&lt;=table!$F$11),1,0))</f>
        <v>#REF!</v>
      </c>
      <c r="W1121" s="5" t="e">
        <f>CONCATENATE(dados[[#This Row],[fator1]],dados[[#This Row],[fator5]],dados[[#This Row],[fator6]])</f>
        <v>#REF!</v>
      </c>
    </row>
    <row r="1122" spans="1:23">
      <c r="A1122" t="s">
        <v>16</v>
      </c>
      <c r="B1122">
        <v>484126</v>
      </c>
      <c r="C1122">
        <v>0.1</v>
      </c>
      <c r="D1122">
        <v>40</v>
      </c>
      <c r="E1122">
        <v>10</v>
      </c>
      <c r="F1122">
        <v>8</v>
      </c>
      <c r="G1122">
        <v>0</v>
      </c>
      <c r="H1122">
        <v>10</v>
      </c>
      <c r="I1122">
        <v>1372</v>
      </c>
      <c r="J1122">
        <v>0</v>
      </c>
      <c r="K1122">
        <v>5.5950000000000006</v>
      </c>
      <c r="L1122">
        <v>9.7750000000000004</v>
      </c>
      <c r="M1122">
        <v>9.1</v>
      </c>
      <c r="N1122">
        <v>10.135</v>
      </c>
      <c r="O1122">
        <v>1674</v>
      </c>
      <c r="P1122">
        <v>692</v>
      </c>
      <c r="Q1122" s="5" t="e">
        <f>IF(AND(#REF!&gt;=table!$C$6,#REF!&lt;= table!$D$6),-1,IF(AND(#REF!&gt;=table!$E$6,#REF!&lt;=table!$F$6),1,0))</f>
        <v>#REF!</v>
      </c>
      <c r="R1122" s="5" t="e">
        <f>IF(AND(#REF!&gt;=table!$C$7,#REF!&lt;= table!$D$7),-1,IF(AND(#REF!&gt;=table!$E$7,#REF!&lt;=table!$F$7),1,0))</f>
        <v>#REF!</v>
      </c>
      <c r="S1122" s="5" t="e">
        <f>IF(AND(#REF!&gt;=table!$C$8,#REF!&lt;= table!$D$8),-1,IF(AND(#REF!&gt;=table!$E$8,#REF!&lt;=table!$F$8),1,0))</f>
        <v>#REF!</v>
      </c>
      <c r="T1122" s="5"/>
      <c r="U1122" s="5" t="e">
        <f>IF(AND(#REF!&gt;=table!$C$10,#REF!&lt;= table!$D$10),-1,IF(AND(#REF!&gt;=table!$E$10,#REF!&lt;=table!$F$10),1,0))</f>
        <v>#REF!</v>
      </c>
      <c r="V1122" s="5" t="e">
        <f>IF(AND(#REF!&gt;=table!$C$11,#REF!&lt;= table!$D$11),-1,IF(AND(#REF!&gt;=table!$E$11,#REF!&lt;=table!$F$11),1,0))</f>
        <v>#REF!</v>
      </c>
      <c r="W1122" s="5" t="e">
        <f>CONCATENATE(dados[[#This Row],[fator1]],dados[[#This Row],[fator5]],dados[[#This Row],[fator6]])</f>
        <v>#REF!</v>
      </c>
    </row>
    <row r="1123" spans="1:23">
      <c r="A1123" t="s">
        <v>16</v>
      </c>
      <c r="B1123">
        <v>484127</v>
      </c>
      <c r="C1123">
        <v>0.1</v>
      </c>
      <c r="D1123">
        <v>40</v>
      </c>
      <c r="E1123">
        <v>10</v>
      </c>
      <c r="F1123">
        <v>8</v>
      </c>
      <c r="G1123">
        <v>0</v>
      </c>
      <c r="H1123">
        <v>10</v>
      </c>
      <c r="I1123">
        <v>461</v>
      </c>
      <c r="J1123">
        <v>0</v>
      </c>
      <c r="K1123">
        <v>4.22</v>
      </c>
      <c r="L1123">
        <v>6</v>
      </c>
      <c r="M1123">
        <v>5.95</v>
      </c>
      <c r="N1123">
        <v>10.15</v>
      </c>
      <c r="O1123">
        <v>1652</v>
      </c>
      <c r="P1123">
        <v>810</v>
      </c>
      <c r="Q1123" s="5" t="e">
        <f>IF(AND(#REF!&gt;=table!$C$6,#REF!&lt;= table!$D$6),-1,IF(AND(#REF!&gt;=table!$E$6,#REF!&lt;=table!$F$6),1,0))</f>
        <v>#REF!</v>
      </c>
      <c r="R1123" s="5" t="e">
        <f>IF(AND(#REF!&gt;=table!$C$7,#REF!&lt;= table!$D$7),-1,IF(AND(#REF!&gt;=table!$E$7,#REF!&lt;=table!$F$7),1,0))</f>
        <v>#REF!</v>
      </c>
      <c r="S1123" s="5" t="e">
        <f>IF(AND(#REF!&gt;=table!$C$8,#REF!&lt;= table!$D$8),-1,IF(AND(#REF!&gt;=table!$E$8,#REF!&lt;=table!$F$8),1,0))</f>
        <v>#REF!</v>
      </c>
      <c r="T1123" s="5"/>
      <c r="U1123" s="5" t="e">
        <f>IF(AND(#REF!&gt;=table!$C$10,#REF!&lt;= table!$D$10),-1,IF(AND(#REF!&gt;=table!$E$10,#REF!&lt;=table!$F$10),1,0))</f>
        <v>#REF!</v>
      </c>
      <c r="V1123" s="5" t="e">
        <f>IF(AND(#REF!&gt;=table!$C$11,#REF!&lt;= table!$D$11),-1,IF(AND(#REF!&gt;=table!$E$11,#REF!&lt;=table!$F$11),1,0))</f>
        <v>#REF!</v>
      </c>
      <c r="W1123" s="5" t="e">
        <f>CONCATENATE(dados[[#This Row],[fator1]],dados[[#This Row],[fator5]],dados[[#This Row],[fator6]])</f>
        <v>#REF!</v>
      </c>
    </row>
    <row r="1124" spans="1:23">
      <c r="A1124" t="s">
        <v>17</v>
      </c>
      <c r="B1124">
        <v>484129</v>
      </c>
      <c r="C1124">
        <v>45</v>
      </c>
      <c r="D1124">
        <v>30</v>
      </c>
      <c r="E1124">
        <v>126</v>
      </c>
      <c r="F1124">
        <v>9</v>
      </c>
      <c r="G1124">
        <v>23</v>
      </c>
      <c r="H1124">
        <v>22</v>
      </c>
      <c r="I1124">
        <v>992</v>
      </c>
      <c r="J1124">
        <v>0</v>
      </c>
      <c r="K1124">
        <v>8.83</v>
      </c>
      <c r="L1124">
        <v>12.85</v>
      </c>
      <c r="M1124">
        <v>105.25</v>
      </c>
      <c r="N1124">
        <v>13.6</v>
      </c>
      <c r="O1124">
        <v>1675</v>
      </c>
      <c r="P1124">
        <v>424</v>
      </c>
      <c r="Q1124" s="5" t="e">
        <f>IF(AND(#REF!&gt;=table!$C$6,#REF!&lt;= table!$D$6),-1,IF(AND(#REF!&gt;=table!$E$6,#REF!&lt;=table!$F$6),1,0))</f>
        <v>#REF!</v>
      </c>
      <c r="R1124" s="5" t="e">
        <f>IF(AND(#REF!&gt;=table!$C$7,#REF!&lt;= table!$D$7),-1,IF(AND(#REF!&gt;=table!$E$7,#REF!&lt;=table!$F$7),1,0))</f>
        <v>#REF!</v>
      </c>
      <c r="S1124" s="5" t="e">
        <f>IF(AND(#REF!&gt;=table!$C$8,#REF!&lt;= table!$D$8),-1,IF(AND(#REF!&gt;=table!$E$8,#REF!&lt;=table!$F$8),1,0))</f>
        <v>#REF!</v>
      </c>
      <c r="T1124" s="5"/>
      <c r="U1124" s="5" t="e">
        <f>IF(AND(#REF!&gt;=table!$C$10,#REF!&lt;= table!$D$10),-1,IF(AND(#REF!&gt;=table!$E$10,#REF!&lt;=table!$F$10),1,0))</f>
        <v>#REF!</v>
      </c>
      <c r="V1124" s="5" t="e">
        <f>IF(AND(#REF!&gt;=table!$C$11,#REF!&lt;= table!$D$11),-1,IF(AND(#REF!&gt;=table!$E$11,#REF!&lt;=table!$F$11),1,0))</f>
        <v>#REF!</v>
      </c>
      <c r="W1124" s="5" t="e">
        <f>CONCATENATE(dados[[#This Row],[fator1]],dados[[#This Row],[fator5]],dados[[#This Row],[fator6]])</f>
        <v>#REF!</v>
      </c>
    </row>
    <row r="1125" spans="1:23">
      <c r="A1125" t="s">
        <v>17</v>
      </c>
      <c r="B1125">
        <v>484130</v>
      </c>
      <c r="C1125">
        <v>46</v>
      </c>
      <c r="D1125">
        <v>18</v>
      </c>
      <c r="E1125">
        <v>66</v>
      </c>
      <c r="F1125">
        <v>10</v>
      </c>
      <c r="G1125">
        <v>20</v>
      </c>
      <c r="H1125">
        <v>23</v>
      </c>
      <c r="I1125">
        <v>679</v>
      </c>
      <c r="J1125">
        <v>0</v>
      </c>
      <c r="K1125">
        <v>9.94</v>
      </c>
      <c r="L1125">
        <v>13.9</v>
      </c>
      <c r="M1125">
        <v>54.25</v>
      </c>
      <c r="N1125">
        <v>13.65</v>
      </c>
      <c r="O1125">
        <v>1671</v>
      </c>
      <c r="P1125">
        <v>317</v>
      </c>
      <c r="Q1125" s="5" t="e">
        <f>IF(AND(#REF!&gt;=table!$C$6,#REF!&lt;= table!$D$6),-1,IF(AND(#REF!&gt;=table!$E$6,#REF!&lt;=table!$F$6),1,0))</f>
        <v>#REF!</v>
      </c>
      <c r="R1125" s="5" t="e">
        <f>IF(AND(#REF!&gt;=table!$C$7,#REF!&lt;= table!$D$7),-1,IF(AND(#REF!&gt;=table!$E$7,#REF!&lt;=table!$F$7),1,0))</f>
        <v>#REF!</v>
      </c>
      <c r="S1125" s="5" t="e">
        <f>IF(AND(#REF!&gt;=table!$C$8,#REF!&lt;= table!$D$8),-1,IF(AND(#REF!&gt;=table!$E$8,#REF!&lt;=table!$F$8),1,0))</f>
        <v>#REF!</v>
      </c>
      <c r="T1125" s="5"/>
      <c r="U1125" s="5" t="e">
        <f>IF(AND(#REF!&gt;=table!$C$10,#REF!&lt;= table!$D$10),-1,IF(AND(#REF!&gt;=table!$E$10,#REF!&lt;=table!$F$10),1,0))</f>
        <v>#REF!</v>
      </c>
      <c r="V1125" s="5" t="e">
        <f>IF(AND(#REF!&gt;=table!$C$11,#REF!&lt;= table!$D$11),-1,IF(AND(#REF!&gt;=table!$E$11,#REF!&lt;=table!$F$11),1,0))</f>
        <v>#REF!</v>
      </c>
      <c r="W1125" s="5" t="e">
        <f>CONCATENATE(dados[[#This Row],[fator1]],dados[[#This Row],[fator5]],dados[[#This Row],[fator6]])</f>
        <v>#REF!</v>
      </c>
    </row>
    <row r="1126" spans="1:23">
      <c r="A1126" t="s">
        <v>17</v>
      </c>
      <c r="B1126">
        <v>484131</v>
      </c>
      <c r="C1126">
        <v>46</v>
      </c>
      <c r="D1126">
        <v>18</v>
      </c>
      <c r="E1126">
        <v>66</v>
      </c>
      <c r="F1126">
        <v>10</v>
      </c>
      <c r="G1126">
        <v>20</v>
      </c>
      <c r="H1126">
        <v>23</v>
      </c>
      <c r="I1126">
        <v>980</v>
      </c>
      <c r="J1126">
        <v>0</v>
      </c>
      <c r="K1126">
        <v>4.7149999999999999</v>
      </c>
      <c r="L1126">
        <v>9.7000000000000011</v>
      </c>
      <c r="M1126">
        <v>49.85</v>
      </c>
      <c r="N1126">
        <v>13.73</v>
      </c>
      <c r="O1126">
        <v>1661</v>
      </c>
      <c r="P1126">
        <v>585</v>
      </c>
      <c r="Q1126" s="5" t="e">
        <f>IF(AND(#REF!&gt;=table!$C$6,#REF!&lt;= table!$D$6),-1,IF(AND(#REF!&gt;=table!$E$6,#REF!&lt;=table!$F$6),1,0))</f>
        <v>#REF!</v>
      </c>
      <c r="R1126" s="5" t="e">
        <f>IF(AND(#REF!&gt;=table!$C$7,#REF!&lt;= table!$D$7),-1,IF(AND(#REF!&gt;=table!$E$7,#REF!&lt;=table!$F$7),1,0))</f>
        <v>#REF!</v>
      </c>
      <c r="S1126" s="5" t="e">
        <f>IF(AND(#REF!&gt;=table!$C$8,#REF!&lt;= table!$D$8),-1,IF(AND(#REF!&gt;=table!$E$8,#REF!&lt;=table!$F$8),1,0))</f>
        <v>#REF!</v>
      </c>
      <c r="T1126" s="5"/>
      <c r="U1126" s="5" t="e">
        <f>IF(AND(#REF!&gt;=table!$C$10,#REF!&lt;= table!$D$10),-1,IF(AND(#REF!&gt;=table!$E$10,#REF!&lt;=table!$F$10),1,0))</f>
        <v>#REF!</v>
      </c>
      <c r="V1126" s="5" t="e">
        <f>IF(AND(#REF!&gt;=table!$C$11,#REF!&lt;= table!$D$11),-1,IF(AND(#REF!&gt;=table!$E$11,#REF!&lt;=table!$F$11),1,0))</f>
        <v>#REF!</v>
      </c>
      <c r="W1126" s="5" t="e">
        <f>CONCATENATE(dados[[#This Row],[fator1]],dados[[#This Row],[fator5]],dados[[#This Row],[fator6]])</f>
        <v>#REF!</v>
      </c>
    </row>
    <row r="1127" spans="1:23">
      <c r="A1127" t="s">
        <v>17</v>
      </c>
      <c r="B1127">
        <v>484132</v>
      </c>
      <c r="C1127">
        <v>46</v>
      </c>
      <c r="D1127">
        <v>18</v>
      </c>
      <c r="E1127">
        <v>66</v>
      </c>
      <c r="F1127">
        <v>10</v>
      </c>
      <c r="G1127">
        <v>20</v>
      </c>
      <c r="H1127">
        <v>23</v>
      </c>
      <c r="I1127">
        <v>2009</v>
      </c>
      <c r="J1127">
        <v>0</v>
      </c>
      <c r="K1127">
        <v>13.155000000000001</v>
      </c>
      <c r="L1127">
        <v>12.44</v>
      </c>
      <c r="M1127">
        <v>49.045000000000002</v>
      </c>
      <c r="N1127">
        <v>10.515000000000001</v>
      </c>
      <c r="O1127">
        <v>1648</v>
      </c>
      <c r="P1127">
        <v>282</v>
      </c>
      <c r="Q1127" s="5" t="e">
        <f>IF(AND(#REF!&gt;=table!$C$6,#REF!&lt;= table!$D$6),-1,IF(AND(#REF!&gt;=table!$E$6,#REF!&lt;=table!$F$6),1,0))</f>
        <v>#REF!</v>
      </c>
      <c r="R1127" s="5" t="e">
        <f>IF(AND(#REF!&gt;=table!$C$7,#REF!&lt;= table!$D$7),-1,IF(AND(#REF!&gt;=table!$E$7,#REF!&lt;=table!$F$7),1,0))</f>
        <v>#REF!</v>
      </c>
      <c r="S1127" s="5" t="e">
        <f>IF(AND(#REF!&gt;=table!$C$8,#REF!&lt;= table!$D$8),-1,IF(AND(#REF!&gt;=table!$E$8,#REF!&lt;=table!$F$8),1,0))</f>
        <v>#REF!</v>
      </c>
      <c r="T1127" s="5"/>
      <c r="U1127" s="5" t="e">
        <f>IF(AND(#REF!&gt;=table!$C$10,#REF!&lt;= table!$D$10),-1,IF(AND(#REF!&gt;=table!$E$10,#REF!&lt;=table!$F$10),1,0))</f>
        <v>#REF!</v>
      </c>
      <c r="V1127" s="5" t="e">
        <f>IF(AND(#REF!&gt;=table!$C$11,#REF!&lt;= table!$D$11),-1,IF(AND(#REF!&gt;=table!$E$11,#REF!&lt;=table!$F$11),1,0))</f>
        <v>#REF!</v>
      </c>
      <c r="W1127" s="5" t="e">
        <f>CONCATENATE(dados[[#This Row],[fator1]],dados[[#This Row],[fator5]],dados[[#This Row],[fator6]])</f>
        <v>#REF!</v>
      </c>
    </row>
    <row r="1128" spans="1:23">
      <c r="A1128" t="s">
        <v>17</v>
      </c>
      <c r="B1128">
        <v>484133</v>
      </c>
      <c r="C1128">
        <v>6</v>
      </c>
      <c r="D1128">
        <v>30</v>
      </c>
      <c r="E1128">
        <v>110</v>
      </c>
      <c r="F1128">
        <v>10</v>
      </c>
      <c r="G1128">
        <v>21</v>
      </c>
      <c r="H1128">
        <v>25</v>
      </c>
      <c r="I1128">
        <v>18</v>
      </c>
      <c r="J1128">
        <v>0</v>
      </c>
      <c r="K1128">
        <v>3.895</v>
      </c>
      <c r="L1128">
        <v>9.5</v>
      </c>
      <c r="M1128">
        <v>102.715</v>
      </c>
      <c r="N1128">
        <v>15.665000000000001</v>
      </c>
      <c r="O1128">
        <v>1690</v>
      </c>
      <c r="P1128">
        <v>0</v>
      </c>
      <c r="Q1128" s="5" t="e">
        <f>IF(AND(#REF!&gt;=table!$C$6,#REF!&lt;= table!$D$6),-1,IF(AND(#REF!&gt;=table!$E$6,#REF!&lt;=table!$F$6),1,0))</f>
        <v>#REF!</v>
      </c>
      <c r="R1128" s="5" t="e">
        <f>IF(AND(#REF!&gt;=table!$C$7,#REF!&lt;= table!$D$7),-1,IF(AND(#REF!&gt;=table!$E$7,#REF!&lt;=table!$F$7),1,0))</f>
        <v>#REF!</v>
      </c>
      <c r="S1128" s="5" t="e">
        <f>IF(AND(#REF!&gt;=table!$C$8,#REF!&lt;= table!$D$8),-1,IF(AND(#REF!&gt;=table!$E$8,#REF!&lt;=table!$F$8),1,0))</f>
        <v>#REF!</v>
      </c>
      <c r="T1128" s="5"/>
      <c r="U1128" s="5" t="e">
        <f>IF(AND(#REF!&gt;=table!$C$10,#REF!&lt;= table!$D$10),-1,IF(AND(#REF!&gt;=table!$E$10,#REF!&lt;=table!$F$10),1,0))</f>
        <v>#REF!</v>
      </c>
      <c r="V1128" s="5" t="e">
        <f>IF(AND(#REF!&gt;=table!$C$11,#REF!&lt;= table!$D$11),-1,IF(AND(#REF!&gt;=table!$E$11,#REF!&lt;=table!$F$11),1,0))</f>
        <v>#REF!</v>
      </c>
      <c r="W1128" s="5" t="e">
        <f>CONCATENATE(dados[[#This Row],[fator1]],dados[[#This Row],[fator5]],dados[[#This Row],[fator6]])</f>
        <v>#REF!</v>
      </c>
    </row>
    <row r="1129" spans="1:23">
      <c r="A1129" t="s">
        <v>17</v>
      </c>
      <c r="B1129">
        <v>484134</v>
      </c>
      <c r="C1129">
        <v>46</v>
      </c>
      <c r="D1129">
        <v>18</v>
      </c>
      <c r="E1129">
        <v>66</v>
      </c>
      <c r="F1129">
        <v>10</v>
      </c>
      <c r="G1129">
        <v>20</v>
      </c>
      <c r="H1129">
        <v>23</v>
      </c>
      <c r="I1129">
        <v>1140</v>
      </c>
      <c r="J1129">
        <v>0</v>
      </c>
      <c r="K1129">
        <v>8.58</v>
      </c>
      <c r="L1129">
        <v>9.4850000000000012</v>
      </c>
      <c r="M1129">
        <v>50.45</v>
      </c>
      <c r="N1129">
        <v>12.05</v>
      </c>
      <c r="O1129">
        <v>1661</v>
      </c>
      <c r="P1129">
        <v>0</v>
      </c>
      <c r="Q1129" s="5" t="e">
        <f>IF(AND(#REF!&gt;=table!$C$6,#REF!&lt;= table!$D$6),-1,IF(AND(#REF!&gt;=table!$E$6,#REF!&lt;=table!$F$6),1,0))</f>
        <v>#REF!</v>
      </c>
      <c r="R1129" s="5" t="e">
        <f>IF(AND(#REF!&gt;=table!$C$7,#REF!&lt;= table!$D$7),-1,IF(AND(#REF!&gt;=table!$E$7,#REF!&lt;=table!$F$7),1,0))</f>
        <v>#REF!</v>
      </c>
      <c r="S1129" s="5" t="e">
        <f>IF(AND(#REF!&gt;=table!$C$8,#REF!&lt;= table!$D$8),-1,IF(AND(#REF!&gt;=table!$E$8,#REF!&lt;=table!$F$8),1,0))</f>
        <v>#REF!</v>
      </c>
      <c r="T1129" s="5"/>
      <c r="U1129" s="5" t="e">
        <f>IF(AND(#REF!&gt;=table!$C$10,#REF!&lt;= table!$D$10),-1,IF(AND(#REF!&gt;=table!$E$10,#REF!&lt;=table!$F$10),1,0))</f>
        <v>#REF!</v>
      </c>
      <c r="V1129" s="5" t="e">
        <f>IF(AND(#REF!&gt;=table!$C$11,#REF!&lt;= table!$D$11),-1,IF(AND(#REF!&gt;=table!$E$11,#REF!&lt;=table!$F$11),1,0))</f>
        <v>#REF!</v>
      </c>
      <c r="W1129" s="5" t="e">
        <f>CONCATENATE(dados[[#This Row],[fator1]],dados[[#This Row],[fator5]],dados[[#This Row],[fator6]])</f>
        <v>#REF!</v>
      </c>
    </row>
    <row r="1130" spans="1:23">
      <c r="A1130" t="s">
        <v>17</v>
      </c>
      <c r="B1130">
        <v>484136</v>
      </c>
      <c r="C1130">
        <v>6</v>
      </c>
      <c r="D1130">
        <v>30</v>
      </c>
      <c r="E1130">
        <v>110</v>
      </c>
      <c r="F1130">
        <v>10</v>
      </c>
      <c r="G1130">
        <v>21</v>
      </c>
      <c r="H1130">
        <v>25</v>
      </c>
      <c r="I1130">
        <v>164</v>
      </c>
      <c r="J1130">
        <v>0</v>
      </c>
      <c r="K1130">
        <v>3.5650000000000004</v>
      </c>
      <c r="L1130">
        <v>6.65</v>
      </c>
      <c r="M1130">
        <v>92.33</v>
      </c>
      <c r="N1130">
        <v>14.365</v>
      </c>
      <c r="O1130">
        <v>1653</v>
      </c>
      <c r="P1130">
        <v>982</v>
      </c>
      <c r="Q1130" s="5" t="e">
        <f>IF(AND(#REF!&gt;=table!$C$6,#REF!&lt;= table!$D$6),-1,IF(AND(#REF!&gt;=table!$E$6,#REF!&lt;=table!$F$6),1,0))</f>
        <v>#REF!</v>
      </c>
      <c r="R1130" s="5" t="e">
        <f>IF(AND(#REF!&gt;=table!$C$7,#REF!&lt;= table!$D$7),-1,IF(AND(#REF!&gt;=table!$E$7,#REF!&lt;=table!$F$7),1,0))</f>
        <v>#REF!</v>
      </c>
      <c r="S1130" s="5" t="e">
        <f>IF(AND(#REF!&gt;=table!$C$8,#REF!&lt;= table!$D$8),-1,IF(AND(#REF!&gt;=table!$E$8,#REF!&lt;=table!$F$8),1,0))</f>
        <v>#REF!</v>
      </c>
      <c r="T1130" s="5"/>
      <c r="U1130" s="5" t="e">
        <f>IF(AND(#REF!&gt;=table!$C$10,#REF!&lt;= table!$D$10),-1,IF(AND(#REF!&gt;=table!$E$10,#REF!&lt;=table!$F$10),1,0))</f>
        <v>#REF!</v>
      </c>
      <c r="V1130" s="5" t="e">
        <f>IF(AND(#REF!&gt;=table!$C$11,#REF!&lt;= table!$D$11),-1,IF(AND(#REF!&gt;=table!$E$11,#REF!&lt;=table!$F$11),1,0))</f>
        <v>#REF!</v>
      </c>
      <c r="W1130" s="5" t="e">
        <f>CONCATENATE(dados[[#This Row],[fator1]],dados[[#This Row],[fator5]],dados[[#This Row],[fator6]])</f>
        <v>#REF!</v>
      </c>
    </row>
    <row r="1131" spans="1:23">
      <c r="A1131" t="s">
        <v>17</v>
      </c>
      <c r="B1131">
        <v>484137</v>
      </c>
      <c r="C1131">
        <v>10</v>
      </c>
      <c r="D1131">
        <v>25</v>
      </c>
      <c r="E1131">
        <v>156</v>
      </c>
      <c r="F1131">
        <v>8</v>
      </c>
      <c r="G1131">
        <v>20</v>
      </c>
      <c r="H1131">
        <v>25</v>
      </c>
      <c r="I1131">
        <v>171</v>
      </c>
      <c r="J1131">
        <v>0</v>
      </c>
      <c r="K1131">
        <v>5.3950000000000005</v>
      </c>
      <c r="L1131">
        <v>8</v>
      </c>
      <c r="M1131">
        <v>135.44</v>
      </c>
      <c r="N1131">
        <v>12.365</v>
      </c>
      <c r="O1131">
        <v>1650</v>
      </c>
      <c r="P1131">
        <v>625</v>
      </c>
      <c r="Q1131" s="5" t="e">
        <f>IF(AND(#REF!&gt;=table!$C$6,#REF!&lt;= table!$D$6),-1,IF(AND(#REF!&gt;=table!$E$6,#REF!&lt;=table!$F$6),1,0))</f>
        <v>#REF!</v>
      </c>
      <c r="R1131" s="5" t="e">
        <f>IF(AND(#REF!&gt;=table!$C$7,#REF!&lt;= table!$D$7),-1,IF(AND(#REF!&gt;=table!$E$7,#REF!&lt;=table!$F$7),1,0))</f>
        <v>#REF!</v>
      </c>
      <c r="S1131" s="5" t="e">
        <f>IF(AND(#REF!&gt;=table!$C$8,#REF!&lt;= table!$D$8),-1,IF(AND(#REF!&gt;=table!$E$8,#REF!&lt;=table!$F$8),1,0))</f>
        <v>#REF!</v>
      </c>
      <c r="T1131" s="5"/>
      <c r="U1131" s="5" t="e">
        <f>IF(AND(#REF!&gt;=table!$C$10,#REF!&lt;= table!$D$10),-1,IF(AND(#REF!&gt;=table!$E$10,#REF!&lt;=table!$F$10),1,0))</f>
        <v>#REF!</v>
      </c>
      <c r="V1131" s="5" t="e">
        <f>IF(AND(#REF!&gt;=table!$C$11,#REF!&lt;= table!$D$11),-1,IF(AND(#REF!&gt;=table!$E$11,#REF!&lt;=table!$F$11),1,0))</f>
        <v>#REF!</v>
      </c>
      <c r="W1131" s="5" t="e">
        <f>CONCATENATE(dados[[#This Row],[fator1]],dados[[#This Row],[fator5]],dados[[#This Row],[fator6]])</f>
        <v>#REF!</v>
      </c>
    </row>
    <row r="1132" spans="1:23">
      <c r="A1132" t="s">
        <v>17</v>
      </c>
      <c r="B1132">
        <v>484142</v>
      </c>
      <c r="C1132">
        <v>16</v>
      </c>
      <c r="D1132">
        <v>30</v>
      </c>
      <c r="E1132">
        <v>106</v>
      </c>
      <c r="F1132">
        <v>9</v>
      </c>
      <c r="G1132">
        <v>20</v>
      </c>
      <c r="H1132">
        <v>25</v>
      </c>
      <c r="I1132">
        <v>510</v>
      </c>
      <c r="J1132">
        <v>0</v>
      </c>
      <c r="K1132">
        <v>5.33</v>
      </c>
      <c r="L1132">
        <v>7.8150000000000004</v>
      </c>
      <c r="M1132">
        <v>83.16</v>
      </c>
      <c r="N1132">
        <v>9.495000000000001</v>
      </c>
      <c r="O1132">
        <v>1642</v>
      </c>
      <c r="P1132">
        <v>661</v>
      </c>
      <c r="Q1132" s="5" t="e">
        <f>IF(AND(#REF!&gt;=table!$C$6,#REF!&lt;= table!$D$6),-1,IF(AND(#REF!&gt;=table!$E$6,#REF!&lt;=table!$F$6),1,0))</f>
        <v>#REF!</v>
      </c>
      <c r="R1132" s="5" t="e">
        <f>IF(AND(#REF!&gt;=table!$C$7,#REF!&lt;= table!$D$7),-1,IF(AND(#REF!&gt;=table!$E$7,#REF!&lt;=table!$F$7),1,0))</f>
        <v>#REF!</v>
      </c>
      <c r="S1132" s="5" t="e">
        <f>IF(AND(#REF!&gt;=table!$C$8,#REF!&lt;= table!$D$8),-1,IF(AND(#REF!&gt;=table!$E$8,#REF!&lt;=table!$F$8),1,0))</f>
        <v>#REF!</v>
      </c>
      <c r="T1132" s="5"/>
      <c r="U1132" s="5" t="e">
        <f>IF(AND(#REF!&gt;=table!$C$10,#REF!&lt;= table!$D$10),-1,IF(AND(#REF!&gt;=table!$E$10,#REF!&lt;=table!$F$10),1,0))</f>
        <v>#REF!</v>
      </c>
      <c r="V1132" s="5" t="e">
        <f>IF(AND(#REF!&gt;=table!$C$11,#REF!&lt;= table!$D$11),-1,IF(AND(#REF!&gt;=table!$E$11,#REF!&lt;=table!$F$11),1,0))</f>
        <v>#REF!</v>
      </c>
      <c r="W1132" s="5" t="e">
        <f>CONCATENATE(dados[[#This Row],[fator1]],dados[[#This Row],[fator5]],dados[[#This Row],[fator6]])</f>
        <v>#REF!</v>
      </c>
    </row>
    <row r="1133" spans="1:23">
      <c r="A1133" t="s">
        <v>16</v>
      </c>
      <c r="B1133">
        <v>484144</v>
      </c>
      <c r="C1133">
        <v>16</v>
      </c>
      <c r="D1133">
        <v>35</v>
      </c>
      <c r="E1133">
        <v>56</v>
      </c>
      <c r="F1133">
        <v>10</v>
      </c>
      <c r="G1133">
        <v>0</v>
      </c>
      <c r="H1133">
        <v>25</v>
      </c>
      <c r="I1133">
        <v>600</v>
      </c>
      <c r="J1133">
        <v>0</v>
      </c>
      <c r="K1133">
        <v>5.91</v>
      </c>
      <c r="L1133">
        <v>14.835000000000001</v>
      </c>
      <c r="M1133">
        <v>51.6</v>
      </c>
      <c r="N1133">
        <v>13.8</v>
      </c>
      <c r="O1133">
        <v>1640</v>
      </c>
      <c r="P1133">
        <v>404</v>
      </c>
      <c r="Q1133" s="5" t="e">
        <f>IF(AND(#REF!&gt;=table!$C$6,#REF!&lt;= table!$D$6),-1,IF(AND(#REF!&gt;=table!$E$6,#REF!&lt;=table!$F$6),1,0))</f>
        <v>#REF!</v>
      </c>
      <c r="R1133" s="5" t="e">
        <f>IF(AND(#REF!&gt;=table!$C$7,#REF!&lt;= table!$D$7),-1,IF(AND(#REF!&gt;=table!$E$7,#REF!&lt;=table!$F$7),1,0))</f>
        <v>#REF!</v>
      </c>
      <c r="S1133" s="5" t="e">
        <f>IF(AND(#REF!&gt;=table!$C$8,#REF!&lt;= table!$D$8),-1,IF(AND(#REF!&gt;=table!$E$8,#REF!&lt;=table!$F$8),1,0))</f>
        <v>#REF!</v>
      </c>
      <c r="T1133" s="5"/>
      <c r="U1133" s="5" t="e">
        <f>IF(AND(#REF!&gt;=table!$C$10,#REF!&lt;= table!$D$10),-1,IF(AND(#REF!&gt;=table!$E$10,#REF!&lt;=table!$F$10),1,0))</f>
        <v>#REF!</v>
      </c>
      <c r="V1133" s="5" t="e">
        <f>IF(AND(#REF!&gt;=table!$C$11,#REF!&lt;= table!$D$11),-1,IF(AND(#REF!&gt;=table!$E$11,#REF!&lt;=table!$F$11),1,0))</f>
        <v>#REF!</v>
      </c>
      <c r="W1133" s="5" t="e">
        <f>CONCATENATE(dados[[#This Row],[fator1]],dados[[#This Row],[fator5]],dados[[#This Row],[fator6]])</f>
        <v>#REF!</v>
      </c>
    </row>
    <row r="1134" spans="1:23">
      <c r="A1134" t="s">
        <v>16</v>
      </c>
      <c r="B1134">
        <v>484146</v>
      </c>
      <c r="C1134">
        <v>0.15</v>
      </c>
      <c r="D1134">
        <v>35</v>
      </c>
      <c r="E1134">
        <v>15</v>
      </c>
      <c r="F1134">
        <v>10</v>
      </c>
      <c r="G1134">
        <v>0</v>
      </c>
      <c r="H1134">
        <v>12</v>
      </c>
      <c r="I1134">
        <v>89</v>
      </c>
      <c r="J1134">
        <v>0</v>
      </c>
      <c r="K1134">
        <v>3.0500000000000003</v>
      </c>
      <c r="L1134">
        <v>11.200000000000001</v>
      </c>
      <c r="M1134">
        <v>9.5</v>
      </c>
      <c r="N1134">
        <v>16.350000000000001</v>
      </c>
      <c r="O1134">
        <v>1681</v>
      </c>
      <c r="P1134">
        <v>999</v>
      </c>
      <c r="Q1134" s="5" t="e">
        <f>IF(AND(#REF!&gt;=table!$C$6,#REF!&lt;= table!$D$6),-1,IF(AND(#REF!&gt;=table!$E$6,#REF!&lt;=table!$F$6),1,0))</f>
        <v>#REF!</v>
      </c>
      <c r="R1134" s="5" t="e">
        <f>IF(AND(#REF!&gt;=table!$C$7,#REF!&lt;= table!$D$7),-1,IF(AND(#REF!&gt;=table!$E$7,#REF!&lt;=table!$F$7),1,0))</f>
        <v>#REF!</v>
      </c>
      <c r="S1134" s="5" t="e">
        <f>IF(AND(#REF!&gt;=table!$C$8,#REF!&lt;= table!$D$8),-1,IF(AND(#REF!&gt;=table!$E$8,#REF!&lt;=table!$F$8),1,0))</f>
        <v>#REF!</v>
      </c>
      <c r="T1134" s="5"/>
      <c r="U1134" s="5" t="e">
        <f>IF(AND(#REF!&gt;=table!$C$10,#REF!&lt;= table!$D$10),-1,IF(AND(#REF!&gt;=table!$E$10,#REF!&lt;=table!$F$10),1,0))</f>
        <v>#REF!</v>
      </c>
      <c r="V1134" s="5" t="e">
        <f>IF(AND(#REF!&gt;=table!$C$11,#REF!&lt;= table!$D$11),-1,IF(AND(#REF!&gt;=table!$E$11,#REF!&lt;=table!$F$11),1,0))</f>
        <v>#REF!</v>
      </c>
      <c r="W1134" s="5" t="e">
        <f>CONCATENATE(dados[[#This Row],[fator1]],dados[[#This Row],[fator5]],dados[[#This Row],[fator6]])</f>
        <v>#REF!</v>
      </c>
    </row>
    <row r="1135" spans="1:23">
      <c r="A1135" t="s">
        <v>16</v>
      </c>
      <c r="B1135">
        <v>484147</v>
      </c>
      <c r="C1135">
        <v>0.15</v>
      </c>
      <c r="D1135">
        <v>35</v>
      </c>
      <c r="E1135">
        <v>15</v>
      </c>
      <c r="F1135">
        <v>10</v>
      </c>
      <c r="G1135">
        <v>0</v>
      </c>
      <c r="H1135">
        <v>12</v>
      </c>
      <c r="I1135">
        <v>459</v>
      </c>
      <c r="J1135">
        <v>0</v>
      </c>
      <c r="K1135">
        <v>3.1150000000000002</v>
      </c>
      <c r="L1135">
        <v>10.31</v>
      </c>
      <c r="M1135">
        <v>8.5500000000000007</v>
      </c>
      <c r="N1135">
        <v>14.3</v>
      </c>
      <c r="O1135">
        <v>1671</v>
      </c>
      <c r="P1135">
        <v>778</v>
      </c>
      <c r="Q1135" s="5" t="e">
        <f>IF(AND(#REF!&gt;=table!$C$6,#REF!&lt;= table!$D$6),-1,IF(AND(#REF!&gt;=table!$E$6,#REF!&lt;=table!$F$6),1,0))</f>
        <v>#REF!</v>
      </c>
      <c r="R1135" s="5" t="e">
        <f>IF(AND(#REF!&gt;=table!$C$7,#REF!&lt;= table!$D$7),-1,IF(AND(#REF!&gt;=table!$E$7,#REF!&lt;=table!$F$7),1,0))</f>
        <v>#REF!</v>
      </c>
      <c r="S1135" s="5" t="e">
        <f>IF(AND(#REF!&gt;=table!$C$8,#REF!&lt;= table!$D$8),-1,IF(AND(#REF!&gt;=table!$E$8,#REF!&lt;=table!$F$8),1,0))</f>
        <v>#REF!</v>
      </c>
      <c r="T1135" s="5"/>
      <c r="U1135" s="5" t="e">
        <f>IF(AND(#REF!&gt;=table!$C$10,#REF!&lt;= table!$D$10),-1,IF(AND(#REF!&gt;=table!$E$10,#REF!&lt;=table!$F$10),1,0))</f>
        <v>#REF!</v>
      </c>
      <c r="V1135" s="5" t="e">
        <f>IF(AND(#REF!&gt;=table!$C$11,#REF!&lt;= table!$D$11),-1,IF(AND(#REF!&gt;=table!$E$11,#REF!&lt;=table!$F$11),1,0))</f>
        <v>#REF!</v>
      </c>
      <c r="W1135" s="5" t="e">
        <f>CONCATENATE(dados[[#This Row],[fator1]],dados[[#This Row],[fator5]],dados[[#This Row],[fator6]])</f>
        <v>#REF!</v>
      </c>
    </row>
    <row r="1136" spans="1:23">
      <c r="A1136" t="s">
        <v>16</v>
      </c>
      <c r="B1136">
        <v>484149</v>
      </c>
      <c r="C1136">
        <v>0.15</v>
      </c>
      <c r="D1136">
        <v>35</v>
      </c>
      <c r="E1136">
        <v>15</v>
      </c>
      <c r="F1136">
        <v>10</v>
      </c>
      <c r="G1136">
        <v>0</v>
      </c>
      <c r="H1136">
        <v>12</v>
      </c>
      <c r="I1136">
        <v>914</v>
      </c>
      <c r="J1136">
        <v>0</v>
      </c>
      <c r="K1136">
        <v>6.5133000000000001</v>
      </c>
      <c r="L1136">
        <v>12.115</v>
      </c>
      <c r="M1136">
        <v>11.15</v>
      </c>
      <c r="N1136">
        <v>12.75</v>
      </c>
      <c r="O1136">
        <v>1658</v>
      </c>
      <c r="P1136">
        <v>570</v>
      </c>
      <c r="Q1136" s="5" t="e">
        <f>IF(AND(#REF!&gt;=table!$C$6,#REF!&lt;= table!$D$6),-1,IF(AND(#REF!&gt;=table!$E$6,#REF!&lt;=table!$F$6),1,0))</f>
        <v>#REF!</v>
      </c>
      <c r="R1136" s="5" t="e">
        <f>IF(AND(#REF!&gt;=table!$C$7,#REF!&lt;= table!$D$7),-1,IF(AND(#REF!&gt;=table!$E$7,#REF!&lt;=table!$F$7),1,0))</f>
        <v>#REF!</v>
      </c>
      <c r="S1136" s="5" t="e">
        <f>IF(AND(#REF!&gt;=table!$C$8,#REF!&lt;= table!$D$8),-1,IF(AND(#REF!&gt;=table!$E$8,#REF!&lt;=table!$F$8),1,0))</f>
        <v>#REF!</v>
      </c>
      <c r="T1136" s="5"/>
      <c r="U1136" s="5" t="e">
        <f>IF(AND(#REF!&gt;=table!$C$10,#REF!&lt;= table!$D$10),-1,IF(AND(#REF!&gt;=table!$E$10,#REF!&lt;=table!$F$10),1,0))</f>
        <v>#REF!</v>
      </c>
      <c r="V1136" s="5" t="e">
        <f>IF(AND(#REF!&gt;=table!$C$11,#REF!&lt;= table!$D$11),-1,IF(AND(#REF!&gt;=table!$E$11,#REF!&lt;=table!$F$11),1,0))</f>
        <v>#REF!</v>
      </c>
      <c r="W1136" s="5" t="e">
        <f>CONCATENATE(dados[[#This Row],[fator1]],dados[[#This Row],[fator5]],dados[[#This Row],[fator6]])</f>
        <v>#REF!</v>
      </c>
    </row>
    <row r="1137" spans="1:23">
      <c r="A1137" t="s">
        <v>16</v>
      </c>
      <c r="B1137">
        <v>484155</v>
      </c>
      <c r="C1137">
        <v>16</v>
      </c>
      <c r="D1137">
        <v>30</v>
      </c>
      <c r="E1137">
        <v>36</v>
      </c>
      <c r="F1137">
        <v>3</v>
      </c>
      <c r="G1137">
        <v>0</v>
      </c>
      <c r="H1137">
        <v>25</v>
      </c>
      <c r="I1137">
        <v>546</v>
      </c>
      <c r="J1137">
        <v>0</v>
      </c>
      <c r="K1137">
        <v>13.61</v>
      </c>
      <c r="L1137">
        <v>16</v>
      </c>
      <c r="M1137">
        <v>32.340000000000003</v>
      </c>
      <c r="N1137">
        <v>16.595000000000002</v>
      </c>
      <c r="O1137">
        <v>1581</v>
      </c>
      <c r="P1137">
        <v>410</v>
      </c>
      <c r="Q1137" s="5" t="e">
        <f>IF(AND(#REF!&gt;=table!$C$6,#REF!&lt;= table!$D$6),-1,IF(AND(#REF!&gt;=table!$E$6,#REF!&lt;=table!$F$6),1,0))</f>
        <v>#REF!</v>
      </c>
      <c r="R1137" s="5" t="e">
        <f>IF(AND(#REF!&gt;=table!$C$7,#REF!&lt;= table!$D$7),-1,IF(AND(#REF!&gt;=table!$E$7,#REF!&lt;=table!$F$7),1,0))</f>
        <v>#REF!</v>
      </c>
      <c r="S1137" s="5" t="e">
        <f>IF(AND(#REF!&gt;=table!$C$8,#REF!&lt;= table!$D$8),-1,IF(AND(#REF!&gt;=table!$E$8,#REF!&lt;=table!$F$8),1,0))</f>
        <v>#REF!</v>
      </c>
      <c r="T1137" s="5"/>
      <c r="U1137" s="5" t="e">
        <f>IF(AND(#REF!&gt;=table!$C$10,#REF!&lt;= table!$D$10),-1,IF(AND(#REF!&gt;=table!$E$10,#REF!&lt;=table!$F$10),1,0))</f>
        <v>#REF!</v>
      </c>
      <c r="V1137" s="5" t="e">
        <f>IF(AND(#REF!&gt;=table!$C$11,#REF!&lt;= table!$D$11),-1,IF(AND(#REF!&gt;=table!$E$11,#REF!&lt;=table!$F$11),1,0))</f>
        <v>#REF!</v>
      </c>
      <c r="W1137" s="5" t="e">
        <f>CONCATENATE(dados[[#This Row],[fator1]],dados[[#This Row],[fator5]],dados[[#This Row],[fator6]])</f>
        <v>#REF!</v>
      </c>
    </row>
    <row r="1138" spans="1:23">
      <c r="A1138" t="s">
        <v>17</v>
      </c>
      <c r="B1138">
        <v>484157</v>
      </c>
      <c r="C1138">
        <v>20</v>
      </c>
      <c r="D1138">
        <v>18</v>
      </c>
      <c r="E1138">
        <v>36</v>
      </c>
      <c r="F1138">
        <v>10</v>
      </c>
      <c r="G1138">
        <v>20</v>
      </c>
      <c r="H1138">
        <v>25</v>
      </c>
      <c r="I1138">
        <v>1393</v>
      </c>
      <c r="J1138">
        <v>0</v>
      </c>
      <c r="K1138">
        <v>9.1449999999999996</v>
      </c>
      <c r="L1138">
        <v>11.8</v>
      </c>
      <c r="M1138">
        <v>31.8</v>
      </c>
      <c r="N1138">
        <v>11.5</v>
      </c>
      <c r="O1138">
        <v>1668</v>
      </c>
      <c r="P1138">
        <v>0</v>
      </c>
      <c r="Q1138" s="5" t="e">
        <f>IF(AND(#REF!&gt;=table!$C$6,#REF!&lt;= table!$D$6),-1,IF(AND(#REF!&gt;=table!$E$6,#REF!&lt;=table!$F$6),1,0))</f>
        <v>#REF!</v>
      </c>
      <c r="R1138" s="5" t="e">
        <f>IF(AND(#REF!&gt;=table!$C$7,#REF!&lt;= table!$D$7),-1,IF(AND(#REF!&gt;=table!$E$7,#REF!&lt;=table!$F$7),1,0))</f>
        <v>#REF!</v>
      </c>
      <c r="S1138" s="5" t="e">
        <f>IF(AND(#REF!&gt;=table!$C$8,#REF!&lt;= table!$D$8),-1,IF(AND(#REF!&gt;=table!$E$8,#REF!&lt;=table!$F$8),1,0))</f>
        <v>#REF!</v>
      </c>
      <c r="T1138" s="5"/>
      <c r="U1138" s="5" t="e">
        <f>IF(AND(#REF!&gt;=table!$C$10,#REF!&lt;= table!$D$10),-1,IF(AND(#REF!&gt;=table!$E$10,#REF!&lt;=table!$F$10),1,0))</f>
        <v>#REF!</v>
      </c>
      <c r="V1138" s="5" t="e">
        <f>IF(AND(#REF!&gt;=table!$C$11,#REF!&lt;= table!$D$11),-1,IF(AND(#REF!&gt;=table!$E$11,#REF!&lt;=table!$F$11),1,0))</f>
        <v>#REF!</v>
      </c>
      <c r="W1138" s="5" t="e">
        <f>CONCATENATE(dados[[#This Row],[fator1]],dados[[#This Row],[fator5]],dados[[#This Row],[fator6]])</f>
        <v>#REF!</v>
      </c>
    </row>
    <row r="1139" spans="1:23">
      <c r="A1139" t="s">
        <v>17</v>
      </c>
      <c r="B1139">
        <v>484158</v>
      </c>
      <c r="C1139">
        <v>20</v>
      </c>
      <c r="D1139">
        <v>18</v>
      </c>
      <c r="E1139">
        <v>36</v>
      </c>
      <c r="F1139">
        <v>6</v>
      </c>
      <c r="G1139">
        <v>20</v>
      </c>
      <c r="H1139">
        <v>25</v>
      </c>
      <c r="I1139">
        <v>367</v>
      </c>
      <c r="J1139">
        <v>0</v>
      </c>
      <c r="K1139">
        <v>4.9400000000000004</v>
      </c>
      <c r="L1139">
        <v>17.100000000000001</v>
      </c>
      <c r="M1139">
        <v>42.35</v>
      </c>
      <c r="N1139">
        <v>20.45</v>
      </c>
      <c r="O1139">
        <v>1674</v>
      </c>
      <c r="P1139">
        <v>692</v>
      </c>
      <c r="Q1139" s="5" t="e">
        <f>IF(AND(#REF!&gt;=table!$C$6,#REF!&lt;= table!$D$6),-1,IF(AND(#REF!&gt;=table!$E$6,#REF!&lt;=table!$F$6),1,0))</f>
        <v>#REF!</v>
      </c>
      <c r="R1139" s="5" t="e">
        <f>IF(AND(#REF!&gt;=table!$C$7,#REF!&lt;= table!$D$7),-1,IF(AND(#REF!&gt;=table!$E$7,#REF!&lt;=table!$F$7),1,0))</f>
        <v>#REF!</v>
      </c>
      <c r="S1139" s="5" t="e">
        <f>IF(AND(#REF!&gt;=table!$C$8,#REF!&lt;= table!$D$8),-1,IF(AND(#REF!&gt;=table!$E$8,#REF!&lt;=table!$F$8),1,0))</f>
        <v>#REF!</v>
      </c>
      <c r="T1139" s="5"/>
      <c r="U1139" s="5" t="e">
        <f>IF(AND(#REF!&gt;=table!$C$10,#REF!&lt;= table!$D$10),-1,IF(AND(#REF!&gt;=table!$E$10,#REF!&lt;=table!$F$10),1,0))</f>
        <v>#REF!</v>
      </c>
      <c r="V1139" s="5" t="e">
        <f>IF(AND(#REF!&gt;=table!$C$11,#REF!&lt;= table!$D$11),-1,IF(AND(#REF!&gt;=table!$E$11,#REF!&lt;=table!$F$11),1,0))</f>
        <v>#REF!</v>
      </c>
      <c r="W1139" s="5" t="e">
        <f>CONCATENATE(dados[[#This Row],[fator1]],dados[[#This Row],[fator5]],dados[[#This Row],[fator6]])</f>
        <v>#REF!</v>
      </c>
    </row>
    <row r="1140" spans="1:23">
      <c r="A1140" t="s">
        <v>17</v>
      </c>
      <c r="B1140">
        <v>484159</v>
      </c>
      <c r="C1140">
        <v>20</v>
      </c>
      <c r="D1140">
        <v>33</v>
      </c>
      <c r="E1140">
        <v>40</v>
      </c>
      <c r="F1140">
        <v>5</v>
      </c>
      <c r="G1140">
        <v>20</v>
      </c>
      <c r="H1140">
        <v>25</v>
      </c>
      <c r="I1140">
        <v>652</v>
      </c>
      <c r="J1140">
        <v>0</v>
      </c>
      <c r="K1140">
        <v>21.41</v>
      </c>
      <c r="L1140">
        <v>17.2</v>
      </c>
      <c r="M1140">
        <v>44.15</v>
      </c>
      <c r="N1140">
        <v>14.950000000000001</v>
      </c>
      <c r="O1140">
        <v>1639</v>
      </c>
      <c r="P1140">
        <v>165</v>
      </c>
      <c r="Q1140" s="5" t="e">
        <f>IF(AND(#REF!&gt;=table!$C$6,#REF!&lt;= table!$D$6),-1,IF(AND(#REF!&gt;=table!$E$6,#REF!&lt;=table!$F$6),1,0))</f>
        <v>#REF!</v>
      </c>
      <c r="R1140" s="5" t="e">
        <f>IF(AND(#REF!&gt;=table!$C$7,#REF!&lt;= table!$D$7),-1,IF(AND(#REF!&gt;=table!$E$7,#REF!&lt;=table!$F$7),1,0))</f>
        <v>#REF!</v>
      </c>
      <c r="S1140" s="5" t="e">
        <f>IF(AND(#REF!&gt;=table!$C$8,#REF!&lt;= table!$D$8),-1,IF(AND(#REF!&gt;=table!$E$8,#REF!&lt;=table!$F$8),1,0))</f>
        <v>#REF!</v>
      </c>
      <c r="T1140" s="5"/>
      <c r="U1140" s="5" t="e">
        <f>IF(AND(#REF!&gt;=table!$C$10,#REF!&lt;= table!$D$10),-1,IF(AND(#REF!&gt;=table!$E$10,#REF!&lt;=table!$F$10),1,0))</f>
        <v>#REF!</v>
      </c>
      <c r="V1140" s="5" t="e">
        <f>IF(AND(#REF!&gt;=table!$C$11,#REF!&lt;= table!$D$11),-1,IF(AND(#REF!&gt;=table!$E$11,#REF!&lt;=table!$F$11),1,0))</f>
        <v>#REF!</v>
      </c>
      <c r="W1140" s="5" t="e">
        <f>CONCATENATE(dados[[#This Row],[fator1]],dados[[#This Row],[fator5]],dados[[#This Row],[fator6]])</f>
        <v>#REF!</v>
      </c>
    </row>
    <row r="1141" spans="1:23">
      <c r="A1141" t="s">
        <v>17</v>
      </c>
      <c r="B1141">
        <v>484160</v>
      </c>
      <c r="C1141">
        <v>20</v>
      </c>
      <c r="D1141">
        <v>33</v>
      </c>
      <c r="E1141">
        <v>40</v>
      </c>
      <c r="F1141">
        <v>5</v>
      </c>
      <c r="G1141">
        <v>20</v>
      </c>
      <c r="H1141">
        <v>25</v>
      </c>
      <c r="I1141">
        <v>26</v>
      </c>
      <c r="J1141">
        <v>0</v>
      </c>
      <c r="K1141">
        <v>8.7249999999999996</v>
      </c>
      <c r="L1141">
        <v>10.315000000000001</v>
      </c>
      <c r="M1141">
        <v>33.51</v>
      </c>
      <c r="N1141">
        <v>11.71</v>
      </c>
      <c r="O1141">
        <v>1618</v>
      </c>
      <c r="P1141">
        <v>199</v>
      </c>
      <c r="Q1141" s="5" t="e">
        <f>IF(AND(#REF!&gt;=table!$C$6,#REF!&lt;= table!$D$6),-1,IF(AND(#REF!&gt;=table!$E$6,#REF!&lt;=table!$F$6),1,0))</f>
        <v>#REF!</v>
      </c>
      <c r="R1141" s="5" t="e">
        <f>IF(AND(#REF!&gt;=table!$C$7,#REF!&lt;= table!$D$7),-1,IF(AND(#REF!&gt;=table!$E$7,#REF!&lt;=table!$F$7),1,0))</f>
        <v>#REF!</v>
      </c>
      <c r="S1141" s="5" t="e">
        <f>IF(AND(#REF!&gt;=table!$C$8,#REF!&lt;= table!$D$8),-1,IF(AND(#REF!&gt;=table!$E$8,#REF!&lt;=table!$F$8),1,0))</f>
        <v>#REF!</v>
      </c>
      <c r="T1141" s="5"/>
      <c r="U1141" s="5" t="e">
        <f>IF(AND(#REF!&gt;=table!$C$10,#REF!&lt;= table!$D$10),-1,IF(AND(#REF!&gt;=table!$E$10,#REF!&lt;=table!$F$10),1,0))</f>
        <v>#REF!</v>
      </c>
      <c r="V1141" s="5" t="e">
        <f>IF(AND(#REF!&gt;=table!$C$11,#REF!&lt;= table!$D$11),-1,IF(AND(#REF!&gt;=table!$E$11,#REF!&lt;=table!$F$11),1,0))</f>
        <v>#REF!</v>
      </c>
      <c r="W1141" s="5" t="e">
        <f>CONCATENATE(dados[[#This Row],[fator1]],dados[[#This Row],[fator5]],dados[[#This Row],[fator6]])</f>
        <v>#REF!</v>
      </c>
    </row>
    <row r="1142" spans="1:23">
      <c r="A1142" t="s">
        <v>17</v>
      </c>
      <c r="B1142">
        <v>484163</v>
      </c>
      <c r="C1142">
        <v>20</v>
      </c>
      <c r="D1142">
        <v>33</v>
      </c>
      <c r="E1142">
        <v>66</v>
      </c>
      <c r="F1142">
        <v>4</v>
      </c>
      <c r="G1142">
        <v>20</v>
      </c>
      <c r="H1142">
        <v>25</v>
      </c>
      <c r="I1142">
        <v>472</v>
      </c>
      <c r="J1142">
        <v>0</v>
      </c>
      <c r="K1142">
        <v>5.79</v>
      </c>
      <c r="L1142">
        <v>10.1</v>
      </c>
      <c r="M1142">
        <v>61.800000000000004</v>
      </c>
      <c r="N1142">
        <v>12.05</v>
      </c>
      <c r="O1142">
        <v>1667</v>
      </c>
      <c r="P1142">
        <v>567</v>
      </c>
      <c r="Q1142" s="5" t="e">
        <f>IF(AND(#REF!&gt;=table!$C$6,#REF!&lt;= table!$D$6),-1,IF(AND(#REF!&gt;=table!$E$6,#REF!&lt;=table!$F$6),1,0))</f>
        <v>#REF!</v>
      </c>
      <c r="R1142" s="5" t="e">
        <f>IF(AND(#REF!&gt;=table!$C$7,#REF!&lt;= table!$D$7),-1,IF(AND(#REF!&gt;=table!$E$7,#REF!&lt;=table!$F$7),1,0))</f>
        <v>#REF!</v>
      </c>
      <c r="S1142" s="5" t="e">
        <f>IF(AND(#REF!&gt;=table!$C$8,#REF!&lt;= table!$D$8),-1,IF(AND(#REF!&gt;=table!$E$8,#REF!&lt;=table!$F$8),1,0))</f>
        <v>#REF!</v>
      </c>
      <c r="T1142" s="5"/>
      <c r="U1142" s="5" t="e">
        <f>IF(AND(#REF!&gt;=table!$C$10,#REF!&lt;= table!$D$10),-1,IF(AND(#REF!&gt;=table!$E$10,#REF!&lt;=table!$F$10),1,0))</f>
        <v>#REF!</v>
      </c>
      <c r="V1142" s="5" t="e">
        <f>IF(AND(#REF!&gt;=table!$C$11,#REF!&lt;= table!$D$11),-1,IF(AND(#REF!&gt;=table!$E$11,#REF!&lt;=table!$F$11),1,0))</f>
        <v>#REF!</v>
      </c>
      <c r="W1142" s="5" t="e">
        <f>CONCATENATE(dados[[#This Row],[fator1]],dados[[#This Row],[fator5]],dados[[#This Row],[fator6]])</f>
        <v>#REF!</v>
      </c>
    </row>
    <row r="1143" spans="1:23">
      <c r="A1143" t="s">
        <v>17</v>
      </c>
      <c r="B1143">
        <v>484164</v>
      </c>
      <c r="C1143">
        <v>20</v>
      </c>
      <c r="D1143">
        <v>33</v>
      </c>
      <c r="E1143">
        <v>66</v>
      </c>
      <c r="F1143">
        <v>4</v>
      </c>
      <c r="G1143">
        <v>20</v>
      </c>
      <c r="H1143">
        <v>25</v>
      </c>
      <c r="I1143">
        <v>1220</v>
      </c>
      <c r="J1143">
        <v>0</v>
      </c>
      <c r="K1143">
        <v>10.41</v>
      </c>
      <c r="L1143">
        <v>9.25</v>
      </c>
      <c r="M1143">
        <v>56.25</v>
      </c>
      <c r="N1143">
        <v>9.5</v>
      </c>
      <c r="O1143">
        <v>1653</v>
      </c>
      <c r="P1143">
        <v>351</v>
      </c>
      <c r="Q1143" s="5" t="e">
        <f>IF(AND(#REF!&gt;=table!$C$6,#REF!&lt;= table!$D$6),-1,IF(AND(#REF!&gt;=table!$E$6,#REF!&lt;=table!$F$6),1,0))</f>
        <v>#REF!</v>
      </c>
      <c r="R1143" s="5" t="e">
        <f>IF(AND(#REF!&gt;=table!$C$7,#REF!&lt;= table!$D$7),-1,IF(AND(#REF!&gt;=table!$E$7,#REF!&lt;=table!$F$7),1,0))</f>
        <v>#REF!</v>
      </c>
      <c r="S1143" s="5" t="e">
        <f>IF(AND(#REF!&gt;=table!$C$8,#REF!&lt;= table!$D$8),-1,IF(AND(#REF!&gt;=table!$E$8,#REF!&lt;=table!$F$8),1,0))</f>
        <v>#REF!</v>
      </c>
      <c r="T1143" s="5"/>
      <c r="U1143" s="5" t="e">
        <f>IF(AND(#REF!&gt;=table!$C$10,#REF!&lt;= table!$D$10),-1,IF(AND(#REF!&gt;=table!$E$10,#REF!&lt;=table!$F$10),1,0))</f>
        <v>#REF!</v>
      </c>
      <c r="V1143" s="5" t="e">
        <f>IF(AND(#REF!&gt;=table!$C$11,#REF!&lt;= table!$D$11),-1,IF(AND(#REF!&gt;=table!$E$11,#REF!&lt;=table!$F$11),1,0))</f>
        <v>#REF!</v>
      </c>
      <c r="W1143" s="5" t="e">
        <f>CONCATENATE(dados[[#This Row],[fator1]],dados[[#This Row],[fator5]],dados[[#This Row],[fator6]])</f>
        <v>#REF!</v>
      </c>
    </row>
    <row r="1144" spans="1:23">
      <c r="A1144" t="s">
        <v>16</v>
      </c>
      <c r="B1144">
        <v>484165</v>
      </c>
      <c r="C1144">
        <v>0.15</v>
      </c>
      <c r="D1144">
        <v>35</v>
      </c>
      <c r="E1144">
        <v>15</v>
      </c>
      <c r="F1144">
        <v>10</v>
      </c>
      <c r="G1144">
        <v>0</v>
      </c>
      <c r="H1144">
        <v>12</v>
      </c>
      <c r="I1144">
        <v>26</v>
      </c>
      <c r="J1144">
        <v>0</v>
      </c>
      <c r="K1144">
        <v>5.3850000000000007</v>
      </c>
      <c r="L1144">
        <v>8.1999999999999993</v>
      </c>
      <c r="M1144">
        <v>7.4</v>
      </c>
      <c r="N1144">
        <v>11.55</v>
      </c>
      <c r="O1144">
        <v>1659</v>
      </c>
      <c r="P1144">
        <v>689</v>
      </c>
      <c r="Q1144" s="5" t="e">
        <f>IF(AND(#REF!&gt;=table!$C$6,#REF!&lt;= table!$D$6),-1,IF(AND(#REF!&gt;=table!$E$6,#REF!&lt;=table!$F$6),1,0))</f>
        <v>#REF!</v>
      </c>
      <c r="R1144" s="5" t="e">
        <f>IF(AND(#REF!&gt;=table!$C$7,#REF!&lt;= table!$D$7),-1,IF(AND(#REF!&gt;=table!$E$7,#REF!&lt;=table!$F$7),1,0))</f>
        <v>#REF!</v>
      </c>
      <c r="S1144" s="5" t="e">
        <f>IF(AND(#REF!&gt;=table!$C$8,#REF!&lt;= table!$D$8),-1,IF(AND(#REF!&gt;=table!$E$8,#REF!&lt;=table!$F$8),1,0))</f>
        <v>#REF!</v>
      </c>
      <c r="T1144" s="5"/>
      <c r="U1144" s="5" t="e">
        <f>IF(AND(#REF!&gt;=table!$C$10,#REF!&lt;= table!$D$10),-1,IF(AND(#REF!&gt;=table!$E$10,#REF!&lt;=table!$F$10),1,0))</f>
        <v>#REF!</v>
      </c>
      <c r="V1144" s="5" t="e">
        <f>IF(AND(#REF!&gt;=table!$C$11,#REF!&lt;= table!$D$11),-1,IF(AND(#REF!&gt;=table!$E$11,#REF!&lt;=table!$F$11),1,0))</f>
        <v>#REF!</v>
      </c>
      <c r="W1144" s="5" t="e">
        <f>CONCATENATE(dados[[#This Row],[fator1]],dados[[#This Row],[fator5]],dados[[#This Row],[fator6]])</f>
        <v>#REF!</v>
      </c>
    </row>
    <row r="1145" spans="1:23">
      <c r="A1145" t="s">
        <v>16</v>
      </c>
      <c r="B1145">
        <v>484167</v>
      </c>
      <c r="C1145">
        <v>0.15</v>
      </c>
      <c r="D1145">
        <v>35</v>
      </c>
      <c r="E1145">
        <v>15</v>
      </c>
      <c r="F1145">
        <v>10</v>
      </c>
      <c r="G1145">
        <v>0</v>
      </c>
      <c r="H1145">
        <v>12</v>
      </c>
      <c r="I1145">
        <v>1383</v>
      </c>
      <c r="J1145">
        <v>0</v>
      </c>
      <c r="K1145">
        <v>4.0200000000000005</v>
      </c>
      <c r="L1145">
        <v>7.45</v>
      </c>
      <c r="M1145">
        <v>6.95</v>
      </c>
      <c r="N1145">
        <v>9.75</v>
      </c>
      <c r="O1145">
        <v>1665</v>
      </c>
      <c r="P1145">
        <v>804</v>
      </c>
      <c r="Q1145" s="5" t="e">
        <f>IF(AND(#REF!&gt;=table!$C$6,#REF!&lt;= table!$D$6),-1,IF(AND(#REF!&gt;=table!$E$6,#REF!&lt;=table!$F$6),1,0))</f>
        <v>#REF!</v>
      </c>
      <c r="R1145" s="5" t="e">
        <f>IF(AND(#REF!&gt;=table!$C$7,#REF!&lt;= table!$D$7),-1,IF(AND(#REF!&gt;=table!$E$7,#REF!&lt;=table!$F$7),1,0))</f>
        <v>#REF!</v>
      </c>
      <c r="S1145" s="5" t="e">
        <f>IF(AND(#REF!&gt;=table!$C$8,#REF!&lt;= table!$D$8),-1,IF(AND(#REF!&gt;=table!$E$8,#REF!&lt;=table!$F$8),1,0))</f>
        <v>#REF!</v>
      </c>
      <c r="T1145" s="5"/>
      <c r="U1145" s="5" t="e">
        <f>IF(AND(#REF!&gt;=table!$C$10,#REF!&lt;= table!$D$10),-1,IF(AND(#REF!&gt;=table!$E$10,#REF!&lt;=table!$F$10),1,0))</f>
        <v>#REF!</v>
      </c>
      <c r="V1145" s="5" t="e">
        <f>IF(AND(#REF!&gt;=table!$C$11,#REF!&lt;= table!$D$11),-1,IF(AND(#REF!&gt;=table!$E$11,#REF!&lt;=table!$F$11),1,0))</f>
        <v>#REF!</v>
      </c>
      <c r="W1145" s="5" t="e">
        <f>CONCATENATE(dados[[#This Row],[fator1]],dados[[#This Row],[fator5]],dados[[#This Row],[fator6]])</f>
        <v>#REF!</v>
      </c>
    </row>
    <row r="1146" spans="1:23">
      <c r="A1146" t="s">
        <v>16</v>
      </c>
      <c r="B1146">
        <v>484168</v>
      </c>
      <c r="C1146">
        <v>0.15</v>
      </c>
      <c r="D1146">
        <v>35</v>
      </c>
      <c r="E1146">
        <v>15</v>
      </c>
      <c r="F1146">
        <v>10</v>
      </c>
      <c r="G1146">
        <v>0</v>
      </c>
      <c r="H1146">
        <v>12</v>
      </c>
      <c r="I1146">
        <v>1230</v>
      </c>
      <c r="J1146">
        <v>0</v>
      </c>
      <c r="K1146">
        <v>10.620000000000001</v>
      </c>
      <c r="L1146">
        <v>8.8000000000000007</v>
      </c>
      <c r="M1146">
        <v>8.2949999999999999</v>
      </c>
      <c r="N1146">
        <v>6.415</v>
      </c>
      <c r="O1146">
        <v>1649</v>
      </c>
      <c r="P1146">
        <v>323</v>
      </c>
      <c r="Q1146" s="5" t="e">
        <f>IF(AND(#REF!&gt;=table!$C$6,#REF!&lt;= table!$D$6),-1,IF(AND(#REF!&gt;=table!$E$6,#REF!&lt;=table!$F$6),1,0))</f>
        <v>#REF!</v>
      </c>
      <c r="R1146" s="5" t="e">
        <f>IF(AND(#REF!&gt;=table!$C$7,#REF!&lt;= table!$D$7),-1,IF(AND(#REF!&gt;=table!$E$7,#REF!&lt;=table!$F$7),1,0))</f>
        <v>#REF!</v>
      </c>
      <c r="S1146" s="5" t="e">
        <f>IF(AND(#REF!&gt;=table!$C$8,#REF!&lt;= table!$D$8),-1,IF(AND(#REF!&gt;=table!$E$8,#REF!&lt;=table!$F$8),1,0))</f>
        <v>#REF!</v>
      </c>
      <c r="T1146" s="5"/>
      <c r="U1146" s="5" t="e">
        <f>IF(AND(#REF!&gt;=table!$C$10,#REF!&lt;= table!$D$10),-1,IF(AND(#REF!&gt;=table!$E$10,#REF!&lt;=table!$F$10),1,0))</f>
        <v>#REF!</v>
      </c>
      <c r="V1146" s="5" t="e">
        <f>IF(AND(#REF!&gt;=table!$C$11,#REF!&lt;= table!$D$11),-1,IF(AND(#REF!&gt;=table!$E$11,#REF!&lt;=table!$F$11),1,0))</f>
        <v>#REF!</v>
      </c>
      <c r="W1146" s="5" t="e">
        <f>CONCATENATE(dados[[#This Row],[fator1]],dados[[#This Row],[fator5]],dados[[#This Row],[fator6]])</f>
        <v>#REF!</v>
      </c>
    </row>
    <row r="1147" spans="1:23">
      <c r="A1147" t="s">
        <v>16</v>
      </c>
      <c r="B1147">
        <v>484169</v>
      </c>
      <c r="C1147">
        <v>0.15</v>
      </c>
      <c r="D1147">
        <v>35</v>
      </c>
      <c r="E1147">
        <v>15</v>
      </c>
      <c r="F1147">
        <v>10</v>
      </c>
      <c r="G1147">
        <v>0</v>
      </c>
      <c r="H1147">
        <v>12</v>
      </c>
      <c r="I1147">
        <v>1616</v>
      </c>
      <c r="J1147">
        <v>0</v>
      </c>
      <c r="K1147">
        <v>3.7850000000000001</v>
      </c>
      <c r="L1147">
        <v>6</v>
      </c>
      <c r="M1147">
        <v>6</v>
      </c>
      <c r="N1147">
        <v>8.15</v>
      </c>
      <c r="O1147">
        <v>1641</v>
      </c>
      <c r="P1147">
        <v>899</v>
      </c>
      <c r="Q1147" s="5" t="e">
        <f>IF(AND(#REF!&gt;=table!$C$6,#REF!&lt;= table!$D$6),-1,IF(AND(#REF!&gt;=table!$E$6,#REF!&lt;=table!$F$6),1,0))</f>
        <v>#REF!</v>
      </c>
      <c r="R1147" s="5" t="e">
        <f>IF(AND(#REF!&gt;=table!$C$7,#REF!&lt;= table!$D$7),-1,IF(AND(#REF!&gt;=table!$E$7,#REF!&lt;=table!$F$7),1,0))</f>
        <v>#REF!</v>
      </c>
      <c r="S1147" s="5" t="e">
        <f>IF(AND(#REF!&gt;=table!$C$8,#REF!&lt;= table!$D$8),-1,IF(AND(#REF!&gt;=table!$E$8,#REF!&lt;=table!$F$8),1,0))</f>
        <v>#REF!</v>
      </c>
      <c r="T1147" s="5"/>
      <c r="U1147" s="5" t="e">
        <f>IF(AND(#REF!&gt;=table!$C$10,#REF!&lt;= table!$D$10),-1,IF(AND(#REF!&gt;=table!$E$10,#REF!&lt;=table!$F$10),1,0))</f>
        <v>#REF!</v>
      </c>
      <c r="V1147" s="5" t="e">
        <f>IF(AND(#REF!&gt;=table!$C$11,#REF!&lt;= table!$D$11),-1,IF(AND(#REF!&gt;=table!$E$11,#REF!&lt;=table!$F$11),1,0))</f>
        <v>#REF!</v>
      </c>
      <c r="W1147" s="5" t="e">
        <f>CONCATENATE(dados[[#This Row],[fator1]],dados[[#This Row],[fator5]],dados[[#This Row],[fator6]])</f>
        <v>#REF!</v>
      </c>
    </row>
    <row r="1148" spans="1:23">
      <c r="A1148" t="s">
        <v>16</v>
      </c>
      <c r="B1148">
        <v>484170</v>
      </c>
      <c r="C1148">
        <v>0.15</v>
      </c>
      <c r="D1148">
        <v>35</v>
      </c>
      <c r="E1148">
        <v>15</v>
      </c>
      <c r="F1148">
        <v>10</v>
      </c>
      <c r="G1148">
        <v>0</v>
      </c>
      <c r="H1148">
        <v>12</v>
      </c>
      <c r="I1148">
        <v>872</v>
      </c>
      <c r="J1148">
        <v>0</v>
      </c>
      <c r="K1148">
        <v>2.915</v>
      </c>
      <c r="L1148">
        <v>5.15</v>
      </c>
      <c r="M1148">
        <v>4.9000000000000004</v>
      </c>
      <c r="N1148">
        <v>9.5</v>
      </c>
      <c r="O1148">
        <v>1654</v>
      </c>
      <c r="P1148">
        <v>1279</v>
      </c>
      <c r="Q1148" s="5" t="e">
        <f>IF(AND(#REF!&gt;=table!$C$6,#REF!&lt;= table!$D$6),-1,IF(AND(#REF!&gt;=table!$E$6,#REF!&lt;=table!$F$6),1,0))</f>
        <v>#REF!</v>
      </c>
      <c r="R1148" s="5" t="e">
        <f>IF(AND(#REF!&gt;=table!$C$7,#REF!&lt;= table!$D$7),-1,IF(AND(#REF!&gt;=table!$E$7,#REF!&lt;=table!$F$7),1,0))</f>
        <v>#REF!</v>
      </c>
      <c r="S1148" s="5" t="e">
        <f>IF(AND(#REF!&gt;=table!$C$8,#REF!&lt;= table!$D$8),-1,IF(AND(#REF!&gt;=table!$E$8,#REF!&lt;=table!$F$8),1,0))</f>
        <v>#REF!</v>
      </c>
      <c r="T1148" s="5"/>
      <c r="U1148" s="5" t="e">
        <f>IF(AND(#REF!&gt;=table!$C$10,#REF!&lt;= table!$D$10),-1,IF(AND(#REF!&gt;=table!$E$10,#REF!&lt;=table!$F$10),1,0))</f>
        <v>#REF!</v>
      </c>
      <c r="V1148" s="5" t="e">
        <f>IF(AND(#REF!&gt;=table!$C$11,#REF!&lt;= table!$D$11),-1,IF(AND(#REF!&gt;=table!$E$11,#REF!&lt;=table!$F$11),1,0))</f>
        <v>#REF!</v>
      </c>
      <c r="W1148" s="5" t="e">
        <f>CONCATENATE(dados[[#This Row],[fator1]],dados[[#This Row],[fator5]],dados[[#This Row],[fator6]])</f>
        <v>#REF!</v>
      </c>
    </row>
    <row r="1149" spans="1:23">
      <c r="A1149" t="s">
        <v>16</v>
      </c>
      <c r="B1149">
        <v>484181</v>
      </c>
      <c r="C1149">
        <v>0.2</v>
      </c>
      <c r="D1149">
        <v>65</v>
      </c>
      <c r="E1149">
        <v>26</v>
      </c>
      <c r="F1149">
        <v>15</v>
      </c>
      <c r="G1149">
        <v>0</v>
      </c>
      <c r="H1149">
        <v>30</v>
      </c>
      <c r="I1149">
        <v>29</v>
      </c>
      <c r="J1149">
        <v>0</v>
      </c>
      <c r="K1149">
        <v>9.1650000000000009</v>
      </c>
      <c r="L1149">
        <v>10.06</v>
      </c>
      <c r="M1149">
        <v>8.25</v>
      </c>
      <c r="N1149">
        <v>10.9</v>
      </c>
      <c r="O1149">
        <v>1656</v>
      </c>
      <c r="P1149">
        <v>444</v>
      </c>
      <c r="Q1149" s="5" t="e">
        <f>IF(AND(#REF!&gt;=table!$C$6,#REF!&lt;= table!$D$6),-1,IF(AND(#REF!&gt;=table!$E$6,#REF!&lt;=table!$F$6),1,0))</f>
        <v>#REF!</v>
      </c>
      <c r="R1149" s="5" t="e">
        <f>IF(AND(#REF!&gt;=table!$C$7,#REF!&lt;= table!$D$7),-1,IF(AND(#REF!&gt;=table!$E$7,#REF!&lt;=table!$F$7),1,0))</f>
        <v>#REF!</v>
      </c>
      <c r="S1149" s="5" t="e">
        <f>IF(AND(#REF!&gt;=table!$C$8,#REF!&lt;= table!$D$8),-1,IF(AND(#REF!&gt;=table!$E$8,#REF!&lt;=table!$F$8),1,0))</f>
        <v>#REF!</v>
      </c>
      <c r="T1149" s="5"/>
      <c r="U1149" s="5" t="e">
        <f>IF(AND(#REF!&gt;=table!$C$10,#REF!&lt;= table!$D$10),-1,IF(AND(#REF!&gt;=table!$E$10,#REF!&lt;=table!$F$10),1,0))</f>
        <v>#REF!</v>
      </c>
      <c r="V1149" s="5" t="e">
        <f>IF(AND(#REF!&gt;=table!$C$11,#REF!&lt;= table!$D$11),-1,IF(AND(#REF!&gt;=table!$E$11,#REF!&lt;=table!$F$11),1,0))</f>
        <v>#REF!</v>
      </c>
      <c r="W1149" s="5" t="e">
        <f>CONCATENATE(dados[[#This Row],[fator1]],dados[[#This Row],[fator5]],dados[[#This Row],[fator6]])</f>
        <v>#REF!</v>
      </c>
    </row>
    <row r="1150" spans="1:23">
      <c r="A1150" t="s">
        <v>17</v>
      </c>
      <c r="B1150">
        <v>484182</v>
      </c>
      <c r="C1150">
        <v>8</v>
      </c>
      <c r="D1150">
        <v>25</v>
      </c>
      <c r="E1150">
        <v>136</v>
      </c>
      <c r="F1150">
        <v>6</v>
      </c>
      <c r="G1150">
        <v>8</v>
      </c>
      <c r="H1150">
        <v>25</v>
      </c>
      <c r="I1150">
        <v>2216</v>
      </c>
      <c r="J1150">
        <v>830</v>
      </c>
      <c r="K1150">
        <v>6.8100000000000005</v>
      </c>
      <c r="L1150">
        <v>12.9</v>
      </c>
      <c r="M1150">
        <v>111.92</v>
      </c>
      <c r="N1150">
        <v>12.16</v>
      </c>
      <c r="O1150">
        <v>1622</v>
      </c>
      <c r="P1150">
        <v>422</v>
      </c>
      <c r="Q1150" s="5" t="e">
        <f>IF(AND(#REF!&gt;=table!$C$6,#REF!&lt;= table!$D$6),-1,IF(AND(#REF!&gt;=table!$E$6,#REF!&lt;=table!$F$6),1,0))</f>
        <v>#REF!</v>
      </c>
      <c r="R1150" s="5" t="e">
        <f>IF(AND(#REF!&gt;=table!$C$7,#REF!&lt;= table!$D$7),-1,IF(AND(#REF!&gt;=table!$E$7,#REF!&lt;=table!$F$7),1,0))</f>
        <v>#REF!</v>
      </c>
      <c r="S1150" s="5" t="e">
        <f>IF(AND(#REF!&gt;=table!$C$8,#REF!&lt;= table!$D$8),-1,IF(AND(#REF!&gt;=table!$E$8,#REF!&lt;=table!$F$8),1,0))</f>
        <v>#REF!</v>
      </c>
      <c r="T1150" s="5"/>
      <c r="U1150" s="5" t="e">
        <f>IF(AND(#REF!&gt;=table!$C$10,#REF!&lt;= table!$D$10),-1,IF(AND(#REF!&gt;=table!$E$10,#REF!&lt;=table!$F$10),1,0))</f>
        <v>#REF!</v>
      </c>
      <c r="V1150" s="5" t="e">
        <f>IF(AND(#REF!&gt;=table!$C$11,#REF!&lt;= table!$D$11),-1,IF(AND(#REF!&gt;=table!$E$11,#REF!&lt;=table!$F$11),1,0))</f>
        <v>#REF!</v>
      </c>
      <c r="W1150" s="5" t="e">
        <f>CONCATENATE(dados[[#This Row],[fator1]],dados[[#This Row],[fator5]],dados[[#This Row],[fator6]])</f>
        <v>#REF!</v>
      </c>
    </row>
    <row r="1151" spans="1:23">
      <c r="A1151" t="s">
        <v>16</v>
      </c>
      <c r="B1151">
        <v>484184</v>
      </c>
      <c r="C1151">
        <v>6</v>
      </c>
      <c r="D1151">
        <v>25</v>
      </c>
      <c r="E1151">
        <v>120</v>
      </c>
      <c r="F1151">
        <v>4</v>
      </c>
      <c r="G1151">
        <v>0</v>
      </c>
      <c r="H1151">
        <v>55</v>
      </c>
      <c r="I1151">
        <v>924</v>
      </c>
      <c r="J1151">
        <v>530</v>
      </c>
      <c r="K1151">
        <v>10.050000000000001</v>
      </c>
      <c r="L1151">
        <v>9.85</v>
      </c>
      <c r="M1151">
        <v>95.2</v>
      </c>
      <c r="N1151">
        <v>31.75</v>
      </c>
      <c r="O1151">
        <v>1630</v>
      </c>
      <c r="P1151">
        <v>343</v>
      </c>
      <c r="Q1151" s="5" t="e">
        <f>IF(AND(#REF!&gt;=table!$C$6,#REF!&lt;= table!$D$6),-1,IF(AND(#REF!&gt;=table!$E$6,#REF!&lt;=table!$F$6),1,0))</f>
        <v>#REF!</v>
      </c>
      <c r="R1151" s="5" t="e">
        <f>IF(AND(#REF!&gt;=table!$C$7,#REF!&lt;= table!$D$7),-1,IF(AND(#REF!&gt;=table!$E$7,#REF!&lt;=table!$F$7),1,0))</f>
        <v>#REF!</v>
      </c>
      <c r="S1151" s="5" t="e">
        <f>IF(AND(#REF!&gt;=table!$C$8,#REF!&lt;= table!$D$8),-1,IF(AND(#REF!&gt;=table!$E$8,#REF!&lt;=table!$F$8),1,0))</f>
        <v>#REF!</v>
      </c>
      <c r="T1151" s="5"/>
      <c r="U1151" s="5" t="e">
        <f>IF(AND(#REF!&gt;=table!$C$10,#REF!&lt;= table!$D$10),-1,IF(AND(#REF!&gt;=table!$E$10,#REF!&lt;=table!$F$10),1,0))</f>
        <v>#REF!</v>
      </c>
      <c r="V1151" s="5" t="e">
        <f>IF(AND(#REF!&gt;=table!$C$11,#REF!&lt;= table!$D$11),-1,IF(AND(#REF!&gt;=table!$E$11,#REF!&lt;=table!$F$11),1,0))</f>
        <v>#REF!</v>
      </c>
      <c r="W1151" s="5" t="e">
        <f>CONCATENATE(dados[[#This Row],[fator1]],dados[[#This Row],[fator5]],dados[[#This Row],[fator6]])</f>
        <v>#REF!</v>
      </c>
    </row>
    <row r="1152" spans="1:23">
      <c r="A1152" t="s">
        <v>16</v>
      </c>
      <c r="B1152">
        <v>484185</v>
      </c>
      <c r="C1152">
        <v>0.15</v>
      </c>
      <c r="D1152">
        <v>40</v>
      </c>
      <c r="E1152">
        <v>64</v>
      </c>
      <c r="F1152">
        <v>10</v>
      </c>
      <c r="G1152">
        <v>0</v>
      </c>
      <c r="H1152">
        <v>35</v>
      </c>
      <c r="I1152">
        <v>36</v>
      </c>
      <c r="J1152">
        <v>0</v>
      </c>
      <c r="K1152">
        <v>4.4649999999999999</v>
      </c>
      <c r="L1152">
        <v>11.8</v>
      </c>
      <c r="M1152">
        <v>10.6</v>
      </c>
      <c r="N1152">
        <v>9.8000000000000007</v>
      </c>
      <c r="O1152">
        <v>1654</v>
      </c>
      <c r="P1152">
        <v>561</v>
      </c>
      <c r="Q1152" s="5" t="e">
        <f>IF(AND(#REF!&gt;=table!$C$6,#REF!&lt;= table!$D$6),-1,IF(AND(#REF!&gt;=table!$E$6,#REF!&lt;=table!$F$6),1,0))</f>
        <v>#REF!</v>
      </c>
      <c r="R1152" s="5" t="e">
        <f>IF(AND(#REF!&gt;=table!$C$7,#REF!&lt;= table!$D$7),-1,IF(AND(#REF!&gt;=table!$E$7,#REF!&lt;=table!$F$7),1,0))</f>
        <v>#REF!</v>
      </c>
      <c r="S1152" s="5" t="e">
        <f>IF(AND(#REF!&gt;=table!$C$8,#REF!&lt;= table!$D$8),-1,IF(AND(#REF!&gt;=table!$E$8,#REF!&lt;=table!$F$8),1,0))</f>
        <v>#REF!</v>
      </c>
      <c r="T1152" s="5"/>
      <c r="U1152" s="5" t="e">
        <f>IF(AND(#REF!&gt;=table!$C$10,#REF!&lt;= table!$D$10),-1,IF(AND(#REF!&gt;=table!$E$10,#REF!&lt;=table!$F$10),1,0))</f>
        <v>#REF!</v>
      </c>
      <c r="V1152" s="5" t="e">
        <f>IF(AND(#REF!&gt;=table!$C$11,#REF!&lt;= table!$D$11),-1,IF(AND(#REF!&gt;=table!$E$11,#REF!&lt;=table!$F$11),1,0))</f>
        <v>#REF!</v>
      </c>
      <c r="W1152" s="5" t="e">
        <f>CONCATENATE(dados[[#This Row],[fator1]],dados[[#This Row],[fator5]],dados[[#This Row],[fator6]])</f>
        <v>#REF!</v>
      </c>
    </row>
    <row r="1153" spans="1:23">
      <c r="A1153" t="s">
        <v>16</v>
      </c>
      <c r="B1153">
        <v>484187</v>
      </c>
      <c r="C1153">
        <v>0.15</v>
      </c>
      <c r="D1153">
        <v>40</v>
      </c>
      <c r="E1153">
        <v>64</v>
      </c>
      <c r="F1153">
        <v>10</v>
      </c>
      <c r="G1153">
        <v>0</v>
      </c>
      <c r="H1153">
        <v>35</v>
      </c>
      <c r="I1153">
        <v>604</v>
      </c>
      <c r="J1153">
        <v>0</v>
      </c>
      <c r="K1153">
        <v>6.1750000000000007</v>
      </c>
      <c r="L1153">
        <v>11.665000000000001</v>
      </c>
      <c r="M1153">
        <v>10.55</v>
      </c>
      <c r="N1153">
        <v>9.7750000000000004</v>
      </c>
      <c r="O1153">
        <v>1661</v>
      </c>
      <c r="P1153">
        <v>488</v>
      </c>
      <c r="Q1153" s="5" t="e">
        <f>IF(AND(#REF!&gt;=table!$C$6,#REF!&lt;= table!$D$6),-1,IF(AND(#REF!&gt;=table!$E$6,#REF!&lt;=table!$F$6),1,0))</f>
        <v>#REF!</v>
      </c>
      <c r="R1153" s="5" t="e">
        <f>IF(AND(#REF!&gt;=table!$C$7,#REF!&lt;= table!$D$7),-1,IF(AND(#REF!&gt;=table!$E$7,#REF!&lt;=table!$F$7),1,0))</f>
        <v>#REF!</v>
      </c>
      <c r="S1153" s="5" t="e">
        <f>IF(AND(#REF!&gt;=table!$C$8,#REF!&lt;= table!$D$8),-1,IF(AND(#REF!&gt;=table!$E$8,#REF!&lt;=table!$F$8),1,0))</f>
        <v>#REF!</v>
      </c>
      <c r="T1153" s="5"/>
      <c r="U1153" s="5" t="e">
        <f>IF(AND(#REF!&gt;=table!$C$10,#REF!&lt;= table!$D$10),-1,IF(AND(#REF!&gt;=table!$E$10,#REF!&lt;=table!$F$10),1,0))</f>
        <v>#REF!</v>
      </c>
      <c r="V1153" s="5" t="e">
        <f>IF(AND(#REF!&gt;=table!$C$11,#REF!&lt;= table!$D$11),-1,IF(AND(#REF!&gt;=table!$E$11,#REF!&lt;=table!$F$11),1,0))</f>
        <v>#REF!</v>
      </c>
      <c r="W1153" s="5" t="e">
        <f>CONCATENATE(dados[[#This Row],[fator1]],dados[[#This Row],[fator5]],dados[[#This Row],[fator6]])</f>
        <v>#REF!</v>
      </c>
    </row>
    <row r="1154" spans="1:23">
      <c r="A1154" t="s">
        <v>16</v>
      </c>
      <c r="B1154">
        <v>484188</v>
      </c>
      <c r="C1154">
        <v>0.15</v>
      </c>
      <c r="D1154">
        <v>40</v>
      </c>
      <c r="E1154">
        <v>64</v>
      </c>
      <c r="F1154">
        <v>10</v>
      </c>
      <c r="G1154">
        <v>0</v>
      </c>
      <c r="H1154">
        <v>35</v>
      </c>
      <c r="I1154">
        <v>12</v>
      </c>
      <c r="J1154">
        <v>0</v>
      </c>
      <c r="K1154">
        <v>7.4950000000000001</v>
      </c>
      <c r="L1154">
        <v>9.7100000000000009</v>
      </c>
      <c r="M1154">
        <v>9.1349999999999998</v>
      </c>
      <c r="N1154">
        <v>8.92</v>
      </c>
      <c r="O1154">
        <v>1658</v>
      </c>
      <c r="P1154">
        <v>0</v>
      </c>
      <c r="Q1154" s="5" t="e">
        <f>IF(AND(#REF!&gt;=table!$C$6,#REF!&lt;= table!$D$6),-1,IF(AND(#REF!&gt;=table!$E$6,#REF!&lt;=table!$F$6),1,0))</f>
        <v>#REF!</v>
      </c>
      <c r="R1154" s="5" t="e">
        <f>IF(AND(#REF!&gt;=table!$C$7,#REF!&lt;= table!$D$7),-1,IF(AND(#REF!&gt;=table!$E$7,#REF!&lt;=table!$F$7),1,0))</f>
        <v>#REF!</v>
      </c>
      <c r="S1154" s="5" t="e">
        <f>IF(AND(#REF!&gt;=table!$C$8,#REF!&lt;= table!$D$8),-1,IF(AND(#REF!&gt;=table!$E$8,#REF!&lt;=table!$F$8),1,0))</f>
        <v>#REF!</v>
      </c>
      <c r="T1154" s="5"/>
      <c r="U1154" s="5" t="e">
        <f>IF(AND(#REF!&gt;=table!$C$10,#REF!&lt;= table!$D$10),-1,IF(AND(#REF!&gt;=table!$E$10,#REF!&lt;=table!$F$10),1,0))</f>
        <v>#REF!</v>
      </c>
      <c r="V1154" s="5" t="e">
        <f>IF(AND(#REF!&gt;=table!$C$11,#REF!&lt;= table!$D$11),-1,IF(AND(#REF!&gt;=table!$E$11,#REF!&lt;=table!$F$11),1,0))</f>
        <v>#REF!</v>
      </c>
      <c r="W1154" s="5" t="e">
        <f>CONCATENATE(dados[[#This Row],[fator1]],dados[[#This Row],[fator5]],dados[[#This Row],[fator6]])</f>
        <v>#REF!</v>
      </c>
    </row>
    <row r="1155" spans="1:23">
      <c r="A1155" t="s">
        <v>16</v>
      </c>
      <c r="B1155">
        <v>484194</v>
      </c>
      <c r="C1155">
        <v>10</v>
      </c>
      <c r="D1155">
        <v>40</v>
      </c>
      <c r="E1155">
        <v>160</v>
      </c>
      <c r="F1155">
        <v>6</v>
      </c>
      <c r="G1155">
        <v>0</v>
      </c>
      <c r="H1155">
        <v>25</v>
      </c>
      <c r="I1155">
        <v>742</v>
      </c>
      <c r="J1155">
        <v>0</v>
      </c>
      <c r="K1155">
        <v>2.9650000000000003</v>
      </c>
      <c r="L1155">
        <v>7.3</v>
      </c>
      <c r="M1155">
        <v>124.015</v>
      </c>
      <c r="N1155">
        <v>14.25</v>
      </c>
      <c r="O1155">
        <v>1681</v>
      </c>
      <c r="P1155">
        <v>0</v>
      </c>
      <c r="Q1155" s="5" t="e">
        <f>IF(AND(#REF!&gt;=table!$C$6,#REF!&lt;= table!$D$6),-1,IF(AND(#REF!&gt;=table!$E$6,#REF!&lt;=table!$F$6),1,0))</f>
        <v>#REF!</v>
      </c>
      <c r="R1155" s="5" t="e">
        <f>IF(AND(#REF!&gt;=table!$C$7,#REF!&lt;= table!$D$7),-1,IF(AND(#REF!&gt;=table!$E$7,#REF!&lt;=table!$F$7),1,0))</f>
        <v>#REF!</v>
      </c>
      <c r="S1155" s="5" t="e">
        <f>IF(AND(#REF!&gt;=table!$C$8,#REF!&lt;= table!$D$8),-1,IF(AND(#REF!&gt;=table!$E$8,#REF!&lt;=table!$F$8),1,0))</f>
        <v>#REF!</v>
      </c>
      <c r="T1155" s="5"/>
      <c r="U1155" s="5" t="e">
        <f>IF(AND(#REF!&gt;=table!$C$10,#REF!&lt;= table!$D$10),-1,IF(AND(#REF!&gt;=table!$E$10,#REF!&lt;=table!$F$10),1,0))</f>
        <v>#REF!</v>
      </c>
      <c r="V1155" s="5" t="e">
        <f>IF(AND(#REF!&gt;=table!$C$11,#REF!&lt;= table!$D$11),-1,IF(AND(#REF!&gt;=table!$E$11,#REF!&lt;=table!$F$11),1,0))</f>
        <v>#REF!</v>
      </c>
      <c r="W1155" s="5" t="e">
        <f>CONCATENATE(dados[[#This Row],[fator1]],dados[[#This Row],[fator5]],dados[[#This Row],[fator6]])</f>
        <v>#REF!</v>
      </c>
    </row>
    <row r="1156" spans="1:23">
      <c r="A1156" t="s">
        <v>16</v>
      </c>
      <c r="B1156">
        <v>484196</v>
      </c>
      <c r="C1156">
        <v>10</v>
      </c>
      <c r="D1156">
        <v>40</v>
      </c>
      <c r="E1156">
        <v>136</v>
      </c>
      <c r="F1156">
        <v>6</v>
      </c>
      <c r="G1156">
        <v>0</v>
      </c>
      <c r="H1156">
        <v>25</v>
      </c>
      <c r="I1156">
        <v>30</v>
      </c>
      <c r="J1156">
        <v>0</v>
      </c>
      <c r="K1156">
        <v>7.7550000000000008</v>
      </c>
      <c r="L1156">
        <v>14</v>
      </c>
      <c r="M1156">
        <v>139.4</v>
      </c>
      <c r="N1156">
        <v>13.65</v>
      </c>
      <c r="O1156">
        <v>1672</v>
      </c>
      <c r="P1156">
        <v>0</v>
      </c>
      <c r="Q1156" s="5" t="e">
        <f>IF(AND(#REF!&gt;=table!$C$6,#REF!&lt;= table!$D$6),-1,IF(AND(#REF!&gt;=table!$E$6,#REF!&lt;=table!$F$6),1,0))</f>
        <v>#REF!</v>
      </c>
      <c r="R1156" s="5" t="e">
        <f>IF(AND(#REF!&gt;=table!$C$7,#REF!&lt;= table!$D$7),-1,IF(AND(#REF!&gt;=table!$E$7,#REF!&lt;=table!$F$7),1,0))</f>
        <v>#REF!</v>
      </c>
      <c r="S1156" s="5" t="e">
        <f>IF(AND(#REF!&gt;=table!$C$8,#REF!&lt;= table!$D$8),-1,IF(AND(#REF!&gt;=table!$E$8,#REF!&lt;=table!$F$8),1,0))</f>
        <v>#REF!</v>
      </c>
      <c r="T1156" s="5"/>
      <c r="U1156" s="5" t="e">
        <f>IF(AND(#REF!&gt;=table!$C$10,#REF!&lt;= table!$D$10),-1,IF(AND(#REF!&gt;=table!$E$10,#REF!&lt;=table!$F$10),1,0))</f>
        <v>#REF!</v>
      </c>
      <c r="V1156" s="5" t="e">
        <f>IF(AND(#REF!&gt;=table!$C$11,#REF!&lt;= table!$D$11),-1,IF(AND(#REF!&gt;=table!$E$11,#REF!&lt;=table!$F$11),1,0))</f>
        <v>#REF!</v>
      </c>
      <c r="W1156" s="5" t="e">
        <f>CONCATENATE(dados[[#This Row],[fator1]],dados[[#This Row],[fator5]],dados[[#This Row],[fator6]])</f>
        <v>#REF!</v>
      </c>
    </row>
    <row r="1157" spans="1:23">
      <c r="A1157" t="s">
        <v>16</v>
      </c>
      <c r="B1157">
        <v>484197</v>
      </c>
      <c r="C1157">
        <v>12</v>
      </c>
      <c r="D1157">
        <v>35</v>
      </c>
      <c r="E1157">
        <v>180</v>
      </c>
      <c r="F1157">
        <v>6</v>
      </c>
      <c r="G1157">
        <v>0</v>
      </c>
      <c r="H1157">
        <v>20</v>
      </c>
      <c r="I1157">
        <v>393</v>
      </c>
      <c r="J1157">
        <v>0</v>
      </c>
      <c r="K1157">
        <v>3.7350000000000003</v>
      </c>
      <c r="L1157">
        <v>10.6</v>
      </c>
      <c r="M1157">
        <v>139.25</v>
      </c>
      <c r="N1157">
        <v>13.35</v>
      </c>
      <c r="O1157">
        <v>1649</v>
      </c>
      <c r="P1157">
        <v>535</v>
      </c>
      <c r="Q1157" s="5" t="e">
        <f>IF(AND(#REF!&gt;=table!$C$6,#REF!&lt;= table!$D$6),-1,IF(AND(#REF!&gt;=table!$E$6,#REF!&lt;=table!$F$6),1,0))</f>
        <v>#REF!</v>
      </c>
      <c r="R1157" s="5" t="e">
        <f>IF(AND(#REF!&gt;=table!$C$7,#REF!&lt;= table!$D$7),-1,IF(AND(#REF!&gt;=table!$E$7,#REF!&lt;=table!$F$7),1,0))</f>
        <v>#REF!</v>
      </c>
      <c r="S1157" s="5" t="e">
        <f>IF(AND(#REF!&gt;=table!$C$8,#REF!&lt;= table!$D$8),-1,IF(AND(#REF!&gt;=table!$E$8,#REF!&lt;=table!$F$8),1,0))</f>
        <v>#REF!</v>
      </c>
      <c r="T1157" s="5"/>
      <c r="U1157" s="5" t="e">
        <f>IF(AND(#REF!&gt;=table!$C$10,#REF!&lt;= table!$D$10),-1,IF(AND(#REF!&gt;=table!$E$10,#REF!&lt;=table!$F$10),1,0))</f>
        <v>#REF!</v>
      </c>
      <c r="V1157" s="5" t="e">
        <f>IF(AND(#REF!&gt;=table!$C$11,#REF!&lt;= table!$D$11),-1,IF(AND(#REF!&gt;=table!$E$11,#REF!&lt;=table!$F$11),1,0))</f>
        <v>#REF!</v>
      </c>
      <c r="W1157" s="5" t="e">
        <f>CONCATENATE(dados[[#This Row],[fator1]],dados[[#This Row],[fator5]],dados[[#This Row],[fator6]])</f>
        <v>#REF!</v>
      </c>
    </row>
    <row r="1158" spans="1:23">
      <c r="A1158" t="s">
        <v>16</v>
      </c>
      <c r="B1158">
        <v>484198</v>
      </c>
      <c r="C1158">
        <v>12</v>
      </c>
      <c r="D1158">
        <v>35</v>
      </c>
      <c r="E1158">
        <v>180</v>
      </c>
      <c r="F1158">
        <v>6</v>
      </c>
      <c r="G1158">
        <v>0</v>
      </c>
      <c r="H1158">
        <v>20</v>
      </c>
      <c r="I1158">
        <v>988</v>
      </c>
      <c r="J1158">
        <v>0</v>
      </c>
      <c r="K1158">
        <v>4.7750000000000004</v>
      </c>
      <c r="L1158">
        <v>10.855</v>
      </c>
      <c r="M1158">
        <v>138.13</v>
      </c>
      <c r="N1158">
        <v>12.35</v>
      </c>
      <c r="O1158">
        <v>1681</v>
      </c>
      <c r="P1158">
        <v>0</v>
      </c>
      <c r="Q1158" s="5" t="e">
        <f>IF(AND(#REF!&gt;=table!$C$6,#REF!&lt;= table!$D$6),-1,IF(AND(#REF!&gt;=table!$E$6,#REF!&lt;=table!$F$6),1,0))</f>
        <v>#REF!</v>
      </c>
      <c r="R1158" s="5" t="e">
        <f>IF(AND(#REF!&gt;=table!$C$7,#REF!&lt;= table!$D$7),-1,IF(AND(#REF!&gt;=table!$E$7,#REF!&lt;=table!$F$7),1,0))</f>
        <v>#REF!</v>
      </c>
      <c r="S1158" s="5" t="e">
        <f>IF(AND(#REF!&gt;=table!$C$8,#REF!&lt;= table!$D$8),-1,IF(AND(#REF!&gt;=table!$E$8,#REF!&lt;=table!$F$8),1,0))</f>
        <v>#REF!</v>
      </c>
      <c r="T1158" s="5"/>
      <c r="U1158" s="5" t="e">
        <f>IF(AND(#REF!&gt;=table!$C$10,#REF!&lt;= table!$D$10),-1,IF(AND(#REF!&gt;=table!$E$10,#REF!&lt;=table!$F$10),1,0))</f>
        <v>#REF!</v>
      </c>
      <c r="V1158" s="5" t="e">
        <f>IF(AND(#REF!&gt;=table!$C$11,#REF!&lt;= table!$D$11),-1,IF(AND(#REF!&gt;=table!$E$11,#REF!&lt;=table!$F$11),1,0))</f>
        <v>#REF!</v>
      </c>
      <c r="W1158" s="5" t="e">
        <f>CONCATENATE(dados[[#This Row],[fator1]],dados[[#This Row],[fator5]],dados[[#This Row],[fator6]])</f>
        <v>#REF!</v>
      </c>
    </row>
    <row r="1159" spans="1:23">
      <c r="A1159" t="s">
        <v>16</v>
      </c>
      <c r="B1159">
        <v>484200</v>
      </c>
      <c r="C1159">
        <v>4</v>
      </c>
      <c r="D1159">
        <v>40</v>
      </c>
      <c r="E1159">
        <v>21</v>
      </c>
      <c r="F1159">
        <v>20</v>
      </c>
      <c r="G1159">
        <v>0</v>
      </c>
      <c r="H1159">
        <v>25</v>
      </c>
      <c r="I1159">
        <v>990</v>
      </c>
      <c r="J1159">
        <v>0</v>
      </c>
      <c r="K1159">
        <v>8.4</v>
      </c>
      <c r="L1159">
        <v>6.55</v>
      </c>
      <c r="M1159">
        <v>11</v>
      </c>
      <c r="N1159">
        <v>6.05</v>
      </c>
      <c r="O1159">
        <v>1619</v>
      </c>
      <c r="P1159">
        <v>418</v>
      </c>
      <c r="Q1159" s="5" t="e">
        <f>IF(AND(#REF!&gt;=table!$C$6,#REF!&lt;= table!$D$6),-1,IF(AND(#REF!&gt;=table!$E$6,#REF!&lt;=table!$F$6),1,0))</f>
        <v>#REF!</v>
      </c>
      <c r="R1159" s="5" t="e">
        <f>IF(AND(#REF!&gt;=table!$C$7,#REF!&lt;= table!$D$7),-1,IF(AND(#REF!&gt;=table!$E$7,#REF!&lt;=table!$F$7),1,0))</f>
        <v>#REF!</v>
      </c>
      <c r="S1159" s="5" t="e">
        <f>IF(AND(#REF!&gt;=table!$C$8,#REF!&lt;= table!$D$8),-1,IF(AND(#REF!&gt;=table!$E$8,#REF!&lt;=table!$F$8),1,0))</f>
        <v>#REF!</v>
      </c>
      <c r="T1159" s="5"/>
      <c r="U1159" s="5" t="e">
        <f>IF(AND(#REF!&gt;=table!$C$10,#REF!&lt;= table!$D$10),-1,IF(AND(#REF!&gt;=table!$E$10,#REF!&lt;=table!$F$10),1,0))</f>
        <v>#REF!</v>
      </c>
      <c r="V1159" s="5" t="e">
        <f>IF(AND(#REF!&gt;=table!$C$11,#REF!&lt;= table!$D$11),-1,IF(AND(#REF!&gt;=table!$E$11,#REF!&lt;=table!$F$11),1,0))</f>
        <v>#REF!</v>
      </c>
      <c r="W1159" s="5" t="e">
        <f>CONCATENATE(dados[[#This Row],[fator1]],dados[[#This Row],[fator5]],dados[[#This Row],[fator6]])</f>
        <v>#REF!</v>
      </c>
    </row>
    <row r="1160" spans="1:23">
      <c r="A1160" t="s">
        <v>16</v>
      </c>
      <c r="B1160">
        <v>484205</v>
      </c>
      <c r="C1160">
        <v>0.23</v>
      </c>
      <c r="D1160">
        <v>65</v>
      </c>
      <c r="E1160">
        <v>27</v>
      </c>
      <c r="F1160">
        <v>15</v>
      </c>
      <c r="G1160">
        <v>0</v>
      </c>
      <c r="H1160">
        <v>35</v>
      </c>
      <c r="I1160">
        <v>1228</v>
      </c>
      <c r="J1160">
        <v>0</v>
      </c>
      <c r="K1160">
        <v>4.165</v>
      </c>
      <c r="L1160">
        <v>9.7000000000000011</v>
      </c>
      <c r="M1160">
        <v>8.65</v>
      </c>
      <c r="N1160">
        <v>12.05</v>
      </c>
      <c r="O1160">
        <v>1669</v>
      </c>
      <c r="P1160">
        <v>719</v>
      </c>
      <c r="Q1160" s="5" t="e">
        <f>IF(AND(#REF!&gt;=table!$C$6,#REF!&lt;= table!$D$6),-1,IF(AND(#REF!&gt;=table!$E$6,#REF!&lt;=table!$F$6),1,0))</f>
        <v>#REF!</v>
      </c>
      <c r="R1160" s="5" t="e">
        <f>IF(AND(#REF!&gt;=table!$C$7,#REF!&lt;= table!$D$7),-1,IF(AND(#REF!&gt;=table!$E$7,#REF!&lt;=table!$F$7),1,0))</f>
        <v>#REF!</v>
      </c>
      <c r="S1160" s="5" t="e">
        <f>IF(AND(#REF!&gt;=table!$C$8,#REF!&lt;= table!$D$8),-1,IF(AND(#REF!&gt;=table!$E$8,#REF!&lt;=table!$F$8),1,0))</f>
        <v>#REF!</v>
      </c>
      <c r="T1160" s="5"/>
      <c r="U1160" s="5" t="e">
        <f>IF(AND(#REF!&gt;=table!$C$10,#REF!&lt;= table!$D$10),-1,IF(AND(#REF!&gt;=table!$E$10,#REF!&lt;=table!$F$10),1,0))</f>
        <v>#REF!</v>
      </c>
      <c r="V1160" s="5" t="e">
        <f>IF(AND(#REF!&gt;=table!$C$11,#REF!&lt;= table!$D$11),-1,IF(AND(#REF!&gt;=table!$E$11,#REF!&lt;=table!$F$11),1,0))</f>
        <v>#REF!</v>
      </c>
      <c r="W1160" s="5" t="e">
        <f>CONCATENATE(dados[[#This Row],[fator1]],dados[[#This Row],[fator5]],dados[[#This Row],[fator6]])</f>
        <v>#REF!</v>
      </c>
    </row>
    <row r="1161" spans="1:23">
      <c r="A1161" t="s">
        <v>16</v>
      </c>
      <c r="B1161">
        <v>484206</v>
      </c>
      <c r="C1161">
        <v>0.2</v>
      </c>
      <c r="D1161">
        <v>65</v>
      </c>
      <c r="E1161">
        <v>26</v>
      </c>
      <c r="F1161">
        <v>15</v>
      </c>
      <c r="G1161">
        <v>0</v>
      </c>
      <c r="H1161">
        <v>30</v>
      </c>
      <c r="I1161">
        <v>72</v>
      </c>
      <c r="J1161">
        <v>0</v>
      </c>
      <c r="K1161">
        <v>4.6100000000000003</v>
      </c>
      <c r="L1161">
        <v>10</v>
      </c>
      <c r="M1161">
        <v>8.5500000000000007</v>
      </c>
      <c r="N1161">
        <v>12.75</v>
      </c>
      <c r="O1161">
        <v>1672</v>
      </c>
      <c r="P1161">
        <v>754</v>
      </c>
      <c r="Q1161" s="5" t="e">
        <f>IF(AND(#REF!&gt;=table!$C$6,#REF!&lt;= table!$D$6),-1,IF(AND(#REF!&gt;=table!$E$6,#REF!&lt;=table!$F$6),1,0))</f>
        <v>#REF!</v>
      </c>
      <c r="R1161" s="5" t="e">
        <f>IF(AND(#REF!&gt;=table!$C$7,#REF!&lt;= table!$D$7),-1,IF(AND(#REF!&gt;=table!$E$7,#REF!&lt;=table!$F$7),1,0))</f>
        <v>#REF!</v>
      </c>
      <c r="S1161" s="5" t="e">
        <f>IF(AND(#REF!&gt;=table!$C$8,#REF!&lt;= table!$D$8),-1,IF(AND(#REF!&gt;=table!$E$8,#REF!&lt;=table!$F$8),1,0))</f>
        <v>#REF!</v>
      </c>
      <c r="T1161" s="5"/>
      <c r="U1161" s="5" t="e">
        <f>IF(AND(#REF!&gt;=table!$C$10,#REF!&lt;= table!$D$10),-1,IF(AND(#REF!&gt;=table!$E$10,#REF!&lt;=table!$F$10),1,0))</f>
        <v>#REF!</v>
      </c>
      <c r="V1161" s="5" t="e">
        <f>IF(AND(#REF!&gt;=table!$C$11,#REF!&lt;= table!$D$11),-1,IF(AND(#REF!&gt;=table!$E$11,#REF!&lt;=table!$F$11),1,0))</f>
        <v>#REF!</v>
      </c>
      <c r="W1161" s="5" t="e">
        <f>CONCATENATE(dados[[#This Row],[fator1]],dados[[#This Row],[fator5]],dados[[#This Row],[fator6]])</f>
        <v>#REF!</v>
      </c>
    </row>
    <row r="1162" spans="1:23">
      <c r="A1162" t="s">
        <v>16</v>
      </c>
      <c r="B1162">
        <v>484207</v>
      </c>
      <c r="C1162">
        <v>0.2</v>
      </c>
      <c r="D1162">
        <v>65</v>
      </c>
      <c r="E1162">
        <v>26</v>
      </c>
      <c r="F1162">
        <v>15</v>
      </c>
      <c r="G1162">
        <v>0</v>
      </c>
      <c r="H1162">
        <v>30</v>
      </c>
      <c r="I1162">
        <v>1802</v>
      </c>
      <c r="J1162">
        <v>0</v>
      </c>
      <c r="K1162">
        <v>5.875</v>
      </c>
      <c r="L1162">
        <v>13.950000000000001</v>
      </c>
      <c r="M1162">
        <v>13.015000000000001</v>
      </c>
      <c r="N1162">
        <v>15.665000000000001</v>
      </c>
      <c r="O1162">
        <v>1662</v>
      </c>
      <c r="P1162">
        <v>428</v>
      </c>
      <c r="Q1162" s="5" t="e">
        <f>IF(AND(#REF!&gt;=table!$C$6,#REF!&lt;= table!$D$6),-1,IF(AND(#REF!&gt;=table!$E$6,#REF!&lt;=table!$F$6),1,0))</f>
        <v>#REF!</v>
      </c>
      <c r="R1162" s="5" t="e">
        <f>IF(AND(#REF!&gt;=table!$C$7,#REF!&lt;= table!$D$7),-1,IF(AND(#REF!&gt;=table!$E$7,#REF!&lt;=table!$F$7),1,0))</f>
        <v>#REF!</v>
      </c>
      <c r="S1162" s="5" t="e">
        <f>IF(AND(#REF!&gt;=table!$C$8,#REF!&lt;= table!$D$8),-1,IF(AND(#REF!&gt;=table!$E$8,#REF!&lt;=table!$F$8),1,0))</f>
        <v>#REF!</v>
      </c>
      <c r="T1162" s="5"/>
      <c r="U1162" s="5" t="e">
        <f>IF(AND(#REF!&gt;=table!$C$10,#REF!&lt;= table!$D$10),-1,IF(AND(#REF!&gt;=table!$E$10,#REF!&lt;=table!$F$10),1,0))</f>
        <v>#REF!</v>
      </c>
      <c r="V1162" s="5" t="e">
        <f>IF(AND(#REF!&gt;=table!$C$11,#REF!&lt;= table!$D$11),-1,IF(AND(#REF!&gt;=table!$E$11,#REF!&lt;=table!$F$11),1,0))</f>
        <v>#REF!</v>
      </c>
      <c r="W1162" s="5" t="e">
        <f>CONCATENATE(dados[[#This Row],[fator1]],dados[[#This Row],[fator5]],dados[[#This Row],[fator6]])</f>
        <v>#REF!</v>
      </c>
    </row>
    <row r="1163" spans="1:23">
      <c r="A1163" t="s">
        <v>16</v>
      </c>
      <c r="B1163">
        <v>484213</v>
      </c>
      <c r="C1163">
        <v>0.18</v>
      </c>
      <c r="D1163">
        <v>50</v>
      </c>
      <c r="E1163">
        <v>56</v>
      </c>
      <c r="F1163">
        <v>15</v>
      </c>
      <c r="G1163">
        <v>0</v>
      </c>
      <c r="H1163">
        <v>50</v>
      </c>
      <c r="I1163">
        <v>514</v>
      </c>
      <c r="J1163">
        <v>0</v>
      </c>
      <c r="K1163">
        <v>3.39</v>
      </c>
      <c r="L1163">
        <v>8.5500000000000007</v>
      </c>
      <c r="M1163">
        <v>7.7</v>
      </c>
      <c r="N1163">
        <v>16.850000000000001</v>
      </c>
      <c r="O1163">
        <v>1667</v>
      </c>
      <c r="P1163">
        <v>0</v>
      </c>
      <c r="Q1163" s="5" t="e">
        <f>IF(AND(#REF!&gt;=table!$C$6,#REF!&lt;= table!$D$6),-1,IF(AND(#REF!&gt;=table!$E$6,#REF!&lt;=table!$F$6),1,0))</f>
        <v>#REF!</v>
      </c>
      <c r="R1163" s="5" t="e">
        <f>IF(AND(#REF!&gt;=table!$C$7,#REF!&lt;= table!$D$7),-1,IF(AND(#REF!&gt;=table!$E$7,#REF!&lt;=table!$F$7),1,0))</f>
        <v>#REF!</v>
      </c>
      <c r="S1163" s="5" t="e">
        <f>IF(AND(#REF!&gt;=table!$C$8,#REF!&lt;= table!$D$8),-1,IF(AND(#REF!&gt;=table!$E$8,#REF!&lt;=table!$F$8),1,0))</f>
        <v>#REF!</v>
      </c>
      <c r="T1163" s="5"/>
      <c r="U1163" s="5" t="e">
        <f>IF(AND(#REF!&gt;=table!$C$10,#REF!&lt;= table!$D$10),-1,IF(AND(#REF!&gt;=table!$E$10,#REF!&lt;=table!$F$10),1,0))</f>
        <v>#REF!</v>
      </c>
      <c r="V1163" s="5" t="e">
        <f>IF(AND(#REF!&gt;=table!$C$11,#REF!&lt;= table!$D$11),-1,IF(AND(#REF!&gt;=table!$E$11,#REF!&lt;=table!$F$11),1,0))</f>
        <v>#REF!</v>
      </c>
      <c r="W1163" s="5" t="e">
        <f>CONCATENATE(dados[[#This Row],[fator1]],dados[[#This Row],[fator5]],dados[[#This Row],[fator6]])</f>
        <v>#REF!</v>
      </c>
    </row>
    <row r="1164" spans="1:23">
      <c r="A1164" t="s">
        <v>16</v>
      </c>
      <c r="B1164">
        <v>484215</v>
      </c>
      <c r="C1164">
        <v>0.15</v>
      </c>
      <c r="D1164">
        <v>35</v>
      </c>
      <c r="E1164">
        <v>15</v>
      </c>
      <c r="F1164">
        <v>10</v>
      </c>
      <c r="G1164">
        <v>0</v>
      </c>
      <c r="H1164">
        <v>12</v>
      </c>
      <c r="I1164">
        <v>9</v>
      </c>
      <c r="J1164">
        <v>480</v>
      </c>
      <c r="K1164">
        <v>5.3</v>
      </c>
      <c r="L1164">
        <v>7.33</v>
      </c>
      <c r="M1164">
        <v>6.6950000000000003</v>
      </c>
      <c r="N1164">
        <v>6.45</v>
      </c>
      <c r="O1164">
        <v>1638</v>
      </c>
      <c r="P1164">
        <v>583</v>
      </c>
      <c r="Q1164" s="5" t="e">
        <f>IF(AND(#REF!&gt;=table!$C$6,#REF!&lt;= table!$D$6),-1,IF(AND(#REF!&gt;=table!$E$6,#REF!&lt;=table!$F$6),1,0))</f>
        <v>#REF!</v>
      </c>
      <c r="R1164" s="5" t="e">
        <f>IF(AND(#REF!&gt;=table!$C$7,#REF!&lt;= table!$D$7),-1,IF(AND(#REF!&gt;=table!$E$7,#REF!&lt;=table!$F$7),1,0))</f>
        <v>#REF!</v>
      </c>
      <c r="S1164" s="5" t="e">
        <f>IF(AND(#REF!&gt;=table!$C$8,#REF!&lt;= table!$D$8),-1,IF(AND(#REF!&gt;=table!$E$8,#REF!&lt;=table!$F$8),1,0))</f>
        <v>#REF!</v>
      </c>
      <c r="T1164" s="5"/>
      <c r="U1164" s="5" t="e">
        <f>IF(AND(#REF!&gt;=table!$C$10,#REF!&lt;= table!$D$10),-1,IF(AND(#REF!&gt;=table!$E$10,#REF!&lt;=table!$F$10),1,0))</f>
        <v>#REF!</v>
      </c>
      <c r="V1164" s="5" t="e">
        <f>IF(AND(#REF!&gt;=table!$C$11,#REF!&lt;= table!$D$11),-1,IF(AND(#REF!&gt;=table!$E$11,#REF!&lt;=table!$F$11),1,0))</f>
        <v>#REF!</v>
      </c>
      <c r="W1164" s="5" t="e">
        <f>CONCATENATE(dados[[#This Row],[fator1]],dados[[#This Row],[fator5]],dados[[#This Row],[fator6]])</f>
        <v>#REF!</v>
      </c>
    </row>
    <row r="1165" spans="1:23">
      <c r="A1165" t="s">
        <v>16</v>
      </c>
      <c r="B1165">
        <v>484220</v>
      </c>
      <c r="C1165">
        <v>3</v>
      </c>
      <c r="D1165">
        <v>30</v>
      </c>
      <c r="E1165">
        <v>21</v>
      </c>
      <c r="F1165">
        <v>15</v>
      </c>
      <c r="G1165">
        <v>0</v>
      </c>
      <c r="H1165">
        <v>25</v>
      </c>
      <c r="I1165">
        <v>20</v>
      </c>
      <c r="J1165">
        <v>0</v>
      </c>
      <c r="K1165">
        <v>4.9249999999999998</v>
      </c>
      <c r="L1165">
        <v>9.86</v>
      </c>
      <c r="M1165">
        <v>20.885000000000002</v>
      </c>
      <c r="N1165">
        <v>8.3000000000000007</v>
      </c>
      <c r="O1165">
        <v>1626</v>
      </c>
      <c r="P1165">
        <v>501</v>
      </c>
      <c r="Q1165" s="5" t="e">
        <f>IF(AND(#REF!&gt;=table!$C$6,#REF!&lt;= table!$D$6),-1,IF(AND(#REF!&gt;=table!$E$6,#REF!&lt;=table!$F$6),1,0))</f>
        <v>#REF!</v>
      </c>
      <c r="R1165" s="5" t="e">
        <f>IF(AND(#REF!&gt;=table!$C$7,#REF!&lt;= table!$D$7),-1,IF(AND(#REF!&gt;=table!$E$7,#REF!&lt;=table!$F$7),1,0))</f>
        <v>#REF!</v>
      </c>
      <c r="S1165" s="5" t="e">
        <f>IF(AND(#REF!&gt;=table!$C$8,#REF!&lt;= table!$D$8),-1,IF(AND(#REF!&gt;=table!$E$8,#REF!&lt;=table!$F$8),1,0))</f>
        <v>#REF!</v>
      </c>
      <c r="T1165" s="5"/>
      <c r="U1165" s="5" t="e">
        <f>IF(AND(#REF!&gt;=table!$C$10,#REF!&lt;= table!$D$10),-1,IF(AND(#REF!&gt;=table!$E$10,#REF!&lt;=table!$F$10),1,0))</f>
        <v>#REF!</v>
      </c>
      <c r="V1165" s="5" t="e">
        <f>IF(AND(#REF!&gt;=table!$C$11,#REF!&lt;= table!$D$11),-1,IF(AND(#REF!&gt;=table!$E$11,#REF!&lt;=table!$F$11),1,0))</f>
        <v>#REF!</v>
      </c>
      <c r="W1165" s="5" t="e">
        <f>CONCATENATE(dados[[#This Row],[fator1]],dados[[#This Row],[fator5]],dados[[#This Row],[fator6]])</f>
        <v>#REF!</v>
      </c>
    </row>
    <row r="1166" spans="1:23">
      <c r="A1166" t="s">
        <v>16</v>
      </c>
      <c r="B1166">
        <v>484222</v>
      </c>
      <c r="C1166">
        <v>3</v>
      </c>
      <c r="D1166">
        <v>30</v>
      </c>
      <c r="E1166">
        <v>21</v>
      </c>
      <c r="F1166">
        <v>15</v>
      </c>
      <c r="G1166">
        <v>0</v>
      </c>
      <c r="H1166">
        <v>25</v>
      </c>
      <c r="I1166">
        <v>1542</v>
      </c>
      <c r="J1166">
        <v>0</v>
      </c>
      <c r="K1166">
        <v>10.01</v>
      </c>
      <c r="L1166">
        <v>11.290000000000001</v>
      </c>
      <c r="M1166">
        <v>10.81</v>
      </c>
      <c r="N1166">
        <v>9.7850000000000001</v>
      </c>
      <c r="O1166">
        <v>1671</v>
      </c>
      <c r="P1166">
        <v>0</v>
      </c>
      <c r="Q1166" s="5" t="e">
        <f>IF(AND(#REF!&gt;=table!$C$6,#REF!&lt;= table!$D$6),-1,IF(AND(#REF!&gt;=table!$E$6,#REF!&lt;=table!$F$6),1,0))</f>
        <v>#REF!</v>
      </c>
      <c r="R1166" s="5" t="e">
        <f>IF(AND(#REF!&gt;=table!$C$7,#REF!&lt;= table!$D$7),-1,IF(AND(#REF!&gt;=table!$E$7,#REF!&lt;=table!$F$7),1,0))</f>
        <v>#REF!</v>
      </c>
      <c r="S1166" s="5" t="e">
        <f>IF(AND(#REF!&gt;=table!$C$8,#REF!&lt;= table!$D$8),-1,IF(AND(#REF!&gt;=table!$E$8,#REF!&lt;=table!$F$8),1,0))</f>
        <v>#REF!</v>
      </c>
      <c r="T1166" s="5"/>
      <c r="U1166" s="5" t="e">
        <f>IF(AND(#REF!&gt;=table!$C$10,#REF!&lt;= table!$D$10),-1,IF(AND(#REF!&gt;=table!$E$10,#REF!&lt;=table!$F$10),1,0))</f>
        <v>#REF!</v>
      </c>
      <c r="V1166" s="5" t="e">
        <f>IF(AND(#REF!&gt;=table!$C$11,#REF!&lt;= table!$D$11),-1,IF(AND(#REF!&gt;=table!$E$11,#REF!&lt;=table!$F$11),1,0))</f>
        <v>#REF!</v>
      </c>
      <c r="W1166" s="5" t="e">
        <f>CONCATENATE(dados[[#This Row],[fator1]],dados[[#This Row],[fator5]],dados[[#This Row],[fator6]])</f>
        <v>#REF!</v>
      </c>
    </row>
    <row r="1167" spans="1:23">
      <c r="A1167" t="s">
        <v>16</v>
      </c>
      <c r="B1167">
        <v>484227</v>
      </c>
      <c r="C1167">
        <v>0.15</v>
      </c>
      <c r="D1167">
        <v>40</v>
      </c>
      <c r="E1167">
        <v>10</v>
      </c>
      <c r="F1167">
        <v>15</v>
      </c>
      <c r="G1167">
        <v>0</v>
      </c>
      <c r="H1167">
        <v>15</v>
      </c>
      <c r="I1167">
        <v>47</v>
      </c>
      <c r="J1167">
        <v>0</v>
      </c>
      <c r="K1167">
        <v>0.53500000000000003</v>
      </c>
      <c r="L1167">
        <v>8.7000000000000011</v>
      </c>
      <c r="M1167">
        <v>8.1999999999999993</v>
      </c>
      <c r="N1167">
        <v>10.200000000000001</v>
      </c>
      <c r="O1167">
        <v>1648</v>
      </c>
      <c r="P1167">
        <v>0</v>
      </c>
      <c r="Q1167" s="5" t="e">
        <f>IF(AND(#REF!&gt;=table!$C$6,#REF!&lt;= table!$D$6),-1,IF(AND(#REF!&gt;=table!$E$6,#REF!&lt;=table!$F$6),1,0))</f>
        <v>#REF!</v>
      </c>
      <c r="R1167" s="5" t="e">
        <f>IF(AND(#REF!&gt;=table!$C$7,#REF!&lt;= table!$D$7),-1,IF(AND(#REF!&gt;=table!$E$7,#REF!&lt;=table!$F$7),1,0))</f>
        <v>#REF!</v>
      </c>
      <c r="S1167" s="5" t="e">
        <f>IF(AND(#REF!&gt;=table!$C$8,#REF!&lt;= table!$D$8),-1,IF(AND(#REF!&gt;=table!$E$8,#REF!&lt;=table!$F$8),1,0))</f>
        <v>#REF!</v>
      </c>
      <c r="T1167" s="5"/>
      <c r="U1167" s="5" t="e">
        <f>IF(AND(#REF!&gt;=table!$C$10,#REF!&lt;= table!$D$10),-1,IF(AND(#REF!&gt;=table!$E$10,#REF!&lt;=table!$F$10),1,0))</f>
        <v>#REF!</v>
      </c>
      <c r="V1167" s="5" t="e">
        <f>IF(AND(#REF!&gt;=table!$C$11,#REF!&lt;= table!$D$11),-1,IF(AND(#REF!&gt;=table!$E$11,#REF!&lt;=table!$F$11),1,0))</f>
        <v>#REF!</v>
      </c>
      <c r="W1167" s="5" t="e">
        <f>CONCATENATE(dados[[#This Row],[fator1]],dados[[#This Row],[fator5]],dados[[#This Row],[fator6]])</f>
        <v>#REF!</v>
      </c>
    </row>
    <row r="1168" spans="1:23">
      <c r="A1168" t="s">
        <v>16</v>
      </c>
      <c r="B1168">
        <v>484230</v>
      </c>
      <c r="C1168">
        <v>0.15</v>
      </c>
      <c r="D1168">
        <v>40</v>
      </c>
      <c r="E1168">
        <v>10</v>
      </c>
      <c r="F1168">
        <v>15</v>
      </c>
      <c r="G1168">
        <v>0</v>
      </c>
      <c r="H1168">
        <v>15</v>
      </c>
      <c r="I1168">
        <v>679</v>
      </c>
      <c r="J1168">
        <v>0</v>
      </c>
      <c r="K1168">
        <v>5.04</v>
      </c>
      <c r="L1168">
        <v>7.8950000000000005</v>
      </c>
      <c r="M1168">
        <v>6.3</v>
      </c>
      <c r="N1168">
        <v>9.4500000000000011</v>
      </c>
      <c r="O1168">
        <v>1679</v>
      </c>
      <c r="P1168">
        <v>0</v>
      </c>
      <c r="Q1168" s="5" t="e">
        <f>IF(AND(#REF!&gt;=table!$C$6,#REF!&lt;= table!$D$6),-1,IF(AND(#REF!&gt;=table!$E$6,#REF!&lt;=table!$F$6),1,0))</f>
        <v>#REF!</v>
      </c>
      <c r="R1168" s="5" t="e">
        <f>IF(AND(#REF!&gt;=table!$C$7,#REF!&lt;= table!$D$7),-1,IF(AND(#REF!&gt;=table!$E$7,#REF!&lt;=table!$F$7),1,0))</f>
        <v>#REF!</v>
      </c>
      <c r="S1168" s="5" t="e">
        <f>IF(AND(#REF!&gt;=table!$C$8,#REF!&lt;= table!$D$8),-1,IF(AND(#REF!&gt;=table!$E$8,#REF!&lt;=table!$F$8),1,0))</f>
        <v>#REF!</v>
      </c>
      <c r="T1168" s="5"/>
      <c r="U1168" s="5" t="e">
        <f>IF(AND(#REF!&gt;=table!$C$10,#REF!&lt;= table!$D$10),-1,IF(AND(#REF!&gt;=table!$E$10,#REF!&lt;=table!$F$10),1,0))</f>
        <v>#REF!</v>
      </c>
      <c r="V1168" s="5" t="e">
        <f>IF(AND(#REF!&gt;=table!$C$11,#REF!&lt;= table!$D$11),-1,IF(AND(#REF!&gt;=table!$E$11,#REF!&lt;=table!$F$11),1,0))</f>
        <v>#REF!</v>
      </c>
      <c r="W1168" s="5" t="e">
        <f>CONCATENATE(dados[[#This Row],[fator1]],dados[[#This Row],[fator5]],dados[[#This Row],[fator6]])</f>
        <v>#REF!</v>
      </c>
    </row>
    <row r="1169" spans="1:23">
      <c r="A1169" t="s">
        <v>16</v>
      </c>
      <c r="B1169">
        <v>484236</v>
      </c>
      <c r="C1169">
        <v>6</v>
      </c>
      <c r="D1169">
        <v>40</v>
      </c>
      <c r="E1169">
        <v>66</v>
      </c>
      <c r="F1169">
        <v>10</v>
      </c>
      <c r="G1169">
        <v>0</v>
      </c>
      <c r="H1169">
        <v>25</v>
      </c>
      <c r="I1169">
        <v>282</v>
      </c>
      <c r="J1169">
        <v>0</v>
      </c>
      <c r="K1169">
        <v>5.36</v>
      </c>
      <c r="L1169">
        <v>5.9</v>
      </c>
      <c r="M1169">
        <v>50.855000000000004</v>
      </c>
      <c r="N1169">
        <v>8.27</v>
      </c>
      <c r="O1169">
        <v>1622</v>
      </c>
      <c r="P1169">
        <v>615</v>
      </c>
      <c r="Q1169" s="5" t="e">
        <f>IF(AND(#REF!&gt;=table!$C$6,#REF!&lt;= table!$D$6),-1,IF(AND(#REF!&gt;=table!$E$6,#REF!&lt;=table!$F$6),1,0))</f>
        <v>#REF!</v>
      </c>
      <c r="R1169" s="5" t="e">
        <f>IF(AND(#REF!&gt;=table!$C$7,#REF!&lt;= table!$D$7),-1,IF(AND(#REF!&gt;=table!$E$7,#REF!&lt;=table!$F$7),1,0))</f>
        <v>#REF!</v>
      </c>
      <c r="S1169" s="5" t="e">
        <f>IF(AND(#REF!&gt;=table!$C$8,#REF!&lt;= table!$D$8),-1,IF(AND(#REF!&gt;=table!$E$8,#REF!&lt;=table!$F$8),1,0))</f>
        <v>#REF!</v>
      </c>
      <c r="T1169" s="5"/>
      <c r="U1169" s="5" t="e">
        <f>IF(AND(#REF!&gt;=table!$C$10,#REF!&lt;= table!$D$10),-1,IF(AND(#REF!&gt;=table!$E$10,#REF!&lt;=table!$F$10),1,0))</f>
        <v>#REF!</v>
      </c>
      <c r="V1169" s="5" t="e">
        <f>IF(AND(#REF!&gt;=table!$C$11,#REF!&lt;= table!$D$11),-1,IF(AND(#REF!&gt;=table!$E$11,#REF!&lt;=table!$F$11),1,0))</f>
        <v>#REF!</v>
      </c>
      <c r="W1169" s="5" t="e">
        <f>CONCATENATE(dados[[#This Row],[fator1]],dados[[#This Row],[fator5]],dados[[#This Row],[fator6]])</f>
        <v>#REF!</v>
      </c>
    </row>
    <row r="1170" spans="1:23">
      <c r="A1170" t="s">
        <v>16</v>
      </c>
      <c r="B1170">
        <v>484241</v>
      </c>
      <c r="C1170">
        <v>0.1</v>
      </c>
      <c r="D1170">
        <v>40</v>
      </c>
      <c r="E1170">
        <v>10</v>
      </c>
      <c r="F1170">
        <v>8</v>
      </c>
      <c r="G1170">
        <v>0</v>
      </c>
      <c r="H1170">
        <v>10</v>
      </c>
      <c r="I1170">
        <v>1187</v>
      </c>
      <c r="J1170">
        <v>0</v>
      </c>
      <c r="K1170">
        <v>5.2050000000000001</v>
      </c>
      <c r="L1170">
        <v>8.93</v>
      </c>
      <c r="M1170">
        <v>7.05</v>
      </c>
      <c r="N1170">
        <v>8.1</v>
      </c>
      <c r="O1170">
        <v>1678</v>
      </c>
      <c r="P1170">
        <v>770</v>
      </c>
      <c r="Q1170" s="5" t="e">
        <f>IF(AND(#REF!&gt;=table!$C$6,#REF!&lt;= table!$D$6),-1,IF(AND(#REF!&gt;=table!$E$6,#REF!&lt;=table!$F$6),1,0))</f>
        <v>#REF!</v>
      </c>
      <c r="R1170" s="5" t="e">
        <f>IF(AND(#REF!&gt;=table!$C$7,#REF!&lt;= table!$D$7),-1,IF(AND(#REF!&gt;=table!$E$7,#REF!&lt;=table!$F$7),1,0))</f>
        <v>#REF!</v>
      </c>
      <c r="S1170" s="5" t="e">
        <f>IF(AND(#REF!&gt;=table!$C$8,#REF!&lt;= table!$D$8),-1,IF(AND(#REF!&gt;=table!$E$8,#REF!&lt;=table!$F$8),1,0))</f>
        <v>#REF!</v>
      </c>
      <c r="T1170" s="5"/>
      <c r="U1170" s="5" t="e">
        <f>IF(AND(#REF!&gt;=table!$C$10,#REF!&lt;= table!$D$10),-1,IF(AND(#REF!&gt;=table!$E$10,#REF!&lt;=table!$F$10),1,0))</f>
        <v>#REF!</v>
      </c>
      <c r="V1170" s="5" t="e">
        <f>IF(AND(#REF!&gt;=table!$C$11,#REF!&lt;= table!$D$11),-1,IF(AND(#REF!&gt;=table!$E$11,#REF!&lt;=table!$F$11),1,0))</f>
        <v>#REF!</v>
      </c>
      <c r="W1170" s="5" t="e">
        <f>CONCATENATE(dados[[#This Row],[fator1]],dados[[#This Row],[fator5]],dados[[#This Row],[fator6]])</f>
        <v>#REF!</v>
      </c>
    </row>
    <row r="1171" spans="1:23">
      <c r="A1171" t="s">
        <v>17</v>
      </c>
      <c r="B1171">
        <v>484243</v>
      </c>
      <c r="C1171">
        <v>46</v>
      </c>
      <c r="D1171">
        <v>18</v>
      </c>
      <c r="E1171">
        <v>66</v>
      </c>
      <c r="F1171">
        <v>10</v>
      </c>
      <c r="G1171">
        <v>20</v>
      </c>
      <c r="H1171">
        <v>23</v>
      </c>
      <c r="I1171">
        <v>89</v>
      </c>
      <c r="J1171">
        <v>0</v>
      </c>
      <c r="K1171">
        <v>5.0449999999999999</v>
      </c>
      <c r="L1171">
        <v>13.9</v>
      </c>
      <c r="M1171">
        <v>51.7</v>
      </c>
      <c r="N1171">
        <v>11.25</v>
      </c>
      <c r="O1171">
        <v>1632</v>
      </c>
      <c r="P1171">
        <v>534</v>
      </c>
      <c r="Q1171" s="5" t="e">
        <f>IF(AND(#REF!&gt;=table!$C$6,#REF!&lt;= table!$D$6),-1,IF(AND(#REF!&gt;=table!$E$6,#REF!&lt;=table!$F$6),1,0))</f>
        <v>#REF!</v>
      </c>
      <c r="R1171" s="5" t="e">
        <f>IF(AND(#REF!&gt;=table!$C$7,#REF!&lt;= table!$D$7),-1,IF(AND(#REF!&gt;=table!$E$7,#REF!&lt;=table!$F$7),1,0))</f>
        <v>#REF!</v>
      </c>
      <c r="S1171" s="5" t="e">
        <f>IF(AND(#REF!&gt;=table!$C$8,#REF!&lt;= table!$D$8),-1,IF(AND(#REF!&gt;=table!$E$8,#REF!&lt;=table!$F$8),1,0))</f>
        <v>#REF!</v>
      </c>
      <c r="T1171" s="5"/>
      <c r="U1171" s="5" t="e">
        <f>IF(AND(#REF!&gt;=table!$C$10,#REF!&lt;= table!$D$10),-1,IF(AND(#REF!&gt;=table!$E$10,#REF!&lt;=table!$F$10),1,0))</f>
        <v>#REF!</v>
      </c>
      <c r="V1171" s="5" t="e">
        <f>IF(AND(#REF!&gt;=table!$C$11,#REF!&lt;= table!$D$11),-1,IF(AND(#REF!&gt;=table!$E$11,#REF!&lt;=table!$F$11),1,0))</f>
        <v>#REF!</v>
      </c>
      <c r="W1171" s="5" t="e">
        <f>CONCATENATE(dados[[#This Row],[fator1]],dados[[#This Row],[fator5]],dados[[#This Row],[fator6]])</f>
        <v>#REF!</v>
      </c>
    </row>
    <row r="1172" spans="1:23">
      <c r="A1172" t="s">
        <v>17</v>
      </c>
      <c r="B1172">
        <v>484245</v>
      </c>
      <c r="C1172">
        <v>46</v>
      </c>
      <c r="D1172">
        <v>28</v>
      </c>
      <c r="E1172">
        <v>66</v>
      </c>
      <c r="F1172">
        <v>10</v>
      </c>
      <c r="G1172">
        <v>20</v>
      </c>
      <c r="H1172">
        <v>23</v>
      </c>
      <c r="I1172">
        <v>854</v>
      </c>
      <c r="J1172">
        <v>0</v>
      </c>
      <c r="K1172">
        <v>4.6050000000000004</v>
      </c>
      <c r="L1172">
        <v>11.6</v>
      </c>
      <c r="M1172">
        <v>65.400000000000006</v>
      </c>
      <c r="N1172">
        <v>18.900000000000002</v>
      </c>
      <c r="O1172">
        <v>1662</v>
      </c>
      <c r="P1172">
        <v>823</v>
      </c>
      <c r="Q1172" s="5" t="e">
        <f>IF(AND(#REF!&gt;=table!$C$6,#REF!&lt;= table!$D$6),-1,IF(AND(#REF!&gt;=table!$E$6,#REF!&lt;=table!$F$6),1,0))</f>
        <v>#REF!</v>
      </c>
      <c r="R1172" s="5" t="e">
        <f>IF(AND(#REF!&gt;=table!$C$7,#REF!&lt;= table!$D$7),-1,IF(AND(#REF!&gt;=table!$E$7,#REF!&lt;=table!$F$7),1,0))</f>
        <v>#REF!</v>
      </c>
      <c r="S1172" s="5" t="e">
        <f>IF(AND(#REF!&gt;=table!$C$8,#REF!&lt;= table!$D$8),-1,IF(AND(#REF!&gt;=table!$E$8,#REF!&lt;=table!$F$8),1,0))</f>
        <v>#REF!</v>
      </c>
      <c r="T1172" s="5"/>
      <c r="U1172" s="5" t="e">
        <f>IF(AND(#REF!&gt;=table!$C$10,#REF!&lt;= table!$D$10),-1,IF(AND(#REF!&gt;=table!$E$10,#REF!&lt;=table!$F$10),1,0))</f>
        <v>#REF!</v>
      </c>
      <c r="V1172" s="5" t="e">
        <f>IF(AND(#REF!&gt;=table!$C$11,#REF!&lt;= table!$D$11),-1,IF(AND(#REF!&gt;=table!$E$11,#REF!&lt;=table!$F$11),1,0))</f>
        <v>#REF!</v>
      </c>
      <c r="W1172" s="5" t="e">
        <f>CONCATENATE(dados[[#This Row],[fator1]],dados[[#This Row],[fator5]],dados[[#This Row],[fator6]])</f>
        <v>#REF!</v>
      </c>
    </row>
    <row r="1173" spans="1:23">
      <c r="A1173" t="s">
        <v>18</v>
      </c>
      <c r="B1173">
        <v>484246</v>
      </c>
      <c r="C1173">
        <v>3</v>
      </c>
      <c r="D1173">
        <v>5</v>
      </c>
      <c r="E1173">
        <v>26</v>
      </c>
      <c r="F1173">
        <v>15</v>
      </c>
      <c r="G1173">
        <v>42</v>
      </c>
      <c r="H1173">
        <v>30</v>
      </c>
      <c r="I1173">
        <v>680</v>
      </c>
      <c r="J1173">
        <v>0</v>
      </c>
      <c r="K1173">
        <v>5.93</v>
      </c>
      <c r="L1173">
        <v>8.4499999999999993</v>
      </c>
      <c r="M1173">
        <v>23.25</v>
      </c>
      <c r="N1173">
        <v>9.75</v>
      </c>
      <c r="O1173">
        <v>1652</v>
      </c>
      <c r="P1173">
        <v>578</v>
      </c>
      <c r="Q1173" s="5" t="e">
        <f>IF(AND(#REF!&gt;=table!$C$6,#REF!&lt;= table!$D$6),-1,IF(AND(#REF!&gt;=table!$E$6,#REF!&lt;=table!$F$6),1,0))</f>
        <v>#REF!</v>
      </c>
      <c r="R1173" s="5" t="e">
        <f>IF(AND(#REF!&gt;=table!$C$7,#REF!&lt;= table!$D$7),-1,IF(AND(#REF!&gt;=table!$E$7,#REF!&lt;=table!$F$7),1,0))</f>
        <v>#REF!</v>
      </c>
      <c r="S1173" s="5" t="e">
        <f>IF(AND(#REF!&gt;=table!$C$8,#REF!&lt;= table!$D$8),-1,IF(AND(#REF!&gt;=table!$E$8,#REF!&lt;=table!$F$8),1,0))</f>
        <v>#REF!</v>
      </c>
      <c r="T1173" s="5"/>
      <c r="U1173" s="5" t="e">
        <f>IF(AND(#REF!&gt;=table!$C$10,#REF!&lt;= table!$D$10),-1,IF(AND(#REF!&gt;=table!$E$10,#REF!&lt;=table!$F$10),1,0))</f>
        <v>#REF!</v>
      </c>
      <c r="V1173" s="5" t="e">
        <f>IF(AND(#REF!&gt;=table!$C$11,#REF!&lt;= table!$D$11),-1,IF(AND(#REF!&gt;=table!$E$11,#REF!&lt;=table!$F$11),1,0))</f>
        <v>#REF!</v>
      </c>
      <c r="W1173" s="5" t="e">
        <f>CONCATENATE(dados[[#This Row],[fator1]],dados[[#This Row],[fator5]],dados[[#This Row],[fator6]])</f>
        <v>#REF!</v>
      </c>
    </row>
    <row r="1174" spans="1:23">
      <c r="A1174" t="s">
        <v>16</v>
      </c>
      <c r="B1174">
        <v>484257</v>
      </c>
      <c r="C1174">
        <v>10</v>
      </c>
      <c r="D1174">
        <v>45</v>
      </c>
      <c r="E1174">
        <v>156</v>
      </c>
      <c r="F1174">
        <v>8</v>
      </c>
      <c r="G1174">
        <v>0</v>
      </c>
      <c r="H1174">
        <v>25</v>
      </c>
      <c r="I1174">
        <v>360</v>
      </c>
      <c r="J1174">
        <v>0</v>
      </c>
      <c r="K1174">
        <v>4.9750000000000005</v>
      </c>
      <c r="L1174">
        <v>10.4</v>
      </c>
      <c r="M1174">
        <v>124.23</v>
      </c>
      <c r="N1174">
        <v>13.280000000000001</v>
      </c>
      <c r="O1174">
        <v>1665</v>
      </c>
      <c r="P1174">
        <v>0</v>
      </c>
      <c r="Q1174" s="5" t="e">
        <f>IF(AND(#REF!&gt;=table!$C$6,#REF!&lt;= table!$D$6),-1,IF(AND(#REF!&gt;=table!$E$6,#REF!&lt;=table!$F$6),1,0))</f>
        <v>#REF!</v>
      </c>
      <c r="R1174" s="5" t="e">
        <f>IF(AND(#REF!&gt;=table!$C$7,#REF!&lt;= table!$D$7),-1,IF(AND(#REF!&gt;=table!$E$7,#REF!&lt;=table!$F$7),1,0))</f>
        <v>#REF!</v>
      </c>
      <c r="S1174" s="5" t="e">
        <f>IF(AND(#REF!&gt;=table!$C$8,#REF!&lt;= table!$D$8),-1,IF(AND(#REF!&gt;=table!$E$8,#REF!&lt;=table!$F$8),1,0))</f>
        <v>#REF!</v>
      </c>
      <c r="T1174" s="5"/>
      <c r="U1174" s="5" t="e">
        <f>IF(AND(#REF!&gt;=table!$C$10,#REF!&lt;= table!$D$10),-1,IF(AND(#REF!&gt;=table!$E$10,#REF!&lt;=table!$F$10),1,0))</f>
        <v>#REF!</v>
      </c>
      <c r="V1174" s="5" t="e">
        <f>IF(AND(#REF!&gt;=table!$C$11,#REF!&lt;= table!$D$11),-1,IF(AND(#REF!&gt;=table!$E$11,#REF!&lt;=table!$F$11),1,0))</f>
        <v>#REF!</v>
      </c>
      <c r="W1174" s="5" t="e">
        <f>CONCATENATE(dados[[#This Row],[fator1]],dados[[#This Row],[fator5]],dados[[#This Row],[fator6]])</f>
        <v>#REF!</v>
      </c>
    </row>
    <row r="1175" spans="1:23">
      <c r="A1175" t="s">
        <v>16</v>
      </c>
      <c r="B1175">
        <v>484259</v>
      </c>
      <c r="C1175">
        <v>11</v>
      </c>
      <c r="D1175">
        <v>40</v>
      </c>
      <c r="E1175">
        <v>151</v>
      </c>
      <c r="F1175">
        <v>8</v>
      </c>
      <c r="G1175">
        <v>0</v>
      </c>
      <c r="H1175">
        <v>25</v>
      </c>
      <c r="I1175">
        <v>778</v>
      </c>
      <c r="J1175">
        <v>0</v>
      </c>
      <c r="K1175">
        <v>2.46</v>
      </c>
      <c r="L1175">
        <v>8.0500000000000007</v>
      </c>
      <c r="M1175">
        <v>132.85</v>
      </c>
      <c r="N1175">
        <v>12</v>
      </c>
      <c r="O1175">
        <v>1674</v>
      </c>
      <c r="P1175">
        <v>1125</v>
      </c>
      <c r="Q1175" s="5" t="e">
        <f>IF(AND(#REF!&gt;=table!$C$6,#REF!&lt;= table!$D$6),-1,IF(AND(#REF!&gt;=table!$E$6,#REF!&lt;=table!$F$6),1,0))</f>
        <v>#REF!</v>
      </c>
      <c r="R1175" s="5" t="e">
        <f>IF(AND(#REF!&gt;=table!$C$7,#REF!&lt;= table!$D$7),-1,IF(AND(#REF!&gt;=table!$E$7,#REF!&lt;=table!$F$7),1,0))</f>
        <v>#REF!</v>
      </c>
      <c r="S1175" s="5" t="e">
        <f>IF(AND(#REF!&gt;=table!$C$8,#REF!&lt;= table!$D$8),-1,IF(AND(#REF!&gt;=table!$E$8,#REF!&lt;=table!$F$8),1,0))</f>
        <v>#REF!</v>
      </c>
      <c r="T1175" s="5"/>
      <c r="U1175" s="5" t="e">
        <f>IF(AND(#REF!&gt;=table!$C$10,#REF!&lt;= table!$D$10),-1,IF(AND(#REF!&gt;=table!$E$10,#REF!&lt;=table!$F$10),1,0))</f>
        <v>#REF!</v>
      </c>
      <c r="V1175" s="5" t="e">
        <f>IF(AND(#REF!&gt;=table!$C$11,#REF!&lt;= table!$D$11),-1,IF(AND(#REF!&gt;=table!$E$11,#REF!&lt;=table!$F$11),1,0))</f>
        <v>#REF!</v>
      </c>
      <c r="W1175" s="5" t="e">
        <f>CONCATENATE(dados[[#This Row],[fator1]],dados[[#This Row],[fator5]],dados[[#This Row],[fator6]])</f>
        <v>#REF!</v>
      </c>
    </row>
    <row r="1176" spans="1:23">
      <c r="A1176" t="s">
        <v>16</v>
      </c>
      <c r="B1176">
        <v>484261</v>
      </c>
      <c r="C1176">
        <v>11</v>
      </c>
      <c r="D1176">
        <v>40</v>
      </c>
      <c r="E1176">
        <v>151</v>
      </c>
      <c r="F1176">
        <v>8</v>
      </c>
      <c r="G1176">
        <v>0</v>
      </c>
      <c r="H1176">
        <v>25</v>
      </c>
      <c r="I1176">
        <v>443</v>
      </c>
      <c r="J1176">
        <v>0</v>
      </c>
      <c r="K1176">
        <v>8.26</v>
      </c>
      <c r="L1176">
        <v>14.950000000000001</v>
      </c>
      <c r="M1176">
        <v>131.85</v>
      </c>
      <c r="N1176">
        <v>16.2</v>
      </c>
      <c r="O1176">
        <v>1687</v>
      </c>
      <c r="P1176">
        <v>426</v>
      </c>
      <c r="Q1176" s="5" t="e">
        <f>IF(AND(#REF!&gt;=table!$C$6,#REF!&lt;= table!$D$6),-1,IF(AND(#REF!&gt;=table!$E$6,#REF!&lt;=table!$F$6),1,0))</f>
        <v>#REF!</v>
      </c>
      <c r="R1176" s="5" t="e">
        <f>IF(AND(#REF!&gt;=table!$C$7,#REF!&lt;= table!$D$7),-1,IF(AND(#REF!&gt;=table!$E$7,#REF!&lt;=table!$F$7),1,0))</f>
        <v>#REF!</v>
      </c>
      <c r="S1176" s="5" t="e">
        <f>IF(AND(#REF!&gt;=table!$C$8,#REF!&lt;= table!$D$8),-1,IF(AND(#REF!&gt;=table!$E$8,#REF!&lt;=table!$F$8),1,0))</f>
        <v>#REF!</v>
      </c>
      <c r="T1176" s="5"/>
      <c r="U1176" s="5" t="e">
        <f>IF(AND(#REF!&gt;=table!$C$10,#REF!&lt;= table!$D$10),-1,IF(AND(#REF!&gt;=table!$E$10,#REF!&lt;=table!$F$10),1,0))</f>
        <v>#REF!</v>
      </c>
      <c r="V1176" s="5" t="e">
        <f>IF(AND(#REF!&gt;=table!$C$11,#REF!&lt;= table!$D$11),-1,IF(AND(#REF!&gt;=table!$E$11,#REF!&lt;=table!$F$11),1,0))</f>
        <v>#REF!</v>
      </c>
      <c r="W1176" s="5" t="e">
        <f>CONCATENATE(dados[[#This Row],[fator1]],dados[[#This Row],[fator5]],dados[[#This Row],[fator6]])</f>
        <v>#REF!</v>
      </c>
    </row>
    <row r="1177" spans="1:23">
      <c r="A1177" t="s">
        <v>16</v>
      </c>
      <c r="B1177">
        <v>484263</v>
      </c>
      <c r="C1177">
        <v>0.15</v>
      </c>
      <c r="D1177">
        <v>35</v>
      </c>
      <c r="E1177">
        <v>15</v>
      </c>
      <c r="F1177">
        <v>10</v>
      </c>
      <c r="G1177">
        <v>0</v>
      </c>
      <c r="H1177">
        <v>12</v>
      </c>
      <c r="I1177">
        <v>1027</v>
      </c>
      <c r="J1177">
        <v>620</v>
      </c>
      <c r="K1177">
        <v>9.18</v>
      </c>
      <c r="L1177">
        <v>10.3</v>
      </c>
      <c r="M1177">
        <v>9.42</v>
      </c>
      <c r="N1177">
        <v>7.4250000000000007</v>
      </c>
      <c r="O1177">
        <v>1661</v>
      </c>
      <c r="P1177">
        <v>414</v>
      </c>
      <c r="Q1177" s="5" t="e">
        <f>IF(AND(#REF!&gt;=table!$C$6,#REF!&lt;= table!$D$6),-1,IF(AND(#REF!&gt;=table!$E$6,#REF!&lt;=table!$F$6),1,0))</f>
        <v>#REF!</v>
      </c>
      <c r="R1177" s="5" t="e">
        <f>IF(AND(#REF!&gt;=table!$C$7,#REF!&lt;= table!$D$7),-1,IF(AND(#REF!&gt;=table!$E$7,#REF!&lt;=table!$F$7),1,0))</f>
        <v>#REF!</v>
      </c>
      <c r="S1177" s="5" t="e">
        <f>IF(AND(#REF!&gt;=table!$C$8,#REF!&lt;= table!$D$8),-1,IF(AND(#REF!&gt;=table!$E$8,#REF!&lt;=table!$F$8),1,0))</f>
        <v>#REF!</v>
      </c>
      <c r="T1177" s="5"/>
      <c r="U1177" s="5" t="e">
        <f>IF(AND(#REF!&gt;=table!$C$10,#REF!&lt;= table!$D$10),-1,IF(AND(#REF!&gt;=table!$E$10,#REF!&lt;=table!$F$10),1,0))</f>
        <v>#REF!</v>
      </c>
      <c r="V1177" s="5" t="e">
        <f>IF(AND(#REF!&gt;=table!$C$11,#REF!&lt;= table!$D$11),-1,IF(AND(#REF!&gt;=table!$E$11,#REF!&lt;=table!$F$11),1,0))</f>
        <v>#REF!</v>
      </c>
      <c r="W1177" s="5" t="e">
        <f>CONCATENATE(dados[[#This Row],[fator1]],dados[[#This Row],[fator5]],dados[[#This Row],[fator6]])</f>
        <v>#REF!</v>
      </c>
    </row>
    <row r="1178" spans="1:23">
      <c r="A1178" t="s">
        <v>16</v>
      </c>
      <c r="B1178">
        <v>484265</v>
      </c>
      <c r="C1178">
        <v>0.1</v>
      </c>
      <c r="D1178">
        <v>35</v>
      </c>
      <c r="E1178">
        <v>10</v>
      </c>
      <c r="F1178">
        <v>10</v>
      </c>
      <c r="G1178">
        <v>0</v>
      </c>
      <c r="H1178">
        <v>12</v>
      </c>
      <c r="I1178">
        <v>1088</v>
      </c>
      <c r="J1178">
        <v>0</v>
      </c>
      <c r="K1178">
        <v>6.6000000000000005</v>
      </c>
      <c r="L1178">
        <v>11.35</v>
      </c>
      <c r="M1178">
        <v>10.55</v>
      </c>
      <c r="N1178">
        <v>10.65</v>
      </c>
      <c r="O1178">
        <v>1661</v>
      </c>
      <c r="P1178">
        <v>547</v>
      </c>
      <c r="Q1178" s="5" t="e">
        <f>IF(AND(#REF!&gt;=table!$C$6,#REF!&lt;= table!$D$6),-1,IF(AND(#REF!&gt;=table!$E$6,#REF!&lt;=table!$F$6),1,0))</f>
        <v>#REF!</v>
      </c>
      <c r="R1178" s="5" t="e">
        <f>IF(AND(#REF!&gt;=table!$C$7,#REF!&lt;= table!$D$7),-1,IF(AND(#REF!&gt;=table!$E$7,#REF!&lt;=table!$F$7),1,0))</f>
        <v>#REF!</v>
      </c>
      <c r="S1178" s="5" t="e">
        <f>IF(AND(#REF!&gt;=table!$C$8,#REF!&lt;= table!$D$8),-1,IF(AND(#REF!&gt;=table!$E$8,#REF!&lt;=table!$F$8),1,0))</f>
        <v>#REF!</v>
      </c>
      <c r="T1178" s="5"/>
      <c r="U1178" s="5" t="e">
        <f>IF(AND(#REF!&gt;=table!$C$10,#REF!&lt;= table!$D$10),-1,IF(AND(#REF!&gt;=table!$E$10,#REF!&lt;=table!$F$10),1,0))</f>
        <v>#REF!</v>
      </c>
      <c r="V1178" s="5" t="e">
        <f>IF(AND(#REF!&gt;=table!$C$11,#REF!&lt;= table!$D$11),-1,IF(AND(#REF!&gt;=table!$E$11,#REF!&lt;=table!$F$11),1,0))</f>
        <v>#REF!</v>
      </c>
      <c r="W1178" s="5" t="e">
        <f>CONCATENATE(dados[[#This Row],[fator1]],dados[[#This Row],[fator5]],dados[[#This Row],[fator6]])</f>
        <v>#REF!</v>
      </c>
    </row>
    <row r="1179" spans="1:23">
      <c r="A1179" t="s">
        <v>16</v>
      </c>
      <c r="B1179">
        <v>484266</v>
      </c>
      <c r="C1179">
        <v>0.15</v>
      </c>
      <c r="D1179">
        <v>40</v>
      </c>
      <c r="E1179">
        <v>10</v>
      </c>
      <c r="F1179">
        <v>15</v>
      </c>
      <c r="G1179">
        <v>0</v>
      </c>
      <c r="H1179">
        <v>15</v>
      </c>
      <c r="I1179">
        <v>1093</v>
      </c>
      <c r="J1179">
        <v>0</v>
      </c>
      <c r="K1179">
        <v>3.9450000000000003</v>
      </c>
      <c r="L1179">
        <v>10.9</v>
      </c>
      <c r="M1179">
        <v>9.5</v>
      </c>
      <c r="N1179">
        <v>9</v>
      </c>
      <c r="O1179">
        <v>1677</v>
      </c>
      <c r="P1179">
        <v>0</v>
      </c>
      <c r="Q1179" s="5" t="e">
        <f>IF(AND(#REF!&gt;=table!$C$6,#REF!&lt;= table!$D$6),-1,IF(AND(#REF!&gt;=table!$E$6,#REF!&lt;=table!$F$6),1,0))</f>
        <v>#REF!</v>
      </c>
      <c r="R1179" s="5" t="e">
        <f>IF(AND(#REF!&gt;=table!$C$7,#REF!&lt;= table!$D$7),-1,IF(AND(#REF!&gt;=table!$E$7,#REF!&lt;=table!$F$7),1,0))</f>
        <v>#REF!</v>
      </c>
      <c r="S1179" s="5" t="e">
        <f>IF(AND(#REF!&gt;=table!$C$8,#REF!&lt;= table!$D$8),-1,IF(AND(#REF!&gt;=table!$E$8,#REF!&lt;=table!$F$8),1,0))</f>
        <v>#REF!</v>
      </c>
      <c r="T1179" s="5"/>
      <c r="U1179" s="5" t="e">
        <f>IF(AND(#REF!&gt;=table!$C$10,#REF!&lt;= table!$D$10),-1,IF(AND(#REF!&gt;=table!$E$10,#REF!&lt;=table!$F$10),1,0))</f>
        <v>#REF!</v>
      </c>
      <c r="V1179" s="5" t="e">
        <f>IF(AND(#REF!&gt;=table!$C$11,#REF!&lt;= table!$D$11),-1,IF(AND(#REF!&gt;=table!$E$11,#REF!&lt;=table!$F$11),1,0))</f>
        <v>#REF!</v>
      </c>
      <c r="W1179" s="5" t="e">
        <f>CONCATENATE(dados[[#This Row],[fator1]],dados[[#This Row],[fator5]],dados[[#This Row],[fator6]])</f>
        <v>#REF!</v>
      </c>
    </row>
    <row r="1180" spans="1:23">
      <c r="A1180" t="s">
        <v>16</v>
      </c>
      <c r="B1180">
        <v>484268</v>
      </c>
      <c r="C1180">
        <v>0.1</v>
      </c>
      <c r="D1180">
        <v>40</v>
      </c>
      <c r="E1180">
        <v>10</v>
      </c>
      <c r="F1180">
        <v>8</v>
      </c>
      <c r="G1180">
        <v>0</v>
      </c>
      <c r="H1180">
        <v>10</v>
      </c>
      <c r="I1180">
        <v>913</v>
      </c>
      <c r="J1180">
        <v>0</v>
      </c>
      <c r="K1180">
        <v>5.13</v>
      </c>
      <c r="L1180">
        <v>9.3000000000000007</v>
      </c>
      <c r="M1180">
        <v>8.3000000000000007</v>
      </c>
      <c r="N1180">
        <v>7.55</v>
      </c>
      <c r="O1180">
        <v>1650</v>
      </c>
      <c r="P1180">
        <v>641</v>
      </c>
      <c r="Q1180" s="5" t="e">
        <f>IF(AND(#REF!&gt;=table!$C$6,#REF!&lt;= table!$D$6),-1,IF(AND(#REF!&gt;=table!$E$6,#REF!&lt;=table!$F$6),1,0))</f>
        <v>#REF!</v>
      </c>
      <c r="R1180" s="5" t="e">
        <f>IF(AND(#REF!&gt;=table!$C$7,#REF!&lt;= table!$D$7),-1,IF(AND(#REF!&gt;=table!$E$7,#REF!&lt;=table!$F$7),1,0))</f>
        <v>#REF!</v>
      </c>
      <c r="S1180" s="5" t="e">
        <f>IF(AND(#REF!&gt;=table!$C$8,#REF!&lt;= table!$D$8),-1,IF(AND(#REF!&gt;=table!$E$8,#REF!&lt;=table!$F$8),1,0))</f>
        <v>#REF!</v>
      </c>
      <c r="T1180" s="5"/>
      <c r="U1180" s="5" t="e">
        <f>IF(AND(#REF!&gt;=table!$C$10,#REF!&lt;= table!$D$10),-1,IF(AND(#REF!&gt;=table!$E$10,#REF!&lt;=table!$F$10),1,0))</f>
        <v>#REF!</v>
      </c>
      <c r="V1180" s="5" t="e">
        <f>IF(AND(#REF!&gt;=table!$C$11,#REF!&lt;= table!$D$11),-1,IF(AND(#REF!&gt;=table!$E$11,#REF!&lt;=table!$F$11),1,0))</f>
        <v>#REF!</v>
      </c>
      <c r="W1180" s="5" t="e">
        <f>CONCATENATE(dados[[#This Row],[fator1]],dados[[#This Row],[fator5]],dados[[#This Row],[fator6]])</f>
        <v>#REF!</v>
      </c>
    </row>
    <row r="1181" spans="1:23">
      <c r="A1181" t="s">
        <v>16</v>
      </c>
      <c r="B1181">
        <v>484269</v>
      </c>
      <c r="C1181">
        <v>0.1</v>
      </c>
      <c r="D1181">
        <v>40</v>
      </c>
      <c r="E1181">
        <v>10</v>
      </c>
      <c r="F1181">
        <v>8</v>
      </c>
      <c r="G1181">
        <v>0</v>
      </c>
      <c r="H1181">
        <v>10</v>
      </c>
      <c r="I1181">
        <v>137</v>
      </c>
      <c r="J1181">
        <v>0</v>
      </c>
      <c r="K1181">
        <v>10.645000000000001</v>
      </c>
      <c r="L1181">
        <v>10.6</v>
      </c>
      <c r="M1181">
        <v>10.1</v>
      </c>
      <c r="N1181">
        <v>7.25</v>
      </c>
      <c r="O1181">
        <v>1656</v>
      </c>
      <c r="P1181">
        <v>392</v>
      </c>
      <c r="Q1181" s="5" t="e">
        <f>IF(AND(#REF!&gt;=table!$C$6,#REF!&lt;= table!$D$6),-1,IF(AND(#REF!&gt;=table!$E$6,#REF!&lt;=table!$F$6),1,0))</f>
        <v>#REF!</v>
      </c>
      <c r="R1181" s="5" t="e">
        <f>IF(AND(#REF!&gt;=table!$C$7,#REF!&lt;= table!$D$7),-1,IF(AND(#REF!&gt;=table!$E$7,#REF!&lt;=table!$F$7),1,0))</f>
        <v>#REF!</v>
      </c>
      <c r="S1181" s="5" t="e">
        <f>IF(AND(#REF!&gt;=table!$C$8,#REF!&lt;= table!$D$8),-1,IF(AND(#REF!&gt;=table!$E$8,#REF!&lt;=table!$F$8),1,0))</f>
        <v>#REF!</v>
      </c>
      <c r="T1181" s="5"/>
      <c r="U1181" s="5" t="e">
        <f>IF(AND(#REF!&gt;=table!$C$10,#REF!&lt;= table!$D$10),-1,IF(AND(#REF!&gt;=table!$E$10,#REF!&lt;=table!$F$10),1,0))</f>
        <v>#REF!</v>
      </c>
      <c r="V1181" s="5" t="e">
        <f>IF(AND(#REF!&gt;=table!$C$11,#REF!&lt;= table!$D$11),-1,IF(AND(#REF!&gt;=table!$E$11,#REF!&lt;=table!$F$11),1,0))</f>
        <v>#REF!</v>
      </c>
      <c r="W1181" s="5" t="e">
        <f>CONCATENATE(dados[[#This Row],[fator1]],dados[[#This Row],[fator5]],dados[[#This Row],[fator6]])</f>
        <v>#REF!</v>
      </c>
    </row>
    <row r="1182" spans="1:23">
      <c r="A1182" t="s">
        <v>16</v>
      </c>
      <c r="B1182">
        <v>484272</v>
      </c>
      <c r="C1182">
        <v>0.15</v>
      </c>
      <c r="D1182">
        <v>40</v>
      </c>
      <c r="E1182">
        <v>10</v>
      </c>
      <c r="F1182">
        <v>15</v>
      </c>
      <c r="G1182">
        <v>0</v>
      </c>
      <c r="H1182">
        <v>15</v>
      </c>
      <c r="I1182">
        <v>200</v>
      </c>
      <c r="J1182">
        <v>850</v>
      </c>
      <c r="K1182">
        <v>16.025000000000002</v>
      </c>
      <c r="L1182">
        <v>10.005000000000001</v>
      </c>
      <c r="M1182">
        <v>6.3500000000000005</v>
      </c>
      <c r="N1182">
        <v>4.55</v>
      </c>
      <c r="O1182">
        <v>1603</v>
      </c>
      <c r="P1182">
        <v>236</v>
      </c>
      <c r="Q1182" s="5" t="e">
        <f>IF(AND(#REF!&gt;=table!$C$6,#REF!&lt;= table!$D$6),-1,IF(AND(#REF!&gt;=table!$E$6,#REF!&lt;=table!$F$6),1,0))</f>
        <v>#REF!</v>
      </c>
      <c r="R1182" s="5" t="e">
        <f>IF(AND(#REF!&gt;=table!$C$7,#REF!&lt;= table!$D$7),-1,IF(AND(#REF!&gt;=table!$E$7,#REF!&lt;=table!$F$7),1,0))</f>
        <v>#REF!</v>
      </c>
      <c r="S1182" s="5" t="e">
        <f>IF(AND(#REF!&gt;=table!$C$8,#REF!&lt;= table!$D$8),-1,IF(AND(#REF!&gt;=table!$E$8,#REF!&lt;=table!$F$8),1,0))</f>
        <v>#REF!</v>
      </c>
      <c r="T1182" s="5"/>
      <c r="U1182" s="5" t="e">
        <f>IF(AND(#REF!&gt;=table!$C$10,#REF!&lt;= table!$D$10),-1,IF(AND(#REF!&gt;=table!$E$10,#REF!&lt;=table!$F$10),1,0))</f>
        <v>#REF!</v>
      </c>
      <c r="V1182" s="5" t="e">
        <f>IF(AND(#REF!&gt;=table!$C$11,#REF!&lt;= table!$D$11),-1,IF(AND(#REF!&gt;=table!$E$11,#REF!&lt;=table!$F$11),1,0))</f>
        <v>#REF!</v>
      </c>
      <c r="W1182" s="5" t="e">
        <f>CONCATENATE(dados[[#This Row],[fator1]],dados[[#This Row],[fator5]],dados[[#This Row],[fator6]])</f>
        <v>#REF!</v>
      </c>
    </row>
    <row r="1183" spans="1:23">
      <c r="A1183" t="s">
        <v>17</v>
      </c>
      <c r="B1183">
        <v>484273</v>
      </c>
      <c r="C1183">
        <v>7</v>
      </c>
      <c r="D1183">
        <v>30</v>
      </c>
      <c r="E1183">
        <v>175</v>
      </c>
      <c r="F1183">
        <v>3</v>
      </c>
      <c r="G1183">
        <v>25</v>
      </c>
      <c r="H1183">
        <v>18</v>
      </c>
      <c r="I1183">
        <v>700</v>
      </c>
      <c r="J1183">
        <v>0</v>
      </c>
      <c r="K1183">
        <v>4.88</v>
      </c>
      <c r="L1183">
        <v>9.5500000000000007</v>
      </c>
      <c r="M1183">
        <v>165.15</v>
      </c>
      <c r="N1183">
        <v>9.75</v>
      </c>
      <c r="O1183">
        <v>1690</v>
      </c>
      <c r="P1183">
        <v>0</v>
      </c>
      <c r="Q1183" s="5" t="e">
        <f>IF(AND(#REF!&gt;=table!$C$6,#REF!&lt;= table!$D$6),-1,IF(AND(#REF!&gt;=table!$E$6,#REF!&lt;=table!$F$6),1,0))</f>
        <v>#REF!</v>
      </c>
      <c r="R1183" s="5" t="e">
        <f>IF(AND(#REF!&gt;=table!$C$7,#REF!&lt;= table!$D$7),-1,IF(AND(#REF!&gt;=table!$E$7,#REF!&lt;=table!$F$7),1,0))</f>
        <v>#REF!</v>
      </c>
      <c r="S1183" s="5" t="e">
        <f>IF(AND(#REF!&gt;=table!$C$8,#REF!&lt;= table!$D$8),-1,IF(AND(#REF!&gt;=table!$E$8,#REF!&lt;=table!$F$8),1,0))</f>
        <v>#REF!</v>
      </c>
      <c r="T1183" s="5"/>
      <c r="U1183" s="5" t="e">
        <f>IF(AND(#REF!&gt;=table!$C$10,#REF!&lt;= table!$D$10),-1,IF(AND(#REF!&gt;=table!$E$10,#REF!&lt;=table!$F$10),1,0))</f>
        <v>#REF!</v>
      </c>
      <c r="V1183" s="5" t="e">
        <f>IF(AND(#REF!&gt;=table!$C$11,#REF!&lt;= table!$D$11),-1,IF(AND(#REF!&gt;=table!$E$11,#REF!&lt;=table!$F$11),1,0))</f>
        <v>#REF!</v>
      </c>
      <c r="W1183" s="5" t="e">
        <f>CONCATENATE(dados[[#This Row],[fator1]],dados[[#This Row],[fator5]],dados[[#This Row],[fator6]])</f>
        <v>#REF!</v>
      </c>
    </row>
    <row r="1184" spans="1:23">
      <c r="A1184" t="s">
        <v>17</v>
      </c>
      <c r="B1184">
        <v>484275</v>
      </c>
      <c r="C1184">
        <v>29</v>
      </c>
      <c r="D1184">
        <v>30</v>
      </c>
      <c r="E1184">
        <v>126</v>
      </c>
      <c r="F1184">
        <v>6</v>
      </c>
      <c r="G1184">
        <v>23</v>
      </c>
      <c r="H1184">
        <v>23</v>
      </c>
      <c r="I1184">
        <v>1239</v>
      </c>
      <c r="J1184">
        <v>0</v>
      </c>
      <c r="K1184">
        <v>3.54</v>
      </c>
      <c r="L1184">
        <v>14.65</v>
      </c>
      <c r="M1184">
        <v>110.855</v>
      </c>
      <c r="N1184">
        <v>17.955000000000002</v>
      </c>
      <c r="O1184">
        <v>1680</v>
      </c>
      <c r="P1184">
        <v>0</v>
      </c>
      <c r="Q1184" s="5" t="e">
        <f>IF(AND(#REF!&gt;=table!$C$6,#REF!&lt;= table!$D$6),-1,IF(AND(#REF!&gt;=table!$E$6,#REF!&lt;=table!$F$6),1,0))</f>
        <v>#REF!</v>
      </c>
      <c r="R1184" s="5" t="e">
        <f>IF(AND(#REF!&gt;=table!$C$7,#REF!&lt;= table!$D$7),-1,IF(AND(#REF!&gt;=table!$E$7,#REF!&lt;=table!$F$7),1,0))</f>
        <v>#REF!</v>
      </c>
      <c r="S1184" s="5" t="e">
        <f>IF(AND(#REF!&gt;=table!$C$8,#REF!&lt;= table!$D$8),-1,IF(AND(#REF!&gt;=table!$E$8,#REF!&lt;=table!$F$8),1,0))</f>
        <v>#REF!</v>
      </c>
      <c r="T1184" s="5"/>
      <c r="U1184" s="5" t="e">
        <f>IF(AND(#REF!&gt;=table!$C$10,#REF!&lt;= table!$D$10),-1,IF(AND(#REF!&gt;=table!$E$10,#REF!&lt;=table!$F$10),1,0))</f>
        <v>#REF!</v>
      </c>
      <c r="V1184" s="5" t="e">
        <f>IF(AND(#REF!&gt;=table!$C$11,#REF!&lt;= table!$D$11),-1,IF(AND(#REF!&gt;=table!$E$11,#REF!&lt;=table!$F$11),1,0))</f>
        <v>#REF!</v>
      </c>
      <c r="W1184" s="5" t="e">
        <f>CONCATENATE(dados[[#This Row],[fator1]],dados[[#This Row],[fator5]],dados[[#This Row],[fator6]])</f>
        <v>#REF!</v>
      </c>
    </row>
    <row r="1185" spans="1:23">
      <c r="A1185" t="s">
        <v>17</v>
      </c>
      <c r="B1185">
        <v>484277</v>
      </c>
      <c r="C1185">
        <v>22</v>
      </c>
      <c r="D1185">
        <v>30</v>
      </c>
      <c r="E1185">
        <v>101</v>
      </c>
      <c r="F1185">
        <v>9</v>
      </c>
      <c r="G1185">
        <v>20</v>
      </c>
      <c r="H1185">
        <v>25</v>
      </c>
      <c r="I1185">
        <v>528</v>
      </c>
      <c r="J1185">
        <v>0</v>
      </c>
      <c r="K1185">
        <v>4.4450000000000003</v>
      </c>
      <c r="L1185">
        <v>15.8</v>
      </c>
      <c r="M1185">
        <v>98.66</v>
      </c>
      <c r="N1185">
        <v>18.650000000000002</v>
      </c>
      <c r="O1185">
        <v>1689</v>
      </c>
      <c r="P1185">
        <v>798</v>
      </c>
      <c r="Q1185" s="5" t="e">
        <f>IF(AND(#REF!&gt;=table!$C$6,#REF!&lt;= table!$D$6),-1,IF(AND(#REF!&gt;=table!$E$6,#REF!&lt;=table!$F$6),1,0))</f>
        <v>#REF!</v>
      </c>
      <c r="R1185" s="5" t="e">
        <f>IF(AND(#REF!&gt;=table!$C$7,#REF!&lt;= table!$D$7),-1,IF(AND(#REF!&gt;=table!$E$7,#REF!&lt;=table!$F$7),1,0))</f>
        <v>#REF!</v>
      </c>
      <c r="S1185" s="5" t="e">
        <f>IF(AND(#REF!&gt;=table!$C$8,#REF!&lt;= table!$D$8),-1,IF(AND(#REF!&gt;=table!$E$8,#REF!&lt;=table!$F$8),1,0))</f>
        <v>#REF!</v>
      </c>
      <c r="T1185" s="5"/>
      <c r="U1185" s="5" t="e">
        <f>IF(AND(#REF!&gt;=table!$C$10,#REF!&lt;= table!$D$10),-1,IF(AND(#REF!&gt;=table!$E$10,#REF!&lt;=table!$F$10),1,0))</f>
        <v>#REF!</v>
      </c>
      <c r="V1185" s="5" t="e">
        <f>IF(AND(#REF!&gt;=table!$C$11,#REF!&lt;= table!$D$11),-1,IF(AND(#REF!&gt;=table!$E$11,#REF!&lt;=table!$F$11),1,0))</f>
        <v>#REF!</v>
      </c>
      <c r="W1185" s="5" t="e">
        <f>CONCATENATE(dados[[#This Row],[fator1]],dados[[#This Row],[fator5]],dados[[#This Row],[fator6]])</f>
        <v>#REF!</v>
      </c>
    </row>
    <row r="1186" spans="1:23">
      <c r="A1186" t="s">
        <v>17</v>
      </c>
      <c r="B1186">
        <v>484279</v>
      </c>
      <c r="C1186">
        <v>30</v>
      </c>
      <c r="D1186">
        <v>25</v>
      </c>
      <c r="E1186">
        <v>135</v>
      </c>
      <c r="F1186">
        <v>8</v>
      </c>
      <c r="G1186">
        <v>13</v>
      </c>
      <c r="H1186">
        <v>25</v>
      </c>
      <c r="I1186">
        <v>825</v>
      </c>
      <c r="J1186">
        <v>0</v>
      </c>
      <c r="K1186">
        <v>3.3850000000000002</v>
      </c>
      <c r="L1186">
        <v>9.2000000000000011</v>
      </c>
      <c r="M1186">
        <v>111.8</v>
      </c>
      <c r="N1186">
        <v>14.25</v>
      </c>
      <c r="O1186">
        <v>1653</v>
      </c>
      <c r="P1186">
        <v>0</v>
      </c>
      <c r="Q1186" s="5" t="e">
        <f>IF(AND(#REF!&gt;=table!$C$6,#REF!&lt;= table!$D$6),-1,IF(AND(#REF!&gt;=table!$E$6,#REF!&lt;=table!$F$6),1,0))</f>
        <v>#REF!</v>
      </c>
      <c r="R1186" s="5" t="e">
        <f>IF(AND(#REF!&gt;=table!$C$7,#REF!&lt;= table!$D$7),-1,IF(AND(#REF!&gt;=table!$E$7,#REF!&lt;=table!$F$7),1,0))</f>
        <v>#REF!</v>
      </c>
      <c r="S1186" s="5" t="e">
        <f>IF(AND(#REF!&gt;=table!$C$8,#REF!&lt;= table!$D$8),-1,IF(AND(#REF!&gt;=table!$E$8,#REF!&lt;=table!$F$8),1,0))</f>
        <v>#REF!</v>
      </c>
      <c r="T1186" s="5"/>
      <c r="U1186" s="5" t="e">
        <f>IF(AND(#REF!&gt;=table!$C$10,#REF!&lt;= table!$D$10),-1,IF(AND(#REF!&gt;=table!$E$10,#REF!&lt;=table!$F$10),1,0))</f>
        <v>#REF!</v>
      </c>
      <c r="V1186" s="5" t="e">
        <f>IF(AND(#REF!&gt;=table!$C$11,#REF!&lt;= table!$D$11),-1,IF(AND(#REF!&gt;=table!$E$11,#REF!&lt;=table!$F$11),1,0))</f>
        <v>#REF!</v>
      </c>
      <c r="W1186" s="5" t="e">
        <f>CONCATENATE(dados[[#This Row],[fator1]],dados[[#This Row],[fator5]],dados[[#This Row],[fator6]])</f>
        <v>#REF!</v>
      </c>
    </row>
    <row r="1187" spans="1:23">
      <c r="A1187" t="s">
        <v>17</v>
      </c>
      <c r="B1187">
        <v>484280</v>
      </c>
      <c r="C1187">
        <v>30</v>
      </c>
      <c r="D1187">
        <v>25</v>
      </c>
      <c r="E1187">
        <v>135</v>
      </c>
      <c r="F1187">
        <v>8</v>
      </c>
      <c r="G1187">
        <v>13</v>
      </c>
      <c r="H1187">
        <v>25</v>
      </c>
      <c r="I1187">
        <v>298</v>
      </c>
      <c r="J1187">
        <v>0</v>
      </c>
      <c r="K1187">
        <v>10.220000000000001</v>
      </c>
      <c r="L1187">
        <v>15.525</v>
      </c>
      <c r="M1187">
        <v>120.25</v>
      </c>
      <c r="N1187">
        <v>17.400000000000002</v>
      </c>
      <c r="O1187">
        <v>1666</v>
      </c>
      <c r="P1187">
        <v>357</v>
      </c>
      <c r="Q1187" s="5" t="e">
        <f>IF(AND(#REF!&gt;=table!$C$6,#REF!&lt;= table!$D$6),-1,IF(AND(#REF!&gt;=table!$E$6,#REF!&lt;=table!$F$6),1,0))</f>
        <v>#REF!</v>
      </c>
      <c r="R1187" s="5" t="e">
        <f>IF(AND(#REF!&gt;=table!$C$7,#REF!&lt;= table!$D$7),-1,IF(AND(#REF!&gt;=table!$E$7,#REF!&lt;=table!$F$7),1,0))</f>
        <v>#REF!</v>
      </c>
      <c r="S1187" s="5" t="e">
        <f>IF(AND(#REF!&gt;=table!$C$8,#REF!&lt;= table!$D$8),-1,IF(AND(#REF!&gt;=table!$E$8,#REF!&lt;=table!$F$8),1,0))</f>
        <v>#REF!</v>
      </c>
      <c r="T1187" s="5"/>
      <c r="U1187" s="5" t="e">
        <f>IF(AND(#REF!&gt;=table!$C$10,#REF!&lt;= table!$D$10),-1,IF(AND(#REF!&gt;=table!$E$10,#REF!&lt;=table!$F$10),1,0))</f>
        <v>#REF!</v>
      </c>
      <c r="V1187" s="5" t="e">
        <f>IF(AND(#REF!&gt;=table!$C$11,#REF!&lt;= table!$D$11),-1,IF(AND(#REF!&gt;=table!$E$11,#REF!&lt;=table!$F$11),1,0))</f>
        <v>#REF!</v>
      </c>
      <c r="W1187" s="5" t="e">
        <f>CONCATENATE(dados[[#This Row],[fator1]],dados[[#This Row],[fator5]],dados[[#This Row],[fator6]])</f>
        <v>#REF!</v>
      </c>
    </row>
    <row r="1188" spans="1:23">
      <c r="A1188" t="s">
        <v>16</v>
      </c>
      <c r="B1188">
        <v>484283</v>
      </c>
      <c r="C1188">
        <v>6</v>
      </c>
      <c r="D1188">
        <v>25</v>
      </c>
      <c r="E1188">
        <v>120</v>
      </c>
      <c r="F1188">
        <v>4</v>
      </c>
      <c r="G1188">
        <v>0</v>
      </c>
      <c r="H1188">
        <v>55</v>
      </c>
      <c r="I1188">
        <v>1038</v>
      </c>
      <c r="J1188">
        <v>540</v>
      </c>
      <c r="K1188">
        <v>6.0150000000000006</v>
      </c>
      <c r="L1188">
        <v>10.1</v>
      </c>
      <c r="M1188">
        <v>120.45</v>
      </c>
      <c r="N1188">
        <v>32.332999999999998</v>
      </c>
      <c r="O1188">
        <v>1669</v>
      </c>
      <c r="P1188">
        <v>0</v>
      </c>
      <c r="Q1188" s="5" t="e">
        <f>IF(AND(#REF!&gt;=table!$C$6,#REF!&lt;= table!$D$6),-1,IF(AND(#REF!&gt;=table!$E$6,#REF!&lt;=table!$F$6),1,0))</f>
        <v>#REF!</v>
      </c>
      <c r="R1188" s="5" t="e">
        <f>IF(AND(#REF!&gt;=table!$C$7,#REF!&lt;= table!$D$7),-1,IF(AND(#REF!&gt;=table!$E$7,#REF!&lt;=table!$F$7),1,0))</f>
        <v>#REF!</v>
      </c>
      <c r="S1188" s="5" t="e">
        <f>IF(AND(#REF!&gt;=table!$C$8,#REF!&lt;= table!$D$8),-1,IF(AND(#REF!&gt;=table!$E$8,#REF!&lt;=table!$F$8),1,0))</f>
        <v>#REF!</v>
      </c>
      <c r="T1188" s="5"/>
      <c r="U1188" s="5" t="e">
        <f>IF(AND(#REF!&gt;=table!$C$10,#REF!&lt;= table!$D$10),-1,IF(AND(#REF!&gt;=table!$E$10,#REF!&lt;=table!$F$10),1,0))</f>
        <v>#REF!</v>
      </c>
      <c r="V1188" s="5" t="e">
        <f>IF(AND(#REF!&gt;=table!$C$11,#REF!&lt;= table!$D$11),-1,IF(AND(#REF!&gt;=table!$E$11,#REF!&lt;=table!$F$11),1,0))</f>
        <v>#REF!</v>
      </c>
      <c r="W1188" s="5" t="e">
        <f>CONCATENATE(dados[[#This Row],[fator1]],dados[[#This Row],[fator5]],dados[[#This Row],[fator6]])</f>
        <v>#REF!</v>
      </c>
    </row>
    <row r="1189" spans="1:23">
      <c r="A1189" t="s">
        <v>16</v>
      </c>
      <c r="B1189">
        <v>484290</v>
      </c>
      <c r="C1189">
        <v>16</v>
      </c>
      <c r="D1189">
        <v>35</v>
      </c>
      <c r="E1189">
        <v>40</v>
      </c>
      <c r="F1189">
        <v>10</v>
      </c>
      <c r="G1189">
        <v>0</v>
      </c>
      <c r="H1189">
        <v>25</v>
      </c>
      <c r="I1189">
        <v>10</v>
      </c>
      <c r="J1189">
        <v>0</v>
      </c>
      <c r="K1189">
        <v>3.8250000000000002</v>
      </c>
      <c r="L1189">
        <v>15.46</v>
      </c>
      <c r="M1189">
        <v>34.25</v>
      </c>
      <c r="N1189">
        <v>13.950000000000001</v>
      </c>
      <c r="O1189">
        <v>1678</v>
      </c>
      <c r="P1189">
        <v>765</v>
      </c>
      <c r="Q1189" s="5" t="e">
        <f>IF(AND(#REF!&gt;=table!$C$6,#REF!&lt;= table!$D$6),-1,IF(AND(#REF!&gt;=table!$E$6,#REF!&lt;=table!$F$6),1,0))</f>
        <v>#REF!</v>
      </c>
      <c r="R1189" s="5" t="e">
        <f>IF(AND(#REF!&gt;=table!$C$7,#REF!&lt;= table!$D$7),-1,IF(AND(#REF!&gt;=table!$E$7,#REF!&lt;=table!$F$7),1,0))</f>
        <v>#REF!</v>
      </c>
      <c r="S1189" s="5" t="e">
        <f>IF(AND(#REF!&gt;=table!$C$8,#REF!&lt;= table!$D$8),-1,IF(AND(#REF!&gt;=table!$E$8,#REF!&lt;=table!$F$8),1,0))</f>
        <v>#REF!</v>
      </c>
      <c r="T1189" s="5"/>
      <c r="U1189" s="5" t="e">
        <f>IF(AND(#REF!&gt;=table!$C$10,#REF!&lt;= table!$D$10),-1,IF(AND(#REF!&gt;=table!$E$10,#REF!&lt;=table!$F$10),1,0))</f>
        <v>#REF!</v>
      </c>
      <c r="V1189" s="5" t="e">
        <f>IF(AND(#REF!&gt;=table!$C$11,#REF!&lt;= table!$D$11),-1,IF(AND(#REF!&gt;=table!$E$11,#REF!&lt;=table!$F$11),1,0))</f>
        <v>#REF!</v>
      </c>
      <c r="W1189" s="5" t="e">
        <f>CONCATENATE(dados[[#This Row],[fator1]],dados[[#This Row],[fator5]],dados[[#This Row],[fator6]])</f>
        <v>#REF!</v>
      </c>
    </row>
    <row r="1190" spans="1:23">
      <c r="A1190" t="s">
        <v>16</v>
      </c>
      <c r="B1190">
        <v>484292</v>
      </c>
      <c r="C1190">
        <v>16</v>
      </c>
      <c r="D1190">
        <v>35</v>
      </c>
      <c r="E1190">
        <v>40</v>
      </c>
      <c r="F1190">
        <v>10</v>
      </c>
      <c r="G1190">
        <v>0</v>
      </c>
      <c r="H1190">
        <v>25</v>
      </c>
      <c r="I1190">
        <v>224</v>
      </c>
      <c r="J1190">
        <v>0</v>
      </c>
      <c r="K1190">
        <v>4.0999999999999996</v>
      </c>
      <c r="L1190">
        <v>6.5049999999999999</v>
      </c>
      <c r="M1190">
        <v>32.25</v>
      </c>
      <c r="N1190">
        <v>9.0500000000000007</v>
      </c>
      <c r="O1190">
        <v>1664</v>
      </c>
      <c r="P1190">
        <v>0</v>
      </c>
      <c r="Q1190" s="5" t="e">
        <f>IF(AND(#REF!&gt;=table!$C$6,#REF!&lt;= table!$D$6),-1,IF(AND(#REF!&gt;=table!$E$6,#REF!&lt;=table!$F$6),1,0))</f>
        <v>#REF!</v>
      </c>
      <c r="R1190" s="5" t="e">
        <f>IF(AND(#REF!&gt;=table!$C$7,#REF!&lt;= table!$D$7),-1,IF(AND(#REF!&gt;=table!$E$7,#REF!&lt;=table!$F$7),1,0))</f>
        <v>#REF!</v>
      </c>
      <c r="S1190" s="5" t="e">
        <f>IF(AND(#REF!&gt;=table!$C$8,#REF!&lt;= table!$D$8),-1,IF(AND(#REF!&gt;=table!$E$8,#REF!&lt;=table!$F$8),1,0))</f>
        <v>#REF!</v>
      </c>
      <c r="T1190" s="5"/>
      <c r="U1190" s="5" t="e">
        <f>IF(AND(#REF!&gt;=table!$C$10,#REF!&lt;= table!$D$10),-1,IF(AND(#REF!&gt;=table!$E$10,#REF!&lt;=table!$F$10),1,0))</f>
        <v>#REF!</v>
      </c>
      <c r="V1190" s="5" t="e">
        <f>IF(AND(#REF!&gt;=table!$C$11,#REF!&lt;= table!$D$11),-1,IF(AND(#REF!&gt;=table!$E$11,#REF!&lt;=table!$F$11),1,0))</f>
        <v>#REF!</v>
      </c>
      <c r="W1190" s="5" t="e">
        <f>CONCATENATE(dados[[#This Row],[fator1]],dados[[#This Row],[fator5]],dados[[#This Row],[fator6]])</f>
        <v>#REF!</v>
      </c>
    </row>
    <row r="1191" spans="1:23">
      <c r="A1191" t="s">
        <v>16</v>
      </c>
      <c r="B1191">
        <v>484293</v>
      </c>
      <c r="C1191">
        <v>16</v>
      </c>
      <c r="D1191">
        <v>35</v>
      </c>
      <c r="E1191">
        <v>40</v>
      </c>
      <c r="F1191">
        <v>10</v>
      </c>
      <c r="G1191">
        <v>0</v>
      </c>
      <c r="H1191">
        <v>25</v>
      </c>
      <c r="I1191">
        <v>354</v>
      </c>
      <c r="J1191">
        <v>0</v>
      </c>
      <c r="K1191">
        <v>3.4750000000000001</v>
      </c>
      <c r="L1191">
        <v>10.15</v>
      </c>
      <c r="M1191">
        <v>39.615000000000002</v>
      </c>
      <c r="N1191">
        <v>18.46</v>
      </c>
      <c r="O1191">
        <v>1657</v>
      </c>
      <c r="P1191">
        <v>0</v>
      </c>
      <c r="Q1191" s="5" t="e">
        <f>IF(AND(#REF!&gt;=table!$C$6,#REF!&lt;= table!$D$6),-1,IF(AND(#REF!&gt;=table!$E$6,#REF!&lt;=table!$F$6),1,0))</f>
        <v>#REF!</v>
      </c>
      <c r="R1191" s="5" t="e">
        <f>IF(AND(#REF!&gt;=table!$C$7,#REF!&lt;= table!$D$7),-1,IF(AND(#REF!&gt;=table!$E$7,#REF!&lt;=table!$F$7),1,0))</f>
        <v>#REF!</v>
      </c>
      <c r="S1191" s="5" t="e">
        <f>IF(AND(#REF!&gt;=table!$C$8,#REF!&lt;= table!$D$8),-1,IF(AND(#REF!&gt;=table!$E$8,#REF!&lt;=table!$F$8),1,0))</f>
        <v>#REF!</v>
      </c>
      <c r="T1191" s="5"/>
      <c r="U1191" s="5" t="e">
        <f>IF(AND(#REF!&gt;=table!$C$10,#REF!&lt;= table!$D$10),-1,IF(AND(#REF!&gt;=table!$E$10,#REF!&lt;=table!$F$10),1,0))</f>
        <v>#REF!</v>
      </c>
      <c r="V1191" s="5" t="e">
        <f>IF(AND(#REF!&gt;=table!$C$11,#REF!&lt;= table!$D$11),-1,IF(AND(#REF!&gt;=table!$E$11,#REF!&lt;=table!$F$11),1,0))</f>
        <v>#REF!</v>
      </c>
      <c r="W1191" s="5" t="e">
        <f>CONCATENATE(dados[[#This Row],[fator1]],dados[[#This Row],[fator5]],dados[[#This Row],[fator6]])</f>
        <v>#REF!</v>
      </c>
    </row>
    <row r="1192" spans="1:23">
      <c r="A1192" t="s">
        <v>16</v>
      </c>
      <c r="B1192">
        <v>484296</v>
      </c>
      <c r="C1192">
        <v>13</v>
      </c>
      <c r="D1192">
        <v>35</v>
      </c>
      <c r="E1192">
        <v>120</v>
      </c>
      <c r="F1192">
        <v>10</v>
      </c>
      <c r="G1192">
        <v>0</v>
      </c>
      <c r="H1192">
        <v>25</v>
      </c>
      <c r="I1192">
        <v>556</v>
      </c>
      <c r="J1192">
        <v>0</v>
      </c>
      <c r="K1192">
        <v>7.375</v>
      </c>
      <c r="L1192">
        <v>18.685000000000002</v>
      </c>
      <c r="M1192">
        <v>94.4</v>
      </c>
      <c r="N1192">
        <v>16.3</v>
      </c>
      <c r="O1192">
        <v>1672</v>
      </c>
      <c r="P1192">
        <v>536</v>
      </c>
      <c r="Q1192" s="5" t="e">
        <f>IF(AND(#REF!&gt;=table!$C$6,#REF!&lt;= table!$D$6),-1,IF(AND(#REF!&gt;=table!$E$6,#REF!&lt;=table!$F$6),1,0))</f>
        <v>#REF!</v>
      </c>
      <c r="R1192" s="5" t="e">
        <f>IF(AND(#REF!&gt;=table!$C$7,#REF!&lt;= table!$D$7),-1,IF(AND(#REF!&gt;=table!$E$7,#REF!&lt;=table!$F$7),1,0))</f>
        <v>#REF!</v>
      </c>
      <c r="S1192" s="5" t="e">
        <f>IF(AND(#REF!&gt;=table!$C$8,#REF!&lt;= table!$D$8),-1,IF(AND(#REF!&gt;=table!$E$8,#REF!&lt;=table!$F$8),1,0))</f>
        <v>#REF!</v>
      </c>
      <c r="T1192" s="5"/>
      <c r="U1192" s="5" t="e">
        <f>IF(AND(#REF!&gt;=table!$C$10,#REF!&lt;= table!$D$10),-1,IF(AND(#REF!&gt;=table!$E$10,#REF!&lt;=table!$F$10),1,0))</f>
        <v>#REF!</v>
      </c>
      <c r="V1192" s="5" t="e">
        <f>IF(AND(#REF!&gt;=table!$C$11,#REF!&lt;= table!$D$11),-1,IF(AND(#REF!&gt;=table!$E$11,#REF!&lt;=table!$F$11),1,0))</f>
        <v>#REF!</v>
      </c>
      <c r="W1192" s="5" t="e">
        <f>CONCATENATE(dados[[#This Row],[fator1]],dados[[#This Row],[fator5]],dados[[#This Row],[fator6]])</f>
        <v>#REF!</v>
      </c>
    </row>
    <row r="1193" spans="1:23">
      <c r="A1193" t="s">
        <v>16</v>
      </c>
      <c r="B1193">
        <v>484297</v>
      </c>
      <c r="C1193">
        <v>13</v>
      </c>
      <c r="D1193">
        <v>35</v>
      </c>
      <c r="E1193">
        <v>120</v>
      </c>
      <c r="F1193">
        <v>10</v>
      </c>
      <c r="G1193">
        <v>0</v>
      </c>
      <c r="H1193">
        <v>25</v>
      </c>
      <c r="I1193">
        <v>598</v>
      </c>
      <c r="J1193">
        <v>0</v>
      </c>
      <c r="K1193">
        <v>5.7949999999999999</v>
      </c>
      <c r="L1193">
        <v>14</v>
      </c>
      <c r="M1193">
        <v>94.65</v>
      </c>
      <c r="N1193">
        <v>13.65</v>
      </c>
      <c r="O1193">
        <v>1658</v>
      </c>
      <c r="P1193">
        <v>598</v>
      </c>
      <c r="Q1193" s="5" t="e">
        <f>IF(AND(#REF!&gt;=table!$C$6,#REF!&lt;= table!$D$6),-1,IF(AND(#REF!&gt;=table!$E$6,#REF!&lt;=table!$F$6),1,0))</f>
        <v>#REF!</v>
      </c>
      <c r="R1193" s="5" t="e">
        <f>IF(AND(#REF!&gt;=table!$C$7,#REF!&lt;= table!$D$7),-1,IF(AND(#REF!&gt;=table!$E$7,#REF!&lt;=table!$F$7),1,0))</f>
        <v>#REF!</v>
      </c>
      <c r="S1193" s="5" t="e">
        <f>IF(AND(#REF!&gt;=table!$C$8,#REF!&lt;= table!$D$8),-1,IF(AND(#REF!&gt;=table!$E$8,#REF!&lt;=table!$F$8),1,0))</f>
        <v>#REF!</v>
      </c>
      <c r="T1193" s="5"/>
      <c r="U1193" s="5" t="e">
        <f>IF(AND(#REF!&gt;=table!$C$10,#REF!&lt;= table!$D$10),-1,IF(AND(#REF!&gt;=table!$E$10,#REF!&lt;=table!$F$10),1,0))</f>
        <v>#REF!</v>
      </c>
      <c r="V1193" s="5" t="e">
        <f>IF(AND(#REF!&gt;=table!$C$11,#REF!&lt;= table!$D$11),-1,IF(AND(#REF!&gt;=table!$E$11,#REF!&lt;=table!$F$11),1,0))</f>
        <v>#REF!</v>
      </c>
      <c r="W1193" s="5" t="e">
        <f>CONCATENATE(dados[[#This Row],[fator1]],dados[[#This Row],[fator5]],dados[[#This Row],[fator6]])</f>
        <v>#REF!</v>
      </c>
    </row>
    <row r="1194" spans="1:23">
      <c r="A1194" t="s">
        <v>16</v>
      </c>
      <c r="B1194">
        <v>484298</v>
      </c>
      <c r="C1194">
        <v>13</v>
      </c>
      <c r="D1194">
        <v>35</v>
      </c>
      <c r="E1194">
        <v>120</v>
      </c>
      <c r="F1194">
        <v>10</v>
      </c>
      <c r="G1194">
        <v>0</v>
      </c>
      <c r="H1194">
        <v>25</v>
      </c>
      <c r="I1194">
        <v>1481</v>
      </c>
      <c r="J1194">
        <v>0</v>
      </c>
      <c r="K1194">
        <v>6.1550000000000002</v>
      </c>
      <c r="L1194">
        <v>12.9</v>
      </c>
      <c r="M1194">
        <v>90.7</v>
      </c>
      <c r="N1194">
        <v>14.65</v>
      </c>
      <c r="O1194">
        <v>1664</v>
      </c>
      <c r="P1194">
        <v>548</v>
      </c>
      <c r="Q1194" s="5" t="e">
        <f>IF(AND(#REF!&gt;=table!$C$6,#REF!&lt;= table!$D$6),-1,IF(AND(#REF!&gt;=table!$E$6,#REF!&lt;=table!$F$6),1,0))</f>
        <v>#REF!</v>
      </c>
      <c r="R1194" s="5" t="e">
        <f>IF(AND(#REF!&gt;=table!$C$7,#REF!&lt;= table!$D$7),-1,IF(AND(#REF!&gt;=table!$E$7,#REF!&lt;=table!$F$7),1,0))</f>
        <v>#REF!</v>
      </c>
      <c r="S1194" s="5" t="e">
        <f>IF(AND(#REF!&gt;=table!$C$8,#REF!&lt;= table!$D$8),-1,IF(AND(#REF!&gt;=table!$E$8,#REF!&lt;=table!$F$8),1,0))</f>
        <v>#REF!</v>
      </c>
      <c r="T1194" s="5"/>
      <c r="U1194" s="5" t="e">
        <f>IF(AND(#REF!&gt;=table!$C$10,#REF!&lt;= table!$D$10),-1,IF(AND(#REF!&gt;=table!$E$10,#REF!&lt;=table!$F$10),1,0))</f>
        <v>#REF!</v>
      </c>
      <c r="V1194" s="5" t="e">
        <f>IF(AND(#REF!&gt;=table!$C$11,#REF!&lt;= table!$D$11),-1,IF(AND(#REF!&gt;=table!$E$11,#REF!&lt;=table!$F$11),1,0))</f>
        <v>#REF!</v>
      </c>
      <c r="W1194" s="5" t="e">
        <f>CONCATENATE(dados[[#This Row],[fator1]],dados[[#This Row],[fator5]],dados[[#This Row],[fator6]])</f>
        <v>#REF!</v>
      </c>
    </row>
    <row r="1195" spans="1:23">
      <c r="A1195" t="s">
        <v>16</v>
      </c>
      <c r="B1195">
        <v>484299</v>
      </c>
      <c r="C1195">
        <v>12</v>
      </c>
      <c r="D1195">
        <v>40</v>
      </c>
      <c r="E1195">
        <v>86</v>
      </c>
      <c r="F1195">
        <v>8</v>
      </c>
      <c r="G1195">
        <v>0</v>
      </c>
      <c r="H1195">
        <v>25</v>
      </c>
      <c r="I1195">
        <v>858</v>
      </c>
      <c r="J1195">
        <v>0</v>
      </c>
      <c r="K1195">
        <v>6.2250000000000005</v>
      </c>
      <c r="L1195">
        <v>10.050000000000001</v>
      </c>
      <c r="M1195">
        <v>71.150000000000006</v>
      </c>
      <c r="N1195">
        <v>12.5</v>
      </c>
      <c r="O1195">
        <v>1659</v>
      </c>
      <c r="P1195">
        <v>527</v>
      </c>
      <c r="Q1195" s="5" t="e">
        <f>IF(AND(#REF!&gt;=table!$C$6,#REF!&lt;= table!$D$6),-1,IF(AND(#REF!&gt;=table!$E$6,#REF!&lt;=table!$F$6),1,0))</f>
        <v>#REF!</v>
      </c>
      <c r="R1195" s="5" t="e">
        <f>IF(AND(#REF!&gt;=table!$C$7,#REF!&lt;= table!$D$7),-1,IF(AND(#REF!&gt;=table!$E$7,#REF!&lt;=table!$F$7),1,0))</f>
        <v>#REF!</v>
      </c>
      <c r="S1195" s="5" t="e">
        <f>IF(AND(#REF!&gt;=table!$C$8,#REF!&lt;= table!$D$8),-1,IF(AND(#REF!&gt;=table!$E$8,#REF!&lt;=table!$F$8),1,0))</f>
        <v>#REF!</v>
      </c>
      <c r="T1195" s="5"/>
      <c r="U1195" s="5" t="e">
        <f>IF(AND(#REF!&gt;=table!$C$10,#REF!&lt;= table!$D$10),-1,IF(AND(#REF!&gt;=table!$E$10,#REF!&lt;=table!$F$10),1,0))</f>
        <v>#REF!</v>
      </c>
      <c r="V1195" s="5" t="e">
        <f>IF(AND(#REF!&gt;=table!$C$11,#REF!&lt;= table!$D$11),-1,IF(AND(#REF!&gt;=table!$E$11,#REF!&lt;=table!$F$11),1,0))</f>
        <v>#REF!</v>
      </c>
      <c r="W1195" s="5" t="e">
        <f>CONCATENATE(dados[[#This Row],[fator1]],dados[[#This Row],[fator5]],dados[[#This Row],[fator6]])</f>
        <v>#REF!</v>
      </c>
    </row>
    <row r="1196" spans="1:23">
      <c r="A1196" t="s">
        <v>16</v>
      </c>
      <c r="B1196">
        <v>484300</v>
      </c>
      <c r="C1196">
        <v>12</v>
      </c>
      <c r="D1196">
        <v>35</v>
      </c>
      <c r="E1196">
        <v>86</v>
      </c>
      <c r="F1196">
        <v>10</v>
      </c>
      <c r="G1196">
        <v>0</v>
      </c>
      <c r="H1196">
        <v>25</v>
      </c>
      <c r="I1196">
        <v>179</v>
      </c>
      <c r="J1196">
        <v>0</v>
      </c>
      <c r="K1196">
        <v>5.92</v>
      </c>
      <c r="L1196">
        <v>6.1000000000000005</v>
      </c>
      <c r="M1196">
        <v>68.7</v>
      </c>
      <c r="N1196">
        <v>10.15</v>
      </c>
      <c r="O1196">
        <v>1658</v>
      </c>
      <c r="P1196">
        <v>725</v>
      </c>
      <c r="Q1196" s="5" t="e">
        <f>IF(AND(#REF!&gt;=table!$C$6,#REF!&lt;= table!$D$6),-1,IF(AND(#REF!&gt;=table!$E$6,#REF!&lt;=table!$F$6),1,0))</f>
        <v>#REF!</v>
      </c>
      <c r="R1196" s="5" t="e">
        <f>IF(AND(#REF!&gt;=table!$C$7,#REF!&lt;= table!$D$7),-1,IF(AND(#REF!&gt;=table!$E$7,#REF!&lt;=table!$F$7),1,0))</f>
        <v>#REF!</v>
      </c>
      <c r="S1196" s="5" t="e">
        <f>IF(AND(#REF!&gt;=table!$C$8,#REF!&lt;= table!$D$8),-1,IF(AND(#REF!&gt;=table!$E$8,#REF!&lt;=table!$F$8),1,0))</f>
        <v>#REF!</v>
      </c>
      <c r="T1196" s="5"/>
      <c r="U1196" s="5" t="e">
        <f>IF(AND(#REF!&gt;=table!$C$10,#REF!&lt;= table!$D$10),-1,IF(AND(#REF!&gt;=table!$E$10,#REF!&lt;=table!$F$10),1,0))</f>
        <v>#REF!</v>
      </c>
      <c r="V1196" s="5" t="e">
        <f>IF(AND(#REF!&gt;=table!$C$11,#REF!&lt;= table!$D$11),-1,IF(AND(#REF!&gt;=table!$E$11,#REF!&lt;=table!$F$11),1,0))</f>
        <v>#REF!</v>
      </c>
      <c r="W1196" s="5" t="e">
        <f>CONCATENATE(dados[[#This Row],[fator1]],dados[[#This Row],[fator5]],dados[[#This Row],[fator6]])</f>
        <v>#REF!</v>
      </c>
    </row>
    <row r="1197" spans="1:23">
      <c r="A1197" t="s">
        <v>16</v>
      </c>
      <c r="B1197">
        <v>484301</v>
      </c>
      <c r="C1197">
        <v>12</v>
      </c>
      <c r="D1197">
        <v>35</v>
      </c>
      <c r="E1197">
        <v>86</v>
      </c>
      <c r="F1197">
        <v>10</v>
      </c>
      <c r="G1197">
        <v>0</v>
      </c>
      <c r="H1197">
        <v>25</v>
      </c>
      <c r="I1197">
        <v>845</v>
      </c>
      <c r="J1197">
        <v>590</v>
      </c>
      <c r="K1197">
        <v>4.58</v>
      </c>
      <c r="L1197">
        <v>4.55</v>
      </c>
      <c r="M1197">
        <v>53.035000000000004</v>
      </c>
      <c r="N1197">
        <v>10.24</v>
      </c>
      <c r="O1197">
        <v>1618</v>
      </c>
      <c r="P1197">
        <v>679</v>
      </c>
      <c r="Q1197" s="5" t="e">
        <f>IF(AND(#REF!&gt;=table!$C$6,#REF!&lt;= table!$D$6),-1,IF(AND(#REF!&gt;=table!$E$6,#REF!&lt;=table!$F$6),1,0))</f>
        <v>#REF!</v>
      </c>
      <c r="R1197" s="5" t="e">
        <f>IF(AND(#REF!&gt;=table!$C$7,#REF!&lt;= table!$D$7),-1,IF(AND(#REF!&gt;=table!$E$7,#REF!&lt;=table!$F$7),1,0))</f>
        <v>#REF!</v>
      </c>
      <c r="S1197" s="5" t="e">
        <f>IF(AND(#REF!&gt;=table!$C$8,#REF!&lt;= table!$D$8),-1,IF(AND(#REF!&gt;=table!$E$8,#REF!&lt;=table!$F$8),1,0))</f>
        <v>#REF!</v>
      </c>
      <c r="T1197" s="5"/>
      <c r="U1197" s="5" t="e">
        <f>IF(AND(#REF!&gt;=table!$C$10,#REF!&lt;= table!$D$10),-1,IF(AND(#REF!&gt;=table!$E$10,#REF!&lt;=table!$F$10),1,0))</f>
        <v>#REF!</v>
      </c>
      <c r="V1197" s="5" t="e">
        <f>IF(AND(#REF!&gt;=table!$C$11,#REF!&lt;= table!$D$11),-1,IF(AND(#REF!&gt;=table!$E$11,#REF!&lt;=table!$F$11),1,0))</f>
        <v>#REF!</v>
      </c>
      <c r="W1197" s="5" t="e">
        <f>CONCATENATE(dados[[#This Row],[fator1]],dados[[#This Row],[fator5]],dados[[#This Row],[fator6]])</f>
        <v>#REF!</v>
      </c>
    </row>
    <row r="1198" spans="1:23">
      <c r="A1198" t="s">
        <v>16</v>
      </c>
      <c r="B1198">
        <v>484305</v>
      </c>
      <c r="C1198">
        <v>9</v>
      </c>
      <c r="D1198">
        <v>27</v>
      </c>
      <c r="E1198">
        <v>36</v>
      </c>
      <c r="F1198">
        <v>8</v>
      </c>
      <c r="G1198">
        <v>0</v>
      </c>
      <c r="H1198">
        <v>25</v>
      </c>
      <c r="I1198">
        <v>0</v>
      </c>
      <c r="J1198">
        <v>0</v>
      </c>
      <c r="K1198">
        <v>10.625</v>
      </c>
      <c r="L1198">
        <v>18</v>
      </c>
      <c r="M1198">
        <v>25.25</v>
      </c>
      <c r="N1198">
        <v>13.05</v>
      </c>
      <c r="O1198">
        <v>1662</v>
      </c>
      <c r="P1198">
        <v>360</v>
      </c>
      <c r="Q1198" s="5" t="e">
        <f>IF(AND(#REF!&gt;=table!$C$6,#REF!&lt;= table!$D$6),-1,IF(AND(#REF!&gt;=table!$E$6,#REF!&lt;=table!$F$6),1,0))</f>
        <v>#REF!</v>
      </c>
      <c r="R1198" s="5" t="e">
        <f>IF(AND(#REF!&gt;=table!$C$7,#REF!&lt;= table!$D$7),-1,IF(AND(#REF!&gt;=table!$E$7,#REF!&lt;=table!$F$7),1,0))</f>
        <v>#REF!</v>
      </c>
      <c r="S1198" s="5" t="e">
        <f>IF(AND(#REF!&gt;=table!$C$8,#REF!&lt;= table!$D$8),-1,IF(AND(#REF!&gt;=table!$E$8,#REF!&lt;=table!$F$8),1,0))</f>
        <v>#REF!</v>
      </c>
      <c r="T1198" s="5"/>
      <c r="U1198" s="5" t="e">
        <f>IF(AND(#REF!&gt;=table!$C$10,#REF!&lt;= table!$D$10),-1,IF(AND(#REF!&gt;=table!$E$10,#REF!&lt;=table!$F$10),1,0))</f>
        <v>#REF!</v>
      </c>
      <c r="V1198" s="5" t="e">
        <f>IF(AND(#REF!&gt;=table!$C$11,#REF!&lt;= table!$D$11),-1,IF(AND(#REF!&gt;=table!$E$11,#REF!&lt;=table!$F$11),1,0))</f>
        <v>#REF!</v>
      </c>
      <c r="W1198" s="5" t="e">
        <f>CONCATENATE(dados[[#This Row],[fator1]],dados[[#This Row],[fator5]],dados[[#This Row],[fator6]])</f>
        <v>#REF!</v>
      </c>
    </row>
    <row r="1199" spans="1:23">
      <c r="A1199" t="s">
        <v>16</v>
      </c>
      <c r="B1199">
        <v>484307</v>
      </c>
      <c r="C1199">
        <v>9</v>
      </c>
      <c r="D1199">
        <v>27</v>
      </c>
      <c r="E1199">
        <v>36</v>
      </c>
      <c r="F1199">
        <v>8</v>
      </c>
      <c r="G1199">
        <v>0</v>
      </c>
      <c r="H1199">
        <v>25</v>
      </c>
      <c r="I1199">
        <v>2</v>
      </c>
      <c r="J1199">
        <v>0</v>
      </c>
      <c r="K1199">
        <v>12.4</v>
      </c>
      <c r="L1199">
        <v>20.350000000000001</v>
      </c>
      <c r="M1199">
        <v>35.85</v>
      </c>
      <c r="N1199">
        <v>18.25</v>
      </c>
      <c r="O1199">
        <v>1663</v>
      </c>
      <c r="P1199">
        <v>331</v>
      </c>
      <c r="Q1199" s="5" t="e">
        <f>IF(AND(#REF!&gt;=table!$C$6,#REF!&lt;= table!$D$6),-1,IF(AND(#REF!&gt;=table!$E$6,#REF!&lt;=table!$F$6),1,0))</f>
        <v>#REF!</v>
      </c>
      <c r="R1199" s="5" t="e">
        <f>IF(AND(#REF!&gt;=table!$C$7,#REF!&lt;= table!$D$7),-1,IF(AND(#REF!&gt;=table!$E$7,#REF!&lt;=table!$F$7),1,0))</f>
        <v>#REF!</v>
      </c>
      <c r="S1199" s="5" t="e">
        <f>IF(AND(#REF!&gt;=table!$C$8,#REF!&lt;= table!$D$8),-1,IF(AND(#REF!&gt;=table!$E$8,#REF!&lt;=table!$F$8),1,0))</f>
        <v>#REF!</v>
      </c>
      <c r="T1199" s="5"/>
      <c r="U1199" s="5" t="e">
        <f>IF(AND(#REF!&gt;=table!$C$10,#REF!&lt;= table!$D$10),-1,IF(AND(#REF!&gt;=table!$E$10,#REF!&lt;=table!$F$10),1,0))</f>
        <v>#REF!</v>
      </c>
      <c r="V1199" s="5" t="e">
        <f>IF(AND(#REF!&gt;=table!$C$11,#REF!&lt;= table!$D$11),-1,IF(AND(#REF!&gt;=table!$E$11,#REF!&lt;=table!$F$11),1,0))</f>
        <v>#REF!</v>
      </c>
      <c r="W1199" s="5" t="e">
        <f>CONCATENATE(dados[[#This Row],[fator1]],dados[[#This Row],[fator5]],dados[[#This Row],[fator6]])</f>
        <v>#REF!</v>
      </c>
    </row>
    <row r="1200" spans="1:23">
      <c r="A1200" t="s">
        <v>16</v>
      </c>
      <c r="B1200">
        <v>484308</v>
      </c>
      <c r="C1200">
        <v>16</v>
      </c>
      <c r="D1200">
        <v>35</v>
      </c>
      <c r="E1200">
        <v>36</v>
      </c>
      <c r="F1200">
        <v>10</v>
      </c>
      <c r="G1200">
        <v>0</v>
      </c>
      <c r="H1200">
        <v>25</v>
      </c>
      <c r="I1200">
        <v>1123</v>
      </c>
      <c r="J1200">
        <v>490</v>
      </c>
      <c r="K1200">
        <v>17.3</v>
      </c>
      <c r="L1200">
        <v>16</v>
      </c>
      <c r="M1200">
        <v>31.36</v>
      </c>
      <c r="N1200">
        <v>13.095000000000001</v>
      </c>
      <c r="O1200">
        <v>1654</v>
      </c>
      <c r="P1200">
        <v>243</v>
      </c>
      <c r="Q1200" s="5" t="e">
        <f>IF(AND(#REF!&gt;=table!$C$6,#REF!&lt;= table!$D$6),-1,IF(AND(#REF!&gt;=table!$E$6,#REF!&lt;=table!$F$6),1,0))</f>
        <v>#REF!</v>
      </c>
      <c r="R1200" s="5" t="e">
        <f>IF(AND(#REF!&gt;=table!$C$7,#REF!&lt;= table!$D$7),-1,IF(AND(#REF!&gt;=table!$E$7,#REF!&lt;=table!$F$7),1,0))</f>
        <v>#REF!</v>
      </c>
      <c r="S1200" s="5" t="e">
        <f>IF(AND(#REF!&gt;=table!$C$8,#REF!&lt;= table!$D$8),-1,IF(AND(#REF!&gt;=table!$E$8,#REF!&lt;=table!$F$8),1,0))</f>
        <v>#REF!</v>
      </c>
      <c r="T1200" s="5"/>
      <c r="U1200" s="5" t="e">
        <f>IF(AND(#REF!&gt;=table!$C$10,#REF!&lt;= table!$D$10),-1,IF(AND(#REF!&gt;=table!$E$10,#REF!&lt;=table!$F$10),1,0))</f>
        <v>#REF!</v>
      </c>
      <c r="V1200" s="5" t="e">
        <f>IF(AND(#REF!&gt;=table!$C$11,#REF!&lt;= table!$D$11),-1,IF(AND(#REF!&gt;=table!$E$11,#REF!&lt;=table!$F$11),1,0))</f>
        <v>#REF!</v>
      </c>
      <c r="W1200" s="5" t="e">
        <f>CONCATENATE(dados[[#This Row],[fator1]],dados[[#This Row],[fator5]],dados[[#This Row],[fator6]])</f>
        <v>#REF!</v>
      </c>
    </row>
    <row r="1201" spans="1:23">
      <c r="A1201" t="s">
        <v>16</v>
      </c>
      <c r="B1201">
        <v>484314</v>
      </c>
      <c r="C1201">
        <v>7</v>
      </c>
      <c r="D1201">
        <v>35</v>
      </c>
      <c r="E1201">
        <v>170</v>
      </c>
      <c r="F1201">
        <v>6</v>
      </c>
      <c r="G1201">
        <v>0</v>
      </c>
      <c r="H1201">
        <v>20</v>
      </c>
      <c r="I1201">
        <v>854</v>
      </c>
      <c r="J1201">
        <v>590</v>
      </c>
      <c r="K1201">
        <v>10.485000000000001</v>
      </c>
      <c r="L1201">
        <v>14.86</v>
      </c>
      <c r="M1201">
        <v>160.73500000000001</v>
      </c>
      <c r="N1201">
        <v>12.175000000000001</v>
      </c>
      <c r="O1201">
        <v>1652</v>
      </c>
      <c r="P1201">
        <v>403</v>
      </c>
      <c r="Q1201" s="5" t="e">
        <f>IF(AND(#REF!&gt;=table!$C$6,#REF!&lt;= table!$D$6),-1,IF(AND(#REF!&gt;=table!$E$6,#REF!&lt;=table!$F$6),1,0))</f>
        <v>#REF!</v>
      </c>
      <c r="R1201" s="5" t="e">
        <f>IF(AND(#REF!&gt;=table!$C$7,#REF!&lt;= table!$D$7),-1,IF(AND(#REF!&gt;=table!$E$7,#REF!&lt;=table!$F$7),1,0))</f>
        <v>#REF!</v>
      </c>
      <c r="S1201" s="5" t="e">
        <f>IF(AND(#REF!&gt;=table!$C$8,#REF!&lt;= table!$D$8),-1,IF(AND(#REF!&gt;=table!$E$8,#REF!&lt;=table!$F$8),1,0))</f>
        <v>#REF!</v>
      </c>
      <c r="T1201" s="5"/>
      <c r="U1201" s="5" t="e">
        <f>IF(AND(#REF!&gt;=table!$C$10,#REF!&lt;= table!$D$10),-1,IF(AND(#REF!&gt;=table!$E$10,#REF!&lt;=table!$F$10),1,0))</f>
        <v>#REF!</v>
      </c>
      <c r="V1201" s="5" t="e">
        <f>IF(AND(#REF!&gt;=table!$C$11,#REF!&lt;= table!$D$11),-1,IF(AND(#REF!&gt;=table!$E$11,#REF!&lt;=table!$F$11),1,0))</f>
        <v>#REF!</v>
      </c>
      <c r="W1201" s="5" t="e">
        <f>CONCATENATE(dados[[#This Row],[fator1]],dados[[#This Row],[fator5]],dados[[#This Row],[fator6]])</f>
        <v>#REF!</v>
      </c>
    </row>
    <row r="1202" spans="1:23">
      <c r="A1202" t="s">
        <v>16</v>
      </c>
      <c r="B1202">
        <v>484315</v>
      </c>
      <c r="C1202">
        <v>7</v>
      </c>
      <c r="D1202">
        <v>35</v>
      </c>
      <c r="E1202">
        <v>170</v>
      </c>
      <c r="F1202">
        <v>6</v>
      </c>
      <c r="G1202">
        <v>0</v>
      </c>
      <c r="H1202">
        <v>20</v>
      </c>
      <c r="I1202">
        <v>43</v>
      </c>
      <c r="J1202">
        <v>0</v>
      </c>
      <c r="K1202">
        <v>4.1100000000000003</v>
      </c>
      <c r="L1202">
        <v>14.15</v>
      </c>
      <c r="M1202">
        <v>156.16500000000002</v>
      </c>
      <c r="N1202">
        <v>12.36</v>
      </c>
      <c r="O1202">
        <v>1682</v>
      </c>
      <c r="P1202">
        <v>0</v>
      </c>
      <c r="Q1202" s="5" t="e">
        <f>IF(AND(#REF!&gt;=table!$C$6,#REF!&lt;= table!$D$6),-1,IF(AND(#REF!&gt;=table!$E$6,#REF!&lt;=table!$F$6),1,0))</f>
        <v>#REF!</v>
      </c>
      <c r="R1202" s="5" t="e">
        <f>IF(AND(#REF!&gt;=table!$C$7,#REF!&lt;= table!$D$7),-1,IF(AND(#REF!&gt;=table!$E$7,#REF!&lt;=table!$F$7),1,0))</f>
        <v>#REF!</v>
      </c>
      <c r="S1202" s="5" t="e">
        <f>IF(AND(#REF!&gt;=table!$C$8,#REF!&lt;= table!$D$8),-1,IF(AND(#REF!&gt;=table!$E$8,#REF!&lt;=table!$F$8),1,0))</f>
        <v>#REF!</v>
      </c>
      <c r="T1202" s="5"/>
      <c r="U1202" s="5" t="e">
        <f>IF(AND(#REF!&gt;=table!$C$10,#REF!&lt;= table!$D$10),-1,IF(AND(#REF!&gt;=table!$E$10,#REF!&lt;=table!$F$10),1,0))</f>
        <v>#REF!</v>
      </c>
      <c r="V1202" s="5" t="e">
        <f>IF(AND(#REF!&gt;=table!$C$11,#REF!&lt;= table!$D$11),-1,IF(AND(#REF!&gt;=table!$E$11,#REF!&lt;=table!$F$11),1,0))</f>
        <v>#REF!</v>
      </c>
      <c r="W1202" s="5" t="e">
        <f>CONCATENATE(dados[[#This Row],[fator1]],dados[[#This Row],[fator5]],dados[[#This Row],[fator6]])</f>
        <v>#REF!</v>
      </c>
    </row>
    <row r="1203" spans="1:23">
      <c r="A1203" t="s">
        <v>16</v>
      </c>
      <c r="B1203">
        <v>484316</v>
      </c>
      <c r="C1203">
        <v>13</v>
      </c>
      <c r="D1203">
        <v>35</v>
      </c>
      <c r="E1203">
        <v>120</v>
      </c>
      <c r="F1203">
        <v>10</v>
      </c>
      <c r="G1203">
        <v>0</v>
      </c>
      <c r="H1203">
        <v>25</v>
      </c>
      <c r="I1203">
        <v>1036</v>
      </c>
      <c r="J1203">
        <v>0</v>
      </c>
      <c r="K1203">
        <v>5.01</v>
      </c>
      <c r="L1203">
        <v>13.75</v>
      </c>
      <c r="M1203">
        <v>111.10000000000001</v>
      </c>
      <c r="N1203">
        <v>16.8</v>
      </c>
      <c r="O1203">
        <v>1666</v>
      </c>
      <c r="P1203">
        <v>0</v>
      </c>
      <c r="Q1203" s="5" t="e">
        <f>IF(AND(#REF!&gt;=table!$C$6,#REF!&lt;= table!$D$6),-1,IF(AND(#REF!&gt;=table!$E$6,#REF!&lt;=table!$F$6),1,0))</f>
        <v>#REF!</v>
      </c>
      <c r="R1203" s="5" t="e">
        <f>IF(AND(#REF!&gt;=table!$C$7,#REF!&lt;= table!$D$7),-1,IF(AND(#REF!&gt;=table!$E$7,#REF!&lt;=table!$F$7),1,0))</f>
        <v>#REF!</v>
      </c>
      <c r="S1203" s="5" t="e">
        <f>IF(AND(#REF!&gt;=table!$C$8,#REF!&lt;= table!$D$8),-1,IF(AND(#REF!&gt;=table!$E$8,#REF!&lt;=table!$F$8),1,0))</f>
        <v>#REF!</v>
      </c>
      <c r="T1203" s="5"/>
      <c r="U1203" s="5" t="e">
        <f>IF(AND(#REF!&gt;=table!$C$10,#REF!&lt;= table!$D$10),-1,IF(AND(#REF!&gt;=table!$E$10,#REF!&lt;=table!$F$10),1,0))</f>
        <v>#REF!</v>
      </c>
      <c r="V1203" s="5" t="e">
        <f>IF(AND(#REF!&gt;=table!$C$11,#REF!&lt;= table!$D$11),-1,IF(AND(#REF!&gt;=table!$E$11,#REF!&lt;=table!$F$11),1,0))</f>
        <v>#REF!</v>
      </c>
      <c r="W1203" s="5" t="e">
        <f>CONCATENATE(dados[[#This Row],[fator1]],dados[[#This Row],[fator5]],dados[[#This Row],[fator6]])</f>
        <v>#REF!</v>
      </c>
    </row>
    <row r="1204" spans="1:23">
      <c r="A1204" t="s">
        <v>16</v>
      </c>
      <c r="B1204">
        <v>484317</v>
      </c>
      <c r="C1204">
        <v>13</v>
      </c>
      <c r="D1204">
        <v>35</v>
      </c>
      <c r="E1204">
        <v>120</v>
      </c>
      <c r="F1204">
        <v>10</v>
      </c>
      <c r="G1204">
        <v>0</v>
      </c>
      <c r="H1204">
        <v>25</v>
      </c>
      <c r="I1204">
        <v>257</v>
      </c>
      <c r="J1204">
        <v>0</v>
      </c>
      <c r="K1204">
        <v>11.450000000000001</v>
      </c>
      <c r="L1204">
        <v>15.015000000000001</v>
      </c>
      <c r="M1204">
        <v>119.435</v>
      </c>
      <c r="N1204">
        <v>13.815000000000001</v>
      </c>
      <c r="O1204">
        <v>1668</v>
      </c>
      <c r="P1204">
        <v>0</v>
      </c>
      <c r="Q1204" s="5" t="e">
        <f>IF(AND(#REF!&gt;=table!$C$6,#REF!&lt;= table!$D$6),-1,IF(AND(#REF!&gt;=table!$E$6,#REF!&lt;=table!$F$6),1,0))</f>
        <v>#REF!</v>
      </c>
      <c r="R1204" s="5" t="e">
        <f>IF(AND(#REF!&gt;=table!$C$7,#REF!&lt;= table!$D$7),-1,IF(AND(#REF!&gt;=table!$E$7,#REF!&lt;=table!$F$7),1,0))</f>
        <v>#REF!</v>
      </c>
      <c r="S1204" s="5" t="e">
        <f>IF(AND(#REF!&gt;=table!$C$8,#REF!&lt;= table!$D$8),-1,IF(AND(#REF!&gt;=table!$E$8,#REF!&lt;=table!$F$8),1,0))</f>
        <v>#REF!</v>
      </c>
      <c r="T1204" s="5"/>
      <c r="U1204" s="5" t="e">
        <f>IF(AND(#REF!&gt;=table!$C$10,#REF!&lt;= table!$D$10),-1,IF(AND(#REF!&gt;=table!$E$10,#REF!&lt;=table!$F$10),1,0))</f>
        <v>#REF!</v>
      </c>
      <c r="V1204" s="5" t="e">
        <f>IF(AND(#REF!&gt;=table!$C$11,#REF!&lt;= table!$D$11),-1,IF(AND(#REF!&gt;=table!$E$11,#REF!&lt;=table!$F$11),1,0))</f>
        <v>#REF!</v>
      </c>
      <c r="W1204" s="5" t="e">
        <f>CONCATENATE(dados[[#This Row],[fator1]],dados[[#This Row],[fator5]],dados[[#This Row],[fator6]])</f>
        <v>#REF!</v>
      </c>
    </row>
    <row r="1205" spans="1:23">
      <c r="A1205" t="s">
        <v>16</v>
      </c>
      <c r="B1205">
        <v>484320</v>
      </c>
      <c r="C1205">
        <v>12</v>
      </c>
      <c r="D1205">
        <v>40</v>
      </c>
      <c r="E1205">
        <v>86</v>
      </c>
      <c r="F1205">
        <v>8</v>
      </c>
      <c r="G1205">
        <v>0</v>
      </c>
      <c r="H1205">
        <v>25</v>
      </c>
      <c r="I1205">
        <v>14</v>
      </c>
      <c r="J1205">
        <v>0</v>
      </c>
      <c r="K1205">
        <v>13.985000000000001</v>
      </c>
      <c r="L1205">
        <v>18.09</v>
      </c>
      <c r="M1205">
        <v>70.135000000000005</v>
      </c>
      <c r="N1205">
        <v>16.29</v>
      </c>
      <c r="O1205">
        <v>1668</v>
      </c>
      <c r="P1205">
        <v>272</v>
      </c>
      <c r="Q1205" s="5" t="e">
        <f>IF(AND(#REF!&gt;=table!$C$6,#REF!&lt;= table!$D$6),-1,IF(AND(#REF!&gt;=table!$E$6,#REF!&lt;=table!$F$6),1,0))</f>
        <v>#REF!</v>
      </c>
      <c r="R1205" s="5" t="e">
        <f>IF(AND(#REF!&gt;=table!$C$7,#REF!&lt;= table!$D$7),-1,IF(AND(#REF!&gt;=table!$E$7,#REF!&lt;=table!$F$7),1,0))</f>
        <v>#REF!</v>
      </c>
      <c r="S1205" s="5" t="e">
        <f>IF(AND(#REF!&gt;=table!$C$8,#REF!&lt;= table!$D$8),-1,IF(AND(#REF!&gt;=table!$E$8,#REF!&lt;=table!$F$8),1,0))</f>
        <v>#REF!</v>
      </c>
      <c r="T1205" s="5"/>
      <c r="U1205" s="5" t="e">
        <f>IF(AND(#REF!&gt;=table!$C$10,#REF!&lt;= table!$D$10),-1,IF(AND(#REF!&gt;=table!$E$10,#REF!&lt;=table!$F$10),1,0))</f>
        <v>#REF!</v>
      </c>
      <c r="V1205" s="5" t="e">
        <f>IF(AND(#REF!&gt;=table!$C$11,#REF!&lt;= table!$D$11),-1,IF(AND(#REF!&gt;=table!$E$11,#REF!&lt;=table!$F$11),1,0))</f>
        <v>#REF!</v>
      </c>
      <c r="W1205" s="5" t="e">
        <f>CONCATENATE(dados[[#This Row],[fator1]],dados[[#This Row],[fator5]],dados[[#This Row],[fator6]])</f>
        <v>#REF!</v>
      </c>
    </row>
    <row r="1206" spans="1:23">
      <c r="A1206" t="s">
        <v>16</v>
      </c>
      <c r="B1206">
        <v>484323</v>
      </c>
      <c r="C1206">
        <v>16</v>
      </c>
      <c r="D1206">
        <v>30</v>
      </c>
      <c r="E1206">
        <v>36</v>
      </c>
      <c r="F1206">
        <v>3</v>
      </c>
      <c r="G1206">
        <v>0</v>
      </c>
      <c r="H1206">
        <v>25</v>
      </c>
      <c r="I1206">
        <v>929</v>
      </c>
      <c r="J1206">
        <v>0</v>
      </c>
      <c r="K1206">
        <v>7.2244999999999999</v>
      </c>
      <c r="L1206">
        <v>12.436</v>
      </c>
      <c r="M1206">
        <v>23.25</v>
      </c>
      <c r="N1206">
        <v>12.25</v>
      </c>
      <c r="O1206">
        <v>1670</v>
      </c>
      <c r="P1206">
        <v>0</v>
      </c>
      <c r="Q1206" s="5" t="e">
        <f>IF(AND(#REF!&gt;=table!$C$6,#REF!&lt;= table!$D$6),-1,IF(AND(#REF!&gt;=table!$E$6,#REF!&lt;=table!$F$6),1,0))</f>
        <v>#REF!</v>
      </c>
      <c r="R1206" s="5" t="e">
        <f>IF(AND(#REF!&gt;=table!$C$7,#REF!&lt;= table!$D$7),-1,IF(AND(#REF!&gt;=table!$E$7,#REF!&lt;=table!$F$7),1,0))</f>
        <v>#REF!</v>
      </c>
      <c r="S1206" s="5" t="e">
        <f>IF(AND(#REF!&gt;=table!$C$8,#REF!&lt;= table!$D$8),-1,IF(AND(#REF!&gt;=table!$E$8,#REF!&lt;=table!$F$8),1,0))</f>
        <v>#REF!</v>
      </c>
      <c r="T1206" s="5"/>
      <c r="U1206" s="5" t="e">
        <f>IF(AND(#REF!&gt;=table!$C$10,#REF!&lt;= table!$D$10),-1,IF(AND(#REF!&gt;=table!$E$10,#REF!&lt;=table!$F$10),1,0))</f>
        <v>#REF!</v>
      </c>
      <c r="V1206" s="5" t="e">
        <f>IF(AND(#REF!&gt;=table!$C$11,#REF!&lt;= table!$D$11),-1,IF(AND(#REF!&gt;=table!$E$11,#REF!&lt;=table!$F$11),1,0))</f>
        <v>#REF!</v>
      </c>
      <c r="W1206" s="5" t="e">
        <f>CONCATENATE(dados[[#This Row],[fator1]],dados[[#This Row],[fator5]],dados[[#This Row],[fator6]])</f>
        <v>#REF!</v>
      </c>
    </row>
    <row r="1207" spans="1:23">
      <c r="A1207" t="s">
        <v>16</v>
      </c>
      <c r="B1207">
        <v>484324</v>
      </c>
      <c r="C1207">
        <v>4</v>
      </c>
      <c r="D1207">
        <v>40</v>
      </c>
      <c r="E1207">
        <v>21</v>
      </c>
      <c r="F1207">
        <v>10</v>
      </c>
      <c r="G1207">
        <v>0</v>
      </c>
      <c r="H1207">
        <v>25</v>
      </c>
      <c r="I1207">
        <v>656</v>
      </c>
      <c r="J1207">
        <v>0</v>
      </c>
      <c r="K1207">
        <v>9.5350000000000001</v>
      </c>
      <c r="L1207">
        <v>10.85</v>
      </c>
      <c r="M1207">
        <v>9.85</v>
      </c>
      <c r="N1207">
        <v>8.75</v>
      </c>
      <c r="O1207">
        <v>1671</v>
      </c>
      <c r="P1207">
        <v>446</v>
      </c>
      <c r="Q1207" s="5" t="e">
        <f>IF(AND(#REF!&gt;=table!$C$6,#REF!&lt;= table!$D$6),-1,IF(AND(#REF!&gt;=table!$E$6,#REF!&lt;=table!$F$6),1,0))</f>
        <v>#REF!</v>
      </c>
      <c r="R1207" s="5" t="e">
        <f>IF(AND(#REF!&gt;=table!$C$7,#REF!&lt;= table!$D$7),-1,IF(AND(#REF!&gt;=table!$E$7,#REF!&lt;=table!$F$7),1,0))</f>
        <v>#REF!</v>
      </c>
      <c r="S1207" s="5" t="e">
        <f>IF(AND(#REF!&gt;=table!$C$8,#REF!&lt;= table!$D$8),-1,IF(AND(#REF!&gt;=table!$E$8,#REF!&lt;=table!$F$8),1,0))</f>
        <v>#REF!</v>
      </c>
      <c r="T1207" s="5"/>
      <c r="U1207" s="5" t="e">
        <f>IF(AND(#REF!&gt;=table!$C$10,#REF!&lt;= table!$D$10),-1,IF(AND(#REF!&gt;=table!$E$10,#REF!&lt;=table!$F$10),1,0))</f>
        <v>#REF!</v>
      </c>
      <c r="V1207" s="5" t="e">
        <f>IF(AND(#REF!&gt;=table!$C$11,#REF!&lt;= table!$D$11),-1,IF(AND(#REF!&gt;=table!$E$11,#REF!&lt;=table!$F$11),1,0))</f>
        <v>#REF!</v>
      </c>
      <c r="W1207" s="5" t="e">
        <f>CONCATENATE(dados[[#This Row],[fator1]],dados[[#This Row],[fator5]],dados[[#This Row],[fator6]])</f>
        <v>#REF!</v>
      </c>
    </row>
    <row r="1208" spans="1:23">
      <c r="A1208" t="s">
        <v>17</v>
      </c>
      <c r="B1208">
        <v>484329</v>
      </c>
      <c r="C1208">
        <v>30</v>
      </c>
      <c r="D1208">
        <v>25</v>
      </c>
      <c r="E1208">
        <v>135</v>
      </c>
      <c r="F1208">
        <v>8</v>
      </c>
      <c r="G1208">
        <v>13</v>
      </c>
      <c r="H1208">
        <v>25</v>
      </c>
      <c r="I1208">
        <v>358</v>
      </c>
      <c r="J1208">
        <v>0</v>
      </c>
      <c r="K1208">
        <v>16.37</v>
      </c>
      <c r="L1208">
        <v>20.37</v>
      </c>
      <c r="M1208">
        <v>124.45</v>
      </c>
      <c r="N1208">
        <v>14.55</v>
      </c>
      <c r="O1208">
        <v>1637</v>
      </c>
      <c r="P1208">
        <v>230</v>
      </c>
      <c r="Q1208" s="5" t="e">
        <f>IF(AND(#REF!&gt;=table!$C$6,#REF!&lt;= table!$D$6),-1,IF(AND(#REF!&gt;=table!$E$6,#REF!&lt;=table!$F$6),1,0))</f>
        <v>#REF!</v>
      </c>
      <c r="R1208" s="5" t="e">
        <f>IF(AND(#REF!&gt;=table!$C$7,#REF!&lt;= table!$D$7),-1,IF(AND(#REF!&gt;=table!$E$7,#REF!&lt;=table!$F$7),1,0))</f>
        <v>#REF!</v>
      </c>
      <c r="S1208" s="5" t="e">
        <f>IF(AND(#REF!&gt;=table!$C$8,#REF!&lt;= table!$D$8),-1,IF(AND(#REF!&gt;=table!$E$8,#REF!&lt;=table!$F$8),1,0))</f>
        <v>#REF!</v>
      </c>
      <c r="T1208" s="5"/>
      <c r="U1208" s="5" t="e">
        <f>IF(AND(#REF!&gt;=table!$C$10,#REF!&lt;= table!$D$10),-1,IF(AND(#REF!&gt;=table!$E$10,#REF!&lt;=table!$F$10),1,0))</f>
        <v>#REF!</v>
      </c>
      <c r="V1208" s="5" t="e">
        <f>IF(AND(#REF!&gt;=table!$C$11,#REF!&lt;= table!$D$11),-1,IF(AND(#REF!&gt;=table!$E$11,#REF!&lt;=table!$F$11),1,0))</f>
        <v>#REF!</v>
      </c>
      <c r="W1208" s="5" t="e">
        <f>CONCATENATE(dados[[#This Row],[fator1]],dados[[#This Row],[fator5]],dados[[#This Row],[fator6]])</f>
        <v>#REF!</v>
      </c>
    </row>
    <row r="1209" spans="1:23">
      <c r="A1209" t="s">
        <v>17</v>
      </c>
      <c r="B1209">
        <v>484330</v>
      </c>
      <c r="C1209">
        <v>30</v>
      </c>
      <c r="D1209">
        <v>25</v>
      </c>
      <c r="E1209">
        <v>135</v>
      </c>
      <c r="F1209">
        <v>8</v>
      </c>
      <c r="G1209">
        <v>13</v>
      </c>
      <c r="H1209">
        <v>25</v>
      </c>
      <c r="I1209">
        <v>22</v>
      </c>
      <c r="J1209">
        <v>0</v>
      </c>
      <c r="K1209">
        <v>19.34</v>
      </c>
      <c r="L1209">
        <v>15.15</v>
      </c>
      <c r="M1209">
        <v>123.625</v>
      </c>
      <c r="N1209">
        <v>15.635000000000002</v>
      </c>
      <c r="O1209">
        <v>1646</v>
      </c>
      <c r="P1209">
        <v>191</v>
      </c>
      <c r="Q1209" s="5" t="e">
        <f>IF(AND(#REF!&gt;=table!$C$6,#REF!&lt;= table!$D$6),-1,IF(AND(#REF!&gt;=table!$E$6,#REF!&lt;=table!$F$6),1,0))</f>
        <v>#REF!</v>
      </c>
      <c r="R1209" s="5" t="e">
        <f>IF(AND(#REF!&gt;=table!$C$7,#REF!&lt;= table!$D$7),-1,IF(AND(#REF!&gt;=table!$E$7,#REF!&lt;=table!$F$7),1,0))</f>
        <v>#REF!</v>
      </c>
      <c r="S1209" s="5" t="e">
        <f>IF(AND(#REF!&gt;=table!$C$8,#REF!&lt;= table!$D$8),-1,IF(AND(#REF!&gt;=table!$E$8,#REF!&lt;=table!$F$8),1,0))</f>
        <v>#REF!</v>
      </c>
      <c r="T1209" s="5"/>
      <c r="U1209" s="5" t="e">
        <f>IF(AND(#REF!&gt;=table!$C$10,#REF!&lt;= table!$D$10),-1,IF(AND(#REF!&gt;=table!$E$10,#REF!&lt;=table!$F$10),1,0))</f>
        <v>#REF!</v>
      </c>
      <c r="V1209" s="5" t="e">
        <f>IF(AND(#REF!&gt;=table!$C$11,#REF!&lt;= table!$D$11),-1,IF(AND(#REF!&gt;=table!$E$11,#REF!&lt;=table!$F$11),1,0))</f>
        <v>#REF!</v>
      </c>
      <c r="W1209" s="5" t="e">
        <f>CONCATENATE(dados[[#This Row],[fator1]],dados[[#This Row],[fator5]],dados[[#This Row],[fator6]])</f>
        <v>#REF!</v>
      </c>
    </row>
    <row r="1210" spans="1:23">
      <c r="A1210" t="s">
        <v>16</v>
      </c>
      <c r="B1210">
        <v>484355</v>
      </c>
      <c r="C1210">
        <v>0.15</v>
      </c>
      <c r="D1210">
        <v>35</v>
      </c>
      <c r="E1210">
        <v>15</v>
      </c>
      <c r="F1210">
        <v>10</v>
      </c>
      <c r="G1210">
        <v>0</v>
      </c>
      <c r="H1210">
        <v>12</v>
      </c>
      <c r="I1210">
        <v>180</v>
      </c>
      <c r="J1210">
        <v>0</v>
      </c>
      <c r="K1210">
        <v>3.3200000000000003</v>
      </c>
      <c r="L1210">
        <v>9.7799999999999994</v>
      </c>
      <c r="M1210">
        <v>9.06</v>
      </c>
      <c r="N1210">
        <v>7.915</v>
      </c>
      <c r="O1210">
        <v>1642</v>
      </c>
      <c r="P1210">
        <v>756</v>
      </c>
      <c r="Q1210" s="5" t="e">
        <f>IF(AND(#REF!&gt;=table!$C$6,#REF!&lt;= table!$D$6),-1,IF(AND(#REF!&gt;=table!$E$6,#REF!&lt;=table!$F$6),1,0))</f>
        <v>#REF!</v>
      </c>
      <c r="R1210" s="5" t="e">
        <f>IF(AND(#REF!&gt;=table!$C$7,#REF!&lt;= table!$D$7),-1,IF(AND(#REF!&gt;=table!$E$7,#REF!&lt;=table!$F$7),1,0))</f>
        <v>#REF!</v>
      </c>
      <c r="S1210" s="5" t="e">
        <f>IF(AND(#REF!&gt;=table!$C$8,#REF!&lt;= table!$D$8),-1,IF(AND(#REF!&gt;=table!$E$8,#REF!&lt;=table!$F$8),1,0))</f>
        <v>#REF!</v>
      </c>
      <c r="T1210" s="5"/>
      <c r="U1210" s="5" t="e">
        <f>IF(AND(#REF!&gt;=table!$C$10,#REF!&lt;= table!$D$10),-1,IF(AND(#REF!&gt;=table!$E$10,#REF!&lt;=table!$F$10),1,0))</f>
        <v>#REF!</v>
      </c>
      <c r="V1210" s="5" t="e">
        <f>IF(AND(#REF!&gt;=table!$C$11,#REF!&lt;= table!$D$11),-1,IF(AND(#REF!&gt;=table!$E$11,#REF!&lt;=table!$F$11),1,0))</f>
        <v>#REF!</v>
      </c>
      <c r="W1210" s="5" t="e">
        <f>CONCATENATE(dados[[#This Row],[fator1]],dados[[#This Row],[fator5]],dados[[#This Row],[fator6]])</f>
        <v>#REF!</v>
      </c>
    </row>
    <row r="1211" spans="1:23">
      <c r="A1211" t="s">
        <v>16</v>
      </c>
      <c r="B1211">
        <v>484356</v>
      </c>
      <c r="C1211">
        <v>0.15</v>
      </c>
      <c r="D1211">
        <v>35</v>
      </c>
      <c r="E1211">
        <v>15</v>
      </c>
      <c r="F1211">
        <v>10</v>
      </c>
      <c r="G1211">
        <v>0</v>
      </c>
      <c r="H1211">
        <v>12</v>
      </c>
      <c r="I1211">
        <v>1327</v>
      </c>
      <c r="J1211">
        <v>0</v>
      </c>
      <c r="K1211">
        <v>5.4450000000000003</v>
      </c>
      <c r="L1211">
        <v>12.08</v>
      </c>
      <c r="M1211">
        <v>10.450000000000001</v>
      </c>
      <c r="N1211">
        <v>9.4500000000000011</v>
      </c>
      <c r="O1211">
        <v>1656</v>
      </c>
      <c r="P1211">
        <v>637</v>
      </c>
      <c r="Q1211" s="5" t="e">
        <f>IF(AND(#REF!&gt;=table!$C$6,#REF!&lt;= table!$D$6),-1,IF(AND(#REF!&gt;=table!$E$6,#REF!&lt;=table!$F$6),1,0))</f>
        <v>#REF!</v>
      </c>
      <c r="R1211" s="5" t="e">
        <f>IF(AND(#REF!&gt;=table!$C$7,#REF!&lt;= table!$D$7),-1,IF(AND(#REF!&gt;=table!$E$7,#REF!&lt;=table!$F$7),1,0))</f>
        <v>#REF!</v>
      </c>
      <c r="S1211" s="5" t="e">
        <f>IF(AND(#REF!&gt;=table!$C$8,#REF!&lt;= table!$D$8),-1,IF(AND(#REF!&gt;=table!$E$8,#REF!&lt;=table!$F$8),1,0))</f>
        <v>#REF!</v>
      </c>
      <c r="T1211" s="5"/>
      <c r="U1211" s="5" t="e">
        <f>IF(AND(#REF!&gt;=table!$C$10,#REF!&lt;= table!$D$10),-1,IF(AND(#REF!&gt;=table!$E$10,#REF!&lt;=table!$F$10),1,0))</f>
        <v>#REF!</v>
      </c>
      <c r="V1211" s="5" t="e">
        <f>IF(AND(#REF!&gt;=table!$C$11,#REF!&lt;= table!$D$11),-1,IF(AND(#REF!&gt;=table!$E$11,#REF!&lt;=table!$F$11),1,0))</f>
        <v>#REF!</v>
      </c>
      <c r="W1211" s="5" t="e">
        <f>CONCATENATE(dados[[#This Row],[fator1]],dados[[#This Row],[fator5]],dados[[#This Row],[fator6]])</f>
        <v>#REF!</v>
      </c>
    </row>
    <row r="1212" spans="1:23">
      <c r="A1212" t="s">
        <v>17</v>
      </c>
      <c r="B1212">
        <v>484359</v>
      </c>
      <c r="C1212">
        <v>46</v>
      </c>
      <c r="D1212">
        <v>18</v>
      </c>
      <c r="E1212">
        <v>66</v>
      </c>
      <c r="F1212">
        <v>10</v>
      </c>
      <c r="G1212">
        <v>20</v>
      </c>
      <c r="H1212">
        <v>23</v>
      </c>
      <c r="I1212">
        <v>52</v>
      </c>
      <c r="J1212">
        <v>0</v>
      </c>
      <c r="K1212">
        <v>5.03</v>
      </c>
      <c r="L1212">
        <v>12.35</v>
      </c>
      <c r="M1212">
        <v>50.65</v>
      </c>
      <c r="N1212">
        <v>13.19</v>
      </c>
      <c r="O1212">
        <v>1669</v>
      </c>
      <c r="P1212">
        <v>773</v>
      </c>
      <c r="Q1212" s="5" t="e">
        <f>IF(AND(#REF!&gt;=table!$C$6,#REF!&lt;= table!$D$6),-1,IF(AND(#REF!&gt;=table!$E$6,#REF!&lt;=table!$F$6),1,0))</f>
        <v>#REF!</v>
      </c>
      <c r="R1212" s="5" t="e">
        <f>IF(AND(#REF!&gt;=table!$C$7,#REF!&lt;= table!$D$7),-1,IF(AND(#REF!&gt;=table!$E$7,#REF!&lt;=table!$F$7),1,0))</f>
        <v>#REF!</v>
      </c>
      <c r="S1212" s="5" t="e">
        <f>IF(AND(#REF!&gt;=table!$C$8,#REF!&lt;= table!$D$8),-1,IF(AND(#REF!&gt;=table!$E$8,#REF!&lt;=table!$F$8),1,0))</f>
        <v>#REF!</v>
      </c>
      <c r="T1212" s="5"/>
      <c r="U1212" s="5" t="e">
        <f>IF(AND(#REF!&gt;=table!$C$10,#REF!&lt;= table!$D$10),-1,IF(AND(#REF!&gt;=table!$E$10,#REF!&lt;=table!$F$10),1,0))</f>
        <v>#REF!</v>
      </c>
      <c r="V1212" s="5" t="e">
        <f>IF(AND(#REF!&gt;=table!$C$11,#REF!&lt;= table!$D$11),-1,IF(AND(#REF!&gt;=table!$E$11,#REF!&lt;=table!$F$11),1,0))</f>
        <v>#REF!</v>
      </c>
      <c r="W1212" s="5" t="e">
        <f>CONCATENATE(dados[[#This Row],[fator1]],dados[[#This Row],[fator5]],dados[[#This Row],[fator6]])</f>
        <v>#REF!</v>
      </c>
    </row>
    <row r="1213" spans="1:23">
      <c r="A1213" t="s">
        <v>17</v>
      </c>
      <c r="B1213">
        <v>484360</v>
      </c>
      <c r="C1213">
        <v>46</v>
      </c>
      <c r="D1213">
        <v>18</v>
      </c>
      <c r="E1213">
        <v>66</v>
      </c>
      <c r="F1213">
        <v>10</v>
      </c>
      <c r="G1213">
        <v>20</v>
      </c>
      <c r="H1213">
        <v>23</v>
      </c>
      <c r="I1213">
        <v>33</v>
      </c>
      <c r="J1213">
        <v>0</v>
      </c>
      <c r="K1213">
        <v>5.5</v>
      </c>
      <c r="L1213">
        <v>11.55</v>
      </c>
      <c r="M1213">
        <v>59</v>
      </c>
      <c r="N1213">
        <v>14.1</v>
      </c>
      <c r="O1213">
        <v>1669</v>
      </c>
      <c r="P1213">
        <v>733</v>
      </c>
      <c r="Q1213" s="5" t="e">
        <f>IF(AND(#REF!&gt;=table!$C$6,#REF!&lt;= table!$D$6),-1,IF(AND(#REF!&gt;=table!$E$6,#REF!&lt;=table!$F$6),1,0))</f>
        <v>#REF!</v>
      </c>
      <c r="R1213" s="5" t="e">
        <f>IF(AND(#REF!&gt;=table!$C$7,#REF!&lt;= table!$D$7),-1,IF(AND(#REF!&gt;=table!$E$7,#REF!&lt;=table!$F$7),1,0))</f>
        <v>#REF!</v>
      </c>
      <c r="S1213" s="5" t="e">
        <f>IF(AND(#REF!&gt;=table!$C$8,#REF!&lt;= table!$D$8),-1,IF(AND(#REF!&gt;=table!$E$8,#REF!&lt;=table!$F$8),1,0))</f>
        <v>#REF!</v>
      </c>
      <c r="T1213" s="5"/>
      <c r="U1213" s="5" t="e">
        <f>IF(AND(#REF!&gt;=table!$C$10,#REF!&lt;= table!$D$10),-1,IF(AND(#REF!&gt;=table!$E$10,#REF!&lt;=table!$F$10),1,0))</f>
        <v>#REF!</v>
      </c>
      <c r="V1213" s="5" t="e">
        <f>IF(AND(#REF!&gt;=table!$C$11,#REF!&lt;= table!$D$11),-1,IF(AND(#REF!&gt;=table!$E$11,#REF!&lt;=table!$F$11),1,0))</f>
        <v>#REF!</v>
      </c>
      <c r="W1213" s="5" t="e">
        <f>CONCATENATE(dados[[#This Row],[fator1]],dados[[#This Row],[fator5]],dados[[#This Row],[fator6]])</f>
        <v>#REF!</v>
      </c>
    </row>
    <row r="1214" spans="1:23">
      <c r="A1214" t="s">
        <v>17</v>
      </c>
      <c r="B1214">
        <v>484361</v>
      </c>
      <c r="C1214">
        <v>46</v>
      </c>
      <c r="D1214">
        <v>18</v>
      </c>
      <c r="E1214">
        <v>66</v>
      </c>
      <c r="F1214">
        <v>10</v>
      </c>
      <c r="G1214">
        <v>20</v>
      </c>
      <c r="H1214">
        <v>23</v>
      </c>
      <c r="I1214">
        <v>639</v>
      </c>
      <c r="J1214">
        <v>0</v>
      </c>
      <c r="K1214">
        <v>34.730000000000004</v>
      </c>
      <c r="L1214">
        <v>63.75</v>
      </c>
      <c r="M1214">
        <v>62.4</v>
      </c>
      <c r="N1214">
        <v>13.4</v>
      </c>
      <c r="O1214">
        <v>1655</v>
      </c>
      <c r="P1214">
        <v>397</v>
      </c>
      <c r="Q1214" s="5" t="e">
        <f>IF(AND(#REF!&gt;=table!$C$6,#REF!&lt;= table!$D$6),-1,IF(AND(#REF!&gt;=table!$E$6,#REF!&lt;=table!$F$6),1,0))</f>
        <v>#REF!</v>
      </c>
      <c r="R1214" s="5" t="e">
        <f>IF(AND(#REF!&gt;=table!$C$7,#REF!&lt;= table!$D$7),-1,IF(AND(#REF!&gt;=table!$E$7,#REF!&lt;=table!$F$7),1,0))</f>
        <v>#REF!</v>
      </c>
      <c r="S1214" s="5" t="e">
        <f>IF(AND(#REF!&gt;=table!$C$8,#REF!&lt;= table!$D$8),-1,IF(AND(#REF!&gt;=table!$E$8,#REF!&lt;=table!$F$8),1,0))</f>
        <v>#REF!</v>
      </c>
      <c r="T1214" s="5"/>
      <c r="U1214" s="5" t="e">
        <f>IF(AND(#REF!&gt;=table!$C$10,#REF!&lt;= table!$D$10),-1,IF(AND(#REF!&gt;=table!$E$10,#REF!&lt;=table!$F$10),1,0))</f>
        <v>#REF!</v>
      </c>
      <c r="V1214" s="5" t="e">
        <f>IF(AND(#REF!&gt;=table!$C$11,#REF!&lt;= table!$D$11),-1,IF(AND(#REF!&gt;=table!$E$11,#REF!&lt;=table!$F$11),1,0))</f>
        <v>#REF!</v>
      </c>
      <c r="W1214" s="5" t="e">
        <f>CONCATENATE(dados[[#This Row],[fator1]],dados[[#This Row],[fator5]],dados[[#This Row],[fator6]])</f>
        <v>#REF!</v>
      </c>
    </row>
    <row r="1215" spans="1:23">
      <c r="A1215" t="s">
        <v>17</v>
      </c>
      <c r="B1215">
        <v>484362</v>
      </c>
      <c r="C1215">
        <v>18</v>
      </c>
      <c r="D1215">
        <v>23</v>
      </c>
      <c r="E1215">
        <v>145</v>
      </c>
      <c r="F1215">
        <v>9</v>
      </c>
      <c r="G1215">
        <v>30</v>
      </c>
      <c r="H1215">
        <v>25</v>
      </c>
      <c r="I1215">
        <v>22</v>
      </c>
      <c r="J1215">
        <v>0</v>
      </c>
      <c r="K1215">
        <v>12.68</v>
      </c>
      <c r="L1215">
        <v>96.600000000000009</v>
      </c>
      <c r="M1215">
        <v>137</v>
      </c>
      <c r="N1215">
        <v>26.3</v>
      </c>
      <c r="O1215">
        <v>1670</v>
      </c>
      <c r="P1215">
        <v>369</v>
      </c>
      <c r="Q1215" s="5" t="e">
        <f>IF(AND(#REF!&gt;=table!$C$6,#REF!&lt;= table!$D$6),-1,IF(AND(#REF!&gt;=table!$E$6,#REF!&lt;=table!$F$6),1,0))</f>
        <v>#REF!</v>
      </c>
      <c r="R1215" s="5" t="e">
        <f>IF(AND(#REF!&gt;=table!$C$7,#REF!&lt;= table!$D$7),-1,IF(AND(#REF!&gt;=table!$E$7,#REF!&lt;=table!$F$7),1,0))</f>
        <v>#REF!</v>
      </c>
      <c r="S1215" s="5" t="e">
        <f>IF(AND(#REF!&gt;=table!$C$8,#REF!&lt;= table!$D$8),-1,IF(AND(#REF!&gt;=table!$E$8,#REF!&lt;=table!$F$8),1,0))</f>
        <v>#REF!</v>
      </c>
      <c r="T1215" s="5"/>
      <c r="U1215" s="5" t="e">
        <f>IF(AND(#REF!&gt;=table!$C$10,#REF!&lt;= table!$D$10),-1,IF(AND(#REF!&gt;=table!$E$10,#REF!&lt;=table!$F$10),1,0))</f>
        <v>#REF!</v>
      </c>
      <c r="V1215" s="5" t="e">
        <f>IF(AND(#REF!&gt;=table!$C$11,#REF!&lt;= table!$D$11),-1,IF(AND(#REF!&gt;=table!$E$11,#REF!&lt;=table!$F$11),1,0))</f>
        <v>#REF!</v>
      </c>
      <c r="W1215" s="5" t="e">
        <f>CONCATENATE(dados[[#This Row],[fator1]],dados[[#This Row],[fator5]],dados[[#This Row],[fator6]])</f>
        <v>#REF!</v>
      </c>
    </row>
    <row r="1216" spans="1:23">
      <c r="A1216" t="s">
        <v>17</v>
      </c>
      <c r="B1216">
        <v>484364</v>
      </c>
      <c r="C1216">
        <v>18</v>
      </c>
      <c r="D1216">
        <v>23</v>
      </c>
      <c r="E1216">
        <v>145</v>
      </c>
      <c r="F1216">
        <v>4</v>
      </c>
      <c r="G1216">
        <v>30</v>
      </c>
      <c r="H1216">
        <v>25</v>
      </c>
      <c r="I1216">
        <v>1899</v>
      </c>
      <c r="J1216">
        <v>0</v>
      </c>
      <c r="K1216">
        <v>12.94</v>
      </c>
      <c r="L1216">
        <v>16.100000000000001</v>
      </c>
      <c r="M1216">
        <v>128.18</v>
      </c>
      <c r="N1216">
        <v>13.61</v>
      </c>
      <c r="O1216">
        <v>1665</v>
      </c>
      <c r="P1216">
        <v>343</v>
      </c>
      <c r="Q1216" s="5" t="e">
        <f>IF(AND(#REF!&gt;=table!$C$6,#REF!&lt;= table!$D$6),-1,IF(AND(#REF!&gt;=table!$E$6,#REF!&lt;=table!$F$6),1,0))</f>
        <v>#REF!</v>
      </c>
      <c r="R1216" s="5" t="e">
        <f>IF(AND(#REF!&gt;=table!$C$7,#REF!&lt;= table!$D$7),-1,IF(AND(#REF!&gt;=table!$E$7,#REF!&lt;=table!$F$7),1,0))</f>
        <v>#REF!</v>
      </c>
      <c r="S1216" s="5" t="e">
        <f>IF(AND(#REF!&gt;=table!$C$8,#REF!&lt;= table!$D$8),-1,IF(AND(#REF!&gt;=table!$E$8,#REF!&lt;=table!$F$8),1,0))</f>
        <v>#REF!</v>
      </c>
      <c r="T1216" s="5"/>
      <c r="U1216" s="5" t="e">
        <f>IF(AND(#REF!&gt;=table!$C$10,#REF!&lt;= table!$D$10),-1,IF(AND(#REF!&gt;=table!$E$10,#REF!&lt;=table!$F$10),1,0))</f>
        <v>#REF!</v>
      </c>
      <c r="V1216" s="5" t="e">
        <f>IF(AND(#REF!&gt;=table!$C$11,#REF!&lt;= table!$D$11),-1,IF(AND(#REF!&gt;=table!$E$11,#REF!&lt;=table!$F$11),1,0))</f>
        <v>#REF!</v>
      </c>
      <c r="W1216" s="5" t="e">
        <f>CONCATENATE(dados[[#This Row],[fator1]],dados[[#This Row],[fator5]],dados[[#This Row],[fator6]])</f>
        <v>#REF!</v>
      </c>
    </row>
    <row r="1217" spans="1:23">
      <c r="A1217" t="s">
        <v>16</v>
      </c>
      <c r="B1217">
        <v>484366</v>
      </c>
      <c r="C1217">
        <v>0.15</v>
      </c>
      <c r="D1217">
        <v>40</v>
      </c>
      <c r="E1217">
        <v>10</v>
      </c>
      <c r="F1217">
        <v>15</v>
      </c>
      <c r="G1217">
        <v>0</v>
      </c>
      <c r="H1217">
        <v>15</v>
      </c>
      <c r="I1217">
        <v>524</v>
      </c>
      <c r="J1217">
        <v>0</v>
      </c>
      <c r="K1217">
        <v>24.095000000000002</v>
      </c>
      <c r="L1217">
        <v>16.3</v>
      </c>
      <c r="M1217">
        <v>8.3000000000000007</v>
      </c>
      <c r="N1217">
        <v>9.6</v>
      </c>
      <c r="O1217">
        <v>1668</v>
      </c>
      <c r="P1217">
        <v>805</v>
      </c>
      <c r="Q1217" s="5" t="e">
        <f>IF(AND(#REF!&gt;=table!$C$6,#REF!&lt;= table!$D$6),-1,IF(AND(#REF!&gt;=table!$E$6,#REF!&lt;=table!$F$6),1,0))</f>
        <v>#REF!</v>
      </c>
      <c r="R1217" s="5" t="e">
        <f>IF(AND(#REF!&gt;=table!$C$7,#REF!&lt;= table!$D$7),-1,IF(AND(#REF!&gt;=table!$E$7,#REF!&lt;=table!$F$7),1,0))</f>
        <v>#REF!</v>
      </c>
      <c r="S1217" s="5" t="e">
        <f>IF(AND(#REF!&gt;=table!$C$8,#REF!&lt;= table!$D$8),-1,IF(AND(#REF!&gt;=table!$E$8,#REF!&lt;=table!$F$8),1,0))</f>
        <v>#REF!</v>
      </c>
      <c r="T1217" s="5"/>
      <c r="U1217" s="5" t="e">
        <f>IF(AND(#REF!&gt;=table!$C$10,#REF!&lt;= table!$D$10),-1,IF(AND(#REF!&gt;=table!$E$10,#REF!&lt;=table!$F$10),1,0))</f>
        <v>#REF!</v>
      </c>
      <c r="V1217" s="5" t="e">
        <f>IF(AND(#REF!&gt;=table!$C$11,#REF!&lt;= table!$D$11),-1,IF(AND(#REF!&gt;=table!$E$11,#REF!&lt;=table!$F$11),1,0))</f>
        <v>#REF!</v>
      </c>
      <c r="W1217" s="5" t="e">
        <f>CONCATENATE(dados[[#This Row],[fator1]],dados[[#This Row],[fator5]],dados[[#This Row],[fator6]])</f>
        <v>#REF!</v>
      </c>
    </row>
    <row r="1218" spans="1:23">
      <c r="A1218" t="s">
        <v>16</v>
      </c>
      <c r="B1218">
        <v>484372</v>
      </c>
      <c r="C1218">
        <v>0.1</v>
      </c>
      <c r="D1218">
        <v>40</v>
      </c>
      <c r="E1218">
        <v>10</v>
      </c>
      <c r="F1218">
        <v>8</v>
      </c>
      <c r="G1218">
        <v>0</v>
      </c>
      <c r="H1218">
        <v>10</v>
      </c>
      <c r="I1218">
        <v>814</v>
      </c>
      <c r="J1218">
        <v>1030</v>
      </c>
      <c r="K1218">
        <v>12.43</v>
      </c>
      <c r="L1218">
        <v>16.5</v>
      </c>
      <c r="M1218">
        <v>9.5500000000000007</v>
      </c>
      <c r="N1218">
        <v>12.25</v>
      </c>
      <c r="O1218">
        <v>1610</v>
      </c>
      <c r="P1218">
        <v>433</v>
      </c>
      <c r="Q1218" s="5" t="e">
        <f>IF(AND(#REF!&gt;=table!$C$6,#REF!&lt;= table!$D$6),-1,IF(AND(#REF!&gt;=table!$E$6,#REF!&lt;=table!$F$6),1,0))</f>
        <v>#REF!</v>
      </c>
      <c r="R1218" s="5" t="e">
        <f>IF(AND(#REF!&gt;=table!$C$7,#REF!&lt;= table!$D$7),-1,IF(AND(#REF!&gt;=table!$E$7,#REF!&lt;=table!$F$7),1,0))</f>
        <v>#REF!</v>
      </c>
      <c r="S1218" s="5" t="e">
        <f>IF(AND(#REF!&gt;=table!$C$8,#REF!&lt;= table!$D$8),-1,IF(AND(#REF!&gt;=table!$E$8,#REF!&lt;=table!$F$8),1,0))</f>
        <v>#REF!</v>
      </c>
      <c r="T1218" s="5"/>
      <c r="U1218" s="5" t="e">
        <f>IF(AND(#REF!&gt;=table!$C$10,#REF!&lt;= table!$D$10),-1,IF(AND(#REF!&gt;=table!$E$10,#REF!&lt;=table!$F$10),1,0))</f>
        <v>#REF!</v>
      </c>
      <c r="V1218" s="5" t="e">
        <f>IF(AND(#REF!&gt;=table!$C$11,#REF!&lt;= table!$D$11),-1,IF(AND(#REF!&gt;=table!$E$11,#REF!&lt;=table!$F$11),1,0))</f>
        <v>#REF!</v>
      </c>
      <c r="W1218" s="5" t="e">
        <f>CONCATENATE(dados[[#This Row],[fator1]],dados[[#This Row],[fator5]],dados[[#This Row],[fator6]])</f>
        <v>#REF!</v>
      </c>
    </row>
    <row r="1219" spans="1:23">
      <c r="A1219" t="s">
        <v>16</v>
      </c>
      <c r="B1219">
        <v>484377</v>
      </c>
      <c r="C1219">
        <v>5</v>
      </c>
      <c r="D1219">
        <v>40</v>
      </c>
      <c r="E1219">
        <v>40</v>
      </c>
      <c r="F1219">
        <v>8</v>
      </c>
      <c r="G1219">
        <v>0</v>
      </c>
      <c r="H1219">
        <v>25</v>
      </c>
      <c r="I1219">
        <v>630</v>
      </c>
      <c r="J1219">
        <v>0</v>
      </c>
      <c r="K1219">
        <v>7.82</v>
      </c>
      <c r="L1219">
        <v>18.400000000000002</v>
      </c>
      <c r="M1219">
        <v>37.855000000000004</v>
      </c>
      <c r="N1219">
        <v>15.485000000000001</v>
      </c>
      <c r="O1219">
        <v>1648</v>
      </c>
      <c r="P1219">
        <v>0</v>
      </c>
      <c r="Q1219" s="5" t="e">
        <f>IF(AND(#REF!&gt;=table!$C$6,#REF!&lt;= table!$D$6),-1,IF(AND(#REF!&gt;=table!$E$6,#REF!&lt;=table!$F$6),1,0))</f>
        <v>#REF!</v>
      </c>
      <c r="R1219" s="5" t="e">
        <f>IF(AND(#REF!&gt;=table!$C$7,#REF!&lt;= table!$D$7),-1,IF(AND(#REF!&gt;=table!$E$7,#REF!&lt;=table!$F$7),1,0))</f>
        <v>#REF!</v>
      </c>
      <c r="S1219" s="5" t="e">
        <f>IF(AND(#REF!&gt;=table!$C$8,#REF!&lt;= table!$D$8),-1,IF(AND(#REF!&gt;=table!$E$8,#REF!&lt;=table!$F$8),1,0))</f>
        <v>#REF!</v>
      </c>
      <c r="T1219" s="5"/>
      <c r="U1219" s="5" t="e">
        <f>IF(AND(#REF!&gt;=table!$C$10,#REF!&lt;= table!$D$10),-1,IF(AND(#REF!&gt;=table!$E$10,#REF!&lt;=table!$F$10),1,0))</f>
        <v>#REF!</v>
      </c>
      <c r="V1219" s="5" t="e">
        <f>IF(AND(#REF!&gt;=table!$C$11,#REF!&lt;= table!$D$11),-1,IF(AND(#REF!&gt;=table!$E$11,#REF!&lt;=table!$F$11),1,0))</f>
        <v>#REF!</v>
      </c>
      <c r="W1219" s="5" t="e">
        <f>CONCATENATE(dados[[#This Row],[fator1]],dados[[#This Row],[fator5]],dados[[#This Row],[fator6]])</f>
        <v>#REF!</v>
      </c>
    </row>
    <row r="1220" spans="1:23">
      <c r="A1220" t="s">
        <v>16</v>
      </c>
      <c r="B1220">
        <v>484379</v>
      </c>
      <c r="C1220">
        <v>3</v>
      </c>
      <c r="D1220">
        <v>50</v>
      </c>
      <c r="E1220">
        <v>23</v>
      </c>
      <c r="F1220">
        <v>20</v>
      </c>
      <c r="G1220">
        <v>0</v>
      </c>
      <c r="H1220">
        <v>20</v>
      </c>
      <c r="I1220">
        <v>944</v>
      </c>
      <c r="J1220">
        <v>0</v>
      </c>
      <c r="K1220">
        <v>5.03</v>
      </c>
      <c r="L1220">
        <v>8.35</v>
      </c>
      <c r="M1220">
        <v>9.0050000000000008</v>
      </c>
      <c r="N1220">
        <v>8.61</v>
      </c>
      <c r="O1220">
        <v>1657</v>
      </c>
      <c r="P1220">
        <v>753</v>
      </c>
      <c r="Q1220" s="5" t="e">
        <f>IF(AND(#REF!&gt;=table!$C$6,#REF!&lt;= table!$D$6),-1,IF(AND(#REF!&gt;=table!$E$6,#REF!&lt;=table!$F$6),1,0))</f>
        <v>#REF!</v>
      </c>
      <c r="R1220" s="5" t="e">
        <f>IF(AND(#REF!&gt;=table!$C$7,#REF!&lt;= table!$D$7),-1,IF(AND(#REF!&gt;=table!$E$7,#REF!&lt;=table!$F$7),1,0))</f>
        <v>#REF!</v>
      </c>
      <c r="S1220" s="5" t="e">
        <f>IF(AND(#REF!&gt;=table!$C$8,#REF!&lt;= table!$D$8),-1,IF(AND(#REF!&gt;=table!$E$8,#REF!&lt;=table!$F$8),1,0))</f>
        <v>#REF!</v>
      </c>
      <c r="T1220" s="5"/>
      <c r="U1220" s="5" t="e">
        <f>IF(AND(#REF!&gt;=table!$C$10,#REF!&lt;= table!$D$10),-1,IF(AND(#REF!&gt;=table!$E$10,#REF!&lt;=table!$F$10),1,0))</f>
        <v>#REF!</v>
      </c>
      <c r="V1220" s="5" t="e">
        <f>IF(AND(#REF!&gt;=table!$C$11,#REF!&lt;= table!$D$11),-1,IF(AND(#REF!&gt;=table!$E$11,#REF!&lt;=table!$F$11),1,0))</f>
        <v>#REF!</v>
      </c>
      <c r="W1220" s="5" t="e">
        <f>CONCATENATE(dados[[#This Row],[fator1]],dados[[#This Row],[fator5]],dados[[#This Row],[fator6]])</f>
        <v>#REF!</v>
      </c>
    </row>
    <row r="1221" spans="1:23">
      <c r="A1221" t="s">
        <v>16</v>
      </c>
      <c r="B1221">
        <v>484390</v>
      </c>
      <c r="C1221">
        <v>4</v>
      </c>
      <c r="D1221">
        <v>40</v>
      </c>
      <c r="E1221">
        <v>21</v>
      </c>
      <c r="F1221">
        <v>20</v>
      </c>
      <c r="G1221">
        <v>0</v>
      </c>
      <c r="H1221">
        <v>25</v>
      </c>
      <c r="I1221">
        <v>496</v>
      </c>
      <c r="J1221">
        <v>650</v>
      </c>
      <c r="K1221">
        <v>4.9649999999999999</v>
      </c>
      <c r="L1221">
        <v>4.4000000000000004</v>
      </c>
      <c r="M1221">
        <v>15.700000000000001</v>
      </c>
      <c r="N1221">
        <v>8.3000000000000007</v>
      </c>
      <c r="O1221">
        <v>1631</v>
      </c>
      <c r="P1221">
        <v>417</v>
      </c>
      <c r="Q1221" s="5" t="e">
        <f>IF(AND(#REF!&gt;=table!$C$6,#REF!&lt;= table!$D$6),-1,IF(AND(#REF!&gt;=table!$E$6,#REF!&lt;=table!$F$6),1,0))</f>
        <v>#REF!</v>
      </c>
      <c r="R1221" s="5" t="e">
        <f>IF(AND(#REF!&gt;=table!$C$7,#REF!&lt;= table!$D$7),-1,IF(AND(#REF!&gt;=table!$E$7,#REF!&lt;=table!$F$7),1,0))</f>
        <v>#REF!</v>
      </c>
      <c r="S1221" s="5" t="e">
        <f>IF(AND(#REF!&gt;=table!$C$8,#REF!&lt;= table!$D$8),-1,IF(AND(#REF!&gt;=table!$E$8,#REF!&lt;=table!$F$8),1,0))</f>
        <v>#REF!</v>
      </c>
      <c r="T1221" s="5"/>
      <c r="U1221" s="5" t="e">
        <f>IF(AND(#REF!&gt;=table!$C$10,#REF!&lt;= table!$D$10),-1,IF(AND(#REF!&gt;=table!$E$10,#REF!&lt;=table!$F$10),1,0))</f>
        <v>#REF!</v>
      </c>
      <c r="V1221" s="5" t="e">
        <f>IF(AND(#REF!&gt;=table!$C$11,#REF!&lt;= table!$D$11),-1,IF(AND(#REF!&gt;=table!$E$11,#REF!&lt;=table!$F$11),1,0))</f>
        <v>#REF!</v>
      </c>
      <c r="W1221" s="5" t="e">
        <f>CONCATENATE(dados[[#This Row],[fator1]],dados[[#This Row],[fator5]],dados[[#This Row],[fator6]])</f>
        <v>#REF!</v>
      </c>
    </row>
    <row r="1222" spans="1:23">
      <c r="A1222" t="s">
        <v>16</v>
      </c>
      <c r="B1222">
        <v>484393</v>
      </c>
      <c r="C1222">
        <v>4</v>
      </c>
      <c r="D1222">
        <v>40</v>
      </c>
      <c r="E1222">
        <v>21</v>
      </c>
      <c r="F1222">
        <v>10</v>
      </c>
      <c r="G1222">
        <v>0</v>
      </c>
      <c r="H1222">
        <v>25</v>
      </c>
      <c r="I1222">
        <v>674</v>
      </c>
      <c r="J1222">
        <v>0</v>
      </c>
      <c r="K1222">
        <v>5.7650000000000006</v>
      </c>
      <c r="L1222">
        <v>12</v>
      </c>
      <c r="M1222">
        <v>12.08</v>
      </c>
      <c r="N1222">
        <v>10.055</v>
      </c>
      <c r="O1222">
        <v>1645</v>
      </c>
      <c r="P1222">
        <v>0</v>
      </c>
      <c r="Q1222" s="5" t="e">
        <f>IF(AND(#REF!&gt;=table!$C$6,#REF!&lt;= table!$D$6),-1,IF(AND(#REF!&gt;=table!$E$6,#REF!&lt;=table!$F$6),1,0))</f>
        <v>#REF!</v>
      </c>
      <c r="R1222" s="5" t="e">
        <f>IF(AND(#REF!&gt;=table!$C$7,#REF!&lt;= table!$D$7),-1,IF(AND(#REF!&gt;=table!$E$7,#REF!&lt;=table!$F$7),1,0))</f>
        <v>#REF!</v>
      </c>
      <c r="S1222" s="5" t="e">
        <f>IF(AND(#REF!&gt;=table!$C$8,#REF!&lt;= table!$D$8),-1,IF(AND(#REF!&gt;=table!$E$8,#REF!&lt;=table!$F$8),1,0))</f>
        <v>#REF!</v>
      </c>
      <c r="T1222" s="5"/>
      <c r="U1222" s="5" t="e">
        <f>IF(AND(#REF!&gt;=table!$C$10,#REF!&lt;= table!$D$10),-1,IF(AND(#REF!&gt;=table!$E$10,#REF!&lt;=table!$F$10),1,0))</f>
        <v>#REF!</v>
      </c>
      <c r="V1222" s="5" t="e">
        <f>IF(AND(#REF!&gt;=table!$C$11,#REF!&lt;= table!$D$11),-1,IF(AND(#REF!&gt;=table!$E$11,#REF!&lt;=table!$F$11),1,0))</f>
        <v>#REF!</v>
      </c>
      <c r="W1222" s="5" t="e">
        <f>CONCATENATE(dados[[#This Row],[fator1]],dados[[#This Row],[fator5]],dados[[#This Row],[fator6]])</f>
        <v>#REF!</v>
      </c>
    </row>
    <row r="1223" spans="1:23">
      <c r="A1223" t="s">
        <v>16</v>
      </c>
      <c r="B1223">
        <v>484394</v>
      </c>
      <c r="C1223">
        <v>0.15</v>
      </c>
      <c r="D1223">
        <v>40</v>
      </c>
      <c r="E1223">
        <v>10</v>
      </c>
      <c r="F1223">
        <v>15</v>
      </c>
      <c r="G1223">
        <v>0</v>
      </c>
      <c r="H1223">
        <v>15</v>
      </c>
      <c r="I1223">
        <v>683</v>
      </c>
      <c r="J1223">
        <v>760</v>
      </c>
      <c r="K1223">
        <v>6.37</v>
      </c>
      <c r="L1223">
        <v>7.55</v>
      </c>
      <c r="M1223">
        <v>7.4</v>
      </c>
      <c r="N1223">
        <v>5.3050000000000006</v>
      </c>
      <c r="O1223">
        <v>1621</v>
      </c>
      <c r="P1223">
        <v>0</v>
      </c>
      <c r="Q1223" s="5" t="e">
        <f>IF(AND(#REF!&gt;=table!$C$6,#REF!&lt;= table!$D$6),-1,IF(AND(#REF!&gt;=table!$E$6,#REF!&lt;=table!$F$6),1,0))</f>
        <v>#REF!</v>
      </c>
      <c r="R1223" s="5" t="e">
        <f>IF(AND(#REF!&gt;=table!$C$7,#REF!&lt;= table!$D$7),-1,IF(AND(#REF!&gt;=table!$E$7,#REF!&lt;=table!$F$7),1,0))</f>
        <v>#REF!</v>
      </c>
      <c r="S1223" s="5" t="e">
        <f>IF(AND(#REF!&gt;=table!$C$8,#REF!&lt;= table!$D$8),-1,IF(AND(#REF!&gt;=table!$E$8,#REF!&lt;=table!$F$8),1,0))</f>
        <v>#REF!</v>
      </c>
      <c r="T1223" s="5"/>
      <c r="U1223" s="5" t="e">
        <f>IF(AND(#REF!&gt;=table!$C$10,#REF!&lt;= table!$D$10),-1,IF(AND(#REF!&gt;=table!$E$10,#REF!&lt;=table!$F$10),1,0))</f>
        <v>#REF!</v>
      </c>
      <c r="V1223" s="5" t="e">
        <f>IF(AND(#REF!&gt;=table!$C$11,#REF!&lt;= table!$D$11),-1,IF(AND(#REF!&gt;=table!$E$11,#REF!&lt;=table!$F$11),1,0))</f>
        <v>#REF!</v>
      </c>
      <c r="W1223" s="5" t="e">
        <f>CONCATENATE(dados[[#This Row],[fator1]],dados[[#This Row],[fator5]],dados[[#This Row],[fator6]])</f>
        <v>#REF!</v>
      </c>
    </row>
    <row r="1224" spans="1:23">
      <c r="A1224" t="s">
        <v>16</v>
      </c>
      <c r="B1224">
        <v>484396</v>
      </c>
      <c r="C1224">
        <v>0.15</v>
      </c>
      <c r="D1224">
        <v>40</v>
      </c>
      <c r="E1224">
        <v>10</v>
      </c>
      <c r="F1224">
        <v>15</v>
      </c>
      <c r="G1224">
        <v>0</v>
      </c>
      <c r="H1224">
        <v>15</v>
      </c>
      <c r="I1224">
        <v>1130</v>
      </c>
      <c r="J1224">
        <v>0</v>
      </c>
      <c r="K1224">
        <v>5.14</v>
      </c>
      <c r="L1224">
        <v>7.51</v>
      </c>
      <c r="M1224">
        <v>6</v>
      </c>
      <c r="N1224">
        <v>8.85</v>
      </c>
      <c r="O1224">
        <v>1688</v>
      </c>
      <c r="P1224">
        <v>871</v>
      </c>
      <c r="Q1224" s="5" t="e">
        <f>IF(AND(#REF!&gt;=table!$C$6,#REF!&lt;= table!$D$6),-1,IF(AND(#REF!&gt;=table!$E$6,#REF!&lt;=table!$F$6),1,0))</f>
        <v>#REF!</v>
      </c>
      <c r="R1224" s="5" t="e">
        <f>IF(AND(#REF!&gt;=table!$C$7,#REF!&lt;= table!$D$7),-1,IF(AND(#REF!&gt;=table!$E$7,#REF!&lt;=table!$F$7),1,0))</f>
        <v>#REF!</v>
      </c>
      <c r="S1224" s="5" t="e">
        <f>IF(AND(#REF!&gt;=table!$C$8,#REF!&lt;= table!$D$8),-1,IF(AND(#REF!&gt;=table!$E$8,#REF!&lt;=table!$F$8),1,0))</f>
        <v>#REF!</v>
      </c>
      <c r="T1224" s="5"/>
      <c r="U1224" s="5" t="e">
        <f>IF(AND(#REF!&gt;=table!$C$10,#REF!&lt;= table!$D$10),-1,IF(AND(#REF!&gt;=table!$E$10,#REF!&lt;=table!$F$10),1,0))</f>
        <v>#REF!</v>
      </c>
      <c r="V1224" s="5" t="e">
        <f>IF(AND(#REF!&gt;=table!$C$11,#REF!&lt;= table!$D$11),-1,IF(AND(#REF!&gt;=table!$E$11,#REF!&lt;=table!$F$11),1,0))</f>
        <v>#REF!</v>
      </c>
      <c r="W1224" s="5" t="e">
        <f>CONCATENATE(dados[[#This Row],[fator1]],dados[[#This Row],[fator5]],dados[[#This Row],[fator6]])</f>
        <v>#REF!</v>
      </c>
    </row>
    <row r="1225" spans="1:23">
      <c r="A1225" t="s">
        <v>16</v>
      </c>
      <c r="B1225">
        <v>484398</v>
      </c>
      <c r="C1225">
        <v>0.15</v>
      </c>
      <c r="D1225">
        <v>40</v>
      </c>
      <c r="E1225">
        <v>10</v>
      </c>
      <c r="F1225">
        <v>15</v>
      </c>
      <c r="G1225">
        <v>0</v>
      </c>
      <c r="H1225">
        <v>15</v>
      </c>
      <c r="I1225">
        <v>865</v>
      </c>
      <c r="J1225">
        <v>790</v>
      </c>
      <c r="K1225">
        <v>4.4400000000000004</v>
      </c>
      <c r="L1225">
        <v>9.85</v>
      </c>
      <c r="M1225">
        <v>7.3250000000000002</v>
      </c>
      <c r="N1225">
        <v>5.83</v>
      </c>
      <c r="O1225">
        <v>1628</v>
      </c>
      <c r="P1225">
        <v>0</v>
      </c>
      <c r="Q1225" s="5" t="e">
        <f>IF(AND(#REF!&gt;=table!$C$6,#REF!&lt;= table!$D$6),-1,IF(AND(#REF!&gt;=table!$E$6,#REF!&lt;=table!$F$6),1,0))</f>
        <v>#REF!</v>
      </c>
      <c r="R1225" s="5" t="e">
        <f>IF(AND(#REF!&gt;=table!$C$7,#REF!&lt;= table!$D$7),-1,IF(AND(#REF!&gt;=table!$E$7,#REF!&lt;=table!$F$7),1,0))</f>
        <v>#REF!</v>
      </c>
      <c r="S1225" s="5" t="e">
        <f>IF(AND(#REF!&gt;=table!$C$8,#REF!&lt;= table!$D$8),-1,IF(AND(#REF!&gt;=table!$E$8,#REF!&lt;=table!$F$8),1,0))</f>
        <v>#REF!</v>
      </c>
      <c r="T1225" s="5"/>
      <c r="U1225" s="5" t="e">
        <f>IF(AND(#REF!&gt;=table!$C$10,#REF!&lt;= table!$D$10),-1,IF(AND(#REF!&gt;=table!$E$10,#REF!&lt;=table!$F$10),1,0))</f>
        <v>#REF!</v>
      </c>
      <c r="V1225" s="5" t="e">
        <f>IF(AND(#REF!&gt;=table!$C$11,#REF!&lt;= table!$D$11),-1,IF(AND(#REF!&gt;=table!$E$11,#REF!&lt;=table!$F$11),1,0))</f>
        <v>#REF!</v>
      </c>
      <c r="W1225" s="5" t="e">
        <f>CONCATENATE(dados[[#This Row],[fator1]],dados[[#This Row],[fator5]],dados[[#This Row],[fator6]])</f>
        <v>#REF!</v>
      </c>
    </row>
    <row r="1226" spans="1:23">
      <c r="A1226" t="s">
        <v>16</v>
      </c>
      <c r="B1226">
        <v>484400</v>
      </c>
      <c r="C1226">
        <v>11</v>
      </c>
      <c r="D1226">
        <v>40</v>
      </c>
      <c r="E1226">
        <v>151</v>
      </c>
      <c r="F1226">
        <v>8</v>
      </c>
      <c r="G1226">
        <v>0</v>
      </c>
      <c r="H1226">
        <v>25</v>
      </c>
      <c r="I1226">
        <v>841</v>
      </c>
      <c r="J1226">
        <v>530</v>
      </c>
      <c r="K1226">
        <v>6.835</v>
      </c>
      <c r="L1226">
        <v>18.5</v>
      </c>
      <c r="M1226">
        <v>91.5</v>
      </c>
      <c r="N1226">
        <v>17.150000000000002</v>
      </c>
      <c r="O1226">
        <v>1691</v>
      </c>
      <c r="P1226">
        <v>502</v>
      </c>
      <c r="Q1226" s="5" t="e">
        <f>IF(AND(#REF!&gt;=table!$C$6,#REF!&lt;= table!$D$6),-1,IF(AND(#REF!&gt;=table!$E$6,#REF!&lt;=table!$F$6),1,0))</f>
        <v>#REF!</v>
      </c>
      <c r="R1226" s="5" t="e">
        <f>IF(AND(#REF!&gt;=table!$C$7,#REF!&lt;= table!$D$7),-1,IF(AND(#REF!&gt;=table!$E$7,#REF!&lt;=table!$F$7),1,0))</f>
        <v>#REF!</v>
      </c>
      <c r="S1226" s="5" t="e">
        <f>IF(AND(#REF!&gt;=table!$C$8,#REF!&lt;= table!$D$8),-1,IF(AND(#REF!&gt;=table!$E$8,#REF!&lt;=table!$F$8),1,0))</f>
        <v>#REF!</v>
      </c>
      <c r="T1226" s="5"/>
      <c r="U1226" s="5" t="e">
        <f>IF(AND(#REF!&gt;=table!$C$10,#REF!&lt;= table!$D$10),-1,IF(AND(#REF!&gt;=table!$E$10,#REF!&lt;=table!$F$10),1,0))</f>
        <v>#REF!</v>
      </c>
      <c r="V1226" s="5" t="e">
        <f>IF(AND(#REF!&gt;=table!$C$11,#REF!&lt;= table!$D$11),-1,IF(AND(#REF!&gt;=table!$E$11,#REF!&lt;=table!$F$11),1,0))</f>
        <v>#REF!</v>
      </c>
      <c r="W1226" s="5" t="e">
        <f>CONCATENATE(dados[[#This Row],[fator1]],dados[[#This Row],[fator5]],dados[[#This Row],[fator6]])</f>
        <v>#REF!</v>
      </c>
    </row>
    <row r="1227" spans="1:23">
      <c r="A1227" t="s">
        <v>16</v>
      </c>
      <c r="B1227">
        <v>484401</v>
      </c>
      <c r="C1227">
        <v>11</v>
      </c>
      <c r="D1227">
        <v>40</v>
      </c>
      <c r="E1227">
        <v>151</v>
      </c>
      <c r="F1227">
        <v>8</v>
      </c>
      <c r="G1227">
        <v>0</v>
      </c>
      <c r="H1227">
        <v>25</v>
      </c>
      <c r="I1227">
        <v>0</v>
      </c>
      <c r="J1227">
        <v>0</v>
      </c>
      <c r="K1227">
        <v>3.4650000000000003</v>
      </c>
      <c r="L1227">
        <v>13.6</v>
      </c>
      <c r="M1227">
        <v>6</v>
      </c>
      <c r="N1227">
        <v>8.5500000000000007</v>
      </c>
      <c r="O1227">
        <v>1713</v>
      </c>
      <c r="P1227">
        <v>0</v>
      </c>
      <c r="Q1227" s="5" t="e">
        <f>IF(AND(#REF!&gt;=table!$C$6,#REF!&lt;= table!$D$6),-1,IF(AND(#REF!&gt;=table!$E$6,#REF!&lt;=table!$F$6),1,0))</f>
        <v>#REF!</v>
      </c>
      <c r="R1227" s="5" t="e">
        <f>IF(AND(#REF!&gt;=table!$C$7,#REF!&lt;= table!$D$7),-1,IF(AND(#REF!&gt;=table!$E$7,#REF!&lt;=table!$F$7),1,0))</f>
        <v>#REF!</v>
      </c>
      <c r="S1227" s="5" t="e">
        <f>IF(AND(#REF!&gt;=table!$C$8,#REF!&lt;= table!$D$8),-1,IF(AND(#REF!&gt;=table!$E$8,#REF!&lt;=table!$F$8),1,0))</f>
        <v>#REF!</v>
      </c>
      <c r="T1227" s="5"/>
      <c r="U1227" s="5" t="e">
        <f>IF(AND(#REF!&gt;=table!$C$10,#REF!&lt;= table!$D$10),-1,IF(AND(#REF!&gt;=table!$E$10,#REF!&lt;=table!$F$10),1,0))</f>
        <v>#REF!</v>
      </c>
      <c r="V1227" s="5" t="e">
        <f>IF(AND(#REF!&gt;=table!$C$11,#REF!&lt;= table!$D$11),-1,IF(AND(#REF!&gt;=table!$E$11,#REF!&lt;=table!$F$11),1,0))</f>
        <v>#REF!</v>
      </c>
      <c r="W1227" s="5" t="e">
        <f>CONCATENATE(dados[[#This Row],[fator1]],dados[[#This Row],[fator5]],dados[[#This Row],[fator6]])</f>
        <v>#REF!</v>
      </c>
    </row>
    <row r="1228" spans="1:23">
      <c r="A1228" t="s">
        <v>16</v>
      </c>
      <c r="B1228">
        <v>484403</v>
      </c>
      <c r="C1228">
        <v>11</v>
      </c>
      <c r="D1228">
        <v>40</v>
      </c>
      <c r="E1228">
        <v>151</v>
      </c>
      <c r="F1228">
        <v>8</v>
      </c>
      <c r="G1228">
        <v>0</v>
      </c>
      <c r="H1228">
        <v>25</v>
      </c>
      <c r="I1228">
        <v>304</v>
      </c>
      <c r="J1228">
        <v>1300</v>
      </c>
      <c r="K1228">
        <v>35.47</v>
      </c>
      <c r="L1228">
        <v>22.05</v>
      </c>
      <c r="M1228">
        <v>126.25</v>
      </c>
      <c r="N1228">
        <v>9.0500000000000007</v>
      </c>
      <c r="O1228">
        <v>1667</v>
      </c>
      <c r="P1228">
        <v>128</v>
      </c>
      <c r="Q1228" s="5" t="e">
        <f>IF(AND(#REF!&gt;=table!$C$6,#REF!&lt;= table!$D$6),-1,IF(AND(#REF!&gt;=table!$E$6,#REF!&lt;=table!$F$6),1,0))</f>
        <v>#REF!</v>
      </c>
      <c r="R1228" s="5" t="e">
        <f>IF(AND(#REF!&gt;=table!$C$7,#REF!&lt;= table!$D$7),-1,IF(AND(#REF!&gt;=table!$E$7,#REF!&lt;=table!$F$7),1,0))</f>
        <v>#REF!</v>
      </c>
      <c r="S1228" s="5" t="e">
        <f>IF(AND(#REF!&gt;=table!$C$8,#REF!&lt;= table!$D$8),-1,IF(AND(#REF!&gt;=table!$E$8,#REF!&lt;=table!$F$8),1,0))</f>
        <v>#REF!</v>
      </c>
      <c r="T1228" s="5"/>
      <c r="U1228" s="5" t="e">
        <f>IF(AND(#REF!&gt;=table!$C$10,#REF!&lt;= table!$D$10),-1,IF(AND(#REF!&gt;=table!$E$10,#REF!&lt;=table!$F$10),1,0))</f>
        <v>#REF!</v>
      </c>
      <c r="V1228" s="5" t="e">
        <f>IF(AND(#REF!&gt;=table!$C$11,#REF!&lt;= table!$D$11),-1,IF(AND(#REF!&gt;=table!$E$11,#REF!&lt;=table!$F$11),1,0))</f>
        <v>#REF!</v>
      </c>
      <c r="W1228" s="5" t="e">
        <f>CONCATENATE(dados[[#This Row],[fator1]],dados[[#This Row],[fator5]],dados[[#This Row],[fator6]])</f>
        <v>#REF!</v>
      </c>
    </row>
    <row r="1229" spans="1:23">
      <c r="A1229" t="s">
        <v>16</v>
      </c>
      <c r="B1229">
        <v>484404</v>
      </c>
      <c r="C1229">
        <v>11</v>
      </c>
      <c r="D1229">
        <v>40</v>
      </c>
      <c r="E1229">
        <v>151</v>
      </c>
      <c r="F1229">
        <v>8</v>
      </c>
      <c r="G1229">
        <v>0</v>
      </c>
      <c r="H1229">
        <v>25</v>
      </c>
      <c r="I1229">
        <v>1009</v>
      </c>
      <c r="J1229">
        <v>0</v>
      </c>
      <c r="K1229">
        <v>4.4000000000000004</v>
      </c>
      <c r="L1229">
        <v>13.8</v>
      </c>
      <c r="M1229">
        <v>137.75</v>
      </c>
      <c r="N1229">
        <v>13.65</v>
      </c>
      <c r="O1229">
        <v>1684</v>
      </c>
      <c r="P1229">
        <v>767</v>
      </c>
      <c r="Q1229" s="5" t="e">
        <f>IF(AND(#REF!&gt;=table!$C$6,#REF!&lt;= table!$D$6),-1,IF(AND(#REF!&gt;=table!$E$6,#REF!&lt;=table!$F$6),1,0))</f>
        <v>#REF!</v>
      </c>
      <c r="R1229" s="5" t="e">
        <f>IF(AND(#REF!&gt;=table!$C$7,#REF!&lt;= table!$D$7),-1,IF(AND(#REF!&gt;=table!$E$7,#REF!&lt;=table!$F$7),1,0))</f>
        <v>#REF!</v>
      </c>
      <c r="S1229" s="5" t="e">
        <f>IF(AND(#REF!&gt;=table!$C$8,#REF!&lt;= table!$D$8),-1,IF(AND(#REF!&gt;=table!$E$8,#REF!&lt;=table!$F$8),1,0))</f>
        <v>#REF!</v>
      </c>
      <c r="T1229" s="5"/>
      <c r="U1229" s="5" t="e">
        <f>IF(AND(#REF!&gt;=table!$C$10,#REF!&lt;= table!$D$10),-1,IF(AND(#REF!&gt;=table!$E$10,#REF!&lt;=table!$F$10),1,0))</f>
        <v>#REF!</v>
      </c>
      <c r="V1229" s="5" t="e">
        <f>IF(AND(#REF!&gt;=table!$C$11,#REF!&lt;= table!$D$11),-1,IF(AND(#REF!&gt;=table!$E$11,#REF!&lt;=table!$F$11),1,0))</f>
        <v>#REF!</v>
      </c>
      <c r="W1229" s="5" t="e">
        <f>CONCATENATE(dados[[#This Row],[fator1]],dados[[#This Row],[fator5]],dados[[#This Row],[fator6]])</f>
        <v>#REF!</v>
      </c>
    </row>
    <row r="1230" spans="1:23">
      <c r="A1230" t="s">
        <v>16</v>
      </c>
      <c r="B1230">
        <v>484413</v>
      </c>
      <c r="C1230">
        <v>0.1</v>
      </c>
      <c r="D1230">
        <v>40</v>
      </c>
      <c r="E1230">
        <v>10</v>
      </c>
      <c r="F1230">
        <v>8</v>
      </c>
      <c r="G1230">
        <v>0</v>
      </c>
      <c r="H1230">
        <v>10</v>
      </c>
      <c r="I1230">
        <v>631</v>
      </c>
      <c r="J1230">
        <v>1230</v>
      </c>
      <c r="K1230">
        <v>13.565000000000001</v>
      </c>
      <c r="L1230">
        <v>22</v>
      </c>
      <c r="M1230">
        <v>9.6850000000000005</v>
      </c>
      <c r="N1230">
        <v>8.0050000000000008</v>
      </c>
      <c r="O1230">
        <v>1672</v>
      </c>
      <c r="P1230">
        <v>286</v>
      </c>
      <c r="Q1230" s="5" t="e">
        <f>IF(AND(#REF!&gt;=table!$C$6,#REF!&lt;= table!$D$6),-1,IF(AND(#REF!&gt;=table!$E$6,#REF!&lt;=table!$F$6),1,0))</f>
        <v>#REF!</v>
      </c>
      <c r="R1230" s="5" t="e">
        <f>IF(AND(#REF!&gt;=table!$C$7,#REF!&lt;= table!$D$7),-1,IF(AND(#REF!&gt;=table!$E$7,#REF!&lt;=table!$F$7),1,0))</f>
        <v>#REF!</v>
      </c>
      <c r="S1230" s="5" t="e">
        <f>IF(AND(#REF!&gt;=table!$C$8,#REF!&lt;= table!$D$8),-1,IF(AND(#REF!&gt;=table!$E$8,#REF!&lt;=table!$F$8),1,0))</f>
        <v>#REF!</v>
      </c>
      <c r="T1230" s="5"/>
      <c r="U1230" s="5" t="e">
        <f>IF(AND(#REF!&gt;=table!$C$10,#REF!&lt;= table!$D$10),-1,IF(AND(#REF!&gt;=table!$E$10,#REF!&lt;=table!$F$10),1,0))</f>
        <v>#REF!</v>
      </c>
      <c r="V1230" s="5" t="e">
        <f>IF(AND(#REF!&gt;=table!$C$11,#REF!&lt;= table!$D$11),-1,IF(AND(#REF!&gt;=table!$E$11,#REF!&lt;=table!$F$11),1,0))</f>
        <v>#REF!</v>
      </c>
      <c r="W1230" s="5" t="e">
        <f>CONCATENATE(dados[[#This Row],[fator1]],dados[[#This Row],[fator5]],dados[[#This Row],[fator6]])</f>
        <v>#REF!</v>
      </c>
    </row>
    <row r="1231" spans="1:23">
      <c r="A1231" t="s">
        <v>16</v>
      </c>
      <c r="B1231">
        <v>484419</v>
      </c>
      <c r="C1231">
        <v>16</v>
      </c>
      <c r="D1231">
        <v>35</v>
      </c>
      <c r="E1231">
        <v>56</v>
      </c>
      <c r="F1231">
        <v>10</v>
      </c>
      <c r="G1231">
        <v>0</v>
      </c>
      <c r="H1231">
        <v>25</v>
      </c>
      <c r="I1231">
        <v>911</v>
      </c>
      <c r="J1231">
        <v>0</v>
      </c>
      <c r="K1231">
        <v>9.1950000000000003</v>
      </c>
      <c r="L1231">
        <v>14.290000000000001</v>
      </c>
      <c r="M1231">
        <v>50.42</v>
      </c>
      <c r="N1231">
        <v>14.200000000000001</v>
      </c>
      <c r="O1231">
        <v>1677</v>
      </c>
      <c r="P1231">
        <v>417</v>
      </c>
      <c r="Q1231" s="5" t="e">
        <f>IF(AND(#REF!&gt;=table!$C$6,#REF!&lt;= table!$D$6),-1,IF(AND(#REF!&gt;=table!$E$6,#REF!&lt;=table!$F$6),1,0))</f>
        <v>#REF!</v>
      </c>
      <c r="R1231" s="5" t="e">
        <f>IF(AND(#REF!&gt;=table!$C$7,#REF!&lt;= table!$D$7),-1,IF(AND(#REF!&gt;=table!$E$7,#REF!&lt;=table!$F$7),1,0))</f>
        <v>#REF!</v>
      </c>
      <c r="S1231" s="5" t="e">
        <f>IF(AND(#REF!&gt;=table!$C$8,#REF!&lt;= table!$D$8),-1,IF(AND(#REF!&gt;=table!$E$8,#REF!&lt;=table!$F$8),1,0))</f>
        <v>#REF!</v>
      </c>
      <c r="T1231" s="5"/>
      <c r="U1231" s="5" t="e">
        <f>IF(AND(#REF!&gt;=table!$C$10,#REF!&lt;= table!$D$10),-1,IF(AND(#REF!&gt;=table!$E$10,#REF!&lt;=table!$F$10),1,0))</f>
        <v>#REF!</v>
      </c>
      <c r="V1231" s="5" t="e">
        <f>IF(AND(#REF!&gt;=table!$C$11,#REF!&lt;= table!$D$11),-1,IF(AND(#REF!&gt;=table!$E$11,#REF!&lt;=table!$F$11),1,0))</f>
        <v>#REF!</v>
      </c>
      <c r="W1231" s="5" t="e">
        <f>CONCATENATE(dados[[#This Row],[fator1]],dados[[#This Row],[fator5]],dados[[#This Row],[fator6]])</f>
        <v>#REF!</v>
      </c>
    </row>
    <row r="1232" spans="1:23">
      <c r="A1232" t="s">
        <v>16</v>
      </c>
      <c r="B1232">
        <v>484420</v>
      </c>
      <c r="C1232">
        <v>16</v>
      </c>
      <c r="D1232">
        <v>35</v>
      </c>
      <c r="E1232">
        <v>36</v>
      </c>
      <c r="F1232">
        <v>10</v>
      </c>
      <c r="G1232">
        <v>0</v>
      </c>
      <c r="H1232">
        <v>25</v>
      </c>
      <c r="I1232">
        <v>948</v>
      </c>
      <c r="J1232">
        <v>0</v>
      </c>
      <c r="K1232">
        <v>11.69</v>
      </c>
      <c r="L1232">
        <v>13.6</v>
      </c>
      <c r="M1232">
        <v>32.299999999999997</v>
      </c>
      <c r="N1232">
        <v>13.9</v>
      </c>
      <c r="O1232">
        <v>1674</v>
      </c>
      <c r="P1232">
        <v>387</v>
      </c>
      <c r="Q1232" s="5" t="e">
        <f>IF(AND(#REF!&gt;=table!$C$6,#REF!&lt;= table!$D$6),-1,IF(AND(#REF!&gt;=table!$E$6,#REF!&lt;=table!$F$6),1,0))</f>
        <v>#REF!</v>
      </c>
      <c r="R1232" s="5" t="e">
        <f>IF(AND(#REF!&gt;=table!$C$7,#REF!&lt;= table!$D$7),-1,IF(AND(#REF!&gt;=table!$E$7,#REF!&lt;=table!$F$7),1,0))</f>
        <v>#REF!</v>
      </c>
      <c r="S1232" s="5" t="e">
        <f>IF(AND(#REF!&gt;=table!$C$8,#REF!&lt;= table!$D$8),-1,IF(AND(#REF!&gt;=table!$E$8,#REF!&lt;=table!$F$8),1,0))</f>
        <v>#REF!</v>
      </c>
      <c r="T1232" s="5"/>
      <c r="U1232" s="5" t="e">
        <f>IF(AND(#REF!&gt;=table!$C$10,#REF!&lt;= table!$D$10),-1,IF(AND(#REF!&gt;=table!$E$10,#REF!&lt;=table!$F$10),1,0))</f>
        <v>#REF!</v>
      </c>
      <c r="V1232" s="5" t="e">
        <f>IF(AND(#REF!&gt;=table!$C$11,#REF!&lt;= table!$D$11),-1,IF(AND(#REF!&gt;=table!$E$11,#REF!&lt;=table!$F$11),1,0))</f>
        <v>#REF!</v>
      </c>
      <c r="W1232" s="5" t="e">
        <f>CONCATENATE(dados[[#This Row],[fator1]],dados[[#This Row],[fator5]],dados[[#This Row],[fator6]])</f>
        <v>#REF!</v>
      </c>
    </row>
    <row r="1233" spans="1:23">
      <c r="A1233" t="s">
        <v>16</v>
      </c>
      <c r="B1233">
        <v>484422</v>
      </c>
      <c r="C1233">
        <v>13</v>
      </c>
      <c r="D1233">
        <v>35</v>
      </c>
      <c r="E1233">
        <v>120</v>
      </c>
      <c r="F1233">
        <v>10</v>
      </c>
      <c r="G1233">
        <v>0</v>
      </c>
      <c r="H1233">
        <v>25</v>
      </c>
      <c r="I1233">
        <v>72</v>
      </c>
      <c r="J1233">
        <v>0</v>
      </c>
      <c r="K1233">
        <v>12.305</v>
      </c>
      <c r="L1233">
        <v>21.55</v>
      </c>
      <c r="M1233">
        <v>102.60000000000001</v>
      </c>
      <c r="N1233">
        <v>20.100000000000001</v>
      </c>
      <c r="O1233">
        <v>1660</v>
      </c>
      <c r="P1233">
        <v>306</v>
      </c>
      <c r="Q1233" s="5" t="e">
        <f>IF(AND(#REF!&gt;=table!$C$6,#REF!&lt;= table!$D$6),-1,IF(AND(#REF!&gt;=table!$E$6,#REF!&lt;=table!$F$6),1,0))</f>
        <v>#REF!</v>
      </c>
      <c r="R1233" s="5" t="e">
        <f>IF(AND(#REF!&gt;=table!$C$7,#REF!&lt;= table!$D$7),-1,IF(AND(#REF!&gt;=table!$E$7,#REF!&lt;=table!$F$7),1,0))</f>
        <v>#REF!</v>
      </c>
      <c r="S1233" s="5" t="e">
        <f>IF(AND(#REF!&gt;=table!$C$8,#REF!&lt;= table!$D$8),-1,IF(AND(#REF!&gt;=table!$E$8,#REF!&lt;=table!$F$8),1,0))</f>
        <v>#REF!</v>
      </c>
      <c r="T1233" s="5"/>
      <c r="U1233" s="5" t="e">
        <f>IF(AND(#REF!&gt;=table!$C$10,#REF!&lt;= table!$D$10),-1,IF(AND(#REF!&gt;=table!$E$10,#REF!&lt;=table!$F$10),1,0))</f>
        <v>#REF!</v>
      </c>
      <c r="V1233" s="5" t="e">
        <f>IF(AND(#REF!&gt;=table!$C$11,#REF!&lt;= table!$D$11),-1,IF(AND(#REF!&gt;=table!$E$11,#REF!&lt;=table!$F$11),1,0))</f>
        <v>#REF!</v>
      </c>
      <c r="W1233" s="5" t="e">
        <f>CONCATENATE(dados[[#This Row],[fator1]],dados[[#This Row],[fator5]],dados[[#This Row],[fator6]])</f>
        <v>#REF!</v>
      </c>
    </row>
    <row r="1234" spans="1:23">
      <c r="A1234" t="s">
        <v>16</v>
      </c>
      <c r="B1234">
        <v>484423</v>
      </c>
      <c r="C1234">
        <v>13</v>
      </c>
      <c r="D1234">
        <v>35</v>
      </c>
      <c r="E1234">
        <v>120</v>
      </c>
      <c r="F1234">
        <v>10</v>
      </c>
      <c r="G1234">
        <v>0</v>
      </c>
      <c r="H1234">
        <v>25</v>
      </c>
      <c r="I1234">
        <v>91</v>
      </c>
      <c r="J1234">
        <v>0</v>
      </c>
      <c r="K1234">
        <v>12.045</v>
      </c>
      <c r="L1234">
        <v>18.900000000000002</v>
      </c>
      <c r="M1234">
        <v>95.9</v>
      </c>
      <c r="N1234">
        <v>15.8</v>
      </c>
      <c r="O1234">
        <v>1663</v>
      </c>
      <c r="P1234">
        <v>359</v>
      </c>
      <c r="Q1234" s="5" t="e">
        <f>IF(AND(#REF!&gt;=table!$C$6,#REF!&lt;= table!$D$6),-1,IF(AND(#REF!&gt;=table!$E$6,#REF!&lt;=table!$F$6),1,0))</f>
        <v>#REF!</v>
      </c>
      <c r="R1234" s="5" t="e">
        <f>IF(AND(#REF!&gt;=table!$C$7,#REF!&lt;= table!$D$7),-1,IF(AND(#REF!&gt;=table!$E$7,#REF!&lt;=table!$F$7),1,0))</f>
        <v>#REF!</v>
      </c>
      <c r="S1234" s="5" t="e">
        <f>IF(AND(#REF!&gt;=table!$C$8,#REF!&lt;= table!$D$8),-1,IF(AND(#REF!&gt;=table!$E$8,#REF!&lt;=table!$F$8),1,0))</f>
        <v>#REF!</v>
      </c>
      <c r="T1234" s="5"/>
      <c r="U1234" s="5" t="e">
        <f>IF(AND(#REF!&gt;=table!$C$10,#REF!&lt;= table!$D$10),-1,IF(AND(#REF!&gt;=table!$E$10,#REF!&lt;=table!$F$10),1,0))</f>
        <v>#REF!</v>
      </c>
      <c r="V1234" s="5" t="e">
        <f>IF(AND(#REF!&gt;=table!$C$11,#REF!&lt;= table!$D$11),-1,IF(AND(#REF!&gt;=table!$E$11,#REF!&lt;=table!$F$11),1,0))</f>
        <v>#REF!</v>
      </c>
      <c r="W1234" s="5" t="e">
        <f>CONCATENATE(dados[[#This Row],[fator1]],dados[[#This Row],[fator5]],dados[[#This Row],[fator6]])</f>
        <v>#REF!</v>
      </c>
    </row>
    <row r="1235" spans="1:23">
      <c r="A1235" t="s">
        <v>16</v>
      </c>
      <c r="B1235">
        <v>484429</v>
      </c>
      <c r="C1235">
        <v>0.15</v>
      </c>
      <c r="D1235">
        <v>40</v>
      </c>
      <c r="E1235">
        <v>10</v>
      </c>
      <c r="F1235">
        <v>15</v>
      </c>
      <c r="G1235">
        <v>0</v>
      </c>
      <c r="H1235">
        <v>15</v>
      </c>
      <c r="I1235">
        <v>556</v>
      </c>
      <c r="J1235">
        <v>0</v>
      </c>
      <c r="K1235">
        <v>8.19</v>
      </c>
      <c r="L1235">
        <v>8.9500000000000011</v>
      </c>
      <c r="M1235">
        <v>7.8</v>
      </c>
      <c r="N1235">
        <v>7.5</v>
      </c>
      <c r="O1235">
        <v>1656</v>
      </c>
      <c r="P1235">
        <v>0</v>
      </c>
      <c r="Q1235" s="5" t="e">
        <f>IF(AND(#REF!&gt;=table!$C$6,#REF!&lt;= table!$D$6),-1,IF(AND(#REF!&gt;=table!$E$6,#REF!&lt;=table!$F$6),1,0))</f>
        <v>#REF!</v>
      </c>
      <c r="R1235" s="5" t="e">
        <f>IF(AND(#REF!&gt;=table!$C$7,#REF!&lt;= table!$D$7),-1,IF(AND(#REF!&gt;=table!$E$7,#REF!&lt;=table!$F$7),1,0))</f>
        <v>#REF!</v>
      </c>
      <c r="S1235" s="5" t="e">
        <f>IF(AND(#REF!&gt;=table!$C$8,#REF!&lt;= table!$D$8),-1,IF(AND(#REF!&gt;=table!$E$8,#REF!&lt;=table!$F$8),1,0))</f>
        <v>#REF!</v>
      </c>
      <c r="T1235" s="5"/>
      <c r="U1235" s="5" t="e">
        <f>IF(AND(#REF!&gt;=table!$C$10,#REF!&lt;= table!$D$10),-1,IF(AND(#REF!&gt;=table!$E$10,#REF!&lt;=table!$F$10),1,0))</f>
        <v>#REF!</v>
      </c>
      <c r="V1235" s="5" t="e">
        <f>IF(AND(#REF!&gt;=table!$C$11,#REF!&lt;= table!$D$11),-1,IF(AND(#REF!&gt;=table!$E$11,#REF!&lt;=table!$F$11),1,0))</f>
        <v>#REF!</v>
      </c>
      <c r="W1235" s="5" t="e">
        <f>CONCATENATE(dados[[#This Row],[fator1]],dados[[#This Row],[fator5]],dados[[#This Row],[fator6]])</f>
        <v>#REF!</v>
      </c>
    </row>
    <row r="1236" spans="1:23">
      <c r="A1236" t="s">
        <v>16</v>
      </c>
      <c r="B1236">
        <v>484445</v>
      </c>
      <c r="C1236">
        <v>17</v>
      </c>
      <c r="D1236">
        <v>55</v>
      </c>
      <c r="E1236">
        <v>75</v>
      </c>
      <c r="F1236">
        <v>15</v>
      </c>
      <c r="G1236">
        <v>0</v>
      </c>
      <c r="H1236">
        <v>20</v>
      </c>
      <c r="I1236">
        <v>69</v>
      </c>
      <c r="J1236">
        <v>0</v>
      </c>
      <c r="K1236">
        <v>7.1400000000000006</v>
      </c>
      <c r="L1236">
        <v>15.9</v>
      </c>
      <c r="M1236">
        <v>78.55</v>
      </c>
      <c r="N1236">
        <v>16.25</v>
      </c>
      <c r="O1236">
        <v>1651</v>
      </c>
      <c r="P1236">
        <v>423</v>
      </c>
      <c r="Q1236" s="5" t="e">
        <f>IF(AND(#REF!&gt;=table!$C$6,#REF!&lt;= table!$D$6),-1,IF(AND(#REF!&gt;=table!$E$6,#REF!&lt;=table!$F$6),1,0))</f>
        <v>#REF!</v>
      </c>
      <c r="R1236" s="5" t="e">
        <f>IF(AND(#REF!&gt;=table!$C$7,#REF!&lt;= table!$D$7),-1,IF(AND(#REF!&gt;=table!$E$7,#REF!&lt;=table!$F$7),1,0))</f>
        <v>#REF!</v>
      </c>
      <c r="S1236" s="5" t="e">
        <f>IF(AND(#REF!&gt;=table!$C$8,#REF!&lt;= table!$D$8),-1,IF(AND(#REF!&gt;=table!$E$8,#REF!&lt;=table!$F$8),1,0))</f>
        <v>#REF!</v>
      </c>
      <c r="T1236" s="5"/>
      <c r="U1236" s="5" t="e">
        <f>IF(AND(#REF!&gt;=table!$C$10,#REF!&lt;= table!$D$10),-1,IF(AND(#REF!&gt;=table!$E$10,#REF!&lt;=table!$F$10),1,0))</f>
        <v>#REF!</v>
      </c>
      <c r="V1236" s="5" t="e">
        <f>IF(AND(#REF!&gt;=table!$C$11,#REF!&lt;= table!$D$11),-1,IF(AND(#REF!&gt;=table!$E$11,#REF!&lt;=table!$F$11),1,0))</f>
        <v>#REF!</v>
      </c>
      <c r="W1236" s="5" t="e">
        <f>CONCATENATE(dados[[#This Row],[fator1]],dados[[#This Row],[fator5]],dados[[#This Row],[fator6]])</f>
        <v>#REF!</v>
      </c>
    </row>
    <row r="1237" spans="1:23">
      <c r="A1237" t="s">
        <v>16</v>
      </c>
      <c r="B1237">
        <v>484446</v>
      </c>
      <c r="C1237">
        <v>6</v>
      </c>
      <c r="D1237">
        <v>30</v>
      </c>
      <c r="E1237">
        <v>40</v>
      </c>
      <c r="F1237">
        <v>15</v>
      </c>
      <c r="G1237">
        <v>0</v>
      </c>
      <c r="H1237">
        <v>25</v>
      </c>
      <c r="I1237">
        <v>1127</v>
      </c>
      <c r="J1237">
        <v>0</v>
      </c>
      <c r="K1237">
        <v>5.4550000000000001</v>
      </c>
      <c r="L1237">
        <v>6.95</v>
      </c>
      <c r="M1237">
        <v>6.3</v>
      </c>
      <c r="N1237">
        <v>7.2</v>
      </c>
      <c r="O1237">
        <v>1618</v>
      </c>
      <c r="P1237">
        <v>0</v>
      </c>
      <c r="Q1237" s="5" t="e">
        <f>IF(AND(#REF!&gt;=table!$C$6,#REF!&lt;= table!$D$6),-1,IF(AND(#REF!&gt;=table!$E$6,#REF!&lt;=table!$F$6),1,0))</f>
        <v>#REF!</v>
      </c>
      <c r="R1237" s="5" t="e">
        <f>IF(AND(#REF!&gt;=table!$C$7,#REF!&lt;= table!$D$7),-1,IF(AND(#REF!&gt;=table!$E$7,#REF!&lt;=table!$F$7),1,0))</f>
        <v>#REF!</v>
      </c>
      <c r="S1237" s="5" t="e">
        <f>IF(AND(#REF!&gt;=table!$C$8,#REF!&lt;= table!$D$8),-1,IF(AND(#REF!&gt;=table!$E$8,#REF!&lt;=table!$F$8),1,0))</f>
        <v>#REF!</v>
      </c>
      <c r="T1237" s="5"/>
      <c r="U1237" s="5" t="e">
        <f>IF(AND(#REF!&gt;=table!$C$10,#REF!&lt;= table!$D$10),-1,IF(AND(#REF!&gt;=table!$E$10,#REF!&lt;=table!$F$10),1,0))</f>
        <v>#REF!</v>
      </c>
      <c r="V1237" s="5" t="e">
        <f>IF(AND(#REF!&gt;=table!$C$11,#REF!&lt;= table!$D$11),-1,IF(AND(#REF!&gt;=table!$E$11,#REF!&lt;=table!$F$11),1,0))</f>
        <v>#REF!</v>
      </c>
      <c r="W1237" s="5" t="e">
        <f>CONCATENATE(dados[[#This Row],[fator1]],dados[[#This Row],[fator5]],dados[[#This Row],[fator6]])</f>
        <v>#REF!</v>
      </c>
    </row>
    <row r="1238" spans="1:23">
      <c r="A1238" t="s">
        <v>17</v>
      </c>
      <c r="B1238">
        <v>484455</v>
      </c>
      <c r="C1238">
        <v>9</v>
      </c>
      <c r="D1238">
        <v>50</v>
      </c>
      <c r="E1238">
        <v>190</v>
      </c>
      <c r="F1238">
        <v>6</v>
      </c>
      <c r="G1238">
        <v>20</v>
      </c>
      <c r="H1238">
        <v>25</v>
      </c>
      <c r="I1238">
        <v>109</v>
      </c>
      <c r="J1238">
        <v>1080</v>
      </c>
      <c r="K1238">
        <v>5.5600000000000005</v>
      </c>
      <c r="L1238">
        <v>22.25</v>
      </c>
      <c r="M1238">
        <v>179.45500000000001</v>
      </c>
      <c r="N1238">
        <v>14</v>
      </c>
      <c r="O1238">
        <v>1677</v>
      </c>
      <c r="P1238">
        <v>586</v>
      </c>
      <c r="Q1238" s="5" t="e">
        <f>IF(AND(#REF!&gt;=table!$C$6,#REF!&lt;= table!$D$6),-1,IF(AND(#REF!&gt;=table!$E$6,#REF!&lt;=table!$F$6),1,0))</f>
        <v>#REF!</v>
      </c>
      <c r="R1238" s="5" t="e">
        <f>IF(AND(#REF!&gt;=table!$C$7,#REF!&lt;= table!$D$7),-1,IF(AND(#REF!&gt;=table!$E$7,#REF!&lt;=table!$F$7),1,0))</f>
        <v>#REF!</v>
      </c>
      <c r="S1238" s="5" t="e">
        <f>IF(AND(#REF!&gt;=table!$C$8,#REF!&lt;= table!$D$8),-1,IF(AND(#REF!&gt;=table!$E$8,#REF!&lt;=table!$F$8),1,0))</f>
        <v>#REF!</v>
      </c>
      <c r="T1238" s="5"/>
      <c r="U1238" s="5" t="e">
        <f>IF(AND(#REF!&gt;=table!$C$10,#REF!&lt;= table!$D$10),-1,IF(AND(#REF!&gt;=table!$E$10,#REF!&lt;=table!$F$10),1,0))</f>
        <v>#REF!</v>
      </c>
      <c r="V1238" s="5" t="e">
        <f>IF(AND(#REF!&gt;=table!$C$11,#REF!&lt;= table!$D$11),-1,IF(AND(#REF!&gt;=table!$E$11,#REF!&lt;=table!$F$11),1,0))</f>
        <v>#REF!</v>
      </c>
      <c r="W1238" s="5" t="e">
        <f>CONCATENATE(dados[[#This Row],[fator1]],dados[[#This Row],[fator5]],dados[[#This Row],[fator6]])</f>
        <v>#REF!</v>
      </c>
    </row>
    <row r="1239" spans="1:23">
      <c r="A1239" t="s">
        <v>17</v>
      </c>
      <c r="B1239">
        <v>484464</v>
      </c>
      <c r="C1239">
        <v>14</v>
      </c>
      <c r="D1239">
        <v>30</v>
      </c>
      <c r="E1239">
        <v>66</v>
      </c>
      <c r="F1239">
        <v>9</v>
      </c>
      <c r="G1239">
        <v>20</v>
      </c>
      <c r="H1239">
        <v>25</v>
      </c>
      <c r="I1239">
        <v>0</v>
      </c>
      <c r="J1239">
        <v>0</v>
      </c>
      <c r="K1239">
        <v>4.12</v>
      </c>
      <c r="L1239">
        <v>10.43</v>
      </c>
      <c r="M1239">
        <v>60.800000000000004</v>
      </c>
      <c r="N1239">
        <v>13.05</v>
      </c>
      <c r="O1239">
        <v>1671</v>
      </c>
      <c r="P1239">
        <v>0</v>
      </c>
      <c r="Q1239" s="5" t="e">
        <f>IF(AND(#REF!&gt;=table!$C$6,#REF!&lt;= table!$D$6),-1,IF(AND(#REF!&gt;=table!$E$6,#REF!&lt;=table!$F$6),1,0))</f>
        <v>#REF!</v>
      </c>
      <c r="R1239" s="5" t="e">
        <f>IF(AND(#REF!&gt;=table!$C$7,#REF!&lt;= table!$D$7),-1,IF(AND(#REF!&gt;=table!$E$7,#REF!&lt;=table!$F$7),1,0))</f>
        <v>#REF!</v>
      </c>
      <c r="S1239" s="5" t="e">
        <f>IF(AND(#REF!&gt;=table!$C$8,#REF!&lt;= table!$D$8),-1,IF(AND(#REF!&gt;=table!$E$8,#REF!&lt;=table!$F$8),1,0))</f>
        <v>#REF!</v>
      </c>
      <c r="T1239" s="5"/>
      <c r="U1239" s="5" t="e">
        <f>IF(AND(#REF!&gt;=table!$C$10,#REF!&lt;= table!$D$10),-1,IF(AND(#REF!&gt;=table!$E$10,#REF!&lt;=table!$F$10),1,0))</f>
        <v>#REF!</v>
      </c>
      <c r="V1239" s="5" t="e">
        <f>IF(AND(#REF!&gt;=table!$C$11,#REF!&lt;= table!$D$11),-1,IF(AND(#REF!&gt;=table!$E$11,#REF!&lt;=table!$F$11),1,0))</f>
        <v>#REF!</v>
      </c>
      <c r="W1239" s="5" t="e">
        <f>CONCATENATE(dados[[#This Row],[fator1]],dados[[#This Row],[fator5]],dados[[#This Row],[fator6]])</f>
        <v>#REF!</v>
      </c>
    </row>
    <row r="1240" spans="1:23">
      <c r="A1240" t="s">
        <v>17</v>
      </c>
      <c r="B1240">
        <v>484465</v>
      </c>
      <c r="C1240">
        <v>14</v>
      </c>
      <c r="D1240">
        <v>30</v>
      </c>
      <c r="E1240">
        <v>66</v>
      </c>
      <c r="F1240">
        <v>9</v>
      </c>
      <c r="G1240">
        <v>20</v>
      </c>
      <c r="H1240">
        <v>25</v>
      </c>
      <c r="I1240">
        <v>788</v>
      </c>
      <c r="J1240">
        <v>0</v>
      </c>
      <c r="K1240">
        <v>4.585</v>
      </c>
      <c r="L1240">
        <v>7.5</v>
      </c>
      <c r="M1240">
        <v>63.75</v>
      </c>
      <c r="N1240">
        <v>9.9500000000000011</v>
      </c>
      <c r="O1240">
        <v>1668</v>
      </c>
      <c r="P1240">
        <v>796</v>
      </c>
      <c r="Q1240" s="5" t="e">
        <f>IF(AND(#REF!&gt;=table!$C$6,#REF!&lt;= table!$D$6),-1,IF(AND(#REF!&gt;=table!$E$6,#REF!&lt;=table!$F$6),1,0))</f>
        <v>#REF!</v>
      </c>
      <c r="R1240" s="5" t="e">
        <f>IF(AND(#REF!&gt;=table!$C$7,#REF!&lt;= table!$D$7),-1,IF(AND(#REF!&gt;=table!$E$7,#REF!&lt;=table!$F$7),1,0))</f>
        <v>#REF!</v>
      </c>
      <c r="S1240" s="5" t="e">
        <f>IF(AND(#REF!&gt;=table!$C$8,#REF!&lt;= table!$D$8),-1,IF(AND(#REF!&gt;=table!$E$8,#REF!&lt;=table!$F$8),1,0))</f>
        <v>#REF!</v>
      </c>
      <c r="T1240" s="5"/>
      <c r="U1240" s="5" t="e">
        <f>IF(AND(#REF!&gt;=table!$C$10,#REF!&lt;= table!$D$10),-1,IF(AND(#REF!&gt;=table!$E$10,#REF!&lt;=table!$F$10),1,0))</f>
        <v>#REF!</v>
      </c>
      <c r="V1240" s="5" t="e">
        <f>IF(AND(#REF!&gt;=table!$C$11,#REF!&lt;= table!$D$11),-1,IF(AND(#REF!&gt;=table!$E$11,#REF!&lt;=table!$F$11),1,0))</f>
        <v>#REF!</v>
      </c>
      <c r="W1240" s="5" t="e">
        <f>CONCATENATE(dados[[#This Row],[fator1]],dados[[#This Row],[fator5]],dados[[#This Row],[fator6]])</f>
        <v>#REF!</v>
      </c>
    </row>
    <row r="1241" spans="1:23">
      <c r="A1241" t="s">
        <v>17</v>
      </c>
      <c r="B1241">
        <v>484466</v>
      </c>
      <c r="C1241">
        <v>14</v>
      </c>
      <c r="D1241">
        <v>30</v>
      </c>
      <c r="E1241">
        <v>126</v>
      </c>
      <c r="F1241">
        <v>9</v>
      </c>
      <c r="G1241">
        <v>20</v>
      </c>
      <c r="H1241">
        <v>25</v>
      </c>
      <c r="I1241">
        <v>534</v>
      </c>
      <c r="J1241">
        <v>0</v>
      </c>
      <c r="K1241">
        <v>2.5950000000000002</v>
      </c>
      <c r="L1241">
        <v>6.9</v>
      </c>
      <c r="M1241">
        <v>105.60000000000001</v>
      </c>
      <c r="N1241">
        <v>13.15</v>
      </c>
      <c r="O1241">
        <v>1671</v>
      </c>
      <c r="P1241">
        <v>1377</v>
      </c>
      <c r="Q1241" s="5" t="e">
        <f>IF(AND(#REF!&gt;=table!$C$6,#REF!&lt;= table!$D$6),-1,IF(AND(#REF!&gt;=table!$E$6,#REF!&lt;=table!$F$6),1,0))</f>
        <v>#REF!</v>
      </c>
      <c r="R1241" s="5" t="e">
        <f>IF(AND(#REF!&gt;=table!$C$7,#REF!&lt;= table!$D$7),-1,IF(AND(#REF!&gt;=table!$E$7,#REF!&lt;=table!$F$7),1,0))</f>
        <v>#REF!</v>
      </c>
      <c r="S1241" s="5" t="e">
        <f>IF(AND(#REF!&gt;=table!$C$8,#REF!&lt;= table!$D$8),-1,IF(AND(#REF!&gt;=table!$E$8,#REF!&lt;=table!$F$8),1,0))</f>
        <v>#REF!</v>
      </c>
      <c r="T1241" s="5"/>
      <c r="U1241" s="5" t="e">
        <f>IF(AND(#REF!&gt;=table!$C$10,#REF!&lt;= table!$D$10),-1,IF(AND(#REF!&gt;=table!$E$10,#REF!&lt;=table!$F$10),1,0))</f>
        <v>#REF!</v>
      </c>
      <c r="V1241" s="5" t="e">
        <f>IF(AND(#REF!&gt;=table!$C$11,#REF!&lt;= table!$D$11),-1,IF(AND(#REF!&gt;=table!$E$11,#REF!&lt;=table!$F$11),1,0))</f>
        <v>#REF!</v>
      </c>
      <c r="W1241" s="5" t="e">
        <f>CONCATENATE(dados[[#This Row],[fator1]],dados[[#This Row],[fator5]],dados[[#This Row],[fator6]])</f>
        <v>#REF!</v>
      </c>
    </row>
    <row r="1242" spans="1:23">
      <c r="A1242" t="s">
        <v>16</v>
      </c>
      <c r="B1242">
        <v>484468</v>
      </c>
      <c r="C1242">
        <v>0.15</v>
      </c>
      <c r="D1242">
        <v>40</v>
      </c>
      <c r="E1242">
        <v>10</v>
      </c>
      <c r="F1242">
        <v>15</v>
      </c>
      <c r="G1242">
        <v>0</v>
      </c>
      <c r="H1242">
        <v>15</v>
      </c>
      <c r="I1242">
        <v>1208</v>
      </c>
      <c r="J1242">
        <v>0</v>
      </c>
      <c r="K1242">
        <v>3.5500000000000003</v>
      </c>
      <c r="L1242">
        <v>7.3500000000000005</v>
      </c>
      <c r="M1242">
        <v>6.8250000000000002</v>
      </c>
      <c r="N1242">
        <v>6.1350000000000007</v>
      </c>
      <c r="O1242">
        <v>1648</v>
      </c>
      <c r="P1242">
        <v>885</v>
      </c>
      <c r="Q1242" s="5" t="e">
        <f>IF(AND(#REF!&gt;=table!$C$6,#REF!&lt;= table!$D$6),-1,IF(AND(#REF!&gt;=table!$E$6,#REF!&lt;=table!$F$6),1,0))</f>
        <v>#REF!</v>
      </c>
      <c r="R1242" s="5" t="e">
        <f>IF(AND(#REF!&gt;=table!$C$7,#REF!&lt;= table!$D$7),-1,IF(AND(#REF!&gt;=table!$E$7,#REF!&lt;=table!$F$7),1,0))</f>
        <v>#REF!</v>
      </c>
      <c r="S1242" s="5" t="e">
        <f>IF(AND(#REF!&gt;=table!$C$8,#REF!&lt;= table!$D$8),-1,IF(AND(#REF!&gt;=table!$E$8,#REF!&lt;=table!$F$8),1,0))</f>
        <v>#REF!</v>
      </c>
      <c r="T1242" s="5"/>
      <c r="U1242" s="5" t="e">
        <f>IF(AND(#REF!&gt;=table!$C$10,#REF!&lt;= table!$D$10),-1,IF(AND(#REF!&gt;=table!$E$10,#REF!&lt;=table!$F$10),1,0))</f>
        <v>#REF!</v>
      </c>
      <c r="V1242" s="5" t="e">
        <f>IF(AND(#REF!&gt;=table!$C$11,#REF!&lt;= table!$D$11),-1,IF(AND(#REF!&gt;=table!$E$11,#REF!&lt;=table!$F$11),1,0))</f>
        <v>#REF!</v>
      </c>
      <c r="W1242" s="5" t="e">
        <f>CONCATENATE(dados[[#This Row],[fator1]],dados[[#This Row],[fator5]],dados[[#This Row],[fator6]])</f>
        <v>#REF!</v>
      </c>
    </row>
    <row r="1243" spans="1:23">
      <c r="A1243" t="s">
        <v>16</v>
      </c>
      <c r="B1243">
        <v>484470</v>
      </c>
      <c r="C1243">
        <v>0.15</v>
      </c>
      <c r="D1243">
        <v>40</v>
      </c>
      <c r="E1243">
        <v>10</v>
      </c>
      <c r="F1243">
        <v>15</v>
      </c>
      <c r="G1243">
        <v>0</v>
      </c>
      <c r="H1243">
        <v>15</v>
      </c>
      <c r="I1243">
        <v>622</v>
      </c>
      <c r="J1243">
        <v>0</v>
      </c>
      <c r="K1243">
        <v>3.35</v>
      </c>
      <c r="L1243">
        <v>7.75</v>
      </c>
      <c r="M1243">
        <v>6.1000000000000005</v>
      </c>
      <c r="N1243">
        <v>8.1</v>
      </c>
      <c r="O1243">
        <v>1668</v>
      </c>
      <c r="P1243">
        <v>1047</v>
      </c>
      <c r="Q1243" s="5" t="e">
        <f>IF(AND(#REF!&gt;=table!$C$6,#REF!&lt;= table!$D$6),-1,IF(AND(#REF!&gt;=table!$E$6,#REF!&lt;=table!$F$6),1,0))</f>
        <v>#REF!</v>
      </c>
      <c r="R1243" s="5" t="e">
        <f>IF(AND(#REF!&gt;=table!$C$7,#REF!&lt;= table!$D$7),-1,IF(AND(#REF!&gt;=table!$E$7,#REF!&lt;=table!$F$7),1,0))</f>
        <v>#REF!</v>
      </c>
      <c r="S1243" s="5" t="e">
        <f>IF(AND(#REF!&gt;=table!$C$8,#REF!&lt;= table!$D$8),-1,IF(AND(#REF!&gt;=table!$E$8,#REF!&lt;=table!$F$8),1,0))</f>
        <v>#REF!</v>
      </c>
      <c r="T1243" s="5"/>
      <c r="U1243" s="5" t="e">
        <f>IF(AND(#REF!&gt;=table!$C$10,#REF!&lt;= table!$D$10),-1,IF(AND(#REF!&gt;=table!$E$10,#REF!&lt;=table!$F$10),1,0))</f>
        <v>#REF!</v>
      </c>
      <c r="V1243" s="5" t="e">
        <f>IF(AND(#REF!&gt;=table!$C$11,#REF!&lt;= table!$D$11),-1,IF(AND(#REF!&gt;=table!$E$11,#REF!&lt;=table!$F$11),1,0))</f>
        <v>#REF!</v>
      </c>
      <c r="W1243" s="5" t="e">
        <f>CONCATENATE(dados[[#This Row],[fator1]],dados[[#This Row],[fator5]],dados[[#This Row],[fator6]])</f>
        <v>#REF!</v>
      </c>
    </row>
    <row r="1244" spans="1:23">
      <c r="A1244" t="s">
        <v>17</v>
      </c>
      <c r="B1244">
        <v>484472</v>
      </c>
      <c r="C1244">
        <v>15</v>
      </c>
      <c r="D1244">
        <v>35</v>
      </c>
      <c r="E1244">
        <v>220</v>
      </c>
      <c r="F1244">
        <v>6</v>
      </c>
      <c r="G1244">
        <v>45</v>
      </c>
      <c r="H1244">
        <v>25</v>
      </c>
      <c r="I1244">
        <v>1491</v>
      </c>
      <c r="J1244">
        <v>0</v>
      </c>
      <c r="K1244">
        <v>6.23</v>
      </c>
      <c r="L1244">
        <v>12.1</v>
      </c>
      <c r="M1244">
        <v>173.77500000000001</v>
      </c>
      <c r="N1244">
        <v>15.51</v>
      </c>
      <c r="O1244">
        <v>1685</v>
      </c>
      <c r="P1244">
        <v>608</v>
      </c>
      <c r="Q1244" s="5" t="e">
        <f>IF(AND(#REF!&gt;=table!$C$6,#REF!&lt;= table!$D$6),-1,IF(AND(#REF!&gt;=table!$E$6,#REF!&lt;=table!$F$6),1,0))</f>
        <v>#REF!</v>
      </c>
      <c r="R1244" s="5" t="e">
        <f>IF(AND(#REF!&gt;=table!$C$7,#REF!&lt;= table!$D$7),-1,IF(AND(#REF!&gt;=table!$E$7,#REF!&lt;=table!$F$7),1,0))</f>
        <v>#REF!</v>
      </c>
      <c r="S1244" s="5" t="e">
        <f>IF(AND(#REF!&gt;=table!$C$8,#REF!&lt;= table!$D$8),-1,IF(AND(#REF!&gt;=table!$E$8,#REF!&lt;=table!$F$8),1,0))</f>
        <v>#REF!</v>
      </c>
      <c r="T1244" s="5"/>
      <c r="U1244" s="5" t="e">
        <f>IF(AND(#REF!&gt;=table!$C$10,#REF!&lt;= table!$D$10),-1,IF(AND(#REF!&gt;=table!$E$10,#REF!&lt;=table!$F$10),1,0))</f>
        <v>#REF!</v>
      </c>
      <c r="V1244" s="5" t="e">
        <f>IF(AND(#REF!&gt;=table!$C$11,#REF!&lt;= table!$D$11),-1,IF(AND(#REF!&gt;=table!$E$11,#REF!&lt;=table!$F$11),1,0))</f>
        <v>#REF!</v>
      </c>
      <c r="W1244" s="5" t="e">
        <f>CONCATENATE(dados[[#This Row],[fator1]],dados[[#This Row],[fator5]],dados[[#This Row],[fator6]])</f>
        <v>#REF!</v>
      </c>
    </row>
    <row r="1245" spans="1:23">
      <c r="A1245" t="s">
        <v>17</v>
      </c>
      <c r="B1245">
        <v>484474</v>
      </c>
      <c r="C1245">
        <v>15</v>
      </c>
      <c r="D1245">
        <v>35</v>
      </c>
      <c r="E1245">
        <v>220</v>
      </c>
      <c r="F1245">
        <v>6</v>
      </c>
      <c r="G1245">
        <v>45</v>
      </c>
      <c r="H1245">
        <v>25</v>
      </c>
      <c r="I1245">
        <v>29</v>
      </c>
      <c r="J1245">
        <v>0</v>
      </c>
      <c r="K1245">
        <v>4.0250000000000004</v>
      </c>
      <c r="L1245">
        <v>15.255000000000001</v>
      </c>
      <c r="M1245">
        <v>181.8</v>
      </c>
      <c r="N1245">
        <v>19.940000000000001</v>
      </c>
      <c r="O1245">
        <v>1702</v>
      </c>
      <c r="P1245">
        <v>888</v>
      </c>
      <c r="Q1245" s="5" t="e">
        <f>IF(AND(#REF!&gt;=table!$C$6,#REF!&lt;= table!$D$6),-1,IF(AND(#REF!&gt;=table!$E$6,#REF!&lt;=table!$F$6),1,0))</f>
        <v>#REF!</v>
      </c>
      <c r="R1245" s="5" t="e">
        <f>IF(AND(#REF!&gt;=table!$C$7,#REF!&lt;= table!$D$7),-1,IF(AND(#REF!&gt;=table!$E$7,#REF!&lt;=table!$F$7),1,0))</f>
        <v>#REF!</v>
      </c>
      <c r="S1245" s="5" t="e">
        <f>IF(AND(#REF!&gt;=table!$C$8,#REF!&lt;= table!$D$8),-1,IF(AND(#REF!&gt;=table!$E$8,#REF!&lt;=table!$F$8),1,0))</f>
        <v>#REF!</v>
      </c>
      <c r="T1245" s="5"/>
      <c r="U1245" s="5" t="e">
        <f>IF(AND(#REF!&gt;=table!$C$10,#REF!&lt;= table!$D$10),-1,IF(AND(#REF!&gt;=table!$E$10,#REF!&lt;=table!$F$10),1,0))</f>
        <v>#REF!</v>
      </c>
      <c r="V1245" s="5" t="e">
        <f>IF(AND(#REF!&gt;=table!$C$11,#REF!&lt;= table!$D$11),-1,IF(AND(#REF!&gt;=table!$E$11,#REF!&lt;=table!$F$11),1,0))</f>
        <v>#REF!</v>
      </c>
      <c r="W1245" s="5" t="e">
        <f>CONCATENATE(dados[[#This Row],[fator1]],dados[[#This Row],[fator5]],dados[[#This Row],[fator6]])</f>
        <v>#REF!</v>
      </c>
    </row>
    <row r="1246" spans="1:23">
      <c r="A1246" t="s">
        <v>17</v>
      </c>
      <c r="B1246">
        <v>484476</v>
      </c>
      <c r="C1246">
        <v>28</v>
      </c>
      <c r="D1246">
        <v>25</v>
      </c>
      <c r="E1246">
        <v>116</v>
      </c>
      <c r="F1246">
        <v>6</v>
      </c>
      <c r="G1246">
        <v>13</v>
      </c>
      <c r="H1246">
        <v>25</v>
      </c>
      <c r="I1246">
        <v>6</v>
      </c>
      <c r="J1246">
        <v>0</v>
      </c>
      <c r="K1246">
        <v>3</v>
      </c>
      <c r="L1246">
        <v>14.235000000000001</v>
      </c>
      <c r="M1246">
        <v>104.66</v>
      </c>
      <c r="N1246">
        <v>19.375</v>
      </c>
      <c r="O1246">
        <v>1686</v>
      </c>
      <c r="P1246">
        <v>1005</v>
      </c>
      <c r="Q1246" s="5" t="e">
        <f>IF(AND(#REF!&gt;=table!$C$6,#REF!&lt;= table!$D$6),-1,IF(AND(#REF!&gt;=table!$E$6,#REF!&lt;=table!$F$6),1,0))</f>
        <v>#REF!</v>
      </c>
      <c r="R1246" s="5" t="e">
        <f>IF(AND(#REF!&gt;=table!$C$7,#REF!&lt;= table!$D$7),-1,IF(AND(#REF!&gt;=table!$E$7,#REF!&lt;=table!$F$7),1,0))</f>
        <v>#REF!</v>
      </c>
      <c r="S1246" s="5" t="e">
        <f>IF(AND(#REF!&gt;=table!$C$8,#REF!&lt;= table!$D$8),-1,IF(AND(#REF!&gt;=table!$E$8,#REF!&lt;=table!$F$8),1,0))</f>
        <v>#REF!</v>
      </c>
      <c r="T1246" s="5"/>
      <c r="U1246" s="5" t="e">
        <f>IF(AND(#REF!&gt;=table!$C$10,#REF!&lt;= table!$D$10),-1,IF(AND(#REF!&gt;=table!$E$10,#REF!&lt;=table!$F$10),1,0))</f>
        <v>#REF!</v>
      </c>
      <c r="V1246" s="5" t="e">
        <f>IF(AND(#REF!&gt;=table!$C$11,#REF!&lt;= table!$D$11),-1,IF(AND(#REF!&gt;=table!$E$11,#REF!&lt;=table!$F$11),1,0))</f>
        <v>#REF!</v>
      </c>
      <c r="W1246" s="5" t="e">
        <f>CONCATENATE(dados[[#This Row],[fator1]],dados[[#This Row],[fator5]],dados[[#This Row],[fator6]])</f>
        <v>#REF!</v>
      </c>
    </row>
    <row r="1247" spans="1:23">
      <c r="A1247" t="s">
        <v>16</v>
      </c>
      <c r="B1247">
        <v>484477</v>
      </c>
      <c r="C1247">
        <v>0.15</v>
      </c>
      <c r="D1247">
        <v>40</v>
      </c>
      <c r="E1247">
        <v>10</v>
      </c>
      <c r="F1247">
        <v>15</v>
      </c>
      <c r="G1247">
        <v>0</v>
      </c>
      <c r="H1247">
        <v>15</v>
      </c>
      <c r="I1247">
        <v>1156</v>
      </c>
      <c r="J1247">
        <v>0</v>
      </c>
      <c r="K1247">
        <v>4.25</v>
      </c>
      <c r="L1247">
        <v>8.2799999999999994</v>
      </c>
      <c r="M1247">
        <v>8.0500000000000007</v>
      </c>
      <c r="N1247">
        <v>7.6750000000000007</v>
      </c>
      <c r="O1247">
        <v>1658</v>
      </c>
      <c r="P1247">
        <v>790</v>
      </c>
      <c r="Q1247" s="5" t="e">
        <f>IF(AND(#REF!&gt;=table!$C$6,#REF!&lt;= table!$D$6),-1,IF(AND(#REF!&gt;=table!$E$6,#REF!&lt;=table!$F$6),1,0))</f>
        <v>#REF!</v>
      </c>
      <c r="R1247" s="5" t="e">
        <f>IF(AND(#REF!&gt;=table!$C$7,#REF!&lt;= table!$D$7),-1,IF(AND(#REF!&gt;=table!$E$7,#REF!&lt;=table!$F$7),1,0))</f>
        <v>#REF!</v>
      </c>
      <c r="S1247" s="5" t="e">
        <f>IF(AND(#REF!&gt;=table!$C$8,#REF!&lt;= table!$D$8),-1,IF(AND(#REF!&gt;=table!$E$8,#REF!&lt;=table!$F$8),1,0))</f>
        <v>#REF!</v>
      </c>
      <c r="T1247" s="5"/>
      <c r="U1247" s="5" t="e">
        <f>IF(AND(#REF!&gt;=table!$C$10,#REF!&lt;= table!$D$10),-1,IF(AND(#REF!&gt;=table!$E$10,#REF!&lt;=table!$F$10),1,0))</f>
        <v>#REF!</v>
      </c>
      <c r="V1247" s="5" t="e">
        <f>IF(AND(#REF!&gt;=table!$C$11,#REF!&lt;= table!$D$11),-1,IF(AND(#REF!&gt;=table!$E$11,#REF!&lt;=table!$F$11),1,0))</f>
        <v>#REF!</v>
      </c>
      <c r="W1247" s="5" t="e">
        <f>CONCATENATE(dados[[#This Row],[fator1]],dados[[#This Row],[fator5]],dados[[#This Row],[fator6]])</f>
        <v>#REF!</v>
      </c>
    </row>
    <row r="1248" spans="1:23">
      <c r="A1248" t="s">
        <v>16</v>
      </c>
      <c r="B1248">
        <v>484480</v>
      </c>
      <c r="C1248">
        <v>0.15</v>
      </c>
      <c r="D1248">
        <v>40</v>
      </c>
      <c r="E1248">
        <v>10</v>
      </c>
      <c r="F1248">
        <v>15</v>
      </c>
      <c r="G1248">
        <v>0</v>
      </c>
      <c r="H1248">
        <v>15</v>
      </c>
      <c r="I1248">
        <v>933</v>
      </c>
      <c r="J1248">
        <v>610</v>
      </c>
      <c r="K1248">
        <v>4.8950000000000005</v>
      </c>
      <c r="L1248">
        <v>4.8500000000000005</v>
      </c>
      <c r="M1248">
        <v>4</v>
      </c>
      <c r="N1248">
        <v>6.5</v>
      </c>
      <c r="O1248">
        <v>1616</v>
      </c>
      <c r="P1248">
        <v>0</v>
      </c>
      <c r="Q1248" s="5" t="e">
        <f>IF(AND(#REF!&gt;=table!$C$6,#REF!&lt;= table!$D$6),-1,IF(AND(#REF!&gt;=table!$E$6,#REF!&lt;=table!$F$6),1,0))</f>
        <v>#REF!</v>
      </c>
      <c r="R1248" s="5" t="e">
        <f>IF(AND(#REF!&gt;=table!$C$7,#REF!&lt;= table!$D$7),-1,IF(AND(#REF!&gt;=table!$E$7,#REF!&lt;=table!$F$7),1,0))</f>
        <v>#REF!</v>
      </c>
      <c r="S1248" s="5" t="e">
        <f>IF(AND(#REF!&gt;=table!$C$8,#REF!&lt;= table!$D$8),-1,IF(AND(#REF!&gt;=table!$E$8,#REF!&lt;=table!$F$8),1,0))</f>
        <v>#REF!</v>
      </c>
      <c r="T1248" s="5"/>
      <c r="U1248" s="5" t="e">
        <f>IF(AND(#REF!&gt;=table!$C$10,#REF!&lt;= table!$D$10),-1,IF(AND(#REF!&gt;=table!$E$10,#REF!&lt;=table!$F$10),1,0))</f>
        <v>#REF!</v>
      </c>
      <c r="V1248" s="5" t="e">
        <f>IF(AND(#REF!&gt;=table!$C$11,#REF!&lt;= table!$D$11),-1,IF(AND(#REF!&gt;=table!$E$11,#REF!&lt;=table!$F$11),1,0))</f>
        <v>#REF!</v>
      </c>
      <c r="W1248" s="5" t="e">
        <f>CONCATENATE(dados[[#This Row],[fator1]],dados[[#This Row],[fator5]],dados[[#This Row],[fator6]])</f>
        <v>#REF!</v>
      </c>
    </row>
    <row r="1249" spans="1:23">
      <c r="A1249" t="s">
        <v>16</v>
      </c>
      <c r="B1249">
        <v>484482</v>
      </c>
      <c r="C1249">
        <v>0.15</v>
      </c>
      <c r="D1249">
        <v>40</v>
      </c>
      <c r="E1249">
        <v>10</v>
      </c>
      <c r="F1249">
        <v>15</v>
      </c>
      <c r="G1249">
        <v>0</v>
      </c>
      <c r="H1249">
        <v>15</v>
      </c>
      <c r="I1249">
        <v>501</v>
      </c>
      <c r="J1249">
        <v>0</v>
      </c>
      <c r="K1249">
        <v>4.6000000000000005</v>
      </c>
      <c r="L1249">
        <v>6.8050000000000006</v>
      </c>
      <c r="M1249">
        <v>4.4000000000000004</v>
      </c>
      <c r="N1249">
        <v>9.35</v>
      </c>
      <c r="O1249">
        <v>1684</v>
      </c>
      <c r="P1249">
        <v>0</v>
      </c>
      <c r="Q1249" s="5" t="e">
        <f>IF(AND(#REF!&gt;=table!$C$6,#REF!&lt;= table!$D$6),-1,IF(AND(#REF!&gt;=table!$E$6,#REF!&lt;=table!$F$6),1,0))</f>
        <v>#REF!</v>
      </c>
      <c r="R1249" s="5" t="e">
        <f>IF(AND(#REF!&gt;=table!$C$7,#REF!&lt;= table!$D$7),-1,IF(AND(#REF!&gt;=table!$E$7,#REF!&lt;=table!$F$7),1,0))</f>
        <v>#REF!</v>
      </c>
      <c r="S1249" s="5" t="e">
        <f>IF(AND(#REF!&gt;=table!$C$8,#REF!&lt;= table!$D$8),-1,IF(AND(#REF!&gt;=table!$E$8,#REF!&lt;=table!$F$8),1,0))</f>
        <v>#REF!</v>
      </c>
      <c r="T1249" s="5"/>
      <c r="U1249" s="5" t="e">
        <f>IF(AND(#REF!&gt;=table!$C$10,#REF!&lt;= table!$D$10),-1,IF(AND(#REF!&gt;=table!$E$10,#REF!&lt;=table!$F$10),1,0))</f>
        <v>#REF!</v>
      </c>
      <c r="V1249" s="5" t="e">
        <f>IF(AND(#REF!&gt;=table!$C$11,#REF!&lt;= table!$D$11),-1,IF(AND(#REF!&gt;=table!$E$11,#REF!&lt;=table!$F$11),1,0))</f>
        <v>#REF!</v>
      </c>
      <c r="W1249" s="5" t="e">
        <f>CONCATENATE(dados[[#This Row],[fator1]],dados[[#This Row],[fator5]],dados[[#This Row],[fator6]])</f>
        <v>#REF!</v>
      </c>
    </row>
    <row r="1250" spans="1:23">
      <c r="A1250" t="s">
        <v>16</v>
      </c>
      <c r="B1250">
        <v>484483</v>
      </c>
      <c r="C1250">
        <v>0.15</v>
      </c>
      <c r="D1250">
        <v>40</v>
      </c>
      <c r="E1250">
        <v>10</v>
      </c>
      <c r="F1250">
        <v>15</v>
      </c>
      <c r="G1250">
        <v>0</v>
      </c>
      <c r="H1250">
        <v>15</v>
      </c>
      <c r="I1250">
        <v>172</v>
      </c>
      <c r="J1250">
        <v>560</v>
      </c>
      <c r="K1250">
        <v>4.1349999999999998</v>
      </c>
      <c r="L1250">
        <v>5.45</v>
      </c>
      <c r="M1250">
        <v>4.3</v>
      </c>
      <c r="N1250">
        <v>6.65</v>
      </c>
      <c r="O1250">
        <v>1623</v>
      </c>
      <c r="P1250">
        <v>0</v>
      </c>
      <c r="Q1250" s="5" t="e">
        <f>IF(AND(#REF!&gt;=table!$C$6,#REF!&lt;= table!$D$6),-1,IF(AND(#REF!&gt;=table!$E$6,#REF!&lt;=table!$F$6),1,0))</f>
        <v>#REF!</v>
      </c>
      <c r="R1250" s="5" t="e">
        <f>IF(AND(#REF!&gt;=table!$C$7,#REF!&lt;= table!$D$7),-1,IF(AND(#REF!&gt;=table!$E$7,#REF!&lt;=table!$F$7),1,0))</f>
        <v>#REF!</v>
      </c>
      <c r="S1250" s="5" t="e">
        <f>IF(AND(#REF!&gt;=table!$C$8,#REF!&lt;= table!$D$8),-1,IF(AND(#REF!&gt;=table!$E$8,#REF!&lt;=table!$F$8),1,0))</f>
        <v>#REF!</v>
      </c>
      <c r="T1250" s="5"/>
      <c r="U1250" s="5" t="e">
        <f>IF(AND(#REF!&gt;=table!$C$10,#REF!&lt;= table!$D$10),-1,IF(AND(#REF!&gt;=table!$E$10,#REF!&lt;=table!$F$10),1,0))</f>
        <v>#REF!</v>
      </c>
      <c r="V1250" s="5" t="e">
        <f>IF(AND(#REF!&gt;=table!$C$11,#REF!&lt;= table!$D$11),-1,IF(AND(#REF!&gt;=table!$E$11,#REF!&lt;=table!$F$11),1,0))</f>
        <v>#REF!</v>
      </c>
      <c r="W1250" s="5" t="e">
        <f>CONCATENATE(dados[[#This Row],[fator1]],dados[[#This Row],[fator5]],dados[[#This Row],[fator6]])</f>
        <v>#REF!</v>
      </c>
    </row>
    <row r="1251" spans="1:23">
      <c r="A1251" t="s">
        <v>17</v>
      </c>
      <c r="B1251">
        <v>484485</v>
      </c>
      <c r="C1251">
        <v>16</v>
      </c>
      <c r="D1251">
        <v>23</v>
      </c>
      <c r="E1251">
        <v>145</v>
      </c>
      <c r="F1251">
        <v>9</v>
      </c>
      <c r="G1251">
        <v>30</v>
      </c>
      <c r="H1251">
        <v>25</v>
      </c>
      <c r="I1251">
        <v>692</v>
      </c>
      <c r="J1251">
        <v>0</v>
      </c>
      <c r="K1251">
        <v>4.82</v>
      </c>
      <c r="L1251">
        <v>11.8</v>
      </c>
      <c r="M1251">
        <v>130.67500000000001</v>
      </c>
      <c r="N1251">
        <v>13.175000000000001</v>
      </c>
      <c r="O1251">
        <v>1670</v>
      </c>
      <c r="P1251">
        <v>0</v>
      </c>
      <c r="Q1251" s="5" t="e">
        <f>IF(AND(#REF!&gt;=table!$C$6,#REF!&lt;= table!$D$6),-1,IF(AND(#REF!&gt;=table!$E$6,#REF!&lt;=table!$F$6),1,0))</f>
        <v>#REF!</v>
      </c>
      <c r="R1251" s="5" t="e">
        <f>IF(AND(#REF!&gt;=table!$C$7,#REF!&lt;= table!$D$7),-1,IF(AND(#REF!&gt;=table!$E$7,#REF!&lt;=table!$F$7),1,0))</f>
        <v>#REF!</v>
      </c>
      <c r="S1251" s="5" t="e">
        <f>IF(AND(#REF!&gt;=table!$C$8,#REF!&lt;= table!$D$8),-1,IF(AND(#REF!&gt;=table!$E$8,#REF!&lt;=table!$F$8),1,0))</f>
        <v>#REF!</v>
      </c>
      <c r="T1251" s="5"/>
      <c r="U1251" s="5" t="e">
        <f>IF(AND(#REF!&gt;=table!$C$10,#REF!&lt;= table!$D$10),-1,IF(AND(#REF!&gt;=table!$E$10,#REF!&lt;=table!$F$10),1,0))</f>
        <v>#REF!</v>
      </c>
      <c r="V1251" s="5" t="e">
        <f>IF(AND(#REF!&gt;=table!$C$11,#REF!&lt;= table!$D$11),-1,IF(AND(#REF!&gt;=table!$E$11,#REF!&lt;=table!$F$11),1,0))</f>
        <v>#REF!</v>
      </c>
      <c r="W1251" s="5" t="e">
        <f>CONCATENATE(dados[[#This Row],[fator1]],dados[[#This Row],[fator5]],dados[[#This Row],[fator6]])</f>
        <v>#REF!</v>
      </c>
    </row>
    <row r="1252" spans="1:23">
      <c r="A1252" t="s">
        <v>16</v>
      </c>
      <c r="B1252">
        <v>484487</v>
      </c>
      <c r="C1252">
        <v>6</v>
      </c>
      <c r="D1252">
        <v>25</v>
      </c>
      <c r="E1252">
        <v>120</v>
      </c>
      <c r="F1252">
        <v>4</v>
      </c>
      <c r="G1252">
        <v>0</v>
      </c>
      <c r="H1252">
        <v>55</v>
      </c>
      <c r="I1252">
        <v>867</v>
      </c>
      <c r="J1252">
        <v>0</v>
      </c>
      <c r="K1252">
        <v>4</v>
      </c>
      <c r="L1252">
        <v>12.77</v>
      </c>
      <c r="M1252">
        <v>113.9</v>
      </c>
      <c r="N1252">
        <v>40.9</v>
      </c>
      <c r="O1252">
        <v>1678</v>
      </c>
      <c r="P1252">
        <v>1093</v>
      </c>
      <c r="Q1252" s="5" t="e">
        <f>IF(AND(#REF!&gt;=table!$C$6,#REF!&lt;= table!$D$6),-1,IF(AND(#REF!&gt;=table!$E$6,#REF!&lt;=table!$F$6),1,0))</f>
        <v>#REF!</v>
      </c>
      <c r="R1252" s="5" t="e">
        <f>IF(AND(#REF!&gt;=table!$C$7,#REF!&lt;= table!$D$7),-1,IF(AND(#REF!&gt;=table!$E$7,#REF!&lt;=table!$F$7),1,0))</f>
        <v>#REF!</v>
      </c>
      <c r="S1252" s="5" t="e">
        <f>IF(AND(#REF!&gt;=table!$C$8,#REF!&lt;= table!$D$8),-1,IF(AND(#REF!&gt;=table!$E$8,#REF!&lt;=table!$F$8),1,0))</f>
        <v>#REF!</v>
      </c>
      <c r="T1252" s="5"/>
      <c r="U1252" s="5" t="e">
        <f>IF(AND(#REF!&gt;=table!$C$10,#REF!&lt;= table!$D$10),-1,IF(AND(#REF!&gt;=table!$E$10,#REF!&lt;=table!$F$10),1,0))</f>
        <v>#REF!</v>
      </c>
      <c r="V1252" s="5" t="e">
        <f>IF(AND(#REF!&gt;=table!$C$11,#REF!&lt;= table!$D$11),-1,IF(AND(#REF!&gt;=table!$E$11,#REF!&lt;=table!$F$11),1,0))</f>
        <v>#REF!</v>
      </c>
      <c r="W1252" s="5" t="e">
        <f>CONCATENATE(dados[[#This Row],[fator1]],dados[[#This Row],[fator5]],dados[[#This Row],[fator6]])</f>
        <v>#REF!</v>
      </c>
    </row>
    <row r="1253" spans="1:23">
      <c r="A1253" t="s">
        <v>16</v>
      </c>
      <c r="B1253">
        <v>484489</v>
      </c>
      <c r="C1253">
        <v>6</v>
      </c>
      <c r="D1253">
        <v>25</v>
      </c>
      <c r="E1253">
        <v>120</v>
      </c>
      <c r="F1253">
        <v>4</v>
      </c>
      <c r="G1253">
        <v>0</v>
      </c>
      <c r="H1253">
        <v>55</v>
      </c>
      <c r="I1253">
        <v>773</v>
      </c>
      <c r="J1253">
        <v>0</v>
      </c>
      <c r="K1253">
        <v>6.2850000000000001</v>
      </c>
      <c r="L1253">
        <v>11.25</v>
      </c>
      <c r="M1253">
        <v>114.85000000000001</v>
      </c>
      <c r="N1253">
        <v>33.85</v>
      </c>
      <c r="O1253">
        <v>1677</v>
      </c>
      <c r="P1253">
        <v>874</v>
      </c>
      <c r="Q1253" s="5" t="e">
        <f>IF(AND(#REF!&gt;=table!$C$6,#REF!&lt;= table!$D$6),-1,IF(AND(#REF!&gt;=table!$E$6,#REF!&lt;=table!$F$6),1,0))</f>
        <v>#REF!</v>
      </c>
      <c r="R1253" s="5" t="e">
        <f>IF(AND(#REF!&gt;=table!$C$7,#REF!&lt;= table!$D$7),-1,IF(AND(#REF!&gt;=table!$E$7,#REF!&lt;=table!$F$7),1,0))</f>
        <v>#REF!</v>
      </c>
      <c r="S1253" s="5" t="e">
        <f>IF(AND(#REF!&gt;=table!$C$8,#REF!&lt;= table!$D$8),-1,IF(AND(#REF!&gt;=table!$E$8,#REF!&lt;=table!$F$8),1,0))</f>
        <v>#REF!</v>
      </c>
      <c r="T1253" s="5"/>
      <c r="U1253" s="5" t="e">
        <f>IF(AND(#REF!&gt;=table!$C$10,#REF!&lt;= table!$D$10),-1,IF(AND(#REF!&gt;=table!$E$10,#REF!&lt;=table!$F$10),1,0))</f>
        <v>#REF!</v>
      </c>
      <c r="V1253" s="5" t="e">
        <f>IF(AND(#REF!&gt;=table!$C$11,#REF!&lt;= table!$D$11),-1,IF(AND(#REF!&gt;=table!$E$11,#REF!&lt;=table!$F$11),1,0))</f>
        <v>#REF!</v>
      </c>
      <c r="W1253" s="5" t="e">
        <f>CONCATENATE(dados[[#This Row],[fator1]],dados[[#This Row],[fator5]],dados[[#This Row],[fator6]])</f>
        <v>#REF!</v>
      </c>
    </row>
    <row r="1254" spans="1:23">
      <c r="A1254" t="s">
        <v>16</v>
      </c>
      <c r="B1254">
        <v>484491</v>
      </c>
      <c r="C1254">
        <v>7</v>
      </c>
      <c r="D1254">
        <v>35</v>
      </c>
      <c r="E1254">
        <v>170</v>
      </c>
      <c r="F1254">
        <v>6</v>
      </c>
      <c r="G1254">
        <v>0</v>
      </c>
      <c r="H1254">
        <v>20</v>
      </c>
      <c r="I1254">
        <v>601</v>
      </c>
      <c r="J1254">
        <v>0</v>
      </c>
      <c r="K1254">
        <v>2.0699999999999998</v>
      </c>
      <c r="L1254">
        <v>5.15</v>
      </c>
      <c r="M1254">
        <v>140.45000000000002</v>
      </c>
      <c r="N1254">
        <v>10.55</v>
      </c>
      <c r="O1254">
        <v>1679</v>
      </c>
      <c r="P1254">
        <v>0</v>
      </c>
      <c r="Q1254" s="5" t="e">
        <f>IF(AND(#REF!&gt;=table!$C$6,#REF!&lt;= table!$D$6),-1,IF(AND(#REF!&gt;=table!$E$6,#REF!&lt;=table!$F$6),1,0))</f>
        <v>#REF!</v>
      </c>
      <c r="R1254" s="5" t="e">
        <f>IF(AND(#REF!&gt;=table!$C$7,#REF!&lt;= table!$D$7),-1,IF(AND(#REF!&gt;=table!$E$7,#REF!&lt;=table!$F$7),1,0))</f>
        <v>#REF!</v>
      </c>
      <c r="S1254" s="5" t="e">
        <f>IF(AND(#REF!&gt;=table!$C$8,#REF!&lt;= table!$D$8),-1,IF(AND(#REF!&gt;=table!$E$8,#REF!&lt;=table!$F$8),1,0))</f>
        <v>#REF!</v>
      </c>
      <c r="T1254" s="5"/>
      <c r="U1254" s="5" t="e">
        <f>IF(AND(#REF!&gt;=table!$C$10,#REF!&lt;= table!$D$10),-1,IF(AND(#REF!&gt;=table!$E$10,#REF!&lt;=table!$F$10),1,0))</f>
        <v>#REF!</v>
      </c>
      <c r="V1254" s="5" t="e">
        <f>IF(AND(#REF!&gt;=table!$C$11,#REF!&lt;= table!$D$11),-1,IF(AND(#REF!&gt;=table!$E$11,#REF!&lt;=table!$F$11),1,0))</f>
        <v>#REF!</v>
      </c>
      <c r="W1254" s="5" t="e">
        <f>CONCATENATE(dados[[#This Row],[fator1]],dados[[#This Row],[fator5]],dados[[#This Row],[fator6]])</f>
        <v>#REF!</v>
      </c>
    </row>
    <row r="1255" spans="1:23">
      <c r="A1255" t="s">
        <v>16</v>
      </c>
      <c r="B1255">
        <v>484492</v>
      </c>
      <c r="C1255">
        <v>12</v>
      </c>
      <c r="D1255">
        <v>35</v>
      </c>
      <c r="E1255">
        <v>180</v>
      </c>
      <c r="F1255">
        <v>6</v>
      </c>
      <c r="G1255">
        <v>0</v>
      </c>
      <c r="H1255">
        <v>20</v>
      </c>
      <c r="I1255">
        <v>576</v>
      </c>
      <c r="J1255">
        <v>0</v>
      </c>
      <c r="K1255">
        <v>2.85</v>
      </c>
      <c r="L1255">
        <v>6.5</v>
      </c>
      <c r="M1255">
        <v>148.85</v>
      </c>
      <c r="N1255">
        <v>10.55</v>
      </c>
      <c r="O1255">
        <v>1666</v>
      </c>
      <c r="P1255">
        <v>1213</v>
      </c>
      <c r="Q1255" s="5" t="e">
        <f>IF(AND(#REF!&gt;=table!$C$6,#REF!&lt;= table!$D$6),-1,IF(AND(#REF!&gt;=table!$E$6,#REF!&lt;=table!$F$6),1,0))</f>
        <v>#REF!</v>
      </c>
      <c r="R1255" s="5" t="e">
        <f>IF(AND(#REF!&gt;=table!$C$7,#REF!&lt;= table!$D$7),-1,IF(AND(#REF!&gt;=table!$E$7,#REF!&lt;=table!$F$7),1,0))</f>
        <v>#REF!</v>
      </c>
      <c r="S1255" s="5" t="e">
        <f>IF(AND(#REF!&gt;=table!$C$8,#REF!&lt;= table!$D$8),-1,IF(AND(#REF!&gt;=table!$E$8,#REF!&lt;=table!$F$8),1,0))</f>
        <v>#REF!</v>
      </c>
      <c r="T1255" s="5"/>
      <c r="U1255" s="5" t="e">
        <f>IF(AND(#REF!&gt;=table!$C$10,#REF!&lt;= table!$D$10),-1,IF(AND(#REF!&gt;=table!$E$10,#REF!&lt;=table!$F$10),1,0))</f>
        <v>#REF!</v>
      </c>
      <c r="V1255" s="5" t="e">
        <f>IF(AND(#REF!&gt;=table!$C$11,#REF!&lt;= table!$D$11),-1,IF(AND(#REF!&gt;=table!$E$11,#REF!&lt;=table!$F$11),1,0))</f>
        <v>#REF!</v>
      </c>
      <c r="W1255" s="5" t="e">
        <f>CONCATENATE(dados[[#This Row],[fator1]],dados[[#This Row],[fator5]],dados[[#This Row],[fator6]])</f>
        <v>#REF!</v>
      </c>
    </row>
    <row r="1256" spans="1:23">
      <c r="A1256" t="s">
        <v>16</v>
      </c>
      <c r="B1256">
        <v>484493</v>
      </c>
      <c r="C1256">
        <v>7</v>
      </c>
      <c r="D1256">
        <v>33</v>
      </c>
      <c r="E1256">
        <v>153</v>
      </c>
      <c r="F1256">
        <v>4</v>
      </c>
      <c r="G1256">
        <v>0</v>
      </c>
      <c r="H1256">
        <v>25</v>
      </c>
      <c r="I1256">
        <v>972</v>
      </c>
      <c r="J1256">
        <v>0</v>
      </c>
      <c r="K1256">
        <v>2.7550000000000003</v>
      </c>
      <c r="L1256">
        <v>3.9</v>
      </c>
      <c r="M1256">
        <v>144.75</v>
      </c>
      <c r="N1256">
        <v>9.2000000000000011</v>
      </c>
      <c r="O1256">
        <v>1675</v>
      </c>
      <c r="P1256">
        <v>0</v>
      </c>
      <c r="Q1256" s="5" t="e">
        <f>IF(AND(#REF!&gt;=table!$C$6,#REF!&lt;= table!$D$6),-1,IF(AND(#REF!&gt;=table!$E$6,#REF!&lt;=table!$F$6),1,0))</f>
        <v>#REF!</v>
      </c>
      <c r="R1256" s="5" t="e">
        <f>IF(AND(#REF!&gt;=table!$C$7,#REF!&lt;= table!$D$7),-1,IF(AND(#REF!&gt;=table!$E$7,#REF!&lt;=table!$F$7),1,0))</f>
        <v>#REF!</v>
      </c>
      <c r="S1256" s="5" t="e">
        <f>IF(AND(#REF!&gt;=table!$C$8,#REF!&lt;= table!$D$8),-1,IF(AND(#REF!&gt;=table!$E$8,#REF!&lt;=table!$F$8),1,0))</f>
        <v>#REF!</v>
      </c>
      <c r="T1256" s="5"/>
      <c r="U1256" s="5" t="e">
        <f>IF(AND(#REF!&gt;=table!$C$10,#REF!&lt;= table!$D$10),-1,IF(AND(#REF!&gt;=table!$E$10,#REF!&lt;=table!$F$10),1,0))</f>
        <v>#REF!</v>
      </c>
      <c r="V1256" s="5" t="e">
        <f>IF(AND(#REF!&gt;=table!$C$11,#REF!&lt;= table!$D$11),-1,IF(AND(#REF!&gt;=table!$E$11,#REF!&lt;=table!$F$11),1,0))</f>
        <v>#REF!</v>
      </c>
      <c r="W1256" s="5" t="e">
        <f>CONCATENATE(dados[[#This Row],[fator1]],dados[[#This Row],[fator5]],dados[[#This Row],[fator6]])</f>
        <v>#REF!</v>
      </c>
    </row>
    <row r="1257" spans="1:23">
      <c r="A1257" t="s">
        <v>16</v>
      </c>
      <c r="B1257">
        <v>484497</v>
      </c>
      <c r="C1257">
        <v>0.15</v>
      </c>
      <c r="D1257">
        <v>40</v>
      </c>
      <c r="E1257">
        <v>10</v>
      </c>
      <c r="F1257">
        <v>15</v>
      </c>
      <c r="G1257">
        <v>0</v>
      </c>
      <c r="H1257">
        <v>15</v>
      </c>
      <c r="I1257">
        <v>77</v>
      </c>
      <c r="J1257">
        <v>0</v>
      </c>
      <c r="K1257">
        <v>2.91</v>
      </c>
      <c r="L1257">
        <v>9.1449999999999996</v>
      </c>
      <c r="M1257">
        <v>8.3350000000000009</v>
      </c>
      <c r="N1257">
        <v>7.9</v>
      </c>
      <c r="O1257">
        <v>1655</v>
      </c>
      <c r="P1257">
        <v>0</v>
      </c>
      <c r="Q1257" s="5" t="e">
        <f>IF(AND(#REF!&gt;=table!$C$6,#REF!&lt;= table!$D$6),-1,IF(AND(#REF!&gt;=table!$E$6,#REF!&lt;=table!$F$6),1,0))</f>
        <v>#REF!</v>
      </c>
      <c r="R1257" s="5" t="e">
        <f>IF(AND(#REF!&gt;=table!$C$7,#REF!&lt;= table!$D$7),-1,IF(AND(#REF!&gt;=table!$E$7,#REF!&lt;=table!$F$7),1,0))</f>
        <v>#REF!</v>
      </c>
      <c r="S1257" s="5" t="e">
        <f>IF(AND(#REF!&gt;=table!$C$8,#REF!&lt;= table!$D$8),-1,IF(AND(#REF!&gt;=table!$E$8,#REF!&lt;=table!$F$8),1,0))</f>
        <v>#REF!</v>
      </c>
      <c r="T1257" s="5"/>
      <c r="U1257" s="5" t="e">
        <f>IF(AND(#REF!&gt;=table!$C$10,#REF!&lt;= table!$D$10),-1,IF(AND(#REF!&gt;=table!$E$10,#REF!&lt;=table!$F$10),1,0))</f>
        <v>#REF!</v>
      </c>
      <c r="V1257" s="5" t="e">
        <f>IF(AND(#REF!&gt;=table!$C$11,#REF!&lt;= table!$D$11),-1,IF(AND(#REF!&gt;=table!$E$11,#REF!&lt;=table!$F$11),1,0))</f>
        <v>#REF!</v>
      </c>
      <c r="W1257" s="5" t="e">
        <f>CONCATENATE(dados[[#This Row],[fator1]],dados[[#This Row],[fator5]],dados[[#This Row],[fator6]])</f>
        <v>#REF!</v>
      </c>
    </row>
    <row r="1258" spans="1:23">
      <c r="A1258" t="s">
        <v>16</v>
      </c>
      <c r="B1258">
        <v>484501</v>
      </c>
      <c r="C1258">
        <v>9</v>
      </c>
      <c r="D1258">
        <v>30</v>
      </c>
      <c r="E1258">
        <v>146</v>
      </c>
      <c r="F1258">
        <v>4</v>
      </c>
      <c r="G1258">
        <v>0</v>
      </c>
      <c r="H1258">
        <v>25</v>
      </c>
      <c r="I1258">
        <v>1315</v>
      </c>
      <c r="J1258">
        <v>0</v>
      </c>
      <c r="K1258">
        <v>5.6950000000000003</v>
      </c>
      <c r="L1258">
        <v>10</v>
      </c>
      <c r="M1258">
        <v>111.13500000000001</v>
      </c>
      <c r="N1258">
        <v>12.08</v>
      </c>
      <c r="O1258">
        <v>1668</v>
      </c>
      <c r="P1258">
        <v>551</v>
      </c>
      <c r="Q1258" s="5" t="e">
        <f>IF(AND(#REF!&gt;=table!$C$6,#REF!&lt;= table!$D$6),-1,IF(AND(#REF!&gt;=table!$E$6,#REF!&lt;=table!$F$6),1,0))</f>
        <v>#REF!</v>
      </c>
      <c r="R1258" s="5" t="e">
        <f>IF(AND(#REF!&gt;=table!$C$7,#REF!&lt;= table!$D$7),-1,IF(AND(#REF!&gt;=table!$E$7,#REF!&lt;=table!$F$7),1,0))</f>
        <v>#REF!</v>
      </c>
      <c r="S1258" s="5" t="e">
        <f>IF(AND(#REF!&gt;=table!$C$8,#REF!&lt;= table!$D$8),-1,IF(AND(#REF!&gt;=table!$E$8,#REF!&lt;=table!$F$8),1,0))</f>
        <v>#REF!</v>
      </c>
      <c r="T1258" s="5"/>
      <c r="U1258" s="5" t="e">
        <f>IF(AND(#REF!&gt;=table!$C$10,#REF!&lt;= table!$D$10),-1,IF(AND(#REF!&gt;=table!$E$10,#REF!&lt;=table!$F$10),1,0))</f>
        <v>#REF!</v>
      </c>
      <c r="V1258" s="5" t="e">
        <f>IF(AND(#REF!&gt;=table!$C$11,#REF!&lt;= table!$D$11),-1,IF(AND(#REF!&gt;=table!$E$11,#REF!&lt;=table!$F$11),1,0))</f>
        <v>#REF!</v>
      </c>
      <c r="W1258" s="5" t="e">
        <f>CONCATENATE(dados[[#This Row],[fator1]],dados[[#This Row],[fator5]],dados[[#This Row],[fator6]])</f>
        <v>#REF!</v>
      </c>
    </row>
    <row r="1259" spans="1:23">
      <c r="A1259" t="s">
        <v>16</v>
      </c>
      <c r="B1259">
        <v>484504</v>
      </c>
      <c r="C1259">
        <v>8</v>
      </c>
      <c r="D1259">
        <v>30</v>
      </c>
      <c r="E1259">
        <v>61</v>
      </c>
      <c r="F1259">
        <v>8</v>
      </c>
      <c r="G1259">
        <v>0</v>
      </c>
      <c r="H1259">
        <v>25</v>
      </c>
      <c r="I1259">
        <v>719</v>
      </c>
      <c r="J1259">
        <v>0</v>
      </c>
      <c r="K1259">
        <v>3.27</v>
      </c>
      <c r="L1259">
        <v>10.195</v>
      </c>
      <c r="M1259">
        <v>45.475000000000001</v>
      </c>
      <c r="N1259">
        <v>11.735000000000001</v>
      </c>
      <c r="O1259">
        <v>1647</v>
      </c>
      <c r="P1259">
        <v>961</v>
      </c>
      <c r="Q1259" s="5" t="e">
        <f>IF(AND(#REF!&gt;=table!$C$6,#REF!&lt;= table!$D$6),-1,IF(AND(#REF!&gt;=table!$E$6,#REF!&lt;=table!$F$6),1,0))</f>
        <v>#REF!</v>
      </c>
      <c r="R1259" s="5" t="e">
        <f>IF(AND(#REF!&gt;=table!$C$7,#REF!&lt;= table!$D$7),-1,IF(AND(#REF!&gt;=table!$E$7,#REF!&lt;=table!$F$7),1,0))</f>
        <v>#REF!</v>
      </c>
      <c r="S1259" s="5" t="e">
        <f>IF(AND(#REF!&gt;=table!$C$8,#REF!&lt;= table!$D$8),-1,IF(AND(#REF!&gt;=table!$E$8,#REF!&lt;=table!$F$8),1,0))</f>
        <v>#REF!</v>
      </c>
      <c r="T1259" s="5"/>
      <c r="U1259" s="5" t="e">
        <f>IF(AND(#REF!&gt;=table!$C$10,#REF!&lt;= table!$D$10),-1,IF(AND(#REF!&gt;=table!$E$10,#REF!&lt;=table!$F$10),1,0))</f>
        <v>#REF!</v>
      </c>
      <c r="V1259" s="5" t="e">
        <f>IF(AND(#REF!&gt;=table!$C$11,#REF!&lt;= table!$D$11),-1,IF(AND(#REF!&gt;=table!$E$11,#REF!&lt;=table!$F$11),1,0))</f>
        <v>#REF!</v>
      </c>
      <c r="W1259" s="5" t="e">
        <f>CONCATENATE(dados[[#This Row],[fator1]],dados[[#This Row],[fator5]],dados[[#This Row],[fator6]])</f>
        <v>#REF!</v>
      </c>
    </row>
    <row r="1260" spans="1:23">
      <c r="A1260" t="s">
        <v>16</v>
      </c>
      <c r="B1260">
        <v>484508</v>
      </c>
      <c r="C1260">
        <v>6</v>
      </c>
      <c r="D1260">
        <v>25</v>
      </c>
      <c r="E1260">
        <v>120</v>
      </c>
      <c r="F1260">
        <v>4</v>
      </c>
      <c r="G1260">
        <v>0</v>
      </c>
      <c r="H1260">
        <v>55</v>
      </c>
      <c r="I1260">
        <v>367</v>
      </c>
      <c r="J1260">
        <v>0</v>
      </c>
      <c r="K1260">
        <v>2.3050000000000002</v>
      </c>
      <c r="L1260">
        <v>4.95</v>
      </c>
      <c r="M1260">
        <v>90.25</v>
      </c>
      <c r="N1260">
        <v>32.1</v>
      </c>
      <c r="O1260">
        <v>1681</v>
      </c>
      <c r="P1260">
        <v>1397</v>
      </c>
      <c r="Q1260" s="5" t="e">
        <f>IF(AND(#REF!&gt;=table!$C$6,#REF!&lt;= table!$D$6),-1,IF(AND(#REF!&gt;=table!$E$6,#REF!&lt;=table!$F$6),1,0))</f>
        <v>#REF!</v>
      </c>
      <c r="R1260" s="5" t="e">
        <f>IF(AND(#REF!&gt;=table!$C$7,#REF!&lt;= table!$D$7),-1,IF(AND(#REF!&gt;=table!$E$7,#REF!&lt;=table!$F$7),1,0))</f>
        <v>#REF!</v>
      </c>
      <c r="S1260" s="5" t="e">
        <f>IF(AND(#REF!&gt;=table!$C$8,#REF!&lt;= table!$D$8),-1,IF(AND(#REF!&gt;=table!$E$8,#REF!&lt;=table!$F$8),1,0))</f>
        <v>#REF!</v>
      </c>
      <c r="T1260" s="5"/>
      <c r="U1260" s="5" t="e">
        <f>IF(AND(#REF!&gt;=table!$C$10,#REF!&lt;= table!$D$10),-1,IF(AND(#REF!&gt;=table!$E$10,#REF!&lt;=table!$F$10),1,0))</f>
        <v>#REF!</v>
      </c>
      <c r="V1260" s="5" t="e">
        <f>IF(AND(#REF!&gt;=table!$C$11,#REF!&lt;= table!$D$11),-1,IF(AND(#REF!&gt;=table!$E$11,#REF!&lt;=table!$F$11),1,0))</f>
        <v>#REF!</v>
      </c>
      <c r="W1260" s="5" t="e">
        <f>CONCATENATE(dados[[#This Row],[fator1]],dados[[#This Row],[fator5]],dados[[#This Row],[fator6]])</f>
        <v>#REF!</v>
      </c>
    </row>
    <row r="1261" spans="1:23">
      <c r="A1261" t="s">
        <v>16</v>
      </c>
      <c r="B1261">
        <v>484510</v>
      </c>
      <c r="C1261">
        <v>6</v>
      </c>
      <c r="D1261">
        <v>25</v>
      </c>
      <c r="E1261">
        <v>120</v>
      </c>
      <c r="F1261">
        <v>4</v>
      </c>
      <c r="G1261">
        <v>0</v>
      </c>
      <c r="H1261">
        <v>55</v>
      </c>
      <c r="I1261">
        <v>47</v>
      </c>
      <c r="J1261">
        <v>1030</v>
      </c>
      <c r="K1261">
        <v>2.5150000000000001</v>
      </c>
      <c r="L1261">
        <v>5.5</v>
      </c>
      <c r="M1261">
        <v>103.15</v>
      </c>
      <c r="N1261">
        <v>37.950000000000003</v>
      </c>
      <c r="O1261">
        <v>1589</v>
      </c>
      <c r="P1261">
        <v>0</v>
      </c>
      <c r="Q1261" s="5" t="e">
        <f>IF(AND(#REF!&gt;=table!$C$6,#REF!&lt;= table!$D$6),-1,IF(AND(#REF!&gt;=table!$E$6,#REF!&lt;=table!$F$6),1,0))</f>
        <v>#REF!</v>
      </c>
      <c r="R1261" s="5" t="e">
        <f>IF(AND(#REF!&gt;=table!$C$7,#REF!&lt;= table!$D$7),-1,IF(AND(#REF!&gt;=table!$E$7,#REF!&lt;=table!$F$7),1,0))</f>
        <v>#REF!</v>
      </c>
      <c r="S1261" s="5" t="e">
        <f>IF(AND(#REF!&gt;=table!$C$8,#REF!&lt;= table!$D$8),-1,IF(AND(#REF!&gt;=table!$E$8,#REF!&lt;=table!$F$8),1,0))</f>
        <v>#REF!</v>
      </c>
      <c r="T1261" s="5"/>
      <c r="U1261" s="5" t="e">
        <f>IF(AND(#REF!&gt;=table!$C$10,#REF!&lt;= table!$D$10),-1,IF(AND(#REF!&gt;=table!$E$10,#REF!&lt;=table!$F$10),1,0))</f>
        <v>#REF!</v>
      </c>
      <c r="V1261" s="5" t="e">
        <f>IF(AND(#REF!&gt;=table!$C$11,#REF!&lt;= table!$D$11),-1,IF(AND(#REF!&gt;=table!$E$11,#REF!&lt;=table!$F$11),1,0))</f>
        <v>#REF!</v>
      </c>
      <c r="W1261" s="5" t="e">
        <f>CONCATENATE(dados[[#This Row],[fator1]],dados[[#This Row],[fator5]],dados[[#This Row],[fator6]])</f>
        <v>#REF!</v>
      </c>
    </row>
    <row r="1262" spans="1:23">
      <c r="A1262" t="s">
        <v>16</v>
      </c>
      <c r="B1262">
        <v>484511</v>
      </c>
      <c r="C1262">
        <v>6</v>
      </c>
      <c r="D1262">
        <v>25</v>
      </c>
      <c r="E1262">
        <v>120</v>
      </c>
      <c r="F1262">
        <v>4</v>
      </c>
      <c r="G1262">
        <v>0</v>
      </c>
      <c r="H1262">
        <v>55</v>
      </c>
      <c r="I1262">
        <v>0</v>
      </c>
      <c r="J1262">
        <v>0</v>
      </c>
      <c r="K1262">
        <v>1.9550000000000001</v>
      </c>
      <c r="L1262">
        <v>5.05</v>
      </c>
      <c r="M1262">
        <v>108.4</v>
      </c>
      <c r="N1262">
        <v>34.4</v>
      </c>
      <c r="O1262">
        <v>1678</v>
      </c>
      <c r="P1262">
        <v>0</v>
      </c>
      <c r="Q1262" s="5" t="e">
        <f>IF(AND(#REF!&gt;=table!$C$6,#REF!&lt;= table!$D$6),-1,IF(AND(#REF!&gt;=table!$E$6,#REF!&lt;=table!$F$6),1,0))</f>
        <v>#REF!</v>
      </c>
      <c r="R1262" s="5" t="e">
        <f>IF(AND(#REF!&gt;=table!$C$7,#REF!&lt;= table!$D$7),-1,IF(AND(#REF!&gt;=table!$E$7,#REF!&lt;=table!$F$7),1,0))</f>
        <v>#REF!</v>
      </c>
      <c r="S1262" s="5" t="e">
        <f>IF(AND(#REF!&gt;=table!$C$8,#REF!&lt;= table!$D$8),-1,IF(AND(#REF!&gt;=table!$E$8,#REF!&lt;=table!$F$8),1,0))</f>
        <v>#REF!</v>
      </c>
      <c r="T1262" s="5"/>
      <c r="U1262" s="5" t="e">
        <f>IF(AND(#REF!&gt;=table!$C$10,#REF!&lt;= table!$D$10),-1,IF(AND(#REF!&gt;=table!$E$10,#REF!&lt;=table!$F$10),1,0))</f>
        <v>#REF!</v>
      </c>
      <c r="V1262" s="5" t="e">
        <f>IF(AND(#REF!&gt;=table!$C$11,#REF!&lt;= table!$D$11),-1,IF(AND(#REF!&gt;=table!$E$11,#REF!&lt;=table!$F$11),1,0))</f>
        <v>#REF!</v>
      </c>
      <c r="W1262" s="5" t="e">
        <f>CONCATENATE(dados[[#This Row],[fator1]],dados[[#This Row],[fator5]],dados[[#This Row],[fator6]])</f>
        <v>#REF!</v>
      </c>
    </row>
    <row r="1263" spans="1:23">
      <c r="A1263" t="s">
        <v>17</v>
      </c>
      <c r="B1263">
        <v>484514</v>
      </c>
      <c r="C1263">
        <v>18</v>
      </c>
      <c r="D1263">
        <v>23</v>
      </c>
      <c r="E1263">
        <v>145</v>
      </c>
      <c r="F1263">
        <v>9</v>
      </c>
      <c r="G1263">
        <v>30</v>
      </c>
      <c r="H1263">
        <v>25</v>
      </c>
      <c r="I1263">
        <v>0</v>
      </c>
      <c r="J1263">
        <v>0</v>
      </c>
      <c r="K1263">
        <v>3.17</v>
      </c>
      <c r="L1263">
        <v>7.55</v>
      </c>
      <c r="M1263">
        <v>139.27500000000001</v>
      </c>
      <c r="N1263">
        <v>10.130000000000001</v>
      </c>
      <c r="O1263">
        <v>1696</v>
      </c>
      <c r="P1263">
        <v>0</v>
      </c>
      <c r="Q1263" s="5" t="e">
        <f>IF(AND(#REF!&gt;=table!$C$6,#REF!&lt;= table!$D$6),-1,IF(AND(#REF!&gt;=table!$E$6,#REF!&lt;=table!$F$6),1,0))</f>
        <v>#REF!</v>
      </c>
      <c r="R1263" s="5" t="e">
        <f>IF(AND(#REF!&gt;=table!$C$7,#REF!&lt;= table!$D$7),-1,IF(AND(#REF!&gt;=table!$E$7,#REF!&lt;=table!$F$7),1,0))</f>
        <v>#REF!</v>
      </c>
      <c r="S1263" s="5" t="e">
        <f>IF(AND(#REF!&gt;=table!$C$8,#REF!&lt;= table!$D$8),-1,IF(AND(#REF!&gt;=table!$E$8,#REF!&lt;=table!$F$8),1,0))</f>
        <v>#REF!</v>
      </c>
      <c r="T1263" s="5"/>
      <c r="U1263" s="5" t="e">
        <f>IF(AND(#REF!&gt;=table!$C$10,#REF!&lt;= table!$D$10),-1,IF(AND(#REF!&gt;=table!$E$10,#REF!&lt;=table!$F$10),1,0))</f>
        <v>#REF!</v>
      </c>
      <c r="V1263" s="5" t="e">
        <f>IF(AND(#REF!&gt;=table!$C$11,#REF!&lt;= table!$D$11),-1,IF(AND(#REF!&gt;=table!$E$11,#REF!&lt;=table!$F$11),1,0))</f>
        <v>#REF!</v>
      </c>
      <c r="W1263" s="5" t="e">
        <f>CONCATENATE(dados[[#This Row],[fator1]],dados[[#This Row],[fator5]],dados[[#This Row],[fator6]])</f>
        <v>#REF!</v>
      </c>
    </row>
    <row r="1264" spans="1:23">
      <c r="A1264" t="s">
        <v>17</v>
      </c>
      <c r="B1264">
        <v>484520</v>
      </c>
      <c r="C1264">
        <v>12</v>
      </c>
      <c r="D1264">
        <v>33</v>
      </c>
      <c r="E1264">
        <v>36</v>
      </c>
      <c r="F1264">
        <v>10</v>
      </c>
      <c r="G1264">
        <v>20</v>
      </c>
      <c r="H1264">
        <v>25</v>
      </c>
      <c r="I1264">
        <v>971</v>
      </c>
      <c r="J1264">
        <v>0</v>
      </c>
      <c r="K1264">
        <v>3.5500000000000003</v>
      </c>
      <c r="L1264">
        <v>8.07</v>
      </c>
      <c r="M1264">
        <v>32.299999999999997</v>
      </c>
      <c r="N1264">
        <v>10.050000000000001</v>
      </c>
      <c r="O1264">
        <v>1659</v>
      </c>
      <c r="P1264">
        <v>1016</v>
      </c>
      <c r="Q1264" s="5" t="e">
        <f>IF(AND(#REF!&gt;=table!$C$6,#REF!&lt;= table!$D$6),-1,IF(AND(#REF!&gt;=table!$E$6,#REF!&lt;=table!$F$6),1,0))</f>
        <v>#REF!</v>
      </c>
      <c r="R1264" s="5" t="e">
        <f>IF(AND(#REF!&gt;=table!$C$7,#REF!&lt;= table!$D$7),-1,IF(AND(#REF!&gt;=table!$E$7,#REF!&lt;=table!$F$7),1,0))</f>
        <v>#REF!</v>
      </c>
      <c r="S1264" s="5" t="e">
        <f>IF(AND(#REF!&gt;=table!$C$8,#REF!&lt;= table!$D$8),-1,IF(AND(#REF!&gt;=table!$E$8,#REF!&lt;=table!$F$8),1,0))</f>
        <v>#REF!</v>
      </c>
      <c r="T1264" s="5"/>
      <c r="U1264" s="5" t="e">
        <f>IF(AND(#REF!&gt;=table!$C$10,#REF!&lt;= table!$D$10),-1,IF(AND(#REF!&gt;=table!$E$10,#REF!&lt;=table!$F$10),1,0))</f>
        <v>#REF!</v>
      </c>
      <c r="V1264" s="5" t="e">
        <f>IF(AND(#REF!&gt;=table!$C$11,#REF!&lt;= table!$D$11),-1,IF(AND(#REF!&gt;=table!$E$11,#REF!&lt;=table!$F$11),1,0))</f>
        <v>#REF!</v>
      </c>
      <c r="W1264" s="5" t="e">
        <f>CONCATENATE(dados[[#This Row],[fator1]],dados[[#This Row],[fator5]],dados[[#This Row],[fator6]])</f>
        <v>#REF!</v>
      </c>
    </row>
    <row r="1265" spans="1:23">
      <c r="A1265" t="s">
        <v>17</v>
      </c>
      <c r="B1265">
        <v>484524</v>
      </c>
      <c r="C1265">
        <v>20</v>
      </c>
      <c r="D1265">
        <v>33</v>
      </c>
      <c r="E1265">
        <v>66</v>
      </c>
      <c r="F1265">
        <v>4</v>
      </c>
      <c r="G1265">
        <v>20</v>
      </c>
      <c r="H1265">
        <v>25</v>
      </c>
      <c r="I1265">
        <v>0</v>
      </c>
      <c r="J1265">
        <v>0</v>
      </c>
      <c r="K1265">
        <v>4.6349999999999998</v>
      </c>
      <c r="L1265">
        <v>14.9</v>
      </c>
      <c r="M1265">
        <v>60.050000000000004</v>
      </c>
      <c r="N1265">
        <v>16.399999999999999</v>
      </c>
      <c r="O1265">
        <v>1639</v>
      </c>
      <c r="P1265">
        <v>693</v>
      </c>
      <c r="Q1265" s="5" t="e">
        <f>IF(AND(#REF!&gt;=table!$C$6,#REF!&lt;= table!$D$6),-1,IF(AND(#REF!&gt;=table!$E$6,#REF!&lt;=table!$F$6),1,0))</f>
        <v>#REF!</v>
      </c>
      <c r="R1265" s="5" t="e">
        <f>IF(AND(#REF!&gt;=table!$C$7,#REF!&lt;= table!$D$7),-1,IF(AND(#REF!&gt;=table!$E$7,#REF!&lt;=table!$F$7),1,0))</f>
        <v>#REF!</v>
      </c>
      <c r="S1265" s="5" t="e">
        <f>IF(AND(#REF!&gt;=table!$C$8,#REF!&lt;= table!$D$8),-1,IF(AND(#REF!&gt;=table!$E$8,#REF!&lt;=table!$F$8),1,0))</f>
        <v>#REF!</v>
      </c>
      <c r="T1265" s="5"/>
      <c r="U1265" s="5" t="e">
        <f>IF(AND(#REF!&gt;=table!$C$10,#REF!&lt;= table!$D$10),-1,IF(AND(#REF!&gt;=table!$E$10,#REF!&lt;=table!$F$10),1,0))</f>
        <v>#REF!</v>
      </c>
      <c r="V1265" s="5" t="e">
        <f>IF(AND(#REF!&gt;=table!$C$11,#REF!&lt;= table!$D$11),-1,IF(AND(#REF!&gt;=table!$E$11,#REF!&lt;=table!$F$11),1,0))</f>
        <v>#REF!</v>
      </c>
      <c r="W1265" s="5" t="e">
        <f>CONCATENATE(dados[[#This Row],[fator1]],dados[[#This Row],[fator5]],dados[[#This Row],[fator6]])</f>
        <v>#REF!</v>
      </c>
    </row>
    <row r="1266" spans="1:23">
      <c r="A1266" t="s">
        <v>17</v>
      </c>
      <c r="B1266">
        <v>484526</v>
      </c>
      <c r="C1266">
        <v>20</v>
      </c>
      <c r="D1266">
        <v>33</v>
      </c>
      <c r="E1266">
        <v>66</v>
      </c>
      <c r="F1266">
        <v>4</v>
      </c>
      <c r="G1266">
        <v>20</v>
      </c>
      <c r="H1266">
        <v>25</v>
      </c>
      <c r="I1266">
        <v>43</v>
      </c>
      <c r="J1266">
        <v>1030</v>
      </c>
      <c r="K1266">
        <v>5.07</v>
      </c>
      <c r="L1266">
        <v>18.245000000000001</v>
      </c>
      <c r="M1266">
        <v>83.95</v>
      </c>
      <c r="N1266">
        <v>19.05</v>
      </c>
      <c r="O1266">
        <v>1673</v>
      </c>
      <c r="P1266">
        <v>769</v>
      </c>
      <c r="Q1266" s="5" t="e">
        <f>IF(AND(#REF!&gt;=table!$C$6,#REF!&lt;= table!$D$6),-1,IF(AND(#REF!&gt;=table!$E$6,#REF!&lt;=table!$F$6),1,0))</f>
        <v>#REF!</v>
      </c>
      <c r="R1266" s="5" t="e">
        <f>IF(AND(#REF!&gt;=table!$C$7,#REF!&lt;= table!$D$7),-1,IF(AND(#REF!&gt;=table!$E$7,#REF!&lt;=table!$F$7),1,0))</f>
        <v>#REF!</v>
      </c>
      <c r="S1266" s="5" t="e">
        <f>IF(AND(#REF!&gt;=table!$C$8,#REF!&lt;= table!$D$8),-1,IF(AND(#REF!&gt;=table!$E$8,#REF!&lt;=table!$F$8),1,0))</f>
        <v>#REF!</v>
      </c>
      <c r="T1266" s="5"/>
      <c r="U1266" s="5" t="e">
        <f>IF(AND(#REF!&gt;=table!$C$10,#REF!&lt;= table!$D$10),-1,IF(AND(#REF!&gt;=table!$E$10,#REF!&lt;=table!$F$10),1,0))</f>
        <v>#REF!</v>
      </c>
      <c r="V1266" s="5" t="e">
        <f>IF(AND(#REF!&gt;=table!$C$11,#REF!&lt;= table!$D$11),-1,IF(AND(#REF!&gt;=table!$E$11,#REF!&lt;=table!$F$11),1,0))</f>
        <v>#REF!</v>
      </c>
      <c r="W1266" s="5" t="e">
        <f>CONCATENATE(dados[[#This Row],[fator1]],dados[[#This Row],[fator5]],dados[[#This Row],[fator6]])</f>
        <v>#REF!</v>
      </c>
    </row>
    <row r="1267" spans="1:23">
      <c r="A1267" t="s">
        <v>16</v>
      </c>
      <c r="B1267">
        <v>484535</v>
      </c>
      <c r="C1267">
        <v>0.15</v>
      </c>
      <c r="D1267">
        <v>40</v>
      </c>
      <c r="E1267">
        <v>64</v>
      </c>
      <c r="F1267">
        <v>10</v>
      </c>
      <c r="G1267">
        <v>0</v>
      </c>
      <c r="H1267">
        <v>35</v>
      </c>
      <c r="I1267">
        <v>230</v>
      </c>
      <c r="J1267">
        <v>0</v>
      </c>
      <c r="K1267">
        <v>3.0550000000000002</v>
      </c>
      <c r="L1267">
        <v>7.8500000000000005</v>
      </c>
      <c r="M1267">
        <v>7.15</v>
      </c>
      <c r="N1267">
        <v>9.5</v>
      </c>
      <c r="O1267">
        <v>1668</v>
      </c>
      <c r="P1267">
        <v>0</v>
      </c>
      <c r="Q1267" s="5" t="e">
        <f>IF(AND(#REF!&gt;=table!$C$6,#REF!&lt;= table!$D$6),-1,IF(AND(#REF!&gt;=table!$E$6,#REF!&lt;=table!$F$6),1,0))</f>
        <v>#REF!</v>
      </c>
      <c r="R1267" s="5" t="e">
        <f>IF(AND(#REF!&gt;=table!$C$7,#REF!&lt;= table!$D$7),-1,IF(AND(#REF!&gt;=table!$E$7,#REF!&lt;=table!$F$7),1,0))</f>
        <v>#REF!</v>
      </c>
      <c r="S1267" s="5" t="e">
        <f>IF(AND(#REF!&gt;=table!$C$8,#REF!&lt;= table!$D$8),-1,IF(AND(#REF!&gt;=table!$E$8,#REF!&lt;=table!$F$8),1,0))</f>
        <v>#REF!</v>
      </c>
      <c r="T1267" s="5"/>
      <c r="U1267" s="5" t="e">
        <f>IF(AND(#REF!&gt;=table!$C$10,#REF!&lt;= table!$D$10),-1,IF(AND(#REF!&gt;=table!$E$10,#REF!&lt;=table!$F$10),1,0))</f>
        <v>#REF!</v>
      </c>
      <c r="V1267" s="5" t="e">
        <f>IF(AND(#REF!&gt;=table!$C$11,#REF!&lt;= table!$D$11),-1,IF(AND(#REF!&gt;=table!$E$11,#REF!&lt;=table!$F$11),1,0))</f>
        <v>#REF!</v>
      </c>
      <c r="W1267" s="5" t="e">
        <f>CONCATENATE(dados[[#This Row],[fator1]],dados[[#This Row],[fator5]],dados[[#This Row],[fator6]])</f>
        <v>#REF!</v>
      </c>
    </row>
    <row r="1268" spans="1:23">
      <c r="A1268" t="s">
        <v>17</v>
      </c>
      <c r="B1268">
        <v>484538</v>
      </c>
      <c r="C1268">
        <v>17</v>
      </c>
      <c r="D1268">
        <v>35</v>
      </c>
      <c r="E1268">
        <v>140</v>
      </c>
      <c r="F1268">
        <v>4</v>
      </c>
      <c r="G1268">
        <v>30</v>
      </c>
      <c r="H1268">
        <v>25</v>
      </c>
      <c r="I1268">
        <v>1428</v>
      </c>
      <c r="J1268">
        <v>0</v>
      </c>
      <c r="K1268">
        <v>5.05</v>
      </c>
      <c r="L1268">
        <v>7.71</v>
      </c>
      <c r="M1268">
        <v>101.8</v>
      </c>
      <c r="N1268">
        <v>13.25</v>
      </c>
      <c r="O1268">
        <v>1660</v>
      </c>
      <c r="P1268">
        <v>910</v>
      </c>
      <c r="Q1268" s="5" t="e">
        <f>IF(AND(#REF!&gt;=table!$C$6,#REF!&lt;= table!$D$6),-1,IF(AND(#REF!&gt;=table!$E$6,#REF!&lt;=table!$F$6),1,0))</f>
        <v>#REF!</v>
      </c>
      <c r="R1268" s="5" t="e">
        <f>IF(AND(#REF!&gt;=table!$C$7,#REF!&lt;= table!$D$7),-1,IF(AND(#REF!&gt;=table!$E$7,#REF!&lt;=table!$F$7),1,0))</f>
        <v>#REF!</v>
      </c>
      <c r="S1268" s="5" t="e">
        <f>IF(AND(#REF!&gt;=table!$C$8,#REF!&lt;= table!$D$8),-1,IF(AND(#REF!&gt;=table!$E$8,#REF!&lt;=table!$F$8),1,0))</f>
        <v>#REF!</v>
      </c>
      <c r="T1268" s="5"/>
      <c r="U1268" s="5" t="e">
        <f>IF(AND(#REF!&gt;=table!$C$10,#REF!&lt;= table!$D$10),-1,IF(AND(#REF!&gt;=table!$E$10,#REF!&lt;=table!$F$10),1,0))</f>
        <v>#REF!</v>
      </c>
      <c r="V1268" s="5" t="e">
        <f>IF(AND(#REF!&gt;=table!$C$11,#REF!&lt;= table!$D$11),-1,IF(AND(#REF!&gt;=table!$E$11,#REF!&lt;=table!$F$11),1,0))</f>
        <v>#REF!</v>
      </c>
      <c r="W1268" s="5" t="e">
        <f>CONCATENATE(dados[[#This Row],[fator1]],dados[[#This Row],[fator5]],dados[[#This Row],[fator6]])</f>
        <v>#REF!</v>
      </c>
    </row>
    <row r="1269" spans="1:23">
      <c r="A1269" t="s">
        <v>17</v>
      </c>
      <c r="B1269">
        <v>484546</v>
      </c>
      <c r="C1269">
        <v>0.15</v>
      </c>
      <c r="D1269">
        <v>40</v>
      </c>
      <c r="E1269">
        <v>105</v>
      </c>
      <c r="F1269">
        <v>10</v>
      </c>
      <c r="G1269">
        <v>10</v>
      </c>
      <c r="H1269">
        <v>80</v>
      </c>
      <c r="I1269">
        <v>52</v>
      </c>
      <c r="J1269">
        <v>0</v>
      </c>
      <c r="K1269">
        <v>7.94</v>
      </c>
      <c r="L1269">
        <v>25.1</v>
      </c>
      <c r="M1269">
        <v>22.150000000000002</v>
      </c>
      <c r="N1269">
        <v>45.300000000000004</v>
      </c>
      <c r="O1269">
        <v>1680</v>
      </c>
      <c r="P1269">
        <v>0</v>
      </c>
      <c r="Q1269" s="5" t="e">
        <f>IF(AND(#REF!&gt;=table!$C$6,#REF!&lt;= table!$D$6),-1,IF(AND(#REF!&gt;=table!$E$6,#REF!&lt;=table!$F$6),1,0))</f>
        <v>#REF!</v>
      </c>
      <c r="R1269" s="5" t="e">
        <f>IF(AND(#REF!&gt;=table!$C$7,#REF!&lt;= table!$D$7),-1,IF(AND(#REF!&gt;=table!$E$7,#REF!&lt;=table!$F$7),1,0))</f>
        <v>#REF!</v>
      </c>
      <c r="S1269" s="5" t="e">
        <f>IF(AND(#REF!&gt;=table!$C$8,#REF!&lt;= table!$D$8),-1,IF(AND(#REF!&gt;=table!$E$8,#REF!&lt;=table!$F$8),1,0))</f>
        <v>#REF!</v>
      </c>
      <c r="T1269" s="5"/>
      <c r="U1269" s="5" t="e">
        <f>IF(AND(#REF!&gt;=table!$C$10,#REF!&lt;= table!$D$10),-1,IF(AND(#REF!&gt;=table!$E$10,#REF!&lt;=table!$F$10),1,0))</f>
        <v>#REF!</v>
      </c>
      <c r="V1269" s="5" t="e">
        <f>IF(AND(#REF!&gt;=table!$C$11,#REF!&lt;= table!$D$11),-1,IF(AND(#REF!&gt;=table!$E$11,#REF!&lt;=table!$F$11),1,0))</f>
        <v>#REF!</v>
      </c>
      <c r="W1269" s="5" t="e">
        <f>CONCATENATE(dados[[#This Row],[fator1]],dados[[#This Row],[fator5]],dados[[#This Row],[fator6]])</f>
        <v>#REF!</v>
      </c>
    </row>
    <row r="1270" spans="1:23">
      <c r="A1270" t="s">
        <v>17</v>
      </c>
      <c r="B1270">
        <v>484547</v>
      </c>
      <c r="C1270">
        <v>0.15</v>
      </c>
      <c r="D1270">
        <v>40</v>
      </c>
      <c r="E1270">
        <v>105</v>
      </c>
      <c r="F1270">
        <v>10</v>
      </c>
      <c r="G1270">
        <v>10</v>
      </c>
      <c r="H1270">
        <v>80</v>
      </c>
      <c r="I1270">
        <v>2560</v>
      </c>
      <c r="J1270">
        <v>860</v>
      </c>
      <c r="K1270">
        <v>5.62</v>
      </c>
      <c r="L1270">
        <v>8.1999999999999993</v>
      </c>
      <c r="M1270">
        <v>49</v>
      </c>
      <c r="N1270">
        <v>35.65</v>
      </c>
      <c r="O1270">
        <v>1641</v>
      </c>
      <c r="P1270">
        <v>559</v>
      </c>
      <c r="Q1270" s="5" t="e">
        <f>IF(AND(#REF!&gt;=table!$C$6,#REF!&lt;= table!$D$6),-1,IF(AND(#REF!&gt;=table!$E$6,#REF!&lt;=table!$F$6),1,0))</f>
        <v>#REF!</v>
      </c>
      <c r="R1270" s="5" t="e">
        <f>IF(AND(#REF!&gt;=table!$C$7,#REF!&lt;= table!$D$7),-1,IF(AND(#REF!&gt;=table!$E$7,#REF!&lt;=table!$F$7),1,0))</f>
        <v>#REF!</v>
      </c>
      <c r="S1270" s="5" t="e">
        <f>IF(AND(#REF!&gt;=table!$C$8,#REF!&lt;= table!$D$8),-1,IF(AND(#REF!&gt;=table!$E$8,#REF!&lt;=table!$F$8),1,0))</f>
        <v>#REF!</v>
      </c>
      <c r="T1270" s="5"/>
      <c r="U1270" s="5" t="e">
        <f>IF(AND(#REF!&gt;=table!$C$10,#REF!&lt;= table!$D$10),-1,IF(AND(#REF!&gt;=table!$E$10,#REF!&lt;=table!$F$10),1,0))</f>
        <v>#REF!</v>
      </c>
      <c r="V1270" s="5" t="e">
        <f>IF(AND(#REF!&gt;=table!$C$11,#REF!&lt;= table!$D$11),-1,IF(AND(#REF!&gt;=table!$E$11,#REF!&lt;=table!$F$11),1,0))</f>
        <v>#REF!</v>
      </c>
      <c r="W1270" s="5" t="e">
        <f>CONCATENATE(dados[[#This Row],[fator1]],dados[[#This Row],[fator5]],dados[[#This Row],[fator6]])</f>
        <v>#REF!</v>
      </c>
    </row>
    <row r="1271" spans="1:23">
      <c r="A1271" t="s">
        <v>16</v>
      </c>
      <c r="B1271">
        <v>484548</v>
      </c>
      <c r="C1271">
        <v>0.15</v>
      </c>
      <c r="D1271">
        <v>40</v>
      </c>
      <c r="E1271">
        <v>10</v>
      </c>
      <c r="F1271">
        <v>15</v>
      </c>
      <c r="G1271">
        <v>0</v>
      </c>
      <c r="H1271">
        <v>15</v>
      </c>
      <c r="I1271">
        <v>531</v>
      </c>
      <c r="J1271">
        <v>0</v>
      </c>
      <c r="K1271">
        <v>3.1150000000000002</v>
      </c>
      <c r="L1271">
        <v>8.5</v>
      </c>
      <c r="M1271">
        <v>7.25</v>
      </c>
      <c r="N1271">
        <v>17.7</v>
      </c>
      <c r="O1271">
        <v>1670</v>
      </c>
      <c r="P1271">
        <v>0</v>
      </c>
      <c r="Q1271" s="5" t="e">
        <f>IF(AND(#REF!&gt;=table!$C$6,#REF!&lt;= table!$D$6),-1,IF(AND(#REF!&gt;=table!$E$6,#REF!&lt;=table!$F$6),1,0))</f>
        <v>#REF!</v>
      </c>
      <c r="R1271" s="5" t="e">
        <f>IF(AND(#REF!&gt;=table!$C$7,#REF!&lt;= table!$D$7),-1,IF(AND(#REF!&gt;=table!$E$7,#REF!&lt;=table!$F$7),1,0))</f>
        <v>#REF!</v>
      </c>
      <c r="S1271" s="5" t="e">
        <f>IF(AND(#REF!&gt;=table!$C$8,#REF!&lt;= table!$D$8),-1,IF(AND(#REF!&gt;=table!$E$8,#REF!&lt;=table!$F$8),1,0))</f>
        <v>#REF!</v>
      </c>
      <c r="T1271" s="5"/>
      <c r="U1271" s="5" t="e">
        <f>IF(AND(#REF!&gt;=table!$C$10,#REF!&lt;= table!$D$10),-1,IF(AND(#REF!&gt;=table!$E$10,#REF!&lt;=table!$F$10),1,0))</f>
        <v>#REF!</v>
      </c>
      <c r="V1271" s="5" t="e">
        <f>IF(AND(#REF!&gt;=table!$C$11,#REF!&lt;= table!$D$11),-1,IF(AND(#REF!&gt;=table!$E$11,#REF!&lt;=table!$F$11),1,0))</f>
        <v>#REF!</v>
      </c>
      <c r="W1271" s="5" t="e">
        <f>CONCATENATE(dados[[#This Row],[fator1]],dados[[#This Row],[fator5]],dados[[#This Row],[fator6]])</f>
        <v>#REF!</v>
      </c>
    </row>
    <row r="1272" spans="1:23">
      <c r="A1272" t="s">
        <v>16</v>
      </c>
      <c r="B1272">
        <v>484549</v>
      </c>
      <c r="C1272">
        <v>0.15</v>
      </c>
      <c r="D1272">
        <v>40</v>
      </c>
      <c r="E1272">
        <v>10</v>
      </c>
      <c r="F1272">
        <v>15</v>
      </c>
      <c r="G1272">
        <v>0</v>
      </c>
      <c r="H1272">
        <v>15</v>
      </c>
      <c r="I1272">
        <v>1208</v>
      </c>
      <c r="J1272">
        <v>0</v>
      </c>
      <c r="K1272">
        <v>4.1467000000000001</v>
      </c>
      <c r="L1272">
        <v>11.875</v>
      </c>
      <c r="M1272">
        <v>8.7000000000000011</v>
      </c>
      <c r="N1272">
        <v>11.15</v>
      </c>
      <c r="O1272">
        <v>1669</v>
      </c>
      <c r="P1272">
        <v>945</v>
      </c>
      <c r="Q1272" s="5" t="e">
        <f>IF(AND(#REF!&gt;=table!$C$6,#REF!&lt;= table!$D$6),-1,IF(AND(#REF!&gt;=table!$E$6,#REF!&lt;=table!$F$6),1,0))</f>
        <v>#REF!</v>
      </c>
      <c r="R1272" s="5" t="e">
        <f>IF(AND(#REF!&gt;=table!$C$7,#REF!&lt;= table!$D$7),-1,IF(AND(#REF!&gt;=table!$E$7,#REF!&lt;=table!$F$7),1,0))</f>
        <v>#REF!</v>
      </c>
      <c r="S1272" s="5" t="e">
        <f>IF(AND(#REF!&gt;=table!$C$8,#REF!&lt;= table!$D$8),-1,IF(AND(#REF!&gt;=table!$E$8,#REF!&lt;=table!$F$8),1,0))</f>
        <v>#REF!</v>
      </c>
      <c r="T1272" s="5"/>
      <c r="U1272" s="5" t="e">
        <f>IF(AND(#REF!&gt;=table!$C$10,#REF!&lt;= table!$D$10),-1,IF(AND(#REF!&gt;=table!$E$10,#REF!&lt;=table!$F$10),1,0))</f>
        <v>#REF!</v>
      </c>
      <c r="V1272" s="5" t="e">
        <f>IF(AND(#REF!&gt;=table!$C$11,#REF!&lt;= table!$D$11),-1,IF(AND(#REF!&gt;=table!$E$11,#REF!&lt;=table!$F$11),1,0))</f>
        <v>#REF!</v>
      </c>
      <c r="W1272" s="5" t="e">
        <f>CONCATENATE(dados[[#This Row],[fator1]],dados[[#This Row],[fator5]],dados[[#This Row],[fator6]])</f>
        <v>#REF!</v>
      </c>
    </row>
    <row r="1273" spans="1:23">
      <c r="A1273" t="s">
        <v>16</v>
      </c>
      <c r="B1273">
        <v>484557</v>
      </c>
      <c r="C1273">
        <v>0.19</v>
      </c>
      <c r="D1273">
        <v>50</v>
      </c>
      <c r="E1273">
        <v>56</v>
      </c>
      <c r="F1273">
        <v>15</v>
      </c>
      <c r="G1273">
        <v>0</v>
      </c>
      <c r="H1273">
        <v>50</v>
      </c>
      <c r="I1273">
        <v>79</v>
      </c>
      <c r="J1273">
        <v>0</v>
      </c>
      <c r="K1273">
        <v>3.16</v>
      </c>
      <c r="L1273">
        <v>9.8000000000000007</v>
      </c>
      <c r="M1273">
        <v>9.0500000000000007</v>
      </c>
      <c r="N1273">
        <v>15.6</v>
      </c>
      <c r="O1273">
        <v>1668</v>
      </c>
      <c r="P1273">
        <v>1058</v>
      </c>
      <c r="Q1273" s="5" t="e">
        <f>IF(AND(#REF!&gt;=table!$C$6,#REF!&lt;= table!$D$6),-1,IF(AND(#REF!&gt;=table!$E$6,#REF!&lt;=table!$F$6),1,0))</f>
        <v>#REF!</v>
      </c>
      <c r="R1273" s="5" t="e">
        <f>IF(AND(#REF!&gt;=table!$C$7,#REF!&lt;= table!$D$7),-1,IF(AND(#REF!&gt;=table!$E$7,#REF!&lt;=table!$F$7),1,0))</f>
        <v>#REF!</v>
      </c>
      <c r="S1273" s="5" t="e">
        <f>IF(AND(#REF!&gt;=table!$C$8,#REF!&lt;= table!$D$8),-1,IF(AND(#REF!&gt;=table!$E$8,#REF!&lt;=table!$F$8),1,0))</f>
        <v>#REF!</v>
      </c>
      <c r="T1273" s="5"/>
      <c r="U1273" s="5" t="e">
        <f>IF(AND(#REF!&gt;=table!$C$10,#REF!&lt;= table!$D$10),-1,IF(AND(#REF!&gt;=table!$E$10,#REF!&lt;=table!$F$10),1,0))</f>
        <v>#REF!</v>
      </c>
      <c r="V1273" s="5" t="e">
        <f>IF(AND(#REF!&gt;=table!$C$11,#REF!&lt;= table!$D$11),-1,IF(AND(#REF!&gt;=table!$E$11,#REF!&lt;=table!$F$11),1,0))</f>
        <v>#REF!</v>
      </c>
      <c r="W1273" s="5" t="e">
        <f>CONCATENATE(dados[[#This Row],[fator1]],dados[[#This Row],[fator5]],dados[[#This Row],[fator6]])</f>
        <v>#REF!</v>
      </c>
    </row>
    <row r="1274" spans="1:23">
      <c r="A1274" t="s">
        <v>16</v>
      </c>
      <c r="B1274">
        <v>484559</v>
      </c>
      <c r="C1274">
        <v>0.18</v>
      </c>
      <c r="D1274">
        <v>50</v>
      </c>
      <c r="E1274">
        <v>56</v>
      </c>
      <c r="F1274">
        <v>15</v>
      </c>
      <c r="G1274">
        <v>0</v>
      </c>
      <c r="H1274">
        <v>50</v>
      </c>
      <c r="I1274">
        <v>890</v>
      </c>
      <c r="J1274">
        <v>550</v>
      </c>
      <c r="K1274">
        <v>16.27</v>
      </c>
      <c r="L1274">
        <v>18.7</v>
      </c>
      <c r="M1274">
        <v>12.85</v>
      </c>
      <c r="N1274">
        <v>14.8</v>
      </c>
      <c r="O1274">
        <v>1669</v>
      </c>
      <c r="P1274">
        <v>230</v>
      </c>
      <c r="Q1274" s="5" t="e">
        <f>IF(AND(#REF!&gt;=table!$C$6,#REF!&lt;= table!$D$6),-1,IF(AND(#REF!&gt;=table!$E$6,#REF!&lt;=table!$F$6),1,0))</f>
        <v>#REF!</v>
      </c>
      <c r="R1274" s="5" t="e">
        <f>IF(AND(#REF!&gt;=table!$C$7,#REF!&lt;= table!$D$7),-1,IF(AND(#REF!&gt;=table!$E$7,#REF!&lt;=table!$F$7),1,0))</f>
        <v>#REF!</v>
      </c>
      <c r="S1274" s="5" t="e">
        <f>IF(AND(#REF!&gt;=table!$C$8,#REF!&lt;= table!$D$8),-1,IF(AND(#REF!&gt;=table!$E$8,#REF!&lt;=table!$F$8),1,0))</f>
        <v>#REF!</v>
      </c>
      <c r="T1274" s="5"/>
      <c r="U1274" s="5" t="e">
        <f>IF(AND(#REF!&gt;=table!$C$10,#REF!&lt;= table!$D$10),-1,IF(AND(#REF!&gt;=table!$E$10,#REF!&lt;=table!$F$10),1,0))</f>
        <v>#REF!</v>
      </c>
      <c r="V1274" s="5" t="e">
        <f>IF(AND(#REF!&gt;=table!$C$11,#REF!&lt;= table!$D$11),-1,IF(AND(#REF!&gt;=table!$E$11,#REF!&lt;=table!$F$11),1,0))</f>
        <v>#REF!</v>
      </c>
      <c r="W1274" s="5" t="e">
        <f>CONCATENATE(dados[[#This Row],[fator1]],dados[[#This Row],[fator5]],dados[[#This Row],[fator6]])</f>
        <v>#REF!</v>
      </c>
    </row>
    <row r="1275" spans="1:23">
      <c r="A1275" t="s">
        <v>16</v>
      </c>
      <c r="B1275">
        <v>484560</v>
      </c>
      <c r="C1275">
        <v>10</v>
      </c>
      <c r="D1275">
        <v>35</v>
      </c>
      <c r="E1275">
        <v>170</v>
      </c>
      <c r="F1275">
        <v>4</v>
      </c>
      <c r="G1275">
        <v>0</v>
      </c>
      <c r="H1275">
        <v>25</v>
      </c>
      <c r="I1275">
        <v>212</v>
      </c>
      <c r="J1275">
        <v>750</v>
      </c>
      <c r="K1275">
        <v>13.91</v>
      </c>
      <c r="L1275">
        <v>25.85</v>
      </c>
      <c r="M1275">
        <v>150.30000000000001</v>
      </c>
      <c r="N1275">
        <v>14.9</v>
      </c>
      <c r="O1275">
        <v>1667</v>
      </c>
      <c r="P1275">
        <v>303</v>
      </c>
      <c r="Q1275" s="5" t="e">
        <f>IF(AND(#REF!&gt;=table!$C$6,#REF!&lt;= table!$D$6),-1,IF(AND(#REF!&gt;=table!$E$6,#REF!&lt;=table!$F$6),1,0))</f>
        <v>#REF!</v>
      </c>
      <c r="R1275" s="5" t="e">
        <f>IF(AND(#REF!&gt;=table!$C$7,#REF!&lt;= table!$D$7),-1,IF(AND(#REF!&gt;=table!$E$7,#REF!&lt;=table!$F$7),1,0))</f>
        <v>#REF!</v>
      </c>
      <c r="S1275" s="5" t="e">
        <f>IF(AND(#REF!&gt;=table!$C$8,#REF!&lt;= table!$D$8),-1,IF(AND(#REF!&gt;=table!$E$8,#REF!&lt;=table!$F$8),1,0))</f>
        <v>#REF!</v>
      </c>
      <c r="T1275" s="5"/>
      <c r="U1275" s="5" t="e">
        <f>IF(AND(#REF!&gt;=table!$C$10,#REF!&lt;= table!$D$10),-1,IF(AND(#REF!&gt;=table!$E$10,#REF!&lt;=table!$F$10),1,0))</f>
        <v>#REF!</v>
      </c>
      <c r="V1275" s="5" t="e">
        <f>IF(AND(#REF!&gt;=table!$C$11,#REF!&lt;= table!$D$11),-1,IF(AND(#REF!&gt;=table!$E$11,#REF!&lt;=table!$F$11),1,0))</f>
        <v>#REF!</v>
      </c>
      <c r="W1275" s="5" t="e">
        <f>CONCATENATE(dados[[#This Row],[fator1]],dados[[#This Row],[fator5]],dados[[#This Row],[fator6]])</f>
        <v>#REF!</v>
      </c>
    </row>
    <row r="1276" spans="1:23">
      <c r="A1276" t="s">
        <v>17</v>
      </c>
      <c r="B1276">
        <v>484562</v>
      </c>
      <c r="C1276">
        <v>6</v>
      </c>
      <c r="D1276">
        <v>30</v>
      </c>
      <c r="E1276">
        <v>110</v>
      </c>
      <c r="F1276">
        <v>10</v>
      </c>
      <c r="G1276">
        <v>21</v>
      </c>
      <c r="H1276">
        <v>25</v>
      </c>
      <c r="I1276">
        <v>1472</v>
      </c>
      <c r="J1276">
        <v>0</v>
      </c>
      <c r="K1276">
        <v>6.0750000000000002</v>
      </c>
      <c r="L1276">
        <v>11.85</v>
      </c>
      <c r="M1276">
        <v>100.7</v>
      </c>
      <c r="N1276">
        <v>14.15</v>
      </c>
      <c r="O1276">
        <v>1688</v>
      </c>
      <c r="P1276">
        <v>707</v>
      </c>
      <c r="Q1276" s="5" t="e">
        <f>IF(AND(#REF!&gt;=table!$C$6,#REF!&lt;= table!$D$6),-1,IF(AND(#REF!&gt;=table!$E$6,#REF!&lt;=table!$F$6),1,0))</f>
        <v>#REF!</v>
      </c>
      <c r="R1276" s="5" t="e">
        <f>IF(AND(#REF!&gt;=table!$C$7,#REF!&lt;= table!$D$7),-1,IF(AND(#REF!&gt;=table!$E$7,#REF!&lt;=table!$F$7),1,0))</f>
        <v>#REF!</v>
      </c>
      <c r="S1276" s="5" t="e">
        <f>IF(AND(#REF!&gt;=table!$C$8,#REF!&lt;= table!$D$8),-1,IF(AND(#REF!&gt;=table!$E$8,#REF!&lt;=table!$F$8),1,0))</f>
        <v>#REF!</v>
      </c>
      <c r="T1276" s="5"/>
      <c r="U1276" s="5" t="e">
        <f>IF(AND(#REF!&gt;=table!$C$10,#REF!&lt;= table!$D$10),-1,IF(AND(#REF!&gt;=table!$E$10,#REF!&lt;=table!$F$10),1,0))</f>
        <v>#REF!</v>
      </c>
      <c r="V1276" s="5" t="e">
        <f>IF(AND(#REF!&gt;=table!$C$11,#REF!&lt;= table!$D$11),-1,IF(AND(#REF!&gt;=table!$E$11,#REF!&lt;=table!$F$11),1,0))</f>
        <v>#REF!</v>
      </c>
      <c r="W1276" s="5" t="e">
        <f>CONCATENATE(dados[[#This Row],[fator1]],dados[[#This Row],[fator5]],dados[[#This Row],[fator6]])</f>
        <v>#REF!</v>
      </c>
    </row>
    <row r="1277" spans="1:23">
      <c r="A1277" t="s">
        <v>17</v>
      </c>
      <c r="B1277">
        <v>484563</v>
      </c>
      <c r="C1277">
        <v>6</v>
      </c>
      <c r="D1277">
        <v>30</v>
      </c>
      <c r="E1277">
        <v>110</v>
      </c>
      <c r="F1277">
        <v>10</v>
      </c>
      <c r="G1277">
        <v>21</v>
      </c>
      <c r="H1277">
        <v>25</v>
      </c>
      <c r="I1277">
        <v>33</v>
      </c>
      <c r="J1277">
        <v>0</v>
      </c>
      <c r="K1277">
        <v>3.5450000000000004</v>
      </c>
      <c r="L1277">
        <v>15.1</v>
      </c>
      <c r="M1277">
        <v>96.675000000000011</v>
      </c>
      <c r="N1277">
        <v>17.600000000000001</v>
      </c>
      <c r="O1277">
        <v>1660</v>
      </c>
      <c r="P1277">
        <v>836</v>
      </c>
      <c r="Q1277" s="5" t="e">
        <f>IF(AND(#REF!&gt;=table!$C$6,#REF!&lt;= table!$D$6),-1,IF(AND(#REF!&gt;=table!$E$6,#REF!&lt;=table!$F$6),1,0))</f>
        <v>#REF!</v>
      </c>
      <c r="R1277" s="5" t="e">
        <f>IF(AND(#REF!&gt;=table!$C$7,#REF!&lt;= table!$D$7),-1,IF(AND(#REF!&gt;=table!$E$7,#REF!&lt;=table!$F$7),1,0))</f>
        <v>#REF!</v>
      </c>
      <c r="S1277" s="5" t="e">
        <f>IF(AND(#REF!&gt;=table!$C$8,#REF!&lt;= table!$D$8),-1,IF(AND(#REF!&gt;=table!$E$8,#REF!&lt;=table!$F$8),1,0))</f>
        <v>#REF!</v>
      </c>
      <c r="T1277" s="5"/>
      <c r="U1277" s="5" t="e">
        <f>IF(AND(#REF!&gt;=table!$C$10,#REF!&lt;= table!$D$10),-1,IF(AND(#REF!&gt;=table!$E$10,#REF!&lt;=table!$F$10),1,0))</f>
        <v>#REF!</v>
      </c>
      <c r="V1277" s="5" t="e">
        <f>IF(AND(#REF!&gt;=table!$C$11,#REF!&lt;= table!$D$11),-1,IF(AND(#REF!&gt;=table!$E$11,#REF!&lt;=table!$F$11),1,0))</f>
        <v>#REF!</v>
      </c>
      <c r="W1277" s="5" t="e">
        <f>CONCATENATE(dados[[#This Row],[fator1]],dados[[#This Row],[fator5]],dados[[#This Row],[fator6]])</f>
        <v>#REF!</v>
      </c>
    </row>
    <row r="1278" spans="1:23">
      <c r="A1278" t="s">
        <v>16</v>
      </c>
      <c r="B1278">
        <v>484567</v>
      </c>
      <c r="C1278">
        <v>12</v>
      </c>
      <c r="D1278">
        <v>40</v>
      </c>
      <c r="E1278">
        <v>36</v>
      </c>
      <c r="F1278">
        <v>9</v>
      </c>
      <c r="G1278">
        <v>0</v>
      </c>
      <c r="H1278">
        <v>25</v>
      </c>
      <c r="I1278">
        <v>0</v>
      </c>
      <c r="J1278">
        <v>0</v>
      </c>
      <c r="K1278">
        <v>11.665000000000001</v>
      </c>
      <c r="L1278">
        <v>18.3</v>
      </c>
      <c r="M1278">
        <v>38.550000000000004</v>
      </c>
      <c r="N1278">
        <v>20.8</v>
      </c>
      <c r="O1278">
        <v>1659</v>
      </c>
      <c r="P1278">
        <v>256</v>
      </c>
      <c r="Q1278" s="5" t="e">
        <f>IF(AND(#REF!&gt;=table!$C$6,#REF!&lt;= table!$D$6),-1,IF(AND(#REF!&gt;=table!$E$6,#REF!&lt;=table!$F$6),1,0))</f>
        <v>#REF!</v>
      </c>
      <c r="R1278" s="5" t="e">
        <f>IF(AND(#REF!&gt;=table!$C$7,#REF!&lt;= table!$D$7),-1,IF(AND(#REF!&gt;=table!$E$7,#REF!&lt;=table!$F$7),1,0))</f>
        <v>#REF!</v>
      </c>
      <c r="S1278" s="5" t="e">
        <f>IF(AND(#REF!&gt;=table!$C$8,#REF!&lt;= table!$D$8),-1,IF(AND(#REF!&gt;=table!$E$8,#REF!&lt;=table!$F$8),1,0))</f>
        <v>#REF!</v>
      </c>
      <c r="T1278" s="5"/>
      <c r="U1278" s="5" t="e">
        <f>IF(AND(#REF!&gt;=table!$C$10,#REF!&lt;= table!$D$10),-1,IF(AND(#REF!&gt;=table!$E$10,#REF!&lt;=table!$F$10),1,0))</f>
        <v>#REF!</v>
      </c>
      <c r="V1278" s="5" t="e">
        <f>IF(AND(#REF!&gt;=table!$C$11,#REF!&lt;= table!$D$11),-1,IF(AND(#REF!&gt;=table!$E$11,#REF!&lt;=table!$F$11),1,0))</f>
        <v>#REF!</v>
      </c>
      <c r="W1278" s="5" t="e">
        <f>CONCATENATE(dados[[#This Row],[fator1]],dados[[#This Row],[fator5]],dados[[#This Row],[fator6]])</f>
        <v>#REF!</v>
      </c>
    </row>
    <row r="1279" spans="1:23">
      <c r="A1279" t="s">
        <v>16</v>
      </c>
      <c r="B1279">
        <v>484568</v>
      </c>
      <c r="C1279">
        <v>12</v>
      </c>
      <c r="D1279">
        <v>40</v>
      </c>
      <c r="E1279">
        <v>36</v>
      </c>
      <c r="F1279">
        <v>9</v>
      </c>
      <c r="G1279">
        <v>0</v>
      </c>
      <c r="H1279">
        <v>25</v>
      </c>
      <c r="I1279">
        <v>2131</v>
      </c>
      <c r="J1279">
        <v>0</v>
      </c>
      <c r="K1279">
        <v>6.34</v>
      </c>
      <c r="L1279">
        <v>9.9</v>
      </c>
      <c r="M1279">
        <v>34.6</v>
      </c>
      <c r="N1279">
        <v>11.4</v>
      </c>
      <c r="O1279">
        <v>1676</v>
      </c>
      <c r="P1279">
        <v>462</v>
      </c>
      <c r="Q1279" s="5" t="e">
        <f>IF(AND(#REF!&gt;=table!$C$6,#REF!&lt;= table!$D$6),-1,IF(AND(#REF!&gt;=table!$E$6,#REF!&lt;=table!$F$6),1,0))</f>
        <v>#REF!</v>
      </c>
      <c r="R1279" s="5" t="e">
        <f>IF(AND(#REF!&gt;=table!$C$7,#REF!&lt;= table!$D$7),-1,IF(AND(#REF!&gt;=table!$E$7,#REF!&lt;=table!$F$7),1,0))</f>
        <v>#REF!</v>
      </c>
      <c r="S1279" s="5" t="e">
        <f>IF(AND(#REF!&gt;=table!$C$8,#REF!&lt;= table!$D$8),-1,IF(AND(#REF!&gt;=table!$E$8,#REF!&lt;=table!$F$8),1,0))</f>
        <v>#REF!</v>
      </c>
      <c r="T1279" s="5"/>
      <c r="U1279" s="5" t="e">
        <f>IF(AND(#REF!&gt;=table!$C$10,#REF!&lt;= table!$D$10),-1,IF(AND(#REF!&gt;=table!$E$10,#REF!&lt;=table!$F$10),1,0))</f>
        <v>#REF!</v>
      </c>
      <c r="V1279" s="5" t="e">
        <f>IF(AND(#REF!&gt;=table!$C$11,#REF!&lt;= table!$D$11),-1,IF(AND(#REF!&gt;=table!$E$11,#REF!&lt;=table!$F$11),1,0))</f>
        <v>#REF!</v>
      </c>
      <c r="W1279" s="5" t="e">
        <f>CONCATENATE(dados[[#This Row],[fator1]],dados[[#This Row],[fator5]],dados[[#This Row],[fator6]])</f>
        <v>#REF!</v>
      </c>
    </row>
    <row r="1280" spans="1:23">
      <c r="A1280" t="s">
        <v>16</v>
      </c>
      <c r="B1280">
        <v>484569</v>
      </c>
      <c r="C1280">
        <v>16</v>
      </c>
      <c r="D1280">
        <v>35</v>
      </c>
      <c r="E1280">
        <v>36</v>
      </c>
      <c r="F1280">
        <v>10</v>
      </c>
      <c r="G1280">
        <v>0</v>
      </c>
      <c r="H1280">
        <v>25</v>
      </c>
      <c r="I1280">
        <v>656</v>
      </c>
      <c r="J1280">
        <v>0</v>
      </c>
      <c r="K1280">
        <v>6.8650000000000002</v>
      </c>
      <c r="L1280">
        <v>13.6</v>
      </c>
      <c r="M1280">
        <v>32.6</v>
      </c>
      <c r="N1280">
        <v>12.700000000000001</v>
      </c>
      <c r="O1280">
        <v>1666</v>
      </c>
      <c r="P1280">
        <v>313</v>
      </c>
      <c r="Q1280" s="5" t="e">
        <f>IF(AND(#REF!&gt;=table!$C$6,#REF!&lt;= table!$D$6),-1,IF(AND(#REF!&gt;=table!$E$6,#REF!&lt;=table!$F$6),1,0))</f>
        <v>#REF!</v>
      </c>
      <c r="R1280" s="5" t="e">
        <f>IF(AND(#REF!&gt;=table!$C$7,#REF!&lt;= table!$D$7),-1,IF(AND(#REF!&gt;=table!$E$7,#REF!&lt;=table!$F$7),1,0))</f>
        <v>#REF!</v>
      </c>
      <c r="S1280" s="5" t="e">
        <f>IF(AND(#REF!&gt;=table!$C$8,#REF!&lt;= table!$D$8),-1,IF(AND(#REF!&gt;=table!$E$8,#REF!&lt;=table!$F$8),1,0))</f>
        <v>#REF!</v>
      </c>
      <c r="T1280" s="5"/>
      <c r="U1280" s="5" t="e">
        <f>IF(AND(#REF!&gt;=table!$C$10,#REF!&lt;= table!$D$10),-1,IF(AND(#REF!&gt;=table!$E$10,#REF!&lt;=table!$F$10),1,0))</f>
        <v>#REF!</v>
      </c>
      <c r="V1280" s="5" t="e">
        <f>IF(AND(#REF!&gt;=table!$C$11,#REF!&lt;= table!$D$11),-1,IF(AND(#REF!&gt;=table!$E$11,#REF!&lt;=table!$F$11),1,0))</f>
        <v>#REF!</v>
      </c>
      <c r="W1280" s="5" t="e">
        <f>CONCATENATE(dados[[#This Row],[fator1]],dados[[#This Row],[fator5]],dados[[#This Row],[fator6]])</f>
        <v>#REF!</v>
      </c>
    </row>
    <row r="1281" spans="1:23">
      <c r="A1281" t="s">
        <v>16</v>
      </c>
      <c r="B1281">
        <v>484572</v>
      </c>
      <c r="C1281">
        <v>12</v>
      </c>
      <c r="D1281">
        <v>40</v>
      </c>
      <c r="E1281">
        <v>36</v>
      </c>
      <c r="F1281">
        <v>9</v>
      </c>
      <c r="G1281">
        <v>0</v>
      </c>
      <c r="H1281">
        <v>25</v>
      </c>
      <c r="I1281">
        <v>1129</v>
      </c>
      <c r="J1281">
        <v>580</v>
      </c>
      <c r="K1281">
        <v>6.0650000000000004</v>
      </c>
      <c r="L1281">
        <v>9.9</v>
      </c>
      <c r="M1281">
        <v>29.150000000000002</v>
      </c>
      <c r="N1281">
        <v>10</v>
      </c>
      <c r="O1281">
        <v>1649</v>
      </c>
      <c r="P1281">
        <v>403</v>
      </c>
      <c r="Q1281" s="5" t="e">
        <f>IF(AND(#REF!&gt;=table!$C$6,#REF!&lt;= table!$D$6),-1,IF(AND(#REF!&gt;=table!$E$6,#REF!&lt;=table!$F$6),1,0))</f>
        <v>#REF!</v>
      </c>
      <c r="R1281" s="5" t="e">
        <f>IF(AND(#REF!&gt;=table!$C$7,#REF!&lt;= table!$D$7),-1,IF(AND(#REF!&gt;=table!$E$7,#REF!&lt;=table!$F$7),1,0))</f>
        <v>#REF!</v>
      </c>
      <c r="S1281" s="5" t="e">
        <f>IF(AND(#REF!&gt;=table!$C$8,#REF!&lt;= table!$D$8),-1,IF(AND(#REF!&gt;=table!$E$8,#REF!&lt;=table!$F$8),1,0))</f>
        <v>#REF!</v>
      </c>
      <c r="T1281" s="5"/>
      <c r="U1281" s="5" t="e">
        <f>IF(AND(#REF!&gt;=table!$C$10,#REF!&lt;= table!$D$10),-1,IF(AND(#REF!&gt;=table!$E$10,#REF!&lt;=table!$F$10),1,0))</f>
        <v>#REF!</v>
      </c>
      <c r="V1281" s="5" t="e">
        <f>IF(AND(#REF!&gt;=table!$C$11,#REF!&lt;= table!$D$11),-1,IF(AND(#REF!&gt;=table!$E$11,#REF!&lt;=table!$F$11),1,0))</f>
        <v>#REF!</v>
      </c>
      <c r="W1281" s="5" t="e">
        <f>CONCATENATE(dados[[#This Row],[fator1]],dados[[#This Row],[fator5]],dados[[#This Row],[fator6]])</f>
        <v>#REF!</v>
      </c>
    </row>
    <row r="1282" spans="1:23">
      <c r="A1282" t="s">
        <v>16</v>
      </c>
      <c r="B1282">
        <v>484573</v>
      </c>
      <c r="C1282">
        <v>0.15</v>
      </c>
      <c r="D1282">
        <v>40</v>
      </c>
      <c r="E1282">
        <v>10</v>
      </c>
      <c r="F1282">
        <v>15</v>
      </c>
      <c r="G1282">
        <v>0</v>
      </c>
      <c r="H1282">
        <v>15</v>
      </c>
      <c r="I1282">
        <v>1204</v>
      </c>
      <c r="J1282">
        <v>0</v>
      </c>
      <c r="K1282">
        <v>5.8450000000000006</v>
      </c>
      <c r="L1282">
        <v>9.7000000000000011</v>
      </c>
      <c r="M1282">
        <v>8.9500000000000011</v>
      </c>
      <c r="N1282">
        <v>9.3000000000000007</v>
      </c>
      <c r="O1282">
        <v>1674</v>
      </c>
      <c r="P1282">
        <v>448</v>
      </c>
      <c r="Q1282" s="5" t="e">
        <f>IF(AND(#REF!&gt;=table!$C$6,#REF!&lt;= table!$D$6),-1,IF(AND(#REF!&gt;=table!$E$6,#REF!&lt;=table!$F$6),1,0))</f>
        <v>#REF!</v>
      </c>
      <c r="R1282" s="5" t="e">
        <f>IF(AND(#REF!&gt;=table!$C$7,#REF!&lt;= table!$D$7),-1,IF(AND(#REF!&gt;=table!$E$7,#REF!&lt;=table!$F$7),1,0))</f>
        <v>#REF!</v>
      </c>
      <c r="S1282" s="5" t="e">
        <f>IF(AND(#REF!&gt;=table!$C$8,#REF!&lt;= table!$D$8),-1,IF(AND(#REF!&gt;=table!$E$8,#REF!&lt;=table!$F$8),1,0))</f>
        <v>#REF!</v>
      </c>
      <c r="T1282" s="5"/>
      <c r="U1282" s="5" t="e">
        <f>IF(AND(#REF!&gt;=table!$C$10,#REF!&lt;= table!$D$10),-1,IF(AND(#REF!&gt;=table!$E$10,#REF!&lt;=table!$F$10),1,0))</f>
        <v>#REF!</v>
      </c>
      <c r="V1282" s="5" t="e">
        <f>IF(AND(#REF!&gt;=table!$C$11,#REF!&lt;= table!$D$11),-1,IF(AND(#REF!&gt;=table!$E$11,#REF!&lt;=table!$F$11),1,0))</f>
        <v>#REF!</v>
      </c>
      <c r="W1282" s="5" t="e">
        <f>CONCATENATE(dados[[#This Row],[fator1]],dados[[#This Row],[fator5]],dados[[#This Row],[fator6]])</f>
        <v>#REF!</v>
      </c>
    </row>
    <row r="1283" spans="1:23">
      <c r="A1283" t="s">
        <v>17</v>
      </c>
      <c r="B1283">
        <v>484579</v>
      </c>
      <c r="C1283">
        <v>16</v>
      </c>
      <c r="D1283">
        <v>30</v>
      </c>
      <c r="E1283">
        <v>116</v>
      </c>
      <c r="F1283">
        <v>6</v>
      </c>
      <c r="G1283">
        <v>20</v>
      </c>
      <c r="H1283">
        <v>25</v>
      </c>
      <c r="I1283">
        <v>0</v>
      </c>
      <c r="J1283">
        <v>0</v>
      </c>
      <c r="K1283">
        <v>4.5600000000000005</v>
      </c>
      <c r="L1283">
        <v>13</v>
      </c>
      <c r="M1283">
        <v>100.10000000000001</v>
      </c>
      <c r="N1283">
        <v>20.5</v>
      </c>
      <c r="O1283">
        <v>1703</v>
      </c>
      <c r="P1283">
        <v>696</v>
      </c>
      <c r="Q1283" s="5" t="e">
        <f>IF(AND(#REF!&gt;=table!$C$6,#REF!&lt;= table!$D$6),-1,IF(AND(#REF!&gt;=table!$E$6,#REF!&lt;=table!$F$6),1,0))</f>
        <v>#REF!</v>
      </c>
      <c r="R1283" s="5" t="e">
        <f>IF(AND(#REF!&gt;=table!$C$7,#REF!&lt;= table!$D$7),-1,IF(AND(#REF!&gt;=table!$E$7,#REF!&lt;=table!$F$7),1,0))</f>
        <v>#REF!</v>
      </c>
      <c r="S1283" s="5" t="e">
        <f>IF(AND(#REF!&gt;=table!$C$8,#REF!&lt;= table!$D$8),-1,IF(AND(#REF!&gt;=table!$E$8,#REF!&lt;=table!$F$8),1,0))</f>
        <v>#REF!</v>
      </c>
      <c r="T1283" s="5"/>
      <c r="U1283" s="5" t="e">
        <f>IF(AND(#REF!&gt;=table!$C$10,#REF!&lt;= table!$D$10),-1,IF(AND(#REF!&gt;=table!$E$10,#REF!&lt;=table!$F$10),1,0))</f>
        <v>#REF!</v>
      </c>
      <c r="V1283" s="5" t="e">
        <f>IF(AND(#REF!&gt;=table!$C$11,#REF!&lt;= table!$D$11),-1,IF(AND(#REF!&gt;=table!$E$11,#REF!&lt;=table!$F$11),1,0))</f>
        <v>#REF!</v>
      </c>
      <c r="W1283" s="5" t="e">
        <f>CONCATENATE(dados[[#This Row],[fator1]],dados[[#This Row],[fator5]],dados[[#This Row],[fator6]])</f>
        <v>#REF!</v>
      </c>
    </row>
    <row r="1284" spans="1:23">
      <c r="A1284" t="s">
        <v>17</v>
      </c>
      <c r="B1284">
        <v>484581</v>
      </c>
      <c r="C1284">
        <v>26</v>
      </c>
      <c r="D1284">
        <v>75</v>
      </c>
      <c r="E1284">
        <v>90</v>
      </c>
      <c r="F1284">
        <v>3</v>
      </c>
      <c r="G1284">
        <v>30</v>
      </c>
      <c r="H1284">
        <v>20</v>
      </c>
      <c r="I1284">
        <v>0</v>
      </c>
      <c r="J1284">
        <v>0</v>
      </c>
      <c r="K1284">
        <v>2.59</v>
      </c>
      <c r="L1284">
        <v>6.15</v>
      </c>
      <c r="M1284">
        <v>51.35</v>
      </c>
      <c r="N1284">
        <v>7</v>
      </c>
      <c r="O1284">
        <v>1684</v>
      </c>
      <c r="P1284">
        <v>1081</v>
      </c>
      <c r="Q1284" s="5" t="e">
        <f>IF(AND(#REF!&gt;=table!$C$6,#REF!&lt;= table!$D$6),-1,IF(AND(#REF!&gt;=table!$E$6,#REF!&lt;=table!$F$6),1,0))</f>
        <v>#REF!</v>
      </c>
      <c r="R1284" s="5" t="e">
        <f>IF(AND(#REF!&gt;=table!$C$7,#REF!&lt;= table!$D$7),-1,IF(AND(#REF!&gt;=table!$E$7,#REF!&lt;=table!$F$7),1,0))</f>
        <v>#REF!</v>
      </c>
      <c r="S1284" s="5" t="e">
        <f>IF(AND(#REF!&gt;=table!$C$8,#REF!&lt;= table!$D$8),-1,IF(AND(#REF!&gt;=table!$E$8,#REF!&lt;=table!$F$8),1,0))</f>
        <v>#REF!</v>
      </c>
      <c r="T1284" s="5"/>
      <c r="U1284" s="5" t="e">
        <f>IF(AND(#REF!&gt;=table!$C$10,#REF!&lt;= table!$D$10),-1,IF(AND(#REF!&gt;=table!$E$10,#REF!&lt;=table!$F$10),1,0))</f>
        <v>#REF!</v>
      </c>
      <c r="V1284" s="5" t="e">
        <f>IF(AND(#REF!&gt;=table!$C$11,#REF!&lt;= table!$D$11),-1,IF(AND(#REF!&gt;=table!$E$11,#REF!&lt;=table!$F$11),1,0))</f>
        <v>#REF!</v>
      </c>
      <c r="W1284" s="5" t="e">
        <f>CONCATENATE(dados[[#This Row],[fator1]],dados[[#This Row],[fator5]],dados[[#This Row],[fator6]])</f>
        <v>#REF!</v>
      </c>
    </row>
    <row r="1285" spans="1:23">
      <c r="A1285" t="s">
        <v>16</v>
      </c>
      <c r="B1285">
        <v>484585</v>
      </c>
      <c r="C1285">
        <v>8</v>
      </c>
      <c r="D1285">
        <v>30</v>
      </c>
      <c r="E1285">
        <v>61</v>
      </c>
      <c r="F1285">
        <v>8</v>
      </c>
      <c r="G1285">
        <v>0</v>
      </c>
      <c r="H1285">
        <v>25</v>
      </c>
      <c r="I1285">
        <v>505</v>
      </c>
      <c r="J1285">
        <v>0</v>
      </c>
      <c r="K1285">
        <v>3.09</v>
      </c>
      <c r="L1285">
        <v>12.25</v>
      </c>
      <c r="M1285">
        <v>65.150000000000006</v>
      </c>
      <c r="N1285">
        <v>12.75</v>
      </c>
      <c r="O1285">
        <v>1667</v>
      </c>
      <c r="P1285">
        <v>675</v>
      </c>
      <c r="Q1285" s="5" t="e">
        <f>IF(AND(#REF!&gt;=table!$C$6,#REF!&lt;= table!$D$6),-1,IF(AND(#REF!&gt;=table!$E$6,#REF!&lt;=table!$F$6),1,0))</f>
        <v>#REF!</v>
      </c>
      <c r="R1285" s="5" t="e">
        <f>IF(AND(#REF!&gt;=table!$C$7,#REF!&lt;= table!$D$7),-1,IF(AND(#REF!&gt;=table!$E$7,#REF!&lt;=table!$F$7),1,0))</f>
        <v>#REF!</v>
      </c>
      <c r="S1285" s="5" t="e">
        <f>IF(AND(#REF!&gt;=table!$C$8,#REF!&lt;= table!$D$8),-1,IF(AND(#REF!&gt;=table!$E$8,#REF!&lt;=table!$F$8),1,0))</f>
        <v>#REF!</v>
      </c>
      <c r="T1285" s="5"/>
      <c r="U1285" s="5" t="e">
        <f>IF(AND(#REF!&gt;=table!$C$10,#REF!&lt;= table!$D$10),-1,IF(AND(#REF!&gt;=table!$E$10,#REF!&lt;=table!$F$10),1,0))</f>
        <v>#REF!</v>
      </c>
      <c r="V1285" s="5" t="e">
        <f>IF(AND(#REF!&gt;=table!$C$11,#REF!&lt;= table!$D$11),-1,IF(AND(#REF!&gt;=table!$E$11,#REF!&lt;=table!$F$11),1,0))</f>
        <v>#REF!</v>
      </c>
      <c r="W1285" s="5" t="e">
        <f>CONCATENATE(dados[[#This Row],[fator1]],dados[[#This Row],[fator5]],dados[[#This Row],[fator6]])</f>
        <v>#REF!</v>
      </c>
    </row>
    <row r="1286" spans="1:23">
      <c r="A1286" t="s">
        <v>16</v>
      </c>
      <c r="B1286">
        <v>484586</v>
      </c>
      <c r="C1286">
        <v>8</v>
      </c>
      <c r="D1286">
        <v>30</v>
      </c>
      <c r="E1286">
        <v>61</v>
      </c>
      <c r="F1286">
        <v>8</v>
      </c>
      <c r="G1286">
        <v>0</v>
      </c>
      <c r="H1286">
        <v>25</v>
      </c>
      <c r="I1286">
        <v>93</v>
      </c>
      <c r="J1286">
        <v>0</v>
      </c>
      <c r="K1286">
        <v>5.39</v>
      </c>
      <c r="L1286">
        <v>12.5</v>
      </c>
      <c r="M1286">
        <v>56.984999999999999</v>
      </c>
      <c r="N1286">
        <v>9.9600000000000009</v>
      </c>
      <c r="O1286">
        <v>1676</v>
      </c>
      <c r="P1286">
        <v>470</v>
      </c>
      <c r="Q1286" s="5" t="e">
        <f>IF(AND(#REF!&gt;=table!$C$6,#REF!&lt;= table!$D$6),-1,IF(AND(#REF!&gt;=table!$E$6,#REF!&lt;=table!$F$6),1,0))</f>
        <v>#REF!</v>
      </c>
      <c r="R1286" s="5" t="e">
        <f>IF(AND(#REF!&gt;=table!$C$7,#REF!&lt;= table!$D$7),-1,IF(AND(#REF!&gt;=table!$E$7,#REF!&lt;=table!$F$7),1,0))</f>
        <v>#REF!</v>
      </c>
      <c r="S1286" s="5" t="e">
        <f>IF(AND(#REF!&gt;=table!$C$8,#REF!&lt;= table!$D$8),-1,IF(AND(#REF!&gt;=table!$E$8,#REF!&lt;=table!$F$8),1,0))</f>
        <v>#REF!</v>
      </c>
      <c r="T1286" s="5"/>
      <c r="U1286" s="5" t="e">
        <f>IF(AND(#REF!&gt;=table!$C$10,#REF!&lt;= table!$D$10),-1,IF(AND(#REF!&gt;=table!$E$10,#REF!&lt;=table!$F$10),1,0))</f>
        <v>#REF!</v>
      </c>
      <c r="V1286" s="5" t="e">
        <f>IF(AND(#REF!&gt;=table!$C$11,#REF!&lt;= table!$D$11),-1,IF(AND(#REF!&gt;=table!$E$11,#REF!&lt;=table!$F$11),1,0))</f>
        <v>#REF!</v>
      </c>
      <c r="W1286" s="5" t="e">
        <f>CONCATENATE(dados[[#This Row],[fator1]],dados[[#This Row],[fator5]],dados[[#This Row],[fator6]])</f>
        <v>#REF!</v>
      </c>
    </row>
    <row r="1287" spans="1:23">
      <c r="A1287" t="s">
        <v>17</v>
      </c>
      <c r="B1287">
        <v>484587</v>
      </c>
      <c r="C1287">
        <v>14</v>
      </c>
      <c r="D1287">
        <v>30</v>
      </c>
      <c r="E1287">
        <v>126</v>
      </c>
      <c r="F1287">
        <v>9</v>
      </c>
      <c r="G1287">
        <v>20</v>
      </c>
      <c r="H1287">
        <v>25</v>
      </c>
      <c r="I1287">
        <v>1057</v>
      </c>
      <c r="J1287">
        <v>0</v>
      </c>
      <c r="K1287">
        <v>3.7750000000000004</v>
      </c>
      <c r="L1287">
        <v>12.945</v>
      </c>
      <c r="M1287">
        <v>96.175000000000011</v>
      </c>
      <c r="N1287">
        <v>12.595000000000001</v>
      </c>
      <c r="O1287">
        <v>1672</v>
      </c>
      <c r="P1287">
        <v>0</v>
      </c>
      <c r="Q1287" s="5" t="e">
        <f>IF(AND(#REF!&gt;=table!$C$6,#REF!&lt;= table!$D$6),-1,IF(AND(#REF!&gt;=table!$E$6,#REF!&lt;=table!$F$6),1,0))</f>
        <v>#REF!</v>
      </c>
      <c r="R1287" s="5" t="e">
        <f>IF(AND(#REF!&gt;=table!$C$7,#REF!&lt;= table!$D$7),-1,IF(AND(#REF!&gt;=table!$E$7,#REF!&lt;=table!$F$7),1,0))</f>
        <v>#REF!</v>
      </c>
      <c r="S1287" s="5" t="e">
        <f>IF(AND(#REF!&gt;=table!$C$8,#REF!&lt;= table!$D$8),-1,IF(AND(#REF!&gt;=table!$E$8,#REF!&lt;=table!$F$8),1,0))</f>
        <v>#REF!</v>
      </c>
      <c r="T1287" s="5"/>
      <c r="U1287" s="5" t="e">
        <f>IF(AND(#REF!&gt;=table!$C$10,#REF!&lt;= table!$D$10),-1,IF(AND(#REF!&gt;=table!$E$10,#REF!&lt;=table!$F$10),1,0))</f>
        <v>#REF!</v>
      </c>
      <c r="V1287" s="5" t="e">
        <f>IF(AND(#REF!&gt;=table!$C$11,#REF!&lt;= table!$D$11),-1,IF(AND(#REF!&gt;=table!$E$11,#REF!&lt;=table!$F$11),1,0))</f>
        <v>#REF!</v>
      </c>
      <c r="W1287" s="5" t="e">
        <f>CONCATENATE(dados[[#This Row],[fator1]],dados[[#This Row],[fator5]],dados[[#This Row],[fator6]])</f>
        <v>#REF!</v>
      </c>
    </row>
    <row r="1288" spans="1:23">
      <c r="A1288" t="s">
        <v>16</v>
      </c>
      <c r="B1288">
        <v>484588</v>
      </c>
      <c r="C1288">
        <v>12</v>
      </c>
      <c r="D1288">
        <v>40</v>
      </c>
      <c r="E1288">
        <v>36</v>
      </c>
      <c r="F1288">
        <v>9</v>
      </c>
      <c r="G1288">
        <v>0</v>
      </c>
      <c r="H1288">
        <v>25</v>
      </c>
      <c r="I1288">
        <v>3</v>
      </c>
      <c r="J1288">
        <v>0</v>
      </c>
      <c r="K1288">
        <v>3.16</v>
      </c>
      <c r="L1288">
        <v>11.23</v>
      </c>
      <c r="M1288">
        <v>27.04</v>
      </c>
      <c r="N1288">
        <v>10.93</v>
      </c>
      <c r="O1288">
        <v>1687</v>
      </c>
      <c r="P1288">
        <v>770</v>
      </c>
      <c r="Q1288" s="5" t="e">
        <f>IF(AND(#REF!&gt;=table!$C$6,#REF!&lt;= table!$D$6),-1,IF(AND(#REF!&gt;=table!$E$6,#REF!&lt;=table!$F$6),1,0))</f>
        <v>#REF!</v>
      </c>
      <c r="R1288" s="5" t="e">
        <f>IF(AND(#REF!&gt;=table!$C$7,#REF!&lt;= table!$D$7),-1,IF(AND(#REF!&gt;=table!$E$7,#REF!&lt;=table!$F$7),1,0))</f>
        <v>#REF!</v>
      </c>
      <c r="S1288" s="5" t="e">
        <f>IF(AND(#REF!&gt;=table!$C$8,#REF!&lt;= table!$D$8),-1,IF(AND(#REF!&gt;=table!$E$8,#REF!&lt;=table!$F$8),1,0))</f>
        <v>#REF!</v>
      </c>
      <c r="T1288" s="5"/>
      <c r="U1288" s="5" t="e">
        <f>IF(AND(#REF!&gt;=table!$C$10,#REF!&lt;= table!$D$10),-1,IF(AND(#REF!&gt;=table!$E$10,#REF!&lt;=table!$F$10),1,0))</f>
        <v>#REF!</v>
      </c>
      <c r="V1288" s="5" t="e">
        <f>IF(AND(#REF!&gt;=table!$C$11,#REF!&lt;= table!$D$11),-1,IF(AND(#REF!&gt;=table!$E$11,#REF!&lt;=table!$F$11),1,0))</f>
        <v>#REF!</v>
      </c>
      <c r="W1288" s="5" t="e">
        <f>CONCATENATE(dados[[#This Row],[fator1]],dados[[#This Row],[fator5]],dados[[#This Row],[fator6]])</f>
        <v>#REF!</v>
      </c>
    </row>
    <row r="1289" spans="1:23">
      <c r="A1289" t="s">
        <v>16</v>
      </c>
      <c r="B1289">
        <v>484590</v>
      </c>
      <c r="C1289">
        <v>16</v>
      </c>
      <c r="D1289">
        <v>35</v>
      </c>
      <c r="E1289">
        <v>36</v>
      </c>
      <c r="F1289">
        <v>10</v>
      </c>
      <c r="G1289">
        <v>0</v>
      </c>
      <c r="H1289">
        <v>25</v>
      </c>
      <c r="I1289">
        <v>2</v>
      </c>
      <c r="J1289">
        <v>0</v>
      </c>
      <c r="K1289">
        <v>4.49</v>
      </c>
      <c r="L1289">
        <v>17.384499999999999</v>
      </c>
      <c r="M1289">
        <v>32.076999999999998</v>
      </c>
      <c r="N1289">
        <v>15.695</v>
      </c>
      <c r="O1289">
        <v>1675</v>
      </c>
      <c r="P1289">
        <v>0</v>
      </c>
      <c r="Q1289" s="5" t="e">
        <f>IF(AND(#REF!&gt;=table!$C$6,#REF!&lt;= table!$D$6),-1,IF(AND(#REF!&gt;=table!$E$6,#REF!&lt;=table!$F$6),1,0))</f>
        <v>#REF!</v>
      </c>
      <c r="R1289" s="5" t="e">
        <f>IF(AND(#REF!&gt;=table!$C$7,#REF!&lt;= table!$D$7),-1,IF(AND(#REF!&gt;=table!$E$7,#REF!&lt;=table!$F$7),1,0))</f>
        <v>#REF!</v>
      </c>
      <c r="S1289" s="5" t="e">
        <f>IF(AND(#REF!&gt;=table!$C$8,#REF!&lt;= table!$D$8),-1,IF(AND(#REF!&gt;=table!$E$8,#REF!&lt;=table!$F$8),1,0))</f>
        <v>#REF!</v>
      </c>
      <c r="T1289" s="5"/>
      <c r="U1289" s="5" t="e">
        <f>IF(AND(#REF!&gt;=table!$C$10,#REF!&lt;= table!$D$10),-1,IF(AND(#REF!&gt;=table!$E$10,#REF!&lt;=table!$F$10),1,0))</f>
        <v>#REF!</v>
      </c>
      <c r="V1289" s="5" t="e">
        <f>IF(AND(#REF!&gt;=table!$C$11,#REF!&lt;= table!$D$11),-1,IF(AND(#REF!&gt;=table!$E$11,#REF!&lt;=table!$F$11),1,0))</f>
        <v>#REF!</v>
      </c>
      <c r="W1289" s="5" t="e">
        <f>CONCATENATE(dados[[#This Row],[fator1]],dados[[#This Row],[fator5]],dados[[#This Row],[fator6]])</f>
        <v>#REF!</v>
      </c>
    </row>
    <row r="1290" spans="1:23">
      <c r="A1290" t="s">
        <v>16</v>
      </c>
      <c r="B1290">
        <v>484592</v>
      </c>
      <c r="C1290">
        <v>16</v>
      </c>
      <c r="D1290">
        <v>35</v>
      </c>
      <c r="E1290">
        <v>36</v>
      </c>
      <c r="F1290">
        <v>10</v>
      </c>
      <c r="G1290">
        <v>0</v>
      </c>
      <c r="H1290">
        <v>25</v>
      </c>
      <c r="I1290">
        <v>0</v>
      </c>
      <c r="J1290">
        <v>0</v>
      </c>
      <c r="K1290">
        <v>7.5265000000000004</v>
      </c>
      <c r="L1290">
        <v>16.886500000000002</v>
      </c>
      <c r="M1290">
        <v>34.793500000000002</v>
      </c>
      <c r="N1290">
        <v>21.045000000000002</v>
      </c>
      <c r="O1290">
        <v>1669</v>
      </c>
      <c r="P1290">
        <v>303</v>
      </c>
      <c r="Q1290" s="5" t="e">
        <f>IF(AND(#REF!&gt;=table!$C$6,#REF!&lt;= table!$D$6),-1,IF(AND(#REF!&gt;=table!$E$6,#REF!&lt;=table!$F$6),1,0))</f>
        <v>#REF!</v>
      </c>
      <c r="R1290" s="5" t="e">
        <f>IF(AND(#REF!&gt;=table!$C$7,#REF!&lt;= table!$D$7),-1,IF(AND(#REF!&gt;=table!$E$7,#REF!&lt;=table!$F$7),1,0))</f>
        <v>#REF!</v>
      </c>
      <c r="S1290" s="5" t="e">
        <f>IF(AND(#REF!&gt;=table!$C$8,#REF!&lt;= table!$D$8),-1,IF(AND(#REF!&gt;=table!$E$8,#REF!&lt;=table!$F$8),1,0))</f>
        <v>#REF!</v>
      </c>
      <c r="T1290" s="5"/>
      <c r="U1290" s="5" t="e">
        <f>IF(AND(#REF!&gt;=table!$C$10,#REF!&lt;= table!$D$10),-1,IF(AND(#REF!&gt;=table!$E$10,#REF!&lt;=table!$F$10),1,0))</f>
        <v>#REF!</v>
      </c>
      <c r="V1290" s="5" t="e">
        <f>IF(AND(#REF!&gt;=table!$C$11,#REF!&lt;= table!$D$11),-1,IF(AND(#REF!&gt;=table!$E$11,#REF!&lt;=table!$F$11),1,0))</f>
        <v>#REF!</v>
      </c>
      <c r="W1290" s="5" t="e">
        <f>CONCATENATE(dados[[#This Row],[fator1]],dados[[#This Row],[fator5]],dados[[#This Row],[fator6]])</f>
        <v>#REF!</v>
      </c>
    </row>
    <row r="1291" spans="1:23">
      <c r="A1291" t="s">
        <v>16</v>
      </c>
      <c r="B1291">
        <v>484595</v>
      </c>
      <c r="C1291">
        <v>16</v>
      </c>
      <c r="D1291">
        <v>35</v>
      </c>
      <c r="E1291">
        <v>56</v>
      </c>
      <c r="F1291">
        <v>10</v>
      </c>
      <c r="G1291">
        <v>0</v>
      </c>
      <c r="H1291">
        <v>25</v>
      </c>
      <c r="I1291">
        <v>330</v>
      </c>
      <c r="J1291">
        <v>0</v>
      </c>
      <c r="K1291">
        <v>10.342000000000001</v>
      </c>
      <c r="L1291">
        <v>11.164</v>
      </c>
      <c r="M1291">
        <v>49.5595</v>
      </c>
      <c r="N1291">
        <v>16.399999999999999</v>
      </c>
      <c r="O1291">
        <v>1686</v>
      </c>
      <c r="P1291">
        <v>0</v>
      </c>
      <c r="Q1291" s="5" t="e">
        <f>IF(AND(#REF!&gt;=table!$C$6,#REF!&lt;= table!$D$6),-1,IF(AND(#REF!&gt;=table!$E$6,#REF!&lt;=table!$F$6),1,0))</f>
        <v>#REF!</v>
      </c>
      <c r="R1291" s="5" t="e">
        <f>IF(AND(#REF!&gt;=table!$C$7,#REF!&lt;= table!$D$7),-1,IF(AND(#REF!&gt;=table!$E$7,#REF!&lt;=table!$F$7),1,0))</f>
        <v>#REF!</v>
      </c>
      <c r="S1291" s="5" t="e">
        <f>IF(AND(#REF!&gt;=table!$C$8,#REF!&lt;= table!$D$8),-1,IF(AND(#REF!&gt;=table!$E$8,#REF!&lt;=table!$F$8),1,0))</f>
        <v>#REF!</v>
      </c>
      <c r="T1291" s="5"/>
      <c r="U1291" s="5" t="e">
        <f>IF(AND(#REF!&gt;=table!$C$10,#REF!&lt;= table!$D$10),-1,IF(AND(#REF!&gt;=table!$E$10,#REF!&lt;=table!$F$10),1,0))</f>
        <v>#REF!</v>
      </c>
      <c r="V1291" s="5" t="e">
        <f>IF(AND(#REF!&gt;=table!$C$11,#REF!&lt;= table!$D$11),-1,IF(AND(#REF!&gt;=table!$E$11,#REF!&lt;=table!$F$11),1,0))</f>
        <v>#REF!</v>
      </c>
      <c r="W1291" s="5" t="e">
        <f>CONCATENATE(dados[[#This Row],[fator1]],dados[[#This Row],[fator5]],dados[[#This Row],[fator6]])</f>
        <v>#REF!</v>
      </c>
    </row>
    <row r="1292" spans="1:23">
      <c r="A1292" t="s">
        <v>16</v>
      </c>
      <c r="B1292">
        <v>484596</v>
      </c>
      <c r="C1292">
        <v>12</v>
      </c>
      <c r="D1292">
        <v>35</v>
      </c>
      <c r="E1292">
        <v>90</v>
      </c>
      <c r="F1292">
        <v>10</v>
      </c>
      <c r="G1292">
        <v>0</v>
      </c>
      <c r="H1292">
        <v>25</v>
      </c>
      <c r="I1292">
        <v>1105</v>
      </c>
      <c r="J1292">
        <v>0</v>
      </c>
      <c r="K1292">
        <v>8.0805000000000007</v>
      </c>
      <c r="L1292">
        <v>15.323500000000001</v>
      </c>
      <c r="M1292">
        <v>86.705500000000001</v>
      </c>
      <c r="N1292">
        <v>13.955</v>
      </c>
      <c r="O1292">
        <v>1676</v>
      </c>
      <c r="P1292">
        <v>361</v>
      </c>
      <c r="Q1292" s="5" t="e">
        <f>IF(AND(#REF!&gt;=table!$C$6,#REF!&lt;= table!$D$6),-1,IF(AND(#REF!&gt;=table!$E$6,#REF!&lt;=table!$F$6),1,0))</f>
        <v>#REF!</v>
      </c>
      <c r="R1292" s="5" t="e">
        <f>IF(AND(#REF!&gt;=table!$C$7,#REF!&lt;= table!$D$7),-1,IF(AND(#REF!&gt;=table!$E$7,#REF!&lt;=table!$F$7),1,0))</f>
        <v>#REF!</v>
      </c>
      <c r="S1292" s="5" t="e">
        <f>IF(AND(#REF!&gt;=table!$C$8,#REF!&lt;= table!$D$8),-1,IF(AND(#REF!&gt;=table!$E$8,#REF!&lt;=table!$F$8),1,0))</f>
        <v>#REF!</v>
      </c>
      <c r="T1292" s="5"/>
      <c r="U1292" s="5" t="e">
        <f>IF(AND(#REF!&gt;=table!$C$10,#REF!&lt;= table!$D$10),-1,IF(AND(#REF!&gt;=table!$E$10,#REF!&lt;=table!$F$10),1,0))</f>
        <v>#REF!</v>
      </c>
      <c r="V1292" s="5" t="e">
        <f>IF(AND(#REF!&gt;=table!$C$11,#REF!&lt;= table!$D$11),-1,IF(AND(#REF!&gt;=table!$E$11,#REF!&lt;=table!$F$11),1,0))</f>
        <v>#REF!</v>
      </c>
      <c r="W1292" s="5" t="e">
        <f>CONCATENATE(dados[[#This Row],[fator1]],dados[[#This Row],[fator5]],dados[[#This Row],[fator6]])</f>
        <v>#REF!</v>
      </c>
    </row>
    <row r="1293" spans="1:23">
      <c r="A1293" t="s">
        <v>16</v>
      </c>
      <c r="B1293">
        <v>484597</v>
      </c>
      <c r="C1293">
        <v>12</v>
      </c>
      <c r="D1293">
        <v>35</v>
      </c>
      <c r="E1293">
        <v>86</v>
      </c>
      <c r="F1293">
        <v>8</v>
      </c>
      <c r="G1293">
        <v>0</v>
      </c>
      <c r="H1293">
        <v>25</v>
      </c>
      <c r="I1293">
        <v>221</v>
      </c>
      <c r="J1293">
        <v>500</v>
      </c>
      <c r="K1293">
        <v>13.115500000000001</v>
      </c>
      <c r="L1293">
        <v>15.766</v>
      </c>
      <c r="M1293">
        <v>82.109499999999997</v>
      </c>
      <c r="N1293">
        <v>11.91</v>
      </c>
      <c r="O1293">
        <v>1621</v>
      </c>
      <c r="P1293">
        <v>199</v>
      </c>
      <c r="Q1293" s="5" t="e">
        <f>IF(AND(#REF!&gt;=table!$C$6,#REF!&lt;= table!$D$6),-1,IF(AND(#REF!&gt;=table!$E$6,#REF!&lt;=table!$F$6),1,0))</f>
        <v>#REF!</v>
      </c>
      <c r="R1293" s="5" t="e">
        <f>IF(AND(#REF!&gt;=table!$C$7,#REF!&lt;= table!$D$7),-1,IF(AND(#REF!&gt;=table!$E$7,#REF!&lt;=table!$F$7),1,0))</f>
        <v>#REF!</v>
      </c>
      <c r="S1293" s="5" t="e">
        <f>IF(AND(#REF!&gt;=table!$C$8,#REF!&lt;= table!$D$8),-1,IF(AND(#REF!&gt;=table!$E$8,#REF!&lt;=table!$F$8),1,0))</f>
        <v>#REF!</v>
      </c>
      <c r="T1293" s="5"/>
      <c r="U1293" s="5" t="e">
        <f>IF(AND(#REF!&gt;=table!$C$10,#REF!&lt;= table!$D$10),-1,IF(AND(#REF!&gt;=table!$E$10,#REF!&lt;=table!$F$10),1,0))</f>
        <v>#REF!</v>
      </c>
      <c r="V1293" s="5" t="e">
        <f>IF(AND(#REF!&gt;=table!$C$11,#REF!&lt;= table!$D$11),-1,IF(AND(#REF!&gt;=table!$E$11,#REF!&lt;=table!$F$11),1,0))</f>
        <v>#REF!</v>
      </c>
      <c r="W1293" s="5" t="e">
        <f>CONCATENATE(dados[[#This Row],[fator1]],dados[[#This Row],[fator5]],dados[[#This Row],[fator6]])</f>
        <v>#REF!</v>
      </c>
    </row>
    <row r="1294" spans="1:23">
      <c r="A1294" t="s">
        <v>16</v>
      </c>
      <c r="B1294">
        <v>484603</v>
      </c>
      <c r="C1294">
        <v>8</v>
      </c>
      <c r="D1294">
        <v>30</v>
      </c>
      <c r="E1294">
        <v>61</v>
      </c>
      <c r="F1294">
        <v>8</v>
      </c>
      <c r="G1294">
        <v>0</v>
      </c>
      <c r="H1294">
        <v>25</v>
      </c>
      <c r="I1294">
        <v>792</v>
      </c>
      <c r="J1294">
        <v>0</v>
      </c>
      <c r="K1294">
        <v>4.8230000000000004</v>
      </c>
      <c r="L1294">
        <v>9.3670000000000009</v>
      </c>
      <c r="M1294">
        <v>53.408500000000004</v>
      </c>
      <c r="N1294">
        <v>9.26</v>
      </c>
      <c r="O1294">
        <v>1647</v>
      </c>
      <c r="P1294">
        <v>425</v>
      </c>
      <c r="Q1294" s="5" t="e">
        <f>IF(AND(#REF!&gt;=table!$C$6,#REF!&lt;= table!$D$6),-1,IF(AND(#REF!&gt;=table!$E$6,#REF!&lt;=table!$F$6),1,0))</f>
        <v>#REF!</v>
      </c>
      <c r="R1294" s="5" t="e">
        <f>IF(AND(#REF!&gt;=table!$C$7,#REF!&lt;= table!$D$7),-1,IF(AND(#REF!&gt;=table!$E$7,#REF!&lt;=table!$F$7),1,0))</f>
        <v>#REF!</v>
      </c>
      <c r="S1294" s="5" t="e">
        <f>IF(AND(#REF!&gt;=table!$C$8,#REF!&lt;= table!$D$8),-1,IF(AND(#REF!&gt;=table!$E$8,#REF!&lt;=table!$F$8),1,0))</f>
        <v>#REF!</v>
      </c>
      <c r="T1294" s="5"/>
      <c r="U1294" s="5" t="e">
        <f>IF(AND(#REF!&gt;=table!$C$10,#REF!&lt;= table!$D$10),-1,IF(AND(#REF!&gt;=table!$E$10,#REF!&lt;=table!$F$10),1,0))</f>
        <v>#REF!</v>
      </c>
      <c r="V1294" s="5" t="e">
        <f>IF(AND(#REF!&gt;=table!$C$11,#REF!&lt;= table!$D$11),-1,IF(AND(#REF!&gt;=table!$E$11,#REF!&lt;=table!$F$11),1,0))</f>
        <v>#REF!</v>
      </c>
      <c r="W1294" s="5" t="e">
        <f>CONCATENATE(dados[[#This Row],[fator1]],dados[[#This Row],[fator5]],dados[[#This Row],[fator6]])</f>
        <v>#REF!</v>
      </c>
    </row>
    <row r="1295" spans="1:23">
      <c r="A1295" t="s">
        <v>17</v>
      </c>
      <c r="B1295">
        <v>484604</v>
      </c>
      <c r="C1295">
        <v>23</v>
      </c>
      <c r="D1295">
        <v>40</v>
      </c>
      <c r="E1295">
        <v>120</v>
      </c>
      <c r="F1295">
        <v>4</v>
      </c>
      <c r="G1295">
        <v>20</v>
      </c>
      <c r="H1295">
        <v>25</v>
      </c>
      <c r="I1295">
        <v>978</v>
      </c>
      <c r="J1295">
        <v>0</v>
      </c>
      <c r="K1295">
        <v>5.7549999999999999</v>
      </c>
      <c r="L1295">
        <v>8.5675000000000008</v>
      </c>
      <c r="M1295">
        <v>95.864000000000004</v>
      </c>
      <c r="N1295">
        <v>11.120000000000001</v>
      </c>
      <c r="O1295">
        <v>1676</v>
      </c>
      <c r="P1295">
        <v>0</v>
      </c>
      <c r="Q1295" s="5" t="e">
        <f>IF(AND(#REF!&gt;=table!$C$6,#REF!&lt;= table!$D$6),-1,IF(AND(#REF!&gt;=table!$E$6,#REF!&lt;=table!$F$6),1,0))</f>
        <v>#REF!</v>
      </c>
      <c r="R1295" s="5" t="e">
        <f>IF(AND(#REF!&gt;=table!$C$7,#REF!&lt;= table!$D$7),-1,IF(AND(#REF!&gt;=table!$E$7,#REF!&lt;=table!$F$7),1,0))</f>
        <v>#REF!</v>
      </c>
      <c r="S1295" s="5" t="e">
        <f>IF(AND(#REF!&gt;=table!$C$8,#REF!&lt;= table!$D$8),-1,IF(AND(#REF!&gt;=table!$E$8,#REF!&lt;=table!$F$8),1,0))</f>
        <v>#REF!</v>
      </c>
      <c r="T1295" s="5"/>
      <c r="U1295" s="5" t="e">
        <f>IF(AND(#REF!&gt;=table!$C$10,#REF!&lt;= table!$D$10),-1,IF(AND(#REF!&gt;=table!$E$10,#REF!&lt;=table!$F$10),1,0))</f>
        <v>#REF!</v>
      </c>
      <c r="V1295" s="5" t="e">
        <f>IF(AND(#REF!&gt;=table!$C$11,#REF!&lt;= table!$D$11),-1,IF(AND(#REF!&gt;=table!$E$11,#REF!&lt;=table!$F$11),1,0))</f>
        <v>#REF!</v>
      </c>
      <c r="W1295" s="5" t="e">
        <f>CONCATENATE(dados[[#This Row],[fator1]],dados[[#This Row],[fator5]],dados[[#This Row],[fator6]])</f>
        <v>#REF!</v>
      </c>
    </row>
    <row r="1296" spans="1:23">
      <c r="A1296" t="s">
        <v>16</v>
      </c>
      <c r="B1296">
        <v>484634</v>
      </c>
      <c r="C1296">
        <v>4</v>
      </c>
      <c r="D1296">
        <v>40</v>
      </c>
      <c r="E1296">
        <v>21</v>
      </c>
      <c r="F1296">
        <v>20</v>
      </c>
      <c r="G1296">
        <v>0</v>
      </c>
      <c r="H1296">
        <v>25</v>
      </c>
      <c r="I1296">
        <v>870</v>
      </c>
      <c r="J1296">
        <v>0</v>
      </c>
      <c r="K1296">
        <v>6.3920000000000003</v>
      </c>
      <c r="L1296">
        <v>12.496</v>
      </c>
      <c r="M1296">
        <v>10.832000000000001</v>
      </c>
      <c r="N1296">
        <v>8.49</v>
      </c>
      <c r="O1296">
        <v>1652</v>
      </c>
      <c r="P1296">
        <v>0</v>
      </c>
      <c r="Q1296" s="5" t="e">
        <f>IF(AND(#REF!&gt;=table!$C$6,#REF!&lt;= table!$D$6),-1,IF(AND(#REF!&gt;=table!$E$6,#REF!&lt;=table!$F$6),1,0))</f>
        <v>#REF!</v>
      </c>
      <c r="R1296" s="5" t="e">
        <f>IF(AND(#REF!&gt;=table!$C$7,#REF!&lt;= table!$D$7),-1,IF(AND(#REF!&gt;=table!$E$7,#REF!&lt;=table!$F$7),1,0))</f>
        <v>#REF!</v>
      </c>
      <c r="S1296" s="5" t="e">
        <f>IF(AND(#REF!&gt;=table!$C$8,#REF!&lt;= table!$D$8),-1,IF(AND(#REF!&gt;=table!$E$8,#REF!&lt;=table!$F$8),1,0))</f>
        <v>#REF!</v>
      </c>
      <c r="T1296" s="5"/>
      <c r="U1296" s="5" t="e">
        <f>IF(AND(#REF!&gt;=table!$C$10,#REF!&lt;= table!$D$10),-1,IF(AND(#REF!&gt;=table!$E$10,#REF!&lt;=table!$F$10),1,0))</f>
        <v>#REF!</v>
      </c>
      <c r="V1296" s="5" t="e">
        <f>IF(AND(#REF!&gt;=table!$C$11,#REF!&lt;= table!$D$11),-1,IF(AND(#REF!&gt;=table!$E$11,#REF!&lt;=table!$F$11),1,0))</f>
        <v>#REF!</v>
      </c>
      <c r="W1296" s="5" t="e">
        <f>CONCATENATE(dados[[#This Row],[fator1]],dados[[#This Row],[fator5]],dados[[#This Row],[fator6]])</f>
        <v>#REF!</v>
      </c>
    </row>
    <row r="1297" spans="1:23">
      <c r="A1297" t="s">
        <v>16</v>
      </c>
      <c r="B1297">
        <v>484635</v>
      </c>
      <c r="C1297">
        <v>4</v>
      </c>
      <c r="D1297">
        <v>40</v>
      </c>
      <c r="E1297">
        <v>21</v>
      </c>
      <c r="F1297">
        <v>20</v>
      </c>
      <c r="G1297">
        <v>0</v>
      </c>
      <c r="H1297">
        <v>25</v>
      </c>
      <c r="I1297">
        <v>516</v>
      </c>
      <c r="J1297">
        <v>0</v>
      </c>
      <c r="K1297">
        <v>3.5595000000000003</v>
      </c>
      <c r="L1297">
        <v>6.4895000000000005</v>
      </c>
      <c r="M1297">
        <v>22.184000000000001</v>
      </c>
      <c r="N1297">
        <v>9.24</v>
      </c>
      <c r="O1297">
        <v>1660</v>
      </c>
      <c r="P1297">
        <v>754</v>
      </c>
      <c r="Q1297" s="5" t="e">
        <f>IF(AND(#REF!&gt;=table!$C$6,#REF!&lt;= table!$D$6),-1,IF(AND(#REF!&gt;=table!$E$6,#REF!&lt;=table!$F$6),1,0))</f>
        <v>#REF!</v>
      </c>
      <c r="R1297" s="5" t="e">
        <f>IF(AND(#REF!&gt;=table!$C$7,#REF!&lt;= table!$D$7),-1,IF(AND(#REF!&gt;=table!$E$7,#REF!&lt;=table!$F$7),1,0))</f>
        <v>#REF!</v>
      </c>
      <c r="S1297" s="5" t="e">
        <f>IF(AND(#REF!&gt;=table!$C$8,#REF!&lt;= table!$D$8),-1,IF(AND(#REF!&gt;=table!$E$8,#REF!&lt;=table!$F$8),1,0))</f>
        <v>#REF!</v>
      </c>
      <c r="T1297" s="5"/>
      <c r="U1297" s="5" t="e">
        <f>IF(AND(#REF!&gt;=table!$C$10,#REF!&lt;= table!$D$10),-1,IF(AND(#REF!&gt;=table!$E$10,#REF!&lt;=table!$F$10),1,0))</f>
        <v>#REF!</v>
      </c>
      <c r="V1297" s="5" t="e">
        <f>IF(AND(#REF!&gt;=table!$C$11,#REF!&lt;= table!$D$11),-1,IF(AND(#REF!&gt;=table!$E$11,#REF!&lt;=table!$F$11),1,0))</f>
        <v>#REF!</v>
      </c>
      <c r="W1297" s="5" t="e">
        <f>CONCATENATE(dados[[#This Row],[fator1]],dados[[#This Row],[fator5]],dados[[#This Row],[fator6]])</f>
        <v>#REF!</v>
      </c>
    </row>
    <row r="1298" spans="1:23">
      <c r="A1298" t="s">
        <v>17</v>
      </c>
      <c r="B1298">
        <v>484637</v>
      </c>
      <c r="C1298">
        <v>17</v>
      </c>
      <c r="D1298">
        <v>35</v>
      </c>
      <c r="E1298">
        <v>140</v>
      </c>
      <c r="F1298">
        <v>4</v>
      </c>
      <c r="G1298">
        <v>30</v>
      </c>
      <c r="H1298">
        <v>25</v>
      </c>
      <c r="I1298">
        <v>0</v>
      </c>
      <c r="J1298">
        <v>0</v>
      </c>
      <c r="K1298">
        <v>7.984</v>
      </c>
      <c r="L1298">
        <v>27.243000000000002</v>
      </c>
      <c r="M1298">
        <v>141.22999999999999</v>
      </c>
      <c r="N1298">
        <v>17.43</v>
      </c>
      <c r="O1298">
        <v>1668</v>
      </c>
      <c r="P1298">
        <v>206</v>
      </c>
      <c r="Q1298" s="5" t="e">
        <f>IF(AND(#REF!&gt;=table!$C$6,#REF!&lt;= table!$D$6),-1,IF(AND(#REF!&gt;=table!$E$6,#REF!&lt;=table!$F$6),1,0))</f>
        <v>#REF!</v>
      </c>
      <c r="R1298" s="5" t="e">
        <f>IF(AND(#REF!&gt;=table!$C$7,#REF!&lt;= table!$D$7),-1,IF(AND(#REF!&gt;=table!$E$7,#REF!&lt;=table!$F$7),1,0))</f>
        <v>#REF!</v>
      </c>
      <c r="S1298" s="5" t="e">
        <f>IF(AND(#REF!&gt;=table!$C$8,#REF!&lt;= table!$D$8),-1,IF(AND(#REF!&gt;=table!$E$8,#REF!&lt;=table!$F$8),1,0))</f>
        <v>#REF!</v>
      </c>
      <c r="T1298" s="5"/>
      <c r="U1298" s="5" t="e">
        <f>IF(AND(#REF!&gt;=table!$C$10,#REF!&lt;= table!$D$10),-1,IF(AND(#REF!&gt;=table!$E$10,#REF!&lt;=table!$F$10),1,0))</f>
        <v>#REF!</v>
      </c>
      <c r="V1298" s="5" t="e">
        <f>IF(AND(#REF!&gt;=table!$C$11,#REF!&lt;= table!$D$11),-1,IF(AND(#REF!&gt;=table!$E$11,#REF!&lt;=table!$F$11),1,0))</f>
        <v>#REF!</v>
      </c>
      <c r="W1298" s="5" t="e">
        <f>CONCATENATE(dados[[#This Row],[fator1]],dados[[#This Row],[fator5]],dados[[#This Row],[fator6]])</f>
        <v>#REF!</v>
      </c>
    </row>
    <row r="1299" spans="1:23">
      <c r="A1299" t="s">
        <v>17</v>
      </c>
      <c r="B1299">
        <v>484638</v>
      </c>
      <c r="C1299">
        <v>17</v>
      </c>
      <c r="D1299">
        <v>35</v>
      </c>
      <c r="E1299">
        <v>140</v>
      </c>
      <c r="F1299">
        <v>4</v>
      </c>
      <c r="G1299">
        <v>30</v>
      </c>
      <c r="H1299">
        <v>25</v>
      </c>
      <c r="I1299">
        <v>698</v>
      </c>
      <c r="J1299">
        <v>570</v>
      </c>
      <c r="K1299">
        <v>5.835</v>
      </c>
      <c r="L1299">
        <v>24.429000000000002</v>
      </c>
      <c r="M1299">
        <v>125.4825</v>
      </c>
      <c r="N1299">
        <v>19.065000000000001</v>
      </c>
      <c r="O1299">
        <v>1659</v>
      </c>
      <c r="P1299">
        <v>257</v>
      </c>
      <c r="Q1299" s="5" t="e">
        <f>IF(AND(#REF!&gt;=table!$C$6,#REF!&lt;= table!$D$6),-1,IF(AND(#REF!&gt;=table!$E$6,#REF!&lt;=table!$F$6),1,0))</f>
        <v>#REF!</v>
      </c>
      <c r="R1299" s="5" t="e">
        <f>IF(AND(#REF!&gt;=table!$C$7,#REF!&lt;= table!$D$7),-1,IF(AND(#REF!&gt;=table!$E$7,#REF!&lt;=table!$F$7),1,0))</f>
        <v>#REF!</v>
      </c>
      <c r="S1299" s="5" t="e">
        <f>IF(AND(#REF!&gt;=table!$C$8,#REF!&lt;= table!$D$8),-1,IF(AND(#REF!&gt;=table!$E$8,#REF!&lt;=table!$F$8),1,0))</f>
        <v>#REF!</v>
      </c>
      <c r="T1299" s="5"/>
      <c r="U1299" s="5" t="e">
        <f>IF(AND(#REF!&gt;=table!$C$10,#REF!&lt;= table!$D$10),-1,IF(AND(#REF!&gt;=table!$E$10,#REF!&lt;=table!$F$10),1,0))</f>
        <v>#REF!</v>
      </c>
      <c r="V1299" s="5" t="e">
        <f>IF(AND(#REF!&gt;=table!$C$11,#REF!&lt;= table!$D$11),-1,IF(AND(#REF!&gt;=table!$E$11,#REF!&lt;=table!$F$11),1,0))</f>
        <v>#REF!</v>
      </c>
      <c r="W1299" s="5" t="e">
        <f>CONCATENATE(dados[[#This Row],[fator1]],dados[[#This Row],[fator5]],dados[[#This Row],[fator6]])</f>
        <v>#REF!</v>
      </c>
    </row>
    <row r="1300" spans="1:23">
      <c r="A1300" t="s">
        <v>17</v>
      </c>
      <c r="B1300">
        <v>484639</v>
      </c>
      <c r="C1300">
        <v>8</v>
      </c>
      <c r="D1300">
        <v>25</v>
      </c>
      <c r="E1300">
        <v>136</v>
      </c>
      <c r="F1300">
        <v>6</v>
      </c>
      <c r="G1300">
        <v>8</v>
      </c>
      <c r="H1300">
        <v>25</v>
      </c>
      <c r="I1300">
        <v>678</v>
      </c>
      <c r="J1300">
        <v>0</v>
      </c>
      <c r="K1300">
        <v>3.7030000000000003</v>
      </c>
      <c r="L1300">
        <v>14.635000000000002</v>
      </c>
      <c r="M1300">
        <v>127.6785</v>
      </c>
      <c r="N1300">
        <v>10.55</v>
      </c>
      <c r="O1300">
        <v>1653</v>
      </c>
      <c r="P1300">
        <v>0</v>
      </c>
      <c r="Q1300" s="5" t="e">
        <f>IF(AND(#REF!&gt;=table!$C$6,#REF!&lt;= table!$D$6),-1,IF(AND(#REF!&gt;=table!$E$6,#REF!&lt;=table!$F$6),1,0))</f>
        <v>#REF!</v>
      </c>
      <c r="R1300" s="5" t="e">
        <f>IF(AND(#REF!&gt;=table!$C$7,#REF!&lt;= table!$D$7),-1,IF(AND(#REF!&gt;=table!$E$7,#REF!&lt;=table!$F$7),1,0))</f>
        <v>#REF!</v>
      </c>
      <c r="S1300" s="5" t="e">
        <f>IF(AND(#REF!&gt;=table!$C$8,#REF!&lt;= table!$D$8),-1,IF(AND(#REF!&gt;=table!$E$8,#REF!&lt;=table!$F$8),1,0))</f>
        <v>#REF!</v>
      </c>
      <c r="T1300" s="5"/>
      <c r="U1300" s="5" t="e">
        <f>IF(AND(#REF!&gt;=table!$C$10,#REF!&lt;= table!$D$10),-1,IF(AND(#REF!&gt;=table!$E$10,#REF!&lt;=table!$F$10),1,0))</f>
        <v>#REF!</v>
      </c>
      <c r="V1300" s="5" t="e">
        <f>IF(AND(#REF!&gt;=table!$C$11,#REF!&lt;= table!$D$11),-1,IF(AND(#REF!&gt;=table!$E$11,#REF!&lt;=table!$F$11),1,0))</f>
        <v>#REF!</v>
      </c>
      <c r="W1300" s="5" t="e">
        <f>CONCATENATE(dados[[#This Row],[fator1]],dados[[#This Row],[fator5]],dados[[#This Row],[fator6]])</f>
        <v>#REF!</v>
      </c>
    </row>
    <row r="1301" spans="1:23">
      <c r="A1301" t="s">
        <v>16</v>
      </c>
      <c r="B1301">
        <v>484644</v>
      </c>
      <c r="C1301">
        <v>8</v>
      </c>
      <c r="D1301">
        <v>30</v>
      </c>
      <c r="E1301">
        <v>61</v>
      </c>
      <c r="F1301">
        <v>8</v>
      </c>
      <c r="G1301">
        <v>0</v>
      </c>
      <c r="H1301">
        <v>25</v>
      </c>
      <c r="I1301">
        <v>1062</v>
      </c>
      <c r="J1301">
        <v>0</v>
      </c>
      <c r="K1301">
        <v>2.97</v>
      </c>
      <c r="L1301">
        <v>13.25</v>
      </c>
      <c r="M1301">
        <v>52.645000000000003</v>
      </c>
      <c r="N1301">
        <v>13.685</v>
      </c>
      <c r="O1301">
        <v>1689</v>
      </c>
      <c r="P1301">
        <v>566</v>
      </c>
      <c r="Q1301" s="5" t="e">
        <f>IF(AND(#REF!&gt;=table!$C$6,#REF!&lt;= table!$D$6),-1,IF(AND(#REF!&gt;=table!$E$6,#REF!&lt;=table!$F$6),1,0))</f>
        <v>#REF!</v>
      </c>
      <c r="R1301" s="5" t="e">
        <f>IF(AND(#REF!&gt;=table!$C$7,#REF!&lt;= table!$D$7),-1,IF(AND(#REF!&gt;=table!$E$7,#REF!&lt;=table!$F$7),1,0))</f>
        <v>#REF!</v>
      </c>
      <c r="S1301" s="5" t="e">
        <f>IF(AND(#REF!&gt;=table!$C$8,#REF!&lt;= table!$D$8),-1,IF(AND(#REF!&gt;=table!$E$8,#REF!&lt;=table!$F$8),1,0))</f>
        <v>#REF!</v>
      </c>
      <c r="T1301" s="5"/>
      <c r="U1301" s="5" t="e">
        <f>IF(AND(#REF!&gt;=table!$C$10,#REF!&lt;= table!$D$10),-1,IF(AND(#REF!&gt;=table!$E$10,#REF!&lt;=table!$F$10),1,0))</f>
        <v>#REF!</v>
      </c>
      <c r="V1301" s="5" t="e">
        <f>IF(AND(#REF!&gt;=table!$C$11,#REF!&lt;= table!$D$11),-1,IF(AND(#REF!&gt;=table!$E$11,#REF!&lt;=table!$F$11),1,0))</f>
        <v>#REF!</v>
      </c>
      <c r="W1301" s="5" t="e">
        <f>CONCATENATE(dados[[#This Row],[fator1]],dados[[#This Row],[fator5]],dados[[#This Row],[fator6]])</f>
        <v>#REF!</v>
      </c>
    </row>
    <row r="1302" spans="1:23">
      <c r="A1302" t="s">
        <v>16</v>
      </c>
      <c r="B1302">
        <v>484646</v>
      </c>
      <c r="C1302">
        <v>8</v>
      </c>
      <c r="D1302">
        <v>40</v>
      </c>
      <c r="E1302">
        <v>65</v>
      </c>
      <c r="F1302">
        <v>8</v>
      </c>
      <c r="G1302">
        <v>0</v>
      </c>
      <c r="H1302">
        <v>25</v>
      </c>
      <c r="I1302">
        <v>72</v>
      </c>
      <c r="J1302">
        <v>0</v>
      </c>
      <c r="K1302">
        <v>2.75</v>
      </c>
      <c r="L1302">
        <v>8.7000000000000011</v>
      </c>
      <c r="M1302">
        <v>57.25</v>
      </c>
      <c r="N1302">
        <v>12.25</v>
      </c>
      <c r="O1302">
        <v>1675</v>
      </c>
      <c r="P1302">
        <v>741</v>
      </c>
      <c r="Q1302" s="5" t="e">
        <f>IF(AND(#REF!&gt;=table!$C$6,#REF!&lt;= table!$D$6),-1,IF(AND(#REF!&gt;=table!$E$6,#REF!&lt;=table!$F$6),1,0))</f>
        <v>#REF!</v>
      </c>
      <c r="R1302" s="5" t="e">
        <f>IF(AND(#REF!&gt;=table!$C$7,#REF!&lt;= table!$D$7),-1,IF(AND(#REF!&gt;=table!$E$7,#REF!&lt;=table!$F$7),1,0))</f>
        <v>#REF!</v>
      </c>
      <c r="S1302" s="5" t="e">
        <f>IF(AND(#REF!&gt;=table!$C$8,#REF!&lt;= table!$D$8),-1,IF(AND(#REF!&gt;=table!$E$8,#REF!&lt;=table!$F$8),1,0))</f>
        <v>#REF!</v>
      </c>
      <c r="T1302" s="5"/>
      <c r="U1302" s="5" t="e">
        <f>IF(AND(#REF!&gt;=table!$C$10,#REF!&lt;= table!$D$10),-1,IF(AND(#REF!&gt;=table!$E$10,#REF!&lt;=table!$F$10),1,0))</f>
        <v>#REF!</v>
      </c>
      <c r="V1302" s="5" t="e">
        <f>IF(AND(#REF!&gt;=table!$C$11,#REF!&lt;= table!$D$11),-1,IF(AND(#REF!&gt;=table!$E$11,#REF!&lt;=table!$F$11),1,0))</f>
        <v>#REF!</v>
      </c>
      <c r="W1302" s="5" t="e">
        <f>CONCATENATE(dados[[#This Row],[fator1]],dados[[#This Row],[fator5]],dados[[#This Row],[fator6]])</f>
        <v>#REF!</v>
      </c>
    </row>
    <row r="1303" spans="1:23">
      <c r="A1303" t="s">
        <v>16</v>
      </c>
      <c r="B1303">
        <v>484647</v>
      </c>
      <c r="C1303">
        <v>8</v>
      </c>
      <c r="D1303">
        <v>40</v>
      </c>
      <c r="E1303">
        <v>65</v>
      </c>
      <c r="F1303">
        <v>8</v>
      </c>
      <c r="G1303">
        <v>0</v>
      </c>
      <c r="H1303">
        <v>25</v>
      </c>
      <c r="I1303">
        <v>0</v>
      </c>
      <c r="J1303">
        <v>0</v>
      </c>
      <c r="K1303">
        <v>5.335</v>
      </c>
      <c r="L1303">
        <v>15.85</v>
      </c>
      <c r="M1303">
        <v>54.75</v>
      </c>
      <c r="N1303">
        <v>10.5</v>
      </c>
      <c r="O1303">
        <v>1673</v>
      </c>
      <c r="P1303">
        <v>422</v>
      </c>
      <c r="Q1303" s="5" t="e">
        <f>IF(AND(#REF!&gt;=table!$C$6,#REF!&lt;= table!$D$6),-1,IF(AND(#REF!&gt;=table!$E$6,#REF!&lt;=table!$F$6),1,0))</f>
        <v>#REF!</v>
      </c>
      <c r="R1303" s="5" t="e">
        <f>IF(AND(#REF!&gt;=table!$C$7,#REF!&lt;= table!$D$7),-1,IF(AND(#REF!&gt;=table!$E$7,#REF!&lt;=table!$F$7),1,0))</f>
        <v>#REF!</v>
      </c>
      <c r="S1303" s="5" t="e">
        <f>IF(AND(#REF!&gt;=table!$C$8,#REF!&lt;= table!$D$8),-1,IF(AND(#REF!&gt;=table!$E$8,#REF!&lt;=table!$F$8),1,0))</f>
        <v>#REF!</v>
      </c>
      <c r="T1303" s="5"/>
      <c r="U1303" s="5" t="e">
        <f>IF(AND(#REF!&gt;=table!$C$10,#REF!&lt;= table!$D$10),-1,IF(AND(#REF!&gt;=table!$E$10,#REF!&lt;=table!$F$10),1,0))</f>
        <v>#REF!</v>
      </c>
      <c r="V1303" s="5" t="e">
        <f>IF(AND(#REF!&gt;=table!$C$11,#REF!&lt;= table!$D$11),-1,IF(AND(#REF!&gt;=table!$E$11,#REF!&lt;=table!$F$11),1,0))</f>
        <v>#REF!</v>
      </c>
      <c r="W1303" s="5" t="e">
        <f>CONCATENATE(dados[[#This Row],[fator1]],dados[[#This Row],[fator5]],dados[[#This Row],[fator6]])</f>
        <v>#REF!</v>
      </c>
    </row>
    <row r="1304" spans="1:23">
      <c r="A1304" t="s">
        <v>17</v>
      </c>
      <c r="B1304">
        <v>484648</v>
      </c>
      <c r="C1304">
        <v>18</v>
      </c>
      <c r="D1304">
        <v>23</v>
      </c>
      <c r="E1304">
        <v>145</v>
      </c>
      <c r="F1304">
        <v>9</v>
      </c>
      <c r="G1304">
        <v>30</v>
      </c>
      <c r="H1304">
        <v>25</v>
      </c>
      <c r="I1304">
        <v>883</v>
      </c>
      <c r="J1304">
        <v>0</v>
      </c>
      <c r="K1304">
        <v>3.06</v>
      </c>
      <c r="L1304">
        <v>18.25</v>
      </c>
      <c r="M1304">
        <v>119.60000000000001</v>
      </c>
      <c r="N1304">
        <v>13.55</v>
      </c>
      <c r="O1304">
        <v>1692</v>
      </c>
      <c r="P1304">
        <v>0</v>
      </c>
      <c r="Q1304" s="5" t="e">
        <f>IF(AND(#REF!&gt;=table!$C$6,#REF!&lt;= table!$D$6),-1,IF(AND(#REF!&gt;=table!$E$6,#REF!&lt;=table!$F$6),1,0))</f>
        <v>#REF!</v>
      </c>
      <c r="R1304" s="5" t="e">
        <f>IF(AND(#REF!&gt;=table!$C$7,#REF!&lt;= table!$D$7),-1,IF(AND(#REF!&gt;=table!$E$7,#REF!&lt;=table!$F$7),1,0))</f>
        <v>#REF!</v>
      </c>
      <c r="S1304" s="5" t="e">
        <f>IF(AND(#REF!&gt;=table!$C$8,#REF!&lt;= table!$D$8),-1,IF(AND(#REF!&gt;=table!$E$8,#REF!&lt;=table!$F$8),1,0))</f>
        <v>#REF!</v>
      </c>
      <c r="T1304" s="5"/>
      <c r="U1304" s="5" t="e">
        <f>IF(AND(#REF!&gt;=table!$C$10,#REF!&lt;= table!$D$10),-1,IF(AND(#REF!&gt;=table!$E$10,#REF!&lt;=table!$F$10),1,0))</f>
        <v>#REF!</v>
      </c>
      <c r="V1304" s="5" t="e">
        <f>IF(AND(#REF!&gt;=table!$C$11,#REF!&lt;= table!$D$11),-1,IF(AND(#REF!&gt;=table!$E$11,#REF!&lt;=table!$F$11),1,0))</f>
        <v>#REF!</v>
      </c>
      <c r="W1304" s="5" t="e">
        <f>CONCATENATE(dados[[#This Row],[fator1]],dados[[#This Row],[fator5]],dados[[#This Row],[fator6]])</f>
        <v>#REF!</v>
      </c>
    </row>
    <row r="1305" spans="1:23">
      <c r="A1305" t="s">
        <v>16</v>
      </c>
      <c r="B1305">
        <v>484652</v>
      </c>
      <c r="C1305">
        <v>12</v>
      </c>
      <c r="D1305">
        <v>40</v>
      </c>
      <c r="E1305">
        <v>36</v>
      </c>
      <c r="F1305">
        <v>9</v>
      </c>
      <c r="G1305">
        <v>0</v>
      </c>
      <c r="H1305">
        <v>25</v>
      </c>
      <c r="I1305">
        <v>380</v>
      </c>
      <c r="J1305">
        <v>0</v>
      </c>
      <c r="K1305">
        <v>2.2949999999999999</v>
      </c>
      <c r="L1305">
        <v>9.6349999999999998</v>
      </c>
      <c r="M1305">
        <v>25.41</v>
      </c>
      <c r="N1305">
        <v>7.4950000000000001</v>
      </c>
      <c r="O1305">
        <v>1668</v>
      </c>
      <c r="P1305">
        <v>0</v>
      </c>
      <c r="Q1305" s="5" t="e">
        <f>IF(AND(#REF!&gt;=table!$C$6,#REF!&lt;= table!$D$6),-1,IF(AND(#REF!&gt;=table!$E$6,#REF!&lt;=table!$F$6),1,0))</f>
        <v>#REF!</v>
      </c>
      <c r="R1305" s="5" t="e">
        <f>IF(AND(#REF!&gt;=table!$C$7,#REF!&lt;= table!$D$7),-1,IF(AND(#REF!&gt;=table!$E$7,#REF!&lt;=table!$F$7),1,0))</f>
        <v>#REF!</v>
      </c>
      <c r="S1305" s="5" t="e">
        <f>IF(AND(#REF!&gt;=table!$C$8,#REF!&lt;= table!$D$8),-1,IF(AND(#REF!&gt;=table!$E$8,#REF!&lt;=table!$F$8),1,0))</f>
        <v>#REF!</v>
      </c>
      <c r="T1305" s="5"/>
      <c r="U1305" s="5" t="e">
        <f>IF(AND(#REF!&gt;=table!$C$10,#REF!&lt;= table!$D$10),-1,IF(AND(#REF!&gt;=table!$E$10,#REF!&lt;=table!$F$10),1,0))</f>
        <v>#REF!</v>
      </c>
      <c r="V1305" s="5" t="e">
        <f>IF(AND(#REF!&gt;=table!$C$11,#REF!&lt;= table!$D$11),-1,IF(AND(#REF!&gt;=table!$E$11,#REF!&lt;=table!$F$11),1,0))</f>
        <v>#REF!</v>
      </c>
      <c r="W1305" s="5" t="e">
        <f>CONCATENATE(dados[[#This Row],[fator1]],dados[[#This Row],[fator5]],dados[[#This Row],[fator6]])</f>
        <v>#REF!</v>
      </c>
    </row>
    <row r="1306" spans="1:23">
      <c r="A1306" t="s">
        <v>16</v>
      </c>
      <c r="B1306">
        <v>484654</v>
      </c>
      <c r="C1306">
        <v>12</v>
      </c>
      <c r="D1306">
        <v>40</v>
      </c>
      <c r="E1306">
        <v>36</v>
      </c>
      <c r="F1306">
        <v>9</v>
      </c>
      <c r="G1306">
        <v>0</v>
      </c>
      <c r="H1306">
        <v>25</v>
      </c>
      <c r="I1306">
        <v>947</v>
      </c>
      <c r="J1306">
        <v>0</v>
      </c>
      <c r="K1306">
        <v>4.3849999999999998</v>
      </c>
      <c r="L1306">
        <v>9.82</v>
      </c>
      <c r="M1306">
        <v>28.64</v>
      </c>
      <c r="N1306">
        <v>8.56</v>
      </c>
      <c r="O1306">
        <v>1646</v>
      </c>
      <c r="P1306">
        <v>0</v>
      </c>
      <c r="Q1306" s="5" t="e">
        <f>IF(AND(#REF!&gt;=table!$C$6,#REF!&lt;= table!$D$6),-1,IF(AND(#REF!&gt;=table!$E$6,#REF!&lt;=table!$F$6),1,0))</f>
        <v>#REF!</v>
      </c>
      <c r="R1306" s="5" t="e">
        <f>IF(AND(#REF!&gt;=table!$C$7,#REF!&lt;= table!$D$7),-1,IF(AND(#REF!&gt;=table!$E$7,#REF!&lt;=table!$F$7),1,0))</f>
        <v>#REF!</v>
      </c>
      <c r="S1306" s="5" t="e">
        <f>IF(AND(#REF!&gt;=table!$C$8,#REF!&lt;= table!$D$8),-1,IF(AND(#REF!&gt;=table!$E$8,#REF!&lt;=table!$F$8),1,0))</f>
        <v>#REF!</v>
      </c>
      <c r="T1306" s="5"/>
      <c r="U1306" s="5" t="e">
        <f>IF(AND(#REF!&gt;=table!$C$10,#REF!&lt;= table!$D$10),-1,IF(AND(#REF!&gt;=table!$E$10,#REF!&lt;=table!$F$10),1,0))</f>
        <v>#REF!</v>
      </c>
      <c r="V1306" s="5" t="e">
        <f>IF(AND(#REF!&gt;=table!$C$11,#REF!&lt;= table!$D$11),-1,IF(AND(#REF!&gt;=table!$E$11,#REF!&lt;=table!$F$11),1,0))</f>
        <v>#REF!</v>
      </c>
      <c r="W1306" s="5" t="e">
        <f>CONCATENATE(dados[[#This Row],[fator1]],dados[[#This Row],[fator5]],dados[[#This Row],[fator6]])</f>
        <v>#REF!</v>
      </c>
    </row>
    <row r="1307" spans="1:23">
      <c r="A1307" t="s">
        <v>16</v>
      </c>
      <c r="B1307">
        <v>484660</v>
      </c>
      <c r="C1307">
        <v>12</v>
      </c>
      <c r="D1307">
        <v>40</v>
      </c>
      <c r="E1307">
        <v>36</v>
      </c>
      <c r="F1307">
        <v>9</v>
      </c>
      <c r="G1307">
        <v>0</v>
      </c>
      <c r="H1307">
        <v>25</v>
      </c>
      <c r="I1307">
        <v>511</v>
      </c>
      <c r="J1307">
        <v>0</v>
      </c>
      <c r="K1307">
        <v>3.49</v>
      </c>
      <c r="L1307">
        <v>14.6</v>
      </c>
      <c r="M1307">
        <v>24.05</v>
      </c>
      <c r="N1307">
        <v>12.5</v>
      </c>
      <c r="O1307">
        <v>1666</v>
      </c>
      <c r="P1307">
        <v>476</v>
      </c>
      <c r="Q1307" s="5" t="e">
        <f>IF(AND(#REF!&gt;=table!$C$6,#REF!&lt;= table!$D$6),-1,IF(AND(#REF!&gt;=table!$E$6,#REF!&lt;=table!$F$6),1,0))</f>
        <v>#REF!</v>
      </c>
      <c r="R1307" s="5" t="e">
        <f>IF(AND(#REF!&gt;=table!$C$7,#REF!&lt;= table!$D$7),-1,IF(AND(#REF!&gt;=table!$E$7,#REF!&lt;=table!$F$7),1,0))</f>
        <v>#REF!</v>
      </c>
      <c r="S1307" s="5" t="e">
        <f>IF(AND(#REF!&gt;=table!$C$8,#REF!&lt;= table!$D$8),-1,IF(AND(#REF!&gt;=table!$E$8,#REF!&lt;=table!$F$8),1,0))</f>
        <v>#REF!</v>
      </c>
      <c r="T1307" s="5"/>
      <c r="U1307" s="5" t="e">
        <f>IF(AND(#REF!&gt;=table!$C$10,#REF!&lt;= table!$D$10),-1,IF(AND(#REF!&gt;=table!$E$10,#REF!&lt;=table!$F$10),1,0))</f>
        <v>#REF!</v>
      </c>
      <c r="V1307" s="5" t="e">
        <f>IF(AND(#REF!&gt;=table!$C$11,#REF!&lt;= table!$D$11),-1,IF(AND(#REF!&gt;=table!$E$11,#REF!&lt;=table!$F$11),1,0))</f>
        <v>#REF!</v>
      </c>
      <c r="W1307" s="5" t="e">
        <f>CONCATENATE(dados[[#This Row],[fator1]],dados[[#This Row],[fator5]],dados[[#This Row],[fator6]])</f>
        <v>#REF!</v>
      </c>
    </row>
    <row r="1308" spans="1:23">
      <c r="A1308" t="s">
        <v>16</v>
      </c>
      <c r="B1308">
        <v>484662</v>
      </c>
      <c r="C1308">
        <v>11</v>
      </c>
      <c r="D1308">
        <v>35</v>
      </c>
      <c r="E1308">
        <v>45</v>
      </c>
      <c r="F1308">
        <v>9</v>
      </c>
      <c r="G1308">
        <v>0</v>
      </c>
      <c r="H1308">
        <v>25</v>
      </c>
      <c r="I1308">
        <v>431</v>
      </c>
      <c r="J1308">
        <v>0</v>
      </c>
      <c r="K1308">
        <v>8.67</v>
      </c>
      <c r="L1308">
        <v>21.22</v>
      </c>
      <c r="M1308">
        <v>32.25</v>
      </c>
      <c r="N1308">
        <v>14.15</v>
      </c>
      <c r="O1308">
        <v>1663</v>
      </c>
      <c r="P1308">
        <v>0</v>
      </c>
      <c r="Q1308" s="5" t="e">
        <f>IF(AND(#REF!&gt;=table!$C$6,#REF!&lt;= table!$D$6),-1,IF(AND(#REF!&gt;=table!$E$6,#REF!&lt;=table!$F$6),1,0))</f>
        <v>#REF!</v>
      </c>
      <c r="R1308" s="5" t="e">
        <f>IF(AND(#REF!&gt;=table!$C$7,#REF!&lt;= table!$D$7),-1,IF(AND(#REF!&gt;=table!$E$7,#REF!&lt;=table!$F$7),1,0))</f>
        <v>#REF!</v>
      </c>
      <c r="S1308" s="5" t="e">
        <f>IF(AND(#REF!&gt;=table!$C$8,#REF!&lt;= table!$D$8),-1,IF(AND(#REF!&gt;=table!$E$8,#REF!&lt;=table!$F$8),1,0))</f>
        <v>#REF!</v>
      </c>
      <c r="T1308" s="5"/>
      <c r="U1308" s="5" t="e">
        <f>IF(AND(#REF!&gt;=table!$C$10,#REF!&lt;= table!$D$10),-1,IF(AND(#REF!&gt;=table!$E$10,#REF!&lt;=table!$F$10),1,0))</f>
        <v>#REF!</v>
      </c>
      <c r="V1308" s="5" t="e">
        <f>IF(AND(#REF!&gt;=table!$C$11,#REF!&lt;= table!$D$11),-1,IF(AND(#REF!&gt;=table!$E$11,#REF!&lt;=table!$F$11),1,0))</f>
        <v>#REF!</v>
      </c>
      <c r="W1308" s="5" t="e">
        <f>CONCATENATE(dados[[#This Row],[fator1]],dados[[#This Row],[fator5]],dados[[#This Row],[fator6]])</f>
        <v>#REF!</v>
      </c>
    </row>
    <row r="1309" spans="1:23">
      <c r="A1309" t="s">
        <v>16</v>
      </c>
      <c r="B1309">
        <v>484663</v>
      </c>
      <c r="C1309">
        <v>7</v>
      </c>
      <c r="D1309">
        <v>33</v>
      </c>
      <c r="E1309">
        <v>153</v>
      </c>
      <c r="F1309">
        <v>4</v>
      </c>
      <c r="G1309">
        <v>0</v>
      </c>
      <c r="H1309">
        <v>25</v>
      </c>
      <c r="I1309">
        <v>1083</v>
      </c>
      <c r="J1309">
        <v>0</v>
      </c>
      <c r="K1309">
        <v>4.76</v>
      </c>
      <c r="L1309">
        <v>16.05</v>
      </c>
      <c r="M1309">
        <v>136.85</v>
      </c>
      <c r="N1309">
        <v>13.4</v>
      </c>
      <c r="O1309">
        <v>1665</v>
      </c>
      <c r="P1309">
        <v>0</v>
      </c>
      <c r="Q1309" s="5" t="e">
        <f>IF(AND(#REF!&gt;=table!$C$6,#REF!&lt;= table!$D$6),-1,IF(AND(#REF!&gt;=table!$E$6,#REF!&lt;=table!$F$6),1,0))</f>
        <v>#REF!</v>
      </c>
      <c r="R1309" s="5" t="e">
        <f>IF(AND(#REF!&gt;=table!$C$7,#REF!&lt;= table!$D$7),-1,IF(AND(#REF!&gt;=table!$E$7,#REF!&lt;=table!$F$7),1,0))</f>
        <v>#REF!</v>
      </c>
      <c r="S1309" s="5" t="e">
        <f>IF(AND(#REF!&gt;=table!$C$8,#REF!&lt;= table!$D$8),-1,IF(AND(#REF!&gt;=table!$E$8,#REF!&lt;=table!$F$8),1,0))</f>
        <v>#REF!</v>
      </c>
      <c r="T1309" s="5"/>
      <c r="U1309" s="5" t="e">
        <f>IF(AND(#REF!&gt;=table!$C$10,#REF!&lt;= table!$D$10),-1,IF(AND(#REF!&gt;=table!$E$10,#REF!&lt;=table!$F$10),1,0))</f>
        <v>#REF!</v>
      </c>
      <c r="V1309" s="5" t="e">
        <f>IF(AND(#REF!&gt;=table!$C$11,#REF!&lt;= table!$D$11),-1,IF(AND(#REF!&gt;=table!$E$11,#REF!&lt;=table!$F$11),1,0))</f>
        <v>#REF!</v>
      </c>
      <c r="W1309" s="5" t="e">
        <f>CONCATENATE(dados[[#This Row],[fator1]],dados[[#This Row],[fator5]],dados[[#This Row],[fator6]])</f>
        <v>#REF!</v>
      </c>
    </row>
    <row r="1310" spans="1:23">
      <c r="A1310" t="s">
        <v>16</v>
      </c>
      <c r="B1310">
        <v>484664</v>
      </c>
      <c r="C1310">
        <v>7</v>
      </c>
      <c r="D1310">
        <v>33</v>
      </c>
      <c r="E1310">
        <v>153</v>
      </c>
      <c r="F1310">
        <v>4</v>
      </c>
      <c r="G1310">
        <v>0</v>
      </c>
      <c r="H1310">
        <v>25</v>
      </c>
      <c r="I1310">
        <v>619</v>
      </c>
      <c r="J1310">
        <v>0</v>
      </c>
      <c r="K1310">
        <v>4.2949999999999999</v>
      </c>
      <c r="L1310">
        <v>13.85</v>
      </c>
      <c r="M1310">
        <v>145.1</v>
      </c>
      <c r="N1310">
        <v>11.6</v>
      </c>
      <c r="O1310">
        <v>1655</v>
      </c>
      <c r="P1310">
        <v>395</v>
      </c>
      <c r="Q1310" s="5" t="e">
        <f>IF(AND(#REF!&gt;=table!$C$6,#REF!&lt;= table!$D$6),-1,IF(AND(#REF!&gt;=table!$E$6,#REF!&lt;=table!$F$6),1,0))</f>
        <v>#REF!</v>
      </c>
      <c r="R1310" s="5" t="e">
        <f>IF(AND(#REF!&gt;=table!$C$7,#REF!&lt;= table!$D$7),-1,IF(AND(#REF!&gt;=table!$E$7,#REF!&lt;=table!$F$7),1,0))</f>
        <v>#REF!</v>
      </c>
      <c r="S1310" s="5" t="e">
        <f>IF(AND(#REF!&gt;=table!$C$8,#REF!&lt;= table!$D$8),-1,IF(AND(#REF!&gt;=table!$E$8,#REF!&lt;=table!$F$8),1,0))</f>
        <v>#REF!</v>
      </c>
      <c r="T1310" s="5"/>
      <c r="U1310" s="5" t="e">
        <f>IF(AND(#REF!&gt;=table!$C$10,#REF!&lt;= table!$D$10),-1,IF(AND(#REF!&gt;=table!$E$10,#REF!&lt;=table!$F$10),1,0))</f>
        <v>#REF!</v>
      </c>
      <c r="V1310" s="5" t="e">
        <f>IF(AND(#REF!&gt;=table!$C$11,#REF!&lt;= table!$D$11),-1,IF(AND(#REF!&gt;=table!$E$11,#REF!&lt;=table!$F$11),1,0))</f>
        <v>#REF!</v>
      </c>
      <c r="W1310" s="5" t="e">
        <f>CONCATENATE(dados[[#This Row],[fator1]],dados[[#This Row],[fator5]],dados[[#This Row],[fator6]])</f>
        <v>#REF!</v>
      </c>
    </row>
    <row r="1311" spans="1:23">
      <c r="A1311" t="s">
        <v>17</v>
      </c>
      <c r="B1311">
        <v>484669</v>
      </c>
      <c r="C1311">
        <v>7</v>
      </c>
      <c r="D1311">
        <v>35</v>
      </c>
      <c r="E1311">
        <v>200</v>
      </c>
      <c r="F1311">
        <v>8</v>
      </c>
      <c r="G1311">
        <v>50</v>
      </c>
      <c r="H1311">
        <v>25</v>
      </c>
      <c r="I1311">
        <v>639</v>
      </c>
      <c r="J1311">
        <v>0</v>
      </c>
      <c r="K1311">
        <v>4.4850000000000003</v>
      </c>
      <c r="L1311">
        <v>12.925000000000001</v>
      </c>
      <c r="M1311">
        <v>159.095</v>
      </c>
      <c r="N1311">
        <v>12.685</v>
      </c>
      <c r="O1311">
        <v>1687</v>
      </c>
      <c r="P1311">
        <v>596</v>
      </c>
      <c r="Q1311" s="5" t="e">
        <f>IF(AND(#REF!&gt;=table!$C$6,#REF!&lt;= table!$D$6),-1,IF(AND(#REF!&gt;=table!$E$6,#REF!&lt;=table!$F$6),1,0))</f>
        <v>#REF!</v>
      </c>
      <c r="R1311" s="5" t="e">
        <f>IF(AND(#REF!&gt;=table!$C$7,#REF!&lt;= table!$D$7),-1,IF(AND(#REF!&gt;=table!$E$7,#REF!&lt;=table!$F$7),1,0))</f>
        <v>#REF!</v>
      </c>
      <c r="S1311" s="5" t="e">
        <f>IF(AND(#REF!&gt;=table!$C$8,#REF!&lt;= table!$D$8),-1,IF(AND(#REF!&gt;=table!$E$8,#REF!&lt;=table!$F$8),1,0))</f>
        <v>#REF!</v>
      </c>
      <c r="T1311" s="5"/>
      <c r="U1311" s="5" t="e">
        <f>IF(AND(#REF!&gt;=table!$C$10,#REF!&lt;= table!$D$10),-1,IF(AND(#REF!&gt;=table!$E$10,#REF!&lt;=table!$F$10),1,0))</f>
        <v>#REF!</v>
      </c>
      <c r="V1311" s="5" t="e">
        <f>IF(AND(#REF!&gt;=table!$C$11,#REF!&lt;= table!$D$11),-1,IF(AND(#REF!&gt;=table!$E$11,#REF!&lt;=table!$F$11),1,0))</f>
        <v>#REF!</v>
      </c>
      <c r="W1311" s="5" t="e">
        <f>CONCATENATE(dados[[#This Row],[fator1]],dados[[#This Row],[fator5]],dados[[#This Row],[fator6]])</f>
        <v>#REF!</v>
      </c>
    </row>
    <row r="1312" spans="1:23">
      <c r="A1312" t="s">
        <v>17</v>
      </c>
      <c r="B1312">
        <v>484671</v>
      </c>
      <c r="C1312">
        <v>9</v>
      </c>
      <c r="D1312">
        <v>30</v>
      </c>
      <c r="E1312">
        <v>160</v>
      </c>
      <c r="F1312">
        <v>3</v>
      </c>
      <c r="G1312">
        <v>30</v>
      </c>
      <c r="H1312">
        <v>18</v>
      </c>
      <c r="I1312">
        <v>0</v>
      </c>
      <c r="J1312">
        <v>0</v>
      </c>
      <c r="K1312">
        <v>2.6950000000000003</v>
      </c>
      <c r="L1312">
        <v>13.69</v>
      </c>
      <c r="M1312">
        <v>145.42000000000002</v>
      </c>
      <c r="N1312">
        <v>10.75</v>
      </c>
      <c r="O1312">
        <v>1681</v>
      </c>
      <c r="P1312">
        <v>624</v>
      </c>
      <c r="Q1312" s="5" t="e">
        <f>IF(AND(#REF!&gt;=table!$C$6,#REF!&lt;= table!$D$6),-1,IF(AND(#REF!&gt;=table!$E$6,#REF!&lt;=table!$F$6),1,0))</f>
        <v>#REF!</v>
      </c>
      <c r="R1312" s="5" t="e">
        <f>IF(AND(#REF!&gt;=table!$C$7,#REF!&lt;= table!$D$7),-1,IF(AND(#REF!&gt;=table!$E$7,#REF!&lt;=table!$F$7),1,0))</f>
        <v>#REF!</v>
      </c>
      <c r="S1312" s="5" t="e">
        <f>IF(AND(#REF!&gt;=table!$C$8,#REF!&lt;= table!$D$8),-1,IF(AND(#REF!&gt;=table!$E$8,#REF!&lt;=table!$F$8),1,0))</f>
        <v>#REF!</v>
      </c>
      <c r="T1312" s="5"/>
      <c r="U1312" s="5" t="e">
        <f>IF(AND(#REF!&gt;=table!$C$10,#REF!&lt;= table!$D$10),-1,IF(AND(#REF!&gt;=table!$E$10,#REF!&lt;=table!$F$10),1,0))</f>
        <v>#REF!</v>
      </c>
      <c r="V1312" s="5" t="e">
        <f>IF(AND(#REF!&gt;=table!$C$11,#REF!&lt;= table!$D$11),-1,IF(AND(#REF!&gt;=table!$E$11,#REF!&lt;=table!$F$11),1,0))</f>
        <v>#REF!</v>
      </c>
      <c r="W1312" s="5" t="e">
        <f>CONCATENATE(dados[[#This Row],[fator1]],dados[[#This Row],[fator5]],dados[[#This Row],[fator6]])</f>
        <v>#REF!</v>
      </c>
    </row>
    <row r="1313" spans="1:23">
      <c r="A1313" t="s">
        <v>16</v>
      </c>
      <c r="B1313">
        <v>484675</v>
      </c>
      <c r="C1313">
        <v>6</v>
      </c>
      <c r="D1313">
        <v>30</v>
      </c>
      <c r="E1313">
        <v>40</v>
      </c>
      <c r="F1313">
        <v>15</v>
      </c>
      <c r="G1313">
        <v>0</v>
      </c>
      <c r="H1313">
        <v>25</v>
      </c>
      <c r="I1313">
        <v>1249</v>
      </c>
      <c r="J1313">
        <v>0</v>
      </c>
      <c r="K1313">
        <v>3.91</v>
      </c>
      <c r="L1313">
        <v>11.515000000000001</v>
      </c>
      <c r="M1313">
        <v>8.85</v>
      </c>
      <c r="N1313">
        <v>6.75</v>
      </c>
      <c r="O1313">
        <v>1694</v>
      </c>
      <c r="P1313">
        <v>0</v>
      </c>
      <c r="Q1313" s="5" t="e">
        <f>IF(AND(#REF!&gt;=table!$C$6,#REF!&lt;= table!$D$6),-1,IF(AND(#REF!&gt;=table!$E$6,#REF!&lt;=table!$F$6),1,0))</f>
        <v>#REF!</v>
      </c>
      <c r="R1313" s="5" t="e">
        <f>IF(AND(#REF!&gt;=table!$C$7,#REF!&lt;= table!$D$7),-1,IF(AND(#REF!&gt;=table!$E$7,#REF!&lt;=table!$F$7),1,0))</f>
        <v>#REF!</v>
      </c>
      <c r="S1313" s="5" t="e">
        <f>IF(AND(#REF!&gt;=table!$C$8,#REF!&lt;= table!$D$8),-1,IF(AND(#REF!&gt;=table!$E$8,#REF!&lt;=table!$F$8),1,0))</f>
        <v>#REF!</v>
      </c>
      <c r="T1313" s="5"/>
      <c r="U1313" s="5" t="e">
        <f>IF(AND(#REF!&gt;=table!$C$10,#REF!&lt;= table!$D$10),-1,IF(AND(#REF!&gt;=table!$E$10,#REF!&lt;=table!$F$10),1,0))</f>
        <v>#REF!</v>
      </c>
      <c r="V1313" s="5" t="e">
        <f>IF(AND(#REF!&gt;=table!$C$11,#REF!&lt;= table!$D$11),-1,IF(AND(#REF!&gt;=table!$E$11,#REF!&lt;=table!$F$11),1,0))</f>
        <v>#REF!</v>
      </c>
      <c r="W1313" s="5" t="e">
        <f>CONCATENATE(dados[[#This Row],[fator1]],dados[[#This Row],[fator5]],dados[[#This Row],[fator6]])</f>
        <v>#REF!</v>
      </c>
    </row>
    <row r="1314" spans="1:23">
      <c r="A1314" t="s">
        <v>16</v>
      </c>
      <c r="B1314">
        <v>484676</v>
      </c>
      <c r="C1314">
        <v>6</v>
      </c>
      <c r="D1314">
        <v>30</v>
      </c>
      <c r="E1314">
        <v>40</v>
      </c>
      <c r="F1314">
        <v>15</v>
      </c>
      <c r="G1314">
        <v>0</v>
      </c>
      <c r="H1314">
        <v>25</v>
      </c>
      <c r="I1314">
        <v>380</v>
      </c>
      <c r="J1314">
        <v>0</v>
      </c>
      <c r="K1314">
        <v>3.67</v>
      </c>
      <c r="L1314">
        <v>10.4</v>
      </c>
      <c r="M1314">
        <v>10.255000000000001</v>
      </c>
      <c r="N1314">
        <v>8.8000000000000007</v>
      </c>
      <c r="O1314">
        <v>1657</v>
      </c>
      <c r="P1314">
        <v>0</v>
      </c>
      <c r="Q1314" s="5" t="e">
        <f>IF(AND(#REF!&gt;=table!$C$6,#REF!&lt;= table!$D$6),-1,IF(AND(#REF!&gt;=table!$E$6,#REF!&lt;=table!$F$6),1,0))</f>
        <v>#REF!</v>
      </c>
      <c r="R1314" s="5" t="e">
        <f>IF(AND(#REF!&gt;=table!$C$7,#REF!&lt;= table!$D$7),-1,IF(AND(#REF!&gt;=table!$E$7,#REF!&lt;=table!$F$7),1,0))</f>
        <v>#REF!</v>
      </c>
      <c r="S1314" s="5" t="e">
        <f>IF(AND(#REF!&gt;=table!$C$8,#REF!&lt;= table!$D$8),-1,IF(AND(#REF!&gt;=table!$E$8,#REF!&lt;=table!$F$8),1,0))</f>
        <v>#REF!</v>
      </c>
      <c r="T1314" s="5"/>
      <c r="U1314" s="5" t="e">
        <f>IF(AND(#REF!&gt;=table!$C$10,#REF!&lt;= table!$D$10),-1,IF(AND(#REF!&gt;=table!$E$10,#REF!&lt;=table!$F$10),1,0))</f>
        <v>#REF!</v>
      </c>
      <c r="V1314" s="5" t="e">
        <f>IF(AND(#REF!&gt;=table!$C$11,#REF!&lt;= table!$D$11),-1,IF(AND(#REF!&gt;=table!$E$11,#REF!&lt;=table!$F$11),1,0))</f>
        <v>#REF!</v>
      </c>
      <c r="W1314" s="5" t="e">
        <f>CONCATENATE(dados[[#This Row],[fator1]],dados[[#This Row],[fator5]],dados[[#This Row],[fator6]])</f>
        <v>#REF!</v>
      </c>
    </row>
    <row r="1315" spans="1:23">
      <c r="A1315" t="s">
        <v>16</v>
      </c>
      <c r="B1315">
        <v>484678</v>
      </c>
      <c r="C1315">
        <v>11</v>
      </c>
      <c r="D1315">
        <v>40</v>
      </c>
      <c r="E1315">
        <v>151</v>
      </c>
      <c r="F1315">
        <v>8</v>
      </c>
      <c r="G1315">
        <v>0</v>
      </c>
      <c r="H1315">
        <v>25</v>
      </c>
      <c r="I1315">
        <v>717</v>
      </c>
      <c r="J1315">
        <v>0</v>
      </c>
      <c r="K1315">
        <v>5.2149999999999999</v>
      </c>
      <c r="L1315">
        <v>13.49</v>
      </c>
      <c r="M1315">
        <v>144.88500000000002</v>
      </c>
      <c r="N1315">
        <v>15.700000000000001</v>
      </c>
      <c r="O1315">
        <v>1681</v>
      </c>
      <c r="P1315">
        <v>0</v>
      </c>
      <c r="Q1315" s="5" t="e">
        <f>IF(AND(#REF!&gt;=table!$C$6,#REF!&lt;= table!$D$6),-1,IF(AND(#REF!&gt;=table!$E$6,#REF!&lt;=table!$F$6),1,0))</f>
        <v>#REF!</v>
      </c>
      <c r="R1315" s="5" t="e">
        <f>IF(AND(#REF!&gt;=table!$C$7,#REF!&lt;= table!$D$7),-1,IF(AND(#REF!&gt;=table!$E$7,#REF!&lt;=table!$F$7),1,0))</f>
        <v>#REF!</v>
      </c>
      <c r="S1315" s="5" t="e">
        <f>IF(AND(#REF!&gt;=table!$C$8,#REF!&lt;= table!$D$8),-1,IF(AND(#REF!&gt;=table!$E$8,#REF!&lt;=table!$F$8),1,0))</f>
        <v>#REF!</v>
      </c>
      <c r="T1315" s="5"/>
      <c r="U1315" s="5" t="e">
        <f>IF(AND(#REF!&gt;=table!$C$10,#REF!&lt;= table!$D$10),-1,IF(AND(#REF!&gt;=table!$E$10,#REF!&lt;=table!$F$10),1,0))</f>
        <v>#REF!</v>
      </c>
      <c r="V1315" s="5" t="e">
        <f>IF(AND(#REF!&gt;=table!$C$11,#REF!&lt;= table!$D$11),-1,IF(AND(#REF!&gt;=table!$E$11,#REF!&lt;=table!$F$11),1,0))</f>
        <v>#REF!</v>
      </c>
      <c r="W1315" s="5" t="e">
        <f>CONCATENATE(dados[[#This Row],[fator1]],dados[[#This Row],[fator5]],dados[[#This Row],[fator6]])</f>
        <v>#REF!</v>
      </c>
    </row>
    <row r="1316" spans="1:23">
      <c r="A1316" t="s">
        <v>16</v>
      </c>
      <c r="B1316">
        <v>484680</v>
      </c>
      <c r="C1316">
        <v>11</v>
      </c>
      <c r="D1316">
        <v>40</v>
      </c>
      <c r="E1316">
        <v>151</v>
      </c>
      <c r="F1316">
        <v>8</v>
      </c>
      <c r="G1316">
        <v>0</v>
      </c>
      <c r="H1316">
        <v>25</v>
      </c>
      <c r="I1316">
        <v>650</v>
      </c>
      <c r="J1316">
        <v>0</v>
      </c>
      <c r="K1316">
        <v>2.5150000000000001</v>
      </c>
      <c r="L1316">
        <v>4.8</v>
      </c>
      <c r="M1316">
        <v>145.82</v>
      </c>
      <c r="N1316">
        <v>13.35</v>
      </c>
      <c r="O1316">
        <v>1690</v>
      </c>
      <c r="P1316">
        <v>0</v>
      </c>
      <c r="Q1316" s="5" t="e">
        <f>IF(AND(#REF!&gt;=table!$C$6,#REF!&lt;= table!$D$6),-1,IF(AND(#REF!&gt;=table!$E$6,#REF!&lt;=table!$F$6),1,0))</f>
        <v>#REF!</v>
      </c>
      <c r="R1316" s="5" t="e">
        <f>IF(AND(#REF!&gt;=table!$C$7,#REF!&lt;= table!$D$7),-1,IF(AND(#REF!&gt;=table!$E$7,#REF!&lt;=table!$F$7),1,0))</f>
        <v>#REF!</v>
      </c>
      <c r="S1316" s="5" t="e">
        <f>IF(AND(#REF!&gt;=table!$C$8,#REF!&lt;= table!$D$8),-1,IF(AND(#REF!&gt;=table!$E$8,#REF!&lt;=table!$F$8),1,0))</f>
        <v>#REF!</v>
      </c>
      <c r="T1316" s="5"/>
      <c r="U1316" s="5" t="e">
        <f>IF(AND(#REF!&gt;=table!$C$10,#REF!&lt;= table!$D$10),-1,IF(AND(#REF!&gt;=table!$E$10,#REF!&lt;=table!$F$10),1,0))</f>
        <v>#REF!</v>
      </c>
      <c r="V1316" s="5" t="e">
        <f>IF(AND(#REF!&gt;=table!$C$11,#REF!&lt;= table!$D$11),-1,IF(AND(#REF!&gt;=table!$E$11,#REF!&lt;=table!$F$11),1,0))</f>
        <v>#REF!</v>
      </c>
      <c r="W1316" s="5" t="e">
        <f>CONCATENATE(dados[[#This Row],[fator1]],dados[[#This Row],[fator5]],dados[[#This Row],[fator6]])</f>
        <v>#REF!</v>
      </c>
    </row>
    <row r="1317" spans="1:23">
      <c r="A1317" t="s">
        <v>16</v>
      </c>
      <c r="B1317">
        <v>484683</v>
      </c>
      <c r="C1317">
        <v>11</v>
      </c>
      <c r="D1317">
        <v>40</v>
      </c>
      <c r="E1317">
        <v>151</v>
      </c>
      <c r="F1317">
        <v>8</v>
      </c>
      <c r="G1317">
        <v>0</v>
      </c>
      <c r="H1317">
        <v>25</v>
      </c>
      <c r="I1317">
        <v>1156</v>
      </c>
      <c r="J1317">
        <v>0</v>
      </c>
      <c r="K1317">
        <v>3.2650000000000001</v>
      </c>
      <c r="L1317">
        <v>13.040000000000001</v>
      </c>
      <c r="M1317">
        <v>142.625</v>
      </c>
      <c r="N1317">
        <v>16.260000000000002</v>
      </c>
      <c r="O1317">
        <v>1650</v>
      </c>
      <c r="P1317">
        <v>529</v>
      </c>
      <c r="Q1317" s="5" t="e">
        <f>IF(AND(#REF!&gt;=table!$C$6,#REF!&lt;= table!$D$6),-1,IF(AND(#REF!&gt;=table!$E$6,#REF!&lt;=table!$F$6),1,0))</f>
        <v>#REF!</v>
      </c>
      <c r="R1317" s="5" t="e">
        <f>IF(AND(#REF!&gt;=table!$C$7,#REF!&lt;= table!$D$7),-1,IF(AND(#REF!&gt;=table!$E$7,#REF!&lt;=table!$F$7),1,0))</f>
        <v>#REF!</v>
      </c>
      <c r="S1317" s="5" t="e">
        <f>IF(AND(#REF!&gt;=table!$C$8,#REF!&lt;= table!$D$8),-1,IF(AND(#REF!&gt;=table!$E$8,#REF!&lt;=table!$F$8),1,0))</f>
        <v>#REF!</v>
      </c>
      <c r="T1317" s="5"/>
      <c r="U1317" s="5" t="e">
        <f>IF(AND(#REF!&gt;=table!$C$10,#REF!&lt;= table!$D$10),-1,IF(AND(#REF!&gt;=table!$E$10,#REF!&lt;=table!$F$10),1,0))</f>
        <v>#REF!</v>
      </c>
      <c r="V1317" s="5" t="e">
        <f>IF(AND(#REF!&gt;=table!$C$11,#REF!&lt;= table!$D$11),-1,IF(AND(#REF!&gt;=table!$E$11,#REF!&lt;=table!$F$11),1,0))</f>
        <v>#REF!</v>
      </c>
      <c r="W1317" s="5" t="e">
        <f>CONCATENATE(dados[[#This Row],[fator1]],dados[[#This Row],[fator5]],dados[[#This Row],[fator6]])</f>
        <v>#REF!</v>
      </c>
    </row>
    <row r="1318" spans="1:23">
      <c r="A1318" t="s">
        <v>16</v>
      </c>
      <c r="B1318">
        <v>484684</v>
      </c>
      <c r="C1318">
        <v>11</v>
      </c>
      <c r="D1318">
        <v>40</v>
      </c>
      <c r="E1318">
        <v>151</v>
      </c>
      <c r="F1318">
        <v>8</v>
      </c>
      <c r="G1318">
        <v>0</v>
      </c>
      <c r="H1318">
        <v>25</v>
      </c>
      <c r="I1318">
        <v>1417</v>
      </c>
      <c r="J1318">
        <v>0</v>
      </c>
      <c r="K1318">
        <v>4.4450000000000003</v>
      </c>
      <c r="L1318">
        <v>9.1850000000000005</v>
      </c>
      <c r="M1318">
        <v>144.55000000000001</v>
      </c>
      <c r="N1318">
        <v>12.35</v>
      </c>
      <c r="O1318">
        <v>1671</v>
      </c>
      <c r="P1318">
        <v>0</v>
      </c>
      <c r="Q1318" s="5" t="e">
        <f>IF(AND(#REF!&gt;=table!$C$6,#REF!&lt;= table!$D$6),-1,IF(AND(#REF!&gt;=table!$E$6,#REF!&lt;=table!$F$6),1,0))</f>
        <v>#REF!</v>
      </c>
      <c r="R1318" s="5" t="e">
        <f>IF(AND(#REF!&gt;=table!$C$7,#REF!&lt;= table!$D$7),-1,IF(AND(#REF!&gt;=table!$E$7,#REF!&lt;=table!$F$7),1,0))</f>
        <v>#REF!</v>
      </c>
      <c r="S1318" s="5" t="e">
        <f>IF(AND(#REF!&gt;=table!$C$8,#REF!&lt;= table!$D$8),-1,IF(AND(#REF!&gt;=table!$E$8,#REF!&lt;=table!$F$8),1,0))</f>
        <v>#REF!</v>
      </c>
      <c r="T1318" s="5"/>
      <c r="U1318" s="5" t="e">
        <f>IF(AND(#REF!&gt;=table!$C$10,#REF!&lt;= table!$D$10),-1,IF(AND(#REF!&gt;=table!$E$10,#REF!&lt;=table!$F$10),1,0))</f>
        <v>#REF!</v>
      </c>
      <c r="V1318" s="5" t="e">
        <f>IF(AND(#REF!&gt;=table!$C$11,#REF!&lt;= table!$D$11),-1,IF(AND(#REF!&gt;=table!$E$11,#REF!&lt;=table!$F$11),1,0))</f>
        <v>#REF!</v>
      </c>
      <c r="W1318" s="5" t="e">
        <f>CONCATENATE(dados[[#This Row],[fator1]],dados[[#This Row],[fator5]],dados[[#This Row],[fator6]])</f>
        <v>#REF!</v>
      </c>
    </row>
    <row r="1319" spans="1:23">
      <c r="A1319" t="s">
        <v>16</v>
      </c>
      <c r="B1319">
        <v>484685</v>
      </c>
      <c r="C1319">
        <v>13</v>
      </c>
      <c r="D1319">
        <v>35</v>
      </c>
      <c r="E1319">
        <v>120</v>
      </c>
      <c r="F1319">
        <v>10</v>
      </c>
      <c r="G1319">
        <v>0</v>
      </c>
      <c r="H1319">
        <v>25</v>
      </c>
      <c r="I1319">
        <v>1637</v>
      </c>
      <c r="J1319">
        <v>0</v>
      </c>
      <c r="K1319">
        <v>2.5449999999999999</v>
      </c>
      <c r="L1319">
        <v>9.625</v>
      </c>
      <c r="M1319">
        <v>118.9</v>
      </c>
      <c r="N1319">
        <v>9.75</v>
      </c>
      <c r="O1319">
        <v>1659</v>
      </c>
      <c r="P1319">
        <v>853</v>
      </c>
      <c r="Q1319" s="5" t="e">
        <f>IF(AND(#REF!&gt;=table!$C$6,#REF!&lt;= table!$D$6),-1,IF(AND(#REF!&gt;=table!$E$6,#REF!&lt;=table!$F$6),1,0))</f>
        <v>#REF!</v>
      </c>
      <c r="R1319" s="5" t="e">
        <f>IF(AND(#REF!&gt;=table!$C$7,#REF!&lt;= table!$D$7),-1,IF(AND(#REF!&gt;=table!$E$7,#REF!&lt;=table!$F$7),1,0))</f>
        <v>#REF!</v>
      </c>
      <c r="S1319" s="5" t="e">
        <f>IF(AND(#REF!&gt;=table!$C$8,#REF!&lt;= table!$D$8),-1,IF(AND(#REF!&gt;=table!$E$8,#REF!&lt;=table!$F$8),1,0))</f>
        <v>#REF!</v>
      </c>
      <c r="T1319" s="5"/>
      <c r="U1319" s="5" t="e">
        <f>IF(AND(#REF!&gt;=table!$C$10,#REF!&lt;= table!$D$10),-1,IF(AND(#REF!&gt;=table!$E$10,#REF!&lt;=table!$F$10),1,0))</f>
        <v>#REF!</v>
      </c>
      <c r="V1319" s="5" t="e">
        <f>IF(AND(#REF!&gt;=table!$C$11,#REF!&lt;= table!$D$11),-1,IF(AND(#REF!&gt;=table!$E$11,#REF!&lt;=table!$F$11),1,0))</f>
        <v>#REF!</v>
      </c>
      <c r="W1319" s="5" t="e">
        <f>CONCATENATE(dados[[#This Row],[fator1]],dados[[#This Row],[fator5]],dados[[#This Row],[fator6]])</f>
        <v>#REF!</v>
      </c>
    </row>
    <row r="1320" spans="1:23">
      <c r="A1320" t="s">
        <v>16</v>
      </c>
      <c r="B1320">
        <v>484702</v>
      </c>
      <c r="C1320">
        <v>6</v>
      </c>
      <c r="D1320">
        <v>25</v>
      </c>
      <c r="E1320">
        <v>120</v>
      </c>
      <c r="F1320">
        <v>4</v>
      </c>
      <c r="G1320">
        <v>0</v>
      </c>
      <c r="H1320">
        <v>55</v>
      </c>
      <c r="I1320">
        <v>1180</v>
      </c>
      <c r="J1320">
        <v>0</v>
      </c>
      <c r="K1320">
        <v>1.75</v>
      </c>
      <c r="L1320">
        <v>6.5</v>
      </c>
      <c r="M1320">
        <v>85</v>
      </c>
      <c r="N1320">
        <v>25.015000000000001</v>
      </c>
      <c r="O1320">
        <v>1697</v>
      </c>
      <c r="P1320">
        <v>886</v>
      </c>
      <c r="Q1320" s="5" t="e">
        <f>IF(AND(#REF!&gt;=table!$C$6,#REF!&lt;= table!$D$6),-1,IF(AND(#REF!&gt;=table!$E$6,#REF!&lt;=table!$F$6),1,0))</f>
        <v>#REF!</v>
      </c>
      <c r="R1320" s="5" t="e">
        <f>IF(AND(#REF!&gt;=table!$C$7,#REF!&lt;= table!$D$7),-1,IF(AND(#REF!&gt;=table!$E$7,#REF!&lt;=table!$F$7),1,0))</f>
        <v>#REF!</v>
      </c>
      <c r="S1320" s="5" t="e">
        <f>IF(AND(#REF!&gt;=table!$C$8,#REF!&lt;= table!$D$8),-1,IF(AND(#REF!&gt;=table!$E$8,#REF!&lt;=table!$F$8),1,0))</f>
        <v>#REF!</v>
      </c>
      <c r="T1320" s="5"/>
      <c r="U1320" s="5" t="e">
        <f>IF(AND(#REF!&gt;=table!$C$10,#REF!&lt;= table!$D$10),-1,IF(AND(#REF!&gt;=table!$E$10,#REF!&lt;=table!$F$10),1,0))</f>
        <v>#REF!</v>
      </c>
      <c r="V1320" s="5" t="e">
        <f>IF(AND(#REF!&gt;=table!$C$11,#REF!&lt;= table!$D$11),-1,IF(AND(#REF!&gt;=table!$E$11,#REF!&lt;=table!$F$11),1,0))</f>
        <v>#REF!</v>
      </c>
      <c r="W1320" s="5" t="e">
        <f>CONCATENATE(dados[[#This Row],[fator1]],dados[[#This Row],[fator5]],dados[[#This Row],[fator6]])</f>
        <v>#REF!</v>
      </c>
    </row>
    <row r="1321" spans="1:23">
      <c r="A1321" t="s">
        <v>16</v>
      </c>
      <c r="B1321">
        <v>484718</v>
      </c>
      <c r="C1321">
        <v>0.1</v>
      </c>
      <c r="D1321">
        <v>40</v>
      </c>
      <c r="E1321">
        <v>10</v>
      </c>
      <c r="F1321">
        <v>8</v>
      </c>
      <c r="G1321">
        <v>0</v>
      </c>
      <c r="H1321">
        <v>10</v>
      </c>
      <c r="I1321">
        <v>671</v>
      </c>
      <c r="J1321">
        <v>0</v>
      </c>
      <c r="K1321">
        <v>3.2850000000000001</v>
      </c>
      <c r="L1321">
        <v>10.75</v>
      </c>
      <c r="M1321">
        <v>8.9500000000000011</v>
      </c>
      <c r="N1321">
        <v>8.0500000000000007</v>
      </c>
      <c r="O1321">
        <v>1698</v>
      </c>
      <c r="P1321">
        <v>0</v>
      </c>
      <c r="Q1321" s="5" t="e">
        <f>IF(AND(#REF!&gt;=table!$C$6,#REF!&lt;= table!$D$6),-1,IF(AND(#REF!&gt;=table!$E$6,#REF!&lt;=table!$F$6),1,0))</f>
        <v>#REF!</v>
      </c>
      <c r="R1321" s="5" t="e">
        <f>IF(AND(#REF!&gt;=table!$C$7,#REF!&lt;= table!$D$7),-1,IF(AND(#REF!&gt;=table!$E$7,#REF!&lt;=table!$F$7),1,0))</f>
        <v>#REF!</v>
      </c>
      <c r="S1321" s="5" t="e">
        <f>IF(AND(#REF!&gt;=table!$C$8,#REF!&lt;= table!$D$8),-1,IF(AND(#REF!&gt;=table!$E$8,#REF!&lt;=table!$F$8),1,0))</f>
        <v>#REF!</v>
      </c>
      <c r="T1321" s="5"/>
      <c r="U1321" s="5" t="e">
        <f>IF(AND(#REF!&gt;=table!$C$10,#REF!&lt;= table!$D$10),-1,IF(AND(#REF!&gt;=table!$E$10,#REF!&lt;=table!$F$10),1,0))</f>
        <v>#REF!</v>
      </c>
      <c r="V1321" s="5" t="e">
        <f>IF(AND(#REF!&gt;=table!$C$11,#REF!&lt;= table!$D$11),-1,IF(AND(#REF!&gt;=table!$E$11,#REF!&lt;=table!$F$11),1,0))</f>
        <v>#REF!</v>
      </c>
      <c r="W1321" s="5" t="e">
        <f>CONCATENATE(dados[[#This Row],[fator1]],dados[[#This Row],[fator5]],dados[[#This Row],[fator6]])</f>
        <v>#REF!</v>
      </c>
    </row>
    <row r="1322" spans="1:23">
      <c r="A1322" t="s">
        <v>16</v>
      </c>
      <c r="B1322">
        <v>484723</v>
      </c>
      <c r="C1322">
        <v>0.15</v>
      </c>
      <c r="D1322">
        <v>40</v>
      </c>
      <c r="E1322">
        <v>10</v>
      </c>
      <c r="F1322">
        <v>15</v>
      </c>
      <c r="G1322">
        <v>0</v>
      </c>
      <c r="H1322">
        <v>15</v>
      </c>
      <c r="I1322">
        <v>734</v>
      </c>
      <c r="J1322">
        <v>0</v>
      </c>
      <c r="K1322">
        <v>3.585</v>
      </c>
      <c r="L1322">
        <v>11.15</v>
      </c>
      <c r="M1322">
        <v>10</v>
      </c>
      <c r="N1322">
        <v>7.75</v>
      </c>
      <c r="O1322">
        <v>1674</v>
      </c>
      <c r="P1322">
        <v>0</v>
      </c>
      <c r="Q1322" s="5" t="e">
        <f>IF(AND(#REF!&gt;=table!$C$6,#REF!&lt;= table!$D$6),-1,IF(AND(#REF!&gt;=table!$E$6,#REF!&lt;=table!$F$6),1,0))</f>
        <v>#REF!</v>
      </c>
      <c r="R1322" s="5" t="e">
        <f>IF(AND(#REF!&gt;=table!$C$7,#REF!&lt;= table!$D$7),-1,IF(AND(#REF!&gt;=table!$E$7,#REF!&lt;=table!$F$7),1,0))</f>
        <v>#REF!</v>
      </c>
      <c r="S1322" s="5" t="e">
        <f>IF(AND(#REF!&gt;=table!$C$8,#REF!&lt;= table!$D$8),-1,IF(AND(#REF!&gt;=table!$E$8,#REF!&lt;=table!$F$8),1,0))</f>
        <v>#REF!</v>
      </c>
      <c r="T1322" s="5"/>
      <c r="U1322" s="5" t="e">
        <f>IF(AND(#REF!&gt;=table!$C$10,#REF!&lt;= table!$D$10),-1,IF(AND(#REF!&gt;=table!$E$10,#REF!&lt;=table!$F$10),1,0))</f>
        <v>#REF!</v>
      </c>
      <c r="V1322" s="5" t="e">
        <f>IF(AND(#REF!&gt;=table!$C$11,#REF!&lt;= table!$D$11),-1,IF(AND(#REF!&gt;=table!$E$11,#REF!&lt;=table!$F$11),1,0))</f>
        <v>#REF!</v>
      </c>
      <c r="W1322" s="5" t="e">
        <f>CONCATENATE(dados[[#This Row],[fator1]],dados[[#This Row],[fator5]],dados[[#This Row],[fator6]])</f>
        <v>#REF!</v>
      </c>
    </row>
    <row r="1323" spans="1:23">
      <c r="A1323" t="s">
        <v>17</v>
      </c>
      <c r="B1323">
        <v>484726</v>
      </c>
      <c r="C1323">
        <v>16</v>
      </c>
      <c r="D1323">
        <v>23</v>
      </c>
      <c r="E1323">
        <v>145</v>
      </c>
      <c r="F1323">
        <v>9</v>
      </c>
      <c r="G1323">
        <v>30</v>
      </c>
      <c r="H1323">
        <v>25</v>
      </c>
      <c r="I1323">
        <v>610</v>
      </c>
      <c r="J1323">
        <v>0</v>
      </c>
      <c r="K1323">
        <v>2.1850000000000001</v>
      </c>
      <c r="L1323">
        <v>3.1</v>
      </c>
      <c r="M1323">
        <v>103.95</v>
      </c>
      <c r="N1323">
        <v>16.3</v>
      </c>
      <c r="O1323">
        <v>1694</v>
      </c>
      <c r="P1323">
        <v>1313</v>
      </c>
      <c r="Q1323" s="5" t="e">
        <f>IF(AND(#REF!&gt;=table!$C$6,#REF!&lt;= table!$D$6),-1,IF(AND(#REF!&gt;=table!$E$6,#REF!&lt;=table!$F$6),1,0))</f>
        <v>#REF!</v>
      </c>
      <c r="R1323" s="5" t="e">
        <f>IF(AND(#REF!&gt;=table!$C$7,#REF!&lt;= table!$D$7),-1,IF(AND(#REF!&gt;=table!$E$7,#REF!&lt;=table!$F$7),1,0))</f>
        <v>#REF!</v>
      </c>
      <c r="S1323" s="5" t="e">
        <f>IF(AND(#REF!&gt;=table!$C$8,#REF!&lt;= table!$D$8),-1,IF(AND(#REF!&gt;=table!$E$8,#REF!&lt;=table!$F$8),1,0))</f>
        <v>#REF!</v>
      </c>
      <c r="T1323" s="5"/>
      <c r="U1323" s="5" t="e">
        <f>IF(AND(#REF!&gt;=table!$C$10,#REF!&lt;= table!$D$10),-1,IF(AND(#REF!&gt;=table!$E$10,#REF!&lt;=table!$F$10),1,0))</f>
        <v>#REF!</v>
      </c>
      <c r="V1323" s="5" t="e">
        <f>IF(AND(#REF!&gt;=table!$C$11,#REF!&lt;= table!$D$11),-1,IF(AND(#REF!&gt;=table!$E$11,#REF!&lt;=table!$F$11),1,0))</f>
        <v>#REF!</v>
      </c>
      <c r="W1323" s="5" t="e">
        <f>CONCATENATE(dados[[#This Row],[fator1]],dados[[#This Row],[fator5]],dados[[#This Row],[fator6]])</f>
        <v>#REF!</v>
      </c>
    </row>
    <row r="1324" spans="1:23">
      <c r="A1324" t="s">
        <v>17</v>
      </c>
      <c r="B1324">
        <v>484727</v>
      </c>
      <c r="C1324">
        <v>16</v>
      </c>
      <c r="D1324">
        <v>23</v>
      </c>
      <c r="E1324">
        <v>145</v>
      </c>
      <c r="F1324">
        <v>9</v>
      </c>
      <c r="G1324">
        <v>30</v>
      </c>
      <c r="H1324">
        <v>25</v>
      </c>
      <c r="I1324">
        <v>873</v>
      </c>
      <c r="J1324">
        <v>0</v>
      </c>
      <c r="K1324">
        <v>2.2549999999999999</v>
      </c>
      <c r="L1324">
        <v>4.6000000000000005</v>
      </c>
      <c r="M1324">
        <v>109.3</v>
      </c>
      <c r="N1324">
        <v>16</v>
      </c>
      <c r="O1324">
        <v>1684</v>
      </c>
      <c r="P1324">
        <v>0</v>
      </c>
      <c r="Q1324" s="5" t="e">
        <f>IF(AND(#REF!&gt;=table!$C$6,#REF!&lt;= table!$D$6),-1,IF(AND(#REF!&gt;=table!$E$6,#REF!&lt;=table!$F$6),1,0))</f>
        <v>#REF!</v>
      </c>
      <c r="R1324" s="5" t="e">
        <f>IF(AND(#REF!&gt;=table!$C$7,#REF!&lt;= table!$D$7),-1,IF(AND(#REF!&gt;=table!$E$7,#REF!&lt;=table!$F$7),1,0))</f>
        <v>#REF!</v>
      </c>
      <c r="S1324" s="5" t="e">
        <f>IF(AND(#REF!&gt;=table!$C$8,#REF!&lt;= table!$D$8),-1,IF(AND(#REF!&gt;=table!$E$8,#REF!&lt;=table!$F$8),1,0))</f>
        <v>#REF!</v>
      </c>
      <c r="T1324" s="5"/>
      <c r="U1324" s="5" t="e">
        <f>IF(AND(#REF!&gt;=table!$C$10,#REF!&lt;= table!$D$10),-1,IF(AND(#REF!&gt;=table!$E$10,#REF!&lt;=table!$F$10),1,0))</f>
        <v>#REF!</v>
      </c>
      <c r="V1324" s="5" t="e">
        <f>IF(AND(#REF!&gt;=table!$C$11,#REF!&lt;= table!$D$11),-1,IF(AND(#REF!&gt;=table!$E$11,#REF!&lt;=table!$F$11),1,0))</f>
        <v>#REF!</v>
      </c>
      <c r="W1324" s="5" t="e">
        <f>CONCATENATE(dados[[#This Row],[fator1]],dados[[#This Row],[fator5]],dados[[#This Row],[fator6]])</f>
        <v>#REF!</v>
      </c>
    </row>
    <row r="1325" spans="1:23">
      <c r="A1325" t="s">
        <v>17</v>
      </c>
      <c r="B1325">
        <v>484728</v>
      </c>
      <c r="C1325">
        <v>16</v>
      </c>
      <c r="D1325">
        <v>23</v>
      </c>
      <c r="E1325">
        <v>145</v>
      </c>
      <c r="F1325">
        <v>9</v>
      </c>
      <c r="G1325">
        <v>30</v>
      </c>
      <c r="H1325">
        <v>25</v>
      </c>
      <c r="I1325">
        <v>1634</v>
      </c>
      <c r="J1325">
        <v>0</v>
      </c>
      <c r="K1325">
        <v>1.84</v>
      </c>
      <c r="L1325">
        <v>4.55</v>
      </c>
      <c r="M1325">
        <v>113.05</v>
      </c>
      <c r="N1325">
        <v>19.850000000000001</v>
      </c>
      <c r="O1325">
        <v>1700</v>
      </c>
      <c r="P1325">
        <v>0</v>
      </c>
      <c r="Q1325" s="5" t="e">
        <f>IF(AND(#REF!&gt;=table!$C$6,#REF!&lt;= table!$D$6),-1,IF(AND(#REF!&gt;=table!$E$6,#REF!&lt;=table!$F$6),1,0))</f>
        <v>#REF!</v>
      </c>
      <c r="R1325" s="5" t="e">
        <f>IF(AND(#REF!&gt;=table!$C$7,#REF!&lt;= table!$D$7),-1,IF(AND(#REF!&gt;=table!$E$7,#REF!&lt;=table!$F$7),1,0))</f>
        <v>#REF!</v>
      </c>
      <c r="S1325" s="5" t="e">
        <f>IF(AND(#REF!&gt;=table!$C$8,#REF!&lt;= table!$D$8),-1,IF(AND(#REF!&gt;=table!$E$8,#REF!&lt;=table!$F$8),1,0))</f>
        <v>#REF!</v>
      </c>
      <c r="T1325" s="5"/>
      <c r="U1325" s="5" t="e">
        <f>IF(AND(#REF!&gt;=table!$C$10,#REF!&lt;= table!$D$10),-1,IF(AND(#REF!&gt;=table!$E$10,#REF!&lt;=table!$F$10),1,0))</f>
        <v>#REF!</v>
      </c>
      <c r="V1325" s="5" t="e">
        <f>IF(AND(#REF!&gt;=table!$C$11,#REF!&lt;= table!$D$11),-1,IF(AND(#REF!&gt;=table!$E$11,#REF!&lt;=table!$F$11),1,0))</f>
        <v>#REF!</v>
      </c>
      <c r="W1325" s="5" t="e">
        <f>CONCATENATE(dados[[#This Row],[fator1]],dados[[#This Row],[fator5]],dados[[#This Row],[fator6]])</f>
        <v>#REF!</v>
      </c>
    </row>
    <row r="1326" spans="1:23">
      <c r="A1326" t="s">
        <v>17</v>
      </c>
      <c r="B1326">
        <v>484732</v>
      </c>
      <c r="C1326">
        <v>8</v>
      </c>
      <c r="D1326">
        <v>30</v>
      </c>
      <c r="E1326">
        <v>145</v>
      </c>
      <c r="F1326">
        <v>2</v>
      </c>
      <c r="G1326">
        <v>23</v>
      </c>
      <c r="H1326">
        <v>18</v>
      </c>
      <c r="I1326">
        <v>861</v>
      </c>
      <c r="J1326">
        <v>0</v>
      </c>
      <c r="K1326">
        <v>2.875</v>
      </c>
      <c r="L1326">
        <v>4.55</v>
      </c>
      <c r="M1326">
        <v>121.15</v>
      </c>
      <c r="N1326">
        <v>7.7</v>
      </c>
      <c r="O1326">
        <v>1662</v>
      </c>
      <c r="P1326">
        <v>0</v>
      </c>
      <c r="Q1326" s="5" t="e">
        <f>IF(AND(#REF!&gt;=table!$C$6,#REF!&lt;= table!$D$6),-1,IF(AND(#REF!&gt;=table!$E$6,#REF!&lt;=table!$F$6),1,0))</f>
        <v>#REF!</v>
      </c>
      <c r="R1326" s="5" t="e">
        <f>IF(AND(#REF!&gt;=table!$C$7,#REF!&lt;= table!$D$7),-1,IF(AND(#REF!&gt;=table!$E$7,#REF!&lt;=table!$F$7),1,0))</f>
        <v>#REF!</v>
      </c>
      <c r="S1326" s="5" t="e">
        <f>IF(AND(#REF!&gt;=table!$C$8,#REF!&lt;= table!$D$8),-1,IF(AND(#REF!&gt;=table!$E$8,#REF!&lt;=table!$F$8),1,0))</f>
        <v>#REF!</v>
      </c>
      <c r="T1326" s="5"/>
      <c r="U1326" s="5" t="e">
        <f>IF(AND(#REF!&gt;=table!$C$10,#REF!&lt;= table!$D$10),-1,IF(AND(#REF!&gt;=table!$E$10,#REF!&lt;=table!$F$10),1,0))</f>
        <v>#REF!</v>
      </c>
      <c r="V1326" s="5" t="e">
        <f>IF(AND(#REF!&gt;=table!$C$11,#REF!&lt;= table!$D$11),-1,IF(AND(#REF!&gt;=table!$E$11,#REF!&lt;=table!$F$11),1,0))</f>
        <v>#REF!</v>
      </c>
      <c r="W1326" s="5" t="e">
        <f>CONCATENATE(dados[[#This Row],[fator1]],dados[[#This Row],[fator5]],dados[[#This Row],[fator6]])</f>
        <v>#REF!</v>
      </c>
    </row>
    <row r="1327" spans="1:23">
      <c r="A1327" t="s">
        <v>17</v>
      </c>
      <c r="B1327">
        <v>484733</v>
      </c>
      <c r="C1327">
        <v>8</v>
      </c>
      <c r="D1327">
        <v>33</v>
      </c>
      <c r="E1327">
        <v>160</v>
      </c>
      <c r="F1327">
        <v>3</v>
      </c>
      <c r="G1327">
        <v>25</v>
      </c>
      <c r="H1327">
        <v>21</v>
      </c>
      <c r="I1327">
        <v>399</v>
      </c>
      <c r="J1327">
        <v>0</v>
      </c>
      <c r="K1327">
        <v>2.4350000000000001</v>
      </c>
      <c r="L1327">
        <v>7.7</v>
      </c>
      <c r="M1327">
        <v>140.35</v>
      </c>
      <c r="N1327">
        <v>9.4</v>
      </c>
      <c r="O1327">
        <v>1667</v>
      </c>
      <c r="P1327">
        <v>548</v>
      </c>
      <c r="Q1327" s="5" t="e">
        <f>IF(AND(#REF!&gt;=table!$C$6,#REF!&lt;= table!$D$6),-1,IF(AND(#REF!&gt;=table!$E$6,#REF!&lt;=table!$F$6),1,0))</f>
        <v>#REF!</v>
      </c>
      <c r="R1327" s="5" t="e">
        <f>IF(AND(#REF!&gt;=table!$C$7,#REF!&lt;= table!$D$7),-1,IF(AND(#REF!&gt;=table!$E$7,#REF!&lt;=table!$F$7),1,0))</f>
        <v>#REF!</v>
      </c>
      <c r="S1327" s="5" t="e">
        <f>IF(AND(#REF!&gt;=table!$C$8,#REF!&lt;= table!$D$8),-1,IF(AND(#REF!&gt;=table!$E$8,#REF!&lt;=table!$F$8),1,0))</f>
        <v>#REF!</v>
      </c>
      <c r="T1327" s="5"/>
      <c r="U1327" s="5" t="e">
        <f>IF(AND(#REF!&gt;=table!$C$10,#REF!&lt;= table!$D$10),-1,IF(AND(#REF!&gt;=table!$E$10,#REF!&lt;=table!$F$10),1,0))</f>
        <v>#REF!</v>
      </c>
      <c r="V1327" s="5" t="e">
        <f>IF(AND(#REF!&gt;=table!$C$11,#REF!&lt;= table!$D$11),-1,IF(AND(#REF!&gt;=table!$E$11,#REF!&lt;=table!$F$11),1,0))</f>
        <v>#REF!</v>
      </c>
      <c r="W1327" s="5" t="e">
        <f>CONCATENATE(dados[[#This Row],[fator1]],dados[[#This Row],[fator5]],dados[[#This Row],[fator6]])</f>
        <v>#REF!</v>
      </c>
    </row>
    <row r="1328" spans="1:23">
      <c r="A1328" t="s">
        <v>17</v>
      </c>
      <c r="B1328">
        <v>484735</v>
      </c>
      <c r="C1328">
        <v>3</v>
      </c>
      <c r="D1328">
        <v>25</v>
      </c>
      <c r="E1328">
        <v>120</v>
      </c>
      <c r="F1328">
        <v>1</v>
      </c>
      <c r="G1328">
        <v>25</v>
      </c>
      <c r="H1328">
        <v>10</v>
      </c>
      <c r="I1328">
        <v>0</v>
      </c>
      <c r="J1328">
        <v>0</v>
      </c>
      <c r="K1328">
        <v>1.5210000000000001</v>
      </c>
      <c r="L1328">
        <v>2.1659999999999999</v>
      </c>
      <c r="M1328">
        <v>119.85250000000001</v>
      </c>
      <c r="N1328">
        <v>2.2150000000000003</v>
      </c>
      <c r="O1328">
        <v>1696</v>
      </c>
      <c r="P1328">
        <v>1368</v>
      </c>
      <c r="Q1328" s="5" t="e">
        <f>IF(AND(#REF!&gt;=table!$C$6,#REF!&lt;= table!$D$6),-1,IF(AND(#REF!&gt;=table!$E$6,#REF!&lt;=table!$F$6),1,0))</f>
        <v>#REF!</v>
      </c>
      <c r="R1328" s="5" t="e">
        <f>IF(AND(#REF!&gt;=table!$C$7,#REF!&lt;= table!$D$7),-1,IF(AND(#REF!&gt;=table!$E$7,#REF!&lt;=table!$F$7),1,0))</f>
        <v>#REF!</v>
      </c>
      <c r="S1328" s="5" t="e">
        <f>IF(AND(#REF!&gt;=table!$C$8,#REF!&lt;= table!$D$8),-1,IF(AND(#REF!&gt;=table!$E$8,#REF!&lt;=table!$F$8),1,0))</f>
        <v>#REF!</v>
      </c>
      <c r="T1328" s="5"/>
      <c r="U1328" s="5" t="e">
        <f>IF(AND(#REF!&gt;=table!$C$10,#REF!&lt;= table!$D$10),-1,IF(AND(#REF!&gt;=table!$E$10,#REF!&lt;=table!$F$10),1,0))</f>
        <v>#REF!</v>
      </c>
      <c r="V1328" s="5" t="e">
        <f>IF(AND(#REF!&gt;=table!$C$11,#REF!&lt;= table!$D$11),-1,IF(AND(#REF!&gt;=table!$E$11,#REF!&lt;=table!$F$11),1,0))</f>
        <v>#REF!</v>
      </c>
      <c r="W1328" s="5" t="e">
        <f>CONCATENATE(dados[[#This Row],[fator1]],dados[[#This Row],[fator5]],dados[[#This Row],[fator6]])</f>
        <v>#REF!</v>
      </c>
    </row>
    <row r="1329" spans="1:23">
      <c r="A1329" t="s">
        <v>16</v>
      </c>
      <c r="B1329">
        <v>484738</v>
      </c>
      <c r="C1329">
        <v>16</v>
      </c>
      <c r="D1329">
        <v>35</v>
      </c>
      <c r="E1329">
        <v>56</v>
      </c>
      <c r="F1329">
        <v>10</v>
      </c>
      <c r="G1329">
        <v>0</v>
      </c>
      <c r="H1329">
        <v>25</v>
      </c>
      <c r="I1329">
        <v>1094</v>
      </c>
      <c r="J1329">
        <v>0</v>
      </c>
      <c r="K1329">
        <v>3.0725000000000002</v>
      </c>
      <c r="L1329">
        <v>6.2615000000000007</v>
      </c>
      <c r="M1329">
        <v>47.346000000000004</v>
      </c>
      <c r="N1329">
        <v>9.2650000000000006</v>
      </c>
      <c r="O1329">
        <v>1644</v>
      </c>
      <c r="P1329">
        <v>0</v>
      </c>
      <c r="Q1329" s="5" t="e">
        <f>IF(AND(#REF!&gt;=table!$C$6,#REF!&lt;= table!$D$6),-1,IF(AND(#REF!&gt;=table!$E$6,#REF!&lt;=table!$F$6),1,0))</f>
        <v>#REF!</v>
      </c>
      <c r="R1329" s="5" t="e">
        <f>IF(AND(#REF!&gt;=table!$C$7,#REF!&lt;= table!$D$7),-1,IF(AND(#REF!&gt;=table!$E$7,#REF!&lt;=table!$F$7),1,0))</f>
        <v>#REF!</v>
      </c>
      <c r="S1329" s="5" t="e">
        <f>IF(AND(#REF!&gt;=table!$C$8,#REF!&lt;= table!$D$8),-1,IF(AND(#REF!&gt;=table!$E$8,#REF!&lt;=table!$F$8),1,0))</f>
        <v>#REF!</v>
      </c>
      <c r="T1329" s="5"/>
      <c r="U1329" s="5" t="e">
        <f>IF(AND(#REF!&gt;=table!$C$10,#REF!&lt;= table!$D$10),-1,IF(AND(#REF!&gt;=table!$E$10,#REF!&lt;=table!$F$10),1,0))</f>
        <v>#REF!</v>
      </c>
      <c r="V1329" s="5" t="e">
        <f>IF(AND(#REF!&gt;=table!$C$11,#REF!&lt;= table!$D$11),-1,IF(AND(#REF!&gt;=table!$E$11,#REF!&lt;=table!$F$11),1,0))</f>
        <v>#REF!</v>
      </c>
      <c r="W1329" s="5" t="e">
        <f>CONCATENATE(dados[[#This Row],[fator1]],dados[[#This Row],[fator5]],dados[[#This Row],[fator6]])</f>
        <v>#REF!</v>
      </c>
    </row>
    <row r="1330" spans="1:23">
      <c r="A1330" t="s">
        <v>16</v>
      </c>
      <c r="B1330">
        <v>484741</v>
      </c>
      <c r="C1330">
        <v>12</v>
      </c>
      <c r="D1330">
        <v>35</v>
      </c>
      <c r="E1330">
        <v>86</v>
      </c>
      <c r="F1330">
        <v>10</v>
      </c>
      <c r="G1330">
        <v>0</v>
      </c>
      <c r="H1330">
        <v>25</v>
      </c>
      <c r="I1330">
        <v>517</v>
      </c>
      <c r="J1330">
        <v>0</v>
      </c>
      <c r="K1330">
        <v>2.9755000000000003</v>
      </c>
      <c r="L1330">
        <v>9.5975000000000001</v>
      </c>
      <c r="M1330">
        <v>55.489000000000004</v>
      </c>
      <c r="N1330">
        <v>10.835000000000001</v>
      </c>
      <c r="O1330">
        <v>1671</v>
      </c>
      <c r="P1330">
        <v>628</v>
      </c>
      <c r="Q1330" s="5" t="e">
        <f>IF(AND(#REF!&gt;=table!$C$6,#REF!&lt;= table!$D$6),-1,IF(AND(#REF!&gt;=table!$E$6,#REF!&lt;=table!$F$6),1,0))</f>
        <v>#REF!</v>
      </c>
      <c r="R1330" s="5" t="e">
        <f>IF(AND(#REF!&gt;=table!$C$7,#REF!&lt;= table!$D$7),-1,IF(AND(#REF!&gt;=table!$E$7,#REF!&lt;=table!$F$7),1,0))</f>
        <v>#REF!</v>
      </c>
      <c r="S1330" s="5" t="e">
        <f>IF(AND(#REF!&gt;=table!$C$8,#REF!&lt;= table!$D$8),-1,IF(AND(#REF!&gt;=table!$E$8,#REF!&lt;=table!$F$8),1,0))</f>
        <v>#REF!</v>
      </c>
      <c r="T1330" s="5"/>
      <c r="U1330" s="5" t="e">
        <f>IF(AND(#REF!&gt;=table!$C$10,#REF!&lt;= table!$D$10),-1,IF(AND(#REF!&gt;=table!$E$10,#REF!&lt;=table!$F$10),1,0))</f>
        <v>#REF!</v>
      </c>
      <c r="V1330" s="5" t="e">
        <f>IF(AND(#REF!&gt;=table!$C$11,#REF!&lt;= table!$D$11),-1,IF(AND(#REF!&gt;=table!$E$11,#REF!&lt;=table!$F$11),1,0))</f>
        <v>#REF!</v>
      </c>
      <c r="W1330" s="5" t="e">
        <f>CONCATENATE(dados[[#This Row],[fator1]],dados[[#This Row],[fator5]],dados[[#This Row],[fator6]])</f>
        <v>#REF!</v>
      </c>
    </row>
    <row r="1331" spans="1:23">
      <c r="A1331" t="s">
        <v>16</v>
      </c>
      <c r="B1331">
        <v>484742</v>
      </c>
      <c r="C1331">
        <v>12</v>
      </c>
      <c r="D1331">
        <v>35</v>
      </c>
      <c r="E1331">
        <v>86</v>
      </c>
      <c r="F1331">
        <v>10</v>
      </c>
      <c r="G1331">
        <v>0</v>
      </c>
      <c r="H1331">
        <v>25</v>
      </c>
      <c r="I1331">
        <v>983</v>
      </c>
      <c r="J1331">
        <v>0</v>
      </c>
      <c r="K1331">
        <v>4.8010000000000002</v>
      </c>
      <c r="L1331">
        <v>12.822000000000001</v>
      </c>
      <c r="M1331">
        <v>95.703500000000005</v>
      </c>
      <c r="N1331">
        <v>13.355</v>
      </c>
      <c r="O1331">
        <v>1668</v>
      </c>
      <c r="P1331">
        <v>422</v>
      </c>
      <c r="Q1331" s="5" t="e">
        <f>IF(AND(#REF!&gt;=table!$C$6,#REF!&lt;= table!$D$6),-1,IF(AND(#REF!&gt;=table!$E$6,#REF!&lt;=table!$F$6),1,0))</f>
        <v>#REF!</v>
      </c>
      <c r="R1331" s="5" t="e">
        <f>IF(AND(#REF!&gt;=table!$C$7,#REF!&lt;= table!$D$7),-1,IF(AND(#REF!&gt;=table!$E$7,#REF!&lt;=table!$F$7),1,0))</f>
        <v>#REF!</v>
      </c>
      <c r="S1331" s="5" t="e">
        <f>IF(AND(#REF!&gt;=table!$C$8,#REF!&lt;= table!$D$8),-1,IF(AND(#REF!&gt;=table!$E$8,#REF!&lt;=table!$F$8),1,0))</f>
        <v>#REF!</v>
      </c>
      <c r="T1331" s="5"/>
      <c r="U1331" s="5" t="e">
        <f>IF(AND(#REF!&gt;=table!$C$10,#REF!&lt;= table!$D$10),-1,IF(AND(#REF!&gt;=table!$E$10,#REF!&lt;=table!$F$10),1,0))</f>
        <v>#REF!</v>
      </c>
      <c r="V1331" s="5" t="e">
        <f>IF(AND(#REF!&gt;=table!$C$11,#REF!&lt;= table!$D$11),-1,IF(AND(#REF!&gt;=table!$E$11,#REF!&lt;=table!$F$11),1,0))</f>
        <v>#REF!</v>
      </c>
      <c r="W1331" s="5" t="e">
        <f>CONCATENATE(dados[[#This Row],[fator1]],dados[[#This Row],[fator5]],dados[[#This Row],[fator6]])</f>
        <v>#REF!</v>
      </c>
    </row>
    <row r="1332" spans="1:23">
      <c r="A1332" t="s">
        <v>16</v>
      </c>
      <c r="B1332">
        <v>484762</v>
      </c>
      <c r="C1332">
        <v>0.15</v>
      </c>
      <c r="D1332">
        <v>40</v>
      </c>
      <c r="E1332">
        <v>10</v>
      </c>
      <c r="F1332">
        <v>15</v>
      </c>
      <c r="G1332">
        <v>0</v>
      </c>
      <c r="H1332">
        <v>15</v>
      </c>
      <c r="I1332">
        <v>1761</v>
      </c>
      <c r="J1332">
        <v>0</v>
      </c>
      <c r="K1332">
        <v>4.3820000000000006</v>
      </c>
      <c r="L1332">
        <v>9.2409999999999997</v>
      </c>
      <c r="M1332">
        <v>7.9</v>
      </c>
      <c r="N1332">
        <v>7.3500000000000005</v>
      </c>
      <c r="O1332">
        <v>1659</v>
      </c>
      <c r="P1332">
        <v>0</v>
      </c>
      <c r="Q1332" s="5" t="e">
        <f>IF(AND(#REF!&gt;=table!$C$6,#REF!&lt;= table!$D$6),-1,IF(AND(#REF!&gt;=table!$E$6,#REF!&lt;=table!$F$6),1,0))</f>
        <v>#REF!</v>
      </c>
      <c r="R1332" s="5" t="e">
        <f>IF(AND(#REF!&gt;=table!$C$7,#REF!&lt;= table!$D$7),-1,IF(AND(#REF!&gt;=table!$E$7,#REF!&lt;=table!$F$7),1,0))</f>
        <v>#REF!</v>
      </c>
      <c r="S1332" s="5" t="e">
        <f>IF(AND(#REF!&gt;=table!$C$8,#REF!&lt;= table!$D$8),-1,IF(AND(#REF!&gt;=table!$E$8,#REF!&lt;=table!$F$8),1,0))</f>
        <v>#REF!</v>
      </c>
      <c r="T1332" s="5"/>
      <c r="U1332" s="5" t="e">
        <f>IF(AND(#REF!&gt;=table!$C$10,#REF!&lt;= table!$D$10),-1,IF(AND(#REF!&gt;=table!$E$10,#REF!&lt;=table!$F$10),1,0))</f>
        <v>#REF!</v>
      </c>
      <c r="V1332" s="5" t="e">
        <f>IF(AND(#REF!&gt;=table!$C$11,#REF!&lt;= table!$D$11),-1,IF(AND(#REF!&gt;=table!$E$11,#REF!&lt;=table!$F$11),1,0))</f>
        <v>#REF!</v>
      </c>
      <c r="W1332" s="5" t="e">
        <f>CONCATENATE(dados[[#This Row],[fator1]],dados[[#This Row],[fator5]],dados[[#This Row],[fator6]])</f>
        <v>#REF!</v>
      </c>
    </row>
    <row r="1333" spans="1:23">
      <c r="A1333" t="s">
        <v>16</v>
      </c>
      <c r="B1333">
        <v>484766</v>
      </c>
      <c r="C1333">
        <v>0.15</v>
      </c>
      <c r="D1333">
        <v>40</v>
      </c>
      <c r="E1333">
        <v>10</v>
      </c>
      <c r="F1333">
        <v>15</v>
      </c>
      <c r="G1333">
        <v>0</v>
      </c>
      <c r="H1333">
        <v>15</v>
      </c>
      <c r="I1333">
        <v>1109</v>
      </c>
      <c r="J1333">
        <v>0</v>
      </c>
      <c r="K1333">
        <v>4.8115000000000006</v>
      </c>
      <c r="L1333">
        <v>12.0435</v>
      </c>
      <c r="M1333">
        <v>10.961</v>
      </c>
      <c r="N1333">
        <v>12.21</v>
      </c>
      <c r="O1333">
        <v>1679</v>
      </c>
      <c r="P1333">
        <v>591</v>
      </c>
      <c r="Q1333" s="5" t="e">
        <f>IF(AND(#REF!&gt;=table!$C$6,#REF!&lt;= table!$D$6),-1,IF(AND(#REF!&gt;=table!$E$6,#REF!&lt;=table!$F$6),1,0))</f>
        <v>#REF!</v>
      </c>
      <c r="R1333" s="5" t="e">
        <f>IF(AND(#REF!&gt;=table!$C$7,#REF!&lt;= table!$D$7),-1,IF(AND(#REF!&gt;=table!$E$7,#REF!&lt;=table!$F$7),1,0))</f>
        <v>#REF!</v>
      </c>
      <c r="S1333" s="5" t="e">
        <f>IF(AND(#REF!&gt;=table!$C$8,#REF!&lt;= table!$D$8),-1,IF(AND(#REF!&gt;=table!$E$8,#REF!&lt;=table!$F$8),1,0))</f>
        <v>#REF!</v>
      </c>
      <c r="T1333" s="5"/>
      <c r="U1333" s="5" t="e">
        <f>IF(AND(#REF!&gt;=table!$C$10,#REF!&lt;= table!$D$10),-1,IF(AND(#REF!&gt;=table!$E$10,#REF!&lt;=table!$F$10),1,0))</f>
        <v>#REF!</v>
      </c>
      <c r="V1333" s="5" t="e">
        <f>IF(AND(#REF!&gt;=table!$C$11,#REF!&lt;= table!$D$11),-1,IF(AND(#REF!&gt;=table!$E$11,#REF!&lt;=table!$F$11),1,0))</f>
        <v>#REF!</v>
      </c>
      <c r="W1333" s="5" t="e">
        <f>CONCATENATE(dados[[#This Row],[fator1]],dados[[#This Row],[fator5]],dados[[#This Row],[fator6]])</f>
        <v>#REF!</v>
      </c>
    </row>
    <row r="1334" spans="1:23">
      <c r="A1334" t="s">
        <v>16</v>
      </c>
      <c r="B1334">
        <v>484770</v>
      </c>
      <c r="C1334">
        <v>0.15</v>
      </c>
      <c r="D1334">
        <v>40</v>
      </c>
      <c r="E1334">
        <v>10</v>
      </c>
      <c r="F1334">
        <v>15</v>
      </c>
      <c r="G1334">
        <v>0</v>
      </c>
      <c r="H1334">
        <v>15</v>
      </c>
      <c r="I1334">
        <v>1129</v>
      </c>
      <c r="J1334">
        <v>810</v>
      </c>
      <c r="K1334">
        <v>4.6970000000000001</v>
      </c>
      <c r="L1334">
        <v>14.121500000000001</v>
      </c>
      <c r="M1334">
        <v>8.0045000000000002</v>
      </c>
      <c r="N1334">
        <v>9.7000000000000011</v>
      </c>
      <c r="O1334">
        <v>1677</v>
      </c>
      <c r="P1334">
        <v>468</v>
      </c>
      <c r="Q1334" s="5" t="e">
        <f>IF(AND(#REF!&gt;=table!$C$6,#REF!&lt;= table!$D$6),-1,IF(AND(#REF!&gt;=table!$E$6,#REF!&lt;=table!$F$6),1,0))</f>
        <v>#REF!</v>
      </c>
      <c r="R1334" s="5" t="e">
        <f>IF(AND(#REF!&gt;=table!$C$7,#REF!&lt;= table!$D$7),-1,IF(AND(#REF!&gt;=table!$E$7,#REF!&lt;=table!$F$7),1,0))</f>
        <v>#REF!</v>
      </c>
      <c r="S1334" s="5" t="e">
        <f>IF(AND(#REF!&gt;=table!$C$8,#REF!&lt;= table!$D$8),-1,IF(AND(#REF!&gt;=table!$E$8,#REF!&lt;=table!$F$8),1,0))</f>
        <v>#REF!</v>
      </c>
      <c r="T1334" s="5"/>
      <c r="U1334" s="5" t="e">
        <f>IF(AND(#REF!&gt;=table!$C$10,#REF!&lt;= table!$D$10),-1,IF(AND(#REF!&gt;=table!$E$10,#REF!&lt;=table!$F$10),1,0))</f>
        <v>#REF!</v>
      </c>
      <c r="V1334" s="5" t="e">
        <f>IF(AND(#REF!&gt;=table!$C$11,#REF!&lt;= table!$D$11),-1,IF(AND(#REF!&gt;=table!$E$11,#REF!&lt;=table!$F$11),1,0))</f>
        <v>#REF!</v>
      </c>
      <c r="W1334" s="5" t="e">
        <f>CONCATENATE(dados[[#This Row],[fator1]],dados[[#This Row],[fator5]],dados[[#This Row],[fator6]])</f>
        <v>#REF!</v>
      </c>
    </row>
    <row r="1335" spans="1:23">
      <c r="A1335" t="s">
        <v>17</v>
      </c>
      <c r="B1335">
        <v>484776</v>
      </c>
      <c r="C1335">
        <v>17</v>
      </c>
      <c r="D1335">
        <v>35</v>
      </c>
      <c r="E1335">
        <v>125</v>
      </c>
      <c r="F1335">
        <v>4</v>
      </c>
      <c r="G1335">
        <v>28</v>
      </c>
      <c r="H1335">
        <v>20</v>
      </c>
      <c r="I1335">
        <v>8</v>
      </c>
      <c r="J1335">
        <v>0</v>
      </c>
      <c r="K1335">
        <v>3.4345000000000003</v>
      </c>
      <c r="L1335">
        <v>11.0535</v>
      </c>
      <c r="M1335">
        <v>105.777</v>
      </c>
      <c r="N1335">
        <v>12.4</v>
      </c>
      <c r="O1335">
        <v>1687</v>
      </c>
      <c r="P1335">
        <v>0</v>
      </c>
      <c r="Q1335" s="5" t="e">
        <f>IF(AND(#REF!&gt;=table!$C$6,#REF!&lt;= table!$D$6),-1,IF(AND(#REF!&gt;=table!$E$6,#REF!&lt;=table!$F$6),1,0))</f>
        <v>#REF!</v>
      </c>
      <c r="R1335" s="5" t="e">
        <f>IF(AND(#REF!&gt;=table!$C$7,#REF!&lt;= table!$D$7),-1,IF(AND(#REF!&gt;=table!$E$7,#REF!&lt;=table!$F$7),1,0))</f>
        <v>#REF!</v>
      </c>
      <c r="S1335" s="5" t="e">
        <f>IF(AND(#REF!&gt;=table!$C$8,#REF!&lt;= table!$D$8),-1,IF(AND(#REF!&gt;=table!$E$8,#REF!&lt;=table!$F$8),1,0))</f>
        <v>#REF!</v>
      </c>
      <c r="T1335" s="5"/>
      <c r="U1335" s="5" t="e">
        <f>IF(AND(#REF!&gt;=table!$C$10,#REF!&lt;= table!$D$10),-1,IF(AND(#REF!&gt;=table!$E$10,#REF!&lt;=table!$F$10),1,0))</f>
        <v>#REF!</v>
      </c>
      <c r="V1335" s="5" t="e">
        <f>IF(AND(#REF!&gt;=table!$C$11,#REF!&lt;= table!$D$11),-1,IF(AND(#REF!&gt;=table!$E$11,#REF!&lt;=table!$F$11),1,0))</f>
        <v>#REF!</v>
      </c>
      <c r="W1335" s="5" t="e">
        <f>CONCATENATE(dados[[#This Row],[fator1]],dados[[#This Row],[fator5]],dados[[#This Row],[fator6]])</f>
        <v>#REF!</v>
      </c>
    </row>
    <row r="1336" spans="1:23">
      <c r="A1336" t="s">
        <v>17</v>
      </c>
      <c r="B1336">
        <v>484777</v>
      </c>
      <c r="C1336">
        <v>16</v>
      </c>
      <c r="D1336">
        <v>30</v>
      </c>
      <c r="E1336">
        <v>120</v>
      </c>
      <c r="F1336">
        <v>6</v>
      </c>
      <c r="G1336">
        <v>20</v>
      </c>
      <c r="H1336">
        <v>25</v>
      </c>
      <c r="I1336">
        <v>229</v>
      </c>
      <c r="J1336">
        <v>0</v>
      </c>
      <c r="K1336">
        <v>4.6215000000000002</v>
      </c>
      <c r="L1336">
        <v>17.899000000000001</v>
      </c>
      <c r="M1336">
        <v>108.3215</v>
      </c>
      <c r="N1336">
        <v>24.32</v>
      </c>
      <c r="O1336">
        <v>1674</v>
      </c>
      <c r="P1336">
        <v>0</v>
      </c>
      <c r="Q1336" s="5" t="e">
        <f>IF(AND(#REF!&gt;=table!$C$6,#REF!&lt;= table!$D$6),-1,IF(AND(#REF!&gt;=table!$E$6,#REF!&lt;=table!$F$6),1,0))</f>
        <v>#REF!</v>
      </c>
      <c r="R1336" s="5" t="e">
        <f>IF(AND(#REF!&gt;=table!$C$7,#REF!&lt;= table!$D$7),-1,IF(AND(#REF!&gt;=table!$E$7,#REF!&lt;=table!$F$7),1,0))</f>
        <v>#REF!</v>
      </c>
      <c r="S1336" s="5" t="e">
        <f>IF(AND(#REF!&gt;=table!$C$8,#REF!&lt;= table!$D$8),-1,IF(AND(#REF!&gt;=table!$E$8,#REF!&lt;=table!$F$8),1,0))</f>
        <v>#REF!</v>
      </c>
      <c r="T1336" s="5"/>
      <c r="U1336" s="5" t="e">
        <f>IF(AND(#REF!&gt;=table!$C$10,#REF!&lt;= table!$D$10),-1,IF(AND(#REF!&gt;=table!$E$10,#REF!&lt;=table!$F$10),1,0))</f>
        <v>#REF!</v>
      </c>
      <c r="V1336" s="5" t="e">
        <f>IF(AND(#REF!&gt;=table!$C$11,#REF!&lt;= table!$D$11),-1,IF(AND(#REF!&gt;=table!$E$11,#REF!&lt;=table!$F$11),1,0))</f>
        <v>#REF!</v>
      </c>
      <c r="W1336" s="5" t="e">
        <f>CONCATENATE(dados[[#This Row],[fator1]],dados[[#This Row],[fator5]],dados[[#This Row],[fator6]])</f>
        <v>#REF!</v>
      </c>
    </row>
    <row r="1337" spans="1:23">
      <c r="A1337" t="s">
        <v>17</v>
      </c>
      <c r="B1337">
        <v>484787</v>
      </c>
      <c r="C1337">
        <v>9</v>
      </c>
      <c r="D1337">
        <v>30</v>
      </c>
      <c r="E1337">
        <v>160</v>
      </c>
      <c r="F1337">
        <v>3</v>
      </c>
      <c r="G1337">
        <v>30</v>
      </c>
      <c r="H1337">
        <v>18</v>
      </c>
      <c r="I1337">
        <v>732</v>
      </c>
      <c r="J1337">
        <v>0</v>
      </c>
      <c r="K1337">
        <v>2.85</v>
      </c>
      <c r="L1337">
        <v>5.2</v>
      </c>
      <c r="M1337">
        <v>155.5</v>
      </c>
      <c r="N1337">
        <v>14.035</v>
      </c>
      <c r="O1337">
        <v>1694</v>
      </c>
      <c r="P1337">
        <v>0</v>
      </c>
      <c r="Q1337" s="5" t="e">
        <f>IF(AND(#REF!&gt;=table!$C$6,#REF!&lt;= table!$D$6),-1,IF(AND(#REF!&gt;=table!$E$6,#REF!&lt;=table!$F$6),1,0))</f>
        <v>#REF!</v>
      </c>
      <c r="R1337" s="5" t="e">
        <f>IF(AND(#REF!&gt;=table!$C$7,#REF!&lt;= table!$D$7),-1,IF(AND(#REF!&gt;=table!$E$7,#REF!&lt;=table!$F$7),1,0))</f>
        <v>#REF!</v>
      </c>
      <c r="S1337" s="5" t="e">
        <f>IF(AND(#REF!&gt;=table!$C$8,#REF!&lt;= table!$D$8),-1,IF(AND(#REF!&gt;=table!$E$8,#REF!&lt;=table!$F$8),1,0))</f>
        <v>#REF!</v>
      </c>
      <c r="T1337" s="5"/>
      <c r="U1337" s="5" t="e">
        <f>IF(AND(#REF!&gt;=table!$C$10,#REF!&lt;= table!$D$10),-1,IF(AND(#REF!&gt;=table!$E$10,#REF!&lt;=table!$F$10),1,0))</f>
        <v>#REF!</v>
      </c>
      <c r="V1337" s="5" t="e">
        <f>IF(AND(#REF!&gt;=table!$C$11,#REF!&lt;= table!$D$11),-1,IF(AND(#REF!&gt;=table!$E$11,#REF!&lt;=table!$F$11),1,0))</f>
        <v>#REF!</v>
      </c>
      <c r="W1337" s="5" t="e">
        <f>CONCATENATE(dados[[#This Row],[fator1]],dados[[#This Row],[fator5]],dados[[#This Row],[fator6]])</f>
        <v>#REF!</v>
      </c>
    </row>
    <row r="1338" spans="1:23">
      <c r="A1338" t="s">
        <v>17</v>
      </c>
      <c r="B1338">
        <v>484788</v>
      </c>
      <c r="C1338">
        <v>9</v>
      </c>
      <c r="D1338">
        <v>30</v>
      </c>
      <c r="E1338">
        <v>160</v>
      </c>
      <c r="F1338">
        <v>3</v>
      </c>
      <c r="G1338">
        <v>30</v>
      </c>
      <c r="H1338">
        <v>18</v>
      </c>
      <c r="I1338">
        <v>890</v>
      </c>
      <c r="J1338">
        <v>0</v>
      </c>
      <c r="K1338">
        <v>1.9450000000000001</v>
      </c>
      <c r="L1338">
        <v>4.0999999999999996</v>
      </c>
      <c r="M1338">
        <v>127.14</v>
      </c>
      <c r="N1338">
        <v>9.6550000000000011</v>
      </c>
      <c r="O1338">
        <v>1665</v>
      </c>
      <c r="P1338">
        <v>920</v>
      </c>
      <c r="Q1338" s="5" t="e">
        <f>IF(AND(#REF!&gt;=table!$C$6,#REF!&lt;= table!$D$6),-1,IF(AND(#REF!&gt;=table!$E$6,#REF!&lt;=table!$F$6),1,0))</f>
        <v>#REF!</v>
      </c>
      <c r="R1338" s="5" t="e">
        <f>IF(AND(#REF!&gt;=table!$C$7,#REF!&lt;= table!$D$7),-1,IF(AND(#REF!&gt;=table!$E$7,#REF!&lt;=table!$F$7),1,0))</f>
        <v>#REF!</v>
      </c>
      <c r="S1338" s="5" t="e">
        <f>IF(AND(#REF!&gt;=table!$C$8,#REF!&lt;= table!$D$8),-1,IF(AND(#REF!&gt;=table!$E$8,#REF!&lt;=table!$F$8),1,0))</f>
        <v>#REF!</v>
      </c>
      <c r="T1338" s="5"/>
      <c r="U1338" s="5" t="e">
        <f>IF(AND(#REF!&gt;=table!$C$10,#REF!&lt;= table!$D$10),-1,IF(AND(#REF!&gt;=table!$E$10,#REF!&lt;=table!$F$10),1,0))</f>
        <v>#REF!</v>
      </c>
      <c r="V1338" s="5" t="e">
        <f>IF(AND(#REF!&gt;=table!$C$11,#REF!&lt;= table!$D$11),-1,IF(AND(#REF!&gt;=table!$E$11,#REF!&lt;=table!$F$11),1,0))</f>
        <v>#REF!</v>
      </c>
      <c r="W1338" s="5" t="e">
        <f>CONCATENATE(dados[[#This Row],[fator1]],dados[[#This Row],[fator5]],dados[[#This Row],[fator6]])</f>
        <v>#REF!</v>
      </c>
    </row>
    <row r="1339" spans="1:23">
      <c r="A1339" t="s">
        <v>17</v>
      </c>
      <c r="B1339">
        <v>484790</v>
      </c>
      <c r="C1339">
        <v>16</v>
      </c>
      <c r="D1339">
        <v>30</v>
      </c>
      <c r="E1339">
        <v>106</v>
      </c>
      <c r="F1339">
        <v>4</v>
      </c>
      <c r="G1339">
        <v>20</v>
      </c>
      <c r="H1339">
        <v>25</v>
      </c>
      <c r="I1339">
        <v>2</v>
      </c>
      <c r="J1339">
        <v>0</v>
      </c>
      <c r="K1339">
        <v>4.2149999999999999</v>
      </c>
      <c r="L1339">
        <v>13.205</v>
      </c>
      <c r="M1339">
        <v>93.13</v>
      </c>
      <c r="N1339">
        <v>8.7100000000000009</v>
      </c>
      <c r="O1339">
        <v>1667</v>
      </c>
      <c r="P1339">
        <v>432</v>
      </c>
      <c r="Q1339" s="5" t="e">
        <f>IF(AND(#REF!&gt;=table!$C$6,#REF!&lt;= table!$D$6),-1,IF(AND(#REF!&gt;=table!$E$6,#REF!&lt;=table!$F$6),1,0))</f>
        <v>#REF!</v>
      </c>
      <c r="R1339" s="5" t="e">
        <f>IF(AND(#REF!&gt;=table!$C$7,#REF!&lt;= table!$D$7),-1,IF(AND(#REF!&gt;=table!$E$7,#REF!&lt;=table!$F$7),1,0))</f>
        <v>#REF!</v>
      </c>
      <c r="S1339" s="5" t="e">
        <f>IF(AND(#REF!&gt;=table!$C$8,#REF!&lt;= table!$D$8),-1,IF(AND(#REF!&gt;=table!$E$8,#REF!&lt;=table!$F$8),1,0))</f>
        <v>#REF!</v>
      </c>
      <c r="T1339" s="5"/>
      <c r="U1339" s="5" t="e">
        <f>IF(AND(#REF!&gt;=table!$C$10,#REF!&lt;= table!$D$10),-1,IF(AND(#REF!&gt;=table!$E$10,#REF!&lt;=table!$F$10),1,0))</f>
        <v>#REF!</v>
      </c>
      <c r="V1339" s="5" t="e">
        <f>IF(AND(#REF!&gt;=table!$C$11,#REF!&lt;= table!$D$11),-1,IF(AND(#REF!&gt;=table!$E$11,#REF!&lt;=table!$F$11),1,0))</f>
        <v>#REF!</v>
      </c>
      <c r="W1339" s="5" t="e">
        <f>CONCATENATE(dados[[#This Row],[fator1]],dados[[#This Row],[fator5]],dados[[#This Row],[fator6]])</f>
        <v>#REF!</v>
      </c>
    </row>
    <row r="1340" spans="1:23">
      <c r="A1340" t="s">
        <v>17</v>
      </c>
      <c r="B1340">
        <v>484791</v>
      </c>
      <c r="C1340">
        <v>10</v>
      </c>
      <c r="D1340">
        <v>30</v>
      </c>
      <c r="E1340">
        <v>135</v>
      </c>
      <c r="F1340">
        <v>4</v>
      </c>
      <c r="G1340">
        <v>20</v>
      </c>
      <c r="H1340">
        <v>20</v>
      </c>
      <c r="I1340">
        <v>1115</v>
      </c>
      <c r="J1340">
        <v>0</v>
      </c>
      <c r="K1340">
        <v>3.2250000000000001</v>
      </c>
      <c r="L1340">
        <v>6.95</v>
      </c>
      <c r="M1340">
        <v>111.63</v>
      </c>
      <c r="N1340">
        <v>9.6150000000000002</v>
      </c>
      <c r="O1340">
        <v>1687</v>
      </c>
      <c r="P1340">
        <v>0</v>
      </c>
      <c r="Q1340" s="5" t="e">
        <f>IF(AND(#REF!&gt;=table!$C$6,#REF!&lt;= table!$D$6),-1,IF(AND(#REF!&gt;=table!$E$6,#REF!&lt;=table!$F$6),1,0))</f>
        <v>#REF!</v>
      </c>
      <c r="R1340" s="5" t="e">
        <f>IF(AND(#REF!&gt;=table!$C$7,#REF!&lt;= table!$D$7),-1,IF(AND(#REF!&gt;=table!$E$7,#REF!&lt;=table!$F$7),1,0))</f>
        <v>#REF!</v>
      </c>
      <c r="S1340" s="5" t="e">
        <f>IF(AND(#REF!&gt;=table!$C$8,#REF!&lt;= table!$D$8),-1,IF(AND(#REF!&gt;=table!$E$8,#REF!&lt;=table!$F$8),1,0))</f>
        <v>#REF!</v>
      </c>
      <c r="T1340" s="5"/>
      <c r="U1340" s="5" t="e">
        <f>IF(AND(#REF!&gt;=table!$C$10,#REF!&lt;= table!$D$10),-1,IF(AND(#REF!&gt;=table!$E$10,#REF!&lt;=table!$F$10),1,0))</f>
        <v>#REF!</v>
      </c>
      <c r="V1340" s="5" t="e">
        <f>IF(AND(#REF!&gt;=table!$C$11,#REF!&lt;= table!$D$11),-1,IF(AND(#REF!&gt;=table!$E$11,#REF!&lt;=table!$F$11),1,0))</f>
        <v>#REF!</v>
      </c>
      <c r="W1340" s="5" t="e">
        <f>CONCATENATE(dados[[#This Row],[fator1]],dados[[#This Row],[fator5]],dados[[#This Row],[fator6]])</f>
        <v>#REF!</v>
      </c>
    </row>
    <row r="1341" spans="1:23">
      <c r="A1341" t="s">
        <v>16</v>
      </c>
      <c r="B1341">
        <v>484796</v>
      </c>
      <c r="C1341">
        <v>6</v>
      </c>
      <c r="D1341">
        <v>40</v>
      </c>
      <c r="E1341">
        <v>30</v>
      </c>
      <c r="F1341">
        <v>4</v>
      </c>
      <c r="G1341">
        <v>0</v>
      </c>
      <c r="H1341">
        <v>23</v>
      </c>
      <c r="I1341">
        <v>441</v>
      </c>
      <c r="J1341">
        <v>1420</v>
      </c>
      <c r="K1341">
        <v>2.72</v>
      </c>
      <c r="L1341">
        <v>3.7</v>
      </c>
      <c r="M1341">
        <v>20.525000000000002</v>
      </c>
      <c r="N1341">
        <v>12.185</v>
      </c>
      <c r="O1341">
        <v>1597</v>
      </c>
      <c r="P1341">
        <v>0</v>
      </c>
      <c r="Q1341" s="5" t="e">
        <f>IF(AND(#REF!&gt;=table!$C$6,#REF!&lt;= table!$D$6),-1,IF(AND(#REF!&gt;=table!$E$6,#REF!&lt;=table!$F$6),1,0))</f>
        <v>#REF!</v>
      </c>
      <c r="R1341" s="5" t="e">
        <f>IF(AND(#REF!&gt;=table!$C$7,#REF!&lt;= table!$D$7),-1,IF(AND(#REF!&gt;=table!$E$7,#REF!&lt;=table!$F$7),1,0))</f>
        <v>#REF!</v>
      </c>
      <c r="S1341" s="5" t="e">
        <f>IF(AND(#REF!&gt;=table!$C$8,#REF!&lt;= table!$D$8),-1,IF(AND(#REF!&gt;=table!$E$8,#REF!&lt;=table!$F$8),1,0))</f>
        <v>#REF!</v>
      </c>
      <c r="T1341" s="5"/>
      <c r="U1341" s="5" t="e">
        <f>IF(AND(#REF!&gt;=table!$C$10,#REF!&lt;= table!$D$10),-1,IF(AND(#REF!&gt;=table!$E$10,#REF!&lt;=table!$F$10),1,0))</f>
        <v>#REF!</v>
      </c>
      <c r="V1341" s="5" t="e">
        <f>IF(AND(#REF!&gt;=table!$C$11,#REF!&lt;= table!$D$11),-1,IF(AND(#REF!&gt;=table!$E$11,#REF!&lt;=table!$F$11),1,0))</f>
        <v>#REF!</v>
      </c>
      <c r="W1341" s="5" t="e">
        <f>CONCATENATE(dados[[#This Row],[fator1]],dados[[#This Row],[fator5]],dados[[#This Row],[fator6]])</f>
        <v>#REF!</v>
      </c>
    </row>
    <row r="1342" spans="1:23">
      <c r="A1342" t="s">
        <v>16</v>
      </c>
      <c r="B1342">
        <v>484797</v>
      </c>
      <c r="C1342">
        <v>9</v>
      </c>
      <c r="D1342">
        <v>40</v>
      </c>
      <c r="E1342">
        <v>46</v>
      </c>
      <c r="F1342">
        <v>15</v>
      </c>
      <c r="G1342">
        <v>0</v>
      </c>
      <c r="H1342">
        <v>25</v>
      </c>
      <c r="I1342">
        <v>1035</v>
      </c>
      <c r="J1342">
        <v>0</v>
      </c>
      <c r="K1342">
        <v>2.85</v>
      </c>
      <c r="L1342">
        <v>11.700000000000001</v>
      </c>
      <c r="M1342">
        <v>31.19</v>
      </c>
      <c r="N1342">
        <v>8</v>
      </c>
      <c r="O1342">
        <v>1706</v>
      </c>
      <c r="P1342">
        <v>0</v>
      </c>
      <c r="Q1342" s="5" t="e">
        <f>IF(AND(#REF!&gt;=table!$C$6,#REF!&lt;= table!$D$6),-1,IF(AND(#REF!&gt;=table!$E$6,#REF!&lt;=table!$F$6),1,0))</f>
        <v>#REF!</v>
      </c>
      <c r="R1342" s="5" t="e">
        <f>IF(AND(#REF!&gt;=table!$C$7,#REF!&lt;= table!$D$7),-1,IF(AND(#REF!&gt;=table!$E$7,#REF!&lt;=table!$F$7),1,0))</f>
        <v>#REF!</v>
      </c>
      <c r="S1342" s="5" t="e">
        <f>IF(AND(#REF!&gt;=table!$C$8,#REF!&lt;= table!$D$8),-1,IF(AND(#REF!&gt;=table!$E$8,#REF!&lt;=table!$F$8),1,0))</f>
        <v>#REF!</v>
      </c>
      <c r="T1342" s="5"/>
      <c r="U1342" s="5" t="e">
        <f>IF(AND(#REF!&gt;=table!$C$10,#REF!&lt;= table!$D$10),-1,IF(AND(#REF!&gt;=table!$E$10,#REF!&lt;=table!$F$10),1,0))</f>
        <v>#REF!</v>
      </c>
      <c r="V1342" s="5" t="e">
        <f>IF(AND(#REF!&gt;=table!$C$11,#REF!&lt;= table!$D$11),-1,IF(AND(#REF!&gt;=table!$E$11,#REF!&lt;=table!$F$11),1,0))</f>
        <v>#REF!</v>
      </c>
      <c r="W1342" s="5" t="e">
        <f>CONCATENATE(dados[[#This Row],[fator1]],dados[[#This Row],[fator5]],dados[[#This Row],[fator6]])</f>
        <v>#REF!</v>
      </c>
    </row>
    <row r="1343" spans="1:23">
      <c r="A1343" t="s">
        <v>16</v>
      </c>
      <c r="B1343">
        <v>484800</v>
      </c>
      <c r="C1343">
        <v>9</v>
      </c>
      <c r="D1343">
        <v>35</v>
      </c>
      <c r="E1343">
        <v>36</v>
      </c>
      <c r="F1343">
        <v>9</v>
      </c>
      <c r="G1343">
        <v>0</v>
      </c>
      <c r="H1343">
        <v>25</v>
      </c>
      <c r="I1343">
        <v>728</v>
      </c>
      <c r="J1343">
        <v>0</v>
      </c>
      <c r="K1343">
        <v>3.9485000000000001</v>
      </c>
      <c r="L1343">
        <v>7.8805000000000005</v>
      </c>
      <c r="M1343">
        <v>7.01</v>
      </c>
      <c r="N1343">
        <v>7.8500000000000005</v>
      </c>
      <c r="O1343">
        <v>1674</v>
      </c>
      <c r="P1343">
        <v>0</v>
      </c>
      <c r="Q1343" s="5" t="e">
        <f>IF(AND(#REF!&gt;=table!$C$6,#REF!&lt;= table!$D$6),-1,IF(AND(#REF!&gt;=table!$E$6,#REF!&lt;=table!$F$6),1,0))</f>
        <v>#REF!</v>
      </c>
      <c r="R1343" s="5" t="e">
        <f>IF(AND(#REF!&gt;=table!$C$7,#REF!&lt;= table!$D$7),-1,IF(AND(#REF!&gt;=table!$E$7,#REF!&lt;=table!$F$7),1,0))</f>
        <v>#REF!</v>
      </c>
      <c r="S1343" s="5" t="e">
        <f>IF(AND(#REF!&gt;=table!$C$8,#REF!&lt;= table!$D$8),-1,IF(AND(#REF!&gt;=table!$E$8,#REF!&lt;=table!$F$8),1,0))</f>
        <v>#REF!</v>
      </c>
      <c r="T1343" s="5"/>
      <c r="U1343" s="5" t="e">
        <f>IF(AND(#REF!&gt;=table!$C$10,#REF!&lt;= table!$D$10),-1,IF(AND(#REF!&gt;=table!$E$10,#REF!&lt;=table!$F$10),1,0))</f>
        <v>#REF!</v>
      </c>
      <c r="V1343" s="5" t="e">
        <f>IF(AND(#REF!&gt;=table!$C$11,#REF!&lt;= table!$D$11),-1,IF(AND(#REF!&gt;=table!$E$11,#REF!&lt;=table!$F$11),1,0))</f>
        <v>#REF!</v>
      </c>
      <c r="W1343" s="5" t="e">
        <f>CONCATENATE(dados[[#This Row],[fator1]],dados[[#This Row],[fator5]],dados[[#This Row],[fator6]])</f>
        <v>#REF!</v>
      </c>
    </row>
    <row r="1344" spans="1:23">
      <c r="A1344" t="s">
        <v>16</v>
      </c>
      <c r="B1344">
        <v>484801</v>
      </c>
      <c r="C1344">
        <v>3</v>
      </c>
      <c r="D1344">
        <v>30</v>
      </c>
      <c r="E1344">
        <v>21</v>
      </c>
      <c r="F1344">
        <v>15</v>
      </c>
      <c r="G1344">
        <v>0</v>
      </c>
      <c r="H1344">
        <v>25</v>
      </c>
      <c r="I1344">
        <v>1306</v>
      </c>
      <c r="J1344">
        <v>0</v>
      </c>
      <c r="K1344">
        <v>2.3565</v>
      </c>
      <c r="L1344">
        <v>1.1225000000000001</v>
      </c>
      <c r="M1344">
        <v>7.3580000000000005</v>
      </c>
      <c r="N1344">
        <v>11.73</v>
      </c>
      <c r="O1344">
        <v>1621</v>
      </c>
      <c r="P1344">
        <v>1359</v>
      </c>
      <c r="Q1344" s="5" t="e">
        <f>IF(AND(#REF!&gt;=table!$C$6,#REF!&lt;= table!$D$6),-1,IF(AND(#REF!&gt;=table!$E$6,#REF!&lt;=table!$F$6),1,0))</f>
        <v>#REF!</v>
      </c>
      <c r="R1344" s="5" t="e">
        <f>IF(AND(#REF!&gt;=table!$C$7,#REF!&lt;= table!$D$7),-1,IF(AND(#REF!&gt;=table!$E$7,#REF!&lt;=table!$F$7),1,0))</f>
        <v>#REF!</v>
      </c>
      <c r="S1344" s="5" t="e">
        <f>IF(AND(#REF!&gt;=table!$C$8,#REF!&lt;= table!$D$8),-1,IF(AND(#REF!&gt;=table!$E$8,#REF!&lt;=table!$F$8),1,0))</f>
        <v>#REF!</v>
      </c>
      <c r="T1344" s="5"/>
      <c r="U1344" s="5" t="e">
        <f>IF(AND(#REF!&gt;=table!$C$10,#REF!&lt;= table!$D$10),-1,IF(AND(#REF!&gt;=table!$E$10,#REF!&lt;=table!$F$10),1,0))</f>
        <v>#REF!</v>
      </c>
      <c r="V1344" s="5" t="e">
        <f>IF(AND(#REF!&gt;=table!$C$11,#REF!&lt;= table!$D$11),-1,IF(AND(#REF!&gt;=table!$E$11,#REF!&lt;=table!$F$11),1,0))</f>
        <v>#REF!</v>
      </c>
      <c r="W1344" s="5" t="e">
        <f>CONCATENATE(dados[[#This Row],[fator1]],dados[[#This Row],[fator5]],dados[[#This Row],[fator6]])</f>
        <v>#REF!</v>
      </c>
    </row>
    <row r="1345" spans="1:23">
      <c r="A1345" t="s">
        <v>17</v>
      </c>
      <c r="B1345">
        <v>484811</v>
      </c>
      <c r="C1345">
        <v>12</v>
      </c>
      <c r="D1345">
        <v>35</v>
      </c>
      <c r="E1345">
        <v>95</v>
      </c>
      <c r="F1345">
        <v>4</v>
      </c>
      <c r="G1345">
        <v>28</v>
      </c>
      <c r="H1345">
        <v>20</v>
      </c>
      <c r="I1345">
        <v>12</v>
      </c>
      <c r="J1345">
        <v>0</v>
      </c>
      <c r="K1345">
        <v>5.0994999999999999</v>
      </c>
      <c r="L1345">
        <v>11.911000000000001</v>
      </c>
      <c r="M1345">
        <v>85.105000000000004</v>
      </c>
      <c r="N1345">
        <v>9.9850000000000012</v>
      </c>
      <c r="O1345">
        <v>1646</v>
      </c>
      <c r="P1345">
        <v>349</v>
      </c>
      <c r="Q1345" s="5" t="e">
        <f>IF(AND(#REF!&gt;=table!$C$6,#REF!&lt;= table!$D$6),-1,IF(AND(#REF!&gt;=table!$E$6,#REF!&lt;=table!$F$6),1,0))</f>
        <v>#REF!</v>
      </c>
      <c r="R1345" s="5" t="e">
        <f>IF(AND(#REF!&gt;=table!$C$7,#REF!&lt;= table!$D$7),-1,IF(AND(#REF!&gt;=table!$E$7,#REF!&lt;=table!$F$7),1,0))</f>
        <v>#REF!</v>
      </c>
      <c r="S1345" s="5" t="e">
        <f>IF(AND(#REF!&gt;=table!$C$8,#REF!&lt;= table!$D$8),-1,IF(AND(#REF!&gt;=table!$E$8,#REF!&lt;=table!$F$8),1,0))</f>
        <v>#REF!</v>
      </c>
      <c r="T1345" s="5"/>
      <c r="U1345" s="5" t="e">
        <f>IF(AND(#REF!&gt;=table!$C$10,#REF!&lt;= table!$D$10),-1,IF(AND(#REF!&gt;=table!$E$10,#REF!&lt;=table!$F$10),1,0))</f>
        <v>#REF!</v>
      </c>
      <c r="V1345" s="5" t="e">
        <f>IF(AND(#REF!&gt;=table!$C$11,#REF!&lt;= table!$D$11),-1,IF(AND(#REF!&gt;=table!$E$11,#REF!&lt;=table!$F$11),1,0))</f>
        <v>#REF!</v>
      </c>
      <c r="W1345" s="5" t="e">
        <f>CONCATENATE(dados[[#This Row],[fator1]],dados[[#This Row],[fator5]],dados[[#This Row],[fator6]])</f>
        <v>#REF!</v>
      </c>
    </row>
    <row r="1346" spans="1:23">
      <c r="A1346" t="s">
        <v>16</v>
      </c>
      <c r="B1346">
        <v>484817</v>
      </c>
      <c r="C1346">
        <v>0.15</v>
      </c>
      <c r="D1346">
        <v>40</v>
      </c>
      <c r="E1346">
        <v>10</v>
      </c>
      <c r="F1346">
        <v>15</v>
      </c>
      <c r="G1346">
        <v>0</v>
      </c>
      <c r="H1346">
        <v>15</v>
      </c>
      <c r="I1346">
        <v>923</v>
      </c>
      <c r="J1346">
        <v>0</v>
      </c>
      <c r="K1346">
        <v>3.2550000000000003</v>
      </c>
      <c r="L1346">
        <v>10.405000000000001</v>
      </c>
      <c r="M1346">
        <v>8.1999999999999993</v>
      </c>
      <c r="N1346">
        <v>7.7</v>
      </c>
      <c r="O1346">
        <v>1681</v>
      </c>
      <c r="P1346">
        <v>0</v>
      </c>
      <c r="Q1346" s="5" t="e">
        <f>IF(AND(#REF!&gt;=table!$C$6,#REF!&lt;= table!$D$6),-1,IF(AND(#REF!&gt;=table!$E$6,#REF!&lt;=table!$F$6),1,0))</f>
        <v>#REF!</v>
      </c>
      <c r="R1346" s="5" t="e">
        <f>IF(AND(#REF!&gt;=table!$C$7,#REF!&lt;= table!$D$7),-1,IF(AND(#REF!&gt;=table!$E$7,#REF!&lt;=table!$F$7),1,0))</f>
        <v>#REF!</v>
      </c>
      <c r="S1346" s="5" t="e">
        <f>IF(AND(#REF!&gt;=table!$C$8,#REF!&lt;= table!$D$8),-1,IF(AND(#REF!&gt;=table!$E$8,#REF!&lt;=table!$F$8),1,0))</f>
        <v>#REF!</v>
      </c>
      <c r="T1346" s="5"/>
      <c r="U1346" s="5" t="e">
        <f>IF(AND(#REF!&gt;=table!$C$10,#REF!&lt;= table!$D$10),-1,IF(AND(#REF!&gt;=table!$E$10,#REF!&lt;=table!$F$10),1,0))</f>
        <v>#REF!</v>
      </c>
      <c r="V1346" s="5" t="e">
        <f>IF(AND(#REF!&gt;=table!$C$11,#REF!&lt;= table!$D$11),-1,IF(AND(#REF!&gt;=table!$E$11,#REF!&lt;=table!$F$11),1,0))</f>
        <v>#REF!</v>
      </c>
      <c r="W1346" s="5" t="e">
        <f>CONCATENATE(dados[[#This Row],[fator1]],dados[[#This Row],[fator5]],dados[[#This Row],[fator6]])</f>
        <v>#REF!</v>
      </c>
    </row>
    <row r="1347" spans="1:23">
      <c r="A1347" t="s">
        <v>16</v>
      </c>
      <c r="B1347">
        <v>484820</v>
      </c>
      <c r="C1347">
        <v>0.15</v>
      </c>
      <c r="D1347">
        <v>40</v>
      </c>
      <c r="E1347">
        <v>10</v>
      </c>
      <c r="F1347">
        <v>15</v>
      </c>
      <c r="G1347">
        <v>0</v>
      </c>
      <c r="H1347">
        <v>15</v>
      </c>
      <c r="I1347">
        <v>922</v>
      </c>
      <c r="J1347">
        <v>0</v>
      </c>
      <c r="K1347">
        <v>2.875</v>
      </c>
      <c r="L1347">
        <v>10.77</v>
      </c>
      <c r="M1347">
        <v>9.15</v>
      </c>
      <c r="N1347">
        <v>9.0500000000000007</v>
      </c>
      <c r="O1347">
        <v>1685</v>
      </c>
      <c r="P1347">
        <v>0</v>
      </c>
      <c r="Q1347" s="5" t="e">
        <f>IF(AND(#REF!&gt;=table!$C$6,#REF!&lt;= table!$D$6),-1,IF(AND(#REF!&gt;=table!$E$6,#REF!&lt;=table!$F$6),1,0))</f>
        <v>#REF!</v>
      </c>
      <c r="R1347" s="5" t="e">
        <f>IF(AND(#REF!&gt;=table!$C$7,#REF!&lt;= table!$D$7),-1,IF(AND(#REF!&gt;=table!$E$7,#REF!&lt;=table!$F$7),1,0))</f>
        <v>#REF!</v>
      </c>
      <c r="S1347" s="5" t="e">
        <f>IF(AND(#REF!&gt;=table!$C$8,#REF!&lt;= table!$D$8),-1,IF(AND(#REF!&gt;=table!$E$8,#REF!&lt;=table!$F$8),1,0))</f>
        <v>#REF!</v>
      </c>
      <c r="T1347" s="5"/>
      <c r="U1347" s="5" t="e">
        <f>IF(AND(#REF!&gt;=table!$C$10,#REF!&lt;= table!$D$10),-1,IF(AND(#REF!&gt;=table!$E$10,#REF!&lt;=table!$F$10),1,0))</f>
        <v>#REF!</v>
      </c>
      <c r="V1347" s="5" t="e">
        <f>IF(AND(#REF!&gt;=table!$C$11,#REF!&lt;= table!$D$11),-1,IF(AND(#REF!&gt;=table!$E$11,#REF!&lt;=table!$F$11),1,0))</f>
        <v>#REF!</v>
      </c>
      <c r="W1347" s="5" t="e">
        <f>CONCATENATE(dados[[#This Row],[fator1]],dados[[#This Row],[fator5]],dados[[#This Row],[fator6]])</f>
        <v>#REF!</v>
      </c>
    </row>
    <row r="1348" spans="1:23">
      <c r="A1348" t="s">
        <v>17</v>
      </c>
      <c r="B1348">
        <v>484824</v>
      </c>
      <c r="C1348">
        <v>7</v>
      </c>
      <c r="D1348">
        <v>25</v>
      </c>
      <c r="E1348">
        <v>126</v>
      </c>
      <c r="F1348">
        <v>9</v>
      </c>
      <c r="G1348">
        <v>110</v>
      </c>
      <c r="H1348">
        <v>50</v>
      </c>
      <c r="I1348">
        <v>31</v>
      </c>
      <c r="J1348">
        <v>0</v>
      </c>
      <c r="K1348">
        <v>3.49</v>
      </c>
      <c r="L1348">
        <v>9.4</v>
      </c>
      <c r="M1348">
        <v>137.07500000000002</v>
      </c>
      <c r="N1348">
        <v>27.075000000000003</v>
      </c>
      <c r="O1348">
        <v>1675</v>
      </c>
      <c r="P1348">
        <v>0</v>
      </c>
      <c r="Q1348" s="5" t="e">
        <f>IF(AND(#REF!&gt;=table!$C$6,#REF!&lt;= table!$D$6),-1,IF(AND(#REF!&gt;=table!$E$6,#REF!&lt;=table!$F$6),1,0))</f>
        <v>#REF!</v>
      </c>
      <c r="R1348" s="5" t="e">
        <f>IF(AND(#REF!&gt;=table!$C$7,#REF!&lt;= table!$D$7),-1,IF(AND(#REF!&gt;=table!$E$7,#REF!&lt;=table!$F$7),1,0))</f>
        <v>#REF!</v>
      </c>
      <c r="S1348" s="5" t="e">
        <f>IF(AND(#REF!&gt;=table!$C$8,#REF!&lt;= table!$D$8),-1,IF(AND(#REF!&gt;=table!$E$8,#REF!&lt;=table!$F$8),1,0))</f>
        <v>#REF!</v>
      </c>
      <c r="T1348" s="5"/>
      <c r="U1348" s="5" t="e">
        <f>IF(AND(#REF!&gt;=table!$C$10,#REF!&lt;= table!$D$10),-1,IF(AND(#REF!&gt;=table!$E$10,#REF!&lt;=table!$F$10),1,0))</f>
        <v>#REF!</v>
      </c>
      <c r="V1348" s="5" t="e">
        <f>IF(AND(#REF!&gt;=table!$C$11,#REF!&lt;= table!$D$11),-1,IF(AND(#REF!&gt;=table!$E$11,#REF!&lt;=table!$F$11),1,0))</f>
        <v>#REF!</v>
      </c>
      <c r="W1348" s="5" t="e">
        <f>CONCATENATE(dados[[#This Row],[fator1]],dados[[#This Row],[fator5]],dados[[#This Row],[fator6]])</f>
        <v>#REF!</v>
      </c>
    </row>
    <row r="1349" spans="1:23">
      <c r="A1349" t="s">
        <v>17</v>
      </c>
      <c r="B1349">
        <v>484829</v>
      </c>
      <c r="C1349">
        <v>8</v>
      </c>
      <c r="D1349">
        <v>33</v>
      </c>
      <c r="E1349">
        <v>160</v>
      </c>
      <c r="F1349">
        <v>3</v>
      </c>
      <c r="G1349">
        <v>25</v>
      </c>
      <c r="H1349">
        <v>21</v>
      </c>
      <c r="I1349">
        <v>89</v>
      </c>
      <c r="J1349">
        <v>0</v>
      </c>
      <c r="K1349">
        <v>2.4965000000000002</v>
      </c>
      <c r="L1349">
        <v>6.2335000000000003</v>
      </c>
      <c r="M1349">
        <v>148.876</v>
      </c>
      <c r="N1349">
        <v>9.6300000000000008</v>
      </c>
      <c r="O1349">
        <v>1676</v>
      </c>
      <c r="P1349">
        <v>0</v>
      </c>
      <c r="Q1349" s="5" t="e">
        <f>IF(AND(#REF!&gt;=table!$C$6,#REF!&lt;= table!$D$6),-1,IF(AND(#REF!&gt;=table!$E$6,#REF!&lt;=table!$F$6),1,0))</f>
        <v>#REF!</v>
      </c>
      <c r="R1349" s="5" t="e">
        <f>IF(AND(#REF!&gt;=table!$C$7,#REF!&lt;= table!$D$7),-1,IF(AND(#REF!&gt;=table!$E$7,#REF!&lt;=table!$F$7),1,0))</f>
        <v>#REF!</v>
      </c>
      <c r="S1349" s="5" t="e">
        <f>IF(AND(#REF!&gt;=table!$C$8,#REF!&lt;= table!$D$8),-1,IF(AND(#REF!&gt;=table!$E$8,#REF!&lt;=table!$F$8),1,0))</f>
        <v>#REF!</v>
      </c>
      <c r="T1349" s="5"/>
      <c r="U1349" s="5" t="e">
        <f>IF(AND(#REF!&gt;=table!$C$10,#REF!&lt;= table!$D$10),-1,IF(AND(#REF!&gt;=table!$E$10,#REF!&lt;=table!$F$10),1,0))</f>
        <v>#REF!</v>
      </c>
      <c r="V1349" s="5" t="e">
        <f>IF(AND(#REF!&gt;=table!$C$11,#REF!&lt;= table!$D$11),-1,IF(AND(#REF!&gt;=table!$E$11,#REF!&lt;=table!$F$11),1,0))</f>
        <v>#REF!</v>
      </c>
      <c r="W1349" s="5" t="e">
        <f>CONCATENATE(dados[[#This Row],[fator1]],dados[[#This Row],[fator5]],dados[[#This Row],[fator6]])</f>
        <v>#REF!</v>
      </c>
    </row>
    <row r="1350" spans="1:23">
      <c r="A1350" t="s">
        <v>17</v>
      </c>
      <c r="B1350">
        <v>484830</v>
      </c>
      <c r="C1350">
        <v>8</v>
      </c>
      <c r="D1350">
        <v>33</v>
      </c>
      <c r="E1350">
        <v>160</v>
      </c>
      <c r="F1350">
        <v>3</v>
      </c>
      <c r="G1350">
        <v>25</v>
      </c>
      <c r="H1350">
        <v>21</v>
      </c>
      <c r="I1350">
        <v>1247</v>
      </c>
      <c r="J1350">
        <v>0</v>
      </c>
      <c r="K1350">
        <v>3.1850000000000001</v>
      </c>
      <c r="L1350">
        <v>11.496</v>
      </c>
      <c r="M1350">
        <v>141.41050000000001</v>
      </c>
      <c r="N1350">
        <v>10.25</v>
      </c>
      <c r="O1350">
        <v>1673</v>
      </c>
      <c r="P1350">
        <v>1170</v>
      </c>
      <c r="Q1350" s="5" t="e">
        <f>IF(AND(#REF!&gt;=table!$C$6,#REF!&lt;= table!$D$6),-1,IF(AND(#REF!&gt;=table!$E$6,#REF!&lt;=table!$F$6),1,0))</f>
        <v>#REF!</v>
      </c>
      <c r="R1350" s="5" t="e">
        <f>IF(AND(#REF!&gt;=table!$C$7,#REF!&lt;= table!$D$7),-1,IF(AND(#REF!&gt;=table!$E$7,#REF!&lt;=table!$F$7),1,0))</f>
        <v>#REF!</v>
      </c>
      <c r="S1350" s="5" t="e">
        <f>IF(AND(#REF!&gt;=table!$C$8,#REF!&lt;= table!$D$8),-1,IF(AND(#REF!&gt;=table!$E$8,#REF!&lt;=table!$F$8),1,0))</f>
        <v>#REF!</v>
      </c>
      <c r="T1350" s="5"/>
      <c r="U1350" s="5" t="e">
        <f>IF(AND(#REF!&gt;=table!$C$10,#REF!&lt;= table!$D$10),-1,IF(AND(#REF!&gt;=table!$E$10,#REF!&lt;=table!$F$10),1,0))</f>
        <v>#REF!</v>
      </c>
      <c r="V1350" s="5" t="e">
        <f>IF(AND(#REF!&gt;=table!$C$11,#REF!&lt;= table!$D$11),-1,IF(AND(#REF!&gt;=table!$E$11,#REF!&lt;=table!$F$11),1,0))</f>
        <v>#REF!</v>
      </c>
      <c r="W1350" s="5" t="e">
        <f>CONCATENATE(dados[[#This Row],[fator1]],dados[[#This Row],[fator5]],dados[[#This Row],[fator6]])</f>
        <v>#REF!</v>
      </c>
    </row>
    <row r="1351" spans="1:23">
      <c r="A1351" t="s">
        <v>17</v>
      </c>
      <c r="B1351">
        <v>484831</v>
      </c>
      <c r="C1351">
        <v>8</v>
      </c>
      <c r="D1351">
        <v>33</v>
      </c>
      <c r="E1351">
        <v>160</v>
      </c>
      <c r="F1351">
        <v>3</v>
      </c>
      <c r="G1351">
        <v>25</v>
      </c>
      <c r="H1351">
        <v>21</v>
      </c>
      <c r="I1351">
        <v>1270</v>
      </c>
      <c r="J1351">
        <v>0</v>
      </c>
      <c r="K1351">
        <v>2.2135000000000002</v>
      </c>
      <c r="L1351">
        <v>6.7130000000000001</v>
      </c>
      <c r="M1351">
        <v>139.649</v>
      </c>
      <c r="N1351">
        <v>14.085000000000001</v>
      </c>
      <c r="O1351">
        <v>1658</v>
      </c>
      <c r="P1351">
        <v>571</v>
      </c>
      <c r="Q1351" s="5" t="e">
        <f>IF(AND(#REF!&gt;=table!$C$6,#REF!&lt;= table!$D$6),-1,IF(AND(#REF!&gt;=table!$E$6,#REF!&lt;=table!$F$6),1,0))</f>
        <v>#REF!</v>
      </c>
      <c r="R1351" s="5" t="e">
        <f>IF(AND(#REF!&gt;=table!$C$7,#REF!&lt;= table!$D$7),-1,IF(AND(#REF!&gt;=table!$E$7,#REF!&lt;=table!$F$7),1,0))</f>
        <v>#REF!</v>
      </c>
      <c r="S1351" s="5" t="e">
        <f>IF(AND(#REF!&gt;=table!$C$8,#REF!&lt;= table!$D$8),-1,IF(AND(#REF!&gt;=table!$E$8,#REF!&lt;=table!$F$8),1,0))</f>
        <v>#REF!</v>
      </c>
      <c r="T1351" s="5"/>
      <c r="U1351" s="5" t="e">
        <f>IF(AND(#REF!&gt;=table!$C$10,#REF!&lt;= table!$D$10),-1,IF(AND(#REF!&gt;=table!$E$10,#REF!&lt;=table!$F$10),1,0))</f>
        <v>#REF!</v>
      </c>
      <c r="V1351" s="5" t="e">
        <f>IF(AND(#REF!&gt;=table!$C$11,#REF!&lt;= table!$D$11),-1,IF(AND(#REF!&gt;=table!$E$11,#REF!&lt;=table!$F$11),1,0))</f>
        <v>#REF!</v>
      </c>
      <c r="W1351" s="5" t="e">
        <f>CONCATENATE(dados[[#This Row],[fator1]],dados[[#This Row],[fator5]],dados[[#This Row],[fator6]])</f>
        <v>#REF!</v>
      </c>
    </row>
    <row r="1352" spans="1:23">
      <c r="A1352" t="s">
        <v>17</v>
      </c>
      <c r="B1352">
        <v>484832</v>
      </c>
      <c r="C1352">
        <v>8</v>
      </c>
      <c r="D1352">
        <v>33</v>
      </c>
      <c r="E1352">
        <v>160</v>
      </c>
      <c r="F1352">
        <v>3</v>
      </c>
      <c r="G1352">
        <v>25</v>
      </c>
      <c r="H1352">
        <v>21</v>
      </c>
      <c r="I1352">
        <v>893</v>
      </c>
      <c r="J1352">
        <v>0</v>
      </c>
      <c r="K1352">
        <v>3.9015</v>
      </c>
      <c r="L1352">
        <v>6.9285000000000005</v>
      </c>
      <c r="M1352">
        <v>139.76600000000002</v>
      </c>
      <c r="N1352">
        <v>13.6</v>
      </c>
      <c r="O1352">
        <v>1684</v>
      </c>
      <c r="P1352">
        <v>0</v>
      </c>
      <c r="Q1352" s="5" t="e">
        <f>IF(AND(#REF!&gt;=table!$C$6,#REF!&lt;= table!$D$6),-1,IF(AND(#REF!&gt;=table!$E$6,#REF!&lt;=table!$F$6),1,0))</f>
        <v>#REF!</v>
      </c>
      <c r="R1352" s="5" t="e">
        <f>IF(AND(#REF!&gt;=table!$C$7,#REF!&lt;= table!$D$7),-1,IF(AND(#REF!&gt;=table!$E$7,#REF!&lt;=table!$F$7),1,0))</f>
        <v>#REF!</v>
      </c>
      <c r="S1352" s="5" t="e">
        <f>IF(AND(#REF!&gt;=table!$C$8,#REF!&lt;= table!$D$8),-1,IF(AND(#REF!&gt;=table!$E$8,#REF!&lt;=table!$F$8),1,0))</f>
        <v>#REF!</v>
      </c>
      <c r="T1352" s="5"/>
      <c r="U1352" s="5" t="e">
        <f>IF(AND(#REF!&gt;=table!$C$10,#REF!&lt;= table!$D$10),-1,IF(AND(#REF!&gt;=table!$E$10,#REF!&lt;=table!$F$10),1,0))</f>
        <v>#REF!</v>
      </c>
      <c r="V1352" s="5" t="e">
        <f>IF(AND(#REF!&gt;=table!$C$11,#REF!&lt;= table!$D$11),-1,IF(AND(#REF!&gt;=table!$E$11,#REF!&lt;=table!$F$11),1,0))</f>
        <v>#REF!</v>
      </c>
      <c r="W1352" s="5" t="e">
        <f>CONCATENATE(dados[[#This Row],[fator1]],dados[[#This Row],[fator5]],dados[[#This Row],[fator6]])</f>
        <v>#REF!</v>
      </c>
    </row>
    <row r="1353" spans="1:23">
      <c r="A1353" t="s">
        <v>17</v>
      </c>
      <c r="B1353">
        <v>484834</v>
      </c>
      <c r="C1353">
        <v>8</v>
      </c>
      <c r="D1353">
        <v>33</v>
      </c>
      <c r="E1353">
        <v>160</v>
      </c>
      <c r="F1353">
        <v>3</v>
      </c>
      <c r="G1353">
        <v>25</v>
      </c>
      <c r="H1353">
        <v>21</v>
      </c>
      <c r="I1353">
        <v>65</v>
      </c>
      <c r="J1353">
        <v>0</v>
      </c>
      <c r="K1353">
        <v>3.1350000000000002</v>
      </c>
      <c r="L1353">
        <v>7.5040000000000004</v>
      </c>
      <c r="M1353">
        <v>143.1285</v>
      </c>
      <c r="N1353">
        <v>9.1449999999999996</v>
      </c>
      <c r="O1353">
        <v>1668</v>
      </c>
      <c r="P1353">
        <v>0</v>
      </c>
      <c r="Q1353" s="5" t="e">
        <f>IF(AND(#REF!&gt;=table!$C$6,#REF!&lt;= table!$D$6),-1,IF(AND(#REF!&gt;=table!$E$6,#REF!&lt;=table!$F$6),1,0))</f>
        <v>#REF!</v>
      </c>
      <c r="R1353" s="5" t="e">
        <f>IF(AND(#REF!&gt;=table!$C$7,#REF!&lt;= table!$D$7),-1,IF(AND(#REF!&gt;=table!$E$7,#REF!&lt;=table!$F$7),1,0))</f>
        <v>#REF!</v>
      </c>
      <c r="S1353" s="5" t="e">
        <f>IF(AND(#REF!&gt;=table!$C$8,#REF!&lt;= table!$D$8),-1,IF(AND(#REF!&gt;=table!$E$8,#REF!&lt;=table!$F$8),1,0))</f>
        <v>#REF!</v>
      </c>
      <c r="T1353" s="5"/>
      <c r="U1353" s="5" t="e">
        <f>IF(AND(#REF!&gt;=table!$C$10,#REF!&lt;= table!$D$10),-1,IF(AND(#REF!&gt;=table!$E$10,#REF!&lt;=table!$F$10),1,0))</f>
        <v>#REF!</v>
      </c>
      <c r="V1353" s="5" t="e">
        <f>IF(AND(#REF!&gt;=table!$C$11,#REF!&lt;= table!$D$11),-1,IF(AND(#REF!&gt;=table!$E$11,#REF!&lt;=table!$F$11),1,0))</f>
        <v>#REF!</v>
      </c>
      <c r="W1353" s="5" t="e">
        <f>CONCATENATE(dados[[#This Row],[fator1]],dados[[#This Row],[fator5]],dados[[#This Row],[fator6]])</f>
        <v>#REF!</v>
      </c>
    </row>
    <row r="1354" spans="1:23">
      <c r="A1354" t="s">
        <v>16</v>
      </c>
      <c r="B1354">
        <v>484835</v>
      </c>
      <c r="C1354">
        <v>0.15</v>
      </c>
      <c r="D1354">
        <v>35</v>
      </c>
      <c r="E1354">
        <v>15</v>
      </c>
      <c r="F1354">
        <v>10</v>
      </c>
      <c r="G1354">
        <v>0</v>
      </c>
      <c r="H1354">
        <v>12</v>
      </c>
      <c r="I1354">
        <v>24</v>
      </c>
      <c r="J1354">
        <v>0</v>
      </c>
      <c r="K1354">
        <v>5.2355</v>
      </c>
      <c r="L1354">
        <v>9.7584999999999997</v>
      </c>
      <c r="M1354">
        <v>8.7480000000000011</v>
      </c>
      <c r="N1354">
        <v>8.2100000000000009</v>
      </c>
      <c r="O1354">
        <v>1672</v>
      </c>
      <c r="P1354">
        <v>556</v>
      </c>
      <c r="Q1354" s="5" t="e">
        <f>IF(AND(#REF!&gt;=table!$C$6,#REF!&lt;= table!$D$6),-1,IF(AND(#REF!&gt;=table!$E$6,#REF!&lt;=table!$F$6),1,0))</f>
        <v>#REF!</v>
      </c>
      <c r="R1354" s="5" t="e">
        <f>IF(AND(#REF!&gt;=table!$C$7,#REF!&lt;= table!$D$7),-1,IF(AND(#REF!&gt;=table!$E$7,#REF!&lt;=table!$F$7),1,0))</f>
        <v>#REF!</v>
      </c>
      <c r="S1354" s="5" t="e">
        <f>IF(AND(#REF!&gt;=table!$C$8,#REF!&lt;= table!$D$8),-1,IF(AND(#REF!&gt;=table!$E$8,#REF!&lt;=table!$F$8),1,0))</f>
        <v>#REF!</v>
      </c>
      <c r="T1354" s="5"/>
      <c r="U1354" s="5" t="e">
        <f>IF(AND(#REF!&gt;=table!$C$10,#REF!&lt;= table!$D$10),-1,IF(AND(#REF!&gt;=table!$E$10,#REF!&lt;=table!$F$10),1,0))</f>
        <v>#REF!</v>
      </c>
      <c r="V1354" s="5" t="e">
        <f>IF(AND(#REF!&gt;=table!$C$11,#REF!&lt;= table!$D$11),-1,IF(AND(#REF!&gt;=table!$E$11,#REF!&lt;=table!$F$11),1,0))</f>
        <v>#REF!</v>
      </c>
      <c r="W1354" s="5" t="e">
        <f>CONCATENATE(dados[[#This Row],[fator1]],dados[[#This Row],[fator5]],dados[[#This Row],[fator6]])</f>
        <v>#REF!</v>
      </c>
    </row>
    <row r="1355" spans="1:23">
      <c r="A1355" t="s">
        <v>17</v>
      </c>
      <c r="B1355">
        <v>484839</v>
      </c>
      <c r="C1355">
        <v>7</v>
      </c>
      <c r="D1355">
        <v>20</v>
      </c>
      <c r="E1355">
        <v>120</v>
      </c>
      <c r="F1355">
        <v>4</v>
      </c>
      <c r="G1355">
        <v>105</v>
      </c>
      <c r="H1355">
        <v>25</v>
      </c>
      <c r="I1355">
        <v>167</v>
      </c>
      <c r="J1355">
        <v>0</v>
      </c>
      <c r="K1355">
        <v>4.8925000000000001</v>
      </c>
      <c r="L1355">
        <v>15.469000000000001</v>
      </c>
      <c r="M1355">
        <v>127.441</v>
      </c>
      <c r="N1355">
        <v>14.93</v>
      </c>
      <c r="O1355">
        <v>1679</v>
      </c>
      <c r="P1355">
        <v>0</v>
      </c>
      <c r="Q1355" s="5" t="e">
        <f>IF(AND(#REF!&gt;=table!$C$6,#REF!&lt;= table!$D$6),-1,IF(AND(#REF!&gt;=table!$E$6,#REF!&lt;=table!$F$6),1,0))</f>
        <v>#REF!</v>
      </c>
      <c r="R1355" s="5" t="e">
        <f>IF(AND(#REF!&gt;=table!$C$7,#REF!&lt;= table!$D$7),-1,IF(AND(#REF!&gt;=table!$E$7,#REF!&lt;=table!$F$7),1,0))</f>
        <v>#REF!</v>
      </c>
      <c r="S1355" s="5" t="e">
        <f>IF(AND(#REF!&gt;=table!$C$8,#REF!&lt;= table!$D$8),-1,IF(AND(#REF!&gt;=table!$E$8,#REF!&lt;=table!$F$8),1,0))</f>
        <v>#REF!</v>
      </c>
      <c r="T1355" s="5"/>
      <c r="U1355" s="5" t="e">
        <f>IF(AND(#REF!&gt;=table!$C$10,#REF!&lt;= table!$D$10),-1,IF(AND(#REF!&gt;=table!$E$10,#REF!&lt;=table!$F$10),1,0))</f>
        <v>#REF!</v>
      </c>
      <c r="V1355" s="5" t="e">
        <f>IF(AND(#REF!&gt;=table!$C$11,#REF!&lt;= table!$D$11),-1,IF(AND(#REF!&gt;=table!$E$11,#REF!&lt;=table!$F$11),1,0))</f>
        <v>#REF!</v>
      </c>
      <c r="W1355" s="5" t="e">
        <f>CONCATENATE(dados[[#This Row],[fator1]],dados[[#This Row],[fator5]],dados[[#This Row],[fator6]])</f>
        <v>#REF!</v>
      </c>
    </row>
    <row r="1356" spans="1:23">
      <c r="A1356" t="s">
        <v>16</v>
      </c>
      <c r="B1356">
        <v>484840</v>
      </c>
      <c r="C1356">
        <v>12</v>
      </c>
      <c r="D1356">
        <v>40</v>
      </c>
      <c r="E1356">
        <v>36</v>
      </c>
      <c r="F1356">
        <v>9</v>
      </c>
      <c r="G1356">
        <v>0</v>
      </c>
      <c r="H1356">
        <v>25</v>
      </c>
      <c r="I1356">
        <v>1</v>
      </c>
      <c r="J1356">
        <v>0</v>
      </c>
      <c r="K1356">
        <v>7.2995000000000001</v>
      </c>
      <c r="L1356">
        <v>15.269500000000001</v>
      </c>
      <c r="M1356">
        <v>32.575499999999998</v>
      </c>
      <c r="N1356">
        <v>16.495000000000001</v>
      </c>
      <c r="O1356">
        <v>1679</v>
      </c>
      <c r="P1356">
        <v>373</v>
      </c>
      <c r="Q1356" s="5" t="e">
        <f>IF(AND(#REF!&gt;=table!$C$6,#REF!&lt;= table!$D$6),-1,IF(AND(#REF!&gt;=table!$E$6,#REF!&lt;=table!$F$6),1,0))</f>
        <v>#REF!</v>
      </c>
      <c r="R1356" s="5" t="e">
        <f>IF(AND(#REF!&gt;=table!$C$7,#REF!&lt;= table!$D$7),-1,IF(AND(#REF!&gt;=table!$E$7,#REF!&lt;=table!$F$7),1,0))</f>
        <v>#REF!</v>
      </c>
      <c r="S1356" s="5" t="e">
        <f>IF(AND(#REF!&gt;=table!$C$8,#REF!&lt;= table!$D$8),-1,IF(AND(#REF!&gt;=table!$E$8,#REF!&lt;=table!$F$8),1,0))</f>
        <v>#REF!</v>
      </c>
      <c r="T1356" s="5"/>
      <c r="U1356" s="5" t="e">
        <f>IF(AND(#REF!&gt;=table!$C$10,#REF!&lt;= table!$D$10),-1,IF(AND(#REF!&gt;=table!$E$10,#REF!&lt;=table!$F$10),1,0))</f>
        <v>#REF!</v>
      </c>
      <c r="V1356" s="5" t="e">
        <f>IF(AND(#REF!&gt;=table!$C$11,#REF!&lt;= table!$D$11),-1,IF(AND(#REF!&gt;=table!$E$11,#REF!&lt;=table!$F$11),1,0))</f>
        <v>#REF!</v>
      </c>
      <c r="W1356" s="5" t="e">
        <f>CONCATENATE(dados[[#This Row],[fator1]],dados[[#This Row],[fator5]],dados[[#This Row],[fator6]])</f>
        <v>#REF!</v>
      </c>
    </row>
    <row r="1357" spans="1:23">
      <c r="A1357" t="s">
        <v>16</v>
      </c>
      <c r="B1357">
        <v>484843</v>
      </c>
      <c r="C1357">
        <v>12</v>
      </c>
      <c r="D1357">
        <v>40</v>
      </c>
      <c r="E1357">
        <v>36</v>
      </c>
      <c r="F1357">
        <v>9</v>
      </c>
      <c r="G1357">
        <v>0</v>
      </c>
      <c r="H1357">
        <v>25</v>
      </c>
      <c r="I1357">
        <v>299</v>
      </c>
      <c r="J1357">
        <v>0</v>
      </c>
      <c r="K1357">
        <v>2.9610000000000003</v>
      </c>
      <c r="L1357">
        <v>5.6755000000000004</v>
      </c>
      <c r="M1357">
        <v>35.950000000000003</v>
      </c>
      <c r="N1357">
        <v>12.05</v>
      </c>
      <c r="O1357">
        <v>1676</v>
      </c>
      <c r="P1357">
        <v>0</v>
      </c>
      <c r="Q1357" s="5" t="e">
        <f>IF(AND(#REF!&gt;=table!$C$6,#REF!&lt;= table!$D$6),-1,IF(AND(#REF!&gt;=table!$E$6,#REF!&lt;=table!$F$6),1,0))</f>
        <v>#REF!</v>
      </c>
      <c r="R1357" s="5" t="e">
        <f>IF(AND(#REF!&gt;=table!$C$7,#REF!&lt;= table!$D$7),-1,IF(AND(#REF!&gt;=table!$E$7,#REF!&lt;=table!$F$7),1,0))</f>
        <v>#REF!</v>
      </c>
      <c r="S1357" s="5" t="e">
        <f>IF(AND(#REF!&gt;=table!$C$8,#REF!&lt;= table!$D$8),-1,IF(AND(#REF!&gt;=table!$E$8,#REF!&lt;=table!$F$8),1,0))</f>
        <v>#REF!</v>
      </c>
      <c r="T1357" s="5"/>
      <c r="U1357" s="5" t="e">
        <f>IF(AND(#REF!&gt;=table!$C$10,#REF!&lt;= table!$D$10),-1,IF(AND(#REF!&gt;=table!$E$10,#REF!&lt;=table!$F$10),1,0))</f>
        <v>#REF!</v>
      </c>
      <c r="V1357" s="5" t="e">
        <f>IF(AND(#REF!&gt;=table!$C$11,#REF!&lt;= table!$D$11),-1,IF(AND(#REF!&gt;=table!$E$11,#REF!&lt;=table!$F$11),1,0))</f>
        <v>#REF!</v>
      </c>
      <c r="W1357" s="5" t="e">
        <f>CONCATENATE(dados[[#This Row],[fator1]],dados[[#This Row],[fator5]],dados[[#This Row],[fator6]])</f>
        <v>#REF!</v>
      </c>
    </row>
    <row r="1358" spans="1:23">
      <c r="A1358" t="s">
        <v>16</v>
      </c>
      <c r="B1358">
        <v>484844</v>
      </c>
      <c r="C1358">
        <v>12</v>
      </c>
      <c r="D1358">
        <v>40</v>
      </c>
      <c r="E1358">
        <v>36</v>
      </c>
      <c r="F1358">
        <v>9</v>
      </c>
      <c r="G1358">
        <v>0</v>
      </c>
      <c r="H1358">
        <v>25</v>
      </c>
      <c r="I1358">
        <v>3</v>
      </c>
      <c r="J1358">
        <v>0</v>
      </c>
      <c r="K1358">
        <v>3.4765000000000001</v>
      </c>
      <c r="L1358">
        <v>7.3760000000000003</v>
      </c>
      <c r="M1358">
        <v>32</v>
      </c>
      <c r="N1358">
        <v>10.6</v>
      </c>
      <c r="O1358">
        <v>1674</v>
      </c>
      <c r="P1358">
        <v>956</v>
      </c>
      <c r="Q1358" s="5" t="e">
        <f>IF(AND(#REF!&gt;=table!$C$6,#REF!&lt;= table!$D$6),-1,IF(AND(#REF!&gt;=table!$E$6,#REF!&lt;=table!$F$6),1,0))</f>
        <v>#REF!</v>
      </c>
      <c r="R1358" s="5" t="e">
        <f>IF(AND(#REF!&gt;=table!$C$7,#REF!&lt;= table!$D$7),-1,IF(AND(#REF!&gt;=table!$E$7,#REF!&lt;=table!$F$7),1,0))</f>
        <v>#REF!</v>
      </c>
      <c r="S1358" s="5" t="e">
        <f>IF(AND(#REF!&gt;=table!$C$8,#REF!&lt;= table!$D$8),-1,IF(AND(#REF!&gt;=table!$E$8,#REF!&lt;=table!$F$8),1,0))</f>
        <v>#REF!</v>
      </c>
      <c r="T1358" s="5"/>
      <c r="U1358" s="5" t="e">
        <f>IF(AND(#REF!&gt;=table!$C$10,#REF!&lt;= table!$D$10),-1,IF(AND(#REF!&gt;=table!$E$10,#REF!&lt;=table!$F$10),1,0))</f>
        <v>#REF!</v>
      </c>
      <c r="V1358" s="5" t="e">
        <f>IF(AND(#REF!&gt;=table!$C$11,#REF!&lt;= table!$D$11),-1,IF(AND(#REF!&gt;=table!$E$11,#REF!&lt;=table!$F$11),1,0))</f>
        <v>#REF!</v>
      </c>
      <c r="W1358" s="5" t="e">
        <f>CONCATENATE(dados[[#This Row],[fator1]],dados[[#This Row],[fator5]],dados[[#This Row],[fator6]])</f>
        <v>#REF!</v>
      </c>
    </row>
    <row r="1359" spans="1:23">
      <c r="A1359" t="s">
        <v>17</v>
      </c>
      <c r="B1359">
        <v>484845</v>
      </c>
      <c r="C1359">
        <v>7</v>
      </c>
      <c r="D1359">
        <v>30</v>
      </c>
      <c r="E1359">
        <v>175</v>
      </c>
      <c r="F1359">
        <v>3</v>
      </c>
      <c r="G1359">
        <v>25</v>
      </c>
      <c r="H1359">
        <v>18</v>
      </c>
      <c r="I1359">
        <v>866</v>
      </c>
      <c r="J1359">
        <v>0</v>
      </c>
      <c r="K1359">
        <v>3.1460000000000004</v>
      </c>
      <c r="L1359">
        <v>6.351</v>
      </c>
      <c r="M1359">
        <v>161.899</v>
      </c>
      <c r="N1359">
        <v>9.8150000000000013</v>
      </c>
      <c r="O1359">
        <v>1688</v>
      </c>
      <c r="P1359">
        <v>995</v>
      </c>
      <c r="Q1359" s="5" t="e">
        <f>IF(AND(#REF!&gt;=table!$C$6,#REF!&lt;= table!$D$6),-1,IF(AND(#REF!&gt;=table!$E$6,#REF!&lt;=table!$F$6),1,0))</f>
        <v>#REF!</v>
      </c>
      <c r="R1359" s="5" t="e">
        <f>IF(AND(#REF!&gt;=table!$C$7,#REF!&lt;= table!$D$7),-1,IF(AND(#REF!&gt;=table!$E$7,#REF!&lt;=table!$F$7),1,0))</f>
        <v>#REF!</v>
      </c>
      <c r="S1359" s="5" t="e">
        <f>IF(AND(#REF!&gt;=table!$C$8,#REF!&lt;= table!$D$8),-1,IF(AND(#REF!&gt;=table!$E$8,#REF!&lt;=table!$F$8),1,0))</f>
        <v>#REF!</v>
      </c>
      <c r="T1359" s="5"/>
      <c r="U1359" s="5" t="e">
        <f>IF(AND(#REF!&gt;=table!$C$10,#REF!&lt;= table!$D$10),-1,IF(AND(#REF!&gt;=table!$E$10,#REF!&lt;=table!$F$10),1,0))</f>
        <v>#REF!</v>
      </c>
      <c r="V1359" s="5" t="e">
        <f>IF(AND(#REF!&gt;=table!$C$11,#REF!&lt;= table!$D$11),-1,IF(AND(#REF!&gt;=table!$E$11,#REF!&lt;=table!$F$11),1,0))</f>
        <v>#REF!</v>
      </c>
      <c r="W1359" s="5" t="e">
        <f>CONCATENATE(dados[[#This Row],[fator1]],dados[[#This Row],[fator5]],dados[[#This Row],[fator6]])</f>
        <v>#REF!</v>
      </c>
    </row>
    <row r="1360" spans="1:23">
      <c r="A1360" t="s">
        <v>17</v>
      </c>
      <c r="B1360">
        <v>484846</v>
      </c>
      <c r="C1360">
        <v>7</v>
      </c>
      <c r="D1360">
        <v>30</v>
      </c>
      <c r="E1360">
        <v>175</v>
      </c>
      <c r="F1360">
        <v>3</v>
      </c>
      <c r="G1360">
        <v>25</v>
      </c>
      <c r="H1360">
        <v>18</v>
      </c>
      <c r="I1360">
        <v>0</v>
      </c>
      <c r="J1360">
        <v>0</v>
      </c>
      <c r="K1360">
        <v>2.7690000000000001</v>
      </c>
      <c r="L1360">
        <v>7.9825000000000008</v>
      </c>
      <c r="M1360">
        <v>161.70000000000002</v>
      </c>
      <c r="N1360">
        <v>9.2000000000000011</v>
      </c>
      <c r="O1360">
        <v>1669</v>
      </c>
      <c r="P1360">
        <v>0</v>
      </c>
      <c r="Q1360" s="5" t="e">
        <f>IF(AND(#REF!&gt;=table!$C$6,#REF!&lt;= table!$D$6),-1,IF(AND(#REF!&gt;=table!$E$6,#REF!&lt;=table!$F$6),1,0))</f>
        <v>#REF!</v>
      </c>
      <c r="R1360" s="5" t="e">
        <f>IF(AND(#REF!&gt;=table!$C$7,#REF!&lt;= table!$D$7),-1,IF(AND(#REF!&gt;=table!$E$7,#REF!&lt;=table!$F$7),1,0))</f>
        <v>#REF!</v>
      </c>
      <c r="S1360" s="5" t="e">
        <f>IF(AND(#REF!&gt;=table!$C$8,#REF!&lt;= table!$D$8),-1,IF(AND(#REF!&gt;=table!$E$8,#REF!&lt;=table!$F$8),1,0))</f>
        <v>#REF!</v>
      </c>
      <c r="T1360" s="5"/>
      <c r="U1360" s="5" t="e">
        <f>IF(AND(#REF!&gt;=table!$C$10,#REF!&lt;= table!$D$10),-1,IF(AND(#REF!&gt;=table!$E$10,#REF!&lt;=table!$F$10),1,0))</f>
        <v>#REF!</v>
      </c>
      <c r="V1360" s="5" t="e">
        <f>IF(AND(#REF!&gt;=table!$C$11,#REF!&lt;= table!$D$11),-1,IF(AND(#REF!&gt;=table!$E$11,#REF!&lt;=table!$F$11),1,0))</f>
        <v>#REF!</v>
      </c>
      <c r="W1360" s="5" t="e">
        <f>CONCATENATE(dados[[#This Row],[fator1]],dados[[#This Row],[fator5]],dados[[#This Row],[fator6]])</f>
        <v>#REF!</v>
      </c>
    </row>
    <row r="1361" spans="1:23">
      <c r="A1361" t="s">
        <v>17</v>
      </c>
      <c r="B1361">
        <v>484848</v>
      </c>
      <c r="C1361">
        <v>7</v>
      </c>
      <c r="D1361">
        <v>30</v>
      </c>
      <c r="E1361">
        <v>175</v>
      </c>
      <c r="F1361">
        <v>3</v>
      </c>
      <c r="G1361">
        <v>25</v>
      </c>
      <c r="H1361">
        <v>18</v>
      </c>
      <c r="I1361">
        <v>1549</v>
      </c>
      <c r="J1361">
        <v>390</v>
      </c>
      <c r="K1361">
        <v>3.2850000000000001</v>
      </c>
      <c r="L1361">
        <v>8.8000000000000007</v>
      </c>
      <c r="M1361">
        <v>166.9</v>
      </c>
      <c r="N1361">
        <v>7.45</v>
      </c>
      <c r="O1361">
        <v>1630</v>
      </c>
      <c r="P1361">
        <v>421</v>
      </c>
      <c r="Q1361" s="5" t="e">
        <f>IF(AND(#REF!&gt;=table!$C$6,#REF!&lt;= table!$D$6),-1,IF(AND(#REF!&gt;=table!$E$6,#REF!&lt;=table!$F$6),1,0))</f>
        <v>#REF!</v>
      </c>
      <c r="R1361" s="5" t="e">
        <f>IF(AND(#REF!&gt;=table!$C$7,#REF!&lt;= table!$D$7),-1,IF(AND(#REF!&gt;=table!$E$7,#REF!&lt;=table!$F$7),1,0))</f>
        <v>#REF!</v>
      </c>
      <c r="S1361" s="5" t="e">
        <f>IF(AND(#REF!&gt;=table!$C$8,#REF!&lt;= table!$D$8),-1,IF(AND(#REF!&gt;=table!$E$8,#REF!&lt;=table!$F$8),1,0))</f>
        <v>#REF!</v>
      </c>
      <c r="T1361" s="5"/>
      <c r="U1361" s="5" t="e">
        <f>IF(AND(#REF!&gt;=table!$C$10,#REF!&lt;= table!$D$10),-1,IF(AND(#REF!&gt;=table!$E$10,#REF!&lt;=table!$F$10),1,0))</f>
        <v>#REF!</v>
      </c>
      <c r="V1361" s="5" t="e">
        <f>IF(AND(#REF!&gt;=table!$C$11,#REF!&lt;= table!$D$11),-1,IF(AND(#REF!&gt;=table!$E$11,#REF!&lt;=table!$F$11),1,0))</f>
        <v>#REF!</v>
      </c>
      <c r="W1361" s="5" t="e">
        <f>CONCATENATE(dados[[#This Row],[fator1]],dados[[#This Row],[fator5]],dados[[#This Row],[fator6]])</f>
        <v>#REF!</v>
      </c>
    </row>
    <row r="1362" spans="1:23">
      <c r="A1362" t="s">
        <v>17</v>
      </c>
      <c r="B1362">
        <v>484849</v>
      </c>
      <c r="C1362">
        <v>7</v>
      </c>
      <c r="D1362">
        <v>30</v>
      </c>
      <c r="E1362">
        <v>175</v>
      </c>
      <c r="F1362">
        <v>3</v>
      </c>
      <c r="G1362">
        <v>25</v>
      </c>
      <c r="H1362">
        <v>18</v>
      </c>
      <c r="I1362">
        <v>556</v>
      </c>
      <c r="J1362">
        <v>0</v>
      </c>
      <c r="K1362">
        <v>2.9540000000000002</v>
      </c>
      <c r="L1362">
        <v>6.1025</v>
      </c>
      <c r="M1362">
        <v>158.0635</v>
      </c>
      <c r="N1362">
        <v>6.1400000000000006</v>
      </c>
      <c r="O1362">
        <v>1668</v>
      </c>
      <c r="P1362">
        <v>0</v>
      </c>
      <c r="Q1362" s="5" t="e">
        <f>IF(AND(#REF!&gt;=table!$C$6,#REF!&lt;= table!$D$6),-1,IF(AND(#REF!&gt;=table!$E$6,#REF!&lt;=table!$F$6),1,0))</f>
        <v>#REF!</v>
      </c>
      <c r="R1362" s="5" t="e">
        <f>IF(AND(#REF!&gt;=table!$C$7,#REF!&lt;= table!$D$7),-1,IF(AND(#REF!&gt;=table!$E$7,#REF!&lt;=table!$F$7),1,0))</f>
        <v>#REF!</v>
      </c>
      <c r="S1362" s="5" t="e">
        <f>IF(AND(#REF!&gt;=table!$C$8,#REF!&lt;= table!$D$8),-1,IF(AND(#REF!&gt;=table!$E$8,#REF!&lt;=table!$F$8),1,0))</f>
        <v>#REF!</v>
      </c>
      <c r="T1362" s="5"/>
      <c r="U1362" s="5" t="e">
        <f>IF(AND(#REF!&gt;=table!$C$10,#REF!&lt;= table!$D$10),-1,IF(AND(#REF!&gt;=table!$E$10,#REF!&lt;=table!$F$10),1,0))</f>
        <v>#REF!</v>
      </c>
      <c r="V1362" s="5" t="e">
        <f>IF(AND(#REF!&gt;=table!$C$11,#REF!&lt;= table!$D$11),-1,IF(AND(#REF!&gt;=table!$E$11,#REF!&lt;=table!$F$11),1,0))</f>
        <v>#REF!</v>
      </c>
      <c r="W1362" s="5" t="e">
        <f>CONCATENATE(dados[[#This Row],[fator1]],dados[[#This Row],[fator5]],dados[[#This Row],[fator6]])</f>
        <v>#REF!</v>
      </c>
    </row>
    <row r="1363" spans="1:23">
      <c r="A1363" t="s">
        <v>16</v>
      </c>
      <c r="B1363">
        <v>484852</v>
      </c>
      <c r="C1363">
        <v>12</v>
      </c>
      <c r="D1363">
        <v>40</v>
      </c>
      <c r="E1363">
        <v>36</v>
      </c>
      <c r="F1363">
        <v>15</v>
      </c>
      <c r="G1363">
        <v>0</v>
      </c>
      <c r="H1363">
        <v>25</v>
      </c>
      <c r="I1363">
        <v>0</v>
      </c>
      <c r="J1363">
        <v>0</v>
      </c>
      <c r="K1363">
        <v>3.4040000000000004</v>
      </c>
      <c r="L1363">
        <v>6.8870000000000005</v>
      </c>
      <c r="M1363">
        <v>27.361500000000003</v>
      </c>
      <c r="N1363">
        <v>7.95</v>
      </c>
      <c r="O1363">
        <v>1654</v>
      </c>
      <c r="P1363">
        <v>0</v>
      </c>
      <c r="Q1363" s="5" t="e">
        <f>IF(AND(#REF!&gt;=table!$C$6,#REF!&lt;= table!$D$6),-1,IF(AND(#REF!&gt;=table!$E$6,#REF!&lt;=table!$F$6),1,0))</f>
        <v>#REF!</v>
      </c>
      <c r="R1363" s="5" t="e">
        <f>IF(AND(#REF!&gt;=table!$C$7,#REF!&lt;= table!$D$7),-1,IF(AND(#REF!&gt;=table!$E$7,#REF!&lt;=table!$F$7),1,0))</f>
        <v>#REF!</v>
      </c>
      <c r="S1363" s="5" t="e">
        <f>IF(AND(#REF!&gt;=table!$C$8,#REF!&lt;= table!$D$8),-1,IF(AND(#REF!&gt;=table!$E$8,#REF!&lt;=table!$F$8),1,0))</f>
        <v>#REF!</v>
      </c>
      <c r="T1363" s="5"/>
      <c r="U1363" s="5" t="e">
        <f>IF(AND(#REF!&gt;=table!$C$10,#REF!&lt;= table!$D$10),-1,IF(AND(#REF!&gt;=table!$E$10,#REF!&lt;=table!$F$10),1,0))</f>
        <v>#REF!</v>
      </c>
      <c r="V1363" s="5" t="e">
        <f>IF(AND(#REF!&gt;=table!$C$11,#REF!&lt;= table!$D$11),-1,IF(AND(#REF!&gt;=table!$E$11,#REF!&lt;=table!$F$11),1,0))</f>
        <v>#REF!</v>
      </c>
      <c r="W1363" s="5" t="e">
        <f>CONCATENATE(dados[[#This Row],[fator1]],dados[[#This Row],[fator5]],dados[[#This Row],[fator6]])</f>
        <v>#REF!</v>
      </c>
    </row>
    <row r="1364" spans="1:23">
      <c r="A1364" t="s">
        <v>16</v>
      </c>
      <c r="B1364">
        <v>484859</v>
      </c>
      <c r="C1364">
        <v>0.15</v>
      </c>
      <c r="D1364">
        <v>40</v>
      </c>
      <c r="E1364">
        <v>10</v>
      </c>
      <c r="F1364">
        <v>15</v>
      </c>
      <c r="G1364">
        <v>0</v>
      </c>
      <c r="H1364">
        <v>15</v>
      </c>
      <c r="I1364">
        <v>1138</v>
      </c>
      <c r="J1364">
        <v>0</v>
      </c>
      <c r="K1364">
        <v>4.5120000000000005</v>
      </c>
      <c r="L1364">
        <v>9.1475000000000009</v>
      </c>
      <c r="M1364">
        <v>8.5389999999999997</v>
      </c>
      <c r="N1364">
        <v>9.92</v>
      </c>
      <c r="O1364">
        <v>1658</v>
      </c>
      <c r="P1364">
        <v>618</v>
      </c>
      <c r="Q1364" s="5" t="e">
        <f>IF(AND(#REF!&gt;=table!$C$6,#REF!&lt;= table!$D$6),-1,IF(AND(#REF!&gt;=table!$E$6,#REF!&lt;=table!$F$6),1,0))</f>
        <v>#REF!</v>
      </c>
      <c r="R1364" s="5" t="e">
        <f>IF(AND(#REF!&gt;=table!$C$7,#REF!&lt;= table!$D$7),-1,IF(AND(#REF!&gt;=table!$E$7,#REF!&lt;=table!$F$7),1,0))</f>
        <v>#REF!</v>
      </c>
      <c r="S1364" s="5" t="e">
        <f>IF(AND(#REF!&gt;=table!$C$8,#REF!&lt;= table!$D$8),-1,IF(AND(#REF!&gt;=table!$E$8,#REF!&lt;=table!$F$8),1,0))</f>
        <v>#REF!</v>
      </c>
      <c r="T1364" s="5"/>
      <c r="U1364" s="5" t="e">
        <f>IF(AND(#REF!&gt;=table!$C$10,#REF!&lt;= table!$D$10),-1,IF(AND(#REF!&gt;=table!$E$10,#REF!&lt;=table!$F$10),1,0))</f>
        <v>#REF!</v>
      </c>
      <c r="V1364" s="5" t="e">
        <f>IF(AND(#REF!&gt;=table!$C$11,#REF!&lt;= table!$D$11),-1,IF(AND(#REF!&gt;=table!$E$11,#REF!&lt;=table!$F$11),1,0))</f>
        <v>#REF!</v>
      </c>
      <c r="W1364" s="5" t="e">
        <f>CONCATENATE(dados[[#This Row],[fator1]],dados[[#This Row],[fator5]],dados[[#This Row],[fator6]])</f>
        <v>#REF!</v>
      </c>
    </row>
    <row r="1365" spans="1:23">
      <c r="A1365" t="s">
        <v>16</v>
      </c>
      <c r="B1365">
        <v>484861</v>
      </c>
      <c r="C1365">
        <v>0.15</v>
      </c>
      <c r="D1365">
        <v>40</v>
      </c>
      <c r="E1365">
        <v>10</v>
      </c>
      <c r="F1365">
        <v>15</v>
      </c>
      <c r="G1365">
        <v>0</v>
      </c>
      <c r="H1365">
        <v>15</v>
      </c>
      <c r="I1365">
        <v>566</v>
      </c>
      <c r="J1365">
        <v>940</v>
      </c>
      <c r="K1365">
        <v>3.5780000000000003</v>
      </c>
      <c r="L1365">
        <v>7.9685000000000006</v>
      </c>
      <c r="M1365">
        <v>5.88</v>
      </c>
      <c r="N1365">
        <v>8.66</v>
      </c>
      <c r="O1365">
        <v>1628</v>
      </c>
      <c r="P1365">
        <v>0</v>
      </c>
      <c r="Q1365" s="5" t="e">
        <f>IF(AND(#REF!&gt;=table!$C$6,#REF!&lt;= table!$D$6),-1,IF(AND(#REF!&gt;=table!$E$6,#REF!&lt;=table!$F$6),1,0))</f>
        <v>#REF!</v>
      </c>
      <c r="R1365" s="5" t="e">
        <f>IF(AND(#REF!&gt;=table!$C$7,#REF!&lt;= table!$D$7),-1,IF(AND(#REF!&gt;=table!$E$7,#REF!&lt;=table!$F$7),1,0))</f>
        <v>#REF!</v>
      </c>
      <c r="S1365" s="5" t="e">
        <f>IF(AND(#REF!&gt;=table!$C$8,#REF!&lt;= table!$D$8),-1,IF(AND(#REF!&gt;=table!$E$8,#REF!&lt;=table!$F$8),1,0))</f>
        <v>#REF!</v>
      </c>
      <c r="T1365" s="5"/>
      <c r="U1365" s="5" t="e">
        <f>IF(AND(#REF!&gt;=table!$C$10,#REF!&lt;= table!$D$10),-1,IF(AND(#REF!&gt;=table!$E$10,#REF!&lt;=table!$F$10),1,0))</f>
        <v>#REF!</v>
      </c>
      <c r="V1365" s="5" t="e">
        <f>IF(AND(#REF!&gt;=table!$C$11,#REF!&lt;= table!$D$11),-1,IF(AND(#REF!&gt;=table!$E$11,#REF!&lt;=table!$F$11),1,0))</f>
        <v>#REF!</v>
      </c>
      <c r="W1365" s="5" t="e">
        <f>CONCATENATE(dados[[#This Row],[fator1]],dados[[#This Row],[fator5]],dados[[#This Row],[fator6]])</f>
        <v>#REF!</v>
      </c>
    </row>
    <row r="1366" spans="1:23">
      <c r="A1366" t="s">
        <v>16</v>
      </c>
      <c r="B1366">
        <v>484869</v>
      </c>
      <c r="C1366">
        <v>4</v>
      </c>
      <c r="D1366">
        <v>40</v>
      </c>
      <c r="E1366">
        <v>21</v>
      </c>
      <c r="F1366">
        <v>10</v>
      </c>
      <c r="G1366">
        <v>0</v>
      </c>
      <c r="H1366">
        <v>25</v>
      </c>
      <c r="I1366">
        <v>764</v>
      </c>
      <c r="J1366">
        <v>0</v>
      </c>
      <c r="K1366">
        <v>3.6595</v>
      </c>
      <c r="L1366">
        <v>16.804000000000002</v>
      </c>
      <c r="M1366">
        <v>13.870000000000001</v>
      </c>
      <c r="N1366">
        <v>12.51</v>
      </c>
      <c r="O1366">
        <v>1677</v>
      </c>
      <c r="P1366">
        <v>0</v>
      </c>
      <c r="Q1366" s="5" t="e">
        <f>IF(AND(#REF!&gt;=table!$C$6,#REF!&lt;= table!$D$6),-1,IF(AND(#REF!&gt;=table!$E$6,#REF!&lt;=table!$F$6),1,0))</f>
        <v>#REF!</v>
      </c>
      <c r="R1366" s="5" t="e">
        <f>IF(AND(#REF!&gt;=table!$C$7,#REF!&lt;= table!$D$7),-1,IF(AND(#REF!&gt;=table!$E$7,#REF!&lt;=table!$F$7),1,0))</f>
        <v>#REF!</v>
      </c>
      <c r="S1366" s="5" t="e">
        <f>IF(AND(#REF!&gt;=table!$C$8,#REF!&lt;= table!$D$8),-1,IF(AND(#REF!&gt;=table!$E$8,#REF!&lt;=table!$F$8),1,0))</f>
        <v>#REF!</v>
      </c>
      <c r="T1366" s="5"/>
      <c r="U1366" s="5" t="e">
        <f>IF(AND(#REF!&gt;=table!$C$10,#REF!&lt;= table!$D$10),-1,IF(AND(#REF!&gt;=table!$E$10,#REF!&lt;=table!$F$10),1,0))</f>
        <v>#REF!</v>
      </c>
      <c r="V1366" s="5" t="e">
        <f>IF(AND(#REF!&gt;=table!$C$11,#REF!&lt;= table!$D$11),-1,IF(AND(#REF!&gt;=table!$E$11,#REF!&lt;=table!$F$11),1,0))</f>
        <v>#REF!</v>
      </c>
      <c r="W1366" s="5" t="e">
        <f>CONCATENATE(dados[[#This Row],[fator1]],dados[[#This Row],[fator5]],dados[[#This Row],[fator6]])</f>
        <v>#REF!</v>
      </c>
    </row>
    <row r="1367" spans="1:23">
      <c r="A1367" t="s">
        <v>16</v>
      </c>
      <c r="B1367">
        <v>484873</v>
      </c>
      <c r="C1367">
        <v>0.2</v>
      </c>
      <c r="D1367">
        <v>65</v>
      </c>
      <c r="E1367">
        <v>26</v>
      </c>
      <c r="F1367">
        <v>15</v>
      </c>
      <c r="G1367">
        <v>0</v>
      </c>
      <c r="H1367">
        <v>30</v>
      </c>
      <c r="I1367">
        <v>0</v>
      </c>
      <c r="J1367">
        <v>0</v>
      </c>
      <c r="K1367">
        <v>3.8885000000000001</v>
      </c>
      <c r="L1367">
        <v>9.2560000000000002</v>
      </c>
      <c r="M1367">
        <v>8.4995000000000012</v>
      </c>
      <c r="N1367">
        <v>12.645000000000001</v>
      </c>
      <c r="O1367">
        <v>1668</v>
      </c>
      <c r="P1367">
        <v>0</v>
      </c>
      <c r="Q1367" s="5" t="e">
        <f>IF(AND(#REF!&gt;=table!$C$6,#REF!&lt;= table!$D$6),-1,IF(AND(#REF!&gt;=table!$E$6,#REF!&lt;=table!$F$6),1,0))</f>
        <v>#REF!</v>
      </c>
      <c r="R1367" s="5" t="e">
        <f>IF(AND(#REF!&gt;=table!$C$7,#REF!&lt;= table!$D$7),-1,IF(AND(#REF!&gt;=table!$E$7,#REF!&lt;=table!$F$7),1,0))</f>
        <v>#REF!</v>
      </c>
      <c r="S1367" s="5" t="e">
        <f>IF(AND(#REF!&gt;=table!$C$8,#REF!&lt;= table!$D$8),-1,IF(AND(#REF!&gt;=table!$E$8,#REF!&lt;=table!$F$8),1,0))</f>
        <v>#REF!</v>
      </c>
      <c r="T1367" s="5"/>
      <c r="U1367" s="5" t="e">
        <f>IF(AND(#REF!&gt;=table!$C$10,#REF!&lt;= table!$D$10),-1,IF(AND(#REF!&gt;=table!$E$10,#REF!&lt;=table!$F$10),1,0))</f>
        <v>#REF!</v>
      </c>
      <c r="V1367" s="5" t="e">
        <f>IF(AND(#REF!&gt;=table!$C$11,#REF!&lt;= table!$D$11),-1,IF(AND(#REF!&gt;=table!$E$11,#REF!&lt;=table!$F$11),1,0))</f>
        <v>#REF!</v>
      </c>
      <c r="W1367" s="5" t="e">
        <f>CONCATENATE(dados[[#This Row],[fator1]],dados[[#This Row],[fator5]],dados[[#This Row],[fator6]])</f>
        <v>#REF!</v>
      </c>
    </row>
    <row r="1368" spans="1:23">
      <c r="A1368" t="s">
        <v>17</v>
      </c>
      <c r="B1368">
        <v>484874</v>
      </c>
      <c r="C1368">
        <v>12</v>
      </c>
      <c r="D1368">
        <v>33</v>
      </c>
      <c r="E1368">
        <v>100</v>
      </c>
      <c r="F1368">
        <v>3</v>
      </c>
      <c r="G1368">
        <v>20</v>
      </c>
      <c r="H1368">
        <v>21</v>
      </c>
      <c r="I1368">
        <v>245</v>
      </c>
      <c r="J1368">
        <v>0</v>
      </c>
      <c r="K1368">
        <v>4.6560000000000006</v>
      </c>
      <c r="L1368">
        <v>10.9795</v>
      </c>
      <c r="M1368">
        <v>81.357500000000002</v>
      </c>
      <c r="N1368">
        <v>14.67</v>
      </c>
      <c r="O1368">
        <v>1683</v>
      </c>
      <c r="P1368">
        <v>567</v>
      </c>
      <c r="Q1368" s="5" t="e">
        <f>IF(AND(#REF!&gt;=table!$C$6,#REF!&lt;= table!$D$6),-1,IF(AND(#REF!&gt;=table!$E$6,#REF!&lt;=table!$F$6),1,0))</f>
        <v>#REF!</v>
      </c>
      <c r="R1368" s="5" t="e">
        <f>IF(AND(#REF!&gt;=table!$C$7,#REF!&lt;= table!$D$7),-1,IF(AND(#REF!&gt;=table!$E$7,#REF!&lt;=table!$F$7),1,0))</f>
        <v>#REF!</v>
      </c>
      <c r="S1368" s="5" t="e">
        <f>IF(AND(#REF!&gt;=table!$C$8,#REF!&lt;= table!$D$8),-1,IF(AND(#REF!&gt;=table!$E$8,#REF!&lt;=table!$F$8),1,0))</f>
        <v>#REF!</v>
      </c>
      <c r="T1368" s="5"/>
      <c r="U1368" s="5" t="e">
        <f>IF(AND(#REF!&gt;=table!$C$10,#REF!&lt;= table!$D$10),-1,IF(AND(#REF!&gt;=table!$E$10,#REF!&lt;=table!$F$10),1,0))</f>
        <v>#REF!</v>
      </c>
      <c r="V1368" s="5" t="e">
        <f>IF(AND(#REF!&gt;=table!$C$11,#REF!&lt;= table!$D$11),-1,IF(AND(#REF!&gt;=table!$E$11,#REF!&lt;=table!$F$11),1,0))</f>
        <v>#REF!</v>
      </c>
      <c r="W1368" s="5" t="e">
        <f>CONCATENATE(dados[[#This Row],[fator1]],dados[[#This Row],[fator5]],dados[[#This Row],[fator6]])</f>
        <v>#REF!</v>
      </c>
    </row>
    <row r="1369" spans="1:23">
      <c r="A1369" t="s">
        <v>17</v>
      </c>
      <c r="B1369">
        <v>484876</v>
      </c>
      <c r="C1369">
        <v>13</v>
      </c>
      <c r="D1369">
        <v>30</v>
      </c>
      <c r="E1369">
        <v>106</v>
      </c>
      <c r="F1369">
        <v>10</v>
      </c>
      <c r="G1369">
        <v>20</v>
      </c>
      <c r="H1369">
        <v>25</v>
      </c>
      <c r="I1369">
        <v>1465</v>
      </c>
      <c r="J1369">
        <v>0</v>
      </c>
      <c r="K1369">
        <v>8.202</v>
      </c>
      <c r="L1369">
        <v>15.277000000000001</v>
      </c>
      <c r="M1369">
        <v>88.86</v>
      </c>
      <c r="N1369">
        <v>17.22</v>
      </c>
      <c r="O1369">
        <v>1695</v>
      </c>
      <c r="P1369">
        <v>331</v>
      </c>
      <c r="Q1369" s="5" t="e">
        <f>IF(AND(#REF!&gt;=table!$C$6,#REF!&lt;= table!$D$6),-1,IF(AND(#REF!&gt;=table!$E$6,#REF!&lt;=table!$F$6),1,0))</f>
        <v>#REF!</v>
      </c>
      <c r="R1369" s="5" t="e">
        <f>IF(AND(#REF!&gt;=table!$C$7,#REF!&lt;= table!$D$7),-1,IF(AND(#REF!&gt;=table!$E$7,#REF!&lt;=table!$F$7),1,0))</f>
        <v>#REF!</v>
      </c>
      <c r="S1369" s="5" t="e">
        <f>IF(AND(#REF!&gt;=table!$C$8,#REF!&lt;= table!$D$8),-1,IF(AND(#REF!&gt;=table!$E$8,#REF!&lt;=table!$F$8),1,0))</f>
        <v>#REF!</v>
      </c>
      <c r="T1369" s="5"/>
      <c r="U1369" s="5" t="e">
        <f>IF(AND(#REF!&gt;=table!$C$10,#REF!&lt;= table!$D$10),-1,IF(AND(#REF!&gt;=table!$E$10,#REF!&lt;=table!$F$10),1,0))</f>
        <v>#REF!</v>
      </c>
      <c r="V1369" s="5" t="e">
        <f>IF(AND(#REF!&gt;=table!$C$11,#REF!&lt;= table!$D$11),-1,IF(AND(#REF!&gt;=table!$E$11,#REF!&lt;=table!$F$11),1,0))</f>
        <v>#REF!</v>
      </c>
      <c r="W1369" s="5" t="e">
        <f>CONCATENATE(dados[[#This Row],[fator1]],dados[[#This Row],[fator5]],dados[[#This Row],[fator6]])</f>
        <v>#REF!</v>
      </c>
    </row>
    <row r="1370" spans="1:23">
      <c r="A1370" t="s">
        <v>17</v>
      </c>
      <c r="B1370">
        <v>484878</v>
      </c>
      <c r="C1370">
        <v>13</v>
      </c>
      <c r="D1370">
        <v>30</v>
      </c>
      <c r="E1370">
        <v>106</v>
      </c>
      <c r="F1370">
        <v>10</v>
      </c>
      <c r="G1370">
        <v>20</v>
      </c>
      <c r="H1370">
        <v>25</v>
      </c>
      <c r="I1370">
        <v>1095</v>
      </c>
      <c r="J1370">
        <v>0</v>
      </c>
      <c r="K1370">
        <v>5.1435000000000004</v>
      </c>
      <c r="L1370">
        <v>10.519</v>
      </c>
      <c r="M1370">
        <v>84.6935</v>
      </c>
      <c r="N1370">
        <v>14.835000000000001</v>
      </c>
      <c r="O1370">
        <v>1687</v>
      </c>
      <c r="P1370">
        <v>581</v>
      </c>
      <c r="Q1370" s="5" t="e">
        <f>IF(AND(#REF!&gt;=table!$C$6,#REF!&lt;= table!$D$6),-1,IF(AND(#REF!&gt;=table!$E$6,#REF!&lt;=table!$F$6),1,0))</f>
        <v>#REF!</v>
      </c>
      <c r="R1370" s="5" t="e">
        <f>IF(AND(#REF!&gt;=table!$C$7,#REF!&lt;= table!$D$7),-1,IF(AND(#REF!&gt;=table!$E$7,#REF!&lt;=table!$F$7),1,0))</f>
        <v>#REF!</v>
      </c>
      <c r="S1370" s="5" t="e">
        <f>IF(AND(#REF!&gt;=table!$C$8,#REF!&lt;= table!$D$8),-1,IF(AND(#REF!&gt;=table!$E$8,#REF!&lt;=table!$F$8),1,0))</f>
        <v>#REF!</v>
      </c>
      <c r="T1370" s="5"/>
      <c r="U1370" s="5" t="e">
        <f>IF(AND(#REF!&gt;=table!$C$10,#REF!&lt;= table!$D$10),-1,IF(AND(#REF!&gt;=table!$E$10,#REF!&lt;=table!$F$10),1,0))</f>
        <v>#REF!</v>
      </c>
      <c r="V1370" s="5" t="e">
        <f>IF(AND(#REF!&gt;=table!$C$11,#REF!&lt;= table!$D$11),-1,IF(AND(#REF!&gt;=table!$E$11,#REF!&lt;=table!$F$11),1,0))</f>
        <v>#REF!</v>
      </c>
      <c r="W1370" s="5" t="e">
        <f>CONCATENATE(dados[[#This Row],[fator1]],dados[[#This Row],[fator5]],dados[[#This Row],[fator6]])</f>
        <v>#REF!</v>
      </c>
    </row>
    <row r="1371" spans="1:23">
      <c r="A1371" t="s">
        <v>17</v>
      </c>
      <c r="B1371">
        <v>484879</v>
      </c>
      <c r="C1371">
        <v>18</v>
      </c>
      <c r="D1371">
        <v>23</v>
      </c>
      <c r="E1371">
        <v>145</v>
      </c>
      <c r="F1371">
        <v>9</v>
      </c>
      <c r="G1371">
        <v>30</v>
      </c>
      <c r="H1371">
        <v>25</v>
      </c>
      <c r="I1371">
        <v>43</v>
      </c>
      <c r="J1371">
        <v>0</v>
      </c>
      <c r="K1371">
        <v>9.3930000000000007</v>
      </c>
      <c r="L1371">
        <v>19.144500000000001</v>
      </c>
      <c r="M1371">
        <v>144.80200000000002</v>
      </c>
      <c r="N1371">
        <v>23.93</v>
      </c>
      <c r="O1371">
        <v>1670</v>
      </c>
      <c r="P1371">
        <v>246</v>
      </c>
      <c r="Q1371" s="5" t="e">
        <f>IF(AND(#REF!&gt;=table!$C$6,#REF!&lt;= table!$D$6),-1,IF(AND(#REF!&gt;=table!$E$6,#REF!&lt;=table!$F$6),1,0))</f>
        <v>#REF!</v>
      </c>
      <c r="R1371" s="5" t="e">
        <f>IF(AND(#REF!&gt;=table!$C$7,#REF!&lt;= table!$D$7),-1,IF(AND(#REF!&gt;=table!$E$7,#REF!&lt;=table!$F$7),1,0))</f>
        <v>#REF!</v>
      </c>
      <c r="S1371" s="5" t="e">
        <f>IF(AND(#REF!&gt;=table!$C$8,#REF!&lt;= table!$D$8),-1,IF(AND(#REF!&gt;=table!$E$8,#REF!&lt;=table!$F$8),1,0))</f>
        <v>#REF!</v>
      </c>
      <c r="T1371" s="5"/>
      <c r="U1371" s="5" t="e">
        <f>IF(AND(#REF!&gt;=table!$C$10,#REF!&lt;= table!$D$10),-1,IF(AND(#REF!&gt;=table!$E$10,#REF!&lt;=table!$F$10),1,0))</f>
        <v>#REF!</v>
      </c>
      <c r="V1371" s="5" t="e">
        <f>IF(AND(#REF!&gt;=table!$C$11,#REF!&lt;= table!$D$11),-1,IF(AND(#REF!&gt;=table!$E$11,#REF!&lt;=table!$F$11),1,0))</f>
        <v>#REF!</v>
      </c>
      <c r="W1371" s="5" t="e">
        <f>CONCATENATE(dados[[#This Row],[fator1]],dados[[#This Row],[fator5]],dados[[#This Row],[fator6]])</f>
        <v>#REF!</v>
      </c>
    </row>
    <row r="1372" spans="1:23">
      <c r="A1372" t="s">
        <v>17</v>
      </c>
      <c r="B1372">
        <v>484880</v>
      </c>
      <c r="C1372">
        <v>18</v>
      </c>
      <c r="D1372">
        <v>23</v>
      </c>
      <c r="E1372">
        <v>145</v>
      </c>
      <c r="F1372">
        <v>9</v>
      </c>
      <c r="G1372">
        <v>30</v>
      </c>
      <c r="H1372">
        <v>25</v>
      </c>
      <c r="I1372">
        <v>11</v>
      </c>
      <c r="J1372">
        <v>0</v>
      </c>
      <c r="K1372">
        <v>10.9465</v>
      </c>
      <c r="L1372">
        <v>11.538500000000001</v>
      </c>
      <c r="M1372">
        <v>144.8015</v>
      </c>
      <c r="N1372">
        <v>23.935000000000002</v>
      </c>
      <c r="O1372">
        <v>1654</v>
      </c>
      <c r="P1372">
        <v>301</v>
      </c>
      <c r="Q1372" s="5" t="e">
        <f>IF(AND(#REF!&gt;=table!$C$6,#REF!&lt;= table!$D$6),-1,IF(AND(#REF!&gt;=table!$E$6,#REF!&lt;=table!$F$6),1,0))</f>
        <v>#REF!</v>
      </c>
      <c r="R1372" s="5" t="e">
        <f>IF(AND(#REF!&gt;=table!$C$7,#REF!&lt;= table!$D$7),-1,IF(AND(#REF!&gt;=table!$E$7,#REF!&lt;=table!$F$7),1,0))</f>
        <v>#REF!</v>
      </c>
      <c r="S1372" s="5" t="e">
        <f>IF(AND(#REF!&gt;=table!$C$8,#REF!&lt;= table!$D$8),-1,IF(AND(#REF!&gt;=table!$E$8,#REF!&lt;=table!$F$8),1,0))</f>
        <v>#REF!</v>
      </c>
      <c r="T1372" s="5"/>
      <c r="U1372" s="5" t="e">
        <f>IF(AND(#REF!&gt;=table!$C$10,#REF!&lt;= table!$D$10),-1,IF(AND(#REF!&gt;=table!$E$10,#REF!&lt;=table!$F$10),1,0))</f>
        <v>#REF!</v>
      </c>
      <c r="V1372" s="5" t="e">
        <f>IF(AND(#REF!&gt;=table!$C$11,#REF!&lt;= table!$D$11),-1,IF(AND(#REF!&gt;=table!$E$11,#REF!&lt;=table!$F$11),1,0))</f>
        <v>#REF!</v>
      </c>
      <c r="W1372" s="5" t="e">
        <f>CONCATENATE(dados[[#This Row],[fator1]],dados[[#This Row],[fator5]],dados[[#This Row],[fator6]])</f>
        <v>#REF!</v>
      </c>
    </row>
    <row r="1373" spans="1:23">
      <c r="A1373" t="s">
        <v>16</v>
      </c>
      <c r="B1373">
        <v>484886</v>
      </c>
      <c r="C1373">
        <v>9</v>
      </c>
      <c r="D1373">
        <v>27</v>
      </c>
      <c r="E1373">
        <v>36</v>
      </c>
      <c r="F1373">
        <v>8</v>
      </c>
      <c r="G1373">
        <v>0</v>
      </c>
      <c r="H1373">
        <v>25</v>
      </c>
      <c r="I1373">
        <v>2</v>
      </c>
      <c r="J1373">
        <v>0</v>
      </c>
      <c r="K1373">
        <v>6.49</v>
      </c>
      <c r="L1373">
        <v>14.928500000000001</v>
      </c>
      <c r="M1373">
        <v>34.947000000000003</v>
      </c>
      <c r="N1373">
        <v>16.8</v>
      </c>
      <c r="O1373">
        <v>1680</v>
      </c>
      <c r="P1373">
        <v>470</v>
      </c>
      <c r="Q1373" s="5" t="e">
        <f>IF(AND(#REF!&gt;=table!$C$6,#REF!&lt;= table!$D$6),-1,IF(AND(#REF!&gt;=table!$E$6,#REF!&lt;=table!$F$6),1,0))</f>
        <v>#REF!</v>
      </c>
      <c r="R1373" s="5" t="e">
        <f>IF(AND(#REF!&gt;=table!$C$7,#REF!&lt;= table!$D$7),-1,IF(AND(#REF!&gt;=table!$E$7,#REF!&lt;=table!$F$7),1,0))</f>
        <v>#REF!</v>
      </c>
      <c r="S1373" s="5" t="e">
        <f>IF(AND(#REF!&gt;=table!$C$8,#REF!&lt;= table!$D$8),-1,IF(AND(#REF!&gt;=table!$E$8,#REF!&lt;=table!$F$8),1,0))</f>
        <v>#REF!</v>
      </c>
      <c r="T1373" s="5"/>
      <c r="U1373" s="5" t="e">
        <f>IF(AND(#REF!&gt;=table!$C$10,#REF!&lt;= table!$D$10),-1,IF(AND(#REF!&gt;=table!$E$10,#REF!&lt;=table!$F$10),1,0))</f>
        <v>#REF!</v>
      </c>
      <c r="V1373" s="5" t="e">
        <f>IF(AND(#REF!&gt;=table!$C$11,#REF!&lt;= table!$D$11),-1,IF(AND(#REF!&gt;=table!$E$11,#REF!&lt;=table!$F$11),1,0))</f>
        <v>#REF!</v>
      </c>
      <c r="W1373" s="5" t="e">
        <f>CONCATENATE(dados[[#This Row],[fator1]],dados[[#This Row],[fator5]],dados[[#This Row],[fator6]])</f>
        <v>#REF!</v>
      </c>
    </row>
    <row r="1374" spans="1:23">
      <c r="A1374" t="s">
        <v>17</v>
      </c>
      <c r="B1374">
        <v>484888</v>
      </c>
      <c r="C1374">
        <v>18</v>
      </c>
      <c r="D1374">
        <v>23</v>
      </c>
      <c r="E1374">
        <v>145</v>
      </c>
      <c r="F1374">
        <v>4</v>
      </c>
      <c r="G1374">
        <v>30</v>
      </c>
      <c r="H1374">
        <v>25</v>
      </c>
      <c r="I1374">
        <v>14</v>
      </c>
      <c r="J1374">
        <v>0</v>
      </c>
      <c r="K1374">
        <v>7.03</v>
      </c>
      <c r="L1374">
        <v>12.816500000000001</v>
      </c>
      <c r="M1374">
        <v>115.3275</v>
      </c>
      <c r="N1374">
        <v>16.495000000000001</v>
      </c>
      <c r="O1374">
        <v>1700</v>
      </c>
      <c r="P1374">
        <v>0</v>
      </c>
      <c r="Q1374" s="5" t="e">
        <f>IF(AND(#REF!&gt;=table!$C$6,#REF!&lt;= table!$D$6),-1,IF(AND(#REF!&gt;=table!$E$6,#REF!&lt;=table!$F$6),1,0))</f>
        <v>#REF!</v>
      </c>
      <c r="R1374" s="5" t="e">
        <f>IF(AND(#REF!&gt;=table!$C$7,#REF!&lt;= table!$D$7),-1,IF(AND(#REF!&gt;=table!$E$7,#REF!&lt;=table!$F$7),1,0))</f>
        <v>#REF!</v>
      </c>
      <c r="S1374" s="5" t="e">
        <f>IF(AND(#REF!&gt;=table!$C$8,#REF!&lt;= table!$D$8),-1,IF(AND(#REF!&gt;=table!$E$8,#REF!&lt;=table!$F$8),1,0))</f>
        <v>#REF!</v>
      </c>
      <c r="T1374" s="5"/>
      <c r="U1374" s="5" t="e">
        <f>IF(AND(#REF!&gt;=table!$C$10,#REF!&lt;= table!$D$10),-1,IF(AND(#REF!&gt;=table!$E$10,#REF!&lt;=table!$F$10),1,0))</f>
        <v>#REF!</v>
      </c>
      <c r="V1374" s="5" t="e">
        <f>IF(AND(#REF!&gt;=table!$C$11,#REF!&lt;= table!$D$11),-1,IF(AND(#REF!&gt;=table!$E$11,#REF!&lt;=table!$F$11),1,0))</f>
        <v>#REF!</v>
      </c>
      <c r="W1374" s="5" t="e">
        <f>CONCATENATE(dados[[#This Row],[fator1]],dados[[#This Row],[fator5]],dados[[#This Row],[fator6]])</f>
        <v>#REF!</v>
      </c>
    </row>
    <row r="1375" spans="1:23">
      <c r="A1375" t="s">
        <v>17</v>
      </c>
      <c r="B1375">
        <v>484889</v>
      </c>
      <c r="C1375">
        <v>16</v>
      </c>
      <c r="D1375">
        <v>23</v>
      </c>
      <c r="E1375">
        <v>145</v>
      </c>
      <c r="F1375">
        <v>6</v>
      </c>
      <c r="G1375">
        <v>30</v>
      </c>
      <c r="H1375">
        <v>25</v>
      </c>
      <c r="I1375">
        <v>879</v>
      </c>
      <c r="J1375">
        <v>980</v>
      </c>
      <c r="K1375">
        <v>6.3254999999999999</v>
      </c>
      <c r="L1375">
        <v>14.84</v>
      </c>
      <c r="M1375">
        <v>90.236500000000007</v>
      </c>
      <c r="N1375">
        <v>17.36</v>
      </c>
      <c r="O1375">
        <v>1635</v>
      </c>
      <c r="P1375">
        <v>0</v>
      </c>
      <c r="Q1375" s="5" t="e">
        <f>IF(AND(#REF!&gt;=table!$C$6,#REF!&lt;= table!$D$6),-1,IF(AND(#REF!&gt;=table!$E$6,#REF!&lt;=table!$F$6),1,0))</f>
        <v>#REF!</v>
      </c>
      <c r="R1375" s="5" t="e">
        <f>IF(AND(#REF!&gt;=table!$C$7,#REF!&lt;= table!$D$7),-1,IF(AND(#REF!&gt;=table!$E$7,#REF!&lt;=table!$F$7),1,0))</f>
        <v>#REF!</v>
      </c>
      <c r="S1375" s="5" t="e">
        <f>IF(AND(#REF!&gt;=table!$C$8,#REF!&lt;= table!$D$8),-1,IF(AND(#REF!&gt;=table!$E$8,#REF!&lt;=table!$F$8),1,0))</f>
        <v>#REF!</v>
      </c>
      <c r="T1375" s="5"/>
      <c r="U1375" s="5" t="e">
        <f>IF(AND(#REF!&gt;=table!$C$10,#REF!&lt;= table!$D$10),-1,IF(AND(#REF!&gt;=table!$E$10,#REF!&lt;=table!$F$10),1,0))</f>
        <v>#REF!</v>
      </c>
      <c r="V1375" s="5" t="e">
        <f>IF(AND(#REF!&gt;=table!$C$11,#REF!&lt;= table!$D$11),-1,IF(AND(#REF!&gt;=table!$E$11,#REF!&lt;=table!$F$11),1,0))</f>
        <v>#REF!</v>
      </c>
      <c r="W1375" s="5" t="e">
        <f>CONCATENATE(dados[[#This Row],[fator1]],dados[[#This Row],[fator5]],dados[[#This Row],[fator6]])</f>
        <v>#REF!</v>
      </c>
    </row>
    <row r="1376" spans="1:23">
      <c r="A1376" t="s">
        <v>17</v>
      </c>
      <c r="B1376">
        <v>484890</v>
      </c>
      <c r="C1376">
        <v>18</v>
      </c>
      <c r="D1376">
        <v>23</v>
      </c>
      <c r="E1376">
        <v>145</v>
      </c>
      <c r="F1376">
        <v>9</v>
      </c>
      <c r="G1376">
        <v>30</v>
      </c>
      <c r="H1376">
        <v>25</v>
      </c>
      <c r="I1376">
        <v>998</v>
      </c>
      <c r="J1376">
        <v>0</v>
      </c>
      <c r="K1376">
        <v>5.6920000000000002</v>
      </c>
      <c r="L1376">
        <v>18.992000000000001</v>
      </c>
      <c r="M1376">
        <v>138.22150000000002</v>
      </c>
      <c r="N1376">
        <v>22.595000000000002</v>
      </c>
      <c r="O1376">
        <v>1668</v>
      </c>
      <c r="P1376">
        <v>0</v>
      </c>
      <c r="Q1376" s="5" t="e">
        <f>IF(AND(#REF!&gt;=table!$C$6,#REF!&lt;= table!$D$6),-1,IF(AND(#REF!&gt;=table!$E$6,#REF!&lt;=table!$F$6),1,0))</f>
        <v>#REF!</v>
      </c>
      <c r="R1376" s="5" t="e">
        <f>IF(AND(#REF!&gt;=table!$C$7,#REF!&lt;= table!$D$7),-1,IF(AND(#REF!&gt;=table!$E$7,#REF!&lt;=table!$F$7),1,0))</f>
        <v>#REF!</v>
      </c>
      <c r="S1376" s="5" t="e">
        <f>IF(AND(#REF!&gt;=table!$C$8,#REF!&lt;= table!$D$8),-1,IF(AND(#REF!&gt;=table!$E$8,#REF!&lt;=table!$F$8),1,0))</f>
        <v>#REF!</v>
      </c>
      <c r="T1376" s="5"/>
      <c r="U1376" s="5" t="e">
        <f>IF(AND(#REF!&gt;=table!$C$10,#REF!&lt;= table!$D$10),-1,IF(AND(#REF!&gt;=table!$E$10,#REF!&lt;=table!$F$10),1,0))</f>
        <v>#REF!</v>
      </c>
      <c r="V1376" s="5" t="e">
        <f>IF(AND(#REF!&gt;=table!$C$11,#REF!&lt;= table!$D$11),-1,IF(AND(#REF!&gt;=table!$E$11,#REF!&lt;=table!$F$11),1,0))</f>
        <v>#REF!</v>
      </c>
      <c r="W1376" s="5" t="e">
        <f>CONCATENATE(dados[[#This Row],[fator1]],dados[[#This Row],[fator5]],dados[[#This Row],[fator6]])</f>
        <v>#REF!</v>
      </c>
    </row>
    <row r="1377" spans="1:23">
      <c r="A1377" t="s">
        <v>16</v>
      </c>
      <c r="B1377">
        <v>484891</v>
      </c>
      <c r="C1377">
        <v>6</v>
      </c>
      <c r="D1377">
        <v>40</v>
      </c>
      <c r="E1377">
        <v>66</v>
      </c>
      <c r="F1377">
        <v>10</v>
      </c>
      <c r="G1377">
        <v>0</v>
      </c>
      <c r="H1377">
        <v>25</v>
      </c>
      <c r="I1377">
        <v>1161</v>
      </c>
      <c r="J1377">
        <v>470</v>
      </c>
      <c r="K1377">
        <v>7.5053000000000001</v>
      </c>
      <c r="L1377">
        <v>15.346500000000001</v>
      </c>
      <c r="M1377">
        <v>58.570500000000003</v>
      </c>
      <c r="N1377">
        <v>16.105</v>
      </c>
      <c r="O1377">
        <v>1670</v>
      </c>
      <c r="P1377">
        <v>363</v>
      </c>
      <c r="Q1377" s="5" t="e">
        <f>IF(AND(#REF!&gt;=table!$C$6,#REF!&lt;= table!$D$6),-1,IF(AND(#REF!&gt;=table!$E$6,#REF!&lt;=table!$F$6),1,0))</f>
        <v>#REF!</v>
      </c>
      <c r="R1377" s="5" t="e">
        <f>IF(AND(#REF!&gt;=table!$C$7,#REF!&lt;= table!$D$7),-1,IF(AND(#REF!&gt;=table!$E$7,#REF!&lt;=table!$F$7),1,0))</f>
        <v>#REF!</v>
      </c>
      <c r="S1377" s="5" t="e">
        <f>IF(AND(#REF!&gt;=table!$C$8,#REF!&lt;= table!$D$8),-1,IF(AND(#REF!&gt;=table!$E$8,#REF!&lt;=table!$F$8),1,0))</f>
        <v>#REF!</v>
      </c>
      <c r="T1377" s="5"/>
      <c r="U1377" s="5" t="e">
        <f>IF(AND(#REF!&gt;=table!$C$10,#REF!&lt;= table!$D$10),-1,IF(AND(#REF!&gt;=table!$E$10,#REF!&lt;=table!$F$10),1,0))</f>
        <v>#REF!</v>
      </c>
      <c r="V1377" s="5" t="e">
        <f>IF(AND(#REF!&gt;=table!$C$11,#REF!&lt;= table!$D$11),-1,IF(AND(#REF!&gt;=table!$E$11,#REF!&lt;=table!$F$11),1,0))</f>
        <v>#REF!</v>
      </c>
      <c r="W1377" s="5" t="e">
        <f>CONCATENATE(dados[[#This Row],[fator1]],dados[[#This Row],[fator5]],dados[[#This Row],[fator6]])</f>
        <v>#REF!</v>
      </c>
    </row>
    <row r="1378" spans="1:23">
      <c r="A1378" t="s">
        <v>16</v>
      </c>
      <c r="B1378">
        <v>484892</v>
      </c>
      <c r="C1378">
        <v>6</v>
      </c>
      <c r="D1378">
        <v>40</v>
      </c>
      <c r="E1378">
        <v>66</v>
      </c>
      <c r="F1378">
        <v>10</v>
      </c>
      <c r="G1378">
        <v>0</v>
      </c>
      <c r="H1378">
        <v>25</v>
      </c>
      <c r="I1378">
        <v>7</v>
      </c>
      <c r="J1378">
        <v>0</v>
      </c>
      <c r="K1378">
        <v>4.6240000000000006</v>
      </c>
      <c r="L1378">
        <v>9.1470000000000002</v>
      </c>
      <c r="M1378">
        <v>57.072000000000003</v>
      </c>
      <c r="N1378">
        <v>13.285</v>
      </c>
      <c r="O1378">
        <v>1675</v>
      </c>
      <c r="P1378">
        <v>0</v>
      </c>
      <c r="Q1378" s="5" t="e">
        <f>IF(AND(#REF!&gt;=table!$C$6,#REF!&lt;= table!$D$6),-1,IF(AND(#REF!&gt;=table!$E$6,#REF!&lt;=table!$F$6),1,0))</f>
        <v>#REF!</v>
      </c>
      <c r="R1378" s="5" t="e">
        <f>IF(AND(#REF!&gt;=table!$C$7,#REF!&lt;= table!$D$7),-1,IF(AND(#REF!&gt;=table!$E$7,#REF!&lt;=table!$F$7),1,0))</f>
        <v>#REF!</v>
      </c>
      <c r="S1378" s="5" t="e">
        <f>IF(AND(#REF!&gt;=table!$C$8,#REF!&lt;= table!$D$8),-1,IF(AND(#REF!&gt;=table!$E$8,#REF!&lt;=table!$F$8),1,0))</f>
        <v>#REF!</v>
      </c>
      <c r="T1378" s="5"/>
      <c r="U1378" s="5" t="e">
        <f>IF(AND(#REF!&gt;=table!$C$10,#REF!&lt;= table!$D$10),-1,IF(AND(#REF!&gt;=table!$E$10,#REF!&lt;=table!$F$10),1,0))</f>
        <v>#REF!</v>
      </c>
      <c r="V1378" s="5" t="e">
        <f>IF(AND(#REF!&gt;=table!$C$11,#REF!&lt;= table!$D$11),-1,IF(AND(#REF!&gt;=table!$E$11,#REF!&lt;=table!$F$11),1,0))</f>
        <v>#REF!</v>
      </c>
      <c r="W1378" s="5" t="e">
        <f>CONCATENATE(dados[[#This Row],[fator1]],dados[[#This Row],[fator5]],dados[[#This Row],[fator6]])</f>
        <v>#REF!</v>
      </c>
    </row>
    <row r="1379" spans="1:23">
      <c r="A1379" t="s">
        <v>16</v>
      </c>
      <c r="B1379">
        <v>484893</v>
      </c>
      <c r="C1379">
        <v>6</v>
      </c>
      <c r="D1379">
        <v>40</v>
      </c>
      <c r="E1379">
        <v>66</v>
      </c>
      <c r="F1379">
        <v>10</v>
      </c>
      <c r="G1379">
        <v>0</v>
      </c>
      <c r="H1379">
        <v>25</v>
      </c>
      <c r="I1379">
        <v>1586</v>
      </c>
      <c r="J1379">
        <v>0</v>
      </c>
      <c r="K1379">
        <v>4.0390000000000006</v>
      </c>
      <c r="L1379">
        <v>12.439</v>
      </c>
      <c r="M1379">
        <v>66.987000000000009</v>
      </c>
      <c r="N1379">
        <v>17.195</v>
      </c>
      <c r="O1379">
        <v>1674</v>
      </c>
      <c r="P1379">
        <v>631</v>
      </c>
      <c r="Q1379" s="5" t="e">
        <f>IF(AND(#REF!&gt;=table!$C$6,#REF!&lt;= table!$D$6),-1,IF(AND(#REF!&gt;=table!$E$6,#REF!&lt;=table!$F$6),1,0))</f>
        <v>#REF!</v>
      </c>
      <c r="R1379" s="5" t="e">
        <f>IF(AND(#REF!&gt;=table!$C$7,#REF!&lt;= table!$D$7),-1,IF(AND(#REF!&gt;=table!$E$7,#REF!&lt;=table!$F$7),1,0))</f>
        <v>#REF!</v>
      </c>
      <c r="S1379" s="5" t="e">
        <f>IF(AND(#REF!&gt;=table!$C$8,#REF!&lt;= table!$D$8),-1,IF(AND(#REF!&gt;=table!$E$8,#REF!&lt;=table!$F$8),1,0))</f>
        <v>#REF!</v>
      </c>
      <c r="T1379" s="5"/>
      <c r="U1379" s="5" t="e">
        <f>IF(AND(#REF!&gt;=table!$C$10,#REF!&lt;= table!$D$10),-1,IF(AND(#REF!&gt;=table!$E$10,#REF!&lt;=table!$F$10),1,0))</f>
        <v>#REF!</v>
      </c>
      <c r="V1379" s="5" t="e">
        <f>IF(AND(#REF!&gt;=table!$C$11,#REF!&lt;= table!$D$11),-1,IF(AND(#REF!&gt;=table!$E$11,#REF!&lt;=table!$F$11),1,0))</f>
        <v>#REF!</v>
      </c>
      <c r="W1379" s="5" t="e">
        <f>CONCATENATE(dados[[#This Row],[fator1]],dados[[#This Row],[fator5]],dados[[#This Row],[fator6]])</f>
        <v>#REF!</v>
      </c>
    </row>
    <row r="1380" spans="1:23">
      <c r="A1380" t="s">
        <v>16</v>
      </c>
      <c r="B1380">
        <v>484894</v>
      </c>
      <c r="C1380">
        <v>6</v>
      </c>
      <c r="D1380">
        <v>40</v>
      </c>
      <c r="E1380">
        <v>66</v>
      </c>
      <c r="F1380">
        <v>10</v>
      </c>
      <c r="G1380">
        <v>0</v>
      </c>
      <c r="H1380">
        <v>25</v>
      </c>
      <c r="I1380">
        <v>1114</v>
      </c>
      <c r="J1380">
        <v>0</v>
      </c>
      <c r="K1380">
        <v>4.6379999999999999</v>
      </c>
      <c r="L1380">
        <v>12.124500000000001</v>
      </c>
      <c r="M1380">
        <v>67.108500000000006</v>
      </c>
      <c r="N1380">
        <v>14.36</v>
      </c>
      <c r="O1380">
        <v>1647</v>
      </c>
      <c r="P1380">
        <v>548</v>
      </c>
      <c r="Q1380" s="5" t="e">
        <f>IF(AND(#REF!&gt;=table!$C$6,#REF!&lt;= table!$D$6),-1,IF(AND(#REF!&gt;=table!$E$6,#REF!&lt;=table!$F$6),1,0))</f>
        <v>#REF!</v>
      </c>
      <c r="R1380" s="5" t="e">
        <f>IF(AND(#REF!&gt;=table!$C$7,#REF!&lt;= table!$D$7),-1,IF(AND(#REF!&gt;=table!$E$7,#REF!&lt;=table!$F$7),1,0))</f>
        <v>#REF!</v>
      </c>
      <c r="S1380" s="5" t="e">
        <f>IF(AND(#REF!&gt;=table!$C$8,#REF!&lt;= table!$D$8),-1,IF(AND(#REF!&gt;=table!$E$8,#REF!&lt;=table!$F$8),1,0))</f>
        <v>#REF!</v>
      </c>
      <c r="T1380" s="5"/>
      <c r="U1380" s="5" t="e">
        <f>IF(AND(#REF!&gt;=table!$C$10,#REF!&lt;= table!$D$10),-1,IF(AND(#REF!&gt;=table!$E$10,#REF!&lt;=table!$F$10),1,0))</f>
        <v>#REF!</v>
      </c>
      <c r="V1380" s="5" t="e">
        <f>IF(AND(#REF!&gt;=table!$C$11,#REF!&lt;= table!$D$11),-1,IF(AND(#REF!&gt;=table!$E$11,#REF!&lt;=table!$F$11),1,0))</f>
        <v>#REF!</v>
      </c>
      <c r="W1380" s="5" t="e">
        <f>CONCATENATE(dados[[#This Row],[fator1]],dados[[#This Row],[fator5]],dados[[#This Row],[fator6]])</f>
        <v>#REF!</v>
      </c>
    </row>
    <row r="1381" spans="1:23">
      <c r="A1381" t="s">
        <v>16</v>
      </c>
      <c r="B1381">
        <v>484895</v>
      </c>
      <c r="C1381">
        <v>8</v>
      </c>
      <c r="D1381">
        <v>30</v>
      </c>
      <c r="E1381">
        <v>145</v>
      </c>
      <c r="F1381">
        <v>9</v>
      </c>
      <c r="G1381">
        <v>0</v>
      </c>
      <c r="H1381">
        <v>25</v>
      </c>
      <c r="I1381">
        <v>1398</v>
      </c>
      <c r="J1381">
        <v>0</v>
      </c>
      <c r="K1381">
        <v>20.496500000000001</v>
      </c>
      <c r="L1381">
        <v>16.649999999999999</v>
      </c>
      <c r="M1381">
        <v>124.37700000000001</v>
      </c>
      <c r="N1381">
        <v>9.7000000000000011</v>
      </c>
      <c r="O1381">
        <v>1669</v>
      </c>
      <c r="P1381">
        <v>898</v>
      </c>
      <c r="Q1381" s="5" t="e">
        <f>IF(AND(#REF!&gt;=table!$C$6,#REF!&lt;= table!$D$6),-1,IF(AND(#REF!&gt;=table!$E$6,#REF!&lt;=table!$F$6),1,0))</f>
        <v>#REF!</v>
      </c>
      <c r="R1381" s="5" t="e">
        <f>IF(AND(#REF!&gt;=table!$C$7,#REF!&lt;= table!$D$7),-1,IF(AND(#REF!&gt;=table!$E$7,#REF!&lt;=table!$F$7),1,0))</f>
        <v>#REF!</v>
      </c>
      <c r="S1381" s="5" t="e">
        <f>IF(AND(#REF!&gt;=table!$C$8,#REF!&lt;= table!$D$8),-1,IF(AND(#REF!&gt;=table!$E$8,#REF!&lt;=table!$F$8),1,0))</f>
        <v>#REF!</v>
      </c>
      <c r="T1381" s="5"/>
      <c r="U1381" s="5" t="e">
        <f>IF(AND(#REF!&gt;=table!$C$10,#REF!&lt;= table!$D$10),-1,IF(AND(#REF!&gt;=table!$E$10,#REF!&lt;=table!$F$10),1,0))</f>
        <v>#REF!</v>
      </c>
      <c r="V1381" s="5" t="e">
        <f>IF(AND(#REF!&gt;=table!$C$11,#REF!&lt;= table!$D$11),-1,IF(AND(#REF!&gt;=table!$E$11,#REF!&lt;=table!$F$11),1,0))</f>
        <v>#REF!</v>
      </c>
      <c r="W1381" s="5" t="e">
        <f>CONCATENATE(dados[[#This Row],[fator1]],dados[[#This Row],[fator5]],dados[[#This Row],[fator6]])</f>
        <v>#REF!</v>
      </c>
    </row>
    <row r="1382" spans="1:23">
      <c r="A1382" t="s">
        <v>16</v>
      </c>
      <c r="B1382">
        <v>484896</v>
      </c>
      <c r="C1382">
        <v>8</v>
      </c>
      <c r="D1382">
        <v>30</v>
      </c>
      <c r="E1382">
        <v>145</v>
      </c>
      <c r="F1382">
        <v>9</v>
      </c>
      <c r="G1382">
        <v>0</v>
      </c>
      <c r="H1382">
        <v>25</v>
      </c>
      <c r="I1382">
        <v>584</v>
      </c>
      <c r="J1382">
        <v>0</v>
      </c>
      <c r="K1382">
        <v>4.8075000000000001</v>
      </c>
      <c r="L1382">
        <v>10.5105</v>
      </c>
      <c r="M1382">
        <v>132.94800000000001</v>
      </c>
      <c r="N1382">
        <v>13.66</v>
      </c>
      <c r="O1382">
        <v>1665</v>
      </c>
      <c r="P1382">
        <v>0</v>
      </c>
      <c r="Q1382" s="5" t="e">
        <f>IF(AND(#REF!&gt;=table!$C$6,#REF!&lt;= table!$D$6),-1,IF(AND(#REF!&gt;=table!$E$6,#REF!&lt;=table!$F$6),1,0))</f>
        <v>#REF!</v>
      </c>
      <c r="R1382" s="5" t="e">
        <f>IF(AND(#REF!&gt;=table!$C$7,#REF!&lt;= table!$D$7),-1,IF(AND(#REF!&gt;=table!$E$7,#REF!&lt;=table!$F$7),1,0))</f>
        <v>#REF!</v>
      </c>
      <c r="S1382" s="5" t="e">
        <f>IF(AND(#REF!&gt;=table!$C$8,#REF!&lt;= table!$D$8),-1,IF(AND(#REF!&gt;=table!$E$8,#REF!&lt;=table!$F$8),1,0))</f>
        <v>#REF!</v>
      </c>
      <c r="T1382" s="5"/>
      <c r="U1382" s="5" t="e">
        <f>IF(AND(#REF!&gt;=table!$C$10,#REF!&lt;= table!$D$10),-1,IF(AND(#REF!&gt;=table!$E$10,#REF!&lt;=table!$F$10),1,0))</f>
        <v>#REF!</v>
      </c>
      <c r="V1382" s="5" t="e">
        <f>IF(AND(#REF!&gt;=table!$C$11,#REF!&lt;= table!$D$11),-1,IF(AND(#REF!&gt;=table!$E$11,#REF!&lt;=table!$F$11),1,0))</f>
        <v>#REF!</v>
      </c>
      <c r="W1382" s="5" t="e">
        <f>CONCATENATE(dados[[#This Row],[fator1]],dados[[#This Row],[fator5]],dados[[#This Row],[fator6]])</f>
        <v>#REF!</v>
      </c>
    </row>
    <row r="1383" spans="1:23">
      <c r="A1383" t="s">
        <v>16</v>
      </c>
      <c r="B1383">
        <v>484898</v>
      </c>
      <c r="C1383">
        <v>8</v>
      </c>
      <c r="D1383">
        <v>30</v>
      </c>
      <c r="E1383">
        <v>61</v>
      </c>
      <c r="F1383">
        <v>8</v>
      </c>
      <c r="G1383">
        <v>0</v>
      </c>
      <c r="H1383">
        <v>25</v>
      </c>
      <c r="I1383">
        <v>336</v>
      </c>
      <c r="J1383">
        <v>0</v>
      </c>
      <c r="K1383">
        <v>4.2480000000000002</v>
      </c>
      <c r="L1383">
        <v>8.702</v>
      </c>
      <c r="M1383">
        <v>55.392000000000003</v>
      </c>
      <c r="N1383">
        <v>9.4550000000000001</v>
      </c>
      <c r="O1383">
        <v>1660</v>
      </c>
      <c r="P1383">
        <v>633</v>
      </c>
      <c r="Q1383" s="5" t="e">
        <f>IF(AND(#REF!&gt;=table!$C$6,#REF!&lt;= table!$D$6),-1,IF(AND(#REF!&gt;=table!$E$6,#REF!&lt;=table!$F$6),1,0))</f>
        <v>#REF!</v>
      </c>
      <c r="R1383" s="5" t="e">
        <f>IF(AND(#REF!&gt;=table!$C$7,#REF!&lt;= table!$D$7),-1,IF(AND(#REF!&gt;=table!$E$7,#REF!&lt;=table!$F$7),1,0))</f>
        <v>#REF!</v>
      </c>
      <c r="S1383" s="5" t="e">
        <f>IF(AND(#REF!&gt;=table!$C$8,#REF!&lt;= table!$D$8),-1,IF(AND(#REF!&gt;=table!$E$8,#REF!&lt;=table!$F$8),1,0))</f>
        <v>#REF!</v>
      </c>
      <c r="T1383" s="5"/>
      <c r="U1383" s="5" t="e">
        <f>IF(AND(#REF!&gt;=table!$C$10,#REF!&lt;= table!$D$10),-1,IF(AND(#REF!&gt;=table!$E$10,#REF!&lt;=table!$F$10),1,0))</f>
        <v>#REF!</v>
      </c>
      <c r="V1383" s="5" t="e">
        <f>IF(AND(#REF!&gt;=table!$C$11,#REF!&lt;= table!$D$11),-1,IF(AND(#REF!&gt;=table!$E$11,#REF!&lt;=table!$F$11),1,0))</f>
        <v>#REF!</v>
      </c>
      <c r="W1383" s="5" t="e">
        <f>CONCATENATE(dados[[#This Row],[fator1]],dados[[#This Row],[fator5]],dados[[#This Row],[fator6]])</f>
        <v>#REF!</v>
      </c>
    </row>
    <row r="1384" spans="1:23">
      <c r="A1384" t="s">
        <v>16</v>
      </c>
      <c r="B1384">
        <v>484908</v>
      </c>
      <c r="C1384">
        <v>12</v>
      </c>
      <c r="D1384">
        <v>35</v>
      </c>
      <c r="E1384">
        <v>180</v>
      </c>
      <c r="F1384">
        <v>6</v>
      </c>
      <c r="G1384">
        <v>0</v>
      </c>
      <c r="H1384">
        <v>20</v>
      </c>
      <c r="I1384">
        <v>0</v>
      </c>
      <c r="J1384">
        <v>0</v>
      </c>
      <c r="K1384">
        <v>4.1720000000000006</v>
      </c>
      <c r="L1384">
        <v>10.763500000000001</v>
      </c>
      <c r="M1384">
        <v>152.77850000000001</v>
      </c>
      <c r="N1384">
        <v>10.655000000000001</v>
      </c>
      <c r="O1384">
        <v>1660</v>
      </c>
      <c r="P1384">
        <v>918</v>
      </c>
      <c r="Q1384" s="5" t="e">
        <f>IF(AND(#REF!&gt;=table!$C$6,#REF!&lt;= table!$D$6),-1,IF(AND(#REF!&gt;=table!$E$6,#REF!&lt;=table!$F$6),1,0))</f>
        <v>#REF!</v>
      </c>
      <c r="R1384" s="5" t="e">
        <f>IF(AND(#REF!&gt;=table!$C$7,#REF!&lt;= table!$D$7),-1,IF(AND(#REF!&gt;=table!$E$7,#REF!&lt;=table!$F$7),1,0))</f>
        <v>#REF!</v>
      </c>
      <c r="S1384" s="5" t="e">
        <f>IF(AND(#REF!&gt;=table!$C$8,#REF!&lt;= table!$D$8),-1,IF(AND(#REF!&gt;=table!$E$8,#REF!&lt;=table!$F$8),1,0))</f>
        <v>#REF!</v>
      </c>
      <c r="T1384" s="5"/>
      <c r="U1384" s="5" t="e">
        <f>IF(AND(#REF!&gt;=table!$C$10,#REF!&lt;= table!$D$10),-1,IF(AND(#REF!&gt;=table!$E$10,#REF!&lt;=table!$F$10),1,0))</f>
        <v>#REF!</v>
      </c>
      <c r="V1384" s="5" t="e">
        <f>IF(AND(#REF!&gt;=table!$C$11,#REF!&lt;= table!$D$11),-1,IF(AND(#REF!&gt;=table!$E$11,#REF!&lt;=table!$F$11),1,0))</f>
        <v>#REF!</v>
      </c>
      <c r="W1384" s="5" t="e">
        <f>CONCATENATE(dados[[#This Row],[fator1]],dados[[#This Row],[fator5]],dados[[#This Row],[fator6]])</f>
        <v>#REF!</v>
      </c>
    </row>
    <row r="1385" spans="1:23">
      <c r="A1385" t="s">
        <v>16</v>
      </c>
      <c r="B1385">
        <v>484910</v>
      </c>
      <c r="C1385">
        <v>9</v>
      </c>
      <c r="D1385">
        <v>40</v>
      </c>
      <c r="E1385">
        <v>130</v>
      </c>
      <c r="F1385">
        <v>3</v>
      </c>
      <c r="G1385">
        <v>0</v>
      </c>
      <c r="H1385">
        <v>25</v>
      </c>
      <c r="I1385">
        <v>655</v>
      </c>
      <c r="J1385">
        <v>0</v>
      </c>
      <c r="K1385">
        <v>2.7715000000000001</v>
      </c>
      <c r="L1385">
        <v>5.3950000000000005</v>
      </c>
      <c r="M1385">
        <v>126.5305</v>
      </c>
      <c r="N1385">
        <v>8.42</v>
      </c>
      <c r="O1385">
        <v>1681</v>
      </c>
      <c r="P1385">
        <v>0</v>
      </c>
      <c r="Q1385" s="5" t="e">
        <f>IF(AND(#REF!&gt;=table!$C$6,#REF!&lt;= table!$D$6),-1,IF(AND(#REF!&gt;=table!$E$6,#REF!&lt;=table!$F$6),1,0))</f>
        <v>#REF!</v>
      </c>
      <c r="R1385" s="5" t="e">
        <f>IF(AND(#REF!&gt;=table!$C$7,#REF!&lt;= table!$D$7),-1,IF(AND(#REF!&gt;=table!$E$7,#REF!&lt;=table!$F$7),1,0))</f>
        <v>#REF!</v>
      </c>
      <c r="S1385" s="5" t="e">
        <f>IF(AND(#REF!&gt;=table!$C$8,#REF!&lt;= table!$D$8),-1,IF(AND(#REF!&gt;=table!$E$8,#REF!&lt;=table!$F$8),1,0))</f>
        <v>#REF!</v>
      </c>
      <c r="T1385" s="5"/>
      <c r="U1385" s="5" t="e">
        <f>IF(AND(#REF!&gt;=table!$C$10,#REF!&lt;= table!$D$10),-1,IF(AND(#REF!&gt;=table!$E$10,#REF!&lt;=table!$F$10),1,0))</f>
        <v>#REF!</v>
      </c>
      <c r="V1385" s="5" t="e">
        <f>IF(AND(#REF!&gt;=table!$C$11,#REF!&lt;= table!$D$11),-1,IF(AND(#REF!&gt;=table!$E$11,#REF!&lt;=table!$F$11),1,0))</f>
        <v>#REF!</v>
      </c>
      <c r="W1385" s="5" t="e">
        <f>CONCATENATE(dados[[#This Row],[fator1]],dados[[#This Row],[fator5]],dados[[#This Row],[fator6]])</f>
        <v>#REF!</v>
      </c>
    </row>
    <row r="1386" spans="1:23">
      <c r="A1386" t="s">
        <v>16</v>
      </c>
      <c r="B1386">
        <v>484911</v>
      </c>
      <c r="C1386">
        <v>9</v>
      </c>
      <c r="D1386">
        <v>40</v>
      </c>
      <c r="E1386">
        <v>130</v>
      </c>
      <c r="F1386">
        <v>3</v>
      </c>
      <c r="G1386">
        <v>0</v>
      </c>
      <c r="H1386">
        <v>25</v>
      </c>
      <c r="I1386">
        <v>462</v>
      </c>
      <c r="J1386">
        <v>0</v>
      </c>
      <c r="K1386">
        <v>3.4185000000000003</v>
      </c>
      <c r="L1386">
        <v>9.4235000000000007</v>
      </c>
      <c r="M1386">
        <v>120.02650000000001</v>
      </c>
      <c r="N1386">
        <v>15.495000000000001</v>
      </c>
      <c r="O1386">
        <v>1684</v>
      </c>
      <c r="P1386">
        <v>0</v>
      </c>
      <c r="Q1386" s="5" t="e">
        <f>IF(AND(#REF!&gt;=table!$C$6,#REF!&lt;= table!$D$6),-1,IF(AND(#REF!&gt;=table!$E$6,#REF!&lt;=table!$F$6),1,0))</f>
        <v>#REF!</v>
      </c>
      <c r="R1386" s="5" t="e">
        <f>IF(AND(#REF!&gt;=table!$C$7,#REF!&lt;= table!$D$7),-1,IF(AND(#REF!&gt;=table!$E$7,#REF!&lt;=table!$F$7),1,0))</f>
        <v>#REF!</v>
      </c>
      <c r="S1386" s="5" t="e">
        <f>IF(AND(#REF!&gt;=table!$C$8,#REF!&lt;= table!$D$8),-1,IF(AND(#REF!&gt;=table!$E$8,#REF!&lt;=table!$F$8),1,0))</f>
        <v>#REF!</v>
      </c>
      <c r="T1386" s="5"/>
      <c r="U1386" s="5" t="e">
        <f>IF(AND(#REF!&gt;=table!$C$10,#REF!&lt;= table!$D$10),-1,IF(AND(#REF!&gt;=table!$E$10,#REF!&lt;=table!$F$10),1,0))</f>
        <v>#REF!</v>
      </c>
      <c r="V1386" s="5" t="e">
        <f>IF(AND(#REF!&gt;=table!$C$11,#REF!&lt;= table!$D$11),-1,IF(AND(#REF!&gt;=table!$E$11,#REF!&lt;=table!$F$11),1,0))</f>
        <v>#REF!</v>
      </c>
      <c r="W1386" s="5" t="e">
        <f>CONCATENATE(dados[[#This Row],[fator1]],dados[[#This Row],[fator5]],dados[[#This Row],[fator6]])</f>
        <v>#REF!</v>
      </c>
    </row>
    <row r="1387" spans="1:23">
      <c r="A1387" t="s">
        <v>17</v>
      </c>
      <c r="B1387">
        <v>484912</v>
      </c>
      <c r="C1387">
        <v>9</v>
      </c>
      <c r="D1387">
        <v>50</v>
      </c>
      <c r="E1387">
        <v>200</v>
      </c>
      <c r="F1387">
        <v>2</v>
      </c>
      <c r="G1387">
        <v>20</v>
      </c>
      <c r="H1387">
        <v>25</v>
      </c>
      <c r="I1387">
        <v>205</v>
      </c>
      <c r="J1387">
        <v>0</v>
      </c>
      <c r="K1387">
        <v>2.4140000000000001</v>
      </c>
      <c r="L1387">
        <v>3.5140000000000002</v>
      </c>
      <c r="M1387">
        <v>176.42850000000001</v>
      </c>
      <c r="N1387">
        <v>8.24</v>
      </c>
      <c r="O1387">
        <v>1677</v>
      </c>
      <c r="P1387">
        <v>0</v>
      </c>
      <c r="Q1387" s="5" t="e">
        <f>IF(AND(#REF!&gt;=table!$C$6,#REF!&lt;= table!$D$6),-1,IF(AND(#REF!&gt;=table!$E$6,#REF!&lt;=table!$F$6),1,0))</f>
        <v>#REF!</v>
      </c>
      <c r="R1387" s="5" t="e">
        <f>IF(AND(#REF!&gt;=table!$C$7,#REF!&lt;= table!$D$7),-1,IF(AND(#REF!&gt;=table!$E$7,#REF!&lt;=table!$F$7),1,0))</f>
        <v>#REF!</v>
      </c>
      <c r="S1387" s="5" t="e">
        <f>IF(AND(#REF!&gt;=table!$C$8,#REF!&lt;= table!$D$8),-1,IF(AND(#REF!&gt;=table!$E$8,#REF!&lt;=table!$F$8),1,0))</f>
        <v>#REF!</v>
      </c>
      <c r="T1387" s="5"/>
      <c r="U1387" s="5" t="e">
        <f>IF(AND(#REF!&gt;=table!$C$10,#REF!&lt;= table!$D$10),-1,IF(AND(#REF!&gt;=table!$E$10,#REF!&lt;=table!$F$10),1,0))</f>
        <v>#REF!</v>
      </c>
      <c r="V1387" s="5" t="e">
        <f>IF(AND(#REF!&gt;=table!$C$11,#REF!&lt;= table!$D$11),-1,IF(AND(#REF!&gt;=table!$E$11,#REF!&lt;=table!$F$11),1,0))</f>
        <v>#REF!</v>
      </c>
      <c r="W1387" s="5" t="e">
        <f>CONCATENATE(dados[[#This Row],[fator1]],dados[[#This Row],[fator5]],dados[[#This Row],[fator6]])</f>
        <v>#REF!</v>
      </c>
    </row>
    <row r="1388" spans="1:23">
      <c r="A1388" t="s">
        <v>16</v>
      </c>
      <c r="B1388">
        <v>484914</v>
      </c>
      <c r="C1388">
        <v>6</v>
      </c>
      <c r="D1388">
        <v>25</v>
      </c>
      <c r="E1388">
        <v>120</v>
      </c>
      <c r="F1388">
        <v>4</v>
      </c>
      <c r="G1388">
        <v>0</v>
      </c>
      <c r="H1388">
        <v>55</v>
      </c>
      <c r="I1388">
        <v>977</v>
      </c>
      <c r="J1388">
        <v>1070</v>
      </c>
      <c r="K1388">
        <v>4.0810000000000004</v>
      </c>
      <c r="L1388">
        <v>11.046000000000001</v>
      </c>
      <c r="M1388">
        <v>106.2205</v>
      </c>
      <c r="N1388">
        <v>32.355000000000004</v>
      </c>
      <c r="O1388">
        <v>1642</v>
      </c>
      <c r="P1388">
        <v>668</v>
      </c>
      <c r="Q1388" s="5" t="e">
        <f>IF(AND(#REF!&gt;=table!$C$6,#REF!&lt;= table!$D$6),-1,IF(AND(#REF!&gt;=table!$E$6,#REF!&lt;=table!$F$6),1,0))</f>
        <v>#REF!</v>
      </c>
      <c r="R1388" s="5" t="e">
        <f>IF(AND(#REF!&gt;=table!$C$7,#REF!&lt;= table!$D$7),-1,IF(AND(#REF!&gt;=table!$E$7,#REF!&lt;=table!$F$7),1,0))</f>
        <v>#REF!</v>
      </c>
      <c r="S1388" s="5" t="e">
        <f>IF(AND(#REF!&gt;=table!$C$8,#REF!&lt;= table!$D$8),-1,IF(AND(#REF!&gt;=table!$E$8,#REF!&lt;=table!$F$8),1,0))</f>
        <v>#REF!</v>
      </c>
      <c r="T1388" s="5"/>
      <c r="U1388" s="5" t="e">
        <f>IF(AND(#REF!&gt;=table!$C$10,#REF!&lt;= table!$D$10),-1,IF(AND(#REF!&gt;=table!$E$10,#REF!&lt;=table!$F$10),1,0))</f>
        <v>#REF!</v>
      </c>
      <c r="V1388" s="5" t="e">
        <f>IF(AND(#REF!&gt;=table!$C$11,#REF!&lt;= table!$D$11),-1,IF(AND(#REF!&gt;=table!$E$11,#REF!&lt;=table!$F$11),1,0))</f>
        <v>#REF!</v>
      </c>
      <c r="W1388" s="5" t="e">
        <f>CONCATENATE(dados[[#This Row],[fator1]],dados[[#This Row],[fator5]],dados[[#This Row],[fator6]])</f>
        <v>#REF!</v>
      </c>
    </row>
    <row r="1389" spans="1:23">
      <c r="A1389" t="s">
        <v>16</v>
      </c>
      <c r="B1389">
        <v>484920</v>
      </c>
      <c r="C1389">
        <v>0.2</v>
      </c>
      <c r="D1389">
        <v>65</v>
      </c>
      <c r="E1389">
        <v>26</v>
      </c>
      <c r="F1389">
        <v>15</v>
      </c>
      <c r="G1389">
        <v>0</v>
      </c>
      <c r="H1389">
        <v>30</v>
      </c>
      <c r="I1389">
        <v>1175</v>
      </c>
      <c r="J1389">
        <v>0</v>
      </c>
      <c r="K1389">
        <v>2.9770000000000003</v>
      </c>
      <c r="L1389">
        <v>9.3375000000000004</v>
      </c>
      <c r="M1389">
        <v>8.2895000000000003</v>
      </c>
      <c r="N1389">
        <v>9.9500000000000011</v>
      </c>
      <c r="O1389">
        <v>1710</v>
      </c>
      <c r="P1389">
        <v>0</v>
      </c>
      <c r="Q1389" s="5" t="e">
        <f>IF(AND(#REF!&gt;=table!$C$6,#REF!&lt;= table!$D$6),-1,IF(AND(#REF!&gt;=table!$E$6,#REF!&lt;=table!$F$6),1,0))</f>
        <v>#REF!</v>
      </c>
      <c r="R1389" s="5" t="e">
        <f>IF(AND(#REF!&gt;=table!$C$7,#REF!&lt;= table!$D$7),-1,IF(AND(#REF!&gt;=table!$E$7,#REF!&lt;=table!$F$7),1,0))</f>
        <v>#REF!</v>
      </c>
      <c r="S1389" s="5" t="e">
        <f>IF(AND(#REF!&gt;=table!$C$8,#REF!&lt;= table!$D$8),-1,IF(AND(#REF!&gt;=table!$E$8,#REF!&lt;=table!$F$8),1,0))</f>
        <v>#REF!</v>
      </c>
      <c r="T1389" s="5"/>
      <c r="U1389" s="5" t="e">
        <f>IF(AND(#REF!&gt;=table!$C$10,#REF!&lt;= table!$D$10),-1,IF(AND(#REF!&gt;=table!$E$10,#REF!&lt;=table!$F$10),1,0))</f>
        <v>#REF!</v>
      </c>
      <c r="V1389" s="5" t="e">
        <f>IF(AND(#REF!&gt;=table!$C$11,#REF!&lt;= table!$D$11),-1,IF(AND(#REF!&gt;=table!$E$11,#REF!&lt;=table!$F$11),1,0))</f>
        <v>#REF!</v>
      </c>
      <c r="W1389" s="5" t="e">
        <f>CONCATENATE(dados[[#This Row],[fator1]],dados[[#This Row],[fator5]],dados[[#This Row],[fator6]])</f>
        <v>#REF!</v>
      </c>
    </row>
    <row r="1390" spans="1:23">
      <c r="A1390" t="s">
        <v>16</v>
      </c>
      <c r="B1390">
        <v>484924</v>
      </c>
      <c r="C1390">
        <v>0.2</v>
      </c>
      <c r="D1390">
        <v>65</v>
      </c>
      <c r="E1390">
        <v>26</v>
      </c>
      <c r="F1390">
        <v>15</v>
      </c>
      <c r="G1390">
        <v>0</v>
      </c>
      <c r="H1390">
        <v>30</v>
      </c>
      <c r="I1390">
        <v>172</v>
      </c>
      <c r="J1390">
        <v>0</v>
      </c>
      <c r="K1390">
        <v>4.1124999999999998</v>
      </c>
      <c r="L1390">
        <v>9.7445000000000004</v>
      </c>
      <c r="M1390">
        <v>9.3324999999999996</v>
      </c>
      <c r="N1390">
        <v>12.48</v>
      </c>
      <c r="O1390">
        <v>1660</v>
      </c>
      <c r="P1390">
        <v>628</v>
      </c>
      <c r="Q1390" s="5" t="e">
        <f>IF(AND(#REF!&gt;=table!$C$6,#REF!&lt;= table!$D$6),-1,IF(AND(#REF!&gt;=table!$E$6,#REF!&lt;=table!$F$6),1,0))</f>
        <v>#REF!</v>
      </c>
      <c r="R1390" s="5" t="e">
        <f>IF(AND(#REF!&gt;=table!$C$7,#REF!&lt;= table!$D$7),-1,IF(AND(#REF!&gt;=table!$E$7,#REF!&lt;=table!$F$7),1,0))</f>
        <v>#REF!</v>
      </c>
      <c r="S1390" s="5" t="e">
        <f>IF(AND(#REF!&gt;=table!$C$8,#REF!&lt;= table!$D$8),-1,IF(AND(#REF!&gt;=table!$E$8,#REF!&lt;=table!$F$8),1,0))</f>
        <v>#REF!</v>
      </c>
      <c r="T1390" s="5"/>
      <c r="U1390" s="5" t="e">
        <f>IF(AND(#REF!&gt;=table!$C$10,#REF!&lt;= table!$D$10),-1,IF(AND(#REF!&gt;=table!$E$10,#REF!&lt;=table!$F$10),1,0))</f>
        <v>#REF!</v>
      </c>
      <c r="V1390" s="5" t="e">
        <f>IF(AND(#REF!&gt;=table!$C$11,#REF!&lt;= table!$D$11),-1,IF(AND(#REF!&gt;=table!$E$11,#REF!&lt;=table!$F$11),1,0))</f>
        <v>#REF!</v>
      </c>
      <c r="W1390" s="5" t="e">
        <f>CONCATENATE(dados[[#This Row],[fator1]],dados[[#This Row],[fator5]],dados[[#This Row],[fator6]])</f>
        <v>#REF!</v>
      </c>
    </row>
    <row r="1391" spans="1:23">
      <c r="A1391" t="s">
        <v>16</v>
      </c>
      <c r="B1391">
        <v>484925</v>
      </c>
      <c r="C1391">
        <v>0.2</v>
      </c>
      <c r="D1391">
        <v>65</v>
      </c>
      <c r="E1391">
        <v>26</v>
      </c>
      <c r="F1391">
        <v>15</v>
      </c>
      <c r="G1391">
        <v>0</v>
      </c>
      <c r="H1391">
        <v>30</v>
      </c>
      <c r="I1391">
        <v>0</v>
      </c>
      <c r="J1391">
        <v>0</v>
      </c>
      <c r="K1391">
        <v>5.3770000000000007</v>
      </c>
      <c r="L1391">
        <v>11.496</v>
      </c>
      <c r="M1391">
        <v>10.450000000000001</v>
      </c>
      <c r="N1391">
        <v>8.4850000000000012</v>
      </c>
      <c r="O1391">
        <v>1643</v>
      </c>
      <c r="P1391">
        <v>388</v>
      </c>
      <c r="Q1391" s="5" t="e">
        <f>IF(AND(#REF!&gt;=table!$C$6,#REF!&lt;= table!$D$6),-1,IF(AND(#REF!&gt;=table!$E$6,#REF!&lt;=table!$F$6),1,0))</f>
        <v>#REF!</v>
      </c>
      <c r="R1391" s="5" t="e">
        <f>IF(AND(#REF!&gt;=table!$C$7,#REF!&lt;= table!$D$7),-1,IF(AND(#REF!&gt;=table!$E$7,#REF!&lt;=table!$F$7),1,0))</f>
        <v>#REF!</v>
      </c>
      <c r="S1391" s="5" t="e">
        <f>IF(AND(#REF!&gt;=table!$C$8,#REF!&lt;= table!$D$8),-1,IF(AND(#REF!&gt;=table!$E$8,#REF!&lt;=table!$F$8),1,0))</f>
        <v>#REF!</v>
      </c>
      <c r="T1391" s="5"/>
      <c r="U1391" s="5" t="e">
        <f>IF(AND(#REF!&gt;=table!$C$10,#REF!&lt;= table!$D$10),-1,IF(AND(#REF!&gt;=table!$E$10,#REF!&lt;=table!$F$10),1,0))</f>
        <v>#REF!</v>
      </c>
      <c r="V1391" s="5" t="e">
        <f>IF(AND(#REF!&gt;=table!$C$11,#REF!&lt;= table!$D$11),-1,IF(AND(#REF!&gt;=table!$E$11,#REF!&lt;=table!$F$11),1,0))</f>
        <v>#REF!</v>
      </c>
      <c r="W1391" s="5" t="e">
        <f>CONCATENATE(dados[[#This Row],[fator1]],dados[[#This Row],[fator5]],dados[[#This Row],[fator6]])</f>
        <v>#REF!</v>
      </c>
    </row>
    <row r="1392" spans="1:23">
      <c r="A1392" t="s">
        <v>16</v>
      </c>
      <c r="B1392">
        <v>484926</v>
      </c>
      <c r="C1392">
        <v>0.15</v>
      </c>
      <c r="D1392">
        <v>40</v>
      </c>
      <c r="E1392">
        <v>10</v>
      </c>
      <c r="F1392">
        <v>15</v>
      </c>
      <c r="G1392">
        <v>0</v>
      </c>
      <c r="H1392">
        <v>15</v>
      </c>
      <c r="I1392">
        <v>1</v>
      </c>
      <c r="J1392">
        <v>0</v>
      </c>
      <c r="K1392">
        <v>6.2805</v>
      </c>
      <c r="L1392">
        <v>13.326000000000001</v>
      </c>
      <c r="M1392">
        <v>8.322000000000001</v>
      </c>
      <c r="N1392">
        <v>10.130000000000001</v>
      </c>
      <c r="O1392">
        <v>1670</v>
      </c>
      <c r="P1392">
        <v>752</v>
      </c>
      <c r="Q1392" s="5" t="e">
        <f>IF(AND(#REF!&gt;=table!$C$6,#REF!&lt;= table!$D$6),-1,IF(AND(#REF!&gt;=table!$E$6,#REF!&lt;=table!$F$6),1,0))</f>
        <v>#REF!</v>
      </c>
      <c r="R1392" s="5" t="e">
        <f>IF(AND(#REF!&gt;=table!$C$7,#REF!&lt;= table!$D$7),-1,IF(AND(#REF!&gt;=table!$E$7,#REF!&lt;=table!$F$7),1,0))</f>
        <v>#REF!</v>
      </c>
      <c r="S1392" s="5" t="e">
        <f>IF(AND(#REF!&gt;=table!$C$8,#REF!&lt;= table!$D$8),-1,IF(AND(#REF!&gt;=table!$E$8,#REF!&lt;=table!$F$8),1,0))</f>
        <v>#REF!</v>
      </c>
      <c r="T1392" s="5"/>
      <c r="U1392" s="5" t="e">
        <f>IF(AND(#REF!&gt;=table!$C$10,#REF!&lt;= table!$D$10),-1,IF(AND(#REF!&gt;=table!$E$10,#REF!&lt;=table!$F$10),1,0))</f>
        <v>#REF!</v>
      </c>
      <c r="V1392" s="5" t="e">
        <f>IF(AND(#REF!&gt;=table!$C$11,#REF!&lt;= table!$D$11),-1,IF(AND(#REF!&gt;=table!$E$11,#REF!&lt;=table!$F$11),1,0))</f>
        <v>#REF!</v>
      </c>
      <c r="W1392" s="5" t="e">
        <f>CONCATENATE(dados[[#This Row],[fator1]],dados[[#This Row],[fator5]],dados[[#This Row],[fator6]])</f>
        <v>#REF!</v>
      </c>
    </row>
    <row r="1393" spans="1:23">
      <c r="A1393" t="s">
        <v>16</v>
      </c>
      <c r="B1393">
        <v>484927</v>
      </c>
      <c r="C1393">
        <v>0.15</v>
      </c>
      <c r="D1393">
        <v>40</v>
      </c>
      <c r="E1393">
        <v>10</v>
      </c>
      <c r="F1393">
        <v>15</v>
      </c>
      <c r="G1393">
        <v>0</v>
      </c>
      <c r="H1393">
        <v>15</v>
      </c>
      <c r="I1393">
        <v>1102</v>
      </c>
      <c r="J1393">
        <v>0</v>
      </c>
      <c r="K1393">
        <v>4.3685</v>
      </c>
      <c r="L1393">
        <v>10.382</v>
      </c>
      <c r="M1393">
        <v>9.4935000000000009</v>
      </c>
      <c r="N1393">
        <v>7.8550000000000004</v>
      </c>
      <c r="O1393">
        <v>1668</v>
      </c>
      <c r="P1393">
        <v>636</v>
      </c>
      <c r="Q1393" s="5" t="e">
        <f>IF(AND(#REF!&gt;=table!$C$6,#REF!&lt;= table!$D$6),-1,IF(AND(#REF!&gt;=table!$E$6,#REF!&lt;=table!$F$6),1,0))</f>
        <v>#REF!</v>
      </c>
      <c r="R1393" s="5" t="e">
        <f>IF(AND(#REF!&gt;=table!$C$7,#REF!&lt;= table!$D$7),-1,IF(AND(#REF!&gt;=table!$E$7,#REF!&lt;=table!$F$7),1,0))</f>
        <v>#REF!</v>
      </c>
      <c r="S1393" s="5" t="e">
        <f>IF(AND(#REF!&gt;=table!$C$8,#REF!&lt;= table!$D$8),-1,IF(AND(#REF!&gt;=table!$E$8,#REF!&lt;=table!$F$8),1,0))</f>
        <v>#REF!</v>
      </c>
      <c r="T1393" s="5"/>
      <c r="U1393" s="5" t="e">
        <f>IF(AND(#REF!&gt;=table!$C$10,#REF!&lt;= table!$D$10),-1,IF(AND(#REF!&gt;=table!$E$10,#REF!&lt;=table!$F$10),1,0))</f>
        <v>#REF!</v>
      </c>
      <c r="V1393" s="5" t="e">
        <f>IF(AND(#REF!&gt;=table!$C$11,#REF!&lt;= table!$D$11),-1,IF(AND(#REF!&gt;=table!$E$11,#REF!&lt;=table!$F$11),1,0))</f>
        <v>#REF!</v>
      </c>
      <c r="W1393" s="5" t="e">
        <f>CONCATENATE(dados[[#This Row],[fator1]],dados[[#This Row],[fator5]],dados[[#This Row],[fator6]])</f>
        <v>#REF!</v>
      </c>
    </row>
    <row r="1394" spans="1:23">
      <c r="A1394" t="s">
        <v>16</v>
      </c>
      <c r="B1394">
        <v>484928</v>
      </c>
      <c r="C1394">
        <v>0.15</v>
      </c>
      <c r="D1394">
        <v>40</v>
      </c>
      <c r="E1394">
        <v>10</v>
      </c>
      <c r="F1394">
        <v>15</v>
      </c>
      <c r="G1394">
        <v>0</v>
      </c>
      <c r="H1394">
        <v>15</v>
      </c>
      <c r="I1394">
        <v>28</v>
      </c>
      <c r="J1394">
        <v>0</v>
      </c>
      <c r="K1394">
        <v>3.7535000000000003</v>
      </c>
      <c r="L1394">
        <v>5.718</v>
      </c>
      <c r="M1394">
        <v>12.907500000000001</v>
      </c>
      <c r="N1394">
        <v>19.255000000000003</v>
      </c>
      <c r="O1394">
        <v>1663</v>
      </c>
      <c r="P1394">
        <v>0</v>
      </c>
      <c r="Q1394" s="5" t="e">
        <f>IF(AND(#REF!&gt;=table!$C$6,#REF!&lt;= table!$D$6),-1,IF(AND(#REF!&gt;=table!$E$6,#REF!&lt;=table!$F$6),1,0))</f>
        <v>#REF!</v>
      </c>
      <c r="R1394" s="5" t="e">
        <f>IF(AND(#REF!&gt;=table!$C$7,#REF!&lt;= table!$D$7),-1,IF(AND(#REF!&gt;=table!$E$7,#REF!&lt;=table!$F$7),1,0))</f>
        <v>#REF!</v>
      </c>
      <c r="S1394" s="5" t="e">
        <f>IF(AND(#REF!&gt;=table!$C$8,#REF!&lt;= table!$D$8),-1,IF(AND(#REF!&gt;=table!$E$8,#REF!&lt;=table!$F$8),1,0))</f>
        <v>#REF!</v>
      </c>
      <c r="T1394" s="5"/>
      <c r="U1394" s="5" t="e">
        <f>IF(AND(#REF!&gt;=table!$C$10,#REF!&lt;= table!$D$10),-1,IF(AND(#REF!&gt;=table!$E$10,#REF!&lt;=table!$F$10),1,0))</f>
        <v>#REF!</v>
      </c>
      <c r="V1394" s="5" t="e">
        <f>IF(AND(#REF!&gt;=table!$C$11,#REF!&lt;= table!$D$11),-1,IF(AND(#REF!&gt;=table!$E$11,#REF!&lt;=table!$F$11),1,0))</f>
        <v>#REF!</v>
      </c>
      <c r="W1394" s="5" t="e">
        <f>CONCATENATE(dados[[#This Row],[fator1]],dados[[#This Row],[fator5]],dados[[#This Row],[fator6]])</f>
        <v>#REF!</v>
      </c>
    </row>
    <row r="1395" spans="1:23">
      <c r="A1395" t="s">
        <v>16</v>
      </c>
      <c r="B1395">
        <v>484929</v>
      </c>
      <c r="C1395">
        <v>0.15</v>
      </c>
      <c r="D1395">
        <v>40</v>
      </c>
      <c r="E1395">
        <v>10</v>
      </c>
      <c r="F1395">
        <v>15</v>
      </c>
      <c r="G1395">
        <v>0</v>
      </c>
      <c r="H1395">
        <v>15</v>
      </c>
      <c r="I1395">
        <v>805</v>
      </c>
      <c r="J1395">
        <v>800</v>
      </c>
      <c r="K1395">
        <v>4.0765000000000002</v>
      </c>
      <c r="L1395">
        <v>6.2404999999999999</v>
      </c>
      <c r="M1395">
        <v>4.9344999999999999</v>
      </c>
      <c r="N1395">
        <v>9.2750000000000004</v>
      </c>
      <c r="O1395">
        <v>1611</v>
      </c>
      <c r="P1395">
        <v>0</v>
      </c>
      <c r="Q1395" s="5" t="e">
        <f>IF(AND(#REF!&gt;=table!$C$6,#REF!&lt;= table!$D$6),-1,IF(AND(#REF!&gt;=table!$E$6,#REF!&lt;=table!$F$6),1,0))</f>
        <v>#REF!</v>
      </c>
      <c r="R1395" s="5" t="e">
        <f>IF(AND(#REF!&gt;=table!$C$7,#REF!&lt;= table!$D$7),-1,IF(AND(#REF!&gt;=table!$E$7,#REF!&lt;=table!$F$7),1,0))</f>
        <v>#REF!</v>
      </c>
      <c r="S1395" s="5" t="e">
        <f>IF(AND(#REF!&gt;=table!$C$8,#REF!&lt;= table!$D$8),-1,IF(AND(#REF!&gt;=table!$E$8,#REF!&lt;=table!$F$8),1,0))</f>
        <v>#REF!</v>
      </c>
      <c r="T1395" s="5"/>
      <c r="U1395" s="5" t="e">
        <f>IF(AND(#REF!&gt;=table!$C$10,#REF!&lt;= table!$D$10),-1,IF(AND(#REF!&gt;=table!$E$10,#REF!&lt;=table!$F$10),1,0))</f>
        <v>#REF!</v>
      </c>
      <c r="V1395" s="5" t="e">
        <f>IF(AND(#REF!&gt;=table!$C$11,#REF!&lt;= table!$D$11),-1,IF(AND(#REF!&gt;=table!$E$11,#REF!&lt;=table!$F$11),1,0))</f>
        <v>#REF!</v>
      </c>
      <c r="W1395" s="5" t="e">
        <f>CONCATENATE(dados[[#This Row],[fator1]],dados[[#This Row],[fator5]],dados[[#This Row],[fator6]])</f>
        <v>#REF!</v>
      </c>
    </row>
    <row r="1396" spans="1:23">
      <c r="A1396" t="s">
        <v>17</v>
      </c>
      <c r="B1396">
        <v>484930</v>
      </c>
      <c r="C1396">
        <v>14</v>
      </c>
      <c r="D1396">
        <v>30</v>
      </c>
      <c r="E1396">
        <v>110</v>
      </c>
      <c r="F1396">
        <v>3</v>
      </c>
      <c r="G1396">
        <v>20</v>
      </c>
      <c r="H1396">
        <v>22</v>
      </c>
      <c r="I1396">
        <v>40</v>
      </c>
      <c r="J1396">
        <v>0</v>
      </c>
      <c r="K1396">
        <v>5.1955</v>
      </c>
      <c r="L1396">
        <v>8.214500000000001</v>
      </c>
      <c r="M1396">
        <v>90.921000000000006</v>
      </c>
      <c r="N1396">
        <v>11.19</v>
      </c>
      <c r="O1396">
        <v>1649</v>
      </c>
      <c r="P1396">
        <v>0</v>
      </c>
      <c r="Q1396" s="5" t="e">
        <f>IF(AND(#REF!&gt;=table!$C$6,#REF!&lt;= table!$D$6),-1,IF(AND(#REF!&gt;=table!$E$6,#REF!&lt;=table!$F$6),1,0))</f>
        <v>#REF!</v>
      </c>
      <c r="R1396" s="5" t="e">
        <f>IF(AND(#REF!&gt;=table!$C$7,#REF!&lt;= table!$D$7),-1,IF(AND(#REF!&gt;=table!$E$7,#REF!&lt;=table!$F$7),1,0))</f>
        <v>#REF!</v>
      </c>
      <c r="S1396" s="5" t="e">
        <f>IF(AND(#REF!&gt;=table!$C$8,#REF!&lt;= table!$D$8),-1,IF(AND(#REF!&gt;=table!$E$8,#REF!&lt;=table!$F$8),1,0))</f>
        <v>#REF!</v>
      </c>
      <c r="T1396" s="5"/>
      <c r="U1396" s="5" t="e">
        <f>IF(AND(#REF!&gt;=table!$C$10,#REF!&lt;= table!$D$10),-1,IF(AND(#REF!&gt;=table!$E$10,#REF!&lt;=table!$F$10),1,0))</f>
        <v>#REF!</v>
      </c>
      <c r="V1396" s="5" t="e">
        <f>IF(AND(#REF!&gt;=table!$C$11,#REF!&lt;= table!$D$11),-1,IF(AND(#REF!&gt;=table!$E$11,#REF!&lt;=table!$F$11),1,0))</f>
        <v>#REF!</v>
      </c>
      <c r="W1396" s="5" t="e">
        <f>CONCATENATE(dados[[#This Row],[fator1]],dados[[#This Row],[fator5]],dados[[#This Row],[fator6]])</f>
        <v>#REF!</v>
      </c>
    </row>
    <row r="1397" spans="1:23">
      <c r="A1397" t="s">
        <v>17</v>
      </c>
      <c r="B1397">
        <v>484931</v>
      </c>
      <c r="C1397">
        <v>14</v>
      </c>
      <c r="D1397">
        <v>30</v>
      </c>
      <c r="E1397">
        <v>110</v>
      </c>
      <c r="F1397">
        <v>3</v>
      </c>
      <c r="G1397">
        <v>20</v>
      </c>
      <c r="H1397">
        <v>22</v>
      </c>
      <c r="I1397">
        <v>986</v>
      </c>
      <c r="J1397">
        <v>0</v>
      </c>
      <c r="K1397">
        <v>5.6085000000000003</v>
      </c>
      <c r="L1397">
        <v>8.6850000000000005</v>
      </c>
      <c r="M1397">
        <v>87.44</v>
      </c>
      <c r="N1397">
        <v>10.26</v>
      </c>
      <c r="O1397">
        <v>1671</v>
      </c>
      <c r="P1397">
        <v>0</v>
      </c>
      <c r="Q1397" s="5" t="e">
        <f>IF(AND(#REF!&gt;=table!$C$6,#REF!&lt;= table!$D$6),-1,IF(AND(#REF!&gt;=table!$E$6,#REF!&lt;=table!$F$6),1,0))</f>
        <v>#REF!</v>
      </c>
      <c r="R1397" s="5" t="e">
        <f>IF(AND(#REF!&gt;=table!$C$7,#REF!&lt;= table!$D$7),-1,IF(AND(#REF!&gt;=table!$E$7,#REF!&lt;=table!$F$7),1,0))</f>
        <v>#REF!</v>
      </c>
      <c r="S1397" s="5" t="e">
        <f>IF(AND(#REF!&gt;=table!$C$8,#REF!&lt;= table!$D$8),-1,IF(AND(#REF!&gt;=table!$E$8,#REF!&lt;=table!$F$8),1,0))</f>
        <v>#REF!</v>
      </c>
      <c r="T1397" s="5"/>
      <c r="U1397" s="5" t="e">
        <f>IF(AND(#REF!&gt;=table!$C$10,#REF!&lt;= table!$D$10),-1,IF(AND(#REF!&gt;=table!$E$10,#REF!&lt;=table!$F$10),1,0))</f>
        <v>#REF!</v>
      </c>
      <c r="V1397" s="5" t="e">
        <f>IF(AND(#REF!&gt;=table!$C$11,#REF!&lt;= table!$D$11),-1,IF(AND(#REF!&gt;=table!$E$11,#REF!&lt;=table!$F$11),1,0))</f>
        <v>#REF!</v>
      </c>
      <c r="W1397" s="5" t="e">
        <f>CONCATENATE(dados[[#This Row],[fator1]],dados[[#This Row],[fator5]],dados[[#This Row],[fator6]])</f>
        <v>#REF!</v>
      </c>
    </row>
    <row r="1398" spans="1:23">
      <c r="A1398" t="s">
        <v>17</v>
      </c>
      <c r="B1398">
        <v>484932</v>
      </c>
      <c r="C1398">
        <v>14</v>
      </c>
      <c r="D1398">
        <v>30</v>
      </c>
      <c r="E1398">
        <v>110</v>
      </c>
      <c r="F1398">
        <v>3</v>
      </c>
      <c r="G1398">
        <v>20</v>
      </c>
      <c r="H1398">
        <v>22</v>
      </c>
      <c r="I1398">
        <v>657</v>
      </c>
      <c r="J1398">
        <v>720</v>
      </c>
      <c r="K1398">
        <v>6.3334999999999999</v>
      </c>
      <c r="L1398">
        <v>13.985000000000001</v>
      </c>
      <c r="M1398">
        <v>105.866</v>
      </c>
      <c r="N1398">
        <v>13.135</v>
      </c>
      <c r="O1398">
        <v>1644</v>
      </c>
      <c r="P1398">
        <v>406</v>
      </c>
      <c r="Q1398" s="5" t="e">
        <f>IF(AND(#REF!&gt;=table!$C$6,#REF!&lt;= table!$D$6),-1,IF(AND(#REF!&gt;=table!$E$6,#REF!&lt;=table!$F$6),1,0))</f>
        <v>#REF!</v>
      </c>
      <c r="R1398" s="5" t="e">
        <f>IF(AND(#REF!&gt;=table!$C$7,#REF!&lt;= table!$D$7),-1,IF(AND(#REF!&gt;=table!$E$7,#REF!&lt;=table!$F$7),1,0))</f>
        <v>#REF!</v>
      </c>
      <c r="S1398" s="5" t="e">
        <f>IF(AND(#REF!&gt;=table!$C$8,#REF!&lt;= table!$D$8),-1,IF(AND(#REF!&gt;=table!$E$8,#REF!&lt;=table!$F$8),1,0))</f>
        <v>#REF!</v>
      </c>
      <c r="T1398" s="5"/>
      <c r="U1398" s="5" t="e">
        <f>IF(AND(#REF!&gt;=table!$C$10,#REF!&lt;= table!$D$10),-1,IF(AND(#REF!&gt;=table!$E$10,#REF!&lt;=table!$F$10),1,0))</f>
        <v>#REF!</v>
      </c>
      <c r="V1398" s="5" t="e">
        <f>IF(AND(#REF!&gt;=table!$C$11,#REF!&lt;= table!$D$11),-1,IF(AND(#REF!&gt;=table!$E$11,#REF!&lt;=table!$F$11),1,0))</f>
        <v>#REF!</v>
      </c>
      <c r="W1398" s="5" t="e">
        <f>CONCATENATE(dados[[#This Row],[fator1]],dados[[#This Row],[fator5]],dados[[#This Row],[fator6]])</f>
        <v>#REF!</v>
      </c>
    </row>
    <row r="1399" spans="1:23">
      <c r="A1399" t="s">
        <v>16</v>
      </c>
      <c r="B1399">
        <v>484934</v>
      </c>
      <c r="C1399">
        <v>4</v>
      </c>
      <c r="D1399">
        <v>40</v>
      </c>
      <c r="E1399">
        <v>21</v>
      </c>
      <c r="F1399">
        <v>20</v>
      </c>
      <c r="G1399">
        <v>0</v>
      </c>
      <c r="H1399">
        <v>25</v>
      </c>
      <c r="I1399">
        <v>405</v>
      </c>
      <c r="J1399">
        <v>0</v>
      </c>
      <c r="K1399">
        <v>7.4225000000000003</v>
      </c>
      <c r="L1399">
        <v>18.8155</v>
      </c>
      <c r="M1399">
        <v>23.531000000000002</v>
      </c>
      <c r="N1399">
        <v>17.420000000000002</v>
      </c>
      <c r="O1399">
        <v>1677</v>
      </c>
      <c r="P1399">
        <v>799</v>
      </c>
      <c r="Q1399" s="5" t="e">
        <f>IF(AND(#REF!&gt;=table!$C$6,#REF!&lt;= table!$D$6),-1,IF(AND(#REF!&gt;=table!$E$6,#REF!&lt;=table!$F$6),1,0))</f>
        <v>#REF!</v>
      </c>
      <c r="R1399" s="5" t="e">
        <f>IF(AND(#REF!&gt;=table!$C$7,#REF!&lt;= table!$D$7),-1,IF(AND(#REF!&gt;=table!$E$7,#REF!&lt;=table!$F$7),1,0))</f>
        <v>#REF!</v>
      </c>
      <c r="S1399" s="5" t="e">
        <f>IF(AND(#REF!&gt;=table!$C$8,#REF!&lt;= table!$D$8),-1,IF(AND(#REF!&gt;=table!$E$8,#REF!&lt;=table!$F$8),1,0))</f>
        <v>#REF!</v>
      </c>
      <c r="T1399" s="5"/>
      <c r="U1399" s="5" t="e">
        <f>IF(AND(#REF!&gt;=table!$C$10,#REF!&lt;= table!$D$10),-1,IF(AND(#REF!&gt;=table!$E$10,#REF!&lt;=table!$F$10),1,0))</f>
        <v>#REF!</v>
      </c>
      <c r="V1399" s="5" t="e">
        <f>IF(AND(#REF!&gt;=table!$C$11,#REF!&lt;= table!$D$11),-1,IF(AND(#REF!&gt;=table!$E$11,#REF!&lt;=table!$F$11),1,0))</f>
        <v>#REF!</v>
      </c>
      <c r="W1399" s="5" t="e">
        <f>CONCATENATE(dados[[#This Row],[fator1]],dados[[#This Row],[fator5]],dados[[#This Row],[fator6]])</f>
        <v>#REF!</v>
      </c>
    </row>
    <row r="1400" spans="1:23">
      <c r="A1400" t="s">
        <v>16</v>
      </c>
      <c r="B1400">
        <v>484935</v>
      </c>
      <c r="C1400">
        <v>4</v>
      </c>
      <c r="D1400">
        <v>40</v>
      </c>
      <c r="E1400">
        <v>21</v>
      </c>
      <c r="F1400">
        <v>20</v>
      </c>
      <c r="G1400">
        <v>0</v>
      </c>
      <c r="H1400">
        <v>25</v>
      </c>
      <c r="I1400">
        <v>881</v>
      </c>
      <c r="J1400">
        <v>720</v>
      </c>
      <c r="K1400">
        <v>8.0975000000000001</v>
      </c>
      <c r="L1400">
        <v>12.105</v>
      </c>
      <c r="M1400">
        <v>17.909000000000002</v>
      </c>
      <c r="N1400">
        <v>12.57</v>
      </c>
      <c r="O1400">
        <v>1669</v>
      </c>
      <c r="P1400">
        <v>515</v>
      </c>
      <c r="Q1400" s="5" t="e">
        <f>IF(AND(#REF!&gt;=table!$C$6,#REF!&lt;= table!$D$6),-1,IF(AND(#REF!&gt;=table!$E$6,#REF!&lt;=table!$F$6),1,0))</f>
        <v>#REF!</v>
      </c>
      <c r="R1400" s="5" t="e">
        <f>IF(AND(#REF!&gt;=table!$C$7,#REF!&lt;= table!$D$7),-1,IF(AND(#REF!&gt;=table!$E$7,#REF!&lt;=table!$F$7),1,0))</f>
        <v>#REF!</v>
      </c>
      <c r="S1400" s="5" t="e">
        <f>IF(AND(#REF!&gt;=table!$C$8,#REF!&lt;= table!$D$8),-1,IF(AND(#REF!&gt;=table!$E$8,#REF!&lt;=table!$F$8),1,0))</f>
        <v>#REF!</v>
      </c>
      <c r="T1400" s="5"/>
      <c r="U1400" s="5" t="e">
        <f>IF(AND(#REF!&gt;=table!$C$10,#REF!&lt;= table!$D$10),-1,IF(AND(#REF!&gt;=table!$E$10,#REF!&lt;=table!$F$10),1,0))</f>
        <v>#REF!</v>
      </c>
      <c r="V1400" s="5" t="e">
        <f>IF(AND(#REF!&gt;=table!$C$11,#REF!&lt;= table!$D$11),-1,IF(AND(#REF!&gt;=table!$E$11,#REF!&lt;=table!$F$11),1,0))</f>
        <v>#REF!</v>
      </c>
      <c r="W1400" s="5" t="e">
        <f>CONCATENATE(dados[[#This Row],[fator1]],dados[[#This Row],[fator5]],dados[[#This Row],[fator6]])</f>
        <v>#REF!</v>
      </c>
    </row>
    <row r="1401" spans="1:23">
      <c r="A1401" t="s">
        <v>16</v>
      </c>
      <c r="B1401">
        <v>484941</v>
      </c>
      <c r="C1401">
        <v>0.15</v>
      </c>
      <c r="D1401">
        <v>35</v>
      </c>
      <c r="E1401">
        <v>15</v>
      </c>
      <c r="F1401">
        <v>10</v>
      </c>
      <c r="G1401">
        <v>0</v>
      </c>
      <c r="H1401">
        <v>12</v>
      </c>
      <c r="I1401">
        <v>425</v>
      </c>
      <c r="J1401">
        <v>0</v>
      </c>
      <c r="K1401">
        <v>6.2115</v>
      </c>
      <c r="L1401">
        <v>9.4109999999999996</v>
      </c>
      <c r="M1401">
        <v>7.9990000000000006</v>
      </c>
      <c r="N1401">
        <v>7.2350000000000003</v>
      </c>
      <c r="O1401">
        <v>1660</v>
      </c>
      <c r="P1401">
        <v>596</v>
      </c>
      <c r="Q1401" s="5" t="e">
        <f>IF(AND(#REF!&gt;=table!$C$6,#REF!&lt;= table!$D$6),-1,IF(AND(#REF!&gt;=table!$E$6,#REF!&lt;=table!$F$6),1,0))</f>
        <v>#REF!</v>
      </c>
      <c r="R1401" s="5" t="e">
        <f>IF(AND(#REF!&gt;=table!$C$7,#REF!&lt;= table!$D$7),-1,IF(AND(#REF!&gt;=table!$E$7,#REF!&lt;=table!$F$7),1,0))</f>
        <v>#REF!</v>
      </c>
      <c r="S1401" s="5" t="e">
        <f>IF(AND(#REF!&gt;=table!$C$8,#REF!&lt;= table!$D$8),-1,IF(AND(#REF!&gt;=table!$E$8,#REF!&lt;=table!$F$8),1,0))</f>
        <v>#REF!</v>
      </c>
      <c r="T1401" s="5"/>
      <c r="U1401" s="5" t="e">
        <f>IF(AND(#REF!&gt;=table!$C$10,#REF!&lt;= table!$D$10),-1,IF(AND(#REF!&gt;=table!$E$10,#REF!&lt;=table!$F$10),1,0))</f>
        <v>#REF!</v>
      </c>
      <c r="V1401" s="5" t="e">
        <f>IF(AND(#REF!&gt;=table!$C$11,#REF!&lt;= table!$D$11),-1,IF(AND(#REF!&gt;=table!$E$11,#REF!&lt;=table!$F$11),1,0))</f>
        <v>#REF!</v>
      </c>
      <c r="W1401" s="5" t="e">
        <f>CONCATENATE(dados[[#This Row],[fator1]],dados[[#This Row],[fator5]],dados[[#This Row],[fator6]])</f>
        <v>#REF!</v>
      </c>
    </row>
    <row r="1402" spans="1:23">
      <c r="A1402" t="s">
        <v>16</v>
      </c>
      <c r="B1402">
        <v>484946</v>
      </c>
      <c r="C1402">
        <v>7</v>
      </c>
      <c r="D1402">
        <v>33</v>
      </c>
      <c r="E1402">
        <v>153</v>
      </c>
      <c r="F1402">
        <v>4</v>
      </c>
      <c r="G1402">
        <v>0</v>
      </c>
      <c r="H1402">
        <v>25</v>
      </c>
      <c r="I1402">
        <v>1089</v>
      </c>
      <c r="J1402">
        <v>0</v>
      </c>
      <c r="K1402">
        <v>5.7430000000000003</v>
      </c>
      <c r="L1402">
        <v>13.246500000000001</v>
      </c>
      <c r="M1402">
        <v>140.6765</v>
      </c>
      <c r="N1402">
        <v>14.025</v>
      </c>
      <c r="O1402">
        <v>1678</v>
      </c>
      <c r="P1402">
        <v>678</v>
      </c>
      <c r="Q1402" s="5" t="e">
        <f>IF(AND(#REF!&gt;=table!$C$6,#REF!&lt;= table!$D$6),-1,IF(AND(#REF!&gt;=table!$E$6,#REF!&lt;=table!$F$6),1,0))</f>
        <v>#REF!</v>
      </c>
      <c r="R1402" s="5" t="e">
        <f>IF(AND(#REF!&gt;=table!$C$7,#REF!&lt;= table!$D$7),-1,IF(AND(#REF!&gt;=table!$E$7,#REF!&lt;=table!$F$7),1,0))</f>
        <v>#REF!</v>
      </c>
      <c r="S1402" s="5" t="e">
        <f>IF(AND(#REF!&gt;=table!$C$8,#REF!&lt;= table!$D$8),-1,IF(AND(#REF!&gt;=table!$E$8,#REF!&lt;=table!$F$8),1,0))</f>
        <v>#REF!</v>
      </c>
      <c r="T1402" s="5"/>
      <c r="U1402" s="5" t="e">
        <f>IF(AND(#REF!&gt;=table!$C$10,#REF!&lt;= table!$D$10),-1,IF(AND(#REF!&gt;=table!$E$10,#REF!&lt;=table!$F$10),1,0))</f>
        <v>#REF!</v>
      </c>
      <c r="V1402" s="5" t="e">
        <f>IF(AND(#REF!&gt;=table!$C$11,#REF!&lt;= table!$D$11),-1,IF(AND(#REF!&gt;=table!$E$11,#REF!&lt;=table!$F$11),1,0))</f>
        <v>#REF!</v>
      </c>
      <c r="W1402" s="5" t="e">
        <f>CONCATENATE(dados[[#This Row],[fator1]],dados[[#This Row],[fator5]],dados[[#This Row],[fator6]])</f>
        <v>#REF!</v>
      </c>
    </row>
    <row r="1403" spans="1:23">
      <c r="A1403" t="s">
        <v>16</v>
      </c>
      <c r="B1403">
        <v>484957</v>
      </c>
      <c r="C1403">
        <v>12</v>
      </c>
      <c r="D1403">
        <v>35</v>
      </c>
      <c r="E1403">
        <v>86</v>
      </c>
      <c r="F1403">
        <v>8</v>
      </c>
      <c r="G1403">
        <v>0</v>
      </c>
      <c r="H1403">
        <v>25</v>
      </c>
      <c r="I1403">
        <v>1303</v>
      </c>
      <c r="J1403">
        <v>0</v>
      </c>
      <c r="K1403">
        <v>4.8520000000000003</v>
      </c>
      <c r="L1403">
        <v>8.3955000000000002</v>
      </c>
      <c r="M1403">
        <v>74.027000000000001</v>
      </c>
      <c r="N1403">
        <v>14.08</v>
      </c>
      <c r="O1403">
        <v>1674</v>
      </c>
      <c r="P1403">
        <v>823</v>
      </c>
      <c r="Q1403" s="5" t="e">
        <f>IF(AND(#REF!&gt;=table!$C$6,#REF!&lt;= table!$D$6),-1,IF(AND(#REF!&gt;=table!$E$6,#REF!&lt;=table!$F$6),1,0))</f>
        <v>#REF!</v>
      </c>
      <c r="R1403" s="5" t="e">
        <f>IF(AND(#REF!&gt;=table!$C$7,#REF!&lt;= table!$D$7),-1,IF(AND(#REF!&gt;=table!$E$7,#REF!&lt;=table!$F$7),1,0))</f>
        <v>#REF!</v>
      </c>
      <c r="S1403" s="5" t="e">
        <f>IF(AND(#REF!&gt;=table!$C$8,#REF!&lt;= table!$D$8),-1,IF(AND(#REF!&gt;=table!$E$8,#REF!&lt;=table!$F$8),1,0))</f>
        <v>#REF!</v>
      </c>
      <c r="T1403" s="5"/>
      <c r="U1403" s="5" t="e">
        <f>IF(AND(#REF!&gt;=table!$C$10,#REF!&lt;= table!$D$10),-1,IF(AND(#REF!&gt;=table!$E$10,#REF!&lt;=table!$F$10),1,0))</f>
        <v>#REF!</v>
      </c>
      <c r="V1403" s="5" t="e">
        <f>IF(AND(#REF!&gt;=table!$C$11,#REF!&lt;= table!$D$11),-1,IF(AND(#REF!&gt;=table!$E$11,#REF!&lt;=table!$F$11),1,0))</f>
        <v>#REF!</v>
      </c>
      <c r="W1403" s="5" t="e">
        <f>CONCATENATE(dados[[#This Row],[fator1]],dados[[#This Row],[fator5]],dados[[#This Row],[fator6]])</f>
        <v>#REF!</v>
      </c>
    </row>
    <row r="1404" spans="1:23">
      <c r="A1404" t="s">
        <v>16</v>
      </c>
      <c r="B1404">
        <v>484959</v>
      </c>
      <c r="C1404">
        <v>4</v>
      </c>
      <c r="D1404">
        <v>40</v>
      </c>
      <c r="E1404">
        <v>21</v>
      </c>
      <c r="F1404">
        <v>20</v>
      </c>
      <c r="G1404">
        <v>0</v>
      </c>
      <c r="H1404">
        <v>25</v>
      </c>
      <c r="I1404">
        <v>1029</v>
      </c>
      <c r="J1404">
        <v>1350</v>
      </c>
      <c r="K1404">
        <v>12.658000000000001</v>
      </c>
      <c r="L1404">
        <v>23.584</v>
      </c>
      <c r="M1404">
        <v>10.872</v>
      </c>
      <c r="N1404">
        <v>14.615</v>
      </c>
      <c r="O1404">
        <v>1645</v>
      </c>
      <c r="P1404">
        <v>282</v>
      </c>
      <c r="Q1404" s="5" t="e">
        <f>IF(AND(#REF!&gt;=table!$C$6,#REF!&lt;= table!$D$6),-1,IF(AND(#REF!&gt;=table!$E$6,#REF!&lt;=table!$F$6),1,0))</f>
        <v>#REF!</v>
      </c>
      <c r="R1404" s="5" t="e">
        <f>IF(AND(#REF!&gt;=table!$C$7,#REF!&lt;= table!$D$7),-1,IF(AND(#REF!&gt;=table!$E$7,#REF!&lt;=table!$F$7),1,0))</f>
        <v>#REF!</v>
      </c>
      <c r="S1404" s="5" t="e">
        <f>IF(AND(#REF!&gt;=table!$C$8,#REF!&lt;= table!$D$8),-1,IF(AND(#REF!&gt;=table!$E$8,#REF!&lt;=table!$F$8),1,0))</f>
        <v>#REF!</v>
      </c>
      <c r="T1404" s="5"/>
      <c r="U1404" s="5" t="e">
        <f>IF(AND(#REF!&gt;=table!$C$10,#REF!&lt;= table!$D$10),-1,IF(AND(#REF!&gt;=table!$E$10,#REF!&lt;=table!$F$10),1,0))</f>
        <v>#REF!</v>
      </c>
      <c r="V1404" s="5" t="e">
        <f>IF(AND(#REF!&gt;=table!$C$11,#REF!&lt;= table!$D$11),-1,IF(AND(#REF!&gt;=table!$E$11,#REF!&lt;=table!$F$11),1,0))</f>
        <v>#REF!</v>
      </c>
      <c r="W1404" s="5" t="e">
        <f>CONCATENATE(dados[[#This Row],[fator1]],dados[[#This Row],[fator5]],dados[[#This Row],[fator6]])</f>
        <v>#REF!</v>
      </c>
    </row>
    <row r="1405" spans="1:23">
      <c r="A1405" t="s">
        <v>16</v>
      </c>
      <c r="B1405">
        <v>484971</v>
      </c>
      <c r="C1405">
        <v>4</v>
      </c>
      <c r="D1405">
        <v>40</v>
      </c>
      <c r="E1405">
        <v>21</v>
      </c>
      <c r="F1405">
        <v>20</v>
      </c>
      <c r="G1405">
        <v>0</v>
      </c>
      <c r="H1405">
        <v>25</v>
      </c>
      <c r="I1405">
        <v>1307</v>
      </c>
      <c r="J1405">
        <v>0</v>
      </c>
      <c r="K1405">
        <v>4.3325000000000005</v>
      </c>
      <c r="L1405">
        <v>7.5865</v>
      </c>
      <c r="M1405">
        <v>6.7935000000000008</v>
      </c>
      <c r="N1405">
        <v>12.05</v>
      </c>
      <c r="O1405">
        <v>1683</v>
      </c>
      <c r="P1405">
        <v>983</v>
      </c>
      <c r="Q1405" s="5" t="e">
        <f>IF(AND(#REF!&gt;=table!$C$6,#REF!&lt;= table!$D$6),-1,IF(AND(#REF!&gt;=table!$E$6,#REF!&lt;=table!$F$6),1,0))</f>
        <v>#REF!</v>
      </c>
      <c r="R1405" s="5" t="e">
        <f>IF(AND(#REF!&gt;=table!$C$7,#REF!&lt;= table!$D$7),-1,IF(AND(#REF!&gt;=table!$E$7,#REF!&lt;=table!$F$7),1,0))</f>
        <v>#REF!</v>
      </c>
      <c r="S1405" s="5" t="e">
        <f>IF(AND(#REF!&gt;=table!$C$8,#REF!&lt;= table!$D$8),-1,IF(AND(#REF!&gt;=table!$E$8,#REF!&lt;=table!$F$8),1,0))</f>
        <v>#REF!</v>
      </c>
      <c r="T1405" s="5"/>
      <c r="U1405" s="5" t="e">
        <f>IF(AND(#REF!&gt;=table!$C$10,#REF!&lt;= table!$D$10),-1,IF(AND(#REF!&gt;=table!$E$10,#REF!&lt;=table!$F$10),1,0))</f>
        <v>#REF!</v>
      </c>
      <c r="V1405" s="5" t="e">
        <f>IF(AND(#REF!&gt;=table!$C$11,#REF!&lt;= table!$D$11),-1,IF(AND(#REF!&gt;=table!$E$11,#REF!&lt;=table!$F$11),1,0))</f>
        <v>#REF!</v>
      </c>
      <c r="W1405" s="5" t="e">
        <f>CONCATENATE(dados[[#This Row],[fator1]],dados[[#This Row],[fator5]],dados[[#This Row],[fator6]])</f>
        <v>#REF!</v>
      </c>
    </row>
    <row r="1406" spans="1:23">
      <c r="A1406" t="s">
        <v>16</v>
      </c>
      <c r="B1406">
        <v>484978</v>
      </c>
      <c r="C1406">
        <v>0.15</v>
      </c>
      <c r="D1406">
        <v>40</v>
      </c>
      <c r="E1406">
        <v>10</v>
      </c>
      <c r="F1406">
        <v>15</v>
      </c>
      <c r="G1406">
        <v>0</v>
      </c>
      <c r="H1406">
        <v>15</v>
      </c>
      <c r="I1406">
        <v>1788</v>
      </c>
      <c r="J1406">
        <v>0</v>
      </c>
      <c r="K1406">
        <v>4.37</v>
      </c>
      <c r="L1406">
        <v>11.332000000000001</v>
      </c>
      <c r="M1406">
        <v>9.9984999999999999</v>
      </c>
      <c r="N1406">
        <v>13.75</v>
      </c>
      <c r="O1406">
        <v>1658</v>
      </c>
      <c r="P1406">
        <v>685</v>
      </c>
      <c r="Q1406" s="5" t="e">
        <f>IF(AND(#REF!&gt;=table!$C$6,#REF!&lt;= table!$D$6),-1,IF(AND(#REF!&gt;=table!$E$6,#REF!&lt;=table!$F$6),1,0))</f>
        <v>#REF!</v>
      </c>
      <c r="R1406" s="5" t="e">
        <f>IF(AND(#REF!&gt;=table!$C$7,#REF!&lt;= table!$D$7),-1,IF(AND(#REF!&gt;=table!$E$7,#REF!&lt;=table!$F$7),1,0))</f>
        <v>#REF!</v>
      </c>
      <c r="S1406" s="5" t="e">
        <f>IF(AND(#REF!&gt;=table!$C$8,#REF!&lt;= table!$D$8),-1,IF(AND(#REF!&gt;=table!$E$8,#REF!&lt;=table!$F$8),1,0))</f>
        <v>#REF!</v>
      </c>
      <c r="T1406" s="5"/>
      <c r="U1406" s="5" t="e">
        <f>IF(AND(#REF!&gt;=table!$C$10,#REF!&lt;= table!$D$10),-1,IF(AND(#REF!&gt;=table!$E$10,#REF!&lt;=table!$F$10),1,0))</f>
        <v>#REF!</v>
      </c>
      <c r="V1406" s="5" t="e">
        <f>IF(AND(#REF!&gt;=table!$C$11,#REF!&lt;= table!$D$11),-1,IF(AND(#REF!&gt;=table!$E$11,#REF!&lt;=table!$F$11),1,0))</f>
        <v>#REF!</v>
      </c>
      <c r="W1406" s="5" t="e">
        <f>CONCATENATE(dados[[#This Row],[fator1]],dados[[#This Row],[fator5]],dados[[#This Row],[fator6]])</f>
        <v>#REF!</v>
      </c>
    </row>
    <row r="1407" spans="1:23">
      <c r="A1407" t="s">
        <v>16</v>
      </c>
      <c r="B1407">
        <v>484988</v>
      </c>
      <c r="C1407">
        <v>0.15</v>
      </c>
      <c r="D1407">
        <v>40</v>
      </c>
      <c r="E1407">
        <v>10</v>
      </c>
      <c r="F1407">
        <v>15</v>
      </c>
      <c r="G1407">
        <v>0</v>
      </c>
      <c r="H1407">
        <v>15</v>
      </c>
      <c r="I1407">
        <v>873</v>
      </c>
      <c r="J1407">
        <v>0</v>
      </c>
      <c r="K1407">
        <v>5.806</v>
      </c>
      <c r="L1407">
        <v>8.7390000000000008</v>
      </c>
      <c r="M1407">
        <v>7.4850000000000003</v>
      </c>
      <c r="N1407">
        <v>8.495000000000001</v>
      </c>
      <c r="O1407">
        <v>1659</v>
      </c>
      <c r="P1407">
        <v>590</v>
      </c>
      <c r="Q1407" s="5" t="e">
        <f>IF(AND(#REF!&gt;=table!$C$6,#REF!&lt;= table!$D$6),-1,IF(AND(#REF!&gt;=table!$E$6,#REF!&lt;=table!$F$6),1,0))</f>
        <v>#REF!</v>
      </c>
      <c r="R1407" s="5" t="e">
        <f>IF(AND(#REF!&gt;=table!$C$7,#REF!&lt;= table!$D$7),-1,IF(AND(#REF!&gt;=table!$E$7,#REF!&lt;=table!$F$7),1,0))</f>
        <v>#REF!</v>
      </c>
      <c r="S1407" s="5" t="e">
        <f>IF(AND(#REF!&gt;=table!$C$8,#REF!&lt;= table!$D$8),-1,IF(AND(#REF!&gt;=table!$E$8,#REF!&lt;=table!$F$8),1,0))</f>
        <v>#REF!</v>
      </c>
      <c r="T1407" s="5"/>
      <c r="U1407" s="5" t="e">
        <f>IF(AND(#REF!&gt;=table!$C$10,#REF!&lt;= table!$D$10),-1,IF(AND(#REF!&gt;=table!$E$10,#REF!&lt;=table!$F$10),1,0))</f>
        <v>#REF!</v>
      </c>
      <c r="V1407" s="5" t="e">
        <f>IF(AND(#REF!&gt;=table!$C$11,#REF!&lt;= table!$D$11),-1,IF(AND(#REF!&gt;=table!$E$11,#REF!&lt;=table!$F$11),1,0))</f>
        <v>#REF!</v>
      </c>
      <c r="W1407" s="5" t="e">
        <f>CONCATENATE(dados[[#This Row],[fator1]],dados[[#This Row],[fator5]],dados[[#This Row],[fator6]])</f>
        <v>#REF!</v>
      </c>
    </row>
    <row r="1408" spans="1:23">
      <c r="A1408" t="s">
        <v>16</v>
      </c>
      <c r="B1408">
        <v>484992</v>
      </c>
      <c r="C1408">
        <v>0.15</v>
      </c>
      <c r="D1408">
        <v>40</v>
      </c>
      <c r="E1408">
        <v>10</v>
      </c>
      <c r="F1408">
        <v>15</v>
      </c>
      <c r="G1408">
        <v>0</v>
      </c>
      <c r="H1408">
        <v>15</v>
      </c>
      <c r="I1408">
        <v>920</v>
      </c>
      <c r="J1408">
        <v>0</v>
      </c>
      <c r="K1408">
        <v>8.7505000000000006</v>
      </c>
      <c r="L1408">
        <v>12.907500000000001</v>
      </c>
      <c r="M1408">
        <v>8.9905000000000008</v>
      </c>
      <c r="N1408">
        <v>12.35</v>
      </c>
      <c r="O1408">
        <v>1696</v>
      </c>
      <c r="P1408">
        <v>751</v>
      </c>
      <c r="Q1408" s="5" t="e">
        <f>IF(AND(#REF!&gt;=table!$C$6,#REF!&lt;= table!$D$6),-1,IF(AND(#REF!&gt;=table!$E$6,#REF!&lt;=table!$F$6),1,0))</f>
        <v>#REF!</v>
      </c>
      <c r="R1408" s="5" t="e">
        <f>IF(AND(#REF!&gt;=table!$C$7,#REF!&lt;= table!$D$7),-1,IF(AND(#REF!&gt;=table!$E$7,#REF!&lt;=table!$F$7),1,0))</f>
        <v>#REF!</v>
      </c>
      <c r="S1408" s="5" t="e">
        <f>IF(AND(#REF!&gt;=table!$C$8,#REF!&lt;= table!$D$8),-1,IF(AND(#REF!&gt;=table!$E$8,#REF!&lt;=table!$F$8),1,0))</f>
        <v>#REF!</v>
      </c>
      <c r="T1408" s="5"/>
      <c r="U1408" s="5" t="e">
        <f>IF(AND(#REF!&gt;=table!$C$10,#REF!&lt;= table!$D$10),-1,IF(AND(#REF!&gt;=table!$E$10,#REF!&lt;=table!$F$10),1,0))</f>
        <v>#REF!</v>
      </c>
      <c r="V1408" s="5" t="e">
        <f>IF(AND(#REF!&gt;=table!$C$11,#REF!&lt;= table!$D$11),-1,IF(AND(#REF!&gt;=table!$E$11,#REF!&lt;=table!$F$11),1,0))</f>
        <v>#REF!</v>
      </c>
      <c r="W1408" s="5" t="e">
        <f>CONCATENATE(dados[[#This Row],[fator1]],dados[[#This Row],[fator5]],dados[[#This Row],[fator6]])</f>
        <v>#REF!</v>
      </c>
    </row>
    <row r="1409" spans="1:23">
      <c r="A1409" t="s">
        <v>16</v>
      </c>
      <c r="B1409">
        <v>485005</v>
      </c>
      <c r="C1409">
        <v>0.15</v>
      </c>
      <c r="D1409">
        <v>40</v>
      </c>
      <c r="E1409">
        <v>10</v>
      </c>
      <c r="F1409">
        <v>15</v>
      </c>
      <c r="G1409">
        <v>0</v>
      </c>
      <c r="H1409">
        <v>15</v>
      </c>
      <c r="I1409">
        <v>976</v>
      </c>
      <c r="J1409">
        <v>0</v>
      </c>
      <c r="K1409">
        <v>3.9875000000000003</v>
      </c>
      <c r="L1409">
        <v>5.5430000000000001</v>
      </c>
      <c r="M1409">
        <v>5.1310000000000002</v>
      </c>
      <c r="N1409">
        <v>9.4050000000000011</v>
      </c>
      <c r="O1409">
        <v>1673</v>
      </c>
      <c r="P1409">
        <v>801</v>
      </c>
      <c r="Q1409" s="5" t="e">
        <f>IF(AND(#REF!&gt;=table!$C$6,#REF!&lt;= table!$D$6),-1,IF(AND(#REF!&gt;=table!$E$6,#REF!&lt;=table!$F$6),1,0))</f>
        <v>#REF!</v>
      </c>
      <c r="R1409" s="5" t="e">
        <f>IF(AND(#REF!&gt;=table!$C$7,#REF!&lt;= table!$D$7),-1,IF(AND(#REF!&gt;=table!$E$7,#REF!&lt;=table!$F$7),1,0))</f>
        <v>#REF!</v>
      </c>
      <c r="S1409" s="5" t="e">
        <f>IF(AND(#REF!&gt;=table!$C$8,#REF!&lt;= table!$D$8),-1,IF(AND(#REF!&gt;=table!$E$8,#REF!&lt;=table!$F$8),1,0))</f>
        <v>#REF!</v>
      </c>
      <c r="T1409" s="5"/>
      <c r="U1409" s="5" t="e">
        <f>IF(AND(#REF!&gt;=table!$C$10,#REF!&lt;= table!$D$10),-1,IF(AND(#REF!&gt;=table!$E$10,#REF!&lt;=table!$F$10),1,0))</f>
        <v>#REF!</v>
      </c>
      <c r="V1409" s="5" t="e">
        <f>IF(AND(#REF!&gt;=table!$C$11,#REF!&lt;= table!$D$11),-1,IF(AND(#REF!&gt;=table!$E$11,#REF!&lt;=table!$F$11),1,0))</f>
        <v>#REF!</v>
      </c>
      <c r="W1409" s="5" t="e">
        <f>CONCATENATE(dados[[#This Row],[fator1]],dados[[#This Row],[fator5]],dados[[#This Row],[fator6]])</f>
        <v>#REF!</v>
      </c>
    </row>
    <row r="1410" spans="1:23">
      <c r="A1410" t="s">
        <v>16</v>
      </c>
      <c r="B1410">
        <v>485007</v>
      </c>
      <c r="C1410">
        <v>0.15</v>
      </c>
      <c r="D1410">
        <v>40</v>
      </c>
      <c r="E1410">
        <v>10</v>
      </c>
      <c r="F1410">
        <v>15</v>
      </c>
      <c r="G1410">
        <v>0</v>
      </c>
      <c r="H1410">
        <v>15</v>
      </c>
      <c r="I1410">
        <v>1191</v>
      </c>
      <c r="J1410">
        <v>0</v>
      </c>
      <c r="K1410">
        <v>2.7825000000000002</v>
      </c>
      <c r="L1410">
        <v>4.9645000000000001</v>
      </c>
      <c r="M1410">
        <v>4.609</v>
      </c>
      <c r="N1410">
        <v>10.555</v>
      </c>
      <c r="O1410">
        <v>1679</v>
      </c>
      <c r="P1410">
        <v>0</v>
      </c>
      <c r="Q1410" s="5" t="e">
        <f>IF(AND(#REF!&gt;=table!$C$6,#REF!&lt;= table!$D$6),-1,IF(AND(#REF!&gt;=table!$E$6,#REF!&lt;=table!$F$6),1,0))</f>
        <v>#REF!</v>
      </c>
      <c r="R1410" s="5" t="e">
        <f>IF(AND(#REF!&gt;=table!$C$7,#REF!&lt;= table!$D$7),-1,IF(AND(#REF!&gt;=table!$E$7,#REF!&lt;=table!$F$7),1,0))</f>
        <v>#REF!</v>
      </c>
      <c r="S1410" s="5" t="e">
        <f>IF(AND(#REF!&gt;=table!$C$8,#REF!&lt;= table!$D$8),-1,IF(AND(#REF!&gt;=table!$E$8,#REF!&lt;=table!$F$8),1,0))</f>
        <v>#REF!</v>
      </c>
      <c r="T1410" s="5"/>
      <c r="U1410" s="5" t="e">
        <f>IF(AND(#REF!&gt;=table!$C$10,#REF!&lt;= table!$D$10),-1,IF(AND(#REF!&gt;=table!$E$10,#REF!&lt;=table!$F$10),1,0))</f>
        <v>#REF!</v>
      </c>
      <c r="V1410" s="5" t="e">
        <f>IF(AND(#REF!&gt;=table!$C$11,#REF!&lt;= table!$D$11),-1,IF(AND(#REF!&gt;=table!$E$11,#REF!&lt;=table!$F$11),1,0))</f>
        <v>#REF!</v>
      </c>
      <c r="W1410" s="5" t="e">
        <f>CONCATENATE(dados[[#This Row],[fator1]],dados[[#This Row],[fator5]],dados[[#This Row],[fator6]])</f>
        <v>#REF!</v>
      </c>
    </row>
    <row r="1411" spans="1:23">
      <c r="A1411" t="s">
        <v>16</v>
      </c>
      <c r="B1411">
        <v>485009</v>
      </c>
      <c r="C1411">
        <v>0.15</v>
      </c>
      <c r="D1411">
        <v>40</v>
      </c>
      <c r="E1411">
        <v>65</v>
      </c>
      <c r="F1411">
        <v>10</v>
      </c>
      <c r="G1411">
        <v>0</v>
      </c>
      <c r="H1411">
        <v>35</v>
      </c>
      <c r="I1411">
        <v>626</v>
      </c>
      <c r="J1411">
        <v>0</v>
      </c>
      <c r="K1411">
        <v>3.4410000000000003</v>
      </c>
      <c r="L1411">
        <v>9.7175000000000011</v>
      </c>
      <c r="M1411">
        <v>8.7670000000000012</v>
      </c>
      <c r="N1411">
        <v>15.235000000000001</v>
      </c>
      <c r="O1411">
        <v>1697</v>
      </c>
      <c r="P1411">
        <v>797</v>
      </c>
      <c r="Q1411" s="5" t="e">
        <f>IF(AND(#REF!&gt;=table!$C$6,#REF!&lt;= table!$D$6),-1,IF(AND(#REF!&gt;=table!$E$6,#REF!&lt;=table!$F$6),1,0))</f>
        <v>#REF!</v>
      </c>
      <c r="R1411" s="5" t="e">
        <f>IF(AND(#REF!&gt;=table!$C$7,#REF!&lt;= table!$D$7),-1,IF(AND(#REF!&gt;=table!$E$7,#REF!&lt;=table!$F$7),1,0))</f>
        <v>#REF!</v>
      </c>
      <c r="S1411" s="5" t="e">
        <f>IF(AND(#REF!&gt;=table!$C$8,#REF!&lt;= table!$D$8),-1,IF(AND(#REF!&gt;=table!$E$8,#REF!&lt;=table!$F$8),1,0))</f>
        <v>#REF!</v>
      </c>
      <c r="T1411" s="5"/>
      <c r="U1411" s="5" t="e">
        <f>IF(AND(#REF!&gt;=table!$C$10,#REF!&lt;= table!$D$10),-1,IF(AND(#REF!&gt;=table!$E$10,#REF!&lt;=table!$F$10),1,0))</f>
        <v>#REF!</v>
      </c>
      <c r="V1411" s="5" t="e">
        <f>IF(AND(#REF!&gt;=table!$C$11,#REF!&lt;= table!$D$11),-1,IF(AND(#REF!&gt;=table!$E$11,#REF!&lt;=table!$F$11),1,0))</f>
        <v>#REF!</v>
      </c>
      <c r="W1411" s="5" t="e">
        <f>CONCATENATE(dados[[#This Row],[fator1]],dados[[#This Row],[fator5]],dados[[#This Row],[fator6]])</f>
        <v>#REF!</v>
      </c>
    </row>
    <row r="1412" spans="1:23">
      <c r="A1412" t="s">
        <v>16</v>
      </c>
      <c r="B1412">
        <v>485014</v>
      </c>
      <c r="C1412">
        <v>0.15</v>
      </c>
      <c r="D1412">
        <v>40</v>
      </c>
      <c r="E1412">
        <v>65</v>
      </c>
      <c r="F1412">
        <v>10</v>
      </c>
      <c r="G1412">
        <v>0</v>
      </c>
      <c r="H1412">
        <v>35</v>
      </c>
      <c r="I1412">
        <v>884</v>
      </c>
      <c r="J1412">
        <v>0</v>
      </c>
      <c r="K1412">
        <v>3.286</v>
      </c>
      <c r="L1412">
        <v>14.877500000000001</v>
      </c>
      <c r="M1412">
        <v>12.847000000000001</v>
      </c>
      <c r="N1412">
        <v>16.295000000000002</v>
      </c>
      <c r="O1412">
        <v>1721</v>
      </c>
      <c r="P1412">
        <v>0</v>
      </c>
      <c r="Q1412" s="5" t="e">
        <f>IF(AND(#REF!&gt;=table!$C$6,#REF!&lt;= table!$D$6),-1,IF(AND(#REF!&gt;=table!$E$6,#REF!&lt;=table!$F$6),1,0))</f>
        <v>#REF!</v>
      </c>
      <c r="R1412" s="5" t="e">
        <f>IF(AND(#REF!&gt;=table!$C$7,#REF!&lt;= table!$D$7),-1,IF(AND(#REF!&gt;=table!$E$7,#REF!&lt;=table!$F$7),1,0))</f>
        <v>#REF!</v>
      </c>
      <c r="S1412" s="5" t="e">
        <f>IF(AND(#REF!&gt;=table!$C$8,#REF!&lt;= table!$D$8),-1,IF(AND(#REF!&gt;=table!$E$8,#REF!&lt;=table!$F$8),1,0))</f>
        <v>#REF!</v>
      </c>
      <c r="T1412" s="5"/>
      <c r="U1412" s="5" t="e">
        <f>IF(AND(#REF!&gt;=table!$C$10,#REF!&lt;= table!$D$10),-1,IF(AND(#REF!&gt;=table!$E$10,#REF!&lt;=table!$F$10),1,0))</f>
        <v>#REF!</v>
      </c>
      <c r="V1412" s="5" t="e">
        <f>IF(AND(#REF!&gt;=table!$C$11,#REF!&lt;= table!$D$11),-1,IF(AND(#REF!&gt;=table!$E$11,#REF!&lt;=table!$F$11),1,0))</f>
        <v>#REF!</v>
      </c>
      <c r="W1412" s="5" t="e">
        <f>CONCATENATE(dados[[#This Row],[fator1]],dados[[#This Row],[fator5]],dados[[#This Row],[fator6]])</f>
        <v>#REF!</v>
      </c>
    </row>
    <row r="1413" spans="1:23">
      <c r="A1413" t="s">
        <v>16</v>
      </c>
      <c r="B1413">
        <v>485019</v>
      </c>
      <c r="C1413">
        <v>0.15</v>
      </c>
      <c r="D1413">
        <v>40</v>
      </c>
      <c r="E1413">
        <v>64</v>
      </c>
      <c r="F1413">
        <v>10</v>
      </c>
      <c r="G1413">
        <v>0</v>
      </c>
      <c r="H1413">
        <v>35</v>
      </c>
      <c r="I1413">
        <v>1121</v>
      </c>
      <c r="J1413">
        <v>0</v>
      </c>
      <c r="K1413">
        <v>5.7177000000000007</v>
      </c>
      <c r="L1413">
        <v>18.336000000000002</v>
      </c>
      <c r="M1413">
        <v>16.702999999999999</v>
      </c>
      <c r="N1413">
        <v>20.059999999999999</v>
      </c>
      <c r="O1413">
        <v>1661</v>
      </c>
      <c r="P1413">
        <v>575</v>
      </c>
      <c r="Q1413" s="5" t="e">
        <f>IF(AND(#REF!&gt;=table!$C$6,#REF!&lt;= table!$D$6),-1,IF(AND(#REF!&gt;=table!$E$6,#REF!&lt;=table!$F$6),1,0))</f>
        <v>#REF!</v>
      </c>
      <c r="R1413" s="5" t="e">
        <f>IF(AND(#REF!&gt;=table!$C$7,#REF!&lt;= table!$D$7),-1,IF(AND(#REF!&gt;=table!$E$7,#REF!&lt;=table!$F$7),1,0))</f>
        <v>#REF!</v>
      </c>
      <c r="S1413" s="5" t="e">
        <f>IF(AND(#REF!&gt;=table!$C$8,#REF!&lt;= table!$D$8),-1,IF(AND(#REF!&gt;=table!$E$8,#REF!&lt;=table!$F$8),1,0))</f>
        <v>#REF!</v>
      </c>
      <c r="T1413" s="5"/>
      <c r="U1413" s="5" t="e">
        <f>IF(AND(#REF!&gt;=table!$C$10,#REF!&lt;= table!$D$10),-1,IF(AND(#REF!&gt;=table!$E$10,#REF!&lt;=table!$F$10),1,0))</f>
        <v>#REF!</v>
      </c>
      <c r="V1413" s="5" t="e">
        <f>IF(AND(#REF!&gt;=table!$C$11,#REF!&lt;= table!$D$11),-1,IF(AND(#REF!&gt;=table!$E$11,#REF!&lt;=table!$F$11),1,0))</f>
        <v>#REF!</v>
      </c>
      <c r="W1413" s="5" t="e">
        <f>CONCATENATE(dados[[#This Row],[fator1]],dados[[#This Row],[fator5]],dados[[#This Row],[fator6]])</f>
        <v>#REF!</v>
      </c>
    </row>
    <row r="1414" spans="1:23">
      <c r="A1414" t="s">
        <v>16</v>
      </c>
      <c r="B1414">
        <v>485041</v>
      </c>
      <c r="C1414">
        <v>0.15</v>
      </c>
      <c r="D1414">
        <v>40</v>
      </c>
      <c r="E1414">
        <v>10</v>
      </c>
      <c r="F1414">
        <v>15</v>
      </c>
      <c r="G1414">
        <v>0</v>
      </c>
      <c r="H1414">
        <v>15</v>
      </c>
      <c r="I1414">
        <v>591</v>
      </c>
      <c r="J1414">
        <v>0</v>
      </c>
      <c r="K1414">
        <v>7.5360000000000005</v>
      </c>
      <c r="L1414">
        <v>14.429500000000001</v>
      </c>
      <c r="M1414">
        <v>11.9275</v>
      </c>
      <c r="N1414">
        <v>12.48</v>
      </c>
      <c r="O1414">
        <v>1662</v>
      </c>
      <c r="P1414">
        <v>0</v>
      </c>
      <c r="Q1414" s="5" t="e">
        <f>IF(AND(#REF!&gt;=table!$C$6,#REF!&lt;= table!$D$6),-1,IF(AND(#REF!&gt;=table!$E$6,#REF!&lt;=table!$F$6),1,0))</f>
        <v>#REF!</v>
      </c>
      <c r="R1414" s="5" t="e">
        <f>IF(AND(#REF!&gt;=table!$C$7,#REF!&lt;= table!$D$7),-1,IF(AND(#REF!&gt;=table!$E$7,#REF!&lt;=table!$F$7),1,0))</f>
        <v>#REF!</v>
      </c>
      <c r="S1414" s="5" t="e">
        <f>IF(AND(#REF!&gt;=table!$C$8,#REF!&lt;= table!$D$8),-1,IF(AND(#REF!&gt;=table!$E$8,#REF!&lt;=table!$F$8),1,0))</f>
        <v>#REF!</v>
      </c>
      <c r="T1414" s="5"/>
      <c r="U1414" s="5" t="e">
        <f>IF(AND(#REF!&gt;=table!$C$10,#REF!&lt;= table!$D$10),-1,IF(AND(#REF!&gt;=table!$E$10,#REF!&lt;=table!$F$10),1,0))</f>
        <v>#REF!</v>
      </c>
      <c r="V1414" s="5" t="e">
        <f>IF(AND(#REF!&gt;=table!$C$11,#REF!&lt;= table!$D$11),-1,IF(AND(#REF!&gt;=table!$E$11,#REF!&lt;=table!$F$11),1,0))</f>
        <v>#REF!</v>
      </c>
      <c r="W1414" s="5" t="e">
        <f>CONCATENATE(dados[[#This Row],[fator1]],dados[[#This Row],[fator5]],dados[[#This Row],[fator6]])</f>
        <v>#REF!</v>
      </c>
    </row>
    <row r="1415" spans="1:23">
      <c r="A1415" t="s">
        <v>16</v>
      </c>
      <c r="B1415">
        <v>485043</v>
      </c>
      <c r="C1415">
        <v>0.15</v>
      </c>
      <c r="D1415">
        <v>40</v>
      </c>
      <c r="E1415">
        <v>10</v>
      </c>
      <c r="F1415">
        <v>15</v>
      </c>
      <c r="G1415">
        <v>0</v>
      </c>
      <c r="H1415">
        <v>15</v>
      </c>
      <c r="I1415">
        <v>820</v>
      </c>
      <c r="J1415">
        <v>710</v>
      </c>
      <c r="K1415">
        <v>2.601</v>
      </c>
      <c r="L1415">
        <v>5.2025000000000006</v>
      </c>
      <c r="M1415">
        <v>4.6459999999999999</v>
      </c>
      <c r="N1415">
        <v>12.42</v>
      </c>
      <c r="O1415">
        <v>1676</v>
      </c>
      <c r="P1415">
        <v>0</v>
      </c>
      <c r="Q1415" s="5" t="e">
        <f>IF(AND(#REF!&gt;=table!$C$6,#REF!&lt;= table!$D$6),-1,IF(AND(#REF!&gt;=table!$E$6,#REF!&lt;=table!$F$6),1,0))</f>
        <v>#REF!</v>
      </c>
      <c r="R1415" s="5" t="e">
        <f>IF(AND(#REF!&gt;=table!$C$7,#REF!&lt;= table!$D$7),-1,IF(AND(#REF!&gt;=table!$E$7,#REF!&lt;=table!$F$7),1,0))</f>
        <v>#REF!</v>
      </c>
      <c r="S1415" s="5" t="e">
        <f>IF(AND(#REF!&gt;=table!$C$8,#REF!&lt;= table!$D$8),-1,IF(AND(#REF!&gt;=table!$E$8,#REF!&lt;=table!$F$8),1,0))</f>
        <v>#REF!</v>
      </c>
      <c r="T1415" s="5"/>
      <c r="U1415" s="5" t="e">
        <f>IF(AND(#REF!&gt;=table!$C$10,#REF!&lt;= table!$D$10),-1,IF(AND(#REF!&gt;=table!$E$10,#REF!&lt;=table!$F$10),1,0))</f>
        <v>#REF!</v>
      </c>
      <c r="V1415" s="5" t="e">
        <f>IF(AND(#REF!&gt;=table!$C$11,#REF!&lt;= table!$D$11),-1,IF(AND(#REF!&gt;=table!$E$11,#REF!&lt;=table!$F$11),1,0))</f>
        <v>#REF!</v>
      </c>
      <c r="W1415" s="5" t="e">
        <f>CONCATENATE(dados[[#This Row],[fator1]],dados[[#This Row],[fator5]],dados[[#This Row],[fator6]])</f>
        <v>#REF!</v>
      </c>
    </row>
    <row r="1416" spans="1:23">
      <c r="A1416" t="s">
        <v>16</v>
      </c>
      <c r="B1416">
        <v>485066</v>
      </c>
      <c r="C1416">
        <v>0.15</v>
      </c>
      <c r="D1416">
        <v>40</v>
      </c>
      <c r="E1416">
        <v>10</v>
      </c>
      <c r="F1416">
        <v>15</v>
      </c>
      <c r="G1416">
        <v>0</v>
      </c>
      <c r="H1416">
        <v>15</v>
      </c>
      <c r="I1416">
        <v>1073</v>
      </c>
      <c r="J1416">
        <v>0</v>
      </c>
      <c r="K1416">
        <v>3.41</v>
      </c>
      <c r="L1416">
        <v>10</v>
      </c>
      <c r="M1416">
        <v>9.1364999999999998</v>
      </c>
      <c r="N1416">
        <v>8.2550000000000008</v>
      </c>
      <c r="O1416">
        <v>1664</v>
      </c>
      <c r="P1416">
        <v>801</v>
      </c>
      <c r="Q1416" s="5" t="e">
        <f>IF(AND(#REF!&gt;=table!$C$6,#REF!&lt;= table!$D$6),-1,IF(AND(#REF!&gt;=table!$E$6,#REF!&lt;=table!$F$6),1,0))</f>
        <v>#REF!</v>
      </c>
      <c r="R1416" s="5" t="e">
        <f>IF(AND(#REF!&gt;=table!$C$7,#REF!&lt;= table!$D$7),-1,IF(AND(#REF!&gt;=table!$E$7,#REF!&lt;=table!$F$7),1,0))</f>
        <v>#REF!</v>
      </c>
      <c r="S1416" s="5" t="e">
        <f>IF(AND(#REF!&gt;=table!$C$8,#REF!&lt;= table!$D$8),-1,IF(AND(#REF!&gt;=table!$E$8,#REF!&lt;=table!$F$8),1,0))</f>
        <v>#REF!</v>
      </c>
      <c r="T1416" s="5"/>
      <c r="U1416" s="5" t="e">
        <f>IF(AND(#REF!&gt;=table!$C$10,#REF!&lt;= table!$D$10),-1,IF(AND(#REF!&gt;=table!$E$10,#REF!&lt;=table!$F$10),1,0))</f>
        <v>#REF!</v>
      </c>
      <c r="V1416" s="5" t="e">
        <f>IF(AND(#REF!&gt;=table!$C$11,#REF!&lt;= table!$D$11),-1,IF(AND(#REF!&gt;=table!$E$11,#REF!&lt;=table!$F$11),1,0))</f>
        <v>#REF!</v>
      </c>
      <c r="W1416" s="5" t="e">
        <f>CONCATENATE(dados[[#This Row],[fator1]],dados[[#This Row],[fator5]],dados[[#This Row],[fator6]])</f>
        <v>#REF!</v>
      </c>
    </row>
    <row r="1417" spans="1:23">
      <c r="A1417" t="s">
        <v>16</v>
      </c>
      <c r="B1417">
        <v>485071</v>
      </c>
      <c r="C1417">
        <v>0.15</v>
      </c>
      <c r="D1417">
        <v>40</v>
      </c>
      <c r="E1417">
        <v>10</v>
      </c>
      <c r="F1417">
        <v>15</v>
      </c>
      <c r="G1417">
        <v>0</v>
      </c>
      <c r="H1417">
        <v>15</v>
      </c>
      <c r="I1417">
        <v>592</v>
      </c>
      <c r="J1417">
        <v>0</v>
      </c>
      <c r="K1417">
        <v>4.0465</v>
      </c>
      <c r="L1417">
        <v>8.8685000000000009</v>
      </c>
      <c r="M1417">
        <v>7.851</v>
      </c>
      <c r="N1417">
        <v>11.335000000000001</v>
      </c>
      <c r="O1417">
        <v>1638</v>
      </c>
      <c r="P1417">
        <v>610</v>
      </c>
      <c r="Q1417" s="5" t="e">
        <f>IF(AND(#REF!&gt;=table!$C$6,#REF!&lt;= table!$D$6),-1,IF(AND(#REF!&gt;=table!$E$6,#REF!&lt;=table!$F$6),1,0))</f>
        <v>#REF!</v>
      </c>
      <c r="R1417" s="5" t="e">
        <f>IF(AND(#REF!&gt;=table!$C$7,#REF!&lt;= table!$D$7),-1,IF(AND(#REF!&gt;=table!$E$7,#REF!&lt;=table!$F$7),1,0))</f>
        <v>#REF!</v>
      </c>
      <c r="S1417" s="5" t="e">
        <f>IF(AND(#REF!&gt;=table!$C$8,#REF!&lt;= table!$D$8),-1,IF(AND(#REF!&gt;=table!$E$8,#REF!&lt;=table!$F$8),1,0))</f>
        <v>#REF!</v>
      </c>
      <c r="T1417" s="5"/>
      <c r="U1417" s="5" t="e">
        <f>IF(AND(#REF!&gt;=table!$C$10,#REF!&lt;= table!$D$10),-1,IF(AND(#REF!&gt;=table!$E$10,#REF!&lt;=table!$F$10),1,0))</f>
        <v>#REF!</v>
      </c>
      <c r="V1417" s="5" t="e">
        <f>IF(AND(#REF!&gt;=table!$C$11,#REF!&lt;= table!$D$11),-1,IF(AND(#REF!&gt;=table!$E$11,#REF!&lt;=table!$F$11),1,0))</f>
        <v>#REF!</v>
      </c>
      <c r="W1417" s="5" t="e">
        <f>CONCATENATE(dados[[#This Row],[fator1]],dados[[#This Row],[fator5]],dados[[#This Row],[fator6]])</f>
        <v>#REF!</v>
      </c>
    </row>
    <row r="1418" spans="1:23">
      <c r="A1418" t="s">
        <v>17</v>
      </c>
      <c r="B1418">
        <v>485095</v>
      </c>
      <c r="C1418">
        <v>14</v>
      </c>
      <c r="D1418">
        <v>30</v>
      </c>
      <c r="E1418">
        <v>70</v>
      </c>
      <c r="F1418">
        <v>9</v>
      </c>
      <c r="G1418">
        <v>20</v>
      </c>
      <c r="H1418">
        <v>25</v>
      </c>
      <c r="I1418">
        <v>737</v>
      </c>
      <c r="J1418">
        <v>0</v>
      </c>
      <c r="K1418">
        <v>10.941000000000001</v>
      </c>
      <c r="L1418">
        <v>13.9465</v>
      </c>
      <c r="M1418">
        <v>65.884500000000003</v>
      </c>
      <c r="N1418">
        <v>15.97</v>
      </c>
      <c r="O1418">
        <v>1655</v>
      </c>
      <c r="P1418">
        <v>301</v>
      </c>
      <c r="Q1418" s="5" t="e">
        <f>IF(AND(#REF!&gt;=table!$C$6,#REF!&lt;= table!$D$6),-1,IF(AND(#REF!&gt;=table!$E$6,#REF!&lt;=table!$F$6),1,0))</f>
        <v>#REF!</v>
      </c>
      <c r="R1418" s="5" t="e">
        <f>IF(AND(#REF!&gt;=table!$C$7,#REF!&lt;= table!$D$7),-1,IF(AND(#REF!&gt;=table!$E$7,#REF!&lt;=table!$F$7),1,0))</f>
        <v>#REF!</v>
      </c>
      <c r="S1418" s="5" t="e">
        <f>IF(AND(#REF!&gt;=table!$C$8,#REF!&lt;= table!$D$8),-1,IF(AND(#REF!&gt;=table!$E$8,#REF!&lt;=table!$F$8),1,0))</f>
        <v>#REF!</v>
      </c>
      <c r="T1418" s="5"/>
      <c r="U1418" s="5" t="e">
        <f>IF(AND(#REF!&gt;=table!$C$10,#REF!&lt;= table!$D$10),-1,IF(AND(#REF!&gt;=table!$E$10,#REF!&lt;=table!$F$10),1,0))</f>
        <v>#REF!</v>
      </c>
      <c r="V1418" s="5" t="e">
        <f>IF(AND(#REF!&gt;=table!$C$11,#REF!&lt;= table!$D$11),-1,IF(AND(#REF!&gt;=table!$E$11,#REF!&lt;=table!$F$11),1,0))</f>
        <v>#REF!</v>
      </c>
      <c r="W1418" s="5" t="e">
        <f>CONCATENATE(dados[[#This Row],[fator1]],dados[[#This Row],[fator5]],dados[[#This Row],[fator6]])</f>
        <v>#REF!</v>
      </c>
    </row>
    <row r="1419" spans="1:23">
      <c r="A1419" t="s">
        <v>17</v>
      </c>
      <c r="B1419">
        <v>485098</v>
      </c>
      <c r="C1419">
        <v>16</v>
      </c>
      <c r="D1419">
        <v>30</v>
      </c>
      <c r="E1419">
        <v>106</v>
      </c>
      <c r="F1419">
        <v>9</v>
      </c>
      <c r="G1419">
        <v>20</v>
      </c>
      <c r="H1419">
        <v>25</v>
      </c>
      <c r="I1419">
        <v>96</v>
      </c>
      <c r="J1419">
        <v>0</v>
      </c>
      <c r="K1419">
        <v>6.5434999999999999</v>
      </c>
      <c r="L1419">
        <v>14.185</v>
      </c>
      <c r="M1419">
        <v>100.5265</v>
      </c>
      <c r="N1419">
        <v>14.86</v>
      </c>
      <c r="O1419">
        <v>1645</v>
      </c>
      <c r="P1419">
        <v>324</v>
      </c>
      <c r="Q1419" s="5" t="e">
        <f>IF(AND(#REF!&gt;=table!$C$6,#REF!&lt;= table!$D$6),-1,IF(AND(#REF!&gt;=table!$E$6,#REF!&lt;=table!$F$6),1,0))</f>
        <v>#REF!</v>
      </c>
      <c r="R1419" s="5" t="e">
        <f>IF(AND(#REF!&gt;=table!$C$7,#REF!&lt;= table!$D$7),-1,IF(AND(#REF!&gt;=table!$E$7,#REF!&lt;=table!$F$7),1,0))</f>
        <v>#REF!</v>
      </c>
      <c r="S1419" s="5" t="e">
        <f>IF(AND(#REF!&gt;=table!$C$8,#REF!&lt;= table!$D$8),-1,IF(AND(#REF!&gt;=table!$E$8,#REF!&lt;=table!$F$8),1,0))</f>
        <v>#REF!</v>
      </c>
      <c r="T1419" s="5"/>
      <c r="U1419" s="5" t="e">
        <f>IF(AND(#REF!&gt;=table!$C$10,#REF!&lt;= table!$D$10),-1,IF(AND(#REF!&gt;=table!$E$10,#REF!&lt;=table!$F$10),1,0))</f>
        <v>#REF!</v>
      </c>
      <c r="V1419" s="5" t="e">
        <f>IF(AND(#REF!&gt;=table!$C$11,#REF!&lt;= table!$D$11),-1,IF(AND(#REF!&gt;=table!$E$11,#REF!&lt;=table!$F$11),1,0))</f>
        <v>#REF!</v>
      </c>
      <c r="W1419" s="5" t="e">
        <f>CONCATENATE(dados[[#This Row],[fator1]],dados[[#This Row],[fator5]],dados[[#This Row],[fator6]])</f>
        <v>#REF!</v>
      </c>
    </row>
    <row r="1420" spans="1:23">
      <c r="A1420" t="s">
        <v>16</v>
      </c>
      <c r="B1420">
        <v>485107</v>
      </c>
      <c r="C1420">
        <v>0.15</v>
      </c>
      <c r="D1420">
        <v>35</v>
      </c>
      <c r="E1420">
        <v>15</v>
      </c>
      <c r="F1420">
        <v>10</v>
      </c>
      <c r="G1420">
        <v>0</v>
      </c>
      <c r="H1420">
        <v>12</v>
      </c>
      <c r="I1420">
        <v>889</v>
      </c>
      <c r="J1420">
        <v>0</v>
      </c>
      <c r="K1420">
        <v>3.2495000000000003</v>
      </c>
      <c r="L1420">
        <v>7.8580000000000005</v>
      </c>
      <c r="M1420">
        <v>7.327</v>
      </c>
      <c r="N1420">
        <v>8.91</v>
      </c>
      <c r="O1420">
        <v>1676</v>
      </c>
      <c r="P1420">
        <v>0</v>
      </c>
      <c r="Q1420" s="5" t="e">
        <f>IF(AND(#REF!&gt;=table!$C$6,#REF!&lt;= table!$D$6),-1,IF(AND(#REF!&gt;=table!$E$6,#REF!&lt;=table!$F$6),1,0))</f>
        <v>#REF!</v>
      </c>
      <c r="R1420" s="5" t="e">
        <f>IF(AND(#REF!&gt;=table!$C$7,#REF!&lt;= table!$D$7),-1,IF(AND(#REF!&gt;=table!$E$7,#REF!&lt;=table!$F$7),1,0))</f>
        <v>#REF!</v>
      </c>
      <c r="S1420" s="5" t="e">
        <f>IF(AND(#REF!&gt;=table!$C$8,#REF!&lt;= table!$D$8),-1,IF(AND(#REF!&gt;=table!$E$8,#REF!&lt;=table!$F$8),1,0))</f>
        <v>#REF!</v>
      </c>
      <c r="T1420" s="5"/>
      <c r="U1420" s="5" t="e">
        <f>IF(AND(#REF!&gt;=table!$C$10,#REF!&lt;= table!$D$10),-1,IF(AND(#REF!&gt;=table!$E$10,#REF!&lt;=table!$F$10),1,0))</f>
        <v>#REF!</v>
      </c>
      <c r="V1420" s="5" t="e">
        <f>IF(AND(#REF!&gt;=table!$C$11,#REF!&lt;= table!$D$11),-1,IF(AND(#REF!&gt;=table!$E$11,#REF!&lt;=table!$F$11),1,0))</f>
        <v>#REF!</v>
      </c>
      <c r="W1420" s="5" t="e">
        <f>CONCATENATE(dados[[#This Row],[fator1]],dados[[#This Row],[fator5]],dados[[#This Row],[fator6]])</f>
        <v>#REF!</v>
      </c>
    </row>
    <row r="1421" spans="1:23">
      <c r="A1421" t="s">
        <v>16</v>
      </c>
      <c r="B1421">
        <v>485108</v>
      </c>
      <c r="C1421">
        <v>0.15</v>
      </c>
      <c r="D1421">
        <v>35</v>
      </c>
      <c r="E1421">
        <v>15</v>
      </c>
      <c r="F1421">
        <v>10</v>
      </c>
      <c r="G1421">
        <v>0</v>
      </c>
      <c r="H1421">
        <v>12</v>
      </c>
      <c r="I1421">
        <v>69</v>
      </c>
      <c r="J1421">
        <v>0</v>
      </c>
      <c r="K1421">
        <v>3.0975000000000001</v>
      </c>
      <c r="L1421">
        <v>10.2555</v>
      </c>
      <c r="M1421">
        <v>9.0280000000000005</v>
      </c>
      <c r="N1421">
        <v>10.765000000000001</v>
      </c>
      <c r="O1421">
        <v>1683</v>
      </c>
      <c r="P1421">
        <v>0</v>
      </c>
      <c r="Q1421" s="5" t="e">
        <f>IF(AND(#REF!&gt;=table!$C$6,#REF!&lt;= table!$D$6),-1,IF(AND(#REF!&gt;=table!$E$6,#REF!&lt;=table!$F$6),1,0))</f>
        <v>#REF!</v>
      </c>
      <c r="R1421" s="5" t="e">
        <f>IF(AND(#REF!&gt;=table!$C$7,#REF!&lt;= table!$D$7),-1,IF(AND(#REF!&gt;=table!$E$7,#REF!&lt;=table!$F$7),1,0))</f>
        <v>#REF!</v>
      </c>
      <c r="S1421" s="5" t="e">
        <f>IF(AND(#REF!&gt;=table!$C$8,#REF!&lt;= table!$D$8),-1,IF(AND(#REF!&gt;=table!$E$8,#REF!&lt;=table!$F$8),1,0))</f>
        <v>#REF!</v>
      </c>
      <c r="T1421" s="5"/>
      <c r="U1421" s="5" t="e">
        <f>IF(AND(#REF!&gt;=table!$C$10,#REF!&lt;= table!$D$10),-1,IF(AND(#REF!&gt;=table!$E$10,#REF!&lt;=table!$F$10),1,0))</f>
        <v>#REF!</v>
      </c>
      <c r="V1421" s="5" t="e">
        <f>IF(AND(#REF!&gt;=table!$C$11,#REF!&lt;= table!$D$11),-1,IF(AND(#REF!&gt;=table!$E$11,#REF!&lt;=table!$F$11),1,0))</f>
        <v>#REF!</v>
      </c>
      <c r="W1421" s="5" t="e">
        <f>CONCATENATE(dados[[#This Row],[fator1]],dados[[#This Row],[fator5]],dados[[#This Row],[fator6]])</f>
        <v>#REF!</v>
      </c>
    </row>
    <row r="1422" spans="1:23">
      <c r="A1422" t="s">
        <v>17</v>
      </c>
      <c r="B1422">
        <v>485125</v>
      </c>
      <c r="C1422">
        <v>14</v>
      </c>
      <c r="D1422">
        <v>30</v>
      </c>
      <c r="E1422">
        <v>110</v>
      </c>
      <c r="F1422">
        <v>3</v>
      </c>
      <c r="G1422">
        <v>20</v>
      </c>
      <c r="H1422">
        <v>22</v>
      </c>
      <c r="I1422">
        <v>815</v>
      </c>
      <c r="J1422">
        <v>0</v>
      </c>
      <c r="K1422">
        <v>4.7869999999999999</v>
      </c>
      <c r="L1422">
        <v>10.925000000000001</v>
      </c>
      <c r="M1422">
        <v>88.367500000000007</v>
      </c>
      <c r="N1422">
        <v>14.465</v>
      </c>
      <c r="O1422">
        <v>1682</v>
      </c>
      <c r="P1422">
        <v>569</v>
      </c>
      <c r="Q1422" s="5" t="e">
        <f>IF(AND(#REF!&gt;=table!$C$6,#REF!&lt;= table!$D$6),-1,IF(AND(#REF!&gt;=table!$E$6,#REF!&lt;=table!$F$6),1,0))</f>
        <v>#REF!</v>
      </c>
      <c r="R1422" s="5" t="e">
        <f>IF(AND(#REF!&gt;=table!$C$7,#REF!&lt;= table!$D$7),-1,IF(AND(#REF!&gt;=table!$E$7,#REF!&lt;=table!$F$7),1,0))</f>
        <v>#REF!</v>
      </c>
      <c r="S1422" s="5" t="e">
        <f>IF(AND(#REF!&gt;=table!$C$8,#REF!&lt;= table!$D$8),-1,IF(AND(#REF!&gt;=table!$E$8,#REF!&lt;=table!$F$8),1,0))</f>
        <v>#REF!</v>
      </c>
      <c r="T1422" s="5"/>
      <c r="U1422" s="5" t="e">
        <f>IF(AND(#REF!&gt;=table!$C$10,#REF!&lt;= table!$D$10),-1,IF(AND(#REF!&gt;=table!$E$10,#REF!&lt;=table!$F$10),1,0))</f>
        <v>#REF!</v>
      </c>
      <c r="V1422" s="5" t="e">
        <f>IF(AND(#REF!&gt;=table!$C$11,#REF!&lt;= table!$D$11),-1,IF(AND(#REF!&gt;=table!$E$11,#REF!&lt;=table!$F$11),1,0))</f>
        <v>#REF!</v>
      </c>
      <c r="W1422" s="5" t="e">
        <f>CONCATENATE(dados[[#This Row],[fator1]],dados[[#This Row],[fator5]],dados[[#This Row],[fator6]])</f>
        <v>#REF!</v>
      </c>
    </row>
    <row r="1423" spans="1:23">
      <c r="A1423" t="s">
        <v>17</v>
      </c>
      <c r="B1423">
        <v>485126</v>
      </c>
      <c r="C1423">
        <v>14</v>
      </c>
      <c r="D1423">
        <v>30</v>
      </c>
      <c r="E1423">
        <v>110</v>
      </c>
      <c r="F1423">
        <v>3</v>
      </c>
      <c r="G1423">
        <v>20</v>
      </c>
      <c r="H1423">
        <v>22</v>
      </c>
      <c r="I1423">
        <v>827</v>
      </c>
      <c r="J1423">
        <v>360</v>
      </c>
      <c r="K1423">
        <v>4.8100000000000005</v>
      </c>
      <c r="L1423">
        <v>14.204500000000001</v>
      </c>
      <c r="M1423">
        <v>106.6905</v>
      </c>
      <c r="N1423">
        <v>15.635000000000002</v>
      </c>
      <c r="O1423">
        <v>1689</v>
      </c>
      <c r="P1423">
        <v>593</v>
      </c>
      <c r="Q1423" s="5" t="e">
        <f>IF(AND(#REF!&gt;=table!$C$6,#REF!&lt;= table!$D$6),-1,IF(AND(#REF!&gt;=table!$E$6,#REF!&lt;=table!$F$6),1,0))</f>
        <v>#REF!</v>
      </c>
      <c r="R1423" s="5" t="e">
        <f>IF(AND(#REF!&gt;=table!$C$7,#REF!&lt;= table!$D$7),-1,IF(AND(#REF!&gt;=table!$E$7,#REF!&lt;=table!$F$7),1,0))</f>
        <v>#REF!</v>
      </c>
      <c r="S1423" s="5" t="e">
        <f>IF(AND(#REF!&gt;=table!$C$8,#REF!&lt;= table!$D$8),-1,IF(AND(#REF!&gt;=table!$E$8,#REF!&lt;=table!$F$8),1,0))</f>
        <v>#REF!</v>
      </c>
      <c r="T1423" s="5"/>
      <c r="U1423" s="5" t="e">
        <f>IF(AND(#REF!&gt;=table!$C$10,#REF!&lt;= table!$D$10),-1,IF(AND(#REF!&gt;=table!$E$10,#REF!&lt;=table!$F$10),1,0))</f>
        <v>#REF!</v>
      </c>
      <c r="V1423" s="5" t="e">
        <f>IF(AND(#REF!&gt;=table!$C$11,#REF!&lt;= table!$D$11),-1,IF(AND(#REF!&gt;=table!$E$11,#REF!&lt;=table!$F$11),1,0))</f>
        <v>#REF!</v>
      </c>
      <c r="W1423" s="5" t="e">
        <f>CONCATENATE(dados[[#This Row],[fator1]],dados[[#This Row],[fator5]],dados[[#This Row],[fator6]])</f>
        <v>#REF!</v>
      </c>
    </row>
    <row r="1424" spans="1:23">
      <c r="A1424" t="s">
        <v>17</v>
      </c>
      <c r="B1424">
        <v>485127</v>
      </c>
      <c r="C1424">
        <v>14</v>
      </c>
      <c r="D1424">
        <v>30</v>
      </c>
      <c r="E1424">
        <v>110</v>
      </c>
      <c r="F1424">
        <v>3</v>
      </c>
      <c r="G1424">
        <v>20</v>
      </c>
      <c r="H1424">
        <v>22</v>
      </c>
      <c r="I1424">
        <v>973</v>
      </c>
      <c r="J1424">
        <v>560</v>
      </c>
      <c r="K1424">
        <v>5.1604999999999999</v>
      </c>
      <c r="L1424">
        <v>10.753</v>
      </c>
      <c r="M1424">
        <v>64.23830000000001</v>
      </c>
      <c r="N1424">
        <v>11.685</v>
      </c>
      <c r="O1424">
        <v>1656</v>
      </c>
      <c r="P1424">
        <v>445</v>
      </c>
      <c r="Q1424" s="5" t="e">
        <f>IF(AND(#REF!&gt;=table!$C$6,#REF!&lt;= table!$D$6),-1,IF(AND(#REF!&gt;=table!$E$6,#REF!&lt;=table!$F$6),1,0))</f>
        <v>#REF!</v>
      </c>
      <c r="R1424" s="5" t="e">
        <f>IF(AND(#REF!&gt;=table!$C$7,#REF!&lt;= table!$D$7),-1,IF(AND(#REF!&gt;=table!$E$7,#REF!&lt;=table!$F$7),1,0))</f>
        <v>#REF!</v>
      </c>
      <c r="S1424" s="5" t="e">
        <f>IF(AND(#REF!&gt;=table!$C$8,#REF!&lt;= table!$D$8),-1,IF(AND(#REF!&gt;=table!$E$8,#REF!&lt;=table!$F$8),1,0))</f>
        <v>#REF!</v>
      </c>
      <c r="T1424" s="5"/>
      <c r="U1424" s="5" t="e">
        <f>IF(AND(#REF!&gt;=table!$C$10,#REF!&lt;= table!$D$10),-1,IF(AND(#REF!&gt;=table!$E$10,#REF!&lt;=table!$F$10),1,0))</f>
        <v>#REF!</v>
      </c>
      <c r="V1424" s="5" t="e">
        <f>IF(AND(#REF!&gt;=table!$C$11,#REF!&lt;= table!$D$11),-1,IF(AND(#REF!&gt;=table!$E$11,#REF!&lt;=table!$F$11),1,0))</f>
        <v>#REF!</v>
      </c>
      <c r="W1424" s="5" t="e">
        <f>CONCATENATE(dados[[#This Row],[fator1]],dados[[#This Row],[fator5]],dados[[#This Row],[fator6]])</f>
        <v>#REF!</v>
      </c>
    </row>
    <row r="1425" spans="1:23">
      <c r="A1425" t="s">
        <v>17</v>
      </c>
      <c r="B1425">
        <v>485128</v>
      </c>
      <c r="C1425">
        <v>14</v>
      </c>
      <c r="D1425">
        <v>30</v>
      </c>
      <c r="E1425">
        <v>110</v>
      </c>
      <c r="F1425">
        <v>3</v>
      </c>
      <c r="G1425">
        <v>20</v>
      </c>
      <c r="H1425">
        <v>22</v>
      </c>
      <c r="I1425">
        <v>3</v>
      </c>
      <c r="J1425">
        <v>0</v>
      </c>
      <c r="K1425">
        <v>5.1175000000000006</v>
      </c>
      <c r="L1425">
        <v>10.2425</v>
      </c>
      <c r="M1425">
        <v>56.093500000000006</v>
      </c>
      <c r="N1425">
        <v>12.31</v>
      </c>
      <c r="O1425">
        <v>1669</v>
      </c>
      <c r="P1425">
        <v>539</v>
      </c>
      <c r="Q1425" s="5" t="e">
        <f>IF(AND(#REF!&gt;=table!$C$6,#REF!&lt;= table!$D$6),-1,IF(AND(#REF!&gt;=table!$E$6,#REF!&lt;=table!$F$6),1,0))</f>
        <v>#REF!</v>
      </c>
      <c r="R1425" s="5" t="e">
        <f>IF(AND(#REF!&gt;=table!$C$7,#REF!&lt;= table!$D$7),-1,IF(AND(#REF!&gt;=table!$E$7,#REF!&lt;=table!$F$7),1,0))</f>
        <v>#REF!</v>
      </c>
      <c r="S1425" s="5" t="e">
        <f>IF(AND(#REF!&gt;=table!$C$8,#REF!&lt;= table!$D$8),-1,IF(AND(#REF!&gt;=table!$E$8,#REF!&lt;=table!$F$8),1,0))</f>
        <v>#REF!</v>
      </c>
      <c r="T1425" s="5"/>
      <c r="U1425" s="5" t="e">
        <f>IF(AND(#REF!&gt;=table!$C$10,#REF!&lt;= table!$D$10),-1,IF(AND(#REF!&gt;=table!$E$10,#REF!&lt;=table!$F$10),1,0))</f>
        <v>#REF!</v>
      </c>
      <c r="V1425" s="5" t="e">
        <f>IF(AND(#REF!&gt;=table!$C$11,#REF!&lt;= table!$D$11),-1,IF(AND(#REF!&gt;=table!$E$11,#REF!&lt;=table!$F$11),1,0))</f>
        <v>#REF!</v>
      </c>
      <c r="W1425" s="5" t="e">
        <f>CONCATENATE(dados[[#This Row],[fator1]],dados[[#This Row],[fator5]],dados[[#This Row],[fator6]])</f>
        <v>#REF!</v>
      </c>
    </row>
    <row r="1426" spans="1:23">
      <c r="A1426" t="s">
        <v>16</v>
      </c>
      <c r="B1426">
        <v>485129</v>
      </c>
      <c r="C1426">
        <v>4</v>
      </c>
      <c r="D1426">
        <v>40</v>
      </c>
      <c r="E1426">
        <v>21</v>
      </c>
      <c r="F1426">
        <v>10</v>
      </c>
      <c r="G1426">
        <v>0</v>
      </c>
      <c r="H1426">
        <v>25</v>
      </c>
      <c r="I1426">
        <v>803</v>
      </c>
      <c r="J1426">
        <v>0</v>
      </c>
      <c r="K1426">
        <v>5.5325000000000006</v>
      </c>
      <c r="L1426">
        <v>13.248000000000001</v>
      </c>
      <c r="M1426">
        <v>11.8995</v>
      </c>
      <c r="N1426">
        <v>10.985000000000001</v>
      </c>
      <c r="O1426">
        <v>1676</v>
      </c>
      <c r="P1426">
        <v>0</v>
      </c>
      <c r="Q1426" s="5" t="e">
        <f>IF(AND(#REF!&gt;=table!$C$6,#REF!&lt;= table!$D$6),-1,IF(AND(#REF!&gt;=table!$E$6,#REF!&lt;=table!$F$6),1,0))</f>
        <v>#REF!</v>
      </c>
      <c r="R1426" s="5" t="e">
        <f>IF(AND(#REF!&gt;=table!$C$7,#REF!&lt;= table!$D$7),-1,IF(AND(#REF!&gt;=table!$E$7,#REF!&lt;=table!$F$7),1,0))</f>
        <v>#REF!</v>
      </c>
      <c r="S1426" s="5" t="e">
        <f>IF(AND(#REF!&gt;=table!$C$8,#REF!&lt;= table!$D$8),-1,IF(AND(#REF!&gt;=table!$E$8,#REF!&lt;=table!$F$8),1,0))</f>
        <v>#REF!</v>
      </c>
      <c r="T1426" s="5"/>
      <c r="U1426" s="5" t="e">
        <f>IF(AND(#REF!&gt;=table!$C$10,#REF!&lt;= table!$D$10),-1,IF(AND(#REF!&gt;=table!$E$10,#REF!&lt;=table!$F$10),1,0))</f>
        <v>#REF!</v>
      </c>
      <c r="V1426" s="5" t="e">
        <f>IF(AND(#REF!&gt;=table!$C$11,#REF!&lt;= table!$D$11),-1,IF(AND(#REF!&gt;=table!$E$11,#REF!&lt;=table!$F$11),1,0))</f>
        <v>#REF!</v>
      </c>
      <c r="W1426" s="5" t="e">
        <f>CONCATENATE(dados[[#This Row],[fator1]],dados[[#This Row],[fator5]],dados[[#This Row],[fator6]])</f>
        <v>#REF!</v>
      </c>
    </row>
    <row r="1427" spans="1:23">
      <c r="A1427" t="s">
        <v>16</v>
      </c>
      <c r="B1427">
        <v>485130</v>
      </c>
      <c r="C1427">
        <v>4</v>
      </c>
      <c r="D1427">
        <v>40</v>
      </c>
      <c r="E1427">
        <v>21</v>
      </c>
      <c r="F1427">
        <v>10</v>
      </c>
      <c r="G1427">
        <v>0</v>
      </c>
      <c r="H1427">
        <v>25</v>
      </c>
      <c r="I1427">
        <v>711</v>
      </c>
      <c r="J1427">
        <v>0</v>
      </c>
      <c r="K1427">
        <v>9.8930000000000007</v>
      </c>
      <c r="L1427">
        <v>15.079000000000001</v>
      </c>
      <c r="M1427">
        <v>12.5915</v>
      </c>
      <c r="N1427">
        <v>9.3450000000000006</v>
      </c>
      <c r="O1427">
        <v>1639</v>
      </c>
      <c r="P1427">
        <v>287</v>
      </c>
      <c r="Q1427" s="5" t="e">
        <f>IF(AND(#REF!&gt;=table!$C$6,#REF!&lt;= table!$D$6),-1,IF(AND(#REF!&gt;=table!$E$6,#REF!&lt;=table!$F$6),1,0))</f>
        <v>#REF!</v>
      </c>
      <c r="R1427" s="5" t="e">
        <f>IF(AND(#REF!&gt;=table!$C$7,#REF!&lt;= table!$D$7),-1,IF(AND(#REF!&gt;=table!$E$7,#REF!&lt;=table!$F$7),1,0))</f>
        <v>#REF!</v>
      </c>
      <c r="S1427" s="5" t="e">
        <f>IF(AND(#REF!&gt;=table!$C$8,#REF!&lt;= table!$D$8),-1,IF(AND(#REF!&gt;=table!$E$8,#REF!&lt;=table!$F$8),1,0))</f>
        <v>#REF!</v>
      </c>
      <c r="T1427" s="5"/>
      <c r="U1427" s="5" t="e">
        <f>IF(AND(#REF!&gt;=table!$C$10,#REF!&lt;= table!$D$10),-1,IF(AND(#REF!&gt;=table!$E$10,#REF!&lt;=table!$F$10),1,0))</f>
        <v>#REF!</v>
      </c>
      <c r="V1427" s="5" t="e">
        <f>IF(AND(#REF!&gt;=table!$C$11,#REF!&lt;= table!$D$11),-1,IF(AND(#REF!&gt;=table!$E$11,#REF!&lt;=table!$F$11),1,0))</f>
        <v>#REF!</v>
      </c>
      <c r="W1427" s="5" t="e">
        <f>CONCATENATE(dados[[#This Row],[fator1]],dados[[#This Row],[fator5]],dados[[#This Row],[fator6]])</f>
        <v>#REF!</v>
      </c>
    </row>
    <row r="1428" spans="1:23">
      <c r="A1428" t="s">
        <v>17</v>
      </c>
      <c r="B1428">
        <v>485132</v>
      </c>
      <c r="C1428">
        <v>14</v>
      </c>
      <c r="D1428">
        <v>30</v>
      </c>
      <c r="E1428">
        <v>110</v>
      </c>
      <c r="F1428">
        <v>3</v>
      </c>
      <c r="G1428">
        <v>20</v>
      </c>
      <c r="H1428">
        <v>22</v>
      </c>
      <c r="I1428">
        <v>855</v>
      </c>
      <c r="J1428">
        <v>930</v>
      </c>
      <c r="K1428">
        <v>14.4885</v>
      </c>
      <c r="L1428">
        <v>18.919499999999999</v>
      </c>
      <c r="M1428">
        <v>90.985500000000002</v>
      </c>
      <c r="N1428">
        <v>12.675000000000001</v>
      </c>
      <c r="O1428">
        <v>1665</v>
      </c>
      <c r="P1428">
        <v>0</v>
      </c>
      <c r="Q1428" s="5" t="e">
        <f>IF(AND(#REF!&gt;=table!$C$6,#REF!&lt;= table!$D$6),-1,IF(AND(#REF!&gt;=table!$E$6,#REF!&lt;=table!$F$6),1,0))</f>
        <v>#REF!</v>
      </c>
      <c r="R1428" s="5" t="e">
        <f>IF(AND(#REF!&gt;=table!$C$7,#REF!&lt;= table!$D$7),-1,IF(AND(#REF!&gt;=table!$E$7,#REF!&lt;=table!$F$7),1,0))</f>
        <v>#REF!</v>
      </c>
      <c r="S1428" s="5" t="e">
        <f>IF(AND(#REF!&gt;=table!$C$8,#REF!&lt;= table!$D$8),-1,IF(AND(#REF!&gt;=table!$E$8,#REF!&lt;=table!$F$8),1,0))</f>
        <v>#REF!</v>
      </c>
      <c r="T1428" s="5"/>
      <c r="U1428" s="5" t="e">
        <f>IF(AND(#REF!&gt;=table!$C$10,#REF!&lt;= table!$D$10),-1,IF(AND(#REF!&gt;=table!$E$10,#REF!&lt;=table!$F$10),1,0))</f>
        <v>#REF!</v>
      </c>
      <c r="V1428" s="5" t="e">
        <f>IF(AND(#REF!&gt;=table!$C$11,#REF!&lt;= table!$D$11),-1,IF(AND(#REF!&gt;=table!$E$11,#REF!&lt;=table!$F$11),1,0))</f>
        <v>#REF!</v>
      </c>
      <c r="W1428" s="5" t="e">
        <f>CONCATENATE(dados[[#This Row],[fator1]],dados[[#This Row],[fator5]],dados[[#This Row],[fator6]])</f>
        <v>#REF!</v>
      </c>
    </row>
    <row r="1429" spans="1:23">
      <c r="A1429" t="s">
        <v>17</v>
      </c>
      <c r="B1429">
        <v>485133</v>
      </c>
      <c r="C1429">
        <v>14</v>
      </c>
      <c r="D1429">
        <v>30</v>
      </c>
      <c r="E1429">
        <v>110</v>
      </c>
      <c r="F1429">
        <v>3</v>
      </c>
      <c r="G1429">
        <v>20</v>
      </c>
      <c r="H1429">
        <v>22</v>
      </c>
      <c r="I1429">
        <v>874</v>
      </c>
      <c r="J1429">
        <v>0</v>
      </c>
      <c r="K1429">
        <v>6.74</v>
      </c>
      <c r="L1429">
        <v>15.1135</v>
      </c>
      <c r="M1429">
        <v>81.784500000000008</v>
      </c>
      <c r="N1429">
        <v>12.870000000000001</v>
      </c>
      <c r="O1429">
        <v>1678</v>
      </c>
      <c r="P1429">
        <v>458</v>
      </c>
      <c r="Q1429" s="5" t="e">
        <f>IF(AND(#REF!&gt;=table!$C$6,#REF!&lt;= table!$D$6),-1,IF(AND(#REF!&gt;=table!$E$6,#REF!&lt;=table!$F$6),1,0))</f>
        <v>#REF!</v>
      </c>
      <c r="R1429" s="5" t="e">
        <f>IF(AND(#REF!&gt;=table!$C$7,#REF!&lt;= table!$D$7),-1,IF(AND(#REF!&gt;=table!$E$7,#REF!&lt;=table!$F$7),1,0))</f>
        <v>#REF!</v>
      </c>
      <c r="S1429" s="5" t="e">
        <f>IF(AND(#REF!&gt;=table!$C$8,#REF!&lt;= table!$D$8),-1,IF(AND(#REF!&gt;=table!$E$8,#REF!&lt;=table!$F$8),1,0))</f>
        <v>#REF!</v>
      </c>
      <c r="T1429" s="5"/>
      <c r="U1429" s="5" t="e">
        <f>IF(AND(#REF!&gt;=table!$C$10,#REF!&lt;= table!$D$10),-1,IF(AND(#REF!&gt;=table!$E$10,#REF!&lt;=table!$F$10),1,0))</f>
        <v>#REF!</v>
      </c>
      <c r="V1429" s="5" t="e">
        <f>IF(AND(#REF!&gt;=table!$C$11,#REF!&lt;= table!$D$11),-1,IF(AND(#REF!&gt;=table!$E$11,#REF!&lt;=table!$F$11),1,0))</f>
        <v>#REF!</v>
      </c>
      <c r="W1429" s="5" t="e">
        <f>CONCATENATE(dados[[#This Row],[fator1]],dados[[#This Row],[fator5]],dados[[#This Row],[fator6]])</f>
        <v>#REF!</v>
      </c>
    </row>
    <row r="1430" spans="1:23">
      <c r="A1430" t="s">
        <v>17</v>
      </c>
      <c r="B1430">
        <v>485137</v>
      </c>
      <c r="C1430">
        <v>18</v>
      </c>
      <c r="D1430">
        <v>23</v>
      </c>
      <c r="E1430">
        <v>145</v>
      </c>
      <c r="F1430">
        <v>4</v>
      </c>
      <c r="G1430">
        <v>30</v>
      </c>
      <c r="H1430">
        <v>25</v>
      </c>
      <c r="I1430">
        <v>1045</v>
      </c>
      <c r="J1430">
        <v>0</v>
      </c>
      <c r="K1430">
        <v>5.391</v>
      </c>
      <c r="L1430">
        <v>14.447000000000001</v>
      </c>
      <c r="M1430">
        <v>140.4315</v>
      </c>
      <c r="N1430">
        <v>17.47</v>
      </c>
      <c r="O1430">
        <v>1675</v>
      </c>
      <c r="P1430">
        <v>549</v>
      </c>
      <c r="Q1430" s="5" t="e">
        <f>IF(AND(#REF!&gt;=table!$C$6,#REF!&lt;= table!$D$6),-1,IF(AND(#REF!&gt;=table!$E$6,#REF!&lt;=table!$F$6),1,0))</f>
        <v>#REF!</v>
      </c>
      <c r="R1430" s="5" t="e">
        <f>IF(AND(#REF!&gt;=table!$C$7,#REF!&lt;= table!$D$7),-1,IF(AND(#REF!&gt;=table!$E$7,#REF!&lt;=table!$F$7),1,0))</f>
        <v>#REF!</v>
      </c>
      <c r="S1430" s="5" t="e">
        <f>IF(AND(#REF!&gt;=table!$C$8,#REF!&lt;= table!$D$8),-1,IF(AND(#REF!&gt;=table!$E$8,#REF!&lt;=table!$F$8),1,0))</f>
        <v>#REF!</v>
      </c>
      <c r="T1430" s="5"/>
      <c r="U1430" s="5" t="e">
        <f>IF(AND(#REF!&gt;=table!$C$10,#REF!&lt;= table!$D$10),-1,IF(AND(#REF!&gt;=table!$E$10,#REF!&lt;=table!$F$10),1,0))</f>
        <v>#REF!</v>
      </c>
      <c r="V1430" s="5" t="e">
        <f>IF(AND(#REF!&gt;=table!$C$11,#REF!&lt;= table!$D$11),-1,IF(AND(#REF!&gt;=table!$E$11,#REF!&lt;=table!$F$11),1,0))</f>
        <v>#REF!</v>
      </c>
      <c r="W1430" s="5" t="e">
        <f>CONCATENATE(dados[[#This Row],[fator1]],dados[[#This Row],[fator5]],dados[[#This Row],[fator6]])</f>
        <v>#REF!</v>
      </c>
    </row>
    <row r="1431" spans="1:23">
      <c r="A1431" t="s">
        <v>16</v>
      </c>
      <c r="B1431">
        <v>485142</v>
      </c>
      <c r="C1431">
        <v>0.1</v>
      </c>
      <c r="D1431">
        <v>40</v>
      </c>
      <c r="E1431">
        <v>10</v>
      </c>
      <c r="F1431">
        <v>8</v>
      </c>
      <c r="G1431">
        <v>0</v>
      </c>
      <c r="H1431">
        <v>10</v>
      </c>
      <c r="I1431">
        <v>568</v>
      </c>
      <c r="J1431">
        <v>0</v>
      </c>
      <c r="K1431">
        <v>4.7415000000000003</v>
      </c>
      <c r="L1431">
        <v>8.8490000000000002</v>
      </c>
      <c r="M1431">
        <v>7.391</v>
      </c>
      <c r="N1431">
        <v>7.41</v>
      </c>
      <c r="O1431">
        <v>1665</v>
      </c>
      <c r="P1431">
        <v>563</v>
      </c>
      <c r="Q1431" s="5" t="e">
        <f>IF(AND(#REF!&gt;=table!$C$6,#REF!&lt;= table!$D$6),-1,IF(AND(#REF!&gt;=table!$E$6,#REF!&lt;=table!$F$6),1,0))</f>
        <v>#REF!</v>
      </c>
      <c r="R1431" s="5" t="e">
        <f>IF(AND(#REF!&gt;=table!$C$7,#REF!&lt;= table!$D$7),-1,IF(AND(#REF!&gt;=table!$E$7,#REF!&lt;=table!$F$7),1,0))</f>
        <v>#REF!</v>
      </c>
      <c r="S1431" s="5" t="e">
        <f>IF(AND(#REF!&gt;=table!$C$8,#REF!&lt;= table!$D$8),-1,IF(AND(#REF!&gt;=table!$E$8,#REF!&lt;=table!$F$8),1,0))</f>
        <v>#REF!</v>
      </c>
      <c r="T1431" s="5"/>
      <c r="U1431" s="5" t="e">
        <f>IF(AND(#REF!&gt;=table!$C$10,#REF!&lt;= table!$D$10),-1,IF(AND(#REF!&gt;=table!$E$10,#REF!&lt;=table!$F$10),1,0))</f>
        <v>#REF!</v>
      </c>
      <c r="V1431" s="5" t="e">
        <f>IF(AND(#REF!&gt;=table!$C$11,#REF!&lt;= table!$D$11),-1,IF(AND(#REF!&gt;=table!$E$11,#REF!&lt;=table!$F$11),1,0))</f>
        <v>#REF!</v>
      </c>
      <c r="W1431" s="5" t="e">
        <f>CONCATENATE(dados[[#This Row],[fator1]],dados[[#This Row],[fator5]],dados[[#This Row],[fator6]])</f>
        <v>#REF!</v>
      </c>
    </row>
    <row r="1432" spans="1:23">
      <c r="A1432" t="s">
        <v>17</v>
      </c>
      <c r="B1432">
        <v>485147</v>
      </c>
      <c r="C1432">
        <v>15</v>
      </c>
      <c r="D1432">
        <v>35</v>
      </c>
      <c r="E1432">
        <v>120</v>
      </c>
      <c r="F1432">
        <v>4</v>
      </c>
      <c r="G1432">
        <v>15</v>
      </c>
      <c r="H1432">
        <v>20</v>
      </c>
      <c r="I1432">
        <v>1219</v>
      </c>
      <c r="J1432">
        <v>0</v>
      </c>
      <c r="K1432">
        <v>3.391</v>
      </c>
      <c r="L1432">
        <v>6.9485000000000001</v>
      </c>
      <c r="M1432">
        <v>89.256500000000003</v>
      </c>
      <c r="N1432">
        <v>11.13</v>
      </c>
      <c r="O1432">
        <v>1689</v>
      </c>
      <c r="P1432">
        <v>0</v>
      </c>
      <c r="Q1432" s="5" t="e">
        <f>IF(AND(#REF!&gt;=table!$C$6,#REF!&lt;= table!$D$6),-1,IF(AND(#REF!&gt;=table!$E$6,#REF!&lt;=table!$F$6),1,0))</f>
        <v>#REF!</v>
      </c>
      <c r="R1432" s="5" t="e">
        <f>IF(AND(#REF!&gt;=table!$C$7,#REF!&lt;= table!$D$7),-1,IF(AND(#REF!&gt;=table!$E$7,#REF!&lt;=table!$F$7),1,0))</f>
        <v>#REF!</v>
      </c>
      <c r="S1432" s="5" t="e">
        <f>IF(AND(#REF!&gt;=table!$C$8,#REF!&lt;= table!$D$8),-1,IF(AND(#REF!&gt;=table!$E$8,#REF!&lt;=table!$F$8),1,0))</f>
        <v>#REF!</v>
      </c>
      <c r="T1432" s="5"/>
      <c r="U1432" s="5" t="e">
        <f>IF(AND(#REF!&gt;=table!$C$10,#REF!&lt;= table!$D$10),-1,IF(AND(#REF!&gt;=table!$E$10,#REF!&lt;=table!$F$10),1,0))</f>
        <v>#REF!</v>
      </c>
      <c r="V1432" s="5" t="e">
        <f>IF(AND(#REF!&gt;=table!$C$11,#REF!&lt;= table!$D$11),-1,IF(AND(#REF!&gt;=table!$E$11,#REF!&lt;=table!$F$11),1,0))</f>
        <v>#REF!</v>
      </c>
      <c r="W1432" s="5" t="e">
        <f>CONCATENATE(dados[[#This Row],[fator1]],dados[[#This Row],[fator5]],dados[[#This Row],[fator6]])</f>
        <v>#REF!</v>
      </c>
    </row>
    <row r="1433" spans="1:23">
      <c r="A1433" t="s">
        <v>17</v>
      </c>
      <c r="B1433">
        <v>485148</v>
      </c>
      <c r="C1433">
        <v>11</v>
      </c>
      <c r="D1433">
        <v>30</v>
      </c>
      <c r="E1433">
        <v>125</v>
      </c>
      <c r="F1433">
        <v>4</v>
      </c>
      <c r="G1433">
        <v>25</v>
      </c>
      <c r="H1433">
        <v>21</v>
      </c>
      <c r="I1433">
        <v>1062</v>
      </c>
      <c r="J1433">
        <v>0</v>
      </c>
      <c r="K1433">
        <v>3.7470000000000003</v>
      </c>
      <c r="L1433">
        <v>8.0389999999999997</v>
      </c>
      <c r="M1433">
        <v>71.1755</v>
      </c>
      <c r="N1433">
        <v>12.1</v>
      </c>
      <c r="O1433">
        <v>1675</v>
      </c>
      <c r="P1433">
        <v>958</v>
      </c>
      <c r="Q1433" s="5" t="e">
        <f>IF(AND(#REF!&gt;=table!$C$6,#REF!&lt;= table!$D$6),-1,IF(AND(#REF!&gt;=table!$E$6,#REF!&lt;=table!$F$6),1,0))</f>
        <v>#REF!</v>
      </c>
      <c r="R1433" s="5" t="e">
        <f>IF(AND(#REF!&gt;=table!$C$7,#REF!&lt;= table!$D$7),-1,IF(AND(#REF!&gt;=table!$E$7,#REF!&lt;=table!$F$7),1,0))</f>
        <v>#REF!</v>
      </c>
      <c r="S1433" s="5" t="e">
        <f>IF(AND(#REF!&gt;=table!$C$8,#REF!&lt;= table!$D$8),-1,IF(AND(#REF!&gt;=table!$E$8,#REF!&lt;=table!$F$8),1,0))</f>
        <v>#REF!</v>
      </c>
      <c r="T1433" s="5"/>
      <c r="U1433" s="5" t="e">
        <f>IF(AND(#REF!&gt;=table!$C$10,#REF!&lt;= table!$D$10),-1,IF(AND(#REF!&gt;=table!$E$10,#REF!&lt;=table!$F$10),1,0))</f>
        <v>#REF!</v>
      </c>
      <c r="V1433" s="5" t="e">
        <f>IF(AND(#REF!&gt;=table!$C$11,#REF!&lt;= table!$D$11),-1,IF(AND(#REF!&gt;=table!$E$11,#REF!&lt;=table!$F$11),1,0))</f>
        <v>#REF!</v>
      </c>
      <c r="W1433" s="5" t="e">
        <f>CONCATENATE(dados[[#This Row],[fator1]],dados[[#This Row],[fator5]],dados[[#This Row],[fator6]])</f>
        <v>#REF!</v>
      </c>
    </row>
    <row r="1434" spans="1:23">
      <c r="A1434" t="s">
        <v>17</v>
      </c>
      <c r="B1434">
        <v>485150</v>
      </c>
      <c r="C1434">
        <v>16</v>
      </c>
      <c r="D1434">
        <v>30</v>
      </c>
      <c r="E1434">
        <v>106</v>
      </c>
      <c r="F1434">
        <v>9</v>
      </c>
      <c r="G1434">
        <v>20</v>
      </c>
      <c r="H1434">
        <v>25</v>
      </c>
      <c r="I1434">
        <v>1088</v>
      </c>
      <c r="J1434">
        <v>0</v>
      </c>
      <c r="K1434">
        <v>5.7545000000000002</v>
      </c>
      <c r="L1434">
        <v>17.148</v>
      </c>
      <c r="M1434">
        <v>97.575500000000005</v>
      </c>
      <c r="N1434">
        <v>17.84</v>
      </c>
      <c r="O1434">
        <v>1702</v>
      </c>
      <c r="P1434">
        <v>492</v>
      </c>
      <c r="Q1434" s="5" t="e">
        <f>IF(AND(#REF!&gt;=table!$C$6,#REF!&lt;= table!$D$6),-1,IF(AND(#REF!&gt;=table!$E$6,#REF!&lt;=table!$F$6),1,0))</f>
        <v>#REF!</v>
      </c>
      <c r="R1434" s="5" t="e">
        <f>IF(AND(#REF!&gt;=table!$C$7,#REF!&lt;= table!$D$7),-1,IF(AND(#REF!&gt;=table!$E$7,#REF!&lt;=table!$F$7),1,0))</f>
        <v>#REF!</v>
      </c>
      <c r="S1434" s="5" t="e">
        <f>IF(AND(#REF!&gt;=table!$C$8,#REF!&lt;= table!$D$8),-1,IF(AND(#REF!&gt;=table!$E$8,#REF!&lt;=table!$F$8),1,0))</f>
        <v>#REF!</v>
      </c>
      <c r="T1434" s="5"/>
      <c r="U1434" s="5" t="e">
        <f>IF(AND(#REF!&gt;=table!$C$10,#REF!&lt;= table!$D$10),-1,IF(AND(#REF!&gt;=table!$E$10,#REF!&lt;=table!$F$10),1,0))</f>
        <v>#REF!</v>
      </c>
      <c r="V1434" s="5" t="e">
        <f>IF(AND(#REF!&gt;=table!$C$11,#REF!&lt;= table!$D$11),-1,IF(AND(#REF!&gt;=table!$E$11,#REF!&lt;=table!$F$11),1,0))</f>
        <v>#REF!</v>
      </c>
      <c r="W1434" s="5" t="e">
        <f>CONCATENATE(dados[[#This Row],[fator1]],dados[[#This Row],[fator5]],dados[[#This Row],[fator6]])</f>
        <v>#REF!</v>
      </c>
    </row>
    <row r="1435" spans="1:23">
      <c r="A1435" t="s">
        <v>17</v>
      </c>
      <c r="B1435">
        <v>485152</v>
      </c>
      <c r="C1435">
        <v>14</v>
      </c>
      <c r="D1435">
        <v>30</v>
      </c>
      <c r="E1435">
        <v>126</v>
      </c>
      <c r="F1435">
        <v>9</v>
      </c>
      <c r="G1435">
        <v>20</v>
      </c>
      <c r="H1435">
        <v>25</v>
      </c>
      <c r="I1435">
        <v>852</v>
      </c>
      <c r="J1435">
        <v>0</v>
      </c>
      <c r="K1435">
        <v>2.8445</v>
      </c>
      <c r="L1435">
        <v>5.6580000000000004</v>
      </c>
      <c r="M1435">
        <v>116.2505</v>
      </c>
      <c r="N1435">
        <v>12.76</v>
      </c>
      <c r="O1435">
        <v>1655</v>
      </c>
      <c r="P1435">
        <v>970</v>
      </c>
      <c r="Q1435" s="5" t="e">
        <f>IF(AND(#REF!&gt;=table!$C$6,#REF!&lt;= table!$D$6),-1,IF(AND(#REF!&gt;=table!$E$6,#REF!&lt;=table!$F$6),1,0))</f>
        <v>#REF!</v>
      </c>
      <c r="R1435" s="5" t="e">
        <f>IF(AND(#REF!&gt;=table!$C$7,#REF!&lt;= table!$D$7),-1,IF(AND(#REF!&gt;=table!$E$7,#REF!&lt;=table!$F$7),1,0))</f>
        <v>#REF!</v>
      </c>
      <c r="S1435" s="5" t="e">
        <f>IF(AND(#REF!&gt;=table!$C$8,#REF!&lt;= table!$D$8),-1,IF(AND(#REF!&gt;=table!$E$8,#REF!&lt;=table!$F$8),1,0))</f>
        <v>#REF!</v>
      </c>
      <c r="T1435" s="5"/>
      <c r="U1435" s="5" t="e">
        <f>IF(AND(#REF!&gt;=table!$C$10,#REF!&lt;= table!$D$10),-1,IF(AND(#REF!&gt;=table!$E$10,#REF!&lt;=table!$F$10),1,0))</f>
        <v>#REF!</v>
      </c>
      <c r="V1435" s="5" t="e">
        <f>IF(AND(#REF!&gt;=table!$C$11,#REF!&lt;= table!$D$11),-1,IF(AND(#REF!&gt;=table!$E$11,#REF!&lt;=table!$F$11),1,0))</f>
        <v>#REF!</v>
      </c>
      <c r="W1435" s="5" t="e">
        <f>CONCATENATE(dados[[#This Row],[fator1]],dados[[#This Row],[fator5]],dados[[#This Row],[fator6]])</f>
        <v>#REF!</v>
      </c>
    </row>
    <row r="1436" spans="1:23">
      <c r="A1436" t="s">
        <v>16</v>
      </c>
      <c r="B1436">
        <v>485154</v>
      </c>
      <c r="C1436">
        <v>7</v>
      </c>
      <c r="D1436">
        <v>33</v>
      </c>
      <c r="E1436">
        <v>153</v>
      </c>
      <c r="F1436">
        <v>4</v>
      </c>
      <c r="G1436">
        <v>0</v>
      </c>
      <c r="H1436">
        <v>25</v>
      </c>
      <c r="I1436">
        <v>1344</v>
      </c>
      <c r="J1436">
        <v>0</v>
      </c>
      <c r="K1436">
        <v>2.3774999999999999</v>
      </c>
      <c r="L1436">
        <v>7.5425000000000004</v>
      </c>
      <c r="M1436">
        <v>139.304</v>
      </c>
      <c r="N1436">
        <v>12.775</v>
      </c>
      <c r="O1436">
        <v>1652</v>
      </c>
      <c r="P1436">
        <v>1037</v>
      </c>
      <c r="Q1436" s="5" t="e">
        <f>IF(AND(#REF!&gt;=table!$C$6,#REF!&lt;= table!$D$6),-1,IF(AND(#REF!&gt;=table!$E$6,#REF!&lt;=table!$F$6),1,0))</f>
        <v>#REF!</v>
      </c>
      <c r="R1436" s="5" t="e">
        <f>IF(AND(#REF!&gt;=table!$C$7,#REF!&lt;= table!$D$7),-1,IF(AND(#REF!&gt;=table!$E$7,#REF!&lt;=table!$F$7),1,0))</f>
        <v>#REF!</v>
      </c>
      <c r="S1436" s="5" t="e">
        <f>IF(AND(#REF!&gt;=table!$C$8,#REF!&lt;= table!$D$8),-1,IF(AND(#REF!&gt;=table!$E$8,#REF!&lt;=table!$F$8),1,0))</f>
        <v>#REF!</v>
      </c>
      <c r="T1436" s="5"/>
      <c r="U1436" s="5" t="e">
        <f>IF(AND(#REF!&gt;=table!$C$10,#REF!&lt;= table!$D$10),-1,IF(AND(#REF!&gt;=table!$E$10,#REF!&lt;=table!$F$10),1,0))</f>
        <v>#REF!</v>
      </c>
      <c r="V1436" s="5" t="e">
        <f>IF(AND(#REF!&gt;=table!$C$11,#REF!&lt;= table!$D$11),-1,IF(AND(#REF!&gt;=table!$E$11,#REF!&lt;=table!$F$11),1,0))</f>
        <v>#REF!</v>
      </c>
      <c r="W1436" s="5" t="e">
        <f>CONCATENATE(dados[[#This Row],[fator1]],dados[[#This Row],[fator5]],dados[[#This Row],[fator6]])</f>
        <v>#REF!</v>
      </c>
    </row>
    <row r="1437" spans="1:23">
      <c r="A1437" t="s">
        <v>16</v>
      </c>
      <c r="B1437">
        <v>485156</v>
      </c>
      <c r="C1437">
        <v>7</v>
      </c>
      <c r="D1437">
        <v>33</v>
      </c>
      <c r="E1437">
        <v>153</v>
      </c>
      <c r="F1437">
        <v>4</v>
      </c>
      <c r="G1437">
        <v>0</v>
      </c>
      <c r="H1437">
        <v>25</v>
      </c>
      <c r="I1437">
        <v>12</v>
      </c>
      <c r="J1437">
        <v>0</v>
      </c>
      <c r="K1437">
        <v>2.3765000000000001</v>
      </c>
      <c r="L1437">
        <v>4.5090000000000003</v>
      </c>
      <c r="M1437">
        <v>95.757000000000005</v>
      </c>
      <c r="N1437">
        <v>12.855</v>
      </c>
      <c r="O1437">
        <v>1684</v>
      </c>
      <c r="P1437">
        <v>1504</v>
      </c>
      <c r="Q1437" s="5" t="e">
        <f>IF(AND(#REF!&gt;=table!$C$6,#REF!&lt;= table!$D$6),-1,IF(AND(#REF!&gt;=table!$E$6,#REF!&lt;=table!$F$6),1,0))</f>
        <v>#REF!</v>
      </c>
      <c r="R1437" s="5" t="e">
        <f>IF(AND(#REF!&gt;=table!$C$7,#REF!&lt;= table!$D$7),-1,IF(AND(#REF!&gt;=table!$E$7,#REF!&lt;=table!$F$7),1,0))</f>
        <v>#REF!</v>
      </c>
      <c r="S1437" s="5" t="e">
        <f>IF(AND(#REF!&gt;=table!$C$8,#REF!&lt;= table!$D$8),-1,IF(AND(#REF!&gt;=table!$E$8,#REF!&lt;=table!$F$8),1,0))</f>
        <v>#REF!</v>
      </c>
      <c r="T1437" s="5"/>
      <c r="U1437" s="5" t="e">
        <f>IF(AND(#REF!&gt;=table!$C$10,#REF!&lt;= table!$D$10),-1,IF(AND(#REF!&gt;=table!$E$10,#REF!&lt;=table!$F$10),1,0))</f>
        <v>#REF!</v>
      </c>
      <c r="V1437" s="5" t="e">
        <f>IF(AND(#REF!&gt;=table!$C$11,#REF!&lt;= table!$D$11),-1,IF(AND(#REF!&gt;=table!$E$11,#REF!&lt;=table!$F$11),1,0))</f>
        <v>#REF!</v>
      </c>
      <c r="W1437" s="5" t="e">
        <f>CONCATENATE(dados[[#This Row],[fator1]],dados[[#This Row],[fator5]],dados[[#This Row],[fator6]])</f>
        <v>#REF!</v>
      </c>
    </row>
    <row r="1438" spans="1:23">
      <c r="A1438" t="s">
        <v>16</v>
      </c>
      <c r="B1438">
        <v>485157</v>
      </c>
      <c r="C1438">
        <v>7</v>
      </c>
      <c r="D1438">
        <v>33</v>
      </c>
      <c r="E1438">
        <v>153</v>
      </c>
      <c r="F1438">
        <v>4</v>
      </c>
      <c r="G1438">
        <v>0</v>
      </c>
      <c r="H1438">
        <v>25</v>
      </c>
      <c r="I1438">
        <v>1223</v>
      </c>
      <c r="J1438">
        <v>0</v>
      </c>
      <c r="K1438">
        <v>3.1395</v>
      </c>
      <c r="L1438">
        <v>5.1040000000000001</v>
      </c>
      <c r="M1438">
        <v>123.04600000000001</v>
      </c>
      <c r="N1438">
        <v>12.700000000000001</v>
      </c>
      <c r="O1438">
        <v>1661</v>
      </c>
      <c r="P1438">
        <v>1491</v>
      </c>
      <c r="Q1438" s="5" t="e">
        <f>IF(AND(#REF!&gt;=table!$C$6,#REF!&lt;= table!$D$6),-1,IF(AND(#REF!&gt;=table!$E$6,#REF!&lt;=table!$F$6),1,0))</f>
        <v>#REF!</v>
      </c>
      <c r="R1438" s="5" t="e">
        <f>IF(AND(#REF!&gt;=table!$C$7,#REF!&lt;= table!$D$7),-1,IF(AND(#REF!&gt;=table!$E$7,#REF!&lt;=table!$F$7),1,0))</f>
        <v>#REF!</v>
      </c>
      <c r="S1438" s="5" t="e">
        <f>IF(AND(#REF!&gt;=table!$C$8,#REF!&lt;= table!$D$8),-1,IF(AND(#REF!&gt;=table!$E$8,#REF!&lt;=table!$F$8),1,0))</f>
        <v>#REF!</v>
      </c>
      <c r="T1438" s="5"/>
      <c r="U1438" s="5" t="e">
        <f>IF(AND(#REF!&gt;=table!$C$10,#REF!&lt;= table!$D$10),-1,IF(AND(#REF!&gt;=table!$E$10,#REF!&lt;=table!$F$10),1,0))</f>
        <v>#REF!</v>
      </c>
      <c r="V1438" s="5" t="e">
        <f>IF(AND(#REF!&gt;=table!$C$11,#REF!&lt;= table!$D$11),-1,IF(AND(#REF!&gt;=table!$E$11,#REF!&lt;=table!$F$11),1,0))</f>
        <v>#REF!</v>
      </c>
      <c r="W1438" s="5" t="e">
        <f>CONCATENATE(dados[[#This Row],[fator1]],dados[[#This Row],[fator5]],dados[[#This Row],[fator6]])</f>
        <v>#REF!</v>
      </c>
    </row>
    <row r="1439" spans="1:23">
      <c r="A1439" t="s">
        <v>16</v>
      </c>
      <c r="B1439">
        <v>485179</v>
      </c>
      <c r="C1439">
        <v>0.15</v>
      </c>
      <c r="D1439">
        <v>40</v>
      </c>
      <c r="E1439">
        <v>10</v>
      </c>
      <c r="F1439">
        <v>15</v>
      </c>
      <c r="G1439">
        <v>0</v>
      </c>
      <c r="H1439">
        <v>15</v>
      </c>
      <c r="I1439">
        <v>306</v>
      </c>
      <c r="J1439">
        <v>0</v>
      </c>
      <c r="K1439">
        <v>5.7</v>
      </c>
      <c r="L1439">
        <v>13.721500000000001</v>
      </c>
      <c r="M1439">
        <v>12.348500000000001</v>
      </c>
      <c r="N1439">
        <v>15.41</v>
      </c>
      <c r="O1439">
        <v>1691</v>
      </c>
      <c r="P1439">
        <v>626</v>
      </c>
      <c r="Q1439" s="5" t="e">
        <f>IF(AND(#REF!&gt;=table!$C$6,#REF!&lt;= table!$D$6),-1,IF(AND(#REF!&gt;=table!$E$6,#REF!&lt;=table!$F$6),1,0))</f>
        <v>#REF!</v>
      </c>
      <c r="R1439" s="5" t="e">
        <f>IF(AND(#REF!&gt;=table!$C$7,#REF!&lt;= table!$D$7),-1,IF(AND(#REF!&gt;=table!$E$7,#REF!&lt;=table!$F$7),1,0))</f>
        <v>#REF!</v>
      </c>
      <c r="S1439" s="5" t="e">
        <f>IF(AND(#REF!&gt;=table!$C$8,#REF!&lt;= table!$D$8),-1,IF(AND(#REF!&gt;=table!$E$8,#REF!&lt;=table!$F$8),1,0))</f>
        <v>#REF!</v>
      </c>
      <c r="T1439" s="5"/>
      <c r="U1439" s="5" t="e">
        <f>IF(AND(#REF!&gt;=table!$C$10,#REF!&lt;= table!$D$10),-1,IF(AND(#REF!&gt;=table!$E$10,#REF!&lt;=table!$F$10),1,0))</f>
        <v>#REF!</v>
      </c>
      <c r="V1439" s="5" t="e">
        <f>IF(AND(#REF!&gt;=table!$C$11,#REF!&lt;= table!$D$11),-1,IF(AND(#REF!&gt;=table!$E$11,#REF!&lt;=table!$F$11),1,0))</f>
        <v>#REF!</v>
      </c>
      <c r="W1439" s="5" t="e">
        <f>CONCATENATE(dados[[#This Row],[fator1]],dados[[#This Row],[fator5]],dados[[#This Row],[fator6]])</f>
        <v>#REF!</v>
      </c>
    </row>
    <row r="1440" spans="1:23">
      <c r="A1440" t="s">
        <v>16</v>
      </c>
      <c r="B1440">
        <v>485201</v>
      </c>
      <c r="C1440">
        <v>0.15</v>
      </c>
      <c r="D1440">
        <v>40</v>
      </c>
      <c r="E1440">
        <v>10</v>
      </c>
      <c r="F1440">
        <v>15</v>
      </c>
      <c r="G1440">
        <v>0</v>
      </c>
      <c r="H1440">
        <v>15</v>
      </c>
      <c r="I1440">
        <v>904</v>
      </c>
      <c r="J1440">
        <v>0</v>
      </c>
      <c r="K1440">
        <v>3.5635000000000003</v>
      </c>
      <c r="L1440">
        <v>6.8959999999999999</v>
      </c>
      <c r="M1440">
        <v>6.6805000000000003</v>
      </c>
      <c r="N1440">
        <v>9.67</v>
      </c>
      <c r="O1440">
        <v>1678</v>
      </c>
      <c r="P1440">
        <v>0</v>
      </c>
      <c r="Q1440" s="5" t="e">
        <f>IF(AND(#REF!&gt;=table!$C$6,#REF!&lt;= table!$D$6),-1,IF(AND(#REF!&gt;=table!$E$6,#REF!&lt;=table!$F$6),1,0))</f>
        <v>#REF!</v>
      </c>
      <c r="R1440" s="5" t="e">
        <f>IF(AND(#REF!&gt;=table!$C$7,#REF!&lt;= table!$D$7),-1,IF(AND(#REF!&gt;=table!$E$7,#REF!&lt;=table!$F$7),1,0))</f>
        <v>#REF!</v>
      </c>
      <c r="S1440" s="5" t="e">
        <f>IF(AND(#REF!&gt;=table!$C$8,#REF!&lt;= table!$D$8),-1,IF(AND(#REF!&gt;=table!$E$8,#REF!&lt;=table!$F$8),1,0))</f>
        <v>#REF!</v>
      </c>
      <c r="T1440" s="5"/>
      <c r="U1440" s="5" t="e">
        <f>IF(AND(#REF!&gt;=table!$C$10,#REF!&lt;= table!$D$10),-1,IF(AND(#REF!&gt;=table!$E$10,#REF!&lt;=table!$F$10),1,0))</f>
        <v>#REF!</v>
      </c>
      <c r="V1440" s="5" t="e">
        <f>IF(AND(#REF!&gt;=table!$C$11,#REF!&lt;= table!$D$11),-1,IF(AND(#REF!&gt;=table!$E$11,#REF!&lt;=table!$F$11),1,0))</f>
        <v>#REF!</v>
      </c>
      <c r="W1440" s="5" t="e">
        <f>CONCATENATE(dados[[#This Row],[fator1]],dados[[#This Row],[fator5]],dados[[#This Row],[fator6]])</f>
        <v>#REF!</v>
      </c>
    </row>
    <row r="1441" spans="1:23">
      <c r="A1441" t="s">
        <v>17</v>
      </c>
      <c r="B1441">
        <v>485208</v>
      </c>
      <c r="C1441">
        <v>13</v>
      </c>
      <c r="D1441">
        <v>30</v>
      </c>
      <c r="E1441">
        <v>106</v>
      </c>
      <c r="F1441">
        <v>10</v>
      </c>
      <c r="G1441">
        <v>20</v>
      </c>
      <c r="H1441">
        <v>25</v>
      </c>
      <c r="I1441">
        <v>727</v>
      </c>
      <c r="J1441">
        <v>0</v>
      </c>
      <c r="K1441">
        <v>12.077</v>
      </c>
      <c r="L1441">
        <v>15.358500000000001</v>
      </c>
      <c r="M1441">
        <v>21.8</v>
      </c>
      <c r="N1441">
        <v>17.150000000000002</v>
      </c>
      <c r="O1441">
        <v>1679</v>
      </c>
      <c r="P1441">
        <v>0</v>
      </c>
      <c r="Q1441" s="5" t="e">
        <f>IF(AND(#REF!&gt;=table!$C$6,#REF!&lt;= table!$D$6),-1,IF(AND(#REF!&gt;=table!$E$6,#REF!&lt;=table!$F$6),1,0))</f>
        <v>#REF!</v>
      </c>
      <c r="R1441" s="5" t="e">
        <f>IF(AND(#REF!&gt;=table!$C$7,#REF!&lt;= table!$D$7),-1,IF(AND(#REF!&gt;=table!$E$7,#REF!&lt;=table!$F$7),1,0))</f>
        <v>#REF!</v>
      </c>
      <c r="S1441" s="5" t="e">
        <f>IF(AND(#REF!&gt;=table!$C$8,#REF!&lt;= table!$D$8),-1,IF(AND(#REF!&gt;=table!$E$8,#REF!&lt;=table!$F$8),1,0))</f>
        <v>#REF!</v>
      </c>
      <c r="T1441" s="5"/>
      <c r="U1441" s="5" t="e">
        <f>IF(AND(#REF!&gt;=table!$C$10,#REF!&lt;= table!$D$10),-1,IF(AND(#REF!&gt;=table!$E$10,#REF!&lt;=table!$F$10),1,0))</f>
        <v>#REF!</v>
      </c>
      <c r="V1441" s="5" t="e">
        <f>IF(AND(#REF!&gt;=table!$C$11,#REF!&lt;= table!$D$11),-1,IF(AND(#REF!&gt;=table!$E$11,#REF!&lt;=table!$F$11),1,0))</f>
        <v>#REF!</v>
      </c>
      <c r="W1441" s="5" t="e">
        <f>CONCATENATE(dados[[#This Row],[fator1]],dados[[#This Row],[fator5]],dados[[#This Row],[fator6]])</f>
        <v>#REF!</v>
      </c>
    </row>
    <row r="1442" spans="1:23">
      <c r="A1442" t="s">
        <v>17</v>
      </c>
      <c r="B1442">
        <v>485210</v>
      </c>
      <c r="C1442">
        <v>13</v>
      </c>
      <c r="D1442">
        <v>30</v>
      </c>
      <c r="E1442">
        <v>106</v>
      </c>
      <c r="F1442">
        <v>10</v>
      </c>
      <c r="G1442">
        <v>20</v>
      </c>
      <c r="H1442">
        <v>25</v>
      </c>
      <c r="I1442">
        <v>12</v>
      </c>
      <c r="J1442">
        <v>530</v>
      </c>
      <c r="K1442">
        <v>18.202999999999999</v>
      </c>
      <c r="L1442">
        <v>15.078000000000001</v>
      </c>
      <c r="M1442">
        <v>103.93</v>
      </c>
      <c r="N1442">
        <v>18.215</v>
      </c>
      <c r="O1442">
        <v>1646</v>
      </c>
      <c r="P1442">
        <v>0</v>
      </c>
      <c r="Q1442" s="5" t="e">
        <f>IF(AND(#REF!&gt;=table!$C$6,#REF!&lt;= table!$D$6),-1,IF(AND(#REF!&gt;=table!$E$6,#REF!&lt;=table!$F$6),1,0))</f>
        <v>#REF!</v>
      </c>
      <c r="R1442" s="5" t="e">
        <f>IF(AND(#REF!&gt;=table!$C$7,#REF!&lt;= table!$D$7),-1,IF(AND(#REF!&gt;=table!$E$7,#REF!&lt;=table!$F$7),1,0))</f>
        <v>#REF!</v>
      </c>
      <c r="S1442" s="5" t="e">
        <f>IF(AND(#REF!&gt;=table!$C$8,#REF!&lt;= table!$D$8),-1,IF(AND(#REF!&gt;=table!$E$8,#REF!&lt;=table!$F$8),1,0))</f>
        <v>#REF!</v>
      </c>
      <c r="T1442" s="5"/>
      <c r="U1442" s="5" t="e">
        <f>IF(AND(#REF!&gt;=table!$C$10,#REF!&lt;= table!$D$10),-1,IF(AND(#REF!&gt;=table!$E$10,#REF!&lt;=table!$F$10),1,0))</f>
        <v>#REF!</v>
      </c>
      <c r="V1442" s="5" t="e">
        <f>IF(AND(#REF!&gt;=table!$C$11,#REF!&lt;= table!$D$11),-1,IF(AND(#REF!&gt;=table!$E$11,#REF!&lt;=table!$F$11),1,0))</f>
        <v>#REF!</v>
      </c>
      <c r="W1442" s="5" t="e">
        <f>CONCATENATE(dados[[#This Row],[fator1]],dados[[#This Row],[fator5]],dados[[#This Row],[fator6]])</f>
        <v>#REF!</v>
      </c>
    </row>
    <row r="1443" spans="1:23">
      <c r="A1443" t="s">
        <v>16</v>
      </c>
      <c r="B1443">
        <v>485216</v>
      </c>
      <c r="C1443">
        <v>0.15</v>
      </c>
      <c r="D1443">
        <v>35</v>
      </c>
      <c r="E1443">
        <v>15</v>
      </c>
      <c r="F1443">
        <v>10</v>
      </c>
      <c r="G1443">
        <v>0</v>
      </c>
      <c r="H1443">
        <v>12</v>
      </c>
      <c r="I1443">
        <v>1130</v>
      </c>
      <c r="J1443">
        <v>0</v>
      </c>
      <c r="K1443">
        <v>3.2370000000000001</v>
      </c>
      <c r="L1443">
        <v>7.8725000000000005</v>
      </c>
      <c r="M1443">
        <v>7.3045</v>
      </c>
      <c r="N1443">
        <v>10.81</v>
      </c>
      <c r="O1443">
        <v>1678</v>
      </c>
      <c r="P1443">
        <v>1139</v>
      </c>
      <c r="Q1443" s="5" t="e">
        <f>IF(AND(#REF!&gt;=table!$C$6,#REF!&lt;= table!$D$6),-1,IF(AND(#REF!&gt;=table!$E$6,#REF!&lt;=table!$F$6),1,0))</f>
        <v>#REF!</v>
      </c>
      <c r="R1443" s="5" t="e">
        <f>IF(AND(#REF!&gt;=table!$C$7,#REF!&lt;= table!$D$7),-1,IF(AND(#REF!&gt;=table!$E$7,#REF!&lt;=table!$F$7),1,0))</f>
        <v>#REF!</v>
      </c>
      <c r="S1443" s="5" t="e">
        <f>IF(AND(#REF!&gt;=table!$C$8,#REF!&lt;= table!$D$8),-1,IF(AND(#REF!&gt;=table!$E$8,#REF!&lt;=table!$F$8),1,0))</f>
        <v>#REF!</v>
      </c>
      <c r="T1443" s="5"/>
      <c r="U1443" s="5" t="e">
        <f>IF(AND(#REF!&gt;=table!$C$10,#REF!&lt;= table!$D$10),-1,IF(AND(#REF!&gt;=table!$E$10,#REF!&lt;=table!$F$10),1,0))</f>
        <v>#REF!</v>
      </c>
      <c r="V1443" s="5" t="e">
        <f>IF(AND(#REF!&gt;=table!$C$11,#REF!&lt;= table!$D$11),-1,IF(AND(#REF!&gt;=table!$E$11,#REF!&lt;=table!$F$11),1,0))</f>
        <v>#REF!</v>
      </c>
      <c r="W1443" s="5" t="e">
        <f>CONCATENATE(dados[[#This Row],[fator1]],dados[[#This Row],[fator5]],dados[[#This Row],[fator6]])</f>
        <v>#REF!</v>
      </c>
    </row>
    <row r="1444" spans="1:23">
      <c r="A1444" t="s">
        <v>16</v>
      </c>
      <c r="B1444">
        <v>485217</v>
      </c>
      <c r="C1444">
        <v>0.15</v>
      </c>
      <c r="D1444">
        <v>35</v>
      </c>
      <c r="E1444">
        <v>15</v>
      </c>
      <c r="F1444">
        <v>10</v>
      </c>
      <c r="G1444">
        <v>0</v>
      </c>
      <c r="H1444">
        <v>12</v>
      </c>
      <c r="I1444">
        <v>82</v>
      </c>
      <c r="J1444">
        <v>0</v>
      </c>
      <c r="K1444">
        <v>5.8864999999999998</v>
      </c>
      <c r="L1444">
        <v>11.2105</v>
      </c>
      <c r="M1444">
        <v>10.199</v>
      </c>
      <c r="N1444">
        <v>11.91</v>
      </c>
      <c r="O1444">
        <v>1673</v>
      </c>
      <c r="P1444">
        <v>573</v>
      </c>
      <c r="Q1444" s="5" t="e">
        <f>IF(AND(#REF!&gt;=table!$C$6,#REF!&lt;= table!$D$6),-1,IF(AND(#REF!&gt;=table!$E$6,#REF!&lt;=table!$F$6),1,0))</f>
        <v>#REF!</v>
      </c>
      <c r="R1444" s="5" t="e">
        <f>IF(AND(#REF!&gt;=table!$C$7,#REF!&lt;= table!$D$7),-1,IF(AND(#REF!&gt;=table!$E$7,#REF!&lt;=table!$F$7),1,0))</f>
        <v>#REF!</v>
      </c>
      <c r="S1444" s="5" t="e">
        <f>IF(AND(#REF!&gt;=table!$C$8,#REF!&lt;= table!$D$8),-1,IF(AND(#REF!&gt;=table!$E$8,#REF!&lt;=table!$F$8),1,0))</f>
        <v>#REF!</v>
      </c>
      <c r="T1444" s="5"/>
      <c r="U1444" s="5" t="e">
        <f>IF(AND(#REF!&gt;=table!$C$10,#REF!&lt;= table!$D$10),-1,IF(AND(#REF!&gt;=table!$E$10,#REF!&lt;=table!$F$10),1,0))</f>
        <v>#REF!</v>
      </c>
      <c r="V1444" s="5" t="e">
        <f>IF(AND(#REF!&gt;=table!$C$11,#REF!&lt;= table!$D$11),-1,IF(AND(#REF!&gt;=table!$E$11,#REF!&lt;=table!$F$11),1,0))</f>
        <v>#REF!</v>
      </c>
      <c r="W1444" s="5" t="e">
        <f>CONCATENATE(dados[[#This Row],[fator1]],dados[[#This Row],[fator5]],dados[[#This Row],[fator6]])</f>
        <v>#REF!</v>
      </c>
    </row>
    <row r="1445" spans="1:23">
      <c r="A1445" t="s">
        <v>17</v>
      </c>
      <c r="B1445">
        <v>485235</v>
      </c>
      <c r="C1445">
        <v>16</v>
      </c>
      <c r="D1445">
        <v>23</v>
      </c>
      <c r="E1445">
        <v>145</v>
      </c>
      <c r="F1445">
        <v>9</v>
      </c>
      <c r="G1445">
        <v>30</v>
      </c>
      <c r="H1445">
        <v>25</v>
      </c>
      <c r="I1445">
        <v>1082</v>
      </c>
      <c r="J1445">
        <v>0</v>
      </c>
      <c r="K1445">
        <v>5.9250000000000007</v>
      </c>
      <c r="L1445">
        <v>11.701000000000001</v>
      </c>
      <c r="M1445">
        <v>107.1915</v>
      </c>
      <c r="N1445">
        <v>20.52</v>
      </c>
      <c r="O1445">
        <v>1682</v>
      </c>
      <c r="P1445">
        <v>649</v>
      </c>
      <c r="Q1445" s="5" t="e">
        <f>IF(AND(#REF!&gt;=table!$C$6,#REF!&lt;= table!$D$6),-1,IF(AND(#REF!&gt;=table!$E$6,#REF!&lt;=table!$F$6),1,0))</f>
        <v>#REF!</v>
      </c>
      <c r="R1445" s="5" t="e">
        <f>IF(AND(#REF!&gt;=table!$C$7,#REF!&lt;= table!$D$7),-1,IF(AND(#REF!&gt;=table!$E$7,#REF!&lt;=table!$F$7),1,0))</f>
        <v>#REF!</v>
      </c>
      <c r="S1445" s="5" t="e">
        <f>IF(AND(#REF!&gt;=table!$C$8,#REF!&lt;= table!$D$8),-1,IF(AND(#REF!&gt;=table!$E$8,#REF!&lt;=table!$F$8),1,0))</f>
        <v>#REF!</v>
      </c>
      <c r="T1445" s="5"/>
      <c r="U1445" s="5" t="e">
        <f>IF(AND(#REF!&gt;=table!$C$10,#REF!&lt;= table!$D$10),-1,IF(AND(#REF!&gt;=table!$E$10,#REF!&lt;=table!$F$10),1,0))</f>
        <v>#REF!</v>
      </c>
      <c r="V1445" s="5" t="e">
        <f>IF(AND(#REF!&gt;=table!$C$11,#REF!&lt;= table!$D$11),-1,IF(AND(#REF!&gt;=table!$E$11,#REF!&lt;=table!$F$11),1,0))</f>
        <v>#REF!</v>
      </c>
      <c r="W1445" s="5" t="e">
        <f>CONCATENATE(dados[[#This Row],[fator1]],dados[[#This Row],[fator5]],dados[[#This Row],[fator6]])</f>
        <v>#REF!</v>
      </c>
    </row>
    <row r="1446" spans="1:23">
      <c r="A1446" t="s">
        <v>17</v>
      </c>
      <c r="B1446">
        <v>485237</v>
      </c>
      <c r="C1446">
        <v>16</v>
      </c>
      <c r="D1446">
        <v>23</v>
      </c>
      <c r="E1446">
        <v>145</v>
      </c>
      <c r="F1446">
        <v>9</v>
      </c>
      <c r="G1446">
        <v>30</v>
      </c>
      <c r="H1446">
        <v>25</v>
      </c>
      <c r="I1446">
        <v>663</v>
      </c>
      <c r="J1446">
        <v>0</v>
      </c>
      <c r="K1446">
        <v>5.4184999999999999</v>
      </c>
      <c r="L1446">
        <v>11.1875</v>
      </c>
      <c r="M1446">
        <v>111.8425</v>
      </c>
      <c r="N1446">
        <v>20.57</v>
      </c>
      <c r="O1446">
        <v>1713</v>
      </c>
      <c r="P1446">
        <v>0</v>
      </c>
      <c r="Q1446" s="5" t="e">
        <f>IF(AND(#REF!&gt;=table!$C$6,#REF!&lt;= table!$D$6),-1,IF(AND(#REF!&gt;=table!$E$6,#REF!&lt;=table!$F$6),1,0))</f>
        <v>#REF!</v>
      </c>
      <c r="R1446" s="5" t="e">
        <f>IF(AND(#REF!&gt;=table!$C$7,#REF!&lt;= table!$D$7),-1,IF(AND(#REF!&gt;=table!$E$7,#REF!&lt;=table!$F$7),1,0))</f>
        <v>#REF!</v>
      </c>
      <c r="S1446" s="5" t="e">
        <f>IF(AND(#REF!&gt;=table!$C$8,#REF!&lt;= table!$D$8),-1,IF(AND(#REF!&gt;=table!$E$8,#REF!&lt;=table!$F$8),1,0))</f>
        <v>#REF!</v>
      </c>
      <c r="T1446" s="5"/>
      <c r="U1446" s="5" t="e">
        <f>IF(AND(#REF!&gt;=table!$C$10,#REF!&lt;= table!$D$10),-1,IF(AND(#REF!&gt;=table!$E$10,#REF!&lt;=table!$F$10),1,0))</f>
        <v>#REF!</v>
      </c>
      <c r="V1446" s="5" t="e">
        <f>IF(AND(#REF!&gt;=table!$C$11,#REF!&lt;= table!$D$11),-1,IF(AND(#REF!&gt;=table!$E$11,#REF!&lt;=table!$F$11),1,0))</f>
        <v>#REF!</v>
      </c>
      <c r="W1446" s="5" t="e">
        <f>CONCATENATE(dados[[#This Row],[fator1]],dados[[#This Row],[fator5]],dados[[#This Row],[fator6]])</f>
        <v>#REF!</v>
      </c>
    </row>
    <row r="1447" spans="1:23">
      <c r="A1447" t="s">
        <v>17</v>
      </c>
      <c r="B1447">
        <v>485239</v>
      </c>
      <c r="C1447">
        <v>18</v>
      </c>
      <c r="D1447">
        <v>23</v>
      </c>
      <c r="E1447">
        <v>145</v>
      </c>
      <c r="F1447">
        <v>9</v>
      </c>
      <c r="G1447">
        <v>30</v>
      </c>
      <c r="H1447">
        <v>25</v>
      </c>
      <c r="I1447">
        <v>754</v>
      </c>
      <c r="J1447">
        <v>0</v>
      </c>
      <c r="K1447">
        <v>7.1715</v>
      </c>
      <c r="L1447">
        <v>14.287500000000001</v>
      </c>
      <c r="M1447">
        <v>137.53800000000001</v>
      </c>
      <c r="N1447">
        <v>19.98</v>
      </c>
      <c r="O1447">
        <v>1668</v>
      </c>
      <c r="P1447">
        <v>506</v>
      </c>
      <c r="Q1447" s="5" t="e">
        <f>IF(AND(#REF!&gt;=table!$C$6,#REF!&lt;= table!$D$6),-1,IF(AND(#REF!&gt;=table!$E$6,#REF!&lt;=table!$F$6),1,0))</f>
        <v>#REF!</v>
      </c>
      <c r="R1447" s="5" t="e">
        <f>IF(AND(#REF!&gt;=table!$C$7,#REF!&lt;= table!$D$7),-1,IF(AND(#REF!&gt;=table!$E$7,#REF!&lt;=table!$F$7),1,0))</f>
        <v>#REF!</v>
      </c>
      <c r="S1447" s="5" t="e">
        <f>IF(AND(#REF!&gt;=table!$C$8,#REF!&lt;= table!$D$8),-1,IF(AND(#REF!&gt;=table!$E$8,#REF!&lt;=table!$F$8),1,0))</f>
        <v>#REF!</v>
      </c>
      <c r="T1447" s="5"/>
      <c r="U1447" s="5" t="e">
        <f>IF(AND(#REF!&gt;=table!$C$10,#REF!&lt;= table!$D$10),-1,IF(AND(#REF!&gt;=table!$E$10,#REF!&lt;=table!$F$10),1,0))</f>
        <v>#REF!</v>
      </c>
      <c r="V1447" s="5" t="e">
        <f>IF(AND(#REF!&gt;=table!$C$11,#REF!&lt;= table!$D$11),-1,IF(AND(#REF!&gt;=table!$E$11,#REF!&lt;=table!$F$11),1,0))</f>
        <v>#REF!</v>
      </c>
      <c r="W1447" s="5" t="e">
        <f>CONCATENATE(dados[[#This Row],[fator1]],dados[[#This Row],[fator5]],dados[[#This Row],[fator6]])</f>
        <v>#REF!</v>
      </c>
    </row>
    <row r="1448" spans="1:23">
      <c r="A1448" t="s">
        <v>17</v>
      </c>
      <c r="B1448">
        <v>485241</v>
      </c>
      <c r="C1448">
        <v>16</v>
      </c>
      <c r="D1448">
        <v>30</v>
      </c>
      <c r="E1448">
        <v>150</v>
      </c>
      <c r="F1448">
        <v>8</v>
      </c>
      <c r="G1448">
        <v>28</v>
      </c>
      <c r="H1448">
        <v>25</v>
      </c>
      <c r="I1448">
        <v>1680</v>
      </c>
      <c r="J1448">
        <v>0</v>
      </c>
      <c r="K1448">
        <v>6.9135</v>
      </c>
      <c r="L1448">
        <v>13.780000000000001</v>
      </c>
      <c r="M1448">
        <v>117.62650000000001</v>
      </c>
      <c r="N1448">
        <v>18.824999999999999</v>
      </c>
      <c r="O1448">
        <v>1671</v>
      </c>
      <c r="P1448">
        <v>654</v>
      </c>
      <c r="Q1448" s="5" t="e">
        <f>IF(AND(#REF!&gt;=table!$C$6,#REF!&lt;= table!$D$6),-1,IF(AND(#REF!&gt;=table!$E$6,#REF!&lt;=table!$F$6),1,0))</f>
        <v>#REF!</v>
      </c>
      <c r="R1448" s="5" t="e">
        <f>IF(AND(#REF!&gt;=table!$C$7,#REF!&lt;= table!$D$7),-1,IF(AND(#REF!&gt;=table!$E$7,#REF!&lt;=table!$F$7),1,0))</f>
        <v>#REF!</v>
      </c>
      <c r="S1448" s="5" t="e">
        <f>IF(AND(#REF!&gt;=table!$C$8,#REF!&lt;= table!$D$8),-1,IF(AND(#REF!&gt;=table!$E$8,#REF!&lt;=table!$F$8),1,0))</f>
        <v>#REF!</v>
      </c>
      <c r="T1448" s="5"/>
      <c r="U1448" s="5" t="e">
        <f>IF(AND(#REF!&gt;=table!$C$10,#REF!&lt;= table!$D$10),-1,IF(AND(#REF!&gt;=table!$E$10,#REF!&lt;=table!$F$10),1,0))</f>
        <v>#REF!</v>
      </c>
      <c r="V1448" s="5" t="e">
        <f>IF(AND(#REF!&gt;=table!$C$11,#REF!&lt;= table!$D$11),-1,IF(AND(#REF!&gt;=table!$E$11,#REF!&lt;=table!$F$11),1,0))</f>
        <v>#REF!</v>
      </c>
      <c r="W1448" s="5" t="e">
        <f>CONCATENATE(dados[[#This Row],[fator1]],dados[[#This Row],[fator5]],dados[[#This Row],[fator6]])</f>
        <v>#REF!</v>
      </c>
    </row>
    <row r="1449" spans="1:23">
      <c r="A1449" t="s">
        <v>16</v>
      </c>
      <c r="B1449">
        <v>485255</v>
      </c>
      <c r="C1449">
        <v>4</v>
      </c>
      <c r="D1449">
        <v>40</v>
      </c>
      <c r="E1449">
        <v>21</v>
      </c>
      <c r="F1449">
        <v>20</v>
      </c>
      <c r="G1449">
        <v>0</v>
      </c>
      <c r="H1449">
        <v>25</v>
      </c>
      <c r="I1449">
        <v>1073</v>
      </c>
      <c r="J1449">
        <v>0</v>
      </c>
      <c r="K1449">
        <v>7.3995000000000006</v>
      </c>
      <c r="L1449">
        <v>10.700000000000001</v>
      </c>
      <c r="M1449">
        <v>9.9835000000000012</v>
      </c>
      <c r="N1449">
        <v>9.76</v>
      </c>
      <c r="O1449">
        <v>1664</v>
      </c>
      <c r="P1449">
        <v>502</v>
      </c>
      <c r="Q1449" s="5" t="e">
        <f>IF(AND(#REF!&gt;=table!$C$6,#REF!&lt;= table!$D$6),-1,IF(AND(#REF!&gt;=table!$E$6,#REF!&lt;=table!$F$6),1,0))</f>
        <v>#REF!</v>
      </c>
      <c r="R1449" s="5" t="e">
        <f>IF(AND(#REF!&gt;=table!$C$7,#REF!&lt;= table!$D$7),-1,IF(AND(#REF!&gt;=table!$E$7,#REF!&lt;=table!$F$7),1,0))</f>
        <v>#REF!</v>
      </c>
      <c r="S1449" s="5" t="e">
        <f>IF(AND(#REF!&gt;=table!$C$8,#REF!&lt;= table!$D$8),-1,IF(AND(#REF!&gt;=table!$E$8,#REF!&lt;=table!$F$8),1,0))</f>
        <v>#REF!</v>
      </c>
      <c r="T1449" s="5"/>
      <c r="U1449" s="5" t="e">
        <f>IF(AND(#REF!&gt;=table!$C$10,#REF!&lt;= table!$D$10),-1,IF(AND(#REF!&gt;=table!$E$10,#REF!&lt;=table!$F$10),1,0))</f>
        <v>#REF!</v>
      </c>
      <c r="V1449" s="5" t="e">
        <f>IF(AND(#REF!&gt;=table!$C$11,#REF!&lt;= table!$D$11),-1,IF(AND(#REF!&gt;=table!$E$11,#REF!&lt;=table!$F$11),1,0))</f>
        <v>#REF!</v>
      </c>
      <c r="W1449" s="5" t="e">
        <f>CONCATENATE(dados[[#This Row],[fator1]],dados[[#This Row],[fator5]],dados[[#This Row],[fator6]])</f>
        <v>#REF!</v>
      </c>
    </row>
    <row r="1450" spans="1:23">
      <c r="A1450" t="s">
        <v>16</v>
      </c>
      <c r="B1450">
        <v>485258</v>
      </c>
      <c r="C1450">
        <v>0.2</v>
      </c>
      <c r="D1450">
        <v>65</v>
      </c>
      <c r="E1450">
        <v>26</v>
      </c>
      <c r="F1450">
        <v>15</v>
      </c>
      <c r="G1450">
        <v>0</v>
      </c>
      <c r="H1450">
        <v>30</v>
      </c>
      <c r="I1450">
        <v>500</v>
      </c>
      <c r="J1450">
        <v>0</v>
      </c>
      <c r="K1450">
        <v>3.5375000000000001</v>
      </c>
      <c r="L1450">
        <v>5.5070000000000006</v>
      </c>
      <c r="M1450">
        <v>5.2495000000000003</v>
      </c>
      <c r="N1450">
        <v>10.58</v>
      </c>
      <c r="O1450">
        <v>1685</v>
      </c>
      <c r="P1450">
        <v>1169</v>
      </c>
      <c r="Q1450" s="5" t="e">
        <f>IF(AND(#REF!&gt;=table!$C$6,#REF!&lt;= table!$D$6),-1,IF(AND(#REF!&gt;=table!$E$6,#REF!&lt;=table!$F$6),1,0))</f>
        <v>#REF!</v>
      </c>
      <c r="R1450" s="5" t="e">
        <f>IF(AND(#REF!&gt;=table!$C$7,#REF!&lt;= table!$D$7),-1,IF(AND(#REF!&gt;=table!$E$7,#REF!&lt;=table!$F$7),1,0))</f>
        <v>#REF!</v>
      </c>
      <c r="S1450" s="5" t="e">
        <f>IF(AND(#REF!&gt;=table!$C$8,#REF!&lt;= table!$D$8),-1,IF(AND(#REF!&gt;=table!$E$8,#REF!&lt;=table!$F$8),1,0))</f>
        <v>#REF!</v>
      </c>
      <c r="T1450" s="5"/>
      <c r="U1450" s="5" t="e">
        <f>IF(AND(#REF!&gt;=table!$C$10,#REF!&lt;= table!$D$10),-1,IF(AND(#REF!&gt;=table!$E$10,#REF!&lt;=table!$F$10),1,0))</f>
        <v>#REF!</v>
      </c>
      <c r="V1450" s="5" t="e">
        <f>IF(AND(#REF!&gt;=table!$C$11,#REF!&lt;= table!$D$11),-1,IF(AND(#REF!&gt;=table!$E$11,#REF!&lt;=table!$F$11),1,0))</f>
        <v>#REF!</v>
      </c>
      <c r="W1450" s="5" t="e">
        <f>CONCATENATE(dados[[#This Row],[fator1]],dados[[#This Row],[fator5]],dados[[#This Row],[fator6]])</f>
        <v>#REF!</v>
      </c>
    </row>
    <row r="1451" spans="1:23">
      <c r="A1451" t="s">
        <v>16</v>
      </c>
      <c r="B1451">
        <v>485279</v>
      </c>
      <c r="C1451">
        <v>0.15</v>
      </c>
      <c r="D1451">
        <v>35</v>
      </c>
      <c r="E1451">
        <v>15</v>
      </c>
      <c r="F1451">
        <v>10</v>
      </c>
      <c r="G1451">
        <v>0</v>
      </c>
      <c r="H1451">
        <v>12</v>
      </c>
      <c r="I1451">
        <v>837</v>
      </c>
      <c r="J1451">
        <v>0</v>
      </c>
      <c r="K1451">
        <v>6.3725000000000005</v>
      </c>
      <c r="L1451">
        <v>8.0905000000000005</v>
      </c>
      <c r="M1451">
        <v>7.9110000000000005</v>
      </c>
      <c r="N1451">
        <v>10.915000000000001</v>
      </c>
      <c r="O1451">
        <v>1676</v>
      </c>
      <c r="P1451">
        <v>0</v>
      </c>
      <c r="Q1451" s="5" t="e">
        <f>IF(AND(#REF!&gt;=table!$C$6,#REF!&lt;= table!$D$6),-1,IF(AND(#REF!&gt;=table!$E$6,#REF!&lt;=table!$F$6),1,0))</f>
        <v>#REF!</v>
      </c>
      <c r="R1451" s="5" t="e">
        <f>IF(AND(#REF!&gt;=table!$C$7,#REF!&lt;= table!$D$7),-1,IF(AND(#REF!&gt;=table!$E$7,#REF!&lt;=table!$F$7),1,0))</f>
        <v>#REF!</v>
      </c>
      <c r="S1451" s="5" t="e">
        <f>IF(AND(#REF!&gt;=table!$C$8,#REF!&lt;= table!$D$8),-1,IF(AND(#REF!&gt;=table!$E$8,#REF!&lt;=table!$F$8),1,0))</f>
        <v>#REF!</v>
      </c>
      <c r="T1451" s="5"/>
      <c r="U1451" s="5" t="e">
        <f>IF(AND(#REF!&gt;=table!$C$10,#REF!&lt;= table!$D$10),-1,IF(AND(#REF!&gt;=table!$E$10,#REF!&lt;=table!$F$10),1,0))</f>
        <v>#REF!</v>
      </c>
      <c r="V1451" s="5" t="e">
        <f>IF(AND(#REF!&gt;=table!$C$11,#REF!&lt;= table!$D$11),-1,IF(AND(#REF!&gt;=table!$E$11,#REF!&lt;=table!$F$11),1,0))</f>
        <v>#REF!</v>
      </c>
      <c r="W1451" s="5" t="e">
        <f>CONCATENATE(dados[[#This Row],[fator1]],dados[[#This Row],[fator5]],dados[[#This Row],[fator6]])</f>
        <v>#REF!</v>
      </c>
    </row>
    <row r="1452" spans="1:23">
      <c r="A1452" t="s">
        <v>16</v>
      </c>
      <c r="B1452">
        <v>485293</v>
      </c>
      <c r="C1452">
        <v>9</v>
      </c>
      <c r="D1452">
        <v>35</v>
      </c>
      <c r="E1452">
        <v>36</v>
      </c>
      <c r="F1452">
        <v>9</v>
      </c>
      <c r="G1452">
        <v>0</v>
      </c>
      <c r="H1452">
        <v>25</v>
      </c>
      <c r="I1452">
        <v>904</v>
      </c>
      <c r="J1452">
        <v>0</v>
      </c>
      <c r="K1452">
        <v>6.9055</v>
      </c>
      <c r="L1452">
        <v>10.857000000000001</v>
      </c>
      <c r="M1452">
        <v>33.487000000000002</v>
      </c>
      <c r="N1452">
        <v>15.63</v>
      </c>
      <c r="O1452">
        <v>1680</v>
      </c>
      <c r="P1452">
        <v>561</v>
      </c>
      <c r="Q1452" s="5" t="e">
        <f>IF(AND(#REF!&gt;=table!$C$6,#REF!&lt;= table!$D$6),-1,IF(AND(#REF!&gt;=table!$E$6,#REF!&lt;=table!$F$6),1,0))</f>
        <v>#REF!</v>
      </c>
      <c r="R1452" s="5" t="e">
        <f>IF(AND(#REF!&gt;=table!$C$7,#REF!&lt;= table!$D$7),-1,IF(AND(#REF!&gt;=table!$E$7,#REF!&lt;=table!$F$7),1,0))</f>
        <v>#REF!</v>
      </c>
      <c r="S1452" s="5" t="e">
        <f>IF(AND(#REF!&gt;=table!$C$8,#REF!&lt;= table!$D$8),-1,IF(AND(#REF!&gt;=table!$E$8,#REF!&lt;=table!$F$8),1,0))</f>
        <v>#REF!</v>
      </c>
      <c r="T1452" s="5"/>
      <c r="U1452" s="5" t="e">
        <f>IF(AND(#REF!&gt;=table!$C$10,#REF!&lt;= table!$D$10),-1,IF(AND(#REF!&gt;=table!$E$10,#REF!&lt;=table!$F$10),1,0))</f>
        <v>#REF!</v>
      </c>
      <c r="V1452" s="5" t="e">
        <f>IF(AND(#REF!&gt;=table!$C$11,#REF!&lt;= table!$D$11),-1,IF(AND(#REF!&gt;=table!$E$11,#REF!&lt;=table!$F$11),1,0))</f>
        <v>#REF!</v>
      </c>
      <c r="W1452" s="5" t="e">
        <f>CONCATENATE(dados[[#This Row],[fator1]],dados[[#This Row],[fator5]],dados[[#This Row],[fator6]])</f>
        <v>#REF!</v>
      </c>
    </row>
    <row r="1453" spans="1:23">
      <c r="A1453" t="s">
        <v>17</v>
      </c>
      <c r="B1453">
        <v>485296</v>
      </c>
      <c r="C1453">
        <v>7</v>
      </c>
      <c r="D1453">
        <v>20</v>
      </c>
      <c r="E1453">
        <v>120</v>
      </c>
      <c r="F1453">
        <v>4</v>
      </c>
      <c r="G1453">
        <v>105</v>
      </c>
      <c r="H1453">
        <v>25</v>
      </c>
      <c r="I1453">
        <v>713</v>
      </c>
      <c r="J1453">
        <v>0</v>
      </c>
      <c r="K1453">
        <v>3.9505000000000003</v>
      </c>
      <c r="L1453">
        <v>7.6520000000000001</v>
      </c>
      <c r="M1453">
        <v>97.64800000000001</v>
      </c>
      <c r="N1453">
        <v>14.94</v>
      </c>
      <c r="O1453">
        <v>1653</v>
      </c>
      <c r="P1453">
        <v>983</v>
      </c>
      <c r="Q1453" s="5" t="e">
        <f>IF(AND(#REF!&gt;=table!$C$6,#REF!&lt;= table!$D$6),-1,IF(AND(#REF!&gt;=table!$E$6,#REF!&lt;=table!$F$6),1,0))</f>
        <v>#REF!</v>
      </c>
      <c r="R1453" s="5" t="e">
        <f>IF(AND(#REF!&gt;=table!$C$7,#REF!&lt;= table!$D$7),-1,IF(AND(#REF!&gt;=table!$E$7,#REF!&lt;=table!$F$7),1,0))</f>
        <v>#REF!</v>
      </c>
      <c r="S1453" s="5" t="e">
        <f>IF(AND(#REF!&gt;=table!$C$8,#REF!&lt;= table!$D$8),-1,IF(AND(#REF!&gt;=table!$E$8,#REF!&lt;=table!$F$8),1,0))</f>
        <v>#REF!</v>
      </c>
      <c r="T1453" s="5"/>
      <c r="U1453" s="5" t="e">
        <f>IF(AND(#REF!&gt;=table!$C$10,#REF!&lt;= table!$D$10),-1,IF(AND(#REF!&gt;=table!$E$10,#REF!&lt;=table!$F$10),1,0))</f>
        <v>#REF!</v>
      </c>
      <c r="V1453" s="5" t="e">
        <f>IF(AND(#REF!&gt;=table!$C$11,#REF!&lt;= table!$D$11),-1,IF(AND(#REF!&gt;=table!$E$11,#REF!&lt;=table!$F$11),1,0))</f>
        <v>#REF!</v>
      </c>
      <c r="W1453" s="5" t="e">
        <f>CONCATENATE(dados[[#This Row],[fator1]],dados[[#This Row],[fator5]],dados[[#This Row],[fator6]])</f>
        <v>#REF!</v>
      </c>
    </row>
    <row r="1454" spans="1:23">
      <c r="A1454" t="s">
        <v>17</v>
      </c>
      <c r="B1454">
        <v>485302</v>
      </c>
      <c r="C1454">
        <v>14</v>
      </c>
      <c r="D1454">
        <v>30</v>
      </c>
      <c r="E1454">
        <v>110</v>
      </c>
      <c r="F1454">
        <v>3</v>
      </c>
      <c r="G1454">
        <v>20</v>
      </c>
      <c r="H1454">
        <v>22</v>
      </c>
      <c r="I1454">
        <v>703</v>
      </c>
      <c r="J1454">
        <v>770</v>
      </c>
      <c r="K1454">
        <v>3.9695</v>
      </c>
      <c r="L1454">
        <v>9.84</v>
      </c>
      <c r="M1454">
        <v>87.317999999999998</v>
      </c>
      <c r="N1454">
        <v>17.315000000000001</v>
      </c>
      <c r="O1454">
        <v>1691</v>
      </c>
      <c r="P1454">
        <v>0</v>
      </c>
      <c r="Q1454" s="5" t="e">
        <f>IF(AND(#REF!&gt;=table!$C$6,#REF!&lt;= table!$D$6),-1,IF(AND(#REF!&gt;=table!$E$6,#REF!&lt;=table!$F$6),1,0))</f>
        <v>#REF!</v>
      </c>
      <c r="R1454" s="5" t="e">
        <f>IF(AND(#REF!&gt;=table!$C$7,#REF!&lt;= table!$D$7),-1,IF(AND(#REF!&gt;=table!$E$7,#REF!&lt;=table!$F$7),1,0))</f>
        <v>#REF!</v>
      </c>
      <c r="S1454" s="5" t="e">
        <f>IF(AND(#REF!&gt;=table!$C$8,#REF!&lt;= table!$D$8),-1,IF(AND(#REF!&gt;=table!$E$8,#REF!&lt;=table!$F$8),1,0))</f>
        <v>#REF!</v>
      </c>
      <c r="T1454" s="5"/>
      <c r="U1454" s="5" t="e">
        <f>IF(AND(#REF!&gt;=table!$C$10,#REF!&lt;= table!$D$10),-1,IF(AND(#REF!&gt;=table!$E$10,#REF!&lt;=table!$F$10),1,0))</f>
        <v>#REF!</v>
      </c>
      <c r="V1454" s="5" t="e">
        <f>IF(AND(#REF!&gt;=table!$C$11,#REF!&lt;= table!$D$11),-1,IF(AND(#REF!&gt;=table!$E$11,#REF!&lt;=table!$F$11),1,0))</f>
        <v>#REF!</v>
      </c>
      <c r="W1454" s="5" t="e">
        <f>CONCATENATE(dados[[#This Row],[fator1]],dados[[#This Row],[fator5]],dados[[#This Row],[fator6]])</f>
        <v>#REF!</v>
      </c>
    </row>
    <row r="1455" spans="1:23">
      <c r="A1455" t="s">
        <v>17</v>
      </c>
      <c r="B1455">
        <v>485303</v>
      </c>
      <c r="C1455">
        <v>14</v>
      </c>
      <c r="D1455">
        <v>30</v>
      </c>
      <c r="E1455">
        <v>110</v>
      </c>
      <c r="F1455">
        <v>3</v>
      </c>
      <c r="G1455">
        <v>20</v>
      </c>
      <c r="H1455">
        <v>22</v>
      </c>
      <c r="I1455">
        <v>255</v>
      </c>
      <c r="J1455">
        <v>1420</v>
      </c>
      <c r="K1455">
        <v>79.948999999999998</v>
      </c>
      <c r="L1455">
        <v>31.065000000000001</v>
      </c>
      <c r="M1455">
        <v>95.70450000000001</v>
      </c>
      <c r="N1455">
        <v>13.01</v>
      </c>
      <c r="O1455">
        <v>1658</v>
      </c>
      <c r="P1455">
        <v>0</v>
      </c>
      <c r="Q1455" s="5" t="e">
        <f>IF(AND(#REF!&gt;=table!$C$6,#REF!&lt;= table!$D$6),-1,IF(AND(#REF!&gt;=table!$E$6,#REF!&lt;=table!$F$6),1,0))</f>
        <v>#REF!</v>
      </c>
      <c r="R1455" s="5" t="e">
        <f>IF(AND(#REF!&gt;=table!$C$7,#REF!&lt;= table!$D$7),-1,IF(AND(#REF!&gt;=table!$E$7,#REF!&lt;=table!$F$7),1,0))</f>
        <v>#REF!</v>
      </c>
      <c r="S1455" s="5" t="e">
        <f>IF(AND(#REF!&gt;=table!$C$8,#REF!&lt;= table!$D$8),-1,IF(AND(#REF!&gt;=table!$E$8,#REF!&lt;=table!$F$8),1,0))</f>
        <v>#REF!</v>
      </c>
      <c r="T1455" s="5"/>
      <c r="U1455" s="5" t="e">
        <f>IF(AND(#REF!&gt;=table!$C$10,#REF!&lt;= table!$D$10),-1,IF(AND(#REF!&gt;=table!$E$10,#REF!&lt;=table!$F$10),1,0))</f>
        <v>#REF!</v>
      </c>
      <c r="V1455" s="5" t="e">
        <f>IF(AND(#REF!&gt;=table!$C$11,#REF!&lt;= table!$D$11),-1,IF(AND(#REF!&gt;=table!$E$11,#REF!&lt;=table!$F$11),1,0))</f>
        <v>#REF!</v>
      </c>
      <c r="W1455" s="5" t="e">
        <f>CONCATENATE(dados[[#This Row],[fator1]],dados[[#This Row],[fator5]],dados[[#This Row],[fator6]])</f>
        <v>#REF!</v>
      </c>
    </row>
    <row r="1456" spans="1:23">
      <c r="A1456" t="s">
        <v>17</v>
      </c>
      <c r="B1456">
        <v>485304</v>
      </c>
      <c r="C1456">
        <v>6</v>
      </c>
      <c r="D1456">
        <v>30</v>
      </c>
      <c r="E1456">
        <v>110</v>
      </c>
      <c r="F1456">
        <v>10</v>
      </c>
      <c r="G1456">
        <v>21</v>
      </c>
      <c r="H1456">
        <v>25</v>
      </c>
      <c r="I1456">
        <v>60</v>
      </c>
      <c r="J1456">
        <v>0</v>
      </c>
      <c r="K1456">
        <v>5.8959999999999999</v>
      </c>
      <c r="L1456">
        <v>12.517000000000001</v>
      </c>
      <c r="M1456">
        <v>92.629500000000007</v>
      </c>
      <c r="N1456">
        <v>14.97</v>
      </c>
      <c r="O1456">
        <v>1672</v>
      </c>
      <c r="P1456">
        <v>598</v>
      </c>
      <c r="Q1456" s="5" t="e">
        <f>IF(AND(#REF!&gt;=table!$C$6,#REF!&lt;= table!$D$6),-1,IF(AND(#REF!&gt;=table!$E$6,#REF!&lt;=table!$F$6),1,0))</f>
        <v>#REF!</v>
      </c>
      <c r="R1456" s="5" t="e">
        <f>IF(AND(#REF!&gt;=table!$C$7,#REF!&lt;= table!$D$7),-1,IF(AND(#REF!&gt;=table!$E$7,#REF!&lt;=table!$F$7),1,0))</f>
        <v>#REF!</v>
      </c>
      <c r="S1456" s="5" t="e">
        <f>IF(AND(#REF!&gt;=table!$C$8,#REF!&lt;= table!$D$8),-1,IF(AND(#REF!&gt;=table!$E$8,#REF!&lt;=table!$F$8),1,0))</f>
        <v>#REF!</v>
      </c>
      <c r="T1456" s="5"/>
      <c r="U1456" s="5" t="e">
        <f>IF(AND(#REF!&gt;=table!$C$10,#REF!&lt;= table!$D$10),-1,IF(AND(#REF!&gt;=table!$E$10,#REF!&lt;=table!$F$10),1,0))</f>
        <v>#REF!</v>
      </c>
      <c r="V1456" s="5" t="e">
        <f>IF(AND(#REF!&gt;=table!$C$11,#REF!&lt;= table!$D$11),-1,IF(AND(#REF!&gt;=table!$E$11,#REF!&lt;=table!$F$11),1,0))</f>
        <v>#REF!</v>
      </c>
      <c r="W1456" s="5" t="e">
        <f>CONCATENATE(dados[[#This Row],[fator1]],dados[[#This Row],[fator5]],dados[[#This Row],[fator6]])</f>
        <v>#REF!</v>
      </c>
    </row>
    <row r="1457" spans="1:23">
      <c r="A1457" t="s">
        <v>17</v>
      </c>
      <c r="B1457">
        <v>485305</v>
      </c>
      <c r="C1457">
        <v>14</v>
      </c>
      <c r="D1457">
        <v>30</v>
      </c>
      <c r="E1457">
        <v>110</v>
      </c>
      <c r="F1457">
        <v>3</v>
      </c>
      <c r="G1457">
        <v>20</v>
      </c>
      <c r="H1457">
        <v>22</v>
      </c>
      <c r="I1457">
        <v>1767</v>
      </c>
      <c r="J1457">
        <v>850</v>
      </c>
      <c r="K1457">
        <v>9.3864999999999998</v>
      </c>
      <c r="L1457">
        <v>17.682500000000001</v>
      </c>
      <c r="M1457">
        <v>77.061999999999998</v>
      </c>
      <c r="N1457">
        <v>13.56</v>
      </c>
      <c r="O1457">
        <v>1671</v>
      </c>
      <c r="P1457">
        <v>0</v>
      </c>
      <c r="Q1457" s="5" t="e">
        <f>IF(AND(#REF!&gt;=table!$C$6,#REF!&lt;= table!$D$6),-1,IF(AND(#REF!&gt;=table!$E$6,#REF!&lt;=table!$F$6),1,0))</f>
        <v>#REF!</v>
      </c>
      <c r="R1457" s="5" t="e">
        <f>IF(AND(#REF!&gt;=table!$C$7,#REF!&lt;= table!$D$7),-1,IF(AND(#REF!&gt;=table!$E$7,#REF!&lt;=table!$F$7),1,0))</f>
        <v>#REF!</v>
      </c>
      <c r="S1457" s="5" t="e">
        <f>IF(AND(#REF!&gt;=table!$C$8,#REF!&lt;= table!$D$8),-1,IF(AND(#REF!&gt;=table!$E$8,#REF!&lt;=table!$F$8),1,0))</f>
        <v>#REF!</v>
      </c>
      <c r="T1457" s="5"/>
      <c r="U1457" s="5" t="e">
        <f>IF(AND(#REF!&gt;=table!$C$10,#REF!&lt;= table!$D$10),-1,IF(AND(#REF!&gt;=table!$E$10,#REF!&lt;=table!$F$10),1,0))</f>
        <v>#REF!</v>
      </c>
      <c r="V1457" s="5" t="e">
        <f>IF(AND(#REF!&gt;=table!$C$11,#REF!&lt;= table!$D$11),-1,IF(AND(#REF!&gt;=table!$E$11,#REF!&lt;=table!$F$11),1,0))</f>
        <v>#REF!</v>
      </c>
      <c r="W1457" s="5" t="e">
        <f>CONCATENATE(dados[[#This Row],[fator1]],dados[[#This Row],[fator5]],dados[[#This Row],[fator6]])</f>
        <v>#REF!</v>
      </c>
    </row>
    <row r="1458" spans="1:23">
      <c r="A1458" t="s">
        <v>16</v>
      </c>
      <c r="B1458">
        <v>485306</v>
      </c>
      <c r="C1458">
        <v>12</v>
      </c>
      <c r="D1458">
        <v>40</v>
      </c>
      <c r="E1458">
        <v>36</v>
      </c>
      <c r="F1458">
        <v>9</v>
      </c>
      <c r="G1458">
        <v>0</v>
      </c>
      <c r="H1458">
        <v>25</v>
      </c>
      <c r="I1458">
        <v>736</v>
      </c>
      <c r="J1458">
        <v>0</v>
      </c>
      <c r="K1458">
        <v>7.1050000000000004</v>
      </c>
      <c r="L1458">
        <v>13.295</v>
      </c>
      <c r="M1458">
        <v>31.583500000000001</v>
      </c>
      <c r="N1458">
        <v>14.465</v>
      </c>
      <c r="O1458">
        <v>1654</v>
      </c>
      <c r="P1458">
        <v>490</v>
      </c>
      <c r="Q1458" s="5" t="e">
        <f>IF(AND(#REF!&gt;=table!$C$6,#REF!&lt;= table!$D$6),-1,IF(AND(#REF!&gt;=table!$E$6,#REF!&lt;=table!$F$6),1,0))</f>
        <v>#REF!</v>
      </c>
      <c r="R1458" s="5" t="e">
        <f>IF(AND(#REF!&gt;=table!$C$7,#REF!&lt;= table!$D$7),-1,IF(AND(#REF!&gt;=table!$E$7,#REF!&lt;=table!$F$7),1,0))</f>
        <v>#REF!</v>
      </c>
      <c r="S1458" s="5" t="e">
        <f>IF(AND(#REF!&gt;=table!$C$8,#REF!&lt;= table!$D$8),-1,IF(AND(#REF!&gt;=table!$E$8,#REF!&lt;=table!$F$8),1,0))</f>
        <v>#REF!</v>
      </c>
      <c r="T1458" s="5"/>
      <c r="U1458" s="5" t="e">
        <f>IF(AND(#REF!&gt;=table!$C$10,#REF!&lt;= table!$D$10),-1,IF(AND(#REF!&gt;=table!$E$10,#REF!&lt;=table!$F$10),1,0))</f>
        <v>#REF!</v>
      </c>
      <c r="V1458" s="5" t="e">
        <f>IF(AND(#REF!&gt;=table!$C$11,#REF!&lt;= table!$D$11),-1,IF(AND(#REF!&gt;=table!$E$11,#REF!&lt;=table!$F$11),1,0))</f>
        <v>#REF!</v>
      </c>
      <c r="W1458" s="5" t="e">
        <f>CONCATENATE(dados[[#This Row],[fator1]],dados[[#This Row],[fator5]],dados[[#This Row],[fator6]])</f>
        <v>#REF!</v>
      </c>
    </row>
    <row r="1459" spans="1:23">
      <c r="A1459" t="s">
        <v>17</v>
      </c>
      <c r="B1459">
        <v>485307</v>
      </c>
      <c r="C1459">
        <v>14</v>
      </c>
      <c r="D1459">
        <v>30</v>
      </c>
      <c r="E1459">
        <v>110</v>
      </c>
      <c r="F1459">
        <v>3</v>
      </c>
      <c r="G1459">
        <v>20</v>
      </c>
      <c r="H1459">
        <v>22</v>
      </c>
      <c r="I1459">
        <v>713</v>
      </c>
      <c r="J1459">
        <v>0</v>
      </c>
      <c r="K1459">
        <v>6.1850000000000005</v>
      </c>
      <c r="L1459">
        <v>11.500500000000001</v>
      </c>
      <c r="M1459">
        <v>105.426</v>
      </c>
      <c r="N1459">
        <v>14.755000000000001</v>
      </c>
      <c r="O1459">
        <v>1662</v>
      </c>
      <c r="P1459">
        <v>618</v>
      </c>
      <c r="Q1459" s="5" t="e">
        <f>IF(AND(#REF!&gt;=table!$C$6,#REF!&lt;= table!$D$6),-1,IF(AND(#REF!&gt;=table!$E$6,#REF!&lt;=table!$F$6),1,0))</f>
        <v>#REF!</v>
      </c>
      <c r="R1459" s="5" t="e">
        <f>IF(AND(#REF!&gt;=table!$C$7,#REF!&lt;= table!$D$7),-1,IF(AND(#REF!&gt;=table!$E$7,#REF!&lt;=table!$F$7),1,0))</f>
        <v>#REF!</v>
      </c>
      <c r="S1459" s="5" t="e">
        <f>IF(AND(#REF!&gt;=table!$C$8,#REF!&lt;= table!$D$8),-1,IF(AND(#REF!&gt;=table!$E$8,#REF!&lt;=table!$F$8),1,0))</f>
        <v>#REF!</v>
      </c>
      <c r="T1459" s="5"/>
      <c r="U1459" s="5" t="e">
        <f>IF(AND(#REF!&gt;=table!$C$10,#REF!&lt;= table!$D$10),-1,IF(AND(#REF!&gt;=table!$E$10,#REF!&lt;=table!$F$10),1,0))</f>
        <v>#REF!</v>
      </c>
      <c r="V1459" s="5" t="e">
        <f>IF(AND(#REF!&gt;=table!$C$11,#REF!&lt;= table!$D$11),-1,IF(AND(#REF!&gt;=table!$E$11,#REF!&lt;=table!$F$11),1,0))</f>
        <v>#REF!</v>
      </c>
      <c r="W1459" s="5" t="e">
        <f>CONCATENATE(dados[[#This Row],[fator1]],dados[[#This Row],[fator5]],dados[[#This Row],[fator6]])</f>
        <v>#REF!</v>
      </c>
    </row>
    <row r="1460" spans="1:23">
      <c r="A1460" t="s">
        <v>17</v>
      </c>
      <c r="B1460">
        <v>485310</v>
      </c>
      <c r="C1460">
        <v>14</v>
      </c>
      <c r="D1460">
        <v>30</v>
      </c>
      <c r="E1460">
        <v>110</v>
      </c>
      <c r="F1460">
        <v>3</v>
      </c>
      <c r="G1460">
        <v>20</v>
      </c>
      <c r="H1460">
        <v>22</v>
      </c>
      <c r="I1460">
        <v>996</v>
      </c>
      <c r="J1460">
        <v>850</v>
      </c>
      <c r="K1460">
        <v>7.181</v>
      </c>
      <c r="L1460">
        <v>10.16</v>
      </c>
      <c r="M1460">
        <v>61.042000000000002</v>
      </c>
      <c r="N1460">
        <v>11.34</v>
      </c>
      <c r="O1460">
        <v>1689</v>
      </c>
      <c r="P1460">
        <v>594</v>
      </c>
      <c r="Q1460" s="5" t="e">
        <f>IF(AND(#REF!&gt;=table!$C$6,#REF!&lt;= table!$D$6),-1,IF(AND(#REF!&gt;=table!$E$6,#REF!&lt;=table!$F$6),1,0))</f>
        <v>#REF!</v>
      </c>
      <c r="R1460" s="5" t="e">
        <f>IF(AND(#REF!&gt;=table!$C$7,#REF!&lt;= table!$D$7),-1,IF(AND(#REF!&gt;=table!$E$7,#REF!&lt;=table!$F$7),1,0))</f>
        <v>#REF!</v>
      </c>
      <c r="S1460" s="5" t="e">
        <f>IF(AND(#REF!&gt;=table!$C$8,#REF!&lt;= table!$D$8),-1,IF(AND(#REF!&gt;=table!$E$8,#REF!&lt;=table!$F$8),1,0))</f>
        <v>#REF!</v>
      </c>
      <c r="T1460" s="5"/>
      <c r="U1460" s="5" t="e">
        <f>IF(AND(#REF!&gt;=table!$C$10,#REF!&lt;= table!$D$10),-1,IF(AND(#REF!&gt;=table!$E$10,#REF!&lt;=table!$F$10),1,0))</f>
        <v>#REF!</v>
      </c>
      <c r="V1460" s="5" t="e">
        <f>IF(AND(#REF!&gt;=table!$C$11,#REF!&lt;= table!$D$11),-1,IF(AND(#REF!&gt;=table!$E$11,#REF!&lt;=table!$F$11),1,0))</f>
        <v>#REF!</v>
      </c>
      <c r="W1460" s="5" t="e">
        <f>CONCATENATE(dados[[#This Row],[fator1]],dados[[#This Row],[fator5]],dados[[#This Row],[fator6]])</f>
        <v>#REF!</v>
      </c>
    </row>
    <row r="1461" spans="1:23">
      <c r="A1461" t="s">
        <v>17</v>
      </c>
      <c r="B1461">
        <v>485311</v>
      </c>
      <c r="C1461">
        <v>17</v>
      </c>
      <c r="D1461">
        <v>35</v>
      </c>
      <c r="E1461">
        <v>125</v>
      </c>
      <c r="F1461">
        <v>4</v>
      </c>
      <c r="G1461">
        <v>28</v>
      </c>
      <c r="H1461">
        <v>20</v>
      </c>
      <c r="I1461">
        <v>993</v>
      </c>
      <c r="J1461">
        <v>810</v>
      </c>
      <c r="K1461">
        <v>3.375</v>
      </c>
      <c r="L1461">
        <v>10.047500000000001</v>
      </c>
      <c r="M1461">
        <v>115.26450000000001</v>
      </c>
      <c r="N1461">
        <v>14.445</v>
      </c>
      <c r="O1461">
        <v>1686</v>
      </c>
      <c r="P1461">
        <v>1060</v>
      </c>
      <c r="Q1461" s="5" t="e">
        <f>IF(AND(#REF!&gt;=table!$C$6,#REF!&lt;= table!$D$6),-1,IF(AND(#REF!&gt;=table!$E$6,#REF!&lt;=table!$F$6),1,0))</f>
        <v>#REF!</v>
      </c>
      <c r="R1461" s="5" t="e">
        <f>IF(AND(#REF!&gt;=table!$C$7,#REF!&lt;= table!$D$7),-1,IF(AND(#REF!&gt;=table!$E$7,#REF!&lt;=table!$F$7),1,0))</f>
        <v>#REF!</v>
      </c>
      <c r="S1461" s="5" t="e">
        <f>IF(AND(#REF!&gt;=table!$C$8,#REF!&lt;= table!$D$8),-1,IF(AND(#REF!&gt;=table!$E$8,#REF!&lt;=table!$F$8),1,0))</f>
        <v>#REF!</v>
      </c>
      <c r="T1461" s="5"/>
      <c r="U1461" s="5" t="e">
        <f>IF(AND(#REF!&gt;=table!$C$10,#REF!&lt;= table!$D$10),-1,IF(AND(#REF!&gt;=table!$E$10,#REF!&lt;=table!$F$10),1,0))</f>
        <v>#REF!</v>
      </c>
      <c r="V1461" s="5" t="e">
        <f>IF(AND(#REF!&gt;=table!$C$11,#REF!&lt;= table!$D$11),-1,IF(AND(#REF!&gt;=table!$E$11,#REF!&lt;=table!$F$11),1,0))</f>
        <v>#REF!</v>
      </c>
      <c r="W1461" s="5" t="e">
        <f>CONCATENATE(dados[[#This Row],[fator1]],dados[[#This Row],[fator5]],dados[[#This Row],[fator6]])</f>
        <v>#REF!</v>
      </c>
    </row>
    <row r="1462" spans="1:23">
      <c r="A1462" t="s">
        <v>16</v>
      </c>
      <c r="B1462">
        <v>485313</v>
      </c>
      <c r="C1462">
        <v>9</v>
      </c>
      <c r="D1462">
        <v>27</v>
      </c>
      <c r="E1462">
        <v>36</v>
      </c>
      <c r="F1462">
        <v>8</v>
      </c>
      <c r="G1462">
        <v>0</v>
      </c>
      <c r="H1462">
        <v>25</v>
      </c>
      <c r="I1462">
        <v>1179</v>
      </c>
      <c r="J1462">
        <v>0</v>
      </c>
      <c r="K1462">
        <v>6.0674999999999999</v>
      </c>
      <c r="L1462">
        <v>11.607000000000001</v>
      </c>
      <c r="M1462">
        <v>29.5565</v>
      </c>
      <c r="N1462">
        <v>16.865000000000002</v>
      </c>
      <c r="O1462">
        <v>1667</v>
      </c>
      <c r="P1462">
        <v>647</v>
      </c>
      <c r="Q1462" s="5" t="e">
        <f>IF(AND(#REF!&gt;=table!$C$6,#REF!&lt;= table!$D$6),-1,IF(AND(#REF!&gt;=table!$E$6,#REF!&lt;=table!$F$6),1,0))</f>
        <v>#REF!</v>
      </c>
      <c r="R1462" s="5" t="e">
        <f>IF(AND(#REF!&gt;=table!$C$7,#REF!&lt;= table!$D$7),-1,IF(AND(#REF!&gt;=table!$E$7,#REF!&lt;=table!$F$7),1,0))</f>
        <v>#REF!</v>
      </c>
      <c r="S1462" s="5" t="e">
        <f>IF(AND(#REF!&gt;=table!$C$8,#REF!&lt;= table!$D$8),-1,IF(AND(#REF!&gt;=table!$E$8,#REF!&lt;=table!$F$8),1,0))</f>
        <v>#REF!</v>
      </c>
      <c r="T1462" s="5"/>
      <c r="U1462" s="5" t="e">
        <f>IF(AND(#REF!&gt;=table!$C$10,#REF!&lt;= table!$D$10),-1,IF(AND(#REF!&gt;=table!$E$10,#REF!&lt;=table!$F$10),1,0))</f>
        <v>#REF!</v>
      </c>
      <c r="V1462" s="5" t="e">
        <f>IF(AND(#REF!&gt;=table!$C$11,#REF!&lt;= table!$D$11),-1,IF(AND(#REF!&gt;=table!$E$11,#REF!&lt;=table!$F$11),1,0))</f>
        <v>#REF!</v>
      </c>
      <c r="W1462" s="5" t="e">
        <f>CONCATENATE(dados[[#This Row],[fator1]],dados[[#This Row],[fator5]],dados[[#This Row],[fator6]])</f>
        <v>#REF!</v>
      </c>
    </row>
    <row r="1463" spans="1:23">
      <c r="A1463" t="s">
        <v>17</v>
      </c>
      <c r="B1463">
        <v>485314</v>
      </c>
      <c r="C1463">
        <v>13</v>
      </c>
      <c r="D1463">
        <v>35</v>
      </c>
      <c r="E1463">
        <v>110</v>
      </c>
      <c r="F1463">
        <v>1</v>
      </c>
      <c r="G1463">
        <v>25</v>
      </c>
      <c r="H1463">
        <v>18</v>
      </c>
      <c r="I1463">
        <v>889</v>
      </c>
      <c r="J1463">
        <v>0</v>
      </c>
      <c r="K1463">
        <v>4.1150000000000002</v>
      </c>
      <c r="L1463">
        <v>4.7229999999999999</v>
      </c>
      <c r="M1463">
        <v>90.023499999999999</v>
      </c>
      <c r="N1463">
        <v>9.61</v>
      </c>
      <c r="O1463">
        <v>1692</v>
      </c>
      <c r="P1463">
        <v>0</v>
      </c>
      <c r="Q1463" s="5" t="e">
        <f>IF(AND(#REF!&gt;=table!$C$6,#REF!&lt;= table!$D$6),-1,IF(AND(#REF!&gt;=table!$E$6,#REF!&lt;=table!$F$6),1,0))</f>
        <v>#REF!</v>
      </c>
      <c r="R1463" s="5" t="e">
        <f>IF(AND(#REF!&gt;=table!$C$7,#REF!&lt;= table!$D$7),-1,IF(AND(#REF!&gt;=table!$E$7,#REF!&lt;=table!$F$7),1,0))</f>
        <v>#REF!</v>
      </c>
      <c r="S1463" s="5" t="e">
        <f>IF(AND(#REF!&gt;=table!$C$8,#REF!&lt;= table!$D$8),-1,IF(AND(#REF!&gt;=table!$E$8,#REF!&lt;=table!$F$8),1,0))</f>
        <v>#REF!</v>
      </c>
      <c r="T1463" s="5"/>
      <c r="U1463" s="5" t="e">
        <f>IF(AND(#REF!&gt;=table!$C$10,#REF!&lt;= table!$D$10),-1,IF(AND(#REF!&gt;=table!$E$10,#REF!&lt;=table!$F$10),1,0))</f>
        <v>#REF!</v>
      </c>
      <c r="V1463" s="5" t="e">
        <f>IF(AND(#REF!&gt;=table!$C$11,#REF!&lt;= table!$D$11),-1,IF(AND(#REF!&gt;=table!$E$11,#REF!&lt;=table!$F$11),1,0))</f>
        <v>#REF!</v>
      </c>
      <c r="W1463" s="5" t="e">
        <f>CONCATENATE(dados[[#This Row],[fator1]],dados[[#This Row],[fator5]],dados[[#This Row],[fator6]])</f>
        <v>#REF!</v>
      </c>
    </row>
    <row r="1464" spans="1:23">
      <c r="A1464" t="s">
        <v>17</v>
      </c>
      <c r="B1464">
        <v>485321</v>
      </c>
      <c r="C1464">
        <v>22</v>
      </c>
      <c r="D1464">
        <v>30</v>
      </c>
      <c r="E1464">
        <v>101</v>
      </c>
      <c r="F1464">
        <v>9</v>
      </c>
      <c r="G1464">
        <v>20</v>
      </c>
      <c r="H1464">
        <v>25</v>
      </c>
      <c r="I1464">
        <v>1</v>
      </c>
      <c r="J1464">
        <v>0</v>
      </c>
      <c r="K1464">
        <v>8.2035</v>
      </c>
      <c r="L1464">
        <v>15.149000000000001</v>
      </c>
      <c r="M1464">
        <v>103.47500000000001</v>
      </c>
      <c r="N1464">
        <v>20.8</v>
      </c>
      <c r="O1464">
        <v>1658</v>
      </c>
      <c r="P1464">
        <v>0</v>
      </c>
      <c r="Q1464" s="5" t="e">
        <f>IF(AND(#REF!&gt;=table!$C$6,#REF!&lt;= table!$D$6),-1,IF(AND(#REF!&gt;=table!$E$6,#REF!&lt;=table!$F$6),1,0))</f>
        <v>#REF!</v>
      </c>
      <c r="R1464" s="5" t="e">
        <f>IF(AND(#REF!&gt;=table!$C$7,#REF!&lt;= table!$D$7),-1,IF(AND(#REF!&gt;=table!$E$7,#REF!&lt;=table!$F$7),1,0))</f>
        <v>#REF!</v>
      </c>
      <c r="S1464" s="5" t="e">
        <f>IF(AND(#REF!&gt;=table!$C$8,#REF!&lt;= table!$D$8),-1,IF(AND(#REF!&gt;=table!$E$8,#REF!&lt;=table!$F$8),1,0))</f>
        <v>#REF!</v>
      </c>
      <c r="T1464" s="5"/>
      <c r="U1464" s="5" t="e">
        <f>IF(AND(#REF!&gt;=table!$C$10,#REF!&lt;= table!$D$10),-1,IF(AND(#REF!&gt;=table!$E$10,#REF!&lt;=table!$F$10),1,0))</f>
        <v>#REF!</v>
      </c>
      <c r="V1464" s="5" t="e">
        <f>IF(AND(#REF!&gt;=table!$C$11,#REF!&lt;= table!$D$11),-1,IF(AND(#REF!&gt;=table!$E$11,#REF!&lt;=table!$F$11),1,0))</f>
        <v>#REF!</v>
      </c>
      <c r="W1464" s="5" t="e">
        <f>CONCATENATE(dados[[#This Row],[fator1]],dados[[#This Row],[fator5]],dados[[#This Row],[fator6]])</f>
        <v>#REF!</v>
      </c>
    </row>
    <row r="1465" spans="1:23">
      <c r="A1465" t="s">
        <v>17</v>
      </c>
      <c r="B1465">
        <v>485327</v>
      </c>
      <c r="C1465">
        <v>17</v>
      </c>
      <c r="D1465">
        <v>33</v>
      </c>
      <c r="E1465">
        <v>85</v>
      </c>
      <c r="F1465">
        <v>8</v>
      </c>
      <c r="G1465">
        <v>28</v>
      </c>
      <c r="H1465">
        <v>25</v>
      </c>
      <c r="I1465">
        <v>739</v>
      </c>
      <c r="J1465">
        <v>580</v>
      </c>
      <c r="K1465">
        <v>4.6305000000000005</v>
      </c>
      <c r="L1465">
        <v>5.21</v>
      </c>
      <c r="M1465">
        <v>70.423500000000004</v>
      </c>
      <c r="N1465">
        <v>10.775</v>
      </c>
      <c r="O1465">
        <v>1626</v>
      </c>
      <c r="P1465">
        <v>0</v>
      </c>
      <c r="Q1465" s="5" t="e">
        <f>IF(AND(#REF!&gt;=table!$C$6,#REF!&lt;= table!$D$6),-1,IF(AND(#REF!&gt;=table!$E$6,#REF!&lt;=table!$F$6),1,0))</f>
        <v>#REF!</v>
      </c>
      <c r="R1465" s="5" t="e">
        <f>IF(AND(#REF!&gt;=table!$C$7,#REF!&lt;= table!$D$7),-1,IF(AND(#REF!&gt;=table!$E$7,#REF!&lt;=table!$F$7),1,0))</f>
        <v>#REF!</v>
      </c>
      <c r="S1465" s="5" t="e">
        <f>IF(AND(#REF!&gt;=table!$C$8,#REF!&lt;= table!$D$8),-1,IF(AND(#REF!&gt;=table!$E$8,#REF!&lt;=table!$F$8),1,0))</f>
        <v>#REF!</v>
      </c>
      <c r="T1465" s="5"/>
      <c r="U1465" s="5" t="e">
        <f>IF(AND(#REF!&gt;=table!$C$10,#REF!&lt;= table!$D$10),-1,IF(AND(#REF!&gt;=table!$E$10,#REF!&lt;=table!$F$10),1,0))</f>
        <v>#REF!</v>
      </c>
      <c r="V1465" s="5" t="e">
        <f>IF(AND(#REF!&gt;=table!$C$11,#REF!&lt;= table!$D$11),-1,IF(AND(#REF!&gt;=table!$E$11,#REF!&lt;=table!$F$11),1,0))</f>
        <v>#REF!</v>
      </c>
      <c r="W1465" s="5" t="e">
        <f>CONCATENATE(dados[[#This Row],[fator1]],dados[[#This Row],[fator5]],dados[[#This Row],[fator6]])</f>
        <v>#REF!</v>
      </c>
    </row>
    <row r="1466" spans="1:23">
      <c r="A1466" t="s">
        <v>17</v>
      </c>
      <c r="B1466">
        <v>485328</v>
      </c>
      <c r="C1466">
        <v>14</v>
      </c>
      <c r="D1466">
        <v>30</v>
      </c>
      <c r="E1466">
        <v>86</v>
      </c>
      <c r="F1466">
        <v>9</v>
      </c>
      <c r="G1466">
        <v>20</v>
      </c>
      <c r="H1466">
        <v>25</v>
      </c>
      <c r="I1466">
        <v>8</v>
      </c>
      <c r="J1466">
        <v>0</v>
      </c>
      <c r="K1466">
        <v>4.1530000000000005</v>
      </c>
      <c r="L1466">
        <v>9.2185000000000006</v>
      </c>
      <c r="M1466">
        <v>58.009500000000003</v>
      </c>
      <c r="N1466">
        <v>13.02</v>
      </c>
      <c r="O1466">
        <v>1648</v>
      </c>
      <c r="P1466">
        <v>671</v>
      </c>
      <c r="Q1466" s="5" t="e">
        <f>IF(AND(#REF!&gt;=table!$C$6,#REF!&lt;= table!$D$6),-1,IF(AND(#REF!&gt;=table!$E$6,#REF!&lt;=table!$F$6),1,0))</f>
        <v>#REF!</v>
      </c>
      <c r="R1466" s="5" t="e">
        <f>IF(AND(#REF!&gt;=table!$C$7,#REF!&lt;= table!$D$7),-1,IF(AND(#REF!&gt;=table!$E$7,#REF!&lt;=table!$F$7),1,0))</f>
        <v>#REF!</v>
      </c>
      <c r="S1466" s="5" t="e">
        <f>IF(AND(#REF!&gt;=table!$C$8,#REF!&lt;= table!$D$8),-1,IF(AND(#REF!&gt;=table!$E$8,#REF!&lt;=table!$F$8),1,0))</f>
        <v>#REF!</v>
      </c>
      <c r="T1466" s="5"/>
      <c r="U1466" s="5" t="e">
        <f>IF(AND(#REF!&gt;=table!$C$10,#REF!&lt;= table!$D$10),-1,IF(AND(#REF!&gt;=table!$E$10,#REF!&lt;=table!$F$10),1,0))</f>
        <v>#REF!</v>
      </c>
      <c r="V1466" s="5" t="e">
        <f>IF(AND(#REF!&gt;=table!$C$11,#REF!&lt;= table!$D$11),-1,IF(AND(#REF!&gt;=table!$E$11,#REF!&lt;=table!$F$11),1,0))</f>
        <v>#REF!</v>
      </c>
      <c r="W1466" s="5" t="e">
        <f>CONCATENATE(dados[[#This Row],[fator1]],dados[[#This Row],[fator5]],dados[[#This Row],[fator6]])</f>
        <v>#REF!</v>
      </c>
    </row>
    <row r="1467" spans="1:23">
      <c r="A1467" t="s">
        <v>17</v>
      </c>
      <c r="B1467">
        <v>485329</v>
      </c>
      <c r="C1467">
        <v>14</v>
      </c>
      <c r="D1467">
        <v>30</v>
      </c>
      <c r="E1467">
        <v>86</v>
      </c>
      <c r="F1467">
        <v>9</v>
      </c>
      <c r="G1467">
        <v>20</v>
      </c>
      <c r="H1467">
        <v>25</v>
      </c>
      <c r="I1467">
        <v>754</v>
      </c>
      <c r="J1467">
        <v>0</v>
      </c>
      <c r="K1467">
        <v>5.6025</v>
      </c>
      <c r="L1467">
        <v>10.689</v>
      </c>
      <c r="M1467">
        <v>78.910499999999999</v>
      </c>
      <c r="N1467">
        <v>18.809999999999999</v>
      </c>
      <c r="O1467">
        <v>1689</v>
      </c>
      <c r="P1467">
        <v>729</v>
      </c>
      <c r="Q1467" s="5" t="e">
        <f>IF(AND(#REF!&gt;=table!$C$6,#REF!&lt;= table!$D$6),-1,IF(AND(#REF!&gt;=table!$E$6,#REF!&lt;=table!$F$6),1,0))</f>
        <v>#REF!</v>
      </c>
      <c r="R1467" s="5" t="e">
        <f>IF(AND(#REF!&gt;=table!$C$7,#REF!&lt;= table!$D$7),-1,IF(AND(#REF!&gt;=table!$E$7,#REF!&lt;=table!$F$7),1,0))</f>
        <v>#REF!</v>
      </c>
      <c r="S1467" s="5" t="e">
        <f>IF(AND(#REF!&gt;=table!$C$8,#REF!&lt;= table!$D$8),-1,IF(AND(#REF!&gt;=table!$E$8,#REF!&lt;=table!$F$8),1,0))</f>
        <v>#REF!</v>
      </c>
      <c r="T1467" s="5"/>
      <c r="U1467" s="5" t="e">
        <f>IF(AND(#REF!&gt;=table!$C$10,#REF!&lt;= table!$D$10),-1,IF(AND(#REF!&gt;=table!$E$10,#REF!&lt;=table!$F$10),1,0))</f>
        <v>#REF!</v>
      </c>
      <c r="V1467" s="5" t="e">
        <f>IF(AND(#REF!&gt;=table!$C$11,#REF!&lt;= table!$D$11),-1,IF(AND(#REF!&gt;=table!$E$11,#REF!&lt;=table!$F$11),1,0))</f>
        <v>#REF!</v>
      </c>
      <c r="W1467" s="5" t="e">
        <f>CONCATENATE(dados[[#This Row],[fator1]],dados[[#This Row],[fator5]],dados[[#This Row],[fator6]])</f>
        <v>#REF!</v>
      </c>
    </row>
    <row r="1468" spans="1:23">
      <c r="A1468" t="s">
        <v>17</v>
      </c>
      <c r="B1468">
        <v>485330</v>
      </c>
      <c r="C1468">
        <v>10</v>
      </c>
      <c r="D1468">
        <v>25</v>
      </c>
      <c r="E1468">
        <v>156</v>
      </c>
      <c r="F1468">
        <v>8</v>
      </c>
      <c r="G1468">
        <v>20</v>
      </c>
      <c r="H1468">
        <v>25</v>
      </c>
      <c r="I1468">
        <v>1108</v>
      </c>
      <c r="J1468">
        <v>0</v>
      </c>
      <c r="K1468">
        <v>6.5105000000000004</v>
      </c>
      <c r="L1468">
        <v>12.351500000000001</v>
      </c>
      <c r="M1468">
        <v>126.65050000000001</v>
      </c>
      <c r="N1468">
        <v>17.685000000000002</v>
      </c>
      <c r="O1468">
        <v>1677</v>
      </c>
      <c r="P1468">
        <v>0</v>
      </c>
      <c r="Q1468" s="5" t="e">
        <f>IF(AND(#REF!&gt;=table!$C$6,#REF!&lt;= table!$D$6),-1,IF(AND(#REF!&gt;=table!$E$6,#REF!&lt;=table!$F$6),1,0))</f>
        <v>#REF!</v>
      </c>
      <c r="R1468" s="5" t="e">
        <f>IF(AND(#REF!&gt;=table!$C$7,#REF!&lt;= table!$D$7),-1,IF(AND(#REF!&gt;=table!$E$7,#REF!&lt;=table!$F$7),1,0))</f>
        <v>#REF!</v>
      </c>
      <c r="S1468" s="5" t="e">
        <f>IF(AND(#REF!&gt;=table!$C$8,#REF!&lt;= table!$D$8),-1,IF(AND(#REF!&gt;=table!$E$8,#REF!&lt;=table!$F$8),1,0))</f>
        <v>#REF!</v>
      </c>
      <c r="T1468" s="5"/>
      <c r="U1468" s="5" t="e">
        <f>IF(AND(#REF!&gt;=table!$C$10,#REF!&lt;= table!$D$10),-1,IF(AND(#REF!&gt;=table!$E$10,#REF!&lt;=table!$F$10),1,0))</f>
        <v>#REF!</v>
      </c>
      <c r="V1468" s="5" t="e">
        <f>IF(AND(#REF!&gt;=table!$C$11,#REF!&lt;= table!$D$11),-1,IF(AND(#REF!&gt;=table!$E$11,#REF!&lt;=table!$F$11),1,0))</f>
        <v>#REF!</v>
      </c>
      <c r="W1468" s="5" t="e">
        <f>CONCATENATE(dados[[#This Row],[fator1]],dados[[#This Row],[fator5]],dados[[#This Row],[fator6]])</f>
        <v>#REF!</v>
      </c>
    </row>
    <row r="1469" spans="1:23">
      <c r="A1469" t="s">
        <v>17</v>
      </c>
      <c r="B1469">
        <v>485331</v>
      </c>
      <c r="C1469">
        <v>10</v>
      </c>
      <c r="D1469">
        <v>25</v>
      </c>
      <c r="E1469">
        <v>156</v>
      </c>
      <c r="F1469">
        <v>8</v>
      </c>
      <c r="G1469">
        <v>20</v>
      </c>
      <c r="H1469">
        <v>25</v>
      </c>
      <c r="I1469">
        <v>1346</v>
      </c>
      <c r="J1469">
        <v>590</v>
      </c>
      <c r="K1469">
        <v>11.2385</v>
      </c>
      <c r="L1469">
        <v>12.897500000000001</v>
      </c>
      <c r="M1469">
        <v>147.28050000000002</v>
      </c>
      <c r="N1469">
        <v>14.325000000000001</v>
      </c>
      <c r="O1469">
        <v>1666</v>
      </c>
      <c r="P1469">
        <v>348</v>
      </c>
      <c r="Q1469" s="5" t="e">
        <f>IF(AND(#REF!&gt;=table!$C$6,#REF!&lt;= table!$D$6),-1,IF(AND(#REF!&gt;=table!$E$6,#REF!&lt;=table!$F$6),1,0))</f>
        <v>#REF!</v>
      </c>
      <c r="R1469" s="5" t="e">
        <f>IF(AND(#REF!&gt;=table!$C$7,#REF!&lt;= table!$D$7),-1,IF(AND(#REF!&gt;=table!$E$7,#REF!&lt;=table!$F$7),1,0))</f>
        <v>#REF!</v>
      </c>
      <c r="S1469" s="5" t="e">
        <f>IF(AND(#REF!&gt;=table!$C$8,#REF!&lt;= table!$D$8),-1,IF(AND(#REF!&gt;=table!$E$8,#REF!&lt;=table!$F$8),1,0))</f>
        <v>#REF!</v>
      </c>
      <c r="T1469" s="5"/>
      <c r="U1469" s="5" t="e">
        <f>IF(AND(#REF!&gt;=table!$C$10,#REF!&lt;= table!$D$10),-1,IF(AND(#REF!&gt;=table!$E$10,#REF!&lt;=table!$F$10),1,0))</f>
        <v>#REF!</v>
      </c>
      <c r="V1469" s="5" t="e">
        <f>IF(AND(#REF!&gt;=table!$C$11,#REF!&lt;= table!$D$11),-1,IF(AND(#REF!&gt;=table!$E$11,#REF!&lt;=table!$F$11),1,0))</f>
        <v>#REF!</v>
      </c>
      <c r="W1469" s="5" t="e">
        <f>CONCATENATE(dados[[#This Row],[fator1]],dados[[#This Row],[fator5]],dados[[#This Row],[fator6]])</f>
        <v>#REF!</v>
      </c>
    </row>
    <row r="1470" spans="1:23">
      <c r="A1470" t="s">
        <v>17</v>
      </c>
      <c r="B1470">
        <v>485332</v>
      </c>
      <c r="C1470">
        <v>10</v>
      </c>
      <c r="D1470">
        <v>25</v>
      </c>
      <c r="E1470">
        <v>156</v>
      </c>
      <c r="F1470">
        <v>8</v>
      </c>
      <c r="G1470">
        <v>20</v>
      </c>
      <c r="H1470">
        <v>25</v>
      </c>
      <c r="I1470">
        <v>640</v>
      </c>
      <c r="J1470">
        <v>0</v>
      </c>
      <c r="K1470">
        <v>4.3715000000000002</v>
      </c>
      <c r="L1470">
        <v>11.439500000000001</v>
      </c>
      <c r="M1470">
        <v>135.267</v>
      </c>
      <c r="N1470">
        <v>17.23</v>
      </c>
      <c r="O1470">
        <v>1689</v>
      </c>
      <c r="P1470">
        <v>1007</v>
      </c>
      <c r="Q1470" s="5" t="e">
        <f>IF(AND(#REF!&gt;=table!$C$6,#REF!&lt;= table!$D$6),-1,IF(AND(#REF!&gt;=table!$E$6,#REF!&lt;=table!$F$6),1,0))</f>
        <v>#REF!</v>
      </c>
      <c r="R1470" s="5" t="e">
        <f>IF(AND(#REF!&gt;=table!$C$7,#REF!&lt;= table!$D$7),-1,IF(AND(#REF!&gt;=table!$E$7,#REF!&lt;=table!$F$7),1,0))</f>
        <v>#REF!</v>
      </c>
      <c r="S1470" s="5" t="e">
        <f>IF(AND(#REF!&gt;=table!$C$8,#REF!&lt;= table!$D$8),-1,IF(AND(#REF!&gt;=table!$E$8,#REF!&lt;=table!$F$8),1,0))</f>
        <v>#REF!</v>
      </c>
      <c r="T1470" s="5"/>
      <c r="U1470" s="5" t="e">
        <f>IF(AND(#REF!&gt;=table!$C$10,#REF!&lt;= table!$D$10),-1,IF(AND(#REF!&gt;=table!$E$10,#REF!&lt;=table!$F$10),1,0))</f>
        <v>#REF!</v>
      </c>
      <c r="V1470" s="5" t="e">
        <f>IF(AND(#REF!&gt;=table!$C$11,#REF!&lt;= table!$D$11),-1,IF(AND(#REF!&gt;=table!$E$11,#REF!&lt;=table!$F$11),1,0))</f>
        <v>#REF!</v>
      </c>
      <c r="W1470" s="5" t="e">
        <f>CONCATENATE(dados[[#This Row],[fator1]],dados[[#This Row],[fator5]],dados[[#This Row],[fator6]])</f>
        <v>#REF!</v>
      </c>
    </row>
    <row r="1471" spans="1:23">
      <c r="A1471" t="s">
        <v>16</v>
      </c>
      <c r="B1471">
        <v>485333</v>
      </c>
      <c r="C1471">
        <v>6</v>
      </c>
      <c r="D1471">
        <v>25</v>
      </c>
      <c r="E1471">
        <v>120</v>
      </c>
      <c r="F1471">
        <v>4</v>
      </c>
      <c r="G1471">
        <v>0</v>
      </c>
      <c r="H1471">
        <v>55</v>
      </c>
      <c r="I1471">
        <v>709</v>
      </c>
      <c r="J1471">
        <v>0</v>
      </c>
      <c r="K1471">
        <v>2.887</v>
      </c>
      <c r="L1471">
        <v>5.2525000000000004</v>
      </c>
      <c r="M1471">
        <v>55.049500000000002</v>
      </c>
      <c r="N1471">
        <v>26.625</v>
      </c>
      <c r="O1471">
        <v>1689</v>
      </c>
      <c r="P1471">
        <v>0</v>
      </c>
      <c r="Q1471" s="5" t="e">
        <f>IF(AND(#REF!&gt;=table!$C$6,#REF!&lt;= table!$D$6),-1,IF(AND(#REF!&gt;=table!$E$6,#REF!&lt;=table!$F$6),1,0))</f>
        <v>#REF!</v>
      </c>
      <c r="R1471" s="5" t="e">
        <f>IF(AND(#REF!&gt;=table!$C$7,#REF!&lt;= table!$D$7),-1,IF(AND(#REF!&gt;=table!$E$7,#REF!&lt;=table!$F$7),1,0))</f>
        <v>#REF!</v>
      </c>
      <c r="S1471" s="5" t="e">
        <f>IF(AND(#REF!&gt;=table!$C$8,#REF!&lt;= table!$D$8),-1,IF(AND(#REF!&gt;=table!$E$8,#REF!&lt;=table!$F$8),1,0))</f>
        <v>#REF!</v>
      </c>
      <c r="T1471" s="5"/>
      <c r="U1471" s="5" t="e">
        <f>IF(AND(#REF!&gt;=table!$C$10,#REF!&lt;= table!$D$10),-1,IF(AND(#REF!&gt;=table!$E$10,#REF!&lt;=table!$F$10),1,0))</f>
        <v>#REF!</v>
      </c>
      <c r="V1471" s="5" t="e">
        <f>IF(AND(#REF!&gt;=table!$C$11,#REF!&lt;= table!$D$11),-1,IF(AND(#REF!&gt;=table!$E$11,#REF!&lt;=table!$F$11),1,0))</f>
        <v>#REF!</v>
      </c>
      <c r="W1471" s="5" t="e">
        <f>CONCATENATE(dados[[#This Row],[fator1]],dados[[#This Row],[fator5]],dados[[#This Row],[fator6]])</f>
        <v>#REF!</v>
      </c>
    </row>
    <row r="1472" spans="1:23">
      <c r="A1472" t="s">
        <v>16</v>
      </c>
      <c r="B1472">
        <v>485334</v>
      </c>
      <c r="C1472">
        <v>8</v>
      </c>
      <c r="D1472">
        <v>30</v>
      </c>
      <c r="E1472">
        <v>61</v>
      </c>
      <c r="F1472">
        <v>8</v>
      </c>
      <c r="G1472">
        <v>0</v>
      </c>
      <c r="H1472">
        <v>25</v>
      </c>
      <c r="I1472">
        <v>1011</v>
      </c>
      <c r="J1472">
        <v>0</v>
      </c>
      <c r="K1472">
        <v>3.95</v>
      </c>
      <c r="L1472">
        <v>7.0250000000000004</v>
      </c>
      <c r="M1472">
        <v>45.844000000000001</v>
      </c>
      <c r="N1472">
        <v>6.835</v>
      </c>
      <c r="O1472">
        <v>1642</v>
      </c>
      <c r="P1472">
        <v>593</v>
      </c>
      <c r="Q1472" s="5" t="e">
        <f>IF(AND(#REF!&gt;=table!$C$6,#REF!&lt;= table!$D$6),-1,IF(AND(#REF!&gt;=table!$E$6,#REF!&lt;=table!$F$6),1,0))</f>
        <v>#REF!</v>
      </c>
      <c r="R1472" s="5" t="e">
        <f>IF(AND(#REF!&gt;=table!$C$7,#REF!&lt;= table!$D$7),-1,IF(AND(#REF!&gt;=table!$E$7,#REF!&lt;=table!$F$7),1,0))</f>
        <v>#REF!</v>
      </c>
      <c r="S1472" s="5" t="e">
        <f>IF(AND(#REF!&gt;=table!$C$8,#REF!&lt;= table!$D$8),-1,IF(AND(#REF!&gt;=table!$E$8,#REF!&lt;=table!$F$8),1,0))</f>
        <v>#REF!</v>
      </c>
      <c r="T1472" s="5"/>
      <c r="U1472" s="5" t="e">
        <f>IF(AND(#REF!&gt;=table!$C$10,#REF!&lt;= table!$D$10),-1,IF(AND(#REF!&gt;=table!$E$10,#REF!&lt;=table!$F$10),1,0))</f>
        <v>#REF!</v>
      </c>
      <c r="V1472" s="5" t="e">
        <f>IF(AND(#REF!&gt;=table!$C$11,#REF!&lt;= table!$D$11),-1,IF(AND(#REF!&gt;=table!$E$11,#REF!&lt;=table!$F$11),1,0))</f>
        <v>#REF!</v>
      </c>
      <c r="W1472" s="5" t="e">
        <f>CONCATENATE(dados[[#This Row],[fator1]],dados[[#This Row],[fator5]],dados[[#This Row],[fator6]])</f>
        <v>#REF!</v>
      </c>
    </row>
    <row r="1473" spans="1:23">
      <c r="A1473" t="s">
        <v>16</v>
      </c>
      <c r="B1473">
        <v>485336</v>
      </c>
      <c r="C1473">
        <v>8</v>
      </c>
      <c r="D1473">
        <v>30</v>
      </c>
      <c r="E1473">
        <v>61</v>
      </c>
      <c r="F1473">
        <v>8</v>
      </c>
      <c r="G1473">
        <v>0</v>
      </c>
      <c r="H1473">
        <v>25</v>
      </c>
      <c r="I1473">
        <v>888</v>
      </c>
      <c r="J1473">
        <v>0</v>
      </c>
      <c r="K1473">
        <v>4.8585000000000003</v>
      </c>
      <c r="L1473">
        <v>10.236000000000001</v>
      </c>
      <c r="M1473">
        <v>90.264499999999998</v>
      </c>
      <c r="N1473">
        <v>15.735000000000001</v>
      </c>
      <c r="O1473">
        <v>1697</v>
      </c>
      <c r="P1473">
        <v>0</v>
      </c>
      <c r="Q1473" s="5" t="e">
        <f>IF(AND(#REF!&gt;=table!$C$6,#REF!&lt;= table!$D$6),-1,IF(AND(#REF!&gt;=table!$E$6,#REF!&lt;=table!$F$6),1,0))</f>
        <v>#REF!</v>
      </c>
      <c r="R1473" s="5" t="e">
        <f>IF(AND(#REF!&gt;=table!$C$7,#REF!&lt;= table!$D$7),-1,IF(AND(#REF!&gt;=table!$E$7,#REF!&lt;=table!$F$7),1,0))</f>
        <v>#REF!</v>
      </c>
      <c r="S1473" s="5" t="e">
        <f>IF(AND(#REF!&gt;=table!$C$8,#REF!&lt;= table!$D$8),-1,IF(AND(#REF!&gt;=table!$E$8,#REF!&lt;=table!$F$8),1,0))</f>
        <v>#REF!</v>
      </c>
      <c r="T1473" s="5"/>
      <c r="U1473" s="5" t="e">
        <f>IF(AND(#REF!&gt;=table!$C$10,#REF!&lt;= table!$D$10),-1,IF(AND(#REF!&gt;=table!$E$10,#REF!&lt;=table!$F$10),1,0))</f>
        <v>#REF!</v>
      </c>
      <c r="V1473" s="5" t="e">
        <f>IF(AND(#REF!&gt;=table!$C$11,#REF!&lt;= table!$D$11),-1,IF(AND(#REF!&gt;=table!$E$11,#REF!&lt;=table!$F$11),1,0))</f>
        <v>#REF!</v>
      </c>
      <c r="W1473" s="5" t="e">
        <f>CONCATENATE(dados[[#This Row],[fator1]],dados[[#This Row],[fator5]],dados[[#This Row],[fator6]])</f>
        <v>#REF!</v>
      </c>
    </row>
    <row r="1474" spans="1:23">
      <c r="A1474" t="s">
        <v>17</v>
      </c>
      <c r="B1474">
        <v>485338</v>
      </c>
      <c r="C1474">
        <v>46</v>
      </c>
      <c r="D1474">
        <v>18</v>
      </c>
      <c r="E1474">
        <v>66</v>
      </c>
      <c r="F1474">
        <v>10</v>
      </c>
      <c r="G1474">
        <v>20</v>
      </c>
      <c r="H1474">
        <v>23</v>
      </c>
      <c r="I1474">
        <v>617</v>
      </c>
      <c r="J1474">
        <v>0</v>
      </c>
      <c r="K1474">
        <v>6.4330000000000007</v>
      </c>
      <c r="L1474">
        <v>13.384</v>
      </c>
      <c r="M1474">
        <v>66.180999999999997</v>
      </c>
      <c r="N1474">
        <v>17.010000000000002</v>
      </c>
      <c r="O1474">
        <v>1664</v>
      </c>
      <c r="P1474">
        <v>0</v>
      </c>
      <c r="Q1474" s="5" t="e">
        <f>IF(AND(#REF!&gt;=table!$C$6,#REF!&lt;= table!$D$6),-1,IF(AND(#REF!&gt;=table!$E$6,#REF!&lt;=table!$F$6),1,0))</f>
        <v>#REF!</v>
      </c>
      <c r="R1474" s="5" t="e">
        <f>IF(AND(#REF!&gt;=table!$C$7,#REF!&lt;= table!$D$7),-1,IF(AND(#REF!&gt;=table!$E$7,#REF!&lt;=table!$F$7),1,0))</f>
        <v>#REF!</v>
      </c>
      <c r="S1474" s="5" t="e">
        <f>IF(AND(#REF!&gt;=table!$C$8,#REF!&lt;= table!$D$8),-1,IF(AND(#REF!&gt;=table!$E$8,#REF!&lt;=table!$F$8),1,0))</f>
        <v>#REF!</v>
      </c>
      <c r="T1474" s="5"/>
      <c r="U1474" s="5" t="e">
        <f>IF(AND(#REF!&gt;=table!$C$10,#REF!&lt;= table!$D$10),-1,IF(AND(#REF!&gt;=table!$E$10,#REF!&lt;=table!$F$10),1,0))</f>
        <v>#REF!</v>
      </c>
      <c r="V1474" s="5" t="e">
        <f>IF(AND(#REF!&gt;=table!$C$11,#REF!&lt;= table!$D$11),-1,IF(AND(#REF!&gt;=table!$E$11,#REF!&lt;=table!$F$11),1,0))</f>
        <v>#REF!</v>
      </c>
      <c r="W1474" s="5" t="e">
        <f>CONCATENATE(dados[[#This Row],[fator1]],dados[[#This Row],[fator5]],dados[[#This Row],[fator6]])</f>
        <v>#REF!</v>
      </c>
    </row>
    <row r="1475" spans="1:23">
      <c r="A1475" t="s">
        <v>17</v>
      </c>
      <c r="B1475">
        <v>485339</v>
      </c>
      <c r="C1475">
        <v>45</v>
      </c>
      <c r="D1475">
        <v>30</v>
      </c>
      <c r="E1475">
        <v>126</v>
      </c>
      <c r="F1475">
        <v>9</v>
      </c>
      <c r="G1475">
        <v>23</v>
      </c>
      <c r="H1475">
        <v>22</v>
      </c>
      <c r="I1475">
        <v>826</v>
      </c>
      <c r="J1475">
        <v>1970</v>
      </c>
      <c r="K1475">
        <v>11.883000000000001</v>
      </c>
      <c r="L1475">
        <v>22.1875</v>
      </c>
      <c r="M1475">
        <v>110.691</v>
      </c>
      <c r="N1475">
        <v>12.23</v>
      </c>
      <c r="O1475">
        <v>1665</v>
      </c>
      <c r="P1475">
        <v>253</v>
      </c>
      <c r="Q1475" s="5" t="e">
        <f>IF(AND(#REF!&gt;=table!$C$6,#REF!&lt;= table!$D$6),-1,IF(AND(#REF!&gt;=table!$E$6,#REF!&lt;=table!$F$6),1,0))</f>
        <v>#REF!</v>
      </c>
      <c r="R1475" s="5" t="e">
        <f>IF(AND(#REF!&gt;=table!$C$7,#REF!&lt;= table!$D$7),-1,IF(AND(#REF!&gt;=table!$E$7,#REF!&lt;=table!$F$7),1,0))</f>
        <v>#REF!</v>
      </c>
      <c r="S1475" s="5" t="e">
        <f>IF(AND(#REF!&gt;=table!$C$8,#REF!&lt;= table!$D$8),-1,IF(AND(#REF!&gt;=table!$E$8,#REF!&lt;=table!$F$8),1,0))</f>
        <v>#REF!</v>
      </c>
      <c r="T1475" s="5"/>
      <c r="U1475" s="5" t="e">
        <f>IF(AND(#REF!&gt;=table!$C$10,#REF!&lt;= table!$D$10),-1,IF(AND(#REF!&gt;=table!$E$10,#REF!&lt;=table!$F$10),1,0))</f>
        <v>#REF!</v>
      </c>
      <c r="V1475" s="5" t="e">
        <f>IF(AND(#REF!&gt;=table!$C$11,#REF!&lt;= table!$D$11),-1,IF(AND(#REF!&gt;=table!$E$11,#REF!&lt;=table!$F$11),1,0))</f>
        <v>#REF!</v>
      </c>
      <c r="W1475" s="5" t="e">
        <f>CONCATENATE(dados[[#This Row],[fator1]],dados[[#This Row],[fator5]],dados[[#This Row],[fator6]])</f>
        <v>#REF!</v>
      </c>
    </row>
    <row r="1476" spans="1:23">
      <c r="A1476" t="s">
        <v>16</v>
      </c>
      <c r="B1476">
        <v>485340</v>
      </c>
      <c r="C1476">
        <v>6</v>
      </c>
      <c r="D1476">
        <v>40</v>
      </c>
      <c r="E1476">
        <v>66</v>
      </c>
      <c r="F1476">
        <v>10</v>
      </c>
      <c r="G1476">
        <v>0</v>
      </c>
      <c r="H1476">
        <v>25</v>
      </c>
      <c r="I1476">
        <v>704</v>
      </c>
      <c r="J1476">
        <v>0</v>
      </c>
      <c r="K1476">
        <v>5.7955000000000005</v>
      </c>
      <c r="L1476">
        <v>11.627000000000001</v>
      </c>
      <c r="M1476">
        <v>69.665000000000006</v>
      </c>
      <c r="N1476">
        <v>14.565000000000001</v>
      </c>
      <c r="O1476">
        <v>1658</v>
      </c>
      <c r="P1476">
        <v>0</v>
      </c>
      <c r="Q1476" s="5" t="e">
        <f>IF(AND(#REF!&gt;=table!$C$6,#REF!&lt;= table!$D$6),-1,IF(AND(#REF!&gt;=table!$E$6,#REF!&lt;=table!$F$6),1,0))</f>
        <v>#REF!</v>
      </c>
      <c r="R1476" s="5" t="e">
        <f>IF(AND(#REF!&gt;=table!$C$7,#REF!&lt;= table!$D$7),-1,IF(AND(#REF!&gt;=table!$E$7,#REF!&lt;=table!$F$7),1,0))</f>
        <v>#REF!</v>
      </c>
      <c r="S1476" s="5" t="e">
        <f>IF(AND(#REF!&gt;=table!$C$8,#REF!&lt;= table!$D$8),-1,IF(AND(#REF!&gt;=table!$E$8,#REF!&lt;=table!$F$8),1,0))</f>
        <v>#REF!</v>
      </c>
      <c r="T1476" s="5"/>
      <c r="U1476" s="5" t="e">
        <f>IF(AND(#REF!&gt;=table!$C$10,#REF!&lt;= table!$D$10),-1,IF(AND(#REF!&gt;=table!$E$10,#REF!&lt;=table!$F$10),1,0))</f>
        <v>#REF!</v>
      </c>
      <c r="V1476" s="5" t="e">
        <f>IF(AND(#REF!&gt;=table!$C$11,#REF!&lt;= table!$D$11),-1,IF(AND(#REF!&gt;=table!$E$11,#REF!&lt;=table!$F$11),1,0))</f>
        <v>#REF!</v>
      </c>
      <c r="W1476" s="5" t="e">
        <f>CONCATENATE(dados[[#This Row],[fator1]],dados[[#This Row],[fator5]],dados[[#This Row],[fator6]])</f>
        <v>#REF!</v>
      </c>
    </row>
    <row r="1477" spans="1:23">
      <c r="A1477" t="s">
        <v>16</v>
      </c>
      <c r="B1477">
        <v>485346</v>
      </c>
      <c r="C1477">
        <v>16</v>
      </c>
      <c r="D1477">
        <v>35</v>
      </c>
      <c r="E1477">
        <v>56</v>
      </c>
      <c r="F1477">
        <v>10</v>
      </c>
      <c r="G1477">
        <v>0</v>
      </c>
      <c r="H1477">
        <v>25</v>
      </c>
      <c r="I1477">
        <v>0</v>
      </c>
      <c r="J1477">
        <v>0</v>
      </c>
      <c r="K1477">
        <v>5.2495000000000003</v>
      </c>
      <c r="L1477">
        <v>11.0815</v>
      </c>
      <c r="M1477">
        <v>40.818000000000005</v>
      </c>
      <c r="N1477">
        <v>17.8</v>
      </c>
      <c r="O1477">
        <v>1689</v>
      </c>
      <c r="P1477">
        <v>0</v>
      </c>
      <c r="Q1477" s="5" t="e">
        <f>IF(AND(#REF!&gt;=table!$C$6,#REF!&lt;= table!$D$6),-1,IF(AND(#REF!&gt;=table!$E$6,#REF!&lt;=table!$F$6),1,0))</f>
        <v>#REF!</v>
      </c>
      <c r="R1477" s="5" t="e">
        <f>IF(AND(#REF!&gt;=table!$C$7,#REF!&lt;= table!$D$7),-1,IF(AND(#REF!&gt;=table!$E$7,#REF!&lt;=table!$F$7),1,0))</f>
        <v>#REF!</v>
      </c>
      <c r="S1477" s="5" t="e">
        <f>IF(AND(#REF!&gt;=table!$C$8,#REF!&lt;= table!$D$8),-1,IF(AND(#REF!&gt;=table!$E$8,#REF!&lt;=table!$F$8),1,0))</f>
        <v>#REF!</v>
      </c>
      <c r="T1477" s="5"/>
      <c r="U1477" s="5" t="e">
        <f>IF(AND(#REF!&gt;=table!$C$10,#REF!&lt;= table!$D$10),-1,IF(AND(#REF!&gt;=table!$E$10,#REF!&lt;=table!$F$10),1,0))</f>
        <v>#REF!</v>
      </c>
      <c r="V1477" s="5" t="e">
        <f>IF(AND(#REF!&gt;=table!$C$11,#REF!&lt;= table!$D$11),-1,IF(AND(#REF!&gt;=table!$E$11,#REF!&lt;=table!$F$11),1,0))</f>
        <v>#REF!</v>
      </c>
      <c r="W1477" s="5" t="e">
        <f>CONCATENATE(dados[[#This Row],[fator1]],dados[[#This Row],[fator5]],dados[[#This Row],[fator6]])</f>
        <v>#REF!</v>
      </c>
    </row>
    <row r="1478" spans="1:23">
      <c r="A1478" t="s">
        <v>17</v>
      </c>
      <c r="B1478">
        <v>485348</v>
      </c>
      <c r="C1478">
        <v>45</v>
      </c>
      <c r="D1478">
        <v>30</v>
      </c>
      <c r="E1478">
        <v>126</v>
      </c>
      <c r="F1478">
        <v>9</v>
      </c>
      <c r="G1478">
        <v>23</v>
      </c>
      <c r="H1478">
        <v>22</v>
      </c>
      <c r="I1478">
        <v>1350</v>
      </c>
      <c r="J1478">
        <v>0</v>
      </c>
      <c r="K1478">
        <v>5.3822999999999999</v>
      </c>
      <c r="L1478">
        <v>7.8770000000000007</v>
      </c>
      <c r="M1478">
        <v>110.94500000000001</v>
      </c>
      <c r="N1478">
        <v>16.010000000000002</v>
      </c>
      <c r="O1478">
        <v>1659</v>
      </c>
      <c r="P1478">
        <v>0</v>
      </c>
      <c r="Q1478" s="5" t="e">
        <f>IF(AND(#REF!&gt;=table!$C$6,#REF!&lt;= table!$D$6),-1,IF(AND(#REF!&gt;=table!$E$6,#REF!&lt;=table!$F$6),1,0))</f>
        <v>#REF!</v>
      </c>
      <c r="R1478" s="5" t="e">
        <f>IF(AND(#REF!&gt;=table!$C$7,#REF!&lt;= table!$D$7),-1,IF(AND(#REF!&gt;=table!$E$7,#REF!&lt;=table!$F$7),1,0))</f>
        <v>#REF!</v>
      </c>
      <c r="S1478" s="5" t="e">
        <f>IF(AND(#REF!&gt;=table!$C$8,#REF!&lt;= table!$D$8),-1,IF(AND(#REF!&gt;=table!$E$8,#REF!&lt;=table!$F$8),1,0))</f>
        <v>#REF!</v>
      </c>
      <c r="T1478" s="5"/>
      <c r="U1478" s="5" t="e">
        <f>IF(AND(#REF!&gt;=table!$C$10,#REF!&lt;= table!$D$10),-1,IF(AND(#REF!&gt;=table!$E$10,#REF!&lt;=table!$F$10),1,0))</f>
        <v>#REF!</v>
      </c>
      <c r="V1478" s="5" t="e">
        <f>IF(AND(#REF!&gt;=table!$C$11,#REF!&lt;= table!$D$11),-1,IF(AND(#REF!&gt;=table!$E$11,#REF!&lt;=table!$F$11),1,0))</f>
        <v>#REF!</v>
      </c>
      <c r="W1478" s="5" t="e">
        <f>CONCATENATE(dados[[#This Row],[fator1]],dados[[#This Row],[fator5]],dados[[#This Row],[fator6]])</f>
        <v>#REF!</v>
      </c>
    </row>
    <row r="1479" spans="1:23">
      <c r="A1479" t="s">
        <v>17</v>
      </c>
      <c r="B1479">
        <v>485349</v>
      </c>
      <c r="C1479">
        <v>14</v>
      </c>
      <c r="D1479">
        <v>30</v>
      </c>
      <c r="E1479">
        <v>86</v>
      </c>
      <c r="F1479">
        <v>9</v>
      </c>
      <c r="G1479">
        <v>20</v>
      </c>
      <c r="H1479">
        <v>25</v>
      </c>
      <c r="I1479">
        <v>896</v>
      </c>
      <c r="J1479">
        <v>0</v>
      </c>
      <c r="K1479">
        <v>4.3330000000000002</v>
      </c>
      <c r="L1479">
        <v>8.2865000000000002</v>
      </c>
      <c r="M1479">
        <v>81.39500000000001</v>
      </c>
      <c r="N1479">
        <v>13.69</v>
      </c>
      <c r="O1479">
        <v>1660</v>
      </c>
      <c r="P1479">
        <v>827</v>
      </c>
      <c r="Q1479" s="5" t="e">
        <f>IF(AND(#REF!&gt;=table!$C$6,#REF!&lt;= table!$D$6),-1,IF(AND(#REF!&gt;=table!$E$6,#REF!&lt;=table!$F$6),1,0))</f>
        <v>#REF!</v>
      </c>
      <c r="R1479" s="5" t="e">
        <f>IF(AND(#REF!&gt;=table!$C$7,#REF!&lt;= table!$D$7),-1,IF(AND(#REF!&gt;=table!$E$7,#REF!&lt;=table!$F$7),1,0))</f>
        <v>#REF!</v>
      </c>
      <c r="S1479" s="5" t="e">
        <f>IF(AND(#REF!&gt;=table!$C$8,#REF!&lt;= table!$D$8),-1,IF(AND(#REF!&gt;=table!$E$8,#REF!&lt;=table!$F$8),1,0))</f>
        <v>#REF!</v>
      </c>
      <c r="T1479" s="5"/>
      <c r="U1479" s="5" t="e">
        <f>IF(AND(#REF!&gt;=table!$C$10,#REF!&lt;= table!$D$10),-1,IF(AND(#REF!&gt;=table!$E$10,#REF!&lt;=table!$F$10),1,0))</f>
        <v>#REF!</v>
      </c>
      <c r="V1479" s="5" t="e">
        <f>IF(AND(#REF!&gt;=table!$C$11,#REF!&lt;= table!$D$11),-1,IF(AND(#REF!&gt;=table!$E$11,#REF!&lt;=table!$F$11),1,0))</f>
        <v>#REF!</v>
      </c>
      <c r="W1479" s="5" t="e">
        <f>CONCATENATE(dados[[#This Row],[fator1]],dados[[#This Row],[fator5]],dados[[#This Row],[fator6]])</f>
        <v>#REF!</v>
      </c>
    </row>
    <row r="1480" spans="1:23">
      <c r="A1480" t="s">
        <v>16</v>
      </c>
      <c r="B1480">
        <v>485353</v>
      </c>
      <c r="C1480">
        <v>16</v>
      </c>
      <c r="D1480">
        <v>35</v>
      </c>
      <c r="E1480">
        <v>40</v>
      </c>
      <c r="F1480">
        <v>10</v>
      </c>
      <c r="G1480">
        <v>0</v>
      </c>
      <c r="H1480">
        <v>25</v>
      </c>
      <c r="I1480">
        <v>545</v>
      </c>
      <c r="J1480">
        <v>0</v>
      </c>
      <c r="K1480">
        <v>6.851</v>
      </c>
      <c r="L1480">
        <v>8.7569999999999997</v>
      </c>
      <c r="M1480">
        <v>31.497500000000002</v>
      </c>
      <c r="N1480">
        <v>11.775</v>
      </c>
      <c r="O1480">
        <v>1674</v>
      </c>
      <c r="P1480">
        <v>0</v>
      </c>
      <c r="Q1480" s="5" t="e">
        <f>IF(AND(#REF!&gt;=table!$C$6,#REF!&lt;= table!$D$6),-1,IF(AND(#REF!&gt;=table!$E$6,#REF!&lt;=table!$F$6),1,0))</f>
        <v>#REF!</v>
      </c>
      <c r="R1480" s="5" t="e">
        <f>IF(AND(#REF!&gt;=table!$C$7,#REF!&lt;= table!$D$7),-1,IF(AND(#REF!&gt;=table!$E$7,#REF!&lt;=table!$F$7),1,0))</f>
        <v>#REF!</v>
      </c>
      <c r="S1480" s="5" t="e">
        <f>IF(AND(#REF!&gt;=table!$C$8,#REF!&lt;= table!$D$8),-1,IF(AND(#REF!&gt;=table!$E$8,#REF!&lt;=table!$F$8),1,0))</f>
        <v>#REF!</v>
      </c>
      <c r="T1480" s="5"/>
      <c r="U1480" s="5" t="e">
        <f>IF(AND(#REF!&gt;=table!$C$10,#REF!&lt;= table!$D$10),-1,IF(AND(#REF!&gt;=table!$E$10,#REF!&lt;=table!$F$10),1,0))</f>
        <v>#REF!</v>
      </c>
      <c r="V1480" s="5" t="e">
        <f>IF(AND(#REF!&gt;=table!$C$11,#REF!&lt;= table!$D$11),-1,IF(AND(#REF!&gt;=table!$E$11,#REF!&lt;=table!$F$11),1,0))</f>
        <v>#REF!</v>
      </c>
      <c r="W1480" s="5" t="e">
        <f>CONCATENATE(dados[[#This Row],[fator1]],dados[[#This Row],[fator5]],dados[[#This Row],[fator6]])</f>
        <v>#REF!</v>
      </c>
    </row>
    <row r="1481" spans="1:23">
      <c r="A1481" t="s">
        <v>16</v>
      </c>
      <c r="B1481">
        <v>485355</v>
      </c>
      <c r="C1481">
        <v>16</v>
      </c>
      <c r="D1481">
        <v>35</v>
      </c>
      <c r="E1481">
        <v>40</v>
      </c>
      <c r="F1481">
        <v>10</v>
      </c>
      <c r="G1481">
        <v>0</v>
      </c>
      <c r="H1481">
        <v>25</v>
      </c>
      <c r="I1481">
        <v>1047</v>
      </c>
      <c r="J1481">
        <v>0</v>
      </c>
      <c r="K1481">
        <v>4.3195000000000006</v>
      </c>
      <c r="L1481">
        <v>9.6910000000000007</v>
      </c>
      <c r="M1481">
        <v>24.327500000000001</v>
      </c>
      <c r="N1481">
        <v>14.61</v>
      </c>
      <c r="O1481">
        <v>1678</v>
      </c>
      <c r="P1481">
        <v>952</v>
      </c>
      <c r="Q1481" s="5" t="e">
        <f>IF(AND(#REF!&gt;=table!$C$6,#REF!&lt;= table!$D$6),-1,IF(AND(#REF!&gt;=table!$E$6,#REF!&lt;=table!$F$6),1,0))</f>
        <v>#REF!</v>
      </c>
      <c r="R1481" s="5" t="e">
        <f>IF(AND(#REF!&gt;=table!$C$7,#REF!&lt;= table!$D$7),-1,IF(AND(#REF!&gt;=table!$E$7,#REF!&lt;=table!$F$7),1,0))</f>
        <v>#REF!</v>
      </c>
      <c r="S1481" s="5" t="e">
        <f>IF(AND(#REF!&gt;=table!$C$8,#REF!&lt;= table!$D$8),-1,IF(AND(#REF!&gt;=table!$E$8,#REF!&lt;=table!$F$8),1,0))</f>
        <v>#REF!</v>
      </c>
      <c r="T1481" s="5"/>
      <c r="U1481" s="5" t="e">
        <f>IF(AND(#REF!&gt;=table!$C$10,#REF!&lt;= table!$D$10),-1,IF(AND(#REF!&gt;=table!$E$10,#REF!&lt;=table!$F$10),1,0))</f>
        <v>#REF!</v>
      </c>
      <c r="V1481" s="5" t="e">
        <f>IF(AND(#REF!&gt;=table!$C$11,#REF!&lt;= table!$D$11),-1,IF(AND(#REF!&gt;=table!$E$11,#REF!&lt;=table!$F$11),1,0))</f>
        <v>#REF!</v>
      </c>
      <c r="W1481" s="5" t="e">
        <f>CONCATENATE(dados[[#This Row],[fator1]],dados[[#This Row],[fator5]],dados[[#This Row],[fator6]])</f>
        <v>#REF!</v>
      </c>
    </row>
    <row r="1482" spans="1:23">
      <c r="A1482" t="s">
        <v>16</v>
      </c>
      <c r="B1482">
        <v>485360</v>
      </c>
      <c r="C1482">
        <v>0.15</v>
      </c>
      <c r="D1482">
        <v>35</v>
      </c>
      <c r="E1482">
        <v>15</v>
      </c>
      <c r="F1482">
        <v>10</v>
      </c>
      <c r="G1482">
        <v>0</v>
      </c>
      <c r="H1482">
        <v>12</v>
      </c>
      <c r="I1482">
        <v>1318</v>
      </c>
      <c r="J1482">
        <v>0</v>
      </c>
      <c r="K1482">
        <v>5.9655000000000005</v>
      </c>
      <c r="L1482">
        <v>9.4405000000000001</v>
      </c>
      <c r="M1482">
        <v>8.8004999999999995</v>
      </c>
      <c r="N1482">
        <v>12.96</v>
      </c>
      <c r="O1482">
        <v>1684</v>
      </c>
      <c r="P1482">
        <v>669</v>
      </c>
      <c r="Q1482" s="5" t="e">
        <f>IF(AND(#REF!&gt;=table!$C$6,#REF!&lt;= table!$D$6),-1,IF(AND(#REF!&gt;=table!$E$6,#REF!&lt;=table!$F$6),1,0))</f>
        <v>#REF!</v>
      </c>
      <c r="R1482" s="5" t="e">
        <f>IF(AND(#REF!&gt;=table!$C$7,#REF!&lt;= table!$D$7),-1,IF(AND(#REF!&gt;=table!$E$7,#REF!&lt;=table!$F$7),1,0))</f>
        <v>#REF!</v>
      </c>
      <c r="S1482" s="5" t="e">
        <f>IF(AND(#REF!&gt;=table!$C$8,#REF!&lt;= table!$D$8),-1,IF(AND(#REF!&gt;=table!$E$8,#REF!&lt;=table!$F$8),1,0))</f>
        <v>#REF!</v>
      </c>
      <c r="T1482" s="5"/>
      <c r="U1482" s="5" t="e">
        <f>IF(AND(#REF!&gt;=table!$C$10,#REF!&lt;= table!$D$10),-1,IF(AND(#REF!&gt;=table!$E$10,#REF!&lt;=table!$F$10),1,0))</f>
        <v>#REF!</v>
      </c>
      <c r="V1482" s="5" t="e">
        <f>IF(AND(#REF!&gt;=table!$C$11,#REF!&lt;= table!$D$11),-1,IF(AND(#REF!&gt;=table!$E$11,#REF!&lt;=table!$F$11),1,0))</f>
        <v>#REF!</v>
      </c>
      <c r="W1482" s="5" t="e">
        <f>CONCATENATE(dados[[#This Row],[fator1]],dados[[#This Row],[fator5]],dados[[#This Row],[fator6]])</f>
        <v>#REF!</v>
      </c>
    </row>
    <row r="1483" spans="1:23">
      <c r="A1483" t="s">
        <v>16</v>
      </c>
      <c r="B1483">
        <v>485361</v>
      </c>
      <c r="C1483">
        <v>0.1</v>
      </c>
      <c r="D1483">
        <v>35</v>
      </c>
      <c r="E1483">
        <v>10</v>
      </c>
      <c r="F1483">
        <v>10</v>
      </c>
      <c r="G1483">
        <v>0</v>
      </c>
      <c r="H1483">
        <v>12</v>
      </c>
      <c r="I1483">
        <v>1267</v>
      </c>
      <c r="J1483">
        <v>0</v>
      </c>
      <c r="K1483">
        <v>4.5750000000000002</v>
      </c>
      <c r="L1483">
        <v>8.843</v>
      </c>
      <c r="M1483">
        <v>8.2484999999999999</v>
      </c>
      <c r="N1483">
        <v>10.125</v>
      </c>
      <c r="O1483">
        <v>1676</v>
      </c>
      <c r="P1483">
        <v>0</v>
      </c>
      <c r="Q1483" s="5" t="e">
        <f>IF(AND(#REF!&gt;=table!$C$6,#REF!&lt;= table!$D$6),-1,IF(AND(#REF!&gt;=table!$E$6,#REF!&lt;=table!$F$6),1,0))</f>
        <v>#REF!</v>
      </c>
      <c r="R1483" s="5" t="e">
        <f>IF(AND(#REF!&gt;=table!$C$7,#REF!&lt;= table!$D$7),-1,IF(AND(#REF!&gt;=table!$E$7,#REF!&lt;=table!$F$7),1,0))</f>
        <v>#REF!</v>
      </c>
      <c r="S1483" s="5" t="e">
        <f>IF(AND(#REF!&gt;=table!$C$8,#REF!&lt;= table!$D$8),-1,IF(AND(#REF!&gt;=table!$E$8,#REF!&lt;=table!$F$8),1,0))</f>
        <v>#REF!</v>
      </c>
      <c r="T1483" s="5"/>
      <c r="U1483" s="5" t="e">
        <f>IF(AND(#REF!&gt;=table!$C$10,#REF!&lt;= table!$D$10),-1,IF(AND(#REF!&gt;=table!$E$10,#REF!&lt;=table!$F$10),1,0))</f>
        <v>#REF!</v>
      </c>
      <c r="V1483" s="5" t="e">
        <f>IF(AND(#REF!&gt;=table!$C$11,#REF!&lt;= table!$D$11),-1,IF(AND(#REF!&gt;=table!$E$11,#REF!&lt;=table!$F$11),1,0))</f>
        <v>#REF!</v>
      </c>
      <c r="W1483" s="5" t="e">
        <f>CONCATENATE(dados[[#This Row],[fator1]],dados[[#This Row],[fator5]],dados[[#This Row],[fator6]])</f>
        <v>#REF!</v>
      </c>
    </row>
    <row r="1484" spans="1:23">
      <c r="A1484" t="s">
        <v>16</v>
      </c>
      <c r="B1484">
        <v>485363</v>
      </c>
      <c r="C1484">
        <v>0.15</v>
      </c>
      <c r="D1484">
        <v>35</v>
      </c>
      <c r="E1484">
        <v>15</v>
      </c>
      <c r="F1484">
        <v>10</v>
      </c>
      <c r="G1484">
        <v>0</v>
      </c>
      <c r="H1484">
        <v>12</v>
      </c>
      <c r="I1484">
        <v>1156</v>
      </c>
      <c r="J1484">
        <v>0</v>
      </c>
      <c r="K1484">
        <v>6.2290000000000001</v>
      </c>
      <c r="L1484">
        <v>10.6835</v>
      </c>
      <c r="M1484">
        <v>9.8520000000000003</v>
      </c>
      <c r="N1484">
        <v>12.835000000000001</v>
      </c>
      <c r="O1484">
        <v>1679</v>
      </c>
      <c r="P1484">
        <v>0</v>
      </c>
      <c r="Q1484" s="5" t="e">
        <f>IF(AND(#REF!&gt;=table!$C$6,#REF!&lt;= table!$D$6),-1,IF(AND(#REF!&gt;=table!$E$6,#REF!&lt;=table!$F$6),1,0))</f>
        <v>#REF!</v>
      </c>
      <c r="R1484" s="5" t="e">
        <f>IF(AND(#REF!&gt;=table!$C$7,#REF!&lt;= table!$D$7),-1,IF(AND(#REF!&gt;=table!$E$7,#REF!&lt;=table!$F$7),1,0))</f>
        <v>#REF!</v>
      </c>
      <c r="S1484" s="5" t="e">
        <f>IF(AND(#REF!&gt;=table!$C$8,#REF!&lt;= table!$D$8),-1,IF(AND(#REF!&gt;=table!$E$8,#REF!&lt;=table!$F$8),1,0))</f>
        <v>#REF!</v>
      </c>
      <c r="T1484" s="5"/>
      <c r="U1484" s="5" t="e">
        <f>IF(AND(#REF!&gt;=table!$C$10,#REF!&lt;= table!$D$10),-1,IF(AND(#REF!&gt;=table!$E$10,#REF!&lt;=table!$F$10),1,0))</f>
        <v>#REF!</v>
      </c>
      <c r="V1484" s="5" t="e">
        <f>IF(AND(#REF!&gt;=table!$C$11,#REF!&lt;= table!$D$11),-1,IF(AND(#REF!&gt;=table!$E$11,#REF!&lt;=table!$F$11),1,0))</f>
        <v>#REF!</v>
      </c>
      <c r="W1484" s="5" t="e">
        <f>CONCATENATE(dados[[#This Row],[fator1]],dados[[#This Row],[fator5]],dados[[#This Row],[fator6]])</f>
        <v>#REF!</v>
      </c>
    </row>
    <row r="1485" spans="1:23">
      <c r="A1485" t="s">
        <v>17</v>
      </c>
      <c r="B1485">
        <v>485367</v>
      </c>
      <c r="C1485">
        <v>16</v>
      </c>
      <c r="D1485">
        <v>30</v>
      </c>
      <c r="E1485">
        <v>106</v>
      </c>
      <c r="F1485">
        <v>9</v>
      </c>
      <c r="G1485">
        <v>20</v>
      </c>
      <c r="H1485">
        <v>25</v>
      </c>
      <c r="I1485">
        <v>30</v>
      </c>
      <c r="J1485">
        <v>0</v>
      </c>
      <c r="K1485">
        <v>4.62</v>
      </c>
      <c r="L1485">
        <v>8.6535000000000011</v>
      </c>
      <c r="M1485">
        <v>95.617500000000007</v>
      </c>
      <c r="N1485">
        <v>12.81</v>
      </c>
      <c r="O1485">
        <v>1650</v>
      </c>
      <c r="P1485">
        <v>593</v>
      </c>
      <c r="Q1485" s="5" t="e">
        <f>IF(AND(#REF!&gt;=table!$C$6,#REF!&lt;= table!$D$6),-1,IF(AND(#REF!&gt;=table!$E$6,#REF!&lt;=table!$F$6),1,0))</f>
        <v>#REF!</v>
      </c>
      <c r="R1485" s="5" t="e">
        <f>IF(AND(#REF!&gt;=table!$C$7,#REF!&lt;= table!$D$7),-1,IF(AND(#REF!&gt;=table!$E$7,#REF!&lt;=table!$F$7),1,0))</f>
        <v>#REF!</v>
      </c>
      <c r="S1485" s="5" t="e">
        <f>IF(AND(#REF!&gt;=table!$C$8,#REF!&lt;= table!$D$8),-1,IF(AND(#REF!&gt;=table!$E$8,#REF!&lt;=table!$F$8),1,0))</f>
        <v>#REF!</v>
      </c>
      <c r="T1485" s="5"/>
      <c r="U1485" s="5" t="e">
        <f>IF(AND(#REF!&gt;=table!$C$10,#REF!&lt;= table!$D$10),-1,IF(AND(#REF!&gt;=table!$E$10,#REF!&lt;=table!$F$10),1,0))</f>
        <v>#REF!</v>
      </c>
      <c r="V1485" s="5" t="e">
        <f>IF(AND(#REF!&gt;=table!$C$11,#REF!&lt;= table!$D$11),-1,IF(AND(#REF!&gt;=table!$E$11,#REF!&lt;=table!$F$11),1,0))</f>
        <v>#REF!</v>
      </c>
      <c r="W1485" s="5" t="e">
        <f>CONCATENATE(dados[[#This Row],[fator1]],dados[[#This Row],[fator5]],dados[[#This Row],[fator6]])</f>
        <v>#REF!</v>
      </c>
    </row>
    <row r="1486" spans="1:23">
      <c r="A1486" t="s">
        <v>17</v>
      </c>
      <c r="B1486">
        <v>485370</v>
      </c>
      <c r="C1486">
        <v>4</v>
      </c>
      <c r="D1486">
        <v>25</v>
      </c>
      <c r="E1486">
        <v>21</v>
      </c>
      <c r="F1486">
        <v>10</v>
      </c>
      <c r="G1486">
        <v>110</v>
      </c>
      <c r="H1486">
        <v>50</v>
      </c>
      <c r="I1486">
        <v>20</v>
      </c>
      <c r="J1486">
        <v>0</v>
      </c>
      <c r="K1486">
        <v>2.5215000000000001</v>
      </c>
      <c r="L1486">
        <v>4.3574999999999999</v>
      </c>
      <c r="M1486">
        <v>12.4625</v>
      </c>
      <c r="N1486">
        <v>25.25</v>
      </c>
      <c r="O1486">
        <v>1652</v>
      </c>
      <c r="P1486">
        <v>1100</v>
      </c>
      <c r="Q1486" s="5" t="e">
        <f>IF(AND(#REF!&gt;=table!$C$6,#REF!&lt;= table!$D$6),-1,IF(AND(#REF!&gt;=table!$E$6,#REF!&lt;=table!$F$6),1,0))</f>
        <v>#REF!</v>
      </c>
      <c r="R1486" s="5" t="e">
        <f>IF(AND(#REF!&gt;=table!$C$7,#REF!&lt;= table!$D$7),-1,IF(AND(#REF!&gt;=table!$E$7,#REF!&lt;=table!$F$7),1,0))</f>
        <v>#REF!</v>
      </c>
      <c r="S1486" s="5" t="e">
        <f>IF(AND(#REF!&gt;=table!$C$8,#REF!&lt;= table!$D$8),-1,IF(AND(#REF!&gt;=table!$E$8,#REF!&lt;=table!$F$8),1,0))</f>
        <v>#REF!</v>
      </c>
      <c r="T1486" s="5"/>
      <c r="U1486" s="5" t="e">
        <f>IF(AND(#REF!&gt;=table!$C$10,#REF!&lt;= table!$D$10),-1,IF(AND(#REF!&gt;=table!$E$10,#REF!&lt;=table!$F$10),1,0))</f>
        <v>#REF!</v>
      </c>
      <c r="V1486" s="5" t="e">
        <f>IF(AND(#REF!&gt;=table!$C$11,#REF!&lt;= table!$D$11),-1,IF(AND(#REF!&gt;=table!$E$11,#REF!&lt;=table!$F$11),1,0))</f>
        <v>#REF!</v>
      </c>
      <c r="W1486" s="5" t="e">
        <f>CONCATENATE(dados[[#This Row],[fator1]],dados[[#This Row],[fator5]],dados[[#This Row],[fator6]])</f>
        <v>#REF!</v>
      </c>
    </row>
    <row r="1487" spans="1:23">
      <c r="A1487" t="s">
        <v>17</v>
      </c>
      <c r="B1487">
        <v>485375</v>
      </c>
      <c r="C1487">
        <v>14</v>
      </c>
      <c r="D1487">
        <v>30</v>
      </c>
      <c r="E1487">
        <v>126</v>
      </c>
      <c r="F1487">
        <v>9</v>
      </c>
      <c r="G1487">
        <v>20</v>
      </c>
      <c r="H1487">
        <v>25</v>
      </c>
      <c r="I1487">
        <v>1642</v>
      </c>
      <c r="J1487">
        <v>0</v>
      </c>
      <c r="K1487">
        <v>6.2510000000000003</v>
      </c>
      <c r="L1487">
        <v>7.7520000000000007</v>
      </c>
      <c r="M1487">
        <v>108.6755</v>
      </c>
      <c r="N1487">
        <v>14.15</v>
      </c>
      <c r="O1487">
        <v>1685</v>
      </c>
      <c r="P1487">
        <v>685</v>
      </c>
      <c r="Q1487" s="5" t="e">
        <f>IF(AND(#REF!&gt;=table!$C$6,#REF!&lt;= table!$D$6),-1,IF(AND(#REF!&gt;=table!$E$6,#REF!&lt;=table!$F$6),1,0))</f>
        <v>#REF!</v>
      </c>
      <c r="R1487" s="5" t="e">
        <f>IF(AND(#REF!&gt;=table!$C$7,#REF!&lt;= table!$D$7),-1,IF(AND(#REF!&gt;=table!$E$7,#REF!&lt;=table!$F$7),1,0))</f>
        <v>#REF!</v>
      </c>
      <c r="S1487" s="5" t="e">
        <f>IF(AND(#REF!&gt;=table!$C$8,#REF!&lt;= table!$D$8),-1,IF(AND(#REF!&gt;=table!$E$8,#REF!&lt;=table!$F$8),1,0))</f>
        <v>#REF!</v>
      </c>
      <c r="T1487" s="5"/>
      <c r="U1487" s="5" t="e">
        <f>IF(AND(#REF!&gt;=table!$C$10,#REF!&lt;= table!$D$10),-1,IF(AND(#REF!&gt;=table!$E$10,#REF!&lt;=table!$F$10),1,0))</f>
        <v>#REF!</v>
      </c>
      <c r="V1487" s="5" t="e">
        <f>IF(AND(#REF!&gt;=table!$C$11,#REF!&lt;= table!$D$11),-1,IF(AND(#REF!&gt;=table!$E$11,#REF!&lt;=table!$F$11),1,0))</f>
        <v>#REF!</v>
      </c>
      <c r="W1487" s="5" t="e">
        <f>CONCATENATE(dados[[#This Row],[fator1]],dados[[#This Row],[fator5]],dados[[#This Row],[fator6]])</f>
        <v>#REF!</v>
      </c>
    </row>
    <row r="1488" spans="1:23">
      <c r="A1488" t="s">
        <v>16</v>
      </c>
      <c r="B1488">
        <v>485378</v>
      </c>
      <c r="C1488">
        <v>16</v>
      </c>
      <c r="D1488">
        <v>35</v>
      </c>
      <c r="E1488">
        <v>40</v>
      </c>
      <c r="F1488">
        <v>10</v>
      </c>
      <c r="G1488">
        <v>0</v>
      </c>
      <c r="H1488">
        <v>25</v>
      </c>
      <c r="I1488">
        <v>1317</v>
      </c>
      <c r="J1488">
        <v>1780</v>
      </c>
      <c r="K1488">
        <v>3.657</v>
      </c>
      <c r="L1488">
        <v>8.4755000000000003</v>
      </c>
      <c r="M1488">
        <v>22.914000000000001</v>
      </c>
      <c r="N1488">
        <v>10.275</v>
      </c>
      <c r="O1488">
        <v>1682</v>
      </c>
      <c r="P1488">
        <v>0</v>
      </c>
      <c r="Q1488" s="5" t="e">
        <f>IF(AND(#REF!&gt;=table!$C$6,#REF!&lt;= table!$D$6),-1,IF(AND(#REF!&gt;=table!$E$6,#REF!&lt;=table!$F$6),1,0))</f>
        <v>#REF!</v>
      </c>
      <c r="R1488" s="5" t="e">
        <f>IF(AND(#REF!&gt;=table!$C$7,#REF!&lt;= table!$D$7),-1,IF(AND(#REF!&gt;=table!$E$7,#REF!&lt;=table!$F$7),1,0))</f>
        <v>#REF!</v>
      </c>
      <c r="S1488" s="5" t="e">
        <f>IF(AND(#REF!&gt;=table!$C$8,#REF!&lt;= table!$D$8),-1,IF(AND(#REF!&gt;=table!$E$8,#REF!&lt;=table!$F$8),1,0))</f>
        <v>#REF!</v>
      </c>
      <c r="T1488" s="5"/>
      <c r="U1488" s="5" t="e">
        <f>IF(AND(#REF!&gt;=table!$C$10,#REF!&lt;= table!$D$10),-1,IF(AND(#REF!&gt;=table!$E$10,#REF!&lt;=table!$F$10),1,0))</f>
        <v>#REF!</v>
      </c>
      <c r="V1488" s="5" t="e">
        <f>IF(AND(#REF!&gt;=table!$C$11,#REF!&lt;= table!$D$11),-1,IF(AND(#REF!&gt;=table!$E$11,#REF!&lt;=table!$F$11),1,0))</f>
        <v>#REF!</v>
      </c>
      <c r="W1488" s="5" t="e">
        <f>CONCATENATE(dados[[#This Row],[fator1]],dados[[#This Row],[fator5]],dados[[#This Row],[fator6]])</f>
        <v>#REF!</v>
      </c>
    </row>
    <row r="1489" spans="1:23">
      <c r="A1489" t="s">
        <v>16</v>
      </c>
      <c r="B1489">
        <v>485384</v>
      </c>
      <c r="C1489">
        <v>0.15</v>
      </c>
      <c r="D1489">
        <v>35</v>
      </c>
      <c r="E1489">
        <v>15</v>
      </c>
      <c r="F1489">
        <v>10</v>
      </c>
      <c r="G1489">
        <v>0</v>
      </c>
      <c r="H1489">
        <v>12</v>
      </c>
      <c r="I1489">
        <v>668</v>
      </c>
      <c r="J1489">
        <v>0</v>
      </c>
      <c r="K1489">
        <v>5.5780000000000003</v>
      </c>
      <c r="L1489">
        <v>8.9565000000000001</v>
      </c>
      <c r="M1489">
        <v>8.4855</v>
      </c>
      <c r="N1489">
        <v>8.4150000000000009</v>
      </c>
      <c r="O1489">
        <v>1645</v>
      </c>
      <c r="P1489">
        <v>506</v>
      </c>
      <c r="Q1489" s="5" t="e">
        <f>IF(AND(#REF!&gt;=table!$C$6,#REF!&lt;= table!$D$6),-1,IF(AND(#REF!&gt;=table!$E$6,#REF!&lt;=table!$F$6),1,0))</f>
        <v>#REF!</v>
      </c>
      <c r="R1489" s="5" t="e">
        <f>IF(AND(#REF!&gt;=table!$C$7,#REF!&lt;= table!$D$7),-1,IF(AND(#REF!&gt;=table!$E$7,#REF!&lt;=table!$F$7),1,0))</f>
        <v>#REF!</v>
      </c>
      <c r="S1489" s="5" t="e">
        <f>IF(AND(#REF!&gt;=table!$C$8,#REF!&lt;= table!$D$8),-1,IF(AND(#REF!&gt;=table!$E$8,#REF!&lt;=table!$F$8),1,0))</f>
        <v>#REF!</v>
      </c>
      <c r="T1489" s="5"/>
      <c r="U1489" s="5" t="e">
        <f>IF(AND(#REF!&gt;=table!$C$10,#REF!&lt;= table!$D$10),-1,IF(AND(#REF!&gt;=table!$E$10,#REF!&lt;=table!$F$10),1,0))</f>
        <v>#REF!</v>
      </c>
      <c r="V1489" s="5" t="e">
        <f>IF(AND(#REF!&gt;=table!$C$11,#REF!&lt;= table!$D$11),-1,IF(AND(#REF!&gt;=table!$E$11,#REF!&lt;=table!$F$11),1,0))</f>
        <v>#REF!</v>
      </c>
      <c r="W1489" s="5" t="e">
        <f>CONCATENATE(dados[[#This Row],[fator1]],dados[[#This Row],[fator5]],dados[[#This Row],[fator6]])</f>
        <v>#REF!</v>
      </c>
    </row>
    <row r="1490" spans="1:23">
      <c r="A1490" t="s">
        <v>16</v>
      </c>
      <c r="B1490">
        <v>485387</v>
      </c>
      <c r="C1490">
        <v>0.1</v>
      </c>
      <c r="D1490">
        <v>35</v>
      </c>
      <c r="E1490">
        <v>10</v>
      </c>
      <c r="F1490">
        <v>10</v>
      </c>
      <c r="G1490">
        <v>0</v>
      </c>
      <c r="H1490">
        <v>12</v>
      </c>
      <c r="I1490">
        <v>976</v>
      </c>
      <c r="J1490">
        <v>0</v>
      </c>
      <c r="K1490">
        <v>5.1450000000000005</v>
      </c>
      <c r="L1490">
        <v>7.33</v>
      </c>
      <c r="M1490">
        <v>6.0855000000000006</v>
      </c>
      <c r="N1490">
        <v>9.5850000000000009</v>
      </c>
      <c r="O1490">
        <v>1691</v>
      </c>
      <c r="P1490">
        <v>0</v>
      </c>
      <c r="Q1490" s="5" t="e">
        <f>IF(AND(#REF!&gt;=table!$C$6,#REF!&lt;= table!$D$6),-1,IF(AND(#REF!&gt;=table!$E$6,#REF!&lt;=table!$F$6),1,0))</f>
        <v>#REF!</v>
      </c>
      <c r="R1490" s="5" t="e">
        <f>IF(AND(#REF!&gt;=table!$C$7,#REF!&lt;= table!$D$7),-1,IF(AND(#REF!&gt;=table!$E$7,#REF!&lt;=table!$F$7),1,0))</f>
        <v>#REF!</v>
      </c>
      <c r="S1490" s="5" t="e">
        <f>IF(AND(#REF!&gt;=table!$C$8,#REF!&lt;= table!$D$8),-1,IF(AND(#REF!&gt;=table!$E$8,#REF!&lt;=table!$F$8),1,0))</f>
        <v>#REF!</v>
      </c>
      <c r="T1490" s="5"/>
      <c r="U1490" s="5" t="e">
        <f>IF(AND(#REF!&gt;=table!$C$10,#REF!&lt;= table!$D$10),-1,IF(AND(#REF!&gt;=table!$E$10,#REF!&lt;=table!$F$10),1,0))</f>
        <v>#REF!</v>
      </c>
      <c r="V1490" s="5" t="e">
        <f>IF(AND(#REF!&gt;=table!$C$11,#REF!&lt;= table!$D$11),-1,IF(AND(#REF!&gt;=table!$E$11,#REF!&lt;=table!$F$11),1,0))</f>
        <v>#REF!</v>
      </c>
      <c r="W1490" s="5" t="e">
        <f>CONCATENATE(dados[[#This Row],[fator1]],dados[[#This Row],[fator5]],dados[[#This Row],[fator6]])</f>
        <v>#REF!</v>
      </c>
    </row>
    <row r="1491" spans="1:23">
      <c r="A1491" t="s">
        <v>16</v>
      </c>
      <c r="B1491">
        <v>485388</v>
      </c>
      <c r="C1491">
        <v>0.1</v>
      </c>
      <c r="D1491">
        <v>35</v>
      </c>
      <c r="E1491">
        <v>10</v>
      </c>
      <c r="F1491">
        <v>10</v>
      </c>
      <c r="G1491">
        <v>0</v>
      </c>
      <c r="H1491">
        <v>12</v>
      </c>
      <c r="I1491">
        <v>231</v>
      </c>
      <c r="J1491">
        <v>0</v>
      </c>
      <c r="K1491">
        <v>5.3445</v>
      </c>
      <c r="L1491">
        <v>12.327</v>
      </c>
      <c r="M1491">
        <v>10.484500000000001</v>
      </c>
      <c r="N1491">
        <v>14.58</v>
      </c>
      <c r="O1491">
        <v>1658</v>
      </c>
      <c r="P1491">
        <v>504</v>
      </c>
      <c r="Q1491" s="5" t="e">
        <f>IF(AND(#REF!&gt;=table!$C$6,#REF!&lt;= table!$D$6),-1,IF(AND(#REF!&gt;=table!$E$6,#REF!&lt;=table!$F$6),1,0))</f>
        <v>#REF!</v>
      </c>
      <c r="R1491" s="5" t="e">
        <f>IF(AND(#REF!&gt;=table!$C$7,#REF!&lt;= table!$D$7),-1,IF(AND(#REF!&gt;=table!$E$7,#REF!&lt;=table!$F$7),1,0))</f>
        <v>#REF!</v>
      </c>
      <c r="S1491" s="5" t="e">
        <f>IF(AND(#REF!&gt;=table!$C$8,#REF!&lt;= table!$D$8),-1,IF(AND(#REF!&gt;=table!$E$8,#REF!&lt;=table!$F$8),1,0))</f>
        <v>#REF!</v>
      </c>
      <c r="T1491" s="5"/>
      <c r="U1491" s="5" t="e">
        <f>IF(AND(#REF!&gt;=table!$C$10,#REF!&lt;= table!$D$10),-1,IF(AND(#REF!&gt;=table!$E$10,#REF!&lt;=table!$F$10),1,0))</f>
        <v>#REF!</v>
      </c>
      <c r="V1491" s="5" t="e">
        <f>IF(AND(#REF!&gt;=table!$C$11,#REF!&lt;= table!$D$11),-1,IF(AND(#REF!&gt;=table!$E$11,#REF!&lt;=table!$F$11),1,0))</f>
        <v>#REF!</v>
      </c>
      <c r="W1491" s="5" t="e">
        <f>CONCATENATE(dados[[#This Row],[fator1]],dados[[#This Row],[fator5]],dados[[#This Row],[fator6]])</f>
        <v>#REF!</v>
      </c>
    </row>
    <row r="1492" spans="1:23">
      <c r="A1492" t="s">
        <v>16</v>
      </c>
      <c r="B1492">
        <v>485396</v>
      </c>
      <c r="C1492">
        <v>12</v>
      </c>
      <c r="D1492">
        <v>35</v>
      </c>
      <c r="E1492">
        <v>180</v>
      </c>
      <c r="F1492">
        <v>6</v>
      </c>
      <c r="G1492">
        <v>0</v>
      </c>
      <c r="H1492">
        <v>20</v>
      </c>
      <c r="I1492">
        <v>1330</v>
      </c>
      <c r="J1492">
        <v>0</v>
      </c>
      <c r="K1492">
        <v>7.7875000000000005</v>
      </c>
      <c r="L1492">
        <v>11.8215</v>
      </c>
      <c r="M1492">
        <v>161.91750000000002</v>
      </c>
      <c r="N1492">
        <v>18.22</v>
      </c>
      <c r="O1492">
        <v>1677</v>
      </c>
      <c r="P1492">
        <v>385</v>
      </c>
      <c r="Q1492" s="5" t="e">
        <f>IF(AND(#REF!&gt;=table!$C$6,#REF!&lt;= table!$D$6),-1,IF(AND(#REF!&gt;=table!$E$6,#REF!&lt;=table!$F$6),1,0))</f>
        <v>#REF!</v>
      </c>
      <c r="R1492" s="5" t="e">
        <f>IF(AND(#REF!&gt;=table!$C$7,#REF!&lt;= table!$D$7),-1,IF(AND(#REF!&gt;=table!$E$7,#REF!&lt;=table!$F$7),1,0))</f>
        <v>#REF!</v>
      </c>
      <c r="S1492" s="5" t="e">
        <f>IF(AND(#REF!&gt;=table!$C$8,#REF!&lt;= table!$D$8),-1,IF(AND(#REF!&gt;=table!$E$8,#REF!&lt;=table!$F$8),1,0))</f>
        <v>#REF!</v>
      </c>
      <c r="T1492" s="5"/>
      <c r="U1492" s="5" t="e">
        <f>IF(AND(#REF!&gt;=table!$C$10,#REF!&lt;= table!$D$10),-1,IF(AND(#REF!&gt;=table!$E$10,#REF!&lt;=table!$F$10),1,0))</f>
        <v>#REF!</v>
      </c>
      <c r="V1492" s="5" t="e">
        <f>IF(AND(#REF!&gt;=table!$C$11,#REF!&lt;= table!$D$11),-1,IF(AND(#REF!&gt;=table!$E$11,#REF!&lt;=table!$F$11),1,0))</f>
        <v>#REF!</v>
      </c>
      <c r="W1492" s="5" t="e">
        <f>CONCATENATE(dados[[#This Row],[fator1]],dados[[#This Row],[fator5]],dados[[#This Row],[fator6]])</f>
        <v>#REF!</v>
      </c>
    </row>
    <row r="1493" spans="1:23">
      <c r="A1493" t="s">
        <v>17</v>
      </c>
      <c r="B1493">
        <v>485397</v>
      </c>
      <c r="C1493">
        <v>14</v>
      </c>
      <c r="D1493">
        <v>30</v>
      </c>
      <c r="E1493">
        <v>66</v>
      </c>
      <c r="F1493">
        <v>9</v>
      </c>
      <c r="G1493">
        <v>20</v>
      </c>
      <c r="H1493">
        <v>25</v>
      </c>
      <c r="I1493">
        <v>305</v>
      </c>
      <c r="J1493">
        <v>0</v>
      </c>
      <c r="K1493">
        <v>14.89</v>
      </c>
      <c r="L1493">
        <v>16.973500000000001</v>
      </c>
      <c r="M1493">
        <v>52.907500000000006</v>
      </c>
      <c r="N1493">
        <v>18.305</v>
      </c>
      <c r="O1493">
        <v>1679</v>
      </c>
      <c r="P1493">
        <v>240</v>
      </c>
      <c r="Q1493" s="5" t="e">
        <f>IF(AND(#REF!&gt;=table!$C$6,#REF!&lt;= table!$D$6),-1,IF(AND(#REF!&gt;=table!$E$6,#REF!&lt;=table!$F$6),1,0))</f>
        <v>#REF!</v>
      </c>
      <c r="R1493" s="5" t="e">
        <f>IF(AND(#REF!&gt;=table!$C$7,#REF!&lt;= table!$D$7),-1,IF(AND(#REF!&gt;=table!$E$7,#REF!&lt;=table!$F$7),1,0))</f>
        <v>#REF!</v>
      </c>
      <c r="S1493" s="5" t="e">
        <f>IF(AND(#REF!&gt;=table!$C$8,#REF!&lt;= table!$D$8),-1,IF(AND(#REF!&gt;=table!$E$8,#REF!&lt;=table!$F$8),1,0))</f>
        <v>#REF!</v>
      </c>
      <c r="T1493" s="5"/>
      <c r="U1493" s="5" t="e">
        <f>IF(AND(#REF!&gt;=table!$C$10,#REF!&lt;= table!$D$10),-1,IF(AND(#REF!&gt;=table!$E$10,#REF!&lt;=table!$F$10),1,0))</f>
        <v>#REF!</v>
      </c>
      <c r="V1493" s="5" t="e">
        <f>IF(AND(#REF!&gt;=table!$C$11,#REF!&lt;= table!$D$11),-1,IF(AND(#REF!&gt;=table!$E$11,#REF!&lt;=table!$F$11),1,0))</f>
        <v>#REF!</v>
      </c>
      <c r="W1493" s="5" t="e">
        <f>CONCATENATE(dados[[#This Row],[fator1]],dados[[#This Row],[fator5]],dados[[#This Row],[fator6]])</f>
        <v>#REF!</v>
      </c>
    </row>
    <row r="1494" spans="1:23">
      <c r="A1494" t="s">
        <v>17</v>
      </c>
      <c r="B1494">
        <v>485401</v>
      </c>
      <c r="C1494">
        <v>14</v>
      </c>
      <c r="D1494">
        <v>30</v>
      </c>
      <c r="E1494">
        <v>86</v>
      </c>
      <c r="F1494">
        <v>9</v>
      </c>
      <c r="G1494">
        <v>20</v>
      </c>
      <c r="H1494">
        <v>25</v>
      </c>
      <c r="I1494">
        <v>730</v>
      </c>
      <c r="J1494">
        <v>0</v>
      </c>
      <c r="K1494">
        <v>8.84</v>
      </c>
      <c r="L1494">
        <v>11.34</v>
      </c>
      <c r="M1494">
        <v>63.392000000000003</v>
      </c>
      <c r="N1494">
        <v>14.11</v>
      </c>
      <c r="O1494">
        <v>1656</v>
      </c>
      <c r="P1494">
        <v>457</v>
      </c>
      <c r="Q1494" s="5" t="e">
        <f>IF(AND(#REF!&gt;=table!$C$6,#REF!&lt;= table!$D$6),-1,IF(AND(#REF!&gt;=table!$E$6,#REF!&lt;=table!$F$6),1,0))</f>
        <v>#REF!</v>
      </c>
      <c r="R1494" s="5" t="e">
        <f>IF(AND(#REF!&gt;=table!$C$7,#REF!&lt;= table!$D$7),-1,IF(AND(#REF!&gt;=table!$E$7,#REF!&lt;=table!$F$7),1,0))</f>
        <v>#REF!</v>
      </c>
      <c r="S1494" s="5" t="e">
        <f>IF(AND(#REF!&gt;=table!$C$8,#REF!&lt;= table!$D$8),-1,IF(AND(#REF!&gt;=table!$E$8,#REF!&lt;=table!$F$8),1,0))</f>
        <v>#REF!</v>
      </c>
      <c r="T1494" s="5"/>
      <c r="U1494" s="5" t="e">
        <f>IF(AND(#REF!&gt;=table!$C$10,#REF!&lt;= table!$D$10),-1,IF(AND(#REF!&gt;=table!$E$10,#REF!&lt;=table!$F$10),1,0))</f>
        <v>#REF!</v>
      </c>
      <c r="V1494" s="5" t="e">
        <f>IF(AND(#REF!&gt;=table!$C$11,#REF!&lt;= table!$D$11),-1,IF(AND(#REF!&gt;=table!$E$11,#REF!&lt;=table!$F$11),1,0))</f>
        <v>#REF!</v>
      </c>
      <c r="W1494" s="5" t="e">
        <f>CONCATENATE(dados[[#This Row],[fator1]],dados[[#This Row],[fator5]],dados[[#This Row],[fator6]])</f>
        <v>#REF!</v>
      </c>
    </row>
    <row r="1495" spans="1:23">
      <c r="A1495" t="s">
        <v>16</v>
      </c>
      <c r="B1495">
        <v>485403</v>
      </c>
      <c r="C1495">
        <v>6</v>
      </c>
      <c r="D1495">
        <v>25</v>
      </c>
      <c r="E1495">
        <v>120</v>
      </c>
      <c r="F1495">
        <v>4</v>
      </c>
      <c r="G1495">
        <v>0</v>
      </c>
      <c r="H1495">
        <v>55</v>
      </c>
      <c r="I1495">
        <v>1112</v>
      </c>
      <c r="J1495">
        <v>0</v>
      </c>
      <c r="K1495">
        <v>5.2250000000000005</v>
      </c>
      <c r="L1495">
        <v>9.5305</v>
      </c>
      <c r="M1495">
        <v>101.9675</v>
      </c>
      <c r="N1495">
        <v>34.565000000000005</v>
      </c>
      <c r="O1495">
        <v>1686</v>
      </c>
      <c r="P1495">
        <v>0</v>
      </c>
      <c r="Q1495" s="5" t="e">
        <f>IF(AND(#REF!&gt;=table!$C$6,#REF!&lt;= table!$D$6),-1,IF(AND(#REF!&gt;=table!$E$6,#REF!&lt;=table!$F$6),1,0))</f>
        <v>#REF!</v>
      </c>
      <c r="R1495" s="5" t="e">
        <f>IF(AND(#REF!&gt;=table!$C$7,#REF!&lt;= table!$D$7),-1,IF(AND(#REF!&gt;=table!$E$7,#REF!&lt;=table!$F$7),1,0))</f>
        <v>#REF!</v>
      </c>
      <c r="S1495" s="5" t="e">
        <f>IF(AND(#REF!&gt;=table!$C$8,#REF!&lt;= table!$D$8),-1,IF(AND(#REF!&gt;=table!$E$8,#REF!&lt;=table!$F$8),1,0))</f>
        <v>#REF!</v>
      </c>
      <c r="T1495" s="5"/>
      <c r="U1495" s="5" t="e">
        <f>IF(AND(#REF!&gt;=table!$C$10,#REF!&lt;= table!$D$10),-1,IF(AND(#REF!&gt;=table!$E$10,#REF!&lt;=table!$F$10),1,0))</f>
        <v>#REF!</v>
      </c>
      <c r="V1495" s="5" t="e">
        <f>IF(AND(#REF!&gt;=table!$C$11,#REF!&lt;= table!$D$11),-1,IF(AND(#REF!&gt;=table!$E$11,#REF!&lt;=table!$F$11),1,0))</f>
        <v>#REF!</v>
      </c>
      <c r="W1495" s="5" t="e">
        <f>CONCATENATE(dados[[#This Row],[fator1]],dados[[#This Row],[fator5]],dados[[#This Row],[fator6]])</f>
        <v>#REF!</v>
      </c>
    </row>
    <row r="1496" spans="1:23">
      <c r="A1496" t="s">
        <v>17</v>
      </c>
      <c r="B1496">
        <v>485404</v>
      </c>
      <c r="C1496">
        <v>16</v>
      </c>
      <c r="D1496">
        <v>30</v>
      </c>
      <c r="E1496">
        <v>106</v>
      </c>
      <c r="F1496">
        <v>9</v>
      </c>
      <c r="G1496">
        <v>20</v>
      </c>
      <c r="H1496">
        <v>25</v>
      </c>
      <c r="I1496">
        <v>624</v>
      </c>
      <c r="J1496">
        <v>0</v>
      </c>
      <c r="K1496">
        <v>6.6225000000000005</v>
      </c>
      <c r="L1496">
        <v>14.947000000000001</v>
      </c>
      <c r="M1496">
        <v>101.8</v>
      </c>
      <c r="N1496">
        <v>23.734999999999999</v>
      </c>
      <c r="O1496">
        <v>1671</v>
      </c>
      <c r="P1496">
        <v>549</v>
      </c>
      <c r="Q1496" s="5" t="e">
        <f>IF(AND(#REF!&gt;=table!$C$6,#REF!&lt;= table!$D$6),-1,IF(AND(#REF!&gt;=table!$E$6,#REF!&lt;=table!$F$6),1,0))</f>
        <v>#REF!</v>
      </c>
      <c r="R1496" s="5" t="e">
        <f>IF(AND(#REF!&gt;=table!$C$7,#REF!&lt;= table!$D$7),-1,IF(AND(#REF!&gt;=table!$E$7,#REF!&lt;=table!$F$7),1,0))</f>
        <v>#REF!</v>
      </c>
      <c r="S1496" s="5" t="e">
        <f>IF(AND(#REF!&gt;=table!$C$8,#REF!&lt;= table!$D$8),-1,IF(AND(#REF!&gt;=table!$E$8,#REF!&lt;=table!$F$8),1,0))</f>
        <v>#REF!</v>
      </c>
      <c r="T1496" s="5"/>
      <c r="U1496" s="5" t="e">
        <f>IF(AND(#REF!&gt;=table!$C$10,#REF!&lt;= table!$D$10),-1,IF(AND(#REF!&gt;=table!$E$10,#REF!&lt;=table!$F$10),1,0))</f>
        <v>#REF!</v>
      </c>
      <c r="V1496" s="5" t="e">
        <f>IF(AND(#REF!&gt;=table!$C$11,#REF!&lt;= table!$D$11),-1,IF(AND(#REF!&gt;=table!$E$11,#REF!&lt;=table!$F$11),1,0))</f>
        <v>#REF!</v>
      </c>
      <c r="W1496" s="5" t="e">
        <f>CONCATENATE(dados[[#This Row],[fator1]],dados[[#This Row],[fator5]],dados[[#This Row],[fator6]])</f>
        <v>#REF!</v>
      </c>
    </row>
    <row r="1497" spans="1:23">
      <c r="A1497" t="s">
        <v>17</v>
      </c>
      <c r="B1497">
        <v>485405</v>
      </c>
      <c r="C1497">
        <v>16</v>
      </c>
      <c r="D1497">
        <v>30</v>
      </c>
      <c r="E1497">
        <v>106</v>
      </c>
      <c r="F1497">
        <v>9</v>
      </c>
      <c r="G1497">
        <v>20</v>
      </c>
      <c r="H1497">
        <v>25</v>
      </c>
      <c r="I1497">
        <v>113</v>
      </c>
      <c r="J1497">
        <v>0</v>
      </c>
      <c r="K1497">
        <v>9.0805000000000007</v>
      </c>
      <c r="L1497">
        <v>16.487500000000001</v>
      </c>
      <c r="M1497">
        <v>94.572500000000005</v>
      </c>
      <c r="N1497">
        <v>23.365000000000002</v>
      </c>
      <c r="O1497">
        <v>1675</v>
      </c>
      <c r="P1497">
        <v>0</v>
      </c>
      <c r="Q1497" s="5" t="e">
        <f>IF(AND(#REF!&gt;=table!$C$6,#REF!&lt;= table!$D$6),-1,IF(AND(#REF!&gt;=table!$E$6,#REF!&lt;=table!$F$6),1,0))</f>
        <v>#REF!</v>
      </c>
      <c r="R1497" s="5" t="e">
        <f>IF(AND(#REF!&gt;=table!$C$7,#REF!&lt;= table!$D$7),-1,IF(AND(#REF!&gt;=table!$E$7,#REF!&lt;=table!$F$7),1,0))</f>
        <v>#REF!</v>
      </c>
      <c r="S1497" s="5" t="e">
        <f>IF(AND(#REF!&gt;=table!$C$8,#REF!&lt;= table!$D$8),-1,IF(AND(#REF!&gt;=table!$E$8,#REF!&lt;=table!$F$8),1,0))</f>
        <v>#REF!</v>
      </c>
      <c r="T1497" s="5"/>
      <c r="U1497" s="5" t="e">
        <f>IF(AND(#REF!&gt;=table!$C$10,#REF!&lt;= table!$D$10),-1,IF(AND(#REF!&gt;=table!$E$10,#REF!&lt;=table!$F$10),1,0))</f>
        <v>#REF!</v>
      </c>
      <c r="V1497" s="5" t="e">
        <f>IF(AND(#REF!&gt;=table!$C$11,#REF!&lt;= table!$D$11),-1,IF(AND(#REF!&gt;=table!$E$11,#REF!&lt;=table!$F$11),1,0))</f>
        <v>#REF!</v>
      </c>
      <c r="W1497" s="5" t="e">
        <f>CONCATENATE(dados[[#This Row],[fator1]],dados[[#This Row],[fator5]],dados[[#This Row],[fator6]])</f>
        <v>#REF!</v>
      </c>
    </row>
    <row r="1498" spans="1:23">
      <c r="A1498" t="s">
        <v>17</v>
      </c>
      <c r="B1498">
        <v>485406</v>
      </c>
      <c r="C1498">
        <v>16</v>
      </c>
      <c r="D1498">
        <v>23</v>
      </c>
      <c r="E1498">
        <v>145</v>
      </c>
      <c r="F1498">
        <v>9</v>
      </c>
      <c r="G1498">
        <v>30</v>
      </c>
      <c r="H1498">
        <v>25</v>
      </c>
      <c r="I1498">
        <v>2027</v>
      </c>
      <c r="J1498">
        <v>0</v>
      </c>
      <c r="K1498">
        <v>6.2910000000000004</v>
      </c>
      <c r="L1498">
        <v>13.775</v>
      </c>
      <c r="M1498">
        <v>126.63650000000001</v>
      </c>
      <c r="N1498">
        <v>20.415000000000003</v>
      </c>
      <c r="O1498">
        <v>1690</v>
      </c>
      <c r="P1498">
        <v>570</v>
      </c>
      <c r="Q1498" s="5" t="e">
        <f>IF(AND(#REF!&gt;=table!$C$6,#REF!&lt;= table!$D$6),-1,IF(AND(#REF!&gt;=table!$E$6,#REF!&lt;=table!$F$6),1,0))</f>
        <v>#REF!</v>
      </c>
      <c r="R1498" s="5" t="e">
        <f>IF(AND(#REF!&gt;=table!$C$7,#REF!&lt;= table!$D$7),-1,IF(AND(#REF!&gt;=table!$E$7,#REF!&lt;=table!$F$7),1,0))</f>
        <v>#REF!</v>
      </c>
      <c r="S1498" s="5" t="e">
        <f>IF(AND(#REF!&gt;=table!$C$8,#REF!&lt;= table!$D$8),-1,IF(AND(#REF!&gt;=table!$E$8,#REF!&lt;=table!$F$8),1,0))</f>
        <v>#REF!</v>
      </c>
      <c r="T1498" s="5"/>
      <c r="U1498" s="5" t="e">
        <f>IF(AND(#REF!&gt;=table!$C$10,#REF!&lt;= table!$D$10),-1,IF(AND(#REF!&gt;=table!$E$10,#REF!&lt;=table!$F$10),1,0))</f>
        <v>#REF!</v>
      </c>
      <c r="V1498" s="5" t="e">
        <f>IF(AND(#REF!&gt;=table!$C$11,#REF!&lt;= table!$D$11),-1,IF(AND(#REF!&gt;=table!$E$11,#REF!&lt;=table!$F$11),1,0))</f>
        <v>#REF!</v>
      </c>
      <c r="W1498" s="5" t="e">
        <f>CONCATENATE(dados[[#This Row],[fator1]],dados[[#This Row],[fator5]],dados[[#This Row],[fator6]])</f>
        <v>#REF!</v>
      </c>
    </row>
    <row r="1499" spans="1:23">
      <c r="A1499" t="s">
        <v>16</v>
      </c>
      <c r="B1499">
        <v>485412</v>
      </c>
      <c r="C1499">
        <v>0.1</v>
      </c>
      <c r="D1499">
        <v>35</v>
      </c>
      <c r="E1499">
        <v>10</v>
      </c>
      <c r="F1499">
        <v>10</v>
      </c>
      <c r="G1499">
        <v>0</v>
      </c>
      <c r="H1499">
        <v>12</v>
      </c>
      <c r="I1499">
        <v>1227</v>
      </c>
      <c r="J1499">
        <v>1040</v>
      </c>
      <c r="K1499">
        <v>10.975</v>
      </c>
      <c r="L1499">
        <v>7.4510000000000005</v>
      </c>
      <c r="M1499">
        <v>4.2620000000000005</v>
      </c>
      <c r="N1499">
        <v>4.5200000000000005</v>
      </c>
      <c r="O1499">
        <v>1565</v>
      </c>
      <c r="P1499">
        <v>269</v>
      </c>
      <c r="Q1499" s="5" t="e">
        <f>IF(AND(#REF!&gt;=table!$C$6,#REF!&lt;= table!$D$6),-1,IF(AND(#REF!&gt;=table!$E$6,#REF!&lt;=table!$F$6),1,0))</f>
        <v>#REF!</v>
      </c>
      <c r="R1499" s="5" t="e">
        <f>IF(AND(#REF!&gt;=table!$C$7,#REF!&lt;= table!$D$7),-1,IF(AND(#REF!&gt;=table!$E$7,#REF!&lt;=table!$F$7),1,0))</f>
        <v>#REF!</v>
      </c>
      <c r="S1499" s="5" t="e">
        <f>IF(AND(#REF!&gt;=table!$C$8,#REF!&lt;= table!$D$8),-1,IF(AND(#REF!&gt;=table!$E$8,#REF!&lt;=table!$F$8),1,0))</f>
        <v>#REF!</v>
      </c>
      <c r="T1499" s="5"/>
      <c r="U1499" s="5" t="e">
        <f>IF(AND(#REF!&gt;=table!$C$10,#REF!&lt;= table!$D$10),-1,IF(AND(#REF!&gt;=table!$E$10,#REF!&lt;=table!$F$10),1,0))</f>
        <v>#REF!</v>
      </c>
      <c r="V1499" s="5" t="e">
        <f>IF(AND(#REF!&gt;=table!$C$11,#REF!&lt;= table!$D$11),-1,IF(AND(#REF!&gt;=table!$E$11,#REF!&lt;=table!$F$11),1,0))</f>
        <v>#REF!</v>
      </c>
      <c r="W1499" s="5" t="e">
        <f>CONCATENATE(dados[[#This Row],[fator1]],dados[[#This Row],[fator5]],dados[[#This Row],[fator6]])</f>
        <v>#REF!</v>
      </c>
    </row>
    <row r="1500" spans="1:23">
      <c r="A1500" t="s">
        <v>16</v>
      </c>
      <c r="B1500">
        <v>485415</v>
      </c>
      <c r="C1500">
        <v>12</v>
      </c>
      <c r="D1500">
        <v>35</v>
      </c>
      <c r="E1500">
        <v>180</v>
      </c>
      <c r="F1500">
        <v>6</v>
      </c>
      <c r="G1500">
        <v>0</v>
      </c>
      <c r="H1500">
        <v>20</v>
      </c>
      <c r="I1500">
        <v>1054</v>
      </c>
      <c r="J1500">
        <v>400</v>
      </c>
      <c r="K1500">
        <v>3.4130000000000003</v>
      </c>
      <c r="L1500">
        <v>6.0920000000000005</v>
      </c>
      <c r="M1500">
        <v>154.89600000000002</v>
      </c>
      <c r="N1500">
        <v>14.540000000000001</v>
      </c>
      <c r="O1500">
        <v>1661</v>
      </c>
      <c r="P1500">
        <v>1201</v>
      </c>
      <c r="Q1500" s="5" t="e">
        <f>IF(AND(#REF!&gt;=table!$C$6,#REF!&lt;= table!$D$6),-1,IF(AND(#REF!&gt;=table!$E$6,#REF!&lt;=table!$F$6),1,0))</f>
        <v>#REF!</v>
      </c>
      <c r="R1500" s="5" t="e">
        <f>IF(AND(#REF!&gt;=table!$C$7,#REF!&lt;= table!$D$7),-1,IF(AND(#REF!&gt;=table!$E$7,#REF!&lt;=table!$F$7),1,0))</f>
        <v>#REF!</v>
      </c>
      <c r="S1500" s="5" t="e">
        <f>IF(AND(#REF!&gt;=table!$C$8,#REF!&lt;= table!$D$8),-1,IF(AND(#REF!&gt;=table!$E$8,#REF!&lt;=table!$F$8),1,0))</f>
        <v>#REF!</v>
      </c>
      <c r="T1500" s="5"/>
      <c r="U1500" s="5" t="e">
        <f>IF(AND(#REF!&gt;=table!$C$10,#REF!&lt;= table!$D$10),-1,IF(AND(#REF!&gt;=table!$E$10,#REF!&lt;=table!$F$10),1,0))</f>
        <v>#REF!</v>
      </c>
      <c r="V1500" s="5" t="e">
        <f>IF(AND(#REF!&gt;=table!$C$11,#REF!&lt;= table!$D$11),-1,IF(AND(#REF!&gt;=table!$E$11,#REF!&lt;=table!$F$11),1,0))</f>
        <v>#REF!</v>
      </c>
      <c r="W1500" s="5" t="e">
        <f>CONCATENATE(dados[[#This Row],[fator1]],dados[[#This Row],[fator5]],dados[[#This Row],[fator6]])</f>
        <v>#REF!</v>
      </c>
    </row>
    <row r="1501" spans="1:23">
      <c r="A1501" t="s">
        <v>16</v>
      </c>
      <c r="B1501">
        <v>485424</v>
      </c>
      <c r="C1501">
        <v>7</v>
      </c>
      <c r="D1501">
        <v>35</v>
      </c>
      <c r="E1501">
        <v>170</v>
      </c>
      <c r="F1501">
        <v>6</v>
      </c>
      <c r="G1501">
        <v>0</v>
      </c>
      <c r="H1501">
        <v>20</v>
      </c>
      <c r="I1501">
        <v>632</v>
      </c>
      <c r="J1501">
        <v>0</v>
      </c>
      <c r="K1501">
        <v>7.8550000000000004</v>
      </c>
      <c r="L1501">
        <v>12.822000000000001</v>
      </c>
      <c r="M1501">
        <v>161.94200000000001</v>
      </c>
      <c r="N1501">
        <v>13.75</v>
      </c>
      <c r="O1501">
        <v>1682</v>
      </c>
      <c r="P1501">
        <v>426</v>
      </c>
      <c r="Q1501" s="5" t="e">
        <f>IF(AND(#REF!&gt;=table!$C$6,#REF!&lt;= table!$D$6),-1,IF(AND(#REF!&gt;=table!$E$6,#REF!&lt;=table!$F$6),1,0))</f>
        <v>#REF!</v>
      </c>
      <c r="R1501" s="5" t="e">
        <f>IF(AND(#REF!&gt;=table!$C$7,#REF!&lt;= table!$D$7),-1,IF(AND(#REF!&gt;=table!$E$7,#REF!&lt;=table!$F$7),1,0))</f>
        <v>#REF!</v>
      </c>
      <c r="S1501" s="5" t="e">
        <f>IF(AND(#REF!&gt;=table!$C$8,#REF!&lt;= table!$D$8),-1,IF(AND(#REF!&gt;=table!$E$8,#REF!&lt;=table!$F$8),1,0))</f>
        <v>#REF!</v>
      </c>
      <c r="T1501" s="5"/>
      <c r="U1501" s="5" t="e">
        <f>IF(AND(#REF!&gt;=table!$C$10,#REF!&lt;= table!$D$10),-1,IF(AND(#REF!&gt;=table!$E$10,#REF!&lt;=table!$F$10),1,0))</f>
        <v>#REF!</v>
      </c>
      <c r="V1501" s="5" t="e">
        <f>IF(AND(#REF!&gt;=table!$C$11,#REF!&lt;= table!$D$11),-1,IF(AND(#REF!&gt;=table!$E$11,#REF!&lt;=table!$F$11),1,0))</f>
        <v>#REF!</v>
      </c>
      <c r="W1501" s="5" t="e">
        <f>CONCATENATE(dados[[#This Row],[fator1]],dados[[#This Row],[fator5]],dados[[#This Row],[fator6]])</f>
        <v>#REF!</v>
      </c>
    </row>
    <row r="1502" spans="1:23">
      <c r="A1502" t="s">
        <v>16</v>
      </c>
      <c r="B1502">
        <v>485427</v>
      </c>
      <c r="C1502">
        <v>10</v>
      </c>
      <c r="D1502">
        <v>40</v>
      </c>
      <c r="E1502">
        <v>96</v>
      </c>
      <c r="F1502">
        <v>8</v>
      </c>
      <c r="G1502">
        <v>0</v>
      </c>
      <c r="H1502">
        <v>25</v>
      </c>
      <c r="I1502">
        <v>75</v>
      </c>
      <c r="J1502">
        <v>0</v>
      </c>
      <c r="K1502">
        <v>7.2540000000000004</v>
      </c>
      <c r="L1502">
        <v>18.548999999999999</v>
      </c>
      <c r="M1502">
        <v>87.498000000000005</v>
      </c>
      <c r="N1502">
        <v>24.585000000000001</v>
      </c>
      <c r="O1502">
        <v>1679</v>
      </c>
      <c r="P1502">
        <v>418</v>
      </c>
      <c r="Q1502" s="5" t="e">
        <f>IF(AND(#REF!&gt;=table!$C$6,#REF!&lt;= table!$D$6),-1,IF(AND(#REF!&gt;=table!$E$6,#REF!&lt;=table!$F$6),1,0))</f>
        <v>#REF!</v>
      </c>
      <c r="R1502" s="5" t="e">
        <f>IF(AND(#REF!&gt;=table!$C$7,#REF!&lt;= table!$D$7),-1,IF(AND(#REF!&gt;=table!$E$7,#REF!&lt;=table!$F$7),1,0))</f>
        <v>#REF!</v>
      </c>
      <c r="S1502" s="5" t="e">
        <f>IF(AND(#REF!&gt;=table!$C$8,#REF!&lt;= table!$D$8),-1,IF(AND(#REF!&gt;=table!$E$8,#REF!&lt;=table!$F$8),1,0))</f>
        <v>#REF!</v>
      </c>
      <c r="T1502" s="5"/>
      <c r="U1502" s="5" t="e">
        <f>IF(AND(#REF!&gt;=table!$C$10,#REF!&lt;= table!$D$10),-1,IF(AND(#REF!&gt;=table!$E$10,#REF!&lt;=table!$F$10),1,0))</f>
        <v>#REF!</v>
      </c>
      <c r="V1502" s="5" t="e">
        <f>IF(AND(#REF!&gt;=table!$C$11,#REF!&lt;= table!$D$11),-1,IF(AND(#REF!&gt;=table!$E$11,#REF!&lt;=table!$F$11),1,0))</f>
        <v>#REF!</v>
      </c>
      <c r="W1502" s="5" t="e">
        <f>CONCATENATE(dados[[#This Row],[fator1]],dados[[#This Row],[fator5]],dados[[#This Row],[fator6]])</f>
        <v>#REF!</v>
      </c>
    </row>
    <row r="1503" spans="1:23">
      <c r="A1503" t="s">
        <v>16</v>
      </c>
      <c r="B1503">
        <v>485428</v>
      </c>
      <c r="C1503">
        <v>0.2</v>
      </c>
      <c r="D1503">
        <v>65</v>
      </c>
      <c r="E1503">
        <v>26</v>
      </c>
      <c r="F1503">
        <v>15</v>
      </c>
      <c r="G1503">
        <v>0</v>
      </c>
      <c r="H1503">
        <v>30</v>
      </c>
      <c r="I1503">
        <v>249</v>
      </c>
      <c r="J1503">
        <v>570</v>
      </c>
      <c r="K1503">
        <v>4.5765000000000002</v>
      </c>
      <c r="L1503">
        <v>7.1320000000000006</v>
      </c>
      <c r="M1503">
        <v>5.7175000000000002</v>
      </c>
      <c r="N1503">
        <v>15.485000000000001</v>
      </c>
      <c r="O1503">
        <v>1645</v>
      </c>
      <c r="P1503">
        <v>804</v>
      </c>
      <c r="Q1503" s="5" t="e">
        <f>IF(AND(#REF!&gt;=table!$C$6,#REF!&lt;= table!$D$6),-1,IF(AND(#REF!&gt;=table!$E$6,#REF!&lt;=table!$F$6),1,0))</f>
        <v>#REF!</v>
      </c>
      <c r="R1503" s="5" t="e">
        <f>IF(AND(#REF!&gt;=table!$C$7,#REF!&lt;= table!$D$7),-1,IF(AND(#REF!&gt;=table!$E$7,#REF!&lt;=table!$F$7),1,0))</f>
        <v>#REF!</v>
      </c>
      <c r="S1503" s="5" t="e">
        <f>IF(AND(#REF!&gt;=table!$C$8,#REF!&lt;= table!$D$8),-1,IF(AND(#REF!&gt;=table!$E$8,#REF!&lt;=table!$F$8),1,0))</f>
        <v>#REF!</v>
      </c>
      <c r="T1503" s="5"/>
      <c r="U1503" s="5" t="e">
        <f>IF(AND(#REF!&gt;=table!$C$10,#REF!&lt;= table!$D$10),-1,IF(AND(#REF!&gt;=table!$E$10,#REF!&lt;=table!$F$10),1,0))</f>
        <v>#REF!</v>
      </c>
      <c r="V1503" s="5" t="e">
        <f>IF(AND(#REF!&gt;=table!$C$11,#REF!&lt;= table!$D$11),-1,IF(AND(#REF!&gt;=table!$E$11,#REF!&lt;=table!$F$11),1,0))</f>
        <v>#REF!</v>
      </c>
      <c r="W1503" s="5" t="e">
        <f>CONCATENATE(dados[[#This Row],[fator1]],dados[[#This Row],[fator5]],dados[[#This Row],[fator6]])</f>
        <v>#REF!</v>
      </c>
    </row>
    <row r="1504" spans="1:23">
      <c r="A1504" t="s">
        <v>16</v>
      </c>
      <c r="B1504">
        <v>485429</v>
      </c>
      <c r="C1504">
        <v>0.2</v>
      </c>
      <c r="D1504">
        <v>65</v>
      </c>
      <c r="E1504">
        <v>26</v>
      </c>
      <c r="F1504">
        <v>15</v>
      </c>
      <c r="G1504">
        <v>0</v>
      </c>
      <c r="H1504">
        <v>30</v>
      </c>
      <c r="I1504">
        <v>1087</v>
      </c>
      <c r="J1504">
        <v>0</v>
      </c>
      <c r="K1504">
        <v>6.0410000000000004</v>
      </c>
      <c r="L1504">
        <v>11.574</v>
      </c>
      <c r="M1504">
        <v>11.417</v>
      </c>
      <c r="N1504">
        <v>14.795</v>
      </c>
      <c r="O1504">
        <v>1675</v>
      </c>
      <c r="P1504">
        <v>606</v>
      </c>
      <c r="Q1504" s="5" t="e">
        <f>IF(AND(#REF!&gt;=table!$C$6,#REF!&lt;= table!$D$6),-1,IF(AND(#REF!&gt;=table!$E$6,#REF!&lt;=table!$F$6),1,0))</f>
        <v>#REF!</v>
      </c>
      <c r="R1504" s="5" t="e">
        <f>IF(AND(#REF!&gt;=table!$C$7,#REF!&lt;= table!$D$7),-1,IF(AND(#REF!&gt;=table!$E$7,#REF!&lt;=table!$F$7),1,0))</f>
        <v>#REF!</v>
      </c>
      <c r="S1504" s="5" t="e">
        <f>IF(AND(#REF!&gt;=table!$C$8,#REF!&lt;= table!$D$8),-1,IF(AND(#REF!&gt;=table!$E$8,#REF!&lt;=table!$F$8),1,0))</f>
        <v>#REF!</v>
      </c>
      <c r="T1504" s="5"/>
      <c r="U1504" s="5" t="e">
        <f>IF(AND(#REF!&gt;=table!$C$10,#REF!&lt;= table!$D$10),-1,IF(AND(#REF!&gt;=table!$E$10,#REF!&lt;=table!$F$10),1,0))</f>
        <v>#REF!</v>
      </c>
      <c r="V1504" s="5" t="e">
        <f>IF(AND(#REF!&gt;=table!$C$11,#REF!&lt;= table!$D$11),-1,IF(AND(#REF!&gt;=table!$E$11,#REF!&lt;=table!$F$11),1,0))</f>
        <v>#REF!</v>
      </c>
      <c r="W1504" s="5" t="e">
        <f>CONCATENATE(dados[[#This Row],[fator1]],dados[[#This Row],[fator5]],dados[[#This Row],[fator6]])</f>
        <v>#REF!</v>
      </c>
    </row>
    <row r="1505" spans="1:23">
      <c r="A1505" t="s">
        <v>16</v>
      </c>
      <c r="B1505">
        <v>485430</v>
      </c>
      <c r="C1505">
        <v>0.2</v>
      </c>
      <c r="D1505">
        <v>65</v>
      </c>
      <c r="E1505">
        <v>26</v>
      </c>
      <c r="F1505">
        <v>15</v>
      </c>
      <c r="G1505">
        <v>0</v>
      </c>
      <c r="H1505">
        <v>30</v>
      </c>
      <c r="I1505">
        <v>1592</v>
      </c>
      <c r="J1505">
        <v>710</v>
      </c>
      <c r="K1505">
        <v>6.78</v>
      </c>
      <c r="L1505">
        <v>6.8155000000000001</v>
      </c>
      <c r="M1505">
        <v>6.4625000000000004</v>
      </c>
      <c r="N1505">
        <v>11.915000000000001</v>
      </c>
      <c r="O1505">
        <v>1634</v>
      </c>
      <c r="P1505">
        <v>505</v>
      </c>
      <c r="Q1505" s="5" t="e">
        <f>IF(AND(#REF!&gt;=table!$C$6,#REF!&lt;= table!$D$6),-1,IF(AND(#REF!&gt;=table!$E$6,#REF!&lt;=table!$F$6),1,0))</f>
        <v>#REF!</v>
      </c>
      <c r="R1505" s="5" t="e">
        <f>IF(AND(#REF!&gt;=table!$C$7,#REF!&lt;= table!$D$7),-1,IF(AND(#REF!&gt;=table!$E$7,#REF!&lt;=table!$F$7),1,0))</f>
        <v>#REF!</v>
      </c>
      <c r="S1505" s="5" t="e">
        <f>IF(AND(#REF!&gt;=table!$C$8,#REF!&lt;= table!$D$8),-1,IF(AND(#REF!&gt;=table!$E$8,#REF!&lt;=table!$F$8),1,0))</f>
        <v>#REF!</v>
      </c>
      <c r="T1505" s="5"/>
      <c r="U1505" s="5" t="e">
        <f>IF(AND(#REF!&gt;=table!$C$10,#REF!&lt;= table!$D$10),-1,IF(AND(#REF!&gt;=table!$E$10,#REF!&lt;=table!$F$10),1,0))</f>
        <v>#REF!</v>
      </c>
      <c r="V1505" s="5" t="e">
        <f>IF(AND(#REF!&gt;=table!$C$11,#REF!&lt;= table!$D$11),-1,IF(AND(#REF!&gt;=table!$E$11,#REF!&lt;=table!$F$11),1,0))</f>
        <v>#REF!</v>
      </c>
      <c r="W1505" s="5" t="e">
        <f>CONCATENATE(dados[[#This Row],[fator1]],dados[[#This Row],[fator5]],dados[[#This Row],[fator6]])</f>
        <v>#REF!</v>
      </c>
    </row>
    <row r="1506" spans="1:23">
      <c r="A1506" t="s">
        <v>16</v>
      </c>
      <c r="B1506">
        <v>485431</v>
      </c>
      <c r="C1506">
        <v>0.2</v>
      </c>
      <c r="D1506">
        <v>65</v>
      </c>
      <c r="E1506">
        <v>26</v>
      </c>
      <c r="F1506">
        <v>15</v>
      </c>
      <c r="G1506">
        <v>0</v>
      </c>
      <c r="H1506">
        <v>30</v>
      </c>
      <c r="I1506">
        <v>707</v>
      </c>
      <c r="J1506">
        <v>0</v>
      </c>
      <c r="K1506">
        <v>4.3944999999999999</v>
      </c>
      <c r="L1506">
        <v>5.7575000000000003</v>
      </c>
      <c r="M1506">
        <v>5.3185000000000002</v>
      </c>
      <c r="N1506">
        <v>13.58</v>
      </c>
      <c r="O1506">
        <v>1672</v>
      </c>
      <c r="P1506">
        <v>0</v>
      </c>
      <c r="Q1506" s="5" t="e">
        <f>IF(AND(#REF!&gt;=table!$C$6,#REF!&lt;= table!$D$6),-1,IF(AND(#REF!&gt;=table!$E$6,#REF!&lt;=table!$F$6),1,0))</f>
        <v>#REF!</v>
      </c>
      <c r="R1506" s="5" t="e">
        <f>IF(AND(#REF!&gt;=table!$C$7,#REF!&lt;= table!$D$7),-1,IF(AND(#REF!&gt;=table!$E$7,#REF!&lt;=table!$F$7),1,0))</f>
        <v>#REF!</v>
      </c>
      <c r="S1506" s="5" t="e">
        <f>IF(AND(#REF!&gt;=table!$C$8,#REF!&lt;= table!$D$8),-1,IF(AND(#REF!&gt;=table!$E$8,#REF!&lt;=table!$F$8),1,0))</f>
        <v>#REF!</v>
      </c>
      <c r="T1506" s="5"/>
      <c r="U1506" s="5" t="e">
        <f>IF(AND(#REF!&gt;=table!$C$10,#REF!&lt;= table!$D$10),-1,IF(AND(#REF!&gt;=table!$E$10,#REF!&lt;=table!$F$10),1,0))</f>
        <v>#REF!</v>
      </c>
      <c r="V1506" s="5" t="e">
        <f>IF(AND(#REF!&gt;=table!$C$11,#REF!&lt;= table!$D$11),-1,IF(AND(#REF!&gt;=table!$E$11,#REF!&lt;=table!$F$11),1,0))</f>
        <v>#REF!</v>
      </c>
      <c r="W1506" s="5" t="e">
        <f>CONCATENATE(dados[[#This Row],[fator1]],dados[[#This Row],[fator5]],dados[[#This Row],[fator6]])</f>
        <v>#REF!</v>
      </c>
    </row>
    <row r="1507" spans="1:23">
      <c r="A1507" t="s">
        <v>16</v>
      </c>
      <c r="B1507">
        <v>485432</v>
      </c>
      <c r="C1507">
        <v>0.2</v>
      </c>
      <c r="D1507">
        <v>65</v>
      </c>
      <c r="E1507">
        <v>26</v>
      </c>
      <c r="F1507">
        <v>15</v>
      </c>
      <c r="G1507">
        <v>0</v>
      </c>
      <c r="H1507">
        <v>30</v>
      </c>
      <c r="I1507">
        <v>1413</v>
      </c>
      <c r="J1507">
        <v>0</v>
      </c>
      <c r="K1507">
        <v>6.1215000000000002</v>
      </c>
      <c r="L1507">
        <v>11.0695</v>
      </c>
      <c r="M1507">
        <v>10.483000000000001</v>
      </c>
      <c r="N1507">
        <v>17.745000000000001</v>
      </c>
      <c r="O1507">
        <v>1691</v>
      </c>
      <c r="P1507">
        <v>689</v>
      </c>
      <c r="Q1507" s="5" t="e">
        <f>IF(AND(#REF!&gt;=table!$C$6,#REF!&lt;= table!$D$6),-1,IF(AND(#REF!&gt;=table!$E$6,#REF!&lt;=table!$F$6),1,0))</f>
        <v>#REF!</v>
      </c>
      <c r="R1507" s="5" t="e">
        <f>IF(AND(#REF!&gt;=table!$C$7,#REF!&lt;= table!$D$7),-1,IF(AND(#REF!&gt;=table!$E$7,#REF!&lt;=table!$F$7),1,0))</f>
        <v>#REF!</v>
      </c>
      <c r="S1507" s="5" t="e">
        <f>IF(AND(#REF!&gt;=table!$C$8,#REF!&lt;= table!$D$8),-1,IF(AND(#REF!&gt;=table!$E$8,#REF!&lt;=table!$F$8),1,0))</f>
        <v>#REF!</v>
      </c>
      <c r="T1507" s="5"/>
      <c r="U1507" s="5" t="e">
        <f>IF(AND(#REF!&gt;=table!$C$10,#REF!&lt;= table!$D$10),-1,IF(AND(#REF!&gt;=table!$E$10,#REF!&lt;=table!$F$10),1,0))</f>
        <v>#REF!</v>
      </c>
      <c r="V1507" s="5" t="e">
        <f>IF(AND(#REF!&gt;=table!$C$11,#REF!&lt;= table!$D$11),-1,IF(AND(#REF!&gt;=table!$E$11,#REF!&lt;=table!$F$11),1,0))</f>
        <v>#REF!</v>
      </c>
      <c r="W1507" s="5" t="e">
        <f>CONCATENATE(dados[[#This Row],[fator1]],dados[[#This Row],[fator5]],dados[[#This Row],[fator6]])</f>
        <v>#REF!</v>
      </c>
    </row>
    <row r="1508" spans="1:23">
      <c r="A1508" t="s">
        <v>16</v>
      </c>
      <c r="B1508">
        <v>485433</v>
      </c>
      <c r="C1508">
        <v>0.2</v>
      </c>
      <c r="D1508">
        <v>65</v>
      </c>
      <c r="E1508">
        <v>26</v>
      </c>
      <c r="F1508">
        <v>15</v>
      </c>
      <c r="G1508">
        <v>0</v>
      </c>
      <c r="H1508">
        <v>30</v>
      </c>
      <c r="I1508">
        <v>83</v>
      </c>
      <c r="J1508">
        <v>0</v>
      </c>
      <c r="K1508">
        <v>4.109</v>
      </c>
      <c r="L1508">
        <v>9.4984999999999999</v>
      </c>
      <c r="M1508">
        <v>7.7075000000000005</v>
      </c>
      <c r="N1508">
        <v>19.305</v>
      </c>
      <c r="O1508">
        <v>1684</v>
      </c>
      <c r="P1508">
        <v>0</v>
      </c>
      <c r="Q1508" s="5" t="e">
        <f>IF(AND(#REF!&gt;=table!$C$6,#REF!&lt;= table!$D$6),-1,IF(AND(#REF!&gt;=table!$E$6,#REF!&lt;=table!$F$6),1,0))</f>
        <v>#REF!</v>
      </c>
      <c r="R1508" s="5" t="e">
        <f>IF(AND(#REF!&gt;=table!$C$7,#REF!&lt;= table!$D$7),-1,IF(AND(#REF!&gt;=table!$E$7,#REF!&lt;=table!$F$7),1,0))</f>
        <v>#REF!</v>
      </c>
      <c r="S1508" s="5" t="e">
        <f>IF(AND(#REF!&gt;=table!$C$8,#REF!&lt;= table!$D$8),-1,IF(AND(#REF!&gt;=table!$E$8,#REF!&lt;=table!$F$8),1,0))</f>
        <v>#REF!</v>
      </c>
      <c r="T1508" s="5"/>
      <c r="U1508" s="5" t="e">
        <f>IF(AND(#REF!&gt;=table!$C$10,#REF!&lt;= table!$D$10),-1,IF(AND(#REF!&gt;=table!$E$10,#REF!&lt;=table!$F$10),1,0))</f>
        <v>#REF!</v>
      </c>
      <c r="V1508" s="5" t="e">
        <f>IF(AND(#REF!&gt;=table!$C$11,#REF!&lt;= table!$D$11),-1,IF(AND(#REF!&gt;=table!$E$11,#REF!&lt;=table!$F$11),1,0))</f>
        <v>#REF!</v>
      </c>
      <c r="W1508" s="5" t="e">
        <f>CONCATENATE(dados[[#This Row],[fator1]],dados[[#This Row],[fator5]],dados[[#This Row],[fator6]])</f>
        <v>#REF!</v>
      </c>
    </row>
    <row r="1509" spans="1:23">
      <c r="A1509" t="s">
        <v>16</v>
      </c>
      <c r="B1509">
        <v>485434</v>
      </c>
      <c r="C1509">
        <v>3</v>
      </c>
      <c r="D1509">
        <v>30</v>
      </c>
      <c r="E1509">
        <v>21</v>
      </c>
      <c r="F1509">
        <v>15</v>
      </c>
      <c r="G1509">
        <v>0</v>
      </c>
      <c r="H1509">
        <v>25</v>
      </c>
      <c r="I1509">
        <v>792</v>
      </c>
      <c r="J1509">
        <v>0</v>
      </c>
      <c r="K1509">
        <v>5.3540000000000001</v>
      </c>
      <c r="L1509">
        <v>11.3665</v>
      </c>
      <c r="M1509">
        <v>21.282</v>
      </c>
      <c r="N1509">
        <v>18.36</v>
      </c>
      <c r="O1509">
        <v>1670</v>
      </c>
      <c r="P1509">
        <v>760</v>
      </c>
      <c r="Q1509" s="5" t="e">
        <f>IF(AND(#REF!&gt;=table!$C$6,#REF!&lt;= table!$D$6),-1,IF(AND(#REF!&gt;=table!$E$6,#REF!&lt;=table!$F$6),1,0))</f>
        <v>#REF!</v>
      </c>
      <c r="R1509" s="5" t="e">
        <f>IF(AND(#REF!&gt;=table!$C$7,#REF!&lt;= table!$D$7),-1,IF(AND(#REF!&gt;=table!$E$7,#REF!&lt;=table!$F$7),1,0))</f>
        <v>#REF!</v>
      </c>
      <c r="S1509" s="5" t="e">
        <f>IF(AND(#REF!&gt;=table!$C$8,#REF!&lt;= table!$D$8),-1,IF(AND(#REF!&gt;=table!$E$8,#REF!&lt;=table!$F$8),1,0))</f>
        <v>#REF!</v>
      </c>
      <c r="T1509" s="5"/>
      <c r="U1509" s="5" t="e">
        <f>IF(AND(#REF!&gt;=table!$C$10,#REF!&lt;= table!$D$10),-1,IF(AND(#REF!&gt;=table!$E$10,#REF!&lt;=table!$F$10),1,0))</f>
        <v>#REF!</v>
      </c>
      <c r="V1509" s="5" t="e">
        <f>IF(AND(#REF!&gt;=table!$C$11,#REF!&lt;= table!$D$11),-1,IF(AND(#REF!&gt;=table!$E$11,#REF!&lt;=table!$F$11),1,0))</f>
        <v>#REF!</v>
      </c>
      <c r="W1509" s="5" t="e">
        <f>CONCATENATE(dados[[#This Row],[fator1]],dados[[#This Row],[fator5]],dados[[#This Row],[fator6]])</f>
        <v>#REF!</v>
      </c>
    </row>
    <row r="1510" spans="1:23">
      <c r="A1510" t="s">
        <v>16</v>
      </c>
      <c r="B1510">
        <v>485435</v>
      </c>
      <c r="C1510">
        <v>4</v>
      </c>
      <c r="D1510">
        <v>40</v>
      </c>
      <c r="E1510">
        <v>21</v>
      </c>
      <c r="F1510">
        <v>20</v>
      </c>
      <c r="G1510">
        <v>0</v>
      </c>
      <c r="H1510">
        <v>25</v>
      </c>
      <c r="I1510">
        <v>85</v>
      </c>
      <c r="J1510">
        <v>770</v>
      </c>
      <c r="K1510">
        <v>6.8959999999999999</v>
      </c>
      <c r="L1510">
        <v>11.23</v>
      </c>
      <c r="M1510">
        <v>18.333000000000002</v>
      </c>
      <c r="N1510">
        <v>13.325000000000001</v>
      </c>
      <c r="O1510">
        <v>1659</v>
      </c>
      <c r="P1510">
        <v>520</v>
      </c>
      <c r="Q1510" s="5" t="e">
        <f>IF(AND(#REF!&gt;=table!$C$6,#REF!&lt;= table!$D$6),-1,IF(AND(#REF!&gt;=table!$E$6,#REF!&lt;=table!$F$6),1,0))</f>
        <v>#REF!</v>
      </c>
      <c r="R1510" s="5" t="e">
        <f>IF(AND(#REF!&gt;=table!$C$7,#REF!&lt;= table!$D$7),-1,IF(AND(#REF!&gt;=table!$E$7,#REF!&lt;=table!$F$7),1,0))</f>
        <v>#REF!</v>
      </c>
      <c r="S1510" s="5" t="e">
        <f>IF(AND(#REF!&gt;=table!$C$8,#REF!&lt;= table!$D$8),-1,IF(AND(#REF!&gt;=table!$E$8,#REF!&lt;=table!$F$8),1,0))</f>
        <v>#REF!</v>
      </c>
      <c r="T1510" s="5"/>
      <c r="U1510" s="5" t="e">
        <f>IF(AND(#REF!&gt;=table!$C$10,#REF!&lt;= table!$D$10),-1,IF(AND(#REF!&gt;=table!$E$10,#REF!&lt;=table!$F$10),1,0))</f>
        <v>#REF!</v>
      </c>
      <c r="V1510" s="5" t="e">
        <f>IF(AND(#REF!&gt;=table!$C$11,#REF!&lt;= table!$D$11),-1,IF(AND(#REF!&gt;=table!$E$11,#REF!&lt;=table!$F$11),1,0))</f>
        <v>#REF!</v>
      </c>
      <c r="W1510" s="5" t="e">
        <f>CONCATENATE(dados[[#This Row],[fator1]],dados[[#This Row],[fator5]],dados[[#This Row],[fator6]])</f>
        <v>#REF!</v>
      </c>
    </row>
    <row r="1511" spans="1:23">
      <c r="A1511" t="s">
        <v>16</v>
      </c>
      <c r="B1511">
        <v>485450</v>
      </c>
      <c r="C1511">
        <v>16</v>
      </c>
      <c r="D1511">
        <v>35</v>
      </c>
      <c r="E1511">
        <v>40</v>
      </c>
      <c r="F1511">
        <v>10</v>
      </c>
      <c r="G1511">
        <v>0</v>
      </c>
      <c r="H1511">
        <v>25</v>
      </c>
      <c r="I1511">
        <v>739</v>
      </c>
      <c r="J1511">
        <v>0</v>
      </c>
      <c r="K1511">
        <v>10.418000000000001</v>
      </c>
      <c r="L1511">
        <v>12.009</v>
      </c>
      <c r="M1511">
        <v>36.947000000000003</v>
      </c>
      <c r="N1511">
        <v>12.645000000000001</v>
      </c>
      <c r="O1511">
        <v>1649</v>
      </c>
      <c r="P1511">
        <v>329</v>
      </c>
      <c r="Q1511" s="5" t="e">
        <f>IF(AND(#REF!&gt;=table!$C$6,#REF!&lt;= table!$D$6),-1,IF(AND(#REF!&gt;=table!$E$6,#REF!&lt;=table!$F$6),1,0))</f>
        <v>#REF!</v>
      </c>
      <c r="R1511" s="5" t="e">
        <f>IF(AND(#REF!&gt;=table!$C$7,#REF!&lt;= table!$D$7),-1,IF(AND(#REF!&gt;=table!$E$7,#REF!&lt;=table!$F$7),1,0))</f>
        <v>#REF!</v>
      </c>
      <c r="S1511" s="5" t="e">
        <f>IF(AND(#REF!&gt;=table!$C$8,#REF!&lt;= table!$D$8),-1,IF(AND(#REF!&gt;=table!$E$8,#REF!&lt;=table!$F$8),1,0))</f>
        <v>#REF!</v>
      </c>
      <c r="T1511" s="5"/>
      <c r="U1511" s="5" t="e">
        <f>IF(AND(#REF!&gt;=table!$C$10,#REF!&lt;= table!$D$10),-1,IF(AND(#REF!&gt;=table!$E$10,#REF!&lt;=table!$F$10),1,0))</f>
        <v>#REF!</v>
      </c>
      <c r="V1511" s="5" t="e">
        <f>IF(AND(#REF!&gt;=table!$C$11,#REF!&lt;= table!$D$11),-1,IF(AND(#REF!&gt;=table!$E$11,#REF!&lt;=table!$F$11),1,0))</f>
        <v>#REF!</v>
      </c>
      <c r="W1511" s="5" t="e">
        <f>CONCATENATE(dados[[#This Row],[fator1]],dados[[#This Row],[fator5]],dados[[#This Row],[fator6]])</f>
        <v>#REF!</v>
      </c>
    </row>
    <row r="1512" spans="1:23">
      <c r="A1512" t="s">
        <v>16</v>
      </c>
      <c r="B1512">
        <v>485451</v>
      </c>
      <c r="C1512">
        <v>16</v>
      </c>
      <c r="D1512">
        <v>35</v>
      </c>
      <c r="E1512">
        <v>40</v>
      </c>
      <c r="F1512">
        <v>10</v>
      </c>
      <c r="G1512">
        <v>0</v>
      </c>
      <c r="H1512">
        <v>25</v>
      </c>
      <c r="I1512">
        <v>1712</v>
      </c>
      <c r="J1512">
        <v>0</v>
      </c>
      <c r="K1512">
        <v>8.7535000000000007</v>
      </c>
      <c r="L1512">
        <v>11.223000000000001</v>
      </c>
      <c r="M1512">
        <v>33.515500000000003</v>
      </c>
      <c r="N1512">
        <v>13.995000000000001</v>
      </c>
      <c r="O1512">
        <v>1660</v>
      </c>
      <c r="P1512">
        <v>435</v>
      </c>
      <c r="Q1512" s="5" t="e">
        <f>IF(AND(#REF!&gt;=table!$C$6,#REF!&lt;= table!$D$6),-1,IF(AND(#REF!&gt;=table!$E$6,#REF!&lt;=table!$F$6),1,0))</f>
        <v>#REF!</v>
      </c>
      <c r="R1512" s="5" t="e">
        <f>IF(AND(#REF!&gt;=table!$C$7,#REF!&lt;= table!$D$7),-1,IF(AND(#REF!&gt;=table!$E$7,#REF!&lt;=table!$F$7),1,0))</f>
        <v>#REF!</v>
      </c>
      <c r="S1512" s="5" t="e">
        <f>IF(AND(#REF!&gt;=table!$C$8,#REF!&lt;= table!$D$8),-1,IF(AND(#REF!&gt;=table!$E$8,#REF!&lt;=table!$F$8),1,0))</f>
        <v>#REF!</v>
      </c>
      <c r="T1512" s="5"/>
      <c r="U1512" s="5" t="e">
        <f>IF(AND(#REF!&gt;=table!$C$10,#REF!&lt;= table!$D$10),-1,IF(AND(#REF!&gt;=table!$E$10,#REF!&lt;=table!$F$10),1,0))</f>
        <v>#REF!</v>
      </c>
      <c r="V1512" s="5" t="e">
        <f>IF(AND(#REF!&gt;=table!$C$11,#REF!&lt;= table!$D$11),-1,IF(AND(#REF!&gt;=table!$E$11,#REF!&lt;=table!$F$11),1,0))</f>
        <v>#REF!</v>
      </c>
      <c r="W1512" s="5" t="e">
        <f>CONCATENATE(dados[[#This Row],[fator1]],dados[[#This Row],[fator5]],dados[[#This Row],[fator6]])</f>
        <v>#REF!</v>
      </c>
    </row>
    <row r="1513" spans="1:23">
      <c r="A1513" t="s">
        <v>16</v>
      </c>
      <c r="B1513">
        <v>485452</v>
      </c>
      <c r="C1513">
        <v>16</v>
      </c>
      <c r="D1513">
        <v>35</v>
      </c>
      <c r="E1513">
        <v>40</v>
      </c>
      <c r="F1513">
        <v>10</v>
      </c>
      <c r="G1513">
        <v>0</v>
      </c>
      <c r="H1513">
        <v>25</v>
      </c>
      <c r="I1513">
        <v>1101</v>
      </c>
      <c r="J1513">
        <v>0</v>
      </c>
      <c r="K1513">
        <v>8.375</v>
      </c>
      <c r="L1513">
        <v>13.057</v>
      </c>
      <c r="M1513">
        <v>34.843000000000004</v>
      </c>
      <c r="N1513">
        <v>16.185000000000002</v>
      </c>
      <c r="O1513">
        <v>1671</v>
      </c>
      <c r="P1513">
        <v>399</v>
      </c>
      <c r="Q1513" s="5" t="e">
        <f>IF(AND(#REF!&gt;=table!$C$6,#REF!&lt;= table!$D$6),-1,IF(AND(#REF!&gt;=table!$E$6,#REF!&lt;=table!$F$6),1,0))</f>
        <v>#REF!</v>
      </c>
      <c r="R1513" s="5" t="e">
        <f>IF(AND(#REF!&gt;=table!$C$7,#REF!&lt;= table!$D$7),-1,IF(AND(#REF!&gt;=table!$E$7,#REF!&lt;=table!$F$7),1,0))</f>
        <v>#REF!</v>
      </c>
      <c r="S1513" s="5" t="e">
        <f>IF(AND(#REF!&gt;=table!$C$8,#REF!&lt;= table!$D$8),-1,IF(AND(#REF!&gt;=table!$E$8,#REF!&lt;=table!$F$8),1,0))</f>
        <v>#REF!</v>
      </c>
      <c r="T1513" s="5"/>
      <c r="U1513" s="5" t="e">
        <f>IF(AND(#REF!&gt;=table!$C$10,#REF!&lt;= table!$D$10),-1,IF(AND(#REF!&gt;=table!$E$10,#REF!&lt;=table!$F$10),1,0))</f>
        <v>#REF!</v>
      </c>
      <c r="V1513" s="5" t="e">
        <f>IF(AND(#REF!&gt;=table!$C$11,#REF!&lt;= table!$D$11),-1,IF(AND(#REF!&gt;=table!$E$11,#REF!&lt;=table!$F$11),1,0))</f>
        <v>#REF!</v>
      </c>
      <c r="W1513" s="5" t="e">
        <f>CONCATENATE(dados[[#This Row],[fator1]],dados[[#This Row],[fator5]],dados[[#This Row],[fator6]])</f>
        <v>#REF!</v>
      </c>
    </row>
    <row r="1514" spans="1:23">
      <c r="A1514" t="s">
        <v>16</v>
      </c>
      <c r="B1514">
        <v>485453</v>
      </c>
      <c r="C1514">
        <v>16</v>
      </c>
      <c r="D1514">
        <v>35</v>
      </c>
      <c r="E1514">
        <v>40</v>
      </c>
      <c r="F1514">
        <v>10</v>
      </c>
      <c r="G1514">
        <v>0</v>
      </c>
      <c r="H1514">
        <v>25</v>
      </c>
      <c r="I1514">
        <v>1276</v>
      </c>
      <c r="J1514">
        <v>0</v>
      </c>
      <c r="K1514">
        <v>3.9035000000000002</v>
      </c>
      <c r="L1514">
        <v>8.1855000000000011</v>
      </c>
      <c r="M1514">
        <v>30.858500000000003</v>
      </c>
      <c r="N1514">
        <v>12.795</v>
      </c>
      <c r="O1514">
        <v>1668</v>
      </c>
      <c r="P1514">
        <v>544</v>
      </c>
      <c r="Q1514" s="5" t="e">
        <f>IF(AND(#REF!&gt;=table!$C$6,#REF!&lt;= table!$D$6),-1,IF(AND(#REF!&gt;=table!$E$6,#REF!&lt;=table!$F$6),1,0))</f>
        <v>#REF!</v>
      </c>
      <c r="R1514" s="5" t="e">
        <f>IF(AND(#REF!&gt;=table!$C$7,#REF!&lt;= table!$D$7),-1,IF(AND(#REF!&gt;=table!$E$7,#REF!&lt;=table!$F$7),1,0))</f>
        <v>#REF!</v>
      </c>
      <c r="S1514" s="5" t="e">
        <f>IF(AND(#REF!&gt;=table!$C$8,#REF!&lt;= table!$D$8),-1,IF(AND(#REF!&gt;=table!$E$8,#REF!&lt;=table!$F$8),1,0))</f>
        <v>#REF!</v>
      </c>
      <c r="T1514" s="5"/>
      <c r="U1514" s="5" t="e">
        <f>IF(AND(#REF!&gt;=table!$C$10,#REF!&lt;= table!$D$10),-1,IF(AND(#REF!&gt;=table!$E$10,#REF!&lt;=table!$F$10),1,0))</f>
        <v>#REF!</v>
      </c>
      <c r="V1514" s="5" t="e">
        <f>IF(AND(#REF!&gt;=table!$C$11,#REF!&lt;= table!$D$11),-1,IF(AND(#REF!&gt;=table!$E$11,#REF!&lt;=table!$F$11),1,0))</f>
        <v>#REF!</v>
      </c>
      <c r="W1514" s="5" t="e">
        <f>CONCATENATE(dados[[#This Row],[fator1]],dados[[#This Row],[fator5]],dados[[#This Row],[fator6]])</f>
        <v>#REF!</v>
      </c>
    </row>
    <row r="1515" spans="1:23">
      <c r="A1515" t="s">
        <v>16</v>
      </c>
      <c r="B1515">
        <v>485454</v>
      </c>
      <c r="C1515">
        <v>16</v>
      </c>
      <c r="D1515">
        <v>35</v>
      </c>
      <c r="E1515">
        <v>40</v>
      </c>
      <c r="F1515">
        <v>10</v>
      </c>
      <c r="G1515">
        <v>0</v>
      </c>
      <c r="H1515">
        <v>25</v>
      </c>
      <c r="I1515">
        <v>870</v>
      </c>
      <c r="J1515">
        <v>0</v>
      </c>
      <c r="K1515">
        <v>6.1795</v>
      </c>
      <c r="L1515">
        <v>10.88</v>
      </c>
      <c r="M1515">
        <v>36.388000000000005</v>
      </c>
      <c r="N1515">
        <v>17.595000000000002</v>
      </c>
      <c r="O1515">
        <v>1681</v>
      </c>
      <c r="P1515">
        <v>624</v>
      </c>
      <c r="Q1515" s="5" t="e">
        <f>IF(AND(#REF!&gt;=table!$C$6,#REF!&lt;= table!$D$6),-1,IF(AND(#REF!&gt;=table!$E$6,#REF!&lt;=table!$F$6),1,0))</f>
        <v>#REF!</v>
      </c>
      <c r="R1515" s="5" t="e">
        <f>IF(AND(#REF!&gt;=table!$C$7,#REF!&lt;= table!$D$7),-1,IF(AND(#REF!&gt;=table!$E$7,#REF!&lt;=table!$F$7),1,0))</f>
        <v>#REF!</v>
      </c>
      <c r="S1515" s="5" t="e">
        <f>IF(AND(#REF!&gt;=table!$C$8,#REF!&lt;= table!$D$8),-1,IF(AND(#REF!&gt;=table!$E$8,#REF!&lt;=table!$F$8),1,0))</f>
        <v>#REF!</v>
      </c>
      <c r="T1515" s="5"/>
      <c r="U1515" s="5" t="e">
        <f>IF(AND(#REF!&gt;=table!$C$10,#REF!&lt;= table!$D$10),-1,IF(AND(#REF!&gt;=table!$E$10,#REF!&lt;=table!$F$10),1,0))</f>
        <v>#REF!</v>
      </c>
      <c r="V1515" s="5" t="e">
        <f>IF(AND(#REF!&gt;=table!$C$11,#REF!&lt;= table!$D$11),-1,IF(AND(#REF!&gt;=table!$E$11,#REF!&lt;=table!$F$11),1,0))</f>
        <v>#REF!</v>
      </c>
      <c r="W1515" s="5" t="e">
        <f>CONCATENATE(dados[[#This Row],[fator1]],dados[[#This Row],[fator5]],dados[[#This Row],[fator6]])</f>
        <v>#REF!</v>
      </c>
    </row>
    <row r="1516" spans="1:23">
      <c r="A1516" t="s">
        <v>16</v>
      </c>
      <c r="B1516">
        <v>485455</v>
      </c>
      <c r="C1516">
        <v>16</v>
      </c>
      <c r="D1516">
        <v>35</v>
      </c>
      <c r="E1516">
        <v>40</v>
      </c>
      <c r="F1516">
        <v>10</v>
      </c>
      <c r="G1516">
        <v>0</v>
      </c>
      <c r="H1516">
        <v>25</v>
      </c>
      <c r="I1516">
        <v>824</v>
      </c>
      <c r="J1516">
        <v>0</v>
      </c>
      <c r="K1516">
        <v>7.702</v>
      </c>
      <c r="L1516">
        <v>11.668000000000001</v>
      </c>
      <c r="M1516">
        <v>37.286999999999999</v>
      </c>
      <c r="N1516">
        <v>15.73</v>
      </c>
      <c r="O1516">
        <v>1665</v>
      </c>
      <c r="P1516">
        <v>531</v>
      </c>
      <c r="Q1516" s="5" t="e">
        <f>IF(AND(#REF!&gt;=table!$C$6,#REF!&lt;= table!$D$6),-1,IF(AND(#REF!&gt;=table!$E$6,#REF!&lt;=table!$F$6),1,0))</f>
        <v>#REF!</v>
      </c>
      <c r="R1516" s="5" t="e">
        <f>IF(AND(#REF!&gt;=table!$C$7,#REF!&lt;= table!$D$7),-1,IF(AND(#REF!&gt;=table!$E$7,#REF!&lt;=table!$F$7),1,0))</f>
        <v>#REF!</v>
      </c>
      <c r="S1516" s="5" t="e">
        <f>IF(AND(#REF!&gt;=table!$C$8,#REF!&lt;= table!$D$8),-1,IF(AND(#REF!&gt;=table!$E$8,#REF!&lt;=table!$F$8),1,0))</f>
        <v>#REF!</v>
      </c>
      <c r="T1516" s="5"/>
      <c r="U1516" s="5" t="e">
        <f>IF(AND(#REF!&gt;=table!$C$10,#REF!&lt;= table!$D$10),-1,IF(AND(#REF!&gt;=table!$E$10,#REF!&lt;=table!$F$10),1,0))</f>
        <v>#REF!</v>
      </c>
      <c r="V1516" s="5" t="e">
        <f>IF(AND(#REF!&gt;=table!$C$11,#REF!&lt;= table!$D$11),-1,IF(AND(#REF!&gt;=table!$E$11,#REF!&lt;=table!$F$11),1,0))</f>
        <v>#REF!</v>
      </c>
      <c r="W1516" s="5" t="e">
        <f>CONCATENATE(dados[[#This Row],[fator1]],dados[[#This Row],[fator5]],dados[[#This Row],[fator6]])</f>
        <v>#REF!</v>
      </c>
    </row>
    <row r="1517" spans="1:23">
      <c r="A1517" t="s">
        <v>16</v>
      </c>
      <c r="B1517">
        <v>485457</v>
      </c>
      <c r="C1517">
        <v>11</v>
      </c>
      <c r="D1517">
        <v>35</v>
      </c>
      <c r="E1517">
        <v>45</v>
      </c>
      <c r="F1517">
        <v>9</v>
      </c>
      <c r="G1517">
        <v>0</v>
      </c>
      <c r="H1517">
        <v>25</v>
      </c>
      <c r="I1517">
        <v>1136</v>
      </c>
      <c r="J1517">
        <v>0</v>
      </c>
      <c r="K1517">
        <v>5.3645000000000005</v>
      </c>
      <c r="L1517">
        <v>9.4370000000000012</v>
      </c>
      <c r="M1517">
        <v>37.679500000000004</v>
      </c>
      <c r="N1517">
        <v>14.505000000000001</v>
      </c>
      <c r="O1517">
        <v>1679</v>
      </c>
      <c r="P1517">
        <v>787</v>
      </c>
      <c r="Q1517" s="5" t="e">
        <f>IF(AND(#REF!&gt;=table!$C$6,#REF!&lt;= table!$D$6),-1,IF(AND(#REF!&gt;=table!$E$6,#REF!&lt;=table!$F$6),1,0))</f>
        <v>#REF!</v>
      </c>
      <c r="R1517" s="5" t="e">
        <f>IF(AND(#REF!&gt;=table!$C$7,#REF!&lt;= table!$D$7),-1,IF(AND(#REF!&gt;=table!$E$7,#REF!&lt;=table!$F$7),1,0))</f>
        <v>#REF!</v>
      </c>
      <c r="S1517" s="5" t="e">
        <f>IF(AND(#REF!&gt;=table!$C$8,#REF!&lt;= table!$D$8),-1,IF(AND(#REF!&gt;=table!$E$8,#REF!&lt;=table!$F$8),1,0))</f>
        <v>#REF!</v>
      </c>
      <c r="T1517" s="5"/>
      <c r="U1517" s="5" t="e">
        <f>IF(AND(#REF!&gt;=table!$C$10,#REF!&lt;= table!$D$10),-1,IF(AND(#REF!&gt;=table!$E$10,#REF!&lt;=table!$F$10),1,0))</f>
        <v>#REF!</v>
      </c>
      <c r="V1517" s="5" t="e">
        <f>IF(AND(#REF!&gt;=table!$C$11,#REF!&lt;= table!$D$11),-1,IF(AND(#REF!&gt;=table!$E$11,#REF!&lt;=table!$F$11),1,0))</f>
        <v>#REF!</v>
      </c>
      <c r="W1517" s="5" t="e">
        <f>CONCATENATE(dados[[#This Row],[fator1]],dados[[#This Row],[fator5]],dados[[#This Row],[fator6]])</f>
        <v>#REF!</v>
      </c>
    </row>
    <row r="1518" spans="1:23">
      <c r="A1518" t="s">
        <v>16</v>
      </c>
      <c r="B1518">
        <v>485458</v>
      </c>
      <c r="C1518">
        <v>11</v>
      </c>
      <c r="D1518">
        <v>35</v>
      </c>
      <c r="E1518">
        <v>45</v>
      </c>
      <c r="F1518">
        <v>9</v>
      </c>
      <c r="G1518">
        <v>0</v>
      </c>
      <c r="H1518">
        <v>25</v>
      </c>
      <c r="I1518">
        <v>333</v>
      </c>
      <c r="J1518">
        <v>0</v>
      </c>
      <c r="K1518">
        <v>11.977500000000001</v>
      </c>
      <c r="L1518">
        <v>15.314</v>
      </c>
      <c r="M1518">
        <v>41.971000000000004</v>
      </c>
      <c r="N1518">
        <v>19.195</v>
      </c>
      <c r="O1518">
        <v>1672</v>
      </c>
      <c r="P1518">
        <v>322</v>
      </c>
      <c r="Q1518" s="5" t="e">
        <f>IF(AND(#REF!&gt;=table!$C$6,#REF!&lt;= table!$D$6),-1,IF(AND(#REF!&gt;=table!$E$6,#REF!&lt;=table!$F$6),1,0))</f>
        <v>#REF!</v>
      </c>
      <c r="R1518" s="5" t="e">
        <f>IF(AND(#REF!&gt;=table!$C$7,#REF!&lt;= table!$D$7),-1,IF(AND(#REF!&gt;=table!$E$7,#REF!&lt;=table!$F$7),1,0))</f>
        <v>#REF!</v>
      </c>
      <c r="S1518" s="5" t="e">
        <f>IF(AND(#REF!&gt;=table!$C$8,#REF!&lt;= table!$D$8),-1,IF(AND(#REF!&gt;=table!$E$8,#REF!&lt;=table!$F$8),1,0))</f>
        <v>#REF!</v>
      </c>
      <c r="T1518" s="5"/>
      <c r="U1518" s="5" t="e">
        <f>IF(AND(#REF!&gt;=table!$C$10,#REF!&lt;= table!$D$10),-1,IF(AND(#REF!&gt;=table!$E$10,#REF!&lt;=table!$F$10),1,0))</f>
        <v>#REF!</v>
      </c>
      <c r="V1518" s="5" t="e">
        <f>IF(AND(#REF!&gt;=table!$C$11,#REF!&lt;= table!$D$11),-1,IF(AND(#REF!&gt;=table!$E$11,#REF!&lt;=table!$F$11),1,0))</f>
        <v>#REF!</v>
      </c>
      <c r="W1518" s="5" t="e">
        <f>CONCATENATE(dados[[#This Row],[fator1]],dados[[#This Row],[fator5]],dados[[#This Row],[fator6]])</f>
        <v>#REF!</v>
      </c>
    </row>
    <row r="1519" spans="1:23">
      <c r="A1519" t="s">
        <v>16</v>
      </c>
      <c r="B1519">
        <v>485459</v>
      </c>
      <c r="C1519">
        <v>12</v>
      </c>
      <c r="D1519">
        <v>40</v>
      </c>
      <c r="E1519">
        <v>36</v>
      </c>
      <c r="F1519">
        <v>9</v>
      </c>
      <c r="G1519">
        <v>0</v>
      </c>
      <c r="H1519">
        <v>25</v>
      </c>
      <c r="I1519">
        <v>1056</v>
      </c>
      <c r="J1519">
        <v>0</v>
      </c>
      <c r="K1519">
        <v>10.2905</v>
      </c>
      <c r="L1519">
        <v>12.699</v>
      </c>
      <c r="M1519">
        <v>44.129000000000005</v>
      </c>
      <c r="N1519">
        <v>15.74</v>
      </c>
      <c r="O1519">
        <v>1674</v>
      </c>
      <c r="P1519">
        <v>372</v>
      </c>
      <c r="Q1519" s="5" t="e">
        <f>IF(AND(#REF!&gt;=table!$C$6,#REF!&lt;= table!$D$6),-1,IF(AND(#REF!&gt;=table!$E$6,#REF!&lt;=table!$F$6),1,0))</f>
        <v>#REF!</v>
      </c>
      <c r="R1519" s="5" t="e">
        <f>IF(AND(#REF!&gt;=table!$C$7,#REF!&lt;= table!$D$7),-1,IF(AND(#REF!&gt;=table!$E$7,#REF!&lt;=table!$F$7),1,0))</f>
        <v>#REF!</v>
      </c>
      <c r="S1519" s="5" t="e">
        <f>IF(AND(#REF!&gt;=table!$C$8,#REF!&lt;= table!$D$8),-1,IF(AND(#REF!&gt;=table!$E$8,#REF!&lt;=table!$F$8),1,0))</f>
        <v>#REF!</v>
      </c>
      <c r="T1519" s="5"/>
      <c r="U1519" s="5" t="e">
        <f>IF(AND(#REF!&gt;=table!$C$10,#REF!&lt;= table!$D$10),-1,IF(AND(#REF!&gt;=table!$E$10,#REF!&lt;=table!$F$10),1,0))</f>
        <v>#REF!</v>
      </c>
      <c r="V1519" s="5" t="e">
        <f>IF(AND(#REF!&gt;=table!$C$11,#REF!&lt;= table!$D$11),-1,IF(AND(#REF!&gt;=table!$E$11,#REF!&lt;=table!$F$11),1,0))</f>
        <v>#REF!</v>
      </c>
      <c r="W1519" s="5" t="e">
        <f>CONCATENATE(dados[[#This Row],[fator1]],dados[[#This Row],[fator5]],dados[[#This Row],[fator6]])</f>
        <v>#REF!</v>
      </c>
    </row>
    <row r="1520" spans="1:23">
      <c r="A1520" t="s">
        <v>17</v>
      </c>
      <c r="B1520">
        <v>485460</v>
      </c>
      <c r="C1520">
        <v>13</v>
      </c>
      <c r="D1520">
        <v>30</v>
      </c>
      <c r="E1520">
        <v>106</v>
      </c>
      <c r="F1520">
        <v>10</v>
      </c>
      <c r="G1520">
        <v>20</v>
      </c>
      <c r="H1520">
        <v>25</v>
      </c>
      <c r="I1520">
        <v>817</v>
      </c>
      <c r="J1520">
        <v>0</v>
      </c>
      <c r="K1520">
        <v>4.8773</v>
      </c>
      <c r="L1520">
        <v>8.8055000000000003</v>
      </c>
      <c r="M1520">
        <v>109.4525</v>
      </c>
      <c r="N1520">
        <v>21.69</v>
      </c>
      <c r="O1520">
        <v>1681</v>
      </c>
      <c r="P1520">
        <v>878</v>
      </c>
      <c r="Q1520" s="5" t="e">
        <f>IF(AND(#REF!&gt;=table!$C$6,#REF!&lt;= table!$D$6),-1,IF(AND(#REF!&gt;=table!$E$6,#REF!&lt;=table!$F$6),1,0))</f>
        <v>#REF!</v>
      </c>
      <c r="R1520" s="5" t="e">
        <f>IF(AND(#REF!&gt;=table!$C$7,#REF!&lt;= table!$D$7),-1,IF(AND(#REF!&gt;=table!$E$7,#REF!&lt;=table!$F$7),1,0))</f>
        <v>#REF!</v>
      </c>
      <c r="S1520" s="5" t="e">
        <f>IF(AND(#REF!&gt;=table!$C$8,#REF!&lt;= table!$D$8),-1,IF(AND(#REF!&gt;=table!$E$8,#REF!&lt;=table!$F$8),1,0))</f>
        <v>#REF!</v>
      </c>
      <c r="T1520" s="5"/>
      <c r="U1520" s="5" t="e">
        <f>IF(AND(#REF!&gt;=table!$C$10,#REF!&lt;= table!$D$10),-1,IF(AND(#REF!&gt;=table!$E$10,#REF!&lt;=table!$F$10),1,0))</f>
        <v>#REF!</v>
      </c>
      <c r="V1520" s="5" t="e">
        <f>IF(AND(#REF!&gt;=table!$C$11,#REF!&lt;= table!$D$11),-1,IF(AND(#REF!&gt;=table!$E$11,#REF!&lt;=table!$F$11),1,0))</f>
        <v>#REF!</v>
      </c>
      <c r="W1520" s="5" t="e">
        <f>CONCATENATE(dados[[#This Row],[fator1]],dados[[#This Row],[fator5]],dados[[#This Row],[fator6]])</f>
        <v>#REF!</v>
      </c>
    </row>
    <row r="1521" spans="1:23">
      <c r="A1521" t="s">
        <v>16</v>
      </c>
      <c r="B1521">
        <v>485461</v>
      </c>
      <c r="C1521">
        <v>11</v>
      </c>
      <c r="D1521">
        <v>35</v>
      </c>
      <c r="E1521">
        <v>45</v>
      </c>
      <c r="F1521">
        <v>9</v>
      </c>
      <c r="G1521">
        <v>0</v>
      </c>
      <c r="H1521">
        <v>25</v>
      </c>
      <c r="I1521">
        <v>831</v>
      </c>
      <c r="J1521">
        <v>0</v>
      </c>
      <c r="K1521">
        <v>4.8860000000000001</v>
      </c>
      <c r="L1521">
        <v>8.2115000000000009</v>
      </c>
      <c r="M1521">
        <v>38.304000000000002</v>
      </c>
      <c r="N1521">
        <v>12.85</v>
      </c>
      <c r="O1521">
        <v>1659</v>
      </c>
      <c r="P1521">
        <v>822</v>
      </c>
      <c r="Q1521" s="5" t="e">
        <f>IF(AND(#REF!&gt;=table!$C$6,#REF!&lt;= table!$D$6),-1,IF(AND(#REF!&gt;=table!$E$6,#REF!&lt;=table!$F$6),1,0))</f>
        <v>#REF!</v>
      </c>
      <c r="R1521" s="5" t="e">
        <f>IF(AND(#REF!&gt;=table!$C$7,#REF!&lt;= table!$D$7),-1,IF(AND(#REF!&gt;=table!$E$7,#REF!&lt;=table!$F$7),1,0))</f>
        <v>#REF!</v>
      </c>
      <c r="S1521" s="5" t="e">
        <f>IF(AND(#REF!&gt;=table!$C$8,#REF!&lt;= table!$D$8),-1,IF(AND(#REF!&gt;=table!$E$8,#REF!&lt;=table!$F$8),1,0))</f>
        <v>#REF!</v>
      </c>
      <c r="T1521" s="5"/>
      <c r="U1521" s="5" t="e">
        <f>IF(AND(#REF!&gt;=table!$C$10,#REF!&lt;= table!$D$10),-1,IF(AND(#REF!&gt;=table!$E$10,#REF!&lt;=table!$F$10),1,0))</f>
        <v>#REF!</v>
      </c>
      <c r="V1521" s="5" t="e">
        <f>IF(AND(#REF!&gt;=table!$C$11,#REF!&lt;= table!$D$11),-1,IF(AND(#REF!&gt;=table!$E$11,#REF!&lt;=table!$F$11),1,0))</f>
        <v>#REF!</v>
      </c>
      <c r="W1521" s="5" t="e">
        <f>CONCATENATE(dados[[#This Row],[fator1]],dados[[#This Row],[fator5]],dados[[#This Row],[fator6]])</f>
        <v>#REF!</v>
      </c>
    </row>
    <row r="1522" spans="1:23">
      <c r="A1522" t="s">
        <v>16</v>
      </c>
      <c r="B1522">
        <v>485463</v>
      </c>
      <c r="C1522">
        <v>12</v>
      </c>
      <c r="D1522">
        <v>35</v>
      </c>
      <c r="E1522">
        <v>86</v>
      </c>
      <c r="F1522">
        <v>10</v>
      </c>
      <c r="G1522">
        <v>0</v>
      </c>
      <c r="H1522">
        <v>25</v>
      </c>
      <c r="I1522">
        <v>480</v>
      </c>
      <c r="J1522">
        <v>0</v>
      </c>
      <c r="K1522">
        <v>11.954500000000001</v>
      </c>
      <c r="L1522">
        <v>16.41</v>
      </c>
      <c r="M1522">
        <v>79.426500000000004</v>
      </c>
      <c r="N1522">
        <v>14.295</v>
      </c>
      <c r="O1522">
        <v>1633</v>
      </c>
      <c r="P1522">
        <v>282</v>
      </c>
      <c r="Q1522" s="5" t="e">
        <f>IF(AND(#REF!&gt;=table!$C$6,#REF!&lt;= table!$D$6),-1,IF(AND(#REF!&gt;=table!$E$6,#REF!&lt;=table!$F$6),1,0))</f>
        <v>#REF!</v>
      </c>
      <c r="R1522" s="5" t="e">
        <f>IF(AND(#REF!&gt;=table!$C$7,#REF!&lt;= table!$D$7),-1,IF(AND(#REF!&gt;=table!$E$7,#REF!&lt;=table!$F$7),1,0))</f>
        <v>#REF!</v>
      </c>
      <c r="S1522" s="5" t="e">
        <f>IF(AND(#REF!&gt;=table!$C$8,#REF!&lt;= table!$D$8),-1,IF(AND(#REF!&gt;=table!$E$8,#REF!&lt;=table!$F$8),1,0))</f>
        <v>#REF!</v>
      </c>
      <c r="T1522" s="5"/>
      <c r="U1522" s="5" t="e">
        <f>IF(AND(#REF!&gt;=table!$C$10,#REF!&lt;= table!$D$10),-1,IF(AND(#REF!&gt;=table!$E$10,#REF!&lt;=table!$F$10),1,0))</f>
        <v>#REF!</v>
      </c>
      <c r="V1522" s="5" t="e">
        <f>IF(AND(#REF!&gt;=table!$C$11,#REF!&lt;= table!$D$11),-1,IF(AND(#REF!&gt;=table!$E$11,#REF!&lt;=table!$F$11),1,0))</f>
        <v>#REF!</v>
      </c>
      <c r="W1522" s="5" t="e">
        <f>CONCATENATE(dados[[#This Row],[fator1]],dados[[#This Row],[fator5]],dados[[#This Row],[fator6]])</f>
        <v>#REF!</v>
      </c>
    </row>
    <row r="1523" spans="1:23">
      <c r="A1523" t="s">
        <v>16</v>
      </c>
      <c r="B1523">
        <v>485466</v>
      </c>
      <c r="C1523">
        <v>13</v>
      </c>
      <c r="D1523">
        <v>35</v>
      </c>
      <c r="E1523">
        <v>120</v>
      </c>
      <c r="F1523">
        <v>10</v>
      </c>
      <c r="G1523">
        <v>0</v>
      </c>
      <c r="H1523">
        <v>25</v>
      </c>
      <c r="I1523">
        <v>1316</v>
      </c>
      <c r="J1523">
        <v>0</v>
      </c>
      <c r="K1523">
        <v>6.7985000000000007</v>
      </c>
      <c r="L1523">
        <v>12.336</v>
      </c>
      <c r="M1523">
        <v>95.513000000000005</v>
      </c>
      <c r="N1523">
        <v>15.585000000000001</v>
      </c>
      <c r="O1523">
        <v>1666</v>
      </c>
      <c r="P1523">
        <v>481</v>
      </c>
      <c r="Q1523" s="5" t="e">
        <f>IF(AND(#REF!&gt;=table!$C$6,#REF!&lt;= table!$D$6),-1,IF(AND(#REF!&gt;=table!$E$6,#REF!&lt;=table!$F$6),1,0))</f>
        <v>#REF!</v>
      </c>
      <c r="R1523" s="5" t="e">
        <f>IF(AND(#REF!&gt;=table!$C$7,#REF!&lt;= table!$D$7),-1,IF(AND(#REF!&gt;=table!$E$7,#REF!&lt;=table!$F$7),1,0))</f>
        <v>#REF!</v>
      </c>
      <c r="S1523" s="5" t="e">
        <f>IF(AND(#REF!&gt;=table!$C$8,#REF!&lt;= table!$D$8),-1,IF(AND(#REF!&gt;=table!$E$8,#REF!&lt;=table!$F$8),1,0))</f>
        <v>#REF!</v>
      </c>
      <c r="T1523" s="5"/>
      <c r="U1523" s="5" t="e">
        <f>IF(AND(#REF!&gt;=table!$C$10,#REF!&lt;= table!$D$10),-1,IF(AND(#REF!&gt;=table!$E$10,#REF!&lt;=table!$F$10),1,0))</f>
        <v>#REF!</v>
      </c>
      <c r="V1523" s="5" t="e">
        <f>IF(AND(#REF!&gt;=table!$C$11,#REF!&lt;= table!$D$11),-1,IF(AND(#REF!&gt;=table!$E$11,#REF!&lt;=table!$F$11),1,0))</f>
        <v>#REF!</v>
      </c>
      <c r="W1523" s="5" t="e">
        <f>CONCATENATE(dados[[#This Row],[fator1]],dados[[#This Row],[fator5]],dados[[#This Row],[fator6]])</f>
        <v>#REF!</v>
      </c>
    </row>
    <row r="1524" spans="1:23">
      <c r="A1524" t="s">
        <v>16</v>
      </c>
      <c r="B1524">
        <v>485468</v>
      </c>
      <c r="C1524">
        <v>13</v>
      </c>
      <c r="D1524">
        <v>35</v>
      </c>
      <c r="E1524">
        <v>120</v>
      </c>
      <c r="F1524">
        <v>10</v>
      </c>
      <c r="G1524">
        <v>0</v>
      </c>
      <c r="H1524">
        <v>25</v>
      </c>
      <c r="I1524">
        <v>1138</v>
      </c>
      <c r="J1524">
        <v>0</v>
      </c>
      <c r="K1524">
        <v>5.173</v>
      </c>
      <c r="L1524">
        <v>5.9325000000000001</v>
      </c>
      <c r="M1524">
        <v>60.631500000000003</v>
      </c>
      <c r="N1524">
        <v>14.21</v>
      </c>
      <c r="O1524">
        <v>1684</v>
      </c>
      <c r="P1524">
        <v>0</v>
      </c>
      <c r="Q1524" s="5" t="e">
        <f>IF(AND(#REF!&gt;=table!$C$6,#REF!&lt;= table!$D$6),-1,IF(AND(#REF!&gt;=table!$E$6,#REF!&lt;=table!$F$6),1,0))</f>
        <v>#REF!</v>
      </c>
      <c r="R1524" s="5" t="e">
        <f>IF(AND(#REF!&gt;=table!$C$7,#REF!&lt;= table!$D$7),-1,IF(AND(#REF!&gt;=table!$E$7,#REF!&lt;=table!$F$7),1,0))</f>
        <v>#REF!</v>
      </c>
      <c r="S1524" s="5" t="e">
        <f>IF(AND(#REF!&gt;=table!$C$8,#REF!&lt;= table!$D$8),-1,IF(AND(#REF!&gt;=table!$E$8,#REF!&lt;=table!$F$8),1,0))</f>
        <v>#REF!</v>
      </c>
      <c r="T1524" s="5"/>
      <c r="U1524" s="5" t="e">
        <f>IF(AND(#REF!&gt;=table!$C$10,#REF!&lt;= table!$D$10),-1,IF(AND(#REF!&gt;=table!$E$10,#REF!&lt;=table!$F$10),1,0))</f>
        <v>#REF!</v>
      </c>
      <c r="V1524" s="5" t="e">
        <f>IF(AND(#REF!&gt;=table!$C$11,#REF!&lt;= table!$D$11),-1,IF(AND(#REF!&gt;=table!$E$11,#REF!&lt;=table!$F$11),1,0))</f>
        <v>#REF!</v>
      </c>
      <c r="W1524" s="5" t="e">
        <f>CONCATENATE(dados[[#This Row],[fator1]],dados[[#This Row],[fator5]],dados[[#This Row],[fator6]])</f>
        <v>#REF!</v>
      </c>
    </row>
    <row r="1525" spans="1:23">
      <c r="A1525" t="s">
        <v>17</v>
      </c>
      <c r="B1525">
        <v>485471</v>
      </c>
      <c r="C1525">
        <v>7</v>
      </c>
      <c r="D1525">
        <v>30</v>
      </c>
      <c r="E1525">
        <v>175</v>
      </c>
      <c r="F1525">
        <v>3</v>
      </c>
      <c r="G1525">
        <v>25</v>
      </c>
      <c r="H1525">
        <v>18</v>
      </c>
      <c r="I1525">
        <v>210</v>
      </c>
      <c r="J1525">
        <v>710</v>
      </c>
      <c r="K1525">
        <v>6.4995000000000003</v>
      </c>
      <c r="L1525">
        <v>8.7744999999999997</v>
      </c>
      <c r="M1525">
        <v>111.40100000000001</v>
      </c>
      <c r="N1525">
        <v>11.52</v>
      </c>
      <c r="O1525">
        <v>1669</v>
      </c>
      <c r="P1525">
        <v>607</v>
      </c>
      <c r="Q1525" s="5" t="e">
        <f>IF(AND(#REF!&gt;=table!$C$6,#REF!&lt;= table!$D$6),-1,IF(AND(#REF!&gt;=table!$E$6,#REF!&lt;=table!$F$6),1,0))</f>
        <v>#REF!</v>
      </c>
      <c r="R1525" s="5" t="e">
        <f>IF(AND(#REF!&gt;=table!$C$7,#REF!&lt;= table!$D$7),-1,IF(AND(#REF!&gt;=table!$E$7,#REF!&lt;=table!$F$7),1,0))</f>
        <v>#REF!</v>
      </c>
      <c r="S1525" s="5" t="e">
        <f>IF(AND(#REF!&gt;=table!$C$8,#REF!&lt;= table!$D$8),-1,IF(AND(#REF!&gt;=table!$E$8,#REF!&lt;=table!$F$8),1,0))</f>
        <v>#REF!</v>
      </c>
      <c r="T1525" s="5"/>
      <c r="U1525" s="5" t="e">
        <f>IF(AND(#REF!&gt;=table!$C$10,#REF!&lt;= table!$D$10),-1,IF(AND(#REF!&gt;=table!$E$10,#REF!&lt;=table!$F$10),1,0))</f>
        <v>#REF!</v>
      </c>
      <c r="V1525" s="5" t="e">
        <f>IF(AND(#REF!&gt;=table!$C$11,#REF!&lt;= table!$D$11),-1,IF(AND(#REF!&gt;=table!$E$11,#REF!&lt;=table!$F$11),1,0))</f>
        <v>#REF!</v>
      </c>
      <c r="W1525" s="5" t="e">
        <f>CONCATENATE(dados[[#This Row],[fator1]],dados[[#This Row],[fator5]],dados[[#This Row],[fator6]])</f>
        <v>#REF!</v>
      </c>
    </row>
    <row r="1526" spans="1:23">
      <c r="A1526" t="s">
        <v>16</v>
      </c>
      <c r="B1526">
        <v>485472</v>
      </c>
      <c r="C1526">
        <v>0.15</v>
      </c>
      <c r="D1526">
        <v>40</v>
      </c>
      <c r="E1526">
        <v>10</v>
      </c>
      <c r="F1526">
        <v>15</v>
      </c>
      <c r="G1526">
        <v>0</v>
      </c>
      <c r="H1526">
        <v>15</v>
      </c>
      <c r="I1526">
        <v>384</v>
      </c>
      <c r="J1526">
        <v>0</v>
      </c>
      <c r="K1526">
        <v>4.4620000000000006</v>
      </c>
      <c r="L1526">
        <v>6.6365000000000007</v>
      </c>
      <c r="M1526">
        <v>5.4560000000000004</v>
      </c>
      <c r="N1526">
        <v>10.4</v>
      </c>
      <c r="O1526">
        <v>1709</v>
      </c>
      <c r="P1526">
        <v>1311</v>
      </c>
      <c r="Q1526" s="5" t="e">
        <f>IF(AND(#REF!&gt;=table!$C$6,#REF!&lt;= table!$D$6),-1,IF(AND(#REF!&gt;=table!$E$6,#REF!&lt;=table!$F$6),1,0))</f>
        <v>#REF!</v>
      </c>
      <c r="R1526" s="5" t="e">
        <f>IF(AND(#REF!&gt;=table!$C$7,#REF!&lt;= table!$D$7),-1,IF(AND(#REF!&gt;=table!$E$7,#REF!&lt;=table!$F$7),1,0))</f>
        <v>#REF!</v>
      </c>
      <c r="S1526" s="5" t="e">
        <f>IF(AND(#REF!&gt;=table!$C$8,#REF!&lt;= table!$D$8),-1,IF(AND(#REF!&gt;=table!$E$8,#REF!&lt;=table!$F$8),1,0))</f>
        <v>#REF!</v>
      </c>
      <c r="T1526" s="5"/>
      <c r="U1526" s="5" t="e">
        <f>IF(AND(#REF!&gt;=table!$C$10,#REF!&lt;= table!$D$10),-1,IF(AND(#REF!&gt;=table!$E$10,#REF!&lt;=table!$F$10),1,0))</f>
        <v>#REF!</v>
      </c>
      <c r="V1526" s="5" t="e">
        <f>IF(AND(#REF!&gt;=table!$C$11,#REF!&lt;= table!$D$11),-1,IF(AND(#REF!&gt;=table!$E$11,#REF!&lt;=table!$F$11),1,0))</f>
        <v>#REF!</v>
      </c>
      <c r="W1526" s="5" t="e">
        <f>CONCATENATE(dados[[#This Row],[fator1]],dados[[#This Row],[fator5]],dados[[#This Row],[fator6]])</f>
        <v>#REF!</v>
      </c>
    </row>
    <row r="1527" spans="1:23">
      <c r="A1527" t="s">
        <v>16</v>
      </c>
      <c r="B1527">
        <v>485473</v>
      </c>
      <c r="C1527">
        <v>0.1</v>
      </c>
      <c r="D1527">
        <v>40</v>
      </c>
      <c r="E1527">
        <v>10</v>
      </c>
      <c r="F1527">
        <v>8</v>
      </c>
      <c r="G1527">
        <v>0</v>
      </c>
      <c r="H1527">
        <v>10</v>
      </c>
      <c r="I1527">
        <v>557</v>
      </c>
      <c r="J1527">
        <v>1540</v>
      </c>
      <c r="K1527">
        <v>7.7750000000000004</v>
      </c>
      <c r="L1527">
        <v>7.7470000000000008</v>
      </c>
      <c r="M1527">
        <v>5.3795000000000002</v>
      </c>
      <c r="N1527">
        <v>7.99</v>
      </c>
      <c r="O1527">
        <v>1618</v>
      </c>
      <c r="P1527">
        <v>408</v>
      </c>
      <c r="Q1527" s="5" t="e">
        <f>IF(AND(#REF!&gt;=table!$C$6,#REF!&lt;= table!$D$6),-1,IF(AND(#REF!&gt;=table!$E$6,#REF!&lt;=table!$F$6),1,0))</f>
        <v>#REF!</v>
      </c>
      <c r="R1527" s="5" t="e">
        <f>IF(AND(#REF!&gt;=table!$C$7,#REF!&lt;= table!$D$7),-1,IF(AND(#REF!&gt;=table!$E$7,#REF!&lt;=table!$F$7),1,0))</f>
        <v>#REF!</v>
      </c>
      <c r="S1527" s="5" t="e">
        <f>IF(AND(#REF!&gt;=table!$C$8,#REF!&lt;= table!$D$8),-1,IF(AND(#REF!&gt;=table!$E$8,#REF!&lt;=table!$F$8),1,0))</f>
        <v>#REF!</v>
      </c>
      <c r="T1527" s="5"/>
      <c r="U1527" s="5" t="e">
        <f>IF(AND(#REF!&gt;=table!$C$10,#REF!&lt;= table!$D$10),-1,IF(AND(#REF!&gt;=table!$E$10,#REF!&lt;=table!$F$10),1,0))</f>
        <v>#REF!</v>
      </c>
      <c r="V1527" s="5" t="e">
        <f>IF(AND(#REF!&gt;=table!$C$11,#REF!&lt;= table!$D$11),-1,IF(AND(#REF!&gt;=table!$E$11,#REF!&lt;=table!$F$11),1,0))</f>
        <v>#REF!</v>
      </c>
      <c r="W1527" s="5" t="e">
        <f>CONCATENATE(dados[[#This Row],[fator1]],dados[[#This Row],[fator5]],dados[[#This Row],[fator6]])</f>
        <v>#REF!</v>
      </c>
    </row>
    <row r="1528" spans="1:23">
      <c r="A1528" t="s">
        <v>16</v>
      </c>
      <c r="B1528">
        <v>485480</v>
      </c>
      <c r="C1528">
        <v>16</v>
      </c>
      <c r="D1528">
        <v>35</v>
      </c>
      <c r="E1528">
        <v>40</v>
      </c>
      <c r="F1528">
        <v>10</v>
      </c>
      <c r="G1528">
        <v>0</v>
      </c>
      <c r="H1528">
        <v>25</v>
      </c>
      <c r="I1528">
        <v>425</v>
      </c>
      <c r="J1528">
        <v>0</v>
      </c>
      <c r="K1528">
        <v>6.8370000000000006</v>
      </c>
      <c r="L1528">
        <v>16.447500000000002</v>
      </c>
      <c r="M1528">
        <v>42.783999999999999</v>
      </c>
      <c r="N1528">
        <v>20.465</v>
      </c>
      <c r="O1528">
        <v>1670</v>
      </c>
      <c r="P1528">
        <v>486</v>
      </c>
      <c r="Q1528" s="5" t="e">
        <f>IF(AND(#REF!&gt;=table!$C$6,#REF!&lt;= table!$D$6),-1,IF(AND(#REF!&gt;=table!$E$6,#REF!&lt;=table!$F$6),1,0))</f>
        <v>#REF!</v>
      </c>
      <c r="R1528" s="5" t="e">
        <f>IF(AND(#REF!&gt;=table!$C$7,#REF!&lt;= table!$D$7),-1,IF(AND(#REF!&gt;=table!$E$7,#REF!&lt;=table!$F$7),1,0))</f>
        <v>#REF!</v>
      </c>
      <c r="S1528" s="5" t="e">
        <f>IF(AND(#REF!&gt;=table!$C$8,#REF!&lt;= table!$D$8),-1,IF(AND(#REF!&gt;=table!$E$8,#REF!&lt;=table!$F$8),1,0))</f>
        <v>#REF!</v>
      </c>
      <c r="T1528" s="5"/>
      <c r="U1528" s="5" t="e">
        <f>IF(AND(#REF!&gt;=table!$C$10,#REF!&lt;= table!$D$10),-1,IF(AND(#REF!&gt;=table!$E$10,#REF!&lt;=table!$F$10),1,0))</f>
        <v>#REF!</v>
      </c>
      <c r="V1528" s="5" t="e">
        <f>IF(AND(#REF!&gt;=table!$C$11,#REF!&lt;= table!$D$11),-1,IF(AND(#REF!&gt;=table!$E$11,#REF!&lt;=table!$F$11),1,0))</f>
        <v>#REF!</v>
      </c>
      <c r="W1528" s="5" t="e">
        <f>CONCATENATE(dados[[#This Row],[fator1]],dados[[#This Row],[fator5]],dados[[#This Row],[fator6]])</f>
        <v>#REF!</v>
      </c>
    </row>
    <row r="1529" spans="1:23">
      <c r="A1529" t="s">
        <v>16</v>
      </c>
      <c r="B1529">
        <v>485481</v>
      </c>
      <c r="C1529">
        <v>16</v>
      </c>
      <c r="D1529">
        <v>35</v>
      </c>
      <c r="E1529">
        <v>36</v>
      </c>
      <c r="F1529">
        <v>10</v>
      </c>
      <c r="G1529">
        <v>0</v>
      </c>
      <c r="H1529">
        <v>25</v>
      </c>
      <c r="I1529">
        <v>261</v>
      </c>
      <c r="J1529">
        <v>0</v>
      </c>
      <c r="K1529">
        <v>6.1815000000000007</v>
      </c>
      <c r="L1529">
        <v>9.1539999999999999</v>
      </c>
      <c r="M1529">
        <v>30.734500000000001</v>
      </c>
      <c r="N1529">
        <v>13.790000000000001</v>
      </c>
      <c r="O1529">
        <v>1678</v>
      </c>
      <c r="P1529">
        <v>0</v>
      </c>
      <c r="Q1529" s="5" t="e">
        <f>IF(AND(#REF!&gt;=table!$C$6,#REF!&lt;= table!$D$6),-1,IF(AND(#REF!&gt;=table!$E$6,#REF!&lt;=table!$F$6),1,0))</f>
        <v>#REF!</v>
      </c>
      <c r="R1529" s="5" t="e">
        <f>IF(AND(#REF!&gt;=table!$C$7,#REF!&lt;= table!$D$7),-1,IF(AND(#REF!&gt;=table!$E$7,#REF!&lt;=table!$F$7),1,0))</f>
        <v>#REF!</v>
      </c>
      <c r="S1529" s="5" t="e">
        <f>IF(AND(#REF!&gt;=table!$C$8,#REF!&lt;= table!$D$8),-1,IF(AND(#REF!&gt;=table!$E$8,#REF!&lt;=table!$F$8),1,0))</f>
        <v>#REF!</v>
      </c>
      <c r="T1529" s="5"/>
      <c r="U1529" s="5" t="e">
        <f>IF(AND(#REF!&gt;=table!$C$10,#REF!&lt;= table!$D$10),-1,IF(AND(#REF!&gt;=table!$E$10,#REF!&lt;=table!$F$10),1,0))</f>
        <v>#REF!</v>
      </c>
      <c r="V1529" s="5" t="e">
        <f>IF(AND(#REF!&gt;=table!$C$11,#REF!&lt;= table!$D$11),-1,IF(AND(#REF!&gt;=table!$E$11,#REF!&lt;=table!$F$11),1,0))</f>
        <v>#REF!</v>
      </c>
      <c r="W1529" s="5" t="e">
        <f>CONCATENATE(dados[[#This Row],[fator1]],dados[[#This Row],[fator5]],dados[[#This Row],[fator6]])</f>
        <v>#REF!</v>
      </c>
    </row>
    <row r="1530" spans="1:23">
      <c r="A1530" t="s">
        <v>16</v>
      </c>
      <c r="B1530">
        <v>485482</v>
      </c>
      <c r="C1530">
        <v>16</v>
      </c>
      <c r="D1530">
        <v>35</v>
      </c>
      <c r="E1530">
        <v>36</v>
      </c>
      <c r="F1530">
        <v>10</v>
      </c>
      <c r="G1530">
        <v>0</v>
      </c>
      <c r="H1530">
        <v>25</v>
      </c>
      <c r="I1530">
        <v>1569</v>
      </c>
      <c r="J1530">
        <v>0</v>
      </c>
      <c r="K1530">
        <v>4.4325000000000001</v>
      </c>
      <c r="L1530">
        <v>6.6975000000000007</v>
      </c>
      <c r="M1530">
        <v>26.394500000000001</v>
      </c>
      <c r="N1530">
        <v>13.370000000000001</v>
      </c>
      <c r="O1530">
        <v>1676</v>
      </c>
      <c r="P1530">
        <v>892</v>
      </c>
      <c r="Q1530" s="5" t="e">
        <f>IF(AND(#REF!&gt;=table!$C$6,#REF!&lt;= table!$D$6),-1,IF(AND(#REF!&gt;=table!$E$6,#REF!&lt;=table!$F$6),1,0))</f>
        <v>#REF!</v>
      </c>
      <c r="R1530" s="5" t="e">
        <f>IF(AND(#REF!&gt;=table!$C$7,#REF!&lt;= table!$D$7),-1,IF(AND(#REF!&gt;=table!$E$7,#REF!&lt;=table!$F$7),1,0))</f>
        <v>#REF!</v>
      </c>
      <c r="S1530" s="5" t="e">
        <f>IF(AND(#REF!&gt;=table!$C$8,#REF!&lt;= table!$D$8),-1,IF(AND(#REF!&gt;=table!$E$8,#REF!&lt;=table!$F$8),1,0))</f>
        <v>#REF!</v>
      </c>
      <c r="T1530" s="5"/>
      <c r="U1530" s="5" t="e">
        <f>IF(AND(#REF!&gt;=table!$C$10,#REF!&lt;= table!$D$10),-1,IF(AND(#REF!&gt;=table!$E$10,#REF!&lt;=table!$F$10),1,0))</f>
        <v>#REF!</v>
      </c>
      <c r="V1530" s="5" t="e">
        <f>IF(AND(#REF!&gt;=table!$C$11,#REF!&lt;= table!$D$11),-1,IF(AND(#REF!&gt;=table!$E$11,#REF!&lt;=table!$F$11),1,0))</f>
        <v>#REF!</v>
      </c>
      <c r="W1530" s="5" t="e">
        <f>CONCATENATE(dados[[#This Row],[fator1]],dados[[#This Row],[fator5]],dados[[#This Row],[fator6]])</f>
        <v>#REF!</v>
      </c>
    </row>
    <row r="1531" spans="1:23">
      <c r="A1531" t="s">
        <v>16</v>
      </c>
      <c r="B1531">
        <v>485483</v>
      </c>
      <c r="C1531">
        <v>16</v>
      </c>
      <c r="D1531">
        <v>30</v>
      </c>
      <c r="E1531">
        <v>36</v>
      </c>
      <c r="F1531">
        <v>3</v>
      </c>
      <c r="G1531">
        <v>0</v>
      </c>
      <c r="H1531">
        <v>25</v>
      </c>
      <c r="I1531">
        <v>0</v>
      </c>
      <c r="J1531">
        <v>0</v>
      </c>
      <c r="K1531">
        <v>3.9180000000000001</v>
      </c>
      <c r="L1531">
        <v>9.5170000000000012</v>
      </c>
      <c r="M1531">
        <v>34.481999999999999</v>
      </c>
      <c r="N1531">
        <v>16.899999999999999</v>
      </c>
      <c r="O1531">
        <v>1677</v>
      </c>
      <c r="P1531">
        <v>950</v>
      </c>
      <c r="Q1531" s="5" t="e">
        <f>IF(AND(#REF!&gt;=table!$C$6,#REF!&lt;= table!$D$6),-1,IF(AND(#REF!&gt;=table!$E$6,#REF!&lt;=table!$F$6),1,0))</f>
        <v>#REF!</v>
      </c>
      <c r="R1531" s="5" t="e">
        <f>IF(AND(#REF!&gt;=table!$C$7,#REF!&lt;= table!$D$7),-1,IF(AND(#REF!&gt;=table!$E$7,#REF!&lt;=table!$F$7),1,0))</f>
        <v>#REF!</v>
      </c>
      <c r="S1531" s="5" t="e">
        <f>IF(AND(#REF!&gt;=table!$C$8,#REF!&lt;= table!$D$8),-1,IF(AND(#REF!&gt;=table!$E$8,#REF!&lt;=table!$F$8),1,0))</f>
        <v>#REF!</v>
      </c>
      <c r="T1531" s="5"/>
      <c r="U1531" s="5" t="e">
        <f>IF(AND(#REF!&gt;=table!$C$10,#REF!&lt;= table!$D$10),-1,IF(AND(#REF!&gt;=table!$E$10,#REF!&lt;=table!$F$10),1,0))</f>
        <v>#REF!</v>
      </c>
      <c r="V1531" s="5" t="e">
        <f>IF(AND(#REF!&gt;=table!$C$11,#REF!&lt;= table!$D$11),-1,IF(AND(#REF!&gt;=table!$E$11,#REF!&lt;=table!$F$11),1,0))</f>
        <v>#REF!</v>
      </c>
      <c r="W1531" s="5" t="e">
        <f>CONCATENATE(dados[[#This Row],[fator1]],dados[[#This Row],[fator5]],dados[[#This Row],[fator6]])</f>
        <v>#REF!</v>
      </c>
    </row>
    <row r="1532" spans="1:23">
      <c r="A1532" t="s">
        <v>16</v>
      </c>
      <c r="B1532">
        <v>485484</v>
      </c>
      <c r="C1532">
        <v>16</v>
      </c>
      <c r="D1532">
        <v>30</v>
      </c>
      <c r="E1532">
        <v>36</v>
      </c>
      <c r="F1532">
        <v>3</v>
      </c>
      <c r="G1532">
        <v>0</v>
      </c>
      <c r="H1532">
        <v>25</v>
      </c>
      <c r="I1532">
        <v>81</v>
      </c>
      <c r="J1532">
        <v>0</v>
      </c>
      <c r="K1532">
        <v>6.5775000000000006</v>
      </c>
      <c r="L1532">
        <v>12.893500000000001</v>
      </c>
      <c r="M1532">
        <v>35.602000000000004</v>
      </c>
      <c r="N1532">
        <v>16.664999999999999</v>
      </c>
      <c r="O1532">
        <v>1675</v>
      </c>
      <c r="P1532">
        <v>0</v>
      </c>
      <c r="Q1532" s="5" t="e">
        <f>IF(AND(#REF!&gt;=table!$C$6,#REF!&lt;= table!$D$6),-1,IF(AND(#REF!&gt;=table!$E$6,#REF!&lt;=table!$F$6),1,0))</f>
        <v>#REF!</v>
      </c>
      <c r="R1532" s="5" t="e">
        <f>IF(AND(#REF!&gt;=table!$C$7,#REF!&lt;= table!$D$7),-1,IF(AND(#REF!&gt;=table!$E$7,#REF!&lt;=table!$F$7),1,0))</f>
        <v>#REF!</v>
      </c>
      <c r="S1532" s="5" t="e">
        <f>IF(AND(#REF!&gt;=table!$C$8,#REF!&lt;= table!$D$8),-1,IF(AND(#REF!&gt;=table!$E$8,#REF!&lt;=table!$F$8),1,0))</f>
        <v>#REF!</v>
      </c>
      <c r="T1532" s="5"/>
      <c r="U1532" s="5" t="e">
        <f>IF(AND(#REF!&gt;=table!$C$10,#REF!&lt;= table!$D$10),-1,IF(AND(#REF!&gt;=table!$E$10,#REF!&lt;=table!$F$10),1,0))</f>
        <v>#REF!</v>
      </c>
      <c r="V1532" s="5" t="e">
        <f>IF(AND(#REF!&gt;=table!$C$11,#REF!&lt;= table!$D$11),-1,IF(AND(#REF!&gt;=table!$E$11,#REF!&lt;=table!$F$11),1,0))</f>
        <v>#REF!</v>
      </c>
      <c r="W1532" s="5" t="e">
        <f>CONCATENATE(dados[[#This Row],[fator1]],dados[[#This Row],[fator5]],dados[[#This Row],[fator6]])</f>
        <v>#REF!</v>
      </c>
    </row>
    <row r="1533" spans="1:23">
      <c r="A1533" t="s">
        <v>16</v>
      </c>
      <c r="B1533">
        <v>485485</v>
      </c>
      <c r="C1533">
        <v>16</v>
      </c>
      <c r="D1533">
        <v>30</v>
      </c>
      <c r="E1533">
        <v>36</v>
      </c>
      <c r="F1533">
        <v>3</v>
      </c>
      <c r="G1533">
        <v>0</v>
      </c>
      <c r="H1533">
        <v>25</v>
      </c>
      <c r="I1533">
        <v>550</v>
      </c>
      <c r="J1533">
        <v>0</v>
      </c>
      <c r="K1533">
        <v>3.867</v>
      </c>
      <c r="L1533">
        <v>5.1270000000000007</v>
      </c>
      <c r="M1533">
        <v>29.810000000000002</v>
      </c>
      <c r="N1533">
        <v>9.7200000000000006</v>
      </c>
      <c r="O1533">
        <v>1676</v>
      </c>
      <c r="P1533">
        <v>1059</v>
      </c>
      <c r="Q1533" s="5" t="e">
        <f>IF(AND(#REF!&gt;=table!$C$6,#REF!&lt;= table!$D$6),-1,IF(AND(#REF!&gt;=table!$E$6,#REF!&lt;=table!$F$6),1,0))</f>
        <v>#REF!</v>
      </c>
      <c r="R1533" s="5" t="e">
        <f>IF(AND(#REF!&gt;=table!$C$7,#REF!&lt;= table!$D$7),-1,IF(AND(#REF!&gt;=table!$E$7,#REF!&lt;=table!$F$7),1,0))</f>
        <v>#REF!</v>
      </c>
      <c r="S1533" s="5" t="e">
        <f>IF(AND(#REF!&gt;=table!$C$8,#REF!&lt;= table!$D$8),-1,IF(AND(#REF!&gt;=table!$E$8,#REF!&lt;=table!$F$8),1,0))</f>
        <v>#REF!</v>
      </c>
      <c r="T1533" s="5"/>
      <c r="U1533" s="5" t="e">
        <f>IF(AND(#REF!&gt;=table!$C$10,#REF!&lt;= table!$D$10),-1,IF(AND(#REF!&gt;=table!$E$10,#REF!&lt;=table!$F$10),1,0))</f>
        <v>#REF!</v>
      </c>
      <c r="V1533" s="5" t="e">
        <f>IF(AND(#REF!&gt;=table!$C$11,#REF!&lt;= table!$D$11),-1,IF(AND(#REF!&gt;=table!$E$11,#REF!&lt;=table!$F$11),1,0))</f>
        <v>#REF!</v>
      </c>
      <c r="W1533" s="5" t="e">
        <f>CONCATENATE(dados[[#This Row],[fator1]],dados[[#This Row],[fator5]],dados[[#This Row],[fator6]])</f>
        <v>#REF!</v>
      </c>
    </row>
    <row r="1534" spans="1:23">
      <c r="A1534" t="s">
        <v>17</v>
      </c>
      <c r="B1534">
        <v>485487</v>
      </c>
      <c r="C1534">
        <v>7</v>
      </c>
      <c r="D1534">
        <v>35</v>
      </c>
      <c r="E1534">
        <v>200</v>
      </c>
      <c r="F1534">
        <v>8</v>
      </c>
      <c r="G1534">
        <v>50</v>
      </c>
      <c r="H1534">
        <v>25</v>
      </c>
      <c r="I1534">
        <v>819</v>
      </c>
      <c r="J1534">
        <v>0</v>
      </c>
      <c r="K1534">
        <v>3.0220000000000002</v>
      </c>
      <c r="L1534">
        <v>2.8925000000000001</v>
      </c>
      <c r="M1534">
        <v>192.18</v>
      </c>
      <c r="N1534">
        <v>12.01</v>
      </c>
      <c r="O1534">
        <v>1694</v>
      </c>
      <c r="P1534">
        <v>0</v>
      </c>
      <c r="Q1534" s="5" t="e">
        <f>IF(AND(#REF!&gt;=table!$C$6,#REF!&lt;= table!$D$6),-1,IF(AND(#REF!&gt;=table!$E$6,#REF!&lt;=table!$F$6),1,0))</f>
        <v>#REF!</v>
      </c>
      <c r="R1534" s="5" t="e">
        <f>IF(AND(#REF!&gt;=table!$C$7,#REF!&lt;= table!$D$7),-1,IF(AND(#REF!&gt;=table!$E$7,#REF!&lt;=table!$F$7),1,0))</f>
        <v>#REF!</v>
      </c>
      <c r="S1534" s="5" t="e">
        <f>IF(AND(#REF!&gt;=table!$C$8,#REF!&lt;= table!$D$8),-1,IF(AND(#REF!&gt;=table!$E$8,#REF!&lt;=table!$F$8),1,0))</f>
        <v>#REF!</v>
      </c>
      <c r="T1534" s="5"/>
      <c r="U1534" s="5" t="e">
        <f>IF(AND(#REF!&gt;=table!$C$10,#REF!&lt;= table!$D$10),-1,IF(AND(#REF!&gt;=table!$E$10,#REF!&lt;=table!$F$10),1,0))</f>
        <v>#REF!</v>
      </c>
      <c r="V1534" s="5" t="e">
        <f>IF(AND(#REF!&gt;=table!$C$11,#REF!&lt;= table!$D$11),-1,IF(AND(#REF!&gt;=table!$E$11,#REF!&lt;=table!$F$11),1,0))</f>
        <v>#REF!</v>
      </c>
      <c r="W1534" s="5" t="e">
        <f>CONCATENATE(dados[[#This Row],[fator1]],dados[[#This Row],[fator5]],dados[[#This Row],[fator6]])</f>
        <v>#REF!</v>
      </c>
    </row>
    <row r="1535" spans="1:23">
      <c r="A1535" t="s">
        <v>16</v>
      </c>
      <c r="B1535">
        <v>485488</v>
      </c>
      <c r="C1535">
        <v>11</v>
      </c>
      <c r="D1535">
        <v>40</v>
      </c>
      <c r="E1535">
        <v>151</v>
      </c>
      <c r="F1535">
        <v>8</v>
      </c>
      <c r="G1535">
        <v>0</v>
      </c>
      <c r="H1535">
        <v>25</v>
      </c>
      <c r="I1535">
        <v>1341</v>
      </c>
      <c r="J1535">
        <v>0</v>
      </c>
      <c r="K1535">
        <v>5.5475000000000003</v>
      </c>
      <c r="L1535">
        <v>13.413500000000001</v>
      </c>
      <c r="M1535">
        <v>140.66150000000002</v>
      </c>
      <c r="N1535">
        <v>16.055</v>
      </c>
      <c r="O1535">
        <v>1664</v>
      </c>
      <c r="P1535">
        <v>705</v>
      </c>
      <c r="Q1535" s="5" t="e">
        <f>IF(AND(#REF!&gt;=table!$C$6,#REF!&lt;= table!$D$6),-1,IF(AND(#REF!&gt;=table!$E$6,#REF!&lt;=table!$F$6),1,0))</f>
        <v>#REF!</v>
      </c>
      <c r="R1535" s="5" t="e">
        <f>IF(AND(#REF!&gt;=table!$C$7,#REF!&lt;= table!$D$7),-1,IF(AND(#REF!&gt;=table!$E$7,#REF!&lt;=table!$F$7),1,0))</f>
        <v>#REF!</v>
      </c>
      <c r="S1535" s="5" t="e">
        <f>IF(AND(#REF!&gt;=table!$C$8,#REF!&lt;= table!$D$8),-1,IF(AND(#REF!&gt;=table!$E$8,#REF!&lt;=table!$F$8),1,0))</f>
        <v>#REF!</v>
      </c>
      <c r="T1535" s="5"/>
      <c r="U1535" s="5" t="e">
        <f>IF(AND(#REF!&gt;=table!$C$10,#REF!&lt;= table!$D$10),-1,IF(AND(#REF!&gt;=table!$E$10,#REF!&lt;=table!$F$10),1,0))</f>
        <v>#REF!</v>
      </c>
      <c r="V1535" s="5" t="e">
        <f>IF(AND(#REF!&gt;=table!$C$11,#REF!&lt;= table!$D$11),-1,IF(AND(#REF!&gt;=table!$E$11,#REF!&lt;=table!$F$11),1,0))</f>
        <v>#REF!</v>
      </c>
      <c r="W1535" s="5" t="e">
        <f>CONCATENATE(dados[[#This Row],[fator1]],dados[[#This Row],[fator5]],dados[[#This Row],[fator6]])</f>
        <v>#REF!</v>
      </c>
    </row>
    <row r="1536" spans="1:23">
      <c r="A1536" t="s">
        <v>16</v>
      </c>
      <c r="B1536">
        <v>485489</v>
      </c>
      <c r="C1536">
        <v>11</v>
      </c>
      <c r="D1536">
        <v>40</v>
      </c>
      <c r="E1536">
        <v>151</v>
      </c>
      <c r="F1536">
        <v>8</v>
      </c>
      <c r="G1536">
        <v>0</v>
      </c>
      <c r="H1536">
        <v>25</v>
      </c>
      <c r="I1536">
        <v>567</v>
      </c>
      <c r="J1536">
        <v>1000</v>
      </c>
      <c r="K1536">
        <v>4.4820000000000002</v>
      </c>
      <c r="L1536">
        <v>12.5075</v>
      </c>
      <c r="M1536">
        <v>122.32250000000001</v>
      </c>
      <c r="N1536">
        <v>19.585000000000001</v>
      </c>
      <c r="O1536">
        <v>1688</v>
      </c>
      <c r="P1536">
        <v>1106</v>
      </c>
      <c r="Q1536" s="5" t="e">
        <f>IF(AND(#REF!&gt;=table!$C$6,#REF!&lt;= table!$D$6),-1,IF(AND(#REF!&gt;=table!$E$6,#REF!&lt;=table!$F$6),1,0))</f>
        <v>#REF!</v>
      </c>
      <c r="R1536" s="5" t="e">
        <f>IF(AND(#REF!&gt;=table!$C$7,#REF!&lt;= table!$D$7),-1,IF(AND(#REF!&gt;=table!$E$7,#REF!&lt;=table!$F$7),1,0))</f>
        <v>#REF!</v>
      </c>
      <c r="S1536" s="5" t="e">
        <f>IF(AND(#REF!&gt;=table!$C$8,#REF!&lt;= table!$D$8),-1,IF(AND(#REF!&gt;=table!$E$8,#REF!&lt;=table!$F$8),1,0))</f>
        <v>#REF!</v>
      </c>
      <c r="T1536" s="5"/>
      <c r="U1536" s="5" t="e">
        <f>IF(AND(#REF!&gt;=table!$C$10,#REF!&lt;= table!$D$10),-1,IF(AND(#REF!&gt;=table!$E$10,#REF!&lt;=table!$F$10),1,0))</f>
        <v>#REF!</v>
      </c>
      <c r="V1536" s="5" t="e">
        <f>IF(AND(#REF!&gt;=table!$C$11,#REF!&lt;= table!$D$11),-1,IF(AND(#REF!&gt;=table!$E$11,#REF!&lt;=table!$F$11),1,0))</f>
        <v>#REF!</v>
      </c>
      <c r="W1536" s="5" t="e">
        <f>CONCATENATE(dados[[#This Row],[fator1]],dados[[#This Row],[fator5]],dados[[#This Row],[fator6]])</f>
        <v>#REF!</v>
      </c>
    </row>
    <row r="1537" spans="1:23">
      <c r="A1537" t="s">
        <v>17</v>
      </c>
      <c r="B1537">
        <v>485490</v>
      </c>
      <c r="C1537">
        <v>14</v>
      </c>
      <c r="D1537">
        <v>30</v>
      </c>
      <c r="E1537">
        <v>110</v>
      </c>
      <c r="F1537">
        <v>3</v>
      </c>
      <c r="G1537">
        <v>20</v>
      </c>
      <c r="H1537">
        <v>22</v>
      </c>
      <c r="I1537">
        <v>390</v>
      </c>
      <c r="J1537">
        <v>0</v>
      </c>
      <c r="K1537">
        <v>3.49</v>
      </c>
      <c r="L1537">
        <v>4.4695</v>
      </c>
      <c r="M1537">
        <v>90.33250000000001</v>
      </c>
      <c r="N1537">
        <v>9.8450000000000006</v>
      </c>
      <c r="O1537">
        <v>1687</v>
      </c>
      <c r="P1537">
        <v>1456</v>
      </c>
      <c r="Q1537" s="5" t="e">
        <f>IF(AND(#REF!&gt;=table!$C$6,#REF!&lt;= table!$D$6),-1,IF(AND(#REF!&gt;=table!$E$6,#REF!&lt;=table!$F$6),1,0))</f>
        <v>#REF!</v>
      </c>
      <c r="R1537" s="5" t="e">
        <f>IF(AND(#REF!&gt;=table!$C$7,#REF!&lt;= table!$D$7),-1,IF(AND(#REF!&gt;=table!$E$7,#REF!&lt;=table!$F$7),1,0))</f>
        <v>#REF!</v>
      </c>
      <c r="S1537" s="5" t="e">
        <f>IF(AND(#REF!&gt;=table!$C$8,#REF!&lt;= table!$D$8),-1,IF(AND(#REF!&gt;=table!$E$8,#REF!&lt;=table!$F$8),1,0))</f>
        <v>#REF!</v>
      </c>
      <c r="T1537" s="5"/>
      <c r="U1537" s="5" t="e">
        <f>IF(AND(#REF!&gt;=table!$C$10,#REF!&lt;= table!$D$10),-1,IF(AND(#REF!&gt;=table!$E$10,#REF!&lt;=table!$F$10),1,0))</f>
        <v>#REF!</v>
      </c>
      <c r="V1537" s="5" t="e">
        <f>IF(AND(#REF!&gt;=table!$C$11,#REF!&lt;= table!$D$11),-1,IF(AND(#REF!&gt;=table!$E$11,#REF!&lt;=table!$F$11),1,0))</f>
        <v>#REF!</v>
      </c>
      <c r="W1537" s="5" t="e">
        <f>CONCATENATE(dados[[#This Row],[fator1]],dados[[#This Row],[fator5]],dados[[#This Row],[fator6]])</f>
        <v>#REF!</v>
      </c>
    </row>
    <row r="1538" spans="1:23">
      <c r="A1538" t="s">
        <v>16</v>
      </c>
      <c r="B1538">
        <v>485491</v>
      </c>
      <c r="C1538">
        <v>11</v>
      </c>
      <c r="D1538">
        <v>40</v>
      </c>
      <c r="E1538">
        <v>151</v>
      </c>
      <c r="F1538">
        <v>8</v>
      </c>
      <c r="G1538">
        <v>0</v>
      </c>
      <c r="H1538">
        <v>25</v>
      </c>
      <c r="I1538">
        <v>808</v>
      </c>
      <c r="J1538">
        <v>0</v>
      </c>
      <c r="K1538">
        <v>7.6870000000000003</v>
      </c>
      <c r="L1538">
        <v>14.053000000000001</v>
      </c>
      <c r="M1538">
        <v>124.85250000000001</v>
      </c>
      <c r="N1538">
        <v>16.254999999999999</v>
      </c>
      <c r="O1538">
        <v>1681</v>
      </c>
      <c r="P1538">
        <v>0</v>
      </c>
      <c r="Q1538" s="5" t="e">
        <f>IF(AND(#REF!&gt;=table!$C$6,#REF!&lt;= table!$D$6),-1,IF(AND(#REF!&gt;=table!$E$6,#REF!&lt;=table!$F$6),1,0))</f>
        <v>#REF!</v>
      </c>
      <c r="R1538" s="5" t="e">
        <f>IF(AND(#REF!&gt;=table!$C$7,#REF!&lt;= table!$D$7),-1,IF(AND(#REF!&gt;=table!$E$7,#REF!&lt;=table!$F$7),1,0))</f>
        <v>#REF!</v>
      </c>
      <c r="S1538" s="5" t="e">
        <f>IF(AND(#REF!&gt;=table!$C$8,#REF!&lt;= table!$D$8),-1,IF(AND(#REF!&gt;=table!$E$8,#REF!&lt;=table!$F$8),1,0))</f>
        <v>#REF!</v>
      </c>
      <c r="T1538" s="5"/>
      <c r="U1538" s="5" t="e">
        <f>IF(AND(#REF!&gt;=table!$C$10,#REF!&lt;= table!$D$10),-1,IF(AND(#REF!&gt;=table!$E$10,#REF!&lt;=table!$F$10),1,0))</f>
        <v>#REF!</v>
      </c>
      <c r="V1538" s="5" t="e">
        <f>IF(AND(#REF!&gt;=table!$C$11,#REF!&lt;= table!$D$11),-1,IF(AND(#REF!&gt;=table!$E$11,#REF!&lt;=table!$F$11),1,0))</f>
        <v>#REF!</v>
      </c>
      <c r="W1538" s="5" t="e">
        <f>CONCATENATE(dados[[#This Row],[fator1]],dados[[#This Row],[fator5]],dados[[#This Row],[fator6]])</f>
        <v>#REF!</v>
      </c>
    </row>
    <row r="1539" spans="1:23">
      <c r="A1539" t="s">
        <v>16</v>
      </c>
      <c r="B1539">
        <v>485492</v>
      </c>
      <c r="C1539">
        <v>11</v>
      </c>
      <c r="D1539">
        <v>40</v>
      </c>
      <c r="E1539">
        <v>151</v>
      </c>
      <c r="F1539">
        <v>8</v>
      </c>
      <c r="G1539">
        <v>0</v>
      </c>
      <c r="H1539">
        <v>25</v>
      </c>
      <c r="I1539">
        <v>803</v>
      </c>
      <c r="J1539">
        <v>0</v>
      </c>
      <c r="K1539">
        <v>9.8574999999999999</v>
      </c>
      <c r="L1539">
        <v>13.424000000000001</v>
      </c>
      <c r="M1539">
        <v>134.49450000000002</v>
      </c>
      <c r="N1539">
        <v>13.205</v>
      </c>
      <c r="O1539">
        <v>1672</v>
      </c>
      <c r="P1539">
        <v>0</v>
      </c>
      <c r="Q1539" s="5" t="e">
        <f>IF(AND(#REF!&gt;=table!$C$6,#REF!&lt;= table!$D$6),-1,IF(AND(#REF!&gt;=table!$E$6,#REF!&lt;=table!$F$6),1,0))</f>
        <v>#REF!</v>
      </c>
      <c r="R1539" s="5" t="e">
        <f>IF(AND(#REF!&gt;=table!$C$7,#REF!&lt;= table!$D$7),-1,IF(AND(#REF!&gt;=table!$E$7,#REF!&lt;=table!$F$7),1,0))</f>
        <v>#REF!</v>
      </c>
      <c r="S1539" s="5" t="e">
        <f>IF(AND(#REF!&gt;=table!$C$8,#REF!&lt;= table!$D$8),-1,IF(AND(#REF!&gt;=table!$E$8,#REF!&lt;=table!$F$8),1,0))</f>
        <v>#REF!</v>
      </c>
      <c r="T1539" s="5"/>
      <c r="U1539" s="5" t="e">
        <f>IF(AND(#REF!&gt;=table!$C$10,#REF!&lt;= table!$D$10),-1,IF(AND(#REF!&gt;=table!$E$10,#REF!&lt;=table!$F$10),1,0))</f>
        <v>#REF!</v>
      </c>
      <c r="V1539" s="5" t="e">
        <f>IF(AND(#REF!&gt;=table!$C$11,#REF!&lt;= table!$D$11),-1,IF(AND(#REF!&gt;=table!$E$11,#REF!&lt;=table!$F$11),1,0))</f>
        <v>#REF!</v>
      </c>
      <c r="W1539" s="5" t="e">
        <f>CONCATENATE(dados[[#This Row],[fator1]],dados[[#This Row],[fator5]],dados[[#This Row],[fator6]])</f>
        <v>#REF!</v>
      </c>
    </row>
    <row r="1540" spans="1:23">
      <c r="A1540" t="s">
        <v>16</v>
      </c>
      <c r="B1540">
        <v>485493</v>
      </c>
      <c r="C1540">
        <v>11</v>
      </c>
      <c r="D1540">
        <v>40</v>
      </c>
      <c r="E1540">
        <v>151</v>
      </c>
      <c r="F1540">
        <v>8</v>
      </c>
      <c r="G1540">
        <v>0</v>
      </c>
      <c r="H1540">
        <v>25</v>
      </c>
      <c r="I1540">
        <v>1086</v>
      </c>
      <c r="J1540">
        <v>0</v>
      </c>
      <c r="K1540">
        <v>10.221</v>
      </c>
      <c r="L1540">
        <v>16.202999999999999</v>
      </c>
      <c r="M1540">
        <v>102.13300000000001</v>
      </c>
      <c r="N1540">
        <v>16.925000000000001</v>
      </c>
      <c r="O1540">
        <v>1666</v>
      </c>
      <c r="P1540">
        <v>0</v>
      </c>
      <c r="Q1540" s="5" t="e">
        <f>IF(AND(#REF!&gt;=table!$C$6,#REF!&lt;= table!$D$6),-1,IF(AND(#REF!&gt;=table!$E$6,#REF!&lt;=table!$F$6),1,0))</f>
        <v>#REF!</v>
      </c>
      <c r="R1540" s="5" t="e">
        <f>IF(AND(#REF!&gt;=table!$C$7,#REF!&lt;= table!$D$7),-1,IF(AND(#REF!&gt;=table!$E$7,#REF!&lt;=table!$F$7),1,0))</f>
        <v>#REF!</v>
      </c>
      <c r="S1540" s="5" t="e">
        <f>IF(AND(#REF!&gt;=table!$C$8,#REF!&lt;= table!$D$8),-1,IF(AND(#REF!&gt;=table!$E$8,#REF!&lt;=table!$F$8),1,0))</f>
        <v>#REF!</v>
      </c>
      <c r="T1540" s="5"/>
      <c r="U1540" s="5" t="e">
        <f>IF(AND(#REF!&gt;=table!$C$10,#REF!&lt;= table!$D$10),-1,IF(AND(#REF!&gt;=table!$E$10,#REF!&lt;=table!$F$10),1,0))</f>
        <v>#REF!</v>
      </c>
      <c r="V1540" s="5" t="e">
        <f>IF(AND(#REF!&gt;=table!$C$11,#REF!&lt;= table!$D$11),-1,IF(AND(#REF!&gt;=table!$E$11,#REF!&lt;=table!$F$11),1,0))</f>
        <v>#REF!</v>
      </c>
      <c r="W1540" s="5" t="e">
        <f>CONCATENATE(dados[[#This Row],[fator1]],dados[[#This Row],[fator5]],dados[[#This Row],[fator6]])</f>
        <v>#REF!</v>
      </c>
    </row>
    <row r="1541" spans="1:23">
      <c r="A1541" t="s">
        <v>17</v>
      </c>
      <c r="B1541">
        <v>485494</v>
      </c>
      <c r="C1541">
        <v>14</v>
      </c>
      <c r="D1541">
        <v>30</v>
      </c>
      <c r="E1541">
        <v>110</v>
      </c>
      <c r="F1541">
        <v>3</v>
      </c>
      <c r="G1541">
        <v>20</v>
      </c>
      <c r="H1541">
        <v>22</v>
      </c>
      <c r="I1541">
        <v>1070</v>
      </c>
      <c r="J1541">
        <v>0</v>
      </c>
      <c r="K1541">
        <v>4.3410000000000002</v>
      </c>
      <c r="L1541">
        <v>8.1215000000000011</v>
      </c>
      <c r="M1541">
        <v>105.598</v>
      </c>
      <c r="N1541">
        <v>12.83</v>
      </c>
      <c r="O1541">
        <v>1705</v>
      </c>
      <c r="P1541">
        <v>1220</v>
      </c>
      <c r="Q1541" s="5" t="e">
        <f>IF(AND(#REF!&gt;=table!$C$6,#REF!&lt;= table!$D$6),-1,IF(AND(#REF!&gt;=table!$E$6,#REF!&lt;=table!$F$6),1,0))</f>
        <v>#REF!</v>
      </c>
      <c r="R1541" s="5" t="e">
        <f>IF(AND(#REF!&gt;=table!$C$7,#REF!&lt;= table!$D$7),-1,IF(AND(#REF!&gt;=table!$E$7,#REF!&lt;=table!$F$7),1,0))</f>
        <v>#REF!</v>
      </c>
      <c r="S1541" s="5" t="e">
        <f>IF(AND(#REF!&gt;=table!$C$8,#REF!&lt;= table!$D$8),-1,IF(AND(#REF!&gt;=table!$E$8,#REF!&lt;=table!$F$8),1,0))</f>
        <v>#REF!</v>
      </c>
      <c r="T1541" s="5"/>
      <c r="U1541" s="5" t="e">
        <f>IF(AND(#REF!&gt;=table!$C$10,#REF!&lt;= table!$D$10),-1,IF(AND(#REF!&gt;=table!$E$10,#REF!&lt;=table!$F$10),1,0))</f>
        <v>#REF!</v>
      </c>
      <c r="V1541" s="5" t="e">
        <f>IF(AND(#REF!&gt;=table!$C$11,#REF!&lt;= table!$D$11),-1,IF(AND(#REF!&gt;=table!$E$11,#REF!&lt;=table!$F$11),1,0))</f>
        <v>#REF!</v>
      </c>
      <c r="W1541" s="5" t="e">
        <f>CONCATENATE(dados[[#This Row],[fator1]],dados[[#This Row],[fator5]],dados[[#This Row],[fator6]])</f>
        <v>#REF!</v>
      </c>
    </row>
    <row r="1542" spans="1:23">
      <c r="A1542" t="s">
        <v>16</v>
      </c>
      <c r="B1542">
        <v>485496</v>
      </c>
      <c r="C1542">
        <v>11</v>
      </c>
      <c r="D1542">
        <v>40</v>
      </c>
      <c r="E1542">
        <v>151</v>
      </c>
      <c r="F1542">
        <v>8</v>
      </c>
      <c r="G1542">
        <v>0</v>
      </c>
      <c r="H1542">
        <v>25</v>
      </c>
      <c r="I1542">
        <v>800</v>
      </c>
      <c r="J1542">
        <v>800</v>
      </c>
      <c r="K1542">
        <v>4.3020000000000005</v>
      </c>
      <c r="L1542">
        <v>9.3209999999999997</v>
      </c>
      <c r="M1542">
        <v>125.6435</v>
      </c>
      <c r="N1542">
        <v>13.93</v>
      </c>
      <c r="O1542">
        <v>1688</v>
      </c>
      <c r="P1542">
        <v>821</v>
      </c>
      <c r="Q1542" s="5" t="e">
        <f>IF(AND(#REF!&gt;=table!$C$6,#REF!&lt;= table!$D$6),-1,IF(AND(#REF!&gt;=table!$E$6,#REF!&lt;=table!$F$6),1,0))</f>
        <v>#REF!</v>
      </c>
      <c r="R1542" s="5" t="e">
        <f>IF(AND(#REF!&gt;=table!$C$7,#REF!&lt;= table!$D$7),-1,IF(AND(#REF!&gt;=table!$E$7,#REF!&lt;=table!$F$7),1,0))</f>
        <v>#REF!</v>
      </c>
      <c r="S1542" s="5" t="e">
        <f>IF(AND(#REF!&gt;=table!$C$8,#REF!&lt;= table!$D$8),-1,IF(AND(#REF!&gt;=table!$E$8,#REF!&lt;=table!$F$8),1,0))</f>
        <v>#REF!</v>
      </c>
      <c r="T1542" s="5"/>
      <c r="U1542" s="5" t="e">
        <f>IF(AND(#REF!&gt;=table!$C$10,#REF!&lt;= table!$D$10),-1,IF(AND(#REF!&gt;=table!$E$10,#REF!&lt;=table!$F$10),1,0))</f>
        <v>#REF!</v>
      </c>
      <c r="V1542" s="5" t="e">
        <f>IF(AND(#REF!&gt;=table!$C$11,#REF!&lt;= table!$D$11),-1,IF(AND(#REF!&gt;=table!$E$11,#REF!&lt;=table!$F$11),1,0))</f>
        <v>#REF!</v>
      </c>
      <c r="W1542" s="5" t="e">
        <f>CONCATENATE(dados[[#This Row],[fator1]],dados[[#This Row],[fator5]],dados[[#This Row],[fator6]])</f>
        <v>#REF!</v>
      </c>
    </row>
    <row r="1543" spans="1:23">
      <c r="A1543" t="s">
        <v>16</v>
      </c>
      <c r="B1543">
        <v>485497</v>
      </c>
      <c r="C1543">
        <v>0.15</v>
      </c>
      <c r="D1543">
        <v>40</v>
      </c>
      <c r="E1543">
        <v>65</v>
      </c>
      <c r="F1543">
        <v>10</v>
      </c>
      <c r="G1543">
        <v>0</v>
      </c>
      <c r="H1543">
        <v>35</v>
      </c>
      <c r="I1543">
        <v>822</v>
      </c>
      <c r="J1543">
        <v>0</v>
      </c>
      <c r="K1543">
        <v>2.9195000000000002</v>
      </c>
      <c r="L1543">
        <v>3.7415000000000003</v>
      </c>
      <c r="M1543">
        <v>5.4960000000000004</v>
      </c>
      <c r="N1543">
        <v>8.5</v>
      </c>
      <c r="O1543">
        <v>1649</v>
      </c>
      <c r="P1543">
        <v>1246</v>
      </c>
      <c r="Q1543" s="5" t="e">
        <f>IF(AND(#REF!&gt;=table!$C$6,#REF!&lt;= table!$D$6),-1,IF(AND(#REF!&gt;=table!$E$6,#REF!&lt;=table!$F$6),1,0))</f>
        <v>#REF!</v>
      </c>
      <c r="R1543" s="5" t="e">
        <f>IF(AND(#REF!&gt;=table!$C$7,#REF!&lt;= table!$D$7),-1,IF(AND(#REF!&gt;=table!$E$7,#REF!&lt;=table!$F$7),1,0))</f>
        <v>#REF!</v>
      </c>
      <c r="S1543" s="5" t="e">
        <f>IF(AND(#REF!&gt;=table!$C$8,#REF!&lt;= table!$D$8),-1,IF(AND(#REF!&gt;=table!$E$8,#REF!&lt;=table!$F$8),1,0))</f>
        <v>#REF!</v>
      </c>
      <c r="T1543" s="5"/>
      <c r="U1543" s="5" t="e">
        <f>IF(AND(#REF!&gt;=table!$C$10,#REF!&lt;= table!$D$10),-1,IF(AND(#REF!&gt;=table!$E$10,#REF!&lt;=table!$F$10),1,0))</f>
        <v>#REF!</v>
      </c>
      <c r="V1543" s="5" t="e">
        <f>IF(AND(#REF!&gt;=table!$C$11,#REF!&lt;= table!$D$11),-1,IF(AND(#REF!&gt;=table!$E$11,#REF!&lt;=table!$F$11),1,0))</f>
        <v>#REF!</v>
      </c>
      <c r="W1543" s="5" t="e">
        <f>CONCATENATE(dados[[#This Row],[fator1]],dados[[#This Row],[fator5]],dados[[#This Row],[fator6]])</f>
        <v>#REF!</v>
      </c>
    </row>
    <row r="1544" spans="1:23">
      <c r="A1544" t="s">
        <v>16</v>
      </c>
      <c r="B1544">
        <v>485502</v>
      </c>
      <c r="C1544">
        <v>0.15</v>
      </c>
      <c r="D1544">
        <v>40</v>
      </c>
      <c r="E1544">
        <v>10</v>
      </c>
      <c r="F1544">
        <v>15</v>
      </c>
      <c r="G1544">
        <v>0</v>
      </c>
      <c r="H1544">
        <v>15</v>
      </c>
      <c r="I1544">
        <v>758</v>
      </c>
      <c r="J1544">
        <v>1430</v>
      </c>
      <c r="K1544">
        <v>7.72</v>
      </c>
      <c r="L1544">
        <v>4.5790000000000006</v>
      </c>
      <c r="M1544">
        <v>3.6625000000000001</v>
      </c>
      <c r="N1544">
        <v>5.8050000000000006</v>
      </c>
      <c r="O1544">
        <v>1562</v>
      </c>
      <c r="P1544">
        <v>372</v>
      </c>
      <c r="Q1544" s="5" t="e">
        <f>IF(AND(#REF!&gt;=table!$C$6,#REF!&lt;= table!$D$6),-1,IF(AND(#REF!&gt;=table!$E$6,#REF!&lt;=table!$F$6),1,0))</f>
        <v>#REF!</v>
      </c>
      <c r="R1544" s="5" t="e">
        <f>IF(AND(#REF!&gt;=table!$C$7,#REF!&lt;= table!$D$7),-1,IF(AND(#REF!&gt;=table!$E$7,#REF!&lt;=table!$F$7),1,0))</f>
        <v>#REF!</v>
      </c>
      <c r="S1544" s="5" t="e">
        <f>IF(AND(#REF!&gt;=table!$C$8,#REF!&lt;= table!$D$8),-1,IF(AND(#REF!&gt;=table!$E$8,#REF!&lt;=table!$F$8),1,0))</f>
        <v>#REF!</v>
      </c>
      <c r="T1544" s="5"/>
      <c r="U1544" s="5" t="e">
        <f>IF(AND(#REF!&gt;=table!$C$10,#REF!&lt;= table!$D$10),-1,IF(AND(#REF!&gt;=table!$E$10,#REF!&lt;=table!$F$10),1,0))</f>
        <v>#REF!</v>
      </c>
      <c r="V1544" s="5" t="e">
        <f>IF(AND(#REF!&gt;=table!$C$11,#REF!&lt;= table!$D$11),-1,IF(AND(#REF!&gt;=table!$E$11,#REF!&lt;=table!$F$11),1,0))</f>
        <v>#REF!</v>
      </c>
      <c r="W1544" s="5" t="e">
        <f>CONCATENATE(dados[[#This Row],[fator1]],dados[[#This Row],[fator5]],dados[[#This Row],[fator6]])</f>
        <v>#REF!</v>
      </c>
    </row>
    <row r="1545" spans="1:23">
      <c r="A1545" t="s">
        <v>17</v>
      </c>
      <c r="B1545">
        <v>485503</v>
      </c>
      <c r="C1545">
        <v>18</v>
      </c>
      <c r="D1545">
        <v>30</v>
      </c>
      <c r="E1545">
        <v>136</v>
      </c>
      <c r="F1545">
        <v>3</v>
      </c>
      <c r="G1545">
        <v>20</v>
      </c>
      <c r="H1545">
        <v>25</v>
      </c>
      <c r="I1545">
        <v>900</v>
      </c>
      <c r="J1545">
        <v>0</v>
      </c>
      <c r="K1545">
        <v>3.5</v>
      </c>
      <c r="L1545">
        <v>8.0805000000000007</v>
      </c>
      <c r="M1545">
        <v>104.40350000000001</v>
      </c>
      <c r="N1545">
        <v>15.370000000000001</v>
      </c>
      <c r="O1545">
        <v>1673</v>
      </c>
      <c r="P1545">
        <v>999</v>
      </c>
      <c r="Q1545" s="5" t="e">
        <f>IF(AND(#REF!&gt;=table!$C$6,#REF!&lt;= table!$D$6),-1,IF(AND(#REF!&gt;=table!$E$6,#REF!&lt;=table!$F$6),1,0))</f>
        <v>#REF!</v>
      </c>
      <c r="R1545" s="5" t="e">
        <f>IF(AND(#REF!&gt;=table!$C$7,#REF!&lt;= table!$D$7),-1,IF(AND(#REF!&gt;=table!$E$7,#REF!&lt;=table!$F$7),1,0))</f>
        <v>#REF!</v>
      </c>
      <c r="S1545" s="5" t="e">
        <f>IF(AND(#REF!&gt;=table!$C$8,#REF!&lt;= table!$D$8),-1,IF(AND(#REF!&gt;=table!$E$8,#REF!&lt;=table!$F$8),1,0))</f>
        <v>#REF!</v>
      </c>
      <c r="T1545" s="5"/>
      <c r="U1545" s="5" t="e">
        <f>IF(AND(#REF!&gt;=table!$C$10,#REF!&lt;= table!$D$10),-1,IF(AND(#REF!&gt;=table!$E$10,#REF!&lt;=table!$F$10),1,0))</f>
        <v>#REF!</v>
      </c>
      <c r="V1545" s="5" t="e">
        <f>IF(AND(#REF!&gt;=table!$C$11,#REF!&lt;= table!$D$11),-1,IF(AND(#REF!&gt;=table!$E$11,#REF!&lt;=table!$F$11),1,0))</f>
        <v>#REF!</v>
      </c>
      <c r="W1545" s="5" t="e">
        <f>CONCATENATE(dados[[#This Row],[fator1]],dados[[#This Row],[fator5]],dados[[#This Row],[fator6]])</f>
        <v>#REF!</v>
      </c>
    </row>
    <row r="1546" spans="1:23">
      <c r="A1546" t="s">
        <v>17</v>
      </c>
      <c r="B1546">
        <v>485506</v>
      </c>
      <c r="C1546">
        <v>18</v>
      </c>
      <c r="D1546">
        <v>30</v>
      </c>
      <c r="E1546">
        <v>136</v>
      </c>
      <c r="F1546">
        <v>3</v>
      </c>
      <c r="G1546">
        <v>20</v>
      </c>
      <c r="H1546">
        <v>25</v>
      </c>
      <c r="I1546">
        <v>504</v>
      </c>
      <c r="J1546">
        <v>0</v>
      </c>
      <c r="K1546">
        <v>9.1890000000000001</v>
      </c>
      <c r="L1546">
        <v>17.406500000000001</v>
      </c>
      <c r="M1546">
        <v>121.22450000000001</v>
      </c>
      <c r="N1546">
        <v>25.885000000000002</v>
      </c>
      <c r="O1546">
        <v>1697</v>
      </c>
      <c r="P1546">
        <v>0</v>
      </c>
      <c r="Q1546" s="5" t="e">
        <f>IF(AND(#REF!&gt;=table!$C$6,#REF!&lt;= table!$D$6),-1,IF(AND(#REF!&gt;=table!$E$6,#REF!&lt;=table!$F$6),1,0))</f>
        <v>#REF!</v>
      </c>
      <c r="R1546" s="5" t="e">
        <f>IF(AND(#REF!&gt;=table!$C$7,#REF!&lt;= table!$D$7),-1,IF(AND(#REF!&gt;=table!$E$7,#REF!&lt;=table!$F$7),1,0))</f>
        <v>#REF!</v>
      </c>
      <c r="S1546" s="5" t="e">
        <f>IF(AND(#REF!&gt;=table!$C$8,#REF!&lt;= table!$D$8),-1,IF(AND(#REF!&gt;=table!$E$8,#REF!&lt;=table!$F$8),1,0))</f>
        <v>#REF!</v>
      </c>
      <c r="T1546" s="5"/>
      <c r="U1546" s="5" t="e">
        <f>IF(AND(#REF!&gt;=table!$C$10,#REF!&lt;= table!$D$10),-1,IF(AND(#REF!&gt;=table!$E$10,#REF!&lt;=table!$F$10),1,0))</f>
        <v>#REF!</v>
      </c>
      <c r="V1546" s="5" t="e">
        <f>IF(AND(#REF!&gt;=table!$C$11,#REF!&lt;= table!$D$11),-1,IF(AND(#REF!&gt;=table!$E$11,#REF!&lt;=table!$F$11),1,0))</f>
        <v>#REF!</v>
      </c>
      <c r="W1546" s="5" t="e">
        <f>CONCATENATE(dados[[#This Row],[fator1]],dados[[#This Row],[fator5]],dados[[#This Row],[fator6]])</f>
        <v>#REF!</v>
      </c>
    </row>
    <row r="1547" spans="1:23">
      <c r="A1547" t="s">
        <v>17</v>
      </c>
      <c r="B1547">
        <v>485507</v>
      </c>
      <c r="C1547">
        <v>18</v>
      </c>
      <c r="D1547">
        <v>30</v>
      </c>
      <c r="E1547">
        <v>136</v>
      </c>
      <c r="F1547">
        <v>3</v>
      </c>
      <c r="G1547">
        <v>20</v>
      </c>
      <c r="H1547">
        <v>25</v>
      </c>
      <c r="I1547">
        <v>701</v>
      </c>
      <c r="J1547">
        <v>0</v>
      </c>
      <c r="K1547">
        <v>12.777000000000001</v>
      </c>
      <c r="L1547">
        <v>13.231</v>
      </c>
      <c r="M1547">
        <v>106.702</v>
      </c>
      <c r="N1547">
        <v>18.170000000000002</v>
      </c>
      <c r="O1547">
        <v>1661</v>
      </c>
      <c r="P1547">
        <v>328</v>
      </c>
      <c r="Q1547" s="5" t="e">
        <f>IF(AND(#REF!&gt;=table!$C$6,#REF!&lt;= table!$D$6),-1,IF(AND(#REF!&gt;=table!$E$6,#REF!&lt;=table!$F$6),1,0))</f>
        <v>#REF!</v>
      </c>
      <c r="R1547" s="5" t="e">
        <f>IF(AND(#REF!&gt;=table!$C$7,#REF!&lt;= table!$D$7),-1,IF(AND(#REF!&gt;=table!$E$7,#REF!&lt;=table!$F$7),1,0))</f>
        <v>#REF!</v>
      </c>
      <c r="S1547" s="5" t="e">
        <f>IF(AND(#REF!&gt;=table!$C$8,#REF!&lt;= table!$D$8),-1,IF(AND(#REF!&gt;=table!$E$8,#REF!&lt;=table!$F$8),1,0))</f>
        <v>#REF!</v>
      </c>
      <c r="T1547" s="5"/>
      <c r="U1547" s="5" t="e">
        <f>IF(AND(#REF!&gt;=table!$C$10,#REF!&lt;= table!$D$10),-1,IF(AND(#REF!&gt;=table!$E$10,#REF!&lt;=table!$F$10),1,0))</f>
        <v>#REF!</v>
      </c>
      <c r="V1547" s="5" t="e">
        <f>IF(AND(#REF!&gt;=table!$C$11,#REF!&lt;= table!$D$11),-1,IF(AND(#REF!&gt;=table!$E$11,#REF!&lt;=table!$F$11),1,0))</f>
        <v>#REF!</v>
      </c>
      <c r="W1547" s="5" t="e">
        <f>CONCATENATE(dados[[#This Row],[fator1]],dados[[#This Row],[fator5]],dados[[#This Row],[fator6]])</f>
        <v>#REF!</v>
      </c>
    </row>
    <row r="1548" spans="1:23">
      <c r="A1548" t="s">
        <v>16</v>
      </c>
      <c r="B1548">
        <v>485516</v>
      </c>
      <c r="C1548">
        <v>0.15</v>
      </c>
      <c r="D1548">
        <v>35</v>
      </c>
      <c r="E1548">
        <v>15</v>
      </c>
      <c r="F1548">
        <v>10</v>
      </c>
      <c r="G1548">
        <v>0</v>
      </c>
      <c r="H1548">
        <v>12</v>
      </c>
      <c r="I1548">
        <v>981</v>
      </c>
      <c r="J1548">
        <v>0</v>
      </c>
      <c r="K1548">
        <v>4.6524999999999999</v>
      </c>
      <c r="L1548">
        <v>12.977500000000001</v>
      </c>
      <c r="M1548">
        <v>10.2895</v>
      </c>
      <c r="N1548">
        <v>14.595000000000001</v>
      </c>
      <c r="O1548">
        <v>1669</v>
      </c>
      <c r="P1548">
        <v>695</v>
      </c>
      <c r="Q1548" s="5" t="e">
        <f>IF(AND(#REF!&gt;=table!$C$6,#REF!&lt;= table!$D$6),-1,IF(AND(#REF!&gt;=table!$E$6,#REF!&lt;=table!$F$6),1,0))</f>
        <v>#REF!</v>
      </c>
      <c r="R1548" s="5" t="e">
        <f>IF(AND(#REF!&gt;=table!$C$7,#REF!&lt;= table!$D$7),-1,IF(AND(#REF!&gt;=table!$E$7,#REF!&lt;=table!$F$7),1,0))</f>
        <v>#REF!</v>
      </c>
      <c r="S1548" s="5" t="e">
        <f>IF(AND(#REF!&gt;=table!$C$8,#REF!&lt;= table!$D$8),-1,IF(AND(#REF!&gt;=table!$E$8,#REF!&lt;=table!$F$8),1,0))</f>
        <v>#REF!</v>
      </c>
      <c r="T1548" s="5"/>
      <c r="U1548" s="5" t="e">
        <f>IF(AND(#REF!&gt;=table!$C$10,#REF!&lt;= table!$D$10),-1,IF(AND(#REF!&gt;=table!$E$10,#REF!&lt;=table!$F$10),1,0))</f>
        <v>#REF!</v>
      </c>
      <c r="V1548" s="5" t="e">
        <f>IF(AND(#REF!&gt;=table!$C$11,#REF!&lt;= table!$D$11),-1,IF(AND(#REF!&gt;=table!$E$11,#REF!&lt;=table!$F$11),1,0))</f>
        <v>#REF!</v>
      </c>
      <c r="W1548" s="5" t="e">
        <f>CONCATENATE(dados[[#This Row],[fator1]],dados[[#This Row],[fator5]],dados[[#This Row],[fator6]])</f>
        <v>#REF!</v>
      </c>
    </row>
    <row r="1549" spans="1:23">
      <c r="A1549" t="s">
        <v>16</v>
      </c>
      <c r="B1549">
        <v>485517</v>
      </c>
      <c r="C1549">
        <v>0.15</v>
      </c>
      <c r="D1549">
        <v>35</v>
      </c>
      <c r="E1549">
        <v>15</v>
      </c>
      <c r="F1549">
        <v>10</v>
      </c>
      <c r="G1549">
        <v>0</v>
      </c>
      <c r="H1549">
        <v>12</v>
      </c>
      <c r="I1549">
        <v>1023</v>
      </c>
      <c r="J1549">
        <v>0</v>
      </c>
      <c r="K1549">
        <v>3.3410000000000002</v>
      </c>
      <c r="L1549">
        <v>4.3840000000000003</v>
      </c>
      <c r="M1549">
        <v>4.2355</v>
      </c>
      <c r="N1549">
        <v>9.19</v>
      </c>
      <c r="O1549">
        <v>1669</v>
      </c>
      <c r="P1549">
        <v>1255</v>
      </c>
      <c r="Q1549" s="5" t="e">
        <f>IF(AND(#REF!&gt;=table!$C$6,#REF!&lt;= table!$D$6),-1,IF(AND(#REF!&gt;=table!$E$6,#REF!&lt;=table!$F$6),1,0))</f>
        <v>#REF!</v>
      </c>
      <c r="R1549" s="5" t="e">
        <f>IF(AND(#REF!&gt;=table!$C$7,#REF!&lt;= table!$D$7),-1,IF(AND(#REF!&gt;=table!$E$7,#REF!&lt;=table!$F$7),1,0))</f>
        <v>#REF!</v>
      </c>
      <c r="S1549" s="5" t="e">
        <f>IF(AND(#REF!&gt;=table!$C$8,#REF!&lt;= table!$D$8),-1,IF(AND(#REF!&gt;=table!$E$8,#REF!&lt;=table!$F$8),1,0))</f>
        <v>#REF!</v>
      </c>
      <c r="T1549" s="5"/>
      <c r="U1549" s="5" t="e">
        <f>IF(AND(#REF!&gt;=table!$C$10,#REF!&lt;= table!$D$10),-1,IF(AND(#REF!&gt;=table!$E$10,#REF!&lt;=table!$F$10),1,0))</f>
        <v>#REF!</v>
      </c>
      <c r="V1549" s="5" t="e">
        <f>IF(AND(#REF!&gt;=table!$C$11,#REF!&lt;= table!$D$11),-1,IF(AND(#REF!&gt;=table!$E$11,#REF!&lt;=table!$F$11),1,0))</f>
        <v>#REF!</v>
      </c>
      <c r="W1549" s="5" t="e">
        <f>CONCATENATE(dados[[#This Row],[fator1]],dados[[#This Row],[fator5]],dados[[#This Row],[fator6]])</f>
        <v>#REF!</v>
      </c>
    </row>
    <row r="1550" spans="1:23">
      <c r="A1550" t="s">
        <v>16</v>
      </c>
      <c r="B1550">
        <v>485519</v>
      </c>
      <c r="C1550">
        <v>8</v>
      </c>
      <c r="D1550">
        <v>30</v>
      </c>
      <c r="E1550">
        <v>145</v>
      </c>
      <c r="F1550">
        <v>9</v>
      </c>
      <c r="G1550">
        <v>0</v>
      </c>
      <c r="H1550">
        <v>25</v>
      </c>
      <c r="I1550">
        <v>119</v>
      </c>
      <c r="J1550">
        <v>0</v>
      </c>
      <c r="K1550">
        <v>3.0605000000000002</v>
      </c>
      <c r="L1550">
        <v>4.58</v>
      </c>
      <c r="M1550">
        <v>104.533</v>
      </c>
      <c r="N1550">
        <v>13.64</v>
      </c>
      <c r="O1550">
        <v>1656</v>
      </c>
      <c r="P1550">
        <v>1206</v>
      </c>
      <c r="Q1550" s="5" t="e">
        <f>IF(AND(#REF!&gt;=table!$C$6,#REF!&lt;= table!$D$6),-1,IF(AND(#REF!&gt;=table!$E$6,#REF!&lt;=table!$F$6),1,0))</f>
        <v>#REF!</v>
      </c>
      <c r="R1550" s="5" t="e">
        <f>IF(AND(#REF!&gt;=table!$C$7,#REF!&lt;= table!$D$7),-1,IF(AND(#REF!&gt;=table!$E$7,#REF!&lt;=table!$F$7),1,0))</f>
        <v>#REF!</v>
      </c>
      <c r="S1550" s="5" t="e">
        <f>IF(AND(#REF!&gt;=table!$C$8,#REF!&lt;= table!$D$8),-1,IF(AND(#REF!&gt;=table!$E$8,#REF!&lt;=table!$F$8),1,0))</f>
        <v>#REF!</v>
      </c>
      <c r="T1550" s="5"/>
      <c r="U1550" s="5" t="e">
        <f>IF(AND(#REF!&gt;=table!$C$10,#REF!&lt;= table!$D$10),-1,IF(AND(#REF!&gt;=table!$E$10,#REF!&lt;=table!$F$10),1,0))</f>
        <v>#REF!</v>
      </c>
      <c r="V1550" s="5" t="e">
        <f>IF(AND(#REF!&gt;=table!$C$11,#REF!&lt;= table!$D$11),-1,IF(AND(#REF!&gt;=table!$E$11,#REF!&lt;=table!$F$11),1,0))</f>
        <v>#REF!</v>
      </c>
      <c r="W1550" s="5" t="e">
        <f>CONCATENATE(dados[[#This Row],[fator1]],dados[[#This Row],[fator5]],dados[[#This Row],[fator6]])</f>
        <v>#REF!</v>
      </c>
    </row>
    <row r="1551" spans="1:23">
      <c r="A1551" t="s">
        <v>16</v>
      </c>
      <c r="B1551">
        <v>485520</v>
      </c>
      <c r="C1551">
        <v>8</v>
      </c>
      <c r="D1551">
        <v>30</v>
      </c>
      <c r="E1551">
        <v>86</v>
      </c>
      <c r="F1551">
        <v>9</v>
      </c>
      <c r="G1551">
        <v>0</v>
      </c>
      <c r="H1551">
        <v>25</v>
      </c>
      <c r="I1551">
        <v>1007</v>
      </c>
      <c r="J1551">
        <v>0</v>
      </c>
      <c r="K1551">
        <v>3.222</v>
      </c>
      <c r="L1551">
        <v>3.2524999999999999</v>
      </c>
      <c r="M1551">
        <v>78.837500000000006</v>
      </c>
      <c r="N1551">
        <v>11.985000000000001</v>
      </c>
      <c r="O1551">
        <v>1650</v>
      </c>
      <c r="P1551">
        <v>950</v>
      </c>
      <c r="Q1551" s="5" t="e">
        <f>IF(AND(#REF!&gt;=table!$C$6,#REF!&lt;= table!$D$6),-1,IF(AND(#REF!&gt;=table!$E$6,#REF!&lt;=table!$F$6),1,0))</f>
        <v>#REF!</v>
      </c>
      <c r="R1551" s="5" t="e">
        <f>IF(AND(#REF!&gt;=table!$C$7,#REF!&lt;= table!$D$7),-1,IF(AND(#REF!&gt;=table!$E$7,#REF!&lt;=table!$F$7),1,0))</f>
        <v>#REF!</v>
      </c>
      <c r="S1551" s="5" t="e">
        <f>IF(AND(#REF!&gt;=table!$C$8,#REF!&lt;= table!$D$8),-1,IF(AND(#REF!&gt;=table!$E$8,#REF!&lt;=table!$F$8),1,0))</f>
        <v>#REF!</v>
      </c>
      <c r="T1551" s="5"/>
      <c r="U1551" s="5" t="e">
        <f>IF(AND(#REF!&gt;=table!$C$10,#REF!&lt;= table!$D$10),-1,IF(AND(#REF!&gt;=table!$E$10,#REF!&lt;=table!$F$10),1,0))</f>
        <v>#REF!</v>
      </c>
      <c r="V1551" s="5" t="e">
        <f>IF(AND(#REF!&gt;=table!$C$11,#REF!&lt;= table!$D$11),-1,IF(AND(#REF!&gt;=table!$E$11,#REF!&lt;=table!$F$11),1,0))</f>
        <v>#REF!</v>
      </c>
      <c r="W1551" s="5" t="e">
        <f>CONCATENATE(dados[[#This Row],[fator1]],dados[[#This Row],[fator5]],dados[[#This Row],[fator6]])</f>
        <v>#REF!</v>
      </c>
    </row>
    <row r="1552" spans="1:23">
      <c r="A1552" t="s">
        <v>16</v>
      </c>
      <c r="B1552">
        <v>485521</v>
      </c>
      <c r="C1552">
        <v>8</v>
      </c>
      <c r="D1552">
        <v>30</v>
      </c>
      <c r="E1552">
        <v>86</v>
      </c>
      <c r="F1552">
        <v>9</v>
      </c>
      <c r="G1552">
        <v>0</v>
      </c>
      <c r="H1552">
        <v>25</v>
      </c>
      <c r="I1552">
        <v>3</v>
      </c>
      <c r="J1552">
        <v>0</v>
      </c>
      <c r="K1552">
        <v>2.3405</v>
      </c>
      <c r="L1552">
        <v>4.718</v>
      </c>
      <c r="M1552">
        <v>86.313500000000005</v>
      </c>
      <c r="N1552">
        <v>17.309999999999999</v>
      </c>
      <c r="O1552">
        <v>1663</v>
      </c>
      <c r="P1552">
        <v>1457</v>
      </c>
      <c r="Q1552" s="5" t="e">
        <f>IF(AND(#REF!&gt;=table!$C$6,#REF!&lt;= table!$D$6),-1,IF(AND(#REF!&gt;=table!$E$6,#REF!&lt;=table!$F$6),1,0))</f>
        <v>#REF!</v>
      </c>
      <c r="R1552" s="5" t="e">
        <f>IF(AND(#REF!&gt;=table!$C$7,#REF!&lt;= table!$D$7),-1,IF(AND(#REF!&gt;=table!$E$7,#REF!&lt;=table!$F$7),1,0))</f>
        <v>#REF!</v>
      </c>
      <c r="S1552" s="5" t="e">
        <f>IF(AND(#REF!&gt;=table!$C$8,#REF!&lt;= table!$D$8),-1,IF(AND(#REF!&gt;=table!$E$8,#REF!&lt;=table!$F$8),1,0))</f>
        <v>#REF!</v>
      </c>
      <c r="T1552" s="5"/>
      <c r="U1552" s="5" t="e">
        <f>IF(AND(#REF!&gt;=table!$C$10,#REF!&lt;= table!$D$10),-1,IF(AND(#REF!&gt;=table!$E$10,#REF!&lt;=table!$F$10),1,0))</f>
        <v>#REF!</v>
      </c>
      <c r="V1552" s="5" t="e">
        <f>IF(AND(#REF!&gt;=table!$C$11,#REF!&lt;= table!$D$11),-1,IF(AND(#REF!&gt;=table!$E$11,#REF!&lt;=table!$F$11),1,0))</f>
        <v>#REF!</v>
      </c>
      <c r="W1552" s="5" t="e">
        <f>CONCATENATE(dados[[#This Row],[fator1]],dados[[#This Row],[fator5]],dados[[#This Row],[fator6]])</f>
        <v>#REF!</v>
      </c>
    </row>
    <row r="1553" spans="1:23">
      <c r="A1553" t="s">
        <v>16</v>
      </c>
      <c r="B1553">
        <v>485524</v>
      </c>
      <c r="C1553">
        <v>0.15</v>
      </c>
      <c r="D1553">
        <v>35</v>
      </c>
      <c r="E1553">
        <v>15</v>
      </c>
      <c r="F1553">
        <v>10</v>
      </c>
      <c r="G1553">
        <v>0</v>
      </c>
      <c r="H1553">
        <v>12</v>
      </c>
      <c r="I1553">
        <v>1189</v>
      </c>
      <c r="J1553">
        <v>0</v>
      </c>
      <c r="K1553">
        <v>4.8710000000000004</v>
      </c>
      <c r="L1553">
        <v>7.9085000000000001</v>
      </c>
      <c r="M1553">
        <v>7.1875</v>
      </c>
      <c r="N1553">
        <v>8.5750000000000011</v>
      </c>
      <c r="O1553">
        <v>1630</v>
      </c>
      <c r="P1553">
        <v>509</v>
      </c>
      <c r="Q1553" s="5" t="e">
        <f>IF(AND(#REF!&gt;=table!$C$6,#REF!&lt;= table!$D$6),-1,IF(AND(#REF!&gt;=table!$E$6,#REF!&lt;=table!$F$6),1,0))</f>
        <v>#REF!</v>
      </c>
      <c r="R1553" s="5" t="e">
        <f>IF(AND(#REF!&gt;=table!$C$7,#REF!&lt;= table!$D$7),-1,IF(AND(#REF!&gt;=table!$E$7,#REF!&lt;=table!$F$7),1,0))</f>
        <v>#REF!</v>
      </c>
      <c r="S1553" s="5" t="e">
        <f>IF(AND(#REF!&gt;=table!$C$8,#REF!&lt;= table!$D$8),-1,IF(AND(#REF!&gt;=table!$E$8,#REF!&lt;=table!$F$8),1,0))</f>
        <v>#REF!</v>
      </c>
      <c r="T1553" s="5"/>
      <c r="U1553" s="5" t="e">
        <f>IF(AND(#REF!&gt;=table!$C$10,#REF!&lt;= table!$D$10),-1,IF(AND(#REF!&gt;=table!$E$10,#REF!&lt;=table!$F$10),1,0))</f>
        <v>#REF!</v>
      </c>
      <c r="V1553" s="5" t="e">
        <f>IF(AND(#REF!&gt;=table!$C$11,#REF!&lt;= table!$D$11),-1,IF(AND(#REF!&gt;=table!$E$11,#REF!&lt;=table!$F$11),1,0))</f>
        <v>#REF!</v>
      </c>
      <c r="W1553" s="5" t="e">
        <f>CONCATENATE(dados[[#This Row],[fator1]],dados[[#This Row],[fator5]],dados[[#This Row],[fator6]])</f>
        <v>#REF!</v>
      </c>
    </row>
    <row r="1554" spans="1:23">
      <c r="A1554" t="s">
        <v>16</v>
      </c>
      <c r="B1554">
        <v>485525</v>
      </c>
      <c r="C1554">
        <v>3</v>
      </c>
      <c r="D1554">
        <v>30</v>
      </c>
      <c r="E1554">
        <v>21</v>
      </c>
      <c r="F1554">
        <v>15</v>
      </c>
      <c r="G1554">
        <v>0</v>
      </c>
      <c r="H1554">
        <v>25</v>
      </c>
      <c r="I1554">
        <v>1304</v>
      </c>
      <c r="J1554">
        <v>0</v>
      </c>
      <c r="K1554">
        <v>6.9955000000000007</v>
      </c>
      <c r="L1554">
        <v>6.7560000000000002</v>
      </c>
      <c r="M1554">
        <v>20.990500000000001</v>
      </c>
      <c r="N1554">
        <v>9.3250000000000011</v>
      </c>
      <c r="O1554">
        <v>1650</v>
      </c>
      <c r="P1554">
        <v>532</v>
      </c>
      <c r="Q1554" s="5" t="e">
        <f>IF(AND(#REF!&gt;=table!$C$6,#REF!&lt;= table!$D$6),-1,IF(AND(#REF!&gt;=table!$E$6,#REF!&lt;=table!$F$6),1,0))</f>
        <v>#REF!</v>
      </c>
      <c r="R1554" s="5" t="e">
        <f>IF(AND(#REF!&gt;=table!$C$7,#REF!&lt;= table!$D$7),-1,IF(AND(#REF!&gt;=table!$E$7,#REF!&lt;=table!$F$7),1,0))</f>
        <v>#REF!</v>
      </c>
      <c r="S1554" s="5" t="e">
        <f>IF(AND(#REF!&gt;=table!$C$8,#REF!&lt;= table!$D$8),-1,IF(AND(#REF!&gt;=table!$E$8,#REF!&lt;=table!$F$8),1,0))</f>
        <v>#REF!</v>
      </c>
      <c r="T1554" s="5"/>
      <c r="U1554" s="5" t="e">
        <f>IF(AND(#REF!&gt;=table!$C$10,#REF!&lt;= table!$D$10),-1,IF(AND(#REF!&gt;=table!$E$10,#REF!&lt;=table!$F$10),1,0))</f>
        <v>#REF!</v>
      </c>
      <c r="V1554" s="5" t="e">
        <f>IF(AND(#REF!&gt;=table!$C$11,#REF!&lt;= table!$D$11),-1,IF(AND(#REF!&gt;=table!$E$11,#REF!&lt;=table!$F$11),1,0))</f>
        <v>#REF!</v>
      </c>
      <c r="W1554" s="5" t="e">
        <f>CONCATENATE(dados[[#This Row],[fator1]],dados[[#This Row],[fator5]],dados[[#This Row],[fator6]])</f>
        <v>#REF!</v>
      </c>
    </row>
    <row r="1555" spans="1:23">
      <c r="A1555" t="s">
        <v>16</v>
      </c>
      <c r="B1555">
        <v>485526</v>
      </c>
      <c r="C1555">
        <v>10</v>
      </c>
      <c r="D1555">
        <v>40</v>
      </c>
      <c r="E1555">
        <v>96</v>
      </c>
      <c r="F1555">
        <v>8</v>
      </c>
      <c r="G1555">
        <v>0</v>
      </c>
      <c r="H1555">
        <v>25</v>
      </c>
      <c r="I1555">
        <v>948</v>
      </c>
      <c r="J1555">
        <v>710</v>
      </c>
      <c r="K1555">
        <v>4.7885</v>
      </c>
      <c r="L1555">
        <v>7.5455000000000005</v>
      </c>
      <c r="M1555">
        <v>90.105500000000006</v>
      </c>
      <c r="N1555">
        <v>10.995000000000001</v>
      </c>
      <c r="O1555">
        <v>1649</v>
      </c>
      <c r="P1555">
        <v>626</v>
      </c>
      <c r="Q1555" s="5" t="e">
        <f>IF(AND(#REF!&gt;=table!$C$6,#REF!&lt;= table!$D$6),-1,IF(AND(#REF!&gt;=table!$E$6,#REF!&lt;=table!$F$6),1,0))</f>
        <v>#REF!</v>
      </c>
      <c r="R1555" s="5" t="e">
        <f>IF(AND(#REF!&gt;=table!$C$7,#REF!&lt;= table!$D$7),-1,IF(AND(#REF!&gt;=table!$E$7,#REF!&lt;=table!$F$7),1,0))</f>
        <v>#REF!</v>
      </c>
      <c r="S1555" s="5" t="e">
        <f>IF(AND(#REF!&gt;=table!$C$8,#REF!&lt;= table!$D$8),-1,IF(AND(#REF!&gt;=table!$E$8,#REF!&lt;=table!$F$8),1,0))</f>
        <v>#REF!</v>
      </c>
      <c r="T1555" s="5"/>
      <c r="U1555" s="5" t="e">
        <f>IF(AND(#REF!&gt;=table!$C$10,#REF!&lt;= table!$D$10),-1,IF(AND(#REF!&gt;=table!$E$10,#REF!&lt;=table!$F$10),1,0))</f>
        <v>#REF!</v>
      </c>
      <c r="V1555" s="5" t="e">
        <f>IF(AND(#REF!&gt;=table!$C$11,#REF!&lt;= table!$D$11),-1,IF(AND(#REF!&gt;=table!$E$11,#REF!&lt;=table!$F$11),1,0))</f>
        <v>#REF!</v>
      </c>
      <c r="W1555" s="5" t="e">
        <f>CONCATENATE(dados[[#This Row],[fator1]],dados[[#This Row],[fator5]],dados[[#This Row],[fator6]])</f>
        <v>#REF!</v>
      </c>
    </row>
    <row r="1556" spans="1:23">
      <c r="A1556" t="s">
        <v>16</v>
      </c>
      <c r="B1556">
        <v>485530</v>
      </c>
      <c r="C1556">
        <v>6</v>
      </c>
      <c r="D1556">
        <v>40</v>
      </c>
      <c r="E1556">
        <v>66</v>
      </c>
      <c r="F1556">
        <v>10</v>
      </c>
      <c r="G1556">
        <v>0</v>
      </c>
      <c r="H1556">
        <v>25</v>
      </c>
      <c r="I1556">
        <v>1259</v>
      </c>
      <c r="J1556">
        <v>0</v>
      </c>
      <c r="K1556">
        <v>4.7035</v>
      </c>
      <c r="L1556">
        <v>3.7590000000000003</v>
      </c>
      <c r="M1556">
        <v>53.978999999999999</v>
      </c>
      <c r="N1556">
        <v>11.42</v>
      </c>
      <c r="O1556">
        <v>1641</v>
      </c>
      <c r="P1556">
        <v>988</v>
      </c>
      <c r="Q1556" s="5" t="e">
        <f>IF(AND(#REF!&gt;=table!$C$6,#REF!&lt;= table!$D$6),-1,IF(AND(#REF!&gt;=table!$E$6,#REF!&lt;=table!$F$6),1,0))</f>
        <v>#REF!</v>
      </c>
      <c r="R1556" s="5" t="e">
        <f>IF(AND(#REF!&gt;=table!$C$7,#REF!&lt;= table!$D$7),-1,IF(AND(#REF!&gt;=table!$E$7,#REF!&lt;=table!$F$7),1,0))</f>
        <v>#REF!</v>
      </c>
      <c r="S1556" s="5" t="e">
        <f>IF(AND(#REF!&gt;=table!$C$8,#REF!&lt;= table!$D$8),-1,IF(AND(#REF!&gt;=table!$E$8,#REF!&lt;=table!$F$8),1,0))</f>
        <v>#REF!</v>
      </c>
      <c r="T1556" s="5"/>
      <c r="U1556" s="5" t="e">
        <f>IF(AND(#REF!&gt;=table!$C$10,#REF!&lt;= table!$D$10),-1,IF(AND(#REF!&gt;=table!$E$10,#REF!&lt;=table!$F$10),1,0))</f>
        <v>#REF!</v>
      </c>
      <c r="V1556" s="5" t="e">
        <f>IF(AND(#REF!&gt;=table!$C$11,#REF!&lt;= table!$D$11),-1,IF(AND(#REF!&gt;=table!$E$11,#REF!&lt;=table!$F$11),1,0))</f>
        <v>#REF!</v>
      </c>
      <c r="W1556" s="5" t="e">
        <f>CONCATENATE(dados[[#This Row],[fator1]],dados[[#This Row],[fator5]],dados[[#This Row],[fator6]])</f>
        <v>#REF!</v>
      </c>
    </row>
    <row r="1557" spans="1:23">
      <c r="A1557" t="s">
        <v>16</v>
      </c>
      <c r="B1557">
        <v>485533</v>
      </c>
      <c r="C1557">
        <v>3</v>
      </c>
      <c r="D1557">
        <v>30</v>
      </c>
      <c r="E1557">
        <v>21</v>
      </c>
      <c r="F1557">
        <v>15</v>
      </c>
      <c r="G1557">
        <v>0</v>
      </c>
      <c r="H1557">
        <v>25</v>
      </c>
      <c r="I1557">
        <v>1207</v>
      </c>
      <c r="J1557">
        <v>0</v>
      </c>
      <c r="K1557">
        <v>4.3890000000000002</v>
      </c>
      <c r="L1557">
        <v>2.4420000000000002</v>
      </c>
      <c r="M1557">
        <v>14.3</v>
      </c>
      <c r="N1557">
        <v>7.2750000000000004</v>
      </c>
      <c r="O1557">
        <v>1617</v>
      </c>
      <c r="P1557">
        <v>925</v>
      </c>
      <c r="Q1557" s="5" t="e">
        <f>IF(AND(#REF!&gt;=table!$C$6,#REF!&lt;= table!$D$6),-1,IF(AND(#REF!&gt;=table!$E$6,#REF!&lt;=table!$F$6),1,0))</f>
        <v>#REF!</v>
      </c>
      <c r="R1557" s="5" t="e">
        <f>IF(AND(#REF!&gt;=table!$C$7,#REF!&lt;= table!$D$7),-1,IF(AND(#REF!&gt;=table!$E$7,#REF!&lt;=table!$F$7),1,0))</f>
        <v>#REF!</v>
      </c>
      <c r="S1557" s="5" t="e">
        <f>IF(AND(#REF!&gt;=table!$C$8,#REF!&lt;= table!$D$8),-1,IF(AND(#REF!&gt;=table!$E$8,#REF!&lt;=table!$F$8),1,0))</f>
        <v>#REF!</v>
      </c>
      <c r="T1557" s="5"/>
      <c r="U1557" s="5" t="e">
        <f>IF(AND(#REF!&gt;=table!$C$10,#REF!&lt;= table!$D$10),-1,IF(AND(#REF!&gt;=table!$E$10,#REF!&lt;=table!$F$10),1,0))</f>
        <v>#REF!</v>
      </c>
      <c r="V1557" s="5" t="e">
        <f>IF(AND(#REF!&gt;=table!$C$11,#REF!&lt;= table!$D$11),-1,IF(AND(#REF!&gt;=table!$E$11,#REF!&lt;=table!$F$11),1,0))</f>
        <v>#REF!</v>
      </c>
      <c r="W1557" s="5" t="e">
        <f>CONCATENATE(dados[[#This Row],[fator1]],dados[[#This Row],[fator5]],dados[[#This Row],[fator6]])</f>
        <v>#REF!</v>
      </c>
    </row>
    <row r="1558" spans="1:23">
      <c r="A1558" t="s">
        <v>16</v>
      </c>
      <c r="B1558">
        <v>485535</v>
      </c>
      <c r="C1558">
        <v>0.15</v>
      </c>
      <c r="D1558">
        <v>40</v>
      </c>
      <c r="E1558">
        <v>10</v>
      </c>
      <c r="F1558">
        <v>15</v>
      </c>
      <c r="G1558">
        <v>0</v>
      </c>
      <c r="H1558">
        <v>15</v>
      </c>
      <c r="I1558">
        <v>1127</v>
      </c>
      <c r="J1558">
        <v>830</v>
      </c>
      <c r="K1558">
        <v>2.6065</v>
      </c>
      <c r="L1558">
        <v>3.9290000000000003</v>
      </c>
      <c r="M1558">
        <v>2.7949999999999999</v>
      </c>
      <c r="N1558">
        <v>14.155000000000001</v>
      </c>
      <c r="O1558">
        <v>1673</v>
      </c>
      <c r="P1558">
        <v>1631</v>
      </c>
      <c r="Q1558" s="5" t="e">
        <f>IF(AND(#REF!&gt;=table!$C$6,#REF!&lt;= table!$D$6),-1,IF(AND(#REF!&gt;=table!$E$6,#REF!&lt;=table!$F$6),1,0))</f>
        <v>#REF!</v>
      </c>
      <c r="R1558" s="5" t="e">
        <f>IF(AND(#REF!&gt;=table!$C$7,#REF!&lt;= table!$D$7),-1,IF(AND(#REF!&gt;=table!$E$7,#REF!&lt;=table!$F$7),1,0))</f>
        <v>#REF!</v>
      </c>
      <c r="S1558" s="5" t="e">
        <f>IF(AND(#REF!&gt;=table!$C$8,#REF!&lt;= table!$D$8),-1,IF(AND(#REF!&gt;=table!$E$8,#REF!&lt;=table!$F$8),1,0))</f>
        <v>#REF!</v>
      </c>
      <c r="T1558" s="5"/>
      <c r="U1558" s="5" t="e">
        <f>IF(AND(#REF!&gt;=table!$C$10,#REF!&lt;= table!$D$10),-1,IF(AND(#REF!&gt;=table!$E$10,#REF!&lt;=table!$F$10),1,0))</f>
        <v>#REF!</v>
      </c>
      <c r="V1558" s="5" t="e">
        <f>IF(AND(#REF!&gt;=table!$C$11,#REF!&lt;= table!$D$11),-1,IF(AND(#REF!&gt;=table!$E$11,#REF!&lt;=table!$F$11),1,0))</f>
        <v>#REF!</v>
      </c>
      <c r="W1558" s="5" t="e">
        <f>CONCATENATE(dados[[#This Row],[fator1]],dados[[#This Row],[fator5]],dados[[#This Row],[fator6]])</f>
        <v>#REF!</v>
      </c>
    </row>
    <row r="1559" spans="1:23">
      <c r="A1559" t="s">
        <v>16</v>
      </c>
      <c r="B1559">
        <v>485543</v>
      </c>
      <c r="C1559">
        <v>0.15</v>
      </c>
      <c r="D1559">
        <v>35</v>
      </c>
      <c r="E1559">
        <v>15</v>
      </c>
      <c r="F1559">
        <v>10</v>
      </c>
      <c r="G1559">
        <v>0</v>
      </c>
      <c r="H1559">
        <v>12</v>
      </c>
      <c r="I1559">
        <v>1321</v>
      </c>
      <c r="J1559">
        <v>0</v>
      </c>
      <c r="K1559">
        <v>5.8170000000000002</v>
      </c>
      <c r="L1559">
        <v>3.6355</v>
      </c>
      <c r="M1559">
        <v>3.4065000000000003</v>
      </c>
      <c r="N1559">
        <v>3.5</v>
      </c>
      <c r="O1559">
        <v>1636</v>
      </c>
      <c r="P1559">
        <v>0</v>
      </c>
      <c r="Q1559" s="5" t="e">
        <f>IF(AND(#REF!&gt;=table!$C$6,#REF!&lt;= table!$D$6),-1,IF(AND(#REF!&gt;=table!$E$6,#REF!&lt;=table!$F$6),1,0))</f>
        <v>#REF!</v>
      </c>
      <c r="R1559" s="5" t="e">
        <f>IF(AND(#REF!&gt;=table!$C$7,#REF!&lt;= table!$D$7),-1,IF(AND(#REF!&gt;=table!$E$7,#REF!&lt;=table!$F$7),1,0))</f>
        <v>#REF!</v>
      </c>
      <c r="S1559" s="5" t="e">
        <f>IF(AND(#REF!&gt;=table!$C$8,#REF!&lt;= table!$D$8),-1,IF(AND(#REF!&gt;=table!$E$8,#REF!&lt;=table!$F$8),1,0))</f>
        <v>#REF!</v>
      </c>
      <c r="T1559" s="5"/>
      <c r="U1559" s="5" t="e">
        <f>IF(AND(#REF!&gt;=table!$C$10,#REF!&lt;= table!$D$10),-1,IF(AND(#REF!&gt;=table!$E$10,#REF!&lt;=table!$F$10),1,0))</f>
        <v>#REF!</v>
      </c>
      <c r="V1559" s="5" t="e">
        <f>IF(AND(#REF!&gt;=table!$C$11,#REF!&lt;= table!$D$11),-1,IF(AND(#REF!&gt;=table!$E$11,#REF!&lt;=table!$F$11),1,0))</f>
        <v>#REF!</v>
      </c>
      <c r="W1559" s="5" t="e">
        <f>CONCATENATE(dados[[#This Row],[fator1]],dados[[#This Row],[fator5]],dados[[#This Row],[fator6]])</f>
        <v>#REF!</v>
      </c>
    </row>
    <row r="1560" spans="1:23">
      <c r="A1560" t="s">
        <v>16</v>
      </c>
      <c r="B1560">
        <v>485545</v>
      </c>
      <c r="C1560">
        <v>0.15</v>
      </c>
      <c r="D1560">
        <v>35</v>
      </c>
      <c r="E1560">
        <v>15</v>
      </c>
      <c r="F1560">
        <v>10</v>
      </c>
      <c r="G1560">
        <v>0</v>
      </c>
      <c r="H1560">
        <v>12</v>
      </c>
      <c r="I1560">
        <v>30</v>
      </c>
      <c r="J1560">
        <v>800</v>
      </c>
      <c r="K1560">
        <v>8.1095000000000006</v>
      </c>
      <c r="L1560">
        <v>17.721</v>
      </c>
      <c r="M1560">
        <v>11.365</v>
      </c>
      <c r="N1560">
        <v>18.440000000000001</v>
      </c>
      <c r="O1560">
        <v>1667</v>
      </c>
      <c r="P1560">
        <v>448</v>
      </c>
      <c r="Q1560" s="5" t="e">
        <f>IF(AND(#REF!&gt;=table!$C$6,#REF!&lt;= table!$D$6),-1,IF(AND(#REF!&gt;=table!$E$6,#REF!&lt;=table!$F$6),1,0))</f>
        <v>#REF!</v>
      </c>
      <c r="R1560" s="5" t="e">
        <f>IF(AND(#REF!&gt;=table!$C$7,#REF!&lt;= table!$D$7),-1,IF(AND(#REF!&gt;=table!$E$7,#REF!&lt;=table!$F$7),1,0))</f>
        <v>#REF!</v>
      </c>
      <c r="S1560" s="5" t="e">
        <f>IF(AND(#REF!&gt;=table!$C$8,#REF!&lt;= table!$D$8),-1,IF(AND(#REF!&gt;=table!$E$8,#REF!&lt;=table!$F$8),1,0))</f>
        <v>#REF!</v>
      </c>
      <c r="T1560" s="5"/>
      <c r="U1560" s="5" t="e">
        <f>IF(AND(#REF!&gt;=table!$C$10,#REF!&lt;= table!$D$10),-1,IF(AND(#REF!&gt;=table!$E$10,#REF!&lt;=table!$F$10),1,0))</f>
        <v>#REF!</v>
      </c>
      <c r="V1560" s="5" t="e">
        <f>IF(AND(#REF!&gt;=table!$C$11,#REF!&lt;= table!$D$11),-1,IF(AND(#REF!&gt;=table!$E$11,#REF!&lt;=table!$F$11),1,0))</f>
        <v>#REF!</v>
      </c>
      <c r="W1560" s="5" t="e">
        <f>CONCATENATE(dados[[#This Row],[fator1]],dados[[#This Row],[fator5]],dados[[#This Row],[fator6]])</f>
        <v>#REF!</v>
      </c>
    </row>
    <row r="1561" spans="1:23">
      <c r="A1561" t="s">
        <v>16</v>
      </c>
      <c r="B1561">
        <v>485547</v>
      </c>
      <c r="C1561">
        <v>0.15</v>
      </c>
      <c r="D1561">
        <v>35</v>
      </c>
      <c r="E1561">
        <v>15</v>
      </c>
      <c r="F1561">
        <v>10</v>
      </c>
      <c r="G1561">
        <v>0</v>
      </c>
      <c r="H1561">
        <v>12</v>
      </c>
      <c r="I1561">
        <v>1908</v>
      </c>
      <c r="J1561">
        <v>0</v>
      </c>
      <c r="K1561">
        <v>4.7240000000000002</v>
      </c>
      <c r="L1561">
        <v>6.3140000000000001</v>
      </c>
      <c r="M1561">
        <v>9.6074999999999999</v>
      </c>
      <c r="N1561">
        <v>9.5750000000000011</v>
      </c>
      <c r="O1561">
        <v>1694</v>
      </c>
      <c r="P1561">
        <v>844</v>
      </c>
      <c r="Q1561" s="5" t="e">
        <f>IF(AND(#REF!&gt;=table!$C$6,#REF!&lt;= table!$D$6),-1,IF(AND(#REF!&gt;=table!$E$6,#REF!&lt;=table!$F$6),1,0))</f>
        <v>#REF!</v>
      </c>
      <c r="R1561" s="5" t="e">
        <f>IF(AND(#REF!&gt;=table!$C$7,#REF!&lt;= table!$D$7),-1,IF(AND(#REF!&gt;=table!$E$7,#REF!&lt;=table!$F$7),1,0))</f>
        <v>#REF!</v>
      </c>
      <c r="S1561" s="5" t="e">
        <f>IF(AND(#REF!&gt;=table!$C$8,#REF!&lt;= table!$D$8),-1,IF(AND(#REF!&gt;=table!$E$8,#REF!&lt;=table!$F$8),1,0))</f>
        <v>#REF!</v>
      </c>
      <c r="T1561" s="5"/>
      <c r="U1561" s="5" t="e">
        <f>IF(AND(#REF!&gt;=table!$C$10,#REF!&lt;= table!$D$10),-1,IF(AND(#REF!&gt;=table!$E$10,#REF!&lt;=table!$F$10),1,0))</f>
        <v>#REF!</v>
      </c>
      <c r="V1561" s="5" t="e">
        <f>IF(AND(#REF!&gt;=table!$C$11,#REF!&lt;= table!$D$11),-1,IF(AND(#REF!&gt;=table!$E$11,#REF!&lt;=table!$F$11),1,0))</f>
        <v>#REF!</v>
      </c>
      <c r="W1561" s="5" t="e">
        <f>CONCATENATE(dados[[#This Row],[fator1]],dados[[#This Row],[fator5]],dados[[#This Row],[fator6]])</f>
        <v>#REF!</v>
      </c>
    </row>
    <row r="1562" spans="1:23">
      <c r="A1562" t="s">
        <v>16</v>
      </c>
      <c r="B1562">
        <v>485548</v>
      </c>
      <c r="C1562">
        <v>10</v>
      </c>
      <c r="D1562">
        <v>38</v>
      </c>
      <c r="E1562">
        <v>150</v>
      </c>
      <c r="F1562">
        <v>4</v>
      </c>
      <c r="G1562">
        <v>0</v>
      </c>
      <c r="H1562">
        <v>25</v>
      </c>
      <c r="I1562">
        <v>1007</v>
      </c>
      <c r="J1562">
        <v>0</v>
      </c>
      <c r="K1562">
        <v>5.298</v>
      </c>
      <c r="L1562">
        <v>10.361500000000001</v>
      </c>
      <c r="M1562">
        <v>133.21250000000001</v>
      </c>
      <c r="N1562">
        <v>13.805000000000001</v>
      </c>
      <c r="O1562">
        <v>1681</v>
      </c>
      <c r="P1562">
        <v>0</v>
      </c>
      <c r="Q1562" s="5" t="e">
        <f>IF(AND(#REF!&gt;=table!$C$6,#REF!&lt;= table!$D$6),-1,IF(AND(#REF!&gt;=table!$E$6,#REF!&lt;=table!$F$6),1,0))</f>
        <v>#REF!</v>
      </c>
      <c r="R1562" s="5" t="e">
        <f>IF(AND(#REF!&gt;=table!$C$7,#REF!&lt;= table!$D$7),-1,IF(AND(#REF!&gt;=table!$E$7,#REF!&lt;=table!$F$7),1,0))</f>
        <v>#REF!</v>
      </c>
      <c r="S1562" s="5" t="e">
        <f>IF(AND(#REF!&gt;=table!$C$8,#REF!&lt;= table!$D$8),-1,IF(AND(#REF!&gt;=table!$E$8,#REF!&lt;=table!$F$8),1,0))</f>
        <v>#REF!</v>
      </c>
      <c r="T1562" s="5"/>
      <c r="U1562" s="5" t="e">
        <f>IF(AND(#REF!&gt;=table!$C$10,#REF!&lt;= table!$D$10),-1,IF(AND(#REF!&gt;=table!$E$10,#REF!&lt;=table!$F$10),1,0))</f>
        <v>#REF!</v>
      </c>
      <c r="V1562" s="5" t="e">
        <f>IF(AND(#REF!&gt;=table!$C$11,#REF!&lt;= table!$D$11),-1,IF(AND(#REF!&gt;=table!$E$11,#REF!&lt;=table!$F$11),1,0))</f>
        <v>#REF!</v>
      </c>
      <c r="W1562" s="5" t="e">
        <f>CONCATENATE(dados[[#This Row],[fator1]],dados[[#This Row],[fator5]],dados[[#This Row],[fator6]])</f>
        <v>#REF!</v>
      </c>
    </row>
    <row r="1563" spans="1:23">
      <c r="A1563" t="s">
        <v>16</v>
      </c>
      <c r="B1563">
        <v>485549</v>
      </c>
      <c r="C1563">
        <v>10</v>
      </c>
      <c r="D1563">
        <v>38</v>
      </c>
      <c r="E1563">
        <v>150</v>
      </c>
      <c r="F1563">
        <v>4</v>
      </c>
      <c r="G1563">
        <v>0</v>
      </c>
      <c r="H1563">
        <v>25</v>
      </c>
      <c r="I1563">
        <v>1264</v>
      </c>
      <c r="J1563">
        <v>0</v>
      </c>
      <c r="K1563">
        <v>6.76</v>
      </c>
      <c r="L1563">
        <v>15.899000000000001</v>
      </c>
      <c r="M1563">
        <v>99.100000000000009</v>
      </c>
      <c r="N1563">
        <v>15.245000000000001</v>
      </c>
      <c r="O1563">
        <v>1677</v>
      </c>
      <c r="P1563">
        <v>538</v>
      </c>
      <c r="Q1563" s="5" t="e">
        <f>IF(AND(#REF!&gt;=table!$C$6,#REF!&lt;= table!$D$6),-1,IF(AND(#REF!&gt;=table!$E$6,#REF!&lt;=table!$F$6),1,0))</f>
        <v>#REF!</v>
      </c>
      <c r="R1563" s="5" t="e">
        <f>IF(AND(#REF!&gt;=table!$C$7,#REF!&lt;= table!$D$7),-1,IF(AND(#REF!&gt;=table!$E$7,#REF!&lt;=table!$F$7),1,0))</f>
        <v>#REF!</v>
      </c>
      <c r="S1563" s="5" t="e">
        <f>IF(AND(#REF!&gt;=table!$C$8,#REF!&lt;= table!$D$8),-1,IF(AND(#REF!&gt;=table!$E$8,#REF!&lt;=table!$F$8),1,0))</f>
        <v>#REF!</v>
      </c>
      <c r="T1563" s="5"/>
      <c r="U1563" s="5" t="e">
        <f>IF(AND(#REF!&gt;=table!$C$10,#REF!&lt;= table!$D$10),-1,IF(AND(#REF!&gt;=table!$E$10,#REF!&lt;=table!$F$10),1,0))</f>
        <v>#REF!</v>
      </c>
      <c r="V1563" s="5" t="e">
        <f>IF(AND(#REF!&gt;=table!$C$11,#REF!&lt;= table!$D$11),-1,IF(AND(#REF!&gt;=table!$E$11,#REF!&lt;=table!$F$11),1,0))</f>
        <v>#REF!</v>
      </c>
      <c r="W1563" s="5" t="e">
        <f>CONCATENATE(dados[[#This Row],[fator1]],dados[[#This Row],[fator5]],dados[[#This Row],[fator6]])</f>
        <v>#REF!</v>
      </c>
    </row>
    <row r="1564" spans="1:23">
      <c r="A1564" t="s">
        <v>16</v>
      </c>
      <c r="B1564">
        <v>485552</v>
      </c>
      <c r="C1564">
        <v>10</v>
      </c>
      <c r="D1564">
        <v>38</v>
      </c>
      <c r="E1564">
        <v>150</v>
      </c>
      <c r="F1564">
        <v>4</v>
      </c>
      <c r="G1564">
        <v>0</v>
      </c>
      <c r="H1564">
        <v>25</v>
      </c>
      <c r="I1564">
        <v>571</v>
      </c>
      <c r="J1564">
        <v>0</v>
      </c>
      <c r="K1564">
        <v>4.2735000000000003</v>
      </c>
      <c r="L1564">
        <v>8.1705000000000005</v>
      </c>
      <c r="M1564">
        <v>162.34650000000002</v>
      </c>
      <c r="N1564">
        <v>12.22</v>
      </c>
      <c r="O1564">
        <v>1656</v>
      </c>
      <c r="P1564">
        <v>891</v>
      </c>
      <c r="Q1564" s="5" t="e">
        <f>IF(AND(#REF!&gt;=table!$C$6,#REF!&lt;= table!$D$6),-1,IF(AND(#REF!&gt;=table!$E$6,#REF!&lt;=table!$F$6),1,0))</f>
        <v>#REF!</v>
      </c>
      <c r="R1564" s="5" t="e">
        <f>IF(AND(#REF!&gt;=table!$C$7,#REF!&lt;= table!$D$7),-1,IF(AND(#REF!&gt;=table!$E$7,#REF!&lt;=table!$F$7),1,0))</f>
        <v>#REF!</v>
      </c>
      <c r="S1564" s="5" t="e">
        <f>IF(AND(#REF!&gt;=table!$C$8,#REF!&lt;= table!$D$8),-1,IF(AND(#REF!&gt;=table!$E$8,#REF!&lt;=table!$F$8),1,0))</f>
        <v>#REF!</v>
      </c>
      <c r="T1564" s="5"/>
      <c r="U1564" s="5" t="e">
        <f>IF(AND(#REF!&gt;=table!$C$10,#REF!&lt;= table!$D$10),-1,IF(AND(#REF!&gt;=table!$E$10,#REF!&lt;=table!$F$10),1,0))</f>
        <v>#REF!</v>
      </c>
      <c r="V1564" s="5" t="e">
        <f>IF(AND(#REF!&gt;=table!$C$11,#REF!&lt;= table!$D$11),-1,IF(AND(#REF!&gt;=table!$E$11,#REF!&lt;=table!$F$11),1,0))</f>
        <v>#REF!</v>
      </c>
      <c r="W1564" s="5" t="e">
        <f>CONCATENATE(dados[[#This Row],[fator1]],dados[[#This Row],[fator5]],dados[[#This Row],[fator6]])</f>
        <v>#REF!</v>
      </c>
    </row>
    <row r="1565" spans="1:23">
      <c r="A1565" t="s">
        <v>16</v>
      </c>
      <c r="B1565">
        <v>485553</v>
      </c>
      <c r="C1565">
        <v>10</v>
      </c>
      <c r="D1565">
        <v>38</v>
      </c>
      <c r="E1565">
        <v>150</v>
      </c>
      <c r="F1565">
        <v>4</v>
      </c>
      <c r="G1565">
        <v>0</v>
      </c>
      <c r="H1565">
        <v>25</v>
      </c>
      <c r="I1565">
        <v>993</v>
      </c>
      <c r="J1565">
        <v>0</v>
      </c>
      <c r="K1565">
        <v>3.7965</v>
      </c>
      <c r="L1565">
        <v>9.4710000000000001</v>
      </c>
      <c r="M1565">
        <v>137.19400000000002</v>
      </c>
      <c r="N1565">
        <v>13.450000000000001</v>
      </c>
      <c r="O1565">
        <v>1665</v>
      </c>
      <c r="P1565">
        <v>841</v>
      </c>
      <c r="Q1565" s="5" t="e">
        <f>IF(AND(#REF!&gt;=table!$C$6,#REF!&lt;= table!$D$6),-1,IF(AND(#REF!&gt;=table!$E$6,#REF!&lt;=table!$F$6),1,0))</f>
        <v>#REF!</v>
      </c>
      <c r="R1565" s="5" t="e">
        <f>IF(AND(#REF!&gt;=table!$C$7,#REF!&lt;= table!$D$7),-1,IF(AND(#REF!&gt;=table!$E$7,#REF!&lt;=table!$F$7),1,0))</f>
        <v>#REF!</v>
      </c>
      <c r="S1565" s="5" t="e">
        <f>IF(AND(#REF!&gt;=table!$C$8,#REF!&lt;= table!$D$8),-1,IF(AND(#REF!&gt;=table!$E$8,#REF!&lt;=table!$F$8),1,0))</f>
        <v>#REF!</v>
      </c>
      <c r="T1565" s="5"/>
      <c r="U1565" s="5" t="e">
        <f>IF(AND(#REF!&gt;=table!$C$10,#REF!&lt;= table!$D$10),-1,IF(AND(#REF!&gt;=table!$E$10,#REF!&lt;=table!$F$10),1,0))</f>
        <v>#REF!</v>
      </c>
      <c r="V1565" s="5" t="e">
        <f>IF(AND(#REF!&gt;=table!$C$11,#REF!&lt;= table!$D$11),-1,IF(AND(#REF!&gt;=table!$E$11,#REF!&lt;=table!$F$11),1,0))</f>
        <v>#REF!</v>
      </c>
      <c r="W1565" s="5" t="e">
        <f>CONCATENATE(dados[[#This Row],[fator1]],dados[[#This Row],[fator5]],dados[[#This Row],[fator6]])</f>
        <v>#REF!</v>
      </c>
    </row>
    <row r="1566" spans="1:23">
      <c r="A1566" t="s">
        <v>16</v>
      </c>
      <c r="B1566">
        <v>485555</v>
      </c>
      <c r="C1566">
        <v>9</v>
      </c>
      <c r="D1566">
        <v>35</v>
      </c>
      <c r="E1566">
        <v>36</v>
      </c>
      <c r="F1566">
        <v>9</v>
      </c>
      <c r="G1566">
        <v>0</v>
      </c>
      <c r="H1566">
        <v>25</v>
      </c>
      <c r="I1566">
        <v>1776</v>
      </c>
      <c r="J1566">
        <v>0</v>
      </c>
      <c r="K1566">
        <v>8.7210000000000001</v>
      </c>
      <c r="L1566">
        <v>13.368500000000001</v>
      </c>
      <c r="M1566">
        <v>41.017500000000005</v>
      </c>
      <c r="N1566">
        <v>16.18</v>
      </c>
      <c r="O1566">
        <v>1669</v>
      </c>
      <c r="P1566">
        <v>450</v>
      </c>
      <c r="Q1566" s="5" t="e">
        <f>IF(AND(#REF!&gt;=table!$C$6,#REF!&lt;= table!$D$6),-1,IF(AND(#REF!&gt;=table!$E$6,#REF!&lt;=table!$F$6),1,0))</f>
        <v>#REF!</v>
      </c>
      <c r="R1566" s="5" t="e">
        <f>IF(AND(#REF!&gt;=table!$C$7,#REF!&lt;= table!$D$7),-1,IF(AND(#REF!&gt;=table!$E$7,#REF!&lt;=table!$F$7),1,0))</f>
        <v>#REF!</v>
      </c>
      <c r="S1566" s="5" t="e">
        <f>IF(AND(#REF!&gt;=table!$C$8,#REF!&lt;= table!$D$8),-1,IF(AND(#REF!&gt;=table!$E$8,#REF!&lt;=table!$F$8),1,0))</f>
        <v>#REF!</v>
      </c>
      <c r="T1566" s="5"/>
      <c r="U1566" s="5" t="e">
        <f>IF(AND(#REF!&gt;=table!$C$10,#REF!&lt;= table!$D$10),-1,IF(AND(#REF!&gt;=table!$E$10,#REF!&lt;=table!$F$10),1,0))</f>
        <v>#REF!</v>
      </c>
      <c r="V1566" s="5" t="e">
        <f>IF(AND(#REF!&gt;=table!$C$11,#REF!&lt;= table!$D$11),-1,IF(AND(#REF!&gt;=table!$E$11,#REF!&lt;=table!$F$11),1,0))</f>
        <v>#REF!</v>
      </c>
      <c r="W1566" s="5" t="e">
        <f>CONCATENATE(dados[[#This Row],[fator1]],dados[[#This Row],[fator5]],dados[[#This Row],[fator6]])</f>
        <v>#REF!</v>
      </c>
    </row>
    <row r="1567" spans="1:23">
      <c r="A1567" t="s">
        <v>16</v>
      </c>
      <c r="B1567">
        <v>485556</v>
      </c>
      <c r="C1567">
        <v>9</v>
      </c>
      <c r="D1567">
        <v>35</v>
      </c>
      <c r="E1567">
        <v>36</v>
      </c>
      <c r="F1567">
        <v>9</v>
      </c>
      <c r="G1567">
        <v>0</v>
      </c>
      <c r="H1567">
        <v>25</v>
      </c>
      <c r="I1567">
        <v>7</v>
      </c>
      <c r="J1567">
        <v>0</v>
      </c>
      <c r="K1567">
        <v>8.8410000000000011</v>
      </c>
      <c r="L1567">
        <v>17.246500000000001</v>
      </c>
      <c r="M1567">
        <v>44.736000000000004</v>
      </c>
      <c r="N1567">
        <v>22.18</v>
      </c>
      <c r="O1567">
        <v>1666</v>
      </c>
      <c r="P1567">
        <v>414</v>
      </c>
      <c r="Q1567" s="5" t="e">
        <f>IF(AND(#REF!&gt;=table!$C$6,#REF!&lt;= table!$D$6),-1,IF(AND(#REF!&gt;=table!$E$6,#REF!&lt;=table!$F$6),1,0))</f>
        <v>#REF!</v>
      </c>
      <c r="R1567" s="5" t="e">
        <f>IF(AND(#REF!&gt;=table!$C$7,#REF!&lt;= table!$D$7),-1,IF(AND(#REF!&gt;=table!$E$7,#REF!&lt;=table!$F$7),1,0))</f>
        <v>#REF!</v>
      </c>
      <c r="S1567" s="5" t="e">
        <f>IF(AND(#REF!&gt;=table!$C$8,#REF!&lt;= table!$D$8),-1,IF(AND(#REF!&gt;=table!$E$8,#REF!&lt;=table!$F$8),1,0))</f>
        <v>#REF!</v>
      </c>
      <c r="T1567" s="5"/>
      <c r="U1567" s="5" t="e">
        <f>IF(AND(#REF!&gt;=table!$C$10,#REF!&lt;= table!$D$10),-1,IF(AND(#REF!&gt;=table!$E$10,#REF!&lt;=table!$F$10),1,0))</f>
        <v>#REF!</v>
      </c>
      <c r="V1567" s="5" t="e">
        <f>IF(AND(#REF!&gt;=table!$C$11,#REF!&lt;= table!$D$11),-1,IF(AND(#REF!&gt;=table!$E$11,#REF!&lt;=table!$F$11),1,0))</f>
        <v>#REF!</v>
      </c>
      <c r="W1567" s="5" t="e">
        <f>CONCATENATE(dados[[#This Row],[fator1]],dados[[#This Row],[fator5]],dados[[#This Row],[fator6]])</f>
        <v>#REF!</v>
      </c>
    </row>
    <row r="1568" spans="1:23">
      <c r="A1568" t="s">
        <v>16</v>
      </c>
      <c r="B1568">
        <v>485557</v>
      </c>
      <c r="C1568">
        <v>9</v>
      </c>
      <c r="D1568">
        <v>35</v>
      </c>
      <c r="E1568">
        <v>36</v>
      </c>
      <c r="F1568">
        <v>9</v>
      </c>
      <c r="G1568">
        <v>0</v>
      </c>
      <c r="H1568">
        <v>25</v>
      </c>
      <c r="I1568">
        <v>1476</v>
      </c>
      <c r="J1568">
        <v>1390</v>
      </c>
      <c r="K1568">
        <v>5.5485000000000007</v>
      </c>
      <c r="L1568">
        <v>4.7469999999999999</v>
      </c>
      <c r="M1568">
        <v>26.5275</v>
      </c>
      <c r="N1568">
        <v>13.565000000000001</v>
      </c>
      <c r="O1568">
        <v>1581</v>
      </c>
      <c r="P1568">
        <v>592</v>
      </c>
      <c r="Q1568" s="5" t="e">
        <f>IF(AND(#REF!&gt;=table!$C$6,#REF!&lt;= table!$D$6),-1,IF(AND(#REF!&gt;=table!$E$6,#REF!&lt;=table!$F$6),1,0))</f>
        <v>#REF!</v>
      </c>
      <c r="R1568" s="5" t="e">
        <f>IF(AND(#REF!&gt;=table!$C$7,#REF!&lt;= table!$D$7),-1,IF(AND(#REF!&gt;=table!$E$7,#REF!&lt;=table!$F$7),1,0))</f>
        <v>#REF!</v>
      </c>
      <c r="S1568" s="5" t="e">
        <f>IF(AND(#REF!&gt;=table!$C$8,#REF!&lt;= table!$D$8),-1,IF(AND(#REF!&gt;=table!$E$8,#REF!&lt;=table!$F$8),1,0))</f>
        <v>#REF!</v>
      </c>
      <c r="T1568" s="5"/>
      <c r="U1568" s="5" t="e">
        <f>IF(AND(#REF!&gt;=table!$C$10,#REF!&lt;= table!$D$10),-1,IF(AND(#REF!&gt;=table!$E$10,#REF!&lt;=table!$F$10),1,0))</f>
        <v>#REF!</v>
      </c>
      <c r="V1568" s="5" t="e">
        <f>IF(AND(#REF!&gt;=table!$C$11,#REF!&lt;= table!$D$11),-1,IF(AND(#REF!&gt;=table!$E$11,#REF!&lt;=table!$F$11),1,0))</f>
        <v>#REF!</v>
      </c>
      <c r="W1568" s="5" t="e">
        <f>CONCATENATE(dados[[#This Row],[fator1]],dados[[#This Row],[fator5]],dados[[#This Row],[fator6]])</f>
        <v>#REF!</v>
      </c>
    </row>
    <row r="1569" spans="1:23">
      <c r="A1569" t="s">
        <v>16</v>
      </c>
      <c r="B1569">
        <v>485558</v>
      </c>
      <c r="C1569">
        <v>9</v>
      </c>
      <c r="D1569">
        <v>27</v>
      </c>
      <c r="E1569">
        <v>36</v>
      </c>
      <c r="F1569">
        <v>8</v>
      </c>
      <c r="G1569">
        <v>0</v>
      </c>
      <c r="H1569">
        <v>25</v>
      </c>
      <c r="I1569">
        <v>57</v>
      </c>
      <c r="J1569">
        <v>0</v>
      </c>
      <c r="K1569">
        <v>3.9820000000000002</v>
      </c>
      <c r="L1569">
        <v>4.5724999999999998</v>
      </c>
      <c r="M1569">
        <v>22.168500000000002</v>
      </c>
      <c r="N1569">
        <v>10.18</v>
      </c>
      <c r="O1569">
        <v>1677</v>
      </c>
      <c r="P1569">
        <v>1061</v>
      </c>
      <c r="Q1569" s="5" t="e">
        <f>IF(AND(#REF!&gt;=table!$C$6,#REF!&lt;= table!$D$6),-1,IF(AND(#REF!&gt;=table!$E$6,#REF!&lt;=table!$F$6),1,0))</f>
        <v>#REF!</v>
      </c>
      <c r="R1569" s="5" t="e">
        <f>IF(AND(#REF!&gt;=table!$C$7,#REF!&lt;= table!$D$7),-1,IF(AND(#REF!&gt;=table!$E$7,#REF!&lt;=table!$F$7),1,0))</f>
        <v>#REF!</v>
      </c>
      <c r="S1569" s="5" t="e">
        <f>IF(AND(#REF!&gt;=table!$C$8,#REF!&lt;= table!$D$8),-1,IF(AND(#REF!&gt;=table!$E$8,#REF!&lt;=table!$F$8),1,0))</f>
        <v>#REF!</v>
      </c>
      <c r="T1569" s="5"/>
      <c r="U1569" s="5" t="e">
        <f>IF(AND(#REF!&gt;=table!$C$10,#REF!&lt;= table!$D$10),-1,IF(AND(#REF!&gt;=table!$E$10,#REF!&lt;=table!$F$10),1,0))</f>
        <v>#REF!</v>
      </c>
      <c r="V1569" s="5" t="e">
        <f>IF(AND(#REF!&gt;=table!$C$11,#REF!&lt;= table!$D$11),-1,IF(AND(#REF!&gt;=table!$E$11,#REF!&lt;=table!$F$11),1,0))</f>
        <v>#REF!</v>
      </c>
      <c r="W1569" s="5" t="e">
        <f>CONCATENATE(dados[[#This Row],[fator1]],dados[[#This Row],[fator5]],dados[[#This Row],[fator6]])</f>
        <v>#REF!</v>
      </c>
    </row>
    <row r="1570" spans="1:23">
      <c r="A1570" t="s">
        <v>16</v>
      </c>
      <c r="B1570">
        <v>485559</v>
      </c>
      <c r="C1570">
        <v>9</v>
      </c>
      <c r="D1570">
        <v>35</v>
      </c>
      <c r="E1570">
        <v>36</v>
      </c>
      <c r="F1570">
        <v>9</v>
      </c>
      <c r="G1570">
        <v>0</v>
      </c>
      <c r="H1570">
        <v>25</v>
      </c>
      <c r="I1570">
        <v>886</v>
      </c>
      <c r="J1570">
        <v>0</v>
      </c>
      <c r="K1570">
        <v>5.2380000000000004</v>
      </c>
      <c r="L1570">
        <v>9.7810000000000006</v>
      </c>
      <c r="M1570">
        <v>32.023499999999999</v>
      </c>
      <c r="N1570">
        <v>17.2</v>
      </c>
      <c r="O1570">
        <v>1680</v>
      </c>
      <c r="P1570">
        <v>826</v>
      </c>
      <c r="Q1570" s="5" t="e">
        <f>IF(AND(#REF!&gt;=table!$C$6,#REF!&lt;= table!$D$6),-1,IF(AND(#REF!&gt;=table!$E$6,#REF!&lt;=table!$F$6),1,0))</f>
        <v>#REF!</v>
      </c>
      <c r="R1570" s="5" t="e">
        <f>IF(AND(#REF!&gt;=table!$C$7,#REF!&lt;= table!$D$7),-1,IF(AND(#REF!&gt;=table!$E$7,#REF!&lt;=table!$F$7),1,0))</f>
        <v>#REF!</v>
      </c>
      <c r="S1570" s="5" t="e">
        <f>IF(AND(#REF!&gt;=table!$C$8,#REF!&lt;= table!$D$8),-1,IF(AND(#REF!&gt;=table!$E$8,#REF!&lt;=table!$F$8),1,0))</f>
        <v>#REF!</v>
      </c>
      <c r="T1570" s="5"/>
      <c r="U1570" s="5" t="e">
        <f>IF(AND(#REF!&gt;=table!$C$10,#REF!&lt;= table!$D$10),-1,IF(AND(#REF!&gt;=table!$E$10,#REF!&lt;=table!$F$10),1,0))</f>
        <v>#REF!</v>
      </c>
      <c r="V1570" s="5" t="e">
        <f>IF(AND(#REF!&gt;=table!$C$11,#REF!&lt;= table!$D$11),-1,IF(AND(#REF!&gt;=table!$E$11,#REF!&lt;=table!$F$11),1,0))</f>
        <v>#REF!</v>
      </c>
      <c r="W1570" s="5" t="e">
        <f>CONCATENATE(dados[[#This Row],[fator1]],dados[[#This Row],[fator5]],dados[[#This Row],[fator6]])</f>
        <v>#REF!</v>
      </c>
    </row>
    <row r="1571" spans="1:23">
      <c r="A1571" t="s">
        <v>17</v>
      </c>
      <c r="B1571">
        <v>485562</v>
      </c>
      <c r="C1571">
        <v>23</v>
      </c>
      <c r="D1571">
        <v>40</v>
      </c>
      <c r="E1571">
        <v>120</v>
      </c>
      <c r="F1571">
        <v>4</v>
      </c>
      <c r="G1571">
        <v>20</v>
      </c>
      <c r="H1571">
        <v>25</v>
      </c>
      <c r="I1571">
        <v>746</v>
      </c>
      <c r="J1571">
        <v>0</v>
      </c>
      <c r="K1571">
        <v>6.4820000000000002</v>
      </c>
      <c r="L1571">
        <v>10.348500000000001</v>
      </c>
      <c r="M1571">
        <v>110.1695</v>
      </c>
      <c r="N1571">
        <v>15.845000000000001</v>
      </c>
      <c r="O1571">
        <v>1678</v>
      </c>
      <c r="P1571">
        <v>0</v>
      </c>
      <c r="Q1571" s="5" t="e">
        <f>IF(AND(#REF!&gt;=table!$C$6,#REF!&lt;= table!$D$6),-1,IF(AND(#REF!&gt;=table!$E$6,#REF!&lt;=table!$F$6),1,0))</f>
        <v>#REF!</v>
      </c>
      <c r="R1571" s="5" t="e">
        <f>IF(AND(#REF!&gt;=table!$C$7,#REF!&lt;= table!$D$7),-1,IF(AND(#REF!&gt;=table!$E$7,#REF!&lt;=table!$F$7),1,0))</f>
        <v>#REF!</v>
      </c>
      <c r="S1571" s="5" t="e">
        <f>IF(AND(#REF!&gt;=table!$C$8,#REF!&lt;= table!$D$8),-1,IF(AND(#REF!&gt;=table!$E$8,#REF!&lt;=table!$F$8),1,0))</f>
        <v>#REF!</v>
      </c>
      <c r="T1571" s="5"/>
      <c r="U1571" s="5" t="e">
        <f>IF(AND(#REF!&gt;=table!$C$10,#REF!&lt;= table!$D$10),-1,IF(AND(#REF!&gt;=table!$E$10,#REF!&lt;=table!$F$10),1,0))</f>
        <v>#REF!</v>
      </c>
      <c r="V1571" s="5" t="e">
        <f>IF(AND(#REF!&gt;=table!$C$11,#REF!&lt;= table!$D$11),-1,IF(AND(#REF!&gt;=table!$E$11,#REF!&lt;=table!$F$11),1,0))</f>
        <v>#REF!</v>
      </c>
      <c r="W1571" s="5" t="e">
        <f>CONCATENATE(dados[[#This Row],[fator1]],dados[[#This Row],[fator5]],dados[[#This Row],[fator6]])</f>
        <v>#REF!</v>
      </c>
    </row>
    <row r="1572" spans="1:23">
      <c r="A1572" t="s">
        <v>16</v>
      </c>
      <c r="B1572">
        <v>485564</v>
      </c>
      <c r="C1572">
        <v>9</v>
      </c>
      <c r="D1572">
        <v>35</v>
      </c>
      <c r="E1572">
        <v>36</v>
      </c>
      <c r="F1572">
        <v>9</v>
      </c>
      <c r="G1572">
        <v>0</v>
      </c>
      <c r="H1572">
        <v>25</v>
      </c>
      <c r="I1572">
        <v>692</v>
      </c>
      <c r="J1572">
        <v>0</v>
      </c>
      <c r="K1572">
        <v>4.1785000000000005</v>
      </c>
      <c r="L1572">
        <v>8.1675000000000004</v>
      </c>
      <c r="M1572">
        <v>29.506</v>
      </c>
      <c r="N1572">
        <v>12.205</v>
      </c>
      <c r="O1572">
        <v>1664</v>
      </c>
      <c r="P1572">
        <v>731</v>
      </c>
      <c r="Q1572" s="5" t="e">
        <f>IF(AND(#REF!&gt;=table!$C$6,#REF!&lt;= table!$D$6),-1,IF(AND(#REF!&gt;=table!$E$6,#REF!&lt;=table!$F$6),1,0))</f>
        <v>#REF!</v>
      </c>
      <c r="R1572" s="5" t="e">
        <f>IF(AND(#REF!&gt;=table!$C$7,#REF!&lt;= table!$D$7),-1,IF(AND(#REF!&gt;=table!$E$7,#REF!&lt;=table!$F$7),1,0))</f>
        <v>#REF!</v>
      </c>
      <c r="S1572" s="5" t="e">
        <f>IF(AND(#REF!&gt;=table!$C$8,#REF!&lt;= table!$D$8),-1,IF(AND(#REF!&gt;=table!$E$8,#REF!&lt;=table!$F$8),1,0))</f>
        <v>#REF!</v>
      </c>
      <c r="T1572" s="5"/>
      <c r="U1572" s="5" t="e">
        <f>IF(AND(#REF!&gt;=table!$C$10,#REF!&lt;= table!$D$10),-1,IF(AND(#REF!&gt;=table!$E$10,#REF!&lt;=table!$F$10),1,0))</f>
        <v>#REF!</v>
      </c>
      <c r="V1572" s="5" t="e">
        <f>IF(AND(#REF!&gt;=table!$C$11,#REF!&lt;= table!$D$11),-1,IF(AND(#REF!&gt;=table!$E$11,#REF!&lt;=table!$F$11),1,0))</f>
        <v>#REF!</v>
      </c>
      <c r="W1572" s="5" t="e">
        <f>CONCATENATE(dados[[#This Row],[fator1]],dados[[#This Row],[fator5]],dados[[#This Row],[fator6]])</f>
        <v>#REF!</v>
      </c>
    </row>
    <row r="1573" spans="1:23">
      <c r="A1573" t="s">
        <v>16</v>
      </c>
      <c r="B1573">
        <v>485565</v>
      </c>
      <c r="C1573">
        <v>9</v>
      </c>
      <c r="D1573">
        <v>35</v>
      </c>
      <c r="E1573">
        <v>36</v>
      </c>
      <c r="F1573">
        <v>9</v>
      </c>
      <c r="G1573">
        <v>0</v>
      </c>
      <c r="H1573">
        <v>25</v>
      </c>
      <c r="I1573">
        <v>694</v>
      </c>
      <c r="J1573">
        <v>0</v>
      </c>
      <c r="K1573">
        <v>8.2934999999999999</v>
      </c>
      <c r="L1573">
        <v>11.643000000000001</v>
      </c>
      <c r="M1573">
        <v>33.596499999999999</v>
      </c>
      <c r="N1573">
        <v>14.275</v>
      </c>
      <c r="O1573">
        <v>1668</v>
      </c>
      <c r="P1573">
        <v>399</v>
      </c>
      <c r="Q1573" s="5" t="e">
        <f>IF(AND(#REF!&gt;=table!$C$6,#REF!&lt;= table!$D$6),-1,IF(AND(#REF!&gt;=table!$E$6,#REF!&lt;=table!$F$6),1,0))</f>
        <v>#REF!</v>
      </c>
      <c r="R1573" s="5" t="e">
        <f>IF(AND(#REF!&gt;=table!$C$7,#REF!&lt;= table!$D$7),-1,IF(AND(#REF!&gt;=table!$E$7,#REF!&lt;=table!$F$7),1,0))</f>
        <v>#REF!</v>
      </c>
      <c r="S1573" s="5" t="e">
        <f>IF(AND(#REF!&gt;=table!$C$8,#REF!&lt;= table!$D$8),-1,IF(AND(#REF!&gt;=table!$E$8,#REF!&lt;=table!$F$8),1,0))</f>
        <v>#REF!</v>
      </c>
      <c r="T1573" s="5"/>
      <c r="U1573" s="5" t="e">
        <f>IF(AND(#REF!&gt;=table!$C$10,#REF!&lt;= table!$D$10),-1,IF(AND(#REF!&gt;=table!$E$10,#REF!&lt;=table!$F$10),1,0))</f>
        <v>#REF!</v>
      </c>
      <c r="V1573" s="5" t="e">
        <f>IF(AND(#REF!&gt;=table!$C$11,#REF!&lt;= table!$D$11),-1,IF(AND(#REF!&gt;=table!$E$11,#REF!&lt;=table!$F$11),1,0))</f>
        <v>#REF!</v>
      </c>
      <c r="W1573" s="5" t="e">
        <f>CONCATENATE(dados[[#This Row],[fator1]],dados[[#This Row],[fator5]],dados[[#This Row],[fator6]])</f>
        <v>#REF!</v>
      </c>
    </row>
    <row r="1574" spans="1:23">
      <c r="A1574" t="s">
        <v>16</v>
      </c>
      <c r="B1574">
        <v>485566</v>
      </c>
      <c r="C1574">
        <v>9</v>
      </c>
      <c r="D1574">
        <v>35</v>
      </c>
      <c r="E1574">
        <v>36</v>
      </c>
      <c r="F1574">
        <v>9</v>
      </c>
      <c r="G1574">
        <v>0</v>
      </c>
      <c r="H1574">
        <v>25</v>
      </c>
      <c r="I1574">
        <v>906</v>
      </c>
      <c r="J1574">
        <v>0</v>
      </c>
      <c r="K1574">
        <v>5.0263</v>
      </c>
      <c r="L1574">
        <v>8.1225000000000005</v>
      </c>
      <c r="M1574">
        <v>26.849500000000003</v>
      </c>
      <c r="N1574">
        <v>11.26</v>
      </c>
      <c r="O1574">
        <v>1662</v>
      </c>
      <c r="P1574">
        <v>975</v>
      </c>
      <c r="Q1574" s="5" t="e">
        <f>IF(AND(#REF!&gt;=table!$C$6,#REF!&lt;= table!$D$6),-1,IF(AND(#REF!&gt;=table!$E$6,#REF!&lt;=table!$F$6),1,0))</f>
        <v>#REF!</v>
      </c>
      <c r="R1574" s="5" t="e">
        <f>IF(AND(#REF!&gt;=table!$C$7,#REF!&lt;= table!$D$7),-1,IF(AND(#REF!&gt;=table!$E$7,#REF!&lt;=table!$F$7),1,0))</f>
        <v>#REF!</v>
      </c>
      <c r="S1574" s="5" t="e">
        <f>IF(AND(#REF!&gt;=table!$C$8,#REF!&lt;= table!$D$8),-1,IF(AND(#REF!&gt;=table!$E$8,#REF!&lt;=table!$F$8),1,0))</f>
        <v>#REF!</v>
      </c>
      <c r="T1574" s="5"/>
      <c r="U1574" s="5" t="e">
        <f>IF(AND(#REF!&gt;=table!$C$10,#REF!&lt;= table!$D$10),-1,IF(AND(#REF!&gt;=table!$E$10,#REF!&lt;=table!$F$10),1,0))</f>
        <v>#REF!</v>
      </c>
      <c r="V1574" s="5" t="e">
        <f>IF(AND(#REF!&gt;=table!$C$11,#REF!&lt;= table!$D$11),-1,IF(AND(#REF!&gt;=table!$E$11,#REF!&lt;=table!$F$11),1,0))</f>
        <v>#REF!</v>
      </c>
      <c r="W1574" s="5" t="e">
        <f>CONCATENATE(dados[[#This Row],[fator1]],dados[[#This Row],[fator5]],dados[[#This Row],[fator6]])</f>
        <v>#REF!</v>
      </c>
    </row>
    <row r="1575" spans="1:23">
      <c r="A1575" t="s">
        <v>16</v>
      </c>
      <c r="B1575">
        <v>485568</v>
      </c>
      <c r="C1575">
        <v>9</v>
      </c>
      <c r="D1575">
        <v>35</v>
      </c>
      <c r="E1575">
        <v>36</v>
      </c>
      <c r="F1575">
        <v>9</v>
      </c>
      <c r="G1575">
        <v>0</v>
      </c>
      <c r="H1575">
        <v>25</v>
      </c>
      <c r="I1575">
        <v>1525</v>
      </c>
      <c r="J1575">
        <v>680</v>
      </c>
      <c r="K1575">
        <v>7.8065000000000007</v>
      </c>
      <c r="L1575">
        <v>14.945</v>
      </c>
      <c r="M1575">
        <v>28.255500000000001</v>
      </c>
      <c r="N1575">
        <v>15.315000000000001</v>
      </c>
      <c r="O1575">
        <v>1674</v>
      </c>
      <c r="P1575">
        <v>405</v>
      </c>
      <c r="Q1575" s="5" t="e">
        <f>IF(AND(#REF!&gt;=table!$C$6,#REF!&lt;= table!$D$6),-1,IF(AND(#REF!&gt;=table!$E$6,#REF!&lt;=table!$F$6),1,0))</f>
        <v>#REF!</v>
      </c>
      <c r="R1575" s="5" t="e">
        <f>IF(AND(#REF!&gt;=table!$C$7,#REF!&lt;= table!$D$7),-1,IF(AND(#REF!&gt;=table!$E$7,#REF!&lt;=table!$F$7),1,0))</f>
        <v>#REF!</v>
      </c>
      <c r="S1575" s="5" t="e">
        <f>IF(AND(#REF!&gt;=table!$C$8,#REF!&lt;= table!$D$8),-1,IF(AND(#REF!&gt;=table!$E$8,#REF!&lt;=table!$F$8),1,0))</f>
        <v>#REF!</v>
      </c>
      <c r="T1575" s="5"/>
      <c r="U1575" s="5" t="e">
        <f>IF(AND(#REF!&gt;=table!$C$10,#REF!&lt;= table!$D$10),-1,IF(AND(#REF!&gt;=table!$E$10,#REF!&lt;=table!$F$10),1,0))</f>
        <v>#REF!</v>
      </c>
      <c r="V1575" s="5" t="e">
        <f>IF(AND(#REF!&gt;=table!$C$11,#REF!&lt;= table!$D$11),-1,IF(AND(#REF!&gt;=table!$E$11,#REF!&lt;=table!$F$11),1,0))</f>
        <v>#REF!</v>
      </c>
      <c r="W1575" s="5" t="e">
        <f>CONCATENATE(dados[[#This Row],[fator1]],dados[[#This Row],[fator5]],dados[[#This Row],[fator6]])</f>
        <v>#REF!</v>
      </c>
    </row>
    <row r="1576" spans="1:23">
      <c r="A1576" t="s">
        <v>17</v>
      </c>
      <c r="B1576">
        <v>485572</v>
      </c>
      <c r="C1576">
        <v>10</v>
      </c>
      <c r="D1576">
        <v>25</v>
      </c>
      <c r="E1576">
        <v>40</v>
      </c>
      <c r="F1576">
        <v>10</v>
      </c>
      <c r="G1576">
        <v>110</v>
      </c>
      <c r="H1576">
        <v>50</v>
      </c>
      <c r="I1576">
        <v>2</v>
      </c>
      <c r="J1576">
        <v>0</v>
      </c>
      <c r="K1576">
        <v>5.2760000000000007</v>
      </c>
      <c r="L1576">
        <v>12.096500000000001</v>
      </c>
      <c r="M1576">
        <v>31.727</v>
      </c>
      <c r="N1576">
        <v>25.900000000000002</v>
      </c>
      <c r="O1576">
        <v>1669</v>
      </c>
      <c r="P1576">
        <v>642</v>
      </c>
      <c r="Q1576" s="5" t="e">
        <f>IF(AND(#REF!&gt;=table!$C$6,#REF!&lt;= table!$D$6),-1,IF(AND(#REF!&gt;=table!$E$6,#REF!&lt;=table!$F$6),1,0))</f>
        <v>#REF!</v>
      </c>
      <c r="R1576" s="5" t="e">
        <f>IF(AND(#REF!&gt;=table!$C$7,#REF!&lt;= table!$D$7),-1,IF(AND(#REF!&gt;=table!$E$7,#REF!&lt;=table!$F$7),1,0))</f>
        <v>#REF!</v>
      </c>
      <c r="S1576" s="5" t="e">
        <f>IF(AND(#REF!&gt;=table!$C$8,#REF!&lt;= table!$D$8),-1,IF(AND(#REF!&gt;=table!$E$8,#REF!&lt;=table!$F$8),1,0))</f>
        <v>#REF!</v>
      </c>
      <c r="T1576" s="5"/>
      <c r="U1576" s="5" t="e">
        <f>IF(AND(#REF!&gt;=table!$C$10,#REF!&lt;= table!$D$10),-1,IF(AND(#REF!&gt;=table!$E$10,#REF!&lt;=table!$F$10),1,0))</f>
        <v>#REF!</v>
      </c>
      <c r="V1576" s="5" t="e">
        <f>IF(AND(#REF!&gt;=table!$C$11,#REF!&lt;= table!$D$11),-1,IF(AND(#REF!&gt;=table!$E$11,#REF!&lt;=table!$F$11),1,0))</f>
        <v>#REF!</v>
      </c>
      <c r="W1576" s="5" t="e">
        <f>CONCATENATE(dados[[#This Row],[fator1]],dados[[#This Row],[fator5]],dados[[#This Row],[fator6]])</f>
        <v>#REF!</v>
      </c>
    </row>
    <row r="1577" spans="1:23">
      <c r="A1577" t="s">
        <v>17</v>
      </c>
      <c r="B1577">
        <v>485575</v>
      </c>
      <c r="C1577">
        <v>8</v>
      </c>
      <c r="D1577">
        <v>33</v>
      </c>
      <c r="E1577">
        <v>160</v>
      </c>
      <c r="F1577">
        <v>3</v>
      </c>
      <c r="G1577">
        <v>25</v>
      </c>
      <c r="H1577">
        <v>21</v>
      </c>
      <c r="I1577">
        <v>11</v>
      </c>
      <c r="J1577">
        <v>0</v>
      </c>
      <c r="K1577">
        <v>2.4550000000000001</v>
      </c>
      <c r="L1577">
        <v>5.3225000000000007</v>
      </c>
      <c r="M1577">
        <v>138.6465</v>
      </c>
      <c r="N1577">
        <v>16.105</v>
      </c>
      <c r="O1577">
        <v>1674</v>
      </c>
      <c r="P1577">
        <v>1177</v>
      </c>
      <c r="Q1577" s="5" t="e">
        <f>IF(AND(#REF!&gt;=table!$C$6,#REF!&lt;= table!$D$6),-1,IF(AND(#REF!&gt;=table!$E$6,#REF!&lt;=table!$F$6),1,0))</f>
        <v>#REF!</v>
      </c>
      <c r="R1577" s="5" t="e">
        <f>IF(AND(#REF!&gt;=table!$C$7,#REF!&lt;= table!$D$7),-1,IF(AND(#REF!&gt;=table!$E$7,#REF!&lt;=table!$F$7),1,0))</f>
        <v>#REF!</v>
      </c>
      <c r="S1577" s="5" t="e">
        <f>IF(AND(#REF!&gt;=table!$C$8,#REF!&lt;= table!$D$8),-1,IF(AND(#REF!&gt;=table!$E$8,#REF!&lt;=table!$F$8),1,0))</f>
        <v>#REF!</v>
      </c>
      <c r="T1577" s="5"/>
      <c r="U1577" s="5" t="e">
        <f>IF(AND(#REF!&gt;=table!$C$10,#REF!&lt;= table!$D$10),-1,IF(AND(#REF!&gt;=table!$E$10,#REF!&lt;=table!$F$10),1,0))</f>
        <v>#REF!</v>
      </c>
      <c r="V1577" s="5" t="e">
        <f>IF(AND(#REF!&gt;=table!$C$11,#REF!&lt;= table!$D$11),-1,IF(AND(#REF!&gt;=table!$E$11,#REF!&lt;=table!$F$11),1,0))</f>
        <v>#REF!</v>
      </c>
      <c r="W1577" s="5" t="e">
        <f>CONCATENATE(dados[[#This Row],[fator1]],dados[[#This Row],[fator5]],dados[[#This Row],[fator6]])</f>
        <v>#REF!</v>
      </c>
    </row>
    <row r="1578" spans="1:23">
      <c r="A1578" t="s">
        <v>17</v>
      </c>
      <c r="B1578">
        <v>485576</v>
      </c>
      <c r="C1578">
        <v>8</v>
      </c>
      <c r="D1578">
        <v>33</v>
      </c>
      <c r="E1578">
        <v>160</v>
      </c>
      <c r="F1578">
        <v>3</v>
      </c>
      <c r="G1578">
        <v>25</v>
      </c>
      <c r="H1578">
        <v>21</v>
      </c>
      <c r="I1578">
        <v>451</v>
      </c>
      <c r="J1578">
        <v>0</v>
      </c>
      <c r="K1578">
        <v>3.9175</v>
      </c>
      <c r="L1578">
        <v>6.1855000000000002</v>
      </c>
      <c r="M1578">
        <v>145.59800000000001</v>
      </c>
      <c r="N1578">
        <v>15.505000000000001</v>
      </c>
      <c r="O1578">
        <v>1683</v>
      </c>
      <c r="P1578">
        <v>1101</v>
      </c>
      <c r="Q1578" s="5" t="e">
        <f>IF(AND(#REF!&gt;=table!$C$6,#REF!&lt;= table!$D$6),-1,IF(AND(#REF!&gt;=table!$E$6,#REF!&lt;=table!$F$6),1,0))</f>
        <v>#REF!</v>
      </c>
      <c r="R1578" s="5" t="e">
        <f>IF(AND(#REF!&gt;=table!$C$7,#REF!&lt;= table!$D$7),-1,IF(AND(#REF!&gt;=table!$E$7,#REF!&lt;=table!$F$7),1,0))</f>
        <v>#REF!</v>
      </c>
      <c r="S1578" s="5" t="e">
        <f>IF(AND(#REF!&gt;=table!$C$8,#REF!&lt;= table!$D$8),-1,IF(AND(#REF!&gt;=table!$E$8,#REF!&lt;=table!$F$8),1,0))</f>
        <v>#REF!</v>
      </c>
      <c r="T1578" s="5"/>
      <c r="U1578" s="5" t="e">
        <f>IF(AND(#REF!&gt;=table!$C$10,#REF!&lt;= table!$D$10),-1,IF(AND(#REF!&gt;=table!$E$10,#REF!&lt;=table!$F$10),1,0))</f>
        <v>#REF!</v>
      </c>
      <c r="V1578" s="5" t="e">
        <f>IF(AND(#REF!&gt;=table!$C$11,#REF!&lt;= table!$D$11),-1,IF(AND(#REF!&gt;=table!$E$11,#REF!&lt;=table!$F$11),1,0))</f>
        <v>#REF!</v>
      </c>
      <c r="W1578" s="5" t="e">
        <f>CONCATENATE(dados[[#This Row],[fator1]],dados[[#This Row],[fator5]],dados[[#This Row],[fator6]])</f>
        <v>#REF!</v>
      </c>
    </row>
    <row r="1579" spans="1:23">
      <c r="A1579" t="s">
        <v>17</v>
      </c>
      <c r="B1579">
        <v>485579</v>
      </c>
      <c r="C1579">
        <v>9</v>
      </c>
      <c r="D1579">
        <v>25</v>
      </c>
      <c r="E1579">
        <v>130</v>
      </c>
      <c r="F1579">
        <v>3</v>
      </c>
      <c r="G1579">
        <v>20</v>
      </c>
      <c r="H1579">
        <v>21</v>
      </c>
      <c r="I1579">
        <v>79</v>
      </c>
      <c r="J1579">
        <v>0</v>
      </c>
      <c r="K1579">
        <v>5.5180000000000007</v>
      </c>
      <c r="L1579">
        <v>7.2685000000000004</v>
      </c>
      <c r="M1579">
        <v>109.9405</v>
      </c>
      <c r="N1579">
        <v>14.08</v>
      </c>
      <c r="O1579">
        <v>1661</v>
      </c>
      <c r="P1579">
        <v>711</v>
      </c>
      <c r="Q1579" s="5" t="e">
        <f>IF(AND(#REF!&gt;=table!$C$6,#REF!&lt;= table!$D$6),-1,IF(AND(#REF!&gt;=table!$E$6,#REF!&lt;=table!$F$6),1,0))</f>
        <v>#REF!</v>
      </c>
      <c r="R1579" s="5" t="e">
        <f>IF(AND(#REF!&gt;=table!$C$7,#REF!&lt;= table!$D$7),-1,IF(AND(#REF!&gt;=table!$E$7,#REF!&lt;=table!$F$7),1,0))</f>
        <v>#REF!</v>
      </c>
      <c r="S1579" s="5" t="e">
        <f>IF(AND(#REF!&gt;=table!$C$8,#REF!&lt;= table!$D$8),-1,IF(AND(#REF!&gt;=table!$E$8,#REF!&lt;=table!$F$8),1,0))</f>
        <v>#REF!</v>
      </c>
      <c r="T1579" s="5"/>
      <c r="U1579" s="5" t="e">
        <f>IF(AND(#REF!&gt;=table!$C$10,#REF!&lt;= table!$D$10),-1,IF(AND(#REF!&gt;=table!$E$10,#REF!&lt;=table!$F$10),1,0))</f>
        <v>#REF!</v>
      </c>
      <c r="V1579" s="5" t="e">
        <f>IF(AND(#REF!&gt;=table!$C$11,#REF!&lt;= table!$D$11),-1,IF(AND(#REF!&gt;=table!$E$11,#REF!&lt;=table!$F$11),1,0))</f>
        <v>#REF!</v>
      </c>
      <c r="W1579" s="5" t="e">
        <f>CONCATENATE(dados[[#This Row],[fator1]],dados[[#This Row],[fator5]],dados[[#This Row],[fator6]])</f>
        <v>#REF!</v>
      </c>
    </row>
    <row r="1580" spans="1:23">
      <c r="A1580" t="s">
        <v>17</v>
      </c>
      <c r="B1580">
        <v>485580</v>
      </c>
      <c r="C1580">
        <v>9</v>
      </c>
      <c r="D1580">
        <v>25</v>
      </c>
      <c r="E1580">
        <v>130</v>
      </c>
      <c r="F1580">
        <v>3</v>
      </c>
      <c r="G1580">
        <v>20</v>
      </c>
      <c r="H1580">
        <v>21</v>
      </c>
      <c r="I1580">
        <v>121</v>
      </c>
      <c r="J1580">
        <v>0</v>
      </c>
      <c r="K1580">
        <v>8.7125000000000004</v>
      </c>
      <c r="L1580">
        <v>9.9909999999999997</v>
      </c>
      <c r="M1580">
        <v>119.19900000000001</v>
      </c>
      <c r="N1580">
        <v>14.040000000000001</v>
      </c>
      <c r="O1580">
        <v>1664</v>
      </c>
      <c r="P1580">
        <v>455</v>
      </c>
      <c r="Q1580" s="5" t="e">
        <f>IF(AND(#REF!&gt;=table!$C$6,#REF!&lt;= table!$D$6),-1,IF(AND(#REF!&gt;=table!$E$6,#REF!&lt;=table!$F$6),1,0))</f>
        <v>#REF!</v>
      </c>
      <c r="R1580" s="5" t="e">
        <f>IF(AND(#REF!&gt;=table!$C$7,#REF!&lt;= table!$D$7),-1,IF(AND(#REF!&gt;=table!$E$7,#REF!&lt;=table!$F$7),1,0))</f>
        <v>#REF!</v>
      </c>
      <c r="S1580" s="5" t="e">
        <f>IF(AND(#REF!&gt;=table!$C$8,#REF!&lt;= table!$D$8),-1,IF(AND(#REF!&gt;=table!$E$8,#REF!&lt;=table!$F$8),1,0))</f>
        <v>#REF!</v>
      </c>
      <c r="T1580" s="5"/>
      <c r="U1580" s="5" t="e">
        <f>IF(AND(#REF!&gt;=table!$C$10,#REF!&lt;= table!$D$10),-1,IF(AND(#REF!&gt;=table!$E$10,#REF!&lt;=table!$F$10),1,0))</f>
        <v>#REF!</v>
      </c>
      <c r="V1580" s="5" t="e">
        <f>IF(AND(#REF!&gt;=table!$C$11,#REF!&lt;= table!$D$11),-1,IF(AND(#REF!&gt;=table!$E$11,#REF!&lt;=table!$F$11),1,0))</f>
        <v>#REF!</v>
      </c>
      <c r="W1580" s="5" t="e">
        <f>CONCATENATE(dados[[#This Row],[fator1]],dados[[#This Row],[fator5]],dados[[#This Row],[fator6]])</f>
        <v>#REF!</v>
      </c>
    </row>
    <row r="1581" spans="1:23">
      <c r="A1581" t="s">
        <v>17</v>
      </c>
      <c r="B1581">
        <v>485581</v>
      </c>
      <c r="C1581">
        <v>9</v>
      </c>
      <c r="D1581">
        <v>25</v>
      </c>
      <c r="E1581">
        <v>130</v>
      </c>
      <c r="F1581">
        <v>3</v>
      </c>
      <c r="G1581">
        <v>20</v>
      </c>
      <c r="H1581">
        <v>21</v>
      </c>
      <c r="I1581">
        <v>311</v>
      </c>
      <c r="J1581">
        <v>0</v>
      </c>
      <c r="K1581">
        <v>7.1725000000000003</v>
      </c>
      <c r="L1581">
        <v>9.8495000000000008</v>
      </c>
      <c r="M1581">
        <v>117.58150000000001</v>
      </c>
      <c r="N1581">
        <v>13.370000000000001</v>
      </c>
      <c r="O1581">
        <v>1678</v>
      </c>
      <c r="P1581">
        <v>0</v>
      </c>
      <c r="Q1581" s="5" t="e">
        <f>IF(AND(#REF!&gt;=table!$C$6,#REF!&lt;= table!$D$6),-1,IF(AND(#REF!&gt;=table!$E$6,#REF!&lt;=table!$F$6),1,0))</f>
        <v>#REF!</v>
      </c>
      <c r="R1581" s="5" t="e">
        <f>IF(AND(#REF!&gt;=table!$C$7,#REF!&lt;= table!$D$7),-1,IF(AND(#REF!&gt;=table!$E$7,#REF!&lt;=table!$F$7),1,0))</f>
        <v>#REF!</v>
      </c>
      <c r="S1581" s="5" t="e">
        <f>IF(AND(#REF!&gt;=table!$C$8,#REF!&lt;= table!$D$8),-1,IF(AND(#REF!&gt;=table!$E$8,#REF!&lt;=table!$F$8),1,0))</f>
        <v>#REF!</v>
      </c>
      <c r="T1581" s="5"/>
      <c r="U1581" s="5" t="e">
        <f>IF(AND(#REF!&gt;=table!$C$10,#REF!&lt;= table!$D$10),-1,IF(AND(#REF!&gt;=table!$E$10,#REF!&lt;=table!$F$10),1,0))</f>
        <v>#REF!</v>
      </c>
      <c r="V1581" s="5" t="e">
        <f>IF(AND(#REF!&gt;=table!$C$11,#REF!&lt;= table!$D$11),-1,IF(AND(#REF!&gt;=table!$E$11,#REF!&lt;=table!$F$11),1,0))</f>
        <v>#REF!</v>
      </c>
      <c r="W1581" s="5" t="e">
        <f>CONCATENATE(dados[[#This Row],[fator1]],dados[[#This Row],[fator5]],dados[[#This Row],[fator6]])</f>
        <v>#REF!</v>
      </c>
    </row>
    <row r="1582" spans="1:23">
      <c r="A1582" t="s">
        <v>17</v>
      </c>
      <c r="B1582">
        <v>485582</v>
      </c>
      <c r="C1582">
        <v>16</v>
      </c>
      <c r="D1582">
        <v>25</v>
      </c>
      <c r="E1582">
        <v>56</v>
      </c>
      <c r="F1582">
        <v>10</v>
      </c>
      <c r="G1582">
        <v>13</v>
      </c>
      <c r="H1582">
        <v>25</v>
      </c>
      <c r="I1582">
        <v>127</v>
      </c>
      <c r="J1582">
        <v>0</v>
      </c>
      <c r="K1582">
        <v>4.556</v>
      </c>
      <c r="L1582">
        <v>5.0975000000000001</v>
      </c>
      <c r="M1582">
        <v>53.972500000000004</v>
      </c>
      <c r="N1582">
        <v>7.2949999999999999</v>
      </c>
      <c r="O1582">
        <v>1659</v>
      </c>
      <c r="P1582">
        <v>0</v>
      </c>
      <c r="Q1582" s="5" t="e">
        <f>IF(AND(#REF!&gt;=table!$C$6,#REF!&lt;= table!$D$6),-1,IF(AND(#REF!&gt;=table!$E$6,#REF!&lt;=table!$F$6),1,0))</f>
        <v>#REF!</v>
      </c>
      <c r="R1582" s="5" t="e">
        <f>IF(AND(#REF!&gt;=table!$C$7,#REF!&lt;= table!$D$7),-1,IF(AND(#REF!&gt;=table!$E$7,#REF!&lt;=table!$F$7),1,0))</f>
        <v>#REF!</v>
      </c>
      <c r="S1582" s="5" t="e">
        <f>IF(AND(#REF!&gt;=table!$C$8,#REF!&lt;= table!$D$8),-1,IF(AND(#REF!&gt;=table!$E$8,#REF!&lt;=table!$F$8),1,0))</f>
        <v>#REF!</v>
      </c>
      <c r="T1582" s="5"/>
      <c r="U1582" s="5" t="e">
        <f>IF(AND(#REF!&gt;=table!$C$10,#REF!&lt;= table!$D$10),-1,IF(AND(#REF!&gt;=table!$E$10,#REF!&lt;=table!$F$10),1,0))</f>
        <v>#REF!</v>
      </c>
      <c r="V1582" s="5" t="e">
        <f>IF(AND(#REF!&gt;=table!$C$11,#REF!&lt;= table!$D$11),-1,IF(AND(#REF!&gt;=table!$E$11,#REF!&lt;=table!$F$11),1,0))</f>
        <v>#REF!</v>
      </c>
      <c r="W1582" s="5" t="e">
        <f>CONCATENATE(dados[[#This Row],[fator1]],dados[[#This Row],[fator5]],dados[[#This Row],[fator6]])</f>
        <v>#REF!</v>
      </c>
    </row>
    <row r="1583" spans="1:23">
      <c r="A1583" t="s">
        <v>17</v>
      </c>
      <c r="B1583">
        <v>485588</v>
      </c>
      <c r="C1583">
        <v>16</v>
      </c>
      <c r="D1583">
        <v>25</v>
      </c>
      <c r="E1583">
        <v>56</v>
      </c>
      <c r="F1583">
        <v>10</v>
      </c>
      <c r="G1583">
        <v>13</v>
      </c>
      <c r="H1583">
        <v>25</v>
      </c>
      <c r="I1583">
        <v>3</v>
      </c>
      <c r="J1583">
        <v>0</v>
      </c>
      <c r="K1583">
        <v>5.3850000000000007</v>
      </c>
      <c r="L1583">
        <v>8.8975000000000009</v>
      </c>
      <c r="M1583">
        <v>45.515000000000001</v>
      </c>
      <c r="N1583">
        <v>16.64</v>
      </c>
      <c r="O1583">
        <v>1671</v>
      </c>
      <c r="P1583">
        <v>794</v>
      </c>
      <c r="Q1583" s="5" t="e">
        <f>IF(AND(#REF!&gt;=table!$C$6,#REF!&lt;= table!$D$6),-1,IF(AND(#REF!&gt;=table!$E$6,#REF!&lt;=table!$F$6),1,0))</f>
        <v>#REF!</v>
      </c>
      <c r="R1583" s="5" t="e">
        <f>IF(AND(#REF!&gt;=table!$C$7,#REF!&lt;= table!$D$7),-1,IF(AND(#REF!&gt;=table!$E$7,#REF!&lt;=table!$F$7),1,0))</f>
        <v>#REF!</v>
      </c>
      <c r="S1583" s="5" t="e">
        <f>IF(AND(#REF!&gt;=table!$C$8,#REF!&lt;= table!$D$8),-1,IF(AND(#REF!&gt;=table!$E$8,#REF!&lt;=table!$F$8),1,0))</f>
        <v>#REF!</v>
      </c>
      <c r="T1583" s="5"/>
      <c r="U1583" s="5" t="e">
        <f>IF(AND(#REF!&gt;=table!$C$10,#REF!&lt;= table!$D$10),-1,IF(AND(#REF!&gt;=table!$E$10,#REF!&lt;=table!$F$10),1,0))</f>
        <v>#REF!</v>
      </c>
      <c r="V1583" s="5" t="e">
        <f>IF(AND(#REF!&gt;=table!$C$11,#REF!&lt;= table!$D$11),-1,IF(AND(#REF!&gt;=table!$E$11,#REF!&lt;=table!$F$11),1,0))</f>
        <v>#REF!</v>
      </c>
      <c r="W1583" s="5" t="e">
        <f>CONCATENATE(dados[[#This Row],[fator1]],dados[[#This Row],[fator5]],dados[[#This Row],[fator6]])</f>
        <v>#REF!</v>
      </c>
    </row>
    <row r="1584" spans="1:23">
      <c r="A1584" t="s">
        <v>17</v>
      </c>
      <c r="B1584">
        <v>485589</v>
      </c>
      <c r="C1584">
        <v>6</v>
      </c>
      <c r="D1584">
        <v>30</v>
      </c>
      <c r="E1584">
        <v>110</v>
      </c>
      <c r="F1584">
        <v>10</v>
      </c>
      <c r="G1584">
        <v>21</v>
      </c>
      <c r="H1584">
        <v>25</v>
      </c>
      <c r="I1584">
        <v>460</v>
      </c>
      <c r="J1584">
        <v>0</v>
      </c>
      <c r="K1584">
        <v>4.2854999999999999</v>
      </c>
      <c r="L1584">
        <v>7.8380000000000001</v>
      </c>
      <c r="M1584">
        <v>93.783500000000004</v>
      </c>
      <c r="N1584">
        <v>16.690000000000001</v>
      </c>
      <c r="O1584">
        <v>1687</v>
      </c>
      <c r="P1584">
        <v>1100</v>
      </c>
      <c r="Q1584" s="5" t="e">
        <f>IF(AND(#REF!&gt;=table!$C$6,#REF!&lt;= table!$D$6),-1,IF(AND(#REF!&gt;=table!$E$6,#REF!&lt;=table!$F$6),1,0))</f>
        <v>#REF!</v>
      </c>
      <c r="R1584" s="5" t="e">
        <f>IF(AND(#REF!&gt;=table!$C$7,#REF!&lt;= table!$D$7),-1,IF(AND(#REF!&gt;=table!$E$7,#REF!&lt;=table!$F$7),1,0))</f>
        <v>#REF!</v>
      </c>
      <c r="S1584" s="5" t="e">
        <f>IF(AND(#REF!&gt;=table!$C$8,#REF!&lt;= table!$D$8),-1,IF(AND(#REF!&gt;=table!$E$8,#REF!&lt;=table!$F$8),1,0))</f>
        <v>#REF!</v>
      </c>
      <c r="T1584" s="5"/>
      <c r="U1584" s="5" t="e">
        <f>IF(AND(#REF!&gt;=table!$C$10,#REF!&lt;= table!$D$10),-1,IF(AND(#REF!&gt;=table!$E$10,#REF!&lt;=table!$F$10),1,0))</f>
        <v>#REF!</v>
      </c>
      <c r="V1584" s="5" t="e">
        <f>IF(AND(#REF!&gt;=table!$C$11,#REF!&lt;= table!$D$11),-1,IF(AND(#REF!&gt;=table!$E$11,#REF!&lt;=table!$F$11),1,0))</f>
        <v>#REF!</v>
      </c>
      <c r="W1584" s="5" t="e">
        <f>CONCATENATE(dados[[#This Row],[fator1]],dados[[#This Row],[fator5]],dados[[#This Row],[fator6]])</f>
        <v>#REF!</v>
      </c>
    </row>
    <row r="1585" spans="1:23">
      <c r="A1585" t="s">
        <v>17</v>
      </c>
      <c r="B1585">
        <v>485590</v>
      </c>
      <c r="C1585">
        <v>9</v>
      </c>
      <c r="D1585">
        <v>30</v>
      </c>
      <c r="E1585">
        <v>160</v>
      </c>
      <c r="F1585">
        <v>3</v>
      </c>
      <c r="G1585">
        <v>30</v>
      </c>
      <c r="H1585">
        <v>20</v>
      </c>
      <c r="I1585">
        <v>816</v>
      </c>
      <c r="J1585">
        <v>0</v>
      </c>
      <c r="K1585">
        <v>4.0339999999999998</v>
      </c>
      <c r="L1585">
        <v>5.9990000000000006</v>
      </c>
      <c r="M1585">
        <v>136.096</v>
      </c>
      <c r="N1585">
        <v>13.31</v>
      </c>
      <c r="O1585">
        <v>1676</v>
      </c>
      <c r="P1585">
        <v>0</v>
      </c>
      <c r="Q1585" s="5" t="e">
        <f>IF(AND(#REF!&gt;=table!$C$6,#REF!&lt;= table!$D$6),-1,IF(AND(#REF!&gt;=table!$E$6,#REF!&lt;=table!$F$6),1,0))</f>
        <v>#REF!</v>
      </c>
      <c r="R1585" s="5" t="e">
        <f>IF(AND(#REF!&gt;=table!$C$7,#REF!&lt;= table!$D$7),-1,IF(AND(#REF!&gt;=table!$E$7,#REF!&lt;=table!$F$7),1,0))</f>
        <v>#REF!</v>
      </c>
      <c r="S1585" s="5" t="e">
        <f>IF(AND(#REF!&gt;=table!$C$8,#REF!&lt;= table!$D$8),-1,IF(AND(#REF!&gt;=table!$E$8,#REF!&lt;=table!$F$8),1,0))</f>
        <v>#REF!</v>
      </c>
      <c r="T1585" s="5"/>
      <c r="U1585" s="5" t="e">
        <f>IF(AND(#REF!&gt;=table!$C$10,#REF!&lt;= table!$D$10),-1,IF(AND(#REF!&gt;=table!$E$10,#REF!&lt;=table!$F$10),1,0))</f>
        <v>#REF!</v>
      </c>
      <c r="V1585" s="5" t="e">
        <f>IF(AND(#REF!&gt;=table!$C$11,#REF!&lt;= table!$D$11),-1,IF(AND(#REF!&gt;=table!$E$11,#REF!&lt;=table!$F$11),1,0))</f>
        <v>#REF!</v>
      </c>
      <c r="W1585" s="5" t="e">
        <f>CONCATENATE(dados[[#This Row],[fator1]],dados[[#This Row],[fator5]],dados[[#This Row],[fator6]])</f>
        <v>#REF!</v>
      </c>
    </row>
    <row r="1586" spans="1:23">
      <c r="A1586" t="s">
        <v>17</v>
      </c>
      <c r="B1586">
        <v>485592</v>
      </c>
      <c r="C1586">
        <v>6</v>
      </c>
      <c r="D1586">
        <v>30</v>
      </c>
      <c r="E1586">
        <v>110</v>
      </c>
      <c r="F1586">
        <v>10</v>
      </c>
      <c r="G1586">
        <v>21</v>
      </c>
      <c r="H1586">
        <v>25</v>
      </c>
      <c r="I1586">
        <v>839</v>
      </c>
      <c r="J1586">
        <v>460</v>
      </c>
      <c r="K1586">
        <v>3.9870000000000001</v>
      </c>
      <c r="L1586">
        <v>4.0990000000000002</v>
      </c>
      <c r="M1586">
        <v>98.406500000000008</v>
      </c>
      <c r="N1586">
        <v>10.185</v>
      </c>
      <c r="O1586">
        <v>1633</v>
      </c>
      <c r="P1586">
        <v>903</v>
      </c>
      <c r="Q1586" s="5" t="e">
        <f>IF(AND(#REF!&gt;=table!$C$6,#REF!&lt;= table!$D$6),-1,IF(AND(#REF!&gt;=table!$E$6,#REF!&lt;=table!$F$6),1,0))</f>
        <v>#REF!</v>
      </c>
      <c r="R1586" s="5" t="e">
        <f>IF(AND(#REF!&gt;=table!$C$7,#REF!&lt;= table!$D$7),-1,IF(AND(#REF!&gt;=table!$E$7,#REF!&lt;=table!$F$7),1,0))</f>
        <v>#REF!</v>
      </c>
      <c r="S1586" s="5" t="e">
        <f>IF(AND(#REF!&gt;=table!$C$8,#REF!&lt;= table!$D$8),-1,IF(AND(#REF!&gt;=table!$E$8,#REF!&lt;=table!$F$8),1,0))</f>
        <v>#REF!</v>
      </c>
      <c r="T1586" s="5"/>
      <c r="U1586" s="5" t="e">
        <f>IF(AND(#REF!&gt;=table!$C$10,#REF!&lt;= table!$D$10),-1,IF(AND(#REF!&gt;=table!$E$10,#REF!&lt;=table!$F$10),1,0))</f>
        <v>#REF!</v>
      </c>
      <c r="V1586" s="5" t="e">
        <f>IF(AND(#REF!&gt;=table!$C$11,#REF!&lt;= table!$D$11),-1,IF(AND(#REF!&gt;=table!$E$11,#REF!&lt;=table!$F$11),1,0))</f>
        <v>#REF!</v>
      </c>
      <c r="W1586" s="5" t="e">
        <f>CONCATENATE(dados[[#This Row],[fator1]],dados[[#This Row],[fator5]],dados[[#This Row],[fator6]])</f>
        <v>#REF!</v>
      </c>
    </row>
    <row r="1587" spans="1:23">
      <c r="A1587" t="s">
        <v>17</v>
      </c>
      <c r="B1587">
        <v>485593</v>
      </c>
      <c r="C1587">
        <v>6</v>
      </c>
      <c r="D1587">
        <v>30</v>
      </c>
      <c r="E1587">
        <v>110</v>
      </c>
      <c r="F1587">
        <v>10</v>
      </c>
      <c r="G1587">
        <v>21</v>
      </c>
      <c r="H1587">
        <v>25</v>
      </c>
      <c r="I1587">
        <v>814</v>
      </c>
      <c r="J1587">
        <v>790</v>
      </c>
      <c r="K1587">
        <v>3.0805000000000002</v>
      </c>
      <c r="L1587">
        <v>5.7835000000000001</v>
      </c>
      <c r="M1587">
        <v>89.652500000000003</v>
      </c>
      <c r="N1587">
        <v>13.785</v>
      </c>
      <c r="O1587">
        <v>1638</v>
      </c>
      <c r="P1587">
        <v>0</v>
      </c>
      <c r="Q1587" s="5" t="e">
        <f>IF(AND(#REF!&gt;=table!$C$6,#REF!&lt;= table!$D$6),-1,IF(AND(#REF!&gt;=table!$E$6,#REF!&lt;=table!$F$6),1,0))</f>
        <v>#REF!</v>
      </c>
      <c r="R1587" s="5" t="e">
        <f>IF(AND(#REF!&gt;=table!$C$7,#REF!&lt;= table!$D$7),-1,IF(AND(#REF!&gt;=table!$E$7,#REF!&lt;=table!$F$7),1,0))</f>
        <v>#REF!</v>
      </c>
      <c r="S1587" s="5" t="e">
        <f>IF(AND(#REF!&gt;=table!$C$8,#REF!&lt;= table!$D$8),-1,IF(AND(#REF!&gt;=table!$E$8,#REF!&lt;=table!$F$8),1,0))</f>
        <v>#REF!</v>
      </c>
      <c r="T1587" s="5"/>
      <c r="U1587" s="5" t="e">
        <f>IF(AND(#REF!&gt;=table!$C$10,#REF!&lt;= table!$D$10),-1,IF(AND(#REF!&gt;=table!$E$10,#REF!&lt;=table!$F$10),1,0))</f>
        <v>#REF!</v>
      </c>
      <c r="V1587" s="5" t="e">
        <f>IF(AND(#REF!&gt;=table!$C$11,#REF!&lt;= table!$D$11),-1,IF(AND(#REF!&gt;=table!$E$11,#REF!&lt;=table!$F$11),1,0))</f>
        <v>#REF!</v>
      </c>
      <c r="W1587" s="5" t="e">
        <f>CONCATENATE(dados[[#This Row],[fator1]],dados[[#This Row],[fator5]],dados[[#This Row],[fator6]])</f>
        <v>#REF!</v>
      </c>
    </row>
    <row r="1588" spans="1:23">
      <c r="A1588" t="s">
        <v>17</v>
      </c>
      <c r="B1588">
        <v>485594</v>
      </c>
      <c r="C1588">
        <v>8</v>
      </c>
      <c r="D1588">
        <v>30</v>
      </c>
      <c r="E1588">
        <v>153</v>
      </c>
      <c r="F1588">
        <v>2</v>
      </c>
      <c r="G1588">
        <v>20</v>
      </c>
      <c r="H1588">
        <v>18</v>
      </c>
      <c r="I1588">
        <v>463</v>
      </c>
      <c r="J1588">
        <v>0</v>
      </c>
      <c r="K1588">
        <v>3.67</v>
      </c>
      <c r="L1588">
        <v>3.7375000000000003</v>
      </c>
      <c r="M1588">
        <v>97.395499999999998</v>
      </c>
      <c r="N1588">
        <v>14.77</v>
      </c>
      <c r="O1588">
        <v>1695</v>
      </c>
      <c r="P1588">
        <v>1709</v>
      </c>
      <c r="Q1588" s="5" t="e">
        <f>IF(AND(#REF!&gt;=table!$C$6,#REF!&lt;= table!$D$6),-1,IF(AND(#REF!&gt;=table!$E$6,#REF!&lt;=table!$F$6),1,0))</f>
        <v>#REF!</v>
      </c>
      <c r="R1588" s="5" t="e">
        <f>IF(AND(#REF!&gt;=table!$C$7,#REF!&lt;= table!$D$7),-1,IF(AND(#REF!&gt;=table!$E$7,#REF!&lt;=table!$F$7),1,0))</f>
        <v>#REF!</v>
      </c>
      <c r="S1588" s="5" t="e">
        <f>IF(AND(#REF!&gt;=table!$C$8,#REF!&lt;= table!$D$8),-1,IF(AND(#REF!&gt;=table!$E$8,#REF!&lt;=table!$F$8),1,0))</f>
        <v>#REF!</v>
      </c>
      <c r="T1588" s="5"/>
      <c r="U1588" s="5" t="e">
        <f>IF(AND(#REF!&gt;=table!$C$10,#REF!&lt;= table!$D$10),-1,IF(AND(#REF!&gt;=table!$E$10,#REF!&lt;=table!$F$10),1,0))</f>
        <v>#REF!</v>
      </c>
      <c r="V1588" s="5" t="e">
        <f>IF(AND(#REF!&gt;=table!$C$11,#REF!&lt;= table!$D$11),-1,IF(AND(#REF!&gt;=table!$E$11,#REF!&lt;=table!$F$11),1,0))</f>
        <v>#REF!</v>
      </c>
      <c r="W1588" s="5" t="e">
        <f>CONCATENATE(dados[[#This Row],[fator1]],dados[[#This Row],[fator5]],dados[[#This Row],[fator6]])</f>
        <v>#REF!</v>
      </c>
    </row>
    <row r="1589" spans="1:23">
      <c r="A1589" t="s">
        <v>17</v>
      </c>
      <c r="B1589">
        <v>485595</v>
      </c>
      <c r="C1589">
        <v>14</v>
      </c>
      <c r="D1589">
        <v>30</v>
      </c>
      <c r="E1589">
        <v>110</v>
      </c>
      <c r="F1589">
        <v>3</v>
      </c>
      <c r="G1589">
        <v>20</v>
      </c>
      <c r="H1589">
        <v>22</v>
      </c>
      <c r="I1589">
        <v>13</v>
      </c>
      <c r="J1589">
        <v>0</v>
      </c>
      <c r="K1589">
        <v>5.8973000000000004</v>
      </c>
      <c r="L1589">
        <v>11.827500000000001</v>
      </c>
      <c r="M1589">
        <v>97.395499999999998</v>
      </c>
      <c r="N1589">
        <v>14.77</v>
      </c>
      <c r="O1589">
        <v>1680</v>
      </c>
      <c r="P1589">
        <v>673</v>
      </c>
      <c r="Q1589" s="5" t="e">
        <f>IF(AND(#REF!&gt;=table!$C$6,#REF!&lt;= table!$D$6),-1,IF(AND(#REF!&gt;=table!$E$6,#REF!&lt;=table!$F$6),1,0))</f>
        <v>#REF!</v>
      </c>
      <c r="R1589" s="5" t="e">
        <f>IF(AND(#REF!&gt;=table!$C$7,#REF!&lt;= table!$D$7),-1,IF(AND(#REF!&gt;=table!$E$7,#REF!&lt;=table!$F$7),1,0))</f>
        <v>#REF!</v>
      </c>
      <c r="S1589" s="5" t="e">
        <f>IF(AND(#REF!&gt;=table!$C$8,#REF!&lt;= table!$D$8),-1,IF(AND(#REF!&gt;=table!$E$8,#REF!&lt;=table!$F$8),1,0))</f>
        <v>#REF!</v>
      </c>
      <c r="T1589" s="5"/>
      <c r="U1589" s="5" t="e">
        <f>IF(AND(#REF!&gt;=table!$C$10,#REF!&lt;= table!$D$10),-1,IF(AND(#REF!&gt;=table!$E$10,#REF!&lt;=table!$F$10),1,0))</f>
        <v>#REF!</v>
      </c>
      <c r="V1589" s="5" t="e">
        <f>IF(AND(#REF!&gt;=table!$C$11,#REF!&lt;= table!$D$11),-1,IF(AND(#REF!&gt;=table!$E$11,#REF!&lt;=table!$F$11),1,0))</f>
        <v>#REF!</v>
      </c>
      <c r="W1589" s="5" t="e">
        <f>CONCATENATE(dados[[#This Row],[fator1]],dados[[#This Row],[fator5]],dados[[#This Row],[fator6]])</f>
        <v>#REF!</v>
      </c>
    </row>
    <row r="1590" spans="1:23">
      <c r="A1590" t="s">
        <v>17</v>
      </c>
      <c r="B1590">
        <v>485596</v>
      </c>
      <c r="C1590">
        <v>14</v>
      </c>
      <c r="D1590">
        <v>30</v>
      </c>
      <c r="E1590">
        <v>110</v>
      </c>
      <c r="F1590">
        <v>3</v>
      </c>
      <c r="G1590">
        <v>20</v>
      </c>
      <c r="H1590">
        <v>22</v>
      </c>
      <c r="I1590">
        <v>278</v>
      </c>
      <c r="J1590">
        <v>0</v>
      </c>
      <c r="K1590">
        <v>5.5485000000000007</v>
      </c>
      <c r="L1590">
        <v>8.6070000000000011</v>
      </c>
      <c r="M1590">
        <v>92.481999999999999</v>
      </c>
      <c r="N1590">
        <v>13.295</v>
      </c>
      <c r="O1590">
        <v>1698</v>
      </c>
      <c r="P1590">
        <v>718</v>
      </c>
      <c r="Q1590" s="5" t="e">
        <f>IF(AND(#REF!&gt;=table!$C$6,#REF!&lt;= table!$D$6),-1,IF(AND(#REF!&gt;=table!$E$6,#REF!&lt;=table!$F$6),1,0))</f>
        <v>#REF!</v>
      </c>
      <c r="R1590" s="5" t="e">
        <f>IF(AND(#REF!&gt;=table!$C$7,#REF!&lt;= table!$D$7),-1,IF(AND(#REF!&gt;=table!$E$7,#REF!&lt;=table!$F$7),1,0))</f>
        <v>#REF!</v>
      </c>
      <c r="S1590" s="5" t="e">
        <f>IF(AND(#REF!&gt;=table!$C$8,#REF!&lt;= table!$D$8),-1,IF(AND(#REF!&gt;=table!$E$8,#REF!&lt;=table!$F$8),1,0))</f>
        <v>#REF!</v>
      </c>
      <c r="T1590" s="5"/>
      <c r="U1590" s="5" t="e">
        <f>IF(AND(#REF!&gt;=table!$C$10,#REF!&lt;= table!$D$10),-1,IF(AND(#REF!&gt;=table!$E$10,#REF!&lt;=table!$F$10),1,0))</f>
        <v>#REF!</v>
      </c>
      <c r="V1590" s="5" t="e">
        <f>IF(AND(#REF!&gt;=table!$C$11,#REF!&lt;= table!$D$11),-1,IF(AND(#REF!&gt;=table!$E$11,#REF!&lt;=table!$F$11),1,0))</f>
        <v>#REF!</v>
      </c>
      <c r="W1590" s="5" t="e">
        <f>CONCATENATE(dados[[#This Row],[fator1]],dados[[#This Row],[fator5]],dados[[#This Row],[fator6]])</f>
        <v>#REF!</v>
      </c>
    </row>
    <row r="1591" spans="1:23">
      <c r="A1591" t="s">
        <v>17</v>
      </c>
      <c r="B1591">
        <v>485597</v>
      </c>
      <c r="C1591">
        <v>14</v>
      </c>
      <c r="D1591">
        <v>30</v>
      </c>
      <c r="E1591">
        <v>110</v>
      </c>
      <c r="F1591">
        <v>3</v>
      </c>
      <c r="G1591">
        <v>20</v>
      </c>
      <c r="H1591">
        <v>22</v>
      </c>
      <c r="I1591">
        <v>298</v>
      </c>
      <c r="J1591">
        <v>0</v>
      </c>
      <c r="K1591">
        <v>3.274</v>
      </c>
      <c r="L1591">
        <v>5.7750000000000004</v>
      </c>
      <c r="M1591">
        <v>101.98150000000001</v>
      </c>
      <c r="N1591">
        <v>10.105</v>
      </c>
      <c r="O1591">
        <v>1681</v>
      </c>
      <c r="P1591">
        <v>1182</v>
      </c>
      <c r="Q1591" s="5" t="e">
        <f>IF(AND(#REF!&gt;=table!$C$6,#REF!&lt;= table!$D$6),-1,IF(AND(#REF!&gt;=table!$E$6,#REF!&lt;=table!$F$6),1,0))</f>
        <v>#REF!</v>
      </c>
      <c r="R1591" s="5" t="e">
        <f>IF(AND(#REF!&gt;=table!$C$7,#REF!&lt;= table!$D$7),-1,IF(AND(#REF!&gt;=table!$E$7,#REF!&lt;=table!$F$7),1,0))</f>
        <v>#REF!</v>
      </c>
      <c r="S1591" s="5" t="e">
        <f>IF(AND(#REF!&gt;=table!$C$8,#REF!&lt;= table!$D$8),-1,IF(AND(#REF!&gt;=table!$E$8,#REF!&lt;=table!$F$8),1,0))</f>
        <v>#REF!</v>
      </c>
      <c r="T1591" s="5"/>
      <c r="U1591" s="5" t="e">
        <f>IF(AND(#REF!&gt;=table!$C$10,#REF!&lt;= table!$D$10),-1,IF(AND(#REF!&gt;=table!$E$10,#REF!&lt;=table!$F$10),1,0))</f>
        <v>#REF!</v>
      </c>
      <c r="V1591" s="5" t="e">
        <f>IF(AND(#REF!&gt;=table!$C$11,#REF!&lt;= table!$D$11),-1,IF(AND(#REF!&gt;=table!$E$11,#REF!&lt;=table!$F$11),1,0))</f>
        <v>#REF!</v>
      </c>
      <c r="W1591" s="5" t="e">
        <f>CONCATENATE(dados[[#This Row],[fator1]],dados[[#This Row],[fator5]],dados[[#This Row],[fator6]])</f>
        <v>#REF!</v>
      </c>
    </row>
    <row r="1592" spans="1:23">
      <c r="A1592" t="s">
        <v>17</v>
      </c>
      <c r="B1592">
        <v>485598</v>
      </c>
      <c r="C1592">
        <v>12</v>
      </c>
      <c r="D1592">
        <v>30</v>
      </c>
      <c r="E1592">
        <v>115</v>
      </c>
      <c r="F1592">
        <v>4</v>
      </c>
      <c r="G1592">
        <v>25</v>
      </c>
      <c r="H1592">
        <v>21</v>
      </c>
      <c r="I1592">
        <v>811</v>
      </c>
      <c r="J1592">
        <v>730</v>
      </c>
      <c r="K1592">
        <v>6.3550000000000004</v>
      </c>
      <c r="L1592">
        <v>11.9215</v>
      </c>
      <c r="M1592">
        <v>105.16850000000001</v>
      </c>
      <c r="N1592">
        <v>15.450000000000001</v>
      </c>
      <c r="O1592">
        <v>1684</v>
      </c>
      <c r="P1592">
        <v>662</v>
      </c>
      <c r="Q1592" s="5" t="e">
        <f>IF(AND(#REF!&gt;=table!$C$6,#REF!&lt;= table!$D$6),-1,IF(AND(#REF!&gt;=table!$E$6,#REF!&lt;=table!$F$6),1,0))</f>
        <v>#REF!</v>
      </c>
      <c r="R1592" s="5" t="e">
        <f>IF(AND(#REF!&gt;=table!$C$7,#REF!&lt;= table!$D$7),-1,IF(AND(#REF!&gt;=table!$E$7,#REF!&lt;=table!$F$7),1,0))</f>
        <v>#REF!</v>
      </c>
      <c r="S1592" s="5" t="e">
        <f>IF(AND(#REF!&gt;=table!$C$8,#REF!&lt;= table!$D$8),-1,IF(AND(#REF!&gt;=table!$E$8,#REF!&lt;=table!$F$8),1,0))</f>
        <v>#REF!</v>
      </c>
      <c r="T1592" s="5"/>
      <c r="U1592" s="5" t="e">
        <f>IF(AND(#REF!&gt;=table!$C$10,#REF!&lt;= table!$D$10),-1,IF(AND(#REF!&gt;=table!$E$10,#REF!&lt;=table!$F$10),1,0))</f>
        <v>#REF!</v>
      </c>
      <c r="V1592" s="5" t="e">
        <f>IF(AND(#REF!&gt;=table!$C$11,#REF!&lt;= table!$D$11),-1,IF(AND(#REF!&gt;=table!$E$11,#REF!&lt;=table!$F$11),1,0))</f>
        <v>#REF!</v>
      </c>
      <c r="W1592" s="5" t="e">
        <f>CONCATENATE(dados[[#This Row],[fator1]],dados[[#This Row],[fator5]],dados[[#This Row],[fator6]])</f>
        <v>#REF!</v>
      </c>
    </row>
    <row r="1593" spans="1:23">
      <c r="A1593" t="s">
        <v>16</v>
      </c>
      <c r="B1593">
        <v>485599</v>
      </c>
      <c r="C1593">
        <v>11</v>
      </c>
      <c r="D1593">
        <v>40</v>
      </c>
      <c r="E1593">
        <v>151</v>
      </c>
      <c r="F1593">
        <v>8</v>
      </c>
      <c r="G1593">
        <v>0</v>
      </c>
      <c r="H1593">
        <v>25</v>
      </c>
      <c r="I1593">
        <v>678</v>
      </c>
      <c r="J1593">
        <v>0</v>
      </c>
      <c r="K1593">
        <v>3.2730000000000001</v>
      </c>
      <c r="L1593">
        <v>4.7115</v>
      </c>
      <c r="M1593">
        <v>120.834</v>
      </c>
      <c r="N1593">
        <v>12.155000000000001</v>
      </c>
      <c r="O1593">
        <v>1685</v>
      </c>
      <c r="P1593">
        <v>1414</v>
      </c>
      <c r="Q1593" s="5" t="e">
        <f>IF(AND(#REF!&gt;=table!$C$6,#REF!&lt;= table!$D$6),-1,IF(AND(#REF!&gt;=table!$E$6,#REF!&lt;=table!$F$6),1,0))</f>
        <v>#REF!</v>
      </c>
      <c r="R1593" s="5" t="e">
        <f>IF(AND(#REF!&gt;=table!$C$7,#REF!&lt;= table!$D$7),-1,IF(AND(#REF!&gt;=table!$E$7,#REF!&lt;=table!$F$7),1,0))</f>
        <v>#REF!</v>
      </c>
      <c r="S1593" s="5" t="e">
        <f>IF(AND(#REF!&gt;=table!$C$8,#REF!&lt;= table!$D$8),-1,IF(AND(#REF!&gt;=table!$E$8,#REF!&lt;=table!$F$8),1,0))</f>
        <v>#REF!</v>
      </c>
      <c r="T1593" s="5"/>
      <c r="U1593" s="5" t="e">
        <f>IF(AND(#REF!&gt;=table!$C$10,#REF!&lt;= table!$D$10),-1,IF(AND(#REF!&gt;=table!$E$10,#REF!&lt;=table!$F$10),1,0))</f>
        <v>#REF!</v>
      </c>
      <c r="V1593" s="5" t="e">
        <f>IF(AND(#REF!&gt;=table!$C$11,#REF!&lt;= table!$D$11),-1,IF(AND(#REF!&gt;=table!$E$11,#REF!&lt;=table!$F$11),1,0))</f>
        <v>#REF!</v>
      </c>
      <c r="W1593" s="5" t="e">
        <f>CONCATENATE(dados[[#This Row],[fator1]],dados[[#This Row],[fator5]],dados[[#This Row],[fator6]])</f>
        <v>#REF!</v>
      </c>
    </row>
    <row r="1594" spans="1:23">
      <c r="A1594" t="s">
        <v>16</v>
      </c>
      <c r="B1594">
        <v>485600</v>
      </c>
      <c r="C1594">
        <v>11</v>
      </c>
      <c r="D1594">
        <v>40</v>
      </c>
      <c r="E1594">
        <v>151</v>
      </c>
      <c r="F1594">
        <v>8</v>
      </c>
      <c r="G1594">
        <v>0</v>
      </c>
      <c r="H1594">
        <v>25</v>
      </c>
      <c r="I1594">
        <v>263</v>
      </c>
      <c r="J1594">
        <v>0</v>
      </c>
      <c r="K1594">
        <v>6.2280000000000006</v>
      </c>
      <c r="L1594">
        <v>11.153</v>
      </c>
      <c r="M1594">
        <v>63.301500000000004</v>
      </c>
      <c r="N1594">
        <v>14.57</v>
      </c>
      <c r="O1594">
        <v>1665</v>
      </c>
      <c r="P1594">
        <v>628</v>
      </c>
      <c r="Q1594" s="5" t="e">
        <f>IF(AND(#REF!&gt;=table!$C$6,#REF!&lt;= table!$D$6),-1,IF(AND(#REF!&gt;=table!$E$6,#REF!&lt;=table!$F$6),1,0))</f>
        <v>#REF!</v>
      </c>
      <c r="R1594" s="5" t="e">
        <f>IF(AND(#REF!&gt;=table!$C$7,#REF!&lt;= table!$D$7),-1,IF(AND(#REF!&gt;=table!$E$7,#REF!&lt;=table!$F$7),1,0))</f>
        <v>#REF!</v>
      </c>
      <c r="S1594" s="5" t="e">
        <f>IF(AND(#REF!&gt;=table!$C$8,#REF!&lt;= table!$D$8),-1,IF(AND(#REF!&gt;=table!$E$8,#REF!&lt;=table!$F$8),1,0))</f>
        <v>#REF!</v>
      </c>
      <c r="T1594" s="5"/>
      <c r="U1594" s="5" t="e">
        <f>IF(AND(#REF!&gt;=table!$C$10,#REF!&lt;= table!$D$10),-1,IF(AND(#REF!&gt;=table!$E$10,#REF!&lt;=table!$F$10),1,0))</f>
        <v>#REF!</v>
      </c>
      <c r="V1594" s="5" t="e">
        <f>IF(AND(#REF!&gt;=table!$C$11,#REF!&lt;= table!$D$11),-1,IF(AND(#REF!&gt;=table!$E$11,#REF!&lt;=table!$F$11),1,0))</f>
        <v>#REF!</v>
      </c>
      <c r="W1594" s="5" t="e">
        <f>CONCATENATE(dados[[#This Row],[fator1]],dados[[#This Row],[fator5]],dados[[#This Row],[fator6]])</f>
        <v>#REF!</v>
      </c>
    </row>
    <row r="1595" spans="1:23">
      <c r="A1595" t="s">
        <v>16</v>
      </c>
      <c r="B1595">
        <v>485607</v>
      </c>
      <c r="C1595">
        <v>12</v>
      </c>
      <c r="D1595">
        <v>35</v>
      </c>
      <c r="E1595">
        <v>90</v>
      </c>
      <c r="F1595">
        <v>10</v>
      </c>
      <c r="G1595">
        <v>0</v>
      </c>
      <c r="H1595">
        <v>25</v>
      </c>
      <c r="I1595">
        <v>281</v>
      </c>
      <c r="J1595">
        <v>0</v>
      </c>
      <c r="K1595">
        <v>6.7230000000000008</v>
      </c>
      <c r="L1595">
        <v>12.174000000000001</v>
      </c>
      <c r="M1595">
        <v>74.267499999999998</v>
      </c>
      <c r="N1595">
        <v>15.545</v>
      </c>
      <c r="O1595">
        <v>1679</v>
      </c>
      <c r="P1595">
        <v>548</v>
      </c>
      <c r="Q1595" s="5" t="e">
        <f>IF(AND(#REF!&gt;=table!$C$6,#REF!&lt;= table!$D$6),-1,IF(AND(#REF!&gt;=table!$E$6,#REF!&lt;=table!$F$6),1,0))</f>
        <v>#REF!</v>
      </c>
      <c r="R1595" s="5" t="e">
        <f>IF(AND(#REF!&gt;=table!$C$7,#REF!&lt;= table!$D$7),-1,IF(AND(#REF!&gt;=table!$E$7,#REF!&lt;=table!$F$7),1,0))</f>
        <v>#REF!</v>
      </c>
      <c r="S1595" s="5" t="e">
        <f>IF(AND(#REF!&gt;=table!$C$8,#REF!&lt;= table!$D$8),-1,IF(AND(#REF!&gt;=table!$E$8,#REF!&lt;=table!$F$8),1,0))</f>
        <v>#REF!</v>
      </c>
      <c r="T1595" s="5"/>
      <c r="U1595" s="5" t="e">
        <f>IF(AND(#REF!&gt;=table!$C$10,#REF!&lt;= table!$D$10),-1,IF(AND(#REF!&gt;=table!$E$10,#REF!&lt;=table!$F$10),1,0))</f>
        <v>#REF!</v>
      </c>
      <c r="V1595" s="5" t="e">
        <f>IF(AND(#REF!&gt;=table!$C$11,#REF!&lt;= table!$D$11),-1,IF(AND(#REF!&gt;=table!$E$11,#REF!&lt;=table!$F$11),1,0))</f>
        <v>#REF!</v>
      </c>
      <c r="W1595" s="5" t="e">
        <f>CONCATENATE(dados[[#This Row],[fator1]],dados[[#This Row],[fator5]],dados[[#This Row],[fator6]])</f>
        <v>#REF!</v>
      </c>
    </row>
    <row r="1596" spans="1:23">
      <c r="A1596" t="s">
        <v>16</v>
      </c>
      <c r="B1596">
        <v>485608</v>
      </c>
      <c r="C1596">
        <v>13</v>
      </c>
      <c r="D1596">
        <v>35</v>
      </c>
      <c r="E1596">
        <v>120</v>
      </c>
      <c r="F1596">
        <v>10</v>
      </c>
      <c r="G1596">
        <v>0</v>
      </c>
      <c r="H1596">
        <v>25</v>
      </c>
      <c r="I1596">
        <v>634</v>
      </c>
      <c r="J1596">
        <v>0</v>
      </c>
      <c r="K1596">
        <v>10.008000000000001</v>
      </c>
      <c r="L1596">
        <v>10.1295</v>
      </c>
      <c r="M1596">
        <v>103.917</v>
      </c>
      <c r="N1596">
        <v>12.175000000000001</v>
      </c>
      <c r="O1596">
        <v>1661</v>
      </c>
      <c r="P1596">
        <v>387</v>
      </c>
      <c r="Q1596" s="5" t="e">
        <f>IF(AND(#REF!&gt;=table!$C$6,#REF!&lt;= table!$D$6),-1,IF(AND(#REF!&gt;=table!$E$6,#REF!&lt;=table!$F$6),1,0))</f>
        <v>#REF!</v>
      </c>
      <c r="R1596" s="5" t="e">
        <f>IF(AND(#REF!&gt;=table!$C$7,#REF!&lt;= table!$D$7),-1,IF(AND(#REF!&gt;=table!$E$7,#REF!&lt;=table!$F$7),1,0))</f>
        <v>#REF!</v>
      </c>
      <c r="S1596" s="5" t="e">
        <f>IF(AND(#REF!&gt;=table!$C$8,#REF!&lt;= table!$D$8),-1,IF(AND(#REF!&gt;=table!$E$8,#REF!&lt;=table!$F$8),1,0))</f>
        <v>#REF!</v>
      </c>
      <c r="T1596" s="5"/>
      <c r="U1596" s="5" t="e">
        <f>IF(AND(#REF!&gt;=table!$C$10,#REF!&lt;= table!$D$10),-1,IF(AND(#REF!&gt;=table!$E$10,#REF!&lt;=table!$F$10),1,0))</f>
        <v>#REF!</v>
      </c>
      <c r="V1596" s="5" t="e">
        <f>IF(AND(#REF!&gt;=table!$C$11,#REF!&lt;= table!$D$11),-1,IF(AND(#REF!&gt;=table!$E$11,#REF!&lt;=table!$F$11),1,0))</f>
        <v>#REF!</v>
      </c>
      <c r="W1596" s="5" t="e">
        <f>CONCATENATE(dados[[#This Row],[fator1]],dados[[#This Row],[fator5]],dados[[#This Row],[fator6]])</f>
        <v>#REF!</v>
      </c>
    </row>
    <row r="1597" spans="1:23">
      <c r="A1597" t="s">
        <v>17</v>
      </c>
      <c r="B1597">
        <v>485610</v>
      </c>
      <c r="C1597">
        <v>17</v>
      </c>
      <c r="D1597">
        <v>35</v>
      </c>
      <c r="E1597">
        <v>125</v>
      </c>
      <c r="F1597">
        <v>4</v>
      </c>
      <c r="G1597">
        <v>28</v>
      </c>
      <c r="H1597">
        <v>20</v>
      </c>
      <c r="I1597">
        <v>640</v>
      </c>
      <c r="J1597">
        <v>0</v>
      </c>
      <c r="K1597">
        <v>7.8525</v>
      </c>
      <c r="L1597">
        <v>8.9414999999999996</v>
      </c>
      <c r="M1597">
        <v>110.97500000000001</v>
      </c>
      <c r="N1597">
        <v>12.045</v>
      </c>
      <c r="O1597">
        <v>1662</v>
      </c>
      <c r="P1597">
        <v>482</v>
      </c>
      <c r="Q1597" s="5" t="e">
        <f>IF(AND(#REF!&gt;=table!$C$6,#REF!&lt;= table!$D$6),-1,IF(AND(#REF!&gt;=table!$E$6,#REF!&lt;=table!$F$6),1,0))</f>
        <v>#REF!</v>
      </c>
      <c r="R1597" s="5" t="e">
        <f>IF(AND(#REF!&gt;=table!$C$7,#REF!&lt;= table!$D$7),-1,IF(AND(#REF!&gt;=table!$E$7,#REF!&lt;=table!$F$7),1,0))</f>
        <v>#REF!</v>
      </c>
      <c r="S1597" s="5" t="e">
        <f>IF(AND(#REF!&gt;=table!$C$8,#REF!&lt;= table!$D$8),-1,IF(AND(#REF!&gt;=table!$E$8,#REF!&lt;=table!$F$8),1,0))</f>
        <v>#REF!</v>
      </c>
      <c r="T1597" s="5"/>
      <c r="U1597" s="5" t="e">
        <f>IF(AND(#REF!&gt;=table!$C$10,#REF!&lt;= table!$D$10),-1,IF(AND(#REF!&gt;=table!$E$10,#REF!&lt;=table!$F$10),1,0))</f>
        <v>#REF!</v>
      </c>
      <c r="V1597" s="5" t="e">
        <f>IF(AND(#REF!&gt;=table!$C$11,#REF!&lt;= table!$D$11),-1,IF(AND(#REF!&gt;=table!$E$11,#REF!&lt;=table!$F$11),1,0))</f>
        <v>#REF!</v>
      </c>
      <c r="W1597" s="5" t="e">
        <f>CONCATENATE(dados[[#This Row],[fator1]],dados[[#This Row],[fator5]],dados[[#This Row],[fator6]])</f>
        <v>#REF!</v>
      </c>
    </row>
    <row r="1598" spans="1:23">
      <c r="A1598" t="s">
        <v>17</v>
      </c>
      <c r="B1598">
        <v>485612</v>
      </c>
      <c r="C1598">
        <v>17</v>
      </c>
      <c r="D1598">
        <v>35</v>
      </c>
      <c r="E1598">
        <v>125</v>
      </c>
      <c r="F1598">
        <v>4</v>
      </c>
      <c r="G1598">
        <v>28</v>
      </c>
      <c r="H1598">
        <v>20</v>
      </c>
      <c r="I1598">
        <v>435</v>
      </c>
      <c r="J1598">
        <v>0</v>
      </c>
      <c r="K1598">
        <v>8.6814999999999998</v>
      </c>
      <c r="L1598">
        <v>10.679</v>
      </c>
      <c r="M1598">
        <v>108.8935</v>
      </c>
      <c r="N1598">
        <v>13.25</v>
      </c>
      <c r="O1598">
        <v>1675</v>
      </c>
      <c r="P1598">
        <v>393</v>
      </c>
      <c r="Q1598" s="5" t="e">
        <f>IF(AND(#REF!&gt;=table!$C$6,#REF!&lt;= table!$D$6),-1,IF(AND(#REF!&gt;=table!$E$6,#REF!&lt;=table!$F$6),1,0))</f>
        <v>#REF!</v>
      </c>
      <c r="R1598" s="5" t="e">
        <f>IF(AND(#REF!&gt;=table!$C$7,#REF!&lt;= table!$D$7),-1,IF(AND(#REF!&gt;=table!$E$7,#REF!&lt;=table!$F$7),1,0))</f>
        <v>#REF!</v>
      </c>
      <c r="S1598" s="5" t="e">
        <f>IF(AND(#REF!&gt;=table!$C$8,#REF!&lt;= table!$D$8),-1,IF(AND(#REF!&gt;=table!$E$8,#REF!&lt;=table!$F$8),1,0))</f>
        <v>#REF!</v>
      </c>
      <c r="T1598" s="5"/>
      <c r="U1598" s="5" t="e">
        <f>IF(AND(#REF!&gt;=table!$C$10,#REF!&lt;= table!$D$10),-1,IF(AND(#REF!&gt;=table!$E$10,#REF!&lt;=table!$F$10),1,0))</f>
        <v>#REF!</v>
      </c>
      <c r="V1598" s="5" t="e">
        <f>IF(AND(#REF!&gt;=table!$C$11,#REF!&lt;= table!$D$11),-1,IF(AND(#REF!&gt;=table!$E$11,#REF!&lt;=table!$F$11),1,0))</f>
        <v>#REF!</v>
      </c>
      <c r="W1598" s="5" t="e">
        <f>CONCATENATE(dados[[#This Row],[fator1]],dados[[#This Row],[fator5]],dados[[#This Row],[fator6]])</f>
        <v>#REF!</v>
      </c>
    </row>
    <row r="1599" spans="1:23">
      <c r="A1599" t="s">
        <v>16</v>
      </c>
      <c r="B1599">
        <v>485613</v>
      </c>
      <c r="C1599">
        <v>0.1</v>
      </c>
      <c r="D1599">
        <v>40</v>
      </c>
      <c r="E1599">
        <v>10</v>
      </c>
      <c r="F1599">
        <v>8</v>
      </c>
      <c r="G1599">
        <v>0</v>
      </c>
      <c r="H1599">
        <v>10</v>
      </c>
      <c r="I1599">
        <v>1032</v>
      </c>
      <c r="J1599">
        <v>0</v>
      </c>
      <c r="K1599">
        <v>8.6545000000000005</v>
      </c>
      <c r="L1599">
        <v>9.447000000000001</v>
      </c>
      <c r="M1599">
        <v>8.3674999999999997</v>
      </c>
      <c r="N1599">
        <v>9.1349999999999998</v>
      </c>
      <c r="O1599">
        <v>1675</v>
      </c>
      <c r="P1599">
        <v>521</v>
      </c>
      <c r="Q1599" s="5" t="e">
        <f>IF(AND(#REF!&gt;=table!$C$6,#REF!&lt;= table!$D$6),-1,IF(AND(#REF!&gt;=table!$E$6,#REF!&lt;=table!$F$6),1,0))</f>
        <v>#REF!</v>
      </c>
      <c r="R1599" s="5" t="e">
        <f>IF(AND(#REF!&gt;=table!$C$7,#REF!&lt;= table!$D$7),-1,IF(AND(#REF!&gt;=table!$E$7,#REF!&lt;=table!$F$7),1,0))</f>
        <v>#REF!</v>
      </c>
      <c r="S1599" s="5" t="e">
        <f>IF(AND(#REF!&gt;=table!$C$8,#REF!&lt;= table!$D$8),-1,IF(AND(#REF!&gt;=table!$E$8,#REF!&lt;=table!$F$8),1,0))</f>
        <v>#REF!</v>
      </c>
      <c r="T1599" s="5"/>
      <c r="U1599" s="5" t="e">
        <f>IF(AND(#REF!&gt;=table!$C$10,#REF!&lt;= table!$D$10),-1,IF(AND(#REF!&gt;=table!$E$10,#REF!&lt;=table!$F$10),1,0))</f>
        <v>#REF!</v>
      </c>
      <c r="V1599" s="5" t="e">
        <f>IF(AND(#REF!&gt;=table!$C$11,#REF!&lt;= table!$D$11),-1,IF(AND(#REF!&gt;=table!$E$11,#REF!&lt;=table!$F$11),1,0))</f>
        <v>#REF!</v>
      </c>
      <c r="W1599" s="5" t="e">
        <f>CONCATENATE(dados[[#This Row],[fator1]],dados[[#This Row],[fator5]],dados[[#This Row],[fator6]])</f>
        <v>#REF!</v>
      </c>
    </row>
    <row r="1600" spans="1:23">
      <c r="A1600" t="s">
        <v>17</v>
      </c>
      <c r="B1600">
        <v>485617</v>
      </c>
      <c r="C1600">
        <v>20</v>
      </c>
      <c r="D1600">
        <v>33</v>
      </c>
      <c r="E1600">
        <v>66</v>
      </c>
      <c r="F1600">
        <v>4</v>
      </c>
      <c r="G1600">
        <v>20</v>
      </c>
      <c r="H1600">
        <v>25</v>
      </c>
      <c r="I1600">
        <v>691</v>
      </c>
      <c r="J1600">
        <v>830</v>
      </c>
      <c r="K1600">
        <v>6.2750000000000004</v>
      </c>
      <c r="L1600">
        <v>12.3865</v>
      </c>
      <c r="M1600">
        <v>45.550000000000004</v>
      </c>
      <c r="N1600">
        <v>19.29</v>
      </c>
      <c r="O1600">
        <v>1676</v>
      </c>
      <c r="P1600">
        <v>744</v>
      </c>
      <c r="Q1600" s="5" t="e">
        <f>IF(AND(#REF!&gt;=table!$C$6,#REF!&lt;= table!$D$6),-1,IF(AND(#REF!&gt;=table!$E$6,#REF!&lt;=table!$F$6),1,0))</f>
        <v>#REF!</v>
      </c>
      <c r="R1600" s="5" t="e">
        <f>IF(AND(#REF!&gt;=table!$C$7,#REF!&lt;= table!$D$7),-1,IF(AND(#REF!&gt;=table!$E$7,#REF!&lt;=table!$F$7),1,0))</f>
        <v>#REF!</v>
      </c>
      <c r="S1600" s="5" t="e">
        <f>IF(AND(#REF!&gt;=table!$C$8,#REF!&lt;= table!$D$8),-1,IF(AND(#REF!&gt;=table!$E$8,#REF!&lt;=table!$F$8),1,0))</f>
        <v>#REF!</v>
      </c>
      <c r="T1600" s="5"/>
      <c r="U1600" s="5" t="e">
        <f>IF(AND(#REF!&gt;=table!$C$10,#REF!&lt;= table!$D$10),-1,IF(AND(#REF!&gt;=table!$E$10,#REF!&lt;=table!$F$10),1,0))</f>
        <v>#REF!</v>
      </c>
      <c r="V1600" s="5" t="e">
        <f>IF(AND(#REF!&gt;=table!$C$11,#REF!&lt;= table!$D$11),-1,IF(AND(#REF!&gt;=table!$E$11,#REF!&lt;=table!$F$11),1,0))</f>
        <v>#REF!</v>
      </c>
      <c r="W1600" s="5" t="e">
        <f>CONCATENATE(dados[[#This Row],[fator1]],dados[[#This Row],[fator5]],dados[[#This Row],[fator6]])</f>
        <v>#REF!</v>
      </c>
    </row>
    <row r="1601" spans="1:23">
      <c r="A1601" t="s">
        <v>17</v>
      </c>
      <c r="B1601">
        <v>485622</v>
      </c>
      <c r="C1601">
        <v>46</v>
      </c>
      <c r="D1601">
        <v>18</v>
      </c>
      <c r="E1601">
        <v>66</v>
      </c>
      <c r="F1601">
        <v>10</v>
      </c>
      <c r="G1601">
        <v>20</v>
      </c>
      <c r="H1601">
        <v>23</v>
      </c>
      <c r="I1601">
        <v>0</v>
      </c>
      <c r="J1601">
        <v>1000</v>
      </c>
      <c r="K1601">
        <v>13.1165</v>
      </c>
      <c r="L1601">
        <v>22.198</v>
      </c>
      <c r="M1601">
        <v>42.185500000000005</v>
      </c>
      <c r="N1601">
        <v>17.43</v>
      </c>
      <c r="O1601">
        <v>1663</v>
      </c>
      <c r="P1601">
        <v>291</v>
      </c>
      <c r="Q1601" s="5" t="e">
        <f>IF(AND(#REF!&gt;=table!$C$6,#REF!&lt;= table!$D$6),-1,IF(AND(#REF!&gt;=table!$E$6,#REF!&lt;=table!$F$6),1,0))</f>
        <v>#REF!</v>
      </c>
      <c r="R1601" s="5" t="e">
        <f>IF(AND(#REF!&gt;=table!$C$7,#REF!&lt;= table!$D$7),-1,IF(AND(#REF!&gt;=table!$E$7,#REF!&lt;=table!$F$7),1,0))</f>
        <v>#REF!</v>
      </c>
      <c r="S1601" s="5" t="e">
        <f>IF(AND(#REF!&gt;=table!$C$8,#REF!&lt;= table!$D$8),-1,IF(AND(#REF!&gt;=table!$E$8,#REF!&lt;=table!$F$8),1,0))</f>
        <v>#REF!</v>
      </c>
      <c r="T1601" s="5"/>
      <c r="U1601" s="5" t="e">
        <f>IF(AND(#REF!&gt;=table!$C$10,#REF!&lt;= table!$D$10),-1,IF(AND(#REF!&gt;=table!$E$10,#REF!&lt;=table!$F$10),1,0))</f>
        <v>#REF!</v>
      </c>
      <c r="V1601" s="5" t="e">
        <f>IF(AND(#REF!&gt;=table!$C$11,#REF!&lt;= table!$D$11),-1,IF(AND(#REF!&gt;=table!$E$11,#REF!&lt;=table!$F$11),1,0))</f>
        <v>#REF!</v>
      </c>
      <c r="W1601" s="5" t="e">
        <f>CONCATENATE(dados[[#This Row],[fator1]],dados[[#This Row],[fator5]],dados[[#This Row],[fator6]])</f>
        <v>#REF!</v>
      </c>
    </row>
    <row r="1602" spans="1:23">
      <c r="A1602" t="s">
        <v>17</v>
      </c>
      <c r="B1602">
        <v>485623</v>
      </c>
      <c r="C1602">
        <v>46</v>
      </c>
      <c r="D1602">
        <v>18</v>
      </c>
      <c r="E1602">
        <v>66</v>
      </c>
      <c r="F1602">
        <v>10</v>
      </c>
      <c r="G1602">
        <v>20</v>
      </c>
      <c r="H1602">
        <v>23</v>
      </c>
      <c r="I1602">
        <v>75</v>
      </c>
      <c r="J1602">
        <v>1020</v>
      </c>
      <c r="K1602">
        <v>16.664999999999999</v>
      </c>
      <c r="L1602">
        <v>22.7</v>
      </c>
      <c r="M1602">
        <v>54.408000000000001</v>
      </c>
      <c r="N1602">
        <v>18.045000000000002</v>
      </c>
      <c r="O1602">
        <v>1663</v>
      </c>
      <c r="P1602">
        <v>202</v>
      </c>
      <c r="Q1602" s="5" t="e">
        <f>IF(AND(#REF!&gt;=table!$C$6,#REF!&lt;= table!$D$6),-1,IF(AND(#REF!&gt;=table!$E$6,#REF!&lt;=table!$F$6),1,0))</f>
        <v>#REF!</v>
      </c>
      <c r="R1602" s="5" t="e">
        <f>IF(AND(#REF!&gt;=table!$C$7,#REF!&lt;= table!$D$7),-1,IF(AND(#REF!&gt;=table!$E$7,#REF!&lt;=table!$F$7),1,0))</f>
        <v>#REF!</v>
      </c>
      <c r="S1602" s="5" t="e">
        <f>IF(AND(#REF!&gt;=table!$C$8,#REF!&lt;= table!$D$8),-1,IF(AND(#REF!&gt;=table!$E$8,#REF!&lt;=table!$F$8),1,0))</f>
        <v>#REF!</v>
      </c>
      <c r="T1602" s="5"/>
      <c r="U1602" s="5" t="e">
        <f>IF(AND(#REF!&gt;=table!$C$10,#REF!&lt;= table!$D$10),-1,IF(AND(#REF!&gt;=table!$E$10,#REF!&lt;=table!$F$10),1,0))</f>
        <v>#REF!</v>
      </c>
      <c r="V1602" s="5" t="e">
        <f>IF(AND(#REF!&gt;=table!$C$11,#REF!&lt;= table!$D$11),-1,IF(AND(#REF!&gt;=table!$E$11,#REF!&lt;=table!$F$11),1,0))</f>
        <v>#REF!</v>
      </c>
      <c r="W1602" s="5" t="e">
        <f>CONCATENATE(dados[[#This Row],[fator1]],dados[[#This Row],[fator5]],dados[[#This Row],[fator6]])</f>
        <v>#REF!</v>
      </c>
    </row>
    <row r="1603" spans="1:23">
      <c r="A1603" t="s">
        <v>16</v>
      </c>
      <c r="B1603">
        <v>485628</v>
      </c>
      <c r="C1603">
        <v>6</v>
      </c>
      <c r="D1603">
        <v>25</v>
      </c>
      <c r="E1603">
        <v>120</v>
      </c>
      <c r="F1603">
        <v>4</v>
      </c>
      <c r="G1603">
        <v>0</v>
      </c>
      <c r="H1603">
        <v>55</v>
      </c>
      <c r="I1603">
        <v>766</v>
      </c>
      <c r="J1603">
        <v>0</v>
      </c>
      <c r="K1603">
        <v>3.7855000000000003</v>
      </c>
      <c r="L1603">
        <v>8.9039999999999999</v>
      </c>
      <c r="M1603">
        <v>114.16900000000001</v>
      </c>
      <c r="N1603">
        <v>33.869999999999997</v>
      </c>
      <c r="O1603">
        <v>1716</v>
      </c>
      <c r="P1603">
        <v>1323</v>
      </c>
      <c r="Q1603" s="5" t="e">
        <f>IF(AND(#REF!&gt;=table!$C$6,#REF!&lt;= table!$D$6),-1,IF(AND(#REF!&gt;=table!$E$6,#REF!&lt;=table!$F$6),1,0))</f>
        <v>#REF!</v>
      </c>
      <c r="R1603" s="5" t="e">
        <f>IF(AND(#REF!&gt;=table!$C$7,#REF!&lt;= table!$D$7),-1,IF(AND(#REF!&gt;=table!$E$7,#REF!&lt;=table!$F$7),1,0))</f>
        <v>#REF!</v>
      </c>
      <c r="S1603" s="5" t="e">
        <f>IF(AND(#REF!&gt;=table!$C$8,#REF!&lt;= table!$D$8),-1,IF(AND(#REF!&gt;=table!$E$8,#REF!&lt;=table!$F$8),1,0))</f>
        <v>#REF!</v>
      </c>
      <c r="T1603" s="5"/>
      <c r="U1603" s="5" t="e">
        <f>IF(AND(#REF!&gt;=table!$C$10,#REF!&lt;= table!$D$10),-1,IF(AND(#REF!&gt;=table!$E$10,#REF!&lt;=table!$F$10),1,0))</f>
        <v>#REF!</v>
      </c>
      <c r="V1603" s="5" t="e">
        <f>IF(AND(#REF!&gt;=table!$C$11,#REF!&lt;= table!$D$11),-1,IF(AND(#REF!&gt;=table!$E$11,#REF!&lt;=table!$F$11),1,0))</f>
        <v>#REF!</v>
      </c>
      <c r="W1603" s="5" t="e">
        <f>CONCATENATE(dados[[#This Row],[fator1]],dados[[#This Row],[fator5]],dados[[#This Row],[fator6]])</f>
        <v>#REF!</v>
      </c>
    </row>
    <row r="1604" spans="1:23">
      <c r="A1604" t="s">
        <v>16</v>
      </c>
      <c r="B1604">
        <v>485629</v>
      </c>
      <c r="C1604">
        <v>16</v>
      </c>
      <c r="D1604">
        <v>35</v>
      </c>
      <c r="E1604">
        <v>36</v>
      </c>
      <c r="F1604">
        <v>10</v>
      </c>
      <c r="G1604">
        <v>0</v>
      </c>
      <c r="H1604">
        <v>25</v>
      </c>
      <c r="I1604">
        <v>422</v>
      </c>
      <c r="J1604">
        <v>0</v>
      </c>
      <c r="K1604">
        <v>7.2766999999999999</v>
      </c>
      <c r="L1604">
        <v>14.194500000000001</v>
      </c>
      <c r="M1604">
        <v>32.0625</v>
      </c>
      <c r="N1604">
        <v>19.195</v>
      </c>
      <c r="O1604">
        <v>1675</v>
      </c>
      <c r="P1604">
        <v>598</v>
      </c>
      <c r="Q1604" s="5" t="e">
        <f>IF(AND(#REF!&gt;=table!$C$6,#REF!&lt;= table!$D$6),-1,IF(AND(#REF!&gt;=table!$E$6,#REF!&lt;=table!$F$6),1,0))</f>
        <v>#REF!</v>
      </c>
      <c r="R1604" s="5" t="e">
        <f>IF(AND(#REF!&gt;=table!$C$7,#REF!&lt;= table!$D$7),-1,IF(AND(#REF!&gt;=table!$E$7,#REF!&lt;=table!$F$7),1,0))</f>
        <v>#REF!</v>
      </c>
      <c r="S1604" s="5" t="e">
        <f>IF(AND(#REF!&gt;=table!$C$8,#REF!&lt;= table!$D$8),-1,IF(AND(#REF!&gt;=table!$E$8,#REF!&lt;=table!$F$8),1,0))</f>
        <v>#REF!</v>
      </c>
      <c r="T1604" s="5"/>
      <c r="U1604" s="5" t="e">
        <f>IF(AND(#REF!&gt;=table!$C$10,#REF!&lt;= table!$D$10),-1,IF(AND(#REF!&gt;=table!$E$10,#REF!&lt;=table!$F$10),1,0))</f>
        <v>#REF!</v>
      </c>
      <c r="V1604" s="5" t="e">
        <f>IF(AND(#REF!&gt;=table!$C$11,#REF!&lt;= table!$D$11),-1,IF(AND(#REF!&gt;=table!$E$11,#REF!&lt;=table!$F$11),1,0))</f>
        <v>#REF!</v>
      </c>
      <c r="W1604" s="5" t="e">
        <f>CONCATENATE(dados[[#This Row],[fator1]],dados[[#This Row],[fator5]],dados[[#This Row],[fator6]])</f>
        <v>#REF!</v>
      </c>
    </row>
    <row r="1605" spans="1:23">
      <c r="A1605" t="s">
        <v>16</v>
      </c>
      <c r="B1605">
        <v>485633</v>
      </c>
      <c r="C1605">
        <v>12</v>
      </c>
      <c r="D1605">
        <v>35</v>
      </c>
      <c r="E1605">
        <v>86</v>
      </c>
      <c r="F1605">
        <v>8</v>
      </c>
      <c r="G1605">
        <v>0</v>
      </c>
      <c r="H1605">
        <v>25</v>
      </c>
      <c r="I1605">
        <v>974</v>
      </c>
      <c r="J1605">
        <v>0</v>
      </c>
      <c r="K1605">
        <v>4.3860000000000001</v>
      </c>
      <c r="L1605">
        <v>8.8615000000000013</v>
      </c>
      <c r="M1605">
        <v>74.992500000000007</v>
      </c>
      <c r="N1605">
        <v>16.940000000000001</v>
      </c>
      <c r="O1605">
        <v>1679</v>
      </c>
      <c r="P1605">
        <v>973</v>
      </c>
      <c r="Q1605" s="5" t="e">
        <f>IF(AND(#REF!&gt;=table!$C$6,#REF!&lt;= table!$D$6),-1,IF(AND(#REF!&gt;=table!$E$6,#REF!&lt;=table!$F$6),1,0))</f>
        <v>#REF!</v>
      </c>
      <c r="R1605" s="5" t="e">
        <f>IF(AND(#REF!&gt;=table!$C$7,#REF!&lt;= table!$D$7),-1,IF(AND(#REF!&gt;=table!$E$7,#REF!&lt;=table!$F$7),1,0))</f>
        <v>#REF!</v>
      </c>
      <c r="S1605" s="5" t="e">
        <f>IF(AND(#REF!&gt;=table!$C$8,#REF!&lt;= table!$D$8),-1,IF(AND(#REF!&gt;=table!$E$8,#REF!&lt;=table!$F$8),1,0))</f>
        <v>#REF!</v>
      </c>
      <c r="T1605" s="5"/>
      <c r="U1605" s="5" t="e">
        <f>IF(AND(#REF!&gt;=table!$C$10,#REF!&lt;= table!$D$10),-1,IF(AND(#REF!&gt;=table!$E$10,#REF!&lt;=table!$F$10),1,0))</f>
        <v>#REF!</v>
      </c>
      <c r="V1605" s="5" t="e">
        <f>IF(AND(#REF!&gt;=table!$C$11,#REF!&lt;= table!$D$11),-1,IF(AND(#REF!&gt;=table!$E$11,#REF!&lt;=table!$F$11),1,0))</f>
        <v>#REF!</v>
      </c>
      <c r="W1605" s="5" t="e">
        <f>CONCATENATE(dados[[#This Row],[fator1]],dados[[#This Row],[fator5]],dados[[#This Row],[fator6]])</f>
        <v>#REF!</v>
      </c>
    </row>
    <row r="1606" spans="1:23">
      <c r="A1606" t="s">
        <v>16</v>
      </c>
      <c r="B1606">
        <v>485635</v>
      </c>
      <c r="C1606">
        <v>12</v>
      </c>
      <c r="D1606">
        <v>35</v>
      </c>
      <c r="E1606">
        <v>86</v>
      </c>
      <c r="F1606">
        <v>10</v>
      </c>
      <c r="G1606">
        <v>0</v>
      </c>
      <c r="H1606">
        <v>25</v>
      </c>
      <c r="I1606">
        <v>502</v>
      </c>
      <c r="J1606">
        <v>0</v>
      </c>
      <c r="K1606">
        <v>4.4390000000000001</v>
      </c>
      <c r="L1606">
        <v>8.2045000000000012</v>
      </c>
      <c r="M1606">
        <v>25.291</v>
      </c>
      <c r="N1606">
        <v>11.665000000000001</v>
      </c>
      <c r="O1606">
        <v>1660</v>
      </c>
      <c r="P1606">
        <v>1014</v>
      </c>
      <c r="Q1606" s="5" t="e">
        <f>IF(AND(#REF!&gt;=table!$C$6,#REF!&lt;= table!$D$6),-1,IF(AND(#REF!&gt;=table!$E$6,#REF!&lt;=table!$F$6),1,0))</f>
        <v>#REF!</v>
      </c>
      <c r="R1606" s="5" t="e">
        <f>IF(AND(#REF!&gt;=table!$C$7,#REF!&lt;= table!$D$7),-1,IF(AND(#REF!&gt;=table!$E$7,#REF!&lt;=table!$F$7),1,0))</f>
        <v>#REF!</v>
      </c>
      <c r="S1606" s="5" t="e">
        <f>IF(AND(#REF!&gt;=table!$C$8,#REF!&lt;= table!$D$8),-1,IF(AND(#REF!&gt;=table!$E$8,#REF!&lt;=table!$F$8),1,0))</f>
        <v>#REF!</v>
      </c>
      <c r="T1606" s="5"/>
      <c r="U1606" s="5" t="e">
        <f>IF(AND(#REF!&gt;=table!$C$10,#REF!&lt;= table!$D$10),-1,IF(AND(#REF!&gt;=table!$E$10,#REF!&lt;=table!$F$10),1,0))</f>
        <v>#REF!</v>
      </c>
      <c r="V1606" s="5" t="e">
        <f>IF(AND(#REF!&gt;=table!$C$11,#REF!&lt;= table!$D$11),-1,IF(AND(#REF!&gt;=table!$E$11,#REF!&lt;=table!$F$11),1,0))</f>
        <v>#REF!</v>
      </c>
      <c r="W1606" s="5" t="e">
        <f>CONCATENATE(dados[[#This Row],[fator1]],dados[[#This Row],[fator5]],dados[[#This Row],[fator6]])</f>
        <v>#REF!</v>
      </c>
    </row>
    <row r="1607" spans="1:23">
      <c r="A1607" t="s">
        <v>16</v>
      </c>
      <c r="B1607">
        <v>485636</v>
      </c>
      <c r="C1607">
        <v>12</v>
      </c>
      <c r="D1607">
        <v>35</v>
      </c>
      <c r="E1607">
        <v>86</v>
      </c>
      <c r="F1607">
        <v>10</v>
      </c>
      <c r="G1607">
        <v>0</v>
      </c>
      <c r="H1607">
        <v>25</v>
      </c>
      <c r="I1607">
        <v>360</v>
      </c>
      <c r="J1607">
        <v>780</v>
      </c>
      <c r="K1607">
        <v>14.109500000000001</v>
      </c>
      <c r="L1607">
        <v>20.864000000000001</v>
      </c>
      <c r="M1607">
        <v>69.009500000000003</v>
      </c>
      <c r="N1607">
        <v>18.065000000000001</v>
      </c>
      <c r="O1607">
        <v>1672</v>
      </c>
      <c r="P1607">
        <v>235</v>
      </c>
      <c r="Q1607" s="5" t="e">
        <f>IF(AND(#REF!&gt;=table!$C$6,#REF!&lt;= table!$D$6),-1,IF(AND(#REF!&gt;=table!$E$6,#REF!&lt;=table!$F$6),1,0))</f>
        <v>#REF!</v>
      </c>
      <c r="R1607" s="5" t="e">
        <f>IF(AND(#REF!&gt;=table!$C$7,#REF!&lt;= table!$D$7),-1,IF(AND(#REF!&gt;=table!$E$7,#REF!&lt;=table!$F$7),1,0))</f>
        <v>#REF!</v>
      </c>
      <c r="S1607" s="5" t="e">
        <f>IF(AND(#REF!&gt;=table!$C$8,#REF!&lt;= table!$D$8),-1,IF(AND(#REF!&gt;=table!$E$8,#REF!&lt;=table!$F$8),1,0))</f>
        <v>#REF!</v>
      </c>
      <c r="T1607" s="5"/>
      <c r="U1607" s="5" t="e">
        <f>IF(AND(#REF!&gt;=table!$C$10,#REF!&lt;= table!$D$10),-1,IF(AND(#REF!&gt;=table!$E$10,#REF!&lt;=table!$F$10),1,0))</f>
        <v>#REF!</v>
      </c>
      <c r="V1607" s="5" t="e">
        <f>IF(AND(#REF!&gt;=table!$C$11,#REF!&lt;= table!$D$11),-1,IF(AND(#REF!&gt;=table!$E$11,#REF!&lt;=table!$F$11),1,0))</f>
        <v>#REF!</v>
      </c>
      <c r="W1607" s="5" t="e">
        <f>CONCATENATE(dados[[#This Row],[fator1]],dados[[#This Row],[fator5]],dados[[#This Row],[fator6]])</f>
        <v>#REF!</v>
      </c>
    </row>
    <row r="1608" spans="1:23">
      <c r="A1608" t="s">
        <v>17</v>
      </c>
      <c r="B1608">
        <v>485640</v>
      </c>
      <c r="C1608">
        <v>18</v>
      </c>
      <c r="D1608">
        <v>23</v>
      </c>
      <c r="E1608">
        <v>145</v>
      </c>
      <c r="F1608">
        <v>9</v>
      </c>
      <c r="G1608">
        <v>30</v>
      </c>
      <c r="H1608">
        <v>25</v>
      </c>
      <c r="I1608">
        <v>631</v>
      </c>
      <c r="J1608">
        <v>660</v>
      </c>
      <c r="K1608">
        <v>5.1065000000000005</v>
      </c>
      <c r="L1608">
        <v>7.1080000000000005</v>
      </c>
      <c r="M1608">
        <v>134.011</v>
      </c>
      <c r="N1608">
        <v>16.71</v>
      </c>
      <c r="O1608">
        <v>1669</v>
      </c>
      <c r="P1608">
        <v>0</v>
      </c>
      <c r="Q1608" s="5" t="e">
        <f>IF(AND(#REF!&gt;=table!$C$6,#REF!&lt;= table!$D$6),-1,IF(AND(#REF!&gt;=table!$E$6,#REF!&lt;=table!$F$6),1,0))</f>
        <v>#REF!</v>
      </c>
      <c r="R1608" s="5" t="e">
        <f>IF(AND(#REF!&gt;=table!$C$7,#REF!&lt;= table!$D$7),-1,IF(AND(#REF!&gt;=table!$E$7,#REF!&lt;=table!$F$7),1,0))</f>
        <v>#REF!</v>
      </c>
      <c r="S1608" s="5" t="e">
        <f>IF(AND(#REF!&gt;=table!$C$8,#REF!&lt;= table!$D$8),-1,IF(AND(#REF!&gt;=table!$E$8,#REF!&lt;=table!$F$8),1,0))</f>
        <v>#REF!</v>
      </c>
      <c r="T1608" s="5"/>
      <c r="U1608" s="5" t="e">
        <f>IF(AND(#REF!&gt;=table!$C$10,#REF!&lt;= table!$D$10),-1,IF(AND(#REF!&gt;=table!$E$10,#REF!&lt;=table!$F$10),1,0))</f>
        <v>#REF!</v>
      </c>
      <c r="V1608" s="5" t="e">
        <f>IF(AND(#REF!&gt;=table!$C$11,#REF!&lt;= table!$D$11),-1,IF(AND(#REF!&gt;=table!$E$11,#REF!&lt;=table!$F$11),1,0))</f>
        <v>#REF!</v>
      </c>
      <c r="W1608" s="5" t="e">
        <f>CONCATENATE(dados[[#This Row],[fator1]],dados[[#This Row],[fator5]],dados[[#This Row],[fator6]])</f>
        <v>#REF!</v>
      </c>
    </row>
    <row r="1609" spans="1:23">
      <c r="A1609" t="s">
        <v>17</v>
      </c>
      <c r="B1609">
        <v>485641</v>
      </c>
      <c r="C1609">
        <v>15</v>
      </c>
      <c r="D1609">
        <v>23</v>
      </c>
      <c r="E1609">
        <v>155</v>
      </c>
      <c r="F1609">
        <v>4</v>
      </c>
      <c r="G1609">
        <v>30</v>
      </c>
      <c r="H1609">
        <v>25</v>
      </c>
      <c r="I1609">
        <v>1</v>
      </c>
      <c r="J1609">
        <v>0</v>
      </c>
      <c r="K1609">
        <v>6.1560000000000006</v>
      </c>
      <c r="L1609">
        <v>11.910500000000001</v>
      </c>
      <c r="M1609">
        <v>138.6035</v>
      </c>
      <c r="N1609">
        <v>15.835000000000001</v>
      </c>
      <c r="O1609">
        <v>1673</v>
      </c>
      <c r="P1609">
        <v>568</v>
      </c>
      <c r="Q1609" s="5" t="e">
        <f>IF(AND(#REF!&gt;=table!$C$6,#REF!&lt;= table!$D$6),-1,IF(AND(#REF!&gt;=table!$E$6,#REF!&lt;=table!$F$6),1,0))</f>
        <v>#REF!</v>
      </c>
      <c r="R1609" s="5" t="e">
        <f>IF(AND(#REF!&gt;=table!$C$7,#REF!&lt;= table!$D$7),-1,IF(AND(#REF!&gt;=table!$E$7,#REF!&lt;=table!$F$7),1,0))</f>
        <v>#REF!</v>
      </c>
      <c r="S1609" s="5" t="e">
        <f>IF(AND(#REF!&gt;=table!$C$8,#REF!&lt;= table!$D$8),-1,IF(AND(#REF!&gt;=table!$E$8,#REF!&lt;=table!$F$8),1,0))</f>
        <v>#REF!</v>
      </c>
      <c r="T1609" s="5"/>
      <c r="U1609" s="5" t="e">
        <f>IF(AND(#REF!&gt;=table!$C$10,#REF!&lt;= table!$D$10),-1,IF(AND(#REF!&gt;=table!$E$10,#REF!&lt;=table!$F$10),1,0))</f>
        <v>#REF!</v>
      </c>
      <c r="V1609" s="5" t="e">
        <f>IF(AND(#REF!&gt;=table!$C$11,#REF!&lt;= table!$D$11),-1,IF(AND(#REF!&gt;=table!$E$11,#REF!&lt;=table!$F$11),1,0))</f>
        <v>#REF!</v>
      </c>
      <c r="W1609" s="5" t="e">
        <f>CONCATENATE(dados[[#This Row],[fator1]],dados[[#This Row],[fator5]],dados[[#This Row],[fator6]])</f>
        <v>#REF!</v>
      </c>
    </row>
    <row r="1610" spans="1:23">
      <c r="A1610" t="s">
        <v>17</v>
      </c>
      <c r="B1610">
        <v>485644</v>
      </c>
      <c r="C1610">
        <v>18</v>
      </c>
      <c r="D1610">
        <v>33</v>
      </c>
      <c r="E1610">
        <v>85</v>
      </c>
      <c r="F1610">
        <v>5</v>
      </c>
      <c r="G1610">
        <v>28</v>
      </c>
      <c r="H1610">
        <v>25</v>
      </c>
      <c r="I1610">
        <v>442</v>
      </c>
      <c r="J1610">
        <v>0</v>
      </c>
      <c r="K1610">
        <v>4.1450000000000005</v>
      </c>
      <c r="L1610">
        <v>7.2430000000000003</v>
      </c>
      <c r="M1610">
        <v>71.11</v>
      </c>
      <c r="N1610">
        <v>14.1</v>
      </c>
      <c r="O1610">
        <v>1670</v>
      </c>
      <c r="P1610">
        <v>0</v>
      </c>
      <c r="Q1610" s="5" t="e">
        <f>IF(AND(#REF!&gt;=table!$C$6,#REF!&lt;= table!$D$6),-1,IF(AND(#REF!&gt;=table!$E$6,#REF!&lt;=table!$F$6),1,0))</f>
        <v>#REF!</v>
      </c>
      <c r="R1610" s="5" t="e">
        <f>IF(AND(#REF!&gt;=table!$C$7,#REF!&lt;= table!$D$7),-1,IF(AND(#REF!&gt;=table!$E$7,#REF!&lt;=table!$F$7),1,0))</f>
        <v>#REF!</v>
      </c>
      <c r="S1610" s="5" t="e">
        <f>IF(AND(#REF!&gt;=table!$C$8,#REF!&lt;= table!$D$8),-1,IF(AND(#REF!&gt;=table!$E$8,#REF!&lt;=table!$F$8),1,0))</f>
        <v>#REF!</v>
      </c>
      <c r="T1610" s="5"/>
      <c r="U1610" s="5" t="e">
        <f>IF(AND(#REF!&gt;=table!$C$10,#REF!&lt;= table!$D$10),-1,IF(AND(#REF!&gt;=table!$E$10,#REF!&lt;=table!$F$10),1,0))</f>
        <v>#REF!</v>
      </c>
      <c r="V1610" s="5" t="e">
        <f>IF(AND(#REF!&gt;=table!$C$11,#REF!&lt;= table!$D$11),-1,IF(AND(#REF!&gt;=table!$E$11,#REF!&lt;=table!$F$11),1,0))</f>
        <v>#REF!</v>
      </c>
      <c r="W1610" s="5" t="e">
        <f>CONCATENATE(dados[[#This Row],[fator1]],dados[[#This Row],[fator5]],dados[[#This Row],[fator6]])</f>
        <v>#REF!</v>
      </c>
    </row>
    <row r="1611" spans="1:23">
      <c r="A1611" t="s">
        <v>16</v>
      </c>
      <c r="B1611">
        <v>485645</v>
      </c>
      <c r="C1611">
        <v>0.15</v>
      </c>
      <c r="D1611">
        <v>40</v>
      </c>
      <c r="E1611">
        <v>10</v>
      </c>
      <c r="F1611">
        <v>15</v>
      </c>
      <c r="G1611">
        <v>0</v>
      </c>
      <c r="H1611">
        <v>15</v>
      </c>
      <c r="I1611">
        <v>0</v>
      </c>
      <c r="J1611">
        <v>0</v>
      </c>
      <c r="K1611">
        <v>4.5884999999999998</v>
      </c>
      <c r="L1611">
        <v>7.3925000000000001</v>
      </c>
      <c r="M1611">
        <v>6.6040000000000001</v>
      </c>
      <c r="N1611">
        <v>11.03</v>
      </c>
      <c r="O1611">
        <v>1646</v>
      </c>
      <c r="P1611">
        <v>838</v>
      </c>
      <c r="Q1611" s="5" t="e">
        <f>IF(AND(#REF!&gt;=table!$C$6,#REF!&lt;= table!$D$6),-1,IF(AND(#REF!&gt;=table!$E$6,#REF!&lt;=table!$F$6),1,0))</f>
        <v>#REF!</v>
      </c>
      <c r="R1611" s="5" t="e">
        <f>IF(AND(#REF!&gt;=table!$C$7,#REF!&lt;= table!$D$7),-1,IF(AND(#REF!&gt;=table!$E$7,#REF!&lt;=table!$F$7),1,0))</f>
        <v>#REF!</v>
      </c>
      <c r="S1611" s="5" t="e">
        <f>IF(AND(#REF!&gt;=table!$C$8,#REF!&lt;= table!$D$8),-1,IF(AND(#REF!&gt;=table!$E$8,#REF!&lt;=table!$F$8),1,0))</f>
        <v>#REF!</v>
      </c>
      <c r="T1611" s="5"/>
      <c r="U1611" s="5" t="e">
        <f>IF(AND(#REF!&gt;=table!$C$10,#REF!&lt;= table!$D$10),-1,IF(AND(#REF!&gt;=table!$E$10,#REF!&lt;=table!$F$10),1,0))</f>
        <v>#REF!</v>
      </c>
      <c r="V1611" s="5" t="e">
        <f>IF(AND(#REF!&gt;=table!$C$11,#REF!&lt;= table!$D$11),-1,IF(AND(#REF!&gt;=table!$E$11,#REF!&lt;=table!$F$11),1,0))</f>
        <v>#REF!</v>
      </c>
      <c r="W1611" s="5" t="e">
        <f>CONCATENATE(dados[[#This Row],[fator1]],dados[[#This Row],[fator5]],dados[[#This Row],[fator6]])</f>
        <v>#REF!</v>
      </c>
    </row>
    <row r="1612" spans="1:23">
      <c r="A1612" t="s">
        <v>16</v>
      </c>
      <c r="B1612">
        <v>485649</v>
      </c>
      <c r="C1612">
        <v>16</v>
      </c>
      <c r="D1612">
        <v>30</v>
      </c>
      <c r="E1612">
        <v>36</v>
      </c>
      <c r="F1612">
        <v>3</v>
      </c>
      <c r="G1612">
        <v>0</v>
      </c>
      <c r="H1612">
        <v>25</v>
      </c>
      <c r="I1612">
        <v>1388</v>
      </c>
      <c r="J1612">
        <v>0</v>
      </c>
      <c r="K1612">
        <v>3.9460000000000002</v>
      </c>
      <c r="L1612">
        <v>7.6320000000000006</v>
      </c>
      <c r="M1612">
        <v>27.791</v>
      </c>
      <c r="N1612">
        <v>13.745000000000001</v>
      </c>
      <c r="O1612">
        <v>1661</v>
      </c>
      <c r="P1612">
        <v>1228</v>
      </c>
      <c r="Q1612" s="5" t="e">
        <f>IF(AND(#REF!&gt;=table!$C$6,#REF!&lt;= table!$D$6),-1,IF(AND(#REF!&gt;=table!$E$6,#REF!&lt;=table!$F$6),1,0))</f>
        <v>#REF!</v>
      </c>
      <c r="R1612" s="5" t="e">
        <f>IF(AND(#REF!&gt;=table!$C$7,#REF!&lt;= table!$D$7),-1,IF(AND(#REF!&gt;=table!$E$7,#REF!&lt;=table!$F$7),1,0))</f>
        <v>#REF!</v>
      </c>
      <c r="S1612" s="5" t="e">
        <f>IF(AND(#REF!&gt;=table!$C$8,#REF!&lt;= table!$D$8),-1,IF(AND(#REF!&gt;=table!$E$8,#REF!&lt;=table!$F$8),1,0))</f>
        <v>#REF!</v>
      </c>
      <c r="T1612" s="5"/>
      <c r="U1612" s="5" t="e">
        <f>IF(AND(#REF!&gt;=table!$C$10,#REF!&lt;= table!$D$10),-1,IF(AND(#REF!&gt;=table!$E$10,#REF!&lt;=table!$F$10),1,0))</f>
        <v>#REF!</v>
      </c>
      <c r="V1612" s="5" t="e">
        <f>IF(AND(#REF!&gt;=table!$C$11,#REF!&lt;= table!$D$11),-1,IF(AND(#REF!&gt;=table!$E$11,#REF!&lt;=table!$F$11),1,0))</f>
        <v>#REF!</v>
      </c>
      <c r="W1612" s="5" t="e">
        <f>CONCATENATE(dados[[#This Row],[fator1]],dados[[#This Row],[fator5]],dados[[#This Row],[fator6]])</f>
        <v>#REF!</v>
      </c>
    </row>
    <row r="1613" spans="1:23">
      <c r="A1613" t="s">
        <v>16</v>
      </c>
      <c r="B1613">
        <v>485651</v>
      </c>
      <c r="C1613">
        <v>0.15</v>
      </c>
      <c r="D1613">
        <v>35</v>
      </c>
      <c r="E1613">
        <v>15</v>
      </c>
      <c r="F1613">
        <v>10</v>
      </c>
      <c r="G1613">
        <v>0</v>
      </c>
      <c r="H1613">
        <v>12</v>
      </c>
      <c r="I1613">
        <v>834</v>
      </c>
      <c r="J1613">
        <v>0</v>
      </c>
      <c r="K1613">
        <v>4.4420000000000002</v>
      </c>
      <c r="L1613">
        <v>7.867</v>
      </c>
      <c r="M1613">
        <v>6.3420000000000005</v>
      </c>
      <c r="N1613">
        <v>10.895000000000001</v>
      </c>
      <c r="O1613">
        <v>1657</v>
      </c>
      <c r="P1613">
        <v>974</v>
      </c>
      <c r="Q1613" s="5" t="e">
        <f>IF(AND(#REF!&gt;=table!$C$6,#REF!&lt;= table!$D$6),-1,IF(AND(#REF!&gt;=table!$E$6,#REF!&lt;=table!$F$6),1,0))</f>
        <v>#REF!</v>
      </c>
      <c r="R1613" s="5" t="e">
        <f>IF(AND(#REF!&gt;=table!$C$7,#REF!&lt;= table!$D$7),-1,IF(AND(#REF!&gt;=table!$E$7,#REF!&lt;=table!$F$7),1,0))</f>
        <v>#REF!</v>
      </c>
      <c r="S1613" s="5" t="e">
        <f>IF(AND(#REF!&gt;=table!$C$8,#REF!&lt;= table!$D$8),-1,IF(AND(#REF!&gt;=table!$E$8,#REF!&lt;=table!$F$8),1,0))</f>
        <v>#REF!</v>
      </c>
      <c r="T1613" s="5"/>
      <c r="U1613" s="5" t="e">
        <f>IF(AND(#REF!&gt;=table!$C$10,#REF!&lt;= table!$D$10),-1,IF(AND(#REF!&gt;=table!$E$10,#REF!&lt;=table!$F$10),1,0))</f>
        <v>#REF!</v>
      </c>
      <c r="V1613" s="5" t="e">
        <f>IF(AND(#REF!&gt;=table!$C$11,#REF!&lt;= table!$D$11),-1,IF(AND(#REF!&gt;=table!$E$11,#REF!&lt;=table!$F$11),1,0))</f>
        <v>#REF!</v>
      </c>
      <c r="W1613" s="5" t="e">
        <f>CONCATENATE(dados[[#This Row],[fator1]],dados[[#This Row],[fator5]],dados[[#This Row],[fator6]])</f>
        <v>#REF!</v>
      </c>
    </row>
    <row r="1614" spans="1:23">
      <c r="A1614" t="s">
        <v>16</v>
      </c>
      <c r="B1614">
        <v>485652</v>
      </c>
      <c r="C1614">
        <v>16</v>
      </c>
      <c r="D1614">
        <v>30</v>
      </c>
      <c r="E1614">
        <v>36</v>
      </c>
      <c r="F1614">
        <v>3</v>
      </c>
      <c r="G1614">
        <v>0</v>
      </c>
      <c r="H1614">
        <v>25</v>
      </c>
      <c r="I1614">
        <v>945</v>
      </c>
      <c r="J1614">
        <v>0</v>
      </c>
      <c r="K1614">
        <v>6.2125000000000004</v>
      </c>
      <c r="L1614">
        <v>13.399000000000001</v>
      </c>
      <c r="M1614">
        <v>28.929000000000002</v>
      </c>
      <c r="N1614">
        <v>19.27</v>
      </c>
      <c r="O1614">
        <v>1663</v>
      </c>
      <c r="P1614">
        <v>577</v>
      </c>
      <c r="Q1614" s="5" t="e">
        <f>IF(AND(#REF!&gt;=table!$C$6,#REF!&lt;= table!$D$6),-1,IF(AND(#REF!&gt;=table!$E$6,#REF!&lt;=table!$F$6),1,0))</f>
        <v>#REF!</v>
      </c>
      <c r="R1614" s="5" t="e">
        <f>IF(AND(#REF!&gt;=table!$C$7,#REF!&lt;= table!$D$7),-1,IF(AND(#REF!&gt;=table!$E$7,#REF!&lt;=table!$F$7),1,0))</f>
        <v>#REF!</v>
      </c>
      <c r="S1614" s="5" t="e">
        <f>IF(AND(#REF!&gt;=table!$C$8,#REF!&lt;= table!$D$8),-1,IF(AND(#REF!&gt;=table!$E$8,#REF!&lt;=table!$F$8),1,0))</f>
        <v>#REF!</v>
      </c>
      <c r="T1614" s="5"/>
      <c r="U1614" s="5" t="e">
        <f>IF(AND(#REF!&gt;=table!$C$10,#REF!&lt;= table!$D$10),-1,IF(AND(#REF!&gt;=table!$E$10,#REF!&lt;=table!$F$10),1,0))</f>
        <v>#REF!</v>
      </c>
      <c r="V1614" s="5" t="e">
        <f>IF(AND(#REF!&gt;=table!$C$11,#REF!&lt;= table!$D$11),-1,IF(AND(#REF!&gt;=table!$E$11,#REF!&lt;=table!$F$11),1,0))</f>
        <v>#REF!</v>
      </c>
      <c r="W1614" s="5" t="e">
        <f>CONCATENATE(dados[[#This Row],[fator1]],dados[[#This Row],[fator5]],dados[[#This Row],[fator6]])</f>
        <v>#REF!</v>
      </c>
    </row>
    <row r="1615" spans="1:23">
      <c r="A1615" t="s">
        <v>16</v>
      </c>
      <c r="B1615">
        <v>485653</v>
      </c>
      <c r="C1615">
        <v>16</v>
      </c>
      <c r="D1615">
        <v>30</v>
      </c>
      <c r="E1615">
        <v>56</v>
      </c>
      <c r="F1615">
        <v>3</v>
      </c>
      <c r="G1615">
        <v>0</v>
      </c>
      <c r="H1615">
        <v>25</v>
      </c>
      <c r="I1615">
        <v>1265</v>
      </c>
      <c r="J1615">
        <v>550</v>
      </c>
      <c r="K1615">
        <v>2.7949999999999999</v>
      </c>
      <c r="L1615">
        <v>4.2195</v>
      </c>
      <c r="M1615">
        <v>41.913000000000004</v>
      </c>
      <c r="N1615">
        <v>15.025</v>
      </c>
      <c r="O1615">
        <v>1653</v>
      </c>
      <c r="P1615">
        <v>1005</v>
      </c>
      <c r="Q1615" s="5" t="e">
        <f>IF(AND(#REF!&gt;=table!$C$6,#REF!&lt;= table!$D$6),-1,IF(AND(#REF!&gt;=table!$E$6,#REF!&lt;=table!$F$6),1,0))</f>
        <v>#REF!</v>
      </c>
      <c r="R1615" s="5" t="e">
        <f>IF(AND(#REF!&gt;=table!$C$7,#REF!&lt;= table!$D$7),-1,IF(AND(#REF!&gt;=table!$E$7,#REF!&lt;=table!$F$7),1,0))</f>
        <v>#REF!</v>
      </c>
      <c r="S1615" s="5" t="e">
        <f>IF(AND(#REF!&gt;=table!$C$8,#REF!&lt;= table!$D$8),-1,IF(AND(#REF!&gt;=table!$E$8,#REF!&lt;=table!$F$8),1,0))</f>
        <v>#REF!</v>
      </c>
      <c r="T1615" s="5"/>
      <c r="U1615" s="5" t="e">
        <f>IF(AND(#REF!&gt;=table!$C$10,#REF!&lt;= table!$D$10),-1,IF(AND(#REF!&gt;=table!$E$10,#REF!&lt;=table!$F$10),1,0))</f>
        <v>#REF!</v>
      </c>
      <c r="V1615" s="5" t="e">
        <f>IF(AND(#REF!&gt;=table!$C$11,#REF!&lt;= table!$D$11),-1,IF(AND(#REF!&gt;=table!$E$11,#REF!&lt;=table!$F$11),1,0))</f>
        <v>#REF!</v>
      </c>
      <c r="W1615" s="5" t="e">
        <f>CONCATENATE(dados[[#This Row],[fator1]],dados[[#This Row],[fator5]],dados[[#This Row],[fator6]])</f>
        <v>#REF!</v>
      </c>
    </row>
    <row r="1616" spans="1:23">
      <c r="A1616" t="s">
        <v>16</v>
      </c>
      <c r="B1616">
        <v>485654</v>
      </c>
      <c r="C1616">
        <v>16</v>
      </c>
      <c r="D1616">
        <v>35</v>
      </c>
      <c r="E1616">
        <v>56</v>
      </c>
      <c r="F1616">
        <v>10</v>
      </c>
      <c r="G1616">
        <v>0</v>
      </c>
      <c r="H1616">
        <v>25</v>
      </c>
      <c r="I1616">
        <v>793</v>
      </c>
      <c r="J1616">
        <v>930</v>
      </c>
      <c r="K1616">
        <v>3.9265000000000003</v>
      </c>
      <c r="L1616">
        <v>4.3330000000000002</v>
      </c>
      <c r="M1616">
        <v>42.524000000000001</v>
      </c>
      <c r="N1616">
        <v>10.78</v>
      </c>
      <c r="O1616">
        <v>1619</v>
      </c>
      <c r="P1616">
        <v>747</v>
      </c>
      <c r="Q1616" s="5" t="e">
        <f>IF(AND(#REF!&gt;=table!$C$6,#REF!&lt;= table!$D$6),-1,IF(AND(#REF!&gt;=table!$E$6,#REF!&lt;=table!$F$6),1,0))</f>
        <v>#REF!</v>
      </c>
      <c r="R1616" s="5" t="e">
        <f>IF(AND(#REF!&gt;=table!$C$7,#REF!&lt;= table!$D$7),-1,IF(AND(#REF!&gt;=table!$E$7,#REF!&lt;=table!$F$7),1,0))</f>
        <v>#REF!</v>
      </c>
      <c r="S1616" s="5" t="e">
        <f>IF(AND(#REF!&gt;=table!$C$8,#REF!&lt;= table!$D$8),-1,IF(AND(#REF!&gt;=table!$E$8,#REF!&lt;=table!$F$8),1,0))</f>
        <v>#REF!</v>
      </c>
      <c r="T1616" s="5"/>
      <c r="U1616" s="5" t="e">
        <f>IF(AND(#REF!&gt;=table!$C$10,#REF!&lt;= table!$D$10),-1,IF(AND(#REF!&gt;=table!$E$10,#REF!&lt;=table!$F$10),1,0))</f>
        <v>#REF!</v>
      </c>
      <c r="V1616" s="5" t="e">
        <f>IF(AND(#REF!&gt;=table!$C$11,#REF!&lt;= table!$D$11),-1,IF(AND(#REF!&gt;=table!$E$11,#REF!&lt;=table!$F$11),1,0))</f>
        <v>#REF!</v>
      </c>
      <c r="W1616" s="5" t="e">
        <f>CONCATENATE(dados[[#This Row],[fator1]],dados[[#This Row],[fator5]],dados[[#This Row],[fator6]])</f>
        <v>#REF!</v>
      </c>
    </row>
    <row r="1617" spans="1:23">
      <c r="A1617" t="s">
        <v>17</v>
      </c>
      <c r="B1617">
        <v>485657</v>
      </c>
      <c r="C1617">
        <v>8</v>
      </c>
      <c r="D1617">
        <v>33</v>
      </c>
      <c r="E1617">
        <v>160</v>
      </c>
      <c r="F1617">
        <v>3</v>
      </c>
      <c r="G1617">
        <v>25</v>
      </c>
      <c r="H1617">
        <v>21</v>
      </c>
      <c r="I1617">
        <v>266</v>
      </c>
      <c r="J1617">
        <v>0</v>
      </c>
      <c r="K1617">
        <v>3.2510000000000003</v>
      </c>
      <c r="L1617">
        <v>5.0609999999999999</v>
      </c>
      <c r="M1617">
        <v>147.58600000000001</v>
      </c>
      <c r="N1617">
        <v>12.07</v>
      </c>
      <c r="O1617">
        <v>1664</v>
      </c>
      <c r="P1617">
        <v>999</v>
      </c>
      <c r="Q1617" s="5" t="e">
        <f>IF(AND(#REF!&gt;=table!$C$6,#REF!&lt;= table!$D$6),-1,IF(AND(#REF!&gt;=table!$E$6,#REF!&lt;=table!$F$6),1,0))</f>
        <v>#REF!</v>
      </c>
      <c r="R1617" s="5" t="e">
        <f>IF(AND(#REF!&gt;=table!$C$7,#REF!&lt;= table!$D$7),-1,IF(AND(#REF!&gt;=table!$E$7,#REF!&lt;=table!$F$7),1,0))</f>
        <v>#REF!</v>
      </c>
      <c r="S1617" s="5" t="e">
        <f>IF(AND(#REF!&gt;=table!$C$8,#REF!&lt;= table!$D$8),-1,IF(AND(#REF!&gt;=table!$E$8,#REF!&lt;=table!$F$8),1,0))</f>
        <v>#REF!</v>
      </c>
      <c r="T1617" s="5"/>
      <c r="U1617" s="5" t="e">
        <f>IF(AND(#REF!&gt;=table!$C$10,#REF!&lt;= table!$D$10),-1,IF(AND(#REF!&gt;=table!$E$10,#REF!&lt;=table!$F$10),1,0))</f>
        <v>#REF!</v>
      </c>
      <c r="V1617" s="5" t="e">
        <f>IF(AND(#REF!&gt;=table!$C$11,#REF!&lt;= table!$D$11),-1,IF(AND(#REF!&gt;=table!$E$11,#REF!&lt;=table!$F$11),1,0))</f>
        <v>#REF!</v>
      </c>
      <c r="W1617" s="5" t="e">
        <f>CONCATENATE(dados[[#This Row],[fator1]],dados[[#This Row],[fator5]],dados[[#This Row],[fator6]])</f>
        <v>#REF!</v>
      </c>
    </row>
    <row r="1618" spans="1:23">
      <c r="A1618" t="s">
        <v>16</v>
      </c>
      <c r="B1618">
        <v>485667</v>
      </c>
      <c r="C1618">
        <v>0.15</v>
      </c>
      <c r="D1618">
        <v>40</v>
      </c>
      <c r="E1618">
        <v>10</v>
      </c>
      <c r="F1618">
        <v>15</v>
      </c>
      <c r="G1618">
        <v>0</v>
      </c>
      <c r="H1618">
        <v>15</v>
      </c>
      <c r="I1618">
        <v>581</v>
      </c>
      <c r="J1618">
        <v>0</v>
      </c>
      <c r="K1618">
        <v>4.1814999999999998</v>
      </c>
      <c r="L1618">
        <v>3.2355</v>
      </c>
      <c r="M1618">
        <v>3.2520000000000002</v>
      </c>
      <c r="N1618">
        <v>6.61</v>
      </c>
      <c r="O1618">
        <v>1668</v>
      </c>
      <c r="P1618">
        <v>936</v>
      </c>
      <c r="Q1618" s="5" t="e">
        <f>IF(AND(#REF!&gt;=table!$C$6,#REF!&lt;= table!$D$6),-1,IF(AND(#REF!&gt;=table!$E$6,#REF!&lt;=table!$F$6),1,0))</f>
        <v>#REF!</v>
      </c>
      <c r="R1618" s="5" t="e">
        <f>IF(AND(#REF!&gt;=table!$C$7,#REF!&lt;= table!$D$7),-1,IF(AND(#REF!&gt;=table!$E$7,#REF!&lt;=table!$F$7),1,0))</f>
        <v>#REF!</v>
      </c>
      <c r="S1618" s="5" t="e">
        <f>IF(AND(#REF!&gt;=table!$C$8,#REF!&lt;= table!$D$8),-1,IF(AND(#REF!&gt;=table!$E$8,#REF!&lt;=table!$F$8),1,0))</f>
        <v>#REF!</v>
      </c>
      <c r="T1618" s="5"/>
      <c r="U1618" s="5" t="e">
        <f>IF(AND(#REF!&gt;=table!$C$10,#REF!&lt;= table!$D$10),-1,IF(AND(#REF!&gt;=table!$E$10,#REF!&lt;=table!$F$10),1,0))</f>
        <v>#REF!</v>
      </c>
      <c r="V1618" s="5" t="e">
        <f>IF(AND(#REF!&gt;=table!$C$11,#REF!&lt;= table!$D$11),-1,IF(AND(#REF!&gt;=table!$E$11,#REF!&lt;=table!$F$11),1,0))</f>
        <v>#REF!</v>
      </c>
      <c r="W1618" s="5" t="e">
        <f>CONCATENATE(dados[[#This Row],[fator1]],dados[[#This Row],[fator5]],dados[[#This Row],[fator6]])</f>
        <v>#REF!</v>
      </c>
    </row>
    <row r="1619" spans="1:23">
      <c r="A1619" t="s">
        <v>16</v>
      </c>
      <c r="B1619">
        <v>485668</v>
      </c>
      <c r="C1619">
        <v>0.15</v>
      </c>
      <c r="D1619">
        <v>40</v>
      </c>
      <c r="E1619">
        <v>10</v>
      </c>
      <c r="F1619">
        <v>15</v>
      </c>
      <c r="G1619">
        <v>0</v>
      </c>
      <c r="H1619">
        <v>15</v>
      </c>
      <c r="I1619">
        <v>736</v>
      </c>
      <c r="J1619">
        <v>0</v>
      </c>
      <c r="K1619">
        <v>2.8680000000000003</v>
      </c>
      <c r="L1619">
        <v>2.2645</v>
      </c>
      <c r="M1619">
        <v>2.3585000000000003</v>
      </c>
      <c r="N1619">
        <v>7.3100000000000005</v>
      </c>
      <c r="O1619">
        <v>1684</v>
      </c>
      <c r="P1619">
        <v>0</v>
      </c>
      <c r="Q1619" s="5" t="e">
        <f>IF(AND(#REF!&gt;=table!$C$6,#REF!&lt;= table!$D$6),-1,IF(AND(#REF!&gt;=table!$E$6,#REF!&lt;=table!$F$6),1,0))</f>
        <v>#REF!</v>
      </c>
      <c r="R1619" s="5" t="e">
        <f>IF(AND(#REF!&gt;=table!$C$7,#REF!&lt;= table!$D$7),-1,IF(AND(#REF!&gt;=table!$E$7,#REF!&lt;=table!$F$7),1,0))</f>
        <v>#REF!</v>
      </c>
      <c r="S1619" s="5" t="e">
        <f>IF(AND(#REF!&gt;=table!$C$8,#REF!&lt;= table!$D$8),-1,IF(AND(#REF!&gt;=table!$E$8,#REF!&lt;=table!$F$8),1,0))</f>
        <v>#REF!</v>
      </c>
      <c r="T1619" s="5"/>
      <c r="U1619" s="5" t="e">
        <f>IF(AND(#REF!&gt;=table!$C$10,#REF!&lt;= table!$D$10),-1,IF(AND(#REF!&gt;=table!$E$10,#REF!&lt;=table!$F$10),1,0))</f>
        <v>#REF!</v>
      </c>
      <c r="V1619" s="5" t="e">
        <f>IF(AND(#REF!&gt;=table!$C$11,#REF!&lt;= table!$D$11),-1,IF(AND(#REF!&gt;=table!$E$11,#REF!&lt;=table!$F$11),1,0))</f>
        <v>#REF!</v>
      </c>
      <c r="W1619" s="5" t="e">
        <f>CONCATENATE(dados[[#This Row],[fator1]],dados[[#This Row],[fator5]],dados[[#This Row],[fator6]])</f>
        <v>#REF!</v>
      </c>
    </row>
    <row r="1620" spans="1:23">
      <c r="A1620" t="s">
        <v>16</v>
      </c>
      <c r="B1620">
        <v>485671</v>
      </c>
      <c r="C1620">
        <v>0.15</v>
      </c>
      <c r="D1620">
        <v>40</v>
      </c>
      <c r="E1620">
        <v>10</v>
      </c>
      <c r="F1620">
        <v>15</v>
      </c>
      <c r="G1620">
        <v>0</v>
      </c>
      <c r="H1620">
        <v>15</v>
      </c>
      <c r="I1620">
        <v>959</v>
      </c>
      <c r="J1620">
        <v>0</v>
      </c>
      <c r="K1620">
        <v>2.758</v>
      </c>
      <c r="L1620">
        <v>3.97</v>
      </c>
      <c r="M1620">
        <v>3.4365000000000001</v>
      </c>
      <c r="N1620">
        <v>10.275</v>
      </c>
      <c r="O1620">
        <v>1657</v>
      </c>
      <c r="P1620">
        <v>1397</v>
      </c>
      <c r="Q1620" s="5" t="e">
        <f>IF(AND(#REF!&gt;=table!$C$6,#REF!&lt;= table!$D$6),-1,IF(AND(#REF!&gt;=table!$E$6,#REF!&lt;=table!$F$6),1,0))</f>
        <v>#REF!</v>
      </c>
      <c r="R1620" s="5" t="e">
        <f>IF(AND(#REF!&gt;=table!$C$7,#REF!&lt;= table!$D$7),-1,IF(AND(#REF!&gt;=table!$E$7,#REF!&lt;=table!$F$7),1,0))</f>
        <v>#REF!</v>
      </c>
      <c r="S1620" s="5" t="e">
        <f>IF(AND(#REF!&gt;=table!$C$8,#REF!&lt;= table!$D$8),-1,IF(AND(#REF!&gt;=table!$E$8,#REF!&lt;=table!$F$8),1,0))</f>
        <v>#REF!</v>
      </c>
      <c r="T1620" s="5"/>
      <c r="U1620" s="5" t="e">
        <f>IF(AND(#REF!&gt;=table!$C$10,#REF!&lt;= table!$D$10),-1,IF(AND(#REF!&gt;=table!$E$10,#REF!&lt;=table!$F$10),1,0))</f>
        <v>#REF!</v>
      </c>
      <c r="V1620" s="5" t="e">
        <f>IF(AND(#REF!&gt;=table!$C$11,#REF!&lt;= table!$D$11),-1,IF(AND(#REF!&gt;=table!$E$11,#REF!&lt;=table!$F$11),1,0))</f>
        <v>#REF!</v>
      </c>
      <c r="W1620" s="5" t="e">
        <f>CONCATENATE(dados[[#This Row],[fator1]],dados[[#This Row],[fator5]],dados[[#This Row],[fator6]])</f>
        <v>#REF!</v>
      </c>
    </row>
    <row r="1621" spans="1:23">
      <c r="A1621" t="s">
        <v>16</v>
      </c>
      <c r="B1621">
        <v>485679</v>
      </c>
      <c r="C1621">
        <v>7</v>
      </c>
      <c r="D1621">
        <v>35</v>
      </c>
      <c r="E1621">
        <v>170</v>
      </c>
      <c r="F1621">
        <v>6</v>
      </c>
      <c r="G1621">
        <v>0</v>
      </c>
      <c r="H1621">
        <v>20</v>
      </c>
      <c r="I1621">
        <v>16</v>
      </c>
      <c r="J1621">
        <v>0</v>
      </c>
      <c r="K1621">
        <v>3.7455000000000003</v>
      </c>
      <c r="L1621">
        <v>5.2810000000000006</v>
      </c>
      <c r="M1621">
        <v>143.93700000000001</v>
      </c>
      <c r="N1621">
        <v>11.825000000000001</v>
      </c>
      <c r="O1621">
        <v>1661</v>
      </c>
      <c r="P1621">
        <v>1090</v>
      </c>
      <c r="Q1621" s="5" t="e">
        <f>IF(AND(#REF!&gt;=table!$C$6,#REF!&lt;= table!$D$6),-1,IF(AND(#REF!&gt;=table!$E$6,#REF!&lt;=table!$F$6),1,0))</f>
        <v>#REF!</v>
      </c>
      <c r="R1621" s="5" t="e">
        <f>IF(AND(#REF!&gt;=table!$C$7,#REF!&lt;= table!$D$7),-1,IF(AND(#REF!&gt;=table!$E$7,#REF!&lt;=table!$F$7),1,0))</f>
        <v>#REF!</v>
      </c>
      <c r="S1621" s="5" t="e">
        <f>IF(AND(#REF!&gt;=table!$C$8,#REF!&lt;= table!$D$8),-1,IF(AND(#REF!&gt;=table!$E$8,#REF!&lt;=table!$F$8),1,0))</f>
        <v>#REF!</v>
      </c>
      <c r="T1621" s="5"/>
      <c r="U1621" s="5" t="e">
        <f>IF(AND(#REF!&gt;=table!$C$10,#REF!&lt;= table!$D$10),-1,IF(AND(#REF!&gt;=table!$E$10,#REF!&lt;=table!$F$10),1,0))</f>
        <v>#REF!</v>
      </c>
      <c r="V1621" s="5" t="e">
        <f>IF(AND(#REF!&gt;=table!$C$11,#REF!&lt;= table!$D$11),-1,IF(AND(#REF!&gt;=table!$E$11,#REF!&lt;=table!$F$11),1,0))</f>
        <v>#REF!</v>
      </c>
      <c r="W1621" s="5" t="e">
        <f>CONCATENATE(dados[[#This Row],[fator1]],dados[[#This Row],[fator5]],dados[[#This Row],[fator6]])</f>
        <v>#REF!</v>
      </c>
    </row>
    <row r="1622" spans="1:23">
      <c r="A1622" t="s">
        <v>17</v>
      </c>
      <c r="B1622">
        <v>485682</v>
      </c>
      <c r="C1622">
        <v>0.15</v>
      </c>
      <c r="D1622">
        <v>500</v>
      </c>
      <c r="E1622">
        <v>50</v>
      </c>
      <c r="F1622">
        <v>10</v>
      </c>
      <c r="G1622">
        <v>80</v>
      </c>
      <c r="H1622">
        <v>30</v>
      </c>
      <c r="I1622">
        <v>498</v>
      </c>
      <c r="J1622">
        <v>0</v>
      </c>
      <c r="K1622">
        <v>4.3020000000000005</v>
      </c>
      <c r="L1622">
        <v>10.515500000000001</v>
      </c>
      <c r="M1622">
        <v>8.98</v>
      </c>
      <c r="N1622">
        <v>15.120000000000001</v>
      </c>
      <c r="O1622">
        <v>1674</v>
      </c>
      <c r="P1622">
        <v>890</v>
      </c>
      <c r="Q1622" s="5" t="e">
        <f>IF(AND(#REF!&gt;=table!$C$6,#REF!&lt;= table!$D$6),-1,IF(AND(#REF!&gt;=table!$E$6,#REF!&lt;=table!$F$6),1,0))</f>
        <v>#REF!</v>
      </c>
      <c r="R1622" s="5" t="e">
        <f>IF(AND(#REF!&gt;=table!$C$7,#REF!&lt;= table!$D$7),-1,IF(AND(#REF!&gt;=table!$E$7,#REF!&lt;=table!$F$7),1,0))</f>
        <v>#REF!</v>
      </c>
      <c r="S1622" s="5" t="e">
        <f>IF(AND(#REF!&gt;=table!$C$8,#REF!&lt;= table!$D$8),-1,IF(AND(#REF!&gt;=table!$E$8,#REF!&lt;=table!$F$8),1,0))</f>
        <v>#REF!</v>
      </c>
      <c r="T1622" s="5"/>
      <c r="U1622" s="5" t="e">
        <f>IF(AND(#REF!&gt;=table!$C$10,#REF!&lt;= table!$D$10),-1,IF(AND(#REF!&gt;=table!$E$10,#REF!&lt;=table!$F$10),1,0))</f>
        <v>#REF!</v>
      </c>
      <c r="V1622" s="5" t="e">
        <f>IF(AND(#REF!&gt;=table!$C$11,#REF!&lt;= table!$D$11),-1,IF(AND(#REF!&gt;=table!$E$11,#REF!&lt;=table!$F$11),1,0))</f>
        <v>#REF!</v>
      </c>
      <c r="W1622" s="5" t="e">
        <f>CONCATENATE(dados[[#This Row],[fator1]],dados[[#This Row],[fator5]],dados[[#This Row],[fator6]])</f>
        <v>#REF!</v>
      </c>
    </row>
    <row r="1623" spans="1:23">
      <c r="A1623" t="s">
        <v>17</v>
      </c>
      <c r="B1623">
        <v>485683</v>
      </c>
      <c r="C1623">
        <v>0.15</v>
      </c>
      <c r="D1623">
        <v>500</v>
      </c>
      <c r="E1623">
        <v>50</v>
      </c>
      <c r="F1623">
        <v>10</v>
      </c>
      <c r="G1623">
        <v>80</v>
      </c>
      <c r="H1623">
        <v>30</v>
      </c>
      <c r="I1623">
        <v>807</v>
      </c>
      <c r="J1623">
        <v>0</v>
      </c>
      <c r="K1623">
        <v>6.2445000000000004</v>
      </c>
      <c r="L1623">
        <v>12.654</v>
      </c>
      <c r="M1623">
        <v>9.6855000000000011</v>
      </c>
      <c r="N1623">
        <v>10.865</v>
      </c>
      <c r="O1623">
        <v>1700</v>
      </c>
      <c r="P1623">
        <v>892</v>
      </c>
      <c r="Q1623" s="5" t="e">
        <f>IF(AND(#REF!&gt;=table!$C$6,#REF!&lt;= table!$D$6),-1,IF(AND(#REF!&gt;=table!$E$6,#REF!&lt;=table!$F$6),1,0))</f>
        <v>#REF!</v>
      </c>
      <c r="R1623" s="5" t="e">
        <f>IF(AND(#REF!&gt;=table!$C$7,#REF!&lt;= table!$D$7),-1,IF(AND(#REF!&gt;=table!$E$7,#REF!&lt;=table!$F$7),1,0))</f>
        <v>#REF!</v>
      </c>
      <c r="S1623" s="5" t="e">
        <f>IF(AND(#REF!&gt;=table!$C$8,#REF!&lt;= table!$D$8),-1,IF(AND(#REF!&gt;=table!$E$8,#REF!&lt;=table!$F$8),1,0))</f>
        <v>#REF!</v>
      </c>
      <c r="T1623" s="5"/>
      <c r="U1623" s="5" t="e">
        <f>IF(AND(#REF!&gt;=table!$C$10,#REF!&lt;= table!$D$10),-1,IF(AND(#REF!&gt;=table!$E$10,#REF!&lt;=table!$F$10),1,0))</f>
        <v>#REF!</v>
      </c>
      <c r="V1623" s="5" t="e">
        <f>IF(AND(#REF!&gt;=table!$C$11,#REF!&lt;= table!$D$11),-1,IF(AND(#REF!&gt;=table!$E$11,#REF!&lt;=table!$F$11),1,0))</f>
        <v>#REF!</v>
      </c>
      <c r="W1623" s="5" t="e">
        <f>CONCATENATE(dados[[#This Row],[fator1]],dados[[#This Row],[fator5]],dados[[#This Row],[fator6]])</f>
        <v>#REF!</v>
      </c>
    </row>
    <row r="1624" spans="1:23">
      <c r="A1624" t="s">
        <v>17</v>
      </c>
      <c r="B1624">
        <v>485684</v>
      </c>
      <c r="C1624">
        <v>0.15</v>
      </c>
      <c r="D1624">
        <v>500</v>
      </c>
      <c r="E1624">
        <v>50</v>
      </c>
      <c r="F1624">
        <v>10</v>
      </c>
      <c r="G1624">
        <v>80</v>
      </c>
      <c r="H1624">
        <v>30</v>
      </c>
      <c r="I1624">
        <v>296</v>
      </c>
      <c r="J1624">
        <v>560</v>
      </c>
      <c r="K1624">
        <v>3.4495</v>
      </c>
      <c r="L1624">
        <v>12.349500000000001</v>
      </c>
      <c r="M1624">
        <v>4.9780000000000006</v>
      </c>
      <c r="N1624">
        <v>23.145</v>
      </c>
      <c r="O1624">
        <v>1674</v>
      </c>
      <c r="P1624">
        <v>1199</v>
      </c>
      <c r="Q1624" s="5" t="e">
        <f>IF(AND(#REF!&gt;=table!$C$6,#REF!&lt;= table!$D$6),-1,IF(AND(#REF!&gt;=table!$E$6,#REF!&lt;=table!$F$6),1,0))</f>
        <v>#REF!</v>
      </c>
      <c r="R1624" s="5" t="e">
        <f>IF(AND(#REF!&gt;=table!$C$7,#REF!&lt;= table!$D$7),-1,IF(AND(#REF!&gt;=table!$E$7,#REF!&lt;=table!$F$7),1,0))</f>
        <v>#REF!</v>
      </c>
      <c r="S1624" s="5" t="e">
        <f>IF(AND(#REF!&gt;=table!$C$8,#REF!&lt;= table!$D$8),-1,IF(AND(#REF!&gt;=table!$E$8,#REF!&lt;=table!$F$8),1,0))</f>
        <v>#REF!</v>
      </c>
      <c r="T1624" s="5"/>
      <c r="U1624" s="5" t="e">
        <f>IF(AND(#REF!&gt;=table!$C$10,#REF!&lt;= table!$D$10),-1,IF(AND(#REF!&gt;=table!$E$10,#REF!&lt;=table!$F$10),1,0))</f>
        <v>#REF!</v>
      </c>
      <c r="V1624" s="5" t="e">
        <f>IF(AND(#REF!&gt;=table!$C$11,#REF!&lt;= table!$D$11),-1,IF(AND(#REF!&gt;=table!$E$11,#REF!&lt;=table!$F$11),1,0))</f>
        <v>#REF!</v>
      </c>
      <c r="W1624" s="5" t="e">
        <f>CONCATENATE(dados[[#This Row],[fator1]],dados[[#This Row],[fator5]],dados[[#This Row],[fator6]])</f>
        <v>#REF!</v>
      </c>
    </row>
    <row r="1625" spans="1:23">
      <c r="A1625" t="s">
        <v>16</v>
      </c>
      <c r="B1625">
        <v>485685</v>
      </c>
      <c r="C1625">
        <v>0.2</v>
      </c>
      <c r="D1625">
        <v>65</v>
      </c>
      <c r="E1625">
        <v>26</v>
      </c>
      <c r="F1625">
        <v>15</v>
      </c>
      <c r="G1625">
        <v>0</v>
      </c>
      <c r="H1625">
        <v>30</v>
      </c>
      <c r="I1625">
        <v>0</v>
      </c>
      <c r="J1625">
        <v>0</v>
      </c>
      <c r="K1625">
        <v>4.4690000000000003</v>
      </c>
      <c r="L1625">
        <v>11.504000000000001</v>
      </c>
      <c r="M1625">
        <v>5.5190000000000001</v>
      </c>
      <c r="N1625">
        <v>12.56</v>
      </c>
      <c r="O1625">
        <v>1671</v>
      </c>
      <c r="P1625">
        <v>1123</v>
      </c>
      <c r="Q1625" s="5" t="e">
        <f>IF(AND(#REF!&gt;=table!$C$6,#REF!&lt;= table!$D$6),-1,IF(AND(#REF!&gt;=table!$E$6,#REF!&lt;=table!$F$6),1,0))</f>
        <v>#REF!</v>
      </c>
      <c r="R1625" s="5" t="e">
        <f>IF(AND(#REF!&gt;=table!$C$7,#REF!&lt;= table!$D$7),-1,IF(AND(#REF!&gt;=table!$E$7,#REF!&lt;=table!$F$7),1,0))</f>
        <v>#REF!</v>
      </c>
      <c r="S1625" s="5" t="e">
        <f>IF(AND(#REF!&gt;=table!$C$8,#REF!&lt;= table!$D$8),-1,IF(AND(#REF!&gt;=table!$E$8,#REF!&lt;=table!$F$8),1,0))</f>
        <v>#REF!</v>
      </c>
      <c r="T1625" s="5"/>
      <c r="U1625" s="5" t="e">
        <f>IF(AND(#REF!&gt;=table!$C$10,#REF!&lt;= table!$D$10),-1,IF(AND(#REF!&gt;=table!$E$10,#REF!&lt;=table!$F$10),1,0))</f>
        <v>#REF!</v>
      </c>
      <c r="V1625" s="5" t="e">
        <f>IF(AND(#REF!&gt;=table!$C$11,#REF!&lt;= table!$D$11),-1,IF(AND(#REF!&gt;=table!$E$11,#REF!&lt;=table!$F$11),1,0))</f>
        <v>#REF!</v>
      </c>
      <c r="W1625" s="5" t="e">
        <f>CONCATENATE(dados[[#This Row],[fator1]],dados[[#This Row],[fator5]],dados[[#This Row],[fator6]])</f>
        <v>#REF!</v>
      </c>
    </row>
    <row r="1626" spans="1:23">
      <c r="A1626" t="s">
        <v>16</v>
      </c>
      <c r="B1626">
        <v>485686</v>
      </c>
      <c r="C1626">
        <v>0.23</v>
      </c>
      <c r="D1626">
        <v>65</v>
      </c>
      <c r="E1626">
        <v>27</v>
      </c>
      <c r="F1626">
        <v>15</v>
      </c>
      <c r="G1626">
        <v>0</v>
      </c>
      <c r="H1626">
        <v>35</v>
      </c>
      <c r="I1626">
        <v>4</v>
      </c>
      <c r="J1626">
        <v>0</v>
      </c>
      <c r="K1626">
        <v>3.6515</v>
      </c>
      <c r="L1626">
        <v>8.15</v>
      </c>
      <c r="M1626">
        <v>6.9984999999999999</v>
      </c>
      <c r="N1626">
        <v>27.560000000000002</v>
      </c>
      <c r="O1626">
        <v>1679</v>
      </c>
      <c r="P1626">
        <v>0</v>
      </c>
      <c r="Q1626" s="5" t="e">
        <f>IF(AND(#REF!&gt;=table!$C$6,#REF!&lt;= table!$D$6),-1,IF(AND(#REF!&gt;=table!$E$6,#REF!&lt;=table!$F$6),1,0))</f>
        <v>#REF!</v>
      </c>
      <c r="R1626" s="5" t="e">
        <f>IF(AND(#REF!&gt;=table!$C$7,#REF!&lt;= table!$D$7),-1,IF(AND(#REF!&gt;=table!$E$7,#REF!&lt;=table!$F$7),1,0))</f>
        <v>#REF!</v>
      </c>
      <c r="S1626" s="5" t="e">
        <f>IF(AND(#REF!&gt;=table!$C$8,#REF!&lt;= table!$D$8),-1,IF(AND(#REF!&gt;=table!$E$8,#REF!&lt;=table!$F$8),1,0))</f>
        <v>#REF!</v>
      </c>
      <c r="T1626" s="5"/>
      <c r="U1626" s="5" t="e">
        <f>IF(AND(#REF!&gt;=table!$C$10,#REF!&lt;= table!$D$10),-1,IF(AND(#REF!&gt;=table!$E$10,#REF!&lt;=table!$F$10),1,0))</f>
        <v>#REF!</v>
      </c>
      <c r="V1626" s="5" t="e">
        <f>IF(AND(#REF!&gt;=table!$C$11,#REF!&lt;= table!$D$11),-1,IF(AND(#REF!&gt;=table!$E$11,#REF!&lt;=table!$F$11),1,0))</f>
        <v>#REF!</v>
      </c>
      <c r="W1626" s="5" t="e">
        <f>CONCATENATE(dados[[#This Row],[fator1]],dados[[#This Row],[fator5]],dados[[#This Row],[fator6]])</f>
        <v>#REF!</v>
      </c>
    </row>
    <row r="1627" spans="1:23">
      <c r="A1627" t="s">
        <v>16</v>
      </c>
      <c r="B1627">
        <v>485687</v>
      </c>
      <c r="C1627">
        <v>0.2</v>
      </c>
      <c r="D1627">
        <v>65</v>
      </c>
      <c r="E1627">
        <v>26</v>
      </c>
      <c r="F1627">
        <v>15</v>
      </c>
      <c r="G1627">
        <v>0</v>
      </c>
      <c r="H1627">
        <v>30</v>
      </c>
      <c r="I1627">
        <v>560</v>
      </c>
      <c r="J1627">
        <v>0</v>
      </c>
      <c r="K1627">
        <v>3.9975000000000001</v>
      </c>
      <c r="L1627">
        <v>10.343500000000001</v>
      </c>
      <c r="M1627">
        <v>7.6805000000000003</v>
      </c>
      <c r="N1627">
        <v>17.635000000000002</v>
      </c>
      <c r="O1627">
        <v>1723</v>
      </c>
      <c r="P1627">
        <v>1132</v>
      </c>
      <c r="Q1627" s="5" t="e">
        <f>IF(AND(#REF!&gt;=table!$C$6,#REF!&lt;= table!$D$6),-1,IF(AND(#REF!&gt;=table!$E$6,#REF!&lt;=table!$F$6),1,0))</f>
        <v>#REF!</v>
      </c>
      <c r="R1627" s="5" t="e">
        <f>IF(AND(#REF!&gt;=table!$C$7,#REF!&lt;= table!$D$7),-1,IF(AND(#REF!&gt;=table!$E$7,#REF!&lt;=table!$F$7),1,0))</f>
        <v>#REF!</v>
      </c>
      <c r="S1627" s="5" t="e">
        <f>IF(AND(#REF!&gt;=table!$C$8,#REF!&lt;= table!$D$8),-1,IF(AND(#REF!&gt;=table!$E$8,#REF!&lt;=table!$F$8),1,0))</f>
        <v>#REF!</v>
      </c>
      <c r="T1627" s="5"/>
      <c r="U1627" s="5" t="e">
        <f>IF(AND(#REF!&gt;=table!$C$10,#REF!&lt;= table!$D$10),-1,IF(AND(#REF!&gt;=table!$E$10,#REF!&lt;=table!$F$10),1,0))</f>
        <v>#REF!</v>
      </c>
      <c r="V1627" s="5" t="e">
        <f>IF(AND(#REF!&gt;=table!$C$11,#REF!&lt;= table!$D$11),-1,IF(AND(#REF!&gt;=table!$E$11,#REF!&lt;=table!$F$11),1,0))</f>
        <v>#REF!</v>
      </c>
      <c r="W1627" s="5" t="e">
        <f>CONCATENATE(dados[[#This Row],[fator1]],dados[[#This Row],[fator5]],dados[[#This Row],[fator6]])</f>
        <v>#REF!</v>
      </c>
    </row>
    <row r="1628" spans="1:23">
      <c r="A1628" t="s">
        <v>16</v>
      </c>
      <c r="B1628">
        <v>485688</v>
      </c>
      <c r="C1628">
        <v>0.2</v>
      </c>
      <c r="D1628">
        <v>65</v>
      </c>
      <c r="E1628">
        <v>26</v>
      </c>
      <c r="F1628">
        <v>15</v>
      </c>
      <c r="G1628">
        <v>0</v>
      </c>
      <c r="H1628">
        <v>30</v>
      </c>
      <c r="I1628">
        <v>764</v>
      </c>
      <c r="J1628">
        <v>0</v>
      </c>
      <c r="K1628">
        <v>3.9130000000000003</v>
      </c>
      <c r="L1628">
        <v>5.7534999999999998</v>
      </c>
      <c r="M1628">
        <v>4.875</v>
      </c>
      <c r="N1628">
        <v>10.705</v>
      </c>
      <c r="O1628">
        <v>1667</v>
      </c>
      <c r="P1628">
        <v>1081</v>
      </c>
      <c r="Q1628" s="5" t="e">
        <f>IF(AND(#REF!&gt;=table!$C$6,#REF!&lt;= table!$D$6),-1,IF(AND(#REF!&gt;=table!$E$6,#REF!&lt;=table!$F$6),1,0))</f>
        <v>#REF!</v>
      </c>
      <c r="R1628" s="5" t="e">
        <f>IF(AND(#REF!&gt;=table!$C$7,#REF!&lt;= table!$D$7),-1,IF(AND(#REF!&gt;=table!$E$7,#REF!&lt;=table!$F$7),1,0))</f>
        <v>#REF!</v>
      </c>
      <c r="S1628" s="5" t="e">
        <f>IF(AND(#REF!&gt;=table!$C$8,#REF!&lt;= table!$D$8),-1,IF(AND(#REF!&gt;=table!$E$8,#REF!&lt;=table!$F$8),1,0))</f>
        <v>#REF!</v>
      </c>
      <c r="T1628" s="5"/>
      <c r="U1628" s="5" t="e">
        <f>IF(AND(#REF!&gt;=table!$C$10,#REF!&lt;= table!$D$10),-1,IF(AND(#REF!&gt;=table!$E$10,#REF!&lt;=table!$F$10),1,0))</f>
        <v>#REF!</v>
      </c>
      <c r="V1628" s="5" t="e">
        <f>IF(AND(#REF!&gt;=table!$C$11,#REF!&lt;= table!$D$11),-1,IF(AND(#REF!&gt;=table!$E$11,#REF!&lt;=table!$F$11),1,0))</f>
        <v>#REF!</v>
      </c>
      <c r="W1628" s="5" t="e">
        <f>CONCATENATE(dados[[#This Row],[fator1]],dados[[#This Row],[fator5]],dados[[#This Row],[fator6]])</f>
        <v>#REF!</v>
      </c>
    </row>
    <row r="1629" spans="1:23">
      <c r="A1629" t="s">
        <v>17</v>
      </c>
      <c r="B1629">
        <v>485689</v>
      </c>
      <c r="C1629">
        <v>20</v>
      </c>
      <c r="D1629">
        <v>33</v>
      </c>
      <c r="E1629">
        <v>66</v>
      </c>
      <c r="F1629">
        <v>4</v>
      </c>
      <c r="G1629">
        <v>20</v>
      </c>
      <c r="H1629">
        <v>25</v>
      </c>
      <c r="I1629">
        <v>458</v>
      </c>
      <c r="J1629">
        <v>0</v>
      </c>
      <c r="K1629">
        <v>2.9525000000000001</v>
      </c>
      <c r="L1629">
        <v>4.9850000000000003</v>
      </c>
      <c r="M1629">
        <v>40.06</v>
      </c>
      <c r="N1629">
        <v>16.78</v>
      </c>
      <c r="O1629">
        <v>1655</v>
      </c>
      <c r="P1629">
        <v>1191</v>
      </c>
      <c r="Q1629" s="5" t="e">
        <f>IF(AND(#REF!&gt;=table!$C$6,#REF!&lt;= table!$D$6),-1,IF(AND(#REF!&gt;=table!$E$6,#REF!&lt;=table!$F$6),1,0))</f>
        <v>#REF!</v>
      </c>
      <c r="R1629" s="5" t="e">
        <f>IF(AND(#REF!&gt;=table!$C$7,#REF!&lt;= table!$D$7),-1,IF(AND(#REF!&gt;=table!$E$7,#REF!&lt;=table!$F$7),1,0))</f>
        <v>#REF!</v>
      </c>
      <c r="S1629" s="5" t="e">
        <f>IF(AND(#REF!&gt;=table!$C$8,#REF!&lt;= table!$D$8),-1,IF(AND(#REF!&gt;=table!$E$8,#REF!&lt;=table!$F$8),1,0))</f>
        <v>#REF!</v>
      </c>
      <c r="T1629" s="5"/>
      <c r="U1629" s="5" t="e">
        <f>IF(AND(#REF!&gt;=table!$C$10,#REF!&lt;= table!$D$10),-1,IF(AND(#REF!&gt;=table!$E$10,#REF!&lt;=table!$F$10),1,0))</f>
        <v>#REF!</v>
      </c>
      <c r="V1629" s="5" t="e">
        <f>IF(AND(#REF!&gt;=table!$C$11,#REF!&lt;= table!$D$11),-1,IF(AND(#REF!&gt;=table!$E$11,#REF!&lt;=table!$F$11),1,0))</f>
        <v>#REF!</v>
      </c>
      <c r="W1629" s="5" t="e">
        <f>CONCATENATE(dados[[#This Row],[fator1]],dados[[#This Row],[fator5]],dados[[#This Row],[fator6]])</f>
        <v>#REF!</v>
      </c>
    </row>
    <row r="1630" spans="1:23">
      <c r="A1630" t="s">
        <v>17</v>
      </c>
      <c r="B1630">
        <v>485690</v>
      </c>
      <c r="C1630">
        <v>20</v>
      </c>
      <c r="D1630">
        <v>33</v>
      </c>
      <c r="E1630">
        <v>66</v>
      </c>
      <c r="F1630">
        <v>4</v>
      </c>
      <c r="G1630">
        <v>20</v>
      </c>
      <c r="H1630">
        <v>25</v>
      </c>
      <c r="I1630">
        <v>532</v>
      </c>
      <c r="J1630">
        <v>1190</v>
      </c>
      <c r="K1630">
        <v>2.9125000000000001</v>
      </c>
      <c r="L1630">
        <v>8.7095000000000002</v>
      </c>
      <c r="M1630">
        <v>58.245000000000005</v>
      </c>
      <c r="N1630">
        <v>19.625</v>
      </c>
      <c r="O1630">
        <v>1677</v>
      </c>
      <c r="P1630">
        <v>1178</v>
      </c>
      <c r="Q1630" s="5" t="e">
        <f>IF(AND(#REF!&gt;=table!$C$6,#REF!&lt;= table!$D$6),-1,IF(AND(#REF!&gt;=table!$E$6,#REF!&lt;=table!$F$6),1,0))</f>
        <v>#REF!</v>
      </c>
      <c r="R1630" s="5" t="e">
        <f>IF(AND(#REF!&gt;=table!$C$7,#REF!&lt;= table!$D$7),-1,IF(AND(#REF!&gt;=table!$E$7,#REF!&lt;=table!$F$7),1,0))</f>
        <v>#REF!</v>
      </c>
      <c r="S1630" s="5" t="e">
        <f>IF(AND(#REF!&gt;=table!$C$8,#REF!&lt;= table!$D$8),-1,IF(AND(#REF!&gt;=table!$E$8,#REF!&lt;=table!$F$8),1,0))</f>
        <v>#REF!</v>
      </c>
      <c r="T1630" s="5"/>
      <c r="U1630" s="5" t="e">
        <f>IF(AND(#REF!&gt;=table!$C$10,#REF!&lt;= table!$D$10),-1,IF(AND(#REF!&gt;=table!$E$10,#REF!&lt;=table!$F$10),1,0))</f>
        <v>#REF!</v>
      </c>
      <c r="V1630" s="5" t="e">
        <f>IF(AND(#REF!&gt;=table!$C$11,#REF!&lt;= table!$D$11),-1,IF(AND(#REF!&gt;=table!$E$11,#REF!&lt;=table!$F$11),1,0))</f>
        <v>#REF!</v>
      </c>
      <c r="W1630" s="5" t="e">
        <f>CONCATENATE(dados[[#This Row],[fator1]],dados[[#This Row],[fator5]],dados[[#This Row],[fator6]])</f>
        <v>#REF!</v>
      </c>
    </row>
    <row r="1631" spans="1:23">
      <c r="A1631" t="s">
        <v>16</v>
      </c>
      <c r="B1631">
        <v>485694</v>
      </c>
      <c r="C1631">
        <v>0.2</v>
      </c>
      <c r="D1631">
        <v>65</v>
      </c>
      <c r="E1631">
        <v>26</v>
      </c>
      <c r="F1631">
        <v>15</v>
      </c>
      <c r="G1631">
        <v>0</v>
      </c>
      <c r="H1631">
        <v>30</v>
      </c>
      <c r="I1631">
        <v>20</v>
      </c>
      <c r="J1631">
        <v>0</v>
      </c>
      <c r="K1631">
        <v>1.8665</v>
      </c>
      <c r="L1631">
        <v>4.2835000000000001</v>
      </c>
      <c r="M1631">
        <v>3.8495000000000004</v>
      </c>
      <c r="N1631">
        <v>13.26</v>
      </c>
      <c r="O1631">
        <v>1750</v>
      </c>
      <c r="P1631">
        <v>0</v>
      </c>
      <c r="Q1631" s="5" t="e">
        <f>IF(AND(#REF!&gt;=table!$C$6,#REF!&lt;= table!$D$6),-1,IF(AND(#REF!&gt;=table!$E$6,#REF!&lt;=table!$F$6),1,0))</f>
        <v>#REF!</v>
      </c>
      <c r="R1631" s="5" t="e">
        <f>IF(AND(#REF!&gt;=table!$C$7,#REF!&lt;= table!$D$7),-1,IF(AND(#REF!&gt;=table!$E$7,#REF!&lt;=table!$F$7),1,0))</f>
        <v>#REF!</v>
      </c>
      <c r="S1631" s="5" t="e">
        <f>IF(AND(#REF!&gt;=table!$C$8,#REF!&lt;= table!$D$8),-1,IF(AND(#REF!&gt;=table!$E$8,#REF!&lt;=table!$F$8),1,0))</f>
        <v>#REF!</v>
      </c>
      <c r="T1631" s="5"/>
      <c r="U1631" s="5" t="e">
        <f>IF(AND(#REF!&gt;=table!$C$10,#REF!&lt;= table!$D$10),-1,IF(AND(#REF!&gt;=table!$E$10,#REF!&lt;=table!$F$10),1,0))</f>
        <v>#REF!</v>
      </c>
      <c r="V1631" s="5" t="e">
        <f>IF(AND(#REF!&gt;=table!$C$11,#REF!&lt;= table!$D$11),-1,IF(AND(#REF!&gt;=table!$E$11,#REF!&lt;=table!$F$11),1,0))</f>
        <v>#REF!</v>
      </c>
      <c r="W1631" s="5" t="e">
        <f>CONCATENATE(dados[[#This Row],[fator1]],dados[[#This Row],[fator5]],dados[[#This Row],[fator6]])</f>
        <v>#REF!</v>
      </c>
    </row>
    <row r="1632" spans="1:23">
      <c r="A1632" t="s">
        <v>17</v>
      </c>
      <c r="B1632">
        <v>485696</v>
      </c>
      <c r="C1632">
        <v>8</v>
      </c>
      <c r="D1632">
        <v>30</v>
      </c>
      <c r="E1632">
        <v>153</v>
      </c>
      <c r="F1632">
        <v>2</v>
      </c>
      <c r="G1632">
        <v>20</v>
      </c>
      <c r="H1632">
        <v>18</v>
      </c>
      <c r="I1632">
        <v>581</v>
      </c>
      <c r="J1632">
        <v>0</v>
      </c>
      <c r="K1632">
        <v>3.3195000000000001</v>
      </c>
      <c r="L1632">
        <v>3.9530000000000003</v>
      </c>
      <c r="M1632">
        <v>136.26349999999999</v>
      </c>
      <c r="N1632">
        <v>10.985000000000001</v>
      </c>
      <c r="O1632">
        <v>1683</v>
      </c>
      <c r="P1632">
        <v>1387</v>
      </c>
      <c r="Q1632" s="5" t="e">
        <f>IF(AND(#REF!&gt;=table!$C$6,#REF!&lt;= table!$D$6),-1,IF(AND(#REF!&gt;=table!$E$6,#REF!&lt;=table!$F$6),1,0))</f>
        <v>#REF!</v>
      </c>
      <c r="R1632" s="5" t="e">
        <f>IF(AND(#REF!&gt;=table!$C$7,#REF!&lt;= table!$D$7),-1,IF(AND(#REF!&gt;=table!$E$7,#REF!&lt;=table!$F$7),1,0))</f>
        <v>#REF!</v>
      </c>
      <c r="S1632" s="5" t="e">
        <f>IF(AND(#REF!&gt;=table!$C$8,#REF!&lt;= table!$D$8),-1,IF(AND(#REF!&gt;=table!$E$8,#REF!&lt;=table!$F$8),1,0))</f>
        <v>#REF!</v>
      </c>
      <c r="T1632" s="5"/>
      <c r="U1632" s="5" t="e">
        <f>IF(AND(#REF!&gt;=table!$C$10,#REF!&lt;= table!$D$10),-1,IF(AND(#REF!&gt;=table!$E$10,#REF!&lt;=table!$F$10),1,0))</f>
        <v>#REF!</v>
      </c>
      <c r="V1632" s="5" t="e">
        <f>IF(AND(#REF!&gt;=table!$C$11,#REF!&lt;= table!$D$11),-1,IF(AND(#REF!&gt;=table!$E$11,#REF!&lt;=table!$F$11),1,0))</f>
        <v>#REF!</v>
      </c>
      <c r="W1632" s="5" t="e">
        <f>CONCATENATE(dados[[#This Row],[fator1]],dados[[#This Row],[fator5]],dados[[#This Row],[fator6]])</f>
        <v>#REF!</v>
      </c>
    </row>
    <row r="1633" spans="1:23">
      <c r="A1633" t="s">
        <v>17</v>
      </c>
      <c r="B1633">
        <v>485697</v>
      </c>
      <c r="C1633">
        <v>14</v>
      </c>
      <c r="D1633">
        <v>30</v>
      </c>
      <c r="E1633">
        <v>110</v>
      </c>
      <c r="F1633">
        <v>3</v>
      </c>
      <c r="G1633">
        <v>20</v>
      </c>
      <c r="H1633">
        <v>22</v>
      </c>
      <c r="I1633">
        <v>18</v>
      </c>
      <c r="J1633">
        <v>1240</v>
      </c>
      <c r="K1633">
        <v>6.6965000000000003</v>
      </c>
      <c r="L1633">
        <v>31.405000000000001</v>
      </c>
      <c r="M1633">
        <v>84.987499999999997</v>
      </c>
      <c r="N1633">
        <v>15.950000000000001</v>
      </c>
      <c r="O1633">
        <v>1705</v>
      </c>
      <c r="P1633">
        <v>635</v>
      </c>
      <c r="Q1633" s="5" t="e">
        <f>IF(AND(#REF!&gt;=table!$C$6,#REF!&lt;= table!$D$6),-1,IF(AND(#REF!&gt;=table!$E$6,#REF!&lt;=table!$F$6),1,0))</f>
        <v>#REF!</v>
      </c>
      <c r="R1633" s="5" t="e">
        <f>IF(AND(#REF!&gt;=table!$C$7,#REF!&lt;= table!$D$7),-1,IF(AND(#REF!&gt;=table!$E$7,#REF!&lt;=table!$F$7),1,0))</f>
        <v>#REF!</v>
      </c>
      <c r="S1633" s="5" t="e">
        <f>IF(AND(#REF!&gt;=table!$C$8,#REF!&lt;= table!$D$8),-1,IF(AND(#REF!&gt;=table!$E$8,#REF!&lt;=table!$F$8),1,0))</f>
        <v>#REF!</v>
      </c>
      <c r="T1633" s="5"/>
      <c r="U1633" s="5" t="e">
        <f>IF(AND(#REF!&gt;=table!$C$10,#REF!&lt;= table!$D$10),-1,IF(AND(#REF!&gt;=table!$E$10,#REF!&lt;=table!$F$10),1,0))</f>
        <v>#REF!</v>
      </c>
      <c r="V1633" s="5" t="e">
        <f>IF(AND(#REF!&gt;=table!$C$11,#REF!&lt;= table!$D$11),-1,IF(AND(#REF!&gt;=table!$E$11,#REF!&lt;=table!$F$11),1,0))</f>
        <v>#REF!</v>
      </c>
      <c r="W1633" s="5" t="e">
        <f>CONCATENATE(dados[[#This Row],[fator1]],dados[[#This Row],[fator5]],dados[[#This Row],[fator6]])</f>
        <v>#REF!</v>
      </c>
    </row>
    <row r="1634" spans="1:23">
      <c r="A1634" t="s">
        <v>16</v>
      </c>
      <c r="B1634">
        <v>485698</v>
      </c>
      <c r="C1634">
        <v>12</v>
      </c>
      <c r="D1634">
        <v>40</v>
      </c>
      <c r="E1634">
        <v>36</v>
      </c>
      <c r="F1634">
        <v>9</v>
      </c>
      <c r="G1634">
        <v>0</v>
      </c>
      <c r="H1634">
        <v>25</v>
      </c>
      <c r="I1634">
        <v>125</v>
      </c>
      <c r="J1634">
        <v>0</v>
      </c>
      <c r="K1634">
        <v>4.3734999999999999</v>
      </c>
      <c r="L1634">
        <v>12.743500000000001</v>
      </c>
      <c r="M1634">
        <v>43.663000000000004</v>
      </c>
      <c r="N1634">
        <v>18.285</v>
      </c>
      <c r="O1634">
        <v>1673</v>
      </c>
      <c r="P1634">
        <v>942</v>
      </c>
      <c r="Q1634" s="5" t="e">
        <f>IF(AND(#REF!&gt;=table!$C$6,#REF!&lt;= table!$D$6),-1,IF(AND(#REF!&gt;=table!$E$6,#REF!&lt;=table!$F$6),1,0))</f>
        <v>#REF!</v>
      </c>
      <c r="R1634" s="5" t="e">
        <f>IF(AND(#REF!&gt;=table!$C$7,#REF!&lt;= table!$D$7),-1,IF(AND(#REF!&gt;=table!$E$7,#REF!&lt;=table!$F$7),1,0))</f>
        <v>#REF!</v>
      </c>
      <c r="S1634" s="5" t="e">
        <f>IF(AND(#REF!&gt;=table!$C$8,#REF!&lt;= table!$D$8),-1,IF(AND(#REF!&gt;=table!$E$8,#REF!&lt;=table!$F$8),1,0))</f>
        <v>#REF!</v>
      </c>
      <c r="T1634" s="5"/>
      <c r="U1634" s="5" t="e">
        <f>IF(AND(#REF!&gt;=table!$C$10,#REF!&lt;= table!$D$10),-1,IF(AND(#REF!&gt;=table!$E$10,#REF!&lt;=table!$F$10),1,0))</f>
        <v>#REF!</v>
      </c>
      <c r="V1634" s="5" t="e">
        <f>IF(AND(#REF!&gt;=table!$C$11,#REF!&lt;= table!$D$11),-1,IF(AND(#REF!&gt;=table!$E$11,#REF!&lt;=table!$F$11),1,0))</f>
        <v>#REF!</v>
      </c>
      <c r="W1634" s="5" t="e">
        <f>CONCATENATE(dados[[#This Row],[fator1]],dados[[#This Row],[fator5]],dados[[#This Row],[fator6]])</f>
        <v>#REF!</v>
      </c>
    </row>
    <row r="1635" spans="1:23">
      <c r="A1635" t="s">
        <v>16</v>
      </c>
      <c r="B1635">
        <v>485699</v>
      </c>
      <c r="C1635">
        <v>12</v>
      </c>
      <c r="D1635">
        <v>40</v>
      </c>
      <c r="E1635">
        <v>36</v>
      </c>
      <c r="F1635">
        <v>9</v>
      </c>
      <c r="G1635">
        <v>0</v>
      </c>
      <c r="H1635">
        <v>25</v>
      </c>
      <c r="I1635">
        <v>0</v>
      </c>
      <c r="J1635">
        <v>0</v>
      </c>
      <c r="K1635">
        <v>7.8525</v>
      </c>
      <c r="L1635">
        <v>9.2605000000000004</v>
      </c>
      <c r="M1635">
        <v>32.981000000000002</v>
      </c>
      <c r="N1635">
        <v>13.73</v>
      </c>
      <c r="O1635">
        <v>1668</v>
      </c>
      <c r="P1635">
        <v>436</v>
      </c>
      <c r="Q1635" s="5" t="e">
        <f>IF(AND(#REF!&gt;=table!$C$6,#REF!&lt;= table!$D$6),-1,IF(AND(#REF!&gt;=table!$E$6,#REF!&lt;=table!$F$6),1,0))</f>
        <v>#REF!</v>
      </c>
      <c r="R1635" s="5" t="e">
        <f>IF(AND(#REF!&gt;=table!$C$7,#REF!&lt;= table!$D$7),-1,IF(AND(#REF!&gt;=table!$E$7,#REF!&lt;=table!$F$7),1,0))</f>
        <v>#REF!</v>
      </c>
      <c r="S1635" s="5" t="e">
        <f>IF(AND(#REF!&gt;=table!$C$8,#REF!&lt;= table!$D$8),-1,IF(AND(#REF!&gt;=table!$E$8,#REF!&lt;=table!$F$8),1,0))</f>
        <v>#REF!</v>
      </c>
      <c r="T1635" s="5"/>
      <c r="U1635" s="5" t="e">
        <f>IF(AND(#REF!&gt;=table!$C$10,#REF!&lt;= table!$D$10),-1,IF(AND(#REF!&gt;=table!$E$10,#REF!&lt;=table!$F$10),1,0))</f>
        <v>#REF!</v>
      </c>
      <c r="V1635" s="5" t="e">
        <f>IF(AND(#REF!&gt;=table!$C$11,#REF!&lt;= table!$D$11),-1,IF(AND(#REF!&gt;=table!$E$11,#REF!&lt;=table!$F$11),1,0))</f>
        <v>#REF!</v>
      </c>
      <c r="W1635" s="5" t="e">
        <f>CONCATENATE(dados[[#This Row],[fator1]],dados[[#This Row],[fator5]],dados[[#This Row],[fator6]])</f>
        <v>#REF!</v>
      </c>
    </row>
    <row r="1636" spans="1:23">
      <c r="A1636" t="s">
        <v>16</v>
      </c>
      <c r="B1636">
        <v>485700</v>
      </c>
      <c r="C1636">
        <v>12</v>
      </c>
      <c r="D1636">
        <v>40</v>
      </c>
      <c r="E1636">
        <v>36</v>
      </c>
      <c r="F1636">
        <v>9</v>
      </c>
      <c r="G1636">
        <v>0</v>
      </c>
      <c r="H1636">
        <v>25</v>
      </c>
      <c r="I1636">
        <v>4</v>
      </c>
      <c r="J1636">
        <v>0</v>
      </c>
      <c r="K1636">
        <v>6.7515000000000001</v>
      </c>
      <c r="L1636">
        <v>9.4154999999999998</v>
      </c>
      <c r="M1636">
        <v>32.593000000000004</v>
      </c>
      <c r="N1636">
        <v>10.98</v>
      </c>
      <c r="O1636">
        <v>1656</v>
      </c>
      <c r="P1636">
        <v>489</v>
      </c>
      <c r="Q1636" s="5" t="e">
        <f>IF(AND(#REF!&gt;=table!$C$6,#REF!&lt;= table!$D$6),-1,IF(AND(#REF!&gt;=table!$E$6,#REF!&lt;=table!$F$6),1,0))</f>
        <v>#REF!</v>
      </c>
      <c r="R1636" s="5" t="e">
        <f>IF(AND(#REF!&gt;=table!$C$7,#REF!&lt;= table!$D$7),-1,IF(AND(#REF!&gt;=table!$E$7,#REF!&lt;=table!$F$7),1,0))</f>
        <v>#REF!</v>
      </c>
      <c r="S1636" s="5" t="e">
        <f>IF(AND(#REF!&gt;=table!$C$8,#REF!&lt;= table!$D$8),-1,IF(AND(#REF!&gt;=table!$E$8,#REF!&lt;=table!$F$8),1,0))</f>
        <v>#REF!</v>
      </c>
      <c r="T1636" s="5"/>
      <c r="U1636" s="5" t="e">
        <f>IF(AND(#REF!&gt;=table!$C$10,#REF!&lt;= table!$D$10),-1,IF(AND(#REF!&gt;=table!$E$10,#REF!&lt;=table!$F$10),1,0))</f>
        <v>#REF!</v>
      </c>
      <c r="V1636" s="5" t="e">
        <f>IF(AND(#REF!&gt;=table!$C$11,#REF!&lt;= table!$D$11),-1,IF(AND(#REF!&gt;=table!$E$11,#REF!&lt;=table!$F$11),1,0))</f>
        <v>#REF!</v>
      </c>
      <c r="W1636" s="5" t="e">
        <f>CONCATENATE(dados[[#This Row],[fator1]],dados[[#This Row],[fator5]],dados[[#This Row],[fator6]])</f>
        <v>#REF!</v>
      </c>
    </row>
    <row r="1637" spans="1:23">
      <c r="A1637" t="s">
        <v>16</v>
      </c>
      <c r="B1637">
        <v>485701</v>
      </c>
      <c r="C1637">
        <v>12</v>
      </c>
      <c r="D1637">
        <v>40</v>
      </c>
      <c r="E1637">
        <v>36</v>
      </c>
      <c r="F1637">
        <v>9</v>
      </c>
      <c r="G1637">
        <v>0</v>
      </c>
      <c r="H1637">
        <v>25</v>
      </c>
      <c r="I1637">
        <v>15</v>
      </c>
      <c r="J1637">
        <v>0</v>
      </c>
      <c r="K1637">
        <v>6.8855000000000004</v>
      </c>
      <c r="L1637">
        <v>12.83</v>
      </c>
      <c r="M1637">
        <v>35.792999999999999</v>
      </c>
      <c r="N1637">
        <v>16.53</v>
      </c>
      <c r="O1637">
        <v>1668</v>
      </c>
      <c r="P1637">
        <v>431</v>
      </c>
      <c r="Q1637" s="5" t="e">
        <f>IF(AND(#REF!&gt;=table!$C$6,#REF!&lt;= table!$D$6),-1,IF(AND(#REF!&gt;=table!$E$6,#REF!&lt;=table!$F$6),1,0))</f>
        <v>#REF!</v>
      </c>
      <c r="R1637" s="5" t="e">
        <f>IF(AND(#REF!&gt;=table!$C$7,#REF!&lt;= table!$D$7),-1,IF(AND(#REF!&gt;=table!$E$7,#REF!&lt;=table!$F$7),1,0))</f>
        <v>#REF!</v>
      </c>
      <c r="S1637" s="5" t="e">
        <f>IF(AND(#REF!&gt;=table!$C$8,#REF!&lt;= table!$D$8),-1,IF(AND(#REF!&gt;=table!$E$8,#REF!&lt;=table!$F$8),1,0))</f>
        <v>#REF!</v>
      </c>
      <c r="T1637" s="5"/>
      <c r="U1637" s="5" t="e">
        <f>IF(AND(#REF!&gt;=table!$C$10,#REF!&lt;= table!$D$10),-1,IF(AND(#REF!&gt;=table!$E$10,#REF!&lt;=table!$F$10),1,0))</f>
        <v>#REF!</v>
      </c>
      <c r="V1637" s="5" t="e">
        <f>IF(AND(#REF!&gt;=table!$C$11,#REF!&lt;= table!$D$11),-1,IF(AND(#REF!&gt;=table!$E$11,#REF!&lt;=table!$F$11),1,0))</f>
        <v>#REF!</v>
      </c>
      <c r="W1637" s="5" t="e">
        <f>CONCATENATE(dados[[#This Row],[fator1]],dados[[#This Row],[fator5]],dados[[#This Row],[fator6]])</f>
        <v>#REF!</v>
      </c>
    </row>
    <row r="1638" spans="1:23">
      <c r="A1638" t="s">
        <v>16</v>
      </c>
      <c r="B1638">
        <v>485702</v>
      </c>
      <c r="C1638">
        <v>12</v>
      </c>
      <c r="D1638">
        <v>40</v>
      </c>
      <c r="E1638">
        <v>36</v>
      </c>
      <c r="F1638">
        <v>9</v>
      </c>
      <c r="G1638">
        <v>0</v>
      </c>
      <c r="H1638">
        <v>25</v>
      </c>
      <c r="I1638">
        <v>632</v>
      </c>
      <c r="J1638">
        <v>0</v>
      </c>
      <c r="K1638">
        <v>8.3915000000000006</v>
      </c>
      <c r="L1638">
        <v>14.853000000000002</v>
      </c>
      <c r="M1638">
        <v>41.638000000000005</v>
      </c>
      <c r="N1638">
        <v>15.91</v>
      </c>
      <c r="O1638">
        <v>1683</v>
      </c>
      <c r="P1638">
        <v>389</v>
      </c>
      <c r="Q1638" s="5" t="e">
        <f>IF(AND(#REF!&gt;=table!$C$6,#REF!&lt;= table!$D$6),-1,IF(AND(#REF!&gt;=table!$E$6,#REF!&lt;=table!$F$6),1,0))</f>
        <v>#REF!</v>
      </c>
      <c r="R1638" s="5" t="e">
        <f>IF(AND(#REF!&gt;=table!$C$7,#REF!&lt;= table!$D$7),-1,IF(AND(#REF!&gt;=table!$E$7,#REF!&lt;=table!$F$7),1,0))</f>
        <v>#REF!</v>
      </c>
      <c r="S1638" s="5" t="e">
        <f>IF(AND(#REF!&gt;=table!$C$8,#REF!&lt;= table!$D$8),-1,IF(AND(#REF!&gt;=table!$E$8,#REF!&lt;=table!$F$8),1,0))</f>
        <v>#REF!</v>
      </c>
      <c r="T1638" s="5"/>
      <c r="U1638" s="5" t="e">
        <f>IF(AND(#REF!&gt;=table!$C$10,#REF!&lt;= table!$D$10),-1,IF(AND(#REF!&gt;=table!$E$10,#REF!&lt;=table!$F$10),1,0))</f>
        <v>#REF!</v>
      </c>
      <c r="V1638" s="5" t="e">
        <f>IF(AND(#REF!&gt;=table!$C$11,#REF!&lt;= table!$D$11),-1,IF(AND(#REF!&gt;=table!$E$11,#REF!&lt;=table!$F$11),1,0))</f>
        <v>#REF!</v>
      </c>
      <c r="W1638" s="5" t="e">
        <f>CONCATENATE(dados[[#This Row],[fator1]],dados[[#This Row],[fator5]],dados[[#This Row],[fator6]])</f>
        <v>#REF!</v>
      </c>
    </row>
    <row r="1639" spans="1:23">
      <c r="A1639" t="s">
        <v>16</v>
      </c>
      <c r="B1639">
        <v>485706</v>
      </c>
      <c r="C1639">
        <v>11</v>
      </c>
      <c r="D1639">
        <v>40</v>
      </c>
      <c r="E1639">
        <v>151</v>
      </c>
      <c r="F1639">
        <v>8</v>
      </c>
      <c r="G1639">
        <v>0</v>
      </c>
      <c r="H1639">
        <v>25</v>
      </c>
      <c r="I1639">
        <v>849</v>
      </c>
      <c r="J1639">
        <v>0</v>
      </c>
      <c r="K1639">
        <v>3.9925000000000002</v>
      </c>
      <c r="L1639">
        <v>8.6405000000000012</v>
      </c>
      <c r="M1639">
        <v>120.602</v>
      </c>
      <c r="N1639">
        <v>15.43</v>
      </c>
      <c r="O1639">
        <v>1685</v>
      </c>
      <c r="P1639">
        <v>1071</v>
      </c>
      <c r="Q1639" s="5" t="e">
        <f>IF(AND(#REF!&gt;=table!$C$6,#REF!&lt;= table!$D$6),-1,IF(AND(#REF!&gt;=table!$E$6,#REF!&lt;=table!$F$6),1,0))</f>
        <v>#REF!</v>
      </c>
      <c r="R1639" s="5" t="e">
        <f>IF(AND(#REF!&gt;=table!$C$7,#REF!&lt;= table!$D$7),-1,IF(AND(#REF!&gt;=table!$E$7,#REF!&lt;=table!$F$7),1,0))</f>
        <v>#REF!</v>
      </c>
      <c r="S1639" s="5" t="e">
        <f>IF(AND(#REF!&gt;=table!$C$8,#REF!&lt;= table!$D$8),-1,IF(AND(#REF!&gt;=table!$E$8,#REF!&lt;=table!$F$8),1,0))</f>
        <v>#REF!</v>
      </c>
      <c r="T1639" s="5"/>
      <c r="U1639" s="5" t="e">
        <f>IF(AND(#REF!&gt;=table!$C$10,#REF!&lt;= table!$D$10),-1,IF(AND(#REF!&gt;=table!$E$10,#REF!&lt;=table!$F$10),1,0))</f>
        <v>#REF!</v>
      </c>
      <c r="V1639" s="5" t="e">
        <f>IF(AND(#REF!&gt;=table!$C$11,#REF!&lt;= table!$D$11),-1,IF(AND(#REF!&gt;=table!$E$11,#REF!&lt;=table!$F$11),1,0))</f>
        <v>#REF!</v>
      </c>
      <c r="W1639" s="5" t="e">
        <f>CONCATENATE(dados[[#This Row],[fator1]],dados[[#This Row],[fator5]],dados[[#This Row],[fator6]])</f>
        <v>#REF!</v>
      </c>
    </row>
    <row r="1640" spans="1:23">
      <c r="A1640" t="s">
        <v>16</v>
      </c>
      <c r="B1640">
        <v>485708</v>
      </c>
      <c r="C1640">
        <v>11</v>
      </c>
      <c r="D1640">
        <v>40</v>
      </c>
      <c r="E1640">
        <v>151</v>
      </c>
      <c r="F1640">
        <v>8</v>
      </c>
      <c r="G1640">
        <v>0</v>
      </c>
      <c r="H1640">
        <v>25</v>
      </c>
      <c r="I1640">
        <v>1147</v>
      </c>
      <c r="J1640">
        <v>0</v>
      </c>
      <c r="K1640">
        <v>5.5045000000000002</v>
      </c>
      <c r="L1640">
        <v>6.758</v>
      </c>
      <c r="M1640">
        <v>135.12450000000001</v>
      </c>
      <c r="N1640">
        <v>11.58</v>
      </c>
      <c r="O1640">
        <v>1679</v>
      </c>
      <c r="P1640">
        <v>708</v>
      </c>
      <c r="Q1640" s="5" t="e">
        <f>IF(AND(#REF!&gt;=table!$C$6,#REF!&lt;= table!$D$6),-1,IF(AND(#REF!&gt;=table!$E$6,#REF!&lt;=table!$F$6),1,0))</f>
        <v>#REF!</v>
      </c>
      <c r="R1640" s="5" t="e">
        <f>IF(AND(#REF!&gt;=table!$C$7,#REF!&lt;= table!$D$7),-1,IF(AND(#REF!&gt;=table!$E$7,#REF!&lt;=table!$F$7),1,0))</f>
        <v>#REF!</v>
      </c>
      <c r="S1640" s="5" t="e">
        <f>IF(AND(#REF!&gt;=table!$C$8,#REF!&lt;= table!$D$8),-1,IF(AND(#REF!&gt;=table!$E$8,#REF!&lt;=table!$F$8),1,0))</f>
        <v>#REF!</v>
      </c>
      <c r="T1640" s="5"/>
      <c r="U1640" s="5" t="e">
        <f>IF(AND(#REF!&gt;=table!$C$10,#REF!&lt;= table!$D$10),-1,IF(AND(#REF!&gt;=table!$E$10,#REF!&lt;=table!$F$10),1,0))</f>
        <v>#REF!</v>
      </c>
      <c r="V1640" s="5" t="e">
        <f>IF(AND(#REF!&gt;=table!$C$11,#REF!&lt;= table!$D$11),-1,IF(AND(#REF!&gt;=table!$E$11,#REF!&lt;=table!$F$11),1,0))</f>
        <v>#REF!</v>
      </c>
      <c r="W1640" s="5" t="e">
        <f>CONCATENATE(dados[[#This Row],[fator1]],dados[[#This Row],[fator5]],dados[[#This Row],[fator6]])</f>
        <v>#REF!</v>
      </c>
    </row>
    <row r="1641" spans="1:23">
      <c r="A1641" t="s">
        <v>16</v>
      </c>
      <c r="B1641">
        <v>485709</v>
      </c>
      <c r="C1641">
        <v>0.15</v>
      </c>
      <c r="D1641">
        <v>35</v>
      </c>
      <c r="E1641">
        <v>15</v>
      </c>
      <c r="F1641">
        <v>10</v>
      </c>
      <c r="G1641">
        <v>0</v>
      </c>
      <c r="H1641">
        <v>12</v>
      </c>
      <c r="I1641">
        <v>340</v>
      </c>
      <c r="J1641">
        <v>0</v>
      </c>
      <c r="K1641">
        <v>3.8740000000000001</v>
      </c>
      <c r="L1641">
        <v>9.7729999999999997</v>
      </c>
      <c r="M1641">
        <v>9.666500000000001</v>
      </c>
      <c r="N1641">
        <v>14.5</v>
      </c>
      <c r="O1641">
        <v>1679</v>
      </c>
      <c r="P1641">
        <v>1139</v>
      </c>
      <c r="Q1641" s="5" t="e">
        <f>IF(AND(#REF!&gt;=table!$C$6,#REF!&lt;= table!$D$6),-1,IF(AND(#REF!&gt;=table!$E$6,#REF!&lt;=table!$F$6),1,0))</f>
        <v>#REF!</v>
      </c>
      <c r="R1641" s="5" t="e">
        <f>IF(AND(#REF!&gt;=table!$C$7,#REF!&lt;= table!$D$7),-1,IF(AND(#REF!&gt;=table!$E$7,#REF!&lt;=table!$F$7),1,0))</f>
        <v>#REF!</v>
      </c>
      <c r="S1641" s="5" t="e">
        <f>IF(AND(#REF!&gt;=table!$C$8,#REF!&lt;= table!$D$8),-1,IF(AND(#REF!&gt;=table!$E$8,#REF!&lt;=table!$F$8),1,0))</f>
        <v>#REF!</v>
      </c>
      <c r="T1641" s="5"/>
      <c r="U1641" s="5" t="e">
        <f>IF(AND(#REF!&gt;=table!$C$10,#REF!&lt;= table!$D$10),-1,IF(AND(#REF!&gt;=table!$E$10,#REF!&lt;=table!$F$10),1,0))</f>
        <v>#REF!</v>
      </c>
      <c r="V1641" s="5" t="e">
        <f>IF(AND(#REF!&gt;=table!$C$11,#REF!&lt;= table!$D$11),-1,IF(AND(#REF!&gt;=table!$E$11,#REF!&lt;=table!$F$11),1,0))</f>
        <v>#REF!</v>
      </c>
      <c r="W1641" s="5" t="e">
        <f>CONCATENATE(dados[[#This Row],[fator1]],dados[[#This Row],[fator5]],dados[[#This Row],[fator6]])</f>
        <v>#REF!</v>
      </c>
    </row>
    <row r="1642" spans="1:23">
      <c r="A1642" t="s">
        <v>16</v>
      </c>
      <c r="B1642">
        <v>485710</v>
      </c>
      <c r="C1642">
        <v>0.15</v>
      </c>
      <c r="D1642">
        <v>35</v>
      </c>
      <c r="E1642">
        <v>15</v>
      </c>
      <c r="F1642">
        <v>10</v>
      </c>
      <c r="G1642">
        <v>0</v>
      </c>
      <c r="H1642">
        <v>12</v>
      </c>
      <c r="I1642">
        <v>1279</v>
      </c>
      <c r="J1642">
        <v>0</v>
      </c>
      <c r="K1642">
        <v>4.4375</v>
      </c>
      <c r="L1642">
        <v>10.407</v>
      </c>
      <c r="M1642">
        <v>9.4035000000000011</v>
      </c>
      <c r="N1642">
        <v>12.635</v>
      </c>
      <c r="O1642">
        <v>1660</v>
      </c>
      <c r="P1642">
        <v>915</v>
      </c>
      <c r="Q1642" s="5" t="e">
        <f>IF(AND(#REF!&gt;=table!$C$6,#REF!&lt;= table!$D$6),-1,IF(AND(#REF!&gt;=table!$E$6,#REF!&lt;=table!$F$6),1,0))</f>
        <v>#REF!</v>
      </c>
      <c r="R1642" s="5" t="e">
        <f>IF(AND(#REF!&gt;=table!$C$7,#REF!&lt;= table!$D$7),-1,IF(AND(#REF!&gt;=table!$E$7,#REF!&lt;=table!$F$7),1,0))</f>
        <v>#REF!</v>
      </c>
      <c r="S1642" s="5" t="e">
        <f>IF(AND(#REF!&gt;=table!$C$8,#REF!&lt;= table!$D$8),-1,IF(AND(#REF!&gt;=table!$E$8,#REF!&lt;=table!$F$8),1,0))</f>
        <v>#REF!</v>
      </c>
      <c r="T1642" s="5"/>
      <c r="U1642" s="5" t="e">
        <f>IF(AND(#REF!&gt;=table!$C$10,#REF!&lt;= table!$D$10),-1,IF(AND(#REF!&gt;=table!$E$10,#REF!&lt;=table!$F$10),1,0))</f>
        <v>#REF!</v>
      </c>
      <c r="V1642" s="5" t="e">
        <f>IF(AND(#REF!&gt;=table!$C$11,#REF!&lt;= table!$D$11),-1,IF(AND(#REF!&gt;=table!$E$11,#REF!&lt;=table!$F$11),1,0))</f>
        <v>#REF!</v>
      </c>
      <c r="W1642" s="5" t="e">
        <f>CONCATENATE(dados[[#This Row],[fator1]],dados[[#This Row],[fator5]],dados[[#This Row],[fator6]])</f>
        <v>#REF!</v>
      </c>
    </row>
    <row r="1643" spans="1:23">
      <c r="A1643" t="s">
        <v>16</v>
      </c>
      <c r="B1643">
        <v>485712</v>
      </c>
      <c r="C1643">
        <v>0.15</v>
      </c>
      <c r="D1643">
        <v>35</v>
      </c>
      <c r="E1643">
        <v>15</v>
      </c>
      <c r="F1643">
        <v>10</v>
      </c>
      <c r="G1643">
        <v>0</v>
      </c>
      <c r="H1643">
        <v>12</v>
      </c>
      <c r="I1643">
        <v>1332</v>
      </c>
      <c r="J1643">
        <v>510</v>
      </c>
      <c r="K1643">
        <v>10.643500000000001</v>
      </c>
      <c r="L1643">
        <v>13.826500000000001</v>
      </c>
      <c r="M1643">
        <v>10.65</v>
      </c>
      <c r="N1643">
        <v>10.695</v>
      </c>
      <c r="O1643">
        <v>1682</v>
      </c>
      <c r="P1643">
        <v>347</v>
      </c>
      <c r="Q1643" s="5" t="e">
        <f>IF(AND(#REF!&gt;=table!$C$6,#REF!&lt;= table!$D$6),-1,IF(AND(#REF!&gt;=table!$E$6,#REF!&lt;=table!$F$6),1,0))</f>
        <v>#REF!</v>
      </c>
      <c r="R1643" s="5" t="e">
        <f>IF(AND(#REF!&gt;=table!$C$7,#REF!&lt;= table!$D$7),-1,IF(AND(#REF!&gt;=table!$E$7,#REF!&lt;=table!$F$7),1,0))</f>
        <v>#REF!</v>
      </c>
      <c r="S1643" s="5" t="e">
        <f>IF(AND(#REF!&gt;=table!$C$8,#REF!&lt;= table!$D$8),-1,IF(AND(#REF!&gt;=table!$E$8,#REF!&lt;=table!$F$8),1,0))</f>
        <v>#REF!</v>
      </c>
      <c r="T1643" s="5"/>
      <c r="U1643" s="5" t="e">
        <f>IF(AND(#REF!&gt;=table!$C$10,#REF!&lt;= table!$D$10),-1,IF(AND(#REF!&gt;=table!$E$10,#REF!&lt;=table!$F$10),1,0))</f>
        <v>#REF!</v>
      </c>
      <c r="V1643" s="5" t="e">
        <f>IF(AND(#REF!&gt;=table!$C$11,#REF!&lt;= table!$D$11),-1,IF(AND(#REF!&gt;=table!$E$11,#REF!&lt;=table!$F$11),1,0))</f>
        <v>#REF!</v>
      </c>
      <c r="W1643" s="5" t="e">
        <f>CONCATENATE(dados[[#This Row],[fator1]],dados[[#This Row],[fator5]],dados[[#This Row],[fator6]])</f>
        <v>#REF!</v>
      </c>
    </row>
    <row r="1644" spans="1:23">
      <c r="A1644" t="s">
        <v>16</v>
      </c>
      <c r="B1644">
        <v>485713</v>
      </c>
      <c r="C1644">
        <v>9</v>
      </c>
      <c r="D1644">
        <v>30</v>
      </c>
      <c r="E1644">
        <v>150</v>
      </c>
      <c r="F1644">
        <v>4</v>
      </c>
      <c r="G1644">
        <v>0</v>
      </c>
      <c r="H1644">
        <v>25</v>
      </c>
      <c r="I1644">
        <v>955</v>
      </c>
      <c r="J1644">
        <v>0</v>
      </c>
      <c r="K1644">
        <v>3.0430000000000001</v>
      </c>
      <c r="L1644">
        <v>9.8375000000000004</v>
      </c>
      <c r="M1644">
        <v>133.155</v>
      </c>
      <c r="N1644">
        <v>20.64</v>
      </c>
      <c r="O1644">
        <v>1694</v>
      </c>
      <c r="P1644">
        <v>1355</v>
      </c>
      <c r="Q1644" s="5" t="e">
        <f>IF(AND(#REF!&gt;=table!$C$6,#REF!&lt;= table!$D$6),-1,IF(AND(#REF!&gt;=table!$E$6,#REF!&lt;=table!$F$6),1,0))</f>
        <v>#REF!</v>
      </c>
      <c r="R1644" s="5" t="e">
        <f>IF(AND(#REF!&gt;=table!$C$7,#REF!&lt;= table!$D$7),-1,IF(AND(#REF!&gt;=table!$E$7,#REF!&lt;=table!$F$7),1,0))</f>
        <v>#REF!</v>
      </c>
      <c r="S1644" s="5" t="e">
        <f>IF(AND(#REF!&gt;=table!$C$8,#REF!&lt;= table!$D$8),-1,IF(AND(#REF!&gt;=table!$E$8,#REF!&lt;=table!$F$8),1,0))</f>
        <v>#REF!</v>
      </c>
      <c r="T1644" s="5"/>
      <c r="U1644" s="5" t="e">
        <f>IF(AND(#REF!&gt;=table!$C$10,#REF!&lt;= table!$D$10),-1,IF(AND(#REF!&gt;=table!$E$10,#REF!&lt;=table!$F$10),1,0))</f>
        <v>#REF!</v>
      </c>
      <c r="V1644" s="5" t="e">
        <f>IF(AND(#REF!&gt;=table!$C$11,#REF!&lt;= table!$D$11),-1,IF(AND(#REF!&gt;=table!$E$11,#REF!&lt;=table!$F$11),1,0))</f>
        <v>#REF!</v>
      </c>
      <c r="W1644" s="5" t="e">
        <f>CONCATENATE(dados[[#This Row],[fator1]],dados[[#This Row],[fator5]],dados[[#This Row],[fator6]])</f>
        <v>#REF!</v>
      </c>
    </row>
    <row r="1645" spans="1:23">
      <c r="A1645" t="s">
        <v>16</v>
      </c>
      <c r="B1645">
        <v>485716</v>
      </c>
      <c r="C1645">
        <v>0.15</v>
      </c>
      <c r="D1645">
        <v>35</v>
      </c>
      <c r="E1645">
        <v>15</v>
      </c>
      <c r="F1645">
        <v>10</v>
      </c>
      <c r="G1645">
        <v>0</v>
      </c>
      <c r="H1645">
        <v>12</v>
      </c>
      <c r="I1645">
        <v>181</v>
      </c>
      <c r="J1645">
        <v>0</v>
      </c>
      <c r="K1645">
        <v>8.2160000000000011</v>
      </c>
      <c r="L1645">
        <v>10.078000000000001</v>
      </c>
      <c r="M1645">
        <v>9.3335000000000008</v>
      </c>
      <c r="N1645">
        <v>9.74</v>
      </c>
      <c r="O1645">
        <v>1680</v>
      </c>
      <c r="P1645">
        <v>0</v>
      </c>
      <c r="Q1645" s="5" t="e">
        <f>IF(AND(#REF!&gt;=table!$C$6,#REF!&lt;= table!$D$6),-1,IF(AND(#REF!&gt;=table!$E$6,#REF!&lt;=table!$F$6),1,0))</f>
        <v>#REF!</v>
      </c>
      <c r="R1645" s="5" t="e">
        <f>IF(AND(#REF!&gt;=table!$C$7,#REF!&lt;= table!$D$7),-1,IF(AND(#REF!&gt;=table!$E$7,#REF!&lt;=table!$F$7),1,0))</f>
        <v>#REF!</v>
      </c>
      <c r="S1645" s="5" t="e">
        <f>IF(AND(#REF!&gt;=table!$C$8,#REF!&lt;= table!$D$8),-1,IF(AND(#REF!&gt;=table!$E$8,#REF!&lt;=table!$F$8),1,0))</f>
        <v>#REF!</v>
      </c>
      <c r="T1645" s="5"/>
      <c r="U1645" s="5" t="e">
        <f>IF(AND(#REF!&gt;=table!$C$10,#REF!&lt;= table!$D$10),-1,IF(AND(#REF!&gt;=table!$E$10,#REF!&lt;=table!$F$10),1,0))</f>
        <v>#REF!</v>
      </c>
      <c r="V1645" s="5" t="e">
        <f>IF(AND(#REF!&gt;=table!$C$11,#REF!&lt;= table!$D$11),-1,IF(AND(#REF!&gt;=table!$E$11,#REF!&lt;=table!$F$11),1,0))</f>
        <v>#REF!</v>
      </c>
      <c r="W1645" s="5" t="e">
        <f>CONCATENATE(dados[[#This Row],[fator1]],dados[[#This Row],[fator5]],dados[[#This Row],[fator6]])</f>
        <v>#REF!</v>
      </c>
    </row>
    <row r="1646" spans="1:23">
      <c r="A1646" t="s">
        <v>16</v>
      </c>
      <c r="B1646">
        <v>485718</v>
      </c>
      <c r="C1646">
        <v>9</v>
      </c>
      <c r="D1646">
        <v>30</v>
      </c>
      <c r="E1646">
        <v>150</v>
      </c>
      <c r="F1646">
        <v>4</v>
      </c>
      <c r="G1646">
        <v>0</v>
      </c>
      <c r="H1646">
        <v>25</v>
      </c>
      <c r="I1646">
        <v>703</v>
      </c>
      <c r="J1646">
        <v>0</v>
      </c>
      <c r="K1646">
        <v>4.1284999999999998</v>
      </c>
      <c r="L1646">
        <v>8.11</v>
      </c>
      <c r="M1646">
        <v>134.41400000000002</v>
      </c>
      <c r="N1646">
        <v>11.19</v>
      </c>
      <c r="O1646">
        <v>1661</v>
      </c>
      <c r="P1646">
        <v>1002</v>
      </c>
      <c r="Q1646" s="5" t="e">
        <f>IF(AND(#REF!&gt;=table!$C$6,#REF!&lt;= table!$D$6),-1,IF(AND(#REF!&gt;=table!$E$6,#REF!&lt;=table!$F$6),1,0))</f>
        <v>#REF!</v>
      </c>
      <c r="R1646" s="5" t="e">
        <f>IF(AND(#REF!&gt;=table!$C$7,#REF!&lt;= table!$D$7),-1,IF(AND(#REF!&gt;=table!$E$7,#REF!&lt;=table!$F$7),1,0))</f>
        <v>#REF!</v>
      </c>
      <c r="S1646" s="5" t="e">
        <f>IF(AND(#REF!&gt;=table!$C$8,#REF!&lt;= table!$D$8),-1,IF(AND(#REF!&gt;=table!$E$8,#REF!&lt;=table!$F$8),1,0))</f>
        <v>#REF!</v>
      </c>
      <c r="T1646" s="5"/>
      <c r="U1646" s="5" t="e">
        <f>IF(AND(#REF!&gt;=table!$C$10,#REF!&lt;= table!$D$10),-1,IF(AND(#REF!&gt;=table!$E$10,#REF!&lt;=table!$F$10),1,0))</f>
        <v>#REF!</v>
      </c>
      <c r="V1646" s="5" t="e">
        <f>IF(AND(#REF!&gt;=table!$C$11,#REF!&lt;= table!$D$11),-1,IF(AND(#REF!&gt;=table!$E$11,#REF!&lt;=table!$F$11),1,0))</f>
        <v>#REF!</v>
      </c>
      <c r="W1646" s="5" t="e">
        <f>CONCATENATE(dados[[#This Row],[fator1]],dados[[#This Row],[fator5]],dados[[#This Row],[fator6]])</f>
        <v>#REF!</v>
      </c>
    </row>
    <row r="1647" spans="1:23">
      <c r="A1647" t="s">
        <v>16</v>
      </c>
      <c r="B1647">
        <v>485720</v>
      </c>
      <c r="C1647">
        <v>0.1</v>
      </c>
      <c r="D1647">
        <v>40</v>
      </c>
      <c r="E1647">
        <v>10</v>
      </c>
      <c r="F1647">
        <v>8</v>
      </c>
      <c r="G1647">
        <v>0</v>
      </c>
      <c r="H1647">
        <v>10</v>
      </c>
      <c r="I1647">
        <v>190</v>
      </c>
      <c r="J1647">
        <v>0</v>
      </c>
      <c r="K1647">
        <v>5.7540000000000004</v>
      </c>
      <c r="L1647">
        <v>12.6135</v>
      </c>
      <c r="M1647">
        <v>11.854000000000001</v>
      </c>
      <c r="N1647">
        <v>14.425000000000001</v>
      </c>
      <c r="O1647">
        <v>1683</v>
      </c>
      <c r="P1647">
        <v>0</v>
      </c>
      <c r="Q1647" s="5" t="e">
        <f>IF(AND(#REF!&gt;=table!$C$6,#REF!&lt;= table!$D$6),-1,IF(AND(#REF!&gt;=table!$E$6,#REF!&lt;=table!$F$6),1,0))</f>
        <v>#REF!</v>
      </c>
      <c r="R1647" s="5" t="e">
        <f>IF(AND(#REF!&gt;=table!$C$7,#REF!&lt;= table!$D$7),-1,IF(AND(#REF!&gt;=table!$E$7,#REF!&lt;=table!$F$7),1,0))</f>
        <v>#REF!</v>
      </c>
      <c r="S1647" s="5" t="e">
        <f>IF(AND(#REF!&gt;=table!$C$8,#REF!&lt;= table!$D$8),-1,IF(AND(#REF!&gt;=table!$E$8,#REF!&lt;=table!$F$8),1,0))</f>
        <v>#REF!</v>
      </c>
      <c r="T1647" s="5"/>
      <c r="U1647" s="5" t="e">
        <f>IF(AND(#REF!&gt;=table!$C$10,#REF!&lt;= table!$D$10),-1,IF(AND(#REF!&gt;=table!$E$10,#REF!&lt;=table!$F$10),1,0))</f>
        <v>#REF!</v>
      </c>
      <c r="V1647" s="5" t="e">
        <f>IF(AND(#REF!&gt;=table!$C$11,#REF!&lt;= table!$D$11),-1,IF(AND(#REF!&gt;=table!$E$11,#REF!&lt;=table!$F$11),1,0))</f>
        <v>#REF!</v>
      </c>
      <c r="W1647" s="5" t="e">
        <f>CONCATENATE(dados[[#This Row],[fator1]],dados[[#This Row],[fator5]],dados[[#This Row],[fator6]])</f>
        <v>#REF!</v>
      </c>
    </row>
    <row r="1648" spans="1:23">
      <c r="A1648" t="s">
        <v>17</v>
      </c>
      <c r="B1648">
        <v>485721</v>
      </c>
      <c r="C1648">
        <v>16</v>
      </c>
      <c r="D1648">
        <v>30</v>
      </c>
      <c r="E1648">
        <v>150</v>
      </c>
      <c r="F1648">
        <v>8</v>
      </c>
      <c r="G1648">
        <v>28</v>
      </c>
      <c r="H1648">
        <v>25</v>
      </c>
      <c r="I1648">
        <v>882</v>
      </c>
      <c r="J1648">
        <v>0</v>
      </c>
      <c r="K1648">
        <v>8.7475000000000005</v>
      </c>
      <c r="L1648">
        <v>12.214500000000001</v>
      </c>
      <c r="M1648">
        <v>134.75749999999999</v>
      </c>
      <c r="N1648">
        <v>14.855</v>
      </c>
      <c r="O1648">
        <v>1679</v>
      </c>
      <c r="P1648">
        <v>402</v>
      </c>
      <c r="Q1648" s="5" t="e">
        <f>IF(AND(#REF!&gt;=table!$C$6,#REF!&lt;= table!$D$6),-1,IF(AND(#REF!&gt;=table!$E$6,#REF!&lt;=table!$F$6),1,0))</f>
        <v>#REF!</v>
      </c>
      <c r="R1648" s="5" t="e">
        <f>IF(AND(#REF!&gt;=table!$C$7,#REF!&lt;= table!$D$7),-1,IF(AND(#REF!&gt;=table!$E$7,#REF!&lt;=table!$F$7),1,0))</f>
        <v>#REF!</v>
      </c>
      <c r="S1648" s="5" t="e">
        <f>IF(AND(#REF!&gt;=table!$C$8,#REF!&lt;= table!$D$8),-1,IF(AND(#REF!&gt;=table!$E$8,#REF!&lt;=table!$F$8),1,0))</f>
        <v>#REF!</v>
      </c>
      <c r="T1648" s="5"/>
      <c r="U1648" s="5" t="e">
        <f>IF(AND(#REF!&gt;=table!$C$10,#REF!&lt;= table!$D$10),-1,IF(AND(#REF!&gt;=table!$E$10,#REF!&lt;=table!$F$10),1,0))</f>
        <v>#REF!</v>
      </c>
      <c r="V1648" s="5" t="e">
        <f>IF(AND(#REF!&gt;=table!$C$11,#REF!&lt;= table!$D$11),-1,IF(AND(#REF!&gt;=table!$E$11,#REF!&lt;=table!$F$11),1,0))</f>
        <v>#REF!</v>
      </c>
      <c r="W1648" s="5" t="e">
        <f>CONCATENATE(dados[[#This Row],[fator1]],dados[[#This Row],[fator5]],dados[[#This Row],[fator6]])</f>
        <v>#REF!</v>
      </c>
    </row>
    <row r="1649" spans="1:23">
      <c r="A1649" t="s">
        <v>17</v>
      </c>
      <c r="B1649">
        <v>485722</v>
      </c>
      <c r="C1649">
        <v>16</v>
      </c>
      <c r="D1649">
        <v>30</v>
      </c>
      <c r="E1649">
        <v>150</v>
      </c>
      <c r="F1649">
        <v>8</v>
      </c>
      <c r="G1649">
        <v>28</v>
      </c>
      <c r="H1649">
        <v>25</v>
      </c>
      <c r="I1649">
        <v>67</v>
      </c>
      <c r="J1649">
        <v>0</v>
      </c>
      <c r="K1649">
        <v>2.7985000000000002</v>
      </c>
      <c r="L1649">
        <v>3.8995000000000002</v>
      </c>
      <c r="M1649">
        <v>116.9175</v>
      </c>
      <c r="N1649">
        <v>16.345000000000002</v>
      </c>
      <c r="O1649">
        <v>1714</v>
      </c>
      <c r="P1649">
        <v>1598</v>
      </c>
      <c r="Q1649" s="5" t="e">
        <f>IF(AND(#REF!&gt;=table!$C$6,#REF!&lt;= table!$D$6),-1,IF(AND(#REF!&gt;=table!$E$6,#REF!&lt;=table!$F$6),1,0))</f>
        <v>#REF!</v>
      </c>
      <c r="R1649" s="5" t="e">
        <f>IF(AND(#REF!&gt;=table!$C$7,#REF!&lt;= table!$D$7),-1,IF(AND(#REF!&gt;=table!$E$7,#REF!&lt;=table!$F$7),1,0))</f>
        <v>#REF!</v>
      </c>
      <c r="S1649" s="5" t="e">
        <f>IF(AND(#REF!&gt;=table!$C$8,#REF!&lt;= table!$D$8),-1,IF(AND(#REF!&gt;=table!$E$8,#REF!&lt;=table!$F$8),1,0))</f>
        <v>#REF!</v>
      </c>
      <c r="T1649" s="5"/>
      <c r="U1649" s="5" t="e">
        <f>IF(AND(#REF!&gt;=table!$C$10,#REF!&lt;= table!$D$10),-1,IF(AND(#REF!&gt;=table!$E$10,#REF!&lt;=table!$F$10),1,0))</f>
        <v>#REF!</v>
      </c>
      <c r="V1649" s="5" t="e">
        <f>IF(AND(#REF!&gt;=table!$C$11,#REF!&lt;= table!$D$11),-1,IF(AND(#REF!&gt;=table!$E$11,#REF!&lt;=table!$F$11),1,0))</f>
        <v>#REF!</v>
      </c>
      <c r="W1649" s="5" t="e">
        <f>CONCATENATE(dados[[#This Row],[fator1]],dados[[#This Row],[fator5]],dados[[#This Row],[fator6]])</f>
        <v>#REF!</v>
      </c>
    </row>
    <row r="1650" spans="1:23">
      <c r="A1650" t="s">
        <v>17</v>
      </c>
      <c r="B1650">
        <v>485723</v>
      </c>
      <c r="C1650">
        <v>18</v>
      </c>
      <c r="D1650">
        <v>23</v>
      </c>
      <c r="E1650">
        <v>145</v>
      </c>
      <c r="F1650">
        <v>9</v>
      </c>
      <c r="G1650">
        <v>30</v>
      </c>
      <c r="H1650">
        <v>25</v>
      </c>
      <c r="I1650">
        <v>453</v>
      </c>
      <c r="J1650">
        <v>870</v>
      </c>
      <c r="K1650">
        <v>4.6615000000000002</v>
      </c>
      <c r="L1650">
        <v>3.0235000000000003</v>
      </c>
      <c r="M1650">
        <v>131.24299999999999</v>
      </c>
      <c r="N1650">
        <v>13.91</v>
      </c>
      <c r="O1650">
        <v>1653</v>
      </c>
      <c r="P1650">
        <v>1025</v>
      </c>
      <c r="Q1650" s="5" t="e">
        <f>IF(AND(#REF!&gt;=table!$C$6,#REF!&lt;= table!$D$6),-1,IF(AND(#REF!&gt;=table!$E$6,#REF!&lt;=table!$F$6),1,0))</f>
        <v>#REF!</v>
      </c>
      <c r="R1650" s="5" t="e">
        <f>IF(AND(#REF!&gt;=table!$C$7,#REF!&lt;= table!$D$7),-1,IF(AND(#REF!&gt;=table!$E$7,#REF!&lt;=table!$F$7),1,0))</f>
        <v>#REF!</v>
      </c>
      <c r="S1650" s="5" t="e">
        <f>IF(AND(#REF!&gt;=table!$C$8,#REF!&lt;= table!$D$8),-1,IF(AND(#REF!&gt;=table!$E$8,#REF!&lt;=table!$F$8),1,0))</f>
        <v>#REF!</v>
      </c>
      <c r="T1650" s="5"/>
      <c r="U1650" s="5" t="e">
        <f>IF(AND(#REF!&gt;=table!$C$10,#REF!&lt;= table!$D$10),-1,IF(AND(#REF!&gt;=table!$E$10,#REF!&lt;=table!$F$10),1,0))</f>
        <v>#REF!</v>
      </c>
      <c r="V1650" s="5" t="e">
        <f>IF(AND(#REF!&gt;=table!$C$11,#REF!&lt;= table!$D$11),-1,IF(AND(#REF!&gt;=table!$E$11,#REF!&lt;=table!$F$11),1,0))</f>
        <v>#REF!</v>
      </c>
      <c r="W1650" s="5" t="e">
        <f>CONCATENATE(dados[[#This Row],[fator1]],dados[[#This Row],[fator5]],dados[[#This Row],[fator6]])</f>
        <v>#REF!</v>
      </c>
    </row>
    <row r="1651" spans="1:23">
      <c r="A1651" t="s">
        <v>17</v>
      </c>
      <c r="B1651">
        <v>485724</v>
      </c>
      <c r="C1651">
        <v>18</v>
      </c>
      <c r="D1651">
        <v>23</v>
      </c>
      <c r="E1651">
        <v>145</v>
      </c>
      <c r="F1651">
        <v>9</v>
      </c>
      <c r="G1651">
        <v>30</v>
      </c>
      <c r="H1651">
        <v>25</v>
      </c>
      <c r="I1651">
        <v>478</v>
      </c>
      <c r="J1651">
        <v>0</v>
      </c>
      <c r="K1651">
        <v>6.3245000000000005</v>
      </c>
      <c r="L1651">
        <v>9.3330000000000002</v>
      </c>
      <c r="M1651">
        <v>118.8965</v>
      </c>
      <c r="N1651">
        <v>10.620000000000001</v>
      </c>
      <c r="O1651">
        <v>1656</v>
      </c>
      <c r="P1651">
        <v>500</v>
      </c>
      <c r="Q1651" s="5" t="e">
        <f>IF(AND(#REF!&gt;=table!$C$6,#REF!&lt;= table!$D$6),-1,IF(AND(#REF!&gt;=table!$E$6,#REF!&lt;=table!$F$6),1,0))</f>
        <v>#REF!</v>
      </c>
      <c r="R1651" s="5" t="e">
        <f>IF(AND(#REF!&gt;=table!$C$7,#REF!&lt;= table!$D$7),-1,IF(AND(#REF!&gt;=table!$E$7,#REF!&lt;=table!$F$7),1,0))</f>
        <v>#REF!</v>
      </c>
      <c r="S1651" s="5" t="e">
        <f>IF(AND(#REF!&gt;=table!$C$8,#REF!&lt;= table!$D$8),-1,IF(AND(#REF!&gt;=table!$E$8,#REF!&lt;=table!$F$8),1,0))</f>
        <v>#REF!</v>
      </c>
      <c r="T1651" s="5"/>
      <c r="U1651" s="5" t="e">
        <f>IF(AND(#REF!&gt;=table!$C$10,#REF!&lt;= table!$D$10),-1,IF(AND(#REF!&gt;=table!$E$10,#REF!&lt;=table!$F$10),1,0))</f>
        <v>#REF!</v>
      </c>
      <c r="V1651" s="5" t="e">
        <f>IF(AND(#REF!&gt;=table!$C$11,#REF!&lt;= table!$D$11),-1,IF(AND(#REF!&gt;=table!$E$11,#REF!&lt;=table!$F$11),1,0))</f>
        <v>#REF!</v>
      </c>
      <c r="W1651" s="5" t="e">
        <f>CONCATENATE(dados[[#This Row],[fator1]],dados[[#This Row],[fator5]],dados[[#This Row],[fator6]])</f>
        <v>#REF!</v>
      </c>
    </row>
    <row r="1652" spans="1:23">
      <c r="A1652" t="s">
        <v>17</v>
      </c>
      <c r="B1652">
        <v>485725</v>
      </c>
      <c r="C1652">
        <v>16</v>
      </c>
      <c r="D1652">
        <v>30</v>
      </c>
      <c r="E1652">
        <v>110</v>
      </c>
      <c r="F1652">
        <v>8</v>
      </c>
      <c r="G1652">
        <v>28</v>
      </c>
      <c r="H1652">
        <v>25</v>
      </c>
      <c r="I1652">
        <v>660</v>
      </c>
      <c r="J1652">
        <v>950</v>
      </c>
      <c r="K1652">
        <v>11.6585</v>
      </c>
      <c r="L1652">
        <v>18.917999999999999</v>
      </c>
      <c r="M1652">
        <v>92.93950000000001</v>
      </c>
      <c r="N1652">
        <v>17.38</v>
      </c>
      <c r="O1652">
        <v>1688</v>
      </c>
      <c r="P1652">
        <v>335</v>
      </c>
      <c r="Q1652" s="5" t="e">
        <f>IF(AND(#REF!&gt;=table!$C$6,#REF!&lt;= table!$D$6),-1,IF(AND(#REF!&gt;=table!$E$6,#REF!&lt;=table!$F$6),1,0))</f>
        <v>#REF!</v>
      </c>
      <c r="R1652" s="5" t="e">
        <f>IF(AND(#REF!&gt;=table!$C$7,#REF!&lt;= table!$D$7),-1,IF(AND(#REF!&gt;=table!$E$7,#REF!&lt;=table!$F$7),1,0))</f>
        <v>#REF!</v>
      </c>
      <c r="S1652" s="5" t="e">
        <f>IF(AND(#REF!&gt;=table!$C$8,#REF!&lt;= table!$D$8),-1,IF(AND(#REF!&gt;=table!$E$8,#REF!&lt;=table!$F$8),1,0))</f>
        <v>#REF!</v>
      </c>
      <c r="T1652" s="5"/>
      <c r="U1652" s="5" t="e">
        <f>IF(AND(#REF!&gt;=table!$C$10,#REF!&lt;= table!$D$10),-1,IF(AND(#REF!&gt;=table!$E$10,#REF!&lt;=table!$F$10),1,0))</f>
        <v>#REF!</v>
      </c>
      <c r="V1652" s="5" t="e">
        <f>IF(AND(#REF!&gt;=table!$C$11,#REF!&lt;= table!$D$11),-1,IF(AND(#REF!&gt;=table!$E$11,#REF!&lt;=table!$F$11),1,0))</f>
        <v>#REF!</v>
      </c>
      <c r="W1652" s="5" t="e">
        <f>CONCATENATE(dados[[#This Row],[fator1]],dados[[#This Row],[fator5]],dados[[#This Row],[fator6]])</f>
        <v>#REF!</v>
      </c>
    </row>
    <row r="1653" spans="1:23">
      <c r="A1653" t="s">
        <v>16</v>
      </c>
      <c r="B1653">
        <v>485731</v>
      </c>
      <c r="C1653">
        <v>12</v>
      </c>
      <c r="D1653">
        <v>35</v>
      </c>
      <c r="E1653">
        <v>86</v>
      </c>
      <c r="F1653">
        <v>8</v>
      </c>
      <c r="G1653">
        <v>0</v>
      </c>
      <c r="H1653">
        <v>25</v>
      </c>
      <c r="I1653">
        <v>466</v>
      </c>
      <c r="J1653">
        <v>0</v>
      </c>
      <c r="K1653">
        <v>2.8330000000000002</v>
      </c>
      <c r="L1653">
        <v>3.351</v>
      </c>
      <c r="M1653">
        <v>65.302999999999997</v>
      </c>
      <c r="N1653">
        <v>13.41</v>
      </c>
      <c r="O1653">
        <v>1654</v>
      </c>
      <c r="P1653">
        <v>1593</v>
      </c>
      <c r="Q1653" s="5" t="e">
        <f>IF(AND(#REF!&gt;=table!$C$6,#REF!&lt;= table!$D$6),-1,IF(AND(#REF!&gt;=table!$E$6,#REF!&lt;=table!$F$6),1,0))</f>
        <v>#REF!</v>
      </c>
      <c r="R1653" s="5" t="e">
        <f>IF(AND(#REF!&gt;=table!$C$7,#REF!&lt;= table!$D$7),-1,IF(AND(#REF!&gt;=table!$E$7,#REF!&lt;=table!$F$7),1,0))</f>
        <v>#REF!</v>
      </c>
      <c r="S1653" s="5" t="e">
        <f>IF(AND(#REF!&gt;=table!$C$8,#REF!&lt;= table!$D$8),-1,IF(AND(#REF!&gt;=table!$E$8,#REF!&lt;=table!$F$8),1,0))</f>
        <v>#REF!</v>
      </c>
      <c r="T1653" s="5"/>
      <c r="U1653" s="5" t="e">
        <f>IF(AND(#REF!&gt;=table!$C$10,#REF!&lt;= table!$D$10),-1,IF(AND(#REF!&gt;=table!$E$10,#REF!&lt;=table!$F$10),1,0))</f>
        <v>#REF!</v>
      </c>
      <c r="V1653" s="5" t="e">
        <f>IF(AND(#REF!&gt;=table!$C$11,#REF!&lt;= table!$D$11),-1,IF(AND(#REF!&gt;=table!$E$11,#REF!&lt;=table!$F$11),1,0))</f>
        <v>#REF!</v>
      </c>
      <c r="W1653" s="5" t="e">
        <f>CONCATENATE(dados[[#This Row],[fator1]],dados[[#This Row],[fator5]],dados[[#This Row],[fator6]])</f>
        <v>#REF!</v>
      </c>
    </row>
    <row r="1654" spans="1:23">
      <c r="A1654" t="s">
        <v>17</v>
      </c>
      <c r="B1654">
        <v>485733</v>
      </c>
      <c r="C1654">
        <v>16</v>
      </c>
      <c r="D1654">
        <v>33</v>
      </c>
      <c r="E1654">
        <v>150</v>
      </c>
      <c r="F1654">
        <v>10</v>
      </c>
      <c r="G1654">
        <v>15</v>
      </c>
      <c r="H1654">
        <v>25</v>
      </c>
      <c r="I1654">
        <v>890</v>
      </c>
      <c r="J1654">
        <v>0</v>
      </c>
      <c r="K1654">
        <v>5.7004999999999999</v>
      </c>
      <c r="L1654">
        <v>14.697000000000001</v>
      </c>
      <c r="M1654">
        <v>107.739</v>
      </c>
      <c r="N1654">
        <v>20.324999999999999</v>
      </c>
      <c r="O1654">
        <v>1686</v>
      </c>
      <c r="P1654">
        <v>597</v>
      </c>
      <c r="Q1654" s="5" t="e">
        <f>IF(AND(#REF!&gt;=table!$C$6,#REF!&lt;= table!$D$6),-1,IF(AND(#REF!&gt;=table!$E$6,#REF!&lt;=table!$F$6),1,0))</f>
        <v>#REF!</v>
      </c>
      <c r="R1654" s="5" t="e">
        <f>IF(AND(#REF!&gt;=table!$C$7,#REF!&lt;= table!$D$7),-1,IF(AND(#REF!&gt;=table!$E$7,#REF!&lt;=table!$F$7),1,0))</f>
        <v>#REF!</v>
      </c>
      <c r="S1654" s="5" t="e">
        <f>IF(AND(#REF!&gt;=table!$C$8,#REF!&lt;= table!$D$8),-1,IF(AND(#REF!&gt;=table!$E$8,#REF!&lt;=table!$F$8),1,0))</f>
        <v>#REF!</v>
      </c>
      <c r="T1654" s="5"/>
      <c r="U1654" s="5" t="e">
        <f>IF(AND(#REF!&gt;=table!$C$10,#REF!&lt;= table!$D$10),-1,IF(AND(#REF!&gt;=table!$E$10,#REF!&lt;=table!$F$10),1,0))</f>
        <v>#REF!</v>
      </c>
      <c r="V1654" s="5" t="e">
        <f>IF(AND(#REF!&gt;=table!$C$11,#REF!&lt;= table!$D$11),-1,IF(AND(#REF!&gt;=table!$E$11,#REF!&lt;=table!$F$11),1,0))</f>
        <v>#REF!</v>
      </c>
      <c r="W1654" s="5" t="e">
        <f>CONCATENATE(dados[[#This Row],[fator1]],dados[[#This Row],[fator5]],dados[[#This Row],[fator6]])</f>
        <v>#REF!</v>
      </c>
    </row>
    <row r="1655" spans="1:23">
      <c r="A1655" t="s">
        <v>17</v>
      </c>
      <c r="B1655">
        <v>485734</v>
      </c>
      <c r="C1655">
        <v>12</v>
      </c>
      <c r="D1655">
        <v>25</v>
      </c>
      <c r="E1655">
        <v>120</v>
      </c>
      <c r="F1655">
        <v>9</v>
      </c>
      <c r="G1655">
        <v>110</v>
      </c>
      <c r="H1655">
        <v>50</v>
      </c>
      <c r="I1655">
        <v>31</v>
      </c>
      <c r="J1655">
        <v>0</v>
      </c>
      <c r="K1655">
        <v>8.6074999999999999</v>
      </c>
      <c r="L1655">
        <v>19.0075</v>
      </c>
      <c r="M1655">
        <v>110.72450000000001</v>
      </c>
      <c r="N1655">
        <v>31.525000000000002</v>
      </c>
      <c r="O1655">
        <v>1679</v>
      </c>
      <c r="P1655">
        <v>331</v>
      </c>
      <c r="Q1655" s="5" t="e">
        <f>IF(AND(#REF!&gt;=table!$C$6,#REF!&lt;= table!$D$6),-1,IF(AND(#REF!&gt;=table!$E$6,#REF!&lt;=table!$F$6),1,0))</f>
        <v>#REF!</v>
      </c>
      <c r="R1655" s="5" t="e">
        <f>IF(AND(#REF!&gt;=table!$C$7,#REF!&lt;= table!$D$7),-1,IF(AND(#REF!&gt;=table!$E$7,#REF!&lt;=table!$F$7),1,0))</f>
        <v>#REF!</v>
      </c>
      <c r="S1655" s="5" t="e">
        <f>IF(AND(#REF!&gt;=table!$C$8,#REF!&lt;= table!$D$8),-1,IF(AND(#REF!&gt;=table!$E$8,#REF!&lt;=table!$F$8),1,0))</f>
        <v>#REF!</v>
      </c>
      <c r="T1655" s="5"/>
      <c r="U1655" s="5" t="e">
        <f>IF(AND(#REF!&gt;=table!$C$10,#REF!&lt;= table!$D$10),-1,IF(AND(#REF!&gt;=table!$E$10,#REF!&lt;=table!$F$10),1,0))</f>
        <v>#REF!</v>
      </c>
      <c r="V1655" s="5" t="e">
        <f>IF(AND(#REF!&gt;=table!$C$11,#REF!&lt;= table!$D$11),-1,IF(AND(#REF!&gt;=table!$E$11,#REF!&lt;=table!$F$11),1,0))</f>
        <v>#REF!</v>
      </c>
      <c r="W1655" s="5" t="e">
        <f>CONCATENATE(dados[[#This Row],[fator1]],dados[[#This Row],[fator5]],dados[[#This Row],[fator6]])</f>
        <v>#REF!</v>
      </c>
    </row>
    <row r="1656" spans="1:23">
      <c r="A1656" t="s">
        <v>17</v>
      </c>
      <c r="B1656">
        <v>485737</v>
      </c>
      <c r="C1656">
        <v>14</v>
      </c>
      <c r="D1656">
        <v>30</v>
      </c>
      <c r="E1656">
        <v>86</v>
      </c>
      <c r="F1656">
        <v>9</v>
      </c>
      <c r="G1656">
        <v>20</v>
      </c>
      <c r="H1656">
        <v>25</v>
      </c>
      <c r="I1656">
        <v>718</v>
      </c>
      <c r="J1656">
        <v>0</v>
      </c>
      <c r="K1656">
        <v>4.8835000000000006</v>
      </c>
      <c r="L1656">
        <v>9.2714999999999996</v>
      </c>
      <c r="M1656">
        <v>67.643500000000003</v>
      </c>
      <c r="N1656">
        <v>14.695</v>
      </c>
      <c r="O1656">
        <v>1685</v>
      </c>
      <c r="P1656">
        <v>838</v>
      </c>
      <c r="Q1656" s="5" t="e">
        <f>IF(AND(#REF!&gt;=table!$C$6,#REF!&lt;= table!$D$6),-1,IF(AND(#REF!&gt;=table!$E$6,#REF!&lt;=table!$F$6),1,0))</f>
        <v>#REF!</v>
      </c>
      <c r="R1656" s="5" t="e">
        <f>IF(AND(#REF!&gt;=table!$C$7,#REF!&lt;= table!$D$7),-1,IF(AND(#REF!&gt;=table!$E$7,#REF!&lt;=table!$F$7),1,0))</f>
        <v>#REF!</v>
      </c>
      <c r="S1656" s="5" t="e">
        <f>IF(AND(#REF!&gt;=table!$C$8,#REF!&lt;= table!$D$8),-1,IF(AND(#REF!&gt;=table!$E$8,#REF!&lt;=table!$F$8),1,0))</f>
        <v>#REF!</v>
      </c>
      <c r="T1656" s="5"/>
      <c r="U1656" s="5" t="e">
        <f>IF(AND(#REF!&gt;=table!$C$10,#REF!&lt;= table!$D$10),-1,IF(AND(#REF!&gt;=table!$E$10,#REF!&lt;=table!$F$10),1,0))</f>
        <v>#REF!</v>
      </c>
      <c r="V1656" s="5" t="e">
        <f>IF(AND(#REF!&gt;=table!$C$11,#REF!&lt;= table!$D$11),-1,IF(AND(#REF!&gt;=table!$E$11,#REF!&lt;=table!$F$11),1,0))</f>
        <v>#REF!</v>
      </c>
      <c r="W1656" s="5" t="e">
        <f>CONCATENATE(dados[[#This Row],[fator1]],dados[[#This Row],[fator5]],dados[[#This Row],[fator6]])</f>
        <v>#REF!</v>
      </c>
    </row>
    <row r="1657" spans="1:23">
      <c r="A1657" t="s">
        <v>17</v>
      </c>
      <c r="B1657">
        <v>485738</v>
      </c>
      <c r="C1657">
        <v>14</v>
      </c>
      <c r="D1657">
        <v>30</v>
      </c>
      <c r="E1657">
        <v>86</v>
      </c>
      <c r="F1657">
        <v>9</v>
      </c>
      <c r="G1657">
        <v>20</v>
      </c>
      <c r="H1657">
        <v>25</v>
      </c>
      <c r="I1657">
        <v>93</v>
      </c>
      <c r="J1657">
        <v>0</v>
      </c>
      <c r="K1657">
        <v>6.3029999999999999</v>
      </c>
      <c r="L1657">
        <v>12.9025</v>
      </c>
      <c r="M1657">
        <v>74.50500000000001</v>
      </c>
      <c r="N1657">
        <v>13.855</v>
      </c>
      <c r="O1657">
        <v>1655</v>
      </c>
      <c r="P1657">
        <v>484</v>
      </c>
      <c r="Q1657" s="5" t="e">
        <f>IF(AND(#REF!&gt;=table!$C$6,#REF!&lt;= table!$D$6),-1,IF(AND(#REF!&gt;=table!$E$6,#REF!&lt;=table!$F$6),1,0))</f>
        <v>#REF!</v>
      </c>
      <c r="R1657" s="5" t="e">
        <f>IF(AND(#REF!&gt;=table!$C$7,#REF!&lt;= table!$D$7),-1,IF(AND(#REF!&gt;=table!$E$7,#REF!&lt;=table!$F$7),1,0))</f>
        <v>#REF!</v>
      </c>
      <c r="S1657" s="5" t="e">
        <f>IF(AND(#REF!&gt;=table!$C$8,#REF!&lt;= table!$D$8),-1,IF(AND(#REF!&gt;=table!$E$8,#REF!&lt;=table!$F$8),1,0))</f>
        <v>#REF!</v>
      </c>
      <c r="T1657" s="5"/>
      <c r="U1657" s="5" t="e">
        <f>IF(AND(#REF!&gt;=table!$C$10,#REF!&lt;= table!$D$10),-1,IF(AND(#REF!&gt;=table!$E$10,#REF!&lt;=table!$F$10),1,0))</f>
        <v>#REF!</v>
      </c>
      <c r="V1657" s="5" t="e">
        <f>IF(AND(#REF!&gt;=table!$C$11,#REF!&lt;= table!$D$11),-1,IF(AND(#REF!&gt;=table!$E$11,#REF!&lt;=table!$F$11),1,0))</f>
        <v>#REF!</v>
      </c>
      <c r="W1657" s="5" t="e">
        <f>CONCATENATE(dados[[#This Row],[fator1]],dados[[#This Row],[fator5]],dados[[#This Row],[fator6]])</f>
        <v>#REF!</v>
      </c>
    </row>
    <row r="1658" spans="1:23">
      <c r="A1658" t="s">
        <v>17</v>
      </c>
      <c r="B1658">
        <v>485741</v>
      </c>
      <c r="C1658">
        <v>8</v>
      </c>
      <c r="D1658">
        <v>30</v>
      </c>
      <c r="E1658">
        <v>153</v>
      </c>
      <c r="F1658">
        <v>2</v>
      </c>
      <c r="G1658">
        <v>20</v>
      </c>
      <c r="H1658">
        <v>18</v>
      </c>
      <c r="I1658">
        <v>885</v>
      </c>
      <c r="J1658">
        <v>840</v>
      </c>
      <c r="K1658">
        <v>4.5600000000000005</v>
      </c>
      <c r="L1658">
        <v>7.8170000000000002</v>
      </c>
      <c r="M1658">
        <v>108.74650000000001</v>
      </c>
      <c r="N1658">
        <v>14.615</v>
      </c>
      <c r="O1658">
        <v>1668</v>
      </c>
      <c r="P1658">
        <v>0</v>
      </c>
      <c r="Q1658" s="5" t="e">
        <f>IF(AND(#REF!&gt;=table!$C$6,#REF!&lt;= table!$D$6),-1,IF(AND(#REF!&gt;=table!$E$6,#REF!&lt;=table!$F$6),1,0))</f>
        <v>#REF!</v>
      </c>
      <c r="R1658" s="5" t="e">
        <f>IF(AND(#REF!&gt;=table!$C$7,#REF!&lt;= table!$D$7),-1,IF(AND(#REF!&gt;=table!$E$7,#REF!&lt;=table!$F$7),1,0))</f>
        <v>#REF!</v>
      </c>
      <c r="S1658" s="5" t="e">
        <f>IF(AND(#REF!&gt;=table!$C$8,#REF!&lt;= table!$D$8),-1,IF(AND(#REF!&gt;=table!$E$8,#REF!&lt;=table!$F$8),1,0))</f>
        <v>#REF!</v>
      </c>
      <c r="T1658" s="5"/>
      <c r="U1658" s="5" t="e">
        <f>IF(AND(#REF!&gt;=table!$C$10,#REF!&lt;= table!$D$10),-1,IF(AND(#REF!&gt;=table!$E$10,#REF!&lt;=table!$F$10),1,0))</f>
        <v>#REF!</v>
      </c>
      <c r="V1658" s="5" t="e">
        <f>IF(AND(#REF!&gt;=table!$C$11,#REF!&lt;= table!$D$11),-1,IF(AND(#REF!&gt;=table!$E$11,#REF!&lt;=table!$F$11),1,0))</f>
        <v>#REF!</v>
      </c>
      <c r="W1658" s="5" t="e">
        <f>CONCATENATE(dados[[#This Row],[fator1]],dados[[#This Row],[fator5]],dados[[#This Row],[fator6]])</f>
        <v>#REF!</v>
      </c>
    </row>
    <row r="1659" spans="1:23">
      <c r="A1659" t="s">
        <v>17</v>
      </c>
      <c r="B1659">
        <v>485742</v>
      </c>
      <c r="C1659">
        <v>8</v>
      </c>
      <c r="D1659">
        <v>30</v>
      </c>
      <c r="E1659">
        <v>153</v>
      </c>
      <c r="F1659">
        <v>2</v>
      </c>
      <c r="G1659">
        <v>20</v>
      </c>
      <c r="H1659">
        <v>18</v>
      </c>
      <c r="I1659">
        <v>996</v>
      </c>
      <c r="J1659">
        <v>0</v>
      </c>
      <c r="K1659">
        <v>4.4117000000000006</v>
      </c>
      <c r="L1659">
        <v>7.3695000000000004</v>
      </c>
      <c r="M1659">
        <v>134.1105</v>
      </c>
      <c r="N1659">
        <v>13.49</v>
      </c>
      <c r="O1659">
        <v>1697</v>
      </c>
      <c r="P1659">
        <v>0</v>
      </c>
      <c r="Q1659" s="5" t="e">
        <f>IF(AND(#REF!&gt;=table!$C$6,#REF!&lt;= table!$D$6),-1,IF(AND(#REF!&gt;=table!$E$6,#REF!&lt;=table!$F$6),1,0))</f>
        <v>#REF!</v>
      </c>
      <c r="R1659" s="5" t="e">
        <f>IF(AND(#REF!&gt;=table!$C$7,#REF!&lt;= table!$D$7),-1,IF(AND(#REF!&gt;=table!$E$7,#REF!&lt;=table!$F$7),1,0))</f>
        <v>#REF!</v>
      </c>
      <c r="S1659" s="5" t="e">
        <f>IF(AND(#REF!&gt;=table!$C$8,#REF!&lt;= table!$D$8),-1,IF(AND(#REF!&gt;=table!$E$8,#REF!&lt;=table!$F$8),1,0))</f>
        <v>#REF!</v>
      </c>
      <c r="T1659" s="5"/>
      <c r="U1659" s="5" t="e">
        <f>IF(AND(#REF!&gt;=table!$C$10,#REF!&lt;= table!$D$10),-1,IF(AND(#REF!&gt;=table!$E$10,#REF!&lt;=table!$F$10),1,0))</f>
        <v>#REF!</v>
      </c>
      <c r="V1659" s="5" t="e">
        <f>IF(AND(#REF!&gt;=table!$C$11,#REF!&lt;= table!$D$11),-1,IF(AND(#REF!&gt;=table!$E$11,#REF!&lt;=table!$F$11),1,0))</f>
        <v>#REF!</v>
      </c>
      <c r="W1659" s="5" t="e">
        <f>CONCATENATE(dados[[#This Row],[fator1]],dados[[#This Row],[fator5]],dados[[#This Row],[fator6]])</f>
        <v>#REF!</v>
      </c>
    </row>
    <row r="1660" spans="1:23">
      <c r="A1660" t="s">
        <v>17</v>
      </c>
      <c r="B1660">
        <v>485752</v>
      </c>
      <c r="C1660">
        <v>16</v>
      </c>
      <c r="D1660">
        <v>25</v>
      </c>
      <c r="E1660">
        <v>56</v>
      </c>
      <c r="F1660">
        <v>10</v>
      </c>
      <c r="G1660">
        <v>13</v>
      </c>
      <c r="H1660">
        <v>25</v>
      </c>
      <c r="I1660">
        <v>875</v>
      </c>
      <c r="J1660">
        <v>0</v>
      </c>
      <c r="K1660">
        <v>9.5205000000000002</v>
      </c>
      <c r="L1660">
        <v>18.809000000000001</v>
      </c>
      <c r="M1660">
        <v>53.508000000000003</v>
      </c>
      <c r="N1660">
        <v>23.63</v>
      </c>
      <c r="O1660">
        <v>1662</v>
      </c>
      <c r="P1660">
        <v>361</v>
      </c>
      <c r="Q1660" s="5" t="e">
        <f>IF(AND(#REF!&gt;=table!$C$6,#REF!&lt;= table!$D$6),-1,IF(AND(#REF!&gt;=table!$E$6,#REF!&lt;=table!$F$6),1,0))</f>
        <v>#REF!</v>
      </c>
      <c r="R1660" s="5" t="e">
        <f>IF(AND(#REF!&gt;=table!$C$7,#REF!&lt;= table!$D$7),-1,IF(AND(#REF!&gt;=table!$E$7,#REF!&lt;=table!$F$7),1,0))</f>
        <v>#REF!</v>
      </c>
      <c r="S1660" s="5" t="e">
        <f>IF(AND(#REF!&gt;=table!$C$8,#REF!&lt;= table!$D$8),-1,IF(AND(#REF!&gt;=table!$E$8,#REF!&lt;=table!$F$8),1,0))</f>
        <v>#REF!</v>
      </c>
      <c r="T1660" s="5"/>
      <c r="U1660" s="5" t="e">
        <f>IF(AND(#REF!&gt;=table!$C$10,#REF!&lt;= table!$D$10),-1,IF(AND(#REF!&gt;=table!$E$10,#REF!&lt;=table!$F$10),1,0))</f>
        <v>#REF!</v>
      </c>
      <c r="V1660" s="5" t="e">
        <f>IF(AND(#REF!&gt;=table!$C$11,#REF!&lt;= table!$D$11),-1,IF(AND(#REF!&gt;=table!$E$11,#REF!&lt;=table!$F$11),1,0))</f>
        <v>#REF!</v>
      </c>
      <c r="W1660" s="5" t="e">
        <f>CONCATENATE(dados[[#This Row],[fator1]],dados[[#This Row],[fator5]],dados[[#This Row],[fator6]])</f>
        <v>#REF!</v>
      </c>
    </row>
    <row r="1661" spans="1:23">
      <c r="A1661" t="s">
        <v>17</v>
      </c>
      <c r="B1661">
        <v>485759</v>
      </c>
      <c r="C1661">
        <v>4</v>
      </c>
      <c r="D1661">
        <v>25</v>
      </c>
      <c r="E1661">
        <v>21</v>
      </c>
      <c r="F1661">
        <v>10</v>
      </c>
      <c r="G1661">
        <v>110</v>
      </c>
      <c r="H1661">
        <v>50</v>
      </c>
      <c r="I1661">
        <v>655</v>
      </c>
      <c r="J1661">
        <v>500</v>
      </c>
      <c r="K1661">
        <v>6.1135000000000002</v>
      </c>
      <c r="L1661">
        <v>12.7865</v>
      </c>
      <c r="M1661">
        <v>22.1875</v>
      </c>
      <c r="N1661">
        <v>26.485000000000003</v>
      </c>
      <c r="O1661">
        <v>1665</v>
      </c>
      <c r="P1661">
        <v>575</v>
      </c>
      <c r="Q1661" s="5" t="e">
        <f>IF(AND(#REF!&gt;=table!$C$6,#REF!&lt;= table!$D$6),-1,IF(AND(#REF!&gt;=table!$E$6,#REF!&lt;=table!$F$6),1,0))</f>
        <v>#REF!</v>
      </c>
      <c r="R1661" s="5" t="e">
        <f>IF(AND(#REF!&gt;=table!$C$7,#REF!&lt;= table!$D$7),-1,IF(AND(#REF!&gt;=table!$E$7,#REF!&lt;=table!$F$7),1,0))</f>
        <v>#REF!</v>
      </c>
      <c r="S1661" s="5" t="e">
        <f>IF(AND(#REF!&gt;=table!$C$8,#REF!&lt;= table!$D$8),-1,IF(AND(#REF!&gt;=table!$E$8,#REF!&lt;=table!$F$8),1,0))</f>
        <v>#REF!</v>
      </c>
      <c r="T1661" s="5"/>
      <c r="U1661" s="5" t="e">
        <f>IF(AND(#REF!&gt;=table!$C$10,#REF!&lt;= table!$D$10),-1,IF(AND(#REF!&gt;=table!$E$10,#REF!&lt;=table!$F$10),1,0))</f>
        <v>#REF!</v>
      </c>
      <c r="V1661" s="5" t="e">
        <f>IF(AND(#REF!&gt;=table!$C$11,#REF!&lt;= table!$D$11),-1,IF(AND(#REF!&gt;=table!$E$11,#REF!&lt;=table!$F$11),1,0))</f>
        <v>#REF!</v>
      </c>
      <c r="W1661" s="5" t="e">
        <f>CONCATENATE(dados[[#This Row],[fator1]],dados[[#This Row],[fator5]],dados[[#This Row],[fator6]])</f>
        <v>#REF!</v>
      </c>
    </row>
    <row r="1662" spans="1:23">
      <c r="A1662" t="s">
        <v>17</v>
      </c>
      <c r="B1662">
        <v>485760</v>
      </c>
      <c r="C1662">
        <v>4</v>
      </c>
      <c r="D1662">
        <v>25</v>
      </c>
      <c r="E1662">
        <v>21</v>
      </c>
      <c r="F1662">
        <v>10</v>
      </c>
      <c r="G1662">
        <v>110</v>
      </c>
      <c r="H1662">
        <v>50</v>
      </c>
      <c r="I1662">
        <v>2</v>
      </c>
      <c r="J1662">
        <v>0</v>
      </c>
      <c r="K1662">
        <v>5.9155000000000006</v>
      </c>
      <c r="L1662">
        <v>9.1460000000000008</v>
      </c>
      <c r="M1662">
        <v>16.802</v>
      </c>
      <c r="N1662">
        <v>26.78</v>
      </c>
      <c r="O1662">
        <v>1644</v>
      </c>
      <c r="P1662">
        <v>663</v>
      </c>
      <c r="Q1662" s="5" t="e">
        <f>IF(AND(#REF!&gt;=table!$C$6,#REF!&lt;= table!$D$6),-1,IF(AND(#REF!&gt;=table!$E$6,#REF!&lt;=table!$F$6),1,0))</f>
        <v>#REF!</v>
      </c>
      <c r="R1662" s="5" t="e">
        <f>IF(AND(#REF!&gt;=table!$C$7,#REF!&lt;= table!$D$7),-1,IF(AND(#REF!&gt;=table!$E$7,#REF!&lt;=table!$F$7),1,0))</f>
        <v>#REF!</v>
      </c>
      <c r="S1662" s="5" t="e">
        <f>IF(AND(#REF!&gt;=table!$C$8,#REF!&lt;= table!$D$8),-1,IF(AND(#REF!&gt;=table!$E$8,#REF!&lt;=table!$F$8),1,0))</f>
        <v>#REF!</v>
      </c>
      <c r="T1662" s="5"/>
      <c r="U1662" s="5" t="e">
        <f>IF(AND(#REF!&gt;=table!$C$10,#REF!&lt;= table!$D$10),-1,IF(AND(#REF!&gt;=table!$E$10,#REF!&lt;=table!$F$10),1,0))</f>
        <v>#REF!</v>
      </c>
      <c r="V1662" s="5" t="e">
        <f>IF(AND(#REF!&gt;=table!$C$11,#REF!&lt;= table!$D$11),-1,IF(AND(#REF!&gt;=table!$E$11,#REF!&lt;=table!$F$11),1,0))</f>
        <v>#REF!</v>
      </c>
      <c r="W1662" s="5" t="e">
        <f>CONCATENATE(dados[[#This Row],[fator1]],dados[[#This Row],[fator5]],dados[[#This Row],[fator6]])</f>
        <v>#REF!</v>
      </c>
    </row>
    <row r="1663" spans="1:23">
      <c r="A1663" t="s">
        <v>17</v>
      </c>
      <c r="B1663">
        <v>485769</v>
      </c>
      <c r="C1663">
        <v>15</v>
      </c>
      <c r="D1663">
        <v>23</v>
      </c>
      <c r="E1663">
        <v>155</v>
      </c>
      <c r="F1663">
        <v>4</v>
      </c>
      <c r="G1663">
        <v>30</v>
      </c>
      <c r="H1663">
        <v>25</v>
      </c>
      <c r="I1663">
        <v>16</v>
      </c>
      <c r="J1663">
        <v>0</v>
      </c>
      <c r="K1663">
        <v>4.9870000000000001</v>
      </c>
      <c r="L1663">
        <v>12.875500000000001</v>
      </c>
      <c r="M1663">
        <v>139.85250000000002</v>
      </c>
      <c r="N1663">
        <v>18.25</v>
      </c>
      <c r="O1663">
        <v>1682</v>
      </c>
      <c r="P1663">
        <v>0</v>
      </c>
      <c r="Q1663" s="5" t="e">
        <f>IF(AND(#REF!&gt;=table!$C$6,#REF!&lt;= table!$D$6),-1,IF(AND(#REF!&gt;=table!$E$6,#REF!&lt;=table!$F$6),1,0))</f>
        <v>#REF!</v>
      </c>
      <c r="R1663" s="5" t="e">
        <f>IF(AND(#REF!&gt;=table!$C$7,#REF!&lt;= table!$D$7),-1,IF(AND(#REF!&gt;=table!$E$7,#REF!&lt;=table!$F$7),1,0))</f>
        <v>#REF!</v>
      </c>
      <c r="S1663" s="5" t="e">
        <f>IF(AND(#REF!&gt;=table!$C$8,#REF!&lt;= table!$D$8),-1,IF(AND(#REF!&gt;=table!$E$8,#REF!&lt;=table!$F$8),1,0))</f>
        <v>#REF!</v>
      </c>
      <c r="T1663" s="5"/>
      <c r="U1663" s="5" t="e">
        <f>IF(AND(#REF!&gt;=table!$C$10,#REF!&lt;= table!$D$10),-1,IF(AND(#REF!&gt;=table!$E$10,#REF!&lt;=table!$F$10),1,0))</f>
        <v>#REF!</v>
      </c>
      <c r="V1663" s="5" t="e">
        <f>IF(AND(#REF!&gt;=table!$C$11,#REF!&lt;= table!$D$11),-1,IF(AND(#REF!&gt;=table!$E$11,#REF!&lt;=table!$F$11),1,0))</f>
        <v>#REF!</v>
      </c>
      <c r="W1663" s="5" t="e">
        <f>CONCATENATE(dados[[#This Row],[fator1]],dados[[#This Row],[fator5]],dados[[#This Row],[fator6]])</f>
        <v>#REF!</v>
      </c>
    </row>
    <row r="1664" spans="1:23">
      <c r="A1664" t="s">
        <v>16</v>
      </c>
      <c r="B1664">
        <v>485770</v>
      </c>
      <c r="C1664">
        <v>12</v>
      </c>
      <c r="D1664">
        <v>35</v>
      </c>
      <c r="E1664">
        <v>86</v>
      </c>
      <c r="F1664">
        <v>8</v>
      </c>
      <c r="G1664">
        <v>0</v>
      </c>
      <c r="H1664">
        <v>25</v>
      </c>
      <c r="I1664">
        <v>38</v>
      </c>
      <c r="J1664">
        <v>0</v>
      </c>
      <c r="K1664">
        <v>3.3220000000000001</v>
      </c>
      <c r="L1664">
        <v>7.0625</v>
      </c>
      <c r="M1664">
        <v>74.02600000000001</v>
      </c>
      <c r="N1664">
        <v>16.375</v>
      </c>
      <c r="O1664">
        <v>1683</v>
      </c>
      <c r="P1664">
        <v>0</v>
      </c>
      <c r="Q1664" s="5" t="e">
        <f>IF(AND(#REF!&gt;=table!$C$6,#REF!&lt;= table!$D$6),-1,IF(AND(#REF!&gt;=table!$E$6,#REF!&lt;=table!$F$6),1,0))</f>
        <v>#REF!</v>
      </c>
      <c r="R1664" s="5" t="e">
        <f>IF(AND(#REF!&gt;=table!$C$7,#REF!&lt;= table!$D$7),-1,IF(AND(#REF!&gt;=table!$E$7,#REF!&lt;=table!$F$7),1,0))</f>
        <v>#REF!</v>
      </c>
      <c r="S1664" s="5" t="e">
        <f>IF(AND(#REF!&gt;=table!$C$8,#REF!&lt;= table!$D$8),-1,IF(AND(#REF!&gt;=table!$E$8,#REF!&lt;=table!$F$8),1,0))</f>
        <v>#REF!</v>
      </c>
      <c r="T1664" s="5"/>
      <c r="U1664" s="5" t="e">
        <f>IF(AND(#REF!&gt;=table!$C$10,#REF!&lt;= table!$D$10),-1,IF(AND(#REF!&gt;=table!$E$10,#REF!&lt;=table!$F$10),1,0))</f>
        <v>#REF!</v>
      </c>
      <c r="V1664" s="5" t="e">
        <f>IF(AND(#REF!&gt;=table!$C$11,#REF!&lt;= table!$D$11),-1,IF(AND(#REF!&gt;=table!$E$11,#REF!&lt;=table!$F$11),1,0))</f>
        <v>#REF!</v>
      </c>
      <c r="W1664" s="5" t="e">
        <f>CONCATENATE(dados[[#This Row],[fator1]],dados[[#This Row],[fator5]],dados[[#This Row],[fator6]])</f>
        <v>#REF!</v>
      </c>
    </row>
    <row r="1665" spans="1:23">
      <c r="A1665" t="s">
        <v>16</v>
      </c>
      <c r="B1665">
        <v>485771</v>
      </c>
      <c r="C1665">
        <v>6</v>
      </c>
      <c r="D1665">
        <v>40</v>
      </c>
      <c r="E1665">
        <v>66</v>
      </c>
      <c r="F1665">
        <v>10</v>
      </c>
      <c r="G1665">
        <v>0</v>
      </c>
      <c r="H1665">
        <v>25</v>
      </c>
      <c r="I1665">
        <v>269</v>
      </c>
      <c r="J1665">
        <v>0</v>
      </c>
      <c r="K1665">
        <v>5.3725000000000005</v>
      </c>
      <c r="L1665">
        <v>6.45</v>
      </c>
      <c r="M1665">
        <v>63.348000000000006</v>
      </c>
      <c r="N1665">
        <v>10.685</v>
      </c>
      <c r="O1665">
        <v>1663</v>
      </c>
      <c r="P1665">
        <v>0</v>
      </c>
      <c r="Q1665" s="5" t="e">
        <f>IF(AND(#REF!&gt;=table!$C$6,#REF!&lt;= table!$D$6),-1,IF(AND(#REF!&gt;=table!$E$6,#REF!&lt;=table!$F$6),1,0))</f>
        <v>#REF!</v>
      </c>
      <c r="R1665" s="5" t="e">
        <f>IF(AND(#REF!&gt;=table!$C$7,#REF!&lt;= table!$D$7),-1,IF(AND(#REF!&gt;=table!$E$7,#REF!&lt;=table!$F$7),1,0))</f>
        <v>#REF!</v>
      </c>
      <c r="S1665" s="5" t="e">
        <f>IF(AND(#REF!&gt;=table!$C$8,#REF!&lt;= table!$D$8),-1,IF(AND(#REF!&gt;=table!$E$8,#REF!&lt;=table!$F$8),1,0))</f>
        <v>#REF!</v>
      </c>
      <c r="T1665" s="5"/>
      <c r="U1665" s="5" t="e">
        <f>IF(AND(#REF!&gt;=table!$C$10,#REF!&lt;= table!$D$10),-1,IF(AND(#REF!&gt;=table!$E$10,#REF!&lt;=table!$F$10),1,0))</f>
        <v>#REF!</v>
      </c>
      <c r="V1665" s="5" t="e">
        <f>IF(AND(#REF!&gt;=table!$C$11,#REF!&lt;= table!$D$11),-1,IF(AND(#REF!&gt;=table!$E$11,#REF!&lt;=table!$F$11),1,0))</f>
        <v>#REF!</v>
      </c>
      <c r="W1665" s="5" t="e">
        <f>CONCATENATE(dados[[#This Row],[fator1]],dados[[#This Row],[fator5]],dados[[#This Row],[fator6]])</f>
        <v>#REF!</v>
      </c>
    </row>
    <row r="1666" spans="1:23">
      <c r="A1666" t="s">
        <v>16</v>
      </c>
      <c r="B1666">
        <v>485775</v>
      </c>
      <c r="C1666">
        <v>6</v>
      </c>
      <c r="D1666">
        <v>40</v>
      </c>
      <c r="E1666">
        <v>66</v>
      </c>
      <c r="F1666">
        <v>10</v>
      </c>
      <c r="G1666">
        <v>0</v>
      </c>
      <c r="H1666">
        <v>25</v>
      </c>
      <c r="I1666">
        <v>720</v>
      </c>
      <c r="J1666">
        <v>0</v>
      </c>
      <c r="K1666">
        <v>6.3970000000000002</v>
      </c>
      <c r="L1666">
        <v>9.11</v>
      </c>
      <c r="M1666">
        <v>47.146500000000003</v>
      </c>
      <c r="N1666">
        <v>13.59</v>
      </c>
      <c r="O1666">
        <v>1662</v>
      </c>
      <c r="P1666">
        <v>653</v>
      </c>
      <c r="Q1666" s="5" t="e">
        <f>IF(AND(#REF!&gt;=table!$C$6,#REF!&lt;= table!$D$6),-1,IF(AND(#REF!&gt;=table!$E$6,#REF!&lt;=table!$F$6),1,0))</f>
        <v>#REF!</v>
      </c>
      <c r="R1666" s="5" t="e">
        <f>IF(AND(#REF!&gt;=table!$C$7,#REF!&lt;= table!$D$7),-1,IF(AND(#REF!&gt;=table!$E$7,#REF!&lt;=table!$F$7),1,0))</f>
        <v>#REF!</v>
      </c>
      <c r="S1666" s="5" t="e">
        <f>IF(AND(#REF!&gt;=table!$C$8,#REF!&lt;= table!$D$8),-1,IF(AND(#REF!&gt;=table!$E$8,#REF!&lt;=table!$F$8),1,0))</f>
        <v>#REF!</v>
      </c>
      <c r="T1666" s="5"/>
      <c r="U1666" s="5" t="e">
        <f>IF(AND(#REF!&gt;=table!$C$10,#REF!&lt;= table!$D$10),-1,IF(AND(#REF!&gt;=table!$E$10,#REF!&lt;=table!$F$10),1,0))</f>
        <v>#REF!</v>
      </c>
      <c r="V1666" s="5" t="e">
        <f>IF(AND(#REF!&gt;=table!$C$11,#REF!&lt;= table!$D$11),-1,IF(AND(#REF!&gt;=table!$E$11,#REF!&lt;=table!$F$11),1,0))</f>
        <v>#REF!</v>
      </c>
      <c r="W1666" s="5" t="e">
        <f>CONCATENATE(dados[[#This Row],[fator1]],dados[[#This Row],[fator5]],dados[[#This Row],[fator6]])</f>
        <v>#REF!</v>
      </c>
    </row>
    <row r="1667" spans="1:23">
      <c r="A1667" t="s">
        <v>16</v>
      </c>
      <c r="B1667">
        <v>485776</v>
      </c>
      <c r="C1667">
        <v>0.15</v>
      </c>
      <c r="D1667">
        <v>35</v>
      </c>
      <c r="E1667">
        <v>15</v>
      </c>
      <c r="F1667">
        <v>10</v>
      </c>
      <c r="G1667">
        <v>0</v>
      </c>
      <c r="H1667">
        <v>12</v>
      </c>
      <c r="I1667">
        <v>549</v>
      </c>
      <c r="J1667">
        <v>0</v>
      </c>
      <c r="K1667">
        <v>3.6060000000000003</v>
      </c>
      <c r="L1667">
        <v>6.8860000000000001</v>
      </c>
      <c r="M1667">
        <v>6.4850000000000003</v>
      </c>
      <c r="N1667">
        <v>9.2550000000000008</v>
      </c>
      <c r="O1667">
        <v>1673</v>
      </c>
      <c r="P1667">
        <v>1216</v>
      </c>
      <c r="Q1667" s="5" t="e">
        <f>IF(AND(#REF!&gt;=table!$C$6,#REF!&lt;= table!$D$6),-1,IF(AND(#REF!&gt;=table!$E$6,#REF!&lt;=table!$F$6),1,0))</f>
        <v>#REF!</v>
      </c>
      <c r="R1667" s="5" t="e">
        <f>IF(AND(#REF!&gt;=table!$C$7,#REF!&lt;= table!$D$7),-1,IF(AND(#REF!&gt;=table!$E$7,#REF!&lt;=table!$F$7),1,0))</f>
        <v>#REF!</v>
      </c>
      <c r="S1667" s="5" t="e">
        <f>IF(AND(#REF!&gt;=table!$C$8,#REF!&lt;= table!$D$8),-1,IF(AND(#REF!&gt;=table!$E$8,#REF!&lt;=table!$F$8),1,0))</f>
        <v>#REF!</v>
      </c>
      <c r="T1667" s="5"/>
      <c r="U1667" s="5" t="e">
        <f>IF(AND(#REF!&gt;=table!$C$10,#REF!&lt;= table!$D$10),-1,IF(AND(#REF!&gt;=table!$E$10,#REF!&lt;=table!$F$10),1,0))</f>
        <v>#REF!</v>
      </c>
      <c r="V1667" s="5" t="e">
        <f>IF(AND(#REF!&gt;=table!$C$11,#REF!&lt;= table!$D$11),-1,IF(AND(#REF!&gt;=table!$E$11,#REF!&lt;=table!$F$11),1,0))</f>
        <v>#REF!</v>
      </c>
      <c r="W1667" s="5" t="e">
        <f>CONCATENATE(dados[[#This Row],[fator1]],dados[[#This Row],[fator5]],dados[[#This Row],[fator6]])</f>
        <v>#REF!</v>
      </c>
    </row>
    <row r="1668" spans="1:23">
      <c r="A1668" t="s">
        <v>16</v>
      </c>
      <c r="B1668">
        <v>485777</v>
      </c>
      <c r="C1668">
        <v>0.15</v>
      </c>
      <c r="D1668">
        <v>35</v>
      </c>
      <c r="E1668">
        <v>15</v>
      </c>
      <c r="F1668">
        <v>10</v>
      </c>
      <c r="G1668">
        <v>0</v>
      </c>
      <c r="H1668">
        <v>12</v>
      </c>
      <c r="I1668">
        <v>6</v>
      </c>
      <c r="J1668">
        <v>0</v>
      </c>
      <c r="K1668">
        <v>4.2940000000000005</v>
      </c>
      <c r="L1668">
        <v>10.3035</v>
      </c>
      <c r="M1668">
        <v>8.6624999999999996</v>
      </c>
      <c r="N1668">
        <v>12.98</v>
      </c>
      <c r="O1668">
        <v>1678</v>
      </c>
      <c r="P1668">
        <v>990</v>
      </c>
      <c r="Q1668" s="5" t="e">
        <f>IF(AND(#REF!&gt;=table!$C$6,#REF!&lt;= table!$D$6),-1,IF(AND(#REF!&gt;=table!$E$6,#REF!&lt;=table!$F$6),1,0))</f>
        <v>#REF!</v>
      </c>
      <c r="R1668" s="5" t="e">
        <f>IF(AND(#REF!&gt;=table!$C$7,#REF!&lt;= table!$D$7),-1,IF(AND(#REF!&gt;=table!$E$7,#REF!&lt;=table!$F$7),1,0))</f>
        <v>#REF!</v>
      </c>
      <c r="S1668" s="5" t="e">
        <f>IF(AND(#REF!&gt;=table!$C$8,#REF!&lt;= table!$D$8),-1,IF(AND(#REF!&gt;=table!$E$8,#REF!&lt;=table!$F$8),1,0))</f>
        <v>#REF!</v>
      </c>
      <c r="T1668" s="5"/>
      <c r="U1668" s="5" t="e">
        <f>IF(AND(#REF!&gt;=table!$C$10,#REF!&lt;= table!$D$10),-1,IF(AND(#REF!&gt;=table!$E$10,#REF!&lt;=table!$F$10),1,0))</f>
        <v>#REF!</v>
      </c>
      <c r="V1668" s="5" t="e">
        <f>IF(AND(#REF!&gt;=table!$C$11,#REF!&lt;= table!$D$11),-1,IF(AND(#REF!&gt;=table!$E$11,#REF!&lt;=table!$F$11),1,0))</f>
        <v>#REF!</v>
      </c>
      <c r="W1668" s="5" t="e">
        <f>CONCATENATE(dados[[#This Row],[fator1]],dados[[#This Row],[fator5]],dados[[#This Row],[fator6]])</f>
        <v>#REF!</v>
      </c>
    </row>
    <row r="1669" spans="1:23">
      <c r="A1669" t="s">
        <v>16</v>
      </c>
      <c r="B1669">
        <v>485783</v>
      </c>
      <c r="C1669">
        <v>0.15</v>
      </c>
      <c r="D1669">
        <v>35</v>
      </c>
      <c r="E1669">
        <v>15</v>
      </c>
      <c r="F1669">
        <v>10</v>
      </c>
      <c r="G1669">
        <v>0</v>
      </c>
      <c r="H1669">
        <v>12</v>
      </c>
      <c r="I1669">
        <v>1715</v>
      </c>
      <c r="J1669">
        <v>0</v>
      </c>
      <c r="K1669">
        <v>4.3980000000000006</v>
      </c>
      <c r="L1669">
        <v>6.8105000000000002</v>
      </c>
      <c r="M1669">
        <v>5.8885000000000005</v>
      </c>
      <c r="N1669">
        <v>7.5</v>
      </c>
      <c r="O1669">
        <v>1645</v>
      </c>
      <c r="P1669">
        <v>837</v>
      </c>
      <c r="Q1669" s="5" t="e">
        <f>IF(AND(#REF!&gt;=table!$C$6,#REF!&lt;= table!$D$6),-1,IF(AND(#REF!&gt;=table!$E$6,#REF!&lt;=table!$F$6),1,0))</f>
        <v>#REF!</v>
      </c>
      <c r="R1669" s="5" t="e">
        <f>IF(AND(#REF!&gt;=table!$C$7,#REF!&lt;= table!$D$7),-1,IF(AND(#REF!&gt;=table!$E$7,#REF!&lt;=table!$F$7),1,0))</f>
        <v>#REF!</v>
      </c>
      <c r="S1669" s="5" t="e">
        <f>IF(AND(#REF!&gt;=table!$C$8,#REF!&lt;= table!$D$8),-1,IF(AND(#REF!&gt;=table!$E$8,#REF!&lt;=table!$F$8),1,0))</f>
        <v>#REF!</v>
      </c>
      <c r="T1669" s="5"/>
      <c r="U1669" s="5" t="e">
        <f>IF(AND(#REF!&gt;=table!$C$10,#REF!&lt;= table!$D$10),-1,IF(AND(#REF!&gt;=table!$E$10,#REF!&lt;=table!$F$10),1,0))</f>
        <v>#REF!</v>
      </c>
      <c r="V1669" s="5" t="e">
        <f>IF(AND(#REF!&gt;=table!$C$11,#REF!&lt;= table!$D$11),-1,IF(AND(#REF!&gt;=table!$E$11,#REF!&lt;=table!$F$11),1,0))</f>
        <v>#REF!</v>
      </c>
      <c r="W1669" s="5" t="e">
        <f>CONCATENATE(dados[[#This Row],[fator1]],dados[[#This Row],[fator5]],dados[[#This Row],[fator6]])</f>
        <v>#REF!</v>
      </c>
    </row>
    <row r="1670" spans="1:23">
      <c r="A1670" t="s">
        <v>16</v>
      </c>
      <c r="B1670">
        <v>485795</v>
      </c>
      <c r="C1670">
        <v>4</v>
      </c>
      <c r="D1670">
        <v>40</v>
      </c>
      <c r="E1670">
        <v>21</v>
      </c>
      <c r="F1670">
        <v>10</v>
      </c>
      <c r="G1670">
        <v>0</v>
      </c>
      <c r="H1670">
        <v>25</v>
      </c>
      <c r="I1670">
        <v>84</v>
      </c>
      <c r="J1670">
        <v>0</v>
      </c>
      <c r="K1670">
        <v>4.5375000000000005</v>
      </c>
      <c r="L1670">
        <v>12.7385</v>
      </c>
      <c r="M1670">
        <v>24.953500000000002</v>
      </c>
      <c r="N1670">
        <v>19.595000000000002</v>
      </c>
      <c r="O1670">
        <v>1667</v>
      </c>
      <c r="P1670">
        <v>560</v>
      </c>
      <c r="Q1670" s="5" t="e">
        <f>IF(AND(#REF!&gt;=table!$C$6,#REF!&lt;= table!$D$6),-1,IF(AND(#REF!&gt;=table!$E$6,#REF!&lt;=table!$F$6),1,0))</f>
        <v>#REF!</v>
      </c>
      <c r="R1670" s="5" t="e">
        <f>IF(AND(#REF!&gt;=table!$C$7,#REF!&lt;= table!$D$7),-1,IF(AND(#REF!&gt;=table!$E$7,#REF!&lt;=table!$F$7),1,0))</f>
        <v>#REF!</v>
      </c>
      <c r="S1670" s="5" t="e">
        <f>IF(AND(#REF!&gt;=table!$C$8,#REF!&lt;= table!$D$8),-1,IF(AND(#REF!&gt;=table!$E$8,#REF!&lt;=table!$F$8),1,0))</f>
        <v>#REF!</v>
      </c>
      <c r="T1670" s="5"/>
      <c r="U1670" s="5" t="e">
        <f>IF(AND(#REF!&gt;=table!$C$10,#REF!&lt;= table!$D$10),-1,IF(AND(#REF!&gt;=table!$E$10,#REF!&lt;=table!$F$10),1,0))</f>
        <v>#REF!</v>
      </c>
      <c r="V1670" s="5" t="e">
        <f>IF(AND(#REF!&gt;=table!$C$11,#REF!&lt;= table!$D$11),-1,IF(AND(#REF!&gt;=table!$E$11,#REF!&lt;=table!$F$11),1,0))</f>
        <v>#REF!</v>
      </c>
      <c r="W1670" s="5" t="e">
        <f>CONCATENATE(dados[[#This Row],[fator1]],dados[[#This Row],[fator5]],dados[[#This Row],[fator6]])</f>
        <v>#REF!</v>
      </c>
    </row>
    <row r="1671" spans="1:23">
      <c r="A1671" t="s">
        <v>16</v>
      </c>
      <c r="B1671">
        <v>485796</v>
      </c>
      <c r="C1671">
        <v>0.15</v>
      </c>
      <c r="D1671">
        <v>40</v>
      </c>
      <c r="E1671">
        <v>64</v>
      </c>
      <c r="F1671">
        <v>10</v>
      </c>
      <c r="G1671">
        <v>0</v>
      </c>
      <c r="H1671">
        <v>35</v>
      </c>
      <c r="I1671">
        <v>1146</v>
      </c>
      <c r="J1671">
        <v>0</v>
      </c>
      <c r="K1671">
        <v>6.3865000000000007</v>
      </c>
      <c r="L1671">
        <v>8.6494999999999997</v>
      </c>
      <c r="M1671">
        <v>8.282</v>
      </c>
      <c r="N1671">
        <v>9.5500000000000007</v>
      </c>
      <c r="O1671">
        <v>1645</v>
      </c>
      <c r="P1671">
        <v>543</v>
      </c>
      <c r="Q1671" s="5" t="e">
        <f>IF(AND(#REF!&gt;=table!$C$6,#REF!&lt;= table!$D$6),-1,IF(AND(#REF!&gt;=table!$E$6,#REF!&lt;=table!$F$6),1,0))</f>
        <v>#REF!</v>
      </c>
      <c r="R1671" s="5" t="e">
        <f>IF(AND(#REF!&gt;=table!$C$7,#REF!&lt;= table!$D$7),-1,IF(AND(#REF!&gt;=table!$E$7,#REF!&lt;=table!$F$7),1,0))</f>
        <v>#REF!</v>
      </c>
      <c r="S1671" s="5" t="e">
        <f>IF(AND(#REF!&gt;=table!$C$8,#REF!&lt;= table!$D$8),-1,IF(AND(#REF!&gt;=table!$E$8,#REF!&lt;=table!$F$8),1,0))</f>
        <v>#REF!</v>
      </c>
      <c r="T1671" s="5"/>
      <c r="U1671" s="5" t="e">
        <f>IF(AND(#REF!&gt;=table!$C$10,#REF!&lt;= table!$D$10),-1,IF(AND(#REF!&gt;=table!$E$10,#REF!&lt;=table!$F$10),1,0))</f>
        <v>#REF!</v>
      </c>
      <c r="V1671" s="5" t="e">
        <f>IF(AND(#REF!&gt;=table!$C$11,#REF!&lt;= table!$D$11),-1,IF(AND(#REF!&gt;=table!$E$11,#REF!&lt;=table!$F$11),1,0))</f>
        <v>#REF!</v>
      </c>
      <c r="W1671" s="5" t="e">
        <f>CONCATENATE(dados[[#This Row],[fator1]],dados[[#This Row],[fator5]],dados[[#This Row],[fator6]])</f>
        <v>#REF!</v>
      </c>
    </row>
    <row r="1672" spans="1:23">
      <c r="A1672" t="s">
        <v>17</v>
      </c>
      <c r="B1672">
        <v>485804</v>
      </c>
      <c r="C1672">
        <v>14</v>
      </c>
      <c r="D1672">
        <v>25</v>
      </c>
      <c r="E1672">
        <v>130</v>
      </c>
      <c r="F1672">
        <v>9</v>
      </c>
      <c r="G1672">
        <v>110</v>
      </c>
      <c r="H1672">
        <v>50</v>
      </c>
      <c r="I1672">
        <v>67</v>
      </c>
      <c r="J1672">
        <v>0</v>
      </c>
      <c r="K1672">
        <v>2.6985000000000001</v>
      </c>
      <c r="L1672">
        <v>4.782</v>
      </c>
      <c r="M1672">
        <v>95.804000000000002</v>
      </c>
      <c r="N1672">
        <v>33.58</v>
      </c>
      <c r="O1672">
        <v>1673</v>
      </c>
      <c r="P1672">
        <v>1652</v>
      </c>
      <c r="Q1672" s="5" t="e">
        <f>IF(AND(#REF!&gt;=table!$C$6,#REF!&lt;= table!$D$6),-1,IF(AND(#REF!&gt;=table!$E$6,#REF!&lt;=table!$F$6),1,0))</f>
        <v>#REF!</v>
      </c>
      <c r="R1672" s="5" t="e">
        <f>IF(AND(#REF!&gt;=table!$C$7,#REF!&lt;= table!$D$7),-1,IF(AND(#REF!&gt;=table!$E$7,#REF!&lt;=table!$F$7),1,0))</f>
        <v>#REF!</v>
      </c>
      <c r="S1672" s="5" t="e">
        <f>IF(AND(#REF!&gt;=table!$C$8,#REF!&lt;= table!$D$8),-1,IF(AND(#REF!&gt;=table!$E$8,#REF!&lt;=table!$F$8),1,0))</f>
        <v>#REF!</v>
      </c>
      <c r="T1672" s="5"/>
      <c r="U1672" s="5" t="e">
        <f>IF(AND(#REF!&gt;=table!$C$10,#REF!&lt;= table!$D$10),-1,IF(AND(#REF!&gt;=table!$E$10,#REF!&lt;=table!$F$10),1,0))</f>
        <v>#REF!</v>
      </c>
      <c r="V1672" s="5" t="e">
        <f>IF(AND(#REF!&gt;=table!$C$11,#REF!&lt;= table!$D$11),-1,IF(AND(#REF!&gt;=table!$E$11,#REF!&lt;=table!$F$11),1,0))</f>
        <v>#REF!</v>
      </c>
      <c r="W1672" s="5" t="e">
        <f>CONCATENATE(dados[[#This Row],[fator1]],dados[[#This Row],[fator5]],dados[[#This Row],[fator6]])</f>
        <v>#REF!</v>
      </c>
    </row>
    <row r="1673" spans="1:23">
      <c r="A1673" t="s">
        <v>17</v>
      </c>
      <c r="B1673">
        <v>485805</v>
      </c>
      <c r="C1673">
        <v>18</v>
      </c>
      <c r="D1673">
        <v>23</v>
      </c>
      <c r="E1673">
        <v>145</v>
      </c>
      <c r="F1673">
        <v>6</v>
      </c>
      <c r="G1673">
        <v>30</v>
      </c>
      <c r="H1673">
        <v>25</v>
      </c>
      <c r="I1673">
        <v>52</v>
      </c>
      <c r="J1673">
        <v>2130</v>
      </c>
      <c r="K1673">
        <v>10.9345</v>
      </c>
      <c r="L1673">
        <v>30.514000000000003</v>
      </c>
      <c r="M1673">
        <v>132.76300000000001</v>
      </c>
      <c r="N1673">
        <v>18.414999999999999</v>
      </c>
      <c r="O1673">
        <v>1668</v>
      </c>
      <c r="P1673">
        <v>308</v>
      </c>
      <c r="Q1673" s="5" t="e">
        <f>IF(AND(#REF!&gt;=table!$C$6,#REF!&lt;= table!$D$6),-1,IF(AND(#REF!&gt;=table!$E$6,#REF!&lt;=table!$F$6),1,0))</f>
        <v>#REF!</v>
      </c>
      <c r="R1673" s="5" t="e">
        <f>IF(AND(#REF!&gt;=table!$C$7,#REF!&lt;= table!$D$7),-1,IF(AND(#REF!&gt;=table!$E$7,#REF!&lt;=table!$F$7),1,0))</f>
        <v>#REF!</v>
      </c>
      <c r="S1673" s="5" t="e">
        <f>IF(AND(#REF!&gt;=table!$C$8,#REF!&lt;= table!$D$8),-1,IF(AND(#REF!&gt;=table!$E$8,#REF!&lt;=table!$F$8),1,0))</f>
        <v>#REF!</v>
      </c>
      <c r="T1673" s="5"/>
      <c r="U1673" s="5" t="e">
        <f>IF(AND(#REF!&gt;=table!$C$10,#REF!&lt;= table!$D$10),-1,IF(AND(#REF!&gt;=table!$E$10,#REF!&lt;=table!$F$10),1,0))</f>
        <v>#REF!</v>
      </c>
      <c r="V1673" s="5" t="e">
        <f>IF(AND(#REF!&gt;=table!$C$11,#REF!&lt;= table!$D$11),-1,IF(AND(#REF!&gt;=table!$E$11,#REF!&lt;=table!$F$11),1,0))</f>
        <v>#REF!</v>
      </c>
      <c r="W1673" s="5" t="e">
        <f>CONCATENATE(dados[[#This Row],[fator1]],dados[[#This Row],[fator5]],dados[[#This Row],[fator6]])</f>
        <v>#REF!</v>
      </c>
    </row>
    <row r="1674" spans="1:23">
      <c r="A1674" t="s">
        <v>17</v>
      </c>
      <c r="B1674">
        <v>485807</v>
      </c>
      <c r="C1674">
        <v>14</v>
      </c>
      <c r="D1674">
        <v>30</v>
      </c>
      <c r="E1674">
        <v>86</v>
      </c>
      <c r="F1674">
        <v>9</v>
      </c>
      <c r="G1674">
        <v>20</v>
      </c>
      <c r="H1674">
        <v>25</v>
      </c>
      <c r="I1674">
        <v>609</v>
      </c>
      <c r="J1674">
        <v>0</v>
      </c>
      <c r="K1674">
        <v>4.9809999999999999</v>
      </c>
      <c r="L1674">
        <v>9.0914999999999999</v>
      </c>
      <c r="M1674">
        <v>83.323999999999998</v>
      </c>
      <c r="N1674">
        <v>13.835000000000001</v>
      </c>
      <c r="O1674">
        <v>1668</v>
      </c>
      <c r="P1674">
        <v>0</v>
      </c>
      <c r="Q1674" s="5" t="e">
        <f>IF(AND(#REF!&gt;=table!$C$6,#REF!&lt;= table!$D$6),-1,IF(AND(#REF!&gt;=table!$E$6,#REF!&lt;=table!$F$6),1,0))</f>
        <v>#REF!</v>
      </c>
      <c r="R1674" s="5" t="e">
        <f>IF(AND(#REF!&gt;=table!$C$7,#REF!&lt;= table!$D$7),-1,IF(AND(#REF!&gt;=table!$E$7,#REF!&lt;=table!$F$7),1,0))</f>
        <v>#REF!</v>
      </c>
      <c r="S1674" s="5" t="e">
        <f>IF(AND(#REF!&gt;=table!$C$8,#REF!&lt;= table!$D$8),-1,IF(AND(#REF!&gt;=table!$E$8,#REF!&lt;=table!$F$8),1,0))</f>
        <v>#REF!</v>
      </c>
      <c r="T1674" s="5"/>
      <c r="U1674" s="5" t="e">
        <f>IF(AND(#REF!&gt;=table!$C$10,#REF!&lt;= table!$D$10),-1,IF(AND(#REF!&gt;=table!$E$10,#REF!&lt;=table!$F$10),1,0))</f>
        <v>#REF!</v>
      </c>
      <c r="V1674" s="5" t="e">
        <f>IF(AND(#REF!&gt;=table!$C$11,#REF!&lt;= table!$D$11),-1,IF(AND(#REF!&gt;=table!$E$11,#REF!&lt;=table!$F$11),1,0))</f>
        <v>#REF!</v>
      </c>
      <c r="W1674" s="5" t="e">
        <f>CONCATENATE(dados[[#This Row],[fator1]],dados[[#This Row],[fator5]],dados[[#This Row],[fator6]])</f>
        <v>#REF!</v>
      </c>
    </row>
    <row r="1675" spans="1:23">
      <c r="A1675" t="s">
        <v>16</v>
      </c>
      <c r="B1675">
        <v>485815</v>
      </c>
      <c r="C1675">
        <v>7</v>
      </c>
      <c r="D1675">
        <v>33</v>
      </c>
      <c r="E1675">
        <v>153</v>
      </c>
      <c r="F1675">
        <v>4</v>
      </c>
      <c r="G1675">
        <v>0</v>
      </c>
      <c r="H1675">
        <v>25</v>
      </c>
      <c r="I1675">
        <v>376</v>
      </c>
      <c r="J1675">
        <v>0</v>
      </c>
      <c r="K1675">
        <v>8.2990000000000013</v>
      </c>
      <c r="L1675">
        <v>13.327</v>
      </c>
      <c r="M1675">
        <v>144.46299999999999</v>
      </c>
      <c r="N1675">
        <v>17.77</v>
      </c>
      <c r="O1675">
        <v>1673</v>
      </c>
      <c r="P1675">
        <v>0</v>
      </c>
      <c r="Q1675" s="5" t="e">
        <f>IF(AND(#REF!&gt;=table!$C$6,#REF!&lt;= table!$D$6),-1,IF(AND(#REF!&gt;=table!$E$6,#REF!&lt;=table!$F$6),1,0))</f>
        <v>#REF!</v>
      </c>
      <c r="R1675" s="5" t="e">
        <f>IF(AND(#REF!&gt;=table!$C$7,#REF!&lt;= table!$D$7),-1,IF(AND(#REF!&gt;=table!$E$7,#REF!&lt;=table!$F$7),1,0))</f>
        <v>#REF!</v>
      </c>
      <c r="S1675" s="5" t="e">
        <f>IF(AND(#REF!&gt;=table!$C$8,#REF!&lt;= table!$D$8),-1,IF(AND(#REF!&gt;=table!$E$8,#REF!&lt;=table!$F$8),1,0))</f>
        <v>#REF!</v>
      </c>
      <c r="T1675" s="5"/>
      <c r="U1675" s="5" t="e">
        <f>IF(AND(#REF!&gt;=table!$C$10,#REF!&lt;= table!$D$10),-1,IF(AND(#REF!&gt;=table!$E$10,#REF!&lt;=table!$F$10),1,0))</f>
        <v>#REF!</v>
      </c>
      <c r="V1675" s="5" t="e">
        <f>IF(AND(#REF!&gt;=table!$C$11,#REF!&lt;= table!$D$11),-1,IF(AND(#REF!&gt;=table!$E$11,#REF!&lt;=table!$F$11),1,0))</f>
        <v>#REF!</v>
      </c>
      <c r="W1675" s="5" t="e">
        <f>CONCATENATE(dados[[#This Row],[fator1]],dados[[#This Row],[fator5]],dados[[#This Row],[fator6]])</f>
        <v>#REF!</v>
      </c>
    </row>
    <row r="1676" spans="1:23">
      <c r="A1676" t="s">
        <v>16</v>
      </c>
      <c r="B1676">
        <v>485817</v>
      </c>
      <c r="C1676">
        <v>7</v>
      </c>
      <c r="D1676">
        <v>33</v>
      </c>
      <c r="E1676">
        <v>153</v>
      </c>
      <c r="F1676">
        <v>4</v>
      </c>
      <c r="G1676">
        <v>0</v>
      </c>
      <c r="H1676">
        <v>25</v>
      </c>
      <c r="I1676">
        <v>97</v>
      </c>
      <c r="J1676">
        <v>1060</v>
      </c>
      <c r="K1676">
        <v>3.5835000000000004</v>
      </c>
      <c r="L1676">
        <v>10.702</v>
      </c>
      <c r="M1676">
        <v>153.339</v>
      </c>
      <c r="N1676">
        <v>17.285</v>
      </c>
      <c r="O1676">
        <v>1698</v>
      </c>
      <c r="P1676">
        <v>0</v>
      </c>
      <c r="Q1676" s="5" t="e">
        <f>IF(AND(#REF!&gt;=table!$C$6,#REF!&lt;= table!$D$6),-1,IF(AND(#REF!&gt;=table!$E$6,#REF!&lt;=table!$F$6),1,0))</f>
        <v>#REF!</v>
      </c>
      <c r="R1676" s="5" t="e">
        <f>IF(AND(#REF!&gt;=table!$C$7,#REF!&lt;= table!$D$7),-1,IF(AND(#REF!&gt;=table!$E$7,#REF!&lt;=table!$F$7),1,0))</f>
        <v>#REF!</v>
      </c>
      <c r="S1676" s="5" t="e">
        <f>IF(AND(#REF!&gt;=table!$C$8,#REF!&lt;= table!$D$8),-1,IF(AND(#REF!&gt;=table!$E$8,#REF!&lt;=table!$F$8),1,0))</f>
        <v>#REF!</v>
      </c>
      <c r="T1676" s="5"/>
      <c r="U1676" s="5" t="e">
        <f>IF(AND(#REF!&gt;=table!$C$10,#REF!&lt;= table!$D$10),-1,IF(AND(#REF!&gt;=table!$E$10,#REF!&lt;=table!$F$10),1,0))</f>
        <v>#REF!</v>
      </c>
      <c r="V1676" s="5" t="e">
        <f>IF(AND(#REF!&gt;=table!$C$11,#REF!&lt;= table!$D$11),-1,IF(AND(#REF!&gt;=table!$E$11,#REF!&lt;=table!$F$11),1,0))</f>
        <v>#REF!</v>
      </c>
      <c r="W1676" s="5" t="e">
        <f>CONCATENATE(dados[[#This Row],[fator1]],dados[[#This Row],[fator5]],dados[[#This Row],[fator6]])</f>
        <v>#REF!</v>
      </c>
    </row>
    <row r="1677" spans="1:23">
      <c r="A1677" t="s">
        <v>16</v>
      </c>
      <c r="B1677">
        <v>485822</v>
      </c>
      <c r="C1677">
        <v>7</v>
      </c>
      <c r="D1677">
        <v>33</v>
      </c>
      <c r="E1677">
        <v>153</v>
      </c>
      <c r="F1677">
        <v>4</v>
      </c>
      <c r="G1677">
        <v>0</v>
      </c>
      <c r="H1677">
        <v>25</v>
      </c>
      <c r="I1677">
        <v>0</v>
      </c>
      <c r="J1677">
        <v>0</v>
      </c>
      <c r="K1677">
        <v>3.621</v>
      </c>
      <c r="L1677">
        <v>11.709000000000001</v>
      </c>
      <c r="M1677">
        <v>98.188000000000002</v>
      </c>
      <c r="N1677">
        <v>19.13</v>
      </c>
      <c r="O1677">
        <v>1690</v>
      </c>
      <c r="P1677">
        <v>924</v>
      </c>
      <c r="Q1677" s="5" t="e">
        <f>IF(AND(#REF!&gt;=table!$C$6,#REF!&lt;= table!$D$6),-1,IF(AND(#REF!&gt;=table!$E$6,#REF!&lt;=table!$F$6),1,0))</f>
        <v>#REF!</v>
      </c>
      <c r="R1677" s="5" t="e">
        <f>IF(AND(#REF!&gt;=table!$C$7,#REF!&lt;= table!$D$7),-1,IF(AND(#REF!&gt;=table!$E$7,#REF!&lt;=table!$F$7),1,0))</f>
        <v>#REF!</v>
      </c>
      <c r="S1677" s="5" t="e">
        <f>IF(AND(#REF!&gt;=table!$C$8,#REF!&lt;= table!$D$8),-1,IF(AND(#REF!&gt;=table!$E$8,#REF!&lt;=table!$F$8),1,0))</f>
        <v>#REF!</v>
      </c>
      <c r="T1677" s="5"/>
      <c r="U1677" s="5" t="e">
        <f>IF(AND(#REF!&gt;=table!$C$10,#REF!&lt;= table!$D$10),-1,IF(AND(#REF!&gt;=table!$E$10,#REF!&lt;=table!$F$10),1,0))</f>
        <v>#REF!</v>
      </c>
      <c r="V1677" s="5" t="e">
        <f>IF(AND(#REF!&gt;=table!$C$11,#REF!&lt;= table!$D$11),-1,IF(AND(#REF!&gt;=table!$E$11,#REF!&lt;=table!$F$11),1,0))</f>
        <v>#REF!</v>
      </c>
      <c r="W1677" s="5" t="e">
        <f>CONCATENATE(dados[[#This Row],[fator1]],dados[[#This Row],[fator5]],dados[[#This Row],[fator6]])</f>
        <v>#REF!</v>
      </c>
    </row>
    <row r="1678" spans="1:23">
      <c r="A1678" t="s">
        <v>16</v>
      </c>
      <c r="B1678">
        <v>485823</v>
      </c>
      <c r="C1678">
        <v>11</v>
      </c>
      <c r="D1678">
        <v>40</v>
      </c>
      <c r="E1678">
        <v>151</v>
      </c>
      <c r="F1678">
        <v>8</v>
      </c>
      <c r="G1678">
        <v>0</v>
      </c>
      <c r="H1678">
        <v>25</v>
      </c>
      <c r="I1678">
        <v>81</v>
      </c>
      <c r="J1678">
        <v>0</v>
      </c>
      <c r="K1678">
        <v>9.7584999999999997</v>
      </c>
      <c r="L1678">
        <v>8.6395</v>
      </c>
      <c r="M1678">
        <v>128.22749999999999</v>
      </c>
      <c r="N1678">
        <v>13.225000000000001</v>
      </c>
      <c r="O1678">
        <v>1665</v>
      </c>
      <c r="P1678">
        <v>350</v>
      </c>
      <c r="Q1678" s="5" t="e">
        <f>IF(AND(#REF!&gt;=table!$C$6,#REF!&lt;= table!$D$6),-1,IF(AND(#REF!&gt;=table!$E$6,#REF!&lt;=table!$F$6),1,0))</f>
        <v>#REF!</v>
      </c>
      <c r="R1678" s="5" t="e">
        <f>IF(AND(#REF!&gt;=table!$C$7,#REF!&lt;= table!$D$7),-1,IF(AND(#REF!&gt;=table!$E$7,#REF!&lt;=table!$F$7),1,0))</f>
        <v>#REF!</v>
      </c>
      <c r="S1678" s="5" t="e">
        <f>IF(AND(#REF!&gt;=table!$C$8,#REF!&lt;= table!$D$8),-1,IF(AND(#REF!&gt;=table!$E$8,#REF!&lt;=table!$F$8),1,0))</f>
        <v>#REF!</v>
      </c>
      <c r="T1678" s="5"/>
      <c r="U1678" s="5" t="e">
        <f>IF(AND(#REF!&gt;=table!$C$10,#REF!&lt;= table!$D$10),-1,IF(AND(#REF!&gt;=table!$E$10,#REF!&lt;=table!$F$10),1,0))</f>
        <v>#REF!</v>
      </c>
      <c r="V1678" s="5" t="e">
        <f>IF(AND(#REF!&gt;=table!$C$11,#REF!&lt;= table!$D$11),-1,IF(AND(#REF!&gt;=table!$E$11,#REF!&lt;=table!$F$11),1,0))</f>
        <v>#REF!</v>
      </c>
      <c r="W1678" s="5" t="e">
        <f>CONCATENATE(dados[[#This Row],[fator1]],dados[[#This Row],[fator5]],dados[[#This Row],[fator6]])</f>
        <v>#REF!</v>
      </c>
    </row>
    <row r="1679" spans="1:23">
      <c r="A1679" t="s">
        <v>16</v>
      </c>
      <c r="B1679">
        <v>485824</v>
      </c>
      <c r="C1679">
        <v>11</v>
      </c>
      <c r="D1679">
        <v>40</v>
      </c>
      <c r="E1679">
        <v>151</v>
      </c>
      <c r="F1679">
        <v>8</v>
      </c>
      <c r="G1679">
        <v>0</v>
      </c>
      <c r="H1679">
        <v>25</v>
      </c>
      <c r="I1679">
        <v>0</v>
      </c>
      <c r="J1679">
        <v>0</v>
      </c>
      <c r="K1679">
        <v>3.899</v>
      </c>
      <c r="L1679">
        <v>10.123000000000001</v>
      </c>
      <c r="M1679">
        <v>138.16400000000002</v>
      </c>
      <c r="N1679">
        <v>16.145</v>
      </c>
      <c r="O1679">
        <v>1678</v>
      </c>
      <c r="P1679">
        <v>0</v>
      </c>
      <c r="Q1679" s="5" t="e">
        <f>IF(AND(#REF!&gt;=table!$C$6,#REF!&lt;= table!$D$6),-1,IF(AND(#REF!&gt;=table!$E$6,#REF!&lt;=table!$F$6),1,0))</f>
        <v>#REF!</v>
      </c>
      <c r="R1679" s="5" t="e">
        <f>IF(AND(#REF!&gt;=table!$C$7,#REF!&lt;= table!$D$7),-1,IF(AND(#REF!&gt;=table!$E$7,#REF!&lt;=table!$F$7),1,0))</f>
        <v>#REF!</v>
      </c>
      <c r="S1679" s="5" t="e">
        <f>IF(AND(#REF!&gt;=table!$C$8,#REF!&lt;= table!$D$8),-1,IF(AND(#REF!&gt;=table!$E$8,#REF!&lt;=table!$F$8),1,0))</f>
        <v>#REF!</v>
      </c>
      <c r="T1679" s="5"/>
      <c r="U1679" s="5" t="e">
        <f>IF(AND(#REF!&gt;=table!$C$10,#REF!&lt;= table!$D$10),-1,IF(AND(#REF!&gt;=table!$E$10,#REF!&lt;=table!$F$10),1,0))</f>
        <v>#REF!</v>
      </c>
      <c r="V1679" s="5" t="e">
        <f>IF(AND(#REF!&gt;=table!$C$11,#REF!&lt;= table!$D$11),-1,IF(AND(#REF!&gt;=table!$E$11,#REF!&lt;=table!$F$11),1,0))</f>
        <v>#REF!</v>
      </c>
      <c r="W1679" s="5" t="e">
        <f>CONCATENATE(dados[[#This Row],[fator1]],dados[[#This Row],[fator5]],dados[[#This Row],[fator6]])</f>
        <v>#REF!</v>
      </c>
    </row>
    <row r="1680" spans="1:23">
      <c r="A1680" t="s">
        <v>16</v>
      </c>
      <c r="B1680">
        <v>485825</v>
      </c>
      <c r="C1680">
        <v>0.15</v>
      </c>
      <c r="D1680">
        <v>40</v>
      </c>
      <c r="E1680">
        <v>10</v>
      </c>
      <c r="F1680">
        <v>15</v>
      </c>
      <c r="G1680">
        <v>0</v>
      </c>
      <c r="H1680">
        <v>15</v>
      </c>
      <c r="I1680">
        <v>2</v>
      </c>
      <c r="J1680">
        <v>0</v>
      </c>
      <c r="K1680">
        <v>4.9030000000000005</v>
      </c>
      <c r="L1680">
        <v>7.6190000000000007</v>
      </c>
      <c r="M1680">
        <v>7.1365000000000007</v>
      </c>
      <c r="N1680">
        <v>11.53</v>
      </c>
      <c r="O1680">
        <v>1667</v>
      </c>
      <c r="P1680">
        <v>865</v>
      </c>
      <c r="Q1680" s="5" t="e">
        <f>IF(AND(#REF!&gt;=table!$C$6,#REF!&lt;= table!$D$6),-1,IF(AND(#REF!&gt;=table!$E$6,#REF!&lt;=table!$F$6),1,0))</f>
        <v>#REF!</v>
      </c>
      <c r="R1680" s="5" t="e">
        <f>IF(AND(#REF!&gt;=table!$C$7,#REF!&lt;= table!$D$7),-1,IF(AND(#REF!&gt;=table!$E$7,#REF!&lt;=table!$F$7),1,0))</f>
        <v>#REF!</v>
      </c>
      <c r="S1680" s="5" t="e">
        <f>IF(AND(#REF!&gt;=table!$C$8,#REF!&lt;= table!$D$8),-1,IF(AND(#REF!&gt;=table!$E$8,#REF!&lt;=table!$F$8),1,0))</f>
        <v>#REF!</v>
      </c>
      <c r="T1680" s="5"/>
      <c r="U1680" s="5" t="e">
        <f>IF(AND(#REF!&gt;=table!$C$10,#REF!&lt;= table!$D$10),-1,IF(AND(#REF!&gt;=table!$E$10,#REF!&lt;=table!$F$10),1,0))</f>
        <v>#REF!</v>
      </c>
      <c r="V1680" s="5" t="e">
        <f>IF(AND(#REF!&gt;=table!$C$11,#REF!&lt;= table!$D$11),-1,IF(AND(#REF!&gt;=table!$E$11,#REF!&lt;=table!$F$11),1,0))</f>
        <v>#REF!</v>
      </c>
      <c r="W1680" s="5" t="e">
        <f>CONCATENATE(dados[[#This Row],[fator1]],dados[[#This Row],[fator5]],dados[[#This Row],[fator6]])</f>
        <v>#REF!</v>
      </c>
    </row>
    <row r="1681" spans="1:23">
      <c r="A1681" t="s">
        <v>16</v>
      </c>
      <c r="B1681">
        <v>485827</v>
      </c>
      <c r="C1681">
        <v>11</v>
      </c>
      <c r="D1681">
        <v>40</v>
      </c>
      <c r="E1681">
        <v>151</v>
      </c>
      <c r="F1681">
        <v>8</v>
      </c>
      <c r="G1681">
        <v>0</v>
      </c>
      <c r="H1681">
        <v>25</v>
      </c>
      <c r="I1681">
        <v>47</v>
      </c>
      <c r="J1681">
        <v>620</v>
      </c>
      <c r="K1681">
        <v>4.8654999999999999</v>
      </c>
      <c r="L1681">
        <v>16.051000000000002</v>
      </c>
      <c r="M1681">
        <v>125.2235</v>
      </c>
      <c r="N1681">
        <v>20.505000000000003</v>
      </c>
      <c r="O1681">
        <v>1695</v>
      </c>
      <c r="P1681">
        <v>810</v>
      </c>
      <c r="Q1681" s="5" t="e">
        <f>IF(AND(#REF!&gt;=table!$C$6,#REF!&lt;= table!$D$6),-1,IF(AND(#REF!&gt;=table!$E$6,#REF!&lt;=table!$F$6),1,0))</f>
        <v>#REF!</v>
      </c>
      <c r="R1681" s="5" t="e">
        <f>IF(AND(#REF!&gt;=table!$C$7,#REF!&lt;= table!$D$7),-1,IF(AND(#REF!&gt;=table!$E$7,#REF!&lt;=table!$F$7),1,0))</f>
        <v>#REF!</v>
      </c>
      <c r="S1681" s="5" t="e">
        <f>IF(AND(#REF!&gt;=table!$C$8,#REF!&lt;= table!$D$8),-1,IF(AND(#REF!&gt;=table!$E$8,#REF!&lt;=table!$F$8),1,0))</f>
        <v>#REF!</v>
      </c>
      <c r="T1681" s="5"/>
      <c r="U1681" s="5" t="e">
        <f>IF(AND(#REF!&gt;=table!$C$10,#REF!&lt;= table!$D$10),-1,IF(AND(#REF!&gt;=table!$E$10,#REF!&lt;=table!$F$10),1,0))</f>
        <v>#REF!</v>
      </c>
      <c r="V1681" s="5" t="e">
        <f>IF(AND(#REF!&gt;=table!$C$11,#REF!&lt;= table!$D$11),-1,IF(AND(#REF!&gt;=table!$E$11,#REF!&lt;=table!$F$11),1,0))</f>
        <v>#REF!</v>
      </c>
      <c r="W1681" s="5" t="e">
        <f>CONCATENATE(dados[[#This Row],[fator1]],dados[[#This Row],[fator5]],dados[[#This Row],[fator6]])</f>
        <v>#REF!</v>
      </c>
    </row>
    <row r="1682" spans="1:23">
      <c r="A1682" t="s">
        <v>17</v>
      </c>
      <c r="B1682">
        <v>485830</v>
      </c>
      <c r="C1682">
        <v>18</v>
      </c>
      <c r="D1682">
        <v>30</v>
      </c>
      <c r="E1682">
        <v>136</v>
      </c>
      <c r="F1682">
        <v>3</v>
      </c>
      <c r="G1682">
        <v>20</v>
      </c>
      <c r="H1682">
        <v>25</v>
      </c>
      <c r="I1682">
        <v>0</v>
      </c>
      <c r="J1682">
        <v>0</v>
      </c>
      <c r="K1682">
        <v>3.2870000000000004</v>
      </c>
      <c r="L1682">
        <v>6.0725000000000007</v>
      </c>
      <c r="M1682">
        <v>111.589</v>
      </c>
      <c r="N1682">
        <v>15.84</v>
      </c>
      <c r="O1682">
        <v>1667</v>
      </c>
      <c r="P1682">
        <v>0</v>
      </c>
      <c r="Q1682" s="5" t="e">
        <f>IF(AND(#REF!&gt;=table!$C$6,#REF!&lt;= table!$D$6),-1,IF(AND(#REF!&gt;=table!$E$6,#REF!&lt;=table!$F$6),1,0))</f>
        <v>#REF!</v>
      </c>
      <c r="R1682" s="5" t="e">
        <f>IF(AND(#REF!&gt;=table!$C$7,#REF!&lt;= table!$D$7),-1,IF(AND(#REF!&gt;=table!$E$7,#REF!&lt;=table!$F$7),1,0))</f>
        <v>#REF!</v>
      </c>
      <c r="S1682" s="5" t="e">
        <f>IF(AND(#REF!&gt;=table!$C$8,#REF!&lt;= table!$D$8),-1,IF(AND(#REF!&gt;=table!$E$8,#REF!&lt;=table!$F$8),1,0))</f>
        <v>#REF!</v>
      </c>
      <c r="T1682" s="5"/>
      <c r="U1682" s="5" t="e">
        <f>IF(AND(#REF!&gt;=table!$C$10,#REF!&lt;= table!$D$10),-1,IF(AND(#REF!&gt;=table!$E$10,#REF!&lt;=table!$F$10),1,0))</f>
        <v>#REF!</v>
      </c>
      <c r="V1682" s="5" t="e">
        <f>IF(AND(#REF!&gt;=table!$C$11,#REF!&lt;= table!$D$11),-1,IF(AND(#REF!&gt;=table!$E$11,#REF!&lt;=table!$F$11),1,0))</f>
        <v>#REF!</v>
      </c>
      <c r="W1682" s="5" t="e">
        <f>CONCATENATE(dados[[#This Row],[fator1]],dados[[#This Row],[fator5]],dados[[#This Row],[fator6]])</f>
        <v>#REF!</v>
      </c>
    </row>
    <row r="1683" spans="1:23">
      <c r="A1683" t="s">
        <v>17</v>
      </c>
      <c r="B1683">
        <v>485831</v>
      </c>
      <c r="C1683">
        <v>18</v>
      </c>
      <c r="D1683">
        <v>30</v>
      </c>
      <c r="E1683">
        <v>136</v>
      </c>
      <c r="F1683">
        <v>3</v>
      </c>
      <c r="G1683">
        <v>20</v>
      </c>
      <c r="H1683">
        <v>25</v>
      </c>
      <c r="I1683">
        <v>6</v>
      </c>
      <c r="J1683">
        <v>0</v>
      </c>
      <c r="K1683">
        <v>6.6310000000000002</v>
      </c>
      <c r="L1683">
        <v>14.6645</v>
      </c>
      <c r="M1683">
        <v>79.64500000000001</v>
      </c>
      <c r="N1683">
        <v>19.5</v>
      </c>
      <c r="O1683">
        <v>1651</v>
      </c>
      <c r="P1683">
        <v>450</v>
      </c>
      <c r="Q1683" s="5" t="e">
        <f>IF(AND(#REF!&gt;=table!$C$6,#REF!&lt;= table!$D$6),-1,IF(AND(#REF!&gt;=table!$E$6,#REF!&lt;=table!$F$6),1,0))</f>
        <v>#REF!</v>
      </c>
      <c r="R1683" s="5" t="e">
        <f>IF(AND(#REF!&gt;=table!$C$7,#REF!&lt;= table!$D$7),-1,IF(AND(#REF!&gt;=table!$E$7,#REF!&lt;=table!$F$7),1,0))</f>
        <v>#REF!</v>
      </c>
      <c r="S1683" s="5" t="e">
        <f>IF(AND(#REF!&gt;=table!$C$8,#REF!&lt;= table!$D$8),-1,IF(AND(#REF!&gt;=table!$E$8,#REF!&lt;=table!$F$8),1,0))</f>
        <v>#REF!</v>
      </c>
      <c r="T1683" s="5"/>
      <c r="U1683" s="5" t="e">
        <f>IF(AND(#REF!&gt;=table!$C$10,#REF!&lt;= table!$D$10),-1,IF(AND(#REF!&gt;=table!$E$10,#REF!&lt;=table!$F$10),1,0))</f>
        <v>#REF!</v>
      </c>
      <c r="V1683" s="5" t="e">
        <f>IF(AND(#REF!&gt;=table!$C$11,#REF!&lt;= table!$D$11),-1,IF(AND(#REF!&gt;=table!$E$11,#REF!&lt;=table!$F$11),1,0))</f>
        <v>#REF!</v>
      </c>
      <c r="W1683" s="5" t="e">
        <f>CONCATENATE(dados[[#This Row],[fator1]],dados[[#This Row],[fator5]],dados[[#This Row],[fator6]])</f>
        <v>#REF!</v>
      </c>
    </row>
    <row r="1684" spans="1:23">
      <c r="A1684" t="s">
        <v>17</v>
      </c>
      <c r="B1684">
        <v>485833</v>
      </c>
      <c r="C1684">
        <v>16</v>
      </c>
      <c r="D1684">
        <v>35</v>
      </c>
      <c r="E1684">
        <v>136</v>
      </c>
      <c r="F1684">
        <v>4</v>
      </c>
      <c r="G1684">
        <v>30</v>
      </c>
      <c r="H1684">
        <v>25</v>
      </c>
      <c r="I1684">
        <v>33</v>
      </c>
      <c r="J1684">
        <v>0</v>
      </c>
      <c r="K1684">
        <v>3.3275000000000001</v>
      </c>
      <c r="L1684">
        <v>5.3325000000000005</v>
      </c>
      <c r="M1684">
        <v>120.2915</v>
      </c>
      <c r="N1684">
        <v>15.13</v>
      </c>
      <c r="O1684">
        <v>1665</v>
      </c>
      <c r="P1684">
        <v>1159</v>
      </c>
      <c r="Q1684" s="5" t="e">
        <f>IF(AND(#REF!&gt;=table!$C$6,#REF!&lt;= table!$D$6),-1,IF(AND(#REF!&gt;=table!$E$6,#REF!&lt;=table!$F$6),1,0))</f>
        <v>#REF!</v>
      </c>
      <c r="R1684" s="5" t="e">
        <f>IF(AND(#REF!&gt;=table!$C$7,#REF!&lt;= table!$D$7),-1,IF(AND(#REF!&gt;=table!$E$7,#REF!&lt;=table!$F$7),1,0))</f>
        <v>#REF!</v>
      </c>
      <c r="S1684" s="5" t="e">
        <f>IF(AND(#REF!&gt;=table!$C$8,#REF!&lt;= table!$D$8),-1,IF(AND(#REF!&gt;=table!$E$8,#REF!&lt;=table!$F$8),1,0))</f>
        <v>#REF!</v>
      </c>
      <c r="T1684" s="5"/>
      <c r="U1684" s="5" t="e">
        <f>IF(AND(#REF!&gt;=table!$C$10,#REF!&lt;= table!$D$10),-1,IF(AND(#REF!&gt;=table!$E$10,#REF!&lt;=table!$F$10),1,0))</f>
        <v>#REF!</v>
      </c>
      <c r="V1684" s="5" t="e">
        <f>IF(AND(#REF!&gt;=table!$C$11,#REF!&lt;= table!$D$11),-1,IF(AND(#REF!&gt;=table!$E$11,#REF!&lt;=table!$F$11),1,0))</f>
        <v>#REF!</v>
      </c>
      <c r="W1684" s="5" t="e">
        <f>CONCATENATE(dados[[#This Row],[fator1]],dados[[#This Row],[fator5]],dados[[#This Row],[fator6]])</f>
        <v>#REF!</v>
      </c>
    </row>
    <row r="1685" spans="1:23">
      <c r="A1685" t="s">
        <v>17</v>
      </c>
      <c r="B1685">
        <v>485835</v>
      </c>
      <c r="C1685">
        <v>7</v>
      </c>
      <c r="D1685">
        <v>35</v>
      </c>
      <c r="E1685">
        <v>200</v>
      </c>
      <c r="F1685">
        <v>8</v>
      </c>
      <c r="G1685">
        <v>50</v>
      </c>
      <c r="H1685">
        <v>25</v>
      </c>
      <c r="I1685">
        <v>1066</v>
      </c>
      <c r="J1685">
        <v>2230</v>
      </c>
      <c r="K1685">
        <v>3.2615000000000003</v>
      </c>
      <c r="L1685">
        <v>7.8385000000000007</v>
      </c>
      <c r="M1685">
        <v>175.23250000000002</v>
      </c>
      <c r="N1685">
        <v>18.100000000000001</v>
      </c>
      <c r="O1685">
        <v>1677</v>
      </c>
      <c r="P1685">
        <v>0</v>
      </c>
      <c r="Q1685" s="5" t="e">
        <f>IF(AND(#REF!&gt;=table!$C$6,#REF!&lt;= table!$D$6),-1,IF(AND(#REF!&gt;=table!$E$6,#REF!&lt;=table!$F$6),1,0))</f>
        <v>#REF!</v>
      </c>
      <c r="R1685" s="5" t="e">
        <f>IF(AND(#REF!&gt;=table!$C$7,#REF!&lt;= table!$D$7),-1,IF(AND(#REF!&gt;=table!$E$7,#REF!&lt;=table!$F$7),1,0))</f>
        <v>#REF!</v>
      </c>
      <c r="S1685" s="5" t="e">
        <f>IF(AND(#REF!&gt;=table!$C$8,#REF!&lt;= table!$D$8),-1,IF(AND(#REF!&gt;=table!$E$8,#REF!&lt;=table!$F$8),1,0))</f>
        <v>#REF!</v>
      </c>
      <c r="T1685" s="5"/>
      <c r="U1685" s="5" t="e">
        <f>IF(AND(#REF!&gt;=table!$C$10,#REF!&lt;= table!$D$10),-1,IF(AND(#REF!&gt;=table!$E$10,#REF!&lt;=table!$F$10),1,0))</f>
        <v>#REF!</v>
      </c>
      <c r="V1685" s="5" t="e">
        <f>IF(AND(#REF!&gt;=table!$C$11,#REF!&lt;= table!$D$11),-1,IF(AND(#REF!&gt;=table!$E$11,#REF!&lt;=table!$F$11),1,0))</f>
        <v>#REF!</v>
      </c>
      <c r="W1685" s="5" t="e">
        <f>CONCATENATE(dados[[#This Row],[fator1]],dados[[#This Row],[fator5]],dados[[#This Row],[fator6]])</f>
        <v>#REF!</v>
      </c>
    </row>
    <row r="1686" spans="1:23">
      <c r="A1686" t="s">
        <v>16</v>
      </c>
      <c r="B1686">
        <v>485838</v>
      </c>
      <c r="C1686">
        <v>13</v>
      </c>
      <c r="D1686">
        <v>35</v>
      </c>
      <c r="E1686">
        <v>120</v>
      </c>
      <c r="F1686">
        <v>10</v>
      </c>
      <c r="G1686">
        <v>0</v>
      </c>
      <c r="H1686">
        <v>25</v>
      </c>
      <c r="I1686">
        <v>0</v>
      </c>
      <c r="J1686">
        <v>0</v>
      </c>
      <c r="K1686">
        <v>5.9555000000000007</v>
      </c>
      <c r="L1686">
        <v>11.759</v>
      </c>
      <c r="M1686">
        <v>86.19</v>
      </c>
      <c r="N1686">
        <v>19.13</v>
      </c>
      <c r="O1686">
        <v>1659</v>
      </c>
      <c r="P1686">
        <v>510</v>
      </c>
      <c r="Q1686" s="5" t="e">
        <f>IF(AND(#REF!&gt;=table!$C$6,#REF!&lt;= table!$D$6),-1,IF(AND(#REF!&gt;=table!$E$6,#REF!&lt;=table!$F$6),1,0))</f>
        <v>#REF!</v>
      </c>
      <c r="R1686" s="5" t="e">
        <f>IF(AND(#REF!&gt;=table!$C$7,#REF!&lt;= table!$D$7),-1,IF(AND(#REF!&gt;=table!$E$7,#REF!&lt;=table!$F$7),1,0))</f>
        <v>#REF!</v>
      </c>
      <c r="S1686" s="5" t="e">
        <f>IF(AND(#REF!&gt;=table!$C$8,#REF!&lt;= table!$D$8),-1,IF(AND(#REF!&gt;=table!$E$8,#REF!&lt;=table!$F$8),1,0))</f>
        <v>#REF!</v>
      </c>
      <c r="T1686" s="5"/>
      <c r="U1686" s="5" t="e">
        <f>IF(AND(#REF!&gt;=table!$C$10,#REF!&lt;= table!$D$10),-1,IF(AND(#REF!&gt;=table!$E$10,#REF!&lt;=table!$F$10),1,0))</f>
        <v>#REF!</v>
      </c>
      <c r="V1686" s="5" t="e">
        <f>IF(AND(#REF!&gt;=table!$C$11,#REF!&lt;= table!$D$11),-1,IF(AND(#REF!&gt;=table!$E$11,#REF!&lt;=table!$F$11),1,0))</f>
        <v>#REF!</v>
      </c>
      <c r="W1686" s="5" t="e">
        <f>CONCATENATE(dados[[#This Row],[fator1]],dados[[#This Row],[fator5]],dados[[#This Row],[fator6]])</f>
        <v>#REF!</v>
      </c>
    </row>
    <row r="1687" spans="1:23">
      <c r="A1687" t="s">
        <v>16</v>
      </c>
      <c r="B1687">
        <v>485843</v>
      </c>
      <c r="C1687">
        <v>10</v>
      </c>
      <c r="D1687">
        <v>40</v>
      </c>
      <c r="E1687">
        <v>136</v>
      </c>
      <c r="F1687">
        <v>6</v>
      </c>
      <c r="G1687">
        <v>0</v>
      </c>
      <c r="H1687">
        <v>25</v>
      </c>
      <c r="I1687">
        <v>500</v>
      </c>
      <c r="J1687">
        <v>0</v>
      </c>
      <c r="K1687">
        <v>4.5630000000000006</v>
      </c>
      <c r="L1687">
        <v>8.8480000000000008</v>
      </c>
      <c r="M1687">
        <v>125.57250000000001</v>
      </c>
      <c r="N1687">
        <v>14.065000000000001</v>
      </c>
      <c r="O1687">
        <v>1661</v>
      </c>
      <c r="P1687">
        <v>835</v>
      </c>
      <c r="Q1687" s="5" t="e">
        <f>IF(AND(#REF!&gt;=table!$C$6,#REF!&lt;= table!$D$6),-1,IF(AND(#REF!&gt;=table!$E$6,#REF!&lt;=table!$F$6),1,0))</f>
        <v>#REF!</v>
      </c>
      <c r="R1687" s="5" t="e">
        <f>IF(AND(#REF!&gt;=table!$C$7,#REF!&lt;= table!$D$7),-1,IF(AND(#REF!&gt;=table!$E$7,#REF!&lt;=table!$F$7),1,0))</f>
        <v>#REF!</v>
      </c>
      <c r="S1687" s="5" t="e">
        <f>IF(AND(#REF!&gt;=table!$C$8,#REF!&lt;= table!$D$8),-1,IF(AND(#REF!&gt;=table!$E$8,#REF!&lt;=table!$F$8),1,0))</f>
        <v>#REF!</v>
      </c>
      <c r="T1687" s="5"/>
      <c r="U1687" s="5" t="e">
        <f>IF(AND(#REF!&gt;=table!$C$10,#REF!&lt;= table!$D$10),-1,IF(AND(#REF!&gt;=table!$E$10,#REF!&lt;=table!$F$10),1,0))</f>
        <v>#REF!</v>
      </c>
      <c r="V1687" s="5" t="e">
        <f>IF(AND(#REF!&gt;=table!$C$11,#REF!&lt;= table!$D$11),-1,IF(AND(#REF!&gt;=table!$E$11,#REF!&lt;=table!$F$11),1,0))</f>
        <v>#REF!</v>
      </c>
      <c r="W1687" s="5" t="e">
        <f>CONCATENATE(dados[[#This Row],[fator1]],dados[[#This Row],[fator5]],dados[[#This Row],[fator6]])</f>
        <v>#REF!</v>
      </c>
    </row>
    <row r="1688" spans="1:23">
      <c r="A1688" t="s">
        <v>17</v>
      </c>
      <c r="B1688">
        <v>485846</v>
      </c>
      <c r="C1688">
        <v>9</v>
      </c>
      <c r="D1688">
        <v>25</v>
      </c>
      <c r="E1688">
        <v>130</v>
      </c>
      <c r="F1688">
        <v>3</v>
      </c>
      <c r="G1688">
        <v>20</v>
      </c>
      <c r="H1688">
        <v>21</v>
      </c>
      <c r="I1688">
        <v>1127</v>
      </c>
      <c r="J1688">
        <v>0</v>
      </c>
      <c r="K1688">
        <v>6.0550000000000006</v>
      </c>
      <c r="L1688">
        <v>11.137</v>
      </c>
      <c r="M1688">
        <v>117.75700000000001</v>
      </c>
      <c r="N1688">
        <v>14.485000000000001</v>
      </c>
      <c r="O1688">
        <v>1678</v>
      </c>
      <c r="P1688">
        <v>546</v>
      </c>
      <c r="Q1688" s="5" t="e">
        <f>IF(AND(#REF!&gt;=table!$C$6,#REF!&lt;= table!$D$6),-1,IF(AND(#REF!&gt;=table!$E$6,#REF!&lt;=table!$F$6),1,0))</f>
        <v>#REF!</v>
      </c>
      <c r="R1688" s="5" t="e">
        <f>IF(AND(#REF!&gt;=table!$C$7,#REF!&lt;= table!$D$7),-1,IF(AND(#REF!&gt;=table!$E$7,#REF!&lt;=table!$F$7),1,0))</f>
        <v>#REF!</v>
      </c>
      <c r="S1688" s="5" t="e">
        <f>IF(AND(#REF!&gt;=table!$C$8,#REF!&lt;= table!$D$8),-1,IF(AND(#REF!&gt;=table!$E$8,#REF!&lt;=table!$F$8),1,0))</f>
        <v>#REF!</v>
      </c>
      <c r="T1688" s="5"/>
      <c r="U1688" s="5" t="e">
        <f>IF(AND(#REF!&gt;=table!$C$10,#REF!&lt;= table!$D$10),-1,IF(AND(#REF!&gt;=table!$E$10,#REF!&lt;=table!$F$10),1,0))</f>
        <v>#REF!</v>
      </c>
      <c r="V1688" s="5" t="e">
        <f>IF(AND(#REF!&gt;=table!$C$11,#REF!&lt;= table!$D$11),-1,IF(AND(#REF!&gt;=table!$E$11,#REF!&lt;=table!$F$11),1,0))</f>
        <v>#REF!</v>
      </c>
      <c r="W1688" s="5" t="e">
        <f>CONCATENATE(dados[[#This Row],[fator1]],dados[[#This Row],[fator5]],dados[[#This Row],[fator6]])</f>
        <v>#REF!</v>
      </c>
    </row>
    <row r="1689" spans="1:23">
      <c r="A1689" t="s">
        <v>17</v>
      </c>
      <c r="B1689">
        <v>485854</v>
      </c>
      <c r="C1689">
        <v>16</v>
      </c>
      <c r="D1689">
        <v>23</v>
      </c>
      <c r="E1689">
        <v>145</v>
      </c>
      <c r="F1689">
        <v>9</v>
      </c>
      <c r="G1689">
        <v>30</v>
      </c>
      <c r="H1689">
        <v>25</v>
      </c>
      <c r="I1689">
        <v>104</v>
      </c>
      <c r="J1689">
        <v>0</v>
      </c>
      <c r="K1689">
        <v>4.8195000000000006</v>
      </c>
      <c r="L1689">
        <v>13.031500000000001</v>
      </c>
      <c r="M1689">
        <v>134.7055</v>
      </c>
      <c r="N1689">
        <v>24.01</v>
      </c>
      <c r="O1689">
        <v>1695</v>
      </c>
      <c r="P1689">
        <v>0</v>
      </c>
      <c r="Q1689" s="5" t="e">
        <f>IF(AND(#REF!&gt;=table!$C$6,#REF!&lt;= table!$D$6),-1,IF(AND(#REF!&gt;=table!$E$6,#REF!&lt;=table!$F$6),1,0))</f>
        <v>#REF!</v>
      </c>
      <c r="R1689" s="5" t="e">
        <f>IF(AND(#REF!&gt;=table!$C$7,#REF!&lt;= table!$D$7),-1,IF(AND(#REF!&gt;=table!$E$7,#REF!&lt;=table!$F$7),1,0))</f>
        <v>#REF!</v>
      </c>
      <c r="S1689" s="5" t="e">
        <f>IF(AND(#REF!&gt;=table!$C$8,#REF!&lt;= table!$D$8),-1,IF(AND(#REF!&gt;=table!$E$8,#REF!&lt;=table!$F$8),1,0))</f>
        <v>#REF!</v>
      </c>
      <c r="T1689" s="5"/>
      <c r="U1689" s="5" t="e">
        <f>IF(AND(#REF!&gt;=table!$C$10,#REF!&lt;= table!$D$10),-1,IF(AND(#REF!&gt;=table!$E$10,#REF!&lt;=table!$F$10),1,0))</f>
        <v>#REF!</v>
      </c>
      <c r="V1689" s="5" t="e">
        <f>IF(AND(#REF!&gt;=table!$C$11,#REF!&lt;= table!$D$11),-1,IF(AND(#REF!&gt;=table!$E$11,#REF!&lt;=table!$F$11),1,0))</f>
        <v>#REF!</v>
      </c>
      <c r="W1689" s="5" t="e">
        <f>CONCATENATE(dados[[#This Row],[fator1]],dados[[#This Row],[fator5]],dados[[#This Row],[fator6]])</f>
        <v>#REF!</v>
      </c>
    </row>
    <row r="1690" spans="1:23">
      <c r="A1690" t="s">
        <v>17</v>
      </c>
      <c r="B1690">
        <v>485858</v>
      </c>
      <c r="C1690">
        <v>16</v>
      </c>
      <c r="D1690">
        <v>23</v>
      </c>
      <c r="E1690">
        <v>145</v>
      </c>
      <c r="F1690">
        <v>9</v>
      </c>
      <c r="G1690">
        <v>30</v>
      </c>
      <c r="H1690">
        <v>25</v>
      </c>
      <c r="I1690">
        <v>253</v>
      </c>
      <c r="J1690">
        <v>0</v>
      </c>
      <c r="K1690">
        <v>6.1815000000000007</v>
      </c>
      <c r="L1690">
        <v>9.3730000000000011</v>
      </c>
      <c r="M1690">
        <v>114.4315</v>
      </c>
      <c r="N1690">
        <v>16.38</v>
      </c>
      <c r="O1690">
        <v>1679</v>
      </c>
      <c r="P1690">
        <v>0</v>
      </c>
      <c r="Q1690" s="5" t="e">
        <f>IF(AND(#REF!&gt;=table!$C$6,#REF!&lt;= table!$D$6),-1,IF(AND(#REF!&gt;=table!$E$6,#REF!&lt;=table!$F$6),1,0))</f>
        <v>#REF!</v>
      </c>
      <c r="R1690" s="5" t="e">
        <f>IF(AND(#REF!&gt;=table!$C$7,#REF!&lt;= table!$D$7),-1,IF(AND(#REF!&gt;=table!$E$7,#REF!&lt;=table!$F$7),1,0))</f>
        <v>#REF!</v>
      </c>
      <c r="S1690" s="5" t="e">
        <f>IF(AND(#REF!&gt;=table!$C$8,#REF!&lt;= table!$D$8),-1,IF(AND(#REF!&gt;=table!$E$8,#REF!&lt;=table!$F$8),1,0))</f>
        <v>#REF!</v>
      </c>
      <c r="T1690" s="5"/>
      <c r="U1690" s="5" t="e">
        <f>IF(AND(#REF!&gt;=table!$C$10,#REF!&lt;= table!$D$10),-1,IF(AND(#REF!&gt;=table!$E$10,#REF!&lt;=table!$F$10),1,0))</f>
        <v>#REF!</v>
      </c>
      <c r="V1690" s="5" t="e">
        <f>IF(AND(#REF!&gt;=table!$C$11,#REF!&lt;= table!$D$11),-1,IF(AND(#REF!&gt;=table!$E$11,#REF!&lt;=table!$F$11),1,0))</f>
        <v>#REF!</v>
      </c>
      <c r="W1690" s="5" t="e">
        <f>CONCATENATE(dados[[#This Row],[fator1]],dados[[#This Row],[fator5]],dados[[#This Row],[fator6]])</f>
        <v>#REF!</v>
      </c>
    </row>
    <row r="1691" spans="1:23">
      <c r="A1691" t="s">
        <v>16</v>
      </c>
      <c r="B1691">
        <v>485860</v>
      </c>
      <c r="C1691">
        <v>4</v>
      </c>
      <c r="D1691">
        <v>40</v>
      </c>
      <c r="E1691">
        <v>21</v>
      </c>
      <c r="F1691">
        <v>10</v>
      </c>
      <c r="G1691">
        <v>0</v>
      </c>
      <c r="H1691">
        <v>25</v>
      </c>
      <c r="I1691">
        <v>0</v>
      </c>
      <c r="J1691">
        <v>0</v>
      </c>
      <c r="K1691">
        <v>3.3850000000000002</v>
      </c>
      <c r="L1691">
        <v>9.5865000000000009</v>
      </c>
      <c r="M1691">
        <v>8.5615000000000006</v>
      </c>
      <c r="N1691">
        <v>10.435</v>
      </c>
      <c r="O1691">
        <v>1673</v>
      </c>
      <c r="P1691">
        <v>1166</v>
      </c>
      <c r="Q1691" s="5" t="e">
        <f>IF(AND(#REF!&gt;=table!$C$6,#REF!&lt;= table!$D$6),-1,IF(AND(#REF!&gt;=table!$E$6,#REF!&lt;=table!$F$6),1,0))</f>
        <v>#REF!</v>
      </c>
      <c r="R1691" s="5" t="e">
        <f>IF(AND(#REF!&gt;=table!$C$7,#REF!&lt;= table!$D$7),-1,IF(AND(#REF!&gt;=table!$E$7,#REF!&lt;=table!$F$7),1,0))</f>
        <v>#REF!</v>
      </c>
      <c r="S1691" s="5" t="e">
        <f>IF(AND(#REF!&gt;=table!$C$8,#REF!&lt;= table!$D$8),-1,IF(AND(#REF!&gt;=table!$E$8,#REF!&lt;=table!$F$8),1,0))</f>
        <v>#REF!</v>
      </c>
      <c r="T1691" s="5"/>
      <c r="U1691" s="5" t="e">
        <f>IF(AND(#REF!&gt;=table!$C$10,#REF!&lt;= table!$D$10),-1,IF(AND(#REF!&gt;=table!$E$10,#REF!&lt;=table!$F$10),1,0))</f>
        <v>#REF!</v>
      </c>
      <c r="V1691" s="5" t="e">
        <f>IF(AND(#REF!&gt;=table!$C$11,#REF!&lt;= table!$D$11),-1,IF(AND(#REF!&gt;=table!$E$11,#REF!&lt;=table!$F$11),1,0))</f>
        <v>#REF!</v>
      </c>
      <c r="W1691" s="5" t="e">
        <f>CONCATENATE(dados[[#This Row],[fator1]],dados[[#This Row],[fator5]],dados[[#This Row],[fator6]])</f>
        <v>#REF!</v>
      </c>
    </row>
    <row r="1692" spans="1:23">
      <c r="A1692" t="s">
        <v>16</v>
      </c>
      <c r="B1692">
        <v>485868</v>
      </c>
      <c r="C1692">
        <v>0.15</v>
      </c>
      <c r="D1692">
        <v>35</v>
      </c>
      <c r="E1692">
        <v>15</v>
      </c>
      <c r="F1692">
        <v>10</v>
      </c>
      <c r="G1692">
        <v>0</v>
      </c>
      <c r="H1692">
        <v>12</v>
      </c>
      <c r="I1692">
        <v>891</v>
      </c>
      <c r="J1692">
        <v>0</v>
      </c>
      <c r="K1692">
        <v>5.7015000000000002</v>
      </c>
      <c r="L1692">
        <v>11.815000000000001</v>
      </c>
      <c r="M1692">
        <v>10.8215</v>
      </c>
      <c r="N1692">
        <v>12.955</v>
      </c>
      <c r="O1692">
        <v>1658</v>
      </c>
      <c r="P1692">
        <v>0</v>
      </c>
      <c r="Q1692" s="5" t="e">
        <f>IF(AND(#REF!&gt;=table!$C$6,#REF!&lt;= table!$D$6),-1,IF(AND(#REF!&gt;=table!$E$6,#REF!&lt;=table!$F$6),1,0))</f>
        <v>#REF!</v>
      </c>
      <c r="R1692" s="5" t="e">
        <f>IF(AND(#REF!&gt;=table!$C$7,#REF!&lt;= table!$D$7),-1,IF(AND(#REF!&gt;=table!$E$7,#REF!&lt;=table!$F$7),1,0))</f>
        <v>#REF!</v>
      </c>
      <c r="S1692" s="5" t="e">
        <f>IF(AND(#REF!&gt;=table!$C$8,#REF!&lt;= table!$D$8),-1,IF(AND(#REF!&gt;=table!$E$8,#REF!&lt;=table!$F$8),1,0))</f>
        <v>#REF!</v>
      </c>
      <c r="T1692" s="5"/>
      <c r="U1692" s="5" t="e">
        <f>IF(AND(#REF!&gt;=table!$C$10,#REF!&lt;= table!$D$10),-1,IF(AND(#REF!&gt;=table!$E$10,#REF!&lt;=table!$F$10),1,0))</f>
        <v>#REF!</v>
      </c>
      <c r="V1692" s="5" t="e">
        <f>IF(AND(#REF!&gt;=table!$C$11,#REF!&lt;= table!$D$11),-1,IF(AND(#REF!&gt;=table!$E$11,#REF!&lt;=table!$F$11),1,0))</f>
        <v>#REF!</v>
      </c>
      <c r="W1692" s="5" t="e">
        <f>CONCATENATE(dados[[#This Row],[fator1]],dados[[#This Row],[fator5]],dados[[#This Row],[fator6]])</f>
        <v>#REF!</v>
      </c>
    </row>
    <row r="1693" spans="1:23">
      <c r="A1693" t="s">
        <v>16</v>
      </c>
      <c r="B1693">
        <v>485872</v>
      </c>
      <c r="C1693">
        <v>7</v>
      </c>
      <c r="D1693">
        <v>33</v>
      </c>
      <c r="E1693">
        <v>153</v>
      </c>
      <c r="F1693">
        <v>4</v>
      </c>
      <c r="G1693">
        <v>0</v>
      </c>
      <c r="H1693">
        <v>25</v>
      </c>
      <c r="I1693">
        <v>728</v>
      </c>
      <c r="J1693">
        <v>1060</v>
      </c>
      <c r="K1693">
        <v>5.9660000000000002</v>
      </c>
      <c r="L1693">
        <v>15.105</v>
      </c>
      <c r="M1693">
        <v>120.16200000000001</v>
      </c>
      <c r="N1693">
        <v>19.5</v>
      </c>
      <c r="O1693">
        <v>1686</v>
      </c>
      <c r="P1693">
        <v>0</v>
      </c>
      <c r="Q1693" s="5" t="e">
        <f>IF(AND(#REF!&gt;=table!$C$6,#REF!&lt;= table!$D$6),-1,IF(AND(#REF!&gt;=table!$E$6,#REF!&lt;=table!$F$6),1,0))</f>
        <v>#REF!</v>
      </c>
      <c r="R1693" s="5" t="e">
        <f>IF(AND(#REF!&gt;=table!$C$7,#REF!&lt;= table!$D$7),-1,IF(AND(#REF!&gt;=table!$E$7,#REF!&lt;=table!$F$7),1,0))</f>
        <v>#REF!</v>
      </c>
      <c r="S1693" s="5" t="e">
        <f>IF(AND(#REF!&gt;=table!$C$8,#REF!&lt;= table!$D$8),-1,IF(AND(#REF!&gt;=table!$E$8,#REF!&lt;=table!$F$8),1,0))</f>
        <v>#REF!</v>
      </c>
      <c r="T1693" s="5"/>
      <c r="U1693" s="5" t="e">
        <f>IF(AND(#REF!&gt;=table!$C$10,#REF!&lt;= table!$D$10),-1,IF(AND(#REF!&gt;=table!$E$10,#REF!&lt;=table!$F$10),1,0))</f>
        <v>#REF!</v>
      </c>
      <c r="V1693" s="5" t="e">
        <f>IF(AND(#REF!&gt;=table!$C$11,#REF!&lt;= table!$D$11),-1,IF(AND(#REF!&gt;=table!$E$11,#REF!&lt;=table!$F$11),1,0))</f>
        <v>#REF!</v>
      </c>
      <c r="W1693" s="5" t="e">
        <f>CONCATENATE(dados[[#This Row],[fator1]],dados[[#This Row],[fator5]],dados[[#This Row],[fator6]])</f>
        <v>#REF!</v>
      </c>
    </row>
    <row r="1694" spans="1:23">
      <c r="A1694" t="s">
        <v>16</v>
      </c>
      <c r="B1694">
        <v>485874</v>
      </c>
      <c r="C1694">
        <v>7</v>
      </c>
      <c r="D1694">
        <v>33</v>
      </c>
      <c r="E1694">
        <v>153</v>
      </c>
      <c r="F1694">
        <v>4</v>
      </c>
      <c r="G1694">
        <v>0</v>
      </c>
      <c r="H1694">
        <v>25</v>
      </c>
      <c r="I1694">
        <v>776</v>
      </c>
      <c r="J1694">
        <v>1140</v>
      </c>
      <c r="K1694">
        <v>4.2865000000000002</v>
      </c>
      <c r="L1694">
        <v>22.129000000000001</v>
      </c>
      <c r="M1694">
        <v>129.94800000000001</v>
      </c>
      <c r="N1694">
        <v>8.1300000000000008</v>
      </c>
      <c r="O1694">
        <v>1588</v>
      </c>
      <c r="P1694">
        <v>648</v>
      </c>
      <c r="Q1694" s="5" t="e">
        <f>IF(AND(#REF!&gt;=table!$C$6,#REF!&lt;= table!$D$6),-1,IF(AND(#REF!&gt;=table!$E$6,#REF!&lt;=table!$F$6),1,0))</f>
        <v>#REF!</v>
      </c>
      <c r="R1694" s="5" t="e">
        <f>IF(AND(#REF!&gt;=table!$C$7,#REF!&lt;= table!$D$7),-1,IF(AND(#REF!&gt;=table!$E$7,#REF!&lt;=table!$F$7),1,0))</f>
        <v>#REF!</v>
      </c>
      <c r="S1694" s="5" t="e">
        <f>IF(AND(#REF!&gt;=table!$C$8,#REF!&lt;= table!$D$8),-1,IF(AND(#REF!&gt;=table!$E$8,#REF!&lt;=table!$F$8),1,0))</f>
        <v>#REF!</v>
      </c>
      <c r="T1694" s="5"/>
      <c r="U1694" s="5" t="e">
        <f>IF(AND(#REF!&gt;=table!$C$10,#REF!&lt;= table!$D$10),-1,IF(AND(#REF!&gt;=table!$E$10,#REF!&lt;=table!$F$10),1,0))</f>
        <v>#REF!</v>
      </c>
      <c r="V1694" s="5" t="e">
        <f>IF(AND(#REF!&gt;=table!$C$11,#REF!&lt;= table!$D$11),-1,IF(AND(#REF!&gt;=table!$E$11,#REF!&lt;=table!$F$11),1,0))</f>
        <v>#REF!</v>
      </c>
      <c r="W1694" s="5" t="e">
        <f>CONCATENATE(dados[[#This Row],[fator1]],dados[[#This Row],[fator5]],dados[[#This Row],[fator6]])</f>
        <v>#REF!</v>
      </c>
    </row>
    <row r="1695" spans="1:23">
      <c r="A1695" t="s">
        <v>16</v>
      </c>
      <c r="B1695">
        <v>485875</v>
      </c>
      <c r="C1695">
        <v>7</v>
      </c>
      <c r="D1695">
        <v>33</v>
      </c>
      <c r="E1695">
        <v>153</v>
      </c>
      <c r="F1695">
        <v>4</v>
      </c>
      <c r="G1695">
        <v>0</v>
      </c>
      <c r="H1695">
        <v>25</v>
      </c>
      <c r="I1695">
        <v>38</v>
      </c>
      <c r="J1695">
        <v>600</v>
      </c>
      <c r="K1695">
        <v>5.625</v>
      </c>
      <c r="L1695">
        <v>9.6189999999999998</v>
      </c>
      <c r="M1695">
        <v>133.11950000000002</v>
      </c>
      <c r="N1695">
        <v>8.870000000000001</v>
      </c>
      <c r="O1695">
        <v>1624</v>
      </c>
      <c r="P1695">
        <v>506</v>
      </c>
      <c r="Q1695" s="5" t="e">
        <f>IF(AND(#REF!&gt;=table!$C$6,#REF!&lt;= table!$D$6),-1,IF(AND(#REF!&gt;=table!$E$6,#REF!&lt;=table!$F$6),1,0))</f>
        <v>#REF!</v>
      </c>
      <c r="R1695" s="5" t="e">
        <f>IF(AND(#REF!&gt;=table!$C$7,#REF!&lt;= table!$D$7),-1,IF(AND(#REF!&gt;=table!$E$7,#REF!&lt;=table!$F$7),1,0))</f>
        <v>#REF!</v>
      </c>
      <c r="S1695" s="5" t="e">
        <f>IF(AND(#REF!&gt;=table!$C$8,#REF!&lt;= table!$D$8),-1,IF(AND(#REF!&gt;=table!$E$8,#REF!&lt;=table!$F$8),1,0))</f>
        <v>#REF!</v>
      </c>
      <c r="T1695" s="5"/>
      <c r="U1695" s="5" t="e">
        <f>IF(AND(#REF!&gt;=table!$C$10,#REF!&lt;= table!$D$10),-1,IF(AND(#REF!&gt;=table!$E$10,#REF!&lt;=table!$F$10),1,0))</f>
        <v>#REF!</v>
      </c>
      <c r="V1695" s="5" t="e">
        <f>IF(AND(#REF!&gt;=table!$C$11,#REF!&lt;= table!$D$11),-1,IF(AND(#REF!&gt;=table!$E$11,#REF!&lt;=table!$F$11),1,0))</f>
        <v>#REF!</v>
      </c>
      <c r="W1695" s="5" t="e">
        <f>CONCATENATE(dados[[#This Row],[fator1]],dados[[#This Row],[fator5]],dados[[#This Row],[fator6]])</f>
        <v>#REF!</v>
      </c>
    </row>
    <row r="1696" spans="1:23">
      <c r="A1696" t="s">
        <v>16</v>
      </c>
      <c r="B1696">
        <v>485877</v>
      </c>
      <c r="C1696">
        <v>0.15</v>
      </c>
      <c r="D1696">
        <v>40</v>
      </c>
      <c r="E1696">
        <v>10</v>
      </c>
      <c r="F1696">
        <v>15</v>
      </c>
      <c r="G1696">
        <v>0</v>
      </c>
      <c r="H1696">
        <v>15</v>
      </c>
      <c r="I1696">
        <v>968</v>
      </c>
      <c r="J1696">
        <v>0</v>
      </c>
      <c r="K1696">
        <v>3.4770000000000003</v>
      </c>
      <c r="L1696">
        <v>4.6640000000000006</v>
      </c>
      <c r="M1696">
        <v>4.2930000000000001</v>
      </c>
      <c r="N1696">
        <v>8.9500000000000011</v>
      </c>
      <c r="O1696">
        <v>1668</v>
      </c>
      <c r="P1696">
        <v>0</v>
      </c>
      <c r="Q1696" s="5" t="e">
        <f>IF(AND(#REF!&gt;=table!$C$6,#REF!&lt;= table!$D$6),-1,IF(AND(#REF!&gt;=table!$E$6,#REF!&lt;=table!$F$6),1,0))</f>
        <v>#REF!</v>
      </c>
      <c r="R1696" s="5" t="e">
        <f>IF(AND(#REF!&gt;=table!$C$7,#REF!&lt;= table!$D$7),-1,IF(AND(#REF!&gt;=table!$E$7,#REF!&lt;=table!$F$7),1,0))</f>
        <v>#REF!</v>
      </c>
      <c r="S1696" s="5" t="e">
        <f>IF(AND(#REF!&gt;=table!$C$8,#REF!&lt;= table!$D$8),-1,IF(AND(#REF!&gt;=table!$E$8,#REF!&lt;=table!$F$8),1,0))</f>
        <v>#REF!</v>
      </c>
      <c r="T1696" s="5"/>
      <c r="U1696" s="5" t="e">
        <f>IF(AND(#REF!&gt;=table!$C$10,#REF!&lt;= table!$D$10),-1,IF(AND(#REF!&gt;=table!$E$10,#REF!&lt;=table!$F$10),1,0))</f>
        <v>#REF!</v>
      </c>
      <c r="V1696" s="5" t="e">
        <f>IF(AND(#REF!&gt;=table!$C$11,#REF!&lt;= table!$D$11),-1,IF(AND(#REF!&gt;=table!$E$11,#REF!&lt;=table!$F$11),1,0))</f>
        <v>#REF!</v>
      </c>
      <c r="W1696" s="5" t="e">
        <f>CONCATENATE(dados[[#This Row],[fator1]],dados[[#This Row],[fator5]],dados[[#This Row],[fator6]])</f>
        <v>#REF!</v>
      </c>
    </row>
    <row r="1697" spans="1:23">
      <c r="A1697" t="s">
        <v>17</v>
      </c>
      <c r="B1697">
        <v>485880</v>
      </c>
      <c r="C1697">
        <v>16</v>
      </c>
      <c r="D1697">
        <v>30</v>
      </c>
      <c r="E1697">
        <v>126</v>
      </c>
      <c r="F1697">
        <v>9</v>
      </c>
      <c r="G1697">
        <v>20</v>
      </c>
      <c r="H1697">
        <v>25</v>
      </c>
      <c r="I1697">
        <v>1910</v>
      </c>
      <c r="J1697">
        <v>0</v>
      </c>
      <c r="K1697">
        <v>9.777000000000001</v>
      </c>
      <c r="L1697">
        <v>15.939</v>
      </c>
      <c r="M1697">
        <v>117.36800000000001</v>
      </c>
      <c r="N1697">
        <v>17.66</v>
      </c>
      <c r="O1697">
        <v>1647</v>
      </c>
      <c r="P1697">
        <v>353</v>
      </c>
      <c r="Q1697" s="5" t="e">
        <f>IF(AND(#REF!&gt;=table!$C$6,#REF!&lt;= table!$D$6),-1,IF(AND(#REF!&gt;=table!$E$6,#REF!&lt;=table!$F$6),1,0))</f>
        <v>#REF!</v>
      </c>
      <c r="R1697" s="5" t="e">
        <f>IF(AND(#REF!&gt;=table!$C$7,#REF!&lt;= table!$D$7),-1,IF(AND(#REF!&gt;=table!$E$7,#REF!&lt;=table!$F$7),1,0))</f>
        <v>#REF!</v>
      </c>
      <c r="S1697" s="5" t="e">
        <f>IF(AND(#REF!&gt;=table!$C$8,#REF!&lt;= table!$D$8),-1,IF(AND(#REF!&gt;=table!$E$8,#REF!&lt;=table!$F$8),1,0))</f>
        <v>#REF!</v>
      </c>
      <c r="T1697" s="5"/>
      <c r="U1697" s="5" t="e">
        <f>IF(AND(#REF!&gt;=table!$C$10,#REF!&lt;= table!$D$10),-1,IF(AND(#REF!&gt;=table!$E$10,#REF!&lt;=table!$F$10),1,0))</f>
        <v>#REF!</v>
      </c>
      <c r="V1697" s="5" t="e">
        <f>IF(AND(#REF!&gt;=table!$C$11,#REF!&lt;= table!$D$11),-1,IF(AND(#REF!&gt;=table!$E$11,#REF!&lt;=table!$F$11),1,0))</f>
        <v>#REF!</v>
      </c>
      <c r="W1697" s="5" t="e">
        <f>CONCATENATE(dados[[#This Row],[fator1]],dados[[#This Row],[fator5]],dados[[#This Row],[fator6]])</f>
        <v>#REF!</v>
      </c>
    </row>
    <row r="1698" spans="1:23">
      <c r="A1698" t="s">
        <v>17</v>
      </c>
      <c r="B1698">
        <v>485885</v>
      </c>
      <c r="C1698">
        <v>16</v>
      </c>
      <c r="D1698">
        <v>30</v>
      </c>
      <c r="E1698">
        <v>106</v>
      </c>
      <c r="F1698">
        <v>9</v>
      </c>
      <c r="G1698">
        <v>20</v>
      </c>
      <c r="H1698">
        <v>25</v>
      </c>
      <c r="I1698">
        <v>59</v>
      </c>
      <c r="J1698">
        <v>0</v>
      </c>
      <c r="K1698">
        <v>7.4375</v>
      </c>
      <c r="L1698">
        <v>7.819</v>
      </c>
      <c r="M1698">
        <v>94.974500000000006</v>
      </c>
      <c r="N1698">
        <v>16.914999999999999</v>
      </c>
      <c r="O1698">
        <v>1659</v>
      </c>
      <c r="P1698">
        <v>0</v>
      </c>
      <c r="Q1698" s="5" t="e">
        <f>IF(AND(#REF!&gt;=table!$C$6,#REF!&lt;= table!$D$6),-1,IF(AND(#REF!&gt;=table!$E$6,#REF!&lt;=table!$F$6),1,0))</f>
        <v>#REF!</v>
      </c>
      <c r="R1698" s="5" t="e">
        <f>IF(AND(#REF!&gt;=table!$C$7,#REF!&lt;= table!$D$7),-1,IF(AND(#REF!&gt;=table!$E$7,#REF!&lt;=table!$F$7),1,0))</f>
        <v>#REF!</v>
      </c>
      <c r="S1698" s="5" t="e">
        <f>IF(AND(#REF!&gt;=table!$C$8,#REF!&lt;= table!$D$8),-1,IF(AND(#REF!&gt;=table!$E$8,#REF!&lt;=table!$F$8),1,0))</f>
        <v>#REF!</v>
      </c>
      <c r="T1698" s="5"/>
      <c r="U1698" s="5" t="e">
        <f>IF(AND(#REF!&gt;=table!$C$10,#REF!&lt;= table!$D$10),-1,IF(AND(#REF!&gt;=table!$E$10,#REF!&lt;=table!$F$10),1,0))</f>
        <v>#REF!</v>
      </c>
      <c r="V1698" s="5" t="e">
        <f>IF(AND(#REF!&gt;=table!$C$11,#REF!&lt;= table!$D$11),-1,IF(AND(#REF!&gt;=table!$E$11,#REF!&lt;=table!$F$11),1,0))</f>
        <v>#REF!</v>
      </c>
      <c r="W1698" s="5" t="e">
        <f>CONCATENATE(dados[[#This Row],[fator1]],dados[[#This Row],[fator5]],dados[[#This Row],[fator6]])</f>
        <v>#REF!</v>
      </c>
    </row>
    <row r="1699" spans="1:23">
      <c r="A1699" t="s">
        <v>17</v>
      </c>
      <c r="B1699">
        <v>485886</v>
      </c>
      <c r="C1699">
        <v>16</v>
      </c>
      <c r="D1699">
        <v>30</v>
      </c>
      <c r="E1699">
        <v>116</v>
      </c>
      <c r="F1699">
        <v>6</v>
      </c>
      <c r="G1699">
        <v>20</v>
      </c>
      <c r="H1699">
        <v>25</v>
      </c>
      <c r="I1699">
        <v>2</v>
      </c>
      <c r="J1699">
        <v>950</v>
      </c>
      <c r="K1699">
        <v>5.4965000000000002</v>
      </c>
      <c r="L1699">
        <v>17.738500000000002</v>
      </c>
      <c r="M1699">
        <v>105.971</v>
      </c>
      <c r="N1699">
        <v>23.82</v>
      </c>
      <c r="O1699">
        <v>1665</v>
      </c>
      <c r="P1699">
        <v>0</v>
      </c>
      <c r="Q1699" s="5" t="e">
        <f>IF(AND(#REF!&gt;=table!$C$6,#REF!&lt;= table!$D$6),-1,IF(AND(#REF!&gt;=table!$E$6,#REF!&lt;=table!$F$6),1,0))</f>
        <v>#REF!</v>
      </c>
      <c r="R1699" s="5" t="e">
        <f>IF(AND(#REF!&gt;=table!$C$7,#REF!&lt;= table!$D$7),-1,IF(AND(#REF!&gt;=table!$E$7,#REF!&lt;=table!$F$7),1,0))</f>
        <v>#REF!</v>
      </c>
      <c r="S1699" s="5" t="e">
        <f>IF(AND(#REF!&gt;=table!$C$8,#REF!&lt;= table!$D$8),-1,IF(AND(#REF!&gt;=table!$E$8,#REF!&lt;=table!$F$8),1,0))</f>
        <v>#REF!</v>
      </c>
      <c r="T1699" s="5"/>
      <c r="U1699" s="5" t="e">
        <f>IF(AND(#REF!&gt;=table!$C$10,#REF!&lt;= table!$D$10),-1,IF(AND(#REF!&gt;=table!$E$10,#REF!&lt;=table!$F$10),1,0))</f>
        <v>#REF!</v>
      </c>
      <c r="V1699" s="5" t="e">
        <f>IF(AND(#REF!&gt;=table!$C$11,#REF!&lt;= table!$D$11),-1,IF(AND(#REF!&gt;=table!$E$11,#REF!&lt;=table!$F$11),1,0))</f>
        <v>#REF!</v>
      </c>
      <c r="W1699" s="5" t="e">
        <f>CONCATENATE(dados[[#This Row],[fator1]],dados[[#This Row],[fator5]],dados[[#This Row],[fator6]])</f>
        <v>#REF!</v>
      </c>
    </row>
    <row r="1700" spans="1:23">
      <c r="A1700" t="s">
        <v>17</v>
      </c>
      <c r="B1700">
        <v>485887</v>
      </c>
      <c r="C1700">
        <v>16</v>
      </c>
      <c r="D1700">
        <v>30</v>
      </c>
      <c r="E1700">
        <v>106</v>
      </c>
      <c r="F1700">
        <v>9</v>
      </c>
      <c r="G1700">
        <v>20</v>
      </c>
      <c r="H1700">
        <v>25</v>
      </c>
      <c r="I1700">
        <v>1501</v>
      </c>
      <c r="J1700">
        <v>0</v>
      </c>
      <c r="K1700">
        <v>4.734</v>
      </c>
      <c r="L1700">
        <v>19.324000000000002</v>
      </c>
      <c r="M1700">
        <v>62.426000000000002</v>
      </c>
      <c r="N1700">
        <v>24.02</v>
      </c>
      <c r="O1700">
        <v>1695</v>
      </c>
      <c r="P1700">
        <v>815</v>
      </c>
      <c r="Q1700" s="5" t="e">
        <f>IF(AND(#REF!&gt;=table!$C$6,#REF!&lt;= table!$D$6),-1,IF(AND(#REF!&gt;=table!$E$6,#REF!&lt;=table!$F$6),1,0))</f>
        <v>#REF!</v>
      </c>
      <c r="R1700" s="5" t="e">
        <f>IF(AND(#REF!&gt;=table!$C$7,#REF!&lt;= table!$D$7),-1,IF(AND(#REF!&gt;=table!$E$7,#REF!&lt;=table!$F$7),1,0))</f>
        <v>#REF!</v>
      </c>
      <c r="S1700" s="5" t="e">
        <f>IF(AND(#REF!&gt;=table!$C$8,#REF!&lt;= table!$D$8),-1,IF(AND(#REF!&gt;=table!$E$8,#REF!&lt;=table!$F$8),1,0))</f>
        <v>#REF!</v>
      </c>
      <c r="T1700" s="5"/>
      <c r="U1700" s="5" t="e">
        <f>IF(AND(#REF!&gt;=table!$C$10,#REF!&lt;= table!$D$10),-1,IF(AND(#REF!&gt;=table!$E$10,#REF!&lt;=table!$F$10),1,0))</f>
        <v>#REF!</v>
      </c>
      <c r="V1700" s="5" t="e">
        <f>IF(AND(#REF!&gt;=table!$C$11,#REF!&lt;= table!$D$11),-1,IF(AND(#REF!&gt;=table!$E$11,#REF!&lt;=table!$F$11),1,0))</f>
        <v>#REF!</v>
      </c>
      <c r="W1700" s="5" t="e">
        <f>CONCATENATE(dados[[#This Row],[fator1]],dados[[#This Row],[fator5]],dados[[#This Row],[fator6]])</f>
        <v>#REF!</v>
      </c>
    </row>
    <row r="1701" spans="1:23">
      <c r="A1701" t="s">
        <v>16</v>
      </c>
      <c r="B1701">
        <v>485888</v>
      </c>
      <c r="C1701">
        <v>10</v>
      </c>
      <c r="D1701">
        <v>40</v>
      </c>
      <c r="E1701">
        <v>136</v>
      </c>
      <c r="F1701">
        <v>6</v>
      </c>
      <c r="G1701">
        <v>0</v>
      </c>
      <c r="H1701">
        <v>25</v>
      </c>
      <c r="I1701">
        <v>1357</v>
      </c>
      <c r="J1701">
        <v>960</v>
      </c>
      <c r="K1701">
        <v>11.858000000000001</v>
      </c>
      <c r="L1701">
        <v>20.346</v>
      </c>
      <c r="M1701">
        <v>125.235</v>
      </c>
      <c r="N1701">
        <v>13.870000000000001</v>
      </c>
      <c r="O1701">
        <v>1662</v>
      </c>
      <c r="P1701">
        <v>340</v>
      </c>
      <c r="Q1701" s="5" t="e">
        <f>IF(AND(#REF!&gt;=table!$C$6,#REF!&lt;= table!$D$6),-1,IF(AND(#REF!&gt;=table!$E$6,#REF!&lt;=table!$F$6),1,0))</f>
        <v>#REF!</v>
      </c>
      <c r="R1701" s="5" t="e">
        <f>IF(AND(#REF!&gt;=table!$C$7,#REF!&lt;= table!$D$7),-1,IF(AND(#REF!&gt;=table!$E$7,#REF!&lt;=table!$F$7),1,0))</f>
        <v>#REF!</v>
      </c>
      <c r="S1701" s="5" t="e">
        <f>IF(AND(#REF!&gt;=table!$C$8,#REF!&lt;= table!$D$8),-1,IF(AND(#REF!&gt;=table!$E$8,#REF!&lt;=table!$F$8),1,0))</f>
        <v>#REF!</v>
      </c>
      <c r="T1701" s="5"/>
      <c r="U1701" s="5" t="e">
        <f>IF(AND(#REF!&gt;=table!$C$10,#REF!&lt;= table!$D$10),-1,IF(AND(#REF!&gt;=table!$E$10,#REF!&lt;=table!$F$10),1,0))</f>
        <v>#REF!</v>
      </c>
      <c r="V1701" s="5" t="e">
        <f>IF(AND(#REF!&gt;=table!$C$11,#REF!&lt;= table!$D$11),-1,IF(AND(#REF!&gt;=table!$E$11,#REF!&lt;=table!$F$11),1,0))</f>
        <v>#REF!</v>
      </c>
      <c r="W1701" s="5" t="e">
        <f>CONCATENATE(dados[[#This Row],[fator1]],dados[[#This Row],[fator5]],dados[[#This Row],[fator6]])</f>
        <v>#REF!</v>
      </c>
    </row>
    <row r="1702" spans="1:23">
      <c r="A1702" t="s">
        <v>16</v>
      </c>
      <c r="B1702">
        <v>485889</v>
      </c>
      <c r="C1702">
        <v>0.15</v>
      </c>
      <c r="D1702">
        <v>35</v>
      </c>
      <c r="E1702">
        <v>15</v>
      </c>
      <c r="F1702">
        <v>10</v>
      </c>
      <c r="G1702">
        <v>0</v>
      </c>
      <c r="H1702">
        <v>12</v>
      </c>
      <c r="I1702">
        <v>48</v>
      </c>
      <c r="J1702">
        <v>0</v>
      </c>
      <c r="K1702">
        <v>8.636000000000001</v>
      </c>
      <c r="L1702">
        <v>14.197000000000001</v>
      </c>
      <c r="M1702">
        <v>12.012</v>
      </c>
      <c r="N1702">
        <v>14.075000000000001</v>
      </c>
      <c r="O1702">
        <v>1694</v>
      </c>
      <c r="P1702">
        <v>567</v>
      </c>
      <c r="Q1702" s="5" t="e">
        <f>IF(AND(#REF!&gt;=table!$C$6,#REF!&lt;= table!$D$6),-1,IF(AND(#REF!&gt;=table!$E$6,#REF!&lt;=table!$F$6),1,0))</f>
        <v>#REF!</v>
      </c>
      <c r="R1702" s="5" t="e">
        <f>IF(AND(#REF!&gt;=table!$C$7,#REF!&lt;= table!$D$7),-1,IF(AND(#REF!&gt;=table!$E$7,#REF!&lt;=table!$F$7),1,0))</f>
        <v>#REF!</v>
      </c>
      <c r="S1702" s="5" t="e">
        <f>IF(AND(#REF!&gt;=table!$C$8,#REF!&lt;= table!$D$8),-1,IF(AND(#REF!&gt;=table!$E$8,#REF!&lt;=table!$F$8),1,0))</f>
        <v>#REF!</v>
      </c>
      <c r="T1702" s="5"/>
      <c r="U1702" s="5" t="e">
        <f>IF(AND(#REF!&gt;=table!$C$10,#REF!&lt;= table!$D$10),-1,IF(AND(#REF!&gt;=table!$E$10,#REF!&lt;=table!$F$10),1,0))</f>
        <v>#REF!</v>
      </c>
      <c r="V1702" s="5" t="e">
        <f>IF(AND(#REF!&gt;=table!$C$11,#REF!&lt;= table!$D$11),-1,IF(AND(#REF!&gt;=table!$E$11,#REF!&lt;=table!$F$11),1,0))</f>
        <v>#REF!</v>
      </c>
      <c r="W1702" s="5" t="e">
        <f>CONCATENATE(dados[[#This Row],[fator1]],dados[[#This Row],[fator5]],dados[[#This Row],[fator6]])</f>
        <v>#REF!</v>
      </c>
    </row>
    <row r="1703" spans="1:23">
      <c r="A1703" t="s">
        <v>16</v>
      </c>
      <c r="B1703">
        <v>485890</v>
      </c>
      <c r="C1703">
        <v>0.15</v>
      </c>
      <c r="D1703">
        <v>35</v>
      </c>
      <c r="E1703">
        <v>15</v>
      </c>
      <c r="F1703">
        <v>10</v>
      </c>
      <c r="G1703">
        <v>0</v>
      </c>
      <c r="H1703">
        <v>12</v>
      </c>
      <c r="I1703">
        <v>112</v>
      </c>
      <c r="J1703">
        <v>0</v>
      </c>
      <c r="K1703">
        <v>5.3020000000000005</v>
      </c>
      <c r="L1703">
        <v>9.0495000000000001</v>
      </c>
      <c r="M1703">
        <v>8.870000000000001</v>
      </c>
      <c r="N1703">
        <v>9.6650000000000009</v>
      </c>
      <c r="O1703">
        <v>1672</v>
      </c>
      <c r="P1703">
        <v>609</v>
      </c>
      <c r="Q1703" s="5" t="e">
        <f>IF(AND(#REF!&gt;=table!$C$6,#REF!&lt;= table!$D$6),-1,IF(AND(#REF!&gt;=table!$E$6,#REF!&lt;=table!$F$6),1,0))</f>
        <v>#REF!</v>
      </c>
      <c r="R1703" s="5" t="e">
        <f>IF(AND(#REF!&gt;=table!$C$7,#REF!&lt;= table!$D$7),-1,IF(AND(#REF!&gt;=table!$E$7,#REF!&lt;=table!$F$7),1,0))</f>
        <v>#REF!</v>
      </c>
      <c r="S1703" s="5" t="e">
        <f>IF(AND(#REF!&gt;=table!$C$8,#REF!&lt;= table!$D$8),-1,IF(AND(#REF!&gt;=table!$E$8,#REF!&lt;=table!$F$8),1,0))</f>
        <v>#REF!</v>
      </c>
      <c r="T1703" s="5"/>
      <c r="U1703" s="5" t="e">
        <f>IF(AND(#REF!&gt;=table!$C$10,#REF!&lt;= table!$D$10),-1,IF(AND(#REF!&gt;=table!$E$10,#REF!&lt;=table!$F$10),1,0))</f>
        <v>#REF!</v>
      </c>
      <c r="V1703" s="5" t="e">
        <f>IF(AND(#REF!&gt;=table!$C$11,#REF!&lt;= table!$D$11),-1,IF(AND(#REF!&gt;=table!$E$11,#REF!&lt;=table!$F$11),1,0))</f>
        <v>#REF!</v>
      </c>
      <c r="W1703" s="5" t="e">
        <f>CONCATENATE(dados[[#This Row],[fator1]],dados[[#This Row],[fator5]],dados[[#This Row],[fator6]])</f>
        <v>#REF!</v>
      </c>
    </row>
    <row r="1704" spans="1:23">
      <c r="A1704" t="s">
        <v>16</v>
      </c>
      <c r="B1704">
        <v>485893</v>
      </c>
      <c r="C1704">
        <v>0.15</v>
      </c>
      <c r="D1704">
        <v>35</v>
      </c>
      <c r="E1704">
        <v>15</v>
      </c>
      <c r="F1704">
        <v>10</v>
      </c>
      <c r="G1704">
        <v>0</v>
      </c>
      <c r="H1704">
        <v>12</v>
      </c>
      <c r="I1704">
        <v>1248</v>
      </c>
      <c r="J1704">
        <v>0</v>
      </c>
      <c r="K1704">
        <v>2.6635</v>
      </c>
      <c r="L1704">
        <v>3.4040000000000004</v>
      </c>
      <c r="M1704">
        <v>3.331</v>
      </c>
      <c r="N1704">
        <v>12.52</v>
      </c>
      <c r="O1704">
        <v>1674</v>
      </c>
      <c r="P1704">
        <v>0</v>
      </c>
      <c r="Q1704" s="5" t="e">
        <f>IF(AND(#REF!&gt;=table!$C$6,#REF!&lt;= table!$D$6),-1,IF(AND(#REF!&gt;=table!$E$6,#REF!&lt;=table!$F$6),1,0))</f>
        <v>#REF!</v>
      </c>
      <c r="R1704" s="5" t="e">
        <f>IF(AND(#REF!&gt;=table!$C$7,#REF!&lt;= table!$D$7),-1,IF(AND(#REF!&gt;=table!$E$7,#REF!&lt;=table!$F$7),1,0))</f>
        <v>#REF!</v>
      </c>
      <c r="S1704" s="5" t="e">
        <f>IF(AND(#REF!&gt;=table!$C$8,#REF!&lt;= table!$D$8),-1,IF(AND(#REF!&gt;=table!$E$8,#REF!&lt;=table!$F$8),1,0))</f>
        <v>#REF!</v>
      </c>
      <c r="T1704" s="5"/>
      <c r="U1704" s="5" t="e">
        <f>IF(AND(#REF!&gt;=table!$C$10,#REF!&lt;= table!$D$10),-1,IF(AND(#REF!&gt;=table!$E$10,#REF!&lt;=table!$F$10),1,0))</f>
        <v>#REF!</v>
      </c>
      <c r="V1704" s="5" t="e">
        <f>IF(AND(#REF!&gt;=table!$C$11,#REF!&lt;= table!$D$11),-1,IF(AND(#REF!&gt;=table!$E$11,#REF!&lt;=table!$F$11),1,0))</f>
        <v>#REF!</v>
      </c>
      <c r="W1704" s="5" t="e">
        <f>CONCATENATE(dados[[#This Row],[fator1]],dados[[#This Row],[fator5]],dados[[#This Row],[fator6]])</f>
        <v>#REF!</v>
      </c>
    </row>
    <row r="1705" spans="1:23">
      <c r="A1705" t="s">
        <v>16</v>
      </c>
      <c r="B1705">
        <v>485894</v>
      </c>
      <c r="C1705">
        <v>10</v>
      </c>
      <c r="D1705">
        <v>40</v>
      </c>
      <c r="E1705">
        <v>136</v>
      </c>
      <c r="F1705">
        <v>6</v>
      </c>
      <c r="G1705">
        <v>0</v>
      </c>
      <c r="H1705">
        <v>25</v>
      </c>
      <c r="I1705">
        <v>1409</v>
      </c>
      <c r="J1705">
        <v>0</v>
      </c>
      <c r="K1705">
        <v>2.4855</v>
      </c>
      <c r="L1705">
        <v>3.9730000000000003</v>
      </c>
      <c r="M1705">
        <v>111.72800000000001</v>
      </c>
      <c r="N1705">
        <v>12.505000000000001</v>
      </c>
      <c r="O1705">
        <v>1690</v>
      </c>
      <c r="P1705">
        <v>0</v>
      </c>
      <c r="Q1705" s="5" t="e">
        <f>IF(AND(#REF!&gt;=table!$C$6,#REF!&lt;= table!$D$6),-1,IF(AND(#REF!&gt;=table!$E$6,#REF!&lt;=table!$F$6),1,0))</f>
        <v>#REF!</v>
      </c>
      <c r="R1705" s="5" t="e">
        <f>IF(AND(#REF!&gt;=table!$C$7,#REF!&lt;= table!$D$7),-1,IF(AND(#REF!&gt;=table!$E$7,#REF!&lt;=table!$F$7),1,0))</f>
        <v>#REF!</v>
      </c>
      <c r="S1705" s="5" t="e">
        <f>IF(AND(#REF!&gt;=table!$C$8,#REF!&lt;= table!$D$8),-1,IF(AND(#REF!&gt;=table!$E$8,#REF!&lt;=table!$F$8),1,0))</f>
        <v>#REF!</v>
      </c>
      <c r="T1705" s="5"/>
      <c r="U1705" s="5" t="e">
        <f>IF(AND(#REF!&gt;=table!$C$10,#REF!&lt;= table!$D$10),-1,IF(AND(#REF!&gt;=table!$E$10,#REF!&lt;=table!$F$10),1,0))</f>
        <v>#REF!</v>
      </c>
      <c r="V1705" s="5" t="e">
        <f>IF(AND(#REF!&gt;=table!$C$11,#REF!&lt;= table!$D$11),-1,IF(AND(#REF!&gt;=table!$E$11,#REF!&lt;=table!$F$11),1,0))</f>
        <v>#REF!</v>
      </c>
      <c r="W1705" s="5" t="e">
        <f>CONCATENATE(dados[[#This Row],[fator1]],dados[[#This Row],[fator5]],dados[[#This Row],[fator6]])</f>
        <v>#REF!</v>
      </c>
    </row>
    <row r="1706" spans="1:23">
      <c r="A1706" t="s">
        <v>17</v>
      </c>
      <c r="B1706">
        <v>485898</v>
      </c>
      <c r="C1706">
        <v>15</v>
      </c>
      <c r="D1706">
        <v>35</v>
      </c>
      <c r="E1706">
        <v>120</v>
      </c>
      <c r="F1706">
        <v>4</v>
      </c>
      <c r="G1706">
        <v>15</v>
      </c>
      <c r="H1706">
        <v>20</v>
      </c>
      <c r="I1706">
        <v>653</v>
      </c>
      <c r="J1706">
        <v>0</v>
      </c>
      <c r="K1706">
        <v>4.9664999999999999</v>
      </c>
      <c r="L1706">
        <v>9.6375000000000011</v>
      </c>
      <c r="M1706">
        <v>103.8695</v>
      </c>
      <c r="N1706">
        <v>16.705000000000002</v>
      </c>
      <c r="O1706">
        <v>1685</v>
      </c>
      <c r="P1706">
        <v>757</v>
      </c>
      <c r="Q1706" s="5" t="e">
        <f>IF(AND(#REF!&gt;=table!$C$6,#REF!&lt;= table!$D$6),-1,IF(AND(#REF!&gt;=table!$E$6,#REF!&lt;=table!$F$6),1,0))</f>
        <v>#REF!</v>
      </c>
      <c r="R1706" s="5" t="e">
        <f>IF(AND(#REF!&gt;=table!$C$7,#REF!&lt;= table!$D$7),-1,IF(AND(#REF!&gt;=table!$E$7,#REF!&lt;=table!$F$7),1,0))</f>
        <v>#REF!</v>
      </c>
      <c r="S1706" s="5" t="e">
        <f>IF(AND(#REF!&gt;=table!$C$8,#REF!&lt;= table!$D$8),-1,IF(AND(#REF!&gt;=table!$E$8,#REF!&lt;=table!$F$8),1,0))</f>
        <v>#REF!</v>
      </c>
      <c r="T1706" s="5"/>
      <c r="U1706" s="5" t="e">
        <f>IF(AND(#REF!&gt;=table!$C$10,#REF!&lt;= table!$D$10),-1,IF(AND(#REF!&gt;=table!$E$10,#REF!&lt;=table!$F$10),1,0))</f>
        <v>#REF!</v>
      </c>
      <c r="V1706" s="5" t="e">
        <f>IF(AND(#REF!&gt;=table!$C$11,#REF!&lt;= table!$D$11),-1,IF(AND(#REF!&gt;=table!$E$11,#REF!&lt;=table!$F$11),1,0))</f>
        <v>#REF!</v>
      </c>
      <c r="W1706" s="5" t="e">
        <f>CONCATENATE(dados[[#This Row],[fator1]],dados[[#This Row],[fator5]],dados[[#This Row],[fator6]])</f>
        <v>#REF!</v>
      </c>
    </row>
    <row r="1707" spans="1:23">
      <c r="A1707" t="s">
        <v>16</v>
      </c>
      <c r="B1707">
        <v>485900</v>
      </c>
      <c r="C1707">
        <v>0.1</v>
      </c>
      <c r="D1707">
        <v>40</v>
      </c>
      <c r="E1707">
        <v>10</v>
      </c>
      <c r="F1707">
        <v>8</v>
      </c>
      <c r="G1707">
        <v>0</v>
      </c>
      <c r="H1707">
        <v>10</v>
      </c>
      <c r="I1707">
        <v>1710</v>
      </c>
      <c r="J1707">
        <v>940</v>
      </c>
      <c r="K1707">
        <v>4.1795</v>
      </c>
      <c r="L1707">
        <v>8.8629999999999995</v>
      </c>
      <c r="M1707">
        <v>3.903</v>
      </c>
      <c r="N1707">
        <v>5.585</v>
      </c>
      <c r="O1707">
        <v>1619</v>
      </c>
      <c r="P1707">
        <v>384</v>
      </c>
      <c r="Q1707" s="5" t="e">
        <f>IF(AND(#REF!&gt;=table!$C$6,#REF!&lt;= table!$D$6),-1,IF(AND(#REF!&gt;=table!$E$6,#REF!&lt;=table!$F$6),1,0))</f>
        <v>#REF!</v>
      </c>
      <c r="R1707" s="5" t="e">
        <f>IF(AND(#REF!&gt;=table!$C$7,#REF!&lt;= table!$D$7),-1,IF(AND(#REF!&gt;=table!$E$7,#REF!&lt;=table!$F$7),1,0))</f>
        <v>#REF!</v>
      </c>
      <c r="S1707" s="5" t="e">
        <f>IF(AND(#REF!&gt;=table!$C$8,#REF!&lt;= table!$D$8),-1,IF(AND(#REF!&gt;=table!$E$8,#REF!&lt;=table!$F$8),1,0))</f>
        <v>#REF!</v>
      </c>
      <c r="T1707" s="5"/>
      <c r="U1707" s="5" t="e">
        <f>IF(AND(#REF!&gt;=table!$C$10,#REF!&lt;= table!$D$10),-1,IF(AND(#REF!&gt;=table!$E$10,#REF!&lt;=table!$F$10),1,0))</f>
        <v>#REF!</v>
      </c>
      <c r="V1707" s="5" t="e">
        <f>IF(AND(#REF!&gt;=table!$C$11,#REF!&lt;= table!$D$11),-1,IF(AND(#REF!&gt;=table!$E$11,#REF!&lt;=table!$F$11),1,0))</f>
        <v>#REF!</v>
      </c>
      <c r="W1707" s="5" t="e">
        <f>CONCATENATE(dados[[#This Row],[fator1]],dados[[#This Row],[fator5]],dados[[#This Row],[fator6]])</f>
        <v>#REF!</v>
      </c>
    </row>
    <row r="1708" spans="1:23">
      <c r="A1708" t="s">
        <v>16</v>
      </c>
      <c r="B1708">
        <v>485905</v>
      </c>
      <c r="C1708">
        <v>3</v>
      </c>
      <c r="D1708">
        <v>30</v>
      </c>
      <c r="E1708">
        <v>21</v>
      </c>
      <c r="F1708">
        <v>15</v>
      </c>
      <c r="G1708">
        <v>0</v>
      </c>
      <c r="H1708">
        <v>25</v>
      </c>
      <c r="I1708">
        <v>1328</v>
      </c>
      <c r="J1708">
        <v>0</v>
      </c>
      <c r="K1708">
        <v>5.1005000000000003</v>
      </c>
      <c r="L1708">
        <v>10.453000000000001</v>
      </c>
      <c r="M1708">
        <v>8.7889999999999997</v>
      </c>
      <c r="N1708">
        <v>14.44</v>
      </c>
      <c r="O1708">
        <v>1675</v>
      </c>
      <c r="P1708">
        <v>484</v>
      </c>
      <c r="Q1708" s="5" t="e">
        <f>IF(AND(#REF!&gt;=table!$C$6,#REF!&lt;= table!$D$6),-1,IF(AND(#REF!&gt;=table!$E$6,#REF!&lt;=table!$F$6),1,0))</f>
        <v>#REF!</v>
      </c>
      <c r="R1708" s="5" t="e">
        <f>IF(AND(#REF!&gt;=table!$C$7,#REF!&lt;= table!$D$7),-1,IF(AND(#REF!&gt;=table!$E$7,#REF!&lt;=table!$F$7),1,0))</f>
        <v>#REF!</v>
      </c>
      <c r="S1708" s="5" t="e">
        <f>IF(AND(#REF!&gt;=table!$C$8,#REF!&lt;= table!$D$8),-1,IF(AND(#REF!&gt;=table!$E$8,#REF!&lt;=table!$F$8),1,0))</f>
        <v>#REF!</v>
      </c>
      <c r="T1708" s="5"/>
      <c r="U1708" s="5" t="e">
        <f>IF(AND(#REF!&gt;=table!$C$10,#REF!&lt;= table!$D$10),-1,IF(AND(#REF!&gt;=table!$E$10,#REF!&lt;=table!$F$10),1,0))</f>
        <v>#REF!</v>
      </c>
      <c r="V1708" s="5" t="e">
        <f>IF(AND(#REF!&gt;=table!$C$11,#REF!&lt;= table!$D$11),-1,IF(AND(#REF!&gt;=table!$E$11,#REF!&lt;=table!$F$11),1,0))</f>
        <v>#REF!</v>
      </c>
      <c r="W1708" s="5" t="e">
        <f>CONCATENATE(dados[[#This Row],[fator1]],dados[[#This Row],[fator5]],dados[[#This Row],[fator6]])</f>
        <v>#REF!</v>
      </c>
    </row>
    <row r="1709" spans="1:23">
      <c r="A1709" t="s">
        <v>16</v>
      </c>
      <c r="B1709">
        <v>485906</v>
      </c>
      <c r="C1709">
        <v>0.15</v>
      </c>
      <c r="D1709">
        <v>40</v>
      </c>
      <c r="E1709">
        <v>10</v>
      </c>
      <c r="F1709">
        <v>15</v>
      </c>
      <c r="G1709">
        <v>0</v>
      </c>
      <c r="H1709">
        <v>15</v>
      </c>
      <c r="I1709">
        <v>1222</v>
      </c>
      <c r="J1709">
        <v>0</v>
      </c>
      <c r="K1709">
        <v>4.7705000000000002</v>
      </c>
      <c r="L1709">
        <v>8.4965000000000011</v>
      </c>
      <c r="M1709">
        <v>7.8820000000000006</v>
      </c>
      <c r="N1709">
        <v>12.045</v>
      </c>
      <c r="O1709">
        <v>1669</v>
      </c>
      <c r="P1709">
        <v>764</v>
      </c>
      <c r="Q1709" s="5" t="e">
        <f>IF(AND(#REF!&gt;=table!$C$6,#REF!&lt;= table!$D$6),-1,IF(AND(#REF!&gt;=table!$E$6,#REF!&lt;=table!$F$6),1,0))</f>
        <v>#REF!</v>
      </c>
      <c r="R1709" s="5" t="e">
        <f>IF(AND(#REF!&gt;=table!$C$7,#REF!&lt;= table!$D$7),-1,IF(AND(#REF!&gt;=table!$E$7,#REF!&lt;=table!$F$7),1,0))</f>
        <v>#REF!</v>
      </c>
      <c r="S1709" s="5" t="e">
        <f>IF(AND(#REF!&gt;=table!$C$8,#REF!&lt;= table!$D$8),-1,IF(AND(#REF!&gt;=table!$E$8,#REF!&lt;=table!$F$8),1,0))</f>
        <v>#REF!</v>
      </c>
      <c r="T1709" s="5"/>
      <c r="U1709" s="5" t="e">
        <f>IF(AND(#REF!&gt;=table!$C$10,#REF!&lt;= table!$D$10),-1,IF(AND(#REF!&gt;=table!$E$10,#REF!&lt;=table!$F$10),1,0))</f>
        <v>#REF!</v>
      </c>
      <c r="V1709" s="5" t="e">
        <f>IF(AND(#REF!&gt;=table!$C$11,#REF!&lt;= table!$D$11),-1,IF(AND(#REF!&gt;=table!$E$11,#REF!&lt;=table!$F$11),1,0))</f>
        <v>#REF!</v>
      </c>
      <c r="W1709" s="5" t="e">
        <f>CONCATENATE(dados[[#This Row],[fator1]],dados[[#This Row],[fator5]],dados[[#This Row],[fator6]])</f>
        <v>#REF!</v>
      </c>
    </row>
    <row r="1710" spans="1:23">
      <c r="A1710" t="s">
        <v>16</v>
      </c>
      <c r="B1710">
        <v>485908</v>
      </c>
      <c r="C1710">
        <v>0.15</v>
      </c>
      <c r="D1710">
        <v>40</v>
      </c>
      <c r="E1710">
        <v>10</v>
      </c>
      <c r="F1710">
        <v>15</v>
      </c>
      <c r="G1710">
        <v>0</v>
      </c>
      <c r="H1710">
        <v>15</v>
      </c>
      <c r="I1710">
        <v>903</v>
      </c>
      <c r="J1710">
        <v>650</v>
      </c>
      <c r="K1710">
        <v>12.646000000000001</v>
      </c>
      <c r="L1710">
        <v>13.662000000000001</v>
      </c>
      <c r="M1710">
        <v>8.6204999999999998</v>
      </c>
      <c r="N1710">
        <v>8.41</v>
      </c>
      <c r="O1710">
        <v>1668</v>
      </c>
      <c r="P1710">
        <v>340</v>
      </c>
      <c r="Q1710" s="5" t="e">
        <f>IF(AND(#REF!&gt;=table!$C$6,#REF!&lt;= table!$D$6),-1,IF(AND(#REF!&gt;=table!$E$6,#REF!&lt;=table!$F$6),1,0))</f>
        <v>#REF!</v>
      </c>
      <c r="R1710" s="5" t="e">
        <f>IF(AND(#REF!&gt;=table!$C$7,#REF!&lt;= table!$D$7),-1,IF(AND(#REF!&gt;=table!$E$7,#REF!&lt;=table!$F$7),1,0))</f>
        <v>#REF!</v>
      </c>
      <c r="S1710" s="5" t="e">
        <f>IF(AND(#REF!&gt;=table!$C$8,#REF!&lt;= table!$D$8),-1,IF(AND(#REF!&gt;=table!$E$8,#REF!&lt;=table!$F$8),1,0))</f>
        <v>#REF!</v>
      </c>
      <c r="T1710" s="5"/>
      <c r="U1710" s="5" t="e">
        <f>IF(AND(#REF!&gt;=table!$C$10,#REF!&lt;= table!$D$10),-1,IF(AND(#REF!&gt;=table!$E$10,#REF!&lt;=table!$F$10),1,0))</f>
        <v>#REF!</v>
      </c>
      <c r="V1710" s="5" t="e">
        <f>IF(AND(#REF!&gt;=table!$C$11,#REF!&lt;= table!$D$11),-1,IF(AND(#REF!&gt;=table!$E$11,#REF!&lt;=table!$F$11),1,0))</f>
        <v>#REF!</v>
      </c>
      <c r="W1710" s="5" t="e">
        <f>CONCATENATE(dados[[#This Row],[fator1]],dados[[#This Row],[fator5]],dados[[#This Row],[fator6]])</f>
        <v>#REF!</v>
      </c>
    </row>
    <row r="1711" spans="1:23">
      <c r="A1711" t="s">
        <v>16</v>
      </c>
      <c r="B1711">
        <v>485909</v>
      </c>
      <c r="C1711">
        <v>0.15</v>
      </c>
      <c r="D1711">
        <v>40</v>
      </c>
      <c r="E1711">
        <v>10</v>
      </c>
      <c r="F1711">
        <v>15</v>
      </c>
      <c r="G1711">
        <v>0</v>
      </c>
      <c r="H1711">
        <v>15</v>
      </c>
      <c r="I1711">
        <v>1521</v>
      </c>
      <c r="J1711">
        <v>0</v>
      </c>
      <c r="K1711">
        <v>5.4695</v>
      </c>
      <c r="L1711">
        <v>10.0395</v>
      </c>
      <c r="M1711">
        <v>8.1455000000000002</v>
      </c>
      <c r="N1711">
        <v>12.325000000000001</v>
      </c>
      <c r="O1711">
        <v>1694</v>
      </c>
      <c r="P1711">
        <v>762</v>
      </c>
      <c r="Q1711" s="5" t="e">
        <f>IF(AND(#REF!&gt;=table!$C$6,#REF!&lt;= table!$D$6),-1,IF(AND(#REF!&gt;=table!$E$6,#REF!&lt;=table!$F$6),1,0))</f>
        <v>#REF!</v>
      </c>
      <c r="R1711" s="5" t="e">
        <f>IF(AND(#REF!&gt;=table!$C$7,#REF!&lt;= table!$D$7),-1,IF(AND(#REF!&gt;=table!$E$7,#REF!&lt;=table!$F$7),1,0))</f>
        <v>#REF!</v>
      </c>
      <c r="S1711" s="5" t="e">
        <f>IF(AND(#REF!&gt;=table!$C$8,#REF!&lt;= table!$D$8),-1,IF(AND(#REF!&gt;=table!$E$8,#REF!&lt;=table!$F$8),1,0))</f>
        <v>#REF!</v>
      </c>
      <c r="T1711" s="5"/>
      <c r="U1711" s="5" t="e">
        <f>IF(AND(#REF!&gt;=table!$C$10,#REF!&lt;= table!$D$10),-1,IF(AND(#REF!&gt;=table!$E$10,#REF!&lt;=table!$F$10),1,0))</f>
        <v>#REF!</v>
      </c>
      <c r="V1711" s="5" t="e">
        <f>IF(AND(#REF!&gt;=table!$C$11,#REF!&lt;= table!$D$11),-1,IF(AND(#REF!&gt;=table!$E$11,#REF!&lt;=table!$F$11),1,0))</f>
        <v>#REF!</v>
      </c>
      <c r="W1711" s="5" t="e">
        <f>CONCATENATE(dados[[#This Row],[fator1]],dados[[#This Row],[fator5]],dados[[#This Row],[fator6]])</f>
        <v>#REF!</v>
      </c>
    </row>
    <row r="1712" spans="1:23">
      <c r="A1712" t="s">
        <v>16</v>
      </c>
      <c r="B1712">
        <v>485910</v>
      </c>
      <c r="C1712">
        <v>0.15</v>
      </c>
      <c r="D1712">
        <v>40</v>
      </c>
      <c r="E1712">
        <v>10</v>
      </c>
      <c r="F1712">
        <v>15</v>
      </c>
      <c r="G1712">
        <v>0</v>
      </c>
      <c r="H1712">
        <v>15</v>
      </c>
      <c r="I1712">
        <v>1473</v>
      </c>
      <c r="J1712">
        <v>0</v>
      </c>
      <c r="K1712">
        <v>5.2309999999999999</v>
      </c>
      <c r="L1712">
        <v>6.6320000000000006</v>
      </c>
      <c r="M1712">
        <v>5.9705000000000004</v>
      </c>
      <c r="N1712">
        <v>12.065000000000001</v>
      </c>
      <c r="O1712">
        <v>1688</v>
      </c>
      <c r="P1712">
        <v>900</v>
      </c>
      <c r="Q1712" s="5" t="e">
        <f>IF(AND(#REF!&gt;=table!$C$6,#REF!&lt;= table!$D$6),-1,IF(AND(#REF!&gt;=table!$E$6,#REF!&lt;=table!$F$6),1,0))</f>
        <v>#REF!</v>
      </c>
      <c r="R1712" s="5" t="e">
        <f>IF(AND(#REF!&gt;=table!$C$7,#REF!&lt;= table!$D$7),-1,IF(AND(#REF!&gt;=table!$E$7,#REF!&lt;=table!$F$7),1,0))</f>
        <v>#REF!</v>
      </c>
      <c r="S1712" s="5" t="e">
        <f>IF(AND(#REF!&gt;=table!$C$8,#REF!&lt;= table!$D$8),-1,IF(AND(#REF!&gt;=table!$E$8,#REF!&lt;=table!$F$8),1,0))</f>
        <v>#REF!</v>
      </c>
      <c r="T1712" s="5"/>
      <c r="U1712" s="5" t="e">
        <f>IF(AND(#REF!&gt;=table!$C$10,#REF!&lt;= table!$D$10),-1,IF(AND(#REF!&gt;=table!$E$10,#REF!&lt;=table!$F$10),1,0))</f>
        <v>#REF!</v>
      </c>
      <c r="V1712" s="5" t="e">
        <f>IF(AND(#REF!&gt;=table!$C$11,#REF!&lt;= table!$D$11),-1,IF(AND(#REF!&gt;=table!$E$11,#REF!&lt;=table!$F$11),1,0))</f>
        <v>#REF!</v>
      </c>
      <c r="W1712" s="5" t="e">
        <f>CONCATENATE(dados[[#This Row],[fator1]],dados[[#This Row],[fator5]],dados[[#This Row],[fator6]])</f>
        <v>#REF!</v>
      </c>
    </row>
    <row r="1713" spans="1:23">
      <c r="A1713" t="s">
        <v>16</v>
      </c>
      <c r="B1713">
        <v>485911</v>
      </c>
      <c r="C1713">
        <v>0.15</v>
      </c>
      <c r="D1713">
        <v>40</v>
      </c>
      <c r="E1713">
        <v>10</v>
      </c>
      <c r="F1713">
        <v>15</v>
      </c>
      <c r="G1713">
        <v>0</v>
      </c>
      <c r="H1713">
        <v>15</v>
      </c>
      <c r="I1713">
        <v>1123</v>
      </c>
      <c r="J1713">
        <v>0</v>
      </c>
      <c r="K1713">
        <v>5.194</v>
      </c>
      <c r="L1713">
        <v>4.6535000000000002</v>
      </c>
      <c r="M1713">
        <v>4.62</v>
      </c>
      <c r="N1713">
        <v>7.125</v>
      </c>
      <c r="O1713">
        <v>1641</v>
      </c>
      <c r="P1713">
        <v>691</v>
      </c>
      <c r="Q1713" s="5" t="e">
        <f>IF(AND(#REF!&gt;=table!$C$6,#REF!&lt;= table!$D$6),-1,IF(AND(#REF!&gt;=table!$E$6,#REF!&lt;=table!$F$6),1,0))</f>
        <v>#REF!</v>
      </c>
      <c r="R1713" s="5" t="e">
        <f>IF(AND(#REF!&gt;=table!$C$7,#REF!&lt;= table!$D$7),-1,IF(AND(#REF!&gt;=table!$E$7,#REF!&lt;=table!$F$7),1,0))</f>
        <v>#REF!</v>
      </c>
      <c r="S1713" s="5" t="e">
        <f>IF(AND(#REF!&gt;=table!$C$8,#REF!&lt;= table!$D$8),-1,IF(AND(#REF!&gt;=table!$E$8,#REF!&lt;=table!$F$8),1,0))</f>
        <v>#REF!</v>
      </c>
      <c r="T1713" s="5"/>
      <c r="U1713" s="5" t="e">
        <f>IF(AND(#REF!&gt;=table!$C$10,#REF!&lt;= table!$D$10),-1,IF(AND(#REF!&gt;=table!$E$10,#REF!&lt;=table!$F$10),1,0))</f>
        <v>#REF!</v>
      </c>
      <c r="V1713" s="5" t="e">
        <f>IF(AND(#REF!&gt;=table!$C$11,#REF!&lt;= table!$D$11),-1,IF(AND(#REF!&gt;=table!$E$11,#REF!&lt;=table!$F$11),1,0))</f>
        <v>#REF!</v>
      </c>
      <c r="W1713" s="5" t="e">
        <f>CONCATENATE(dados[[#This Row],[fator1]],dados[[#This Row],[fator5]],dados[[#This Row],[fator6]])</f>
        <v>#REF!</v>
      </c>
    </row>
    <row r="1714" spans="1:23">
      <c r="A1714" t="s">
        <v>16</v>
      </c>
      <c r="B1714">
        <v>485913</v>
      </c>
      <c r="C1714">
        <v>4</v>
      </c>
      <c r="D1714">
        <v>40</v>
      </c>
      <c r="E1714">
        <v>21</v>
      </c>
      <c r="F1714">
        <v>20</v>
      </c>
      <c r="G1714">
        <v>0</v>
      </c>
      <c r="H1714">
        <v>25</v>
      </c>
      <c r="I1714">
        <v>124</v>
      </c>
      <c r="J1714">
        <v>0</v>
      </c>
      <c r="K1714">
        <v>5.7540000000000004</v>
      </c>
      <c r="L1714">
        <v>11.8515</v>
      </c>
      <c r="M1714">
        <v>10.265500000000001</v>
      </c>
      <c r="N1714">
        <v>17.38</v>
      </c>
      <c r="O1714">
        <v>1658</v>
      </c>
      <c r="P1714">
        <v>644</v>
      </c>
      <c r="Q1714" s="5" t="e">
        <f>IF(AND(#REF!&gt;=table!$C$6,#REF!&lt;= table!$D$6),-1,IF(AND(#REF!&gt;=table!$E$6,#REF!&lt;=table!$F$6),1,0))</f>
        <v>#REF!</v>
      </c>
      <c r="R1714" s="5" t="e">
        <f>IF(AND(#REF!&gt;=table!$C$7,#REF!&lt;= table!$D$7),-1,IF(AND(#REF!&gt;=table!$E$7,#REF!&lt;=table!$F$7),1,0))</f>
        <v>#REF!</v>
      </c>
      <c r="S1714" s="5" t="e">
        <f>IF(AND(#REF!&gt;=table!$C$8,#REF!&lt;= table!$D$8),-1,IF(AND(#REF!&gt;=table!$E$8,#REF!&lt;=table!$F$8),1,0))</f>
        <v>#REF!</v>
      </c>
      <c r="T1714" s="5"/>
      <c r="U1714" s="5" t="e">
        <f>IF(AND(#REF!&gt;=table!$C$10,#REF!&lt;= table!$D$10),-1,IF(AND(#REF!&gt;=table!$E$10,#REF!&lt;=table!$F$10),1,0))</f>
        <v>#REF!</v>
      </c>
      <c r="V1714" s="5" t="e">
        <f>IF(AND(#REF!&gt;=table!$C$11,#REF!&lt;= table!$D$11),-1,IF(AND(#REF!&gt;=table!$E$11,#REF!&lt;=table!$F$11),1,0))</f>
        <v>#REF!</v>
      </c>
      <c r="W1714" s="5" t="e">
        <f>CONCATENATE(dados[[#This Row],[fator1]],dados[[#This Row],[fator5]],dados[[#This Row],[fator6]])</f>
        <v>#REF!</v>
      </c>
    </row>
    <row r="1715" spans="1:23">
      <c r="A1715" t="s">
        <v>17</v>
      </c>
      <c r="B1715">
        <v>485914</v>
      </c>
      <c r="C1715">
        <v>13</v>
      </c>
      <c r="D1715">
        <v>30</v>
      </c>
      <c r="E1715">
        <v>150</v>
      </c>
      <c r="F1715">
        <v>4</v>
      </c>
      <c r="G1715">
        <v>20</v>
      </c>
      <c r="H1715">
        <v>25</v>
      </c>
      <c r="I1715">
        <v>1993</v>
      </c>
      <c r="J1715">
        <v>1390</v>
      </c>
      <c r="K1715">
        <v>7.0449999999999999</v>
      </c>
      <c r="L1715">
        <v>7.4705000000000004</v>
      </c>
      <c r="M1715">
        <v>119.893</v>
      </c>
      <c r="N1715">
        <v>12.605</v>
      </c>
      <c r="O1715">
        <v>1589</v>
      </c>
      <c r="P1715">
        <v>0</v>
      </c>
      <c r="Q1715" s="5" t="e">
        <f>IF(AND(#REF!&gt;=table!$C$6,#REF!&lt;= table!$D$6),-1,IF(AND(#REF!&gt;=table!$E$6,#REF!&lt;=table!$F$6),1,0))</f>
        <v>#REF!</v>
      </c>
      <c r="R1715" s="5" t="e">
        <f>IF(AND(#REF!&gt;=table!$C$7,#REF!&lt;= table!$D$7),-1,IF(AND(#REF!&gt;=table!$E$7,#REF!&lt;=table!$F$7),1,0))</f>
        <v>#REF!</v>
      </c>
      <c r="S1715" s="5" t="e">
        <f>IF(AND(#REF!&gt;=table!$C$8,#REF!&lt;= table!$D$8),-1,IF(AND(#REF!&gt;=table!$E$8,#REF!&lt;=table!$F$8),1,0))</f>
        <v>#REF!</v>
      </c>
      <c r="T1715" s="5"/>
      <c r="U1715" s="5" t="e">
        <f>IF(AND(#REF!&gt;=table!$C$10,#REF!&lt;= table!$D$10),-1,IF(AND(#REF!&gt;=table!$E$10,#REF!&lt;=table!$F$10),1,0))</f>
        <v>#REF!</v>
      </c>
      <c r="V1715" s="5" t="e">
        <f>IF(AND(#REF!&gt;=table!$C$11,#REF!&lt;= table!$D$11),-1,IF(AND(#REF!&gt;=table!$E$11,#REF!&lt;=table!$F$11),1,0))</f>
        <v>#REF!</v>
      </c>
      <c r="W1715" s="5" t="e">
        <f>CONCATENATE(dados[[#This Row],[fator1]],dados[[#This Row],[fator5]],dados[[#This Row],[fator6]])</f>
        <v>#REF!</v>
      </c>
    </row>
    <row r="1716" spans="1:23">
      <c r="A1716" t="s">
        <v>17</v>
      </c>
      <c r="B1716">
        <v>485921</v>
      </c>
      <c r="C1716">
        <v>14</v>
      </c>
      <c r="D1716">
        <v>30</v>
      </c>
      <c r="E1716">
        <v>86</v>
      </c>
      <c r="F1716">
        <v>9</v>
      </c>
      <c r="G1716">
        <v>20</v>
      </c>
      <c r="H1716">
        <v>25</v>
      </c>
      <c r="I1716">
        <v>676</v>
      </c>
      <c r="J1716">
        <v>0</v>
      </c>
      <c r="K1716">
        <v>7.3500000000000005</v>
      </c>
      <c r="L1716">
        <v>11.773</v>
      </c>
      <c r="M1716">
        <v>63.659000000000006</v>
      </c>
      <c r="N1716">
        <v>18.925000000000001</v>
      </c>
      <c r="O1716">
        <v>1667</v>
      </c>
      <c r="P1716">
        <v>0</v>
      </c>
      <c r="Q1716" s="5" t="e">
        <f>IF(AND(#REF!&gt;=table!$C$6,#REF!&lt;= table!$D$6),-1,IF(AND(#REF!&gt;=table!$E$6,#REF!&lt;=table!$F$6),1,0))</f>
        <v>#REF!</v>
      </c>
      <c r="R1716" s="5" t="e">
        <f>IF(AND(#REF!&gt;=table!$C$7,#REF!&lt;= table!$D$7),-1,IF(AND(#REF!&gt;=table!$E$7,#REF!&lt;=table!$F$7),1,0))</f>
        <v>#REF!</v>
      </c>
      <c r="S1716" s="5" t="e">
        <f>IF(AND(#REF!&gt;=table!$C$8,#REF!&lt;= table!$D$8),-1,IF(AND(#REF!&gt;=table!$E$8,#REF!&lt;=table!$F$8),1,0))</f>
        <v>#REF!</v>
      </c>
      <c r="T1716" s="5"/>
      <c r="U1716" s="5" t="e">
        <f>IF(AND(#REF!&gt;=table!$C$10,#REF!&lt;= table!$D$10),-1,IF(AND(#REF!&gt;=table!$E$10,#REF!&lt;=table!$F$10),1,0))</f>
        <v>#REF!</v>
      </c>
      <c r="V1716" s="5" t="e">
        <f>IF(AND(#REF!&gt;=table!$C$11,#REF!&lt;= table!$D$11),-1,IF(AND(#REF!&gt;=table!$E$11,#REF!&lt;=table!$F$11),1,0))</f>
        <v>#REF!</v>
      </c>
      <c r="W1716" s="5" t="e">
        <f>CONCATENATE(dados[[#This Row],[fator1]],dados[[#This Row],[fator5]],dados[[#This Row],[fator6]])</f>
        <v>#REF!</v>
      </c>
    </row>
    <row r="1717" spans="1:23">
      <c r="A1717" t="s">
        <v>16</v>
      </c>
      <c r="B1717">
        <v>485922</v>
      </c>
      <c r="C1717">
        <v>0.15</v>
      </c>
      <c r="D1717">
        <v>40</v>
      </c>
      <c r="E1717">
        <v>10</v>
      </c>
      <c r="F1717">
        <v>15</v>
      </c>
      <c r="G1717">
        <v>0</v>
      </c>
      <c r="H1717">
        <v>15</v>
      </c>
      <c r="I1717">
        <v>993</v>
      </c>
      <c r="J1717">
        <v>1200</v>
      </c>
      <c r="K1717">
        <v>13.5845</v>
      </c>
      <c r="L1717">
        <v>19.111000000000001</v>
      </c>
      <c r="M1717">
        <v>10.6</v>
      </c>
      <c r="N1717">
        <v>16.245000000000001</v>
      </c>
      <c r="O1717">
        <v>1665</v>
      </c>
      <c r="P1717">
        <v>252</v>
      </c>
      <c r="Q1717" s="5" t="e">
        <f>IF(AND(#REF!&gt;=table!$C$6,#REF!&lt;= table!$D$6),-1,IF(AND(#REF!&gt;=table!$E$6,#REF!&lt;=table!$F$6),1,0))</f>
        <v>#REF!</v>
      </c>
      <c r="R1717" s="5" t="e">
        <f>IF(AND(#REF!&gt;=table!$C$7,#REF!&lt;= table!$D$7),-1,IF(AND(#REF!&gt;=table!$E$7,#REF!&lt;=table!$F$7),1,0))</f>
        <v>#REF!</v>
      </c>
      <c r="S1717" s="5" t="e">
        <f>IF(AND(#REF!&gt;=table!$C$8,#REF!&lt;= table!$D$8),-1,IF(AND(#REF!&gt;=table!$E$8,#REF!&lt;=table!$F$8),1,0))</f>
        <v>#REF!</v>
      </c>
      <c r="T1717" s="5"/>
      <c r="U1717" s="5" t="e">
        <f>IF(AND(#REF!&gt;=table!$C$10,#REF!&lt;= table!$D$10),-1,IF(AND(#REF!&gt;=table!$E$10,#REF!&lt;=table!$F$10),1,0))</f>
        <v>#REF!</v>
      </c>
      <c r="V1717" s="5" t="e">
        <f>IF(AND(#REF!&gt;=table!$C$11,#REF!&lt;= table!$D$11),-1,IF(AND(#REF!&gt;=table!$E$11,#REF!&lt;=table!$F$11),1,0))</f>
        <v>#REF!</v>
      </c>
      <c r="W1717" s="5" t="e">
        <f>CONCATENATE(dados[[#This Row],[fator1]],dados[[#This Row],[fator5]],dados[[#This Row],[fator6]])</f>
        <v>#REF!</v>
      </c>
    </row>
    <row r="1718" spans="1:23">
      <c r="A1718" t="s">
        <v>16</v>
      </c>
      <c r="B1718">
        <v>485923</v>
      </c>
      <c r="C1718">
        <v>0.15</v>
      </c>
      <c r="D1718">
        <v>40</v>
      </c>
      <c r="E1718">
        <v>10</v>
      </c>
      <c r="F1718">
        <v>15</v>
      </c>
      <c r="G1718">
        <v>0</v>
      </c>
      <c r="H1718">
        <v>15</v>
      </c>
      <c r="I1718">
        <v>1368</v>
      </c>
      <c r="J1718">
        <v>0</v>
      </c>
      <c r="K1718">
        <v>7.8845000000000001</v>
      </c>
      <c r="L1718">
        <v>5.4530000000000003</v>
      </c>
      <c r="M1718">
        <v>5.6760000000000002</v>
      </c>
      <c r="N1718">
        <v>9.0050000000000008</v>
      </c>
      <c r="O1718">
        <v>1668</v>
      </c>
      <c r="P1718">
        <v>646</v>
      </c>
      <c r="Q1718" s="5" t="e">
        <f>IF(AND(#REF!&gt;=table!$C$6,#REF!&lt;= table!$D$6),-1,IF(AND(#REF!&gt;=table!$E$6,#REF!&lt;=table!$F$6),1,0))</f>
        <v>#REF!</v>
      </c>
      <c r="R1718" s="5" t="e">
        <f>IF(AND(#REF!&gt;=table!$C$7,#REF!&lt;= table!$D$7),-1,IF(AND(#REF!&gt;=table!$E$7,#REF!&lt;=table!$F$7),1,0))</f>
        <v>#REF!</v>
      </c>
      <c r="S1718" s="5" t="e">
        <f>IF(AND(#REF!&gt;=table!$C$8,#REF!&lt;= table!$D$8),-1,IF(AND(#REF!&gt;=table!$E$8,#REF!&lt;=table!$F$8),1,0))</f>
        <v>#REF!</v>
      </c>
      <c r="T1718" s="5"/>
      <c r="U1718" s="5" t="e">
        <f>IF(AND(#REF!&gt;=table!$C$10,#REF!&lt;= table!$D$10),-1,IF(AND(#REF!&gt;=table!$E$10,#REF!&lt;=table!$F$10),1,0))</f>
        <v>#REF!</v>
      </c>
      <c r="V1718" s="5" t="e">
        <f>IF(AND(#REF!&gt;=table!$C$11,#REF!&lt;= table!$D$11),-1,IF(AND(#REF!&gt;=table!$E$11,#REF!&lt;=table!$F$11),1,0))</f>
        <v>#REF!</v>
      </c>
      <c r="W1718" s="5" t="e">
        <f>CONCATENATE(dados[[#This Row],[fator1]],dados[[#This Row],[fator5]],dados[[#This Row],[fator6]])</f>
        <v>#REF!</v>
      </c>
    </row>
    <row r="1719" spans="1:23">
      <c r="A1719" t="s">
        <v>16</v>
      </c>
      <c r="B1719">
        <v>485925</v>
      </c>
      <c r="C1719">
        <v>0.15</v>
      </c>
      <c r="D1719">
        <v>40</v>
      </c>
      <c r="E1719">
        <v>10</v>
      </c>
      <c r="F1719">
        <v>15</v>
      </c>
      <c r="G1719">
        <v>0</v>
      </c>
      <c r="H1719">
        <v>15</v>
      </c>
      <c r="I1719">
        <v>1192</v>
      </c>
      <c r="J1719">
        <v>0</v>
      </c>
      <c r="K1719">
        <v>6.3825000000000003</v>
      </c>
      <c r="L1719">
        <v>8.5645000000000007</v>
      </c>
      <c r="M1719">
        <v>8.2720000000000002</v>
      </c>
      <c r="N1719">
        <v>10.855</v>
      </c>
      <c r="O1719">
        <v>1672</v>
      </c>
      <c r="P1719">
        <v>591</v>
      </c>
      <c r="Q1719" s="5" t="e">
        <f>IF(AND(#REF!&gt;=table!$C$6,#REF!&lt;= table!$D$6),-1,IF(AND(#REF!&gt;=table!$E$6,#REF!&lt;=table!$F$6),1,0))</f>
        <v>#REF!</v>
      </c>
      <c r="R1719" s="5" t="e">
        <f>IF(AND(#REF!&gt;=table!$C$7,#REF!&lt;= table!$D$7),-1,IF(AND(#REF!&gt;=table!$E$7,#REF!&lt;=table!$F$7),1,0))</f>
        <v>#REF!</v>
      </c>
      <c r="S1719" s="5" t="e">
        <f>IF(AND(#REF!&gt;=table!$C$8,#REF!&lt;= table!$D$8),-1,IF(AND(#REF!&gt;=table!$E$8,#REF!&lt;=table!$F$8),1,0))</f>
        <v>#REF!</v>
      </c>
      <c r="T1719" s="5"/>
      <c r="U1719" s="5" t="e">
        <f>IF(AND(#REF!&gt;=table!$C$10,#REF!&lt;= table!$D$10),-1,IF(AND(#REF!&gt;=table!$E$10,#REF!&lt;=table!$F$10),1,0))</f>
        <v>#REF!</v>
      </c>
      <c r="V1719" s="5" t="e">
        <f>IF(AND(#REF!&gt;=table!$C$11,#REF!&lt;= table!$D$11),-1,IF(AND(#REF!&gt;=table!$E$11,#REF!&lt;=table!$F$11),1,0))</f>
        <v>#REF!</v>
      </c>
      <c r="W1719" s="5" t="e">
        <f>CONCATENATE(dados[[#This Row],[fator1]],dados[[#This Row],[fator5]],dados[[#This Row],[fator6]])</f>
        <v>#REF!</v>
      </c>
    </row>
    <row r="1720" spans="1:23">
      <c r="A1720" t="s">
        <v>16</v>
      </c>
      <c r="B1720">
        <v>485935</v>
      </c>
      <c r="C1720">
        <v>12</v>
      </c>
      <c r="D1720">
        <v>40</v>
      </c>
      <c r="E1720">
        <v>36</v>
      </c>
      <c r="F1720">
        <v>9</v>
      </c>
      <c r="G1720">
        <v>0</v>
      </c>
      <c r="H1720">
        <v>25</v>
      </c>
      <c r="I1720">
        <v>1040</v>
      </c>
      <c r="J1720">
        <v>0</v>
      </c>
      <c r="K1720">
        <v>3.1960000000000002</v>
      </c>
      <c r="L1720">
        <v>7.556</v>
      </c>
      <c r="M1720">
        <v>30.276500000000002</v>
      </c>
      <c r="N1720">
        <v>15.74</v>
      </c>
      <c r="O1720">
        <v>1684</v>
      </c>
      <c r="P1720">
        <v>0</v>
      </c>
      <c r="Q1720" s="5" t="e">
        <f>IF(AND(#REF!&gt;=table!$C$6,#REF!&lt;= table!$D$6),-1,IF(AND(#REF!&gt;=table!$E$6,#REF!&lt;=table!$F$6),1,0))</f>
        <v>#REF!</v>
      </c>
      <c r="R1720" s="5" t="e">
        <f>IF(AND(#REF!&gt;=table!$C$7,#REF!&lt;= table!$D$7),-1,IF(AND(#REF!&gt;=table!$E$7,#REF!&lt;=table!$F$7),1,0))</f>
        <v>#REF!</v>
      </c>
      <c r="S1720" s="5" t="e">
        <f>IF(AND(#REF!&gt;=table!$C$8,#REF!&lt;= table!$D$8),-1,IF(AND(#REF!&gt;=table!$E$8,#REF!&lt;=table!$F$8),1,0))</f>
        <v>#REF!</v>
      </c>
      <c r="T1720" s="5"/>
      <c r="U1720" s="5" t="e">
        <f>IF(AND(#REF!&gt;=table!$C$10,#REF!&lt;= table!$D$10),-1,IF(AND(#REF!&gt;=table!$E$10,#REF!&lt;=table!$F$10),1,0))</f>
        <v>#REF!</v>
      </c>
      <c r="V1720" s="5" t="e">
        <f>IF(AND(#REF!&gt;=table!$C$11,#REF!&lt;= table!$D$11),-1,IF(AND(#REF!&gt;=table!$E$11,#REF!&lt;=table!$F$11),1,0))</f>
        <v>#REF!</v>
      </c>
      <c r="W1720" s="5" t="e">
        <f>CONCATENATE(dados[[#This Row],[fator1]],dados[[#This Row],[fator5]],dados[[#This Row],[fator6]])</f>
        <v>#REF!</v>
      </c>
    </row>
    <row r="1721" spans="1:23">
      <c r="A1721" t="s">
        <v>16</v>
      </c>
      <c r="B1721">
        <v>485938</v>
      </c>
      <c r="C1721">
        <v>9</v>
      </c>
      <c r="D1721">
        <v>35</v>
      </c>
      <c r="E1721">
        <v>36</v>
      </c>
      <c r="F1721">
        <v>9</v>
      </c>
      <c r="G1721">
        <v>0</v>
      </c>
      <c r="H1721">
        <v>25</v>
      </c>
      <c r="I1721">
        <v>0</v>
      </c>
      <c r="J1721">
        <v>0</v>
      </c>
      <c r="K1721">
        <v>9.1760000000000002</v>
      </c>
      <c r="L1721">
        <v>8.5350000000000001</v>
      </c>
      <c r="M1721">
        <v>38.779499999999999</v>
      </c>
      <c r="N1721">
        <v>16.71</v>
      </c>
      <c r="O1721">
        <v>1673</v>
      </c>
      <c r="P1721">
        <v>427</v>
      </c>
      <c r="Q1721" s="5" t="e">
        <f>IF(AND(#REF!&gt;=table!$C$6,#REF!&lt;= table!$D$6),-1,IF(AND(#REF!&gt;=table!$E$6,#REF!&lt;=table!$F$6),1,0))</f>
        <v>#REF!</v>
      </c>
      <c r="R1721" s="5" t="e">
        <f>IF(AND(#REF!&gt;=table!$C$7,#REF!&lt;= table!$D$7),-1,IF(AND(#REF!&gt;=table!$E$7,#REF!&lt;=table!$F$7),1,0))</f>
        <v>#REF!</v>
      </c>
      <c r="S1721" s="5" t="e">
        <f>IF(AND(#REF!&gt;=table!$C$8,#REF!&lt;= table!$D$8),-1,IF(AND(#REF!&gt;=table!$E$8,#REF!&lt;=table!$F$8),1,0))</f>
        <v>#REF!</v>
      </c>
      <c r="T1721" s="5"/>
      <c r="U1721" s="5" t="e">
        <f>IF(AND(#REF!&gt;=table!$C$10,#REF!&lt;= table!$D$10),-1,IF(AND(#REF!&gt;=table!$E$10,#REF!&lt;=table!$F$10),1,0))</f>
        <v>#REF!</v>
      </c>
      <c r="V1721" s="5" t="e">
        <f>IF(AND(#REF!&gt;=table!$C$11,#REF!&lt;= table!$D$11),-1,IF(AND(#REF!&gt;=table!$E$11,#REF!&lt;=table!$F$11),1,0))</f>
        <v>#REF!</v>
      </c>
      <c r="W1721" s="5" t="e">
        <f>CONCATENATE(dados[[#This Row],[fator1]],dados[[#This Row],[fator5]],dados[[#This Row],[fator6]])</f>
        <v>#REF!</v>
      </c>
    </row>
    <row r="1722" spans="1:23">
      <c r="A1722" t="s">
        <v>16</v>
      </c>
      <c r="B1722">
        <v>485940</v>
      </c>
      <c r="C1722">
        <v>9</v>
      </c>
      <c r="D1722">
        <v>40</v>
      </c>
      <c r="E1722">
        <v>46</v>
      </c>
      <c r="F1722">
        <v>15</v>
      </c>
      <c r="G1722">
        <v>0</v>
      </c>
      <c r="H1722">
        <v>25</v>
      </c>
      <c r="I1722">
        <v>1106</v>
      </c>
      <c r="J1722">
        <v>0</v>
      </c>
      <c r="K1722">
        <v>7.2655000000000003</v>
      </c>
      <c r="L1722">
        <v>8.7040000000000006</v>
      </c>
      <c r="M1722">
        <v>35.970500000000001</v>
      </c>
      <c r="N1722">
        <v>14.145000000000001</v>
      </c>
      <c r="O1722">
        <v>1664</v>
      </c>
      <c r="P1722">
        <v>506</v>
      </c>
      <c r="Q1722" s="5" t="e">
        <f>IF(AND(#REF!&gt;=table!$C$6,#REF!&lt;= table!$D$6),-1,IF(AND(#REF!&gt;=table!$E$6,#REF!&lt;=table!$F$6),1,0))</f>
        <v>#REF!</v>
      </c>
      <c r="R1722" s="5" t="e">
        <f>IF(AND(#REF!&gt;=table!$C$7,#REF!&lt;= table!$D$7),-1,IF(AND(#REF!&gt;=table!$E$7,#REF!&lt;=table!$F$7),1,0))</f>
        <v>#REF!</v>
      </c>
      <c r="S1722" s="5" t="e">
        <f>IF(AND(#REF!&gt;=table!$C$8,#REF!&lt;= table!$D$8),-1,IF(AND(#REF!&gt;=table!$E$8,#REF!&lt;=table!$F$8),1,0))</f>
        <v>#REF!</v>
      </c>
      <c r="T1722" s="5"/>
      <c r="U1722" s="5" t="e">
        <f>IF(AND(#REF!&gt;=table!$C$10,#REF!&lt;= table!$D$10),-1,IF(AND(#REF!&gt;=table!$E$10,#REF!&lt;=table!$F$10),1,0))</f>
        <v>#REF!</v>
      </c>
      <c r="V1722" s="5" t="e">
        <f>IF(AND(#REF!&gt;=table!$C$11,#REF!&lt;= table!$D$11),-1,IF(AND(#REF!&gt;=table!$E$11,#REF!&lt;=table!$F$11),1,0))</f>
        <v>#REF!</v>
      </c>
      <c r="W1722" s="5" t="e">
        <f>CONCATENATE(dados[[#This Row],[fator1]],dados[[#This Row],[fator5]],dados[[#This Row],[fator6]])</f>
        <v>#REF!</v>
      </c>
    </row>
    <row r="1723" spans="1:23">
      <c r="A1723" t="s">
        <v>17</v>
      </c>
      <c r="B1723">
        <v>485945</v>
      </c>
      <c r="C1723">
        <v>0.15</v>
      </c>
      <c r="D1723">
        <v>500</v>
      </c>
      <c r="E1723">
        <v>50</v>
      </c>
      <c r="F1723">
        <v>10</v>
      </c>
      <c r="G1723">
        <v>80</v>
      </c>
      <c r="H1723">
        <v>30</v>
      </c>
      <c r="I1723">
        <v>1162</v>
      </c>
      <c r="J1723">
        <v>0</v>
      </c>
      <c r="K1723">
        <v>5.34</v>
      </c>
      <c r="L1723">
        <v>14.7225</v>
      </c>
      <c r="M1723">
        <v>12.220500000000001</v>
      </c>
      <c r="N1723">
        <v>24.275000000000002</v>
      </c>
      <c r="O1723">
        <v>1692</v>
      </c>
      <c r="P1723">
        <v>698</v>
      </c>
      <c r="Q1723" s="5" t="e">
        <f>IF(AND(#REF!&gt;=table!$C$6,#REF!&lt;= table!$D$6),-1,IF(AND(#REF!&gt;=table!$E$6,#REF!&lt;=table!$F$6),1,0))</f>
        <v>#REF!</v>
      </c>
      <c r="R1723" s="5" t="e">
        <f>IF(AND(#REF!&gt;=table!$C$7,#REF!&lt;= table!$D$7),-1,IF(AND(#REF!&gt;=table!$E$7,#REF!&lt;=table!$F$7),1,0))</f>
        <v>#REF!</v>
      </c>
      <c r="S1723" s="5" t="e">
        <f>IF(AND(#REF!&gt;=table!$C$8,#REF!&lt;= table!$D$8),-1,IF(AND(#REF!&gt;=table!$E$8,#REF!&lt;=table!$F$8),1,0))</f>
        <v>#REF!</v>
      </c>
      <c r="T1723" s="5"/>
      <c r="U1723" s="5" t="e">
        <f>IF(AND(#REF!&gt;=table!$C$10,#REF!&lt;= table!$D$10),-1,IF(AND(#REF!&gt;=table!$E$10,#REF!&lt;=table!$F$10),1,0))</f>
        <v>#REF!</v>
      </c>
      <c r="V1723" s="5" t="e">
        <f>IF(AND(#REF!&gt;=table!$C$11,#REF!&lt;= table!$D$11),-1,IF(AND(#REF!&gt;=table!$E$11,#REF!&lt;=table!$F$11),1,0))</f>
        <v>#REF!</v>
      </c>
      <c r="W1723" s="5" t="e">
        <f>CONCATENATE(dados[[#This Row],[fator1]],dados[[#This Row],[fator5]],dados[[#This Row],[fator6]])</f>
        <v>#REF!</v>
      </c>
    </row>
    <row r="1724" spans="1:23">
      <c r="A1724" t="s">
        <v>17</v>
      </c>
      <c r="B1724">
        <v>485949</v>
      </c>
      <c r="C1724">
        <v>16</v>
      </c>
      <c r="D1724">
        <v>30</v>
      </c>
      <c r="E1724">
        <v>106</v>
      </c>
      <c r="F1724">
        <v>4</v>
      </c>
      <c r="G1724">
        <v>20</v>
      </c>
      <c r="H1724">
        <v>25</v>
      </c>
      <c r="I1724">
        <v>1318</v>
      </c>
      <c r="J1724">
        <v>0</v>
      </c>
      <c r="K1724">
        <v>4.2004999999999999</v>
      </c>
      <c r="L1724">
        <v>10.704000000000001</v>
      </c>
      <c r="M1724">
        <v>98.48</v>
      </c>
      <c r="N1724">
        <v>20.68</v>
      </c>
      <c r="O1724">
        <v>1704</v>
      </c>
      <c r="P1724">
        <v>0</v>
      </c>
      <c r="Q1724" s="5" t="e">
        <f>IF(AND(#REF!&gt;=table!$C$6,#REF!&lt;= table!$D$6),-1,IF(AND(#REF!&gt;=table!$E$6,#REF!&lt;=table!$F$6),1,0))</f>
        <v>#REF!</v>
      </c>
      <c r="R1724" s="5" t="e">
        <f>IF(AND(#REF!&gt;=table!$C$7,#REF!&lt;= table!$D$7),-1,IF(AND(#REF!&gt;=table!$E$7,#REF!&lt;=table!$F$7),1,0))</f>
        <v>#REF!</v>
      </c>
      <c r="S1724" s="5" t="e">
        <f>IF(AND(#REF!&gt;=table!$C$8,#REF!&lt;= table!$D$8),-1,IF(AND(#REF!&gt;=table!$E$8,#REF!&lt;=table!$F$8),1,0))</f>
        <v>#REF!</v>
      </c>
      <c r="T1724" s="5"/>
      <c r="U1724" s="5" t="e">
        <f>IF(AND(#REF!&gt;=table!$C$10,#REF!&lt;= table!$D$10),-1,IF(AND(#REF!&gt;=table!$E$10,#REF!&lt;=table!$F$10),1,0))</f>
        <v>#REF!</v>
      </c>
      <c r="V1724" s="5" t="e">
        <f>IF(AND(#REF!&gt;=table!$C$11,#REF!&lt;= table!$D$11),-1,IF(AND(#REF!&gt;=table!$E$11,#REF!&lt;=table!$F$11),1,0))</f>
        <v>#REF!</v>
      </c>
      <c r="W1724" s="5" t="e">
        <f>CONCATENATE(dados[[#This Row],[fator1]],dados[[#This Row],[fator5]],dados[[#This Row],[fator6]])</f>
        <v>#REF!</v>
      </c>
    </row>
    <row r="1725" spans="1:23">
      <c r="A1725" t="s">
        <v>17</v>
      </c>
      <c r="B1725">
        <v>485951</v>
      </c>
      <c r="C1725">
        <v>18</v>
      </c>
      <c r="D1725">
        <v>23</v>
      </c>
      <c r="E1725">
        <v>145</v>
      </c>
      <c r="F1725">
        <v>9</v>
      </c>
      <c r="G1725">
        <v>30</v>
      </c>
      <c r="H1725">
        <v>25</v>
      </c>
      <c r="I1725">
        <v>1169</v>
      </c>
      <c r="J1725">
        <v>0</v>
      </c>
      <c r="K1725">
        <v>6.734</v>
      </c>
      <c r="L1725">
        <v>14.373000000000001</v>
      </c>
      <c r="M1725">
        <v>134.35550000000001</v>
      </c>
      <c r="N1725">
        <v>23.63</v>
      </c>
      <c r="O1725">
        <v>1672</v>
      </c>
      <c r="P1725">
        <v>554</v>
      </c>
      <c r="Q1725" s="5" t="e">
        <f>IF(AND(#REF!&gt;=table!$C$6,#REF!&lt;= table!$D$6),-1,IF(AND(#REF!&gt;=table!$E$6,#REF!&lt;=table!$F$6),1,0))</f>
        <v>#REF!</v>
      </c>
      <c r="R1725" s="5" t="e">
        <f>IF(AND(#REF!&gt;=table!$C$7,#REF!&lt;= table!$D$7),-1,IF(AND(#REF!&gt;=table!$E$7,#REF!&lt;=table!$F$7),1,0))</f>
        <v>#REF!</v>
      </c>
      <c r="S1725" s="5" t="e">
        <f>IF(AND(#REF!&gt;=table!$C$8,#REF!&lt;= table!$D$8),-1,IF(AND(#REF!&gt;=table!$E$8,#REF!&lt;=table!$F$8),1,0))</f>
        <v>#REF!</v>
      </c>
      <c r="T1725" s="5"/>
      <c r="U1725" s="5" t="e">
        <f>IF(AND(#REF!&gt;=table!$C$10,#REF!&lt;= table!$D$10),-1,IF(AND(#REF!&gt;=table!$E$10,#REF!&lt;=table!$F$10),1,0))</f>
        <v>#REF!</v>
      </c>
      <c r="V1725" s="5" t="e">
        <f>IF(AND(#REF!&gt;=table!$C$11,#REF!&lt;= table!$D$11),-1,IF(AND(#REF!&gt;=table!$E$11,#REF!&lt;=table!$F$11),1,0))</f>
        <v>#REF!</v>
      </c>
      <c r="W1725" s="5" t="e">
        <f>CONCATENATE(dados[[#This Row],[fator1]],dados[[#This Row],[fator5]],dados[[#This Row],[fator6]])</f>
        <v>#REF!</v>
      </c>
    </row>
    <row r="1726" spans="1:23">
      <c r="A1726" t="s">
        <v>17</v>
      </c>
      <c r="B1726">
        <v>485952</v>
      </c>
      <c r="C1726">
        <v>18</v>
      </c>
      <c r="D1726">
        <v>23</v>
      </c>
      <c r="E1726">
        <v>145</v>
      </c>
      <c r="F1726">
        <v>9</v>
      </c>
      <c r="G1726">
        <v>30</v>
      </c>
      <c r="H1726">
        <v>25</v>
      </c>
      <c r="I1726">
        <v>7</v>
      </c>
      <c r="J1726">
        <v>0</v>
      </c>
      <c r="K1726">
        <v>8.6684999999999999</v>
      </c>
      <c r="L1726">
        <v>14.044500000000001</v>
      </c>
      <c r="M1726">
        <v>134.73500000000001</v>
      </c>
      <c r="N1726">
        <v>20.94</v>
      </c>
      <c r="O1726">
        <v>1676</v>
      </c>
      <c r="P1726">
        <v>0</v>
      </c>
      <c r="Q1726" s="5" t="e">
        <f>IF(AND(#REF!&gt;=table!$C$6,#REF!&lt;= table!$D$6),-1,IF(AND(#REF!&gt;=table!$E$6,#REF!&lt;=table!$F$6),1,0))</f>
        <v>#REF!</v>
      </c>
      <c r="R1726" s="5" t="e">
        <f>IF(AND(#REF!&gt;=table!$C$7,#REF!&lt;= table!$D$7),-1,IF(AND(#REF!&gt;=table!$E$7,#REF!&lt;=table!$F$7),1,0))</f>
        <v>#REF!</v>
      </c>
      <c r="S1726" s="5" t="e">
        <f>IF(AND(#REF!&gt;=table!$C$8,#REF!&lt;= table!$D$8),-1,IF(AND(#REF!&gt;=table!$E$8,#REF!&lt;=table!$F$8),1,0))</f>
        <v>#REF!</v>
      </c>
      <c r="T1726" s="5"/>
      <c r="U1726" s="5" t="e">
        <f>IF(AND(#REF!&gt;=table!$C$10,#REF!&lt;= table!$D$10),-1,IF(AND(#REF!&gt;=table!$E$10,#REF!&lt;=table!$F$10),1,0))</f>
        <v>#REF!</v>
      </c>
      <c r="V1726" s="5" t="e">
        <f>IF(AND(#REF!&gt;=table!$C$11,#REF!&lt;= table!$D$11),-1,IF(AND(#REF!&gt;=table!$E$11,#REF!&lt;=table!$F$11),1,0))</f>
        <v>#REF!</v>
      </c>
      <c r="W1726" s="5" t="e">
        <f>CONCATENATE(dados[[#This Row],[fator1]],dados[[#This Row],[fator5]],dados[[#This Row],[fator6]])</f>
        <v>#REF!</v>
      </c>
    </row>
    <row r="1727" spans="1:23">
      <c r="A1727" t="s">
        <v>17</v>
      </c>
      <c r="B1727">
        <v>485961</v>
      </c>
      <c r="C1727">
        <v>30</v>
      </c>
      <c r="D1727">
        <v>18</v>
      </c>
      <c r="E1727">
        <v>66</v>
      </c>
      <c r="F1727">
        <v>6</v>
      </c>
      <c r="G1727">
        <v>20</v>
      </c>
      <c r="H1727">
        <v>25</v>
      </c>
      <c r="I1727">
        <v>384</v>
      </c>
      <c r="J1727">
        <v>0</v>
      </c>
      <c r="K1727">
        <v>9.7680000000000007</v>
      </c>
      <c r="L1727">
        <v>12.210500000000001</v>
      </c>
      <c r="M1727">
        <v>51.841500000000003</v>
      </c>
      <c r="N1727">
        <v>15.23</v>
      </c>
      <c r="O1727">
        <v>1649</v>
      </c>
      <c r="P1727">
        <v>341</v>
      </c>
      <c r="Q1727" s="5" t="e">
        <f>IF(AND(#REF!&gt;=table!$C$6,#REF!&lt;= table!$D$6),-1,IF(AND(#REF!&gt;=table!$E$6,#REF!&lt;=table!$F$6),1,0))</f>
        <v>#REF!</v>
      </c>
      <c r="R1727" s="5" t="e">
        <f>IF(AND(#REF!&gt;=table!$C$7,#REF!&lt;= table!$D$7),-1,IF(AND(#REF!&gt;=table!$E$7,#REF!&lt;=table!$F$7),1,0))</f>
        <v>#REF!</v>
      </c>
      <c r="S1727" s="5" t="e">
        <f>IF(AND(#REF!&gt;=table!$C$8,#REF!&lt;= table!$D$8),-1,IF(AND(#REF!&gt;=table!$E$8,#REF!&lt;=table!$F$8),1,0))</f>
        <v>#REF!</v>
      </c>
      <c r="T1727" s="5"/>
      <c r="U1727" s="5" t="e">
        <f>IF(AND(#REF!&gt;=table!$C$10,#REF!&lt;= table!$D$10),-1,IF(AND(#REF!&gt;=table!$E$10,#REF!&lt;=table!$F$10),1,0))</f>
        <v>#REF!</v>
      </c>
      <c r="V1727" s="5" t="e">
        <f>IF(AND(#REF!&gt;=table!$C$11,#REF!&lt;= table!$D$11),-1,IF(AND(#REF!&gt;=table!$E$11,#REF!&lt;=table!$F$11),1,0))</f>
        <v>#REF!</v>
      </c>
      <c r="W1727" s="5" t="e">
        <f>CONCATENATE(dados[[#This Row],[fator1]],dados[[#This Row],[fator5]],dados[[#This Row],[fator6]])</f>
        <v>#REF!</v>
      </c>
    </row>
    <row r="1728" spans="1:23">
      <c r="A1728" t="s">
        <v>17</v>
      </c>
      <c r="B1728">
        <v>485963</v>
      </c>
      <c r="C1728">
        <v>16</v>
      </c>
      <c r="D1728">
        <v>30</v>
      </c>
      <c r="E1728">
        <v>106</v>
      </c>
      <c r="F1728">
        <v>9</v>
      </c>
      <c r="G1728">
        <v>20</v>
      </c>
      <c r="H1728">
        <v>25</v>
      </c>
      <c r="I1728">
        <v>1299</v>
      </c>
      <c r="J1728">
        <v>0</v>
      </c>
      <c r="K1728">
        <v>6.976</v>
      </c>
      <c r="L1728">
        <v>13.477500000000001</v>
      </c>
      <c r="M1728">
        <v>71.472000000000008</v>
      </c>
      <c r="N1728">
        <v>20.8</v>
      </c>
      <c r="O1728">
        <v>1666</v>
      </c>
      <c r="P1728">
        <v>394</v>
      </c>
      <c r="Q1728" s="5" t="e">
        <f>IF(AND(#REF!&gt;=table!$C$6,#REF!&lt;= table!$D$6),-1,IF(AND(#REF!&gt;=table!$E$6,#REF!&lt;=table!$F$6),1,0))</f>
        <v>#REF!</v>
      </c>
      <c r="R1728" s="5" t="e">
        <f>IF(AND(#REF!&gt;=table!$C$7,#REF!&lt;= table!$D$7),-1,IF(AND(#REF!&gt;=table!$E$7,#REF!&lt;=table!$F$7),1,0))</f>
        <v>#REF!</v>
      </c>
      <c r="S1728" s="5" t="e">
        <f>IF(AND(#REF!&gt;=table!$C$8,#REF!&lt;= table!$D$8),-1,IF(AND(#REF!&gt;=table!$E$8,#REF!&lt;=table!$F$8),1,0))</f>
        <v>#REF!</v>
      </c>
      <c r="T1728" s="5"/>
      <c r="U1728" s="5" t="e">
        <f>IF(AND(#REF!&gt;=table!$C$10,#REF!&lt;= table!$D$10),-1,IF(AND(#REF!&gt;=table!$E$10,#REF!&lt;=table!$F$10),1,0))</f>
        <v>#REF!</v>
      </c>
      <c r="V1728" s="5" t="e">
        <f>IF(AND(#REF!&gt;=table!$C$11,#REF!&lt;= table!$D$11),-1,IF(AND(#REF!&gt;=table!$E$11,#REF!&lt;=table!$F$11),1,0))</f>
        <v>#REF!</v>
      </c>
      <c r="W1728" s="5" t="e">
        <f>CONCATENATE(dados[[#This Row],[fator1]],dados[[#This Row],[fator5]],dados[[#This Row],[fator6]])</f>
        <v>#REF!</v>
      </c>
    </row>
    <row r="1729" spans="1:23">
      <c r="A1729" t="s">
        <v>16</v>
      </c>
      <c r="B1729">
        <v>485965</v>
      </c>
      <c r="C1729">
        <v>0.15</v>
      </c>
      <c r="D1729">
        <v>40</v>
      </c>
      <c r="E1729">
        <v>10</v>
      </c>
      <c r="F1729">
        <v>15</v>
      </c>
      <c r="G1729">
        <v>0</v>
      </c>
      <c r="H1729">
        <v>15</v>
      </c>
      <c r="I1729">
        <v>1774</v>
      </c>
      <c r="J1729">
        <v>0</v>
      </c>
      <c r="K1729">
        <v>6.0460000000000003</v>
      </c>
      <c r="L1729">
        <v>6.3905000000000003</v>
      </c>
      <c r="M1729">
        <v>6.2955000000000005</v>
      </c>
      <c r="N1729">
        <v>10.985000000000001</v>
      </c>
      <c r="O1729">
        <v>1642</v>
      </c>
      <c r="P1729">
        <v>579</v>
      </c>
      <c r="Q1729" s="5" t="e">
        <f>IF(AND(#REF!&gt;=table!$C$6,#REF!&lt;= table!$D$6),-1,IF(AND(#REF!&gt;=table!$E$6,#REF!&lt;=table!$F$6),1,0))</f>
        <v>#REF!</v>
      </c>
      <c r="R1729" s="5" t="e">
        <f>IF(AND(#REF!&gt;=table!$C$7,#REF!&lt;= table!$D$7),-1,IF(AND(#REF!&gt;=table!$E$7,#REF!&lt;=table!$F$7),1,0))</f>
        <v>#REF!</v>
      </c>
      <c r="S1729" s="5" t="e">
        <f>IF(AND(#REF!&gt;=table!$C$8,#REF!&lt;= table!$D$8),-1,IF(AND(#REF!&gt;=table!$E$8,#REF!&lt;=table!$F$8),1,0))</f>
        <v>#REF!</v>
      </c>
      <c r="T1729" s="5"/>
      <c r="U1729" s="5" t="e">
        <f>IF(AND(#REF!&gt;=table!$C$10,#REF!&lt;= table!$D$10),-1,IF(AND(#REF!&gt;=table!$E$10,#REF!&lt;=table!$F$10),1,0))</f>
        <v>#REF!</v>
      </c>
      <c r="V1729" s="5" t="e">
        <f>IF(AND(#REF!&gt;=table!$C$11,#REF!&lt;= table!$D$11),-1,IF(AND(#REF!&gt;=table!$E$11,#REF!&lt;=table!$F$11),1,0))</f>
        <v>#REF!</v>
      </c>
      <c r="W1729" s="5" t="e">
        <f>CONCATENATE(dados[[#This Row],[fator1]],dados[[#This Row],[fator5]],dados[[#This Row],[fator6]])</f>
        <v>#REF!</v>
      </c>
    </row>
    <row r="1730" spans="1:23">
      <c r="A1730" t="s">
        <v>17</v>
      </c>
      <c r="B1730">
        <v>485966</v>
      </c>
      <c r="C1730">
        <v>16</v>
      </c>
      <c r="D1730">
        <v>30</v>
      </c>
      <c r="E1730">
        <v>126</v>
      </c>
      <c r="F1730">
        <v>6</v>
      </c>
      <c r="G1730">
        <v>20</v>
      </c>
      <c r="H1730">
        <v>25</v>
      </c>
      <c r="I1730">
        <v>0</v>
      </c>
      <c r="J1730">
        <v>0</v>
      </c>
      <c r="K1730">
        <v>7.6025</v>
      </c>
      <c r="L1730">
        <v>11.959000000000001</v>
      </c>
      <c r="M1730">
        <v>113.206</v>
      </c>
      <c r="N1730">
        <v>15.83</v>
      </c>
      <c r="O1730">
        <v>1654</v>
      </c>
      <c r="P1730">
        <v>470</v>
      </c>
      <c r="Q1730" s="5" t="e">
        <f>IF(AND(#REF!&gt;=table!$C$6,#REF!&lt;= table!$D$6),-1,IF(AND(#REF!&gt;=table!$E$6,#REF!&lt;=table!$F$6),1,0))</f>
        <v>#REF!</v>
      </c>
      <c r="R1730" s="5" t="e">
        <f>IF(AND(#REF!&gt;=table!$C$7,#REF!&lt;= table!$D$7),-1,IF(AND(#REF!&gt;=table!$E$7,#REF!&lt;=table!$F$7),1,0))</f>
        <v>#REF!</v>
      </c>
      <c r="S1730" s="5" t="e">
        <f>IF(AND(#REF!&gt;=table!$C$8,#REF!&lt;= table!$D$8),-1,IF(AND(#REF!&gt;=table!$E$8,#REF!&lt;=table!$F$8),1,0))</f>
        <v>#REF!</v>
      </c>
      <c r="T1730" s="5"/>
      <c r="U1730" s="5" t="e">
        <f>IF(AND(#REF!&gt;=table!$C$10,#REF!&lt;= table!$D$10),-1,IF(AND(#REF!&gt;=table!$E$10,#REF!&lt;=table!$F$10),1,0))</f>
        <v>#REF!</v>
      </c>
      <c r="V1730" s="5" t="e">
        <f>IF(AND(#REF!&gt;=table!$C$11,#REF!&lt;= table!$D$11),-1,IF(AND(#REF!&gt;=table!$E$11,#REF!&lt;=table!$F$11),1,0))</f>
        <v>#REF!</v>
      </c>
      <c r="W1730" s="5" t="e">
        <f>CONCATENATE(dados[[#This Row],[fator1]],dados[[#This Row],[fator5]],dados[[#This Row],[fator6]])</f>
        <v>#REF!</v>
      </c>
    </row>
    <row r="1731" spans="1:23">
      <c r="A1731" t="s">
        <v>17</v>
      </c>
      <c r="B1731">
        <v>485967</v>
      </c>
      <c r="C1731">
        <v>10</v>
      </c>
      <c r="D1731">
        <v>25</v>
      </c>
      <c r="E1731">
        <v>40</v>
      </c>
      <c r="F1731">
        <v>10</v>
      </c>
      <c r="G1731">
        <v>110</v>
      </c>
      <c r="H1731">
        <v>50</v>
      </c>
      <c r="I1731">
        <v>59</v>
      </c>
      <c r="J1731">
        <v>0</v>
      </c>
      <c r="K1731">
        <v>8.057500000000001</v>
      </c>
      <c r="L1731">
        <v>10.7935</v>
      </c>
      <c r="M1731">
        <v>33.734999999999999</v>
      </c>
      <c r="N1731">
        <v>16.765000000000001</v>
      </c>
      <c r="O1731">
        <v>1659</v>
      </c>
      <c r="P1731">
        <v>390</v>
      </c>
      <c r="Q1731" s="5" t="e">
        <f>IF(AND(#REF!&gt;=table!$C$6,#REF!&lt;= table!$D$6),-1,IF(AND(#REF!&gt;=table!$E$6,#REF!&lt;=table!$F$6),1,0))</f>
        <v>#REF!</v>
      </c>
      <c r="R1731" s="5" t="e">
        <f>IF(AND(#REF!&gt;=table!$C$7,#REF!&lt;= table!$D$7),-1,IF(AND(#REF!&gt;=table!$E$7,#REF!&lt;=table!$F$7),1,0))</f>
        <v>#REF!</v>
      </c>
      <c r="S1731" s="5" t="e">
        <f>IF(AND(#REF!&gt;=table!$C$8,#REF!&lt;= table!$D$8),-1,IF(AND(#REF!&gt;=table!$E$8,#REF!&lt;=table!$F$8),1,0))</f>
        <v>#REF!</v>
      </c>
      <c r="T1731" s="5"/>
      <c r="U1731" s="5" t="e">
        <f>IF(AND(#REF!&gt;=table!$C$10,#REF!&lt;= table!$D$10),-1,IF(AND(#REF!&gt;=table!$E$10,#REF!&lt;=table!$F$10),1,0))</f>
        <v>#REF!</v>
      </c>
      <c r="V1731" s="5" t="e">
        <f>IF(AND(#REF!&gt;=table!$C$11,#REF!&lt;= table!$D$11),-1,IF(AND(#REF!&gt;=table!$E$11,#REF!&lt;=table!$F$11),1,0))</f>
        <v>#REF!</v>
      </c>
      <c r="W1731" s="5" t="e">
        <f>CONCATENATE(dados[[#This Row],[fator1]],dados[[#This Row],[fator5]],dados[[#This Row],[fator6]])</f>
        <v>#REF!</v>
      </c>
    </row>
    <row r="1732" spans="1:23">
      <c r="A1732" t="s">
        <v>16</v>
      </c>
      <c r="B1732">
        <v>485969</v>
      </c>
      <c r="C1732">
        <v>6</v>
      </c>
      <c r="D1732">
        <v>25</v>
      </c>
      <c r="E1732">
        <v>120</v>
      </c>
      <c r="F1732">
        <v>4</v>
      </c>
      <c r="G1732">
        <v>0</v>
      </c>
      <c r="H1732">
        <v>55</v>
      </c>
      <c r="I1732">
        <v>46</v>
      </c>
      <c r="J1732">
        <v>0</v>
      </c>
      <c r="K1732">
        <v>4.335</v>
      </c>
      <c r="L1732">
        <v>9.0400000000000009</v>
      </c>
      <c r="M1732">
        <v>108.69750000000001</v>
      </c>
      <c r="N1732">
        <v>36.770000000000003</v>
      </c>
      <c r="O1732">
        <v>1680</v>
      </c>
      <c r="P1732">
        <v>1063</v>
      </c>
      <c r="Q1732" s="5" t="e">
        <f>IF(AND(#REF!&gt;=table!$C$6,#REF!&lt;= table!$D$6),-1,IF(AND(#REF!&gt;=table!$E$6,#REF!&lt;=table!$F$6),1,0))</f>
        <v>#REF!</v>
      </c>
      <c r="R1732" s="5" t="e">
        <f>IF(AND(#REF!&gt;=table!$C$7,#REF!&lt;= table!$D$7),-1,IF(AND(#REF!&gt;=table!$E$7,#REF!&lt;=table!$F$7),1,0))</f>
        <v>#REF!</v>
      </c>
      <c r="S1732" s="5" t="e">
        <f>IF(AND(#REF!&gt;=table!$C$8,#REF!&lt;= table!$D$8),-1,IF(AND(#REF!&gt;=table!$E$8,#REF!&lt;=table!$F$8),1,0))</f>
        <v>#REF!</v>
      </c>
      <c r="T1732" s="5"/>
      <c r="U1732" s="5" t="e">
        <f>IF(AND(#REF!&gt;=table!$C$10,#REF!&lt;= table!$D$10),-1,IF(AND(#REF!&gt;=table!$E$10,#REF!&lt;=table!$F$10),1,0))</f>
        <v>#REF!</v>
      </c>
      <c r="V1732" s="5" t="e">
        <f>IF(AND(#REF!&gt;=table!$C$11,#REF!&lt;= table!$D$11),-1,IF(AND(#REF!&gt;=table!$E$11,#REF!&lt;=table!$F$11),1,0))</f>
        <v>#REF!</v>
      </c>
      <c r="W1732" s="5" t="e">
        <f>CONCATENATE(dados[[#This Row],[fator1]],dados[[#This Row],[fator5]],dados[[#This Row],[fator6]])</f>
        <v>#REF!</v>
      </c>
    </row>
    <row r="1733" spans="1:23">
      <c r="A1733" t="s">
        <v>17</v>
      </c>
      <c r="B1733">
        <v>485970</v>
      </c>
      <c r="C1733">
        <v>4</v>
      </c>
      <c r="D1733">
        <v>25</v>
      </c>
      <c r="E1733">
        <v>21</v>
      </c>
      <c r="F1733">
        <v>10</v>
      </c>
      <c r="G1733">
        <v>110</v>
      </c>
      <c r="H1733">
        <v>50</v>
      </c>
      <c r="I1733">
        <v>27</v>
      </c>
      <c r="J1733">
        <v>0</v>
      </c>
      <c r="K1733">
        <v>3.762</v>
      </c>
      <c r="L1733">
        <v>8.3350000000000009</v>
      </c>
      <c r="M1733">
        <v>17.650500000000001</v>
      </c>
      <c r="N1733">
        <v>28.21</v>
      </c>
      <c r="O1733">
        <v>1673</v>
      </c>
      <c r="P1733">
        <v>871</v>
      </c>
      <c r="Q1733" s="5" t="e">
        <f>IF(AND(#REF!&gt;=table!$C$6,#REF!&lt;= table!$D$6),-1,IF(AND(#REF!&gt;=table!$E$6,#REF!&lt;=table!$F$6),1,0))</f>
        <v>#REF!</v>
      </c>
      <c r="R1733" s="5" t="e">
        <f>IF(AND(#REF!&gt;=table!$C$7,#REF!&lt;= table!$D$7),-1,IF(AND(#REF!&gt;=table!$E$7,#REF!&lt;=table!$F$7),1,0))</f>
        <v>#REF!</v>
      </c>
      <c r="S1733" s="5" t="e">
        <f>IF(AND(#REF!&gt;=table!$C$8,#REF!&lt;= table!$D$8),-1,IF(AND(#REF!&gt;=table!$E$8,#REF!&lt;=table!$F$8),1,0))</f>
        <v>#REF!</v>
      </c>
      <c r="T1733" s="5"/>
      <c r="U1733" s="5" t="e">
        <f>IF(AND(#REF!&gt;=table!$C$10,#REF!&lt;= table!$D$10),-1,IF(AND(#REF!&gt;=table!$E$10,#REF!&lt;=table!$F$10),1,0))</f>
        <v>#REF!</v>
      </c>
      <c r="V1733" s="5" t="e">
        <f>IF(AND(#REF!&gt;=table!$C$11,#REF!&lt;= table!$D$11),-1,IF(AND(#REF!&gt;=table!$E$11,#REF!&lt;=table!$F$11),1,0))</f>
        <v>#REF!</v>
      </c>
      <c r="W1733" s="5" t="e">
        <f>CONCATENATE(dados[[#This Row],[fator1]],dados[[#This Row],[fator5]],dados[[#This Row],[fator6]])</f>
        <v>#REF!</v>
      </c>
    </row>
    <row r="1734" spans="1:23">
      <c r="A1734" t="s">
        <v>17</v>
      </c>
      <c r="B1734">
        <v>485971</v>
      </c>
      <c r="C1734">
        <v>14</v>
      </c>
      <c r="D1734">
        <v>30</v>
      </c>
      <c r="E1734">
        <v>66</v>
      </c>
      <c r="F1734">
        <v>9</v>
      </c>
      <c r="G1734">
        <v>20</v>
      </c>
      <c r="H1734">
        <v>25</v>
      </c>
      <c r="I1734">
        <v>1154</v>
      </c>
      <c r="J1734">
        <v>0</v>
      </c>
      <c r="K1734">
        <v>4.4157000000000002</v>
      </c>
      <c r="L1734">
        <v>7.3165000000000004</v>
      </c>
      <c r="M1734">
        <v>58.985500000000002</v>
      </c>
      <c r="N1734">
        <v>18.585000000000001</v>
      </c>
      <c r="O1734">
        <v>1682</v>
      </c>
      <c r="P1734">
        <v>0</v>
      </c>
      <c r="Q1734" s="5" t="e">
        <f>IF(AND(#REF!&gt;=table!$C$6,#REF!&lt;= table!$D$6),-1,IF(AND(#REF!&gt;=table!$E$6,#REF!&lt;=table!$F$6),1,0))</f>
        <v>#REF!</v>
      </c>
      <c r="R1734" s="5" t="e">
        <f>IF(AND(#REF!&gt;=table!$C$7,#REF!&lt;= table!$D$7),-1,IF(AND(#REF!&gt;=table!$E$7,#REF!&lt;=table!$F$7),1,0))</f>
        <v>#REF!</v>
      </c>
      <c r="S1734" s="5" t="e">
        <f>IF(AND(#REF!&gt;=table!$C$8,#REF!&lt;= table!$D$8),-1,IF(AND(#REF!&gt;=table!$E$8,#REF!&lt;=table!$F$8),1,0))</f>
        <v>#REF!</v>
      </c>
      <c r="T1734" s="5"/>
      <c r="U1734" s="5" t="e">
        <f>IF(AND(#REF!&gt;=table!$C$10,#REF!&lt;= table!$D$10),-1,IF(AND(#REF!&gt;=table!$E$10,#REF!&lt;=table!$F$10),1,0))</f>
        <v>#REF!</v>
      </c>
      <c r="V1734" s="5" t="e">
        <f>IF(AND(#REF!&gt;=table!$C$11,#REF!&lt;= table!$D$11),-1,IF(AND(#REF!&gt;=table!$E$11,#REF!&lt;=table!$F$11),1,0))</f>
        <v>#REF!</v>
      </c>
      <c r="W1734" s="5" t="e">
        <f>CONCATENATE(dados[[#This Row],[fator1]],dados[[#This Row],[fator5]],dados[[#This Row],[fator6]])</f>
        <v>#REF!</v>
      </c>
    </row>
    <row r="1735" spans="1:23">
      <c r="A1735" t="s">
        <v>16</v>
      </c>
      <c r="B1735">
        <v>485973</v>
      </c>
      <c r="C1735">
        <v>6</v>
      </c>
      <c r="D1735">
        <v>25</v>
      </c>
      <c r="E1735">
        <v>120</v>
      </c>
      <c r="F1735">
        <v>4</v>
      </c>
      <c r="G1735">
        <v>0</v>
      </c>
      <c r="H1735">
        <v>55</v>
      </c>
      <c r="I1735">
        <v>816</v>
      </c>
      <c r="J1735">
        <v>0</v>
      </c>
      <c r="K1735">
        <v>3.4755000000000003</v>
      </c>
      <c r="L1735">
        <v>6.3855000000000004</v>
      </c>
      <c r="M1735">
        <v>93.688500000000005</v>
      </c>
      <c r="N1735">
        <v>28.44</v>
      </c>
      <c r="O1735">
        <v>1681</v>
      </c>
      <c r="P1735">
        <v>1217</v>
      </c>
      <c r="Q1735" s="5" t="e">
        <f>IF(AND(#REF!&gt;=table!$C$6,#REF!&lt;= table!$D$6),-1,IF(AND(#REF!&gt;=table!$E$6,#REF!&lt;=table!$F$6),1,0))</f>
        <v>#REF!</v>
      </c>
      <c r="R1735" s="5" t="e">
        <f>IF(AND(#REF!&gt;=table!$C$7,#REF!&lt;= table!$D$7),-1,IF(AND(#REF!&gt;=table!$E$7,#REF!&lt;=table!$F$7),1,0))</f>
        <v>#REF!</v>
      </c>
      <c r="S1735" s="5" t="e">
        <f>IF(AND(#REF!&gt;=table!$C$8,#REF!&lt;= table!$D$8),-1,IF(AND(#REF!&gt;=table!$E$8,#REF!&lt;=table!$F$8),1,0))</f>
        <v>#REF!</v>
      </c>
      <c r="T1735" s="5"/>
      <c r="U1735" s="5" t="e">
        <f>IF(AND(#REF!&gt;=table!$C$10,#REF!&lt;= table!$D$10),-1,IF(AND(#REF!&gt;=table!$E$10,#REF!&lt;=table!$F$10),1,0))</f>
        <v>#REF!</v>
      </c>
      <c r="V1735" s="5" t="e">
        <f>IF(AND(#REF!&gt;=table!$C$11,#REF!&lt;= table!$D$11),-1,IF(AND(#REF!&gt;=table!$E$11,#REF!&lt;=table!$F$11),1,0))</f>
        <v>#REF!</v>
      </c>
      <c r="W1735" s="5" t="e">
        <f>CONCATENATE(dados[[#This Row],[fator1]],dados[[#This Row],[fator5]],dados[[#This Row],[fator6]])</f>
        <v>#REF!</v>
      </c>
    </row>
    <row r="1736" spans="1:23">
      <c r="A1736" t="s">
        <v>17</v>
      </c>
      <c r="B1736">
        <v>485974</v>
      </c>
      <c r="C1736">
        <v>14</v>
      </c>
      <c r="D1736">
        <v>30</v>
      </c>
      <c r="E1736">
        <v>66</v>
      </c>
      <c r="F1736">
        <v>9</v>
      </c>
      <c r="G1736">
        <v>20</v>
      </c>
      <c r="H1736">
        <v>25</v>
      </c>
      <c r="I1736">
        <v>631</v>
      </c>
      <c r="J1736">
        <v>0</v>
      </c>
      <c r="K1736">
        <v>3.2470000000000003</v>
      </c>
      <c r="L1736">
        <v>8.1349999999999998</v>
      </c>
      <c r="M1736">
        <v>46.773500000000006</v>
      </c>
      <c r="N1736">
        <v>17.225000000000001</v>
      </c>
      <c r="O1736">
        <v>1684</v>
      </c>
      <c r="P1736">
        <v>1134</v>
      </c>
      <c r="Q1736" s="5" t="e">
        <f>IF(AND(#REF!&gt;=table!$C$6,#REF!&lt;= table!$D$6),-1,IF(AND(#REF!&gt;=table!$E$6,#REF!&lt;=table!$F$6),1,0))</f>
        <v>#REF!</v>
      </c>
      <c r="R1736" s="5" t="e">
        <f>IF(AND(#REF!&gt;=table!$C$7,#REF!&lt;= table!$D$7),-1,IF(AND(#REF!&gt;=table!$E$7,#REF!&lt;=table!$F$7),1,0))</f>
        <v>#REF!</v>
      </c>
      <c r="S1736" s="5" t="e">
        <f>IF(AND(#REF!&gt;=table!$C$8,#REF!&lt;= table!$D$8),-1,IF(AND(#REF!&gt;=table!$E$8,#REF!&lt;=table!$F$8),1,0))</f>
        <v>#REF!</v>
      </c>
      <c r="T1736" s="5"/>
      <c r="U1736" s="5" t="e">
        <f>IF(AND(#REF!&gt;=table!$C$10,#REF!&lt;= table!$D$10),-1,IF(AND(#REF!&gt;=table!$E$10,#REF!&lt;=table!$F$10),1,0))</f>
        <v>#REF!</v>
      </c>
      <c r="V1736" s="5" t="e">
        <f>IF(AND(#REF!&gt;=table!$C$11,#REF!&lt;= table!$D$11),-1,IF(AND(#REF!&gt;=table!$E$11,#REF!&lt;=table!$F$11),1,0))</f>
        <v>#REF!</v>
      </c>
      <c r="W1736" s="5" t="e">
        <f>CONCATENATE(dados[[#This Row],[fator1]],dados[[#This Row],[fator5]],dados[[#This Row],[fator6]])</f>
        <v>#REF!</v>
      </c>
    </row>
    <row r="1737" spans="1:23">
      <c r="A1737" t="s">
        <v>16</v>
      </c>
      <c r="B1737">
        <v>485975</v>
      </c>
      <c r="C1737">
        <v>16</v>
      </c>
      <c r="D1737">
        <v>35</v>
      </c>
      <c r="E1737">
        <v>36</v>
      </c>
      <c r="F1737">
        <v>10</v>
      </c>
      <c r="G1737">
        <v>0</v>
      </c>
      <c r="H1737">
        <v>25</v>
      </c>
      <c r="I1737">
        <v>1176</v>
      </c>
      <c r="J1737">
        <v>0</v>
      </c>
      <c r="K1737">
        <v>3.4265000000000003</v>
      </c>
      <c r="L1737">
        <v>3.5720000000000001</v>
      </c>
      <c r="M1737">
        <v>28.423500000000001</v>
      </c>
      <c r="N1737">
        <v>13.195</v>
      </c>
      <c r="O1737">
        <v>1685</v>
      </c>
      <c r="P1737">
        <v>1089</v>
      </c>
      <c r="Q1737" s="5" t="e">
        <f>IF(AND(#REF!&gt;=table!$C$6,#REF!&lt;= table!$D$6),-1,IF(AND(#REF!&gt;=table!$E$6,#REF!&lt;=table!$F$6),1,0))</f>
        <v>#REF!</v>
      </c>
      <c r="R1737" s="5" t="e">
        <f>IF(AND(#REF!&gt;=table!$C$7,#REF!&lt;= table!$D$7),-1,IF(AND(#REF!&gt;=table!$E$7,#REF!&lt;=table!$F$7),1,0))</f>
        <v>#REF!</v>
      </c>
      <c r="S1737" s="5" t="e">
        <f>IF(AND(#REF!&gt;=table!$C$8,#REF!&lt;= table!$D$8),-1,IF(AND(#REF!&gt;=table!$E$8,#REF!&lt;=table!$F$8),1,0))</f>
        <v>#REF!</v>
      </c>
      <c r="T1737" s="5"/>
      <c r="U1737" s="5" t="e">
        <f>IF(AND(#REF!&gt;=table!$C$10,#REF!&lt;= table!$D$10),-1,IF(AND(#REF!&gt;=table!$E$10,#REF!&lt;=table!$F$10),1,0))</f>
        <v>#REF!</v>
      </c>
      <c r="V1737" s="5" t="e">
        <f>IF(AND(#REF!&gt;=table!$C$11,#REF!&lt;= table!$D$11),-1,IF(AND(#REF!&gt;=table!$E$11,#REF!&lt;=table!$F$11),1,0))</f>
        <v>#REF!</v>
      </c>
      <c r="W1737" s="5" t="e">
        <f>CONCATENATE(dados[[#This Row],[fator1]],dados[[#This Row],[fator5]],dados[[#This Row],[fator6]])</f>
        <v>#REF!</v>
      </c>
    </row>
    <row r="1738" spans="1:23">
      <c r="A1738" t="s">
        <v>16</v>
      </c>
      <c r="B1738">
        <v>485976</v>
      </c>
      <c r="C1738">
        <v>16</v>
      </c>
      <c r="D1738">
        <v>35</v>
      </c>
      <c r="E1738">
        <v>36</v>
      </c>
      <c r="F1738">
        <v>10</v>
      </c>
      <c r="G1738">
        <v>0</v>
      </c>
      <c r="H1738">
        <v>25</v>
      </c>
      <c r="I1738">
        <v>15</v>
      </c>
      <c r="J1738">
        <v>740</v>
      </c>
      <c r="K1738">
        <v>2.9810000000000003</v>
      </c>
      <c r="L1738">
        <v>5.6345000000000001</v>
      </c>
      <c r="M1738">
        <v>30.295000000000002</v>
      </c>
      <c r="N1738">
        <v>19.21</v>
      </c>
      <c r="O1738">
        <v>1669</v>
      </c>
      <c r="P1738">
        <v>1196</v>
      </c>
      <c r="Q1738" s="5" t="e">
        <f>IF(AND(#REF!&gt;=table!$C$6,#REF!&lt;= table!$D$6),-1,IF(AND(#REF!&gt;=table!$E$6,#REF!&lt;=table!$F$6),1,0))</f>
        <v>#REF!</v>
      </c>
      <c r="R1738" s="5" t="e">
        <f>IF(AND(#REF!&gt;=table!$C$7,#REF!&lt;= table!$D$7),-1,IF(AND(#REF!&gt;=table!$E$7,#REF!&lt;=table!$F$7),1,0))</f>
        <v>#REF!</v>
      </c>
      <c r="S1738" s="5" t="e">
        <f>IF(AND(#REF!&gt;=table!$C$8,#REF!&lt;= table!$D$8),-1,IF(AND(#REF!&gt;=table!$E$8,#REF!&lt;=table!$F$8),1,0))</f>
        <v>#REF!</v>
      </c>
      <c r="T1738" s="5"/>
      <c r="U1738" s="5" t="e">
        <f>IF(AND(#REF!&gt;=table!$C$10,#REF!&lt;= table!$D$10),-1,IF(AND(#REF!&gt;=table!$E$10,#REF!&lt;=table!$F$10),1,0))</f>
        <v>#REF!</v>
      </c>
      <c r="V1738" s="5" t="e">
        <f>IF(AND(#REF!&gt;=table!$C$11,#REF!&lt;= table!$D$11),-1,IF(AND(#REF!&gt;=table!$E$11,#REF!&lt;=table!$F$11),1,0))</f>
        <v>#REF!</v>
      </c>
      <c r="W1738" s="5" t="e">
        <f>CONCATENATE(dados[[#This Row],[fator1]],dados[[#This Row],[fator5]],dados[[#This Row],[fator6]])</f>
        <v>#REF!</v>
      </c>
    </row>
    <row r="1739" spans="1:23">
      <c r="A1739" t="s">
        <v>16</v>
      </c>
      <c r="B1739">
        <v>485977</v>
      </c>
      <c r="C1739">
        <v>16</v>
      </c>
      <c r="D1739">
        <v>35</v>
      </c>
      <c r="E1739">
        <v>36</v>
      </c>
      <c r="F1739">
        <v>10</v>
      </c>
      <c r="G1739">
        <v>0</v>
      </c>
      <c r="H1739">
        <v>25</v>
      </c>
      <c r="I1739">
        <v>552</v>
      </c>
      <c r="J1739">
        <v>0</v>
      </c>
      <c r="K1739">
        <v>3.3480000000000003</v>
      </c>
      <c r="L1739">
        <v>4.681</v>
      </c>
      <c r="M1739">
        <v>26.766000000000002</v>
      </c>
      <c r="N1739">
        <v>10.565000000000001</v>
      </c>
      <c r="O1739">
        <v>1648</v>
      </c>
      <c r="P1739">
        <v>1050</v>
      </c>
      <c r="Q1739" s="5" t="e">
        <f>IF(AND(#REF!&gt;=table!$C$6,#REF!&lt;= table!$D$6),-1,IF(AND(#REF!&gt;=table!$E$6,#REF!&lt;=table!$F$6),1,0))</f>
        <v>#REF!</v>
      </c>
      <c r="R1739" s="5" t="e">
        <f>IF(AND(#REF!&gt;=table!$C$7,#REF!&lt;= table!$D$7),-1,IF(AND(#REF!&gt;=table!$E$7,#REF!&lt;=table!$F$7),1,0))</f>
        <v>#REF!</v>
      </c>
      <c r="S1739" s="5" t="e">
        <f>IF(AND(#REF!&gt;=table!$C$8,#REF!&lt;= table!$D$8),-1,IF(AND(#REF!&gt;=table!$E$8,#REF!&lt;=table!$F$8),1,0))</f>
        <v>#REF!</v>
      </c>
      <c r="T1739" s="5"/>
      <c r="U1739" s="5" t="e">
        <f>IF(AND(#REF!&gt;=table!$C$10,#REF!&lt;= table!$D$10),-1,IF(AND(#REF!&gt;=table!$E$10,#REF!&lt;=table!$F$10),1,0))</f>
        <v>#REF!</v>
      </c>
      <c r="V1739" s="5" t="e">
        <f>IF(AND(#REF!&gt;=table!$C$11,#REF!&lt;= table!$D$11),-1,IF(AND(#REF!&gt;=table!$E$11,#REF!&lt;=table!$F$11),1,0))</f>
        <v>#REF!</v>
      </c>
      <c r="W1739" s="5" t="e">
        <f>CONCATENATE(dados[[#This Row],[fator1]],dados[[#This Row],[fator5]],dados[[#This Row],[fator6]])</f>
        <v>#REF!</v>
      </c>
    </row>
    <row r="1740" spans="1:23">
      <c r="A1740" t="s">
        <v>16</v>
      </c>
      <c r="B1740">
        <v>485979</v>
      </c>
      <c r="C1740">
        <v>16</v>
      </c>
      <c r="D1740">
        <v>35</v>
      </c>
      <c r="E1740">
        <v>56</v>
      </c>
      <c r="F1740">
        <v>10</v>
      </c>
      <c r="G1740">
        <v>0</v>
      </c>
      <c r="H1740">
        <v>25</v>
      </c>
      <c r="I1740">
        <v>1090</v>
      </c>
      <c r="J1740">
        <v>0</v>
      </c>
      <c r="K1740">
        <v>3.4825000000000004</v>
      </c>
      <c r="L1740">
        <v>5.8685</v>
      </c>
      <c r="M1740">
        <v>41.349499999999999</v>
      </c>
      <c r="N1740">
        <v>12.4</v>
      </c>
      <c r="O1740">
        <v>1681</v>
      </c>
      <c r="P1740">
        <v>1127</v>
      </c>
      <c r="Q1740" s="5" t="e">
        <f>IF(AND(#REF!&gt;=table!$C$6,#REF!&lt;= table!$D$6),-1,IF(AND(#REF!&gt;=table!$E$6,#REF!&lt;=table!$F$6),1,0))</f>
        <v>#REF!</v>
      </c>
      <c r="R1740" s="5" t="e">
        <f>IF(AND(#REF!&gt;=table!$C$7,#REF!&lt;= table!$D$7),-1,IF(AND(#REF!&gt;=table!$E$7,#REF!&lt;=table!$F$7),1,0))</f>
        <v>#REF!</v>
      </c>
      <c r="S1740" s="5" t="e">
        <f>IF(AND(#REF!&gt;=table!$C$8,#REF!&lt;= table!$D$8),-1,IF(AND(#REF!&gt;=table!$E$8,#REF!&lt;=table!$F$8),1,0))</f>
        <v>#REF!</v>
      </c>
      <c r="T1740" s="5"/>
      <c r="U1740" s="5" t="e">
        <f>IF(AND(#REF!&gt;=table!$C$10,#REF!&lt;= table!$D$10),-1,IF(AND(#REF!&gt;=table!$E$10,#REF!&lt;=table!$F$10),1,0))</f>
        <v>#REF!</v>
      </c>
      <c r="V1740" s="5" t="e">
        <f>IF(AND(#REF!&gt;=table!$C$11,#REF!&lt;= table!$D$11),-1,IF(AND(#REF!&gt;=table!$E$11,#REF!&lt;=table!$F$11),1,0))</f>
        <v>#REF!</v>
      </c>
      <c r="W1740" s="5" t="e">
        <f>CONCATENATE(dados[[#This Row],[fator1]],dados[[#This Row],[fator5]],dados[[#This Row],[fator6]])</f>
        <v>#REF!</v>
      </c>
    </row>
    <row r="1741" spans="1:23">
      <c r="A1741" t="s">
        <v>16</v>
      </c>
      <c r="B1741">
        <v>485980</v>
      </c>
      <c r="C1741">
        <v>12</v>
      </c>
      <c r="D1741">
        <v>35</v>
      </c>
      <c r="E1741">
        <v>86</v>
      </c>
      <c r="F1741">
        <v>10</v>
      </c>
      <c r="G1741">
        <v>0</v>
      </c>
      <c r="H1741">
        <v>25</v>
      </c>
      <c r="I1741">
        <v>2274</v>
      </c>
      <c r="J1741">
        <v>0</v>
      </c>
      <c r="K1741">
        <v>4.1725000000000003</v>
      </c>
      <c r="L1741">
        <v>6.5434999999999999</v>
      </c>
      <c r="M1741">
        <v>67.07650000000001</v>
      </c>
      <c r="N1741">
        <v>18.725000000000001</v>
      </c>
      <c r="O1741">
        <v>1690</v>
      </c>
      <c r="P1741">
        <v>951</v>
      </c>
      <c r="Q1741" s="5" t="e">
        <f>IF(AND(#REF!&gt;=table!$C$6,#REF!&lt;= table!$D$6),-1,IF(AND(#REF!&gt;=table!$E$6,#REF!&lt;=table!$F$6),1,0))</f>
        <v>#REF!</v>
      </c>
      <c r="R1741" s="5" t="e">
        <f>IF(AND(#REF!&gt;=table!$C$7,#REF!&lt;= table!$D$7),-1,IF(AND(#REF!&gt;=table!$E$7,#REF!&lt;=table!$F$7),1,0))</f>
        <v>#REF!</v>
      </c>
      <c r="S1741" s="5" t="e">
        <f>IF(AND(#REF!&gt;=table!$C$8,#REF!&lt;= table!$D$8),-1,IF(AND(#REF!&gt;=table!$E$8,#REF!&lt;=table!$F$8),1,0))</f>
        <v>#REF!</v>
      </c>
      <c r="T1741" s="5"/>
      <c r="U1741" s="5" t="e">
        <f>IF(AND(#REF!&gt;=table!$C$10,#REF!&lt;= table!$D$10),-1,IF(AND(#REF!&gt;=table!$E$10,#REF!&lt;=table!$F$10),1,0))</f>
        <v>#REF!</v>
      </c>
      <c r="V1741" s="5" t="e">
        <f>IF(AND(#REF!&gt;=table!$C$11,#REF!&lt;= table!$D$11),-1,IF(AND(#REF!&gt;=table!$E$11,#REF!&lt;=table!$F$11),1,0))</f>
        <v>#REF!</v>
      </c>
      <c r="W1741" s="5" t="e">
        <f>CONCATENATE(dados[[#This Row],[fator1]],dados[[#This Row],[fator5]],dados[[#This Row],[fator6]])</f>
        <v>#REF!</v>
      </c>
    </row>
    <row r="1742" spans="1:23">
      <c r="A1742" t="s">
        <v>16</v>
      </c>
      <c r="B1742">
        <v>485981</v>
      </c>
      <c r="C1742">
        <v>12</v>
      </c>
      <c r="D1742">
        <v>35</v>
      </c>
      <c r="E1742">
        <v>86</v>
      </c>
      <c r="F1742">
        <v>10</v>
      </c>
      <c r="G1742">
        <v>0</v>
      </c>
      <c r="H1742">
        <v>25</v>
      </c>
      <c r="I1742">
        <v>805</v>
      </c>
      <c r="J1742">
        <v>920</v>
      </c>
      <c r="K1742">
        <v>5.3075000000000001</v>
      </c>
      <c r="L1742">
        <v>7.6120000000000001</v>
      </c>
      <c r="M1742">
        <v>60.332000000000001</v>
      </c>
      <c r="N1742">
        <v>16.505000000000003</v>
      </c>
      <c r="O1742">
        <v>1679</v>
      </c>
      <c r="P1742">
        <v>0</v>
      </c>
      <c r="Q1742" s="5" t="e">
        <f>IF(AND(#REF!&gt;=table!$C$6,#REF!&lt;= table!$D$6),-1,IF(AND(#REF!&gt;=table!$E$6,#REF!&lt;=table!$F$6),1,0))</f>
        <v>#REF!</v>
      </c>
      <c r="R1742" s="5" t="e">
        <f>IF(AND(#REF!&gt;=table!$C$7,#REF!&lt;= table!$D$7),-1,IF(AND(#REF!&gt;=table!$E$7,#REF!&lt;=table!$F$7),1,0))</f>
        <v>#REF!</v>
      </c>
      <c r="S1742" s="5" t="e">
        <f>IF(AND(#REF!&gt;=table!$C$8,#REF!&lt;= table!$D$8),-1,IF(AND(#REF!&gt;=table!$E$8,#REF!&lt;=table!$F$8),1,0))</f>
        <v>#REF!</v>
      </c>
      <c r="T1742" s="5"/>
      <c r="U1742" s="5" t="e">
        <f>IF(AND(#REF!&gt;=table!$C$10,#REF!&lt;= table!$D$10),-1,IF(AND(#REF!&gt;=table!$E$10,#REF!&lt;=table!$F$10),1,0))</f>
        <v>#REF!</v>
      </c>
      <c r="V1742" s="5" t="e">
        <f>IF(AND(#REF!&gt;=table!$C$11,#REF!&lt;= table!$D$11),-1,IF(AND(#REF!&gt;=table!$E$11,#REF!&lt;=table!$F$11),1,0))</f>
        <v>#REF!</v>
      </c>
      <c r="W1742" s="5" t="e">
        <f>CONCATENATE(dados[[#This Row],[fator1]],dados[[#This Row],[fator5]],dados[[#This Row],[fator6]])</f>
        <v>#REF!</v>
      </c>
    </row>
    <row r="1743" spans="1:23">
      <c r="A1743" t="s">
        <v>16</v>
      </c>
      <c r="B1743">
        <v>485985</v>
      </c>
      <c r="C1743">
        <v>9</v>
      </c>
      <c r="D1743">
        <v>35</v>
      </c>
      <c r="E1743">
        <v>36</v>
      </c>
      <c r="F1743">
        <v>9</v>
      </c>
      <c r="G1743">
        <v>0</v>
      </c>
      <c r="H1743">
        <v>25</v>
      </c>
      <c r="I1743">
        <v>1676</v>
      </c>
      <c r="J1743">
        <v>0</v>
      </c>
      <c r="K1743">
        <v>7.1750000000000007</v>
      </c>
      <c r="L1743">
        <v>7.9690000000000003</v>
      </c>
      <c r="M1743">
        <v>26.236000000000001</v>
      </c>
      <c r="N1743">
        <v>12.05</v>
      </c>
      <c r="O1743">
        <v>1650</v>
      </c>
      <c r="P1743">
        <v>470</v>
      </c>
      <c r="Q1743" s="5" t="e">
        <f>IF(AND(#REF!&gt;=table!$C$6,#REF!&lt;= table!$D$6),-1,IF(AND(#REF!&gt;=table!$E$6,#REF!&lt;=table!$F$6),1,0))</f>
        <v>#REF!</v>
      </c>
      <c r="R1743" s="5" t="e">
        <f>IF(AND(#REF!&gt;=table!$C$7,#REF!&lt;= table!$D$7),-1,IF(AND(#REF!&gt;=table!$E$7,#REF!&lt;=table!$F$7),1,0))</f>
        <v>#REF!</v>
      </c>
      <c r="S1743" s="5" t="e">
        <f>IF(AND(#REF!&gt;=table!$C$8,#REF!&lt;= table!$D$8),-1,IF(AND(#REF!&gt;=table!$E$8,#REF!&lt;=table!$F$8),1,0))</f>
        <v>#REF!</v>
      </c>
      <c r="T1743" s="5"/>
      <c r="U1743" s="5" t="e">
        <f>IF(AND(#REF!&gt;=table!$C$10,#REF!&lt;= table!$D$10),-1,IF(AND(#REF!&gt;=table!$E$10,#REF!&lt;=table!$F$10),1,0))</f>
        <v>#REF!</v>
      </c>
      <c r="V1743" s="5" t="e">
        <f>IF(AND(#REF!&gt;=table!$C$11,#REF!&lt;= table!$D$11),-1,IF(AND(#REF!&gt;=table!$E$11,#REF!&lt;=table!$F$11),1,0))</f>
        <v>#REF!</v>
      </c>
      <c r="W1743" s="5" t="e">
        <f>CONCATENATE(dados[[#This Row],[fator1]],dados[[#This Row],[fator5]],dados[[#This Row],[fator6]])</f>
        <v>#REF!</v>
      </c>
    </row>
    <row r="1744" spans="1:23">
      <c r="A1744" t="s">
        <v>16</v>
      </c>
      <c r="B1744">
        <v>485987</v>
      </c>
      <c r="C1744">
        <v>3</v>
      </c>
      <c r="D1744">
        <v>30</v>
      </c>
      <c r="E1744">
        <v>21</v>
      </c>
      <c r="F1744">
        <v>15</v>
      </c>
      <c r="G1744">
        <v>0</v>
      </c>
      <c r="H1744">
        <v>25</v>
      </c>
      <c r="I1744">
        <v>681</v>
      </c>
      <c r="J1744">
        <v>0</v>
      </c>
      <c r="K1744">
        <v>4.5715000000000003</v>
      </c>
      <c r="L1744">
        <v>12.519500000000001</v>
      </c>
      <c r="M1744">
        <v>10.628</v>
      </c>
      <c r="N1744">
        <v>18.55</v>
      </c>
      <c r="O1744">
        <v>1674</v>
      </c>
      <c r="P1744">
        <v>728</v>
      </c>
      <c r="Q1744" s="5" t="e">
        <f>IF(AND(#REF!&gt;=table!$C$6,#REF!&lt;= table!$D$6),-1,IF(AND(#REF!&gt;=table!$E$6,#REF!&lt;=table!$F$6),1,0))</f>
        <v>#REF!</v>
      </c>
      <c r="R1744" s="5" t="e">
        <f>IF(AND(#REF!&gt;=table!$C$7,#REF!&lt;= table!$D$7),-1,IF(AND(#REF!&gt;=table!$E$7,#REF!&lt;=table!$F$7),1,0))</f>
        <v>#REF!</v>
      </c>
      <c r="S1744" s="5" t="e">
        <f>IF(AND(#REF!&gt;=table!$C$8,#REF!&lt;= table!$D$8),-1,IF(AND(#REF!&gt;=table!$E$8,#REF!&lt;=table!$F$8),1,0))</f>
        <v>#REF!</v>
      </c>
      <c r="T1744" s="5"/>
      <c r="U1744" s="5" t="e">
        <f>IF(AND(#REF!&gt;=table!$C$10,#REF!&lt;= table!$D$10),-1,IF(AND(#REF!&gt;=table!$E$10,#REF!&lt;=table!$F$10),1,0))</f>
        <v>#REF!</v>
      </c>
      <c r="V1744" s="5" t="e">
        <f>IF(AND(#REF!&gt;=table!$C$11,#REF!&lt;= table!$D$11),-1,IF(AND(#REF!&gt;=table!$E$11,#REF!&lt;=table!$F$11),1,0))</f>
        <v>#REF!</v>
      </c>
      <c r="W1744" s="5" t="e">
        <f>CONCATENATE(dados[[#This Row],[fator1]],dados[[#This Row],[fator5]],dados[[#This Row],[fator6]])</f>
        <v>#REF!</v>
      </c>
    </row>
    <row r="1745" spans="1:23">
      <c r="A1745" t="s">
        <v>17</v>
      </c>
      <c r="B1745">
        <v>485988</v>
      </c>
      <c r="C1745">
        <v>18</v>
      </c>
      <c r="D1745">
        <v>23</v>
      </c>
      <c r="E1745">
        <v>145</v>
      </c>
      <c r="F1745">
        <v>9</v>
      </c>
      <c r="G1745">
        <v>30</v>
      </c>
      <c r="H1745">
        <v>25</v>
      </c>
      <c r="I1745">
        <v>509</v>
      </c>
      <c r="J1745">
        <v>0</v>
      </c>
      <c r="K1745">
        <v>4.1370000000000005</v>
      </c>
      <c r="L1745">
        <v>6.9315000000000007</v>
      </c>
      <c r="M1745">
        <v>114.8935</v>
      </c>
      <c r="N1745">
        <v>14.5</v>
      </c>
      <c r="O1745">
        <v>1666</v>
      </c>
      <c r="P1745">
        <v>860</v>
      </c>
      <c r="Q1745" s="5" t="e">
        <f>IF(AND(#REF!&gt;=table!$C$6,#REF!&lt;= table!$D$6),-1,IF(AND(#REF!&gt;=table!$E$6,#REF!&lt;=table!$F$6),1,0))</f>
        <v>#REF!</v>
      </c>
      <c r="R1745" s="5" t="e">
        <f>IF(AND(#REF!&gt;=table!$C$7,#REF!&lt;= table!$D$7),-1,IF(AND(#REF!&gt;=table!$E$7,#REF!&lt;=table!$F$7),1,0))</f>
        <v>#REF!</v>
      </c>
      <c r="S1745" s="5" t="e">
        <f>IF(AND(#REF!&gt;=table!$C$8,#REF!&lt;= table!$D$8),-1,IF(AND(#REF!&gt;=table!$E$8,#REF!&lt;=table!$F$8),1,0))</f>
        <v>#REF!</v>
      </c>
      <c r="T1745" s="5"/>
      <c r="U1745" s="5" t="e">
        <f>IF(AND(#REF!&gt;=table!$C$10,#REF!&lt;= table!$D$10),-1,IF(AND(#REF!&gt;=table!$E$10,#REF!&lt;=table!$F$10),1,0))</f>
        <v>#REF!</v>
      </c>
      <c r="V1745" s="5" t="e">
        <f>IF(AND(#REF!&gt;=table!$C$11,#REF!&lt;= table!$D$11),-1,IF(AND(#REF!&gt;=table!$E$11,#REF!&lt;=table!$F$11),1,0))</f>
        <v>#REF!</v>
      </c>
      <c r="W1745" s="5" t="e">
        <f>CONCATENATE(dados[[#This Row],[fator1]],dados[[#This Row],[fator5]],dados[[#This Row],[fator6]])</f>
        <v>#REF!</v>
      </c>
    </row>
    <row r="1746" spans="1:23">
      <c r="A1746" t="s">
        <v>17</v>
      </c>
      <c r="B1746">
        <v>485989</v>
      </c>
      <c r="C1746">
        <v>18</v>
      </c>
      <c r="D1746">
        <v>23</v>
      </c>
      <c r="E1746">
        <v>145</v>
      </c>
      <c r="F1746">
        <v>9</v>
      </c>
      <c r="G1746">
        <v>30</v>
      </c>
      <c r="H1746">
        <v>25</v>
      </c>
      <c r="I1746">
        <v>981</v>
      </c>
      <c r="J1746">
        <v>0</v>
      </c>
      <c r="K1746">
        <v>2.6640000000000001</v>
      </c>
      <c r="L1746">
        <v>4.7750000000000004</v>
      </c>
      <c r="M1746">
        <v>119.1575</v>
      </c>
      <c r="N1746">
        <v>13.255000000000001</v>
      </c>
      <c r="O1746">
        <v>1680</v>
      </c>
      <c r="P1746">
        <v>1317</v>
      </c>
      <c r="Q1746" s="5" t="e">
        <f>IF(AND(#REF!&gt;=table!$C$6,#REF!&lt;= table!$D$6),-1,IF(AND(#REF!&gt;=table!$E$6,#REF!&lt;=table!$F$6),1,0))</f>
        <v>#REF!</v>
      </c>
      <c r="R1746" s="5" t="e">
        <f>IF(AND(#REF!&gt;=table!$C$7,#REF!&lt;= table!$D$7),-1,IF(AND(#REF!&gt;=table!$E$7,#REF!&lt;=table!$F$7),1,0))</f>
        <v>#REF!</v>
      </c>
      <c r="S1746" s="5" t="e">
        <f>IF(AND(#REF!&gt;=table!$C$8,#REF!&lt;= table!$D$8),-1,IF(AND(#REF!&gt;=table!$E$8,#REF!&lt;=table!$F$8),1,0))</f>
        <v>#REF!</v>
      </c>
      <c r="T1746" s="5"/>
      <c r="U1746" s="5" t="e">
        <f>IF(AND(#REF!&gt;=table!$C$10,#REF!&lt;= table!$D$10),-1,IF(AND(#REF!&gt;=table!$E$10,#REF!&lt;=table!$F$10),1,0))</f>
        <v>#REF!</v>
      </c>
      <c r="V1746" s="5" t="e">
        <f>IF(AND(#REF!&gt;=table!$C$11,#REF!&lt;= table!$D$11),-1,IF(AND(#REF!&gt;=table!$E$11,#REF!&lt;=table!$F$11),1,0))</f>
        <v>#REF!</v>
      </c>
      <c r="W1746" s="5" t="e">
        <f>CONCATENATE(dados[[#This Row],[fator1]],dados[[#This Row],[fator5]],dados[[#This Row],[fator6]])</f>
        <v>#REF!</v>
      </c>
    </row>
    <row r="1747" spans="1:23">
      <c r="A1747" t="s">
        <v>17</v>
      </c>
      <c r="B1747">
        <v>485990</v>
      </c>
      <c r="C1747">
        <v>16</v>
      </c>
      <c r="D1747">
        <v>23</v>
      </c>
      <c r="E1747">
        <v>145</v>
      </c>
      <c r="F1747">
        <v>9</v>
      </c>
      <c r="G1747">
        <v>30</v>
      </c>
      <c r="H1747">
        <v>25</v>
      </c>
      <c r="I1747">
        <v>63</v>
      </c>
      <c r="J1747">
        <v>760</v>
      </c>
      <c r="K1747">
        <v>4.2780000000000005</v>
      </c>
      <c r="L1747">
        <v>3.2905000000000002</v>
      </c>
      <c r="M1747">
        <v>100.57350000000001</v>
      </c>
      <c r="N1747">
        <v>12.055</v>
      </c>
      <c r="O1747">
        <v>1630</v>
      </c>
      <c r="P1747">
        <v>751</v>
      </c>
      <c r="Q1747" s="5" t="e">
        <f>IF(AND(#REF!&gt;=table!$C$6,#REF!&lt;= table!$D$6),-1,IF(AND(#REF!&gt;=table!$E$6,#REF!&lt;=table!$F$6),1,0))</f>
        <v>#REF!</v>
      </c>
      <c r="R1747" s="5" t="e">
        <f>IF(AND(#REF!&gt;=table!$C$7,#REF!&lt;= table!$D$7),-1,IF(AND(#REF!&gt;=table!$E$7,#REF!&lt;=table!$F$7),1,0))</f>
        <v>#REF!</v>
      </c>
      <c r="S1747" s="5" t="e">
        <f>IF(AND(#REF!&gt;=table!$C$8,#REF!&lt;= table!$D$8),-1,IF(AND(#REF!&gt;=table!$E$8,#REF!&lt;=table!$F$8),1,0))</f>
        <v>#REF!</v>
      </c>
      <c r="T1747" s="5"/>
      <c r="U1747" s="5" t="e">
        <f>IF(AND(#REF!&gt;=table!$C$10,#REF!&lt;= table!$D$10),-1,IF(AND(#REF!&gt;=table!$E$10,#REF!&lt;=table!$F$10),1,0))</f>
        <v>#REF!</v>
      </c>
      <c r="V1747" s="5" t="e">
        <f>IF(AND(#REF!&gt;=table!$C$11,#REF!&lt;= table!$D$11),-1,IF(AND(#REF!&gt;=table!$E$11,#REF!&lt;=table!$F$11),1,0))</f>
        <v>#REF!</v>
      </c>
      <c r="W1747" s="5" t="e">
        <f>CONCATENATE(dados[[#This Row],[fator1]],dados[[#This Row],[fator5]],dados[[#This Row],[fator6]])</f>
        <v>#REF!</v>
      </c>
    </row>
    <row r="1748" spans="1:23">
      <c r="A1748" t="s">
        <v>17</v>
      </c>
      <c r="B1748">
        <v>485992</v>
      </c>
      <c r="C1748">
        <v>16</v>
      </c>
      <c r="D1748">
        <v>23</v>
      </c>
      <c r="E1748">
        <v>145</v>
      </c>
      <c r="F1748">
        <v>9</v>
      </c>
      <c r="G1748">
        <v>30</v>
      </c>
      <c r="H1748">
        <v>25</v>
      </c>
      <c r="I1748">
        <v>0</v>
      </c>
      <c r="J1748">
        <v>0</v>
      </c>
      <c r="K1748">
        <v>5.7215000000000007</v>
      </c>
      <c r="L1748">
        <v>12.4755</v>
      </c>
      <c r="M1748">
        <v>136.99950000000001</v>
      </c>
      <c r="N1748">
        <v>19.27</v>
      </c>
      <c r="O1748">
        <v>1665</v>
      </c>
      <c r="P1748">
        <v>586</v>
      </c>
      <c r="Q1748" s="5" t="e">
        <f>IF(AND(#REF!&gt;=table!$C$6,#REF!&lt;= table!$D$6),-1,IF(AND(#REF!&gt;=table!$E$6,#REF!&lt;=table!$F$6),1,0))</f>
        <v>#REF!</v>
      </c>
      <c r="R1748" s="5" t="e">
        <f>IF(AND(#REF!&gt;=table!$C$7,#REF!&lt;= table!$D$7),-1,IF(AND(#REF!&gt;=table!$E$7,#REF!&lt;=table!$F$7),1,0))</f>
        <v>#REF!</v>
      </c>
      <c r="S1748" s="5" t="e">
        <f>IF(AND(#REF!&gt;=table!$C$8,#REF!&lt;= table!$D$8),-1,IF(AND(#REF!&gt;=table!$E$8,#REF!&lt;=table!$F$8),1,0))</f>
        <v>#REF!</v>
      </c>
      <c r="T1748" s="5"/>
      <c r="U1748" s="5" t="e">
        <f>IF(AND(#REF!&gt;=table!$C$10,#REF!&lt;= table!$D$10),-1,IF(AND(#REF!&gt;=table!$E$10,#REF!&lt;=table!$F$10),1,0))</f>
        <v>#REF!</v>
      </c>
      <c r="V1748" s="5" t="e">
        <f>IF(AND(#REF!&gt;=table!$C$11,#REF!&lt;= table!$D$11),-1,IF(AND(#REF!&gt;=table!$E$11,#REF!&lt;=table!$F$11),1,0))</f>
        <v>#REF!</v>
      </c>
      <c r="W1748" s="5" t="e">
        <f>CONCATENATE(dados[[#This Row],[fator1]],dados[[#This Row],[fator5]],dados[[#This Row],[fator6]])</f>
        <v>#REF!</v>
      </c>
    </row>
    <row r="1749" spans="1:23">
      <c r="A1749" t="s">
        <v>17</v>
      </c>
      <c r="B1749">
        <v>485994</v>
      </c>
      <c r="C1749">
        <v>8</v>
      </c>
      <c r="D1749">
        <v>30</v>
      </c>
      <c r="E1749">
        <v>153</v>
      </c>
      <c r="F1749">
        <v>2</v>
      </c>
      <c r="G1749">
        <v>20</v>
      </c>
      <c r="H1749">
        <v>18</v>
      </c>
      <c r="I1749">
        <v>1247</v>
      </c>
      <c r="J1749">
        <v>0</v>
      </c>
      <c r="K1749">
        <v>4.5795000000000003</v>
      </c>
      <c r="L1749">
        <v>3.968</v>
      </c>
      <c r="M1749">
        <v>125.73350000000001</v>
      </c>
      <c r="N1749">
        <v>11.77</v>
      </c>
      <c r="O1749">
        <v>1667</v>
      </c>
      <c r="P1749">
        <v>582</v>
      </c>
      <c r="Q1749" s="5" t="e">
        <f>IF(AND(#REF!&gt;=table!$C$6,#REF!&lt;= table!$D$6),-1,IF(AND(#REF!&gt;=table!$E$6,#REF!&lt;=table!$F$6),1,0))</f>
        <v>#REF!</v>
      </c>
      <c r="R1749" s="5" t="e">
        <f>IF(AND(#REF!&gt;=table!$C$7,#REF!&lt;= table!$D$7),-1,IF(AND(#REF!&gt;=table!$E$7,#REF!&lt;=table!$F$7),1,0))</f>
        <v>#REF!</v>
      </c>
      <c r="S1749" s="5" t="e">
        <f>IF(AND(#REF!&gt;=table!$C$8,#REF!&lt;= table!$D$8),-1,IF(AND(#REF!&gt;=table!$E$8,#REF!&lt;=table!$F$8),1,0))</f>
        <v>#REF!</v>
      </c>
      <c r="T1749" s="5"/>
      <c r="U1749" s="5" t="e">
        <f>IF(AND(#REF!&gt;=table!$C$10,#REF!&lt;= table!$D$10),-1,IF(AND(#REF!&gt;=table!$E$10,#REF!&lt;=table!$F$10),1,0))</f>
        <v>#REF!</v>
      </c>
      <c r="V1749" s="5" t="e">
        <f>IF(AND(#REF!&gt;=table!$C$11,#REF!&lt;= table!$D$11),-1,IF(AND(#REF!&gt;=table!$E$11,#REF!&lt;=table!$F$11),1,0))</f>
        <v>#REF!</v>
      </c>
      <c r="W1749" s="5" t="e">
        <f>CONCATENATE(dados[[#This Row],[fator1]],dados[[#This Row],[fator5]],dados[[#This Row],[fator6]])</f>
        <v>#REF!</v>
      </c>
    </row>
    <row r="1750" spans="1:23">
      <c r="A1750" t="s">
        <v>16</v>
      </c>
      <c r="B1750">
        <v>485998</v>
      </c>
      <c r="C1750">
        <v>0.15</v>
      </c>
      <c r="D1750">
        <v>40</v>
      </c>
      <c r="E1750">
        <v>10</v>
      </c>
      <c r="F1750">
        <v>15</v>
      </c>
      <c r="G1750">
        <v>0</v>
      </c>
      <c r="H1750">
        <v>15</v>
      </c>
      <c r="I1750">
        <v>1271</v>
      </c>
      <c r="J1750">
        <v>0</v>
      </c>
      <c r="K1750">
        <v>6.8780000000000001</v>
      </c>
      <c r="L1750">
        <v>5.6805000000000003</v>
      </c>
      <c r="M1750">
        <v>5.5325000000000006</v>
      </c>
      <c r="N1750">
        <v>8.5350000000000001</v>
      </c>
      <c r="O1750">
        <v>1680</v>
      </c>
      <c r="P1750">
        <v>0</v>
      </c>
      <c r="Q1750" s="5" t="e">
        <f>IF(AND(#REF!&gt;=table!$C$6,#REF!&lt;= table!$D$6),-1,IF(AND(#REF!&gt;=table!$E$6,#REF!&lt;=table!$F$6),1,0))</f>
        <v>#REF!</v>
      </c>
      <c r="R1750" s="5" t="e">
        <f>IF(AND(#REF!&gt;=table!$C$7,#REF!&lt;= table!$D$7),-1,IF(AND(#REF!&gt;=table!$E$7,#REF!&lt;=table!$F$7),1,0))</f>
        <v>#REF!</v>
      </c>
      <c r="S1750" s="5" t="e">
        <f>IF(AND(#REF!&gt;=table!$C$8,#REF!&lt;= table!$D$8),-1,IF(AND(#REF!&gt;=table!$E$8,#REF!&lt;=table!$F$8),1,0))</f>
        <v>#REF!</v>
      </c>
      <c r="T1750" s="5"/>
      <c r="U1750" s="5" t="e">
        <f>IF(AND(#REF!&gt;=table!$C$10,#REF!&lt;= table!$D$10),-1,IF(AND(#REF!&gt;=table!$E$10,#REF!&lt;=table!$F$10),1,0))</f>
        <v>#REF!</v>
      </c>
      <c r="V1750" s="5" t="e">
        <f>IF(AND(#REF!&gt;=table!$C$11,#REF!&lt;= table!$D$11),-1,IF(AND(#REF!&gt;=table!$E$11,#REF!&lt;=table!$F$11),1,0))</f>
        <v>#REF!</v>
      </c>
      <c r="W1750" s="5" t="e">
        <f>CONCATENATE(dados[[#This Row],[fator1]],dados[[#This Row],[fator5]],dados[[#This Row],[fator6]])</f>
        <v>#REF!</v>
      </c>
    </row>
    <row r="1751" spans="1:23">
      <c r="A1751" t="s">
        <v>16</v>
      </c>
      <c r="B1751">
        <v>485999</v>
      </c>
      <c r="C1751">
        <v>0.15</v>
      </c>
      <c r="D1751">
        <v>40</v>
      </c>
      <c r="E1751">
        <v>10</v>
      </c>
      <c r="F1751">
        <v>15</v>
      </c>
      <c r="G1751">
        <v>0</v>
      </c>
      <c r="H1751">
        <v>15</v>
      </c>
      <c r="I1751">
        <v>1049</v>
      </c>
      <c r="J1751">
        <v>0</v>
      </c>
      <c r="K1751">
        <v>3.2730000000000001</v>
      </c>
      <c r="L1751">
        <v>5.0670000000000002</v>
      </c>
      <c r="M1751">
        <v>4.6059999999999999</v>
      </c>
      <c r="N1751">
        <v>11.305</v>
      </c>
      <c r="O1751">
        <v>1686</v>
      </c>
      <c r="P1751">
        <v>1201</v>
      </c>
      <c r="Q1751" s="5" t="e">
        <f>IF(AND(#REF!&gt;=table!$C$6,#REF!&lt;= table!$D$6),-1,IF(AND(#REF!&gt;=table!$E$6,#REF!&lt;=table!$F$6),1,0))</f>
        <v>#REF!</v>
      </c>
      <c r="R1751" s="5" t="e">
        <f>IF(AND(#REF!&gt;=table!$C$7,#REF!&lt;= table!$D$7),-1,IF(AND(#REF!&gt;=table!$E$7,#REF!&lt;=table!$F$7),1,0))</f>
        <v>#REF!</v>
      </c>
      <c r="S1751" s="5" t="e">
        <f>IF(AND(#REF!&gt;=table!$C$8,#REF!&lt;= table!$D$8),-1,IF(AND(#REF!&gt;=table!$E$8,#REF!&lt;=table!$F$8),1,0))</f>
        <v>#REF!</v>
      </c>
      <c r="T1751" s="5"/>
      <c r="U1751" s="5" t="e">
        <f>IF(AND(#REF!&gt;=table!$C$10,#REF!&lt;= table!$D$10),-1,IF(AND(#REF!&gt;=table!$E$10,#REF!&lt;=table!$F$10),1,0))</f>
        <v>#REF!</v>
      </c>
      <c r="V1751" s="5" t="e">
        <f>IF(AND(#REF!&gt;=table!$C$11,#REF!&lt;= table!$D$11),-1,IF(AND(#REF!&gt;=table!$E$11,#REF!&lt;=table!$F$11),1,0))</f>
        <v>#REF!</v>
      </c>
      <c r="W1751" s="5" t="e">
        <f>CONCATENATE(dados[[#This Row],[fator1]],dados[[#This Row],[fator5]],dados[[#This Row],[fator6]])</f>
        <v>#REF!</v>
      </c>
    </row>
    <row r="1752" spans="1:23">
      <c r="A1752" t="s">
        <v>16</v>
      </c>
      <c r="B1752">
        <v>486002</v>
      </c>
      <c r="C1752">
        <v>0.2</v>
      </c>
      <c r="D1752">
        <v>65</v>
      </c>
      <c r="E1752">
        <v>26</v>
      </c>
      <c r="F1752">
        <v>15</v>
      </c>
      <c r="G1752">
        <v>0</v>
      </c>
      <c r="H1752">
        <v>30</v>
      </c>
      <c r="I1752">
        <v>234</v>
      </c>
      <c r="J1752">
        <v>0</v>
      </c>
      <c r="K1752">
        <v>2.5150000000000001</v>
      </c>
      <c r="L1752">
        <v>4.4350000000000005</v>
      </c>
      <c r="M1752">
        <v>3.8385000000000002</v>
      </c>
      <c r="N1752">
        <v>17.309999999999999</v>
      </c>
      <c r="O1752">
        <v>1694</v>
      </c>
      <c r="P1752">
        <v>1631</v>
      </c>
      <c r="Q1752" s="5" t="e">
        <f>IF(AND(#REF!&gt;=table!$C$6,#REF!&lt;= table!$D$6),-1,IF(AND(#REF!&gt;=table!$E$6,#REF!&lt;=table!$F$6),1,0))</f>
        <v>#REF!</v>
      </c>
      <c r="R1752" s="5" t="e">
        <f>IF(AND(#REF!&gt;=table!$C$7,#REF!&lt;= table!$D$7),-1,IF(AND(#REF!&gt;=table!$E$7,#REF!&lt;=table!$F$7),1,0))</f>
        <v>#REF!</v>
      </c>
      <c r="S1752" s="5" t="e">
        <f>IF(AND(#REF!&gt;=table!$C$8,#REF!&lt;= table!$D$8),-1,IF(AND(#REF!&gt;=table!$E$8,#REF!&lt;=table!$F$8),1,0))</f>
        <v>#REF!</v>
      </c>
      <c r="T1752" s="5"/>
      <c r="U1752" s="5" t="e">
        <f>IF(AND(#REF!&gt;=table!$C$10,#REF!&lt;= table!$D$10),-1,IF(AND(#REF!&gt;=table!$E$10,#REF!&lt;=table!$F$10),1,0))</f>
        <v>#REF!</v>
      </c>
      <c r="V1752" s="5" t="e">
        <f>IF(AND(#REF!&gt;=table!$C$11,#REF!&lt;= table!$D$11),-1,IF(AND(#REF!&gt;=table!$E$11,#REF!&lt;=table!$F$11),1,0))</f>
        <v>#REF!</v>
      </c>
      <c r="W1752" s="5" t="e">
        <f>CONCATENATE(dados[[#This Row],[fator1]],dados[[#This Row],[fator5]],dados[[#This Row],[fator6]])</f>
        <v>#REF!</v>
      </c>
    </row>
    <row r="1753" spans="1:23">
      <c r="A1753" t="s">
        <v>16</v>
      </c>
      <c r="B1753">
        <v>486015</v>
      </c>
      <c r="C1753">
        <v>7</v>
      </c>
      <c r="D1753">
        <v>33</v>
      </c>
      <c r="E1753">
        <v>153</v>
      </c>
      <c r="F1753">
        <v>4</v>
      </c>
      <c r="G1753">
        <v>0</v>
      </c>
      <c r="H1753">
        <v>25</v>
      </c>
      <c r="I1753">
        <v>708</v>
      </c>
      <c r="J1753">
        <v>0</v>
      </c>
      <c r="K1753">
        <v>6.0705</v>
      </c>
      <c r="L1753">
        <v>5.6875</v>
      </c>
      <c r="M1753">
        <v>143.5335</v>
      </c>
      <c r="N1753">
        <v>9.33</v>
      </c>
      <c r="O1753">
        <v>1662</v>
      </c>
      <c r="P1753">
        <v>697</v>
      </c>
      <c r="Q1753" s="5" t="e">
        <f>IF(AND(#REF!&gt;=table!$C$6,#REF!&lt;= table!$D$6),-1,IF(AND(#REF!&gt;=table!$E$6,#REF!&lt;=table!$F$6),1,0))</f>
        <v>#REF!</v>
      </c>
      <c r="R1753" s="5" t="e">
        <f>IF(AND(#REF!&gt;=table!$C$7,#REF!&lt;= table!$D$7),-1,IF(AND(#REF!&gt;=table!$E$7,#REF!&lt;=table!$F$7),1,0))</f>
        <v>#REF!</v>
      </c>
      <c r="S1753" s="5" t="e">
        <f>IF(AND(#REF!&gt;=table!$C$8,#REF!&lt;= table!$D$8),-1,IF(AND(#REF!&gt;=table!$E$8,#REF!&lt;=table!$F$8),1,0))</f>
        <v>#REF!</v>
      </c>
      <c r="T1753" s="5"/>
      <c r="U1753" s="5" t="e">
        <f>IF(AND(#REF!&gt;=table!$C$10,#REF!&lt;= table!$D$10),-1,IF(AND(#REF!&gt;=table!$E$10,#REF!&lt;=table!$F$10),1,0))</f>
        <v>#REF!</v>
      </c>
      <c r="V1753" s="5" t="e">
        <f>IF(AND(#REF!&gt;=table!$C$11,#REF!&lt;= table!$D$11),-1,IF(AND(#REF!&gt;=table!$E$11,#REF!&lt;=table!$F$11),1,0))</f>
        <v>#REF!</v>
      </c>
      <c r="W1753" s="5" t="e">
        <f>CONCATENATE(dados[[#This Row],[fator1]],dados[[#This Row],[fator5]],dados[[#This Row],[fator6]])</f>
        <v>#REF!</v>
      </c>
    </row>
    <row r="1754" spans="1:23">
      <c r="A1754" t="s">
        <v>16</v>
      </c>
      <c r="B1754">
        <v>486017</v>
      </c>
      <c r="C1754">
        <v>7</v>
      </c>
      <c r="D1754">
        <v>33</v>
      </c>
      <c r="E1754">
        <v>153</v>
      </c>
      <c r="F1754">
        <v>4</v>
      </c>
      <c r="G1754">
        <v>0</v>
      </c>
      <c r="H1754">
        <v>25</v>
      </c>
      <c r="I1754">
        <v>1050</v>
      </c>
      <c r="J1754">
        <v>0</v>
      </c>
      <c r="K1754">
        <v>3.7545000000000002</v>
      </c>
      <c r="L1754">
        <v>4.3605</v>
      </c>
      <c r="M1754">
        <v>124.63950000000001</v>
      </c>
      <c r="N1754">
        <v>13.665000000000001</v>
      </c>
      <c r="O1754">
        <v>1690</v>
      </c>
      <c r="P1754">
        <v>1498</v>
      </c>
      <c r="Q1754" s="5" t="e">
        <f>IF(AND(#REF!&gt;=table!$C$6,#REF!&lt;= table!$D$6),-1,IF(AND(#REF!&gt;=table!$E$6,#REF!&lt;=table!$F$6),1,0))</f>
        <v>#REF!</v>
      </c>
      <c r="R1754" s="5" t="e">
        <f>IF(AND(#REF!&gt;=table!$C$7,#REF!&lt;= table!$D$7),-1,IF(AND(#REF!&gt;=table!$E$7,#REF!&lt;=table!$F$7),1,0))</f>
        <v>#REF!</v>
      </c>
      <c r="S1754" s="5" t="e">
        <f>IF(AND(#REF!&gt;=table!$C$8,#REF!&lt;= table!$D$8),-1,IF(AND(#REF!&gt;=table!$E$8,#REF!&lt;=table!$F$8),1,0))</f>
        <v>#REF!</v>
      </c>
      <c r="T1754" s="5"/>
      <c r="U1754" s="5" t="e">
        <f>IF(AND(#REF!&gt;=table!$C$10,#REF!&lt;= table!$D$10),-1,IF(AND(#REF!&gt;=table!$E$10,#REF!&lt;=table!$F$10),1,0))</f>
        <v>#REF!</v>
      </c>
      <c r="V1754" s="5" t="e">
        <f>IF(AND(#REF!&gt;=table!$C$11,#REF!&lt;= table!$D$11),-1,IF(AND(#REF!&gt;=table!$E$11,#REF!&lt;=table!$F$11),1,0))</f>
        <v>#REF!</v>
      </c>
      <c r="W1754" s="5" t="e">
        <f>CONCATENATE(dados[[#This Row],[fator1]],dados[[#This Row],[fator5]],dados[[#This Row],[fator6]])</f>
        <v>#REF!</v>
      </c>
    </row>
    <row r="1755" spans="1:23">
      <c r="A1755" t="s">
        <v>16</v>
      </c>
      <c r="B1755">
        <v>486018</v>
      </c>
      <c r="C1755">
        <v>7</v>
      </c>
      <c r="D1755">
        <v>33</v>
      </c>
      <c r="E1755">
        <v>153</v>
      </c>
      <c r="F1755">
        <v>4</v>
      </c>
      <c r="G1755">
        <v>0</v>
      </c>
      <c r="H1755">
        <v>25</v>
      </c>
      <c r="I1755">
        <v>858</v>
      </c>
      <c r="J1755">
        <v>0</v>
      </c>
      <c r="K1755">
        <v>6.2210000000000001</v>
      </c>
      <c r="L1755">
        <v>6.9765000000000006</v>
      </c>
      <c r="M1755">
        <v>140.71250000000001</v>
      </c>
      <c r="N1755">
        <v>12.030000000000001</v>
      </c>
      <c r="O1755">
        <v>1659</v>
      </c>
      <c r="P1755">
        <v>648</v>
      </c>
      <c r="Q1755" s="5" t="e">
        <f>IF(AND(#REF!&gt;=table!$C$6,#REF!&lt;= table!$D$6),-1,IF(AND(#REF!&gt;=table!$E$6,#REF!&lt;=table!$F$6),1,0))</f>
        <v>#REF!</v>
      </c>
      <c r="R1755" s="5" t="e">
        <f>IF(AND(#REF!&gt;=table!$C$7,#REF!&lt;= table!$D$7),-1,IF(AND(#REF!&gt;=table!$E$7,#REF!&lt;=table!$F$7),1,0))</f>
        <v>#REF!</v>
      </c>
      <c r="S1755" s="5" t="e">
        <f>IF(AND(#REF!&gt;=table!$C$8,#REF!&lt;= table!$D$8),-1,IF(AND(#REF!&gt;=table!$E$8,#REF!&lt;=table!$F$8),1,0))</f>
        <v>#REF!</v>
      </c>
      <c r="T1755" s="5"/>
      <c r="U1755" s="5" t="e">
        <f>IF(AND(#REF!&gt;=table!$C$10,#REF!&lt;= table!$D$10),-1,IF(AND(#REF!&gt;=table!$E$10,#REF!&lt;=table!$F$10),1,0))</f>
        <v>#REF!</v>
      </c>
      <c r="V1755" s="5" t="e">
        <f>IF(AND(#REF!&gt;=table!$C$11,#REF!&lt;= table!$D$11),-1,IF(AND(#REF!&gt;=table!$E$11,#REF!&lt;=table!$F$11),1,0))</f>
        <v>#REF!</v>
      </c>
      <c r="W1755" s="5" t="e">
        <f>CONCATENATE(dados[[#This Row],[fator1]],dados[[#This Row],[fator5]],dados[[#This Row],[fator6]])</f>
        <v>#REF!</v>
      </c>
    </row>
    <row r="1756" spans="1:23">
      <c r="A1756" t="s">
        <v>16</v>
      </c>
      <c r="B1756">
        <v>486022</v>
      </c>
      <c r="C1756">
        <v>9</v>
      </c>
      <c r="D1756">
        <v>30</v>
      </c>
      <c r="E1756">
        <v>146</v>
      </c>
      <c r="F1756">
        <v>4</v>
      </c>
      <c r="G1756">
        <v>0</v>
      </c>
      <c r="H1756">
        <v>25</v>
      </c>
      <c r="I1756">
        <v>220</v>
      </c>
      <c r="J1756">
        <v>0</v>
      </c>
      <c r="K1756">
        <v>4.3784999999999998</v>
      </c>
      <c r="L1756">
        <v>8.016</v>
      </c>
      <c r="M1756">
        <v>134.32850000000002</v>
      </c>
      <c r="N1756">
        <v>13.625</v>
      </c>
      <c r="O1756">
        <v>1694</v>
      </c>
      <c r="P1756">
        <v>865</v>
      </c>
      <c r="Q1756" s="5" t="e">
        <f>IF(AND(#REF!&gt;=table!$C$6,#REF!&lt;= table!$D$6),-1,IF(AND(#REF!&gt;=table!$E$6,#REF!&lt;=table!$F$6),1,0))</f>
        <v>#REF!</v>
      </c>
      <c r="R1756" s="5" t="e">
        <f>IF(AND(#REF!&gt;=table!$C$7,#REF!&lt;= table!$D$7),-1,IF(AND(#REF!&gt;=table!$E$7,#REF!&lt;=table!$F$7),1,0))</f>
        <v>#REF!</v>
      </c>
      <c r="S1756" s="5" t="e">
        <f>IF(AND(#REF!&gt;=table!$C$8,#REF!&lt;= table!$D$8),-1,IF(AND(#REF!&gt;=table!$E$8,#REF!&lt;=table!$F$8),1,0))</f>
        <v>#REF!</v>
      </c>
      <c r="T1756" s="5"/>
      <c r="U1756" s="5" t="e">
        <f>IF(AND(#REF!&gt;=table!$C$10,#REF!&lt;= table!$D$10),-1,IF(AND(#REF!&gt;=table!$E$10,#REF!&lt;=table!$F$10),1,0))</f>
        <v>#REF!</v>
      </c>
      <c r="V1756" s="5" t="e">
        <f>IF(AND(#REF!&gt;=table!$C$11,#REF!&lt;= table!$D$11),-1,IF(AND(#REF!&gt;=table!$E$11,#REF!&lt;=table!$F$11),1,0))</f>
        <v>#REF!</v>
      </c>
      <c r="W1756" s="5" t="e">
        <f>CONCATENATE(dados[[#This Row],[fator1]],dados[[#This Row],[fator5]],dados[[#This Row],[fator6]])</f>
        <v>#REF!</v>
      </c>
    </row>
    <row r="1757" spans="1:23">
      <c r="A1757" t="s">
        <v>17</v>
      </c>
      <c r="B1757">
        <v>486025</v>
      </c>
      <c r="C1757">
        <v>18</v>
      </c>
      <c r="D1757">
        <v>23</v>
      </c>
      <c r="E1757">
        <v>145</v>
      </c>
      <c r="F1757">
        <v>9</v>
      </c>
      <c r="G1757">
        <v>30</v>
      </c>
      <c r="H1757">
        <v>25</v>
      </c>
      <c r="I1757">
        <v>1025</v>
      </c>
      <c r="J1757">
        <v>0</v>
      </c>
      <c r="K1757">
        <v>4.1630000000000003</v>
      </c>
      <c r="L1757">
        <v>8.2985000000000007</v>
      </c>
      <c r="M1757">
        <v>107.22450000000001</v>
      </c>
      <c r="N1757">
        <v>13.935</v>
      </c>
      <c r="O1757">
        <v>1669</v>
      </c>
      <c r="P1757">
        <v>739</v>
      </c>
      <c r="Q1757" s="5" t="e">
        <f>IF(AND(#REF!&gt;=table!$C$6,#REF!&lt;= table!$D$6),-1,IF(AND(#REF!&gt;=table!$E$6,#REF!&lt;=table!$F$6),1,0))</f>
        <v>#REF!</v>
      </c>
      <c r="R1757" s="5" t="e">
        <f>IF(AND(#REF!&gt;=table!$C$7,#REF!&lt;= table!$D$7),-1,IF(AND(#REF!&gt;=table!$E$7,#REF!&lt;=table!$F$7),1,0))</f>
        <v>#REF!</v>
      </c>
      <c r="S1757" s="5" t="e">
        <f>IF(AND(#REF!&gt;=table!$C$8,#REF!&lt;= table!$D$8),-1,IF(AND(#REF!&gt;=table!$E$8,#REF!&lt;=table!$F$8),1,0))</f>
        <v>#REF!</v>
      </c>
      <c r="T1757" s="5"/>
      <c r="U1757" s="5" t="e">
        <f>IF(AND(#REF!&gt;=table!$C$10,#REF!&lt;= table!$D$10),-1,IF(AND(#REF!&gt;=table!$E$10,#REF!&lt;=table!$F$10),1,0))</f>
        <v>#REF!</v>
      </c>
      <c r="V1757" s="5" t="e">
        <f>IF(AND(#REF!&gt;=table!$C$11,#REF!&lt;= table!$D$11),-1,IF(AND(#REF!&gt;=table!$E$11,#REF!&lt;=table!$F$11),1,0))</f>
        <v>#REF!</v>
      </c>
      <c r="W1757" s="5" t="e">
        <f>CONCATENATE(dados[[#This Row],[fator1]],dados[[#This Row],[fator5]],dados[[#This Row],[fator6]])</f>
        <v>#REF!</v>
      </c>
    </row>
    <row r="1758" spans="1:23">
      <c r="A1758" t="s">
        <v>17</v>
      </c>
      <c r="B1758">
        <v>486026</v>
      </c>
      <c r="C1758">
        <v>18</v>
      </c>
      <c r="D1758">
        <v>23</v>
      </c>
      <c r="E1758">
        <v>145</v>
      </c>
      <c r="F1758">
        <v>9</v>
      </c>
      <c r="G1758">
        <v>30</v>
      </c>
      <c r="H1758">
        <v>25</v>
      </c>
      <c r="I1758">
        <v>712</v>
      </c>
      <c r="J1758">
        <v>0</v>
      </c>
      <c r="K1758">
        <v>7.4080000000000004</v>
      </c>
      <c r="L1758">
        <v>12.449</v>
      </c>
      <c r="M1758">
        <v>126.34100000000001</v>
      </c>
      <c r="N1758">
        <v>13.18</v>
      </c>
      <c r="O1758">
        <v>1675</v>
      </c>
      <c r="P1758">
        <v>433</v>
      </c>
      <c r="Q1758" s="5" t="e">
        <f>IF(AND(#REF!&gt;=table!$C$6,#REF!&lt;= table!$D$6),-1,IF(AND(#REF!&gt;=table!$E$6,#REF!&lt;=table!$F$6),1,0))</f>
        <v>#REF!</v>
      </c>
      <c r="R1758" s="5" t="e">
        <f>IF(AND(#REF!&gt;=table!$C$7,#REF!&lt;= table!$D$7),-1,IF(AND(#REF!&gt;=table!$E$7,#REF!&lt;=table!$F$7),1,0))</f>
        <v>#REF!</v>
      </c>
      <c r="S1758" s="5" t="e">
        <f>IF(AND(#REF!&gt;=table!$C$8,#REF!&lt;= table!$D$8),-1,IF(AND(#REF!&gt;=table!$E$8,#REF!&lt;=table!$F$8),1,0))</f>
        <v>#REF!</v>
      </c>
      <c r="T1758" s="5"/>
      <c r="U1758" s="5" t="e">
        <f>IF(AND(#REF!&gt;=table!$C$10,#REF!&lt;= table!$D$10),-1,IF(AND(#REF!&gt;=table!$E$10,#REF!&lt;=table!$F$10),1,0))</f>
        <v>#REF!</v>
      </c>
      <c r="V1758" s="5" t="e">
        <f>IF(AND(#REF!&gt;=table!$C$11,#REF!&lt;= table!$D$11),-1,IF(AND(#REF!&gt;=table!$E$11,#REF!&lt;=table!$F$11),1,0))</f>
        <v>#REF!</v>
      </c>
      <c r="W1758" s="5" t="e">
        <f>CONCATENATE(dados[[#This Row],[fator1]],dados[[#This Row],[fator5]],dados[[#This Row],[fator6]])</f>
        <v>#REF!</v>
      </c>
    </row>
    <row r="1759" spans="1:23">
      <c r="A1759" t="s">
        <v>17</v>
      </c>
      <c r="B1759">
        <v>486027</v>
      </c>
      <c r="C1759">
        <v>16</v>
      </c>
      <c r="D1759">
        <v>33</v>
      </c>
      <c r="E1759">
        <v>150</v>
      </c>
      <c r="F1759">
        <v>8</v>
      </c>
      <c r="G1759">
        <v>15</v>
      </c>
      <c r="H1759">
        <v>25</v>
      </c>
      <c r="I1759">
        <v>941</v>
      </c>
      <c r="J1759">
        <v>0</v>
      </c>
      <c r="K1759">
        <v>4.4480000000000004</v>
      </c>
      <c r="L1759">
        <v>10.1815</v>
      </c>
      <c r="M1759">
        <v>141.24350000000001</v>
      </c>
      <c r="N1759">
        <v>12.835000000000001</v>
      </c>
      <c r="O1759">
        <v>1683</v>
      </c>
      <c r="P1759">
        <v>0</v>
      </c>
      <c r="Q1759" s="5" t="e">
        <f>IF(AND(#REF!&gt;=table!$C$6,#REF!&lt;= table!$D$6),-1,IF(AND(#REF!&gt;=table!$E$6,#REF!&lt;=table!$F$6),1,0))</f>
        <v>#REF!</v>
      </c>
      <c r="R1759" s="5" t="e">
        <f>IF(AND(#REF!&gt;=table!$C$7,#REF!&lt;= table!$D$7),-1,IF(AND(#REF!&gt;=table!$E$7,#REF!&lt;=table!$F$7),1,0))</f>
        <v>#REF!</v>
      </c>
      <c r="S1759" s="5" t="e">
        <f>IF(AND(#REF!&gt;=table!$C$8,#REF!&lt;= table!$D$8),-1,IF(AND(#REF!&gt;=table!$E$8,#REF!&lt;=table!$F$8),1,0))</f>
        <v>#REF!</v>
      </c>
      <c r="T1759" s="5"/>
      <c r="U1759" s="5" t="e">
        <f>IF(AND(#REF!&gt;=table!$C$10,#REF!&lt;= table!$D$10),-1,IF(AND(#REF!&gt;=table!$E$10,#REF!&lt;=table!$F$10),1,0))</f>
        <v>#REF!</v>
      </c>
      <c r="V1759" s="5" t="e">
        <f>IF(AND(#REF!&gt;=table!$C$11,#REF!&lt;= table!$D$11),-1,IF(AND(#REF!&gt;=table!$E$11,#REF!&lt;=table!$F$11),1,0))</f>
        <v>#REF!</v>
      </c>
      <c r="W1759" s="5" t="e">
        <f>CONCATENATE(dados[[#This Row],[fator1]],dados[[#This Row],[fator5]],dados[[#This Row],[fator6]])</f>
        <v>#REF!</v>
      </c>
    </row>
    <row r="1760" spans="1:23">
      <c r="A1760" t="s">
        <v>17</v>
      </c>
      <c r="B1760">
        <v>486028</v>
      </c>
      <c r="C1760">
        <v>16</v>
      </c>
      <c r="D1760">
        <v>23</v>
      </c>
      <c r="E1760">
        <v>145</v>
      </c>
      <c r="F1760">
        <v>9</v>
      </c>
      <c r="G1760">
        <v>30</v>
      </c>
      <c r="H1760">
        <v>25</v>
      </c>
      <c r="I1760">
        <v>1205</v>
      </c>
      <c r="J1760">
        <v>0</v>
      </c>
      <c r="K1760">
        <v>5.8094999999999999</v>
      </c>
      <c r="L1760">
        <v>8.8040000000000003</v>
      </c>
      <c r="M1760">
        <v>143.68</v>
      </c>
      <c r="N1760">
        <v>11.125</v>
      </c>
      <c r="O1760">
        <v>1657</v>
      </c>
      <c r="P1760">
        <v>537</v>
      </c>
      <c r="Q1760" s="5" t="e">
        <f>IF(AND(#REF!&gt;=table!$C$6,#REF!&lt;= table!$D$6),-1,IF(AND(#REF!&gt;=table!$E$6,#REF!&lt;=table!$F$6),1,0))</f>
        <v>#REF!</v>
      </c>
      <c r="R1760" s="5" t="e">
        <f>IF(AND(#REF!&gt;=table!$C$7,#REF!&lt;= table!$D$7),-1,IF(AND(#REF!&gt;=table!$E$7,#REF!&lt;=table!$F$7),1,0))</f>
        <v>#REF!</v>
      </c>
      <c r="S1760" s="5" t="e">
        <f>IF(AND(#REF!&gt;=table!$C$8,#REF!&lt;= table!$D$8),-1,IF(AND(#REF!&gt;=table!$E$8,#REF!&lt;=table!$F$8),1,0))</f>
        <v>#REF!</v>
      </c>
      <c r="T1760" s="5"/>
      <c r="U1760" s="5" t="e">
        <f>IF(AND(#REF!&gt;=table!$C$10,#REF!&lt;= table!$D$10),-1,IF(AND(#REF!&gt;=table!$E$10,#REF!&lt;=table!$F$10),1,0))</f>
        <v>#REF!</v>
      </c>
      <c r="V1760" s="5" t="e">
        <f>IF(AND(#REF!&gt;=table!$C$11,#REF!&lt;= table!$D$11),-1,IF(AND(#REF!&gt;=table!$E$11,#REF!&lt;=table!$F$11),1,0))</f>
        <v>#REF!</v>
      </c>
      <c r="W1760" s="5" t="e">
        <f>CONCATENATE(dados[[#This Row],[fator1]],dados[[#This Row],[fator5]],dados[[#This Row],[fator6]])</f>
        <v>#REF!</v>
      </c>
    </row>
    <row r="1761" spans="1:23">
      <c r="A1761" t="s">
        <v>17</v>
      </c>
      <c r="B1761">
        <v>486030</v>
      </c>
      <c r="C1761">
        <v>16</v>
      </c>
      <c r="D1761">
        <v>23</v>
      </c>
      <c r="E1761">
        <v>145</v>
      </c>
      <c r="F1761">
        <v>9</v>
      </c>
      <c r="G1761">
        <v>30</v>
      </c>
      <c r="H1761">
        <v>25</v>
      </c>
      <c r="I1761">
        <v>383</v>
      </c>
      <c r="J1761">
        <v>0</v>
      </c>
      <c r="K1761">
        <v>6.4220000000000006</v>
      </c>
      <c r="L1761">
        <v>12.492000000000001</v>
      </c>
      <c r="M1761">
        <v>140.22750000000002</v>
      </c>
      <c r="N1761">
        <v>14.215</v>
      </c>
      <c r="O1761">
        <v>1690</v>
      </c>
      <c r="P1761">
        <v>549</v>
      </c>
      <c r="Q1761" s="5" t="e">
        <f>IF(AND(#REF!&gt;=table!$C$6,#REF!&lt;= table!$D$6),-1,IF(AND(#REF!&gt;=table!$E$6,#REF!&lt;=table!$F$6),1,0))</f>
        <v>#REF!</v>
      </c>
      <c r="R1761" s="5" t="e">
        <f>IF(AND(#REF!&gt;=table!$C$7,#REF!&lt;= table!$D$7),-1,IF(AND(#REF!&gt;=table!$E$7,#REF!&lt;=table!$F$7),1,0))</f>
        <v>#REF!</v>
      </c>
      <c r="S1761" s="5" t="e">
        <f>IF(AND(#REF!&gt;=table!$C$8,#REF!&lt;= table!$D$8),-1,IF(AND(#REF!&gt;=table!$E$8,#REF!&lt;=table!$F$8),1,0))</f>
        <v>#REF!</v>
      </c>
      <c r="T1761" s="5"/>
      <c r="U1761" s="5" t="e">
        <f>IF(AND(#REF!&gt;=table!$C$10,#REF!&lt;= table!$D$10),-1,IF(AND(#REF!&gt;=table!$E$10,#REF!&lt;=table!$F$10),1,0))</f>
        <v>#REF!</v>
      </c>
      <c r="V1761" s="5" t="e">
        <f>IF(AND(#REF!&gt;=table!$C$11,#REF!&lt;= table!$D$11),-1,IF(AND(#REF!&gt;=table!$E$11,#REF!&lt;=table!$F$11),1,0))</f>
        <v>#REF!</v>
      </c>
      <c r="W1761" s="5" t="e">
        <f>CONCATENATE(dados[[#This Row],[fator1]],dados[[#This Row],[fator5]],dados[[#This Row],[fator6]])</f>
        <v>#REF!</v>
      </c>
    </row>
    <row r="1762" spans="1:23">
      <c r="A1762" t="s">
        <v>17</v>
      </c>
      <c r="B1762">
        <v>486031</v>
      </c>
      <c r="C1762">
        <v>16</v>
      </c>
      <c r="D1762">
        <v>23</v>
      </c>
      <c r="E1762">
        <v>145</v>
      </c>
      <c r="F1762">
        <v>9</v>
      </c>
      <c r="G1762">
        <v>30</v>
      </c>
      <c r="H1762">
        <v>25</v>
      </c>
      <c r="I1762">
        <v>5</v>
      </c>
      <c r="J1762">
        <v>0</v>
      </c>
      <c r="K1762">
        <v>4.5750000000000002</v>
      </c>
      <c r="L1762">
        <v>8.1035000000000004</v>
      </c>
      <c r="M1762">
        <v>150.35</v>
      </c>
      <c r="N1762">
        <v>12.647</v>
      </c>
      <c r="O1762">
        <v>1670</v>
      </c>
      <c r="P1762">
        <v>0</v>
      </c>
      <c r="Q1762" s="5" t="e">
        <f>IF(AND(#REF!&gt;=table!$C$6,#REF!&lt;= table!$D$6),-1,IF(AND(#REF!&gt;=table!$E$6,#REF!&lt;=table!$F$6),1,0))</f>
        <v>#REF!</v>
      </c>
      <c r="R1762" s="5" t="e">
        <f>IF(AND(#REF!&gt;=table!$C$7,#REF!&lt;= table!$D$7),-1,IF(AND(#REF!&gt;=table!$E$7,#REF!&lt;=table!$F$7),1,0))</f>
        <v>#REF!</v>
      </c>
      <c r="S1762" s="5" t="e">
        <f>IF(AND(#REF!&gt;=table!$C$8,#REF!&lt;= table!$D$8),-1,IF(AND(#REF!&gt;=table!$E$8,#REF!&lt;=table!$F$8),1,0))</f>
        <v>#REF!</v>
      </c>
      <c r="T1762" s="5"/>
      <c r="U1762" s="5" t="e">
        <f>IF(AND(#REF!&gt;=table!$C$10,#REF!&lt;= table!$D$10),-1,IF(AND(#REF!&gt;=table!$E$10,#REF!&lt;=table!$F$10),1,0))</f>
        <v>#REF!</v>
      </c>
      <c r="V1762" s="5" t="e">
        <f>IF(AND(#REF!&gt;=table!$C$11,#REF!&lt;= table!$D$11),-1,IF(AND(#REF!&gt;=table!$E$11,#REF!&lt;=table!$F$11),1,0))</f>
        <v>#REF!</v>
      </c>
      <c r="W1762" s="5" t="e">
        <f>CONCATENATE(dados[[#This Row],[fator1]],dados[[#This Row],[fator5]],dados[[#This Row],[fator6]])</f>
        <v>#REF!</v>
      </c>
    </row>
    <row r="1763" spans="1:23">
      <c r="A1763" t="s">
        <v>17</v>
      </c>
      <c r="B1763">
        <v>486032</v>
      </c>
      <c r="C1763">
        <v>16</v>
      </c>
      <c r="D1763">
        <v>23</v>
      </c>
      <c r="E1763">
        <v>145</v>
      </c>
      <c r="F1763">
        <v>9</v>
      </c>
      <c r="G1763">
        <v>30</v>
      </c>
      <c r="H1763">
        <v>25</v>
      </c>
      <c r="I1763">
        <v>973</v>
      </c>
      <c r="J1763">
        <v>0</v>
      </c>
      <c r="K1763">
        <v>6.8930000000000007</v>
      </c>
      <c r="L1763">
        <v>8.5090000000000003</v>
      </c>
      <c r="M1763">
        <v>139.02350000000001</v>
      </c>
      <c r="N1763">
        <v>12.245000000000001</v>
      </c>
      <c r="O1763">
        <v>1666</v>
      </c>
      <c r="P1763">
        <v>584</v>
      </c>
      <c r="Q1763" s="5" t="e">
        <f>IF(AND(#REF!&gt;=table!$C$6,#REF!&lt;= table!$D$6),-1,IF(AND(#REF!&gt;=table!$E$6,#REF!&lt;=table!$F$6),1,0))</f>
        <v>#REF!</v>
      </c>
      <c r="R1763" s="5" t="e">
        <f>IF(AND(#REF!&gt;=table!$C$7,#REF!&lt;= table!$D$7),-1,IF(AND(#REF!&gt;=table!$E$7,#REF!&lt;=table!$F$7),1,0))</f>
        <v>#REF!</v>
      </c>
      <c r="S1763" s="5" t="e">
        <f>IF(AND(#REF!&gt;=table!$C$8,#REF!&lt;= table!$D$8),-1,IF(AND(#REF!&gt;=table!$E$8,#REF!&lt;=table!$F$8),1,0))</f>
        <v>#REF!</v>
      </c>
      <c r="T1763" s="5"/>
      <c r="U1763" s="5" t="e">
        <f>IF(AND(#REF!&gt;=table!$C$10,#REF!&lt;= table!$D$10),-1,IF(AND(#REF!&gt;=table!$E$10,#REF!&lt;=table!$F$10),1,0))</f>
        <v>#REF!</v>
      </c>
      <c r="V1763" s="5" t="e">
        <f>IF(AND(#REF!&gt;=table!$C$11,#REF!&lt;= table!$D$11),-1,IF(AND(#REF!&gt;=table!$E$11,#REF!&lt;=table!$F$11),1,0))</f>
        <v>#REF!</v>
      </c>
      <c r="W1763" s="5" t="e">
        <f>CONCATENATE(dados[[#This Row],[fator1]],dados[[#This Row],[fator5]],dados[[#This Row],[fator6]])</f>
        <v>#REF!</v>
      </c>
    </row>
    <row r="1764" spans="1:23">
      <c r="A1764" t="s">
        <v>17</v>
      </c>
      <c r="B1764">
        <v>486033</v>
      </c>
      <c r="C1764">
        <v>12</v>
      </c>
      <c r="D1764">
        <v>25</v>
      </c>
      <c r="E1764">
        <v>120</v>
      </c>
      <c r="F1764">
        <v>9</v>
      </c>
      <c r="G1764">
        <v>110</v>
      </c>
      <c r="H1764">
        <v>50</v>
      </c>
      <c r="I1764">
        <v>757</v>
      </c>
      <c r="J1764">
        <v>0</v>
      </c>
      <c r="K1764">
        <v>11.726000000000001</v>
      </c>
      <c r="L1764">
        <v>19.440000000000001</v>
      </c>
      <c r="M1764">
        <v>107.80900000000001</v>
      </c>
      <c r="N1764">
        <v>20.855</v>
      </c>
      <c r="O1764">
        <v>1673</v>
      </c>
      <c r="P1764">
        <v>289</v>
      </c>
      <c r="Q1764" s="5" t="e">
        <f>IF(AND(#REF!&gt;=table!$C$6,#REF!&lt;= table!$D$6),-1,IF(AND(#REF!&gt;=table!$E$6,#REF!&lt;=table!$F$6),1,0))</f>
        <v>#REF!</v>
      </c>
      <c r="R1764" s="5" t="e">
        <f>IF(AND(#REF!&gt;=table!$C$7,#REF!&lt;= table!$D$7),-1,IF(AND(#REF!&gt;=table!$E$7,#REF!&lt;=table!$F$7),1,0))</f>
        <v>#REF!</v>
      </c>
      <c r="S1764" s="5" t="e">
        <f>IF(AND(#REF!&gt;=table!$C$8,#REF!&lt;= table!$D$8),-1,IF(AND(#REF!&gt;=table!$E$8,#REF!&lt;=table!$F$8),1,0))</f>
        <v>#REF!</v>
      </c>
      <c r="T1764" s="5"/>
      <c r="U1764" s="5" t="e">
        <f>IF(AND(#REF!&gt;=table!$C$10,#REF!&lt;= table!$D$10),-1,IF(AND(#REF!&gt;=table!$E$10,#REF!&lt;=table!$F$10),1,0))</f>
        <v>#REF!</v>
      </c>
      <c r="V1764" s="5" t="e">
        <f>IF(AND(#REF!&gt;=table!$C$11,#REF!&lt;= table!$D$11),-1,IF(AND(#REF!&gt;=table!$E$11,#REF!&lt;=table!$F$11),1,0))</f>
        <v>#REF!</v>
      </c>
      <c r="W1764" s="5" t="e">
        <f>CONCATENATE(dados[[#This Row],[fator1]],dados[[#This Row],[fator5]],dados[[#This Row],[fator6]])</f>
        <v>#REF!</v>
      </c>
    </row>
    <row r="1765" spans="1:23">
      <c r="A1765" t="s">
        <v>17</v>
      </c>
      <c r="B1765">
        <v>486034</v>
      </c>
      <c r="C1765">
        <v>16</v>
      </c>
      <c r="D1765">
        <v>30</v>
      </c>
      <c r="E1765">
        <v>106</v>
      </c>
      <c r="F1765">
        <v>9</v>
      </c>
      <c r="G1765">
        <v>20</v>
      </c>
      <c r="H1765">
        <v>25</v>
      </c>
      <c r="I1765">
        <v>728</v>
      </c>
      <c r="J1765">
        <v>0</v>
      </c>
      <c r="K1765">
        <v>17.38</v>
      </c>
      <c r="L1765">
        <v>23.652000000000001</v>
      </c>
      <c r="M1765">
        <v>102.56200000000001</v>
      </c>
      <c r="N1765">
        <v>24.015000000000001</v>
      </c>
      <c r="O1765">
        <v>1661</v>
      </c>
      <c r="P1765">
        <v>0</v>
      </c>
      <c r="Q1765" s="5" t="e">
        <f>IF(AND(#REF!&gt;=table!$C$6,#REF!&lt;= table!$D$6),-1,IF(AND(#REF!&gt;=table!$E$6,#REF!&lt;=table!$F$6),1,0))</f>
        <v>#REF!</v>
      </c>
      <c r="R1765" s="5" t="e">
        <f>IF(AND(#REF!&gt;=table!$C$7,#REF!&lt;= table!$D$7),-1,IF(AND(#REF!&gt;=table!$E$7,#REF!&lt;=table!$F$7),1,0))</f>
        <v>#REF!</v>
      </c>
      <c r="S1765" s="5" t="e">
        <f>IF(AND(#REF!&gt;=table!$C$8,#REF!&lt;= table!$D$8),-1,IF(AND(#REF!&gt;=table!$E$8,#REF!&lt;=table!$F$8),1,0))</f>
        <v>#REF!</v>
      </c>
      <c r="T1765" s="5"/>
      <c r="U1765" s="5" t="e">
        <f>IF(AND(#REF!&gt;=table!$C$10,#REF!&lt;= table!$D$10),-1,IF(AND(#REF!&gt;=table!$E$10,#REF!&lt;=table!$F$10),1,0))</f>
        <v>#REF!</v>
      </c>
      <c r="V1765" s="5" t="e">
        <f>IF(AND(#REF!&gt;=table!$C$11,#REF!&lt;= table!$D$11),-1,IF(AND(#REF!&gt;=table!$E$11,#REF!&lt;=table!$F$11),1,0))</f>
        <v>#REF!</v>
      </c>
      <c r="W1765" s="5" t="e">
        <f>CONCATENATE(dados[[#This Row],[fator1]],dados[[#This Row],[fator5]],dados[[#This Row],[fator6]])</f>
        <v>#REF!</v>
      </c>
    </row>
    <row r="1766" spans="1:23">
      <c r="A1766" t="s">
        <v>16</v>
      </c>
      <c r="B1766">
        <v>486038</v>
      </c>
      <c r="C1766">
        <v>0.15</v>
      </c>
      <c r="D1766">
        <v>40</v>
      </c>
      <c r="E1766">
        <v>10</v>
      </c>
      <c r="F1766">
        <v>15</v>
      </c>
      <c r="G1766">
        <v>0</v>
      </c>
      <c r="H1766">
        <v>15</v>
      </c>
      <c r="I1766">
        <v>1428</v>
      </c>
      <c r="J1766">
        <v>0</v>
      </c>
      <c r="K1766">
        <v>6.3605</v>
      </c>
      <c r="L1766">
        <v>10.969000000000001</v>
      </c>
      <c r="M1766">
        <v>8.354000000000001</v>
      </c>
      <c r="N1766">
        <v>8.9500000000000011</v>
      </c>
      <c r="O1766">
        <v>1680</v>
      </c>
      <c r="P1766">
        <v>635</v>
      </c>
      <c r="Q1766" s="5" t="e">
        <f>IF(AND(#REF!&gt;=table!$C$6,#REF!&lt;= table!$D$6),-1,IF(AND(#REF!&gt;=table!$E$6,#REF!&lt;=table!$F$6),1,0))</f>
        <v>#REF!</v>
      </c>
      <c r="R1766" s="5" t="e">
        <f>IF(AND(#REF!&gt;=table!$C$7,#REF!&lt;= table!$D$7),-1,IF(AND(#REF!&gt;=table!$E$7,#REF!&lt;=table!$F$7),1,0))</f>
        <v>#REF!</v>
      </c>
      <c r="S1766" s="5" t="e">
        <f>IF(AND(#REF!&gt;=table!$C$8,#REF!&lt;= table!$D$8),-1,IF(AND(#REF!&gt;=table!$E$8,#REF!&lt;=table!$F$8),1,0))</f>
        <v>#REF!</v>
      </c>
      <c r="T1766" s="5"/>
      <c r="U1766" s="5" t="e">
        <f>IF(AND(#REF!&gt;=table!$C$10,#REF!&lt;= table!$D$10),-1,IF(AND(#REF!&gt;=table!$E$10,#REF!&lt;=table!$F$10),1,0))</f>
        <v>#REF!</v>
      </c>
      <c r="V1766" s="5" t="e">
        <f>IF(AND(#REF!&gt;=table!$C$11,#REF!&lt;= table!$D$11),-1,IF(AND(#REF!&gt;=table!$E$11,#REF!&lt;=table!$F$11),1,0))</f>
        <v>#REF!</v>
      </c>
      <c r="W1766" s="5" t="e">
        <f>CONCATENATE(dados[[#This Row],[fator1]],dados[[#This Row],[fator5]],dados[[#This Row],[fator6]])</f>
        <v>#REF!</v>
      </c>
    </row>
    <row r="1767" spans="1:23">
      <c r="A1767" t="s">
        <v>16</v>
      </c>
      <c r="B1767">
        <v>486040</v>
      </c>
      <c r="C1767">
        <v>0.1</v>
      </c>
      <c r="D1767">
        <v>40</v>
      </c>
      <c r="E1767">
        <v>10</v>
      </c>
      <c r="F1767">
        <v>8</v>
      </c>
      <c r="G1767">
        <v>0</v>
      </c>
      <c r="H1767">
        <v>10</v>
      </c>
      <c r="I1767">
        <v>1654</v>
      </c>
      <c r="J1767">
        <v>0</v>
      </c>
      <c r="K1767">
        <v>4.6305000000000005</v>
      </c>
      <c r="L1767">
        <v>4.8635000000000002</v>
      </c>
      <c r="M1767">
        <v>4.7145000000000001</v>
      </c>
      <c r="N1767">
        <v>6.2850000000000001</v>
      </c>
      <c r="O1767">
        <v>1658</v>
      </c>
      <c r="P1767">
        <v>848</v>
      </c>
      <c r="Q1767" s="5" t="e">
        <f>IF(AND(#REF!&gt;=table!$C$6,#REF!&lt;= table!$D$6),-1,IF(AND(#REF!&gt;=table!$E$6,#REF!&lt;=table!$F$6),1,0))</f>
        <v>#REF!</v>
      </c>
      <c r="R1767" s="5" t="e">
        <f>IF(AND(#REF!&gt;=table!$C$7,#REF!&lt;= table!$D$7),-1,IF(AND(#REF!&gt;=table!$E$7,#REF!&lt;=table!$F$7),1,0))</f>
        <v>#REF!</v>
      </c>
      <c r="S1767" s="5" t="e">
        <f>IF(AND(#REF!&gt;=table!$C$8,#REF!&lt;= table!$D$8),-1,IF(AND(#REF!&gt;=table!$E$8,#REF!&lt;=table!$F$8),1,0))</f>
        <v>#REF!</v>
      </c>
      <c r="T1767" s="5"/>
      <c r="U1767" s="5" t="e">
        <f>IF(AND(#REF!&gt;=table!$C$10,#REF!&lt;= table!$D$10),-1,IF(AND(#REF!&gt;=table!$E$10,#REF!&lt;=table!$F$10),1,0))</f>
        <v>#REF!</v>
      </c>
      <c r="V1767" s="5" t="e">
        <f>IF(AND(#REF!&gt;=table!$C$11,#REF!&lt;= table!$D$11),-1,IF(AND(#REF!&gt;=table!$E$11,#REF!&lt;=table!$F$11),1,0))</f>
        <v>#REF!</v>
      </c>
      <c r="W1767" s="5" t="e">
        <f>CONCATENATE(dados[[#This Row],[fator1]],dados[[#This Row],[fator5]],dados[[#This Row],[fator6]])</f>
        <v>#REF!</v>
      </c>
    </row>
    <row r="1768" spans="1:23">
      <c r="A1768" t="s">
        <v>16</v>
      </c>
      <c r="B1768">
        <v>486043</v>
      </c>
      <c r="C1768">
        <v>4</v>
      </c>
      <c r="D1768">
        <v>40</v>
      </c>
      <c r="E1768">
        <v>21</v>
      </c>
      <c r="F1768">
        <v>20</v>
      </c>
      <c r="G1768">
        <v>0</v>
      </c>
      <c r="H1768">
        <v>25</v>
      </c>
      <c r="I1768">
        <v>1597</v>
      </c>
      <c r="J1768">
        <v>0</v>
      </c>
      <c r="K1768">
        <v>6.8790000000000004</v>
      </c>
      <c r="L1768">
        <v>12.221</v>
      </c>
      <c r="M1768">
        <v>7.3195000000000006</v>
      </c>
      <c r="N1768">
        <v>10.74</v>
      </c>
      <c r="O1768">
        <v>1676</v>
      </c>
      <c r="P1768">
        <v>965</v>
      </c>
      <c r="Q1768" s="5" t="e">
        <f>IF(AND(#REF!&gt;=table!$C$6,#REF!&lt;= table!$D$6),-1,IF(AND(#REF!&gt;=table!$E$6,#REF!&lt;=table!$F$6),1,0))</f>
        <v>#REF!</v>
      </c>
      <c r="R1768" s="5" t="e">
        <f>IF(AND(#REF!&gt;=table!$C$7,#REF!&lt;= table!$D$7),-1,IF(AND(#REF!&gt;=table!$E$7,#REF!&lt;=table!$F$7),1,0))</f>
        <v>#REF!</v>
      </c>
      <c r="S1768" s="5" t="e">
        <f>IF(AND(#REF!&gt;=table!$C$8,#REF!&lt;= table!$D$8),-1,IF(AND(#REF!&gt;=table!$E$8,#REF!&lt;=table!$F$8),1,0))</f>
        <v>#REF!</v>
      </c>
      <c r="T1768" s="5"/>
      <c r="U1768" s="5" t="e">
        <f>IF(AND(#REF!&gt;=table!$C$10,#REF!&lt;= table!$D$10),-1,IF(AND(#REF!&gt;=table!$E$10,#REF!&lt;=table!$F$10),1,0))</f>
        <v>#REF!</v>
      </c>
      <c r="V1768" s="5" t="e">
        <f>IF(AND(#REF!&gt;=table!$C$11,#REF!&lt;= table!$D$11),-1,IF(AND(#REF!&gt;=table!$E$11,#REF!&lt;=table!$F$11),1,0))</f>
        <v>#REF!</v>
      </c>
      <c r="W1768" s="5" t="e">
        <f>CONCATENATE(dados[[#This Row],[fator1]],dados[[#This Row],[fator5]],dados[[#This Row],[fator6]])</f>
        <v>#REF!</v>
      </c>
    </row>
    <row r="1769" spans="1:23">
      <c r="A1769" t="s">
        <v>16</v>
      </c>
      <c r="B1769">
        <v>486044</v>
      </c>
      <c r="C1769">
        <v>4</v>
      </c>
      <c r="D1769">
        <v>40</v>
      </c>
      <c r="E1769">
        <v>21</v>
      </c>
      <c r="F1769">
        <v>20</v>
      </c>
      <c r="G1769">
        <v>0</v>
      </c>
      <c r="H1769">
        <v>25</v>
      </c>
      <c r="I1769">
        <v>1141</v>
      </c>
      <c r="J1769">
        <v>0</v>
      </c>
      <c r="K1769">
        <v>6.8790000000000004</v>
      </c>
      <c r="L1769">
        <v>12.221</v>
      </c>
      <c r="M1769">
        <v>10.913</v>
      </c>
      <c r="N1769">
        <v>10.265000000000001</v>
      </c>
      <c r="O1769">
        <v>1682</v>
      </c>
      <c r="P1769">
        <v>530</v>
      </c>
      <c r="Q1769" s="5" t="e">
        <f>IF(AND(#REF!&gt;=table!$C$6,#REF!&lt;= table!$D$6),-1,IF(AND(#REF!&gt;=table!$E$6,#REF!&lt;=table!$F$6),1,0))</f>
        <v>#REF!</v>
      </c>
      <c r="R1769" s="5" t="e">
        <f>IF(AND(#REF!&gt;=table!$C$7,#REF!&lt;= table!$D$7),-1,IF(AND(#REF!&gt;=table!$E$7,#REF!&lt;=table!$F$7),1,0))</f>
        <v>#REF!</v>
      </c>
      <c r="S1769" s="5" t="e">
        <f>IF(AND(#REF!&gt;=table!$C$8,#REF!&lt;= table!$D$8),-1,IF(AND(#REF!&gt;=table!$E$8,#REF!&lt;=table!$F$8),1,0))</f>
        <v>#REF!</v>
      </c>
      <c r="T1769" s="5"/>
      <c r="U1769" s="5" t="e">
        <f>IF(AND(#REF!&gt;=table!$C$10,#REF!&lt;= table!$D$10),-1,IF(AND(#REF!&gt;=table!$E$10,#REF!&lt;=table!$F$10),1,0))</f>
        <v>#REF!</v>
      </c>
      <c r="V1769" s="5" t="e">
        <f>IF(AND(#REF!&gt;=table!$C$11,#REF!&lt;= table!$D$11),-1,IF(AND(#REF!&gt;=table!$E$11,#REF!&lt;=table!$F$11),1,0))</f>
        <v>#REF!</v>
      </c>
      <c r="W1769" s="5" t="e">
        <f>CONCATENATE(dados[[#This Row],[fator1]],dados[[#This Row],[fator5]],dados[[#This Row],[fator6]])</f>
        <v>#REF!</v>
      </c>
    </row>
    <row r="1770" spans="1:23">
      <c r="A1770" t="s">
        <v>17</v>
      </c>
      <c r="B1770">
        <v>486046</v>
      </c>
      <c r="C1770">
        <v>30</v>
      </c>
      <c r="D1770">
        <v>25</v>
      </c>
      <c r="E1770">
        <v>135</v>
      </c>
      <c r="F1770">
        <v>8</v>
      </c>
      <c r="G1770">
        <v>13</v>
      </c>
      <c r="H1770">
        <v>25</v>
      </c>
      <c r="I1770">
        <v>1363</v>
      </c>
      <c r="J1770">
        <v>0</v>
      </c>
      <c r="K1770">
        <v>6.548</v>
      </c>
      <c r="L1770">
        <v>10.820500000000001</v>
      </c>
      <c r="M1770">
        <v>94.82050000000001</v>
      </c>
      <c r="N1770">
        <v>12.93</v>
      </c>
      <c r="O1770">
        <v>1668</v>
      </c>
      <c r="P1770">
        <v>516</v>
      </c>
      <c r="Q1770" s="5" t="e">
        <f>IF(AND(#REF!&gt;=table!$C$6,#REF!&lt;= table!$D$6),-1,IF(AND(#REF!&gt;=table!$E$6,#REF!&lt;=table!$F$6),1,0))</f>
        <v>#REF!</v>
      </c>
      <c r="R1770" s="5" t="e">
        <f>IF(AND(#REF!&gt;=table!$C$7,#REF!&lt;= table!$D$7),-1,IF(AND(#REF!&gt;=table!$E$7,#REF!&lt;=table!$F$7),1,0))</f>
        <v>#REF!</v>
      </c>
      <c r="S1770" s="5" t="e">
        <f>IF(AND(#REF!&gt;=table!$C$8,#REF!&lt;= table!$D$8),-1,IF(AND(#REF!&gt;=table!$E$8,#REF!&lt;=table!$F$8),1,0))</f>
        <v>#REF!</v>
      </c>
      <c r="T1770" s="5"/>
      <c r="U1770" s="5" t="e">
        <f>IF(AND(#REF!&gt;=table!$C$10,#REF!&lt;= table!$D$10),-1,IF(AND(#REF!&gt;=table!$E$10,#REF!&lt;=table!$F$10),1,0))</f>
        <v>#REF!</v>
      </c>
      <c r="V1770" s="5" t="e">
        <f>IF(AND(#REF!&gt;=table!$C$11,#REF!&lt;= table!$D$11),-1,IF(AND(#REF!&gt;=table!$E$11,#REF!&lt;=table!$F$11),1,0))</f>
        <v>#REF!</v>
      </c>
      <c r="W1770" s="5" t="e">
        <f>CONCATENATE(dados[[#This Row],[fator1]],dados[[#This Row],[fator5]],dados[[#This Row],[fator6]])</f>
        <v>#REF!</v>
      </c>
    </row>
    <row r="1771" spans="1:23">
      <c r="A1771" t="s">
        <v>16</v>
      </c>
      <c r="B1771">
        <v>486047</v>
      </c>
      <c r="C1771">
        <v>0.15</v>
      </c>
      <c r="D1771">
        <v>40</v>
      </c>
      <c r="E1771">
        <v>10</v>
      </c>
      <c r="F1771">
        <v>15</v>
      </c>
      <c r="G1771">
        <v>0</v>
      </c>
      <c r="H1771">
        <v>15</v>
      </c>
      <c r="I1771">
        <v>1155</v>
      </c>
      <c r="J1771">
        <v>0</v>
      </c>
      <c r="K1771">
        <v>5.5670000000000002</v>
      </c>
      <c r="L1771">
        <v>13.74</v>
      </c>
      <c r="M1771">
        <v>11.466000000000001</v>
      </c>
      <c r="N1771">
        <v>13.195</v>
      </c>
      <c r="O1771">
        <v>1681</v>
      </c>
      <c r="P1771">
        <v>685</v>
      </c>
      <c r="Q1771" s="5" t="e">
        <f>IF(AND(#REF!&gt;=table!$C$6,#REF!&lt;= table!$D$6),-1,IF(AND(#REF!&gt;=table!$E$6,#REF!&lt;=table!$F$6),1,0))</f>
        <v>#REF!</v>
      </c>
      <c r="R1771" s="5" t="e">
        <f>IF(AND(#REF!&gt;=table!$C$7,#REF!&lt;= table!$D$7),-1,IF(AND(#REF!&gt;=table!$E$7,#REF!&lt;=table!$F$7),1,0))</f>
        <v>#REF!</v>
      </c>
      <c r="S1771" s="5" t="e">
        <f>IF(AND(#REF!&gt;=table!$C$8,#REF!&lt;= table!$D$8),-1,IF(AND(#REF!&gt;=table!$E$8,#REF!&lt;=table!$F$8),1,0))</f>
        <v>#REF!</v>
      </c>
      <c r="T1771" s="5"/>
      <c r="U1771" s="5" t="e">
        <f>IF(AND(#REF!&gt;=table!$C$10,#REF!&lt;= table!$D$10),-1,IF(AND(#REF!&gt;=table!$E$10,#REF!&lt;=table!$F$10),1,0))</f>
        <v>#REF!</v>
      </c>
      <c r="V1771" s="5" t="e">
        <f>IF(AND(#REF!&gt;=table!$C$11,#REF!&lt;= table!$D$11),-1,IF(AND(#REF!&gt;=table!$E$11,#REF!&lt;=table!$F$11),1,0))</f>
        <v>#REF!</v>
      </c>
      <c r="W1771" s="5" t="e">
        <f>CONCATENATE(dados[[#This Row],[fator1]],dados[[#This Row],[fator5]],dados[[#This Row],[fator6]])</f>
        <v>#REF!</v>
      </c>
    </row>
    <row r="1772" spans="1:23">
      <c r="A1772" t="s">
        <v>16</v>
      </c>
      <c r="B1772">
        <v>486048</v>
      </c>
      <c r="C1772">
        <v>0.15</v>
      </c>
      <c r="D1772">
        <v>40</v>
      </c>
      <c r="E1772">
        <v>10</v>
      </c>
      <c r="F1772">
        <v>15</v>
      </c>
      <c r="G1772">
        <v>0</v>
      </c>
      <c r="H1772">
        <v>15</v>
      </c>
      <c r="I1772">
        <v>1753</v>
      </c>
      <c r="J1772">
        <v>0</v>
      </c>
      <c r="K1772">
        <v>5.7990000000000004</v>
      </c>
      <c r="L1772">
        <v>8.82</v>
      </c>
      <c r="M1772">
        <v>8.2225000000000001</v>
      </c>
      <c r="N1772">
        <v>9.98</v>
      </c>
      <c r="O1772">
        <v>1689</v>
      </c>
      <c r="P1772">
        <v>772</v>
      </c>
      <c r="Q1772" s="5" t="e">
        <f>IF(AND(#REF!&gt;=table!$C$6,#REF!&lt;= table!$D$6),-1,IF(AND(#REF!&gt;=table!$E$6,#REF!&lt;=table!$F$6),1,0))</f>
        <v>#REF!</v>
      </c>
      <c r="R1772" s="5" t="e">
        <f>IF(AND(#REF!&gt;=table!$C$7,#REF!&lt;= table!$D$7),-1,IF(AND(#REF!&gt;=table!$E$7,#REF!&lt;=table!$F$7),1,0))</f>
        <v>#REF!</v>
      </c>
      <c r="S1772" s="5" t="e">
        <f>IF(AND(#REF!&gt;=table!$C$8,#REF!&lt;= table!$D$8),-1,IF(AND(#REF!&gt;=table!$E$8,#REF!&lt;=table!$F$8),1,0))</f>
        <v>#REF!</v>
      </c>
      <c r="T1772" s="5"/>
      <c r="U1772" s="5" t="e">
        <f>IF(AND(#REF!&gt;=table!$C$10,#REF!&lt;= table!$D$10),-1,IF(AND(#REF!&gt;=table!$E$10,#REF!&lt;=table!$F$10),1,0))</f>
        <v>#REF!</v>
      </c>
      <c r="V1772" s="5" t="e">
        <f>IF(AND(#REF!&gt;=table!$C$11,#REF!&lt;= table!$D$11),-1,IF(AND(#REF!&gt;=table!$E$11,#REF!&lt;=table!$F$11),1,0))</f>
        <v>#REF!</v>
      </c>
      <c r="W1772" s="5" t="e">
        <f>CONCATENATE(dados[[#This Row],[fator1]],dados[[#This Row],[fator5]],dados[[#This Row],[fator6]])</f>
        <v>#REF!</v>
      </c>
    </row>
    <row r="1773" spans="1:23">
      <c r="A1773" t="s">
        <v>16</v>
      </c>
      <c r="B1773">
        <v>486049</v>
      </c>
      <c r="C1773">
        <v>0.15</v>
      </c>
      <c r="D1773">
        <v>40</v>
      </c>
      <c r="E1773">
        <v>10</v>
      </c>
      <c r="F1773">
        <v>15</v>
      </c>
      <c r="G1773">
        <v>0</v>
      </c>
      <c r="H1773">
        <v>15</v>
      </c>
      <c r="I1773">
        <v>700</v>
      </c>
      <c r="J1773">
        <v>0</v>
      </c>
      <c r="K1773">
        <v>6.4855</v>
      </c>
      <c r="L1773">
        <v>11.9465</v>
      </c>
      <c r="M1773">
        <v>9.7645</v>
      </c>
      <c r="N1773">
        <v>13.99</v>
      </c>
      <c r="O1773">
        <v>1691</v>
      </c>
      <c r="P1773">
        <v>774</v>
      </c>
      <c r="Q1773" s="5" t="e">
        <f>IF(AND(#REF!&gt;=table!$C$6,#REF!&lt;= table!$D$6),-1,IF(AND(#REF!&gt;=table!$E$6,#REF!&lt;=table!$F$6),1,0))</f>
        <v>#REF!</v>
      </c>
      <c r="R1773" s="5" t="e">
        <f>IF(AND(#REF!&gt;=table!$C$7,#REF!&lt;= table!$D$7),-1,IF(AND(#REF!&gt;=table!$E$7,#REF!&lt;=table!$F$7),1,0))</f>
        <v>#REF!</v>
      </c>
      <c r="S1773" s="5" t="e">
        <f>IF(AND(#REF!&gt;=table!$C$8,#REF!&lt;= table!$D$8),-1,IF(AND(#REF!&gt;=table!$E$8,#REF!&lt;=table!$F$8),1,0))</f>
        <v>#REF!</v>
      </c>
      <c r="T1773" s="5"/>
      <c r="U1773" s="5" t="e">
        <f>IF(AND(#REF!&gt;=table!$C$10,#REF!&lt;= table!$D$10),-1,IF(AND(#REF!&gt;=table!$E$10,#REF!&lt;=table!$F$10),1,0))</f>
        <v>#REF!</v>
      </c>
      <c r="V1773" s="5" t="e">
        <f>IF(AND(#REF!&gt;=table!$C$11,#REF!&lt;= table!$D$11),-1,IF(AND(#REF!&gt;=table!$E$11,#REF!&lt;=table!$F$11),1,0))</f>
        <v>#REF!</v>
      </c>
      <c r="W1773" s="5" t="e">
        <f>CONCATENATE(dados[[#This Row],[fator1]],dados[[#This Row],[fator5]],dados[[#This Row],[fator6]])</f>
        <v>#REF!</v>
      </c>
    </row>
    <row r="1774" spans="1:23">
      <c r="A1774" t="s">
        <v>16</v>
      </c>
      <c r="B1774">
        <v>486051</v>
      </c>
      <c r="C1774">
        <v>0.15</v>
      </c>
      <c r="D1774">
        <v>40</v>
      </c>
      <c r="E1774">
        <v>10</v>
      </c>
      <c r="F1774">
        <v>15</v>
      </c>
      <c r="G1774">
        <v>0</v>
      </c>
      <c r="H1774">
        <v>15</v>
      </c>
      <c r="I1774">
        <v>956</v>
      </c>
      <c r="J1774">
        <v>870</v>
      </c>
      <c r="K1774">
        <v>5.3879999999999999</v>
      </c>
      <c r="L1774">
        <v>13.288</v>
      </c>
      <c r="M1774">
        <v>6.9720000000000004</v>
      </c>
      <c r="N1774">
        <v>14.05</v>
      </c>
      <c r="O1774">
        <v>1691</v>
      </c>
      <c r="P1774">
        <v>0</v>
      </c>
      <c r="Q1774" s="5" t="e">
        <f>IF(AND(#REF!&gt;=table!$C$6,#REF!&lt;= table!$D$6),-1,IF(AND(#REF!&gt;=table!$E$6,#REF!&lt;=table!$F$6),1,0))</f>
        <v>#REF!</v>
      </c>
      <c r="R1774" s="5" t="e">
        <f>IF(AND(#REF!&gt;=table!$C$7,#REF!&lt;= table!$D$7),-1,IF(AND(#REF!&gt;=table!$E$7,#REF!&lt;=table!$F$7),1,0))</f>
        <v>#REF!</v>
      </c>
      <c r="S1774" s="5" t="e">
        <f>IF(AND(#REF!&gt;=table!$C$8,#REF!&lt;= table!$D$8),-1,IF(AND(#REF!&gt;=table!$E$8,#REF!&lt;=table!$F$8),1,0))</f>
        <v>#REF!</v>
      </c>
      <c r="T1774" s="5"/>
      <c r="U1774" s="5" t="e">
        <f>IF(AND(#REF!&gt;=table!$C$10,#REF!&lt;= table!$D$10),-1,IF(AND(#REF!&gt;=table!$E$10,#REF!&lt;=table!$F$10),1,0))</f>
        <v>#REF!</v>
      </c>
      <c r="V1774" s="5" t="e">
        <f>IF(AND(#REF!&gt;=table!$C$11,#REF!&lt;= table!$D$11),-1,IF(AND(#REF!&gt;=table!$E$11,#REF!&lt;=table!$F$11),1,0))</f>
        <v>#REF!</v>
      </c>
      <c r="W1774" s="5" t="e">
        <f>CONCATENATE(dados[[#This Row],[fator1]],dados[[#This Row],[fator5]],dados[[#This Row],[fator6]])</f>
        <v>#REF!</v>
      </c>
    </row>
    <row r="1775" spans="1:23">
      <c r="A1775" t="s">
        <v>16</v>
      </c>
      <c r="B1775">
        <v>486052</v>
      </c>
      <c r="C1775">
        <v>0.15</v>
      </c>
      <c r="D1775">
        <v>40</v>
      </c>
      <c r="E1775">
        <v>10</v>
      </c>
      <c r="F1775">
        <v>15</v>
      </c>
      <c r="G1775">
        <v>0</v>
      </c>
      <c r="H1775">
        <v>15</v>
      </c>
      <c r="I1775">
        <v>1115</v>
      </c>
      <c r="J1775">
        <v>0</v>
      </c>
      <c r="K1775">
        <v>3.1234999999999999</v>
      </c>
      <c r="L1775">
        <v>6.7615000000000007</v>
      </c>
      <c r="M1775">
        <v>5.6705000000000005</v>
      </c>
      <c r="N1775">
        <v>13.030000000000001</v>
      </c>
      <c r="O1775">
        <v>1670</v>
      </c>
      <c r="P1775">
        <v>1336</v>
      </c>
      <c r="Q1775" s="5" t="e">
        <f>IF(AND(#REF!&gt;=table!$C$6,#REF!&lt;= table!$D$6),-1,IF(AND(#REF!&gt;=table!$E$6,#REF!&lt;=table!$F$6),1,0))</f>
        <v>#REF!</v>
      </c>
      <c r="R1775" s="5" t="e">
        <f>IF(AND(#REF!&gt;=table!$C$7,#REF!&lt;= table!$D$7),-1,IF(AND(#REF!&gt;=table!$E$7,#REF!&lt;=table!$F$7),1,0))</f>
        <v>#REF!</v>
      </c>
      <c r="S1775" s="5" t="e">
        <f>IF(AND(#REF!&gt;=table!$C$8,#REF!&lt;= table!$D$8),-1,IF(AND(#REF!&gt;=table!$E$8,#REF!&lt;=table!$F$8),1,0))</f>
        <v>#REF!</v>
      </c>
      <c r="T1775" s="5"/>
      <c r="U1775" s="5" t="e">
        <f>IF(AND(#REF!&gt;=table!$C$10,#REF!&lt;= table!$D$10),-1,IF(AND(#REF!&gt;=table!$E$10,#REF!&lt;=table!$F$10),1,0))</f>
        <v>#REF!</v>
      </c>
      <c r="V1775" s="5" t="e">
        <f>IF(AND(#REF!&gt;=table!$C$11,#REF!&lt;= table!$D$11),-1,IF(AND(#REF!&gt;=table!$E$11,#REF!&lt;=table!$F$11),1,0))</f>
        <v>#REF!</v>
      </c>
      <c r="W1775" s="5" t="e">
        <f>CONCATENATE(dados[[#This Row],[fator1]],dados[[#This Row],[fator5]],dados[[#This Row],[fator6]])</f>
        <v>#REF!</v>
      </c>
    </row>
    <row r="1776" spans="1:23">
      <c r="A1776" t="s">
        <v>16</v>
      </c>
      <c r="B1776">
        <v>486055</v>
      </c>
      <c r="C1776">
        <v>16</v>
      </c>
      <c r="D1776">
        <v>30</v>
      </c>
      <c r="E1776">
        <v>56</v>
      </c>
      <c r="F1776">
        <v>3</v>
      </c>
      <c r="G1776">
        <v>0</v>
      </c>
      <c r="H1776">
        <v>25</v>
      </c>
      <c r="I1776">
        <v>996</v>
      </c>
      <c r="J1776">
        <v>0</v>
      </c>
      <c r="K1776">
        <v>7.8720000000000008</v>
      </c>
      <c r="L1776">
        <v>11.9185</v>
      </c>
      <c r="M1776">
        <v>49.265500000000003</v>
      </c>
      <c r="N1776">
        <v>15.1</v>
      </c>
      <c r="O1776">
        <v>1661</v>
      </c>
      <c r="P1776">
        <v>0</v>
      </c>
      <c r="Q1776" s="5" t="e">
        <f>IF(AND(#REF!&gt;=table!$C$6,#REF!&lt;= table!$D$6),-1,IF(AND(#REF!&gt;=table!$E$6,#REF!&lt;=table!$F$6),1,0))</f>
        <v>#REF!</v>
      </c>
      <c r="R1776" s="5" t="e">
        <f>IF(AND(#REF!&gt;=table!$C$7,#REF!&lt;= table!$D$7),-1,IF(AND(#REF!&gt;=table!$E$7,#REF!&lt;=table!$F$7),1,0))</f>
        <v>#REF!</v>
      </c>
      <c r="S1776" s="5" t="e">
        <f>IF(AND(#REF!&gt;=table!$C$8,#REF!&lt;= table!$D$8),-1,IF(AND(#REF!&gt;=table!$E$8,#REF!&lt;=table!$F$8),1,0))</f>
        <v>#REF!</v>
      </c>
      <c r="T1776" s="5"/>
      <c r="U1776" s="5" t="e">
        <f>IF(AND(#REF!&gt;=table!$C$10,#REF!&lt;= table!$D$10),-1,IF(AND(#REF!&gt;=table!$E$10,#REF!&lt;=table!$F$10),1,0))</f>
        <v>#REF!</v>
      </c>
      <c r="V1776" s="5" t="e">
        <f>IF(AND(#REF!&gt;=table!$C$11,#REF!&lt;= table!$D$11),-1,IF(AND(#REF!&gt;=table!$E$11,#REF!&lt;=table!$F$11),1,0))</f>
        <v>#REF!</v>
      </c>
      <c r="W1776" s="5" t="e">
        <f>CONCATENATE(dados[[#This Row],[fator1]],dados[[#This Row],[fator5]],dados[[#This Row],[fator6]])</f>
        <v>#REF!</v>
      </c>
    </row>
    <row r="1777" spans="1:23">
      <c r="A1777" t="s">
        <v>16</v>
      </c>
      <c r="B1777">
        <v>486057</v>
      </c>
      <c r="C1777">
        <v>16</v>
      </c>
      <c r="D1777">
        <v>30</v>
      </c>
      <c r="E1777">
        <v>56</v>
      </c>
      <c r="F1777">
        <v>3</v>
      </c>
      <c r="G1777">
        <v>0</v>
      </c>
      <c r="H1777">
        <v>25</v>
      </c>
      <c r="I1777">
        <v>1221</v>
      </c>
      <c r="J1777">
        <v>0</v>
      </c>
      <c r="K1777">
        <v>10.073500000000001</v>
      </c>
      <c r="L1777">
        <v>15.5745</v>
      </c>
      <c r="M1777">
        <v>49.948</v>
      </c>
      <c r="N1777">
        <v>10.1</v>
      </c>
      <c r="O1777">
        <v>1651</v>
      </c>
      <c r="P1777">
        <v>354</v>
      </c>
      <c r="Q1777" s="5" t="e">
        <f>IF(AND(#REF!&gt;=table!$C$6,#REF!&lt;= table!$D$6),-1,IF(AND(#REF!&gt;=table!$E$6,#REF!&lt;=table!$F$6),1,0))</f>
        <v>#REF!</v>
      </c>
      <c r="R1777" s="5" t="e">
        <f>IF(AND(#REF!&gt;=table!$C$7,#REF!&lt;= table!$D$7),-1,IF(AND(#REF!&gt;=table!$E$7,#REF!&lt;=table!$F$7),1,0))</f>
        <v>#REF!</v>
      </c>
      <c r="S1777" s="5" t="e">
        <f>IF(AND(#REF!&gt;=table!$C$8,#REF!&lt;= table!$D$8),-1,IF(AND(#REF!&gt;=table!$E$8,#REF!&lt;=table!$F$8),1,0))</f>
        <v>#REF!</v>
      </c>
      <c r="T1777" s="5"/>
      <c r="U1777" s="5" t="e">
        <f>IF(AND(#REF!&gt;=table!$C$10,#REF!&lt;= table!$D$10),-1,IF(AND(#REF!&gt;=table!$E$10,#REF!&lt;=table!$F$10),1,0))</f>
        <v>#REF!</v>
      </c>
      <c r="V1777" s="5" t="e">
        <f>IF(AND(#REF!&gt;=table!$C$11,#REF!&lt;= table!$D$11),-1,IF(AND(#REF!&gt;=table!$E$11,#REF!&lt;=table!$F$11),1,0))</f>
        <v>#REF!</v>
      </c>
      <c r="W1777" s="5" t="e">
        <f>CONCATENATE(dados[[#This Row],[fator1]],dados[[#This Row],[fator5]],dados[[#This Row],[fator6]])</f>
        <v>#REF!</v>
      </c>
    </row>
    <row r="1778" spans="1:23">
      <c r="A1778" t="s">
        <v>17</v>
      </c>
      <c r="B1778">
        <v>486065</v>
      </c>
      <c r="C1778">
        <v>19</v>
      </c>
      <c r="D1778">
        <v>33</v>
      </c>
      <c r="E1778">
        <v>101</v>
      </c>
      <c r="F1778">
        <v>6</v>
      </c>
      <c r="G1778">
        <v>28</v>
      </c>
      <c r="H1778">
        <v>25</v>
      </c>
      <c r="I1778">
        <v>1872</v>
      </c>
      <c r="J1778">
        <v>0</v>
      </c>
      <c r="K1778">
        <v>5.7700000000000005</v>
      </c>
      <c r="L1778">
        <v>6.944</v>
      </c>
      <c r="M1778">
        <v>98.747</v>
      </c>
      <c r="N1778">
        <v>13.205</v>
      </c>
      <c r="O1778">
        <v>1692</v>
      </c>
      <c r="P1778">
        <v>945</v>
      </c>
      <c r="Q1778" s="5" t="e">
        <f>IF(AND(#REF!&gt;=table!$C$6,#REF!&lt;= table!$D$6),-1,IF(AND(#REF!&gt;=table!$E$6,#REF!&lt;=table!$F$6),1,0))</f>
        <v>#REF!</v>
      </c>
      <c r="R1778" s="5" t="e">
        <f>IF(AND(#REF!&gt;=table!$C$7,#REF!&lt;= table!$D$7),-1,IF(AND(#REF!&gt;=table!$E$7,#REF!&lt;=table!$F$7),1,0))</f>
        <v>#REF!</v>
      </c>
      <c r="S1778" s="5" t="e">
        <f>IF(AND(#REF!&gt;=table!$C$8,#REF!&lt;= table!$D$8),-1,IF(AND(#REF!&gt;=table!$E$8,#REF!&lt;=table!$F$8),1,0))</f>
        <v>#REF!</v>
      </c>
      <c r="T1778" s="5"/>
      <c r="U1778" s="5" t="e">
        <f>IF(AND(#REF!&gt;=table!$C$10,#REF!&lt;= table!$D$10),-1,IF(AND(#REF!&gt;=table!$E$10,#REF!&lt;=table!$F$10),1,0))</f>
        <v>#REF!</v>
      </c>
      <c r="V1778" s="5" t="e">
        <f>IF(AND(#REF!&gt;=table!$C$11,#REF!&lt;= table!$D$11),-1,IF(AND(#REF!&gt;=table!$E$11,#REF!&lt;=table!$F$11),1,0))</f>
        <v>#REF!</v>
      </c>
      <c r="W1778" s="5" t="e">
        <f>CONCATENATE(dados[[#This Row],[fator1]],dados[[#This Row],[fator5]],dados[[#This Row],[fator6]])</f>
        <v>#REF!</v>
      </c>
    </row>
    <row r="1779" spans="1:23">
      <c r="A1779" t="s">
        <v>16</v>
      </c>
      <c r="B1779">
        <v>486069</v>
      </c>
      <c r="C1779">
        <v>0.15</v>
      </c>
      <c r="D1779">
        <v>40</v>
      </c>
      <c r="E1779">
        <v>10</v>
      </c>
      <c r="F1779">
        <v>15</v>
      </c>
      <c r="G1779">
        <v>0</v>
      </c>
      <c r="H1779">
        <v>15</v>
      </c>
      <c r="I1779">
        <v>642</v>
      </c>
      <c r="J1779">
        <v>0</v>
      </c>
      <c r="K1779">
        <v>4.1640000000000006</v>
      </c>
      <c r="L1779">
        <v>8.214500000000001</v>
      </c>
      <c r="M1779">
        <v>6.9170000000000007</v>
      </c>
      <c r="N1779">
        <v>9.73</v>
      </c>
      <c r="O1779">
        <v>1678</v>
      </c>
      <c r="P1779">
        <v>0</v>
      </c>
      <c r="Q1779" s="5" t="e">
        <f>IF(AND(#REF!&gt;=table!$C$6,#REF!&lt;= table!$D$6),-1,IF(AND(#REF!&gt;=table!$E$6,#REF!&lt;=table!$F$6),1,0))</f>
        <v>#REF!</v>
      </c>
      <c r="R1779" s="5" t="e">
        <f>IF(AND(#REF!&gt;=table!$C$7,#REF!&lt;= table!$D$7),-1,IF(AND(#REF!&gt;=table!$E$7,#REF!&lt;=table!$F$7),1,0))</f>
        <v>#REF!</v>
      </c>
      <c r="S1779" s="5" t="e">
        <f>IF(AND(#REF!&gt;=table!$C$8,#REF!&lt;= table!$D$8),-1,IF(AND(#REF!&gt;=table!$E$8,#REF!&lt;=table!$F$8),1,0))</f>
        <v>#REF!</v>
      </c>
      <c r="T1779" s="5"/>
      <c r="U1779" s="5" t="e">
        <f>IF(AND(#REF!&gt;=table!$C$10,#REF!&lt;= table!$D$10),-1,IF(AND(#REF!&gt;=table!$E$10,#REF!&lt;=table!$F$10),1,0))</f>
        <v>#REF!</v>
      </c>
      <c r="V1779" s="5" t="e">
        <f>IF(AND(#REF!&gt;=table!$C$11,#REF!&lt;= table!$D$11),-1,IF(AND(#REF!&gt;=table!$E$11,#REF!&lt;=table!$F$11),1,0))</f>
        <v>#REF!</v>
      </c>
      <c r="W1779" s="5" t="e">
        <f>CONCATENATE(dados[[#This Row],[fator1]],dados[[#This Row],[fator5]],dados[[#This Row],[fator6]])</f>
        <v>#REF!</v>
      </c>
    </row>
    <row r="1780" spans="1:23">
      <c r="A1780" t="s">
        <v>16</v>
      </c>
      <c r="B1780">
        <v>486070</v>
      </c>
      <c r="C1780">
        <v>0.15</v>
      </c>
      <c r="D1780">
        <v>40</v>
      </c>
      <c r="E1780">
        <v>10</v>
      </c>
      <c r="F1780">
        <v>15</v>
      </c>
      <c r="G1780">
        <v>0</v>
      </c>
      <c r="H1780">
        <v>15</v>
      </c>
      <c r="I1780">
        <v>671</v>
      </c>
      <c r="J1780">
        <v>0</v>
      </c>
      <c r="K1780">
        <v>2.125</v>
      </c>
      <c r="L1780">
        <v>4.3029999999999999</v>
      </c>
      <c r="M1780">
        <v>3.782</v>
      </c>
      <c r="N1780">
        <v>11.870000000000001</v>
      </c>
      <c r="O1780">
        <v>1714</v>
      </c>
      <c r="P1780">
        <v>0</v>
      </c>
      <c r="Q1780" s="5" t="e">
        <f>IF(AND(#REF!&gt;=table!$C$6,#REF!&lt;= table!$D$6),-1,IF(AND(#REF!&gt;=table!$E$6,#REF!&lt;=table!$F$6),1,0))</f>
        <v>#REF!</v>
      </c>
      <c r="R1780" s="5" t="e">
        <f>IF(AND(#REF!&gt;=table!$C$7,#REF!&lt;= table!$D$7),-1,IF(AND(#REF!&gt;=table!$E$7,#REF!&lt;=table!$F$7),1,0))</f>
        <v>#REF!</v>
      </c>
      <c r="S1780" s="5" t="e">
        <f>IF(AND(#REF!&gt;=table!$C$8,#REF!&lt;= table!$D$8),-1,IF(AND(#REF!&gt;=table!$E$8,#REF!&lt;=table!$F$8),1,0))</f>
        <v>#REF!</v>
      </c>
      <c r="T1780" s="5"/>
      <c r="U1780" s="5" t="e">
        <f>IF(AND(#REF!&gt;=table!$C$10,#REF!&lt;= table!$D$10),-1,IF(AND(#REF!&gt;=table!$E$10,#REF!&lt;=table!$F$10),1,0))</f>
        <v>#REF!</v>
      </c>
      <c r="V1780" s="5" t="e">
        <f>IF(AND(#REF!&gt;=table!$C$11,#REF!&lt;= table!$D$11),-1,IF(AND(#REF!&gt;=table!$E$11,#REF!&lt;=table!$F$11),1,0))</f>
        <v>#REF!</v>
      </c>
      <c r="W1780" s="5" t="e">
        <f>CONCATENATE(dados[[#This Row],[fator1]],dados[[#This Row],[fator5]],dados[[#This Row],[fator6]])</f>
        <v>#REF!</v>
      </c>
    </row>
    <row r="1781" spans="1:23">
      <c r="A1781" t="s">
        <v>17</v>
      </c>
      <c r="B1781">
        <v>486072</v>
      </c>
      <c r="C1781">
        <v>16</v>
      </c>
      <c r="D1781">
        <v>30</v>
      </c>
      <c r="E1781">
        <v>106</v>
      </c>
      <c r="F1781">
        <v>9</v>
      </c>
      <c r="G1781">
        <v>20</v>
      </c>
      <c r="H1781">
        <v>25</v>
      </c>
      <c r="I1781">
        <v>6</v>
      </c>
      <c r="J1781">
        <v>0</v>
      </c>
      <c r="K1781">
        <v>3.8695000000000004</v>
      </c>
      <c r="L1781">
        <v>12.8185</v>
      </c>
      <c r="M1781">
        <v>98.162000000000006</v>
      </c>
      <c r="N1781">
        <v>21.650000000000002</v>
      </c>
      <c r="O1781">
        <v>1693</v>
      </c>
      <c r="P1781">
        <v>1050</v>
      </c>
      <c r="Q1781" s="5" t="e">
        <f>IF(AND(#REF!&gt;=table!$C$6,#REF!&lt;= table!$D$6),-1,IF(AND(#REF!&gt;=table!$E$6,#REF!&lt;=table!$F$6),1,0))</f>
        <v>#REF!</v>
      </c>
      <c r="R1781" s="5" t="e">
        <f>IF(AND(#REF!&gt;=table!$C$7,#REF!&lt;= table!$D$7),-1,IF(AND(#REF!&gt;=table!$E$7,#REF!&lt;=table!$F$7),1,0))</f>
        <v>#REF!</v>
      </c>
      <c r="S1781" s="5" t="e">
        <f>IF(AND(#REF!&gt;=table!$C$8,#REF!&lt;= table!$D$8),-1,IF(AND(#REF!&gt;=table!$E$8,#REF!&lt;=table!$F$8),1,0))</f>
        <v>#REF!</v>
      </c>
      <c r="T1781" s="5"/>
      <c r="U1781" s="5" t="e">
        <f>IF(AND(#REF!&gt;=table!$C$10,#REF!&lt;= table!$D$10),-1,IF(AND(#REF!&gt;=table!$E$10,#REF!&lt;=table!$F$10),1,0))</f>
        <v>#REF!</v>
      </c>
      <c r="V1781" s="5" t="e">
        <f>IF(AND(#REF!&gt;=table!$C$11,#REF!&lt;= table!$D$11),-1,IF(AND(#REF!&gt;=table!$E$11,#REF!&lt;=table!$F$11),1,0))</f>
        <v>#REF!</v>
      </c>
      <c r="W1781" s="5" t="e">
        <f>CONCATENATE(dados[[#This Row],[fator1]],dados[[#This Row],[fator5]],dados[[#This Row],[fator6]])</f>
        <v>#REF!</v>
      </c>
    </row>
    <row r="1782" spans="1:23">
      <c r="A1782" t="s">
        <v>17</v>
      </c>
      <c r="B1782">
        <v>486075</v>
      </c>
      <c r="C1782">
        <v>16</v>
      </c>
      <c r="D1782">
        <v>23</v>
      </c>
      <c r="E1782">
        <v>145</v>
      </c>
      <c r="F1782">
        <v>9</v>
      </c>
      <c r="G1782">
        <v>30</v>
      </c>
      <c r="H1782">
        <v>25</v>
      </c>
      <c r="I1782">
        <v>241</v>
      </c>
      <c r="J1782">
        <v>0</v>
      </c>
      <c r="K1782">
        <v>4.24</v>
      </c>
      <c r="L1782">
        <v>9.27</v>
      </c>
      <c r="M1782">
        <v>134.84450000000001</v>
      </c>
      <c r="N1782">
        <v>14.935</v>
      </c>
      <c r="O1782">
        <v>1677</v>
      </c>
      <c r="P1782">
        <v>0</v>
      </c>
      <c r="Q1782" s="5" t="e">
        <f>IF(AND(#REF!&gt;=table!$C$6,#REF!&lt;= table!$D$6),-1,IF(AND(#REF!&gt;=table!$E$6,#REF!&lt;=table!$F$6),1,0))</f>
        <v>#REF!</v>
      </c>
      <c r="R1782" s="5" t="e">
        <f>IF(AND(#REF!&gt;=table!$C$7,#REF!&lt;= table!$D$7),-1,IF(AND(#REF!&gt;=table!$E$7,#REF!&lt;=table!$F$7),1,0))</f>
        <v>#REF!</v>
      </c>
      <c r="S1782" s="5" t="e">
        <f>IF(AND(#REF!&gt;=table!$C$8,#REF!&lt;= table!$D$8),-1,IF(AND(#REF!&gt;=table!$E$8,#REF!&lt;=table!$F$8),1,0))</f>
        <v>#REF!</v>
      </c>
      <c r="T1782" s="5"/>
      <c r="U1782" s="5" t="e">
        <f>IF(AND(#REF!&gt;=table!$C$10,#REF!&lt;= table!$D$10),-1,IF(AND(#REF!&gt;=table!$E$10,#REF!&lt;=table!$F$10),1,0))</f>
        <v>#REF!</v>
      </c>
      <c r="V1782" s="5" t="e">
        <f>IF(AND(#REF!&gt;=table!$C$11,#REF!&lt;= table!$D$11),-1,IF(AND(#REF!&gt;=table!$E$11,#REF!&lt;=table!$F$11),1,0))</f>
        <v>#REF!</v>
      </c>
      <c r="W1782" s="5" t="e">
        <f>CONCATENATE(dados[[#This Row],[fator1]],dados[[#This Row],[fator5]],dados[[#This Row],[fator6]])</f>
        <v>#REF!</v>
      </c>
    </row>
    <row r="1783" spans="1:23">
      <c r="A1783" t="s">
        <v>17</v>
      </c>
      <c r="B1783">
        <v>486076</v>
      </c>
      <c r="C1783">
        <v>18</v>
      </c>
      <c r="D1783">
        <v>23</v>
      </c>
      <c r="E1783">
        <v>145</v>
      </c>
      <c r="F1783">
        <v>9</v>
      </c>
      <c r="G1783">
        <v>30</v>
      </c>
      <c r="H1783">
        <v>25</v>
      </c>
      <c r="I1783">
        <v>620</v>
      </c>
      <c r="J1783">
        <v>0</v>
      </c>
      <c r="K1783">
        <v>6.1580000000000004</v>
      </c>
      <c r="L1783">
        <v>9.3495000000000008</v>
      </c>
      <c r="M1783">
        <v>126.11550000000001</v>
      </c>
      <c r="N1783">
        <v>13.69</v>
      </c>
      <c r="O1783">
        <v>1670</v>
      </c>
      <c r="P1783">
        <v>621</v>
      </c>
      <c r="Q1783" s="5" t="e">
        <f>IF(AND(#REF!&gt;=table!$C$6,#REF!&lt;= table!$D$6),-1,IF(AND(#REF!&gt;=table!$E$6,#REF!&lt;=table!$F$6),1,0))</f>
        <v>#REF!</v>
      </c>
      <c r="R1783" s="5" t="e">
        <f>IF(AND(#REF!&gt;=table!$C$7,#REF!&lt;= table!$D$7),-1,IF(AND(#REF!&gt;=table!$E$7,#REF!&lt;=table!$F$7),1,0))</f>
        <v>#REF!</v>
      </c>
      <c r="S1783" s="5" t="e">
        <f>IF(AND(#REF!&gt;=table!$C$8,#REF!&lt;= table!$D$8),-1,IF(AND(#REF!&gt;=table!$E$8,#REF!&lt;=table!$F$8),1,0))</f>
        <v>#REF!</v>
      </c>
      <c r="T1783" s="5"/>
      <c r="U1783" s="5" t="e">
        <f>IF(AND(#REF!&gt;=table!$C$10,#REF!&lt;= table!$D$10),-1,IF(AND(#REF!&gt;=table!$E$10,#REF!&lt;=table!$F$10),1,0))</f>
        <v>#REF!</v>
      </c>
      <c r="V1783" s="5" t="e">
        <f>IF(AND(#REF!&gt;=table!$C$11,#REF!&lt;= table!$D$11),-1,IF(AND(#REF!&gt;=table!$E$11,#REF!&lt;=table!$F$11),1,0))</f>
        <v>#REF!</v>
      </c>
      <c r="W1783" s="5" t="e">
        <f>CONCATENATE(dados[[#This Row],[fator1]],dados[[#This Row],[fator5]],dados[[#This Row],[fator6]])</f>
        <v>#REF!</v>
      </c>
    </row>
    <row r="1784" spans="1:23">
      <c r="A1784" t="s">
        <v>17</v>
      </c>
      <c r="B1784">
        <v>486077</v>
      </c>
      <c r="C1784">
        <v>18</v>
      </c>
      <c r="D1784">
        <v>23</v>
      </c>
      <c r="E1784">
        <v>145</v>
      </c>
      <c r="F1784">
        <v>9</v>
      </c>
      <c r="G1784">
        <v>30</v>
      </c>
      <c r="H1784">
        <v>25</v>
      </c>
      <c r="I1784">
        <v>129</v>
      </c>
      <c r="J1784">
        <v>0</v>
      </c>
      <c r="K1784">
        <v>5.7380000000000004</v>
      </c>
      <c r="L1784">
        <v>13.0395</v>
      </c>
      <c r="M1784">
        <v>120.6735</v>
      </c>
      <c r="N1784">
        <v>18.73</v>
      </c>
      <c r="O1784">
        <v>1688</v>
      </c>
      <c r="P1784">
        <v>719</v>
      </c>
      <c r="Q1784" s="5" t="e">
        <f>IF(AND(#REF!&gt;=table!$C$6,#REF!&lt;= table!$D$6),-1,IF(AND(#REF!&gt;=table!$E$6,#REF!&lt;=table!$F$6),1,0))</f>
        <v>#REF!</v>
      </c>
      <c r="R1784" s="5" t="e">
        <f>IF(AND(#REF!&gt;=table!$C$7,#REF!&lt;= table!$D$7),-1,IF(AND(#REF!&gt;=table!$E$7,#REF!&lt;=table!$F$7),1,0))</f>
        <v>#REF!</v>
      </c>
      <c r="S1784" s="5" t="e">
        <f>IF(AND(#REF!&gt;=table!$C$8,#REF!&lt;= table!$D$8),-1,IF(AND(#REF!&gt;=table!$E$8,#REF!&lt;=table!$F$8),1,0))</f>
        <v>#REF!</v>
      </c>
      <c r="T1784" s="5"/>
      <c r="U1784" s="5" t="e">
        <f>IF(AND(#REF!&gt;=table!$C$10,#REF!&lt;= table!$D$10),-1,IF(AND(#REF!&gt;=table!$E$10,#REF!&lt;=table!$F$10),1,0))</f>
        <v>#REF!</v>
      </c>
      <c r="V1784" s="5" t="e">
        <f>IF(AND(#REF!&gt;=table!$C$11,#REF!&lt;= table!$D$11),-1,IF(AND(#REF!&gt;=table!$E$11,#REF!&lt;=table!$F$11),1,0))</f>
        <v>#REF!</v>
      </c>
      <c r="W1784" s="5" t="e">
        <f>CONCATENATE(dados[[#This Row],[fator1]],dados[[#This Row],[fator5]],dados[[#This Row],[fator6]])</f>
        <v>#REF!</v>
      </c>
    </row>
    <row r="1785" spans="1:23">
      <c r="A1785" t="s">
        <v>16</v>
      </c>
      <c r="B1785">
        <v>486078</v>
      </c>
      <c r="C1785">
        <v>12</v>
      </c>
      <c r="D1785">
        <v>40</v>
      </c>
      <c r="E1785">
        <v>36</v>
      </c>
      <c r="F1785">
        <v>9</v>
      </c>
      <c r="G1785">
        <v>0</v>
      </c>
      <c r="H1785">
        <v>25</v>
      </c>
      <c r="I1785">
        <v>681</v>
      </c>
      <c r="J1785">
        <v>0</v>
      </c>
      <c r="K1785">
        <v>3.6705000000000001</v>
      </c>
      <c r="L1785">
        <v>7.0275000000000007</v>
      </c>
      <c r="M1785">
        <v>38.981000000000002</v>
      </c>
      <c r="N1785">
        <v>9.9050000000000011</v>
      </c>
      <c r="O1785">
        <v>1678</v>
      </c>
      <c r="P1785">
        <v>995</v>
      </c>
      <c r="Q1785" s="5" t="e">
        <f>IF(AND(#REF!&gt;=table!$C$6,#REF!&lt;= table!$D$6),-1,IF(AND(#REF!&gt;=table!$E$6,#REF!&lt;=table!$F$6),1,0))</f>
        <v>#REF!</v>
      </c>
      <c r="R1785" s="5" t="e">
        <f>IF(AND(#REF!&gt;=table!$C$7,#REF!&lt;= table!$D$7),-1,IF(AND(#REF!&gt;=table!$E$7,#REF!&lt;=table!$F$7),1,0))</f>
        <v>#REF!</v>
      </c>
      <c r="S1785" s="5" t="e">
        <f>IF(AND(#REF!&gt;=table!$C$8,#REF!&lt;= table!$D$8),-1,IF(AND(#REF!&gt;=table!$E$8,#REF!&lt;=table!$F$8),1,0))</f>
        <v>#REF!</v>
      </c>
      <c r="T1785" s="5"/>
      <c r="U1785" s="5" t="e">
        <f>IF(AND(#REF!&gt;=table!$C$10,#REF!&lt;= table!$D$10),-1,IF(AND(#REF!&gt;=table!$E$10,#REF!&lt;=table!$F$10),1,0))</f>
        <v>#REF!</v>
      </c>
      <c r="V1785" s="5" t="e">
        <f>IF(AND(#REF!&gt;=table!$C$11,#REF!&lt;= table!$D$11),-1,IF(AND(#REF!&gt;=table!$E$11,#REF!&lt;=table!$F$11),1,0))</f>
        <v>#REF!</v>
      </c>
      <c r="W1785" s="5" t="e">
        <f>CONCATENATE(dados[[#This Row],[fator1]],dados[[#This Row],[fator5]],dados[[#This Row],[fator6]])</f>
        <v>#REF!</v>
      </c>
    </row>
    <row r="1786" spans="1:23">
      <c r="A1786" t="s">
        <v>16</v>
      </c>
      <c r="B1786">
        <v>486079</v>
      </c>
      <c r="C1786">
        <v>9</v>
      </c>
      <c r="D1786">
        <v>27</v>
      </c>
      <c r="E1786">
        <v>36</v>
      </c>
      <c r="F1786">
        <v>8</v>
      </c>
      <c r="G1786">
        <v>0</v>
      </c>
      <c r="H1786">
        <v>25</v>
      </c>
      <c r="I1786">
        <v>2064</v>
      </c>
      <c r="J1786">
        <v>0</v>
      </c>
      <c r="K1786">
        <v>3.1045000000000003</v>
      </c>
      <c r="L1786">
        <v>5.101</v>
      </c>
      <c r="M1786">
        <v>37.6265</v>
      </c>
      <c r="N1786">
        <v>10.915000000000001</v>
      </c>
      <c r="O1786">
        <v>1658</v>
      </c>
      <c r="P1786">
        <v>1111</v>
      </c>
      <c r="Q1786" s="5" t="e">
        <f>IF(AND(#REF!&gt;=table!$C$6,#REF!&lt;= table!$D$6),-1,IF(AND(#REF!&gt;=table!$E$6,#REF!&lt;=table!$F$6),1,0))</f>
        <v>#REF!</v>
      </c>
      <c r="R1786" s="5" t="e">
        <f>IF(AND(#REF!&gt;=table!$C$7,#REF!&lt;= table!$D$7),-1,IF(AND(#REF!&gt;=table!$E$7,#REF!&lt;=table!$F$7),1,0))</f>
        <v>#REF!</v>
      </c>
      <c r="S1786" s="5" t="e">
        <f>IF(AND(#REF!&gt;=table!$C$8,#REF!&lt;= table!$D$8),-1,IF(AND(#REF!&gt;=table!$E$8,#REF!&lt;=table!$F$8),1,0))</f>
        <v>#REF!</v>
      </c>
      <c r="T1786" s="5"/>
      <c r="U1786" s="5" t="e">
        <f>IF(AND(#REF!&gt;=table!$C$10,#REF!&lt;= table!$D$10),-1,IF(AND(#REF!&gt;=table!$E$10,#REF!&lt;=table!$F$10),1,0))</f>
        <v>#REF!</v>
      </c>
      <c r="V1786" s="5" t="e">
        <f>IF(AND(#REF!&gt;=table!$C$11,#REF!&lt;= table!$D$11),-1,IF(AND(#REF!&gt;=table!$E$11,#REF!&lt;=table!$F$11),1,0))</f>
        <v>#REF!</v>
      </c>
      <c r="W1786" s="5" t="e">
        <f>CONCATENATE(dados[[#This Row],[fator1]],dados[[#This Row],[fator5]],dados[[#This Row],[fator6]])</f>
        <v>#REF!</v>
      </c>
    </row>
    <row r="1787" spans="1:23">
      <c r="A1787" t="s">
        <v>16</v>
      </c>
      <c r="B1787">
        <v>486080</v>
      </c>
      <c r="C1787">
        <v>9</v>
      </c>
      <c r="D1787">
        <v>27</v>
      </c>
      <c r="E1787">
        <v>36</v>
      </c>
      <c r="F1787">
        <v>8</v>
      </c>
      <c r="G1787">
        <v>0</v>
      </c>
      <c r="H1787">
        <v>25</v>
      </c>
      <c r="I1787">
        <v>933</v>
      </c>
      <c r="J1787">
        <v>0</v>
      </c>
      <c r="K1787">
        <v>4.6385000000000005</v>
      </c>
      <c r="L1787">
        <v>11.061500000000001</v>
      </c>
      <c r="M1787">
        <v>45.398000000000003</v>
      </c>
      <c r="N1787">
        <v>14.59</v>
      </c>
      <c r="O1787">
        <v>1669</v>
      </c>
      <c r="P1787">
        <v>837</v>
      </c>
      <c r="Q1787" s="5" t="e">
        <f>IF(AND(#REF!&gt;=table!$C$6,#REF!&lt;= table!$D$6),-1,IF(AND(#REF!&gt;=table!$E$6,#REF!&lt;=table!$F$6),1,0))</f>
        <v>#REF!</v>
      </c>
      <c r="R1787" s="5" t="e">
        <f>IF(AND(#REF!&gt;=table!$C$7,#REF!&lt;= table!$D$7),-1,IF(AND(#REF!&gt;=table!$E$7,#REF!&lt;=table!$F$7),1,0))</f>
        <v>#REF!</v>
      </c>
      <c r="S1787" s="5" t="e">
        <f>IF(AND(#REF!&gt;=table!$C$8,#REF!&lt;= table!$D$8),-1,IF(AND(#REF!&gt;=table!$E$8,#REF!&lt;=table!$F$8),1,0))</f>
        <v>#REF!</v>
      </c>
      <c r="T1787" s="5"/>
      <c r="U1787" s="5" t="e">
        <f>IF(AND(#REF!&gt;=table!$C$10,#REF!&lt;= table!$D$10),-1,IF(AND(#REF!&gt;=table!$E$10,#REF!&lt;=table!$F$10),1,0))</f>
        <v>#REF!</v>
      </c>
      <c r="V1787" s="5" t="e">
        <f>IF(AND(#REF!&gt;=table!$C$11,#REF!&lt;= table!$D$11),-1,IF(AND(#REF!&gt;=table!$E$11,#REF!&lt;=table!$F$11),1,0))</f>
        <v>#REF!</v>
      </c>
      <c r="W1787" s="5" t="e">
        <f>CONCATENATE(dados[[#This Row],[fator1]],dados[[#This Row],[fator5]],dados[[#This Row],[fator6]])</f>
        <v>#REF!</v>
      </c>
    </row>
    <row r="1788" spans="1:23">
      <c r="A1788" t="s">
        <v>16</v>
      </c>
      <c r="B1788">
        <v>486082</v>
      </c>
      <c r="C1788">
        <v>0.1</v>
      </c>
      <c r="D1788">
        <v>40</v>
      </c>
      <c r="E1788">
        <v>10</v>
      </c>
      <c r="F1788">
        <v>8</v>
      </c>
      <c r="G1788">
        <v>0</v>
      </c>
      <c r="H1788">
        <v>10</v>
      </c>
      <c r="I1788">
        <v>808</v>
      </c>
      <c r="J1788">
        <v>0</v>
      </c>
      <c r="K1788">
        <v>6.819</v>
      </c>
      <c r="L1788">
        <v>11.321</v>
      </c>
      <c r="M1788">
        <v>9.8109999999999999</v>
      </c>
      <c r="N1788">
        <v>13.76</v>
      </c>
      <c r="O1788">
        <v>1677</v>
      </c>
      <c r="P1788">
        <v>587</v>
      </c>
      <c r="Q1788" s="5" t="e">
        <f>IF(AND(#REF!&gt;=table!$C$6,#REF!&lt;= table!$D$6),-1,IF(AND(#REF!&gt;=table!$E$6,#REF!&lt;=table!$F$6),1,0))</f>
        <v>#REF!</v>
      </c>
      <c r="R1788" s="5" t="e">
        <f>IF(AND(#REF!&gt;=table!$C$7,#REF!&lt;= table!$D$7),-1,IF(AND(#REF!&gt;=table!$E$7,#REF!&lt;=table!$F$7),1,0))</f>
        <v>#REF!</v>
      </c>
      <c r="S1788" s="5" t="e">
        <f>IF(AND(#REF!&gt;=table!$C$8,#REF!&lt;= table!$D$8),-1,IF(AND(#REF!&gt;=table!$E$8,#REF!&lt;=table!$F$8),1,0))</f>
        <v>#REF!</v>
      </c>
      <c r="T1788" s="5"/>
      <c r="U1788" s="5" t="e">
        <f>IF(AND(#REF!&gt;=table!$C$10,#REF!&lt;= table!$D$10),-1,IF(AND(#REF!&gt;=table!$E$10,#REF!&lt;=table!$F$10),1,0))</f>
        <v>#REF!</v>
      </c>
      <c r="V1788" s="5" t="e">
        <f>IF(AND(#REF!&gt;=table!$C$11,#REF!&lt;= table!$D$11),-1,IF(AND(#REF!&gt;=table!$E$11,#REF!&lt;=table!$F$11),1,0))</f>
        <v>#REF!</v>
      </c>
      <c r="W1788" s="5" t="e">
        <f>CONCATENATE(dados[[#This Row],[fator1]],dados[[#This Row],[fator5]],dados[[#This Row],[fator6]])</f>
        <v>#REF!</v>
      </c>
    </row>
    <row r="1789" spans="1:23">
      <c r="A1789" t="s">
        <v>16</v>
      </c>
      <c r="B1789">
        <v>486083</v>
      </c>
      <c r="C1789">
        <v>0.1</v>
      </c>
      <c r="D1789">
        <v>40</v>
      </c>
      <c r="E1789">
        <v>10</v>
      </c>
      <c r="F1789">
        <v>8</v>
      </c>
      <c r="G1789">
        <v>0</v>
      </c>
      <c r="H1789">
        <v>10</v>
      </c>
      <c r="I1789">
        <v>1389</v>
      </c>
      <c r="J1789">
        <v>0</v>
      </c>
      <c r="K1789">
        <v>6.4085000000000001</v>
      </c>
      <c r="L1789">
        <v>7.2975000000000003</v>
      </c>
      <c r="M1789">
        <v>6.4480000000000004</v>
      </c>
      <c r="N1789">
        <v>9.8849999999999998</v>
      </c>
      <c r="O1789">
        <v>1680</v>
      </c>
      <c r="P1789">
        <v>640</v>
      </c>
      <c r="Q1789" s="5" t="e">
        <f>IF(AND(#REF!&gt;=table!$C$6,#REF!&lt;= table!$D$6),-1,IF(AND(#REF!&gt;=table!$E$6,#REF!&lt;=table!$F$6),1,0))</f>
        <v>#REF!</v>
      </c>
      <c r="R1789" s="5" t="e">
        <f>IF(AND(#REF!&gt;=table!$C$7,#REF!&lt;= table!$D$7),-1,IF(AND(#REF!&gt;=table!$E$7,#REF!&lt;=table!$F$7),1,0))</f>
        <v>#REF!</v>
      </c>
      <c r="S1789" s="5" t="e">
        <f>IF(AND(#REF!&gt;=table!$C$8,#REF!&lt;= table!$D$8),-1,IF(AND(#REF!&gt;=table!$E$8,#REF!&lt;=table!$F$8),1,0))</f>
        <v>#REF!</v>
      </c>
      <c r="T1789" s="5"/>
      <c r="U1789" s="5" t="e">
        <f>IF(AND(#REF!&gt;=table!$C$10,#REF!&lt;= table!$D$10),-1,IF(AND(#REF!&gt;=table!$E$10,#REF!&lt;=table!$F$10),1,0))</f>
        <v>#REF!</v>
      </c>
      <c r="V1789" s="5" t="e">
        <f>IF(AND(#REF!&gt;=table!$C$11,#REF!&lt;= table!$D$11),-1,IF(AND(#REF!&gt;=table!$E$11,#REF!&lt;=table!$F$11),1,0))</f>
        <v>#REF!</v>
      </c>
      <c r="W1789" s="5" t="e">
        <f>CONCATENATE(dados[[#This Row],[fator1]],dados[[#This Row],[fator5]],dados[[#This Row],[fator6]])</f>
        <v>#REF!</v>
      </c>
    </row>
    <row r="1790" spans="1:23">
      <c r="A1790" t="s">
        <v>16</v>
      </c>
      <c r="B1790">
        <v>486136</v>
      </c>
      <c r="C1790">
        <v>12</v>
      </c>
      <c r="D1790">
        <v>35</v>
      </c>
      <c r="E1790">
        <v>180</v>
      </c>
      <c r="F1790">
        <v>6</v>
      </c>
      <c r="G1790">
        <v>0</v>
      </c>
      <c r="H1790">
        <v>20</v>
      </c>
      <c r="I1790">
        <v>0</v>
      </c>
      <c r="J1790">
        <v>0</v>
      </c>
      <c r="K1790">
        <v>5.1135000000000002</v>
      </c>
      <c r="L1790">
        <v>9.8315000000000001</v>
      </c>
      <c r="M1790">
        <v>130.20350000000002</v>
      </c>
      <c r="N1790">
        <v>15.66</v>
      </c>
      <c r="O1790">
        <v>1686</v>
      </c>
      <c r="P1790">
        <v>931</v>
      </c>
      <c r="Q1790" s="5" t="e">
        <f>IF(AND(#REF!&gt;=table!$C$6,#REF!&lt;= table!$D$6),-1,IF(AND(#REF!&gt;=table!$E$6,#REF!&lt;=table!$F$6),1,0))</f>
        <v>#REF!</v>
      </c>
      <c r="R1790" s="5" t="e">
        <f>IF(AND(#REF!&gt;=table!$C$7,#REF!&lt;= table!$D$7),-1,IF(AND(#REF!&gt;=table!$E$7,#REF!&lt;=table!$F$7),1,0))</f>
        <v>#REF!</v>
      </c>
      <c r="S1790" s="5" t="e">
        <f>IF(AND(#REF!&gt;=table!$C$8,#REF!&lt;= table!$D$8),-1,IF(AND(#REF!&gt;=table!$E$8,#REF!&lt;=table!$F$8),1,0))</f>
        <v>#REF!</v>
      </c>
      <c r="T1790" s="5"/>
      <c r="U1790" s="5" t="e">
        <f>IF(AND(#REF!&gt;=table!$C$10,#REF!&lt;= table!$D$10),-1,IF(AND(#REF!&gt;=table!$E$10,#REF!&lt;=table!$F$10),1,0))</f>
        <v>#REF!</v>
      </c>
      <c r="V1790" s="5" t="e">
        <f>IF(AND(#REF!&gt;=table!$C$11,#REF!&lt;= table!$D$11),-1,IF(AND(#REF!&gt;=table!$E$11,#REF!&lt;=table!$F$11),1,0))</f>
        <v>#REF!</v>
      </c>
      <c r="W1790" s="5" t="e">
        <f>CONCATENATE(dados[[#This Row],[fator1]],dados[[#This Row],[fator5]],dados[[#This Row],[fator6]])</f>
        <v>#REF!</v>
      </c>
    </row>
    <row r="1791" spans="1:23">
      <c r="A1791" t="s">
        <v>17</v>
      </c>
      <c r="B1791">
        <v>486138</v>
      </c>
      <c r="C1791">
        <v>30</v>
      </c>
      <c r="D1791">
        <v>18</v>
      </c>
      <c r="E1791">
        <v>66</v>
      </c>
      <c r="F1791">
        <v>6</v>
      </c>
      <c r="G1791">
        <v>20</v>
      </c>
      <c r="H1791">
        <v>25</v>
      </c>
      <c r="I1791">
        <v>2</v>
      </c>
      <c r="J1791">
        <v>0</v>
      </c>
      <c r="K1791">
        <v>9.8435000000000006</v>
      </c>
      <c r="L1791">
        <v>19.2515</v>
      </c>
      <c r="M1791">
        <v>59.215500000000006</v>
      </c>
      <c r="N1791">
        <v>19.18</v>
      </c>
      <c r="O1791">
        <v>1675</v>
      </c>
      <c r="P1791">
        <v>358</v>
      </c>
      <c r="Q1791" s="5" t="e">
        <f>IF(AND(#REF!&gt;=table!$C$6,#REF!&lt;= table!$D$6),-1,IF(AND(#REF!&gt;=table!$E$6,#REF!&lt;=table!$F$6),1,0))</f>
        <v>#REF!</v>
      </c>
      <c r="R1791" s="5" t="e">
        <f>IF(AND(#REF!&gt;=table!$C$7,#REF!&lt;= table!$D$7),-1,IF(AND(#REF!&gt;=table!$E$7,#REF!&lt;=table!$F$7),1,0))</f>
        <v>#REF!</v>
      </c>
      <c r="S1791" s="5" t="e">
        <f>IF(AND(#REF!&gt;=table!$C$8,#REF!&lt;= table!$D$8),-1,IF(AND(#REF!&gt;=table!$E$8,#REF!&lt;=table!$F$8),1,0))</f>
        <v>#REF!</v>
      </c>
      <c r="T1791" s="5"/>
      <c r="U1791" s="5" t="e">
        <f>IF(AND(#REF!&gt;=table!$C$10,#REF!&lt;= table!$D$10),-1,IF(AND(#REF!&gt;=table!$E$10,#REF!&lt;=table!$F$10),1,0))</f>
        <v>#REF!</v>
      </c>
      <c r="V1791" s="5" t="e">
        <f>IF(AND(#REF!&gt;=table!$C$11,#REF!&lt;= table!$D$11),-1,IF(AND(#REF!&gt;=table!$E$11,#REF!&lt;=table!$F$11),1,0))</f>
        <v>#REF!</v>
      </c>
      <c r="W1791" s="5" t="e">
        <f>CONCATENATE(dados[[#This Row],[fator1]],dados[[#This Row],[fator5]],dados[[#This Row],[fator6]])</f>
        <v>#REF!</v>
      </c>
    </row>
    <row r="1792" spans="1:23">
      <c r="A1792" t="s">
        <v>16</v>
      </c>
      <c r="B1792">
        <v>486139</v>
      </c>
      <c r="C1792">
        <v>12</v>
      </c>
      <c r="D1792">
        <v>35</v>
      </c>
      <c r="E1792">
        <v>180</v>
      </c>
      <c r="F1792">
        <v>6</v>
      </c>
      <c r="G1792">
        <v>0</v>
      </c>
      <c r="H1792">
        <v>20</v>
      </c>
      <c r="I1792">
        <v>232</v>
      </c>
      <c r="J1792">
        <v>540</v>
      </c>
      <c r="K1792">
        <v>13.893000000000001</v>
      </c>
      <c r="L1792">
        <v>14.2135</v>
      </c>
      <c r="M1792">
        <v>160.0505</v>
      </c>
      <c r="N1792">
        <v>11.93</v>
      </c>
      <c r="O1792">
        <v>1650</v>
      </c>
      <c r="P1792">
        <v>268</v>
      </c>
      <c r="Q1792" s="5" t="e">
        <f>IF(AND(#REF!&gt;=table!$C$6,#REF!&lt;= table!$D$6),-1,IF(AND(#REF!&gt;=table!$E$6,#REF!&lt;=table!$F$6),1,0))</f>
        <v>#REF!</v>
      </c>
      <c r="R1792" s="5" t="e">
        <f>IF(AND(#REF!&gt;=table!$C$7,#REF!&lt;= table!$D$7),-1,IF(AND(#REF!&gt;=table!$E$7,#REF!&lt;=table!$F$7),1,0))</f>
        <v>#REF!</v>
      </c>
      <c r="S1792" s="5" t="e">
        <f>IF(AND(#REF!&gt;=table!$C$8,#REF!&lt;= table!$D$8),-1,IF(AND(#REF!&gt;=table!$E$8,#REF!&lt;=table!$F$8),1,0))</f>
        <v>#REF!</v>
      </c>
      <c r="T1792" s="5"/>
      <c r="U1792" s="5" t="e">
        <f>IF(AND(#REF!&gt;=table!$C$10,#REF!&lt;= table!$D$10),-1,IF(AND(#REF!&gt;=table!$E$10,#REF!&lt;=table!$F$10),1,0))</f>
        <v>#REF!</v>
      </c>
      <c r="V1792" s="5" t="e">
        <f>IF(AND(#REF!&gt;=table!$C$11,#REF!&lt;= table!$D$11),-1,IF(AND(#REF!&gt;=table!$E$11,#REF!&lt;=table!$F$11),1,0))</f>
        <v>#REF!</v>
      </c>
      <c r="W1792" s="5" t="e">
        <f>CONCATENATE(dados[[#This Row],[fator1]],dados[[#This Row],[fator5]],dados[[#This Row],[fator6]])</f>
        <v>#REF!</v>
      </c>
    </row>
    <row r="1793" spans="1:23">
      <c r="A1793" t="s">
        <v>17</v>
      </c>
      <c r="B1793">
        <v>486141</v>
      </c>
      <c r="C1793">
        <v>13</v>
      </c>
      <c r="D1793">
        <v>30</v>
      </c>
      <c r="E1793">
        <v>150</v>
      </c>
      <c r="F1793">
        <v>4</v>
      </c>
      <c r="G1793">
        <v>20</v>
      </c>
      <c r="H1793">
        <v>25</v>
      </c>
      <c r="I1793">
        <v>708</v>
      </c>
      <c r="J1793">
        <v>0</v>
      </c>
      <c r="K1793">
        <v>3.4375</v>
      </c>
      <c r="L1793">
        <v>11.507</v>
      </c>
      <c r="M1793">
        <v>113.92400000000001</v>
      </c>
      <c r="N1793">
        <v>21.09</v>
      </c>
      <c r="O1793">
        <v>1696</v>
      </c>
      <c r="P1793">
        <v>1205</v>
      </c>
      <c r="Q1793" s="5" t="e">
        <f>IF(AND(#REF!&gt;=table!$C$6,#REF!&lt;= table!$D$6),-1,IF(AND(#REF!&gt;=table!$E$6,#REF!&lt;=table!$F$6),1,0))</f>
        <v>#REF!</v>
      </c>
      <c r="R1793" s="5" t="e">
        <f>IF(AND(#REF!&gt;=table!$C$7,#REF!&lt;= table!$D$7),-1,IF(AND(#REF!&gt;=table!$E$7,#REF!&lt;=table!$F$7),1,0))</f>
        <v>#REF!</v>
      </c>
      <c r="S1793" s="5" t="e">
        <f>IF(AND(#REF!&gt;=table!$C$8,#REF!&lt;= table!$D$8),-1,IF(AND(#REF!&gt;=table!$E$8,#REF!&lt;=table!$F$8),1,0))</f>
        <v>#REF!</v>
      </c>
      <c r="T1793" s="5"/>
      <c r="U1793" s="5" t="e">
        <f>IF(AND(#REF!&gt;=table!$C$10,#REF!&lt;= table!$D$10),-1,IF(AND(#REF!&gt;=table!$E$10,#REF!&lt;=table!$F$10),1,0))</f>
        <v>#REF!</v>
      </c>
      <c r="V1793" s="5" t="e">
        <f>IF(AND(#REF!&gt;=table!$C$11,#REF!&lt;= table!$D$11),-1,IF(AND(#REF!&gt;=table!$E$11,#REF!&lt;=table!$F$11),1,0))</f>
        <v>#REF!</v>
      </c>
      <c r="W1793" s="5" t="e">
        <f>CONCATENATE(dados[[#This Row],[fator1]],dados[[#This Row],[fator5]],dados[[#This Row],[fator6]])</f>
        <v>#REF!</v>
      </c>
    </row>
    <row r="1794" spans="1:23">
      <c r="A1794" t="s">
        <v>17</v>
      </c>
      <c r="B1794">
        <v>486142</v>
      </c>
      <c r="C1794">
        <v>13</v>
      </c>
      <c r="D1794">
        <v>30</v>
      </c>
      <c r="E1794">
        <v>150</v>
      </c>
      <c r="F1794">
        <v>4</v>
      </c>
      <c r="G1794">
        <v>20</v>
      </c>
      <c r="H1794">
        <v>25</v>
      </c>
      <c r="I1794">
        <v>124</v>
      </c>
      <c r="J1794">
        <v>0</v>
      </c>
      <c r="K1794">
        <v>4.6545000000000005</v>
      </c>
      <c r="L1794">
        <v>11.9435</v>
      </c>
      <c r="M1794">
        <v>112.953</v>
      </c>
      <c r="N1794">
        <v>20.345000000000002</v>
      </c>
      <c r="O1794">
        <v>1714</v>
      </c>
      <c r="P1794">
        <v>1172</v>
      </c>
      <c r="Q1794" s="5" t="e">
        <f>IF(AND(#REF!&gt;=table!$C$6,#REF!&lt;= table!$D$6),-1,IF(AND(#REF!&gt;=table!$E$6,#REF!&lt;=table!$F$6),1,0))</f>
        <v>#REF!</v>
      </c>
      <c r="R1794" s="5" t="e">
        <f>IF(AND(#REF!&gt;=table!$C$7,#REF!&lt;= table!$D$7),-1,IF(AND(#REF!&gt;=table!$E$7,#REF!&lt;=table!$F$7),1,0))</f>
        <v>#REF!</v>
      </c>
      <c r="S1794" s="5" t="e">
        <f>IF(AND(#REF!&gt;=table!$C$8,#REF!&lt;= table!$D$8),-1,IF(AND(#REF!&gt;=table!$E$8,#REF!&lt;=table!$F$8),1,0))</f>
        <v>#REF!</v>
      </c>
      <c r="T1794" s="5"/>
      <c r="U1794" s="5" t="e">
        <f>IF(AND(#REF!&gt;=table!$C$10,#REF!&lt;= table!$D$10),-1,IF(AND(#REF!&gt;=table!$E$10,#REF!&lt;=table!$F$10),1,0))</f>
        <v>#REF!</v>
      </c>
      <c r="V1794" s="5" t="e">
        <f>IF(AND(#REF!&gt;=table!$C$11,#REF!&lt;= table!$D$11),-1,IF(AND(#REF!&gt;=table!$E$11,#REF!&lt;=table!$F$11),1,0))</f>
        <v>#REF!</v>
      </c>
      <c r="W1794" s="5" t="e">
        <f>CONCATENATE(dados[[#This Row],[fator1]],dados[[#This Row],[fator5]],dados[[#This Row],[fator6]])</f>
        <v>#REF!</v>
      </c>
    </row>
    <row r="1795" spans="1:23">
      <c r="A1795" t="s">
        <v>17</v>
      </c>
      <c r="B1795">
        <v>486143</v>
      </c>
      <c r="C1795">
        <v>16</v>
      </c>
      <c r="D1795">
        <v>33</v>
      </c>
      <c r="E1795">
        <v>150</v>
      </c>
      <c r="F1795">
        <v>10</v>
      </c>
      <c r="G1795">
        <v>15</v>
      </c>
      <c r="H1795">
        <v>25</v>
      </c>
      <c r="I1795">
        <v>1427</v>
      </c>
      <c r="J1795">
        <v>0</v>
      </c>
      <c r="K1795">
        <v>3.0569999999999999</v>
      </c>
      <c r="L1795">
        <v>7.6305000000000005</v>
      </c>
      <c r="M1795">
        <v>80.264499999999998</v>
      </c>
      <c r="N1795">
        <v>12.49</v>
      </c>
      <c r="O1795">
        <v>1677</v>
      </c>
      <c r="P1795">
        <v>1030</v>
      </c>
      <c r="Q1795" s="5" t="e">
        <f>IF(AND(#REF!&gt;=table!$C$6,#REF!&lt;= table!$D$6),-1,IF(AND(#REF!&gt;=table!$E$6,#REF!&lt;=table!$F$6),1,0))</f>
        <v>#REF!</v>
      </c>
      <c r="R1795" s="5" t="e">
        <f>IF(AND(#REF!&gt;=table!$C$7,#REF!&lt;= table!$D$7),-1,IF(AND(#REF!&gt;=table!$E$7,#REF!&lt;=table!$F$7),1,0))</f>
        <v>#REF!</v>
      </c>
      <c r="S1795" s="5" t="e">
        <f>IF(AND(#REF!&gt;=table!$C$8,#REF!&lt;= table!$D$8),-1,IF(AND(#REF!&gt;=table!$E$8,#REF!&lt;=table!$F$8),1,0))</f>
        <v>#REF!</v>
      </c>
      <c r="T1795" s="5"/>
      <c r="U1795" s="5" t="e">
        <f>IF(AND(#REF!&gt;=table!$C$10,#REF!&lt;= table!$D$10),-1,IF(AND(#REF!&gt;=table!$E$10,#REF!&lt;=table!$F$10),1,0))</f>
        <v>#REF!</v>
      </c>
      <c r="V1795" s="5" t="e">
        <f>IF(AND(#REF!&gt;=table!$C$11,#REF!&lt;= table!$D$11),-1,IF(AND(#REF!&gt;=table!$E$11,#REF!&lt;=table!$F$11),1,0))</f>
        <v>#REF!</v>
      </c>
      <c r="W1795" s="5" t="e">
        <f>CONCATENATE(dados[[#This Row],[fator1]],dados[[#This Row],[fator5]],dados[[#This Row],[fator6]])</f>
        <v>#REF!</v>
      </c>
    </row>
    <row r="1796" spans="1:23">
      <c r="A1796" t="s">
        <v>17</v>
      </c>
      <c r="B1796">
        <v>486144</v>
      </c>
      <c r="C1796">
        <v>18</v>
      </c>
      <c r="D1796">
        <v>23</v>
      </c>
      <c r="E1796">
        <v>145</v>
      </c>
      <c r="F1796">
        <v>9</v>
      </c>
      <c r="G1796">
        <v>30</v>
      </c>
      <c r="H1796">
        <v>25</v>
      </c>
      <c r="I1796">
        <v>1270</v>
      </c>
      <c r="J1796">
        <v>0</v>
      </c>
      <c r="K1796">
        <v>3.9625000000000004</v>
      </c>
      <c r="L1796">
        <v>5.5795000000000003</v>
      </c>
      <c r="M1796">
        <v>116.97750000000001</v>
      </c>
      <c r="N1796">
        <v>14.59</v>
      </c>
      <c r="O1796">
        <v>1678</v>
      </c>
      <c r="P1796">
        <v>1170</v>
      </c>
      <c r="Q1796" s="5" t="e">
        <f>IF(AND(#REF!&gt;=table!$C$6,#REF!&lt;= table!$D$6),-1,IF(AND(#REF!&gt;=table!$E$6,#REF!&lt;=table!$F$6),1,0))</f>
        <v>#REF!</v>
      </c>
      <c r="R1796" s="5" t="e">
        <f>IF(AND(#REF!&gt;=table!$C$7,#REF!&lt;= table!$D$7),-1,IF(AND(#REF!&gt;=table!$E$7,#REF!&lt;=table!$F$7),1,0))</f>
        <v>#REF!</v>
      </c>
      <c r="S1796" s="5" t="e">
        <f>IF(AND(#REF!&gt;=table!$C$8,#REF!&lt;= table!$D$8),-1,IF(AND(#REF!&gt;=table!$E$8,#REF!&lt;=table!$F$8),1,0))</f>
        <v>#REF!</v>
      </c>
      <c r="T1796" s="5"/>
      <c r="U1796" s="5" t="e">
        <f>IF(AND(#REF!&gt;=table!$C$10,#REF!&lt;= table!$D$10),-1,IF(AND(#REF!&gt;=table!$E$10,#REF!&lt;=table!$F$10),1,0))</f>
        <v>#REF!</v>
      </c>
      <c r="V1796" s="5" t="e">
        <f>IF(AND(#REF!&gt;=table!$C$11,#REF!&lt;= table!$D$11),-1,IF(AND(#REF!&gt;=table!$E$11,#REF!&lt;=table!$F$11),1,0))</f>
        <v>#REF!</v>
      </c>
      <c r="W1796" s="5" t="e">
        <f>CONCATENATE(dados[[#This Row],[fator1]],dados[[#This Row],[fator5]],dados[[#This Row],[fator6]])</f>
        <v>#REF!</v>
      </c>
    </row>
    <row r="1797" spans="1:23">
      <c r="A1797" t="s">
        <v>17</v>
      </c>
      <c r="B1797">
        <v>486145</v>
      </c>
      <c r="C1797">
        <v>18</v>
      </c>
      <c r="D1797">
        <v>30</v>
      </c>
      <c r="E1797">
        <v>136</v>
      </c>
      <c r="F1797">
        <v>3</v>
      </c>
      <c r="G1797">
        <v>20</v>
      </c>
      <c r="H1797">
        <v>25</v>
      </c>
      <c r="I1797">
        <v>1132</v>
      </c>
      <c r="J1797">
        <v>0</v>
      </c>
      <c r="K1797">
        <v>4.0005000000000006</v>
      </c>
      <c r="L1797">
        <v>4.6495000000000006</v>
      </c>
      <c r="M1797">
        <v>115.70050000000001</v>
      </c>
      <c r="N1797">
        <v>13.215</v>
      </c>
      <c r="O1797">
        <v>1674</v>
      </c>
      <c r="P1797">
        <v>1197</v>
      </c>
      <c r="Q1797" s="5" t="e">
        <f>IF(AND(#REF!&gt;=table!$C$6,#REF!&lt;= table!$D$6),-1,IF(AND(#REF!&gt;=table!$E$6,#REF!&lt;=table!$F$6),1,0))</f>
        <v>#REF!</v>
      </c>
      <c r="R1797" s="5" t="e">
        <f>IF(AND(#REF!&gt;=table!$C$7,#REF!&lt;= table!$D$7),-1,IF(AND(#REF!&gt;=table!$E$7,#REF!&lt;=table!$F$7),1,0))</f>
        <v>#REF!</v>
      </c>
      <c r="S1797" s="5" t="e">
        <f>IF(AND(#REF!&gt;=table!$C$8,#REF!&lt;= table!$D$8),-1,IF(AND(#REF!&gt;=table!$E$8,#REF!&lt;=table!$F$8),1,0))</f>
        <v>#REF!</v>
      </c>
      <c r="T1797" s="5"/>
      <c r="U1797" s="5" t="e">
        <f>IF(AND(#REF!&gt;=table!$C$10,#REF!&lt;= table!$D$10),-1,IF(AND(#REF!&gt;=table!$E$10,#REF!&lt;=table!$F$10),1,0))</f>
        <v>#REF!</v>
      </c>
      <c r="V1797" s="5" t="e">
        <f>IF(AND(#REF!&gt;=table!$C$11,#REF!&lt;= table!$D$11),-1,IF(AND(#REF!&gt;=table!$E$11,#REF!&lt;=table!$F$11),1,0))</f>
        <v>#REF!</v>
      </c>
      <c r="W1797" s="5" t="e">
        <f>CONCATENATE(dados[[#This Row],[fator1]],dados[[#This Row],[fator5]],dados[[#This Row],[fator6]])</f>
        <v>#REF!</v>
      </c>
    </row>
    <row r="1798" spans="1:23">
      <c r="A1798" t="s">
        <v>16</v>
      </c>
      <c r="B1798">
        <v>486146</v>
      </c>
      <c r="C1798">
        <v>0.15</v>
      </c>
      <c r="D1798">
        <v>40</v>
      </c>
      <c r="E1798">
        <v>10</v>
      </c>
      <c r="F1798">
        <v>15</v>
      </c>
      <c r="G1798">
        <v>0</v>
      </c>
      <c r="H1798">
        <v>15</v>
      </c>
      <c r="I1798">
        <v>1490</v>
      </c>
      <c r="J1798">
        <v>0</v>
      </c>
      <c r="K1798">
        <v>4.7949999999999999</v>
      </c>
      <c r="L1798">
        <v>8.2335000000000012</v>
      </c>
      <c r="M1798">
        <v>8.0289999999999999</v>
      </c>
      <c r="N1798">
        <v>10.57</v>
      </c>
      <c r="O1798">
        <v>1680</v>
      </c>
      <c r="P1798">
        <v>908</v>
      </c>
      <c r="Q1798" s="5" t="e">
        <f>IF(AND(#REF!&gt;=table!$C$6,#REF!&lt;= table!$D$6),-1,IF(AND(#REF!&gt;=table!$E$6,#REF!&lt;=table!$F$6),1,0))</f>
        <v>#REF!</v>
      </c>
      <c r="R1798" s="5" t="e">
        <f>IF(AND(#REF!&gt;=table!$C$7,#REF!&lt;= table!$D$7),-1,IF(AND(#REF!&gt;=table!$E$7,#REF!&lt;=table!$F$7),1,0))</f>
        <v>#REF!</v>
      </c>
      <c r="S1798" s="5" t="e">
        <f>IF(AND(#REF!&gt;=table!$C$8,#REF!&lt;= table!$D$8),-1,IF(AND(#REF!&gt;=table!$E$8,#REF!&lt;=table!$F$8),1,0))</f>
        <v>#REF!</v>
      </c>
      <c r="T1798" s="5"/>
      <c r="U1798" s="5" t="e">
        <f>IF(AND(#REF!&gt;=table!$C$10,#REF!&lt;= table!$D$10),-1,IF(AND(#REF!&gt;=table!$E$10,#REF!&lt;=table!$F$10),1,0))</f>
        <v>#REF!</v>
      </c>
      <c r="V1798" s="5" t="e">
        <f>IF(AND(#REF!&gt;=table!$C$11,#REF!&lt;= table!$D$11),-1,IF(AND(#REF!&gt;=table!$E$11,#REF!&lt;=table!$F$11),1,0))</f>
        <v>#REF!</v>
      </c>
      <c r="W1798" s="5" t="e">
        <f>CONCATENATE(dados[[#This Row],[fator1]],dados[[#This Row],[fator5]],dados[[#This Row],[fator6]])</f>
        <v>#REF!</v>
      </c>
    </row>
    <row r="1799" spans="1:23">
      <c r="A1799" t="s">
        <v>16</v>
      </c>
      <c r="B1799">
        <v>486149</v>
      </c>
      <c r="C1799">
        <v>0.15</v>
      </c>
      <c r="D1799">
        <v>40</v>
      </c>
      <c r="E1799">
        <v>10</v>
      </c>
      <c r="F1799">
        <v>15</v>
      </c>
      <c r="G1799">
        <v>0</v>
      </c>
      <c r="H1799">
        <v>15</v>
      </c>
      <c r="I1799">
        <v>1263</v>
      </c>
      <c r="J1799">
        <v>0</v>
      </c>
      <c r="K1799">
        <v>4.8784999999999998</v>
      </c>
      <c r="L1799">
        <v>8.2740000000000009</v>
      </c>
      <c r="M1799">
        <v>7.87</v>
      </c>
      <c r="N1799">
        <v>9.7149999999999999</v>
      </c>
      <c r="O1799">
        <v>1691</v>
      </c>
      <c r="P1799">
        <v>0</v>
      </c>
      <c r="Q1799" s="5" t="e">
        <f>IF(AND(#REF!&gt;=table!$C$6,#REF!&lt;= table!$D$6),-1,IF(AND(#REF!&gt;=table!$E$6,#REF!&lt;=table!$F$6),1,0))</f>
        <v>#REF!</v>
      </c>
      <c r="R1799" s="5" t="e">
        <f>IF(AND(#REF!&gt;=table!$C$7,#REF!&lt;= table!$D$7),-1,IF(AND(#REF!&gt;=table!$E$7,#REF!&lt;=table!$F$7),1,0))</f>
        <v>#REF!</v>
      </c>
      <c r="S1799" s="5" t="e">
        <f>IF(AND(#REF!&gt;=table!$C$8,#REF!&lt;= table!$D$8),-1,IF(AND(#REF!&gt;=table!$E$8,#REF!&lt;=table!$F$8),1,0))</f>
        <v>#REF!</v>
      </c>
      <c r="T1799" s="5"/>
      <c r="U1799" s="5" t="e">
        <f>IF(AND(#REF!&gt;=table!$C$10,#REF!&lt;= table!$D$10),-1,IF(AND(#REF!&gt;=table!$E$10,#REF!&lt;=table!$F$10),1,0))</f>
        <v>#REF!</v>
      </c>
      <c r="V1799" s="5" t="e">
        <f>IF(AND(#REF!&gt;=table!$C$11,#REF!&lt;= table!$D$11),-1,IF(AND(#REF!&gt;=table!$E$11,#REF!&lt;=table!$F$11),1,0))</f>
        <v>#REF!</v>
      </c>
      <c r="W1799" s="5" t="e">
        <f>CONCATENATE(dados[[#This Row],[fator1]],dados[[#This Row],[fator5]],dados[[#This Row],[fator6]])</f>
        <v>#REF!</v>
      </c>
    </row>
    <row r="1800" spans="1:23">
      <c r="A1800" t="s">
        <v>16</v>
      </c>
      <c r="B1800">
        <v>486150</v>
      </c>
      <c r="C1800">
        <v>0.15</v>
      </c>
      <c r="D1800">
        <v>40</v>
      </c>
      <c r="E1800">
        <v>10</v>
      </c>
      <c r="F1800">
        <v>15</v>
      </c>
      <c r="G1800">
        <v>0</v>
      </c>
      <c r="H1800">
        <v>15</v>
      </c>
      <c r="I1800">
        <v>820</v>
      </c>
      <c r="J1800">
        <v>0</v>
      </c>
      <c r="K1800">
        <v>3.6620000000000004</v>
      </c>
      <c r="L1800">
        <v>7.2055000000000007</v>
      </c>
      <c r="M1800">
        <v>6.016</v>
      </c>
      <c r="N1800">
        <v>11.8</v>
      </c>
      <c r="O1800">
        <v>1677</v>
      </c>
      <c r="P1800">
        <v>0</v>
      </c>
      <c r="Q1800" s="5" t="e">
        <f>IF(AND(#REF!&gt;=table!$C$6,#REF!&lt;= table!$D$6),-1,IF(AND(#REF!&gt;=table!$E$6,#REF!&lt;=table!$F$6),1,0))</f>
        <v>#REF!</v>
      </c>
      <c r="R1800" s="5" t="e">
        <f>IF(AND(#REF!&gt;=table!$C$7,#REF!&lt;= table!$D$7),-1,IF(AND(#REF!&gt;=table!$E$7,#REF!&lt;=table!$F$7),1,0))</f>
        <v>#REF!</v>
      </c>
      <c r="S1800" s="5" t="e">
        <f>IF(AND(#REF!&gt;=table!$C$8,#REF!&lt;= table!$D$8),-1,IF(AND(#REF!&gt;=table!$E$8,#REF!&lt;=table!$F$8),1,0))</f>
        <v>#REF!</v>
      </c>
      <c r="T1800" s="5"/>
      <c r="U1800" s="5" t="e">
        <f>IF(AND(#REF!&gt;=table!$C$10,#REF!&lt;= table!$D$10),-1,IF(AND(#REF!&gt;=table!$E$10,#REF!&lt;=table!$F$10),1,0))</f>
        <v>#REF!</v>
      </c>
      <c r="V1800" s="5" t="e">
        <f>IF(AND(#REF!&gt;=table!$C$11,#REF!&lt;= table!$D$11),-1,IF(AND(#REF!&gt;=table!$E$11,#REF!&lt;=table!$F$11),1,0))</f>
        <v>#REF!</v>
      </c>
      <c r="W1800" s="5" t="e">
        <f>CONCATENATE(dados[[#This Row],[fator1]],dados[[#This Row],[fator5]],dados[[#This Row],[fator6]])</f>
        <v>#REF!</v>
      </c>
    </row>
    <row r="1801" spans="1:23">
      <c r="A1801" t="s">
        <v>16</v>
      </c>
      <c r="B1801">
        <v>486151</v>
      </c>
      <c r="C1801">
        <v>0.15</v>
      </c>
      <c r="D1801">
        <v>40</v>
      </c>
      <c r="E1801">
        <v>10</v>
      </c>
      <c r="F1801">
        <v>15</v>
      </c>
      <c r="G1801">
        <v>0</v>
      </c>
      <c r="H1801">
        <v>15</v>
      </c>
      <c r="I1801">
        <v>678</v>
      </c>
      <c r="J1801">
        <v>0</v>
      </c>
      <c r="K1801">
        <v>3.5013000000000001</v>
      </c>
      <c r="L1801">
        <v>5.8855000000000004</v>
      </c>
      <c r="M1801">
        <v>4.9089999999999998</v>
      </c>
      <c r="N1801">
        <v>8.94</v>
      </c>
      <c r="O1801">
        <v>1656</v>
      </c>
      <c r="P1801">
        <v>0</v>
      </c>
      <c r="Q1801" s="5" t="e">
        <f>IF(AND(#REF!&gt;=table!$C$6,#REF!&lt;= table!$D$6),-1,IF(AND(#REF!&gt;=table!$E$6,#REF!&lt;=table!$F$6),1,0))</f>
        <v>#REF!</v>
      </c>
      <c r="R1801" s="5" t="e">
        <f>IF(AND(#REF!&gt;=table!$C$7,#REF!&lt;= table!$D$7),-1,IF(AND(#REF!&gt;=table!$E$7,#REF!&lt;=table!$F$7),1,0))</f>
        <v>#REF!</v>
      </c>
      <c r="S1801" s="5" t="e">
        <f>IF(AND(#REF!&gt;=table!$C$8,#REF!&lt;= table!$D$8),-1,IF(AND(#REF!&gt;=table!$E$8,#REF!&lt;=table!$F$8),1,0))</f>
        <v>#REF!</v>
      </c>
      <c r="T1801" s="5"/>
      <c r="U1801" s="5" t="e">
        <f>IF(AND(#REF!&gt;=table!$C$10,#REF!&lt;= table!$D$10),-1,IF(AND(#REF!&gt;=table!$E$10,#REF!&lt;=table!$F$10),1,0))</f>
        <v>#REF!</v>
      </c>
      <c r="V1801" s="5" t="e">
        <f>IF(AND(#REF!&gt;=table!$C$11,#REF!&lt;= table!$D$11),-1,IF(AND(#REF!&gt;=table!$E$11,#REF!&lt;=table!$F$11),1,0))</f>
        <v>#REF!</v>
      </c>
      <c r="W1801" s="5" t="e">
        <f>CONCATENATE(dados[[#This Row],[fator1]],dados[[#This Row],[fator5]],dados[[#This Row],[fator6]])</f>
        <v>#REF!</v>
      </c>
    </row>
    <row r="1802" spans="1:23">
      <c r="A1802" t="s">
        <v>16</v>
      </c>
      <c r="B1802">
        <v>486153</v>
      </c>
      <c r="C1802">
        <v>6</v>
      </c>
      <c r="D1802">
        <v>25</v>
      </c>
      <c r="E1802">
        <v>120</v>
      </c>
      <c r="F1802">
        <v>4</v>
      </c>
      <c r="G1802">
        <v>0</v>
      </c>
      <c r="H1802">
        <v>55</v>
      </c>
      <c r="I1802">
        <v>654</v>
      </c>
      <c r="J1802">
        <v>0</v>
      </c>
      <c r="K1802">
        <v>3.9755000000000003</v>
      </c>
      <c r="L1802">
        <v>6.76</v>
      </c>
      <c r="M1802">
        <v>110.53800000000001</v>
      </c>
      <c r="N1802">
        <v>13.950000000000001</v>
      </c>
      <c r="O1802">
        <v>1712</v>
      </c>
      <c r="P1802">
        <v>0</v>
      </c>
      <c r="Q1802" s="5" t="e">
        <f>IF(AND(#REF!&gt;=table!$C$6,#REF!&lt;= table!$D$6),-1,IF(AND(#REF!&gt;=table!$E$6,#REF!&lt;=table!$F$6),1,0))</f>
        <v>#REF!</v>
      </c>
      <c r="R1802" s="5" t="e">
        <f>IF(AND(#REF!&gt;=table!$C$7,#REF!&lt;= table!$D$7),-1,IF(AND(#REF!&gt;=table!$E$7,#REF!&lt;=table!$F$7),1,0))</f>
        <v>#REF!</v>
      </c>
      <c r="S1802" s="5" t="e">
        <f>IF(AND(#REF!&gt;=table!$C$8,#REF!&lt;= table!$D$8),-1,IF(AND(#REF!&gt;=table!$E$8,#REF!&lt;=table!$F$8),1,0))</f>
        <v>#REF!</v>
      </c>
      <c r="T1802" s="5"/>
      <c r="U1802" s="5" t="e">
        <f>IF(AND(#REF!&gt;=table!$C$10,#REF!&lt;= table!$D$10),-1,IF(AND(#REF!&gt;=table!$E$10,#REF!&lt;=table!$F$10),1,0))</f>
        <v>#REF!</v>
      </c>
      <c r="V1802" s="5" t="e">
        <f>IF(AND(#REF!&gt;=table!$C$11,#REF!&lt;= table!$D$11),-1,IF(AND(#REF!&gt;=table!$E$11,#REF!&lt;=table!$F$11),1,0))</f>
        <v>#REF!</v>
      </c>
      <c r="W1802" s="5" t="e">
        <f>CONCATENATE(dados[[#This Row],[fator1]],dados[[#This Row],[fator5]],dados[[#This Row],[fator6]])</f>
        <v>#REF!</v>
      </c>
    </row>
    <row r="1803" spans="1:23">
      <c r="A1803" t="s">
        <v>16</v>
      </c>
      <c r="B1803">
        <v>486154</v>
      </c>
      <c r="C1803">
        <v>12</v>
      </c>
      <c r="D1803">
        <v>40</v>
      </c>
      <c r="E1803">
        <v>36</v>
      </c>
      <c r="F1803">
        <v>9</v>
      </c>
      <c r="G1803">
        <v>0</v>
      </c>
      <c r="H1803">
        <v>25</v>
      </c>
      <c r="I1803">
        <v>365</v>
      </c>
      <c r="J1803">
        <v>0</v>
      </c>
      <c r="K1803">
        <v>5.1625000000000005</v>
      </c>
      <c r="L1803">
        <v>8.5805000000000007</v>
      </c>
      <c r="M1803">
        <v>29.758500000000002</v>
      </c>
      <c r="N1803">
        <v>12.42</v>
      </c>
      <c r="O1803">
        <v>1660</v>
      </c>
      <c r="P1803">
        <v>734</v>
      </c>
      <c r="Q1803" s="5" t="e">
        <f>IF(AND(#REF!&gt;=table!$C$6,#REF!&lt;= table!$D$6),-1,IF(AND(#REF!&gt;=table!$E$6,#REF!&lt;=table!$F$6),1,0))</f>
        <v>#REF!</v>
      </c>
      <c r="R1803" s="5" t="e">
        <f>IF(AND(#REF!&gt;=table!$C$7,#REF!&lt;= table!$D$7),-1,IF(AND(#REF!&gt;=table!$E$7,#REF!&lt;=table!$F$7),1,0))</f>
        <v>#REF!</v>
      </c>
      <c r="S1803" s="5" t="e">
        <f>IF(AND(#REF!&gt;=table!$C$8,#REF!&lt;= table!$D$8),-1,IF(AND(#REF!&gt;=table!$E$8,#REF!&lt;=table!$F$8),1,0))</f>
        <v>#REF!</v>
      </c>
      <c r="T1803" s="5"/>
      <c r="U1803" s="5" t="e">
        <f>IF(AND(#REF!&gt;=table!$C$10,#REF!&lt;= table!$D$10),-1,IF(AND(#REF!&gt;=table!$E$10,#REF!&lt;=table!$F$10),1,0))</f>
        <v>#REF!</v>
      </c>
      <c r="V1803" s="5" t="e">
        <f>IF(AND(#REF!&gt;=table!$C$11,#REF!&lt;= table!$D$11),-1,IF(AND(#REF!&gt;=table!$E$11,#REF!&lt;=table!$F$11),1,0))</f>
        <v>#REF!</v>
      </c>
      <c r="W1803" s="5" t="e">
        <f>CONCATENATE(dados[[#This Row],[fator1]],dados[[#This Row],[fator5]],dados[[#This Row],[fator6]])</f>
        <v>#REF!</v>
      </c>
    </row>
    <row r="1804" spans="1:23">
      <c r="A1804" t="s">
        <v>16</v>
      </c>
      <c r="B1804">
        <v>486155</v>
      </c>
      <c r="C1804">
        <v>12</v>
      </c>
      <c r="D1804">
        <v>40</v>
      </c>
      <c r="E1804">
        <v>36</v>
      </c>
      <c r="F1804">
        <v>9</v>
      </c>
      <c r="G1804">
        <v>0</v>
      </c>
      <c r="H1804">
        <v>25</v>
      </c>
      <c r="I1804">
        <v>548</v>
      </c>
      <c r="J1804">
        <v>0</v>
      </c>
      <c r="K1804">
        <v>5.4190000000000005</v>
      </c>
      <c r="L1804">
        <v>13.335000000000001</v>
      </c>
      <c r="M1804">
        <v>34.474499999999999</v>
      </c>
      <c r="N1804">
        <v>19.04</v>
      </c>
      <c r="O1804">
        <v>1679</v>
      </c>
      <c r="P1804">
        <v>682</v>
      </c>
      <c r="Q1804" s="5" t="e">
        <f>IF(AND(#REF!&gt;=table!$C$6,#REF!&lt;= table!$D$6),-1,IF(AND(#REF!&gt;=table!$E$6,#REF!&lt;=table!$F$6),1,0))</f>
        <v>#REF!</v>
      </c>
      <c r="R1804" s="5" t="e">
        <f>IF(AND(#REF!&gt;=table!$C$7,#REF!&lt;= table!$D$7),-1,IF(AND(#REF!&gt;=table!$E$7,#REF!&lt;=table!$F$7),1,0))</f>
        <v>#REF!</v>
      </c>
      <c r="S1804" s="5" t="e">
        <f>IF(AND(#REF!&gt;=table!$C$8,#REF!&lt;= table!$D$8),-1,IF(AND(#REF!&gt;=table!$E$8,#REF!&lt;=table!$F$8),1,0))</f>
        <v>#REF!</v>
      </c>
      <c r="T1804" s="5"/>
      <c r="U1804" s="5" t="e">
        <f>IF(AND(#REF!&gt;=table!$C$10,#REF!&lt;= table!$D$10),-1,IF(AND(#REF!&gt;=table!$E$10,#REF!&lt;=table!$F$10),1,0))</f>
        <v>#REF!</v>
      </c>
      <c r="V1804" s="5" t="e">
        <f>IF(AND(#REF!&gt;=table!$C$11,#REF!&lt;= table!$D$11),-1,IF(AND(#REF!&gt;=table!$E$11,#REF!&lt;=table!$F$11),1,0))</f>
        <v>#REF!</v>
      </c>
      <c r="W1804" s="5" t="e">
        <f>CONCATENATE(dados[[#This Row],[fator1]],dados[[#This Row],[fator5]],dados[[#This Row],[fator6]])</f>
        <v>#REF!</v>
      </c>
    </row>
    <row r="1805" spans="1:23">
      <c r="A1805" t="s">
        <v>16</v>
      </c>
      <c r="B1805">
        <v>486158</v>
      </c>
      <c r="C1805">
        <v>12</v>
      </c>
      <c r="D1805">
        <v>40</v>
      </c>
      <c r="E1805">
        <v>36</v>
      </c>
      <c r="F1805">
        <v>9</v>
      </c>
      <c r="G1805">
        <v>0</v>
      </c>
      <c r="H1805">
        <v>25</v>
      </c>
      <c r="I1805">
        <v>603</v>
      </c>
      <c r="J1805">
        <v>0</v>
      </c>
      <c r="K1805">
        <v>6.1740000000000004</v>
      </c>
      <c r="L1805">
        <v>11.9635</v>
      </c>
      <c r="M1805">
        <v>32.955500000000001</v>
      </c>
      <c r="N1805">
        <v>12.64</v>
      </c>
      <c r="O1805">
        <v>1664</v>
      </c>
      <c r="P1805">
        <v>547</v>
      </c>
      <c r="Q1805" s="5" t="e">
        <f>IF(AND(#REF!&gt;=table!$C$6,#REF!&lt;= table!$D$6),-1,IF(AND(#REF!&gt;=table!$E$6,#REF!&lt;=table!$F$6),1,0))</f>
        <v>#REF!</v>
      </c>
      <c r="R1805" s="5" t="e">
        <f>IF(AND(#REF!&gt;=table!$C$7,#REF!&lt;= table!$D$7),-1,IF(AND(#REF!&gt;=table!$E$7,#REF!&lt;=table!$F$7),1,0))</f>
        <v>#REF!</v>
      </c>
      <c r="S1805" s="5" t="e">
        <f>IF(AND(#REF!&gt;=table!$C$8,#REF!&lt;= table!$D$8),-1,IF(AND(#REF!&gt;=table!$E$8,#REF!&lt;=table!$F$8),1,0))</f>
        <v>#REF!</v>
      </c>
      <c r="T1805" s="5"/>
      <c r="U1805" s="5" t="e">
        <f>IF(AND(#REF!&gt;=table!$C$10,#REF!&lt;= table!$D$10),-1,IF(AND(#REF!&gt;=table!$E$10,#REF!&lt;=table!$F$10),1,0))</f>
        <v>#REF!</v>
      </c>
      <c r="V1805" s="5" t="e">
        <f>IF(AND(#REF!&gt;=table!$C$11,#REF!&lt;= table!$D$11),-1,IF(AND(#REF!&gt;=table!$E$11,#REF!&lt;=table!$F$11),1,0))</f>
        <v>#REF!</v>
      </c>
      <c r="W1805" s="5" t="e">
        <f>CONCATENATE(dados[[#This Row],[fator1]],dados[[#This Row],[fator5]],dados[[#This Row],[fator6]])</f>
        <v>#REF!</v>
      </c>
    </row>
    <row r="1806" spans="1:23">
      <c r="A1806" t="s">
        <v>16</v>
      </c>
      <c r="B1806">
        <v>486159</v>
      </c>
      <c r="C1806">
        <v>12</v>
      </c>
      <c r="D1806">
        <v>40</v>
      </c>
      <c r="E1806">
        <v>36</v>
      </c>
      <c r="F1806">
        <v>9</v>
      </c>
      <c r="G1806">
        <v>0</v>
      </c>
      <c r="H1806">
        <v>25</v>
      </c>
      <c r="I1806">
        <v>194</v>
      </c>
      <c r="J1806">
        <v>0</v>
      </c>
      <c r="K1806">
        <v>11.202</v>
      </c>
      <c r="L1806">
        <v>15.1</v>
      </c>
      <c r="M1806">
        <v>33.262999999999998</v>
      </c>
      <c r="N1806">
        <v>16.265000000000001</v>
      </c>
      <c r="O1806">
        <v>1660</v>
      </c>
      <c r="P1806">
        <v>359</v>
      </c>
      <c r="Q1806" s="5" t="e">
        <f>IF(AND(#REF!&gt;=table!$C$6,#REF!&lt;= table!$D$6),-1,IF(AND(#REF!&gt;=table!$E$6,#REF!&lt;=table!$F$6),1,0))</f>
        <v>#REF!</v>
      </c>
      <c r="R1806" s="5" t="e">
        <f>IF(AND(#REF!&gt;=table!$C$7,#REF!&lt;= table!$D$7),-1,IF(AND(#REF!&gt;=table!$E$7,#REF!&lt;=table!$F$7),1,0))</f>
        <v>#REF!</v>
      </c>
      <c r="S1806" s="5" t="e">
        <f>IF(AND(#REF!&gt;=table!$C$8,#REF!&lt;= table!$D$8),-1,IF(AND(#REF!&gt;=table!$E$8,#REF!&lt;=table!$F$8),1,0))</f>
        <v>#REF!</v>
      </c>
      <c r="T1806" s="5"/>
      <c r="U1806" s="5" t="e">
        <f>IF(AND(#REF!&gt;=table!$C$10,#REF!&lt;= table!$D$10),-1,IF(AND(#REF!&gt;=table!$E$10,#REF!&lt;=table!$F$10),1,0))</f>
        <v>#REF!</v>
      </c>
      <c r="V1806" s="5" t="e">
        <f>IF(AND(#REF!&gt;=table!$C$11,#REF!&lt;= table!$D$11),-1,IF(AND(#REF!&gt;=table!$E$11,#REF!&lt;=table!$F$11),1,0))</f>
        <v>#REF!</v>
      </c>
      <c r="W1806" s="5" t="e">
        <f>CONCATENATE(dados[[#This Row],[fator1]],dados[[#This Row],[fator5]],dados[[#This Row],[fator6]])</f>
        <v>#REF!</v>
      </c>
    </row>
    <row r="1807" spans="1:23">
      <c r="A1807" t="s">
        <v>16</v>
      </c>
      <c r="B1807">
        <v>486183</v>
      </c>
      <c r="C1807">
        <v>0.23</v>
      </c>
      <c r="D1807">
        <v>65</v>
      </c>
      <c r="E1807">
        <v>26</v>
      </c>
      <c r="F1807">
        <v>15</v>
      </c>
      <c r="G1807">
        <v>0</v>
      </c>
      <c r="H1807">
        <v>35</v>
      </c>
      <c r="I1807">
        <v>581</v>
      </c>
      <c r="J1807">
        <v>0</v>
      </c>
      <c r="K1807">
        <v>2.883</v>
      </c>
      <c r="L1807">
        <v>4.4184999999999999</v>
      </c>
      <c r="M1807">
        <v>4.3975</v>
      </c>
      <c r="N1807">
        <v>10.845000000000001</v>
      </c>
      <c r="O1807">
        <v>1652</v>
      </c>
      <c r="P1807">
        <v>1207</v>
      </c>
      <c r="Q1807" s="5" t="e">
        <f>IF(AND(#REF!&gt;=table!$C$6,#REF!&lt;= table!$D$6),-1,IF(AND(#REF!&gt;=table!$E$6,#REF!&lt;=table!$F$6),1,0))</f>
        <v>#REF!</v>
      </c>
      <c r="R1807" s="5" t="e">
        <f>IF(AND(#REF!&gt;=table!$C$7,#REF!&lt;= table!$D$7),-1,IF(AND(#REF!&gt;=table!$E$7,#REF!&lt;=table!$F$7),1,0))</f>
        <v>#REF!</v>
      </c>
      <c r="S1807" s="5" t="e">
        <f>IF(AND(#REF!&gt;=table!$C$8,#REF!&lt;= table!$D$8),-1,IF(AND(#REF!&gt;=table!$E$8,#REF!&lt;=table!$F$8),1,0))</f>
        <v>#REF!</v>
      </c>
      <c r="T1807" s="5"/>
      <c r="U1807" s="5" t="e">
        <f>IF(AND(#REF!&gt;=table!$C$10,#REF!&lt;= table!$D$10),-1,IF(AND(#REF!&gt;=table!$E$10,#REF!&lt;=table!$F$10),1,0))</f>
        <v>#REF!</v>
      </c>
      <c r="V1807" s="5" t="e">
        <f>IF(AND(#REF!&gt;=table!$C$11,#REF!&lt;= table!$D$11),-1,IF(AND(#REF!&gt;=table!$E$11,#REF!&lt;=table!$F$11),1,0))</f>
        <v>#REF!</v>
      </c>
      <c r="W1807" s="5" t="e">
        <f>CONCATENATE(dados[[#This Row],[fator1]],dados[[#This Row],[fator5]],dados[[#This Row],[fator6]])</f>
        <v>#REF!</v>
      </c>
    </row>
    <row r="1808" spans="1:23">
      <c r="A1808" t="s">
        <v>16</v>
      </c>
      <c r="B1808">
        <v>486190</v>
      </c>
      <c r="C1808">
        <v>0.15</v>
      </c>
      <c r="D1808">
        <v>40</v>
      </c>
      <c r="E1808">
        <v>10</v>
      </c>
      <c r="F1808">
        <v>15</v>
      </c>
      <c r="G1808">
        <v>0</v>
      </c>
      <c r="H1808">
        <v>15</v>
      </c>
      <c r="I1808">
        <v>872</v>
      </c>
      <c r="J1808">
        <v>0</v>
      </c>
      <c r="K1808">
        <v>4.0635000000000003</v>
      </c>
      <c r="L1808">
        <v>4.9580000000000002</v>
      </c>
      <c r="M1808">
        <v>4.8140000000000001</v>
      </c>
      <c r="N1808">
        <v>7.18</v>
      </c>
      <c r="O1808">
        <v>1681</v>
      </c>
      <c r="P1808">
        <v>0</v>
      </c>
      <c r="Q1808" s="5" t="e">
        <f>IF(AND(#REF!&gt;=table!$C$6,#REF!&lt;= table!$D$6),-1,IF(AND(#REF!&gt;=table!$E$6,#REF!&lt;=table!$F$6),1,0))</f>
        <v>#REF!</v>
      </c>
      <c r="R1808" s="5" t="e">
        <f>IF(AND(#REF!&gt;=table!$C$7,#REF!&lt;= table!$D$7),-1,IF(AND(#REF!&gt;=table!$E$7,#REF!&lt;=table!$F$7),1,0))</f>
        <v>#REF!</v>
      </c>
      <c r="S1808" s="5" t="e">
        <f>IF(AND(#REF!&gt;=table!$C$8,#REF!&lt;= table!$D$8),-1,IF(AND(#REF!&gt;=table!$E$8,#REF!&lt;=table!$F$8),1,0))</f>
        <v>#REF!</v>
      </c>
      <c r="T1808" s="5"/>
      <c r="U1808" s="5" t="e">
        <f>IF(AND(#REF!&gt;=table!$C$10,#REF!&lt;= table!$D$10),-1,IF(AND(#REF!&gt;=table!$E$10,#REF!&lt;=table!$F$10),1,0))</f>
        <v>#REF!</v>
      </c>
      <c r="V1808" s="5" t="e">
        <f>IF(AND(#REF!&gt;=table!$C$11,#REF!&lt;= table!$D$11),-1,IF(AND(#REF!&gt;=table!$E$11,#REF!&lt;=table!$F$11),1,0))</f>
        <v>#REF!</v>
      </c>
      <c r="W1808" s="5" t="e">
        <f>CONCATENATE(dados[[#This Row],[fator1]],dados[[#This Row],[fator5]],dados[[#This Row],[fator6]])</f>
        <v>#REF!</v>
      </c>
    </row>
    <row r="1809" spans="1:23">
      <c r="A1809" t="s">
        <v>17</v>
      </c>
      <c r="B1809">
        <v>486192</v>
      </c>
      <c r="C1809">
        <v>7</v>
      </c>
      <c r="D1809">
        <v>25</v>
      </c>
      <c r="E1809">
        <v>106</v>
      </c>
      <c r="F1809">
        <v>9</v>
      </c>
      <c r="G1809">
        <v>110</v>
      </c>
      <c r="H1809">
        <v>50</v>
      </c>
      <c r="I1809">
        <v>1010</v>
      </c>
      <c r="J1809">
        <v>0</v>
      </c>
      <c r="K1809">
        <v>2.6560000000000001</v>
      </c>
      <c r="L1809">
        <v>3.4570000000000003</v>
      </c>
      <c r="M1809">
        <v>104.4975</v>
      </c>
      <c r="N1809">
        <v>38.935000000000002</v>
      </c>
      <c r="O1809">
        <v>1682</v>
      </c>
      <c r="P1809">
        <v>1591</v>
      </c>
      <c r="Q1809" s="5" t="e">
        <f>IF(AND(#REF!&gt;=table!$C$6,#REF!&lt;= table!$D$6),-1,IF(AND(#REF!&gt;=table!$E$6,#REF!&lt;=table!$F$6),1,0))</f>
        <v>#REF!</v>
      </c>
      <c r="R1809" s="5" t="e">
        <f>IF(AND(#REF!&gt;=table!$C$7,#REF!&lt;= table!$D$7),-1,IF(AND(#REF!&gt;=table!$E$7,#REF!&lt;=table!$F$7),1,0))</f>
        <v>#REF!</v>
      </c>
      <c r="S1809" s="5" t="e">
        <f>IF(AND(#REF!&gt;=table!$C$8,#REF!&lt;= table!$D$8),-1,IF(AND(#REF!&gt;=table!$E$8,#REF!&lt;=table!$F$8),1,0))</f>
        <v>#REF!</v>
      </c>
      <c r="T1809" s="5"/>
      <c r="U1809" s="5" t="e">
        <f>IF(AND(#REF!&gt;=table!$C$10,#REF!&lt;= table!$D$10),-1,IF(AND(#REF!&gt;=table!$E$10,#REF!&lt;=table!$F$10),1,0))</f>
        <v>#REF!</v>
      </c>
      <c r="V1809" s="5" t="e">
        <f>IF(AND(#REF!&gt;=table!$C$11,#REF!&lt;= table!$D$11),-1,IF(AND(#REF!&gt;=table!$E$11,#REF!&lt;=table!$F$11),1,0))</f>
        <v>#REF!</v>
      </c>
      <c r="W1809" s="5" t="e">
        <f>CONCATENATE(dados[[#This Row],[fator1]],dados[[#This Row],[fator5]],dados[[#This Row],[fator6]])</f>
        <v>#REF!</v>
      </c>
    </row>
    <row r="1810" spans="1:23">
      <c r="A1810" t="s">
        <v>17</v>
      </c>
      <c r="B1810">
        <v>486193</v>
      </c>
      <c r="C1810">
        <v>14</v>
      </c>
      <c r="D1810">
        <v>30</v>
      </c>
      <c r="E1810">
        <v>140</v>
      </c>
      <c r="F1810">
        <v>4</v>
      </c>
      <c r="G1810">
        <v>25</v>
      </c>
      <c r="H1810">
        <v>21</v>
      </c>
      <c r="I1810">
        <v>1025</v>
      </c>
      <c r="J1810">
        <v>0</v>
      </c>
      <c r="K1810">
        <v>2.5585</v>
      </c>
      <c r="L1810">
        <v>4.3035000000000005</v>
      </c>
      <c r="M1810">
        <v>125.8515</v>
      </c>
      <c r="N1810">
        <v>15.27</v>
      </c>
      <c r="O1810">
        <v>1671</v>
      </c>
      <c r="P1810">
        <v>1446</v>
      </c>
      <c r="Q1810" s="5" t="e">
        <f>IF(AND(#REF!&gt;=table!$C$6,#REF!&lt;= table!$D$6),-1,IF(AND(#REF!&gt;=table!$E$6,#REF!&lt;=table!$F$6),1,0))</f>
        <v>#REF!</v>
      </c>
      <c r="R1810" s="5" t="e">
        <f>IF(AND(#REF!&gt;=table!$C$7,#REF!&lt;= table!$D$7),-1,IF(AND(#REF!&gt;=table!$E$7,#REF!&lt;=table!$F$7),1,0))</f>
        <v>#REF!</v>
      </c>
      <c r="S1810" s="5" t="e">
        <f>IF(AND(#REF!&gt;=table!$C$8,#REF!&lt;= table!$D$8),-1,IF(AND(#REF!&gt;=table!$E$8,#REF!&lt;=table!$F$8),1,0))</f>
        <v>#REF!</v>
      </c>
      <c r="T1810" s="5"/>
      <c r="U1810" s="5" t="e">
        <f>IF(AND(#REF!&gt;=table!$C$10,#REF!&lt;= table!$D$10),-1,IF(AND(#REF!&gt;=table!$E$10,#REF!&lt;=table!$F$10),1,0))</f>
        <v>#REF!</v>
      </c>
      <c r="V1810" s="5" t="e">
        <f>IF(AND(#REF!&gt;=table!$C$11,#REF!&lt;= table!$D$11),-1,IF(AND(#REF!&gt;=table!$E$11,#REF!&lt;=table!$F$11),1,0))</f>
        <v>#REF!</v>
      </c>
      <c r="W1810" s="5" t="e">
        <f>CONCATENATE(dados[[#This Row],[fator1]],dados[[#This Row],[fator5]],dados[[#This Row],[fator6]])</f>
        <v>#REF!</v>
      </c>
    </row>
    <row r="1811" spans="1:23">
      <c r="A1811" t="s">
        <v>17</v>
      </c>
      <c r="B1811">
        <v>486195</v>
      </c>
      <c r="C1811">
        <v>4</v>
      </c>
      <c r="D1811">
        <v>25</v>
      </c>
      <c r="E1811">
        <v>21</v>
      </c>
      <c r="F1811">
        <v>10</v>
      </c>
      <c r="G1811">
        <v>110</v>
      </c>
      <c r="H1811">
        <v>50</v>
      </c>
      <c r="I1811">
        <v>0</v>
      </c>
      <c r="J1811">
        <v>0</v>
      </c>
      <c r="K1811">
        <v>1.9510000000000001</v>
      </c>
      <c r="L1811">
        <v>5.9489999999999998</v>
      </c>
      <c r="M1811">
        <v>14.167</v>
      </c>
      <c r="N1811">
        <v>33.49</v>
      </c>
      <c r="O1811">
        <v>1683</v>
      </c>
      <c r="P1811">
        <v>1464</v>
      </c>
      <c r="Q1811" s="5" t="e">
        <f>IF(AND(#REF!&gt;=table!$C$6,#REF!&lt;= table!$D$6),-1,IF(AND(#REF!&gt;=table!$E$6,#REF!&lt;=table!$F$6),1,0))</f>
        <v>#REF!</v>
      </c>
      <c r="R1811" s="5" t="e">
        <f>IF(AND(#REF!&gt;=table!$C$7,#REF!&lt;= table!$D$7),-1,IF(AND(#REF!&gt;=table!$E$7,#REF!&lt;=table!$F$7),1,0))</f>
        <v>#REF!</v>
      </c>
      <c r="S1811" s="5" t="e">
        <f>IF(AND(#REF!&gt;=table!$C$8,#REF!&lt;= table!$D$8),-1,IF(AND(#REF!&gt;=table!$E$8,#REF!&lt;=table!$F$8),1,0))</f>
        <v>#REF!</v>
      </c>
      <c r="T1811" s="5"/>
      <c r="U1811" s="5" t="e">
        <f>IF(AND(#REF!&gt;=table!$C$10,#REF!&lt;= table!$D$10),-1,IF(AND(#REF!&gt;=table!$E$10,#REF!&lt;=table!$F$10),1,0))</f>
        <v>#REF!</v>
      </c>
      <c r="V1811" s="5" t="e">
        <f>IF(AND(#REF!&gt;=table!$C$11,#REF!&lt;= table!$D$11),-1,IF(AND(#REF!&gt;=table!$E$11,#REF!&lt;=table!$F$11),1,0))</f>
        <v>#REF!</v>
      </c>
      <c r="W1811" s="5" t="e">
        <f>CONCATENATE(dados[[#This Row],[fator1]],dados[[#This Row],[fator5]],dados[[#This Row],[fator6]])</f>
        <v>#REF!</v>
      </c>
    </row>
    <row r="1812" spans="1:23">
      <c r="A1812" t="s">
        <v>17</v>
      </c>
      <c r="B1812">
        <v>486196</v>
      </c>
      <c r="C1812">
        <v>4</v>
      </c>
      <c r="D1812">
        <v>25</v>
      </c>
      <c r="E1812">
        <v>21</v>
      </c>
      <c r="F1812">
        <v>10</v>
      </c>
      <c r="G1812">
        <v>110</v>
      </c>
      <c r="H1812">
        <v>50</v>
      </c>
      <c r="I1812">
        <v>780</v>
      </c>
      <c r="J1812">
        <v>0</v>
      </c>
      <c r="K1812">
        <v>3.5655000000000001</v>
      </c>
      <c r="L1812">
        <v>3.9730000000000003</v>
      </c>
      <c r="M1812">
        <v>13.341000000000001</v>
      </c>
      <c r="N1812">
        <v>37.11</v>
      </c>
      <c r="O1812">
        <v>1670</v>
      </c>
      <c r="P1812">
        <v>0</v>
      </c>
      <c r="Q1812" s="5" t="e">
        <f>IF(AND(#REF!&gt;=table!$C$6,#REF!&lt;= table!$D$6),-1,IF(AND(#REF!&gt;=table!$E$6,#REF!&lt;=table!$F$6),1,0))</f>
        <v>#REF!</v>
      </c>
      <c r="R1812" s="5" t="e">
        <f>IF(AND(#REF!&gt;=table!$C$7,#REF!&lt;= table!$D$7),-1,IF(AND(#REF!&gt;=table!$E$7,#REF!&lt;=table!$F$7),1,0))</f>
        <v>#REF!</v>
      </c>
      <c r="S1812" s="5" t="e">
        <f>IF(AND(#REF!&gt;=table!$C$8,#REF!&lt;= table!$D$8),-1,IF(AND(#REF!&gt;=table!$E$8,#REF!&lt;=table!$F$8),1,0))</f>
        <v>#REF!</v>
      </c>
      <c r="T1812" s="5"/>
      <c r="U1812" s="5" t="e">
        <f>IF(AND(#REF!&gt;=table!$C$10,#REF!&lt;= table!$D$10),-1,IF(AND(#REF!&gt;=table!$E$10,#REF!&lt;=table!$F$10),1,0))</f>
        <v>#REF!</v>
      </c>
      <c r="V1812" s="5" t="e">
        <f>IF(AND(#REF!&gt;=table!$C$11,#REF!&lt;= table!$D$11),-1,IF(AND(#REF!&gt;=table!$E$11,#REF!&lt;=table!$F$11),1,0))</f>
        <v>#REF!</v>
      </c>
      <c r="W1812" s="5" t="e">
        <f>CONCATENATE(dados[[#This Row],[fator1]],dados[[#This Row],[fator5]],dados[[#This Row],[fator6]])</f>
        <v>#REF!</v>
      </c>
    </row>
    <row r="1813" spans="1:23">
      <c r="A1813" t="s">
        <v>16</v>
      </c>
      <c r="B1813">
        <v>486199</v>
      </c>
      <c r="C1813">
        <v>11</v>
      </c>
      <c r="D1813">
        <v>40</v>
      </c>
      <c r="E1813">
        <v>151</v>
      </c>
      <c r="F1813">
        <v>8</v>
      </c>
      <c r="G1813">
        <v>0</v>
      </c>
      <c r="H1813">
        <v>25</v>
      </c>
      <c r="I1813">
        <v>783</v>
      </c>
      <c r="J1813">
        <v>730</v>
      </c>
      <c r="K1813">
        <v>5.7330000000000005</v>
      </c>
      <c r="L1813">
        <v>10.311500000000001</v>
      </c>
      <c r="M1813">
        <v>109.88600000000001</v>
      </c>
      <c r="N1813">
        <v>16.04</v>
      </c>
      <c r="O1813">
        <v>1646</v>
      </c>
      <c r="P1813">
        <v>602</v>
      </c>
      <c r="Q1813" s="5" t="e">
        <f>IF(AND(#REF!&gt;=table!$C$6,#REF!&lt;= table!$D$6),-1,IF(AND(#REF!&gt;=table!$E$6,#REF!&lt;=table!$F$6),1,0))</f>
        <v>#REF!</v>
      </c>
      <c r="R1813" s="5" t="e">
        <f>IF(AND(#REF!&gt;=table!$C$7,#REF!&lt;= table!$D$7),-1,IF(AND(#REF!&gt;=table!$E$7,#REF!&lt;=table!$F$7),1,0))</f>
        <v>#REF!</v>
      </c>
      <c r="S1813" s="5" t="e">
        <f>IF(AND(#REF!&gt;=table!$C$8,#REF!&lt;= table!$D$8),-1,IF(AND(#REF!&gt;=table!$E$8,#REF!&lt;=table!$F$8),1,0))</f>
        <v>#REF!</v>
      </c>
      <c r="T1813" s="5"/>
      <c r="U1813" s="5" t="e">
        <f>IF(AND(#REF!&gt;=table!$C$10,#REF!&lt;= table!$D$10),-1,IF(AND(#REF!&gt;=table!$E$10,#REF!&lt;=table!$F$10),1,0))</f>
        <v>#REF!</v>
      </c>
      <c r="V1813" s="5" t="e">
        <f>IF(AND(#REF!&gt;=table!$C$11,#REF!&lt;= table!$D$11),-1,IF(AND(#REF!&gt;=table!$E$11,#REF!&lt;=table!$F$11),1,0))</f>
        <v>#REF!</v>
      </c>
      <c r="W1813" s="5" t="e">
        <f>CONCATENATE(dados[[#This Row],[fator1]],dados[[#This Row],[fator5]],dados[[#This Row],[fator6]])</f>
        <v>#REF!</v>
      </c>
    </row>
    <row r="1814" spans="1:23">
      <c r="A1814" t="s">
        <v>16</v>
      </c>
      <c r="B1814">
        <v>486201</v>
      </c>
      <c r="C1814">
        <v>11</v>
      </c>
      <c r="D1814">
        <v>40</v>
      </c>
      <c r="E1814">
        <v>151</v>
      </c>
      <c r="F1814">
        <v>8</v>
      </c>
      <c r="G1814">
        <v>0</v>
      </c>
      <c r="H1814">
        <v>25</v>
      </c>
      <c r="I1814">
        <v>753</v>
      </c>
      <c r="J1814">
        <v>0</v>
      </c>
      <c r="K1814">
        <v>2.2044999999999999</v>
      </c>
      <c r="L1814">
        <v>5.4655000000000005</v>
      </c>
      <c r="M1814">
        <v>137.50700000000001</v>
      </c>
      <c r="N1814">
        <v>18.675000000000001</v>
      </c>
      <c r="O1814">
        <v>1710</v>
      </c>
      <c r="P1814">
        <v>0</v>
      </c>
      <c r="Q1814" s="5" t="e">
        <f>IF(AND(#REF!&gt;=table!$C$6,#REF!&lt;= table!$D$6),-1,IF(AND(#REF!&gt;=table!$E$6,#REF!&lt;=table!$F$6),1,0))</f>
        <v>#REF!</v>
      </c>
      <c r="R1814" s="5" t="e">
        <f>IF(AND(#REF!&gt;=table!$C$7,#REF!&lt;= table!$D$7),-1,IF(AND(#REF!&gt;=table!$E$7,#REF!&lt;=table!$F$7),1,0))</f>
        <v>#REF!</v>
      </c>
      <c r="S1814" s="5" t="e">
        <f>IF(AND(#REF!&gt;=table!$C$8,#REF!&lt;= table!$D$8),-1,IF(AND(#REF!&gt;=table!$E$8,#REF!&lt;=table!$F$8),1,0))</f>
        <v>#REF!</v>
      </c>
      <c r="T1814" s="5"/>
      <c r="U1814" s="5" t="e">
        <f>IF(AND(#REF!&gt;=table!$C$10,#REF!&lt;= table!$D$10),-1,IF(AND(#REF!&gt;=table!$E$10,#REF!&lt;=table!$F$10),1,0))</f>
        <v>#REF!</v>
      </c>
      <c r="V1814" s="5" t="e">
        <f>IF(AND(#REF!&gt;=table!$C$11,#REF!&lt;= table!$D$11),-1,IF(AND(#REF!&gt;=table!$E$11,#REF!&lt;=table!$F$11),1,0))</f>
        <v>#REF!</v>
      </c>
      <c r="W1814" s="5" t="e">
        <f>CONCATENATE(dados[[#This Row],[fator1]],dados[[#This Row],[fator5]],dados[[#This Row],[fator6]])</f>
        <v>#REF!</v>
      </c>
    </row>
    <row r="1815" spans="1:23">
      <c r="A1815" t="s">
        <v>16</v>
      </c>
      <c r="B1815">
        <v>486202</v>
      </c>
      <c r="C1815">
        <v>11</v>
      </c>
      <c r="D1815">
        <v>40</v>
      </c>
      <c r="E1815">
        <v>151</v>
      </c>
      <c r="F1815">
        <v>8</v>
      </c>
      <c r="G1815">
        <v>0</v>
      </c>
      <c r="H1815">
        <v>25</v>
      </c>
      <c r="I1815">
        <v>719</v>
      </c>
      <c r="J1815">
        <v>0</v>
      </c>
      <c r="K1815">
        <v>2.4315000000000002</v>
      </c>
      <c r="L1815">
        <v>5.99</v>
      </c>
      <c r="M1815">
        <v>131.64150000000001</v>
      </c>
      <c r="N1815">
        <v>11.015000000000001</v>
      </c>
      <c r="O1815">
        <v>1676</v>
      </c>
      <c r="P1815">
        <v>0</v>
      </c>
      <c r="Q1815" s="5" t="e">
        <f>IF(AND(#REF!&gt;=table!$C$6,#REF!&lt;= table!$D$6),-1,IF(AND(#REF!&gt;=table!$E$6,#REF!&lt;=table!$F$6),1,0))</f>
        <v>#REF!</v>
      </c>
      <c r="R1815" s="5" t="e">
        <f>IF(AND(#REF!&gt;=table!$C$7,#REF!&lt;= table!$D$7),-1,IF(AND(#REF!&gt;=table!$E$7,#REF!&lt;=table!$F$7),1,0))</f>
        <v>#REF!</v>
      </c>
      <c r="S1815" s="5" t="e">
        <f>IF(AND(#REF!&gt;=table!$C$8,#REF!&lt;= table!$D$8),-1,IF(AND(#REF!&gt;=table!$E$8,#REF!&lt;=table!$F$8),1,0))</f>
        <v>#REF!</v>
      </c>
      <c r="T1815" s="5"/>
      <c r="U1815" s="5" t="e">
        <f>IF(AND(#REF!&gt;=table!$C$10,#REF!&lt;= table!$D$10),-1,IF(AND(#REF!&gt;=table!$E$10,#REF!&lt;=table!$F$10),1,0))</f>
        <v>#REF!</v>
      </c>
      <c r="V1815" s="5" t="e">
        <f>IF(AND(#REF!&gt;=table!$C$11,#REF!&lt;= table!$D$11),-1,IF(AND(#REF!&gt;=table!$E$11,#REF!&lt;=table!$F$11),1,0))</f>
        <v>#REF!</v>
      </c>
      <c r="W1815" s="5" t="e">
        <f>CONCATENATE(dados[[#This Row],[fator1]],dados[[#This Row],[fator5]],dados[[#This Row],[fator6]])</f>
        <v>#REF!</v>
      </c>
    </row>
    <row r="1816" spans="1:23">
      <c r="A1816" t="s">
        <v>16</v>
      </c>
      <c r="B1816">
        <v>486203</v>
      </c>
      <c r="C1816">
        <v>11</v>
      </c>
      <c r="D1816">
        <v>40</v>
      </c>
      <c r="E1816">
        <v>151</v>
      </c>
      <c r="F1816">
        <v>8</v>
      </c>
      <c r="G1816">
        <v>0</v>
      </c>
      <c r="H1816">
        <v>25</v>
      </c>
      <c r="I1816">
        <v>549</v>
      </c>
      <c r="J1816">
        <v>750</v>
      </c>
      <c r="K1816">
        <v>4.3895</v>
      </c>
      <c r="L1816">
        <v>12.580500000000001</v>
      </c>
      <c r="M1816">
        <v>118.18700000000001</v>
      </c>
      <c r="N1816">
        <v>18.38</v>
      </c>
      <c r="O1816">
        <v>1679</v>
      </c>
      <c r="P1816">
        <v>941</v>
      </c>
      <c r="Q1816" s="5" t="e">
        <f>IF(AND(#REF!&gt;=table!$C$6,#REF!&lt;= table!$D$6),-1,IF(AND(#REF!&gt;=table!$E$6,#REF!&lt;=table!$F$6),1,0))</f>
        <v>#REF!</v>
      </c>
      <c r="R1816" s="5" t="e">
        <f>IF(AND(#REF!&gt;=table!$C$7,#REF!&lt;= table!$D$7),-1,IF(AND(#REF!&gt;=table!$E$7,#REF!&lt;=table!$F$7),1,0))</f>
        <v>#REF!</v>
      </c>
      <c r="S1816" s="5" t="e">
        <f>IF(AND(#REF!&gt;=table!$C$8,#REF!&lt;= table!$D$8),-1,IF(AND(#REF!&gt;=table!$E$8,#REF!&lt;=table!$F$8),1,0))</f>
        <v>#REF!</v>
      </c>
      <c r="T1816" s="5"/>
      <c r="U1816" s="5" t="e">
        <f>IF(AND(#REF!&gt;=table!$C$10,#REF!&lt;= table!$D$10),-1,IF(AND(#REF!&gt;=table!$E$10,#REF!&lt;=table!$F$10),1,0))</f>
        <v>#REF!</v>
      </c>
      <c r="V1816" s="5" t="e">
        <f>IF(AND(#REF!&gt;=table!$C$11,#REF!&lt;= table!$D$11),-1,IF(AND(#REF!&gt;=table!$E$11,#REF!&lt;=table!$F$11),1,0))</f>
        <v>#REF!</v>
      </c>
      <c r="W1816" s="5" t="e">
        <f>CONCATENATE(dados[[#This Row],[fator1]],dados[[#This Row],[fator5]],dados[[#This Row],[fator6]])</f>
        <v>#REF!</v>
      </c>
    </row>
    <row r="1817" spans="1:23">
      <c r="A1817" t="s">
        <v>16</v>
      </c>
      <c r="B1817">
        <v>486204</v>
      </c>
      <c r="C1817">
        <v>11</v>
      </c>
      <c r="D1817">
        <v>40</v>
      </c>
      <c r="E1817">
        <v>151</v>
      </c>
      <c r="F1817">
        <v>8</v>
      </c>
      <c r="G1817">
        <v>0</v>
      </c>
      <c r="H1817">
        <v>25</v>
      </c>
      <c r="I1817">
        <v>517</v>
      </c>
      <c r="J1817">
        <v>0</v>
      </c>
      <c r="K1817">
        <v>3.9135</v>
      </c>
      <c r="L1817">
        <v>7.1715</v>
      </c>
      <c r="M1817">
        <v>124.126</v>
      </c>
      <c r="N1817">
        <v>12.040000000000001</v>
      </c>
      <c r="O1817">
        <v>1678</v>
      </c>
      <c r="P1817">
        <v>1018</v>
      </c>
      <c r="Q1817" s="5" t="e">
        <f>IF(AND(#REF!&gt;=table!$C$6,#REF!&lt;= table!$D$6),-1,IF(AND(#REF!&gt;=table!$E$6,#REF!&lt;=table!$F$6),1,0))</f>
        <v>#REF!</v>
      </c>
      <c r="R1817" s="5" t="e">
        <f>IF(AND(#REF!&gt;=table!$C$7,#REF!&lt;= table!$D$7),-1,IF(AND(#REF!&gt;=table!$E$7,#REF!&lt;=table!$F$7),1,0))</f>
        <v>#REF!</v>
      </c>
      <c r="S1817" s="5" t="e">
        <f>IF(AND(#REF!&gt;=table!$C$8,#REF!&lt;= table!$D$8),-1,IF(AND(#REF!&gt;=table!$E$8,#REF!&lt;=table!$F$8),1,0))</f>
        <v>#REF!</v>
      </c>
      <c r="T1817" s="5"/>
      <c r="U1817" s="5" t="e">
        <f>IF(AND(#REF!&gt;=table!$C$10,#REF!&lt;= table!$D$10),-1,IF(AND(#REF!&gt;=table!$E$10,#REF!&lt;=table!$F$10),1,0))</f>
        <v>#REF!</v>
      </c>
      <c r="V1817" s="5" t="e">
        <f>IF(AND(#REF!&gt;=table!$C$11,#REF!&lt;= table!$D$11),-1,IF(AND(#REF!&gt;=table!$E$11,#REF!&lt;=table!$F$11),1,0))</f>
        <v>#REF!</v>
      </c>
      <c r="W1817" s="5" t="e">
        <f>CONCATENATE(dados[[#This Row],[fator1]],dados[[#This Row],[fator5]],dados[[#This Row],[fator6]])</f>
        <v>#REF!</v>
      </c>
    </row>
    <row r="1818" spans="1:23">
      <c r="A1818" t="s">
        <v>16</v>
      </c>
      <c r="B1818">
        <v>486205</v>
      </c>
      <c r="C1818">
        <v>16</v>
      </c>
      <c r="D1818">
        <v>35</v>
      </c>
      <c r="E1818">
        <v>40</v>
      </c>
      <c r="F1818">
        <v>10</v>
      </c>
      <c r="G1818">
        <v>0</v>
      </c>
      <c r="H1818">
        <v>25</v>
      </c>
      <c r="I1818">
        <v>13</v>
      </c>
      <c r="J1818">
        <v>0</v>
      </c>
      <c r="K1818">
        <v>11.720500000000001</v>
      </c>
      <c r="L1818">
        <v>17.025000000000002</v>
      </c>
      <c r="M1818">
        <v>37.966999999999999</v>
      </c>
      <c r="N1818">
        <v>20.8</v>
      </c>
      <c r="O1818">
        <v>1662</v>
      </c>
      <c r="P1818">
        <v>311</v>
      </c>
      <c r="Q1818" s="5" t="e">
        <f>IF(AND(#REF!&gt;=table!$C$6,#REF!&lt;= table!$D$6),-1,IF(AND(#REF!&gt;=table!$E$6,#REF!&lt;=table!$F$6),1,0))</f>
        <v>#REF!</v>
      </c>
      <c r="R1818" s="5" t="e">
        <f>IF(AND(#REF!&gt;=table!$C$7,#REF!&lt;= table!$D$7),-1,IF(AND(#REF!&gt;=table!$E$7,#REF!&lt;=table!$F$7),1,0))</f>
        <v>#REF!</v>
      </c>
      <c r="S1818" s="5" t="e">
        <f>IF(AND(#REF!&gt;=table!$C$8,#REF!&lt;= table!$D$8),-1,IF(AND(#REF!&gt;=table!$E$8,#REF!&lt;=table!$F$8),1,0))</f>
        <v>#REF!</v>
      </c>
      <c r="T1818" s="5"/>
      <c r="U1818" s="5" t="e">
        <f>IF(AND(#REF!&gt;=table!$C$10,#REF!&lt;= table!$D$10),-1,IF(AND(#REF!&gt;=table!$E$10,#REF!&lt;=table!$F$10),1,0))</f>
        <v>#REF!</v>
      </c>
      <c r="V1818" s="5" t="e">
        <f>IF(AND(#REF!&gt;=table!$C$11,#REF!&lt;= table!$D$11),-1,IF(AND(#REF!&gt;=table!$E$11,#REF!&lt;=table!$F$11),1,0))</f>
        <v>#REF!</v>
      </c>
      <c r="W1818" s="5" t="e">
        <f>CONCATENATE(dados[[#This Row],[fator1]],dados[[#This Row],[fator5]],dados[[#This Row],[fator6]])</f>
        <v>#REF!</v>
      </c>
    </row>
    <row r="1819" spans="1:23">
      <c r="A1819" t="s">
        <v>18</v>
      </c>
      <c r="B1819">
        <v>486207</v>
      </c>
      <c r="C1819">
        <v>3</v>
      </c>
      <c r="D1819">
        <v>5</v>
      </c>
      <c r="E1819">
        <v>26</v>
      </c>
      <c r="F1819">
        <v>15</v>
      </c>
      <c r="G1819">
        <v>42</v>
      </c>
      <c r="H1819">
        <v>30</v>
      </c>
      <c r="I1819">
        <v>1022</v>
      </c>
      <c r="J1819">
        <v>0</v>
      </c>
      <c r="K1819">
        <v>4.0170000000000003</v>
      </c>
      <c r="L1819">
        <v>4.4375</v>
      </c>
      <c r="M1819">
        <v>21.2225</v>
      </c>
      <c r="N1819">
        <v>16.105</v>
      </c>
      <c r="O1819">
        <v>1662</v>
      </c>
      <c r="P1819">
        <v>914</v>
      </c>
      <c r="Q1819" s="5" t="e">
        <f>IF(AND(#REF!&gt;=table!$C$6,#REF!&lt;= table!$D$6),-1,IF(AND(#REF!&gt;=table!$E$6,#REF!&lt;=table!$F$6),1,0))</f>
        <v>#REF!</v>
      </c>
      <c r="R1819" s="5" t="e">
        <f>IF(AND(#REF!&gt;=table!$C$7,#REF!&lt;= table!$D$7),-1,IF(AND(#REF!&gt;=table!$E$7,#REF!&lt;=table!$F$7),1,0))</f>
        <v>#REF!</v>
      </c>
      <c r="S1819" s="5" t="e">
        <f>IF(AND(#REF!&gt;=table!$C$8,#REF!&lt;= table!$D$8),-1,IF(AND(#REF!&gt;=table!$E$8,#REF!&lt;=table!$F$8),1,0))</f>
        <v>#REF!</v>
      </c>
      <c r="T1819" s="5"/>
      <c r="U1819" s="5" t="e">
        <f>IF(AND(#REF!&gt;=table!$C$10,#REF!&lt;= table!$D$10),-1,IF(AND(#REF!&gt;=table!$E$10,#REF!&lt;=table!$F$10),1,0))</f>
        <v>#REF!</v>
      </c>
      <c r="V1819" s="5" t="e">
        <f>IF(AND(#REF!&gt;=table!$C$11,#REF!&lt;= table!$D$11),-1,IF(AND(#REF!&gt;=table!$E$11,#REF!&lt;=table!$F$11),1,0))</f>
        <v>#REF!</v>
      </c>
      <c r="W1819" s="5" t="e">
        <f>CONCATENATE(dados[[#This Row],[fator1]],dados[[#This Row],[fator5]],dados[[#This Row],[fator6]])</f>
        <v>#REF!</v>
      </c>
    </row>
    <row r="1820" spans="1:23">
      <c r="A1820" t="s">
        <v>16</v>
      </c>
      <c r="B1820">
        <v>486209</v>
      </c>
      <c r="C1820">
        <v>16</v>
      </c>
      <c r="D1820">
        <v>35</v>
      </c>
      <c r="E1820">
        <v>56</v>
      </c>
      <c r="F1820">
        <v>10</v>
      </c>
      <c r="G1820">
        <v>0</v>
      </c>
      <c r="H1820">
        <v>25</v>
      </c>
      <c r="I1820">
        <v>1002</v>
      </c>
      <c r="J1820">
        <v>0</v>
      </c>
      <c r="K1820">
        <v>4.2949999999999999</v>
      </c>
      <c r="L1820">
        <v>6.6154999999999999</v>
      </c>
      <c r="M1820">
        <v>44.266500000000001</v>
      </c>
      <c r="N1820">
        <v>11.735000000000001</v>
      </c>
      <c r="O1820">
        <v>1657</v>
      </c>
      <c r="P1820">
        <v>0</v>
      </c>
      <c r="Q1820" s="5" t="e">
        <f>IF(AND(#REF!&gt;=table!$C$6,#REF!&lt;= table!$D$6),-1,IF(AND(#REF!&gt;=table!$E$6,#REF!&lt;=table!$F$6),1,0))</f>
        <v>#REF!</v>
      </c>
      <c r="R1820" s="5" t="e">
        <f>IF(AND(#REF!&gt;=table!$C$7,#REF!&lt;= table!$D$7),-1,IF(AND(#REF!&gt;=table!$E$7,#REF!&lt;=table!$F$7),1,0))</f>
        <v>#REF!</v>
      </c>
      <c r="S1820" s="5" t="e">
        <f>IF(AND(#REF!&gt;=table!$C$8,#REF!&lt;= table!$D$8),-1,IF(AND(#REF!&gt;=table!$E$8,#REF!&lt;=table!$F$8),1,0))</f>
        <v>#REF!</v>
      </c>
      <c r="T1820" s="5"/>
      <c r="U1820" s="5" t="e">
        <f>IF(AND(#REF!&gt;=table!$C$10,#REF!&lt;= table!$D$10),-1,IF(AND(#REF!&gt;=table!$E$10,#REF!&lt;=table!$F$10),1,0))</f>
        <v>#REF!</v>
      </c>
      <c r="V1820" s="5" t="e">
        <f>IF(AND(#REF!&gt;=table!$C$11,#REF!&lt;= table!$D$11),-1,IF(AND(#REF!&gt;=table!$E$11,#REF!&lt;=table!$F$11),1,0))</f>
        <v>#REF!</v>
      </c>
      <c r="W1820" s="5" t="e">
        <f>CONCATENATE(dados[[#This Row],[fator1]],dados[[#This Row],[fator5]],dados[[#This Row],[fator6]])</f>
        <v>#REF!</v>
      </c>
    </row>
    <row r="1821" spans="1:23">
      <c r="A1821" t="s">
        <v>18</v>
      </c>
      <c r="B1821">
        <v>486210</v>
      </c>
      <c r="C1821">
        <v>3</v>
      </c>
      <c r="D1821">
        <v>5</v>
      </c>
      <c r="E1821">
        <v>26</v>
      </c>
      <c r="F1821">
        <v>15</v>
      </c>
      <c r="G1821">
        <v>42</v>
      </c>
      <c r="H1821">
        <v>30</v>
      </c>
      <c r="I1821">
        <v>967</v>
      </c>
      <c r="J1821">
        <v>0</v>
      </c>
      <c r="K1821">
        <v>6.1755000000000004</v>
      </c>
      <c r="L1821">
        <v>11.844000000000001</v>
      </c>
      <c r="M1821">
        <v>10.5725</v>
      </c>
      <c r="N1821">
        <v>13.22</v>
      </c>
      <c r="O1821">
        <v>1684</v>
      </c>
      <c r="P1821">
        <v>688</v>
      </c>
      <c r="Q1821" s="5" t="e">
        <f>IF(AND(#REF!&gt;=table!$C$6,#REF!&lt;= table!$D$6),-1,IF(AND(#REF!&gt;=table!$E$6,#REF!&lt;=table!$F$6),1,0))</f>
        <v>#REF!</v>
      </c>
      <c r="R1821" s="5" t="e">
        <f>IF(AND(#REF!&gt;=table!$C$7,#REF!&lt;= table!$D$7),-1,IF(AND(#REF!&gt;=table!$E$7,#REF!&lt;=table!$F$7),1,0))</f>
        <v>#REF!</v>
      </c>
      <c r="S1821" s="5" t="e">
        <f>IF(AND(#REF!&gt;=table!$C$8,#REF!&lt;= table!$D$8),-1,IF(AND(#REF!&gt;=table!$E$8,#REF!&lt;=table!$F$8),1,0))</f>
        <v>#REF!</v>
      </c>
      <c r="T1821" s="5"/>
      <c r="U1821" s="5" t="e">
        <f>IF(AND(#REF!&gt;=table!$C$10,#REF!&lt;= table!$D$10),-1,IF(AND(#REF!&gt;=table!$E$10,#REF!&lt;=table!$F$10),1,0))</f>
        <v>#REF!</v>
      </c>
      <c r="V1821" s="5" t="e">
        <f>IF(AND(#REF!&gt;=table!$C$11,#REF!&lt;= table!$D$11),-1,IF(AND(#REF!&gt;=table!$E$11,#REF!&lt;=table!$F$11),1,0))</f>
        <v>#REF!</v>
      </c>
      <c r="W1821" s="5" t="e">
        <f>CONCATENATE(dados[[#This Row],[fator1]],dados[[#This Row],[fator5]],dados[[#This Row],[fator6]])</f>
        <v>#REF!</v>
      </c>
    </row>
    <row r="1822" spans="1:23">
      <c r="A1822" t="s">
        <v>16</v>
      </c>
      <c r="B1822">
        <v>486212</v>
      </c>
      <c r="C1822">
        <v>0.15</v>
      </c>
      <c r="D1822">
        <v>35</v>
      </c>
      <c r="E1822">
        <v>15</v>
      </c>
      <c r="F1822">
        <v>10</v>
      </c>
      <c r="G1822">
        <v>0</v>
      </c>
      <c r="H1822">
        <v>12</v>
      </c>
      <c r="I1822">
        <v>763</v>
      </c>
      <c r="J1822">
        <v>0</v>
      </c>
      <c r="K1822">
        <v>4.1415000000000006</v>
      </c>
      <c r="L1822">
        <v>8.1769999999999996</v>
      </c>
      <c r="M1822">
        <v>7.6895000000000007</v>
      </c>
      <c r="N1822">
        <v>11.19</v>
      </c>
      <c r="O1822">
        <v>1668</v>
      </c>
      <c r="P1822">
        <v>872</v>
      </c>
      <c r="Q1822" s="5" t="e">
        <f>IF(AND(#REF!&gt;=table!$C$6,#REF!&lt;= table!$D$6),-1,IF(AND(#REF!&gt;=table!$E$6,#REF!&lt;=table!$F$6),1,0))</f>
        <v>#REF!</v>
      </c>
      <c r="R1822" s="5" t="e">
        <f>IF(AND(#REF!&gt;=table!$C$7,#REF!&lt;= table!$D$7),-1,IF(AND(#REF!&gt;=table!$E$7,#REF!&lt;=table!$F$7),1,0))</f>
        <v>#REF!</v>
      </c>
      <c r="S1822" s="5" t="e">
        <f>IF(AND(#REF!&gt;=table!$C$8,#REF!&lt;= table!$D$8),-1,IF(AND(#REF!&gt;=table!$E$8,#REF!&lt;=table!$F$8),1,0))</f>
        <v>#REF!</v>
      </c>
      <c r="T1822" s="5"/>
      <c r="U1822" s="5" t="e">
        <f>IF(AND(#REF!&gt;=table!$C$10,#REF!&lt;= table!$D$10),-1,IF(AND(#REF!&gt;=table!$E$10,#REF!&lt;=table!$F$10),1,0))</f>
        <v>#REF!</v>
      </c>
      <c r="V1822" s="5" t="e">
        <f>IF(AND(#REF!&gt;=table!$C$11,#REF!&lt;= table!$D$11),-1,IF(AND(#REF!&gt;=table!$E$11,#REF!&lt;=table!$F$11),1,0))</f>
        <v>#REF!</v>
      </c>
      <c r="W1822" s="5" t="e">
        <f>CONCATENATE(dados[[#This Row],[fator1]],dados[[#This Row],[fator5]],dados[[#This Row],[fator6]])</f>
        <v>#REF!</v>
      </c>
    </row>
    <row r="1823" spans="1:23">
      <c r="A1823" t="s">
        <v>16</v>
      </c>
      <c r="B1823">
        <v>486213</v>
      </c>
      <c r="C1823">
        <v>0.15</v>
      </c>
      <c r="D1823">
        <v>35</v>
      </c>
      <c r="E1823">
        <v>15</v>
      </c>
      <c r="F1823">
        <v>10</v>
      </c>
      <c r="G1823">
        <v>0</v>
      </c>
      <c r="H1823">
        <v>12</v>
      </c>
      <c r="I1823">
        <v>721</v>
      </c>
      <c r="J1823">
        <v>920</v>
      </c>
      <c r="K1823">
        <v>4.4960000000000004</v>
      </c>
      <c r="L1823">
        <v>10.614000000000001</v>
      </c>
      <c r="M1823">
        <v>4.8650000000000002</v>
      </c>
      <c r="N1823">
        <v>10.35</v>
      </c>
      <c r="O1823">
        <v>1680</v>
      </c>
      <c r="P1823">
        <v>945</v>
      </c>
      <c r="Q1823" s="5" t="e">
        <f>IF(AND(#REF!&gt;=table!$C$6,#REF!&lt;= table!$D$6),-1,IF(AND(#REF!&gt;=table!$E$6,#REF!&lt;=table!$F$6),1,0))</f>
        <v>#REF!</v>
      </c>
      <c r="R1823" s="5" t="e">
        <f>IF(AND(#REF!&gt;=table!$C$7,#REF!&lt;= table!$D$7),-1,IF(AND(#REF!&gt;=table!$E$7,#REF!&lt;=table!$F$7),1,0))</f>
        <v>#REF!</v>
      </c>
      <c r="S1823" s="5" t="e">
        <f>IF(AND(#REF!&gt;=table!$C$8,#REF!&lt;= table!$D$8),-1,IF(AND(#REF!&gt;=table!$E$8,#REF!&lt;=table!$F$8),1,0))</f>
        <v>#REF!</v>
      </c>
      <c r="T1823" s="5"/>
      <c r="U1823" s="5" t="e">
        <f>IF(AND(#REF!&gt;=table!$C$10,#REF!&lt;= table!$D$10),-1,IF(AND(#REF!&gt;=table!$E$10,#REF!&lt;=table!$F$10),1,0))</f>
        <v>#REF!</v>
      </c>
      <c r="V1823" s="5" t="e">
        <f>IF(AND(#REF!&gt;=table!$C$11,#REF!&lt;= table!$D$11),-1,IF(AND(#REF!&gt;=table!$E$11,#REF!&lt;=table!$F$11),1,0))</f>
        <v>#REF!</v>
      </c>
      <c r="W1823" s="5" t="e">
        <f>CONCATENATE(dados[[#This Row],[fator1]],dados[[#This Row],[fator5]],dados[[#This Row],[fator6]])</f>
        <v>#REF!</v>
      </c>
    </row>
    <row r="1824" spans="1:23">
      <c r="A1824" t="s">
        <v>16</v>
      </c>
      <c r="B1824">
        <v>486214</v>
      </c>
      <c r="C1824">
        <v>0.15</v>
      </c>
      <c r="D1824">
        <v>35</v>
      </c>
      <c r="E1824">
        <v>15</v>
      </c>
      <c r="F1824">
        <v>10</v>
      </c>
      <c r="G1824">
        <v>0</v>
      </c>
      <c r="H1824">
        <v>12</v>
      </c>
      <c r="I1824">
        <v>13</v>
      </c>
      <c r="J1824">
        <v>0</v>
      </c>
      <c r="K1824">
        <v>4.9270000000000005</v>
      </c>
      <c r="L1824">
        <v>8.57</v>
      </c>
      <c r="M1824">
        <v>5.3975</v>
      </c>
      <c r="N1824">
        <v>8.19</v>
      </c>
      <c r="O1824">
        <v>1665</v>
      </c>
      <c r="P1824">
        <v>639</v>
      </c>
      <c r="Q1824" s="5" t="e">
        <f>IF(AND(#REF!&gt;=table!$C$6,#REF!&lt;= table!$D$6),-1,IF(AND(#REF!&gt;=table!$E$6,#REF!&lt;=table!$F$6),1,0))</f>
        <v>#REF!</v>
      </c>
      <c r="R1824" s="5" t="e">
        <f>IF(AND(#REF!&gt;=table!$C$7,#REF!&lt;= table!$D$7),-1,IF(AND(#REF!&gt;=table!$E$7,#REF!&lt;=table!$F$7),1,0))</f>
        <v>#REF!</v>
      </c>
      <c r="S1824" s="5" t="e">
        <f>IF(AND(#REF!&gt;=table!$C$8,#REF!&lt;= table!$D$8),-1,IF(AND(#REF!&gt;=table!$E$8,#REF!&lt;=table!$F$8),1,0))</f>
        <v>#REF!</v>
      </c>
      <c r="T1824" s="5"/>
      <c r="U1824" s="5" t="e">
        <f>IF(AND(#REF!&gt;=table!$C$10,#REF!&lt;= table!$D$10),-1,IF(AND(#REF!&gt;=table!$E$10,#REF!&lt;=table!$F$10),1,0))</f>
        <v>#REF!</v>
      </c>
      <c r="V1824" s="5" t="e">
        <f>IF(AND(#REF!&gt;=table!$C$11,#REF!&lt;= table!$D$11),-1,IF(AND(#REF!&gt;=table!$E$11,#REF!&lt;=table!$F$11),1,0))</f>
        <v>#REF!</v>
      </c>
      <c r="W1824" s="5" t="e">
        <f>CONCATENATE(dados[[#This Row],[fator1]],dados[[#This Row],[fator5]],dados[[#This Row],[fator6]])</f>
        <v>#REF!</v>
      </c>
    </row>
    <row r="1825" spans="1:23">
      <c r="A1825" t="s">
        <v>16</v>
      </c>
      <c r="B1825">
        <v>486215</v>
      </c>
      <c r="C1825">
        <v>0.15</v>
      </c>
      <c r="D1825">
        <v>35</v>
      </c>
      <c r="E1825">
        <v>15</v>
      </c>
      <c r="F1825">
        <v>10</v>
      </c>
      <c r="G1825">
        <v>0</v>
      </c>
      <c r="H1825">
        <v>12</v>
      </c>
      <c r="I1825">
        <v>713</v>
      </c>
      <c r="J1825">
        <v>0</v>
      </c>
      <c r="K1825">
        <v>4.9270000000000005</v>
      </c>
      <c r="L1825">
        <v>8.57</v>
      </c>
      <c r="M1825">
        <v>7.4410000000000007</v>
      </c>
      <c r="N1825">
        <v>11.57</v>
      </c>
      <c r="O1825">
        <v>1667</v>
      </c>
      <c r="P1825">
        <v>0</v>
      </c>
      <c r="Q1825" s="5" t="e">
        <f>IF(AND(#REF!&gt;=table!$C$6,#REF!&lt;= table!$D$6),-1,IF(AND(#REF!&gt;=table!$E$6,#REF!&lt;=table!$F$6),1,0))</f>
        <v>#REF!</v>
      </c>
      <c r="R1825" s="5" t="e">
        <f>IF(AND(#REF!&gt;=table!$C$7,#REF!&lt;= table!$D$7),-1,IF(AND(#REF!&gt;=table!$E$7,#REF!&lt;=table!$F$7),1,0))</f>
        <v>#REF!</v>
      </c>
      <c r="S1825" s="5" t="e">
        <f>IF(AND(#REF!&gt;=table!$C$8,#REF!&lt;= table!$D$8),-1,IF(AND(#REF!&gt;=table!$E$8,#REF!&lt;=table!$F$8),1,0))</f>
        <v>#REF!</v>
      </c>
      <c r="T1825" s="5"/>
      <c r="U1825" s="5" t="e">
        <f>IF(AND(#REF!&gt;=table!$C$10,#REF!&lt;= table!$D$10),-1,IF(AND(#REF!&gt;=table!$E$10,#REF!&lt;=table!$F$10),1,0))</f>
        <v>#REF!</v>
      </c>
      <c r="V1825" s="5" t="e">
        <f>IF(AND(#REF!&gt;=table!$C$11,#REF!&lt;= table!$D$11),-1,IF(AND(#REF!&gt;=table!$E$11,#REF!&lt;=table!$F$11),1,0))</f>
        <v>#REF!</v>
      </c>
      <c r="W1825" s="5" t="e">
        <f>CONCATENATE(dados[[#This Row],[fator1]],dados[[#This Row],[fator5]],dados[[#This Row],[fator6]])</f>
        <v>#REF!</v>
      </c>
    </row>
    <row r="1826" spans="1:23">
      <c r="A1826" t="s">
        <v>16</v>
      </c>
      <c r="B1826">
        <v>486216</v>
      </c>
      <c r="C1826">
        <v>0.15</v>
      </c>
      <c r="D1826">
        <v>35</v>
      </c>
      <c r="E1826">
        <v>15</v>
      </c>
      <c r="F1826">
        <v>10</v>
      </c>
      <c r="G1826">
        <v>0</v>
      </c>
      <c r="H1826">
        <v>12</v>
      </c>
      <c r="I1826">
        <v>839</v>
      </c>
      <c r="J1826">
        <v>0</v>
      </c>
      <c r="K1826">
        <v>3.3635000000000002</v>
      </c>
      <c r="L1826">
        <v>8.1210000000000004</v>
      </c>
      <c r="M1826">
        <v>7.9720000000000004</v>
      </c>
      <c r="N1826">
        <v>12.295</v>
      </c>
      <c r="O1826">
        <v>1682</v>
      </c>
      <c r="P1826">
        <v>1137</v>
      </c>
      <c r="Q1826" s="5" t="e">
        <f>IF(AND(#REF!&gt;=table!$C$6,#REF!&lt;= table!$D$6),-1,IF(AND(#REF!&gt;=table!$E$6,#REF!&lt;=table!$F$6),1,0))</f>
        <v>#REF!</v>
      </c>
      <c r="R1826" s="5" t="e">
        <f>IF(AND(#REF!&gt;=table!$C$7,#REF!&lt;= table!$D$7),-1,IF(AND(#REF!&gt;=table!$E$7,#REF!&lt;=table!$F$7),1,0))</f>
        <v>#REF!</v>
      </c>
      <c r="S1826" s="5" t="e">
        <f>IF(AND(#REF!&gt;=table!$C$8,#REF!&lt;= table!$D$8),-1,IF(AND(#REF!&gt;=table!$E$8,#REF!&lt;=table!$F$8),1,0))</f>
        <v>#REF!</v>
      </c>
      <c r="T1826" s="5"/>
      <c r="U1826" s="5" t="e">
        <f>IF(AND(#REF!&gt;=table!$C$10,#REF!&lt;= table!$D$10),-1,IF(AND(#REF!&gt;=table!$E$10,#REF!&lt;=table!$F$10),1,0))</f>
        <v>#REF!</v>
      </c>
      <c r="V1826" s="5" t="e">
        <f>IF(AND(#REF!&gt;=table!$C$11,#REF!&lt;= table!$D$11),-1,IF(AND(#REF!&gt;=table!$E$11,#REF!&lt;=table!$F$11),1,0))</f>
        <v>#REF!</v>
      </c>
      <c r="W1826" s="5" t="e">
        <f>CONCATENATE(dados[[#This Row],[fator1]],dados[[#This Row],[fator5]],dados[[#This Row],[fator6]])</f>
        <v>#REF!</v>
      </c>
    </row>
    <row r="1827" spans="1:23">
      <c r="A1827" t="s">
        <v>17</v>
      </c>
      <c r="B1827">
        <v>486223</v>
      </c>
      <c r="C1827">
        <v>16</v>
      </c>
      <c r="D1827">
        <v>25</v>
      </c>
      <c r="E1827">
        <v>56</v>
      </c>
      <c r="F1827">
        <v>10</v>
      </c>
      <c r="G1827">
        <v>13</v>
      </c>
      <c r="H1827">
        <v>25</v>
      </c>
      <c r="I1827">
        <v>441</v>
      </c>
      <c r="J1827">
        <v>0</v>
      </c>
      <c r="K1827">
        <v>12.855500000000001</v>
      </c>
      <c r="L1827">
        <v>15.470500000000001</v>
      </c>
      <c r="M1827">
        <v>48.747</v>
      </c>
      <c r="N1827">
        <v>21.015000000000001</v>
      </c>
      <c r="O1827">
        <v>1679</v>
      </c>
      <c r="P1827">
        <v>301</v>
      </c>
      <c r="Q1827" s="5" t="e">
        <f>IF(AND(#REF!&gt;=table!$C$6,#REF!&lt;= table!$D$6),-1,IF(AND(#REF!&gt;=table!$E$6,#REF!&lt;=table!$F$6),1,0))</f>
        <v>#REF!</v>
      </c>
      <c r="R1827" s="5" t="e">
        <f>IF(AND(#REF!&gt;=table!$C$7,#REF!&lt;= table!$D$7),-1,IF(AND(#REF!&gt;=table!$E$7,#REF!&lt;=table!$F$7),1,0))</f>
        <v>#REF!</v>
      </c>
      <c r="S1827" s="5" t="e">
        <f>IF(AND(#REF!&gt;=table!$C$8,#REF!&lt;= table!$D$8),-1,IF(AND(#REF!&gt;=table!$E$8,#REF!&lt;=table!$F$8),1,0))</f>
        <v>#REF!</v>
      </c>
      <c r="T1827" s="5"/>
      <c r="U1827" s="5" t="e">
        <f>IF(AND(#REF!&gt;=table!$C$10,#REF!&lt;= table!$D$10),-1,IF(AND(#REF!&gt;=table!$E$10,#REF!&lt;=table!$F$10),1,0))</f>
        <v>#REF!</v>
      </c>
      <c r="V1827" s="5" t="e">
        <f>IF(AND(#REF!&gt;=table!$C$11,#REF!&lt;= table!$D$11),-1,IF(AND(#REF!&gt;=table!$E$11,#REF!&lt;=table!$F$11),1,0))</f>
        <v>#REF!</v>
      </c>
      <c r="W1827" s="5" t="e">
        <f>CONCATENATE(dados[[#This Row],[fator1]],dados[[#This Row],[fator5]],dados[[#This Row],[fator6]])</f>
        <v>#REF!</v>
      </c>
    </row>
    <row r="1828" spans="1:23">
      <c r="A1828" t="s">
        <v>17</v>
      </c>
      <c r="B1828">
        <v>486224</v>
      </c>
      <c r="C1828">
        <v>16</v>
      </c>
      <c r="D1828">
        <v>25</v>
      </c>
      <c r="E1828">
        <v>56</v>
      </c>
      <c r="F1828">
        <v>10</v>
      </c>
      <c r="G1828">
        <v>13</v>
      </c>
      <c r="H1828">
        <v>25</v>
      </c>
      <c r="I1828">
        <v>832</v>
      </c>
      <c r="J1828">
        <v>0</v>
      </c>
      <c r="K1828">
        <v>20.551000000000002</v>
      </c>
      <c r="L1828">
        <v>13.806000000000001</v>
      </c>
      <c r="M1828">
        <v>40.6</v>
      </c>
      <c r="N1828">
        <v>19.78</v>
      </c>
      <c r="O1828">
        <v>1674</v>
      </c>
      <c r="P1828">
        <v>0</v>
      </c>
      <c r="Q1828" s="5" t="e">
        <f>IF(AND(#REF!&gt;=table!$C$6,#REF!&lt;= table!$D$6),-1,IF(AND(#REF!&gt;=table!$E$6,#REF!&lt;=table!$F$6),1,0))</f>
        <v>#REF!</v>
      </c>
      <c r="R1828" s="5" t="e">
        <f>IF(AND(#REF!&gt;=table!$C$7,#REF!&lt;= table!$D$7),-1,IF(AND(#REF!&gt;=table!$E$7,#REF!&lt;=table!$F$7),1,0))</f>
        <v>#REF!</v>
      </c>
      <c r="S1828" s="5" t="e">
        <f>IF(AND(#REF!&gt;=table!$C$8,#REF!&lt;= table!$D$8),-1,IF(AND(#REF!&gt;=table!$E$8,#REF!&lt;=table!$F$8),1,0))</f>
        <v>#REF!</v>
      </c>
      <c r="T1828" s="5"/>
      <c r="U1828" s="5" t="e">
        <f>IF(AND(#REF!&gt;=table!$C$10,#REF!&lt;= table!$D$10),-1,IF(AND(#REF!&gt;=table!$E$10,#REF!&lt;=table!$F$10),1,0))</f>
        <v>#REF!</v>
      </c>
      <c r="V1828" s="5" t="e">
        <f>IF(AND(#REF!&gt;=table!$C$11,#REF!&lt;= table!$D$11),-1,IF(AND(#REF!&gt;=table!$E$11,#REF!&lt;=table!$F$11),1,0))</f>
        <v>#REF!</v>
      </c>
      <c r="W1828" s="5" t="e">
        <f>CONCATENATE(dados[[#This Row],[fator1]],dados[[#This Row],[fator5]],dados[[#This Row],[fator6]])</f>
        <v>#REF!</v>
      </c>
    </row>
    <row r="1829" spans="1:23">
      <c r="A1829" t="s">
        <v>16</v>
      </c>
      <c r="B1829">
        <v>486233</v>
      </c>
      <c r="C1829">
        <v>12</v>
      </c>
      <c r="D1829">
        <v>40</v>
      </c>
      <c r="E1829">
        <v>36</v>
      </c>
      <c r="F1829">
        <v>9</v>
      </c>
      <c r="G1829">
        <v>0</v>
      </c>
      <c r="H1829">
        <v>25</v>
      </c>
      <c r="I1829">
        <v>1592</v>
      </c>
      <c r="J1829">
        <v>570</v>
      </c>
      <c r="K1829">
        <v>4.3710000000000004</v>
      </c>
      <c r="L1829">
        <v>9.5035000000000007</v>
      </c>
      <c r="M1829">
        <v>6.6740000000000004</v>
      </c>
      <c r="N1829">
        <v>15.115</v>
      </c>
      <c r="O1829">
        <v>1650</v>
      </c>
      <c r="P1829">
        <v>826</v>
      </c>
      <c r="Q1829" s="5" t="e">
        <f>IF(AND(#REF!&gt;=table!$C$6,#REF!&lt;= table!$D$6),-1,IF(AND(#REF!&gt;=table!$E$6,#REF!&lt;=table!$F$6),1,0))</f>
        <v>#REF!</v>
      </c>
      <c r="R1829" s="5" t="e">
        <f>IF(AND(#REF!&gt;=table!$C$7,#REF!&lt;= table!$D$7),-1,IF(AND(#REF!&gt;=table!$E$7,#REF!&lt;=table!$F$7),1,0))</f>
        <v>#REF!</v>
      </c>
      <c r="S1829" s="5" t="e">
        <f>IF(AND(#REF!&gt;=table!$C$8,#REF!&lt;= table!$D$8),-1,IF(AND(#REF!&gt;=table!$E$8,#REF!&lt;=table!$F$8),1,0))</f>
        <v>#REF!</v>
      </c>
      <c r="T1829" s="5"/>
      <c r="U1829" s="5" t="e">
        <f>IF(AND(#REF!&gt;=table!$C$10,#REF!&lt;= table!$D$10),-1,IF(AND(#REF!&gt;=table!$E$10,#REF!&lt;=table!$F$10),1,0))</f>
        <v>#REF!</v>
      </c>
      <c r="V1829" s="5" t="e">
        <f>IF(AND(#REF!&gt;=table!$C$11,#REF!&lt;= table!$D$11),-1,IF(AND(#REF!&gt;=table!$E$11,#REF!&lt;=table!$F$11),1,0))</f>
        <v>#REF!</v>
      </c>
      <c r="W1829" s="5" t="e">
        <f>CONCATENATE(dados[[#This Row],[fator1]],dados[[#This Row],[fator5]],dados[[#This Row],[fator6]])</f>
        <v>#REF!</v>
      </c>
    </row>
    <row r="1830" spans="1:23">
      <c r="A1830" t="s">
        <v>16</v>
      </c>
      <c r="B1830">
        <v>486234</v>
      </c>
      <c r="C1830">
        <v>6</v>
      </c>
      <c r="D1830">
        <v>25</v>
      </c>
      <c r="E1830">
        <v>120</v>
      </c>
      <c r="F1830">
        <v>4</v>
      </c>
      <c r="G1830">
        <v>0</v>
      </c>
      <c r="H1830">
        <v>55</v>
      </c>
      <c r="I1830">
        <v>0</v>
      </c>
      <c r="J1830">
        <v>0</v>
      </c>
      <c r="K1830">
        <v>3.0245000000000002</v>
      </c>
      <c r="L1830">
        <v>6.2690000000000001</v>
      </c>
      <c r="M1830">
        <v>89.546000000000006</v>
      </c>
      <c r="N1830">
        <v>21.71</v>
      </c>
      <c r="O1830">
        <v>1671</v>
      </c>
      <c r="P1830">
        <v>1251</v>
      </c>
      <c r="Q1830" s="5" t="e">
        <f>IF(AND(#REF!&gt;=table!$C$6,#REF!&lt;= table!$D$6),-1,IF(AND(#REF!&gt;=table!$E$6,#REF!&lt;=table!$F$6),1,0))</f>
        <v>#REF!</v>
      </c>
      <c r="R1830" s="5" t="e">
        <f>IF(AND(#REF!&gt;=table!$C$7,#REF!&lt;= table!$D$7),-1,IF(AND(#REF!&gt;=table!$E$7,#REF!&lt;=table!$F$7),1,0))</f>
        <v>#REF!</v>
      </c>
      <c r="S1830" s="5" t="e">
        <f>IF(AND(#REF!&gt;=table!$C$8,#REF!&lt;= table!$D$8),-1,IF(AND(#REF!&gt;=table!$E$8,#REF!&lt;=table!$F$8),1,0))</f>
        <v>#REF!</v>
      </c>
      <c r="T1830" s="5"/>
      <c r="U1830" s="5" t="e">
        <f>IF(AND(#REF!&gt;=table!$C$10,#REF!&lt;= table!$D$10),-1,IF(AND(#REF!&gt;=table!$E$10,#REF!&lt;=table!$F$10),1,0))</f>
        <v>#REF!</v>
      </c>
      <c r="V1830" s="5" t="e">
        <f>IF(AND(#REF!&gt;=table!$C$11,#REF!&lt;= table!$D$11),-1,IF(AND(#REF!&gt;=table!$E$11,#REF!&lt;=table!$F$11),1,0))</f>
        <v>#REF!</v>
      </c>
      <c r="W1830" s="5" t="e">
        <f>CONCATENATE(dados[[#This Row],[fator1]],dados[[#This Row],[fator5]],dados[[#This Row],[fator6]])</f>
        <v>#REF!</v>
      </c>
    </row>
    <row r="1831" spans="1:23">
      <c r="A1831" t="s">
        <v>16</v>
      </c>
      <c r="B1831">
        <v>486235</v>
      </c>
      <c r="C1831">
        <v>12</v>
      </c>
      <c r="D1831">
        <v>40</v>
      </c>
      <c r="E1831">
        <v>36</v>
      </c>
      <c r="F1831">
        <v>9</v>
      </c>
      <c r="G1831">
        <v>0</v>
      </c>
      <c r="H1831">
        <v>25</v>
      </c>
      <c r="I1831">
        <v>180</v>
      </c>
      <c r="J1831">
        <v>0</v>
      </c>
      <c r="K1831">
        <v>7.7960000000000003</v>
      </c>
      <c r="L1831">
        <v>13.676500000000001</v>
      </c>
      <c r="M1831">
        <v>33.766500000000001</v>
      </c>
      <c r="N1831">
        <v>19.330000000000002</v>
      </c>
      <c r="O1831">
        <v>1659</v>
      </c>
      <c r="P1831">
        <v>422</v>
      </c>
      <c r="Q1831" s="5" t="e">
        <f>IF(AND(#REF!&gt;=table!$C$6,#REF!&lt;= table!$D$6),-1,IF(AND(#REF!&gt;=table!$E$6,#REF!&lt;=table!$F$6),1,0))</f>
        <v>#REF!</v>
      </c>
      <c r="R1831" s="5" t="e">
        <f>IF(AND(#REF!&gt;=table!$C$7,#REF!&lt;= table!$D$7),-1,IF(AND(#REF!&gt;=table!$E$7,#REF!&lt;=table!$F$7),1,0))</f>
        <v>#REF!</v>
      </c>
      <c r="S1831" s="5" t="e">
        <f>IF(AND(#REF!&gt;=table!$C$8,#REF!&lt;= table!$D$8),-1,IF(AND(#REF!&gt;=table!$E$8,#REF!&lt;=table!$F$8),1,0))</f>
        <v>#REF!</v>
      </c>
      <c r="T1831" s="5"/>
      <c r="U1831" s="5" t="e">
        <f>IF(AND(#REF!&gt;=table!$C$10,#REF!&lt;= table!$D$10),-1,IF(AND(#REF!&gt;=table!$E$10,#REF!&lt;=table!$F$10),1,0))</f>
        <v>#REF!</v>
      </c>
      <c r="V1831" s="5" t="e">
        <f>IF(AND(#REF!&gt;=table!$C$11,#REF!&lt;= table!$D$11),-1,IF(AND(#REF!&gt;=table!$E$11,#REF!&lt;=table!$F$11),1,0))</f>
        <v>#REF!</v>
      </c>
      <c r="W1831" s="5" t="e">
        <f>CONCATENATE(dados[[#This Row],[fator1]],dados[[#This Row],[fator5]],dados[[#This Row],[fator6]])</f>
        <v>#REF!</v>
      </c>
    </row>
    <row r="1832" spans="1:23">
      <c r="A1832" t="s">
        <v>16</v>
      </c>
      <c r="B1832">
        <v>486238</v>
      </c>
      <c r="C1832">
        <v>6</v>
      </c>
      <c r="D1832">
        <v>25</v>
      </c>
      <c r="E1832">
        <v>120</v>
      </c>
      <c r="F1832">
        <v>4</v>
      </c>
      <c r="G1832">
        <v>0</v>
      </c>
      <c r="H1832">
        <v>55</v>
      </c>
      <c r="I1832">
        <v>583</v>
      </c>
      <c r="J1832">
        <v>0</v>
      </c>
      <c r="K1832">
        <v>3.911</v>
      </c>
      <c r="L1832">
        <v>8.4455000000000009</v>
      </c>
      <c r="M1832">
        <v>104.658</v>
      </c>
      <c r="N1832">
        <v>24.035</v>
      </c>
      <c r="O1832">
        <v>1675</v>
      </c>
      <c r="P1832">
        <v>1144</v>
      </c>
      <c r="Q1832" s="5" t="e">
        <f>IF(AND(#REF!&gt;=table!$C$6,#REF!&lt;= table!$D$6),-1,IF(AND(#REF!&gt;=table!$E$6,#REF!&lt;=table!$F$6),1,0))</f>
        <v>#REF!</v>
      </c>
      <c r="R1832" s="5" t="e">
        <f>IF(AND(#REF!&gt;=table!$C$7,#REF!&lt;= table!$D$7),-1,IF(AND(#REF!&gt;=table!$E$7,#REF!&lt;=table!$F$7),1,0))</f>
        <v>#REF!</v>
      </c>
      <c r="S1832" s="5" t="e">
        <f>IF(AND(#REF!&gt;=table!$C$8,#REF!&lt;= table!$D$8),-1,IF(AND(#REF!&gt;=table!$E$8,#REF!&lt;=table!$F$8),1,0))</f>
        <v>#REF!</v>
      </c>
      <c r="T1832" s="5"/>
      <c r="U1832" s="5" t="e">
        <f>IF(AND(#REF!&gt;=table!$C$10,#REF!&lt;= table!$D$10),-1,IF(AND(#REF!&gt;=table!$E$10,#REF!&lt;=table!$F$10),1,0))</f>
        <v>#REF!</v>
      </c>
      <c r="V1832" s="5" t="e">
        <f>IF(AND(#REF!&gt;=table!$C$11,#REF!&lt;= table!$D$11),-1,IF(AND(#REF!&gt;=table!$E$11,#REF!&lt;=table!$F$11),1,0))</f>
        <v>#REF!</v>
      </c>
      <c r="W1832" s="5" t="e">
        <f>CONCATENATE(dados[[#This Row],[fator1]],dados[[#This Row],[fator5]],dados[[#This Row],[fator6]])</f>
        <v>#REF!</v>
      </c>
    </row>
    <row r="1833" spans="1:23">
      <c r="A1833" t="s">
        <v>16</v>
      </c>
      <c r="B1833">
        <v>486239</v>
      </c>
      <c r="C1833">
        <v>6</v>
      </c>
      <c r="D1833">
        <v>25</v>
      </c>
      <c r="E1833">
        <v>120</v>
      </c>
      <c r="F1833">
        <v>4</v>
      </c>
      <c r="G1833">
        <v>0</v>
      </c>
      <c r="H1833">
        <v>55</v>
      </c>
      <c r="I1833">
        <v>741</v>
      </c>
      <c r="J1833">
        <v>740</v>
      </c>
      <c r="K1833">
        <v>6.7897000000000007</v>
      </c>
      <c r="L1833">
        <v>18.275500000000001</v>
      </c>
      <c r="M1833">
        <v>103.435</v>
      </c>
      <c r="N1833">
        <v>30.795000000000002</v>
      </c>
      <c r="O1833">
        <v>1701</v>
      </c>
      <c r="P1833">
        <v>0</v>
      </c>
      <c r="Q1833" s="5" t="e">
        <f>IF(AND(#REF!&gt;=table!$C$6,#REF!&lt;= table!$D$6),-1,IF(AND(#REF!&gt;=table!$E$6,#REF!&lt;=table!$F$6),1,0))</f>
        <v>#REF!</v>
      </c>
      <c r="R1833" s="5" t="e">
        <f>IF(AND(#REF!&gt;=table!$C$7,#REF!&lt;= table!$D$7),-1,IF(AND(#REF!&gt;=table!$E$7,#REF!&lt;=table!$F$7),1,0))</f>
        <v>#REF!</v>
      </c>
      <c r="S1833" s="5" t="e">
        <f>IF(AND(#REF!&gt;=table!$C$8,#REF!&lt;= table!$D$8),-1,IF(AND(#REF!&gt;=table!$E$8,#REF!&lt;=table!$F$8),1,0))</f>
        <v>#REF!</v>
      </c>
      <c r="T1833" s="5"/>
      <c r="U1833" s="5" t="e">
        <f>IF(AND(#REF!&gt;=table!$C$10,#REF!&lt;= table!$D$10),-1,IF(AND(#REF!&gt;=table!$E$10,#REF!&lt;=table!$F$10),1,0))</f>
        <v>#REF!</v>
      </c>
      <c r="V1833" s="5" t="e">
        <f>IF(AND(#REF!&gt;=table!$C$11,#REF!&lt;= table!$D$11),-1,IF(AND(#REF!&gt;=table!$E$11,#REF!&lt;=table!$F$11),1,0))</f>
        <v>#REF!</v>
      </c>
      <c r="W1833" s="5" t="e">
        <f>CONCATENATE(dados[[#This Row],[fator1]],dados[[#This Row],[fator5]],dados[[#This Row],[fator6]])</f>
        <v>#REF!</v>
      </c>
    </row>
    <row r="1834" spans="1:23">
      <c r="A1834" t="s">
        <v>16</v>
      </c>
      <c r="B1834">
        <v>486240</v>
      </c>
      <c r="C1834">
        <v>12</v>
      </c>
      <c r="D1834">
        <v>40</v>
      </c>
      <c r="E1834">
        <v>36</v>
      </c>
      <c r="F1834">
        <v>9</v>
      </c>
      <c r="G1834">
        <v>0</v>
      </c>
      <c r="H1834">
        <v>25</v>
      </c>
      <c r="I1834">
        <v>0</v>
      </c>
      <c r="J1834">
        <v>0</v>
      </c>
      <c r="K1834">
        <v>14.1585</v>
      </c>
      <c r="L1834">
        <v>19.882000000000001</v>
      </c>
      <c r="M1834">
        <v>35.369500000000002</v>
      </c>
      <c r="N1834">
        <v>20.47</v>
      </c>
      <c r="O1834">
        <v>1642</v>
      </c>
      <c r="P1834">
        <v>248</v>
      </c>
      <c r="Q1834" s="5" t="e">
        <f>IF(AND(#REF!&gt;=table!$C$6,#REF!&lt;= table!$D$6),-1,IF(AND(#REF!&gt;=table!$E$6,#REF!&lt;=table!$F$6),1,0))</f>
        <v>#REF!</v>
      </c>
      <c r="R1834" s="5" t="e">
        <f>IF(AND(#REF!&gt;=table!$C$7,#REF!&lt;= table!$D$7),-1,IF(AND(#REF!&gt;=table!$E$7,#REF!&lt;=table!$F$7),1,0))</f>
        <v>#REF!</v>
      </c>
      <c r="S1834" s="5" t="e">
        <f>IF(AND(#REF!&gt;=table!$C$8,#REF!&lt;= table!$D$8),-1,IF(AND(#REF!&gt;=table!$E$8,#REF!&lt;=table!$F$8),1,0))</f>
        <v>#REF!</v>
      </c>
      <c r="T1834" s="5"/>
      <c r="U1834" s="5" t="e">
        <f>IF(AND(#REF!&gt;=table!$C$10,#REF!&lt;= table!$D$10),-1,IF(AND(#REF!&gt;=table!$E$10,#REF!&lt;=table!$F$10),1,0))</f>
        <v>#REF!</v>
      </c>
      <c r="V1834" s="5" t="e">
        <f>IF(AND(#REF!&gt;=table!$C$11,#REF!&lt;= table!$D$11),-1,IF(AND(#REF!&gt;=table!$E$11,#REF!&lt;=table!$F$11),1,0))</f>
        <v>#REF!</v>
      </c>
      <c r="W1834" s="5" t="e">
        <f>CONCATENATE(dados[[#This Row],[fator1]],dados[[#This Row],[fator5]],dados[[#This Row],[fator6]])</f>
        <v>#REF!</v>
      </c>
    </row>
    <row r="1835" spans="1:23">
      <c r="A1835" t="s">
        <v>16</v>
      </c>
      <c r="B1835">
        <v>486242</v>
      </c>
      <c r="C1835">
        <v>12</v>
      </c>
      <c r="D1835">
        <v>40</v>
      </c>
      <c r="E1835">
        <v>36</v>
      </c>
      <c r="F1835">
        <v>9</v>
      </c>
      <c r="G1835">
        <v>0</v>
      </c>
      <c r="H1835">
        <v>25</v>
      </c>
      <c r="I1835">
        <v>352</v>
      </c>
      <c r="J1835">
        <v>0</v>
      </c>
      <c r="K1835">
        <v>14.889000000000001</v>
      </c>
      <c r="L1835">
        <v>15.258500000000002</v>
      </c>
      <c r="M1835">
        <v>37.436</v>
      </c>
      <c r="N1835">
        <v>16.355</v>
      </c>
      <c r="O1835">
        <v>1659</v>
      </c>
      <c r="P1835">
        <v>234</v>
      </c>
      <c r="Q1835" s="5" t="e">
        <f>IF(AND(#REF!&gt;=table!$C$6,#REF!&lt;= table!$D$6),-1,IF(AND(#REF!&gt;=table!$E$6,#REF!&lt;=table!$F$6),1,0))</f>
        <v>#REF!</v>
      </c>
      <c r="R1835" s="5" t="e">
        <f>IF(AND(#REF!&gt;=table!$C$7,#REF!&lt;= table!$D$7),-1,IF(AND(#REF!&gt;=table!$E$7,#REF!&lt;=table!$F$7),1,0))</f>
        <v>#REF!</v>
      </c>
      <c r="S1835" s="5" t="e">
        <f>IF(AND(#REF!&gt;=table!$C$8,#REF!&lt;= table!$D$8),-1,IF(AND(#REF!&gt;=table!$E$8,#REF!&lt;=table!$F$8),1,0))</f>
        <v>#REF!</v>
      </c>
      <c r="T1835" s="5"/>
      <c r="U1835" s="5" t="e">
        <f>IF(AND(#REF!&gt;=table!$C$10,#REF!&lt;= table!$D$10),-1,IF(AND(#REF!&gt;=table!$E$10,#REF!&lt;=table!$F$10),1,0))</f>
        <v>#REF!</v>
      </c>
      <c r="V1835" s="5" t="e">
        <f>IF(AND(#REF!&gt;=table!$C$11,#REF!&lt;= table!$D$11),-1,IF(AND(#REF!&gt;=table!$E$11,#REF!&lt;=table!$F$11),1,0))</f>
        <v>#REF!</v>
      </c>
      <c r="W1835" s="5" t="e">
        <f>CONCATENATE(dados[[#This Row],[fator1]],dados[[#This Row],[fator5]],dados[[#This Row],[fator6]])</f>
        <v>#REF!</v>
      </c>
    </row>
    <row r="1836" spans="1:23">
      <c r="A1836" t="s">
        <v>16</v>
      </c>
      <c r="B1836">
        <v>486246</v>
      </c>
      <c r="C1836">
        <v>16</v>
      </c>
      <c r="D1836">
        <v>35</v>
      </c>
      <c r="E1836">
        <v>40</v>
      </c>
      <c r="F1836">
        <v>10</v>
      </c>
      <c r="G1836">
        <v>0</v>
      </c>
      <c r="H1836">
        <v>25</v>
      </c>
      <c r="I1836">
        <v>1124</v>
      </c>
      <c r="J1836">
        <v>980</v>
      </c>
      <c r="K1836">
        <v>5.7965</v>
      </c>
      <c r="L1836">
        <v>18.717500000000001</v>
      </c>
      <c r="M1836">
        <v>34.523000000000003</v>
      </c>
      <c r="N1836">
        <v>17.16</v>
      </c>
      <c r="O1836">
        <v>1658</v>
      </c>
      <c r="P1836">
        <v>416</v>
      </c>
      <c r="Q1836" s="5" t="e">
        <f>IF(AND(#REF!&gt;=table!$C$6,#REF!&lt;= table!$D$6),-1,IF(AND(#REF!&gt;=table!$E$6,#REF!&lt;=table!$F$6),1,0))</f>
        <v>#REF!</v>
      </c>
      <c r="R1836" s="5" t="e">
        <f>IF(AND(#REF!&gt;=table!$C$7,#REF!&lt;= table!$D$7),-1,IF(AND(#REF!&gt;=table!$E$7,#REF!&lt;=table!$F$7),1,0))</f>
        <v>#REF!</v>
      </c>
      <c r="S1836" s="5" t="e">
        <f>IF(AND(#REF!&gt;=table!$C$8,#REF!&lt;= table!$D$8),-1,IF(AND(#REF!&gt;=table!$E$8,#REF!&lt;=table!$F$8),1,0))</f>
        <v>#REF!</v>
      </c>
      <c r="T1836" s="5"/>
      <c r="U1836" s="5" t="e">
        <f>IF(AND(#REF!&gt;=table!$C$10,#REF!&lt;= table!$D$10),-1,IF(AND(#REF!&gt;=table!$E$10,#REF!&lt;=table!$F$10),1,0))</f>
        <v>#REF!</v>
      </c>
      <c r="V1836" s="5" t="e">
        <f>IF(AND(#REF!&gt;=table!$C$11,#REF!&lt;= table!$D$11),-1,IF(AND(#REF!&gt;=table!$E$11,#REF!&lt;=table!$F$11),1,0))</f>
        <v>#REF!</v>
      </c>
      <c r="W1836" s="5" t="e">
        <f>CONCATENATE(dados[[#This Row],[fator1]],dados[[#This Row],[fator5]],dados[[#This Row],[fator6]])</f>
        <v>#REF!</v>
      </c>
    </row>
    <row r="1837" spans="1:23">
      <c r="A1837" t="s">
        <v>16</v>
      </c>
      <c r="B1837">
        <v>486247</v>
      </c>
      <c r="C1837">
        <v>16</v>
      </c>
      <c r="D1837">
        <v>35</v>
      </c>
      <c r="E1837">
        <v>40</v>
      </c>
      <c r="F1837">
        <v>10</v>
      </c>
      <c r="G1837">
        <v>0</v>
      </c>
      <c r="H1837">
        <v>25</v>
      </c>
      <c r="I1837">
        <v>1404</v>
      </c>
      <c r="J1837">
        <v>570</v>
      </c>
      <c r="K1837">
        <v>7.7445000000000004</v>
      </c>
      <c r="L1837">
        <v>17.360500000000002</v>
      </c>
      <c r="M1837">
        <v>35.267499999999998</v>
      </c>
      <c r="N1837">
        <v>16.559999999999999</v>
      </c>
      <c r="O1837">
        <v>1658</v>
      </c>
      <c r="P1837">
        <v>446</v>
      </c>
      <c r="Q1837" s="5" t="e">
        <f>IF(AND(#REF!&gt;=table!$C$6,#REF!&lt;= table!$D$6),-1,IF(AND(#REF!&gt;=table!$E$6,#REF!&lt;=table!$F$6),1,0))</f>
        <v>#REF!</v>
      </c>
      <c r="R1837" s="5" t="e">
        <f>IF(AND(#REF!&gt;=table!$C$7,#REF!&lt;= table!$D$7),-1,IF(AND(#REF!&gt;=table!$E$7,#REF!&lt;=table!$F$7),1,0))</f>
        <v>#REF!</v>
      </c>
      <c r="S1837" s="5" t="e">
        <f>IF(AND(#REF!&gt;=table!$C$8,#REF!&lt;= table!$D$8),-1,IF(AND(#REF!&gt;=table!$E$8,#REF!&lt;=table!$F$8),1,0))</f>
        <v>#REF!</v>
      </c>
      <c r="T1837" s="5"/>
      <c r="U1837" s="5" t="e">
        <f>IF(AND(#REF!&gt;=table!$C$10,#REF!&lt;= table!$D$10),-1,IF(AND(#REF!&gt;=table!$E$10,#REF!&lt;=table!$F$10),1,0))</f>
        <v>#REF!</v>
      </c>
      <c r="V1837" s="5" t="e">
        <f>IF(AND(#REF!&gt;=table!$C$11,#REF!&lt;= table!$D$11),-1,IF(AND(#REF!&gt;=table!$E$11,#REF!&lt;=table!$F$11),1,0))</f>
        <v>#REF!</v>
      </c>
      <c r="W1837" s="5" t="e">
        <f>CONCATENATE(dados[[#This Row],[fator1]],dados[[#This Row],[fator5]],dados[[#This Row],[fator6]])</f>
        <v>#REF!</v>
      </c>
    </row>
    <row r="1838" spans="1:23">
      <c r="A1838" t="s">
        <v>16</v>
      </c>
      <c r="B1838">
        <v>486249</v>
      </c>
      <c r="C1838">
        <v>16</v>
      </c>
      <c r="D1838">
        <v>35</v>
      </c>
      <c r="E1838">
        <v>40</v>
      </c>
      <c r="F1838">
        <v>10</v>
      </c>
      <c r="G1838">
        <v>0</v>
      </c>
      <c r="H1838">
        <v>25</v>
      </c>
      <c r="I1838">
        <v>67</v>
      </c>
      <c r="J1838">
        <v>0</v>
      </c>
      <c r="K1838">
        <v>9.4710000000000001</v>
      </c>
      <c r="L1838">
        <v>19.670500000000001</v>
      </c>
      <c r="M1838">
        <v>38.36</v>
      </c>
      <c r="N1838">
        <v>18.88</v>
      </c>
      <c r="O1838">
        <v>1659</v>
      </c>
      <c r="P1838">
        <v>367</v>
      </c>
      <c r="Q1838" s="5" t="e">
        <f>IF(AND(#REF!&gt;=table!$C$6,#REF!&lt;= table!$D$6),-1,IF(AND(#REF!&gt;=table!$E$6,#REF!&lt;=table!$F$6),1,0))</f>
        <v>#REF!</v>
      </c>
      <c r="R1838" s="5" t="e">
        <f>IF(AND(#REF!&gt;=table!$C$7,#REF!&lt;= table!$D$7),-1,IF(AND(#REF!&gt;=table!$E$7,#REF!&lt;=table!$F$7),1,0))</f>
        <v>#REF!</v>
      </c>
      <c r="S1838" s="5" t="e">
        <f>IF(AND(#REF!&gt;=table!$C$8,#REF!&lt;= table!$D$8),-1,IF(AND(#REF!&gt;=table!$E$8,#REF!&lt;=table!$F$8),1,0))</f>
        <v>#REF!</v>
      </c>
      <c r="T1838" s="5"/>
      <c r="U1838" s="5" t="e">
        <f>IF(AND(#REF!&gt;=table!$C$10,#REF!&lt;= table!$D$10),-1,IF(AND(#REF!&gt;=table!$E$10,#REF!&lt;=table!$F$10),1,0))</f>
        <v>#REF!</v>
      </c>
      <c r="V1838" s="5" t="e">
        <f>IF(AND(#REF!&gt;=table!$C$11,#REF!&lt;= table!$D$11),-1,IF(AND(#REF!&gt;=table!$E$11,#REF!&lt;=table!$F$11),1,0))</f>
        <v>#REF!</v>
      </c>
      <c r="W1838" s="5" t="e">
        <f>CONCATENATE(dados[[#This Row],[fator1]],dados[[#This Row],[fator5]],dados[[#This Row],[fator6]])</f>
        <v>#REF!</v>
      </c>
    </row>
    <row r="1839" spans="1:23">
      <c r="A1839" t="s">
        <v>16</v>
      </c>
      <c r="B1839">
        <v>486250</v>
      </c>
      <c r="C1839">
        <v>16</v>
      </c>
      <c r="D1839">
        <v>35</v>
      </c>
      <c r="E1839">
        <v>40</v>
      </c>
      <c r="F1839">
        <v>10</v>
      </c>
      <c r="G1839">
        <v>0</v>
      </c>
      <c r="H1839">
        <v>25</v>
      </c>
      <c r="I1839">
        <v>1492</v>
      </c>
      <c r="J1839">
        <v>0</v>
      </c>
      <c r="K1839">
        <v>8.5655000000000001</v>
      </c>
      <c r="L1839">
        <v>11.446</v>
      </c>
      <c r="M1839">
        <v>36.35</v>
      </c>
      <c r="N1839">
        <v>12.71</v>
      </c>
      <c r="O1839">
        <v>1675</v>
      </c>
      <c r="P1839">
        <v>0</v>
      </c>
      <c r="Q1839" s="5" t="e">
        <f>IF(AND(#REF!&gt;=table!$C$6,#REF!&lt;= table!$D$6),-1,IF(AND(#REF!&gt;=table!$E$6,#REF!&lt;=table!$F$6),1,0))</f>
        <v>#REF!</v>
      </c>
      <c r="R1839" s="5" t="e">
        <f>IF(AND(#REF!&gt;=table!$C$7,#REF!&lt;= table!$D$7),-1,IF(AND(#REF!&gt;=table!$E$7,#REF!&lt;=table!$F$7),1,0))</f>
        <v>#REF!</v>
      </c>
      <c r="S1839" s="5" t="e">
        <f>IF(AND(#REF!&gt;=table!$C$8,#REF!&lt;= table!$D$8),-1,IF(AND(#REF!&gt;=table!$E$8,#REF!&lt;=table!$F$8),1,0))</f>
        <v>#REF!</v>
      </c>
      <c r="T1839" s="5"/>
      <c r="U1839" s="5" t="e">
        <f>IF(AND(#REF!&gt;=table!$C$10,#REF!&lt;= table!$D$10),-1,IF(AND(#REF!&gt;=table!$E$10,#REF!&lt;=table!$F$10),1,0))</f>
        <v>#REF!</v>
      </c>
      <c r="V1839" s="5" t="e">
        <f>IF(AND(#REF!&gt;=table!$C$11,#REF!&lt;= table!$D$11),-1,IF(AND(#REF!&gt;=table!$E$11,#REF!&lt;=table!$F$11),1,0))</f>
        <v>#REF!</v>
      </c>
      <c r="W1839" s="5" t="e">
        <f>CONCATENATE(dados[[#This Row],[fator1]],dados[[#This Row],[fator5]],dados[[#This Row],[fator6]])</f>
        <v>#REF!</v>
      </c>
    </row>
    <row r="1840" spans="1:23">
      <c r="A1840" t="s">
        <v>16</v>
      </c>
      <c r="B1840">
        <v>486255</v>
      </c>
      <c r="C1840">
        <v>6</v>
      </c>
      <c r="D1840">
        <v>25</v>
      </c>
      <c r="E1840">
        <v>120</v>
      </c>
      <c r="F1840">
        <v>4</v>
      </c>
      <c r="G1840">
        <v>0</v>
      </c>
      <c r="H1840">
        <v>55</v>
      </c>
      <c r="I1840">
        <v>66</v>
      </c>
      <c r="J1840">
        <v>0</v>
      </c>
      <c r="K1840">
        <v>6.024</v>
      </c>
      <c r="L1840">
        <v>16.957000000000001</v>
      </c>
      <c r="M1840">
        <v>112.45400000000001</v>
      </c>
      <c r="N1840">
        <v>32.049999999999997</v>
      </c>
      <c r="O1840">
        <v>1683</v>
      </c>
      <c r="P1840">
        <v>604</v>
      </c>
      <c r="Q1840" s="5" t="e">
        <f>IF(AND(#REF!&gt;=table!$C$6,#REF!&lt;= table!$D$6),-1,IF(AND(#REF!&gt;=table!$E$6,#REF!&lt;=table!$F$6),1,0))</f>
        <v>#REF!</v>
      </c>
      <c r="R1840" s="5" t="e">
        <f>IF(AND(#REF!&gt;=table!$C$7,#REF!&lt;= table!$D$7),-1,IF(AND(#REF!&gt;=table!$E$7,#REF!&lt;=table!$F$7),1,0))</f>
        <v>#REF!</v>
      </c>
      <c r="S1840" s="5" t="e">
        <f>IF(AND(#REF!&gt;=table!$C$8,#REF!&lt;= table!$D$8),-1,IF(AND(#REF!&gt;=table!$E$8,#REF!&lt;=table!$F$8),1,0))</f>
        <v>#REF!</v>
      </c>
      <c r="T1840" s="5"/>
      <c r="U1840" s="5" t="e">
        <f>IF(AND(#REF!&gt;=table!$C$10,#REF!&lt;= table!$D$10),-1,IF(AND(#REF!&gt;=table!$E$10,#REF!&lt;=table!$F$10),1,0))</f>
        <v>#REF!</v>
      </c>
      <c r="V1840" s="5" t="e">
        <f>IF(AND(#REF!&gt;=table!$C$11,#REF!&lt;= table!$D$11),-1,IF(AND(#REF!&gt;=table!$E$11,#REF!&lt;=table!$F$11),1,0))</f>
        <v>#REF!</v>
      </c>
      <c r="W1840" s="5" t="e">
        <f>CONCATENATE(dados[[#This Row],[fator1]],dados[[#This Row],[fator5]],dados[[#This Row],[fator6]])</f>
        <v>#REF!</v>
      </c>
    </row>
    <row r="1841" spans="1:23">
      <c r="A1841" t="s">
        <v>16</v>
      </c>
      <c r="B1841">
        <v>486258</v>
      </c>
      <c r="C1841">
        <v>6</v>
      </c>
      <c r="D1841">
        <v>25</v>
      </c>
      <c r="E1841">
        <v>120</v>
      </c>
      <c r="F1841">
        <v>4</v>
      </c>
      <c r="G1841">
        <v>0</v>
      </c>
      <c r="H1841">
        <v>55</v>
      </c>
      <c r="I1841">
        <v>529</v>
      </c>
      <c r="J1841">
        <v>0</v>
      </c>
      <c r="K1841">
        <v>2.5425</v>
      </c>
      <c r="L1841">
        <v>4.8725000000000005</v>
      </c>
      <c r="M1841">
        <v>87.255499999999998</v>
      </c>
      <c r="N1841">
        <v>42.65</v>
      </c>
      <c r="O1841">
        <v>1669</v>
      </c>
      <c r="P1841">
        <v>1696</v>
      </c>
      <c r="Q1841" s="5" t="e">
        <f>IF(AND(#REF!&gt;=table!$C$6,#REF!&lt;= table!$D$6),-1,IF(AND(#REF!&gt;=table!$E$6,#REF!&lt;=table!$F$6),1,0))</f>
        <v>#REF!</v>
      </c>
      <c r="R1841" s="5" t="e">
        <f>IF(AND(#REF!&gt;=table!$C$7,#REF!&lt;= table!$D$7),-1,IF(AND(#REF!&gt;=table!$E$7,#REF!&lt;=table!$F$7),1,0))</f>
        <v>#REF!</v>
      </c>
      <c r="S1841" s="5" t="e">
        <f>IF(AND(#REF!&gt;=table!$C$8,#REF!&lt;= table!$D$8),-1,IF(AND(#REF!&gt;=table!$E$8,#REF!&lt;=table!$F$8),1,0))</f>
        <v>#REF!</v>
      </c>
      <c r="T1841" s="5"/>
      <c r="U1841" s="5" t="e">
        <f>IF(AND(#REF!&gt;=table!$C$10,#REF!&lt;= table!$D$10),-1,IF(AND(#REF!&gt;=table!$E$10,#REF!&lt;=table!$F$10),1,0))</f>
        <v>#REF!</v>
      </c>
      <c r="V1841" s="5" t="e">
        <f>IF(AND(#REF!&gt;=table!$C$11,#REF!&lt;= table!$D$11),-1,IF(AND(#REF!&gt;=table!$E$11,#REF!&lt;=table!$F$11),1,0))</f>
        <v>#REF!</v>
      </c>
      <c r="W1841" s="5" t="e">
        <f>CONCATENATE(dados[[#This Row],[fator1]],dados[[#This Row],[fator5]],dados[[#This Row],[fator6]])</f>
        <v>#REF!</v>
      </c>
    </row>
    <row r="1842" spans="1:23">
      <c r="A1842" t="s">
        <v>16</v>
      </c>
      <c r="B1842">
        <v>486260</v>
      </c>
      <c r="C1842">
        <v>4</v>
      </c>
      <c r="D1842">
        <v>40</v>
      </c>
      <c r="E1842">
        <v>21</v>
      </c>
      <c r="F1842">
        <v>20</v>
      </c>
      <c r="G1842">
        <v>0</v>
      </c>
      <c r="H1842">
        <v>25</v>
      </c>
      <c r="I1842">
        <v>1167</v>
      </c>
      <c r="J1842">
        <v>0</v>
      </c>
      <c r="K1842">
        <v>7.258</v>
      </c>
      <c r="L1842">
        <v>10.714</v>
      </c>
      <c r="M1842">
        <v>9.1555</v>
      </c>
      <c r="N1842">
        <v>10.620000000000001</v>
      </c>
      <c r="O1842">
        <v>1686</v>
      </c>
      <c r="P1842">
        <v>575</v>
      </c>
      <c r="Q1842" s="5" t="e">
        <f>IF(AND(#REF!&gt;=table!$C$6,#REF!&lt;= table!$D$6),-1,IF(AND(#REF!&gt;=table!$E$6,#REF!&lt;=table!$F$6),1,0))</f>
        <v>#REF!</v>
      </c>
      <c r="R1842" s="5" t="e">
        <f>IF(AND(#REF!&gt;=table!$C$7,#REF!&lt;= table!$D$7),-1,IF(AND(#REF!&gt;=table!$E$7,#REF!&lt;=table!$F$7),1,0))</f>
        <v>#REF!</v>
      </c>
      <c r="S1842" s="5" t="e">
        <f>IF(AND(#REF!&gt;=table!$C$8,#REF!&lt;= table!$D$8),-1,IF(AND(#REF!&gt;=table!$E$8,#REF!&lt;=table!$F$8),1,0))</f>
        <v>#REF!</v>
      </c>
      <c r="T1842" s="5"/>
      <c r="U1842" s="5" t="e">
        <f>IF(AND(#REF!&gt;=table!$C$10,#REF!&lt;= table!$D$10),-1,IF(AND(#REF!&gt;=table!$E$10,#REF!&lt;=table!$F$10),1,0))</f>
        <v>#REF!</v>
      </c>
      <c r="V1842" s="5" t="e">
        <f>IF(AND(#REF!&gt;=table!$C$11,#REF!&lt;= table!$D$11),-1,IF(AND(#REF!&gt;=table!$E$11,#REF!&lt;=table!$F$11),1,0))</f>
        <v>#REF!</v>
      </c>
      <c r="W1842" s="5" t="e">
        <f>CONCATENATE(dados[[#This Row],[fator1]],dados[[#This Row],[fator5]],dados[[#This Row],[fator6]])</f>
        <v>#REF!</v>
      </c>
    </row>
    <row r="1843" spans="1:23">
      <c r="A1843" t="s">
        <v>16</v>
      </c>
      <c r="B1843">
        <v>486262</v>
      </c>
      <c r="C1843">
        <v>0.15</v>
      </c>
      <c r="D1843">
        <v>40</v>
      </c>
      <c r="E1843">
        <v>10</v>
      </c>
      <c r="F1843">
        <v>15</v>
      </c>
      <c r="G1843">
        <v>0</v>
      </c>
      <c r="H1843">
        <v>15</v>
      </c>
      <c r="I1843">
        <v>513</v>
      </c>
      <c r="J1843">
        <v>0</v>
      </c>
      <c r="K1843">
        <v>3.8320000000000003</v>
      </c>
      <c r="L1843">
        <v>9.1654999999999998</v>
      </c>
      <c r="M1843">
        <v>7.6740000000000004</v>
      </c>
      <c r="N1843">
        <v>15.265000000000001</v>
      </c>
      <c r="O1843">
        <v>1704</v>
      </c>
      <c r="P1843">
        <v>1085</v>
      </c>
      <c r="Q1843" s="5" t="e">
        <f>IF(AND(#REF!&gt;=table!$C$6,#REF!&lt;= table!$D$6),-1,IF(AND(#REF!&gt;=table!$E$6,#REF!&lt;=table!$F$6),1,0))</f>
        <v>#REF!</v>
      </c>
      <c r="R1843" s="5" t="e">
        <f>IF(AND(#REF!&gt;=table!$C$7,#REF!&lt;= table!$D$7),-1,IF(AND(#REF!&gt;=table!$E$7,#REF!&lt;=table!$F$7),1,0))</f>
        <v>#REF!</v>
      </c>
      <c r="S1843" s="5" t="e">
        <f>IF(AND(#REF!&gt;=table!$C$8,#REF!&lt;= table!$D$8),-1,IF(AND(#REF!&gt;=table!$E$8,#REF!&lt;=table!$F$8),1,0))</f>
        <v>#REF!</v>
      </c>
      <c r="T1843" s="5"/>
      <c r="U1843" s="5" t="e">
        <f>IF(AND(#REF!&gt;=table!$C$10,#REF!&lt;= table!$D$10),-1,IF(AND(#REF!&gt;=table!$E$10,#REF!&lt;=table!$F$10),1,0))</f>
        <v>#REF!</v>
      </c>
      <c r="V1843" s="5" t="e">
        <f>IF(AND(#REF!&gt;=table!$C$11,#REF!&lt;= table!$D$11),-1,IF(AND(#REF!&gt;=table!$E$11,#REF!&lt;=table!$F$11),1,0))</f>
        <v>#REF!</v>
      </c>
      <c r="W1843" s="5" t="e">
        <f>CONCATENATE(dados[[#This Row],[fator1]],dados[[#This Row],[fator5]],dados[[#This Row],[fator6]])</f>
        <v>#REF!</v>
      </c>
    </row>
    <row r="1844" spans="1:23">
      <c r="A1844" t="s">
        <v>17</v>
      </c>
      <c r="B1844">
        <v>486266</v>
      </c>
      <c r="C1844">
        <v>6</v>
      </c>
      <c r="D1844">
        <v>30</v>
      </c>
      <c r="E1844">
        <v>110</v>
      </c>
      <c r="F1844">
        <v>10</v>
      </c>
      <c r="G1844">
        <v>21</v>
      </c>
      <c r="H1844">
        <v>25</v>
      </c>
      <c r="I1844">
        <v>776</v>
      </c>
      <c r="J1844">
        <v>0</v>
      </c>
      <c r="K1844">
        <v>4.2549999999999999</v>
      </c>
      <c r="L1844">
        <v>6.3109999999999999</v>
      </c>
      <c r="M1844">
        <v>105.86500000000001</v>
      </c>
      <c r="N1844">
        <v>12.280000000000001</v>
      </c>
      <c r="O1844">
        <v>1659</v>
      </c>
      <c r="P1844">
        <v>0</v>
      </c>
      <c r="Q1844" s="5" t="e">
        <f>IF(AND(#REF!&gt;=table!$C$6,#REF!&lt;= table!$D$6),-1,IF(AND(#REF!&gt;=table!$E$6,#REF!&lt;=table!$F$6),1,0))</f>
        <v>#REF!</v>
      </c>
      <c r="R1844" s="5" t="e">
        <f>IF(AND(#REF!&gt;=table!$C$7,#REF!&lt;= table!$D$7),-1,IF(AND(#REF!&gt;=table!$E$7,#REF!&lt;=table!$F$7),1,0))</f>
        <v>#REF!</v>
      </c>
      <c r="S1844" s="5" t="e">
        <f>IF(AND(#REF!&gt;=table!$C$8,#REF!&lt;= table!$D$8),-1,IF(AND(#REF!&gt;=table!$E$8,#REF!&lt;=table!$F$8),1,0))</f>
        <v>#REF!</v>
      </c>
      <c r="T1844" s="5"/>
      <c r="U1844" s="5" t="e">
        <f>IF(AND(#REF!&gt;=table!$C$10,#REF!&lt;= table!$D$10),-1,IF(AND(#REF!&gt;=table!$E$10,#REF!&lt;=table!$F$10),1,0))</f>
        <v>#REF!</v>
      </c>
      <c r="V1844" s="5" t="e">
        <f>IF(AND(#REF!&gt;=table!$C$11,#REF!&lt;= table!$D$11),-1,IF(AND(#REF!&gt;=table!$E$11,#REF!&lt;=table!$F$11),1,0))</f>
        <v>#REF!</v>
      </c>
      <c r="W1844" s="5" t="e">
        <f>CONCATENATE(dados[[#This Row],[fator1]],dados[[#This Row],[fator5]],dados[[#This Row],[fator6]])</f>
        <v>#REF!</v>
      </c>
    </row>
    <row r="1845" spans="1:23">
      <c r="A1845" t="s">
        <v>17</v>
      </c>
      <c r="B1845">
        <v>486267</v>
      </c>
      <c r="C1845">
        <v>6</v>
      </c>
      <c r="D1845">
        <v>30</v>
      </c>
      <c r="E1845">
        <v>110</v>
      </c>
      <c r="F1845">
        <v>10</v>
      </c>
      <c r="G1845">
        <v>21</v>
      </c>
      <c r="H1845">
        <v>25</v>
      </c>
      <c r="I1845">
        <v>552</v>
      </c>
      <c r="J1845">
        <v>0</v>
      </c>
      <c r="K1845">
        <v>5.2480000000000002</v>
      </c>
      <c r="L1845">
        <v>7.9470000000000001</v>
      </c>
      <c r="M1845">
        <v>88.814000000000007</v>
      </c>
      <c r="N1845">
        <v>15.275</v>
      </c>
      <c r="O1845">
        <v>1661</v>
      </c>
      <c r="P1845">
        <v>0</v>
      </c>
      <c r="Q1845" s="5" t="e">
        <f>IF(AND(#REF!&gt;=table!$C$6,#REF!&lt;= table!$D$6),-1,IF(AND(#REF!&gt;=table!$E$6,#REF!&lt;=table!$F$6),1,0))</f>
        <v>#REF!</v>
      </c>
      <c r="R1845" s="5" t="e">
        <f>IF(AND(#REF!&gt;=table!$C$7,#REF!&lt;= table!$D$7),-1,IF(AND(#REF!&gt;=table!$E$7,#REF!&lt;=table!$F$7),1,0))</f>
        <v>#REF!</v>
      </c>
      <c r="S1845" s="5" t="e">
        <f>IF(AND(#REF!&gt;=table!$C$8,#REF!&lt;= table!$D$8),-1,IF(AND(#REF!&gt;=table!$E$8,#REF!&lt;=table!$F$8),1,0))</f>
        <v>#REF!</v>
      </c>
      <c r="T1845" s="5"/>
      <c r="U1845" s="5" t="e">
        <f>IF(AND(#REF!&gt;=table!$C$10,#REF!&lt;= table!$D$10),-1,IF(AND(#REF!&gt;=table!$E$10,#REF!&lt;=table!$F$10),1,0))</f>
        <v>#REF!</v>
      </c>
      <c r="V1845" s="5" t="e">
        <f>IF(AND(#REF!&gt;=table!$C$11,#REF!&lt;= table!$D$11),-1,IF(AND(#REF!&gt;=table!$E$11,#REF!&lt;=table!$F$11),1,0))</f>
        <v>#REF!</v>
      </c>
      <c r="W1845" s="5" t="e">
        <f>CONCATENATE(dados[[#This Row],[fator1]],dados[[#This Row],[fator5]],dados[[#This Row],[fator6]])</f>
        <v>#REF!</v>
      </c>
    </row>
    <row r="1846" spans="1:23">
      <c r="A1846" t="s">
        <v>17</v>
      </c>
      <c r="B1846">
        <v>486268</v>
      </c>
      <c r="C1846">
        <v>6</v>
      </c>
      <c r="D1846">
        <v>30</v>
      </c>
      <c r="E1846">
        <v>110</v>
      </c>
      <c r="F1846">
        <v>10</v>
      </c>
      <c r="G1846">
        <v>21</v>
      </c>
      <c r="H1846">
        <v>25</v>
      </c>
      <c r="I1846">
        <v>913</v>
      </c>
      <c r="J1846">
        <v>0</v>
      </c>
      <c r="K1846">
        <v>4.1619999999999999</v>
      </c>
      <c r="L1846">
        <v>11.829000000000001</v>
      </c>
      <c r="M1846">
        <v>96.291000000000011</v>
      </c>
      <c r="N1846">
        <v>18.265000000000001</v>
      </c>
      <c r="O1846">
        <v>1679</v>
      </c>
      <c r="P1846">
        <v>1123</v>
      </c>
      <c r="Q1846" s="5" t="e">
        <f>IF(AND(#REF!&gt;=table!$C$6,#REF!&lt;= table!$D$6),-1,IF(AND(#REF!&gt;=table!$E$6,#REF!&lt;=table!$F$6),1,0))</f>
        <v>#REF!</v>
      </c>
      <c r="R1846" s="5" t="e">
        <f>IF(AND(#REF!&gt;=table!$C$7,#REF!&lt;= table!$D$7),-1,IF(AND(#REF!&gt;=table!$E$7,#REF!&lt;=table!$F$7),1,0))</f>
        <v>#REF!</v>
      </c>
      <c r="S1846" s="5" t="e">
        <f>IF(AND(#REF!&gt;=table!$C$8,#REF!&lt;= table!$D$8),-1,IF(AND(#REF!&gt;=table!$E$8,#REF!&lt;=table!$F$8),1,0))</f>
        <v>#REF!</v>
      </c>
      <c r="T1846" s="5"/>
      <c r="U1846" s="5" t="e">
        <f>IF(AND(#REF!&gt;=table!$C$10,#REF!&lt;= table!$D$10),-1,IF(AND(#REF!&gt;=table!$E$10,#REF!&lt;=table!$F$10),1,0))</f>
        <v>#REF!</v>
      </c>
      <c r="V1846" s="5" t="e">
        <f>IF(AND(#REF!&gt;=table!$C$11,#REF!&lt;= table!$D$11),-1,IF(AND(#REF!&gt;=table!$E$11,#REF!&lt;=table!$F$11),1,0))</f>
        <v>#REF!</v>
      </c>
      <c r="W1846" s="5" t="e">
        <f>CONCATENATE(dados[[#This Row],[fator1]],dados[[#This Row],[fator5]],dados[[#This Row],[fator6]])</f>
        <v>#REF!</v>
      </c>
    </row>
    <row r="1847" spans="1:23">
      <c r="A1847" t="s">
        <v>16</v>
      </c>
      <c r="B1847">
        <v>486274</v>
      </c>
      <c r="C1847">
        <v>0.15</v>
      </c>
      <c r="D1847">
        <v>40</v>
      </c>
      <c r="E1847">
        <v>10</v>
      </c>
      <c r="F1847">
        <v>15</v>
      </c>
      <c r="G1847">
        <v>0</v>
      </c>
      <c r="H1847">
        <v>15</v>
      </c>
      <c r="I1847">
        <v>427</v>
      </c>
      <c r="J1847">
        <v>0</v>
      </c>
      <c r="K1847">
        <v>3.2640000000000002</v>
      </c>
      <c r="L1847">
        <v>10.6785</v>
      </c>
      <c r="M1847">
        <v>9.2714999999999996</v>
      </c>
      <c r="N1847">
        <v>15.39</v>
      </c>
      <c r="O1847">
        <v>1667</v>
      </c>
      <c r="P1847">
        <v>1074</v>
      </c>
      <c r="Q1847" s="5" t="e">
        <f>IF(AND(#REF!&gt;=table!$C$6,#REF!&lt;= table!$D$6),-1,IF(AND(#REF!&gt;=table!$E$6,#REF!&lt;=table!$F$6),1,0))</f>
        <v>#REF!</v>
      </c>
      <c r="R1847" s="5" t="e">
        <f>IF(AND(#REF!&gt;=table!$C$7,#REF!&lt;= table!$D$7),-1,IF(AND(#REF!&gt;=table!$E$7,#REF!&lt;=table!$F$7),1,0))</f>
        <v>#REF!</v>
      </c>
      <c r="S1847" s="5" t="e">
        <f>IF(AND(#REF!&gt;=table!$C$8,#REF!&lt;= table!$D$8),-1,IF(AND(#REF!&gt;=table!$E$8,#REF!&lt;=table!$F$8),1,0))</f>
        <v>#REF!</v>
      </c>
      <c r="T1847" s="5"/>
      <c r="U1847" s="5" t="e">
        <f>IF(AND(#REF!&gt;=table!$C$10,#REF!&lt;= table!$D$10),-1,IF(AND(#REF!&gt;=table!$E$10,#REF!&lt;=table!$F$10),1,0))</f>
        <v>#REF!</v>
      </c>
      <c r="V1847" s="5" t="e">
        <f>IF(AND(#REF!&gt;=table!$C$11,#REF!&lt;= table!$D$11),-1,IF(AND(#REF!&gt;=table!$E$11,#REF!&lt;=table!$F$11),1,0))</f>
        <v>#REF!</v>
      </c>
      <c r="W1847" s="5" t="e">
        <f>CONCATENATE(dados[[#This Row],[fator1]],dados[[#This Row],[fator5]],dados[[#This Row],[fator6]])</f>
        <v>#REF!</v>
      </c>
    </row>
    <row r="1848" spans="1:23">
      <c r="A1848" t="s">
        <v>17</v>
      </c>
      <c r="B1848">
        <v>486282</v>
      </c>
      <c r="C1848">
        <v>14</v>
      </c>
      <c r="D1848">
        <v>30</v>
      </c>
      <c r="E1848">
        <v>86</v>
      </c>
      <c r="F1848">
        <v>9</v>
      </c>
      <c r="G1848">
        <v>20</v>
      </c>
      <c r="H1848">
        <v>25</v>
      </c>
      <c r="I1848">
        <v>0</v>
      </c>
      <c r="J1848">
        <v>0</v>
      </c>
      <c r="K1848">
        <v>7.7</v>
      </c>
      <c r="L1848">
        <v>18.706</v>
      </c>
      <c r="M1848">
        <v>93.057500000000005</v>
      </c>
      <c r="N1848">
        <v>18.14</v>
      </c>
      <c r="O1848">
        <v>1666</v>
      </c>
      <c r="P1848">
        <v>427</v>
      </c>
      <c r="Q1848" s="5" t="e">
        <f>IF(AND(#REF!&gt;=table!$C$6,#REF!&lt;= table!$D$6),-1,IF(AND(#REF!&gt;=table!$E$6,#REF!&lt;=table!$F$6),1,0))</f>
        <v>#REF!</v>
      </c>
      <c r="R1848" s="5" t="e">
        <f>IF(AND(#REF!&gt;=table!$C$7,#REF!&lt;= table!$D$7),-1,IF(AND(#REF!&gt;=table!$E$7,#REF!&lt;=table!$F$7),1,0))</f>
        <v>#REF!</v>
      </c>
      <c r="S1848" s="5" t="e">
        <f>IF(AND(#REF!&gt;=table!$C$8,#REF!&lt;= table!$D$8),-1,IF(AND(#REF!&gt;=table!$E$8,#REF!&lt;=table!$F$8),1,0))</f>
        <v>#REF!</v>
      </c>
      <c r="T1848" s="5"/>
      <c r="U1848" s="5" t="e">
        <f>IF(AND(#REF!&gt;=table!$C$10,#REF!&lt;= table!$D$10),-1,IF(AND(#REF!&gt;=table!$E$10,#REF!&lt;=table!$F$10),1,0))</f>
        <v>#REF!</v>
      </c>
      <c r="V1848" s="5" t="e">
        <f>IF(AND(#REF!&gt;=table!$C$11,#REF!&lt;= table!$D$11),-1,IF(AND(#REF!&gt;=table!$E$11,#REF!&lt;=table!$F$11),1,0))</f>
        <v>#REF!</v>
      </c>
      <c r="W1848" s="5" t="e">
        <f>CONCATENATE(dados[[#This Row],[fator1]],dados[[#This Row],[fator5]],dados[[#This Row],[fator6]])</f>
        <v>#REF!</v>
      </c>
    </row>
    <row r="1849" spans="1:23">
      <c r="A1849" t="s">
        <v>17</v>
      </c>
      <c r="B1849">
        <v>486284</v>
      </c>
      <c r="C1849">
        <v>14</v>
      </c>
      <c r="D1849">
        <v>30</v>
      </c>
      <c r="E1849">
        <v>66</v>
      </c>
      <c r="F1849">
        <v>9</v>
      </c>
      <c r="G1849">
        <v>20</v>
      </c>
      <c r="H1849">
        <v>25</v>
      </c>
      <c r="I1849">
        <v>857</v>
      </c>
      <c r="J1849">
        <v>0</v>
      </c>
      <c r="K1849">
        <v>5.3340000000000005</v>
      </c>
      <c r="L1849">
        <v>12.984</v>
      </c>
      <c r="M1849">
        <v>61.045999999999999</v>
      </c>
      <c r="N1849">
        <v>17.84</v>
      </c>
      <c r="O1849">
        <v>1676</v>
      </c>
      <c r="P1849">
        <v>0</v>
      </c>
      <c r="Q1849" s="5" t="e">
        <f>IF(AND(#REF!&gt;=table!$C$6,#REF!&lt;= table!$D$6),-1,IF(AND(#REF!&gt;=table!$E$6,#REF!&lt;=table!$F$6),1,0))</f>
        <v>#REF!</v>
      </c>
      <c r="R1849" s="5" t="e">
        <f>IF(AND(#REF!&gt;=table!$C$7,#REF!&lt;= table!$D$7),-1,IF(AND(#REF!&gt;=table!$E$7,#REF!&lt;=table!$F$7),1,0))</f>
        <v>#REF!</v>
      </c>
      <c r="S1849" s="5" t="e">
        <f>IF(AND(#REF!&gt;=table!$C$8,#REF!&lt;= table!$D$8),-1,IF(AND(#REF!&gt;=table!$E$8,#REF!&lt;=table!$F$8),1,0))</f>
        <v>#REF!</v>
      </c>
      <c r="T1849" s="5"/>
      <c r="U1849" s="5" t="e">
        <f>IF(AND(#REF!&gt;=table!$C$10,#REF!&lt;= table!$D$10),-1,IF(AND(#REF!&gt;=table!$E$10,#REF!&lt;=table!$F$10),1,0))</f>
        <v>#REF!</v>
      </c>
      <c r="V1849" s="5" t="e">
        <f>IF(AND(#REF!&gt;=table!$C$11,#REF!&lt;= table!$D$11),-1,IF(AND(#REF!&gt;=table!$E$11,#REF!&lt;=table!$F$11),1,0))</f>
        <v>#REF!</v>
      </c>
      <c r="W1849" s="5" t="e">
        <f>CONCATENATE(dados[[#This Row],[fator1]],dados[[#This Row],[fator5]],dados[[#This Row],[fator6]])</f>
        <v>#REF!</v>
      </c>
    </row>
    <row r="1850" spans="1:23">
      <c r="A1850" t="s">
        <v>17</v>
      </c>
      <c r="B1850">
        <v>486287</v>
      </c>
      <c r="C1850">
        <v>14</v>
      </c>
      <c r="D1850">
        <v>30</v>
      </c>
      <c r="E1850">
        <v>66</v>
      </c>
      <c r="F1850">
        <v>9</v>
      </c>
      <c r="G1850">
        <v>20</v>
      </c>
      <c r="H1850">
        <v>25</v>
      </c>
      <c r="I1850">
        <v>0</v>
      </c>
      <c r="J1850">
        <v>0</v>
      </c>
      <c r="K1850">
        <v>3.7215000000000003</v>
      </c>
      <c r="L1850">
        <v>12.7605</v>
      </c>
      <c r="M1850">
        <v>58.958500000000001</v>
      </c>
      <c r="N1850">
        <v>16.149999999999999</v>
      </c>
      <c r="O1850">
        <v>1664</v>
      </c>
      <c r="P1850">
        <v>764</v>
      </c>
      <c r="Q1850" s="5" t="e">
        <f>IF(AND(#REF!&gt;=table!$C$6,#REF!&lt;= table!$D$6),-1,IF(AND(#REF!&gt;=table!$E$6,#REF!&lt;=table!$F$6),1,0))</f>
        <v>#REF!</v>
      </c>
      <c r="R1850" s="5" t="e">
        <f>IF(AND(#REF!&gt;=table!$C$7,#REF!&lt;= table!$D$7),-1,IF(AND(#REF!&gt;=table!$E$7,#REF!&lt;=table!$F$7),1,0))</f>
        <v>#REF!</v>
      </c>
      <c r="S1850" s="5" t="e">
        <f>IF(AND(#REF!&gt;=table!$C$8,#REF!&lt;= table!$D$8),-1,IF(AND(#REF!&gt;=table!$E$8,#REF!&lt;=table!$F$8),1,0))</f>
        <v>#REF!</v>
      </c>
      <c r="T1850" s="5"/>
      <c r="U1850" s="5" t="e">
        <f>IF(AND(#REF!&gt;=table!$C$10,#REF!&lt;= table!$D$10),-1,IF(AND(#REF!&gt;=table!$E$10,#REF!&lt;=table!$F$10),1,0))</f>
        <v>#REF!</v>
      </c>
      <c r="V1850" s="5" t="e">
        <f>IF(AND(#REF!&gt;=table!$C$11,#REF!&lt;= table!$D$11),-1,IF(AND(#REF!&gt;=table!$E$11,#REF!&lt;=table!$F$11),1,0))</f>
        <v>#REF!</v>
      </c>
      <c r="W1850" s="5" t="e">
        <f>CONCATENATE(dados[[#This Row],[fator1]],dados[[#This Row],[fator5]],dados[[#This Row],[fator6]])</f>
        <v>#REF!</v>
      </c>
    </row>
    <row r="1851" spans="1:23">
      <c r="A1851" t="s">
        <v>17</v>
      </c>
      <c r="B1851">
        <v>486288</v>
      </c>
      <c r="C1851">
        <v>14</v>
      </c>
      <c r="D1851">
        <v>30</v>
      </c>
      <c r="E1851">
        <v>86</v>
      </c>
      <c r="F1851">
        <v>9</v>
      </c>
      <c r="G1851">
        <v>20</v>
      </c>
      <c r="H1851">
        <v>25</v>
      </c>
      <c r="I1851">
        <v>469</v>
      </c>
      <c r="J1851">
        <v>0</v>
      </c>
      <c r="K1851">
        <v>3.968</v>
      </c>
      <c r="L1851">
        <v>6.4415000000000004</v>
      </c>
      <c r="M1851">
        <v>65.05</v>
      </c>
      <c r="N1851">
        <v>9.4700000000000006</v>
      </c>
      <c r="O1851">
        <v>1655</v>
      </c>
      <c r="P1851">
        <v>852</v>
      </c>
      <c r="Q1851" s="5" t="e">
        <f>IF(AND(#REF!&gt;=table!$C$6,#REF!&lt;= table!$D$6),-1,IF(AND(#REF!&gt;=table!$E$6,#REF!&lt;=table!$F$6),1,0))</f>
        <v>#REF!</v>
      </c>
      <c r="R1851" s="5" t="e">
        <f>IF(AND(#REF!&gt;=table!$C$7,#REF!&lt;= table!$D$7),-1,IF(AND(#REF!&gt;=table!$E$7,#REF!&lt;=table!$F$7),1,0))</f>
        <v>#REF!</v>
      </c>
      <c r="S1851" s="5" t="e">
        <f>IF(AND(#REF!&gt;=table!$C$8,#REF!&lt;= table!$D$8),-1,IF(AND(#REF!&gt;=table!$E$8,#REF!&lt;=table!$F$8),1,0))</f>
        <v>#REF!</v>
      </c>
      <c r="T1851" s="5"/>
      <c r="U1851" s="5" t="e">
        <f>IF(AND(#REF!&gt;=table!$C$10,#REF!&lt;= table!$D$10),-1,IF(AND(#REF!&gt;=table!$E$10,#REF!&lt;=table!$F$10),1,0))</f>
        <v>#REF!</v>
      </c>
      <c r="V1851" s="5" t="e">
        <f>IF(AND(#REF!&gt;=table!$C$11,#REF!&lt;= table!$D$11),-1,IF(AND(#REF!&gt;=table!$E$11,#REF!&lt;=table!$F$11),1,0))</f>
        <v>#REF!</v>
      </c>
      <c r="W1851" s="5" t="e">
        <f>CONCATENATE(dados[[#This Row],[fator1]],dados[[#This Row],[fator5]],dados[[#This Row],[fator6]])</f>
        <v>#REF!</v>
      </c>
    </row>
    <row r="1852" spans="1:23">
      <c r="A1852" t="s">
        <v>17</v>
      </c>
      <c r="B1852">
        <v>486289</v>
      </c>
      <c r="C1852">
        <v>14</v>
      </c>
      <c r="D1852">
        <v>30</v>
      </c>
      <c r="E1852">
        <v>86</v>
      </c>
      <c r="F1852">
        <v>9</v>
      </c>
      <c r="G1852">
        <v>20</v>
      </c>
      <c r="H1852">
        <v>25</v>
      </c>
      <c r="I1852">
        <v>16</v>
      </c>
      <c r="J1852">
        <v>0</v>
      </c>
      <c r="K1852">
        <v>5.8305000000000007</v>
      </c>
      <c r="L1852">
        <v>13.978000000000002</v>
      </c>
      <c r="M1852">
        <v>76.538499999999999</v>
      </c>
      <c r="N1852">
        <v>17.54</v>
      </c>
      <c r="O1852">
        <v>1669</v>
      </c>
      <c r="P1852">
        <v>598</v>
      </c>
      <c r="Q1852" s="5" t="e">
        <f>IF(AND(#REF!&gt;=table!$C$6,#REF!&lt;= table!$D$6),-1,IF(AND(#REF!&gt;=table!$E$6,#REF!&lt;=table!$F$6),1,0))</f>
        <v>#REF!</v>
      </c>
      <c r="R1852" s="5" t="e">
        <f>IF(AND(#REF!&gt;=table!$C$7,#REF!&lt;= table!$D$7),-1,IF(AND(#REF!&gt;=table!$E$7,#REF!&lt;=table!$F$7),1,0))</f>
        <v>#REF!</v>
      </c>
      <c r="S1852" s="5" t="e">
        <f>IF(AND(#REF!&gt;=table!$C$8,#REF!&lt;= table!$D$8),-1,IF(AND(#REF!&gt;=table!$E$8,#REF!&lt;=table!$F$8),1,0))</f>
        <v>#REF!</v>
      </c>
      <c r="T1852" s="5"/>
      <c r="U1852" s="5" t="e">
        <f>IF(AND(#REF!&gt;=table!$C$10,#REF!&lt;= table!$D$10),-1,IF(AND(#REF!&gt;=table!$E$10,#REF!&lt;=table!$F$10),1,0))</f>
        <v>#REF!</v>
      </c>
      <c r="V1852" s="5" t="e">
        <f>IF(AND(#REF!&gt;=table!$C$11,#REF!&lt;= table!$D$11),-1,IF(AND(#REF!&gt;=table!$E$11,#REF!&lt;=table!$F$11),1,0))</f>
        <v>#REF!</v>
      </c>
      <c r="W1852" s="5" t="e">
        <f>CONCATENATE(dados[[#This Row],[fator1]],dados[[#This Row],[fator5]],dados[[#This Row],[fator6]])</f>
        <v>#REF!</v>
      </c>
    </row>
    <row r="1853" spans="1:23">
      <c r="A1853" t="s">
        <v>17</v>
      </c>
      <c r="B1853">
        <v>486290</v>
      </c>
      <c r="C1853">
        <v>14</v>
      </c>
      <c r="D1853">
        <v>30</v>
      </c>
      <c r="E1853">
        <v>86</v>
      </c>
      <c r="F1853">
        <v>9</v>
      </c>
      <c r="G1853">
        <v>20</v>
      </c>
      <c r="H1853">
        <v>25</v>
      </c>
      <c r="I1853">
        <v>308</v>
      </c>
      <c r="J1853">
        <v>0</v>
      </c>
      <c r="K1853">
        <v>5.718</v>
      </c>
      <c r="L1853">
        <v>16.504000000000001</v>
      </c>
      <c r="M1853">
        <v>83.5625</v>
      </c>
      <c r="N1853">
        <v>22.16</v>
      </c>
      <c r="O1853">
        <v>1654</v>
      </c>
      <c r="P1853">
        <v>528</v>
      </c>
      <c r="Q1853" s="5" t="e">
        <f>IF(AND(#REF!&gt;=table!$C$6,#REF!&lt;= table!$D$6),-1,IF(AND(#REF!&gt;=table!$E$6,#REF!&lt;=table!$F$6),1,0))</f>
        <v>#REF!</v>
      </c>
      <c r="R1853" s="5" t="e">
        <f>IF(AND(#REF!&gt;=table!$C$7,#REF!&lt;= table!$D$7),-1,IF(AND(#REF!&gt;=table!$E$7,#REF!&lt;=table!$F$7),1,0))</f>
        <v>#REF!</v>
      </c>
      <c r="S1853" s="5" t="e">
        <f>IF(AND(#REF!&gt;=table!$C$8,#REF!&lt;= table!$D$8),-1,IF(AND(#REF!&gt;=table!$E$8,#REF!&lt;=table!$F$8),1,0))</f>
        <v>#REF!</v>
      </c>
      <c r="T1853" s="5"/>
      <c r="U1853" s="5" t="e">
        <f>IF(AND(#REF!&gt;=table!$C$10,#REF!&lt;= table!$D$10),-1,IF(AND(#REF!&gt;=table!$E$10,#REF!&lt;=table!$F$10),1,0))</f>
        <v>#REF!</v>
      </c>
      <c r="V1853" s="5" t="e">
        <f>IF(AND(#REF!&gt;=table!$C$11,#REF!&lt;= table!$D$11),-1,IF(AND(#REF!&gt;=table!$E$11,#REF!&lt;=table!$F$11),1,0))</f>
        <v>#REF!</v>
      </c>
      <c r="W1853" s="5" t="e">
        <f>CONCATENATE(dados[[#This Row],[fator1]],dados[[#This Row],[fator5]],dados[[#This Row],[fator6]])</f>
        <v>#REF!</v>
      </c>
    </row>
    <row r="1854" spans="1:23">
      <c r="A1854" t="s">
        <v>17</v>
      </c>
      <c r="B1854">
        <v>486292</v>
      </c>
      <c r="C1854">
        <v>7</v>
      </c>
      <c r="D1854">
        <v>35</v>
      </c>
      <c r="E1854">
        <v>200</v>
      </c>
      <c r="F1854">
        <v>8</v>
      </c>
      <c r="G1854">
        <v>50</v>
      </c>
      <c r="H1854">
        <v>25</v>
      </c>
      <c r="I1854">
        <v>237</v>
      </c>
      <c r="J1854">
        <v>0</v>
      </c>
      <c r="K1854">
        <v>3.4765000000000001</v>
      </c>
      <c r="L1854">
        <v>10.419</v>
      </c>
      <c r="M1854">
        <v>178.637</v>
      </c>
      <c r="N1854">
        <v>18.13</v>
      </c>
      <c r="O1854">
        <v>1670</v>
      </c>
      <c r="P1854">
        <v>1222</v>
      </c>
      <c r="Q1854" s="5" t="e">
        <f>IF(AND(#REF!&gt;=table!$C$6,#REF!&lt;= table!$D$6),-1,IF(AND(#REF!&gt;=table!$E$6,#REF!&lt;=table!$F$6),1,0))</f>
        <v>#REF!</v>
      </c>
      <c r="R1854" s="5" t="e">
        <f>IF(AND(#REF!&gt;=table!$C$7,#REF!&lt;= table!$D$7),-1,IF(AND(#REF!&gt;=table!$E$7,#REF!&lt;=table!$F$7),1,0))</f>
        <v>#REF!</v>
      </c>
      <c r="S1854" s="5" t="e">
        <f>IF(AND(#REF!&gt;=table!$C$8,#REF!&lt;= table!$D$8),-1,IF(AND(#REF!&gt;=table!$E$8,#REF!&lt;=table!$F$8),1,0))</f>
        <v>#REF!</v>
      </c>
      <c r="T1854" s="5"/>
      <c r="U1854" s="5" t="e">
        <f>IF(AND(#REF!&gt;=table!$C$10,#REF!&lt;= table!$D$10),-1,IF(AND(#REF!&gt;=table!$E$10,#REF!&lt;=table!$F$10),1,0))</f>
        <v>#REF!</v>
      </c>
      <c r="V1854" s="5" t="e">
        <f>IF(AND(#REF!&gt;=table!$C$11,#REF!&lt;= table!$D$11),-1,IF(AND(#REF!&gt;=table!$E$11,#REF!&lt;=table!$F$11),1,0))</f>
        <v>#REF!</v>
      </c>
      <c r="W1854" s="5" t="e">
        <f>CONCATENATE(dados[[#This Row],[fator1]],dados[[#This Row],[fator5]],dados[[#This Row],[fator6]])</f>
        <v>#REF!</v>
      </c>
    </row>
    <row r="1855" spans="1:23">
      <c r="A1855" t="s">
        <v>17</v>
      </c>
      <c r="B1855">
        <v>486299</v>
      </c>
      <c r="C1855">
        <v>18</v>
      </c>
      <c r="D1855">
        <v>23</v>
      </c>
      <c r="E1855">
        <v>145</v>
      </c>
      <c r="F1855">
        <v>9</v>
      </c>
      <c r="G1855">
        <v>30</v>
      </c>
      <c r="H1855">
        <v>25</v>
      </c>
      <c r="I1855">
        <v>107</v>
      </c>
      <c r="J1855">
        <v>0</v>
      </c>
      <c r="K1855">
        <v>12.572000000000001</v>
      </c>
      <c r="L1855">
        <v>27.327500000000001</v>
      </c>
      <c r="M1855">
        <v>126.59</v>
      </c>
      <c r="N1855">
        <v>28.445</v>
      </c>
      <c r="O1855">
        <v>1658</v>
      </c>
      <c r="P1855">
        <v>272</v>
      </c>
      <c r="Q1855" s="5" t="e">
        <f>IF(AND(#REF!&gt;=table!$C$6,#REF!&lt;= table!$D$6),-1,IF(AND(#REF!&gt;=table!$E$6,#REF!&lt;=table!$F$6),1,0))</f>
        <v>#REF!</v>
      </c>
      <c r="R1855" s="5" t="e">
        <f>IF(AND(#REF!&gt;=table!$C$7,#REF!&lt;= table!$D$7),-1,IF(AND(#REF!&gt;=table!$E$7,#REF!&lt;=table!$F$7),1,0))</f>
        <v>#REF!</v>
      </c>
      <c r="S1855" s="5" t="e">
        <f>IF(AND(#REF!&gt;=table!$C$8,#REF!&lt;= table!$D$8),-1,IF(AND(#REF!&gt;=table!$E$8,#REF!&lt;=table!$F$8),1,0))</f>
        <v>#REF!</v>
      </c>
      <c r="T1855" s="5"/>
      <c r="U1855" s="5" t="e">
        <f>IF(AND(#REF!&gt;=table!$C$10,#REF!&lt;= table!$D$10),-1,IF(AND(#REF!&gt;=table!$E$10,#REF!&lt;=table!$F$10),1,0))</f>
        <v>#REF!</v>
      </c>
      <c r="V1855" s="5" t="e">
        <f>IF(AND(#REF!&gt;=table!$C$11,#REF!&lt;= table!$D$11),-1,IF(AND(#REF!&gt;=table!$E$11,#REF!&lt;=table!$F$11),1,0))</f>
        <v>#REF!</v>
      </c>
      <c r="W1855" s="5" t="e">
        <f>CONCATENATE(dados[[#This Row],[fator1]],dados[[#This Row],[fator5]],dados[[#This Row],[fator6]])</f>
        <v>#REF!</v>
      </c>
    </row>
    <row r="1856" spans="1:23">
      <c r="A1856" t="s">
        <v>17</v>
      </c>
      <c r="B1856">
        <v>486300</v>
      </c>
      <c r="C1856">
        <v>18</v>
      </c>
      <c r="D1856">
        <v>23</v>
      </c>
      <c r="E1856">
        <v>145</v>
      </c>
      <c r="F1856">
        <v>9</v>
      </c>
      <c r="G1856">
        <v>30</v>
      </c>
      <c r="H1856">
        <v>25</v>
      </c>
      <c r="I1856">
        <v>608</v>
      </c>
      <c r="J1856">
        <v>0</v>
      </c>
      <c r="K1856">
        <v>7.9690000000000003</v>
      </c>
      <c r="L1856">
        <v>18.542999999999999</v>
      </c>
      <c r="M1856">
        <v>122.77550000000001</v>
      </c>
      <c r="N1856">
        <v>22.195</v>
      </c>
      <c r="O1856">
        <v>1677</v>
      </c>
      <c r="P1856">
        <v>471</v>
      </c>
      <c r="Q1856" s="5" t="e">
        <f>IF(AND(#REF!&gt;=table!$C$6,#REF!&lt;= table!$D$6),-1,IF(AND(#REF!&gt;=table!$E$6,#REF!&lt;=table!$F$6),1,0))</f>
        <v>#REF!</v>
      </c>
      <c r="R1856" s="5" t="e">
        <f>IF(AND(#REF!&gt;=table!$C$7,#REF!&lt;= table!$D$7),-1,IF(AND(#REF!&gt;=table!$E$7,#REF!&lt;=table!$F$7),1,0))</f>
        <v>#REF!</v>
      </c>
      <c r="S1856" s="5" t="e">
        <f>IF(AND(#REF!&gt;=table!$C$8,#REF!&lt;= table!$D$8),-1,IF(AND(#REF!&gt;=table!$E$8,#REF!&lt;=table!$F$8),1,0))</f>
        <v>#REF!</v>
      </c>
      <c r="T1856" s="5"/>
      <c r="U1856" s="5" t="e">
        <f>IF(AND(#REF!&gt;=table!$C$10,#REF!&lt;= table!$D$10),-1,IF(AND(#REF!&gt;=table!$E$10,#REF!&lt;=table!$F$10),1,0))</f>
        <v>#REF!</v>
      </c>
      <c r="V1856" s="5" t="e">
        <f>IF(AND(#REF!&gt;=table!$C$11,#REF!&lt;= table!$D$11),-1,IF(AND(#REF!&gt;=table!$E$11,#REF!&lt;=table!$F$11),1,0))</f>
        <v>#REF!</v>
      </c>
      <c r="W1856" s="5" t="e">
        <f>CONCATENATE(dados[[#This Row],[fator1]],dados[[#This Row],[fator5]],dados[[#This Row],[fator6]])</f>
        <v>#REF!</v>
      </c>
    </row>
    <row r="1857" spans="1:23">
      <c r="A1857" t="s">
        <v>17</v>
      </c>
      <c r="B1857">
        <v>486301</v>
      </c>
      <c r="C1857">
        <v>16</v>
      </c>
      <c r="D1857">
        <v>23</v>
      </c>
      <c r="E1857">
        <v>145</v>
      </c>
      <c r="F1857">
        <v>9</v>
      </c>
      <c r="G1857">
        <v>30</v>
      </c>
      <c r="H1857">
        <v>25</v>
      </c>
      <c r="I1857">
        <v>788</v>
      </c>
      <c r="J1857">
        <v>0</v>
      </c>
      <c r="K1857">
        <v>15.982000000000001</v>
      </c>
      <c r="L1857">
        <v>23.464000000000002</v>
      </c>
      <c r="M1857">
        <v>120.81500000000001</v>
      </c>
      <c r="N1857">
        <v>26.715</v>
      </c>
      <c r="O1857">
        <v>1675</v>
      </c>
      <c r="P1857">
        <v>268</v>
      </c>
      <c r="Q1857" s="5" t="e">
        <f>IF(AND(#REF!&gt;=table!$C$6,#REF!&lt;= table!$D$6),-1,IF(AND(#REF!&gt;=table!$E$6,#REF!&lt;=table!$F$6),1,0))</f>
        <v>#REF!</v>
      </c>
      <c r="R1857" s="5" t="e">
        <f>IF(AND(#REF!&gt;=table!$C$7,#REF!&lt;= table!$D$7),-1,IF(AND(#REF!&gt;=table!$E$7,#REF!&lt;=table!$F$7),1,0))</f>
        <v>#REF!</v>
      </c>
      <c r="S1857" s="5" t="e">
        <f>IF(AND(#REF!&gt;=table!$C$8,#REF!&lt;= table!$D$8),-1,IF(AND(#REF!&gt;=table!$E$8,#REF!&lt;=table!$F$8),1,0))</f>
        <v>#REF!</v>
      </c>
      <c r="T1857" s="5"/>
      <c r="U1857" s="5" t="e">
        <f>IF(AND(#REF!&gt;=table!$C$10,#REF!&lt;= table!$D$10),-1,IF(AND(#REF!&gt;=table!$E$10,#REF!&lt;=table!$F$10),1,0))</f>
        <v>#REF!</v>
      </c>
      <c r="V1857" s="5" t="e">
        <f>IF(AND(#REF!&gt;=table!$C$11,#REF!&lt;= table!$D$11),-1,IF(AND(#REF!&gt;=table!$E$11,#REF!&lt;=table!$F$11),1,0))</f>
        <v>#REF!</v>
      </c>
      <c r="W1857" s="5" t="e">
        <f>CONCATENATE(dados[[#This Row],[fator1]],dados[[#This Row],[fator5]],dados[[#This Row],[fator6]])</f>
        <v>#REF!</v>
      </c>
    </row>
    <row r="1858" spans="1:23">
      <c r="A1858" t="s">
        <v>17</v>
      </c>
      <c r="B1858">
        <v>486302</v>
      </c>
      <c r="C1858">
        <v>16</v>
      </c>
      <c r="D1858">
        <v>23</v>
      </c>
      <c r="E1858">
        <v>145</v>
      </c>
      <c r="F1858">
        <v>9</v>
      </c>
      <c r="G1858">
        <v>30</v>
      </c>
      <c r="H1858">
        <v>25</v>
      </c>
      <c r="I1858">
        <v>1162</v>
      </c>
      <c r="J1858">
        <v>0</v>
      </c>
      <c r="K1858">
        <v>9.8019999999999996</v>
      </c>
      <c r="L1858">
        <v>11.9505</v>
      </c>
      <c r="M1858">
        <v>123.65050000000001</v>
      </c>
      <c r="N1858">
        <v>15.96</v>
      </c>
      <c r="O1858">
        <v>1684</v>
      </c>
      <c r="P1858">
        <v>0</v>
      </c>
      <c r="Q1858" s="5" t="e">
        <f>IF(AND(#REF!&gt;=table!$C$6,#REF!&lt;= table!$D$6),-1,IF(AND(#REF!&gt;=table!$E$6,#REF!&lt;=table!$F$6),1,0))</f>
        <v>#REF!</v>
      </c>
      <c r="R1858" s="5" t="e">
        <f>IF(AND(#REF!&gt;=table!$C$7,#REF!&lt;= table!$D$7),-1,IF(AND(#REF!&gt;=table!$E$7,#REF!&lt;=table!$F$7),1,0))</f>
        <v>#REF!</v>
      </c>
      <c r="S1858" s="5" t="e">
        <f>IF(AND(#REF!&gt;=table!$C$8,#REF!&lt;= table!$D$8),-1,IF(AND(#REF!&gt;=table!$E$8,#REF!&lt;=table!$F$8),1,0))</f>
        <v>#REF!</v>
      </c>
      <c r="T1858" s="5"/>
      <c r="U1858" s="5" t="e">
        <f>IF(AND(#REF!&gt;=table!$C$10,#REF!&lt;= table!$D$10),-1,IF(AND(#REF!&gt;=table!$E$10,#REF!&lt;=table!$F$10),1,0))</f>
        <v>#REF!</v>
      </c>
      <c r="V1858" s="5" t="e">
        <f>IF(AND(#REF!&gt;=table!$C$11,#REF!&lt;= table!$D$11),-1,IF(AND(#REF!&gt;=table!$E$11,#REF!&lt;=table!$F$11),1,0))</f>
        <v>#REF!</v>
      </c>
      <c r="W1858" s="5" t="e">
        <f>CONCATENATE(dados[[#This Row],[fator1]],dados[[#This Row],[fator5]],dados[[#This Row],[fator6]])</f>
        <v>#REF!</v>
      </c>
    </row>
    <row r="1859" spans="1:23">
      <c r="A1859" t="s">
        <v>17</v>
      </c>
      <c r="B1859">
        <v>486303</v>
      </c>
      <c r="C1859">
        <v>16</v>
      </c>
      <c r="D1859">
        <v>23</v>
      </c>
      <c r="E1859">
        <v>145</v>
      </c>
      <c r="F1859">
        <v>9</v>
      </c>
      <c r="G1859">
        <v>30</v>
      </c>
      <c r="H1859">
        <v>25</v>
      </c>
      <c r="I1859">
        <v>452</v>
      </c>
      <c r="J1859">
        <v>0</v>
      </c>
      <c r="K1859">
        <v>11.481</v>
      </c>
      <c r="L1859">
        <v>20.522500000000001</v>
      </c>
      <c r="M1859">
        <v>99.590500000000006</v>
      </c>
      <c r="N1859">
        <v>22.64</v>
      </c>
      <c r="O1859">
        <v>1676</v>
      </c>
      <c r="P1859">
        <v>0</v>
      </c>
      <c r="Q1859" s="5" t="e">
        <f>IF(AND(#REF!&gt;=table!$C$6,#REF!&lt;= table!$D$6),-1,IF(AND(#REF!&gt;=table!$E$6,#REF!&lt;=table!$F$6),1,0))</f>
        <v>#REF!</v>
      </c>
      <c r="R1859" s="5" t="e">
        <f>IF(AND(#REF!&gt;=table!$C$7,#REF!&lt;= table!$D$7),-1,IF(AND(#REF!&gt;=table!$E$7,#REF!&lt;=table!$F$7),1,0))</f>
        <v>#REF!</v>
      </c>
      <c r="S1859" s="5" t="e">
        <f>IF(AND(#REF!&gt;=table!$C$8,#REF!&lt;= table!$D$8),-1,IF(AND(#REF!&gt;=table!$E$8,#REF!&lt;=table!$F$8),1,0))</f>
        <v>#REF!</v>
      </c>
      <c r="T1859" s="5"/>
      <c r="U1859" s="5" t="e">
        <f>IF(AND(#REF!&gt;=table!$C$10,#REF!&lt;= table!$D$10),-1,IF(AND(#REF!&gt;=table!$E$10,#REF!&lt;=table!$F$10),1,0))</f>
        <v>#REF!</v>
      </c>
      <c r="V1859" s="5" t="e">
        <f>IF(AND(#REF!&gt;=table!$C$11,#REF!&lt;= table!$D$11),-1,IF(AND(#REF!&gt;=table!$E$11,#REF!&lt;=table!$F$11),1,0))</f>
        <v>#REF!</v>
      </c>
      <c r="W1859" s="5" t="e">
        <f>CONCATENATE(dados[[#This Row],[fator1]],dados[[#This Row],[fator5]],dados[[#This Row],[fator6]])</f>
        <v>#REF!</v>
      </c>
    </row>
    <row r="1860" spans="1:23">
      <c r="A1860" t="s">
        <v>16</v>
      </c>
      <c r="B1860">
        <v>486308</v>
      </c>
      <c r="C1860">
        <v>4</v>
      </c>
      <c r="D1860">
        <v>40</v>
      </c>
      <c r="E1860">
        <v>21</v>
      </c>
      <c r="F1860">
        <v>20</v>
      </c>
      <c r="G1860">
        <v>0</v>
      </c>
      <c r="H1860">
        <v>25</v>
      </c>
      <c r="I1860">
        <v>487</v>
      </c>
      <c r="J1860">
        <v>0</v>
      </c>
      <c r="K1860">
        <v>7.6355000000000004</v>
      </c>
      <c r="L1860">
        <v>15.1875</v>
      </c>
      <c r="M1860">
        <v>19.332000000000001</v>
      </c>
      <c r="N1860">
        <v>19.555</v>
      </c>
      <c r="O1860">
        <v>1651</v>
      </c>
      <c r="P1860">
        <v>0</v>
      </c>
      <c r="Q1860" s="5" t="e">
        <f>IF(AND(#REF!&gt;=table!$C$6,#REF!&lt;= table!$D$6),-1,IF(AND(#REF!&gt;=table!$E$6,#REF!&lt;=table!$F$6),1,0))</f>
        <v>#REF!</v>
      </c>
      <c r="R1860" s="5" t="e">
        <f>IF(AND(#REF!&gt;=table!$C$7,#REF!&lt;= table!$D$7),-1,IF(AND(#REF!&gt;=table!$E$7,#REF!&lt;=table!$F$7),1,0))</f>
        <v>#REF!</v>
      </c>
      <c r="S1860" s="5" t="e">
        <f>IF(AND(#REF!&gt;=table!$C$8,#REF!&lt;= table!$D$8),-1,IF(AND(#REF!&gt;=table!$E$8,#REF!&lt;=table!$F$8),1,0))</f>
        <v>#REF!</v>
      </c>
      <c r="T1860" s="5"/>
      <c r="U1860" s="5" t="e">
        <f>IF(AND(#REF!&gt;=table!$C$10,#REF!&lt;= table!$D$10),-1,IF(AND(#REF!&gt;=table!$E$10,#REF!&lt;=table!$F$10),1,0))</f>
        <v>#REF!</v>
      </c>
      <c r="V1860" s="5" t="e">
        <f>IF(AND(#REF!&gt;=table!$C$11,#REF!&lt;= table!$D$11),-1,IF(AND(#REF!&gt;=table!$E$11,#REF!&lt;=table!$F$11),1,0))</f>
        <v>#REF!</v>
      </c>
      <c r="W1860" s="5" t="e">
        <f>CONCATENATE(dados[[#This Row],[fator1]],dados[[#This Row],[fator5]],dados[[#This Row],[fator6]])</f>
        <v>#REF!</v>
      </c>
    </row>
    <row r="1861" spans="1:23">
      <c r="A1861" t="s">
        <v>16</v>
      </c>
      <c r="B1861">
        <v>486312</v>
      </c>
      <c r="C1861">
        <v>0.1</v>
      </c>
      <c r="D1861">
        <v>40</v>
      </c>
      <c r="E1861">
        <v>10</v>
      </c>
      <c r="F1861">
        <v>8</v>
      </c>
      <c r="G1861">
        <v>0</v>
      </c>
      <c r="H1861">
        <v>10</v>
      </c>
      <c r="I1861">
        <v>46</v>
      </c>
      <c r="J1861">
        <v>0</v>
      </c>
      <c r="K1861">
        <v>6.0115000000000007</v>
      </c>
      <c r="L1861">
        <v>13.396000000000001</v>
      </c>
      <c r="M1861">
        <v>12.333</v>
      </c>
      <c r="N1861">
        <v>12.195</v>
      </c>
      <c r="O1861">
        <v>1666</v>
      </c>
      <c r="P1861">
        <v>602</v>
      </c>
      <c r="Q1861" s="5" t="e">
        <f>IF(AND(#REF!&gt;=table!$C$6,#REF!&lt;= table!$D$6),-1,IF(AND(#REF!&gt;=table!$E$6,#REF!&lt;=table!$F$6),1,0))</f>
        <v>#REF!</v>
      </c>
      <c r="R1861" s="5" t="e">
        <f>IF(AND(#REF!&gt;=table!$C$7,#REF!&lt;= table!$D$7),-1,IF(AND(#REF!&gt;=table!$E$7,#REF!&lt;=table!$F$7),1,0))</f>
        <v>#REF!</v>
      </c>
      <c r="S1861" s="5" t="e">
        <f>IF(AND(#REF!&gt;=table!$C$8,#REF!&lt;= table!$D$8),-1,IF(AND(#REF!&gt;=table!$E$8,#REF!&lt;=table!$F$8),1,0))</f>
        <v>#REF!</v>
      </c>
      <c r="T1861" s="5"/>
      <c r="U1861" s="5" t="e">
        <f>IF(AND(#REF!&gt;=table!$C$10,#REF!&lt;= table!$D$10),-1,IF(AND(#REF!&gt;=table!$E$10,#REF!&lt;=table!$F$10),1,0))</f>
        <v>#REF!</v>
      </c>
      <c r="V1861" s="5" t="e">
        <f>IF(AND(#REF!&gt;=table!$C$11,#REF!&lt;= table!$D$11),-1,IF(AND(#REF!&gt;=table!$E$11,#REF!&lt;=table!$F$11),1,0))</f>
        <v>#REF!</v>
      </c>
      <c r="W1861" s="5" t="e">
        <f>CONCATENATE(dados[[#This Row],[fator1]],dados[[#This Row],[fator5]],dados[[#This Row],[fator6]])</f>
        <v>#REF!</v>
      </c>
    </row>
    <row r="1862" spans="1:23">
      <c r="A1862" t="s">
        <v>16</v>
      </c>
      <c r="B1862">
        <v>486313</v>
      </c>
      <c r="C1862">
        <v>7</v>
      </c>
      <c r="D1862">
        <v>33</v>
      </c>
      <c r="E1862">
        <v>153</v>
      </c>
      <c r="F1862">
        <v>4</v>
      </c>
      <c r="G1862">
        <v>0</v>
      </c>
      <c r="H1862">
        <v>25</v>
      </c>
      <c r="I1862">
        <v>1361</v>
      </c>
      <c r="J1862">
        <v>700</v>
      </c>
      <c r="K1862">
        <v>7.7725</v>
      </c>
      <c r="L1862">
        <v>14.374000000000001</v>
      </c>
      <c r="M1862">
        <v>124.875</v>
      </c>
      <c r="N1862">
        <v>12.34</v>
      </c>
      <c r="O1862">
        <v>1675</v>
      </c>
      <c r="P1862">
        <v>506</v>
      </c>
      <c r="Q1862" s="5" t="e">
        <f>IF(AND(#REF!&gt;=table!$C$6,#REF!&lt;= table!$D$6),-1,IF(AND(#REF!&gt;=table!$E$6,#REF!&lt;=table!$F$6),1,0))</f>
        <v>#REF!</v>
      </c>
      <c r="R1862" s="5" t="e">
        <f>IF(AND(#REF!&gt;=table!$C$7,#REF!&lt;= table!$D$7),-1,IF(AND(#REF!&gt;=table!$E$7,#REF!&lt;=table!$F$7),1,0))</f>
        <v>#REF!</v>
      </c>
      <c r="S1862" s="5" t="e">
        <f>IF(AND(#REF!&gt;=table!$C$8,#REF!&lt;= table!$D$8),-1,IF(AND(#REF!&gt;=table!$E$8,#REF!&lt;=table!$F$8),1,0))</f>
        <v>#REF!</v>
      </c>
      <c r="T1862" s="5"/>
      <c r="U1862" s="5" t="e">
        <f>IF(AND(#REF!&gt;=table!$C$10,#REF!&lt;= table!$D$10),-1,IF(AND(#REF!&gt;=table!$E$10,#REF!&lt;=table!$F$10),1,0))</f>
        <v>#REF!</v>
      </c>
      <c r="V1862" s="5" t="e">
        <f>IF(AND(#REF!&gt;=table!$C$11,#REF!&lt;= table!$D$11),-1,IF(AND(#REF!&gt;=table!$E$11,#REF!&lt;=table!$F$11),1,0))</f>
        <v>#REF!</v>
      </c>
      <c r="W1862" s="5" t="e">
        <f>CONCATENATE(dados[[#This Row],[fator1]],dados[[#This Row],[fator5]],dados[[#This Row],[fator6]])</f>
        <v>#REF!</v>
      </c>
    </row>
    <row r="1863" spans="1:23">
      <c r="A1863" t="s">
        <v>17</v>
      </c>
      <c r="B1863">
        <v>486315</v>
      </c>
      <c r="C1863">
        <v>16</v>
      </c>
      <c r="D1863">
        <v>30</v>
      </c>
      <c r="E1863">
        <v>126</v>
      </c>
      <c r="F1863">
        <v>6</v>
      </c>
      <c r="G1863">
        <v>20</v>
      </c>
      <c r="H1863">
        <v>25</v>
      </c>
      <c r="I1863">
        <v>974</v>
      </c>
      <c r="J1863">
        <v>0</v>
      </c>
      <c r="K1863">
        <v>7.2145000000000001</v>
      </c>
      <c r="L1863">
        <v>12.041500000000001</v>
      </c>
      <c r="M1863">
        <v>108.88900000000001</v>
      </c>
      <c r="N1863">
        <v>17.400000000000002</v>
      </c>
      <c r="O1863">
        <v>1688</v>
      </c>
      <c r="P1863">
        <v>634</v>
      </c>
      <c r="Q1863" s="5" t="e">
        <f>IF(AND(#REF!&gt;=table!$C$6,#REF!&lt;= table!$D$6),-1,IF(AND(#REF!&gt;=table!$E$6,#REF!&lt;=table!$F$6),1,0))</f>
        <v>#REF!</v>
      </c>
      <c r="R1863" s="5" t="e">
        <f>IF(AND(#REF!&gt;=table!$C$7,#REF!&lt;= table!$D$7),-1,IF(AND(#REF!&gt;=table!$E$7,#REF!&lt;=table!$F$7),1,0))</f>
        <v>#REF!</v>
      </c>
      <c r="S1863" s="5" t="e">
        <f>IF(AND(#REF!&gt;=table!$C$8,#REF!&lt;= table!$D$8),-1,IF(AND(#REF!&gt;=table!$E$8,#REF!&lt;=table!$F$8),1,0))</f>
        <v>#REF!</v>
      </c>
      <c r="T1863" s="5"/>
      <c r="U1863" s="5" t="e">
        <f>IF(AND(#REF!&gt;=table!$C$10,#REF!&lt;= table!$D$10),-1,IF(AND(#REF!&gt;=table!$E$10,#REF!&lt;=table!$F$10),1,0))</f>
        <v>#REF!</v>
      </c>
      <c r="V1863" s="5" t="e">
        <f>IF(AND(#REF!&gt;=table!$C$11,#REF!&lt;= table!$D$11),-1,IF(AND(#REF!&gt;=table!$E$11,#REF!&lt;=table!$F$11),1,0))</f>
        <v>#REF!</v>
      </c>
      <c r="W1863" s="5" t="e">
        <f>CONCATENATE(dados[[#This Row],[fator1]],dados[[#This Row],[fator5]],dados[[#This Row],[fator6]])</f>
        <v>#REF!</v>
      </c>
    </row>
    <row r="1864" spans="1:23">
      <c r="A1864" t="s">
        <v>17</v>
      </c>
      <c r="B1864">
        <v>486318</v>
      </c>
      <c r="C1864">
        <v>16</v>
      </c>
      <c r="D1864">
        <v>30</v>
      </c>
      <c r="E1864">
        <v>106</v>
      </c>
      <c r="F1864">
        <v>9</v>
      </c>
      <c r="G1864">
        <v>20</v>
      </c>
      <c r="H1864">
        <v>25</v>
      </c>
      <c r="I1864">
        <v>1042</v>
      </c>
      <c r="J1864">
        <v>0</v>
      </c>
      <c r="K1864">
        <v>8.0035000000000007</v>
      </c>
      <c r="L1864">
        <v>14.302000000000001</v>
      </c>
      <c r="M1864">
        <v>93.21050000000001</v>
      </c>
      <c r="N1864">
        <v>17.190000000000001</v>
      </c>
      <c r="O1864">
        <v>1668</v>
      </c>
      <c r="P1864">
        <v>0</v>
      </c>
      <c r="Q1864" s="5" t="e">
        <f>IF(AND(#REF!&gt;=table!$C$6,#REF!&lt;= table!$D$6),-1,IF(AND(#REF!&gt;=table!$E$6,#REF!&lt;=table!$F$6),1,0))</f>
        <v>#REF!</v>
      </c>
      <c r="R1864" s="5" t="e">
        <f>IF(AND(#REF!&gt;=table!$C$7,#REF!&lt;= table!$D$7),-1,IF(AND(#REF!&gt;=table!$E$7,#REF!&lt;=table!$F$7),1,0))</f>
        <v>#REF!</v>
      </c>
      <c r="S1864" s="5" t="e">
        <f>IF(AND(#REF!&gt;=table!$C$8,#REF!&lt;= table!$D$8),-1,IF(AND(#REF!&gt;=table!$E$8,#REF!&lt;=table!$F$8),1,0))</f>
        <v>#REF!</v>
      </c>
      <c r="T1864" s="5"/>
      <c r="U1864" s="5" t="e">
        <f>IF(AND(#REF!&gt;=table!$C$10,#REF!&lt;= table!$D$10),-1,IF(AND(#REF!&gt;=table!$E$10,#REF!&lt;=table!$F$10),1,0))</f>
        <v>#REF!</v>
      </c>
      <c r="V1864" s="5" t="e">
        <f>IF(AND(#REF!&gt;=table!$C$11,#REF!&lt;= table!$D$11),-1,IF(AND(#REF!&gt;=table!$E$11,#REF!&lt;=table!$F$11),1,0))</f>
        <v>#REF!</v>
      </c>
      <c r="W1864" s="5" t="e">
        <f>CONCATENATE(dados[[#This Row],[fator1]],dados[[#This Row],[fator5]],dados[[#This Row],[fator6]])</f>
        <v>#REF!</v>
      </c>
    </row>
    <row r="1865" spans="1:23">
      <c r="A1865" t="s">
        <v>17</v>
      </c>
      <c r="B1865">
        <v>486320</v>
      </c>
      <c r="C1865">
        <v>14</v>
      </c>
      <c r="D1865">
        <v>30</v>
      </c>
      <c r="E1865">
        <v>66</v>
      </c>
      <c r="F1865">
        <v>9</v>
      </c>
      <c r="G1865">
        <v>20</v>
      </c>
      <c r="H1865">
        <v>25</v>
      </c>
      <c r="I1865">
        <v>0</v>
      </c>
      <c r="J1865">
        <v>0</v>
      </c>
      <c r="K1865">
        <v>6.1270000000000007</v>
      </c>
      <c r="L1865">
        <v>14.221</v>
      </c>
      <c r="M1865">
        <v>66.936000000000007</v>
      </c>
      <c r="N1865">
        <v>22.45</v>
      </c>
      <c r="O1865">
        <v>1684</v>
      </c>
      <c r="P1865">
        <v>0</v>
      </c>
      <c r="Q1865" s="5" t="e">
        <f>IF(AND(#REF!&gt;=table!$C$6,#REF!&lt;= table!$D$6),-1,IF(AND(#REF!&gt;=table!$E$6,#REF!&lt;=table!$F$6),1,0))</f>
        <v>#REF!</v>
      </c>
      <c r="R1865" s="5" t="e">
        <f>IF(AND(#REF!&gt;=table!$C$7,#REF!&lt;= table!$D$7),-1,IF(AND(#REF!&gt;=table!$E$7,#REF!&lt;=table!$F$7),1,0))</f>
        <v>#REF!</v>
      </c>
      <c r="S1865" s="5" t="e">
        <f>IF(AND(#REF!&gt;=table!$C$8,#REF!&lt;= table!$D$8),-1,IF(AND(#REF!&gt;=table!$E$8,#REF!&lt;=table!$F$8),1,0))</f>
        <v>#REF!</v>
      </c>
      <c r="T1865" s="5"/>
      <c r="U1865" s="5" t="e">
        <f>IF(AND(#REF!&gt;=table!$C$10,#REF!&lt;= table!$D$10),-1,IF(AND(#REF!&gt;=table!$E$10,#REF!&lt;=table!$F$10),1,0))</f>
        <v>#REF!</v>
      </c>
      <c r="V1865" s="5" t="e">
        <f>IF(AND(#REF!&gt;=table!$C$11,#REF!&lt;= table!$D$11),-1,IF(AND(#REF!&gt;=table!$E$11,#REF!&lt;=table!$F$11),1,0))</f>
        <v>#REF!</v>
      </c>
      <c r="W1865" s="5" t="e">
        <f>CONCATENATE(dados[[#This Row],[fator1]],dados[[#This Row],[fator5]],dados[[#This Row],[fator6]])</f>
        <v>#REF!</v>
      </c>
    </row>
    <row r="1866" spans="1:23">
      <c r="A1866" t="s">
        <v>17</v>
      </c>
      <c r="B1866">
        <v>486321</v>
      </c>
      <c r="C1866">
        <v>14</v>
      </c>
      <c r="D1866">
        <v>30</v>
      </c>
      <c r="E1866">
        <v>66</v>
      </c>
      <c r="F1866">
        <v>9</v>
      </c>
      <c r="G1866">
        <v>20</v>
      </c>
      <c r="H1866">
        <v>25</v>
      </c>
      <c r="I1866">
        <v>865</v>
      </c>
      <c r="J1866">
        <v>0</v>
      </c>
      <c r="K1866">
        <v>12.471500000000001</v>
      </c>
      <c r="L1866">
        <v>15.951500000000001</v>
      </c>
      <c r="M1866">
        <v>62.229000000000006</v>
      </c>
      <c r="N1866">
        <v>14.805000000000001</v>
      </c>
      <c r="O1866">
        <v>1640</v>
      </c>
      <c r="P1866">
        <v>284</v>
      </c>
      <c r="Q1866" s="5" t="e">
        <f>IF(AND(#REF!&gt;=table!$C$6,#REF!&lt;= table!$D$6),-1,IF(AND(#REF!&gt;=table!$E$6,#REF!&lt;=table!$F$6),1,0))</f>
        <v>#REF!</v>
      </c>
      <c r="R1866" s="5" t="e">
        <f>IF(AND(#REF!&gt;=table!$C$7,#REF!&lt;= table!$D$7),-1,IF(AND(#REF!&gt;=table!$E$7,#REF!&lt;=table!$F$7),1,0))</f>
        <v>#REF!</v>
      </c>
      <c r="S1866" s="5" t="e">
        <f>IF(AND(#REF!&gt;=table!$C$8,#REF!&lt;= table!$D$8),-1,IF(AND(#REF!&gt;=table!$E$8,#REF!&lt;=table!$F$8),1,0))</f>
        <v>#REF!</v>
      </c>
      <c r="T1866" s="5"/>
      <c r="U1866" s="5" t="e">
        <f>IF(AND(#REF!&gt;=table!$C$10,#REF!&lt;= table!$D$10),-1,IF(AND(#REF!&gt;=table!$E$10,#REF!&lt;=table!$F$10),1,0))</f>
        <v>#REF!</v>
      </c>
      <c r="V1866" s="5" t="e">
        <f>IF(AND(#REF!&gt;=table!$C$11,#REF!&lt;= table!$D$11),-1,IF(AND(#REF!&gt;=table!$E$11,#REF!&lt;=table!$F$11),1,0))</f>
        <v>#REF!</v>
      </c>
      <c r="W1866" s="5" t="e">
        <f>CONCATENATE(dados[[#This Row],[fator1]],dados[[#This Row],[fator5]],dados[[#This Row],[fator6]])</f>
        <v>#REF!</v>
      </c>
    </row>
    <row r="1867" spans="1:23">
      <c r="A1867" t="s">
        <v>17</v>
      </c>
      <c r="B1867">
        <v>486322</v>
      </c>
      <c r="C1867">
        <v>14</v>
      </c>
      <c r="D1867">
        <v>30</v>
      </c>
      <c r="E1867">
        <v>66</v>
      </c>
      <c r="F1867">
        <v>9</v>
      </c>
      <c r="G1867">
        <v>20</v>
      </c>
      <c r="H1867">
        <v>25</v>
      </c>
      <c r="I1867">
        <v>1029</v>
      </c>
      <c r="J1867">
        <v>0</v>
      </c>
      <c r="K1867">
        <v>9.8034999999999997</v>
      </c>
      <c r="L1867">
        <v>15.313500000000001</v>
      </c>
      <c r="M1867">
        <v>64.460999999999999</v>
      </c>
      <c r="N1867">
        <v>16.149999999999999</v>
      </c>
      <c r="O1867">
        <v>1657</v>
      </c>
      <c r="P1867">
        <v>0</v>
      </c>
      <c r="Q1867" s="5" t="e">
        <f>IF(AND(#REF!&gt;=table!$C$6,#REF!&lt;= table!$D$6),-1,IF(AND(#REF!&gt;=table!$E$6,#REF!&lt;=table!$F$6),1,0))</f>
        <v>#REF!</v>
      </c>
      <c r="R1867" s="5" t="e">
        <f>IF(AND(#REF!&gt;=table!$C$7,#REF!&lt;= table!$D$7),-1,IF(AND(#REF!&gt;=table!$E$7,#REF!&lt;=table!$F$7),1,0))</f>
        <v>#REF!</v>
      </c>
      <c r="S1867" s="5" t="e">
        <f>IF(AND(#REF!&gt;=table!$C$8,#REF!&lt;= table!$D$8),-1,IF(AND(#REF!&gt;=table!$E$8,#REF!&lt;=table!$F$8),1,0))</f>
        <v>#REF!</v>
      </c>
      <c r="T1867" s="5"/>
      <c r="U1867" s="5" t="e">
        <f>IF(AND(#REF!&gt;=table!$C$10,#REF!&lt;= table!$D$10),-1,IF(AND(#REF!&gt;=table!$E$10,#REF!&lt;=table!$F$10),1,0))</f>
        <v>#REF!</v>
      </c>
      <c r="V1867" s="5" t="e">
        <f>IF(AND(#REF!&gt;=table!$C$11,#REF!&lt;= table!$D$11),-1,IF(AND(#REF!&gt;=table!$E$11,#REF!&lt;=table!$F$11),1,0))</f>
        <v>#REF!</v>
      </c>
      <c r="W1867" s="5" t="e">
        <f>CONCATENATE(dados[[#This Row],[fator1]],dados[[#This Row],[fator5]],dados[[#This Row],[fator6]])</f>
        <v>#REF!</v>
      </c>
    </row>
    <row r="1868" spans="1:23">
      <c r="A1868" t="s">
        <v>16</v>
      </c>
      <c r="B1868">
        <v>486325</v>
      </c>
      <c r="C1868">
        <v>0.15</v>
      </c>
      <c r="D1868">
        <v>35</v>
      </c>
      <c r="E1868">
        <v>15</v>
      </c>
      <c r="F1868">
        <v>10</v>
      </c>
      <c r="G1868">
        <v>0</v>
      </c>
      <c r="H1868">
        <v>12</v>
      </c>
      <c r="I1868">
        <v>1113</v>
      </c>
      <c r="J1868">
        <v>690</v>
      </c>
      <c r="K1868">
        <v>6.7450000000000001</v>
      </c>
      <c r="L1868">
        <v>6.7240000000000002</v>
      </c>
      <c r="M1868">
        <v>5.6030000000000006</v>
      </c>
      <c r="N1868">
        <v>5.5650000000000004</v>
      </c>
      <c r="O1868">
        <v>1595</v>
      </c>
      <c r="P1868">
        <v>489</v>
      </c>
      <c r="Q1868" s="5" t="e">
        <f>IF(AND(#REF!&gt;=table!$C$6,#REF!&lt;= table!$D$6),-1,IF(AND(#REF!&gt;=table!$E$6,#REF!&lt;=table!$F$6),1,0))</f>
        <v>#REF!</v>
      </c>
      <c r="R1868" s="5" t="e">
        <f>IF(AND(#REF!&gt;=table!$C$7,#REF!&lt;= table!$D$7),-1,IF(AND(#REF!&gt;=table!$E$7,#REF!&lt;=table!$F$7),1,0))</f>
        <v>#REF!</v>
      </c>
      <c r="S1868" s="5" t="e">
        <f>IF(AND(#REF!&gt;=table!$C$8,#REF!&lt;= table!$D$8),-1,IF(AND(#REF!&gt;=table!$E$8,#REF!&lt;=table!$F$8),1,0))</f>
        <v>#REF!</v>
      </c>
      <c r="T1868" s="5"/>
      <c r="U1868" s="5" t="e">
        <f>IF(AND(#REF!&gt;=table!$C$10,#REF!&lt;= table!$D$10),-1,IF(AND(#REF!&gt;=table!$E$10,#REF!&lt;=table!$F$10),1,0))</f>
        <v>#REF!</v>
      </c>
      <c r="V1868" s="5" t="e">
        <f>IF(AND(#REF!&gt;=table!$C$11,#REF!&lt;= table!$D$11),-1,IF(AND(#REF!&gt;=table!$E$11,#REF!&lt;=table!$F$11),1,0))</f>
        <v>#REF!</v>
      </c>
      <c r="W1868" s="5" t="e">
        <f>CONCATENATE(dados[[#This Row],[fator1]],dados[[#This Row],[fator5]],dados[[#This Row],[fator6]])</f>
        <v>#REF!</v>
      </c>
    </row>
    <row r="1869" spans="1:23">
      <c r="A1869" t="s">
        <v>16</v>
      </c>
      <c r="B1869">
        <v>486326</v>
      </c>
      <c r="C1869">
        <v>16</v>
      </c>
      <c r="D1869">
        <v>30</v>
      </c>
      <c r="E1869">
        <v>36</v>
      </c>
      <c r="F1869">
        <v>3</v>
      </c>
      <c r="G1869">
        <v>0</v>
      </c>
      <c r="H1869">
        <v>25</v>
      </c>
      <c r="I1869">
        <v>1383</v>
      </c>
      <c r="J1869">
        <v>0</v>
      </c>
      <c r="K1869">
        <v>6.9664999999999999</v>
      </c>
      <c r="L1869">
        <v>9.541500000000001</v>
      </c>
      <c r="M1869">
        <v>32.660000000000004</v>
      </c>
      <c r="N1869">
        <v>12.965</v>
      </c>
      <c r="O1869">
        <v>1657</v>
      </c>
      <c r="P1869">
        <v>554</v>
      </c>
      <c r="Q1869" s="5" t="e">
        <f>IF(AND(#REF!&gt;=table!$C$6,#REF!&lt;= table!$D$6),-1,IF(AND(#REF!&gt;=table!$E$6,#REF!&lt;=table!$F$6),1,0))</f>
        <v>#REF!</v>
      </c>
      <c r="R1869" s="5" t="e">
        <f>IF(AND(#REF!&gt;=table!$C$7,#REF!&lt;= table!$D$7),-1,IF(AND(#REF!&gt;=table!$E$7,#REF!&lt;=table!$F$7),1,0))</f>
        <v>#REF!</v>
      </c>
      <c r="S1869" s="5" t="e">
        <f>IF(AND(#REF!&gt;=table!$C$8,#REF!&lt;= table!$D$8),-1,IF(AND(#REF!&gt;=table!$E$8,#REF!&lt;=table!$F$8),1,0))</f>
        <v>#REF!</v>
      </c>
      <c r="T1869" s="5"/>
      <c r="U1869" s="5" t="e">
        <f>IF(AND(#REF!&gt;=table!$C$10,#REF!&lt;= table!$D$10),-1,IF(AND(#REF!&gt;=table!$E$10,#REF!&lt;=table!$F$10),1,0))</f>
        <v>#REF!</v>
      </c>
      <c r="V1869" s="5" t="e">
        <f>IF(AND(#REF!&gt;=table!$C$11,#REF!&lt;= table!$D$11),-1,IF(AND(#REF!&gt;=table!$E$11,#REF!&lt;=table!$F$11),1,0))</f>
        <v>#REF!</v>
      </c>
      <c r="W1869" s="5" t="e">
        <f>CONCATENATE(dados[[#This Row],[fator1]],dados[[#This Row],[fator5]],dados[[#This Row],[fator6]])</f>
        <v>#REF!</v>
      </c>
    </row>
    <row r="1870" spans="1:23">
      <c r="A1870" t="s">
        <v>16</v>
      </c>
      <c r="B1870">
        <v>486327</v>
      </c>
      <c r="C1870">
        <v>0.15</v>
      </c>
      <c r="D1870">
        <v>35</v>
      </c>
      <c r="E1870">
        <v>15</v>
      </c>
      <c r="F1870">
        <v>10</v>
      </c>
      <c r="G1870">
        <v>0</v>
      </c>
      <c r="H1870">
        <v>12</v>
      </c>
      <c r="I1870">
        <v>751</v>
      </c>
      <c r="J1870">
        <v>0</v>
      </c>
      <c r="K1870">
        <v>8.7859999999999996</v>
      </c>
      <c r="L1870">
        <v>16.297499999999999</v>
      </c>
      <c r="M1870">
        <v>6.5295000000000005</v>
      </c>
      <c r="N1870">
        <v>10.210000000000001</v>
      </c>
      <c r="O1870">
        <v>1673</v>
      </c>
      <c r="P1870">
        <v>809</v>
      </c>
      <c r="Q1870" s="5" t="e">
        <f>IF(AND(#REF!&gt;=table!$C$6,#REF!&lt;= table!$D$6),-1,IF(AND(#REF!&gt;=table!$E$6,#REF!&lt;=table!$F$6),1,0))</f>
        <v>#REF!</v>
      </c>
      <c r="R1870" s="5" t="e">
        <f>IF(AND(#REF!&gt;=table!$C$7,#REF!&lt;= table!$D$7),-1,IF(AND(#REF!&gt;=table!$E$7,#REF!&lt;=table!$F$7),1,0))</f>
        <v>#REF!</v>
      </c>
      <c r="S1870" s="5" t="e">
        <f>IF(AND(#REF!&gt;=table!$C$8,#REF!&lt;= table!$D$8),-1,IF(AND(#REF!&gt;=table!$E$8,#REF!&lt;=table!$F$8),1,0))</f>
        <v>#REF!</v>
      </c>
      <c r="T1870" s="5"/>
      <c r="U1870" s="5" t="e">
        <f>IF(AND(#REF!&gt;=table!$C$10,#REF!&lt;= table!$D$10),-1,IF(AND(#REF!&gt;=table!$E$10,#REF!&lt;=table!$F$10),1,0))</f>
        <v>#REF!</v>
      </c>
      <c r="V1870" s="5" t="e">
        <f>IF(AND(#REF!&gt;=table!$C$11,#REF!&lt;= table!$D$11),-1,IF(AND(#REF!&gt;=table!$E$11,#REF!&lt;=table!$F$11),1,0))</f>
        <v>#REF!</v>
      </c>
      <c r="W1870" s="5" t="e">
        <f>CONCATENATE(dados[[#This Row],[fator1]],dados[[#This Row],[fator5]],dados[[#This Row],[fator6]])</f>
        <v>#REF!</v>
      </c>
    </row>
    <row r="1871" spans="1:23">
      <c r="A1871" t="s">
        <v>16</v>
      </c>
      <c r="B1871">
        <v>486329</v>
      </c>
      <c r="C1871">
        <v>16</v>
      </c>
      <c r="D1871">
        <v>35</v>
      </c>
      <c r="E1871">
        <v>36</v>
      </c>
      <c r="F1871">
        <v>10</v>
      </c>
      <c r="G1871">
        <v>0</v>
      </c>
      <c r="H1871">
        <v>25</v>
      </c>
      <c r="I1871">
        <v>40</v>
      </c>
      <c r="J1871">
        <v>0</v>
      </c>
      <c r="K1871">
        <v>8.7859999999999996</v>
      </c>
      <c r="L1871">
        <v>16.297499999999999</v>
      </c>
      <c r="M1871">
        <v>40.656500000000001</v>
      </c>
      <c r="N1871">
        <v>19.73</v>
      </c>
      <c r="O1871">
        <v>1677</v>
      </c>
      <c r="P1871">
        <v>410</v>
      </c>
      <c r="Q1871" s="5" t="e">
        <f>IF(AND(#REF!&gt;=table!$C$6,#REF!&lt;= table!$D$6),-1,IF(AND(#REF!&gt;=table!$E$6,#REF!&lt;=table!$F$6),1,0))</f>
        <v>#REF!</v>
      </c>
      <c r="R1871" s="5" t="e">
        <f>IF(AND(#REF!&gt;=table!$C$7,#REF!&lt;= table!$D$7),-1,IF(AND(#REF!&gt;=table!$E$7,#REF!&lt;=table!$F$7),1,0))</f>
        <v>#REF!</v>
      </c>
      <c r="S1871" s="5" t="e">
        <f>IF(AND(#REF!&gt;=table!$C$8,#REF!&lt;= table!$D$8),-1,IF(AND(#REF!&gt;=table!$E$8,#REF!&lt;=table!$F$8),1,0))</f>
        <v>#REF!</v>
      </c>
      <c r="T1871" s="5"/>
      <c r="U1871" s="5" t="e">
        <f>IF(AND(#REF!&gt;=table!$C$10,#REF!&lt;= table!$D$10),-1,IF(AND(#REF!&gt;=table!$E$10,#REF!&lt;=table!$F$10),1,0))</f>
        <v>#REF!</v>
      </c>
      <c r="V1871" s="5" t="e">
        <f>IF(AND(#REF!&gt;=table!$C$11,#REF!&lt;= table!$D$11),-1,IF(AND(#REF!&gt;=table!$E$11,#REF!&lt;=table!$F$11),1,0))</f>
        <v>#REF!</v>
      </c>
      <c r="W1871" s="5" t="e">
        <f>CONCATENATE(dados[[#This Row],[fator1]],dados[[#This Row],[fator5]],dados[[#This Row],[fator6]])</f>
        <v>#REF!</v>
      </c>
    </row>
    <row r="1872" spans="1:23">
      <c r="A1872" t="s">
        <v>16</v>
      </c>
      <c r="B1872">
        <v>486330</v>
      </c>
      <c r="C1872">
        <v>16</v>
      </c>
      <c r="D1872">
        <v>35</v>
      </c>
      <c r="E1872">
        <v>36</v>
      </c>
      <c r="F1872">
        <v>10</v>
      </c>
      <c r="G1872">
        <v>0</v>
      </c>
      <c r="H1872">
        <v>25</v>
      </c>
      <c r="I1872">
        <v>1307</v>
      </c>
      <c r="J1872">
        <v>0</v>
      </c>
      <c r="K1872">
        <v>10.6775</v>
      </c>
      <c r="L1872">
        <v>15.799000000000001</v>
      </c>
      <c r="M1872">
        <v>39.558</v>
      </c>
      <c r="N1872">
        <v>18.440000000000001</v>
      </c>
      <c r="O1872">
        <v>1668</v>
      </c>
      <c r="P1872">
        <v>368</v>
      </c>
      <c r="Q1872" s="5" t="e">
        <f>IF(AND(#REF!&gt;=table!$C$6,#REF!&lt;= table!$D$6),-1,IF(AND(#REF!&gt;=table!$E$6,#REF!&lt;=table!$F$6),1,0))</f>
        <v>#REF!</v>
      </c>
      <c r="R1872" s="5" t="e">
        <f>IF(AND(#REF!&gt;=table!$C$7,#REF!&lt;= table!$D$7),-1,IF(AND(#REF!&gt;=table!$E$7,#REF!&lt;=table!$F$7),1,0))</f>
        <v>#REF!</v>
      </c>
      <c r="S1872" s="5" t="e">
        <f>IF(AND(#REF!&gt;=table!$C$8,#REF!&lt;= table!$D$8),-1,IF(AND(#REF!&gt;=table!$E$8,#REF!&lt;=table!$F$8),1,0))</f>
        <v>#REF!</v>
      </c>
      <c r="T1872" s="5"/>
      <c r="U1872" s="5" t="e">
        <f>IF(AND(#REF!&gt;=table!$C$10,#REF!&lt;= table!$D$10),-1,IF(AND(#REF!&gt;=table!$E$10,#REF!&lt;=table!$F$10),1,0))</f>
        <v>#REF!</v>
      </c>
      <c r="V1872" s="5" t="e">
        <f>IF(AND(#REF!&gt;=table!$C$11,#REF!&lt;= table!$D$11),-1,IF(AND(#REF!&gt;=table!$E$11,#REF!&lt;=table!$F$11),1,0))</f>
        <v>#REF!</v>
      </c>
      <c r="W1872" s="5" t="e">
        <f>CONCATENATE(dados[[#This Row],[fator1]],dados[[#This Row],[fator5]],dados[[#This Row],[fator6]])</f>
        <v>#REF!</v>
      </c>
    </row>
    <row r="1873" spans="1:23">
      <c r="A1873" t="s">
        <v>16</v>
      </c>
      <c r="B1873">
        <v>486338</v>
      </c>
      <c r="C1873">
        <v>9</v>
      </c>
      <c r="D1873">
        <v>27</v>
      </c>
      <c r="E1873">
        <v>36</v>
      </c>
      <c r="F1873">
        <v>8</v>
      </c>
      <c r="G1873">
        <v>0</v>
      </c>
      <c r="H1873">
        <v>25</v>
      </c>
      <c r="I1873">
        <v>1046</v>
      </c>
      <c r="J1873">
        <v>0</v>
      </c>
      <c r="K1873">
        <v>7.2385000000000002</v>
      </c>
      <c r="L1873">
        <v>16.0305</v>
      </c>
      <c r="M1873">
        <v>32.828499999999998</v>
      </c>
      <c r="N1873">
        <v>16.77</v>
      </c>
      <c r="O1873">
        <v>1682</v>
      </c>
      <c r="P1873">
        <v>536</v>
      </c>
      <c r="Q1873" s="5" t="e">
        <f>IF(AND(#REF!&gt;=table!$C$6,#REF!&lt;= table!$D$6),-1,IF(AND(#REF!&gt;=table!$E$6,#REF!&lt;=table!$F$6),1,0))</f>
        <v>#REF!</v>
      </c>
      <c r="R1873" s="5" t="e">
        <f>IF(AND(#REF!&gt;=table!$C$7,#REF!&lt;= table!$D$7),-1,IF(AND(#REF!&gt;=table!$E$7,#REF!&lt;=table!$F$7),1,0))</f>
        <v>#REF!</v>
      </c>
      <c r="S1873" s="5" t="e">
        <f>IF(AND(#REF!&gt;=table!$C$8,#REF!&lt;= table!$D$8),-1,IF(AND(#REF!&gt;=table!$E$8,#REF!&lt;=table!$F$8),1,0))</f>
        <v>#REF!</v>
      </c>
      <c r="T1873" s="5"/>
      <c r="U1873" s="5" t="e">
        <f>IF(AND(#REF!&gt;=table!$C$10,#REF!&lt;= table!$D$10),-1,IF(AND(#REF!&gt;=table!$E$10,#REF!&lt;=table!$F$10),1,0))</f>
        <v>#REF!</v>
      </c>
      <c r="V1873" s="5" t="e">
        <f>IF(AND(#REF!&gt;=table!$C$11,#REF!&lt;= table!$D$11),-1,IF(AND(#REF!&gt;=table!$E$11,#REF!&lt;=table!$F$11),1,0))</f>
        <v>#REF!</v>
      </c>
      <c r="W1873" s="5" t="e">
        <f>CONCATENATE(dados[[#This Row],[fator1]],dados[[#This Row],[fator5]],dados[[#This Row],[fator6]])</f>
        <v>#REF!</v>
      </c>
    </row>
    <row r="1874" spans="1:23">
      <c r="A1874" t="s">
        <v>16</v>
      </c>
      <c r="B1874">
        <v>486339</v>
      </c>
      <c r="C1874">
        <v>9</v>
      </c>
      <c r="D1874">
        <v>35</v>
      </c>
      <c r="E1874">
        <v>36</v>
      </c>
      <c r="F1874">
        <v>9</v>
      </c>
      <c r="G1874">
        <v>0</v>
      </c>
      <c r="H1874">
        <v>25</v>
      </c>
      <c r="I1874">
        <v>1458</v>
      </c>
      <c r="J1874">
        <v>0</v>
      </c>
      <c r="K1874">
        <v>8.8190000000000008</v>
      </c>
      <c r="L1874">
        <v>15.252000000000001</v>
      </c>
      <c r="M1874">
        <v>35.245000000000005</v>
      </c>
      <c r="N1874">
        <v>16.580000000000002</v>
      </c>
      <c r="O1874">
        <v>1658</v>
      </c>
      <c r="P1874">
        <v>0</v>
      </c>
      <c r="Q1874" s="5" t="e">
        <f>IF(AND(#REF!&gt;=table!$C$6,#REF!&lt;= table!$D$6),-1,IF(AND(#REF!&gt;=table!$E$6,#REF!&lt;=table!$F$6),1,0))</f>
        <v>#REF!</v>
      </c>
      <c r="R1874" s="5" t="e">
        <f>IF(AND(#REF!&gt;=table!$C$7,#REF!&lt;= table!$D$7),-1,IF(AND(#REF!&gt;=table!$E$7,#REF!&lt;=table!$F$7),1,0))</f>
        <v>#REF!</v>
      </c>
      <c r="S1874" s="5" t="e">
        <f>IF(AND(#REF!&gt;=table!$C$8,#REF!&lt;= table!$D$8),-1,IF(AND(#REF!&gt;=table!$E$8,#REF!&lt;=table!$F$8),1,0))</f>
        <v>#REF!</v>
      </c>
      <c r="T1874" s="5"/>
      <c r="U1874" s="5" t="e">
        <f>IF(AND(#REF!&gt;=table!$C$10,#REF!&lt;= table!$D$10),-1,IF(AND(#REF!&gt;=table!$E$10,#REF!&lt;=table!$F$10),1,0))</f>
        <v>#REF!</v>
      </c>
      <c r="V1874" s="5" t="e">
        <f>IF(AND(#REF!&gt;=table!$C$11,#REF!&lt;= table!$D$11),-1,IF(AND(#REF!&gt;=table!$E$11,#REF!&lt;=table!$F$11),1,0))</f>
        <v>#REF!</v>
      </c>
      <c r="W1874" s="5" t="e">
        <f>CONCATENATE(dados[[#This Row],[fator1]],dados[[#This Row],[fator5]],dados[[#This Row],[fator6]])</f>
        <v>#REF!</v>
      </c>
    </row>
    <row r="1875" spans="1:23">
      <c r="A1875" t="s">
        <v>16</v>
      </c>
      <c r="B1875">
        <v>486341</v>
      </c>
      <c r="C1875">
        <v>10</v>
      </c>
      <c r="D1875">
        <v>40</v>
      </c>
      <c r="E1875">
        <v>96</v>
      </c>
      <c r="F1875">
        <v>8</v>
      </c>
      <c r="G1875">
        <v>0</v>
      </c>
      <c r="H1875">
        <v>25</v>
      </c>
      <c r="I1875">
        <v>36</v>
      </c>
      <c r="J1875">
        <v>0</v>
      </c>
      <c r="K1875">
        <v>9.0265000000000004</v>
      </c>
      <c r="L1875">
        <v>15.480500000000001</v>
      </c>
      <c r="M1875">
        <v>89.972500000000011</v>
      </c>
      <c r="N1875">
        <v>16.845000000000002</v>
      </c>
      <c r="O1875">
        <v>1657</v>
      </c>
      <c r="P1875">
        <v>0</v>
      </c>
      <c r="Q1875" s="5" t="e">
        <f>IF(AND(#REF!&gt;=table!$C$6,#REF!&lt;= table!$D$6),-1,IF(AND(#REF!&gt;=table!$E$6,#REF!&lt;=table!$F$6),1,0))</f>
        <v>#REF!</v>
      </c>
      <c r="R1875" s="5" t="e">
        <f>IF(AND(#REF!&gt;=table!$C$7,#REF!&lt;= table!$D$7),-1,IF(AND(#REF!&gt;=table!$E$7,#REF!&lt;=table!$F$7),1,0))</f>
        <v>#REF!</v>
      </c>
      <c r="S1875" s="5" t="e">
        <f>IF(AND(#REF!&gt;=table!$C$8,#REF!&lt;= table!$D$8),-1,IF(AND(#REF!&gt;=table!$E$8,#REF!&lt;=table!$F$8),1,0))</f>
        <v>#REF!</v>
      </c>
      <c r="T1875" s="5"/>
      <c r="U1875" s="5" t="e">
        <f>IF(AND(#REF!&gt;=table!$C$10,#REF!&lt;= table!$D$10),-1,IF(AND(#REF!&gt;=table!$E$10,#REF!&lt;=table!$F$10),1,0))</f>
        <v>#REF!</v>
      </c>
      <c r="V1875" s="5" t="e">
        <f>IF(AND(#REF!&gt;=table!$C$11,#REF!&lt;= table!$D$11),-1,IF(AND(#REF!&gt;=table!$E$11,#REF!&lt;=table!$F$11),1,0))</f>
        <v>#REF!</v>
      </c>
      <c r="W1875" s="5" t="e">
        <f>CONCATENATE(dados[[#This Row],[fator1]],dados[[#This Row],[fator5]],dados[[#This Row],[fator6]])</f>
        <v>#REF!</v>
      </c>
    </row>
    <row r="1876" spans="1:23">
      <c r="A1876" t="s">
        <v>16</v>
      </c>
      <c r="B1876">
        <v>486342</v>
      </c>
      <c r="C1876">
        <v>10</v>
      </c>
      <c r="D1876">
        <v>40</v>
      </c>
      <c r="E1876">
        <v>96</v>
      </c>
      <c r="F1876">
        <v>8</v>
      </c>
      <c r="G1876">
        <v>0</v>
      </c>
      <c r="H1876">
        <v>25</v>
      </c>
      <c r="I1876">
        <v>0</v>
      </c>
      <c r="J1876">
        <v>0</v>
      </c>
      <c r="K1876">
        <v>11.650500000000001</v>
      </c>
      <c r="L1876">
        <v>16.7285</v>
      </c>
      <c r="M1876">
        <v>93.992000000000004</v>
      </c>
      <c r="N1876">
        <v>15.64</v>
      </c>
      <c r="O1876">
        <v>1673</v>
      </c>
      <c r="P1876">
        <v>0</v>
      </c>
      <c r="Q1876" s="5" t="e">
        <f>IF(AND(#REF!&gt;=table!$C$6,#REF!&lt;= table!$D$6),-1,IF(AND(#REF!&gt;=table!$E$6,#REF!&lt;=table!$F$6),1,0))</f>
        <v>#REF!</v>
      </c>
      <c r="R1876" s="5" t="e">
        <f>IF(AND(#REF!&gt;=table!$C$7,#REF!&lt;= table!$D$7),-1,IF(AND(#REF!&gt;=table!$E$7,#REF!&lt;=table!$F$7),1,0))</f>
        <v>#REF!</v>
      </c>
      <c r="S1876" s="5" t="e">
        <f>IF(AND(#REF!&gt;=table!$C$8,#REF!&lt;= table!$D$8),-1,IF(AND(#REF!&gt;=table!$E$8,#REF!&lt;=table!$F$8),1,0))</f>
        <v>#REF!</v>
      </c>
      <c r="T1876" s="5"/>
      <c r="U1876" s="5" t="e">
        <f>IF(AND(#REF!&gt;=table!$C$10,#REF!&lt;= table!$D$10),-1,IF(AND(#REF!&gt;=table!$E$10,#REF!&lt;=table!$F$10),1,0))</f>
        <v>#REF!</v>
      </c>
      <c r="V1876" s="5" t="e">
        <f>IF(AND(#REF!&gt;=table!$C$11,#REF!&lt;= table!$D$11),-1,IF(AND(#REF!&gt;=table!$E$11,#REF!&lt;=table!$F$11),1,0))</f>
        <v>#REF!</v>
      </c>
      <c r="W1876" s="5" t="e">
        <f>CONCATENATE(dados[[#This Row],[fator1]],dados[[#This Row],[fator5]],dados[[#This Row],[fator6]])</f>
        <v>#REF!</v>
      </c>
    </row>
    <row r="1877" spans="1:23">
      <c r="A1877" t="s">
        <v>16</v>
      </c>
      <c r="B1877">
        <v>486343</v>
      </c>
      <c r="C1877">
        <v>10</v>
      </c>
      <c r="D1877">
        <v>40</v>
      </c>
      <c r="E1877">
        <v>96</v>
      </c>
      <c r="F1877">
        <v>8</v>
      </c>
      <c r="G1877">
        <v>0</v>
      </c>
      <c r="H1877">
        <v>25</v>
      </c>
      <c r="I1877">
        <v>1218</v>
      </c>
      <c r="J1877">
        <v>0</v>
      </c>
      <c r="K1877">
        <v>7.6265000000000001</v>
      </c>
      <c r="L1877">
        <v>12.667</v>
      </c>
      <c r="M1877">
        <v>89.025500000000008</v>
      </c>
      <c r="N1877">
        <v>14.445</v>
      </c>
      <c r="O1877">
        <v>1663</v>
      </c>
      <c r="P1877">
        <v>396</v>
      </c>
      <c r="Q1877" s="5" t="e">
        <f>IF(AND(#REF!&gt;=table!$C$6,#REF!&lt;= table!$D$6),-1,IF(AND(#REF!&gt;=table!$E$6,#REF!&lt;=table!$F$6),1,0))</f>
        <v>#REF!</v>
      </c>
      <c r="R1877" s="5" t="e">
        <f>IF(AND(#REF!&gt;=table!$C$7,#REF!&lt;= table!$D$7),-1,IF(AND(#REF!&gt;=table!$E$7,#REF!&lt;=table!$F$7),1,0))</f>
        <v>#REF!</v>
      </c>
      <c r="S1877" s="5" t="e">
        <f>IF(AND(#REF!&gt;=table!$C$8,#REF!&lt;= table!$D$8),-1,IF(AND(#REF!&gt;=table!$E$8,#REF!&lt;=table!$F$8),1,0))</f>
        <v>#REF!</v>
      </c>
      <c r="T1877" s="5"/>
      <c r="U1877" s="5" t="e">
        <f>IF(AND(#REF!&gt;=table!$C$10,#REF!&lt;= table!$D$10),-1,IF(AND(#REF!&gt;=table!$E$10,#REF!&lt;=table!$F$10),1,0))</f>
        <v>#REF!</v>
      </c>
      <c r="V1877" s="5" t="e">
        <f>IF(AND(#REF!&gt;=table!$C$11,#REF!&lt;= table!$D$11),-1,IF(AND(#REF!&gt;=table!$E$11,#REF!&lt;=table!$F$11),1,0))</f>
        <v>#REF!</v>
      </c>
      <c r="W1877" s="5" t="e">
        <f>CONCATENATE(dados[[#This Row],[fator1]],dados[[#This Row],[fator5]],dados[[#This Row],[fator6]])</f>
        <v>#REF!</v>
      </c>
    </row>
    <row r="1878" spans="1:23">
      <c r="A1878" t="s">
        <v>16</v>
      </c>
      <c r="B1878">
        <v>486345</v>
      </c>
      <c r="C1878">
        <v>0.15</v>
      </c>
      <c r="D1878">
        <v>35</v>
      </c>
      <c r="E1878">
        <v>15</v>
      </c>
      <c r="F1878">
        <v>10</v>
      </c>
      <c r="G1878">
        <v>0</v>
      </c>
      <c r="H1878">
        <v>12</v>
      </c>
      <c r="I1878">
        <v>738</v>
      </c>
      <c r="J1878">
        <v>0</v>
      </c>
      <c r="K1878">
        <v>6.8195000000000006</v>
      </c>
      <c r="L1878">
        <v>11.7585</v>
      </c>
      <c r="M1878">
        <v>10.829000000000001</v>
      </c>
      <c r="N1878">
        <v>15.025</v>
      </c>
      <c r="O1878">
        <v>1678</v>
      </c>
      <c r="P1878">
        <v>510</v>
      </c>
      <c r="Q1878" s="5" t="e">
        <f>IF(AND(#REF!&gt;=table!$C$6,#REF!&lt;= table!$D$6),-1,IF(AND(#REF!&gt;=table!$E$6,#REF!&lt;=table!$F$6),1,0))</f>
        <v>#REF!</v>
      </c>
      <c r="R1878" s="5" t="e">
        <f>IF(AND(#REF!&gt;=table!$C$7,#REF!&lt;= table!$D$7),-1,IF(AND(#REF!&gt;=table!$E$7,#REF!&lt;=table!$F$7),1,0))</f>
        <v>#REF!</v>
      </c>
      <c r="S1878" s="5" t="e">
        <f>IF(AND(#REF!&gt;=table!$C$8,#REF!&lt;= table!$D$8),-1,IF(AND(#REF!&gt;=table!$E$8,#REF!&lt;=table!$F$8),1,0))</f>
        <v>#REF!</v>
      </c>
      <c r="T1878" s="5"/>
      <c r="U1878" s="5" t="e">
        <f>IF(AND(#REF!&gt;=table!$C$10,#REF!&lt;= table!$D$10),-1,IF(AND(#REF!&gt;=table!$E$10,#REF!&lt;=table!$F$10),1,0))</f>
        <v>#REF!</v>
      </c>
      <c r="V1878" s="5" t="e">
        <f>IF(AND(#REF!&gt;=table!$C$11,#REF!&lt;= table!$D$11),-1,IF(AND(#REF!&gt;=table!$E$11,#REF!&lt;=table!$F$11),1,0))</f>
        <v>#REF!</v>
      </c>
      <c r="W1878" s="5" t="e">
        <f>CONCATENATE(dados[[#This Row],[fator1]],dados[[#This Row],[fator5]],dados[[#This Row],[fator6]])</f>
        <v>#REF!</v>
      </c>
    </row>
    <row r="1879" spans="1:23">
      <c r="A1879" t="s">
        <v>16</v>
      </c>
      <c r="B1879">
        <v>486346</v>
      </c>
      <c r="C1879">
        <v>10</v>
      </c>
      <c r="D1879">
        <v>30</v>
      </c>
      <c r="E1879">
        <v>96</v>
      </c>
      <c r="F1879">
        <v>8</v>
      </c>
      <c r="G1879">
        <v>0</v>
      </c>
      <c r="H1879">
        <v>25</v>
      </c>
      <c r="I1879">
        <v>813</v>
      </c>
      <c r="J1879">
        <v>510</v>
      </c>
      <c r="K1879">
        <v>18.454000000000001</v>
      </c>
      <c r="L1879">
        <v>14.873000000000001</v>
      </c>
      <c r="M1879">
        <v>95.333500000000001</v>
      </c>
      <c r="N1879">
        <v>16.555</v>
      </c>
      <c r="O1879">
        <v>1668</v>
      </c>
      <c r="P1879">
        <v>208</v>
      </c>
      <c r="Q1879" s="5" t="e">
        <f>IF(AND(#REF!&gt;=table!$C$6,#REF!&lt;= table!$D$6),-1,IF(AND(#REF!&gt;=table!$E$6,#REF!&lt;=table!$F$6),1,0))</f>
        <v>#REF!</v>
      </c>
      <c r="R1879" s="5" t="e">
        <f>IF(AND(#REF!&gt;=table!$C$7,#REF!&lt;= table!$D$7),-1,IF(AND(#REF!&gt;=table!$E$7,#REF!&lt;=table!$F$7),1,0))</f>
        <v>#REF!</v>
      </c>
      <c r="S1879" s="5" t="e">
        <f>IF(AND(#REF!&gt;=table!$C$8,#REF!&lt;= table!$D$8),-1,IF(AND(#REF!&gt;=table!$E$8,#REF!&lt;=table!$F$8),1,0))</f>
        <v>#REF!</v>
      </c>
      <c r="T1879" s="5"/>
      <c r="U1879" s="5" t="e">
        <f>IF(AND(#REF!&gt;=table!$C$10,#REF!&lt;= table!$D$10),-1,IF(AND(#REF!&gt;=table!$E$10,#REF!&lt;=table!$F$10),1,0))</f>
        <v>#REF!</v>
      </c>
      <c r="V1879" s="5" t="e">
        <f>IF(AND(#REF!&gt;=table!$C$11,#REF!&lt;= table!$D$11),-1,IF(AND(#REF!&gt;=table!$E$11,#REF!&lt;=table!$F$11),1,0))</f>
        <v>#REF!</v>
      </c>
      <c r="W1879" s="5" t="e">
        <f>CONCATENATE(dados[[#This Row],[fator1]],dados[[#This Row],[fator5]],dados[[#This Row],[fator6]])</f>
        <v>#REF!</v>
      </c>
    </row>
    <row r="1880" spans="1:23">
      <c r="A1880" t="s">
        <v>16</v>
      </c>
      <c r="B1880">
        <v>486348</v>
      </c>
      <c r="C1880">
        <v>6</v>
      </c>
      <c r="D1880">
        <v>25</v>
      </c>
      <c r="E1880">
        <v>120</v>
      </c>
      <c r="F1880">
        <v>4</v>
      </c>
      <c r="G1880">
        <v>0</v>
      </c>
      <c r="H1880">
        <v>55</v>
      </c>
      <c r="I1880">
        <v>849</v>
      </c>
      <c r="J1880">
        <v>0</v>
      </c>
      <c r="K1880">
        <v>4.3860000000000001</v>
      </c>
      <c r="L1880">
        <v>8.2650000000000006</v>
      </c>
      <c r="M1880">
        <v>187.30549999999999</v>
      </c>
      <c r="N1880">
        <v>26.825000000000003</v>
      </c>
      <c r="O1880">
        <v>1686</v>
      </c>
      <c r="P1880">
        <v>1066</v>
      </c>
      <c r="Q1880" s="5" t="e">
        <f>IF(AND(#REF!&gt;=table!$C$6,#REF!&lt;= table!$D$6),-1,IF(AND(#REF!&gt;=table!$E$6,#REF!&lt;=table!$F$6),1,0))</f>
        <v>#REF!</v>
      </c>
      <c r="R1880" s="5" t="e">
        <f>IF(AND(#REF!&gt;=table!$C$7,#REF!&lt;= table!$D$7),-1,IF(AND(#REF!&gt;=table!$E$7,#REF!&lt;=table!$F$7),1,0))</f>
        <v>#REF!</v>
      </c>
      <c r="S1880" s="5" t="e">
        <f>IF(AND(#REF!&gt;=table!$C$8,#REF!&lt;= table!$D$8),-1,IF(AND(#REF!&gt;=table!$E$8,#REF!&lt;=table!$F$8),1,0))</f>
        <v>#REF!</v>
      </c>
      <c r="T1880" s="5"/>
      <c r="U1880" s="5" t="e">
        <f>IF(AND(#REF!&gt;=table!$C$10,#REF!&lt;= table!$D$10),-1,IF(AND(#REF!&gt;=table!$E$10,#REF!&lt;=table!$F$10),1,0))</f>
        <v>#REF!</v>
      </c>
      <c r="V1880" s="5" t="e">
        <f>IF(AND(#REF!&gt;=table!$C$11,#REF!&lt;= table!$D$11),-1,IF(AND(#REF!&gt;=table!$E$11,#REF!&lt;=table!$F$11),1,0))</f>
        <v>#REF!</v>
      </c>
      <c r="W1880" s="5" t="e">
        <f>CONCATENATE(dados[[#This Row],[fator1]],dados[[#This Row],[fator5]],dados[[#This Row],[fator6]])</f>
        <v>#REF!</v>
      </c>
    </row>
    <row r="1881" spans="1:23">
      <c r="A1881" t="s">
        <v>16</v>
      </c>
      <c r="B1881">
        <v>486349</v>
      </c>
      <c r="C1881">
        <v>6</v>
      </c>
      <c r="D1881">
        <v>25</v>
      </c>
      <c r="E1881">
        <v>120</v>
      </c>
      <c r="F1881">
        <v>4</v>
      </c>
      <c r="G1881">
        <v>0</v>
      </c>
      <c r="H1881">
        <v>55</v>
      </c>
      <c r="I1881">
        <v>1093</v>
      </c>
      <c r="J1881">
        <v>0</v>
      </c>
      <c r="K1881">
        <v>3.0060000000000002</v>
      </c>
      <c r="L1881">
        <v>9.7134999999999998</v>
      </c>
      <c r="M1881">
        <v>100.075</v>
      </c>
      <c r="N1881">
        <v>17.98</v>
      </c>
      <c r="O1881">
        <v>1699</v>
      </c>
      <c r="P1881">
        <v>1143</v>
      </c>
      <c r="Q1881" s="5" t="e">
        <f>IF(AND(#REF!&gt;=table!$C$6,#REF!&lt;= table!$D$6),-1,IF(AND(#REF!&gt;=table!$E$6,#REF!&lt;=table!$F$6),1,0))</f>
        <v>#REF!</v>
      </c>
      <c r="R1881" s="5" t="e">
        <f>IF(AND(#REF!&gt;=table!$C$7,#REF!&lt;= table!$D$7),-1,IF(AND(#REF!&gt;=table!$E$7,#REF!&lt;=table!$F$7),1,0))</f>
        <v>#REF!</v>
      </c>
      <c r="S1881" s="5" t="e">
        <f>IF(AND(#REF!&gt;=table!$C$8,#REF!&lt;= table!$D$8),-1,IF(AND(#REF!&gt;=table!$E$8,#REF!&lt;=table!$F$8),1,0))</f>
        <v>#REF!</v>
      </c>
      <c r="T1881" s="5"/>
      <c r="U1881" s="5" t="e">
        <f>IF(AND(#REF!&gt;=table!$C$10,#REF!&lt;= table!$D$10),-1,IF(AND(#REF!&gt;=table!$E$10,#REF!&lt;=table!$F$10),1,0))</f>
        <v>#REF!</v>
      </c>
      <c r="V1881" s="5" t="e">
        <f>IF(AND(#REF!&gt;=table!$C$11,#REF!&lt;= table!$D$11),-1,IF(AND(#REF!&gt;=table!$E$11,#REF!&lt;=table!$F$11),1,0))</f>
        <v>#REF!</v>
      </c>
      <c r="W1881" s="5" t="e">
        <f>CONCATENATE(dados[[#This Row],[fator1]],dados[[#This Row],[fator5]],dados[[#This Row],[fator6]])</f>
        <v>#REF!</v>
      </c>
    </row>
    <row r="1882" spans="1:23">
      <c r="A1882" t="s">
        <v>16</v>
      </c>
      <c r="B1882">
        <v>486350</v>
      </c>
      <c r="C1882">
        <v>10</v>
      </c>
      <c r="D1882">
        <v>38</v>
      </c>
      <c r="E1882">
        <v>150</v>
      </c>
      <c r="F1882">
        <v>4</v>
      </c>
      <c r="G1882">
        <v>0</v>
      </c>
      <c r="H1882">
        <v>25</v>
      </c>
      <c r="I1882">
        <v>1224</v>
      </c>
      <c r="J1882">
        <v>0</v>
      </c>
      <c r="K1882">
        <v>2.5135000000000001</v>
      </c>
      <c r="L1882">
        <v>8.0865000000000009</v>
      </c>
      <c r="M1882">
        <v>77.3095</v>
      </c>
      <c r="N1882">
        <v>15.92</v>
      </c>
      <c r="O1882">
        <v>1680</v>
      </c>
      <c r="P1882">
        <v>1163</v>
      </c>
      <c r="Q1882" s="5" t="e">
        <f>IF(AND(#REF!&gt;=table!$C$6,#REF!&lt;= table!$D$6),-1,IF(AND(#REF!&gt;=table!$E$6,#REF!&lt;=table!$F$6),1,0))</f>
        <v>#REF!</v>
      </c>
      <c r="R1882" s="5" t="e">
        <f>IF(AND(#REF!&gt;=table!$C$7,#REF!&lt;= table!$D$7),-1,IF(AND(#REF!&gt;=table!$E$7,#REF!&lt;=table!$F$7),1,0))</f>
        <v>#REF!</v>
      </c>
      <c r="S1882" s="5" t="e">
        <f>IF(AND(#REF!&gt;=table!$C$8,#REF!&lt;= table!$D$8),-1,IF(AND(#REF!&gt;=table!$E$8,#REF!&lt;=table!$F$8),1,0))</f>
        <v>#REF!</v>
      </c>
      <c r="T1882" s="5"/>
      <c r="U1882" s="5" t="e">
        <f>IF(AND(#REF!&gt;=table!$C$10,#REF!&lt;= table!$D$10),-1,IF(AND(#REF!&gt;=table!$E$10,#REF!&lt;=table!$F$10),1,0))</f>
        <v>#REF!</v>
      </c>
      <c r="V1882" s="5" t="e">
        <f>IF(AND(#REF!&gt;=table!$C$11,#REF!&lt;= table!$D$11),-1,IF(AND(#REF!&gt;=table!$E$11,#REF!&lt;=table!$F$11),1,0))</f>
        <v>#REF!</v>
      </c>
      <c r="W1882" s="5" t="e">
        <f>CONCATENATE(dados[[#This Row],[fator1]],dados[[#This Row],[fator5]],dados[[#This Row],[fator6]])</f>
        <v>#REF!</v>
      </c>
    </row>
    <row r="1883" spans="1:23">
      <c r="A1883" t="s">
        <v>16</v>
      </c>
      <c r="B1883">
        <v>486352</v>
      </c>
      <c r="C1883">
        <v>0.1</v>
      </c>
      <c r="D1883">
        <v>35</v>
      </c>
      <c r="E1883">
        <v>10</v>
      </c>
      <c r="F1883">
        <v>10</v>
      </c>
      <c r="G1883">
        <v>0</v>
      </c>
      <c r="H1883">
        <v>12</v>
      </c>
      <c r="I1883">
        <v>1129</v>
      </c>
      <c r="J1883">
        <v>0</v>
      </c>
      <c r="K1883">
        <v>8.5660000000000007</v>
      </c>
      <c r="L1883">
        <v>8.3085000000000004</v>
      </c>
      <c r="M1883">
        <v>7.2789999999999999</v>
      </c>
      <c r="N1883">
        <v>8.32</v>
      </c>
      <c r="O1883">
        <v>1660</v>
      </c>
      <c r="P1883">
        <v>504</v>
      </c>
      <c r="Q1883" s="5" t="e">
        <f>IF(AND(#REF!&gt;=table!$C$6,#REF!&lt;= table!$D$6),-1,IF(AND(#REF!&gt;=table!$E$6,#REF!&lt;=table!$F$6),1,0))</f>
        <v>#REF!</v>
      </c>
      <c r="R1883" s="5" t="e">
        <f>IF(AND(#REF!&gt;=table!$C$7,#REF!&lt;= table!$D$7),-1,IF(AND(#REF!&gt;=table!$E$7,#REF!&lt;=table!$F$7),1,0))</f>
        <v>#REF!</v>
      </c>
      <c r="S1883" s="5" t="e">
        <f>IF(AND(#REF!&gt;=table!$C$8,#REF!&lt;= table!$D$8),-1,IF(AND(#REF!&gt;=table!$E$8,#REF!&lt;=table!$F$8),1,0))</f>
        <v>#REF!</v>
      </c>
      <c r="T1883" s="5"/>
      <c r="U1883" s="5" t="e">
        <f>IF(AND(#REF!&gt;=table!$C$10,#REF!&lt;= table!$D$10),-1,IF(AND(#REF!&gt;=table!$E$10,#REF!&lt;=table!$F$10),1,0))</f>
        <v>#REF!</v>
      </c>
      <c r="V1883" s="5" t="e">
        <f>IF(AND(#REF!&gt;=table!$C$11,#REF!&lt;= table!$D$11),-1,IF(AND(#REF!&gt;=table!$E$11,#REF!&lt;=table!$F$11),1,0))</f>
        <v>#REF!</v>
      </c>
      <c r="W1883" s="5" t="e">
        <f>CONCATENATE(dados[[#This Row],[fator1]],dados[[#This Row],[fator5]],dados[[#This Row],[fator6]])</f>
        <v>#REF!</v>
      </c>
    </row>
    <row r="1884" spans="1:23">
      <c r="A1884" t="s">
        <v>16</v>
      </c>
      <c r="B1884">
        <v>486353</v>
      </c>
      <c r="C1884">
        <v>0.1</v>
      </c>
      <c r="D1884">
        <v>35</v>
      </c>
      <c r="E1884">
        <v>10</v>
      </c>
      <c r="F1884">
        <v>10</v>
      </c>
      <c r="G1884">
        <v>0</v>
      </c>
      <c r="H1884">
        <v>12</v>
      </c>
      <c r="I1884">
        <v>560</v>
      </c>
      <c r="J1884">
        <v>0</v>
      </c>
      <c r="K1884">
        <v>2.9470000000000001</v>
      </c>
      <c r="L1884">
        <v>7.8935000000000004</v>
      </c>
      <c r="M1884">
        <v>6.5670000000000002</v>
      </c>
      <c r="N1884">
        <v>10.945</v>
      </c>
      <c r="O1884">
        <v>1677</v>
      </c>
      <c r="P1884">
        <v>1211</v>
      </c>
      <c r="Q1884" s="5" t="e">
        <f>IF(AND(#REF!&gt;=table!$C$6,#REF!&lt;= table!$D$6),-1,IF(AND(#REF!&gt;=table!$E$6,#REF!&lt;=table!$F$6),1,0))</f>
        <v>#REF!</v>
      </c>
      <c r="R1884" s="5" t="e">
        <f>IF(AND(#REF!&gt;=table!$C$7,#REF!&lt;= table!$D$7),-1,IF(AND(#REF!&gt;=table!$E$7,#REF!&lt;=table!$F$7),1,0))</f>
        <v>#REF!</v>
      </c>
      <c r="S1884" s="5" t="e">
        <f>IF(AND(#REF!&gt;=table!$C$8,#REF!&lt;= table!$D$8),-1,IF(AND(#REF!&gt;=table!$E$8,#REF!&lt;=table!$F$8),1,0))</f>
        <v>#REF!</v>
      </c>
      <c r="T1884" s="5"/>
      <c r="U1884" s="5" t="e">
        <f>IF(AND(#REF!&gt;=table!$C$10,#REF!&lt;= table!$D$10),-1,IF(AND(#REF!&gt;=table!$E$10,#REF!&lt;=table!$F$10),1,0))</f>
        <v>#REF!</v>
      </c>
      <c r="V1884" s="5" t="e">
        <f>IF(AND(#REF!&gt;=table!$C$11,#REF!&lt;= table!$D$11),-1,IF(AND(#REF!&gt;=table!$E$11,#REF!&lt;=table!$F$11),1,0))</f>
        <v>#REF!</v>
      </c>
      <c r="W1884" s="5" t="e">
        <f>CONCATENATE(dados[[#This Row],[fator1]],dados[[#This Row],[fator5]],dados[[#This Row],[fator6]])</f>
        <v>#REF!</v>
      </c>
    </row>
    <row r="1885" spans="1:23">
      <c r="A1885" t="s">
        <v>16</v>
      </c>
      <c r="B1885">
        <v>486355</v>
      </c>
      <c r="C1885">
        <v>8</v>
      </c>
      <c r="D1885">
        <v>30</v>
      </c>
      <c r="E1885">
        <v>86</v>
      </c>
      <c r="F1885">
        <v>9</v>
      </c>
      <c r="G1885">
        <v>0</v>
      </c>
      <c r="H1885">
        <v>25</v>
      </c>
      <c r="I1885">
        <v>572</v>
      </c>
      <c r="J1885">
        <v>0</v>
      </c>
      <c r="K1885">
        <v>6.931</v>
      </c>
      <c r="L1885">
        <v>10.7445</v>
      </c>
      <c r="M1885">
        <v>81.112499999999997</v>
      </c>
      <c r="N1885">
        <v>14.25</v>
      </c>
      <c r="O1885">
        <v>1669</v>
      </c>
      <c r="P1885">
        <v>453</v>
      </c>
      <c r="Q1885" s="5" t="e">
        <f>IF(AND(#REF!&gt;=table!$C$6,#REF!&lt;= table!$D$6),-1,IF(AND(#REF!&gt;=table!$E$6,#REF!&lt;=table!$F$6),1,0))</f>
        <v>#REF!</v>
      </c>
      <c r="R1885" s="5" t="e">
        <f>IF(AND(#REF!&gt;=table!$C$7,#REF!&lt;= table!$D$7),-1,IF(AND(#REF!&gt;=table!$E$7,#REF!&lt;=table!$F$7),1,0))</f>
        <v>#REF!</v>
      </c>
      <c r="S1885" s="5" t="e">
        <f>IF(AND(#REF!&gt;=table!$C$8,#REF!&lt;= table!$D$8),-1,IF(AND(#REF!&gt;=table!$E$8,#REF!&lt;=table!$F$8),1,0))</f>
        <v>#REF!</v>
      </c>
      <c r="T1885" s="5"/>
      <c r="U1885" s="5" t="e">
        <f>IF(AND(#REF!&gt;=table!$C$10,#REF!&lt;= table!$D$10),-1,IF(AND(#REF!&gt;=table!$E$10,#REF!&lt;=table!$F$10),1,0))</f>
        <v>#REF!</v>
      </c>
      <c r="V1885" s="5" t="e">
        <f>IF(AND(#REF!&gt;=table!$C$11,#REF!&lt;= table!$D$11),-1,IF(AND(#REF!&gt;=table!$E$11,#REF!&lt;=table!$F$11),1,0))</f>
        <v>#REF!</v>
      </c>
      <c r="W1885" s="5" t="e">
        <f>CONCATENATE(dados[[#This Row],[fator1]],dados[[#This Row],[fator5]],dados[[#This Row],[fator6]])</f>
        <v>#REF!</v>
      </c>
    </row>
    <row r="1886" spans="1:23">
      <c r="A1886" t="s">
        <v>16</v>
      </c>
      <c r="B1886">
        <v>486356</v>
      </c>
      <c r="C1886">
        <v>8</v>
      </c>
      <c r="D1886">
        <v>30</v>
      </c>
      <c r="E1886">
        <v>86</v>
      </c>
      <c r="F1886">
        <v>9</v>
      </c>
      <c r="G1886">
        <v>0</v>
      </c>
      <c r="H1886">
        <v>25</v>
      </c>
      <c r="I1886">
        <v>334</v>
      </c>
      <c r="J1886">
        <v>0</v>
      </c>
      <c r="K1886">
        <v>4.6690000000000005</v>
      </c>
      <c r="L1886">
        <v>8.4885000000000002</v>
      </c>
      <c r="M1886">
        <v>71.010500000000008</v>
      </c>
      <c r="N1886">
        <v>16.515000000000001</v>
      </c>
      <c r="O1886">
        <v>1668</v>
      </c>
      <c r="P1886">
        <v>942</v>
      </c>
      <c r="Q1886" s="5" t="e">
        <f>IF(AND(#REF!&gt;=table!$C$6,#REF!&lt;= table!$D$6),-1,IF(AND(#REF!&gt;=table!$E$6,#REF!&lt;=table!$F$6),1,0))</f>
        <v>#REF!</v>
      </c>
      <c r="R1886" s="5" t="e">
        <f>IF(AND(#REF!&gt;=table!$C$7,#REF!&lt;= table!$D$7),-1,IF(AND(#REF!&gt;=table!$E$7,#REF!&lt;=table!$F$7),1,0))</f>
        <v>#REF!</v>
      </c>
      <c r="S1886" s="5" t="e">
        <f>IF(AND(#REF!&gt;=table!$C$8,#REF!&lt;= table!$D$8),-1,IF(AND(#REF!&gt;=table!$E$8,#REF!&lt;=table!$F$8),1,0))</f>
        <v>#REF!</v>
      </c>
      <c r="T1886" s="5"/>
      <c r="U1886" s="5" t="e">
        <f>IF(AND(#REF!&gt;=table!$C$10,#REF!&lt;= table!$D$10),-1,IF(AND(#REF!&gt;=table!$E$10,#REF!&lt;=table!$F$10),1,0))</f>
        <v>#REF!</v>
      </c>
      <c r="V1886" s="5" t="e">
        <f>IF(AND(#REF!&gt;=table!$C$11,#REF!&lt;= table!$D$11),-1,IF(AND(#REF!&gt;=table!$E$11,#REF!&lt;=table!$F$11),1,0))</f>
        <v>#REF!</v>
      </c>
      <c r="W1886" s="5" t="e">
        <f>CONCATENATE(dados[[#This Row],[fator1]],dados[[#This Row],[fator5]],dados[[#This Row],[fator6]])</f>
        <v>#REF!</v>
      </c>
    </row>
    <row r="1887" spans="1:23">
      <c r="A1887" t="s">
        <v>16</v>
      </c>
      <c r="B1887">
        <v>486357</v>
      </c>
      <c r="C1887">
        <v>8</v>
      </c>
      <c r="D1887">
        <v>30</v>
      </c>
      <c r="E1887">
        <v>86</v>
      </c>
      <c r="F1887">
        <v>9</v>
      </c>
      <c r="G1887">
        <v>0</v>
      </c>
      <c r="H1887">
        <v>25</v>
      </c>
      <c r="I1887">
        <v>21</v>
      </c>
      <c r="J1887">
        <v>0</v>
      </c>
      <c r="K1887">
        <v>3.9175</v>
      </c>
      <c r="L1887">
        <v>5.9580000000000002</v>
      </c>
      <c r="M1887">
        <v>87.209000000000003</v>
      </c>
      <c r="N1887">
        <v>13.18</v>
      </c>
      <c r="O1887">
        <v>1661</v>
      </c>
      <c r="P1887">
        <v>0</v>
      </c>
      <c r="Q1887" s="5" t="e">
        <f>IF(AND(#REF!&gt;=table!$C$6,#REF!&lt;= table!$D$6),-1,IF(AND(#REF!&gt;=table!$E$6,#REF!&lt;=table!$F$6),1,0))</f>
        <v>#REF!</v>
      </c>
      <c r="R1887" s="5" t="e">
        <f>IF(AND(#REF!&gt;=table!$C$7,#REF!&lt;= table!$D$7),-1,IF(AND(#REF!&gt;=table!$E$7,#REF!&lt;=table!$F$7),1,0))</f>
        <v>#REF!</v>
      </c>
      <c r="S1887" s="5" t="e">
        <f>IF(AND(#REF!&gt;=table!$C$8,#REF!&lt;= table!$D$8),-1,IF(AND(#REF!&gt;=table!$E$8,#REF!&lt;=table!$F$8),1,0))</f>
        <v>#REF!</v>
      </c>
      <c r="T1887" s="5"/>
      <c r="U1887" s="5" t="e">
        <f>IF(AND(#REF!&gt;=table!$C$10,#REF!&lt;= table!$D$10),-1,IF(AND(#REF!&gt;=table!$E$10,#REF!&lt;=table!$F$10),1,0))</f>
        <v>#REF!</v>
      </c>
      <c r="V1887" s="5" t="e">
        <f>IF(AND(#REF!&gt;=table!$C$11,#REF!&lt;= table!$D$11),-1,IF(AND(#REF!&gt;=table!$E$11,#REF!&lt;=table!$F$11),1,0))</f>
        <v>#REF!</v>
      </c>
      <c r="W1887" s="5" t="e">
        <f>CONCATENATE(dados[[#This Row],[fator1]],dados[[#This Row],[fator5]],dados[[#This Row],[fator6]])</f>
        <v>#REF!</v>
      </c>
    </row>
    <row r="1888" spans="1:23">
      <c r="A1888" t="s">
        <v>16</v>
      </c>
      <c r="B1888">
        <v>486358</v>
      </c>
      <c r="C1888">
        <v>10</v>
      </c>
      <c r="D1888">
        <v>40</v>
      </c>
      <c r="E1888">
        <v>96</v>
      </c>
      <c r="F1888">
        <v>8</v>
      </c>
      <c r="G1888">
        <v>0</v>
      </c>
      <c r="H1888">
        <v>25</v>
      </c>
      <c r="I1888">
        <v>198</v>
      </c>
      <c r="J1888">
        <v>0</v>
      </c>
      <c r="K1888">
        <v>5.3254999999999999</v>
      </c>
      <c r="L1888">
        <v>9.6050000000000004</v>
      </c>
      <c r="M1888">
        <v>90.606000000000009</v>
      </c>
      <c r="N1888">
        <v>15.44</v>
      </c>
      <c r="O1888">
        <v>1664</v>
      </c>
      <c r="P1888">
        <v>0</v>
      </c>
      <c r="Q1888" s="5" t="e">
        <f>IF(AND(#REF!&gt;=table!$C$6,#REF!&lt;= table!$D$6),-1,IF(AND(#REF!&gt;=table!$E$6,#REF!&lt;=table!$F$6),1,0))</f>
        <v>#REF!</v>
      </c>
      <c r="R1888" s="5" t="e">
        <f>IF(AND(#REF!&gt;=table!$C$7,#REF!&lt;= table!$D$7),-1,IF(AND(#REF!&gt;=table!$E$7,#REF!&lt;=table!$F$7),1,0))</f>
        <v>#REF!</v>
      </c>
      <c r="S1888" s="5" t="e">
        <f>IF(AND(#REF!&gt;=table!$C$8,#REF!&lt;= table!$D$8),-1,IF(AND(#REF!&gt;=table!$E$8,#REF!&lt;=table!$F$8),1,0))</f>
        <v>#REF!</v>
      </c>
      <c r="T1888" s="5"/>
      <c r="U1888" s="5" t="e">
        <f>IF(AND(#REF!&gt;=table!$C$10,#REF!&lt;= table!$D$10),-1,IF(AND(#REF!&gt;=table!$E$10,#REF!&lt;=table!$F$10),1,0))</f>
        <v>#REF!</v>
      </c>
      <c r="V1888" s="5" t="e">
        <f>IF(AND(#REF!&gt;=table!$C$11,#REF!&lt;= table!$D$11),-1,IF(AND(#REF!&gt;=table!$E$11,#REF!&lt;=table!$F$11),1,0))</f>
        <v>#REF!</v>
      </c>
      <c r="W1888" s="5" t="e">
        <f>CONCATENATE(dados[[#This Row],[fator1]],dados[[#This Row],[fator5]],dados[[#This Row],[fator6]])</f>
        <v>#REF!</v>
      </c>
    </row>
    <row r="1889" spans="1:23">
      <c r="A1889" t="s">
        <v>17</v>
      </c>
      <c r="B1889">
        <v>486360</v>
      </c>
      <c r="C1889">
        <v>9</v>
      </c>
      <c r="D1889">
        <v>25</v>
      </c>
      <c r="E1889">
        <v>130</v>
      </c>
      <c r="F1889">
        <v>3</v>
      </c>
      <c r="G1889">
        <v>20</v>
      </c>
      <c r="H1889">
        <v>21</v>
      </c>
      <c r="I1889">
        <v>657</v>
      </c>
      <c r="J1889">
        <v>30</v>
      </c>
      <c r="K1889">
        <v>8.7249999999999996</v>
      </c>
      <c r="L1889">
        <v>13.958</v>
      </c>
      <c r="M1889">
        <v>118.8065</v>
      </c>
      <c r="N1889">
        <v>16.59</v>
      </c>
      <c r="O1889">
        <v>1667</v>
      </c>
      <c r="P1889">
        <v>354</v>
      </c>
      <c r="Q1889" s="5" t="e">
        <f>IF(AND(#REF!&gt;=table!$C$6,#REF!&lt;= table!$D$6),-1,IF(AND(#REF!&gt;=table!$E$6,#REF!&lt;=table!$F$6),1,0))</f>
        <v>#REF!</v>
      </c>
      <c r="R1889" s="5" t="e">
        <f>IF(AND(#REF!&gt;=table!$C$7,#REF!&lt;= table!$D$7),-1,IF(AND(#REF!&gt;=table!$E$7,#REF!&lt;=table!$F$7),1,0))</f>
        <v>#REF!</v>
      </c>
      <c r="S1889" s="5" t="e">
        <f>IF(AND(#REF!&gt;=table!$C$8,#REF!&lt;= table!$D$8),-1,IF(AND(#REF!&gt;=table!$E$8,#REF!&lt;=table!$F$8),1,0))</f>
        <v>#REF!</v>
      </c>
      <c r="T1889" s="5"/>
      <c r="U1889" s="5" t="e">
        <f>IF(AND(#REF!&gt;=table!$C$10,#REF!&lt;= table!$D$10),-1,IF(AND(#REF!&gt;=table!$E$10,#REF!&lt;=table!$F$10),1,0))</f>
        <v>#REF!</v>
      </c>
      <c r="V1889" s="5" t="e">
        <f>IF(AND(#REF!&gt;=table!$C$11,#REF!&lt;= table!$D$11),-1,IF(AND(#REF!&gt;=table!$E$11,#REF!&lt;=table!$F$11),1,0))</f>
        <v>#REF!</v>
      </c>
      <c r="W1889" s="5" t="e">
        <f>CONCATENATE(dados[[#This Row],[fator1]],dados[[#This Row],[fator5]],dados[[#This Row],[fator6]])</f>
        <v>#REF!</v>
      </c>
    </row>
    <row r="1890" spans="1:23">
      <c r="A1890" t="s">
        <v>16</v>
      </c>
      <c r="B1890">
        <v>486361</v>
      </c>
      <c r="C1890">
        <v>4</v>
      </c>
      <c r="D1890">
        <v>40</v>
      </c>
      <c r="E1890">
        <v>21</v>
      </c>
      <c r="F1890">
        <v>10</v>
      </c>
      <c r="G1890">
        <v>0</v>
      </c>
      <c r="H1890">
        <v>25</v>
      </c>
      <c r="I1890">
        <v>936</v>
      </c>
      <c r="J1890">
        <v>0</v>
      </c>
      <c r="K1890">
        <v>4.4824999999999999</v>
      </c>
      <c r="L1890">
        <v>10.528500000000001</v>
      </c>
      <c r="M1890">
        <v>10.589500000000001</v>
      </c>
      <c r="N1890">
        <v>10.33</v>
      </c>
      <c r="O1890">
        <v>1637</v>
      </c>
      <c r="P1890">
        <v>0</v>
      </c>
      <c r="Q1890" s="5" t="e">
        <f>IF(AND(#REF!&gt;=table!$C$6,#REF!&lt;= table!$D$6),-1,IF(AND(#REF!&gt;=table!$E$6,#REF!&lt;=table!$F$6),1,0))</f>
        <v>#REF!</v>
      </c>
      <c r="R1890" s="5" t="e">
        <f>IF(AND(#REF!&gt;=table!$C$7,#REF!&lt;= table!$D$7),-1,IF(AND(#REF!&gt;=table!$E$7,#REF!&lt;=table!$F$7),1,0))</f>
        <v>#REF!</v>
      </c>
      <c r="S1890" s="5" t="e">
        <f>IF(AND(#REF!&gt;=table!$C$8,#REF!&lt;= table!$D$8),-1,IF(AND(#REF!&gt;=table!$E$8,#REF!&lt;=table!$F$8),1,0))</f>
        <v>#REF!</v>
      </c>
      <c r="T1890" s="5"/>
      <c r="U1890" s="5" t="e">
        <f>IF(AND(#REF!&gt;=table!$C$10,#REF!&lt;= table!$D$10),-1,IF(AND(#REF!&gt;=table!$E$10,#REF!&lt;=table!$F$10),1,0))</f>
        <v>#REF!</v>
      </c>
      <c r="V1890" s="5" t="e">
        <f>IF(AND(#REF!&gt;=table!$C$11,#REF!&lt;= table!$D$11),-1,IF(AND(#REF!&gt;=table!$E$11,#REF!&lt;=table!$F$11),1,0))</f>
        <v>#REF!</v>
      </c>
      <c r="W1890" s="5" t="e">
        <f>CONCATENATE(dados[[#This Row],[fator1]],dados[[#This Row],[fator5]],dados[[#This Row],[fator6]])</f>
        <v>#REF!</v>
      </c>
    </row>
    <row r="1891" spans="1:23">
      <c r="A1891" t="s">
        <v>16</v>
      </c>
      <c r="B1891">
        <v>486362</v>
      </c>
      <c r="C1891">
        <v>4</v>
      </c>
      <c r="D1891">
        <v>40</v>
      </c>
      <c r="E1891">
        <v>21</v>
      </c>
      <c r="F1891">
        <v>10</v>
      </c>
      <c r="G1891">
        <v>0</v>
      </c>
      <c r="H1891">
        <v>25</v>
      </c>
      <c r="I1891">
        <v>767</v>
      </c>
      <c r="J1891">
        <v>0</v>
      </c>
      <c r="K1891">
        <v>7.75</v>
      </c>
      <c r="L1891">
        <v>12.696</v>
      </c>
      <c r="M1891">
        <v>11.801</v>
      </c>
      <c r="N1891">
        <v>10.31</v>
      </c>
      <c r="O1891">
        <v>1669</v>
      </c>
      <c r="P1891">
        <v>427</v>
      </c>
      <c r="Q1891" s="5" t="e">
        <f>IF(AND(#REF!&gt;=table!$C$6,#REF!&lt;= table!$D$6),-1,IF(AND(#REF!&gt;=table!$E$6,#REF!&lt;=table!$F$6),1,0))</f>
        <v>#REF!</v>
      </c>
      <c r="R1891" s="5" t="e">
        <f>IF(AND(#REF!&gt;=table!$C$7,#REF!&lt;= table!$D$7),-1,IF(AND(#REF!&gt;=table!$E$7,#REF!&lt;=table!$F$7),1,0))</f>
        <v>#REF!</v>
      </c>
      <c r="S1891" s="5" t="e">
        <f>IF(AND(#REF!&gt;=table!$C$8,#REF!&lt;= table!$D$8),-1,IF(AND(#REF!&gt;=table!$E$8,#REF!&lt;=table!$F$8),1,0))</f>
        <v>#REF!</v>
      </c>
      <c r="T1891" s="5"/>
      <c r="U1891" s="5" t="e">
        <f>IF(AND(#REF!&gt;=table!$C$10,#REF!&lt;= table!$D$10),-1,IF(AND(#REF!&gt;=table!$E$10,#REF!&lt;=table!$F$10),1,0))</f>
        <v>#REF!</v>
      </c>
      <c r="V1891" s="5" t="e">
        <f>IF(AND(#REF!&gt;=table!$C$11,#REF!&lt;= table!$D$11),-1,IF(AND(#REF!&gt;=table!$E$11,#REF!&lt;=table!$F$11),1,0))</f>
        <v>#REF!</v>
      </c>
      <c r="W1891" s="5" t="e">
        <f>CONCATENATE(dados[[#This Row],[fator1]],dados[[#This Row],[fator5]],dados[[#This Row],[fator6]])</f>
        <v>#REF!</v>
      </c>
    </row>
    <row r="1892" spans="1:23">
      <c r="A1892" t="s">
        <v>16</v>
      </c>
      <c r="B1892">
        <v>486364</v>
      </c>
      <c r="C1892">
        <v>12</v>
      </c>
      <c r="D1892">
        <v>35</v>
      </c>
      <c r="E1892">
        <v>86</v>
      </c>
      <c r="F1892">
        <v>10</v>
      </c>
      <c r="G1892">
        <v>0</v>
      </c>
      <c r="H1892">
        <v>25</v>
      </c>
      <c r="I1892">
        <v>295</v>
      </c>
      <c r="J1892">
        <v>0</v>
      </c>
      <c r="K1892">
        <v>7.9080000000000004</v>
      </c>
      <c r="L1892">
        <v>12.478</v>
      </c>
      <c r="M1892">
        <v>79.491</v>
      </c>
      <c r="N1892">
        <v>14.370000000000001</v>
      </c>
      <c r="O1892">
        <v>1669</v>
      </c>
      <c r="P1892">
        <v>0</v>
      </c>
      <c r="Q1892" s="5" t="e">
        <f>IF(AND(#REF!&gt;=table!$C$6,#REF!&lt;= table!$D$6),-1,IF(AND(#REF!&gt;=table!$E$6,#REF!&lt;=table!$F$6),1,0))</f>
        <v>#REF!</v>
      </c>
      <c r="R1892" s="5" t="e">
        <f>IF(AND(#REF!&gt;=table!$C$7,#REF!&lt;= table!$D$7),-1,IF(AND(#REF!&gt;=table!$E$7,#REF!&lt;=table!$F$7),1,0))</f>
        <v>#REF!</v>
      </c>
      <c r="S1892" s="5" t="e">
        <f>IF(AND(#REF!&gt;=table!$C$8,#REF!&lt;= table!$D$8),-1,IF(AND(#REF!&gt;=table!$E$8,#REF!&lt;=table!$F$8),1,0))</f>
        <v>#REF!</v>
      </c>
      <c r="T1892" s="5"/>
      <c r="U1892" s="5" t="e">
        <f>IF(AND(#REF!&gt;=table!$C$10,#REF!&lt;= table!$D$10),-1,IF(AND(#REF!&gt;=table!$E$10,#REF!&lt;=table!$F$10),1,0))</f>
        <v>#REF!</v>
      </c>
      <c r="V1892" s="5" t="e">
        <f>IF(AND(#REF!&gt;=table!$C$11,#REF!&lt;= table!$D$11),-1,IF(AND(#REF!&gt;=table!$E$11,#REF!&lt;=table!$F$11),1,0))</f>
        <v>#REF!</v>
      </c>
      <c r="W1892" s="5" t="e">
        <f>CONCATENATE(dados[[#This Row],[fator1]],dados[[#This Row],[fator5]],dados[[#This Row],[fator6]])</f>
        <v>#REF!</v>
      </c>
    </row>
    <row r="1893" spans="1:23">
      <c r="A1893" t="s">
        <v>16</v>
      </c>
      <c r="B1893">
        <v>486370</v>
      </c>
      <c r="C1893">
        <v>12</v>
      </c>
      <c r="D1893">
        <v>35</v>
      </c>
      <c r="E1893">
        <v>86</v>
      </c>
      <c r="F1893">
        <v>10</v>
      </c>
      <c r="G1893">
        <v>0</v>
      </c>
      <c r="H1893">
        <v>25</v>
      </c>
      <c r="I1893">
        <v>500</v>
      </c>
      <c r="J1893">
        <v>0</v>
      </c>
      <c r="K1893">
        <v>11.057</v>
      </c>
      <c r="L1893">
        <v>12.4145</v>
      </c>
      <c r="M1893">
        <v>68.156500000000008</v>
      </c>
      <c r="N1893">
        <v>11.8</v>
      </c>
      <c r="O1893">
        <v>1610</v>
      </c>
      <c r="P1893">
        <v>243</v>
      </c>
      <c r="Q1893" s="5" t="e">
        <f>IF(AND(#REF!&gt;=table!$C$6,#REF!&lt;= table!$D$6),-1,IF(AND(#REF!&gt;=table!$E$6,#REF!&lt;=table!$F$6),1,0))</f>
        <v>#REF!</v>
      </c>
      <c r="R1893" s="5" t="e">
        <f>IF(AND(#REF!&gt;=table!$C$7,#REF!&lt;= table!$D$7),-1,IF(AND(#REF!&gt;=table!$E$7,#REF!&lt;=table!$F$7),1,0))</f>
        <v>#REF!</v>
      </c>
      <c r="S1893" s="5" t="e">
        <f>IF(AND(#REF!&gt;=table!$C$8,#REF!&lt;= table!$D$8),-1,IF(AND(#REF!&gt;=table!$E$8,#REF!&lt;=table!$F$8),1,0))</f>
        <v>#REF!</v>
      </c>
      <c r="T1893" s="5"/>
      <c r="U1893" s="5" t="e">
        <f>IF(AND(#REF!&gt;=table!$C$10,#REF!&lt;= table!$D$10),-1,IF(AND(#REF!&gt;=table!$E$10,#REF!&lt;=table!$F$10),1,0))</f>
        <v>#REF!</v>
      </c>
      <c r="V1893" s="5" t="e">
        <f>IF(AND(#REF!&gt;=table!$C$11,#REF!&lt;= table!$D$11),-1,IF(AND(#REF!&gt;=table!$E$11,#REF!&lt;=table!$F$11),1,0))</f>
        <v>#REF!</v>
      </c>
      <c r="W1893" s="5" t="e">
        <f>CONCATENATE(dados[[#This Row],[fator1]],dados[[#This Row],[fator5]],dados[[#This Row],[fator6]])</f>
        <v>#REF!</v>
      </c>
    </row>
    <row r="1894" spans="1:23">
      <c r="A1894" t="s">
        <v>16</v>
      </c>
      <c r="B1894">
        <v>486372</v>
      </c>
      <c r="C1894">
        <v>13</v>
      </c>
      <c r="D1894">
        <v>35</v>
      </c>
      <c r="E1894">
        <v>120</v>
      </c>
      <c r="F1894">
        <v>10</v>
      </c>
      <c r="G1894">
        <v>0</v>
      </c>
      <c r="H1894">
        <v>25</v>
      </c>
      <c r="I1894">
        <v>134</v>
      </c>
      <c r="J1894">
        <v>0</v>
      </c>
      <c r="K1894">
        <v>10.509500000000001</v>
      </c>
      <c r="L1894">
        <v>16.66</v>
      </c>
      <c r="M1894">
        <v>117.8335</v>
      </c>
      <c r="N1894">
        <v>20.75</v>
      </c>
      <c r="O1894">
        <v>1654</v>
      </c>
      <c r="P1894">
        <v>289</v>
      </c>
      <c r="Q1894" s="5" t="e">
        <f>IF(AND(#REF!&gt;=table!$C$6,#REF!&lt;= table!$D$6),-1,IF(AND(#REF!&gt;=table!$E$6,#REF!&lt;=table!$F$6),1,0))</f>
        <v>#REF!</v>
      </c>
      <c r="R1894" s="5" t="e">
        <f>IF(AND(#REF!&gt;=table!$C$7,#REF!&lt;= table!$D$7),-1,IF(AND(#REF!&gt;=table!$E$7,#REF!&lt;=table!$F$7),1,0))</f>
        <v>#REF!</v>
      </c>
      <c r="S1894" s="5" t="e">
        <f>IF(AND(#REF!&gt;=table!$C$8,#REF!&lt;= table!$D$8),-1,IF(AND(#REF!&gt;=table!$E$8,#REF!&lt;=table!$F$8),1,0))</f>
        <v>#REF!</v>
      </c>
      <c r="T1894" s="5"/>
      <c r="U1894" s="5" t="e">
        <f>IF(AND(#REF!&gt;=table!$C$10,#REF!&lt;= table!$D$10),-1,IF(AND(#REF!&gt;=table!$E$10,#REF!&lt;=table!$F$10),1,0))</f>
        <v>#REF!</v>
      </c>
      <c r="V1894" s="5" t="e">
        <f>IF(AND(#REF!&gt;=table!$C$11,#REF!&lt;= table!$D$11),-1,IF(AND(#REF!&gt;=table!$E$11,#REF!&lt;=table!$F$11),1,0))</f>
        <v>#REF!</v>
      </c>
      <c r="W1894" s="5" t="e">
        <f>CONCATENATE(dados[[#This Row],[fator1]],dados[[#This Row],[fator5]],dados[[#This Row],[fator6]])</f>
        <v>#REF!</v>
      </c>
    </row>
    <row r="1895" spans="1:23">
      <c r="A1895" t="s">
        <v>16</v>
      </c>
      <c r="B1895">
        <v>486386</v>
      </c>
      <c r="C1895">
        <v>11</v>
      </c>
      <c r="D1895">
        <v>40</v>
      </c>
      <c r="E1895">
        <v>151</v>
      </c>
      <c r="F1895">
        <v>8</v>
      </c>
      <c r="G1895">
        <v>0</v>
      </c>
      <c r="H1895">
        <v>25</v>
      </c>
      <c r="I1895">
        <v>936</v>
      </c>
      <c r="J1895">
        <v>0</v>
      </c>
      <c r="K1895">
        <v>10.6805</v>
      </c>
      <c r="L1895">
        <v>17.595500000000001</v>
      </c>
      <c r="M1895">
        <v>122.23650000000001</v>
      </c>
      <c r="N1895">
        <v>16.655000000000001</v>
      </c>
      <c r="O1895">
        <v>1674</v>
      </c>
      <c r="P1895">
        <v>366</v>
      </c>
      <c r="Q1895" s="5" t="e">
        <f>IF(AND(#REF!&gt;=table!$C$6,#REF!&lt;= table!$D$6),-1,IF(AND(#REF!&gt;=table!$E$6,#REF!&lt;=table!$F$6),1,0))</f>
        <v>#REF!</v>
      </c>
      <c r="R1895" s="5" t="e">
        <f>IF(AND(#REF!&gt;=table!$C$7,#REF!&lt;= table!$D$7),-1,IF(AND(#REF!&gt;=table!$E$7,#REF!&lt;=table!$F$7),1,0))</f>
        <v>#REF!</v>
      </c>
      <c r="S1895" s="5" t="e">
        <f>IF(AND(#REF!&gt;=table!$C$8,#REF!&lt;= table!$D$8),-1,IF(AND(#REF!&gt;=table!$E$8,#REF!&lt;=table!$F$8),1,0))</f>
        <v>#REF!</v>
      </c>
      <c r="T1895" s="5"/>
      <c r="U1895" s="5" t="e">
        <f>IF(AND(#REF!&gt;=table!$C$10,#REF!&lt;= table!$D$10),-1,IF(AND(#REF!&gt;=table!$E$10,#REF!&lt;=table!$F$10),1,0))</f>
        <v>#REF!</v>
      </c>
      <c r="V1895" s="5" t="e">
        <f>IF(AND(#REF!&gt;=table!$C$11,#REF!&lt;= table!$D$11),-1,IF(AND(#REF!&gt;=table!$E$11,#REF!&lt;=table!$F$11),1,0))</f>
        <v>#REF!</v>
      </c>
      <c r="W1895" s="5" t="e">
        <f>CONCATENATE(dados[[#This Row],[fator1]],dados[[#This Row],[fator5]],dados[[#This Row],[fator6]])</f>
        <v>#REF!</v>
      </c>
    </row>
    <row r="1896" spans="1:23">
      <c r="A1896" t="s">
        <v>16</v>
      </c>
      <c r="B1896">
        <v>486387</v>
      </c>
      <c r="C1896">
        <v>11</v>
      </c>
      <c r="D1896">
        <v>40</v>
      </c>
      <c r="E1896">
        <v>151</v>
      </c>
      <c r="F1896">
        <v>8</v>
      </c>
      <c r="G1896">
        <v>0</v>
      </c>
      <c r="H1896">
        <v>25</v>
      </c>
      <c r="I1896">
        <v>3</v>
      </c>
      <c r="J1896">
        <v>0</v>
      </c>
      <c r="K1896">
        <v>7.399</v>
      </c>
      <c r="L1896">
        <v>20.358000000000001</v>
      </c>
      <c r="M1896">
        <v>122.17200000000001</v>
      </c>
      <c r="N1896">
        <v>17.73</v>
      </c>
      <c r="O1896">
        <v>1665</v>
      </c>
      <c r="P1896">
        <v>398</v>
      </c>
      <c r="Q1896" s="5" t="e">
        <f>IF(AND(#REF!&gt;=table!$C$6,#REF!&lt;= table!$D$6),-1,IF(AND(#REF!&gt;=table!$E$6,#REF!&lt;=table!$F$6),1,0))</f>
        <v>#REF!</v>
      </c>
      <c r="R1896" s="5" t="e">
        <f>IF(AND(#REF!&gt;=table!$C$7,#REF!&lt;= table!$D$7),-1,IF(AND(#REF!&gt;=table!$E$7,#REF!&lt;=table!$F$7),1,0))</f>
        <v>#REF!</v>
      </c>
      <c r="S1896" s="5" t="e">
        <f>IF(AND(#REF!&gt;=table!$C$8,#REF!&lt;= table!$D$8),-1,IF(AND(#REF!&gt;=table!$E$8,#REF!&lt;=table!$F$8),1,0))</f>
        <v>#REF!</v>
      </c>
      <c r="T1896" s="5"/>
      <c r="U1896" s="5" t="e">
        <f>IF(AND(#REF!&gt;=table!$C$10,#REF!&lt;= table!$D$10),-1,IF(AND(#REF!&gt;=table!$E$10,#REF!&lt;=table!$F$10),1,0))</f>
        <v>#REF!</v>
      </c>
      <c r="V1896" s="5" t="e">
        <f>IF(AND(#REF!&gt;=table!$C$11,#REF!&lt;= table!$D$11),-1,IF(AND(#REF!&gt;=table!$E$11,#REF!&lt;=table!$F$11),1,0))</f>
        <v>#REF!</v>
      </c>
      <c r="W1896" s="5" t="e">
        <f>CONCATENATE(dados[[#This Row],[fator1]],dados[[#This Row],[fator5]],dados[[#This Row],[fator6]])</f>
        <v>#REF!</v>
      </c>
    </row>
    <row r="1897" spans="1:23">
      <c r="A1897" t="s">
        <v>16</v>
      </c>
      <c r="B1897">
        <v>486392</v>
      </c>
      <c r="C1897">
        <v>0.15</v>
      </c>
      <c r="D1897">
        <v>40</v>
      </c>
      <c r="E1897">
        <v>10</v>
      </c>
      <c r="F1897">
        <v>15</v>
      </c>
      <c r="G1897">
        <v>0</v>
      </c>
      <c r="H1897">
        <v>15</v>
      </c>
      <c r="I1897">
        <v>1171</v>
      </c>
      <c r="J1897">
        <v>0</v>
      </c>
      <c r="K1897">
        <v>3.6040000000000001</v>
      </c>
      <c r="L1897">
        <v>8.83</v>
      </c>
      <c r="M1897">
        <v>8.0990000000000002</v>
      </c>
      <c r="N1897">
        <v>9.1050000000000004</v>
      </c>
      <c r="O1897">
        <v>1659</v>
      </c>
      <c r="P1897">
        <v>0</v>
      </c>
      <c r="Q1897" s="5" t="e">
        <f>IF(AND(#REF!&gt;=table!$C$6,#REF!&lt;= table!$D$6),-1,IF(AND(#REF!&gt;=table!$E$6,#REF!&lt;=table!$F$6),1,0))</f>
        <v>#REF!</v>
      </c>
      <c r="R1897" s="5" t="e">
        <f>IF(AND(#REF!&gt;=table!$C$7,#REF!&lt;= table!$D$7),-1,IF(AND(#REF!&gt;=table!$E$7,#REF!&lt;=table!$F$7),1,0))</f>
        <v>#REF!</v>
      </c>
      <c r="S1897" s="5" t="e">
        <f>IF(AND(#REF!&gt;=table!$C$8,#REF!&lt;= table!$D$8),-1,IF(AND(#REF!&gt;=table!$E$8,#REF!&lt;=table!$F$8),1,0))</f>
        <v>#REF!</v>
      </c>
      <c r="T1897" s="5"/>
      <c r="U1897" s="5" t="e">
        <f>IF(AND(#REF!&gt;=table!$C$10,#REF!&lt;= table!$D$10),-1,IF(AND(#REF!&gt;=table!$E$10,#REF!&lt;=table!$F$10),1,0))</f>
        <v>#REF!</v>
      </c>
      <c r="V1897" s="5" t="e">
        <f>IF(AND(#REF!&gt;=table!$C$11,#REF!&lt;= table!$D$11),-1,IF(AND(#REF!&gt;=table!$E$11,#REF!&lt;=table!$F$11),1,0))</f>
        <v>#REF!</v>
      </c>
      <c r="W1897" s="5" t="e">
        <f>CONCATENATE(dados[[#This Row],[fator1]],dados[[#This Row],[fator5]],dados[[#This Row],[fator6]])</f>
        <v>#REF!</v>
      </c>
    </row>
    <row r="1898" spans="1:23">
      <c r="A1898" t="s">
        <v>16</v>
      </c>
      <c r="B1898">
        <v>486394</v>
      </c>
      <c r="C1898">
        <v>0.15</v>
      </c>
      <c r="D1898">
        <v>40</v>
      </c>
      <c r="E1898">
        <v>10</v>
      </c>
      <c r="F1898">
        <v>15</v>
      </c>
      <c r="G1898">
        <v>0</v>
      </c>
      <c r="H1898">
        <v>15</v>
      </c>
      <c r="I1898">
        <v>572</v>
      </c>
      <c r="J1898">
        <v>0</v>
      </c>
      <c r="K1898">
        <v>5.7315000000000005</v>
      </c>
      <c r="L1898">
        <v>18.968</v>
      </c>
      <c r="M1898">
        <v>15.159000000000001</v>
      </c>
      <c r="N1898">
        <v>14.86</v>
      </c>
      <c r="O1898">
        <v>1687</v>
      </c>
      <c r="P1898">
        <v>0</v>
      </c>
      <c r="Q1898" s="5" t="e">
        <f>IF(AND(#REF!&gt;=table!$C$6,#REF!&lt;= table!$D$6),-1,IF(AND(#REF!&gt;=table!$E$6,#REF!&lt;=table!$F$6),1,0))</f>
        <v>#REF!</v>
      </c>
      <c r="R1898" s="5" t="e">
        <f>IF(AND(#REF!&gt;=table!$C$7,#REF!&lt;= table!$D$7),-1,IF(AND(#REF!&gt;=table!$E$7,#REF!&lt;=table!$F$7),1,0))</f>
        <v>#REF!</v>
      </c>
      <c r="S1898" s="5" t="e">
        <f>IF(AND(#REF!&gt;=table!$C$8,#REF!&lt;= table!$D$8),-1,IF(AND(#REF!&gt;=table!$E$8,#REF!&lt;=table!$F$8),1,0))</f>
        <v>#REF!</v>
      </c>
      <c r="T1898" s="5"/>
      <c r="U1898" s="5" t="e">
        <f>IF(AND(#REF!&gt;=table!$C$10,#REF!&lt;= table!$D$10),-1,IF(AND(#REF!&gt;=table!$E$10,#REF!&lt;=table!$F$10),1,0))</f>
        <v>#REF!</v>
      </c>
      <c r="V1898" s="5" t="e">
        <f>IF(AND(#REF!&gt;=table!$C$11,#REF!&lt;= table!$D$11),-1,IF(AND(#REF!&gt;=table!$E$11,#REF!&lt;=table!$F$11),1,0))</f>
        <v>#REF!</v>
      </c>
      <c r="W1898" s="5" t="e">
        <f>CONCATENATE(dados[[#This Row],[fator1]],dados[[#This Row],[fator5]],dados[[#This Row],[fator6]])</f>
        <v>#REF!</v>
      </c>
    </row>
    <row r="1899" spans="1:23">
      <c r="A1899" t="s">
        <v>16</v>
      </c>
      <c r="B1899">
        <v>486398</v>
      </c>
      <c r="C1899">
        <v>0.15</v>
      </c>
      <c r="D1899">
        <v>40</v>
      </c>
      <c r="E1899">
        <v>10</v>
      </c>
      <c r="F1899">
        <v>15</v>
      </c>
      <c r="G1899">
        <v>0</v>
      </c>
      <c r="H1899">
        <v>15</v>
      </c>
      <c r="I1899">
        <v>715</v>
      </c>
      <c r="J1899">
        <v>1040</v>
      </c>
      <c r="K1899">
        <v>5.05</v>
      </c>
      <c r="L1899">
        <v>13.4185</v>
      </c>
      <c r="M1899">
        <v>9.2720000000000002</v>
      </c>
      <c r="N1899">
        <v>9.92</v>
      </c>
      <c r="O1899">
        <v>1644</v>
      </c>
      <c r="P1899">
        <v>600</v>
      </c>
      <c r="Q1899" s="5" t="e">
        <f>IF(AND(#REF!&gt;=table!$C$6,#REF!&lt;= table!$D$6),-1,IF(AND(#REF!&gt;=table!$E$6,#REF!&lt;=table!$F$6),1,0))</f>
        <v>#REF!</v>
      </c>
      <c r="R1899" s="5" t="e">
        <f>IF(AND(#REF!&gt;=table!$C$7,#REF!&lt;= table!$D$7),-1,IF(AND(#REF!&gt;=table!$E$7,#REF!&lt;=table!$F$7),1,0))</f>
        <v>#REF!</v>
      </c>
      <c r="S1899" s="5" t="e">
        <f>IF(AND(#REF!&gt;=table!$C$8,#REF!&lt;= table!$D$8),-1,IF(AND(#REF!&gt;=table!$E$8,#REF!&lt;=table!$F$8),1,0))</f>
        <v>#REF!</v>
      </c>
      <c r="T1899" s="5"/>
      <c r="U1899" s="5" t="e">
        <f>IF(AND(#REF!&gt;=table!$C$10,#REF!&lt;= table!$D$10),-1,IF(AND(#REF!&gt;=table!$E$10,#REF!&lt;=table!$F$10),1,0))</f>
        <v>#REF!</v>
      </c>
      <c r="V1899" s="5" t="e">
        <f>IF(AND(#REF!&gt;=table!$C$11,#REF!&lt;= table!$D$11),-1,IF(AND(#REF!&gt;=table!$E$11,#REF!&lt;=table!$F$11),1,0))</f>
        <v>#REF!</v>
      </c>
      <c r="W1899" s="5" t="e">
        <f>CONCATENATE(dados[[#This Row],[fator1]],dados[[#This Row],[fator5]],dados[[#This Row],[fator6]])</f>
        <v>#REF!</v>
      </c>
    </row>
    <row r="1900" spans="1:23">
      <c r="A1900" t="s">
        <v>17</v>
      </c>
      <c r="B1900">
        <v>486402</v>
      </c>
      <c r="C1900">
        <v>9</v>
      </c>
      <c r="D1900">
        <v>25</v>
      </c>
      <c r="E1900">
        <v>130</v>
      </c>
      <c r="F1900">
        <v>3</v>
      </c>
      <c r="G1900">
        <v>20</v>
      </c>
      <c r="H1900">
        <v>21</v>
      </c>
      <c r="I1900">
        <v>375</v>
      </c>
      <c r="J1900">
        <v>0</v>
      </c>
      <c r="K1900">
        <v>8.9444999999999997</v>
      </c>
      <c r="L1900">
        <v>21.664000000000001</v>
      </c>
      <c r="M1900">
        <v>110.93050000000001</v>
      </c>
      <c r="N1900">
        <v>12.27</v>
      </c>
      <c r="O1900">
        <v>1674</v>
      </c>
      <c r="P1900">
        <v>0</v>
      </c>
      <c r="Q1900" s="5" t="e">
        <f>IF(AND(#REF!&gt;=table!$C$6,#REF!&lt;= table!$D$6),-1,IF(AND(#REF!&gt;=table!$E$6,#REF!&lt;=table!$F$6),1,0))</f>
        <v>#REF!</v>
      </c>
      <c r="R1900" s="5" t="e">
        <f>IF(AND(#REF!&gt;=table!$C$7,#REF!&lt;= table!$D$7),-1,IF(AND(#REF!&gt;=table!$E$7,#REF!&lt;=table!$F$7),1,0))</f>
        <v>#REF!</v>
      </c>
      <c r="S1900" s="5" t="e">
        <f>IF(AND(#REF!&gt;=table!$C$8,#REF!&lt;= table!$D$8),-1,IF(AND(#REF!&gt;=table!$E$8,#REF!&lt;=table!$F$8),1,0))</f>
        <v>#REF!</v>
      </c>
      <c r="T1900" s="5"/>
      <c r="U1900" s="5" t="e">
        <f>IF(AND(#REF!&gt;=table!$C$10,#REF!&lt;= table!$D$10),-1,IF(AND(#REF!&gt;=table!$E$10,#REF!&lt;=table!$F$10),1,0))</f>
        <v>#REF!</v>
      </c>
      <c r="V1900" s="5" t="e">
        <f>IF(AND(#REF!&gt;=table!$C$11,#REF!&lt;= table!$D$11),-1,IF(AND(#REF!&gt;=table!$E$11,#REF!&lt;=table!$F$11),1,0))</f>
        <v>#REF!</v>
      </c>
      <c r="W1900" s="5" t="e">
        <f>CONCATENATE(dados[[#This Row],[fator1]],dados[[#This Row],[fator5]],dados[[#This Row],[fator6]])</f>
        <v>#REF!</v>
      </c>
    </row>
    <row r="1901" spans="1:23">
      <c r="A1901" t="s">
        <v>16</v>
      </c>
      <c r="B1901">
        <v>486403</v>
      </c>
      <c r="C1901">
        <v>0.15</v>
      </c>
      <c r="D1901">
        <v>40</v>
      </c>
      <c r="E1901">
        <v>64</v>
      </c>
      <c r="F1901">
        <v>10</v>
      </c>
      <c r="G1901">
        <v>0</v>
      </c>
      <c r="H1901">
        <v>35</v>
      </c>
      <c r="I1901">
        <v>1130</v>
      </c>
      <c r="J1901">
        <v>0</v>
      </c>
      <c r="K1901">
        <v>4.8384999999999998</v>
      </c>
      <c r="L1901">
        <v>11.8825</v>
      </c>
      <c r="M1901">
        <v>10.795500000000001</v>
      </c>
      <c r="N1901">
        <v>11.21</v>
      </c>
      <c r="O1901">
        <v>1668</v>
      </c>
      <c r="P1901">
        <v>0</v>
      </c>
      <c r="Q1901" s="5" t="e">
        <f>IF(AND(#REF!&gt;=table!$C$6,#REF!&lt;= table!$D$6),-1,IF(AND(#REF!&gt;=table!$E$6,#REF!&lt;=table!$F$6),1,0))</f>
        <v>#REF!</v>
      </c>
      <c r="R1901" s="5" t="e">
        <f>IF(AND(#REF!&gt;=table!$C$7,#REF!&lt;= table!$D$7),-1,IF(AND(#REF!&gt;=table!$E$7,#REF!&lt;=table!$F$7),1,0))</f>
        <v>#REF!</v>
      </c>
      <c r="S1901" s="5" t="e">
        <f>IF(AND(#REF!&gt;=table!$C$8,#REF!&lt;= table!$D$8),-1,IF(AND(#REF!&gt;=table!$E$8,#REF!&lt;=table!$F$8),1,0))</f>
        <v>#REF!</v>
      </c>
      <c r="T1901" s="5"/>
      <c r="U1901" s="5" t="e">
        <f>IF(AND(#REF!&gt;=table!$C$10,#REF!&lt;= table!$D$10),-1,IF(AND(#REF!&gt;=table!$E$10,#REF!&lt;=table!$F$10),1,0))</f>
        <v>#REF!</v>
      </c>
      <c r="V1901" s="5" t="e">
        <f>IF(AND(#REF!&gt;=table!$C$11,#REF!&lt;= table!$D$11),-1,IF(AND(#REF!&gt;=table!$E$11,#REF!&lt;=table!$F$11),1,0))</f>
        <v>#REF!</v>
      </c>
      <c r="W1901" s="5" t="e">
        <f>CONCATENATE(dados[[#This Row],[fator1]],dados[[#This Row],[fator5]],dados[[#This Row],[fator6]])</f>
        <v>#REF!</v>
      </c>
    </row>
    <row r="1902" spans="1:23">
      <c r="A1902" t="s">
        <v>17</v>
      </c>
      <c r="B1902">
        <v>486408</v>
      </c>
      <c r="C1902">
        <v>9</v>
      </c>
      <c r="D1902">
        <v>25</v>
      </c>
      <c r="E1902">
        <v>130</v>
      </c>
      <c r="F1902">
        <v>3</v>
      </c>
      <c r="G1902">
        <v>20</v>
      </c>
      <c r="H1902">
        <v>21</v>
      </c>
      <c r="I1902">
        <v>742</v>
      </c>
      <c r="J1902">
        <v>0</v>
      </c>
      <c r="K1902">
        <v>4.5514999999999999</v>
      </c>
      <c r="L1902">
        <v>14.999000000000001</v>
      </c>
      <c r="M1902">
        <v>118.46850000000001</v>
      </c>
      <c r="N1902">
        <v>12.645000000000001</v>
      </c>
      <c r="O1902">
        <v>1665</v>
      </c>
      <c r="P1902">
        <v>744</v>
      </c>
      <c r="Q1902" s="5" t="e">
        <f>IF(AND(#REF!&gt;=table!$C$6,#REF!&lt;= table!$D$6),-1,IF(AND(#REF!&gt;=table!$E$6,#REF!&lt;=table!$F$6),1,0))</f>
        <v>#REF!</v>
      </c>
      <c r="R1902" s="5" t="e">
        <f>IF(AND(#REF!&gt;=table!$C$7,#REF!&lt;= table!$D$7),-1,IF(AND(#REF!&gt;=table!$E$7,#REF!&lt;=table!$F$7),1,0))</f>
        <v>#REF!</v>
      </c>
      <c r="S1902" s="5" t="e">
        <f>IF(AND(#REF!&gt;=table!$C$8,#REF!&lt;= table!$D$8),-1,IF(AND(#REF!&gt;=table!$E$8,#REF!&lt;=table!$F$8),1,0))</f>
        <v>#REF!</v>
      </c>
      <c r="T1902" s="5"/>
      <c r="U1902" s="5" t="e">
        <f>IF(AND(#REF!&gt;=table!$C$10,#REF!&lt;= table!$D$10),-1,IF(AND(#REF!&gt;=table!$E$10,#REF!&lt;=table!$F$10),1,0))</f>
        <v>#REF!</v>
      </c>
      <c r="V1902" s="5" t="e">
        <f>IF(AND(#REF!&gt;=table!$C$11,#REF!&lt;= table!$D$11),-1,IF(AND(#REF!&gt;=table!$E$11,#REF!&lt;=table!$F$11),1,0))</f>
        <v>#REF!</v>
      </c>
      <c r="W1902" s="5" t="e">
        <f>CONCATENATE(dados[[#This Row],[fator1]],dados[[#This Row],[fator5]],dados[[#This Row],[fator6]])</f>
        <v>#REF!</v>
      </c>
    </row>
    <row r="1903" spans="1:23">
      <c r="A1903" t="s">
        <v>16</v>
      </c>
      <c r="B1903">
        <v>486410</v>
      </c>
      <c r="C1903">
        <v>0.15</v>
      </c>
      <c r="D1903">
        <v>35</v>
      </c>
      <c r="E1903">
        <v>15</v>
      </c>
      <c r="F1903">
        <v>10</v>
      </c>
      <c r="G1903">
        <v>0</v>
      </c>
      <c r="H1903">
        <v>12</v>
      </c>
      <c r="I1903">
        <v>628</v>
      </c>
      <c r="J1903">
        <v>0</v>
      </c>
      <c r="K1903">
        <v>4.1710000000000003</v>
      </c>
      <c r="L1903">
        <v>8.5620000000000012</v>
      </c>
      <c r="M1903">
        <v>7.4435000000000002</v>
      </c>
      <c r="N1903">
        <v>11.8</v>
      </c>
      <c r="O1903">
        <v>1683</v>
      </c>
      <c r="P1903">
        <v>1714</v>
      </c>
      <c r="Q1903" s="5" t="e">
        <f>IF(AND(#REF!&gt;=table!$C$6,#REF!&lt;= table!$D$6),-1,IF(AND(#REF!&gt;=table!$E$6,#REF!&lt;=table!$F$6),1,0))</f>
        <v>#REF!</v>
      </c>
      <c r="R1903" s="5" t="e">
        <f>IF(AND(#REF!&gt;=table!$C$7,#REF!&lt;= table!$D$7),-1,IF(AND(#REF!&gt;=table!$E$7,#REF!&lt;=table!$F$7),1,0))</f>
        <v>#REF!</v>
      </c>
      <c r="S1903" s="5" t="e">
        <f>IF(AND(#REF!&gt;=table!$C$8,#REF!&lt;= table!$D$8),-1,IF(AND(#REF!&gt;=table!$E$8,#REF!&lt;=table!$F$8),1,0))</f>
        <v>#REF!</v>
      </c>
      <c r="T1903" s="5"/>
      <c r="U1903" s="5" t="e">
        <f>IF(AND(#REF!&gt;=table!$C$10,#REF!&lt;= table!$D$10),-1,IF(AND(#REF!&gt;=table!$E$10,#REF!&lt;=table!$F$10),1,0))</f>
        <v>#REF!</v>
      </c>
      <c r="V1903" s="5" t="e">
        <f>IF(AND(#REF!&gt;=table!$C$11,#REF!&lt;= table!$D$11),-1,IF(AND(#REF!&gt;=table!$E$11,#REF!&lt;=table!$F$11),1,0))</f>
        <v>#REF!</v>
      </c>
      <c r="W1903" s="5" t="e">
        <f>CONCATENATE(dados[[#This Row],[fator1]],dados[[#This Row],[fator5]],dados[[#This Row],[fator6]])</f>
        <v>#REF!</v>
      </c>
    </row>
    <row r="1904" spans="1:23">
      <c r="A1904" t="s">
        <v>16</v>
      </c>
      <c r="B1904">
        <v>486412</v>
      </c>
      <c r="C1904">
        <v>0.1</v>
      </c>
      <c r="D1904">
        <v>35</v>
      </c>
      <c r="E1904">
        <v>10</v>
      </c>
      <c r="F1904">
        <v>10</v>
      </c>
      <c r="G1904">
        <v>0</v>
      </c>
      <c r="H1904">
        <v>12</v>
      </c>
      <c r="I1904">
        <v>438</v>
      </c>
      <c r="J1904">
        <v>620</v>
      </c>
      <c r="K1904">
        <v>5.2570000000000006</v>
      </c>
      <c r="L1904">
        <v>9.5250000000000004</v>
      </c>
      <c r="M1904">
        <v>7.7670000000000003</v>
      </c>
      <c r="N1904">
        <v>5.3</v>
      </c>
      <c r="O1904">
        <v>1614</v>
      </c>
      <c r="P1904">
        <v>0</v>
      </c>
      <c r="Q1904" s="5" t="e">
        <f>IF(AND(#REF!&gt;=table!$C$6,#REF!&lt;= table!$D$6),-1,IF(AND(#REF!&gt;=table!$E$6,#REF!&lt;=table!$F$6),1,0))</f>
        <v>#REF!</v>
      </c>
      <c r="R1904" s="5" t="e">
        <f>IF(AND(#REF!&gt;=table!$C$7,#REF!&lt;= table!$D$7),-1,IF(AND(#REF!&gt;=table!$E$7,#REF!&lt;=table!$F$7),1,0))</f>
        <v>#REF!</v>
      </c>
      <c r="S1904" s="5" t="e">
        <f>IF(AND(#REF!&gt;=table!$C$8,#REF!&lt;= table!$D$8),-1,IF(AND(#REF!&gt;=table!$E$8,#REF!&lt;=table!$F$8),1,0))</f>
        <v>#REF!</v>
      </c>
      <c r="T1904" s="5"/>
      <c r="U1904" s="5" t="e">
        <f>IF(AND(#REF!&gt;=table!$C$10,#REF!&lt;= table!$D$10),-1,IF(AND(#REF!&gt;=table!$E$10,#REF!&lt;=table!$F$10),1,0))</f>
        <v>#REF!</v>
      </c>
      <c r="V1904" s="5" t="e">
        <f>IF(AND(#REF!&gt;=table!$C$11,#REF!&lt;= table!$D$11),-1,IF(AND(#REF!&gt;=table!$E$11,#REF!&lt;=table!$F$11),1,0))</f>
        <v>#REF!</v>
      </c>
      <c r="W1904" s="5" t="e">
        <f>CONCATENATE(dados[[#This Row],[fator1]],dados[[#This Row],[fator5]],dados[[#This Row],[fator6]])</f>
        <v>#REF!</v>
      </c>
    </row>
    <row r="1905" spans="1:23">
      <c r="A1905" t="s">
        <v>16</v>
      </c>
      <c r="B1905">
        <v>486413</v>
      </c>
      <c r="C1905">
        <v>0.1</v>
      </c>
      <c r="D1905">
        <v>35</v>
      </c>
      <c r="E1905">
        <v>10</v>
      </c>
      <c r="F1905">
        <v>10</v>
      </c>
      <c r="G1905">
        <v>0</v>
      </c>
      <c r="H1905">
        <v>12</v>
      </c>
      <c r="I1905">
        <v>1107</v>
      </c>
      <c r="J1905">
        <v>0</v>
      </c>
      <c r="K1905">
        <v>4.9815000000000005</v>
      </c>
      <c r="L1905">
        <v>9.3795000000000002</v>
      </c>
      <c r="M1905">
        <v>8.9109999999999996</v>
      </c>
      <c r="N1905">
        <v>10.86</v>
      </c>
      <c r="O1905">
        <v>1680</v>
      </c>
      <c r="P1905">
        <v>547</v>
      </c>
      <c r="Q1905" s="5" t="e">
        <f>IF(AND(#REF!&gt;=table!$C$6,#REF!&lt;= table!$D$6),-1,IF(AND(#REF!&gt;=table!$E$6,#REF!&lt;=table!$F$6),1,0))</f>
        <v>#REF!</v>
      </c>
      <c r="R1905" s="5" t="e">
        <f>IF(AND(#REF!&gt;=table!$C$7,#REF!&lt;= table!$D$7),-1,IF(AND(#REF!&gt;=table!$E$7,#REF!&lt;=table!$F$7),1,0))</f>
        <v>#REF!</v>
      </c>
      <c r="S1905" s="5" t="e">
        <f>IF(AND(#REF!&gt;=table!$C$8,#REF!&lt;= table!$D$8),-1,IF(AND(#REF!&gt;=table!$E$8,#REF!&lt;=table!$F$8),1,0))</f>
        <v>#REF!</v>
      </c>
      <c r="T1905" s="5"/>
      <c r="U1905" s="5" t="e">
        <f>IF(AND(#REF!&gt;=table!$C$10,#REF!&lt;= table!$D$10),-1,IF(AND(#REF!&gt;=table!$E$10,#REF!&lt;=table!$F$10),1,0))</f>
        <v>#REF!</v>
      </c>
      <c r="V1905" s="5" t="e">
        <f>IF(AND(#REF!&gt;=table!$C$11,#REF!&lt;= table!$D$11),-1,IF(AND(#REF!&gt;=table!$E$11,#REF!&lt;=table!$F$11),1,0))</f>
        <v>#REF!</v>
      </c>
      <c r="W1905" s="5" t="e">
        <f>CONCATENATE(dados[[#This Row],[fator1]],dados[[#This Row],[fator5]],dados[[#This Row],[fator6]])</f>
        <v>#REF!</v>
      </c>
    </row>
    <row r="1906" spans="1:23">
      <c r="A1906" t="s">
        <v>16</v>
      </c>
      <c r="B1906">
        <v>486415</v>
      </c>
      <c r="C1906">
        <v>0.15</v>
      </c>
      <c r="D1906">
        <v>35</v>
      </c>
      <c r="E1906">
        <v>15</v>
      </c>
      <c r="F1906">
        <v>10</v>
      </c>
      <c r="G1906">
        <v>0</v>
      </c>
      <c r="H1906">
        <v>12</v>
      </c>
      <c r="I1906">
        <v>470</v>
      </c>
      <c r="J1906">
        <v>1150</v>
      </c>
      <c r="K1906">
        <v>3.9390000000000001</v>
      </c>
      <c r="L1906">
        <v>15.606</v>
      </c>
      <c r="M1906">
        <v>7.7570000000000006</v>
      </c>
      <c r="N1906">
        <v>14.44</v>
      </c>
      <c r="O1906">
        <v>1686</v>
      </c>
      <c r="P1906">
        <v>934</v>
      </c>
      <c r="Q1906" s="5" t="e">
        <f>IF(AND(#REF!&gt;=table!$C$6,#REF!&lt;= table!$D$6),-1,IF(AND(#REF!&gt;=table!$E$6,#REF!&lt;=table!$F$6),1,0))</f>
        <v>#REF!</v>
      </c>
      <c r="R1906" s="5" t="e">
        <f>IF(AND(#REF!&gt;=table!$C$7,#REF!&lt;= table!$D$7),-1,IF(AND(#REF!&gt;=table!$E$7,#REF!&lt;=table!$F$7),1,0))</f>
        <v>#REF!</v>
      </c>
      <c r="S1906" s="5" t="e">
        <f>IF(AND(#REF!&gt;=table!$C$8,#REF!&lt;= table!$D$8),-1,IF(AND(#REF!&gt;=table!$E$8,#REF!&lt;=table!$F$8),1,0))</f>
        <v>#REF!</v>
      </c>
      <c r="T1906" s="5"/>
      <c r="U1906" s="5" t="e">
        <f>IF(AND(#REF!&gt;=table!$C$10,#REF!&lt;= table!$D$10),-1,IF(AND(#REF!&gt;=table!$E$10,#REF!&lt;=table!$F$10),1,0))</f>
        <v>#REF!</v>
      </c>
      <c r="V1906" s="5" t="e">
        <f>IF(AND(#REF!&gt;=table!$C$11,#REF!&lt;= table!$D$11),-1,IF(AND(#REF!&gt;=table!$E$11,#REF!&lt;=table!$F$11),1,0))</f>
        <v>#REF!</v>
      </c>
      <c r="W1906" s="5" t="e">
        <f>CONCATENATE(dados[[#This Row],[fator1]],dados[[#This Row],[fator5]],dados[[#This Row],[fator6]])</f>
        <v>#REF!</v>
      </c>
    </row>
    <row r="1907" spans="1:23">
      <c r="A1907" t="s">
        <v>17</v>
      </c>
      <c r="B1907">
        <v>486416</v>
      </c>
      <c r="C1907">
        <v>9</v>
      </c>
      <c r="D1907">
        <v>25</v>
      </c>
      <c r="E1907">
        <v>130</v>
      </c>
      <c r="F1907">
        <v>3</v>
      </c>
      <c r="G1907">
        <v>20</v>
      </c>
      <c r="H1907">
        <v>21</v>
      </c>
      <c r="I1907">
        <v>838</v>
      </c>
      <c r="J1907">
        <v>1120</v>
      </c>
      <c r="K1907">
        <v>3.1470000000000002</v>
      </c>
      <c r="L1907">
        <v>12.136000000000001</v>
      </c>
      <c r="M1907">
        <v>122.65700000000001</v>
      </c>
      <c r="N1907">
        <v>13.25</v>
      </c>
      <c r="O1907">
        <v>1720</v>
      </c>
      <c r="P1907">
        <v>0</v>
      </c>
      <c r="Q1907" s="5" t="e">
        <f>IF(AND(#REF!&gt;=table!$C$6,#REF!&lt;= table!$D$6),-1,IF(AND(#REF!&gt;=table!$E$6,#REF!&lt;=table!$F$6),1,0))</f>
        <v>#REF!</v>
      </c>
      <c r="R1907" s="5" t="e">
        <f>IF(AND(#REF!&gt;=table!$C$7,#REF!&lt;= table!$D$7),-1,IF(AND(#REF!&gt;=table!$E$7,#REF!&lt;=table!$F$7),1,0))</f>
        <v>#REF!</v>
      </c>
      <c r="S1907" s="5" t="e">
        <f>IF(AND(#REF!&gt;=table!$C$8,#REF!&lt;= table!$D$8),-1,IF(AND(#REF!&gt;=table!$E$8,#REF!&lt;=table!$F$8),1,0))</f>
        <v>#REF!</v>
      </c>
      <c r="T1907" s="5"/>
      <c r="U1907" s="5" t="e">
        <f>IF(AND(#REF!&gt;=table!$C$10,#REF!&lt;= table!$D$10),-1,IF(AND(#REF!&gt;=table!$E$10,#REF!&lt;=table!$F$10),1,0))</f>
        <v>#REF!</v>
      </c>
      <c r="V1907" s="5" t="e">
        <f>IF(AND(#REF!&gt;=table!$C$11,#REF!&lt;= table!$D$11),-1,IF(AND(#REF!&gt;=table!$E$11,#REF!&lt;=table!$F$11),1,0))</f>
        <v>#REF!</v>
      </c>
      <c r="W1907" s="5" t="e">
        <f>CONCATENATE(dados[[#This Row],[fator1]],dados[[#This Row],[fator5]],dados[[#This Row],[fator6]])</f>
        <v>#REF!</v>
      </c>
    </row>
    <row r="1908" spans="1:23">
      <c r="A1908" t="s">
        <v>17</v>
      </c>
      <c r="B1908">
        <v>486419</v>
      </c>
      <c r="C1908">
        <v>14</v>
      </c>
      <c r="D1908">
        <v>30</v>
      </c>
      <c r="E1908">
        <v>86</v>
      </c>
      <c r="F1908">
        <v>9</v>
      </c>
      <c r="G1908">
        <v>20</v>
      </c>
      <c r="H1908">
        <v>25</v>
      </c>
      <c r="I1908">
        <v>814</v>
      </c>
      <c r="J1908">
        <v>0</v>
      </c>
      <c r="K1908">
        <v>6.2490000000000006</v>
      </c>
      <c r="L1908">
        <v>18.807000000000002</v>
      </c>
      <c r="M1908">
        <v>81.332999999999998</v>
      </c>
      <c r="N1908">
        <v>19.38</v>
      </c>
      <c r="O1908">
        <v>1668</v>
      </c>
      <c r="P1908">
        <v>0</v>
      </c>
      <c r="Q1908" s="5" t="e">
        <f>IF(AND(#REF!&gt;=table!$C$6,#REF!&lt;= table!$D$6),-1,IF(AND(#REF!&gt;=table!$E$6,#REF!&lt;=table!$F$6),1,0))</f>
        <v>#REF!</v>
      </c>
      <c r="R1908" s="5" t="e">
        <f>IF(AND(#REF!&gt;=table!$C$7,#REF!&lt;= table!$D$7),-1,IF(AND(#REF!&gt;=table!$E$7,#REF!&lt;=table!$F$7),1,0))</f>
        <v>#REF!</v>
      </c>
      <c r="S1908" s="5" t="e">
        <f>IF(AND(#REF!&gt;=table!$C$8,#REF!&lt;= table!$D$8),-1,IF(AND(#REF!&gt;=table!$E$8,#REF!&lt;=table!$F$8),1,0))</f>
        <v>#REF!</v>
      </c>
      <c r="T1908" s="5"/>
      <c r="U1908" s="5" t="e">
        <f>IF(AND(#REF!&gt;=table!$C$10,#REF!&lt;= table!$D$10),-1,IF(AND(#REF!&gt;=table!$E$10,#REF!&lt;=table!$F$10),1,0))</f>
        <v>#REF!</v>
      </c>
      <c r="V1908" s="5" t="e">
        <f>IF(AND(#REF!&gt;=table!$C$11,#REF!&lt;= table!$D$11),-1,IF(AND(#REF!&gt;=table!$E$11,#REF!&lt;=table!$F$11),1,0))</f>
        <v>#REF!</v>
      </c>
      <c r="W1908" s="5" t="e">
        <f>CONCATENATE(dados[[#This Row],[fator1]],dados[[#This Row],[fator5]],dados[[#This Row],[fator6]])</f>
        <v>#REF!</v>
      </c>
    </row>
    <row r="1909" spans="1:23">
      <c r="A1909" t="s">
        <v>17</v>
      </c>
      <c r="B1909">
        <v>486420</v>
      </c>
      <c r="C1909">
        <v>14</v>
      </c>
      <c r="D1909">
        <v>30</v>
      </c>
      <c r="E1909">
        <v>86</v>
      </c>
      <c r="F1909">
        <v>9</v>
      </c>
      <c r="G1909">
        <v>20</v>
      </c>
      <c r="H1909">
        <v>25</v>
      </c>
      <c r="I1909">
        <v>73</v>
      </c>
      <c r="J1909">
        <v>0</v>
      </c>
      <c r="K1909">
        <v>5.8879999999999999</v>
      </c>
      <c r="L1909">
        <v>15.542000000000002</v>
      </c>
      <c r="M1909">
        <v>91.69</v>
      </c>
      <c r="N1909">
        <v>19.760000000000002</v>
      </c>
      <c r="O1909">
        <v>1674</v>
      </c>
      <c r="P1909">
        <v>0</v>
      </c>
      <c r="Q1909" s="5" t="e">
        <f>IF(AND(#REF!&gt;=table!$C$6,#REF!&lt;= table!$D$6),-1,IF(AND(#REF!&gt;=table!$E$6,#REF!&lt;=table!$F$6),1,0))</f>
        <v>#REF!</v>
      </c>
      <c r="R1909" s="5" t="e">
        <f>IF(AND(#REF!&gt;=table!$C$7,#REF!&lt;= table!$D$7),-1,IF(AND(#REF!&gt;=table!$E$7,#REF!&lt;=table!$F$7),1,0))</f>
        <v>#REF!</v>
      </c>
      <c r="S1909" s="5" t="e">
        <f>IF(AND(#REF!&gt;=table!$C$8,#REF!&lt;= table!$D$8),-1,IF(AND(#REF!&gt;=table!$E$8,#REF!&lt;=table!$F$8),1,0))</f>
        <v>#REF!</v>
      </c>
      <c r="T1909" s="5"/>
      <c r="U1909" s="5" t="e">
        <f>IF(AND(#REF!&gt;=table!$C$10,#REF!&lt;= table!$D$10),-1,IF(AND(#REF!&gt;=table!$E$10,#REF!&lt;=table!$F$10),1,0))</f>
        <v>#REF!</v>
      </c>
      <c r="V1909" s="5" t="e">
        <f>IF(AND(#REF!&gt;=table!$C$11,#REF!&lt;= table!$D$11),-1,IF(AND(#REF!&gt;=table!$E$11,#REF!&lt;=table!$F$11),1,0))</f>
        <v>#REF!</v>
      </c>
      <c r="W1909" s="5" t="e">
        <f>CONCATENATE(dados[[#This Row],[fator1]],dados[[#This Row],[fator5]],dados[[#This Row],[fator6]])</f>
        <v>#REF!</v>
      </c>
    </row>
    <row r="1910" spans="1:23">
      <c r="A1910" t="s">
        <v>17</v>
      </c>
      <c r="B1910">
        <v>486421</v>
      </c>
      <c r="C1910">
        <v>8</v>
      </c>
      <c r="D1910">
        <v>30</v>
      </c>
      <c r="E1910">
        <v>153</v>
      </c>
      <c r="F1910">
        <v>2</v>
      </c>
      <c r="G1910">
        <v>20</v>
      </c>
      <c r="H1910">
        <v>18</v>
      </c>
      <c r="I1910">
        <v>771</v>
      </c>
      <c r="J1910">
        <v>0</v>
      </c>
      <c r="K1910">
        <v>4.0545</v>
      </c>
      <c r="L1910">
        <v>7.6485000000000003</v>
      </c>
      <c r="M1910">
        <v>130.173</v>
      </c>
      <c r="N1910">
        <v>9.4850000000000012</v>
      </c>
      <c r="O1910">
        <v>1653</v>
      </c>
      <c r="P1910">
        <v>0</v>
      </c>
      <c r="Q1910" s="5" t="e">
        <f>IF(AND(#REF!&gt;=table!$C$6,#REF!&lt;= table!$D$6),-1,IF(AND(#REF!&gt;=table!$E$6,#REF!&lt;=table!$F$6),1,0))</f>
        <v>#REF!</v>
      </c>
      <c r="R1910" s="5" t="e">
        <f>IF(AND(#REF!&gt;=table!$C$7,#REF!&lt;= table!$D$7),-1,IF(AND(#REF!&gt;=table!$E$7,#REF!&lt;=table!$F$7),1,0))</f>
        <v>#REF!</v>
      </c>
      <c r="S1910" s="5" t="e">
        <f>IF(AND(#REF!&gt;=table!$C$8,#REF!&lt;= table!$D$8),-1,IF(AND(#REF!&gt;=table!$E$8,#REF!&lt;=table!$F$8),1,0))</f>
        <v>#REF!</v>
      </c>
      <c r="T1910" s="5"/>
      <c r="U1910" s="5" t="e">
        <f>IF(AND(#REF!&gt;=table!$C$10,#REF!&lt;= table!$D$10),-1,IF(AND(#REF!&gt;=table!$E$10,#REF!&lt;=table!$F$10),1,0))</f>
        <v>#REF!</v>
      </c>
      <c r="V1910" s="5" t="e">
        <f>IF(AND(#REF!&gt;=table!$C$11,#REF!&lt;= table!$D$11),-1,IF(AND(#REF!&gt;=table!$E$11,#REF!&lt;=table!$F$11),1,0))</f>
        <v>#REF!</v>
      </c>
      <c r="W1910" s="5" t="e">
        <f>CONCATENATE(dados[[#This Row],[fator1]],dados[[#This Row],[fator5]],dados[[#This Row],[fator6]])</f>
        <v>#REF!</v>
      </c>
    </row>
    <row r="1911" spans="1:23">
      <c r="A1911" t="s">
        <v>17</v>
      </c>
      <c r="B1911">
        <v>486422</v>
      </c>
      <c r="C1911">
        <v>8</v>
      </c>
      <c r="D1911">
        <v>30</v>
      </c>
      <c r="E1911">
        <v>153</v>
      </c>
      <c r="F1911">
        <v>2</v>
      </c>
      <c r="G1911">
        <v>20</v>
      </c>
      <c r="H1911">
        <v>18</v>
      </c>
      <c r="I1911">
        <v>3</v>
      </c>
      <c r="J1911">
        <v>0</v>
      </c>
      <c r="K1911">
        <v>4.4535</v>
      </c>
      <c r="L1911">
        <v>9.8369999999999997</v>
      </c>
      <c r="M1911">
        <v>145.10850000000002</v>
      </c>
      <c r="N1911">
        <v>12.925000000000001</v>
      </c>
      <c r="O1911">
        <v>1675</v>
      </c>
      <c r="P1911">
        <v>0</v>
      </c>
      <c r="Q1911" s="5" t="e">
        <f>IF(AND(#REF!&gt;=table!$C$6,#REF!&lt;= table!$D$6),-1,IF(AND(#REF!&gt;=table!$E$6,#REF!&lt;=table!$F$6),1,0))</f>
        <v>#REF!</v>
      </c>
      <c r="R1911" s="5" t="e">
        <f>IF(AND(#REF!&gt;=table!$C$7,#REF!&lt;= table!$D$7),-1,IF(AND(#REF!&gt;=table!$E$7,#REF!&lt;=table!$F$7),1,0))</f>
        <v>#REF!</v>
      </c>
      <c r="S1911" s="5" t="e">
        <f>IF(AND(#REF!&gt;=table!$C$8,#REF!&lt;= table!$D$8),-1,IF(AND(#REF!&gt;=table!$E$8,#REF!&lt;=table!$F$8),1,0))</f>
        <v>#REF!</v>
      </c>
      <c r="T1911" s="5"/>
      <c r="U1911" s="5" t="e">
        <f>IF(AND(#REF!&gt;=table!$C$10,#REF!&lt;= table!$D$10),-1,IF(AND(#REF!&gt;=table!$E$10,#REF!&lt;=table!$F$10),1,0))</f>
        <v>#REF!</v>
      </c>
      <c r="V1911" s="5" t="e">
        <f>IF(AND(#REF!&gt;=table!$C$11,#REF!&lt;= table!$D$11),-1,IF(AND(#REF!&gt;=table!$E$11,#REF!&lt;=table!$F$11),1,0))</f>
        <v>#REF!</v>
      </c>
      <c r="W1911" s="5" t="e">
        <f>CONCATENATE(dados[[#This Row],[fator1]],dados[[#This Row],[fator5]],dados[[#This Row],[fator6]])</f>
        <v>#REF!</v>
      </c>
    </row>
    <row r="1912" spans="1:23">
      <c r="A1912" t="s">
        <v>17</v>
      </c>
      <c r="B1912">
        <v>486423</v>
      </c>
      <c r="C1912">
        <v>14</v>
      </c>
      <c r="D1912">
        <v>30</v>
      </c>
      <c r="E1912">
        <v>86</v>
      </c>
      <c r="F1912">
        <v>9</v>
      </c>
      <c r="G1912">
        <v>20</v>
      </c>
      <c r="H1912">
        <v>25</v>
      </c>
      <c r="I1912">
        <v>831</v>
      </c>
      <c r="J1912">
        <v>0</v>
      </c>
      <c r="K1912">
        <v>8.4990000000000006</v>
      </c>
      <c r="L1912">
        <v>19.112000000000002</v>
      </c>
      <c r="M1912">
        <v>95.573999999999998</v>
      </c>
      <c r="N1912">
        <v>21.055</v>
      </c>
      <c r="O1912">
        <v>1666</v>
      </c>
      <c r="P1912">
        <v>586</v>
      </c>
      <c r="Q1912" s="5" t="e">
        <f>IF(AND(#REF!&gt;=table!$C$6,#REF!&lt;= table!$D$6),-1,IF(AND(#REF!&gt;=table!$E$6,#REF!&lt;=table!$F$6),1,0))</f>
        <v>#REF!</v>
      </c>
      <c r="R1912" s="5" t="e">
        <f>IF(AND(#REF!&gt;=table!$C$7,#REF!&lt;= table!$D$7),-1,IF(AND(#REF!&gt;=table!$E$7,#REF!&lt;=table!$F$7),1,0))</f>
        <v>#REF!</v>
      </c>
      <c r="S1912" s="5" t="e">
        <f>IF(AND(#REF!&gt;=table!$C$8,#REF!&lt;= table!$D$8),-1,IF(AND(#REF!&gt;=table!$E$8,#REF!&lt;=table!$F$8),1,0))</f>
        <v>#REF!</v>
      </c>
      <c r="T1912" s="5"/>
      <c r="U1912" s="5" t="e">
        <f>IF(AND(#REF!&gt;=table!$C$10,#REF!&lt;= table!$D$10),-1,IF(AND(#REF!&gt;=table!$E$10,#REF!&lt;=table!$F$10),1,0))</f>
        <v>#REF!</v>
      </c>
      <c r="V1912" s="5" t="e">
        <f>IF(AND(#REF!&gt;=table!$C$11,#REF!&lt;= table!$D$11),-1,IF(AND(#REF!&gt;=table!$E$11,#REF!&lt;=table!$F$11),1,0))</f>
        <v>#REF!</v>
      </c>
      <c r="W1912" s="5" t="e">
        <f>CONCATENATE(dados[[#This Row],[fator1]],dados[[#This Row],[fator5]],dados[[#This Row],[fator6]])</f>
        <v>#REF!</v>
      </c>
    </row>
    <row r="1913" spans="1:23">
      <c r="A1913" t="s">
        <v>17</v>
      </c>
      <c r="B1913">
        <v>486426</v>
      </c>
      <c r="C1913">
        <v>14</v>
      </c>
      <c r="D1913">
        <v>30</v>
      </c>
      <c r="E1913">
        <v>110</v>
      </c>
      <c r="F1913">
        <v>3</v>
      </c>
      <c r="G1913">
        <v>20</v>
      </c>
      <c r="H1913">
        <v>22</v>
      </c>
      <c r="I1913">
        <v>2</v>
      </c>
      <c r="J1913">
        <v>0</v>
      </c>
      <c r="K1913">
        <v>7.0435000000000008</v>
      </c>
      <c r="L1913">
        <v>15.021500000000001</v>
      </c>
      <c r="M1913">
        <v>105.84400000000001</v>
      </c>
      <c r="N1913">
        <v>13.06</v>
      </c>
      <c r="O1913">
        <v>1674</v>
      </c>
      <c r="P1913">
        <v>773</v>
      </c>
      <c r="Q1913" s="5" t="e">
        <f>IF(AND(#REF!&gt;=table!$C$6,#REF!&lt;= table!$D$6),-1,IF(AND(#REF!&gt;=table!$E$6,#REF!&lt;=table!$F$6),1,0))</f>
        <v>#REF!</v>
      </c>
      <c r="R1913" s="5" t="e">
        <f>IF(AND(#REF!&gt;=table!$C$7,#REF!&lt;= table!$D$7),-1,IF(AND(#REF!&gt;=table!$E$7,#REF!&lt;=table!$F$7),1,0))</f>
        <v>#REF!</v>
      </c>
      <c r="S1913" s="5" t="e">
        <f>IF(AND(#REF!&gt;=table!$C$8,#REF!&lt;= table!$D$8),-1,IF(AND(#REF!&gt;=table!$E$8,#REF!&lt;=table!$F$8),1,0))</f>
        <v>#REF!</v>
      </c>
      <c r="T1913" s="5"/>
      <c r="U1913" s="5" t="e">
        <f>IF(AND(#REF!&gt;=table!$C$10,#REF!&lt;= table!$D$10),-1,IF(AND(#REF!&gt;=table!$E$10,#REF!&lt;=table!$F$10),1,0))</f>
        <v>#REF!</v>
      </c>
      <c r="V1913" s="5" t="e">
        <f>IF(AND(#REF!&gt;=table!$C$11,#REF!&lt;= table!$D$11),-1,IF(AND(#REF!&gt;=table!$E$11,#REF!&lt;=table!$F$11),1,0))</f>
        <v>#REF!</v>
      </c>
      <c r="W1913" s="5" t="e">
        <f>CONCATENATE(dados[[#This Row],[fator1]],dados[[#This Row],[fator5]],dados[[#This Row],[fator6]])</f>
        <v>#REF!</v>
      </c>
    </row>
    <row r="1914" spans="1:23">
      <c r="A1914" t="s">
        <v>16</v>
      </c>
      <c r="B1914">
        <v>486427</v>
      </c>
      <c r="C1914">
        <v>0.15</v>
      </c>
      <c r="D1914">
        <v>35</v>
      </c>
      <c r="E1914">
        <v>15</v>
      </c>
      <c r="F1914">
        <v>10</v>
      </c>
      <c r="G1914">
        <v>0</v>
      </c>
      <c r="H1914">
        <v>12</v>
      </c>
      <c r="I1914">
        <v>867</v>
      </c>
      <c r="J1914">
        <v>600</v>
      </c>
      <c r="K1914">
        <v>3.67</v>
      </c>
      <c r="L1914">
        <v>7.6750000000000007</v>
      </c>
      <c r="M1914">
        <v>5.6000000000000005</v>
      </c>
      <c r="N1914">
        <v>9.875</v>
      </c>
      <c r="O1914">
        <v>1636</v>
      </c>
      <c r="P1914">
        <v>0</v>
      </c>
      <c r="Q1914" s="5" t="e">
        <f>IF(AND(#REF!&gt;=table!$C$6,#REF!&lt;= table!$D$6),-1,IF(AND(#REF!&gt;=table!$E$6,#REF!&lt;=table!$F$6),1,0))</f>
        <v>#REF!</v>
      </c>
      <c r="R1914" s="5" t="e">
        <f>IF(AND(#REF!&gt;=table!$C$7,#REF!&lt;= table!$D$7),-1,IF(AND(#REF!&gt;=table!$E$7,#REF!&lt;=table!$F$7),1,0))</f>
        <v>#REF!</v>
      </c>
      <c r="S1914" s="5" t="e">
        <f>IF(AND(#REF!&gt;=table!$C$8,#REF!&lt;= table!$D$8),-1,IF(AND(#REF!&gt;=table!$E$8,#REF!&lt;=table!$F$8),1,0))</f>
        <v>#REF!</v>
      </c>
      <c r="T1914" s="5"/>
      <c r="U1914" s="5" t="e">
        <f>IF(AND(#REF!&gt;=table!$C$10,#REF!&lt;= table!$D$10),-1,IF(AND(#REF!&gt;=table!$E$10,#REF!&lt;=table!$F$10),1,0))</f>
        <v>#REF!</v>
      </c>
      <c r="V1914" s="5" t="e">
        <f>IF(AND(#REF!&gt;=table!$C$11,#REF!&lt;= table!$D$11),-1,IF(AND(#REF!&gt;=table!$E$11,#REF!&lt;=table!$F$11),1,0))</f>
        <v>#REF!</v>
      </c>
      <c r="W1914" s="5" t="e">
        <f>CONCATENATE(dados[[#This Row],[fator1]],dados[[#This Row],[fator5]],dados[[#This Row],[fator6]])</f>
        <v>#REF!</v>
      </c>
    </row>
    <row r="1915" spans="1:23">
      <c r="A1915" t="s">
        <v>16</v>
      </c>
      <c r="B1915">
        <v>486432</v>
      </c>
      <c r="C1915">
        <v>0.15</v>
      </c>
      <c r="D1915">
        <v>35</v>
      </c>
      <c r="E1915">
        <v>15</v>
      </c>
      <c r="F1915">
        <v>10</v>
      </c>
      <c r="G1915">
        <v>0</v>
      </c>
      <c r="H1915">
        <v>12</v>
      </c>
      <c r="I1915">
        <v>1527</v>
      </c>
      <c r="J1915">
        <v>0</v>
      </c>
      <c r="K1915">
        <v>4.1695000000000002</v>
      </c>
      <c r="L1915">
        <v>8.9329999999999998</v>
      </c>
      <c r="M1915">
        <v>13.588000000000001</v>
      </c>
      <c r="N1915">
        <v>11.365</v>
      </c>
      <c r="O1915">
        <v>1662</v>
      </c>
      <c r="P1915">
        <v>869</v>
      </c>
      <c r="Q1915" s="5" t="e">
        <f>IF(AND(#REF!&gt;=table!$C$6,#REF!&lt;= table!$D$6),-1,IF(AND(#REF!&gt;=table!$E$6,#REF!&lt;=table!$F$6),1,0))</f>
        <v>#REF!</v>
      </c>
      <c r="R1915" s="5" t="e">
        <f>IF(AND(#REF!&gt;=table!$C$7,#REF!&lt;= table!$D$7),-1,IF(AND(#REF!&gt;=table!$E$7,#REF!&lt;=table!$F$7),1,0))</f>
        <v>#REF!</v>
      </c>
      <c r="S1915" s="5" t="e">
        <f>IF(AND(#REF!&gt;=table!$C$8,#REF!&lt;= table!$D$8),-1,IF(AND(#REF!&gt;=table!$E$8,#REF!&lt;=table!$F$8),1,0))</f>
        <v>#REF!</v>
      </c>
      <c r="T1915" s="5"/>
      <c r="U1915" s="5" t="e">
        <f>IF(AND(#REF!&gt;=table!$C$10,#REF!&lt;= table!$D$10),-1,IF(AND(#REF!&gt;=table!$E$10,#REF!&lt;=table!$F$10),1,0))</f>
        <v>#REF!</v>
      </c>
      <c r="V1915" s="5" t="e">
        <f>IF(AND(#REF!&gt;=table!$C$11,#REF!&lt;= table!$D$11),-1,IF(AND(#REF!&gt;=table!$E$11,#REF!&lt;=table!$F$11),1,0))</f>
        <v>#REF!</v>
      </c>
      <c r="W1915" s="5" t="e">
        <f>CONCATENATE(dados[[#This Row],[fator1]],dados[[#This Row],[fator5]],dados[[#This Row],[fator6]])</f>
        <v>#REF!</v>
      </c>
    </row>
    <row r="1916" spans="1:23">
      <c r="A1916" t="s">
        <v>16</v>
      </c>
      <c r="B1916">
        <v>486433</v>
      </c>
      <c r="C1916">
        <v>0.15</v>
      </c>
      <c r="D1916">
        <v>35</v>
      </c>
      <c r="E1916">
        <v>15</v>
      </c>
      <c r="F1916">
        <v>10</v>
      </c>
      <c r="G1916">
        <v>0</v>
      </c>
      <c r="H1916">
        <v>12</v>
      </c>
      <c r="I1916">
        <v>948</v>
      </c>
      <c r="J1916">
        <v>0</v>
      </c>
      <c r="K1916">
        <v>4.1695000000000002</v>
      </c>
      <c r="L1916">
        <v>8.9329999999999998</v>
      </c>
      <c r="M1916">
        <v>9.58</v>
      </c>
      <c r="N1916">
        <v>9.5950000000000006</v>
      </c>
      <c r="O1916">
        <v>1686</v>
      </c>
      <c r="P1916">
        <v>1893</v>
      </c>
      <c r="Q1916" s="5" t="e">
        <f>IF(AND(#REF!&gt;=table!$C$6,#REF!&lt;= table!$D$6),-1,IF(AND(#REF!&gt;=table!$E$6,#REF!&lt;=table!$F$6),1,0))</f>
        <v>#REF!</v>
      </c>
      <c r="R1916" s="5" t="e">
        <f>IF(AND(#REF!&gt;=table!$C$7,#REF!&lt;= table!$D$7),-1,IF(AND(#REF!&gt;=table!$E$7,#REF!&lt;=table!$F$7),1,0))</f>
        <v>#REF!</v>
      </c>
      <c r="S1916" s="5" t="e">
        <f>IF(AND(#REF!&gt;=table!$C$8,#REF!&lt;= table!$D$8),-1,IF(AND(#REF!&gt;=table!$E$8,#REF!&lt;=table!$F$8),1,0))</f>
        <v>#REF!</v>
      </c>
      <c r="T1916" s="5"/>
      <c r="U1916" s="5" t="e">
        <f>IF(AND(#REF!&gt;=table!$C$10,#REF!&lt;= table!$D$10),-1,IF(AND(#REF!&gt;=table!$E$10,#REF!&lt;=table!$F$10),1,0))</f>
        <v>#REF!</v>
      </c>
      <c r="V1916" s="5" t="e">
        <f>IF(AND(#REF!&gt;=table!$C$11,#REF!&lt;= table!$D$11),-1,IF(AND(#REF!&gt;=table!$E$11,#REF!&lt;=table!$F$11),1,0))</f>
        <v>#REF!</v>
      </c>
      <c r="W1916" s="5" t="e">
        <f>CONCATENATE(dados[[#This Row],[fator1]],dados[[#This Row],[fator5]],dados[[#This Row],[fator6]])</f>
        <v>#REF!</v>
      </c>
    </row>
    <row r="1917" spans="1:23">
      <c r="A1917" t="s">
        <v>17</v>
      </c>
      <c r="B1917">
        <v>486435</v>
      </c>
      <c r="C1917">
        <v>16</v>
      </c>
      <c r="D1917">
        <v>30</v>
      </c>
      <c r="E1917">
        <v>106</v>
      </c>
      <c r="F1917">
        <v>9</v>
      </c>
      <c r="G1917">
        <v>20</v>
      </c>
      <c r="H1917">
        <v>25</v>
      </c>
      <c r="I1917">
        <v>0</v>
      </c>
      <c r="J1917">
        <v>0</v>
      </c>
      <c r="K1917">
        <v>4.8334999999999999</v>
      </c>
      <c r="L1917">
        <v>18.2315</v>
      </c>
      <c r="M1917">
        <v>90.913499999999999</v>
      </c>
      <c r="N1917">
        <v>20.625</v>
      </c>
      <c r="O1917">
        <v>1671</v>
      </c>
      <c r="P1917">
        <v>786</v>
      </c>
      <c r="Q1917" s="5" t="e">
        <f>IF(AND(#REF!&gt;=table!$C$6,#REF!&lt;= table!$D$6),-1,IF(AND(#REF!&gt;=table!$E$6,#REF!&lt;=table!$F$6),1,0))</f>
        <v>#REF!</v>
      </c>
      <c r="R1917" s="5" t="e">
        <f>IF(AND(#REF!&gt;=table!$C$7,#REF!&lt;= table!$D$7),-1,IF(AND(#REF!&gt;=table!$E$7,#REF!&lt;=table!$F$7),1,0))</f>
        <v>#REF!</v>
      </c>
      <c r="S1917" s="5" t="e">
        <f>IF(AND(#REF!&gt;=table!$C$8,#REF!&lt;= table!$D$8),-1,IF(AND(#REF!&gt;=table!$E$8,#REF!&lt;=table!$F$8),1,0))</f>
        <v>#REF!</v>
      </c>
      <c r="T1917" s="5"/>
      <c r="U1917" s="5" t="e">
        <f>IF(AND(#REF!&gt;=table!$C$10,#REF!&lt;= table!$D$10),-1,IF(AND(#REF!&gt;=table!$E$10,#REF!&lt;=table!$F$10),1,0))</f>
        <v>#REF!</v>
      </c>
      <c r="V1917" s="5" t="e">
        <f>IF(AND(#REF!&gt;=table!$C$11,#REF!&lt;= table!$D$11),-1,IF(AND(#REF!&gt;=table!$E$11,#REF!&lt;=table!$F$11),1,0))</f>
        <v>#REF!</v>
      </c>
      <c r="W1917" s="5" t="e">
        <f>CONCATENATE(dados[[#This Row],[fator1]],dados[[#This Row],[fator5]],dados[[#This Row],[fator6]])</f>
        <v>#REF!</v>
      </c>
    </row>
    <row r="1918" spans="1:23">
      <c r="A1918" t="s">
        <v>17</v>
      </c>
      <c r="B1918">
        <v>486436</v>
      </c>
      <c r="C1918">
        <v>16</v>
      </c>
      <c r="D1918">
        <v>30</v>
      </c>
      <c r="E1918">
        <v>106</v>
      </c>
      <c r="F1918">
        <v>4</v>
      </c>
      <c r="G1918">
        <v>20</v>
      </c>
      <c r="H1918">
        <v>25</v>
      </c>
      <c r="I1918">
        <v>1182</v>
      </c>
      <c r="J1918">
        <v>0</v>
      </c>
      <c r="K1918">
        <v>4.5315000000000003</v>
      </c>
      <c r="L1918">
        <v>14.002000000000001</v>
      </c>
      <c r="M1918">
        <v>91.453500000000005</v>
      </c>
      <c r="N1918">
        <v>16.445</v>
      </c>
      <c r="O1918">
        <v>1673</v>
      </c>
      <c r="P1918">
        <v>769</v>
      </c>
      <c r="Q1918" s="5" t="e">
        <f>IF(AND(#REF!&gt;=table!$C$6,#REF!&lt;= table!$D$6),-1,IF(AND(#REF!&gt;=table!$E$6,#REF!&lt;=table!$F$6),1,0))</f>
        <v>#REF!</v>
      </c>
      <c r="R1918" s="5" t="e">
        <f>IF(AND(#REF!&gt;=table!$C$7,#REF!&lt;= table!$D$7),-1,IF(AND(#REF!&gt;=table!$E$7,#REF!&lt;=table!$F$7),1,0))</f>
        <v>#REF!</v>
      </c>
      <c r="S1918" s="5" t="e">
        <f>IF(AND(#REF!&gt;=table!$C$8,#REF!&lt;= table!$D$8),-1,IF(AND(#REF!&gt;=table!$E$8,#REF!&lt;=table!$F$8),1,0))</f>
        <v>#REF!</v>
      </c>
      <c r="T1918" s="5"/>
      <c r="U1918" s="5" t="e">
        <f>IF(AND(#REF!&gt;=table!$C$10,#REF!&lt;= table!$D$10),-1,IF(AND(#REF!&gt;=table!$E$10,#REF!&lt;=table!$F$10),1,0))</f>
        <v>#REF!</v>
      </c>
      <c r="V1918" s="5" t="e">
        <f>IF(AND(#REF!&gt;=table!$C$11,#REF!&lt;= table!$D$11),-1,IF(AND(#REF!&gt;=table!$E$11,#REF!&lt;=table!$F$11),1,0))</f>
        <v>#REF!</v>
      </c>
      <c r="W1918" s="5" t="e">
        <f>CONCATENATE(dados[[#This Row],[fator1]],dados[[#This Row],[fator5]],dados[[#This Row],[fator6]])</f>
        <v>#REF!</v>
      </c>
    </row>
    <row r="1919" spans="1:23">
      <c r="A1919" t="s">
        <v>18</v>
      </c>
      <c r="B1919">
        <v>486439</v>
      </c>
      <c r="C1919">
        <v>3</v>
      </c>
      <c r="D1919">
        <v>5</v>
      </c>
      <c r="E1919">
        <v>26</v>
      </c>
      <c r="F1919">
        <v>15</v>
      </c>
      <c r="G1919">
        <v>42</v>
      </c>
      <c r="H1919">
        <v>30</v>
      </c>
      <c r="I1919">
        <v>5</v>
      </c>
      <c r="J1919">
        <v>0</v>
      </c>
      <c r="K1919">
        <v>2.3425000000000002</v>
      </c>
      <c r="L1919">
        <v>7.8565000000000005</v>
      </c>
      <c r="M1919">
        <v>21.037500000000001</v>
      </c>
      <c r="N1919">
        <v>15.655000000000001</v>
      </c>
      <c r="O1919">
        <v>1655</v>
      </c>
      <c r="P1919">
        <v>1024</v>
      </c>
      <c r="Q1919" s="5" t="e">
        <f>IF(AND(#REF!&gt;=table!$C$6,#REF!&lt;= table!$D$6),-1,IF(AND(#REF!&gt;=table!$E$6,#REF!&lt;=table!$F$6),1,0))</f>
        <v>#REF!</v>
      </c>
      <c r="R1919" s="5" t="e">
        <f>IF(AND(#REF!&gt;=table!$C$7,#REF!&lt;= table!$D$7),-1,IF(AND(#REF!&gt;=table!$E$7,#REF!&lt;=table!$F$7),1,0))</f>
        <v>#REF!</v>
      </c>
      <c r="S1919" s="5" t="e">
        <f>IF(AND(#REF!&gt;=table!$C$8,#REF!&lt;= table!$D$8),-1,IF(AND(#REF!&gt;=table!$E$8,#REF!&lt;=table!$F$8),1,0))</f>
        <v>#REF!</v>
      </c>
      <c r="T1919" s="5"/>
      <c r="U1919" s="5" t="e">
        <f>IF(AND(#REF!&gt;=table!$C$10,#REF!&lt;= table!$D$10),-1,IF(AND(#REF!&gt;=table!$E$10,#REF!&lt;=table!$F$10),1,0))</f>
        <v>#REF!</v>
      </c>
      <c r="V1919" s="5" t="e">
        <f>IF(AND(#REF!&gt;=table!$C$11,#REF!&lt;= table!$D$11),-1,IF(AND(#REF!&gt;=table!$E$11,#REF!&lt;=table!$F$11),1,0))</f>
        <v>#REF!</v>
      </c>
      <c r="W1919" s="5" t="e">
        <f>CONCATENATE(dados[[#This Row],[fator1]],dados[[#This Row],[fator5]],dados[[#This Row],[fator6]])</f>
        <v>#REF!</v>
      </c>
    </row>
    <row r="1920" spans="1:23">
      <c r="A1920" t="s">
        <v>18</v>
      </c>
      <c r="B1920">
        <v>486441</v>
      </c>
      <c r="C1920">
        <v>3</v>
      </c>
      <c r="D1920">
        <v>5</v>
      </c>
      <c r="E1920">
        <v>26</v>
      </c>
      <c r="F1920">
        <v>15</v>
      </c>
      <c r="G1920">
        <v>42</v>
      </c>
      <c r="H1920">
        <v>30</v>
      </c>
      <c r="I1920">
        <v>1077</v>
      </c>
      <c r="J1920">
        <v>0</v>
      </c>
      <c r="K1920">
        <v>2.8815</v>
      </c>
      <c r="L1920">
        <v>8.1690000000000005</v>
      </c>
      <c r="M1920">
        <v>22.087</v>
      </c>
      <c r="N1920">
        <v>14.655000000000001</v>
      </c>
      <c r="O1920">
        <v>1685</v>
      </c>
      <c r="P1920">
        <v>1386</v>
      </c>
      <c r="Q1920" s="5" t="e">
        <f>IF(AND(#REF!&gt;=table!$C$6,#REF!&lt;= table!$D$6),-1,IF(AND(#REF!&gt;=table!$E$6,#REF!&lt;=table!$F$6),1,0))</f>
        <v>#REF!</v>
      </c>
      <c r="R1920" s="5" t="e">
        <f>IF(AND(#REF!&gt;=table!$C$7,#REF!&lt;= table!$D$7),-1,IF(AND(#REF!&gt;=table!$E$7,#REF!&lt;=table!$F$7),1,0))</f>
        <v>#REF!</v>
      </c>
      <c r="S1920" s="5" t="e">
        <f>IF(AND(#REF!&gt;=table!$C$8,#REF!&lt;= table!$D$8),-1,IF(AND(#REF!&gt;=table!$E$8,#REF!&lt;=table!$F$8),1,0))</f>
        <v>#REF!</v>
      </c>
      <c r="T1920" s="5"/>
      <c r="U1920" s="5" t="e">
        <f>IF(AND(#REF!&gt;=table!$C$10,#REF!&lt;= table!$D$10),-1,IF(AND(#REF!&gt;=table!$E$10,#REF!&lt;=table!$F$10),1,0))</f>
        <v>#REF!</v>
      </c>
      <c r="V1920" s="5" t="e">
        <f>IF(AND(#REF!&gt;=table!$C$11,#REF!&lt;= table!$D$11),-1,IF(AND(#REF!&gt;=table!$E$11,#REF!&lt;=table!$F$11),1,0))</f>
        <v>#REF!</v>
      </c>
      <c r="W1920" s="5" t="e">
        <f>CONCATENATE(dados[[#This Row],[fator1]],dados[[#This Row],[fator5]],dados[[#This Row],[fator6]])</f>
        <v>#REF!</v>
      </c>
    </row>
    <row r="1921" spans="1:23">
      <c r="A1921" t="s">
        <v>17</v>
      </c>
      <c r="B1921">
        <v>486444</v>
      </c>
      <c r="C1921">
        <v>16</v>
      </c>
      <c r="D1921">
        <v>23</v>
      </c>
      <c r="E1921">
        <v>145</v>
      </c>
      <c r="F1921">
        <v>9</v>
      </c>
      <c r="G1921">
        <v>30</v>
      </c>
      <c r="H1921">
        <v>25</v>
      </c>
      <c r="I1921">
        <v>1312</v>
      </c>
      <c r="J1921">
        <v>0</v>
      </c>
      <c r="K1921">
        <v>10.714</v>
      </c>
      <c r="L1921">
        <v>15.852</v>
      </c>
      <c r="M1921">
        <v>134.5985</v>
      </c>
      <c r="N1921">
        <v>17.365000000000002</v>
      </c>
      <c r="O1921">
        <v>1663</v>
      </c>
      <c r="P1921">
        <v>358</v>
      </c>
      <c r="Q1921" s="5" t="e">
        <f>IF(AND(#REF!&gt;=table!$C$6,#REF!&lt;= table!$D$6),-1,IF(AND(#REF!&gt;=table!$E$6,#REF!&lt;=table!$F$6),1,0))</f>
        <v>#REF!</v>
      </c>
      <c r="R1921" s="5" t="e">
        <f>IF(AND(#REF!&gt;=table!$C$7,#REF!&lt;= table!$D$7),-1,IF(AND(#REF!&gt;=table!$E$7,#REF!&lt;=table!$F$7),1,0))</f>
        <v>#REF!</v>
      </c>
      <c r="S1921" s="5" t="e">
        <f>IF(AND(#REF!&gt;=table!$C$8,#REF!&lt;= table!$D$8),-1,IF(AND(#REF!&gt;=table!$E$8,#REF!&lt;=table!$F$8),1,0))</f>
        <v>#REF!</v>
      </c>
      <c r="T1921" s="5"/>
      <c r="U1921" s="5" t="e">
        <f>IF(AND(#REF!&gt;=table!$C$10,#REF!&lt;= table!$D$10),-1,IF(AND(#REF!&gt;=table!$E$10,#REF!&lt;=table!$F$10),1,0))</f>
        <v>#REF!</v>
      </c>
      <c r="V1921" s="5" t="e">
        <f>IF(AND(#REF!&gt;=table!$C$11,#REF!&lt;= table!$D$11),-1,IF(AND(#REF!&gt;=table!$E$11,#REF!&lt;=table!$F$11),1,0))</f>
        <v>#REF!</v>
      </c>
      <c r="W1921" s="5" t="e">
        <f>CONCATENATE(dados[[#This Row],[fator1]],dados[[#This Row],[fator5]],dados[[#This Row],[fator6]])</f>
        <v>#REF!</v>
      </c>
    </row>
    <row r="1922" spans="1:23">
      <c r="A1922" t="s">
        <v>17</v>
      </c>
      <c r="B1922">
        <v>486445</v>
      </c>
      <c r="C1922">
        <v>18</v>
      </c>
      <c r="D1922">
        <v>23</v>
      </c>
      <c r="E1922">
        <v>145</v>
      </c>
      <c r="F1922">
        <v>9</v>
      </c>
      <c r="G1922">
        <v>30</v>
      </c>
      <c r="H1922">
        <v>25</v>
      </c>
      <c r="I1922">
        <v>725</v>
      </c>
      <c r="J1922">
        <v>0</v>
      </c>
      <c r="K1922">
        <v>6.7</v>
      </c>
      <c r="L1922">
        <v>18.746000000000002</v>
      </c>
      <c r="M1922">
        <v>138.92000000000002</v>
      </c>
      <c r="N1922">
        <v>23.915000000000003</v>
      </c>
      <c r="O1922">
        <v>1662</v>
      </c>
      <c r="P1922">
        <v>472</v>
      </c>
      <c r="Q1922" s="5" t="e">
        <f>IF(AND(#REF!&gt;=table!$C$6,#REF!&lt;= table!$D$6),-1,IF(AND(#REF!&gt;=table!$E$6,#REF!&lt;=table!$F$6),1,0))</f>
        <v>#REF!</v>
      </c>
      <c r="R1922" s="5" t="e">
        <f>IF(AND(#REF!&gt;=table!$C$7,#REF!&lt;= table!$D$7),-1,IF(AND(#REF!&gt;=table!$E$7,#REF!&lt;=table!$F$7),1,0))</f>
        <v>#REF!</v>
      </c>
      <c r="S1922" s="5" t="e">
        <f>IF(AND(#REF!&gt;=table!$C$8,#REF!&lt;= table!$D$8),-1,IF(AND(#REF!&gt;=table!$E$8,#REF!&lt;=table!$F$8),1,0))</f>
        <v>#REF!</v>
      </c>
      <c r="T1922" s="5"/>
      <c r="U1922" s="5" t="e">
        <f>IF(AND(#REF!&gt;=table!$C$10,#REF!&lt;= table!$D$10),-1,IF(AND(#REF!&gt;=table!$E$10,#REF!&lt;=table!$F$10),1,0))</f>
        <v>#REF!</v>
      </c>
      <c r="V1922" s="5" t="e">
        <f>IF(AND(#REF!&gt;=table!$C$11,#REF!&lt;= table!$D$11),-1,IF(AND(#REF!&gt;=table!$E$11,#REF!&lt;=table!$F$11),1,0))</f>
        <v>#REF!</v>
      </c>
      <c r="W1922" s="5" t="e">
        <f>CONCATENATE(dados[[#This Row],[fator1]],dados[[#This Row],[fator5]],dados[[#This Row],[fator6]])</f>
        <v>#REF!</v>
      </c>
    </row>
    <row r="1923" spans="1:23">
      <c r="A1923" t="s">
        <v>17</v>
      </c>
      <c r="B1923">
        <v>486446</v>
      </c>
      <c r="C1923">
        <v>18</v>
      </c>
      <c r="D1923">
        <v>23</v>
      </c>
      <c r="E1923">
        <v>145</v>
      </c>
      <c r="F1923">
        <v>9</v>
      </c>
      <c r="G1923">
        <v>30</v>
      </c>
      <c r="H1923">
        <v>25</v>
      </c>
      <c r="I1923">
        <v>1</v>
      </c>
      <c r="J1923">
        <v>0</v>
      </c>
      <c r="K1923">
        <v>11.3565</v>
      </c>
      <c r="L1923">
        <v>20.624000000000002</v>
      </c>
      <c r="M1923">
        <v>123.721</v>
      </c>
      <c r="N1923">
        <v>25.505000000000003</v>
      </c>
      <c r="O1923">
        <v>1692</v>
      </c>
      <c r="P1923">
        <v>283</v>
      </c>
      <c r="Q1923" s="5" t="e">
        <f>IF(AND(#REF!&gt;=table!$C$6,#REF!&lt;= table!$D$6),-1,IF(AND(#REF!&gt;=table!$E$6,#REF!&lt;=table!$F$6),1,0))</f>
        <v>#REF!</v>
      </c>
      <c r="R1923" s="5" t="e">
        <f>IF(AND(#REF!&gt;=table!$C$7,#REF!&lt;= table!$D$7),-1,IF(AND(#REF!&gt;=table!$E$7,#REF!&lt;=table!$F$7),1,0))</f>
        <v>#REF!</v>
      </c>
      <c r="S1923" s="5" t="e">
        <f>IF(AND(#REF!&gt;=table!$C$8,#REF!&lt;= table!$D$8),-1,IF(AND(#REF!&gt;=table!$E$8,#REF!&lt;=table!$F$8),1,0))</f>
        <v>#REF!</v>
      </c>
      <c r="T1923" s="5"/>
      <c r="U1923" s="5" t="e">
        <f>IF(AND(#REF!&gt;=table!$C$10,#REF!&lt;= table!$D$10),-1,IF(AND(#REF!&gt;=table!$E$10,#REF!&lt;=table!$F$10),1,0))</f>
        <v>#REF!</v>
      </c>
      <c r="V1923" s="5" t="e">
        <f>IF(AND(#REF!&gt;=table!$C$11,#REF!&lt;= table!$D$11),-1,IF(AND(#REF!&gt;=table!$E$11,#REF!&lt;=table!$F$11),1,0))</f>
        <v>#REF!</v>
      </c>
      <c r="W1923" s="5" t="e">
        <f>CONCATENATE(dados[[#This Row],[fator1]],dados[[#This Row],[fator5]],dados[[#This Row],[fator6]])</f>
        <v>#REF!</v>
      </c>
    </row>
    <row r="1924" spans="1:23">
      <c r="A1924" t="s">
        <v>17</v>
      </c>
      <c r="B1924">
        <v>486447</v>
      </c>
      <c r="C1924">
        <v>0.15</v>
      </c>
      <c r="D1924">
        <v>500</v>
      </c>
      <c r="E1924">
        <v>50</v>
      </c>
      <c r="F1924">
        <v>10</v>
      </c>
      <c r="G1924">
        <v>80</v>
      </c>
      <c r="H1924">
        <v>30</v>
      </c>
      <c r="I1924">
        <v>973</v>
      </c>
      <c r="J1924">
        <v>0</v>
      </c>
      <c r="K1924">
        <v>5.8485000000000005</v>
      </c>
      <c r="L1924">
        <v>18.154</v>
      </c>
      <c r="M1924">
        <v>16.0215</v>
      </c>
      <c r="N1924">
        <v>22.47</v>
      </c>
      <c r="O1924">
        <v>1674</v>
      </c>
      <c r="P1924">
        <v>503</v>
      </c>
      <c r="Q1924" s="5" t="e">
        <f>IF(AND(#REF!&gt;=table!$C$6,#REF!&lt;= table!$D$6),-1,IF(AND(#REF!&gt;=table!$E$6,#REF!&lt;=table!$F$6),1,0))</f>
        <v>#REF!</v>
      </c>
      <c r="R1924" s="5" t="e">
        <f>IF(AND(#REF!&gt;=table!$C$7,#REF!&lt;= table!$D$7),-1,IF(AND(#REF!&gt;=table!$E$7,#REF!&lt;=table!$F$7),1,0))</f>
        <v>#REF!</v>
      </c>
      <c r="S1924" s="5" t="e">
        <f>IF(AND(#REF!&gt;=table!$C$8,#REF!&lt;= table!$D$8),-1,IF(AND(#REF!&gt;=table!$E$8,#REF!&lt;=table!$F$8),1,0))</f>
        <v>#REF!</v>
      </c>
      <c r="T1924" s="5"/>
      <c r="U1924" s="5" t="e">
        <f>IF(AND(#REF!&gt;=table!$C$10,#REF!&lt;= table!$D$10),-1,IF(AND(#REF!&gt;=table!$E$10,#REF!&lt;=table!$F$10),1,0))</f>
        <v>#REF!</v>
      </c>
      <c r="V1924" s="5" t="e">
        <f>IF(AND(#REF!&gt;=table!$C$11,#REF!&lt;= table!$D$11),-1,IF(AND(#REF!&gt;=table!$E$11,#REF!&lt;=table!$F$11),1,0))</f>
        <v>#REF!</v>
      </c>
      <c r="W1924" s="5" t="e">
        <f>CONCATENATE(dados[[#This Row],[fator1]],dados[[#This Row],[fator5]],dados[[#This Row],[fator6]])</f>
        <v>#REF!</v>
      </c>
    </row>
    <row r="1925" spans="1:23">
      <c r="A1925" t="s">
        <v>17</v>
      </c>
      <c r="B1925">
        <v>486448</v>
      </c>
      <c r="C1925">
        <v>0.15</v>
      </c>
      <c r="D1925">
        <v>500</v>
      </c>
      <c r="E1925">
        <v>50</v>
      </c>
      <c r="F1925">
        <v>10</v>
      </c>
      <c r="G1925">
        <v>80</v>
      </c>
      <c r="H1925">
        <v>30</v>
      </c>
      <c r="I1925">
        <v>546</v>
      </c>
      <c r="J1925">
        <v>0</v>
      </c>
      <c r="K1925">
        <v>7.9640000000000004</v>
      </c>
      <c r="L1925">
        <v>16.977</v>
      </c>
      <c r="M1925">
        <v>12.227</v>
      </c>
      <c r="N1925">
        <v>21.85</v>
      </c>
      <c r="O1925">
        <v>1671</v>
      </c>
      <c r="P1925">
        <v>745</v>
      </c>
      <c r="Q1925" s="5" t="e">
        <f>IF(AND(#REF!&gt;=table!$C$6,#REF!&lt;= table!$D$6),-1,IF(AND(#REF!&gt;=table!$E$6,#REF!&lt;=table!$F$6),1,0))</f>
        <v>#REF!</v>
      </c>
      <c r="R1925" s="5" t="e">
        <f>IF(AND(#REF!&gt;=table!$C$7,#REF!&lt;= table!$D$7),-1,IF(AND(#REF!&gt;=table!$E$7,#REF!&lt;=table!$F$7),1,0))</f>
        <v>#REF!</v>
      </c>
      <c r="S1925" s="5" t="e">
        <f>IF(AND(#REF!&gt;=table!$C$8,#REF!&lt;= table!$D$8),-1,IF(AND(#REF!&gt;=table!$E$8,#REF!&lt;=table!$F$8),1,0))</f>
        <v>#REF!</v>
      </c>
      <c r="T1925" s="5"/>
      <c r="U1925" s="5" t="e">
        <f>IF(AND(#REF!&gt;=table!$C$10,#REF!&lt;= table!$D$10),-1,IF(AND(#REF!&gt;=table!$E$10,#REF!&lt;=table!$F$10),1,0))</f>
        <v>#REF!</v>
      </c>
      <c r="V1925" s="5" t="e">
        <f>IF(AND(#REF!&gt;=table!$C$11,#REF!&lt;= table!$D$11),-1,IF(AND(#REF!&gt;=table!$E$11,#REF!&lt;=table!$F$11),1,0))</f>
        <v>#REF!</v>
      </c>
      <c r="W1925" s="5" t="e">
        <f>CONCATENATE(dados[[#This Row],[fator1]],dados[[#This Row],[fator5]],dados[[#This Row],[fator6]])</f>
        <v>#REF!</v>
      </c>
    </row>
    <row r="1926" spans="1:23">
      <c r="A1926" t="s">
        <v>16</v>
      </c>
      <c r="B1926">
        <v>486449</v>
      </c>
      <c r="C1926">
        <v>4</v>
      </c>
      <c r="D1926">
        <v>40</v>
      </c>
      <c r="E1926">
        <v>21</v>
      </c>
      <c r="F1926">
        <v>20</v>
      </c>
      <c r="G1926">
        <v>0</v>
      </c>
      <c r="H1926">
        <v>25</v>
      </c>
      <c r="I1926">
        <v>521</v>
      </c>
      <c r="J1926">
        <v>0</v>
      </c>
      <c r="K1926">
        <v>11.716000000000001</v>
      </c>
      <c r="L1926">
        <v>19.095500000000001</v>
      </c>
      <c r="M1926">
        <v>17.138999999999999</v>
      </c>
      <c r="N1926">
        <v>16.2</v>
      </c>
      <c r="O1926">
        <v>1650</v>
      </c>
      <c r="P1926">
        <v>313</v>
      </c>
      <c r="Q1926" s="5" t="e">
        <f>IF(AND(#REF!&gt;=table!$C$6,#REF!&lt;= table!$D$6),-1,IF(AND(#REF!&gt;=table!$E$6,#REF!&lt;=table!$F$6),1,0))</f>
        <v>#REF!</v>
      </c>
      <c r="R1926" s="5" t="e">
        <f>IF(AND(#REF!&gt;=table!$C$7,#REF!&lt;= table!$D$7),-1,IF(AND(#REF!&gt;=table!$E$7,#REF!&lt;=table!$F$7),1,0))</f>
        <v>#REF!</v>
      </c>
      <c r="S1926" s="5" t="e">
        <f>IF(AND(#REF!&gt;=table!$C$8,#REF!&lt;= table!$D$8),-1,IF(AND(#REF!&gt;=table!$E$8,#REF!&lt;=table!$F$8),1,0))</f>
        <v>#REF!</v>
      </c>
      <c r="T1926" s="5"/>
      <c r="U1926" s="5" t="e">
        <f>IF(AND(#REF!&gt;=table!$C$10,#REF!&lt;= table!$D$10),-1,IF(AND(#REF!&gt;=table!$E$10,#REF!&lt;=table!$F$10),1,0))</f>
        <v>#REF!</v>
      </c>
      <c r="V1926" s="5" t="e">
        <f>IF(AND(#REF!&gt;=table!$C$11,#REF!&lt;= table!$D$11),-1,IF(AND(#REF!&gt;=table!$E$11,#REF!&lt;=table!$F$11),1,0))</f>
        <v>#REF!</v>
      </c>
      <c r="W1926" s="5" t="e">
        <f>CONCATENATE(dados[[#This Row],[fator1]],dados[[#This Row],[fator5]],dados[[#This Row],[fator6]])</f>
        <v>#REF!</v>
      </c>
    </row>
    <row r="1927" spans="1:23">
      <c r="A1927" t="s">
        <v>16</v>
      </c>
      <c r="B1927">
        <v>486450</v>
      </c>
      <c r="C1927">
        <v>4</v>
      </c>
      <c r="D1927">
        <v>40</v>
      </c>
      <c r="E1927">
        <v>21</v>
      </c>
      <c r="F1927">
        <v>20</v>
      </c>
      <c r="G1927">
        <v>0</v>
      </c>
      <c r="H1927">
        <v>25</v>
      </c>
      <c r="I1927">
        <v>573</v>
      </c>
      <c r="J1927">
        <v>930</v>
      </c>
      <c r="K1927">
        <v>11.233000000000001</v>
      </c>
      <c r="L1927">
        <v>15.377000000000001</v>
      </c>
      <c r="M1927">
        <v>11.957500000000001</v>
      </c>
      <c r="N1927">
        <v>15.19</v>
      </c>
      <c r="O1927">
        <v>1676</v>
      </c>
      <c r="P1927">
        <v>322</v>
      </c>
      <c r="Q1927" s="5" t="e">
        <f>IF(AND(#REF!&gt;=table!$C$6,#REF!&lt;= table!$D$6),-1,IF(AND(#REF!&gt;=table!$E$6,#REF!&lt;=table!$F$6),1,0))</f>
        <v>#REF!</v>
      </c>
      <c r="R1927" s="5" t="e">
        <f>IF(AND(#REF!&gt;=table!$C$7,#REF!&lt;= table!$D$7),-1,IF(AND(#REF!&gt;=table!$E$7,#REF!&lt;=table!$F$7),1,0))</f>
        <v>#REF!</v>
      </c>
      <c r="S1927" s="5" t="e">
        <f>IF(AND(#REF!&gt;=table!$C$8,#REF!&lt;= table!$D$8),-1,IF(AND(#REF!&gt;=table!$E$8,#REF!&lt;=table!$F$8),1,0))</f>
        <v>#REF!</v>
      </c>
      <c r="T1927" s="5"/>
      <c r="U1927" s="5" t="e">
        <f>IF(AND(#REF!&gt;=table!$C$10,#REF!&lt;= table!$D$10),-1,IF(AND(#REF!&gt;=table!$E$10,#REF!&lt;=table!$F$10),1,0))</f>
        <v>#REF!</v>
      </c>
      <c r="V1927" s="5" t="e">
        <f>IF(AND(#REF!&gt;=table!$C$11,#REF!&lt;= table!$D$11),-1,IF(AND(#REF!&gt;=table!$E$11,#REF!&lt;=table!$F$11),1,0))</f>
        <v>#REF!</v>
      </c>
      <c r="W1927" s="5" t="e">
        <f>CONCATENATE(dados[[#This Row],[fator1]],dados[[#This Row],[fator5]],dados[[#This Row],[fator6]])</f>
        <v>#REF!</v>
      </c>
    </row>
    <row r="1928" spans="1:23">
      <c r="A1928" t="s">
        <v>16</v>
      </c>
      <c r="B1928">
        <v>486451</v>
      </c>
      <c r="C1928">
        <v>6</v>
      </c>
      <c r="D1928">
        <v>25</v>
      </c>
      <c r="E1928">
        <v>120</v>
      </c>
      <c r="F1928">
        <v>4</v>
      </c>
      <c r="G1928">
        <v>0</v>
      </c>
      <c r="H1928">
        <v>55</v>
      </c>
      <c r="I1928">
        <v>844</v>
      </c>
      <c r="J1928">
        <v>800</v>
      </c>
      <c r="K1928">
        <v>5.3065000000000007</v>
      </c>
      <c r="L1928">
        <v>11.73</v>
      </c>
      <c r="M1928">
        <v>85.960999999999999</v>
      </c>
      <c r="N1928">
        <v>27.69</v>
      </c>
      <c r="O1928">
        <v>1641</v>
      </c>
      <c r="P1928">
        <v>812</v>
      </c>
      <c r="Q1928" s="5" t="e">
        <f>IF(AND(#REF!&gt;=table!$C$6,#REF!&lt;= table!$D$6),-1,IF(AND(#REF!&gt;=table!$E$6,#REF!&lt;=table!$F$6),1,0))</f>
        <v>#REF!</v>
      </c>
      <c r="R1928" s="5" t="e">
        <f>IF(AND(#REF!&gt;=table!$C$7,#REF!&lt;= table!$D$7),-1,IF(AND(#REF!&gt;=table!$E$7,#REF!&lt;=table!$F$7),1,0))</f>
        <v>#REF!</v>
      </c>
      <c r="S1928" s="5" t="e">
        <f>IF(AND(#REF!&gt;=table!$C$8,#REF!&lt;= table!$D$8),-1,IF(AND(#REF!&gt;=table!$E$8,#REF!&lt;=table!$F$8),1,0))</f>
        <v>#REF!</v>
      </c>
      <c r="T1928" s="5"/>
      <c r="U1928" s="5" t="e">
        <f>IF(AND(#REF!&gt;=table!$C$10,#REF!&lt;= table!$D$10),-1,IF(AND(#REF!&gt;=table!$E$10,#REF!&lt;=table!$F$10),1,0))</f>
        <v>#REF!</v>
      </c>
      <c r="V1928" s="5" t="e">
        <f>IF(AND(#REF!&gt;=table!$C$11,#REF!&lt;= table!$D$11),-1,IF(AND(#REF!&gt;=table!$E$11,#REF!&lt;=table!$F$11),1,0))</f>
        <v>#REF!</v>
      </c>
      <c r="W1928" s="5" t="e">
        <f>CONCATENATE(dados[[#This Row],[fator1]],dados[[#This Row],[fator5]],dados[[#This Row],[fator6]])</f>
        <v>#REF!</v>
      </c>
    </row>
    <row r="1929" spans="1:23">
      <c r="A1929" t="s">
        <v>16</v>
      </c>
      <c r="B1929">
        <v>486457</v>
      </c>
      <c r="C1929">
        <v>7</v>
      </c>
      <c r="D1929">
        <v>33</v>
      </c>
      <c r="E1929">
        <v>153</v>
      </c>
      <c r="F1929">
        <v>4</v>
      </c>
      <c r="G1929">
        <v>0</v>
      </c>
      <c r="H1929">
        <v>25</v>
      </c>
      <c r="I1929">
        <v>0</v>
      </c>
      <c r="J1929">
        <v>0</v>
      </c>
      <c r="K1929">
        <v>4.1265000000000001</v>
      </c>
      <c r="L1929">
        <v>16.559000000000001</v>
      </c>
      <c r="M1929">
        <v>117.19850000000001</v>
      </c>
      <c r="N1929">
        <v>18.43</v>
      </c>
      <c r="O1929">
        <v>1663</v>
      </c>
      <c r="P1929">
        <v>843</v>
      </c>
      <c r="Q1929" s="5" t="e">
        <f>IF(AND(#REF!&gt;=table!$C$6,#REF!&lt;= table!$D$6),-1,IF(AND(#REF!&gt;=table!$E$6,#REF!&lt;=table!$F$6),1,0))</f>
        <v>#REF!</v>
      </c>
      <c r="R1929" s="5" t="e">
        <f>IF(AND(#REF!&gt;=table!$C$7,#REF!&lt;= table!$D$7),-1,IF(AND(#REF!&gt;=table!$E$7,#REF!&lt;=table!$F$7),1,0))</f>
        <v>#REF!</v>
      </c>
      <c r="S1929" s="5" t="e">
        <f>IF(AND(#REF!&gt;=table!$C$8,#REF!&lt;= table!$D$8),-1,IF(AND(#REF!&gt;=table!$E$8,#REF!&lt;=table!$F$8),1,0))</f>
        <v>#REF!</v>
      </c>
      <c r="T1929" s="5"/>
      <c r="U1929" s="5" t="e">
        <f>IF(AND(#REF!&gt;=table!$C$10,#REF!&lt;= table!$D$10),-1,IF(AND(#REF!&gt;=table!$E$10,#REF!&lt;=table!$F$10),1,0))</f>
        <v>#REF!</v>
      </c>
      <c r="V1929" s="5" t="e">
        <f>IF(AND(#REF!&gt;=table!$C$11,#REF!&lt;= table!$D$11),-1,IF(AND(#REF!&gt;=table!$E$11,#REF!&lt;=table!$F$11),1,0))</f>
        <v>#REF!</v>
      </c>
      <c r="W1929" s="5" t="e">
        <f>CONCATENATE(dados[[#This Row],[fator1]],dados[[#This Row],[fator5]],dados[[#This Row],[fator6]])</f>
        <v>#REF!</v>
      </c>
    </row>
    <row r="1930" spans="1:23">
      <c r="A1930" t="s">
        <v>18</v>
      </c>
      <c r="B1930">
        <v>486459</v>
      </c>
      <c r="C1930">
        <v>3</v>
      </c>
      <c r="D1930">
        <v>5</v>
      </c>
      <c r="E1930">
        <v>26</v>
      </c>
      <c r="F1930">
        <v>15</v>
      </c>
      <c r="G1930">
        <v>42</v>
      </c>
      <c r="H1930">
        <v>30</v>
      </c>
      <c r="I1930">
        <v>528</v>
      </c>
      <c r="J1930">
        <v>0</v>
      </c>
      <c r="K1930">
        <v>6.2590000000000003</v>
      </c>
      <c r="L1930">
        <v>13.861000000000001</v>
      </c>
      <c r="M1930">
        <v>24.3795</v>
      </c>
      <c r="N1930">
        <v>15.83</v>
      </c>
      <c r="O1930">
        <v>1682</v>
      </c>
      <c r="P1930">
        <v>0</v>
      </c>
      <c r="Q1930" s="5" t="e">
        <f>IF(AND(#REF!&gt;=table!$C$6,#REF!&lt;= table!$D$6),-1,IF(AND(#REF!&gt;=table!$E$6,#REF!&lt;=table!$F$6),1,0))</f>
        <v>#REF!</v>
      </c>
      <c r="R1930" s="5" t="e">
        <f>IF(AND(#REF!&gt;=table!$C$7,#REF!&lt;= table!$D$7),-1,IF(AND(#REF!&gt;=table!$E$7,#REF!&lt;=table!$F$7),1,0))</f>
        <v>#REF!</v>
      </c>
      <c r="S1930" s="5" t="e">
        <f>IF(AND(#REF!&gt;=table!$C$8,#REF!&lt;= table!$D$8),-1,IF(AND(#REF!&gt;=table!$E$8,#REF!&lt;=table!$F$8),1,0))</f>
        <v>#REF!</v>
      </c>
      <c r="T1930" s="5"/>
      <c r="U1930" s="5" t="e">
        <f>IF(AND(#REF!&gt;=table!$C$10,#REF!&lt;= table!$D$10),-1,IF(AND(#REF!&gt;=table!$E$10,#REF!&lt;=table!$F$10),1,0))</f>
        <v>#REF!</v>
      </c>
      <c r="V1930" s="5" t="e">
        <f>IF(AND(#REF!&gt;=table!$C$11,#REF!&lt;= table!$D$11),-1,IF(AND(#REF!&gt;=table!$E$11,#REF!&lt;=table!$F$11),1,0))</f>
        <v>#REF!</v>
      </c>
      <c r="W1930" s="5" t="e">
        <f>CONCATENATE(dados[[#This Row],[fator1]],dados[[#This Row],[fator5]],dados[[#This Row],[fator6]])</f>
        <v>#REF!</v>
      </c>
    </row>
    <row r="1931" spans="1:23">
      <c r="A1931" t="s">
        <v>16</v>
      </c>
      <c r="B1931">
        <v>486462</v>
      </c>
      <c r="C1931">
        <v>16</v>
      </c>
      <c r="D1931">
        <v>30</v>
      </c>
      <c r="E1931">
        <v>56</v>
      </c>
      <c r="F1931">
        <v>3</v>
      </c>
      <c r="G1931">
        <v>0</v>
      </c>
      <c r="H1931">
        <v>25</v>
      </c>
      <c r="I1931">
        <v>341</v>
      </c>
      <c r="J1931">
        <v>0</v>
      </c>
      <c r="K1931">
        <v>3.7910000000000004</v>
      </c>
      <c r="L1931">
        <v>12.159000000000001</v>
      </c>
      <c r="M1931">
        <v>55.853999999999999</v>
      </c>
      <c r="N1931">
        <v>16.990000000000002</v>
      </c>
      <c r="O1931">
        <v>1655</v>
      </c>
      <c r="P1931">
        <v>992</v>
      </c>
      <c r="Q1931" s="5" t="e">
        <f>IF(AND(#REF!&gt;=table!$C$6,#REF!&lt;= table!$D$6),-1,IF(AND(#REF!&gt;=table!$E$6,#REF!&lt;=table!$F$6),1,0))</f>
        <v>#REF!</v>
      </c>
      <c r="R1931" s="5" t="e">
        <f>IF(AND(#REF!&gt;=table!$C$7,#REF!&lt;= table!$D$7),-1,IF(AND(#REF!&gt;=table!$E$7,#REF!&lt;=table!$F$7),1,0))</f>
        <v>#REF!</v>
      </c>
      <c r="S1931" s="5" t="e">
        <f>IF(AND(#REF!&gt;=table!$C$8,#REF!&lt;= table!$D$8),-1,IF(AND(#REF!&gt;=table!$E$8,#REF!&lt;=table!$F$8),1,0))</f>
        <v>#REF!</v>
      </c>
      <c r="T1931" s="5"/>
      <c r="U1931" s="5" t="e">
        <f>IF(AND(#REF!&gt;=table!$C$10,#REF!&lt;= table!$D$10),-1,IF(AND(#REF!&gt;=table!$E$10,#REF!&lt;=table!$F$10),1,0))</f>
        <v>#REF!</v>
      </c>
      <c r="V1931" s="5" t="e">
        <f>IF(AND(#REF!&gt;=table!$C$11,#REF!&lt;= table!$D$11),-1,IF(AND(#REF!&gt;=table!$E$11,#REF!&lt;=table!$F$11),1,0))</f>
        <v>#REF!</v>
      </c>
      <c r="W1931" s="5" t="e">
        <f>CONCATENATE(dados[[#This Row],[fator1]],dados[[#This Row],[fator5]],dados[[#This Row],[fator6]])</f>
        <v>#REF!</v>
      </c>
    </row>
    <row r="1932" spans="1:23">
      <c r="A1932" t="s">
        <v>16</v>
      </c>
      <c r="B1932">
        <v>486463</v>
      </c>
      <c r="C1932">
        <v>16</v>
      </c>
      <c r="D1932">
        <v>30</v>
      </c>
      <c r="E1932">
        <v>36</v>
      </c>
      <c r="F1932">
        <v>3</v>
      </c>
      <c r="G1932">
        <v>0</v>
      </c>
      <c r="H1932">
        <v>25</v>
      </c>
      <c r="I1932">
        <v>523</v>
      </c>
      <c r="J1932">
        <v>0</v>
      </c>
      <c r="K1932">
        <v>5.556</v>
      </c>
      <c r="L1932">
        <v>11.249000000000001</v>
      </c>
      <c r="M1932">
        <v>36.987500000000004</v>
      </c>
      <c r="N1932">
        <v>16.705000000000002</v>
      </c>
      <c r="O1932">
        <v>1682</v>
      </c>
      <c r="P1932">
        <v>623</v>
      </c>
      <c r="Q1932" s="5" t="e">
        <f>IF(AND(#REF!&gt;=table!$C$6,#REF!&lt;= table!$D$6),-1,IF(AND(#REF!&gt;=table!$E$6,#REF!&lt;=table!$F$6),1,0))</f>
        <v>#REF!</v>
      </c>
      <c r="R1932" s="5" t="e">
        <f>IF(AND(#REF!&gt;=table!$C$7,#REF!&lt;= table!$D$7),-1,IF(AND(#REF!&gt;=table!$E$7,#REF!&lt;=table!$F$7),1,0))</f>
        <v>#REF!</v>
      </c>
      <c r="S1932" s="5" t="e">
        <f>IF(AND(#REF!&gt;=table!$C$8,#REF!&lt;= table!$D$8),-1,IF(AND(#REF!&gt;=table!$E$8,#REF!&lt;=table!$F$8),1,0))</f>
        <v>#REF!</v>
      </c>
      <c r="T1932" s="5"/>
      <c r="U1932" s="5" t="e">
        <f>IF(AND(#REF!&gt;=table!$C$10,#REF!&lt;= table!$D$10),-1,IF(AND(#REF!&gt;=table!$E$10,#REF!&lt;=table!$F$10),1,0))</f>
        <v>#REF!</v>
      </c>
      <c r="V1932" s="5" t="e">
        <f>IF(AND(#REF!&gt;=table!$C$11,#REF!&lt;= table!$D$11),-1,IF(AND(#REF!&gt;=table!$E$11,#REF!&lt;=table!$F$11),1,0))</f>
        <v>#REF!</v>
      </c>
      <c r="W1932" s="5" t="e">
        <f>CONCATENATE(dados[[#This Row],[fator1]],dados[[#This Row],[fator5]],dados[[#This Row],[fator6]])</f>
        <v>#REF!</v>
      </c>
    </row>
    <row r="1933" spans="1:23">
      <c r="A1933" t="s">
        <v>16</v>
      </c>
      <c r="B1933">
        <v>486468</v>
      </c>
      <c r="C1933">
        <v>0.1</v>
      </c>
      <c r="D1933">
        <v>40</v>
      </c>
      <c r="E1933">
        <v>10</v>
      </c>
      <c r="F1933">
        <v>8</v>
      </c>
      <c r="G1933">
        <v>0</v>
      </c>
      <c r="H1933">
        <v>10</v>
      </c>
      <c r="I1933">
        <v>657</v>
      </c>
      <c r="J1933">
        <v>0</v>
      </c>
      <c r="K1933">
        <v>4.4039999999999999</v>
      </c>
      <c r="L1933">
        <v>8.839500000000001</v>
      </c>
      <c r="M1933">
        <v>7.5335000000000001</v>
      </c>
      <c r="N1933">
        <v>13.025</v>
      </c>
      <c r="O1933">
        <v>1701</v>
      </c>
      <c r="P1933">
        <v>989</v>
      </c>
      <c r="Q1933" s="5" t="e">
        <f>IF(AND(#REF!&gt;=table!$C$6,#REF!&lt;= table!$D$6),-1,IF(AND(#REF!&gt;=table!$E$6,#REF!&lt;=table!$F$6),1,0))</f>
        <v>#REF!</v>
      </c>
      <c r="R1933" s="5" t="e">
        <f>IF(AND(#REF!&gt;=table!$C$7,#REF!&lt;= table!$D$7),-1,IF(AND(#REF!&gt;=table!$E$7,#REF!&lt;=table!$F$7),1,0))</f>
        <v>#REF!</v>
      </c>
      <c r="S1933" s="5" t="e">
        <f>IF(AND(#REF!&gt;=table!$C$8,#REF!&lt;= table!$D$8),-1,IF(AND(#REF!&gt;=table!$E$8,#REF!&lt;=table!$F$8),1,0))</f>
        <v>#REF!</v>
      </c>
      <c r="T1933" s="5"/>
      <c r="U1933" s="5" t="e">
        <f>IF(AND(#REF!&gt;=table!$C$10,#REF!&lt;= table!$D$10),-1,IF(AND(#REF!&gt;=table!$E$10,#REF!&lt;=table!$F$10),1,0))</f>
        <v>#REF!</v>
      </c>
      <c r="V1933" s="5" t="e">
        <f>IF(AND(#REF!&gt;=table!$C$11,#REF!&lt;= table!$D$11),-1,IF(AND(#REF!&gt;=table!$E$11,#REF!&lt;=table!$F$11),1,0))</f>
        <v>#REF!</v>
      </c>
      <c r="W1933" s="5" t="e">
        <f>CONCATENATE(dados[[#This Row],[fator1]],dados[[#This Row],[fator5]],dados[[#This Row],[fator6]])</f>
        <v>#REF!</v>
      </c>
    </row>
    <row r="1934" spans="1:23">
      <c r="A1934" t="s">
        <v>16</v>
      </c>
      <c r="B1934">
        <v>486470</v>
      </c>
      <c r="C1934">
        <v>0.1</v>
      </c>
      <c r="D1934">
        <v>40</v>
      </c>
      <c r="E1934">
        <v>10</v>
      </c>
      <c r="F1934">
        <v>8</v>
      </c>
      <c r="G1934">
        <v>0</v>
      </c>
      <c r="H1934">
        <v>10</v>
      </c>
      <c r="I1934">
        <v>498</v>
      </c>
      <c r="J1934">
        <v>0</v>
      </c>
      <c r="K1934">
        <v>4.1915000000000004</v>
      </c>
      <c r="L1934">
        <v>9.3790000000000013</v>
      </c>
      <c r="M1934">
        <v>7.8540000000000001</v>
      </c>
      <c r="N1934">
        <v>11.25</v>
      </c>
      <c r="O1934">
        <v>1679</v>
      </c>
      <c r="P1934">
        <v>1014</v>
      </c>
      <c r="Q1934" s="5" t="e">
        <f>IF(AND(#REF!&gt;=table!$C$6,#REF!&lt;= table!$D$6),-1,IF(AND(#REF!&gt;=table!$E$6,#REF!&lt;=table!$F$6),1,0))</f>
        <v>#REF!</v>
      </c>
      <c r="R1934" s="5" t="e">
        <f>IF(AND(#REF!&gt;=table!$C$7,#REF!&lt;= table!$D$7),-1,IF(AND(#REF!&gt;=table!$E$7,#REF!&lt;=table!$F$7),1,0))</f>
        <v>#REF!</v>
      </c>
      <c r="S1934" s="5" t="e">
        <f>IF(AND(#REF!&gt;=table!$C$8,#REF!&lt;= table!$D$8),-1,IF(AND(#REF!&gt;=table!$E$8,#REF!&lt;=table!$F$8),1,0))</f>
        <v>#REF!</v>
      </c>
      <c r="T1934" s="5"/>
      <c r="U1934" s="5" t="e">
        <f>IF(AND(#REF!&gt;=table!$C$10,#REF!&lt;= table!$D$10),-1,IF(AND(#REF!&gt;=table!$E$10,#REF!&lt;=table!$F$10),1,0))</f>
        <v>#REF!</v>
      </c>
      <c r="V1934" s="5" t="e">
        <f>IF(AND(#REF!&gt;=table!$C$11,#REF!&lt;= table!$D$11),-1,IF(AND(#REF!&gt;=table!$E$11,#REF!&lt;=table!$F$11),1,0))</f>
        <v>#REF!</v>
      </c>
      <c r="W1934" s="5" t="e">
        <f>CONCATENATE(dados[[#This Row],[fator1]],dados[[#This Row],[fator5]],dados[[#This Row],[fator6]])</f>
        <v>#REF!</v>
      </c>
    </row>
    <row r="1935" spans="1:23">
      <c r="A1935" t="s">
        <v>17</v>
      </c>
      <c r="B1935">
        <v>486471</v>
      </c>
      <c r="C1935">
        <v>16</v>
      </c>
      <c r="D1935">
        <v>30</v>
      </c>
      <c r="E1935">
        <v>116</v>
      </c>
      <c r="F1935">
        <v>6</v>
      </c>
      <c r="G1935">
        <v>20</v>
      </c>
      <c r="H1935">
        <v>25</v>
      </c>
      <c r="I1935">
        <v>1045</v>
      </c>
      <c r="J1935">
        <v>0</v>
      </c>
      <c r="K1935">
        <v>8.338000000000001</v>
      </c>
      <c r="L1935">
        <v>15.217000000000001</v>
      </c>
      <c r="M1935">
        <v>87.874499999999998</v>
      </c>
      <c r="N1935">
        <v>17.79</v>
      </c>
      <c r="O1935">
        <v>1688</v>
      </c>
      <c r="P1935">
        <v>464</v>
      </c>
      <c r="Q1935" s="5" t="e">
        <f>IF(AND(#REF!&gt;=table!$C$6,#REF!&lt;= table!$D$6),-1,IF(AND(#REF!&gt;=table!$E$6,#REF!&lt;=table!$F$6),1,0))</f>
        <v>#REF!</v>
      </c>
      <c r="R1935" s="5" t="e">
        <f>IF(AND(#REF!&gt;=table!$C$7,#REF!&lt;= table!$D$7),-1,IF(AND(#REF!&gt;=table!$E$7,#REF!&lt;=table!$F$7),1,0))</f>
        <v>#REF!</v>
      </c>
      <c r="S1935" s="5" t="e">
        <f>IF(AND(#REF!&gt;=table!$C$8,#REF!&lt;= table!$D$8),-1,IF(AND(#REF!&gt;=table!$E$8,#REF!&lt;=table!$F$8),1,0))</f>
        <v>#REF!</v>
      </c>
      <c r="T1935" s="5"/>
      <c r="U1935" s="5" t="e">
        <f>IF(AND(#REF!&gt;=table!$C$10,#REF!&lt;= table!$D$10),-1,IF(AND(#REF!&gt;=table!$E$10,#REF!&lt;=table!$F$10),1,0))</f>
        <v>#REF!</v>
      </c>
      <c r="V1935" s="5" t="e">
        <f>IF(AND(#REF!&gt;=table!$C$11,#REF!&lt;= table!$D$11),-1,IF(AND(#REF!&gt;=table!$E$11,#REF!&lt;=table!$F$11),1,0))</f>
        <v>#REF!</v>
      </c>
      <c r="W1935" s="5" t="e">
        <f>CONCATENATE(dados[[#This Row],[fator1]],dados[[#This Row],[fator5]],dados[[#This Row],[fator6]])</f>
        <v>#REF!</v>
      </c>
    </row>
    <row r="1936" spans="1:23">
      <c r="A1936" t="s">
        <v>16</v>
      </c>
      <c r="B1936">
        <v>486476</v>
      </c>
      <c r="C1936">
        <v>0.15</v>
      </c>
      <c r="D1936">
        <v>35</v>
      </c>
      <c r="E1936">
        <v>15</v>
      </c>
      <c r="F1936">
        <v>10</v>
      </c>
      <c r="G1936">
        <v>0</v>
      </c>
      <c r="H1936">
        <v>12</v>
      </c>
      <c r="I1936">
        <v>1647</v>
      </c>
      <c r="J1936">
        <v>0</v>
      </c>
      <c r="K1936">
        <v>3.3635000000000002</v>
      </c>
      <c r="L1936">
        <v>7.0209999999999999</v>
      </c>
      <c r="M1936">
        <v>6.2930000000000001</v>
      </c>
      <c r="N1936">
        <v>10.17</v>
      </c>
      <c r="O1936">
        <v>1684</v>
      </c>
      <c r="P1936">
        <v>0</v>
      </c>
      <c r="Q1936" s="5" t="e">
        <f>IF(AND(#REF!&gt;=table!$C$6,#REF!&lt;= table!$D$6),-1,IF(AND(#REF!&gt;=table!$E$6,#REF!&lt;=table!$F$6),1,0))</f>
        <v>#REF!</v>
      </c>
      <c r="R1936" s="5" t="e">
        <f>IF(AND(#REF!&gt;=table!$C$7,#REF!&lt;= table!$D$7),-1,IF(AND(#REF!&gt;=table!$E$7,#REF!&lt;=table!$F$7),1,0))</f>
        <v>#REF!</v>
      </c>
      <c r="S1936" s="5" t="e">
        <f>IF(AND(#REF!&gt;=table!$C$8,#REF!&lt;= table!$D$8),-1,IF(AND(#REF!&gt;=table!$E$8,#REF!&lt;=table!$F$8),1,0))</f>
        <v>#REF!</v>
      </c>
      <c r="T1936" s="5"/>
      <c r="U1936" s="5" t="e">
        <f>IF(AND(#REF!&gt;=table!$C$10,#REF!&lt;= table!$D$10),-1,IF(AND(#REF!&gt;=table!$E$10,#REF!&lt;=table!$F$10),1,0))</f>
        <v>#REF!</v>
      </c>
      <c r="V1936" s="5" t="e">
        <f>IF(AND(#REF!&gt;=table!$C$11,#REF!&lt;= table!$D$11),-1,IF(AND(#REF!&gt;=table!$E$11,#REF!&lt;=table!$F$11),1,0))</f>
        <v>#REF!</v>
      </c>
      <c r="W1936" s="5" t="e">
        <f>CONCATENATE(dados[[#This Row],[fator1]],dados[[#This Row],[fator5]],dados[[#This Row],[fator6]])</f>
        <v>#REF!</v>
      </c>
    </row>
    <row r="1937" spans="1:23">
      <c r="A1937" t="s">
        <v>16</v>
      </c>
      <c r="B1937">
        <v>486478</v>
      </c>
      <c r="C1937">
        <v>0.15</v>
      </c>
      <c r="D1937">
        <v>35</v>
      </c>
      <c r="E1937">
        <v>15</v>
      </c>
      <c r="F1937">
        <v>10</v>
      </c>
      <c r="G1937">
        <v>0</v>
      </c>
      <c r="H1937">
        <v>12</v>
      </c>
      <c r="I1937">
        <v>565</v>
      </c>
      <c r="J1937">
        <v>0</v>
      </c>
      <c r="K1937">
        <v>5.5490000000000004</v>
      </c>
      <c r="L1937">
        <v>11.496500000000001</v>
      </c>
      <c r="M1937">
        <v>10.49</v>
      </c>
      <c r="N1937">
        <v>10.885</v>
      </c>
      <c r="O1937">
        <v>1643</v>
      </c>
      <c r="P1937">
        <v>489</v>
      </c>
      <c r="Q1937" s="5" t="e">
        <f>IF(AND(#REF!&gt;=table!$C$6,#REF!&lt;= table!$D$6),-1,IF(AND(#REF!&gt;=table!$E$6,#REF!&lt;=table!$F$6),1,0))</f>
        <v>#REF!</v>
      </c>
      <c r="R1937" s="5" t="e">
        <f>IF(AND(#REF!&gt;=table!$C$7,#REF!&lt;= table!$D$7),-1,IF(AND(#REF!&gt;=table!$E$7,#REF!&lt;=table!$F$7),1,0))</f>
        <v>#REF!</v>
      </c>
      <c r="S1937" s="5" t="e">
        <f>IF(AND(#REF!&gt;=table!$C$8,#REF!&lt;= table!$D$8),-1,IF(AND(#REF!&gt;=table!$E$8,#REF!&lt;=table!$F$8),1,0))</f>
        <v>#REF!</v>
      </c>
      <c r="T1937" s="5"/>
      <c r="U1937" s="5" t="e">
        <f>IF(AND(#REF!&gt;=table!$C$10,#REF!&lt;= table!$D$10),-1,IF(AND(#REF!&gt;=table!$E$10,#REF!&lt;=table!$F$10),1,0))</f>
        <v>#REF!</v>
      </c>
      <c r="V1937" s="5" t="e">
        <f>IF(AND(#REF!&gt;=table!$C$11,#REF!&lt;= table!$D$11),-1,IF(AND(#REF!&gt;=table!$E$11,#REF!&lt;=table!$F$11),1,0))</f>
        <v>#REF!</v>
      </c>
      <c r="W1937" s="5" t="e">
        <f>CONCATENATE(dados[[#This Row],[fator1]],dados[[#This Row],[fator5]],dados[[#This Row],[fator6]])</f>
        <v>#REF!</v>
      </c>
    </row>
    <row r="1938" spans="1:23">
      <c r="A1938" t="s">
        <v>16</v>
      </c>
      <c r="B1938">
        <v>486481</v>
      </c>
      <c r="C1938">
        <v>16</v>
      </c>
      <c r="D1938">
        <v>35</v>
      </c>
      <c r="E1938">
        <v>36</v>
      </c>
      <c r="F1938">
        <v>10</v>
      </c>
      <c r="G1938">
        <v>0</v>
      </c>
      <c r="H1938">
        <v>25</v>
      </c>
      <c r="I1938">
        <v>762</v>
      </c>
      <c r="J1938">
        <v>0</v>
      </c>
      <c r="K1938">
        <v>4.0964999999999998</v>
      </c>
      <c r="L1938">
        <v>9.9075000000000006</v>
      </c>
      <c r="M1938">
        <v>32.276499999999999</v>
      </c>
      <c r="N1938">
        <v>15.58</v>
      </c>
      <c r="O1938">
        <v>1692</v>
      </c>
      <c r="P1938">
        <v>0</v>
      </c>
      <c r="Q1938" s="5" t="e">
        <f>IF(AND(#REF!&gt;=table!$C$6,#REF!&lt;= table!$D$6),-1,IF(AND(#REF!&gt;=table!$E$6,#REF!&lt;=table!$F$6),1,0))</f>
        <v>#REF!</v>
      </c>
      <c r="R1938" s="5" t="e">
        <f>IF(AND(#REF!&gt;=table!$C$7,#REF!&lt;= table!$D$7),-1,IF(AND(#REF!&gt;=table!$E$7,#REF!&lt;=table!$F$7),1,0))</f>
        <v>#REF!</v>
      </c>
      <c r="S1938" s="5" t="e">
        <f>IF(AND(#REF!&gt;=table!$C$8,#REF!&lt;= table!$D$8),-1,IF(AND(#REF!&gt;=table!$E$8,#REF!&lt;=table!$F$8),1,0))</f>
        <v>#REF!</v>
      </c>
      <c r="T1938" s="5"/>
      <c r="U1938" s="5" t="e">
        <f>IF(AND(#REF!&gt;=table!$C$10,#REF!&lt;= table!$D$10),-1,IF(AND(#REF!&gt;=table!$E$10,#REF!&lt;=table!$F$10),1,0))</f>
        <v>#REF!</v>
      </c>
      <c r="V1938" s="5" t="e">
        <f>IF(AND(#REF!&gt;=table!$C$11,#REF!&lt;= table!$D$11),-1,IF(AND(#REF!&gt;=table!$E$11,#REF!&lt;=table!$F$11),1,0))</f>
        <v>#REF!</v>
      </c>
      <c r="W1938" s="5" t="e">
        <f>CONCATENATE(dados[[#This Row],[fator1]],dados[[#This Row],[fator5]],dados[[#This Row],[fator6]])</f>
        <v>#REF!</v>
      </c>
    </row>
    <row r="1939" spans="1:23">
      <c r="A1939" t="s">
        <v>16</v>
      </c>
      <c r="B1939">
        <v>486482</v>
      </c>
      <c r="C1939">
        <v>16</v>
      </c>
      <c r="D1939">
        <v>35</v>
      </c>
      <c r="E1939">
        <v>36</v>
      </c>
      <c r="F1939">
        <v>10</v>
      </c>
      <c r="G1939">
        <v>0</v>
      </c>
      <c r="H1939">
        <v>25</v>
      </c>
      <c r="I1939">
        <v>207</v>
      </c>
      <c r="J1939">
        <v>0</v>
      </c>
      <c r="K1939">
        <v>9.1144999999999996</v>
      </c>
      <c r="L1939">
        <v>17.039000000000001</v>
      </c>
      <c r="M1939">
        <v>35.317500000000003</v>
      </c>
      <c r="N1939">
        <v>16.3</v>
      </c>
      <c r="O1939">
        <v>1660</v>
      </c>
      <c r="P1939">
        <v>362</v>
      </c>
      <c r="Q1939" s="5" t="e">
        <f>IF(AND(#REF!&gt;=table!$C$6,#REF!&lt;= table!$D$6),-1,IF(AND(#REF!&gt;=table!$E$6,#REF!&lt;=table!$F$6),1,0))</f>
        <v>#REF!</v>
      </c>
      <c r="R1939" s="5" t="e">
        <f>IF(AND(#REF!&gt;=table!$C$7,#REF!&lt;= table!$D$7),-1,IF(AND(#REF!&gt;=table!$E$7,#REF!&lt;=table!$F$7),1,0))</f>
        <v>#REF!</v>
      </c>
      <c r="S1939" s="5" t="e">
        <f>IF(AND(#REF!&gt;=table!$C$8,#REF!&lt;= table!$D$8),-1,IF(AND(#REF!&gt;=table!$E$8,#REF!&lt;=table!$F$8),1,0))</f>
        <v>#REF!</v>
      </c>
      <c r="T1939" s="5"/>
      <c r="U1939" s="5" t="e">
        <f>IF(AND(#REF!&gt;=table!$C$10,#REF!&lt;= table!$D$10),-1,IF(AND(#REF!&gt;=table!$E$10,#REF!&lt;=table!$F$10),1,0))</f>
        <v>#REF!</v>
      </c>
      <c r="V1939" s="5" t="e">
        <f>IF(AND(#REF!&gt;=table!$C$11,#REF!&lt;= table!$D$11),-1,IF(AND(#REF!&gt;=table!$E$11,#REF!&lt;=table!$F$11),1,0))</f>
        <v>#REF!</v>
      </c>
      <c r="W1939" s="5" t="e">
        <f>CONCATENATE(dados[[#This Row],[fator1]],dados[[#This Row],[fator5]],dados[[#This Row],[fator6]])</f>
        <v>#REF!</v>
      </c>
    </row>
    <row r="1940" spans="1:23">
      <c r="A1940" t="s">
        <v>16</v>
      </c>
      <c r="B1940">
        <v>486484</v>
      </c>
      <c r="C1940">
        <v>16</v>
      </c>
      <c r="D1940">
        <v>35</v>
      </c>
      <c r="E1940">
        <v>36</v>
      </c>
      <c r="F1940">
        <v>10</v>
      </c>
      <c r="G1940">
        <v>0</v>
      </c>
      <c r="H1940">
        <v>25</v>
      </c>
      <c r="I1940">
        <v>209</v>
      </c>
      <c r="J1940">
        <v>0</v>
      </c>
      <c r="K1940">
        <v>9.5285000000000011</v>
      </c>
      <c r="L1940">
        <v>15.4825</v>
      </c>
      <c r="M1940">
        <v>36.908000000000001</v>
      </c>
      <c r="N1940">
        <v>15.525</v>
      </c>
      <c r="O1940">
        <v>1655</v>
      </c>
      <c r="P1940">
        <v>0</v>
      </c>
      <c r="Q1940" s="5" t="e">
        <f>IF(AND(#REF!&gt;=table!$C$6,#REF!&lt;= table!$D$6),-1,IF(AND(#REF!&gt;=table!$E$6,#REF!&lt;=table!$F$6),1,0))</f>
        <v>#REF!</v>
      </c>
      <c r="R1940" s="5" t="e">
        <f>IF(AND(#REF!&gt;=table!$C$7,#REF!&lt;= table!$D$7),-1,IF(AND(#REF!&gt;=table!$E$7,#REF!&lt;=table!$F$7),1,0))</f>
        <v>#REF!</v>
      </c>
      <c r="S1940" s="5" t="e">
        <f>IF(AND(#REF!&gt;=table!$C$8,#REF!&lt;= table!$D$8),-1,IF(AND(#REF!&gt;=table!$E$8,#REF!&lt;=table!$F$8),1,0))</f>
        <v>#REF!</v>
      </c>
      <c r="T1940" s="5"/>
      <c r="U1940" s="5" t="e">
        <f>IF(AND(#REF!&gt;=table!$C$10,#REF!&lt;= table!$D$10),-1,IF(AND(#REF!&gt;=table!$E$10,#REF!&lt;=table!$F$10),1,0))</f>
        <v>#REF!</v>
      </c>
      <c r="V1940" s="5" t="e">
        <f>IF(AND(#REF!&gt;=table!$C$11,#REF!&lt;= table!$D$11),-1,IF(AND(#REF!&gt;=table!$E$11,#REF!&lt;=table!$F$11),1,0))</f>
        <v>#REF!</v>
      </c>
      <c r="W1940" s="5" t="e">
        <f>CONCATENATE(dados[[#This Row],[fator1]],dados[[#This Row],[fator5]],dados[[#This Row],[fator6]])</f>
        <v>#REF!</v>
      </c>
    </row>
    <row r="1941" spans="1:23">
      <c r="A1941" t="s">
        <v>16</v>
      </c>
      <c r="B1941">
        <v>486485</v>
      </c>
      <c r="C1941">
        <v>16</v>
      </c>
      <c r="D1941">
        <v>35</v>
      </c>
      <c r="E1941">
        <v>36</v>
      </c>
      <c r="F1941">
        <v>10</v>
      </c>
      <c r="G1941">
        <v>0</v>
      </c>
      <c r="H1941">
        <v>25</v>
      </c>
      <c r="I1941">
        <v>248</v>
      </c>
      <c r="J1941">
        <v>0</v>
      </c>
      <c r="K1941">
        <v>14.569000000000001</v>
      </c>
      <c r="L1941">
        <v>16.211500000000001</v>
      </c>
      <c r="M1941">
        <v>34.073</v>
      </c>
      <c r="N1941">
        <v>16.28</v>
      </c>
      <c r="O1941">
        <v>1656</v>
      </c>
      <c r="P1941">
        <v>243</v>
      </c>
      <c r="Q1941" s="5" t="e">
        <f>IF(AND(#REF!&gt;=table!$C$6,#REF!&lt;= table!$D$6),-1,IF(AND(#REF!&gt;=table!$E$6,#REF!&lt;=table!$F$6),1,0))</f>
        <v>#REF!</v>
      </c>
      <c r="R1941" s="5" t="e">
        <f>IF(AND(#REF!&gt;=table!$C$7,#REF!&lt;= table!$D$7),-1,IF(AND(#REF!&gt;=table!$E$7,#REF!&lt;=table!$F$7),1,0))</f>
        <v>#REF!</v>
      </c>
      <c r="S1941" s="5" t="e">
        <f>IF(AND(#REF!&gt;=table!$C$8,#REF!&lt;= table!$D$8),-1,IF(AND(#REF!&gt;=table!$E$8,#REF!&lt;=table!$F$8),1,0))</f>
        <v>#REF!</v>
      </c>
      <c r="T1941" s="5"/>
      <c r="U1941" s="5" t="e">
        <f>IF(AND(#REF!&gt;=table!$C$10,#REF!&lt;= table!$D$10),-1,IF(AND(#REF!&gt;=table!$E$10,#REF!&lt;=table!$F$10),1,0))</f>
        <v>#REF!</v>
      </c>
      <c r="V1941" s="5" t="e">
        <f>IF(AND(#REF!&gt;=table!$C$11,#REF!&lt;= table!$D$11),-1,IF(AND(#REF!&gt;=table!$E$11,#REF!&lt;=table!$F$11),1,0))</f>
        <v>#REF!</v>
      </c>
      <c r="W1941" s="5" t="e">
        <f>CONCATENATE(dados[[#This Row],[fator1]],dados[[#This Row],[fator5]],dados[[#This Row],[fator6]])</f>
        <v>#REF!</v>
      </c>
    </row>
    <row r="1942" spans="1:23">
      <c r="A1942" t="s">
        <v>16</v>
      </c>
      <c r="B1942">
        <v>486492</v>
      </c>
      <c r="C1942">
        <v>16</v>
      </c>
      <c r="D1942">
        <v>35</v>
      </c>
      <c r="E1942">
        <v>56</v>
      </c>
      <c r="F1942">
        <v>10</v>
      </c>
      <c r="G1942">
        <v>0</v>
      </c>
      <c r="H1942">
        <v>25</v>
      </c>
      <c r="I1942">
        <v>686</v>
      </c>
      <c r="J1942">
        <v>0</v>
      </c>
      <c r="K1942">
        <v>4.2389999999999999</v>
      </c>
      <c r="L1942">
        <v>7.0395000000000003</v>
      </c>
      <c r="M1942">
        <v>52.853500000000004</v>
      </c>
      <c r="N1942">
        <v>11.035</v>
      </c>
      <c r="O1942">
        <v>1676</v>
      </c>
      <c r="P1942">
        <v>929</v>
      </c>
      <c r="Q1942" s="5" t="e">
        <f>IF(AND(#REF!&gt;=table!$C$6,#REF!&lt;= table!$D$6),-1,IF(AND(#REF!&gt;=table!$E$6,#REF!&lt;=table!$F$6),1,0))</f>
        <v>#REF!</v>
      </c>
      <c r="R1942" s="5" t="e">
        <f>IF(AND(#REF!&gt;=table!$C$7,#REF!&lt;= table!$D$7),-1,IF(AND(#REF!&gt;=table!$E$7,#REF!&lt;=table!$F$7),1,0))</f>
        <v>#REF!</v>
      </c>
      <c r="S1942" s="5" t="e">
        <f>IF(AND(#REF!&gt;=table!$C$8,#REF!&lt;= table!$D$8),-1,IF(AND(#REF!&gt;=table!$E$8,#REF!&lt;=table!$F$8),1,0))</f>
        <v>#REF!</v>
      </c>
      <c r="T1942" s="5"/>
      <c r="U1942" s="5" t="e">
        <f>IF(AND(#REF!&gt;=table!$C$10,#REF!&lt;= table!$D$10),-1,IF(AND(#REF!&gt;=table!$E$10,#REF!&lt;=table!$F$10),1,0))</f>
        <v>#REF!</v>
      </c>
      <c r="V1942" s="5" t="e">
        <f>IF(AND(#REF!&gt;=table!$C$11,#REF!&lt;= table!$D$11),-1,IF(AND(#REF!&gt;=table!$E$11,#REF!&lt;=table!$F$11),1,0))</f>
        <v>#REF!</v>
      </c>
      <c r="W1942" s="5" t="e">
        <f>CONCATENATE(dados[[#This Row],[fator1]],dados[[#This Row],[fator5]],dados[[#This Row],[fator6]])</f>
        <v>#REF!</v>
      </c>
    </row>
    <row r="1943" spans="1:23">
      <c r="A1943" t="s">
        <v>17</v>
      </c>
      <c r="B1943">
        <v>486497</v>
      </c>
      <c r="C1943">
        <v>6</v>
      </c>
      <c r="D1943">
        <v>30</v>
      </c>
      <c r="E1943">
        <v>110</v>
      </c>
      <c r="F1943">
        <v>10</v>
      </c>
      <c r="G1943">
        <v>21</v>
      </c>
      <c r="H1943">
        <v>25</v>
      </c>
      <c r="I1943">
        <v>491</v>
      </c>
      <c r="J1943">
        <v>0</v>
      </c>
      <c r="K1943">
        <v>4.5529999999999999</v>
      </c>
      <c r="L1943">
        <v>11.463000000000001</v>
      </c>
      <c r="M1943">
        <v>90.499000000000009</v>
      </c>
      <c r="N1943">
        <v>12.945</v>
      </c>
      <c r="O1943">
        <v>1680</v>
      </c>
      <c r="P1943">
        <v>720</v>
      </c>
      <c r="Q1943" s="5" t="e">
        <f>IF(AND(#REF!&gt;=table!$C$6,#REF!&lt;= table!$D$6),-1,IF(AND(#REF!&gt;=table!$E$6,#REF!&lt;=table!$F$6),1,0))</f>
        <v>#REF!</v>
      </c>
      <c r="R1943" s="5" t="e">
        <f>IF(AND(#REF!&gt;=table!$C$7,#REF!&lt;= table!$D$7),-1,IF(AND(#REF!&gt;=table!$E$7,#REF!&lt;=table!$F$7),1,0))</f>
        <v>#REF!</v>
      </c>
      <c r="S1943" s="5" t="e">
        <f>IF(AND(#REF!&gt;=table!$C$8,#REF!&lt;= table!$D$8),-1,IF(AND(#REF!&gt;=table!$E$8,#REF!&lt;=table!$F$8),1,0))</f>
        <v>#REF!</v>
      </c>
      <c r="T1943" s="5"/>
      <c r="U1943" s="5" t="e">
        <f>IF(AND(#REF!&gt;=table!$C$10,#REF!&lt;= table!$D$10),-1,IF(AND(#REF!&gt;=table!$E$10,#REF!&lt;=table!$F$10),1,0))</f>
        <v>#REF!</v>
      </c>
      <c r="V1943" s="5" t="e">
        <f>IF(AND(#REF!&gt;=table!$C$11,#REF!&lt;= table!$D$11),-1,IF(AND(#REF!&gt;=table!$E$11,#REF!&lt;=table!$F$11),1,0))</f>
        <v>#REF!</v>
      </c>
      <c r="W1943" s="5" t="e">
        <f>CONCATENATE(dados[[#This Row],[fator1]],dados[[#This Row],[fator5]],dados[[#This Row],[fator6]])</f>
        <v>#REF!</v>
      </c>
    </row>
    <row r="1944" spans="1:23">
      <c r="A1944" t="s">
        <v>17</v>
      </c>
      <c r="B1944">
        <v>486498</v>
      </c>
      <c r="C1944">
        <v>6</v>
      </c>
      <c r="D1944">
        <v>30</v>
      </c>
      <c r="E1944">
        <v>110</v>
      </c>
      <c r="F1944">
        <v>10</v>
      </c>
      <c r="G1944">
        <v>21</v>
      </c>
      <c r="H1944">
        <v>25</v>
      </c>
      <c r="I1944">
        <v>748</v>
      </c>
      <c r="J1944">
        <v>0</v>
      </c>
      <c r="K1944">
        <v>4.6725000000000003</v>
      </c>
      <c r="L1944">
        <v>7.9460000000000006</v>
      </c>
      <c r="M1944">
        <v>99.237500000000011</v>
      </c>
      <c r="N1944">
        <v>13.445</v>
      </c>
      <c r="O1944">
        <v>1674</v>
      </c>
      <c r="P1944">
        <v>779</v>
      </c>
      <c r="Q1944" s="5" t="e">
        <f>IF(AND(#REF!&gt;=table!$C$6,#REF!&lt;= table!$D$6),-1,IF(AND(#REF!&gt;=table!$E$6,#REF!&lt;=table!$F$6),1,0))</f>
        <v>#REF!</v>
      </c>
      <c r="R1944" s="5" t="e">
        <f>IF(AND(#REF!&gt;=table!$C$7,#REF!&lt;= table!$D$7),-1,IF(AND(#REF!&gt;=table!$E$7,#REF!&lt;=table!$F$7),1,0))</f>
        <v>#REF!</v>
      </c>
      <c r="S1944" s="5" t="e">
        <f>IF(AND(#REF!&gt;=table!$C$8,#REF!&lt;= table!$D$8),-1,IF(AND(#REF!&gt;=table!$E$8,#REF!&lt;=table!$F$8),1,0))</f>
        <v>#REF!</v>
      </c>
      <c r="T1944" s="5"/>
      <c r="U1944" s="5" t="e">
        <f>IF(AND(#REF!&gt;=table!$C$10,#REF!&lt;= table!$D$10),-1,IF(AND(#REF!&gt;=table!$E$10,#REF!&lt;=table!$F$10),1,0))</f>
        <v>#REF!</v>
      </c>
      <c r="V1944" s="5" t="e">
        <f>IF(AND(#REF!&gt;=table!$C$11,#REF!&lt;= table!$D$11),-1,IF(AND(#REF!&gt;=table!$E$11,#REF!&lt;=table!$F$11),1,0))</f>
        <v>#REF!</v>
      </c>
      <c r="W1944" s="5" t="e">
        <f>CONCATENATE(dados[[#This Row],[fator1]],dados[[#This Row],[fator5]],dados[[#This Row],[fator6]])</f>
        <v>#REF!</v>
      </c>
    </row>
    <row r="1945" spans="1:23">
      <c r="A1945" t="s">
        <v>16</v>
      </c>
      <c r="B1945">
        <v>486500</v>
      </c>
      <c r="C1945">
        <v>0.15</v>
      </c>
      <c r="D1945">
        <v>40</v>
      </c>
      <c r="E1945">
        <v>10</v>
      </c>
      <c r="F1945">
        <v>15</v>
      </c>
      <c r="G1945">
        <v>0</v>
      </c>
      <c r="H1945">
        <v>15</v>
      </c>
      <c r="I1945">
        <v>1819</v>
      </c>
      <c r="J1945">
        <v>0</v>
      </c>
      <c r="K1945">
        <v>5.6740000000000004</v>
      </c>
      <c r="L1945">
        <v>11.435500000000001</v>
      </c>
      <c r="M1945">
        <v>10.637</v>
      </c>
      <c r="N1945">
        <v>10.35</v>
      </c>
      <c r="O1945">
        <v>1651</v>
      </c>
      <c r="P1945">
        <v>547</v>
      </c>
      <c r="Q1945" s="5" t="e">
        <f>IF(AND(#REF!&gt;=table!$C$6,#REF!&lt;= table!$D$6),-1,IF(AND(#REF!&gt;=table!$E$6,#REF!&lt;=table!$F$6),1,0))</f>
        <v>#REF!</v>
      </c>
      <c r="R1945" s="5" t="e">
        <f>IF(AND(#REF!&gt;=table!$C$7,#REF!&lt;= table!$D$7),-1,IF(AND(#REF!&gt;=table!$E$7,#REF!&lt;=table!$F$7),1,0))</f>
        <v>#REF!</v>
      </c>
      <c r="S1945" s="5" t="e">
        <f>IF(AND(#REF!&gt;=table!$C$8,#REF!&lt;= table!$D$8),-1,IF(AND(#REF!&gt;=table!$E$8,#REF!&lt;=table!$F$8),1,0))</f>
        <v>#REF!</v>
      </c>
      <c r="T1945" s="5"/>
      <c r="U1945" s="5" t="e">
        <f>IF(AND(#REF!&gt;=table!$C$10,#REF!&lt;= table!$D$10),-1,IF(AND(#REF!&gt;=table!$E$10,#REF!&lt;=table!$F$10),1,0))</f>
        <v>#REF!</v>
      </c>
      <c r="V1945" s="5" t="e">
        <f>IF(AND(#REF!&gt;=table!$C$11,#REF!&lt;= table!$D$11),-1,IF(AND(#REF!&gt;=table!$E$11,#REF!&lt;=table!$F$11),1,0))</f>
        <v>#REF!</v>
      </c>
      <c r="W1945" s="5" t="e">
        <f>CONCATENATE(dados[[#This Row],[fator1]],dados[[#This Row],[fator5]],dados[[#This Row],[fator6]])</f>
        <v>#REF!</v>
      </c>
    </row>
    <row r="1946" spans="1:23">
      <c r="A1946" t="s">
        <v>17</v>
      </c>
      <c r="B1946">
        <v>486507</v>
      </c>
      <c r="C1946">
        <v>14</v>
      </c>
      <c r="D1946">
        <v>30</v>
      </c>
      <c r="E1946">
        <v>110</v>
      </c>
      <c r="F1946">
        <v>3</v>
      </c>
      <c r="G1946">
        <v>20</v>
      </c>
      <c r="H1946">
        <v>22</v>
      </c>
      <c r="I1946">
        <v>0</v>
      </c>
      <c r="J1946">
        <v>880</v>
      </c>
      <c r="K1946">
        <v>6.8785000000000007</v>
      </c>
      <c r="L1946">
        <v>15.883000000000001</v>
      </c>
      <c r="M1946">
        <v>93.686000000000007</v>
      </c>
      <c r="N1946">
        <v>13.485000000000001</v>
      </c>
      <c r="O1946">
        <v>1675</v>
      </c>
      <c r="P1946">
        <v>502</v>
      </c>
      <c r="Q1946" s="5" t="e">
        <f>IF(AND(#REF!&gt;=table!$C$6,#REF!&lt;= table!$D$6),-1,IF(AND(#REF!&gt;=table!$E$6,#REF!&lt;=table!$F$6),1,0))</f>
        <v>#REF!</v>
      </c>
      <c r="R1946" s="5" t="e">
        <f>IF(AND(#REF!&gt;=table!$C$7,#REF!&lt;= table!$D$7),-1,IF(AND(#REF!&gt;=table!$E$7,#REF!&lt;=table!$F$7),1,0))</f>
        <v>#REF!</v>
      </c>
      <c r="S1946" s="5" t="e">
        <f>IF(AND(#REF!&gt;=table!$C$8,#REF!&lt;= table!$D$8),-1,IF(AND(#REF!&gt;=table!$E$8,#REF!&lt;=table!$F$8),1,0))</f>
        <v>#REF!</v>
      </c>
      <c r="T1946" s="5"/>
      <c r="U1946" s="5" t="e">
        <f>IF(AND(#REF!&gt;=table!$C$10,#REF!&lt;= table!$D$10),-1,IF(AND(#REF!&gt;=table!$E$10,#REF!&lt;=table!$F$10),1,0))</f>
        <v>#REF!</v>
      </c>
      <c r="V1946" s="5" t="e">
        <f>IF(AND(#REF!&gt;=table!$C$11,#REF!&lt;= table!$D$11),-1,IF(AND(#REF!&gt;=table!$E$11,#REF!&lt;=table!$F$11),1,0))</f>
        <v>#REF!</v>
      </c>
      <c r="W1946" s="5" t="e">
        <f>CONCATENATE(dados[[#This Row],[fator1]],dados[[#This Row],[fator5]],dados[[#This Row],[fator6]])</f>
        <v>#REF!</v>
      </c>
    </row>
    <row r="1947" spans="1:23">
      <c r="A1947" t="s">
        <v>17</v>
      </c>
      <c r="B1947">
        <v>486508</v>
      </c>
      <c r="C1947">
        <v>16</v>
      </c>
      <c r="D1947">
        <v>30</v>
      </c>
      <c r="E1947">
        <v>150</v>
      </c>
      <c r="F1947">
        <v>8</v>
      </c>
      <c r="G1947">
        <v>28</v>
      </c>
      <c r="H1947">
        <v>25</v>
      </c>
      <c r="I1947">
        <v>0</v>
      </c>
      <c r="J1947">
        <v>0</v>
      </c>
      <c r="K1947">
        <v>4.3135000000000003</v>
      </c>
      <c r="L1947">
        <v>9.8420000000000005</v>
      </c>
      <c r="M1947">
        <v>115.655</v>
      </c>
      <c r="N1947">
        <v>13.13</v>
      </c>
      <c r="O1947">
        <v>1687</v>
      </c>
      <c r="P1947">
        <v>875</v>
      </c>
      <c r="Q1947" s="5" t="e">
        <f>IF(AND(#REF!&gt;=table!$C$6,#REF!&lt;= table!$D$6),-1,IF(AND(#REF!&gt;=table!$E$6,#REF!&lt;=table!$F$6),1,0))</f>
        <v>#REF!</v>
      </c>
      <c r="R1947" s="5" t="e">
        <f>IF(AND(#REF!&gt;=table!$C$7,#REF!&lt;= table!$D$7),-1,IF(AND(#REF!&gt;=table!$E$7,#REF!&lt;=table!$F$7),1,0))</f>
        <v>#REF!</v>
      </c>
      <c r="S1947" s="5" t="e">
        <f>IF(AND(#REF!&gt;=table!$C$8,#REF!&lt;= table!$D$8),-1,IF(AND(#REF!&gt;=table!$E$8,#REF!&lt;=table!$F$8),1,0))</f>
        <v>#REF!</v>
      </c>
      <c r="T1947" s="5"/>
      <c r="U1947" s="5" t="e">
        <f>IF(AND(#REF!&gt;=table!$C$10,#REF!&lt;= table!$D$10),-1,IF(AND(#REF!&gt;=table!$E$10,#REF!&lt;=table!$F$10),1,0))</f>
        <v>#REF!</v>
      </c>
      <c r="V1947" s="5" t="e">
        <f>IF(AND(#REF!&gt;=table!$C$11,#REF!&lt;= table!$D$11),-1,IF(AND(#REF!&gt;=table!$E$11,#REF!&lt;=table!$F$11),1,0))</f>
        <v>#REF!</v>
      </c>
      <c r="W1947" s="5" t="e">
        <f>CONCATENATE(dados[[#This Row],[fator1]],dados[[#This Row],[fator5]],dados[[#This Row],[fator6]])</f>
        <v>#REF!</v>
      </c>
    </row>
    <row r="1948" spans="1:23">
      <c r="A1948" t="s">
        <v>16</v>
      </c>
      <c r="B1948">
        <v>486509</v>
      </c>
      <c r="C1948">
        <v>12</v>
      </c>
      <c r="D1948">
        <v>40</v>
      </c>
      <c r="E1948">
        <v>36</v>
      </c>
      <c r="F1948">
        <v>15</v>
      </c>
      <c r="G1948">
        <v>0</v>
      </c>
      <c r="H1948">
        <v>25</v>
      </c>
      <c r="I1948">
        <v>695</v>
      </c>
      <c r="J1948">
        <v>0</v>
      </c>
      <c r="K1948">
        <v>5.6125000000000007</v>
      </c>
      <c r="L1948">
        <v>14.224500000000001</v>
      </c>
      <c r="M1948">
        <v>32.369</v>
      </c>
      <c r="N1948">
        <v>16.59</v>
      </c>
      <c r="O1948">
        <v>1683</v>
      </c>
      <c r="P1948">
        <v>606</v>
      </c>
      <c r="Q1948" s="5" t="e">
        <f>IF(AND(#REF!&gt;=table!$C$6,#REF!&lt;= table!$D$6),-1,IF(AND(#REF!&gt;=table!$E$6,#REF!&lt;=table!$F$6),1,0))</f>
        <v>#REF!</v>
      </c>
      <c r="R1948" s="5" t="e">
        <f>IF(AND(#REF!&gt;=table!$C$7,#REF!&lt;= table!$D$7),-1,IF(AND(#REF!&gt;=table!$E$7,#REF!&lt;=table!$F$7),1,0))</f>
        <v>#REF!</v>
      </c>
      <c r="S1948" s="5" t="e">
        <f>IF(AND(#REF!&gt;=table!$C$8,#REF!&lt;= table!$D$8),-1,IF(AND(#REF!&gt;=table!$E$8,#REF!&lt;=table!$F$8),1,0))</f>
        <v>#REF!</v>
      </c>
      <c r="T1948" s="5"/>
      <c r="U1948" s="5" t="e">
        <f>IF(AND(#REF!&gt;=table!$C$10,#REF!&lt;= table!$D$10),-1,IF(AND(#REF!&gt;=table!$E$10,#REF!&lt;=table!$F$10),1,0))</f>
        <v>#REF!</v>
      </c>
      <c r="V1948" s="5" t="e">
        <f>IF(AND(#REF!&gt;=table!$C$11,#REF!&lt;= table!$D$11),-1,IF(AND(#REF!&gt;=table!$E$11,#REF!&lt;=table!$F$11),1,0))</f>
        <v>#REF!</v>
      </c>
      <c r="W1948" s="5" t="e">
        <f>CONCATENATE(dados[[#This Row],[fator1]],dados[[#This Row],[fator5]],dados[[#This Row],[fator6]])</f>
        <v>#REF!</v>
      </c>
    </row>
    <row r="1949" spans="1:23">
      <c r="A1949" t="s">
        <v>17</v>
      </c>
      <c r="B1949">
        <v>486519</v>
      </c>
      <c r="C1949">
        <v>15</v>
      </c>
      <c r="D1949">
        <v>35</v>
      </c>
      <c r="E1949">
        <v>120</v>
      </c>
      <c r="F1949">
        <v>4</v>
      </c>
      <c r="G1949">
        <v>15</v>
      </c>
      <c r="H1949">
        <v>20</v>
      </c>
      <c r="I1949">
        <v>613</v>
      </c>
      <c r="J1949">
        <v>0</v>
      </c>
      <c r="K1949">
        <v>3.3680000000000003</v>
      </c>
      <c r="L1949">
        <v>6.5430000000000001</v>
      </c>
      <c r="M1949">
        <v>105.3605</v>
      </c>
      <c r="N1949">
        <v>11.65</v>
      </c>
      <c r="O1949">
        <v>1684</v>
      </c>
      <c r="P1949">
        <v>0</v>
      </c>
      <c r="Q1949" s="5" t="e">
        <f>IF(AND(#REF!&gt;=table!$C$6,#REF!&lt;= table!$D$6),-1,IF(AND(#REF!&gt;=table!$E$6,#REF!&lt;=table!$F$6),1,0))</f>
        <v>#REF!</v>
      </c>
      <c r="R1949" s="5" t="e">
        <f>IF(AND(#REF!&gt;=table!$C$7,#REF!&lt;= table!$D$7),-1,IF(AND(#REF!&gt;=table!$E$7,#REF!&lt;=table!$F$7),1,0))</f>
        <v>#REF!</v>
      </c>
      <c r="S1949" s="5" t="e">
        <f>IF(AND(#REF!&gt;=table!$C$8,#REF!&lt;= table!$D$8),-1,IF(AND(#REF!&gt;=table!$E$8,#REF!&lt;=table!$F$8),1,0))</f>
        <v>#REF!</v>
      </c>
      <c r="T1949" s="5"/>
      <c r="U1949" s="5" t="e">
        <f>IF(AND(#REF!&gt;=table!$C$10,#REF!&lt;= table!$D$10),-1,IF(AND(#REF!&gt;=table!$E$10,#REF!&lt;=table!$F$10),1,0))</f>
        <v>#REF!</v>
      </c>
      <c r="V1949" s="5" t="e">
        <f>IF(AND(#REF!&gt;=table!$C$11,#REF!&lt;= table!$D$11),-1,IF(AND(#REF!&gt;=table!$E$11,#REF!&lt;=table!$F$11),1,0))</f>
        <v>#REF!</v>
      </c>
      <c r="W1949" s="5" t="e">
        <f>CONCATENATE(dados[[#This Row],[fator1]],dados[[#This Row],[fator5]],dados[[#This Row],[fator6]])</f>
        <v>#REF!</v>
      </c>
    </row>
    <row r="1950" spans="1:23">
      <c r="A1950" t="s">
        <v>16</v>
      </c>
      <c r="B1950">
        <v>486521</v>
      </c>
      <c r="C1950">
        <v>12</v>
      </c>
      <c r="D1950">
        <v>35</v>
      </c>
      <c r="E1950">
        <v>86</v>
      </c>
      <c r="F1950">
        <v>10</v>
      </c>
      <c r="G1950">
        <v>0</v>
      </c>
      <c r="H1950">
        <v>25</v>
      </c>
      <c r="I1950">
        <v>1060</v>
      </c>
      <c r="J1950">
        <v>0</v>
      </c>
      <c r="K1950">
        <v>5.1610000000000005</v>
      </c>
      <c r="L1950">
        <v>6.2095000000000002</v>
      </c>
      <c r="M1950">
        <v>73.109000000000009</v>
      </c>
      <c r="N1950">
        <v>12.755000000000001</v>
      </c>
      <c r="O1950">
        <v>1672</v>
      </c>
      <c r="P1950">
        <v>735</v>
      </c>
      <c r="Q1950" s="5" t="e">
        <f>IF(AND(#REF!&gt;=table!$C$6,#REF!&lt;= table!$D$6),-1,IF(AND(#REF!&gt;=table!$E$6,#REF!&lt;=table!$F$6),1,0))</f>
        <v>#REF!</v>
      </c>
      <c r="R1950" s="5" t="e">
        <f>IF(AND(#REF!&gt;=table!$C$7,#REF!&lt;= table!$D$7),-1,IF(AND(#REF!&gt;=table!$E$7,#REF!&lt;=table!$F$7),1,0))</f>
        <v>#REF!</v>
      </c>
      <c r="S1950" s="5" t="e">
        <f>IF(AND(#REF!&gt;=table!$C$8,#REF!&lt;= table!$D$8),-1,IF(AND(#REF!&gt;=table!$E$8,#REF!&lt;=table!$F$8),1,0))</f>
        <v>#REF!</v>
      </c>
      <c r="T1950" s="5"/>
      <c r="U1950" s="5" t="e">
        <f>IF(AND(#REF!&gt;=table!$C$10,#REF!&lt;= table!$D$10),-1,IF(AND(#REF!&gt;=table!$E$10,#REF!&lt;=table!$F$10),1,0))</f>
        <v>#REF!</v>
      </c>
      <c r="V1950" s="5" t="e">
        <f>IF(AND(#REF!&gt;=table!$C$11,#REF!&lt;= table!$D$11),-1,IF(AND(#REF!&gt;=table!$E$11,#REF!&lt;=table!$F$11),1,0))</f>
        <v>#REF!</v>
      </c>
      <c r="W1950" s="5" t="e">
        <f>CONCATENATE(dados[[#This Row],[fator1]],dados[[#This Row],[fator5]],dados[[#This Row],[fator6]])</f>
        <v>#REF!</v>
      </c>
    </row>
    <row r="1951" spans="1:23">
      <c r="A1951" t="s">
        <v>16</v>
      </c>
      <c r="B1951">
        <v>486522</v>
      </c>
      <c r="C1951">
        <v>12</v>
      </c>
      <c r="D1951">
        <v>35</v>
      </c>
      <c r="E1951">
        <v>86</v>
      </c>
      <c r="F1951">
        <v>10</v>
      </c>
      <c r="G1951">
        <v>0</v>
      </c>
      <c r="H1951">
        <v>25</v>
      </c>
      <c r="I1951">
        <v>880</v>
      </c>
      <c r="J1951">
        <v>0</v>
      </c>
      <c r="K1951">
        <v>3.6030000000000002</v>
      </c>
      <c r="L1951">
        <v>8.3350000000000009</v>
      </c>
      <c r="M1951">
        <v>78.347500000000011</v>
      </c>
      <c r="N1951">
        <v>14.875</v>
      </c>
      <c r="O1951">
        <v>1691</v>
      </c>
      <c r="P1951">
        <v>0</v>
      </c>
      <c r="Q1951" s="5" t="e">
        <f>IF(AND(#REF!&gt;=table!$C$6,#REF!&lt;= table!$D$6),-1,IF(AND(#REF!&gt;=table!$E$6,#REF!&lt;=table!$F$6),1,0))</f>
        <v>#REF!</v>
      </c>
      <c r="R1951" s="5" t="e">
        <f>IF(AND(#REF!&gt;=table!$C$7,#REF!&lt;= table!$D$7),-1,IF(AND(#REF!&gt;=table!$E$7,#REF!&lt;=table!$F$7),1,0))</f>
        <v>#REF!</v>
      </c>
      <c r="S1951" s="5" t="e">
        <f>IF(AND(#REF!&gt;=table!$C$8,#REF!&lt;= table!$D$8),-1,IF(AND(#REF!&gt;=table!$E$8,#REF!&lt;=table!$F$8),1,0))</f>
        <v>#REF!</v>
      </c>
      <c r="T1951" s="5"/>
      <c r="U1951" s="5" t="e">
        <f>IF(AND(#REF!&gt;=table!$C$10,#REF!&lt;= table!$D$10),-1,IF(AND(#REF!&gt;=table!$E$10,#REF!&lt;=table!$F$10),1,0))</f>
        <v>#REF!</v>
      </c>
      <c r="V1951" s="5" t="e">
        <f>IF(AND(#REF!&gt;=table!$C$11,#REF!&lt;= table!$D$11),-1,IF(AND(#REF!&gt;=table!$E$11,#REF!&lt;=table!$F$11),1,0))</f>
        <v>#REF!</v>
      </c>
      <c r="W1951" s="5" t="e">
        <f>CONCATENATE(dados[[#This Row],[fator1]],dados[[#This Row],[fator5]],dados[[#This Row],[fator6]])</f>
        <v>#REF!</v>
      </c>
    </row>
    <row r="1952" spans="1:23">
      <c r="A1952" t="s">
        <v>16</v>
      </c>
      <c r="B1952">
        <v>486523</v>
      </c>
      <c r="C1952">
        <v>12</v>
      </c>
      <c r="D1952">
        <v>35</v>
      </c>
      <c r="E1952">
        <v>86</v>
      </c>
      <c r="F1952">
        <v>10</v>
      </c>
      <c r="G1952">
        <v>0</v>
      </c>
      <c r="H1952">
        <v>25</v>
      </c>
      <c r="I1952">
        <v>318</v>
      </c>
      <c r="J1952">
        <v>0</v>
      </c>
      <c r="K1952">
        <v>5.1610000000000005</v>
      </c>
      <c r="L1952">
        <v>10.9025</v>
      </c>
      <c r="M1952">
        <v>73.302999999999997</v>
      </c>
      <c r="N1952">
        <v>15.035</v>
      </c>
      <c r="O1952">
        <v>1695</v>
      </c>
      <c r="P1952">
        <v>706</v>
      </c>
      <c r="Q1952" s="5" t="e">
        <f>IF(AND(#REF!&gt;=table!$C$6,#REF!&lt;= table!$D$6),-1,IF(AND(#REF!&gt;=table!$E$6,#REF!&lt;=table!$F$6),1,0))</f>
        <v>#REF!</v>
      </c>
      <c r="R1952" s="5" t="e">
        <f>IF(AND(#REF!&gt;=table!$C$7,#REF!&lt;= table!$D$7),-1,IF(AND(#REF!&gt;=table!$E$7,#REF!&lt;=table!$F$7),1,0))</f>
        <v>#REF!</v>
      </c>
      <c r="S1952" s="5" t="e">
        <f>IF(AND(#REF!&gt;=table!$C$8,#REF!&lt;= table!$D$8),-1,IF(AND(#REF!&gt;=table!$E$8,#REF!&lt;=table!$F$8),1,0))</f>
        <v>#REF!</v>
      </c>
      <c r="T1952" s="5"/>
      <c r="U1952" s="5" t="e">
        <f>IF(AND(#REF!&gt;=table!$C$10,#REF!&lt;= table!$D$10),-1,IF(AND(#REF!&gt;=table!$E$10,#REF!&lt;=table!$F$10),1,0))</f>
        <v>#REF!</v>
      </c>
      <c r="V1952" s="5" t="e">
        <f>IF(AND(#REF!&gt;=table!$C$11,#REF!&lt;= table!$D$11),-1,IF(AND(#REF!&gt;=table!$E$11,#REF!&lt;=table!$F$11),1,0))</f>
        <v>#REF!</v>
      </c>
      <c r="W1952" s="5" t="e">
        <f>CONCATENATE(dados[[#This Row],[fator1]],dados[[#This Row],[fator5]],dados[[#This Row],[fator6]])</f>
        <v>#REF!</v>
      </c>
    </row>
    <row r="1953" spans="1:23">
      <c r="A1953" t="s">
        <v>16</v>
      </c>
      <c r="B1953">
        <v>486524</v>
      </c>
      <c r="C1953">
        <v>12</v>
      </c>
      <c r="D1953">
        <v>35</v>
      </c>
      <c r="E1953">
        <v>86</v>
      </c>
      <c r="F1953">
        <v>10</v>
      </c>
      <c r="G1953">
        <v>0</v>
      </c>
      <c r="H1953">
        <v>25</v>
      </c>
      <c r="I1953">
        <v>456</v>
      </c>
      <c r="J1953">
        <v>0</v>
      </c>
      <c r="K1953">
        <v>12.1</v>
      </c>
      <c r="L1953">
        <v>12.19</v>
      </c>
      <c r="M1953">
        <v>108.18050000000001</v>
      </c>
      <c r="N1953">
        <v>15.530000000000001</v>
      </c>
      <c r="O1953">
        <v>1673</v>
      </c>
      <c r="P1953">
        <v>293</v>
      </c>
      <c r="Q1953" s="5" t="e">
        <f>IF(AND(#REF!&gt;=table!$C$6,#REF!&lt;= table!$D$6),-1,IF(AND(#REF!&gt;=table!$E$6,#REF!&lt;=table!$F$6),1,0))</f>
        <v>#REF!</v>
      </c>
      <c r="R1953" s="5" t="e">
        <f>IF(AND(#REF!&gt;=table!$C$7,#REF!&lt;= table!$D$7),-1,IF(AND(#REF!&gt;=table!$E$7,#REF!&lt;=table!$F$7),1,0))</f>
        <v>#REF!</v>
      </c>
      <c r="S1953" s="5" t="e">
        <f>IF(AND(#REF!&gt;=table!$C$8,#REF!&lt;= table!$D$8),-1,IF(AND(#REF!&gt;=table!$E$8,#REF!&lt;=table!$F$8),1,0))</f>
        <v>#REF!</v>
      </c>
      <c r="T1953" s="5"/>
      <c r="U1953" s="5" t="e">
        <f>IF(AND(#REF!&gt;=table!$C$10,#REF!&lt;= table!$D$10),-1,IF(AND(#REF!&gt;=table!$E$10,#REF!&lt;=table!$F$10),1,0))</f>
        <v>#REF!</v>
      </c>
      <c r="V1953" s="5" t="e">
        <f>IF(AND(#REF!&gt;=table!$C$11,#REF!&lt;= table!$D$11),-1,IF(AND(#REF!&gt;=table!$E$11,#REF!&lt;=table!$F$11),1,0))</f>
        <v>#REF!</v>
      </c>
      <c r="W1953" s="5" t="e">
        <f>CONCATENATE(dados[[#This Row],[fator1]],dados[[#This Row],[fator5]],dados[[#This Row],[fator6]])</f>
        <v>#REF!</v>
      </c>
    </row>
    <row r="1954" spans="1:23">
      <c r="A1954" t="s">
        <v>16</v>
      </c>
      <c r="B1954">
        <v>486525</v>
      </c>
      <c r="C1954">
        <v>12</v>
      </c>
      <c r="D1954">
        <v>35</v>
      </c>
      <c r="E1954">
        <v>86</v>
      </c>
      <c r="F1954">
        <v>10</v>
      </c>
      <c r="G1954">
        <v>0</v>
      </c>
      <c r="H1954">
        <v>25</v>
      </c>
      <c r="I1954">
        <v>20</v>
      </c>
      <c r="J1954">
        <v>0</v>
      </c>
      <c r="K1954">
        <v>10.912000000000001</v>
      </c>
      <c r="L1954">
        <v>11.268500000000001</v>
      </c>
      <c r="M1954">
        <v>72.212500000000006</v>
      </c>
      <c r="N1954">
        <v>14.59</v>
      </c>
      <c r="O1954">
        <v>1668</v>
      </c>
      <c r="P1954">
        <v>356</v>
      </c>
      <c r="Q1954" s="5" t="e">
        <f>IF(AND(#REF!&gt;=table!$C$6,#REF!&lt;= table!$D$6),-1,IF(AND(#REF!&gt;=table!$E$6,#REF!&lt;=table!$F$6),1,0))</f>
        <v>#REF!</v>
      </c>
      <c r="R1954" s="5" t="e">
        <f>IF(AND(#REF!&gt;=table!$C$7,#REF!&lt;= table!$D$7),-1,IF(AND(#REF!&gt;=table!$E$7,#REF!&lt;=table!$F$7),1,0))</f>
        <v>#REF!</v>
      </c>
      <c r="S1954" s="5" t="e">
        <f>IF(AND(#REF!&gt;=table!$C$8,#REF!&lt;= table!$D$8),-1,IF(AND(#REF!&gt;=table!$E$8,#REF!&lt;=table!$F$8),1,0))</f>
        <v>#REF!</v>
      </c>
      <c r="T1954" s="5"/>
      <c r="U1954" s="5" t="e">
        <f>IF(AND(#REF!&gt;=table!$C$10,#REF!&lt;= table!$D$10),-1,IF(AND(#REF!&gt;=table!$E$10,#REF!&lt;=table!$F$10),1,0))</f>
        <v>#REF!</v>
      </c>
      <c r="V1954" s="5" t="e">
        <f>IF(AND(#REF!&gt;=table!$C$11,#REF!&lt;= table!$D$11),-1,IF(AND(#REF!&gt;=table!$E$11,#REF!&lt;=table!$F$11),1,0))</f>
        <v>#REF!</v>
      </c>
      <c r="W1954" s="5" t="e">
        <f>CONCATENATE(dados[[#This Row],[fator1]],dados[[#This Row],[fator5]],dados[[#This Row],[fator6]])</f>
        <v>#REF!</v>
      </c>
    </row>
    <row r="1955" spans="1:23">
      <c r="A1955" t="s">
        <v>17</v>
      </c>
      <c r="B1955">
        <v>486527</v>
      </c>
      <c r="C1955">
        <v>16</v>
      </c>
      <c r="D1955">
        <v>23</v>
      </c>
      <c r="E1955">
        <v>145</v>
      </c>
      <c r="F1955">
        <v>9</v>
      </c>
      <c r="G1955">
        <v>30</v>
      </c>
      <c r="H1955">
        <v>25</v>
      </c>
      <c r="I1955">
        <v>1338</v>
      </c>
      <c r="J1955">
        <v>0</v>
      </c>
      <c r="K1955">
        <v>3.7795000000000001</v>
      </c>
      <c r="L1955">
        <v>8.9615000000000009</v>
      </c>
      <c r="M1955">
        <v>81.052999999999997</v>
      </c>
      <c r="N1955">
        <v>17.43</v>
      </c>
      <c r="O1955">
        <v>1674</v>
      </c>
      <c r="P1955">
        <v>686</v>
      </c>
      <c r="Q1955" s="5" t="e">
        <f>IF(AND(#REF!&gt;=table!$C$6,#REF!&lt;= table!$D$6),-1,IF(AND(#REF!&gt;=table!$E$6,#REF!&lt;=table!$F$6),1,0))</f>
        <v>#REF!</v>
      </c>
      <c r="R1955" s="5" t="e">
        <f>IF(AND(#REF!&gt;=table!$C$7,#REF!&lt;= table!$D$7),-1,IF(AND(#REF!&gt;=table!$E$7,#REF!&lt;=table!$F$7),1,0))</f>
        <v>#REF!</v>
      </c>
      <c r="S1955" s="5" t="e">
        <f>IF(AND(#REF!&gt;=table!$C$8,#REF!&lt;= table!$D$8),-1,IF(AND(#REF!&gt;=table!$E$8,#REF!&lt;=table!$F$8),1,0))</f>
        <v>#REF!</v>
      </c>
      <c r="T1955" s="5"/>
      <c r="U1955" s="5" t="e">
        <f>IF(AND(#REF!&gt;=table!$C$10,#REF!&lt;= table!$D$10),-1,IF(AND(#REF!&gt;=table!$E$10,#REF!&lt;=table!$F$10),1,0))</f>
        <v>#REF!</v>
      </c>
      <c r="V1955" s="5" t="e">
        <f>IF(AND(#REF!&gt;=table!$C$11,#REF!&lt;= table!$D$11),-1,IF(AND(#REF!&gt;=table!$E$11,#REF!&lt;=table!$F$11),1,0))</f>
        <v>#REF!</v>
      </c>
      <c r="W1955" s="5" t="e">
        <f>CONCATENATE(dados[[#This Row],[fator1]],dados[[#This Row],[fator5]],dados[[#This Row],[fator6]])</f>
        <v>#REF!</v>
      </c>
    </row>
    <row r="1956" spans="1:23">
      <c r="A1956" t="s">
        <v>17</v>
      </c>
      <c r="B1956">
        <v>486528</v>
      </c>
      <c r="C1956">
        <v>16</v>
      </c>
      <c r="D1956">
        <v>23</v>
      </c>
      <c r="E1956">
        <v>145</v>
      </c>
      <c r="F1956">
        <v>9</v>
      </c>
      <c r="G1956">
        <v>30</v>
      </c>
      <c r="H1956">
        <v>25</v>
      </c>
      <c r="I1956">
        <v>892</v>
      </c>
      <c r="J1956">
        <v>0</v>
      </c>
      <c r="K1956">
        <v>3.472</v>
      </c>
      <c r="L1956">
        <v>6.3680000000000003</v>
      </c>
      <c r="M1956">
        <v>83.0685</v>
      </c>
      <c r="N1956">
        <v>13.325000000000001</v>
      </c>
      <c r="O1956">
        <v>1668</v>
      </c>
      <c r="P1956">
        <v>962</v>
      </c>
      <c r="Q1956" s="5" t="e">
        <f>IF(AND(#REF!&gt;=table!$C$6,#REF!&lt;= table!$D$6),-1,IF(AND(#REF!&gt;=table!$E$6,#REF!&lt;=table!$F$6),1,0))</f>
        <v>#REF!</v>
      </c>
      <c r="R1956" s="5" t="e">
        <f>IF(AND(#REF!&gt;=table!$C$7,#REF!&lt;= table!$D$7),-1,IF(AND(#REF!&gt;=table!$E$7,#REF!&lt;=table!$F$7),1,0))</f>
        <v>#REF!</v>
      </c>
      <c r="S1956" s="5" t="e">
        <f>IF(AND(#REF!&gt;=table!$C$8,#REF!&lt;= table!$D$8),-1,IF(AND(#REF!&gt;=table!$E$8,#REF!&lt;=table!$F$8),1,0))</f>
        <v>#REF!</v>
      </c>
      <c r="T1956" s="5"/>
      <c r="U1956" s="5" t="e">
        <f>IF(AND(#REF!&gt;=table!$C$10,#REF!&lt;= table!$D$10),-1,IF(AND(#REF!&gt;=table!$E$10,#REF!&lt;=table!$F$10),1,0))</f>
        <v>#REF!</v>
      </c>
      <c r="V1956" s="5" t="e">
        <f>IF(AND(#REF!&gt;=table!$C$11,#REF!&lt;= table!$D$11),-1,IF(AND(#REF!&gt;=table!$E$11,#REF!&lt;=table!$F$11),1,0))</f>
        <v>#REF!</v>
      </c>
      <c r="W1956" s="5" t="e">
        <f>CONCATENATE(dados[[#This Row],[fator1]],dados[[#This Row],[fator5]],dados[[#This Row],[fator6]])</f>
        <v>#REF!</v>
      </c>
    </row>
    <row r="1957" spans="1:23">
      <c r="A1957" t="s">
        <v>16</v>
      </c>
      <c r="B1957">
        <v>486529</v>
      </c>
      <c r="C1957">
        <v>11</v>
      </c>
      <c r="D1957">
        <v>40</v>
      </c>
      <c r="E1957">
        <v>151</v>
      </c>
      <c r="F1957">
        <v>8</v>
      </c>
      <c r="G1957">
        <v>0</v>
      </c>
      <c r="H1957">
        <v>25</v>
      </c>
      <c r="I1957">
        <v>1050</v>
      </c>
      <c r="J1957">
        <v>920</v>
      </c>
      <c r="K1957">
        <v>3.7800000000000002</v>
      </c>
      <c r="L1957">
        <v>8.9619999999999997</v>
      </c>
      <c r="M1957">
        <v>84.773499999999999</v>
      </c>
      <c r="N1957">
        <v>15.175000000000001</v>
      </c>
      <c r="O1957">
        <v>1655</v>
      </c>
      <c r="P1957">
        <v>0</v>
      </c>
      <c r="Q1957" s="5" t="e">
        <f>IF(AND(#REF!&gt;=table!$C$6,#REF!&lt;= table!$D$6),-1,IF(AND(#REF!&gt;=table!$E$6,#REF!&lt;=table!$F$6),1,0))</f>
        <v>#REF!</v>
      </c>
      <c r="R1957" s="5" t="e">
        <f>IF(AND(#REF!&gt;=table!$C$7,#REF!&lt;= table!$D$7),-1,IF(AND(#REF!&gt;=table!$E$7,#REF!&lt;=table!$F$7),1,0))</f>
        <v>#REF!</v>
      </c>
      <c r="S1957" s="5" t="e">
        <f>IF(AND(#REF!&gt;=table!$C$8,#REF!&lt;= table!$D$8),-1,IF(AND(#REF!&gt;=table!$E$8,#REF!&lt;=table!$F$8),1,0))</f>
        <v>#REF!</v>
      </c>
      <c r="T1957" s="5"/>
      <c r="U1957" s="5" t="e">
        <f>IF(AND(#REF!&gt;=table!$C$10,#REF!&lt;= table!$D$10),-1,IF(AND(#REF!&gt;=table!$E$10,#REF!&lt;=table!$F$10),1,0))</f>
        <v>#REF!</v>
      </c>
      <c r="V1957" s="5" t="e">
        <f>IF(AND(#REF!&gt;=table!$C$11,#REF!&lt;= table!$D$11),-1,IF(AND(#REF!&gt;=table!$E$11,#REF!&lt;=table!$F$11),1,0))</f>
        <v>#REF!</v>
      </c>
      <c r="W1957" s="5" t="e">
        <f>CONCATENATE(dados[[#This Row],[fator1]],dados[[#This Row],[fator5]],dados[[#This Row],[fator6]])</f>
        <v>#REF!</v>
      </c>
    </row>
    <row r="1958" spans="1:23">
      <c r="A1958" t="s">
        <v>16</v>
      </c>
      <c r="B1958">
        <v>486530</v>
      </c>
      <c r="C1958">
        <v>11</v>
      </c>
      <c r="D1958">
        <v>40</v>
      </c>
      <c r="E1958">
        <v>151</v>
      </c>
      <c r="F1958">
        <v>8</v>
      </c>
      <c r="G1958">
        <v>0</v>
      </c>
      <c r="H1958">
        <v>25</v>
      </c>
      <c r="I1958">
        <v>630</v>
      </c>
      <c r="J1958">
        <v>0</v>
      </c>
      <c r="K1958">
        <v>3.6485000000000003</v>
      </c>
      <c r="L1958">
        <v>4.0790000000000006</v>
      </c>
      <c r="M1958">
        <v>78.058999999999997</v>
      </c>
      <c r="N1958">
        <v>8.4050000000000011</v>
      </c>
      <c r="O1958">
        <v>1668</v>
      </c>
      <c r="P1958">
        <v>0</v>
      </c>
      <c r="Q1958" s="5" t="e">
        <f>IF(AND(#REF!&gt;=table!$C$6,#REF!&lt;= table!$D$6),-1,IF(AND(#REF!&gt;=table!$E$6,#REF!&lt;=table!$F$6),1,0))</f>
        <v>#REF!</v>
      </c>
      <c r="R1958" s="5" t="e">
        <f>IF(AND(#REF!&gt;=table!$C$7,#REF!&lt;= table!$D$7),-1,IF(AND(#REF!&gt;=table!$E$7,#REF!&lt;=table!$F$7),1,0))</f>
        <v>#REF!</v>
      </c>
      <c r="S1958" s="5" t="e">
        <f>IF(AND(#REF!&gt;=table!$C$8,#REF!&lt;= table!$D$8),-1,IF(AND(#REF!&gt;=table!$E$8,#REF!&lt;=table!$F$8),1,0))</f>
        <v>#REF!</v>
      </c>
      <c r="T1958" s="5"/>
      <c r="U1958" s="5" t="e">
        <f>IF(AND(#REF!&gt;=table!$C$10,#REF!&lt;= table!$D$10),-1,IF(AND(#REF!&gt;=table!$E$10,#REF!&lt;=table!$F$10),1,0))</f>
        <v>#REF!</v>
      </c>
      <c r="V1958" s="5" t="e">
        <f>IF(AND(#REF!&gt;=table!$C$11,#REF!&lt;= table!$D$11),-1,IF(AND(#REF!&gt;=table!$E$11,#REF!&lt;=table!$F$11),1,0))</f>
        <v>#REF!</v>
      </c>
      <c r="W1958" s="5" t="e">
        <f>CONCATENATE(dados[[#This Row],[fator1]],dados[[#This Row],[fator5]],dados[[#This Row],[fator6]])</f>
        <v>#REF!</v>
      </c>
    </row>
    <row r="1959" spans="1:23">
      <c r="A1959" t="s">
        <v>16</v>
      </c>
      <c r="B1959">
        <v>486531</v>
      </c>
      <c r="C1959">
        <v>11</v>
      </c>
      <c r="D1959">
        <v>40</v>
      </c>
      <c r="E1959">
        <v>151</v>
      </c>
      <c r="F1959">
        <v>8</v>
      </c>
      <c r="G1959">
        <v>0</v>
      </c>
      <c r="H1959">
        <v>25</v>
      </c>
      <c r="I1959">
        <v>1059</v>
      </c>
      <c r="J1959">
        <v>490</v>
      </c>
      <c r="K1959">
        <v>3.343</v>
      </c>
      <c r="L1959">
        <v>5.8475000000000001</v>
      </c>
      <c r="M1959">
        <v>104.74600000000001</v>
      </c>
      <c r="N1959">
        <v>11.785</v>
      </c>
      <c r="O1959">
        <v>1686</v>
      </c>
      <c r="P1959">
        <v>0</v>
      </c>
      <c r="Q1959" s="5" t="e">
        <f>IF(AND(#REF!&gt;=table!$C$6,#REF!&lt;= table!$D$6),-1,IF(AND(#REF!&gt;=table!$E$6,#REF!&lt;=table!$F$6),1,0))</f>
        <v>#REF!</v>
      </c>
      <c r="R1959" s="5" t="e">
        <f>IF(AND(#REF!&gt;=table!$C$7,#REF!&lt;= table!$D$7),-1,IF(AND(#REF!&gt;=table!$E$7,#REF!&lt;=table!$F$7),1,0))</f>
        <v>#REF!</v>
      </c>
      <c r="S1959" s="5" t="e">
        <f>IF(AND(#REF!&gt;=table!$C$8,#REF!&lt;= table!$D$8),-1,IF(AND(#REF!&gt;=table!$E$8,#REF!&lt;=table!$F$8),1,0))</f>
        <v>#REF!</v>
      </c>
      <c r="T1959" s="5"/>
      <c r="U1959" s="5" t="e">
        <f>IF(AND(#REF!&gt;=table!$C$10,#REF!&lt;= table!$D$10),-1,IF(AND(#REF!&gt;=table!$E$10,#REF!&lt;=table!$F$10),1,0))</f>
        <v>#REF!</v>
      </c>
      <c r="V1959" s="5" t="e">
        <f>IF(AND(#REF!&gt;=table!$C$11,#REF!&lt;= table!$D$11),-1,IF(AND(#REF!&gt;=table!$E$11,#REF!&lt;=table!$F$11),1,0))</f>
        <v>#REF!</v>
      </c>
      <c r="W1959" s="5" t="e">
        <f>CONCATENATE(dados[[#This Row],[fator1]],dados[[#This Row],[fator5]],dados[[#This Row],[fator6]])</f>
        <v>#REF!</v>
      </c>
    </row>
    <row r="1960" spans="1:23">
      <c r="A1960" t="s">
        <v>16</v>
      </c>
      <c r="B1960">
        <v>486533</v>
      </c>
      <c r="C1960">
        <v>11</v>
      </c>
      <c r="D1960">
        <v>40</v>
      </c>
      <c r="E1960">
        <v>151</v>
      </c>
      <c r="F1960">
        <v>8</v>
      </c>
      <c r="G1960">
        <v>0</v>
      </c>
      <c r="H1960">
        <v>25</v>
      </c>
      <c r="I1960">
        <v>444</v>
      </c>
      <c r="J1960">
        <v>0</v>
      </c>
      <c r="K1960">
        <v>4.9235000000000007</v>
      </c>
      <c r="L1960">
        <v>10.477500000000001</v>
      </c>
      <c r="M1960">
        <v>139.98600000000002</v>
      </c>
      <c r="N1960">
        <v>14.41</v>
      </c>
      <c r="O1960">
        <v>1670</v>
      </c>
      <c r="P1960">
        <v>470</v>
      </c>
      <c r="Q1960" s="5" t="e">
        <f>IF(AND(#REF!&gt;=table!$C$6,#REF!&lt;= table!$D$6),-1,IF(AND(#REF!&gt;=table!$E$6,#REF!&lt;=table!$F$6),1,0))</f>
        <v>#REF!</v>
      </c>
      <c r="R1960" s="5" t="e">
        <f>IF(AND(#REF!&gt;=table!$C$7,#REF!&lt;= table!$D$7),-1,IF(AND(#REF!&gt;=table!$E$7,#REF!&lt;=table!$F$7),1,0))</f>
        <v>#REF!</v>
      </c>
      <c r="S1960" s="5" t="e">
        <f>IF(AND(#REF!&gt;=table!$C$8,#REF!&lt;= table!$D$8),-1,IF(AND(#REF!&gt;=table!$E$8,#REF!&lt;=table!$F$8),1,0))</f>
        <v>#REF!</v>
      </c>
      <c r="T1960" s="5"/>
      <c r="U1960" s="5" t="e">
        <f>IF(AND(#REF!&gt;=table!$C$10,#REF!&lt;= table!$D$10),-1,IF(AND(#REF!&gt;=table!$E$10,#REF!&lt;=table!$F$10),1,0))</f>
        <v>#REF!</v>
      </c>
      <c r="V1960" s="5" t="e">
        <f>IF(AND(#REF!&gt;=table!$C$11,#REF!&lt;= table!$D$11),-1,IF(AND(#REF!&gt;=table!$E$11,#REF!&lt;=table!$F$11),1,0))</f>
        <v>#REF!</v>
      </c>
      <c r="W1960" s="5" t="e">
        <f>CONCATENATE(dados[[#This Row],[fator1]],dados[[#This Row],[fator5]],dados[[#This Row],[fator6]])</f>
        <v>#REF!</v>
      </c>
    </row>
    <row r="1961" spans="1:23">
      <c r="A1961" t="s">
        <v>17</v>
      </c>
      <c r="B1961">
        <v>486534</v>
      </c>
      <c r="C1961">
        <v>8</v>
      </c>
      <c r="D1961">
        <v>30</v>
      </c>
      <c r="E1961">
        <v>153</v>
      </c>
      <c r="F1961">
        <v>2</v>
      </c>
      <c r="G1961">
        <v>20</v>
      </c>
      <c r="H1961">
        <v>18</v>
      </c>
      <c r="I1961">
        <v>234</v>
      </c>
      <c r="J1961">
        <v>0</v>
      </c>
      <c r="K1961">
        <v>6.1995000000000005</v>
      </c>
      <c r="L1961">
        <v>9.2729999999999997</v>
      </c>
      <c r="M1961">
        <v>104.21650000000001</v>
      </c>
      <c r="N1961">
        <v>11.120000000000001</v>
      </c>
      <c r="O1961">
        <v>1662</v>
      </c>
      <c r="P1961">
        <v>573</v>
      </c>
      <c r="Q1961" s="5" t="e">
        <f>IF(AND(#REF!&gt;=table!$C$6,#REF!&lt;= table!$D$6),-1,IF(AND(#REF!&gt;=table!$E$6,#REF!&lt;=table!$F$6),1,0))</f>
        <v>#REF!</v>
      </c>
      <c r="R1961" s="5" t="e">
        <f>IF(AND(#REF!&gt;=table!$C$7,#REF!&lt;= table!$D$7),-1,IF(AND(#REF!&gt;=table!$E$7,#REF!&lt;=table!$F$7),1,0))</f>
        <v>#REF!</v>
      </c>
      <c r="S1961" s="5" t="e">
        <f>IF(AND(#REF!&gt;=table!$C$8,#REF!&lt;= table!$D$8),-1,IF(AND(#REF!&gt;=table!$E$8,#REF!&lt;=table!$F$8),1,0))</f>
        <v>#REF!</v>
      </c>
      <c r="T1961" s="5"/>
      <c r="U1961" s="5" t="e">
        <f>IF(AND(#REF!&gt;=table!$C$10,#REF!&lt;= table!$D$10),-1,IF(AND(#REF!&gt;=table!$E$10,#REF!&lt;=table!$F$10),1,0))</f>
        <v>#REF!</v>
      </c>
      <c r="V1961" s="5" t="e">
        <f>IF(AND(#REF!&gt;=table!$C$11,#REF!&lt;= table!$D$11),-1,IF(AND(#REF!&gt;=table!$E$11,#REF!&lt;=table!$F$11),1,0))</f>
        <v>#REF!</v>
      </c>
      <c r="W1961" s="5" t="e">
        <f>CONCATENATE(dados[[#This Row],[fator1]],dados[[#This Row],[fator5]],dados[[#This Row],[fator6]])</f>
        <v>#REF!</v>
      </c>
    </row>
    <row r="1962" spans="1:23">
      <c r="A1962" t="s">
        <v>16</v>
      </c>
      <c r="B1962">
        <v>486536</v>
      </c>
      <c r="C1962">
        <v>11</v>
      </c>
      <c r="D1962">
        <v>40</v>
      </c>
      <c r="E1962">
        <v>151</v>
      </c>
      <c r="F1962">
        <v>8</v>
      </c>
      <c r="G1962">
        <v>0</v>
      </c>
      <c r="H1962">
        <v>25</v>
      </c>
      <c r="I1962">
        <v>1026</v>
      </c>
      <c r="J1962">
        <v>0</v>
      </c>
      <c r="K1962">
        <v>10.312000000000001</v>
      </c>
      <c r="L1962">
        <v>13.269500000000001</v>
      </c>
      <c r="M1962">
        <v>99.9435</v>
      </c>
      <c r="N1962">
        <v>14.475000000000001</v>
      </c>
      <c r="O1962">
        <v>1665</v>
      </c>
      <c r="P1962">
        <v>361</v>
      </c>
      <c r="Q1962" s="5" t="e">
        <f>IF(AND(#REF!&gt;=table!$C$6,#REF!&lt;= table!$D$6),-1,IF(AND(#REF!&gt;=table!$E$6,#REF!&lt;=table!$F$6),1,0))</f>
        <v>#REF!</v>
      </c>
      <c r="R1962" s="5" t="e">
        <f>IF(AND(#REF!&gt;=table!$C$7,#REF!&lt;= table!$D$7),-1,IF(AND(#REF!&gt;=table!$E$7,#REF!&lt;=table!$F$7),1,0))</f>
        <v>#REF!</v>
      </c>
      <c r="S1962" s="5" t="e">
        <f>IF(AND(#REF!&gt;=table!$C$8,#REF!&lt;= table!$D$8),-1,IF(AND(#REF!&gt;=table!$E$8,#REF!&lt;=table!$F$8),1,0))</f>
        <v>#REF!</v>
      </c>
      <c r="T1962" s="5"/>
      <c r="U1962" s="5" t="e">
        <f>IF(AND(#REF!&gt;=table!$C$10,#REF!&lt;= table!$D$10),-1,IF(AND(#REF!&gt;=table!$E$10,#REF!&lt;=table!$F$10),1,0))</f>
        <v>#REF!</v>
      </c>
      <c r="V1962" s="5" t="e">
        <f>IF(AND(#REF!&gt;=table!$C$11,#REF!&lt;= table!$D$11),-1,IF(AND(#REF!&gt;=table!$E$11,#REF!&lt;=table!$F$11),1,0))</f>
        <v>#REF!</v>
      </c>
      <c r="W1962" s="5" t="e">
        <f>CONCATENATE(dados[[#This Row],[fator1]],dados[[#This Row],[fator5]],dados[[#This Row],[fator6]])</f>
        <v>#REF!</v>
      </c>
    </row>
    <row r="1963" spans="1:23">
      <c r="A1963" t="s">
        <v>16</v>
      </c>
      <c r="B1963">
        <v>486537</v>
      </c>
      <c r="C1963">
        <v>0.15</v>
      </c>
      <c r="D1963">
        <v>35</v>
      </c>
      <c r="E1963">
        <v>15</v>
      </c>
      <c r="F1963">
        <v>10</v>
      </c>
      <c r="G1963">
        <v>0</v>
      </c>
      <c r="H1963">
        <v>12</v>
      </c>
      <c r="I1963">
        <v>1177</v>
      </c>
      <c r="J1963">
        <v>0</v>
      </c>
      <c r="K1963">
        <v>6.9135</v>
      </c>
      <c r="L1963">
        <v>10.312000000000001</v>
      </c>
      <c r="M1963">
        <v>10.009</v>
      </c>
      <c r="N1963">
        <v>10.555</v>
      </c>
      <c r="O1963">
        <v>1676</v>
      </c>
      <c r="P1963">
        <v>527</v>
      </c>
      <c r="Q1963" s="5" t="e">
        <f>IF(AND(#REF!&gt;=table!$C$6,#REF!&lt;= table!$D$6),-1,IF(AND(#REF!&gt;=table!$E$6,#REF!&lt;=table!$F$6),1,0))</f>
        <v>#REF!</v>
      </c>
      <c r="R1963" s="5" t="e">
        <f>IF(AND(#REF!&gt;=table!$C$7,#REF!&lt;= table!$D$7),-1,IF(AND(#REF!&gt;=table!$E$7,#REF!&lt;=table!$F$7),1,0))</f>
        <v>#REF!</v>
      </c>
      <c r="S1963" s="5" t="e">
        <f>IF(AND(#REF!&gt;=table!$C$8,#REF!&lt;= table!$D$8),-1,IF(AND(#REF!&gt;=table!$E$8,#REF!&lt;=table!$F$8),1,0))</f>
        <v>#REF!</v>
      </c>
      <c r="T1963" s="5"/>
      <c r="U1963" s="5" t="e">
        <f>IF(AND(#REF!&gt;=table!$C$10,#REF!&lt;= table!$D$10),-1,IF(AND(#REF!&gt;=table!$E$10,#REF!&lt;=table!$F$10),1,0))</f>
        <v>#REF!</v>
      </c>
      <c r="V1963" s="5" t="e">
        <f>IF(AND(#REF!&gt;=table!$C$11,#REF!&lt;= table!$D$11),-1,IF(AND(#REF!&gt;=table!$E$11,#REF!&lt;=table!$F$11),1,0))</f>
        <v>#REF!</v>
      </c>
      <c r="W1963" s="5" t="e">
        <f>CONCATENATE(dados[[#This Row],[fator1]],dados[[#This Row],[fator5]],dados[[#This Row],[fator6]])</f>
        <v>#REF!</v>
      </c>
    </row>
    <row r="1964" spans="1:23">
      <c r="A1964" t="s">
        <v>16</v>
      </c>
      <c r="B1964">
        <v>486538</v>
      </c>
      <c r="C1964">
        <v>0.15</v>
      </c>
      <c r="D1964">
        <v>35</v>
      </c>
      <c r="E1964">
        <v>15</v>
      </c>
      <c r="F1964">
        <v>10</v>
      </c>
      <c r="G1964">
        <v>0</v>
      </c>
      <c r="H1964">
        <v>12</v>
      </c>
      <c r="I1964">
        <v>562</v>
      </c>
      <c r="J1964">
        <v>1420</v>
      </c>
      <c r="K1964">
        <v>4.38</v>
      </c>
      <c r="L1964">
        <v>6.9580000000000002</v>
      </c>
      <c r="M1964">
        <v>3.9915000000000003</v>
      </c>
      <c r="N1964">
        <v>6.91</v>
      </c>
      <c r="O1964">
        <v>1629</v>
      </c>
      <c r="P1964">
        <v>660</v>
      </c>
      <c r="Q1964" s="5" t="e">
        <f>IF(AND(#REF!&gt;=table!$C$6,#REF!&lt;= table!$D$6),-1,IF(AND(#REF!&gt;=table!$E$6,#REF!&lt;=table!$F$6),1,0))</f>
        <v>#REF!</v>
      </c>
      <c r="R1964" s="5" t="e">
        <f>IF(AND(#REF!&gt;=table!$C$7,#REF!&lt;= table!$D$7),-1,IF(AND(#REF!&gt;=table!$E$7,#REF!&lt;=table!$F$7),1,0))</f>
        <v>#REF!</v>
      </c>
      <c r="S1964" s="5" t="e">
        <f>IF(AND(#REF!&gt;=table!$C$8,#REF!&lt;= table!$D$8),-1,IF(AND(#REF!&gt;=table!$E$8,#REF!&lt;=table!$F$8),1,0))</f>
        <v>#REF!</v>
      </c>
      <c r="T1964" s="5"/>
      <c r="U1964" s="5" t="e">
        <f>IF(AND(#REF!&gt;=table!$C$10,#REF!&lt;= table!$D$10),-1,IF(AND(#REF!&gt;=table!$E$10,#REF!&lt;=table!$F$10),1,0))</f>
        <v>#REF!</v>
      </c>
      <c r="V1964" s="5" t="e">
        <f>IF(AND(#REF!&gt;=table!$C$11,#REF!&lt;= table!$D$11),-1,IF(AND(#REF!&gt;=table!$E$11,#REF!&lt;=table!$F$11),1,0))</f>
        <v>#REF!</v>
      </c>
      <c r="W1964" s="5" t="e">
        <f>CONCATENATE(dados[[#This Row],[fator1]],dados[[#This Row],[fator5]],dados[[#This Row],[fator6]])</f>
        <v>#REF!</v>
      </c>
    </row>
    <row r="1965" spans="1:23">
      <c r="A1965" t="s">
        <v>17</v>
      </c>
      <c r="B1965">
        <v>486540</v>
      </c>
      <c r="C1965">
        <v>9</v>
      </c>
      <c r="D1965">
        <v>25</v>
      </c>
      <c r="E1965">
        <v>130</v>
      </c>
      <c r="F1965">
        <v>3</v>
      </c>
      <c r="G1965">
        <v>20</v>
      </c>
      <c r="H1965">
        <v>21</v>
      </c>
      <c r="I1965">
        <v>502</v>
      </c>
      <c r="J1965">
        <v>0</v>
      </c>
      <c r="K1965">
        <v>7.8225000000000007</v>
      </c>
      <c r="L1965">
        <v>14.323</v>
      </c>
      <c r="M1965">
        <v>109.995</v>
      </c>
      <c r="N1965">
        <v>13.450000000000001</v>
      </c>
      <c r="O1965">
        <v>1670</v>
      </c>
      <c r="P1965">
        <v>0</v>
      </c>
      <c r="Q1965" s="5" t="e">
        <f>IF(AND(#REF!&gt;=table!$C$6,#REF!&lt;= table!$D$6),-1,IF(AND(#REF!&gt;=table!$E$6,#REF!&lt;=table!$F$6),1,0))</f>
        <v>#REF!</v>
      </c>
      <c r="R1965" s="5" t="e">
        <f>IF(AND(#REF!&gt;=table!$C$7,#REF!&lt;= table!$D$7),-1,IF(AND(#REF!&gt;=table!$E$7,#REF!&lt;=table!$F$7),1,0))</f>
        <v>#REF!</v>
      </c>
      <c r="S1965" s="5" t="e">
        <f>IF(AND(#REF!&gt;=table!$C$8,#REF!&lt;= table!$D$8),-1,IF(AND(#REF!&gt;=table!$E$8,#REF!&lt;=table!$F$8),1,0))</f>
        <v>#REF!</v>
      </c>
      <c r="T1965" s="5"/>
      <c r="U1965" s="5" t="e">
        <f>IF(AND(#REF!&gt;=table!$C$10,#REF!&lt;= table!$D$10),-1,IF(AND(#REF!&gt;=table!$E$10,#REF!&lt;=table!$F$10),1,0))</f>
        <v>#REF!</v>
      </c>
      <c r="V1965" s="5" t="e">
        <f>IF(AND(#REF!&gt;=table!$C$11,#REF!&lt;= table!$D$11),-1,IF(AND(#REF!&gt;=table!$E$11,#REF!&lt;=table!$F$11),1,0))</f>
        <v>#REF!</v>
      </c>
      <c r="W1965" s="5" t="e">
        <f>CONCATENATE(dados[[#This Row],[fator1]],dados[[#This Row],[fator5]],dados[[#This Row],[fator6]])</f>
        <v>#REF!</v>
      </c>
    </row>
    <row r="1966" spans="1:23">
      <c r="A1966" t="s">
        <v>17</v>
      </c>
      <c r="B1966">
        <v>486541</v>
      </c>
      <c r="C1966">
        <v>9</v>
      </c>
      <c r="D1966">
        <v>25</v>
      </c>
      <c r="E1966">
        <v>130</v>
      </c>
      <c r="F1966">
        <v>3</v>
      </c>
      <c r="G1966">
        <v>20</v>
      </c>
      <c r="H1966">
        <v>21</v>
      </c>
      <c r="I1966">
        <v>844</v>
      </c>
      <c r="J1966">
        <v>0</v>
      </c>
      <c r="K1966">
        <v>7.8285</v>
      </c>
      <c r="L1966">
        <v>15.166</v>
      </c>
      <c r="M1966">
        <v>115.81200000000001</v>
      </c>
      <c r="N1966">
        <v>16.72</v>
      </c>
      <c r="O1966">
        <v>1663</v>
      </c>
      <c r="P1966">
        <v>432</v>
      </c>
      <c r="Q1966" s="5" t="e">
        <f>IF(AND(#REF!&gt;=table!$C$6,#REF!&lt;= table!$D$6),-1,IF(AND(#REF!&gt;=table!$E$6,#REF!&lt;=table!$F$6),1,0))</f>
        <v>#REF!</v>
      </c>
      <c r="R1966" s="5" t="e">
        <f>IF(AND(#REF!&gt;=table!$C$7,#REF!&lt;= table!$D$7),-1,IF(AND(#REF!&gt;=table!$E$7,#REF!&lt;=table!$F$7),1,0))</f>
        <v>#REF!</v>
      </c>
      <c r="S1966" s="5" t="e">
        <f>IF(AND(#REF!&gt;=table!$C$8,#REF!&lt;= table!$D$8),-1,IF(AND(#REF!&gt;=table!$E$8,#REF!&lt;=table!$F$8),1,0))</f>
        <v>#REF!</v>
      </c>
      <c r="T1966" s="5"/>
      <c r="U1966" s="5" t="e">
        <f>IF(AND(#REF!&gt;=table!$C$10,#REF!&lt;= table!$D$10),-1,IF(AND(#REF!&gt;=table!$E$10,#REF!&lt;=table!$F$10),1,0))</f>
        <v>#REF!</v>
      </c>
      <c r="V1966" s="5" t="e">
        <f>IF(AND(#REF!&gt;=table!$C$11,#REF!&lt;= table!$D$11),-1,IF(AND(#REF!&gt;=table!$E$11,#REF!&lt;=table!$F$11),1,0))</f>
        <v>#REF!</v>
      </c>
      <c r="W1966" s="5" t="e">
        <f>CONCATENATE(dados[[#This Row],[fator1]],dados[[#This Row],[fator5]],dados[[#This Row],[fator6]])</f>
        <v>#REF!</v>
      </c>
    </row>
    <row r="1967" spans="1:23">
      <c r="A1967" t="s">
        <v>16</v>
      </c>
      <c r="B1967">
        <v>486545</v>
      </c>
      <c r="C1967">
        <v>10</v>
      </c>
      <c r="D1967">
        <v>38</v>
      </c>
      <c r="E1967">
        <v>150</v>
      </c>
      <c r="F1967">
        <v>4</v>
      </c>
      <c r="G1967">
        <v>0</v>
      </c>
      <c r="H1967">
        <v>25</v>
      </c>
      <c r="I1967">
        <v>226</v>
      </c>
      <c r="J1967">
        <v>0</v>
      </c>
      <c r="K1967">
        <v>5.6035000000000004</v>
      </c>
      <c r="L1967">
        <v>10.077</v>
      </c>
      <c r="M1967">
        <v>137.74850000000001</v>
      </c>
      <c r="N1967">
        <v>15.435</v>
      </c>
      <c r="O1967">
        <v>1668</v>
      </c>
      <c r="P1967">
        <v>0</v>
      </c>
      <c r="Q1967" s="5" t="e">
        <f>IF(AND(#REF!&gt;=table!$C$6,#REF!&lt;= table!$D$6),-1,IF(AND(#REF!&gt;=table!$E$6,#REF!&lt;=table!$F$6),1,0))</f>
        <v>#REF!</v>
      </c>
      <c r="R1967" s="5" t="e">
        <f>IF(AND(#REF!&gt;=table!$C$7,#REF!&lt;= table!$D$7),-1,IF(AND(#REF!&gt;=table!$E$7,#REF!&lt;=table!$F$7),1,0))</f>
        <v>#REF!</v>
      </c>
      <c r="S1967" s="5" t="e">
        <f>IF(AND(#REF!&gt;=table!$C$8,#REF!&lt;= table!$D$8),-1,IF(AND(#REF!&gt;=table!$E$8,#REF!&lt;=table!$F$8),1,0))</f>
        <v>#REF!</v>
      </c>
      <c r="T1967" s="5"/>
      <c r="U1967" s="5" t="e">
        <f>IF(AND(#REF!&gt;=table!$C$10,#REF!&lt;= table!$D$10),-1,IF(AND(#REF!&gt;=table!$E$10,#REF!&lt;=table!$F$10),1,0))</f>
        <v>#REF!</v>
      </c>
      <c r="V1967" s="5" t="e">
        <f>IF(AND(#REF!&gt;=table!$C$11,#REF!&lt;= table!$D$11),-1,IF(AND(#REF!&gt;=table!$E$11,#REF!&lt;=table!$F$11),1,0))</f>
        <v>#REF!</v>
      </c>
      <c r="W1967" s="5" t="e">
        <f>CONCATENATE(dados[[#This Row],[fator1]],dados[[#This Row],[fator5]],dados[[#This Row],[fator6]])</f>
        <v>#REF!</v>
      </c>
    </row>
    <row r="1968" spans="1:23">
      <c r="A1968" t="s">
        <v>16</v>
      </c>
      <c r="B1968">
        <v>486546</v>
      </c>
      <c r="C1968">
        <v>10</v>
      </c>
      <c r="D1968">
        <v>38</v>
      </c>
      <c r="E1968">
        <v>150</v>
      </c>
      <c r="F1968">
        <v>4</v>
      </c>
      <c r="G1968">
        <v>0</v>
      </c>
      <c r="H1968">
        <v>25</v>
      </c>
      <c r="I1968">
        <v>442</v>
      </c>
      <c r="J1968">
        <v>0</v>
      </c>
      <c r="K1968">
        <v>5.6040000000000001</v>
      </c>
      <c r="L1968">
        <v>10.077</v>
      </c>
      <c r="M1968">
        <v>122.74900000000001</v>
      </c>
      <c r="N1968">
        <v>13.08</v>
      </c>
      <c r="O1968">
        <v>1687</v>
      </c>
      <c r="P1968">
        <v>738</v>
      </c>
      <c r="Q1968" s="5" t="e">
        <f>IF(AND(#REF!&gt;=table!$C$6,#REF!&lt;= table!$D$6),-1,IF(AND(#REF!&gt;=table!$E$6,#REF!&lt;=table!$F$6),1,0))</f>
        <v>#REF!</v>
      </c>
      <c r="R1968" s="5" t="e">
        <f>IF(AND(#REF!&gt;=table!$C$7,#REF!&lt;= table!$D$7),-1,IF(AND(#REF!&gt;=table!$E$7,#REF!&lt;=table!$F$7),1,0))</f>
        <v>#REF!</v>
      </c>
      <c r="S1968" s="5" t="e">
        <f>IF(AND(#REF!&gt;=table!$C$8,#REF!&lt;= table!$D$8),-1,IF(AND(#REF!&gt;=table!$E$8,#REF!&lt;=table!$F$8),1,0))</f>
        <v>#REF!</v>
      </c>
      <c r="T1968" s="5"/>
      <c r="U1968" s="5" t="e">
        <f>IF(AND(#REF!&gt;=table!$C$10,#REF!&lt;= table!$D$10),-1,IF(AND(#REF!&gt;=table!$E$10,#REF!&lt;=table!$F$10),1,0))</f>
        <v>#REF!</v>
      </c>
      <c r="V1968" s="5" t="e">
        <f>IF(AND(#REF!&gt;=table!$C$11,#REF!&lt;= table!$D$11),-1,IF(AND(#REF!&gt;=table!$E$11,#REF!&lt;=table!$F$11),1,0))</f>
        <v>#REF!</v>
      </c>
      <c r="W1968" s="5" t="e">
        <f>CONCATENATE(dados[[#This Row],[fator1]],dados[[#This Row],[fator5]],dados[[#This Row],[fator6]])</f>
        <v>#REF!</v>
      </c>
    </row>
    <row r="1969" spans="1:23">
      <c r="A1969" t="s">
        <v>17</v>
      </c>
      <c r="B1969">
        <v>486553</v>
      </c>
      <c r="C1969">
        <v>46</v>
      </c>
      <c r="D1969">
        <v>18</v>
      </c>
      <c r="E1969">
        <v>66</v>
      </c>
      <c r="F1969">
        <v>10</v>
      </c>
      <c r="G1969">
        <v>20</v>
      </c>
      <c r="H1969">
        <v>23</v>
      </c>
      <c r="I1969">
        <v>669</v>
      </c>
      <c r="J1969">
        <v>0</v>
      </c>
      <c r="K1969">
        <v>6.6875</v>
      </c>
      <c r="L1969">
        <v>14.206000000000001</v>
      </c>
      <c r="M1969">
        <v>53.342000000000006</v>
      </c>
      <c r="N1969">
        <v>16.330000000000002</v>
      </c>
      <c r="O1969">
        <v>1651</v>
      </c>
      <c r="P1969">
        <v>542</v>
      </c>
      <c r="Q1969" s="5" t="e">
        <f>IF(AND(#REF!&gt;=table!$C$6,#REF!&lt;= table!$D$6),-1,IF(AND(#REF!&gt;=table!$E$6,#REF!&lt;=table!$F$6),1,0))</f>
        <v>#REF!</v>
      </c>
      <c r="R1969" s="5" t="e">
        <f>IF(AND(#REF!&gt;=table!$C$7,#REF!&lt;= table!$D$7),-1,IF(AND(#REF!&gt;=table!$E$7,#REF!&lt;=table!$F$7),1,0))</f>
        <v>#REF!</v>
      </c>
      <c r="S1969" s="5" t="e">
        <f>IF(AND(#REF!&gt;=table!$C$8,#REF!&lt;= table!$D$8),-1,IF(AND(#REF!&gt;=table!$E$8,#REF!&lt;=table!$F$8),1,0))</f>
        <v>#REF!</v>
      </c>
      <c r="T1969" s="5"/>
      <c r="U1969" s="5" t="e">
        <f>IF(AND(#REF!&gt;=table!$C$10,#REF!&lt;= table!$D$10),-1,IF(AND(#REF!&gt;=table!$E$10,#REF!&lt;=table!$F$10),1,0))</f>
        <v>#REF!</v>
      </c>
      <c r="V1969" s="5" t="e">
        <f>IF(AND(#REF!&gt;=table!$C$11,#REF!&lt;= table!$D$11),-1,IF(AND(#REF!&gt;=table!$E$11,#REF!&lt;=table!$F$11),1,0))</f>
        <v>#REF!</v>
      </c>
      <c r="W1969" s="5" t="e">
        <f>CONCATENATE(dados[[#This Row],[fator1]],dados[[#This Row],[fator5]],dados[[#This Row],[fator6]])</f>
        <v>#REF!</v>
      </c>
    </row>
    <row r="1970" spans="1:23">
      <c r="A1970" t="s">
        <v>16</v>
      </c>
      <c r="B1970">
        <v>486554</v>
      </c>
      <c r="C1970">
        <v>0.2</v>
      </c>
      <c r="D1970">
        <v>65</v>
      </c>
      <c r="E1970">
        <v>26</v>
      </c>
      <c r="F1970">
        <v>15</v>
      </c>
      <c r="G1970">
        <v>0</v>
      </c>
      <c r="H1970">
        <v>30</v>
      </c>
      <c r="I1970">
        <v>123</v>
      </c>
      <c r="J1970">
        <v>0</v>
      </c>
      <c r="K1970">
        <v>6.6844999999999999</v>
      </c>
      <c r="L1970">
        <v>10.2255</v>
      </c>
      <c r="M1970">
        <v>9.2240000000000002</v>
      </c>
      <c r="N1970">
        <v>13.705</v>
      </c>
      <c r="O1970">
        <v>1668</v>
      </c>
      <c r="P1970">
        <v>0</v>
      </c>
      <c r="Q1970" s="5" t="e">
        <f>IF(AND(#REF!&gt;=table!$C$6,#REF!&lt;= table!$D$6),-1,IF(AND(#REF!&gt;=table!$E$6,#REF!&lt;=table!$F$6),1,0))</f>
        <v>#REF!</v>
      </c>
      <c r="R1970" s="5" t="e">
        <f>IF(AND(#REF!&gt;=table!$C$7,#REF!&lt;= table!$D$7),-1,IF(AND(#REF!&gt;=table!$E$7,#REF!&lt;=table!$F$7),1,0))</f>
        <v>#REF!</v>
      </c>
      <c r="S1970" s="5" t="e">
        <f>IF(AND(#REF!&gt;=table!$C$8,#REF!&lt;= table!$D$8),-1,IF(AND(#REF!&gt;=table!$E$8,#REF!&lt;=table!$F$8),1,0))</f>
        <v>#REF!</v>
      </c>
      <c r="T1970" s="5"/>
      <c r="U1970" s="5" t="e">
        <f>IF(AND(#REF!&gt;=table!$C$10,#REF!&lt;= table!$D$10),-1,IF(AND(#REF!&gt;=table!$E$10,#REF!&lt;=table!$F$10),1,0))</f>
        <v>#REF!</v>
      </c>
      <c r="V1970" s="5" t="e">
        <f>IF(AND(#REF!&gt;=table!$C$11,#REF!&lt;= table!$D$11),-1,IF(AND(#REF!&gt;=table!$E$11,#REF!&lt;=table!$F$11),1,0))</f>
        <v>#REF!</v>
      </c>
      <c r="W1970" s="5" t="e">
        <f>CONCATENATE(dados[[#This Row],[fator1]],dados[[#This Row],[fator5]],dados[[#This Row],[fator6]])</f>
        <v>#REF!</v>
      </c>
    </row>
    <row r="1971" spans="1:23">
      <c r="A1971" t="s">
        <v>16</v>
      </c>
      <c r="B1971">
        <v>486556</v>
      </c>
      <c r="C1971">
        <v>0.23</v>
      </c>
      <c r="D1971">
        <v>65</v>
      </c>
      <c r="E1971">
        <v>26</v>
      </c>
      <c r="F1971">
        <v>15</v>
      </c>
      <c r="G1971">
        <v>0</v>
      </c>
      <c r="H1971">
        <v>35</v>
      </c>
      <c r="I1971">
        <v>886</v>
      </c>
      <c r="J1971">
        <v>820</v>
      </c>
      <c r="K1971">
        <v>10.1525</v>
      </c>
      <c r="L1971">
        <v>9.8290000000000006</v>
      </c>
      <c r="M1971">
        <v>8.1585000000000001</v>
      </c>
      <c r="N1971">
        <v>12.095000000000001</v>
      </c>
      <c r="O1971">
        <v>1656</v>
      </c>
      <c r="P1971">
        <v>350</v>
      </c>
      <c r="Q1971" s="5" t="e">
        <f>IF(AND(#REF!&gt;=table!$C$6,#REF!&lt;= table!$D$6),-1,IF(AND(#REF!&gt;=table!$E$6,#REF!&lt;=table!$F$6),1,0))</f>
        <v>#REF!</v>
      </c>
      <c r="R1971" s="5" t="e">
        <f>IF(AND(#REF!&gt;=table!$C$7,#REF!&lt;= table!$D$7),-1,IF(AND(#REF!&gt;=table!$E$7,#REF!&lt;=table!$F$7),1,0))</f>
        <v>#REF!</v>
      </c>
      <c r="S1971" s="5" t="e">
        <f>IF(AND(#REF!&gt;=table!$C$8,#REF!&lt;= table!$D$8),-1,IF(AND(#REF!&gt;=table!$E$8,#REF!&lt;=table!$F$8),1,0))</f>
        <v>#REF!</v>
      </c>
      <c r="T1971" s="5"/>
      <c r="U1971" s="5" t="e">
        <f>IF(AND(#REF!&gt;=table!$C$10,#REF!&lt;= table!$D$10),-1,IF(AND(#REF!&gt;=table!$E$10,#REF!&lt;=table!$F$10),1,0))</f>
        <v>#REF!</v>
      </c>
      <c r="V1971" s="5" t="e">
        <f>IF(AND(#REF!&gt;=table!$C$11,#REF!&lt;= table!$D$11),-1,IF(AND(#REF!&gt;=table!$E$11,#REF!&lt;=table!$F$11),1,0))</f>
        <v>#REF!</v>
      </c>
      <c r="W1971" s="5" t="e">
        <f>CONCATENATE(dados[[#This Row],[fator1]],dados[[#This Row],[fator5]],dados[[#This Row],[fator6]])</f>
        <v>#REF!</v>
      </c>
    </row>
    <row r="1972" spans="1:23">
      <c r="A1972" t="s">
        <v>16</v>
      </c>
      <c r="B1972">
        <v>486557</v>
      </c>
      <c r="C1972">
        <v>4</v>
      </c>
      <c r="D1972">
        <v>40</v>
      </c>
      <c r="E1972">
        <v>21</v>
      </c>
      <c r="F1972">
        <v>20</v>
      </c>
      <c r="G1972">
        <v>0</v>
      </c>
      <c r="H1972">
        <v>25</v>
      </c>
      <c r="I1972">
        <v>577</v>
      </c>
      <c r="J1972">
        <v>0</v>
      </c>
      <c r="K1972">
        <v>6.4625000000000004</v>
      </c>
      <c r="L1972">
        <v>13.196000000000002</v>
      </c>
      <c r="M1972">
        <v>11.193000000000001</v>
      </c>
      <c r="N1972">
        <v>15.06</v>
      </c>
      <c r="O1972">
        <v>1682</v>
      </c>
      <c r="P1972">
        <v>514</v>
      </c>
      <c r="Q1972" s="5" t="e">
        <f>IF(AND(#REF!&gt;=table!$C$6,#REF!&lt;= table!$D$6),-1,IF(AND(#REF!&gt;=table!$E$6,#REF!&lt;=table!$F$6),1,0))</f>
        <v>#REF!</v>
      </c>
      <c r="R1972" s="5" t="e">
        <f>IF(AND(#REF!&gt;=table!$C$7,#REF!&lt;= table!$D$7),-1,IF(AND(#REF!&gt;=table!$E$7,#REF!&lt;=table!$F$7),1,0))</f>
        <v>#REF!</v>
      </c>
      <c r="S1972" s="5" t="e">
        <f>IF(AND(#REF!&gt;=table!$C$8,#REF!&lt;= table!$D$8),-1,IF(AND(#REF!&gt;=table!$E$8,#REF!&lt;=table!$F$8),1,0))</f>
        <v>#REF!</v>
      </c>
      <c r="T1972" s="5"/>
      <c r="U1972" s="5" t="e">
        <f>IF(AND(#REF!&gt;=table!$C$10,#REF!&lt;= table!$D$10),-1,IF(AND(#REF!&gt;=table!$E$10,#REF!&lt;=table!$F$10),1,0))</f>
        <v>#REF!</v>
      </c>
      <c r="V1972" s="5" t="e">
        <f>IF(AND(#REF!&gt;=table!$C$11,#REF!&lt;= table!$D$11),-1,IF(AND(#REF!&gt;=table!$E$11,#REF!&lt;=table!$F$11),1,0))</f>
        <v>#REF!</v>
      </c>
      <c r="W1972" s="5" t="e">
        <f>CONCATENATE(dados[[#This Row],[fator1]],dados[[#This Row],[fator5]],dados[[#This Row],[fator6]])</f>
        <v>#REF!</v>
      </c>
    </row>
    <row r="1973" spans="1:23">
      <c r="A1973" t="s">
        <v>17</v>
      </c>
      <c r="B1973">
        <v>486558</v>
      </c>
      <c r="C1973">
        <v>13</v>
      </c>
      <c r="D1973">
        <v>30</v>
      </c>
      <c r="E1973">
        <v>106</v>
      </c>
      <c r="F1973">
        <v>10</v>
      </c>
      <c r="G1973">
        <v>20</v>
      </c>
      <c r="H1973">
        <v>25</v>
      </c>
      <c r="I1973">
        <v>1016</v>
      </c>
      <c r="J1973">
        <v>660</v>
      </c>
      <c r="K1973">
        <v>14.529500000000001</v>
      </c>
      <c r="L1973">
        <v>15.9815</v>
      </c>
      <c r="M1973">
        <v>74.889499999999998</v>
      </c>
      <c r="N1973">
        <v>14.59</v>
      </c>
      <c r="O1973">
        <v>1657</v>
      </c>
      <c r="P1973">
        <v>252</v>
      </c>
      <c r="Q1973" s="5" t="e">
        <f>IF(AND(#REF!&gt;=table!$C$6,#REF!&lt;= table!$D$6),-1,IF(AND(#REF!&gt;=table!$E$6,#REF!&lt;=table!$F$6),1,0))</f>
        <v>#REF!</v>
      </c>
      <c r="R1973" s="5" t="e">
        <f>IF(AND(#REF!&gt;=table!$C$7,#REF!&lt;= table!$D$7),-1,IF(AND(#REF!&gt;=table!$E$7,#REF!&lt;=table!$F$7),1,0))</f>
        <v>#REF!</v>
      </c>
      <c r="S1973" s="5" t="e">
        <f>IF(AND(#REF!&gt;=table!$C$8,#REF!&lt;= table!$D$8),-1,IF(AND(#REF!&gt;=table!$E$8,#REF!&lt;=table!$F$8),1,0))</f>
        <v>#REF!</v>
      </c>
      <c r="T1973" s="5"/>
      <c r="U1973" s="5" t="e">
        <f>IF(AND(#REF!&gt;=table!$C$10,#REF!&lt;= table!$D$10),-1,IF(AND(#REF!&gt;=table!$E$10,#REF!&lt;=table!$F$10),1,0))</f>
        <v>#REF!</v>
      </c>
      <c r="V1973" s="5" t="e">
        <f>IF(AND(#REF!&gt;=table!$C$11,#REF!&lt;= table!$D$11),-1,IF(AND(#REF!&gt;=table!$E$11,#REF!&lt;=table!$F$11),1,0))</f>
        <v>#REF!</v>
      </c>
      <c r="W1973" s="5" t="e">
        <f>CONCATENATE(dados[[#This Row],[fator1]],dados[[#This Row],[fator5]],dados[[#This Row],[fator6]])</f>
        <v>#REF!</v>
      </c>
    </row>
    <row r="1974" spans="1:23">
      <c r="A1974" t="s">
        <v>17</v>
      </c>
      <c r="B1974">
        <v>486559</v>
      </c>
      <c r="C1974">
        <v>10</v>
      </c>
      <c r="D1974">
        <v>25</v>
      </c>
      <c r="E1974">
        <v>40</v>
      </c>
      <c r="F1974">
        <v>10</v>
      </c>
      <c r="G1974">
        <v>110</v>
      </c>
      <c r="H1974">
        <v>50</v>
      </c>
      <c r="I1974">
        <v>605</v>
      </c>
      <c r="J1974">
        <v>0</v>
      </c>
      <c r="K1974">
        <v>6.508</v>
      </c>
      <c r="L1974">
        <v>11.2415</v>
      </c>
      <c r="M1974">
        <v>33.154499999999999</v>
      </c>
      <c r="N1974">
        <v>30.875</v>
      </c>
      <c r="O1974">
        <v>1665</v>
      </c>
      <c r="P1974">
        <v>528</v>
      </c>
      <c r="Q1974" s="5" t="e">
        <f>IF(AND(#REF!&gt;=table!$C$6,#REF!&lt;= table!$D$6),-1,IF(AND(#REF!&gt;=table!$E$6,#REF!&lt;=table!$F$6),1,0))</f>
        <v>#REF!</v>
      </c>
      <c r="R1974" s="5" t="e">
        <f>IF(AND(#REF!&gt;=table!$C$7,#REF!&lt;= table!$D$7),-1,IF(AND(#REF!&gt;=table!$E$7,#REF!&lt;=table!$F$7),1,0))</f>
        <v>#REF!</v>
      </c>
      <c r="S1974" s="5" t="e">
        <f>IF(AND(#REF!&gt;=table!$C$8,#REF!&lt;= table!$D$8),-1,IF(AND(#REF!&gt;=table!$E$8,#REF!&lt;=table!$F$8),1,0))</f>
        <v>#REF!</v>
      </c>
      <c r="T1974" s="5"/>
      <c r="U1974" s="5" t="e">
        <f>IF(AND(#REF!&gt;=table!$C$10,#REF!&lt;= table!$D$10),-1,IF(AND(#REF!&gt;=table!$E$10,#REF!&lt;=table!$F$10),1,0))</f>
        <v>#REF!</v>
      </c>
      <c r="V1974" s="5" t="e">
        <f>IF(AND(#REF!&gt;=table!$C$11,#REF!&lt;= table!$D$11),-1,IF(AND(#REF!&gt;=table!$E$11,#REF!&lt;=table!$F$11),1,0))</f>
        <v>#REF!</v>
      </c>
      <c r="W1974" s="5" t="e">
        <f>CONCATENATE(dados[[#This Row],[fator1]],dados[[#This Row],[fator5]],dados[[#This Row],[fator6]])</f>
        <v>#REF!</v>
      </c>
    </row>
    <row r="1975" spans="1:23">
      <c r="A1975" t="s">
        <v>17</v>
      </c>
      <c r="B1975">
        <v>486561</v>
      </c>
      <c r="C1975">
        <v>10</v>
      </c>
      <c r="D1975">
        <v>30</v>
      </c>
      <c r="E1975">
        <v>135</v>
      </c>
      <c r="F1975">
        <v>3</v>
      </c>
      <c r="G1975">
        <v>20</v>
      </c>
      <c r="H1975">
        <v>20</v>
      </c>
      <c r="I1975">
        <v>801</v>
      </c>
      <c r="J1975">
        <v>0</v>
      </c>
      <c r="K1975">
        <v>5.0055000000000005</v>
      </c>
      <c r="L1975">
        <v>6.1400000000000006</v>
      </c>
      <c r="M1975">
        <v>120.47850000000001</v>
      </c>
      <c r="N1975">
        <v>13.86</v>
      </c>
      <c r="O1975">
        <v>1715</v>
      </c>
      <c r="P1975">
        <v>939</v>
      </c>
      <c r="Q1975" s="5" t="e">
        <f>IF(AND(#REF!&gt;=table!$C$6,#REF!&lt;= table!$D$6),-1,IF(AND(#REF!&gt;=table!$E$6,#REF!&lt;=table!$F$6),1,0))</f>
        <v>#REF!</v>
      </c>
      <c r="R1975" s="5" t="e">
        <f>IF(AND(#REF!&gt;=table!$C$7,#REF!&lt;= table!$D$7),-1,IF(AND(#REF!&gt;=table!$E$7,#REF!&lt;=table!$F$7),1,0))</f>
        <v>#REF!</v>
      </c>
      <c r="S1975" s="5" t="e">
        <f>IF(AND(#REF!&gt;=table!$C$8,#REF!&lt;= table!$D$8),-1,IF(AND(#REF!&gt;=table!$E$8,#REF!&lt;=table!$F$8),1,0))</f>
        <v>#REF!</v>
      </c>
      <c r="T1975" s="5"/>
      <c r="U1975" s="5" t="e">
        <f>IF(AND(#REF!&gt;=table!$C$10,#REF!&lt;= table!$D$10),-1,IF(AND(#REF!&gt;=table!$E$10,#REF!&lt;=table!$F$10),1,0))</f>
        <v>#REF!</v>
      </c>
      <c r="V1975" s="5" t="e">
        <f>IF(AND(#REF!&gt;=table!$C$11,#REF!&lt;= table!$D$11),-1,IF(AND(#REF!&gt;=table!$E$11,#REF!&lt;=table!$F$11),1,0))</f>
        <v>#REF!</v>
      </c>
      <c r="W1975" s="5" t="e">
        <f>CONCATENATE(dados[[#This Row],[fator1]],dados[[#This Row],[fator5]],dados[[#This Row],[fator6]])</f>
        <v>#REF!</v>
      </c>
    </row>
    <row r="1976" spans="1:23">
      <c r="A1976" t="s">
        <v>17</v>
      </c>
      <c r="B1976">
        <v>486562</v>
      </c>
      <c r="C1976">
        <v>4</v>
      </c>
      <c r="D1976">
        <v>25</v>
      </c>
      <c r="E1976">
        <v>21</v>
      </c>
      <c r="F1976">
        <v>10</v>
      </c>
      <c r="G1976">
        <v>110</v>
      </c>
      <c r="H1976">
        <v>50</v>
      </c>
      <c r="I1976">
        <v>982</v>
      </c>
      <c r="J1976">
        <v>0</v>
      </c>
      <c r="K1976">
        <v>2.9910000000000001</v>
      </c>
      <c r="L1976">
        <v>4.7625000000000002</v>
      </c>
      <c r="M1976">
        <v>21.9435</v>
      </c>
      <c r="N1976">
        <v>39.97</v>
      </c>
      <c r="O1976">
        <v>1676</v>
      </c>
      <c r="P1976">
        <v>1265</v>
      </c>
      <c r="Q1976" s="5" t="e">
        <f>IF(AND(#REF!&gt;=table!$C$6,#REF!&lt;= table!$D$6),-1,IF(AND(#REF!&gt;=table!$E$6,#REF!&lt;=table!$F$6),1,0))</f>
        <v>#REF!</v>
      </c>
      <c r="R1976" s="5" t="e">
        <f>IF(AND(#REF!&gt;=table!$C$7,#REF!&lt;= table!$D$7),-1,IF(AND(#REF!&gt;=table!$E$7,#REF!&lt;=table!$F$7),1,0))</f>
        <v>#REF!</v>
      </c>
      <c r="S1976" s="5" t="e">
        <f>IF(AND(#REF!&gt;=table!$C$8,#REF!&lt;= table!$D$8),-1,IF(AND(#REF!&gt;=table!$E$8,#REF!&lt;=table!$F$8),1,0))</f>
        <v>#REF!</v>
      </c>
      <c r="T1976" s="5"/>
      <c r="U1976" s="5" t="e">
        <f>IF(AND(#REF!&gt;=table!$C$10,#REF!&lt;= table!$D$10),-1,IF(AND(#REF!&gt;=table!$E$10,#REF!&lt;=table!$F$10),1,0))</f>
        <v>#REF!</v>
      </c>
      <c r="V1976" s="5" t="e">
        <f>IF(AND(#REF!&gt;=table!$C$11,#REF!&lt;= table!$D$11),-1,IF(AND(#REF!&gt;=table!$E$11,#REF!&lt;=table!$F$11),1,0))</f>
        <v>#REF!</v>
      </c>
      <c r="W1976" s="5" t="e">
        <f>CONCATENATE(dados[[#This Row],[fator1]],dados[[#This Row],[fator5]],dados[[#This Row],[fator6]])</f>
        <v>#REF!</v>
      </c>
    </row>
    <row r="1977" spans="1:23">
      <c r="A1977" t="s">
        <v>16</v>
      </c>
      <c r="B1977">
        <v>486573</v>
      </c>
      <c r="C1977">
        <v>0.15</v>
      </c>
      <c r="D1977">
        <v>35</v>
      </c>
      <c r="E1977">
        <v>15</v>
      </c>
      <c r="F1977">
        <v>10</v>
      </c>
      <c r="G1977">
        <v>0</v>
      </c>
      <c r="H1977">
        <v>12</v>
      </c>
      <c r="I1977">
        <v>1146</v>
      </c>
      <c r="J1977">
        <v>0</v>
      </c>
      <c r="K1977">
        <v>2.9359999999999999</v>
      </c>
      <c r="L1977">
        <v>6.8630000000000004</v>
      </c>
      <c r="M1977">
        <v>6.6230000000000002</v>
      </c>
      <c r="N1977">
        <v>8.4</v>
      </c>
      <c r="O1977">
        <v>1682</v>
      </c>
      <c r="P1977">
        <v>1090</v>
      </c>
      <c r="Q1977" s="5" t="e">
        <f>IF(AND(#REF!&gt;=table!$C$6,#REF!&lt;= table!$D$6),-1,IF(AND(#REF!&gt;=table!$E$6,#REF!&lt;=table!$F$6),1,0))</f>
        <v>#REF!</v>
      </c>
      <c r="R1977" s="5" t="e">
        <f>IF(AND(#REF!&gt;=table!$C$7,#REF!&lt;= table!$D$7),-1,IF(AND(#REF!&gt;=table!$E$7,#REF!&lt;=table!$F$7),1,0))</f>
        <v>#REF!</v>
      </c>
      <c r="S1977" s="5" t="e">
        <f>IF(AND(#REF!&gt;=table!$C$8,#REF!&lt;= table!$D$8),-1,IF(AND(#REF!&gt;=table!$E$8,#REF!&lt;=table!$F$8),1,0))</f>
        <v>#REF!</v>
      </c>
      <c r="T1977" s="5"/>
      <c r="U1977" s="5" t="e">
        <f>IF(AND(#REF!&gt;=table!$C$10,#REF!&lt;= table!$D$10),-1,IF(AND(#REF!&gt;=table!$E$10,#REF!&lt;=table!$F$10),1,0))</f>
        <v>#REF!</v>
      </c>
      <c r="V1977" s="5" t="e">
        <f>IF(AND(#REF!&gt;=table!$C$11,#REF!&lt;= table!$D$11),-1,IF(AND(#REF!&gt;=table!$E$11,#REF!&lt;=table!$F$11),1,0))</f>
        <v>#REF!</v>
      </c>
      <c r="W1977" s="5" t="e">
        <f>CONCATENATE(dados[[#This Row],[fator1]],dados[[#This Row],[fator5]],dados[[#This Row],[fator6]])</f>
        <v>#REF!</v>
      </c>
    </row>
    <row r="1978" spans="1:23">
      <c r="A1978" t="s">
        <v>16</v>
      </c>
      <c r="B1978">
        <v>486577</v>
      </c>
      <c r="C1978">
        <v>4</v>
      </c>
      <c r="D1978">
        <v>40</v>
      </c>
      <c r="E1978">
        <v>21</v>
      </c>
      <c r="F1978">
        <v>10</v>
      </c>
      <c r="G1978">
        <v>0</v>
      </c>
      <c r="H1978">
        <v>25</v>
      </c>
      <c r="I1978">
        <v>977</v>
      </c>
      <c r="J1978">
        <v>0</v>
      </c>
      <c r="K1978">
        <v>5.6175000000000006</v>
      </c>
      <c r="L1978">
        <v>5.8105000000000002</v>
      </c>
      <c r="M1978">
        <v>15.269500000000001</v>
      </c>
      <c r="N1978">
        <v>8.5350000000000001</v>
      </c>
      <c r="O1978">
        <v>1650</v>
      </c>
      <c r="P1978">
        <v>637</v>
      </c>
      <c r="Q1978" s="5" t="e">
        <f>IF(AND(#REF!&gt;=table!$C$6,#REF!&lt;= table!$D$6),-1,IF(AND(#REF!&gt;=table!$E$6,#REF!&lt;=table!$F$6),1,0))</f>
        <v>#REF!</v>
      </c>
      <c r="R1978" s="5" t="e">
        <f>IF(AND(#REF!&gt;=table!$C$7,#REF!&lt;= table!$D$7),-1,IF(AND(#REF!&gt;=table!$E$7,#REF!&lt;=table!$F$7),1,0))</f>
        <v>#REF!</v>
      </c>
      <c r="S1978" s="5" t="e">
        <f>IF(AND(#REF!&gt;=table!$C$8,#REF!&lt;= table!$D$8),-1,IF(AND(#REF!&gt;=table!$E$8,#REF!&lt;=table!$F$8),1,0))</f>
        <v>#REF!</v>
      </c>
      <c r="T1978" s="5"/>
      <c r="U1978" s="5" t="e">
        <f>IF(AND(#REF!&gt;=table!$C$10,#REF!&lt;= table!$D$10),-1,IF(AND(#REF!&gt;=table!$E$10,#REF!&lt;=table!$F$10),1,0))</f>
        <v>#REF!</v>
      </c>
      <c r="V1978" s="5" t="e">
        <f>IF(AND(#REF!&gt;=table!$C$11,#REF!&lt;= table!$D$11),-1,IF(AND(#REF!&gt;=table!$E$11,#REF!&lt;=table!$F$11),1,0))</f>
        <v>#REF!</v>
      </c>
      <c r="W1978" s="5" t="e">
        <f>CONCATENATE(dados[[#This Row],[fator1]],dados[[#This Row],[fator5]],dados[[#This Row],[fator6]])</f>
        <v>#REF!</v>
      </c>
    </row>
    <row r="1979" spans="1:23">
      <c r="A1979" t="s">
        <v>16</v>
      </c>
      <c r="B1979">
        <v>486579</v>
      </c>
      <c r="C1979">
        <v>0.15</v>
      </c>
      <c r="D1979">
        <v>35</v>
      </c>
      <c r="E1979">
        <v>15</v>
      </c>
      <c r="F1979">
        <v>10</v>
      </c>
      <c r="G1979">
        <v>0</v>
      </c>
      <c r="H1979">
        <v>12</v>
      </c>
      <c r="I1979">
        <v>40</v>
      </c>
      <c r="J1979">
        <v>890</v>
      </c>
      <c r="K1979">
        <v>5.4780000000000006</v>
      </c>
      <c r="L1979">
        <v>4.8665000000000003</v>
      </c>
      <c r="M1979">
        <v>3.5750000000000002</v>
      </c>
      <c r="N1979">
        <v>8.8000000000000007</v>
      </c>
      <c r="O1979">
        <v>1634</v>
      </c>
      <c r="P1979">
        <v>709</v>
      </c>
      <c r="Q1979" s="5" t="e">
        <f>IF(AND(#REF!&gt;=table!$C$6,#REF!&lt;= table!$D$6),-1,IF(AND(#REF!&gt;=table!$E$6,#REF!&lt;=table!$F$6),1,0))</f>
        <v>#REF!</v>
      </c>
      <c r="R1979" s="5" t="e">
        <f>IF(AND(#REF!&gt;=table!$C$7,#REF!&lt;= table!$D$7),-1,IF(AND(#REF!&gt;=table!$E$7,#REF!&lt;=table!$F$7),1,0))</f>
        <v>#REF!</v>
      </c>
      <c r="S1979" s="5" t="e">
        <f>IF(AND(#REF!&gt;=table!$C$8,#REF!&lt;= table!$D$8),-1,IF(AND(#REF!&gt;=table!$E$8,#REF!&lt;=table!$F$8),1,0))</f>
        <v>#REF!</v>
      </c>
      <c r="T1979" s="5"/>
      <c r="U1979" s="5" t="e">
        <f>IF(AND(#REF!&gt;=table!$C$10,#REF!&lt;= table!$D$10),-1,IF(AND(#REF!&gt;=table!$E$10,#REF!&lt;=table!$F$10),1,0))</f>
        <v>#REF!</v>
      </c>
      <c r="V1979" s="5" t="e">
        <f>IF(AND(#REF!&gt;=table!$C$11,#REF!&lt;= table!$D$11),-1,IF(AND(#REF!&gt;=table!$E$11,#REF!&lt;=table!$F$11),1,0))</f>
        <v>#REF!</v>
      </c>
      <c r="W1979" s="5" t="e">
        <f>CONCATENATE(dados[[#This Row],[fator1]],dados[[#This Row],[fator5]],dados[[#This Row],[fator6]])</f>
        <v>#REF!</v>
      </c>
    </row>
    <row r="1980" spans="1:23">
      <c r="A1980" t="s">
        <v>16</v>
      </c>
      <c r="B1980">
        <v>486584</v>
      </c>
      <c r="C1980">
        <v>0.15</v>
      </c>
      <c r="D1980">
        <v>40</v>
      </c>
      <c r="E1980">
        <v>10</v>
      </c>
      <c r="F1980">
        <v>15</v>
      </c>
      <c r="G1980">
        <v>0</v>
      </c>
      <c r="H1980">
        <v>15</v>
      </c>
      <c r="I1980">
        <v>789</v>
      </c>
      <c r="J1980">
        <v>0</v>
      </c>
      <c r="K1980">
        <v>5.8195000000000006</v>
      </c>
      <c r="L1980">
        <v>10.2715</v>
      </c>
      <c r="M1980">
        <v>9.0655000000000001</v>
      </c>
      <c r="N1980">
        <v>12.175000000000001</v>
      </c>
      <c r="O1980">
        <v>1678</v>
      </c>
      <c r="P1980">
        <v>0</v>
      </c>
      <c r="Q1980" s="5" t="e">
        <f>IF(AND(#REF!&gt;=table!$C$6,#REF!&lt;= table!$D$6),-1,IF(AND(#REF!&gt;=table!$E$6,#REF!&lt;=table!$F$6),1,0))</f>
        <v>#REF!</v>
      </c>
      <c r="R1980" s="5" t="e">
        <f>IF(AND(#REF!&gt;=table!$C$7,#REF!&lt;= table!$D$7),-1,IF(AND(#REF!&gt;=table!$E$7,#REF!&lt;=table!$F$7),1,0))</f>
        <v>#REF!</v>
      </c>
      <c r="S1980" s="5" t="e">
        <f>IF(AND(#REF!&gt;=table!$C$8,#REF!&lt;= table!$D$8),-1,IF(AND(#REF!&gt;=table!$E$8,#REF!&lt;=table!$F$8),1,0))</f>
        <v>#REF!</v>
      </c>
      <c r="T1980" s="5"/>
      <c r="U1980" s="5" t="e">
        <f>IF(AND(#REF!&gt;=table!$C$10,#REF!&lt;= table!$D$10),-1,IF(AND(#REF!&gt;=table!$E$10,#REF!&lt;=table!$F$10),1,0))</f>
        <v>#REF!</v>
      </c>
      <c r="V1980" s="5" t="e">
        <f>IF(AND(#REF!&gt;=table!$C$11,#REF!&lt;= table!$D$11),-1,IF(AND(#REF!&gt;=table!$E$11,#REF!&lt;=table!$F$11),1,0))</f>
        <v>#REF!</v>
      </c>
      <c r="W1980" s="5" t="e">
        <f>CONCATENATE(dados[[#This Row],[fator1]],dados[[#This Row],[fator5]],dados[[#This Row],[fator6]])</f>
        <v>#REF!</v>
      </c>
    </row>
    <row r="1981" spans="1:23">
      <c r="A1981" t="s">
        <v>16</v>
      </c>
      <c r="B1981">
        <v>486586</v>
      </c>
      <c r="C1981">
        <v>4</v>
      </c>
      <c r="D1981">
        <v>40</v>
      </c>
      <c r="E1981">
        <v>21</v>
      </c>
      <c r="F1981">
        <v>10</v>
      </c>
      <c r="G1981">
        <v>0</v>
      </c>
      <c r="H1981">
        <v>25</v>
      </c>
      <c r="I1981">
        <v>1207</v>
      </c>
      <c r="J1981">
        <v>0</v>
      </c>
      <c r="K1981">
        <v>6.5525000000000002</v>
      </c>
      <c r="L1981">
        <v>9.2095000000000002</v>
      </c>
      <c r="M1981">
        <v>19.141500000000001</v>
      </c>
      <c r="N1981">
        <v>13.780000000000001</v>
      </c>
      <c r="O1981">
        <v>1670</v>
      </c>
      <c r="P1981">
        <v>0</v>
      </c>
      <c r="Q1981" s="5" t="e">
        <f>IF(AND(#REF!&gt;=table!$C$6,#REF!&lt;= table!$D$6),-1,IF(AND(#REF!&gt;=table!$E$6,#REF!&lt;=table!$F$6),1,0))</f>
        <v>#REF!</v>
      </c>
      <c r="R1981" s="5" t="e">
        <f>IF(AND(#REF!&gt;=table!$C$7,#REF!&lt;= table!$D$7),-1,IF(AND(#REF!&gt;=table!$E$7,#REF!&lt;=table!$F$7),1,0))</f>
        <v>#REF!</v>
      </c>
      <c r="S1981" s="5" t="e">
        <f>IF(AND(#REF!&gt;=table!$C$8,#REF!&lt;= table!$D$8),-1,IF(AND(#REF!&gt;=table!$E$8,#REF!&lt;=table!$F$8),1,0))</f>
        <v>#REF!</v>
      </c>
      <c r="T1981" s="5"/>
      <c r="U1981" s="5" t="e">
        <f>IF(AND(#REF!&gt;=table!$C$10,#REF!&lt;= table!$D$10),-1,IF(AND(#REF!&gt;=table!$E$10,#REF!&lt;=table!$F$10),1,0))</f>
        <v>#REF!</v>
      </c>
      <c r="V1981" s="5" t="e">
        <f>IF(AND(#REF!&gt;=table!$C$11,#REF!&lt;= table!$D$11),-1,IF(AND(#REF!&gt;=table!$E$11,#REF!&lt;=table!$F$11),1,0))</f>
        <v>#REF!</v>
      </c>
      <c r="W1981" s="5" t="e">
        <f>CONCATENATE(dados[[#This Row],[fator1]],dados[[#This Row],[fator5]],dados[[#This Row],[fator6]])</f>
        <v>#REF!</v>
      </c>
    </row>
    <row r="1982" spans="1:23">
      <c r="A1982" t="s">
        <v>17</v>
      </c>
      <c r="B1982">
        <v>486590</v>
      </c>
      <c r="C1982">
        <v>9</v>
      </c>
      <c r="D1982">
        <v>25</v>
      </c>
      <c r="E1982">
        <v>130</v>
      </c>
      <c r="F1982">
        <v>3</v>
      </c>
      <c r="G1982">
        <v>20</v>
      </c>
      <c r="H1982">
        <v>21</v>
      </c>
      <c r="I1982">
        <v>1015</v>
      </c>
      <c r="J1982">
        <v>0</v>
      </c>
      <c r="K1982">
        <v>7.6105</v>
      </c>
      <c r="L1982">
        <v>9.620000000000001</v>
      </c>
      <c r="M1982">
        <v>115.274</v>
      </c>
      <c r="N1982">
        <v>14.605</v>
      </c>
      <c r="O1982">
        <v>1676</v>
      </c>
      <c r="P1982">
        <v>458</v>
      </c>
      <c r="Q1982" s="5" t="e">
        <f>IF(AND(#REF!&gt;=table!$C$6,#REF!&lt;= table!$D$6),-1,IF(AND(#REF!&gt;=table!$E$6,#REF!&lt;=table!$F$6),1,0))</f>
        <v>#REF!</v>
      </c>
      <c r="R1982" s="5" t="e">
        <f>IF(AND(#REF!&gt;=table!$C$7,#REF!&lt;= table!$D$7),-1,IF(AND(#REF!&gt;=table!$E$7,#REF!&lt;=table!$F$7),1,0))</f>
        <v>#REF!</v>
      </c>
      <c r="S1982" s="5" t="e">
        <f>IF(AND(#REF!&gt;=table!$C$8,#REF!&lt;= table!$D$8),-1,IF(AND(#REF!&gt;=table!$E$8,#REF!&lt;=table!$F$8),1,0))</f>
        <v>#REF!</v>
      </c>
      <c r="T1982" s="5"/>
      <c r="U1982" s="5" t="e">
        <f>IF(AND(#REF!&gt;=table!$C$10,#REF!&lt;= table!$D$10),-1,IF(AND(#REF!&gt;=table!$E$10,#REF!&lt;=table!$F$10),1,0))</f>
        <v>#REF!</v>
      </c>
      <c r="V1982" s="5" t="e">
        <f>IF(AND(#REF!&gt;=table!$C$11,#REF!&lt;= table!$D$11),-1,IF(AND(#REF!&gt;=table!$E$11,#REF!&lt;=table!$F$11),1,0))</f>
        <v>#REF!</v>
      </c>
      <c r="W1982" s="5" t="e">
        <f>CONCATENATE(dados[[#This Row],[fator1]],dados[[#This Row],[fator5]],dados[[#This Row],[fator6]])</f>
        <v>#REF!</v>
      </c>
    </row>
    <row r="1983" spans="1:23">
      <c r="A1983" t="s">
        <v>17</v>
      </c>
      <c r="B1983">
        <v>486591</v>
      </c>
      <c r="C1983">
        <v>9</v>
      </c>
      <c r="D1983">
        <v>25</v>
      </c>
      <c r="E1983">
        <v>130</v>
      </c>
      <c r="F1983">
        <v>3</v>
      </c>
      <c r="G1983">
        <v>20</v>
      </c>
      <c r="H1983">
        <v>21</v>
      </c>
      <c r="I1983">
        <v>1</v>
      </c>
      <c r="J1983">
        <v>0</v>
      </c>
      <c r="K1983">
        <v>4.0465</v>
      </c>
      <c r="L1983">
        <v>8.7569999999999997</v>
      </c>
      <c r="M1983">
        <v>119.5155</v>
      </c>
      <c r="N1983">
        <v>14.975000000000001</v>
      </c>
      <c r="O1983">
        <v>1696</v>
      </c>
      <c r="P1983">
        <v>973</v>
      </c>
      <c r="Q1983" s="5" t="e">
        <f>IF(AND(#REF!&gt;=table!$C$6,#REF!&lt;= table!$D$6),-1,IF(AND(#REF!&gt;=table!$E$6,#REF!&lt;=table!$F$6),1,0))</f>
        <v>#REF!</v>
      </c>
      <c r="R1983" s="5" t="e">
        <f>IF(AND(#REF!&gt;=table!$C$7,#REF!&lt;= table!$D$7),-1,IF(AND(#REF!&gt;=table!$E$7,#REF!&lt;=table!$F$7),1,0))</f>
        <v>#REF!</v>
      </c>
      <c r="S1983" s="5" t="e">
        <f>IF(AND(#REF!&gt;=table!$C$8,#REF!&lt;= table!$D$8),-1,IF(AND(#REF!&gt;=table!$E$8,#REF!&lt;=table!$F$8),1,0))</f>
        <v>#REF!</v>
      </c>
      <c r="T1983" s="5"/>
      <c r="U1983" s="5" t="e">
        <f>IF(AND(#REF!&gt;=table!$C$10,#REF!&lt;= table!$D$10),-1,IF(AND(#REF!&gt;=table!$E$10,#REF!&lt;=table!$F$10),1,0))</f>
        <v>#REF!</v>
      </c>
      <c r="V1983" s="5" t="e">
        <f>IF(AND(#REF!&gt;=table!$C$11,#REF!&lt;= table!$D$11),-1,IF(AND(#REF!&gt;=table!$E$11,#REF!&lt;=table!$F$11),1,0))</f>
        <v>#REF!</v>
      </c>
      <c r="W1983" s="5" t="e">
        <f>CONCATENATE(dados[[#This Row],[fator1]],dados[[#This Row],[fator5]],dados[[#This Row],[fator6]])</f>
        <v>#REF!</v>
      </c>
    </row>
    <row r="1984" spans="1:23">
      <c r="A1984" t="s">
        <v>17</v>
      </c>
      <c r="B1984">
        <v>486592</v>
      </c>
      <c r="C1984">
        <v>9</v>
      </c>
      <c r="D1984">
        <v>25</v>
      </c>
      <c r="E1984">
        <v>130</v>
      </c>
      <c r="F1984">
        <v>3</v>
      </c>
      <c r="G1984">
        <v>20</v>
      </c>
      <c r="H1984">
        <v>21</v>
      </c>
      <c r="I1984">
        <v>976</v>
      </c>
      <c r="J1984">
        <v>0</v>
      </c>
      <c r="K1984">
        <v>8.2320000000000011</v>
      </c>
      <c r="L1984">
        <v>11.2545</v>
      </c>
      <c r="M1984">
        <v>96.511499999999998</v>
      </c>
      <c r="N1984">
        <v>16.945</v>
      </c>
      <c r="O1984">
        <v>1685</v>
      </c>
      <c r="P1984">
        <v>469</v>
      </c>
      <c r="Q1984" s="5" t="e">
        <f>IF(AND(#REF!&gt;=table!$C$6,#REF!&lt;= table!$D$6),-1,IF(AND(#REF!&gt;=table!$E$6,#REF!&lt;=table!$F$6),1,0))</f>
        <v>#REF!</v>
      </c>
      <c r="R1984" s="5" t="e">
        <f>IF(AND(#REF!&gt;=table!$C$7,#REF!&lt;= table!$D$7),-1,IF(AND(#REF!&gt;=table!$E$7,#REF!&lt;=table!$F$7),1,0))</f>
        <v>#REF!</v>
      </c>
      <c r="S1984" s="5" t="e">
        <f>IF(AND(#REF!&gt;=table!$C$8,#REF!&lt;= table!$D$8),-1,IF(AND(#REF!&gt;=table!$E$8,#REF!&lt;=table!$F$8),1,0))</f>
        <v>#REF!</v>
      </c>
      <c r="T1984" s="5"/>
      <c r="U1984" s="5" t="e">
        <f>IF(AND(#REF!&gt;=table!$C$10,#REF!&lt;= table!$D$10),-1,IF(AND(#REF!&gt;=table!$E$10,#REF!&lt;=table!$F$10),1,0))</f>
        <v>#REF!</v>
      </c>
      <c r="V1984" s="5" t="e">
        <f>IF(AND(#REF!&gt;=table!$C$11,#REF!&lt;= table!$D$11),-1,IF(AND(#REF!&gt;=table!$E$11,#REF!&lt;=table!$F$11),1,0))</f>
        <v>#REF!</v>
      </c>
      <c r="W1984" s="5" t="e">
        <f>CONCATENATE(dados[[#This Row],[fator1]],dados[[#This Row],[fator5]],dados[[#This Row],[fator6]])</f>
        <v>#REF!</v>
      </c>
    </row>
    <row r="1985" spans="1:23">
      <c r="A1985" t="s">
        <v>17</v>
      </c>
      <c r="B1985">
        <v>486594</v>
      </c>
      <c r="C1985">
        <v>9</v>
      </c>
      <c r="D1985">
        <v>50</v>
      </c>
      <c r="E1985">
        <v>200</v>
      </c>
      <c r="F1985">
        <v>2</v>
      </c>
      <c r="G1985">
        <v>20</v>
      </c>
      <c r="H1985">
        <v>25</v>
      </c>
      <c r="I1985">
        <v>922</v>
      </c>
      <c r="J1985">
        <v>810</v>
      </c>
      <c r="K1985">
        <v>12.4565</v>
      </c>
      <c r="L1985">
        <v>10.5085</v>
      </c>
      <c r="M1985">
        <v>174.50300000000001</v>
      </c>
      <c r="N1985">
        <v>11.535</v>
      </c>
      <c r="O1985">
        <v>1675</v>
      </c>
      <c r="P1985">
        <v>369</v>
      </c>
      <c r="Q1985" s="5" t="e">
        <f>IF(AND(#REF!&gt;=table!$C$6,#REF!&lt;= table!$D$6),-1,IF(AND(#REF!&gt;=table!$E$6,#REF!&lt;=table!$F$6),1,0))</f>
        <v>#REF!</v>
      </c>
      <c r="R1985" s="5" t="e">
        <f>IF(AND(#REF!&gt;=table!$C$7,#REF!&lt;= table!$D$7),-1,IF(AND(#REF!&gt;=table!$E$7,#REF!&lt;=table!$F$7),1,0))</f>
        <v>#REF!</v>
      </c>
      <c r="S1985" s="5" t="e">
        <f>IF(AND(#REF!&gt;=table!$C$8,#REF!&lt;= table!$D$8),-1,IF(AND(#REF!&gt;=table!$E$8,#REF!&lt;=table!$F$8),1,0))</f>
        <v>#REF!</v>
      </c>
      <c r="T1985" s="5"/>
      <c r="U1985" s="5" t="e">
        <f>IF(AND(#REF!&gt;=table!$C$10,#REF!&lt;= table!$D$10),-1,IF(AND(#REF!&gt;=table!$E$10,#REF!&lt;=table!$F$10),1,0))</f>
        <v>#REF!</v>
      </c>
      <c r="V1985" s="5" t="e">
        <f>IF(AND(#REF!&gt;=table!$C$11,#REF!&lt;= table!$D$11),-1,IF(AND(#REF!&gt;=table!$E$11,#REF!&lt;=table!$F$11),1,0))</f>
        <v>#REF!</v>
      </c>
      <c r="W1985" s="5" t="e">
        <f>CONCATENATE(dados[[#This Row],[fator1]],dados[[#This Row],[fator5]],dados[[#This Row],[fator6]])</f>
        <v>#REF!</v>
      </c>
    </row>
    <row r="1986" spans="1:23">
      <c r="A1986" t="s">
        <v>17</v>
      </c>
      <c r="B1986">
        <v>486595</v>
      </c>
      <c r="C1986">
        <v>9</v>
      </c>
      <c r="D1986">
        <v>50</v>
      </c>
      <c r="E1986">
        <v>200</v>
      </c>
      <c r="F1986">
        <v>2</v>
      </c>
      <c r="G1986">
        <v>20</v>
      </c>
      <c r="H1986">
        <v>25</v>
      </c>
      <c r="I1986">
        <v>1011</v>
      </c>
      <c r="J1986">
        <v>0</v>
      </c>
      <c r="K1986">
        <v>9.6925000000000008</v>
      </c>
      <c r="L1986">
        <v>8.980500000000001</v>
      </c>
      <c r="M1986">
        <v>191.3665</v>
      </c>
      <c r="N1986">
        <v>11.61</v>
      </c>
      <c r="O1986">
        <v>1670</v>
      </c>
      <c r="P1986">
        <v>416</v>
      </c>
      <c r="Q1986" s="5" t="e">
        <f>IF(AND(#REF!&gt;=table!$C$6,#REF!&lt;= table!$D$6),-1,IF(AND(#REF!&gt;=table!$E$6,#REF!&lt;=table!$F$6),1,0))</f>
        <v>#REF!</v>
      </c>
      <c r="R1986" s="5" t="e">
        <f>IF(AND(#REF!&gt;=table!$C$7,#REF!&lt;= table!$D$7),-1,IF(AND(#REF!&gt;=table!$E$7,#REF!&lt;=table!$F$7),1,0))</f>
        <v>#REF!</v>
      </c>
      <c r="S1986" s="5" t="e">
        <f>IF(AND(#REF!&gt;=table!$C$8,#REF!&lt;= table!$D$8),-1,IF(AND(#REF!&gt;=table!$E$8,#REF!&lt;=table!$F$8),1,0))</f>
        <v>#REF!</v>
      </c>
      <c r="T1986" s="5"/>
      <c r="U1986" s="5" t="e">
        <f>IF(AND(#REF!&gt;=table!$C$10,#REF!&lt;= table!$D$10),-1,IF(AND(#REF!&gt;=table!$E$10,#REF!&lt;=table!$F$10),1,0))</f>
        <v>#REF!</v>
      </c>
      <c r="V1986" s="5" t="e">
        <f>IF(AND(#REF!&gt;=table!$C$11,#REF!&lt;= table!$D$11),-1,IF(AND(#REF!&gt;=table!$E$11,#REF!&lt;=table!$F$11),1,0))</f>
        <v>#REF!</v>
      </c>
      <c r="W1986" s="5" t="e">
        <f>CONCATENATE(dados[[#This Row],[fator1]],dados[[#This Row],[fator5]],dados[[#This Row],[fator6]])</f>
        <v>#REF!</v>
      </c>
    </row>
    <row r="1987" spans="1:23">
      <c r="A1987" t="s">
        <v>17</v>
      </c>
      <c r="B1987">
        <v>486596</v>
      </c>
      <c r="C1987">
        <v>16</v>
      </c>
      <c r="D1987">
        <v>35</v>
      </c>
      <c r="E1987">
        <v>136</v>
      </c>
      <c r="F1987">
        <v>4</v>
      </c>
      <c r="G1987">
        <v>30</v>
      </c>
      <c r="H1987">
        <v>25</v>
      </c>
      <c r="I1987">
        <v>1112</v>
      </c>
      <c r="J1987">
        <v>0</v>
      </c>
      <c r="K1987">
        <v>7.0555000000000003</v>
      </c>
      <c r="L1987">
        <v>9.52</v>
      </c>
      <c r="M1987">
        <v>112.762</v>
      </c>
      <c r="N1987">
        <v>17.065000000000001</v>
      </c>
      <c r="O1987">
        <v>1693</v>
      </c>
      <c r="P1987">
        <v>0</v>
      </c>
      <c r="Q1987" s="5" t="e">
        <f>IF(AND(#REF!&gt;=table!$C$6,#REF!&lt;= table!$D$6),-1,IF(AND(#REF!&gt;=table!$E$6,#REF!&lt;=table!$F$6),1,0))</f>
        <v>#REF!</v>
      </c>
      <c r="R1987" s="5" t="e">
        <f>IF(AND(#REF!&gt;=table!$C$7,#REF!&lt;= table!$D$7),-1,IF(AND(#REF!&gt;=table!$E$7,#REF!&lt;=table!$F$7),1,0))</f>
        <v>#REF!</v>
      </c>
      <c r="S1987" s="5" t="e">
        <f>IF(AND(#REF!&gt;=table!$C$8,#REF!&lt;= table!$D$8),-1,IF(AND(#REF!&gt;=table!$E$8,#REF!&lt;=table!$F$8),1,0))</f>
        <v>#REF!</v>
      </c>
      <c r="T1987" s="5"/>
      <c r="U1987" s="5" t="e">
        <f>IF(AND(#REF!&gt;=table!$C$10,#REF!&lt;= table!$D$10),-1,IF(AND(#REF!&gt;=table!$E$10,#REF!&lt;=table!$F$10),1,0))</f>
        <v>#REF!</v>
      </c>
      <c r="V1987" s="5" t="e">
        <f>IF(AND(#REF!&gt;=table!$C$11,#REF!&lt;= table!$D$11),-1,IF(AND(#REF!&gt;=table!$E$11,#REF!&lt;=table!$F$11),1,0))</f>
        <v>#REF!</v>
      </c>
      <c r="W1987" s="5" t="e">
        <f>CONCATENATE(dados[[#This Row],[fator1]],dados[[#This Row],[fator5]],dados[[#This Row],[fator6]])</f>
        <v>#REF!</v>
      </c>
    </row>
    <row r="1988" spans="1:23">
      <c r="A1988" t="s">
        <v>17</v>
      </c>
      <c r="B1988">
        <v>486597</v>
      </c>
      <c r="C1988">
        <v>18</v>
      </c>
      <c r="D1988">
        <v>35</v>
      </c>
      <c r="E1988">
        <v>136</v>
      </c>
      <c r="F1988">
        <v>8</v>
      </c>
      <c r="G1988">
        <v>30</v>
      </c>
      <c r="H1988">
        <v>25</v>
      </c>
      <c r="I1988">
        <v>834</v>
      </c>
      <c r="J1988">
        <v>0</v>
      </c>
      <c r="K1988">
        <v>6.1530000000000005</v>
      </c>
      <c r="L1988">
        <v>9.641</v>
      </c>
      <c r="M1988">
        <v>79.235500000000002</v>
      </c>
      <c r="N1988">
        <v>16.835000000000001</v>
      </c>
      <c r="O1988">
        <v>1680</v>
      </c>
      <c r="P1988">
        <v>738</v>
      </c>
      <c r="Q1988" s="5" t="e">
        <f>IF(AND(#REF!&gt;=table!$C$6,#REF!&lt;= table!$D$6),-1,IF(AND(#REF!&gt;=table!$E$6,#REF!&lt;=table!$F$6),1,0))</f>
        <v>#REF!</v>
      </c>
      <c r="R1988" s="5" t="e">
        <f>IF(AND(#REF!&gt;=table!$C$7,#REF!&lt;= table!$D$7),-1,IF(AND(#REF!&gt;=table!$E$7,#REF!&lt;=table!$F$7),1,0))</f>
        <v>#REF!</v>
      </c>
      <c r="S1988" s="5" t="e">
        <f>IF(AND(#REF!&gt;=table!$C$8,#REF!&lt;= table!$D$8),-1,IF(AND(#REF!&gt;=table!$E$8,#REF!&lt;=table!$F$8),1,0))</f>
        <v>#REF!</v>
      </c>
      <c r="T1988" s="5"/>
      <c r="U1988" s="5" t="e">
        <f>IF(AND(#REF!&gt;=table!$C$10,#REF!&lt;= table!$D$10),-1,IF(AND(#REF!&gt;=table!$E$10,#REF!&lt;=table!$F$10),1,0))</f>
        <v>#REF!</v>
      </c>
      <c r="V1988" s="5" t="e">
        <f>IF(AND(#REF!&gt;=table!$C$11,#REF!&lt;= table!$D$11),-1,IF(AND(#REF!&gt;=table!$E$11,#REF!&lt;=table!$F$11),1,0))</f>
        <v>#REF!</v>
      </c>
      <c r="W1988" s="5" t="e">
        <f>CONCATENATE(dados[[#This Row],[fator1]],dados[[#This Row],[fator5]],dados[[#This Row],[fator6]])</f>
        <v>#REF!</v>
      </c>
    </row>
    <row r="1989" spans="1:23">
      <c r="A1989" t="s">
        <v>16</v>
      </c>
      <c r="B1989">
        <v>486601</v>
      </c>
      <c r="C1989">
        <v>3</v>
      </c>
      <c r="D1989">
        <v>30</v>
      </c>
      <c r="E1989">
        <v>21</v>
      </c>
      <c r="F1989">
        <v>15</v>
      </c>
      <c r="G1989">
        <v>0</v>
      </c>
      <c r="H1989">
        <v>25</v>
      </c>
      <c r="I1989">
        <v>1019</v>
      </c>
      <c r="J1989">
        <v>760</v>
      </c>
      <c r="K1989">
        <v>8.8595000000000006</v>
      </c>
      <c r="L1989">
        <v>6.5075000000000003</v>
      </c>
      <c r="M1989">
        <v>5.4820000000000002</v>
      </c>
      <c r="N1989">
        <v>7.9350000000000005</v>
      </c>
      <c r="O1989">
        <v>1666</v>
      </c>
      <c r="P1989">
        <v>520</v>
      </c>
      <c r="Q1989" s="5" t="e">
        <f>IF(AND(#REF!&gt;=table!$C$6,#REF!&lt;= table!$D$6),-1,IF(AND(#REF!&gt;=table!$E$6,#REF!&lt;=table!$F$6),1,0))</f>
        <v>#REF!</v>
      </c>
      <c r="R1989" s="5" t="e">
        <f>IF(AND(#REF!&gt;=table!$C$7,#REF!&lt;= table!$D$7),-1,IF(AND(#REF!&gt;=table!$E$7,#REF!&lt;=table!$F$7),1,0))</f>
        <v>#REF!</v>
      </c>
      <c r="S1989" s="5" t="e">
        <f>IF(AND(#REF!&gt;=table!$C$8,#REF!&lt;= table!$D$8),-1,IF(AND(#REF!&gt;=table!$E$8,#REF!&lt;=table!$F$8),1,0))</f>
        <v>#REF!</v>
      </c>
      <c r="T1989" s="5"/>
      <c r="U1989" s="5" t="e">
        <f>IF(AND(#REF!&gt;=table!$C$10,#REF!&lt;= table!$D$10),-1,IF(AND(#REF!&gt;=table!$E$10,#REF!&lt;=table!$F$10),1,0))</f>
        <v>#REF!</v>
      </c>
      <c r="V1989" s="5" t="e">
        <f>IF(AND(#REF!&gt;=table!$C$11,#REF!&lt;= table!$D$11),-1,IF(AND(#REF!&gt;=table!$E$11,#REF!&lt;=table!$F$11),1,0))</f>
        <v>#REF!</v>
      </c>
      <c r="W1989" s="5" t="e">
        <f>CONCATENATE(dados[[#This Row],[fator1]],dados[[#This Row],[fator5]],dados[[#This Row],[fator6]])</f>
        <v>#REF!</v>
      </c>
    </row>
    <row r="1990" spans="1:23">
      <c r="A1990" t="s">
        <v>16</v>
      </c>
      <c r="B1990">
        <v>486607</v>
      </c>
      <c r="C1990">
        <v>12</v>
      </c>
      <c r="D1990">
        <v>35</v>
      </c>
      <c r="E1990">
        <v>86</v>
      </c>
      <c r="F1990">
        <v>10</v>
      </c>
      <c r="G1990">
        <v>0</v>
      </c>
      <c r="H1990">
        <v>25</v>
      </c>
      <c r="I1990">
        <v>565</v>
      </c>
      <c r="J1990">
        <v>0</v>
      </c>
      <c r="K1990">
        <v>10.858500000000001</v>
      </c>
      <c r="L1990">
        <v>11.662000000000001</v>
      </c>
      <c r="M1990">
        <v>79.558999999999997</v>
      </c>
      <c r="N1990">
        <v>14.475000000000001</v>
      </c>
      <c r="O1990">
        <v>1659</v>
      </c>
      <c r="P1990">
        <v>0</v>
      </c>
      <c r="Q1990" s="5" t="e">
        <f>IF(AND(#REF!&gt;=table!$C$6,#REF!&lt;= table!$D$6),-1,IF(AND(#REF!&gt;=table!$E$6,#REF!&lt;=table!$F$6),1,0))</f>
        <v>#REF!</v>
      </c>
      <c r="R1990" s="5" t="e">
        <f>IF(AND(#REF!&gt;=table!$C$7,#REF!&lt;= table!$D$7),-1,IF(AND(#REF!&gt;=table!$E$7,#REF!&lt;=table!$F$7),1,0))</f>
        <v>#REF!</v>
      </c>
      <c r="S1990" s="5" t="e">
        <f>IF(AND(#REF!&gt;=table!$C$8,#REF!&lt;= table!$D$8),-1,IF(AND(#REF!&gt;=table!$E$8,#REF!&lt;=table!$F$8),1,0))</f>
        <v>#REF!</v>
      </c>
      <c r="T1990" s="5"/>
      <c r="U1990" s="5" t="e">
        <f>IF(AND(#REF!&gt;=table!$C$10,#REF!&lt;= table!$D$10),-1,IF(AND(#REF!&gt;=table!$E$10,#REF!&lt;=table!$F$10),1,0))</f>
        <v>#REF!</v>
      </c>
      <c r="V1990" s="5" t="e">
        <f>IF(AND(#REF!&gt;=table!$C$11,#REF!&lt;= table!$D$11),-1,IF(AND(#REF!&gt;=table!$E$11,#REF!&lt;=table!$F$11),1,0))</f>
        <v>#REF!</v>
      </c>
      <c r="W1990" s="5" t="e">
        <f>CONCATENATE(dados[[#This Row],[fator1]],dados[[#This Row],[fator5]],dados[[#This Row],[fator6]])</f>
        <v>#REF!</v>
      </c>
    </row>
    <row r="1991" spans="1:23">
      <c r="A1991" t="s">
        <v>16</v>
      </c>
      <c r="B1991">
        <v>486608</v>
      </c>
      <c r="C1991">
        <v>12</v>
      </c>
      <c r="D1991">
        <v>35</v>
      </c>
      <c r="E1991">
        <v>86</v>
      </c>
      <c r="F1991">
        <v>8</v>
      </c>
      <c r="G1991">
        <v>0</v>
      </c>
      <c r="H1991">
        <v>25</v>
      </c>
      <c r="I1991">
        <v>717</v>
      </c>
      <c r="J1991">
        <v>0</v>
      </c>
      <c r="K1991">
        <v>7.8443000000000005</v>
      </c>
      <c r="L1991">
        <v>13.942500000000001</v>
      </c>
      <c r="M1991">
        <v>84.918500000000009</v>
      </c>
      <c r="N1991">
        <v>17.065000000000001</v>
      </c>
      <c r="O1991">
        <v>1675</v>
      </c>
      <c r="P1991">
        <v>0</v>
      </c>
      <c r="Q1991" s="5" t="e">
        <f>IF(AND(#REF!&gt;=table!$C$6,#REF!&lt;= table!$D$6),-1,IF(AND(#REF!&gt;=table!$E$6,#REF!&lt;=table!$F$6),1,0))</f>
        <v>#REF!</v>
      </c>
      <c r="R1991" s="5" t="e">
        <f>IF(AND(#REF!&gt;=table!$C$7,#REF!&lt;= table!$D$7),-1,IF(AND(#REF!&gt;=table!$E$7,#REF!&lt;=table!$F$7),1,0))</f>
        <v>#REF!</v>
      </c>
      <c r="S1991" s="5" t="e">
        <f>IF(AND(#REF!&gt;=table!$C$8,#REF!&lt;= table!$D$8),-1,IF(AND(#REF!&gt;=table!$E$8,#REF!&lt;=table!$F$8),1,0))</f>
        <v>#REF!</v>
      </c>
      <c r="T1991" s="5"/>
      <c r="U1991" s="5" t="e">
        <f>IF(AND(#REF!&gt;=table!$C$10,#REF!&lt;= table!$D$10),-1,IF(AND(#REF!&gt;=table!$E$10,#REF!&lt;=table!$F$10),1,0))</f>
        <v>#REF!</v>
      </c>
      <c r="V1991" s="5" t="e">
        <f>IF(AND(#REF!&gt;=table!$C$11,#REF!&lt;= table!$D$11),-1,IF(AND(#REF!&gt;=table!$E$11,#REF!&lt;=table!$F$11),1,0))</f>
        <v>#REF!</v>
      </c>
      <c r="W1991" s="5" t="e">
        <f>CONCATENATE(dados[[#This Row],[fator1]],dados[[#This Row],[fator5]],dados[[#This Row],[fator6]])</f>
        <v>#REF!</v>
      </c>
    </row>
    <row r="1992" spans="1:23">
      <c r="A1992" t="s">
        <v>16</v>
      </c>
      <c r="B1992">
        <v>486609</v>
      </c>
      <c r="C1992">
        <v>12</v>
      </c>
      <c r="D1992">
        <v>35</v>
      </c>
      <c r="E1992">
        <v>86</v>
      </c>
      <c r="F1992">
        <v>10</v>
      </c>
      <c r="G1992">
        <v>0</v>
      </c>
      <c r="H1992">
        <v>25</v>
      </c>
      <c r="I1992">
        <v>660</v>
      </c>
      <c r="J1992">
        <v>0</v>
      </c>
      <c r="K1992">
        <v>3.9970000000000003</v>
      </c>
      <c r="L1992">
        <v>7.2925000000000004</v>
      </c>
      <c r="M1992">
        <v>78.337000000000003</v>
      </c>
      <c r="N1992">
        <v>14.44</v>
      </c>
      <c r="O1992">
        <v>1658</v>
      </c>
      <c r="P1992">
        <v>1077</v>
      </c>
      <c r="Q1992" s="5" t="e">
        <f>IF(AND(#REF!&gt;=table!$C$6,#REF!&lt;= table!$D$6),-1,IF(AND(#REF!&gt;=table!$E$6,#REF!&lt;=table!$F$6),1,0))</f>
        <v>#REF!</v>
      </c>
      <c r="R1992" s="5" t="e">
        <f>IF(AND(#REF!&gt;=table!$C$7,#REF!&lt;= table!$D$7),-1,IF(AND(#REF!&gt;=table!$E$7,#REF!&lt;=table!$F$7),1,0))</f>
        <v>#REF!</v>
      </c>
      <c r="S1992" s="5" t="e">
        <f>IF(AND(#REF!&gt;=table!$C$8,#REF!&lt;= table!$D$8),-1,IF(AND(#REF!&gt;=table!$E$8,#REF!&lt;=table!$F$8),1,0))</f>
        <v>#REF!</v>
      </c>
      <c r="T1992" s="5"/>
      <c r="U1992" s="5" t="e">
        <f>IF(AND(#REF!&gt;=table!$C$10,#REF!&lt;= table!$D$10),-1,IF(AND(#REF!&gt;=table!$E$10,#REF!&lt;=table!$F$10),1,0))</f>
        <v>#REF!</v>
      </c>
      <c r="V1992" s="5" t="e">
        <f>IF(AND(#REF!&gt;=table!$C$11,#REF!&lt;= table!$D$11),-1,IF(AND(#REF!&gt;=table!$E$11,#REF!&lt;=table!$F$11),1,0))</f>
        <v>#REF!</v>
      </c>
      <c r="W1992" s="5" t="e">
        <f>CONCATENATE(dados[[#This Row],[fator1]],dados[[#This Row],[fator5]],dados[[#This Row],[fator6]])</f>
        <v>#REF!</v>
      </c>
    </row>
    <row r="1993" spans="1:23">
      <c r="A1993" t="s">
        <v>16</v>
      </c>
      <c r="B1993">
        <v>486610</v>
      </c>
      <c r="C1993">
        <v>12</v>
      </c>
      <c r="D1993">
        <v>35</v>
      </c>
      <c r="E1993">
        <v>86</v>
      </c>
      <c r="F1993">
        <v>10</v>
      </c>
      <c r="G1993">
        <v>0</v>
      </c>
      <c r="H1993">
        <v>25</v>
      </c>
      <c r="I1993">
        <v>1196</v>
      </c>
      <c r="J1993">
        <v>0</v>
      </c>
      <c r="K1993">
        <v>5.1085000000000003</v>
      </c>
      <c r="L1993">
        <v>8.6315000000000008</v>
      </c>
      <c r="M1993">
        <v>79.287500000000009</v>
      </c>
      <c r="N1993">
        <v>14.435</v>
      </c>
      <c r="O1993">
        <v>1666</v>
      </c>
      <c r="P1993">
        <v>0</v>
      </c>
      <c r="Q1993" s="5" t="e">
        <f>IF(AND(#REF!&gt;=table!$C$6,#REF!&lt;= table!$D$6),-1,IF(AND(#REF!&gt;=table!$E$6,#REF!&lt;=table!$F$6),1,0))</f>
        <v>#REF!</v>
      </c>
      <c r="R1993" s="5" t="e">
        <f>IF(AND(#REF!&gt;=table!$C$7,#REF!&lt;= table!$D$7),-1,IF(AND(#REF!&gt;=table!$E$7,#REF!&lt;=table!$F$7),1,0))</f>
        <v>#REF!</v>
      </c>
      <c r="S1993" s="5" t="e">
        <f>IF(AND(#REF!&gt;=table!$C$8,#REF!&lt;= table!$D$8),-1,IF(AND(#REF!&gt;=table!$E$8,#REF!&lt;=table!$F$8),1,0))</f>
        <v>#REF!</v>
      </c>
      <c r="T1993" s="5"/>
      <c r="U1993" s="5" t="e">
        <f>IF(AND(#REF!&gt;=table!$C$10,#REF!&lt;= table!$D$10),-1,IF(AND(#REF!&gt;=table!$E$10,#REF!&lt;=table!$F$10),1,0))</f>
        <v>#REF!</v>
      </c>
      <c r="V1993" s="5" t="e">
        <f>IF(AND(#REF!&gt;=table!$C$11,#REF!&lt;= table!$D$11),-1,IF(AND(#REF!&gt;=table!$E$11,#REF!&lt;=table!$F$11),1,0))</f>
        <v>#REF!</v>
      </c>
      <c r="W1993" s="5" t="e">
        <f>CONCATENATE(dados[[#This Row],[fator1]],dados[[#This Row],[fator5]],dados[[#This Row],[fator6]])</f>
        <v>#REF!</v>
      </c>
    </row>
    <row r="1994" spans="1:23">
      <c r="A1994" t="s">
        <v>16</v>
      </c>
      <c r="B1994">
        <v>486611</v>
      </c>
      <c r="C1994">
        <v>9</v>
      </c>
      <c r="D1994">
        <v>40</v>
      </c>
      <c r="E1994">
        <v>46</v>
      </c>
      <c r="F1994">
        <v>15</v>
      </c>
      <c r="G1994">
        <v>0</v>
      </c>
      <c r="H1994">
        <v>25</v>
      </c>
      <c r="I1994">
        <v>1094</v>
      </c>
      <c r="J1994">
        <v>0</v>
      </c>
      <c r="K1994">
        <v>5.8585000000000003</v>
      </c>
      <c r="L1994">
        <v>21.218500000000002</v>
      </c>
      <c r="M1994">
        <v>53.148500000000006</v>
      </c>
      <c r="N1994">
        <v>13.335000000000001</v>
      </c>
      <c r="O1994">
        <v>1668</v>
      </c>
      <c r="P1994">
        <v>685</v>
      </c>
      <c r="Q1994" s="5" t="e">
        <f>IF(AND(#REF!&gt;=table!$C$6,#REF!&lt;= table!$D$6),-1,IF(AND(#REF!&gt;=table!$E$6,#REF!&lt;=table!$F$6),1,0))</f>
        <v>#REF!</v>
      </c>
      <c r="R1994" s="5" t="e">
        <f>IF(AND(#REF!&gt;=table!$C$7,#REF!&lt;= table!$D$7),-1,IF(AND(#REF!&gt;=table!$E$7,#REF!&lt;=table!$F$7),1,0))</f>
        <v>#REF!</v>
      </c>
      <c r="S1994" s="5" t="e">
        <f>IF(AND(#REF!&gt;=table!$C$8,#REF!&lt;= table!$D$8),-1,IF(AND(#REF!&gt;=table!$E$8,#REF!&lt;=table!$F$8),1,0))</f>
        <v>#REF!</v>
      </c>
      <c r="T1994" s="5"/>
      <c r="U1994" s="5" t="e">
        <f>IF(AND(#REF!&gt;=table!$C$10,#REF!&lt;= table!$D$10),-1,IF(AND(#REF!&gt;=table!$E$10,#REF!&lt;=table!$F$10),1,0))</f>
        <v>#REF!</v>
      </c>
      <c r="V1994" s="5" t="e">
        <f>IF(AND(#REF!&gt;=table!$C$11,#REF!&lt;= table!$D$11),-1,IF(AND(#REF!&gt;=table!$E$11,#REF!&lt;=table!$F$11),1,0))</f>
        <v>#REF!</v>
      </c>
      <c r="W1994" s="5" t="e">
        <f>CONCATENATE(dados[[#This Row],[fator1]],dados[[#This Row],[fator5]],dados[[#This Row],[fator6]])</f>
        <v>#REF!</v>
      </c>
    </row>
    <row r="1995" spans="1:23">
      <c r="A1995" t="s">
        <v>16</v>
      </c>
      <c r="B1995">
        <v>486612</v>
      </c>
      <c r="C1995">
        <v>7</v>
      </c>
      <c r="D1995">
        <v>27</v>
      </c>
      <c r="E1995">
        <v>36</v>
      </c>
      <c r="F1995">
        <v>8</v>
      </c>
      <c r="G1995">
        <v>0</v>
      </c>
      <c r="H1995">
        <v>25</v>
      </c>
      <c r="I1995">
        <v>1130</v>
      </c>
      <c r="J1995">
        <v>320</v>
      </c>
      <c r="K1995">
        <v>10.419500000000001</v>
      </c>
      <c r="L1995">
        <v>19.759499999999999</v>
      </c>
      <c r="M1995">
        <v>30.739500000000003</v>
      </c>
      <c r="N1995">
        <v>12.99</v>
      </c>
      <c r="O1995">
        <v>1649</v>
      </c>
      <c r="P1995">
        <v>0</v>
      </c>
      <c r="Q1995" s="5" t="e">
        <f>IF(AND(#REF!&gt;=table!$C$6,#REF!&lt;= table!$D$6),-1,IF(AND(#REF!&gt;=table!$E$6,#REF!&lt;=table!$F$6),1,0))</f>
        <v>#REF!</v>
      </c>
      <c r="R1995" s="5" t="e">
        <f>IF(AND(#REF!&gt;=table!$C$7,#REF!&lt;= table!$D$7),-1,IF(AND(#REF!&gt;=table!$E$7,#REF!&lt;=table!$F$7),1,0))</f>
        <v>#REF!</v>
      </c>
      <c r="S1995" s="5" t="e">
        <f>IF(AND(#REF!&gt;=table!$C$8,#REF!&lt;= table!$D$8),-1,IF(AND(#REF!&gt;=table!$E$8,#REF!&lt;=table!$F$8),1,0))</f>
        <v>#REF!</v>
      </c>
      <c r="T1995" s="5"/>
      <c r="U1995" s="5" t="e">
        <f>IF(AND(#REF!&gt;=table!$C$10,#REF!&lt;= table!$D$10),-1,IF(AND(#REF!&gt;=table!$E$10,#REF!&lt;=table!$F$10),1,0))</f>
        <v>#REF!</v>
      </c>
      <c r="V1995" s="5" t="e">
        <f>IF(AND(#REF!&gt;=table!$C$11,#REF!&lt;= table!$D$11),-1,IF(AND(#REF!&gt;=table!$E$11,#REF!&lt;=table!$F$11),1,0))</f>
        <v>#REF!</v>
      </c>
      <c r="W1995" s="5" t="e">
        <f>CONCATENATE(dados[[#This Row],[fator1]],dados[[#This Row],[fator5]],dados[[#This Row],[fator6]])</f>
        <v>#REF!</v>
      </c>
    </row>
    <row r="1996" spans="1:23">
      <c r="A1996" t="s">
        <v>16</v>
      </c>
      <c r="B1996">
        <v>486614</v>
      </c>
      <c r="C1996">
        <v>12</v>
      </c>
      <c r="D1996">
        <v>40</v>
      </c>
      <c r="E1996">
        <v>36</v>
      </c>
      <c r="F1996">
        <v>15</v>
      </c>
      <c r="G1996">
        <v>0</v>
      </c>
      <c r="H1996">
        <v>25</v>
      </c>
      <c r="I1996">
        <v>997</v>
      </c>
      <c r="J1996">
        <v>0</v>
      </c>
      <c r="K1996">
        <v>14.93</v>
      </c>
      <c r="L1996">
        <v>16.753500000000003</v>
      </c>
      <c r="M1996">
        <v>18.311500000000002</v>
      </c>
      <c r="N1996">
        <v>16.785</v>
      </c>
      <c r="O1996">
        <v>1633</v>
      </c>
      <c r="P1996">
        <v>273</v>
      </c>
      <c r="Q1996" s="5" t="e">
        <f>IF(AND(#REF!&gt;=table!$C$6,#REF!&lt;= table!$D$6),-1,IF(AND(#REF!&gt;=table!$E$6,#REF!&lt;=table!$F$6),1,0))</f>
        <v>#REF!</v>
      </c>
      <c r="R1996" s="5" t="e">
        <f>IF(AND(#REF!&gt;=table!$C$7,#REF!&lt;= table!$D$7),-1,IF(AND(#REF!&gt;=table!$E$7,#REF!&lt;=table!$F$7),1,0))</f>
        <v>#REF!</v>
      </c>
      <c r="S1996" s="5" t="e">
        <f>IF(AND(#REF!&gt;=table!$C$8,#REF!&lt;= table!$D$8),-1,IF(AND(#REF!&gt;=table!$E$8,#REF!&lt;=table!$F$8),1,0))</f>
        <v>#REF!</v>
      </c>
      <c r="T1996" s="5"/>
      <c r="U1996" s="5" t="e">
        <f>IF(AND(#REF!&gt;=table!$C$10,#REF!&lt;= table!$D$10),-1,IF(AND(#REF!&gt;=table!$E$10,#REF!&lt;=table!$F$10),1,0))</f>
        <v>#REF!</v>
      </c>
      <c r="V1996" s="5" t="e">
        <f>IF(AND(#REF!&gt;=table!$C$11,#REF!&lt;= table!$D$11),-1,IF(AND(#REF!&gt;=table!$E$11,#REF!&lt;=table!$F$11),1,0))</f>
        <v>#REF!</v>
      </c>
      <c r="W1996" s="5" t="e">
        <f>CONCATENATE(dados[[#This Row],[fator1]],dados[[#This Row],[fator5]],dados[[#This Row],[fator6]])</f>
        <v>#REF!</v>
      </c>
    </row>
    <row r="1997" spans="1:23">
      <c r="A1997" t="s">
        <v>16</v>
      </c>
      <c r="B1997">
        <v>486616</v>
      </c>
      <c r="C1997">
        <v>9</v>
      </c>
      <c r="D1997">
        <v>27</v>
      </c>
      <c r="E1997">
        <v>36</v>
      </c>
      <c r="F1997">
        <v>8</v>
      </c>
      <c r="G1997">
        <v>0</v>
      </c>
      <c r="H1997">
        <v>25</v>
      </c>
      <c r="I1997">
        <v>1325</v>
      </c>
      <c r="J1997">
        <v>0</v>
      </c>
      <c r="K1997">
        <v>5.4235000000000007</v>
      </c>
      <c r="L1997">
        <v>7.7160000000000002</v>
      </c>
      <c r="M1997">
        <v>32.437000000000005</v>
      </c>
      <c r="N1997">
        <v>12.88</v>
      </c>
      <c r="O1997">
        <v>1672</v>
      </c>
      <c r="P1997">
        <v>0</v>
      </c>
      <c r="Q1997" s="5" t="e">
        <f>IF(AND(#REF!&gt;=table!$C$6,#REF!&lt;= table!$D$6),-1,IF(AND(#REF!&gt;=table!$E$6,#REF!&lt;=table!$F$6),1,0))</f>
        <v>#REF!</v>
      </c>
      <c r="R1997" s="5" t="e">
        <f>IF(AND(#REF!&gt;=table!$C$7,#REF!&lt;= table!$D$7),-1,IF(AND(#REF!&gt;=table!$E$7,#REF!&lt;=table!$F$7),1,0))</f>
        <v>#REF!</v>
      </c>
      <c r="S1997" s="5" t="e">
        <f>IF(AND(#REF!&gt;=table!$C$8,#REF!&lt;= table!$D$8),-1,IF(AND(#REF!&gt;=table!$E$8,#REF!&lt;=table!$F$8),1,0))</f>
        <v>#REF!</v>
      </c>
      <c r="T1997" s="5"/>
      <c r="U1997" s="5" t="e">
        <f>IF(AND(#REF!&gt;=table!$C$10,#REF!&lt;= table!$D$10),-1,IF(AND(#REF!&gt;=table!$E$10,#REF!&lt;=table!$F$10),1,0))</f>
        <v>#REF!</v>
      </c>
      <c r="V1997" s="5" t="e">
        <f>IF(AND(#REF!&gt;=table!$C$11,#REF!&lt;= table!$D$11),-1,IF(AND(#REF!&gt;=table!$E$11,#REF!&lt;=table!$F$11),1,0))</f>
        <v>#REF!</v>
      </c>
      <c r="W1997" s="5" t="e">
        <f>CONCATENATE(dados[[#This Row],[fator1]],dados[[#This Row],[fator5]],dados[[#This Row],[fator6]])</f>
        <v>#REF!</v>
      </c>
    </row>
    <row r="1998" spans="1:23">
      <c r="A1998" t="s">
        <v>17</v>
      </c>
      <c r="B1998">
        <v>486617</v>
      </c>
      <c r="C1998">
        <v>9</v>
      </c>
      <c r="D1998">
        <v>25</v>
      </c>
      <c r="E1998">
        <v>130</v>
      </c>
      <c r="F1998">
        <v>3</v>
      </c>
      <c r="G1998">
        <v>20</v>
      </c>
      <c r="H1998">
        <v>21</v>
      </c>
      <c r="I1998">
        <v>810</v>
      </c>
      <c r="J1998">
        <v>0</v>
      </c>
      <c r="K1998">
        <v>5.6230000000000002</v>
      </c>
      <c r="L1998">
        <v>8.8574999999999999</v>
      </c>
      <c r="M1998">
        <v>116.41600000000001</v>
      </c>
      <c r="N1998">
        <v>10.81</v>
      </c>
      <c r="O1998">
        <v>1654</v>
      </c>
      <c r="P1998">
        <v>772</v>
      </c>
      <c r="Q1998" s="5" t="e">
        <f>IF(AND(#REF!&gt;=table!$C$6,#REF!&lt;= table!$D$6),-1,IF(AND(#REF!&gt;=table!$E$6,#REF!&lt;=table!$F$6),1,0))</f>
        <v>#REF!</v>
      </c>
      <c r="R1998" s="5" t="e">
        <f>IF(AND(#REF!&gt;=table!$C$7,#REF!&lt;= table!$D$7),-1,IF(AND(#REF!&gt;=table!$E$7,#REF!&lt;=table!$F$7),1,0))</f>
        <v>#REF!</v>
      </c>
      <c r="S1998" s="5" t="e">
        <f>IF(AND(#REF!&gt;=table!$C$8,#REF!&lt;= table!$D$8),-1,IF(AND(#REF!&gt;=table!$E$8,#REF!&lt;=table!$F$8),1,0))</f>
        <v>#REF!</v>
      </c>
      <c r="T1998" s="5"/>
      <c r="U1998" s="5" t="e">
        <f>IF(AND(#REF!&gt;=table!$C$10,#REF!&lt;= table!$D$10),-1,IF(AND(#REF!&gt;=table!$E$10,#REF!&lt;=table!$F$10),1,0))</f>
        <v>#REF!</v>
      </c>
      <c r="V1998" s="5" t="e">
        <f>IF(AND(#REF!&gt;=table!$C$11,#REF!&lt;= table!$D$11),-1,IF(AND(#REF!&gt;=table!$E$11,#REF!&lt;=table!$F$11),1,0))</f>
        <v>#REF!</v>
      </c>
      <c r="W1998" s="5" t="e">
        <f>CONCATENATE(dados[[#This Row],[fator1]],dados[[#This Row],[fator5]],dados[[#This Row],[fator6]])</f>
        <v>#REF!</v>
      </c>
    </row>
    <row r="1999" spans="1:23">
      <c r="A1999" t="s">
        <v>17</v>
      </c>
      <c r="B1999">
        <v>486618</v>
      </c>
      <c r="C1999">
        <v>9</v>
      </c>
      <c r="D1999">
        <v>25</v>
      </c>
      <c r="E1999">
        <v>130</v>
      </c>
      <c r="F1999">
        <v>3</v>
      </c>
      <c r="G1999">
        <v>20</v>
      </c>
      <c r="H1999">
        <v>21</v>
      </c>
      <c r="I1999">
        <v>793</v>
      </c>
      <c r="J1999">
        <v>690</v>
      </c>
      <c r="K1999">
        <v>5.6185</v>
      </c>
      <c r="L1999">
        <v>14.124500000000001</v>
      </c>
      <c r="M1999">
        <v>113.46250000000001</v>
      </c>
      <c r="N1999">
        <v>13.9</v>
      </c>
      <c r="O1999">
        <v>1668</v>
      </c>
      <c r="P1999">
        <v>718</v>
      </c>
      <c r="Q1999" s="5" t="e">
        <f>IF(AND(#REF!&gt;=table!$C$6,#REF!&lt;= table!$D$6),-1,IF(AND(#REF!&gt;=table!$E$6,#REF!&lt;=table!$F$6),1,0))</f>
        <v>#REF!</v>
      </c>
      <c r="R1999" s="5" t="e">
        <f>IF(AND(#REF!&gt;=table!$C$7,#REF!&lt;= table!$D$7),-1,IF(AND(#REF!&gt;=table!$E$7,#REF!&lt;=table!$F$7),1,0))</f>
        <v>#REF!</v>
      </c>
      <c r="S1999" s="5" t="e">
        <f>IF(AND(#REF!&gt;=table!$C$8,#REF!&lt;= table!$D$8),-1,IF(AND(#REF!&gt;=table!$E$8,#REF!&lt;=table!$F$8),1,0))</f>
        <v>#REF!</v>
      </c>
      <c r="T1999" s="5"/>
      <c r="U1999" s="5" t="e">
        <f>IF(AND(#REF!&gt;=table!$C$10,#REF!&lt;= table!$D$10),-1,IF(AND(#REF!&gt;=table!$E$10,#REF!&lt;=table!$F$10),1,0))</f>
        <v>#REF!</v>
      </c>
      <c r="V1999" s="5" t="e">
        <f>IF(AND(#REF!&gt;=table!$C$11,#REF!&lt;= table!$D$11),-1,IF(AND(#REF!&gt;=table!$E$11,#REF!&lt;=table!$F$11),1,0))</f>
        <v>#REF!</v>
      </c>
      <c r="W1999" s="5" t="e">
        <f>CONCATENATE(dados[[#This Row],[fator1]],dados[[#This Row],[fator5]],dados[[#This Row],[fator6]])</f>
        <v>#REF!</v>
      </c>
    </row>
    <row r="2000" spans="1:23">
      <c r="A2000" t="s">
        <v>17</v>
      </c>
      <c r="B2000">
        <v>486619</v>
      </c>
      <c r="C2000">
        <v>9</v>
      </c>
      <c r="D2000">
        <v>25</v>
      </c>
      <c r="E2000">
        <v>130</v>
      </c>
      <c r="F2000">
        <v>3</v>
      </c>
      <c r="G2000">
        <v>20</v>
      </c>
      <c r="H2000">
        <v>21</v>
      </c>
      <c r="I2000">
        <v>534</v>
      </c>
      <c r="J2000">
        <v>0</v>
      </c>
      <c r="K2000">
        <v>6.4510000000000005</v>
      </c>
      <c r="L2000">
        <v>10.199</v>
      </c>
      <c r="M2000">
        <v>105.574</v>
      </c>
      <c r="N2000">
        <v>10.99</v>
      </c>
      <c r="O2000">
        <v>1655</v>
      </c>
      <c r="P2000">
        <v>705</v>
      </c>
      <c r="Q2000" s="5" t="e">
        <f>IF(AND(#REF!&gt;=table!$C$6,#REF!&lt;= table!$D$6),-1,IF(AND(#REF!&gt;=table!$E$6,#REF!&lt;=table!$F$6),1,0))</f>
        <v>#REF!</v>
      </c>
      <c r="R2000" s="5" t="e">
        <f>IF(AND(#REF!&gt;=table!$C$7,#REF!&lt;= table!$D$7),-1,IF(AND(#REF!&gt;=table!$E$7,#REF!&lt;=table!$F$7),1,0))</f>
        <v>#REF!</v>
      </c>
      <c r="S2000" s="5" t="e">
        <f>IF(AND(#REF!&gt;=table!$C$8,#REF!&lt;= table!$D$8),-1,IF(AND(#REF!&gt;=table!$E$8,#REF!&lt;=table!$F$8),1,0))</f>
        <v>#REF!</v>
      </c>
      <c r="T2000" s="5"/>
      <c r="U2000" s="5" t="e">
        <f>IF(AND(#REF!&gt;=table!$C$10,#REF!&lt;= table!$D$10),-1,IF(AND(#REF!&gt;=table!$E$10,#REF!&lt;=table!$F$10),1,0))</f>
        <v>#REF!</v>
      </c>
      <c r="V2000" s="5" t="e">
        <f>IF(AND(#REF!&gt;=table!$C$11,#REF!&lt;= table!$D$11),-1,IF(AND(#REF!&gt;=table!$E$11,#REF!&lt;=table!$F$11),1,0))</f>
        <v>#REF!</v>
      </c>
      <c r="W2000" s="5" t="e">
        <f>CONCATENATE(dados[[#This Row],[fator1]],dados[[#This Row],[fator5]],dados[[#This Row],[fator6]])</f>
        <v>#REF!</v>
      </c>
    </row>
    <row r="2001" spans="1:23">
      <c r="A2001" t="s">
        <v>17</v>
      </c>
      <c r="B2001">
        <v>486626</v>
      </c>
      <c r="C2001">
        <v>14</v>
      </c>
      <c r="D2001">
        <v>25</v>
      </c>
      <c r="E2001">
        <v>130</v>
      </c>
      <c r="F2001">
        <v>9</v>
      </c>
      <c r="G2001">
        <v>110</v>
      </c>
      <c r="H2001">
        <v>50</v>
      </c>
      <c r="I2001">
        <v>897</v>
      </c>
      <c r="J2001">
        <v>0</v>
      </c>
      <c r="K2001">
        <v>3.5410000000000004</v>
      </c>
      <c r="L2001">
        <v>12.066000000000001</v>
      </c>
      <c r="M2001">
        <v>114.58550000000001</v>
      </c>
      <c r="N2001">
        <v>29.080000000000002</v>
      </c>
      <c r="O2001">
        <v>1654</v>
      </c>
      <c r="P2001">
        <v>776</v>
      </c>
      <c r="Q2001" s="5" t="e">
        <f>IF(AND(#REF!&gt;=table!$C$6,#REF!&lt;= table!$D$6),-1,IF(AND(#REF!&gt;=table!$E$6,#REF!&lt;=table!$F$6),1,0))</f>
        <v>#REF!</v>
      </c>
      <c r="R2001" s="5" t="e">
        <f>IF(AND(#REF!&gt;=table!$C$7,#REF!&lt;= table!$D$7),-1,IF(AND(#REF!&gt;=table!$E$7,#REF!&lt;=table!$F$7),1,0))</f>
        <v>#REF!</v>
      </c>
      <c r="S2001" s="5" t="e">
        <f>IF(AND(#REF!&gt;=table!$C$8,#REF!&lt;= table!$D$8),-1,IF(AND(#REF!&gt;=table!$E$8,#REF!&lt;=table!$F$8),1,0))</f>
        <v>#REF!</v>
      </c>
      <c r="T2001" s="5"/>
      <c r="U2001" s="5" t="e">
        <f>IF(AND(#REF!&gt;=table!$C$10,#REF!&lt;= table!$D$10),-1,IF(AND(#REF!&gt;=table!$E$10,#REF!&lt;=table!$F$10),1,0))</f>
        <v>#REF!</v>
      </c>
      <c r="V2001" s="5" t="e">
        <f>IF(AND(#REF!&gt;=table!$C$11,#REF!&lt;= table!$D$11),-1,IF(AND(#REF!&gt;=table!$E$11,#REF!&lt;=table!$F$11),1,0))</f>
        <v>#REF!</v>
      </c>
      <c r="W2001" s="5" t="e">
        <f>CONCATENATE(dados[[#This Row],[fator1]],dados[[#This Row],[fator5]],dados[[#This Row],[fator6]])</f>
        <v>#REF!</v>
      </c>
    </row>
    <row r="2002" spans="1:23">
      <c r="A2002" t="s">
        <v>16</v>
      </c>
      <c r="B2002">
        <v>486629</v>
      </c>
      <c r="C2002">
        <v>0.15</v>
      </c>
      <c r="D2002">
        <v>40</v>
      </c>
      <c r="E2002">
        <v>10</v>
      </c>
      <c r="F2002">
        <v>15</v>
      </c>
      <c r="G2002">
        <v>0</v>
      </c>
      <c r="H2002">
        <v>15</v>
      </c>
      <c r="I2002">
        <v>786</v>
      </c>
      <c r="J2002">
        <v>0</v>
      </c>
      <c r="K2002">
        <v>4.6165000000000003</v>
      </c>
      <c r="L2002">
        <v>8.4830000000000005</v>
      </c>
      <c r="M2002">
        <v>6.7895000000000003</v>
      </c>
      <c r="N2002">
        <v>14.05</v>
      </c>
      <c r="O2002">
        <v>1694</v>
      </c>
      <c r="P2002">
        <v>0</v>
      </c>
      <c r="Q2002" s="5" t="e">
        <f>IF(AND(#REF!&gt;=table!$C$6,#REF!&lt;= table!$D$6),-1,IF(AND(#REF!&gt;=table!$E$6,#REF!&lt;=table!$F$6),1,0))</f>
        <v>#REF!</v>
      </c>
      <c r="R2002" s="5" t="e">
        <f>IF(AND(#REF!&gt;=table!$C$7,#REF!&lt;= table!$D$7),-1,IF(AND(#REF!&gt;=table!$E$7,#REF!&lt;=table!$F$7),1,0))</f>
        <v>#REF!</v>
      </c>
      <c r="S2002" s="5" t="e">
        <f>IF(AND(#REF!&gt;=table!$C$8,#REF!&lt;= table!$D$8),-1,IF(AND(#REF!&gt;=table!$E$8,#REF!&lt;=table!$F$8),1,0))</f>
        <v>#REF!</v>
      </c>
      <c r="T2002" s="5"/>
      <c r="U2002" s="5" t="e">
        <f>IF(AND(#REF!&gt;=table!$C$10,#REF!&lt;= table!$D$10),-1,IF(AND(#REF!&gt;=table!$E$10,#REF!&lt;=table!$F$10),1,0))</f>
        <v>#REF!</v>
      </c>
      <c r="V2002" s="5" t="e">
        <f>IF(AND(#REF!&gt;=table!$C$11,#REF!&lt;= table!$D$11),-1,IF(AND(#REF!&gt;=table!$E$11,#REF!&lt;=table!$F$11),1,0))</f>
        <v>#REF!</v>
      </c>
      <c r="W2002" s="5" t="e">
        <f>CONCATENATE(dados[[#This Row],[fator1]],dados[[#This Row],[fator5]],dados[[#This Row],[fator6]])</f>
        <v>#REF!</v>
      </c>
    </row>
    <row r="2003" spans="1:23">
      <c r="A2003" t="s">
        <v>16</v>
      </c>
      <c r="B2003">
        <v>486633</v>
      </c>
      <c r="C2003">
        <v>12</v>
      </c>
      <c r="D2003">
        <v>35</v>
      </c>
      <c r="E2003">
        <v>180</v>
      </c>
      <c r="F2003">
        <v>6</v>
      </c>
      <c r="G2003">
        <v>0</v>
      </c>
      <c r="H2003">
        <v>20</v>
      </c>
      <c r="I2003">
        <v>1105</v>
      </c>
      <c r="J2003">
        <v>510</v>
      </c>
      <c r="K2003">
        <v>2.9984999999999999</v>
      </c>
      <c r="L2003">
        <v>4.6480000000000006</v>
      </c>
      <c r="M2003">
        <v>131.33750000000001</v>
      </c>
      <c r="N2003">
        <v>10.325000000000001</v>
      </c>
      <c r="O2003">
        <v>1634</v>
      </c>
      <c r="P2003">
        <v>1056</v>
      </c>
      <c r="Q2003" s="5" t="e">
        <f>IF(AND(#REF!&gt;=table!$C$6,#REF!&lt;= table!$D$6),-1,IF(AND(#REF!&gt;=table!$E$6,#REF!&lt;=table!$F$6),1,0))</f>
        <v>#REF!</v>
      </c>
      <c r="R2003" s="5" t="e">
        <f>IF(AND(#REF!&gt;=table!$C$7,#REF!&lt;= table!$D$7),-1,IF(AND(#REF!&gt;=table!$E$7,#REF!&lt;=table!$F$7),1,0))</f>
        <v>#REF!</v>
      </c>
      <c r="S2003" s="5" t="e">
        <f>IF(AND(#REF!&gt;=table!$C$8,#REF!&lt;= table!$D$8),-1,IF(AND(#REF!&gt;=table!$E$8,#REF!&lt;=table!$F$8),1,0))</f>
        <v>#REF!</v>
      </c>
      <c r="T2003" s="5"/>
      <c r="U2003" s="5" t="e">
        <f>IF(AND(#REF!&gt;=table!$C$10,#REF!&lt;= table!$D$10),-1,IF(AND(#REF!&gt;=table!$E$10,#REF!&lt;=table!$F$10),1,0))</f>
        <v>#REF!</v>
      </c>
      <c r="V2003" s="5" t="e">
        <f>IF(AND(#REF!&gt;=table!$C$11,#REF!&lt;= table!$D$11),-1,IF(AND(#REF!&gt;=table!$E$11,#REF!&lt;=table!$F$11),1,0))</f>
        <v>#REF!</v>
      </c>
      <c r="W2003" s="5" t="e">
        <f>CONCATENATE(dados[[#This Row],[fator1]],dados[[#This Row],[fator5]],dados[[#This Row],[fator6]])</f>
        <v>#REF!</v>
      </c>
    </row>
    <row r="2004" spans="1:23">
      <c r="A2004" t="s">
        <v>16</v>
      </c>
      <c r="B2004">
        <v>486634</v>
      </c>
      <c r="C2004">
        <v>10</v>
      </c>
      <c r="D2004">
        <v>45</v>
      </c>
      <c r="E2004">
        <v>156</v>
      </c>
      <c r="F2004">
        <v>8</v>
      </c>
      <c r="G2004">
        <v>0</v>
      </c>
      <c r="H2004">
        <v>25</v>
      </c>
      <c r="I2004">
        <v>700</v>
      </c>
      <c r="J2004">
        <v>770</v>
      </c>
      <c r="K2004">
        <v>2.5820000000000003</v>
      </c>
      <c r="L2004">
        <v>7.7040000000000006</v>
      </c>
      <c r="M2004">
        <v>93.542000000000002</v>
      </c>
      <c r="N2004">
        <v>17.725000000000001</v>
      </c>
      <c r="O2004">
        <v>1679</v>
      </c>
      <c r="P2004">
        <v>1360</v>
      </c>
      <c r="Q2004" s="5" t="e">
        <f>IF(AND(#REF!&gt;=table!$C$6,#REF!&lt;= table!$D$6),-1,IF(AND(#REF!&gt;=table!$E$6,#REF!&lt;=table!$F$6),1,0))</f>
        <v>#REF!</v>
      </c>
      <c r="R2004" s="5" t="e">
        <f>IF(AND(#REF!&gt;=table!$C$7,#REF!&lt;= table!$D$7),-1,IF(AND(#REF!&gt;=table!$E$7,#REF!&lt;=table!$F$7),1,0))</f>
        <v>#REF!</v>
      </c>
      <c r="S2004" s="5" t="e">
        <f>IF(AND(#REF!&gt;=table!$C$8,#REF!&lt;= table!$D$8),-1,IF(AND(#REF!&gt;=table!$E$8,#REF!&lt;=table!$F$8),1,0))</f>
        <v>#REF!</v>
      </c>
      <c r="T2004" s="5"/>
      <c r="U2004" s="5" t="e">
        <f>IF(AND(#REF!&gt;=table!$C$10,#REF!&lt;= table!$D$10),-1,IF(AND(#REF!&gt;=table!$E$10,#REF!&lt;=table!$F$10),1,0))</f>
        <v>#REF!</v>
      </c>
      <c r="V2004" s="5" t="e">
        <f>IF(AND(#REF!&gt;=table!$C$11,#REF!&lt;= table!$D$11),-1,IF(AND(#REF!&gt;=table!$E$11,#REF!&lt;=table!$F$11),1,0))</f>
        <v>#REF!</v>
      </c>
      <c r="W2004" s="5" t="e">
        <f>CONCATENATE(dados[[#This Row],[fator1]],dados[[#This Row],[fator5]],dados[[#This Row],[fator6]])</f>
        <v>#REF!</v>
      </c>
    </row>
    <row r="2005" spans="1:23">
      <c r="A2005" t="s">
        <v>16</v>
      </c>
      <c r="B2005">
        <v>486636</v>
      </c>
      <c r="C2005">
        <v>16</v>
      </c>
      <c r="D2005">
        <v>30</v>
      </c>
      <c r="E2005">
        <v>36</v>
      </c>
      <c r="F2005">
        <v>3</v>
      </c>
      <c r="G2005">
        <v>0</v>
      </c>
      <c r="H2005">
        <v>25</v>
      </c>
      <c r="I2005">
        <v>623</v>
      </c>
      <c r="J2005">
        <v>0</v>
      </c>
      <c r="K2005">
        <v>3.3640000000000003</v>
      </c>
      <c r="L2005">
        <v>6.5280000000000005</v>
      </c>
      <c r="M2005">
        <v>28.665000000000003</v>
      </c>
      <c r="N2005">
        <v>9.4550000000000001</v>
      </c>
      <c r="O2005">
        <v>1697</v>
      </c>
      <c r="P2005">
        <v>0</v>
      </c>
      <c r="Q2005" s="5" t="e">
        <f>IF(AND(#REF!&gt;=table!$C$6,#REF!&lt;= table!$D$6),-1,IF(AND(#REF!&gt;=table!$E$6,#REF!&lt;=table!$F$6),1,0))</f>
        <v>#REF!</v>
      </c>
      <c r="R2005" s="5" t="e">
        <f>IF(AND(#REF!&gt;=table!$C$7,#REF!&lt;= table!$D$7),-1,IF(AND(#REF!&gt;=table!$E$7,#REF!&lt;=table!$F$7),1,0))</f>
        <v>#REF!</v>
      </c>
      <c r="S2005" s="5" t="e">
        <f>IF(AND(#REF!&gt;=table!$C$8,#REF!&lt;= table!$D$8),-1,IF(AND(#REF!&gt;=table!$E$8,#REF!&lt;=table!$F$8),1,0))</f>
        <v>#REF!</v>
      </c>
      <c r="T2005" s="5"/>
      <c r="U2005" s="5" t="e">
        <f>IF(AND(#REF!&gt;=table!$C$10,#REF!&lt;= table!$D$10),-1,IF(AND(#REF!&gt;=table!$E$10,#REF!&lt;=table!$F$10),1,0))</f>
        <v>#REF!</v>
      </c>
      <c r="V2005" s="5" t="e">
        <f>IF(AND(#REF!&gt;=table!$C$11,#REF!&lt;= table!$D$11),-1,IF(AND(#REF!&gt;=table!$E$11,#REF!&lt;=table!$F$11),1,0))</f>
        <v>#REF!</v>
      </c>
      <c r="W2005" s="5" t="e">
        <f>CONCATENATE(dados[[#This Row],[fator1]],dados[[#This Row],[fator5]],dados[[#This Row],[fator6]])</f>
        <v>#REF!</v>
      </c>
    </row>
    <row r="2006" spans="1:23">
      <c r="A2006" t="s">
        <v>16</v>
      </c>
      <c r="B2006">
        <v>486640</v>
      </c>
      <c r="C2006">
        <v>0.15</v>
      </c>
      <c r="D2006">
        <v>35</v>
      </c>
      <c r="E2006">
        <v>15</v>
      </c>
      <c r="F2006">
        <v>10</v>
      </c>
      <c r="G2006">
        <v>0</v>
      </c>
      <c r="H2006">
        <v>12</v>
      </c>
      <c r="I2006">
        <v>505</v>
      </c>
      <c r="J2006">
        <v>0</v>
      </c>
      <c r="K2006">
        <v>4.1139999999999999</v>
      </c>
      <c r="L2006">
        <v>6.9685000000000006</v>
      </c>
      <c r="M2006">
        <v>6.1785000000000005</v>
      </c>
      <c r="N2006">
        <v>7.8050000000000006</v>
      </c>
      <c r="O2006">
        <v>1688</v>
      </c>
      <c r="P2006">
        <v>0</v>
      </c>
      <c r="Q2006" s="5" t="e">
        <f>IF(AND(#REF!&gt;=table!$C$6,#REF!&lt;= table!$D$6),-1,IF(AND(#REF!&gt;=table!$E$6,#REF!&lt;=table!$F$6),1,0))</f>
        <v>#REF!</v>
      </c>
      <c r="R2006" s="5" t="e">
        <f>IF(AND(#REF!&gt;=table!$C$7,#REF!&lt;= table!$D$7),-1,IF(AND(#REF!&gt;=table!$E$7,#REF!&lt;=table!$F$7),1,0))</f>
        <v>#REF!</v>
      </c>
      <c r="S2006" s="5" t="e">
        <f>IF(AND(#REF!&gt;=table!$C$8,#REF!&lt;= table!$D$8),-1,IF(AND(#REF!&gt;=table!$E$8,#REF!&lt;=table!$F$8),1,0))</f>
        <v>#REF!</v>
      </c>
      <c r="T2006" s="5"/>
      <c r="U2006" s="5" t="e">
        <f>IF(AND(#REF!&gt;=table!$C$10,#REF!&lt;= table!$D$10),-1,IF(AND(#REF!&gt;=table!$E$10,#REF!&lt;=table!$F$10),1,0))</f>
        <v>#REF!</v>
      </c>
      <c r="V2006" s="5" t="e">
        <f>IF(AND(#REF!&gt;=table!$C$11,#REF!&lt;= table!$D$11),-1,IF(AND(#REF!&gt;=table!$E$11,#REF!&lt;=table!$F$11),1,0))</f>
        <v>#REF!</v>
      </c>
      <c r="W2006" s="5" t="e">
        <f>CONCATENATE(dados[[#This Row],[fator1]],dados[[#This Row],[fator5]],dados[[#This Row],[fator6]])</f>
        <v>#REF!</v>
      </c>
    </row>
    <row r="2007" spans="1:23">
      <c r="A2007" t="s">
        <v>16</v>
      </c>
      <c r="B2007">
        <v>486644</v>
      </c>
      <c r="C2007">
        <v>16</v>
      </c>
      <c r="D2007">
        <v>30</v>
      </c>
      <c r="E2007">
        <v>36</v>
      </c>
      <c r="F2007">
        <v>3</v>
      </c>
      <c r="G2007">
        <v>0</v>
      </c>
      <c r="H2007">
        <v>25</v>
      </c>
      <c r="I2007">
        <v>5</v>
      </c>
      <c r="J2007">
        <v>0</v>
      </c>
      <c r="K2007">
        <v>6.476</v>
      </c>
      <c r="L2007">
        <v>18.643000000000001</v>
      </c>
      <c r="M2007">
        <v>30.707500000000003</v>
      </c>
      <c r="N2007">
        <v>21.43</v>
      </c>
      <c r="O2007">
        <v>1683</v>
      </c>
      <c r="P2007">
        <v>0</v>
      </c>
      <c r="Q2007" s="5" t="e">
        <f>IF(AND(#REF!&gt;=table!$C$6,#REF!&lt;= table!$D$6),-1,IF(AND(#REF!&gt;=table!$E$6,#REF!&lt;=table!$F$6),1,0))</f>
        <v>#REF!</v>
      </c>
      <c r="R2007" s="5" t="e">
        <f>IF(AND(#REF!&gt;=table!$C$7,#REF!&lt;= table!$D$7),-1,IF(AND(#REF!&gt;=table!$E$7,#REF!&lt;=table!$F$7),1,0))</f>
        <v>#REF!</v>
      </c>
      <c r="S2007" s="5" t="e">
        <f>IF(AND(#REF!&gt;=table!$C$8,#REF!&lt;= table!$D$8),-1,IF(AND(#REF!&gt;=table!$E$8,#REF!&lt;=table!$F$8),1,0))</f>
        <v>#REF!</v>
      </c>
      <c r="T2007" s="5"/>
      <c r="U2007" s="5" t="e">
        <f>IF(AND(#REF!&gt;=table!$C$10,#REF!&lt;= table!$D$10),-1,IF(AND(#REF!&gt;=table!$E$10,#REF!&lt;=table!$F$10),1,0))</f>
        <v>#REF!</v>
      </c>
      <c r="V2007" s="5" t="e">
        <f>IF(AND(#REF!&gt;=table!$C$11,#REF!&lt;= table!$D$11),-1,IF(AND(#REF!&gt;=table!$E$11,#REF!&lt;=table!$F$11),1,0))</f>
        <v>#REF!</v>
      </c>
      <c r="W2007" s="5" t="e">
        <f>CONCATENATE(dados[[#This Row],[fator1]],dados[[#This Row],[fator5]],dados[[#This Row],[fator6]])</f>
        <v>#REF!</v>
      </c>
    </row>
    <row r="2008" spans="1:23">
      <c r="A2008" t="s">
        <v>17</v>
      </c>
      <c r="B2008">
        <v>486649</v>
      </c>
      <c r="C2008">
        <v>18</v>
      </c>
      <c r="D2008">
        <v>23</v>
      </c>
      <c r="E2008">
        <v>145</v>
      </c>
      <c r="F2008">
        <v>9</v>
      </c>
      <c r="G2008">
        <v>30</v>
      </c>
      <c r="H2008">
        <v>25</v>
      </c>
      <c r="I2008">
        <v>0</v>
      </c>
      <c r="J2008">
        <v>0</v>
      </c>
      <c r="K2008">
        <v>6.3455000000000004</v>
      </c>
      <c r="L2008">
        <v>16.73</v>
      </c>
      <c r="M2008">
        <v>117.91850000000001</v>
      </c>
      <c r="N2008">
        <v>19.535</v>
      </c>
      <c r="O2008">
        <v>1671</v>
      </c>
      <c r="P2008">
        <v>0</v>
      </c>
      <c r="Q2008" s="5" t="e">
        <f>IF(AND(#REF!&gt;=table!$C$6,#REF!&lt;= table!$D$6),-1,IF(AND(#REF!&gt;=table!$E$6,#REF!&lt;=table!$F$6),1,0))</f>
        <v>#REF!</v>
      </c>
      <c r="R2008" s="5" t="e">
        <f>IF(AND(#REF!&gt;=table!$C$7,#REF!&lt;= table!$D$7),-1,IF(AND(#REF!&gt;=table!$E$7,#REF!&lt;=table!$F$7),1,0))</f>
        <v>#REF!</v>
      </c>
      <c r="S2008" s="5" t="e">
        <f>IF(AND(#REF!&gt;=table!$C$8,#REF!&lt;= table!$D$8),-1,IF(AND(#REF!&gt;=table!$E$8,#REF!&lt;=table!$F$8),1,0))</f>
        <v>#REF!</v>
      </c>
      <c r="T2008" s="5"/>
      <c r="U2008" s="5" t="e">
        <f>IF(AND(#REF!&gt;=table!$C$10,#REF!&lt;= table!$D$10),-1,IF(AND(#REF!&gt;=table!$E$10,#REF!&lt;=table!$F$10),1,0))</f>
        <v>#REF!</v>
      </c>
      <c r="V2008" s="5" t="e">
        <f>IF(AND(#REF!&gt;=table!$C$11,#REF!&lt;= table!$D$11),-1,IF(AND(#REF!&gt;=table!$E$11,#REF!&lt;=table!$F$11),1,0))</f>
        <v>#REF!</v>
      </c>
      <c r="W2008" s="5" t="e">
        <f>CONCATENATE(dados[[#This Row],[fator1]],dados[[#This Row],[fator5]],dados[[#This Row],[fator6]])</f>
        <v>#REF!</v>
      </c>
    </row>
    <row r="2009" spans="1:23">
      <c r="A2009" t="s">
        <v>17</v>
      </c>
      <c r="B2009">
        <v>486657</v>
      </c>
      <c r="C2009">
        <v>0.15</v>
      </c>
      <c r="D2009">
        <v>500</v>
      </c>
      <c r="E2009">
        <v>50</v>
      </c>
      <c r="F2009">
        <v>10</v>
      </c>
      <c r="G2009">
        <v>80</v>
      </c>
      <c r="H2009">
        <v>30</v>
      </c>
      <c r="I2009">
        <v>1094</v>
      </c>
      <c r="J2009">
        <v>0</v>
      </c>
      <c r="K2009">
        <v>9.3090000000000011</v>
      </c>
      <c r="L2009">
        <v>19.335000000000001</v>
      </c>
      <c r="M2009">
        <v>18.2225</v>
      </c>
      <c r="N2009">
        <v>18.309999999999999</v>
      </c>
      <c r="O2009">
        <v>1660</v>
      </c>
      <c r="P2009">
        <v>384</v>
      </c>
      <c r="Q2009" s="5" t="e">
        <f>IF(AND(#REF!&gt;=table!$C$6,#REF!&lt;= table!$D$6),-1,IF(AND(#REF!&gt;=table!$E$6,#REF!&lt;=table!$F$6),1,0))</f>
        <v>#REF!</v>
      </c>
      <c r="R2009" s="5" t="e">
        <f>IF(AND(#REF!&gt;=table!$C$7,#REF!&lt;= table!$D$7),-1,IF(AND(#REF!&gt;=table!$E$7,#REF!&lt;=table!$F$7),1,0))</f>
        <v>#REF!</v>
      </c>
      <c r="S2009" s="5" t="e">
        <f>IF(AND(#REF!&gt;=table!$C$8,#REF!&lt;= table!$D$8),-1,IF(AND(#REF!&gt;=table!$E$8,#REF!&lt;=table!$F$8),1,0))</f>
        <v>#REF!</v>
      </c>
      <c r="T2009" s="5"/>
      <c r="U2009" s="5" t="e">
        <f>IF(AND(#REF!&gt;=table!$C$10,#REF!&lt;= table!$D$10),-1,IF(AND(#REF!&gt;=table!$E$10,#REF!&lt;=table!$F$10),1,0))</f>
        <v>#REF!</v>
      </c>
      <c r="V2009" s="5" t="e">
        <f>IF(AND(#REF!&gt;=table!$C$11,#REF!&lt;= table!$D$11),-1,IF(AND(#REF!&gt;=table!$E$11,#REF!&lt;=table!$F$11),1,0))</f>
        <v>#REF!</v>
      </c>
      <c r="W2009" s="5" t="e">
        <f>CONCATENATE(dados[[#This Row],[fator1]],dados[[#This Row],[fator5]],dados[[#This Row],[fator6]])</f>
        <v>#REF!</v>
      </c>
    </row>
    <row r="2010" spans="1:23">
      <c r="A2010" t="s">
        <v>17</v>
      </c>
      <c r="B2010">
        <v>486660</v>
      </c>
      <c r="C2010">
        <v>14</v>
      </c>
      <c r="D2010">
        <v>30</v>
      </c>
      <c r="E2010">
        <v>66</v>
      </c>
      <c r="F2010">
        <v>9</v>
      </c>
      <c r="G2010">
        <v>20</v>
      </c>
      <c r="H2010">
        <v>25</v>
      </c>
      <c r="I2010">
        <v>1157</v>
      </c>
      <c r="J2010">
        <v>0</v>
      </c>
      <c r="K2010">
        <v>12.6105</v>
      </c>
      <c r="L2010">
        <v>14.630500000000001</v>
      </c>
      <c r="M2010">
        <v>61.902500000000003</v>
      </c>
      <c r="N2010">
        <v>15.36</v>
      </c>
      <c r="O2010">
        <v>1665</v>
      </c>
      <c r="P2010">
        <v>309</v>
      </c>
      <c r="Q2010" s="5" t="e">
        <f>IF(AND(#REF!&gt;=table!$C$6,#REF!&lt;= table!$D$6),-1,IF(AND(#REF!&gt;=table!$E$6,#REF!&lt;=table!$F$6),1,0))</f>
        <v>#REF!</v>
      </c>
      <c r="R2010" s="5" t="e">
        <f>IF(AND(#REF!&gt;=table!$C$7,#REF!&lt;= table!$D$7),-1,IF(AND(#REF!&gt;=table!$E$7,#REF!&lt;=table!$F$7),1,0))</f>
        <v>#REF!</v>
      </c>
      <c r="S2010" s="5" t="e">
        <f>IF(AND(#REF!&gt;=table!$C$8,#REF!&lt;= table!$D$8),-1,IF(AND(#REF!&gt;=table!$E$8,#REF!&lt;=table!$F$8),1,0))</f>
        <v>#REF!</v>
      </c>
      <c r="T2010" s="5"/>
      <c r="U2010" s="5" t="e">
        <f>IF(AND(#REF!&gt;=table!$C$10,#REF!&lt;= table!$D$10),-1,IF(AND(#REF!&gt;=table!$E$10,#REF!&lt;=table!$F$10),1,0))</f>
        <v>#REF!</v>
      </c>
      <c r="V2010" s="5" t="e">
        <f>IF(AND(#REF!&gt;=table!$C$11,#REF!&lt;= table!$D$11),-1,IF(AND(#REF!&gt;=table!$E$11,#REF!&lt;=table!$F$11),1,0))</f>
        <v>#REF!</v>
      </c>
      <c r="W2010" s="5" t="e">
        <f>CONCATENATE(dados[[#This Row],[fator1]],dados[[#This Row],[fator5]],dados[[#This Row],[fator6]])</f>
        <v>#REF!</v>
      </c>
    </row>
    <row r="2011" spans="1:23">
      <c r="A2011" t="s">
        <v>17</v>
      </c>
      <c r="B2011">
        <v>486661</v>
      </c>
      <c r="C2011">
        <v>14</v>
      </c>
      <c r="D2011">
        <v>30</v>
      </c>
      <c r="E2011">
        <v>66</v>
      </c>
      <c r="F2011">
        <v>9</v>
      </c>
      <c r="G2011">
        <v>20</v>
      </c>
      <c r="H2011">
        <v>25</v>
      </c>
      <c r="I2011">
        <v>1187</v>
      </c>
      <c r="J2011">
        <v>0</v>
      </c>
      <c r="K2011">
        <v>4.7130000000000001</v>
      </c>
      <c r="L2011">
        <v>8.7505000000000006</v>
      </c>
      <c r="M2011">
        <v>55.512500000000003</v>
      </c>
      <c r="N2011">
        <v>13.01</v>
      </c>
      <c r="O2011">
        <v>1667</v>
      </c>
      <c r="P2011">
        <v>870</v>
      </c>
      <c r="Q2011" s="5" t="e">
        <f>IF(AND(#REF!&gt;=table!$C$6,#REF!&lt;= table!$D$6),-1,IF(AND(#REF!&gt;=table!$E$6,#REF!&lt;=table!$F$6),1,0))</f>
        <v>#REF!</v>
      </c>
      <c r="R2011" s="5" t="e">
        <f>IF(AND(#REF!&gt;=table!$C$7,#REF!&lt;= table!$D$7),-1,IF(AND(#REF!&gt;=table!$E$7,#REF!&lt;=table!$F$7),1,0))</f>
        <v>#REF!</v>
      </c>
      <c r="S2011" s="5" t="e">
        <f>IF(AND(#REF!&gt;=table!$C$8,#REF!&lt;= table!$D$8),-1,IF(AND(#REF!&gt;=table!$E$8,#REF!&lt;=table!$F$8),1,0))</f>
        <v>#REF!</v>
      </c>
      <c r="T2011" s="5"/>
      <c r="U2011" s="5" t="e">
        <f>IF(AND(#REF!&gt;=table!$C$10,#REF!&lt;= table!$D$10),-1,IF(AND(#REF!&gt;=table!$E$10,#REF!&lt;=table!$F$10),1,0))</f>
        <v>#REF!</v>
      </c>
      <c r="V2011" s="5" t="e">
        <f>IF(AND(#REF!&gt;=table!$C$11,#REF!&lt;= table!$D$11),-1,IF(AND(#REF!&gt;=table!$E$11,#REF!&lt;=table!$F$11),1,0))</f>
        <v>#REF!</v>
      </c>
      <c r="W2011" s="5" t="e">
        <f>CONCATENATE(dados[[#This Row],[fator1]],dados[[#This Row],[fator5]],dados[[#This Row],[fator6]])</f>
        <v>#REF!</v>
      </c>
    </row>
    <row r="2012" spans="1:23">
      <c r="A2012" t="s">
        <v>17</v>
      </c>
      <c r="B2012">
        <v>486663</v>
      </c>
      <c r="C2012">
        <v>14</v>
      </c>
      <c r="D2012">
        <v>30</v>
      </c>
      <c r="E2012">
        <v>66</v>
      </c>
      <c r="F2012">
        <v>9</v>
      </c>
      <c r="G2012">
        <v>20</v>
      </c>
      <c r="H2012">
        <v>25</v>
      </c>
      <c r="I2012">
        <v>716</v>
      </c>
      <c r="J2012">
        <v>0</v>
      </c>
      <c r="K2012">
        <v>7.1595000000000004</v>
      </c>
      <c r="L2012">
        <v>15.327500000000001</v>
      </c>
      <c r="M2012">
        <v>57.538500000000006</v>
      </c>
      <c r="N2012">
        <v>19.170000000000002</v>
      </c>
      <c r="O2012">
        <v>1668</v>
      </c>
      <c r="P2012">
        <v>526</v>
      </c>
      <c r="Q2012" s="5" t="e">
        <f>IF(AND(#REF!&gt;=table!$C$6,#REF!&lt;= table!$D$6),-1,IF(AND(#REF!&gt;=table!$E$6,#REF!&lt;=table!$F$6),1,0))</f>
        <v>#REF!</v>
      </c>
      <c r="R2012" s="5" t="e">
        <f>IF(AND(#REF!&gt;=table!$C$7,#REF!&lt;= table!$D$7),-1,IF(AND(#REF!&gt;=table!$E$7,#REF!&lt;=table!$F$7),1,0))</f>
        <v>#REF!</v>
      </c>
      <c r="S2012" s="5" t="e">
        <f>IF(AND(#REF!&gt;=table!$C$8,#REF!&lt;= table!$D$8),-1,IF(AND(#REF!&gt;=table!$E$8,#REF!&lt;=table!$F$8),1,0))</f>
        <v>#REF!</v>
      </c>
      <c r="T2012" s="5"/>
      <c r="U2012" s="5" t="e">
        <f>IF(AND(#REF!&gt;=table!$C$10,#REF!&lt;= table!$D$10),-1,IF(AND(#REF!&gt;=table!$E$10,#REF!&lt;=table!$F$10),1,0))</f>
        <v>#REF!</v>
      </c>
      <c r="V2012" s="5" t="e">
        <f>IF(AND(#REF!&gt;=table!$C$11,#REF!&lt;= table!$D$11),-1,IF(AND(#REF!&gt;=table!$E$11,#REF!&lt;=table!$F$11),1,0))</f>
        <v>#REF!</v>
      </c>
      <c r="W2012" s="5" t="e">
        <f>CONCATENATE(dados[[#This Row],[fator1]],dados[[#This Row],[fator5]],dados[[#This Row],[fator6]])</f>
        <v>#REF!</v>
      </c>
    </row>
    <row r="2013" spans="1:23">
      <c r="A2013" t="s">
        <v>17</v>
      </c>
      <c r="B2013">
        <v>486665</v>
      </c>
      <c r="C2013">
        <v>14</v>
      </c>
      <c r="D2013">
        <v>30</v>
      </c>
      <c r="E2013">
        <v>66</v>
      </c>
      <c r="F2013">
        <v>9</v>
      </c>
      <c r="G2013">
        <v>20</v>
      </c>
      <c r="H2013">
        <v>25</v>
      </c>
      <c r="I2013">
        <v>1241</v>
      </c>
      <c r="J2013">
        <v>420</v>
      </c>
      <c r="K2013">
        <v>18.766000000000002</v>
      </c>
      <c r="L2013">
        <v>15.784000000000001</v>
      </c>
      <c r="M2013">
        <v>64.225499999999997</v>
      </c>
      <c r="N2013">
        <v>14.695</v>
      </c>
      <c r="O2013">
        <v>1639</v>
      </c>
      <c r="P2013">
        <v>185</v>
      </c>
      <c r="Q2013" s="5" t="e">
        <f>IF(AND(#REF!&gt;=table!$C$6,#REF!&lt;= table!$D$6),-1,IF(AND(#REF!&gt;=table!$E$6,#REF!&lt;=table!$F$6),1,0))</f>
        <v>#REF!</v>
      </c>
      <c r="R2013" s="5" t="e">
        <f>IF(AND(#REF!&gt;=table!$C$7,#REF!&lt;= table!$D$7),-1,IF(AND(#REF!&gt;=table!$E$7,#REF!&lt;=table!$F$7),1,0))</f>
        <v>#REF!</v>
      </c>
      <c r="S2013" s="5" t="e">
        <f>IF(AND(#REF!&gt;=table!$C$8,#REF!&lt;= table!$D$8),-1,IF(AND(#REF!&gt;=table!$E$8,#REF!&lt;=table!$F$8),1,0))</f>
        <v>#REF!</v>
      </c>
      <c r="T2013" s="5"/>
      <c r="U2013" s="5" t="e">
        <f>IF(AND(#REF!&gt;=table!$C$10,#REF!&lt;= table!$D$10),-1,IF(AND(#REF!&gt;=table!$E$10,#REF!&lt;=table!$F$10),1,0))</f>
        <v>#REF!</v>
      </c>
      <c r="V2013" s="5" t="e">
        <f>IF(AND(#REF!&gt;=table!$C$11,#REF!&lt;= table!$D$11),-1,IF(AND(#REF!&gt;=table!$E$11,#REF!&lt;=table!$F$11),1,0))</f>
        <v>#REF!</v>
      </c>
      <c r="W2013" s="5" t="e">
        <f>CONCATENATE(dados[[#This Row],[fator1]],dados[[#This Row],[fator5]],dados[[#This Row],[fator6]])</f>
        <v>#REF!</v>
      </c>
    </row>
    <row r="2014" spans="1:23">
      <c r="A2014" t="s">
        <v>17</v>
      </c>
      <c r="B2014">
        <v>486666</v>
      </c>
      <c r="C2014">
        <v>7</v>
      </c>
      <c r="D2014">
        <v>20</v>
      </c>
      <c r="E2014">
        <v>120</v>
      </c>
      <c r="F2014">
        <v>4</v>
      </c>
      <c r="G2014">
        <v>105</v>
      </c>
      <c r="H2014">
        <v>25</v>
      </c>
      <c r="I2014">
        <v>1455</v>
      </c>
      <c r="J2014">
        <v>0</v>
      </c>
      <c r="K2014">
        <v>5.319</v>
      </c>
      <c r="L2014">
        <v>10.585000000000001</v>
      </c>
      <c r="M2014">
        <v>92.873500000000007</v>
      </c>
      <c r="N2014">
        <v>15.030000000000001</v>
      </c>
      <c r="O2014">
        <v>1675</v>
      </c>
      <c r="P2014">
        <v>680</v>
      </c>
      <c r="Q2014" s="5" t="e">
        <f>IF(AND(#REF!&gt;=table!$C$6,#REF!&lt;= table!$D$6),-1,IF(AND(#REF!&gt;=table!$E$6,#REF!&lt;=table!$F$6),1,0))</f>
        <v>#REF!</v>
      </c>
      <c r="R2014" s="5" t="e">
        <f>IF(AND(#REF!&gt;=table!$C$7,#REF!&lt;= table!$D$7),-1,IF(AND(#REF!&gt;=table!$E$7,#REF!&lt;=table!$F$7),1,0))</f>
        <v>#REF!</v>
      </c>
      <c r="S2014" s="5" t="e">
        <f>IF(AND(#REF!&gt;=table!$C$8,#REF!&lt;= table!$D$8),-1,IF(AND(#REF!&gt;=table!$E$8,#REF!&lt;=table!$F$8),1,0))</f>
        <v>#REF!</v>
      </c>
      <c r="T2014" s="5"/>
      <c r="U2014" s="5" t="e">
        <f>IF(AND(#REF!&gt;=table!$C$10,#REF!&lt;= table!$D$10),-1,IF(AND(#REF!&gt;=table!$E$10,#REF!&lt;=table!$F$10),1,0))</f>
        <v>#REF!</v>
      </c>
      <c r="V2014" s="5" t="e">
        <f>IF(AND(#REF!&gt;=table!$C$11,#REF!&lt;= table!$D$11),-1,IF(AND(#REF!&gt;=table!$E$11,#REF!&lt;=table!$F$11),1,0))</f>
        <v>#REF!</v>
      </c>
      <c r="W2014" s="5" t="e">
        <f>CONCATENATE(dados[[#This Row],[fator1]],dados[[#This Row],[fator5]],dados[[#This Row],[fator6]])</f>
        <v>#REF!</v>
      </c>
    </row>
    <row r="2015" spans="1:23">
      <c r="A2015" t="s">
        <v>17</v>
      </c>
      <c r="B2015">
        <v>486667</v>
      </c>
      <c r="C2015">
        <v>7</v>
      </c>
      <c r="D2015">
        <v>20</v>
      </c>
      <c r="E2015">
        <v>120</v>
      </c>
      <c r="F2015">
        <v>4</v>
      </c>
      <c r="G2015">
        <v>105</v>
      </c>
      <c r="H2015">
        <v>25</v>
      </c>
      <c r="I2015">
        <v>350</v>
      </c>
      <c r="J2015">
        <v>0</v>
      </c>
      <c r="K2015">
        <v>6.7455000000000007</v>
      </c>
      <c r="L2015">
        <v>17.939</v>
      </c>
      <c r="M2015">
        <v>102.0005</v>
      </c>
      <c r="N2015">
        <v>16.100000000000001</v>
      </c>
      <c r="O2015">
        <v>1687</v>
      </c>
      <c r="P2015">
        <v>963</v>
      </c>
      <c r="Q2015" s="5" t="e">
        <f>IF(AND(#REF!&gt;=table!$C$6,#REF!&lt;= table!$D$6),-1,IF(AND(#REF!&gt;=table!$E$6,#REF!&lt;=table!$F$6),1,0))</f>
        <v>#REF!</v>
      </c>
      <c r="R2015" s="5" t="e">
        <f>IF(AND(#REF!&gt;=table!$C$7,#REF!&lt;= table!$D$7),-1,IF(AND(#REF!&gt;=table!$E$7,#REF!&lt;=table!$F$7),1,0))</f>
        <v>#REF!</v>
      </c>
      <c r="S2015" s="5" t="e">
        <f>IF(AND(#REF!&gt;=table!$C$8,#REF!&lt;= table!$D$8),-1,IF(AND(#REF!&gt;=table!$E$8,#REF!&lt;=table!$F$8),1,0))</f>
        <v>#REF!</v>
      </c>
      <c r="T2015" s="5"/>
      <c r="U2015" s="5" t="e">
        <f>IF(AND(#REF!&gt;=table!$C$10,#REF!&lt;= table!$D$10),-1,IF(AND(#REF!&gt;=table!$E$10,#REF!&lt;=table!$F$10),1,0))</f>
        <v>#REF!</v>
      </c>
      <c r="V2015" s="5" t="e">
        <f>IF(AND(#REF!&gt;=table!$C$11,#REF!&lt;= table!$D$11),-1,IF(AND(#REF!&gt;=table!$E$11,#REF!&lt;=table!$F$11),1,0))</f>
        <v>#REF!</v>
      </c>
      <c r="W2015" s="5" t="e">
        <f>CONCATENATE(dados[[#This Row],[fator1]],dados[[#This Row],[fator5]],dados[[#This Row],[fator6]])</f>
        <v>#REF!</v>
      </c>
    </row>
    <row r="2016" spans="1:23">
      <c r="A2016" t="s">
        <v>16</v>
      </c>
      <c r="B2016">
        <v>486672</v>
      </c>
      <c r="C2016">
        <v>0.19</v>
      </c>
      <c r="D2016">
        <v>50</v>
      </c>
      <c r="E2016">
        <v>56</v>
      </c>
      <c r="F2016">
        <v>15</v>
      </c>
      <c r="G2016">
        <v>0</v>
      </c>
      <c r="H2016">
        <v>50</v>
      </c>
      <c r="I2016">
        <v>221</v>
      </c>
      <c r="J2016">
        <v>800</v>
      </c>
      <c r="K2016">
        <v>5.0180000000000007</v>
      </c>
      <c r="L2016">
        <v>5.5950000000000006</v>
      </c>
      <c r="M2016">
        <v>4.1725000000000003</v>
      </c>
      <c r="N2016">
        <v>12.935</v>
      </c>
      <c r="O2016">
        <v>1589</v>
      </c>
      <c r="P2016">
        <v>772</v>
      </c>
      <c r="Q2016" s="5" t="e">
        <f>IF(AND(#REF!&gt;=table!$C$6,#REF!&lt;= table!$D$6),-1,IF(AND(#REF!&gt;=table!$E$6,#REF!&lt;=table!$F$6),1,0))</f>
        <v>#REF!</v>
      </c>
      <c r="R2016" s="5" t="e">
        <f>IF(AND(#REF!&gt;=table!$C$7,#REF!&lt;= table!$D$7),-1,IF(AND(#REF!&gt;=table!$E$7,#REF!&lt;=table!$F$7),1,0))</f>
        <v>#REF!</v>
      </c>
      <c r="S2016" s="5" t="e">
        <f>IF(AND(#REF!&gt;=table!$C$8,#REF!&lt;= table!$D$8),-1,IF(AND(#REF!&gt;=table!$E$8,#REF!&lt;=table!$F$8),1,0))</f>
        <v>#REF!</v>
      </c>
      <c r="T2016" s="5"/>
      <c r="U2016" s="5" t="e">
        <f>IF(AND(#REF!&gt;=table!$C$10,#REF!&lt;= table!$D$10),-1,IF(AND(#REF!&gt;=table!$E$10,#REF!&lt;=table!$F$10),1,0))</f>
        <v>#REF!</v>
      </c>
      <c r="V2016" s="5" t="e">
        <f>IF(AND(#REF!&gt;=table!$C$11,#REF!&lt;= table!$D$11),-1,IF(AND(#REF!&gt;=table!$E$11,#REF!&lt;=table!$F$11),1,0))</f>
        <v>#REF!</v>
      </c>
      <c r="W2016" s="5" t="e">
        <f>CONCATENATE(dados[[#This Row],[fator1]],dados[[#This Row],[fator5]],dados[[#This Row],[fator6]])</f>
        <v>#REF!</v>
      </c>
    </row>
    <row r="2017" spans="1:23">
      <c r="A2017" t="s">
        <v>16</v>
      </c>
      <c r="B2017">
        <v>486675</v>
      </c>
      <c r="C2017">
        <v>0.18</v>
      </c>
      <c r="D2017">
        <v>50</v>
      </c>
      <c r="E2017">
        <v>56</v>
      </c>
      <c r="F2017">
        <v>15</v>
      </c>
      <c r="G2017">
        <v>0</v>
      </c>
      <c r="H2017">
        <v>50</v>
      </c>
      <c r="I2017">
        <v>1180</v>
      </c>
      <c r="J2017">
        <v>0</v>
      </c>
      <c r="K2017">
        <v>5.3460000000000001</v>
      </c>
      <c r="L2017">
        <v>17.077000000000002</v>
      </c>
      <c r="M2017">
        <v>14.759</v>
      </c>
      <c r="N2017">
        <v>27.51</v>
      </c>
      <c r="O2017">
        <v>1666</v>
      </c>
      <c r="P2017">
        <v>691</v>
      </c>
      <c r="Q2017" s="5" t="e">
        <f>IF(AND(#REF!&gt;=table!$C$6,#REF!&lt;= table!$D$6),-1,IF(AND(#REF!&gt;=table!$E$6,#REF!&lt;=table!$F$6),1,0))</f>
        <v>#REF!</v>
      </c>
      <c r="R2017" s="5" t="e">
        <f>IF(AND(#REF!&gt;=table!$C$7,#REF!&lt;= table!$D$7),-1,IF(AND(#REF!&gt;=table!$E$7,#REF!&lt;=table!$F$7),1,0))</f>
        <v>#REF!</v>
      </c>
      <c r="S2017" s="5" t="e">
        <f>IF(AND(#REF!&gt;=table!$C$8,#REF!&lt;= table!$D$8),-1,IF(AND(#REF!&gt;=table!$E$8,#REF!&lt;=table!$F$8),1,0))</f>
        <v>#REF!</v>
      </c>
      <c r="T2017" s="5"/>
      <c r="U2017" s="5" t="e">
        <f>IF(AND(#REF!&gt;=table!$C$10,#REF!&lt;= table!$D$10),-1,IF(AND(#REF!&gt;=table!$E$10,#REF!&lt;=table!$F$10),1,0))</f>
        <v>#REF!</v>
      </c>
      <c r="V2017" s="5" t="e">
        <f>IF(AND(#REF!&gt;=table!$C$11,#REF!&lt;= table!$D$11),-1,IF(AND(#REF!&gt;=table!$E$11,#REF!&lt;=table!$F$11),1,0))</f>
        <v>#REF!</v>
      </c>
      <c r="W2017" s="5" t="e">
        <f>CONCATENATE(dados[[#This Row],[fator1]],dados[[#This Row],[fator5]],dados[[#This Row],[fator6]])</f>
        <v>#REF!</v>
      </c>
    </row>
    <row r="2018" spans="1:23">
      <c r="A2018" t="s">
        <v>16</v>
      </c>
      <c r="B2018">
        <v>486678</v>
      </c>
      <c r="C2018">
        <v>0.18</v>
      </c>
      <c r="D2018">
        <v>50</v>
      </c>
      <c r="E2018">
        <v>56</v>
      </c>
      <c r="F2018">
        <v>15</v>
      </c>
      <c r="G2018">
        <v>0</v>
      </c>
      <c r="H2018">
        <v>50</v>
      </c>
      <c r="I2018">
        <v>1064</v>
      </c>
      <c r="J2018">
        <v>920</v>
      </c>
      <c r="K2018">
        <v>8.7859999999999996</v>
      </c>
      <c r="L2018">
        <v>16.318000000000001</v>
      </c>
      <c r="M2018">
        <v>8.0839999999999996</v>
      </c>
      <c r="N2018">
        <v>18.845000000000002</v>
      </c>
      <c r="O2018">
        <v>1600</v>
      </c>
      <c r="P2018">
        <v>291</v>
      </c>
      <c r="Q2018" s="5" t="e">
        <f>IF(AND(#REF!&gt;=table!$C$6,#REF!&lt;= table!$D$6),-1,IF(AND(#REF!&gt;=table!$E$6,#REF!&lt;=table!$F$6),1,0))</f>
        <v>#REF!</v>
      </c>
      <c r="R2018" s="5" t="e">
        <f>IF(AND(#REF!&gt;=table!$C$7,#REF!&lt;= table!$D$7),-1,IF(AND(#REF!&gt;=table!$E$7,#REF!&lt;=table!$F$7),1,0))</f>
        <v>#REF!</v>
      </c>
      <c r="S2018" s="5" t="e">
        <f>IF(AND(#REF!&gt;=table!$C$8,#REF!&lt;= table!$D$8),-1,IF(AND(#REF!&gt;=table!$E$8,#REF!&lt;=table!$F$8),1,0))</f>
        <v>#REF!</v>
      </c>
      <c r="T2018" s="5"/>
      <c r="U2018" s="5" t="e">
        <f>IF(AND(#REF!&gt;=table!$C$10,#REF!&lt;= table!$D$10),-1,IF(AND(#REF!&gt;=table!$E$10,#REF!&lt;=table!$F$10),1,0))</f>
        <v>#REF!</v>
      </c>
      <c r="V2018" s="5" t="e">
        <f>IF(AND(#REF!&gt;=table!$C$11,#REF!&lt;= table!$D$11),-1,IF(AND(#REF!&gt;=table!$E$11,#REF!&lt;=table!$F$11),1,0))</f>
        <v>#REF!</v>
      </c>
      <c r="W2018" s="5" t="e">
        <f>CONCATENATE(dados[[#This Row],[fator1]],dados[[#This Row],[fator5]],dados[[#This Row],[fator6]])</f>
        <v>#REF!</v>
      </c>
    </row>
    <row r="2019" spans="1:23">
      <c r="A2019" t="s">
        <v>17</v>
      </c>
      <c r="B2019">
        <v>486680</v>
      </c>
      <c r="C2019">
        <v>8</v>
      </c>
      <c r="D2019">
        <v>30</v>
      </c>
      <c r="E2019">
        <v>153</v>
      </c>
      <c r="F2019">
        <v>2</v>
      </c>
      <c r="G2019">
        <v>20</v>
      </c>
      <c r="H2019">
        <v>18</v>
      </c>
      <c r="I2019">
        <v>1480</v>
      </c>
      <c r="J2019">
        <v>0</v>
      </c>
      <c r="K2019">
        <v>5.6095000000000006</v>
      </c>
      <c r="L2019">
        <v>10.964</v>
      </c>
      <c r="M2019">
        <v>77.132500000000007</v>
      </c>
      <c r="N2019">
        <v>13.595000000000001</v>
      </c>
      <c r="O2019">
        <v>1661</v>
      </c>
      <c r="P2019">
        <v>666</v>
      </c>
      <c r="Q2019" s="5" t="e">
        <f>IF(AND(#REF!&gt;=table!$C$6,#REF!&lt;= table!$D$6),-1,IF(AND(#REF!&gt;=table!$E$6,#REF!&lt;=table!$F$6),1,0))</f>
        <v>#REF!</v>
      </c>
      <c r="R2019" s="5" t="e">
        <f>IF(AND(#REF!&gt;=table!$C$7,#REF!&lt;= table!$D$7),-1,IF(AND(#REF!&gt;=table!$E$7,#REF!&lt;=table!$F$7),1,0))</f>
        <v>#REF!</v>
      </c>
      <c r="S2019" s="5" t="e">
        <f>IF(AND(#REF!&gt;=table!$C$8,#REF!&lt;= table!$D$8),-1,IF(AND(#REF!&gt;=table!$E$8,#REF!&lt;=table!$F$8),1,0))</f>
        <v>#REF!</v>
      </c>
      <c r="T2019" s="5"/>
      <c r="U2019" s="5" t="e">
        <f>IF(AND(#REF!&gt;=table!$C$10,#REF!&lt;= table!$D$10),-1,IF(AND(#REF!&gt;=table!$E$10,#REF!&lt;=table!$F$10),1,0))</f>
        <v>#REF!</v>
      </c>
      <c r="V2019" s="5" t="e">
        <f>IF(AND(#REF!&gt;=table!$C$11,#REF!&lt;= table!$D$11),-1,IF(AND(#REF!&gt;=table!$E$11,#REF!&lt;=table!$F$11),1,0))</f>
        <v>#REF!</v>
      </c>
      <c r="W2019" s="5" t="e">
        <f>CONCATENATE(dados[[#This Row],[fator1]],dados[[#This Row],[fator5]],dados[[#This Row],[fator6]])</f>
        <v>#REF!</v>
      </c>
    </row>
    <row r="2020" spans="1:23">
      <c r="A2020" t="s">
        <v>16</v>
      </c>
      <c r="B2020">
        <v>486683</v>
      </c>
      <c r="C2020">
        <v>6</v>
      </c>
      <c r="D2020">
        <v>30</v>
      </c>
      <c r="E2020">
        <v>40</v>
      </c>
      <c r="F2020">
        <v>15</v>
      </c>
      <c r="G2020">
        <v>0</v>
      </c>
      <c r="H2020">
        <v>25</v>
      </c>
      <c r="I2020">
        <v>690</v>
      </c>
      <c r="J2020">
        <v>0</v>
      </c>
      <c r="K2020">
        <v>5.0935000000000006</v>
      </c>
      <c r="L2020">
        <v>9.8640000000000008</v>
      </c>
      <c r="M2020">
        <v>32.262</v>
      </c>
      <c r="N2020">
        <v>11.8</v>
      </c>
      <c r="O2020">
        <v>1654</v>
      </c>
      <c r="P2020">
        <v>645</v>
      </c>
      <c r="Q2020" s="5" t="e">
        <f>IF(AND(#REF!&gt;=table!$C$6,#REF!&lt;= table!$D$6),-1,IF(AND(#REF!&gt;=table!$E$6,#REF!&lt;=table!$F$6),1,0))</f>
        <v>#REF!</v>
      </c>
      <c r="R2020" s="5" t="e">
        <f>IF(AND(#REF!&gt;=table!$C$7,#REF!&lt;= table!$D$7),-1,IF(AND(#REF!&gt;=table!$E$7,#REF!&lt;=table!$F$7),1,0))</f>
        <v>#REF!</v>
      </c>
      <c r="S2020" s="5" t="e">
        <f>IF(AND(#REF!&gt;=table!$C$8,#REF!&lt;= table!$D$8),-1,IF(AND(#REF!&gt;=table!$E$8,#REF!&lt;=table!$F$8),1,0))</f>
        <v>#REF!</v>
      </c>
      <c r="T2020" s="5"/>
      <c r="U2020" s="5" t="e">
        <f>IF(AND(#REF!&gt;=table!$C$10,#REF!&lt;= table!$D$10),-1,IF(AND(#REF!&gt;=table!$E$10,#REF!&lt;=table!$F$10),1,0))</f>
        <v>#REF!</v>
      </c>
      <c r="V2020" s="5" t="e">
        <f>IF(AND(#REF!&gt;=table!$C$11,#REF!&lt;= table!$D$11),-1,IF(AND(#REF!&gt;=table!$E$11,#REF!&lt;=table!$F$11),1,0))</f>
        <v>#REF!</v>
      </c>
      <c r="W2020" s="5" t="e">
        <f>CONCATENATE(dados[[#This Row],[fator1]],dados[[#This Row],[fator5]],dados[[#This Row],[fator6]])</f>
        <v>#REF!</v>
      </c>
    </row>
    <row r="2021" spans="1:23">
      <c r="A2021" t="s">
        <v>16</v>
      </c>
      <c r="B2021">
        <v>486694</v>
      </c>
      <c r="C2021">
        <v>9</v>
      </c>
      <c r="D2021">
        <v>35</v>
      </c>
      <c r="E2021">
        <v>40</v>
      </c>
      <c r="F2021">
        <v>9</v>
      </c>
      <c r="G2021">
        <v>0</v>
      </c>
      <c r="H2021">
        <v>25</v>
      </c>
      <c r="I2021">
        <v>1253</v>
      </c>
      <c r="J2021">
        <v>0</v>
      </c>
      <c r="K2021">
        <v>5.5110000000000001</v>
      </c>
      <c r="L2021">
        <v>11.708</v>
      </c>
      <c r="M2021">
        <v>38.778500000000001</v>
      </c>
      <c r="N2021">
        <v>16.655000000000001</v>
      </c>
      <c r="O2021">
        <v>1678</v>
      </c>
      <c r="P2021">
        <v>689</v>
      </c>
      <c r="Q2021" s="5" t="e">
        <f>IF(AND(#REF!&gt;=table!$C$6,#REF!&lt;= table!$D$6),-1,IF(AND(#REF!&gt;=table!$E$6,#REF!&lt;=table!$F$6),1,0))</f>
        <v>#REF!</v>
      </c>
      <c r="R2021" s="5" t="e">
        <f>IF(AND(#REF!&gt;=table!$C$7,#REF!&lt;= table!$D$7),-1,IF(AND(#REF!&gt;=table!$E$7,#REF!&lt;=table!$F$7),1,0))</f>
        <v>#REF!</v>
      </c>
      <c r="S2021" s="5" t="e">
        <f>IF(AND(#REF!&gt;=table!$C$8,#REF!&lt;= table!$D$8),-1,IF(AND(#REF!&gt;=table!$E$8,#REF!&lt;=table!$F$8),1,0))</f>
        <v>#REF!</v>
      </c>
      <c r="T2021" s="5"/>
      <c r="U2021" s="5" t="e">
        <f>IF(AND(#REF!&gt;=table!$C$10,#REF!&lt;= table!$D$10),-1,IF(AND(#REF!&gt;=table!$E$10,#REF!&lt;=table!$F$10),1,0))</f>
        <v>#REF!</v>
      </c>
      <c r="V2021" s="5" t="e">
        <f>IF(AND(#REF!&gt;=table!$C$11,#REF!&lt;= table!$D$11),-1,IF(AND(#REF!&gt;=table!$E$11,#REF!&lt;=table!$F$11),1,0))</f>
        <v>#REF!</v>
      </c>
      <c r="W2021" s="5" t="e">
        <f>CONCATENATE(dados[[#This Row],[fator1]],dados[[#This Row],[fator5]],dados[[#This Row],[fator6]])</f>
        <v>#REF!</v>
      </c>
    </row>
    <row r="2022" spans="1:23">
      <c r="A2022" t="s">
        <v>16</v>
      </c>
      <c r="B2022">
        <v>486695</v>
      </c>
      <c r="C2022">
        <v>10</v>
      </c>
      <c r="D2022">
        <v>38</v>
      </c>
      <c r="E2022">
        <v>150</v>
      </c>
      <c r="F2022">
        <v>4</v>
      </c>
      <c r="G2022">
        <v>0</v>
      </c>
      <c r="H2022">
        <v>25</v>
      </c>
      <c r="I2022">
        <v>78</v>
      </c>
      <c r="J2022">
        <v>480</v>
      </c>
      <c r="K2022">
        <v>11.115</v>
      </c>
      <c r="L2022">
        <v>15.559000000000001</v>
      </c>
      <c r="M2022">
        <v>143.494</v>
      </c>
      <c r="N2022">
        <v>13.63</v>
      </c>
      <c r="O2022">
        <v>1659</v>
      </c>
      <c r="P2022">
        <v>318</v>
      </c>
      <c r="Q2022" s="5" t="e">
        <f>IF(AND(#REF!&gt;=table!$C$6,#REF!&lt;= table!$D$6),-1,IF(AND(#REF!&gt;=table!$E$6,#REF!&lt;=table!$F$6),1,0))</f>
        <v>#REF!</v>
      </c>
      <c r="R2022" s="5" t="e">
        <f>IF(AND(#REF!&gt;=table!$C$7,#REF!&lt;= table!$D$7),-1,IF(AND(#REF!&gt;=table!$E$7,#REF!&lt;=table!$F$7),1,0))</f>
        <v>#REF!</v>
      </c>
      <c r="S2022" s="5" t="e">
        <f>IF(AND(#REF!&gt;=table!$C$8,#REF!&lt;= table!$D$8),-1,IF(AND(#REF!&gt;=table!$E$8,#REF!&lt;=table!$F$8),1,0))</f>
        <v>#REF!</v>
      </c>
      <c r="T2022" s="5"/>
      <c r="U2022" s="5" t="e">
        <f>IF(AND(#REF!&gt;=table!$C$10,#REF!&lt;= table!$D$10),-1,IF(AND(#REF!&gt;=table!$E$10,#REF!&lt;=table!$F$10),1,0))</f>
        <v>#REF!</v>
      </c>
      <c r="V2022" s="5" t="e">
        <f>IF(AND(#REF!&gt;=table!$C$11,#REF!&lt;= table!$D$11),-1,IF(AND(#REF!&gt;=table!$E$11,#REF!&lt;=table!$F$11),1,0))</f>
        <v>#REF!</v>
      </c>
      <c r="W2022" s="5" t="e">
        <f>CONCATENATE(dados[[#This Row],[fator1]],dados[[#This Row],[fator5]],dados[[#This Row],[fator6]])</f>
        <v>#REF!</v>
      </c>
    </row>
    <row r="2023" spans="1:23">
      <c r="A2023" t="s">
        <v>16</v>
      </c>
      <c r="B2023">
        <v>486696</v>
      </c>
      <c r="C2023">
        <v>16</v>
      </c>
      <c r="D2023">
        <v>35</v>
      </c>
      <c r="E2023">
        <v>56</v>
      </c>
      <c r="F2023">
        <v>10</v>
      </c>
      <c r="G2023">
        <v>0</v>
      </c>
      <c r="H2023">
        <v>25</v>
      </c>
      <c r="I2023">
        <v>4</v>
      </c>
      <c r="J2023">
        <v>0</v>
      </c>
      <c r="K2023">
        <v>5.9215</v>
      </c>
      <c r="L2023">
        <v>15.310500000000001</v>
      </c>
      <c r="M2023">
        <v>66.039000000000001</v>
      </c>
      <c r="N2023">
        <v>21.56</v>
      </c>
      <c r="O2023">
        <v>1695</v>
      </c>
      <c r="P2023">
        <v>0</v>
      </c>
      <c r="Q2023" s="5" t="e">
        <f>IF(AND(#REF!&gt;=table!$C$6,#REF!&lt;= table!$D$6),-1,IF(AND(#REF!&gt;=table!$E$6,#REF!&lt;=table!$F$6),1,0))</f>
        <v>#REF!</v>
      </c>
      <c r="R2023" s="5" t="e">
        <f>IF(AND(#REF!&gt;=table!$C$7,#REF!&lt;= table!$D$7),-1,IF(AND(#REF!&gt;=table!$E$7,#REF!&lt;=table!$F$7),1,0))</f>
        <v>#REF!</v>
      </c>
      <c r="S2023" s="5" t="e">
        <f>IF(AND(#REF!&gt;=table!$C$8,#REF!&lt;= table!$D$8),-1,IF(AND(#REF!&gt;=table!$E$8,#REF!&lt;=table!$F$8),1,0))</f>
        <v>#REF!</v>
      </c>
      <c r="T2023" s="5"/>
      <c r="U2023" s="5" t="e">
        <f>IF(AND(#REF!&gt;=table!$C$10,#REF!&lt;= table!$D$10),-1,IF(AND(#REF!&gt;=table!$E$10,#REF!&lt;=table!$F$10),1,0))</f>
        <v>#REF!</v>
      </c>
      <c r="V2023" s="5" t="e">
        <f>IF(AND(#REF!&gt;=table!$C$11,#REF!&lt;= table!$D$11),-1,IF(AND(#REF!&gt;=table!$E$11,#REF!&lt;=table!$F$11),1,0))</f>
        <v>#REF!</v>
      </c>
      <c r="W2023" s="5" t="e">
        <f>CONCATENATE(dados[[#This Row],[fator1]],dados[[#This Row],[fator5]],dados[[#This Row],[fator6]])</f>
        <v>#REF!</v>
      </c>
    </row>
    <row r="2024" spans="1:23">
      <c r="A2024" t="s">
        <v>16</v>
      </c>
      <c r="B2024">
        <v>486697</v>
      </c>
      <c r="C2024">
        <v>16</v>
      </c>
      <c r="D2024">
        <v>35</v>
      </c>
      <c r="E2024">
        <v>36</v>
      </c>
      <c r="F2024">
        <v>10</v>
      </c>
      <c r="G2024">
        <v>0</v>
      </c>
      <c r="H2024">
        <v>25</v>
      </c>
      <c r="I2024">
        <v>312</v>
      </c>
      <c r="J2024">
        <v>0</v>
      </c>
      <c r="K2024">
        <v>5.7324999999999999</v>
      </c>
      <c r="L2024">
        <v>8.7350000000000012</v>
      </c>
      <c r="M2024">
        <v>49.263000000000005</v>
      </c>
      <c r="N2024">
        <v>11.355</v>
      </c>
      <c r="O2024">
        <v>1669</v>
      </c>
      <c r="P2024">
        <v>560</v>
      </c>
      <c r="Q2024" s="5" t="e">
        <f>IF(AND(#REF!&gt;=table!$C$6,#REF!&lt;= table!$D$6),-1,IF(AND(#REF!&gt;=table!$E$6,#REF!&lt;=table!$F$6),1,0))</f>
        <v>#REF!</v>
      </c>
      <c r="R2024" s="5" t="e">
        <f>IF(AND(#REF!&gt;=table!$C$7,#REF!&lt;= table!$D$7),-1,IF(AND(#REF!&gt;=table!$E$7,#REF!&lt;=table!$F$7),1,0))</f>
        <v>#REF!</v>
      </c>
      <c r="S2024" s="5" t="e">
        <f>IF(AND(#REF!&gt;=table!$C$8,#REF!&lt;= table!$D$8),-1,IF(AND(#REF!&gt;=table!$E$8,#REF!&lt;=table!$F$8),1,0))</f>
        <v>#REF!</v>
      </c>
      <c r="T2024" s="5"/>
      <c r="U2024" s="5" t="e">
        <f>IF(AND(#REF!&gt;=table!$C$10,#REF!&lt;= table!$D$10),-1,IF(AND(#REF!&gt;=table!$E$10,#REF!&lt;=table!$F$10),1,0))</f>
        <v>#REF!</v>
      </c>
      <c r="V2024" s="5" t="e">
        <f>IF(AND(#REF!&gt;=table!$C$11,#REF!&lt;= table!$D$11),-1,IF(AND(#REF!&gt;=table!$E$11,#REF!&lt;=table!$F$11),1,0))</f>
        <v>#REF!</v>
      </c>
      <c r="W2024" s="5" t="e">
        <f>CONCATENATE(dados[[#This Row],[fator1]],dados[[#This Row],[fator5]],dados[[#This Row],[fator6]])</f>
        <v>#REF!</v>
      </c>
    </row>
    <row r="2025" spans="1:23">
      <c r="A2025" t="s">
        <v>16</v>
      </c>
      <c r="B2025">
        <v>486698</v>
      </c>
      <c r="C2025">
        <v>16</v>
      </c>
      <c r="D2025">
        <v>35</v>
      </c>
      <c r="E2025">
        <v>36</v>
      </c>
      <c r="F2025">
        <v>10</v>
      </c>
      <c r="G2025">
        <v>0</v>
      </c>
      <c r="H2025">
        <v>25</v>
      </c>
      <c r="I2025">
        <v>5</v>
      </c>
      <c r="J2025">
        <v>0</v>
      </c>
      <c r="K2025">
        <v>4.6040000000000001</v>
      </c>
      <c r="L2025">
        <v>9.1835000000000004</v>
      </c>
      <c r="M2025">
        <v>37.996000000000002</v>
      </c>
      <c r="N2025">
        <v>14.615</v>
      </c>
      <c r="O2025">
        <v>1682</v>
      </c>
      <c r="P2025">
        <v>855</v>
      </c>
      <c r="Q2025" s="5" t="e">
        <f>IF(AND(#REF!&gt;=table!$C$6,#REF!&lt;= table!$D$6),-1,IF(AND(#REF!&gt;=table!$E$6,#REF!&lt;=table!$F$6),1,0))</f>
        <v>#REF!</v>
      </c>
      <c r="R2025" s="5" t="e">
        <f>IF(AND(#REF!&gt;=table!$C$7,#REF!&lt;= table!$D$7),-1,IF(AND(#REF!&gt;=table!$E$7,#REF!&lt;=table!$F$7),1,0))</f>
        <v>#REF!</v>
      </c>
      <c r="S2025" s="5" t="e">
        <f>IF(AND(#REF!&gt;=table!$C$8,#REF!&lt;= table!$D$8),-1,IF(AND(#REF!&gt;=table!$E$8,#REF!&lt;=table!$F$8),1,0))</f>
        <v>#REF!</v>
      </c>
      <c r="T2025" s="5"/>
      <c r="U2025" s="5" t="e">
        <f>IF(AND(#REF!&gt;=table!$C$10,#REF!&lt;= table!$D$10),-1,IF(AND(#REF!&gt;=table!$E$10,#REF!&lt;=table!$F$10),1,0))</f>
        <v>#REF!</v>
      </c>
      <c r="V2025" s="5" t="e">
        <f>IF(AND(#REF!&gt;=table!$C$11,#REF!&lt;= table!$D$11),-1,IF(AND(#REF!&gt;=table!$E$11,#REF!&lt;=table!$F$11),1,0))</f>
        <v>#REF!</v>
      </c>
      <c r="W2025" s="5" t="e">
        <f>CONCATENATE(dados[[#This Row],[fator1]],dados[[#This Row],[fator5]],dados[[#This Row],[fator6]])</f>
        <v>#REF!</v>
      </c>
    </row>
    <row r="2026" spans="1:23">
      <c r="A2026" t="s">
        <v>16</v>
      </c>
      <c r="B2026">
        <v>486699</v>
      </c>
      <c r="C2026">
        <v>10</v>
      </c>
      <c r="D2026">
        <v>35</v>
      </c>
      <c r="E2026">
        <v>170</v>
      </c>
      <c r="F2026">
        <v>4</v>
      </c>
      <c r="G2026">
        <v>0</v>
      </c>
      <c r="H2026">
        <v>25</v>
      </c>
      <c r="I2026">
        <v>1432</v>
      </c>
      <c r="J2026">
        <v>0</v>
      </c>
      <c r="K2026">
        <v>2.6565000000000003</v>
      </c>
      <c r="L2026">
        <v>7.8665000000000003</v>
      </c>
      <c r="M2026">
        <v>118.548</v>
      </c>
      <c r="N2026">
        <v>12.200000000000001</v>
      </c>
      <c r="O2026">
        <v>1686</v>
      </c>
      <c r="P2026">
        <v>1062</v>
      </c>
      <c r="Q2026" s="5" t="e">
        <f>IF(AND(#REF!&gt;=table!$C$6,#REF!&lt;= table!$D$6),-1,IF(AND(#REF!&gt;=table!$E$6,#REF!&lt;=table!$F$6),1,0))</f>
        <v>#REF!</v>
      </c>
      <c r="R2026" s="5" t="e">
        <f>IF(AND(#REF!&gt;=table!$C$7,#REF!&lt;= table!$D$7),-1,IF(AND(#REF!&gt;=table!$E$7,#REF!&lt;=table!$F$7),1,0))</f>
        <v>#REF!</v>
      </c>
      <c r="S2026" s="5" t="e">
        <f>IF(AND(#REF!&gt;=table!$C$8,#REF!&lt;= table!$D$8),-1,IF(AND(#REF!&gt;=table!$E$8,#REF!&lt;=table!$F$8),1,0))</f>
        <v>#REF!</v>
      </c>
      <c r="T2026" s="5"/>
      <c r="U2026" s="5" t="e">
        <f>IF(AND(#REF!&gt;=table!$C$10,#REF!&lt;= table!$D$10),-1,IF(AND(#REF!&gt;=table!$E$10,#REF!&lt;=table!$F$10),1,0))</f>
        <v>#REF!</v>
      </c>
      <c r="V2026" s="5" t="e">
        <f>IF(AND(#REF!&gt;=table!$C$11,#REF!&lt;= table!$D$11),-1,IF(AND(#REF!&gt;=table!$E$11,#REF!&lt;=table!$F$11),1,0))</f>
        <v>#REF!</v>
      </c>
      <c r="W2026" s="5" t="e">
        <f>CONCATENATE(dados[[#This Row],[fator1]],dados[[#This Row],[fator5]],dados[[#This Row],[fator6]])</f>
        <v>#REF!</v>
      </c>
    </row>
    <row r="2027" spans="1:23">
      <c r="A2027" t="s">
        <v>16</v>
      </c>
      <c r="B2027">
        <v>486700</v>
      </c>
      <c r="C2027">
        <v>10</v>
      </c>
      <c r="D2027">
        <v>35</v>
      </c>
      <c r="E2027">
        <v>170</v>
      </c>
      <c r="F2027">
        <v>4</v>
      </c>
      <c r="G2027">
        <v>0</v>
      </c>
      <c r="H2027">
        <v>25</v>
      </c>
      <c r="I2027">
        <v>501</v>
      </c>
      <c r="J2027">
        <v>0</v>
      </c>
      <c r="K2027">
        <v>3.3745000000000003</v>
      </c>
      <c r="L2027">
        <v>8.7629999999999999</v>
      </c>
      <c r="M2027">
        <v>138.97200000000001</v>
      </c>
      <c r="N2027">
        <v>18</v>
      </c>
      <c r="O2027">
        <v>1683</v>
      </c>
      <c r="P2027">
        <v>1171</v>
      </c>
      <c r="Q2027" s="5" t="e">
        <f>IF(AND(#REF!&gt;=table!$C$6,#REF!&lt;= table!$D$6),-1,IF(AND(#REF!&gt;=table!$E$6,#REF!&lt;=table!$F$6),1,0))</f>
        <v>#REF!</v>
      </c>
      <c r="R2027" s="5" t="e">
        <f>IF(AND(#REF!&gt;=table!$C$7,#REF!&lt;= table!$D$7),-1,IF(AND(#REF!&gt;=table!$E$7,#REF!&lt;=table!$F$7),1,0))</f>
        <v>#REF!</v>
      </c>
      <c r="S2027" s="5" t="e">
        <f>IF(AND(#REF!&gt;=table!$C$8,#REF!&lt;= table!$D$8),-1,IF(AND(#REF!&gt;=table!$E$8,#REF!&lt;=table!$F$8),1,0))</f>
        <v>#REF!</v>
      </c>
      <c r="T2027" s="5"/>
      <c r="U2027" s="5" t="e">
        <f>IF(AND(#REF!&gt;=table!$C$10,#REF!&lt;= table!$D$10),-1,IF(AND(#REF!&gt;=table!$E$10,#REF!&lt;=table!$F$10),1,0))</f>
        <v>#REF!</v>
      </c>
      <c r="V2027" s="5" t="e">
        <f>IF(AND(#REF!&gt;=table!$C$11,#REF!&lt;= table!$D$11),-1,IF(AND(#REF!&gt;=table!$E$11,#REF!&lt;=table!$F$11),1,0))</f>
        <v>#REF!</v>
      </c>
      <c r="W2027" s="5" t="e">
        <f>CONCATENATE(dados[[#This Row],[fator1]],dados[[#This Row],[fator5]],dados[[#This Row],[fator6]])</f>
        <v>#REF!</v>
      </c>
    </row>
    <row r="2028" spans="1:23">
      <c r="A2028" t="s">
        <v>16</v>
      </c>
      <c r="B2028">
        <v>486713</v>
      </c>
      <c r="C2028">
        <v>7</v>
      </c>
      <c r="D2028">
        <v>33</v>
      </c>
      <c r="E2028">
        <v>153</v>
      </c>
      <c r="F2028">
        <v>4</v>
      </c>
      <c r="G2028">
        <v>0</v>
      </c>
      <c r="H2028">
        <v>25</v>
      </c>
      <c r="I2028">
        <v>827</v>
      </c>
      <c r="J2028">
        <v>0</v>
      </c>
      <c r="K2028">
        <v>5.3145000000000007</v>
      </c>
      <c r="L2028">
        <v>9.7759999999999998</v>
      </c>
      <c r="M2028">
        <v>123.6585</v>
      </c>
      <c r="N2028">
        <v>13.405000000000001</v>
      </c>
      <c r="O2028">
        <v>1677</v>
      </c>
      <c r="P2028">
        <v>699</v>
      </c>
      <c r="Q2028" s="5" t="e">
        <f>IF(AND(#REF!&gt;=table!$C$6,#REF!&lt;= table!$D$6),-1,IF(AND(#REF!&gt;=table!$E$6,#REF!&lt;=table!$F$6),1,0))</f>
        <v>#REF!</v>
      </c>
      <c r="R2028" s="5" t="e">
        <f>IF(AND(#REF!&gt;=table!$C$7,#REF!&lt;= table!$D$7),-1,IF(AND(#REF!&gt;=table!$E$7,#REF!&lt;=table!$F$7),1,0))</f>
        <v>#REF!</v>
      </c>
      <c r="S2028" s="5" t="e">
        <f>IF(AND(#REF!&gt;=table!$C$8,#REF!&lt;= table!$D$8),-1,IF(AND(#REF!&gt;=table!$E$8,#REF!&lt;=table!$F$8),1,0))</f>
        <v>#REF!</v>
      </c>
      <c r="T2028" s="5"/>
      <c r="U2028" s="5" t="e">
        <f>IF(AND(#REF!&gt;=table!$C$10,#REF!&lt;= table!$D$10),-1,IF(AND(#REF!&gt;=table!$E$10,#REF!&lt;=table!$F$10),1,0))</f>
        <v>#REF!</v>
      </c>
      <c r="V2028" s="5" t="e">
        <f>IF(AND(#REF!&gt;=table!$C$11,#REF!&lt;= table!$D$11),-1,IF(AND(#REF!&gt;=table!$E$11,#REF!&lt;=table!$F$11),1,0))</f>
        <v>#REF!</v>
      </c>
      <c r="W2028" s="5" t="e">
        <f>CONCATENATE(dados[[#This Row],[fator1]],dados[[#This Row],[fator5]],dados[[#This Row],[fator6]])</f>
        <v>#REF!</v>
      </c>
    </row>
    <row r="2029" spans="1:23">
      <c r="A2029" t="s">
        <v>16</v>
      </c>
      <c r="B2029">
        <v>486715</v>
      </c>
      <c r="C2029">
        <v>11</v>
      </c>
      <c r="D2029">
        <v>40</v>
      </c>
      <c r="E2029">
        <v>151</v>
      </c>
      <c r="F2029">
        <v>8</v>
      </c>
      <c r="G2029">
        <v>0</v>
      </c>
      <c r="H2029">
        <v>25</v>
      </c>
      <c r="I2029">
        <v>1149</v>
      </c>
      <c r="J2029">
        <v>0</v>
      </c>
      <c r="K2029">
        <v>4.1095000000000006</v>
      </c>
      <c r="L2029">
        <v>10.605</v>
      </c>
      <c r="M2029">
        <v>97.424000000000007</v>
      </c>
      <c r="N2029">
        <v>18.940000000000001</v>
      </c>
      <c r="O2029">
        <v>1711</v>
      </c>
      <c r="P2029">
        <v>0</v>
      </c>
      <c r="Q2029" s="5" t="e">
        <f>IF(AND(#REF!&gt;=table!$C$6,#REF!&lt;= table!$D$6),-1,IF(AND(#REF!&gt;=table!$E$6,#REF!&lt;=table!$F$6),1,0))</f>
        <v>#REF!</v>
      </c>
      <c r="R2029" s="5" t="e">
        <f>IF(AND(#REF!&gt;=table!$C$7,#REF!&lt;= table!$D$7),-1,IF(AND(#REF!&gt;=table!$E$7,#REF!&lt;=table!$F$7),1,0))</f>
        <v>#REF!</v>
      </c>
      <c r="S2029" s="5" t="e">
        <f>IF(AND(#REF!&gt;=table!$C$8,#REF!&lt;= table!$D$8),-1,IF(AND(#REF!&gt;=table!$E$8,#REF!&lt;=table!$F$8),1,0))</f>
        <v>#REF!</v>
      </c>
      <c r="T2029" s="5"/>
      <c r="U2029" s="5" t="e">
        <f>IF(AND(#REF!&gt;=table!$C$10,#REF!&lt;= table!$D$10),-1,IF(AND(#REF!&gt;=table!$E$10,#REF!&lt;=table!$F$10),1,0))</f>
        <v>#REF!</v>
      </c>
      <c r="V2029" s="5" t="e">
        <f>IF(AND(#REF!&gt;=table!$C$11,#REF!&lt;= table!$D$11),-1,IF(AND(#REF!&gt;=table!$E$11,#REF!&lt;=table!$F$11),1,0))</f>
        <v>#REF!</v>
      </c>
      <c r="W2029" s="5" t="e">
        <f>CONCATENATE(dados[[#This Row],[fator1]],dados[[#This Row],[fator5]],dados[[#This Row],[fator6]])</f>
        <v>#REF!</v>
      </c>
    </row>
    <row r="2030" spans="1:23">
      <c r="A2030" t="s">
        <v>17</v>
      </c>
      <c r="B2030">
        <v>486721</v>
      </c>
      <c r="C2030">
        <v>9</v>
      </c>
      <c r="D2030">
        <v>30</v>
      </c>
      <c r="E2030">
        <v>160</v>
      </c>
      <c r="F2030">
        <v>3</v>
      </c>
      <c r="G2030">
        <v>30</v>
      </c>
      <c r="H2030">
        <v>18</v>
      </c>
      <c r="I2030">
        <v>1265</v>
      </c>
      <c r="J2030">
        <v>0</v>
      </c>
      <c r="K2030">
        <v>6.7389999999999999</v>
      </c>
      <c r="L2030">
        <v>12.297500000000001</v>
      </c>
      <c r="M2030">
        <v>142.28550000000001</v>
      </c>
      <c r="N2030">
        <v>13.455</v>
      </c>
      <c r="O2030">
        <v>1666</v>
      </c>
      <c r="P2030">
        <v>448</v>
      </c>
      <c r="Q2030" s="5" t="e">
        <f>IF(AND(#REF!&gt;=table!$C$6,#REF!&lt;= table!$D$6),-1,IF(AND(#REF!&gt;=table!$E$6,#REF!&lt;=table!$F$6),1,0))</f>
        <v>#REF!</v>
      </c>
      <c r="R2030" s="5" t="e">
        <f>IF(AND(#REF!&gt;=table!$C$7,#REF!&lt;= table!$D$7),-1,IF(AND(#REF!&gt;=table!$E$7,#REF!&lt;=table!$F$7),1,0))</f>
        <v>#REF!</v>
      </c>
      <c r="S2030" s="5" t="e">
        <f>IF(AND(#REF!&gt;=table!$C$8,#REF!&lt;= table!$D$8),-1,IF(AND(#REF!&gt;=table!$E$8,#REF!&lt;=table!$F$8),1,0))</f>
        <v>#REF!</v>
      </c>
      <c r="T2030" s="5"/>
      <c r="U2030" s="5" t="e">
        <f>IF(AND(#REF!&gt;=table!$C$10,#REF!&lt;= table!$D$10),-1,IF(AND(#REF!&gt;=table!$E$10,#REF!&lt;=table!$F$10),1,0))</f>
        <v>#REF!</v>
      </c>
      <c r="V2030" s="5" t="e">
        <f>IF(AND(#REF!&gt;=table!$C$11,#REF!&lt;= table!$D$11),-1,IF(AND(#REF!&gt;=table!$E$11,#REF!&lt;=table!$F$11),1,0))</f>
        <v>#REF!</v>
      </c>
      <c r="W2030" s="5" t="e">
        <f>CONCATENATE(dados[[#This Row],[fator1]],dados[[#This Row],[fator5]],dados[[#This Row],[fator6]])</f>
        <v>#REF!</v>
      </c>
    </row>
    <row r="2031" spans="1:23">
      <c r="A2031" t="s">
        <v>17</v>
      </c>
      <c r="B2031">
        <v>486723</v>
      </c>
      <c r="C2031">
        <v>9</v>
      </c>
      <c r="D2031">
        <v>25</v>
      </c>
      <c r="E2031">
        <v>150</v>
      </c>
      <c r="F2031">
        <v>4</v>
      </c>
      <c r="G2031">
        <v>20</v>
      </c>
      <c r="H2031">
        <v>25</v>
      </c>
      <c r="I2031">
        <v>873</v>
      </c>
      <c r="J2031">
        <v>0</v>
      </c>
      <c r="K2031">
        <v>3.0825</v>
      </c>
      <c r="L2031">
        <v>5.7995000000000001</v>
      </c>
      <c r="M2031">
        <v>125.733</v>
      </c>
      <c r="N2031">
        <v>14.94</v>
      </c>
      <c r="O2031">
        <v>1678</v>
      </c>
      <c r="P2031">
        <v>0</v>
      </c>
      <c r="Q2031" s="5" t="e">
        <f>IF(AND(#REF!&gt;=table!$C$6,#REF!&lt;= table!$D$6),-1,IF(AND(#REF!&gt;=table!$E$6,#REF!&lt;=table!$F$6),1,0))</f>
        <v>#REF!</v>
      </c>
      <c r="R2031" s="5" t="e">
        <f>IF(AND(#REF!&gt;=table!$C$7,#REF!&lt;= table!$D$7),-1,IF(AND(#REF!&gt;=table!$E$7,#REF!&lt;=table!$F$7),1,0))</f>
        <v>#REF!</v>
      </c>
      <c r="S2031" s="5" t="e">
        <f>IF(AND(#REF!&gt;=table!$C$8,#REF!&lt;= table!$D$8),-1,IF(AND(#REF!&gt;=table!$E$8,#REF!&lt;=table!$F$8),1,0))</f>
        <v>#REF!</v>
      </c>
      <c r="T2031" s="5"/>
      <c r="U2031" s="5" t="e">
        <f>IF(AND(#REF!&gt;=table!$C$10,#REF!&lt;= table!$D$10),-1,IF(AND(#REF!&gt;=table!$E$10,#REF!&lt;=table!$F$10),1,0))</f>
        <v>#REF!</v>
      </c>
      <c r="V2031" s="5" t="e">
        <f>IF(AND(#REF!&gt;=table!$C$11,#REF!&lt;= table!$D$11),-1,IF(AND(#REF!&gt;=table!$E$11,#REF!&lt;=table!$F$11),1,0))</f>
        <v>#REF!</v>
      </c>
      <c r="W2031" s="5" t="e">
        <f>CONCATENATE(dados[[#This Row],[fator1]],dados[[#This Row],[fator5]],dados[[#This Row],[fator6]])</f>
        <v>#REF!</v>
      </c>
    </row>
    <row r="2032" spans="1:23">
      <c r="A2032" t="s">
        <v>17</v>
      </c>
      <c r="B2032">
        <v>486724</v>
      </c>
      <c r="C2032">
        <v>18</v>
      </c>
      <c r="D2032">
        <v>33</v>
      </c>
      <c r="E2032">
        <v>85</v>
      </c>
      <c r="F2032">
        <v>5</v>
      </c>
      <c r="G2032">
        <v>28</v>
      </c>
      <c r="H2032">
        <v>25</v>
      </c>
      <c r="I2032">
        <v>1023</v>
      </c>
      <c r="J2032">
        <v>0</v>
      </c>
      <c r="K2032">
        <v>7.9050000000000002</v>
      </c>
      <c r="L2032">
        <v>10.8405</v>
      </c>
      <c r="M2032">
        <v>77.25800000000001</v>
      </c>
      <c r="N2032">
        <v>13.55</v>
      </c>
      <c r="O2032">
        <v>1686</v>
      </c>
      <c r="P2032">
        <v>677</v>
      </c>
      <c r="Q2032" s="5" t="e">
        <f>IF(AND(#REF!&gt;=table!$C$6,#REF!&lt;= table!$D$6),-1,IF(AND(#REF!&gt;=table!$E$6,#REF!&lt;=table!$F$6),1,0))</f>
        <v>#REF!</v>
      </c>
      <c r="R2032" s="5" t="e">
        <f>IF(AND(#REF!&gt;=table!$C$7,#REF!&lt;= table!$D$7),-1,IF(AND(#REF!&gt;=table!$E$7,#REF!&lt;=table!$F$7),1,0))</f>
        <v>#REF!</v>
      </c>
      <c r="S2032" s="5" t="e">
        <f>IF(AND(#REF!&gt;=table!$C$8,#REF!&lt;= table!$D$8),-1,IF(AND(#REF!&gt;=table!$E$8,#REF!&lt;=table!$F$8),1,0))</f>
        <v>#REF!</v>
      </c>
      <c r="T2032" s="5"/>
      <c r="U2032" s="5" t="e">
        <f>IF(AND(#REF!&gt;=table!$C$10,#REF!&lt;= table!$D$10),-1,IF(AND(#REF!&gt;=table!$E$10,#REF!&lt;=table!$F$10),1,0))</f>
        <v>#REF!</v>
      </c>
      <c r="V2032" s="5" t="e">
        <f>IF(AND(#REF!&gt;=table!$C$11,#REF!&lt;= table!$D$11),-1,IF(AND(#REF!&gt;=table!$E$11,#REF!&lt;=table!$F$11),1,0))</f>
        <v>#REF!</v>
      </c>
      <c r="W2032" s="5" t="e">
        <f>CONCATENATE(dados[[#This Row],[fator1]],dados[[#This Row],[fator5]],dados[[#This Row],[fator6]])</f>
        <v>#REF!</v>
      </c>
    </row>
    <row r="2033" spans="1:23">
      <c r="A2033" t="s">
        <v>16</v>
      </c>
      <c r="B2033">
        <v>486726</v>
      </c>
      <c r="C2033">
        <v>16</v>
      </c>
      <c r="D2033">
        <v>35</v>
      </c>
      <c r="E2033">
        <v>36</v>
      </c>
      <c r="F2033">
        <v>10</v>
      </c>
      <c r="G2033">
        <v>0</v>
      </c>
      <c r="H2033">
        <v>25</v>
      </c>
      <c r="I2033">
        <v>598</v>
      </c>
      <c r="J2033">
        <v>0</v>
      </c>
      <c r="K2033">
        <v>5.4420000000000002</v>
      </c>
      <c r="L2033">
        <v>6.84</v>
      </c>
      <c r="M2033">
        <v>31.659500000000001</v>
      </c>
      <c r="N2033">
        <v>13.950000000000001</v>
      </c>
      <c r="O2033">
        <v>1666</v>
      </c>
      <c r="P2033">
        <v>733</v>
      </c>
      <c r="Q2033" s="5" t="e">
        <f>IF(AND(#REF!&gt;=table!$C$6,#REF!&lt;= table!$D$6),-1,IF(AND(#REF!&gt;=table!$E$6,#REF!&lt;=table!$F$6),1,0))</f>
        <v>#REF!</v>
      </c>
      <c r="R2033" s="5" t="e">
        <f>IF(AND(#REF!&gt;=table!$C$7,#REF!&lt;= table!$D$7),-1,IF(AND(#REF!&gt;=table!$E$7,#REF!&lt;=table!$F$7),1,0))</f>
        <v>#REF!</v>
      </c>
      <c r="S2033" s="5" t="e">
        <f>IF(AND(#REF!&gt;=table!$C$8,#REF!&lt;= table!$D$8),-1,IF(AND(#REF!&gt;=table!$E$8,#REF!&lt;=table!$F$8),1,0))</f>
        <v>#REF!</v>
      </c>
      <c r="T2033" s="5"/>
      <c r="U2033" s="5" t="e">
        <f>IF(AND(#REF!&gt;=table!$C$10,#REF!&lt;= table!$D$10),-1,IF(AND(#REF!&gt;=table!$E$10,#REF!&lt;=table!$F$10),1,0))</f>
        <v>#REF!</v>
      </c>
      <c r="V2033" s="5" t="e">
        <f>IF(AND(#REF!&gt;=table!$C$11,#REF!&lt;= table!$D$11),-1,IF(AND(#REF!&gt;=table!$E$11,#REF!&lt;=table!$F$11),1,0))</f>
        <v>#REF!</v>
      </c>
      <c r="W2033" s="5" t="e">
        <f>CONCATENATE(dados[[#This Row],[fator1]],dados[[#This Row],[fator5]],dados[[#This Row],[fator6]])</f>
        <v>#REF!</v>
      </c>
    </row>
    <row r="2034" spans="1:23">
      <c r="A2034" t="s">
        <v>16</v>
      </c>
      <c r="B2034">
        <v>486727</v>
      </c>
      <c r="C2034">
        <v>16</v>
      </c>
      <c r="D2034">
        <v>35</v>
      </c>
      <c r="E2034">
        <v>36</v>
      </c>
      <c r="F2034">
        <v>10</v>
      </c>
      <c r="G2034">
        <v>0</v>
      </c>
      <c r="H2034">
        <v>25</v>
      </c>
      <c r="I2034">
        <v>426</v>
      </c>
      <c r="J2034">
        <v>0</v>
      </c>
      <c r="K2034">
        <v>7.5449999999999999</v>
      </c>
      <c r="L2034">
        <v>15.55</v>
      </c>
      <c r="M2034">
        <v>39.874500000000005</v>
      </c>
      <c r="N2034">
        <v>20.885000000000002</v>
      </c>
      <c r="O2034">
        <v>1663</v>
      </c>
      <c r="P2034">
        <v>425</v>
      </c>
      <c r="Q2034" s="5" t="e">
        <f>IF(AND(#REF!&gt;=table!$C$6,#REF!&lt;= table!$D$6),-1,IF(AND(#REF!&gt;=table!$E$6,#REF!&lt;=table!$F$6),1,0))</f>
        <v>#REF!</v>
      </c>
      <c r="R2034" s="5" t="e">
        <f>IF(AND(#REF!&gt;=table!$C$7,#REF!&lt;= table!$D$7),-1,IF(AND(#REF!&gt;=table!$E$7,#REF!&lt;=table!$F$7),1,0))</f>
        <v>#REF!</v>
      </c>
      <c r="S2034" s="5" t="e">
        <f>IF(AND(#REF!&gt;=table!$C$8,#REF!&lt;= table!$D$8),-1,IF(AND(#REF!&gt;=table!$E$8,#REF!&lt;=table!$F$8),1,0))</f>
        <v>#REF!</v>
      </c>
      <c r="T2034" s="5"/>
      <c r="U2034" s="5" t="e">
        <f>IF(AND(#REF!&gt;=table!$C$10,#REF!&lt;= table!$D$10),-1,IF(AND(#REF!&gt;=table!$E$10,#REF!&lt;=table!$F$10),1,0))</f>
        <v>#REF!</v>
      </c>
      <c r="V2034" s="5" t="e">
        <f>IF(AND(#REF!&gt;=table!$C$11,#REF!&lt;= table!$D$11),-1,IF(AND(#REF!&gt;=table!$E$11,#REF!&lt;=table!$F$11),1,0))</f>
        <v>#REF!</v>
      </c>
      <c r="W2034" s="5" t="e">
        <f>CONCATENATE(dados[[#This Row],[fator1]],dados[[#This Row],[fator5]],dados[[#This Row],[fator6]])</f>
        <v>#REF!</v>
      </c>
    </row>
    <row r="2035" spans="1:23">
      <c r="A2035" t="s">
        <v>16</v>
      </c>
      <c r="B2035">
        <v>486729</v>
      </c>
      <c r="C2035">
        <v>16</v>
      </c>
      <c r="D2035">
        <v>35</v>
      </c>
      <c r="E2035">
        <v>36</v>
      </c>
      <c r="F2035">
        <v>10</v>
      </c>
      <c r="G2035">
        <v>0</v>
      </c>
      <c r="H2035">
        <v>25</v>
      </c>
      <c r="I2035">
        <v>1404</v>
      </c>
      <c r="J2035">
        <v>470</v>
      </c>
      <c r="K2035">
        <v>7.0180000000000007</v>
      </c>
      <c r="L2035">
        <v>8.1025000000000009</v>
      </c>
      <c r="M2035">
        <v>33.183</v>
      </c>
      <c r="N2035">
        <v>12.965</v>
      </c>
      <c r="O2035">
        <v>1625</v>
      </c>
      <c r="P2035">
        <v>478</v>
      </c>
      <c r="Q2035" s="5" t="e">
        <f>IF(AND(#REF!&gt;=table!$C$6,#REF!&lt;= table!$D$6),-1,IF(AND(#REF!&gt;=table!$E$6,#REF!&lt;=table!$F$6),1,0))</f>
        <v>#REF!</v>
      </c>
      <c r="R2035" s="5" t="e">
        <f>IF(AND(#REF!&gt;=table!$C$7,#REF!&lt;= table!$D$7),-1,IF(AND(#REF!&gt;=table!$E$7,#REF!&lt;=table!$F$7),1,0))</f>
        <v>#REF!</v>
      </c>
      <c r="S2035" s="5" t="e">
        <f>IF(AND(#REF!&gt;=table!$C$8,#REF!&lt;= table!$D$8),-1,IF(AND(#REF!&gt;=table!$E$8,#REF!&lt;=table!$F$8),1,0))</f>
        <v>#REF!</v>
      </c>
      <c r="T2035" s="5"/>
      <c r="U2035" s="5" t="e">
        <f>IF(AND(#REF!&gt;=table!$C$10,#REF!&lt;= table!$D$10),-1,IF(AND(#REF!&gt;=table!$E$10,#REF!&lt;=table!$F$10),1,0))</f>
        <v>#REF!</v>
      </c>
      <c r="V2035" s="5" t="e">
        <f>IF(AND(#REF!&gt;=table!$C$11,#REF!&lt;= table!$D$11),-1,IF(AND(#REF!&gt;=table!$E$11,#REF!&lt;=table!$F$11),1,0))</f>
        <v>#REF!</v>
      </c>
      <c r="W2035" s="5" t="e">
        <f>CONCATENATE(dados[[#This Row],[fator1]],dados[[#This Row],[fator5]],dados[[#This Row],[fator6]])</f>
        <v>#REF!</v>
      </c>
    </row>
    <row r="2036" spans="1:23">
      <c r="A2036" t="s">
        <v>16</v>
      </c>
      <c r="B2036">
        <v>486731</v>
      </c>
      <c r="C2036">
        <v>12</v>
      </c>
      <c r="D2036">
        <v>40</v>
      </c>
      <c r="E2036">
        <v>36</v>
      </c>
      <c r="F2036">
        <v>9</v>
      </c>
      <c r="G2036">
        <v>0</v>
      </c>
      <c r="H2036">
        <v>25</v>
      </c>
      <c r="I2036">
        <v>412</v>
      </c>
      <c r="J2036">
        <v>0</v>
      </c>
      <c r="K2036">
        <v>3.5460000000000003</v>
      </c>
      <c r="L2036">
        <v>4.5390000000000006</v>
      </c>
      <c r="M2036">
        <v>28.0975</v>
      </c>
      <c r="N2036">
        <v>9.51</v>
      </c>
      <c r="O2036">
        <v>1655</v>
      </c>
      <c r="P2036">
        <v>1098</v>
      </c>
      <c r="Q2036" s="5" t="e">
        <f>IF(AND(#REF!&gt;=table!$C$6,#REF!&lt;= table!$D$6),-1,IF(AND(#REF!&gt;=table!$E$6,#REF!&lt;=table!$F$6),1,0))</f>
        <v>#REF!</v>
      </c>
      <c r="R2036" s="5" t="e">
        <f>IF(AND(#REF!&gt;=table!$C$7,#REF!&lt;= table!$D$7),-1,IF(AND(#REF!&gt;=table!$E$7,#REF!&lt;=table!$F$7),1,0))</f>
        <v>#REF!</v>
      </c>
      <c r="S2036" s="5" t="e">
        <f>IF(AND(#REF!&gt;=table!$C$8,#REF!&lt;= table!$D$8),-1,IF(AND(#REF!&gt;=table!$E$8,#REF!&lt;=table!$F$8),1,0))</f>
        <v>#REF!</v>
      </c>
      <c r="T2036" s="5"/>
      <c r="U2036" s="5" t="e">
        <f>IF(AND(#REF!&gt;=table!$C$10,#REF!&lt;= table!$D$10),-1,IF(AND(#REF!&gt;=table!$E$10,#REF!&lt;=table!$F$10),1,0))</f>
        <v>#REF!</v>
      </c>
      <c r="V2036" s="5" t="e">
        <f>IF(AND(#REF!&gt;=table!$C$11,#REF!&lt;= table!$D$11),-1,IF(AND(#REF!&gt;=table!$E$11,#REF!&lt;=table!$F$11),1,0))</f>
        <v>#REF!</v>
      </c>
      <c r="W2036" s="5" t="e">
        <f>CONCATENATE(dados[[#This Row],[fator1]],dados[[#This Row],[fator5]],dados[[#This Row],[fator6]])</f>
        <v>#REF!</v>
      </c>
    </row>
    <row r="2037" spans="1:23">
      <c r="A2037" t="s">
        <v>16</v>
      </c>
      <c r="B2037">
        <v>486732</v>
      </c>
      <c r="C2037">
        <v>8</v>
      </c>
      <c r="D2037">
        <v>30</v>
      </c>
      <c r="E2037">
        <v>61</v>
      </c>
      <c r="F2037">
        <v>8</v>
      </c>
      <c r="G2037">
        <v>0</v>
      </c>
      <c r="H2037">
        <v>25</v>
      </c>
      <c r="I2037">
        <v>448</v>
      </c>
      <c r="J2037">
        <v>810</v>
      </c>
      <c r="K2037">
        <v>9.2584999999999997</v>
      </c>
      <c r="L2037">
        <v>4.5775000000000006</v>
      </c>
      <c r="M2037">
        <v>50.669499999999999</v>
      </c>
      <c r="N2037">
        <v>9.6950000000000003</v>
      </c>
      <c r="O2037">
        <v>1621</v>
      </c>
      <c r="P2037">
        <v>457</v>
      </c>
      <c r="Q2037" s="5" t="e">
        <f>IF(AND(#REF!&gt;=table!$C$6,#REF!&lt;= table!$D$6),-1,IF(AND(#REF!&gt;=table!$E$6,#REF!&lt;=table!$F$6),1,0))</f>
        <v>#REF!</v>
      </c>
      <c r="R2037" s="5" t="e">
        <f>IF(AND(#REF!&gt;=table!$C$7,#REF!&lt;= table!$D$7),-1,IF(AND(#REF!&gt;=table!$E$7,#REF!&lt;=table!$F$7),1,0))</f>
        <v>#REF!</v>
      </c>
      <c r="S2037" s="5" t="e">
        <f>IF(AND(#REF!&gt;=table!$C$8,#REF!&lt;= table!$D$8),-1,IF(AND(#REF!&gt;=table!$E$8,#REF!&lt;=table!$F$8),1,0))</f>
        <v>#REF!</v>
      </c>
      <c r="T2037" s="5"/>
      <c r="U2037" s="5" t="e">
        <f>IF(AND(#REF!&gt;=table!$C$10,#REF!&lt;= table!$D$10),-1,IF(AND(#REF!&gt;=table!$E$10,#REF!&lt;=table!$F$10),1,0))</f>
        <v>#REF!</v>
      </c>
      <c r="V2037" s="5" t="e">
        <f>IF(AND(#REF!&gt;=table!$C$11,#REF!&lt;= table!$D$11),-1,IF(AND(#REF!&gt;=table!$E$11,#REF!&lt;=table!$F$11),1,0))</f>
        <v>#REF!</v>
      </c>
      <c r="W2037" s="5" t="e">
        <f>CONCATENATE(dados[[#This Row],[fator1]],dados[[#This Row],[fator5]],dados[[#This Row],[fator6]])</f>
        <v>#REF!</v>
      </c>
    </row>
    <row r="2038" spans="1:23">
      <c r="A2038" t="s">
        <v>16</v>
      </c>
      <c r="B2038">
        <v>486733</v>
      </c>
      <c r="C2038">
        <v>8</v>
      </c>
      <c r="D2038">
        <v>30</v>
      </c>
      <c r="E2038">
        <v>61</v>
      </c>
      <c r="F2038">
        <v>8</v>
      </c>
      <c r="G2038">
        <v>0</v>
      </c>
      <c r="H2038">
        <v>25</v>
      </c>
      <c r="I2038">
        <v>12</v>
      </c>
      <c r="J2038">
        <v>910</v>
      </c>
      <c r="K2038">
        <v>5.3025000000000002</v>
      </c>
      <c r="L2038">
        <v>16.991</v>
      </c>
      <c r="M2038">
        <v>58.784500000000001</v>
      </c>
      <c r="N2038">
        <v>22.6</v>
      </c>
      <c r="O2038">
        <v>1678</v>
      </c>
      <c r="P2038">
        <v>0</v>
      </c>
      <c r="Q2038" s="5" t="e">
        <f>IF(AND(#REF!&gt;=table!$C$6,#REF!&lt;= table!$D$6),-1,IF(AND(#REF!&gt;=table!$E$6,#REF!&lt;=table!$F$6),1,0))</f>
        <v>#REF!</v>
      </c>
      <c r="R2038" s="5" t="e">
        <f>IF(AND(#REF!&gt;=table!$C$7,#REF!&lt;= table!$D$7),-1,IF(AND(#REF!&gt;=table!$E$7,#REF!&lt;=table!$F$7),1,0))</f>
        <v>#REF!</v>
      </c>
      <c r="S2038" s="5" t="e">
        <f>IF(AND(#REF!&gt;=table!$C$8,#REF!&lt;= table!$D$8),-1,IF(AND(#REF!&gt;=table!$E$8,#REF!&lt;=table!$F$8),1,0))</f>
        <v>#REF!</v>
      </c>
      <c r="T2038" s="5"/>
      <c r="U2038" s="5" t="e">
        <f>IF(AND(#REF!&gt;=table!$C$10,#REF!&lt;= table!$D$10),-1,IF(AND(#REF!&gt;=table!$E$10,#REF!&lt;=table!$F$10),1,0))</f>
        <v>#REF!</v>
      </c>
      <c r="V2038" s="5" t="e">
        <f>IF(AND(#REF!&gt;=table!$C$11,#REF!&lt;= table!$D$11),-1,IF(AND(#REF!&gt;=table!$E$11,#REF!&lt;=table!$F$11),1,0))</f>
        <v>#REF!</v>
      </c>
      <c r="W2038" s="5" t="e">
        <f>CONCATENATE(dados[[#This Row],[fator1]],dados[[#This Row],[fator5]],dados[[#This Row],[fator6]])</f>
        <v>#REF!</v>
      </c>
    </row>
    <row r="2039" spans="1:23">
      <c r="A2039" t="s">
        <v>16</v>
      </c>
      <c r="B2039">
        <v>486736</v>
      </c>
      <c r="C2039">
        <v>10</v>
      </c>
      <c r="D2039">
        <v>30</v>
      </c>
      <c r="E2039">
        <v>150</v>
      </c>
      <c r="F2039">
        <v>4</v>
      </c>
      <c r="G2039">
        <v>0</v>
      </c>
      <c r="H2039">
        <v>25</v>
      </c>
      <c r="I2039">
        <v>1722</v>
      </c>
      <c r="J2039">
        <v>910</v>
      </c>
      <c r="K2039">
        <v>5.4945000000000004</v>
      </c>
      <c r="L2039">
        <v>13.6395</v>
      </c>
      <c r="M2039">
        <v>69.830500000000001</v>
      </c>
      <c r="N2039">
        <v>14.675000000000001</v>
      </c>
      <c r="O2039">
        <v>1669</v>
      </c>
      <c r="P2039">
        <v>722</v>
      </c>
      <c r="Q2039" s="5" t="e">
        <f>IF(AND(#REF!&gt;=table!$C$6,#REF!&lt;= table!$D$6),-1,IF(AND(#REF!&gt;=table!$E$6,#REF!&lt;=table!$F$6),1,0))</f>
        <v>#REF!</v>
      </c>
      <c r="R2039" s="5" t="e">
        <f>IF(AND(#REF!&gt;=table!$C$7,#REF!&lt;= table!$D$7),-1,IF(AND(#REF!&gt;=table!$E$7,#REF!&lt;=table!$F$7),1,0))</f>
        <v>#REF!</v>
      </c>
      <c r="S2039" s="5" t="e">
        <f>IF(AND(#REF!&gt;=table!$C$8,#REF!&lt;= table!$D$8),-1,IF(AND(#REF!&gt;=table!$E$8,#REF!&lt;=table!$F$8),1,0))</f>
        <v>#REF!</v>
      </c>
      <c r="T2039" s="5"/>
      <c r="U2039" s="5" t="e">
        <f>IF(AND(#REF!&gt;=table!$C$10,#REF!&lt;= table!$D$10),-1,IF(AND(#REF!&gt;=table!$E$10,#REF!&lt;=table!$F$10),1,0))</f>
        <v>#REF!</v>
      </c>
      <c r="V2039" s="5" t="e">
        <f>IF(AND(#REF!&gt;=table!$C$11,#REF!&lt;= table!$D$11),-1,IF(AND(#REF!&gt;=table!$E$11,#REF!&lt;=table!$F$11),1,0))</f>
        <v>#REF!</v>
      </c>
      <c r="W2039" s="5" t="e">
        <f>CONCATENATE(dados[[#This Row],[fator1]],dados[[#This Row],[fator5]],dados[[#This Row],[fator6]])</f>
        <v>#REF!</v>
      </c>
    </row>
    <row r="2040" spans="1:23">
      <c r="A2040" t="s">
        <v>16</v>
      </c>
      <c r="B2040">
        <v>486737</v>
      </c>
      <c r="C2040">
        <v>10</v>
      </c>
      <c r="D2040">
        <v>38</v>
      </c>
      <c r="E2040">
        <v>150</v>
      </c>
      <c r="F2040">
        <v>4</v>
      </c>
      <c r="G2040">
        <v>0</v>
      </c>
      <c r="H2040">
        <v>25</v>
      </c>
      <c r="I2040">
        <v>1471</v>
      </c>
      <c r="J2040">
        <v>0</v>
      </c>
      <c r="K2040">
        <v>3.855</v>
      </c>
      <c r="L2040">
        <v>5.5114999999999998</v>
      </c>
      <c r="M2040">
        <v>106.51050000000001</v>
      </c>
      <c r="N2040">
        <v>10.565000000000001</v>
      </c>
      <c r="O2040">
        <v>1658</v>
      </c>
      <c r="P2040">
        <v>0</v>
      </c>
      <c r="Q2040" s="5" t="e">
        <f>IF(AND(#REF!&gt;=table!$C$6,#REF!&lt;= table!$D$6),-1,IF(AND(#REF!&gt;=table!$E$6,#REF!&lt;=table!$F$6),1,0))</f>
        <v>#REF!</v>
      </c>
      <c r="R2040" s="5" t="e">
        <f>IF(AND(#REF!&gt;=table!$C$7,#REF!&lt;= table!$D$7),-1,IF(AND(#REF!&gt;=table!$E$7,#REF!&lt;=table!$F$7),1,0))</f>
        <v>#REF!</v>
      </c>
      <c r="S2040" s="5" t="e">
        <f>IF(AND(#REF!&gt;=table!$C$8,#REF!&lt;= table!$D$8),-1,IF(AND(#REF!&gt;=table!$E$8,#REF!&lt;=table!$F$8),1,0))</f>
        <v>#REF!</v>
      </c>
      <c r="T2040" s="5"/>
      <c r="U2040" s="5" t="e">
        <f>IF(AND(#REF!&gt;=table!$C$10,#REF!&lt;= table!$D$10),-1,IF(AND(#REF!&gt;=table!$E$10,#REF!&lt;=table!$F$10),1,0))</f>
        <v>#REF!</v>
      </c>
      <c r="V2040" s="5" t="e">
        <f>IF(AND(#REF!&gt;=table!$C$11,#REF!&lt;= table!$D$11),-1,IF(AND(#REF!&gt;=table!$E$11,#REF!&lt;=table!$F$11),1,0))</f>
        <v>#REF!</v>
      </c>
      <c r="W2040" s="5" t="e">
        <f>CONCATENATE(dados[[#This Row],[fator1]],dados[[#This Row],[fator5]],dados[[#This Row],[fator6]])</f>
        <v>#REF!</v>
      </c>
    </row>
    <row r="2041" spans="1:23">
      <c r="A2041" t="s">
        <v>17</v>
      </c>
      <c r="B2041">
        <v>486750</v>
      </c>
      <c r="C2041">
        <v>10</v>
      </c>
      <c r="D2041">
        <v>25</v>
      </c>
      <c r="E2041">
        <v>156</v>
      </c>
      <c r="F2041">
        <v>8</v>
      </c>
      <c r="G2041">
        <v>20</v>
      </c>
      <c r="H2041">
        <v>25</v>
      </c>
      <c r="I2041">
        <v>618</v>
      </c>
      <c r="J2041">
        <v>0</v>
      </c>
      <c r="K2041">
        <v>5.843</v>
      </c>
      <c r="L2041">
        <v>12.288500000000001</v>
      </c>
      <c r="M2041">
        <v>148.81800000000001</v>
      </c>
      <c r="N2041">
        <v>18.8</v>
      </c>
      <c r="O2041">
        <v>1680</v>
      </c>
      <c r="P2041">
        <v>674</v>
      </c>
      <c r="Q2041" s="5" t="e">
        <f>IF(AND(#REF!&gt;=table!$C$6,#REF!&lt;= table!$D$6),-1,IF(AND(#REF!&gt;=table!$E$6,#REF!&lt;=table!$F$6),1,0))</f>
        <v>#REF!</v>
      </c>
      <c r="R2041" s="5" t="e">
        <f>IF(AND(#REF!&gt;=table!$C$7,#REF!&lt;= table!$D$7),-1,IF(AND(#REF!&gt;=table!$E$7,#REF!&lt;=table!$F$7),1,0))</f>
        <v>#REF!</v>
      </c>
      <c r="S2041" s="5" t="e">
        <f>IF(AND(#REF!&gt;=table!$C$8,#REF!&lt;= table!$D$8),-1,IF(AND(#REF!&gt;=table!$E$8,#REF!&lt;=table!$F$8),1,0))</f>
        <v>#REF!</v>
      </c>
      <c r="T2041" s="5"/>
      <c r="U2041" s="5" t="e">
        <f>IF(AND(#REF!&gt;=table!$C$10,#REF!&lt;= table!$D$10),-1,IF(AND(#REF!&gt;=table!$E$10,#REF!&lt;=table!$F$10),1,0))</f>
        <v>#REF!</v>
      </c>
      <c r="V2041" s="5" t="e">
        <f>IF(AND(#REF!&gt;=table!$C$11,#REF!&lt;= table!$D$11),-1,IF(AND(#REF!&gt;=table!$E$11,#REF!&lt;=table!$F$11),1,0))</f>
        <v>#REF!</v>
      </c>
      <c r="W2041" s="5" t="e">
        <f>CONCATENATE(dados[[#This Row],[fator1]],dados[[#This Row],[fator5]],dados[[#This Row],[fator6]])</f>
        <v>#REF!</v>
      </c>
    </row>
    <row r="2042" spans="1:23">
      <c r="A2042" t="s">
        <v>17</v>
      </c>
      <c r="B2042">
        <v>486751</v>
      </c>
      <c r="C2042">
        <v>10</v>
      </c>
      <c r="D2042">
        <v>25</v>
      </c>
      <c r="E2042">
        <v>156</v>
      </c>
      <c r="F2042">
        <v>8</v>
      </c>
      <c r="G2042">
        <v>20</v>
      </c>
      <c r="H2042">
        <v>25</v>
      </c>
      <c r="I2042">
        <v>564</v>
      </c>
      <c r="J2042">
        <v>0</v>
      </c>
      <c r="K2042">
        <v>9.1219999999999999</v>
      </c>
      <c r="L2042">
        <v>15.797000000000001</v>
      </c>
      <c r="M2042">
        <v>147.72550000000001</v>
      </c>
      <c r="N2042">
        <v>18.86</v>
      </c>
      <c r="O2042">
        <v>1675</v>
      </c>
      <c r="P2042">
        <v>0</v>
      </c>
      <c r="Q2042" s="5" t="e">
        <f>IF(AND(#REF!&gt;=table!$C$6,#REF!&lt;= table!$D$6),-1,IF(AND(#REF!&gt;=table!$E$6,#REF!&lt;=table!$F$6),1,0))</f>
        <v>#REF!</v>
      </c>
      <c r="R2042" s="5" t="e">
        <f>IF(AND(#REF!&gt;=table!$C$7,#REF!&lt;= table!$D$7),-1,IF(AND(#REF!&gt;=table!$E$7,#REF!&lt;=table!$F$7),1,0))</f>
        <v>#REF!</v>
      </c>
      <c r="S2042" s="5" t="e">
        <f>IF(AND(#REF!&gt;=table!$C$8,#REF!&lt;= table!$D$8),-1,IF(AND(#REF!&gt;=table!$E$8,#REF!&lt;=table!$F$8),1,0))</f>
        <v>#REF!</v>
      </c>
      <c r="T2042" s="5"/>
      <c r="U2042" s="5" t="e">
        <f>IF(AND(#REF!&gt;=table!$C$10,#REF!&lt;= table!$D$10),-1,IF(AND(#REF!&gt;=table!$E$10,#REF!&lt;=table!$F$10),1,0))</f>
        <v>#REF!</v>
      </c>
      <c r="V2042" s="5" t="e">
        <f>IF(AND(#REF!&gt;=table!$C$11,#REF!&lt;= table!$D$11),-1,IF(AND(#REF!&gt;=table!$E$11,#REF!&lt;=table!$F$11),1,0))</f>
        <v>#REF!</v>
      </c>
      <c r="W2042" s="5" t="e">
        <f>CONCATENATE(dados[[#This Row],[fator1]],dados[[#This Row],[fator5]],dados[[#This Row],[fator6]])</f>
        <v>#REF!</v>
      </c>
    </row>
    <row r="2043" spans="1:23">
      <c r="A2043" t="s">
        <v>17</v>
      </c>
      <c r="B2043">
        <v>486752</v>
      </c>
      <c r="C2043">
        <v>10</v>
      </c>
      <c r="D2043">
        <v>25</v>
      </c>
      <c r="E2043">
        <v>156</v>
      </c>
      <c r="F2043">
        <v>8</v>
      </c>
      <c r="G2043">
        <v>20</v>
      </c>
      <c r="H2043">
        <v>25</v>
      </c>
      <c r="I2043">
        <v>915</v>
      </c>
      <c r="J2043">
        <v>0</v>
      </c>
      <c r="K2043">
        <v>8.0244999999999997</v>
      </c>
      <c r="L2043">
        <v>14.475000000000001</v>
      </c>
      <c r="M2043">
        <v>149.55500000000001</v>
      </c>
      <c r="N2043">
        <v>17.96</v>
      </c>
      <c r="O2043">
        <v>1692</v>
      </c>
      <c r="P2043">
        <v>0</v>
      </c>
      <c r="Q2043" s="5" t="e">
        <f>IF(AND(#REF!&gt;=table!$C$6,#REF!&lt;= table!$D$6),-1,IF(AND(#REF!&gt;=table!$E$6,#REF!&lt;=table!$F$6),1,0))</f>
        <v>#REF!</v>
      </c>
      <c r="R2043" s="5" t="e">
        <f>IF(AND(#REF!&gt;=table!$C$7,#REF!&lt;= table!$D$7),-1,IF(AND(#REF!&gt;=table!$E$7,#REF!&lt;=table!$F$7),1,0))</f>
        <v>#REF!</v>
      </c>
      <c r="S2043" s="5" t="e">
        <f>IF(AND(#REF!&gt;=table!$C$8,#REF!&lt;= table!$D$8),-1,IF(AND(#REF!&gt;=table!$E$8,#REF!&lt;=table!$F$8),1,0))</f>
        <v>#REF!</v>
      </c>
      <c r="T2043" s="5"/>
      <c r="U2043" s="5" t="e">
        <f>IF(AND(#REF!&gt;=table!$C$10,#REF!&lt;= table!$D$10),-1,IF(AND(#REF!&gt;=table!$E$10,#REF!&lt;=table!$F$10),1,0))</f>
        <v>#REF!</v>
      </c>
      <c r="V2043" s="5" t="e">
        <f>IF(AND(#REF!&gt;=table!$C$11,#REF!&lt;= table!$D$11),-1,IF(AND(#REF!&gt;=table!$E$11,#REF!&lt;=table!$F$11),1,0))</f>
        <v>#REF!</v>
      </c>
      <c r="W2043" s="5" t="e">
        <f>CONCATENATE(dados[[#This Row],[fator1]],dados[[#This Row],[fator5]],dados[[#This Row],[fator6]])</f>
        <v>#REF!</v>
      </c>
    </row>
    <row r="2044" spans="1:23">
      <c r="A2044" t="s">
        <v>17</v>
      </c>
      <c r="B2044">
        <v>486753</v>
      </c>
      <c r="C2044">
        <v>10</v>
      </c>
      <c r="D2044">
        <v>25</v>
      </c>
      <c r="E2044">
        <v>156</v>
      </c>
      <c r="F2044">
        <v>8</v>
      </c>
      <c r="G2044">
        <v>20</v>
      </c>
      <c r="H2044">
        <v>25</v>
      </c>
      <c r="I2044">
        <v>668</v>
      </c>
      <c r="J2044">
        <v>0</v>
      </c>
      <c r="K2044">
        <v>5.4755000000000003</v>
      </c>
      <c r="L2044">
        <v>15.006500000000001</v>
      </c>
      <c r="M2044">
        <v>150.98950000000002</v>
      </c>
      <c r="N2044">
        <v>20.035</v>
      </c>
      <c r="O2044">
        <v>1659</v>
      </c>
      <c r="P2044">
        <v>497</v>
      </c>
      <c r="Q2044" s="5" t="e">
        <f>IF(AND(#REF!&gt;=table!$C$6,#REF!&lt;= table!$D$6),-1,IF(AND(#REF!&gt;=table!$E$6,#REF!&lt;=table!$F$6),1,0))</f>
        <v>#REF!</v>
      </c>
      <c r="R2044" s="5" t="e">
        <f>IF(AND(#REF!&gt;=table!$C$7,#REF!&lt;= table!$D$7),-1,IF(AND(#REF!&gt;=table!$E$7,#REF!&lt;=table!$F$7),1,0))</f>
        <v>#REF!</v>
      </c>
      <c r="S2044" s="5" t="e">
        <f>IF(AND(#REF!&gt;=table!$C$8,#REF!&lt;= table!$D$8),-1,IF(AND(#REF!&gt;=table!$E$8,#REF!&lt;=table!$F$8),1,0))</f>
        <v>#REF!</v>
      </c>
      <c r="T2044" s="5"/>
      <c r="U2044" s="5" t="e">
        <f>IF(AND(#REF!&gt;=table!$C$10,#REF!&lt;= table!$D$10),-1,IF(AND(#REF!&gt;=table!$E$10,#REF!&lt;=table!$F$10),1,0))</f>
        <v>#REF!</v>
      </c>
      <c r="V2044" s="5" t="e">
        <f>IF(AND(#REF!&gt;=table!$C$11,#REF!&lt;= table!$D$11),-1,IF(AND(#REF!&gt;=table!$E$11,#REF!&lt;=table!$F$11),1,0))</f>
        <v>#REF!</v>
      </c>
      <c r="W2044" s="5" t="e">
        <f>CONCATENATE(dados[[#This Row],[fator1]],dados[[#This Row],[fator5]],dados[[#This Row],[fator6]])</f>
        <v>#REF!</v>
      </c>
    </row>
    <row r="2045" spans="1:23">
      <c r="A2045" t="s">
        <v>17</v>
      </c>
      <c r="B2045">
        <v>486754</v>
      </c>
      <c r="C2045">
        <v>10</v>
      </c>
      <c r="D2045">
        <v>25</v>
      </c>
      <c r="E2045">
        <v>156</v>
      </c>
      <c r="F2045">
        <v>8</v>
      </c>
      <c r="G2045">
        <v>20</v>
      </c>
      <c r="H2045">
        <v>25</v>
      </c>
      <c r="I2045">
        <v>0</v>
      </c>
      <c r="J2045">
        <v>840</v>
      </c>
      <c r="K2045">
        <v>6.7035</v>
      </c>
      <c r="L2045">
        <v>16.374500000000001</v>
      </c>
      <c r="M2045">
        <v>147.642</v>
      </c>
      <c r="N2045">
        <v>16.95</v>
      </c>
      <c r="O2045">
        <v>1670</v>
      </c>
      <c r="P2045">
        <v>525</v>
      </c>
      <c r="Q2045" s="5" t="e">
        <f>IF(AND(#REF!&gt;=table!$C$6,#REF!&lt;= table!$D$6),-1,IF(AND(#REF!&gt;=table!$E$6,#REF!&lt;=table!$F$6),1,0))</f>
        <v>#REF!</v>
      </c>
      <c r="R2045" s="5" t="e">
        <f>IF(AND(#REF!&gt;=table!$C$7,#REF!&lt;= table!$D$7),-1,IF(AND(#REF!&gt;=table!$E$7,#REF!&lt;=table!$F$7),1,0))</f>
        <v>#REF!</v>
      </c>
      <c r="S2045" s="5" t="e">
        <f>IF(AND(#REF!&gt;=table!$C$8,#REF!&lt;= table!$D$8),-1,IF(AND(#REF!&gt;=table!$E$8,#REF!&lt;=table!$F$8),1,0))</f>
        <v>#REF!</v>
      </c>
      <c r="T2045" s="5"/>
      <c r="U2045" s="5" t="e">
        <f>IF(AND(#REF!&gt;=table!$C$10,#REF!&lt;= table!$D$10),-1,IF(AND(#REF!&gt;=table!$E$10,#REF!&lt;=table!$F$10),1,0))</f>
        <v>#REF!</v>
      </c>
      <c r="V2045" s="5" t="e">
        <f>IF(AND(#REF!&gt;=table!$C$11,#REF!&lt;= table!$D$11),-1,IF(AND(#REF!&gt;=table!$E$11,#REF!&lt;=table!$F$11),1,0))</f>
        <v>#REF!</v>
      </c>
      <c r="W2045" s="5" t="e">
        <f>CONCATENATE(dados[[#This Row],[fator1]],dados[[#This Row],[fator5]],dados[[#This Row],[fator6]])</f>
        <v>#REF!</v>
      </c>
    </row>
    <row r="2046" spans="1:23">
      <c r="A2046" t="s">
        <v>17</v>
      </c>
      <c r="B2046">
        <v>486755</v>
      </c>
      <c r="C2046">
        <v>29</v>
      </c>
      <c r="D2046">
        <v>25</v>
      </c>
      <c r="E2046">
        <v>131</v>
      </c>
      <c r="F2046">
        <v>6</v>
      </c>
      <c r="G2046">
        <v>21</v>
      </c>
      <c r="H2046">
        <v>25</v>
      </c>
      <c r="I2046">
        <v>1258</v>
      </c>
      <c r="J2046">
        <v>0</v>
      </c>
      <c r="K2046">
        <v>10.501000000000001</v>
      </c>
      <c r="L2046">
        <v>17.3705</v>
      </c>
      <c r="M2046">
        <v>104.41030000000001</v>
      </c>
      <c r="N2046">
        <v>22.325000000000003</v>
      </c>
      <c r="O2046">
        <v>1682</v>
      </c>
      <c r="P2046">
        <v>303</v>
      </c>
      <c r="Q2046" s="5" t="e">
        <f>IF(AND(#REF!&gt;=table!$C$6,#REF!&lt;= table!$D$6),-1,IF(AND(#REF!&gt;=table!$E$6,#REF!&lt;=table!$F$6),1,0))</f>
        <v>#REF!</v>
      </c>
      <c r="R2046" s="5" t="e">
        <f>IF(AND(#REF!&gt;=table!$C$7,#REF!&lt;= table!$D$7),-1,IF(AND(#REF!&gt;=table!$E$7,#REF!&lt;=table!$F$7),1,0))</f>
        <v>#REF!</v>
      </c>
      <c r="S2046" s="5" t="e">
        <f>IF(AND(#REF!&gt;=table!$C$8,#REF!&lt;= table!$D$8),-1,IF(AND(#REF!&gt;=table!$E$8,#REF!&lt;=table!$F$8),1,0))</f>
        <v>#REF!</v>
      </c>
      <c r="T2046" s="5"/>
      <c r="U2046" s="5" t="e">
        <f>IF(AND(#REF!&gt;=table!$C$10,#REF!&lt;= table!$D$10),-1,IF(AND(#REF!&gt;=table!$E$10,#REF!&lt;=table!$F$10),1,0))</f>
        <v>#REF!</v>
      </c>
      <c r="V2046" s="5" t="e">
        <f>IF(AND(#REF!&gt;=table!$C$11,#REF!&lt;= table!$D$11),-1,IF(AND(#REF!&gt;=table!$E$11,#REF!&lt;=table!$F$11),1,0))</f>
        <v>#REF!</v>
      </c>
      <c r="W2046" s="5" t="e">
        <f>CONCATENATE(dados[[#This Row],[fator1]],dados[[#This Row],[fator5]],dados[[#This Row],[fator6]])</f>
        <v>#REF!</v>
      </c>
    </row>
    <row r="2047" spans="1:23">
      <c r="A2047" t="s">
        <v>16</v>
      </c>
      <c r="B2047">
        <v>486756</v>
      </c>
      <c r="C2047">
        <v>0.15</v>
      </c>
      <c r="D2047">
        <v>40</v>
      </c>
      <c r="E2047">
        <v>10</v>
      </c>
      <c r="F2047">
        <v>15</v>
      </c>
      <c r="G2047">
        <v>0</v>
      </c>
      <c r="H2047">
        <v>15</v>
      </c>
      <c r="I2047">
        <v>874</v>
      </c>
      <c r="J2047">
        <v>0</v>
      </c>
      <c r="K2047">
        <v>9.370000000000001</v>
      </c>
      <c r="L2047">
        <v>13.1425</v>
      </c>
      <c r="M2047">
        <v>11.9955</v>
      </c>
      <c r="N2047">
        <v>14.52</v>
      </c>
      <c r="O2047">
        <v>1657</v>
      </c>
      <c r="P2047">
        <v>331</v>
      </c>
      <c r="Q2047" s="5" t="e">
        <f>IF(AND(#REF!&gt;=table!$C$6,#REF!&lt;= table!$D$6),-1,IF(AND(#REF!&gt;=table!$E$6,#REF!&lt;=table!$F$6),1,0))</f>
        <v>#REF!</v>
      </c>
      <c r="R2047" s="5" t="e">
        <f>IF(AND(#REF!&gt;=table!$C$7,#REF!&lt;= table!$D$7),-1,IF(AND(#REF!&gt;=table!$E$7,#REF!&lt;=table!$F$7),1,0))</f>
        <v>#REF!</v>
      </c>
      <c r="S2047" s="5" t="e">
        <f>IF(AND(#REF!&gt;=table!$C$8,#REF!&lt;= table!$D$8),-1,IF(AND(#REF!&gt;=table!$E$8,#REF!&lt;=table!$F$8),1,0))</f>
        <v>#REF!</v>
      </c>
      <c r="T2047" s="5"/>
      <c r="U2047" s="5" t="e">
        <f>IF(AND(#REF!&gt;=table!$C$10,#REF!&lt;= table!$D$10),-1,IF(AND(#REF!&gt;=table!$E$10,#REF!&lt;=table!$F$10),1,0))</f>
        <v>#REF!</v>
      </c>
      <c r="V2047" s="5" t="e">
        <f>IF(AND(#REF!&gt;=table!$C$11,#REF!&lt;= table!$D$11),-1,IF(AND(#REF!&gt;=table!$E$11,#REF!&lt;=table!$F$11),1,0))</f>
        <v>#REF!</v>
      </c>
      <c r="W2047" s="5" t="e">
        <f>CONCATENATE(dados[[#This Row],[fator1]],dados[[#This Row],[fator5]],dados[[#This Row],[fator6]])</f>
        <v>#REF!</v>
      </c>
    </row>
    <row r="2048" spans="1:23">
      <c r="A2048" t="s">
        <v>16</v>
      </c>
      <c r="B2048">
        <v>486757</v>
      </c>
      <c r="C2048">
        <v>0.15</v>
      </c>
      <c r="D2048">
        <v>40</v>
      </c>
      <c r="E2048">
        <v>10</v>
      </c>
      <c r="F2048">
        <v>15</v>
      </c>
      <c r="G2048">
        <v>0</v>
      </c>
      <c r="H2048">
        <v>15</v>
      </c>
      <c r="I2048">
        <v>535</v>
      </c>
      <c r="J2048">
        <v>0</v>
      </c>
      <c r="K2048">
        <v>7.282</v>
      </c>
      <c r="L2048">
        <v>7.1725000000000003</v>
      </c>
      <c r="M2048">
        <v>6.7590000000000003</v>
      </c>
      <c r="N2048">
        <v>7.8850000000000007</v>
      </c>
      <c r="O2048">
        <v>1648</v>
      </c>
      <c r="P2048">
        <v>570</v>
      </c>
      <c r="Q2048" s="5" t="e">
        <f>IF(AND(#REF!&gt;=table!$C$6,#REF!&lt;= table!$D$6),-1,IF(AND(#REF!&gt;=table!$E$6,#REF!&lt;=table!$F$6),1,0))</f>
        <v>#REF!</v>
      </c>
      <c r="R2048" s="5" t="e">
        <f>IF(AND(#REF!&gt;=table!$C$7,#REF!&lt;= table!$D$7),-1,IF(AND(#REF!&gt;=table!$E$7,#REF!&lt;=table!$F$7),1,0))</f>
        <v>#REF!</v>
      </c>
      <c r="S2048" s="5" t="e">
        <f>IF(AND(#REF!&gt;=table!$C$8,#REF!&lt;= table!$D$8),-1,IF(AND(#REF!&gt;=table!$E$8,#REF!&lt;=table!$F$8),1,0))</f>
        <v>#REF!</v>
      </c>
      <c r="T2048" s="5"/>
      <c r="U2048" s="5" t="e">
        <f>IF(AND(#REF!&gt;=table!$C$10,#REF!&lt;= table!$D$10),-1,IF(AND(#REF!&gt;=table!$E$10,#REF!&lt;=table!$F$10),1,0))</f>
        <v>#REF!</v>
      </c>
      <c r="V2048" s="5" t="e">
        <f>IF(AND(#REF!&gt;=table!$C$11,#REF!&lt;= table!$D$11),-1,IF(AND(#REF!&gt;=table!$E$11,#REF!&lt;=table!$F$11),1,0))</f>
        <v>#REF!</v>
      </c>
      <c r="W2048" s="5" t="e">
        <f>CONCATENATE(dados[[#This Row],[fator1]],dados[[#This Row],[fator5]],dados[[#This Row],[fator6]])</f>
        <v>#REF!</v>
      </c>
    </row>
    <row r="2049" spans="1:23">
      <c r="A2049" t="s">
        <v>16</v>
      </c>
      <c r="B2049">
        <v>486759</v>
      </c>
      <c r="C2049">
        <v>0.15</v>
      </c>
      <c r="D2049">
        <v>40</v>
      </c>
      <c r="E2049">
        <v>10</v>
      </c>
      <c r="F2049">
        <v>15</v>
      </c>
      <c r="G2049">
        <v>0</v>
      </c>
      <c r="H2049">
        <v>15</v>
      </c>
      <c r="I2049">
        <v>901</v>
      </c>
      <c r="J2049">
        <v>0</v>
      </c>
      <c r="K2049">
        <v>4.077</v>
      </c>
      <c r="L2049">
        <v>9.8350000000000009</v>
      </c>
      <c r="M2049">
        <v>8.7324999999999999</v>
      </c>
      <c r="N2049">
        <v>12.155000000000001</v>
      </c>
      <c r="O2049">
        <v>1676</v>
      </c>
      <c r="P2049">
        <v>945</v>
      </c>
      <c r="Q2049" s="5" t="e">
        <f>IF(AND(#REF!&gt;=table!$C$6,#REF!&lt;= table!$D$6),-1,IF(AND(#REF!&gt;=table!$E$6,#REF!&lt;=table!$F$6),1,0))</f>
        <v>#REF!</v>
      </c>
      <c r="R2049" s="5" t="e">
        <f>IF(AND(#REF!&gt;=table!$C$7,#REF!&lt;= table!$D$7),-1,IF(AND(#REF!&gt;=table!$E$7,#REF!&lt;=table!$F$7),1,0))</f>
        <v>#REF!</v>
      </c>
      <c r="S2049" s="5" t="e">
        <f>IF(AND(#REF!&gt;=table!$C$8,#REF!&lt;= table!$D$8),-1,IF(AND(#REF!&gt;=table!$E$8,#REF!&lt;=table!$F$8),1,0))</f>
        <v>#REF!</v>
      </c>
      <c r="T2049" s="5"/>
      <c r="U2049" s="5" t="e">
        <f>IF(AND(#REF!&gt;=table!$C$10,#REF!&lt;= table!$D$10),-1,IF(AND(#REF!&gt;=table!$E$10,#REF!&lt;=table!$F$10),1,0))</f>
        <v>#REF!</v>
      </c>
      <c r="V2049" s="5" t="e">
        <f>IF(AND(#REF!&gt;=table!$C$11,#REF!&lt;= table!$D$11),-1,IF(AND(#REF!&gt;=table!$E$11,#REF!&lt;=table!$F$11),1,0))</f>
        <v>#REF!</v>
      </c>
      <c r="W2049" s="5" t="e">
        <f>CONCATENATE(dados[[#This Row],[fator1]],dados[[#This Row],[fator5]],dados[[#This Row],[fator6]])</f>
        <v>#REF!</v>
      </c>
    </row>
    <row r="2050" spans="1:23">
      <c r="A2050" t="s">
        <v>16</v>
      </c>
      <c r="B2050">
        <v>486760</v>
      </c>
      <c r="C2050">
        <v>0.15</v>
      </c>
      <c r="D2050">
        <v>40</v>
      </c>
      <c r="E2050">
        <v>10</v>
      </c>
      <c r="F2050">
        <v>15</v>
      </c>
      <c r="G2050">
        <v>0</v>
      </c>
      <c r="H2050">
        <v>15</v>
      </c>
      <c r="I2050">
        <v>617</v>
      </c>
      <c r="J2050">
        <v>0</v>
      </c>
      <c r="K2050">
        <v>5.173</v>
      </c>
      <c r="L2050">
        <v>6.8325000000000005</v>
      </c>
      <c r="M2050">
        <v>6.0705</v>
      </c>
      <c r="N2050">
        <v>9.0750000000000011</v>
      </c>
      <c r="O2050">
        <v>1669</v>
      </c>
      <c r="P2050">
        <v>0</v>
      </c>
      <c r="Q2050" s="5" t="e">
        <f>IF(AND(#REF!&gt;=table!$C$6,#REF!&lt;= table!$D$6),-1,IF(AND(#REF!&gt;=table!$E$6,#REF!&lt;=table!$F$6),1,0))</f>
        <v>#REF!</v>
      </c>
      <c r="R2050" s="5" t="e">
        <f>IF(AND(#REF!&gt;=table!$C$7,#REF!&lt;= table!$D$7),-1,IF(AND(#REF!&gt;=table!$E$7,#REF!&lt;=table!$F$7),1,0))</f>
        <v>#REF!</v>
      </c>
      <c r="S2050" s="5" t="e">
        <f>IF(AND(#REF!&gt;=table!$C$8,#REF!&lt;= table!$D$8),-1,IF(AND(#REF!&gt;=table!$E$8,#REF!&lt;=table!$F$8),1,0))</f>
        <v>#REF!</v>
      </c>
      <c r="T2050" s="5"/>
      <c r="U2050" s="5" t="e">
        <f>IF(AND(#REF!&gt;=table!$C$10,#REF!&lt;= table!$D$10),-1,IF(AND(#REF!&gt;=table!$E$10,#REF!&lt;=table!$F$10),1,0))</f>
        <v>#REF!</v>
      </c>
      <c r="V2050" s="5" t="e">
        <f>IF(AND(#REF!&gt;=table!$C$11,#REF!&lt;= table!$D$11),-1,IF(AND(#REF!&gt;=table!$E$11,#REF!&lt;=table!$F$11),1,0))</f>
        <v>#REF!</v>
      </c>
      <c r="W2050" s="5" t="e">
        <f>CONCATENATE(dados[[#This Row],[fator1]],dados[[#This Row],[fator5]],dados[[#This Row],[fator6]])</f>
        <v>#REF!</v>
      </c>
    </row>
    <row r="2051" spans="1:23">
      <c r="A2051" t="s">
        <v>16</v>
      </c>
      <c r="B2051">
        <v>486762</v>
      </c>
      <c r="C2051">
        <v>0.15</v>
      </c>
      <c r="D2051">
        <v>40</v>
      </c>
      <c r="E2051">
        <v>10</v>
      </c>
      <c r="F2051">
        <v>15</v>
      </c>
      <c r="G2051">
        <v>0</v>
      </c>
      <c r="H2051">
        <v>15</v>
      </c>
      <c r="I2051">
        <v>1117</v>
      </c>
      <c r="J2051">
        <v>0</v>
      </c>
      <c r="K2051">
        <v>5.53</v>
      </c>
      <c r="L2051">
        <v>6.6154999999999999</v>
      </c>
      <c r="M2051">
        <v>6.2985000000000007</v>
      </c>
      <c r="N2051">
        <v>8.8550000000000004</v>
      </c>
      <c r="O2051">
        <v>1662</v>
      </c>
      <c r="P2051">
        <v>0</v>
      </c>
      <c r="Q2051" s="5" t="e">
        <f>IF(AND(#REF!&gt;=table!$C$6,#REF!&lt;= table!$D$6),-1,IF(AND(#REF!&gt;=table!$E$6,#REF!&lt;=table!$F$6),1,0))</f>
        <v>#REF!</v>
      </c>
      <c r="R2051" s="5" t="e">
        <f>IF(AND(#REF!&gt;=table!$C$7,#REF!&lt;= table!$D$7),-1,IF(AND(#REF!&gt;=table!$E$7,#REF!&lt;=table!$F$7),1,0))</f>
        <v>#REF!</v>
      </c>
      <c r="S2051" s="5" t="e">
        <f>IF(AND(#REF!&gt;=table!$C$8,#REF!&lt;= table!$D$8),-1,IF(AND(#REF!&gt;=table!$E$8,#REF!&lt;=table!$F$8),1,0))</f>
        <v>#REF!</v>
      </c>
      <c r="T2051" s="5"/>
      <c r="U2051" s="5" t="e">
        <f>IF(AND(#REF!&gt;=table!$C$10,#REF!&lt;= table!$D$10),-1,IF(AND(#REF!&gt;=table!$E$10,#REF!&lt;=table!$F$10),1,0))</f>
        <v>#REF!</v>
      </c>
      <c r="V2051" s="5" t="e">
        <f>IF(AND(#REF!&gt;=table!$C$11,#REF!&lt;= table!$D$11),-1,IF(AND(#REF!&gt;=table!$E$11,#REF!&lt;=table!$F$11),1,0))</f>
        <v>#REF!</v>
      </c>
      <c r="W2051" s="5" t="e">
        <f>CONCATENATE(dados[[#This Row],[fator1]],dados[[#This Row],[fator5]],dados[[#This Row],[fator6]])</f>
        <v>#REF!</v>
      </c>
    </row>
    <row r="2052" spans="1:23">
      <c r="A2052" t="s">
        <v>16</v>
      </c>
      <c r="B2052">
        <v>486764</v>
      </c>
      <c r="C2052">
        <v>9</v>
      </c>
      <c r="D2052">
        <v>40</v>
      </c>
      <c r="E2052">
        <v>46</v>
      </c>
      <c r="F2052">
        <v>15</v>
      </c>
      <c r="G2052">
        <v>0</v>
      </c>
      <c r="H2052">
        <v>25</v>
      </c>
      <c r="I2052">
        <v>1278</v>
      </c>
      <c r="J2052">
        <v>0</v>
      </c>
      <c r="K2052">
        <v>7.2415000000000003</v>
      </c>
      <c r="L2052">
        <v>13.214</v>
      </c>
      <c r="M2052">
        <v>38.9345</v>
      </c>
      <c r="N2052">
        <v>17.074999999999999</v>
      </c>
      <c r="O2052">
        <v>1670</v>
      </c>
      <c r="P2052">
        <v>456</v>
      </c>
      <c r="Q2052" s="5" t="e">
        <f>IF(AND(#REF!&gt;=table!$C$6,#REF!&lt;= table!$D$6),-1,IF(AND(#REF!&gt;=table!$E$6,#REF!&lt;=table!$F$6),1,0))</f>
        <v>#REF!</v>
      </c>
      <c r="R2052" s="5" t="e">
        <f>IF(AND(#REF!&gt;=table!$C$7,#REF!&lt;= table!$D$7),-1,IF(AND(#REF!&gt;=table!$E$7,#REF!&lt;=table!$F$7),1,0))</f>
        <v>#REF!</v>
      </c>
      <c r="S2052" s="5" t="e">
        <f>IF(AND(#REF!&gt;=table!$C$8,#REF!&lt;= table!$D$8),-1,IF(AND(#REF!&gt;=table!$E$8,#REF!&lt;=table!$F$8),1,0))</f>
        <v>#REF!</v>
      </c>
      <c r="T2052" s="5"/>
      <c r="U2052" s="5" t="e">
        <f>IF(AND(#REF!&gt;=table!$C$10,#REF!&lt;= table!$D$10),-1,IF(AND(#REF!&gt;=table!$E$10,#REF!&lt;=table!$F$10),1,0))</f>
        <v>#REF!</v>
      </c>
      <c r="V2052" s="5" t="e">
        <f>IF(AND(#REF!&gt;=table!$C$11,#REF!&lt;= table!$D$11),-1,IF(AND(#REF!&gt;=table!$E$11,#REF!&lt;=table!$F$11),1,0))</f>
        <v>#REF!</v>
      </c>
      <c r="W2052" s="5" t="e">
        <f>CONCATENATE(dados[[#This Row],[fator1]],dados[[#This Row],[fator5]],dados[[#This Row],[fator6]])</f>
        <v>#REF!</v>
      </c>
    </row>
    <row r="2053" spans="1:23">
      <c r="A2053" t="s">
        <v>16</v>
      </c>
      <c r="B2053">
        <v>486765</v>
      </c>
      <c r="C2053">
        <v>9</v>
      </c>
      <c r="D2053">
        <v>35</v>
      </c>
      <c r="E2053">
        <v>36</v>
      </c>
      <c r="F2053">
        <v>9</v>
      </c>
      <c r="G2053">
        <v>0</v>
      </c>
      <c r="H2053">
        <v>25</v>
      </c>
      <c r="I2053">
        <v>860</v>
      </c>
      <c r="J2053">
        <v>0</v>
      </c>
      <c r="K2053">
        <v>10.641500000000001</v>
      </c>
      <c r="L2053">
        <v>14.99</v>
      </c>
      <c r="M2053">
        <v>42.196000000000005</v>
      </c>
      <c r="N2053">
        <v>17.7</v>
      </c>
      <c r="O2053">
        <v>1694</v>
      </c>
      <c r="P2053">
        <v>0</v>
      </c>
      <c r="Q2053" s="5" t="e">
        <f>IF(AND(#REF!&gt;=table!$C$6,#REF!&lt;= table!$D$6),-1,IF(AND(#REF!&gt;=table!$E$6,#REF!&lt;=table!$F$6),1,0))</f>
        <v>#REF!</v>
      </c>
      <c r="R2053" s="5" t="e">
        <f>IF(AND(#REF!&gt;=table!$C$7,#REF!&lt;= table!$D$7),-1,IF(AND(#REF!&gt;=table!$E$7,#REF!&lt;=table!$F$7),1,0))</f>
        <v>#REF!</v>
      </c>
      <c r="S2053" s="5" t="e">
        <f>IF(AND(#REF!&gt;=table!$C$8,#REF!&lt;= table!$D$8),-1,IF(AND(#REF!&gt;=table!$E$8,#REF!&lt;=table!$F$8),1,0))</f>
        <v>#REF!</v>
      </c>
      <c r="T2053" s="5"/>
      <c r="U2053" s="5" t="e">
        <f>IF(AND(#REF!&gt;=table!$C$10,#REF!&lt;= table!$D$10),-1,IF(AND(#REF!&gt;=table!$E$10,#REF!&lt;=table!$F$10),1,0))</f>
        <v>#REF!</v>
      </c>
      <c r="V2053" s="5" t="e">
        <f>IF(AND(#REF!&gt;=table!$C$11,#REF!&lt;= table!$D$11),-1,IF(AND(#REF!&gt;=table!$E$11,#REF!&lt;=table!$F$11),1,0))</f>
        <v>#REF!</v>
      </c>
      <c r="W2053" s="5" t="e">
        <f>CONCATENATE(dados[[#This Row],[fator1]],dados[[#This Row],[fator5]],dados[[#This Row],[fator6]])</f>
        <v>#REF!</v>
      </c>
    </row>
    <row r="2054" spans="1:23">
      <c r="A2054" t="s">
        <v>16</v>
      </c>
      <c r="B2054">
        <v>486768</v>
      </c>
      <c r="C2054">
        <v>4</v>
      </c>
      <c r="D2054">
        <v>30</v>
      </c>
      <c r="E2054">
        <v>21</v>
      </c>
      <c r="F2054">
        <v>15</v>
      </c>
      <c r="G2054">
        <v>0</v>
      </c>
      <c r="H2054">
        <v>15</v>
      </c>
      <c r="I2054">
        <v>28</v>
      </c>
      <c r="J2054">
        <v>1120</v>
      </c>
      <c r="K2054">
        <v>6.0840000000000005</v>
      </c>
      <c r="L2054">
        <v>9.6304999999999996</v>
      </c>
      <c r="M2054">
        <v>5.1915000000000004</v>
      </c>
      <c r="N2054">
        <v>7.625</v>
      </c>
      <c r="O2054">
        <v>1621</v>
      </c>
      <c r="P2054">
        <v>333</v>
      </c>
      <c r="Q2054" s="5" t="e">
        <f>IF(AND(#REF!&gt;=table!$C$6,#REF!&lt;= table!$D$6),-1,IF(AND(#REF!&gt;=table!$E$6,#REF!&lt;=table!$F$6),1,0))</f>
        <v>#REF!</v>
      </c>
      <c r="R2054" s="5" t="e">
        <f>IF(AND(#REF!&gt;=table!$C$7,#REF!&lt;= table!$D$7),-1,IF(AND(#REF!&gt;=table!$E$7,#REF!&lt;=table!$F$7),1,0))</f>
        <v>#REF!</v>
      </c>
      <c r="S2054" s="5" t="e">
        <f>IF(AND(#REF!&gt;=table!$C$8,#REF!&lt;= table!$D$8),-1,IF(AND(#REF!&gt;=table!$E$8,#REF!&lt;=table!$F$8),1,0))</f>
        <v>#REF!</v>
      </c>
      <c r="T2054" s="5"/>
      <c r="U2054" s="5" t="e">
        <f>IF(AND(#REF!&gt;=table!$C$10,#REF!&lt;= table!$D$10),-1,IF(AND(#REF!&gt;=table!$E$10,#REF!&lt;=table!$F$10),1,0))</f>
        <v>#REF!</v>
      </c>
      <c r="V2054" s="5" t="e">
        <f>IF(AND(#REF!&gt;=table!$C$11,#REF!&lt;= table!$D$11),-1,IF(AND(#REF!&gt;=table!$E$11,#REF!&lt;=table!$F$11),1,0))</f>
        <v>#REF!</v>
      </c>
      <c r="W2054" s="5" t="e">
        <f>CONCATENATE(dados[[#This Row],[fator1]],dados[[#This Row],[fator5]],dados[[#This Row],[fator6]])</f>
        <v>#REF!</v>
      </c>
    </row>
    <row r="2055" spans="1:23">
      <c r="A2055" t="s">
        <v>16</v>
      </c>
      <c r="B2055">
        <v>486771</v>
      </c>
      <c r="C2055">
        <v>3</v>
      </c>
      <c r="D2055">
        <v>30</v>
      </c>
      <c r="E2055">
        <v>21</v>
      </c>
      <c r="F2055">
        <v>15</v>
      </c>
      <c r="G2055">
        <v>0</v>
      </c>
      <c r="H2055">
        <v>25</v>
      </c>
      <c r="I2055">
        <v>8</v>
      </c>
      <c r="J2055">
        <v>0</v>
      </c>
      <c r="K2055">
        <v>4.4540000000000006</v>
      </c>
      <c r="L2055">
        <v>8.3339999999999996</v>
      </c>
      <c r="M2055">
        <v>20.451499999999999</v>
      </c>
      <c r="N2055">
        <v>12.905000000000001</v>
      </c>
      <c r="O2055">
        <v>1673</v>
      </c>
      <c r="P2055">
        <v>857</v>
      </c>
      <c r="Q2055" s="5" t="e">
        <f>IF(AND(#REF!&gt;=table!$C$6,#REF!&lt;= table!$D$6),-1,IF(AND(#REF!&gt;=table!$E$6,#REF!&lt;=table!$F$6),1,0))</f>
        <v>#REF!</v>
      </c>
      <c r="R2055" s="5" t="e">
        <f>IF(AND(#REF!&gt;=table!$C$7,#REF!&lt;= table!$D$7),-1,IF(AND(#REF!&gt;=table!$E$7,#REF!&lt;=table!$F$7),1,0))</f>
        <v>#REF!</v>
      </c>
      <c r="S2055" s="5" t="e">
        <f>IF(AND(#REF!&gt;=table!$C$8,#REF!&lt;= table!$D$8),-1,IF(AND(#REF!&gt;=table!$E$8,#REF!&lt;=table!$F$8),1,0))</f>
        <v>#REF!</v>
      </c>
      <c r="T2055" s="5"/>
      <c r="U2055" s="5" t="e">
        <f>IF(AND(#REF!&gt;=table!$C$10,#REF!&lt;= table!$D$10),-1,IF(AND(#REF!&gt;=table!$E$10,#REF!&lt;=table!$F$10),1,0))</f>
        <v>#REF!</v>
      </c>
      <c r="V2055" s="5" t="e">
        <f>IF(AND(#REF!&gt;=table!$C$11,#REF!&lt;= table!$D$11),-1,IF(AND(#REF!&gt;=table!$E$11,#REF!&lt;=table!$F$11),1,0))</f>
        <v>#REF!</v>
      </c>
      <c r="W2055" s="5" t="e">
        <f>CONCATENATE(dados[[#This Row],[fator1]],dados[[#This Row],[fator5]],dados[[#This Row],[fator6]])</f>
        <v>#REF!</v>
      </c>
    </row>
    <row r="2056" spans="1:23">
      <c r="A2056" t="s">
        <v>16</v>
      </c>
      <c r="B2056">
        <v>486777</v>
      </c>
      <c r="C2056">
        <v>8</v>
      </c>
      <c r="D2056">
        <v>30</v>
      </c>
      <c r="E2056">
        <v>61</v>
      </c>
      <c r="F2056">
        <v>9</v>
      </c>
      <c r="G2056">
        <v>0</v>
      </c>
      <c r="H2056">
        <v>25</v>
      </c>
      <c r="I2056">
        <v>0</v>
      </c>
      <c r="J2056">
        <v>0</v>
      </c>
      <c r="K2056">
        <v>7.0805000000000007</v>
      </c>
      <c r="L2056">
        <v>13.5525</v>
      </c>
      <c r="M2056">
        <v>62.844000000000001</v>
      </c>
      <c r="N2056">
        <v>22.650000000000002</v>
      </c>
      <c r="O2056">
        <v>1638</v>
      </c>
      <c r="P2056">
        <v>427</v>
      </c>
      <c r="Q2056" s="5" t="e">
        <f>IF(AND(#REF!&gt;=table!$C$6,#REF!&lt;= table!$D$6),-1,IF(AND(#REF!&gt;=table!$E$6,#REF!&lt;=table!$F$6),1,0))</f>
        <v>#REF!</v>
      </c>
      <c r="R2056" s="5" t="e">
        <f>IF(AND(#REF!&gt;=table!$C$7,#REF!&lt;= table!$D$7),-1,IF(AND(#REF!&gt;=table!$E$7,#REF!&lt;=table!$F$7),1,0))</f>
        <v>#REF!</v>
      </c>
      <c r="S2056" s="5" t="e">
        <f>IF(AND(#REF!&gt;=table!$C$8,#REF!&lt;= table!$D$8),-1,IF(AND(#REF!&gt;=table!$E$8,#REF!&lt;=table!$F$8),1,0))</f>
        <v>#REF!</v>
      </c>
      <c r="T2056" s="5"/>
      <c r="U2056" s="5" t="e">
        <f>IF(AND(#REF!&gt;=table!$C$10,#REF!&lt;= table!$D$10),-1,IF(AND(#REF!&gt;=table!$E$10,#REF!&lt;=table!$F$10),1,0))</f>
        <v>#REF!</v>
      </c>
      <c r="V2056" s="5" t="e">
        <f>IF(AND(#REF!&gt;=table!$C$11,#REF!&lt;= table!$D$11),-1,IF(AND(#REF!&gt;=table!$E$11,#REF!&lt;=table!$F$11),1,0))</f>
        <v>#REF!</v>
      </c>
      <c r="W2056" s="5" t="e">
        <f>CONCATENATE(dados[[#This Row],[fator1]],dados[[#This Row],[fator5]],dados[[#This Row],[fator6]])</f>
        <v>#REF!</v>
      </c>
    </row>
    <row r="2057" spans="1:23">
      <c r="A2057" t="s">
        <v>16</v>
      </c>
      <c r="B2057">
        <v>486778</v>
      </c>
      <c r="C2057">
        <v>6</v>
      </c>
      <c r="D2057">
        <v>40</v>
      </c>
      <c r="E2057">
        <v>66</v>
      </c>
      <c r="F2057">
        <v>10</v>
      </c>
      <c r="G2057">
        <v>0</v>
      </c>
      <c r="H2057">
        <v>25</v>
      </c>
      <c r="I2057">
        <v>847</v>
      </c>
      <c r="J2057">
        <v>0</v>
      </c>
      <c r="K2057">
        <v>4.8460000000000001</v>
      </c>
      <c r="L2057">
        <v>8.5185000000000013</v>
      </c>
      <c r="M2057">
        <v>44.634500000000003</v>
      </c>
      <c r="N2057">
        <v>14.92</v>
      </c>
      <c r="O2057">
        <v>1660</v>
      </c>
      <c r="P2057">
        <v>653</v>
      </c>
      <c r="Q2057" s="5" t="e">
        <f>IF(AND(#REF!&gt;=table!$C$6,#REF!&lt;= table!$D$6),-1,IF(AND(#REF!&gt;=table!$E$6,#REF!&lt;=table!$F$6),1,0))</f>
        <v>#REF!</v>
      </c>
      <c r="R2057" s="5" t="e">
        <f>IF(AND(#REF!&gt;=table!$C$7,#REF!&lt;= table!$D$7),-1,IF(AND(#REF!&gt;=table!$E$7,#REF!&lt;=table!$F$7),1,0))</f>
        <v>#REF!</v>
      </c>
      <c r="S2057" s="5" t="e">
        <f>IF(AND(#REF!&gt;=table!$C$8,#REF!&lt;= table!$D$8),-1,IF(AND(#REF!&gt;=table!$E$8,#REF!&lt;=table!$F$8),1,0))</f>
        <v>#REF!</v>
      </c>
      <c r="T2057" s="5"/>
      <c r="U2057" s="5" t="e">
        <f>IF(AND(#REF!&gt;=table!$C$10,#REF!&lt;= table!$D$10),-1,IF(AND(#REF!&gt;=table!$E$10,#REF!&lt;=table!$F$10),1,0))</f>
        <v>#REF!</v>
      </c>
      <c r="V2057" s="5" t="e">
        <f>IF(AND(#REF!&gt;=table!$C$11,#REF!&lt;= table!$D$11),-1,IF(AND(#REF!&gt;=table!$E$11,#REF!&lt;=table!$F$11),1,0))</f>
        <v>#REF!</v>
      </c>
      <c r="W2057" s="5" t="e">
        <f>CONCATENATE(dados[[#This Row],[fator1]],dados[[#This Row],[fator5]],dados[[#This Row],[fator6]])</f>
        <v>#REF!</v>
      </c>
    </row>
    <row r="2058" spans="1:23">
      <c r="A2058" t="s">
        <v>17</v>
      </c>
      <c r="B2058">
        <v>486783</v>
      </c>
      <c r="C2058">
        <v>18</v>
      </c>
      <c r="D2058">
        <v>23</v>
      </c>
      <c r="E2058">
        <v>145</v>
      </c>
      <c r="F2058">
        <v>9</v>
      </c>
      <c r="G2058">
        <v>30</v>
      </c>
      <c r="H2058">
        <v>25</v>
      </c>
      <c r="I2058">
        <v>10</v>
      </c>
      <c r="J2058">
        <v>0</v>
      </c>
      <c r="K2058">
        <v>2.8454999999999999</v>
      </c>
      <c r="L2058">
        <v>8.1735000000000007</v>
      </c>
      <c r="M2058">
        <v>62.150500000000001</v>
      </c>
      <c r="N2058">
        <v>15.345000000000001</v>
      </c>
      <c r="O2058">
        <v>1692</v>
      </c>
      <c r="P2058">
        <v>0</v>
      </c>
      <c r="Q2058" s="5" t="e">
        <f>IF(AND(#REF!&gt;=table!$C$6,#REF!&lt;= table!$D$6),-1,IF(AND(#REF!&gt;=table!$E$6,#REF!&lt;=table!$F$6),1,0))</f>
        <v>#REF!</v>
      </c>
      <c r="R2058" s="5" t="e">
        <f>IF(AND(#REF!&gt;=table!$C$7,#REF!&lt;= table!$D$7),-1,IF(AND(#REF!&gt;=table!$E$7,#REF!&lt;=table!$F$7),1,0))</f>
        <v>#REF!</v>
      </c>
      <c r="S2058" s="5" t="e">
        <f>IF(AND(#REF!&gt;=table!$C$8,#REF!&lt;= table!$D$8),-1,IF(AND(#REF!&gt;=table!$E$8,#REF!&lt;=table!$F$8),1,0))</f>
        <v>#REF!</v>
      </c>
      <c r="T2058" s="5"/>
      <c r="U2058" s="5" t="e">
        <f>IF(AND(#REF!&gt;=table!$C$10,#REF!&lt;= table!$D$10),-1,IF(AND(#REF!&gt;=table!$E$10,#REF!&lt;=table!$F$10),1,0))</f>
        <v>#REF!</v>
      </c>
      <c r="V2058" s="5" t="e">
        <f>IF(AND(#REF!&gt;=table!$C$11,#REF!&lt;= table!$D$11),-1,IF(AND(#REF!&gt;=table!$E$11,#REF!&lt;=table!$F$11),1,0))</f>
        <v>#REF!</v>
      </c>
      <c r="W2058" s="5" t="e">
        <f>CONCATENATE(dados[[#This Row],[fator1]],dados[[#This Row],[fator5]],dados[[#This Row],[fator6]])</f>
        <v>#REF!</v>
      </c>
    </row>
    <row r="2059" spans="1:23">
      <c r="A2059" t="s">
        <v>17</v>
      </c>
      <c r="B2059">
        <v>486784</v>
      </c>
      <c r="C2059">
        <v>18</v>
      </c>
      <c r="D2059">
        <v>23</v>
      </c>
      <c r="E2059">
        <v>145</v>
      </c>
      <c r="F2059">
        <v>9</v>
      </c>
      <c r="G2059">
        <v>30</v>
      </c>
      <c r="H2059">
        <v>25</v>
      </c>
      <c r="I2059">
        <v>331</v>
      </c>
      <c r="J2059">
        <v>1030</v>
      </c>
      <c r="K2059">
        <v>3.214</v>
      </c>
      <c r="L2059">
        <v>11.059000000000001</v>
      </c>
      <c r="M2059">
        <v>50.857500000000002</v>
      </c>
      <c r="N2059">
        <v>20.515000000000001</v>
      </c>
      <c r="O2059">
        <v>1698</v>
      </c>
      <c r="P2059">
        <v>0</v>
      </c>
      <c r="Q2059" s="5" t="e">
        <f>IF(AND(#REF!&gt;=table!$C$6,#REF!&lt;= table!$D$6),-1,IF(AND(#REF!&gt;=table!$E$6,#REF!&lt;=table!$F$6),1,0))</f>
        <v>#REF!</v>
      </c>
      <c r="R2059" s="5" t="e">
        <f>IF(AND(#REF!&gt;=table!$C$7,#REF!&lt;= table!$D$7),-1,IF(AND(#REF!&gt;=table!$E$7,#REF!&lt;=table!$F$7),1,0))</f>
        <v>#REF!</v>
      </c>
      <c r="S2059" s="5" t="e">
        <f>IF(AND(#REF!&gt;=table!$C$8,#REF!&lt;= table!$D$8),-1,IF(AND(#REF!&gt;=table!$E$8,#REF!&lt;=table!$F$8),1,0))</f>
        <v>#REF!</v>
      </c>
      <c r="T2059" s="5"/>
      <c r="U2059" s="5" t="e">
        <f>IF(AND(#REF!&gt;=table!$C$10,#REF!&lt;= table!$D$10),-1,IF(AND(#REF!&gt;=table!$E$10,#REF!&lt;=table!$F$10),1,0))</f>
        <v>#REF!</v>
      </c>
      <c r="V2059" s="5" t="e">
        <f>IF(AND(#REF!&gt;=table!$C$11,#REF!&lt;= table!$D$11),-1,IF(AND(#REF!&gt;=table!$E$11,#REF!&lt;=table!$F$11),1,0))</f>
        <v>#REF!</v>
      </c>
      <c r="W2059" s="5" t="e">
        <f>CONCATENATE(dados[[#This Row],[fator1]],dados[[#This Row],[fator5]],dados[[#This Row],[fator6]])</f>
        <v>#REF!</v>
      </c>
    </row>
    <row r="2060" spans="1:23">
      <c r="A2060" t="s">
        <v>16</v>
      </c>
      <c r="B2060">
        <v>486786</v>
      </c>
      <c r="C2060">
        <v>3</v>
      </c>
      <c r="D2060">
        <v>30</v>
      </c>
      <c r="E2060">
        <v>21</v>
      </c>
      <c r="F2060">
        <v>15</v>
      </c>
      <c r="G2060">
        <v>0</v>
      </c>
      <c r="H2060">
        <v>25</v>
      </c>
      <c r="I2060">
        <v>652</v>
      </c>
      <c r="J2060">
        <v>0</v>
      </c>
      <c r="K2060">
        <v>3.6645000000000003</v>
      </c>
      <c r="L2060">
        <v>11.6495</v>
      </c>
      <c r="M2060">
        <v>10.563500000000001</v>
      </c>
      <c r="N2060">
        <v>14.115</v>
      </c>
      <c r="O2060">
        <v>1673</v>
      </c>
      <c r="P2060">
        <v>993</v>
      </c>
      <c r="Q2060" s="5" t="e">
        <f>IF(AND(#REF!&gt;=table!$C$6,#REF!&lt;= table!$D$6),-1,IF(AND(#REF!&gt;=table!$E$6,#REF!&lt;=table!$F$6),1,0))</f>
        <v>#REF!</v>
      </c>
      <c r="R2060" s="5" t="e">
        <f>IF(AND(#REF!&gt;=table!$C$7,#REF!&lt;= table!$D$7),-1,IF(AND(#REF!&gt;=table!$E$7,#REF!&lt;=table!$F$7),1,0))</f>
        <v>#REF!</v>
      </c>
      <c r="S2060" s="5" t="e">
        <f>IF(AND(#REF!&gt;=table!$C$8,#REF!&lt;= table!$D$8),-1,IF(AND(#REF!&gt;=table!$E$8,#REF!&lt;=table!$F$8),1,0))</f>
        <v>#REF!</v>
      </c>
      <c r="T2060" s="5"/>
      <c r="U2060" s="5" t="e">
        <f>IF(AND(#REF!&gt;=table!$C$10,#REF!&lt;= table!$D$10),-1,IF(AND(#REF!&gt;=table!$E$10,#REF!&lt;=table!$F$10),1,0))</f>
        <v>#REF!</v>
      </c>
      <c r="V2060" s="5" t="e">
        <f>IF(AND(#REF!&gt;=table!$C$11,#REF!&lt;= table!$D$11),-1,IF(AND(#REF!&gt;=table!$E$11,#REF!&lt;=table!$F$11),1,0))</f>
        <v>#REF!</v>
      </c>
      <c r="W2060" s="5" t="e">
        <f>CONCATENATE(dados[[#This Row],[fator1]],dados[[#This Row],[fator5]],dados[[#This Row],[fator6]])</f>
        <v>#REF!</v>
      </c>
    </row>
    <row r="2061" spans="1:23">
      <c r="A2061" t="s">
        <v>16</v>
      </c>
      <c r="B2061">
        <v>486788</v>
      </c>
      <c r="C2061">
        <v>3</v>
      </c>
      <c r="D2061">
        <v>30</v>
      </c>
      <c r="E2061">
        <v>21</v>
      </c>
      <c r="F2061">
        <v>15</v>
      </c>
      <c r="G2061">
        <v>0</v>
      </c>
      <c r="H2061">
        <v>25</v>
      </c>
      <c r="I2061">
        <v>163</v>
      </c>
      <c r="J2061">
        <v>0</v>
      </c>
      <c r="K2061">
        <v>5.0710000000000006</v>
      </c>
      <c r="L2061">
        <v>10.092000000000001</v>
      </c>
      <c r="M2061">
        <v>9.57</v>
      </c>
      <c r="N2061">
        <v>11.265000000000001</v>
      </c>
      <c r="O2061">
        <v>1673</v>
      </c>
      <c r="P2061">
        <v>797</v>
      </c>
      <c r="Q2061" s="5" t="e">
        <f>IF(AND(#REF!&gt;=table!$C$6,#REF!&lt;= table!$D$6),-1,IF(AND(#REF!&gt;=table!$E$6,#REF!&lt;=table!$F$6),1,0))</f>
        <v>#REF!</v>
      </c>
      <c r="R2061" s="5" t="e">
        <f>IF(AND(#REF!&gt;=table!$C$7,#REF!&lt;= table!$D$7),-1,IF(AND(#REF!&gt;=table!$E$7,#REF!&lt;=table!$F$7),1,0))</f>
        <v>#REF!</v>
      </c>
      <c r="S2061" s="5" t="e">
        <f>IF(AND(#REF!&gt;=table!$C$8,#REF!&lt;= table!$D$8),-1,IF(AND(#REF!&gt;=table!$E$8,#REF!&lt;=table!$F$8),1,0))</f>
        <v>#REF!</v>
      </c>
      <c r="T2061" s="5"/>
      <c r="U2061" s="5" t="e">
        <f>IF(AND(#REF!&gt;=table!$C$10,#REF!&lt;= table!$D$10),-1,IF(AND(#REF!&gt;=table!$E$10,#REF!&lt;=table!$F$10),1,0))</f>
        <v>#REF!</v>
      </c>
      <c r="V2061" s="5" t="e">
        <f>IF(AND(#REF!&gt;=table!$C$11,#REF!&lt;= table!$D$11),-1,IF(AND(#REF!&gt;=table!$E$11,#REF!&lt;=table!$F$11),1,0))</f>
        <v>#REF!</v>
      </c>
      <c r="W2061" s="5" t="e">
        <f>CONCATENATE(dados[[#This Row],[fator1]],dados[[#This Row],[fator5]],dados[[#This Row],[fator6]])</f>
        <v>#REF!</v>
      </c>
    </row>
    <row r="2062" spans="1:23">
      <c r="A2062" t="s">
        <v>16</v>
      </c>
      <c r="B2062">
        <v>486789</v>
      </c>
      <c r="C2062">
        <v>4</v>
      </c>
      <c r="D2062">
        <v>40</v>
      </c>
      <c r="E2062">
        <v>21</v>
      </c>
      <c r="F2062">
        <v>10</v>
      </c>
      <c r="G2062">
        <v>0</v>
      </c>
      <c r="H2062">
        <v>25</v>
      </c>
      <c r="I2062">
        <v>632</v>
      </c>
      <c r="J2062">
        <v>0</v>
      </c>
      <c r="K2062">
        <v>3.7725</v>
      </c>
      <c r="L2062">
        <v>10.988000000000001</v>
      </c>
      <c r="M2062">
        <v>9.3970000000000002</v>
      </c>
      <c r="N2062">
        <v>12.65</v>
      </c>
      <c r="O2062">
        <v>1674</v>
      </c>
      <c r="P2062">
        <v>1039</v>
      </c>
      <c r="Q2062" s="5" t="e">
        <f>IF(AND(#REF!&gt;=table!$C$6,#REF!&lt;= table!$D$6),-1,IF(AND(#REF!&gt;=table!$E$6,#REF!&lt;=table!$F$6),1,0))</f>
        <v>#REF!</v>
      </c>
      <c r="R2062" s="5" t="e">
        <f>IF(AND(#REF!&gt;=table!$C$7,#REF!&lt;= table!$D$7),-1,IF(AND(#REF!&gt;=table!$E$7,#REF!&lt;=table!$F$7),1,0))</f>
        <v>#REF!</v>
      </c>
      <c r="S2062" s="5" t="e">
        <f>IF(AND(#REF!&gt;=table!$C$8,#REF!&lt;= table!$D$8),-1,IF(AND(#REF!&gt;=table!$E$8,#REF!&lt;=table!$F$8),1,0))</f>
        <v>#REF!</v>
      </c>
      <c r="T2062" s="5"/>
      <c r="U2062" s="5" t="e">
        <f>IF(AND(#REF!&gt;=table!$C$10,#REF!&lt;= table!$D$10),-1,IF(AND(#REF!&gt;=table!$E$10,#REF!&lt;=table!$F$10),1,0))</f>
        <v>#REF!</v>
      </c>
      <c r="V2062" s="5" t="e">
        <f>IF(AND(#REF!&gt;=table!$C$11,#REF!&lt;= table!$D$11),-1,IF(AND(#REF!&gt;=table!$E$11,#REF!&lt;=table!$F$11),1,0))</f>
        <v>#REF!</v>
      </c>
      <c r="W2062" s="5" t="e">
        <f>CONCATENATE(dados[[#This Row],[fator1]],dados[[#This Row],[fator5]],dados[[#This Row],[fator6]])</f>
        <v>#REF!</v>
      </c>
    </row>
    <row r="2063" spans="1:23">
      <c r="A2063" t="s">
        <v>18</v>
      </c>
      <c r="B2063">
        <v>486790</v>
      </c>
      <c r="C2063">
        <v>3</v>
      </c>
      <c r="D2063">
        <v>5</v>
      </c>
      <c r="E2063">
        <v>26</v>
      </c>
      <c r="F2063">
        <v>15</v>
      </c>
      <c r="G2063">
        <v>42</v>
      </c>
      <c r="H2063">
        <v>30</v>
      </c>
      <c r="I2063">
        <v>0</v>
      </c>
      <c r="J2063">
        <v>0</v>
      </c>
      <c r="K2063">
        <v>4.2774999999999999</v>
      </c>
      <c r="L2063">
        <v>9.0400000000000009</v>
      </c>
      <c r="M2063">
        <v>14.989000000000001</v>
      </c>
      <c r="N2063">
        <v>13.925000000000001</v>
      </c>
      <c r="O2063">
        <v>1660</v>
      </c>
      <c r="P2063">
        <v>983</v>
      </c>
      <c r="Q2063" s="5" t="e">
        <f>IF(AND(#REF!&gt;=table!$C$6,#REF!&lt;= table!$D$6),-1,IF(AND(#REF!&gt;=table!$E$6,#REF!&lt;=table!$F$6),1,0))</f>
        <v>#REF!</v>
      </c>
      <c r="R2063" s="5" t="e">
        <f>IF(AND(#REF!&gt;=table!$C$7,#REF!&lt;= table!$D$7),-1,IF(AND(#REF!&gt;=table!$E$7,#REF!&lt;=table!$F$7),1,0))</f>
        <v>#REF!</v>
      </c>
      <c r="S2063" s="5" t="e">
        <f>IF(AND(#REF!&gt;=table!$C$8,#REF!&lt;= table!$D$8),-1,IF(AND(#REF!&gt;=table!$E$8,#REF!&lt;=table!$F$8),1,0))</f>
        <v>#REF!</v>
      </c>
      <c r="T2063" s="5"/>
      <c r="U2063" s="5" t="e">
        <f>IF(AND(#REF!&gt;=table!$C$10,#REF!&lt;= table!$D$10),-1,IF(AND(#REF!&gt;=table!$E$10,#REF!&lt;=table!$F$10),1,0))</f>
        <v>#REF!</v>
      </c>
      <c r="V2063" s="5" t="e">
        <f>IF(AND(#REF!&gt;=table!$C$11,#REF!&lt;= table!$D$11),-1,IF(AND(#REF!&gt;=table!$E$11,#REF!&lt;=table!$F$11),1,0))</f>
        <v>#REF!</v>
      </c>
      <c r="W2063" s="5" t="e">
        <f>CONCATENATE(dados[[#This Row],[fator1]],dados[[#This Row],[fator5]],dados[[#This Row],[fator6]])</f>
        <v>#REF!</v>
      </c>
    </row>
    <row r="2064" spans="1:23">
      <c r="A2064" t="s">
        <v>18</v>
      </c>
      <c r="B2064">
        <v>486791</v>
      </c>
      <c r="C2064">
        <v>3</v>
      </c>
      <c r="D2064">
        <v>5</v>
      </c>
      <c r="E2064">
        <v>26</v>
      </c>
      <c r="F2064">
        <v>15</v>
      </c>
      <c r="G2064">
        <v>42</v>
      </c>
      <c r="H2064">
        <v>30</v>
      </c>
      <c r="I2064">
        <v>1237</v>
      </c>
      <c r="J2064">
        <v>0</v>
      </c>
      <c r="K2064">
        <v>3.766</v>
      </c>
      <c r="L2064">
        <v>7.851</v>
      </c>
      <c r="M2064">
        <v>15.535500000000001</v>
      </c>
      <c r="N2064">
        <v>13.620000000000001</v>
      </c>
      <c r="O2064">
        <v>1652</v>
      </c>
      <c r="P2064">
        <v>1132</v>
      </c>
      <c r="Q2064" s="5" t="e">
        <f>IF(AND(#REF!&gt;=table!$C$6,#REF!&lt;= table!$D$6),-1,IF(AND(#REF!&gt;=table!$E$6,#REF!&lt;=table!$F$6),1,0))</f>
        <v>#REF!</v>
      </c>
      <c r="R2064" s="5" t="e">
        <f>IF(AND(#REF!&gt;=table!$C$7,#REF!&lt;= table!$D$7),-1,IF(AND(#REF!&gt;=table!$E$7,#REF!&lt;=table!$F$7),1,0))</f>
        <v>#REF!</v>
      </c>
      <c r="S2064" s="5" t="e">
        <f>IF(AND(#REF!&gt;=table!$C$8,#REF!&lt;= table!$D$8),-1,IF(AND(#REF!&gt;=table!$E$8,#REF!&lt;=table!$F$8),1,0))</f>
        <v>#REF!</v>
      </c>
      <c r="T2064" s="5"/>
      <c r="U2064" s="5" t="e">
        <f>IF(AND(#REF!&gt;=table!$C$10,#REF!&lt;= table!$D$10),-1,IF(AND(#REF!&gt;=table!$E$10,#REF!&lt;=table!$F$10),1,0))</f>
        <v>#REF!</v>
      </c>
      <c r="V2064" s="5" t="e">
        <f>IF(AND(#REF!&gt;=table!$C$11,#REF!&lt;= table!$D$11),-1,IF(AND(#REF!&gt;=table!$E$11,#REF!&lt;=table!$F$11),1,0))</f>
        <v>#REF!</v>
      </c>
      <c r="W2064" s="5" t="e">
        <f>CONCATENATE(dados[[#This Row],[fator1]],dados[[#This Row],[fator5]],dados[[#This Row],[fator6]])</f>
        <v>#REF!</v>
      </c>
    </row>
    <row r="2065" spans="1:23">
      <c r="A2065" t="s">
        <v>18</v>
      </c>
      <c r="B2065">
        <v>486792</v>
      </c>
      <c r="C2065">
        <v>3</v>
      </c>
      <c r="D2065">
        <v>5</v>
      </c>
      <c r="E2065">
        <v>26</v>
      </c>
      <c r="F2065">
        <v>15</v>
      </c>
      <c r="G2065">
        <v>42</v>
      </c>
      <c r="H2065">
        <v>30</v>
      </c>
      <c r="I2065">
        <v>1</v>
      </c>
      <c r="J2065">
        <v>0</v>
      </c>
      <c r="K2065">
        <v>3.9530000000000003</v>
      </c>
      <c r="L2065">
        <v>12.8825</v>
      </c>
      <c r="M2065">
        <v>23.287000000000003</v>
      </c>
      <c r="N2065">
        <v>21.665000000000003</v>
      </c>
      <c r="O2065">
        <v>1668</v>
      </c>
      <c r="P2065">
        <v>1030</v>
      </c>
      <c r="Q2065" s="5" t="e">
        <f>IF(AND(#REF!&gt;=table!$C$6,#REF!&lt;= table!$D$6),-1,IF(AND(#REF!&gt;=table!$E$6,#REF!&lt;=table!$F$6),1,0))</f>
        <v>#REF!</v>
      </c>
      <c r="R2065" s="5" t="e">
        <f>IF(AND(#REF!&gt;=table!$C$7,#REF!&lt;= table!$D$7),-1,IF(AND(#REF!&gt;=table!$E$7,#REF!&lt;=table!$F$7),1,0))</f>
        <v>#REF!</v>
      </c>
      <c r="S2065" s="5" t="e">
        <f>IF(AND(#REF!&gt;=table!$C$8,#REF!&lt;= table!$D$8),-1,IF(AND(#REF!&gt;=table!$E$8,#REF!&lt;=table!$F$8),1,0))</f>
        <v>#REF!</v>
      </c>
      <c r="T2065" s="5"/>
      <c r="U2065" s="5" t="e">
        <f>IF(AND(#REF!&gt;=table!$C$10,#REF!&lt;= table!$D$10),-1,IF(AND(#REF!&gt;=table!$E$10,#REF!&lt;=table!$F$10),1,0))</f>
        <v>#REF!</v>
      </c>
      <c r="V2065" s="5" t="e">
        <f>IF(AND(#REF!&gt;=table!$C$11,#REF!&lt;= table!$D$11),-1,IF(AND(#REF!&gt;=table!$E$11,#REF!&lt;=table!$F$11),1,0))</f>
        <v>#REF!</v>
      </c>
      <c r="W2065" s="5" t="e">
        <f>CONCATENATE(dados[[#This Row],[fator1]],dados[[#This Row],[fator5]],dados[[#This Row],[fator6]])</f>
        <v>#REF!</v>
      </c>
    </row>
    <row r="2066" spans="1:23">
      <c r="A2066" t="s">
        <v>18</v>
      </c>
      <c r="B2066">
        <v>486793</v>
      </c>
      <c r="C2066">
        <v>3</v>
      </c>
      <c r="D2066">
        <v>5</v>
      </c>
      <c r="E2066">
        <v>26</v>
      </c>
      <c r="F2066">
        <v>15</v>
      </c>
      <c r="G2066">
        <v>42</v>
      </c>
      <c r="H2066">
        <v>30</v>
      </c>
      <c r="I2066">
        <v>2</v>
      </c>
      <c r="J2066">
        <v>420</v>
      </c>
      <c r="K2066">
        <v>7.1185</v>
      </c>
      <c r="L2066">
        <v>16.8475</v>
      </c>
      <c r="M2066">
        <v>22.84</v>
      </c>
      <c r="N2066">
        <v>17.635000000000002</v>
      </c>
      <c r="O2066">
        <v>1656</v>
      </c>
      <c r="P2066">
        <v>690</v>
      </c>
      <c r="Q2066" s="5" t="e">
        <f>IF(AND(#REF!&gt;=table!$C$6,#REF!&lt;= table!$D$6),-1,IF(AND(#REF!&gt;=table!$E$6,#REF!&lt;=table!$F$6),1,0))</f>
        <v>#REF!</v>
      </c>
      <c r="R2066" s="5" t="e">
        <f>IF(AND(#REF!&gt;=table!$C$7,#REF!&lt;= table!$D$7),-1,IF(AND(#REF!&gt;=table!$E$7,#REF!&lt;=table!$F$7),1,0))</f>
        <v>#REF!</v>
      </c>
      <c r="S2066" s="5" t="e">
        <f>IF(AND(#REF!&gt;=table!$C$8,#REF!&lt;= table!$D$8),-1,IF(AND(#REF!&gt;=table!$E$8,#REF!&lt;=table!$F$8),1,0))</f>
        <v>#REF!</v>
      </c>
      <c r="T2066" s="5"/>
      <c r="U2066" s="5" t="e">
        <f>IF(AND(#REF!&gt;=table!$C$10,#REF!&lt;= table!$D$10),-1,IF(AND(#REF!&gt;=table!$E$10,#REF!&lt;=table!$F$10),1,0))</f>
        <v>#REF!</v>
      </c>
      <c r="V2066" s="5" t="e">
        <f>IF(AND(#REF!&gt;=table!$C$11,#REF!&lt;= table!$D$11),-1,IF(AND(#REF!&gt;=table!$E$11,#REF!&lt;=table!$F$11),1,0))</f>
        <v>#REF!</v>
      </c>
      <c r="W2066" s="5" t="e">
        <f>CONCATENATE(dados[[#This Row],[fator1]],dados[[#This Row],[fator5]],dados[[#This Row],[fator6]])</f>
        <v>#REF!</v>
      </c>
    </row>
    <row r="2067" spans="1:23">
      <c r="A2067" t="s">
        <v>16</v>
      </c>
      <c r="B2067">
        <v>486797</v>
      </c>
      <c r="C2067">
        <v>0.15</v>
      </c>
      <c r="D2067">
        <v>40</v>
      </c>
      <c r="E2067">
        <v>10</v>
      </c>
      <c r="F2067">
        <v>15</v>
      </c>
      <c r="G2067">
        <v>0</v>
      </c>
      <c r="H2067">
        <v>15</v>
      </c>
      <c r="I2067">
        <v>588</v>
      </c>
      <c r="J2067">
        <v>0</v>
      </c>
      <c r="K2067">
        <v>4.4975000000000005</v>
      </c>
      <c r="L2067">
        <v>10.162000000000001</v>
      </c>
      <c r="M2067">
        <v>8.6300000000000008</v>
      </c>
      <c r="N2067">
        <v>11.275</v>
      </c>
      <c r="O2067">
        <v>1669</v>
      </c>
      <c r="P2067">
        <v>966</v>
      </c>
      <c r="Q2067" s="5" t="e">
        <f>IF(AND(#REF!&gt;=table!$C$6,#REF!&lt;= table!$D$6),-1,IF(AND(#REF!&gt;=table!$E$6,#REF!&lt;=table!$F$6),1,0))</f>
        <v>#REF!</v>
      </c>
      <c r="R2067" s="5" t="e">
        <f>IF(AND(#REF!&gt;=table!$C$7,#REF!&lt;= table!$D$7),-1,IF(AND(#REF!&gt;=table!$E$7,#REF!&lt;=table!$F$7),1,0))</f>
        <v>#REF!</v>
      </c>
      <c r="S2067" s="5" t="e">
        <f>IF(AND(#REF!&gt;=table!$C$8,#REF!&lt;= table!$D$8),-1,IF(AND(#REF!&gt;=table!$E$8,#REF!&lt;=table!$F$8),1,0))</f>
        <v>#REF!</v>
      </c>
      <c r="T2067" s="5"/>
      <c r="U2067" s="5" t="e">
        <f>IF(AND(#REF!&gt;=table!$C$10,#REF!&lt;= table!$D$10),-1,IF(AND(#REF!&gt;=table!$E$10,#REF!&lt;=table!$F$10),1,0))</f>
        <v>#REF!</v>
      </c>
      <c r="V2067" s="5" t="e">
        <f>IF(AND(#REF!&gt;=table!$C$11,#REF!&lt;= table!$D$11),-1,IF(AND(#REF!&gt;=table!$E$11,#REF!&lt;=table!$F$11),1,0))</f>
        <v>#REF!</v>
      </c>
      <c r="W2067" s="5" t="e">
        <f>CONCATENATE(dados[[#This Row],[fator1]],dados[[#This Row],[fator5]],dados[[#This Row],[fator6]])</f>
        <v>#REF!</v>
      </c>
    </row>
    <row r="2068" spans="1:23">
      <c r="A2068" t="s">
        <v>16</v>
      </c>
      <c r="B2068">
        <v>486799</v>
      </c>
      <c r="C2068">
        <v>0.1</v>
      </c>
      <c r="D2068">
        <v>40</v>
      </c>
      <c r="E2068">
        <v>10</v>
      </c>
      <c r="F2068">
        <v>8</v>
      </c>
      <c r="G2068">
        <v>0</v>
      </c>
      <c r="H2068">
        <v>10</v>
      </c>
      <c r="I2068">
        <v>0</v>
      </c>
      <c r="J2068">
        <v>0</v>
      </c>
      <c r="K2068">
        <v>4.2965</v>
      </c>
      <c r="L2068">
        <v>9.0510000000000002</v>
      </c>
      <c r="M2068">
        <v>7.9385000000000003</v>
      </c>
      <c r="N2068">
        <v>11.465</v>
      </c>
      <c r="O2068">
        <v>1679</v>
      </c>
      <c r="P2068">
        <v>992</v>
      </c>
      <c r="Q2068" s="5" t="e">
        <f>IF(AND(#REF!&gt;=table!$C$6,#REF!&lt;= table!$D$6),-1,IF(AND(#REF!&gt;=table!$E$6,#REF!&lt;=table!$F$6),1,0))</f>
        <v>#REF!</v>
      </c>
      <c r="R2068" s="5" t="e">
        <f>IF(AND(#REF!&gt;=table!$C$7,#REF!&lt;= table!$D$7),-1,IF(AND(#REF!&gt;=table!$E$7,#REF!&lt;=table!$F$7),1,0))</f>
        <v>#REF!</v>
      </c>
      <c r="S2068" s="5" t="e">
        <f>IF(AND(#REF!&gt;=table!$C$8,#REF!&lt;= table!$D$8),-1,IF(AND(#REF!&gt;=table!$E$8,#REF!&lt;=table!$F$8),1,0))</f>
        <v>#REF!</v>
      </c>
      <c r="T2068" s="5"/>
      <c r="U2068" s="5" t="e">
        <f>IF(AND(#REF!&gt;=table!$C$10,#REF!&lt;= table!$D$10),-1,IF(AND(#REF!&gt;=table!$E$10,#REF!&lt;=table!$F$10),1,0))</f>
        <v>#REF!</v>
      </c>
      <c r="V2068" s="5" t="e">
        <f>IF(AND(#REF!&gt;=table!$C$11,#REF!&lt;= table!$D$11),-1,IF(AND(#REF!&gt;=table!$E$11,#REF!&lt;=table!$F$11),1,0))</f>
        <v>#REF!</v>
      </c>
      <c r="W2068" s="5" t="e">
        <f>CONCATENATE(dados[[#This Row],[fator1]],dados[[#This Row],[fator5]],dados[[#This Row],[fator6]])</f>
        <v>#REF!</v>
      </c>
    </row>
    <row r="2069" spans="1:23">
      <c r="A2069" t="s">
        <v>17</v>
      </c>
      <c r="B2069">
        <v>486800</v>
      </c>
      <c r="C2069">
        <v>18</v>
      </c>
      <c r="D2069">
        <v>33</v>
      </c>
      <c r="E2069">
        <v>85</v>
      </c>
      <c r="F2069">
        <v>5</v>
      </c>
      <c r="G2069">
        <v>28</v>
      </c>
      <c r="H2069">
        <v>25</v>
      </c>
      <c r="I2069">
        <v>1662</v>
      </c>
      <c r="J2069">
        <v>910</v>
      </c>
      <c r="K2069">
        <v>5.5590000000000002</v>
      </c>
      <c r="L2069">
        <v>16.427</v>
      </c>
      <c r="M2069">
        <v>24.272000000000002</v>
      </c>
      <c r="N2069">
        <v>15.695</v>
      </c>
      <c r="O2069">
        <v>1645</v>
      </c>
      <c r="P2069">
        <v>489</v>
      </c>
      <c r="Q2069" s="5" t="e">
        <f>IF(AND(#REF!&gt;=table!$C$6,#REF!&lt;= table!$D$6),-1,IF(AND(#REF!&gt;=table!$E$6,#REF!&lt;=table!$F$6),1,0))</f>
        <v>#REF!</v>
      </c>
      <c r="R2069" s="5" t="e">
        <f>IF(AND(#REF!&gt;=table!$C$7,#REF!&lt;= table!$D$7),-1,IF(AND(#REF!&gt;=table!$E$7,#REF!&lt;=table!$F$7),1,0))</f>
        <v>#REF!</v>
      </c>
      <c r="S2069" s="5" t="e">
        <f>IF(AND(#REF!&gt;=table!$C$8,#REF!&lt;= table!$D$8),-1,IF(AND(#REF!&gt;=table!$E$8,#REF!&lt;=table!$F$8),1,0))</f>
        <v>#REF!</v>
      </c>
      <c r="T2069" s="5"/>
      <c r="U2069" s="5" t="e">
        <f>IF(AND(#REF!&gt;=table!$C$10,#REF!&lt;= table!$D$10),-1,IF(AND(#REF!&gt;=table!$E$10,#REF!&lt;=table!$F$10),1,0))</f>
        <v>#REF!</v>
      </c>
      <c r="V2069" s="5" t="e">
        <f>IF(AND(#REF!&gt;=table!$C$11,#REF!&lt;= table!$D$11),-1,IF(AND(#REF!&gt;=table!$E$11,#REF!&lt;=table!$F$11),1,0))</f>
        <v>#REF!</v>
      </c>
      <c r="W2069" s="5" t="e">
        <f>CONCATENATE(dados[[#This Row],[fator1]],dados[[#This Row],[fator5]],dados[[#This Row],[fator6]])</f>
        <v>#REF!</v>
      </c>
    </row>
    <row r="2070" spans="1:23">
      <c r="A2070" t="s">
        <v>17</v>
      </c>
      <c r="B2070">
        <v>486802</v>
      </c>
      <c r="C2070">
        <v>8</v>
      </c>
      <c r="D2070">
        <v>25</v>
      </c>
      <c r="E2070">
        <v>136</v>
      </c>
      <c r="F2070">
        <v>6</v>
      </c>
      <c r="G2070">
        <v>8</v>
      </c>
      <c r="H2070">
        <v>25</v>
      </c>
      <c r="I2070">
        <v>556</v>
      </c>
      <c r="J2070">
        <v>0</v>
      </c>
      <c r="K2070">
        <v>9.8790000000000013</v>
      </c>
      <c r="L2070">
        <v>14.4435</v>
      </c>
      <c r="M2070">
        <v>122.131</v>
      </c>
      <c r="N2070">
        <v>18.585000000000001</v>
      </c>
      <c r="O2070">
        <v>1680</v>
      </c>
      <c r="P2070">
        <v>0</v>
      </c>
      <c r="Q2070" s="5" t="e">
        <f>IF(AND(#REF!&gt;=table!$C$6,#REF!&lt;= table!$D$6),-1,IF(AND(#REF!&gt;=table!$E$6,#REF!&lt;=table!$F$6),1,0))</f>
        <v>#REF!</v>
      </c>
      <c r="R2070" s="5" t="e">
        <f>IF(AND(#REF!&gt;=table!$C$7,#REF!&lt;= table!$D$7),-1,IF(AND(#REF!&gt;=table!$E$7,#REF!&lt;=table!$F$7),1,0))</f>
        <v>#REF!</v>
      </c>
      <c r="S2070" s="5" t="e">
        <f>IF(AND(#REF!&gt;=table!$C$8,#REF!&lt;= table!$D$8),-1,IF(AND(#REF!&gt;=table!$E$8,#REF!&lt;=table!$F$8),1,0))</f>
        <v>#REF!</v>
      </c>
      <c r="T2070" s="5"/>
      <c r="U2070" s="5" t="e">
        <f>IF(AND(#REF!&gt;=table!$C$10,#REF!&lt;= table!$D$10),-1,IF(AND(#REF!&gt;=table!$E$10,#REF!&lt;=table!$F$10),1,0))</f>
        <v>#REF!</v>
      </c>
      <c r="V2070" s="5" t="e">
        <f>IF(AND(#REF!&gt;=table!$C$11,#REF!&lt;= table!$D$11),-1,IF(AND(#REF!&gt;=table!$E$11,#REF!&lt;=table!$F$11),1,0))</f>
        <v>#REF!</v>
      </c>
      <c r="W2070" s="5" t="e">
        <f>CONCATENATE(dados[[#This Row],[fator1]],dados[[#This Row],[fator5]],dados[[#This Row],[fator6]])</f>
        <v>#REF!</v>
      </c>
    </row>
    <row r="2071" spans="1:23">
      <c r="A2071" t="s">
        <v>16</v>
      </c>
      <c r="B2071">
        <v>486814</v>
      </c>
      <c r="C2071">
        <v>0.15</v>
      </c>
      <c r="D2071">
        <v>40</v>
      </c>
      <c r="E2071">
        <v>10</v>
      </c>
      <c r="F2071">
        <v>15</v>
      </c>
      <c r="G2071">
        <v>0</v>
      </c>
      <c r="H2071">
        <v>15</v>
      </c>
      <c r="I2071">
        <v>1376</v>
      </c>
      <c r="J2071">
        <v>0</v>
      </c>
      <c r="K2071">
        <v>4.8970000000000002</v>
      </c>
      <c r="L2071">
        <v>6.1545000000000005</v>
      </c>
      <c r="M2071">
        <v>5.9480000000000004</v>
      </c>
      <c r="N2071">
        <v>10.17</v>
      </c>
      <c r="O2071">
        <v>1677</v>
      </c>
      <c r="P2071">
        <v>904</v>
      </c>
      <c r="Q2071" s="5" t="e">
        <f>IF(AND(#REF!&gt;=table!$C$6,#REF!&lt;= table!$D$6),-1,IF(AND(#REF!&gt;=table!$E$6,#REF!&lt;=table!$F$6),1,0))</f>
        <v>#REF!</v>
      </c>
      <c r="R2071" s="5" t="e">
        <f>IF(AND(#REF!&gt;=table!$C$7,#REF!&lt;= table!$D$7),-1,IF(AND(#REF!&gt;=table!$E$7,#REF!&lt;=table!$F$7),1,0))</f>
        <v>#REF!</v>
      </c>
      <c r="S2071" s="5" t="e">
        <f>IF(AND(#REF!&gt;=table!$C$8,#REF!&lt;= table!$D$8),-1,IF(AND(#REF!&gt;=table!$E$8,#REF!&lt;=table!$F$8),1,0))</f>
        <v>#REF!</v>
      </c>
      <c r="T2071" s="5"/>
      <c r="U2071" s="5" t="e">
        <f>IF(AND(#REF!&gt;=table!$C$10,#REF!&lt;= table!$D$10),-1,IF(AND(#REF!&gt;=table!$E$10,#REF!&lt;=table!$F$10),1,0))</f>
        <v>#REF!</v>
      </c>
      <c r="V2071" s="5" t="e">
        <f>IF(AND(#REF!&gt;=table!$C$11,#REF!&lt;= table!$D$11),-1,IF(AND(#REF!&gt;=table!$E$11,#REF!&lt;=table!$F$11),1,0))</f>
        <v>#REF!</v>
      </c>
      <c r="W2071" s="5" t="e">
        <f>CONCATENATE(dados[[#This Row],[fator1]],dados[[#This Row],[fator5]],dados[[#This Row],[fator6]])</f>
        <v>#REF!</v>
      </c>
    </row>
    <row r="2072" spans="1:23">
      <c r="A2072" t="s">
        <v>16</v>
      </c>
      <c r="B2072">
        <v>486816</v>
      </c>
      <c r="C2072">
        <v>0.15</v>
      </c>
      <c r="D2072">
        <v>40</v>
      </c>
      <c r="E2072">
        <v>10</v>
      </c>
      <c r="F2072">
        <v>15</v>
      </c>
      <c r="G2072">
        <v>0</v>
      </c>
      <c r="H2072">
        <v>15</v>
      </c>
      <c r="I2072">
        <v>992</v>
      </c>
      <c r="J2072">
        <v>0</v>
      </c>
      <c r="K2072">
        <v>4.8280000000000003</v>
      </c>
      <c r="L2072">
        <v>9.0370000000000008</v>
      </c>
      <c r="M2072">
        <v>8.4875000000000007</v>
      </c>
      <c r="N2072">
        <v>8.0350000000000001</v>
      </c>
      <c r="O2072">
        <v>1633</v>
      </c>
      <c r="P2072">
        <v>728</v>
      </c>
      <c r="Q2072" s="5" t="e">
        <f>IF(AND(#REF!&gt;=table!$C$6,#REF!&lt;= table!$D$6),-1,IF(AND(#REF!&gt;=table!$E$6,#REF!&lt;=table!$F$6),1,0))</f>
        <v>#REF!</v>
      </c>
      <c r="R2072" s="5" t="e">
        <f>IF(AND(#REF!&gt;=table!$C$7,#REF!&lt;= table!$D$7),-1,IF(AND(#REF!&gt;=table!$E$7,#REF!&lt;=table!$F$7),1,0))</f>
        <v>#REF!</v>
      </c>
      <c r="S2072" s="5" t="e">
        <f>IF(AND(#REF!&gt;=table!$C$8,#REF!&lt;= table!$D$8),-1,IF(AND(#REF!&gt;=table!$E$8,#REF!&lt;=table!$F$8),1,0))</f>
        <v>#REF!</v>
      </c>
      <c r="T2072" s="5"/>
      <c r="U2072" s="5" t="e">
        <f>IF(AND(#REF!&gt;=table!$C$10,#REF!&lt;= table!$D$10),-1,IF(AND(#REF!&gt;=table!$E$10,#REF!&lt;=table!$F$10),1,0))</f>
        <v>#REF!</v>
      </c>
      <c r="V2072" s="5" t="e">
        <f>IF(AND(#REF!&gt;=table!$C$11,#REF!&lt;= table!$D$11),-1,IF(AND(#REF!&gt;=table!$E$11,#REF!&lt;=table!$F$11),1,0))</f>
        <v>#REF!</v>
      </c>
      <c r="W2072" s="5" t="e">
        <f>CONCATENATE(dados[[#This Row],[fator1]],dados[[#This Row],[fator5]],dados[[#This Row],[fator6]])</f>
        <v>#REF!</v>
      </c>
    </row>
    <row r="2073" spans="1:23">
      <c r="A2073" t="s">
        <v>16</v>
      </c>
      <c r="B2073">
        <v>486818</v>
      </c>
      <c r="C2073">
        <v>0.23</v>
      </c>
      <c r="D2073">
        <v>65</v>
      </c>
      <c r="E2073">
        <v>26</v>
      </c>
      <c r="F2073">
        <v>15</v>
      </c>
      <c r="G2073">
        <v>0</v>
      </c>
      <c r="H2073">
        <v>35</v>
      </c>
      <c r="I2073">
        <v>878</v>
      </c>
      <c r="J2073">
        <v>0</v>
      </c>
      <c r="K2073">
        <v>3.2930000000000001</v>
      </c>
      <c r="L2073">
        <v>7.9190000000000005</v>
      </c>
      <c r="M2073">
        <v>6.8825000000000003</v>
      </c>
      <c r="N2073">
        <v>10.86</v>
      </c>
      <c r="O2073">
        <v>1639</v>
      </c>
      <c r="P2073">
        <v>950</v>
      </c>
      <c r="Q2073" s="5" t="e">
        <f>IF(AND(#REF!&gt;=table!$C$6,#REF!&lt;= table!$D$6),-1,IF(AND(#REF!&gt;=table!$E$6,#REF!&lt;=table!$F$6),1,0))</f>
        <v>#REF!</v>
      </c>
      <c r="R2073" s="5" t="e">
        <f>IF(AND(#REF!&gt;=table!$C$7,#REF!&lt;= table!$D$7),-1,IF(AND(#REF!&gt;=table!$E$7,#REF!&lt;=table!$F$7),1,0))</f>
        <v>#REF!</v>
      </c>
      <c r="S2073" s="5" t="e">
        <f>IF(AND(#REF!&gt;=table!$C$8,#REF!&lt;= table!$D$8),-1,IF(AND(#REF!&gt;=table!$E$8,#REF!&lt;=table!$F$8),1,0))</f>
        <v>#REF!</v>
      </c>
      <c r="T2073" s="5"/>
      <c r="U2073" s="5" t="e">
        <f>IF(AND(#REF!&gt;=table!$C$10,#REF!&lt;= table!$D$10),-1,IF(AND(#REF!&gt;=table!$E$10,#REF!&lt;=table!$F$10),1,0))</f>
        <v>#REF!</v>
      </c>
      <c r="V2073" s="5" t="e">
        <f>IF(AND(#REF!&gt;=table!$C$11,#REF!&lt;= table!$D$11),-1,IF(AND(#REF!&gt;=table!$E$11,#REF!&lt;=table!$F$11),1,0))</f>
        <v>#REF!</v>
      </c>
      <c r="W2073" s="5" t="e">
        <f>CONCATENATE(dados[[#This Row],[fator1]],dados[[#This Row],[fator5]],dados[[#This Row],[fator6]])</f>
        <v>#REF!</v>
      </c>
    </row>
    <row r="2074" spans="1:23">
      <c r="A2074" t="s">
        <v>16</v>
      </c>
      <c r="B2074">
        <v>486819</v>
      </c>
      <c r="C2074">
        <v>0.23</v>
      </c>
      <c r="D2074">
        <v>65</v>
      </c>
      <c r="E2074">
        <v>26</v>
      </c>
      <c r="F2074">
        <v>15</v>
      </c>
      <c r="G2074">
        <v>0</v>
      </c>
      <c r="H2074">
        <v>35</v>
      </c>
      <c r="I2074">
        <v>0</v>
      </c>
      <c r="J2074">
        <v>0</v>
      </c>
      <c r="K2074">
        <v>3.2395</v>
      </c>
      <c r="L2074">
        <v>12.6745</v>
      </c>
      <c r="M2074">
        <v>11.318000000000001</v>
      </c>
      <c r="N2074">
        <v>14.005000000000001</v>
      </c>
      <c r="O2074">
        <v>1662</v>
      </c>
      <c r="P2074">
        <v>822</v>
      </c>
      <c r="Q2074" s="5" t="e">
        <f>IF(AND(#REF!&gt;=table!$C$6,#REF!&lt;= table!$D$6),-1,IF(AND(#REF!&gt;=table!$E$6,#REF!&lt;=table!$F$6),1,0))</f>
        <v>#REF!</v>
      </c>
      <c r="R2074" s="5" t="e">
        <f>IF(AND(#REF!&gt;=table!$C$7,#REF!&lt;= table!$D$7),-1,IF(AND(#REF!&gt;=table!$E$7,#REF!&lt;=table!$F$7),1,0))</f>
        <v>#REF!</v>
      </c>
      <c r="S2074" s="5" t="e">
        <f>IF(AND(#REF!&gt;=table!$C$8,#REF!&lt;= table!$D$8),-1,IF(AND(#REF!&gt;=table!$E$8,#REF!&lt;=table!$F$8),1,0))</f>
        <v>#REF!</v>
      </c>
      <c r="T2074" s="5"/>
      <c r="U2074" s="5" t="e">
        <f>IF(AND(#REF!&gt;=table!$C$10,#REF!&lt;= table!$D$10),-1,IF(AND(#REF!&gt;=table!$E$10,#REF!&lt;=table!$F$10),1,0))</f>
        <v>#REF!</v>
      </c>
      <c r="V2074" s="5" t="e">
        <f>IF(AND(#REF!&gt;=table!$C$11,#REF!&lt;= table!$D$11),-1,IF(AND(#REF!&gt;=table!$E$11,#REF!&lt;=table!$F$11),1,0))</f>
        <v>#REF!</v>
      </c>
      <c r="W2074" s="5" t="e">
        <f>CONCATENATE(dados[[#This Row],[fator1]],dados[[#This Row],[fator5]],dados[[#This Row],[fator6]])</f>
        <v>#REF!</v>
      </c>
    </row>
    <row r="2075" spans="1:23">
      <c r="A2075" t="s">
        <v>16</v>
      </c>
      <c r="B2075">
        <v>486822</v>
      </c>
      <c r="C2075">
        <v>8</v>
      </c>
      <c r="D2075">
        <v>30</v>
      </c>
      <c r="E2075">
        <v>86</v>
      </c>
      <c r="F2075">
        <v>9</v>
      </c>
      <c r="G2075">
        <v>0</v>
      </c>
      <c r="H2075">
        <v>25</v>
      </c>
      <c r="I2075">
        <v>1162</v>
      </c>
      <c r="J2075">
        <v>860</v>
      </c>
      <c r="K2075">
        <v>5.6385000000000005</v>
      </c>
      <c r="L2075">
        <v>21.448</v>
      </c>
      <c r="M2075">
        <v>82.746000000000009</v>
      </c>
      <c r="N2075">
        <v>21.255000000000003</v>
      </c>
      <c r="O2075">
        <v>1650</v>
      </c>
      <c r="P2075">
        <v>432</v>
      </c>
      <c r="Q2075" s="5" t="e">
        <f>IF(AND(#REF!&gt;=table!$C$6,#REF!&lt;= table!$D$6),-1,IF(AND(#REF!&gt;=table!$E$6,#REF!&lt;=table!$F$6),1,0))</f>
        <v>#REF!</v>
      </c>
      <c r="R2075" s="5" t="e">
        <f>IF(AND(#REF!&gt;=table!$C$7,#REF!&lt;= table!$D$7),-1,IF(AND(#REF!&gt;=table!$E$7,#REF!&lt;=table!$F$7),1,0))</f>
        <v>#REF!</v>
      </c>
      <c r="S2075" s="5" t="e">
        <f>IF(AND(#REF!&gt;=table!$C$8,#REF!&lt;= table!$D$8),-1,IF(AND(#REF!&gt;=table!$E$8,#REF!&lt;=table!$F$8),1,0))</f>
        <v>#REF!</v>
      </c>
      <c r="T2075" s="5"/>
      <c r="U2075" s="5" t="e">
        <f>IF(AND(#REF!&gt;=table!$C$10,#REF!&lt;= table!$D$10),-1,IF(AND(#REF!&gt;=table!$E$10,#REF!&lt;=table!$F$10),1,0))</f>
        <v>#REF!</v>
      </c>
      <c r="V2075" s="5" t="e">
        <f>IF(AND(#REF!&gt;=table!$C$11,#REF!&lt;= table!$D$11),-1,IF(AND(#REF!&gt;=table!$E$11,#REF!&lt;=table!$F$11),1,0))</f>
        <v>#REF!</v>
      </c>
      <c r="W2075" s="5" t="e">
        <f>CONCATENATE(dados[[#This Row],[fator1]],dados[[#This Row],[fator5]],dados[[#This Row],[fator6]])</f>
        <v>#REF!</v>
      </c>
    </row>
    <row r="2076" spans="1:23">
      <c r="A2076" t="s">
        <v>16</v>
      </c>
      <c r="B2076">
        <v>486825</v>
      </c>
      <c r="C2076">
        <v>8</v>
      </c>
      <c r="D2076">
        <v>30</v>
      </c>
      <c r="E2076">
        <v>86</v>
      </c>
      <c r="F2076">
        <v>8</v>
      </c>
      <c r="G2076">
        <v>0</v>
      </c>
      <c r="H2076">
        <v>25</v>
      </c>
      <c r="I2076">
        <v>1</v>
      </c>
      <c r="J2076">
        <v>0</v>
      </c>
      <c r="K2076">
        <v>3.1985000000000001</v>
      </c>
      <c r="L2076">
        <v>9.775500000000001</v>
      </c>
      <c r="M2076">
        <v>84.779499999999999</v>
      </c>
      <c r="N2076">
        <v>18.785</v>
      </c>
      <c r="O2076">
        <v>1670</v>
      </c>
      <c r="P2076">
        <v>963</v>
      </c>
      <c r="Q2076" s="5" t="e">
        <f>IF(AND(#REF!&gt;=table!$C$6,#REF!&lt;= table!$D$6),-1,IF(AND(#REF!&gt;=table!$E$6,#REF!&lt;=table!$F$6),1,0))</f>
        <v>#REF!</v>
      </c>
      <c r="R2076" s="5" t="e">
        <f>IF(AND(#REF!&gt;=table!$C$7,#REF!&lt;= table!$D$7),-1,IF(AND(#REF!&gt;=table!$E$7,#REF!&lt;=table!$F$7),1,0))</f>
        <v>#REF!</v>
      </c>
      <c r="S2076" s="5" t="e">
        <f>IF(AND(#REF!&gt;=table!$C$8,#REF!&lt;= table!$D$8),-1,IF(AND(#REF!&gt;=table!$E$8,#REF!&lt;=table!$F$8),1,0))</f>
        <v>#REF!</v>
      </c>
      <c r="T2076" s="5"/>
      <c r="U2076" s="5" t="e">
        <f>IF(AND(#REF!&gt;=table!$C$10,#REF!&lt;= table!$D$10),-1,IF(AND(#REF!&gt;=table!$E$10,#REF!&lt;=table!$F$10),1,0))</f>
        <v>#REF!</v>
      </c>
      <c r="V2076" s="5" t="e">
        <f>IF(AND(#REF!&gt;=table!$C$11,#REF!&lt;= table!$D$11),-1,IF(AND(#REF!&gt;=table!$E$11,#REF!&lt;=table!$F$11),1,0))</f>
        <v>#REF!</v>
      </c>
      <c r="W2076" s="5" t="e">
        <f>CONCATENATE(dados[[#This Row],[fator1]],dados[[#This Row],[fator5]],dados[[#This Row],[fator6]])</f>
        <v>#REF!</v>
      </c>
    </row>
    <row r="2077" spans="1:23">
      <c r="A2077" t="s">
        <v>16</v>
      </c>
      <c r="B2077">
        <v>486826</v>
      </c>
      <c r="C2077">
        <v>0.18</v>
      </c>
      <c r="D2077">
        <v>50</v>
      </c>
      <c r="E2077">
        <v>56</v>
      </c>
      <c r="F2077">
        <v>15</v>
      </c>
      <c r="G2077">
        <v>0</v>
      </c>
      <c r="H2077">
        <v>50</v>
      </c>
      <c r="I2077">
        <v>1105</v>
      </c>
      <c r="J2077">
        <v>0</v>
      </c>
      <c r="K2077">
        <v>3.1795</v>
      </c>
      <c r="L2077">
        <v>9.0054999999999996</v>
      </c>
      <c r="M2077">
        <v>7.9665000000000008</v>
      </c>
      <c r="N2077">
        <v>14.530000000000001</v>
      </c>
      <c r="O2077">
        <v>1670</v>
      </c>
      <c r="P2077">
        <v>0</v>
      </c>
      <c r="Q2077" s="5" t="e">
        <f>IF(AND(#REF!&gt;=table!$C$6,#REF!&lt;= table!$D$6),-1,IF(AND(#REF!&gt;=table!$E$6,#REF!&lt;=table!$F$6),1,0))</f>
        <v>#REF!</v>
      </c>
      <c r="R2077" s="5" t="e">
        <f>IF(AND(#REF!&gt;=table!$C$7,#REF!&lt;= table!$D$7),-1,IF(AND(#REF!&gt;=table!$E$7,#REF!&lt;=table!$F$7),1,0))</f>
        <v>#REF!</v>
      </c>
      <c r="S2077" s="5" t="e">
        <f>IF(AND(#REF!&gt;=table!$C$8,#REF!&lt;= table!$D$8),-1,IF(AND(#REF!&gt;=table!$E$8,#REF!&lt;=table!$F$8),1,0))</f>
        <v>#REF!</v>
      </c>
      <c r="T2077" s="5"/>
      <c r="U2077" s="5" t="e">
        <f>IF(AND(#REF!&gt;=table!$C$10,#REF!&lt;= table!$D$10),-1,IF(AND(#REF!&gt;=table!$E$10,#REF!&lt;=table!$F$10),1,0))</f>
        <v>#REF!</v>
      </c>
      <c r="V2077" s="5" t="e">
        <f>IF(AND(#REF!&gt;=table!$C$11,#REF!&lt;= table!$D$11),-1,IF(AND(#REF!&gt;=table!$E$11,#REF!&lt;=table!$F$11),1,0))</f>
        <v>#REF!</v>
      </c>
      <c r="W2077" s="5" t="e">
        <f>CONCATENATE(dados[[#This Row],[fator1]],dados[[#This Row],[fator5]],dados[[#This Row],[fator6]])</f>
        <v>#REF!</v>
      </c>
    </row>
    <row r="2078" spans="1:23">
      <c r="A2078" t="s">
        <v>16</v>
      </c>
      <c r="B2078">
        <v>486834</v>
      </c>
      <c r="C2078">
        <v>12</v>
      </c>
      <c r="D2078">
        <v>35</v>
      </c>
      <c r="E2078">
        <v>180</v>
      </c>
      <c r="F2078">
        <v>6</v>
      </c>
      <c r="G2078">
        <v>0</v>
      </c>
      <c r="H2078">
        <v>20</v>
      </c>
      <c r="I2078">
        <v>878</v>
      </c>
      <c r="J2078">
        <v>0</v>
      </c>
      <c r="K2078">
        <v>3.3065000000000002</v>
      </c>
      <c r="L2078">
        <v>7.8630000000000004</v>
      </c>
      <c r="M2078">
        <v>148.059</v>
      </c>
      <c r="N2078">
        <v>10.120000000000001</v>
      </c>
      <c r="O2078">
        <v>1673</v>
      </c>
      <c r="P2078">
        <v>896</v>
      </c>
      <c r="Q2078" s="5" t="e">
        <f>IF(AND(#REF!&gt;=table!$C$6,#REF!&lt;= table!$D$6),-1,IF(AND(#REF!&gt;=table!$E$6,#REF!&lt;=table!$F$6),1,0))</f>
        <v>#REF!</v>
      </c>
      <c r="R2078" s="5" t="e">
        <f>IF(AND(#REF!&gt;=table!$C$7,#REF!&lt;= table!$D$7),-1,IF(AND(#REF!&gt;=table!$E$7,#REF!&lt;=table!$F$7),1,0))</f>
        <v>#REF!</v>
      </c>
      <c r="S2078" s="5" t="e">
        <f>IF(AND(#REF!&gt;=table!$C$8,#REF!&lt;= table!$D$8),-1,IF(AND(#REF!&gt;=table!$E$8,#REF!&lt;=table!$F$8),1,0))</f>
        <v>#REF!</v>
      </c>
      <c r="T2078" s="5"/>
      <c r="U2078" s="5" t="e">
        <f>IF(AND(#REF!&gt;=table!$C$10,#REF!&lt;= table!$D$10),-1,IF(AND(#REF!&gt;=table!$E$10,#REF!&lt;=table!$F$10),1,0))</f>
        <v>#REF!</v>
      </c>
      <c r="V2078" s="5" t="e">
        <f>IF(AND(#REF!&gt;=table!$C$11,#REF!&lt;= table!$D$11),-1,IF(AND(#REF!&gt;=table!$E$11,#REF!&lt;=table!$F$11),1,0))</f>
        <v>#REF!</v>
      </c>
      <c r="W2078" s="5" t="e">
        <f>CONCATENATE(dados[[#This Row],[fator1]],dados[[#This Row],[fator5]],dados[[#This Row],[fator6]])</f>
        <v>#REF!</v>
      </c>
    </row>
    <row r="2079" spans="1:23">
      <c r="A2079" t="s">
        <v>16</v>
      </c>
      <c r="B2079">
        <v>486835</v>
      </c>
      <c r="C2079">
        <v>4</v>
      </c>
      <c r="D2079">
        <v>40</v>
      </c>
      <c r="E2079">
        <v>21</v>
      </c>
      <c r="F2079">
        <v>20</v>
      </c>
      <c r="G2079">
        <v>0</v>
      </c>
      <c r="H2079">
        <v>25</v>
      </c>
      <c r="I2079">
        <v>788</v>
      </c>
      <c r="J2079">
        <v>1240</v>
      </c>
      <c r="K2079">
        <v>2.879</v>
      </c>
      <c r="L2079">
        <v>5.9330000000000007</v>
      </c>
      <c r="M2079">
        <v>3.8455000000000004</v>
      </c>
      <c r="N2079">
        <v>14.77</v>
      </c>
      <c r="O2079">
        <v>1623</v>
      </c>
      <c r="P2079">
        <v>1268</v>
      </c>
      <c r="Q2079" s="5" t="e">
        <f>IF(AND(#REF!&gt;=table!$C$6,#REF!&lt;= table!$D$6),-1,IF(AND(#REF!&gt;=table!$E$6,#REF!&lt;=table!$F$6),1,0))</f>
        <v>#REF!</v>
      </c>
      <c r="R2079" s="5" t="e">
        <f>IF(AND(#REF!&gt;=table!$C$7,#REF!&lt;= table!$D$7),-1,IF(AND(#REF!&gt;=table!$E$7,#REF!&lt;=table!$F$7),1,0))</f>
        <v>#REF!</v>
      </c>
      <c r="S2079" s="5" t="e">
        <f>IF(AND(#REF!&gt;=table!$C$8,#REF!&lt;= table!$D$8),-1,IF(AND(#REF!&gt;=table!$E$8,#REF!&lt;=table!$F$8),1,0))</f>
        <v>#REF!</v>
      </c>
      <c r="T2079" s="5"/>
      <c r="U2079" s="5" t="e">
        <f>IF(AND(#REF!&gt;=table!$C$10,#REF!&lt;= table!$D$10),-1,IF(AND(#REF!&gt;=table!$E$10,#REF!&lt;=table!$F$10),1,0))</f>
        <v>#REF!</v>
      </c>
      <c r="V2079" s="5" t="e">
        <f>IF(AND(#REF!&gt;=table!$C$11,#REF!&lt;= table!$D$11),-1,IF(AND(#REF!&gt;=table!$E$11,#REF!&lt;=table!$F$11),1,0))</f>
        <v>#REF!</v>
      </c>
      <c r="W2079" s="5" t="e">
        <f>CONCATENATE(dados[[#This Row],[fator1]],dados[[#This Row],[fator5]],dados[[#This Row],[fator6]])</f>
        <v>#REF!</v>
      </c>
    </row>
    <row r="2080" spans="1:23">
      <c r="A2080" t="s">
        <v>16</v>
      </c>
      <c r="B2080">
        <v>486839</v>
      </c>
      <c r="C2080">
        <v>4</v>
      </c>
      <c r="D2080">
        <v>40</v>
      </c>
      <c r="E2080">
        <v>21</v>
      </c>
      <c r="F2080">
        <v>20</v>
      </c>
      <c r="G2080">
        <v>0</v>
      </c>
      <c r="H2080">
        <v>25</v>
      </c>
      <c r="I2080">
        <v>1033</v>
      </c>
      <c r="J2080">
        <v>0</v>
      </c>
      <c r="K2080">
        <v>6.0880000000000001</v>
      </c>
      <c r="L2080">
        <v>14.609</v>
      </c>
      <c r="M2080">
        <v>14.2325</v>
      </c>
      <c r="N2080">
        <v>15.945</v>
      </c>
      <c r="O2080">
        <v>1677</v>
      </c>
      <c r="P2080">
        <v>0</v>
      </c>
      <c r="Q2080" s="5" t="e">
        <f>IF(AND(#REF!&gt;=table!$C$6,#REF!&lt;= table!$D$6),-1,IF(AND(#REF!&gt;=table!$E$6,#REF!&lt;=table!$F$6),1,0))</f>
        <v>#REF!</v>
      </c>
      <c r="R2080" s="5" t="e">
        <f>IF(AND(#REF!&gt;=table!$C$7,#REF!&lt;= table!$D$7),-1,IF(AND(#REF!&gt;=table!$E$7,#REF!&lt;=table!$F$7),1,0))</f>
        <v>#REF!</v>
      </c>
      <c r="S2080" s="5" t="e">
        <f>IF(AND(#REF!&gt;=table!$C$8,#REF!&lt;= table!$D$8),-1,IF(AND(#REF!&gt;=table!$E$8,#REF!&lt;=table!$F$8),1,0))</f>
        <v>#REF!</v>
      </c>
      <c r="T2080" s="5"/>
      <c r="U2080" s="5" t="e">
        <f>IF(AND(#REF!&gt;=table!$C$10,#REF!&lt;= table!$D$10),-1,IF(AND(#REF!&gt;=table!$E$10,#REF!&lt;=table!$F$10),1,0))</f>
        <v>#REF!</v>
      </c>
      <c r="V2080" s="5" t="e">
        <f>IF(AND(#REF!&gt;=table!$C$11,#REF!&lt;= table!$D$11),-1,IF(AND(#REF!&gt;=table!$E$11,#REF!&lt;=table!$F$11),1,0))</f>
        <v>#REF!</v>
      </c>
      <c r="W2080" s="5" t="e">
        <f>CONCATENATE(dados[[#This Row],[fator1]],dados[[#This Row],[fator5]],dados[[#This Row],[fator6]])</f>
        <v>#REF!</v>
      </c>
    </row>
    <row r="2081" spans="1:23">
      <c r="A2081" t="s">
        <v>16</v>
      </c>
      <c r="B2081">
        <v>486843</v>
      </c>
      <c r="C2081">
        <v>11</v>
      </c>
      <c r="D2081">
        <v>40</v>
      </c>
      <c r="E2081">
        <v>151</v>
      </c>
      <c r="F2081">
        <v>8</v>
      </c>
      <c r="G2081">
        <v>0</v>
      </c>
      <c r="H2081">
        <v>25</v>
      </c>
      <c r="I2081">
        <v>21</v>
      </c>
      <c r="J2081">
        <v>0</v>
      </c>
      <c r="K2081">
        <v>3.4705000000000004</v>
      </c>
      <c r="L2081">
        <v>9.8185000000000002</v>
      </c>
      <c r="M2081">
        <v>98.673000000000002</v>
      </c>
      <c r="N2081">
        <v>14.1</v>
      </c>
      <c r="O2081">
        <v>1656</v>
      </c>
      <c r="P2081">
        <v>620</v>
      </c>
      <c r="Q2081" s="5" t="e">
        <f>IF(AND(#REF!&gt;=table!$C$6,#REF!&lt;= table!$D$6),-1,IF(AND(#REF!&gt;=table!$E$6,#REF!&lt;=table!$F$6),1,0))</f>
        <v>#REF!</v>
      </c>
      <c r="R2081" s="5" t="e">
        <f>IF(AND(#REF!&gt;=table!$C$7,#REF!&lt;= table!$D$7),-1,IF(AND(#REF!&gt;=table!$E$7,#REF!&lt;=table!$F$7),1,0))</f>
        <v>#REF!</v>
      </c>
      <c r="S2081" s="5" t="e">
        <f>IF(AND(#REF!&gt;=table!$C$8,#REF!&lt;= table!$D$8),-1,IF(AND(#REF!&gt;=table!$E$8,#REF!&lt;=table!$F$8),1,0))</f>
        <v>#REF!</v>
      </c>
      <c r="T2081" s="5"/>
      <c r="U2081" s="5" t="e">
        <f>IF(AND(#REF!&gt;=table!$C$10,#REF!&lt;= table!$D$10),-1,IF(AND(#REF!&gt;=table!$E$10,#REF!&lt;=table!$F$10),1,0))</f>
        <v>#REF!</v>
      </c>
      <c r="V2081" s="5" t="e">
        <f>IF(AND(#REF!&gt;=table!$C$11,#REF!&lt;= table!$D$11),-1,IF(AND(#REF!&gt;=table!$E$11,#REF!&lt;=table!$F$11),1,0))</f>
        <v>#REF!</v>
      </c>
      <c r="W2081" s="5" t="e">
        <f>CONCATENATE(dados[[#This Row],[fator1]],dados[[#This Row],[fator5]],dados[[#This Row],[fator6]])</f>
        <v>#REF!</v>
      </c>
    </row>
    <row r="2082" spans="1:23">
      <c r="A2082" t="s">
        <v>16</v>
      </c>
      <c r="B2082">
        <v>486847</v>
      </c>
      <c r="C2082">
        <v>11</v>
      </c>
      <c r="D2082">
        <v>40</v>
      </c>
      <c r="E2082">
        <v>151</v>
      </c>
      <c r="F2082">
        <v>8</v>
      </c>
      <c r="G2082">
        <v>0</v>
      </c>
      <c r="H2082">
        <v>25</v>
      </c>
      <c r="I2082">
        <v>24</v>
      </c>
      <c r="J2082">
        <v>0</v>
      </c>
      <c r="K2082">
        <v>9.2435000000000009</v>
      </c>
      <c r="L2082">
        <v>16.9175</v>
      </c>
      <c r="M2082">
        <v>129.0565</v>
      </c>
      <c r="N2082">
        <v>16.395</v>
      </c>
      <c r="O2082">
        <v>1676</v>
      </c>
      <c r="P2082">
        <v>0</v>
      </c>
      <c r="Q2082" s="5" t="e">
        <f>IF(AND(#REF!&gt;=table!$C$6,#REF!&lt;= table!$D$6),-1,IF(AND(#REF!&gt;=table!$E$6,#REF!&lt;=table!$F$6),1,0))</f>
        <v>#REF!</v>
      </c>
      <c r="R2082" s="5" t="e">
        <f>IF(AND(#REF!&gt;=table!$C$7,#REF!&lt;= table!$D$7),-1,IF(AND(#REF!&gt;=table!$E$7,#REF!&lt;=table!$F$7),1,0))</f>
        <v>#REF!</v>
      </c>
      <c r="S2082" s="5" t="e">
        <f>IF(AND(#REF!&gt;=table!$C$8,#REF!&lt;= table!$D$8),-1,IF(AND(#REF!&gt;=table!$E$8,#REF!&lt;=table!$F$8),1,0))</f>
        <v>#REF!</v>
      </c>
      <c r="T2082" s="5"/>
      <c r="U2082" s="5" t="e">
        <f>IF(AND(#REF!&gt;=table!$C$10,#REF!&lt;= table!$D$10),-1,IF(AND(#REF!&gt;=table!$E$10,#REF!&lt;=table!$F$10),1,0))</f>
        <v>#REF!</v>
      </c>
      <c r="V2082" s="5" t="e">
        <f>IF(AND(#REF!&gt;=table!$C$11,#REF!&lt;= table!$D$11),-1,IF(AND(#REF!&gt;=table!$E$11,#REF!&lt;=table!$F$11),1,0))</f>
        <v>#REF!</v>
      </c>
      <c r="W2082" s="5" t="e">
        <f>CONCATENATE(dados[[#This Row],[fator1]],dados[[#This Row],[fator5]],dados[[#This Row],[fator6]])</f>
        <v>#REF!</v>
      </c>
    </row>
    <row r="2083" spans="1:23">
      <c r="A2083" t="s">
        <v>16</v>
      </c>
      <c r="B2083">
        <v>486848</v>
      </c>
      <c r="C2083">
        <v>11</v>
      </c>
      <c r="D2083">
        <v>40</v>
      </c>
      <c r="E2083">
        <v>151</v>
      </c>
      <c r="F2083">
        <v>8</v>
      </c>
      <c r="G2083">
        <v>0</v>
      </c>
      <c r="H2083">
        <v>25</v>
      </c>
      <c r="I2083">
        <v>1120</v>
      </c>
      <c r="J2083">
        <v>0</v>
      </c>
      <c r="K2083">
        <v>4.335</v>
      </c>
      <c r="L2083">
        <v>13.958500000000001</v>
      </c>
      <c r="M2083">
        <v>145.27200000000002</v>
      </c>
      <c r="N2083">
        <v>17.240000000000002</v>
      </c>
      <c r="O2083">
        <v>1686</v>
      </c>
      <c r="P2083">
        <v>725</v>
      </c>
      <c r="Q2083" s="5" t="e">
        <f>IF(AND(#REF!&gt;=table!$C$6,#REF!&lt;= table!$D$6),-1,IF(AND(#REF!&gt;=table!$E$6,#REF!&lt;=table!$F$6),1,0))</f>
        <v>#REF!</v>
      </c>
      <c r="R2083" s="5" t="e">
        <f>IF(AND(#REF!&gt;=table!$C$7,#REF!&lt;= table!$D$7),-1,IF(AND(#REF!&gt;=table!$E$7,#REF!&lt;=table!$F$7),1,0))</f>
        <v>#REF!</v>
      </c>
      <c r="S2083" s="5" t="e">
        <f>IF(AND(#REF!&gt;=table!$C$8,#REF!&lt;= table!$D$8),-1,IF(AND(#REF!&gt;=table!$E$8,#REF!&lt;=table!$F$8),1,0))</f>
        <v>#REF!</v>
      </c>
      <c r="T2083" s="5"/>
      <c r="U2083" s="5" t="e">
        <f>IF(AND(#REF!&gt;=table!$C$10,#REF!&lt;= table!$D$10),-1,IF(AND(#REF!&gt;=table!$E$10,#REF!&lt;=table!$F$10),1,0))</f>
        <v>#REF!</v>
      </c>
      <c r="V2083" s="5" t="e">
        <f>IF(AND(#REF!&gt;=table!$C$11,#REF!&lt;= table!$D$11),-1,IF(AND(#REF!&gt;=table!$E$11,#REF!&lt;=table!$F$11),1,0))</f>
        <v>#REF!</v>
      </c>
      <c r="W2083" s="5" t="e">
        <f>CONCATENATE(dados[[#This Row],[fator1]],dados[[#This Row],[fator5]],dados[[#This Row],[fator6]])</f>
        <v>#REF!</v>
      </c>
    </row>
    <row r="2084" spans="1:23">
      <c r="A2084" t="s">
        <v>17</v>
      </c>
      <c r="B2084">
        <v>486849</v>
      </c>
      <c r="C2084">
        <v>16</v>
      </c>
      <c r="D2084">
        <v>35</v>
      </c>
      <c r="E2084">
        <v>120</v>
      </c>
      <c r="F2084">
        <v>4</v>
      </c>
      <c r="G2084">
        <v>30</v>
      </c>
      <c r="H2084">
        <v>20</v>
      </c>
      <c r="I2084">
        <v>0</v>
      </c>
      <c r="J2084">
        <v>0</v>
      </c>
      <c r="K2084">
        <v>4.6575000000000006</v>
      </c>
      <c r="L2084">
        <v>10.269</v>
      </c>
      <c r="M2084">
        <v>107.28200000000001</v>
      </c>
      <c r="N2084">
        <v>14.280000000000001</v>
      </c>
      <c r="O2084">
        <v>1665</v>
      </c>
      <c r="P2084">
        <v>553</v>
      </c>
      <c r="Q2084" s="5" t="e">
        <f>IF(AND(#REF!&gt;=table!$C$6,#REF!&lt;= table!$D$6),-1,IF(AND(#REF!&gt;=table!$E$6,#REF!&lt;=table!$F$6),1,0))</f>
        <v>#REF!</v>
      </c>
      <c r="R2084" s="5" t="e">
        <f>IF(AND(#REF!&gt;=table!$C$7,#REF!&lt;= table!$D$7),-1,IF(AND(#REF!&gt;=table!$E$7,#REF!&lt;=table!$F$7),1,0))</f>
        <v>#REF!</v>
      </c>
      <c r="S2084" s="5" t="e">
        <f>IF(AND(#REF!&gt;=table!$C$8,#REF!&lt;= table!$D$8),-1,IF(AND(#REF!&gt;=table!$E$8,#REF!&lt;=table!$F$8),1,0))</f>
        <v>#REF!</v>
      </c>
      <c r="T2084" s="5"/>
      <c r="U2084" s="5" t="e">
        <f>IF(AND(#REF!&gt;=table!$C$10,#REF!&lt;= table!$D$10),-1,IF(AND(#REF!&gt;=table!$E$10,#REF!&lt;=table!$F$10),1,0))</f>
        <v>#REF!</v>
      </c>
      <c r="V2084" s="5" t="e">
        <f>IF(AND(#REF!&gt;=table!$C$11,#REF!&lt;= table!$D$11),-1,IF(AND(#REF!&gt;=table!$E$11,#REF!&lt;=table!$F$11),1,0))</f>
        <v>#REF!</v>
      </c>
      <c r="W2084" s="5" t="e">
        <f>CONCATENATE(dados[[#This Row],[fator1]],dados[[#This Row],[fator5]],dados[[#This Row],[fator6]])</f>
        <v>#REF!</v>
      </c>
    </row>
    <row r="2085" spans="1:23">
      <c r="A2085" t="s">
        <v>17</v>
      </c>
      <c r="B2085">
        <v>486850</v>
      </c>
      <c r="C2085">
        <v>15</v>
      </c>
      <c r="D2085">
        <v>30</v>
      </c>
      <c r="E2085">
        <v>100</v>
      </c>
      <c r="F2085">
        <v>4</v>
      </c>
      <c r="G2085">
        <v>20</v>
      </c>
      <c r="H2085">
        <v>20</v>
      </c>
      <c r="I2085">
        <v>720</v>
      </c>
      <c r="J2085">
        <v>0</v>
      </c>
      <c r="K2085">
        <v>6.2670000000000003</v>
      </c>
      <c r="L2085">
        <v>7.6835000000000004</v>
      </c>
      <c r="M2085">
        <v>85.164500000000004</v>
      </c>
      <c r="N2085">
        <v>10.370000000000001</v>
      </c>
      <c r="O2085">
        <v>1662</v>
      </c>
      <c r="P2085">
        <v>605</v>
      </c>
      <c r="Q2085" s="5" t="e">
        <f>IF(AND(#REF!&gt;=table!$C$6,#REF!&lt;= table!$D$6),-1,IF(AND(#REF!&gt;=table!$E$6,#REF!&lt;=table!$F$6),1,0))</f>
        <v>#REF!</v>
      </c>
      <c r="R2085" s="5" t="e">
        <f>IF(AND(#REF!&gt;=table!$C$7,#REF!&lt;= table!$D$7),-1,IF(AND(#REF!&gt;=table!$E$7,#REF!&lt;=table!$F$7),1,0))</f>
        <v>#REF!</v>
      </c>
      <c r="S2085" s="5" t="e">
        <f>IF(AND(#REF!&gt;=table!$C$8,#REF!&lt;= table!$D$8),-1,IF(AND(#REF!&gt;=table!$E$8,#REF!&lt;=table!$F$8),1,0))</f>
        <v>#REF!</v>
      </c>
      <c r="T2085" s="5"/>
      <c r="U2085" s="5" t="e">
        <f>IF(AND(#REF!&gt;=table!$C$10,#REF!&lt;= table!$D$10),-1,IF(AND(#REF!&gt;=table!$E$10,#REF!&lt;=table!$F$10),1,0))</f>
        <v>#REF!</v>
      </c>
      <c r="V2085" s="5" t="e">
        <f>IF(AND(#REF!&gt;=table!$C$11,#REF!&lt;= table!$D$11),-1,IF(AND(#REF!&gt;=table!$E$11,#REF!&lt;=table!$F$11),1,0))</f>
        <v>#REF!</v>
      </c>
      <c r="W2085" s="5" t="e">
        <f>CONCATENATE(dados[[#This Row],[fator1]],dados[[#This Row],[fator5]],dados[[#This Row],[fator6]])</f>
        <v>#REF!</v>
      </c>
    </row>
    <row r="2086" spans="1:23">
      <c r="A2086" t="s">
        <v>17</v>
      </c>
      <c r="B2086">
        <v>486853</v>
      </c>
      <c r="C2086">
        <v>16</v>
      </c>
      <c r="D2086">
        <v>30</v>
      </c>
      <c r="E2086">
        <v>106</v>
      </c>
      <c r="F2086">
        <v>9</v>
      </c>
      <c r="G2086">
        <v>20</v>
      </c>
      <c r="H2086">
        <v>25</v>
      </c>
      <c r="I2086">
        <v>240</v>
      </c>
      <c r="J2086">
        <v>0</v>
      </c>
      <c r="K2086">
        <v>6.6310000000000002</v>
      </c>
      <c r="L2086">
        <v>13.887500000000001</v>
      </c>
      <c r="M2086">
        <v>88.245500000000007</v>
      </c>
      <c r="N2086">
        <v>17.100000000000001</v>
      </c>
      <c r="O2086">
        <v>1682</v>
      </c>
      <c r="P2086">
        <v>546</v>
      </c>
      <c r="Q2086" s="5" t="e">
        <f>IF(AND(#REF!&gt;=table!$C$6,#REF!&lt;= table!$D$6),-1,IF(AND(#REF!&gt;=table!$E$6,#REF!&lt;=table!$F$6),1,0))</f>
        <v>#REF!</v>
      </c>
      <c r="R2086" s="5" t="e">
        <f>IF(AND(#REF!&gt;=table!$C$7,#REF!&lt;= table!$D$7),-1,IF(AND(#REF!&gt;=table!$E$7,#REF!&lt;=table!$F$7),1,0))</f>
        <v>#REF!</v>
      </c>
      <c r="S2086" s="5" t="e">
        <f>IF(AND(#REF!&gt;=table!$C$8,#REF!&lt;= table!$D$8),-1,IF(AND(#REF!&gt;=table!$E$8,#REF!&lt;=table!$F$8),1,0))</f>
        <v>#REF!</v>
      </c>
      <c r="T2086" s="5"/>
      <c r="U2086" s="5" t="e">
        <f>IF(AND(#REF!&gt;=table!$C$10,#REF!&lt;= table!$D$10),-1,IF(AND(#REF!&gt;=table!$E$10,#REF!&lt;=table!$F$10),1,0))</f>
        <v>#REF!</v>
      </c>
      <c r="V2086" s="5" t="e">
        <f>IF(AND(#REF!&gt;=table!$C$11,#REF!&lt;= table!$D$11),-1,IF(AND(#REF!&gt;=table!$E$11,#REF!&lt;=table!$F$11),1,0))</f>
        <v>#REF!</v>
      </c>
      <c r="W2086" s="5" t="e">
        <f>CONCATENATE(dados[[#This Row],[fator1]],dados[[#This Row],[fator5]],dados[[#This Row],[fator6]])</f>
        <v>#REF!</v>
      </c>
    </row>
    <row r="2087" spans="1:23">
      <c r="A2087" t="s">
        <v>17</v>
      </c>
      <c r="B2087">
        <v>486854</v>
      </c>
      <c r="C2087">
        <v>16</v>
      </c>
      <c r="D2087">
        <v>30</v>
      </c>
      <c r="E2087">
        <v>116</v>
      </c>
      <c r="F2087">
        <v>6</v>
      </c>
      <c r="G2087">
        <v>20</v>
      </c>
      <c r="H2087">
        <v>25</v>
      </c>
      <c r="I2087">
        <v>634</v>
      </c>
      <c r="J2087">
        <v>0</v>
      </c>
      <c r="K2087">
        <v>8.4045000000000005</v>
      </c>
      <c r="L2087">
        <v>15.145000000000001</v>
      </c>
      <c r="M2087">
        <v>95.494</v>
      </c>
      <c r="N2087">
        <v>13.635</v>
      </c>
      <c r="O2087">
        <v>1669</v>
      </c>
      <c r="P2087">
        <v>395</v>
      </c>
      <c r="Q2087" s="5" t="e">
        <f>IF(AND(#REF!&gt;=table!$C$6,#REF!&lt;= table!$D$6),-1,IF(AND(#REF!&gt;=table!$E$6,#REF!&lt;=table!$F$6),1,0))</f>
        <v>#REF!</v>
      </c>
      <c r="R2087" s="5" t="e">
        <f>IF(AND(#REF!&gt;=table!$C$7,#REF!&lt;= table!$D$7),-1,IF(AND(#REF!&gt;=table!$E$7,#REF!&lt;=table!$F$7),1,0))</f>
        <v>#REF!</v>
      </c>
      <c r="S2087" s="5" t="e">
        <f>IF(AND(#REF!&gt;=table!$C$8,#REF!&lt;= table!$D$8),-1,IF(AND(#REF!&gt;=table!$E$8,#REF!&lt;=table!$F$8),1,0))</f>
        <v>#REF!</v>
      </c>
      <c r="T2087" s="5"/>
      <c r="U2087" s="5" t="e">
        <f>IF(AND(#REF!&gt;=table!$C$10,#REF!&lt;= table!$D$10),-1,IF(AND(#REF!&gt;=table!$E$10,#REF!&lt;=table!$F$10),1,0))</f>
        <v>#REF!</v>
      </c>
      <c r="V2087" s="5" t="e">
        <f>IF(AND(#REF!&gt;=table!$C$11,#REF!&lt;= table!$D$11),-1,IF(AND(#REF!&gt;=table!$E$11,#REF!&lt;=table!$F$11),1,0))</f>
        <v>#REF!</v>
      </c>
      <c r="W2087" s="5" t="e">
        <f>CONCATENATE(dados[[#This Row],[fator1]],dados[[#This Row],[fator5]],dados[[#This Row],[fator6]])</f>
        <v>#REF!</v>
      </c>
    </row>
    <row r="2088" spans="1:23">
      <c r="A2088" t="s">
        <v>17</v>
      </c>
      <c r="B2088">
        <v>486856</v>
      </c>
      <c r="C2088">
        <v>8</v>
      </c>
      <c r="D2088">
        <v>30</v>
      </c>
      <c r="E2088">
        <v>150</v>
      </c>
      <c r="F2088">
        <v>1</v>
      </c>
      <c r="G2088">
        <v>20</v>
      </c>
      <c r="H2088">
        <v>18</v>
      </c>
      <c r="I2088">
        <v>5</v>
      </c>
      <c r="J2088">
        <v>0</v>
      </c>
      <c r="K2088">
        <v>5.2720000000000002</v>
      </c>
      <c r="L2088">
        <v>9.8410000000000011</v>
      </c>
      <c r="M2088">
        <v>113.13</v>
      </c>
      <c r="N2088">
        <v>12.685</v>
      </c>
      <c r="O2088">
        <v>1686</v>
      </c>
      <c r="P2088">
        <v>766</v>
      </c>
      <c r="Q2088" s="5" t="e">
        <f>IF(AND(#REF!&gt;=table!$C$6,#REF!&lt;= table!$D$6),-1,IF(AND(#REF!&gt;=table!$E$6,#REF!&lt;=table!$F$6),1,0))</f>
        <v>#REF!</v>
      </c>
      <c r="R2088" s="5" t="e">
        <f>IF(AND(#REF!&gt;=table!$C$7,#REF!&lt;= table!$D$7),-1,IF(AND(#REF!&gt;=table!$E$7,#REF!&lt;=table!$F$7),1,0))</f>
        <v>#REF!</v>
      </c>
      <c r="S2088" s="5" t="e">
        <f>IF(AND(#REF!&gt;=table!$C$8,#REF!&lt;= table!$D$8),-1,IF(AND(#REF!&gt;=table!$E$8,#REF!&lt;=table!$F$8),1,0))</f>
        <v>#REF!</v>
      </c>
      <c r="T2088" s="5"/>
      <c r="U2088" s="5" t="e">
        <f>IF(AND(#REF!&gt;=table!$C$10,#REF!&lt;= table!$D$10),-1,IF(AND(#REF!&gt;=table!$E$10,#REF!&lt;=table!$F$10),1,0))</f>
        <v>#REF!</v>
      </c>
      <c r="V2088" s="5" t="e">
        <f>IF(AND(#REF!&gt;=table!$C$11,#REF!&lt;= table!$D$11),-1,IF(AND(#REF!&gt;=table!$E$11,#REF!&lt;=table!$F$11),1,0))</f>
        <v>#REF!</v>
      </c>
      <c r="W2088" s="5" t="e">
        <f>CONCATENATE(dados[[#This Row],[fator1]],dados[[#This Row],[fator5]],dados[[#This Row],[fator6]])</f>
        <v>#REF!</v>
      </c>
    </row>
    <row r="2089" spans="1:23">
      <c r="A2089" t="s">
        <v>17</v>
      </c>
      <c r="B2089">
        <v>486858</v>
      </c>
      <c r="C2089">
        <v>8</v>
      </c>
      <c r="D2089">
        <v>30</v>
      </c>
      <c r="E2089">
        <v>150</v>
      </c>
      <c r="F2089">
        <v>1</v>
      </c>
      <c r="G2089">
        <v>20</v>
      </c>
      <c r="H2089">
        <v>18</v>
      </c>
      <c r="I2089">
        <v>1</v>
      </c>
      <c r="J2089">
        <v>0</v>
      </c>
      <c r="K2089">
        <v>4.0555000000000003</v>
      </c>
      <c r="L2089">
        <v>6.6945000000000006</v>
      </c>
      <c r="M2089">
        <v>108.85950000000001</v>
      </c>
      <c r="N2089">
        <v>10.870000000000001</v>
      </c>
      <c r="O2089">
        <v>1672</v>
      </c>
      <c r="P2089">
        <v>1137</v>
      </c>
      <c r="Q2089" s="5" t="e">
        <f>IF(AND(#REF!&gt;=table!$C$6,#REF!&lt;= table!$D$6),-1,IF(AND(#REF!&gt;=table!$E$6,#REF!&lt;=table!$F$6),1,0))</f>
        <v>#REF!</v>
      </c>
      <c r="R2089" s="5" t="e">
        <f>IF(AND(#REF!&gt;=table!$C$7,#REF!&lt;= table!$D$7),-1,IF(AND(#REF!&gt;=table!$E$7,#REF!&lt;=table!$F$7),1,0))</f>
        <v>#REF!</v>
      </c>
      <c r="S2089" s="5" t="e">
        <f>IF(AND(#REF!&gt;=table!$C$8,#REF!&lt;= table!$D$8),-1,IF(AND(#REF!&gt;=table!$E$8,#REF!&lt;=table!$F$8),1,0))</f>
        <v>#REF!</v>
      </c>
      <c r="T2089" s="5"/>
      <c r="U2089" s="5" t="e">
        <f>IF(AND(#REF!&gt;=table!$C$10,#REF!&lt;= table!$D$10),-1,IF(AND(#REF!&gt;=table!$E$10,#REF!&lt;=table!$F$10),1,0))</f>
        <v>#REF!</v>
      </c>
      <c r="V2089" s="5" t="e">
        <f>IF(AND(#REF!&gt;=table!$C$11,#REF!&lt;= table!$D$11),-1,IF(AND(#REF!&gt;=table!$E$11,#REF!&lt;=table!$F$11),1,0))</f>
        <v>#REF!</v>
      </c>
      <c r="W2089" s="5" t="e">
        <f>CONCATENATE(dados[[#This Row],[fator1]],dados[[#This Row],[fator5]],dados[[#This Row],[fator6]])</f>
        <v>#REF!</v>
      </c>
    </row>
    <row r="2090" spans="1:23">
      <c r="A2090" t="s">
        <v>17</v>
      </c>
      <c r="B2090">
        <v>486859</v>
      </c>
      <c r="C2090">
        <v>8</v>
      </c>
      <c r="D2090">
        <v>30</v>
      </c>
      <c r="E2090">
        <v>150</v>
      </c>
      <c r="F2090">
        <v>1</v>
      </c>
      <c r="G2090">
        <v>20</v>
      </c>
      <c r="H2090">
        <v>18</v>
      </c>
      <c r="I2090">
        <v>1175</v>
      </c>
      <c r="J2090">
        <v>720</v>
      </c>
      <c r="K2090">
        <v>6.4055</v>
      </c>
      <c r="L2090">
        <v>15.4785</v>
      </c>
      <c r="M2090">
        <v>186.18300000000002</v>
      </c>
      <c r="N2090">
        <v>14.370000000000001</v>
      </c>
      <c r="O2090">
        <v>1695</v>
      </c>
      <c r="P2090">
        <v>0</v>
      </c>
      <c r="Q2090" s="5" t="e">
        <f>IF(AND(#REF!&gt;=table!$C$6,#REF!&lt;= table!$D$6),-1,IF(AND(#REF!&gt;=table!$E$6,#REF!&lt;=table!$F$6),1,0))</f>
        <v>#REF!</v>
      </c>
      <c r="R2090" s="5" t="e">
        <f>IF(AND(#REF!&gt;=table!$C$7,#REF!&lt;= table!$D$7),-1,IF(AND(#REF!&gt;=table!$E$7,#REF!&lt;=table!$F$7),1,0))</f>
        <v>#REF!</v>
      </c>
      <c r="S2090" s="5" t="e">
        <f>IF(AND(#REF!&gt;=table!$C$8,#REF!&lt;= table!$D$8),-1,IF(AND(#REF!&gt;=table!$E$8,#REF!&lt;=table!$F$8),1,0))</f>
        <v>#REF!</v>
      </c>
      <c r="T2090" s="5"/>
      <c r="U2090" s="5" t="e">
        <f>IF(AND(#REF!&gt;=table!$C$10,#REF!&lt;= table!$D$10),-1,IF(AND(#REF!&gt;=table!$E$10,#REF!&lt;=table!$F$10),1,0))</f>
        <v>#REF!</v>
      </c>
      <c r="V2090" s="5" t="e">
        <f>IF(AND(#REF!&gt;=table!$C$11,#REF!&lt;= table!$D$11),-1,IF(AND(#REF!&gt;=table!$E$11,#REF!&lt;=table!$F$11),1,0))</f>
        <v>#REF!</v>
      </c>
      <c r="W2090" s="5" t="e">
        <f>CONCATENATE(dados[[#This Row],[fator1]],dados[[#This Row],[fator5]],dados[[#This Row],[fator6]])</f>
        <v>#REF!</v>
      </c>
    </row>
    <row r="2091" spans="1:23">
      <c r="A2091" t="s">
        <v>17</v>
      </c>
      <c r="B2091">
        <v>486860</v>
      </c>
      <c r="C2091">
        <v>8</v>
      </c>
      <c r="D2091">
        <v>30</v>
      </c>
      <c r="E2091">
        <v>150</v>
      </c>
      <c r="F2091">
        <v>1</v>
      </c>
      <c r="G2091">
        <v>20</v>
      </c>
      <c r="H2091">
        <v>18</v>
      </c>
      <c r="I2091">
        <v>1659</v>
      </c>
      <c r="J2091">
        <v>0</v>
      </c>
      <c r="K2091">
        <v>6.2110000000000003</v>
      </c>
      <c r="L2091">
        <v>9.7970000000000006</v>
      </c>
      <c r="M2091">
        <v>80.626500000000007</v>
      </c>
      <c r="N2091">
        <v>11</v>
      </c>
      <c r="O2091">
        <v>1678</v>
      </c>
      <c r="P2091">
        <v>612</v>
      </c>
      <c r="Q2091" s="5" t="e">
        <f>IF(AND(#REF!&gt;=table!$C$6,#REF!&lt;= table!$D$6),-1,IF(AND(#REF!&gt;=table!$E$6,#REF!&lt;=table!$F$6),1,0))</f>
        <v>#REF!</v>
      </c>
      <c r="R2091" s="5" t="e">
        <f>IF(AND(#REF!&gt;=table!$C$7,#REF!&lt;= table!$D$7),-1,IF(AND(#REF!&gt;=table!$E$7,#REF!&lt;=table!$F$7),1,0))</f>
        <v>#REF!</v>
      </c>
      <c r="S2091" s="5" t="e">
        <f>IF(AND(#REF!&gt;=table!$C$8,#REF!&lt;= table!$D$8),-1,IF(AND(#REF!&gt;=table!$E$8,#REF!&lt;=table!$F$8),1,0))</f>
        <v>#REF!</v>
      </c>
      <c r="T2091" s="5"/>
      <c r="U2091" s="5" t="e">
        <f>IF(AND(#REF!&gt;=table!$C$10,#REF!&lt;= table!$D$10),-1,IF(AND(#REF!&gt;=table!$E$10,#REF!&lt;=table!$F$10),1,0))</f>
        <v>#REF!</v>
      </c>
      <c r="V2091" s="5" t="e">
        <f>IF(AND(#REF!&gt;=table!$C$11,#REF!&lt;= table!$D$11),-1,IF(AND(#REF!&gt;=table!$E$11,#REF!&lt;=table!$F$11),1,0))</f>
        <v>#REF!</v>
      </c>
      <c r="W2091" s="5" t="e">
        <f>CONCATENATE(dados[[#This Row],[fator1]],dados[[#This Row],[fator5]],dados[[#This Row],[fator6]])</f>
        <v>#REF!</v>
      </c>
    </row>
    <row r="2092" spans="1:23">
      <c r="A2092" t="s">
        <v>16</v>
      </c>
      <c r="B2092">
        <v>486868</v>
      </c>
      <c r="C2092">
        <v>0.15</v>
      </c>
      <c r="D2092">
        <v>35</v>
      </c>
      <c r="E2092">
        <v>15</v>
      </c>
      <c r="F2092">
        <v>10</v>
      </c>
      <c r="G2092">
        <v>0</v>
      </c>
      <c r="H2092">
        <v>12</v>
      </c>
      <c r="I2092">
        <v>880</v>
      </c>
      <c r="J2092">
        <v>0</v>
      </c>
      <c r="K2092">
        <v>8.298</v>
      </c>
      <c r="L2092">
        <v>15.207500000000001</v>
      </c>
      <c r="M2092">
        <v>14.483500000000001</v>
      </c>
      <c r="N2092">
        <v>15.02</v>
      </c>
      <c r="O2092">
        <v>1692</v>
      </c>
      <c r="P2092">
        <v>0</v>
      </c>
      <c r="Q2092" s="5" t="e">
        <f>IF(AND(#REF!&gt;=table!$C$6,#REF!&lt;= table!$D$6),-1,IF(AND(#REF!&gt;=table!$E$6,#REF!&lt;=table!$F$6),1,0))</f>
        <v>#REF!</v>
      </c>
      <c r="R2092" s="5" t="e">
        <f>IF(AND(#REF!&gt;=table!$C$7,#REF!&lt;= table!$D$7),-1,IF(AND(#REF!&gt;=table!$E$7,#REF!&lt;=table!$F$7),1,0))</f>
        <v>#REF!</v>
      </c>
      <c r="S2092" s="5" t="e">
        <f>IF(AND(#REF!&gt;=table!$C$8,#REF!&lt;= table!$D$8),-1,IF(AND(#REF!&gt;=table!$E$8,#REF!&lt;=table!$F$8),1,0))</f>
        <v>#REF!</v>
      </c>
      <c r="T2092" s="5"/>
      <c r="U2092" s="5" t="e">
        <f>IF(AND(#REF!&gt;=table!$C$10,#REF!&lt;= table!$D$10),-1,IF(AND(#REF!&gt;=table!$E$10,#REF!&lt;=table!$F$10),1,0))</f>
        <v>#REF!</v>
      </c>
      <c r="V2092" s="5" t="e">
        <f>IF(AND(#REF!&gt;=table!$C$11,#REF!&lt;= table!$D$11),-1,IF(AND(#REF!&gt;=table!$E$11,#REF!&lt;=table!$F$11),1,0))</f>
        <v>#REF!</v>
      </c>
      <c r="W2092" s="5" t="e">
        <f>CONCATENATE(dados[[#This Row],[fator1]],dados[[#This Row],[fator5]],dados[[#This Row],[fator6]])</f>
        <v>#REF!</v>
      </c>
    </row>
    <row r="2093" spans="1:23">
      <c r="A2093" t="s">
        <v>16</v>
      </c>
      <c r="B2093">
        <v>486871</v>
      </c>
      <c r="C2093">
        <v>0.15</v>
      </c>
      <c r="D2093">
        <v>35</v>
      </c>
      <c r="E2093">
        <v>15</v>
      </c>
      <c r="F2093">
        <v>10</v>
      </c>
      <c r="G2093">
        <v>0</v>
      </c>
      <c r="H2093">
        <v>12</v>
      </c>
      <c r="I2093">
        <v>6</v>
      </c>
      <c r="J2093">
        <v>0</v>
      </c>
      <c r="K2093">
        <v>4.5270000000000001</v>
      </c>
      <c r="L2093">
        <v>12.0435</v>
      </c>
      <c r="M2093">
        <v>10.472000000000001</v>
      </c>
      <c r="N2093">
        <v>11.27</v>
      </c>
      <c r="O2093">
        <v>1677</v>
      </c>
      <c r="P2093">
        <v>870</v>
      </c>
      <c r="Q2093" s="5" t="e">
        <f>IF(AND(#REF!&gt;=table!$C$6,#REF!&lt;= table!$D$6),-1,IF(AND(#REF!&gt;=table!$E$6,#REF!&lt;=table!$F$6),1,0))</f>
        <v>#REF!</v>
      </c>
      <c r="R2093" s="5" t="e">
        <f>IF(AND(#REF!&gt;=table!$C$7,#REF!&lt;= table!$D$7),-1,IF(AND(#REF!&gt;=table!$E$7,#REF!&lt;=table!$F$7),1,0))</f>
        <v>#REF!</v>
      </c>
      <c r="S2093" s="5" t="e">
        <f>IF(AND(#REF!&gt;=table!$C$8,#REF!&lt;= table!$D$8),-1,IF(AND(#REF!&gt;=table!$E$8,#REF!&lt;=table!$F$8),1,0))</f>
        <v>#REF!</v>
      </c>
      <c r="T2093" s="5"/>
      <c r="U2093" s="5" t="e">
        <f>IF(AND(#REF!&gt;=table!$C$10,#REF!&lt;= table!$D$10),-1,IF(AND(#REF!&gt;=table!$E$10,#REF!&lt;=table!$F$10),1,0))</f>
        <v>#REF!</v>
      </c>
      <c r="V2093" s="5" t="e">
        <f>IF(AND(#REF!&gt;=table!$C$11,#REF!&lt;= table!$D$11),-1,IF(AND(#REF!&gt;=table!$E$11,#REF!&lt;=table!$F$11),1,0))</f>
        <v>#REF!</v>
      </c>
      <c r="W2093" s="5" t="e">
        <f>CONCATENATE(dados[[#This Row],[fator1]],dados[[#This Row],[fator5]],dados[[#This Row],[fator6]])</f>
        <v>#REF!</v>
      </c>
    </row>
    <row r="2094" spans="1:23">
      <c r="A2094" t="s">
        <v>16</v>
      </c>
      <c r="B2094">
        <v>486875</v>
      </c>
      <c r="C2094">
        <v>0.15</v>
      </c>
      <c r="D2094">
        <v>35</v>
      </c>
      <c r="E2094">
        <v>15</v>
      </c>
      <c r="F2094">
        <v>10</v>
      </c>
      <c r="G2094">
        <v>0</v>
      </c>
      <c r="H2094">
        <v>12</v>
      </c>
      <c r="I2094">
        <v>1176</v>
      </c>
      <c r="J2094">
        <v>0</v>
      </c>
      <c r="K2094">
        <v>3.7120000000000002</v>
      </c>
      <c r="L2094">
        <v>6.2345000000000006</v>
      </c>
      <c r="M2094">
        <v>5.7745000000000006</v>
      </c>
      <c r="N2094">
        <v>7.0150000000000006</v>
      </c>
      <c r="O2094">
        <v>1654</v>
      </c>
      <c r="P2094">
        <v>1093</v>
      </c>
      <c r="Q2094" s="5" t="e">
        <f>IF(AND(#REF!&gt;=table!$C$6,#REF!&lt;= table!$D$6),-1,IF(AND(#REF!&gt;=table!$E$6,#REF!&lt;=table!$F$6),1,0))</f>
        <v>#REF!</v>
      </c>
      <c r="R2094" s="5" t="e">
        <f>IF(AND(#REF!&gt;=table!$C$7,#REF!&lt;= table!$D$7),-1,IF(AND(#REF!&gt;=table!$E$7,#REF!&lt;=table!$F$7),1,0))</f>
        <v>#REF!</v>
      </c>
      <c r="S2094" s="5" t="e">
        <f>IF(AND(#REF!&gt;=table!$C$8,#REF!&lt;= table!$D$8),-1,IF(AND(#REF!&gt;=table!$E$8,#REF!&lt;=table!$F$8),1,0))</f>
        <v>#REF!</v>
      </c>
      <c r="T2094" s="5"/>
      <c r="U2094" s="5" t="e">
        <f>IF(AND(#REF!&gt;=table!$C$10,#REF!&lt;= table!$D$10),-1,IF(AND(#REF!&gt;=table!$E$10,#REF!&lt;=table!$F$10),1,0))</f>
        <v>#REF!</v>
      </c>
      <c r="V2094" s="5" t="e">
        <f>IF(AND(#REF!&gt;=table!$C$11,#REF!&lt;= table!$D$11),-1,IF(AND(#REF!&gt;=table!$E$11,#REF!&lt;=table!$F$11),1,0))</f>
        <v>#REF!</v>
      </c>
      <c r="W2094" s="5" t="e">
        <f>CONCATENATE(dados[[#This Row],[fator1]],dados[[#This Row],[fator5]],dados[[#This Row],[fator6]])</f>
        <v>#REF!</v>
      </c>
    </row>
    <row r="2095" spans="1:23">
      <c r="A2095" t="s">
        <v>16</v>
      </c>
      <c r="B2095">
        <v>486878</v>
      </c>
      <c r="C2095">
        <v>0.15</v>
      </c>
      <c r="D2095">
        <v>40</v>
      </c>
      <c r="E2095">
        <v>10</v>
      </c>
      <c r="F2095">
        <v>15</v>
      </c>
      <c r="G2095">
        <v>0</v>
      </c>
      <c r="H2095">
        <v>15</v>
      </c>
      <c r="I2095">
        <v>1456</v>
      </c>
      <c r="J2095">
        <v>0</v>
      </c>
      <c r="K2095">
        <v>5.0140000000000002</v>
      </c>
      <c r="L2095">
        <v>6.8425000000000002</v>
      </c>
      <c r="M2095">
        <v>6.375</v>
      </c>
      <c r="N2095">
        <v>9.4450000000000003</v>
      </c>
      <c r="O2095">
        <v>1673</v>
      </c>
      <c r="P2095">
        <v>797</v>
      </c>
      <c r="Q2095" s="5" t="e">
        <f>IF(AND(#REF!&gt;=table!$C$6,#REF!&lt;= table!$D$6),-1,IF(AND(#REF!&gt;=table!$E$6,#REF!&lt;=table!$F$6),1,0))</f>
        <v>#REF!</v>
      </c>
      <c r="R2095" s="5" t="e">
        <f>IF(AND(#REF!&gt;=table!$C$7,#REF!&lt;= table!$D$7),-1,IF(AND(#REF!&gt;=table!$E$7,#REF!&lt;=table!$F$7),1,0))</f>
        <v>#REF!</v>
      </c>
      <c r="S2095" s="5" t="e">
        <f>IF(AND(#REF!&gt;=table!$C$8,#REF!&lt;= table!$D$8),-1,IF(AND(#REF!&gt;=table!$E$8,#REF!&lt;=table!$F$8),1,0))</f>
        <v>#REF!</v>
      </c>
      <c r="T2095" s="5"/>
      <c r="U2095" s="5" t="e">
        <f>IF(AND(#REF!&gt;=table!$C$10,#REF!&lt;= table!$D$10),-1,IF(AND(#REF!&gt;=table!$E$10,#REF!&lt;=table!$F$10),1,0))</f>
        <v>#REF!</v>
      </c>
      <c r="V2095" s="5" t="e">
        <f>IF(AND(#REF!&gt;=table!$C$11,#REF!&lt;= table!$D$11),-1,IF(AND(#REF!&gt;=table!$E$11,#REF!&lt;=table!$F$11),1,0))</f>
        <v>#REF!</v>
      </c>
      <c r="W2095" s="5" t="e">
        <f>CONCATENATE(dados[[#This Row],[fator1]],dados[[#This Row],[fator5]],dados[[#This Row],[fator6]])</f>
        <v>#REF!</v>
      </c>
    </row>
    <row r="2096" spans="1:23">
      <c r="A2096" t="s">
        <v>16</v>
      </c>
      <c r="B2096">
        <v>486879</v>
      </c>
      <c r="C2096">
        <v>0.1</v>
      </c>
      <c r="D2096">
        <v>40</v>
      </c>
      <c r="E2096">
        <v>10</v>
      </c>
      <c r="F2096">
        <v>8</v>
      </c>
      <c r="G2096">
        <v>0</v>
      </c>
      <c r="H2096">
        <v>10</v>
      </c>
      <c r="I2096">
        <v>949</v>
      </c>
      <c r="J2096">
        <v>0</v>
      </c>
      <c r="K2096">
        <v>4.25</v>
      </c>
      <c r="L2096">
        <v>7.7850000000000001</v>
      </c>
      <c r="M2096">
        <v>7.2675000000000001</v>
      </c>
      <c r="N2096">
        <v>8.33</v>
      </c>
      <c r="O2096">
        <v>1643</v>
      </c>
      <c r="P2096">
        <v>0</v>
      </c>
      <c r="Q2096" s="5" t="e">
        <f>IF(AND(#REF!&gt;=table!$C$6,#REF!&lt;= table!$D$6),-1,IF(AND(#REF!&gt;=table!$E$6,#REF!&lt;=table!$F$6),1,0))</f>
        <v>#REF!</v>
      </c>
      <c r="R2096" s="5" t="e">
        <f>IF(AND(#REF!&gt;=table!$C$7,#REF!&lt;= table!$D$7),-1,IF(AND(#REF!&gt;=table!$E$7,#REF!&lt;=table!$F$7),1,0))</f>
        <v>#REF!</v>
      </c>
      <c r="S2096" s="5" t="e">
        <f>IF(AND(#REF!&gt;=table!$C$8,#REF!&lt;= table!$D$8),-1,IF(AND(#REF!&gt;=table!$E$8,#REF!&lt;=table!$F$8),1,0))</f>
        <v>#REF!</v>
      </c>
      <c r="T2096" s="5"/>
      <c r="U2096" s="5" t="e">
        <f>IF(AND(#REF!&gt;=table!$C$10,#REF!&lt;= table!$D$10),-1,IF(AND(#REF!&gt;=table!$E$10,#REF!&lt;=table!$F$10),1,0))</f>
        <v>#REF!</v>
      </c>
      <c r="V2096" s="5" t="e">
        <f>IF(AND(#REF!&gt;=table!$C$11,#REF!&lt;= table!$D$11),-1,IF(AND(#REF!&gt;=table!$E$11,#REF!&lt;=table!$F$11),1,0))</f>
        <v>#REF!</v>
      </c>
      <c r="W2096" s="5" t="e">
        <f>CONCATENATE(dados[[#This Row],[fator1]],dados[[#This Row],[fator5]],dados[[#This Row],[fator6]])</f>
        <v>#REF!</v>
      </c>
    </row>
    <row r="2097" spans="1:23">
      <c r="A2097" t="s">
        <v>16</v>
      </c>
      <c r="B2097">
        <v>486881</v>
      </c>
      <c r="C2097">
        <v>6</v>
      </c>
      <c r="D2097">
        <v>40</v>
      </c>
      <c r="E2097">
        <v>66</v>
      </c>
      <c r="F2097">
        <v>10</v>
      </c>
      <c r="G2097">
        <v>0</v>
      </c>
      <c r="H2097">
        <v>25</v>
      </c>
      <c r="I2097">
        <v>12</v>
      </c>
      <c r="J2097">
        <v>0</v>
      </c>
      <c r="K2097">
        <v>4.9530000000000003</v>
      </c>
      <c r="L2097">
        <v>16.7745</v>
      </c>
      <c r="M2097">
        <v>66.223500000000001</v>
      </c>
      <c r="N2097">
        <v>22.055</v>
      </c>
      <c r="O2097">
        <v>1686</v>
      </c>
      <c r="P2097">
        <v>816</v>
      </c>
      <c r="Q2097" s="5" t="e">
        <f>IF(AND(#REF!&gt;=table!$C$6,#REF!&lt;= table!$D$6),-1,IF(AND(#REF!&gt;=table!$E$6,#REF!&lt;=table!$F$6),1,0))</f>
        <v>#REF!</v>
      </c>
      <c r="R2097" s="5" t="e">
        <f>IF(AND(#REF!&gt;=table!$C$7,#REF!&lt;= table!$D$7),-1,IF(AND(#REF!&gt;=table!$E$7,#REF!&lt;=table!$F$7),1,0))</f>
        <v>#REF!</v>
      </c>
      <c r="S2097" s="5" t="e">
        <f>IF(AND(#REF!&gt;=table!$C$8,#REF!&lt;= table!$D$8),-1,IF(AND(#REF!&gt;=table!$E$8,#REF!&lt;=table!$F$8),1,0))</f>
        <v>#REF!</v>
      </c>
      <c r="T2097" s="5"/>
      <c r="U2097" s="5" t="e">
        <f>IF(AND(#REF!&gt;=table!$C$10,#REF!&lt;= table!$D$10),-1,IF(AND(#REF!&gt;=table!$E$10,#REF!&lt;=table!$F$10),1,0))</f>
        <v>#REF!</v>
      </c>
      <c r="V2097" s="5" t="e">
        <f>IF(AND(#REF!&gt;=table!$C$11,#REF!&lt;= table!$D$11),-1,IF(AND(#REF!&gt;=table!$E$11,#REF!&lt;=table!$F$11),1,0))</f>
        <v>#REF!</v>
      </c>
      <c r="W2097" s="5" t="e">
        <f>CONCATENATE(dados[[#This Row],[fator1]],dados[[#This Row],[fator5]],dados[[#This Row],[fator6]])</f>
        <v>#REF!</v>
      </c>
    </row>
    <row r="2098" spans="1:23">
      <c r="A2098" t="s">
        <v>16</v>
      </c>
      <c r="B2098">
        <v>486882</v>
      </c>
      <c r="C2098">
        <v>6</v>
      </c>
      <c r="D2098">
        <v>40</v>
      </c>
      <c r="E2098">
        <v>66</v>
      </c>
      <c r="F2098">
        <v>10</v>
      </c>
      <c r="G2098">
        <v>0</v>
      </c>
      <c r="H2098">
        <v>25</v>
      </c>
      <c r="I2098">
        <v>1282</v>
      </c>
      <c r="J2098">
        <v>0</v>
      </c>
      <c r="K2098">
        <v>4.0804999999999998</v>
      </c>
      <c r="L2098">
        <v>9.7035</v>
      </c>
      <c r="M2098">
        <v>58.625500000000002</v>
      </c>
      <c r="N2098">
        <v>16.015000000000001</v>
      </c>
      <c r="O2098">
        <v>1659</v>
      </c>
      <c r="P2098">
        <v>895</v>
      </c>
      <c r="Q2098" s="5" t="e">
        <f>IF(AND(#REF!&gt;=table!$C$6,#REF!&lt;= table!$D$6),-1,IF(AND(#REF!&gt;=table!$E$6,#REF!&lt;=table!$F$6),1,0))</f>
        <v>#REF!</v>
      </c>
      <c r="R2098" s="5" t="e">
        <f>IF(AND(#REF!&gt;=table!$C$7,#REF!&lt;= table!$D$7),-1,IF(AND(#REF!&gt;=table!$E$7,#REF!&lt;=table!$F$7),1,0))</f>
        <v>#REF!</v>
      </c>
      <c r="S2098" s="5" t="e">
        <f>IF(AND(#REF!&gt;=table!$C$8,#REF!&lt;= table!$D$8),-1,IF(AND(#REF!&gt;=table!$E$8,#REF!&lt;=table!$F$8),1,0))</f>
        <v>#REF!</v>
      </c>
      <c r="T2098" s="5"/>
      <c r="U2098" s="5" t="e">
        <f>IF(AND(#REF!&gt;=table!$C$10,#REF!&lt;= table!$D$10),-1,IF(AND(#REF!&gt;=table!$E$10,#REF!&lt;=table!$F$10),1,0))</f>
        <v>#REF!</v>
      </c>
      <c r="V2098" s="5" t="e">
        <f>IF(AND(#REF!&gt;=table!$C$11,#REF!&lt;= table!$D$11),-1,IF(AND(#REF!&gt;=table!$E$11,#REF!&lt;=table!$F$11),1,0))</f>
        <v>#REF!</v>
      </c>
      <c r="W2098" s="5" t="e">
        <f>CONCATENATE(dados[[#This Row],[fator1]],dados[[#This Row],[fator5]],dados[[#This Row],[fator6]])</f>
        <v>#REF!</v>
      </c>
    </row>
    <row r="2099" spans="1:23">
      <c r="A2099" t="s">
        <v>17</v>
      </c>
      <c r="B2099">
        <v>486892</v>
      </c>
      <c r="C2099">
        <v>8</v>
      </c>
      <c r="D2099">
        <v>30</v>
      </c>
      <c r="E2099">
        <v>153</v>
      </c>
      <c r="F2099">
        <v>2</v>
      </c>
      <c r="G2099">
        <v>20</v>
      </c>
      <c r="H2099">
        <v>18</v>
      </c>
      <c r="I2099">
        <v>747</v>
      </c>
      <c r="J2099">
        <v>1070</v>
      </c>
      <c r="K2099">
        <v>5.8980000000000006</v>
      </c>
      <c r="L2099">
        <v>14.404500000000001</v>
      </c>
      <c r="M2099">
        <v>129.80350000000001</v>
      </c>
      <c r="N2099">
        <v>13.445</v>
      </c>
      <c r="O2099">
        <v>1684</v>
      </c>
      <c r="P2099">
        <v>645</v>
      </c>
      <c r="Q2099" s="5" t="e">
        <f>IF(AND(#REF!&gt;=table!$C$6,#REF!&lt;= table!$D$6),-1,IF(AND(#REF!&gt;=table!$E$6,#REF!&lt;=table!$F$6),1,0))</f>
        <v>#REF!</v>
      </c>
      <c r="R2099" s="5" t="e">
        <f>IF(AND(#REF!&gt;=table!$C$7,#REF!&lt;= table!$D$7),-1,IF(AND(#REF!&gt;=table!$E$7,#REF!&lt;=table!$F$7),1,0))</f>
        <v>#REF!</v>
      </c>
      <c r="S2099" s="5" t="e">
        <f>IF(AND(#REF!&gt;=table!$C$8,#REF!&lt;= table!$D$8),-1,IF(AND(#REF!&gt;=table!$E$8,#REF!&lt;=table!$F$8),1,0))</f>
        <v>#REF!</v>
      </c>
      <c r="T2099" s="5"/>
      <c r="U2099" s="5" t="e">
        <f>IF(AND(#REF!&gt;=table!$C$10,#REF!&lt;= table!$D$10),-1,IF(AND(#REF!&gt;=table!$E$10,#REF!&lt;=table!$F$10),1,0))</f>
        <v>#REF!</v>
      </c>
      <c r="V2099" s="5" t="e">
        <f>IF(AND(#REF!&gt;=table!$C$11,#REF!&lt;= table!$D$11),-1,IF(AND(#REF!&gt;=table!$E$11,#REF!&lt;=table!$F$11),1,0))</f>
        <v>#REF!</v>
      </c>
      <c r="W2099" s="5" t="e">
        <f>CONCATENATE(dados[[#This Row],[fator1]],dados[[#This Row],[fator5]],dados[[#This Row],[fator6]])</f>
        <v>#REF!</v>
      </c>
    </row>
    <row r="2100" spans="1:23">
      <c r="A2100" t="s">
        <v>17</v>
      </c>
      <c r="B2100">
        <v>486894</v>
      </c>
      <c r="C2100">
        <v>12</v>
      </c>
      <c r="D2100">
        <v>30</v>
      </c>
      <c r="E2100">
        <v>115</v>
      </c>
      <c r="F2100">
        <v>4</v>
      </c>
      <c r="G2100">
        <v>25</v>
      </c>
      <c r="H2100">
        <v>20</v>
      </c>
      <c r="I2100">
        <v>0</v>
      </c>
      <c r="J2100">
        <v>0</v>
      </c>
      <c r="K2100">
        <v>3.4835000000000003</v>
      </c>
      <c r="L2100">
        <v>9.2855000000000008</v>
      </c>
      <c r="M2100">
        <v>115.69550000000001</v>
      </c>
      <c r="N2100">
        <v>13.045</v>
      </c>
      <c r="O2100">
        <v>1676</v>
      </c>
      <c r="P2100">
        <v>807</v>
      </c>
      <c r="Q2100" s="5" t="e">
        <f>IF(AND(#REF!&gt;=table!$C$6,#REF!&lt;= table!$D$6),-1,IF(AND(#REF!&gt;=table!$E$6,#REF!&lt;=table!$F$6),1,0))</f>
        <v>#REF!</v>
      </c>
      <c r="R2100" s="5" t="e">
        <f>IF(AND(#REF!&gt;=table!$C$7,#REF!&lt;= table!$D$7),-1,IF(AND(#REF!&gt;=table!$E$7,#REF!&lt;=table!$F$7),1,0))</f>
        <v>#REF!</v>
      </c>
      <c r="S2100" s="5" t="e">
        <f>IF(AND(#REF!&gt;=table!$C$8,#REF!&lt;= table!$D$8),-1,IF(AND(#REF!&gt;=table!$E$8,#REF!&lt;=table!$F$8),1,0))</f>
        <v>#REF!</v>
      </c>
      <c r="T2100" s="5"/>
      <c r="U2100" s="5" t="e">
        <f>IF(AND(#REF!&gt;=table!$C$10,#REF!&lt;= table!$D$10),-1,IF(AND(#REF!&gt;=table!$E$10,#REF!&lt;=table!$F$10),1,0))</f>
        <v>#REF!</v>
      </c>
      <c r="V2100" s="5" t="e">
        <f>IF(AND(#REF!&gt;=table!$C$11,#REF!&lt;= table!$D$11),-1,IF(AND(#REF!&gt;=table!$E$11,#REF!&lt;=table!$F$11),1,0))</f>
        <v>#REF!</v>
      </c>
      <c r="W2100" s="5" t="e">
        <f>CONCATENATE(dados[[#This Row],[fator1]],dados[[#This Row],[fator5]],dados[[#This Row],[fator6]])</f>
        <v>#REF!</v>
      </c>
    </row>
    <row r="2101" spans="1:23">
      <c r="A2101" t="s">
        <v>16</v>
      </c>
      <c r="B2101">
        <v>486898</v>
      </c>
      <c r="C2101">
        <v>0.15</v>
      </c>
      <c r="D2101">
        <v>35</v>
      </c>
      <c r="E2101">
        <v>15</v>
      </c>
      <c r="F2101">
        <v>10</v>
      </c>
      <c r="G2101">
        <v>0</v>
      </c>
      <c r="H2101">
        <v>12</v>
      </c>
      <c r="I2101">
        <v>916</v>
      </c>
      <c r="J2101">
        <v>780</v>
      </c>
      <c r="K2101">
        <v>6.7700000000000005</v>
      </c>
      <c r="L2101">
        <v>10.596</v>
      </c>
      <c r="M2101">
        <v>6.7640000000000002</v>
      </c>
      <c r="N2101">
        <v>7.66</v>
      </c>
      <c r="O2101">
        <v>1628</v>
      </c>
      <c r="P2101">
        <v>337</v>
      </c>
      <c r="Q2101" s="5" t="e">
        <f>IF(AND(#REF!&gt;=table!$C$6,#REF!&lt;= table!$D$6),-1,IF(AND(#REF!&gt;=table!$E$6,#REF!&lt;=table!$F$6),1,0))</f>
        <v>#REF!</v>
      </c>
      <c r="R2101" s="5" t="e">
        <f>IF(AND(#REF!&gt;=table!$C$7,#REF!&lt;= table!$D$7),-1,IF(AND(#REF!&gt;=table!$E$7,#REF!&lt;=table!$F$7),1,0))</f>
        <v>#REF!</v>
      </c>
      <c r="S2101" s="5" t="e">
        <f>IF(AND(#REF!&gt;=table!$C$8,#REF!&lt;= table!$D$8),-1,IF(AND(#REF!&gt;=table!$E$8,#REF!&lt;=table!$F$8),1,0))</f>
        <v>#REF!</v>
      </c>
      <c r="T2101" s="5"/>
      <c r="U2101" s="5" t="e">
        <f>IF(AND(#REF!&gt;=table!$C$10,#REF!&lt;= table!$D$10),-1,IF(AND(#REF!&gt;=table!$E$10,#REF!&lt;=table!$F$10),1,0))</f>
        <v>#REF!</v>
      </c>
      <c r="V2101" s="5" t="e">
        <f>IF(AND(#REF!&gt;=table!$C$11,#REF!&lt;= table!$D$11),-1,IF(AND(#REF!&gt;=table!$E$11,#REF!&lt;=table!$F$11),1,0))</f>
        <v>#REF!</v>
      </c>
      <c r="W2101" s="5" t="e">
        <f>CONCATENATE(dados[[#This Row],[fator1]],dados[[#This Row],[fator5]],dados[[#This Row],[fator6]])</f>
        <v>#REF!</v>
      </c>
    </row>
    <row r="2102" spans="1:23">
      <c r="A2102" t="s">
        <v>16</v>
      </c>
      <c r="B2102">
        <v>486903</v>
      </c>
      <c r="C2102">
        <v>9</v>
      </c>
      <c r="D2102">
        <v>35</v>
      </c>
      <c r="E2102">
        <v>40</v>
      </c>
      <c r="F2102">
        <v>9</v>
      </c>
      <c r="G2102">
        <v>0</v>
      </c>
      <c r="H2102">
        <v>25</v>
      </c>
      <c r="I2102">
        <v>1586</v>
      </c>
      <c r="J2102">
        <v>0</v>
      </c>
      <c r="K2102">
        <v>4.7160000000000002</v>
      </c>
      <c r="L2102">
        <v>8.2245000000000008</v>
      </c>
      <c r="M2102">
        <v>34.905500000000004</v>
      </c>
      <c r="N2102">
        <v>12.61</v>
      </c>
      <c r="O2102">
        <v>1699</v>
      </c>
      <c r="P2102">
        <v>817</v>
      </c>
      <c r="Q2102" s="5" t="e">
        <f>IF(AND(#REF!&gt;=table!$C$6,#REF!&lt;= table!$D$6),-1,IF(AND(#REF!&gt;=table!$E$6,#REF!&lt;=table!$F$6),1,0))</f>
        <v>#REF!</v>
      </c>
      <c r="R2102" s="5" t="e">
        <f>IF(AND(#REF!&gt;=table!$C$7,#REF!&lt;= table!$D$7),-1,IF(AND(#REF!&gt;=table!$E$7,#REF!&lt;=table!$F$7),1,0))</f>
        <v>#REF!</v>
      </c>
      <c r="S2102" s="5" t="e">
        <f>IF(AND(#REF!&gt;=table!$C$8,#REF!&lt;= table!$D$8),-1,IF(AND(#REF!&gt;=table!$E$8,#REF!&lt;=table!$F$8),1,0))</f>
        <v>#REF!</v>
      </c>
      <c r="T2102" s="5"/>
      <c r="U2102" s="5" t="e">
        <f>IF(AND(#REF!&gt;=table!$C$10,#REF!&lt;= table!$D$10),-1,IF(AND(#REF!&gt;=table!$E$10,#REF!&lt;=table!$F$10),1,0))</f>
        <v>#REF!</v>
      </c>
      <c r="V2102" s="5" t="e">
        <f>IF(AND(#REF!&gt;=table!$C$11,#REF!&lt;= table!$D$11),-1,IF(AND(#REF!&gt;=table!$E$11,#REF!&lt;=table!$F$11),1,0))</f>
        <v>#REF!</v>
      </c>
      <c r="W2102" s="5" t="e">
        <f>CONCATENATE(dados[[#This Row],[fator1]],dados[[#This Row],[fator5]],dados[[#This Row],[fator6]])</f>
        <v>#REF!</v>
      </c>
    </row>
    <row r="2103" spans="1:23">
      <c r="A2103" t="s">
        <v>16</v>
      </c>
      <c r="B2103">
        <v>486905</v>
      </c>
      <c r="C2103">
        <v>9</v>
      </c>
      <c r="D2103">
        <v>27</v>
      </c>
      <c r="E2103">
        <v>36</v>
      </c>
      <c r="F2103">
        <v>8</v>
      </c>
      <c r="G2103">
        <v>0</v>
      </c>
      <c r="H2103">
        <v>25</v>
      </c>
      <c r="I2103">
        <v>579</v>
      </c>
      <c r="J2103">
        <v>0</v>
      </c>
      <c r="K2103">
        <v>4.3500000000000005</v>
      </c>
      <c r="L2103">
        <v>10.814500000000001</v>
      </c>
      <c r="M2103">
        <v>34.474000000000004</v>
      </c>
      <c r="N2103">
        <v>12.47</v>
      </c>
      <c r="O2103">
        <v>1680</v>
      </c>
      <c r="P2103">
        <v>891</v>
      </c>
      <c r="Q2103" s="5" t="e">
        <f>IF(AND(#REF!&gt;=table!$C$6,#REF!&lt;= table!$D$6),-1,IF(AND(#REF!&gt;=table!$E$6,#REF!&lt;=table!$F$6),1,0))</f>
        <v>#REF!</v>
      </c>
      <c r="R2103" s="5" t="e">
        <f>IF(AND(#REF!&gt;=table!$C$7,#REF!&lt;= table!$D$7),-1,IF(AND(#REF!&gt;=table!$E$7,#REF!&lt;=table!$F$7),1,0))</f>
        <v>#REF!</v>
      </c>
      <c r="S2103" s="5" t="e">
        <f>IF(AND(#REF!&gt;=table!$C$8,#REF!&lt;= table!$D$8),-1,IF(AND(#REF!&gt;=table!$E$8,#REF!&lt;=table!$F$8),1,0))</f>
        <v>#REF!</v>
      </c>
      <c r="T2103" s="5"/>
      <c r="U2103" s="5" t="e">
        <f>IF(AND(#REF!&gt;=table!$C$10,#REF!&lt;= table!$D$10),-1,IF(AND(#REF!&gt;=table!$E$10,#REF!&lt;=table!$F$10),1,0))</f>
        <v>#REF!</v>
      </c>
      <c r="V2103" s="5" t="e">
        <f>IF(AND(#REF!&gt;=table!$C$11,#REF!&lt;= table!$D$11),-1,IF(AND(#REF!&gt;=table!$E$11,#REF!&lt;=table!$F$11),1,0))</f>
        <v>#REF!</v>
      </c>
      <c r="W2103" s="5" t="e">
        <f>CONCATENATE(dados[[#This Row],[fator1]],dados[[#This Row],[fator5]],dados[[#This Row],[fator6]])</f>
        <v>#REF!</v>
      </c>
    </row>
    <row r="2104" spans="1:23">
      <c r="A2104" t="s">
        <v>17</v>
      </c>
      <c r="B2104">
        <v>486912</v>
      </c>
      <c r="C2104">
        <v>18</v>
      </c>
      <c r="D2104">
        <v>23</v>
      </c>
      <c r="E2104">
        <v>145</v>
      </c>
      <c r="F2104">
        <v>9</v>
      </c>
      <c r="G2104">
        <v>30</v>
      </c>
      <c r="H2104">
        <v>25</v>
      </c>
      <c r="I2104">
        <v>878</v>
      </c>
      <c r="J2104">
        <v>0</v>
      </c>
      <c r="K2104">
        <v>5.6165000000000003</v>
      </c>
      <c r="L2104">
        <v>12.33</v>
      </c>
      <c r="M2104">
        <v>13.714500000000001</v>
      </c>
      <c r="N2104">
        <v>16.82</v>
      </c>
      <c r="O2104">
        <v>1678</v>
      </c>
      <c r="P2104">
        <v>586</v>
      </c>
      <c r="Q2104" s="5" t="e">
        <f>IF(AND(#REF!&gt;=table!$C$6,#REF!&lt;= table!$D$6),-1,IF(AND(#REF!&gt;=table!$E$6,#REF!&lt;=table!$F$6),1,0))</f>
        <v>#REF!</v>
      </c>
      <c r="R2104" s="5" t="e">
        <f>IF(AND(#REF!&gt;=table!$C$7,#REF!&lt;= table!$D$7),-1,IF(AND(#REF!&gt;=table!$E$7,#REF!&lt;=table!$F$7),1,0))</f>
        <v>#REF!</v>
      </c>
      <c r="S2104" s="5" t="e">
        <f>IF(AND(#REF!&gt;=table!$C$8,#REF!&lt;= table!$D$8),-1,IF(AND(#REF!&gt;=table!$E$8,#REF!&lt;=table!$F$8),1,0))</f>
        <v>#REF!</v>
      </c>
      <c r="T2104" s="5"/>
      <c r="U2104" s="5" t="e">
        <f>IF(AND(#REF!&gt;=table!$C$10,#REF!&lt;= table!$D$10),-1,IF(AND(#REF!&gt;=table!$E$10,#REF!&lt;=table!$F$10),1,0))</f>
        <v>#REF!</v>
      </c>
      <c r="V2104" s="5" t="e">
        <f>IF(AND(#REF!&gt;=table!$C$11,#REF!&lt;= table!$D$11),-1,IF(AND(#REF!&gt;=table!$E$11,#REF!&lt;=table!$F$11),1,0))</f>
        <v>#REF!</v>
      </c>
      <c r="W2104" s="5" t="e">
        <f>CONCATENATE(dados[[#This Row],[fator1]],dados[[#This Row],[fator5]],dados[[#This Row],[fator6]])</f>
        <v>#REF!</v>
      </c>
    </row>
    <row r="2105" spans="1:23">
      <c r="A2105" t="s">
        <v>17</v>
      </c>
      <c r="B2105">
        <v>486913</v>
      </c>
      <c r="C2105">
        <v>16</v>
      </c>
      <c r="D2105">
        <v>23</v>
      </c>
      <c r="E2105">
        <v>145</v>
      </c>
      <c r="F2105">
        <v>4</v>
      </c>
      <c r="G2105">
        <v>30</v>
      </c>
      <c r="H2105">
        <v>25</v>
      </c>
      <c r="I2105">
        <v>805</v>
      </c>
      <c r="J2105">
        <v>0</v>
      </c>
      <c r="K2105">
        <v>9.3674999999999997</v>
      </c>
      <c r="L2105">
        <v>11.464</v>
      </c>
      <c r="M2105">
        <v>99.112000000000009</v>
      </c>
      <c r="N2105">
        <v>14.015000000000001</v>
      </c>
      <c r="O2105">
        <v>1666</v>
      </c>
      <c r="P2105">
        <v>375</v>
      </c>
      <c r="Q2105" s="5" t="e">
        <f>IF(AND(#REF!&gt;=table!$C$6,#REF!&lt;= table!$D$6),-1,IF(AND(#REF!&gt;=table!$E$6,#REF!&lt;=table!$F$6),1,0))</f>
        <v>#REF!</v>
      </c>
      <c r="R2105" s="5" t="e">
        <f>IF(AND(#REF!&gt;=table!$C$7,#REF!&lt;= table!$D$7),-1,IF(AND(#REF!&gt;=table!$E$7,#REF!&lt;=table!$F$7),1,0))</f>
        <v>#REF!</v>
      </c>
      <c r="S2105" s="5" t="e">
        <f>IF(AND(#REF!&gt;=table!$C$8,#REF!&lt;= table!$D$8),-1,IF(AND(#REF!&gt;=table!$E$8,#REF!&lt;=table!$F$8),1,0))</f>
        <v>#REF!</v>
      </c>
      <c r="T2105" s="5"/>
      <c r="U2105" s="5" t="e">
        <f>IF(AND(#REF!&gt;=table!$C$10,#REF!&lt;= table!$D$10),-1,IF(AND(#REF!&gt;=table!$E$10,#REF!&lt;=table!$F$10),1,0))</f>
        <v>#REF!</v>
      </c>
      <c r="V2105" s="5" t="e">
        <f>IF(AND(#REF!&gt;=table!$C$11,#REF!&lt;= table!$D$11),-1,IF(AND(#REF!&gt;=table!$E$11,#REF!&lt;=table!$F$11),1,0))</f>
        <v>#REF!</v>
      </c>
      <c r="W2105" s="5" t="e">
        <f>CONCATENATE(dados[[#This Row],[fator1]],dados[[#This Row],[fator5]],dados[[#This Row],[fator6]])</f>
        <v>#REF!</v>
      </c>
    </row>
    <row r="2106" spans="1:23">
      <c r="A2106" t="s">
        <v>17</v>
      </c>
      <c r="B2106">
        <v>486917</v>
      </c>
      <c r="C2106">
        <v>0.15</v>
      </c>
      <c r="D2106">
        <v>40</v>
      </c>
      <c r="E2106">
        <v>105</v>
      </c>
      <c r="F2106">
        <v>10</v>
      </c>
      <c r="G2106">
        <v>10</v>
      </c>
      <c r="H2106">
        <v>80</v>
      </c>
      <c r="I2106">
        <v>1214</v>
      </c>
      <c r="J2106">
        <v>0</v>
      </c>
      <c r="K2106">
        <v>4.8690000000000007</v>
      </c>
      <c r="L2106">
        <v>11.894</v>
      </c>
      <c r="M2106">
        <v>11.2605</v>
      </c>
      <c r="N2106">
        <v>18.09</v>
      </c>
      <c r="O2106">
        <v>1674</v>
      </c>
      <c r="P2106">
        <v>777</v>
      </c>
      <c r="Q2106" s="5" t="e">
        <f>IF(AND(#REF!&gt;=table!$C$6,#REF!&lt;= table!$D$6),-1,IF(AND(#REF!&gt;=table!$E$6,#REF!&lt;=table!$F$6),1,0))</f>
        <v>#REF!</v>
      </c>
      <c r="R2106" s="5" t="e">
        <f>IF(AND(#REF!&gt;=table!$C$7,#REF!&lt;= table!$D$7),-1,IF(AND(#REF!&gt;=table!$E$7,#REF!&lt;=table!$F$7),1,0))</f>
        <v>#REF!</v>
      </c>
      <c r="S2106" s="5" t="e">
        <f>IF(AND(#REF!&gt;=table!$C$8,#REF!&lt;= table!$D$8),-1,IF(AND(#REF!&gt;=table!$E$8,#REF!&lt;=table!$F$8),1,0))</f>
        <v>#REF!</v>
      </c>
      <c r="T2106" s="5"/>
      <c r="U2106" s="5" t="e">
        <f>IF(AND(#REF!&gt;=table!$C$10,#REF!&lt;= table!$D$10),-1,IF(AND(#REF!&gt;=table!$E$10,#REF!&lt;=table!$F$10),1,0))</f>
        <v>#REF!</v>
      </c>
      <c r="V2106" s="5" t="e">
        <f>IF(AND(#REF!&gt;=table!$C$11,#REF!&lt;= table!$D$11),-1,IF(AND(#REF!&gt;=table!$E$11,#REF!&lt;=table!$F$11),1,0))</f>
        <v>#REF!</v>
      </c>
      <c r="W2106" s="5" t="e">
        <f>CONCATENATE(dados[[#This Row],[fator1]],dados[[#This Row],[fator5]],dados[[#This Row],[fator6]])</f>
        <v>#REF!</v>
      </c>
    </row>
    <row r="2107" spans="1:23">
      <c r="A2107" t="s">
        <v>16</v>
      </c>
      <c r="B2107">
        <v>486921</v>
      </c>
      <c r="C2107">
        <v>12</v>
      </c>
      <c r="D2107">
        <v>40</v>
      </c>
      <c r="E2107">
        <v>36</v>
      </c>
      <c r="F2107">
        <v>9</v>
      </c>
      <c r="G2107">
        <v>0</v>
      </c>
      <c r="H2107">
        <v>25</v>
      </c>
      <c r="I2107">
        <v>201</v>
      </c>
      <c r="J2107">
        <v>0</v>
      </c>
      <c r="K2107">
        <v>4.9560000000000004</v>
      </c>
      <c r="L2107">
        <v>7.8530000000000006</v>
      </c>
      <c r="M2107">
        <v>35.496000000000002</v>
      </c>
      <c r="N2107">
        <v>10.93</v>
      </c>
      <c r="O2107">
        <v>1636</v>
      </c>
      <c r="P2107">
        <v>546</v>
      </c>
      <c r="Q2107" s="5" t="e">
        <f>IF(AND(#REF!&gt;=table!$C$6,#REF!&lt;= table!$D$6),-1,IF(AND(#REF!&gt;=table!$E$6,#REF!&lt;=table!$F$6),1,0))</f>
        <v>#REF!</v>
      </c>
      <c r="R2107" s="5" t="e">
        <f>IF(AND(#REF!&gt;=table!$C$7,#REF!&lt;= table!$D$7),-1,IF(AND(#REF!&gt;=table!$E$7,#REF!&lt;=table!$F$7),1,0))</f>
        <v>#REF!</v>
      </c>
      <c r="S2107" s="5" t="e">
        <f>IF(AND(#REF!&gt;=table!$C$8,#REF!&lt;= table!$D$8),-1,IF(AND(#REF!&gt;=table!$E$8,#REF!&lt;=table!$F$8),1,0))</f>
        <v>#REF!</v>
      </c>
      <c r="T2107" s="5"/>
      <c r="U2107" s="5" t="e">
        <f>IF(AND(#REF!&gt;=table!$C$10,#REF!&lt;= table!$D$10),-1,IF(AND(#REF!&gt;=table!$E$10,#REF!&lt;=table!$F$10),1,0))</f>
        <v>#REF!</v>
      </c>
      <c r="V2107" s="5" t="e">
        <f>IF(AND(#REF!&gt;=table!$C$11,#REF!&lt;= table!$D$11),-1,IF(AND(#REF!&gt;=table!$E$11,#REF!&lt;=table!$F$11),1,0))</f>
        <v>#REF!</v>
      </c>
      <c r="W2107" s="5" t="e">
        <f>CONCATENATE(dados[[#This Row],[fator1]],dados[[#This Row],[fator5]],dados[[#This Row],[fator6]])</f>
        <v>#REF!</v>
      </c>
    </row>
    <row r="2108" spans="1:23">
      <c r="A2108" t="s">
        <v>16</v>
      </c>
      <c r="B2108">
        <v>486923</v>
      </c>
      <c r="C2108">
        <v>12</v>
      </c>
      <c r="D2108">
        <v>40</v>
      </c>
      <c r="E2108">
        <v>36</v>
      </c>
      <c r="F2108">
        <v>9</v>
      </c>
      <c r="G2108">
        <v>0</v>
      </c>
      <c r="H2108">
        <v>25</v>
      </c>
      <c r="I2108">
        <v>924</v>
      </c>
      <c r="J2108">
        <v>0</v>
      </c>
      <c r="K2108">
        <v>5.3535000000000004</v>
      </c>
      <c r="L2108">
        <v>11.153</v>
      </c>
      <c r="M2108">
        <v>27.527000000000001</v>
      </c>
      <c r="N2108">
        <v>12.64</v>
      </c>
      <c r="O2108">
        <v>1661</v>
      </c>
      <c r="P2108">
        <v>655</v>
      </c>
      <c r="Q2108" s="5" t="e">
        <f>IF(AND(#REF!&gt;=table!$C$6,#REF!&lt;= table!$D$6),-1,IF(AND(#REF!&gt;=table!$E$6,#REF!&lt;=table!$F$6),1,0))</f>
        <v>#REF!</v>
      </c>
      <c r="R2108" s="5" t="e">
        <f>IF(AND(#REF!&gt;=table!$C$7,#REF!&lt;= table!$D$7),-1,IF(AND(#REF!&gt;=table!$E$7,#REF!&lt;=table!$F$7),1,0))</f>
        <v>#REF!</v>
      </c>
      <c r="S2108" s="5" t="e">
        <f>IF(AND(#REF!&gt;=table!$C$8,#REF!&lt;= table!$D$8),-1,IF(AND(#REF!&gt;=table!$E$8,#REF!&lt;=table!$F$8),1,0))</f>
        <v>#REF!</v>
      </c>
      <c r="T2108" s="5"/>
      <c r="U2108" s="5" t="e">
        <f>IF(AND(#REF!&gt;=table!$C$10,#REF!&lt;= table!$D$10),-1,IF(AND(#REF!&gt;=table!$E$10,#REF!&lt;=table!$F$10),1,0))</f>
        <v>#REF!</v>
      </c>
      <c r="V2108" s="5" t="e">
        <f>IF(AND(#REF!&gt;=table!$C$11,#REF!&lt;= table!$D$11),-1,IF(AND(#REF!&gt;=table!$E$11,#REF!&lt;=table!$F$11),1,0))</f>
        <v>#REF!</v>
      </c>
      <c r="W2108" s="5" t="e">
        <f>CONCATENATE(dados[[#This Row],[fator1]],dados[[#This Row],[fator5]],dados[[#This Row],[fator6]])</f>
        <v>#REF!</v>
      </c>
    </row>
    <row r="2109" spans="1:23">
      <c r="A2109" t="s">
        <v>16</v>
      </c>
      <c r="B2109">
        <v>486931</v>
      </c>
      <c r="C2109">
        <v>12</v>
      </c>
      <c r="D2109">
        <v>35</v>
      </c>
      <c r="E2109">
        <v>86</v>
      </c>
      <c r="F2109">
        <v>10</v>
      </c>
      <c r="G2109">
        <v>0</v>
      </c>
      <c r="H2109">
        <v>25</v>
      </c>
      <c r="I2109">
        <v>1158</v>
      </c>
      <c r="J2109">
        <v>0</v>
      </c>
      <c r="K2109">
        <v>7.9555000000000007</v>
      </c>
      <c r="L2109">
        <v>10.097000000000001</v>
      </c>
      <c r="M2109">
        <v>85.006500000000003</v>
      </c>
      <c r="N2109">
        <v>18.72</v>
      </c>
      <c r="O2109">
        <v>1685</v>
      </c>
      <c r="P2109">
        <v>852</v>
      </c>
      <c r="Q2109" s="5" t="e">
        <f>IF(AND(#REF!&gt;=table!$C$6,#REF!&lt;= table!$D$6),-1,IF(AND(#REF!&gt;=table!$E$6,#REF!&lt;=table!$F$6),1,0))</f>
        <v>#REF!</v>
      </c>
      <c r="R2109" s="5" t="e">
        <f>IF(AND(#REF!&gt;=table!$C$7,#REF!&lt;= table!$D$7),-1,IF(AND(#REF!&gt;=table!$E$7,#REF!&lt;=table!$F$7),1,0))</f>
        <v>#REF!</v>
      </c>
      <c r="S2109" s="5" t="e">
        <f>IF(AND(#REF!&gt;=table!$C$8,#REF!&lt;= table!$D$8),-1,IF(AND(#REF!&gt;=table!$E$8,#REF!&lt;=table!$F$8),1,0))</f>
        <v>#REF!</v>
      </c>
      <c r="T2109" s="5"/>
      <c r="U2109" s="5" t="e">
        <f>IF(AND(#REF!&gt;=table!$C$10,#REF!&lt;= table!$D$10),-1,IF(AND(#REF!&gt;=table!$E$10,#REF!&lt;=table!$F$10),1,0))</f>
        <v>#REF!</v>
      </c>
      <c r="V2109" s="5" t="e">
        <f>IF(AND(#REF!&gt;=table!$C$11,#REF!&lt;= table!$D$11),-1,IF(AND(#REF!&gt;=table!$E$11,#REF!&lt;=table!$F$11),1,0))</f>
        <v>#REF!</v>
      </c>
      <c r="W2109" s="5" t="e">
        <f>CONCATENATE(dados[[#This Row],[fator1]],dados[[#This Row],[fator5]],dados[[#This Row],[fator6]])</f>
        <v>#REF!</v>
      </c>
    </row>
    <row r="2110" spans="1:23">
      <c r="A2110" t="s">
        <v>16</v>
      </c>
      <c r="B2110">
        <v>486932</v>
      </c>
      <c r="C2110">
        <v>12</v>
      </c>
      <c r="D2110">
        <v>35</v>
      </c>
      <c r="E2110">
        <v>86</v>
      </c>
      <c r="F2110">
        <v>10</v>
      </c>
      <c r="G2110">
        <v>0</v>
      </c>
      <c r="H2110">
        <v>25</v>
      </c>
      <c r="I2110">
        <v>130</v>
      </c>
      <c r="J2110">
        <v>0</v>
      </c>
      <c r="K2110">
        <v>5.875</v>
      </c>
      <c r="L2110">
        <v>17.015000000000001</v>
      </c>
      <c r="M2110">
        <v>79.38300000000001</v>
      </c>
      <c r="N2110">
        <v>22.71</v>
      </c>
      <c r="O2110">
        <v>1679</v>
      </c>
      <c r="P2110">
        <v>559</v>
      </c>
      <c r="Q2110" s="5" t="e">
        <f>IF(AND(#REF!&gt;=table!$C$6,#REF!&lt;= table!$D$6),-1,IF(AND(#REF!&gt;=table!$E$6,#REF!&lt;=table!$F$6),1,0))</f>
        <v>#REF!</v>
      </c>
      <c r="R2110" s="5" t="e">
        <f>IF(AND(#REF!&gt;=table!$C$7,#REF!&lt;= table!$D$7),-1,IF(AND(#REF!&gt;=table!$E$7,#REF!&lt;=table!$F$7),1,0))</f>
        <v>#REF!</v>
      </c>
      <c r="S2110" s="5" t="e">
        <f>IF(AND(#REF!&gt;=table!$C$8,#REF!&lt;= table!$D$8),-1,IF(AND(#REF!&gt;=table!$E$8,#REF!&lt;=table!$F$8),1,0))</f>
        <v>#REF!</v>
      </c>
      <c r="T2110" s="5"/>
      <c r="U2110" s="5" t="e">
        <f>IF(AND(#REF!&gt;=table!$C$10,#REF!&lt;= table!$D$10),-1,IF(AND(#REF!&gt;=table!$E$10,#REF!&lt;=table!$F$10),1,0))</f>
        <v>#REF!</v>
      </c>
      <c r="V2110" s="5" t="e">
        <f>IF(AND(#REF!&gt;=table!$C$11,#REF!&lt;= table!$D$11),-1,IF(AND(#REF!&gt;=table!$E$11,#REF!&lt;=table!$F$11),1,0))</f>
        <v>#REF!</v>
      </c>
      <c r="W2110" s="5" t="e">
        <f>CONCATENATE(dados[[#This Row],[fator1]],dados[[#This Row],[fator5]],dados[[#This Row],[fator6]])</f>
        <v>#REF!</v>
      </c>
    </row>
    <row r="2111" spans="1:23">
      <c r="A2111" t="s">
        <v>16</v>
      </c>
      <c r="B2111">
        <v>486933</v>
      </c>
      <c r="C2111">
        <v>12</v>
      </c>
      <c r="D2111">
        <v>35</v>
      </c>
      <c r="E2111">
        <v>86</v>
      </c>
      <c r="F2111">
        <v>10</v>
      </c>
      <c r="G2111">
        <v>0</v>
      </c>
      <c r="H2111">
        <v>25</v>
      </c>
      <c r="I2111">
        <v>131</v>
      </c>
      <c r="J2111">
        <v>0</v>
      </c>
      <c r="K2111">
        <v>8.5244999999999997</v>
      </c>
      <c r="L2111">
        <v>18.7545</v>
      </c>
      <c r="M2111">
        <v>81.907000000000011</v>
      </c>
      <c r="N2111">
        <v>23.8</v>
      </c>
      <c r="O2111">
        <v>1670</v>
      </c>
      <c r="P2111">
        <v>390</v>
      </c>
      <c r="Q2111" s="5" t="e">
        <f>IF(AND(#REF!&gt;=table!$C$6,#REF!&lt;= table!$D$6),-1,IF(AND(#REF!&gt;=table!$E$6,#REF!&lt;=table!$F$6),1,0))</f>
        <v>#REF!</v>
      </c>
      <c r="R2111" s="5" t="e">
        <f>IF(AND(#REF!&gt;=table!$C$7,#REF!&lt;= table!$D$7),-1,IF(AND(#REF!&gt;=table!$E$7,#REF!&lt;=table!$F$7),1,0))</f>
        <v>#REF!</v>
      </c>
      <c r="S2111" s="5" t="e">
        <f>IF(AND(#REF!&gt;=table!$C$8,#REF!&lt;= table!$D$8),-1,IF(AND(#REF!&gt;=table!$E$8,#REF!&lt;=table!$F$8),1,0))</f>
        <v>#REF!</v>
      </c>
      <c r="T2111" s="5"/>
      <c r="U2111" s="5" t="e">
        <f>IF(AND(#REF!&gt;=table!$C$10,#REF!&lt;= table!$D$10),-1,IF(AND(#REF!&gt;=table!$E$10,#REF!&lt;=table!$F$10),1,0))</f>
        <v>#REF!</v>
      </c>
      <c r="V2111" s="5" t="e">
        <f>IF(AND(#REF!&gt;=table!$C$11,#REF!&lt;= table!$D$11),-1,IF(AND(#REF!&gt;=table!$E$11,#REF!&lt;=table!$F$11),1,0))</f>
        <v>#REF!</v>
      </c>
      <c r="W2111" s="5" t="e">
        <f>CONCATENATE(dados[[#This Row],[fator1]],dados[[#This Row],[fator5]],dados[[#This Row],[fator6]])</f>
        <v>#REF!</v>
      </c>
    </row>
    <row r="2112" spans="1:23">
      <c r="A2112" t="s">
        <v>16</v>
      </c>
      <c r="B2112">
        <v>486934</v>
      </c>
      <c r="C2112">
        <v>12</v>
      </c>
      <c r="D2112">
        <v>35</v>
      </c>
      <c r="E2112">
        <v>86</v>
      </c>
      <c r="F2112">
        <v>10</v>
      </c>
      <c r="G2112">
        <v>0</v>
      </c>
      <c r="H2112">
        <v>25</v>
      </c>
      <c r="I2112">
        <v>1682</v>
      </c>
      <c r="J2112">
        <v>0</v>
      </c>
      <c r="K2112">
        <v>7.9555000000000007</v>
      </c>
      <c r="L2112">
        <v>10.097000000000001</v>
      </c>
      <c r="M2112">
        <v>77.95</v>
      </c>
      <c r="N2112">
        <v>16.88</v>
      </c>
      <c r="O2112">
        <v>1678</v>
      </c>
      <c r="P2112">
        <v>485</v>
      </c>
      <c r="Q2112" s="5" t="e">
        <f>IF(AND(#REF!&gt;=table!$C$6,#REF!&lt;= table!$D$6),-1,IF(AND(#REF!&gt;=table!$E$6,#REF!&lt;=table!$F$6),1,0))</f>
        <v>#REF!</v>
      </c>
      <c r="R2112" s="5" t="e">
        <f>IF(AND(#REF!&gt;=table!$C$7,#REF!&lt;= table!$D$7),-1,IF(AND(#REF!&gt;=table!$E$7,#REF!&lt;=table!$F$7),1,0))</f>
        <v>#REF!</v>
      </c>
      <c r="S2112" s="5" t="e">
        <f>IF(AND(#REF!&gt;=table!$C$8,#REF!&lt;= table!$D$8),-1,IF(AND(#REF!&gt;=table!$E$8,#REF!&lt;=table!$F$8),1,0))</f>
        <v>#REF!</v>
      </c>
      <c r="T2112" s="5"/>
      <c r="U2112" s="5" t="e">
        <f>IF(AND(#REF!&gt;=table!$C$10,#REF!&lt;= table!$D$10),-1,IF(AND(#REF!&gt;=table!$E$10,#REF!&lt;=table!$F$10),1,0))</f>
        <v>#REF!</v>
      </c>
      <c r="V2112" s="5" t="e">
        <f>IF(AND(#REF!&gt;=table!$C$11,#REF!&lt;= table!$D$11),-1,IF(AND(#REF!&gt;=table!$E$11,#REF!&lt;=table!$F$11),1,0))</f>
        <v>#REF!</v>
      </c>
      <c r="W2112" s="5" t="e">
        <f>CONCATENATE(dados[[#This Row],[fator1]],dados[[#This Row],[fator5]],dados[[#This Row],[fator6]])</f>
        <v>#REF!</v>
      </c>
    </row>
    <row r="2113" spans="1:23">
      <c r="A2113" t="s">
        <v>16</v>
      </c>
      <c r="B2113">
        <v>486938</v>
      </c>
      <c r="C2113">
        <v>0.2</v>
      </c>
      <c r="D2113">
        <v>65</v>
      </c>
      <c r="E2113">
        <v>26</v>
      </c>
      <c r="F2113">
        <v>15</v>
      </c>
      <c r="G2113">
        <v>0</v>
      </c>
      <c r="H2113">
        <v>30</v>
      </c>
      <c r="I2113">
        <v>0</v>
      </c>
      <c r="J2113">
        <v>0</v>
      </c>
      <c r="K2113">
        <v>4.968</v>
      </c>
      <c r="L2113">
        <v>10.484500000000001</v>
      </c>
      <c r="M2113">
        <v>9.0640000000000001</v>
      </c>
      <c r="N2113">
        <v>20.815000000000001</v>
      </c>
      <c r="O2113">
        <v>1677</v>
      </c>
      <c r="P2113">
        <v>939</v>
      </c>
      <c r="Q2113" s="5" t="e">
        <f>IF(AND(#REF!&gt;=table!$C$6,#REF!&lt;= table!$D$6),-1,IF(AND(#REF!&gt;=table!$E$6,#REF!&lt;=table!$F$6),1,0))</f>
        <v>#REF!</v>
      </c>
      <c r="R2113" s="5" t="e">
        <f>IF(AND(#REF!&gt;=table!$C$7,#REF!&lt;= table!$D$7),-1,IF(AND(#REF!&gt;=table!$E$7,#REF!&lt;=table!$F$7),1,0))</f>
        <v>#REF!</v>
      </c>
      <c r="S2113" s="5" t="e">
        <f>IF(AND(#REF!&gt;=table!$C$8,#REF!&lt;= table!$D$8),-1,IF(AND(#REF!&gt;=table!$E$8,#REF!&lt;=table!$F$8),1,0))</f>
        <v>#REF!</v>
      </c>
      <c r="T2113" s="5"/>
      <c r="U2113" s="5" t="e">
        <f>IF(AND(#REF!&gt;=table!$C$10,#REF!&lt;= table!$D$10),-1,IF(AND(#REF!&gt;=table!$E$10,#REF!&lt;=table!$F$10),1,0))</f>
        <v>#REF!</v>
      </c>
      <c r="V2113" s="5" t="e">
        <f>IF(AND(#REF!&gt;=table!$C$11,#REF!&lt;= table!$D$11),-1,IF(AND(#REF!&gt;=table!$E$11,#REF!&lt;=table!$F$11),1,0))</f>
        <v>#REF!</v>
      </c>
      <c r="W2113" s="5" t="e">
        <f>CONCATENATE(dados[[#This Row],[fator1]],dados[[#This Row],[fator5]],dados[[#This Row],[fator6]])</f>
        <v>#REF!</v>
      </c>
    </row>
    <row r="2114" spans="1:23">
      <c r="A2114" t="s">
        <v>16</v>
      </c>
      <c r="B2114">
        <v>486939</v>
      </c>
      <c r="C2114">
        <v>0.2</v>
      </c>
      <c r="D2114">
        <v>65</v>
      </c>
      <c r="E2114">
        <v>26</v>
      </c>
      <c r="F2114">
        <v>15</v>
      </c>
      <c r="G2114">
        <v>0</v>
      </c>
      <c r="H2114">
        <v>30</v>
      </c>
      <c r="I2114">
        <v>8</v>
      </c>
      <c r="J2114">
        <v>0</v>
      </c>
      <c r="K2114">
        <v>4.0715000000000003</v>
      </c>
      <c r="L2114">
        <v>8.1395</v>
      </c>
      <c r="M2114">
        <v>7.6820000000000004</v>
      </c>
      <c r="N2114">
        <v>13.85</v>
      </c>
      <c r="O2114">
        <v>1675</v>
      </c>
      <c r="P2114">
        <v>943</v>
      </c>
      <c r="Q2114" s="5" t="e">
        <f>IF(AND(#REF!&gt;=table!$C$6,#REF!&lt;= table!$D$6),-1,IF(AND(#REF!&gt;=table!$E$6,#REF!&lt;=table!$F$6),1,0))</f>
        <v>#REF!</v>
      </c>
      <c r="R2114" s="5" t="e">
        <f>IF(AND(#REF!&gt;=table!$C$7,#REF!&lt;= table!$D$7),-1,IF(AND(#REF!&gt;=table!$E$7,#REF!&lt;=table!$F$7),1,0))</f>
        <v>#REF!</v>
      </c>
      <c r="S2114" s="5" t="e">
        <f>IF(AND(#REF!&gt;=table!$C$8,#REF!&lt;= table!$D$8),-1,IF(AND(#REF!&gt;=table!$E$8,#REF!&lt;=table!$F$8),1,0))</f>
        <v>#REF!</v>
      </c>
      <c r="T2114" s="5"/>
      <c r="U2114" s="5" t="e">
        <f>IF(AND(#REF!&gt;=table!$C$10,#REF!&lt;= table!$D$10),-1,IF(AND(#REF!&gt;=table!$E$10,#REF!&lt;=table!$F$10),1,0))</f>
        <v>#REF!</v>
      </c>
      <c r="V2114" s="5" t="e">
        <f>IF(AND(#REF!&gt;=table!$C$11,#REF!&lt;= table!$D$11),-1,IF(AND(#REF!&gt;=table!$E$11,#REF!&lt;=table!$F$11),1,0))</f>
        <v>#REF!</v>
      </c>
      <c r="W2114" s="5" t="e">
        <f>CONCATENATE(dados[[#This Row],[fator1]],dados[[#This Row],[fator5]],dados[[#This Row],[fator6]])</f>
        <v>#REF!</v>
      </c>
    </row>
    <row r="2115" spans="1:23">
      <c r="A2115" t="s">
        <v>16</v>
      </c>
      <c r="B2115">
        <v>486941</v>
      </c>
      <c r="C2115">
        <v>0.15</v>
      </c>
      <c r="D2115">
        <v>40</v>
      </c>
      <c r="E2115">
        <v>10</v>
      </c>
      <c r="F2115">
        <v>15</v>
      </c>
      <c r="G2115">
        <v>0</v>
      </c>
      <c r="H2115">
        <v>15</v>
      </c>
      <c r="I2115">
        <v>1251</v>
      </c>
      <c r="J2115">
        <v>0</v>
      </c>
      <c r="K2115">
        <v>4.7510000000000003</v>
      </c>
      <c r="L2115">
        <v>5.4705000000000004</v>
      </c>
      <c r="M2115">
        <v>5.4165000000000001</v>
      </c>
      <c r="N2115">
        <v>6.96</v>
      </c>
      <c r="O2115">
        <v>1652</v>
      </c>
      <c r="P2115">
        <v>837</v>
      </c>
      <c r="Q2115" s="5" t="e">
        <f>IF(AND(#REF!&gt;=table!$C$6,#REF!&lt;= table!$D$6),-1,IF(AND(#REF!&gt;=table!$E$6,#REF!&lt;=table!$F$6),1,0))</f>
        <v>#REF!</v>
      </c>
      <c r="R2115" s="5" t="e">
        <f>IF(AND(#REF!&gt;=table!$C$7,#REF!&lt;= table!$D$7),-1,IF(AND(#REF!&gt;=table!$E$7,#REF!&lt;=table!$F$7),1,0))</f>
        <v>#REF!</v>
      </c>
      <c r="S2115" s="5" t="e">
        <f>IF(AND(#REF!&gt;=table!$C$8,#REF!&lt;= table!$D$8),-1,IF(AND(#REF!&gt;=table!$E$8,#REF!&lt;=table!$F$8),1,0))</f>
        <v>#REF!</v>
      </c>
      <c r="T2115" s="5"/>
      <c r="U2115" s="5" t="e">
        <f>IF(AND(#REF!&gt;=table!$C$10,#REF!&lt;= table!$D$10),-1,IF(AND(#REF!&gt;=table!$E$10,#REF!&lt;=table!$F$10),1,0))</f>
        <v>#REF!</v>
      </c>
      <c r="V2115" s="5" t="e">
        <f>IF(AND(#REF!&gt;=table!$C$11,#REF!&lt;= table!$D$11),-1,IF(AND(#REF!&gt;=table!$E$11,#REF!&lt;=table!$F$11),1,0))</f>
        <v>#REF!</v>
      </c>
      <c r="W2115" s="5" t="e">
        <f>CONCATENATE(dados[[#This Row],[fator1]],dados[[#This Row],[fator5]],dados[[#This Row],[fator6]])</f>
        <v>#REF!</v>
      </c>
    </row>
    <row r="2116" spans="1:23">
      <c r="A2116" t="s">
        <v>16</v>
      </c>
      <c r="B2116">
        <v>486948</v>
      </c>
      <c r="C2116">
        <v>9</v>
      </c>
      <c r="D2116">
        <v>27</v>
      </c>
      <c r="E2116">
        <v>36</v>
      </c>
      <c r="F2116">
        <v>8</v>
      </c>
      <c r="G2116">
        <v>0</v>
      </c>
      <c r="H2116">
        <v>25</v>
      </c>
      <c r="I2116">
        <v>1010</v>
      </c>
      <c r="J2116">
        <v>0</v>
      </c>
      <c r="K2116">
        <v>3.5780000000000003</v>
      </c>
      <c r="L2116">
        <v>11.0145</v>
      </c>
      <c r="M2116">
        <v>34.865500000000004</v>
      </c>
      <c r="N2116">
        <v>15.82</v>
      </c>
      <c r="O2116">
        <v>1678</v>
      </c>
      <c r="P2116">
        <v>1084</v>
      </c>
      <c r="Q2116" s="5" t="e">
        <f>IF(AND(#REF!&gt;=table!$C$6,#REF!&lt;= table!$D$6),-1,IF(AND(#REF!&gt;=table!$E$6,#REF!&lt;=table!$F$6),1,0))</f>
        <v>#REF!</v>
      </c>
      <c r="R2116" s="5" t="e">
        <f>IF(AND(#REF!&gt;=table!$C$7,#REF!&lt;= table!$D$7),-1,IF(AND(#REF!&gt;=table!$E$7,#REF!&lt;=table!$F$7),1,0))</f>
        <v>#REF!</v>
      </c>
      <c r="S2116" s="5" t="e">
        <f>IF(AND(#REF!&gt;=table!$C$8,#REF!&lt;= table!$D$8),-1,IF(AND(#REF!&gt;=table!$E$8,#REF!&lt;=table!$F$8),1,0))</f>
        <v>#REF!</v>
      </c>
      <c r="T2116" s="5"/>
      <c r="U2116" s="5" t="e">
        <f>IF(AND(#REF!&gt;=table!$C$10,#REF!&lt;= table!$D$10),-1,IF(AND(#REF!&gt;=table!$E$10,#REF!&lt;=table!$F$10),1,0))</f>
        <v>#REF!</v>
      </c>
      <c r="V2116" s="5" t="e">
        <f>IF(AND(#REF!&gt;=table!$C$11,#REF!&lt;= table!$D$11),-1,IF(AND(#REF!&gt;=table!$E$11,#REF!&lt;=table!$F$11),1,0))</f>
        <v>#REF!</v>
      </c>
      <c r="W2116" s="5" t="e">
        <f>CONCATENATE(dados[[#This Row],[fator1]],dados[[#This Row],[fator5]],dados[[#This Row],[fator6]])</f>
        <v>#REF!</v>
      </c>
    </row>
    <row r="2117" spans="1:23">
      <c r="A2117" t="s">
        <v>17</v>
      </c>
      <c r="B2117">
        <v>486958</v>
      </c>
      <c r="C2117">
        <v>9</v>
      </c>
      <c r="D2117">
        <v>30</v>
      </c>
      <c r="E2117">
        <v>160</v>
      </c>
      <c r="F2117">
        <v>3</v>
      </c>
      <c r="G2117">
        <v>30</v>
      </c>
      <c r="H2117">
        <v>18</v>
      </c>
      <c r="I2117">
        <v>465</v>
      </c>
      <c r="J2117">
        <v>0</v>
      </c>
      <c r="K2117">
        <v>8.93</v>
      </c>
      <c r="L2117">
        <v>11.169</v>
      </c>
      <c r="M2117">
        <v>142.00700000000001</v>
      </c>
      <c r="N2117">
        <v>11.475000000000001</v>
      </c>
      <c r="O2117">
        <v>1671</v>
      </c>
      <c r="P2117">
        <v>431</v>
      </c>
      <c r="Q2117" s="5" t="e">
        <f>IF(AND(#REF!&gt;=table!$C$6,#REF!&lt;= table!$D$6),-1,IF(AND(#REF!&gt;=table!$E$6,#REF!&lt;=table!$F$6),1,0))</f>
        <v>#REF!</v>
      </c>
      <c r="R2117" s="5" t="e">
        <f>IF(AND(#REF!&gt;=table!$C$7,#REF!&lt;= table!$D$7),-1,IF(AND(#REF!&gt;=table!$E$7,#REF!&lt;=table!$F$7),1,0))</f>
        <v>#REF!</v>
      </c>
      <c r="S2117" s="5" t="e">
        <f>IF(AND(#REF!&gt;=table!$C$8,#REF!&lt;= table!$D$8),-1,IF(AND(#REF!&gt;=table!$E$8,#REF!&lt;=table!$F$8),1,0))</f>
        <v>#REF!</v>
      </c>
      <c r="T2117" s="5"/>
      <c r="U2117" s="5" t="e">
        <f>IF(AND(#REF!&gt;=table!$C$10,#REF!&lt;= table!$D$10),-1,IF(AND(#REF!&gt;=table!$E$10,#REF!&lt;=table!$F$10),1,0))</f>
        <v>#REF!</v>
      </c>
      <c r="V2117" s="5" t="e">
        <f>IF(AND(#REF!&gt;=table!$C$11,#REF!&lt;= table!$D$11),-1,IF(AND(#REF!&gt;=table!$E$11,#REF!&lt;=table!$F$11),1,0))</f>
        <v>#REF!</v>
      </c>
      <c r="W2117" s="5" t="e">
        <f>CONCATENATE(dados[[#This Row],[fator1]],dados[[#This Row],[fator5]],dados[[#This Row],[fator6]])</f>
        <v>#REF!</v>
      </c>
    </row>
    <row r="2118" spans="1:23">
      <c r="A2118" t="s">
        <v>17</v>
      </c>
      <c r="B2118">
        <v>486960</v>
      </c>
      <c r="C2118">
        <v>9</v>
      </c>
      <c r="D2118">
        <v>30</v>
      </c>
      <c r="E2118">
        <v>160</v>
      </c>
      <c r="F2118">
        <v>3</v>
      </c>
      <c r="G2118">
        <v>30</v>
      </c>
      <c r="H2118">
        <v>18</v>
      </c>
      <c r="I2118">
        <v>0</v>
      </c>
      <c r="J2118">
        <v>0</v>
      </c>
      <c r="K2118">
        <v>5.6905000000000001</v>
      </c>
      <c r="L2118">
        <v>10.366</v>
      </c>
      <c r="M2118">
        <v>138.60650000000001</v>
      </c>
      <c r="N2118">
        <v>11.91</v>
      </c>
      <c r="O2118">
        <v>1671</v>
      </c>
      <c r="P2118">
        <v>470</v>
      </c>
      <c r="Q2118" s="5" t="e">
        <f>IF(AND(#REF!&gt;=table!$C$6,#REF!&lt;= table!$D$6),-1,IF(AND(#REF!&gt;=table!$E$6,#REF!&lt;=table!$F$6),1,0))</f>
        <v>#REF!</v>
      </c>
      <c r="R2118" s="5" t="e">
        <f>IF(AND(#REF!&gt;=table!$C$7,#REF!&lt;= table!$D$7),-1,IF(AND(#REF!&gt;=table!$E$7,#REF!&lt;=table!$F$7),1,0))</f>
        <v>#REF!</v>
      </c>
      <c r="S2118" s="5" t="e">
        <f>IF(AND(#REF!&gt;=table!$C$8,#REF!&lt;= table!$D$8),-1,IF(AND(#REF!&gt;=table!$E$8,#REF!&lt;=table!$F$8),1,0))</f>
        <v>#REF!</v>
      </c>
      <c r="T2118" s="5"/>
      <c r="U2118" s="5" t="e">
        <f>IF(AND(#REF!&gt;=table!$C$10,#REF!&lt;= table!$D$10),-1,IF(AND(#REF!&gt;=table!$E$10,#REF!&lt;=table!$F$10),1,0))</f>
        <v>#REF!</v>
      </c>
      <c r="V2118" s="5" t="e">
        <f>IF(AND(#REF!&gt;=table!$C$11,#REF!&lt;= table!$D$11),-1,IF(AND(#REF!&gt;=table!$E$11,#REF!&lt;=table!$F$11),1,0))</f>
        <v>#REF!</v>
      </c>
      <c r="W2118" s="5" t="e">
        <f>CONCATENATE(dados[[#This Row],[fator1]],dados[[#This Row],[fator5]],dados[[#This Row],[fator6]])</f>
        <v>#REF!</v>
      </c>
    </row>
    <row r="2119" spans="1:23">
      <c r="A2119" t="s">
        <v>17</v>
      </c>
      <c r="B2119">
        <v>486961</v>
      </c>
      <c r="C2119">
        <v>9</v>
      </c>
      <c r="D2119">
        <v>30</v>
      </c>
      <c r="E2119">
        <v>160</v>
      </c>
      <c r="F2119">
        <v>3</v>
      </c>
      <c r="G2119">
        <v>30</v>
      </c>
      <c r="H2119">
        <v>18</v>
      </c>
      <c r="I2119">
        <v>418</v>
      </c>
      <c r="J2119">
        <v>0</v>
      </c>
      <c r="K2119">
        <v>4.6779999999999999</v>
      </c>
      <c r="L2119">
        <v>7.681</v>
      </c>
      <c r="M2119">
        <v>136.77700000000002</v>
      </c>
      <c r="N2119">
        <v>11.495000000000001</v>
      </c>
      <c r="O2119">
        <v>1689</v>
      </c>
      <c r="P2119">
        <v>845</v>
      </c>
      <c r="Q2119" s="5" t="e">
        <f>IF(AND(#REF!&gt;=table!$C$6,#REF!&lt;= table!$D$6),-1,IF(AND(#REF!&gt;=table!$E$6,#REF!&lt;=table!$F$6),1,0))</f>
        <v>#REF!</v>
      </c>
      <c r="R2119" s="5" t="e">
        <f>IF(AND(#REF!&gt;=table!$C$7,#REF!&lt;= table!$D$7),-1,IF(AND(#REF!&gt;=table!$E$7,#REF!&lt;=table!$F$7),1,0))</f>
        <v>#REF!</v>
      </c>
      <c r="S2119" s="5" t="e">
        <f>IF(AND(#REF!&gt;=table!$C$8,#REF!&lt;= table!$D$8),-1,IF(AND(#REF!&gt;=table!$E$8,#REF!&lt;=table!$F$8),1,0))</f>
        <v>#REF!</v>
      </c>
      <c r="T2119" s="5"/>
      <c r="U2119" s="5" t="e">
        <f>IF(AND(#REF!&gt;=table!$C$10,#REF!&lt;= table!$D$10),-1,IF(AND(#REF!&gt;=table!$E$10,#REF!&lt;=table!$F$10),1,0))</f>
        <v>#REF!</v>
      </c>
      <c r="V2119" s="5" t="e">
        <f>IF(AND(#REF!&gt;=table!$C$11,#REF!&lt;= table!$D$11),-1,IF(AND(#REF!&gt;=table!$E$11,#REF!&lt;=table!$F$11),1,0))</f>
        <v>#REF!</v>
      </c>
      <c r="W2119" s="5" t="e">
        <f>CONCATENATE(dados[[#This Row],[fator1]],dados[[#This Row],[fator5]],dados[[#This Row],[fator6]])</f>
        <v>#REF!</v>
      </c>
    </row>
    <row r="2120" spans="1:23">
      <c r="A2120" t="s">
        <v>17</v>
      </c>
      <c r="B2120">
        <v>486962</v>
      </c>
      <c r="C2120">
        <v>9</v>
      </c>
      <c r="D2120">
        <v>30</v>
      </c>
      <c r="E2120">
        <v>160</v>
      </c>
      <c r="F2120">
        <v>3</v>
      </c>
      <c r="G2120">
        <v>30</v>
      </c>
      <c r="H2120">
        <v>18</v>
      </c>
      <c r="I2120">
        <v>1</v>
      </c>
      <c r="J2120">
        <v>0</v>
      </c>
      <c r="K2120">
        <v>5.7770000000000001</v>
      </c>
      <c r="L2120">
        <v>11.067500000000001</v>
      </c>
      <c r="M2120">
        <v>143.81050000000002</v>
      </c>
      <c r="N2120">
        <v>13.88</v>
      </c>
      <c r="O2120">
        <v>1679</v>
      </c>
      <c r="P2120">
        <v>684</v>
      </c>
      <c r="Q2120" s="5" t="e">
        <f>IF(AND(#REF!&gt;=table!$C$6,#REF!&lt;= table!$D$6),-1,IF(AND(#REF!&gt;=table!$E$6,#REF!&lt;=table!$F$6),1,0))</f>
        <v>#REF!</v>
      </c>
      <c r="R2120" s="5" t="e">
        <f>IF(AND(#REF!&gt;=table!$C$7,#REF!&lt;= table!$D$7),-1,IF(AND(#REF!&gt;=table!$E$7,#REF!&lt;=table!$F$7),1,0))</f>
        <v>#REF!</v>
      </c>
      <c r="S2120" s="5" t="e">
        <f>IF(AND(#REF!&gt;=table!$C$8,#REF!&lt;= table!$D$8),-1,IF(AND(#REF!&gt;=table!$E$8,#REF!&lt;=table!$F$8),1,0))</f>
        <v>#REF!</v>
      </c>
      <c r="T2120" s="5"/>
      <c r="U2120" s="5" t="e">
        <f>IF(AND(#REF!&gt;=table!$C$10,#REF!&lt;= table!$D$10),-1,IF(AND(#REF!&gt;=table!$E$10,#REF!&lt;=table!$F$10),1,0))</f>
        <v>#REF!</v>
      </c>
      <c r="V2120" s="5" t="e">
        <f>IF(AND(#REF!&gt;=table!$C$11,#REF!&lt;= table!$D$11),-1,IF(AND(#REF!&gt;=table!$E$11,#REF!&lt;=table!$F$11),1,0))</f>
        <v>#REF!</v>
      </c>
      <c r="W2120" s="5" t="e">
        <f>CONCATENATE(dados[[#This Row],[fator1]],dados[[#This Row],[fator5]],dados[[#This Row],[fator6]])</f>
        <v>#REF!</v>
      </c>
    </row>
    <row r="2121" spans="1:23">
      <c r="A2121" t="s">
        <v>16</v>
      </c>
      <c r="B2121">
        <v>486963</v>
      </c>
      <c r="C2121">
        <v>4</v>
      </c>
      <c r="D2121">
        <v>40</v>
      </c>
      <c r="E2121">
        <v>21</v>
      </c>
      <c r="F2121">
        <v>10</v>
      </c>
      <c r="G2121">
        <v>0</v>
      </c>
      <c r="H2121">
        <v>25</v>
      </c>
      <c r="I2121">
        <v>1</v>
      </c>
      <c r="J2121">
        <v>0</v>
      </c>
      <c r="K2121">
        <v>4.4060000000000006</v>
      </c>
      <c r="L2121">
        <v>10.037000000000001</v>
      </c>
      <c r="M2121">
        <v>15.5435</v>
      </c>
      <c r="N2121">
        <v>11.41</v>
      </c>
      <c r="O2121">
        <v>1641</v>
      </c>
      <c r="P2121">
        <v>535</v>
      </c>
      <c r="Q2121" s="5" t="e">
        <f>IF(AND(#REF!&gt;=table!$C$6,#REF!&lt;= table!$D$6),-1,IF(AND(#REF!&gt;=table!$E$6,#REF!&lt;=table!$F$6),1,0))</f>
        <v>#REF!</v>
      </c>
      <c r="R2121" s="5" t="e">
        <f>IF(AND(#REF!&gt;=table!$C$7,#REF!&lt;= table!$D$7),-1,IF(AND(#REF!&gt;=table!$E$7,#REF!&lt;=table!$F$7),1,0))</f>
        <v>#REF!</v>
      </c>
      <c r="S2121" s="5" t="e">
        <f>IF(AND(#REF!&gt;=table!$C$8,#REF!&lt;= table!$D$8),-1,IF(AND(#REF!&gt;=table!$E$8,#REF!&lt;=table!$F$8),1,0))</f>
        <v>#REF!</v>
      </c>
      <c r="T2121" s="5"/>
      <c r="U2121" s="5" t="e">
        <f>IF(AND(#REF!&gt;=table!$C$10,#REF!&lt;= table!$D$10),-1,IF(AND(#REF!&gt;=table!$E$10,#REF!&lt;=table!$F$10),1,0))</f>
        <v>#REF!</v>
      </c>
      <c r="V2121" s="5" t="e">
        <f>IF(AND(#REF!&gt;=table!$C$11,#REF!&lt;= table!$D$11),-1,IF(AND(#REF!&gt;=table!$E$11,#REF!&lt;=table!$F$11),1,0))</f>
        <v>#REF!</v>
      </c>
      <c r="W2121" s="5" t="e">
        <f>CONCATENATE(dados[[#This Row],[fator1]],dados[[#This Row],[fator5]],dados[[#This Row],[fator6]])</f>
        <v>#REF!</v>
      </c>
    </row>
    <row r="2122" spans="1:23">
      <c r="A2122" t="s">
        <v>17</v>
      </c>
      <c r="B2122">
        <v>486969</v>
      </c>
      <c r="C2122">
        <v>16</v>
      </c>
      <c r="D2122">
        <v>23</v>
      </c>
      <c r="E2122">
        <v>145</v>
      </c>
      <c r="F2122">
        <v>9</v>
      </c>
      <c r="G2122">
        <v>30</v>
      </c>
      <c r="H2122">
        <v>25</v>
      </c>
      <c r="I2122">
        <v>207</v>
      </c>
      <c r="J2122">
        <v>0</v>
      </c>
      <c r="K2122">
        <v>6.8254999999999999</v>
      </c>
      <c r="L2122">
        <v>14.958500000000001</v>
      </c>
      <c r="M2122">
        <v>128.3425</v>
      </c>
      <c r="N2122">
        <v>20.095000000000002</v>
      </c>
      <c r="O2122">
        <v>1678</v>
      </c>
      <c r="P2122">
        <v>0</v>
      </c>
      <c r="Q2122" s="5" t="e">
        <f>IF(AND(#REF!&gt;=table!$C$6,#REF!&lt;= table!$D$6),-1,IF(AND(#REF!&gt;=table!$E$6,#REF!&lt;=table!$F$6),1,0))</f>
        <v>#REF!</v>
      </c>
      <c r="R2122" s="5" t="e">
        <f>IF(AND(#REF!&gt;=table!$C$7,#REF!&lt;= table!$D$7),-1,IF(AND(#REF!&gt;=table!$E$7,#REF!&lt;=table!$F$7),1,0))</f>
        <v>#REF!</v>
      </c>
      <c r="S2122" s="5" t="e">
        <f>IF(AND(#REF!&gt;=table!$C$8,#REF!&lt;= table!$D$8),-1,IF(AND(#REF!&gt;=table!$E$8,#REF!&lt;=table!$F$8),1,0))</f>
        <v>#REF!</v>
      </c>
      <c r="T2122" s="5"/>
      <c r="U2122" s="5" t="e">
        <f>IF(AND(#REF!&gt;=table!$C$10,#REF!&lt;= table!$D$10),-1,IF(AND(#REF!&gt;=table!$E$10,#REF!&lt;=table!$F$10),1,0))</f>
        <v>#REF!</v>
      </c>
      <c r="V2122" s="5" t="e">
        <f>IF(AND(#REF!&gt;=table!$C$11,#REF!&lt;= table!$D$11),-1,IF(AND(#REF!&gt;=table!$E$11,#REF!&lt;=table!$F$11),1,0))</f>
        <v>#REF!</v>
      </c>
      <c r="W2122" s="5" t="e">
        <f>CONCATENATE(dados[[#This Row],[fator1]],dados[[#This Row],[fator5]],dados[[#This Row],[fator6]])</f>
        <v>#REF!</v>
      </c>
    </row>
    <row r="2123" spans="1:23">
      <c r="A2123" t="s">
        <v>16</v>
      </c>
      <c r="B2123">
        <v>486970</v>
      </c>
      <c r="C2123">
        <v>4</v>
      </c>
      <c r="D2123">
        <v>40</v>
      </c>
      <c r="E2123">
        <v>21</v>
      </c>
      <c r="F2123">
        <v>20</v>
      </c>
      <c r="G2123">
        <v>0</v>
      </c>
      <c r="H2123">
        <v>25</v>
      </c>
      <c r="I2123">
        <v>1243</v>
      </c>
      <c r="J2123">
        <v>0</v>
      </c>
      <c r="K2123">
        <v>9.8755000000000006</v>
      </c>
      <c r="L2123">
        <v>23.531500000000001</v>
      </c>
      <c r="M2123">
        <v>20.476500000000001</v>
      </c>
      <c r="N2123">
        <v>23.23</v>
      </c>
      <c r="O2123">
        <v>1682</v>
      </c>
      <c r="P2123">
        <v>343</v>
      </c>
      <c r="Q2123" s="5" t="e">
        <f>IF(AND(#REF!&gt;=table!$C$6,#REF!&lt;= table!$D$6),-1,IF(AND(#REF!&gt;=table!$E$6,#REF!&lt;=table!$F$6),1,0))</f>
        <v>#REF!</v>
      </c>
      <c r="R2123" s="5" t="e">
        <f>IF(AND(#REF!&gt;=table!$C$7,#REF!&lt;= table!$D$7),-1,IF(AND(#REF!&gt;=table!$E$7,#REF!&lt;=table!$F$7),1,0))</f>
        <v>#REF!</v>
      </c>
      <c r="S2123" s="5" t="e">
        <f>IF(AND(#REF!&gt;=table!$C$8,#REF!&lt;= table!$D$8),-1,IF(AND(#REF!&gt;=table!$E$8,#REF!&lt;=table!$F$8),1,0))</f>
        <v>#REF!</v>
      </c>
      <c r="T2123" s="5"/>
      <c r="U2123" s="5" t="e">
        <f>IF(AND(#REF!&gt;=table!$C$10,#REF!&lt;= table!$D$10),-1,IF(AND(#REF!&gt;=table!$E$10,#REF!&lt;=table!$F$10),1,0))</f>
        <v>#REF!</v>
      </c>
      <c r="V2123" s="5" t="e">
        <f>IF(AND(#REF!&gt;=table!$C$11,#REF!&lt;= table!$D$11),-1,IF(AND(#REF!&gt;=table!$E$11,#REF!&lt;=table!$F$11),1,0))</f>
        <v>#REF!</v>
      </c>
      <c r="W2123" s="5" t="e">
        <f>CONCATENATE(dados[[#This Row],[fator1]],dados[[#This Row],[fator5]],dados[[#This Row],[fator6]])</f>
        <v>#REF!</v>
      </c>
    </row>
    <row r="2124" spans="1:23">
      <c r="A2124" t="s">
        <v>16</v>
      </c>
      <c r="B2124">
        <v>486978</v>
      </c>
      <c r="C2124">
        <v>0.15</v>
      </c>
      <c r="D2124">
        <v>40</v>
      </c>
      <c r="E2124">
        <v>10</v>
      </c>
      <c r="F2124">
        <v>15</v>
      </c>
      <c r="G2124">
        <v>0</v>
      </c>
      <c r="H2124">
        <v>15</v>
      </c>
      <c r="I2124">
        <v>824</v>
      </c>
      <c r="J2124">
        <v>0</v>
      </c>
      <c r="K2124">
        <v>4.9359999999999999</v>
      </c>
      <c r="L2124">
        <v>6.9885000000000002</v>
      </c>
      <c r="M2124">
        <v>6.5255000000000001</v>
      </c>
      <c r="N2124">
        <v>11.13</v>
      </c>
      <c r="O2124">
        <v>1674</v>
      </c>
      <c r="P2124">
        <v>804</v>
      </c>
      <c r="Q2124" s="5" t="e">
        <f>IF(AND(#REF!&gt;=table!$C$6,#REF!&lt;= table!$D$6),-1,IF(AND(#REF!&gt;=table!$E$6,#REF!&lt;=table!$F$6),1,0))</f>
        <v>#REF!</v>
      </c>
      <c r="R2124" s="5" t="e">
        <f>IF(AND(#REF!&gt;=table!$C$7,#REF!&lt;= table!$D$7),-1,IF(AND(#REF!&gt;=table!$E$7,#REF!&lt;=table!$F$7),1,0))</f>
        <v>#REF!</v>
      </c>
      <c r="S2124" s="5" t="e">
        <f>IF(AND(#REF!&gt;=table!$C$8,#REF!&lt;= table!$D$8),-1,IF(AND(#REF!&gt;=table!$E$8,#REF!&lt;=table!$F$8),1,0))</f>
        <v>#REF!</v>
      </c>
      <c r="T2124" s="5"/>
      <c r="U2124" s="5" t="e">
        <f>IF(AND(#REF!&gt;=table!$C$10,#REF!&lt;= table!$D$10),-1,IF(AND(#REF!&gt;=table!$E$10,#REF!&lt;=table!$F$10),1,0))</f>
        <v>#REF!</v>
      </c>
      <c r="V2124" s="5" t="e">
        <f>IF(AND(#REF!&gt;=table!$C$11,#REF!&lt;= table!$D$11),-1,IF(AND(#REF!&gt;=table!$E$11,#REF!&lt;=table!$F$11),1,0))</f>
        <v>#REF!</v>
      </c>
      <c r="W2124" s="5" t="e">
        <f>CONCATENATE(dados[[#This Row],[fator1]],dados[[#This Row],[fator5]],dados[[#This Row],[fator6]])</f>
        <v>#REF!</v>
      </c>
    </row>
    <row r="2125" spans="1:23">
      <c r="A2125" t="s">
        <v>16</v>
      </c>
      <c r="B2125">
        <v>486979</v>
      </c>
      <c r="C2125">
        <v>0.15</v>
      </c>
      <c r="D2125">
        <v>40</v>
      </c>
      <c r="E2125">
        <v>10</v>
      </c>
      <c r="F2125">
        <v>15</v>
      </c>
      <c r="G2125">
        <v>0</v>
      </c>
      <c r="H2125">
        <v>15</v>
      </c>
      <c r="I2125">
        <v>1211</v>
      </c>
      <c r="J2125">
        <v>0</v>
      </c>
      <c r="K2125">
        <v>5.75</v>
      </c>
      <c r="L2125">
        <v>6.4405000000000001</v>
      </c>
      <c r="M2125">
        <v>6.0950000000000006</v>
      </c>
      <c r="N2125">
        <v>7.7</v>
      </c>
      <c r="O2125">
        <v>1660</v>
      </c>
      <c r="P2125">
        <v>0</v>
      </c>
      <c r="Q2125" s="5" t="e">
        <f>IF(AND(#REF!&gt;=table!$C$6,#REF!&lt;= table!$D$6),-1,IF(AND(#REF!&gt;=table!$E$6,#REF!&lt;=table!$F$6),1,0))</f>
        <v>#REF!</v>
      </c>
      <c r="R2125" s="5" t="e">
        <f>IF(AND(#REF!&gt;=table!$C$7,#REF!&lt;= table!$D$7),-1,IF(AND(#REF!&gt;=table!$E$7,#REF!&lt;=table!$F$7),1,0))</f>
        <v>#REF!</v>
      </c>
      <c r="S2125" s="5" t="e">
        <f>IF(AND(#REF!&gt;=table!$C$8,#REF!&lt;= table!$D$8),-1,IF(AND(#REF!&gt;=table!$E$8,#REF!&lt;=table!$F$8),1,0))</f>
        <v>#REF!</v>
      </c>
      <c r="T2125" s="5"/>
      <c r="U2125" s="5" t="e">
        <f>IF(AND(#REF!&gt;=table!$C$10,#REF!&lt;= table!$D$10),-1,IF(AND(#REF!&gt;=table!$E$10,#REF!&lt;=table!$F$10),1,0))</f>
        <v>#REF!</v>
      </c>
      <c r="V2125" s="5" t="e">
        <f>IF(AND(#REF!&gt;=table!$C$11,#REF!&lt;= table!$D$11),-1,IF(AND(#REF!&gt;=table!$E$11,#REF!&lt;=table!$F$11),1,0))</f>
        <v>#REF!</v>
      </c>
      <c r="W2125" s="5" t="e">
        <f>CONCATENATE(dados[[#This Row],[fator1]],dados[[#This Row],[fator5]],dados[[#This Row],[fator6]])</f>
        <v>#REF!</v>
      </c>
    </row>
    <row r="2126" spans="1:23">
      <c r="A2126" t="s">
        <v>16</v>
      </c>
      <c r="B2126">
        <v>486980</v>
      </c>
      <c r="C2126">
        <v>0.15</v>
      </c>
      <c r="D2126">
        <v>40</v>
      </c>
      <c r="E2126">
        <v>10</v>
      </c>
      <c r="F2126">
        <v>15</v>
      </c>
      <c r="G2126">
        <v>0</v>
      </c>
      <c r="H2126">
        <v>15</v>
      </c>
      <c r="I2126">
        <v>3</v>
      </c>
      <c r="J2126">
        <v>410</v>
      </c>
      <c r="K2126">
        <v>3.339</v>
      </c>
      <c r="L2126">
        <v>5.6844999999999999</v>
      </c>
      <c r="M2126">
        <v>4.7275</v>
      </c>
      <c r="N2126">
        <v>6.59</v>
      </c>
      <c r="O2126">
        <v>1681</v>
      </c>
      <c r="P2126">
        <v>0</v>
      </c>
      <c r="Q2126" s="5" t="e">
        <f>IF(AND(#REF!&gt;=table!$C$6,#REF!&lt;= table!$D$6),-1,IF(AND(#REF!&gt;=table!$E$6,#REF!&lt;=table!$F$6),1,0))</f>
        <v>#REF!</v>
      </c>
      <c r="R2126" s="5" t="e">
        <f>IF(AND(#REF!&gt;=table!$C$7,#REF!&lt;= table!$D$7),-1,IF(AND(#REF!&gt;=table!$E$7,#REF!&lt;=table!$F$7),1,0))</f>
        <v>#REF!</v>
      </c>
      <c r="S2126" s="5" t="e">
        <f>IF(AND(#REF!&gt;=table!$C$8,#REF!&lt;= table!$D$8),-1,IF(AND(#REF!&gt;=table!$E$8,#REF!&lt;=table!$F$8),1,0))</f>
        <v>#REF!</v>
      </c>
      <c r="T2126" s="5"/>
      <c r="U2126" s="5" t="e">
        <f>IF(AND(#REF!&gt;=table!$C$10,#REF!&lt;= table!$D$10),-1,IF(AND(#REF!&gt;=table!$E$10,#REF!&lt;=table!$F$10),1,0))</f>
        <v>#REF!</v>
      </c>
      <c r="V2126" s="5" t="e">
        <f>IF(AND(#REF!&gt;=table!$C$11,#REF!&lt;= table!$D$11),-1,IF(AND(#REF!&gt;=table!$E$11,#REF!&lt;=table!$F$11),1,0))</f>
        <v>#REF!</v>
      </c>
      <c r="W2126" s="5" t="e">
        <f>CONCATENATE(dados[[#This Row],[fator1]],dados[[#This Row],[fator5]],dados[[#This Row],[fator6]])</f>
        <v>#REF!</v>
      </c>
    </row>
    <row r="2127" spans="1:23">
      <c r="A2127" t="s">
        <v>16</v>
      </c>
      <c r="B2127">
        <v>486982</v>
      </c>
      <c r="C2127">
        <v>0.15</v>
      </c>
      <c r="D2127">
        <v>40</v>
      </c>
      <c r="E2127">
        <v>10</v>
      </c>
      <c r="F2127">
        <v>15</v>
      </c>
      <c r="G2127">
        <v>0</v>
      </c>
      <c r="H2127">
        <v>15</v>
      </c>
      <c r="I2127">
        <v>1127</v>
      </c>
      <c r="J2127">
        <v>0</v>
      </c>
      <c r="K2127">
        <v>3.4795000000000003</v>
      </c>
      <c r="L2127">
        <v>9.0775000000000006</v>
      </c>
      <c r="M2127">
        <v>7.6435000000000004</v>
      </c>
      <c r="N2127">
        <v>11.73</v>
      </c>
      <c r="O2127">
        <v>1680</v>
      </c>
      <c r="P2127">
        <v>0</v>
      </c>
      <c r="Q2127" s="5" t="e">
        <f>IF(AND(#REF!&gt;=table!$C$6,#REF!&lt;= table!$D$6),-1,IF(AND(#REF!&gt;=table!$E$6,#REF!&lt;=table!$F$6),1,0))</f>
        <v>#REF!</v>
      </c>
      <c r="R2127" s="5" t="e">
        <f>IF(AND(#REF!&gt;=table!$C$7,#REF!&lt;= table!$D$7),-1,IF(AND(#REF!&gt;=table!$E$7,#REF!&lt;=table!$F$7),1,0))</f>
        <v>#REF!</v>
      </c>
      <c r="S2127" s="5" t="e">
        <f>IF(AND(#REF!&gt;=table!$C$8,#REF!&lt;= table!$D$8),-1,IF(AND(#REF!&gt;=table!$E$8,#REF!&lt;=table!$F$8),1,0))</f>
        <v>#REF!</v>
      </c>
      <c r="T2127" s="5"/>
      <c r="U2127" s="5" t="e">
        <f>IF(AND(#REF!&gt;=table!$C$10,#REF!&lt;= table!$D$10),-1,IF(AND(#REF!&gt;=table!$E$10,#REF!&lt;=table!$F$10),1,0))</f>
        <v>#REF!</v>
      </c>
      <c r="V2127" s="5" t="e">
        <f>IF(AND(#REF!&gt;=table!$C$11,#REF!&lt;= table!$D$11),-1,IF(AND(#REF!&gt;=table!$E$11,#REF!&lt;=table!$F$11),1,0))</f>
        <v>#REF!</v>
      </c>
      <c r="W2127" s="5" t="e">
        <f>CONCATENATE(dados[[#This Row],[fator1]],dados[[#This Row],[fator5]],dados[[#This Row],[fator6]])</f>
        <v>#REF!</v>
      </c>
    </row>
    <row r="2128" spans="1:23">
      <c r="A2128" t="s">
        <v>18</v>
      </c>
      <c r="B2128">
        <v>486984</v>
      </c>
      <c r="C2128">
        <v>3</v>
      </c>
      <c r="D2128">
        <v>5</v>
      </c>
      <c r="E2128">
        <v>26</v>
      </c>
      <c r="F2128">
        <v>15</v>
      </c>
      <c r="G2128">
        <v>42</v>
      </c>
      <c r="H2128">
        <v>30</v>
      </c>
      <c r="I2128">
        <v>0</v>
      </c>
      <c r="J2128">
        <v>0</v>
      </c>
      <c r="K2128">
        <v>5.4605000000000006</v>
      </c>
      <c r="L2128">
        <v>13.605</v>
      </c>
      <c r="M2128">
        <v>26.167000000000002</v>
      </c>
      <c r="N2128">
        <v>17.414999999999999</v>
      </c>
      <c r="O2128">
        <v>1667</v>
      </c>
      <c r="P2128">
        <v>0</v>
      </c>
      <c r="Q2128" s="5" t="e">
        <f>IF(AND(#REF!&gt;=table!$C$6,#REF!&lt;= table!$D$6),-1,IF(AND(#REF!&gt;=table!$E$6,#REF!&lt;=table!$F$6),1,0))</f>
        <v>#REF!</v>
      </c>
      <c r="R2128" s="5" t="e">
        <f>IF(AND(#REF!&gt;=table!$C$7,#REF!&lt;= table!$D$7),-1,IF(AND(#REF!&gt;=table!$E$7,#REF!&lt;=table!$F$7),1,0))</f>
        <v>#REF!</v>
      </c>
      <c r="S2128" s="5" t="e">
        <f>IF(AND(#REF!&gt;=table!$C$8,#REF!&lt;= table!$D$8),-1,IF(AND(#REF!&gt;=table!$E$8,#REF!&lt;=table!$F$8),1,0))</f>
        <v>#REF!</v>
      </c>
      <c r="T2128" s="5"/>
      <c r="U2128" s="5" t="e">
        <f>IF(AND(#REF!&gt;=table!$C$10,#REF!&lt;= table!$D$10),-1,IF(AND(#REF!&gt;=table!$E$10,#REF!&lt;=table!$F$10),1,0))</f>
        <v>#REF!</v>
      </c>
      <c r="V2128" s="5" t="e">
        <f>IF(AND(#REF!&gt;=table!$C$11,#REF!&lt;= table!$D$11),-1,IF(AND(#REF!&gt;=table!$E$11,#REF!&lt;=table!$F$11),1,0))</f>
        <v>#REF!</v>
      </c>
      <c r="W2128" s="5" t="e">
        <f>CONCATENATE(dados[[#This Row],[fator1]],dados[[#This Row],[fator5]],dados[[#This Row],[fator6]])</f>
        <v>#REF!</v>
      </c>
    </row>
    <row r="2129" spans="1:23">
      <c r="A2129" t="s">
        <v>16</v>
      </c>
      <c r="B2129">
        <v>486987</v>
      </c>
      <c r="C2129">
        <v>0.15</v>
      </c>
      <c r="D2129">
        <v>40</v>
      </c>
      <c r="E2129">
        <v>10</v>
      </c>
      <c r="F2129">
        <v>15</v>
      </c>
      <c r="G2129">
        <v>0</v>
      </c>
      <c r="H2129">
        <v>15</v>
      </c>
      <c r="I2129">
        <v>873</v>
      </c>
      <c r="J2129">
        <v>0</v>
      </c>
      <c r="K2129">
        <v>7.7085000000000008</v>
      </c>
      <c r="L2129">
        <v>11.134500000000001</v>
      </c>
      <c r="M2129">
        <v>10.199</v>
      </c>
      <c r="N2129">
        <v>10.28</v>
      </c>
      <c r="O2129">
        <v>1651</v>
      </c>
      <c r="P2129">
        <v>0</v>
      </c>
      <c r="Q2129" s="5" t="e">
        <f>IF(AND(#REF!&gt;=table!$C$6,#REF!&lt;= table!$D$6),-1,IF(AND(#REF!&gt;=table!$E$6,#REF!&lt;=table!$F$6),1,0))</f>
        <v>#REF!</v>
      </c>
      <c r="R2129" s="5" t="e">
        <f>IF(AND(#REF!&gt;=table!$C$7,#REF!&lt;= table!$D$7),-1,IF(AND(#REF!&gt;=table!$E$7,#REF!&lt;=table!$F$7),1,0))</f>
        <v>#REF!</v>
      </c>
      <c r="S2129" s="5" t="e">
        <f>IF(AND(#REF!&gt;=table!$C$8,#REF!&lt;= table!$D$8),-1,IF(AND(#REF!&gt;=table!$E$8,#REF!&lt;=table!$F$8),1,0))</f>
        <v>#REF!</v>
      </c>
      <c r="T2129" s="5"/>
      <c r="U2129" s="5" t="e">
        <f>IF(AND(#REF!&gt;=table!$C$10,#REF!&lt;= table!$D$10),-1,IF(AND(#REF!&gt;=table!$E$10,#REF!&lt;=table!$F$10),1,0))</f>
        <v>#REF!</v>
      </c>
      <c r="V2129" s="5" t="e">
        <f>IF(AND(#REF!&gt;=table!$C$11,#REF!&lt;= table!$D$11),-1,IF(AND(#REF!&gt;=table!$E$11,#REF!&lt;=table!$F$11),1,0))</f>
        <v>#REF!</v>
      </c>
      <c r="W2129" s="5" t="e">
        <f>CONCATENATE(dados[[#This Row],[fator1]],dados[[#This Row],[fator5]],dados[[#This Row],[fator6]])</f>
        <v>#REF!</v>
      </c>
    </row>
    <row r="2130" spans="1:23">
      <c r="A2130" t="s">
        <v>16</v>
      </c>
      <c r="B2130">
        <v>486990</v>
      </c>
      <c r="C2130">
        <v>0.15</v>
      </c>
      <c r="D2130">
        <v>40</v>
      </c>
      <c r="E2130">
        <v>10</v>
      </c>
      <c r="F2130">
        <v>15</v>
      </c>
      <c r="G2130">
        <v>0</v>
      </c>
      <c r="H2130">
        <v>15</v>
      </c>
      <c r="I2130">
        <v>989</v>
      </c>
      <c r="J2130">
        <v>0</v>
      </c>
      <c r="K2130">
        <v>3.4160000000000004</v>
      </c>
      <c r="L2130">
        <v>5.4485000000000001</v>
      </c>
      <c r="M2130">
        <v>4.6909999999999998</v>
      </c>
      <c r="N2130">
        <v>8.42</v>
      </c>
      <c r="O2130">
        <v>1670</v>
      </c>
      <c r="P2130">
        <v>0</v>
      </c>
      <c r="Q2130" s="5" t="e">
        <f>IF(AND(#REF!&gt;=table!$C$6,#REF!&lt;= table!$D$6),-1,IF(AND(#REF!&gt;=table!$E$6,#REF!&lt;=table!$F$6),1,0))</f>
        <v>#REF!</v>
      </c>
      <c r="R2130" s="5" t="e">
        <f>IF(AND(#REF!&gt;=table!$C$7,#REF!&lt;= table!$D$7),-1,IF(AND(#REF!&gt;=table!$E$7,#REF!&lt;=table!$F$7),1,0))</f>
        <v>#REF!</v>
      </c>
      <c r="S2130" s="5" t="e">
        <f>IF(AND(#REF!&gt;=table!$C$8,#REF!&lt;= table!$D$8),-1,IF(AND(#REF!&gt;=table!$E$8,#REF!&lt;=table!$F$8),1,0))</f>
        <v>#REF!</v>
      </c>
      <c r="T2130" s="5"/>
      <c r="U2130" s="5" t="e">
        <f>IF(AND(#REF!&gt;=table!$C$10,#REF!&lt;= table!$D$10),-1,IF(AND(#REF!&gt;=table!$E$10,#REF!&lt;=table!$F$10),1,0))</f>
        <v>#REF!</v>
      </c>
      <c r="V2130" s="5" t="e">
        <f>IF(AND(#REF!&gt;=table!$C$11,#REF!&lt;= table!$D$11),-1,IF(AND(#REF!&gt;=table!$E$11,#REF!&lt;=table!$F$11),1,0))</f>
        <v>#REF!</v>
      </c>
      <c r="W2130" s="5" t="e">
        <f>CONCATENATE(dados[[#This Row],[fator1]],dados[[#This Row],[fator5]],dados[[#This Row],[fator6]])</f>
        <v>#REF!</v>
      </c>
    </row>
    <row r="2131" spans="1:23">
      <c r="A2131" t="s">
        <v>16</v>
      </c>
      <c r="B2131">
        <v>487000</v>
      </c>
      <c r="C2131">
        <v>4</v>
      </c>
      <c r="D2131">
        <v>40</v>
      </c>
      <c r="E2131">
        <v>21</v>
      </c>
      <c r="F2131">
        <v>20</v>
      </c>
      <c r="G2131">
        <v>0</v>
      </c>
      <c r="H2131">
        <v>25</v>
      </c>
      <c r="I2131">
        <v>1016</v>
      </c>
      <c r="J2131">
        <v>0</v>
      </c>
      <c r="K2131">
        <v>7.32</v>
      </c>
      <c r="L2131">
        <v>7.4359999999999999</v>
      </c>
      <c r="M2131">
        <v>6.6425000000000001</v>
      </c>
      <c r="N2131">
        <v>7.8550000000000004</v>
      </c>
      <c r="O2131">
        <v>1651</v>
      </c>
      <c r="P2131">
        <v>431</v>
      </c>
      <c r="Q2131" s="5" t="e">
        <f>IF(AND(#REF!&gt;=table!$C$6,#REF!&lt;= table!$D$6),-1,IF(AND(#REF!&gt;=table!$E$6,#REF!&lt;=table!$F$6),1,0))</f>
        <v>#REF!</v>
      </c>
      <c r="R2131" s="5" t="e">
        <f>IF(AND(#REF!&gt;=table!$C$7,#REF!&lt;= table!$D$7),-1,IF(AND(#REF!&gt;=table!$E$7,#REF!&lt;=table!$F$7),1,0))</f>
        <v>#REF!</v>
      </c>
      <c r="S2131" s="5" t="e">
        <f>IF(AND(#REF!&gt;=table!$C$8,#REF!&lt;= table!$D$8),-1,IF(AND(#REF!&gt;=table!$E$8,#REF!&lt;=table!$F$8),1,0))</f>
        <v>#REF!</v>
      </c>
      <c r="T2131" s="5"/>
      <c r="U2131" s="5" t="e">
        <f>IF(AND(#REF!&gt;=table!$C$10,#REF!&lt;= table!$D$10),-1,IF(AND(#REF!&gt;=table!$E$10,#REF!&lt;=table!$F$10),1,0))</f>
        <v>#REF!</v>
      </c>
      <c r="V2131" s="5" t="e">
        <f>IF(AND(#REF!&gt;=table!$C$11,#REF!&lt;= table!$D$11),-1,IF(AND(#REF!&gt;=table!$E$11,#REF!&lt;=table!$F$11),1,0))</f>
        <v>#REF!</v>
      </c>
      <c r="W2131" s="5" t="e">
        <f>CONCATENATE(dados[[#This Row],[fator1]],dados[[#This Row],[fator5]],dados[[#This Row],[fator6]])</f>
        <v>#REF!</v>
      </c>
    </row>
    <row r="2132" spans="1:23">
      <c r="A2132" t="s">
        <v>16</v>
      </c>
      <c r="B2132">
        <v>487001</v>
      </c>
      <c r="C2132">
        <v>9</v>
      </c>
      <c r="D2132">
        <v>35</v>
      </c>
      <c r="E2132">
        <v>36</v>
      </c>
      <c r="F2132">
        <v>9</v>
      </c>
      <c r="G2132">
        <v>0</v>
      </c>
      <c r="H2132">
        <v>25</v>
      </c>
      <c r="I2132">
        <v>0</v>
      </c>
      <c r="J2132">
        <v>0</v>
      </c>
      <c r="K2132">
        <v>5.1645000000000003</v>
      </c>
      <c r="L2132">
        <v>12.9335</v>
      </c>
      <c r="M2132">
        <v>11.679</v>
      </c>
      <c r="N2132">
        <v>16.22</v>
      </c>
      <c r="O2132">
        <v>1660</v>
      </c>
      <c r="P2132">
        <v>0</v>
      </c>
      <c r="Q2132" s="5" t="e">
        <f>IF(AND(#REF!&gt;=table!$C$6,#REF!&lt;= table!$D$6),-1,IF(AND(#REF!&gt;=table!$E$6,#REF!&lt;=table!$F$6),1,0))</f>
        <v>#REF!</v>
      </c>
      <c r="R2132" s="5" t="e">
        <f>IF(AND(#REF!&gt;=table!$C$7,#REF!&lt;= table!$D$7),-1,IF(AND(#REF!&gt;=table!$E$7,#REF!&lt;=table!$F$7),1,0))</f>
        <v>#REF!</v>
      </c>
      <c r="S2132" s="5" t="e">
        <f>IF(AND(#REF!&gt;=table!$C$8,#REF!&lt;= table!$D$8),-1,IF(AND(#REF!&gt;=table!$E$8,#REF!&lt;=table!$F$8),1,0))</f>
        <v>#REF!</v>
      </c>
      <c r="T2132" s="5"/>
      <c r="U2132" s="5" t="e">
        <f>IF(AND(#REF!&gt;=table!$C$10,#REF!&lt;= table!$D$10),-1,IF(AND(#REF!&gt;=table!$E$10,#REF!&lt;=table!$F$10),1,0))</f>
        <v>#REF!</v>
      </c>
      <c r="V2132" s="5" t="e">
        <f>IF(AND(#REF!&gt;=table!$C$11,#REF!&lt;= table!$D$11),-1,IF(AND(#REF!&gt;=table!$E$11,#REF!&lt;=table!$F$11),1,0))</f>
        <v>#REF!</v>
      </c>
      <c r="W2132" s="5" t="e">
        <f>CONCATENATE(dados[[#This Row],[fator1]],dados[[#This Row],[fator5]],dados[[#This Row],[fator6]])</f>
        <v>#REF!</v>
      </c>
    </row>
    <row r="2133" spans="1:23">
      <c r="A2133" t="s">
        <v>16</v>
      </c>
      <c r="B2133">
        <v>487004</v>
      </c>
      <c r="C2133">
        <v>3</v>
      </c>
      <c r="D2133">
        <v>30</v>
      </c>
      <c r="E2133">
        <v>21</v>
      </c>
      <c r="F2133">
        <v>15</v>
      </c>
      <c r="G2133">
        <v>0</v>
      </c>
      <c r="H2133">
        <v>25</v>
      </c>
      <c r="I2133">
        <v>15</v>
      </c>
      <c r="J2133">
        <v>610</v>
      </c>
      <c r="K2133">
        <v>3.6520000000000001</v>
      </c>
      <c r="L2133">
        <v>12.019</v>
      </c>
      <c r="M2133">
        <v>21.3565</v>
      </c>
      <c r="N2133">
        <v>19.185000000000002</v>
      </c>
      <c r="O2133">
        <v>1692</v>
      </c>
      <c r="P2133">
        <v>0</v>
      </c>
      <c r="Q2133" s="5" t="e">
        <f>IF(AND(#REF!&gt;=table!$C$6,#REF!&lt;= table!$D$6),-1,IF(AND(#REF!&gt;=table!$E$6,#REF!&lt;=table!$F$6),1,0))</f>
        <v>#REF!</v>
      </c>
      <c r="R2133" s="5" t="e">
        <f>IF(AND(#REF!&gt;=table!$C$7,#REF!&lt;= table!$D$7),-1,IF(AND(#REF!&gt;=table!$E$7,#REF!&lt;=table!$F$7),1,0))</f>
        <v>#REF!</v>
      </c>
      <c r="S2133" s="5" t="e">
        <f>IF(AND(#REF!&gt;=table!$C$8,#REF!&lt;= table!$D$8),-1,IF(AND(#REF!&gt;=table!$E$8,#REF!&lt;=table!$F$8),1,0))</f>
        <v>#REF!</v>
      </c>
      <c r="T2133" s="5"/>
      <c r="U2133" s="5" t="e">
        <f>IF(AND(#REF!&gt;=table!$C$10,#REF!&lt;= table!$D$10),-1,IF(AND(#REF!&gt;=table!$E$10,#REF!&lt;=table!$F$10),1,0))</f>
        <v>#REF!</v>
      </c>
      <c r="V2133" s="5" t="e">
        <f>IF(AND(#REF!&gt;=table!$C$11,#REF!&lt;= table!$D$11),-1,IF(AND(#REF!&gt;=table!$E$11,#REF!&lt;=table!$F$11),1,0))</f>
        <v>#REF!</v>
      </c>
      <c r="W2133" s="5" t="e">
        <f>CONCATENATE(dados[[#This Row],[fator1]],dados[[#This Row],[fator5]],dados[[#This Row],[fator6]])</f>
        <v>#REF!</v>
      </c>
    </row>
    <row r="2134" spans="1:23">
      <c r="A2134" t="s">
        <v>16</v>
      </c>
      <c r="B2134">
        <v>487005</v>
      </c>
      <c r="C2134">
        <v>0.15</v>
      </c>
      <c r="D2134">
        <v>40</v>
      </c>
      <c r="E2134">
        <v>10</v>
      </c>
      <c r="F2134">
        <v>15</v>
      </c>
      <c r="G2134">
        <v>0</v>
      </c>
      <c r="H2134">
        <v>15</v>
      </c>
      <c r="I2134">
        <v>1152</v>
      </c>
      <c r="J2134">
        <v>0</v>
      </c>
      <c r="K2134">
        <v>5.3725000000000005</v>
      </c>
      <c r="L2134">
        <v>8.8190000000000008</v>
      </c>
      <c r="M2134">
        <v>8.104000000000001</v>
      </c>
      <c r="N2134">
        <v>10.11</v>
      </c>
      <c r="O2134">
        <v>1664</v>
      </c>
      <c r="P2134">
        <v>691</v>
      </c>
      <c r="Q2134" s="5" t="e">
        <f>IF(AND(#REF!&gt;=table!$C$6,#REF!&lt;= table!$D$6),-1,IF(AND(#REF!&gt;=table!$E$6,#REF!&lt;=table!$F$6),1,0))</f>
        <v>#REF!</v>
      </c>
      <c r="R2134" s="5" t="e">
        <f>IF(AND(#REF!&gt;=table!$C$7,#REF!&lt;= table!$D$7),-1,IF(AND(#REF!&gt;=table!$E$7,#REF!&lt;=table!$F$7),1,0))</f>
        <v>#REF!</v>
      </c>
      <c r="S2134" s="5" t="e">
        <f>IF(AND(#REF!&gt;=table!$C$8,#REF!&lt;= table!$D$8),-1,IF(AND(#REF!&gt;=table!$E$8,#REF!&lt;=table!$F$8),1,0))</f>
        <v>#REF!</v>
      </c>
      <c r="T2134" s="5"/>
      <c r="U2134" s="5" t="e">
        <f>IF(AND(#REF!&gt;=table!$C$10,#REF!&lt;= table!$D$10),-1,IF(AND(#REF!&gt;=table!$E$10,#REF!&lt;=table!$F$10),1,0))</f>
        <v>#REF!</v>
      </c>
      <c r="V2134" s="5" t="e">
        <f>IF(AND(#REF!&gt;=table!$C$11,#REF!&lt;= table!$D$11),-1,IF(AND(#REF!&gt;=table!$E$11,#REF!&lt;=table!$F$11),1,0))</f>
        <v>#REF!</v>
      </c>
      <c r="W2134" s="5" t="e">
        <f>CONCATENATE(dados[[#This Row],[fator1]],dados[[#This Row],[fator5]],dados[[#This Row],[fator6]])</f>
        <v>#REF!</v>
      </c>
    </row>
    <row r="2135" spans="1:23">
      <c r="A2135" t="s">
        <v>16</v>
      </c>
      <c r="B2135">
        <v>487006</v>
      </c>
      <c r="C2135">
        <v>0.1</v>
      </c>
      <c r="D2135">
        <v>40</v>
      </c>
      <c r="E2135">
        <v>10</v>
      </c>
      <c r="F2135">
        <v>8</v>
      </c>
      <c r="G2135">
        <v>0</v>
      </c>
      <c r="H2135">
        <v>10</v>
      </c>
      <c r="I2135">
        <v>886</v>
      </c>
      <c r="J2135">
        <v>0</v>
      </c>
      <c r="K2135">
        <v>7.3620000000000001</v>
      </c>
      <c r="L2135">
        <v>11.077</v>
      </c>
      <c r="M2135">
        <v>8.5865000000000009</v>
      </c>
      <c r="N2135">
        <v>11.875</v>
      </c>
      <c r="O2135">
        <v>1682</v>
      </c>
      <c r="P2135">
        <v>0</v>
      </c>
      <c r="Q2135" s="5" t="e">
        <f>IF(AND(#REF!&gt;=table!$C$6,#REF!&lt;= table!$D$6),-1,IF(AND(#REF!&gt;=table!$E$6,#REF!&lt;=table!$F$6),1,0))</f>
        <v>#REF!</v>
      </c>
      <c r="R2135" s="5" t="e">
        <f>IF(AND(#REF!&gt;=table!$C$7,#REF!&lt;= table!$D$7),-1,IF(AND(#REF!&gt;=table!$E$7,#REF!&lt;=table!$F$7),1,0))</f>
        <v>#REF!</v>
      </c>
      <c r="S2135" s="5" t="e">
        <f>IF(AND(#REF!&gt;=table!$C$8,#REF!&lt;= table!$D$8),-1,IF(AND(#REF!&gt;=table!$E$8,#REF!&lt;=table!$F$8),1,0))</f>
        <v>#REF!</v>
      </c>
      <c r="T2135" s="5"/>
      <c r="U2135" s="5" t="e">
        <f>IF(AND(#REF!&gt;=table!$C$10,#REF!&lt;= table!$D$10),-1,IF(AND(#REF!&gt;=table!$E$10,#REF!&lt;=table!$F$10),1,0))</f>
        <v>#REF!</v>
      </c>
      <c r="V2135" s="5" t="e">
        <f>IF(AND(#REF!&gt;=table!$C$11,#REF!&lt;= table!$D$11),-1,IF(AND(#REF!&gt;=table!$E$11,#REF!&lt;=table!$F$11),1,0))</f>
        <v>#REF!</v>
      </c>
      <c r="W2135" s="5" t="e">
        <f>CONCATENATE(dados[[#This Row],[fator1]],dados[[#This Row],[fator5]],dados[[#This Row],[fator6]])</f>
        <v>#REF!</v>
      </c>
    </row>
    <row r="2136" spans="1:23">
      <c r="A2136" t="s">
        <v>16</v>
      </c>
      <c r="B2136">
        <v>487007</v>
      </c>
      <c r="C2136">
        <v>0.15</v>
      </c>
      <c r="D2136">
        <v>40</v>
      </c>
      <c r="E2136">
        <v>10</v>
      </c>
      <c r="F2136">
        <v>15</v>
      </c>
      <c r="G2136">
        <v>0</v>
      </c>
      <c r="H2136">
        <v>15</v>
      </c>
      <c r="I2136">
        <v>657</v>
      </c>
      <c r="J2136">
        <v>0</v>
      </c>
      <c r="K2136">
        <v>3.47</v>
      </c>
      <c r="L2136">
        <v>7.8810000000000002</v>
      </c>
      <c r="M2136">
        <v>6.6375000000000002</v>
      </c>
      <c r="N2136">
        <v>8.5950000000000006</v>
      </c>
      <c r="O2136">
        <v>1641</v>
      </c>
      <c r="P2136">
        <v>836</v>
      </c>
      <c r="Q2136" s="5" t="e">
        <f>IF(AND(#REF!&gt;=table!$C$6,#REF!&lt;= table!$D$6),-1,IF(AND(#REF!&gt;=table!$E$6,#REF!&lt;=table!$F$6),1,0))</f>
        <v>#REF!</v>
      </c>
      <c r="R2136" s="5" t="e">
        <f>IF(AND(#REF!&gt;=table!$C$7,#REF!&lt;= table!$D$7),-1,IF(AND(#REF!&gt;=table!$E$7,#REF!&lt;=table!$F$7),1,0))</f>
        <v>#REF!</v>
      </c>
      <c r="S2136" s="5" t="e">
        <f>IF(AND(#REF!&gt;=table!$C$8,#REF!&lt;= table!$D$8),-1,IF(AND(#REF!&gt;=table!$E$8,#REF!&lt;=table!$F$8),1,0))</f>
        <v>#REF!</v>
      </c>
      <c r="T2136" s="5"/>
      <c r="U2136" s="5" t="e">
        <f>IF(AND(#REF!&gt;=table!$C$10,#REF!&lt;= table!$D$10),-1,IF(AND(#REF!&gt;=table!$E$10,#REF!&lt;=table!$F$10),1,0))</f>
        <v>#REF!</v>
      </c>
      <c r="V2136" s="5" t="e">
        <f>IF(AND(#REF!&gt;=table!$C$11,#REF!&lt;= table!$D$11),-1,IF(AND(#REF!&gt;=table!$E$11,#REF!&lt;=table!$F$11),1,0))</f>
        <v>#REF!</v>
      </c>
      <c r="W2136" s="5" t="e">
        <f>CONCATENATE(dados[[#This Row],[fator1]],dados[[#This Row],[fator5]],dados[[#This Row],[fator6]])</f>
        <v>#REF!</v>
      </c>
    </row>
    <row r="2137" spans="1:23">
      <c r="A2137" t="s">
        <v>16</v>
      </c>
      <c r="B2137">
        <v>487012</v>
      </c>
      <c r="C2137">
        <v>0.15</v>
      </c>
      <c r="D2137">
        <v>40</v>
      </c>
      <c r="E2137">
        <v>10</v>
      </c>
      <c r="F2137">
        <v>15</v>
      </c>
      <c r="G2137">
        <v>0</v>
      </c>
      <c r="H2137">
        <v>15</v>
      </c>
      <c r="I2137">
        <v>1146</v>
      </c>
      <c r="J2137">
        <v>0</v>
      </c>
      <c r="K2137">
        <v>4.1690000000000005</v>
      </c>
      <c r="L2137">
        <v>6.7635000000000005</v>
      </c>
      <c r="M2137">
        <v>6.1475</v>
      </c>
      <c r="N2137">
        <v>8.56</v>
      </c>
      <c r="O2137">
        <v>1632</v>
      </c>
      <c r="P2137">
        <v>0</v>
      </c>
      <c r="Q2137" s="5" t="e">
        <f>IF(AND(#REF!&gt;=table!$C$6,#REF!&lt;= table!$D$6),-1,IF(AND(#REF!&gt;=table!$E$6,#REF!&lt;=table!$F$6),1,0))</f>
        <v>#REF!</v>
      </c>
      <c r="R2137" s="5" t="e">
        <f>IF(AND(#REF!&gt;=table!$C$7,#REF!&lt;= table!$D$7),-1,IF(AND(#REF!&gt;=table!$E$7,#REF!&lt;=table!$F$7),1,0))</f>
        <v>#REF!</v>
      </c>
      <c r="S2137" s="5" t="e">
        <f>IF(AND(#REF!&gt;=table!$C$8,#REF!&lt;= table!$D$8),-1,IF(AND(#REF!&gt;=table!$E$8,#REF!&lt;=table!$F$8),1,0))</f>
        <v>#REF!</v>
      </c>
      <c r="T2137" s="5"/>
      <c r="U2137" s="5" t="e">
        <f>IF(AND(#REF!&gt;=table!$C$10,#REF!&lt;= table!$D$10),-1,IF(AND(#REF!&gt;=table!$E$10,#REF!&lt;=table!$F$10),1,0))</f>
        <v>#REF!</v>
      </c>
      <c r="V2137" s="5" t="e">
        <f>IF(AND(#REF!&gt;=table!$C$11,#REF!&lt;= table!$D$11),-1,IF(AND(#REF!&gt;=table!$E$11,#REF!&lt;=table!$F$11),1,0))</f>
        <v>#REF!</v>
      </c>
      <c r="W2137" s="5" t="e">
        <f>CONCATENATE(dados[[#This Row],[fator1]],dados[[#This Row],[fator5]],dados[[#This Row],[fator6]])</f>
        <v>#REF!</v>
      </c>
    </row>
    <row r="2138" spans="1:23">
      <c r="A2138" t="s">
        <v>17</v>
      </c>
      <c r="B2138">
        <v>487016</v>
      </c>
      <c r="C2138">
        <v>18</v>
      </c>
      <c r="D2138">
        <v>33</v>
      </c>
      <c r="E2138">
        <v>70</v>
      </c>
      <c r="F2138">
        <v>3</v>
      </c>
      <c r="G2138">
        <v>20</v>
      </c>
      <c r="H2138">
        <v>25</v>
      </c>
      <c r="I2138">
        <v>926</v>
      </c>
      <c r="J2138">
        <v>770</v>
      </c>
      <c r="K2138">
        <v>4.2805</v>
      </c>
      <c r="L2138">
        <v>13.217000000000001</v>
      </c>
      <c r="M2138">
        <v>65.259500000000003</v>
      </c>
      <c r="N2138">
        <v>16.12</v>
      </c>
      <c r="O2138">
        <v>1686</v>
      </c>
      <c r="P2138">
        <v>862</v>
      </c>
      <c r="Q2138" s="5" t="e">
        <f>IF(AND(#REF!&gt;=table!$C$6,#REF!&lt;= table!$D$6),-1,IF(AND(#REF!&gt;=table!$E$6,#REF!&lt;=table!$F$6),1,0))</f>
        <v>#REF!</v>
      </c>
      <c r="R2138" s="5" t="e">
        <f>IF(AND(#REF!&gt;=table!$C$7,#REF!&lt;= table!$D$7),-1,IF(AND(#REF!&gt;=table!$E$7,#REF!&lt;=table!$F$7),1,0))</f>
        <v>#REF!</v>
      </c>
      <c r="S2138" s="5" t="e">
        <f>IF(AND(#REF!&gt;=table!$C$8,#REF!&lt;= table!$D$8),-1,IF(AND(#REF!&gt;=table!$E$8,#REF!&lt;=table!$F$8),1,0))</f>
        <v>#REF!</v>
      </c>
      <c r="T2138" s="5"/>
      <c r="U2138" s="5" t="e">
        <f>IF(AND(#REF!&gt;=table!$C$10,#REF!&lt;= table!$D$10),-1,IF(AND(#REF!&gt;=table!$E$10,#REF!&lt;=table!$F$10),1,0))</f>
        <v>#REF!</v>
      </c>
      <c r="V2138" s="5" t="e">
        <f>IF(AND(#REF!&gt;=table!$C$11,#REF!&lt;= table!$D$11),-1,IF(AND(#REF!&gt;=table!$E$11,#REF!&lt;=table!$F$11),1,0))</f>
        <v>#REF!</v>
      </c>
      <c r="W2138" s="5" t="e">
        <f>CONCATENATE(dados[[#This Row],[fator1]],dados[[#This Row],[fator5]],dados[[#This Row],[fator6]])</f>
        <v>#REF!</v>
      </c>
    </row>
    <row r="2139" spans="1:23">
      <c r="A2139" t="s">
        <v>16</v>
      </c>
      <c r="B2139">
        <v>487027</v>
      </c>
      <c r="C2139">
        <v>6</v>
      </c>
      <c r="D2139">
        <v>30</v>
      </c>
      <c r="E2139">
        <v>40</v>
      </c>
      <c r="F2139">
        <v>15</v>
      </c>
      <c r="G2139">
        <v>0</v>
      </c>
      <c r="H2139">
        <v>25</v>
      </c>
      <c r="I2139">
        <v>592</v>
      </c>
      <c r="J2139">
        <v>0</v>
      </c>
      <c r="K2139">
        <v>6.2875000000000005</v>
      </c>
      <c r="L2139">
        <v>11.236500000000001</v>
      </c>
      <c r="M2139">
        <v>36.917500000000004</v>
      </c>
      <c r="N2139">
        <v>15.88</v>
      </c>
      <c r="O2139">
        <v>1672</v>
      </c>
      <c r="P2139">
        <v>563</v>
      </c>
      <c r="Q2139" s="5" t="e">
        <f>IF(AND(#REF!&gt;=table!$C$6,#REF!&lt;= table!$D$6),-1,IF(AND(#REF!&gt;=table!$E$6,#REF!&lt;=table!$F$6),1,0))</f>
        <v>#REF!</v>
      </c>
      <c r="R2139" s="5" t="e">
        <f>IF(AND(#REF!&gt;=table!$C$7,#REF!&lt;= table!$D$7),-1,IF(AND(#REF!&gt;=table!$E$7,#REF!&lt;=table!$F$7),1,0))</f>
        <v>#REF!</v>
      </c>
      <c r="S2139" s="5" t="e">
        <f>IF(AND(#REF!&gt;=table!$C$8,#REF!&lt;= table!$D$8),-1,IF(AND(#REF!&gt;=table!$E$8,#REF!&lt;=table!$F$8),1,0))</f>
        <v>#REF!</v>
      </c>
      <c r="T2139" s="5"/>
      <c r="U2139" s="5" t="e">
        <f>IF(AND(#REF!&gt;=table!$C$10,#REF!&lt;= table!$D$10),-1,IF(AND(#REF!&gt;=table!$E$10,#REF!&lt;=table!$F$10),1,0))</f>
        <v>#REF!</v>
      </c>
      <c r="V2139" s="5" t="e">
        <f>IF(AND(#REF!&gt;=table!$C$11,#REF!&lt;= table!$D$11),-1,IF(AND(#REF!&gt;=table!$E$11,#REF!&lt;=table!$F$11),1,0))</f>
        <v>#REF!</v>
      </c>
      <c r="W2139" s="5" t="e">
        <f>CONCATENATE(dados[[#This Row],[fator1]],dados[[#This Row],[fator5]],dados[[#This Row],[fator6]])</f>
        <v>#REF!</v>
      </c>
    </row>
    <row r="2140" spans="1:23">
      <c r="A2140" t="s">
        <v>16</v>
      </c>
      <c r="B2140">
        <v>487030</v>
      </c>
      <c r="C2140">
        <v>0.19</v>
      </c>
      <c r="D2140">
        <v>50</v>
      </c>
      <c r="E2140">
        <v>56</v>
      </c>
      <c r="F2140">
        <v>15</v>
      </c>
      <c r="G2140">
        <v>0</v>
      </c>
      <c r="H2140">
        <v>50</v>
      </c>
      <c r="I2140">
        <v>3</v>
      </c>
      <c r="J2140">
        <v>0</v>
      </c>
      <c r="K2140">
        <v>3.7165000000000004</v>
      </c>
      <c r="L2140">
        <v>11.701500000000001</v>
      </c>
      <c r="M2140">
        <v>9.1265000000000001</v>
      </c>
      <c r="N2140">
        <v>20.385000000000002</v>
      </c>
      <c r="O2140">
        <v>1705</v>
      </c>
      <c r="P2140">
        <v>1057</v>
      </c>
      <c r="Q2140" s="5" t="e">
        <f>IF(AND(#REF!&gt;=table!$C$6,#REF!&lt;= table!$D$6),-1,IF(AND(#REF!&gt;=table!$E$6,#REF!&lt;=table!$F$6),1,0))</f>
        <v>#REF!</v>
      </c>
      <c r="R2140" s="5" t="e">
        <f>IF(AND(#REF!&gt;=table!$C$7,#REF!&lt;= table!$D$7),-1,IF(AND(#REF!&gt;=table!$E$7,#REF!&lt;=table!$F$7),1,0))</f>
        <v>#REF!</v>
      </c>
      <c r="S2140" s="5" t="e">
        <f>IF(AND(#REF!&gt;=table!$C$8,#REF!&lt;= table!$D$8),-1,IF(AND(#REF!&gt;=table!$E$8,#REF!&lt;=table!$F$8),1,0))</f>
        <v>#REF!</v>
      </c>
      <c r="T2140" s="5"/>
      <c r="U2140" s="5" t="e">
        <f>IF(AND(#REF!&gt;=table!$C$10,#REF!&lt;= table!$D$10),-1,IF(AND(#REF!&gt;=table!$E$10,#REF!&lt;=table!$F$10),1,0))</f>
        <v>#REF!</v>
      </c>
      <c r="V2140" s="5" t="e">
        <f>IF(AND(#REF!&gt;=table!$C$11,#REF!&lt;= table!$D$11),-1,IF(AND(#REF!&gt;=table!$E$11,#REF!&lt;=table!$F$11),1,0))</f>
        <v>#REF!</v>
      </c>
      <c r="W2140" s="5" t="e">
        <f>CONCATENATE(dados[[#This Row],[fator1]],dados[[#This Row],[fator5]],dados[[#This Row],[fator6]])</f>
        <v>#REF!</v>
      </c>
    </row>
    <row r="2141" spans="1:23">
      <c r="A2141" t="s">
        <v>16</v>
      </c>
      <c r="B2141">
        <v>487034</v>
      </c>
      <c r="C2141">
        <v>0.19</v>
      </c>
      <c r="D2141">
        <v>50</v>
      </c>
      <c r="E2141">
        <v>56</v>
      </c>
      <c r="F2141">
        <v>15</v>
      </c>
      <c r="G2141">
        <v>0</v>
      </c>
      <c r="H2141">
        <v>50</v>
      </c>
      <c r="I2141">
        <v>942</v>
      </c>
      <c r="J2141">
        <v>0</v>
      </c>
      <c r="K2141">
        <v>5.3465000000000007</v>
      </c>
      <c r="L2141">
        <v>7.1890000000000001</v>
      </c>
      <c r="M2141">
        <v>7.0170000000000003</v>
      </c>
      <c r="N2141">
        <v>12.83</v>
      </c>
      <c r="O2141">
        <v>1655</v>
      </c>
      <c r="P2141">
        <v>704</v>
      </c>
      <c r="Q2141" s="5" t="e">
        <f>IF(AND(#REF!&gt;=table!$C$6,#REF!&lt;= table!$D$6),-1,IF(AND(#REF!&gt;=table!$E$6,#REF!&lt;=table!$F$6),1,0))</f>
        <v>#REF!</v>
      </c>
      <c r="R2141" s="5" t="e">
        <f>IF(AND(#REF!&gt;=table!$C$7,#REF!&lt;= table!$D$7),-1,IF(AND(#REF!&gt;=table!$E$7,#REF!&lt;=table!$F$7),1,0))</f>
        <v>#REF!</v>
      </c>
      <c r="S2141" s="5" t="e">
        <f>IF(AND(#REF!&gt;=table!$C$8,#REF!&lt;= table!$D$8),-1,IF(AND(#REF!&gt;=table!$E$8,#REF!&lt;=table!$F$8),1,0))</f>
        <v>#REF!</v>
      </c>
      <c r="T2141" s="5"/>
      <c r="U2141" s="5" t="e">
        <f>IF(AND(#REF!&gt;=table!$C$10,#REF!&lt;= table!$D$10),-1,IF(AND(#REF!&gt;=table!$E$10,#REF!&lt;=table!$F$10),1,0))</f>
        <v>#REF!</v>
      </c>
      <c r="V2141" s="5" t="e">
        <f>IF(AND(#REF!&gt;=table!$C$11,#REF!&lt;= table!$D$11),-1,IF(AND(#REF!&gt;=table!$E$11,#REF!&lt;=table!$F$11),1,0))</f>
        <v>#REF!</v>
      </c>
      <c r="W2141" s="5" t="e">
        <f>CONCATENATE(dados[[#This Row],[fator1]],dados[[#This Row],[fator5]],dados[[#This Row],[fator6]])</f>
        <v>#REF!</v>
      </c>
    </row>
    <row r="2142" spans="1:23">
      <c r="A2142" t="s">
        <v>16</v>
      </c>
      <c r="B2142">
        <v>487036</v>
      </c>
      <c r="C2142">
        <v>6</v>
      </c>
      <c r="D2142">
        <v>30</v>
      </c>
      <c r="E2142">
        <v>40</v>
      </c>
      <c r="F2142">
        <v>15</v>
      </c>
      <c r="G2142">
        <v>0</v>
      </c>
      <c r="H2142">
        <v>25</v>
      </c>
      <c r="I2142">
        <v>0</v>
      </c>
      <c r="J2142">
        <v>0</v>
      </c>
      <c r="K2142">
        <v>4.7839999999999998</v>
      </c>
      <c r="L2142">
        <v>11.6845</v>
      </c>
      <c r="M2142">
        <v>34.304500000000004</v>
      </c>
      <c r="N2142">
        <v>15</v>
      </c>
      <c r="O2142">
        <v>1656</v>
      </c>
      <c r="P2142">
        <v>734</v>
      </c>
      <c r="Q2142" s="5" t="e">
        <f>IF(AND(#REF!&gt;=table!$C$6,#REF!&lt;= table!$D$6),-1,IF(AND(#REF!&gt;=table!$E$6,#REF!&lt;=table!$F$6),1,0))</f>
        <v>#REF!</v>
      </c>
      <c r="R2142" s="5" t="e">
        <f>IF(AND(#REF!&gt;=table!$C$7,#REF!&lt;= table!$D$7),-1,IF(AND(#REF!&gt;=table!$E$7,#REF!&lt;=table!$F$7),1,0))</f>
        <v>#REF!</v>
      </c>
      <c r="S2142" s="5" t="e">
        <f>IF(AND(#REF!&gt;=table!$C$8,#REF!&lt;= table!$D$8),-1,IF(AND(#REF!&gt;=table!$E$8,#REF!&lt;=table!$F$8),1,0))</f>
        <v>#REF!</v>
      </c>
      <c r="T2142" s="5"/>
      <c r="U2142" s="5" t="e">
        <f>IF(AND(#REF!&gt;=table!$C$10,#REF!&lt;= table!$D$10),-1,IF(AND(#REF!&gt;=table!$E$10,#REF!&lt;=table!$F$10),1,0))</f>
        <v>#REF!</v>
      </c>
      <c r="V2142" s="5" t="e">
        <f>IF(AND(#REF!&gt;=table!$C$11,#REF!&lt;= table!$D$11),-1,IF(AND(#REF!&gt;=table!$E$11,#REF!&lt;=table!$F$11),1,0))</f>
        <v>#REF!</v>
      </c>
      <c r="W2142" s="5" t="e">
        <f>CONCATENATE(dados[[#This Row],[fator1]],dados[[#This Row],[fator5]],dados[[#This Row],[fator6]])</f>
        <v>#REF!</v>
      </c>
    </row>
    <row r="2143" spans="1:23">
      <c r="A2143" t="s">
        <v>16</v>
      </c>
      <c r="B2143">
        <v>487039</v>
      </c>
      <c r="C2143">
        <v>0.19</v>
      </c>
      <c r="D2143">
        <v>50</v>
      </c>
      <c r="E2143">
        <v>56</v>
      </c>
      <c r="F2143">
        <v>15</v>
      </c>
      <c r="G2143">
        <v>0</v>
      </c>
      <c r="H2143">
        <v>50</v>
      </c>
      <c r="I2143">
        <v>0</v>
      </c>
      <c r="J2143">
        <v>0</v>
      </c>
      <c r="K2143">
        <v>4.5040000000000004</v>
      </c>
      <c r="L2143">
        <v>13.448</v>
      </c>
      <c r="M2143">
        <v>13.157</v>
      </c>
      <c r="N2143">
        <v>18.115000000000002</v>
      </c>
      <c r="O2143">
        <v>1663</v>
      </c>
      <c r="P2143">
        <v>718</v>
      </c>
      <c r="Q2143" s="5" t="e">
        <f>IF(AND(#REF!&gt;=table!$C$6,#REF!&lt;= table!$D$6),-1,IF(AND(#REF!&gt;=table!$E$6,#REF!&lt;=table!$F$6),1,0))</f>
        <v>#REF!</v>
      </c>
      <c r="R2143" s="5" t="e">
        <f>IF(AND(#REF!&gt;=table!$C$7,#REF!&lt;= table!$D$7),-1,IF(AND(#REF!&gt;=table!$E$7,#REF!&lt;=table!$F$7),1,0))</f>
        <v>#REF!</v>
      </c>
      <c r="S2143" s="5" t="e">
        <f>IF(AND(#REF!&gt;=table!$C$8,#REF!&lt;= table!$D$8),-1,IF(AND(#REF!&gt;=table!$E$8,#REF!&lt;=table!$F$8),1,0))</f>
        <v>#REF!</v>
      </c>
      <c r="T2143" s="5"/>
      <c r="U2143" s="5" t="e">
        <f>IF(AND(#REF!&gt;=table!$C$10,#REF!&lt;= table!$D$10),-1,IF(AND(#REF!&gt;=table!$E$10,#REF!&lt;=table!$F$10),1,0))</f>
        <v>#REF!</v>
      </c>
      <c r="V2143" s="5" t="e">
        <f>IF(AND(#REF!&gt;=table!$C$11,#REF!&lt;= table!$D$11),-1,IF(AND(#REF!&gt;=table!$E$11,#REF!&lt;=table!$F$11),1,0))</f>
        <v>#REF!</v>
      </c>
      <c r="W2143" s="5" t="e">
        <f>CONCATENATE(dados[[#This Row],[fator1]],dados[[#This Row],[fator5]],dados[[#This Row],[fator6]])</f>
        <v>#REF!</v>
      </c>
    </row>
    <row r="2144" spans="1:23">
      <c r="A2144" t="s">
        <v>16</v>
      </c>
      <c r="B2144">
        <v>487040</v>
      </c>
      <c r="C2144">
        <v>16</v>
      </c>
      <c r="D2144">
        <v>35</v>
      </c>
      <c r="E2144">
        <v>56</v>
      </c>
      <c r="F2144">
        <v>10</v>
      </c>
      <c r="G2144">
        <v>0</v>
      </c>
      <c r="H2144">
        <v>25</v>
      </c>
      <c r="I2144">
        <v>994</v>
      </c>
      <c r="J2144">
        <v>0</v>
      </c>
      <c r="K2144">
        <v>6.7670000000000003</v>
      </c>
      <c r="L2144">
        <v>16.6965</v>
      </c>
      <c r="M2144">
        <v>49.713500000000003</v>
      </c>
      <c r="N2144">
        <v>18.945</v>
      </c>
      <c r="O2144">
        <v>1650</v>
      </c>
      <c r="P2144">
        <v>0</v>
      </c>
      <c r="Q2144" s="5" t="e">
        <f>IF(AND(#REF!&gt;=table!$C$6,#REF!&lt;= table!$D$6),-1,IF(AND(#REF!&gt;=table!$E$6,#REF!&lt;=table!$F$6),1,0))</f>
        <v>#REF!</v>
      </c>
      <c r="R2144" s="5" t="e">
        <f>IF(AND(#REF!&gt;=table!$C$7,#REF!&lt;= table!$D$7),-1,IF(AND(#REF!&gt;=table!$E$7,#REF!&lt;=table!$F$7),1,0))</f>
        <v>#REF!</v>
      </c>
      <c r="S2144" s="5" t="e">
        <f>IF(AND(#REF!&gt;=table!$C$8,#REF!&lt;= table!$D$8),-1,IF(AND(#REF!&gt;=table!$E$8,#REF!&lt;=table!$F$8),1,0))</f>
        <v>#REF!</v>
      </c>
      <c r="T2144" s="5"/>
      <c r="U2144" s="5" t="e">
        <f>IF(AND(#REF!&gt;=table!$C$10,#REF!&lt;= table!$D$10),-1,IF(AND(#REF!&gt;=table!$E$10,#REF!&lt;=table!$F$10),1,0))</f>
        <v>#REF!</v>
      </c>
      <c r="V2144" s="5" t="e">
        <f>IF(AND(#REF!&gt;=table!$C$11,#REF!&lt;= table!$D$11),-1,IF(AND(#REF!&gt;=table!$E$11,#REF!&lt;=table!$F$11),1,0))</f>
        <v>#REF!</v>
      </c>
      <c r="W2144" s="5" t="e">
        <f>CONCATENATE(dados[[#This Row],[fator1]],dados[[#This Row],[fator5]],dados[[#This Row],[fator6]])</f>
        <v>#REF!</v>
      </c>
    </row>
    <row r="2145" spans="1:23">
      <c r="A2145" t="s">
        <v>16</v>
      </c>
      <c r="B2145">
        <v>487041</v>
      </c>
      <c r="C2145">
        <v>17</v>
      </c>
      <c r="D2145">
        <v>55</v>
      </c>
      <c r="E2145">
        <v>75</v>
      </c>
      <c r="F2145">
        <v>15</v>
      </c>
      <c r="G2145">
        <v>0</v>
      </c>
      <c r="H2145">
        <v>20</v>
      </c>
      <c r="I2145">
        <v>0</v>
      </c>
      <c r="J2145">
        <v>0</v>
      </c>
      <c r="K2145">
        <v>6.1000000000000005</v>
      </c>
      <c r="L2145">
        <v>12.7605</v>
      </c>
      <c r="M2145">
        <v>79.067000000000007</v>
      </c>
      <c r="N2145">
        <v>11.805</v>
      </c>
      <c r="O2145">
        <v>1649</v>
      </c>
      <c r="P2145">
        <v>0</v>
      </c>
      <c r="Q2145" s="5" t="e">
        <f>IF(AND(#REF!&gt;=table!$C$6,#REF!&lt;= table!$D$6),-1,IF(AND(#REF!&gt;=table!$E$6,#REF!&lt;=table!$F$6),1,0))</f>
        <v>#REF!</v>
      </c>
      <c r="R2145" s="5" t="e">
        <f>IF(AND(#REF!&gt;=table!$C$7,#REF!&lt;= table!$D$7),-1,IF(AND(#REF!&gt;=table!$E$7,#REF!&lt;=table!$F$7),1,0))</f>
        <v>#REF!</v>
      </c>
      <c r="S2145" s="5" t="e">
        <f>IF(AND(#REF!&gt;=table!$C$8,#REF!&lt;= table!$D$8),-1,IF(AND(#REF!&gt;=table!$E$8,#REF!&lt;=table!$F$8),1,0))</f>
        <v>#REF!</v>
      </c>
      <c r="T2145" s="5"/>
      <c r="U2145" s="5" t="e">
        <f>IF(AND(#REF!&gt;=table!$C$10,#REF!&lt;= table!$D$10),-1,IF(AND(#REF!&gt;=table!$E$10,#REF!&lt;=table!$F$10),1,0))</f>
        <v>#REF!</v>
      </c>
      <c r="V2145" s="5" t="e">
        <f>IF(AND(#REF!&gt;=table!$C$11,#REF!&lt;= table!$D$11),-1,IF(AND(#REF!&gt;=table!$E$11,#REF!&lt;=table!$F$11),1,0))</f>
        <v>#REF!</v>
      </c>
      <c r="W2145" s="5" t="e">
        <f>CONCATENATE(dados[[#This Row],[fator1]],dados[[#This Row],[fator5]],dados[[#This Row],[fator6]])</f>
        <v>#REF!</v>
      </c>
    </row>
    <row r="2146" spans="1:23">
      <c r="A2146" t="s">
        <v>16</v>
      </c>
      <c r="B2146">
        <v>487042</v>
      </c>
      <c r="C2146">
        <v>17</v>
      </c>
      <c r="D2146">
        <v>55</v>
      </c>
      <c r="E2146">
        <v>75</v>
      </c>
      <c r="F2146">
        <v>15</v>
      </c>
      <c r="G2146">
        <v>0</v>
      </c>
      <c r="H2146">
        <v>20</v>
      </c>
      <c r="I2146">
        <v>0</v>
      </c>
      <c r="J2146">
        <v>780</v>
      </c>
      <c r="K2146">
        <v>3.8370000000000002</v>
      </c>
      <c r="L2146">
        <v>12.227</v>
      </c>
      <c r="M2146">
        <v>55.627500000000005</v>
      </c>
      <c r="N2146">
        <v>13.61</v>
      </c>
      <c r="O2146">
        <v>1676</v>
      </c>
      <c r="P2146">
        <v>0</v>
      </c>
      <c r="Q2146" s="5" t="e">
        <f>IF(AND(#REF!&gt;=table!$C$6,#REF!&lt;= table!$D$6),-1,IF(AND(#REF!&gt;=table!$E$6,#REF!&lt;=table!$F$6),1,0))</f>
        <v>#REF!</v>
      </c>
      <c r="R2146" s="5" t="e">
        <f>IF(AND(#REF!&gt;=table!$C$7,#REF!&lt;= table!$D$7),-1,IF(AND(#REF!&gt;=table!$E$7,#REF!&lt;=table!$F$7),1,0))</f>
        <v>#REF!</v>
      </c>
      <c r="S2146" s="5" t="e">
        <f>IF(AND(#REF!&gt;=table!$C$8,#REF!&lt;= table!$D$8),-1,IF(AND(#REF!&gt;=table!$E$8,#REF!&lt;=table!$F$8),1,0))</f>
        <v>#REF!</v>
      </c>
      <c r="T2146" s="5"/>
      <c r="U2146" s="5" t="e">
        <f>IF(AND(#REF!&gt;=table!$C$10,#REF!&lt;= table!$D$10),-1,IF(AND(#REF!&gt;=table!$E$10,#REF!&lt;=table!$F$10),1,0))</f>
        <v>#REF!</v>
      </c>
      <c r="V2146" s="5" t="e">
        <f>IF(AND(#REF!&gt;=table!$C$11,#REF!&lt;= table!$D$11),-1,IF(AND(#REF!&gt;=table!$E$11,#REF!&lt;=table!$F$11),1,0))</f>
        <v>#REF!</v>
      </c>
      <c r="W2146" s="5" t="e">
        <f>CONCATENATE(dados[[#This Row],[fator1]],dados[[#This Row],[fator5]],dados[[#This Row],[fator6]])</f>
        <v>#REF!</v>
      </c>
    </row>
    <row r="2147" spans="1:23">
      <c r="A2147" t="s">
        <v>16</v>
      </c>
      <c r="B2147">
        <v>487044</v>
      </c>
      <c r="C2147">
        <v>6</v>
      </c>
      <c r="D2147">
        <v>30</v>
      </c>
      <c r="E2147">
        <v>40</v>
      </c>
      <c r="F2147">
        <v>15</v>
      </c>
      <c r="G2147">
        <v>0</v>
      </c>
      <c r="H2147">
        <v>25</v>
      </c>
      <c r="I2147">
        <v>0</v>
      </c>
      <c r="J2147">
        <v>0</v>
      </c>
      <c r="K2147">
        <v>3.2035</v>
      </c>
      <c r="L2147">
        <v>8.4615000000000009</v>
      </c>
      <c r="M2147">
        <v>29.693000000000001</v>
      </c>
      <c r="N2147">
        <v>11.44</v>
      </c>
      <c r="O2147">
        <v>1664</v>
      </c>
      <c r="P2147">
        <v>0</v>
      </c>
      <c r="Q2147" s="5" t="e">
        <f>IF(AND(#REF!&gt;=table!$C$6,#REF!&lt;= table!$D$6),-1,IF(AND(#REF!&gt;=table!$E$6,#REF!&lt;=table!$F$6),1,0))</f>
        <v>#REF!</v>
      </c>
      <c r="R2147" s="5" t="e">
        <f>IF(AND(#REF!&gt;=table!$C$7,#REF!&lt;= table!$D$7),-1,IF(AND(#REF!&gt;=table!$E$7,#REF!&lt;=table!$F$7),1,0))</f>
        <v>#REF!</v>
      </c>
      <c r="S2147" s="5" t="e">
        <f>IF(AND(#REF!&gt;=table!$C$8,#REF!&lt;= table!$D$8),-1,IF(AND(#REF!&gt;=table!$E$8,#REF!&lt;=table!$F$8),1,0))</f>
        <v>#REF!</v>
      </c>
      <c r="T2147" s="5"/>
      <c r="U2147" s="5" t="e">
        <f>IF(AND(#REF!&gt;=table!$C$10,#REF!&lt;= table!$D$10),-1,IF(AND(#REF!&gt;=table!$E$10,#REF!&lt;=table!$F$10),1,0))</f>
        <v>#REF!</v>
      </c>
      <c r="V2147" s="5" t="e">
        <f>IF(AND(#REF!&gt;=table!$C$11,#REF!&lt;= table!$D$11),-1,IF(AND(#REF!&gt;=table!$E$11,#REF!&lt;=table!$F$11),1,0))</f>
        <v>#REF!</v>
      </c>
      <c r="W2147" s="5" t="e">
        <f>CONCATENATE(dados[[#This Row],[fator1]],dados[[#This Row],[fator5]],dados[[#This Row],[fator6]])</f>
        <v>#REF!</v>
      </c>
    </row>
    <row r="2148" spans="1:23">
      <c r="A2148" t="s">
        <v>16</v>
      </c>
      <c r="B2148">
        <v>487053</v>
      </c>
      <c r="C2148">
        <v>12</v>
      </c>
      <c r="D2148">
        <v>35</v>
      </c>
      <c r="E2148">
        <v>86</v>
      </c>
      <c r="F2148">
        <v>10</v>
      </c>
      <c r="G2148">
        <v>0</v>
      </c>
      <c r="H2148">
        <v>25</v>
      </c>
      <c r="I2148">
        <v>4</v>
      </c>
      <c r="J2148">
        <v>0</v>
      </c>
      <c r="K2148">
        <v>7.3745000000000003</v>
      </c>
      <c r="L2148">
        <v>11.404500000000001</v>
      </c>
      <c r="M2148">
        <v>72.08250000000001</v>
      </c>
      <c r="N2148">
        <v>15.155000000000001</v>
      </c>
      <c r="O2148">
        <v>1656</v>
      </c>
      <c r="P2148">
        <v>417</v>
      </c>
      <c r="Q2148" s="5" t="e">
        <f>IF(AND(#REF!&gt;=table!$C$6,#REF!&lt;= table!$D$6),-1,IF(AND(#REF!&gt;=table!$E$6,#REF!&lt;=table!$F$6),1,0))</f>
        <v>#REF!</v>
      </c>
      <c r="R2148" s="5" t="e">
        <f>IF(AND(#REF!&gt;=table!$C$7,#REF!&lt;= table!$D$7),-1,IF(AND(#REF!&gt;=table!$E$7,#REF!&lt;=table!$F$7),1,0))</f>
        <v>#REF!</v>
      </c>
      <c r="S2148" s="5" t="e">
        <f>IF(AND(#REF!&gt;=table!$C$8,#REF!&lt;= table!$D$8),-1,IF(AND(#REF!&gt;=table!$E$8,#REF!&lt;=table!$F$8),1,0))</f>
        <v>#REF!</v>
      </c>
      <c r="T2148" s="5"/>
      <c r="U2148" s="5" t="e">
        <f>IF(AND(#REF!&gt;=table!$C$10,#REF!&lt;= table!$D$10),-1,IF(AND(#REF!&gt;=table!$E$10,#REF!&lt;=table!$F$10),1,0))</f>
        <v>#REF!</v>
      </c>
      <c r="V2148" s="5" t="e">
        <f>IF(AND(#REF!&gt;=table!$C$11,#REF!&lt;= table!$D$11),-1,IF(AND(#REF!&gt;=table!$E$11,#REF!&lt;=table!$F$11),1,0))</f>
        <v>#REF!</v>
      </c>
      <c r="W2148" s="5" t="e">
        <f>CONCATENATE(dados[[#This Row],[fator1]],dados[[#This Row],[fator5]],dados[[#This Row],[fator6]])</f>
        <v>#REF!</v>
      </c>
    </row>
    <row r="2149" spans="1:23">
      <c r="A2149" t="s">
        <v>16</v>
      </c>
      <c r="B2149">
        <v>487055</v>
      </c>
      <c r="C2149">
        <v>0.15</v>
      </c>
      <c r="D2149">
        <v>40</v>
      </c>
      <c r="E2149">
        <v>10</v>
      </c>
      <c r="F2149">
        <v>15</v>
      </c>
      <c r="G2149">
        <v>0</v>
      </c>
      <c r="H2149">
        <v>15</v>
      </c>
      <c r="I2149">
        <v>977</v>
      </c>
      <c r="J2149">
        <v>0</v>
      </c>
      <c r="K2149">
        <v>7.7290000000000001</v>
      </c>
      <c r="L2149">
        <v>8.4755000000000003</v>
      </c>
      <c r="M2149">
        <v>7.4480000000000004</v>
      </c>
      <c r="N2149">
        <v>9.4700000000000006</v>
      </c>
      <c r="O2149">
        <v>1683</v>
      </c>
      <c r="P2149">
        <v>0</v>
      </c>
      <c r="Q2149" s="5" t="e">
        <f>IF(AND(#REF!&gt;=table!$C$6,#REF!&lt;= table!$D$6),-1,IF(AND(#REF!&gt;=table!$E$6,#REF!&lt;=table!$F$6),1,0))</f>
        <v>#REF!</v>
      </c>
      <c r="R2149" s="5" t="e">
        <f>IF(AND(#REF!&gt;=table!$C$7,#REF!&lt;= table!$D$7),-1,IF(AND(#REF!&gt;=table!$E$7,#REF!&lt;=table!$F$7),1,0))</f>
        <v>#REF!</v>
      </c>
      <c r="S2149" s="5" t="e">
        <f>IF(AND(#REF!&gt;=table!$C$8,#REF!&lt;= table!$D$8),-1,IF(AND(#REF!&gt;=table!$E$8,#REF!&lt;=table!$F$8),1,0))</f>
        <v>#REF!</v>
      </c>
      <c r="T2149" s="5"/>
      <c r="U2149" s="5" t="e">
        <f>IF(AND(#REF!&gt;=table!$C$10,#REF!&lt;= table!$D$10),-1,IF(AND(#REF!&gt;=table!$E$10,#REF!&lt;=table!$F$10),1,0))</f>
        <v>#REF!</v>
      </c>
      <c r="V2149" s="5" t="e">
        <f>IF(AND(#REF!&gt;=table!$C$11,#REF!&lt;= table!$D$11),-1,IF(AND(#REF!&gt;=table!$E$11,#REF!&lt;=table!$F$11),1,0))</f>
        <v>#REF!</v>
      </c>
      <c r="W2149" s="5" t="e">
        <f>CONCATENATE(dados[[#This Row],[fator1]],dados[[#This Row],[fator5]],dados[[#This Row],[fator6]])</f>
        <v>#REF!</v>
      </c>
    </row>
    <row r="2150" spans="1:23">
      <c r="A2150" t="s">
        <v>16</v>
      </c>
      <c r="B2150">
        <v>487056</v>
      </c>
      <c r="C2150">
        <v>9</v>
      </c>
      <c r="D2150">
        <v>30</v>
      </c>
      <c r="E2150">
        <v>146</v>
      </c>
      <c r="F2150">
        <v>4</v>
      </c>
      <c r="G2150">
        <v>0</v>
      </c>
      <c r="H2150">
        <v>25</v>
      </c>
      <c r="I2150">
        <v>958</v>
      </c>
      <c r="J2150">
        <v>0</v>
      </c>
      <c r="K2150">
        <v>7.7745000000000006</v>
      </c>
      <c r="L2150">
        <v>7.4350000000000005</v>
      </c>
      <c r="M2150">
        <v>99.453500000000005</v>
      </c>
      <c r="N2150">
        <v>8.85</v>
      </c>
      <c r="O2150">
        <v>1660</v>
      </c>
      <c r="P2150">
        <v>511</v>
      </c>
      <c r="Q2150" s="5" t="e">
        <f>IF(AND(#REF!&gt;=table!$C$6,#REF!&lt;= table!$D$6),-1,IF(AND(#REF!&gt;=table!$E$6,#REF!&lt;=table!$F$6),1,0))</f>
        <v>#REF!</v>
      </c>
      <c r="R2150" s="5" t="e">
        <f>IF(AND(#REF!&gt;=table!$C$7,#REF!&lt;= table!$D$7),-1,IF(AND(#REF!&gt;=table!$E$7,#REF!&lt;=table!$F$7),1,0))</f>
        <v>#REF!</v>
      </c>
      <c r="S2150" s="5" t="e">
        <f>IF(AND(#REF!&gt;=table!$C$8,#REF!&lt;= table!$D$8),-1,IF(AND(#REF!&gt;=table!$E$8,#REF!&lt;=table!$F$8),1,0))</f>
        <v>#REF!</v>
      </c>
      <c r="T2150" s="5"/>
      <c r="U2150" s="5" t="e">
        <f>IF(AND(#REF!&gt;=table!$C$10,#REF!&lt;= table!$D$10),-1,IF(AND(#REF!&gt;=table!$E$10,#REF!&lt;=table!$F$10),1,0))</f>
        <v>#REF!</v>
      </c>
      <c r="V2150" s="5" t="e">
        <f>IF(AND(#REF!&gt;=table!$C$11,#REF!&lt;= table!$D$11),-1,IF(AND(#REF!&gt;=table!$E$11,#REF!&lt;=table!$F$11),1,0))</f>
        <v>#REF!</v>
      </c>
      <c r="W2150" s="5" t="e">
        <f>CONCATENATE(dados[[#This Row],[fator1]],dados[[#This Row],[fator5]],dados[[#This Row],[fator6]])</f>
        <v>#REF!</v>
      </c>
    </row>
    <row r="2151" spans="1:23">
      <c r="A2151" t="s">
        <v>16</v>
      </c>
      <c r="B2151">
        <v>487057</v>
      </c>
      <c r="C2151">
        <v>9</v>
      </c>
      <c r="D2151">
        <v>30</v>
      </c>
      <c r="E2151">
        <v>146</v>
      </c>
      <c r="F2151">
        <v>4</v>
      </c>
      <c r="G2151">
        <v>0</v>
      </c>
      <c r="H2151">
        <v>25</v>
      </c>
      <c r="I2151">
        <v>1269</v>
      </c>
      <c r="J2151">
        <v>0</v>
      </c>
      <c r="K2151">
        <v>10.547000000000001</v>
      </c>
      <c r="L2151">
        <v>13.584000000000001</v>
      </c>
      <c r="M2151">
        <v>138.57599999999999</v>
      </c>
      <c r="N2151">
        <v>13.040000000000001</v>
      </c>
      <c r="O2151">
        <v>1669</v>
      </c>
      <c r="P2151">
        <v>360</v>
      </c>
      <c r="Q2151" s="5" t="e">
        <f>IF(AND(#REF!&gt;=table!$C$6,#REF!&lt;= table!$D$6),-1,IF(AND(#REF!&gt;=table!$E$6,#REF!&lt;=table!$F$6),1,0))</f>
        <v>#REF!</v>
      </c>
      <c r="R2151" s="5" t="e">
        <f>IF(AND(#REF!&gt;=table!$C$7,#REF!&lt;= table!$D$7),-1,IF(AND(#REF!&gt;=table!$E$7,#REF!&lt;=table!$F$7),1,0))</f>
        <v>#REF!</v>
      </c>
      <c r="S2151" s="5" t="e">
        <f>IF(AND(#REF!&gt;=table!$C$8,#REF!&lt;= table!$D$8),-1,IF(AND(#REF!&gt;=table!$E$8,#REF!&lt;=table!$F$8),1,0))</f>
        <v>#REF!</v>
      </c>
      <c r="T2151" s="5"/>
      <c r="U2151" s="5" t="e">
        <f>IF(AND(#REF!&gt;=table!$C$10,#REF!&lt;= table!$D$10),-1,IF(AND(#REF!&gt;=table!$E$10,#REF!&lt;=table!$F$10),1,0))</f>
        <v>#REF!</v>
      </c>
      <c r="V2151" s="5" t="e">
        <f>IF(AND(#REF!&gt;=table!$C$11,#REF!&lt;= table!$D$11),-1,IF(AND(#REF!&gt;=table!$E$11,#REF!&lt;=table!$F$11),1,0))</f>
        <v>#REF!</v>
      </c>
      <c r="W2151" s="5" t="e">
        <f>CONCATENATE(dados[[#This Row],[fator1]],dados[[#This Row],[fator5]],dados[[#This Row],[fator6]])</f>
        <v>#REF!</v>
      </c>
    </row>
    <row r="2152" spans="1:23">
      <c r="A2152" t="s">
        <v>16</v>
      </c>
      <c r="B2152">
        <v>487058</v>
      </c>
      <c r="C2152">
        <v>11</v>
      </c>
      <c r="D2152">
        <v>40</v>
      </c>
      <c r="E2152">
        <v>151</v>
      </c>
      <c r="F2152">
        <v>8</v>
      </c>
      <c r="G2152">
        <v>0</v>
      </c>
      <c r="H2152">
        <v>25</v>
      </c>
      <c r="I2152">
        <v>4</v>
      </c>
      <c r="J2152">
        <v>0</v>
      </c>
      <c r="K2152">
        <v>4.0430000000000001</v>
      </c>
      <c r="L2152">
        <v>13.035</v>
      </c>
      <c r="M2152">
        <v>142.83750000000001</v>
      </c>
      <c r="N2152">
        <v>19.425000000000001</v>
      </c>
      <c r="O2152">
        <v>1681</v>
      </c>
      <c r="P2152">
        <v>877</v>
      </c>
      <c r="Q2152" s="5" t="e">
        <f>IF(AND(#REF!&gt;=table!$C$6,#REF!&lt;= table!$D$6),-1,IF(AND(#REF!&gt;=table!$E$6,#REF!&lt;=table!$F$6),1,0))</f>
        <v>#REF!</v>
      </c>
      <c r="R2152" s="5" t="e">
        <f>IF(AND(#REF!&gt;=table!$C$7,#REF!&lt;= table!$D$7),-1,IF(AND(#REF!&gt;=table!$E$7,#REF!&lt;=table!$F$7),1,0))</f>
        <v>#REF!</v>
      </c>
      <c r="S2152" s="5" t="e">
        <f>IF(AND(#REF!&gt;=table!$C$8,#REF!&lt;= table!$D$8),-1,IF(AND(#REF!&gt;=table!$E$8,#REF!&lt;=table!$F$8),1,0))</f>
        <v>#REF!</v>
      </c>
      <c r="T2152" s="5"/>
      <c r="U2152" s="5" t="e">
        <f>IF(AND(#REF!&gt;=table!$C$10,#REF!&lt;= table!$D$10),-1,IF(AND(#REF!&gt;=table!$E$10,#REF!&lt;=table!$F$10),1,0))</f>
        <v>#REF!</v>
      </c>
      <c r="V2152" s="5" t="e">
        <f>IF(AND(#REF!&gt;=table!$C$11,#REF!&lt;= table!$D$11),-1,IF(AND(#REF!&gt;=table!$E$11,#REF!&lt;=table!$F$11),1,0))</f>
        <v>#REF!</v>
      </c>
      <c r="W2152" s="5" t="e">
        <f>CONCATENATE(dados[[#This Row],[fator1]],dados[[#This Row],[fator5]],dados[[#This Row],[fator6]])</f>
        <v>#REF!</v>
      </c>
    </row>
    <row r="2153" spans="1:23">
      <c r="A2153" t="s">
        <v>16</v>
      </c>
      <c r="B2153">
        <v>487068</v>
      </c>
      <c r="C2153">
        <v>0.15</v>
      </c>
      <c r="D2153">
        <v>35</v>
      </c>
      <c r="E2153">
        <v>15</v>
      </c>
      <c r="F2153">
        <v>10</v>
      </c>
      <c r="G2153">
        <v>0</v>
      </c>
      <c r="H2153">
        <v>12</v>
      </c>
      <c r="I2153">
        <v>145</v>
      </c>
      <c r="J2153">
        <v>0</v>
      </c>
      <c r="K2153">
        <v>4.4690000000000003</v>
      </c>
      <c r="L2153">
        <v>10.282</v>
      </c>
      <c r="M2153">
        <v>9.7620000000000005</v>
      </c>
      <c r="N2153">
        <v>10.67</v>
      </c>
      <c r="O2153">
        <v>1669</v>
      </c>
      <c r="P2153">
        <v>0</v>
      </c>
      <c r="Q2153" s="5" t="e">
        <f>IF(AND(#REF!&gt;=table!$C$6,#REF!&lt;= table!$D$6),-1,IF(AND(#REF!&gt;=table!$E$6,#REF!&lt;=table!$F$6),1,0))</f>
        <v>#REF!</v>
      </c>
      <c r="R2153" s="5" t="e">
        <f>IF(AND(#REF!&gt;=table!$C$7,#REF!&lt;= table!$D$7),-1,IF(AND(#REF!&gt;=table!$E$7,#REF!&lt;=table!$F$7),1,0))</f>
        <v>#REF!</v>
      </c>
      <c r="S2153" s="5" t="e">
        <f>IF(AND(#REF!&gt;=table!$C$8,#REF!&lt;= table!$D$8),-1,IF(AND(#REF!&gt;=table!$E$8,#REF!&lt;=table!$F$8),1,0))</f>
        <v>#REF!</v>
      </c>
      <c r="T2153" s="5"/>
      <c r="U2153" s="5" t="e">
        <f>IF(AND(#REF!&gt;=table!$C$10,#REF!&lt;= table!$D$10),-1,IF(AND(#REF!&gt;=table!$E$10,#REF!&lt;=table!$F$10),1,0))</f>
        <v>#REF!</v>
      </c>
      <c r="V2153" s="5" t="e">
        <f>IF(AND(#REF!&gt;=table!$C$11,#REF!&lt;= table!$D$11),-1,IF(AND(#REF!&gt;=table!$E$11,#REF!&lt;=table!$F$11),1,0))</f>
        <v>#REF!</v>
      </c>
      <c r="W2153" s="5" t="e">
        <f>CONCATENATE(dados[[#This Row],[fator1]],dados[[#This Row],[fator5]],dados[[#This Row],[fator6]])</f>
        <v>#REF!</v>
      </c>
    </row>
    <row r="2154" spans="1:23">
      <c r="A2154" t="s">
        <v>16</v>
      </c>
      <c r="B2154">
        <v>487076</v>
      </c>
      <c r="C2154">
        <v>9</v>
      </c>
      <c r="D2154">
        <v>33</v>
      </c>
      <c r="E2154">
        <v>153</v>
      </c>
      <c r="F2154">
        <v>4</v>
      </c>
      <c r="G2154">
        <v>0</v>
      </c>
      <c r="H2154">
        <v>25</v>
      </c>
      <c r="I2154">
        <v>3</v>
      </c>
      <c r="J2154">
        <v>0</v>
      </c>
      <c r="K2154">
        <v>5.6350000000000007</v>
      </c>
      <c r="L2154">
        <v>14.2805</v>
      </c>
      <c r="M2154">
        <v>118.94750000000001</v>
      </c>
      <c r="N2154">
        <v>14.925000000000001</v>
      </c>
      <c r="O2154">
        <v>1669</v>
      </c>
      <c r="P2154">
        <v>577</v>
      </c>
      <c r="Q2154" s="5" t="e">
        <f>IF(AND(#REF!&gt;=table!$C$6,#REF!&lt;= table!$D$6),-1,IF(AND(#REF!&gt;=table!$E$6,#REF!&lt;=table!$F$6),1,0))</f>
        <v>#REF!</v>
      </c>
      <c r="R2154" s="5" t="e">
        <f>IF(AND(#REF!&gt;=table!$C$7,#REF!&lt;= table!$D$7),-1,IF(AND(#REF!&gt;=table!$E$7,#REF!&lt;=table!$F$7),1,0))</f>
        <v>#REF!</v>
      </c>
      <c r="S2154" s="5" t="e">
        <f>IF(AND(#REF!&gt;=table!$C$8,#REF!&lt;= table!$D$8),-1,IF(AND(#REF!&gt;=table!$E$8,#REF!&lt;=table!$F$8),1,0))</f>
        <v>#REF!</v>
      </c>
      <c r="T2154" s="5"/>
      <c r="U2154" s="5" t="e">
        <f>IF(AND(#REF!&gt;=table!$C$10,#REF!&lt;= table!$D$10),-1,IF(AND(#REF!&gt;=table!$E$10,#REF!&lt;=table!$F$10),1,0))</f>
        <v>#REF!</v>
      </c>
      <c r="V2154" s="5" t="e">
        <f>IF(AND(#REF!&gt;=table!$C$11,#REF!&lt;= table!$D$11),-1,IF(AND(#REF!&gt;=table!$E$11,#REF!&lt;=table!$F$11),1,0))</f>
        <v>#REF!</v>
      </c>
      <c r="W2154" s="5" t="e">
        <f>CONCATENATE(dados[[#This Row],[fator1]],dados[[#This Row],[fator5]],dados[[#This Row],[fator6]])</f>
        <v>#REF!</v>
      </c>
    </row>
    <row r="2155" spans="1:23">
      <c r="A2155" t="s">
        <v>17</v>
      </c>
      <c r="B2155">
        <v>487078</v>
      </c>
      <c r="C2155">
        <v>16</v>
      </c>
      <c r="D2155">
        <v>30</v>
      </c>
      <c r="E2155">
        <v>106</v>
      </c>
      <c r="F2155">
        <v>9</v>
      </c>
      <c r="G2155">
        <v>20</v>
      </c>
      <c r="H2155">
        <v>25</v>
      </c>
      <c r="I2155">
        <v>868</v>
      </c>
      <c r="J2155">
        <v>700</v>
      </c>
      <c r="K2155">
        <v>9.3955000000000002</v>
      </c>
      <c r="L2155">
        <v>17.073499999999999</v>
      </c>
      <c r="M2155">
        <v>84.19250000000001</v>
      </c>
      <c r="N2155">
        <v>16.574999999999999</v>
      </c>
      <c r="O2155">
        <v>1677</v>
      </c>
      <c r="P2155">
        <v>403</v>
      </c>
      <c r="Q2155" s="5" t="e">
        <f>IF(AND(#REF!&gt;=table!$C$6,#REF!&lt;= table!$D$6),-1,IF(AND(#REF!&gt;=table!$E$6,#REF!&lt;=table!$F$6),1,0))</f>
        <v>#REF!</v>
      </c>
      <c r="R2155" s="5" t="e">
        <f>IF(AND(#REF!&gt;=table!$C$7,#REF!&lt;= table!$D$7),-1,IF(AND(#REF!&gt;=table!$E$7,#REF!&lt;=table!$F$7),1,0))</f>
        <v>#REF!</v>
      </c>
      <c r="S2155" s="5" t="e">
        <f>IF(AND(#REF!&gt;=table!$C$8,#REF!&lt;= table!$D$8),-1,IF(AND(#REF!&gt;=table!$E$8,#REF!&lt;=table!$F$8),1,0))</f>
        <v>#REF!</v>
      </c>
      <c r="T2155" s="5"/>
      <c r="U2155" s="5" t="e">
        <f>IF(AND(#REF!&gt;=table!$C$10,#REF!&lt;= table!$D$10),-1,IF(AND(#REF!&gt;=table!$E$10,#REF!&lt;=table!$F$10),1,0))</f>
        <v>#REF!</v>
      </c>
      <c r="V2155" s="5" t="e">
        <f>IF(AND(#REF!&gt;=table!$C$11,#REF!&lt;= table!$D$11),-1,IF(AND(#REF!&gt;=table!$E$11,#REF!&lt;=table!$F$11),1,0))</f>
        <v>#REF!</v>
      </c>
      <c r="W2155" s="5" t="e">
        <f>CONCATENATE(dados[[#This Row],[fator1]],dados[[#This Row],[fator5]],dados[[#This Row],[fator6]])</f>
        <v>#REF!</v>
      </c>
    </row>
    <row r="2156" spans="1:23">
      <c r="A2156" t="s">
        <v>17</v>
      </c>
      <c r="B2156">
        <v>487079</v>
      </c>
      <c r="C2156">
        <v>18</v>
      </c>
      <c r="D2156">
        <v>23</v>
      </c>
      <c r="E2156">
        <v>145</v>
      </c>
      <c r="F2156">
        <v>9</v>
      </c>
      <c r="G2156">
        <v>30</v>
      </c>
      <c r="H2156">
        <v>25</v>
      </c>
      <c r="I2156">
        <v>112</v>
      </c>
      <c r="J2156">
        <v>0</v>
      </c>
      <c r="K2156">
        <v>5.67</v>
      </c>
      <c r="L2156">
        <v>15.601000000000001</v>
      </c>
      <c r="M2156">
        <v>111.55550000000001</v>
      </c>
      <c r="N2156">
        <v>17.824999999999999</v>
      </c>
      <c r="O2156">
        <v>1668</v>
      </c>
      <c r="P2156">
        <v>491</v>
      </c>
      <c r="Q2156" s="5" t="e">
        <f>IF(AND(#REF!&gt;=table!$C$6,#REF!&lt;= table!$D$6),-1,IF(AND(#REF!&gt;=table!$E$6,#REF!&lt;=table!$F$6),1,0))</f>
        <v>#REF!</v>
      </c>
      <c r="R2156" s="5" t="e">
        <f>IF(AND(#REF!&gt;=table!$C$7,#REF!&lt;= table!$D$7),-1,IF(AND(#REF!&gt;=table!$E$7,#REF!&lt;=table!$F$7),1,0))</f>
        <v>#REF!</v>
      </c>
      <c r="S2156" s="5" t="e">
        <f>IF(AND(#REF!&gt;=table!$C$8,#REF!&lt;= table!$D$8),-1,IF(AND(#REF!&gt;=table!$E$8,#REF!&lt;=table!$F$8),1,0))</f>
        <v>#REF!</v>
      </c>
      <c r="T2156" s="5"/>
      <c r="U2156" s="5" t="e">
        <f>IF(AND(#REF!&gt;=table!$C$10,#REF!&lt;= table!$D$10),-1,IF(AND(#REF!&gt;=table!$E$10,#REF!&lt;=table!$F$10),1,0))</f>
        <v>#REF!</v>
      </c>
      <c r="V2156" s="5" t="e">
        <f>IF(AND(#REF!&gt;=table!$C$11,#REF!&lt;= table!$D$11),-1,IF(AND(#REF!&gt;=table!$E$11,#REF!&lt;=table!$F$11),1,0))</f>
        <v>#REF!</v>
      </c>
      <c r="W2156" s="5" t="e">
        <f>CONCATENATE(dados[[#This Row],[fator1]],dados[[#This Row],[fator5]],dados[[#This Row],[fator6]])</f>
        <v>#REF!</v>
      </c>
    </row>
    <row r="2157" spans="1:23">
      <c r="A2157" t="s">
        <v>17</v>
      </c>
      <c r="B2157">
        <v>487080</v>
      </c>
      <c r="C2157">
        <v>18</v>
      </c>
      <c r="D2157">
        <v>23</v>
      </c>
      <c r="E2157">
        <v>145</v>
      </c>
      <c r="F2157">
        <v>6</v>
      </c>
      <c r="G2157">
        <v>30</v>
      </c>
      <c r="H2157">
        <v>25</v>
      </c>
      <c r="I2157">
        <v>698</v>
      </c>
      <c r="J2157">
        <v>890</v>
      </c>
      <c r="K2157">
        <v>5.3414999999999999</v>
      </c>
      <c r="L2157">
        <v>22.9785</v>
      </c>
      <c r="M2157">
        <v>125.58450000000001</v>
      </c>
      <c r="N2157">
        <v>24.29</v>
      </c>
      <c r="O2157">
        <v>1704</v>
      </c>
      <c r="P2157">
        <v>638</v>
      </c>
      <c r="Q2157" s="5" t="e">
        <f>IF(AND(#REF!&gt;=table!$C$6,#REF!&lt;= table!$D$6),-1,IF(AND(#REF!&gt;=table!$E$6,#REF!&lt;=table!$F$6),1,0))</f>
        <v>#REF!</v>
      </c>
      <c r="R2157" s="5" t="e">
        <f>IF(AND(#REF!&gt;=table!$C$7,#REF!&lt;= table!$D$7),-1,IF(AND(#REF!&gt;=table!$E$7,#REF!&lt;=table!$F$7),1,0))</f>
        <v>#REF!</v>
      </c>
      <c r="S2157" s="5" t="e">
        <f>IF(AND(#REF!&gt;=table!$C$8,#REF!&lt;= table!$D$8),-1,IF(AND(#REF!&gt;=table!$E$8,#REF!&lt;=table!$F$8),1,0))</f>
        <v>#REF!</v>
      </c>
      <c r="T2157" s="5"/>
      <c r="U2157" s="5" t="e">
        <f>IF(AND(#REF!&gt;=table!$C$10,#REF!&lt;= table!$D$10),-1,IF(AND(#REF!&gt;=table!$E$10,#REF!&lt;=table!$F$10),1,0))</f>
        <v>#REF!</v>
      </c>
      <c r="V2157" s="5" t="e">
        <f>IF(AND(#REF!&gt;=table!$C$11,#REF!&lt;= table!$D$11),-1,IF(AND(#REF!&gt;=table!$E$11,#REF!&lt;=table!$F$11),1,0))</f>
        <v>#REF!</v>
      </c>
      <c r="W2157" s="5" t="e">
        <f>CONCATENATE(dados[[#This Row],[fator1]],dados[[#This Row],[fator5]],dados[[#This Row],[fator6]])</f>
        <v>#REF!</v>
      </c>
    </row>
    <row r="2158" spans="1:23">
      <c r="A2158" t="s">
        <v>17</v>
      </c>
      <c r="B2158">
        <v>487090</v>
      </c>
      <c r="C2158">
        <v>9</v>
      </c>
      <c r="D2158">
        <v>30</v>
      </c>
      <c r="E2158">
        <v>160</v>
      </c>
      <c r="F2158">
        <v>3</v>
      </c>
      <c r="G2158">
        <v>30</v>
      </c>
      <c r="H2158">
        <v>18</v>
      </c>
      <c r="I2158">
        <v>0</v>
      </c>
      <c r="J2158">
        <v>0</v>
      </c>
      <c r="K2158">
        <v>3.4235000000000002</v>
      </c>
      <c r="L2158">
        <v>6.5425000000000004</v>
      </c>
      <c r="M2158">
        <v>139.77950000000001</v>
      </c>
      <c r="N2158">
        <v>14.815000000000001</v>
      </c>
      <c r="O2158">
        <v>1676</v>
      </c>
      <c r="P2158">
        <v>1003</v>
      </c>
      <c r="Q2158" s="5" t="e">
        <f>IF(AND(#REF!&gt;=table!$C$6,#REF!&lt;= table!$D$6),-1,IF(AND(#REF!&gt;=table!$E$6,#REF!&lt;=table!$F$6),1,0))</f>
        <v>#REF!</v>
      </c>
      <c r="R2158" s="5" t="e">
        <f>IF(AND(#REF!&gt;=table!$C$7,#REF!&lt;= table!$D$7),-1,IF(AND(#REF!&gt;=table!$E$7,#REF!&lt;=table!$F$7),1,0))</f>
        <v>#REF!</v>
      </c>
      <c r="S2158" s="5" t="e">
        <f>IF(AND(#REF!&gt;=table!$C$8,#REF!&lt;= table!$D$8),-1,IF(AND(#REF!&gt;=table!$E$8,#REF!&lt;=table!$F$8),1,0))</f>
        <v>#REF!</v>
      </c>
      <c r="T2158" s="5"/>
      <c r="U2158" s="5" t="e">
        <f>IF(AND(#REF!&gt;=table!$C$10,#REF!&lt;= table!$D$10),-1,IF(AND(#REF!&gt;=table!$E$10,#REF!&lt;=table!$F$10),1,0))</f>
        <v>#REF!</v>
      </c>
      <c r="V2158" s="5" t="e">
        <f>IF(AND(#REF!&gt;=table!$C$11,#REF!&lt;= table!$D$11),-1,IF(AND(#REF!&gt;=table!$E$11,#REF!&lt;=table!$F$11),1,0))</f>
        <v>#REF!</v>
      </c>
      <c r="W2158" s="5" t="e">
        <f>CONCATENATE(dados[[#This Row],[fator1]],dados[[#This Row],[fator5]],dados[[#This Row],[fator6]])</f>
        <v>#REF!</v>
      </c>
    </row>
    <row r="2159" spans="1:23">
      <c r="A2159" t="s">
        <v>17</v>
      </c>
      <c r="B2159">
        <v>487091</v>
      </c>
      <c r="C2159">
        <v>9</v>
      </c>
      <c r="D2159">
        <v>30</v>
      </c>
      <c r="E2159">
        <v>160</v>
      </c>
      <c r="F2159">
        <v>3</v>
      </c>
      <c r="G2159">
        <v>30</v>
      </c>
      <c r="H2159">
        <v>18</v>
      </c>
      <c r="I2159">
        <v>31</v>
      </c>
      <c r="J2159">
        <v>0</v>
      </c>
      <c r="K2159">
        <v>3.4295</v>
      </c>
      <c r="L2159">
        <v>7.8940000000000001</v>
      </c>
      <c r="M2159">
        <v>105.82100000000001</v>
      </c>
      <c r="N2159">
        <v>11.035</v>
      </c>
      <c r="O2159">
        <v>1669</v>
      </c>
      <c r="P2159">
        <v>0</v>
      </c>
      <c r="Q2159" s="5" t="e">
        <f>IF(AND(#REF!&gt;=table!$C$6,#REF!&lt;= table!$D$6),-1,IF(AND(#REF!&gt;=table!$E$6,#REF!&lt;=table!$F$6),1,0))</f>
        <v>#REF!</v>
      </c>
      <c r="R2159" s="5" t="e">
        <f>IF(AND(#REF!&gt;=table!$C$7,#REF!&lt;= table!$D$7),-1,IF(AND(#REF!&gt;=table!$E$7,#REF!&lt;=table!$F$7),1,0))</f>
        <v>#REF!</v>
      </c>
      <c r="S2159" s="5" t="e">
        <f>IF(AND(#REF!&gt;=table!$C$8,#REF!&lt;= table!$D$8),-1,IF(AND(#REF!&gt;=table!$E$8,#REF!&lt;=table!$F$8),1,0))</f>
        <v>#REF!</v>
      </c>
      <c r="T2159" s="5"/>
      <c r="U2159" s="5" t="e">
        <f>IF(AND(#REF!&gt;=table!$C$10,#REF!&lt;= table!$D$10),-1,IF(AND(#REF!&gt;=table!$E$10,#REF!&lt;=table!$F$10),1,0))</f>
        <v>#REF!</v>
      </c>
      <c r="V2159" s="5" t="e">
        <f>IF(AND(#REF!&gt;=table!$C$11,#REF!&lt;= table!$D$11),-1,IF(AND(#REF!&gt;=table!$E$11,#REF!&lt;=table!$F$11),1,0))</f>
        <v>#REF!</v>
      </c>
      <c r="W2159" s="5" t="e">
        <f>CONCATENATE(dados[[#This Row],[fator1]],dados[[#This Row],[fator5]],dados[[#This Row],[fator6]])</f>
        <v>#REF!</v>
      </c>
    </row>
    <row r="2160" spans="1:23">
      <c r="A2160" t="s">
        <v>17</v>
      </c>
      <c r="B2160">
        <v>487092</v>
      </c>
      <c r="C2160">
        <v>9</v>
      </c>
      <c r="D2160">
        <v>30</v>
      </c>
      <c r="E2160">
        <v>160</v>
      </c>
      <c r="F2160">
        <v>3</v>
      </c>
      <c r="G2160">
        <v>30</v>
      </c>
      <c r="H2160">
        <v>18</v>
      </c>
      <c r="I2160">
        <v>560</v>
      </c>
      <c r="J2160">
        <v>0</v>
      </c>
      <c r="K2160">
        <v>3.4815</v>
      </c>
      <c r="L2160">
        <v>6.0060000000000002</v>
      </c>
      <c r="M2160">
        <v>141.12300000000002</v>
      </c>
      <c r="N2160">
        <v>12.715</v>
      </c>
      <c r="O2160">
        <v>1664</v>
      </c>
      <c r="P2160">
        <v>967</v>
      </c>
      <c r="Q2160" s="5" t="e">
        <f>IF(AND(#REF!&gt;=table!$C$6,#REF!&lt;= table!$D$6),-1,IF(AND(#REF!&gt;=table!$E$6,#REF!&lt;=table!$F$6),1,0))</f>
        <v>#REF!</v>
      </c>
      <c r="R2160" s="5" t="e">
        <f>IF(AND(#REF!&gt;=table!$C$7,#REF!&lt;= table!$D$7),-1,IF(AND(#REF!&gt;=table!$E$7,#REF!&lt;=table!$F$7),1,0))</f>
        <v>#REF!</v>
      </c>
      <c r="S2160" s="5" t="e">
        <f>IF(AND(#REF!&gt;=table!$C$8,#REF!&lt;= table!$D$8),-1,IF(AND(#REF!&gt;=table!$E$8,#REF!&lt;=table!$F$8),1,0))</f>
        <v>#REF!</v>
      </c>
      <c r="T2160" s="5"/>
      <c r="U2160" s="5" t="e">
        <f>IF(AND(#REF!&gt;=table!$C$10,#REF!&lt;= table!$D$10),-1,IF(AND(#REF!&gt;=table!$E$10,#REF!&lt;=table!$F$10),1,0))</f>
        <v>#REF!</v>
      </c>
      <c r="V2160" s="5" t="e">
        <f>IF(AND(#REF!&gt;=table!$C$11,#REF!&lt;= table!$D$11),-1,IF(AND(#REF!&gt;=table!$E$11,#REF!&lt;=table!$F$11),1,0))</f>
        <v>#REF!</v>
      </c>
      <c r="W2160" s="5" t="e">
        <f>CONCATENATE(dados[[#This Row],[fator1]],dados[[#This Row],[fator5]],dados[[#This Row],[fator6]])</f>
        <v>#REF!</v>
      </c>
    </row>
    <row r="2161" spans="1:23">
      <c r="A2161" t="s">
        <v>16</v>
      </c>
      <c r="B2161">
        <v>487093</v>
      </c>
      <c r="C2161">
        <v>0.1</v>
      </c>
      <c r="D2161">
        <v>40</v>
      </c>
      <c r="E2161">
        <v>10</v>
      </c>
      <c r="F2161">
        <v>8</v>
      </c>
      <c r="G2161">
        <v>0</v>
      </c>
      <c r="H2161">
        <v>10</v>
      </c>
      <c r="I2161">
        <v>496</v>
      </c>
      <c r="J2161">
        <v>0</v>
      </c>
      <c r="K2161">
        <v>4.3783000000000003</v>
      </c>
      <c r="L2161">
        <v>8.7225000000000001</v>
      </c>
      <c r="M2161">
        <v>7.53</v>
      </c>
      <c r="N2161">
        <v>9.3800000000000008</v>
      </c>
      <c r="O2161">
        <v>1672</v>
      </c>
      <c r="P2161">
        <v>850</v>
      </c>
      <c r="Q2161" s="5" t="e">
        <f>IF(AND(#REF!&gt;=table!$C$6,#REF!&lt;= table!$D$6),-1,IF(AND(#REF!&gt;=table!$E$6,#REF!&lt;=table!$F$6),1,0))</f>
        <v>#REF!</v>
      </c>
      <c r="R2161" s="5" t="e">
        <f>IF(AND(#REF!&gt;=table!$C$7,#REF!&lt;= table!$D$7),-1,IF(AND(#REF!&gt;=table!$E$7,#REF!&lt;=table!$F$7),1,0))</f>
        <v>#REF!</v>
      </c>
      <c r="S2161" s="5" t="e">
        <f>IF(AND(#REF!&gt;=table!$C$8,#REF!&lt;= table!$D$8),-1,IF(AND(#REF!&gt;=table!$E$8,#REF!&lt;=table!$F$8),1,0))</f>
        <v>#REF!</v>
      </c>
      <c r="T2161" s="5"/>
      <c r="U2161" s="5" t="e">
        <f>IF(AND(#REF!&gt;=table!$C$10,#REF!&lt;= table!$D$10),-1,IF(AND(#REF!&gt;=table!$E$10,#REF!&lt;=table!$F$10),1,0))</f>
        <v>#REF!</v>
      </c>
      <c r="V2161" s="5" t="e">
        <f>IF(AND(#REF!&gt;=table!$C$11,#REF!&lt;= table!$D$11),-1,IF(AND(#REF!&gt;=table!$E$11,#REF!&lt;=table!$F$11),1,0))</f>
        <v>#REF!</v>
      </c>
      <c r="W2161" s="5" t="e">
        <f>CONCATENATE(dados[[#This Row],[fator1]],dados[[#This Row],[fator5]],dados[[#This Row],[fator6]])</f>
        <v>#REF!</v>
      </c>
    </row>
    <row r="2162" spans="1:23">
      <c r="A2162" t="s">
        <v>16</v>
      </c>
      <c r="B2162">
        <v>487094</v>
      </c>
      <c r="C2162">
        <v>0.1</v>
      </c>
      <c r="D2162">
        <v>35</v>
      </c>
      <c r="E2162">
        <v>10</v>
      </c>
      <c r="F2162">
        <v>10</v>
      </c>
      <c r="G2162">
        <v>0</v>
      </c>
      <c r="H2162">
        <v>12</v>
      </c>
      <c r="I2162">
        <v>633</v>
      </c>
      <c r="J2162">
        <v>0</v>
      </c>
      <c r="K2162">
        <v>2.9340000000000002</v>
      </c>
      <c r="L2162">
        <v>7.6965000000000003</v>
      </c>
      <c r="M2162">
        <v>7.0135000000000005</v>
      </c>
      <c r="N2162">
        <v>8.2249999999999996</v>
      </c>
      <c r="O2162">
        <v>1672</v>
      </c>
      <c r="P2162">
        <v>1114</v>
      </c>
      <c r="Q2162" s="5" t="e">
        <f>IF(AND(#REF!&gt;=table!$C$6,#REF!&lt;= table!$D$6),-1,IF(AND(#REF!&gt;=table!$E$6,#REF!&lt;=table!$F$6),1,0))</f>
        <v>#REF!</v>
      </c>
      <c r="R2162" s="5" t="e">
        <f>IF(AND(#REF!&gt;=table!$C$7,#REF!&lt;= table!$D$7),-1,IF(AND(#REF!&gt;=table!$E$7,#REF!&lt;=table!$F$7),1,0))</f>
        <v>#REF!</v>
      </c>
      <c r="S2162" s="5" t="e">
        <f>IF(AND(#REF!&gt;=table!$C$8,#REF!&lt;= table!$D$8),-1,IF(AND(#REF!&gt;=table!$E$8,#REF!&lt;=table!$F$8),1,0))</f>
        <v>#REF!</v>
      </c>
      <c r="T2162" s="5"/>
      <c r="U2162" s="5" t="e">
        <f>IF(AND(#REF!&gt;=table!$C$10,#REF!&lt;= table!$D$10),-1,IF(AND(#REF!&gt;=table!$E$10,#REF!&lt;=table!$F$10),1,0))</f>
        <v>#REF!</v>
      </c>
      <c r="V2162" s="5" t="e">
        <f>IF(AND(#REF!&gt;=table!$C$11,#REF!&lt;= table!$D$11),-1,IF(AND(#REF!&gt;=table!$E$11,#REF!&lt;=table!$F$11),1,0))</f>
        <v>#REF!</v>
      </c>
      <c r="W2162" s="5" t="e">
        <f>CONCATENATE(dados[[#This Row],[fator1]],dados[[#This Row],[fator5]],dados[[#This Row],[fator6]])</f>
        <v>#REF!</v>
      </c>
    </row>
    <row r="2163" spans="1:23">
      <c r="A2163" t="s">
        <v>16</v>
      </c>
      <c r="B2163">
        <v>487095</v>
      </c>
      <c r="C2163">
        <v>0.1</v>
      </c>
      <c r="D2163">
        <v>35</v>
      </c>
      <c r="E2163">
        <v>10</v>
      </c>
      <c r="F2163">
        <v>10</v>
      </c>
      <c r="G2163">
        <v>0</v>
      </c>
      <c r="H2163">
        <v>12</v>
      </c>
      <c r="I2163">
        <v>0</v>
      </c>
      <c r="J2163">
        <v>0</v>
      </c>
      <c r="K2163">
        <v>4.2060000000000004</v>
      </c>
      <c r="L2163">
        <v>10.021000000000001</v>
      </c>
      <c r="M2163">
        <v>8.7285000000000004</v>
      </c>
      <c r="N2163">
        <v>11.925000000000001</v>
      </c>
      <c r="O2163">
        <v>1670</v>
      </c>
      <c r="P2163">
        <v>761</v>
      </c>
      <c r="Q2163" s="5" t="e">
        <f>IF(AND(#REF!&gt;=table!$C$6,#REF!&lt;= table!$D$6),-1,IF(AND(#REF!&gt;=table!$E$6,#REF!&lt;=table!$F$6),1,0))</f>
        <v>#REF!</v>
      </c>
      <c r="R2163" s="5" t="e">
        <f>IF(AND(#REF!&gt;=table!$C$7,#REF!&lt;= table!$D$7),-1,IF(AND(#REF!&gt;=table!$E$7,#REF!&lt;=table!$F$7),1,0))</f>
        <v>#REF!</v>
      </c>
      <c r="S2163" s="5" t="e">
        <f>IF(AND(#REF!&gt;=table!$C$8,#REF!&lt;= table!$D$8),-1,IF(AND(#REF!&gt;=table!$E$8,#REF!&lt;=table!$F$8),1,0))</f>
        <v>#REF!</v>
      </c>
      <c r="T2163" s="5"/>
      <c r="U2163" s="5" t="e">
        <f>IF(AND(#REF!&gt;=table!$C$10,#REF!&lt;= table!$D$10),-1,IF(AND(#REF!&gt;=table!$E$10,#REF!&lt;=table!$F$10),1,0))</f>
        <v>#REF!</v>
      </c>
      <c r="V2163" s="5" t="e">
        <f>IF(AND(#REF!&gt;=table!$C$11,#REF!&lt;= table!$D$11),-1,IF(AND(#REF!&gt;=table!$E$11,#REF!&lt;=table!$F$11),1,0))</f>
        <v>#REF!</v>
      </c>
      <c r="W2163" s="5" t="e">
        <f>CONCATENATE(dados[[#This Row],[fator1]],dados[[#This Row],[fator5]],dados[[#This Row],[fator6]])</f>
        <v>#REF!</v>
      </c>
    </row>
    <row r="2164" spans="1:23">
      <c r="A2164" t="s">
        <v>16</v>
      </c>
      <c r="B2164">
        <v>487096</v>
      </c>
      <c r="C2164">
        <v>0.1</v>
      </c>
      <c r="D2164">
        <v>40</v>
      </c>
      <c r="E2164">
        <v>10</v>
      </c>
      <c r="F2164">
        <v>8</v>
      </c>
      <c r="G2164">
        <v>0</v>
      </c>
      <c r="H2164">
        <v>10</v>
      </c>
      <c r="I2164">
        <v>970</v>
      </c>
      <c r="J2164">
        <v>0</v>
      </c>
      <c r="K2164">
        <v>4.0870000000000006</v>
      </c>
      <c r="L2164">
        <v>10.611500000000001</v>
      </c>
      <c r="M2164">
        <v>9.56</v>
      </c>
      <c r="N2164">
        <v>10.94</v>
      </c>
      <c r="O2164">
        <v>1679</v>
      </c>
      <c r="P2164">
        <v>855</v>
      </c>
      <c r="Q2164" s="5" t="e">
        <f>IF(AND(#REF!&gt;=table!$C$6,#REF!&lt;= table!$D$6),-1,IF(AND(#REF!&gt;=table!$E$6,#REF!&lt;=table!$F$6),1,0))</f>
        <v>#REF!</v>
      </c>
      <c r="R2164" s="5" t="e">
        <f>IF(AND(#REF!&gt;=table!$C$7,#REF!&lt;= table!$D$7),-1,IF(AND(#REF!&gt;=table!$E$7,#REF!&lt;=table!$F$7),1,0))</f>
        <v>#REF!</v>
      </c>
      <c r="S2164" s="5" t="e">
        <f>IF(AND(#REF!&gt;=table!$C$8,#REF!&lt;= table!$D$8),-1,IF(AND(#REF!&gt;=table!$E$8,#REF!&lt;=table!$F$8),1,0))</f>
        <v>#REF!</v>
      </c>
      <c r="T2164" s="5"/>
      <c r="U2164" s="5" t="e">
        <f>IF(AND(#REF!&gt;=table!$C$10,#REF!&lt;= table!$D$10),-1,IF(AND(#REF!&gt;=table!$E$10,#REF!&lt;=table!$F$10),1,0))</f>
        <v>#REF!</v>
      </c>
      <c r="V2164" s="5" t="e">
        <f>IF(AND(#REF!&gt;=table!$C$11,#REF!&lt;= table!$D$11),-1,IF(AND(#REF!&gt;=table!$E$11,#REF!&lt;=table!$F$11),1,0))</f>
        <v>#REF!</v>
      </c>
      <c r="W2164" s="5" t="e">
        <f>CONCATENATE(dados[[#This Row],[fator1]],dados[[#This Row],[fator5]],dados[[#This Row],[fator6]])</f>
        <v>#REF!</v>
      </c>
    </row>
    <row r="2165" spans="1:23">
      <c r="A2165" t="s">
        <v>17</v>
      </c>
      <c r="B2165">
        <v>487101</v>
      </c>
      <c r="C2165">
        <v>9</v>
      </c>
      <c r="D2165">
        <v>30</v>
      </c>
      <c r="E2165">
        <v>160</v>
      </c>
      <c r="F2165">
        <v>3</v>
      </c>
      <c r="G2165">
        <v>30</v>
      </c>
      <c r="H2165">
        <v>18</v>
      </c>
      <c r="I2165">
        <v>1207</v>
      </c>
      <c r="J2165">
        <v>1270</v>
      </c>
      <c r="K2165">
        <v>5.8310000000000004</v>
      </c>
      <c r="L2165">
        <v>8.5650000000000013</v>
      </c>
      <c r="M2165">
        <v>136.13650000000001</v>
      </c>
      <c r="N2165">
        <v>10.925000000000001</v>
      </c>
      <c r="O2165">
        <v>1647</v>
      </c>
      <c r="P2165">
        <v>473</v>
      </c>
      <c r="Q2165" s="5" t="e">
        <f>IF(AND(#REF!&gt;=table!$C$6,#REF!&lt;= table!$D$6),-1,IF(AND(#REF!&gt;=table!$E$6,#REF!&lt;=table!$F$6),1,0))</f>
        <v>#REF!</v>
      </c>
      <c r="R2165" s="5" t="e">
        <f>IF(AND(#REF!&gt;=table!$C$7,#REF!&lt;= table!$D$7),-1,IF(AND(#REF!&gt;=table!$E$7,#REF!&lt;=table!$F$7),1,0))</f>
        <v>#REF!</v>
      </c>
      <c r="S2165" s="5" t="e">
        <f>IF(AND(#REF!&gt;=table!$C$8,#REF!&lt;= table!$D$8),-1,IF(AND(#REF!&gt;=table!$E$8,#REF!&lt;=table!$F$8),1,0))</f>
        <v>#REF!</v>
      </c>
      <c r="T2165" s="5"/>
      <c r="U2165" s="5" t="e">
        <f>IF(AND(#REF!&gt;=table!$C$10,#REF!&lt;= table!$D$10),-1,IF(AND(#REF!&gt;=table!$E$10,#REF!&lt;=table!$F$10),1,0))</f>
        <v>#REF!</v>
      </c>
      <c r="V2165" s="5" t="e">
        <f>IF(AND(#REF!&gt;=table!$C$11,#REF!&lt;= table!$D$11),-1,IF(AND(#REF!&gt;=table!$E$11,#REF!&lt;=table!$F$11),1,0))</f>
        <v>#REF!</v>
      </c>
      <c r="W2165" s="5" t="e">
        <f>CONCATENATE(dados[[#This Row],[fator1]],dados[[#This Row],[fator5]],dados[[#This Row],[fator6]])</f>
        <v>#REF!</v>
      </c>
    </row>
    <row r="2166" spans="1:23">
      <c r="A2166" t="s">
        <v>17</v>
      </c>
      <c r="B2166">
        <v>487102</v>
      </c>
      <c r="C2166">
        <v>9</v>
      </c>
      <c r="D2166">
        <v>30</v>
      </c>
      <c r="E2166">
        <v>160</v>
      </c>
      <c r="F2166">
        <v>3</v>
      </c>
      <c r="G2166">
        <v>30</v>
      </c>
      <c r="H2166">
        <v>18</v>
      </c>
      <c r="I2166">
        <v>104</v>
      </c>
      <c r="J2166">
        <v>0</v>
      </c>
      <c r="K2166">
        <v>3.6955</v>
      </c>
      <c r="L2166">
        <v>5.601</v>
      </c>
      <c r="M2166">
        <v>138.6995</v>
      </c>
      <c r="N2166">
        <v>12.02</v>
      </c>
      <c r="O2166">
        <v>1683</v>
      </c>
      <c r="P2166">
        <v>1026</v>
      </c>
      <c r="Q2166" s="5" t="e">
        <f>IF(AND(#REF!&gt;=table!$C$6,#REF!&lt;= table!$D$6),-1,IF(AND(#REF!&gt;=table!$E$6,#REF!&lt;=table!$F$6),1,0))</f>
        <v>#REF!</v>
      </c>
      <c r="R2166" s="5" t="e">
        <f>IF(AND(#REF!&gt;=table!$C$7,#REF!&lt;= table!$D$7),-1,IF(AND(#REF!&gt;=table!$E$7,#REF!&lt;=table!$F$7),1,0))</f>
        <v>#REF!</v>
      </c>
      <c r="S2166" s="5" t="e">
        <f>IF(AND(#REF!&gt;=table!$C$8,#REF!&lt;= table!$D$8),-1,IF(AND(#REF!&gt;=table!$E$8,#REF!&lt;=table!$F$8),1,0))</f>
        <v>#REF!</v>
      </c>
      <c r="T2166" s="5"/>
      <c r="U2166" s="5" t="e">
        <f>IF(AND(#REF!&gt;=table!$C$10,#REF!&lt;= table!$D$10),-1,IF(AND(#REF!&gt;=table!$E$10,#REF!&lt;=table!$F$10),1,0))</f>
        <v>#REF!</v>
      </c>
      <c r="V2166" s="5" t="e">
        <f>IF(AND(#REF!&gt;=table!$C$11,#REF!&lt;= table!$D$11),-1,IF(AND(#REF!&gt;=table!$E$11,#REF!&lt;=table!$F$11),1,0))</f>
        <v>#REF!</v>
      </c>
      <c r="W2166" s="5" t="e">
        <f>CONCATENATE(dados[[#This Row],[fator1]],dados[[#This Row],[fator5]],dados[[#This Row],[fator6]])</f>
        <v>#REF!</v>
      </c>
    </row>
    <row r="2167" spans="1:23">
      <c r="A2167" t="s">
        <v>17</v>
      </c>
      <c r="B2167">
        <v>487107</v>
      </c>
      <c r="C2167">
        <v>9</v>
      </c>
      <c r="D2167">
        <v>30</v>
      </c>
      <c r="E2167">
        <v>160</v>
      </c>
      <c r="F2167">
        <v>3</v>
      </c>
      <c r="G2167">
        <v>30</v>
      </c>
      <c r="H2167">
        <v>18</v>
      </c>
      <c r="I2167">
        <v>989</v>
      </c>
      <c r="J2167">
        <v>0</v>
      </c>
      <c r="K2167">
        <v>3.9645000000000001</v>
      </c>
      <c r="L2167">
        <v>9.5449999999999999</v>
      </c>
      <c r="M2167">
        <v>136.886</v>
      </c>
      <c r="N2167">
        <v>11.565000000000001</v>
      </c>
      <c r="O2167">
        <v>1679</v>
      </c>
      <c r="P2167">
        <v>0</v>
      </c>
      <c r="Q2167" s="5" t="e">
        <f>IF(AND(#REF!&gt;=table!$C$6,#REF!&lt;= table!$D$6),-1,IF(AND(#REF!&gt;=table!$E$6,#REF!&lt;=table!$F$6),1,0))</f>
        <v>#REF!</v>
      </c>
      <c r="R2167" s="5" t="e">
        <f>IF(AND(#REF!&gt;=table!$C$7,#REF!&lt;= table!$D$7),-1,IF(AND(#REF!&gt;=table!$E$7,#REF!&lt;=table!$F$7),1,0))</f>
        <v>#REF!</v>
      </c>
      <c r="S2167" s="5" t="e">
        <f>IF(AND(#REF!&gt;=table!$C$8,#REF!&lt;= table!$D$8),-1,IF(AND(#REF!&gt;=table!$E$8,#REF!&lt;=table!$F$8),1,0))</f>
        <v>#REF!</v>
      </c>
      <c r="T2167" s="5"/>
      <c r="U2167" s="5" t="e">
        <f>IF(AND(#REF!&gt;=table!$C$10,#REF!&lt;= table!$D$10),-1,IF(AND(#REF!&gt;=table!$E$10,#REF!&lt;=table!$F$10),1,0))</f>
        <v>#REF!</v>
      </c>
      <c r="V2167" s="5" t="e">
        <f>IF(AND(#REF!&gt;=table!$C$11,#REF!&lt;= table!$D$11),-1,IF(AND(#REF!&gt;=table!$E$11,#REF!&lt;=table!$F$11),1,0))</f>
        <v>#REF!</v>
      </c>
      <c r="W2167" s="5" t="e">
        <f>CONCATENATE(dados[[#This Row],[fator1]],dados[[#This Row],[fator5]],dados[[#This Row],[fator6]])</f>
        <v>#REF!</v>
      </c>
    </row>
    <row r="2168" spans="1:23">
      <c r="A2168" t="s">
        <v>17</v>
      </c>
      <c r="B2168">
        <v>487109</v>
      </c>
      <c r="C2168">
        <v>9</v>
      </c>
      <c r="D2168">
        <v>25</v>
      </c>
      <c r="E2168">
        <v>130</v>
      </c>
      <c r="F2168">
        <v>3</v>
      </c>
      <c r="G2168">
        <v>20</v>
      </c>
      <c r="H2168">
        <v>21</v>
      </c>
      <c r="I2168">
        <v>0</v>
      </c>
      <c r="J2168">
        <v>0</v>
      </c>
      <c r="K2168">
        <v>4.4790000000000001</v>
      </c>
      <c r="L2168">
        <v>15.8085</v>
      </c>
      <c r="M2168">
        <v>119.31450000000001</v>
      </c>
      <c r="N2168">
        <v>16.77</v>
      </c>
      <c r="O2168">
        <v>1670</v>
      </c>
      <c r="P2168">
        <v>859</v>
      </c>
      <c r="Q2168" s="5" t="e">
        <f>IF(AND(#REF!&gt;=table!$C$6,#REF!&lt;= table!$D$6),-1,IF(AND(#REF!&gt;=table!$E$6,#REF!&lt;=table!$F$6),1,0))</f>
        <v>#REF!</v>
      </c>
      <c r="R2168" s="5" t="e">
        <f>IF(AND(#REF!&gt;=table!$C$7,#REF!&lt;= table!$D$7),-1,IF(AND(#REF!&gt;=table!$E$7,#REF!&lt;=table!$F$7),1,0))</f>
        <v>#REF!</v>
      </c>
      <c r="S2168" s="5" t="e">
        <f>IF(AND(#REF!&gt;=table!$C$8,#REF!&lt;= table!$D$8),-1,IF(AND(#REF!&gt;=table!$E$8,#REF!&lt;=table!$F$8),1,0))</f>
        <v>#REF!</v>
      </c>
      <c r="T2168" s="5"/>
      <c r="U2168" s="5" t="e">
        <f>IF(AND(#REF!&gt;=table!$C$10,#REF!&lt;= table!$D$10),-1,IF(AND(#REF!&gt;=table!$E$10,#REF!&lt;=table!$F$10),1,0))</f>
        <v>#REF!</v>
      </c>
      <c r="V2168" s="5" t="e">
        <f>IF(AND(#REF!&gt;=table!$C$11,#REF!&lt;= table!$D$11),-1,IF(AND(#REF!&gt;=table!$E$11,#REF!&lt;=table!$F$11),1,0))</f>
        <v>#REF!</v>
      </c>
      <c r="W2168" s="5" t="e">
        <f>CONCATENATE(dados[[#This Row],[fator1]],dados[[#This Row],[fator5]],dados[[#This Row],[fator6]])</f>
        <v>#REF!</v>
      </c>
    </row>
    <row r="2169" spans="1:23">
      <c r="A2169" t="s">
        <v>17</v>
      </c>
      <c r="B2169">
        <v>487111</v>
      </c>
      <c r="C2169">
        <v>9</v>
      </c>
      <c r="D2169">
        <v>25</v>
      </c>
      <c r="E2169">
        <v>130</v>
      </c>
      <c r="F2169">
        <v>3</v>
      </c>
      <c r="G2169">
        <v>20</v>
      </c>
      <c r="H2169">
        <v>21</v>
      </c>
      <c r="I2169">
        <v>1062</v>
      </c>
      <c r="J2169">
        <v>0</v>
      </c>
      <c r="K2169">
        <v>6.7520000000000007</v>
      </c>
      <c r="L2169">
        <v>13.578000000000001</v>
      </c>
      <c r="M2169">
        <v>119.52350000000001</v>
      </c>
      <c r="N2169">
        <v>12.370000000000001</v>
      </c>
      <c r="O2169">
        <v>1668</v>
      </c>
      <c r="P2169">
        <v>0</v>
      </c>
      <c r="Q2169" s="5" t="e">
        <f>IF(AND(#REF!&gt;=table!$C$6,#REF!&lt;= table!$D$6),-1,IF(AND(#REF!&gt;=table!$E$6,#REF!&lt;=table!$F$6),1,0))</f>
        <v>#REF!</v>
      </c>
      <c r="R2169" s="5" t="e">
        <f>IF(AND(#REF!&gt;=table!$C$7,#REF!&lt;= table!$D$7),-1,IF(AND(#REF!&gt;=table!$E$7,#REF!&lt;=table!$F$7),1,0))</f>
        <v>#REF!</v>
      </c>
      <c r="S2169" s="5" t="e">
        <f>IF(AND(#REF!&gt;=table!$C$8,#REF!&lt;= table!$D$8),-1,IF(AND(#REF!&gt;=table!$E$8,#REF!&lt;=table!$F$8),1,0))</f>
        <v>#REF!</v>
      </c>
      <c r="T2169" s="5"/>
      <c r="U2169" s="5" t="e">
        <f>IF(AND(#REF!&gt;=table!$C$10,#REF!&lt;= table!$D$10),-1,IF(AND(#REF!&gt;=table!$E$10,#REF!&lt;=table!$F$10),1,0))</f>
        <v>#REF!</v>
      </c>
      <c r="V2169" s="5" t="e">
        <f>IF(AND(#REF!&gt;=table!$C$11,#REF!&lt;= table!$D$11),-1,IF(AND(#REF!&gt;=table!$E$11,#REF!&lt;=table!$F$11),1,0))</f>
        <v>#REF!</v>
      </c>
      <c r="W2169" s="5" t="e">
        <f>CONCATENATE(dados[[#This Row],[fator1]],dados[[#This Row],[fator5]],dados[[#This Row],[fator6]])</f>
        <v>#REF!</v>
      </c>
    </row>
    <row r="2170" spans="1:23">
      <c r="A2170" t="s">
        <v>17</v>
      </c>
      <c r="B2170">
        <v>487112</v>
      </c>
      <c r="C2170">
        <v>9</v>
      </c>
      <c r="D2170">
        <v>25</v>
      </c>
      <c r="E2170">
        <v>130</v>
      </c>
      <c r="F2170">
        <v>3</v>
      </c>
      <c r="G2170">
        <v>20</v>
      </c>
      <c r="H2170">
        <v>21</v>
      </c>
      <c r="I2170">
        <v>605</v>
      </c>
      <c r="J2170">
        <v>850</v>
      </c>
      <c r="K2170">
        <v>14.409000000000001</v>
      </c>
      <c r="L2170">
        <v>15.220500000000001</v>
      </c>
      <c r="M2170">
        <v>125.05</v>
      </c>
      <c r="N2170">
        <v>13</v>
      </c>
      <c r="O2170">
        <v>1674</v>
      </c>
      <c r="P2170">
        <v>0</v>
      </c>
      <c r="Q2170" s="5" t="e">
        <f>IF(AND(#REF!&gt;=table!$C$6,#REF!&lt;= table!$D$6),-1,IF(AND(#REF!&gt;=table!$E$6,#REF!&lt;=table!$F$6),1,0))</f>
        <v>#REF!</v>
      </c>
      <c r="R2170" s="5" t="e">
        <f>IF(AND(#REF!&gt;=table!$C$7,#REF!&lt;= table!$D$7),-1,IF(AND(#REF!&gt;=table!$E$7,#REF!&lt;=table!$F$7),1,0))</f>
        <v>#REF!</v>
      </c>
      <c r="S2170" s="5" t="e">
        <f>IF(AND(#REF!&gt;=table!$C$8,#REF!&lt;= table!$D$8),-1,IF(AND(#REF!&gt;=table!$E$8,#REF!&lt;=table!$F$8),1,0))</f>
        <v>#REF!</v>
      </c>
      <c r="T2170" s="5"/>
      <c r="U2170" s="5" t="e">
        <f>IF(AND(#REF!&gt;=table!$C$10,#REF!&lt;= table!$D$10),-1,IF(AND(#REF!&gt;=table!$E$10,#REF!&lt;=table!$F$10),1,0))</f>
        <v>#REF!</v>
      </c>
      <c r="V2170" s="5" t="e">
        <f>IF(AND(#REF!&gt;=table!$C$11,#REF!&lt;= table!$D$11),-1,IF(AND(#REF!&gt;=table!$E$11,#REF!&lt;=table!$F$11),1,0))</f>
        <v>#REF!</v>
      </c>
      <c r="W2170" s="5" t="e">
        <f>CONCATENATE(dados[[#This Row],[fator1]],dados[[#This Row],[fator5]],dados[[#This Row],[fator6]])</f>
        <v>#REF!</v>
      </c>
    </row>
    <row r="2171" spans="1:23">
      <c r="A2171" t="s">
        <v>16</v>
      </c>
      <c r="B2171">
        <v>487115</v>
      </c>
      <c r="C2171">
        <v>0.2</v>
      </c>
      <c r="D2171">
        <v>65</v>
      </c>
      <c r="E2171">
        <v>26</v>
      </c>
      <c r="F2171">
        <v>15</v>
      </c>
      <c r="G2171">
        <v>0</v>
      </c>
      <c r="H2171">
        <v>30</v>
      </c>
      <c r="I2171">
        <v>529</v>
      </c>
      <c r="J2171">
        <v>0</v>
      </c>
      <c r="K2171">
        <v>4.3075000000000001</v>
      </c>
      <c r="L2171">
        <v>10.631</v>
      </c>
      <c r="M2171">
        <v>9.8230000000000004</v>
      </c>
      <c r="N2171">
        <v>11.695</v>
      </c>
      <c r="O2171">
        <v>1682</v>
      </c>
      <c r="P2171">
        <v>863</v>
      </c>
      <c r="Q2171" s="5" t="e">
        <f>IF(AND(#REF!&gt;=table!$C$6,#REF!&lt;= table!$D$6),-1,IF(AND(#REF!&gt;=table!$E$6,#REF!&lt;=table!$F$6),1,0))</f>
        <v>#REF!</v>
      </c>
      <c r="R2171" s="5" t="e">
        <f>IF(AND(#REF!&gt;=table!$C$7,#REF!&lt;= table!$D$7),-1,IF(AND(#REF!&gt;=table!$E$7,#REF!&lt;=table!$F$7),1,0))</f>
        <v>#REF!</v>
      </c>
      <c r="S2171" s="5" t="e">
        <f>IF(AND(#REF!&gt;=table!$C$8,#REF!&lt;= table!$D$8),-1,IF(AND(#REF!&gt;=table!$E$8,#REF!&lt;=table!$F$8),1,0))</f>
        <v>#REF!</v>
      </c>
      <c r="T2171" s="5"/>
      <c r="U2171" s="5" t="e">
        <f>IF(AND(#REF!&gt;=table!$C$10,#REF!&lt;= table!$D$10),-1,IF(AND(#REF!&gt;=table!$E$10,#REF!&lt;=table!$F$10),1,0))</f>
        <v>#REF!</v>
      </c>
      <c r="V2171" s="5" t="e">
        <f>IF(AND(#REF!&gt;=table!$C$11,#REF!&lt;= table!$D$11),-1,IF(AND(#REF!&gt;=table!$E$11,#REF!&lt;=table!$F$11),1,0))</f>
        <v>#REF!</v>
      </c>
      <c r="W2171" s="5" t="e">
        <f>CONCATENATE(dados[[#This Row],[fator1]],dados[[#This Row],[fator5]],dados[[#This Row],[fator6]])</f>
        <v>#REF!</v>
      </c>
    </row>
    <row r="2172" spans="1:23">
      <c r="A2172" t="s">
        <v>16</v>
      </c>
      <c r="B2172">
        <v>487116</v>
      </c>
      <c r="C2172">
        <v>0.15</v>
      </c>
      <c r="D2172">
        <v>40</v>
      </c>
      <c r="E2172">
        <v>64</v>
      </c>
      <c r="F2172">
        <v>10</v>
      </c>
      <c r="G2172">
        <v>0</v>
      </c>
      <c r="H2172">
        <v>35</v>
      </c>
      <c r="I2172">
        <v>709</v>
      </c>
      <c r="J2172">
        <v>0</v>
      </c>
      <c r="K2172">
        <v>5.7850000000000001</v>
      </c>
      <c r="L2172">
        <v>12.646000000000001</v>
      </c>
      <c r="M2172">
        <v>10.691500000000001</v>
      </c>
      <c r="N2172">
        <v>11.49</v>
      </c>
      <c r="O2172">
        <v>1672</v>
      </c>
      <c r="P2172">
        <v>607</v>
      </c>
      <c r="Q2172" s="5" t="e">
        <f>IF(AND(#REF!&gt;=table!$C$6,#REF!&lt;= table!$D$6),-1,IF(AND(#REF!&gt;=table!$E$6,#REF!&lt;=table!$F$6),1,0))</f>
        <v>#REF!</v>
      </c>
      <c r="R2172" s="5" t="e">
        <f>IF(AND(#REF!&gt;=table!$C$7,#REF!&lt;= table!$D$7),-1,IF(AND(#REF!&gt;=table!$E$7,#REF!&lt;=table!$F$7),1,0))</f>
        <v>#REF!</v>
      </c>
      <c r="S2172" s="5" t="e">
        <f>IF(AND(#REF!&gt;=table!$C$8,#REF!&lt;= table!$D$8),-1,IF(AND(#REF!&gt;=table!$E$8,#REF!&lt;=table!$F$8),1,0))</f>
        <v>#REF!</v>
      </c>
      <c r="T2172" s="5"/>
      <c r="U2172" s="5" t="e">
        <f>IF(AND(#REF!&gt;=table!$C$10,#REF!&lt;= table!$D$10),-1,IF(AND(#REF!&gt;=table!$E$10,#REF!&lt;=table!$F$10),1,0))</f>
        <v>#REF!</v>
      </c>
      <c r="V2172" s="5" t="e">
        <f>IF(AND(#REF!&gt;=table!$C$11,#REF!&lt;= table!$D$11),-1,IF(AND(#REF!&gt;=table!$E$11,#REF!&lt;=table!$F$11),1,0))</f>
        <v>#REF!</v>
      </c>
      <c r="W2172" s="5" t="e">
        <f>CONCATENATE(dados[[#This Row],[fator1]],dados[[#This Row],[fator5]],dados[[#This Row],[fator6]])</f>
        <v>#REF!</v>
      </c>
    </row>
    <row r="2173" spans="1:23">
      <c r="A2173" t="s">
        <v>16</v>
      </c>
      <c r="B2173">
        <v>487117</v>
      </c>
      <c r="C2173">
        <v>0.15</v>
      </c>
      <c r="D2173">
        <v>40</v>
      </c>
      <c r="E2173">
        <v>64</v>
      </c>
      <c r="F2173">
        <v>10</v>
      </c>
      <c r="G2173">
        <v>0</v>
      </c>
      <c r="H2173">
        <v>35</v>
      </c>
      <c r="I2173">
        <v>708</v>
      </c>
      <c r="J2173">
        <v>0</v>
      </c>
      <c r="K2173">
        <v>4.0245000000000006</v>
      </c>
      <c r="L2173">
        <v>11.595000000000001</v>
      </c>
      <c r="M2173">
        <v>10.252000000000001</v>
      </c>
      <c r="N2173">
        <v>13.66</v>
      </c>
      <c r="O2173">
        <v>1686</v>
      </c>
      <c r="P2173">
        <v>969</v>
      </c>
      <c r="Q2173" s="5" t="e">
        <f>IF(AND(#REF!&gt;=table!$C$6,#REF!&lt;= table!$D$6),-1,IF(AND(#REF!&gt;=table!$E$6,#REF!&lt;=table!$F$6),1,0))</f>
        <v>#REF!</v>
      </c>
      <c r="R2173" s="5" t="e">
        <f>IF(AND(#REF!&gt;=table!$C$7,#REF!&lt;= table!$D$7),-1,IF(AND(#REF!&gt;=table!$E$7,#REF!&lt;=table!$F$7),1,0))</f>
        <v>#REF!</v>
      </c>
      <c r="S2173" s="5" t="e">
        <f>IF(AND(#REF!&gt;=table!$C$8,#REF!&lt;= table!$D$8),-1,IF(AND(#REF!&gt;=table!$E$8,#REF!&lt;=table!$F$8),1,0))</f>
        <v>#REF!</v>
      </c>
      <c r="T2173" s="5"/>
      <c r="U2173" s="5" t="e">
        <f>IF(AND(#REF!&gt;=table!$C$10,#REF!&lt;= table!$D$10),-1,IF(AND(#REF!&gt;=table!$E$10,#REF!&lt;=table!$F$10),1,0))</f>
        <v>#REF!</v>
      </c>
      <c r="V2173" s="5" t="e">
        <f>IF(AND(#REF!&gt;=table!$C$11,#REF!&lt;= table!$D$11),-1,IF(AND(#REF!&gt;=table!$E$11,#REF!&lt;=table!$F$11),1,0))</f>
        <v>#REF!</v>
      </c>
      <c r="W2173" s="5" t="e">
        <f>CONCATENATE(dados[[#This Row],[fator1]],dados[[#This Row],[fator5]],dados[[#This Row],[fator6]])</f>
        <v>#REF!</v>
      </c>
    </row>
    <row r="2174" spans="1:23">
      <c r="A2174" t="s">
        <v>16</v>
      </c>
      <c r="B2174">
        <v>487118</v>
      </c>
      <c r="C2174">
        <v>0.15</v>
      </c>
      <c r="D2174">
        <v>40</v>
      </c>
      <c r="E2174">
        <v>64</v>
      </c>
      <c r="F2174">
        <v>10</v>
      </c>
      <c r="G2174">
        <v>0</v>
      </c>
      <c r="H2174">
        <v>35</v>
      </c>
      <c r="I2174">
        <v>744</v>
      </c>
      <c r="J2174">
        <v>0</v>
      </c>
      <c r="K2174">
        <v>3.2440000000000002</v>
      </c>
      <c r="L2174">
        <v>11.6045</v>
      </c>
      <c r="M2174">
        <v>8.980500000000001</v>
      </c>
      <c r="N2174">
        <v>16.025000000000002</v>
      </c>
      <c r="O2174">
        <v>1660</v>
      </c>
      <c r="P2174">
        <v>1076</v>
      </c>
      <c r="Q2174" s="5" t="e">
        <f>IF(AND(#REF!&gt;=table!$C$6,#REF!&lt;= table!$D$6),-1,IF(AND(#REF!&gt;=table!$E$6,#REF!&lt;=table!$F$6),1,0))</f>
        <v>#REF!</v>
      </c>
      <c r="R2174" s="5" t="e">
        <f>IF(AND(#REF!&gt;=table!$C$7,#REF!&lt;= table!$D$7),-1,IF(AND(#REF!&gt;=table!$E$7,#REF!&lt;=table!$F$7),1,0))</f>
        <v>#REF!</v>
      </c>
      <c r="S2174" s="5" t="e">
        <f>IF(AND(#REF!&gt;=table!$C$8,#REF!&lt;= table!$D$8),-1,IF(AND(#REF!&gt;=table!$E$8,#REF!&lt;=table!$F$8),1,0))</f>
        <v>#REF!</v>
      </c>
      <c r="T2174" s="5"/>
      <c r="U2174" s="5" t="e">
        <f>IF(AND(#REF!&gt;=table!$C$10,#REF!&lt;= table!$D$10),-1,IF(AND(#REF!&gt;=table!$E$10,#REF!&lt;=table!$F$10),1,0))</f>
        <v>#REF!</v>
      </c>
      <c r="V2174" s="5" t="e">
        <f>IF(AND(#REF!&gt;=table!$C$11,#REF!&lt;= table!$D$11),-1,IF(AND(#REF!&gt;=table!$E$11,#REF!&lt;=table!$F$11),1,0))</f>
        <v>#REF!</v>
      </c>
      <c r="W2174" s="5" t="e">
        <f>CONCATENATE(dados[[#This Row],[fator1]],dados[[#This Row],[fator5]],dados[[#This Row],[fator6]])</f>
        <v>#REF!</v>
      </c>
    </row>
    <row r="2175" spans="1:23">
      <c r="A2175" t="s">
        <v>16</v>
      </c>
      <c r="B2175">
        <v>487119</v>
      </c>
      <c r="C2175">
        <v>12</v>
      </c>
      <c r="D2175">
        <v>35</v>
      </c>
      <c r="E2175">
        <v>86</v>
      </c>
      <c r="F2175">
        <v>10</v>
      </c>
      <c r="G2175">
        <v>0</v>
      </c>
      <c r="H2175">
        <v>25</v>
      </c>
      <c r="I2175">
        <v>974</v>
      </c>
      <c r="J2175">
        <v>0</v>
      </c>
      <c r="K2175">
        <v>4.2480000000000002</v>
      </c>
      <c r="L2175">
        <v>12.412500000000001</v>
      </c>
      <c r="M2175">
        <v>83.2</v>
      </c>
      <c r="N2175">
        <v>12.47</v>
      </c>
      <c r="O2175">
        <v>1655</v>
      </c>
      <c r="P2175">
        <v>741</v>
      </c>
      <c r="Q2175" s="5" t="e">
        <f>IF(AND(#REF!&gt;=table!$C$6,#REF!&lt;= table!$D$6),-1,IF(AND(#REF!&gt;=table!$E$6,#REF!&lt;=table!$F$6),1,0))</f>
        <v>#REF!</v>
      </c>
      <c r="R2175" s="5" t="e">
        <f>IF(AND(#REF!&gt;=table!$C$7,#REF!&lt;= table!$D$7),-1,IF(AND(#REF!&gt;=table!$E$7,#REF!&lt;=table!$F$7),1,0))</f>
        <v>#REF!</v>
      </c>
      <c r="S2175" s="5" t="e">
        <f>IF(AND(#REF!&gt;=table!$C$8,#REF!&lt;= table!$D$8),-1,IF(AND(#REF!&gt;=table!$E$8,#REF!&lt;=table!$F$8),1,0))</f>
        <v>#REF!</v>
      </c>
      <c r="T2175" s="5"/>
      <c r="U2175" s="5" t="e">
        <f>IF(AND(#REF!&gt;=table!$C$10,#REF!&lt;= table!$D$10),-1,IF(AND(#REF!&gt;=table!$E$10,#REF!&lt;=table!$F$10),1,0))</f>
        <v>#REF!</v>
      </c>
      <c r="V2175" s="5" t="e">
        <f>IF(AND(#REF!&gt;=table!$C$11,#REF!&lt;= table!$D$11),-1,IF(AND(#REF!&gt;=table!$E$11,#REF!&lt;=table!$F$11),1,0))</f>
        <v>#REF!</v>
      </c>
      <c r="W2175" s="5" t="e">
        <f>CONCATENATE(dados[[#This Row],[fator1]],dados[[#This Row],[fator5]],dados[[#This Row],[fator6]])</f>
        <v>#REF!</v>
      </c>
    </row>
    <row r="2176" spans="1:23">
      <c r="A2176" t="s">
        <v>17</v>
      </c>
      <c r="B2176">
        <v>487125</v>
      </c>
      <c r="C2176">
        <v>9</v>
      </c>
      <c r="D2176">
        <v>25</v>
      </c>
      <c r="E2176">
        <v>130</v>
      </c>
      <c r="F2176">
        <v>3</v>
      </c>
      <c r="G2176">
        <v>20</v>
      </c>
      <c r="H2176">
        <v>21</v>
      </c>
      <c r="I2176">
        <v>1</v>
      </c>
      <c r="J2176">
        <v>760</v>
      </c>
      <c r="K2176">
        <v>2.8435000000000001</v>
      </c>
      <c r="L2176">
        <v>14.094000000000001</v>
      </c>
      <c r="M2176">
        <v>128.0745</v>
      </c>
      <c r="N2176">
        <v>14.22</v>
      </c>
      <c r="O2176">
        <v>1681</v>
      </c>
      <c r="P2176">
        <v>932</v>
      </c>
      <c r="Q2176" s="5" t="e">
        <f>IF(AND(#REF!&gt;=table!$C$6,#REF!&lt;= table!$D$6),-1,IF(AND(#REF!&gt;=table!$E$6,#REF!&lt;=table!$F$6),1,0))</f>
        <v>#REF!</v>
      </c>
      <c r="R2176" s="5" t="e">
        <f>IF(AND(#REF!&gt;=table!$C$7,#REF!&lt;= table!$D$7),-1,IF(AND(#REF!&gt;=table!$E$7,#REF!&lt;=table!$F$7),1,0))</f>
        <v>#REF!</v>
      </c>
      <c r="S2176" s="5" t="e">
        <f>IF(AND(#REF!&gt;=table!$C$8,#REF!&lt;= table!$D$8),-1,IF(AND(#REF!&gt;=table!$E$8,#REF!&lt;=table!$F$8),1,0))</f>
        <v>#REF!</v>
      </c>
      <c r="T2176" s="5"/>
      <c r="U2176" s="5" t="e">
        <f>IF(AND(#REF!&gt;=table!$C$10,#REF!&lt;= table!$D$10),-1,IF(AND(#REF!&gt;=table!$E$10,#REF!&lt;=table!$F$10),1,0))</f>
        <v>#REF!</v>
      </c>
      <c r="V2176" s="5" t="e">
        <f>IF(AND(#REF!&gt;=table!$C$11,#REF!&lt;= table!$D$11),-1,IF(AND(#REF!&gt;=table!$E$11,#REF!&lt;=table!$F$11),1,0))</f>
        <v>#REF!</v>
      </c>
      <c r="W2176" s="5" t="e">
        <f>CONCATENATE(dados[[#This Row],[fator1]],dados[[#This Row],[fator5]],dados[[#This Row],[fator6]])</f>
        <v>#REF!</v>
      </c>
    </row>
    <row r="2177" spans="1:23">
      <c r="A2177" t="s">
        <v>17</v>
      </c>
      <c r="B2177">
        <v>487126</v>
      </c>
      <c r="C2177">
        <v>13</v>
      </c>
      <c r="D2177">
        <v>35</v>
      </c>
      <c r="E2177">
        <v>135</v>
      </c>
      <c r="F2177">
        <v>1</v>
      </c>
      <c r="G2177">
        <v>40</v>
      </c>
      <c r="H2177">
        <v>20</v>
      </c>
      <c r="I2177">
        <v>69</v>
      </c>
      <c r="J2177">
        <v>0</v>
      </c>
      <c r="K2177">
        <v>5.0870000000000006</v>
      </c>
      <c r="L2177">
        <v>13.73</v>
      </c>
      <c r="M2177">
        <v>122.43700000000001</v>
      </c>
      <c r="N2177">
        <v>10.675000000000001</v>
      </c>
      <c r="O2177">
        <v>1677</v>
      </c>
      <c r="P2177">
        <v>634</v>
      </c>
      <c r="Q2177" s="5" t="e">
        <f>IF(AND(#REF!&gt;=table!$C$6,#REF!&lt;= table!$D$6),-1,IF(AND(#REF!&gt;=table!$E$6,#REF!&lt;=table!$F$6),1,0))</f>
        <v>#REF!</v>
      </c>
      <c r="R2177" s="5" t="e">
        <f>IF(AND(#REF!&gt;=table!$C$7,#REF!&lt;= table!$D$7),-1,IF(AND(#REF!&gt;=table!$E$7,#REF!&lt;=table!$F$7),1,0))</f>
        <v>#REF!</v>
      </c>
      <c r="S2177" s="5" t="e">
        <f>IF(AND(#REF!&gt;=table!$C$8,#REF!&lt;= table!$D$8),-1,IF(AND(#REF!&gt;=table!$E$8,#REF!&lt;=table!$F$8),1,0))</f>
        <v>#REF!</v>
      </c>
      <c r="T2177" s="5"/>
      <c r="U2177" s="5" t="e">
        <f>IF(AND(#REF!&gt;=table!$C$10,#REF!&lt;= table!$D$10),-1,IF(AND(#REF!&gt;=table!$E$10,#REF!&lt;=table!$F$10),1,0))</f>
        <v>#REF!</v>
      </c>
      <c r="V2177" s="5" t="e">
        <f>IF(AND(#REF!&gt;=table!$C$11,#REF!&lt;= table!$D$11),-1,IF(AND(#REF!&gt;=table!$E$11,#REF!&lt;=table!$F$11),1,0))</f>
        <v>#REF!</v>
      </c>
      <c r="W2177" s="5" t="e">
        <f>CONCATENATE(dados[[#This Row],[fator1]],dados[[#This Row],[fator5]],dados[[#This Row],[fator6]])</f>
        <v>#REF!</v>
      </c>
    </row>
    <row r="2178" spans="1:23">
      <c r="A2178" t="s">
        <v>17</v>
      </c>
      <c r="B2178">
        <v>487131</v>
      </c>
      <c r="C2178">
        <v>8</v>
      </c>
      <c r="D2178">
        <v>30</v>
      </c>
      <c r="E2178">
        <v>155</v>
      </c>
      <c r="F2178">
        <v>2</v>
      </c>
      <c r="G2178">
        <v>30</v>
      </c>
      <c r="H2178">
        <v>18</v>
      </c>
      <c r="I2178">
        <v>7</v>
      </c>
      <c r="J2178">
        <v>700</v>
      </c>
      <c r="K2178">
        <v>5.0739999999999998</v>
      </c>
      <c r="L2178">
        <v>8.6535000000000011</v>
      </c>
      <c r="M2178">
        <v>132.601</v>
      </c>
      <c r="N2178">
        <v>9.4050000000000011</v>
      </c>
      <c r="O2178">
        <v>1635</v>
      </c>
      <c r="P2178">
        <v>447</v>
      </c>
      <c r="Q2178" s="5" t="e">
        <f>IF(AND(#REF!&gt;=table!$C$6,#REF!&lt;= table!$D$6),-1,IF(AND(#REF!&gt;=table!$E$6,#REF!&lt;=table!$F$6),1,0))</f>
        <v>#REF!</v>
      </c>
      <c r="R2178" s="5" t="e">
        <f>IF(AND(#REF!&gt;=table!$C$7,#REF!&lt;= table!$D$7),-1,IF(AND(#REF!&gt;=table!$E$7,#REF!&lt;=table!$F$7),1,0))</f>
        <v>#REF!</v>
      </c>
      <c r="S2178" s="5" t="e">
        <f>IF(AND(#REF!&gt;=table!$C$8,#REF!&lt;= table!$D$8),-1,IF(AND(#REF!&gt;=table!$E$8,#REF!&lt;=table!$F$8),1,0))</f>
        <v>#REF!</v>
      </c>
      <c r="T2178" s="5"/>
      <c r="U2178" s="5" t="e">
        <f>IF(AND(#REF!&gt;=table!$C$10,#REF!&lt;= table!$D$10),-1,IF(AND(#REF!&gt;=table!$E$10,#REF!&lt;=table!$F$10),1,0))</f>
        <v>#REF!</v>
      </c>
      <c r="V2178" s="5" t="e">
        <f>IF(AND(#REF!&gt;=table!$C$11,#REF!&lt;= table!$D$11),-1,IF(AND(#REF!&gt;=table!$E$11,#REF!&lt;=table!$F$11),1,0))</f>
        <v>#REF!</v>
      </c>
      <c r="W2178" s="5" t="e">
        <f>CONCATENATE(dados[[#This Row],[fator1]],dados[[#This Row],[fator5]],dados[[#This Row],[fator6]])</f>
        <v>#REF!</v>
      </c>
    </row>
    <row r="2179" spans="1:23">
      <c r="A2179" t="s">
        <v>17</v>
      </c>
      <c r="B2179">
        <v>487132</v>
      </c>
      <c r="C2179">
        <v>8</v>
      </c>
      <c r="D2179">
        <v>30</v>
      </c>
      <c r="E2179">
        <v>155</v>
      </c>
      <c r="F2179">
        <v>2</v>
      </c>
      <c r="G2179">
        <v>30</v>
      </c>
      <c r="H2179">
        <v>18</v>
      </c>
      <c r="I2179">
        <v>744</v>
      </c>
      <c r="J2179">
        <v>0</v>
      </c>
      <c r="K2179">
        <v>3.6865000000000001</v>
      </c>
      <c r="L2179">
        <v>8.4924999999999997</v>
      </c>
      <c r="M2179">
        <v>130.559</v>
      </c>
      <c r="N2179">
        <v>10.145000000000001</v>
      </c>
      <c r="O2179">
        <v>1662</v>
      </c>
      <c r="P2179">
        <v>1194</v>
      </c>
      <c r="Q2179" s="5" t="e">
        <f>IF(AND(#REF!&gt;=table!$C$6,#REF!&lt;= table!$D$6),-1,IF(AND(#REF!&gt;=table!$E$6,#REF!&lt;=table!$F$6),1,0))</f>
        <v>#REF!</v>
      </c>
      <c r="R2179" s="5" t="e">
        <f>IF(AND(#REF!&gt;=table!$C$7,#REF!&lt;= table!$D$7),-1,IF(AND(#REF!&gt;=table!$E$7,#REF!&lt;=table!$F$7),1,0))</f>
        <v>#REF!</v>
      </c>
      <c r="S2179" s="5" t="e">
        <f>IF(AND(#REF!&gt;=table!$C$8,#REF!&lt;= table!$D$8),-1,IF(AND(#REF!&gt;=table!$E$8,#REF!&lt;=table!$F$8),1,0))</f>
        <v>#REF!</v>
      </c>
      <c r="T2179" s="5"/>
      <c r="U2179" s="5" t="e">
        <f>IF(AND(#REF!&gt;=table!$C$10,#REF!&lt;= table!$D$10),-1,IF(AND(#REF!&gt;=table!$E$10,#REF!&lt;=table!$F$10),1,0))</f>
        <v>#REF!</v>
      </c>
      <c r="V2179" s="5" t="e">
        <f>IF(AND(#REF!&gt;=table!$C$11,#REF!&lt;= table!$D$11),-1,IF(AND(#REF!&gt;=table!$E$11,#REF!&lt;=table!$F$11),1,0))</f>
        <v>#REF!</v>
      </c>
      <c r="W2179" s="5" t="e">
        <f>CONCATENATE(dados[[#This Row],[fator1]],dados[[#This Row],[fator5]],dados[[#This Row],[fator6]])</f>
        <v>#REF!</v>
      </c>
    </row>
    <row r="2180" spans="1:23">
      <c r="A2180" t="s">
        <v>17</v>
      </c>
      <c r="B2180">
        <v>487133</v>
      </c>
      <c r="C2180">
        <v>8</v>
      </c>
      <c r="D2180">
        <v>30</v>
      </c>
      <c r="E2180">
        <v>153</v>
      </c>
      <c r="F2180">
        <v>2</v>
      </c>
      <c r="G2180">
        <v>20</v>
      </c>
      <c r="H2180">
        <v>18</v>
      </c>
      <c r="I2180">
        <v>1340</v>
      </c>
      <c r="J2180">
        <v>0</v>
      </c>
      <c r="K2180">
        <v>4.59</v>
      </c>
      <c r="L2180">
        <v>12.25</v>
      </c>
      <c r="M2180">
        <v>135.4255</v>
      </c>
      <c r="N2180">
        <v>11.345000000000001</v>
      </c>
      <c r="O2180">
        <v>1678</v>
      </c>
      <c r="P2180">
        <v>0</v>
      </c>
      <c r="Q2180" s="5" t="e">
        <f>IF(AND(#REF!&gt;=table!$C$6,#REF!&lt;= table!$D$6),-1,IF(AND(#REF!&gt;=table!$E$6,#REF!&lt;=table!$F$6),1,0))</f>
        <v>#REF!</v>
      </c>
      <c r="R2180" s="5" t="e">
        <f>IF(AND(#REF!&gt;=table!$C$7,#REF!&lt;= table!$D$7),-1,IF(AND(#REF!&gt;=table!$E$7,#REF!&lt;=table!$F$7),1,0))</f>
        <v>#REF!</v>
      </c>
      <c r="S2180" s="5" t="e">
        <f>IF(AND(#REF!&gt;=table!$C$8,#REF!&lt;= table!$D$8),-1,IF(AND(#REF!&gt;=table!$E$8,#REF!&lt;=table!$F$8),1,0))</f>
        <v>#REF!</v>
      </c>
      <c r="T2180" s="5"/>
      <c r="U2180" s="5" t="e">
        <f>IF(AND(#REF!&gt;=table!$C$10,#REF!&lt;= table!$D$10),-1,IF(AND(#REF!&gt;=table!$E$10,#REF!&lt;=table!$F$10),1,0))</f>
        <v>#REF!</v>
      </c>
      <c r="V2180" s="5" t="e">
        <f>IF(AND(#REF!&gt;=table!$C$11,#REF!&lt;= table!$D$11),-1,IF(AND(#REF!&gt;=table!$E$11,#REF!&lt;=table!$F$11),1,0))</f>
        <v>#REF!</v>
      </c>
      <c r="W2180" s="5" t="e">
        <f>CONCATENATE(dados[[#This Row],[fator1]],dados[[#This Row],[fator5]],dados[[#This Row],[fator6]])</f>
        <v>#REF!</v>
      </c>
    </row>
    <row r="2181" spans="1:23">
      <c r="A2181" t="s">
        <v>17</v>
      </c>
      <c r="B2181">
        <v>487135</v>
      </c>
      <c r="C2181">
        <v>8</v>
      </c>
      <c r="D2181">
        <v>30</v>
      </c>
      <c r="E2181">
        <v>153</v>
      </c>
      <c r="F2181">
        <v>2</v>
      </c>
      <c r="G2181">
        <v>20</v>
      </c>
      <c r="H2181">
        <v>18</v>
      </c>
      <c r="I2181">
        <v>0</v>
      </c>
      <c r="J2181">
        <v>0</v>
      </c>
      <c r="K2181">
        <v>3.9245000000000001</v>
      </c>
      <c r="L2181">
        <v>11.459000000000001</v>
      </c>
      <c r="M2181">
        <v>125.89750000000001</v>
      </c>
      <c r="N2181">
        <v>12.645000000000001</v>
      </c>
      <c r="O2181">
        <v>1690</v>
      </c>
      <c r="P2181">
        <v>0</v>
      </c>
      <c r="Q2181" s="5" t="e">
        <f>IF(AND(#REF!&gt;=table!$C$6,#REF!&lt;= table!$D$6),-1,IF(AND(#REF!&gt;=table!$E$6,#REF!&lt;=table!$F$6),1,0))</f>
        <v>#REF!</v>
      </c>
      <c r="R2181" s="5" t="e">
        <f>IF(AND(#REF!&gt;=table!$C$7,#REF!&lt;= table!$D$7),-1,IF(AND(#REF!&gt;=table!$E$7,#REF!&lt;=table!$F$7),1,0))</f>
        <v>#REF!</v>
      </c>
      <c r="S2181" s="5" t="e">
        <f>IF(AND(#REF!&gt;=table!$C$8,#REF!&lt;= table!$D$8),-1,IF(AND(#REF!&gt;=table!$E$8,#REF!&lt;=table!$F$8),1,0))</f>
        <v>#REF!</v>
      </c>
      <c r="T2181" s="5"/>
      <c r="U2181" s="5" t="e">
        <f>IF(AND(#REF!&gt;=table!$C$10,#REF!&lt;= table!$D$10),-1,IF(AND(#REF!&gt;=table!$E$10,#REF!&lt;=table!$F$10),1,0))</f>
        <v>#REF!</v>
      </c>
      <c r="V2181" s="5" t="e">
        <f>IF(AND(#REF!&gt;=table!$C$11,#REF!&lt;= table!$D$11),-1,IF(AND(#REF!&gt;=table!$E$11,#REF!&lt;=table!$F$11),1,0))</f>
        <v>#REF!</v>
      </c>
      <c r="W2181" s="5" t="e">
        <f>CONCATENATE(dados[[#This Row],[fator1]],dados[[#This Row],[fator5]],dados[[#This Row],[fator6]])</f>
        <v>#REF!</v>
      </c>
    </row>
    <row r="2182" spans="1:23">
      <c r="A2182" t="s">
        <v>17</v>
      </c>
      <c r="B2182">
        <v>487142</v>
      </c>
      <c r="C2182">
        <v>8</v>
      </c>
      <c r="D2182">
        <v>30</v>
      </c>
      <c r="E2182">
        <v>153</v>
      </c>
      <c r="F2182">
        <v>2</v>
      </c>
      <c r="G2182">
        <v>20</v>
      </c>
      <c r="H2182">
        <v>18</v>
      </c>
      <c r="I2182">
        <v>383</v>
      </c>
      <c r="J2182">
        <v>0</v>
      </c>
      <c r="K2182">
        <v>3.3145000000000002</v>
      </c>
      <c r="L2182">
        <v>6.2735000000000003</v>
      </c>
      <c r="M2182">
        <v>130.352</v>
      </c>
      <c r="N2182">
        <v>11.44</v>
      </c>
      <c r="O2182">
        <v>1692</v>
      </c>
      <c r="P2182">
        <v>1205</v>
      </c>
      <c r="Q2182" s="5" t="e">
        <f>IF(AND(#REF!&gt;=table!$C$6,#REF!&lt;= table!$D$6),-1,IF(AND(#REF!&gt;=table!$E$6,#REF!&lt;=table!$F$6),1,0))</f>
        <v>#REF!</v>
      </c>
      <c r="R2182" s="5" t="e">
        <f>IF(AND(#REF!&gt;=table!$C$7,#REF!&lt;= table!$D$7),-1,IF(AND(#REF!&gt;=table!$E$7,#REF!&lt;=table!$F$7),1,0))</f>
        <v>#REF!</v>
      </c>
      <c r="S2182" s="5" t="e">
        <f>IF(AND(#REF!&gt;=table!$C$8,#REF!&lt;= table!$D$8),-1,IF(AND(#REF!&gt;=table!$E$8,#REF!&lt;=table!$F$8),1,0))</f>
        <v>#REF!</v>
      </c>
      <c r="T2182" s="5"/>
      <c r="U2182" s="5" t="e">
        <f>IF(AND(#REF!&gt;=table!$C$10,#REF!&lt;= table!$D$10),-1,IF(AND(#REF!&gt;=table!$E$10,#REF!&lt;=table!$F$10),1,0))</f>
        <v>#REF!</v>
      </c>
      <c r="V2182" s="5" t="e">
        <f>IF(AND(#REF!&gt;=table!$C$11,#REF!&lt;= table!$D$11),-1,IF(AND(#REF!&gt;=table!$E$11,#REF!&lt;=table!$F$11),1,0))</f>
        <v>#REF!</v>
      </c>
      <c r="W2182" s="5" t="e">
        <f>CONCATENATE(dados[[#This Row],[fator1]],dados[[#This Row],[fator5]],dados[[#This Row],[fator6]])</f>
        <v>#REF!</v>
      </c>
    </row>
    <row r="2183" spans="1:23">
      <c r="A2183" t="s">
        <v>17</v>
      </c>
      <c r="B2183">
        <v>487143</v>
      </c>
      <c r="C2183">
        <v>8</v>
      </c>
      <c r="D2183">
        <v>30</v>
      </c>
      <c r="E2183">
        <v>153</v>
      </c>
      <c r="F2183">
        <v>2</v>
      </c>
      <c r="G2183">
        <v>20</v>
      </c>
      <c r="H2183">
        <v>18</v>
      </c>
      <c r="I2183">
        <v>363</v>
      </c>
      <c r="J2183">
        <v>0</v>
      </c>
      <c r="K2183">
        <v>3.5050000000000003</v>
      </c>
      <c r="L2183">
        <v>5.0315000000000003</v>
      </c>
      <c r="M2183">
        <v>140.59050000000002</v>
      </c>
      <c r="N2183">
        <v>10.39</v>
      </c>
      <c r="O2183">
        <v>1667</v>
      </c>
      <c r="P2183">
        <v>0</v>
      </c>
      <c r="Q2183" s="5" t="e">
        <f>IF(AND(#REF!&gt;=table!$C$6,#REF!&lt;= table!$D$6),-1,IF(AND(#REF!&gt;=table!$E$6,#REF!&lt;=table!$F$6),1,0))</f>
        <v>#REF!</v>
      </c>
      <c r="R2183" s="5" t="e">
        <f>IF(AND(#REF!&gt;=table!$C$7,#REF!&lt;= table!$D$7),-1,IF(AND(#REF!&gt;=table!$E$7,#REF!&lt;=table!$F$7),1,0))</f>
        <v>#REF!</v>
      </c>
      <c r="S2183" s="5" t="e">
        <f>IF(AND(#REF!&gt;=table!$C$8,#REF!&lt;= table!$D$8),-1,IF(AND(#REF!&gt;=table!$E$8,#REF!&lt;=table!$F$8),1,0))</f>
        <v>#REF!</v>
      </c>
      <c r="T2183" s="5"/>
      <c r="U2183" s="5" t="e">
        <f>IF(AND(#REF!&gt;=table!$C$10,#REF!&lt;= table!$D$10),-1,IF(AND(#REF!&gt;=table!$E$10,#REF!&lt;=table!$F$10),1,0))</f>
        <v>#REF!</v>
      </c>
      <c r="V2183" s="5" t="e">
        <f>IF(AND(#REF!&gt;=table!$C$11,#REF!&lt;= table!$D$11),-1,IF(AND(#REF!&gt;=table!$E$11,#REF!&lt;=table!$F$11),1,0))</f>
        <v>#REF!</v>
      </c>
      <c r="W2183" s="5" t="e">
        <f>CONCATENATE(dados[[#This Row],[fator1]],dados[[#This Row],[fator5]],dados[[#This Row],[fator6]])</f>
        <v>#REF!</v>
      </c>
    </row>
    <row r="2184" spans="1:23">
      <c r="A2184" t="s">
        <v>17</v>
      </c>
      <c r="B2184">
        <v>487145</v>
      </c>
      <c r="C2184">
        <v>8</v>
      </c>
      <c r="D2184">
        <v>30</v>
      </c>
      <c r="E2184">
        <v>153</v>
      </c>
      <c r="F2184">
        <v>2</v>
      </c>
      <c r="G2184">
        <v>20</v>
      </c>
      <c r="H2184">
        <v>18</v>
      </c>
      <c r="I2184">
        <v>37</v>
      </c>
      <c r="J2184">
        <v>0</v>
      </c>
      <c r="K2184">
        <v>3.8385000000000002</v>
      </c>
      <c r="L2184">
        <v>6.0390000000000006</v>
      </c>
      <c r="M2184">
        <v>134.595</v>
      </c>
      <c r="N2184">
        <v>11.02</v>
      </c>
      <c r="O2184">
        <v>1675</v>
      </c>
      <c r="P2184">
        <v>0</v>
      </c>
      <c r="Q2184" s="5" t="e">
        <f>IF(AND(#REF!&gt;=table!$C$6,#REF!&lt;= table!$D$6),-1,IF(AND(#REF!&gt;=table!$E$6,#REF!&lt;=table!$F$6),1,0))</f>
        <v>#REF!</v>
      </c>
      <c r="R2184" s="5" t="e">
        <f>IF(AND(#REF!&gt;=table!$C$7,#REF!&lt;= table!$D$7),-1,IF(AND(#REF!&gt;=table!$E$7,#REF!&lt;=table!$F$7),1,0))</f>
        <v>#REF!</v>
      </c>
      <c r="S2184" s="5" t="e">
        <f>IF(AND(#REF!&gt;=table!$C$8,#REF!&lt;= table!$D$8),-1,IF(AND(#REF!&gt;=table!$E$8,#REF!&lt;=table!$F$8),1,0))</f>
        <v>#REF!</v>
      </c>
      <c r="T2184" s="5"/>
      <c r="U2184" s="5" t="e">
        <f>IF(AND(#REF!&gt;=table!$C$10,#REF!&lt;= table!$D$10),-1,IF(AND(#REF!&gt;=table!$E$10,#REF!&lt;=table!$F$10),1,0))</f>
        <v>#REF!</v>
      </c>
      <c r="V2184" s="5" t="e">
        <f>IF(AND(#REF!&gt;=table!$C$11,#REF!&lt;= table!$D$11),-1,IF(AND(#REF!&gt;=table!$E$11,#REF!&lt;=table!$F$11),1,0))</f>
        <v>#REF!</v>
      </c>
      <c r="W2184" s="5" t="e">
        <f>CONCATENATE(dados[[#This Row],[fator1]],dados[[#This Row],[fator5]],dados[[#This Row],[fator6]])</f>
        <v>#REF!</v>
      </c>
    </row>
    <row r="2185" spans="1:23">
      <c r="A2185" t="s">
        <v>17</v>
      </c>
      <c r="B2185">
        <v>487146</v>
      </c>
      <c r="C2185">
        <v>8</v>
      </c>
      <c r="D2185">
        <v>30</v>
      </c>
      <c r="E2185">
        <v>153</v>
      </c>
      <c r="F2185">
        <v>2</v>
      </c>
      <c r="G2185">
        <v>20</v>
      </c>
      <c r="H2185">
        <v>18</v>
      </c>
      <c r="I2185">
        <v>1</v>
      </c>
      <c r="J2185">
        <v>0</v>
      </c>
      <c r="K2185">
        <v>3.6305000000000001</v>
      </c>
      <c r="L2185">
        <v>6.6605000000000008</v>
      </c>
      <c r="M2185">
        <v>140.56450000000001</v>
      </c>
      <c r="N2185">
        <v>9.14</v>
      </c>
      <c r="O2185">
        <v>1671</v>
      </c>
      <c r="P2185">
        <v>1162</v>
      </c>
      <c r="Q2185" s="5" t="e">
        <f>IF(AND(#REF!&gt;=table!$C$6,#REF!&lt;= table!$D$6),-1,IF(AND(#REF!&gt;=table!$E$6,#REF!&lt;=table!$F$6),1,0))</f>
        <v>#REF!</v>
      </c>
      <c r="R2185" s="5" t="e">
        <f>IF(AND(#REF!&gt;=table!$C$7,#REF!&lt;= table!$D$7),-1,IF(AND(#REF!&gt;=table!$E$7,#REF!&lt;=table!$F$7),1,0))</f>
        <v>#REF!</v>
      </c>
      <c r="S2185" s="5" t="e">
        <f>IF(AND(#REF!&gt;=table!$C$8,#REF!&lt;= table!$D$8),-1,IF(AND(#REF!&gt;=table!$E$8,#REF!&lt;=table!$F$8),1,0))</f>
        <v>#REF!</v>
      </c>
      <c r="T2185" s="5"/>
      <c r="U2185" s="5" t="e">
        <f>IF(AND(#REF!&gt;=table!$C$10,#REF!&lt;= table!$D$10),-1,IF(AND(#REF!&gt;=table!$E$10,#REF!&lt;=table!$F$10),1,0))</f>
        <v>#REF!</v>
      </c>
      <c r="V2185" s="5" t="e">
        <f>IF(AND(#REF!&gt;=table!$C$11,#REF!&lt;= table!$D$11),-1,IF(AND(#REF!&gt;=table!$E$11,#REF!&lt;=table!$F$11),1,0))</f>
        <v>#REF!</v>
      </c>
      <c r="W2185" s="5" t="e">
        <f>CONCATENATE(dados[[#This Row],[fator1]],dados[[#This Row],[fator5]],dados[[#This Row],[fator6]])</f>
        <v>#REF!</v>
      </c>
    </row>
    <row r="2186" spans="1:23">
      <c r="A2186" t="s">
        <v>17</v>
      </c>
      <c r="B2186">
        <v>487148</v>
      </c>
      <c r="C2186">
        <v>8</v>
      </c>
      <c r="D2186">
        <v>30</v>
      </c>
      <c r="E2186">
        <v>153</v>
      </c>
      <c r="F2186">
        <v>2</v>
      </c>
      <c r="G2186">
        <v>20</v>
      </c>
      <c r="H2186">
        <v>18</v>
      </c>
      <c r="I2186">
        <v>657</v>
      </c>
      <c r="J2186">
        <v>0</v>
      </c>
      <c r="K2186">
        <v>4.2130000000000001</v>
      </c>
      <c r="L2186">
        <v>9.702</v>
      </c>
      <c r="M2186">
        <v>135.58199999999999</v>
      </c>
      <c r="N2186">
        <v>12.235000000000001</v>
      </c>
      <c r="O2186">
        <v>1663</v>
      </c>
      <c r="P2186">
        <v>871</v>
      </c>
      <c r="Q2186" s="5" t="e">
        <f>IF(AND(#REF!&gt;=table!$C$6,#REF!&lt;= table!$D$6),-1,IF(AND(#REF!&gt;=table!$E$6,#REF!&lt;=table!$F$6),1,0))</f>
        <v>#REF!</v>
      </c>
      <c r="R2186" s="5" t="e">
        <f>IF(AND(#REF!&gt;=table!$C$7,#REF!&lt;= table!$D$7),-1,IF(AND(#REF!&gt;=table!$E$7,#REF!&lt;=table!$F$7),1,0))</f>
        <v>#REF!</v>
      </c>
      <c r="S2186" s="5" t="e">
        <f>IF(AND(#REF!&gt;=table!$C$8,#REF!&lt;= table!$D$8),-1,IF(AND(#REF!&gt;=table!$E$8,#REF!&lt;=table!$F$8),1,0))</f>
        <v>#REF!</v>
      </c>
      <c r="T2186" s="5"/>
      <c r="U2186" s="5" t="e">
        <f>IF(AND(#REF!&gt;=table!$C$10,#REF!&lt;= table!$D$10),-1,IF(AND(#REF!&gt;=table!$E$10,#REF!&lt;=table!$F$10),1,0))</f>
        <v>#REF!</v>
      </c>
      <c r="V2186" s="5" t="e">
        <f>IF(AND(#REF!&gt;=table!$C$11,#REF!&lt;= table!$D$11),-1,IF(AND(#REF!&gt;=table!$E$11,#REF!&lt;=table!$F$11),1,0))</f>
        <v>#REF!</v>
      </c>
      <c r="W2186" s="5" t="e">
        <f>CONCATENATE(dados[[#This Row],[fator1]],dados[[#This Row],[fator5]],dados[[#This Row],[fator6]])</f>
        <v>#REF!</v>
      </c>
    </row>
    <row r="2187" spans="1:23">
      <c r="A2187" t="s">
        <v>16</v>
      </c>
      <c r="B2187">
        <v>487154</v>
      </c>
      <c r="C2187">
        <v>12</v>
      </c>
      <c r="D2187">
        <v>35</v>
      </c>
      <c r="E2187">
        <v>86</v>
      </c>
      <c r="F2187">
        <v>10</v>
      </c>
      <c r="G2187">
        <v>0</v>
      </c>
      <c r="H2187">
        <v>25</v>
      </c>
      <c r="I2187">
        <v>971</v>
      </c>
      <c r="J2187">
        <v>780</v>
      </c>
      <c r="K2187">
        <v>6.26</v>
      </c>
      <c r="L2187">
        <v>9.1780000000000008</v>
      </c>
      <c r="M2187">
        <v>20.246000000000002</v>
      </c>
      <c r="N2187">
        <v>6.1850000000000005</v>
      </c>
      <c r="O2187">
        <v>1643</v>
      </c>
      <c r="P2187">
        <v>0</v>
      </c>
      <c r="Q2187" s="5" t="e">
        <f>IF(AND(#REF!&gt;=table!$C$6,#REF!&lt;= table!$D$6),-1,IF(AND(#REF!&gt;=table!$E$6,#REF!&lt;=table!$F$6),1,0))</f>
        <v>#REF!</v>
      </c>
      <c r="R2187" s="5" t="e">
        <f>IF(AND(#REF!&gt;=table!$C$7,#REF!&lt;= table!$D$7),-1,IF(AND(#REF!&gt;=table!$E$7,#REF!&lt;=table!$F$7),1,0))</f>
        <v>#REF!</v>
      </c>
      <c r="S2187" s="5" t="e">
        <f>IF(AND(#REF!&gt;=table!$C$8,#REF!&lt;= table!$D$8),-1,IF(AND(#REF!&gt;=table!$E$8,#REF!&lt;=table!$F$8),1,0))</f>
        <v>#REF!</v>
      </c>
      <c r="T2187" s="5"/>
      <c r="U2187" s="5" t="e">
        <f>IF(AND(#REF!&gt;=table!$C$10,#REF!&lt;= table!$D$10),-1,IF(AND(#REF!&gt;=table!$E$10,#REF!&lt;=table!$F$10),1,0))</f>
        <v>#REF!</v>
      </c>
      <c r="V2187" s="5" t="e">
        <f>IF(AND(#REF!&gt;=table!$C$11,#REF!&lt;= table!$D$11),-1,IF(AND(#REF!&gt;=table!$E$11,#REF!&lt;=table!$F$11),1,0))</f>
        <v>#REF!</v>
      </c>
      <c r="W2187" s="5" t="e">
        <f>CONCATENATE(dados[[#This Row],[fator1]],dados[[#This Row],[fator5]],dados[[#This Row],[fator6]])</f>
        <v>#REF!</v>
      </c>
    </row>
    <row r="2188" spans="1:23">
      <c r="A2188" t="s">
        <v>16</v>
      </c>
      <c r="B2188">
        <v>487164</v>
      </c>
      <c r="C2188">
        <v>16</v>
      </c>
      <c r="D2188">
        <v>35</v>
      </c>
      <c r="E2188">
        <v>36</v>
      </c>
      <c r="F2188">
        <v>10</v>
      </c>
      <c r="G2188">
        <v>0</v>
      </c>
      <c r="H2188">
        <v>25</v>
      </c>
      <c r="I2188">
        <v>10</v>
      </c>
      <c r="J2188">
        <v>0</v>
      </c>
      <c r="K2188">
        <v>7.79</v>
      </c>
      <c r="L2188">
        <v>13.723000000000001</v>
      </c>
      <c r="M2188">
        <v>32.062000000000005</v>
      </c>
      <c r="N2188">
        <v>13.18</v>
      </c>
      <c r="O2188">
        <v>1666</v>
      </c>
      <c r="P2188">
        <v>478</v>
      </c>
      <c r="Q2188" s="5" t="e">
        <f>IF(AND(#REF!&gt;=table!$C$6,#REF!&lt;= table!$D$6),-1,IF(AND(#REF!&gt;=table!$E$6,#REF!&lt;=table!$F$6),1,0))</f>
        <v>#REF!</v>
      </c>
      <c r="R2188" s="5" t="e">
        <f>IF(AND(#REF!&gt;=table!$C$7,#REF!&lt;= table!$D$7),-1,IF(AND(#REF!&gt;=table!$E$7,#REF!&lt;=table!$F$7),1,0))</f>
        <v>#REF!</v>
      </c>
      <c r="S2188" s="5" t="e">
        <f>IF(AND(#REF!&gt;=table!$C$8,#REF!&lt;= table!$D$8),-1,IF(AND(#REF!&gt;=table!$E$8,#REF!&lt;=table!$F$8),1,0))</f>
        <v>#REF!</v>
      </c>
      <c r="T2188" s="5"/>
      <c r="U2188" s="5" t="e">
        <f>IF(AND(#REF!&gt;=table!$C$10,#REF!&lt;= table!$D$10),-1,IF(AND(#REF!&gt;=table!$E$10,#REF!&lt;=table!$F$10),1,0))</f>
        <v>#REF!</v>
      </c>
      <c r="V2188" s="5" t="e">
        <f>IF(AND(#REF!&gt;=table!$C$11,#REF!&lt;= table!$D$11),-1,IF(AND(#REF!&gt;=table!$E$11,#REF!&lt;=table!$F$11),1,0))</f>
        <v>#REF!</v>
      </c>
      <c r="W2188" s="5" t="e">
        <f>CONCATENATE(dados[[#This Row],[fator1]],dados[[#This Row],[fator5]],dados[[#This Row],[fator6]])</f>
        <v>#REF!</v>
      </c>
    </row>
    <row r="2189" spans="1:23">
      <c r="A2189" t="s">
        <v>16</v>
      </c>
      <c r="B2189">
        <v>487165</v>
      </c>
      <c r="C2189">
        <v>16</v>
      </c>
      <c r="D2189">
        <v>35</v>
      </c>
      <c r="E2189">
        <v>36</v>
      </c>
      <c r="F2189">
        <v>10</v>
      </c>
      <c r="G2189">
        <v>0</v>
      </c>
      <c r="H2189">
        <v>25</v>
      </c>
      <c r="I2189">
        <v>1207</v>
      </c>
      <c r="J2189">
        <v>0</v>
      </c>
      <c r="K2189">
        <v>7.282</v>
      </c>
      <c r="L2189">
        <v>18.9405</v>
      </c>
      <c r="M2189">
        <v>40.170999999999999</v>
      </c>
      <c r="N2189">
        <v>20.330000000000002</v>
      </c>
      <c r="O2189">
        <v>1670</v>
      </c>
      <c r="P2189">
        <v>448</v>
      </c>
      <c r="Q2189" s="5" t="e">
        <f>IF(AND(#REF!&gt;=table!$C$6,#REF!&lt;= table!$D$6),-1,IF(AND(#REF!&gt;=table!$E$6,#REF!&lt;=table!$F$6),1,0))</f>
        <v>#REF!</v>
      </c>
      <c r="R2189" s="5" t="e">
        <f>IF(AND(#REF!&gt;=table!$C$7,#REF!&lt;= table!$D$7),-1,IF(AND(#REF!&gt;=table!$E$7,#REF!&lt;=table!$F$7),1,0))</f>
        <v>#REF!</v>
      </c>
      <c r="S2189" s="5" t="e">
        <f>IF(AND(#REF!&gt;=table!$C$8,#REF!&lt;= table!$D$8),-1,IF(AND(#REF!&gt;=table!$E$8,#REF!&lt;=table!$F$8),1,0))</f>
        <v>#REF!</v>
      </c>
      <c r="T2189" s="5"/>
      <c r="U2189" s="5" t="e">
        <f>IF(AND(#REF!&gt;=table!$C$10,#REF!&lt;= table!$D$10),-1,IF(AND(#REF!&gt;=table!$E$10,#REF!&lt;=table!$F$10),1,0))</f>
        <v>#REF!</v>
      </c>
      <c r="V2189" s="5" t="e">
        <f>IF(AND(#REF!&gt;=table!$C$11,#REF!&lt;= table!$D$11),-1,IF(AND(#REF!&gt;=table!$E$11,#REF!&lt;=table!$F$11),1,0))</f>
        <v>#REF!</v>
      </c>
      <c r="W2189" s="5" t="e">
        <f>CONCATENATE(dados[[#This Row],[fator1]],dados[[#This Row],[fator5]],dados[[#This Row],[fator6]])</f>
        <v>#REF!</v>
      </c>
    </row>
    <row r="2190" spans="1:23">
      <c r="A2190" t="s">
        <v>16</v>
      </c>
      <c r="B2190">
        <v>487169</v>
      </c>
      <c r="C2190">
        <v>0.15</v>
      </c>
      <c r="D2190">
        <v>40</v>
      </c>
      <c r="E2190">
        <v>10</v>
      </c>
      <c r="F2190">
        <v>15</v>
      </c>
      <c r="G2190">
        <v>0</v>
      </c>
      <c r="H2190">
        <v>15</v>
      </c>
      <c r="I2190">
        <v>11</v>
      </c>
      <c r="J2190">
        <v>0</v>
      </c>
      <c r="K2190">
        <v>4.6225000000000005</v>
      </c>
      <c r="L2190">
        <v>11.3795</v>
      </c>
      <c r="M2190">
        <v>10.477</v>
      </c>
      <c r="N2190">
        <v>10.205</v>
      </c>
      <c r="O2190">
        <v>1671</v>
      </c>
      <c r="P2190">
        <v>740</v>
      </c>
      <c r="Q2190" s="5" t="e">
        <f>IF(AND(#REF!&gt;=table!$C$6,#REF!&lt;= table!$D$6),-1,IF(AND(#REF!&gt;=table!$E$6,#REF!&lt;=table!$F$6),1,0))</f>
        <v>#REF!</v>
      </c>
      <c r="R2190" s="5" t="e">
        <f>IF(AND(#REF!&gt;=table!$C$7,#REF!&lt;= table!$D$7),-1,IF(AND(#REF!&gt;=table!$E$7,#REF!&lt;=table!$F$7),1,0))</f>
        <v>#REF!</v>
      </c>
      <c r="S2190" s="5" t="e">
        <f>IF(AND(#REF!&gt;=table!$C$8,#REF!&lt;= table!$D$8),-1,IF(AND(#REF!&gt;=table!$E$8,#REF!&lt;=table!$F$8),1,0))</f>
        <v>#REF!</v>
      </c>
      <c r="T2190" s="5"/>
      <c r="U2190" s="5" t="e">
        <f>IF(AND(#REF!&gt;=table!$C$10,#REF!&lt;= table!$D$10),-1,IF(AND(#REF!&gt;=table!$E$10,#REF!&lt;=table!$F$10),1,0))</f>
        <v>#REF!</v>
      </c>
      <c r="V2190" s="5" t="e">
        <f>IF(AND(#REF!&gt;=table!$C$11,#REF!&lt;= table!$D$11),-1,IF(AND(#REF!&gt;=table!$E$11,#REF!&lt;=table!$F$11),1,0))</f>
        <v>#REF!</v>
      </c>
      <c r="W2190" s="5" t="e">
        <f>CONCATENATE(dados[[#This Row],[fator1]],dados[[#This Row],[fator5]],dados[[#This Row],[fator6]])</f>
        <v>#REF!</v>
      </c>
    </row>
    <row r="2191" spans="1:23">
      <c r="A2191" t="s">
        <v>16</v>
      </c>
      <c r="B2191">
        <v>487172</v>
      </c>
      <c r="C2191">
        <v>0.15</v>
      </c>
      <c r="D2191">
        <v>40</v>
      </c>
      <c r="E2191">
        <v>10</v>
      </c>
      <c r="F2191">
        <v>15</v>
      </c>
      <c r="G2191">
        <v>0</v>
      </c>
      <c r="H2191">
        <v>15</v>
      </c>
      <c r="I2191">
        <v>661</v>
      </c>
      <c r="J2191">
        <v>0</v>
      </c>
      <c r="K2191">
        <v>5.0425000000000004</v>
      </c>
      <c r="L2191">
        <v>5.5049999999999999</v>
      </c>
      <c r="M2191">
        <v>5.2625000000000002</v>
      </c>
      <c r="N2191">
        <v>9.120000000000001</v>
      </c>
      <c r="O2191">
        <v>1685</v>
      </c>
      <c r="P2191">
        <v>959</v>
      </c>
      <c r="Q2191" s="5" t="e">
        <f>IF(AND(#REF!&gt;=table!$C$6,#REF!&lt;= table!$D$6),-1,IF(AND(#REF!&gt;=table!$E$6,#REF!&lt;=table!$F$6),1,0))</f>
        <v>#REF!</v>
      </c>
      <c r="R2191" s="5" t="e">
        <f>IF(AND(#REF!&gt;=table!$C$7,#REF!&lt;= table!$D$7),-1,IF(AND(#REF!&gt;=table!$E$7,#REF!&lt;=table!$F$7),1,0))</f>
        <v>#REF!</v>
      </c>
      <c r="S2191" s="5" t="e">
        <f>IF(AND(#REF!&gt;=table!$C$8,#REF!&lt;= table!$D$8),-1,IF(AND(#REF!&gt;=table!$E$8,#REF!&lt;=table!$F$8),1,0))</f>
        <v>#REF!</v>
      </c>
      <c r="T2191" s="5"/>
      <c r="U2191" s="5" t="e">
        <f>IF(AND(#REF!&gt;=table!$C$10,#REF!&lt;= table!$D$10),-1,IF(AND(#REF!&gt;=table!$E$10,#REF!&lt;=table!$F$10),1,0))</f>
        <v>#REF!</v>
      </c>
      <c r="V2191" s="5" t="e">
        <f>IF(AND(#REF!&gt;=table!$C$11,#REF!&lt;= table!$D$11),-1,IF(AND(#REF!&gt;=table!$E$11,#REF!&lt;=table!$F$11),1,0))</f>
        <v>#REF!</v>
      </c>
      <c r="W2191" s="5" t="e">
        <f>CONCATENATE(dados[[#This Row],[fator1]],dados[[#This Row],[fator5]],dados[[#This Row],[fator6]])</f>
        <v>#REF!</v>
      </c>
    </row>
    <row r="2192" spans="1:23">
      <c r="A2192" t="s">
        <v>16</v>
      </c>
      <c r="B2192">
        <v>487173</v>
      </c>
      <c r="C2192">
        <v>0.15</v>
      </c>
      <c r="D2192">
        <v>40</v>
      </c>
      <c r="E2192">
        <v>10</v>
      </c>
      <c r="F2192">
        <v>15</v>
      </c>
      <c r="G2192">
        <v>0</v>
      </c>
      <c r="H2192">
        <v>15</v>
      </c>
      <c r="I2192">
        <v>727</v>
      </c>
      <c r="J2192">
        <v>0</v>
      </c>
      <c r="K2192">
        <v>5.5395000000000003</v>
      </c>
      <c r="L2192">
        <v>7.5070000000000006</v>
      </c>
      <c r="M2192">
        <v>6.8455000000000004</v>
      </c>
      <c r="N2192">
        <v>8.9749999999999996</v>
      </c>
      <c r="O2192">
        <v>1670</v>
      </c>
      <c r="P2192">
        <v>765</v>
      </c>
      <c r="Q2192" s="5" t="e">
        <f>IF(AND(#REF!&gt;=table!$C$6,#REF!&lt;= table!$D$6),-1,IF(AND(#REF!&gt;=table!$E$6,#REF!&lt;=table!$F$6),1,0))</f>
        <v>#REF!</v>
      </c>
      <c r="R2192" s="5" t="e">
        <f>IF(AND(#REF!&gt;=table!$C$7,#REF!&lt;= table!$D$7),-1,IF(AND(#REF!&gt;=table!$E$7,#REF!&lt;=table!$F$7),1,0))</f>
        <v>#REF!</v>
      </c>
      <c r="S2192" s="5" t="e">
        <f>IF(AND(#REF!&gt;=table!$C$8,#REF!&lt;= table!$D$8),-1,IF(AND(#REF!&gt;=table!$E$8,#REF!&lt;=table!$F$8),1,0))</f>
        <v>#REF!</v>
      </c>
      <c r="T2192" s="5"/>
      <c r="U2192" s="5" t="e">
        <f>IF(AND(#REF!&gt;=table!$C$10,#REF!&lt;= table!$D$10),-1,IF(AND(#REF!&gt;=table!$E$10,#REF!&lt;=table!$F$10),1,0))</f>
        <v>#REF!</v>
      </c>
      <c r="V2192" s="5" t="e">
        <f>IF(AND(#REF!&gt;=table!$C$11,#REF!&lt;= table!$D$11),-1,IF(AND(#REF!&gt;=table!$E$11,#REF!&lt;=table!$F$11),1,0))</f>
        <v>#REF!</v>
      </c>
      <c r="W2192" s="5" t="e">
        <f>CONCATENATE(dados[[#This Row],[fator1]],dados[[#This Row],[fator5]],dados[[#This Row],[fator6]])</f>
        <v>#REF!</v>
      </c>
    </row>
    <row r="2193" spans="1:23">
      <c r="A2193" t="s">
        <v>17</v>
      </c>
      <c r="B2193">
        <v>487174</v>
      </c>
      <c r="C2193">
        <v>16</v>
      </c>
      <c r="D2193">
        <v>30</v>
      </c>
      <c r="E2193">
        <v>116</v>
      </c>
      <c r="F2193">
        <v>6</v>
      </c>
      <c r="G2193">
        <v>20</v>
      </c>
      <c r="H2193">
        <v>25</v>
      </c>
      <c r="I2193">
        <v>794</v>
      </c>
      <c r="J2193">
        <v>0</v>
      </c>
      <c r="K2193">
        <v>5.7880000000000003</v>
      </c>
      <c r="L2193">
        <v>15.934000000000001</v>
      </c>
      <c r="M2193">
        <v>101.87350000000001</v>
      </c>
      <c r="N2193">
        <v>17.015000000000001</v>
      </c>
      <c r="O2193">
        <v>1693</v>
      </c>
      <c r="P2193">
        <v>619</v>
      </c>
      <c r="Q2193" s="5" t="e">
        <f>IF(AND(#REF!&gt;=table!$C$6,#REF!&lt;= table!$D$6),-1,IF(AND(#REF!&gt;=table!$E$6,#REF!&lt;=table!$F$6),1,0))</f>
        <v>#REF!</v>
      </c>
      <c r="R2193" s="5" t="e">
        <f>IF(AND(#REF!&gt;=table!$C$7,#REF!&lt;= table!$D$7),-1,IF(AND(#REF!&gt;=table!$E$7,#REF!&lt;=table!$F$7),1,0))</f>
        <v>#REF!</v>
      </c>
      <c r="S2193" s="5" t="e">
        <f>IF(AND(#REF!&gt;=table!$C$8,#REF!&lt;= table!$D$8),-1,IF(AND(#REF!&gt;=table!$E$8,#REF!&lt;=table!$F$8),1,0))</f>
        <v>#REF!</v>
      </c>
      <c r="T2193" s="5"/>
      <c r="U2193" s="5" t="e">
        <f>IF(AND(#REF!&gt;=table!$C$10,#REF!&lt;= table!$D$10),-1,IF(AND(#REF!&gt;=table!$E$10,#REF!&lt;=table!$F$10),1,0))</f>
        <v>#REF!</v>
      </c>
      <c r="V2193" s="5" t="e">
        <f>IF(AND(#REF!&gt;=table!$C$11,#REF!&lt;= table!$D$11),-1,IF(AND(#REF!&gt;=table!$E$11,#REF!&lt;=table!$F$11),1,0))</f>
        <v>#REF!</v>
      </c>
      <c r="W2193" s="5" t="e">
        <f>CONCATENATE(dados[[#This Row],[fator1]],dados[[#This Row],[fator5]],dados[[#This Row],[fator6]])</f>
        <v>#REF!</v>
      </c>
    </row>
    <row r="2194" spans="1:23">
      <c r="A2194" t="s">
        <v>17</v>
      </c>
      <c r="B2194">
        <v>487178</v>
      </c>
      <c r="C2194">
        <v>16</v>
      </c>
      <c r="D2194">
        <v>30</v>
      </c>
      <c r="E2194">
        <v>106</v>
      </c>
      <c r="F2194">
        <v>9</v>
      </c>
      <c r="G2194">
        <v>20</v>
      </c>
      <c r="H2194">
        <v>25</v>
      </c>
      <c r="I2194">
        <v>890</v>
      </c>
      <c r="J2194">
        <v>0</v>
      </c>
      <c r="K2194">
        <v>4.9830000000000005</v>
      </c>
      <c r="L2194">
        <v>14.26</v>
      </c>
      <c r="M2194">
        <v>98.913499999999999</v>
      </c>
      <c r="N2194">
        <v>17.445</v>
      </c>
      <c r="O2194">
        <v>1672</v>
      </c>
      <c r="P2194">
        <v>905</v>
      </c>
      <c r="Q2194" s="5" t="e">
        <f>IF(AND(#REF!&gt;=table!$C$6,#REF!&lt;= table!$D$6),-1,IF(AND(#REF!&gt;=table!$E$6,#REF!&lt;=table!$F$6),1,0))</f>
        <v>#REF!</v>
      </c>
      <c r="R2194" s="5" t="e">
        <f>IF(AND(#REF!&gt;=table!$C$7,#REF!&lt;= table!$D$7),-1,IF(AND(#REF!&gt;=table!$E$7,#REF!&lt;=table!$F$7),1,0))</f>
        <v>#REF!</v>
      </c>
      <c r="S2194" s="5" t="e">
        <f>IF(AND(#REF!&gt;=table!$C$8,#REF!&lt;= table!$D$8),-1,IF(AND(#REF!&gt;=table!$E$8,#REF!&lt;=table!$F$8),1,0))</f>
        <v>#REF!</v>
      </c>
      <c r="T2194" s="5"/>
      <c r="U2194" s="5" t="e">
        <f>IF(AND(#REF!&gt;=table!$C$10,#REF!&lt;= table!$D$10),-1,IF(AND(#REF!&gt;=table!$E$10,#REF!&lt;=table!$F$10),1,0))</f>
        <v>#REF!</v>
      </c>
      <c r="V2194" s="5" t="e">
        <f>IF(AND(#REF!&gt;=table!$C$11,#REF!&lt;= table!$D$11),-1,IF(AND(#REF!&gt;=table!$E$11,#REF!&lt;=table!$F$11),1,0))</f>
        <v>#REF!</v>
      </c>
      <c r="W2194" s="5" t="e">
        <f>CONCATENATE(dados[[#This Row],[fator1]],dados[[#This Row],[fator5]],dados[[#This Row],[fator6]])</f>
        <v>#REF!</v>
      </c>
    </row>
    <row r="2195" spans="1:23">
      <c r="A2195" t="s">
        <v>17</v>
      </c>
      <c r="B2195">
        <v>487179</v>
      </c>
      <c r="C2195">
        <v>16</v>
      </c>
      <c r="D2195">
        <v>25</v>
      </c>
      <c r="E2195">
        <v>56</v>
      </c>
      <c r="F2195">
        <v>10</v>
      </c>
      <c r="G2195">
        <v>13</v>
      </c>
      <c r="H2195">
        <v>25</v>
      </c>
      <c r="I2195">
        <v>1386</v>
      </c>
      <c r="J2195">
        <v>0</v>
      </c>
      <c r="K2195">
        <v>8.8719999999999999</v>
      </c>
      <c r="L2195">
        <v>18.106999999999999</v>
      </c>
      <c r="M2195">
        <v>58.151000000000003</v>
      </c>
      <c r="N2195">
        <v>16.2</v>
      </c>
      <c r="O2195">
        <v>1664</v>
      </c>
      <c r="P2195">
        <v>362</v>
      </c>
      <c r="Q2195" s="5" t="e">
        <f>IF(AND(#REF!&gt;=table!$C$6,#REF!&lt;= table!$D$6),-1,IF(AND(#REF!&gt;=table!$E$6,#REF!&lt;=table!$F$6),1,0))</f>
        <v>#REF!</v>
      </c>
      <c r="R2195" s="5" t="e">
        <f>IF(AND(#REF!&gt;=table!$C$7,#REF!&lt;= table!$D$7),-1,IF(AND(#REF!&gt;=table!$E$7,#REF!&lt;=table!$F$7),1,0))</f>
        <v>#REF!</v>
      </c>
      <c r="S2195" s="5" t="e">
        <f>IF(AND(#REF!&gt;=table!$C$8,#REF!&lt;= table!$D$8),-1,IF(AND(#REF!&gt;=table!$E$8,#REF!&lt;=table!$F$8),1,0))</f>
        <v>#REF!</v>
      </c>
      <c r="T2195" s="5"/>
      <c r="U2195" s="5" t="e">
        <f>IF(AND(#REF!&gt;=table!$C$10,#REF!&lt;= table!$D$10),-1,IF(AND(#REF!&gt;=table!$E$10,#REF!&lt;=table!$F$10),1,0))</f>
        <v>#REF!</v>
      </c>
      <c r="V2195" s="5" t="e">
        <f>IF(AND(#REF!&gt;=table!$C$11,#REF!&lt;= table!$D$11),-1,IF(AND(#REF!&gt;=table!$E$11,#REF!&lt;=table!$F$11),1,0))</f>
        <v>#REF!</v>
      </c>
      <c r="W2195" s="5" t="e">
        <f>CONCATENATE(dados[[#This Row],[fator1]],dados[[#This Row],[fator5]],dados[[#This Row],[fator6]])</f>
        <v>#REF!</v>
      </c>
    </row>
    <row r="2196" spans="1:23">
      <c r="A2196" t="s">
        <v>17</v>
      </c>
      <c r="B2196">
        <v>487180</v>
      </c>
      <c r="C2196">
        <v>16</v>
      </c>
      <c r="D2196">
        <v>25</v>
      </c>
      <c r="E2196">
        <v>56</v>
      </c>
      <c r="F2196">
        <v>10</v>
      </c>
      <c r="G2196">
        <v>13</v>
      </c>
      <c r="H2196">
        <v>25</v>
      </c>
      <c r="I2196">
        <v>1029</v>
      </c>
      <c r="J2196">
        <v>0</v>
      </c>
      <c r="K2196">
        <v>9.166500000000001</v>
      </c>
      <c r="L2196">
        <v>20.583000000000002</v>
      </c>
      <c r="M2196">
        <v>57.870000000000005</v>
      </c>
      <c r="N2196">
        <v>20.155000000000001</v>
      </c>
      <c r="O2196">
        <v>1673</v>
      </c>
      <c r="P2196">
        <v>348</v>
      </c>
      <c r="Q2196" s="5" t="e">
        <f>IF(AND(#REF!&gt;=table!$C$6,#REF!&lt;= table!$D$6),-1,IF(AND(#REF!&gt;=table!$E$6,#REF!&lt;=table!$F$6),1,0))</f>
        <v>#REF!</v>
      </c>
      <c r="R2196" s="5" t="e">
        <f>IF(AND(#REF!&gt;=table!$C$7,#REF!&lt;= table!$D$7),-1,IF(AND(#REF!&gt;=table!$E$7,#REF!&lt;=table!$F$7),1,0))</f>
        <v>#REF!</v>
      </c>
      <c r="S2196" s="5" t="e">
        <f>IF(AND(#REF!&gt;=table!$C$8,#REF!&lt;= table!$D$8),-1,IF(AND(#REF!&gt;=table!$E$8,#REF!&lt;=table!$F$8),1,0))</f>
        <v>#REF!</v>
      </c>
      <c r="T2196" s="5"/>
      <c r="U2196" s="5" t="e">
        <f>IF(AND(#REF!&gt;=table!$C$10,#REF!&lt;= table!$D$10),-1,IF(AND(#REF!&gt;=table!$E$10,#REF!&lt;=table!$F$10),1,0))</f>
        <v>#REF!</v>
      </c>
      <c r="V2196" s="5" t="e">
        <f>IF(AND(#REF!&gt;=table!$C$11,#REF!&lt;= table!$D$11),-1,IF(AND(#REF!&gt;=table!$E$11,#REF!&lt;=table!$F$11),1,0))</f>
        <v>#REF!</v>
      </c>
      <c r="W2196" s="5" t="e">
        <f>CONCATENATE(dados[[#This Row],[fator1]],dados[[#This Row],[fator5]],dados[[#This Row],[fator6]])</f>
        <v>#REF!</v>
      </c>
    </row>
    <row r="2197" spans="1:23">
      <c r="A2197" t="s">
        <v>16</v>
      </c>
      <c r="B2197">
        <v>487181</v>
      </c>
      <c r="C2197">
        <v>0.15</v>
      </c>
      <c r="D2197">
        <v>40</v>
      </c>
      <c r="E2197">
        <v>10</v>
      </c>
      <c r="F2197">
        <v>15</v>
      </c>
      <c r="G2197">
        <v>0</v>
      </c>
      <c r="H2197">
        <v>15</v>
      </c>
      <c r="I2197">
        <v>909</v>
      </c>
      <c r="J2197">
        <v>0</v>
      </c>
      <c r="K2197">
        <v>5.7345000000000006</v>
      </c>
      <c r="L2197">
        <v>13.957500000000001</v>
      </c>
      <c r="M2197">
        <v>12.208</v>
      </c>
      <c r="N2197">
        <v>15.06</v>
      </c>
      <c r="O2197">
        <v>1674</v>
      </c>
      <c r="P2197">
        <v>0</v>
      </c>
      <c r="Q2197" s="5" t="e">
        <f>IF(AND(#REF!&gt;=table!$C$6,#REF!&lt;= table!$D$6),-1,IF(AND(#REF!&gt;=table!$E$6,#REF!&lt;=table!$F$6),1,0))</f>
        <v>#REF!</v>
      </c>
      <c r="R2197" s="5" t="e">
        <f>IF(AND(#REF!&gt;=table!$C$7,#REF!&lt;= table!$D$7),-1,IF(AND(#REF!&gt;=table!$E$7,#REF!&lt;=table!$F$7),1,0))</f>
        <v>#REF!</v>
      </c>
      <c r="S2197" s="5" t="e">
        <f>IF(AND(#REF!&gt;=table!$C$8,#REF!&lt;= table!$D$8),-1,IF(AND(#REF!&gt;=table!$E$8,#REF!&lt;=table!$F$8),1,0))</f>
        <v>#REF!</v>
      </c>
      <c r="T2197" s="5"/>
      <c r="U2197" s="5" t="e">
        <f>IF(AND(#REF!&gt;=table!$C$10,#REF!&lt;= table!$D$10),-1,IF(AND(#REF!&gt;=table!$E$10,#REF!&lt;=table!$F$10),1,0))</f>
        <v>#REF!</v>
      </c>
      <c r="V2197" s="5" t="e">
        <f>IF(AND(#REF!&gt;=table!$C$11,#REF!&lt;= table!$D$11),-1,IF(AND(#REF!&gt;=table!$E$11,#REF!&lt;=table!$F$11),1,0))</f>
        <v>#REF!</v>
      </c>
      <c r="W2197" s="5" t="e">
        <f>CONCATENATE(dados[[#This Row],[fator1]],dados[[#This Row],[fator5]],dados[[#This Row],[fator6]])</f>
        <v>#REF!</v>
      </c>
    </row>
    <row r="2198" spans="1:23">
      <c r="A2198" t="s">
        <v>16</v>
      </c>
      <c r="B2198">
        <v>487183</v>
      </c>
      <c r="C2198">
        <v>0.23</v>
      </c>
      <c r="D2198">
        <v>65</v>
      </c>
      <c r="E2198">
        <v>26</v>
      </c>
      <c r="F2198">
        <v>15</v>
      </c>
      <c r="G2198">
        <v>0</v>
      </c>
      <c r="H2198">
        <v>35</v>
      </c>
      <c r="I2198">
        <v>962</v>
      </c>
      <c r="J2198">
        <v>0</v>
      </c>
      <c r="K2198">
        <v>7.194</v>
      </c>
      <c r="L2198">
        <v>9.4570000000000007</v>
      </c>
      <c r="M2198">
        <v>9.0165000000000006</v>
      </c>
      <c r="N2198">
        <v>13.265000000000001</v>
      </c>
      <c r="O2198">
        <v>1674</v>
      </c>
      <c r="P2198">
        <v>0</v>
      </c>
      <c r="Q2198" s="5" t="e">
        <f>IF(AND(#REF!&gt;=table!$C$6,#REF!&lt;= table!$D$6),-1,IF(AND(#REF!&gt;=table!$E$6,#REF!&lt;=table!$F$6),1,0))</f>
        <v>#REF!</v>
      </c>
      <c r="R2198" s="5" t="e">
        <f>IF(AND(#REF!&gt;=table!$C$7,#REF!&lt;= table!$D$7),-1,IF(AND(#REF!&gt;=table!$E$7,#REF!&lt;=table!$F$7),1,0))</f>
        <v>#REF!</v>
      </c>
      <c r="S2198" s="5" t="e">
        <f>IF(AND(#REF!&gt;=table!$C$8,#REF!&lt;= table!$D$8),-1,IF(AND(#REF!&gt;=table!$E$8,#REF!&lt;=table!$F$8),1,0))</f>
        <v>#REF!</v>
      </c>
      <c r="T2198" s="5"/>
      <c r="U2198" s="5" t="e">
        <f>IF(AND(#REF!&gt;=table!$C$10,#REF!&lt;= table!$D$10),-1,IF(AND(#REF!&gt;=table!$E$10,#REF!&lt;=table!$F$10),1,0))</f>
        <v>#REF!</v>
      </c>
      <c r="V2198" s="5" t="e">
        <f>IF(AND(#REF!&gt;=table!$C$11,#REF!&lt;= table!$D$11),-1,IF(AND(#REF!&gt;=table!$E$11,#REF!&lt;=table!$F$11),1,0))</f>
        <v>#REF!</v>
      </c>
      <c r="W2198" s="5" t="e">
        <f>CONCATENATE(dados[[#This Row],[fator1]],dados[[#This Row],[fator5]],dados[[#This Row],[fator6]])</f>
        <v>#REF!</v>
      </c>
    </row>
    <row r="2199" spans="1:23">
      <c r="A2199" t="s">
        <v>17</v>
      </c>
      <c r="B2199">
        <v>487188</v>
      </c>
      <c r="C2199">
        <v>10</v>
      </c>
      <c r="D2199">
        <v>25</v>
      </c>
      <c r="E2199">
        <v>40</v>
      </c>
      <c r="F2199">
        <v>10</v>
      </c>
      <c r="G2199">
        <v>110</v>
      </c>
      <c r="H2199">
        <v>50</v>
      </c>
      <c r="I2199">
        <v>404</v>
      </c>
      <c r="J2199">
        <v>0</v>
      </c>
      <c r="K2199">
        <v>3.6345000000000001</v>
      </c>
      <c r="L2199">
        <v>8.1790000000000003</v>
      </c>
      <c r="M2199">
        <v>26.901500000000002</v>
      </c>
      <c r="N2199">
        <v>36.594999999999999</v>
      </c>
      <c r="O2199">
        <v>1671</v>
      </c>
      <c r="P2199">
        <v>0</v>
      </c>
      <c r="Q2199" s="5" t="e">
        <f>IF(AND(#REF!&gt;=table!$C$6,#REF!&lt;= table!$D$6),-1,IF(AND(#REF!&gt;=table!$E$6,#REF!&lt;=table!$F$6),1,0))</f>
        <v>#REF!</v>
      </c>
      <c r="R2199" s="5" t="e">
        <f>IF(AND(#REF!&gt;=table!$C$7,#REF!&lt;= table!$D$7),-1,IF(AND(#REF!&gt;=table!$E$7,#REF!&lt;=table!$F$7),1,0))</f>
        <v>#REF!</v>
      </c>
      <c r="S2199" s="5" t="e">
        <f>IF(AND(#REF!&gt;=table!$C$8,#REF!&lt;= table!$D$8),-1,IF(AND(#REF!&gt;=table!$E$8,#REF!&lt;=table!$F$8),1,0))</f>
        <v>#REF!</v>
      </c>
      <c r="T2199" s="5"/>
      <c r="U2199" s="5" t="e">
        <f>IF(AND(#REF!&gt;=table!$C$10,#REF!&lt;= table!$D$10),-1,IF(AND(#REF!&gt;=table!$E$10,#REF!&lt;=table!$F$10),1,0))</f>
        <v>#REF!</v>
      </c>
      <c r="V2199" s="5" t="e">
        <f>IF(AND(#REF!&gt;=table!$C$11,#REF!&lt;= table!$D$11),-1,IF(AND(#REF!&gt;=table!$E$11,#REF!&lt;=table!$F$11),1,0))</f>
        <v>#REF!</v>
      </c>
      <c r="W2199" s="5" t="e">
        <f>CONCATENATE(dados[[#This Row],[fator1]],dados[[#This Row],[fator5]],dados[[#This Row],[fator6]])</f>
        <v>#REF!</v>
      </c>
    </row>
    <row r="2200" spans="1:23">
      <c r="A2200" t="s">
        <v>16</v>
      </c>
      <c r="B2200">
        <v>487199</v>
      </c>
      <c r="C2200">
        <v>0.15</v>
      </c>
      <c r="D2200">
        <v>40</v>
      </c>
      <c r="E2200">
        <v>10</v>
      </c>
      <c r="F2200">
        <v>15</v>
      </c>
      <c r="G2200">
        <v>0</v>
      </c>
      <c r="H2200">
        <v>15</v>
      </c>
      <c r="I2200">
        <v>0</v>
      </c>
      <c r="J2200">
        <v>760</v>
      </c>
      <c r="K2200">
        <v>9.1890000000000001</v>
      </c>
      <c r="L2200">
        <v>21.19</v>
      </c>
      <c r="M2200">
        <v>14.101500000000001</v>
      </c>
      <c r="N2200">
        <v>15.265000000000001</v>
      </c>
      <c r="O2200">
        <v>1674</v>
      </c>
      <c r="P2200">
        <v>373</v>
      </c>
      <c r="Q2200" s="5" t="e">
        <f>IF(AND(#REF!&gt;=table!$C$6,#REF!&lt;= table!$D$6),-1,IF(AND(#REF!&gt;=table!$E$6,#REF!&lt;=table!$F$6),1,0))</f>
        <v>#REF!</v>
      </c>
      <c r="R2200" s="5" t="e">
        <f>IF(AND(#REF!&gt;=table!$C$7,#REF!&lt;= table!$D$7),-1,IF(AND(#REF!&gt;=table!$E$7,#REF!&lt;=table!$F$7),1,0))</f>
        <v>#REF!</v>
      </c>
      <c r="S2200" s="5" t="e">
        <f>IF(AND(#REF!&gt;=table!$C$8,#REF!&lt;= table!$D$8),-1,IF(AND(#REF!&gt;=table!$E$8,#REF!&lt;=table!$F$8),1,0))</f>
        <v>#REF!</v>
      </c>
      <c r="T2200" s="5"/>
      <c r="U2200" s="5" t="e">
        <f>IF(AND(#REF!&gt;=table!$C$10,#REF!&lt;= table!$D$10),-1,IF(AND(#REF!&gt;=table!$E$10,#REF!&lt;=table!$F$10),1,0))</f>
        <v>#REF!</v>
      </c>
      <c r="V2200" s="5" t="e">
        <f>IF(AND(#REF!&gt;=table!$C$11,#REF!&lt;= table!$D$11),-1,IF(AND(#REF!&gt;=table!$E$11,#REF!&lt;=table!$F$11),1,0))</f>
        <v>#REF!</v>
      </c>
      <c r="W2200" s="5" t="e">
        <f>CONCATENATE(dados[[#This Row],[fator1]],dados[[#This Row],[fator5]],dados[[#This Row],[fator6]])</f>
        <v>#REF!</v>
      </c>
    </row>
    <row r="2201" spans="1:23">
      <c r="A2201" t="s">
        <v>17</v>
      </c>
      <c r="B2201">
        <v>487201</v>
      </c>
      <c r="C2201">
        <v>13</v>
      </c>
      <c r="D2201">
        <v>35</v>
      </c>
      <c r="E2201">
        <v>100</v>
      </c>
      <c r="F2201">
        <v>4</v>
      </c>
      <c r="G2201">
        <v>28</v>
      </c>
      <c r="H2201">
        <v>25</v>
      </c>
      <c r="I2201">
        <v>551</v>
      </c>
      <c r="J2201">
        <v>850</v>
      </c>
      <c r="K2201">
        <v>6.3410000000000002</v>
      </c>
      <c r="L2201">
        <v>20.738</v>
      </c>
      <c r="M2201">
        <v>86.878500000000003</v>
      </c>
      <c r="N2201">
        <v>16.55</v>
      </c>
      <c r="O2201">
        <v>1686</v>
      </c>
      <c r="P2201">
        <v>547</v>
      </c>
      <c r="Q2201" s="5" t="e">
        <f>IF(AND(#REF!&gt;=table!$C$6,#REF!&lt;= table!$D$6),-1,IF(AND(#REF!&gt;=table!$E$6,#REF!&lt;=table!$F$6),1,0))</f>
        <v>#REF!</v>
      </c>
      <c r="R2201" s="5" t="e">
        <f>IF(AND(#REF!&gt;=table!$C$7,#REF!&lt;= table!$D$7),-1,IF(AND(#REF!&gt;=table!$E$7,#REF!&lt;=table!$F$7),1,0))</f>
        <v>#REF!</v>
      </c>
      <c r="S2201" s="5" t="e">
        <f>IF(AND(#REF!&gt;=table!$C$8,#REF!&lt;= table!$D$8),-1,IF(AND(#REF!&gt;=table!$E$8,#REF!&lt;=table!$F$8),1,0))</f>
        <v>#REF!</v>
      </c>
      <c r="T2201" s="5"/>
      <c r="U2201" s="5" t="e">
        <f>IF(AND(#REF!&gt;=table!$C$10,#REF!&lt;= table!$D$10),-1,IF(AND(#REF!&gt;=table!$E$10,#REF!&lt;=table!$F$10),1,0))</f>
        <v>#REF!</v>
      </c>
      <c r="V2201" s="5" t="e">
        <f>IF(AND(#REF!&gt;=table!$C$11,#REF!&lt;= table!$D$11),-1,IF(AND(#REF!&gt;=table!$E$11,#REF!&lt;=table!$F$11),1,0))</f>
        <v>#REF!</v>
      </c>
      <c r="W2201" s="5" t="e">
        <f>CONCATENATE(dados[[#This Row],[fator1]],dados[[#This Row],[fator5]],dados[[#This Row],[fator6]])</f>
        <v>#REF!</v>
      </c>
    </row>
    <row r="2202" spans="1:23">
      <c r="A2202" t="s">
        <v>17</v>
      </c>
      <c r="B2202">
        <v>487203</v>
      </c>
      <c r="C2202">
        <v>13</v>
      </c>
      <c r="D2202">
        <v>35</v>
      </c>
      <c r="E2202">
        <v>100</v>
      </c>
      <c r="F2202">
        <v>4</v>
      </c>
      <c r="G2202">
        <v>28</v>
      </c>
      <c r="H2202">
        <v>25</v>
      </c>
      <c r="I2202">
        <v>939</v>
      </c>
      <c r="J2202">
        <v>0</v>
      </c>
      <c r="K2202">
        <v>7.8215000000000003</v>
      </c>
      <c r="L2202">
        <v>13.072000000000001</v>
      </c>
      <c r="M2202">
        <v>93.33250000000001</v>
      </c>
      <c r="N2202">
        <v>12.61</v>
      </c>
      <c r="O2202">
        <v>1675</v>
      </c>
      <c r="P2202">
        <v>472</v>
      </c>
      <c r="Q2202" s="5" t="e">
        <f>IF(AND(#REF!&gt;=table!$C$6,#REF!&lt;= table!$D$6),-1,IF(AND(#REF!&gt;=table!$E$6,#REF!&lt;=table!$F$6),1,0))</f>
        <v>#REF!</v>
      </c>
      <c r="R2202" s="5" t="e">
        <f>IF(AND(#REF!&gt;=table!$C$7,#REF!&lt;= table!$D$7),-1,IF(AND(#REF!&gt;=table!$E$7,#REF!&lt;=table!$F$7),1,0))</f>
        <v>#REF!</v>
      </c>
      <c r="S2202" s="5" t="e">
        <f>IF(AND(#REF!&gt;=table!$C$8,#REF!&lt;= table!$D$8),-1,IF(AND(#REF!&gt;=table!$E$8,#REF!&lt;=table!$F$8),1,0))</f>
        <v>#REF!</v>
      </c>
      <c r="T2202" s="5"/>
      <c r="U2202" s="5" t="e">
        <f>IF(AND(#REF!&gt;=table!$C$10,#REF!&lt;= table!$D$10),-1,IF(AND(#REF!&gt;=table!$E$10,#REF!&lt;=table!$F$10),1,0))</f>
        <v>#REF!</v>
      </c>
      <c r="V2202" s="5" t="e">
        <f>IF(AND(#REF!&gt;=table!$C$11,#REF!&lt;= table!$D$11),-1,IF(AND(#REF!&gt;=table!$E$11,#REF!&lt;=table!$F$11),1,0))</f>
        <v>#REF!</v>
      </c>
      <c r="W2202" s="5" t="e">
        <f>CONCATENATE(dados[[#This Row],[fator1]],dados[[#This Row],[fator5]],dados[[#This Row],[fator6]])</f>
        <v>#REF!</v>
      </c>
    </row>
    <row r="2203" spans="1:23">
      <c r="A2203" t="s">
        <v>17</v>
      </c>
      <c r="B2203">
        <v>487204</v>
      </c>
      <c r="C2203">
        <v>13</v>
      </c>
      <c r="D2203">
        <v>35</v>
      </c>
      <c r="E2203">
        <v>100</v>
      </c>
      <c r="F2203">
        <v>4</v>
      </c>
      <c r="G2203">
        <v>28</v>
      </c>
      <c r="H2203">
        <v>25</v>
      </c>
      <c r="I2203">
        <v>1093</v>
      </c>
      <c r="J2203">
        <v>0</v>
      </c>
      <c r="K2203">
        <v>5.2440000000000007</v>
      </c>
      <c r="L2203">
        <v>11.3475</v>
      </c>
      <c r="M2203">
        <v>91.6815</v>
      </c>
      <c r="N2203">
        <v>13.955</v>
      </c>
      <c r="O2203">
        <v>1699</v>
      </c>
      <c r="P2203">
        <v>746</v>
      </c>
      <c r="Q2203" s="5" t="e">
        <f>IF(AND(#REF!&gt;=table!$C$6,#REF!&lt;= table!$D$6),-1,IF(AND(#REF!&gt;=table!$E$6,#REF!&lt;=table!$F$6),1,0))</f>
        <v>#REF!</v>
      </c>
      <c r="R2203" s="5" t="e">
        <f>IF(AND(#REF!&gt;=table!$C$7,#REF!&lt;= table!$D$7),-1,IF(AND(#REF!&gt;=table!$E$7,#REF!&lt;=table!$F$7),1,0))</f>
        <v>#REF!</v>
      </c>
      <c r="S2203" s="5" t="e">
        <f>IF(AND(#REF!&gt;=table!$C$8,#REF!&lt;= table!$D$8),-1,IF(AND(#REF!&gt;=table!$E$8,#REF!&lt;=table!$F$8),1,0))</f>
        <v>#REF!</v>
      </c>
      <c r="T2203" s="5"/>
      <c r="U2203" s="5" t="e">
        <f>IF(AND(#REF!&gt;=table!$C$10,#REF!&lt;= table!$D$10),-1,IF(AND(#REF!&gt;=table!$E$10,#REF!&lt;=table!$F$10),1,0))</f>
        <v>#REF!</v>
      </c>
      <c r="V2203" s="5" t="e">
        <f>IF(AND(#REF!&gt;=table!$C$11,#REF!&lt;= table!$D$11),-1,IF(AND(#REF!&gt;=table!$E$11,#REF!&lt;=table!$F$11),1,0))</f>
        <v>#REF!</v>
      </c>
      <c r="W2203" s="5" t="e">
        <f>CONCATENATE(dados[[#This Row],[fator1]],dados[[#This Row],[fator5]],dados[[#This Row],[fator6]])</f>
        <v>#REF!</v>
      </c>
    </row>
    <row r="2204" spans="1:23">
      <c r="A2204" t="s">
        <v>17</v>
      </c>
      <c r="B2204">
        <v>487205</v>
      </c>
      <c r="C2204">
        <v>13</v>
      </c>
      <c r="D2204">
        <v>35</v>
      </c>
      <c r="E2204">
        <v>100</v>
      </c>
      <c r="F2204">
        <v>4</v>
      </c>
      <c r="G2204">
        <v>28</v>
      </c>
      <c r="H2204">
        <v>25</v>
      </c>
      <c r="I2204">
        <v>936</v>
      </c>
      <c r="J2204">
        <v>0</v>
      </c>
      <c r="K2204">
        <v>10.942500000000001</v>
      </c>
      <c r="L2204">
        <v>13.189500000000001</v>
      </c>
      <c r="M2204">
        <v>56.360500000000002</v>
      </c>
      <c r="N2204">
        <v>13.775</v>
      </c>
      <c r="O2204">
        <v>1680</v>
      </c>
      <c r="P2204">
        <v>368</v>
      </c>
      <c r="Q2204" s="5" t="e">
        <f>IF(AND(#REF!&gt;=table!$C$6,#REF!&lt;= table!$D$6),-1,IF(AND(#REF!&gt;=table!$E$6,#REF!&lt;=table!$F$6),1,0))</f>
        <v>#REF!</v>
      </c>
      <c r="R2204" s="5" t="e">
        <f>IF(AND(#REF!&gt;=table!$C$7,#REF!&lt;= table!$D$7),-1,IF(AND(#REF!&gt;=table!$E$7,#REF!&lt;=table!$F$7),1,0))</f>
        <v>#REF!</v>
      </c>
      <c r="S2204" s="5" t="e">
        <f>IF(AND(#REF!&gt;=table!$C$8,#REF!&lt;= table!$D$8),-1,IF(AND(#REF!&gt;=table!$E$8,#REF!&lt;=table!$F$8),1,0))</f>
        <v>#REF!</v>
      </c>
      <c r="T2204" s="5"/>
      <c r="U2204" s="5" t="e">
        <f>IF(AND(#REF!&gt;=table!$C$10,#REF!&lt;= table!$D$10),-1,IF(AND(#REF!&gt;=table!$E$10,#REF!&lt;=table!$F$10),1,0))</f>
        <v>#REF!</v>
      </c>
      <c r="V2204" s="5" t="e">
        <f>IF(AND(#REF!&gt;=table!$C$11,#REF!&lt;= table!$D$11),-1,IF(AND(#REF!&gt;=table!$E$11,#REF!&lt;=table!$F$11),1,0))</f>
        <v>#REF!</v>
      </c>
      <c r="W2204" s="5" t="e">
        <f>CONCATENATE(dados[[#This Row],[fator1]],dados[[#This Row],[fator5]],dados[[#This Row],[fator6]])</f>
        <v>#REF!</v>
      </c>
    </row>
    <row r="2205" spans="1:23">
      <c r="A2205" t="s">
        <v>17</v>
      </c>
      <c r="B2205">
        <v>487206</v>
      </c>
      <c r="C2205">
        <v>13</v>
      </c>
      <c r="D2205">
        <v>30</v>
      </c>
      <c r="E2205">
        <v>150</v>
      </c>
      <c r="F2205">
        <v>4</v>
      </c>
      <c r="G2205">
        <v>20</v>
      </c>
      <c r="H2205">
        <v>25</v>
      </c>
      <c r="I2205">
        <v>873</v>
      </c>
      <c r="J2205">
        <v>0</v>
      </c>
      <c r="K2205">
        <v>13.336500000000001</v>
      </c>
      <c r="L2205">
        <v>13.163500000000001</v>
      </c>
      <c r="M2205">
        <v>130.56550000000001</v>
      </c>
      <c r="N2205">
        <v>10.210000000000001</v>
      </c>
      <c r="O2205">
        <v>1650</v>
      </c>
      <c r="P2205">
        <v>271</v>
      </c>
      <c r="Q2205" s="5" t="e">
        <f>IF(AND(#REF!&gt;=table!$C$6,#REF!&lt;= table!$D$6),-1,IF(AND(#REF!&gt;=table!$E$6,#REF!&lt;=table!$F$6),1,0))</f>
        <v>#REF!</v>
      </c>
      <c r="R2205" s="5" t="e">
        <f>IF(AND(#REF!&gt;=table!$C$7,#REF!&lt;= table!$D$7),-1,IF(AND(#REF!&gt;=table!$E$7,#REF!&lt;=table!$F$7),1,0))</f>
        <v>#REF!</v>
      </c>
      <c r="S2205" s="5" t="e">
        <f>IF(AND(#REF!&gt;=table!$C$8,#REF!&lt;= table!$D$8),-1,IF(AND(#REF!&gt;=table!$E$8,#REF!&lt;=table!$F$8),1,0))</f>
        <v>#REF!</v>
      </c>
      <c r="T2205" s="5"/>
      <c r="U2205" s="5" t="e">
        <f>IF(AND(#REF!&gt;=table!$C$10,#REF!&lt;= table!$D$10),-1,IF(AND(#REF!&gt;=table!$E$10,#REF!&lt;=table!$F$10),1,0))</f>
        <v>#REF!</v>
      </c>
      <c r="V2205" s="5" t="e">
        <f>IF(AND(#REF!&gt;=table!$C$11,#REF!&lt;= table!$D$11),-1,IF(AND(#REF!&gt;=table!$E$11,#REF!&lt;=table!$F$11),1,0))</f>
        <v>#REF!</v>
      </c>
      <c r="W2205" s="5" t="e">
        <f>CONCATENATE(dados[[#This Row],[fator1]],dados[[#This Row],[fator5]],dados[[#This Row],[fator6]])</f>
        <v>#REF!</v>
      </c>
    </row>
    <row r="2206" spans="1:23">
      <c r="A2206" t="s">
        <v>16</v>
      </c>
      <c r="B2206">
        <v>487207</v>
      </c>
      <c r="C2206">
        <v>0.15</v>
      </c>
      <c r="D2206">
        <v>40</v>
      </c>
      <c r="E2206">
        <v>10</v>
      </c>
      <c r="F2206">
        <v>15</v>
      </c>
      <c r="G2206">
        <v>0</v>
      </c>
      <c r="H2206">
        <v>15</v>
      </c>
      <c r="I2206">
        <v>1079</v>
      </c>
      <c r="J2206">
        <v>0</v>
      </c>
      <c r="K2206">
        <v>10.973500000000001</v>
      </c>
      <c r="L2206">
        <v>11.0045</v>
      </c>
      <c r="M2206">
        <v>10.0725</v>
      </c>
      <c r="N2206">
        <v>7.63</v>
      </c>
      <c r="O2206">
        <v>1652</v>
      </c>
      <c r="P2206">
        <v>380</v>
      </c>
      <c r="Q2206" s="5" t="e">
        <f>IF(AND(#REF!&gt;=table!$C$6,#REF!&lt;= table!$D$6),-1,IF(AND(#REF!&gt;=table!$E$6,#REF!&lt;=table!$F$6),1,0))</f>
        <v>#REF!</v>
      </c>
      <c r="R2206" s="5" t="e">
        <f>IF(AND(#REF!&gt;=table!$C$7,#REF!&lt;= table!$D$7),-1,IF(AND(#REF!&gt;=table!$E$7,#REF!&lt;=table!$F$7),1,0))</f>
        <v>#REF!</v>
      </c>
      <c r="S2206" s="5" t="e">
        <f>IF(AND(#REF!&gt;=table!$C$8,#REF!&lt;= table!$D$8),-1,IF(AND(#REF!&gt;=table!$E$8,#REF!&lt;=table!$F$8),1,0))</f>
        <v>#REF!</v>
      </c>
      <c r="T2206" s="5"/>
      <c r="U2206" s="5" t="e">
        <f>IF(AND(#REF!&gt;=table!$C$10,#REF!&lt;= table!$D$10),-1,IF(AND(#REF!&gt;=table!$E$10,#REF!&lt;=table!$F$10),1,0))</f>
        <v>#REF!</v>
      </c>
      <c r="V2206" s="5" t="e">
        <f>IF(AND(#REF!&gt;=table!$C$11,#REF!&lt;= table!$D$11),-1,IF(AND(#REF!&gt;=table!$E$11,#REF!&lt;=table!$F$11),1,0))</f>
        <v>#REF!</v>
      </c>
      <c r="W2206" s="5" t="e">
        <f>CONCATENATE(dados[[#This Row],[fator1]],dados[[#This Row],[fator5]],dados[[#This Row],[fator6]])</f>
        <v>#REF!</v>
      </c>
    </row>
    <row r="2207" spans="1:23">
      <c r="A2207" t="s">
        <v>16</v>
      </c>
      <c r="B2207">
        <v>487209</v>
      </c>
      <c r="C2207">
        <v>0.15</v>
      </c>
      <c r="D2207">
        <v>40</v>
      </c>
      <c r="E2207">
        <v>10</v>
      </c>
      <c r="F2207">
        <v>15</v>
      </c>
      <c r="G2207">
        <v>0</v>
      </c>
      <c r="H2207">
        <v>15</v>
      </c>
      <c r="I2207">
        <v>1065</v>
      </c>
      <c r="J2207">
        <v>0</v>
      </c>
      <c r="K2207">
        <v>6.4315000000000007</v>
      </c>
      <c r="L2207">
        <v>12.174000000000001</v>
      </c>
      <c r="M2207">
        <v>10.578000000000001</v>
      </c>
      <c r="N2207">
        <v>11.9</v>
      </c>
      <c r="O2207">
        <v>1685</v>
      </c>
      <c r="P2207">
        <v>664</v>
      </c>
      <c r="Q2207" s="5" t="e">
        <f>IF(AND(#REF!&gt;=table!$C$6,#REF!&lt;= table!$D$6),-1,IF(AND(#REF!&gt;=table!$E$6,#REF!&lt;=table!$F$6),1,0))</f>
        <v>#REF!</v>
      </c>
      <c r="R2207" s="5" t="e">
        <f>IF(AND(#REF!&gt;=table!$C$7,#REF!&lt;= table!$D$7),-1,IF(AND(#REF!&gt;=table!$E$7,#REF!&lt;=table!$F$7),1,0))</f>
        <v>#REF!</v>
      </c>
      <c r="S2207" s="5" t="e">
        <f>IF(AND(#REF!&gt;=table!$C$8,#REF!&lt;= table!$D$8),-1,IF(AND(#REF!&gt;=table!$E$8,#REF!&lt;=table!$F$8),1,0))</f>
        <v>#REF!</v>
      </c>
      <c r="T2207" s="5"/>
      <c r="U2207" s="5" t="e">
        <f>IF(AND(#REF!&gt;=table!$C$10,#REF!&lt;= table!$D$10),-1,IF(AND(#REF!&gt;=table!$E$10,#REF!&lt;=table!$F$10),1,0))</f>
        <v>#REF!</v>
      </c>
      <c r="V2207" s="5" t="e">
        <f>IF(AND(#REF!&gt;=table!$C$11,#REF!&lt;= table!$D$11),-1,IF(AND(#REF!&gt;=table!$E$11,#REF!&lt;=table!$F$11),1,0))</f>
        <v>#REF!</v>
      </c>
      <c r="W2207" s="5" t="e">
        <f>CONCATENATE(dados[[#This Row],[fator1]],dados[[#This Row],[fator5]],dados[[#This Row],[fator6]])</f>
        <v>#REF!</v>
      </c>
    </row>
    <row r="2208" spans="1:23">
      <c r="A2208" t="s">
        <v>17</v>
      </c>
      <c r="B2208">
        <v>487211</v>
      </c>
      <c r="C2208">
        <v>45</v>
      </c>
      <c r="D2208">
        <v>30</v>
      </c>
      <c r="E2208">
        <v>126</v>
      </c>
      <c r="F2208">
        <v>9</v>
      </c>
      <c r="G2208">
        <v>23</v>
      </c>
      <c r="H2208">
        <v>22</v>
      </c>
      <c r="I2208">
        <v>1586</v>
      </c>
      <c r="J2208">
        <v>0</v>
      </c>
      <c r="K2208">
        <v>8.2853000000000012</v>
      </c>
      <c r="L2208">
        <v>14.432500000000001</v>
      </c>
      <c r="M2208">
        <v>63.492000000000004</v>
      </c>
      <c r="N2208">
        <v>11.700000000000001</v>
      </c>
      <c r="O2208">
        <v>1653</v>
      </c>
      <c r="P2208">
        <v>445</v>
      </c>
      <c r="Q2208" s="5" t="e">
        <f>IF(AND(#REF!&gt;=table!$C$6,#REF!&lt;= table!$D$6),-1,IF(AND(#REF!&gt;=table!$E$6,#REF!&lt;=table!$F$6),1,0))</f>
        <v>#REF!</v>
      </c>
      <c r="R2208" s="5" t="e">
        <f>IF(AND(#REF!&gt;=table!$C$7,#REF!&lt;= table!$D$7),-1,IF(AND(#REF!&gt;=table!$E$7,#REF!&lt;=table!$F$7),1,0))</f>
        <v>#REF!</v>
      </c>
      <c r="S2208" s="5" t="e">
        <f>IF(AND(#REF!&gt;=table!$C$8,#REF!&lt;= table!$D$8),-1,IF(AND(#REF!&gt;=table!$E$8,#REF!&lt;=table!$F$8),1,0))</f>
        <v>#REF!</v>
      </c>
      <c r="T2208" s="5"/>
      <c r="U2208" s="5" t="e">
        <f>IF(AND(#REF!&gt;=table!$C$10,#REF!&lt;= table!$D$10),-1,IF(AND(#REF!&gt;=table!$E$10,#REF!&lt;=table!$F$10),1,0))</f>
        <v>#REF!</v>
      </c>
      <c r="V2208" s="5" t="e">
        <f>IF(AND(#REF!&gt;=table!$C$11,#REF!&lt;= table!$D$11),-1,IF(AND(#REF!&gt;=table!$E$11,#REF!&lt;=table!$F$11),1,0))</f>
        <v>#REF!</v>
      </c>
      <c r="W2208" s="5" t="e">
        <f>CONCATENATE(dados[[#This Row],[fator1]],dados[[#This Row],[fator5]],dados[[#This Row],[fator6]])</f>
        <v>#REF!</v>
      </c>
    </row>
    <row r="2209" spans="1:23">
      <c r="A2209" t="s">
        <v>16</v>
      </c>
      <c r="B2209">
        <v>487212</v>
      </c>
      <c r="C2209">
        <v>0.15</v>
      </c>
      <c r="D2209">
        <v>40</v>
      </c>
      <c r="E2209">
        <v>10</v>
      </c>
      <c r="F2209">
        <v>15</v>
      </c>
      <c r="G2209">
        <v>0</v>
      </c>
      <c r="H2209">
        <v>15</v>
      </c>
      <c r="I2209">
        <v>55</v>
      </c>
      <c r="J2209">
        <v>860</v>
      </c>
      <c r="K2209">
        <v>8.8354999999999997</v>
      </c>
      <c r="L2209">
        <v>9.2375000000000007</v>
      </c>
      <c r="M2209">
        <v>5.835</v>
      </c>
      <c r="N2209">
        <v>5.5250000000000004</v>
      </c>
      <c r="O2209">
        <v>1628</v>
      </c>
      <c r="P2209">
        <v>0</v>
      </c>
      <c r="Q2209" s="5" t="e">
        <f>IF(AND(#REF!&gt;=table!$C$6,#REF!&lt;= table!$D$6),-1,IF(AND(#REF!&gt;=table!$E$6,#REF!&lt;=table!$F$6),1,0))</f>
        <v>#REF!</v>
      </c>
      <c r="R2209" s="5" t="e">
        <f>IF(AND(#REF!&gt;=table!$C$7,#REF!&lt;= table!$D$7),-1,IF(AND(#REF!&gt;=table!$E$7,#REF!&lt;=table!$F$7),1,0))</f>
        <v>#REF!</v>
      </c>
      <c r="S2209" s="5" t="e">
        <f>IF(AND(#REF!&gt;=table!$C$8,#REF!&lt;= table!$D$8),-1,IF(AND(#REF!&gt;=table!$E$8,#REF!&lt;=table!$F$8),1,0))</f>
        <v>#REF!</v>
      </c>
      <c r="T2209" s="5"/>
      <c r="U2209" s="5" t="e">
        <f>IF(AND(#REF!&gt;=table!$C$10,#REF!&lt;= table!$D$10),-1,IF(AND(#REF!&gt;=table!$E$10,#REF!&lt;=table!$F$10),1,0))</f>
        <v>#REF!</v>
      </c>
      <c r="V2209" s="5" t="e">
        <f>IF(AND(#REF!&gt;=table!$C$11,#REF!&lt;= table!$D$11),-1,IF(AND(#REF!&gt;=table!$E$11,#REF!&lt;=table!$F$11),1,0))</f>
        <v>#REF!</v>
      </c>
      <c r="W2209" s="5" t="e">
        <f>CONCATENATE(dados[[#This Row],[fator1]],dados[[#This Row],[fator5]],dados[[#This Row],[fator6]])</f>
        <v>#REF!</v>
      </c>
    </row>
    <row r="2210" spans="1:23">
      <c r="A2210" t="s">
        <v>16</v>
      </c>
      <c r="B2210">
        <v>487213</v>
      </c>
      <c r="C2210">
        <v>0.15</v>
      </c>
      <c r="D2210">
        <v>40</v>
      </c>
      <c r="E2210">
        <v>10</v>
      </c>
      <c r="F2210">
        <v>15</v>
      </c>
      <c r="G2210">
        <v>0</v>
      </c>
      <c r="H2210">
        <v>15</v>
      </c>
      <c r="I2210">
        <v>937</v>
      </c>
      <c r="J2210">
        <v>0</v>
      </c>
      <c r="K2210">
        <v>4.9240000000000004</v>
      </c>
      <c r="L2210">
        <v>7.2130000000000001</v>
      </c>
      <c r="M2210">
        <v>6.45</v>
      </c>
      <c r="N2210">
        <v>7.2250000000000005</v>
      </c>
      <c r="O2210">
        <v>1653</v>
      </c>
      <c r="P2210">
        <v>0</v>
      </c>
      <c r="Q2210" s="5" t="e">
        <f>IF(AND(#REF!&gt;=table!$C$6,#REF!&lt;= table!$D$6),-1,IF(AND(#REF!&gt;=table!$E$6,#REF!&lt;=table!$F$6),1,0))</f>
        <v>#REF!</v>
      </c>
      <c r="R2210" s="5" t="e">
        <f>IF(AND(#REF!&gt;=table!$C$7,#REF!&lt;= table!$D$7),-1,IF(AND(#REF!&gt;=table!$E$7,#REF!&lt;=table!$F$7),1,0))</f>
        <v>#REF!</v>
      </c>
      <c r="S2210" s="5" t="e">
        <f>IF(AND(#REF!&gt;=table!$C$8,#REF!&lt;= table!$D$8),-1,IF(AND(#REF!&gt;=table!$E$8,#REF!&lt;=table!$F$8),1,0))</f>
        <v>#REF!</v>
      </c>
      <c r="T2210" s="5"/>
      <c r="U2210" s="5" t="e">
        <f>IF(AND(#REF!&gt;=table!$C$10,#REF!&lt;= table!$D$10),-1,IF(AND(#REF!&gt;=table!$E$10,#REF!&lt;=table!$F$10),1,0))</f>
        <v>#REF!</v>
      </c>
      <c r="V2210" s="5" t="e">
        <f>IF(AND(#REF!&gt;=table!$C$11,#REF!&lt;= table!$D$11),-1,IF(AND(#REF!&gt;=table!$E$11,#REF!&lt;=table!$F$11),1,0))</f>
        <v>#REF!</v>
      </c>
      <c r="W2210" s="5" t="e">
        <f>CONCATENATE(dados[[#This Row],[fator1]],dados[[#This Row],[fator5]],dados[[#This Row],[fator6]])</f>
        <v>#REF!</v>
      </c>
    </row>
    <row r="2211" spans="1:23">
      <c r="A2211" t="s">
        <v>17</v>
      </c>
      <c r="B2211">
        <v>487214</v>
      </c>
      <c r="C2211">
        <v>8</v>
      </c>
      <c r="D2211">
        <v>30</v>
      </c>
      <c r="E2211">
        <v>155</v>
      </c>
      <c r="F2211">
        <v>2</v>
      </c>
      <c r="G2211">
        <v>30</v>
      </c>
      <c r="H2211">
        <v>18</v>
      </c>
      <c r="I2211">
        <v>72</v>
      </c>
      <c r="J2211">
        <v>0</v>
      </c>
      <c r="K2211">
        <v>4.7785000000000002</v>
      </c>
      <c r="L2211">
        <v>9.7015000000000011</v>
      </c>
      <c r="M2211">
        <v>127.5515</v>
      </c>
      <c r="N2211">
        <v>11.025</v>
      </c>
      <c r="O2211">
        <v>1664</v>
      </c>
      <c r="P2211">
        <v>830</v>
      </c>
      <c r="Q2211" s="5" t="e">
        <f>IF(AND(#REF!&gt;=table!$C$6,#REF!&lt;= table!$D$6),-1,IF(AND(#REF!&gt;=table!$E$6,#REF!&lt;=table!$F$6),1,0))</f>
        <v>#REF!</v>
      </c>
      <c r="R2211" s="5" t="e">
        <f>IF(AND(#REF!&gt;=table!$C$7,#REF!&lt;= table!$D$7),-1,IF(AND(#REF!&gt;=table!$E$7,#REF!&lt;=table!$F$7),1,0))</f>
        <v>#REF!</v>
      </c>
      <c r="S2211" s="5" t="e">
        <f>IF(AND(#REF!&gt;=table!$C$8,#REF!&lt;= table!$D$8),-1,IF(AND(#REF!&gt;=table!$E$8,#REF!&lt;=table!$F$8),1,0))</f>
        <v>#REF!</v>
      </c>
      <c r="T2211" s="5"/>
      <c r="U2211" s="5" t="e">
        <f>IF(AND(#REF!&gt;=table!$C$10,#REF!&lt;= table!$D$10),-1,IF(AND(#REF!&gt;=table!$E$10,#REF!&lt;=table!$F$10),1,0))</f>
        <v>#REF!</v>
      </c>
      <c r="V2211" s="5" t="e">
        <f>IF(AND(#REF!&gt;=table!$C$11,#REF!&lt;= table!$D$11),-1,IF(AND(#REF!&gt;=table!$E$11,#REF!&lt;=table!$F$11),1,0))</f>
        <v>#REF!</v>
      </c>
      <c r="W2211" s="5" t="e">
        <f>CONCATENATE(dados[[#This Row],[fator1]],dados[[#This Row],[fator5]],dados[[#This Row],[fator6]])</f>
        <v>#REF!</v>
      </c>
    </row>
    <row r="2212" spans="1:23">
      <c r="A2212" t="s">
        <v>16</v>
      </c>
      <c r="B2212">
        <v>487220</v>
      </c>
      <c r="C2212">
        <v>7</v>
      </c>
      <c r="D2212">
        <v>33</v>
      </c>
      <c r="E2212">
        <v>153</v>
      </c>
      <c r="F2212">
        <v>4</v>
      </c>
      <c r="G2212">
        <v>0</v>
      </c>
      <c r="H2212">
        <v>25</v>
      </c>
      <c r="I2212">
        <v>1197</v>
      </c>
      <c r="J2212">
        <v>860</v>
      </c>
      <c r="K2212">
        <v>4.3020000000000005</v>
      </c>
      <c r="L2212">
        <v>17.183</v>
      </c>
      <c r="M2212">
        <v>127.465</v>
      </c>
      <c r="N2212">
        <v>14.9</v>
      </c>
      <c r="O2212">
        <v>1707</v>
      </c>
      <c r="P2212">
        <v>723</v>
      </c>
      <c r="Q2212" s="5" t="e">
        <f>IF(AND(#REF!&gt;=table!$C$6,#REF!&lt;= table!$D$6),-1,IF(AND(#REF!&gt;=table!$E$6,#REF!&lt;=table!$F$6),1,0))</f>
        <v>#REF!</v>
      </c>
      <c r="R2212" s="5" t="e">
        <f>IF(AND(#REF!&gt;=table!$C$7,#REF!&lt;= table!$D$7),-1,IF(AND(#REF!&gt;=table!$E$7,#REF!&lt;=table!$F$7),1,0))</f>
        <v>#REF!</v>
      </c>
      <c r="S2212" s="5" t="e">
        <f>IF(AND(#REF!&gt;=table!$C$8,#REF!&lt;= table!$D$8),-1,IF(AND(#REF!&gt;=table!$E$8,#REF!&lt;=table!$F$8),1,0))</f>
        <v>#REF!</v>
      </c>
      <c r="T2212" s="5"/>
      <c r="U2212" s="5" t="e">
        <f>IF(AND(#REF!&gt;=table!$C$10,#REF!&lt;= table!$D$10),-1,IF(AND(#REF!&gt;=table!$E$10,#REF!&lt;=table!$F$10),1,0))</f>
        <v>#REF!</v>
      </c>
      <c r="V2212" s="5" t="e">
        <f>IF(AND(#REF!&gt;=table!$C$11,#REF!&lt;= table!$D$11),-1,IF(AND(#REF!&gt;=table!$E$11,#REF!&lt;=table!$F$11),1,0))</f>
        <v>#REF!</v>
      </c>
      <c r="W2212" s="5" t="e">
        <f>CONCATENATE(dados[[#This Row],[fator1]],dados[[#This Row],[fator5]],dados[[#This Row],[fator6]])</f>
        <v>#REF!</v>
      </c>
    </row>
    <row r="2213" spans="1:23">
      <c r="A2213" t="s">
        <v>17</v>
      </c>
      <c r="B2213">
        <v>487225</v>
      </c>
      <c r="C2213">
        <v>4</v>
      </c>
      <c r="D2213">
        <v>30</v>
      </c>
      <c r="E2213">
        <v>140</v>
      </c>
      <c r="F2213">
        <v>1</v>
      </c>
      <c r="G2213">
        <v>25</v>
      </c>
      <c r="H2213">
        <v>10</v>
      </c>
      <c r="I2213">
        <v>0</v>
      </c>
      <c r="J2213">
        <v>10</v>
      </c>
      <c r="K2213">
        <v>3.0285000000000002</v>
      </c>
      <c r="L2213">
        <v>7.3125</v>
      </c>
      <c r="M2213">
        <v>119.1875</v>
      </c>
      <c r="N2213">
        <v>5.5950000000000006</v>
      </c>
      <c r="O2213">
        <v>1669</v>
      </c>
      <c r="P2213">
        <v>776</v>
      </c>
      <c r="Q2213" s="5" t="e">
        <f>IF(AND(#REF!&gt;=table!$C$6,#REF!&lt;= table!$D$6),-1,IF(AND(#REF!&gt;=table!$E$6,#REF!&lt;=table!$F$6),1,0))</f>
        <v>#REF!</v>
      </c>
      <c r="R2213" s="5" t="e">
        <f>IF(AND(#REF!&gt;=table!$C$7,#REF!&lt;= table!$D$7),-1,IF(AND(#REF!&gt;=table!$E$7,#REF!&lt;=table!$F$7),1,0))</f>
        <v>#REF!</v>
      </c>
      <c r="S2213" s="5" t="e">
        <f>IF(AND(#REF!&gt;=table!$C$8,#REF!&lt;= table!$D$8),-1,IF(AND(#REF!&gt;=table!$E$8,#REF!&lt;=table!$F$8),1,0))</f>
        <v>#REF!</v>
      </c>
      <c r="T2213" s="5"/>
      <c r="U2213" s="5" t="e">
        <f>IF(AND(#REF!&gt;=table!$C$10,#REF!&lt;= table!$D$10),-1,IF(AND(#REF!&gt;=table!$E$10,#REF!&lt;=table!$F$10),1,0))</f>
        <v>#REF!</v>
      </c>
      <c r="V2213" s="5" t="e">
        <f>IF(AND(#REF!&gt;=table!$C$11,#REF!&lt;= table!$D$11),-1,IF(AND(#REF!&gt;=table!$E$11,#REF!&lt;=table!$F$11),1,0))</f>
        <v>#REF!</v>
      </c>
      <c r="W2213" s="5" t="e">
        <f>CONCATENATE(dados[[#This Row],[fator1]],dados[[#This Row],[fator5]],dados[[#This Row],[fator6]])</f>
        <v>#REF!</v>
      </c>
    </row>
    <row r="2214" spans="1:23">
      <c r="A2214" t="s">
        <v>17</v>
      </c>
      <c r="B2214">
        <v>487226</v>
      </c>
      <c r="C2214">
        <v>4</v>
      </c>
      <c r="D2214">
        <v>30</v>
      </c>
      <c r="E2214">
        <v>140</v>
      </c>
      <c r="F2214">
        <v>1</v>
      </c>
      <c r="G2214">
        <v>25</v>
      </c>
      <c r="H2214">
        <v>10</v>
      </c>
      <c r="I2214">
        <v>0</v>
      </c>
      <c r="J2214">
        <v>0</v>
      </c>
      <c r="K2214">
        <v>2.9690000000000003</v>
      </c>
      <c r="L2214">
        <v>6.7410000000000005</v>
      </c>
      <c r="M2214">
        <v>115.31700000000001</v>
      </c>
      <c r="N2214">
        <v>7.2150000000000007</v>
      </c>
      <c r="O2214">
        <v>1681</v>
      </c>
      <c r="P2214">
        <v>957</v>
      </c>
      <c r="Q2214" s="5" t="e">
        <f>IF(AND(#REF!&gt;=table!$C$6,#REF!&lt;= table!$D$6),-1,IF(AND(#REF!&gt;=table!$E$6,#REF!&lt;=table!$F$6),1,0))</f>
        <v>#REF!</v>
      </c>
      <c r="R2214" s="5" t="e">
        <f>IF(AND(#REF!&gt;=table!$C$7,#REF!&lt;= table!$D$7),-1,IF(AND(#REF!&gt;=table!$E$7,#REF!&lt;=table!$F$7),1,0))</f>
        <v>#REF!</v>
      </c>
      <c r="S2214" s="5" t="e">
        <f>IF(AND(#REF!&gt;=table!$C$8,#REF!&lt;= table!$D$8),-1,IF(AND(#REF!&gt;=table!$E$8,#REF!&lt;=table!$F$8),1,0))</f>
        <v>#REF!</v>
      </c>
      <c r="T2214" s="5"/>
      <c r="U2214" s="5" t="e">
        <f>IF(AND(#REF!&gt;=table!$C$10,#REF!&lt;= table!$D$10),-1,IF(AND(#REF!&gt;=table!$E$10,#REF!&lt;=table!$F$10),1,0))</f>
        <v>#REF!</v>
      </c>
      <c r="V2214" s="5" t="e">
        <f>IF(AND(#REF!&gt;=table!$C$11,#REF!&lt;= table!$D$11),-1,IF(AND(#REF!&gt;=table!$E$11,#REF!&lt;=table!$F$11),1,0))</f>
        <v>#REF!</v>
      </c>
      <c r="W2214" s="5" t="e">
        <f>CONCATENATE(dados[[#This Row],[fator1]],dados[[#This Row],[fator5]],dados[[#This Row],[fator6]])</f>
        <v>#REF!</v>
      </c>
    </row>
    <row r="2215" spans="1:23">
      <c r="A2215" t="s">
        <v>17</v>
      </c>
      <c r="B2215">
        <v>487227</v>
      </c>
      <c r="C2215">
        <v>4</v>
      </c>
      <c r="D2215">
        <v>30</v>
      </c>
      <c r="E2215">
        <v>140</v>
      </c>
      <c r="F2215">
        <v>1</v>
      </c>
      <c r="G2215">
        <v>25</v>
      </c>
      <c r="H2215">
        <v>10</v>
      </c>
      <c r="I2215">
        <v>25</v>
      </c>
      <c r="J2215">
        <v>10</v>
      </c>
      <c r="K2215">
        <v>2.7480000000000002</v>
      </c>
      <c r="L2215">
        <v>6.1444999999999999</v>
      </c>
      <c r="M2215">
        <v>118.83500000000001</v>
      </c>
      <c r="N2215">
        <v>5.9750000000000005</v>
      </c>
      <c r="O2215">
        <v>1665</v>
      </c>
      <c r="P2215">
        <v>1017</v>
      </c>
      <c r="Q2215" s="5" t="e">
        <f>IF(AND(#REF!&gt;=table!$C$6,#REF!&lt;= table!$D$6),-1,IF(AND(#REF!&gt;=table!$E$6,#REF!&lt;=table!$F$6),1,0))</f>
        <v>#REF!</v>
      </c>
      <c r="R2215" s="5" t="e">
        <f>IF(AND(#REF!&gt;=table!$C$7,#REF!&lt;= table!$D$7),-1,IF(AND(#REF!&gt;=table!$E$7,#REF!&lt;=table!$F$7),1,0))</f>
        <v>#REF!</v>
      </c>
      <c r="S2215" s="5" t="e">
        <f>IF(AND(#REF!&gt;=table!$C$8,#REF!&lt;= table!$D$8),-1,IF(AND(#REF!&gt;=table!$E$8,#REF!&lt;=table!$F$8),1,0))</f>
        <v>#REF!</v>
      </c>
      <c r="T2215" s="5"/>
      <c r="U2215" s="5" t="e">
        <f>IF(AND(#REF!&gt;=table!$C$10,#REF!&lt;= table!$D$10),-1,IF(AND(#REF!&gt;=table!$E$10,#REF!&lt;=table!$F$10),1,0))</f>
        <v>#REF!</v>
      </c>
      <c r="V2215" s="5" t="e">
        <f>IF(AND(#REF!&gt;=table!$C$11,#REF!&lt;= table!$D$11),-1,IF(AND(#REF!&gt;=table!$E$11,#REF!&lt;=table!$F$11),1,0))</f>
        <v>#REF!</v>
      </c>
      <c r="W2215" s="5" t="e">
        <f>CONCATENATE(dados[[#This Row],[fator1]],dados[[#This Row],[fator5]],dados[[#This Row],[fator6]])</f>
        <v>#REF!</v>
      </c>
    </row>
    <row r="2216" spans="1:23">
      <c r="A2216" t="s">
        <v>17</v>
      </c>
      <c r="B2216">
        <v>487229</v>
      </c>
      <c r="C2216">
        <v>16</v>
      </c>
      <c r="D2216">
        <v>33</v>
      </c>
      <c r="E2216">
        <v>150</v>
      </c>
      <c r="F2216">
        <v>10</v>
      </c>
      <c r="G2216">
        <v>15</v>
      </c>
      <c r="H2216">
        <v>25</v>
      </c>
      <c r="I2216">
        <v>22</v>
      </c>
      <c r="J2216">
        <v>0</v>
      </c>
      <c r="K2216">
        <v>7.7404999999999999</v>
      </c>
      <c r="L2216">
        <v>16.27</v>
      </c>
      <c r="M2216">
        <v>137.84350000000001</v>
      </c>
      <c r="N2216">
        <v>14.375</v>
      </c>
      <c r="O2216">
        <v>1644</v>
      </c>
      <c r="P2216">
        <v>409</v>
      </c>
      <c r="Q2216" s="5" t="e">
        <f>IF(AND(#REF!&gt;=table!$C$6,#REF!&lt;= table!$D$6),-1,IF(AND(#REF!&gt;=table!$E$6,#REF!&lt;=table!$F$6),1,0))</f>
        <v>#REF!</v>
      </c>
      <c r="R2216" s="5" t="e">
        <f>IF(AND(#REF!&gt;=table!$C$7,#REF!&lt;= table!$D$7),-1,IF(AND(#REF!&gt;=table!$E$7,#REF!&lt;=table!$F$7),1,0))</f>
        <v>#REF!</v>
      </c>
      <c r="S2216" s="5" t="e">
        <f>IF(AND(#REF!&gt;=table!$C$8,#REF!&lt;= table!$D$8),-1,IF(AND(#REF!&gt;=table!$E$8,#REF!&lt;=table!$F$8),1,0))</f>
        <v>#REF!</v>
      </c>
      <c r="T2216" s="5"/>
      <c r="U2216" s="5" t="e">
        <f>IF(AND(#REF!&gt;=table!$C$10,#REF!&lt;= table!$D$10),-1,IF(AND(#REF!&gt;=table!$E$10,#REF!&lt;=table!$F$10),1,0))</f>
        <v>#REF!</v>
      </c>
      <c r="V2216" s="5" t="e">
        <f>IF(AND(#REF!&gt;=table!$C$11,#REF!&lt;= table!$D$11),-1,IF(AND(#REF!&gt;=table!$E$11,#REF!&lt;=table!$F$11),1,0))</f>
        <v>#REF!</v>
      </c>
      <c r="W2216" s="5" t="e">
        <f>CONCATENATE(dados[[#This Row],[fator1]],dados[[#This Row],[fator5]],dados[[#This Row],[fator6]])</f>
        <v>#REF!</v>
      </c>
    </row>
    <row r="2217" spans="1:23">
      <c r="A2217" t="s">
        <v>17</v>
      </c>
      <c r="B2217">
        <v>487230</v>
      </c>
      <c r="C2217">
        <v>16</v>
      </c>
      <c r="D2217">
        <v>33</v>
      </c>
      <c r="E2217">
        <v>150</v>
      </c>
      <c r="F2217">
        <v>10</v>
      </c>
      <c r="G2217">
        <v>15</v>
      </c>
      <c r="H2217">
        <v>25</v>
      </c>
      <c r="I2217">
        <v>0</v>
      </c>
      <c r="J2217">
        <v>0</v>
      </c>
      <c r="K2217">
        <v>5.0950000000000006</v>
      </c>
      <c r="L2217">
        <v>15.56</v>
      </c>
      <c r="M2217">
        <v>136.905</v>
      </c>
      <c r="N2217">
        <v>19.265000000000001</v>
      </c>
      <c r="O2217">
        <v>1675</v>
      </c>
      <c r="P2217">
        <v>801</v>
      </c>
      <c r="Q2217" s="5" t="e">
        <f>IF(AND(#REF!&gt;=table!$C$6,#REF!&lt;= table!$D$6),-1,IF(AND(#REF!&gt;=table!$E$6,#REF!&lt;=table!$F$6),1,0))</f>
        <v>#REF!</v>
      </c>
      <c r="R2217" s="5" t="e">
        <f>IF(AND(#REF!&gt;=table!$C$7,#REF!&lt;= table!$D$7),-1,IF(AND(#REF!&gt;=table!$E$7,#REF!&lt;=table!$F$7),1,0))</f>
        <v>#REF!</v>
      </c>
      <c r="S2217" s="5" t="e">
        <f>IF(AND(#REF!&gt;=table!$C$8,#REF!&lt;= table!$D$8),-1,IF(AND(#REF!&gt;=table!$E$8,#REF!&lt;=table!$F$8),1,0))</f>
        <v>#REF!</v>
      </c>
      <c r="T2217" s="5"/>
      <c r="U2217" s="5" t="e">
        <f>IF(AND(#REF!&gt;=table!$C$10,#REF!&lt;= table!$D$10),-1,IF(AND(#REF!&gt;=table!$E$10,#REF!&lt;=table!$F$10),1,0))</f>
        <v>#REF!</v>
      </c>
      <c r="V2217" s="5" t="e">
        <f>IF(AND(#REF!&gt;=table!$C$11,#REF!&lt;= table!$D$11),-1,IF(AND(#REF!&gt;=table!$E$11,#REF!&lt;=table!$F$11),1,0))</f>
        <v>#REF!</v>
      </c>
      <c r="W2217" s="5" t="e">
        <f>CONCATENATE(dados[[#This Row],[fator1]],dados[[#This Row],[fator5]],dados[[#This Row],[fator6]])</f>
        <v>#REF!</v>
      </c>
    </row>
    <row r="2218" spans="1:23">
      <c r="A2218" t="s">
        <v>17</v>
      </c>
      <c r="B2218">
        <v>487231</v>
      </c>
      <c r="C2218">
        <v>16</v>
      </c>
      <c r="D2218">
        <v>33</v>
      </c>
      <c r="E2218">
        <v>150</v>
      </c>
      <c r="F2218">
        <v>10</v>
      </c>
      <c r="G2218">
        <v>15</v>
      </c>
      <c r="H2218">
        <v>25</v>
      </c>
      <c r="I2218">
        <v>397</v>
      </c>
      <c r="J2218">
        <v>0</v>
      </c>
      <c r="K2218">
        <v>6.6740000000000004</v>
      </c>
      <c r="L2218">
        <v>15.8535</v>
      </c>
      <c r="M2218">
        <v>141.83450000000002</v>
      </c>
      <c r="N2218">
        <v>18.18</v>
      </c>
      <c r="O2218">
        <v>1678</v>
      </c>
      <c r="P2218">
        <v>541</v>
      </c>
      <c r="Q2218" s="5" t="e">
        <f>IF(AND(#REF!&gt;=table!$C$6,#REF!&lt;= table!$D$6),-1,IF(AND(#REF!&gt;=table!$E$6,#REF!&lt;=table!$F$6),1,0))</f>
        <v>#REF!</v>
      </c>
      <c r="R2218" s="5" t="e">
        <f>IF(AND(#REF!&gt;=table!$C$7,#REF!&lt;= table!$D$7),-1,IF(AND(#REF!&gt;=table!$E$7,#REF!&lt;=table!$F$7),1,0))</f>
        <v>#REF!</v>
      </c>
      <c r="S2218" s="5" t="e">
        <f>IF(AND(#REF!&gt;=table!$C$8,#REF!&lt;= table!$D$8),-1,IF(AND(#REF!&gt;=table!$E$8,#REF!&lt;=table!$F$8),1,0))</f>
        <v>#REF!</v>
      </c>
      <c r="T2218" s="5"/>
      <c r="U2218" s="5" t="e">
        <f>IF(AND(#REF!&gt;=table!$C$10,#REF!&lt;= table!$D$10),-1,IF(AND(#REF!&gt;=table!$E$10,#REF!&lt;=table!$F$10),1,0))</f>
        <v>#REF!</v>
      </c>
      <c r="V2218" s="5" t="e">
        <f>IF(AND(#REF!&gt;=table!$C$11,#REF!&lt;= table!$D$11),-1,IF(AND(#REF!&gt;=table!$E$11,#REF!&lt;=table!$F$11),1,0))</f>
        <v>#REF!</v>
      </c>
      <c r="W2218" s="5" t="e">
        <f>CONCATENATE(dados[[#This Row],[fator1]],dados[[#This Row],[fator5]],dados[[#This Row],[fator6]])</f>
        <v>#REF!</v>
      </c>
    </row>
    <row r="2219" spans="1:23">
      <c r="A2219" t="s">
        <v>17</v>
      </c>
      <c r="B2219">
        <v>487232</v>
      </c>
      <c r="C2219">
        <v>15</v>
      </c>
      <c r="D2219">
        <v>33</v>
      </c>
      <c r="E2219">
        <v>140</v>
      </c>
      <c r="F2219">
        <v>3</v>
      </c>
      <c r="G2219">
        <v>15</v>
      </c>
      <c r="H2219">
        <v>22</v>
      </c>
      <c r="I2219">
        <v>1</v>
      </c>
      <c r="J2219">
        <v>810</v>
      </c>
      <c r="K2219">
        <v>7.915</v>
      </c>
      <c r="L2219">
        <v>19.374000000000002</v>
      </c>
      <c r="M2219">
        <v>114.29650000000001</v>
      </c>
      <c r="N2219">
        <v>12.345000000000001</v>
      </c>
      <c r="O2219">
        <v>1661</v>
      </c>
      <c r="P2219">
        <v>462</v>
      </c>
      <c r="Q2219" s="5" t="e">
        <f>IF(AND(#REF!&gt;=table!$C$6,#REF!&lt;= table!$D$6),-1,IF(AND(#REF!&gt;=table!$E$6,#REF!&lt;=table!$F$6),1,0))</f>
        <v>#REF!</v>
      </c>
      <c r="R2219" s="5" t="e">
        <f>IF(AND(#REF!&gt;=table!$C$7,#REF!&lt;= table!$D$7),-1,IF(AND(#REF!&gt;=table!$E$7,#REF!&lt;=table!$F$7),1,0))</f>
        <v>#REF!</v>
      </c>
      <c r="S2219" s="5" t="e">
        <f>IF(AND(#REF!&gt;=table!$C$8,#REF!&lt;= table!$D$8),-1,IF(AND(#REF!&gt;=table!$E$8,#REF!&lt;=table!$F$8),1,0))</f>
        <v>#REF!</v>
      </c>
      <c r="T2219" s="5"/>
      <c r="U2219" s="5" t="e">
        <f>IF(AND(#REF!&gt;=table!$C$10,#REF!&lt;= table!$D$10),-1,IF(AND(#REF!&gt;=table!$E$10,#REF!&lt;=table!$F$10),1,0))</f>
        <v>#REF!</v>
      </c>
      <c r="V2219" s="5" t="e">
        <f>IF(AND(#REF!&gt;=table!$C$11,#REF!&lt;= table!$D$11),-1,IF(AND(#REF!&gt;=table!$E$11,#REF!&lt;=table!$F$11),1,0))</f>
        <v>#REF!</v>
      </c>
      <c r="W2219" s="5" t="e">
        <f>CONCATENATE(dados[[#This Row],[fator1]],dados[[#This Row],[fator5]],dados[[#This Row],[fator6]])</f>
        <v>#REF!</v>
      </c>
    </row>
    <row r="2220" spans="1:23">
      <c r="A2220" t="s">
        <v>17</v>
      </c>
      <c r="B2220">
        <v>487241</v>
      </c>
      <c r="C2220">
        <v>14</v>
      </c>
      <c r="D2220">
        <v>30</v>
      </c>
      <c r="E2220">
        <v>110</v>
      </c>
      <c r="F2220">
        <v>3</v>
      </c>
      <c r="G2220">
        <v>20</v>
      </c>
      <c r="H2220">
        <v>22</v>
      </c>
      <c r="I2220">
        <v>2</v>
      </c>
      <c r="J2220">
        <v>0</v>
      </c>
      <c r="K2220">
        <v>5.6695000000000002</v>
      </c>
      <c r="L2220">
        <v>12.916500000000001</v>
      </c>
      <c r="M2220">
        <v>99.637500000000003</v>
      </c>
      <c r="N2220">
        <v>16.39</v>
      </c>
      <c r="O2220">
        <v>1688</v>
      </c>
      <c r="P2220">
        <v>553</v>
      </c>
      <c r="Q2220" s="5" t="e">
        <f>IF(AND(#REF!&gt;=table!$C$6,#REF!&lt;= table!$D$6),-1,IF(AND(#REF!&gt;=table!$E$6,#REF!&lt;=table!$F$6),1,0))</f>
        <v>#REF!</v>
      </c>
      <c r="R2220" s="5" t="e">
        <f>IF(AND(#REF!&gt;=table!$C$7,#REF!&lt;= table!$D$7),-1,IF(AND(#REF!&gt;=table!$E$7,#REF!&lt;=table!$F$7),1,0))</f>
        <v>#REF!</v>
      </c>
      <c r="S2220" s="5" t="e">
        <f>IF(AND(#REF!&gt;=table!$C$8,#REF!&lt;= table!$D$8),-1,IF(AND(#REF!&gt;=table!$E$8,#REF!&lt;=table!$F$8),1,0))</f>
        <v>#REF!</v>
      </c>
      <c r="T2220" s="5"/>
      <c r="U2220" s="5" t="e">
        <f>IF(AND(#REF!&gt;=table!$C$10,#REF!&lt;= table!$D$10),-1,IF(AND(#REF!&gt;=table!$E$10,#REF!&lt;=table!$F$10),1,0))</f>
        <v>#REF!</v>
      </c>
      <c r="V2220" s="5" t="e">
        <f>IF(AND(#REF!&gt;=table!$C$11,#REF!&lt;= table!$D$11),-1,IF(AND(#REF!&gt;=table!$E$11,#REF!&lt;=table!$F$11),1,0))</f>
        <v>#REF!</v>
      </c>
      <c r="W2220" s="5" t="e">
        <f>CONCATENATE(dados[[#This Row],[fator1]],dados[[#This Row],[fator5]],dados[[#This Row],[fator6]])</f>
        <v>#REF!</v>
      </c>
    </row>
    <row r="2221" spans="1:23">
      <c r="A2221" t="s">
        <v>17</v>
      </c>
      <c r="B2221">
        <v>487247</v>
      </c>
      <c r="C2221">
        <v>0.15</v>
      </c>
      <c r="D2221">
        <v>500</v>
      </c>
      <c r="E2221">
        <v>50</v>
      </c>
      <c r="F2221">
        <v>10</v>
      </c>
      <c r="G2221">
        <v>80</v>
      </c>
      <c r="H2221">
        <v>30</v>
      </c>
      <c r="I2221">
        <v>1324</v>
      </c>
      <c r="J2221">
        <v>0</v>
      </c>
      <c r="K2221">
        <v>3.1765000000000003</v>
      </c>
      <c r="L2221">
        <v>9.6844999999999999</v>
      </c>
      <c r="M2221">
        <v>8.6639999999999997</v>
      </c>
      <c r="N2221">
        <v>14.305000000000001</v>
      </c>
      <c r="O2221">
        <v>1675</v>
      </c>
      <c r="P2221">
        <v>0</v>
      </c>
      <c r="Q2221" s="5" t="e">
        <f>IF(AND(#REF!&gt;=table!$C$6,#REF!&lt;= table!$D$6),-1,IF(AND(#REF!&gt;=table!$E$6,#REF!&lt;=table!$F$6),1,0))</f>
        <v>#REF!</v>
      </c>
      <c r="R2221" s="5" t="e">
        <f>IF(AND(#REF!&gt;=table!$C$7,#REF!&lt;= table!$D$7),-1,IF(AND(#REF!&gt;=table!$E$7,#REF!&lt;=table!$F$7),1,0))</f>
        <v>#REF!</v>
      </c>
      <c r="S2221" s="5" t="e">
        <f>IF(AND(#REF!&gt;=table!$C$8,#REF!&lt;= table!$D$8),-1,IF(AND(#REF!&gt;=table!$E$8,#REF!&lt;=table!$F$8),1,0))</f>
        <v>#REF!</v>
      </c>
      <c r="T2221" s="5"/>
      <c r="U2221" s="5" t="e">
        <f>IF(AND(#REF!&gt;=table!$C$10,#REF!&lt;= table!$D$10),-1,IF(AND(#REF!&gt;=table!$E$10,#REF!&lt;=table!$F$10),1,0))</f>
        <v>#REF!</v>
      </c>
      <c r="V2221" s="5" t="e">
        <f>IF(AND(#REF!&gt;=table!$C$11,#REF!&lt;= table!$D$11),-1,IF(AND(#REF!&gt;=table!$E$11,#REF!&lt;=table!$F$11),1,0))</f>
        <v>#REF!</v>
      </c>
      <c r="W2221" s="5" t="e">
        <f>CONCATENATE(dados[[#This Row],[fator1]],dados[[#This Row],[fator5]],dados[[#This Row],[fator6]])</f>
        <v>#REF!</v>
      </c>
    </row>
    <row r="2222" spans="1:23">
      <c r="A2222" t="s">
        <v>17</v>
      </c>
      <c r="B2222">
        <v>487248</v>
      </c>
      <c r="C2222">
        <v>8</v>
      </c>
      <c r="D2222">
        <v>30</v>
      </c>
      <c r="E2222">
        <v>153</v>
      </c>
      <c r="F2222">
        <v>2</v>
      </c>
      <c r="G2222">
        <v>20</v>
      </c>
      <c r="H2222">
        <v>18</v>
      </c>
      <c r="I2222">
        <v>291</v>
      </c>
      <c r="J2222">
        <v>1310</v>
      </c>
      <c r="K2222">
        <v>4.7970000000000006</v>
      </c>
      <c r="L2222">
        <v>4.29</v>
      </c>
      <c r="M2222">
        <v>135.40049999999999</v>
      </c>
      <c r="N2222">
        <v>10.540000000000001</v>
      </c>
      <c r="O2222">
        <v>1601</v>
      </c>
      <c r="P2222">
        <v>0</v>
      </c>
      <c r="Q2222" s="5" t="e">
        <f>IF(AND(#REF!&gt;=table!$C$6,#REF!&lt;= table!$D$6),-1,IF(AND(#REF!&gt;=table!$E$6,#REF!&lt;=table!$F$6),1,0))</f>
        <v>#REF!</v>
      </c>
      <c r="R2222" s="5" t="e">
        <f>IF(AND(#REF!&gt;=table!$C$7,#REF!&lt;= table!$D$7),-1,IF(AND(#REF!&gt;=table!$E$7,#REF!&lt;=table!$F$7),1,0))</f>
        <v>#REF!</v>
      </c>
      <c r="S2222" s="5" t="e">
        <f>IF(AND(#REF!&gt;=table!$C$8,#REF!&lt;= table!$D$8),-1,IF(AND(#REF!&gt;=table!$E$8,#REF!&lt;=table!$F$8),1,0))</f>
        <v>#REF!</v>
      </c>
      <c r="T2222" s="5"/>
      <c r="U2222" s="5" t="e">
        <f>IF(AND(#REF!&gt;=table!$C$10,#REF!&lt;= table!$D$10),-1,IF(AND(#REF!&gt;=table!$E$10,#REF!&lt;=table!$F$10),1,0))</f>
        <v>#REF!</v>
      </c>
      <c r="V2222" s="5" t="e">
        <f>IF(AND(#REF!&gt;=table!$C$11,#REF!&lt;= table!$D$11),-1,IF(AND(#REF!&gt;=table!$E$11,#REF!&lt;=table!$F$11),1,0))</f>
        <v>#REF!</v>
      </c>
      <c r="W2222" s="5" t="e">
        <f>CONCATENATE(dados[[#This Row],[fator1]],dados[[#This Row],[fator5]],dados[[#This Row],[fator6]])</f>
        <v>#REF!</v>
      </c>
    </row>
    <row r="2223" spans="1:23">
      <c r="A2223" t="s">
        <v>17</v>
      </c>
      <c r="B2223">
        <v>487249</v>
      </c>
      <c r="C2223">
        <v>8</v>
      </c>
      <c r="D2223">
        <v>30</v>
      </c>
      <c r="E2223">
        <v>153</v>
      </c>
      <c r="F2223">
        <v>2</v>
      </c>
      <c r="G2223">
        <v>20</v>
      </c>
      <c r="H2223">
        <v>18</v>
      </c>
      <c r="I2223">
        <v>0</v>
      </c>
      <c r="J2223">
        <v>0</v>
      </c>
      <c r="K2223">
        <v>4.4169999999999998</v>
      </c>
      <c r="L2223">
        <v>6.8595000000000006</v>
      </c>
      <c r="M2223">
        <v>132.79850000000002</v>
      </c>
      <c r="N2223">
        <v>9.8800000000000008</v>
      </c>
      <c r="O2223">
        <v>1666</v>
      </c>
      <c r="P2223">
        <v>0</v>
      </c>
      <c r="Q2223" s="5" t="e">
        <f>IF(AND(#REF!&gt;=table!$C$6,#REF!&lt;= table!$D$6),-1,IF(AND(#REF!&gt;=table!$E$6,#REF!&lt;=table!$F$6),1,0))</f>
        <v>#REF!</v>
      </c>
      <c r="R2223" s="5" t="e">
        <f>IF(AND(#REF!&gt;=table!$C$7,#REF!&lt;= table!$D$7),-1,IF(AND(#REF!&gt;=table!$E$7,#REF!&lt;=table!$F$7),1,0))</f>
        <v>#REF!</v>
      </c>
      <c r="S2223" s="5" t="e">
        <f>IF(AND(#REF!&gt;=table!$C$8,#REF!&lt;= table!$D$8),-1,IF(AND(#REF!&gt;=table!$E$8,#REF!&lt;=table!$F$8),1,0))</f>
        <v>#REF!</v>
      </c>
      <c r="T2223" s="5"/>
      <c r="U2223" s="5" t="e">
        <f>IF(AND(#REF!&gt;=table!$C$10,#REF!&lt;= table!$D$10),-1,IF(AND(#REF!&gt;=table!$E$10,#REF!&lt;=table!$F$10),1,0))</f>
        <v>#REF!</v>
      </c>
      <c r="V2223" s="5" t="e">
        <f>IF(AND(#REF!&gt;=table!$C$11,#REF!&lt;= table!$D$11),-1,IF(AND(#REF!&gt;=table!$E$11,#REF!&lt;=table!$F$11),1,0))</f>
        <v>#REF!</v>
      </c>
      <c r="W2223" s="5" t="e">
        <f>CONCATENATE(dados[[#This Row],[fator1]],dados[[#This Row],[fator5]],dados[[#This Row],[fator6]])</f>
        <v>#REF!</v>
      </c>
    </row>
    <row r="2224" spans="1:23">
      <c r="A2224" t="s">
        <v>17</v>
      </c>
      <c r="B2224">
        <v>487255</v>
      </c>
      <c r="C2224">
        <v>18</v>
      </c>
      <c r="D2224">
        <v>30</v>
      </c>
      <c r="E2224">
        <v>96</v>
      </c>
      <c r="F2224">
        <v>9</v>
      </c>
      <c r="G2224">
        <v>20</v>
      </c>
      <c r="H2224">
        <v>25</v>
      </c>
      <c r="I2224">
        <v>932</v>
      </c>
      <c r="J2224">
        <v>0</v>
      </c>
      <c r="K2224">
        <v>4.2725</v>
      </c>
      <c r="L2224">
        <v>6.6355000000000004</v>
      </c>
      <c r="M2224">
        <v>85.441500000000005</v>
      </c>
      <c r="N2224">
        <v>9.9150000000000009</v>
      </c>
      <c r="O2224">
        <v>1683</v>
      </c>
      <c r="P2224">
        <v>0</v>
      </c>
      <c r="Q2224" s="5" t="e">
        <f>IF(AND(#REF!&gt;=table!$C$6,#REF!&lt;= table!$D$6),-1,IF(AND(#REF!&gt;=table!$E$6,#REF!&lt;=table!$F$6),1,0))</f>
        <v>#REF!</v>
      </c>
      <c r="R2224" s="5" t="e">
        <f>IF(AND(#REF!&gt;=table!$C$7,#REF!&lt;= table!$D$7),-1,IF(AND(#REF!&gt;=table!$E$7,#REF!&lt;=table!$F$7),1,0))</f>
        <v>#REF!</v>
      </c>
      <c r="S2224" s="5" t="e">
        <f>IF(AND(#REF!&gt;=table!$C$8,#REF!&lt;= table!$D$8),-1,IF(AND(#REF!&gt;=table!$E$8,#REF!&lt;=table!$F$8),1,0))</f>
        <v>#REF!</v>
      </c>
      <c r="T2224" s="5"/>
      <c r="U2224" s="5" t="e">
        <f>IF(AND(#REF!&gt;=table!$C$10,#REF!&lt;= table!$D$10),-1,IF(AND(#REF!&gt;=table!$E$10,#REF!&lt;=table!$F$10),1,0))</f>
        <v>#REF!</v>
      </c>
      <c r="V2224" s="5" t="e">
        <f>IF(AND(#REF!&gt;=table!$C$11,#REF!&lt;= table!$D$11),-1,IF(AND(#REF!&gt;=table!$E$11,#REF!&lt;=table!$F$11),1,0))</f>
        <v>#REF!</v>
      </c>
      <c r="W2224" s="5" t="e">
        <f>CONCATENATE(dados[[#This Row],[fator1]],dados[[#This Row],[fator5]],dados[[#This Row],[fator6]])</f>
        <v>#REF!</v>
      </c>
    </row>
    <row r="2225" spans="1:23">
      <c r="A2225" t="s">
        <v>17</v>
      </c>
      <c r="B2225">
        <v>487257</v>
      </c>
      <c r="C2225">
        <v>14</v>
      </c>
      <c r="D2225">
        <v>25</v>
      </c>
      <c r="E2225">
        <v>130</v>
      </c>
      <c r="F2225">
        <v>9</v>
      </c>
      <c r="G2225">
        <v>110</v>
      </c>
      <c r="H2225">
        <v>50</v>
      </c>
      <c r="I2225">
        <v>1363</v>
      </c>
      <c r="J2225">
        <v>0</v>
      </c>
      <c r="K2225">
        <v>6.0805000000000007</v>
      </c>
      <c r="L2225">
        <v>8.5650000000000013</v>
      </c>
      <c r="M2225">
        <v>109.378</v>
      </c>
      <c r="N2225">
        <v>29.865000000000002</v>
      </c>
      <c r="O2225">
        <v>1682</v>
      </c>
      <c r="P2225">
        <v>738</v>
      </c>
      <c r="Q2225" s="5" t="e">
        <f>IF(AND(#REF!&gt;=table!$C$6,#REF!&lt;= table!$D$6),-1,IF(AND(#REF!&gt;=table!$E$6,#REF!&lt;=table!$F$6),1,0))</f>
        <v>#REF!</v>
      </c>
      <c r="R2225" s="5" t="e">
        <f>IF(AND(#REF!&gt;=table!$C$7,#REF!&lt;= table!$D$7),-1,IF(AND(#REF!&gt;=table!$E$7,#REF!&lt;=table!$F$7),1,0))</f>
        <v>#REF!</v>
      </c>
      <c r="S2225" s="5" t="e">
        <f>IF(AND(#REF!&gt;=table!$C$8,#REF!&lt;= table!$D$8),-1,IF(AND(#REF!&gt;=table!$E$8,#REF!&lt;=table!$F$8),1,0))</f>
        <v>#REF!</v>
      </c>
      <c r="T2225" s="5"/>
      <c r="U2225" s="5" t="e">
        <f>IF(AND(#REF!&gt;=table!$C$10,#REF!&lt;= table!$D$10),-1,IF(AND(#REF!&gt;=table!$E$10,#REF!&lt;=table!$F$10),1,0))</f>
        <v>#REF!</v>
      </c>
      <c r="V2225" s="5" t="e">
        <f>IF(AND(#REF!&gt;=table!$C$11,#REF!&lt;= table!$D$11),-1,IF(AND(#REF!&gt;=table!$E$11,#REF!&lt;=table!$F$11),1,0))</f>
        <v>#REF!</v>
      </c>
      <c r="W2225" s="5" t="e">
        <f>CONCATENATE(dados[[#This Row],[fator1]],dados[[#This Row],[fator5]],dados[[#This Row],[fator6]])</f>
        <v>#REF!</v>
      </c>
    </row>
    <row r="2226" spans="1:23">
      <c r="A2226" t="s">
        <v>16</v>
      </c>
      <c r="B2226">
        <v>487259</v>
      </c>
      <c r="C2226">
        <v>0.15</v>
      </c>
      <c r="D2226">
        <v>40</v>
      </c>
      <c r="E2226">
        <v>64</v>
      </c>
      <c r="F2226">
        <v>10</v>
      </c>
      <c r="G2226">
        <v>0</v>
      </c>
      <c r="H2226">
        <v>35</v>
      </c>
      <c r="I2226">
        <v>515</v>
      </c>
      <c r="J2226">
        <v>0</v>
      </c>
      <c r="K2226">
        <v>3.9645000000000001</v>
      </c>
      <c r="L2226">
        <v>9.7795000000000005</v>
      </c>
      <c r="M2226">
        <v>8.6690000000000005</v>
      </c>
      <c r="N2226">
        <v>13.8</v>
      </c>
      <c r="O2226">
        <v>1655</v>
      </c>
      <c r="P2226">
        <v>992</v>
      </c>
      <c r="Q2226" s="5" t="e">
        <f>IF(AND(#REF!&gt;=table!$C$6,#REF!&lt;= table!$D$6),-1,IF(AND(#REF!&gt;=table!$E$6,#REF!&lt;=table!$F$6),1,0))</f>
        <v>#REF!</v>
      </c>
      <c r="R2226" s="5" t="e">
        <f>IF(AND(#REF!&gt;=table!$C$7,#REF!&lt;= table!$D$7),-1,IF(AND(#REF!&gt;=table!$E$7,#REF!&lt;=table!$F$7),1,0))</f>
        <v>#REF!</v>
      </c>
      <c r="S2226" s="5" t="e">
        <f>IF(AND(#REF!&gt;=table!$C$8,#REF!&lt;= table!$D$8),-1,IF(AND(#REF!&gt;=table!$E$8,#REF!&lt;=table!$F$8),1,0))</f>
        <v>#REF!</v>
      </c>
      <c r="T2226" s="5"/>
      <c r="U2226" s="5" t="e">
        <f>IF(AND(#REF!&gt;=table!$C$10,#REF!&lt;= table!$D$10),-1,IF(AND(#REF!&gt;=table!$E$10,#REF!&lt;=table!$F$10),1,0))</f>
        <v>#REF!</v>
      </c>
      <c r="V2226" s="5" t="e">
        <f>IF(AND(#REF!&gt;=table!$C$11,#REF!&lt;= table!$D$11),-1,IF(AND(#REF!&gt;=table!$E$11,#REF!&lt;=table!$F$11),1,0))</f>
        <v>#REF!</v>
      </c>
      <c r="W2226" s="5" t="e">
        <f>CONCATENATE(dados[[#This Row],[fator1]],dados[[#This Row],[fator5]],dados[[#This Row],[fator6]])</f>
        <v>#REF!</v>
      </c>
    </row>
    <row r="2227" spans="1:23">
      <c r="A2227" t="s">
        <v>17</v>
      </c>
      <c r="B2227">
        <v>487263</v>
      </c>
      <c r="C2227">
        <v>7</v>
      </c>
      <c r="D2227">
        <v>25</v>
      </c>
      <c r="E2227">
        <v>106</v>
      </c>
      <c r="F2227">
        <v>9</v>
      </c>
      <c r="G2227">
        <v>110</v>
      </c>
      <c r="H2227">
        <v>50</v>
      </c>
      <c r="I2227">
        <v>24</v>
      </c>
      <c r="J2227">
        <v>640</v>
      </c>
      <c r="K2227">
        <v>11.073500000000001</v>
      </c>
      <c r="L2227">
        <v>34.085500000000003</v>
      </c>
      <c r="M2227">
        <v>92.685000000000002</v>
      </c>
      <c r="N2227">
        <v>32.185000000000002</v>
      </c>
      <c r="O2227">
        <v>1665</v>
      </c>
      <c r="P2227">
        <v>273</v>
      </c>
      <c r="Q2227" s="5" t="e">
        <f>IF(AND(#REF!&gt;=table!$C$6,#REF!&lt;= table!$D$6),-1,IF(AND(#REF!&gt;=table!$E$6,#REF!&lt;=table!$F$6),1,0))</f>
        <v>#REF!</v>
      </c>
      <c r="R2227" s="5" t="e">
        <f>IF(AND(#REF!&gt;=table!$C$7,#REF!&lt;= table!$D$7),-1,IF(AND(#REF!&gt;=table!$E$7,#REF!&lt;=table!$F$7),1,0))</f>
        <v>#REF!</v>
      </c>
      <c r="S2227" s="5" t="e">
        <f>IF(AND(#REF!&gt;=table!$C$8,#REF!&lt;= table!$D$8),-1,IF(AND(#REF!&gt;=table!$E$8,#REF!&lt;=table!$F$8),1,0))</f>
        <v>#REF!</v>
      </c>
      <c r="T2227" s="5"/>
      <c r="U2227" s="5" t="e">
        <f>IF(AND(#REF!&gt;=table!$C$10,#REF!&lt;= table!$D$10),-1,IF(AND(#REF!&gt;=table!$E$10,#REF!&lt;=table!$F$10),1,0))</f>
        <v>#REF!</v>
      </c>
      <c r="V2227" s="5" t="e">
        <f>IF(AND(#REF!&gt;=table!$C$11,#REF!&lt;= table!$D$11),-1,IF(AND(#REF!&gt;=table!$E$11,#REF!&lt;=table!$F$11),1,0))</f>
        <v>#REF!</v>
      </c>
      <c r="W2227" s="5" t="e">
        <f>CONCATENATE(dados[[#This Row],[fator1]],dados[[#This Row],[fator5]],dados[[#This Row],[fator6]])</f>
        <v>#REF!</v>
      </c>
    </row>
    <row r="2228" spans="1:23">
      <c r="A2228" t="s">
        <v>17</v>
      </c>
      <c r="B2228">
        <v>487270</v>
      </c>
      <c r="C2228">
        <v>0.15</v>
      </c>
      <c r="D2228">
        <v>40</v>
      </c>
      <c r="E2228">
        <v>105</v>
      </c>
      <c r="F2228">
        <v>10</v>
      </c>
      <c r="G2228">
        <v>10</v>
      </c>
      <c r="H2228">
        <v>80</v>
      </c>
      <c r="I2228">
        <v>708</v>
      </c>
      <c r="J2228">
        <v>0</v>
      </c>
      <c r="K2228">
        <v>4.157</v>
      </c>
      <c r="L2228">
        <v>6.4645000000000001</v>
      </c>
      <c r="M2228">
        <v>6.5635000000000003</v>
      </c>
      <c r="N2228">
        <v>10.75</v>
      </c>
      <c r="O2228">
        <v>1654</v>
      </c>
      <c r="P2228">
        <v>980</v>
      </c>
      <c r="Q2228" s="5" t="e">
        <f>IF(AND(#REF!&gt;=table!$C$6,#REF!&lt;= table!$D$6),-1,IF(AND(#REF!&gt;=table!$E$6,#REF!&lt;=table!$F$6),1,0))</f>
        <v>#REF!</v>
      </c>
      <c r="R2228" s="5" t="e">
        <f>IF(AND(#REF!&gt;=table!$C$7,#REF!&lt;= table!$D$7),-1,IF(AND(#REF!&gt;=table!$E$7,#REF!&lt;=table!$F$7),1,0))</f>
        <v>#REF!</v>
      </c>
      <c r="S2228" s="5" t="e">
        <f>IF(AND(#REF!&gt;=table!$C$8,#REF!&lt;= table!$D$8),-1,IF(AND(#REF!&gt;=table!$E$8,#REF!&lt;=table!$F$8),1,0))</f>
        <v>#REF!</v>
      </c>
      <c r="T2228" s="5"/>
      <c r="U2228" s="5" t="e">
        <f>IF(AND(#REF!&gt;=table!$C$10,#REF!&lt;= table!$D$10),-1,IF(AND(#REF!&gt;=table!$E$10,#REF!&lt;=table!$F$10),1,0))</f>
        <v>#REF!</v>
      </c>
      <c r="V2228" s="5" t="e">
        <f>IF(AND(#REF!&gt;=table!$C$11,#REF!&lt;= table!$D$11),-1,IF(AND(#REF!&gt;=table!$E$11,#REF!&lt;=table!$F$11),1,0))</f>
        <v>#REF!</v>
      </c>
      <c r="W2228" s="5" t="e">
        <f>CONCATENATE(dados[[#This Row],[fator1]],dados[[#This Row],[fator5]],dados[[#This Row],[fator6]])</f>
        <v>#REF!</v>
      </c>
    </row>
    <row r="2229" spans="1:23">
      <c r="A2229" t="s">
        <v>16</v>
      </c>
      <c r="B2229">
        <v>487282</v>
      </c>
      <c r="C2229">
        <v>0.15</v>
      </c>
      <c r="D2229">
        <v>40</v>
      </c>
      <c r="E2229">
        <v>10</v>
      </c>
      <c r="F2229">
        <v>15</v>
      </c>
      <c r="G2229">
        <v>0</v>
      </c>
      <c r="H2229">
        <v>15</v>
      </c>
      <c r="I2229">
        <v>948</v>
      </c>
      <c r="J2229">
        <v>0</v>
      </c>
      <c r="K2229">
        <v>4.8795000000000002</v>
      </c>
      <c r="L2229">
        <v>7.8170000000000002</v>
      </c>
      <c r="M2229">
        <v>7.5870000000000006</v>
      </c>
      <c r="N2229">
        <v>10.565000000000001</v>
      </c>
      <c r="O2229">
        <v>1683</v>
      </c>
      <c r="P2229">
        <v>907</v>
      </c>
      <c r="Q2229" s="5" t="e">
        <f>IF(AND(#REF!&gt;=table!$C$6,#REF!&lt;= table!$D$6),-1,IF(AND(#REF!&gt;=table!$E$6,#REF!&lt;=table!$F$6),1,0))</f>
        <v>#REF!</v>
      </c>
      <c r="R2229" s="5" t="e">
        <f>IF(AND(#REF!&gt;=table!$C$7,#REF!&lt;= table!$D$7),-1,IF(AND(#REF!&gt;=table!$E$7,#REF!&lt;=table!$F$7),1,0))</f>
        <v>#REF!</v>
      </c>
      <c r="S2229" s="5" t="e">
        <f>IF(AND(#REF!&gt;=table!$C$8,#REF!&lt;= table!$D$8),-1,IF(AND(#REF!&gt;=table!$E$8,#REF!&lt;=table!$F$8),1,0))</f>
        <v>#REF!</v>
      </c>
      <c r="T2229" s="5"/>
      <c r="U2229" s="5" t="e">
        <f>IF(AND(#REF!&gt;=table!$C$10,#REF!&lt;= table!$D$10),-1,IF(AND(#REF!&gt;=table!$E$10,#REF!&lt;=table!$F$10),1,0))</f>
        <v>#REF!</v>
      </c>
      <c r="V2229" s="5" t="e">
        <f>IF(AND(#REF!&gt;=table!$C$11,#REF!&lt;= table!$D$11),-1,IF(AND(#REF!&gt;=table!$E$11,#REF!&lt;=table!$F$11),1,0))</f>
        <v>#REF!</v>
      </c>
      <c r="W2229" s="5" t="e">
        <f>CONCATENATE(dados[[#This Row],[fator1]],dados[[#This Row],[fator5]],dados[[#This Row],[fator6]])</f>
        <v>#REF!</v>
      </c>
    </row>
    <row r="2230" spans="1:23">
      <c r="A2230" t="s">
        <v>16</v>
      </c>
      <c r="B2230">
        <v>487285</v>
      </c>
      <c r="C2230">
        <v>7</v>
      </c>
      <c r="D2230">
        <v>33</v>
      </c>
      <c r="E2230">
        <v>153</v>
      </c>
      <c r="F2230">
        <v>4</v>
      </c>
      <c r="G2230">
        <v>0</v>
      </c>
      <c r="H2230">
        <v>25</v>
      </c>
      <c r="I2230">
        <v>0</v>
      </c>
      <c r="J2230">
        <v>0</v>
      </c>
      <c r="K2230">
        <v>5.0315000000000003</v>
      </c>
      <c r="L2230">
        <v>12.899000000000001</v>
      </c>
      <c r="M2230">
        <v>107.771</v>
      </c>
      <c r="N2230">
        <v>14.795</v>
      </c>
      <c r="O2230">
        <v>1666</v>
      </c>
      <c r="P2230">
        <v>836</v>
      </c>
      <c r="Q2230" s="5" t="e">
        <f>IF(AND(#REF!&gt;=table!$C$6,#REF!&lt;= table!$D$6),-1,IF(AND(#REF!&gt;=table!$E$6,#REF!&lt;=table!$F$6),1,0))</f>
        <v>#REF!</v>
      </c>
      <c r="R2230" s="5" t="e">
        <f>IF(AND(#REF!&gt;=table!$C$7,#REF!&lt;= table!$D$7),-1,IF(AND(#REF!&gt;=table!$E$7,#REF!&lt;=table!$F$7),1,0))</f>
        <v>#REF!</v>
      </c>
      <c r="S2230" s="5" t="e">
        <f>IF(AND(#REF!&gt;=table!$C$8,#REF!&lt;= table!$D$8),-1,IF(AND(#REF!&gt;=table!$E$8,#REF!&lt;=table!$F$8),1,0))</f>
        <v>#REF!</v>
      </c>
      <c r="T2230" s="5"/>
      <c r="U2230" s="5" t="e">
        <f>IF(AND(#REF!&gt;=table!$C$10,#REF!&lt;= table!$D$10),-1,IF(AND(#REF!&gt;=table!$E$10,#REF!&lt;=table!$F$10),1,0))</f>
        <v>#REF!</v>
      </c>
      <c r="V2230" s="5" t="e">
        <f>IF(AND(#REF!&gt;=table!$C$11,#REF!&lt;= table!$D$11),-1,IF(AND(#REF!&gt;=table!$E$11,#REF!&lt;=table!$F$11),1,0))</f>
        <v>#REF!</v>
      </c>
      <c r="W2230" s="5" t="e">
        <f>CONCATENATE(dados[[#This Row],[fator1]],dados[[#This Row],[fator5]],dados[[#This Row],[fator6]])</f>
        <v>#REF!</v>
      </c>
    </row>
    <row r="2231" spans="1:23">
      <c r="A2231" t="s">
        <v>16</v>
      </c>
      <c r="B2231">
        <v>487287</v>
      </c>
      <c r="C2231">
        <v>7</v>
      </c>
      <c r="D2231">
        <v>33</v>
      </c>
      <c r="E2231">
        <v>153</v>
      </c>
      <c r="F2231">
        <v>4</v>
      </c>
      <c r="G2231">
        <v>0</v>
      </c>
      <c r="H2231">
        <v>25</v>
      </c>
      <c r="I2231">
        <v>888</v>
      </c>
      <c r="J2231">
        <v>0</v>
      </c>
      <c r="K2231">
        <v>3.2600000000000002</v>
      </c>
      <c r="L2231">
        <v>5.2995000000000001</v>
      </c>
      <c r="M2231">
        <v>205.20700000000002</v>
      </c>
      <c r="N2231">
        <v>18.11</v>
      </c>
      <c r="O2231">
        <v>1676</v>
      </c>
      <c r="P2231">
        <v>1180</v>
      </c>
      <c r="Q2231" s="5" t="e">
        <f>IF(AND(#REF!&gt;=table!$C$6,#REF!&lt;= table!$D$6),-1,IF(AND(#REF!&gt;=table!$E$6,#REF!&lt;=table!$F$6),1,0))</f>
        <v>#REF!</v>
      </c>
      <c r="R2231" s="5" t="e">
        <f>IF(AND(#REF!&gt;=table!$C$7,#REF!&lt;= table!$D$7),-1,IF(AND(#REF!&gt;=table!$E$7,#REF!&lt;=table!$F$7),1,0))</f>
        <v>#REF!</v>
      </c>
      <c r="S2231" s="5" t="e">
        <f>IF(AND(#REF!&gt;=table!$C$8,#REF!&lt;= table!$D$8),-1,IF(AND(#REF!&gt;=table!$E$8,#REF!&lt;=table!$F$8),1,0))</f>
        <v>#REF!</v>
      </c>
      <c r="T2231" s="5"/>
      <c r="U2231" s="5" t="e">
        <f>IF(AND(#REF!&gt;=table!$C$10,#REF!&lt;= table!$D$10),-1,IF(AND(#REF!&gt;=table!$E$10,#REF!&lt;=table!$F$10),1,0))</f>
        <v>#REF!</v>
      </c>
      <c r="V2231" s="5" t="e">
        <f>IF(AND(#REF!&gt;=table!$C$11,#REF!&lt;= table!$D$11),-1,IF(AND(#REF!&gt;=table!$E$11,#REF!&lt;=table!$F$11),1,0))</f>
        <v>#REF!</v>
      </c>
      <c r="W2231" s="5" t="e">
        <f>CONCATENATE(dados[[#This Row],[fator1]],dados[[#This Row],[fator5]],dados[[#This Row],[fator6]])</f>
        <v>#REF!</v>
      </c>
    </row>
    <row r="2232" spans="1:23">
      <c r="A2232" t="s">
        <v>16</v>
      </c>
      <c r="B2232">
        <v>487288</v>
      </c>
      <c r="C2232">
        <v>7</v>
      </c>
      <c r="D2232">
        <v>33</v>
      </c>
      <c r="E2232">
        <v>153</v>
      </c>
      <c r="F2232">
        <v>4</v>
      </c>
      <c r="G2232">
        <v>0</v>
      </c>
      <c r="H2232">
        <v>25</v>
      </c>
      <c r="I2232">
        <v>1373</v>
      </c>
      <c r="J2232">
        <v>0</v>
      </c>
      <c r="K2232">
        <v>3.0175000000000001</v>
      </c>
      <c r="L2232">
        <v>2.6040000000000001</v>
      </c>
      <c r="M2232">
        <v>82.040500000000009</v>
      </c>
      <c r="N2232">
        <v>16.195</v>
      </c>
      <c r="O2232">
        <v>1703</v>
      </c>
      <c r="P2232">
        <v>0</v>
      </c>
      <c r="Q2232" s="5" t="e">
        <f>IF(AND(#REF!&gt;=table!$C$6,#REF!&lt;= table!$D$6),-1,IF(AND(#REF!&gt;=table!$E$6,#REF!&lt;=table!$F$6),1,0))</f>
        <v>#REF!</v>
      </c>
      <c r="R2232" s="5" t="e">
        <f>IF(AND(#REF!&gt;=table!$C$7,#REF!&lt;= table!$D$7),-1,IF(AND(#REF!&gt;=table!$E$7,#REF!&lt;=table!$F$7),1,0))</f>
        <v>#REF!</v>
      </c>
      <c r="S2232" s="5" t="e">
        <f>IF(AND(#REF!&gt;=table!$C$8,#REF!&lt;= table!$D$8),-1,IF(AND(#REF!&gt;=table!$E$8,#REF!&lt;=table!$F$8),1,0))</f>
        <v>#REF!</v>
      </c>
      <c r="T2232" s="5"/>
      <c r="U2232" s="5" t="e">
        <f>IF(AND(#REF!&gt;=table!$C$10,#REF!&lt;= table!$D$10),-1,IF(AND(#REF!&gt;=table!$E$10,#REF!&lt;=table!$F$10),1,0))</f>
        <v>#REF!</v>
      </c>
      <c r="V2232" s="5" t="e">
        <f>IF(AND(#REF!&gt;=table!$C$11,#REF!&lt;= table!$D$11),-1,IF(AND(#REF!&gt;=table!$E$11,#REF!&lt;=table!$F$11),1,0))</f>
        <v>#REF!</v>
      </c>
      <c r="W2232" s="5" t="e">
        <f>CONCATENATE(dados[[#This Row],[fator1]],dados[[#This Row],[fator5]],dados[[#This Row],[fator6]])</f>
        <v>#REF!</v>
      </c>
    </row>
    <row r="2233" spans="1:23">
      <c r="A2233" t="s">
        <v>16</v>
      </c>
      <c r="B2233">
        <v>487289</v>
      </c>
      <c r="C2233">
        <v>9</v>
      </c>
      <c r="D2233">
        <v>40</v>
      </c>
      <c r="E2233">
        <v>125</v>
      </c>
      <c r="F2233">
        <v>3</v>
      </c>
      <c r="G2233">
        <v>0</v>
      </c>
      <c r="H2233">
        <v>25</v>
      </c>
      <c r="I2233">
        <v>0</v>
      </c>
      <c r="J2233">
        <v>0</v>
      </c>
      <c r="K2233">
        <v>2.7055000000000002</v>
      </c>
      <c r="L2233">
        <v>4.7460000000000004</v>
      </c>
      <c r="M2233">
        <v>82.046999999999997</v>
      </c>
      <c r="N2233">
        <v>16</v>
      </c>
      <c r="O2233">
        <v>1733</v>
      </c>
      <c r="P2233">
        <v>0</v>
      </c>
      <c r="Q2233" s="5" t="e">
        <f>IF(AND(#REF!&gt;=table!$C$6,#REF!&lt;= table!$D$6),-1,IF(AND(#REF!&gt;=table!$E$6,#REF!&lt;=table!$F$6),1,0))</f>
        <v>#REF!</v>
      </c>
      <c r="R2233" s="5" t="e">
        <f>IF(AND(#REF!&gt;=table!$C$7,#REF!&lt;= table!$D$7),-1,IF(AND(#REF!&gt;=table!$E$7,#REF!&lt;=table!$F$7),1,0))</f>
        <v>#REF!</v>
      </c>
      <c r="S2233" s="5" t="e">
        <f>IF(AND(#REF!&gt;=table!$C$8,#REF!&lt;= table!$D$8),-1,IF(AND(#REF!&gt;=table!$E$8,#REF!&lt;=table!$F$8),1,0))</f>
        <v>#REF!</v>
      </c>
      <c r="T2233" s="5"/>
      <c r="U2233" s="5" t="e">
        <f>IF(AND(#REF!&gt;=table!$C$10,#REF!&lt;= table!$D$10),-1,IF(AND(#REF!&gt;=table!$E$10,#REF!&lt;=table!$F$10),1,0))</f>
        <v>#REF!</v>
      </c>
      <c r="V2233" s="5" t="e">
        <f>IF(AND(#REF!&gt;=table!$C$11,#REF!&lt;= table!$D$11),-1,IF(AND(#REF!&gt;=table!$E$11,#REF!&lt;=table!$F$11),1,0))</f>
        <v>#REF!</v>
      </c>
      <c r="W2233" s="5" t="e">
        <f>CONCATENATE(dados[[#This Row],[fator1]],dados[[#This Row],[fator5]],dados[[#This Row],[fator6]])</f>
        <v>#REF!</v>
      </c>
    </row>
    <row r="2234" spans="1:23">
      <c r="A2234" t="s">
        <v>16</v>
      </c>
      <c r="B2234">
        <v>487290</v>
      </c>
      <c r="C2234">
        <v>7</v>
      </c>
      <c r="D2234">
        <v>33</v>
      </c>
      <c r="E2234">
        <v>150</v>
      </c>
      <c r="F2234">
        <v>4</v>
      </c>
      <c r="G2234">
        <v>0</v>
      </c>
      <c r="H2234">
        <v>25</v>
      </c>
      <c r="I2234">
        <v>807</v>
      </c>
      <c r="J2234">
        <v>0</v>
      </c>
      <c r="K2234">
        <v>2.7390000000000003</v>
      </c>
      <c r="L2234">
        <v>4.76</v>
      </c>
      <c r="M2234">
        <v>122.21000000000001</v>
      </c>
      <c r="N2234">
        <v>9.5500000000000007</v>
      </c>
      <c r="O2234">
        <v>1633</v>
      </c>
      <c r="P2234">
        <v>961</v>
      </c>
      <c r="Q2234" s="5" t="e">
        <f>IF(AND(#REF!&gt;=table!$C$6,#REF!&lt;= table!$D$6),-1,IF(AND(#REF!&gt;=table!$E$6,#REF!&lt;=table!$F$6),1,0))</f>
        <v>#REF!</v>
      </c>
      <c r="R2234" s="5" t="e">
        <f>IF(AND(#REF!&gt;=table!$C$7,#REF!&lt;= table!$D$7),-1,IF(AND(#REF!&gt;=table!$E$7,#REF!&lt;=table!$F$7),1,0))</f>
        <v>#REF!</v>
      </c>
      <c r="S2234" s="5" t="e">
        <f>IF(AND(#REF!&gt;=table!$C$8,#REF!&lt;= table!$D$8),-1,IF(AND(#REF!&gt;=table!$E$8,#REF!&lt;=table!$F$8),1,0))</f>
        <v>#REF!</v>
      </c>
      <c r="T2234" s="5"/>
      <c r="U2234" s="5" t="e">
        <f>IF(AND(#REF!&gt;=table!$C$10,#REF!&lt;= table!$D$10),-1,IF(AND(#REF!&gt;=table!$E$10,#REF!&lt;=table!$F$10),1,0))</f>
        <v>#REF!</v>
      </c>
      <c r="V2234" s="5" t="e">
        <f>IF(AND(#REF!&gt;=table!$C$11,#REF!&lt;= table!$D$11),-1,IF(AND(#REF!&gt;=table!$E$11,#REF!&lt;=table!$F$11),1,0))</f>
        <v>#REF!</v>
      </c>
      <c r="W2234" s="5" t="e">
        <f>CONCATENATE(dados[[#This Row],[fator1]],dados[[#This Row],[fator5]],dados[[#This Row],[fator6]])</f>
        <v>#REF!</v>
      </c>
    </row>
    <row r="2235" spans="1:23">
      <c r="A2235" t="s">
        <v>16</v>
      </c>
      <c r="B2235">
        <v>487293</v>
      </c>
      <c r="C2235">
        <v>9</v>
      </c>
      <c r="D2235">
        <v>33</v>
      </c>
      <c r="E2235">
        <v>153</v>
      </c>
      <c r="F2235">
        <v>4</v>
      </c>
      <c r="G2235">
        <v>0</v>
      </c>
      <c r="H2235">
        <v>25</v>
      </c>
      <c r="I2235">
        <v>839</v>
      </c>
      <c r="J2235">
        <v>0</v>
      </c>
      <c r="K2235">
        <v>5.1865000000000006</v>
      </c>
      <c r="L2235">
        <v>10.794500000000001</v>
      </c>
      <c r="M2235">
        <v>135.922</v>
      </c>
      <c r="N2235">
        <v>16.04</v>
      </c>
      <c r="O2235">
        <v>1672</v>
      </c>
      <c r="P2235">
        <v>0</v>
      </c>
      <c r="Q2235" s="5" t="e">
        <f>IF(AND(#REF!&gt;=table!$C$6,#REF!&lt;= table!$D$6),-1,IF(AND(#REF!&gt;=table!$E$6,#REF!&lt;=table!$F$6),1,0))</f>
        <v>#REF!</v>
      </c>
      <c r="R2235" s="5" t="e">
        <f>IF(AND(#REF!&gt;=table!$C$7,#REF!&lt;= table!$D$7),-1,IF(AND(#REF!&gt;=table!$E$7,#REF!&lt;=table!$F$7),1,0))</f>
        <v>#REF!</v>
      </c>
      <c r="S2235" s="5" t="e">
        <f>IF(AND(#REF!&gt;=table!$C$8,#REF!&lt;= table!$D$8),-1,IF(AND(#REF!&gt;=table!$E$8,#REF!&lt;=table!$F$8),1,0))</f>
        <v>#REF!</v>
      </c>
      <c r="T2235" s="5"/>
      <c r="U2235" s="5" t="e">
        <f>IF(AND(#REF!&gt;=table!$C$10,#REF!&lt;= table!$D$10),-1,IF(AND(#REF!&gt;=table!$E$10,#REF!&lt;=table!$F$10),1,0))</f>
        <v>#REF!</v>
      </c>
      <c r="V2235" s="5" t="e">
        <f>IF(AND(#REF!&gt;=table!$C$11,#REF!&lt;= table!$D$11),-1,IF(AND(#REF!&gt;=table!$E$11,#REF!&lt;=table!$F$11),1,0))</f>
        <v>#REF!</v>
      </c>
      <c r="W2235" s="5" t="e">
        <f>CONCATENATE(dados[[#This Row],[fator1]],dados[[#This Row],[fator5]],dados[[#This Row],[fator6]])</f>
        <v>#REF!</v>
      </c>
    </row>
    <row r="2236" spans="1:23">
      <c r="A2236" t="s">
        <v>16</v>
      </c>
      <c r="B2236">
        <v>487294</v>
      </c>
      <c r="C2236">
        <v>9</v>
      </c>
      <c r="D2236">
        <v>33</v>
      </c>
      <c r="E2236">
        <v>153</v>
      </c>
      <c r="F2236">
        <v>4</v>
      </c>
      <c r="G2236">
        <v>0</v>
      </c>
      <c r="H2236">
        <v>25</v>
      </c>
      <c r="I2236">
        <v>1215</v>
      </c>
      <c r="J2236">
        <v>0</v>
      </c>
      <c r="K2236">
        <v>3.577</v>
      </c>
      <c r="L2236">
        <v>4.4630000000000001</v>
      </c>
      <c r="M2236">
        <v>83.018500000000003</v>
      </c>
      <c r="N2236">
        <v>12.675000000000001</v>
      </c>
      <c r="O2236">
        <v>1671</v>
      </c>
      <c r="P2236">
        <v>0</v>
      </c>
      <c r="Q2236" s="5" t="e">
        <f>IF(AND(#REF!&gt;=table!$C$6,#REF!&lt;= table!$D$6),-1,IF(AND(#REF!&gt;=table!$E$6,#REF!&lt;=table!$F$6),1,0))</f>
        <v>#REF!</v>
      </c>
      <c r="R2236" s="5" t="e">
        <f>IF(AND(#REF!&gt;=table!$C$7,#REF!&lt;= table!$D$7),-1,IF(AND(#REF!&gt;=table!$E$7,#REF!&lt;=table!$F$7),1,0))</f>
        <v>#REF!</v>
      </c>
      <c r="S2236" s="5" t="e">
        <f>IF(AND(#REF!&gt;=table!$C$8,#REF!&lt;= table!$D$8),-1,IF(AND(#REF!&gt;=table!$E$8,#REF!&lt;=table!$F$8),1,0))</f>
        <v>#REF!</v>
      </c>
      <c r="T2236" s="5"/>
      <c r="U2236" s="5" t="e">
        <f>IF(AND(#REF!&gt;=table!$C$10,#REF!&lt;= table!$D$10),-1,IF(AND(#REF!&gt;=table!$E$10,#REF!&lt;=table!$F$10),1,0))</f>
        <v>#REF!</v>
      </c>
      <c r="V2236" s="5" t="e">
        <f>IF(AND(#REF!&gt;=table!$C$11,#REF!&lt;= table!$D$11),-1,IF(AND(#REF!&gt;=table!$E$11,#REF!&lt;=table!$F$11),1,0))</f>
        <v>#REF!</v>
      </c>
      <c r="W2236" s="5" t="e">
        <f>CONCATENATE(dados[[#This Row],[fator1]],dados[[#This Row],[fator5]],dados[[#This Row],[fator6]])</f>
        <v>#REF!</v>
      </c>
    </row>
    <row r="2237" spans="1:23">
      <c r="A2237" t="s">
        <v>16</v>
      </c>
      <c r="B2237">
        <v>487303</v>
      </c>
      <c r="C2237">
        <v>9</v>
      </c>
      <c r="D2237">
        <v>33</v>
      </c>
      <c r="E2237">
        <v>153</v>
      </c>
      <c r="F2237">
        <v>4</v>
      </c>
      <c r="G2237">
        <v>0</v>
      </c>
      <c r="H2237">
        <v>25</v>
      </c>
      <c r="I2237">
        <v>28</v>
      </c>
      <c r="J2237">
        <v>0</v>
      </c>
      <c r="K2237">
        <v>3.5885000000000002</v>
      </c>
      <c r="L2237">
        <v>9.5824999999999996</v>
      </c>
      <c r="M2237">
        <v>124.29650000000001</v>
      </c>
      <c r="N2237">
        <v>16.115000000000002</v>
      </c>
      <c r="O2237">
        <v>1679</v>
      </c>
      <c r="P2237">
        <v>0</v>
      </c>
      <c r="Q2237" s="5" t="e">
        <f>IF(AND(#REF!&gt;=table!$C$6,#REF!&lt;= table!$D$6),-1,IF(AND(#REF!&gt;=table!$E$6,#REF!&lt;=table!$F$6),1,0))</f>
        <v>#REF!</v>
      </c>
      <c r="R2237" s="5" t="e">
        <f>IF(AND(#REF!&gt;=table!$C$7,#REF!&lt;= table!$D$7),-1,IF(AND(#REF!&gt;=table!$E$7,#REF!&lt;=table!$F$7),1,0))</f>
        <v>#REF!</v>
      </c>
      <c r="S2237" s="5" t="e">
        <f>IF(AND(#REF!&gt;=table!$C$8,#REF!&lt;= table!$D$8),-1,IF(AND(#REF!&gt;=table!$E$8,#REF!&lt;=table!$F$8),1,0))</f>
        <v>#REF!</v>
      </c>
      <c r="T2237" s="5"/>
      <c r="U2237" s="5" t="e">
        <f>IF(AND(#REF!&gt;=table!$C$10,#REF!&lt;= table!$D$10),-1,IF(AND(#REF!&gt;=table!$E$10,#REF!&lt;=table!$F$10),1,0))</f>
        <v>#REF!</v>
      </c>
      <c r="V2237" s="5" t="e">
        <f>IF(AND(#REF!&gt;=table!$C$11,#REF!&lt;= table!$D$11),-1,IF(AND(#REF!&gt;=table!$E$11,#REF!&lt;=table!$F$11),1,0))</f>
        <v>#REF!</v>
      </c>
      <c r="W2237" s="5" t="e">
        <f>CONCATENATE(dados[[#This Row],[fator1]],dados[[#This Row],[fator5]],dados[[#This Row],[fator6]])</f>
        <v>#REF!</v>
      </c>
    </row>
    <row r="2238" spans="1:23">
      <c r="A2238" t="s">
        <v>16</v>
      </c>
      <c r="B2238">
        <v>487305</v>
      </c>
      <c r="C2238">
        <v>11</v>
      </c>
      <c r="D2238">
        <v>40</v>
      </c>
      <c r="E2238">
        <v>151</v>
      </c>
      <c r="F2238">
        <v>8</v>
      </c>
      <c r="G2238">
        <v>0</v>
      </c>
      <c r="H2238">
        <v>25</v>
      </c>
      <c r="I2238">
        <v>12</v>
      </c>
      <c r="J2238">
        <v>0</v>
      </c>
      <c r="K2238">
        <v>7.4975000000000005</v>
      </c>
      <c r="L2238">
        <v>17.1675</v>
      </c>
      <c r="M2238">
        <v>135.11799999999999</v>
      </c>
      <c r="N2238">
        <v>17.43</v>
      </c>
      <c r="O2238">
        <v>1653</v>
      </c>
      <c r="P2238">
        <v>0</v>
      </c>
      <c r="Q2238" s="5" t="e">
        <f>IF(AND(#REF!&gt;=table!$C$6,#REF!&lt;= table!$D$6),-1,IF(AND(#REF!&gt;=table!$E$6,#REF!&lt;=table!$F$6),1,0))</f>
        <v>#REF!</v>
      </c>
      <c r="R2238" s="5" t="e">
        <f>IF(AND(#REF!&gt;=table!$C$7,#REF!&lt;= table!$D$7),-1,IF(AND(#REF!&gt;=table!$E$7,#REF!&lt;=table!$F$7),1,0))</f>
        <v>#REF!</v>
      </c>
      <c r="S2238" s="5" t="e">
        <f>IF(AND(#REF!&gt;=table!$C$8,#REF!&lt;= table!$D$8),-1,IF(AND(#REF!&gt;=table!$E$8,#REF!&lt;=table!$F$8),1,0))</f>
        <v>#REF!</v>
      </c>
      <c r="T2238" s="5"/>
      <c r="U2238" s="5" t="e">
        <f>IF(AND(#REF!&gt;=table!$C$10,#REF!&lt;= table!$D$10),-1,IF(AND(#REF!&gt;=table!$E$10,#REF!&lt;=table!$F$10),1,0))</f>
        <v>#REF!</v>
      </c>
      <c r="V2238" s="5" t="e">
        <f>IF(AND(#REF!&gt;=table!$C$11,#REF!&lt;= table!$D$11),-1,IF(AND(#REF!&gt;=table!$E$11,#REF!&lt;=table!$F$11),1,0))</f>
        <v>#REF!</v>
      </c>
      <c r="W2238" s="5" t="e">
        <f>CONCATENATE(dados[[#This Row],[fator1]],dados[[#This Row],[fator5]],dados[[#This Row],[fator6]])</f>
        <v>#REF!</v>
      </c>
    </row>
    <row r="2239" spans="1:23">
      <c r="A2239" t="s">
        <v>16</v>
      </c>
      <c r="B2239">
        <v>487307</v>
      </c>
      <c r="C2239">
        <v>11</v>
      </c>
      <c r="D2239">
        <v>40</v>
      </c>
      <c r="E2239">
        <v>151</v>
      </c>
      <c r="F2239">
        <v>8</v>
      </c>
      <c r="G2239">
        <v>0</v>
      </c>
      <c r="H2239">
        <v>25</v>
      </c>
      <c r="I2239">
        <v>886</v>
      </c>
      <c r="J2239">
        <v>0</v>
      </c>
      <c r="K2239">
        <v>11.591000000000001</v>
      </c>
      <c r="L2239">
        <v>13.387</v>
      </c>
      <c r="M2239">
        <v>135.863</v>
      </c>
      <c r="N2239">
        <v>12.55</v>
      </c>
      <c r="O2239">
        <v>1665</v>
      </c>
      <c r="P2239">
        <v>0</v>
      </c>
      <c r="Q2239" s="5" t="e">
        <f>IF(AND(#REF!&gt;=table!$C$6,#REF!&lt;= table!$D$6),-1,IF(AND(#REF!&gt;=table!$E$6,#REF!&lt;=table!$F$6),1,0))</f>
        <v>#REF!</v>
      </c>
      <c r="R2239" s="5" t="e">
        <f>IF(AND(#REF!&gt;=table!$C$7,#REF!&lt;= table!$D$7),-1,IF(AND(#REF!&gt;=table!$E$7,#REF!&lt;=table!$F$7),1,0))</f>
        <v>#REF!</v>
      </c>
      <c r="S2239" s="5" t="e">
        <f>IF(AND(#REF!&gt;=table!$C$8,#REF!&lt;= table!$D$8),-1,IF(AND(#REF!&gt;=table!$E$8,#REF!&lt;=table!$F$8),1,0))</f>
        <v>#REF!</v>
      </c>
      <c r="T2239" s="5"/>
      <c r="U2239" s="5" t="e">
        <f>IF(AND(#REF!&gt;=table!$C$10,#REF!&lt;= table!$D$10),-1,IF(AND(#REF!&gt;=table!$E$10,#REF!&lt;=table!$F$10),1,0))</f>
        <v>#REF!</v>
      </c>
      <c r="V2239" s="5" t="e">
        <f>IF(AND(#REF!&gt;=table!$C$11,#REF!&lt;= table!$D$11),-1,IF(AND(#REF!&gt;=table!$E$11,#REF!&lt;=table!$F$11),1,0))</f>
        <v>#REF!</v>
      </c>
      <c r="W2239" s="5" t="e">
        <f>CONCATENATE(dados[[#This Row],[fator1]],dados[[#This Row],[fator5]],dados[[#This Row],[fator6]])</f>
        <v>#REF!</v>
      </c>
    </row>
    <row r="2240" spans="1:23">
      <c r="A2240" t="s">
        <v>16</v>
      </c>
      <c r="B2240">
        <v>487308</v>
      </c>
      <c r="C2240">
        <v>11</v>
      </c>
      <c r="D2240">
        <v>40</v>
      </c>
      <c r="E2240">
        <v>151</v>
      </c>
      <c r="F2240">
        <v>8</v>
      </c>
      <c r="G2240">
        <v>0</v>
      </c>
      <c r="H2240">
        <v>25</v>
      </c>
      <c r="I2240">
        <v>983</v>
      </c>
      <c r="J2240">
        <v>0</v>
      </c>
      <c r="K2240">
        <v>11.611500000000001</v>
      </c>
      <c r="L2240">
        <v>11.4945</v>
      </c>
      <c r="M2240">
        <v>130.35550000000001</v>
      </c>
      <c r="N2240">
        <v>13.565000000000001</v>
      </c>
      <c r="O2240">
        <v>1673</v>
      </c>
      <c r="P2240">
        <v>0</v>
      </c>
      <c r="Q2240" s="5" t="e">
        <f>IF(AND(#REF!&gt;=table!$C$6,#REF!&lt;= table!$D$6),-1,IF(AND(#REF!&gt;=table!$E$6,#REF!&lt;=table!$F$6),1,0))</f>
        <v>#REF!</v>
      </c>
      <c r="R2240" s="5" t="e">
        <f>IF(AND(#REF!&gt;=table!$C$7,#REF!&lt;= table!$D$7),-1,IF(AND(#REF!&gt;=table!$E$7,#REF!&lt;=table!$F$7),1,0))</f>
        <v>#REF!</v>
      </c>
      <c r="S2240" s="5" t="e">
        <f>IF(AND(#REF!&gt;=table!$C$8,#REF!&lt;= table!$D$8),-1,IF(AND(#REF!&gt;=table!$E$8,#REF!&lt;=table!$F$8),1,0))</f>
        <v>#REF!</v>
      </c>
      <c r="T2240" s="5"/>
      <c r="U2240" s="5" t="e">
        <f>IF(AND(#REF!&gt;=table!$C$10,#REF!&lt;= table!$D$10),-1,IF(AND(#REF!&gt;=table!$E$10,#REF!&lt;=table!$F$10),1,0))</f>
        <v>#REF!</v>
      </c>
      <c r="V2240" s="5" t="e">
        <f>IF(AND(#REF!&gt;=table!$C$11,#REF!&lt;= table!$D$11),-1,IF(AND(#REF!&gt;=table!$E$11,#REF!&lt;=table!$F$11),1,0))</f>
        <v>#REF!</v>
      </c>
      <c r="W2240" s="5" t="e">
        <f>CONCATENATE(dados[[#This Row],[fator1]],dados[[#This Row],[fator5]],dados[[#This Row],[fator6]])</f>
        <v>#REF!</v>
      </c>
    </row>
    <row r="2241" spans="1:23">
      <c r="A2241" t="s">
        <v>17</v>
      </c>
      <c r="B2241">
        <v>487311</v>
      </c>
      <c r="C2241">
        <v>18</v>
      </c>
      <c r="D2241">
        <v>23</v>
      </c>
      <c r="E2241">
        <v>145</v>
      </c>
      <c r="F2241">
        <v>9</v>
      </c>
      <c r="G2241">
        <v>30</v>
      </c>
      <c r="H2241">
        <v>25</v>
      </c>
      <c r="I2241">
        <v>34</v>
      </c>
      <c r="J2241">
        <v>0</v>
      </c>
      <c r="K2241">
        <v>10.3065</v>
      </c>
      <c r="L2241">
        <v>20.505000000000003</v>
      </c>
      <c r="M2241">
        <v>124.65450000000001</v>
      </c>
      <c r="N2241">
        <v>26.355</v>
      </c>
      <c r="O2241">
        <v>1664</v>
      </c>
      <c r="P2241">
        <v>357</v>
      </c>
      <c r="Q2241" s="5" t="e">
        <f>IF(AND(#REF!&gt;=table!$C$6,#REF!&lt;= table!$D$6),-1,IF(AND(#REF!&gt;=table!$E$6,#REF!&lt;=table!$F$6),1,0))</f>
        <v>#REF!</v>
      </c>
      <c r="R2241" s="5" t="e">
        <f>IF(AND(#REF!&gt;=table!$C$7,#REF!&lt;= table!$D$7),-1,IF(AND(#REF!&gt;=table!$E$7,#REF!&lt;=table!$F$7),1,0))</f>
        <v>#REF!</v>
      </c>
      <c r="S2241" s="5" t="e">
        <f>IF(AND(#REF!&gt;=table!$C$8,#REF!&lt;= table!$D$8),-1,IF(AND(#REF!&gt;=table!$E$8,#REF!&lt;=table!$F$8),1,0))</f>
        <v>#REF!</v>
      </c>
      <c r="T2241" s="5"/>
      <c r="U2241" s="5" t="e">
        <f>IF(AND(#REF!&gt;=table!$C$10,#REF!&lt;= table!$D$10),-1,IF(AND(#REF!&gt;=table!$E$10,#REF!&lt;=table!$F$10),1,0))</f>
        <v>#REF!</v>
      </c>
      <c r="V2241" s="5" t="e">
        <f>IF(AND(#REF!&gt;=table!$C$11,#REF!&lt;= table!$D$11),-1,IF(AND(#REF!&gt;=table!$E$11,#REF!&lt;=table!$F$11),1,0))</f>
        <v>#REF!</v>
      </c>
      <c r="W2241" s="5" t="e">
        <f>CONCATENATE(dados[[#This Row],[fator1]],dados[[#This Row],[fator5]],dados[[#This Row],[fator6]])</f>
        <v>#REF!</v>
      </c>
    </row>
    <row r="2242" spans="1:23">
      <c r="A2242" t="s">
        <v>17</v>
      </c>
      <c r="B2242">
        <v>487312</v>
      </c>
      <c r="C2242">
        <v>18</v>
      </c>
      <c r="D2242">
        <v>23</v>
      </c>
      <c r="E2242">
        <v>145</v>
      </c>
      <c r="F2242">
        <v>9</v>
      </c>
      <c r="G2242">
        <v>30</v>
      </c>
      <c r="H2242">
        <v>25</v>
      </c>
      <c r="I2242">
        <v>101</v>
      </c>
      <c r="J2242">
        <v>0</v>
      </c>
      <c r="K2242">
        <v>11.123000000000001</v>
      </c>
      <c r="L2242">
        <v>19.402000000000001</v>
      </c>
      <c r="M2242">
        <v>128.32750000000001</v>
      </c>
      <c r="N2242">
        <v>27.97</v>
      </c>
      <c r="O2242">
        <v>1685</v>
      </c>
      <c r="P2242">
        <v>271</v>
      </c>
      <c r="Q2242" s="5" t="e">
        <f>IF(AND(#REF!&gt;=table!$C$6,#REF!&lt;= table!$D$6),-1,IF(AND(#REF!&gt;=table!$E$6,#REF!&lt;=table!$F$6),1,0))</f>
        <v>#REF!</v>
      </c>
      <c r="R2242" s="5" t="e">
        <f>IF(AND(#REF!&gt;=table!$C$7,#REF!&lt;= table!$D$7),-1,IF(AND(#REF!&gt;=table!$E$7,#REF!&lt;=table!$F$7),1,0))</f>
        <v>#REF!</v>
      </c>
      <c r="S2242" s="5" t="e">
        <f>IF(AND(#REF!&gt;=table!$C$8,#REF!&lt;= table!$D$8),-1,IF(AND(#REF!&gt;=table!$E$8,#REF!&lt;=table!$F$8),1,0))</f>
        <v>#REF!</v>
      </c>
      <c r="T2242" s="5"/>
      <c r="U2242" s="5" t="e">
        <f>IF(AND(#REF!&gt;=table!$C$10,#REF!&lt;= table!$D$10),-1,IF(AND(#REF!&gt;=table!$E$10,#REF!&lt;=table!$F$10),1,0))</f>
        <v>#REF!</v>
      </c>
      <c r="V2242" s="5" t="e">
        <f>IF(AND(#REF!&gt;=table!$C$11,#REF!&lt;= table!$D$11),-1,IF(AND(#REF!&gt;=table!$E$11,#REF!&lt;=table!$F$11),1,0))</f>
        <v>#REF!</v>
      </c>
      <c r="W2242" s="5" t="e">
        <f>CONCATENATE(dados[[#This Row],[fator1]],dados[[#This Row],[fator5]],dados[[#This Row],[fator6]])</f>
        <v>#REF!</v>
      </c>
    </row>
    <row r="2243" spans="1:23">
      <c r="A2243" t="s">
        <v>17</v>
      </c>
      <c r="B2243">
        <v>487313</v>
      </c>
      <c r="C2243">
        <v>16</v>
      </c>
      <c r="D2243">
        <v>30</v>
      </c>
      <c r="E2243">
        <v>150</v>
      </c>
      <c r="F2243">
        <v>8</v>
      </c>
      <c r="G2243">
        <v>28</v>
      </c>
      <c r="H2243">
        <v>25</v>
      </c>
      <c r="I2243">
        <v>1339</v>
      </c>
      <c r="J2243">
        <v>950</v>
      </c>
      <c r="K2243">
        <v>18.979500000000002</v>
      </c>
      <c r="L2243">
        <v>25.532</v>
      </c>
      <c r="M2243">
        <v>92.375500000000002</v>
      </c>
      <c r="N2243">
        <v>15.895000000000001</v>
      </c>
      <c r="O2243">
        <v>1661</v>
      </c>
      <c r="P2243">
        <v>0</v>
      </c>
      <c r="Q2243" s="5" t="e">
        <f>IF(AND(#REF!&gt;=table!$C$6,#REF!&lt;= table!$D$6),-1,IF(AND(#REF!&gt;=table!$E$6,#REF!&lt;=table!$F$6),1,0))</f>
        <v>#REF!</v>
      </c>
      <c r="R2243" s="5" t="e">
        <f>IF(AND(#REF!&gt;=table!$C$7,#REF!&lt;= table!$D$7),-1,IF(AND(#REF!&gt;=table!$E$7,#REF!&lt;=table!$F$7),1,0))</f>
        <v>#REF!</v>
      </c>
      <c r="S2243" s="5" t="e">
        <f>IF(AND(#REF!&gt;=table!$C$8,#REF!&lt;= table!$D$8),-1,IF(AND(#REF!&gt;=table!$E$8,#REF!&lt;=table!$F$8),1,0))</f>
        <v>#REF!</v>
      </c>
      <c r="T2243" s="5"/>
      <c r="U2243" s="5" t="e">
        <f>IF(AND(#REF!&gt;=table!$C$10,#REF!&lt;= table!$D$10),-1,IF(AND(#REF!&gt;=table!$E$10,#REF!&lt;=table!$F$10),1,0))</f>
        <v>#REF!</v>
      </c>
      <c r="V2243" s="5" t="e">
        <f>IF(AND(#REF!&gt;=table!$C$11,#REF!&lt;= table!$D$11),-1,IF(AND(#REF!&gt;=table!$E$11,#REF!&lt;=table!$F$11),1,0))</f>
        <v>#REF!</v>
      </c>
      <c r="W2243" s="5" t="e">
        <f>CONCATENATE(dados[[#This Row],[fator1]],dados[[#This Row],[fator5]],dados[[#This Row],[fator6]])</f>
        <v>#REF!</v>
      </c>
    </row>
    <row r="2244" spans="1:23">
      <c r="A2244" t="s">
        <v>17</v>
      </c>
      <c r="B2244">
        <v>487315</v>
      </c>
      <c r="C2244">
        <v>9</v>
      </c>
      <c r="D2244">
        <v>25</v>
      </c>
      <c r="E2244">
        <v>150</v>
      </c>
      <c r="F2244">
        <v>7</v>
      </c>
      <c r="G2244">
        <v>20</v>
      </c>
      <c r="H2244">
        <v>21</v>
      </c>
      <c r="I2244">
        <v>81</v>
      </c>
      <c r="J2244">
        <v>0</v>
      </c>
      <c r="K2244">
        <v>5.6190000000000007</v>
      </c>
      <c r="L2244">
        <v>8.3365000000000009</v>
      </c>
      <c r="M2244">
        <v>106.73950000000001</v>
      </c>
      <c r="N2244">
        <v>9.0150000000000006</v>
      </c>
      <c r="O2244">
        <v>1647</v>
      </c>
      <c r="P2244">
        <v>389</v>
      </c>
      <c r="Q2244" s="5" t="e">
        <f>IF(AND(#REF!&gt;=table!$C$6,#REF!&lt;= table!$D$6),-1,IF(AND(#REF!&gt;=table!$E$6,#REF!&lt;=table!$F$6),1,0))</f>
        <v>#REF!</v>
      </c>
      <c r="R2244" s="5" t="e">
        <f>IF(AND(#REF!&gt;=table!$C$7,#REF!&lt;= table!$D$7),-1,IF(AND(#REF!&gt;=table!$E$7,#REF!&lt;=table!$F$7),1,0))</f>
        <v>#REF!</v>
      </c>
      <c r="S2244" s="5" t="e">
        <f>IF(AND(#REF!&gt;=table!$C$8,#REF!&lt;= table!$D$8),-1,IF(AND(#REF!&gt;=table!$E$8,#REF!&lt;=table!$F$8),1,0))</f>
        <v>#REF!</v>
      </c>
      <c r="T2244" s="5"/>
      <c r="U2244" s="5" t="e">
        <f>IF(AND(#REF!&gt;=table!$C$10,#REF!&lt;= table!$D$10),-1,IF(AND(#REF!&gt;=table!$E$10,#REF!&lt;=table!$F$10),1,0))</f>
        <v>#REF!</v>
      </c>
      <c r="V2244" s="5" t="e">
        <f>IF(AND(#REF!&gt;=table!$C$11,#REF!&lt;= table!$D$11),-1,IF(AND(#REF!&gt;=table!$E$11,#REF!&lt;=table!$F$11),1,0))</f>
        <v>#REF!</v>
      </c>
      <c r="W2244" s="5" t="e">
        <f>CONCATENATE(dados[[#This Row],[fator1]],dados[[#This Row],[fator5]],dados[[#This Row],[fator6]])</f>
        <v>#REF!</v>
      </c>
    </row>
    <row r="2245" spans="1:23">
      <c r="A2245" t="s">
        <v>17</v>
      </c>
      <c r="B2245">
        <v>487316</v>
      </c>
      <c r="C2245">
        <v>9</v>
      </c>
      <c r="D2245">
        <v>25</v>
      </c>
      <c r="E2245">
        <v>150</v>
      </c>
      <c r="F2245">
        <v>7</v>
      </c>
      <c r="G2245">
        <v>20</v>
      </c>
      <c r="H2245">
        <v>21</v>
      </c>
      <c r="I2245">
        <v>853</v>
      </c>
      <c r="J2245">
        <v>0</v>
      </c>
      <c r="K2245">
        <v>5.6190000000000007</v>
      </c>
      <c r="L2245">
        <v>8.3365000000000009</v>
      </c>
      <c r="M2245">
        <v>131.202</v>
      </c>
      <c r="N2245">
        <v>12.870000000000001</v>
      </c>
      <c r="O2245">
        <v>1671</v>
      </c>
      <c r="P2245">
        <v>0</v>
      </c>
      <c r="Q2245" s="5" t="e">
        <f>IF(AND(#REF!&gt;=table!$C$6,#REF!&lt;= table!$D$6),-1,IF(AND(#REF!&gt;=table!$E$6,#REF!&lt;=table!$F$6),1,0))</f>
        <v>#REF!</v>
      </c>
      <c r="R2245" s="5" t="e">
        <f>IF(AND(#REF!&gt;=table!$C$7,#REF!&lt;= table!$D$7),-1,IF(AND(#REF!&gt;=table!$E$7,#REF!&lt;=table!$F$7),1,0))</f>
        <v>#REF!</v>
      </c>
      <c r="S2245" s="5" t="e">
        <f>IF(AND(#REF!&gt;=table!$C$8,#REF!&lt;= table!$D$8),-1,IF(AND(#REF!&gt;=table!$E$8,#REF!&lt;=table!$F$8),1,0))</f>
        <v>#REF!</v>
      </c>
      <c r="T2245" s="5"/>
      <c r="U2245" s="5" t="e">
        <f>IF(AND(#REF!&gt;=table!$C$10,#REF!&lt;= table!$D$10),-1,IF(AND(#REF!&gt;=table!$E$10,#REF!&lt;=table!$F$10),1,0))</f>
        <v>#REF!</v>
      </c>
      <c r="V2245" s="5" t="e">
        <f>IF(AND(#REF!&gt;=table!$C$11,#REF!&lt;= table!$D$11),-1,IF(AND(#REF!&gt;=table!$E$11,#REF!&lt;=table!$F$11),1,0))</f>
        <v>#REF!</v>
      </c>
      <c r="W2245" s="5" t="e">
        <f>CONCATENATE(dados[[#This Row],[fator1]],dados[[#This Row],[fator5]],dados[[#This Row],[fator6]])</f>
        <v>#REF!</v>
      </c>
    </row>
    <row r="2246" spans="1:23">
      <c r="A2246" t="s">
        <v>16</v>
      </c>
      <c r="B2246">
        <v>487317</v>
      </c>
      <c r="C2246">
        <v>8</v>
      </c>
      <c r="D2246">
        <v>30</v>
      </c>
      <c r="E2246">
        <v>86</v>
      </c>
      <c r="F2246">
        <v>8</v>
      </c>
      <c r="G2246">
        <v>0</v>
      </c>
      <c r="H2246">
        <v>25</v>
      </c>
      <c r="I2246">
        <v>1025</v>
      </c>
      <c r="J2246">
        <v>0</v>
      </c>
      <c r="K2246">
        <v>3.4990000000000001</v>
      </c>
      <c r="L2246">
        <v>4.4450000000000003</v>
      </c>
      <c r="M2246">
        <v>35.404000000000003</v>
      </c>
      <c r="N2246">
        <v>10.745000000000001</v>
      </c>
      <c r="O2246">
        <v>1691</v>
      </c>
      <c r="P2246">
        <v>0</v>
      </c>
      <c r="Q2246" s="5" t="e">
        <f>IF(AND(#REF!&gt;=table!$C$6,#REF!&lt;= table!$D$6),-1,IF(AND(#REF!&gt;=table!$E$6,#REF!&lt;=table!$F$6),1,0))</f>
        <v>#REF!</v>
      </c>
      <c r="R2246" s="5" t="e">
        <f>IF(AND(#REF!&gt;=table!$C$7,#REF!&lt;= table!$D$7),-1,IF(AND(#REF!&gt;=table!$E$7,#REF!&lt;=table!$F$7),1,0))</f>
        <v>#REF!</v>
      </c>
      <c r="S2246" s="5" t="e">
        <f>IF(AND(#REF!&gt;=table!$C$8,#REF!&lt;= table!$D$8),-1,IF(AND(#REF!&gt;=table!$E$8,#REF!&lt;=table!$F$8),1,0))</f>
        <v>#REF!</v>
      </c>
      <c r="T2246" s="5"/>
      <c r="U2246" s="5" t="e">
        <f>IF(AND(#REF!&gt;=table!$C$10,#REF!&lt;= table!$D$10),-1,IF(AND(#REF!&gt;=table!$E$10,#REF!&lt;=table!$F$10),1,0))</f>
        <v>#REF!</v>
      </c>
      <c r="V2246" s="5" t="e">
        <f>IF(AND(#REF!&gt;=table!$C$11,#REF!&lt;= table!$D$11),-1,IF(AND(#REF!&gt;=table!$E$11,#REF!&lt;=table!$F$11),1,0))</f>
        <v>#REF!</v>
      </c>
      <c r="W2246" s="5" t="e">
        <f>CONCATENATE(dados[[#This Row],[fator1]],dados[[#This Row],[fator5]],dados[[#This Row],[fator6]])</f>
        <v>#REF!</v>
      </c>
    </row>
    <row r="2247" spans="1:23">
      <c r="A2247" t="s">
        <v>16</v>
      </c>
      <c r="B2247">
        <v>487318</v>
      </c>
      <c r="C2247">
        <v>10</v>
      </c>
      <c r="D2247">
        <v>40</v>
      </c>
      <c r="E2247">
        <v>96</v>
      </c>
      <c r="F2247">
        <v>8</v>
      </c>
      <c r="G2247">
        <v>0</v>
      </c>
      <c r="H2247">
        <v>25</v>
      </c>
      <c r="I2247">
        <v>1623</v>
      </c>
      <c r="J2247">
        <v>0</v>
      </c>
      <c r="K2247">
        <v>3.5990000000000002</v>
      </c>
      <c r="L2247">
        <v>7.6610000000000005</v>
      </c>
      <c r="M2247">
        <v>55.080500000000001</v>
      </c>
      <c r="N2247">
        <v>11.93</v>
      </c>
      <c r="O2247">
        <v>1669</v>
      </c>
      <c r="P2247">
        <v>0</v>
      </c>
      <c r="Q2247" s="5" t="e">
        <f>IF(AND(#REF!&gt;=table!$C$6,#REF!&lt;= table!$D$6),-1,IF(AND(#REF!&gt;=table!$E$6,#REF!&lt;=table!$F$6),1,0))</f>
        <v>#REF!</v>
      </c>
      <c r="R2247" s="5" t="e">
        <f>IF(AND(#REF!&gt;=table!$C$7,#REF!&lt;= table!$D$7),-1,IF(AND(#REF!&gt;=table!$E$7,#REF!&lt;=table!$F$7),1,0))</f>
        <v>#REF!</v>
      </c>
      <c r="S2247" s="5" t="e">
        <f>IF(AND(#REF!&gt;=table!$C$8,#REF!&lt;= table!$D$8),-1,IF(AND(#REF!&gt;=table!$E$8,#REF!&lt;=table!$F$8),1,0))</f>
        <v>#REF!</v>
      </c>
      <c r="T2247" s="5"/>
      <c r="U2247" s="5" t="e">
        <f>IF(AND(#REF!&gt;=table!$C$10,#REF!&lt;= table!$D$10),-1,IF(AND(#REF!&gt;=table!$E$10,#REF!&lt;=table!$F$10),1,0))</f>
        <v>#REF!</v>
      </c>
      <c r="V2247" s="5" t="e">
        <f>IF(AND(#REF!&gt;=table!$C$11,#REF!&lt;= table!$D$11),-1,IF(AND(#REF!&gt;=table!$E$11,#REF!&lt;=table!$F$11),1,0))</f>
        <v>#REF!</v>
      </c>
      <c r="W2247" s="5" t="e">
        <f>CONCATENATE(dados[[#This Row],[fator1]],dados[[#This Row],[fator5]],dados[[#This Row],[fator6]])</f>
        <v>#REF!</v>
      </c>
    </row>
    <row r="2248" spans="1:23">
      <c r="A2248" t="s">
        <v>17</v>
      </c>
      <c r="B2248">
        <v>487319</v>
      </c>
      <c r="C2248">
        <v>46</v>
      </c>
      <c r="D2248">
        <v>18</v>
      </c>
      <c r="E2248">
        <v>66</v>
      </c>
      <c r="F2248">
        <v>10</v>
      </c>
      <c r="G2248">
        <v>20</v>
      </c>
      <c r="H2248">
        <v>23</v>
      </c>
      <c r="I2248">
        <v>745</v>
      </c>
      <c r="J2248">
        <v>530</v>
      </c>
      <c r="K2248">
        <v>5.1395</v>
      </c>
      <c r="L2248">
        <v>6.4145000000000003</v>
      </c>
      <c r="M2248">
        <v>40.112000000000002</v>
      </c>
      <c r="N2248">
        <v>10.115</v>
      </c>
      <c r="O2248">
        <v>1620</v>
      </c>
      <c r="P2248">
        <v>536</v>
      </c>
      <c r="Q2248" s="5" t="e">
        <f>IF(AND(#REF!&gt;=table!$C$6,#REF!&lt;= table!$D$6),-1,IF(AND(#REF!&gt;=table!$E$6,#REF!&lt;=table!$F$6),1,0))</f>
        <v>#REF!</v>
      </c>
      <c r="R2248" s="5" t="e">
        <f>IF(AND(#REF!&gt;=table!$C$7,#REF!&lt;= table!$D$7),-1,IF(AND(#REF!&gt;=table!$E$7,#REF!&lt;=table!$F$7),1,0))</f>
        <v>#REF!</v>
      </c>
      <c r="S2248" s="5" t="e">
        <f>IF(AND(#REF!&gt;=table!$C$8,#REF!&lt;= table!$D$8),-1,IF(AND(#REF!&gt;=table!$E$8,#REF!&lt;=table!$F$8),1,0))</f>
        <v>#REF!</v>
      </c>
      <c r="T2248" s="5"/>
      <c r="U2248" s="5" t="e">
        <f>IF(AND(#REF!&gt;=table!$C$10,#REF!&lt;= table!$D$10),-1,IF(AND(#REF!&gt;=table!$E$10,#REF!&lt;=table!$F$10),1,0))</f>
        <v>#REF!</v>
      </c>
      <c r="V2248" s="5" t="e">
        <f>IF(AND(#REF!&gt;=table!$C$11,#REF!&lt;= table!$D$11),-1,IF(AND(#REF!&gt;=table!$E$11,#REF!&lt;=table!$F$11),1,0))</f>
        <v>#REF!</v>
      </c>
      <c r="W2248" s="5" t="e">
        <f>CONCATENATE(dados[[#This Row],[fator1]],dados[[#This Row],[fator5]],dados[[#This Row],[fator6]])</f>
        <v>#REF!</v>
      </c>
    </row>
    <row r="2249" spans="1:23">
      <c r="A2249" t="s">
        <v>16</v>
      </c>
      <c r="B2249">
        <v>487321</v>
      </c>
      <c r="C2249">
        <v>12</v>
      </c>
      <c r="D2249">
        <v>35</v>
      </c>
      <c r="E2249">
        <v>86</v>
      </c>
      <c r="F2249">
        <v>10</v>
      </c>
      <c r="G2249">
        <v>0</v>
      </c>
      <c r="H2249">
        <v>25</v>
      </c>
      <c r="I2249">
        <v>1008</v>
      </c>
      <c r="J2249">
        <v>0</v>
      </c>
      <c r="K2249">
        <v>7.55</v>
      </c>
      <c r="L2249">
        <v>15.093</v>
      </c>
      <c r="M2249">
        <v>74.811500000000009</v>
      </c>
      <c r="N2249">
        <v>17.935000000000002</v>
      </c>
      <c r="O2249">
        <v>1684</v>
      </c>
      <c r="P2249">
        <v>572</v>
      </c>
      <c r="Q2249" s="5" t="e">
        <f>IF(AND(#REF!&gt;=table!$C$6,#REF!&lt;= table!$D$6),-1,IF(AND(#REF!&gt;=table!$E$6,#REF!&lt;=table!$F$6),1,0))</f>
        <v>#REF!</v>
      </c>
      <c r="R2249" s="5" t="e">
        <f>IF(AND(#REF!&gt;=table!$C$7,#REF!&lt;= table!$D$7),-1,IF(AND(#REF!&gt;=table!$E$7,#REF!&lt;=table!$F$7),1,0))</f>
        <v>#REF!</v>
      </c>
      <c r="S2249" s="5" t="e">
        <f>IF(AND(#REF!&gt;=table!$C$8,#REF!&lt;= table!$D$8),-1,IF(AND(#REF!&gt;=table!$E$8,#REF!&lt;=table!$F$8),1,0))</f>
        <v>#REF!</v>
      </c>
      <c r="T2249" s="5"/>
      <c r="U2249" s="5" t="e">
        <f>IF(AND(#REF!&gt;=table!$C$10,#REF!&lt;= table!$D$10),-1,IF(AND(#REF!&gt;=table!$E$10,#REF!&lt;=table!$F$10),1,0))</f>
        <v>#REF!</v>
      </c>
      <c r="V2249" s="5" t="e">
        <f>IF(AND(#REF!&gt;=table!$C$11,#REF!&lt;= table!$D$11),-1,IF(AND(#REF!&gt;=table!$E$11,#REF!&lt;=table!$F$11),1,0))</f>
        <v>#REF!</v>
      </c>
      <c r="W2249" s="5" t="e">
        <f>CONCATENATE(dados[[#This Row],[fator1]],dados[[#This Row],[fator5]],dados[[#This Row],[fator6]])</f>
        <v>#REF!</v>
      </c>
    </row>
    <row r="2250" spans="1:23">
      <c r="A2250" t="s">
        <v>16</v>
      </c>
      <c r="B2250">
        <v>487325</v>
      </c>
      <c r="C2250">
        <v>15</v>
      </c>
      <c r="D2250">
        <v>35</v>
      </c>
      <c r="E2250">
        <v>86</v>
      </c>
      <c r="F2250">
        <v>10</v>
      </c>
      <c r="G2250">
        <v>0</v>
      </c>
      <c r="H2250">
        <v>25</v>
      </c>
      <c r="I2250">
        <v>1785</v>
      </c>
      <c r="J2250">
        <v>0</v>
      </c>
      <c r="K2250">
        <v>6.8345000000000002</v>
      </c>
      <c r="L2250">
        <v>12.969000000000001</v>
      </c>
      <c r="M2250">
        <v>76.71050000000001</v>
      </c>
      <c r="N2250">
        <v>14.235000000000001</v>
      </c>
      <c r="O2250">
        <v>1683</v>
      </c>
      <c r="P2250">
        <v>0</v>
      </c>
      <c r="Q2250" s="5" t="e">
        <f>IF(AND(#REF!&gt;=table!$C$6,#REF!&lt;= table!$D$6),-1,IF(AND(#REF!&gt;=table!$E$6,#REF!&lt;=table!$F$6),1,0))</f>
        <v>#REF!</v>
      </c>
      <c r="R2250" s="5" t="e">
        <f>IF(AND(#REF!&gt;=table!$C$7,#REF!&lt;= table!$D$7),-1,IF(AND(#REF!&gt;=table!$E$7,#REF!&lt;=table!$F$7),1,0))</f>
        <v>#REF!</v>
      </c>
      <c r="S2250" s="5" t="e">
        <f>IF(AND(#REF!&gt;=table!$C$8,#REF!&lt;= table!$D$8),-1,IF(AND(#REF!&gt;=table!$E$8,#REF!&lt;=table!$F$8),1,0))</f>
        <v>#REF!</v>
      </c>
      <c r="T2250" s="5"/>
      <c r="U2250" s="5" t="e">
        <f>IF(AND(#REF!&gt;=table!$C$10,#REF!&lt;= table!$D$10),-1,IF(AND(#REF!&gt;=table!$E$10,#REF!&lt;=table!$F$10),1,0))</f>
        <v>#REF!</v>
      </c>
      <c r="V2250" s="5" t="e">
        <f>IF(AND(#REF!&gt;=table!$C$11,#REF!&lt;= table!$D$11),-1,IF(AND(#REF!&gt;=table!$E$11,#REF!&lt;=table!$F$11),1,0))</f>
        <v>#REF!</v>
      </c>
      <c r="W2250" s="5" t="e">
        <f>CONCATENATE(dados[[#This Row],[fator1]],dados[[#This Row],[fator5]],dados[[#This Row],[fator6]])</f>
        <v>#REF!</v>
      </c>
    </row>
    <row r="2251" spans="1:23">
      <c r="A2251" t="s">
        <v>16</v>
      </c>
      <c r="B2251">
        <v>487326</v>
      </c>
      <c r="C2251">
        <v>10</v>
      </c>
      <c r="D2251">
        <v>30</v>
      </c>
      <c r="E2251">
        <v>96</v>
      </c>
      <c r="F2251">
        <v>8</v>
      </c>
      <c r="G2251">
        <v>0</v>
      </c>
      <c r="H2251">
        <v>25</v>
      </c>
      <c r="I2251">
        <v>1044</v>
      </c>
      <c r="J2251">
        <v>0</v>
      </c>
      <c r="K2251">
        <v>7.2960000000000003</v>
      </c>
      <c r="L2251">
        <v>18.324000000000002</v>
      </c>
      <c r="M2251">
        <v>90.719000000000008</v>
      </c>
      <c r="N2251">
        <v>15.565000000000001</v>
      </c>
      <c r="O2251">
        <v>1684</v>
      </c>
      <c r="P2251">
        <v>520</v>
      </c>
      <c r="Q2251" s="5" t="e">
        <f>IF(AND(#REF!&gt;=table!$C$6,#REF!&lt;= table!$D$6),-1,IF(AND(#REF!&gt;=table!$E$6,#REF!&lt;=table!$F$6),1,0))</f>
        <v>#REF!</v>
      </c>
      <c r="R2251" s="5" t="e">
        <f>IF(AND(#REF!&gt;=table!$C$7,#REF!&lt;= table!$D$7),-1,IF(AND(#REF!&gt;=table!$E$7,#REF!&lt;=table!$F$7),1,0))</f>
        <v>#REF!</v>
      </c>
      <c r="S2251" s="5" t="e">
        <f>IF(AND(#REF!&gt;=table!$C$8,#REF!&lt;= table!$D$8),-1,IF(AND(#REF!&gt;=table!$E$8,#REF!&lt;=table!$F$8),1,0))</f>
        <v>#REF!</v>
      </c>
      <c r="T2251" s="5"/>
      <c r="U2251" s="5" t="e">
        <f>IF(AND(#REF!&gt;=table!$C$10,#REF!&lt;= table!$D$10),-1,IF(AND(#REF!&gt;=table!$E$10,#REF!&lt;=table!$F$10),1,0))</f>
        <v>#REF!</v>
      </c>
      <c r="V2251" s="5" t="e">
        <f>IF(AND(#REF!&gt;=table!$C$11,#REF!&lt;= table!$D$11),-1,IF(AND(#REF!&gt;=table!$E$11,#REF!&lt;=table!$F$11),1,0))</f>
        <v>#REF!</v>
      </c>
      <c r="W2251" s="5" t="e">
        <f>CONCATENATE(dados[[#This Row],[fator1]],dados[[#This Row],[fator5]],dados[[#This Row],[fator6]])</f>
        <v>#REF!</v>
      </c>
    </row>
    <row r="2252" spans="1:23">
      <c r="A2252" t="s">
        <v>17</v>
      </c>
      <c r="B2252">
        <v>487335</v>
      </c>
      <c r="C2252">
        <v>46</v>
      </c>
      <c r="D2252">
        <v>18</v>
      </c>
      <c r="E2252">
        <v>66</v>
      </c>
      <c r="F2252">
        <v>10</v>
      </c>
      <c r="G2252">
        <v>20</v>
      </c>
      <c r="H2252">
        <v>23</v>
      </c>
      <c r="I2252">
        <v>445</v>
      </c>
      <c r="J2252">
        <v>780</v>
      </c>
      <c r="K2252">
        <v>4.1325000000000003</v>
      </c>
      <c r="L2252">
        <v>10.0075</v>
      </c>
      <c r="M2252">
        <v>53.738</v>
      </c>
      <c r="N2252">
        <v>18.7</v>
      </c>
      <c r="O2252">
        <v>1647</v>
      </c>
      <c r="P2252">
        <v>717</v>
      </c>
      <c r="Q2252" s="5" t="e">
        <f>IF(AND(#REF!&gt;=table!$C$6,#REF!&lt;= table!$D$6),-1,IF(AND(#REF!&gt;=table!$E$6,#REF!&lt;=table!$F$6),1,0))</f>
        <v>#REF!</v>
      </c>
      <c r="R2252" s="5" t="e">
        <f>IF(AND(#REF!&gt;=table!$C$7,#REF!&lt;= table!$D$7),-1,IF(AND(#REF!&gt;=table!$E$7,#REF!&lt;=table!$F$7),1,0))</f>
        <v>#REF!</v>
      </c>
      <c r="S2252" s="5" t="e">
        <f>IF(AND(#REF!&gt;=table!$C$8,#REF!&lt;= table!$D$8),-1,IF(AND(#REF!&gt;=table!$E$8,#REF!&lt;=table!$F$8),1,0))</f>
        <v>#REF!</v>
      </c>
      <c r="T2252" s="5"/>
      <c r="U2252" s="5" t="e">
        <f>IF(AND(#REF!&gt;=table!$C$10,#REF!&lt;= table!$D$10),-1,IF(AND(#REF!&gt;=table!$E$10,#REF!&lt;=table!$F$10),1,0))</f>
        <v>#REF!</v>
      </c>
      <c r="V2252" s="5" t="e">
        <f>IF(AND(#REF!&gt;=table!$C$11,#REF!&lt;= table!$D$11),-1,IF(AND(#REF!&gt;=table!$E$11,#REF!&lt;=table!$F$11),1,0))</f>
        <v>#REF!</v>
      </c>
      <c r="W2252" s="5" t="e">
        <f>CONCATENATE(dados[[#This Row],[fator1]],dados[[#This Row],[fator5]],dados[[#This Row],[fator6]])</f>
        <v>#REF!</v>
      </c>
    </row>
    <row r="2253" spans="1:23">
      <c r="A2253" t="s">
        <v>16</v>
      </c>
      <c r="B2253">
        <v>487340</v>
      </c>
      <c r="C2253">
        <v>16</v>
      </c>
      <c r="D2253">
        <v>35</v>
      </c>
      <c r="E2253">
        <v>36</v>
      </c>
      <c r="F2253">
        <v>10</v>
      </c>
      <c r="G2253">
        <v>0</v>
      </c>
      <c r="H2253">
        <v>25</v>
      </c>
      <c r="I2253">
        <v>402</v>
      </c>
      <c r="J2253">
        <v>0</v>
      </c>
      <c r="K2253">
        <v>5.18</v>
      </c>
      <c r="L2253">
        <v>9.2774999999999999</v>
      </c>
      <c r="M2253">
        <v>33.814500000000002</v>
      </c>
      <c r="N2253">
        <v>14.395000000000001</v>
      </c>
      <c r="O2253">
        <v>1647</v>
      </c>
      <c r="P2253">
        <v>0</v>
      </c>
      <c r="Q2253" s="5" t="e">
        <f>IF(AND(#REF!&gt;=table!$C$6,#REF!&lt;= table!$D$6),-1,IF(AND(#REF!&gt;=table!$E$6,#REF!&lt;=table!$F$6),1,0))</f>
        <v>#REF!</v>
      </c>
      <c r="R2253" s="5" t="e">
        <f>IF(AND(#REF!&gt;=table!$C$7,#REF!&lt;= table!$D$7),-1,IF(AND(#REF!&gt;=table!$E$7,#REF!&lt;=table!$F$7),1,0))</f>
        <v>#REF!</v>
      </c>
      <c r="S2253" s="5" t="e">
        <f>IF(AND(#REF!&gt;=table!$C$8,#REF!&lt;= table!$D$8),-1,IF(AND(#REF!&gt;=table!$E$8,#REF!&lt;=table!$F$8),1,0))</f>
        <v>#REF!</v>
      </c>
      <c r="T2253" s="5"/>
      <c r="U2253" s="5" t="e">
        <f>IF(AND(#REF!&gt;=table!$C$10,#REF!&lt;= table!$D$10),-1,IF(AND(#REF!&gt;=table!$E$10,#REF!&lt;=table!$F$10),1,0))</f>
        <v>#REF!</v>
      </c>
      <c r="V2253" s="5" t="e">
        <f>IF(AND(#REF!&gt;=table!$C$11,#REF!&lt;= table!$D$11),-1,IF(AND(#REF!&gt;=table!$E$11,#REF!&lt;=table!$F$11),1,0))</f>
        <v>#REF!</v>
      </c>
      <c r="W2253" s="5" t="e">
        <f>CONCATENATE(dados[[#This Row],[fator1]],dados[[#This Row],[fator5]],dados[[#This Row],[fator6]])</f>
        <v>#REF!</v>
      </c>
    </row>
    <row r="2254" spans="1:23">
      <c r="A2254" t="s">
        <v>16</v>
      </c>
      <c r="B2254">
        <v>487341</v>
      </c>
      <c r="C2254">
        <v>16</v>
      </c>
      <c r="D2254">
        <v>35</v>
      </c>
      <c r="E2254">
        <v>36</v>
      </c>
      <c r="F2254">
        <v>10</v>
      </c>
      <c r="G2254">
        <v>0</v>
      </c>
      <c r="H2254">
        <v>25</v>
      </c>
      <c r="I2254">
        <v>810</v>
      </c>
      <c r="J2254">
        <v>0</v>
      </c>
      <c r="K2254">
        <v>4.5215000000000005</v>
      </c>
      <c r="L2254">
        <v>10.392000000000001</v>
      </c>
      <c r="M2254">
        <v>31.195</v>
      </c>
      <c r="N2254">
        <v>16.97</v>
      </c>
      <c r="O2254">
        <v>1677</v>
      </c>
      <c r="P2254">
        <v>0</v>
      </c>
      <c r="Q2254" s="5" t="e">
        <f>IF(AND(#REF!&gt;=table!$C$6,#REF!&lt;= table!$D$6),-1,IF(AND(#REF!&gt;=table!$E$6,#REF!&lt;=table!$F$6),1,0))</f>
        <v>#REF!</v>
      </c>
      <c r="R2254" s="5" t="e">
        <f>IF(AND(#REF!&gt;=table!$C$7,#REF!&lt;= table!$D$7),-1,IF(AND(#REF!&gt;=table!$E$7,#REF!&lt;=table!$F$7),1,0))</f>
        <v>#REF!</v>
      </c>
      <c r="S2254" s="5" t="e">
        <f>IF(AND(#REF!&gt;=table!$C$8,#REF!&lt;= table!$D$8),-1,IF(AND(#REF!&gt;=table!$E$8,#REF!&lt;=table!$F$8),1,0))</f>
        <v>#REF!</v>
      </c>
      <c r="T2254" s="5"/>
      <c r="U2254" s="5" t="e">
        <f>IF(AND(#REF!&gt;=table!$C$10,#REF!&lt;= table!$D$10),-1,IF(AND(#REF!&gt;=table!$E$10,#REF!&lt;=table!$F$10),1,0))</f>
        <v>#REF!</v>
      </c>
      <c r="V2254" s="5" t="e">
        <f>IF(AND(#REF!&gt;=table!$C$11,#REF!&lt;= table!$D$11),-1,IF(AND(#REF!&gt;=table!$E$11,#REF!&lt;=table!$F$11),1,0))</f>
        <v>#REF!</v>
      </c>
      <c r="W2254" s="5" t="e">
        <f>CONCATENATE(dados[[#This Row],[fator1]],dados[[#This Row],[fator5]],dados[[#This Row],[fator6]])</f>
        <v>#REF!</v>
      </c>
    </row>
    <row r="2255" spans="1:23">
      <c r="A2255" t="s">
        <v>16</v>
      </c>
      <c r="B2255">
        <v>487344</v>
      </c>
      <c r="C2255">
        <v>16</v>
      </c>
      <c r="D2255">
        <v>30</v>
      </c>
      <c r="E2255">
        <v>36</v>
      </c>
      <c r="F2255">
        <v>3</v>
      </c>
      <c r="G2255">
        <v>0</v>
      </c>
      <c r="H2255">
        <v>25</v>
      </c>
      <c r="I2255">
        <v>385</v>
      </c>
      <c r="J2255">
        <v>0</v>
      </c>
      <c r="K2255">
        <v>6.32</v>
      </c>
      <c r="L2255">
        <v>17.384</v>
      </c>
      <c r="M2255">
        <v>40.75</v>
      </c>
      <c r="N2255">
        <v>19</v>
      </c>
      <c r="O2255">
        <v>1688</v>
      </c>
      <c r="P2255">
        <v>0</v>
      </c>
      <c r="Q2255" s="5" t="e">
        <f>IF(AND(#REF!&gt;=table!$C$6,#REF!&lt;= table!$D$6),-1,IF(AND(#REF!&gt;=table!$E$6,#REF!&lt;=table!$F$6),1,0))</f>
        <v>#REF!</v>
      </c>
      <c r="R2255" s="5" t="e">
        <f>IF(AND(#REF!&gt;=table!$C$7,#REF!&lt;= table!$D$7),-1,IF(AND(#REF!&gt;=table!$E$7,#REF!&lt;=table!$F$7),1,0))</f>
        <v>#REF!</v>
      </c>
      <c r="S2255" s="5" t="e">
        <f>IF(AND(#REF!&gt;=table!$C$8,#REF!&lt;= table!$D$8),-1,IF(AND(#REF!&gt;=table!$E$8,#REF!&lt;=table!$F$8),1,0))</f>
        <v>#REF!</v>
      </c>
      <c r="T2255" s="5"/>
      <c r="U2255" s="5" t="e">
        <f>IF(AND(#REF!&gt;=table!$C$10,#REF!&lt;= table!$D$10),-1,IF(AND(#REF!&gt;=table!$E$10,#REF!&lt;=table!$F$10),1,0))</f>
        <v>#REF!</v>
      </c>
      <c r="V2255" s="5" t="e">
        <f>IF(AND(#REF!&gt;=table!$C$11,#REF!&lt;= table!$D$11),-1,IF(AND(#REF!&gt;=table!$E$11,#REF!&lt;=table!$F$11),1,0))</f>
        <v>#REF!</v>
      </c>
      <c r="W2255" s="5" t="e">
        <f>CONCATENATE(dados[[#This Row],[fator1]],dados[[#This Row],[fator5]],dados[[#This Row],[fator6]])</f>
        <v>#REF!</v>
      </c>
    </row>
    <row r="2256" spans="1:23">
      <c r="A2256" t="s">
        <v>16</v>
      </c>
      <c r="B2256">
        <v>487348</v>
      </c>
      <c r="C2256">
        <v>16</v>
      </c>
      <c r="D2256">
        <v>30</v>
      </c>
      <c r="E2256">
        <v>36</v>
      </c>
      <c r="F2256">
        <v>3</v>
      </c>
      <c r="G2256">
        <v>0</v>
      </c>
      <c r="H2256">
        <v>25</v>
      </c>
      <c r="I2256">
        <v>798</v>
      </c>
      <c r="J2256">
        <v>0</v>
      </c>
      <c r="K2256">
        <v>12.9695</v>
      </c>
      <c r="L2256">
        <v>14.157500000000001</v>
      </c>
      <c r="M2256">
        <v>24.7745</v>
      </c>
      <c r="N2256">
        <v>16.07</v>
      </c>
      <c r="O2256">
        <v>1676</v>
      </c>
      <c r="P2256">
        <v>407</v>
      </c>
      <c r="Q2256" s="5" t="e">
        <f>IF(AND(#REF!&gt;=table!$C$6,#REF!&lt;= table!$D$6),-1,IF(AND(#REF!&gt;=table!$E$6,#REF!&lt;=table!$F$6),1,0))</f>
        <v>#REF!</v>
      </c>
      <c r="R2256" s="5" t="e">
        <f>IF(AND(#REF!&gt;=table!$C$7,#REF!&lt;= table!$D$7),-1,IF(AND(#REF!&gt;=table!$E$7,#REF!&lt;=table!$F$7),1,0))</f>
        <v>#REF!</v>
      </c>
      <c r="S2256" s="5" t="e">
        <f>IF(AND(#REF!&gt;=table!$C$8,#REF!&lt;= table!$D$8),-1,IF(AND(#REF!&gt;=table!$E$8,#REF!&lt;=table!$F$8),1,0))</f>
        <v>#REF!</v>
      </c>
      <c r="T2256" s="5"/>
      <c r="U2256" s="5" t="e">
        <f>IF(AND(#REF!&gt;=table!$C$10,#REF!&lt;= table!$D$10),-1,IF(AND(#REF!&gt;=table!$E$10,#REF!&lt;=table!$F$10),1,0))</f>
        <v>#REF!</v>
      </c>
      <c r="V2256" s="5" t="e">
        <f>IF(AND(#REF!&gt;=table!$C$11,#REF!&lt;= table!$D$11),-1,IF(AND(#REF!&gt;=table!$E$11,#REF!&lt;=table!$F$11),1,0))</f>
        <v>#REF!</v>
      </c>
      <c r="W2256" s="5" t="e">
        <f>CONCATENATE(dados[[#This Row],[fator1]],dados[[#This Row],[fator5]],dados[[#This Row],[fator6]])</f>
        <v>#REF!</v>
      </c>
    </row>
    <row r="2257" spans="1:23">
      <c r="A2257" t="s">
        <v>16</v>
      </c>
      <c r="B2257">
        <v>487349</v>
      </c>
      <c r="C2257">
        <v>8</v>
      </c>
      <c r="D2257">
        <v>30</v>
      </c>
      <c r="E2257">
        <v>61</v>
      </c>
      <c r="F2257">
        <v>9</v>
      </c>
      <c r="G2257">
        <v>0</v>
      </c>
      <c r="H2257">
        <v>25</v>
      </c>
      <c r="I2257">
        <v>2</v>
      </c>
      <c r="J2257">
        <v>0</v>
      </c>
      <c r="K2257">
        <v>6.7190000000000003</v>
      </c>
      <c r="L2257">
        <v>13.325000000000001</v>
      </c>
      <c r="M2257">
        <v>47.994</v>
      </c>
      <c r="N2257">
        <v>16.850000000000001</v>
      </c>
      <c r="O2257">
        <v>1670</v>
      </c>
      <c r="P2257">
        <v>778</v>
      </c>
      <c r="Q2257" s="5" t="e">
        <f>IF(AND(#REF!&gt;=table!$C$6,#REF!&lt;= table!$D$6),-1,IF(AND(#REF!&gt;=table!$E$6,#REF!&lt;=table!$F$6),1,0))</f>
        <v>#REF!</v>
      </c>
      <c r="R2257" s="5" t="e">
        <f>IF(AND(#REF!&gt;=table!$C$7,#REF!&lt;= table!$D$7),-1,IF(AND(#REF!&gt;=table!$E$7,#REF!&lt;=table!$F$7),1,0))</f>
        <v>#REF!</v>
      </c>
      <c r="S2257" s="5" t="e">
        <f>IF(AND(#REF!&gt;=table!$C$8,#REF!&lt;= table!$D$8),-1,IF(AND(#REF!&gt;=table!$E$8,#REF!&lt;=table!$F$8),1,0))</f>
        <v>#REF!</v>
      </c>
      <c r="T2257" s="5"/>
      <c r="U2257" s="5" t="e">
        <f>IF(AND(#REF!&gt;=table!$C$10,#REF!&lt;= table!$D$10),-1,IF(AND(#REF!&gt;=table!$E$10,#REF!&lt;=table!$F$10),1,0))</f>
        <v>#REF!</v>
      </c>
      <c r="V2257" s="5" t="e">
        <f>IF(AND(#REF!&gt;=table!$C$11,#REF!&lt;= table!$D$11),-1,IF(AND(#REF!&gt;=table!$E$11,#REF!&lt;=table!$F$11),1,0))</f>
        <v>#REF!</v>
      </c>
      <c r="W2257" s="5" t="e">
        <f>CONCATENATE(dados[[#This Row],[fator1]],dados[[#This Row],[fator5]],dados[[#This Row],[fator6]])</f>
        <v>#REF!</v>
      </c>
    </row>
    <row r="2258" spans="1:23">
      <c r="A2258" t="s">
        <v>16</v>
      </c>
      <c r="B2258">
        <v>487350</v>
      </c>
      <c r="C2258">
        <v>8</v>
      </c>
      <c r="D2258">
        <v>30</v>
      </c>
      <c r="E2258">
        <v>61</v>
      </c>
      <c r="F2258">
        <v>9</v>
      </c>
      <c r="G2258">
        <v>0</v>
      </c>
      <c r="H2258">
        <v>25</v>
      </c>
      <c r="I2258">
        <v>0</v>
      </c>
      <c r="J2258">
        <v>0</v>
      </c>
      <c r="K2258">
        <v>4.7995000000000001</v>
      </c>
      <c r="L2258">
        <v>12.919</v>
      </c>
      <c r="M2258">
        <v>55.177</v>
      </c>
      <c r="N2258">
        <v>19.185000000000002</v>
      </c>
      <c r="O2258">
        <v>1674</v>
      </c>
      <c r="P2258">
        <v>769</v>
      </c>
      <c r="Q2258" s="5" t="e">
        <f>IF(AND(#REF!&gt;=table!$C$6,#REF!&lt;= table!$D$6),-1,IF(AND(#REF!&gt;=table!$E$6,#REF!&lt;=table!$F$6),1,0))</f>
        <v>#REF!</v>
      </c>
      <c r="R2258" s="5" t="e">
        <f>IF(AND(#REF!&gt;=table!$C$7,#REF!&lt;= table!$D$7),-1,IF(AND(#REF!&gt;=table!$E$7,#REF!&lt;=table!$F$7),1,0))</f>
        <v>#REF!</v>
      </c>
      <c r="S2258" s="5" t="e">
        <f>IF(AND(#REF!&gt;=table!$C$8,#REF!&lt;= table!$D$8),-1,IF(AND(#REF!&gt;=table!$E$8,#REF!&lt;=table!$F$8),1,0))</f>
        <v>#REF!</v>
      </c>
      <c r="T2258" s="5"/>
      <c r="U2258" s="5" t="e">
        <f>IF(AND(#REF!&gt;=table!$C$10,#REF!&lt;= table!$D$10),-1,IF(AND(#REF!&gt;=table!$E$10,#REF!&lt;=table!$F$10),1,0))</f>
        <v>#REF!</v>
      </c>
      <c r="V2258" s="5" t="e">
        <f>IF(AND(#REF!&gt;=table!$C$11,#REF!&lt;= table!$D$11),-1,IF(AND(#REF!&gt;=table!$E$11,#REF!&lt;=table!$F$11),1,0))</f>
        <v>#REF!</v>
      </c>
      <c r="W2258" s="5" t="e">
        <f>CONCATENATE(dados[[#This Row],[fator1]],dados[[#This Row],[fator5]],dados[[#This Row],[fator6]])</f>
        <v>#REF!</v>
      </c>
    </row>
    <row r="2259" spans="1:23">
      <c r="A2259" t="s">
        <v>17</v>
      </c>
      <c r="B2259">
        <v>487356</v>
      </c>
      <c r="C2259">
        <v>29</v>
      </c>
      <c r="D2259">
        <v>30</v>
      </c>
      <c r="E2259">
        <v>126</v>
      </c>
      <c r="F2259">
        <v>6</v>
      </c>
      <c r="G2259">
        <v>23</v>
      </c>
      <c r="H2259">
        <v>23</v>
      </c>
      <c r="I2259">
        <v>546</v>
      </c>
      <c r="J2259">
        <v>0</v>
      </c>
      <c r="K2259">
        <v>4.3840000000000003</v>
      </c>
      <c r="L2259">
        <v>10.8185</v>
      </c>
      <c r="M2259">
        <v>147.06700000000001</v>
      </c>
      <c r="N2259">
        <v>18.385000000000002</v>
      </c>
      <c r="O2259">
        <v>1675</v>
      </c>
      <c r="P2259">
        <v>937</v>
      </c>
      <c r="Q2259" s="5" t="e">
        <f>IF(AND(#REF!&gt;=table!$C$6,#REF!&lt;= table!$D$6),-1,IF(AND(#REF!&gt;=table!$E$6,#REF!&lt;=table!$F$6),1,0))</f>
        <v>#REF!</v>
      </c>
      <c r="R2259" s="5" t="e">
        <f>IF(AND(#REF!&gt;=table!$C$7,#REF!&lt;= table!$D$7),-1,IF(AND(#REF!&gt;=table!$E$7,#REF!&lt;=table!$F$7),1,0))</f>
        <v>#REF!</v>
      </c>
      <c r="S2259" s="5" t="e">
        <f>IF(AND(#REF!&gt;=table!$C$8,#REF!&lt;= table!$D$8),-1,IF(AND(#REF!&gt;=table!$E$8,#REF!&lt;=table!$F$8),1,0))</f>
        <v>#REF!</v>
      </c>
      <c r="T2259" s="5"/>
      <c r="U2259" s="5" t="e">
        <f>IF(AND(#REF!&gt;=table!$C$10,#REF!&lt;= table!$D$10),-1,IF(AND(#REF!&gt;=table!$E$10,#REF!&lt;=table!$F$10),1,0))</f>
        <v>#REF!</v>
      </c>
      <c r="V2259" s="5" t="e">
        <f>IF(AND(#REF!&gt;=table!$C$11,#REF!&lt;= table!$D$11),-1,IF(AND(#REF!&gt;=table!$E$11,#REF!&lt;=table!$F$11),1,0))</f>
        <v>#REF!</v>
      </c>
      <c r="W2259" s="5" t="e">
        <f>CONCATENATE(dados[[#This Row],[fator1]],dados[[#This Row],[fator5]],dados[[#This Row],[fator6]])</f>
        <v>#REF!</v>
      </c>
    </row>
    <row r="2260" spans="1:23">
      <c r="A2260" t="s">
        <v>16</v>
      </c>
      <c r="B2260">
        <v>487359</v>
      </c>
      <c r="C2260">
        <v>5</v>
      </c>
      <c r="D2260">
        <v>40</v>
      </c>
      <c r="E2260">
        <v>36</v>
      </c>
      <c r="F2260">
        <v>8</v>
      </c>
      <c r="G2260">
        <v>0</v>
      </c>
      <c r="H2260">
        <v>25</v>
      </c>
      <c r="I2260">
        <v>442</v>
      </c>
      <c r="J2260">
        <v>0</v>
      </c>
      <c r="K2260">
        <v>6.2309999999999999</v>
      </c>
      <c r="L2260">
        <v>9.1319999999999997</v>
      </c>
      <c r="M2260">
        <v>32.329000000000001</v>
      </c>
      <c r="N2260">
        <v>11.875</v>
      </c>
      <c r="O2260">
        <v>1655</v>
      </c>
      <c r="P2260">
        <v>657</v>
      </c>
      <c r="Q2260" s="5" t="e">
        <f>IF(AND(#REF!&gt;=table!$C$6,#REF!&lt;= table!$D$6),-1,IF(AND(#REF!&gt;=table!$E$6,#REF!&lt;=table!$F$6),1,0))</f>
        <v>#REF!</v>
      </c>
      <c r="R2260" s="5" t="e">
        <f>IF(AND(#REF!&gt;=table!$C$7,#REF!&lt;= table!$D$7),-1,IF(AND(#REF!&gt;=table!$E$7,#REF!&lt;=table!$F$7),1,0))</f>
        <v>#REF!</v>
      </c>
      <c r="S2260" s="5" t="e">
        <f>IF(AND(#REF!&gt;=table!$C$8,#REF!&lt;= table!$D$8),-1,IF(AND(#REF!&gt;=table!$E$8,#REF!&lt;=table!$F$8),1,0))</f>
        <v>#REF!</v>
      </c>
      <c r="T2260" s="5"/>
      <c r="U2260" s="5" t="e">
        <f>IF(AND(#REF!&gt;=table!$C$10,#REF!&lt;= table!$D$10),-1,IF(AND(#REF!&gt;=table!$E$10,#REF!&lt;=table!$F$10),1,0))</f>
        <v>#REF!</v>
      </c>
      <c r="V2260" s="5" t="e">
        <f>IF(AND(#REF!&gt;=table!$C$11,#REF!&lt;= table!$D$11),-1,IF(AND(#REF!&gt;=table!$E$11,#REF!&lt;=table!$F$11),1,0))</f>
        <v>#REF!</v>
      </c>
      <c r="W2260" s="5" t="e">
        <f>CONCATENATE(dados[[#This Row],[fator1]],dados[[#This Row],[fator5]],dados[[#This Row],[fator6]])</f>
        <v>#REF!</v>
      </c>
    </row>
    <row r="2261" spans="1:23">
      <c r="A2261" t="s">
        <v>16</v>
      </c>
      <c r="B2261">
        <v>487366</v>
      </c>
      <c r="C2261">
        <v>4</v>
      </c>
      <c r="D2261">
        <v>40</v>
      </c>
      <c r="E2261">
        <v>21</v>
      </c>
      <c r="F2261">
        <v>20</v>
      </c>
      <c r="G2261">
        <v>0</v>
      </c>
      <c r="H2261">
        <v>25</v>
      </c>
      <c r="I2261">
        <v>513</v>
      </c>
      <c r="J2261">
        <v>0</v>
      </c>
      <c r="K2261">
        <v>4.7905000000000006</v>
      </c>
      <c r="L2261">
        <v>10.4955</v>
      </c>
      <c r="M2261">
        <v>23.2925</v>
      </c>
      <c r="N2261">
        <v>15.045</v>
      </c>
      <c r="O2261">
        <v>1654</v>
      </c>
      <c r="P2261">
        <v>808</v>
      </c>
      <c r="Q2261" s="5" t="e">
        <f>IF(AND(#REF!&gt;=table!$C$6,#REF!&lt;= table!$D$6),-1,IF(AND(#REF!&gt;=table!$E$6,#REF!&lt;=table!$F$6),1,0))</f>
        <v>#REF!</v>
      </c>
      <c r="R2261" s="5" t="e">
        <f>IF(AND(#REF!&gt;=table!$C$7,#REF!&lt;= table!$D$7),-1,IF(AND(#REF!&gt;=table!$E$7,#REF!&lt;=table!$F$7),1,0))</f>
        <v>#REF!</v>
      </c>
      <c r="S2261" s="5" t="e">
        <f>IF(AND(#REF!&gt;=table!$C$8,#REF!&lt;= table!$D$8),-1,IF(AND(#REF!&gt;=table!$E$8,#REF!&lt;=table!$F$8),1,0))</f>
        <v>#REF!</v>
      </c>
      <c r="T2261" s="5"/>
      <c r="U2261" s="5" t="e">
        <f>IF(AND(#REF!&gt;=table!$C$10,#REF!&lt;= table!$D$10),-1,IF(AND(#REF!&gt;=table!$E$10,#REF!&lt;=table!$F$10),1,0))</f>
        <v>#REF!</v>
      </c>
      <c r="V2261" s="5" t="e">
        <f>IF(AND(#REF!&gt;=table!$C$11,#REF!&lt;= table!$D$11),-1,IF(AND(#REF!&gt;=table!$E$11,#REF!&lt;=table!$F$11),1,0))</f>
        <v>#REF!</v>
      </c>
      <c r="W2261" s="5" t="e">
        <f>CONCATENATE(dados[[#This Row],[fator1]],dados[[#This Row],[fator5]],dados[[#This Row],[fator6]])</f>
        <v>#REF!</v>
      </c>
    </row>
    <row r="2262" spans="1:23">
      <c r="A2262" t="s">
        <v>16</v>
      </c>
      <c r="B2262">
        <v>487367</v>
      </c>
      <c r="C2262">
        <v>7</v>
      </c>
      <c r="D2262">
        <v>35</v>
      </c>
      <c r="E2262">
        <v>170</v>
      </c>
      <c r="F2262">
        <v>6</v>
      </c>
      <c r="G2262">
        <v>0</v>
      </c>
      <c r="H2262">
        <v>20</v>
      </c>
      <c r="I2262">
        <v>651</v>
      </c>
      <c r="J2262">
        <v>880</v>
      </c>
      <c r="K2262">
        <v>7.4770000000000003</v>
      </c>
      <c r="L2262">
        <v>13.944500000000001</v>
      </c>
      <c r="M2262">
        <v>121.5305</v>
      </c>
      <c r="N2262">
        <v>12.715</v>
      </c>
      <c r="O2262">
        <v>1671</v>
      </c>
      <c r="P2262">
        <v>490</v>
      </c>
      <c r="Q2262" s="5" t="e">
        <f>IF(AND(#REF!&gt;=table!$C$6,#REF!&lt;= table!$D$6),-1,IF(AND(#REF!&gt;=table!$E$6,#REF!&lt;=table!$F$6),1,0))</f>
        <v>#REF!</v>
      </c>
      <c r="R2262" s="5" t="e">
        <f>IF(AND(#REF!&gt;=table!$C$7,#REF!&lt;= table!$D$7),-1,IF(AND(#REF!&gt;=table!$E$7,#REF!&lt;=table!$F$7),1,0))</f>
        <v>#REF!</v>
      </c>
      <c r="S2262" s="5" t="e">
        <f>IF(AND(#REF!&gt;=table!$C$8,#REF!&lt;= table!$D$8),-1,IF(AND(#REF!&gt;=table!$E$8,#REF!&lt;=table!$F$8),1,0))</f>
        <v>#REF!</v>
      </c>
      <c r="T2262" s="5"/>
      <c r="U2262" s="5" t="e">
        <f>IF(AND(#REF!&gt;=table!$C$10,#REF!&lt;= table!$D$10),-1,IF(AND(#REF!&gt;=table!$E$10,#REF!&lt;=table!$F$10),1,0))</f>
        <v>#REF!</v>
      </c>
      <c r="V2262" s="5" t="e">
        <f>IF(AND(#REF!&gt;=table!$C$11,#REF!&lt;= table!$D$11),-1,IF(AND(#REF!&gt;=table!$E$11,#REF!&lt;=table!$F$11),1,0))</f>
        <v>#REF!</v>
      </c>
      <c r="W2262" s="5" t="e">
        <f>CONCATENATE(dados[[#This Row],[fator1]],dados[[#This Row],[fator5]],dados[[#This Row],[fator6]])</f>
        <v>#REF!</v>
      </c>
    </row>
    <row r="2263" spans="1:23">
      <c r="A2263" t="s">
        <v>16</v>
      </c>
      <c r="B2263">
        <v>487368</v>
      </c>
      <c r="C2263">
        <v>7</v>
      </c>
      <c r="D2263">
        <v>35</v>
      </c>
      <c r="E2263">
        <v>170</v>
      </c>
      <c r="F2263">
        <v>6</v>
      </c>
      <c r="G2263">
        <v>0</v>
      </c>
      <c r="H2263">
        <v>20</v>
      </c>
      <c r="I2263">
        <v>256</v>
      </c>
      <c r="J2263">
        <v>0</v>
      </c>
      <c r="K2263">
        <v>3.9373</v>
      </c>
      <c r="L2263">
        <v>6.3719999999999999</v>
      </c>
      <c r="M2263">
        <v>92.770499999999998</v>
      </c>
      <c r="N2263">
        <v>14.35</v>
      </c>
      <c r="O2263">
        <v>1679</v>
      </c>
      <c r="P2263">
        <v>0</v>
      </c>
      <c r="Q2263" s="5" t="e">
        <f>IF(AND(#REF!&gt;=table!$C$6,#REF!&lt;= table!$D$6),-1,IF(AND(#REF!&gt;=table!$E$6,#REF!&lt;=table!$F$6),1,0))</f>
        <v>#REF!</v>
      </c>
      <c r="R2263" s="5" t="e">
        <f>IF(AND(#REF!&gt;=table!$C$7,#REF!&lt;= table!$D$7),-1,IF(AND(#REF!&gt;=table!$E$7,#REF!&lt;=table!$F$7),1,0))</f>
        <v>#REF!</v>
      </c>
      <c r="S2263" s="5" t="e">
        <f>IF(AND(#REF!&gt;=table!$C$8,#REF!&lt;= table!$D$8),-1,IF(AND(#REF!&gt;=table!$E$8,#REF!&lt;=table!$F$8),1,0))</f>
        <v>#REF!</v>
      </c>
      <c r="T2263" s="5"/>
      <c r="U2263" s="5" t="e">
        <f>IF(AND(#REF!&gt;=table!$C$10,#REF!&lt;= table!$D$10),-1,IF(AND(#REF!&gt;=table!$E$10,#REF!&lt;=table!$F$10),1,0))</f>
        <v>#REF!</v>
      </c>
      <c r="V2263" s="5" t="e">
        <f>IF(AND(#REF!&gt;=table!$C$11,#REF!&lt;= table!$D$11),-1,IF(AND(#REF!&gt;=table!$E$11,#REF!&lt;=table!$F$11),1,0))</f>
        <v>#REF!</v>
      </c>
      <c r="W2263" s="5" t="e">
        <f>CONCATENATE(dados[[#This Row],[fator1]],dados[[#This Row],[fator5]],dados[[#This Row],[fator6]])</f>
        <v>#REF!</v>
      </c>
    </row>
    <row r="2264" spans="1:23">
      <c r="A2264" t="s">
        <v>16</v>
      </c>
      <c r="B2264">
        <v>487369</v>
      </c>
      <c r="C2264">
        <v>12</v>
      </c>
      <c r="D2264">
        <v>35</v>
      </c>
      <c r="E2264">
        <v>180</v>
      </c>
      <c r="F2264">
        <v>6</v>
      </c>
      <c r="G2264">
        <v>0</v>
      </c>
      <c r="H2264">
        <v>20</v>
      </c>
      <c r="I2264">
        <v>0</v>
      </c>
      <c r="J2264">
        <v>0</v>
      </c>
      <c r="K2264">
        <v>3.766</v>
      </c>
      <c r="L2264">
        <v>6.6990000000000007</v>
      </c>
      <c r="M2264">
        <v>93.43</v>
      </c>
      <c r="N2264">
        <v>14.175000000000001</v>
      </c>
      <c r="O2264">
        <v>1678</v>
      </c>
      <c r="P2264">
        <v>0</v>
      </c>
      <c r="Q2264" s="5" t="e">
        <f>IF(AND(#REF!&gt;=table!$C$6,#REF!&lt;= table!$D$6),-1,IF(AND(#REF!&gt;=table!$E$6,#REF!&lt;=table!$F$6),1,0))</f>
        <v>#REF!</v>
      </c>
      <c r="R2264" s="5" t="e">
        <f>IF(AND(#REF!&gt;=table!$C$7,#REF!&lt;= table!$D$7),-1,IF(AND(#REF!&gt;=table!$E$7,#REF!&lt;=table!$F$7),1,0))</f>
        <v>#REF!</v>
      </c>
      <c r="S2264" s="5" t="e">
        <f>IF(AND(#REF!&gt;=table!$C$8,#REF!&lt;= table!$D$8),-1,IF(AND(#REF!&gt;=table!$E$8,#REF!&lt;=table!$F$8),1,0))</f>
        <v>#REF!</v>
      </c>
      <c r="T2264" s="5"/>
      <c r="U2264" s="5" t="e">
        <f>IF(AND(#REF!&gt;=table!$C$10,#REF!&lt;= table!$D$10),-1,IF(AND(#REF!&gt;=table!$E$10,#REF!&lt;=table!$F$10),1,0))</f>
        <v>#REF!</v>
      </c>
      <c r="V2264" s="5" t="e">
        <f>IF(AND(#REF!&gt;=table!$C$11,#REF!&lt;= table!$D$11),-1,IF(AND(#REF!&gt;=table!$E$11,#REF!&lt;=table!$F$11),1,0))</f>
        <v>#REF!</v>
      </c>
      <c r="W2264" s="5" t="e">
        <f>CONCATENATE(dados[[#This Row],[fator1]],dados[[#This Row],[fator5]],dados[[#This Row],[fator6]])</f>
        <v>#REF!</v>
      </c>
    </row>
    <row r="2265" spans="1:23">
      <c r="A2265" t="s">
        <v>16</v>
      </c>
      <c r="B2265">
        <v>487371</v>
      </c>
      <c r="C2265">
        <v>17</v>
      </c>
      <c r="D2265">
        <v>55</v>
      </c>
      <c r="E2265">
        <v>75</v>
      </c>
      <c r="F2265">
        <v>15</v>
      </c>
      <c r="G2265">
        <v>0</v>
      </c>
      <c r="H2265">
        <v>20</v>
      </c>
      <c r="I2265">
        <v>0</v>
      </c>
      <c r="J2265">
        <v>1530</v>
      </c>
      <c r="K2265">
        <v>4.4584999999999999</v>
      </c>
      <c r="L2265">
        <v>15.374500000000001</v>
      </c>
      <c r="M2265">
        <v>51.931000000000004</v>
      </c>
      <c r="N2265">
        <v>15.76</v>
      </c>
      <c r="O2265">
        <v>1673</v>
      </c>
      <c r="P2265">
        <v>867</v>
      </c>
      <c r="Q2265" s="5" t="e">
        <f>IF(AND(#REF!&gt;=table!$C$6,#REF!&lt;= table!$D$6),-1,IF(AND(#REF!&gt;=table!$E$6,#REF!&lt;=table!$F$6),1,0))</f>
        <v>#REF!</v>
      </c>
      <c r="R2265" s="5" t="e">
        <f>IF(AND(#REF!&gt;=table!$C$7,#REF!&lt;= table!$D$7),-1,IF(AND(#REF!&gt;=table!$E$7,#REF!&lt;=table!$F$7),1,0))</f>
        <v>#REF!</v>
      </c>
      <c r="S2265" s="5" t="e">
        <f>IF(AND(#REF!&gt;=table!$C$8,#REF!&lt;= table!$D$8),-1,IF(AND(#REF!&gt;=table!$E$8,#REF!&lt;=table!$F$8),1,0))</f>
        <v>#REF!</v>
      </c>
      <c r="T2265" s="5"/>
      <c r="U2265" s="5" t="e">
        <f>IF(AND(#REF!&gt;=table!$C$10,#REF!&lt;= table!$D$10),-1,IF(AND(#REF!&gt;=table!$E$10,#REF!&lt;=table!$F$10),1,0))</f>
        <v>#REF!</v>
      </c>
      <c r="V2265" s="5" t="e">
        <f>IF(AND(#REF!&gt;=table!$C$11,#REF!&lt;= table!$D$11),-1,IF(AND(#REF!&gt;=table!$E$11,#REF!&lt;=table!$F$11),1,0))</f>
        <v>#REF!</v>
      </c>
      <c r="W2265" s="5" t="e">
        <f>CONCATENATE(dados[[#This Row],[fator1]],dados[[#This Row],[fator5]],dados[[#This Row],[fator6]])</f>
        <v>#REF!</v>
      </c>
    </row>
    <row r="2266" spans="1:23">
      <c r="A2266" t="s">
        <v>16</v>
      </c>
      <c r="B2266">
        <v>487372</v>
      </c>
      <c r="C2266">
        <v>16</v>
      </c>
      <c r="D2266">
        <v>35</v>
      </c>
      <c r="E2266">
        <v>56</v>
      </c>
      <c r="F2266">
        <v>10</v>
      </c>
      <c r="G2266">
        <v>0</v>
      </c>
      <c r="H2266">
        <v>25</v>
      </c>
      <c r="I2266">
        <v>0</v>
      </c>
      <c r="J2266">
        <v>0</v>
      </c>
      <c r="K2266">
        <v>7.8540000000000001</v>
      </c>
      <c r="L2266">
        <v>12.749000000000001</v>
      </c>
      <c r="M2266">
        <v>52.748000000000005</v>
      </c>
      <c r="N2266">
        <v>16.035</v>
      </c>
      <c r="O2266">
        <v>1651</v>
      </c>
      <c r="P2266">
        <v>0</v>
      </c>
      <c r="Q2266" s="5" t="e">
        <f>IF(AND(#REF!&gt;=table!$C$6,#REF!&lt;= table!$D$6),-1,IF(AND(#REF!&gt;=table!$E$6,#REF!&lt;=table!$F$6),1,0))</f>
        <v>#REF!</v>
      </c>
      <c r="R2266" s="5" t="e">
        <f>IF(AND(#REF!&gt;=table!$C$7,#REF!&lt;= table!$D$7),-1,IF(AND(#REF!&gt;=table!$E$7,#REF!&lt;=table!$F$7),1,0))</f>
        <v>#REF!</v>
      </c>
      <c r="S2266" s="5" t="e">
        <f>IF(AND(#REF!&gt;=table!$C$8,#REF!&lt;= table!$D$8),-1,IF(AND(#REF!&gt;=table!$E$8,#REF!&lt;=table!$F$8),1,0))</f>
        <v>#REF!</v>
      </c>
      <c r="T2266" s="5"/>
      <c r="U2266" s="5" t="e">
        <f>IF(AND(#REF!&gt;=table!$C$10,#REF!&lt;= table!$D$10),-1,IF(AND(#REF!&gt;=table!$E$10,#REF!&lt;=table!$F$10),1,0))</f>
        <v>#REF!</v>
      </c>
      <c r="V2266" s="5" t="e">
        <f>IF(AND(#REF!&gt;=table!$C$11,#REF!&lt;= table!$D$11),-1,IF(AND(#REF!&gt;=table!$E$11,#REF!&lt;=table!$F$11),1,0))</f>
        <v>#REF!</v>
      </c>
      <c r="W2266" s="5" t="e">
        <f>CONCATENATE(dados[[#This Row],[fator1]],dados[[#This Row],[fator5]],dados[[#This Row],[fator6]])</f>
        <v>#REF!</v>
      </c>
    </row>
    <row r="2267" spans="1:23">
      <c r="A2267" t="s">
        <v>16</v>
      </c>
      <c r="B2267">
        <v>487373</v>
      </c>
      <c r="C2267">
        <v>16</v>
      </c>
      <c r="D2267">
        <v>30</v>
      </c>
      <c r="E2267">
        <v>56</v>
      </c>
      <c r="F2267">
        <v>3</v>
      </c>
      <c r="G2267">
        <v>0</v>
      </c>
      <c r="H2267">
        <v>25</v>
      </c>
      <c r="I2267">
        <v>35</v>
      </c>
      <c r="J2267">
        <v>690</v>
      </c>
      <c r="K2267">
        <v>12.3895</v>
      </c>
      <c r="L2267">
        <v>18.804500000000001</v>
      </c>
      <c r="M2267">
        <v>49.799500000000002</v>
      </c>
      <c r="N2267">
        <v>18.14</v>
      </c>
      <c r="O2267">
        <v>1697</v>
      </c>
      <c r="P2267">
        <v>308</v>
      </c>
      <c r="Q2267" s="5" t="e">
        <f>IF(AND(#REF!&gt;=table!$C$6,#REF!&lt;= table!$D$6),-1,IF(AND(#REF!&gt;=table!$E$6,#REF!&lt;=table!$F$6),1,0))</f>
        <v>#REF!</v>
      </c>
      <c r="R2267" s="5" t="e">
        <f>IF(AND(#REF!&gt;=table!$C$7,#REF!&lt;= table!$D$7),-1,IF(AND(#REF!&gt;=table!$E$7,#REF!&lt;=table!$F$7),1,0))</f>
        <v>#REF!</v>
      </c>
      <c r="S2267" s="5" t="e">
        <f>IF(AND(#REF!&gt;=table!$C$8,#REF!&lt;= table!$D$8),-1,IF(AND(#REF!&gt;=table!$E$8,#REF!&lt;=table!$F$8),1,0))</f>
        <v>#REF!</v>
      </c>
      <c r="T2267" s="5"/>
      <c r="U2267" s="5" t="e">
        <f>IF(AND(#REF!&gt;=table!$C$10,#REF!&lt;= table!$D$10),-1,IF(AND(#REF!&gt;=table!$E$10,#REF!&lt;=table!$F$10),1,0))</f>
        <v>#REF!</v>
      </c>
      <c r="V2267" s="5" t="e">
        <f>IF(AND(#REF!&gt;=table!$C$11,#REF!&lt;= table!$D$11),-1,IF(AND(#REF!&gt;=table!$E$11,#REF!&lt;=table!$F$11),1,0))</f>
        <v>#REF!</v>
      </c>
      <c r="W2267" s="5" t="e">
        <f>CONCATENATE(dados[[#This Row],[fator1]],dados[[#This Row],[fator5]],dados[[#This Row],[fator6]])</f>
        <v>#REF!</v>
      </c>
    </row>
    <row r="2268" spans="1:23">
      <c r="A2268" t="s">
        <v>17</v>
      </c>
      <c r="B2268">
        <v>487374</v>
      </c>
      <c r="C2268">
        <v>8</v>
      </c>
      <c r="D2268">
        <v>25</v>
      </c>
      <c r="E2268">
        <v>136</v>
      </c>
      <c r="F2268">
        <v>6</v>
      </c>
      <c r="G2268">
        <v>8</v>
      </c>
      <c r="H2268">
        <v>25</v>
      </c>
      <c r="I2268">
        <v>589</v>
      </c>
      <c r="J2268">
        <v>1290</v>
      </c>
      <c r="K2268">
        <v>4.1080000000000005</v>
      </c>
      <c r="L2268">
        <v>12.561500000000001</v>
      </c>
      <c r="M2268">
        <v>108.84700000000001</v>
      </c>
      <c r="N2268">
        <v>17.195</v>
      </c>
      <c r="O2268">
        <v>1698</v>
      </c>
      <c r="P2268">
        <v>1035</v>
      </c>
      <c r="Q2268" s="5" t="e">
        <f>IF(AND(#REF!&gt;=table!$C$6,#REF!&lt;= table!$D$6),-1,IF(AND(#REF!&gt;=table!$E$6,#REF!&lt;=table!$F$6),1,0))</f>
        <v>#REF!</v>
      </c>
      <c r="R2268" s="5" t="e">
        <f>IF(AND(#REF!&gt;=table!$C$7,#REF!&lt;= table!$D$7),-1,IF(AND(#REF!&gt;=table!$E$7,#REF!&lt;=table!$F$7),1,0))</f>
        <v>#REF!</v>
      </c>
      <c r="S2268" s="5" t="e">
        <f>IF(AND(#REF!&gt;=table!$C$8,#REF!&lt;= table!$D$8),-1,IF(AND(#REF!&gt;=table!$E$8,#REF!&lt;=table!$F$8),1,0))</f>
        <v>#REF!</v>
      </c>
      <c r="T2268" s="5"/>
      <c r="U2268" s="5" t="e">
        <f>IF(AND(#REF!&gt;=table!$C$10,#REF!&lt;= table!$D$10),-1,IF(AND(#REF!&gt;=table!$E$10,#REF!&lt;=table!$F$10),1,0))</f>
        <v>#REF!</v>
      </c>
      <c r="V2268" s="5" t="e">
        <f>IF(AND(#REF!&gt;=table!$C$11,#REF!&lt;= table!$D$11),-1,IF(AND(#REF!&gt;=table!$E$11,#REF!&lt;=table!$F$11),1,0))</f>
        <v>#REF!</v>
      </c>
      <c r="W2268" s="5" t="e">
        <f>CONCATENATE(dados[[#This Row],[fator1]],dados[[#This Row],[fator5]],dados[[#This Row],[fator6]])</f>
        <v>#REF!</v>
      </c>
    </row>
    <row r="2269" spans="1:23">
      <c r="A2269" t="s">
        <v>16</v>
      </c>
      <c r="B2269">
        <v>487380</v>
      </c>
      <c r="C2269">
        <v>8</v>
      </c>
      <c r="D2269">
        <v>30</v>
      </c>
      <c r="E2269">
        <v>61</v>
      </c>
      <c r="F2269">
        <v>8</v>
      </c>
      <c r="G2269">
        <v>0</v>
      </c>
      <c r="H2269">
        <v>25</v>
      </c>
      <c r="I2269">
        <v>529</v>
      </c>
      <c r="J2269">
        <v>0</v>
      </c>
      <c r="K2269">
        <v>5.2190000000000003</v>
      </c>
      <c r="L2269">
        <v>11.273</v>
      </c>
      <c r="M2269">
        <v>55.835500000000003</v>
      </c>
      <c r="N2269">
        <v>16.355</v>
      </c>
      <c r="O2269">
        <v>1676</v>
      </c>
      <c r="P2269">
        <v>676</v>
      </c>
      <c r="Q2269" s="5" t="e">
        <f>IF(AND(#REF!&gt;=table!$C$6,#REF!&lt;= table!$D$6),-1,IF(AND(#REF!&gt;=table!$E$6,#REF!&lt;=table!$F$6),1,0))</f>
        <v>#REF!</v>
      </c>
      <c r="R2269" s="5" t="e">
        <f>IF(AND(#REF!&gt;=table!$C$7,#REF!&lt;= table!$D$7),-1,IF(AND(#REF!&gt;=table!$E$7,#REF!&lt;=table!$F$7),1,0))</f>
        <v>#REF!</v>
      </c>
      <c r="S2269" s="5" t="e">
        <f>IF(AND(#REF!&gt;=table!$C$8,#REF!&lt;= table!$D$8),-1,IF(AND(#REF!&gt;=table!$E$8,#REF!&lt;=table!$F$8),1,0))</f>
        <v>#REF!</v>
      </c>
      <c r="T2269" s="5"/>
      <c r="U2269" s="5" t="e">
        <f>IF(AND(#REF!&gt;=table!$C$10,#REF!&lt;= table!$D$10),-1,IF(AND(#REF!&gt;=table!$E$10,#REF!&lt;=table!$F$10),1,0))</f>
        <v>#REF!</v>
      </c>
      <c r="V2269" s="5" t="e">
        <f>IF(AND(#REF!&gt;=table!$C$11,#REF!&lt;= table!$D$11),-1,IF(AND(#REF!&gt;=table!$E$11,#REF!&lt;=table!$F$11),1,0))</f>
        <v>#REF!</v>
      </c>
      <c r="W2269" s="5" t="e">
        <f>CONCATENATE(dados[[#This Row],[fator1]],dados[[#This Row],[fator5]],dados[[#This Row],[fator6]])</f>
        <v>#REF!</v>
      </c>
    </row>
    <row r="2270" spans="1:23">
      <c r="A2270" t="s">
        <v>16</v>
      </c>
      <c r="B2270">
        <v>487385</v>
      </c>
      <c r="C2270">
        <v>8</v>
      </c>
      <c r="D2270">
        <v>30</v>
      </c>
      <c r="E2270">
        <v>61</v>
      </c>
      <c r="F2270">
        <v>8</v>
      </c>
      <c r="G2270">
        <v>0</v>
      </c>
      <c r="H2270">
        <v>25</v>
      </c>
      <c r="I2270">
        <v>0</v>
      </c>
      <c r="J2270">
        <v>0</v>
      </c>
      <c r="K2270">
        <v>5.9355000000000002</v>
      </c>
      <c r="L2270">
        <v>11.21</v>
      </c>
      <c r="M2270">
        <v>57.844500000000004</v>
      </c>
      <c r="N2270">
        <v>12.39</v>
      </c>
      <c r="O2270">
        <v>1664</v>
      </c>
      <c r="P2270">
        <v>537</v>
      </c>
      <c r="Q2270" s="5" t="e">
        <f>IF(AND(#REF!&gt;=table!$C$6,#REF!&lt;= table!$D$6),-1,IF(AND(#REF!&gt;=table!$E$6,#REF!&lt;=table!$F$6),1,0))</f>
        <v>#REF!</v>
      </c>
      <c r="R2270" s="5" t="e">
        <f>IF(AND(#REF!&gt;=table!$C$7,#REF!&lt;= table!$D$7),-1,IF(AND(#REF!&gt;=table!$E$7,#REF!&lt;=table!$F$7),1,0))</f>
        <v>#REF!</v>
      </c>
      <c r="S2270" s="5" t="e">
        <f>IF(AND(#REF!&gt;=table!$C$8,#REF!&lt;= table!$D$8),-1,IF(AND(#REF!&gt;=table!$E$8,#REF!&lt;=table!$F$8),1,0))</f>
        <v>#REF!</v>
      </c>
      <c r="T2270" s="5"/>
      <c r="U2270" s="5" t="e">
        <f>IF(AND(#REF!&gt;=table!$C$10,#REF!&lt;= table!$D$10),-1,IF(AND(#REF!&gt;=table!$E$10,#REF!&lt;=table!$F$10),1,0))</f>
        <v>#REF!</v>
      </c>
      <c r="V2270" s="5" t="e">
        <f>IF(AND(#REF!&gt;=table!$C$11,#REF!&lt;= table!$D$11),-1,IF(AND(#REF!&gt;=table!$E$11,#REF!&lt;=table!$F$11),1,0))</f>
        <v>#REF!</v>
      </c>
      <c r="W2270" s="5" t="e">
        <f>CONCATENATE(dados[[#This Row],[fator1]],dados[[#This Row],[fator5]],dados[[#This Row],[fator6]])</f>
        <v>#REF!</v>
      </c>
    </row>
    <row r="2271" spans="1:23">
      <c r="A2271" t="s">
        <v>16</v>
      </c>
      <c r="B2271">
        <v>487389</v>
      </c>
      <c r="C2271">
        <v>0.15</v>
      </c>
      <c r="D2271">
        <v>40</v>
      </c>
      <c r="E2271">
        <v>10</v>
      </c>
      <c r="F2271">
        <v>15</v>
      </c>
      <c r="G2271">
        <v>0</v>
      </c>
      <c r="H2271">
        <v>15</v>
      </c>
      <c r="I2271">
        <v>135</v>
      </c>
      <c r="J2271">
        <v>0</v>
      </c>
      <c r="K2271">
        <v>4.1965000000000003</v>
      </c>
      <c r="L2271">
        <v>8.5824999999999996</v>
      </c>
      <c r="M2271">
        <v>8.07</v>
      </c>
      <c r="N2271">
        <v>13.15</v>
      </c>
      <c r="O2271">
        <v>1684</v>
      </c>
      <c r="P2271">
        <v>925</v>
      </c>
      <c r="Q2271" s="5" t="e">
        <f>IF(AND(#REF!&gt;=table!$C$6,#REF!&lt;= table!$D$6),-1,IF(AND(#REF!&gt;=table!$E$6,#REF!&lt;=table!$F$6),1,0))</f>
        <v>#REF!</v>
      </c>
      <c r="R2271" s="5" t="e">
        <f>IF(AND(#REF!&gt;=table!$C$7,#REF!&lt;= table!$D$7),-1,IF(AND(#REF!&gt;=table!$E$7,#REF!&lt;=table!$F$7),1,0))</f>
        <v>#REF!</v>
      </c>
      <c r="S2271" s="5" t="e">
        <f>IF(AND(#REF!&gt;=table!$C$8,#REF!&lt;= table!$D$8),-1,IF(AND(#REF!&gt;=table!$E$8,#REF!&lt;=table!$F$8),1,0))</f>
        <v>#REF!</v>
      </c>
      <c r="T2271" s="5"/>
      <c r="U2271" s="5" t="e">
        <f>IF(AND(#REF!&gt;=table!$C$10,#REF!&lt;= table!$D$10),-1,IF(AND(#REF!&gt;=table!$E$10,#REF!&lt;=table!$F$10),1,0))</f>
        <v>#REF!</v>
      </c>
      <c r="V2271" s="5" t="e">
        <f>IF(AND(#REF!&gt;=table!$C$11,#REF!&lt;= table!$D$11),-1,IF(AND(#REF!&gt;=table!$E$11,#REF!&lt;=table!$F$11),1,0))</f>
        <v>#REF!</v>
      </c>
      <c r="W2271" s="5" t="e">
        <f>CONCATENATE(dados[[#This Row],[fator1]],dados[[#This Row],[fator5]],dados[[#This Row],[fator6]])</f>
        <v>#REF!</v>
      </c>
    </row>
    <row r="2272" spans="1:23">
      <c r="A2272" t="s">
        <v>17</v>
      </c>
      <c r="B2272">
        <v>487396</v>
      </c>
      <c r="C2272">
        <v>14</v>
      </c>
      <c r="D2272">
        <v>30</v>
      </c>
      <c r="E2272">
        <v>210</v>
      </c>
      <c r="F2272">
        <v>3</v>
      </c>
      <c r="G2272">
        <v>40</v>
      </c>
      <c r="H2272">
        <v>25</v>
      </c>
      <c r="I2272">
        <v>948</v>
      </c>
      <c r="J2272">
        <v>0</v>
      </c>
      <c r="K2272">
        <v>4.1930000000000005</v>
      </c>
      <c r="L2272">
        <v>12.532</v>
      </c>
      <c r="M2272">
        <v>172.43900000000002</v>
      </c>
      <c r="N2272">
        <v>21.775000000000002</v>
      </c>
      <c r="O2272">
        <v>1679</v>
      </c>
      <c r="P2272">
        <v>0</v>
      </c>
      <c r="Q2272" s="5" t="e">
        <f>IF(AND(#REF!&gt;=table!$C$6,#REF!&lt;= table!$D$6),-1,IF(AND(#REF!&gt;=table!$E$6,#REF!&lt;=table!$F$6),1,0))</f>
        <v>#REF!</v>
      </c>
      <c r="R2272" s="5" t="e">
        <f>IF(AND(#REF!&gt;=table!$C$7,#REF!&lt;= table!$D$7),-1,IF(AND(#REF!&gt;=table!$E$7,#REF!&lt;=table!$F$7),1,0))</f>
        <v>#REF!</v>
      </c>
      <c r="S2272" s="5" t="e">
        <f>IF(AND(#REF!&gt;=table!$C$8,#REF!&lt;= table!$D$8),-1,IF(AND(#REF!&gt;=table!$E$8,#REF!&lt;=table!$F$8),1,0))</f>
        <v>#REF!</v>
      </c>
      <c r="T2272" s="5"/>
      <c r="U2272" s="5" t="e">
        <f>IF(AND(#REF!&gt;=table!$C$10,#REF!&lt;= table!$D$10),-1,IF(AND(#REF!&gt;=table!$E$10,#REF!&lt;=table!$F$10),1,0))</f>
        <v>#REF!</v>
      </c>
      <c r="V2272" s="5" t="e">
        <f>IF(AND(#REF!&gt;=table!$C$11,#REF!&lt;= table!$D$11),-1,IF(AND(#REF!&gt;=table!$E$11,#REF!&lt;=table!$F$11),1,0))</f>
        <v>#REF!</v>
      </c>
      <c r="W2272" s="5" t="e">
        <f>CONCATENATE(dados[[#This Row],[fator1]],dados[[#This Row],[fator5]],dados[[#This Row],[fator6]])</f>
        <v>#REF!</v>
      </c>
    </row>
    <row r="2273" spans="1:23">
      <c r="A2273" t="s">
        <v>17</v>
      </c>
      <c r="B2273">
        <v>487397</v>
      </c>
      <c r="C2273">
        <v>14</v>
      </c>
      <c r="D2273">
        <v>30</v>
      </c>
      <c r="E2273">
        <v>210</v>
      </c>
      <c r="F2273">
        <v>3</v>
      </c>
      <c r="G2273">
        <v>40</v>
      </c>
      <c r="H2273">
        <v>25</v>
      </c>
      <c r="I2273">
        <v>0</v>
      </c>
      <c r="J2273">
        <v>570</v>
      </c>
      <c r="K2273">
        <v>3.4160000000000004</v>
      </c>
      <c r="L2273">
        <v>6.5635000000000003</v>
      </c>
      <c r="M2273">
        <v>186.184</v>
      </c>
      <c r="N2273">
        <v>15.595000000000001</v>
      </c>
      <c r="O2273">
        <v>1656</v>
      </c>
      <c r="P2273">
        <v>0</v>
      </c>
      <c r="Q2273" s="5" t="e">
        <f>IF(AND(#REF!&gt;=table!$C$6,#REF!&lt;= table!$D$6),-1,IF(AND(#REF!&gt;=table!$E$6,#REF!&lt;=table!$F$6),1,0))</f>
        <v>#REF!</v>
      </c>
      <c r="R2273" s="5" t="e">
        <f>IF(AND(#REF!&gt;=table!$C$7,#REF!&lt;= table!$D$7),-1,IF(AND(#REF!&gt;=table!$E$7,#REF!&lt;=table!$F$7),1,0))</f>
        <v>#REF!</v>
      </c>
      <c r="S2273" s="5" t="e">
        <f>IF(AND(#REF!&gt;=table!$C$8,#REF!&lt;= table!$D$8),-1,IF(AND(#REF!&gt;=table!$E$8,#REF!&lt;=table!$F$8),1,0))</f>
        <v>#REF!</v>
      </c>
      <c r="T2273" s="5"/>
      <c r="U2273" s="5" t="e">
        <f>IF(AND(#REF!&gt;=table!$C$10,#REF!&lt;= table!$D$10),-1,IF(AND(#REF!&gt;=table!$E$10,#REF!&lt;=table!$F$10),1,0))</f>
        <v>#REF!</v>
      </c>
      <c r="V2273" s="5" t="e">
        <f>IF(AND(#REF!&gt;=table!$C$11,#REF!&lt;= table!$D$11),-1,IF(AND(#REF!&gt;=table!$E$11,#REF!&lt;=table!$F$11),1,0))</f>
        <v>#REF!</v>
      </c>
      <c r="W2273" s="5" t="e">
        <f>CONCATENATE(dados[[#This Row],[fator1]],dados[[#This Row],[fator5]],dados[[#This Row],[fator6]])</f>
        <v>#REF!</v>
      </c>
    </row>
    <row r="2274" spans="1:23">
      <c r="A2274" t="s">
        <v>17</v>
      </c>
      <c r="B2274">
        <v>487398</v>
      </c>
      <c r="C2274">
        <v>20</v>
      </c>
      <c r="D2274">
        <v>18</v>
      </c>
      <c r="E2274">
        <v>36</v>
      </c>
      <c r="F2274">
        <v>6</v>
      </c>
      <c r="G2274">
        <v>20</v>
      </c>
      <c r="H2274">
        <v>25</v>
      </c>
      <c r="I2274">
        <v>0</v>
      </c>
      <c r="J2274">
        <v>0</v>
      </c>
      <c r="K2274">
        <v>3.7765</v>
      </c>
      <c r="L2274">
        <v>9.3650000000000002</v>
      </c>
      <c r="M2274">
        <v>28.888500000000001</v>
      </c>
      <c r="N2274">
        <v>18.059999999999999</v>
      </c>
      <c r="O2274">
        <v>1689</v>
      </c>
      <c r="P2274">
        <v>0</v>
      </c>
      <c r="Q2274" s="5" t="e">
        <f>IF(AND(#REF!&gt;=table!$C$6,#REF!&lt;= table!$D$6),-1,IF(AND(#REF!&gt;=table!$E$6,#REF!&lt;=table!$F$6),1,0))</f>
        <v>#REF!</v>
      </c>
      <c r="R2274" s="5" t="e">
        <f>IF(AND(#REF!&gt;=table!$C$7,#REF!&lt;= table!$D$7),-1,IF(AND(#REF!&gt;=table!$E$7,#REF!&lt;=table!$F$7),1,0))</f>
        <v>#REF!</v>
      </c>
      <c r="S2274" s="5" t="e">
        <f>IF(AND(#REF!&gt;=table!$C$8,#REF!&lt;= table!$D$8),-1,IF(AND(#REF!&gt;=table!$E$8,#REF!&lt;=table!$F$8),1,0))</f>
        <v>#REF!</v>
      </c>
      <c r="T2274" s="5"/>
      <c r="U2274" s="5" t="e">
        <f>IF(AND(#REF!&gt;=table!$C$10,#REF!&lt;= table!$D$10),-1,IF(AND(#REF!&gt;=table!$E$10,#REF!&lt;=table!$F$10),1,0))</f>
        <v>#REF!</v>
      </c>
      <c r="V2274" s="5" t="e">
        <f>IF(AND(#REF!&gt;=table!$C$11,#REF!&lt;= table!$D$11),-1,IF(AND(#REF!&gt;=table!$E$11,#REF!&lt;=table!$F$11),1,0))</f>
        <v>#REF!</v>
      </c>
      <c r="W2274" s="5" t="e">
        <f>CONCATENATE(dados[[#This Row],[fator1]],dados[[#This Row],[fator5]],dados[[#This Row],[fator6]])</f>
        <v>#REF!</v>
      </c>
    </row>
    <row r="2275" spans="1:23">
      <c r="A2275" t="s">
        <v>17</v>
      </c>
      <c r="B2275">
        <v>487399</v>
      </c>
      <c r="C2275">
        <v>20</v>
      </c>
      <c r="D2275">
        <v>18</v>
      </c>
      <c r="E2275">
        <v>36</v>
      </c>
      <c r="F2275">
        <v>6</v>
      </c>
      <c r="G2275">
        <v>20</v>
      </c>
      <c r="H2275">
        <v>25</v>
      </c>
      <c r="I2275">
        <v>0</v>
      </c>
      <c r="J2275">
        <v>0</v>
      </c>
      <c r="K2275">
        <v>4.3159999999999998</v>
      </c>
      <c r="L2275">
        <v>11.946</v>
      </c>
      <c r="M2275">
        <v>30.732500000000002</v>
      </c>
      <c r="N2275">
        <v>18.885000000000002</v>
      </c>
      <c r="O2275">
        <v>1696</v>
      </c>
      <c r="P2275">
        <v>0</v>
      </c>
      <c r="Q2275" s="5" t="e">
        <f>IF(AND(#REF!&gt;=table!$C$6,#REF!&lt;= table!$D$6),-1,IF(AND(#REF!&gt;=table!$E$6,#REF!&lt;=table!$F$6),1,0))</f>
        <v>#REF!</v>
      </c>
      <c r="R2275" s="5" t="e">
        <f>IF(AND(#REF!&gt;=table!$C$7,#REF!&lt;= table!$D$7),-1,IF(AND(#REF!&gt;=table!$E$7,#REF!&lt;=table!$F$7),1,0))</f>
        <v>#REF!</v>
      </c>
      <c r="S2275" s="5" t="e">
        <f>IF(AND(#REF!&gt;=table!$C$8,#REF!&lt;= table!$D$8),-1,IF(AND(#REF!&gt;=table!$E$8,#REF!&lt;=table!$F$8),1,0))</f>
        <v>#REF!</v>
      </c>
      <c r="T2275" s="5"/>
      <c r="U2275" s="5" t="e">
        <f>IF(AND(#REF!&gt;=table!$C$10,#REF!&lt;= table!$D$10),-1,IF(AND(#REF!&gt;=table!$E$10,#REF!&lt;=table!$F$10),1,0))</f>
        <v>#REF!</v>
      </c>
      <c r="V2275" s="5" t="e">
        <f>IF(AND(#REF!&gt;=table!$C$11,#REF!&lt;= table!$D$11),-1,IF(AND(#REF!&gt;=table!$E$11,#REF!&lt;=table!$F$11),1,0))</f>
        <v>#REF!</v>
      </c>
      <c r="W2275" s="5" t="e">
        <f>CONCATENATE(dados[[#This Row],[fator1]],dados[[#This Row],[fator5]],dados[[#This Row],[fator6]])</f>
        <v>#REF!</v>
      </c>
    </row>
    <row r="2276" spans="1:23">
      <c r="A2276" t="s">
        <v>17</v>
      </c>
      <c r="B2276">
        <v>487400</v>
      </c>
      <c r="C2276">
        <v>30</v>
      </c>
      <c r="D2276">
        <v>18</v>
      </c>
      <c r="E2276">
        <v>66</v>
      </c>
      <c r="F2276">
        <v>6</v>
      </c>
      <c r="G2276">
        <v>20</v>
      </c>
      <c r="H2276">
        <v>25</v>
      </c>
      <c r="I2276">
        <v>61</v>
      </c>
      <c r="J2276">
        <v>0</v>
      </c>
      <c r="K2276">
        <v>6.6045000000000007</v>
      </c>
      <c r="L2276">
        <v>12.94</v>
      </c>
      <c r="M2276">
        <v>62.262500000000003</v>
      </c>
      <c r="N2276">
        <v>16.87</v>
      </c>
      <c r="O2276">
        <v>1658</v>
      </c>
      <c r="P2276">
        <v>567</v>
      </c>
      <c r="Q2276" s="5" t="e">
        <f>IF(AND(#REF!&gt;=table!$C$6,#REF!&lt;= table!$D$6),-1,IF(AND(#REF!&gt;=table!$E$6,#REF!&lt;=table!$F$6),1,0))</f>
        <v>#REF!</v>
      </c>
      <c r="R2276" s="5" t="e">
        <f>IF(AND(#REF!&gt;=table!$C$7,#REF!&lt;= table!$D$7),-1,IF(AND(#REF!&gt;=table!$E$7,#REF!&lt;=table!$F$7),1,0))</f>
        <v>#REF!</v>
      </c>
      <c r="S2276" s="5" t="e">
        <f>IF(AND(#REF!&gt;=table!$C$8,#REF!&lt;= table!$D$8),-1,IF(AND(#REF!&gt;=table!$E$8,#REF!&lt;=table!$F$8),1,0))</f>
        <v>#REF!</v>
      </c>
      <c r="T2276" s="5"/>
      <c r="U2276" s="5" t="e">
        <f>IF(AND(#REF!&gt;=table!$C$10,#REF!&lt;= table!$D$10),-1,IF(AND(#REF!&gt;=table!$E$10,#REF!&lt;=table!$F$10),1,0))</f>
        <v>#REF!</v>
      </c>
      <c r="V2276" s="5" t="e">
        <f>IF(AND(#REF!&gt;=table!$C$11,#REF!&lt;= table!$D$11),-1,IF(AND(#REF!&gt;=table!$E$11,#REF!&lt;=table!$F$11),1,0))</f>
        <v>#REF!</v>
      </c>
      <c r="W2276" s="5" t="e">
        <f>CONCATENATE(dados[[#This Row],[fator1]],dados[[#This Row],[fator5]],dados[[#This Row],[fator6]])</f>
        <v>#REF!</v>
      </c>
    </row>
    <row r="2277" spans="1:23">
      <c r="A2277" t="s">
        <v>17</v>
      </c>
      <c r="B2277">
        <v>487402</v>
      </c>
      <c r="C2277">
        <v>30</v>
      </c>
      <c r="D2277">
        <v>18</v>
      </c>
      <c r="E2277">
        <v>66</v>
      </c>
      <c r="F2277">
        <v>6</v>
      </c>
      <c r="G2277">
        <v>20</v>
      </c>
      <c r="H2277">
        <v>25</v>
      </c>
      <c r="I2277">
        <v>125</v>
      </c>
      <c r="J2277">
        <v>0</v>
      </c>
      <c r="K2277">
        <v>10.088000000000001</v>
      </c>
      <c r="L2277">
        <v>18.807000000000002</v>
      </c>
      <c r="M2277">
        <v>65.027500000000003</v>
      </c>
      <c r="N2277">
        <v>17.11</v>
      </c>
      <c r="O2277">
        <v>1645</v>
      </c>
      <c r="P2277">
        <v>329</v>
      </c>
      <c r="Q2277" s="5" t="e">
        <f>IF(AND(#REF!&gt;=table!$C$6,#REF!&lt;= table!$D$6),-1,IF(AND(#REF!&gt;=table!$E$6,#REF!&lt;=table!$F$6),1,0))</f>
        <v>#REF!</v>
      </c>
      <c r="R2277" s="5" t="e">
        <f>IF(AND(#REF!&gt;=table!$C$7,#REF!&lt;= table!$D$7),-1,IF(AND(#REF!&gt;=table!$E$7,#REF!&lt;=table!$F$7),1,0))</f>
        <v>#REF!</v>
      </c>
      <c r="S2277" s="5" t="e">
        <f>IF(AND(#REF!&gt;=table!$C$8,#REF!&lt;= table!$D$8),-1,IF(AND(#REF!&gt;=table!$E$8,#REF!&lt;=table!$F$8),1,0))</f>
        <v>#REF!</v>
      </c>
      <c r="T2277" s="5"/>
      <c r="U2277" s="5" t="e">
        <f>IF(AND(#REF!&gt;=table!$C$10,#REF!&lt;= table!$D$10),-1,IF(AND(#REF!&gt;=table!$E$10,#REF!&lt;=table!$F$10),1,0))</f>
        <v>#REF!</v>
      </c>
      <c r="V2277" s="5" t="e">
        <f>IF(AND(#REF!&gt;=table!$C$11,#REF!&lt;= table!$D$11),-1,IF(AND(#REF!&gt;=table!$E$11,#REF!&lt;=table!$F$11),1,0))</f>
        <v>#REF!</v>
      </c>
      <c r="W2277" s="5" t="e">
        <f>CONCATENATE(dados[[#This Row],[fator1]],dados[[#This Row],[fator5]],dados[[#This Row],[fator6]])</f>
        <v>#REF!</v>
      </c>
    </row>
    <row r="2278" spans="1:23">
      <c r="A2278" t="s">
        <v>17</v>
      </c>
      <c r="B2278">
        <v>487404</v>
      </c>
      <c r="C2278">
        <v>30</v>
      </c>
      <c r="D2278">
        <v>18</v>
      </c>
      <c r="E2278">
        <v>66</v>
      </c>
      <c r="F2278">
        <v>6</v>
      </c>
      <c r="G2278">
        <v>20</v>
      </c>
      <c r="H2278">
        <v>25</v>
      </c>
      <c r="I2278">
        <v>0</v>
      </c>
      <c r="J2278">
        <v>0</v>
      </c>
      <c r="K2278">
        <v>19.5975</v>
      </c>
      <c r="L2278">
        <v>21.808500000000002</v>
      </c>
      <c r="M2278">
        <v>69.281500000000008</v>
      </c>
      <c r="N2278">
        <v>22.995000000000001</v>
      </c>
      <c r="O2278">
        <v>1631</v>
      </c>
      <c r="P2278">
        <v>170</v>
      </c>
      <c r="Q2278" s="5" t="e">
        <f>IF(AND(#REF!&gt;=table!$C$6,#REF!&lt;= table!$D$6),-1,IF(AND(#REF!&gt;=table!$E$6,#REF!&lt;=table!$F$6),1,0))</f>
        <v>#REF!</v>
      </c>
      <c r="R2278" s="5" t="e">
        <f>IF(AND(#REF!&gt;=table!$C$7,#REF!&lt;= table!$D$7),-1,IF(AND(#REF!&gt;=table!$E$7,#REF!&lt;=table!$F$7),1,0))</f>
        <v>#REF!</v>
      </c>
      <c r="S2278" s="5" t="e">
        <f>IF(AND(#REF!&gt;=table!$C$8,#REF!&lt;= table!$D$8),-1,IF(AND(#REF!&gt;=table!$E$8,#REF!&lt;=table!$F$8),1,0))</f>
        <v>#REF!</v>
      </c>
      <c r="T2278" s="5"/>
      <c r="U2278" s="5" t="e">
        <f>IF(AND(#REF!&gt;=table!$C$10,#REF!&lt;= table!$D$10),-1,IF(AND(#REF!&gt;=table!$E$10,#REF!&lt;=table!$F$10),1,0))</f>
        <v>#REF!</v>
      </c>
      <c r="V2278" s="5" t="e">
        <f>IF(AND(#REF!&gt;=table!$C$11,#REF!&lt;= table!$D$11),-1,IF(AND(#REF!&gt;=table!$E$11,#REF!&lt;=table!$F$11),1,0))</f>
        <v>#REF!</v>
      </c>
      <c r="W2278" s="5" t="e">
        <f>CONCATENATE(dados[[#This Row],[fator1]],dados[[#This Row],[fator5]],dados[[#This Row],[fator6]])</f>
        <v>#REF!</v>
      </c>
    </row>
    <row r="2279" spans="1:23">
      <c r="A2279" t="s">
        <v>16</v>
      </c>
      <c r="B2279">
        <v>487406</v>
      </c>
      <c r="C2279">
        <v>6</v>
      </c>
      <c r="D2279">
        <v>25</v>
      </c>
      <c r="E2279">
        <v>120</v>
      </c>
      <c r="F2279">
        <v>4</v>
      </c>
      <c r="G2279">
        <v>0</v>
      </c>
      <c r="H2279">
        <v>55</v>
      </c>
      <c r="I2279">
        <v>841</v>
      </c>
      <c r="J2279">
        <v>770</v>
      </c>
      <c r="K2279">
        <v>6.9970000000000008</v>
      </c>
      <c r="L2279">
        <v>9.8010000000000002</v>
      </c>
      <c r="M2279">
        <v>107.93300000000001</v>
      </c>
      <c r="N2279">
        <v>27.795000000000002</v>
      </c>
      <c r="O2279">
        <v>1668</v>
      </c>
      <c r="P2279">
        <v>0</v>
      </c>
      <c r="Q2279" s="5" t="e">
        <f>IF(AND(#REF!&gt;=table!$C$6,#REF!&lt;= table!$D$6),-1,IF(AND(#REF!&gt;=table!$E$6,#REF!&lt;=table!$F$6),1,0))</f>
        <v>#REF!</v>
      </c>
      <c r="R2279" s="5" t="e">
        <f>IF(AND(#REF!&gt;=table!$C$7,#REF!&lt;= table!$D$7),-1,IF(AND(#REF!&gt;=table!$E$7,#REF!&lt;=table!$F$7),1,0))</f>
        <v>#REF!</v>
      </c>
      <c r="S2279" s="5" t="e">
        <f>IF(AND(#REF!&gt;=table!$C$8,#REF!&lt;= table!$D$8),-1,IF(AND(#REF!&gt;=table!$E$8,#REF!&lt;=table!$F$8),1,0))</f>
        <v>#REF!</v>
      </c>
      <c r="T2279" s="5"/>
      <c r="U2279" s="5" t="e">
        <f>IF(AND(#REF!&gt;=table!$C$10,#REF!&lt;= table!$D$10),-1,IF(AND(#REF!&gt;=table!$E$10,#REF!&lt;=table!$F$10),1,0))</f>
        <v>#REF!</v>
      </c>
      <c r="V2279" s="5" t="e">
        <f>IF(AND(#REF!&gt;=table!$C$11,#REF!&lt;= table!$D$11),-1,IF(AND(#REF!&gt;=table!$E$11,#REF!&lt;=table!$F$11),1,0))</f>
        <v>#REF!</v>
      </c>
      <c r="W2279" s="5" t="e">
        <f>CONCATENATE(dados[[#This Row],[fator1]],dados[[#This Row],[fator5]],dados[[#This Row],[fator6]])</f>
        <v>#REF!</v>
      </c>
    </row>
    <row r="2280" spans="1:23">
      <c r="A2280" t="s">
        <v>16</v>
      </c>
      <c r="B2280">
        <v>487414</v>
      </c>
      <c r="C2280">
        <v>0.15</v>
      </c>
      <c r="D2280">
        <v>40</v>
      </c>
      <c r="E2280">
        <v>10</v>
      </c>
      <c r="F2280">
        <v>15</v>
      </c>
      <c r="G2280">
        <v>0</v>
      </c>
      <c r="H2280">
        <v>15</v>
      </c>
      <c r="I2280">
        <v>909</v>
      </c>
      <c r="J2280">
        <v>0</v>
      </c>
      <c r="K2280">
        <v>4.085</v>
      </c>
      <c r="L2280">
        <v>8.6880000000000006</v>
      </c>
      <c r="M2280">
        <v>7.6935000000000002</v>
      </c>
      <c r="N2280">
        <v>15.63</v>
      </c>
      <c r="O2280">
        <v>1706</v>
      </c>
      <c r="P2280">
        <v>0</v>
      </c>
      <c r="Q2280" s="5" t="e">
        <f>IF(AND(#REF!&gt;=table!$C$6,#REF!&lt;= table!$D$6),-1,IF(AND(#REF!&gt;=table!$E$6,#REF!&lt;=table!$F$6),1,0))</f>
        <v>#REF!</v>
      </c>
      <c r="R2280" s="5" t="e">
        <f>IF(AND(#REF!&gt;=table!$C$7,#REF!&lt;= table!$D$7),-1,IF(AND(#REF!&gt;=table!$E$7,#REF!&lt;=table!$F$7),1,0))</f>
        <v>#REF!</v>
      </c>
      <c r="S2280" s="5" t="e">
        <f>IF(AND(#REF!&gt;=table!$C$8,#REF!&lt;= table!$D$8),-1,IF(AND(#REF!&gt;=table!$E$8,#REF!&lt;=table!$F$8),1,0))</f>
        <v>#REF!</v>
      </c>
      <c r="T2280" s="5"/>
      <c r="U2280" s="5" t="e">
        <f>IF(AND(#REF!&gt;=table!$C$10,#REF!&lt;= table!$D$10),-1,IF(AND(#REF!&gt;=table!$E$10,#REF!&lt;=table!$F$10),1,0))</f>
        <v>#REF!</v>
      </c>
      <c r="V2280" s="5" t="e">
        <f>IF(AND(#REF!&gt;=table!$C$11,#REF!&lt;= table!$D$11),-1,IF(AND(#REF!&gt;=table!$E$11,#REF!&lt;=table!$F$11),1,0))</f>
        <v>#REF!</v>
      </c>
      <c r="W2280" s="5" t="e">
        <f>CONCATENATE(dados[[#This Row],[fator1]],dados[[#This Row],[fator5]],dados[[#This Row],[fator6]])</f>
        <v>#REF!</v>
      </c>
    </row>
    <row r="2281" spans="1:23">
      <c r="A2281" t="s">
        <v>16</v>
      </c>
      <c r="B2281">
        <v>487415</v>
      </c>
      <c r="C2281">
        <v>10</v>
      </c>
      <c r="D2281">
        <v>30</v>
      </c>
      <c r="E2281">
        <v>150</v>
      </c>
      <c r="F2281">
        <v>4</v>
      </c>
      <c r="G2281">
        <v>0</v>
      </c>
      <c r="H2281">
        <v>25</v>
      </c>
      <c r="I2281">
        <v>15</v>
      </c>
      <c r="J2281">
        <v>0</v>
      </c>
      <c r="K2281">
        <v>3.2910000000000004</v>
      </c>
      <c r="L2281">
        <v>7.7730000000000006</v>
      </c>
      <c r="M2281">
        <v>97.76700000000001</v>
      </c>
      <c r="N2281">
        <v>17.55</v>
      </c>
      <c r="O2281">
        <v>1670</v>
      </c>
      <c r="P2281">
        <v>0</v>
      </c>
      <c r="Q2281" s="5" t="e">
        <f>IF(AND(#REF!&gt;=table!$C$6,#REF!&lt;= table!$D$6),-1,IF(AND(#REF!&gt;=table!$E$6,#REF!&lt;=table!$F$6),1,0))</f>
        <v>#REF!</v>
      </c>
      <c r="R2281" s="5" t="e">
        <f>IF(AND(#REF!&gt;=table!$C$7,#REF!&lt;= table!$D$7),-1,IF(AND(#REF!&gt;=table!$E$7,#REF!&lt;=table!$F$7),1,0))</f>
        <v>#REF!</v>
      </c>
      <c r="S2281" s="5" t="e">
        <f>IF(AND(#REF!&gt;=table!$C$8,#REF!&lt;= table!$D$8),-1,IF(AND(#REF!&gt;=table!$E$8,#REF!&lt;=table!$F$8),1,0))</f>
        <v>#REF!</v>
      </c>
      <c r="T2281" s="5"/>
      <c r="U2281" s="5" t="e">
        <f>IF(AND(#REF!&gt;=table!$C$10,#REF!&lt;= table!$D$10),-1,IF(AND(#REF!&gt;=table!$E$10,#REF!&lt;=table!$F$10),1,0))</f>
        <v>#REF!</v>
      </c>
      <c r="V2281" s="5" t="e">
        <f>IF(AND(#REF!&gt;=table!$C$11,#REF!&lt;= table!$D$11),-1,IF(AND(#REF!&gt;=table!$E$11,#REF!&lt;=table!$F$11),1,0))</f>
        <v>#REF!</v>
      </c>
      <c r="W2281" s="5" t="e">
        <f>CONCATENATE(dados[[#This Row],[fator1]],dados[[#This Row],[fator5]],dados[[#This Row],[fator6]])</f>
        <v>#REF!</v>
      </c>
    </row>
    <row r="2282" spans="1:23">
      <c r="A2282" t="s">
        <v>16</v>
      </c>
      <c r="B2282">
        <v>487417</v>
      </c>
      <c r="C2282">
        <v>7</v>
      </c>
      <c r="D2282">
        <v>33</v>
      </c>
      <c r="E2282">
        <v>153</v>
      </c>
      <c r="F2282">
        <v>4</v>
      </c>
      <c r="G2282">
        <v>0</v>
      </c>
      <c r="H2282">
        <v>25</v>
      </c>
      <c r="I2282">
        <v>889</v>
      </c>
      <c r="J2282">
        <v>0</v>
      </c>
      <c r="K2282">
        <v>3.5225</v>
      </c>
      <c r="L2282">
        <v>3.8065000000000002</v>
      </c>
      <c r="M2282">
        <v>112.00550000000001</v>
      </c>
      <c r="N2282">
        <v>9.8450000000000006</v>
      </c>
      <c r="O2282">
        <v>1654</v>
      </c>
      <c r="P2282">
        <v>0</v>
      </c>
      <c r="Q2282" s="5" t="e">
        <f>IF(AND(#REF!&gt;=table!$C$6,#REF!&lt;= table!$D$6),-1,IF(AND(#REF!&gt;=table!$E$6,#REF!&lt;=table!$F$6),1,0))</f>
        <v>#REF!</v>
      </c>
      <c r="R2282" s="5" t="e">
        <f>IF(AND(#REF!&gt;=table!$C$7,#REF!&lt;= table!$D$7),-1,IF(AND(#REF!&gt;=table!$E$7,#REF!&lt;=table!$F$7),1,0))</f>
        <v>#REF!</v>
      </c>
      <c r="S2282" s="5" t="e">
        <f>IF(AND(#REF!&gt;=table!$C$8,#REF!&lt;= table!$D$8),-1,IF(AND(#REF!&gt;=table!$E$8,#REF!&lt;=table!$F$8),1,0))</f>
        <v>#REF!</v>
      </c>
      <c r="T2282" s="5"/>
      <c r="U2282" s="5" t="e">
        <f>IF(AND(#REF!&gt;=table!$C$10,#REF!&lt;= table!$D$10),-1,IF(AND(#REF!&gt;=table!$E$10,#REF!&lt;=table!$F$10),1,0))</f>
        <v>#REF!</v>
      </c>
      <c r="V2282" s="5" t="e">
        <f>IF(AND(#REF!&gt;=table!$C$11,#REF!&lt;= table!$D$11),-1,IF(AND(#REF!&gt;=table!$E$11,#REF!&lt;=table!$F$11),1,0))</f>
        <v>#REF!</v>
      </c>
      <c r="W2282" s="5" t="e">
        <f>CONCATENATE(dados[[#This Row],[fator1]],dados[[#This Row],[fator5]],dados[[#This Row],[fator6]])</f>
        <v>#REF!</v>
      </c>
    </row>
    <row r="2283" spans="1:23">
      <c r="A2283" t="s">
        <v>16</v>
      </c>
      <c r="B2283">
        <v>487418</v>
      </c>
      <c r="C2283">
        <v>7</v>
      </c>
      <c r="D2283">
        <v>33</v>
      </c>
      <c r="E2283">
        <v>153</v>
      </c>
      <c r="F2283">
        <v>4</v>
      </c>
      <c r="G2283">
        <v>0</v>
      </c>
      <c r="H2283">
        <v>25</v>
      </c>
      <c r="I2283">
        <v>113</v>
      </c>
      <c r="J2283">
        <v>0</v>
      </c>
      <c r="K2283">
        <v>3.0465</v>
      </c>
      <c r="L2283">
        <v>6.37</v>
      </c>
      <c r="M2283">
        <v>91.905500000000004</v>
      </c>
      <c r="N2283">
        <v>15.280000000000001</v>
      </c>
      <c r="O2283">
        <v>1678</v>
      </c>
      <c r="P2283">
        <v>0</v>
      </c>
      <c r="Q2283" s="5" t="e">
        <f>IF(AND(#REF!&gt;=table!$C$6,#REF!&lt;= table!$D$6),-1,IF(AND(#REF!&gt;=table!$E$6,#REF!&lt;=table!$F$6),1,0))</f>
        <v>#REF!</v>
      </c>
      <c r="R2283" s="5" t="e">
        <f>IF(AND(#REF!&gt;=table!$C$7,#REF!&lt;= table!$D$7),-1,IF(AND(#REF!&gt;=table!$E$7,#REF!&lt;=table!$F$7),1,0))</f>
        <v>#REF!</v>
      </c>
      <c r="S2283" s="5" t="e">
        <f>IF(AND(#REF!&gt;=table!$C$8,#REF!&lt;= table!$D$8),-1,IF(AND(#REF!&gt;=table!$E$8,#REF!&lt;=table!$F$8),1,0))</f>
        <v>#REF!</v>
      </c>
      <c r="T2283" s="5"/>
      <c r="U2283" s="5" t="e">
        <f>IF(AND(#REF!&gt;=table!$C$10,#REF!&lt;= table!$D$10),-1,IF(AND(#REF!&gt;=table!$E$10,#REF!&lt;=table!$F$10),1,0))</f>
        <v>#REF!</v>
      </c>
      <c r="V2283" s="5" t="e">
        <f>IF(AND(#REF!&gt;=table!$C$11,#REF!&lt;= table!$D$11),-1,IF(AND(#REF!&gt;=table!$E$11,#REF!&lt;=table!$F$11),1,0))</f>
        <v>#REF!</v>
      </c>
      <c r="W2283" s="5" t="e">
        <f>CONCATENATE(dados[[#This Row],[fator1]],dados[[#This Row],[fator5]],dados[[#This Row],[fator6]])</f>
        <v>#REF!</v>
      </c>
    </row>
    <row r="2284" spans="1:23">
      <c r="A2284" t="s">
        <v>16</v>
      </c>
      <c r="B2284">
        <v>487424</v>
      </c>
      <c r="C2284">
        <v>9</v>
      </c>
      <c r="D2284">
        <v>40</v>
      </c>
      <c r="E2284">
        <v>125</v>
      </c>
      <c r="F2284">
        <v>6</v>
      </c>
      <c r="G2284">
        <v>0</v>
      </c>
      <c r="H2284">
        <v>25</v>
      </c>
      <c r="I2284">
        <v>1158</v>
      </c>
      <c r="J2284">
        <v>0</v>
      </c>
      <c r="K2284">
        <v>9.048</v>
      </c>
      <c r="L2284">
        <v>12.8255</v>
      </c>
      <c r="M2284">
        <v>117.9405</v>
      </c>
      <c r="N2284">
        <v>16.440000000000001</v>
      </c>
      <c r="O2284">
        <v>1664</v>
      </c>
      <c r="P2284">
        <v>387</v>
      </c>
      <c r="Q2284" s="5" t="e">
        <f>IF(AND(#REF!&gt;=table!$C$6,#REF!&lt;= table!$D$6),-1,IF(AND(#REF!&gt;=table!$E$6,#REF!&lt;=table!$F$6),1,0))</f>
        <v>#REF!</v>
      </c>
      <c r="R2284" s="5" t="e">
        <f>IF(AND(#REF!&gt;=table!$C$7,#REF!&lt;= table!$D$7),-1,IF(AND(#REF!&gt;=table!$E$7,#REF!&lt;=table!$F$7),1,0))</f>
        <v>#REF!</v>
      </c>
      <c r="S2284" s="5" t="e">
        <f>IF(AND(#REF!&gt;=table!$C$8,#REF!&lt;= table!$D$8),-1,IF(AND(#REF!&gt;=table!$E$8,#REF!&lt;=table!$F$8),1,0))</f>
        <v>#REF!</v>
      </c>
      <c r="T2284" s="5"/>
      <c r="U2284" s="5" t="e">
        <f>IF(AND(#REF!&gt;=table!$C$10,#REF!&lt;= table!$D$10),-1,IF(AND(#REF!&gt;=table!$E$10,#REF!&lt;=table!$F$10),1,0))</f>
        <v>#REF!</v>
      </c>
      <c r="V2284" s="5" t="e">
        <f>IF(AND(#REF!&gt;=table!$C$11,#REF!&lt;= table!$D$11),-1,IF(AND(#REF!&gt;=table!$E$11,#REF!&lt;=table!$F$11),1,0))</f>
        <v>#REF!</v>
      </c>
      <c r="W2284" s="5" t="e">
        <f>CONCATENATE(dados[[#This Row],[fator1]],dados[[#This Row],[fator5]],dados[[#This Row],[fator6]])</f>
        <v>#REF!</v>
      </c>
    </row>
    <row r="2285" spans="1:23">
      <c r="A2285" t="s">
        <v>16</v>
      </c>
      <c r="B2285">
        <v>487427</v>
      </c>
      <c r="C2285">
        <v>16</v>
      </c>
      <c r="D2285">
        <v>30</v>
      </c>
      <c r="E2285">
        <v>36</v>
      </c>
      <c r="F2285">
        <v>3</v>
      </c>
      <c r="G2285">
        <v>0</v>
      </c>
      <c r="H2285">
        <v>25</v>
      </c>
      <c r="I2285">
        <v>786</v>
      </c>
      <c r="J2285">
        <v>0</v>
      </c>
      <c r="K2285">
        <v>10.037000000000001</v>
      </c>
      <c r="L2285">
        <v>10.5235</v>
      </c>
      <c r="M2285">
        <v>36.861000000000004</v>
      </c>
      <c r="N2285">
        <v>12.975000000000001</v>
      </c>
      <c r="O2285">
        <v>1666</v>
      </c>
      <c r="P2285">
        <v>395</v>
      </c>
      <c r="Q2285" s="5" t="e">
        <f>IF(AND(#REF!&gt;=table!$C$6,#REF!&lt;= table!$D$6),-1,IF(AND(#REF!&gt;=table!$E$6,#REF!&lt;=table!$F$6),1,0))</f>
        <v>#REF!</v>
      </c>
      <c r="R2285" s="5" t="e">
        <f>IF(AND(#REF!&gt;=table!$C$7,#REF!&lt;= table!$D$7),-1,IF(AND(#REF!&gt;=table!$E$7,#REF!&lt;=table!$F$7),1,0))</f>
        <v>#REF!</v>
      </c>
      <c r="S2285" s="5" t="e">
        <f>IF(AND(#REF!&gt;=table!$C$8,#REF!&lt;= table!$D$8),-1,IF(AND(#REF!&gt;=table!$E$8,#REF!&lt;=table!$F$8),1,0))</f>
        <v>#REF!</v>
      </c>
      <c r="T2285" s="5"/>
      <c r="U2285" s="5" t="e">
        <f>IF(AND(#REF!&gt;=table!$C$10,#REF!&lt;= table!$D$10),-1,IF(AND(#REF!&gt;=table!$E$10,#REF!&lt;=table!$F$10),1,0))</f>
        <v>#REF!</v>
      </c>
      <c r="V2285" s="5" t="e">
        <f>IF(AND(#REF!&gt;=table!$C$11,#REF!&lt;= table!$D$11),-1,IF(AND(#REF!&gt;=table!$E$11,#REF!&lt;=table!$F$11),1,0))</f>
        <v>#REF!</v>
      </c>
      <c r="W2285" s="5" t="e">
        <f>CONCATENATE(dados[[#This Row],[fator1]],dados[[#This Row],[fator5]],dados[[#This Row],[fator6]])</f>
        <v>#REF!</v>
      </c>
    </row>
    <row r="2286" spans="1:23">
      <c r="A2286" t="s">
        <v>16</v>
      </c>
      <c r="B2286">
        <v>487430</v>
      </c>
      <c r="C2286">
        <v>12</v>
      </c>
      <c r="D2286">
        <v>35</v>
      </c>
      <c r="E2286">
        <v>86</v>
      </c>
      <c r="F2286">
        <v>10</v>
      </c>
      <c r="G2286">
        <v>0</v>
      </c>
      <c r="H2286">
        <v>25</v>
      </c>
      <c r="I2286">
        <v>503</v>
      </c>
      <c r="J2286">
        <v>0</v>
      </c>
      <c r="K2286">
        <v>3.6815000000000002</v>
      </c>
      <c r="L2286">
        <v>7.3290000000000006</v>
      </c>
      <c r="M2286">
        <v>62.682000000000002</v>
      </c>
      <c r="N2286">
        <v>13.9</v>
      </c>
      <c r="O2286">
        <v>1662</v>
      </c>
      <c r="P2286">
        <v>980</v>
      </c>
      <c r="Q2286" s="5" t="e">
        <f>IF(AND(#REF!&gt;=table!$C$6,#REF!&lt;= table!$D$6),-1,IF(AND(#REF!&gt;=table!$E$6,#REF!&lt;=table!$F$6),1,0))</f>
        <v>#REF!</v>
      </c>
      <c r="R2286" s="5" t="e">
        <f>IF(AND(#REF!&gt;=table!$C$7,#REF!&lt;= table!$D$7),-1,IF(AND(#REF!&gt;=table!$E$7,#REF!&lt;=table!$F$7),1,0))</f>
        <v>#REF!</v>
      </c>
      <c r="S2286" s="5" t="e">
        <f>IF(AND(#REF!&gt;=table!$C$8,#REF!&lt;= table!$D$8),-1,IF(AND(#REF!&gt;=table!$E$8,#REF!&lt;=table!$F$8),1,0))</f>
        <v>#REF!</v>
      </c>
      <c r="T2286" s="5"/>
      <c r="U2286" s="5" t="e">
        <f>IF(AND(#REF!&gt;=table!$C$10,#REF!&lt;= table!$D$10),-1,IF(AND(#REF!&gt;=table!$E$10,#REF!&lt;=table!$F$10),1,0))</f>
        <v>#REF!</v>
      </c>
      <c r="V2286" s="5" t="e">
        <f>IF(AND(#REF!&gt;=table!$C$11,#REF!&lt;= table!$D$11),-1,IF(AND(#REF!&gt;=table!$E$11,#REF!&lt;=table!$F$11),1,0))</f>
        <v>#REF!</v>
      </c>
      <c r="W2286" s="5" t="e">
        <f>CONCATENATE(dados[[#This Row],[fator1]],dados[[#This Row],[fator5]],dados[[#This Row],[fator6]])</f>
        <v>#REF!</v>
      </c>
    </row>
    <row r="2287" spans="1:23">
      <c r="A2287" t="s">
        <v>16</v>
      </c>
      <c r="B2287">
        <v>487432</v>
      </c>
      <c r="C2287">
        <v>16</v>
      </c>
      <c r="D2287">
        <v>35</v>
      </c>
      <c r="E2287">
        <v>36</v>
      </c>
      <c r="F2287">
        <v>10</v>
      </c>
      <c r="G2287">
        <v>0</v>
      </c>
      <c r="H2287">
        <v>25</v>
      </c>
      <c r="I2287">
        <v>556</v>
      </c>
      <c r="J2287">
        <v>0</v>
      </c>
      <c r="K2287">
        <v>3.1603000000000003</v>
      </c>
      <c r="L2287">
        <v>8.7294999999999998</v>
      </c>
      <c r="M2287">
        <v>40.374500000000005</v>
      </c>
      <c r="N2287">
        <v>18.385000000000002</v>
      </c>
      <c r="O2287">
        <v>1673</v>
      </c>
      <c r="P2287">
        <v>1171</v>
      </c>
      <c r="Q2287" s="5" t="e">
        <f>IF(AND(#REF!&gt;=table!$C$6,#REF!&lt;= table!$D$6),-1,IF(AND(#REF!&gt;=table!$E$6,#REF!&lt;=table!$F$6),1,0))</f>
        <v>#REF!</v>
      </c>
      <c r="R2287" s="5" t="e">
        <f>IF(AND(#REF!&gt;=table!$C$7,#REF!&lt;= table!$D$7),-1,IF(AND(#REF!&gt;=table!$E$7,#REF!&lt;=table!$F$7),1,0))</f>
        <v>#REF!</v>
      </c>
      <c r="S2287" s="5" t="e">
        <f>IF(AND(#REF!&gt;=table!$C$8,#REF!&lt;= table!$D$8),-1,IF(AND(#REF!&gt;=table!$E$8,#REF!&lt;=table!$F$8),1,0))</f>
        <v>#REF!</v>
      </c>
      <c r="T2287" s="5"/>
      <c r="U2287" s="5" t="e">
        <f>IF(AND(#REF!&gt;=table!$C$10,#REF!&lt;= table!$D$10),-1,IF(AND(#REF!&gt;=table!$E$10,#REF!&lt;=table!$F$10),1,0))</f>
        <v>#REF!</v>
      </c>
      <c r="V2287" s="5" t="e">
        <f>IF(AND(#REF!&gt;=table!$C$11,#REF!&lt;= table!$D$11),-1,IF(AND(#REF!&gt;=table!$E$11,#REF!&lt;=table!$F$11),1,0))</f>
        <v>#REF!</v>
      </c>
      <c r="W2287" s="5" t="e">
        <f>CONCATENATE(dados[[#This Row],[fator1]],dados[[#This Row],[fator5]],dados[[#This Row],[fator6]])</f>
        <v>#REF!</v>
      </c>
    </row>
    <row r="2288" spans="1:23">
      <c r="A2288" t="s">
        <v>17</v>
      </c>
      <c r="B2288">
        <v>487434</v>
      </c>
      <c r="C2288">
        <v>10</v>
      </c>
      <c r="D2288">
        <v>25</v>
      </c>
      <c r="E2288">
        <v>126</v>
      </c>
      <c r="F2288">
        <v>3</v>
      </c>
      <c r="G2288">
        <v>22</v>
      </c>
      <c r="H2288">
        <v>18</v>
      </c>
      <c r="I2288">
        <v>1</v>
      </c>
      <c r="J2288">
        <v>410</v>
      </c>
      <c r="K2288">
        <v>4.1355000000000004</v>
      </c>
      <c r="L2288">
        <v>6.9450000000000003</v>
      </c>
      <c r="M2288">
        <v>92.521000000000001</v>
      </c>
      <c r="N2288">
        <v>11.765000000000001</v>
      </c>
      <c r="O2288">
        <v>1656</v>
      </c>
      <c r="P2288">
        <v>1104</v>
      </c>
      <c r="Q2288" s="5" t="e">
        <f>IF(AND(#REF!&gt;=table!$C$6,#REF!&lt;= table!$D$6),-1,IF(AND(#REF!&gt;=table!$E$6,#REF!&lt;=table!$F$6),1,0))</f>
        <v>#REF!</v>
      </c>
      <c r="R2288" s="5" t="e">
        <f>IF(AND(#REF!&gt;=table!$C$7,#REF!&lt;= table!$D$7),-1,IF(AND(#REF!&gt;=table!$E$7,#REF!&lt;=table!$F$7),1,0))</f>
        <v>#REF!</v>
      </c>
      <c r="S2288" s="5" t="e">
        <f>IF(AND(#REF!&gt;=table!$C$8,#REF!&lt;= table!$D$8),-1,IF(AND(#REF!&gt;=table!$E$8,#REF!&lt;=table!$F$8),1,0))</f>
        <v>#REF!</v>
      </c>
      <c r="T2288" s="5"/>
      <c r="U2288" s="5" t="e">
        <f>IF(AND(#REF!&gt;=table!$C$10,#REF!&lt;= table!$D$10),-1,IF(AND(#REF!&gt;=table!$E$10,#REF!&lt;=table!$F$10),1,0))</f>
        <v>#REF!</v>
      </c>
      <c r="V2288" s="5" t="e">
        <f>IF(AND(#REF!&gt;=table!$C$11,#REF!&lt;= table!$D$11),-1,IF(AND(#REF!&gt;=table!$E$11,#REF!&lt;=table!$F$11),1,0))</f>
        <v>#REF!</v>
      </c>
      <c r="W2288" s="5" t="e">
        <f>CONCATENATE(dados[[#This Row],[fator1]],dados[[#This Row],[fator5]],dados[[#This Row],[fator6]])</f>
        <v>#REF!</v>
      </c>
    </row>
    <row r="2289" spans="1:23">
      <c r="A2289" t="s">
        <v>17</v>
      </c>
      <c r="B2289">
        <v>487438</v>
      </c>
      <c r="C2289">
        <v>10</v>
      </c>
      <c r="D2289">
        <v>25</v>
      </c>
      <c r="E2289">
        <v>126</v>
      </c>
      <c r="F2289">
        <v>3</v>
      </c>
      <c r="G2289">
        <v>22</v>
      </c>
      <c r="H2289">
        <v>18</v>
      </c>
      <c r="I2289">
        <v>0</v>
      </c>
      <c r="J2289">
        <v>0</v>
      </c>
      <c r="K2289">
        <v>9.0404999999999998</v>
      </c>
      <c r="L2289">
        <v>13.415000000000001</v>
      </c>
      <c r="M2289">
        <v>124.48100000000001</v>
      </c>
      <c r="N2289">
        <v>13.56</v>
      </c>
      <c r="O2289">
        <v>1662</v>
      </c>
      <c r="P2289">
        <v>363</v>
      </c>
      <c r="Q2289" s="5" t="e">
        <f>IF(AND(#REF!&gt;=table!$C$6,#REF!&lt;= table!$D$6),-1,IF(AND(#REF!&gt;=table!$E$6,#REF!&lt;=table!$F$6),1,0))</f>
        <v>#REF!</v>
      </c>
      <c r="R2289" s="5" t="e">
        <f>IF(AND(#REF!&gt;=table!$C$7,#REF!&lt;= table!$D$7),-1,IF(AND(#REF!&gt;=table!$E$7,#REF!&lt;=table!$F$7),1,0))</f>
        <v>#REF!</v>
      </c>
      <c r="S2289" s="5" t="e">
        <f>IF(AND(#REF!&gt;=table!$C$8,#REF!&lt;= table!$D$8),-1,IF(AND(#REF!&gt;=table!$E$8,#REF!&lt;=table!$F$8),1,0))</f>
        <v>#REF!</v>
      </c>
      <c r="T2289" s="5"/>
      <c r="U2289" s="5" t="e">
        <f>IF(AND(#REF!&gt;=table!$C$10,#REF!&lt;= table!$D$10),-1,IF(AND(#REF!&gt;=table!$E$10,#REF!&lt;=table!$F$10),1,0))</f>
        <v>#REF!</v>
      </c>
      <c r="V2289" s="5" t="e">
        <f>IF(AND(#REF!&gt;=table!$C$11,#REF!&lt;= table!$D$11),-1,IF(AND(#REF!&gt;=table!$E$11,#REF!&lt;=table!$F$11),1,0))</f>
        <v>#REF!</v>
      </c>
      <c r="W2289" s="5" t="e">
        <f>CONCATENATE(dados[[#This Row],[fator1]],dados[[#This Row],[fator5]],dados[[#This Row],[fator6]])</f>
        <v>#REF!</v>
      </c>
    </row>
    <row r="2290" spans="1:23">
      <c r="A2290" t="s">
        <v>17</v>
      </c>
      <c r="B2290">
        <v>487439</v>
      </c>
      <c r="C2290">
        <v>7</v>
      </c>
      <c r="D2290">
        <v>20</v>
      </c>
      <c r="E2290">
        <v>120</v>
      </c>
      <c r="F2290">
        <v>4</v>
      </c>
      <c r="G2290">
        <v>105</v>
      </c>
      <c r="H2290">
        <v>25</v>
      </c>
      <c r="I2290">
        <v>821</v>
      </c>
      <c r="J2290">
        <v>0</v>
      </c>
      <c r="K2290">
        <v>6.7010000000000005</v>
      </c>
      <c r="L2290">
        <v>10.0435</v>
      </c>
      <c r="M2290">
        <v>120.081</v>
      </c>
      <c r="N2290">
        <v>12.09</v>
      </c>
      <c r="O2290">
        <v>1672</v>
      </c>
      <c r="P2290">
        <v>533</v>
      </c>
      <c r="Q2290" s="5" t="e">
        <f>IF(AND(#REF!&gt;=table!$C$6,#REF!&lt;= table!$D$6),-1,IF(AND(#REF!&gt;=table!$E$6,#REF!&lt;=table!$F$6),1,0))</f>
        <v>#REF!</v>
      </c>
      <c r="R2290" s="5" t="e">
        <f>IF(AND(#REF!&gt;=table!$C$7,#REF!&lt;= table!$D$7),-1,IF(AND(#REF!&gt;=table!$E$7,#REF!&lt;=table!$F$7),1,0))</f>
        <v>#REF!</v>
      </c>
      <c r="S2290" s="5" t="e">
        <f>IF(AND(#REF!&gt;=table!$C$8,#REF!&lt;= table!$D$8),-1,IF(AND(#REF!&gt;=table!$E$8,#REF!&lt;=table!$F$8),1,0))</f>
        <v>#REF!</v>
      </c>
      <c r="T2290" s="5"/>
      <c r="U2290" s="5" t="e">
        <f>IF(AND(#REF!&gt;=table!$C$10,#REF!&lt;= table!$D$10),-1,IF(AND(#REF!&gt;=table!$E$10,#REF!&lt;=table!$F$10),1,0))</f>
        <v>#REF!</v>
      </c>
      <c r="V2290" s="5" t="e">
        <f>IF(AND(#REF!&gt;=table!$C$11,#REF!&lt;= table!$D$11),-1,IF(AND(#REF!&gt;=table!$E$11,#REF!&lt;=table!$F$11),1,0))</f>
        <v>#REF!</v>
      </c>
      <c r="W2290" s="5" t="e">
        <f>CONCATENATE(dados[[#This Row],[fator1]],dados[[#This Row],[fator5]],dados[[#This Row],[fator6]])</f>
        <v>#REF!</v>
      </c>
    </row>
    <row r="2291" spans="1:23">
      <c r="A2291" t="s">
        <v>16</v>
      </c>
      <c r="B2291">
        <v>487441</v>
      </c>
      <c r="C2291">
        <v>0.15</v>
      </c>
      <c r="D2291">
        <v>40</v>
      </c>
      <c r="E2291">
        <v>10</v>
      </c>
      <c r="F2291">
        <v>15</v>
      </c>
      <c r="G2291">
        <v>0</v>
      </c>
      <c r="H2291">
        <v>15</v>
      </c>
      <c r="I2291">
        <v>736</v>
      </c>
      <c r="J2291">
        <v>900</v>
      </c>
      <c r="K2291">
        <v>5.7655000000000003</v>
      </c>
      <c r="L2291">
        <v>4.0040000000000004</v>
      </c>
      <c r="M2291">
        <v>3.6085000000000003</v>
      </c>
      <c r="N2291">
        <v>7.4550000000000001</v>
      </c>
      <c r="O2291">
        <v>1619</v>
      </c>
      <c r="P2291">
        <v>0</v>
      </c>
      <c r="Q2291" s="5" t="e">
        <f>IF(AND(#REF!&gt;=table!$C$6,#REF!&lt;= table!$D$6),-1,IF(AND(#REF!&gt;=table!$E$6,#REF!&lt;=table!$F$6),1,0))</f>
        <v>#REF!</v>
      </c>
      <c r="R2291" s="5" t="e">
        <f>IF(AND(#REF!&gt;=table!$C$7,#REF!&lt;= table!$D$7),-1,IF(AND(#REF!&gt;=table!$E$7,#REF!&lt;=table!$F$7),1,0))</f>
        <v>#REF!</v>
      </c>
      <c r="S2291" s="5" t="e">
        <f>IF(AND(#REF!&gt;=table!$C$8,#REF!&lt;= table!$D$8),-1,IF(AND(#REF!&gt;=table!$E$8,#REF!&lt;=table!$F$8),1,0))</f>
        <v>#REF!</v>
      </c>
      <c r="T2291" s="5"/>
      <c r="U2291" s="5" t="e">
        <f>IF(AND(#REF!&gt;=table!$C$10,#REF!&lt;= table!$D$10),-1,IF(AND(#REF!&gt;=table!$E$10,#REF!&lt;=table!$F$10),1,0))</f>
        <v>#REF!</v>
      </c>
      <c r="V2291" s="5" t="e">
        <f>IF(AND(#REF!&gt;=table!$C$11,#REF!&lt;= table!$D$11),-1,IF(AND(#REF!&gt;=table!$E$11,#REF!&lt;=table!$F$11),1,0))</f>
        <v>#REF!</v>
      </c>
      <c r="W2291" s="5" t="e">
        <f>CONCATENATE(dados[[#This Row],[fator1]],dados[[#This Row],[fator5]],dados[[#This Row],[fator6]])</f>
        <v>#REF!</v>
      </c>
    </row>
    <row r="2292" spans="1:23">
      <c r="A2292" t="s">
        <v>17</v>
      </c>
      <c r="B2292">
        <v>487449</v>
      </c>
      <c r="C2292">
        <v>8</v>
      </c>
      <c r="D2292">
        <v>25</v>
      </c>
      <c r="E2292">
        <v>136</v>
      </c>
      <c r="F2292">
        <v>6</v>
      </c>
      <c r="G2292">
        <v>8</v>
      </c>
      <c r="H2292">
        <v>25</v>
      </c>
      <c r="I2292">
        <v>535</v>
      </c>
      <c r="J2292">
        <v>0</v>
      </c>
      <c r="K2292">
        <v>5.5600000000000005</v>
      </c>
      <c r="L2292">
        <v>9.886000000000001</v>
      </c>
      <c r="M2292">
        <v>111.744</v>
      </c>
      <c r="N2292">
        <v>13.755000000000001</v>
      </c>
      <c r="O2292">
        <v>1665</v>
      </c>
      <c r="P2292">
        <v>0</v>
      </c>
      <c r="Q2292" s="5" t="e">
        <f>IF(AND(#REF!&gt;=table!$C$6,#REF!&lt;= table!$D$6),-1,IF(AND(#REF!&gt;=table!$E$6,#REF!&lt;=table!$F$6),1,0))</f>
        <v>#REF!</v>
      </c>
      <c r="R2292" s="5" t="e">
        <f>IF(AND(#REF!&gt;=table!$C$7,#REF!&lt;= table!$D$7),-1,IF(AND(#REF!&gt;=table!$E$7,#REF!&lt;=table!$F$7),1,0))</f>
        <v>#REF!</v>
      </c>
      <c r="S2292" s="5" t="e">
        <f>IF(AND(#REF!&gt;=table!$C$8,#REF!&lt;= table!$D$8),-1,IF(AND(#REF!&gt;=table!$E$8,#REF!&lt;=table!$F$8),1,0))</f>
        <v>#REF!</v>
      </c>
      <c r="T2292" s="5"/>
      <c r="U2292" s="5" t="e">
        <f>IF(AND(#REF!&gt;=table!$C$10,#REF!&lt;= table!$D$10),-1,IF(AND(#REF!&gt;=table!$E$10,#REF!&lt;=table!$F$10),1,0))</f>
        <v>#REF!</v>
      </c>
      <c r="V2292" s="5" t="e">
        <f>IF(AND(#REF!&gt;=table!$C$11,#REF!&lt;= table!$D$11),-1,IF(AND(#REF!&gt;=table!$E$11,#REF!&lt;=table!$F$11),1,0))</f>
        <v>#REF!</v>
      </c>
      <c r="W2292" s="5" t="e">
        <f>CONCATENATE(dados[[#This Row],[fator1]],dados[[#This Row],[fator5]],dados[[#This Row],[fator6]])</f>
        <v>#REF!</v>
      </c>
    </row>
    <row r="2293" spans="1:23">
      <c r="A2293" t="s">
        <v>17</v>
      </c>
      <c r="B2293">
        <v>487452</v>
      </c>
      <c r="C2293">
        <v>8</v>
      </c>
      <c r="D2293">
        <v>25</v>
      </c>
      <c r="E2293">
        <v>136</v>
      </c>
      <c r="F2293">
        <v>6</v>
      </c>
      <c r="G2293">
        <v>8</v>
      </c>
      <c r="H2293">
        <v>25</v>
      </c>
      <c r="I2293">
        <v>620</v>
      </c>
      <c r="J2293">
        <v>0</v>
      </c>
      <c r="K2293">
        <v>3.4670000000000001</v>
      </c>
      <c r="L2293">
        <v>8.0315000000000012</v>
      </c>
      <c r="M2293">
        <v>122.26900000000001</v>
      </c>
      <c r="N2293">
        <v>19.185000000000002</v>
      </c>
      <c r="O2293">
        <v>1670</v>
      </c>
      <c r="P2293">
        <v>984</v>
      </c>
      <c r="Q2293" s="5" t="e">
        <f>IF(AND(#REF!&gt;=table!$C$6,#REF!&lt;= table!$D$6),-1,IF(AND(#REF!&gt;=table!$E$6,#REF!&lt;=table!$F$6),1,0))</f>
        <v>#REF!</v>
      </c>
      <c r="R2293" s="5" t="e">
        <f>IF(AND(#REF!&gt;=table!$C$7,#REF!&lt;= table!$D$7),-1,IF(AND(#REF!&gt;=table!$E$7,#REF!&lt;=table!$F$7),1,0))</f>
        <v>#REF!</v>
      </c>
      <c r="S2293" s="5" t="e">
        <f>IF(AND(#REF!&gt;=table!$C$8,#REF!&lt;= table!$D$8),-1,IF(AND(#REF!&gt;=table!$E$8,#REF!&lt;=table!$F$8),1,0))</f>
        <v>#REF!</v>
      </c>
      <c r="T2293" s="5"/>
      <c r="U2293" s="5" t="e">
        <f>IF(AND(#REF!&gt;=table!$C$10,#REF!&lt;= table!$D$10),-1,IF(AND(#REF!&gt;=table!$E$10,#REF!&lt;=table!$F$10),1,0))</f>
        <v>#REF!</v>
      </c>
      <c r="V2293" s="5" t="e">
        <f>IF(AND(#REF!&gt;=table!$C$11,#REF!&lt;= table!$D$11),-1,IF(AND(#REF!&gt;=table!$E$11,#REF!&lt;=table!$F$11),1,0))</f>
        <v>#REF!</v>
      </c>
      <c r="W2293" s="5" t="e">
        <f>CONCATENATE(dados[[#This Row],[fator1]],dados[[#This Row],[fator5]],dados[[#This Row],[fator6]])</f>
        <v>#REF!</v>
      </c>
    </row>
    <row r="2294" spans="1:23">
      <c r="A2294" t="s">
        <v>16</v>
      </c>
      <c r="B2294">
        <v>487458</v>
      </c>
      <c r="C2294">
        <v>0.15</v>
      </c>
      <c r="D2294">
        <v>40</v>
      </c>
      <c r="E2294">
        <v>10</v>
      </c>
      <c r="F2294">
        <v>15</v>
      </c>
      <c r="G2294">
        <v>0</v>
      </c>
      <c r="H2294">
        <v>15</v>
      </c>
      <c r="I2294">
        <v>261</v>
      </c>
      <c r="J2294">
        <v>0</v>
      </c>
      <c r="K2294">
        <v>3.4140000000000001</v>
      </c>
      <c r="L2294">
        <v>5.5430000000000001</v>
      </c>
      <c r="M2294">
        <v>5.0020000000000007</v>
      </c>
      <c r="N2294">
        <v>10.17</v>
      </c>
      <c r="O2294">
        <v>1682</v>
      </c>
      <c r="P2294">
        <v>0</v>
      </c>
      <c r="Q2294" s="5" t="e">
        <f>IF(AND(#REF!&gt;=table!$C$6,#REF!&lt;= table!$D$6),-1,IF(AND(#REF!&gt;=table!$E$6,#REF!&lt;=table!$F$6),1,0))</f>
        <v>#REF!</v>
      </c>
      <c r="R2294" s="5" t="e">
        <f>IF(AND(#REF!&gt;=table!$C$7,#REF!&lt;= table!$D$7),-1,IF(AND(#REF!&gt;=table!$E$7,#REF!&lt;=table!$F$7),1,0))</f>
        <v>#REF!</v>
      </c>
      <c r="S2294" s="5" t="e">
        <f>IF(AND(#REF!&gt;=table!$C$8,#REF!&lt;= table!$D$8),-1,IF(AND(#REF!&gt;=table!$E$8,#REF!&lt;=table!$F$8),1,0))</f>
        <v>#REF!</v>
      </c>
      <c r="T2294" s="5"/>
      <c r="U2294" s="5" t="e">
        <f>IF(AND(#REF!&gt;=table!$C$10,#REF!&lt;= table!$D$10),-1,IF(AND(#REF!&gt;=table!$E$10,#REF!&lt;=table!$F$10),1,0))</f>
        <v>#REF!</v>
      </c>
      <c r="V2294" s="5" t="e">
        <f>IF(AND(#REF!&gt;=table!$C$11,#REF!&lt;= table!$D$11),-1,IF(AND(#REF!&gt;=table!$E$11,#REF!&lt;=table!$F$11),1,0))</f>
        <v>#REF!</v>
      </c>
      <c r="W2294" s="5" t="e">
        <f>CONCATENATE(dados[[#This Row],[fator1]],dados[[#This Row],[fator5]],dados[[#This Row],[fator6]])</f>
        <v>#REF!</v>
      </c>
    </row>
    <row r="2295" spans="1:23">
      <c r="A2295" t="s">
        <v>16</v>
      </c>
      <c r="B2295">
        <v>487459</v>
      </c>
      <c r="C2295">
        <v>0.15</v>
      </c>
      <c r="D2295">
        <v>40</v>
      </c>
      <c r="E2295">
        <v>10</v>
      </c>
      <c r="F2295">
        <v>15</v>
      </c>
      <c r="G2295">
        <v>0</v>
      </c>
      <c r="H2295">
        <v>15</v>
      </c>
      <c r="I2295">
        <v>1277</v>
      </c>
      <c r="J2295">
        <v>1520</v>
      </c>
      <c r="K2295">
        <v>3.2505000000000002</v>
      </c>
      <c r="L2295">
        <v>11.9825</v>
      </c>
      <c r="M2295">
        <v>5.3860000000000001</v>
      </c>
      <c r="N2295">
        <v>8.7550000000000008</v>
      </c>
      <c r="O2295">
        <v>1688</v>
      </c>
      <c r="P2295">
        <v>1089</v>
      </c>
      <c r="Q2295" s="5" t="e">
        <f>IF(AND(#REF!&gt;=table!$C$6,#REF!&lt;= table!$D$6),-1,IF(AND(#REF!&gt;=table!$E$6,#REF!&lt;=table!$F$6),1,0))</f>
        <v>#REF!</v>
      </c>
      <c r="R2295" s="5" t="e">
        <f>IF(AND(#REF!&gt;=table!$C$7,#REF!&lt;= table!$D$7),-1,IF(AND(#REF!&gt;=table!$E$7,#REF!&lt;=table!$F$7),1,0))</f>
        <v>#REF!</v>
      </c>
      <c r="S2295" s="5" t="e">
        <f>IF(AND(#REF!&gt;=table!$C$8,#REF!&lt;= table!$D$8),-1,IF(AND(#REF!&gt;=table!$E$8,#REF!&lt;=table!$F$8),1,0))</f>
        <v>#REF!</v>
      </c>
      <c r="T2295" s="5"/>
      <c r="U2295" s="5" t="e">
        <f>IF(AND(#REF!&gt;=table!$C$10,#REF!&lt;= table!$D$10),-1,IF(AND(#REF!&gt;=table!$E$10,#REF!&lt;=table!$F$10),1,0))</f>
        <v>#REF!</v>
      </c>
      <c r="V2295" s="5" t="e">
        <f>IF(AND(#REF!&gt;=table!$C$11,#REF!&lt;= table!$D$11),-1,IF(AND(#REF!&gt;=table!$E$11,#REF!&lt;=table!$F$11),1,0))</f>
        <v>#REF!</v>
      </c>
      <c r="W2295" s="5" t="e">
        <f>CONCATENATE(dados[[#This Row],[fator1]],dados[[#This Row],[fator5]],dados[[#This Row],[fator6]])</f>
        <v>#REF!</v>
      </c>
    </row>
    <row r="2296" spans="1:23">
      <c r="A2296" t="s">
        <v>17</v>
      </c>
      <c r="B2296">
        <v>487473</v>
      </c>
      <c r="C2296">
        <v>18</v>
      </c>
      <c r="D2296">
        <v>23</v>
      </c>
      <c r="E2296">
        <v>145</v>
      </c>
      <c r="F2296">
        <v>9</v>
      </c>
      <c r="G2296">
        <v>30</v>
      </c>
      <c r="H2296">
        <v>25</v>
      </c>
      <c r="I2296">
        <v>0</v>
      </c>
      <c r="J2296">
        <v>0</v>
      </c>
      <c r="K2296">
        <v>5.4620000000000006</v>
      </c>
      <c r="L2296">
        <v>13.267000000000001</v>
      </c>
      <c r="M2296">
        <v>131.85750000000002</v>
      </c>
      <c r="N2296">
        <v>18.495000000000001</v>
      </c>
      <c r="O2296">
        <v>1671</v>
      </c>
      <c r="P2296">
        <v>646</v>
      </c>
      <c r="Q2296" s="5" t="e">
        <f>IF(AND(#REF!&gt;=table!$C$6,#REF!&lt;= table!$D$6),-1,IF(AND(#REF!&gt;=table!$E$6,#REF!&lt;=table!$F$6),1,0))</f>
        <v>#REF!</v>
      </c>
      <c r="R2296" s="5" t="e">
        <f>IF(AND(#REF!&gt;=table!$C$7,#REF!&lt;= table!$D$7),-1,IF(AND(#REF!&gt;=table!$E$7,#REF!&lt;=table!$F$7),1,0))</f>
        <v>#REF!</v>
      </c>
      <c r="S2296" s="5" t="e">
        <f>IF(AND(#REF!&gt;=table!$C$8,#REF!&lt;= table!$D$8),-1,IF(AND(#REF!&gt;=table!$E$8,#REF!&lt;=table!$F$8),1,0))</f>
        <v>#REF!</v>
      </c>
      <c r="T2296" s="5"/>
      <c r="U2296" s="5" t="e">
        <f>IF(AND(#REF!&gt;=table!$C$10,#REF!&lt;= table!$D$10),-1,IF(AND(#REF!&gt;=table!$E$10,#REF!&lt;=table!$F$10),1,0))</f>
        <v>#REF!</v>
      </c>
      <c r="V2296" s="5" t="e">
        <f>IF(AND(#REF!&gt;=table!$C$11,#REF!&lt;= table!$D$11),-1,IF(AND(#REF!&gt;=table!$E$11,#REF!&lt;=table!$F$11),1,0))</f>
        <v>#REF!</v>
      </c>
      <c r="W2296" s="5" t="e">
        <f>CONCATENATE(dados[[#This Row],[fator1]],dados[[#This Row],[fator5]],dados[[#This Row],[fator6]])</f>
        <v>#REF!</v>
      </c>
    </row>
    <row r="2297" spans="1:23">
      <c r="A2297" t="s">
        <v>17</v>
      </c>
      <c r="B2297">
        <v>487475</v>
      </c>
      <c r="C2297">
        <v>16</v>
      </c>
      <c r="D2297">
        <v>23</v>
      </c>
      <c r="E2297">
        <v>145</v>
      </c>
      <c r="F2297">
        <v>4</v>
      </c>
      <c r="G2297">
        <v>30</v>
      </c>
      <c r="H2297">
        <v>25</v>
      </c>
      <c r="I2297">
        <v>23</v>
      </c>
      <c r="J2297">
        <v>0</v>
      </c>
      <c r="K2297">
        <v>3.9460000000000002</v>
      </c>
      <c r="L2297">
        <v>15.598500000000001</v>
      </c>
      <c r="M2297">
        <v>112.82700000000001</v>
      </c>
      <c r="N2297">
        <v>24.13</v>
      </c>
      <c r="O2297">
        <v>1682</v>
      </c>
      <c r="P2297">
        <v>848</v>
      </c>
      <c r="Q2297" s="5" t="e">
        <f>IF(AND(#REF!&gt;=table!$C$6,#REF!&lt;= table!$D$6),-1,IF(AND(#REF!&gt;=table!$E$6,#REF!&lt;=table!$F$6),1,0))</f>
        <v>#REF!</v>
      </c>
      <c r="R2297" s="5" t="e">
        <f>IF(AND(#REF!&gt;=table!$C$7,#REF!&lt;= table!$D$7),-1,IF(AND(#REF!&gt;=table!$E$7,#REF!&lt;=table!$F$7),1,0))</f>
        <v>#REF!</v>
      </c>
      <c r="S2297" s="5" t="e">
        <f>IF(AND(#REF!&gt;=table!$C$8,#REF!&lt;= table!$D$8),-1,IF(AND(#REF!&gt;=table!$E$8,#REF!&lt;=table!$F$8),1,0))</f>
        <v>#REF!</v>
      </c>
      <c r="T2297" s="5"/>
      <c r="U2297" s="5" t="e">
        <f>IF(AND(#REF!&gt;=table!$C$10,#REF!&lt;= table!$D$10),-1,IF(AND(#REF!&gt;=table!$E$10,#REF!&lt;=table!$F$10),1,0))</f>
        <v>#REF!</v>
      </c>
      <c r="V2297" s="5" t="e">
        <f>IF(AND(#REF!&gt;=table!$C$11,#REF!&lt;= table!$D$11),-1,IF(AND(#REF!&gt;=table!$E$11,#REF!&lt;=table!$F$11),1,0))</f>
        <v>#REF!</v>
      </c>
      <c r="W2297" s="5" t="e">
        <f>CONCATENATE(dados[[#This Row],[fator1]],dados[[#This Row],[fator5]],dados[[#This Row],[fator6]])</f>
        <v>#REF!</v>
      </c>
    </row>
    <row r="2298" spans="1:23">
      <c r="A2298" t="s">
        <v>17</v>
      </c>
      <c r="B2298">
        <v>487476</v>
      </c>
      <c r="C2298">
        <v>16</v>
      </c>
      <c r="D2298">
        <v>23</v>
      </c>
      <c r="E2298">
        <v>145</v>
      </c>
      <c r="F2298">
        <v>9</v>
      </c>
      <c r="G2298">
        <v>30</v>
      </c>
      <c r="H2298">
        <v>25</v>
      </c>
      <c r="I2298">
        <v>0</v>
      </c>
      <c r="J2298">
        <v>0</v>
      </c>
      <c r="K2298">
        <v>5.1829999999999998</v>
      </c>
      <c r="L2298">
        <v>11.952</v>
      </c>
      <c r="M2298">
        <v>104.477</v>
      </c>
      <c r="N2298">
        <v>13.585000000000001</v>
      </c>
      <c r="O2298">
        <v>1667</v>
      </c>
      <c r="P2298">
        <v>693</v>
      </c>
      <c r="Q2298" s="5" t="e">
        <f>IF(AND(#REF!&gt;=table!$C$6,#REF!&lt;= table!$D$6),-1,IF(AND(#REF!&gt;=table!$E$6,#REF!&lt;=table!$F$6),1,0))</f>
        <v>#REF!</v>
      </c>
      <c r="R2298" s="5" t="e">
        <f>IF(AND(#REF!&gt;=table!$C$7,#REF!&lt;= table!$D$7),-1,IF(AND(#REF!&gt;=table!$E$7,#REF!&lt;=table!$F$7),1,0))</f>
        <v>#REF!</v>
      </c>
      <c r="S2298" s="5" t="e">
        <f>IF(AND(#REF!&gt;=table!$C$8,#REF!&lt;= table!$D$8),-1,IF(AND(#REF!&gt;=table!$E$8,#REF!&lt;=table!$F$8),1,0))</f>
        <v>#REF!</v>
      </c>
      <c r="T2298" s="5"/>
      <c r="U2298" s="5" t="e">
        <f>IF(AND(#REF!&gt;=table!$C$10,#REF!&lt;= table!$D$10),-1,IF(AND(#REF!&gt;=table!$E$10,#REF!&lt;=table!$F$10),1,0))</f>
        <v>#REF!</v>
      </c>
      <c r="V2298" s="5" t="e">
        <f>IF(AND(#REF!&gt;=table!$C$11,#REF!&lt;= table!$D$11),-1,IF(AND(#REF!&gt;=table!$E$11,#REF!&lt;=table!$F$11),1,0))</f>
        <v>#REF!</v>
      </c>
      <c r="W2298" s="5" t="e">
        <f>CONCATENATE(dados[[#This Row],[fator1]],dados[[#This Row],[fator5]],dados[[#This Row],[fator6]])</f>
        <v>#REF!</v>
      </c>
    </row>
    <row r="2299" spans="1:23">
      <c r="A2299" t="s">
        <v>17</v>
      </c>
      <c r="B2299">
        <v>487477</v>
      </c>
      <c r="C2299">
        <v>9</v>
      </c>
      <c r="D2299">
        <v>25</v>
      </c>
      <c r="E2299">
        <v>130</v>
      </c>
      <c r="F2299">
        <v>3</v>
      </c>
      <c r="G2299">
        <v>20</v>
      </c>
      <c r="H2299">
        <v>21</v>
      </c>
      <c r="I2299">
        <v>810</v>
      </c>
      <c r="J2299">
        <v>0</v>
      </c>
      <c r="K2299">
        <v>6.2229999999999999</v>
      </c>
      <c r="L2299">
        <v>8.8440000000000012</v>
      </c>
      <c r="M2299">
        <v>113.70950000000001</v>
      </c>
      <c r="N2299">
        <v>11.290000000000001</v>
      </c>
      <c r="O2299">
        <v>1664</v>
      </c>
      <c r="P2299">
        <v>580</v>
      </c>
      <c r="Q2299" s="5" t="e">
        <f>IF(AND(#REF!&gt;=table!$C$6,#REF!&lt;= table!$D$6),-1,IF(AND(#REF!&gt;=table!$E$6,#REF!&lt;=table!$F$6),1,0))</f>
        <v>#REF!</v>
      </c>
      <c r="R2299" s="5" t="e">
        <f>IF(AND(#REF!&gt;=table!$C$7,#REF!&lt;= table!$D$7),-1,IF(AND(#REF!&gt;=table!$E$7,#REF!&lt;=table!$F$7),1,0))</f>
        <v>#REF!</v>
      </c>
      <c r="S2299" s="5" t="e">
        <f>IF(AND(#REF!&gt;=table!$C$8,#REF!&lt;= table!$D$8),-1,IF(AND(#REF!&gt;=table!$E$8,#REF!&lt;=table!$F$8),1,0))</f>
        <v>#REF!</v>
      </c>
      <c r="T2299" s="5"/>
      <c r="U2299" s="5" t="e">
        <f>IF(AND(#REF!&gt;=table!$C$10,#REF!&lt;= table!$D$10),-1,IF(AND(#REF!&gt;=table!$E$10,#REF!&lt;=table!$F$10),1,0))</f>
        <v>#REF!</v>
      </c>
      <c r="V2299" s="5" t="e">
        <f>IF(AND(#REF!&gt;=table!$C$11,#REF!&lt;= table!$D$11),-1,IF(AND(#REF!&gt;=table!$E$11,#REF!&lt;=table!$F$11),1,0))</f>
        <v>#REF!</v>
      </c>
      <c r="W2299" s="5" t="e">
        <f>CONCATENATE(dados[[#This Row],[fator1]],dados[[#This Row],[fator5]],dados[[#This Row],[fator6]])</f>
        <v>#REF!</v>
      </c>
    </row>
    <row r="2300" spans="1:23">
      <c r="A2300" t="s">
        <v>17</v>
      </c>
      <c r="B2300">
        <v>487478</v>
      </c>
      <c r="C2300">
        <v>9</v>
      </c>
      <c r="D2300">
        <v>25</v>
      </c>
      <c r="E2300">
        <v>130</v>
      </c>
      <c r="F2300">
        <v>3</v>
      </c>
      <c r="G2300">
        <v>20</v>
      </c>
      <c r="H2300">
        <v>21</v>
      </c>
      <c r="I2300">
        <v>279</v>
      </c>
      <c r="J2300">
        <v>0</v>
      </c>
      <c r="K2300">
        <v>3.7240000000000002</v>
      </c>
      <c r="L2300">
        <v>10.891500000000001</v>
      </c>
      <c r="M2300">
        <v>108.80600000000001</v>
      </c>
      <c r="N2300">
        <v>14.235000000000001</v>
      </c>
      <c r="O2300">
        <v>1695</v>
      </c>
      <c r="P2300">
        <v>0</v>
      </c>
      <c r="Q2300" s="5" t="e">
        <f>IF(AND(#REF!&gt;=table!$C$6,#REF!&lt;= table!$D$6),-1,IF(AND(#REF!&gt;=table!$E$6,#REF!&lt;=table!$F$6),1,0))</f>
        <v>#REF!</v>
      </c>
      <c r="R2300" s="5" t="e">
        <f>IF(AND(#REF!&gt;=table!$C$7,#REF!&lt;= table!$D$7),-1,IF(AND(#REF!&gt;=table!$E$7,#REF!&lt;=table!$F$7),1,0))</f>
        <v>#REF!</v>
      </c>
      <c r="S2300" s="5" t="e">
        <f>IF(AND(#REF!&gt;=table!$C$8,#REF!&lt;= table!$D$8),-1,IF(AND(#REF!&gt;=table!$E$8,#REF!&lt;=table!$F$8),1,0))</f>
        <v>#REF!</v>
      </c>
      <c r="T2300" s="5"/>
      <c r="U2300" s="5" t="e">
        <f>IF(AND(#REF!&gt;=table!$C$10,#REF!&lt;= table!$D$10),-1,IF(AND(#REF!&gt;=table!$E$10,#REF!&lt;=table!$F$10),1,0))</f>
        <v>#REF!</v>
      </c>
      <c r="V2300" s="5" t="e">
        <f>IF(AND(#REF!&gt;=table!$C$11,#REF!&lt;= table!$D$11),-1,IF(AND(#REF!&gt;=table!$E$11,#REF!&lt;=table!$F$11),1,0))</f>
        <v>#REF!</v>
      </c>
      <c r="W2300" s="5" t="e">
        <f>CONCATENATE(dados[[#This Row],[fator1]],dados[[#This Row],[fator5]],dados[[#This Row],[fator6]])</f>
        <v>#REF!</v>
      </c>
    </row>
    <row r="2301" spans="1:23">
      <c r="A2301" t="s">
        <v>17</v>
      </c>
      <c r="B2301">
        <v>487479</v>
      </c>
      <c r="C2301">
        <v>9</v>
      </c>
      <c r="D2301">
        <v>25</v>
      </c>
      <c r="E2301">
        <v>130</v>
      </c>
      <c r="F2301">
        <v>3</v>
      </c>
      <c r="G2301">
        <v>20</v>
      </c>
      <c r="H2301">
        <v>21</v>
      </c>
      <c r="I2301">
        <v>766</v>
      </c>
      <c r="J2301">
        <v>0</v>
      </c>
      <c r="K2301">
        <v>3.9930000000000003</v>
      </c>
      <c r="L2301">
        <v>8.5295000000000005</v>
      </c>
      <c r="M2301">
        <v>91.219500000000011</v>
      </c>
      <c r="N2301">
        <v>12.6</v>
      </c>
      <c r="O2301">
        <v>1661</v>
      </c>
      <c r="P2301">
        <v>0</v>
      </c>
      <c r="Q2301" s="5" t="e">
        <f>IF(AND(#REF!&gt;=table!$C$6,#REF!&lt;= table!$D$6),-1,IF(AND(#REF!&gt;=table!$E$6,#REF!&lt;=table!$F$6),1,0))</f>
        <v>#REF!</v>
      </c>
      <c r="R2301" s="5" t="e">
        <f>IF(AND(#REF!&gt;=table!$C$7,#REF!&lt;= table!$D$7),-1,IF(AND(#REF!&gt;=table!$E$7,#REF!&lt;=table!$F$7),1,0))</f>
        <v>#REF!</v>
      </c>
      <c r="S2301" s="5" t="e">
        <f>IF(AND(#REF!&gt;=table!$C$8,#REF!&lt;= table!$D$8),-1,IF(AND(#REF!&gt;=table!$E$8,#REF!&lt;=table!$F$8),1,0))</f>
        <v>#REF!</v>
      </c>
      <c r="T2301" s="5"/>
      <c r="U2301" s="5" t="e">
        <f>IF(AND(#REF!&gt;=table!$C$10,#REF!&lt;= table!$D$10),-1,IF(AND(#REF!&gt;=table!$E$10,#REF!&lt;=table!$F$10),1,0))</f>
        <v>#REF!</v>
      </c>
      <c r="V2301" s="5" t="e">
        <f>IF(AND(#REF!&gt;=table!$C$11,#REF!&lt;= table!$D$11),-1,IF(AND(#REF!&gt;=table!$E$11,#REF!&lt;=table!$F$11),1,0))</f>
        <v>#REF!</v>
      </c>
      <c r="W2301" s="5" t="e">
        <f>CONCATENATE(dados[[#This Row],[fator1]],dados[[#This Row],[fator5]],dados[[#This Row],[fator6]])</f>
        <v>#REF!</v>
      </c>
    </row>
    <row r="2302" spans="1:23">
      <c r="A2302" t="s">
        <v>16</v>
      </c>
      <c r="B2302">
        <v>487483</v>
      </c>
      <c r="C2302">
        <v>0.18</v>
      </c>
      <c r="D2302">
        <v>50</v>
      </c>
      <c r="E2302">
        <v>56</v>
      </c>
      <c r="F2302">
        <v>15</v>
      </c>
      <c r="G2302">
        <v>0</v>
      </c>
      <c r="H2302">
        <v>50</v>
      </c>
      <c r="I2302">
        <v>224</v>
      </c>
      <c r="J2302">
        <v>0</v>
      </c>
      <c r="K2302">
        <v>4.0739999999999998</v>
      </c>
      <c r="L2302">
        <v>14.4535</v>
      </c>
      <c r="M2302">
        <v>13.3415</v>
      </c>
      <c r="N2302">
        <v>29.64</v>
      </c>
      <c r="O2302">
        <v>1689</v>
      </c>
      <c r="P2302">
        <v>0</v>
      </c>
      <c r="Q2302" s="5" t="e">
        <f>IF(AND(#REF!&gt;=table!$C$6,#REF!&lt;= table!$D$6),-1,IF(AND(#REF!&gt;=table!$E$6,#REF!&lt;=table!$F$6),1,0))</f>
        <v>#REF!</v>
      </c>
      <c r="R2302" s="5" t="e">
        <f>IF(AND(#REF!&gt;=table!$C$7,#REF!&lt;= table!$D$7),-1,IF(AND(#REF!&gt;=table!$E$7,#REF!&lt;=table!$F$7),1,0))</f>
        <v>#REF!</v>
      </c>
      <c r="S2302" s="5" t="e">
        <f>IF(AND(#REF!&gt;=table!$C$8,#REF!&lt;= table!$D$8),-1,IF(AND(#REF!&gt;=table!$E$8,#REF!&lt;=table!$F$8),1,0))</f>
        <v>#REF!</v>
      </c>
      <c r="T2302" s="5"/>
      <c r="U2302" s="5" t="e">
        <f>IF(AND(#REF!&gt;=table!$C$10,#REF!&lt;= table!$D$10),-1,IF(AND(#REF!&gt;=table!$E$10,#REF!&lt;=table!$F$10),1,0))</f>
        <v>#REF!</v>
      </c>
      <c r="V2302" s="5" t="e">
        <f>IF(AND(#REF!&gt;=table!$C$11,#REF!&lt;= table!$D$11),-1,IF(AND(#REF!&gt;=table!$E$11,#REF!&lt;=table!$F$11),1,0))</f>
        <v>#REF!</v>
      </c>
      <c r="W2302" s="5" t="e">
        <f>CONCATENATE(dados[[#This Row],[fator1]],dados[[#This Row],[fator5]],dados[[#This Row],[fator6]])</f>
        <v>#REF!</v>
      </c>
    </row>
    <row r="2303" spans="1:23">
      <c r="A2303" t="s">
        <v>17</v>
      </c>
      <c r="B2303">
        <v>487484</v>
      </c>
      <c r="C2303">
        <v>14</v>
      </c>
      <c r="D2303">
        <v>30</v>
      </c>
      <c r="E2303">
        <v>110</v>
      </c>
      <c r="F2303">
        <v>3</v>
      </c>
      <c r="G2303">
        <v>20</v>
      </c>
      <c r="H2303">
        <v>22</v>
      </c>
      <c r="I2303">
        <v>1099</v>
      </c>
      <c r="J2303">
        <v>860</v>
      </c>
      <c r="K2303">
        <v>4.7120000000000006</v>
      </c>
      <c r="L2303">
        <v>15.903500000000001</v>
      </c>
      <c r="M2303">
        <v>83.128500000000003</v>
      </c>
      <c r="N2303">
        <v>14.34</v>
      </c>
      <c r="O2303">
        <v>1654</v>
      </c>
      <c r="P2303">
        <v>773</v>
      </c>
      <c r="Q2303" s="5" t="e">
        <f>IF(AND(#REF!&gt;=table!$C$6,#REF!&lt;= table!$D$6),-1,IF(AND(#REF!&gt;=table!$E$6,#REF!&lt;=table!$F$6),1,0))</f>
        <v>#REF!</v>
      </c>
      <c r="R2303" s="5" t="e">
        <f>IF(AND(#REF!&gt;=table!$C$7,#REF!&lt;= table!$D$7),-1,IF(AND(#REF!&gt;=table!$E$7,#REF!&lt;=table!$F$7),1,0))</f>
        <v>#REF!</v>
      </c>
      <c r="S2303" s="5" t="e">
        <f>IF(AND(#REF!&gt;=table!$C$8,#REF!&lt;= table!$D$8),-1,IF(AND(#REF!&gt;=table!$E$8,#REF!&lt;=table!$F$8),1,0))</f>
        <v>#REF!</v>
      </c>
      <c r="T2303" s="5"/>
      <c r="U2303" s="5" t="e">
        <f>IF(AND(#REF!&gt;=table!$C$10,#REF!&lt;= table!$D$10),-1,IF(AND(#REF!&gt;=table!$E$10,#REF!&lt;=table!$F$10),1,0))</f>
        <v>#REF!</v>
      </c>
      <c r="V2303" s="5" t="e">
        <f>IF(AND(#REF!&gt;=table!$C$11,#REF!&lt;= table!$D$11),-1,IF(AND(#REF!&gt;=table!$E$11,#REF!&lt;=table!$F$11),1,0))</f>
        <v>#REF!</v>
      </c>
      <c r="W2303" s="5" t="e">
        <f>CONCATENATE(dados[[#This Row],[fator1]],dados[[#This Row],[fator5]],dados[[#This Row],[fator6]])</f>
        <v>#REF!</v>
      </c>
    </row>
    <row r="2304" spans="1:23">
      <c r="A2304" t="s">
        <v>17</v>
      </c>
      <c r="B2304">
        <v>487488</v>
      </c>
      <c r="C2304">
        <v>14</v>
      </c>
      <c r="D2304">
        <v>30</v>
      </c>
      <c r="E2304">
        <v>110</v>
      </c>
      <c r="F2304">
        <v>3</v>
      </c>
      <c r="G2304">
        <v>20</v>
      </c>
      <c r="H2304">
        <v>22</v>
      </c>
      <c r="I2304">
        <v>108</v>
      </c>
      <c r="J2304">
        <v>0</v>
      </c>
      <c r="K2304">
        <v>3.8895000000000004</v>
      </c>
      <c r="L2304">
        <v>9.7640000000000011</v>
      </c>
      <c r="M2304">
        <v>85.077500000000001</v>
      </c>
      <c r="N2304">
        <v>11.85</v>
      </c>
      <c r="O2304">
        <v>1660</v>
      </c>
      <c r="P2304">
        <v>818</v>
      </c>
      <c r="Q2304" s="5" t="e">
        <f>IF(AND(#REF!&gt;=table!$C$6,#REF!&lt;= table!$D$6),-1,IF(AND(#REF!&gt;=table!$E$6,#REF!&lt;=table!$F$6),1,0))</f>
        <v>#REF!</v>
      </c>
      <c r="R2304" s="5" t="e">
        <f>IF(AND(#REF!&gt;=table!$C$7,#REF!&lt;= table!$D$7),-1,IF(AND(#REF!&gt;=table!$E$7,#REF!&lt;=table!$F$7),1,0))</f>
        <v>#REF!</v>
      </c>
      <c r="S2304" s="5" t="e">
        <f>IF(AND(#REF!&gt;=table!$C$8,#REF!&lt;= table!$D$8),-1,IF(AND(#REF!&gt;=table!$E$8,#REF!&lt;=table!$F$8),1,0))</f>
        <v>#REF!</v>
      </c>
      <c r="T2304" s="5"/>
      <c r="U2304" s="5" t="e">
        <f>IF(AND(#REF!&gt;=table!$C$10,#REF!&lt;= table!$D$10),-1,IF(AND(#REF!&gt;=table!$E$10,#REF!&lt;=table!$F$10),1,0))</f>
        <v>#REF!</v>
      </c>
      <c r="V2304" s="5" t="e">
        <f>IF(AND(#REF!&gt;=table!$C$11,#REF!&lt;= table!$D$11),-1,IF(AND(#REF!&gt;=table!$E$11,#REF!&lt;=table!$F$11),1,0))</f>
        <v>#REF!</v>
      </c>
      <c r="W2304" s="5" t="e">
        <f>CONCATENATE(dados[[#This Row],[fator1]],dados[[#This Row],[fator5]],dados[[#This Row],[fator6]])</f>
        <v>#REF!</v>
      </c>
    </row>
    <row r="2305" spans="1:23">
      <c r="A2305" t="s">
        <v>16</v>
      </c>
      <c r="B2305">
        <v>487491</v>
      </c>
      <c r="C2305">
        <v>16</v>
      </c>
      <c r="D2305">
        <v>35</v>
      </c>
      <c r="E2305">
        <v>56</v>
      </c>
      <c r="F2305">
        <v>10</v>
      </c>
      <c r="G2305">
        <v>0</v>
      </c>
      <c r="H2305">
        <v>25</v>
      </c>
      <c r="I2305">
        <v>795</v>
      </c>
      <c r="J2305">
        <v>740</v>
      </c>
      <c r="K2305">
        <v>4.7240000000000002</v>
      </c>
      <c r="L2305">
        <v>15.1105</v>
      </c>
      <c r="M2305">
        <v>46.025500000000001</v>
      </c>
      <c r="N2305">
        <v>19.14</v>
      </c>
      <c r="O2305">
        <v>1675</v>
      </c>
      <c r="P2305">
        <v>0</v>
      </c>
      <c r="Q2305" s="5" t="e">
        <f>IF(AND(#REF!&gt;=table!$C$6,#REF!&lt;= table!$D$6),-1,IF(AND(#REF!&gt;=table!$E$6,#REF!&lt;=table!$F$6),1,0))</f>
        <v>#REF!</v>
      </c>
      <c r="R2305" s="5" t="e">
        <f>IF(AND(#REF!&gt;=table!$C$7,#REF!&lt;= table!$D$7),-1,IF(AND(#REF!&gt;=table!$E$7,#REF!&lt;=table!$F$7),1,0))</f>
        <v>#REF!</v>
      </c>
      <c r="S2305" s="5" t="e">
        <f>IF(AND(#REF!&gt;=table!$C$8,#REF!&lt;= table!$D$8),-1,IF(AND(#REF!&gt;=table!$E$8,#REF!&lt;=table!$F$8),1,0))</f>
        <v>#REF!</v>
      </c>
      <c r="T2305" s="5"/>
      <c r="U2305" s="5" t="e">
        <f>IF(AND(#REF!&gt;=table!$C$10,#REF!&lt;= table!$D$10),-1,IF(AND(#REF!&gt;=table!$E$10,#REF!&lt;=table!$F$10),1,0))</f>
        <v>#REF!</v>
      </c>
      <c r="V2305" s="5" t="e">
        <f>IF(AND(#REF!&gt;=table!$C$11,#REF!&lt;= table!$D$11),-1,IF(AND(#REF!&gt;=table!$E$11,#REF!&lt;=table!$F$11),1,0))</f>
        <v>#REF!</v>
      </c>
      <c r="W2305" s="5" t="e">
        <f>CONCATENATE(dados[[#This Row],[fator1]],dados[[#This Row],[fator5]],dados[[#This Row],[fator6]])</f>
        <v>#REF!</v>
      </c>
    </row>
    <row r="2306" spans="1:23">
      <c r="A2306" t="s">
        <v>16</v>
      </c>
      <c r="B2306">
        <v>487497</v>
      </c>
      <c r="C2306">
        <v>13</v>
      </c>
      <c r="D2306">
        <v>35</v>
      </c>
      <c r="E2306">
        <v>120</v>
      </c>
      <c r="F2306">
        <v>10</v>
      </c>
      <c r="G2306">
        <v>0</v>
      </c>
      <c r="H2306">
        <v>25</v>
      </c>
      <c r="I2306">
        <v>0</v>
      </c>
      <c r="J2306">
        <v>0</v>
      </c>
      <c r="K2306">
        <v>11.848500000000001</v>
      </c>
      <c r="L2306">
        <v>18.314</v>
      </c>
      <c r="M2306">
        <v>104.504</v>
      </c>
      <c r="N2306">
        <v>21.240000000000002</v>
      </c>
      <c r="O2306">
        <v>1636</v>
      </c>
      <c r="P2306">
        <v>274</v>
      </c>
      <c r="Q2306" s="5" t="e">
        <f>IF(AND(#REF!&gt;=table!$C$6,#REF!&lt;= table!$D$6),-1,IF(AND(#REF!&gt;=table!$E$6,#REF!&lt;=table!$F$6),1,0))</f>
        <v>#REF!</v>
      </c>
      <c r="R2306" s="5" t="e">
        <f>IF(AND(#REF!&gt;=table!$C$7,#REF!&lt;= table!$D$7),-1,IF(AND(#REF!&gt;=table!$E$7,#REF!&lt;=table!$F$7),1,0))</f>
        <v>#REF!</v>
      </c>
      <c r="S2306" s="5" t="e">
        <f>IF(AND(#REF!&gt;=table!$C$8,#REF!&lt;= table!$D$8),-1,IF(AND(#REF!&gt;=table!$E$8,#REF!&lt;=table!$F$8),1,0))</f>
        <v>#REF!</v>
      </c>
      <c r="T2306" s="5"/>
      <c r="U2306" s="5" t="e">
        <f>IF(AND(#REF!&gt;=table!$C$10,#REF!&lt;= table!$D$10),-1,IF(AND(#REF!&gt;=table!$E$10,#REF!&lt;=table!$F$10),1,0))</f>
        <v>#REF!</v>
      </c>
      <c r="V2306" s="5" t="e">
        <f>IF(AND(#REF!&gt;=table!$C$11,#REF!&lt;= table!$D$11),-1,IF(AND(#REF!&gt;=table!$E$11,#REF!&lt;=table!$F$11),1,0))</f>
        <v>#REF!</v>
      </c>
      <c r="W2306" s="5" t="e">
        <f>CONCATENATE(dados[[#This Row],[fator1]],dados[[#This Row],[fator5]],dados[[#This Row],[fator6]])</f>
        <v>#REF!</v>
      </c>
    </row>
    <row r="2307" spans="1:23">
      <c r="A2307" t="s">
        <v>16</v>
      </c>
      <c r="B2307">
        <v>487498</v>
      </c>
      <c r="C2307">
        <v>13</v>
      </c>
      <c r="D2307">
        <v>35</v>
      </c>
      <c r="E2307">
        <v>120</v>
      </c>
      <c r="F2307">
        <v>10</v>
      </c>
      <c r="G2307">
        <v>0</v>
      </c>
      <c r="H2307">
        <v>25</v>
      </c>
      <c r="I2307">
        <v>0</v>
      </c>
      <c r="J2307">
        <v>0</v>
      </c>
      <c r="K2307">
        <v>13.082500000000001</v>
      </c>
      <c r="L2307">
        <v>17.488</v>
      </c>
      <c r="M2307">
        <v>115.6605</v>
      </c>
      <c r="N2307">
        <v>26.5</v>
      </c>
      <c r="O2307">
        <v>1677</v>
      </c>
      <c r="P2307">
        <v>292</v>
      </c>
      <c r="Q2307" s="5" t="e">
        <f>IF(AND(#REF!&gt;=table!$C$6,#REF!&lt;= table!$D$6),-1,IF(AND(#REF!&gt;=table!$E$6,#REF!&lt;=table!$F$6),1,0))</f>
        <v>#REF!</v>
      </c>
      <c r="R2307" s="5" t="e">
        <f>IF(AND(#REF!&gt;=table!$C$7,#REF!&lt;= table!$D$7),-1,IF(AND(#REF!&gt;=table!$E$7,#REF!&lt;=table!$F$7),1,0))</f>
        <v>#REF!</v>
      </c>
      <c r="S2307" s="5" t="e">
        <f>IF(AND(#REF!&gt;=table!$C$8,#REF!&lt;= table!$D$8),-1,IF(AND(#REF!&gt;=table!$E$8,#REF!&lt;=table!$F$8),1,0))</f>
        <v>#REF!</v>
      </c>
      <c r="T2307" s="5"/>
      <c r="U2307" s="5" t="e">
        <f>IF(AND(#REF!&gt;=table!$C$10,#REF!&lt;= table!$D$10),-1,IF(AND(#REF!&gt;=table!$E$10,#REF!&lt;=table!$F$10),1,0))</f>
        <v>#REF!</v>
      </c>
      <c r="V2307" s="5" t="e">
        <f>IF(AND(#REF!&gt;=table!$C$11,#REF!&lt;= table!$D$11),-1,IF(AND(#REF!&gt;=table!$E$11,#REF!&lt;=table!$F$11),1,0))</f>
        <v>#REF!</v>
      </c>
      <c r="W2307" s="5" t="e">
        <f>CONCATENATE(dados[[#This Row],[fator1]],dados[[#This Row],[fator5]],dados[[#This Row],[fator6]])</f>
        <v>#REF!</v>
      </c>
    </row>
    <row r="2308" spans="1:23">
      <c r="A2308" t="s">
        <v>17</v>
      </c>
      <c r="B2308">
        <v>487504</v>
      </c>
      <c r="C2308">
        <v>14</v>
      </c>
      <c r="D2308">
        <v>30</v>
      </c>
      <c r="E2308">
        <v>66</v>
      </c>
      <c r="F2308">
        <v>9</v>
      </c>
      <c r="G2308">
        <v>20</v>
      </c>
      <c r="H2308">
        <v>25</v>
      </c>
      <c r="I2308">
        <v>759</v>
      </c>
      <c r="J2308">
        <v>0</v>
      </c>
      <c r="K2308">
        <v>6.9430000000000005</v>
      </c>
      <c r="L2308">
        <v>13.389000000000001</v>
      </c>
      <c r="M2308">
        <v>57.892500000000005</v>
      </c>
      <c r="N2308">
        <v>18.920000000000002</v>
      </c>
      <c r="O2308">
        <v>1684</v>
      </c>
      <c r="P2308">
        <v>440</v>
      </c>
      <c r="Q2308" s="5" t="e">
        <f>IF(AND(#REF!&gt;=table!$C$6,#REF!&lt;= table!$D$6),-1,IF(AND(#REF!&gt;=table!$E$6,#REF!&lt;=table!$F$6),1,0))</f>
        <v>#REF!</v>
      </c>
      <c r="R2308" s="5" t="e">
        <f>IF(AND(#REF!&gt;=table!$C$7,#REF!&lt;= table!$D$7),-1,IF(AND(#REF!&gt;=table!$E$7,#REF!&lt;=table!$F$7),1,0))</f>
        <v>#REF!</v>
      </c>
      <c r="S2308" s="5" t="e">
        <f>IF(AND(#REF!&gt;=table!$C$8,#REF!&lt;= table!$D$8),-1,IF(AND(#REF!&gt;=table!$E$8,#REF!&lt;=table!$F$8),1,0))</f>
        <v>#REF!</v>
      </c>
      <c r="T2308" s="5"/>
      <c r="U2308" s="5" t="e">
        <f>IF(AND(#REF!&gt;=table!$C$10,#REF!&lt;= table!$D$10),-1,IF(AND(#REF!&gt;=table!$E$10,#REF!&lt;=table!$F$10),1,0))</f>
        <v>#REF!</v>
      </c>
      <c r="V2308" s="5" t="e">
        <f>IF(AND(#REF!&gt;=table!$C$11,#REF!&lt;= table!$D$11),-1,IF(AND(#REF!&gt;=table!$E$11,#REF!&lt;=table!$F$11),1,0))</f>
        <v>#REF!</v>
      </c>
      <c r="W2308" s="5" t="e">
        <f>CONCATENATE(dados[[#This Row],[fator1]],dados[[#This Row],[fator5]],dados[[#This Row],[fator6]])</f>
        <v>#REF!</v>
      </c>
    </row>
    <row r="2309" spans="1:23">
      <c r="A2309" t="s">
        <v>17</v>
      </c>
      <c r="B2309">
        <v>487505</v>
      </c>
      <c r="C2309">
        <v>14</v>
      </c>
      <c r="D2309">
        <v>30</v>
      </c>
      <c r="E2309">
        <v>66</v>
      </c>
      <c r="F2309">
        <v>9</v>
      </c>
      <c r="G2309">
        <v>20</v>
      </c>
      <c r="H2309">
        <v>25</v>
      </c>
      <c r="I2309">
        <v>1834</v>
      </c>
      <c r="J2309">
        <v>0</v>
      </c>
      <c r="K2309">
        <v>9.2454999999999998</v>
      </c>
      <c r="L2309">
        <v>12.544</v>
      </c>
      <c r="M2309">
        <v>48.773000000000003</v>
      </c>
      <c r="N2309">
        <v>17.275000000000002</v>
      </c>
      <c r="O2309">
        <v>1668</v>
      </c>
      <c r="P2309">
        <v>364</v>
      </c>
      <c r="Q2309" s="5" t="e">
        <f>IF(AND(#REF!&gt;=table!$C$6,#REF!&lt;= table!$D$6),-1,IF(AND(#REF!&gt;=table!$E$6,#REF!&lt;=table!$F$6),1,0))</f>
        <v>#REF!</v>
      </c>
      <c r="R2309" s="5" t="e">
        <f>IF(AND(#REF!&gt;=table!$C$7,#REF!&lt;= table!$D$7),-1,IF(AND(#REF!&gt;=table!$E$7,#REF!&lt;=table!$F$7),1,0))</f>
        <v>#REF!</v>
      </c>
      <c r="S2309" s="5" t="e">
        <f>IF(AND(#REF!&gt;=table!$C$8,#REF!&lt;= table!$D$8),-1,IF(AND(#REF!&gt;=table!$E$8,#REF!&lt;=table!$F$8),1,0))</f>
        <v>#REF!</v>
      </c>
      <c r="T2309" s="5"/>
      <c r="U2309" s="5" t="e">
        <f>IF(AND(#REF!&gt;=table!$C$10,#REF!&lt;= table!$D$10),-1,IF(AND(#REF!&gt;=table!$E$10,#REF!&lt;=table!$F$10),1,0))</f>
        <v>#REF!</v>
      </c>
      <c r="V2309" s="5" t="e">
        <f>IF(AND(#REF!&gt;=table!$C$11,#REF!&lt;= table!$D$11),-1,IF(AND(#REF!&gt;=table!$E$11,#REF!&lt;=table!$F$11),1,0))</f>
        <v>#REF!</v>
      </c>
      <c r="W2309" s="5" t="e">
        <f>CONCATENATE(dados[[#This Row],[fator1]],dados[[#This Row],[fator5]],dados[[#This Row],[fator6]])</f>
        <v>#REF!</v>
      </c>
    </row>
    <row r="2310" spans="1:23">
      <c r="A2310" t="s">
        <v>17</v>
      </c>
      <c r="B2310">
        <v>487508</v>
      </c>
      <c r="C2310">
        <v>14</v>
      </c>
      <c r="D2310">
        <v>30</v>
      </c>
      <c r="E2310">
        <v>86</v>
      </c>
      <c r="F2310">
        <v>9</v>
      </c>
      <c r="G2310">
        <v>20</v>
      </c>
      <c r="H2310">
        <v>25</v>
      </c>
      <c r="I2310">
        <v>2907</v>
      </c>
      <c r="J2310">
        <v>0</v>
      </c>
      <c r="K2310">
        <v>6.6225000000000005</v>
      </c>
      <c r="L2310">
        <v>10.92</v>
      </c>
      <c r="M2310">
        <v>46.402500000000003</v>
      </c>
      <c r="N2310">
        <v>18.04</v>
      </c>
      <c r="O2310">
        <v>1686</v>
      </c>
      <c r="P2310">
        <v>616</v>
      </c>
      <c r="Q2310" s="5" t="e">
        <f>IF(AND(#REF!&gt;=table!$C$6,#REF!&lt;= table!$D$6),-1,IF(AND(#REF!&gt;=table!$E$6,#REF!&lt;=table!$F$6),1,0))</f>
        <v>#REF!</v>
      </c>
      <c r="R2310" s="5" t="e">
        <f>IF(AND(#REF!&gt;=table!$C$7,#REF!&lt;= table!$D$7),-1,IF(AND(#REF!&gt;=table!$E$7,#REF!&lt;=table!$F$7),1,0))</f>
        <v>#REF!</v>
      </c>
      <c r="S2310" s="5" t="e">
        <f>IF(AND(#REF!&gt;=table!$C$8,#REF!&lt;= table!$D$8),-1,IF(AND(#REF!&gt;=table!$E$8,#REF!&lt;=table!$F$8),1,0))</f>
        <v>#REF!</v>
      </c>
      <c r="T2310" s="5"/>
      <c r="U2310" s="5" t="e">
        <f>IF(AND(#REF!&gt;=table!$C$10,#REF!&lt;= table!$D$10),-1,IF(AND(#REF!&gt;=table!$E$10,#REF!&lt;=table!$F$10),1,0))</f>
        <v>#REF!</v>
      </c>
      <c r="V2310" s="5" t="e">
        <f>IF(AND(#REF!&gt;=table!$C$11,#REF!&lt;= table!$D$11),-1,IF(AND(#REF!&gt;=table!$E$11,#REF!&lt;=table!$F$11),1,0))</f>
        <v>#REF!</v>
      </c>
      <c r="W2310" s="5" t="e">
        <f>CONCATENATE(dados[[#This Row],[fator1]],dados[[#This Row],[fator5]],dados[[#This Row],[fator6]])</f>
        <v>#REF!</v>
      </c>
    </row>
    <row r="2311" spans="1:23">
      <c r="A2311" t="s">
        <v>17</v>
      </c>
      <c r="B2311">
        <v>487511</v>
      </c>
      <c r="C2311">
        <v>14</v>
      </c>
      <c r="D2311">
        <v>30</v>
      </c>
      <c r="E2311">
        <v>86</v>
      </c>
      <c r="F2311">
        <v>9</v>
      </c>
      <c r="G2311">
        <v>20</v>
      </c>
      <c r="H2311">
        <v>25</v>
      </c>
      <c r="I2311">
        <v>0</v>
      </c>
      <c r="J2311">
        <v>0</v>
      </c>
      <c r="K2311">
        <v>7.109</v>
      </c>
      <c r="L2311">
        <v>17.166</v>
      </c>
      <c r="M2311">
        <v>84.028000000000006</v>
      </c>
      <c r="N2311">
        <v>27.025000000000002</v>
      </c>
      <c r="O2311">
        <v>1670</v>
      </c>
      <c r="P2311">
        <v>449</v>
      </c>
      <c r="Q2311" s="5" t="e">
        <f>IF(AND(#REF!&gt;=table!$C$6,#REF!&lt;= table!$D$6),-1,IF(AND(#REF!&gt;=table!$E$6,#REF!&lt;=table!$F$6),1,0))</f>
        <v>#REF!</v>
      </c>
      <c r="R2311" s="5" t="e">
        <f>IF(AND(#REF!&gt;=table!$C$7,#REF!&lt;= table!$D$7),-1,IF(AND(#REF!&gt;=table!$E$7,#REF!&lt;=table!$F$7),1,0))</f>
        <v>#REF!</v>
      </c>
      <c r="S2311" s="5" t="e">
        <f>IF(AND(#REF!&gt;=table!$C$8,#REF!&lt;= table!$D$8),-1,IF(AND(#REF!&gt;=table!$E$8,#REF!&lt;=table!$F$8),1,0))</f>
        <v>#REF!</v>
      </c>
      <c r="T2311" s="5"/>
      <c r="U2311" s="5" t="e">
        <f>IF(AND(#REF!&gt;=table!$C$10,#REF!&lt;= table!$D$10),-1,IF(AND(#REF!&gt;=table!$E$10,#REF!&lt;=table!$F$10),1,0))</f>
        <v>#REF!</v>
      </c>
      <c r="V2311" s="5" t="e">
        <f>IF(AND(#REF!&gt;=table!$C$11,#REF!&lt;= table!$D$11),-1,IF(AND(#REF!&gt;=table!$E$11,#REF!&lt;=table!$F$11),1,0))</f>
        <v>#REF!</v>
      </c>
      <c r="W2311" s="5" t="e">
        <f>CONCATENATE(dados[[#This Row],[fator1]],dados[[#This Row],[fator5]],dados[[#This Row],[fator6]])</f>
        <v>#REF!</v>
      </c>
    </row>
    <row r="2312" spans="1:23">
      <c r="A2312" t="s">
        <v>17</v>
      </c>
      <c r="B2312">
        <v>487512</v>
      </c>
      <c r="C2312">
        <v>16</v>
      </c>
      <c r="D2312">
        <v>30</v>
      </c>
      <c r="E2312">
        <v>66</v>
      </c>
      <c r="F2312">
        <v>9</v>
      </c>
      <c r="G2312">
        <v>20</v>
      </c>
      <c r="H2312">
        <v>25</v>
      </c>
      <c r="I2312">
        <v>715</v>
      </c>
      <c r="J2312">
        <v>0</v>
      </c>
      <c r="K2312">
        <v>4.3995000000000006</v>
      </c>
      <c r="L2312">
        <v>7.3720000000000008</v>
      </c>
      <c r="M2312">
        <v>56.606999999999999</v>
      </c>
      <c r="N2312">
        <v>15.905000000000001</v>
      </c>
      <c r="O2312">
        <v>1659</v>
      </c>
      <c r="P2312">
        <v>988</v>
      </c>
      <c r="Q2312" s="5" t="e">
        <f>IF(AND(#REF!&gt;=table!$C$6,#REF!&lt;= table!$D$6),-1,IF(AND(#REF!&gt;=table!$E$6,#REF!&lt;=table!$F$6),1,0))</f>
        <v>#REF!</v>
      </c>
      <c r="R2312" s="5" t="e">
        <f>IF(AND(#REF!&gt;=table!$C$7,#REF!&lt;= table!$D$7),-1,IF(AND(#REF!&gt;=table!$E$7,#REF!&lt;=table!$F$7),1,0))</f>
        <v>#REF!</v>
      </c>
      <c r="S2312" s="5" t="e">
        <f>IF(AND(#REF!&gt;=table!$C$8,#REF!&lt;= table!$D$8),-1,IF(AND(#REF!&gt;=table!$E$8,#REF!&lt;=table!$F$8),1,0))</f>
        <v>#REF!</v>
      </c>
      <c r="T2312" s="5"/>
      <c r="U2312" s="5" t="e">
        <f>IF(AND(#REF!&gt;=table!$C$10,#REF!&lt;= table!$D$10),-1,IF(AND(#REF!&gt;=table!$E$10,#REF!&lt;=table!$F$10),1,0))</f>
        <v>#REF!</v>
      </c>
      <c r="V2312" s="5" t="e">
        <f>IF(AND(#REF!&gt;=table!$C$11,#REF!&lt;= table!$D$11),-1,IF(AND(#REF!&gt;=table!$E$11,#REF!&lt;=table!$F$11),1,0))</f>
        <v>#REF!</v>
      </c>
      <c r="W2312" s="5" t="e">
        <f>CONCATENATE(dados[[#This Row],[fator1]],dados[[#This Row],[fator5]],dados[[#This Row],[fator6]])</f>
        <v>#REF!</v>
      </c>
    </row>
    <row r="2313" spans="1:23">
      <c r="A2313" t="s">
        <v>17</v>
      </c>
      <c r="B2313">
        <v>487514</v>
      </c>
      <c r="C2313">
        <v>22</v>
      </c>
      <c r="D2313">
        <v>30</v>
      </c>
      <c r="E2313">
        <v>101</v>
      </c>
      <c r="F2313">
        <v>9</v>
      </c>
      <c r="G2313">
        <v>20</v>
      </c>
      <c r="H2313">
        <v>25</v>
      </c>
      <c r="I2313">
        <v>14</v>
      </c>
      <c r="J2313">
        <v>0</v>
      </c>
      <c r="K2313">
        <v>12.397</v>
      </c>
      <c r="L2313">
        <v>13.563500000000001</v>
      </c>
      <c r="M2313">
        <v>82.804500000000004</v>
      </c>
      <c r="N2313">
        <v>18.745000000000001</v>
      </c>
      <c r="O2313">
        <v>1663</v>
      </c>
      <c r="P2313">
        <v>348</v>
      </c>
      <c r="Q2313" s="5" t="e">
        <f>IF(AND(#REF!&gt;=table!$C$6,#REF!&lt;= table!$D$6),-1,IF(AND(#REF!&gt;=table!$E$6,#REF!&lt;=table!$F$6),1,0))</f>
        <v>#REF!</v>
      </c>
      <c r="R2313" s="5" t="e">
        <f>IF(AND(#REF!&gt;=table!$C$7,#REF!&lt;= table!$D$7),-1,IF(AND(#REF!&gt;=table!$E$7,#REF!&lt;=table!$F$7),1,0))</f>
        <v>#REF!</v>
      </c>
      <c r="S2313" s="5" t="e">
        <f>IF(AND(#REF!&gt;=table!$C$8,#REF!&lt;= table!$D$8),-1,IF(AND(#REF!&gt;=table!$E$8,#REF!&lt;=table!$F$8),1,0))</f>
        <v>#REF!</v>
      </c>
      <c r="T2313" s="5"/>
      <c r="U2313" s="5" t="e">
        <f>IF(AND(#REF!&gt;=table!$C$10,#REF!&lt;= table!$D$10),-1,IF(AND(#REF!&gt;=table!$E$10,#REF!&lt;=table!$F$10),1,0))</f>
        <v>#REF!</v>
      </c>
      <c r="V2313" s="5" t="e">
        <f>IF(AND(#REF!&gt;=table!$C$11,#REF!&lt;= table!$D$11),-1,IF(AND(#REF!&gt;=table!$E$11,#REF!&lt;=table!$F$11),1,0))</f>
        <v>#REF!</v>
      </c>
      <c r="W2313" s="5" t="e">
        <f>CONCATENATE(dados[[#This Row],[fator1]],dados[[#This Row],[fator5]],dados[[#This Row],[fator6]])</f>
        <v>#REF!</v>
      </c>
    </row>
    <row r="2314" spans="1:23">
      <c r="A2314" t="s">
        <v>16</v>
      </c>
      <c r="B2314">
        <v>487533</v>
      </c>
      <c r="C2314">
        <v>0.15</v>
      </c>
      <c r="D2314">
        <v>40</v>
      </c>
      <c r="E2314">
        <v>10</v>
      </c>
      <c r="F2314">
        <v>15</v>
      </c>
      <c r="G2314">
        <v>0</v>
      </c>
      <c r="H2314">
        <v>15</v>
      </c>
      <c r="I2314">
        <v>649</v>
      </c>
      <c r="J2314">
        <v>30</v>
      </c>
      <c r="K2314">
        <v>4.4470000000000001</v>
      </c>
      <c r="L2314">
        <v>11.336</v>
      </c>
      <c r="M2314">
        <v>9.2249999999999996</v>
      </c>
      <c r="N2314">
        <v>14.790000000000001</v>
      </c>
      <c r="O2314">
        <v>1688</v>
      </c>
      <c r="P2314">
        <v>0</v>
      </c>
      <c r="Q2314" s="5" t="e">
        <f>IF(AND(#REF!&gt;=table!$C$6,#REF!&lt;= table!$D$6),-1,IF(AND(#REF!&gt;=table!$E$6,#REF!&lt;=table!$F$6),1,0))</f>
        <v>#REF!</v>
      </c>
      <c r="R2314" s="5" t="e">
        <f>IF(AND(#REF!&gt;=table!$C$7,#REF!&lt;= table!$D$7),-1,IF(AND(#REF!&gt;=table!$E$7,#REF!&lt;=table!$F$7),1,0))</f>
        <v>#REF!</v>
      </c>
      <c r="S2314" s="5" t="e">
        <f>IF(AND(#REF!&gt;=table!$C$8,#REF!&lt;= table!$D$8),-1,IF(AND(#REF!&gt;=table!$E$8,#REF!&lt;=table!$F$8),1,0))</f>
        <v>#REF!</v>
      </c>
      <c r="T2314" s="5"/>
      <c r="U2314" s="5" t="e">
        <f>IF(AND(#REF!&gt;=table!$C$10,#REF!&lt;= table!$D$10),-1,IF(AND(#REF!&gt;=table!$E$10,#REF!&lt;=table!$F$10),1,0))</f>
        <v>#REF!</v>
      </c>
      <c r="V2314" s="5" t="e">
        <f>IF(AND(#REF!&gt;=table!$C$11,#REF!&lt;= table!$D$11),-1,IF(AND(#REF!&gt;=table!$E$11,#REF!&lt;=table!$F$11),1,0))</f>
        <v>#REF!</v>
      </c>
      <c r="W2314" s="5" t="e">
        <f>CONCATENATE(dados[[#This Row],[fator1]],dados[[#This Row],[fator5]],dados[[#This Row],[fator6]])</f>
        <v>#REF!</v>
      </c>
    </row>
    <row r="2315" spans="1:23">
      <c r="A2315" t="s">
        <v>16</v>
      </c>
      <c r="B2315">
        <v>487534</v>
      </c>
      <c r="C2315">
        <v>0.15</v>
      </c>
      <c r="D2315">
        <v>40</v>
      </c>
      <c r="E2315">
        <v>10</v>
      </c>
      <c r="F2315">
        <v>15</v>
      </c>
      <c r="G2315">
        <v>0</v>
      </c>
      <c r="H2315">
        <v>15</v>
      </c>
      <c r="I2315">
        <v>26</v>
      </c>
      <c r="J2315">
        <v>0</v>
      </c>
      <c r="K2315">
        <v>4.9980000000000002</v>
      </c>
      <c r="L2315">
        <v>3.6835</v>
      </c>
      <c r="M2315">
        <v>3.8845000000000001</v>
      </c>
      <c r="N2315">
        <v>9.0549999999999997</v>
      </c>
      <c r="O2315">
        <v>1618</v>
      </c>
      <c r="P2315">
        <v>0</v>
      </c>
      <c r="Q2315" s="5" t="e">
        <f>IF(AND(#REF!&gt;=table!$C$6,#REF!&lt;= table!$D$6),-1,IF(AND(#REF!&gt;=table!$E$6,#REF!&lt;=table!$F$6),1,0))</f>
        <v>#REF!</v>
      </c>
      <c r="R2315" s="5" t="e">
        <f>IF(AND(#REF!&gt;=table!$C$7,#REF!&lt;= table!$D$7),-1,IF(AND(#REF!&gt;=table!$E$7,#REF!&lt;=table!$F$7),1,0))</f>
        <v>#REF!</v>
      </c>
      <c r="S2315" s="5" t="e">
        <f>IF(AND(#REF!&gt;=table!$C$8,#REF!&lt;= table!$D$8),-1,IF(AND(#REF!&gt;=table!$E$8,#REF!&lt;=table!$F$8),1,0))</f>
        <v>#REF!</v>
      </c>
      <c r="T2315" s="5"/>
      <c r="U2315" s="5" t="e">
        <f>IF(AND(#REF!&gt;=table!$C$10,#REF!&lt;= table!$D$10),-1,IF(AND(#REF!&gt;=table!$E$10,#REF!&lt;=table!$F$10),1,0))</f>
        <v>#REF!</v>
      </c>
      <c r="V2315" s="5" t="e">
        <f>IF(AND(#REF!&gt;=table!$C$11,#REF!&lt;= table!$D$11),-1,IF(AND(#REF!&gt;=table!$E$11,#REF!&lt;=table!$F$11),1,0))</f>
        <v>#REF!</v>
      </c>
      <c r="W2315" s="5" t="e">
        <f>CONCATENATE(dados[[#This Row],[fator1]],dados[[#This Row],[fator5]],dados[[#This Row],[fator6]])</f>
        <v>#REF!</v>
      </c>
    </row>
    <row r="2316" spans="1:23">
      <c r="A2316" t="s">
        <v>16</v>
      </c>
      <c r="B2316">
        <v>487538</v>
      </c>
      <c r="C2316">
        <v>0.15</v>
      </c>
      <c r="D2316">
        <v>40</v>
      </c>
      <c r="E2316">
        <v>10</v>
      </c>
      <c r="F2316">
        <v>15</v>
      </c>
      <c r="G2316">
        <v>0</v>
      </c>
      <c r="H2316">
        <v>15</v>
      </c>
      <c r="I2316">
        <v>75</v>
      </c>
      <c r="J2316">
        <v>0</v>
      </c>
      <c r="K2316">
        <v>3.5145</v>
      </c>
      <c r="L2316">
        <v>8.8130000000000006</v>
      </c>
      <c r="M2316">
        <v>7.7215000000000007</v>
      </c>
      <c r="N2316">
        <v>11.385</v>
      </c>
      <c r="O2316">
        <v>1683</v>
      </c>
      <c r="P2316">
        <v>0</v>
      </c>
      <c r="Q2316" s="5" t="e">
        <f>IF(AND(#REF!&gt;=table!$C$6,#REF!&lt;= table!$D$6),-1,IF(AND(#REF!&gt;=table!$E$6,#REF!&lt;=table!$F$6),1,0))</f>
        <v>#REF!</v>
      </c>
      <c r="R2316" s="5" t="e">
        <f>IF(AND(#REF!&gt;=table!$C$7,#REF!&lt;= table!$D$7),-1,IF(AND(#REF!&gt;=table!$E$7,#REF!&lt;=table!$F$7),1,0))</f>
        <v>#REF!</v>
      </c>
      <c r="S2316" s="5" t="e">
        <f>IF(AND(#REF!&gt;=table!$C$8,#REF!&lt;= table!$D$8),-1,IF(AND(#REF!&gt;=table!$E$8,#REF!&lt;=table!$F$8),1,0))</f>
        <v>#REF!</v>
      </c>
      <c r="T2316" s="5"/>
      <c r="U2316" s="5" t="e">
        <f>IF(AND(#REF!&gt;=table!$C$10,#REF!&lt;= table!$D$10),-1,IF(AND(#REF!&gt;=table!$E$10,#REF!&lt;=table!$F$10),1,0))</f>
        <v>#REF!</v>
      </c>
      <c r="V2316" s="5" t="e">
        <f>IF(AND(#REF!&gt;=table!$C$11,#REF!&lt;= table!$D$11),-1,IF(AND(#REF!&gt;=table!$E$11,#REF!&lt;=table!$F$11),1,0))</f>
        <v>#REF!</v>
      </c>
      <c r="W2316" s="5" t="e">
        <f>CONCATENATE(dados[[#This Row],[fator1]],dados[[#This Row],[fator5]],dados[[#This Row],[fator6]])</f>
        <v>#REF!</v>
      </c>
    </row>
    <row r="2317" spans="1:23">
      <c r="A2317" t="s">
        <v>16</v>
      </c>
      <c r="B2317">
        <v>487540</v>
      </c>
      <c r="C2317">
        <v>0.1</v>
      </c>
      <c r="D2317">
        <v>40</v>
      </c>
      <c r="E2317">
        <v>10</v>
      </c>
      <c r="F2317">
        <v>8</v>
      </c>
      <c r="G2317">
        <v>0</v>
      </c>
      <c r="H2317">
        <v>10</v>
      </c>
      <c r="I2317">
        <v>0</v>
      </c>
      <c r="J2317">
        <v>0</v>
      </c>
      <c r="K2317">
        <v>5.9555000000000007</v>
      </c>
      <c r="L2317">
        <v>13.907500000000001</v>
      </c>
      <c r="M2317">
        <v>11.959000000000001</v>
      </c>
      <c r="N2317">
        <v>14.785</v>
      </c>
      <c r="O2317">
        <v>1649</v>
      </c>
      <c r="P2317">
        <v>488</v>
      </c>
      <c r="Q2317" s="5" t="e">
        <f>IF(AND(#REF!&gt;=table!$C$6,#REF!&lt;= table!$D$6),-1,IF(AND(#REF!&gt;=table!$E$6,#REF!&lt;=table!$F$6),1,0))</f>
        <v>#REF!</v>
      </c>
      <c r="R2317" s="5" t="e">
        <f>IF(AND(#REF!&gt;=table!$C$7,#REF!&lt;= table!$D$7),-1,IF(AND(#REF!&gt;=table!$E$7,#REF!&lt;=table!$F$7),1,0))</f>
        <v>#REF!</v>
      </c>
      <c r="S2317" s="5" t="e">
        <f>IF(AND(#REF!&gt;=table!$C$8,#REF!&lt;= table!$D$8),-1,IF(AND(#REF!&gt;=table!$E$8,#REF!&lt;=table!$F$8),1,0))</f>
        <v>#REF!</v>
      </c>
      <c r="T2317" s="5"/>
      <c r="U2317" s="5" t="e">
        <f>IF(AND(#REF!&gt;=table!$C$10,#REF!&lt;= table!$D$10),-1,IF(AND(#REF!&gt;=table!$E$10,#REF!&lt;=table!$F$10),1,0))</f>
        <v>#REF!</v>
      </c>
      <c r="V2317" s="5" t="e">
        <f>IF(AND(#REF!&gt;=table!$C$11,#REF!&lt;= table!$D$11),-1,IF(AND(#REF!&gt;=table!$E$11,#REF!&lt;=table!$F$11),1,0))</f>
        <v>#REF!</v>
      </c>
      <c r="W2317" s="5" t="e">
        <f>CONCATENATE(dados[[#This Row],[fator1]],dados[[#This Row],[fator5]],dados[[#This Row],[fator6]])</f>
        <v>#REF!</v>
      </c>
    </row>
    <row r="2318" spans="1:23">
      <c r="A2318" t="s">
        <v>16</v>
      </c>
      <c r="B2318">
        <v>487545</v>
      </c>
      <c r="C2318">
        <v>0.15</v>
      </c>
      <c r="D2318">
        <v>35</v>
      </c>
      <c r="E2318">
        <v>15</v>
      </c>
      <c r="F2318">
        <v>10</v>
      </c>
      <c r="G2318">
        <v>0</v>
      </c>
      <c r="H2318">
        <v>12</v>
      </c>
      <c r="I2318">
        <v>1369</v>
      </c>
      <c r="J2318">
        <v>100</v>
      </c>
      <c r="K2318">
        <v>11.434000000000001</v>
      </c>
      <c r="L2318">
        <v>14.5365</v>
      </c>
      <c r="M2318">
        <v>9.9990000000000006</v>
      </c>
      <c r="N2318">
        <v>13.655000000000001</v>
      </c>
      <c r="O2318">
        <v>1675</v>
      </c>
      <c r="P2318">
        <v>0</v>
      </c>
      <c r="Q2318" s="5" t="e">
        <f>IF(AND(#REF!&gt;=table!$C$6,#REF!&lt;= table!$D$6),-1,IF(AND(#REF!&gt;=table!$E$6,#REF!&lt;=table!$F$6),1,0))</f>
        <v>#REF!</v>
      </c>
      <c r="R2318" s="5" t="e">
        <f>IF(AND(#REF!&gt;=table!$C$7,#REF!&lt;= table!$D$7),-1,IF(AND(#REF!&gt;=table!$E$7,#REF!&lt;=table!$F$7),1,0))</f>
        <v>#REF!</v>
      </c>
      <c r="S2318" s="5" t="e">
        <f>IF(AND(#REF!&gt;=table!$C$8,#REF!&lt;= table!$D$8),-1,IF(AND(#REF!&gt;=table!$E$8,#REF!&lt;=table!$F$8),1,0))</f>
        <v>#REF!</v>
      </c>
      <c r="T2318" s="5"/>
      <c r="U2318" s="5" t="e">
        <f>IF(AND(#REF!&gt;=table!$C$10,#REF!&lt;= table!$D$10),-1,IF(AND(#REF!&gt;=table!$E$10,#REF!&lt;=table!$F$10),1,0))</f>
        <v>#REF!</v>
      </c>
      <c r="V2318" s="5" t="e">
        <f>IF(AND(#REF!&gt;=table!$C$11,#REF!&lt;= table!$D$11),-1,IF(AND(#REF!&gt;=table!$E$11,#REF!&lt;=table!$F$11),1,0))</f>
        <v>#REF!</v>
      </c>
      <c r="W2318" s="5" t="e">
        <f>CONCATENATE(dados[[#This Row],[fator1]],dados[[#This Row],[fator5]],dados[[#This Row],[fator6]])</f>
        <v>#REF!</v>
      </c>
    </row>
    <row r="2319" spans="1:23">
      <c r="A2319" t="s">
        <v>17</v>
      </c>
      <c r="B2319">
        <v>487549</v>
      </c>
      <c r="C2319">
        <v>14</v>
      </c>
      <c r="D2319">
        <v>30</v>
      </c>
      <c r="E2319">
        <v>86</v>
      </c>
      <c r="F2319">
        <v>9</v>
      </c>
      <c r="G2319">
        <v>20</v>
      </c>
      <c r="H2319">
        <v>25</v>
      </c>
      <c r="I2319">
        <v>968</v>
      </c>
      <c r="J2319">
        <v>0</v>
      </c>
      <c r="K2319">
        <v>6.2244999999999999</v>
      </c>
      <c r="L2319">
        <v>6.0745000000000005</v>
      </c>
      <c r="M2319">
        <v>56.7485</v>
      </c>
      <c r="N2319">
        <v>9.9850000000000012</v>
      </c>
      <c r="O2319">
        <v>1667</v>
      </c>
      <c r="P2319">
        <v>0</v>
      </c>
      <c r="Q2319" s="5" t="e">
        <f>IF(AND(#REF!&gt;=table!$C$6,#REF!&lt;= table!$D$6),-1,IF(AND(#REF!&gt;=table!$E$6,#REF!&lt;=table!$F$6),1,0))</f>
        <v>#REF!</v>
      </c>
      <c r="R2319" s="5" t="e">
        <f>IF(AND(#REF!&gt;=table!$C$7,#REF!&lt;= table!$D$7),-1,IF(AND(#REF!&gt;=table!$E$7,#REF!&lt;=table!$F$7),1,0))</f>
        <v>#REF!</v>
      </c>
      <c r="S2319" s="5" t="e">
        <f>IF(AND(#REF!&gt;=table!$C$8,#REF!&lt;= table!$D$8),-1,IF(AND(#REF!&gt;=table!$E$8,#REF!&lt;=table!$F$8),1,0))</f>
        <v>#REF!</v>
      </c>
      <c r="T2319" s="5"/>
      <c r="U2319" s="5" t="e">
        <f>IF(AND(#REF!&gt;=table!$C$10,#REF!&lt;= table!$D$10),-1,IF(AND(#REF!&gt;=table!$E$10,#REF!&lt;=table!$F$10),1,0))</f>
        <v>#REF!</v>
      </c>
      <c r="V2319" s="5" t="e">
        <f>IF(AND(#REF!&gt;=table!$C$11,#REF!&lt;= table!$D$11),-1,IF(AND(#REF!&gt;=table!$E$11,#REF!&lt;=table!$F$11),1,0))</f>
        <v>#REF!</v>
      </c>
      <c r="W2319" s="5" t="e">
        <f>CONCATENATE(dados[[#This Row],[fator1]],dados[[#This Row],[fator5]],dados[[#This Row],[fator6]])</f>
        <v>#REF!</v>
      </c>
    </row>
    <row r="2320" spans="1:23">
      <c r="A2320" t="s">
        <v>16</v>
      </c>
      <c r="B2320">
        <v>487551</v>
      </c>
      <c r="C2320">
        <v>0.15</v>
      </c>
      <c r="D2320">
        <v>40</v>
      </c>
      <c r="E2320">
        <v>10</v>
      </c>
      <c r="F2320">
        <v>15</v>
      </c>
      <c r="G2320">
        <v>0</v>
      </c>
      <c r="H2320">
        <v>15</v>
      </c>
      <c r="I2320">
        <v>1385</v>
      </c>
      <c r="J2320">
        <v>0</v>
      </c>
      <c r="K2320">
        <v>6.2244999999999999</v>
      </c>
      <c r="L2320">
        <v>6.0745000000000005</v>
      </c>
      <c r="M2320">
        <v>6.1680000000000001</v>
      </c>
      <c r="N2320">
        <v>8.86</v>
      </c>
      <c r="O2320">
        <v>1675</v>
      </c>
      <c r="P2320">
        <v>0</v>
      </c>
      <c r="Q2320" s="5" t="e">
        <f>IF(AND(#REF!&gt;=table!$C$6,#REF!&lt;= table!$D$6),-1,IF(AND(#REF!&gt;=table!$E$6,#REF!&lt;=table!$F$6),1,0))</f>
        <v>#REF!</v>
      </c>
      <c r="R2320" s="5" t="e">
        <f>IF(AND(#REF!&gt;=table!$C$7,#REF!&lt;= table!$D$7),-1,IF(AND(#REF!&gt;=table!$E$7,#REF!&lt;=table!$F$7),1,0))</f>
        <v>#REF!</v>
      </c>
      <c r="S2320" s="5" t="e">
        <f>IF(AND(#REF!&gt;=table!$C$8,#REF!&lt;= table!$D$8),-1,IF(AND(#REF!&gt;=table!$E$8,#REF!&lt;=table!$F$8),1,0))</f>
        <v>#REF!</v>
      </c>
      <c r="T2320" s="5"/>
      <c r="U2320" s="5" t="e">
        <f>IF(AND(#REF!&gt;=table!$C$10,#REF!&lt;= table!$D$10),-1,IF(AND(#REF!&gt;=table!$E$10,#REF!&lt;=table!$F$10),1,0))</f>
        <v>#REF!</v>
      </c>
      <c r="V2320" s="5" t="e">
        <f>IF(AND(#REF!&gt;=table!$C$11,#REF!&lt;= table!$D$11),-1,IF(AND(#REF!&gt;=table!$E$11,#REF!&lt;=table!$F$11),1,0))</f>
        <v>#REF!</v>
      </c>
      <c r="W2320" s="5" t="e">
        <f>CONCATENATE(dados[[#This Row],[fator1]],dados[[#This Row],[fator5]],dados[[#This Row],[fator6]])</f>
        <v>#REF!</v>
      </c>
    </row>
    <row r="2321" spans="1:23">
      <c r="A2321" t="s">
        <v>17</v>
      </c>
      <c r="B2321">
        <v>487553</v>
      </c>
      <c r="C2321">
        <v>14</v>
      </c>
      <c r="D2321">
        <v>30</v>
      </c>
      <c r="E2321">
        <v>86</v>
      </c>
      <c r="F2321">
        <v>9</v>
      </c>
      <c r="G2321">
        <v>20</v>
      </c>
      <c r="H2321">
        <v>25</v>
      </c>
      <c r="I2321">
        <v>1244</v>
      </c>
      <c r="J2321">
        <v>0</v>
      </c>
      <c r="K2321">
        <v>6.6210000000000004</v>
      </c>
      <c r="L2321">
        <v>14.767000000000001</v>
      </c>
      <c r="M2321">
        <v>71.762</v>
      </c>
      <c r="N2321">
        <v>19.565000000000001</v>
      </c>
      <c r="O2321">
        <v>1670</v>
      </c>
      <c r="P2321">
        <v>588</v>
      </c>
      <c r="Q2321" s="5" t="e">
        <f>IF(AND(#REF!&gt;=table!$C$6,#REF!&lt;= table!$D$6),-1,IF(AND(#REF!&gt;=table!$E$6,#REF!&lt;=table!$F$6),1,0))</f>
        <v>#REF!</v>
      </c>
      <c r="R2321" s="5" t="e">
        <f>IF(AND(#REF!&gt;=table!$C$7,#REF!&lt;= table!$D$7),-1,IF(AND(#REF!&gt;=table!$E$7,#REF!&lt;=table!$F$7),1,0))</f>
        <v>#REF!</v>
      </c>
      <c r="S2321" s="5" t="e">
        <f>IF(AND(#REF!&gt;=table!$C$8,#REF!&lt;= table!$D$8),-1,IF(AND(#REF!&gt;=table!$E$8,#REF!&lt;=table!$F$8),1,0))</f>
        <v>#REF!</v>
      </c>
      <c r="T2321" s="5"/>
      <c r="U2321" s="5" t="e">
        <f>IF(AND(#REF!&gt;=table!$C$10,#REF!&lt;= table!$D$10),-1,IF(AND(#REF!&gt;=table!$E$10,#REF!&lt;=table!$F$10),1,0))</f>
        <v>#REF!</v>
      </c>
      <c r="V2321" s="5" t="e">
        <f>IF(AND(#REF!&gt;=table!$C$11,#REF!&lt;= table!$D$11),-1,IF(AND(#REF!&gt;=table!$E$11,#REF!&lt;=table!$F$11),1,0))</f>
        <v>#REF!</v>
      </c>
      <c r="W2321" s="5" t="e">
        <f>CONCATENATE(dados[[#This Row],[fator1]],dados[[#This Row],[fator5]],dados[[#This Row],[fator6]])</f>
        <v>#REF!</v>
      </c>
    </row>
    <row r="2322" spans="1:23">
      <c r="A2322" t="s">
        <v>17</v>
      </c>
      <c r="B2322">
        <v>487555</v>
      </c>
      <c r="C2322">
        <v>14</v>
      </c>
      <c r="D2322">
        <v>30</v>
      </c>
      <c r="E2322">
        <v>86</v>
      </c>
      <c r="F2322">
        <v>9</v>
      </c>
      <c r="G2322">
        <v>20</v>
      </c>
      <c r="H2322">
        <v>25</v>
      </c>
      <c r="I2322">
        <v>744</v>
      </c>
      <c r="J2322">
        <v>550</v>
      </c>
      <c r="K2322">
        <v>9.073500000000001</v>
      </c>
      <c r="L2322">
        <v>6.9220000000000006</v>
      </c>
      <c r="M2322">
        <v>49.494</v>
      </c>
      <c r="N2322">
        <v>8.59</v>
      </c>
      <c r="O2322">
        <v>1588</v>
      </c>
      <c r="P2322">
        <v>305</v>
      </c>
      <c r="Q2322" s="5" t="e">
        <f>IF(AND(#REF!&gt;=table!$C$6,#REF!&lt;= table!$D$6),-1,IF(AND(#REF!&gt;=table!$E$6,#REF!&lt;=table!$F$6),1,0))</f>
        <v>#REF!</v>
      </c>
      <c r="R2322" s="5" t="e">
        <f>IF(AND(#REF!&gt;=table!$C$7,#REF!&lt;= table!$D$7),-1,IF(AND(#REF!&gt;=table!$E$7,#REF!&lt;=table!$F$7),1,0))</f>
        <v>#REF!</v>
      </c>
      <c r="S2322" s="5" t="e">
        <f>IF(AND(#REF!&gt;=table!$C$8,#REF!&lt;= table!$D$8),-1,IF(AND(#REF!&gt;=table!$E$8,#REF!&lt;=table!$F$8),1,0))</f>
        <v>#REF!</v>
      </c>
      <c r="T2322" s="5"/>
      <c r="U2322" s="5" t="e">
        <f>IF(AND(#REF!&gt;=table!$C$10,#REF!&lt;= table!$D$10),-1,IF(AND(#REF!&gt;=table!$E$10,#REF!&lt;=table!$F$10),1,0))</f>
        <v>#REF!</v>
      </c>
      <c r="V2322" s="5" t="e">
        <f>IF(AND(#REF!&gt;=table!$C$11,#REF!&lt;= table!$D$11),-1,IF(AND(#REF!&gt;=table!$E$11,#REF!&lt;=table!$F$11),1,0))</f>
        <v>#REF!</v>
      </c>
      <c r="W2322" s="5" t="e">
        <f>CONCATENATE(dados[[#This Row],[fator1]],dados[[#This Row],[fator5]],dados[[#This Row],[fator6]])</f>
        <v>#REF!</v>
      </c>
    </row>
    <row r="2323" spans="1:23">
      <c r="A2323" t="s">
        <v>17</v>
      </c>
      <c r="B2323">
        <v>487558</v>
      </c>
      <c r="C2323">
        <v>14</v>
      </c>
      <c r="D2323">
        <v>30</v>
      </c>
      <c r="E2323">
        <v>86</v>
      </c>
      <c r="F2323">
        <v>9</v>
      </c>
      <c r="G2323">
        <v>20</v>
      </c>
      <c r="H2323">
        <v>25</v>
      </c>
      <c r="I2323">
        <v>29</v>
      </c>
      <c r="J2323">
        <v>0</v>
      </c>
      <c r="K2323">
        <v>3.7765</v>
      </c>
      <c r="L2323">
        <v>9.980500000000001</v>
      </c>
      <c r="M2323">
        <v>82.622</v>
      </c>
      <c r="N2323">
        <v>20.105</v>
      </c>
      <c r="O2323">
        <v>1674</v>
      </c>
      <c r="P2323">
        <v>1006</v>
      </c>
      <c r="Q2323" s="5" t="e">
        <f>IF(AND(#REF!&gt;=table!$C$6,#REF!&lt;= table!$D$6),-1,IF(AND(#REF!&gt;=table!$E$6,#REF!&lt;=table!$F$6),1,0))</f>
        <v>#REF!</v>
      </c>
      <c r="R2323" s="5" t="e">
        <f>IF(AND(#REF!&gt;=table!$C$7,#REF!&lt;= table!$D$7),-1,IF(AND(#REF!&gt;=table!$E$7,#REF!&lt;=table!$F$7),1,0))</f>
        <v>#REF!</v>
      </c>
      <c r="S2323" s="5" t="e">
        <f>IF(AND(#REF!&gt;=table!$C$8,#REF!&lt;= table!$D$8),-1,IF(AND(#REF!&gt;=table!$E$8,#REF!&lt;=table!$F$8),1,0))</f>
        <v>#REF!</v>
      </c>
      <c r="T2323" s="5"/>
      <c r="U2323" s="5" t="e">
        <f>IF(AND(#REF!&gt;=table!$C$10,#REF!&lt;= table!$D$10),-1,IF(AND(#REF!&gt;=table!$E$10,#REF!&lt;=table!$F$10),1,0))</f>
        <v>#REF!</v>
      </c>
      <c r="V2323" s="5" t="e">
        <f>IF(AND(#REF!&gt;=table!$C$11,#REF!&lt;= table!$D$11),-1,IF(AND(#REF!&gt;=table!$E$11,#REF!&lt;=table!$F$11),1,0))</f>
        <v>#REF!</v>
      </c>
      <c r="W2323" s="5" t="e">
        <f>CONCATENATE(dados[[#This Row],[fator1]],dados[[#This Row],[fator5]],dados[[#This Row],[fator6]])</f>
        <v>#REF!</v>
      </c>
    </row>
    <row r="2324" spans="1:23">
      <c r="A2324" t="s">
        <v>17</v>
      </c>
      <c r="B2324">
        <v>487559</v>
      </c>
      <c r="C2324">
        <v>14</v>
      </c>
      <c r="D2324">
        <v>30</v>
      </c>
      <c r="E2324">
        <v>86</v>
      </c>
      <c r="F2324">
        <v>9</v>
      </c>
      <c r="G2324">
        <v>20</v>
      </c>
      <c r="H2324">
        <v>25</v>
      </c>
      <c r="I2324">
        <v>6</v>
      </c>
      <c r="J2324">
        <v>0</v>
      </c>
      <c r="K2324">
        <v>4.0720000000000001</v>
      </c>
      <c r="L2324">
        <v>5.9275000000000002</v>
      </c>
      <c r="M2324">
        <v>81.95150000000001</v>
      </c>
      <c r="N2324">
        <v>14.895000000000001</v>
      </c>
      <c r="O2324">
        <v>1673</v>
      </c>
      <c r="P2324">
        <v>0</v>
      </c>
      <c r="Q2324" s="5" t="e">
        <f>IF(AND(#REF!&gt;=table!$C$6,#REF!&lt;= table!$D$6),-1,IF(AND(#REF!&gt;=table!$E$6,#REF!&lt;=table!$F$6),1,0))</f>
        <v>#REF!</v>
      </c>
      <c r="R2324" s="5" t="e">
        <f>IF(AND(#REF!&gt;=table!$C$7,#REF!&lt;= table!$D$7),-1,IF(AND(#REF!&gt;=table!$E$7,#REF!&lt;=table!$F$7),1,0))</f>
        <v>#REF!</v>
      </c>
      <c r="S2324" s="5" t="e">
        <f>IF(AND(#REF!&gt;=table!$C$8,#REF!&lt;= table!$D$8),-1,IF(AND(#REF!&gt;=table!$E$8,#REF!&lt;=table!$F$8),1,0))</f>
        <v>#REF!</v>
      </c>
      <c r="T2324" s="5"/>
      <c r="U2324" s="5" t="e">
        <f>IF(AND(#REF!&gt;=table!$C$10,#REF!&lt;= table!$D$10),-1,IF(AND(#REF!&gt;=table!$E$10,#REF!&lt;=table!$F$10),1,0))</f>
        <v>#REF!</v>
      </c>
      <c r="V2324" s="5" t="e">
        <f>IF(AND(#REF!&gt;=table!$C$11,#REF!&lt;= table!$D$11),-1,IF(AND(#REF!&gt;=table!$E$11,#REF!&lt;=table!$F$11),1,0))</f>
        <v>#REF!</v>
      </c>
      <c r="W2324" s="5" t="e">
        <f>CONCATENATE(dados[[#This Row],[fator1]],dados[[#This Row],[fator5]],dados[[#This Row],[fator6]])</f>
        <v>#REF!</v>
      </c>
    </row>
    <row r="2325" spans="1:23">
      <c r="A2325" t="s">
        <v>17</v>
      </c>
      <c r="B2325">
        <v>487561</v>
      </c>
      <c r="C2325">
        <v>14</v>
      </c>
      <c r="D2325">
        <v>30</v>
      </c>
      <c r="E2325">
        <v>126</v>
      </c>
      <c r="F2325">
        <v>9</v>
      </c>
      <c r="G2325">
        <v>20</v>
      </c>
      <c r="H2325">
        <v>25</v>
      </c>
      <c r="I2325">
        <v>286</v>
      </c>
      <c r="J2325">
        <v>0</v>
      </c>
      <c r="K2325">
        <v>3.7895000000000003</v>
      </c>
      <c r="L2325">
        <v>4.8120000000000003</v>
      </c>
      <c r="M2325">
        <v>72.207999999999998</v>
      </c>
      <c r="N2325">
        <v>14.530000000000001</v>
      </c>
      <c r="O2325">
        <v>1638</v>
      </c>
      <c r="P2325">
        <v>831</v>
      </c>
      <c r="Q2325" s="5" t="e">
        <f>IF(AND(#REF!&gt;=table!$C$6,#REF!&lt;= table!$D$6),-1,IF(AND(#REF!&gt;=table!$E$6,#REF!&lt;=table!$F$6),1,0))</f>
        <v>#REF!</v>
      </c>
      <c r="R2325" s="5" t="e">
        <f>IF(AND(#REF!&gt;=table!$C$7,#REF!&lt;= table!$D$7),-1,IF(AND(#REF!&gt;=table!$E$7,#REF!&lt;=table!$F$7),1,0))</f>
        <v>#REF!</v>
      </c>
      <c r="S2325" s="5" t="e">
        <f>IF(AND(#REF!&gt;=table!$C$8,#REF!&lt;= table!$D$8),-1,IF(AND(#REF!&gt;=table!$E$8,#REF!&lt;=table!$F$8),1,0))</f>
        <v>#REF!</v>
      </c>
      <c r="T2325" s="5"/>
      <c r="U2325" s="5" t="e">
        <f>IF(AND(#REF!&gt;=table!$C$10,#REF!&lt;= table!$D$10),-1,IF(AND(#REF!&gt;=table!$E$10,#REF!&lt;=table!$F$10),1,0))</f>
        <v>#REF!</v>
      </c>
      <c r="V2325" s="5" t="e">
        <f>IF(AND(#REF!&gt;=table!$C$11,#REF!&lt;= table!$D$11),-1,IF(AND(#REF!&gt;=table!$E$11,#REF!&lt;=table!$F$11),1,0))</f>
        <v>#REF!</v>
      </c>
      <c r="W2325" s="5" t="e">
        <f>CONCATENATE(dados[[#This Row],[fator1]],dados[[#This Row],[fator5]],dados[[#This Row],[fator6]])</f>
        <v>#REF!</v>
      </c>
    </row>
    <row r="2326" spans="1:23">
      <c r="A2326" t="s">
        <v>17</v>
      </c>
      <c r="B2326">
        <v>487563</v>
      </c>
      <c r="C2326">
        <v>24</v>
      </c>
      <c r="D2326">
        <v>30</v>
      </c>
      <c r="E2326">
        <v>106</v>
      </c>
      <c r="F2326">
        <v>9</v>
      </c>
      <c r="G2326">
        <v>20</v>
      </c>
      <c r="H2326">
        <v>25</v>
      </c>
      <c r="I2326">
        <v>28</v>
      </c>
      <c r="J2326">
        <v>630</v>
      </c>
      <c r="K2326">
        <v>4.7549999999999999</v>
      </c>
      <c r="L2326">
        <v>7.694</v>
      </c>
      <c r="M2326">
        <v>88.301000000000002</v>
      </c>
      <c r="N2326">
        <v>14</v>
      </c>
      <c r="O2326">
        <v>1628</v>
      </c>
      <c r="P2326">
        <v>0</v>
      </c>
      <c r="Q2326" s="5" t="e">
        <f>IF(AND(#REF!&gt;=table!$C$6,#REF!&lt;= table!$D$6),-1,IF(AND(#REF!&gt;=table!$E$6,#REF!&lt;=table!$F$6),1,0))</f>
        <v>#REF!</v>
      </c>
      <c r="R2326" s="5" t="e">
        <f>IF(AND(#REF!&gt;=table!$C$7,#REF!&lt;= table!$D$7),-1,IF(AND(#REF!&gt;=table!$E$7,#REF!&lt;=table!$F$7),1,0))</f>
        <v>#REF!</v>
      </c>
      <c r="S2326" s="5" t="e">
        <f>IF(AND(#REF!&gt;=table!$C$8,#REF!&lt;= table!$D$8),-1,IF(AND(#REF!&gt;=table!$E$8,#REF!&lt;=table!$F$8),1,0))</f>
        <v>#REF!</v>
      </c>
      <c r="T2326" s="5"/>
      <c r="U2326" s="5" t="e">
        <f>IF(AND(#REF!&gt;=table!$C$10,#REF!&lt;= table!$D$10),-1,IF(AND(#REF!&gt;=table!$E$10,#REF!&lt;=table!$F$10),1,0))</f>
        <v>#REF!</v>
      </c>
      <c r="V2326" s="5" t="e">
        <f>IF(AND(#REF!&gt;=table!$C$11,#REF!&lt;= table!$D$11),-1,IF(AND(#REF!&gt;=table!$E$11,#REF!&lt;=table!$F$11),1,0))</f>
        <v>#REF!</v>
      </c>
      <c r="W2326" s="5" t="e">
        <f>CONCATENATE(dados[[#This Row],[fator1]],dados[[#This Row],[fator5]],dados[[#This Row],[fator6]])</f>
        <v>#REF!</v>
      </c>
    </row>
    <row r="2327" spans="1:23">
      <c r="A2327" t="s">
        <v>17</v>
      </c>
      <c r="B2327">
        <v>487565</v>
      </c>
      <c r="C2327">
        <v>10</v>
      </c>
      <c r="D2327">
        <v>25</v>
      </c>
      <c r="E2327">
        <v>126</v>
      </c>
      <c r="F2327">
        <v>3</v>
      </c>
      <c r="G2327">
        <v>22</v>
      </c>
      <c r="H2327">
        <v>18</v>
      </c>
      <c r="I2327">
        <v>527</v>
      </c>
      <c r="J2327">
        <v>0</v>
      </c>
      <c r="K2327">
        <v>2.2370000000000001</v>
      </c>
      <c r="L2327">
        <v>4.0840000000000005</v>
      </c>
      <c r="M2327">
        <v>116.959</v>
      </c>
      <c r="N2327">
        <v>12.195</v>
      </c>
      <c r="O2327">
        <v>1666</v>
      </c>
      <c r="P2327">
        <v>1307</v>
      </c>
      <c r="Q2327" s="5" t="e">
        <f>IF(AND(#REF!&gt;=table!$C$6,#REF!&lt;= table!$D$6),-1,IF(AND(#REF!&gt;=table!$E$6,#REF!&lt;=table!$F$6),1,0))</f>
        <v>#REF!</v>
      </c>
      <c r="R2327" s="5" t="e">
        <f>IF(AND(#REF!&gt;=table!$C$7,#REF!&lt;= table!$D$7),-1,IF(AND(#REF!&gt;=table!$E$7,#REF!&lt;=table!$F$7),1,0))</f>
        <v>#REF!</v>
      </c>
      <c r="S2327" s="5" t="e">
        <f>IF(AND(#REF!&gt;=table!$C$8,#REF!&lt;= table!$D$8),-1,IF(AND(#REF!&gt;=table!$E$8,#REF!&lt;=table!$F$8),1,0))</f>
        <v>#REF!</v>
      </c>
      <c r="T2327" s="5"/>
      <c r="U2327" s="5" t="e">
        <f>IF(AND(#REF!&gt;=table!$C$10,#REF!&lt;= table!$D$10),-1,IF(AND(#REF!&gt;=table!$E$10,#REF!&lt;=table!$F$10),1,0))</f>
        <v>#REF!</v>
      </c>
      <c r="V2327" s="5" t="e">
        <f>IF(AND(#REF!&gt;=table!$C$11,#REF!&lt;= table!$D$11),-1,IF(AND(#REF!&gt;=table!$E$11,#REF!&lt;=table!$F$11),1,0))</f>
        <v>#REF!</v>
      </c>
      <c r="W2327" s="5" t="e">
        <f>CONCATENATE(dados[[#This Row],[fator1]],dados[[#This Row],[fator5]],dados[[#This Row],[fator6]])</f>
        <v>#REF!</v>
      </c>
    </row>
    <row r="2328" spans="1:23">
      <c r="A2328" t="s">
        <v>16</v>
      </c>
      <c r="B2328">
        <v>487567</v>
      </c>
      <c r="C2328">
        <v>0.15</v>
      </c>
      <c r="D2328">
        <v>40</v>
      </c>
      <c r="E2328">
        <v>10</v>
      </c>
      <c r="F2328">
        <v>15</v>
      </c>
      <c r="G2328">
        <v>0</v>
      </c>
      <c r="H2328">
        <v>15</v>
      </c>
      <c r="I2328">
        <v>402</v>
      </c>
      <c r="J2328">
        <v>2100</v>
      </c>
      <c r="K2328">
        <v>4.0600000000000005</v>
      </c>
      <c r="L2328">
        <v>8.0750000000000011</v>
      </c>
      <c r="M2328">
        <v>3.0489999999999999</v>
      </c>
      <c r="N2328">
        <v>5.8100000000000005</v>
      </c>
      <c r="O2328">
        <v>1658</v>
      </c>
      <c r="P2328">
        <v>0</v>
      </c>
      <c r="Q2328" s="5" t="e">
        <f>IF(AND(#REF!&gt;=table!$C$6,#REF!&lt;= table!$D$6),-1,IF(AND(#REF!&gt;=table!$E$6,#REF!&lt;=table!$F$6),1,0))</f>
        <v>#REF!</v>
      </c>
      <c r="R2328" s="5" t="e">
        <f>IF(AND(#REF!&gt;=table!$C$7,#REF!&lt;= table!$D$7),-1,IF(AND(#REF!&gt;=table!$E$7,#REF!&lt;=table!$F$7),1,0))</f>
        <v>#REF!</v>
      </c>
      <c r="S2328" s="5" t="e">
        <f>IF(AND(#REF!&gt;=table!$C$8,#REF!&lt;= table!$D$8),-1,IF(AND(#REF!&gt;=table!$E$8,#REF!&lt;=table!$F$8),1,0))</f>
        <v>#REF!</v>
      </c>
      <c r="T2328" s="5"/>
      <c r="U2328" s="5" t="e">
        <f>IF(AND(#REF!&gt;=table!$C$10,#REF!&lt;= table!$D$10),-1,IF(AND(#REF!&gt;=table!$E$10,#REF!&lt;=table!$F$10),1,0))</f>
        <v>#REF!</v>
      </c>
      <c r="V2328" s="5" t="e">
        <f>IF(AND(#REF!&gt;=table!$C$11,#REF!&lt;= table!$D$11),-1,IF(AND(#REF!&gt;=table!$E$11,#REF!&lt;=table!$F$11),1,0))</f>
        <v>#REF!</v>
      </c>
      <c r="W2328" s="5" t="e">
        <f>CONCATENATE(dados[[#This Row],[fator1]],dados[[#This Row],[fator5]],dados[[#This Row],[fator6]])</f>
        <v>#REF!</v>
      </c>
    </row>
    <row r="2329" spans="1:23">
      <c r="A2329" t="s">
        <v>16</v>
      </c>
      <c r="B2329">
        <v>487569</v>
      </c>
      <c r="C2329">
        <v>4</v>
      </c>
      <c r="D2329">
        <v>40</v>
      </c>
      <c r="E2329">
        <v>21</v>
      </c>
      <c r="F2329">
        <v>20</v>
      </c>
      <c r="G2329">
        <v>0</v>
      </c>
      <c r="H2329">
        <v>25</v>
      </c>
      <c r="I2329">
        <v>81</v>
      </c>
      <c r="J2329">
        <v>0</v>
      </c>
      <c r="K2329">
        <v>3.153</v>
      </c>
      <c r="L2329">
        <v>4.13</v>
      </c>
      <c r="M2329">
        <v>10.628</v>
      </c>
      <c r="N2329">
        <v>6.23</v>
      </c>
      <c r="O2329">
        <v>1671</v>
      </c>
      <c r="P2329">
        <v>1150</v>
      </c>
      <c r="Q2329" s="5" t="e">
        <f>IF(AND(#REF!&gt;=table!$C$6,#REF!&lt;= table!$D$6),-1,IF(AND(#REF!&gt;=table!$E$6,#REF!&lt;=table!$F$6),1,0))</f>
        <v>#REF!</v>
      </c>
      <c r="R2329" s="5" t="e">
        <f>IF(AND(#REF!&gt;=table!$C$7,#REF!&lt;= table!$D$7),-1,IF(AND(#REF!&gt;=table!$E$7,#REF!&lt;=table!$F$7),1,0))</f>
        <v>#REF!</v>
      </c>
      <c r="S2329" s="5" t="e">
        <f>IF(AND(#REF!&gt;=table!$C$8,#REF!&lt;= table!$D$8),-1,IF(AND(#REF!&gt;=table!$E$8,#REF!&lt;=table!$F$8),1,0))</f>
        <v>#REF!</v>
      </c>
      <c r="T2329" s="5"/>
      <c r="U2329" s="5" t="e">
        <f>IF(AND(#REF!&gt;=table!$C$10,#REF!&lt;= table!$D$10),-1,IF(AND(#REF!&gt;=table!$E$10,#REF!&lt;=table!$F$10),1,0))</f>
        <v>#REF!</v>
      </c>
      <c r="V2329" s="5" t="e">
        <f>IF(AND(#REF!&gt;=table!$C$11,#REF!&lt;= table!$D$11),-1,IF(AND(#REF!&gt;=table!$E$11,#REF!&lt;=table!$F$11),1,0))</f>
        <v>#REF!</v>
      </c>
      <c r="W2329" s="5" t="e">
        <f>CONCATENATE(dados[[#This Row],[fator1]],dados[[#This Row],[fator5]],dados[[#This Row],[fator6]])</f>
        <v>#REF!</v>
      </c>
    </row>
    <row r="2330" spans="1:23">
      <c r="A2330" t="s">
        <v>16</v>
      </c>
      <c r="B2330">
        <v>487573</v>
      </c>
      <c r="C2330">
        <v>0.15</v>
      </c>
      <c r="D2330">
        <v>40</v>
      </c>
      <c r="E2330">
        <v>10</v>
      </c>
      <c r="F2330">
        <v>15</v>
      </c>
      <c r="G2330">
        <v>0</v>
      </c>
      <c r="H2330">
        <v>15</v>
      </c>
      <c r="I2330">
        <v>732</v>
      </c>
      <c r="J2330">
        <v>840</v>
      </c>
      <c r="K2330">
        <v>2.6165000000000003</v>
      </c>
      <c r="L2330">
        <v>8.8890000000000011</v>
      </c>
      <c r="M2330">
        <v>4.7250000000000005</v>
      </c>
      <c r="N2330">
        <v>10.315000000000001</v>
      </c>
      <c r="O2330">
        <v>1689</v>
      </c>
      <c r="P2330">
        <v>0</v>
      </c>
      <c r="Q2330" s="5" t="e">
        <f>IF(AND(#REF!&gt;=table!$C$6,#REF!&lt;= table!$D$6),-1,IF(AND(#REF!&gt;=table!$E$6,#REF!&lt;=table!$F$6),1,0))</f>
        <v>#REF!</v>
      </c>
      <c r="R2330" s="5" t="e">
        <f>IF(AND(#REF!&gt;=table!$C$7,#REF!&lt;= table!$D$7),-1,IF(AND(#REF!&gt;=table!$E$7,#REF!&lt;=table!$F$7),1,0))</f>
        <v>#REF!</v>
      </c>
      <c r="S2330" s="5" t="e">
        <f>IF(AND(#REF!&gt;=table!$C$8,#REF!&lt;= table!$D$8),-1,IF(AND(#REF!&gt;=table!$E$8,#REF!&lt;=table!$F$8),1,0))</f>
        <v>#REF!</v>
      </c>
      <c r="T2330" s="5"/>
      <c r="U2330" s="5" t="e">
        <f>IF(AND(#REF!&gt;=table!$C$10,#REF!&lt;= table!$D$10),-1,IF(AND(#REF!&gt;=table!$E$10,#REF!&lt;=table!$F$10),1,0))</f>
        <v>#REF!</v>
      </c>
      <c r="V2330" s="5" t="e">
        <f>IF(AND(#REF!&gt;=table!$C$11,#REF!&lt;= table!$D$11),-1,IF(AND(#REF!&gt;=table!$E$11,#REF!&lt;=table!$F$11),1,0))</f>
        <v>#REF!</v>
      </c>
      <c r="W2330" s="5" t="e">
        <f>CONCATENATE(dados[[#This Row],[fator1]],dados[[#This Row],[fator5]],dados[[#This Row],[fator6]])</f>
        <v>#REF!</v>
      </c>
    </row>
    <row r="2331" spans="1:23">
      <c r="A2331" t="s">
        <v>16</v>
      </c>
      <c r="B2331">
        <v>487577</v>
      </c>
      <c r="C2331">
        <v>12</v>
      </c>
      <c r="D2331">
        <v>35</v>
      </c>
      <c r="E2331">
        <v>86</v>
      </c>
      <c r="F2331">
        <v>10</v>
      </c>
      <c r="G2331">
        <v>0</v>
      </c>
      <c r="H2331">
        <v>25</v>
      </c>
      <c r="I2331">
        <v>49</v>
      </c>
      <c r="J2331">
        <v>0</v>
      </c>
      <c r="K2331">
        <v>3.5615000000000001</v>
      </c>
      <c r="L2331">
        <v>10.0945</v>
      </c>
      <c r="M2331">
        <v>80.094999999999999</v>
      </c>
      <c r="N2331">
        <v>19.41</v>
      </c>
      <c r="O2331">
        <v>1662</v>
      </c>
      <c r="P2331">
        <v>840</v>
      </c>
      <c r="Q2331" s="5" t="e">
        <f>IF(AND(#REF!&gt;=table!$C$6,#REF!&lt;= table!$D$6),-1,IF(AND(#REF!&gt;=table!$E$6,#REF!&lt;=table!$F$6),1,0))</f>
        <v>#REF!</v>
      </c>
      <c r="R2331" s="5" t="e">
        <f>IF(AND(#REF!&gt;=table!$C$7,#REF!&lt;= table!$D$7),-1,IF(AND(#REF!&gt;=table!$E$7,#REF!&lt;=table!$F$7),1,0))</f>
        <v>#REF!</v>
      </c>
      <c r="S2331" s="5" t="e">
        <f>IF(AND(#REF!&gt;=table!$C$8,#REF!&lt;= table!$D$8),-1,IF(AND(#REF!&gt;=table!$E$8,#REF!&lt;=table!$F$8),1,0))</f>
        <v>#REF!</v>
      </c>
      <c r="T2331" s="5"/>
      <c r="U2331" s="5" t="e">
        <f>IF(AND(#REF!&gt;=table!$C$10,#REF!&lt;= table!$D$10),-1,IF(AND(#REF!&gt;=table!$E$10,#REF!&lt;=table!$F$10),1,0))</f>
        <v>#REF!</v>
      </c>
      <c r="V2331" s="5" t="e">
        <f>IF(AND(#REF!&gt;=table!$C$11,#REF!&lt;= table!$D$11),-1,IF(AND(#REF!&gt;=table!$E$11,#REF!&lt;=table!$F$11),1,0))</f>
        <v>#REF!</v>
      </c>
      <c r="W2331" s="5" t="e">
        <f>CONCATENATE(dados[[#This Row],[fator1]],dados[[#This Row],[fator5]],dados[[#This Row],[fator6]])</f>
        <v>#REF!</v>
      </c>
    </row>
    <row r="2332" spans="1:23">
      <c r="A2332" t="s">
        <v>16</v>
      </c>
      <c r="B2332">
        <v>487584</v>
      </c>
      <c r="C2332">
        <v>0.15</v>
      </c>
      <c r="D2332">
        <v>40</v>
      </c>
      <c r="E2332">
        <v>10</v>
      </c>
      <c r="F2332">
        <v>15</v>
      </c>
      <c r="G2332">
        <v>0</v>
      </c>
      <c r="H2332">
        <v>15</v>
      </c>
      <c r="I2332">
        <v>1356</v>
      </c>
      <c r="J2332">
        <v>0</v>
      </c>
      <c r="K2332">
        <v>3.2165000000000004</v>
      </c>
      <c r="L2332">
        <v>5.0410000000000004</v>
      </c>
      <c r="M2332">
        <v>4.7869999999999999</v>
      </c>
      <c r="N2332">
        <v>9.26</v>
      </c>
      <c r="O2332">
        <v>1705</v>
      </c>
      <c r="P2332">
        <v>1198</v>
      </c>
      <c r="Q2332" s="5" t="e">
        <f>IF(AND(#REF!&gt;=table!$C$6,#REF!&lt;= table!$D$6),-1,IF(AND(#REF!&gt;=table!$E$6,#REF!&lt;=table!$F$6),1,0))</f>
        <v>#REF!</v>
      </c>
      <c r="R2332" s="5" t="e">
        <f>IF(AND(#REF!&gt;=table!$C$7,#REF!&lt;= table!$D$7),-1,IF(AND(#REF!&gt;=table!$E$7,#REF!&lt;=table!$F$7),1,0))</f>
        <v>#REF!</v>
      </c>
      <c r="S2332" s="5" t="e">
        <f>IF(AND(#REF!&gt;=table!$C$8,#REF!&lt;= table!$D$8),-1,IF(AND(#REF!&gt;=table!$E$8,#REF!&lt;=table!$F$8),1,0))</f>
        <v>#REF!</v>
      </c>
      <c r="T2332" s="5"/>
      <c r="U2332" s="5" t="e">
        <f>IF(AND(#REF!&gt;=table!$C$10,#REF!&lt;= table!$D$10),-1,IF(AND(#REF!&gt;=table!$E$10,#REF!&lt;=table!$F$10),1,0))</f>
        <v>#REF!</v>
      </c>
      <c r="V2332" s="5" t="e">
        <f>IF(AND(#REF!&gt;=table!$C$11,#REF!&lt;= table!$D$11),-1,IF(AND(#REF!&gt;=table!$E$11,#REF!&lt;=table!$F$11),1,0))</f>
        <v>#REF!</v>
      </c>
      <c r="W2332" s="5" t="e">
        <f>CONCATENATE(dados[[#This Row],[fator1]],dados[[#This Row],[fator5]],dados[[#This Row],[fator6]])</f>
        <v>#REF!</v>
      </c>
    </row>
    <row r="2333" spans="1:23">
      <c r="A2333" t="s">
        <v>16</v>
      </c>
      <c r="B2333">
        <v>487586</v>
      </c>
      <c r="C2333">
        <v>0.15</v>
      </c>
      <c r="D2333">
        <v>40</v>
      </c>
      <c r="E2333">
        <v>10</v>
      </c>
      <c r="F2333">
        <v>15</v>
      </c>
      <c r="G2333">
        <v>0</v>
      </c>
      <c r="H2333">
        <v>15</v>
      </c>
      <c r="I2333">
        <v>1096</v>
      </c>
      <c r="J2333">
        <v>0</v>
      </c>
      <c r="K2333">
        <v>3.9305000000000003</v>
      </c>
      <c r="L2333">
        <v>8.0125000000000011</v>
      </c>
      <c r="M2333">
        <v>6.6420000000000003</v>
      </c>
      <c r="N2333">
        <v>10.435</v>
      </c>
      <c r="O2333">
        <v>1663</v>
      </c>
      <c r="P2333">
        <v>912</v>
      </c>
      <c r="Q2333" s="5" t="e">
        <f>IF(AND(#REF!&gt;=table!$C$6,#REF!&lt;= table!$D$6),-1,IF(AND(#REF!&gt;=table!$E$6,#REF!&lt;=table!$F$6),1,0))</f>
        <v>#REF!</v>
      </c>
      <c r="R2333" s="5" t="e">
        <f>IF(AND(#REF!&gt;=table!$C$7,#REF!&lt;= table!$D$7),-1,IF(AND(#REF!&gt;=table!$E$7,#REF!&lt;=table!$F$7),1,0))</f>
        <v>#REF!</v>
      </c>
      <c r="S2333" s="5" t="e">
        <f>IF(AND(#REF!&gt;=table!$C$8,#REF!&lt;= table!$D$8),-1,IF(AND(#REF!&gt;=table!$E$8,#REF!&lt;=table!$F$8),1,0))</f>
        <v>#REF!</v>
      </c>
      <c r="T2333" s="5"/>
      <c r="U2333" s="5" t="e">
        <f>IF(AND(#REF!&gt;=table!$C$10,#REF!&lt;= table!$D$10),-1,IF(AND(#REF!&gt;=table!$E$10,#REF!&lt;=table!$F$10),1,0))</f>
        <v>#REF!</v>
      </c>
      <c r="V2333" s="5" t="e">
        <f>IF(AND(#REF!&gt;=table!$C$11,#REF!&lt;= table!$D$11),-1,IF(AND(#REF!&gt;=table!$E$11,#REF!&lt;=table!$F$11),1,0))</f>
        <v>#REF!</v>
      </c>
      <c r="W2333" s="5" t="e">
        <f>CONCATENATE(dados[[#This Row],[fator1]],dados[[#This Row],[fator5]],dados[[#This Row],[fator6]])</f>
        <v>#REF!</v>
      </c>
    </row>
    <row r="2334" spans="1:23">
      <c r="A2334" t="s">
        <v>16</v>
      </c>
      <c r="B2334">
        <v>487590</v>
      </c>
      <c r="C2334">
        <v>0.23</v>
      </c>
      <c r="D2334">
        <v>65</v>
      </c>
      <c r="E2334">
        <v>26</v>
      </c>
      <c r="F2334">
        <v>15</v>
      </c>
      <c r="G2334">
        <v>0</v>
      </c>
      <c r="H2334">
        <v>35</v>
      </c>
      <c r="I2334">
        <v>819</v>
      </c>
      <c r="J2334">
        <v>0</v>
      </c>
      <c r="K2334">
        <v>5.7235000000000005</v>
      </c>
      <c r="L2334">
        <v>9.666500000000001</v>
      </c>
      <c r="M2334">
        <v>8.6120000000000001</v>
      </c>
      <c r="N2334">
        <v>13.255000000000001</v>
      </c>
      <c r="O2334">
        <v>1655</v>
      </c>
      <c r="P2334">
        <v>0</v>
      </c>
      <c r="Q2334" s="5" t="e">
        <f>IF(AND(#REF!&gt;=table!$C$6,#REF!&lt;= table!$D$6),-1,IF(AND(#REF!&gt;=table!$E$6,#REF!&lt;=table!$F$6),1,0))</f>
        <v>#REF!</v>
      </c>
      <c r="R2334" s="5" t="e">
        <f>IF(AND(#REF!&gt;=table!$C$7,#REF!&lt;= table!$D$7),-1,IF(AND(#REF!&gt;=table!$E$7,#REF!&lt;=table!$F$7),1,0))</f>
        <v>#REF!</v>
      </c>
      <c r="S2334" s="5" t="e">
        <f>IF(AND(#REF!&gt;=table!$C$8,#REF!&lt;= table!$D$8),-1,IF(AND(#REF!&gt;=table!$E$8,#REF!&lt;=table!$F$8),1,0))</f>
        <v>#REF!</v>
      </c>
      <c r="T2334" s="5"/>
      <c r="U2334" s="5" t="e">
        <f>IF(AND(#REF!&gt;=table!$C$10,#REF!&lt;= table!$D$10),-1,IF(AND(#REF!&gt;=table!$E$10,#REF!&lt;=table!$F$10),1,0))</f>
        <v>#REF!</v>
      </c>
      <c r="V2334" s="5" t="e">
        <f>IF(AND(#REF!&gt;=table!$C$11,#REF!&lt;= table!$D$11),-1,IF(AND(#REF!&gt;=table!$E$11,#REF!&lt;=table!$F$11),1,0))</f>
        <v>#REF!</v>
      </c>
      <c r="W2334" s="5" t="e">
        <f>CONCATENATE(dados[[#This Row],[fator1]],dados[[#This Row],[fator5]],dados[[#This Row],[fator6]])</f>
        <v>#REF!</v>
      </c>
    </row>
    <row r="2335" spans="1:23">
      <c r="A2335" t="s">
        <v>16</v>
      </c>
      <c r="B2335">
        <v>487594</v>
      </c>
      <c r="C2335">
        <v>16</v>
      </c>
      <c r="D2335">
        <v>30</v>
      </c>
      <c r="E2335">
        <v>56</v>
      </c>
      <c r="F2335">
        <v>3</v>
      </c>
      <c r="G2335">
        <v>0</v>
      </c>
      <c r="H2335">
        <v>25</v>
      </c>
      <c r="I2335">
        <v>710</v>
      </c>
      <c r="J2335">
        <v>660</v>
      </c>
      <c r="K2335">
        <v>7.1630000000000003</v>
      </c>
      <c r="L2335">
        <v>10.033000000000001</v>
      </c>
      <c r="M2335">
        <v>50.936500000000002</v>
      </c>
      <c r="N2335">
        <v>10.42</v>
      </c>
      <c r="O2335">
        <v>1640</v>
      </c>
      <c r="P2335">
        <v>455</v>
      </c>
      <c r="Q2335" s="5" t="e">
        <f>IF(AND(#REF!&gt;=table!$C$6,#REF!&lt;= table!$D$6),-1,IF(AND(#REF!&gt;=table!$E$6,#REF!&lt;=table!$F$6),1,0))</f>
        <v>#REF!</v>
      </c>
      <c r="R2335" s="5" t="e">
        <f>IF(AND(#REF!&gt;=table!$C$7,#REF!&lt;= table!$D$7),-1,IF(AND(#REF!&gt;=table!$E$7,#REF!&lt;=table!$F$7),1,0))</f>
        <v>#REF!</v>
      </c>
      <c r="S2335" s="5" t="e">
        <f>IF(AND(#REF!&gt;=table!$C$8,#REF!&lt;= table!$D$8),-1,IF(AND(#REF!&gt;=table!$E$8,#REF!&lt;=table!$F$8),1,0))</f>
        <v>#REF!</v>
      </c>
      <c r="T2335" s="5"/>
      <c r="U2335" s="5" t="e">
        <f>IF(AND(#REF!&gt;=table!$C$10,#REF!&lt;= table!$D$10),-1,IF(AND(#REF!&gt;=table!$E$10,#REF!&lt;=table!$F$10),1,0))</f>
        <v>#REF!</v>
      </c>
      <c r="V2335" s="5" t="e">
        <f>IF(AND(#REF!&gt;=table!$C$11,#REF!&lt;= table!$D$11),-1,IF(AND(#REF!&gt;=table!$E$11,#REF!&lt;=table!$F$11),1,0))</f>
        <v>#REF!</v>
      </c>
      <c r="W2335" s="5" t="e">
        <f>CONCATENATE(dados[[#This Row],[fator1]],dados[[#This Row],[fator5]],dados[[#This Row],[fator6]])</f>
        <v>#REF!</v>
      </c>
    </row>
    <row r="2336" spans="1:23">
      <c r="A2336" t="s">
        <v>16</v>
      </c>
      <c r="B2336">
        <v>487595</v>
      </c>
      <c r="C2336">
        <v>16</v>
      </c>
      <c r="D2336">
        <v>30</v>
      </c>
      <c r="E2336">
        <v>56</v>
      </c>
      <c r="F2336">
        <v>3</v>
      </c>
      <c r="G2336">
        <v>0</v>
      </c>
      <c r="H2336">
        <v>25</v>
      </c>
      <c r="I2336">
        <v>1070</v>
      </c>
      <c r="J2336">
        <v>0</v>
      </c>
      <c r="K2336">
        <v>6.0090000000000003</v>
      </c>
      <c r="L2336">
        <v>5.9750000000000005</v>
      </c>
      <c r="M2336">
        <v>46.71</v>
      </c>
      <c r="N2336">
        <v>12.14</v>
      </c>
      <c r="O2336">
        <v>1651</v>
      </c>
      <c r="P2336">
        <v>678</v>
      </c>
      <c r="Q2336" s="5" t="e">
        <f>IF(AND(#REF!&gt;=table!$C$6,#REF!&lt;= table!$D$6),-1,IF(AND(#REF!&gt;=table!$E$6,#REF!&lt;=table!$F$6),1,0))</f>
        <v>#REF!</v>
      </c>
      <c r="R2336" s="5" t="e">
        <f>IF(AND(#REF!&gt;=table!$C$7,#REF!&lt;= table!$D$7),-1,IF(AND(#REF!&gt;=table!$E$7,#REF!&lt;=table!$F$7),1,0))</f>
        <v>#REF!</v>
      </c>
      <c r="S2336" s="5" t="e">
        <f>IF(AND(#REF!&gt;=table!$C$8,#REF!&lt;= table!$D$8),-1,IF(AND(#REF!&gt;=table!$E$8,#REF!&lt;=table!$F$8),1,0))</f>
        <v>#REF!</v>
      </c>
      <c r="T2336" s="5"/>
      <c r="U2336" s="5" t="e">
        <f>IF(AND(#REF!&gt;=table!$C$10,#REF!&lt;= table!$D$10),-1,IF(AND(#REF!&gt;=table!$E$10,#REF!&lt;=table!$F$10),1,0))</f>
        <v>#REF!</v>
      </c>
      <c r="V2336" s="5" t="e">
        <f>IF(AND(#REF!&gt;=table!$C$11,#REF!&lt;= table!$D$11),-1,IF(AND(#REF!&gt;=table!$E$11,#REF!&lt;=table!$F$11),1,0))</f>
        <v>#REF!</v>
      </c>
      <c r="W2336" s="5" t="e">
        <f>CONCATENATE(dados[[#This Row],[fator1]],dados[[#This Row],[fator5]],dados[[#This Row],[fator6]])</f>
        <v>#REF!</v>
      </c>
    </row>
    <row r="2337" spans="1:23">
      <c r="A2337" t="s">
        <v>16</v>
      </c>
      <c r="B2337">
        <v>487609</v>
      </c>
      <c r="C2337">
        <v>0.1</v>
      </c>
      <c r="D2337">
        <v>40</v>
      </c>
      <c r="E2337">
        <v>10</v>
      </c>
      <c r="F2337">
        <v>8</v>
      </c>
      <c r="G2337">
        <v>0</v>
      </c>
      <c r="H2337">
        <v>10</v>
      </c>
      <c r="I2337">
        <v>1131</v>
      </c>
      <c r="J2337">
        <v>0</v>
      </c>
      <c r="K2337">
        <v>4.6565000000000003</v>
      </c>
      <c r="L2337">
        <v>7.5005000000000006</v>
      </c>
      <c r="M2337">
        <v>6.8295000000000003</v>
      </c>
      <c r="N2337">
        <v>9.5449999999999999</v>
      </c>
      <c r="O2337">
        <v>1665</v>
      </c>
      <c r="P2337">
        <v>0</v>
      </c>
      <c r="Q2337" s="5" t="e">
        <f>IF(AND(#REF!&gt;=table!$C$6,#REF!&lt;= table!$D$6),-1,IF(AND(#REF!&gt;=table!$E$6,#REF!&lt;=table!$F$6),1,0))</f>
        <v>#REF!</v>
      </c>
      <c r="R2337" s="5" t="e">
        <f>IF(AND(#REF!&gt;=table!$C$7,#REF!&lt;= table!$D$7),-1,IF(AND(#REF!&gt;=table!$E$7,#REF!&lt;=table!$F$7),1,0))</f>
        <v>#REF!</v>
      </c>
      <c r="S2337" s="5" t="e">
        <f>IF(AND(#REF!&gt;=table!$C$8,#REF!&lt;= table!$D$8),-1,IF(AND(#REF!&gt;=table!$E$8,#REF!&lt;=table!$F$8),1,0))</f>
        <v>#REF!</v>
      </c>
      <c r="T2337" s="5"/>
      <c r="U2337" s="5" t="e">
        <f>IF(AND(#REF!&gt;=table!$C$10,#REF!&lt;= table!$D$10),-1,IF(AND(#REF!&gt;=table!$E$10,#REF!&lt;=table!$F$10),1,0))</f>
        <v>#REF!</v>
      </c>
      <c r="V2337" s="5" t="e">
        <f>IF(AND(#REF!&gt;=table!$C$11,#REF!&lt;= table!$D$11),-1,IF(AND(#REF!&gt;=table!$E$11,#REF!&lt;=table!$F$11),1,0))</f>
        <v>#REF!</v>
      </c>
      <c r="W2337" s="5" t="e">
        <f>CONCATENATE(dados[[#This Row],[fator1]],dados[[#This Row],[fator5]],dados[[#This Row],[fator6]])</f>
        <v>#REF!</v>
      </c>
    </row>
    <row r="2338" spans="1:23">
      <c r="A2338" t="s">
        <v>16</v>
      </c>
      <c r="B2338">
        <v>487610</v>
      </c>
      <c r="C2338">
        <v>0.15</v>
      </c>
      <c r="D2338">
        <v>40</v>
      </c>
      <c r="E2338">
        <v>10</v>
      </c>
      <c r="F2338">
        <v>15</v>
      </c>
      <c r="G2338">
        <v>0</v>
      </c>
      <c r="H2338">
        <v>15</v>
      </c>
      <c r="I2338">
        <v>1473</v>
      </c>
      <c r="J2338">
        <v>0</v>
      </c>
      <c r="K2338">
        <v>12.566500000000001</v>
      </c>
      <c r="L2338">
        <v>7.7375000000000007</v>
      </c>
      <c r="M2338">
        <v>6.7115</v>
      </c>
      <c r="N2338">
        <v>8.5299999999999994</v>
      </c>
      <c r="O2338">
        <v>1648</v>
      </c>
      <c r="P2338">
        <v>461</v>
      </c>
      <c r="Q2338" s="5" t="e">
        <f>IF(AND(#REF!&gt;=table!$C$6,#REF!&lt;= table!$D$6),-1,IF(AND(#REF!&gt;=table!$E$6,#REF!&lt;=table!$F$6),1,0))</f>
        <v>#REF!</v>
      </c>
      <c r="R2338" s="5" t="e">
        <f>IF(AND(#REF!&gt;=table!$C$7,#REF!&lt;= table!$D$7),-1,IF(AND(#REF!&gt;=table!$E$7,#REF!&lt;=table!$F$7),1,0))</f>
        <v>#REF!</v>
      </c>
      <c r="S2338" s="5" t="e">
        <f>IF(AND(#REF!&gt;=table!$C$8,#REF!&lt;= table!$D$8),-1,IF(AND(#REF!&gt;=table!$E$8,#REF!&lt;=table!$F$8),1,0))</f>
        <v>#REF!</v>
      </c>
      <c r="T2338" s="5"/>
      <c r="U2338" s="5" t="e">
        <f>IF(AND(#REF!&gt;=table!$C$10,#REF!&lt;= table!$D$10),-1,IF(AND(#REF!&gt;=table!$E$10,#REF!&lt;=table!$F$10),1,0))</f>
        <v>#REF!</v>
      </c>
      <c r="V2338" s="5" t="e">
        <f>IF(AND(#REF!&gt;=table!$C$11,#REF!&lt;= table!$D$11),-1,IF(AND(#REF!&gt;=table!$E$11,#REF!&lt;=table!$F$11),1,0))</f>
        <v>#REF!</v>
      </c>
      <c r="W2338" s="5" t="e">
        <f>CONCATENATE(dados[[#This Row],[fator1]],dados[[#This Row],[fator5]],dados[[#This Row],[fator6]])</f>
        <v>#REF!</v>
      </c>
    </row>
    <row r="2339" spans="1:23">
      <c r="A2339" t="s">
        <v>16</v>
      </c>
      <c r="B2339">
        <v>487612</v>
      </c>
      <c r="C2339">
        <v>13</v>
      </c>
      <c r="D2339">
        <v>35</v>
      </c>
      <c r="E2339">
        <v>120</v>
      </c>
      <c r="F2339">
        <v>10</v>
      </c>
      <c r="G2339">
        <v>0</v>
      </c>
      <c r="H2339">
        <v>25</v>
      </c>
      <c r="I2339">
        <v>1014</v>
      </c>
      <c r="J2339">
        <v>0</v>
      </c>
      <c r="K2339">
        <v>3.7475000000000001</v>
      </c>
      <c r="L2339">
        <v>7.8425000000000002</v>
      </c>
      <c r="M2339">
        <v>108.214</v>
      </c>
      <c r="N2339">
        <v>16.835000000000001</v>
      </c>
      <c r="O2339">
        <v>1664</v>
      </c>
      <c r="P2339">
        <v>1088</v>
      </c>
      <c r="Q2339" s="5" t="e">
        <f>IF(AND(#REF!&gt;=table!$C$6,#REF!&lt;= table!$D$6),-1,IF(AND(#REF!&gt;=table!$E$6,#REF!&lt;=table!$F$6),1,0))</f>
        <v>#REF!</v>
      </c>
      <c r="R2339" s="5" t="e">
        <f>IF(AND(#REF!&gt;=table!$C$7,#REF!&lt;= table!$D$7),-1,IF(AND(#REF!&gt;=table!$E$7,#REF!&lt;=table!$F$7),1,0))</f>
        <v>#REF!</v>
      </c>
      <c r="S2339" s="5" t="e">
        <f>IF(AND(#REF!&gt;=table!$C$8,#REF!&lt;= table!$D$8),-1,IF(AND(#REF!&gt;=table!$E$8,#REF!&lt;=table!$F$8),1,0))</f>
        <v>#REF!</v>
      </c>
      <c r="T2339" s="5"/>
      <c r="U2339" s="5" t="e">
        <f>IF(AND(#REF!&gt;=table!$C$10,#REF!&lt;= table!$D$10),-1,IF(AND(#REF!&gt;=table!$E$10,#REF!&lt;=table!$F$10),1,0))</f>
        <v>#REF!</v>
      </c>
      <c r="V2339" s="5" t="e">
        <f>IF(AND(#REF!&gt;=table!$C$11,#REF!&lt;= table!$D$11),-1,IF(AND(#REF!&gt;=table!$E$11,#REF!&lt;=table!$F$11),1,0))</f>
        <v>#REF!</v>
      </c>
      <c r="W2339" s="5" t="e">
        <f>CONCATENATE(dados[[#This Row],[fator1]],dados[[#This Row],[fator5]],dados[[#This Row],[fator6]])</f>
        <v>#REF!</v>
      </c>
    </row>
    <row r="2340" spans="1:23">
      <c r="A2340" t="s">
        <v>16</v>
      </c>
      <c r="B2340">
        <v>487615</v>
      </c>
      <c r="C2340">
        <v>12</v>
      </c>
      <c r="D2340">
        <v>35</v>
      </c>
      <c r="E2340">
        <v>86</v>
      </c>
      <c r="F2340">
        <v>10</v>
      </c>
      <c r="G2340">
        <v>0</v>
      </c>
      <c r="H2340">
        <v>25</v>
      </c>
      <c r="I2340">
        <v>996</v>
      </c>
      <c r="J2340">
        <v>680</v>
      </c>
      <c r="K2340">
        <v>6.0150000000000006</v>
      </c>
      <c r="L2340">
        <v>5.5245000000000006</v>
      </c>
      <c r="M2340">
        <v>50.234500000000004</v>
      </c>
      <c r="N2340">
        <v>9.4600000000000009</v>
      </c>
      <c r="O2340">
        <v>1632</v>
      </c>
      <c r="P2340">
        <v>578</v>
      </c>
      <c r="Q2340" s="5" t="e">
        <f>IF(AND(#REF!&gt;=table!$C$6,#REF!&lt;= table!$D$6),-1,IF(AND(#REF!&gt;=table!$E$6,#REF!&lt;=table!$F$6),1,0))</f>
        <v>#REF!</v>
      </c>
      <c r="R2340" s="5" t="e">
        <f>IF(AND(#REF!&gt;=table!$C$7,#REF!&lt;= table!$D$7),-1,IF(AND(#REF!&gt;=table!$E$7,#REF!&lt;=table!$F$7),1,0))</f>
        <v>#REF!</v>
      </c>
      <c r="S2340" s="5" t="e">
        <f>IF(AND(#REF!&gt;=table!$C$8,#REF!&lt;= table!$D$8),-1,IF(AND(#REF!&gt;=table!$E$8,#REF!&lt;=table!$F$8),1,0))</f>
        <v>#REF!</v>
      </c>
      <c r="T2340" s="5"/>
      <c r="U2340" s="5" t="e">
        <f>IF(AND(#REF!&gt;=table!$C$10,#REF!&lt;= table!$D$10),-1,IF(AND(#REF!&gt;=table!$E$10,#REF!&lt;=table!$F$10),1,0))</f>
        <v>#REF!</v>
      </c>
      <c r="V2340" s="5" t="e">
        <f>IF(AND(#REF!&gt;=table!$C$11,#REF!&lt;= table!$D$11),-1,IF(AND(#REF!&gt;=table!$E$11,#REF!&lt;=table!$F$11),1,0))</f>
        <v>#REF!</v>
      </c>
      <c r="W2340" s="5" t="e">
        <f>CONCATENATE(dados[[#This Row],[fator1]],dados[[#This Row],[fator5]],dados[[#This Row],[fator6]])</f>
        <v>#REF!</v>
      </c>
    </row>
    <row r="2341" spans="1:23">
      <c r="A2341" t="s">
        <v>16</v>
      </c>
      <c r="B2341">
        <v>487616</v>
      </c>
      <c r="C2341">
        <v>12</v>
      </c>
      <c r="D2341">
        <v>35</v>
      </c>
      <c r="E2341">
        <v>86</v>
      </c>
      <c r="F2341">
        <v>10</v>
      </c>
      <c r="G2341">
        <v>0</v>
      </c>
      <c r="H2341">
        <v>25</v>
      </c>
      <c r="I2341">
        <v>0</v>
      </c>
      <c r="J2341">
        <v>1020</v>
      </c>
      <c r="K2341">
        <v>4.0600000000000005</v>
      </c>
      <c r="L2341">
        <v>13.008500000000002</v>
      </c>
      <c r="M2341">
        <v>56.874500000000005</v>
      </c>
      <c r="N2341">
        <v>13.525</v>
      </c>
      <c r="O2341">
        <v>1653</v>
      </c>
      <c r="P2341">
        <v>715</v>
      </c>
      <c r="Q2341" s="5" t="e">
        <f>IF(AND(#REF!&gt;=table!$C$6,#REF!&lt;= table!$D$6),-1,IF(AND(#REF!&gt;=table!$E$6,#REF!&lt;=table!$F$6),1,0))</f>
        <v>#REF!</v>
      </c>
      <c r="R2341" s="5" t="e">
        <f>IF(AND(#REF!&gt;=table!$C$7,#REF!&lt;= table!$D$7),-1,IF(AND(#REF!&gt;=table!$E$7,#REF!&lt;=table!$F$7),1,0))</f>
        <v>#REF!</v>
      </c>
      <c r="S2341" s="5" t="e">
        <f>IF(AND(#REF!&gt;=table!$C$8,#REF!&lt;= table!$D$8),-1,IF(AND(#REF!&gt;=table!$E$8,#REF!&lt;=table!$F$8),1,0))</f>
        <v>#REF!</v>
      </c>
      <c r="T2341" s="5"/>
      <c r="U2341" s="5" t="e">
        <f>IF(AND(#REF!&gt;=table!$C$10,#REF!&lt;= table!$D$10),-1,IF(AND(#REF!&gt;=table!$E$10,#REF!&lt;=table!$F$10),1,0))</f>
        <v>#REF!</v>
      </c>
      <c r="V2341" s="5" t="e">
        <f>IF(AND(#REF!&gt;=table!$C$11,#REF!&lt;= table!$D$11),-1,IF(AND(#REF!&gt;=table!$E$11,#REF!&lt;=table!$F$11),1,0))</f>
        <v>#REF!</v>
      </c>
      <c r="W2341" s="5" t="e">
        <f>CONCATENATE(dados[[#This Row],[fator1]],dados[[#This Row],[fator5]],dados[[#This Row],[fator6]])</f>
        <v>#REF!</v>
      </c>
    </row>
    <row r="2342" spans="1:23">
      <c r="A2342" t="s">
        <v>16</v>
      </c>
      <c r="B2342">
        <v>487618</v>
      </c>
      <c r="C2342">
        <v>0.2</v>
      </c>
      <c r="D2342">
        <v>65</v>
      </c>
      <c r="E2342">
        <v>26</v>
      </c>
      <c r="F2342">
        <v>15</v>
      </c>
      <c r="G2342">
        <v>0</v>
      </c>
      <c r="H2342">
        <v>30</v>
      </c>
      <c r="I2342">
        <v>1102</v>
      </c>
      <c r="J2342">
        <v>0</v>
      </c>
      <c r="K2342">
        <v>5.1595000000000004</v>
      </c>
      <c r="L2342">
        <v>8.8940000000000001</v>
      </c>
      <c r="M2342">
        <v>8.4075000000000006</v>
      </c>
      <c r="N2342">
        <v>12.38</v>
      </c>
      <c r="O2342">
        <v>1676</v>
      </c>
      <c r="P2342">
        <v>0</v>
      </c>
      <c r="Q2342" s="5" t="e">
        <f>IF(AND(#REF!&gt;=table!$C$6,#REF!&lt;= table!$D$6),-1,IF(AND(#REF!&gt;=table!$E$6,#REF!&lt;=table!$F$6),1,0))</f>
        <v>#REF!</v>
      </c>
      <c r="R2342" s="5" t="e">
        <f>IF(AND(#REF!&gt;=table!$C$7,#REF!&lt;= table!$D$7),-1,IF(AND(#REF!&gt;=table!$E$7,#REF!&lt;=table!$F$7),1,0))</f>
        <v>#REF!</v>
      </c>
      <c r="S2342" s="5" t="e">
        <f>IF(AND(#REF!&gt;=table!$C$8,#REF!&lt;= table!$D$8),-1,IF(AND(#REF!&gt;=table!$E$8,#REF!&lt;=table!$F$8),1,0))</f>
        <v>#REF!</v>
      </c>
      <c r="T2342" s="5"/>
      <c r="U2342" s="5" t="e">
        <f>IF(AND(#REF!&gt;=table!$C$10,#REF!&lt;= table!$D$10),-1,IF(AND(#REF!&gt;=table!$E$10,#REF!&lt;=table!$F$10),1,0))</f>
        <v>#REF!</v>
      </c>
      <c r="V2342" s="5" t="e">
        <f>IF(AND(#REF!&gt;=table!$C$11,#REF!&lt;= table!$D$11),-1,IF(AND(#REF!&gt;=table!$E$11,#REF!&lt;=table!$F$11),1,0))</f>
        <v>#REF!</v>
      </c>
      <c r="W2342" s="5" t="e">
        <f>CONCATENATE(dados[[#This Row],[fator1]],dados[[#This Row],[fator5]],dados[[#This Row],[fator6]])</f>
        <v>#REF!</v>
      </c>
    </row>
    <row r="2343" spans="1:23">
      <c r="A2343" t="s">
        <v>16</v>
      </c>
      <c r="B2343">
        <v>487621</v>
      </c>
      <c r="C2343">
        <v>0.23</v>
      </c>
      <c r="D2343">
        <v>65</v>
      </c>
      <c r="E2343">
        <v>26</v>
      </c>
      <c r="F2343">
        <v>15</v>
      </c>
      <c r="G2343">
        <v>0</v>
      </c>
      <c r="H2343">
        <v>35</v>
      </c>
      <c r="I2343">
        <v>1</v>
      </c>
      <c r="J2343">
        <v>0</v>
      </c>
      <c r="K2343">
        <v>9.0380000000000003</v>
      </c>
      <c r="L2343">
        <v>14.410500000000001</v>
      </c>
      <c r="M2343">
        <v>12.859</v>
      </c>
      <c r="N2343">
        <v>19.55</v>
      </c>
      <c r="O2343">
        <v>1677</v>
      </c>
      <c r="P2343">
        <v>0</v>
      </c>
      <c r="Q2343" s="5" t="e">
        <f>IF(AND(#REF!&gt;=table!$C$6,#REF!&lt;= table!$D$6),-1,IF(AND(#REF!&gt;=table!$E$6,#REF!&lt;=table!$F$6),1,0))</f>
        <v>#REF!</v>
      </c>
      <c r="R2343" s="5" t="e">
        <f>IF(AND(#REF!&gt;=table!$C$7,#REF!&lt;= table!$D$7),-1,IF(AND(#REF!&gt;=table!$E$7,#REF!&lt;=table!$F$7),1,0))</f>
        <v>#REF!</v>
      </c>
      <c r="S2343" s="5" t="e">
        <f>IF(AND(#REF!&gt;=table!$C$8,#REF!&lt;= table!$D$8),-1,IF(AND(#REF!&gt;=table!$E$8,#REF!&lt;=table!$F$8),1,0))</f>
        <v>#REF!</v>
      </c>
      <c r="T2343" s="5"/>
      <c r="U2343" s="5" t="e">
        <f>IF(AND(#REF!&gt;=table!$C$10,#REF!&lt;= table!$D$10),-1,IF(AND(#REF!&gt;=table!$E$10,#REF!&lt;=table!$F$10),1,0))</f>
        <v>#REF!</v>
      </c>
      <c r="V2343" s="5" t="e">
        <f>IF(AND(#REF!&gt;=table!$C$11,#REF!&lt;= table!$D$11),-1,IF(AND(#REF!&gt;=table!$E$11,#REF!&lt;=table!$F$11),1,0))</f>
        <v>#REF!</v>
      </c>
      <c r="W2343" s="5" t="e">
        <f>CONCATENATE(dados[[#This Row],[fator1]],dados[[#This Row],[fator5]],dados[[#This Row],[fator6]])</f>
        <v>#REF!</v>
      </c>
    </row>
    <row r="2344" spans="1:23">
      <c r="A2344" t="s">
        <v>16</v>
      </c>
      <c r="B2344">
        <v>487633</v>
      </c>
      <c r="C2344">
        <v>10</v>
      </c>
      <c r="D2344">
        <v>45</v>
      </c>
      <c r="E2344">
        <v>156</v>
      </c>
      <c r="F2344">
        <v>8</v>
      </c>
      <c r="G2344">
        <v>0</v>
      </c>
      <c r="H2344">
        <v>25</v>
      </c>
      <c r="I2344">
        <v>27</v>
      </c>
      <c r="J2344">
        <v>0</v>
      </c>
      <c r="K2344">
        <v>7.6074999999999999</v>
      </c>
      <c r="L2344">
        <v>13.630500000000001</v>
      </c>
      <c r="M2344">
        <v>118.16600000000001</v>
      </c>
      <c r="N2344">
        <v>14.665000000000001</v>
      </c>
      <c r="O2344">
        <v>1653</v>
      </c>
      <c r="P2344">
        <v>445</v>
      </c>
      <c r="Q2344" s="5" t="e">
        <f>IF(AND(#REF!&gt;=table!$C$6,#REF!&lt;= table!$D$6),-1,IF(AND(#REF!&gt;=table!$E$6,#REF!&lt;=table!$F$6),1,0))</f>
        <v>#REF!</v>
      </c>
      <c r="R2344" s="5" t="e">
        <f>IF(AND(#REF!&gt;=table!$C$7,#REF!&lt;= table!$D$7),-1,IF(AND(#REF!&gt;=table!$E$7,#REF!&lt;=table!$F$7),1,0))</f>
        <v>#REF!</v>
      </c>
      <c r="S2344" s="5" t="e">
        <f>IF(AND(#REF!&gt;=table!$C$8,#REF!&lt;= table!$D$8),-1,IF(AND(#REF!&gt;=table!$E$8,#REF!&lt;=table!$F$8),1,0))</f>
        <v>#REF!</v>
      </c>
      <c r="T2344" s="5"/>
      <c r="U2344" s="5" t="e">
        <f>IF(AND(#REF!&gt;=table!$C$10,#REF!&lt;= table!$D$10),-1,IF(AND(#REF!&gt;=table!$E$10,#REF!&lt;=table!$F$10),1,0))</f>
        <v>#REF!</v>
      </c>
      <c r="V2344" s="5" t="e">
        <f>IF(AND(#REF!&gt;=table!$C$11,#REF!&lt;= table!$D$11),-1,IF(AND(#REF!&gt;=table!$E$11,#REF!&lt;=table!$F$11),1,0))</f>
        <v>#REF!</v>
      </c>
      <c r="W2344" s="5" t="e">
        <f>CONCATENATE(dados[[#This Row],[fator1]],dados[[#This Row],[fator5]],dados[[#This Row],[fator6]])</f>
        <v>#REF!</v>
      </c>
    </row>
    <row r="2345" spans="1:23">
      <c r="A2345" t="s">
        <v>16</v>
      </c>
      <c r="B2345">
        <v>487635</v>
      </c>
      <c r="C2345">
        <v>10</v>
      </c>
      <c r="D2345">
        <v>40</v>
      </c>
      <c r="E2345">
        <v>136</v>
      </c>
      <c r="F2345">
        <v>6</v>
      </c>
      <c r="G2345">
        <v>0</v>
      </c>
      <c r="H2345">
        <v>25</v>
      </c>
      <c r="I2345">
        <v>2</v>
      </c>
      <c r="J2345">
        <v>0</v>
      </c>
      <c r="K2345">
        <v>5.0230000000000006</v>
      </c>
      <c r="L2345">
        <v>12.821</v>
      </c>
      <c r="M2345">
        <v>125.23100000000001</v>
      </c>
      <c r="N2345">
        <v>16.27</v>
      </c>
      <c r="O2345">
        <v>1675</v>
      </c>
      <c r="P2345">
        <v>790</v>
      </c>
      <c r="Q2345" s="5" t="e">
        <f>IF(AND(#REF!&gt;=table!$C$6,#REF!&lt;= table!$D$6),-1,IF(AND(#REF!&gt;=table!$E$6,#REF!&lt;=table!$F$6),1,0))</f>
        <v>#REF!</v>
      </c>
      <c r="R2345" s="5" t="e">
        <f>IF(AND(#REF!&gt;=table!$C$7,#REF!&lt;= table!$D$7),-1,IF(AND(#REF!&gt;=table!$E$7,#REF!&lt;=table!$F$7),1,0))</f>
        <v>#REF!</v>
      </c>
      <c r="S2345" s="5" t="e">
        <f>IF(AND(#REF!&gt;=table!$C$8,#REF!&lt;= table!$D$8),-1,IF(AND(#REF!&gt;=table!$E$8,#REF!&lt;=table!$F$8),1,0))</f>
        <v>#REF!</v>
      </c>
      <c r="T2345" s="5"/>
      <c r="U2345" s="5" t="e">
        <f>IF(AND(#REF!&gt;=table!$C$10,#REF!&lt;= table!$D$10),-1,IF(AND(#REF!&gt;=table!$E$10,#REF!&lt;=table!$F$10),1,0))</f>
        <v>#REF!</v>
      </c>
      <c r="V2345" s="5" t="e">
        <f>IF(AND(#REF!&gt;=table!$C$11,#REF!&lt;= table!$D$11),-1,IF(AND(#REF!&gt;=table!$E$11,#REF!&lt;=table!$F$11),1,0))</f>
        <v>#REF!</v>
      </c>
      <c r="W2345" s="5" t="e">
        <f>CONCATENATE(dados[[#This Row],[fator1]],dados[[#This Row],[fator5]],dados[[#This Row],[fator6]])</f>
        <v>#REF!</v>
      </c>
    </row>
    <row r="2346" spans="1:23">
      <c r="A2346" t="s">
        <v>17</v>
      </c>
      <c r="B2346">
        <v>487643</v>
      </c>
      <c r="C2346">
        <v>10</v>
      </c>
      <c r="D2346">
        <v>25</v>
      </c>
      <c r="E2346">
        <v>40</v>
      </c>
      <c r="F2346">
        <v>10</v>
      </c>
      <c r="G2346">
        <v>110</v>
      </c>
      <c r="H2346">
        <v>50</v>
      </c>
      <c r="I2346">
        <v>431</v>
      </c>
      <c r="J2346">
        <v>0</v>
      </c>
      <c r="K2346">
        <v>4.1660000000000004</v>
      </c>
      <c r="L2346">
        <v>8.1300000000000008</v>
      </c>
      <c r="M2346">
        <v>35.526000000000003</v>
      </c>
      <c r="N2346">
        <v>28.5</v>
      </c>
      <c r="O2346">
        <v>1635</v>
      </c>
      <c r="P2346">
        <v>571</v>
      </c>
      <c r="Q2346" s="5" t="e">
        <f>IF(AND(#REF!&gt;=table!$C$6,#REF!&lt;= table!$D$6),-1,IF(AND(#REF!&gt;=table!$E$6,#REF!&lt;=table!$F$6),1,0))</f>
        <v>#REF!</v>
      </c>
      <c r="R2346" s="5" t="e">
        <f>IF(AND(#REF!&gt;=table!$C$7,#REF!&lt;= table!$D$7),-1,IF(AND(#REF!&gt;=table!$E$7,#REF!&lt;=table!$F$7),1,0))</f>
        <v>#REF!</v>
      </c>
      <c r="S2346" s="5" t="e">
        <f>IF(AND(#REF!&gt;=table!$C$8,#REF!&lt;= table!$D$8),-1,IF(AND(#REF!&gt;=table!$E$8,#REF!&lt;=table!$F$8),1,0))</f>
        <v>#REF!</v>
      </c>
      <c r="T2346" s="5"/>
      <c r="U2346" s="5" t="e">
        <f>IF(AND(#REF!&gt;=table!$C$10,#REF!&lt;= table!$D$10),-1,IF(AND(#REF!&gt;=table!$E$10,#REF!&lt;=table!$F$10),1,0))</f>
        <v>#REF!</v>
      </c>
      <c r="V2346" s="5" t="e">
        <f>IF(AND(#REF!&gt;=table!$C$11,#REF!&lt;= table!$D$11),-1,IF(AND(#REF!&gt;=table!$E$11,#REF!&lt;=table!$F$11),1,0))</f>
        <v>#REF!</v>
      </c>
      <c r="W2346" s="5" t="e">
        <f>CONCATENATE(dados[[#This Row],[fator1]],dados[[#This Row],[fator5]],dados[[#This Row],[fator6]])</f>
        <v>#REF!</v>
      </c>
    </row>
    <row r="2347" spans="1:23">
      <c r="A2347" t="s">
        <v>17</v>
      </c>
      <c r="B2347">
        <v>487645</v>
      </c>
      <c r="C2347">
        <v>4</v>
      </c>
      <c r="D2347">
        <v>25</v>
      </c>
      <c r="E2347">
        <v>21</v>
      </c>
      <c r="F2347">
        <v>10</v>
      </c>
      <c r="G2347">
        <v>110</v>
      </c>
      <c r="H2347">
        <v>50</v>
      </c>
      <c r="I2347">
        <v>0</v>
      </c>
      <c r="J2347">
        <v>0</v>
      </c>
      <c r="K2347">
        <v>2.6005000000000003</v>
      </c>
      <c r="L2347">
        <v>5.2275</v>
      </c>
      <c r="M2347">
        <v>17.621500000000001</v>
      </c>
      <c r="N2347">
        <v>35.435000000000002</v>
      </c>
      <c r="O2347">
        <v>1670</v>
      </c>
      <c r="P2347">
        <v>0</v>
      </c>
      <c r="Q2347" s="5" t="e">
        <f>IF(AND(#REF!&gt;=table!$C$6,#REF!&lt;= table!$D$6),-1,IF(AND(#REF!&gt;=table!$E$6,#REF!&lt;=table!$F$6),1,0))</f>
        <v>#REF!</v>
      </c>
      <c r="R2347" s="5" t="e">
        <f>IF(AND(#REF!&gt;=table!$C$7,#REF!&lt;= table!$D$7),-1,IF(AND(#REF!&gt;=table!$E$7,#REF!&lt;=table!$F$7),1,0))</f>
        <v>#REF!</v>
      </c>
      <c r="S2347" s="5" t="e">
        <f>IF(AND(#REF!&gt;=table!$C$8,#REF!&lt;= table!$D$8),-1,IF(AND(#REF!&gt;=table!$E$8,#REF!&lt;=table!$F$8),1,0))</f>
        <v>#REF!</v>
      </c>
      <c r="T2347" s="5"/>
      <c r="U2347" s="5" t="e">
        <f>IF(AND(#REF!&gt;=table!$C$10,#REF!&lt;= table!$D$10),-1,IF(AND(#REF!&gt;=table!$E$10,#REF!&lt;=table!$F$10),1,0))</f>
        <v>#REF!</v>
      </c>
      <c r="V2347" s="5" t="e">
        <f>IF(AND(#REF!&gt;=table!$C$11,#REF!&lt;= table!$D$11),-1,IF(AND(#REF!&gt;=table!$E$11,#REF!&lt;=table!$F$11),1,0))</f>
        <v>#REF!</v>
      </c>
      <c r="W2347" s="5" t="e">
        <f>CONCATENATE(dados[[#This Row],[fator1]],dados[[#This Row],[fator5]],dados[[#This Row],[fator6]])</f>
        <v>#REF!</v>
      </c>
    </row>
    <row r="2348" spans="1:23">
      <c r="A2348" t="s">
        <v>16</v>
      </c>
      <c r="B2348">
        <v>487646</v>
      </c>
      <c r="C2348">
        <v>0.15</v>
      </c>
      <c r="D2348">
        <v>40</v>
      </c>
      <c r="E2348">
        <v>64</v>
      </c>
      <c r="F2348">
        <v>10</v>
      </c>
      <c r="G2348">
        <v>0</v>
      </c>
      <c r="H2348">
        <v>35</v>
      </c>
      <c r="I2348">
        <v>884</v>
      </c>
      <c r="J2348">
        <v>0</v>
      </c>
      <c r="K2348">
        <v>3.802</v>
      </c>
      <c r="L2348">
        <v>8.2970000000000006</v>
      </c>
      <c r="M2348">
        <v>7.3640000000000008</v>
      </c>
      <c r="N2348">
        <v>13.93</v>
      </c>
      <c r="O2348">
        <v>1669</v>
      </c>
      <c r="P2348">
        <v>0</v>
      </c>
      <c r="Q2348" s="5" t="e">
        <f>IF(AND(#REF!&gt;=table!$C$6,#REF!&lt;= table!$D$6),-1,IF(AND(#REF!&gt;=table!$E$6,#REF!&lt;=table!$F$6),1,0))</f>
        <v>#REF!</v>
      </c>
      <c r="R2348" s="5" t="e">
        <f>IF(AND(#REF!&gt;=table!$C$7,#REF!&lt;= table!$D$7),-1,IF(AND(#REF!&gt;=table!$E$7,#REF!&lt;=table!$F$7),1,0))</f>
        <v>#REF!</v>
      </c>
      <c r="S2348" s="5" t="e">
        <f>IF(AND(#REF!&gt;=table!$C$8,#REF!&lt;= table!$D$8),-1,IF(AND(#REF!&gt;=table!$E$8,#REF!&lt;=table!$F$8),1,0))</f>
        <v>#REF!</v>
      </c>
      <c r="T2348" s="5"/>
      <c r="U2348" s="5" t="e">
        <f>IF(AND(#REF!&gt;=table!$C$10,#REF!&lt;= table!$D$10),-1,IF(AND(#REF!&gt;=table!$E$10,#REF!&lt;=table!$F$10),1,0))</f>
        <v>#REF!</v>
      </c>
      <c r="V2348" s="5" t="e">
        <f>IF(AND(#REF!&gt;=table!$C$11,#REF!&lt;= table!$D$11),-1,IF(AND(#REF!&gt;=table!$E$11,#REF!&lt;=table!$F$11),1,0))</f>
        <v>#REF!</v>
      </c>
      <c r="W2348" s="5" t="e">
        <f>CONCATENATE(dados[[#This Row],[fator1]],dados[[#This Row],[fator5]],dados[[#This Row],[fator6]])</f>
        <v>#REF!</v>
      </c>
    </row>
    <row r="2349" spans="1:23">
      <c r="A2349" t="s">
        <v>16</v>
      </c>
      <c r="B2349">
        <v>487648</v>
      </c>
      <c r="C2349">
        <v>0.15</v>
      </c>
      <c r="D2349">
        <v>40</v>
      </c>
      <c r="E2349">
        <v>64</v>
      </c>
      <c r="F2349">
        <v>10</v>
      </c>
      <c r="G2349">
        <v>0</v>
      </c>
      <c r="H2349">
        <v>35</v>
      </c>
      <c r="I2349">
        <v>1043</v>
      </c>
      <c r="J2349">
        <v>610</v>
      </c>
      <c r="K2349">
        <v>3.8055000000000003</v>
      </c>
      <c r="L2349">
        <v>8.8834999999999997</v>
      </c>
      <c r="M2349">
        <v>5.6715</v>
      </c>
      <c r="N2349">
        <v>10.53</v>
      </c>
      <c r="O2349">
        <v>1678</v>
      </c>
      <c r="P2349">
        <v>900</v>
      </c>
      <c r="Q2349" s="5" t="e">
        <f>IF(AND(#REF!&gt;=table!$C$6,#REF!&lt;= table!$D$6),-1,IF(AND(#REF!&gt;=table!$E$6,#REF!&lt;=table!$F$6),1,0))</f>
        <v>#REF!</v>
      </c>
      <c r="R2349" s="5" t="e">
        <f>IF(AND(#REF!&gt;=table!$C$7,#REF!&lt;= table!$D$7),-1,IF(AND(#REF!&gt;=table!$E$7,#REF!&lt;=table!$F$7),1,0))</f>
        <v>#REF!</v>
      </c>
      <c r="S2349" s="5" t="e">
        <f>IF(AND(#REF!&gt;=table!$C$8,#REF!&lt;= table!$D$8),-1,IF(AND(#REF!&gt;=table!$E$8,#REF!&lt;=table!$F$8),1,0))</f>
        <v>#REF!</v>
      </c>
      <c r="T2349" s="5"/>
      <c r="U2349" s="5" t="e">
        <f>IF(AND(#REF!&gt;=table!$C$10,#REF!&lt;= table!$D$10),-1,IF(AND(#REF!&gt;=table!$E$10,#REF!&lt;=table!$F$10),1,0))</f>
        <v>#REF!</v>
      </c>
      <c r="V2349" s="5" t="e">
        <f>IF(AND(#REF!&gt;=table!$C$11,#REF!&lt;= table!$D$11),-1,IF(AND(#REF!&gt;=table!$E$11,#REF!&lt;=table!$F$11),1,0))</f>
        <v>#REF!</v>
      </c>
      <c r="W2349" s="5" t="e">
        <f>CONCATENATE(dados[[#This Row],[fator1]],dados[[#This Row],[fator5]],dados[[#This Row],[fator6]])</f>
        <v>#REF!</v>
      </c>
    </row>
    <row r="2350" spans="1:23">
      <c r="A2350" t="s">
        <v>16</v>
      </c>
      <c r="B2350">
        <v>487655</v>
      </c>
      <c r="C2350">
        <v>0.15</v>
      </c>
      <c r="D2350">
        <v>40</v>
      </c>
      <c r="E2350">
        <v>10</v>
      </c>
      <c r="F2350">
        <v>15</v>
      </c>
      <c r="G2350">
        <v>0</v>
      </c>
      <c r="H2350">
        <v>15</v>
      </c>
      <c r="I2350">
        <v>110</v>
      </c>
      <c r="J2350">
        <v>760</v>
      </c>
      <c r="K2350">
        <v>3.8015000000000003</v>
      </c>
      <c r="L2350">
        <v>7.7505000000000006</v>
      </c>
      <c r="M2350">
        <v>5.9584999999999999</v>
      </c>
      <c r="N2350">
        <v>10.27</v>
      </c>
      <c r="O2350">
        <v>1664</v>
      </c>
      <c r="P2350">
        <v>711</v>
      </c>
      <c r="Q2350" s="5" t="e">
        <f>IF(AND(#REF!&gt;=table!$C$6,#REF!&lt;= table!$D$6),-1,IF(AND(#REF!&gt;=table!$E$6,#REF!&lt;=table!$F$6),1,0))</f>
        <v>#REF!</v>
      </c>
      <c r="R2350" s="5" t="e">
        <f>IF(AND(#REF!&gt;=table!$C$7,#REF!&lt;= table!$D$7),-1,IF(AND(#REF!&gt;=table!$E$7,#REF!&lt;=table!$F$7),1,0))</f>
        <v>#REF!</v>
      </c>
      <c r="S2350" s="5" t="e">
        <f>IF(AND(#REF!&gt;=table!$C$8,#REF!&lt;= table!$D$8),-1,IF(AND(#REF!&gt;=table!$E$8,#REF!&lt;=table!$F$8),1,0))</f>
        <v>#REF!</v>
      </c>
      <c r="T2350" s="5"/>
      <c r="U2350" s="5" t="e">
        <f>IF(AND(#REF!&gt;=table!$C$10,#REF!&lt;= table!$D$10),-1,IF(AND(#REF!&gt;=table!$E$10,#REF!&lt;=table!$F$10),1,0))</f>
        <v>#REF!</v>
      </c>
      <c r="V2350" s="5" t="e">
        <f>IF(AND(#REF!&gt;=table!$C$11,#REF!&lt;= table!$D$11),-1,IF(AND(#REF!&gt;=table!$E$11,#REF!&lt;=table!$F$11),1,0))</f>
        <v>#REF!</v>
      </c>
      <c r="W2350" s="5" t="e">
        <f>CONCATENATE(dados[[#This Row],[fator1]],dados[[#This Row],[fator5]],dados[[#This Row],[fator6]])</f>
        <v>#REF!</v>
      </c>
    </row>
    <row r="2351" spans="1:23">
      <c r="A2351" t="s">
        <v>16</v>
      </c>
      <c r="B2351">
        <v>487669</v>
      </c>
      <c r="C2351">
        <v>0.15</v>
      </c>
      <c r="D2351">
        <v>40</v>
      </c>
      <c r="E2351">
        <v>10</v>
      </c>
      <c r="F2351">
        <v>15</v>
      </c>
      <c r="G2351">
        <v>0</v>
      </c>
      <c r="H2351">
        <v>15</v>
      </c>
      <c r="I2351">
        <v>832</v>
      </c>
      <c r="J2351">
        <v>0</v>
      </c>
      <c r="K2351">
        <v>3.4175</v>
      </c>
      <c r="L2351">
        <v>6.1545000000000005</v>
      </c>
      <c r="M2351">
        <v>5.8140000000000001</v>
      </c>
      <c r="N2351">
        <v>8.7650000000000006</v>
      </c>
      <c r="O2351">
        <v>1658</v>
      </c>
      <c r="P2351">
        <v>882</v>
      </c>
      <c r="Q2351" s="5" t="e">
        <f>IF(AND(#REF!&gt;=table!$C$6,#REF!&lt;= table!$D$6),-1,IF(AND(#REF!&gt;=table!$E$6,#REF!&lt;=table!$F$6),1,0))</f>
        <v>#REF!</v>
      </c>
      <c r="R2351" s="5" t="e">
        <f>IF(AND(#REF!&gt;=table!$C$7,#REF!&lt;= table!$D$7),-1,IF(AND(#REF!&gt;=table!$E$7,#REF!&lt;=table!$F$7),1,0))</f>
        <v>#REF!</v>
      </c>
      <c r="S2351" s="5" t="e">
        <f>IF(AND(#REF!&gt;=table!$C$8,#REF!&lt;= table!$D$8),-1,IF(AND(#REF!&gt;=table!$E$8,#REF!&lt;=table!$F$8),1,0))</f>
        <v>#REF!</v>
      </c>
      <c r="T2351" s="5"/>
      <c r="U2351" s="5" t="e">
        <f>IF(AND(#REF!&gt;=table!$C$10,#REF!&lt;= table!$D$10),-1,IF(AND(#REF!&gt;=table!$E$10,#REF!&lt;=table!$F$10),1,0))</f>
        <v>#REF!</v>
      </c>
      <c r="V2351" s="5" t="e">
        <f>IF(AND(#REF!&gt;=table!$C$11,#REF!&lt;= table!$D$11),-1,IF(AND(#REF!&gt;=table!$E$11,#REF!&lt;=table!$F$11),1,0))</f>
        <v>#REF!</v>
      </c>
      <c r="W2351" s="5" t="e">
        <f>CONCATENATE(dados[[#This Row],[fator1]],dados[[#This Row],[fator5]],dados[[#This Row],[fator6]])</f>
        <v>#REF!</v>
      </c>
    </row>
    <row r="2352" spans="1:23">
      <c r="A2352" t="s">
        <v>16</v>
      </c>
      <c r="B2352">
        <v>487671</v>
      </c>
      <c r="C2352">
        <v>0.15</v>
      </c>
      <c r="D2352">
        <v>40</v>
      </c>
      <c r="E2352">
        <v>10</v>
      </c>
      <c r="F2352">
        <v>15</v>
      </c>
      <c r="G2352">
        <v>0</v>
      </c>
      <c r="H2352">
        <v>15</v>
      </c>
      <c r="I2352">
        <v>966</v>
      </c>
      <c r="J2352">
        <v>0</v>
      </c>
      <c r="K2352">
        <v>4.8360000000000003</v>
      </c>
      <c r="L2352">
        <v>8.9619999999999997</v>
      </c>
      <c r="M2352">
        <v>8.2065000000000001</v>
      </c>
      <c r="N2352">
        <v>11.405000000000001</v>
      </c>
      <c r="O2352">
        <v>1690</v>
      </c>
      <c r="P2352">
        <v>777</v>
      </c>
      <c r="Q2352" s="5" t="e">
        <f>IF(AND(#REF!&gt;=table!$C$6,#REF!&lt;= table!$D$6),-1,IF(AND(#REF!&gt;=table!$E$6,#REF!&lt;=table!$F$6),1,0))</f>
        <v>#REF!</v>
      </c>
      <c r="R2352" s="5" t="e">
        <f>IF(AND(#REF!&gt;=table!$C$7,#REF!&lt;= table!$D$7),-1,IF(AND(#REF!&gt;=table!$E$7,#REF!&lt;=table!$F$7),1,0))</f>
        <v>#REF!</v>
      </c>
      <c r="S2352" s="5" t="e">
        <f>IF(AND(#REF!&gt;=table!$C$8,#REF!&lt;= table!$D$8),-1,IF(AND(#REF!&gt;=table!$E$8,#REF!&lt;=table!$F$8),1,0))</f>
        <v>#REF!</v>
      </c>
      <c r="T2352" s="5"/>
      <c r="U2352" s="5" t="e">
        <f>IF(AND(#REF!&gt;=table!$C$10,#REF!&lt;= table!$D$10),-1,IF(AND(#REF!&gt;=table!$E$10,#REF!&lt;=table!$F$10),1,0))</f>
        <v>#REF!</v>
      </c>
      <c r="V2352" s="5" t="e">
        <f>IF(AND(#REF!&gt;=table!$C$11,#REF!&lt;= table!$D$11),-1,IF(AND(#REF!&gt;=table!$E$11,#REF!&lt;=table!$F$11),1,0))</f>
        <v>#REF!</v>
      </c>
      <c r="W2352" s="5" t="e">
        <f>CONCATENATE(dados[[#This Row],[fator1]],dados[[#This Row],[fator5]],dados[[#This Row],[fator6]])</f>
        <v>#REF!</v>
      </c>
    </row>
    <row r="2353" spans="1:23">
      <c r="A2353" t="s">
        <v>16</v>
      </c>
      <c r="B2353">
        <v>487673</v>
      </c>
      <c r="C2353">
        <v>0.15</v>
      </c>
      <c r="D2353">
        <v>40</v>
      </c>
      <c r="E2353">
        <v>10</v>
      </c>
      <c r="F2353">
        <v>15</v>
      </c>
      <c r="G2353">
        <v>0</v>
      </c>
      <c r="H2353">
        <v>15</v>
      </c>
      <c r="I2353">
        <v>1248</v>
      </c>
      <c r="J2353">
        <v>0</v>
      </c>
      <c r="K2353">
        <v>2.8050000000000002</v>
      </c>
      <c r="L2353">
        <v>5.6510000000000007</v>
      </c>
      <c r="M2353">
        <v>5.1025</v>
      </c>
      <c r="N2353">
        <v>9.19</v>
      </c>
      <c r="O2353">
        <v>1689</v>
      </c>
      <c r="P2353">
        <v>0</v>
      </c>
      <c r="Q2353" s="5" t="e">
        <f>IF(AND(#REF!&gt;=table!$C$6,#REF!&lt;= table!$D$6),-1,IF(AND(#REF!&gt;=table!$E$6,#REF!&lt;=table!$F$6),1,0))</f>
        <v>#REF!</v>
      </c>
      <c r="R2353" s="5" t="e">
        <f>IF(AND(#REF!&gt;=table!$C$7,#REF!&lt;= table!$D$7),-1,IF(AND(#REF!&gt;=table!$E$7,#REF!&lt;=table!$F$7),1,0))</f>
        <v>#REF!</v>
      </c>
      <c r="S2353" s="5" t="e">
        <f>IF(AND(#REF!&gt;=table!$C$8,#REF!&lt;= table!$D$8),-1,IF(AND(#REF!&gt;=table!$E$8,#REF!&lt;=table!$F$8),1,0))</f>
        <v>#REF!</v>
      </c>
      <c r="T2353" s="5"/>
      <c r="U2353" s="5" t="e">
        <f>IF(AND(#REF!&gt;=table!$C$10,#REF!&lt;= table!$D$10),-1,IF(AND(#REF!&gt;=table!$E$10,#REF!&lt;=table!$F$10),1,0))</f>
        <v>#REF!</v>
      </c>
      <c r="V2353" s="5" t="e">
        <f>IF(AND(#REF!&gt;=table!$C$11,#REF!&lt;= table!$D$11),-1,IF(AND(#REF!&gt;=table!$E$11,#REF!&lt;=table!$F$11),1,0))</f>
        <v>#REF!</v>
      </c>
      <c r="W2353" s="5" t="e">
        <f>CONCATENATE(dados[[#This Row],[fator1]],dados[[#This Row],[fator5]],dados[[#This Row],[fator6]])</f>
        <v>#REF!</v>
      </c>
    </row>
    <row r="2354" spans="1:23">
      <c r="A2354" t="s">
        <v>16</v>
      </c>
      <c r="B2354">
        <v>487674</v>
      </c>
      <c r="C2354">
        <v>0.15</v>
      </c>
      <c r="D2354">
        <v>40</v>
      </c>
      <c r="E2354">
        <v>10</v>
      </c>
      <c r="F2354">
        <v>15</v>
      </c>
      <c r="G2354">
        <v>0</v>
      </c>
      <c r="H2354">
        <v>15</v>
      </c>
      <c r="I2354">
        <v>575</v>
      </c>
      <c r="J2354">
        <v>0</v>
      </c>
      <c r="K2354">
        <v>3.3850000000000002</v>
      </c>
      <c r="L2354">
        <v>7.6560000000000006</v>
      </c>
      <c r="M2354">
        <v>6.5910000000000002</v>
      </c>
      <c r="N2354">
        <v>14.285</v>
      </c>
      <c r="O2354">
        <v>1686</v>
      </c>
      <c r="P2354">
        <v>0</v>
      </c>
      <c r="Q2354" s="5" t="e">
        <f>IF(AND(#REF!&gt;=table!$C$6,#REF!&lt;= table!$D$6),-1,IF(AND(#REF!&gt;=table!$E$6,#REF!&lt;=table!$F$6),1,0))</f>
        <v>#REF!</v>
      </c>
      <c r="R2354" s="5" t="e">
        <f>IF(AND(#REF!&gt;=table!$C$7,#REF!&lt;= table!$D$7),-1,IF(AND(#REF!&gt;=table!$E$7,#REF!&lt;=table!$F$7),1,0))</f>
        <v>#REF!</v>
      </c>
      <c r="S2354" s="5" t="e">
        <f>IF(AND(#REF!&gt;=table!$C$8,#REF!&lt;= table!$D$8),-1,IF(AND(#REF!&gt;=table!$E$8,#REF!&lt;=table!$F$8),1,0))</f>
        <v>#REF!</v>
      </c>
      <c r="T2354" s="5"/>
      <c r="U2354" s="5" t="e">
        <f>IF(AND(#REF!&gt;=table!$C$10,#REF!&lt;= table!$D$10),-1,IF(AND(#REF!&gt;=table!$E$10,#REF!&lt;=table!$F$10),1,0))</f>
        <v>#REF!</v>
      </c>
      <c r="V2354" s="5" t="e">
        <f>IF(AND(#REF!&gt;=table!$C$11,#REF!&lt;= table!$D$11),-1,IF(AND(#REF!&gt;=table!$E$11,#REF!&lt;=table!$F$11),1,0))</f>
        <v>#REF!</v>
      </c>
      <c r="W2354" s="5" t="e">
        <f>CONCATENATE(dados[[#This Row],[fator1]],dados[[#This Row],[fator5]],dados[[#This Row],[fator6]])</f>
        <v>#REF!</v>
      </c>
    </row>
    <row r="2355" spans="1:23">
      <c r="A2355" t="s">
        <v>17</v>
      </c>
      <c r="B2355">
        <v>487675</v>
      </c>
      <c r="C2355">
        <v>16</v>
      </c>
      <c r="D2355">
        <v>25</v>
      </c>
      <c r="E2355">
        <v>56</v>
      </c>
      <c r="F2355">
        <v>10</v>
      </c>
      <c r="G2355">
        <v>13</v>
      </c>
      <c r="H2355">
        <v>25</v>
      </c>
      <c r="I2355">
        <v>783</v>
      </c>
      <c r="J2355">
        <v>0</v>
      </c>
      <c r="K2355">
        <v>6.3950000000000005</v>
      </c>
      <c r="L2355">
        <v>11.861000000000001</v>
      </c>
      <c r="M2355">
        <v>45.603500000000004</v>
      </c>
      <c r="N2355">
        <v>14.595000000000001</v>
      </c>
      <c r="O2355">
        <v>1661</v>
      </c>
      <c r="P2355">
        <v>0</v>
      </c>
      <c r="Q2355" s="5" t="e">
        <f>IF(AND(#REF!&gt;=table!$C$6,#REF!&lt;= table!$D$6),-1,IF(AND(#REF!&gt;=table!$E$6,#REF!&lt;=table!$F$6),1,0))</f>
        <v>#REF!</v>
      </c>
      <c r="R2355" s="5" t="e">
        <f>IF(AND(#REF!&gt;=table!$C$7,#REF!&lt;= table!$D$7),-1,IF(AND(#REF!&gt;=table!$E$7,#REF!&lt;=table!$F$7),1,0))</f>
        <v>#REF!</v>
      </c>
      <c r="S2355" s="5" t="e">
        <f>IF(AND(#REF!&gt;=table!$C$8,#REF!&lt;= table!$D$8),-1,IF(AND(#REF!&gt;=table!$E$8,#REF!&lt;=table!$F$8),1,0))</f>
        <v>#REF!</v>
      </c>
      <c r="T2355" s="5"/>
      <c r="U2355" s="5" t="e">
        <f>IF(AND(#REF!&gt;=table!$C$10,#REF!&lt;= table!$D$10),-1,IF(AND(#REF!&gt;=table!$E$10,#REF!&lt;=table!$F$10),1,0))</f>
        <v>#REF!</v>
      </c>
      <c r="V2355" s="5" t="e">
        <f>IF(AND(#REF!&gt;=table!$C$11,#REF!&lt;= table!$D$11),-1,IF(AND(#REF!&gt;=table!$E$11,#REF!&lt;=table!$F$11),1,0))</f>
        <v>#REF!</v>
      </c>
      <c r="W2355" s="5" t="e">
        <f>CONCATENATE(dados[[#This Row],[fator1]],dados[[#This Row],[fator5]],dados[[#This Row],[fator6]])</f>
        <v>#REF!</v>
      </c>
    </row>
    <row r="2356" spans="1:23">
      <c r="A2356" t="s">
        <v>17</v>
      </c>
      <c r="B2356">
        <v>487676</v>
      </c>
      <c r="C2356">
        <v>16</v>
      </c>
      <c r="D2356">
        <v>25</v>
      </c>
      <c r="E2356">
        <v>56</v>
      </c>
      <c r="F2356">
        <v>10</v>
      </c>
      <c r="G2356">
        <v>13</v>
      </c>
      <c r="H2356">
        <v>25</v>
      </c>
      <c r="I2356">
        <v>715</v>
      </c>
      <c r="J2356">
        <v>0</v>
      </c>
      <c r="K2356">
        <v>2.3725000000000001</v>
      </c>
      <c r="L2356">
        <v>4.0065</v>
      </c>
      <c r="M2356">
        <v>50.600500000000004</v>
      </c>
      <c r="N2356">
        <v>17.88</v>
      </c>
      <c r="O2356">
        <v>1680</v>
      </c>
      <c r="P2356">
        <v>1320</v>
      </c>
      <c r="Q2356" s="5" t="e">
        <f>IF(AND(#REF!&gt;=table!$C$6,#REF!&lt;= table!$D$6),-1,IF(AND(#REF!&gt;=table!$E$6,#REF!&lt;=table!$F$6),1,0))</f>
        <v>#REF!</v>
      </c>
      <c r="R2356" s="5" t="e">
        <f>IF(AND(#REF!&gt;=table!$C$7,#REF!&lt;= table!$D$7),-1,IF(AND(#REF!&gt;=table!$E$7,#REF!&lt;=table!$F$7),1,0))</f>
        <v>#REF!</v>
      </c>
      <c r="S2356" s="5" t="e">
        <f>IF(AND(#REF!&gt;=table!$C$8,#REF!&lt;= table!$D$8),-1,IF(AND(#REF!&gt;=table!$E$8,#REF!&lt;=table!$F$8),1,0))</f>
        <v>#REF!</v>
      </c>
      <c r="T2356" s="5"/>
      <c r="U2356" s="5" t="e">
        <f>IF(AND(#REF!&gt;=table!$C$10,#REF!&lt;= table!$D$10),-1,IF(AND(#REF!&gt;=table!$E$10,#REF!&lt;=table!$F$10),1,0))</f>
        <v>#REF!</v>
      </c>
      <c r="V2356" s="5" t="e">
        <f>IF(AND(#REF!&gt;=table!$C$11,#REF!&lt;= table!$D$11),-1,IF(AND(#REF!&gt;=table!$E$11,#REF!&lt;=table!$F$11),1,0))</f>
        <v>#REF!</v>
      </c>
      <c r="W2356" s="5" t="e">
        <f>CONCATENATE(dados[[#This Row],[fator1]],dados[[#This Row],[fator5]],dados[[#This Row],[fator6]])</f>
        <v>#REF!</v>
      </c>
    </row>
    <row r="2357" spans="1:23">
      <c r="A2357" t="s">
        <v>17</v>
      </c>
      <c r="B2357">
        <v>487678</v>
      </c>
      <c r="C2357">
        <v>16</v>
      </c>
      <c r="D2357">
        <v>30</v>
      </c>
      <c r="E2357">
        <v>106</v>
      </c>
      <c r="F2357">
        <v>9</v>
      </c>
      <c r="G2357">
        <v>20</v>
      </c>
      <c r="H2357">
        <v>25</v>
      </c>
      <c r="I2357">
        <v>0</v>
      </c>
      <c r="J2357">
        <v>0</v>
      </c>
      <c r="K2357">
        <v>2.9140000000000001</v>
      </c>
      <c r="L2357">
        <v>6.2810000000000006</v>
      </c>
      <c r="M2357">
        <v>87.218000000000004</v>
      </c>
      <c r="N2357">
        <v>13.780000000000001</v>
      </c>
      <c r="O2357">
        <v>1680</v>
      </c>
      <c r="P2357">
        <v>710</v>
      </c>
      <c r="Q2357" s="5" t="e">
        <f>IF(AND(#REF!&gt;=table!$C$6,#REF!&lt;= table!$D$6),-1,IF(AND(#REF!&gt;=table!$E$6,#REF!&lt;=table!$F$6),1,0))</f>
        <v>#REF!</v>
      </c>
      <c r="R2357" s="5" t="e">
        <f>IF(AND(#REF!&gt;=table!$C$7,#REF!&lt;= table!$D$7),-1,IF(AND(#REF!&gt;=table!$E$7,#REF!&lt;=table!$F$7),1,0))</f>
        <v>#REF!</v>
      </c>
      <c r="S2357" s="5" t="e">
        <f>IF(AND(#REF!&gt;=table!$C$8,#REF!&lt;= table!$D$8),-1,IF(AND(#REF!&gt;=table!$E$8,#REF!&lt;=table!$F$8),1,0))</f>
        <v>#REF!</v>
      </c>
      <c r="T2357" s="5"/>
      <c r="U2357" s="5" t="e">
        <f>IF(AND(#REF!&gt;=table!$C$10,#REF!&lt;= table!$D$10),-1,IF(AND(#REF!&gt;=table!$E$10,#REF!&lt;=table!$F$10),1,0))</f>
        <v>#REF!</v>
      </c>
      <c r="V2357" s="5" t="e">
        <f>IF(AND(#REF!&gt;=table!$C$11,#REF!&lt;= table!$D$11),-1,IF(AND(#REF!&gt;=table!$E$11,#REF!&lt;=table!$F$11),1,0))</f>
        <v>#REF!</v>
      </c>
      <c r="W2357" s="5" t="e">
        <f>CONCATENATE(dados[[#This Row],[fator1]],dados[[#This Row],[fator5]],dados[[#This Row],[fator6]])</f>
        <v>#REF!</v>
      </c>
    </row>
    <row r="2358" spans="1:23">
      <c r="A2358" t="s">
        <v>17</v>
      </c>
      <c r="B2358">
        <v>487686</v>
      </c>
      <c r="C2358">
        <v>18</v>
      </c>
      <c r="D2358">
        <v>23</v>
      </c>
      <c r="E2358">
        <v>145</v>
      </c>
      <c r="F2358">
        <v>9</v>
      </c>
      <c r="G2358">
        <v>30</v>
      </c>
      <c r="H2358">
        <v>25</v>
      </c>
      <c r="I2358">
        <v>1</v>
      </c>
      <c r="J2358">
        <v>0</v>
      </c>
      <c r="K2358">
        <v>7.1220000000000008</v>
      </c>
      <c r="L2358">
        <v>12.9945</v>
      </c>
      <c r="M2358">
        <v>132.0795</v>
      </c>
      <c r="N2358">
        <v>22.335000000000001</v>
      </c>
      <c r="O2358">
        <v>1684</v>
      </c>
      <c r="P2358">
        <v>0</v>
      </c>
      <c r="Q2358" s="5" t="e">
        <f>IF(AND(#REF!&gt;=table!$C$6,#REF!&lt;= table!$D$6),-1,IF(AND(#REF!&gt;=table!$E$6,#REF!&lt;=table!$F$6),1,0))</f>
        <v>#REF!</v>
      </c>
      <c r="R2358" s="5" t="e">
        <f>IF(AND(#REF!&gt;=table!$C$7,#REF!&lt;= table!$D$7),-1,IF(AND(#REF!&gt;=table!$E$7,#REF!&lt;=table!$F$7),1,0))</f>
        <v>#REF!</v>
      </c>
      <c r="S2358" s="5" t="e">
        <f>IF(AND(#REF!&gt;=table!$C$8,#REF!&lt;= table!$D$8),-1,IF(AND(#REF!&gt;=table!$E$8,#REF!&lt;=table!$F$8),1,0))</f>
        <v>#REF!</v>
      </c>
      <c r="T2358" s="5"/>
      <c r="U2358" s="5" t="e">
        <f>IF(AND(#REF!&gt;=table!$C$10,#REF!&lt;= table!$D$10),-1,IF(AND(#REF!&gt;=table!$E$10,#REF!&lt;=table!$F$10),1,0))</f>
        <v>#REF!</v>
      </c>
      <c r="V2358" s="5" t="e">
        <f>IF(AND(#REF!&gt;=table!$C$11,#REF!&lt;= table!$D$11),-1,IF(AND(#REF!&gt;=table!$E$11,#REF!&lt;=table!$F$11),1,0))</f>
        <v>#REF!</v>
      </c>
      <c r="W2358" s="5" t="e">
        <f>CONCATENATE(dados[[#This Row],[fator1]],dados[[#This Row],[fator5]],dados[[#This Row],[fator6]])</f>
        <v>#REF!</v>
      </c>
    </row>
    <row r="2359" spans="1:23">
      <c r="A2359" t="s">
        <v>17</v>
      </c>
      <c r="B2359">
        <v>487687</v>
      </c>
      <c r="C2359">
        <v>18</v>
      </c>
      <c r="D2359">
        <v>23</v>
      </c>
      <c r="E2359">
        <v>145</v>
      </c>
      <c r="F2359">
        <v>4</v>
      </c>
      <c r="G2359">
        <v>30</v>
      </c>
      <c r="H2359">
        <v>25</v>
      </c>
      <c r="I2359">
        <v>541</v>
      </c>
      <c r="J2359">
        <v>780</v>
      </c>
      <c r="K2359">
        <v>6.15</v>
      </c>
      <c r="L2359">
        <v>10.455</v>
      </c>
      <c r="M2359">
        <v>141.4545</v>
      </c>
      <c r="N2359">
        <v>18.52</v>
      </c>
      <c r="O2359">
        <v>1664</v>
      </c>
      <c r="P2359">
        <v>656</v>
      </c>
      <c r="Q2359" s="5" t="e">
        <f>IF(AND(#REF!&gt;=table!$C$6,#REF!&lt;= table!$D$6),-1,IF(AND(#REF!&gt;=table!$E$6,#REF!&lt;=table!$F$6),1,0))</f>
        <v>#REF!</v>
      </c>
      <c r="R2359" s="5" t="e">
        <f>IF(AND(#REF!&gt;=table!$C$7,#REF!&lt;= table!$D$7),-1,IF(AND(#REF!&gt;=table!$E$7,#REF!&lt;=table!$F$7),1,0))</f>
        <v>#REF!</v>
      </c>
      <c r="S2359" s="5" t="e">
        <f>IF(AND(#REF!&gt;=table!$C$8,#REF!&lt;= table!$D$8),-1,IF(AND(#REF!&gt;=table!$E$8,#REF!&lt;=table!$F$8),1,0))</f>
        <v>#REF!</v>
      </c>
      <c r="T2359" s="5"/>
      <c r="U2359" s="5" t="e">
        <f>IF(AND(#REF!&gt;=table!$C$10,#REF!&lt;= table!$D$10),-1,IF(AND(#REF!&gt;=table!$E$10,#REF!&lt;=table!$F$10),1,0))</f>
        <v>#REF!</v>
      </c>
      <c r="V2359" s="5" t="e">
        <f>IF(AND(#REF!&gt;=table!$C$11,#REF!&lt;= table!$D$11),-1,IF(AND(#REF!&gt;=table!$E$11,#REF!&lt;=table!$F$11),1,0))</f>
        <v>#REF!</v>
      </c>
      <c r="W2359" s="5" t="e">
        <f>CONCATENATE(dados[[#This Row],[fator1]],dados[[#This Row],[fator5]],dados[[#This Row],[fator6]])</f>
        <v>#REF!</v>
      </c>
    </row>
    <row r="2360" spans="1:23">
      <c r="A2360" t="s">
        <v>17</v>
      </c>
      <c r="B2360">
        <v>487690</v>
      </c>
      <c r="C2360">
        <v>18</v>
      </c>
      <c r="D2360">
        <v>23</v>
      </c>
      <c r="E2360">
        <v>145</v>
      </c>
      <c r="F2360">
        <v>9</v>
      </c>
      <c r="G2360">
        <v>30</v>
      </c>
      <c r="H2360">
        <v>25</v>
      </c>
      <c r="I2360">
        <v>673</v>
      </c>
      <c r="J2360">
        <v>0</v>
      </c>
      <c r="K2360">
        <v>3.4135</v>
      </c>
      <c r="L2360">
        <v>5.55</v>
      </c>
      <c r="M2360">
        <v>124.59100000000001</v>
      </c>
      <c r="N2360">
        <v>18.815000000000001</v>
      </c>
      <c r="O2360">
        <v>1672</v>
      </c>
      <c r="P2360">
        <v>0</v>
      </c>
      <c r="Q2360" s="5" t="e">
        <f>IF(AND(#REF!&gt;=table!$C$6,#REF!&lt;= table!$D$6),-1,IF(AND(#REF!&gt;=table!$E$6,#REF!&lt;=table!$F$6),1,0))</f>
        <v>#REF!</v>
      </c>
      <c r="R2360" s="5" t="e">
        <f>IF(AND(#REF!&gt;=table!$C$7,#REF!&lt;= table!$D$7),-1,IF(AND(#REF!&gt;=table!$E$7,#REF!&lt;=table!$F$7),1,0))</f>
        <v>#REF!</v>
      </c>
      <c r="S2360" s="5" t="e">
        <f>IF(AND(#REF!&gt;=table!$C$8,#REF!&lt;= table!$D$8),-1,IF(AND(#REF!&gt;=table!$E$8,#REF!&lt;=table!$F$8),1,0))</f>
        <v>#REF!</v>
      </c>
      <c r="T2360" s="5"/>
      <c r="U2360" s="5" t="e">
        <f>IF(AND(#REF!&gt;=table!$C$10,#REF!&lt;= table!$D$10),-1,IF(AND(#REF!&gt;=table!$E$10,#REF!&lt;=table!$F$10),1,0))</f>
        <v>#REF!</v>
      </c>
      <c r="V2360" s="5" t="e">
        <f>IF(AND(#REF!&gt;=table!$C$11,#REF!&lt;= table!$D$11),-1,IF(AND(#REF!&gt;=table!$E$11,#REF!&lt;=table!$F$11),1,0))</f>
        <v>#REF!</v>
      </c>
      <c r="W2360" s="5" t="e">
        <f>CONCATENATE(dados[[#This Row],[fator1]],dados[[#This Row],[fator5]],dados[[#This Row],[fator6]])</f>
        <v>#REF!</v>
      </c>
    </row>
    <row r="2361" spans="1:23">
      <c r="A2361" t="s">
        <v>17</v>
      </c>
      <c r="B2361">
        <v>487693</v>
      </c>
      <c r="C2361">
        <v>18</v>
      </c>
      <c r="D2361">
        <v>23</v>
      </c>
      <c r="E2361">
        <v>145</v>
      </c>
      <c r="F2361">
        <v>9</v>
      </c>
      <c r="G2361">
        <v>30</v>
      </c>
      <c r="H2361">
        <v>25</v>
      </c>
      <c r="I2361">
        <v>0</v>
      </c>
      <c r="J2361">
        <v>0</v>
      </c>
      <c r="K2361">
        <v>5.6340000000000003</v>
      </c>
      <c r="L2361">
        <v>10.310500000000001</v>
      </c>
      <c r="M2361">
        <v>156.6985</v>
      </c>
      <c r="N2361">
        <v>22.400000000000002</v>
      </c>
      <c r="O2361">
        <v>1667</v>
      </c>
      <c r="P2361">
        <v>0</v>
      </c>
      <c r="Q2361" s="5" t="e">
        <f>IF(AND(#REF!&gt;=table!$C$6,#REF!&lt;= table!$D$6),-1,IF(AND(#REF!&gt;=table!$E$6,#REF!&lt;=table!$F$6),1,0))</f>
        <v>#REF!</v>
      </c>
      <c r="R2361" s="5" t="e">
        <f>IF(AND(#REF!&gt;=table!$C$7,#REF!&lt;= table!$D$7),-1,IF(AND(#REF!&gt;=table!$E$7,#REF!&lt;=table!$F$7),1,0))</f>
        <v>#REF!</v>
      </c>
      <c r="S2361" s="5" t="e">
        <f>IF(AND(#REF!&gt;=table!$C$8,#REF!&lt;= table!$D$8),-1,IF(AND(#REF!&gt;=table!$E$8,#REF!&lt;=table!$F$8),1,0))</f>
        <v>#REF!</v>
      </c>
      <c r="T2361" s="5"/>
      <c r="U2361" s="5" t="e">
        <f>IF(AND(#REF!&gt;=table!$C$10,#REF!&lt;= table!$D$10),-1,IF(AND(#REF!&gt;=table!$E$10,#REF!&lt;=table!$F$10),1,0))</f>
        <v>#REF!</v>
      </c>
      <c r="V2361" s="5" t="e">
        <f>IF(AND(#REF!&gt;=table!$C$11,#REF!&lt;= table!$D$11),-1,IF(AND(#REF!&gt;=table!$E$11,#REF!&lt;=table!$F$11),1,0))</f>
        <v>#REF!</v>
      </c>
      <c r="W2361" s="5" t="e">
        <f>CONCATENATE(dados[[#This Row],[fator1]],dados[[#This Row],[fator5]],dados[[#This Row],[fator6]])</f>
        <v>#REF!</v>
      </c>
    </row>
    <row r="2362" spans="1:23">
      <c r="A2362" t="s">
        <v>17</v>
      </c>
      <c r="B2362">
        <v>487706</v>
      </c>
      <c r="C2362">
        <v>15</v>
      </c>
      <c r="D2362">
        <v>30</v>
      </c>
      <c r="E2362">
        <v>100</v>
      </c>
      <c r="F2362">
        <v>3</v>
      </c>
      <c r="G2362">
        <v>20</v>
      </c>
      <c r="H2362">
        <v>22</v>
      </c>
      <c r="I2362">
        <v>668</v>
      </c>
      <c r="J2362">
        <v>1430</v>
      </c>
      <c r="K2362">
        <v>14.540000000000001</v>
      </c>
      <c r="L2362">
        <v>15.846</v>
      </c>
      <c r="M2362">
        <v>86.733000000000004</v>
      </c>
      <c r="N2362">
        <v>14.07</v>
      </c>
      <c r="O2362">
        <v>1676</v>
      </c>
      <c r="P2362">
        <v>259</v>
      </c>
      <c r="Q2362" s="5" t="e">
        <f>IF(AND(#REF!&gt;=table!$C$6,#REF!&lt;= table!$D$6),-1,IF(AND(#REF!&gt;=table!$E$6,#REF!&lt;=table!$F$6),1,0))</f>
        <v>#REF!</v>
      </c>
      <c r="R2362" s="5" t="e">
        <f>IF(AND(#REF!&gt;=table!$C$7,#REF!&lt;= table!$D$7),-1,IF(AND(#REF!&gt;=table!$E$7,#REF!&lt;=table!$F$7),1,0))</f>
        <v>#REF!</v>
      </c>
      <c r="S2362" s="5" t="e">
        <f>IF(AND(#REF!&gt;=table!$C$8,#REF!&lt;= table!$D$8),-1,IF(AND(#REF!&gt;=table!$E$8,#REF!&lt;=table!$F$8),1,0))</f>
        <v>#REF!</v>
      </c>
      <c r="T2362" s="5"/>
      <c r="U2362" s="5" t="e">
        <f>IF(AND(#REF!&gt;=table!$C$10,#REF!&lt;= table!$D$10),-1,IF(AND(#REF!&gt;=table!$E$10,#REF!&lt;=table!$F$10),1,0))</f>
        <v>#REF!</v>
      </c>
      <c r="V2362" s="5" t="e">
        <f>IF(AND(#REF!&gt;=table!$C$11,#REF!&lt;= table!$D$11),-1,IF(AND(#REF!&gt;=table!$E$11,#REF!&lt;=table!$F$11),1,0))</f>
        <v>#REF!</v>
      </c>
      <c r="W2362" s="5" t="e">
        <f>CONCATENATE(dados[[#This Row],[fator1]],dados[[#This Row],[fator5]],dados[[#This Row],[fator6]])</f>
        <v>#REF!</v>
      </c>
    </row>
    <row r="2363" spans="1:23">
      <c r="A2363" t="s">
        <v>17</v>
      </c>
      <c r="B2363">
        <v>487708</v>
      </c>
      <c r="C2363">
        <v>15</v>
      </c>
      <c r="D2363">
        <v>30</v>
      </c>
      <c r="E2363">
        <v>100</v>
      </c>
      <c r="F2363">
        <v>3</v>
      </c>
      <c r="G2363">
        <v>20</v>
      </c>
      <c r="H2363">
        <v>22</v>
      </c>
      <c r="I2363">
        <v>0</v>
      </c>
      <c r="J2363">
        <v>0</v>
      </c>
      <c r="K2363">
        <v>5.1524999999999999</v>
      </c>
      <c r="L2363">
        <v>10.054</v>
      </c>
      <c r="M2363">
        <v>91.846000000000004</v>
      </c>
      <c r="N2363">
        <v>14.765000000000001</v>
      </c>
      <c r="O2363">
        <v>1670</v>
      </c>
      <c r="P2363">
        <v>0</v>
      </c>
      <c r="Q2363" s="5" t="e">
        <f>IF(AND(#REF!&gt;=table!$C$6,#REF!&lt;= table!$D$6),-1,IF(AND(#REF!&gt;=table!$E$6,#REF!&lt;=table!$F$6),1,0))</f>
        <v>#REF!</v>
      </c>
      <c r="R2363" s="5" t="e">
        <f>IF(AND(#REF!&gt;=table!$C$7,#REF!&lt;= table!$D$7),-1,IF(AND(#REF!&gt;=table!$E$7,#REF!&lt;=table!$F$7),1,0))</f>
        <v>#REF!</v>
      </c>
      <c r="S2363" s="5" t="e">
        <f>IF(AND(#REF!&gt;=table!$C$8,#REF!&lt;= table!$D$8),-1,IF(AND(#REF!&gt;=table!$E$8,#REF!&lt;=table!$F$8),1,0))</f>
        <v>#REF!</v>
      </c>
      <c r="T2363" s="5"/>
      <c r="U2363" s="5" t="e">
        <f>IF(AND(#REF!&gt;=table!$C$10,#REF!&lt;= table!$D$10),-1,IF(AND(#REF!&gt;=table!$E$10,#REF!&lt;=table!$F$10),1,0))</f>
        <v>#REF!</v>
      </c>
      <c r="V2363" s="5" t="e">
        <f>IF(AND(#REF!&gt;=table!$C$11,#REF!&lt;= table!$D$11),-1,IF(AND(#REF!&gt;=table!$E$11,#REF!&lt;=table!$F$11),1,0))</f>
        <v>#REF!</v>
      </c>
      <c r="W2363" s="5" t="e">
        <f>CONCATENATE(dados[[#This Row],[fator1]],dados[[#This Row],[fator5]],dados[[#This Row],[fator6]])</f>
        <v>#REF!</v>
      </c>
    </row>
    <row r="2364" spans="1:23">
      <c r="A2364" t="s">
        <v>16</v>
      </c>
      <c r="B2364">
        <v>487714</v>
      </c>
      <c r="C2364">
        <v>6</v>
      </c>
      <c r="D2364">
        <v>25</v>
      </c>
      <c r="E2364">
        <v>120</v>
      </c>
      <c r="F2364">
        <v>4</v>
      </c>
      <c r="G2364">
        <v>0</v>
      </c>
      <c r="H2364">
        <v>55</v>
      </c>
      <c r="I2364">
        <v>443</v>
      </c>
      <c r="J2364">
        <v>0</v>
      </c>
      <c r="K2364">
        <v>2.8340000000000001</v>
      </c>
      <c r="L2364">
        <v>7.7635000000000005</v>
      </c>
      <c r="M2364">
        <v>84.156000000000006</v>
      </c>
      <c r="N2364">
        <v>37.765000000000001</v>
      </c>
      <c r="O2364">
        <v>1711</v>
      </c>
      <c r="P2364">
        <v>0</v>
      </c>
      <c r="Q2364" s="5" t="e">
        <f>IF(AND(#REF!&gt;=table!$C$6,#REF!&lt;= table!$D$6),-1,IF(AND(#REF!&gt;=table!$E$6,#REF!&lt;=table!$F$6),1,0))</f>
        <v>#REF!</v>
      </c>
      <c r="R2364" s="5" t="e">
        <f>IF(AND(#REF!&gt;=table!$C$7,#REF!&lt;= table!$D$7),-1,IF(AND(#REF!&gt;=table!$E$7,#REF!&lt;=table!$F$7),1,0))</f>
        <v>#REF!</v>
      </c>
      <c r="S2364" s="5" t="e">
        <f>IF(AND(#REF!&gt;=table!$C$8,#REF!&lt;= table!$D$8),-1,IF(AND(#REF!&gt;=table!$E$8,#REF!&lt;=table!$F$8),1,0))</f>
        <v>#REF!</v>
      </c>
      <c r="T2364" s="5"/>
      <c r="U2364" s="5" t="e">
        <f>IF(AND(#REF!&gt;=table!$C$10,#REF!&lt;= table!$D$10),-1,IF(AND(#REF!&gt;=table!$E$10,#REF!&lt;=table!$F$10),1,0))</f>
        <v>#REF!</v>
      </c>
      <c r="V2364" s="5" t="e">
        <f>IF(AND(#REF!&gt;=table!$C$11,#REF!&lt;= table!$D$11),-1,IF(AND(#REF!&gt;=table!$E$11,#REF!&lt;=table!$F$11),1,0))</f>
        <v>#REF!</v>
      </c>
      <c r="W2364" s="5" t="e">
        <f>CONCATENATE(dados[[#This Row],[fator1]],dados[[#This Row],[fator5]],dados[[#This Row],[fator6]])</f>
        <v>#REF!</v>
      </c>
    </row>
    <row r="2365" spans="1:23">
      <c r="A2365" t="s">
        <v>16</v>
      </c>
      <c r="B2365">
        <v>487715</v>
      </c>
      <c r="C2365">
        <v>6</v>
      </c>
      <c r="D2365">
        <v>25</v>
      </c>
      <c r="E2365">
        <v>120</v>
      </c>
      <c r="F2365">
        <v>4</v>
      </c>
      <c r="G2365">
        <v>0</v>
      </c>
      <c r="H2365">
        <v>55</v>
      </c>
      <c r="I2365">
        <v>904</v>
      </c>
      <c r="J2365">
        <v>0</v>
      </c>
      <c r="K2365">
        <v>3.8893</v>
      </c>
      <c r="L2365">
        <v>8.2185000000000006</v>
      </c>
      <c r="M2365">
        <v>76.62700000000001</v>
      </c>
      <c r="N2365">
        <v>39.565000000000005</v>
      </c>
      <c r="O2365">
        <v>1665</v>
      </c>
      <c r="P2365">
        <v>0</v>
      </c>
      <c r="Q2365" s="5" t="e">
        <f>IF(AND(#REF!&gt;=table!$C$6,#REF!&lt;= table!$D$6),-1,IF(AND(#REF!&gt;=table!$E$6,#REF!&lt;=table!$F$6),1,0))</f>
        <v>#REF!</v>
      </c>
      <c r="R2365" s="5" t="e">
        <f>IF(AND(#REF!&gt;=table!$C$7,#REF!&lt;= table!$D$7),-1,IF(AND(#REF!&gt;=table!$E$7,#REF!&lt;=table!$F$7),1,0))</f>
        <v>#REF!</v>
      </c>
      <c r="S2365" s="5" t="e">
        <f>IF(AND(#REF!&gt;=table!$C$8,#REF!&lt;= table!$D$8),-1,IF(AND(#REF!&gt;=table!$E$8,#REF!&lt;=table!$F$8),1,0))</f>
        <v>#REF!</v>
      </c>
      <c r="T2365" s="5"/>
      <c r="U2365" s="5" t="e">
        <f>IF(AND(#REF!&gt;=table!$C$10,#REF!&lt;= table!$D$10),-1,IF(AND(#REF!&gt;=table!$E$10,#REF!&lt;=table!$F$10),1,0))</f>
        <v>#REF!</v>
      </c>
      <c r="V2365" s="5" t="e">
        <f>IF(AND(#REF!&gt;=table!$C$11,#REF!&lt;= table!$D$11),-1,IF(AND(#REF!&gt;=table!$E$11,#REF!&lt;=table!$F$11),1,0))</f>
        <v>#REF!</v>
      </c>
      <c r="W2365" s="5" t="e">
        <f>CONCATENATE(dados[[#This Row],[fator1]],dados[[#This Row],[fator5]],dados[[#This Row],[fator6]])</f>
        <v>#REF!</v>
      </c>
    </row>
    <row r="2366" spans="1:23">
      <c r="A2366" t="s">
        <v>16</v>
      </c>
      <c r="B2366">
        <v>487716</v>
      </c>
      <c r="C2366">
        <v>6</v>
      </c>
      <c r="D2366">
        <v>25</v>
      </c>
      <c r="E2366">
        <v>120</v>
      </c>
      <c r="F2366">
        <v>4</v>
      </c>
      <c r="G2366">
        <v>0</v>
      </c>
      <c r="H2366">
        <v>55</v>
      </c>
      <c r="I2366">
        <v>1418</v>
      </c>
      <c r="J2366">
        <v>0</v>
      </c>
      <c r="K2366">
        <v>3.6105</v>
      </c>
      <c r="L2366">
        <v>8.4124999999999996</v>
      </c>
      <c r="M2366">
        <v>98.161500000000004</v>
      </c>
      <c r="N2366">
        <v>25.655000000000001</v>
      </c>
      <c r="O2366">
        <v>1667</v>
      </c>
      <c r="P2366">
        <v>0</v>
      </c>
      <c r="Q2366" s="5" t="e">
        <f>IF(AND(#REF!&gt;=table!$C$6,#REF!&lt;= table!$D$6),-1,IF(AND(#REF!&gt;=table!$E$6,#REF!&lt;=table!$F$6),1,0))</f>
        <v>#REF!</v>
      </c>
      <c r="R2366" s="5" t="e">
        <f>IF(AND(#REF!&gt;=table!$C$7,#REF!&lt;= table!$D$7),-1,IF(AND(#REF!&gt;=table!$E$7,#REF!&lt;=table!$F$7),1,0))</f>
        <v>#REF!</v>
      </c>
      <c r="S2366" s="5" t="e">
        <f>IF(AND(#REF!&gt;=table!$C$8,#REF!&lt;= table!$D$8),-1,IF(AND(#REF!&gt;=table!$E$8,#REF!&lt;=table!$F$8),1,0))</f>
        <v>#REF!</v>
      </c>
      <c r="T2366" s="5"/>
      <c r="U2366" s="5" t="e">
        <f>IF(AND(#REF!&gt;=table!$C$10,#REF!&lt;= table!$D$10),-1,IF(AND(#REF!&gt;=table!$E$10,#REF!&lt;=table!$F$10),1,0))</f>
        <v>#REF!</v>
      </c>
      <c r="V2366" s="5" t="e">
        <f>IF(AND(#REF!&gt;=table!$C$11,#REF!&lt;= table!$D$11),-1,IF(AND(#REF!&gt;=table!$E$11,#REF!&lt;=table!$F$11),1,0))</f>
        <v>#REF!</v>
      </c>
      <c r="W2366" s="5" t="e">
        <f>CONCATENATE(dados[[#This Row],[fator1]],dados[[#This Row],[fator5]],dados[[#This Row],[fator6]])</f>
        <v>#REF!</v>
      </c>
    </row>
    <row r="2367" spans="1:23">
      <c r="A2367" t="s">
        <v>16</v>
      </c>
      <c r="B2367">
        <v>487717</v>
      </c>
      <c r="C2367">
        <v>10</v>
      </c>
      <c r="D2367">
        <v>38</v>
      </c>
      <c r="E2367">
        <v>150</v>
      </c>
      <c r="F2367">
        <v>4</v>
      </c>
      <c r="G2367">
        <v>0</v>
      </c>
      <c r="H2367">
        <v>25</v>
      </c>
      <c r="I2367">
        <v>0</v>
      </c>
      <c r="J2367">
        <v>0</v>
      </c>
      <c r="K2367">
        <v>3.5743</v>
      </c>
      <c r="L2367">
        <v>8.6475000000000009</v>
      </c>
      <c r="M2367">
        <v>233.07950000000002</v>
      </c>
      <c r="N2367">
        <v>22.25</v>
      </c>
      <c r="O2367">
        <v>1695</v>
      </c>
      <c r="P2367">
        <v>0</v>
      </c>
      <c r="Q2367" s="5" t="e">
        <f>IF(AND(#REF!&gt;=table!$C$6,#REF!&lt;= table!$D$6),-1,IF(AND(#REF!&gt;=table!$E$6,#REF!&lt;=table!$F$6),1,0))</f>
        <v>#REF!</v>
      </c>
      <c r="R2367" s="5" t="e">
        <f>IF(AND(#REF!&gt;=table!$C$7,#REF!&lt;= table!$D$7),-1,IF(AND(#REF!&gt;=table!$E$7,#REF!&lt;=table!$F$7),1,0))</f>
        <v>#REF!</v>
      </c>
      <c r="S2367" s="5" t="e">
        <f>IF(AND(#REF!&gt;=table!$C$8,#REF!&lt;= table!$D$8),-1,IF(AND(#REF!&gt;=table!$E$8,#REF!&lt;=table!$F$8),1,0))</f>
        <v>#REF!</v>
      </c>
      <c r="T2367" s="5"/>
      <c r="U2367" s="5" t="e">
        <f>IF(AND(#REF!&gt;=table!$C$10,#REF!&lt;= table!$D$10),-1,IF(AND(#REF!&gt;=table!$E$10,#REF!&lt;=table!$F$10),1,0))</f>
        <v>#REF!</v>
      </c>
      <c r="V2367" s="5" t="e">
        <f>IF(AND(#REF!&gt;=table!$C$11,#REF!&lt;= table!$D$11),-1,IF(AND(#REF!&gt;=table!$E$11,#REF!&lt;=table!$F$11),1,0))</f>
        <v>#REF!</v>
      </c>
      <c r="W2367" s="5" t="e">
        <f>CONCATENATE(dados[[#This Row],[fator1]],dados[[#This Row],[fator5]],dados[[#This Row],[fator6]])</f>
        <v>#REF!</v>
      </c>
    </row>
    <row r="2368" spans="1:23">
      <c r="A2368" t="s">
        <v>16</v>
      </c>
      <c r="B2368">
        <v>487718</v>
      </c>
      <c r="C2368">
        <v>10</v>
      </c>
      <c r="D2368">
        <v>38</v>
      </c>
      <c r="E2368">
        <v>150</v>
      </c>
      <c r="F2368">
        <v>4</v>
      </c>
      <c r="G2368">
        <v>0</v>
      </c>
      <c r="H2368">
        <v>25</v>
      </c>
      <c r="I2368">
        <v>0</v>
      </c>
      <c r="J2368">
        <v>0</v>
      </c>
      <c r="K2368">
        <v>4.7629999999999999</v>
      </c>
      <c r="L2368">
        <v>12.522500000000001</v>
      </c>
      <c r="M2368">
        <v>124.19500000000001</v>
      </c>
      <c r="N2368">
        <v>19.475000000000001</v>
      </c>
      <c r="O2368">
        <v>1678</v>
      </c>
      <c r="P2368">
        <v>0</v>
      </c>
      <c r="Q2368" s="5" t="e">
        <f>IF(AND(#REF!&gt;=table!$C$6,#REF!&lt;= table!$D$6),-1,IF(AND(#REF!&gt;=table!$E$6,#REF!&lt;=table!$F$6),1,0))</f>
        <v>#REF!</v>
      </c>
      <c r="R2368" s="5" t="e">
        <f>IF(AND(#REF!&gt;=table!$C$7,#REF!&lt;= table!$D$7),-1,IF(AND(#REF!&gt;=table!$E$7,#REF!&lt;=table!$F$7),1,0))</f>
        <v>#REF!</v>
      </c>
      <c r="S2368" s="5" t="e">
        <f>IF(AND(#REF!&gt;=table!$C$8,#REF!&lt;= table!$D$8),-1,IF(AND(#REF!&gt;=table!$E$8,#REF!&lt;=table!$F$8),1,0))</f>
        <v>#REF!</v>
      </c>
      <c r="T2368" s="5"/>
      <c r="U2368" s="5" t="e">
        <f>IF(AND(#REF!&gt;=table!$C$10,#REF!&lt;= table!$D$10),-1,IF(AND(#REF!&gt;=table!$E$10,#REF!&lt;=table!$F$10),1,0))</f>
        <v>#REF!</v>
      </c>
      <c r="V2368" s="5" t="e">
        <f>IF(AND(#REF!&gt;=table!$C$11,#REF!&lt;= table!$D$11),-1,IF(AND(#REF!&gt;=table!$E$11,#REF!&lt;=table!$F$11),1,0))</f>
        <v>#REF!</v>
      </c>
      <c r="W2368" s="5" t="e">
        <f>CONCATENATE(dados[[#This Row],[fator1]],dados[[#This Row],[fator5]],dados[[#This Row],[fator6]])</f>
        <v>#REF!</v>
      </c>
    </row>
    <row r="2369" spans="1:23">
      <c r="A2369" t="s">
        <v>16</v>
      </c>
      <c r="B2369">
        <v>487719</v>
      </c>
      <c r="C2369">
        <v>0.15</v>
      </c>
      <c r="D2369">
        <v>40</v>
      </c>
      <c r="E2369">
        <v>10</v>
      </c>
      <c r="F2369">
        <v>15</v>
      </c>
      <c r="G2369">
        <v>0</v>
      </c>
      <c r="H2369">
        <v>15</v>
      </c>
      <c r="I2369">
        <v>839</v>
      </c>
      <c r="J2369">
        <v>0</v>
      </c>
      <c r="K2369">
        <v>6.4584999999999999</v>
      </c>
      <c r="L2369">
        <v>10.819000000000001</v>
      </c>
      <c r="M2369">
        <v>9.327</v>
      </c>
      <c r="N2369">
        <v>12.8</v>
      </c>
      <c r="O2369">
        <v>1672</v>
      </c>
      <c r="P2369">
        <v>497</v>
      </c>
      <c r="Q2369" s="5" t="e">
        <f>IF(AND(#REF!&gt;=table!$C$6,#REF!&lt;= table!$D$6),-1,IF(AND(#REF!&gt;=table!$E$6,#REF!&lt;=table!$F$6),1,0))</f>
        <v>#REF!</v>
      </c>
      <c r="R2369" s="5" t="e">
        <f>IF(AND(#REF!&gt;=table!$C$7,#REF!&lt;= table!$D$7),-1,IF(AND(#REF!&gt;=table!$E$7,#REF!&lt;=table!$F$7),1,0))</f>
        <v>#REF!</v>
      </c>
      <c r="S2369" s="5" t="e">
        <f>IF(AND(#REF!&gt;=table!$C$8,#REF!&lt;= table!$D$8),-1,IF(AND(#REF!&gt;=table!$E$8,#REF!&lt;=table!$F$8),1,0))</f>
        <v>#REF!</v>
      </c>
      <c r="T2369" s="5"/>
      <c r="U2369" s="5" t="e">
        <f>IF(AND(#REF!&gt;=table!$C$10,#REF!&lt;= table!$D$10),-1,IF(AND(#REF!&gt;=table!$E$10,#REF!&lt;=table!$F$10),1,0))</f>
        <v>#REF!</v>
      </c>
      <c r="V2369" s="5" t="e">
        <f>IF(AND(#REF!&gt;=table!$C$11,#REF!&lt;= table!$D$11),-1,IF(AND(#REF!&gt;=table!$E$11,#REF!&lt;=table!$F$11),1,0))</f>
        <v>#REF!</v>
      </c>
      <c r="W2369" s="5" t="e">
        <f>CONCATENATE(dados[[#This Row],[fator1]],dados[[#This Row],[fator5]],dados[[#This Row],[fator6]])</f>
        <v>#REF!</v>
      </c>
    </row>
    <row r="2370" spans="1:23">
      <c r="A2370" t="s">
        <v>17</v>
      </c>
      <c r="B2370">
        <v>487720</v>
      </c>
      <c r="C2370">
        <v>7</v>
      </c>
      <c r="D2370">
        <v>20</v>
      </c>
      <c r="E2370">
        <v>120</v>
      </c>
      <c r="F2370">
        <v>4</v>
      </c>
      <c r="G2370">
        <v>105</v>
      </c>
      <c r="H2370">
        <v>25</v>
      </c>
      <c r="I2370">
        <v>1065</v>
      </c>
      <c r="J2370">
        <v>0</v>
      </c>
      <c r="K2370">
        <v>5.5485000000000007</v>
      </c>
      <c r="L2370">
        <v>11.613000000000001</v>
      </c>
      <c r="M2370">
        <v>105.42700000000001</v>
      </c>
      <c r="N2370">
        <v>19.945</v>
      </c>
      <c r="O2370">
        <v>1654</v>
      </c>
      <c r="P2370">
        <v>780</v>
      </c>
      <c r="Q2370" s="5" t="e">
        <f>IF(AND(#REF!&gt;=table!$C$6,#REF!&lt;= table!$D$6),-1,IF(AND(#REF!&gt;=table!$E$6,#REF!&lt;=table!$F$6),1,0))</f>
        <v>#REF!</v>
      </c>
      <c r="R2370" s="5" t="e">
        <f>IF(AND(#REF!&gt;=table!$C$7,#REF!&lt;= table!$D$7),-1,IF(AND(#REF!&gt;=table!$E$7,#REF!&lt;=table!$F$7),1,0))</f>
        <v>#REF!</v>
      </c>
      <c r="S2370" s="5" t="e">
        <f>IF(AND(#REF!&gt;=table!$C$8,#REF!&lt;= table!$D$8),-1,IF(AND(#REF!&gt;=table!$E$8,#REF!&lt;=table!$F$8),1,0))</f>
        <v>#REF!</v>
      </c>
      <c r="T2370" s="5"/>
      <c r="U2370" s="5" t="e">
        <f>IF(AND(#REF!&gt;=table!$C$10,#REF!&lt;= table!$D$10),-1,IF(AND(#REF!&gt;=table!$E$10,#REF!&lt;=table!$F$10),1,0))</f>
        <v>#REF!</v>
      </c>
      <c r="V2370" s="5" t="e">
        <f>IF(AND(#REF!&gt;=table!$C$11,#REF!&lt;= table!$D$11),-1,IF(AND(#REF!&gt;=table!$E$11,#REF!&lt;=table!$F$11),1,0))</f>
        <v>#REF!</v>
      </c>
      <c r="W2370" s="5" t="e">
        <f>CONCATENATE(dados[[#This Row],[fator1]],dados[[#This Row],[fator5]],dados[[#This Row],[fator6]])</f>
        <v>#REF!</v>
      </c>
    </row>
    <row r="2371" spans="1:23">
      <c r="A2371" t="s">
        <v>17</v>
      </c>
      <c r="B2371">
        <v>487721</v>
      </c>
      <c r="C2371">
        <v>7</v>
      </c>
      <c r="D2371">
        <v>20</v>
      </c>
      <c r="E2371">
        <v>120</v>
      </c>
      <c r="F2371">
        <v>4</v>
      </c>
      <c r="G2371">
        <v>105</v>
      </c>
      <c r="H2371">
        <v>25</v>
      </c>
      <c r="I2371">
        <v>1296</v>
      </c>
      <c r="J2371">
        <v>0</v>
      </c>
      <c r="K2371">
        <v>3.81</v>
      </c>
      <c r="L2371">
        <v>6.3915000000000006</v>
      </c>
      <c r="M2371">
        <v>106.51650000000001</v>
      </c>
      <c r="N2371">
        <v>12.23</v>
      </c>
      <c r="O2371">
        <v>1685</v>
      </c>
      <c r="P2371">
        <v>0</v>
      </c>
      <c r="Q2371" s="5" t="e">
        <f>IF(AND(#REF!&gt;=table!$C$6,#REF!&lt;= table!$D$6),-1,IF(AND(#REF!&gt;=table!$E$6,#REF!&lt;=table!$F$6),1,0))</f>
        <v>#REF!</v>
      </c>
      <c r="R2371" s="5" t="e">
        <f>IF(AND(#REF!&gt;=table!$C$7,#REF!&lt;= table!$D$7),-1,IF(AND(#REF!&gt;=table!$E$7,#REF!&lt;=table!$F$7),1,0))</f>
        <v>#REF!</v>
      </c>
      <c r="S2371" s="5" t="e">
        <f>IF(AND(#REF!&gt;=table!$C$8,#REF!&lt;= table!$D$8),-1,IF(AND(#REF!&gt;=table!$E$8,#REF!&lt;=table!$F$8),1,0))</f>
        <v>#REF!</v>
      </c>
      <c r="T2371" s="5"/>
      <c r="U2371" s="5" t="e">
        <f>IF(AND(#REF!&gt;=table!$C$10,#REF!&lt;= table!$D$10),-1,IF(AND(#REF!&gt;=table!$E$10,#REF!&lt;=table!$F$10),1,0))</f>
        <v>#REF!</v>
      </c>
      <c r="V2371" s="5" t="e">
        <f>IF(AND(#REF!&gt;=table!$C$11,#REF!&lt;= table!$D$11),-1,IF(AND(#REF!&gt;=table!$E$11,#REF!&lt;=table!$F$11),1,0))</f>
        <v>#REF!</v>
      </c>
      <c r="W2371" s="5" t="e">
        <f>CONCATENATE(dados[[#This Row],[fator1]],dados[[#This Row],[fator5]],dados[[#This Row],[fator6]])</f>
        <v>#REF!</v>
      </c>
    </row>
    <row r="2372" spans="1:23">
      <c r="A2372" t="s">
        <v>17</v>
      </c>
      <c r="B2372">
        <v>487722</v>
      </c>
      <c r="C2372">
        <v>7</v>
      </c>
      <c r="D2372">
        <v>20</v>
      </c>
      <c r="E2372">
        <v>120</v>
      </c>
      <c r="F2372">
        <v>4</v>
      </c>
      <c r="G2372">
        <v>105</v>
      </c>
      <c r="H2372">
        <v>25</v>
      </c>
      <c r="I2372">
        <v>723</v>
      </c>
      <c r="J2372">
        <v>0</v>
      </c>
      <c r="K2372">
        <v>4.9820000000000002</v>
      </c>
      <c r="L2372">
        <v>10.147</v>
      </c>
      <c r="M2372">
        <v>103.94250000000001</v>
      </c>
      <c r="N2372">
        <v>17.38</v>
      </c>
      <c r="O2372">
        <v>1676</v>
      </c>
      <c r="P2372">
        <v>869</v>
      </c>
      <c r="Q2372" s="5" t="e">
        <f>IF(AND(#REF!&gt;=table!$C$6,#REF!&lt;= table!$D$6),-1,IF(AND(#REF!&gt;=table!$E$6,#REF!&lt;=table!$F$6),1,0))</f>
        <v>#REF!</v>
      </c>
      <c r="R2372" s="5" t="e">
        <f>IF(AND(#REF!&gt;=table!$C$7,#REF!&lt;= table!$D$7),-1,IF(AND(#REF!&gt;=table!$E$7,#REF!&lt;=table!$F$7),1,0))</f>
        <v>#REF!</v>
      </c>
      <c r="S2372" s="5" t="e">
        <f>IF(AND(#REF!&gt;=table!$C$8,#REF!&lt;= table!$D$8),-1,IF(AND(#REF!&gt;=table!$E$8,#REF!&lt;=table!$F$8),1,0))</f>
        <v>#REF!</v>
      </c>
      <c r="T2372" s="5"/>
      <c r="U2372" s="5" t="e">
        <f>IF(AND(#REF!&gt;=table!$C$10,#REF!&lt;= table!$D$10),-1,IF(AND(#REF!&gt;=table!$E$10,#REF!&lt;=table!$F$10),1,0))</f>
        <v>#REF!</v>
      </c>
      <c r="V2372" s="5" t="e">
        <f>IF(AND(#REF!&gt;=table!$C$11,#REF!&lt;= table!$D$11),-1,IF(AND(#REF!&gt;=table!$E$11,#REF!&lt;=table!$F$11),1,0))</f>
        <v>#REF!</v>
      </c>
      <c r="W2372" s="5" t="e">
        <f>CONCATENATE(dados[[#This Row],[fator1]],dados[[#This Row],[fator5]],dados[[#This Row],[fator6]])</f>
        <v>#REF!</v>
      </c>
    </row>
    <row r="2373" spans="1:23">
      <c r="A2373" t="s">
        <v>16</v>
      </c>
      <c r="B2373">
        <v>487723</v>
      </c>
      <c r="C2373">
        <v>0.1</v>
      </c>
      <c r="D2373">
        <v>40</v>
      </c>
      <c r="E2373">
        <v>10</v>
      </c>
      <c r="F2373">
        <v>8</v>
      </c>
      <c r="G2373">
        <v>0</v>
      </c>
      <c r="H2373">
        <v>10</v>
      </c>
      <c r="I2373">
        <v>1088</v>
      </c>
      <c r="J2373">
        <v>0</v>
      </c>
      <c r="K2373">
        <v>4.2050000000000001</v>
      </c>
      <c r="L2373">
        <v>9.907</v>
      </c>
      <c r="M2373">
        <v>8.3580000000000005</v>
      </c>
      <c r="N2373">
        <v>12.39</v>
      </c>
      <c r="O2373">
        <v>1676</v>
      </c>
      <c r="P2373">
        <v>0</v>
      </c>
      <c r="Q2373" s="5" t="e">
        <f>IF(AND(#REF!&gt;=table!$C$6,#REF!&lt;= table!$D$6),-1,IF(AND(#REF!&gt;=table!$E$6,#REF!&lt;=table!$F$6),1,0))</f>
        <v>#REF!</v>
      </c>
      <c r="R2373" s="5" t="e">
        <f>IF(AND(#REF!&gt;=table!$C$7,#REF!&lt;= table!$D$7),-1,IF(AND(#REF!&gt;=table!$E$7,#REF!&lt;=table!$F$7),1,0))</f>
        <v>#REF!</v>
      </c>
      <c r="S2373" s="5" t="e">
        <f>IF(AND(#REF!&gt;=table!$C$8,#REF!&lt;= table!$D$8),-1,IF(AND(#REF!&gt;=table!$E$8,#REF!&lt;=table!$F$8),1,0))</f>
        <v>#REF!</v>
      </c>
      <c r="T2373" s="5"/>
      <c r="U2373" s="5" t="e">
        <f>IF(AND(#REF!&gt;=table!$C$10,#REF!&lt;= table!$D$10),-1,IF(AND(#REF!&gt;=table!$E$10,#REF!&lt;=table!$F$10),1,0))</f>
        <v>#REF!</v>
      </c>
      <c r="V2373" s="5" t="e">
        <f>IF(AND(#REF!&gt;=table!$C$11,#REF!&lt;= table!$D$11),-1,IF(AND(#REF!&gt;=table!$E$11,#REF!&lt;=table!$F$11),1,0))</f>
        <v>#REF!</v>
      </c>
      <c r="W2373" s="5" t="e">
        <f>CONCATENATE(dados[[#This Row],[fator1]],dados[[#This Row],[fator5]],dados[[#This Row],[fator6]])</f>
        <v>#REF!</v>
      </c>
    </row>
    <row r="2374" spans="1:23">
      <c r="A2374" t="s">
        <v>16</v>
      </c>
      <c r="B2374">
        <v>487725</v>
      </c>
      <c r="C2374">
        <v>0.15</v>
      </c>
      <c r="D2374">
        <v>35</v>
      </c>
      <c r="E2374">
        <v>15</v>
      </c>
      <c r="F2374">
        <v>10</v>
      </c>
      <c r="G2374">
        <v>0</v>
      </c>
      <c r="H2374">
        <v>12</v>
      </c>
      <c r="I2374">
        <v>0</v>
      </c>
      <c r="J2374">
        <v>0</v>
      </c>
      <c r="K2374">
        <v>6.806</v>
      </c>
      <c r="L2374">
        <v>11.0625</v>
      </c>
      <c r="M2374">
        <v>9.8655000000000008</v>
      </c>
      <c r="N2374">
        <v>13.305000000000001</v>
      </c>
      <c r="O2374">
        <v>1658</v>
      </c>
      <c r="P2374">
        <v>506</v>
      </c>
      <c r="Q2374" s="5" t="e">
        <f>IF(AND(#REF!&gt;=table!$C$6,#REF!&lt;= table!$D$6),-1,IF(AND(#REF!&gt;=table!$E$6,#REF!&lt;=table!$F$6),1,0))</f>
        <v>#REF!</v>
      </c>
      <c r="R2374" s="5" t="e">
        <f>IF(AND(#REF!&gt;=table!$C$7,#REF!&lt;= table!$D$7),-1,IF(AND(#REF!&gt;=table!$E$7,#REF!&lt;=table!$F$7),1,0))</f>
        <v>#REF!</v>
      </c>
      <c r="S2374" s="5" t="e">
        <f>IF(AND(#REF!&gt;=table!$C$8,#REF!&lt;= table!$D$8),-1,IF(AND(#REF!&gt;=table!$E$8,#REF!&lt;=table!$F$8),1,0))</f>
        <v>#REF!</v>
      </c>
      <c r="T2374" s="5"/>
      <c r="U2374" s="5" t="e">
        <f>IF(AND(#REF!&gt;=table!$C$10,#REF!&lt;= table!$D$10),-1,IF(AND(#REF!&gt;=table!$E$10,#REF!&lt;=table!$F$10),1,0))</f>
        <v>#REF!</v>
      </c>
      <c r="V2374" s="5" t="e">
        <f>IF(AND(#REF!&gt;=table!$C$11,#REF!&lt;= table!$D$11),-1,IF(AND(#REF!&gt;=table!$E$11,#REF!&lt;=table!$F$11),1,0))</f>
        <v>#REF!</v>
      </c>
      <c r="W2374" s="5" t="e">
        <f>CONCATENATE(dados[[#This Row],[fator1]],dados[[#This Row],[fator5]],dados[[#This Row],[fator6]])</f>
        <v>#REF!</v>
      </c>
    </row>
    <row r="2375" spans="1:23">
      <c r="A2375" t="s">
        <v>16</v>
      </c>
      <c r="B2375">
        <v>487726</v>
      </c>
      <c r="C2375">
        <v>0.15</v>
      </c>
      <c r="D2375">
        <v>35</v>
      </c>
      <c r="E2375">
        <v>15</v>
      </c>
      <c r="F2375">
        <v>10</v>
      </c>
      <c r="G2375">
        <v>0</v>
      </c>
      <c r="H2375">
        <v>12</v>
      </c>
      <c r="I2375">
        <v>932</v>
      </c>
      <c r="J2375">
        <v>680</v>
      </c>
      <c r="K2375">
        <v>4.4895000000000005</v>
      </c>
      <c r="L2375">
        <v>11.339</v>
      </c>
      <c r="M2375">
        <v>6.8340000000000005</v>
      </c>
      <c r="N2375">
        <v>11.120000000000001</v>
      </c>
      <c r="O2375">
        <v>1695</v>
      </c>
      <c r="P2375">
        <v>969</v>
      </c>
      <c r="Q2375" s="5" t="e">
        <f>IF(AND(#REF!&gt;=table!$C$6,#REF!&lt;= table!$D$6),-1,IF(AND(#REF!&gt;=table!$E$6,#REF!&lt;=table!$F$6),1,0))</f>
        <v>#REF!</v>
      </c>
      <c r="R2375" s="5" t="e">
        <f>IF(AND(#REF!&gt;=table!$C$7,#REF!&lt;= table!$D$7),-1,IF(AND(#REF!&gt;=table!$E$7,#REF!&lt;=table!$F$7),1,0))</f>
        <v>#REF!</v>
      </c>
      <c r="S2375" s="5" t="e">
        <f>IF(AND(#REF!&gt;=table!$C$8,#REF!&lt;= table!$D$8),-1,IF(AND(#REF!&gt;=table!$E$8,#REF!&lt;=table!$F$8),1,0))</f>
        <v>#REF!</v>
      </c>
      <c r="T2375" s="5"/>
      <c r="U2375" s="5" t="e">
        <f>IF(AND(#REF!&gt;=table!$C$10,#REF!&lt;= table!$D$10),-1,IF(AND(#REF!&gt;=table!$E$10,#REF!&lt;=table!$F$10),1,0))</f>
        <v>#REF!</v>
      </c>
      <c r="V2375" s="5" t="e">
        <f>IF(AND(#REF!&gt;=table!$C$11,#REF!&lt;= table!$D$11),-1,IF(AND(#REF!&gt;=table!$E$11,#REF!&lt;=table!$F$11),1,0))</f>
        <v>#REF!</v>
      </c>
      <c r="W2375" s="5" t="e">
        <f>CONCATENATE(dados[[#This Row],[fator1]],dados[[#This Row],[fator5]],dados[[#This Row],[fator6]])</f>
        <v>#REF!</v>
      </c>
    </row>
    <row r="2376" spans="1:23">
      <c r="A2376" t="s">
        <v>16</v>
      </c>
      <c r="B2376">
        <v>487727</v>
      </c>
      <c r="C2376">
        <v>0.15</v>
      </c>
      <c r="D2376">
        <v>35</v>
      </c>
      <c r="E2376">
        <v>15</v>
      </c>
      <c r="F2376">
        <v>10</v>
      </c>
      <c r="G2376">
        <v>0</v>
      </c>
      <c r="H2376">
        <v>12</v>
      </c>
      <c r="I2376">
        <v>0</v>
      </c>
      <c r="J2376">
        <v>0</v>
      </c>
      <c r="K2376">
        <v>4.8195000000000006</v>
      </c>
      <c r="L2376">
        <v>9.0335000000000001</v>
      </c>
      <c r="M2376">
        <v>7.5260000000000007</v>
      </c>
      <c r="N2376">
        <v>11.535</v>
      </c>
      <c r="O2376">
        <v>1677</v>
      </c>
      <c r="P2376">
        <v>0</v>
      </c>
      <c r="Q2376" s="5" t="e">
        <f>IF(AND(#REF!&gt;=table!$C$6,#REF!&lt;= table!$D$6),-1,IF(AND(#REF!&gt;=table!$E$6,#REF!&lt;=table!$F$6),1,0))</f>
        <v>#REF!</v>
      </c>
      <c r="R2376" s="5" t="e">
        <f>IF(AND(#REF!&gt;=table!$C$7,#REF!&lt;= table!$D$7),-1,IF(AND(#REF!&gt;=table!$E$7,#REF!&lt;=table!$F$7),1,0))</f>
        <v>#REF!</v>
      </c>
      <c r="S2376" s="5" t="e">
        <f>IF(AND(#REF!&gt;=table!$C$8,#REF!&lt;= table!$D$8),-1,IF(AND(#REF!&gt;=table!$E$8,#REF!&lt;=table!$F$8),1,0))</f>
        <v>#REF!</v>
      </c>
      <c r="T2376" s="5"/>
      <c r="U2376" s="5" t="e">
        <f>IF(AND(#REF!&gt;=table!$C$10,#REF!&lt;= table!$D$10),-1,IF(AND(#REF!&gt;=table!$E$10,#REF!&lt;=table!$F$10),1,0))</f>
        <v>#REF!</v>
      </c>
      <c r="V2376" s="5" t="e">
        <f>IF(AND(#REF!&gt;=table!$C$11,#REF!&lt;= table!$D$11),-1,IF(AND(#REF!&gt;=table!$E$11,#REF!&lt;=table!$F$11),1,0))</f>
        <v>#REF!</v>
      </c>
      <c r="W2376" s="5" t="e">
        <f>CONCATENATE(dados[[#This Row],[fator1]],dados[[#This Row],[fator5]],dados[[#This Row],[fator6]])</f>
        <v>#REF!</v>
      </c>
    </row>
    <row r="2377" spans="1:23">
      <c r="A2377" t="s">
        <v>16</v>
      </c>
      <c r="B2377">
        <v>487728</v>
      </c>
      <c r="C2377">
        <v>0.15</v>
      </c>
      <c r="D2377">
        <v>35</v>
      </c>
      <c r="E2377">
        <v>15</v>
      </c>
      <c r="F2377">
        <v>10</v>
      </c>
      <c r="G2377">
        <v>0</v>
      </c>
      <c r="H2377">
        <v>12</v>
      </c>
      <c r="I2377">
        <v>137</v>
      </c>
      <c r="J2377">
        <v>0</v>
      </c>
      <c r="K2377">
        <v>3.5835000000000004</v>
      </c>
      <c r="L2377">
        <v>4.9895000000000005</v>
      </c>
      <c r="M2377">
        <v>4.0324999999999998</v>
      </c>
      <c r="N2377">
        <v>11.645000000000001</v>
      </c>
      <c r="O2377">
        <v>1683</v>
      </c>
      <c r="P2377">
        <v>0</v>
      </c>
      <c r="Q2377" s="5" t="e">
        <f>IF(AND(#REF!&gt;=table!$C$6,#REF!&lt;= table!$D$6),-1,IF(AND(#REF!&gt;=table!$E$6,#REF!&lt;=table!$F$6),1,0))</f>
        <v>#REF!</v>
      </c>
      <c r="R2377" s="5" t="e">
        <f>IF(AND(#REF!&gt;=table!$C$7,#REF!&lt;= table!$D$7),-1,IF(AND(#REF!&gt;=table!$E$7,#REF!&lt;=table!$F$7),1,0))</f>
        <v>#REF!</v>
      </c>
      <c r="S2377" s="5" t="e">
        <f>IF(AND(#REF!&gt;=table!$C$8,#REF!&lt;= table!$D$8),-1,IF(AND(#REF!&gt;=table!$E$8,#REF!&lt;=table!$F$8),1,0))</f>
        <v>#REF!</v>
      </c>
      <c r="T2377" s="5"/>
      <c r="U2377" s="5" t="e">
        <f>IF(AND(#REF!&gt;=table!$C$10,#REF!&lt;= table!$D$10),-1,IF(AND(#REF!&gt;=table!$E$10,#REF!&lt;=table!$F$10),1,0))</f>
        <v>#REF!</v>
      </c>
      <c r="V2377" s="5" t="e">
        <f>IF(AND(#REF!&gt;=table!$C$11,#REF!&lt;= table!$D$11),-1,IF(AND(#REF!&gt;=table!$E$11,#REF!&lt;=table!$F$11),1,0))</f>
        <v>#REF!</v>
      </c>
      <c r="W2377" s="5" t="e">
        <f>CONCATENATE(dados[[#This Row],[fator1]],dados[[#This Row],[fator5]],dados[[#This Row],[fator6]])</f>
        <v>#REF!</v>
      </c>
    </row>
    <row r="2378" spans="1:23">
      <c r="A2378" t="s">
        <v>16</v>
      </c>
      <c r="B2378">
        <v>487741</v>
      </c>
      <c r="C2378">
        <v>8</v>
      </c>
      <c r="D2378">
        <v>30</v>
      </c>
      <c r="E2378">
        <v>86</v>
      </c>
      <c r="F2378">
        <v>9</v>
      </c>
      <c r="G2378">
        <v>0</v>
      </c>
      <c r="H2378">
        <v>25</v>
      </c>
      <c r="I2378">
        <v>153</v>
      </c>
      <c r="J2378">
        <v>0</v>
      </c>
      <c r="K2378">
        <v>4.4945000000000004</v>
      </c>
      <c r="L2378">
        <v>5.2965</v>
      </c>
      <c r="M2378">
        <v>63.8795</v>
      </c>
      <c r="N2378">
        <v>14.06</v>
      </c>
      <c r="O2378">
        <v>1686</v>
      </c>
      <c r="P2378">
        <v>919</v>
      </c>
      <c r="Q2378" s="5" t="e">
        <f>IF(AND(#REF!&gt;=table!$C$6,#REF!&lt;= table!$D$6),-1,IF(AND(#REF!&gt;=table!$E$6,#REF!&lt;=table!$F$6),1,0))</f>
        <v>#REF!</v>
      </c>
      <c r="R2378" s="5" t="e">
        <f>IF(AND(#REF!&gt;=table!$C$7,#REF!&lt;= table!$D$7),-1,IF(AND(#REF!&gt;=table!$E$7,#REF!&lt;=table!$F$7),1,0))</f>
        <v>#REF!</v>
      </c>
      <c r="S2378" s="5" t="e">
        <f>IF(AND(#REF!&gt;=table!$C$8,#REF!&lt;= table!$D$8),-1,IF(AND(#REF!&gt;=table!$E$8,#REF!&lt;=table!$F$8),1,0))</f>
        <v>#REF!</v>
      </c>
      <c r="T2378" s="5"/>
      <c r="U2378" s="5" t="e">
        <f>IF(AND(#REF!&gt;=table!$C$10,#REF!&lt;= table!$D$10),-1,IF(AND(#REF!&gt;=table!$E$10,#REF!&lt;=table!$F$10),1,0))</f>
        <v>#REF!</v>
      </c>
      <c r="V2378" s="5" t="e">
        <f>IF(AND(#REF!&gt;=table!$C$11,#REF!&lt;= table!$D$11),-1,IF(AND(#REF!&gt;=table!$E$11,#REF!&lt;=table!$F$11),1,0))</f>
        <v>#REF!</v>
      </c>
      <c r="W2378" s="5" t="e">
        <f>CONCATENATE(dados[[#This Row],[fator1]],dados[[#This Row],[fator5]],dados[[#This Row],[fator6]])</f>
        <v>#REF!</v>
      </c>
    </row>
    <row r="2379" spans="1:23">
      <c r="A2379" t="s">
        <v>16</v>
      </c>
      <c r="B2379">
        <v>487742</v>
      </c>
      <c r="C2379">
        <v>8</v>
      </c>
      <c r="D2379">
        <v>30</v>
      </c>
      <c r="E2379">
        <v>86</v>
      </c>
      <c r="F2379">
        <v>9</v>
      </c>
      <c r="G2379">
        <v>0</v>
      </c>
      <c r="H2379">
        <v>25</v>
      </c>
      <c r="I2379">
        <v>78</v>
      </c>
      <c r="J2379">
        <v>0</v>
      </c>
      <c r="K2379">
        <v>3.5925000000000002</v>
      </c>
      <c r="L2379">
        <v>3.6780000000000004</v>
      </c>
      <c r="M2379">
        <v>68.197000000000003</v>
      </c>
      <c r="N2379">
        <v>16.285</v>
      </c>
      <c r="O2379">
        <v>1686</v>
      </c>
      <c r="P2379">
        <v>0</v>
      </c>
      <c r="Q2379" s="5" t="e">
        <f>IF(AND(#REF!&gt;=table!$C$6,#REF!&lt;= table!$D$6),-1,IF(AND(#REF!&gt;=table!$E$6,#REF!&lt;=table!$F$6),1,0))</f>
        <v>#REF!</v>
      </c>
      <c r="R2379" s="5" t="e">
        <f>IF(AND(#REF!&gt;=table!$C$7,#REF!&lt;= table!$D$7),-1,IF(AND(#REF!&gt;=table!$E$7,#REF!&lt;=table!$F$7),1,0))</f>
        <v>#REF!</v>
      </c>
      <c r="S2379" s="5" t="e">
        <f>IF(AND(#REF!&gt;=table!$C$8,#REF!&lt;= table!$D$8),-1,IF(AND(#REF!&gt;=table!$E$8,#REF!&lt;=table!$F$8),1,0))</f>
        <v>#REF!</v>
      </c>
      <c r="T2379" s="5"/>
      <c r="U2379" s="5" t="e">
        <f>IF(AND(#REF!&gt;=table!$C$10,#REF!&lt;= table!$D$10),-1,IF(AND(#REF!&gt;=table!$E$10,#REF!&lt;=table!$F$10),1,0))</f>
        <v>#REF!</v>
      </c>
      <c r="V2379" s="5" t="e">
        <f>IF(AND(#REF!&gt;=table!$C$11,#REF!&lt;= table!$D$11),-1,IF(AND(#REF!&gt;=table!$E$11,#REF!&lt;=table!$F$11),1,0))</f>
        <v>#REF!</v>
      </c>
      <c r="W2379" s="5" t="e">
        <f>CONCATENATE(dados[[#This Row],[fator1]],dados[[#This Row],[fator5]],dados[[#This Row],[fator6]])</f>
        <v>#REF!</v>
      </c>
    </row>
    <row r="2380" spans="1:23">
      <c r="A2380" t="s">
        <v>16</v>
      </c>
      <c r="B2380">
        <v>487748</v>
      </c>
      <c r="C2380">
        <v>11</v>
      </c>
      <c r="D2380">
        <v>40</v>
      </c>
      <c r="E2380">
        <v>151</v>
      </c>
      <c r="F2380">
        <v>8</v>
      </c>
      <c r="G2380">
        <v>0</v>
      </c>
      <c r="H2380">
        <v>25</v>
      </c>
      <c r="I2380">
        <v>334</v>
      </c>
      <c r="J2380">
        <v>0</v>
      </c>
      <c r="K2380">
        <v>8.2445000000000004</v>
      </c>
      <c r="L2380">
        <v>12.6905</v>
      </c>
      <c r="M2380">
        <v>108.73950000000001</v>
      </c>
      <c r="N2380">
        <v>16.46</v>
      </c>
      <c r="O2380">
        <v>1659</v>
      </c>
      <c r="P2380">
        <v>414</v>
      </c>
      <c r="Q2380" s="5" t="e">
        <f>IF(AND(#REF!&gt;=table!$C$6,#REF!&lt;= table!$D$6),-1,IF(AND(#REF!&gt;=table!$E$6,#REF!&lt;=table!$F$6),1,0))</f>
        <v>#REF!</v>
      </c>
      <c r="R2380" s="5" t="e">
        <f>IF(AND(#REF!&gt;=table!$C$7,#REF!&lt;= table!$D$7),-1,IF(AND(#REF!&gt;=table!$E$7,#REF!&lt;=table!$F$7),1,0))</f>
        <v>#REF!</v>
      </c>
      <c r="S2380" s="5" t="e">
        <f>IF(AND(#REF!&gt;=table!$C$8,#REF!&lt;= table!$D$8),-1,IF(AND(#REF!&gt;=table!$E$8,#REF!&lt;=table!$F$8),1,0))</f>
        <v>#REF!</v>
      </c>
      <c r="T2380" s="5"/>
      <c r="U2380" s="5" t="e">
        <f>IF(AND(#REF!&gt;=table!$C$10,#REF!&lt;= table!$D$10),-1,IF(AND(#REF!&gt;=table!$E$10,#REF!&lt;=table!$F$10),1,0))</f>
        <v>#REF!</v>
      </c>
      <c r="V2380" s="5" t="e">
        <f>IF(AND(#REF!&gt;=table!$C$11,#REF!&lt;= table!$D$11),-1,IF(AND(#REF!&gt;=table!$E$11,#REF!&lt;=table!$F$11),1,0))</f>
        <v>#REF!</v>
      </c>
      <c r="W2380" s="5" t="e">
        <f>CONCATENATE(dados[[#This Row],[fator1]],dados[[#This Row],[fator5]],dados[[#This Row],[fator6]])</f>
        <v>#REF!</v>
      </c>
    </row>
    <row r="2381" spans="1:23">
      <c r="A2381" t="s">
        <v>16</v>
      </c>
      <c r="B2381">
        <v>487756</v>
      </c>
      <c r="C2381">
        <v>12</v>
      </c>
      <c r="D2381">
        <v>35</v>
      </c>
      <c r="E2381">
        <v>180</v>
      </c>
      <c r="F2381">
        <v>6</v>
      </c>
      <c r="G2381">
        <v>0</v>
      </c>
      <c r="H2381">
        <v>20</v>
      </c>
      <c r="I2381">
        <v>509</v>
      </c>
      <c r="J2381">
        <v>0</v>
      </c>
      <c r="K2381">
        <v>4.5884999999999998</v>
      </c>
      <c r="L2381">
        <v>9.9055</v>
      </c>
      <c r="M2381">
        <v>149.71950000000001</v>
      </c>
      <c r="N2381">
        <v>13.43</v>
      </c>
      <c r="O2381">
        <v>1686</v>
      </c>
      <c r="P2381">
        <v>638</v>
      </c>
      <c r="Q2381" s="5" t="e">
        <f>IF(AND(#REF!&gt;=table!$C$6,#REF!&lt;= table!$D$6),-1,IF(AND(#REF!&gt;=table!$E$6,#REF!&lt;=table!$F$6),1,0))</f>
        <v>#REF!</v>
      </c>
      <c r="R2381" s="5" t="e">
        <f>IF(AND(#REF!&gt;=table!$C$7,#REF!&lt;= table!$D$7),-1,IF(AND(#REF!&gt;=table!$E$7,#REF!&lt;=table!$F$7),1,0))</f>
        <v>#REF!</v>
      </c>
      <c r="S2381" s="5" t="e">
        <f>IF(AND(#REF!&gt;=table!$C$8,#REF!&lt;= table!$D$8),-1,IF(AND(#REF!&gt;=table!$E$8,#REF!&lt;=table!$F$8),1,0))</f>
        <v>#REF!</v>
      </c>
      <c r="T2381" s="5"/>
      <c r="U2381" s="5" t="e">
        <f>IF(AND(#REF!&gt;=table!$C$10,#REF!&lt;= table!$D$10),-1,IF(AND(#REF!&gt;=table!$E$10,#REF!&lt;=table!$F$10),1,0))</f>
        <v>#REF!</v>
      </c>
      <c r="V2381" s="5" t="e">
        <f>IF(AND(#REF!&gt;=table!$C$11,#REF!&lt;= table!$D$11),-1,IF(AND(#REF!&gt;=table!$E$11,#REF!&lt;=table!$F$11),1,0))</f>
        <v>#REF!</v>
      </c>
      <c r="W2381" s="5" t="e">
        <f>CONCATENATE(dados[[#This Row],[fator1]],dados[[#This Row],[fator5]],dados[[#This Row],[fator6]])</f>
        <v>#REF!</v>
      </c>
    </row>
    <row r="2382" spans="1:23">
      <c r="A2382" t="s">
        <v>16</v>
      </c>
      <c r="B2382">
        <v>487757</v>
      </c>
      <c r="C2382">
        <v>12</v>
      </c>
      <c r="D2382">
        <v>35</v>
      </c>
      <c r="E2382">
        <v>180</v>
      </c>
      <c r="F2382">
        <v>6</v>
      </c>
      <c r="G2382">
        <v>0</v>
      </c>
      <c r="H2382">
        <v>20</v>
      </c>
      <c r="I2382">
        <v>662</v>
      </c>
      <c r="J2382">
        <v>0</v>
      </c>
      <c r="K2382">
        <v>5.5685000000000002</v>
      </c>
      <c r="L2382">
        <v>9.9745000000000008</v>
      </c>
      <c r="M2382">
        <v>150.52250000000001</v>
      </c>
      <c r="N2382">
        <v>14.255000000000001</v>
      </c>
      <c r="O2382">
        <v>1673</v>
      </c>
      <c r="P2382">
        <v>0</v>
      </c>
      <c r="Q2382" s="5" t="e">
        <f>IF(AND(#REF!&gt;=table!$C$6,#REF!&lt;= table!$D$6),-1,IF(AND(#REF!&gt;=table!$E$6,#REF!&lt;=table!$F$6),1,0))</f>
        <v>#REF!</v>
      </c>
      <c r="R2382" s="5" t="e">
        <f>IF(AND(#REF!&gt;=table!$C$7,#REF!&lt;= table!$D$7),-1,IF(AND(#REF!&gt;=table!$E$7,#REF!&lt;=table!$F$7),1,0))</f>
        <v>#REF!</v>
      </c>
      <c r="S2382" s="5" t="e">
        <f>IF(AND(#REF!&gt;=table!$C$8,#REF!&lt;= table!$D$8),-1,IF(AND(#REF!&gt;=table!$E$8,#REF!&lt;=table!$F$8),1,0))</f>
        <v>#REF!</v>
      </c>
      <c r="T2382" s="5"/>
      <c r="U2382" s="5" t="e">
        <f>IF(AND(#REF!&gt;=table!$C$10,#REF!&lt;= table!$D$10),-1,IF(AND(#REF!&gt;=table!$E$10,#REF!&lt;=table!$F$10),1,0))</f>
        <v>#REF!</v>
      </c>
      <c r="V2382" s="5" t="e">
        <f>IF(AND(#REF!&gt;=table!$C$11,#REF!&lt;= table!$D$11),-1,IF(AND(#REF!&gt;=table!$E$11,#REF!&lt;=table!$F$11),1,0))</f>
        <v>#REF!</v>
      </c>
      <c r="W2382" s="5" t="e">
        <f>CONCATENATE(dados[[#This Row],[fator1]],dados[[#This Row],[fator5]],dados[[#This Row],[fator6]])</f>
        <v>#REF!</v>
      </c>
    </row>
    <row r="2383" spans="1:23">
      <c r="A2383" t="s">
        <v>16</v>
      </c>
      <c r="B2383">
        <v>487762</v>
      </c>
      <c r="C2383">
        <v>12</v>
      </c>
      <c r="D2383">
        <v>35</v>
      </c>
      <c r="E2383">
        <v>86</v>
      </c>
      <c r="F2383">
        <v>10</v>
      </c>
      <c r="G2383">
        <v>0</v>
      </c>
      <c r="H2383">
        <v>25</v>
      </c>
      <c r="I2383">
        <v>0</v>
      </c>
      <c r="J2383">
        <v>0</v>
      </c>
      <c r="K2383">
        <v>3.5145</v>
      </c>
      <c r="L2383">
        <v>12.194000000000001</v>
      </c>
      <c r="M2383">
        <v>75.926500000000004</v>
      </c>
      <c r="N2383">
        <v>19.365000000000002</v>
      </c>
      <c r="O2383">
        <v>1662</v>
      </c>
      <c r="P2383">
        <v>681</v>
      </c>
      <c r="Q2383" s="5" t="e">
        <f>IF(AND(#REF!&gt;=table!$C$6,#REF!&lt;= table!$D$6),-1,IF(AND(#REF!&gt;=table!$E$6,#REF!&lt;=table!$F$6),1,0))</f>
        <v>#REF!</v>
      </c>
      <c r="R2383" s="5" t="e">
        <f>IF(AND(#REF!&gt;=table!$C$7,#REF!&lt;= table!$D$7),-1,IF(AND(#REF!&gt;=table!$E$7,#REF!&lt;=table!$F$7),1,0))</f>
        <v>#REF!</v>
      </c>
      <c r="S2383" s="5" t="e">
        <f>IF(AND(#REF!&gt;=table!$C$8,#REF!&lt;= table!$D$8),-1,IF(AND(#REF!&gt;=table!$E$8,#REF!&lt;=table!$F$8),1,0))</f>
        <v>#REF!</v>
      </c>
      <c r="T2383" s="5"/>
      <c r="U2383" s="5" t="e">
        <f>IF(AND(#REF!&gt;=table!$C$10,#REF!&lt;= table!$D$10),-1,IF(AND(#REF!&gt;=table!$E$10,#REF!&lt;=table!$F$10),1,0))</f>
        <v>#REF!</v>
      </c>
      <c r="V2383" s="5" t="e">
        <f>IF(AND(#REF!&gt;=table!$C$11,#REF!&lt;= table!$D$11),-1,IF(AND(#REF!&gt;=table!$E$11,#REF!&lt;=table!$F$11),1,0))</f>
        <v>#REF!</v>
      </c>
      <c r="W2383" s="5" t="e">
        <f>CONCATENATE(dados[[#This Row],[fator1]],dados[[#This Row],[fator5]],dados[[#This Row],[fator6]])</f>
        <v>#REF!</v>
      </c>
    </row>
    <row r="2384" spans="1:23">
      <c r="A2384" t="s">
        <v>16</v>
      </c>
      <c r="B2384">
        <v>487768</v>
      </c>
      <c r="C2384">
        <v>16</v>
      </c>
      <c r="D2384">
        <v>35</v>
      </c>
      <c r="E2384">
        <v>56</v>
      </c>
      <c r="F2384">
        <v>10</v>
      </c>
      <c r="G2384">
        <v>0</v>
      </c>
      <c r="H2384">
        <v>25</v>
      </c>
      <c r="I2384">
        <v>0</v>
      </c>
      <c r="J2384">
        <v>0</v>
      </c>
      <c r="K2384">
        <v>7.673</v>
      </c>
      <c r="L2384">
        <v>16.329000000000001</v>
      </c>
      <c r="M2384">
        <v>57.457500000000003</v>
      </c>
      <c r="N2384">
        <v>22.03</v>
      </c>
      <c r="O2384">
        <v>1646</v>
      </c>
      <c r="P2384">
        <v>393</v>
      </c>
      <c r="Q2384" s="5" t="e">
        <f>IF(AND(#REF!&gt;=table!$C$6,#REF!&lt;= table!$D$6),-1,IF(AND(#REF!&gt;=table!$E$6,#REF!&lt;=table!$F$6),1,0))</f>
        <v>#REF!</v>
      </c>
      <c r="R2384" s="5" t="e">
        <f>IF(AND(#REF!&gt;=table!$C$7,#REF!&lt;= table!$D$7),-1,IF(AND(#REF!&gt;=table!$E$7,#REF!&lt;=table!$F$7),1,0))</f>
        <v>#REF!</v>
      </c>
      <c r="S2384" s="5" t="e">
        <f>IF(AND(#REF!&gt;=table!$C$8,#REF!&lt;= table!$D$8),-1,IF(AND(#REF!&gt;=table!$E$8,#REF!&lt;=table!$F$8),1,0))</f>
        <v>#REF!</v>
      </c>
      <c r="T2384" s="5"/>
      <c r="U2384" s="5" t="e">
        <f>IF(AND(#REF!&gt;=table!$C$10,#REF!&lt;= table!$D$10),-1,IF(AND(#REF!&gt;=table!$E$10,#REF!&lt;=table!$F$10),1,0))</f>
        <v>#REF!</v>
      </c>
      <c r="V2384" s="5" t="e">
        <f>IF(AND(#REF!&gt;=table!$C$11,#REF!&lt;= table!$D$11),-1,IF(AND(#REF!&gt;=table!$E$11,#REF!&lt;=table!$F$11),1,0))</f>
        <v>#REF!</v>
      </c>
      <c r="W2384" s="5" t="e">
        <f>CONCATENATE(dados[[#This Row],[fator1]],dados[[#This Row],[fator5]],dados[[#This Row],[fator6]])</f>
        <v>#REF!</v>
      </c>
    </row>
    <row r="2385" spans="1:23">
      <c r="A2385" t="s">
        <v>16</v>
      </c>
      <c r="B2385">
        <v>487774</v>
      </c>
      <c r="C2385">
        <v>9</v>
      </c>
      <c r="D2385">
        <v>27</v>
      </c>
      <c r="E2385">
        <v>36</v>
      </c>
      <c r="F2385">
        <v>8</v>
      </c>
      <c r="G2385">
        <v>0</v>
      </c>
      <c r="H2385">
        <v>25</v>
      </c>
      <c r="I2385">
        <v>673</v>
      </c>
      <c r="J2385">
        <v>0</v>
      </c>
      <c r="K2385">
        <v>5.4795000000000007</v>
      </c>
      <c r="L2385">
        <v>10.5715</v>
      </c>
      <c r="M2385">
        <v>29.832000000000001</v>
      </c>
      <c r="N2385">
        <v>12.505000000000001</v>
      </c>
      <c r="O2385">
        <v>1661</v>
      </c>
      <c r="P2385">
        <v>697</v>
      </c>
      <c r="Q2385" s="5" t="e">
        <f>IF(AND(#REF!&gt;=table!$C$6,#REF!&lt;= table!$D$6),-1,IF(AND(#REF!&gt;=table!$E$6,#REF!&lt;=table!$F$6),1,0))</f>
        <v>#REF!</v>
      </c>
      <c r="R2385" s="5" t="e">
        <f>IF(AND(#REF!&gt;=table!$C$7,#REF!&lt;= table!$D$7),-1,IF(AND(#REF!&gt;=table!$E$7,#REF!&lt;=table!$F$7),1,0))</f>
        <v>#REF!</v>
      </c>
      <c r="S2385" s="5" t="e">
        <f>IF(AND(#REF!&gt;=table!$C$8,#REF!&lt;= table!$D$8),-1,IF(AND(#REF!&gt;=table!$E$8,#REF!&lt;=table!$F$8),1,0))</f>
        <v>#REF!</v>
      </c>
      <c r="T2385" s="5"/>
      <c r="U2385" s="5" t="e">
        <f>IF(AND(#REF!&gt;=table!$C$10,#REF!&lt;= table!$D$10),-1,IF(AND(#REF!&gt;=table!$E$10,#REF!&lt;=table!$F$10),1,0))</f>
        <v>#REF!</v>
      </c>
      <c r="V2385" s="5" t="e">
        <f>IF(AND(#REF!&gt;=table!$C$11,#REF!&lt;= table!$D$11),-1,IF(AND(#REF!&gt;=table!$E$11,#REF!&lt;=table!$F$11),1,0))</f>
        <v>#REF!</v>
      </c>
      <c r="W2385" s="5" t="e">
        <f>CONCATENATE(dados[[#This Row],[fator1]],dados[[#This Row],[fator5]],dados[[#This Row],[fator6]])</f>
        <v>#REF!</v>
      </c>
    </row>
    <row r="2386" spans="1:23">
      <c r="A2386" t="s">
        <v>16</v>
      </c>
      <c r="B2386">
        <v>487777</v>
      </c>
      <c r="C2386">
        <v>16</v>
      </c>
      <c r="D2386">
        <v>35</v>
      </c>
      <c r="E2386">
        <v>36</v>
      </c>
      <c r="F2386">
        <v>10</v>
      </c>
      <c r="G2386">
        <v>0</v>
      </c>
      <c r="H2386">
        <v>25</v>
      </c>
      <c r="I2386">
        <v>5</v>
      </c>
      <c r="J2386">
        <v>0</v>
      </c>
      <c r="K2386">
        <v>8.4355000000000011</v>
      </c>
      <c r="L2386">
        <v>9.8834999999999997</v>
      </c>
      <c r="M2386">
        <v>34.547499999999999</v>
      </c>
      <c r="N2386">
        <v>16.245000000000001</v>
      </c>
      <c r="O2386">
        <v>1677</v>
      </c>
      <c r="P2386">
        <v>509</v>
      </c>
      <c r="Q2386" s="5" t="e">
        <f>IF(AND(#REF!&gt;=table!$C$6,#REF!&lt;= table!$D$6),-1,IF(AND(#REF!&gt;=table!$E$6,#REF!&lt;=table!$F$6),1,0))</f>
        <v>#REF!</v>
      </c>
      <c r="R2386" s="5" t="e">
        <f>IF(AND(#REF!&gt;=table!$C$7,#REF!&lt;= table!$D$7),-1,IF(AND(#REF!&gt;=table!$E$7,#REF!&lt;=table!$F$7),1,0))</f>
        <v>#REF!</v>
      </c>
      <c r="S2386" s="5" t="e">
        <f>IF(AND(#REF!&gt;=table!$C$8,#REF!&lt;= table!$D$8),-1,IF(AND(#REF!&gt;=table!$E$8,#REF!&lt;=table!$F$8),1,0))</f>
        <v>#REF!</v>
      </c>
      <c r="T2386" s="5"/>
      <c r="U2386" s="5" t="e">
        <f>IF(AND(#REF!&gt;=table!$C$10,#REF!&lt;= table!$D$10),-1,IF(AND(#REF!&gt;=table!$E$10,#REF!&lt;=table!$F$10),1,0))</f>
        <v>#REF!</v>
      </c>
      <c r="V2386" s="5" t="e">
        <f>IF(AND(#REF!&gt;=table!$C$11,#REF!&lt;= table!$D$11),-1,IF(AND(#REF!&gt;=table!$E$11,#REF!&lt;=table!$F$11),1,0))</f>
        <v>#REF!</v>
      </c>
      <c r="W2386" s="5" t="e">
        <f>CONCATENATE(dados[[#This Row],[fator1]],dados[[#This Row],[fator5]],dados[[#This Row],[fator6]])</f>
        <v>#REF!</v>
      </c>
    </row>
    <row r="2387" spans="1:23">
      <c r="A2387" t="s">
        <v>16</v>
      </c>
      <c r="B2387">
        <v>487778</v>
      </c>
      <c r="C2387">
        <v>16</v>
      </c>
      <c r="D2387">
        <v>35</v>
      </c>
      <c r="E2387">
        <v>36</v>
      </c>
      <c r="F2387">
        <v>10</v>
      </c>
      <c r="G2387">
        <v>0</v>
      </c>
      <c r="H2387">
        <v>25</v>
      </c>
      <c r="I2387">
        <v>619</v>
      </c>
      <c r="J2387">
        <v>0</v>
      </c>
      <c r="K2387">
        <v>11.492000000000001</v>
      </c>
      <c r="L2387">
        <v>8.7590000000000003</v>
      </c>
      <c r="M2387">
        <v>33.810500000000005</v>
      </c>
      <c r="N2387">
        <v>12.57</v>
      </c>
      <c r="O2387">
        <v>1664</v>
      </c>
      <c r="P2387">
        <v>0</v>
      </c>
      <c r="Q2387" s="5" t="e">
        <f>IF(AND(#REF!&gt;=table!$C$6,#REF!&lt;= table!$D$6),-1,IF(AND(#REF!&gt;=table!$E$6,#REF!&lt;=table!$F$6),1,0))</f>
        <v>#REF!</v>
      </c>
      <c r="R2387" s="5" t="e">
        <f>IF(AND(#REF!&gt;=table!$C$7,#REF!&lt;= table!$D$7),-1,IF(AND(#REF!&gt;=table!$E$7,#REF!&lt;=table!$F$7),1,0))</f>
        <v>#REF!</v>
      </c>
      <c r="S2387" s="5" t="e">
        <f>IF(AND(#REF!&gt;=table!$C$8,#REF!&lt;= table!$D$8),-1,IF(AND(#REF!&gt;=table!$E$8,#REF!&lt;=table!$F$8),1,0))</f>
        <v>#REF!</v>
      </c>
      <c r="T2387" s="5"/>
      <c r="U2387" s="5" t="e">
        <f>IF(AND(#REF!&gt;=table!$C$10,#REF!&lt;= table!$D$10),-1,IF(AND(#REF!&gt;=table!$E$10,#REF!&lt;=table!$F$10),1,0))</f>
        <v>#REF!</v>
      </c>
      <c r="V2387" s="5" t="e">
        <f>IF(AND(#REF!&gt;=table!$C$11,#REF!&lt;= table!$D$11),-1,IF(AND(#REF!&gt;=table!$E$11,#REF!&lt;=table!$F$11),1,0))</f>
        <v>#REF!</v>
      </c>
      <c r="W2387" s="5" t="e">
        <f>CONCATENATE(dados[[#This Row],[fator1]],dados[[#This Row],[fator5]],dados[[#This Row],[fator6]])</f>
        <v>#REF!</v>
      </c>
    </row>
    <row r="2388" spans="1:23">
      <c r="A2388" t="s">
        <v>16</v>
      </c>
      <c r="B2388">
        <v>487779</v>
      </c>
      <c r="C2388">
        <v>0.15</v>
      </c>
      <c r="D2388">
        <v>40</v>
      </c>
      <c r="E2388">
        <v>10</v>
      </c>
      <c r="F2388">
        <v>15</v>
      </c>
      <c r="G2388">
        <v>0</v>
      </c>
      <c r="H2388">
        <v>15</v>
      </c>
      <c r="I2388">
        <v>0</v>
      </c>
      <c r="J2388">
        <v>0</v>
      </c>
      <c r="K2388">
        <v>9.4080000000000013</v>
      </c>
      <c r="L2388">
        <v>8.6430000000000007</v>
      </c>
      <c r="M2388">
        <v>8.386000000000001</v>
      </c>
      <c r="N2388">
        <v>8.91</v>
      </c>
      <c r="O2388">
        <v>1667</v>
      </c>
      <c r="P2388">
        <v>0</v>
      </c>
      <c r="Q2388" s="5" t="e">
        <f>IF(AND(#REF!&gt;=table!$C$6,#REF!&lt;= table!$D$6),-1,IF(AND(#REF!&gt;=table!$E$6,#REF!&lt;=table!$F$6),1,0))</f>
        <v>#REF!</v>
      </c>
      <c r="R2388" s="5" t="e">
        <f>IF(AND(#REF!&gt;=table!$C$7,#REF!&lt;= table!$D$7),-1,IF(AND(#REF!&gt;=table!$E$7,#REF!&lt;=table!$F$7),1,0))</f>
        <v>#REF!</v>
      </c>
      <c r="S2388" s="5" t="e">
        <f>IF(AND(#REF!&gt;=table!$C$8,#REF!&lt;= table!$D$8),-1,IF(AND(#REF!&gt;=table!$E$8,#REF!&lt;=table!$F$8),1,0))</f>
        <v>#REF!</v>
      </c>
      <c r="T2388" s="5"/>
      <c r="U2388" s="5" t="e">
        <f>IF(AND(#REF!&gt;=table!$C$10,#REF!&lt;= table!$D$10),-1,IF(AND(#REF!&gt;=table!$E$10,#REF!&lt;=table!$F$10),1,0))</f>
        <v>#REF!</v>
      </c>
      <c r="V2388" s="5" t="e">
        <f>IF(AND(#REF!&gt;=table!$C$11,#REF!&lt;= table!$D$11),-1,IF(AND(#REF!&gt;=table!$E$11,#REF!&lt;=table!$F$11),1,0))</f>
        <v>#REF!</v>
      </c>
      <c r="W2388" s="5" t="e">
        <f>CONCATENATE(dados[[#This Row],[fator1]],dados[[#This Row],[fator5]],dados[[#This Row],[fator6]])</f>
        <v>#REF!</v>
      </c>
    </row>
    <row r="2389" spans="1:23">
      <c r="A2389" t="s">
        <v>16</v>
      </c>
      <c r="B2389">
        <v>487781</v>
      </c>
      <c r="C2389">
        <v>0.15</v>
      </c>
      <c r="D2389">
        <v>40</v>
      </c>
      <c r="E2389">
        <v>10</v>
      </c>
      <c r="F2389">
        <v>15</v>
      </c>
      <c r="G2389">
        <v>0</v>
      </c>
      <c r="H2389">
        <v>15</v>
      </c>
      <c r="I2389">
        <v>0</v>
      </c>
      <c r="J2389">
        <v>0</v>
      </c>
      <c r="K2389">
        <v>6.0230000000000006</v>
      </c>
      <c r="L2389">
        <v>8.307500000000001</v>
      </c>
      <c r="M2389">
        <v>8.714500000000001</v>
      </c>
      <c r="N2389">
        <v>14.25</v>
      </c>
      <c r="O2389">
        <v>1689</v>
      </c>
      <c r="P2389">
        <v>0</v>
      </c>
      <c r="Q2389" s="5" t="e">
        <f>IF(AND(#REF!&gt;=table!$C$6,#REF!&lt;= table!$D$6),-1,IF(AND(#REF!&gt;=table!$E$6,#REF!&lt;=table!$F$6),1,0))</f>
        <v>#REF!</v>
      </c>
      <c r="R2389" s="5" t="e">
        <f>IF(AND(#REF!&gt;=table!$C$7,#REF!&lt;= table!$D$7),-1,IF(AND(#REF!&gt;=table!$E$7,#REF!&lt;=table!$F$7),1,0))</f>
        <v>#REF!</v>
      </c>
      <c r="S2389" s="5" t="e">
        <f>IF(AND(#REF!&gt;=table!$C$8,#REF!&lt;= table!$D$8),-1,IF(AND(#REF!&gt;=table!$E$8,#REF!&lt;=table!$F$8),1,0))</f>
        <v>#REF!</v>
      </c>
      <c r="T2389" s="5"/>
      <c r="U2389" s="5" t="e">
        <f>IF(AND(#REF!&gt;=table!$C$10,#REF!&lt;= table!$D$10),-1,IF(AND(#REF!&gt;=table!$E$10,#REF!&lt;=table!$F$10),1,0))</f>
        <v>#REF!</v>
      </c>
      <c r="V2389" s="5" t="e">
        <f>IF(AND(#REF!&gt;=table!$C$11,#REF!&lt;= table!$D$11),-1,IF(AND(#REF!&gt;=table!$E$11,#REF!&lt;=table!$F$11),1,0))</f>
        <v>#REF!</v>
      </c>
      <c r="W2389" s="5" t="e">
        <f>CONCATENATE(dados[[#This Row],[fator1]],dados[[#This Row],[fator5]],dados[[#This Row],[fator6]])</f>
        <v>#REF!</v>
      </c>
    </row>
    <row r="2390" spans="1:23">
      <c r="A2390" t="s">
        <v>16</v>
      </c>
      <c r="B2390">
        <v>487787</v>
      </c>
      <c r="C2390">
        <v>0.15</v>
      </c>
      <c r="D2390">
        <v>40</v>
      </c>
      <c r="E2390">
        <v>10</v>
      </c>
      <c r="F2390">
        <v>15</v>
      </c>
      <c r="G2390">
        <v>0</v>
      </c>
      <c r="H2390">
        <v>15</v>
      </c>
      <c r="I2390">
        <v>602</v>
      </c>
      <c r="J2390">
        <v>0</v>
      </c>
      <c r="K2390">
        <v>6.5490000000000004</v>
      </c>
      <c r="L2390">
        <v>7.3900000000000006</v>
      </c>
      <c r="M2390">
        <v>7.1060000000000008</v>
      </c>
      <c r="N2390">
        <v>8.0150000000000006</v>
      </c>
      <c r="O2390">
        <v>1634</v>
      </c>
      <c r="P2390">
        <v>0</v>
      </c>
      <c r="Q2390" s="5" t="e">
        <f>IF(AND(#REF!&gt;=table!$C$6,#REF!&lt;= table!$D$6),-1,IF(AND(#REF!&gt;=table!$E$6,#REF!&lt;=table!$F$6),1,0))</f>
        <v>#REF!</v>
      </c>
      <c r="R2390" s="5" t="e">
        <f>IF(AND(#REF!&gt;=table!$C$7,#REF!&lt;= table!$D$7),-1,IF(AND(#REF!&gt;=table!$E$7,#REF!&lt;=table!$F$7),1,0))</f>
        <v>#REF!</v>
      </c>
      <c r="S2390" s="5" t="e">
        <f>IF(AND(#REF!&gt;=table!$C$8,#REF!&lt;= table!$D$8),-1,IF(AND(#REF!&gt;=table!$E$8,#REF!&lt;=table!$F$8),1,0))</f>
        <v>#REF!</v>
      </c>
      <c r="T2390" s="5"/>
      <c r="U2390" s="5" t="e">
        <f>IF(AND(#REF!&gt;=table!$C$10,#REF!&lt;= table!$D$10),-1,IF(AND(#REF!&gt;=table!$E$10,#REF!&lt;=table!$F$10),1,0))</f>
        <v>#REF!</v>
      </c>
      <c r="V2390" s="5" t="e">
        <f>IF(AND(#REF!&gt;=table!$C$11,#REF!&lt;= table!$D$11),-1,IF(AND(#REF!&gt;=table!$E$11,#REF!&lt;=table!$F$11),1,0))</f>
        <v>#REF!</v>
      </c>
      <c r="W2390" s="5" t="e">
        <f>CONCATENATE(dados[[#This Row],[fator1]],dados[[#This Row],[fator5]],dados[[#This Row],[fator6]])</f>
        <v>#REF!</v>
      </c>
    </row>
    <row r="2391" spans="1:23">
      <c r="A2391" t="s">
        <v>17</v>
      </c>
      <c r="B2391">
        <v>487805</v>
      </c>
      <c r="C2391">
        <v>12</v>
      </c>
      <c r="D2391">
        <v>25</v>
      </c>
      <c r="E2391">
        <v>120</v>
      </c>
      <c r="F2391">
        <v>9</v>
      </c>
      <c r="G2391">
        <v>110</v>
      </c>
      <c r="H2391">
        <v>50</v>
      </c>
      <c r="I2391">
        <v>746</v>
      </c>
      <c r="J2391">
        <v>480</v>
      </c>
      <c r="K2391">
        <v>5.8755000000000006</v>
      </c>
      <c r="L2391">
        <v>9.6349999999999998</v>
      </c>
      <c r="M2391">
        <v>96.617000000000004</v>
      </c>
      <c r="N2391">
        <v>35.935000000000002</v>
      </c>
      <c r="O2391">
        <v>1649</v>
      </c>
      <c r="P2391">
        <v>676</v>
      </c>
      <c r="Q2391" s="5" t="e">
        <f>IF(AND(#REF!&gt;=table!$C$6,#REF!&lt;= table!$D$6),-1,IF(AND(#REF!&gt;=table!$E$6,#REF!&lt;=table!$F$6),1,0))</f>
        <v>#REF!</v>
      </c>
      <c r="R2391" s="5" t="e">
        <f>IF(AND(#REF!&gt;=table!$C$7,#REF!&lt;= table!$D$7),-1,IF(AND(#REF!&gt;=table!$E$7,#REF!&lt;=table!$F$7),1,0))</f>
        <v>#REF!</v>
      </c>
      <c r="S2391" s="5" t="e">
        <f>IF(AND(#REF!&gt;=table!$C$8,#REF!&lt;= table!$D$8),-1,IF(AND(#REF!&gt;=table!$E$8,#REF!&lt;=table!$F$8),1,0))</f>
        <v>#REF!</v>
      </c>
      <c r="T2391" s="5"/>
      <c r="U2391" s="5" t="e">
        <f>IF(AND(#REF!&gt;=table!$C$10,#REF!&lt;= table!$D$10),-1,IF(AND(#REF!&gt;=table!$E$10,#REF!&lt;=table!$F$10),1,0))</f>
        <v>#REF!</v>
      </c>
      <c r="V2391" s="5" t="e">
        <f>IF(AND(#REF!&gt;=table!$C$11,#REF!&lt;= table!$D$11),-1,IF(AND(#REF!&gt;=table!$E$11,#REF!&lt;=table!$F$11),1,0))</f>
        <v>#REF!</v>
      </c>
      <c r="W2391" s="5" t="e">
        <f>CONCATENATE(dados[[#This Row],[fator1]],dados[[#This Row],[fator5]],dados[[#This Row],[fator6]])</f>
        <v>#REF!</v>
      </c>
    </row>
    <row r="2392" spans="1:23">
      <c r="A2392" t="s">
        <v>17</v>
      </c>
      <c r="B2392">
        <v>487807</v>
      </c>
      <c r="C2392">
        <v>4</v>
      </c>
      <c r="D2392">
        <v>25</v>
      </c>
      <c r="E2392">
        <v>86</v>
      </c>
      <c r="F2392">
        <v>9</v>
      </c>
      <c r="G2392">
        <v>110</v>
      </c>
      <c r="H2392">
        <v>50</v>
      </c>
      <c r="I2392">
        <v>858</v>
      </c>
      <c r="J2392">
        <v>0</v>
      </c>
      <c r="K2392">
        <v>3.8675000000000002</v>
      </c>
      <c r="L2392">
        <v>6.7164999999999999</v>
      </c>
      <c r="M2392">
        <v>76.487000000000009</v>
      </c>
      <c r="N2392">
        <v>38.605000000000004</v>
      </c>
      <c r="O2392">
        <v>1659</v>
      </c>
      <c r="P2392">
        <v>0</v>
      </c>
      <c r="Q2392" s="5" t="e">
        <f>IF(AND(#REF!&gt;=table!$C$6,#REF!&lt;= table!$D$6),-1,IF(AND(#REF!&gt;=table!$E$6,#REF!&lt;=table!$F$6),1,0))</f>
        <v>#REF!</v>
      </c>
      <c r="R2392" s="5" t="e">
        <f>IF(AND(#REF!&gt;=table!$C$7,#REF!&lt;= table!$D$7),-1,IF(AND(#REF!&gt;=table!$E$7,#REF!&lt;=table!$F$7),1,0))</f>
        <v>#REF!</v>
      </c>
      <c r="S2392" s="5" t="e">
        <f>IF(AND(#REF!&gt;=table!$C$8,#REF!&lt;= table!$D$8),-1,IF(AND(#REF!&gt;=table!$E$8,#REF!&lt;=table!$F$8),1,0))</f>
        <v>#REF!</v>
      </c>
      <c r="T2392" s="5"/>
      <c r="U2392" s="5" t="e">
        <f>IF(AND(#REF!&gt;=table!$C$10,#REF!&lt;= table!$D$10),-1,IF(AND(#REF!&gt;=table!$E$10,#REF!&lt;=table!$F$10),1,0))</f>
        <v>#REF!</v>
      </c>
      <c r="V2392" s="5" t="e">
        <f>IF(AND(#REF!&gt;=table!$C$11,#REF!&lt;= table!$D$11),-1,IF(AND(#REF!&gt;=table!$E$11,#REF!&lt;=table!$F$11),1,0))</f>
        <v>#REF!</v>
      </c>
      <c r="W2392" s="5" t="e">
        <f>CONCATENATE(dados[[#This Row],[fator1]],dados[[#This Row],[fator5]],dados[[#This Row],[fator6]])</f>
        <v>#REF!</v>
      </c>
    </row>
    <row r="2393" spans="1:23">
      <c r="A2393" t="s">
        <v>17</v>
      </c>
      <c r="B2393">
        <v>487808</v>
      </c>
      <c r="C2393">
        <v>4</v>
      </c>
      <c r="D2393">
        <v>25</v>
      </c>
      <c r="E2393">
        <v>21</v>
      </c>
      <c r="F2393">
        <v>10</v>
      </c>
      <c r="G2393">
        <v>110</v>
      </c>
      <c r="H2393">
        <v>50</v>
      </c>
      <c r="I2393">
        <v>0</v>
      </c>
      <c r="J2393">
        <v>0</v>
      </c>
      <c r="K2393">
        <v>2.9555000000000002</v>
      </c>
      <c r="L2393">
        <v>12.228</v>
      </c>
      <c r="M2393">
        <v>22.398500000000002</v>
      </c>
      <c r="N2393">
        <v>28.875</v>
      </c>
      <c r="O2393">
        <v>1702</v>
      </c>
      <c r="P2393">
        <v>1353</v>
      </c>
      <c r="Q2393" s="5" t="e">
        <f>IF(AND(#REF!&gt;=table!$C$6,#REF!&lt;= table!$D$6),-1,IF(AND(#REF!&gt;=table!$E$6,#REF!&lt;=table!$F$6),1,0))</f>
        <v>#REF!</v>
      </c>
      <c r="R2393" s="5" t="e">
        <f>IF(AND(#REF!&gt;=table!$C$7,#REF!&lt;= table!$D$7),-1,IF(AND(#REF!&gt;=table!$E$7,#REF!&lt;=table!$F$7),1,0))</f>
        <v>#REF!</v>
      </c>
      <c r="S2393" s="5" t="e">
        <f>IF(AND(#REF!&gt;=table!$C$8,#REF!&lt;= table!$D$8),-1,IF(AND(#REF!&gt;=table!$E$8,#REF!&lt;=table!$F$8),1,0))</f>
        <v>#REF!</v>
      </c>
      <c r="T2393" s="5"/>
      <c r="U2393" s="5" t="e">
        <f>IF(AND(#REF!&gt;=table!$C$10,#REF!&lt;= table!$D$10),-1,IF(AND(#REF!&gt;=table!$E$10,#REF!&lt;=table!$F$10),1,0))</f>
        <v>#REF!</v>
      </c>
      <c r="V2393" s="5" t="e">
        <f>IF(AND(#REF!&gt;=table!$C$11,#REF!&lt;= table!$D$11),-1,IF(AND(#REF!&gt;=table!$E$11,#REF!&lt;=table!$F$11),1,0))</f>
        <v>#REF!</v>
      </c>
      <c r="W2393" s="5" t="e">
        <f>CONCATENATE(dados[[#This Row],[fator1]],dados[[#This Row],[fator5]],dados[[#This Row],[fator6]])</f>
        <v>#REF!</v>
      </c>
    </row>
    <row r="2394" spans="1:23">
      <c r="A2394" t="s">
        <v>16</v>
      </c>
      <c r="B2394">
        <v>487809</v>
      </c>
      <c r="C2394">
        <v>0.15</v>
      </c>
      <c r="D2394">
        <v>35</v>
      </c>
      <c r="E2394">
        <v>15</v>
      </c>
      <c r="F2394">
        <v>10</v>
      </c>
      <c r="G2394">
        <v>0</v>
      </c>
      <c r="H2394">
        <v>12</v>
      </c>
      <c r="I2394">
        <v>600</v>
      </c>
      <c r="J2394">
        <v>0</v>
      </c>
      <c r="K2394">
        <v>2.7435</v>
      </c>
      <c r="L2394">
        <v>6.9160000000000004</v>
      </c>
      <c r="M2394">
        <v>5.5920000000000005</v>
      </c>
      <c r="N2394">
        <v>12.555</v>
      </c>
      <c r="O2394">
        <v>1685</v>
      </c>
      <c r="P2394">
        <v>0</v>
      </c>
      <c r="Q2394" s="5" t="e">
        <f>IF(AND(#REF!&gt;=table!$C$6,#REF!&lt;= table!$D$6),-1,IF(AND(#REF!&gt;=table!$E$6,#REF!&lt;=table!$F$6),1,0))</f>
        <v>#REF!</v>
      </c>
      <c r="R2394" s="5" t="e">
        <f>IF(AND(#REF!&gt;=table!$C$7,#REF!&lt;= table!$D$7),-1,IF(AND(#REF!&gt;=table!$E$7,#REF!&lt;=table!$F$7),1,0))</f>
        <v>#REF!</v>
      </c>
      <c r="S2394" s="5" t="e">
        <f>IF(AND(#REF!&gt;=table!$C$8,#REF!&lt;= table!$D$8),-1,IF(AND(#REF!&gt;=table!$E$8,#REF!&lt;=table!$F$8),1,0))</f>
        <v>#REF!</v>
      </c>
      <c r="T2394" s="5"/>
      <c r="U2394" s="5" t="e">
        <f>IF(AND(#REF!&gt;=table!$C$10,#REF!&lt;= table!$D$10),-1,IF(AND(#REF!&gt;=table!$E$10,#REF!&lt;=table!$F$10),1,0))</f>
        <v>#REF!</v>
      </c>
      <c r="V2394" s="5" t="e">
        <f>IF(AND(#REF!&gt;=table!$C$11,#REF!&lt;= table!$D$11),-1,IF(AND(#REF!&gt;=table!$E$11,#REF!&lt;=table!$F$11),1,0))</f>
        <v>#REF!</v>
      </c>
      <c r="W2394" s="5" t="e">
        <f>CONCATENATE(dados[[#This Row],[fator1]],dados[[#This Row],[fator5]],dados[[#This Row],[fator6]])</f>
        <v>#REF!</v>
      </c>
    </row>
    <row r="2395" spans="1:23">
      <c r="A2395" t="s">
        <v>16</v>
      </c>
      <c r="B2395">
        <v>487812</v>
      </c>
      <c r="C2395">
        <v>0.15</v>
      </c>
      <c r="D2395">
        <v>35</v>
      </c>
      <c r="E2395">
        <v>15</v>
      </c>
      <c r="F2395">
        <v>10</v>
      </c>
      <c r="G2395">
        <v>0</v>
      </c>
      <c r="H2395">
        <v>12</v>
      </c>
      <c r="I2395">
        <v>663</v>
      </c>
      <c r="J2395">
        <v>0</v>
      </c>
      <c r="K2395">
        <v>4.7040000000000006</v>
      </c>
      <c r="L2395">
        <v>3.9950000000000001</v>
      </c>
      <c r="M2395">
        <v>3.887</v>
      </c>
      <c r="N2395">
        <v>5.6550000000000002</v>
      </c>
      <c r="O2395">
        <v>1666</v>
      </c>
      <c r="P2395">
        <v>0</v>
      </c>
      <c r="Q2395" s="5" t="e">
        <f>IF(AND(#REF!&gt;=table!$C$6,#REF!&lt;= table!$D$6),-1,IF(AND(#REF!&gt;=table!$E$6,#REF!&lt;=table!$F$6),1,0))</f>
        <v>#REF!</v>
      </c>
      <c r="R2395" s="5" t="e">
        <f>IF(AND(#REF!&gt;=table!$C$7,#REF!&lt;= table!$D$7),-1,IF(AND(#REF!&gt;=table!$E$7,#REF!&lt;=table!$F$7),1,0))</f>
        <v>#REF!</v>
      </c>
      <c r="S2395" s="5" t="e">
        <f>IF(AND(#REF!&gt;=table!$C$8,#REF!&lt;= table!$D$8),-1,IF(AND(#REF!&gt;=table!$E$8,#REF!&lt;=table!$F$8),1,0))</f>
        <v>#REF!</v>
      </c>
      <c r="T2395" s="5"/>
      <c r="U2395" s="5" t="e">
        <f>IF(AND(#REF!&gt;=table!$C$10,#REF!&lt;= table!$D$10),-1,IF(AND(#REF!&gt;=table!$E$10,#REF!&lt;=table!$F$10),1,0))</f>
        <v>#REF!</v>
      </c>
      <c r="V2395" s="5" t="e">
        <f>IF(AND(#REF!&gt;=table!$C$11,#REF!&lt;= table!$D$11),-1,IF(AND(#REF!&gt;=table!$E$11,#REF!&lt;=table!$F$11),1,0))</f>
        <v>#REF!</v>
      </c>
      <c r="W2395" s="5" t="e">
        <f>CONCATENATE(dados[[#This Row],[fator1]],dados[[#This Row],[fator5]],dados[[#This Row],[fator6]])</f>
        <v>#REF!</v>
      </c>
    </row>
    <row r="2396" spans="1:23">
      <c r="A2396" t="s">
        <v>16</v>
      </c>
      <c r="B2396">
        <v>487813</v>
      </c>
      <c r="C2396">
        <v>0.15</v>
      </c>
      <c r="D2396">
        <v>35</v>
      </c>
      <c r="E2396">
        <v>15</v>
      </c>
      <c r="F2396">
        <v>10</v>
      </c>
      <c r="G2396">
        <v>0</v>
      </c>
      <c r="H2396">
        <v>12</v>
      </c>
      <c r="I2396">
        <v>920</v>
      </c>
      <c r="J2396">
        <v>0</v>
      </c>
      <c r="K2396">
        <v>2.7800000000000002</v>
      </c>
      <c r="L2396">
        <v>3.9635000000000002</v>
      </c>
      <c r="M2396">
        <v>3.5775000000000001</v>
      </c>
      <c r="N2396">
        <v>9.7100000000000009</v>
      </c>
      <c r="O2396">
        <v>1693</v>
      </c>
      <c r="P2396">
        <v>0</v>
      </c>
      <c r="Q2396" s="5" t="e">
        <f>IF(AND(#REF!&gt;=table!$C$6,#REF!&lt;= table!$D$6),-1,IF(AND(#REF!&gt;=table!$E$6,#REF!&lt;=table!$F$6),1,0))</f>
        <v>#REF!</v>
      </c>
      <c r="R2396" s="5" t="e">
        <f>IF(AND(#REF!&gt;=table!$C$7,#REF!&lt;= table!$D$7),-1,IF(AND(#REF!&gt;=table!$E$7,#REF!&lt;=table!$F$7),1,0))</f>
        <v>#REF!</v>
      </c>
      <c r="S2396" s="5" t="e">
        <f>IF(AND(#REF!&gt;=table!$C$8,#REF!&lt;= table!$D$8),-1,IF(AND(#REF!&gt;=table!$E$8,#REF!&lt;=table!$F$8),1,0))</f>
        <v>#REF!</v>
      </c>
      <c r="T2396" s="5"/>
      <c r="U2396" s="5" t="e">
        <f>IF(AND(#REF!&gt;=table!$C$10,#REF!&lt;= table!$D$10),-1,IF(AND(#REF!&gt;=table!$E$10,#REF!&lt;=table!$F$10),1,0))</f>
        <v>#REF!</v>
      </c>
      <c r="V2396" s="5" t="e">
        <f>IF(AND(#REF!&gt;=table!$C$11,#REF!&lt;= table!$D$11),-1,IF(AND(#REF!&gt;=table!$E$11,#REF!&lt;=table!$F$11),1,0))</f>
        <v>#REF!</v>
      </c>
      <c r="W2396" s="5" t="e">
        <f>CONCATENATE(dados[[#This Row],[fator1]],dados[[#This Row],[fator5]],dados[[#This Row],[fator6]])</f>
        <v>#REF!</v>
      </c>
    </row>
    <row r="2397" spans="1:23">
      <c r="A2397" t="s">
        <v>17</v>
      </c>
      <c r="B2397">
        <v>487820</v>
      </c>
      <c r="C2397">
        <v>10</v>
      </c>
      <c r="D2397">
        <v>25</v>
      </c>
      <c r="E2397">
        <v>40</v>
      </c>
      <c r="F2397">
        <v>10</v>
      </c>
      <c r="G2397">
        <v>110</v>
      </c>
      <c r="H2397">
        <v>50</v>
      </c>
      <c r="I2397">
        <v>1517</v>
      </c>
      <c r="J2397">
        <v>0</v>
      </c>
      <c r="K2397">
        <v>3.6640000000000001</v>
      </c>
      <c r="L2397">
        <v>8.197000000000001</v>
      </c>
      <c r="M2397">
        <v>25.8355</v>
      </c>
      <c r="N2397">
        <v>26.92</v>
      </c>
      <c r="O2397">
        <v>1675</v>
      </c>
      <c r="P2397">
        <v>758</v>
      </c>
      <c r="Q2397" s="5" t="e">
        <f>IF(AND(#REF!&gt;=table!$C$6,#REF!&lt;= table!$D$6),-1,IF(AND(#REF!&gt;=table!$E$6,#REF!&lt;=table!$F$6),1,0))</f>
        <v>#REF!</v>
      </c>
      <c r="R2397" s="5" t="e">
        <f>IF(AND(#REF!&gt;=table!$C$7,#REF!&lt;= table!$D$7),-1,IF(AND(#REF!&gt;=table!$E$7,#REF!&lt;=table!$F$7),1,0))</f>
        <v>#REF!</v>
      </c>
      <c r="S2397" s="5" t="e">
        <f>IF(AND(#REF!&gt;=table!$C$8,#REF!&lt;= table!$D$8),-1,IF(AND(#REF!&gt;=table!$E$8,#REF!&lt;=table!$F$8),1,0))</f>
        <v>#REF!</v>
      </c>
      <c r="T2397" s="5"/>
      <c r="U2397" s="5" t="e">
        <f>IF(AND(#REF!&gt;=table!$C$10,#REF!&lt;= table!$D$10),-1,IF(AND(#REF!&gt;=table!$E$10,#REF!&lt;=table!$F$10),1,0))</f>
        <v>#REF!</v>
      </c>
      <c r="V2397" s="5" t="e">
        <f>IF(AND(#REF!&gt;=table!$C$11,#REF!&lt;= table!$D$11),-1,IF(AND(#REF!&gt;=table!$E$11,#REF!&lt;=table!$F$11),1,0))</f>
        <v>#REF!</v>
      </c>
      <c r="W2397" s="5" t="e">
        <f>CONCATENATE(dados[[#This Row],[fator1]],dados[[#This Row],[fator5]],dados[[#This Row],[fator6]])</f>
        <v>#REF!</v>
      </c>
    </row>
    <row r="2398" spans="1:23">
      <c r="A2398" t="s">
        <v>16</v>
      </c>
      <c r="B2398">
        <v>487829</v>
      </c>
      <c r="C2398">
        <v>0.15</v>
      </c>
      <c r="D2398">
        <v>40</v>
      </c>
      <c r="E2398">
        <v>10</v>
      </c>
      <c r="F2398">
        <v>15</v>
      </c>
      <c r="G2398">
        <v>0</v>
      </c>
      <c r="H2398">
        <v>15</v>
      </c>
      <c r="I2398">
        <v>1260</v>
      </c>
      <c r="J2398">
        <v>0</v>
      </c>
      <c r="K2398">
        <v>4.5230000000000006</v>
      </c>
      <c r="L2398">
        <v>9.775500000000001</v>
      </c>
      <c r="M2398">
        <v>8.2409999999999997</v>
      </c>
      <c r="N2398">
        <v>13.13</v>
      </c>
      <c r="O2398">
        <v>1713</v>
      </c>
      <c r="P2398">
        <v>0</v>
      </c>
      <c r="Q2398" s="5" t="e">
        <f>IF(AND(#REF!&gt;=table!$C$6,#REF!&lt;= table!$D$6),-1,IF(AND(#REF!&gt;=table!$E$6,#REF!&lt;=table!$F$6),1,0))</f>
        <v>#REF!</v>
      </c>
      <c r="R2398" s="5" t="e">
        <f>IF(AND(#REF!&gt;=table!$C$7,#REF!&lt;= table!$D$7),-1,IF(AND(#REF!&gt;=table!$E$7,#REF!&lt;=table!$F$7),1,0))</f>
        <v>#REF!</v>
      </c>
      <c r="S2398" s="5" t="e">
        <f>IF(AND(#REF!&gt;=table!$C$8,#REF!&lt;= table!$D$8),-1,IF(AND(#REF!&gt;=table!$E$8,#REF!&lt;=table!$F$8),1,0))</f>
        <v>#REF!</v>
      </c>
      <c r="T2398" s="5"/>
      <c r="U2398" s="5" t="e">
        <f>IF(AND(#REF!&gt;=table!$C$10,#REF!&lt;= table!$D$10),-1,IF(AND(#REF!&gt;=table!$E$10,#REF!&lt;=table!$F$10),1,0))</f>
        <v>#REF!</v>
      </c>
      <c r="V2398" s="5" t="e">
        <f>IF(AND(#REF!&gt;=table!$C$11,#REF!&lt;= table!$D$11),-1,IF(AND(#REF!&gt;=table!$E$11,#REF!&lt;=table!$F$11),1,0))</f>
        <v>#REF!</v>
      </c>
      <c r="W2398" s="5" t="e">
        <f>CONCATENATE(dados[[#This Row],[fator1]],dados[[#This Row],[fator5]],dados[[#This Row],[fator6]])</f>
        <v>#REF!</v>
      </c>
    </row>
    <row r="2399" spans="1:23">
      <c r="A2399" t="s">
        <v>16</v>
      </c>
      <c r="B2399">
        <v>487840</v>
      </c>
      <c r="C2399">
        <v>0.18</v>
      </c>
      <c r="D2399">
        <v>50</v>
      </c>
      <c r="E2399">
        <v>56</v>
      </c>
      <c r="F2399">
        <v>15</v>
      </c>
      <c r="G2399">
        <v>0</v>
      </c>
      <c r="H2399">
        <v>50</v>
      </c>
      <c r="I2399">
        <v>789</v>
      </c>
      <c r="J2399">
        <v>0</v>
      </c>
      <c r="K2399">
        <v>2.887</v>
      </c>
      <c r="L2399">
        <v>3.7920000000000003</v>
      </c>
      <c r="M2399">
        <v>3.5425</v>
      </c>
      <c r="N2399">
        <v>12.235000000000001</v>
      </c>
      <c r="O2399">
        <v>1696</v>
      </c>
      <c r="P2399">
        <v>1728</v>
      </c>
      <c r="Q2399" s="5" t="e">
        <f>IF(AND(#REF!&gt;=table!$C$6,#REF!&lt;= table!$D$6),-1,IF(AND(#REF!&gt;=table!$E$6,#REF!&lt;=table!$F$6),1,0))</f>
        <v>#REF!</v>
      </c>
      <c r="R2399" s="5" t="e">
        <f>IF(AND(#REF!&gt;=table!$C$7,#REF!&lt;= table!$D$7),-1,IF(AND(#REF!&gt;=table!$E$7,#REF!&lt;=table!$F$7),1,0))</f>
        <v>#REF!</v>
      </c>
      <c r="S2399" s="5" t="e">
        <f>IF(AND(#REF!&gt;=table!$C$8,#REF!&lt;= table!$D$8),-1,IF(AND(#REF!&gt;=table!$E$8,#REF!&lt;=table!$F$8),1,0))</f>
        <v>#REF!</v>
      </c>
      <c r="T2399" s="5"/>
      <c r="U2399" s="5" t="e">
        <f>IF(AND(#REF!&gt;=table!$C$10,#REF!&lt;= table!$D$10),-1,IF(AND(#REF!&gt;=table!$E$10,#REF!&lt;=table!$F$10),1,0))</f>
        <v>#REF!</v>
      </c>
      <c r="V2399" s="5" t="e">
        <f>IF(AND(#REF!&gt;=table!$C$11,#REF!&lt;= table!$D$11),-1,IF(AND(#REF!&gt;=table!$E$11,#REF!&lt;=table!$F$11),1,0))</f>
        <v>#REF!</v>
      </c>
      <c r="W2399" s="5" t="e">
        <f>CONCATENATE(dados[[#This Row],[fator1]],dados[[#This Row],[fator5]],dados[[#This Row],[fator6]])</f>
        <v>#REF!</v>
      </c>
    </row>
    <row r="2400" spans="1:23">
      <c r="A2400" t="s">
        <v>17</v>
      </c>
      <c r="B2400">
        <v>487842</v>
      </c>
      <c r="C2400">
        <v>4</v>
      </c>
      <c r="D2400">
        <v>35</v>
      </c>
      <c r="E2400">
        <v>140</v>
      </c>
      <c r="F2400">
        <v>6</v>
      </c>
      <c r="G2400">
        <v>15</v>
      </c>
      <c r="H2400">
        <v>20</v>
      </c>
      <c r="I2400">
        <v>555</v>
      </c>
      <c r="J2400">
        <v>0</v>
      </c>
      <c r="K2400">
        <v>2.8705000000000003</v>
      </c>
      <c r="L2400">
        <v>4.0705</v>
      </c>
      <c r="M2400">
        <v>109.6465</v>
      </c>
      <c r="N2400">
        <v>10.16</v>
      </c>
      <c r="O2400">
        <v>1667</v>
      </c>
      <c r="P2400">
        <v>0</v>
      </c>
      <c r="Q2400" s="5" t="e">
        <f>IF(AND(#REF!&gt;=table!$C$6,#REF!&lt;= table!$D$6),-1,IF(AND(#REF!&gt;=table!$E$6,#REF!&lt;=table!$F$6),1,0))</f>
        <v>#REF!</v>
      </c>
      <c r="R2400" s="5" t="e">
        <f>IF(AND(#REF!&gt;=table!$C$7,#REF!&lt;= table!$D$7),-1,IF(AND(#REF!&gt;=table!$E$7,#REF!&lt;=table!$F$7),1,0))</f>
        <v>#REF!</v>
      </c>
      <c r="S2400" s="5" t="e">
        <f>IF(AND(#REF!&gt;=table!$C$8,#REF!&lt;= table!$D$8),-1,IF(AND(#REF!&gt;=table!$E$8,#REF!&lt;=table!$F$8),1,0))</f>
        <v>#REF!</v>
      </c>
      <c r="T2400" s="5"/>
      <c r="U2400" s="5" t="e">
        <f>IF(AND(#REF!&gt;=table!$C$10,#REF!&lt;= table!$D$10),-1,IF(AND(#REF!&gt;=table!$E$10,#REF!&lt;=table!$F$10),1,0))</f>
        <v>#REF!</v>
      </c>
      <c r="V2400" s="5" t="e">
        <f>IF(AND(#REF!&gt;=table!$C$11,#REF!&lt;= table!$D$11),-1,IF(AND(#REF!&gt;=table!$E$11,#REF!&lt;=table!$F$11),1,0))</f>
        <v>#REF!</v>
      </c>
      <c r="W2400" s="5" t="e">
        <f>CONCATENATE(dados[[#This Row],[fator1]],dados[[#This Row],[fator5]],dados[[#This Row],[fator6]])</f>
        <v>#REF!</v>
      </c>
    </row>
    <row r="2401" spans="1:23">
      <c r="A2401" t="s">
        <v>17</v>
      </c>
      <c r="B2401">
        <v>487845</v>
      </c>
      <c r="C2401">
        <v>7</v>
      </c>
      <c r="D2401">
        <v>35</v>
      </c>
      <c r="E2401">
        <v>200</v>
      </c>
      <c r="F2401">
        <v>8</v>
      </c>
      <c r="G2401">
        <v>50</v>
      </c>
      <c r="H2401">
        <v>25</v>
      </c>
      <c r="I2401">
        <v>541</v>
      </c>
      <c r="J2401">
        <v>0</v>
      </c>
      <c r="K2401">
        <v>2.8995000000000002</v>
      </c>
      <c r="L2401">
        <v>7.0735000000000001</v>
      </c>
      <c r="M2401">
        <v>164.41200000000001</v>
      </c>
      <c r="N2401">
        <v>20.36</v>
      </c>
      <c r="O2401">
        <v>1668</v>
      </c>
      <c r="P2401">
        <v>0</v>
      </c>
      <c r="Q2401" s="5" t="e">
        <f>IF(AND(#REF!&gt;=table!$C$6,#REF!&lt;= table!$D$6),-1,IF(AND(#REF!&gt;=table!$E$6,#REF!&lt;=table!$F$6),1,0))</f>
        <v>#REF!</v>
      </c>
      <c r="R2401" s="5" t="e">
        <f>IF(AND(#REF!&gt;=table!$C$7,#REF!&lt;= table!$D$7),-1,IF(AND(#REF!&gt;=table!$E$7,#REF!&lt;=table!$F$7),1,0))</f>
        <v>#REF!</v>
      </c>
      <c r="S2401" s="5" t="e">
        <f>IF(AND(#REF!&gt;=table!$C$8,#REF!&lt;= table!$D$8),-1,IF(AND(#REF!&gt;=table!$E$8,#REF!&lt;=table!$F$8),1,0))</f>
        <v>#REF!</v>
      </c>
      <c r="T2401" s="5"/>
      <c r="U2401" s="5" t="e">
        <f>IF(AND(#REF!&gt;=table!$C$10,#REF!&lt;= table!$D$10),-1,IF(AND(#REF!&gt;=table!$E$10,#REF!&lt;=table!$F$10),1,0))</f>
        <v>#REF!</v>
      </c>
      <c r="V2401" s="5" t="e">
        <f>IF(AND(#REF!&gt;=table!$C$11,#REF!&lt;= table!$D$11),-1,IF(AND(#REF!&gt;=table!$E$11,#REF!&lt;=table!$F$11),1,0))</f>
        <v>#REF!</v>
      </c>
      <c r="W2401" s="5" t="e">
        <f>CONCATENATE(dados[[#This Row],[fator1]],dados[[#This Row],[fator5]],dados[[#This Row],[fator6]])</f>
        <v>#REF!</v>
      </c>
    </row>
    <row r="2402" spans="1:23">
      <c r="A2402" t="s">
        <v>17</v>
      </c>
      <c r="B2402">
        <v>487846</v>
      </c>
      <c r="C2402">
        <v>7</v>
      </c>
      <c r="D2402">
        <v>35</v>
      </c>
      <c r="E2402">
        <v>200</v>
      </c>
      <c r="F2402">
        <v>8</v>
      </c>
      <c r="G2402">
        <v>50</v>
      </c>
      <c r="H2402">
        <v>25</v>
      </c>
      <c r="I2402">
        <v>810</v>
      </c>
      <c r="J2402">
        <v>0</v>
      </c>
      <c r="K2402">
        <v>3.7455000000000003</v>
      </c>
      <c r="L2402">
        <v>8.8875000000000011</v>
      </c>
      <c r="M2402">
        <v>172.39450000000002</v>
      </c>
      <c r="N2402">
        <v>18.8</v>
      </c>
      <c r="O2402">
        <v>1687</v>
      </c>
      <c r="P2402">
        <v>0</v>
      </c>
      <c r="Q2402" s="5" t="e">
        <f>IF(AND(#REF!&gt;=table!$C$6,#REF!&lt;= table!$D$6),-1,IF(AND(#REF!&gt;=table!$E$6,#REF!&lt;=table!$F$6),1,0))</f>
        <v>#REF!</v>
      </c>
      <c r="R2402" s="5" t="e">
        <f>IF(AND(#REF!&gt;=table!$C$7,#REF!&lt;= table!$D$7),-1,IF(AND(#REF!&gt;=table!$E$7,#REF!&lt;=table!$F$7),1,0))</f>
        <v>#REF!</v>
      </c>
      <c r="S2402" s="5" t="e">
        <f>IF(AND(#REF!&gt;=table!$C$8,#REF!&lt;= table!$D$8),-1,IF(AND(#REF!&gt;=table!$E$8,#REF!&lt;=table!$F$8),1,0))</f>
        <v>#REF!</v>
      </c>
      <c r="T2402" s="5"/>
      <c r="U2402" s="5" t="e">
        <f>IF(AND(#REF!&gt;=table!$C$10,#REF!&lt;= table!$D$10),-1,IF(AND(#REF!&gt;=table!$E$10,#REF!&lt;=table!$F$10),1,0))</f>
        <v>#REF!</v>
      </c>
      <c r="V2402" s="5" t="e">
        <f>IF(AND(#REF!&gt;=table!$C$11,#REF!&lt;= table!$D$11),-1,IF(AND(#REF!&gt;=table!$E$11,#REF!&lt;=table!$F$11),1,0))</f>
        <v>#REF!</v>
      </c>
      <c r="W2402" s="5" t="e">
        <f>CONCATENATE(dados[[#This Row],[fator1]],dados[[#This Row],[fator5]],dados[[#This Row],[fator6]])</f>
        <v>#REF!</v>
      </c>
    </row>
    <row r="2403" spans="1:23">
      <c r="A2403" t="s">
        <v>17</v>
      </c>
      <c r="B2403">
        <v>487847</v>
      </c>
      <c r="C2403">
        <v>18</v>
      </c>
      <c r="D2403">
        <v>23</v>
      </c>
      <c r="E2403">
        <v>145</v>
      </c>
      <c r="F2403">
        <v>9</v>
      </c>
      <c r="G2403">
        <v>30</v>
      </c>
      <c r="H2403">
        <v>25</v>
      </c>
      <c r="I2403">
        <v>1128</v>
      </c>
      <c r="J2403">
        <v>0</v>
      </c>
      <c r="K2403">
        <v>3.5865</v>
      </c>
      <c r="L2403">
        <v>3.105</v>
      </c>
      <c r="M2403">
        <v>111.232</v>
      </c>
      <c r="N2403">
        <v>18.445</v>
      </c>
      <c r="O2403">
        <v>1685</v>
      </c>
      <c r="P2403">
        <v>0</v>
      </c>
      <c r="Q2403" s="5" t="e">
        <f>IF(AND(#REF!&gt;=table!$C$6,#REF!&lt;= table!$D$6),-1,IF(AND(#REF!&gt;=table!$E$6,#REF!&lt;=table!$F$6),1,0))</f>
        <v>#REF!</v>
      </c>
      <c r="R2403" s="5" t="e">
        <f>IF(AND(#REF!&gt;=table!$C$7,#REF!&lt;= table!$D$7),-1,IF(AND(#REF!&gt;=table!$E$7,#REF!&lt;=table!$F$7),1,0))</f>
        <v>#REF!</v>
      </c>
      <c r="S2403" s="5" t="e">
        <f>IF(AND(#REF!&gt;=table!$C$8,#REF!&lt;= table!$D$8),-1,IF(AND(#REF!&gt;=table!$E$8,#REF!&lt;=table!$F$8),1,0))</f>
        <v>#REF!</v>
      </c>
      <c r="T2403" s="5"/>
      <c r="U2403" s="5" t="e">
        <f>IF(AND(#REF!&gt;=table!$C$10,#REF!&lt;= table!$D$10),-1,IF(AND(#REF!&gt;=table!$E$10,#REF!&lt;=table!$F$10),1,0))</f>
        <v>#REF!</v>
      </c>
      <c r="V2403" s="5" t="e">
        <f>IF(AND(#REF!&gt;=table!$C$11,#REF!&lt;= table!$D$11),-1,IF(AND(#REF!&gt;=table!$E$11,#REF!&lt;=table!$F$11),1,0))</f>
        <v>#REF!</v>
      </c>
      <c r="W2403" s="5" t="e">
        <f>CONCATENATE(dados[[#This Row],[fator1]],dados[[#This Row],[fator5]],dados[[#This Row],[fator6]])</f>
        <v>#REF!</v>
      </c>
    </row>
    <row r="2404" spans="1:23">
      <c r="A2404" t="s">
        <v>17</v>
      </c>
      <c r="B2404">
        <v>487849</v>
      </c>
      <c r="C2404">
        <v>16</v>
      </c>
      <c r="D2404">
        <v>25</v>
      </c>
      <c r="E2404">
        <v>56</v>
      </c>
      <c r="F2404">
        <v>10</v>
      </c>
      <c r="G2404">
        <v>13</v>
      </c>
      <c r="H2404">
        <v>25</v>
      </c>
      <c r="I2404">
        <v>726</v>
      </c>
      <c r="J2404">
        <v>20</v>
      </c>
      <c r="K2404">
        <v>3.2610000000000001</v>
      </c>
      <c r="L2404">
        <v>5.9925000000000006</v>
      </c>
      <c r="M2404">
        <v>37.692500000000003</v>
      </c>
      <c r="N2404">
        <v>13.27</v>
      </c>
      <c r="O2404">
        <v>1658</v>
      </c>
      <c r="P2404">
        <v>1101</v>
      </c>
      <c r="Q2404" s="5" t="e">
        <f>IF(AND(#REF!&gt;=table!$C$6,#REF!&lt;= table!$D$6),-1,IF(AND(#REF!&gt;=table!$E$6,#REF!&lt;=table!$F$6),1,0))</f>
        <v>#REF!</v>
      </c>
      <c r="R2404" s="5" t="e">
        <f>IF(AND(#REF!&gt;=table!$C$7,#REF!&lt;= table!$D$7),-1,IF(AND(#REF!&gt;=table!$E$7,#REF!&lt;=table!$F$7),1,0))</f>
        <v>#REF!</v>
      </c>
      <c r="S2404" s="5" t="e">
        <f>IF(AND(#REF!&gt;=table!$C$8,#REF!&lt;= table!$D$8),-1,IF(AND(#REF!&gt;=table!$E$8,#REF!&lt;=table!$F$8),1,0))</f>
        <v>#REF!</v>
      </c>
      <c r="T2404" s="5"/>
      <c r="U2404" s="5" t="e">
        <f>IF(AND(#REF!&gt;=table!$C$10,#REF!&lt;= table!$D$10),-1,IF(AND(#REF!&gt;=table!$E$10,#REF!&lt;=table!$F$10),1,0))</f>
        <v>#REF!</v>
      </c>
      <c r="V2404" s="5" t="e">
        <f>IF(AND(#REF!&gt;=table!$C$11,#REF!&lt;= table!$D$11),-1,IF(AND(#REF!&gt;=table!$E$11,#REF!&lt;=table!$F$11),1,0))</f>
        <v>#REF!</v>
      </c>
      <c r="W2404" s="5" t="e">
        <f>CONCATENATE(dados[[#This Row],[fator1]],dados[[#This Row],[fator5]],dados[[#This Row],[fator6]])</f>
        <v>#REF!</v>
      </c>
    </row>
    <row r="2405" spans="1:23">
      <c r="A2405" t="s">
        <v>17</v>
      </c>
      <c r="B2405">
        <v>487852</v>
      </c>
      <c r="C2405">
        <v>18</v>
      </c>
      <c r="D2405">
        <v>30</v>
      </c>
      <c r="E2405">
        <v>136</v>
      </c>
      <c r="F2405">
        <v>3</v>
      </c>
      <c r="G2405">
        <v>20</v>
      </c>
      <c r="H2405">
        <v>25</v>
      </c>
      <c r="I2405">
        <v>366</v>
      </c>
      <c r="J2405">
        <v>0</v>
      </c>
      <c r="K2405">
        <v>3.96</v>
      </c>
      <c r="L2405">
        <v>10.669</v>
      </c>
      <c r="M2405">
        <v>110.24900000000001</v>
      </c>
      <c r="N2405">
        <v>16.835000000000001</v>
      </c>
      <c r="O2405">
        <v>1682</v>
      </c>
      <c r="P2405">
        <v>926</v>
      </c>
      <c r="Q2405" s="5" t="e">
        <f>IF(AND(#REF!&gt;=table!$C$6,#REF!&lt;= table!$D$6),-1,IF(AND(#REF!&gt;=table!$E$6,#REF!&lt;=table!$F$6),1,0))</f>
        <v>#REF!</v>
      </c>
      <c r="R2405" s="5" t="e">
        <f>IF(AND(#REF!&gt;=table!$C$7,#REF!&lt;= table!$D$7),-1,IF(AND(#REF!&gt;=table!$E$7,#REF!&lt;=table!$F$7),1,0))</f>
        <v>#REF!</v>
      </c>
      <c r="S2405" s="5" t="e">
        <f>IF(AND(#REF!&gt;=table!$C$8,#REF!&lt;= table!$D$8),-1,IF(AND(#REF!&gt;=table!$E$8,#REF!&lt;=table!$F$8),1,0))</f>
        <v>#REF!</v>
      </c>
      <c r="T2405" s="5"/>
      <c r="U2405" s="5" t="e">
        <f>IF(AND(#REF!&gt;=table!$C$10,#REF!&lt;= table!$D$10),-1,IF(AND(#REF!&gt;=table!$E$10,#REF!&lt;=table!$F$10),1,0))</f>
        <v>#REF!</v>
      </c>
      <c r="V2405" s="5" t="e">
        <f>IF(AND(#REF!&gt;=table!$C$11,#REF!&lt;= table!$D$11),-1,IF(AND(#REF!&gt;=table!$E$11,#REF!&lt;=table!$F$11),1,0))</f>
        <v>#REF!</v>
      </c>
      <c r="W2405" s="5" t="e">
        <f>CONCATENATE(dados[[#This Row],[fator1]],dados[[#This Row],[fator5]],dados[[#This Row],[fator6]])</f>
        <v>#REF!</v>
      </c>
    </row>
    <row r="2406" spans="1:23">
      <c r="A2406" t="s">
        <v>17</v>
      </c>
      <c r="B2406">
        <v>487855</v>
      </c>
      <c r="C2406">
        <v>10</v>
      </c>
      <c r="D2406">
        <v>30</v>
      </c>
      <c r="E2406">
        <v>135</v>
      </c>
      <c r="F2406">
        <v>2</v>
      </c>
      <c r="G2406">
        <v>20</v>
      </c>
      <c r="H2406">
        <v>18</v>
      </c>
      <c r="I2406">
        <v>1137</v>
      </c>
      <c r="J2406">
        <v>0</v>
      </c>
      <c r="K2406">
        <v>3.7215000000000003</v>
      </c>
      <c r="L2406">
        <v>3.2335000000000003</v>
      </c>
      <c r="M2406">
        <v>108.08450000000001</v>
      </c>
      <c r="N2406">
        <v>6.0750000000000002</v>
      </c>
      <c r="O2406">
        <v>1664</v>
      </c>
      <c r="P2406">
        <v>0</v>
      </c>
      <c r="Q2406" s="5" t="e">
        <f>IF(AND(#REF!&gt;=table!$C$6,#REF!&lt;= table!$D$6),-1,IF(AND(#REF!&gt;=table!$E$6,#REF!&lt;=table!$F$6),1,0))</f>
        <v>#REF!</v>
      </c>
      <c r="R2406" s="5" t="e">
        <f>IF(AND(#REF!&gt;=table!$C$7,#REF!&lt;= table!$D$7),-1,IF(AND(#REF!&gt;=table!$E$7,#REF!&lt;=table!$F$7),1,0))</f>
        <v>#REF!</v>
      </c>
      <c r="S2406" s="5" t="e">
        <f>IF(AND(#REF!&gt;=table!$C$8,#REF!&lt;= table!$D$8),-1,IF(AND(#REF!&gt;=table!$E$8,#REF!&lt;=table!$F$8),1,0))</f>
        <v>#REF!</v>
      </c>
      <c r="T2406" s="5"/>
      <c r="U2406" s="5" t="e">
        <f>IF(AND(#REF!&gt;=table!$C$10,#REF!&lt;= table!$D$10),-1,IF(AND(#REF!&gt;=table!$E$10,#REF!&lt;=table!$F$10),1,0))</f>
        <v>#REF!</v>
      </c>
      <c r="V2406" s="5" t="e">
        <f>IF(AND(#REF!&gt;=table!$C$11,#REF!&lt;= table!$D$11),-1,IF(AND(#REF!&gt;=table!$E$11,#REF!&lt;=table!$F$11),1,0))</f>
        <v>#REF!</v>
      </c>
      <c r="W2406" s="5" t="e">
        <f>CONCATENATE(dados[[#This Row],[fator1]],dados[[#This Row],[fator5]],dados[[#This Row],[fator6]])</f>
        <v>#REF!</v>
      </c>
    </row>
    <row r="2407" spans="1:23">
      <c r="A2407" t="s">
        <v>16</v>
      </c>
      <c r="B2407">
        <v>487857</v>
      </c>
      <c r="C2407">
        <v>0.15</v>
      </c>
      <c r="D2407">
        <v>40</v>
      </c>
      <c r="E2407">
        <v>64</v>
      </c>
      <c r="F2407">
        <v>10</v>
      </c>
      <c r="G2407">
        <v>0</v>
      </c>
      <c r="H2407">
        <v>35</v>
      </c>
      <c r="I2407">
        <v>746</v>
      </c>
      <c r="J2407">
        <v>760</v>
      </c>
      <c r="K2407">
        <v>5.5325000000000006</v>
      </c>
      <c r="L2407">
        <v>5.9995000000000003</v>
      </c>
      <c r="M2407">
        <v>3.6015000000000001</v>
      </c>
      <c r="N2407">
        <v>14.785</v>
      </c>
      <c r="O2407">
        <v>1630</v>
      </c>
      <c r="P2407">
        <v>0</v>
      </c>
      <c r="Q2407" s="5" t="e">
        <f>IF(AND(#REF!&gt;=table!$C$6,#REF!&lt;= table!$D$6),-1,IF(AND(#REF!&gt;=table!$E$6,#REF!&lt;=table!$F$6),1,0))</f>
        <v>#REF!</v>
      </c>
      <c r="R2407" s="5" t="e">
        <f>IF(AND(#REF!&gt;=table!$C$7,#REF!&lt;= table!$D$7),-1,IF(AND(#REF!&gt;=table!$E$7,#REF!&lt;=table!$F$7),1,0))</f>
        <v>#REF!</v>
      </c>
      <c r="S2407" s="5" t="e">
        <f>IF(AND(#REF!&gt;=table!$C$8,#REF!&lt;= table!$D$8),-1,IF(AND(#REF!&gt;=table!$E$8,#REF!&lt;=table!$F$8),1,0))</f>
        <v>#REF!</v>
      </c>
      <c r="T2407" s="5"/>
      <c r="U2407" s="5" t="e">
        <f>IF(AND(#REF!&gt;=table!$C$10,#REF!&lt;= table!$D$10),-1,IF(AND(#REF!&gt;=table!$E$10,#REF!&lt;=table!$F$10),1,0))</f>
        <v>#REF!</v>
      </c>
      <c r="V2407" s="5" t="e">
        <f>IF(AND(#REF!&gt;=table!$C$11,#REF!&lt;= table!$D$11),-1,IF(AND(#REF!&gt;=table!$E$11,#REF!&lt;=table!$F$11),1,0))</f>
        <v>#REF!</v>
      </c>
      <c r="W2407" s="5" t="e">
        <f>CONCATENATE(dados[[#This Row],[fator1]],dados[[#This Row],[fator5]],dados[[#This Row],[fator6]])</f>
        <v>#REF!</v>
      </c>
    </row>
    <row r="2408" spans="1:23">
      <c r="A2408" t="s">
        <v>16</v>
      </c>
      <c r="B2408">
        <v>487859</v>
      </c>
      <c r="C2408">
        <v>4</v>
      </c>
      <c r="D2408">
        <v>40</v>
      </c>
      <c r="E2408">
        <v>21</v>
      </c>
      <c r="F2408">
        <v>20</v>
      </c>
      <c r="G2408">
        <v>0</v>
      </c>
      <c r="H2408">
        <v>25</v>
      </c>
      <c r="I2408">
        <v>285</v>
      </c>
      <c r="J2408">
        <v>0</v>
      </c>
      <c r="K2408">
        <v>5.7816999999999998</v>
      </c>
      <c r="L2408">
        <v>7.5375000000000005</v>
      </c>
      <c r="M2408">
        <v>17.6175</v>
      </c>
      <c r="N2408">
        <v>12.885</v>
      </c>
      <c r="O2408">
        <v>1666</v>
      </c>
      <c r="P2408">
        <v>1453</v>
      </c>
      <c r="Q2408" s="5" t="e">
        <f>IF(AND(#REF!&gt;=table!$C$6,#REF!&lt;= table!$D$6),-1,IF(AND(#REF!&gt;=table!$E$6,#REF!&lt;=table!$F$6),1,0))</f>
        <v>#REF!</v>
      </c>
      <c r="R2408" s="5" t="e">
        <f>IF(AND(#REF!&gt;=table!$C$7,#REF!&lt;= table!$D$7),-1,IF(AND(#REF!&gt;=table!$E$7,#REF!&lt;=table!$F$7),1,0))</f>
        <v>#REF!</v>
      </c>
      <c r="S2408" s="5" t="e">
        <f>IF(AND(#REF!&gt;=table!$C$8,#REF!&lt;= table!$D$8),-1,IF(AND(#REF!&gt;=table!$E$8,#REF!&lt;=table!$F$8),1,0))</f>
        <v>#REF!</v>
      </c>
      <c r="T2408" s="5"/>
      <c r="U2408" s="5" t="e">
        <f>IF(AND(#REF!&gt;=table!$C$10,#REF!&lt;= table!$D$10),-1,IF(AND(#REF!&gt;=table!$E$10,#REF!&lt;=table!$F$10),1,0))</f>
        <v>#REF!</v>
      </c>
      <c r="V2408" s="5" t="e">
        <f>IF(AND(#REF!&gt;=table!$C$11,#REF!&lt;= table!$D$11),-1,IF(AND(#REF!&gt;=table!$E$11,#REF!&lt;=table!$F$11),1,0))</f>
        <v>#REF!</v>
      </c>
      <c r="W2408" s="5" t="e">
        <f>CONCATENATE(dados[[#This Row],[fator1]],dados[[#This Row],[fator5]],dados[[#This Row],[fator6]])</f>
        <v>#REF!</v>
      </c>
    </row>
    <row r="2409" spans="1:23">
      <c r="A2409" t="s">
        <v>16</v>
      </c>
      <c r="B2409">
        <v>487865</v>
      </c>
      <c r="C2409">
        <v>0.15</v>
      </c>
      <c r="D2409">
        <v>40</v>
      </c>
      <c r="E2409">
        <v>10</v>
      </c>
      <c r="F2409">
        <v>15</v>
      </c>
      <c r="G2409">
        <v>0</v>
      </c>
      <c r="H2409">
        <v>15</v>
      </c>
      <c r="I2409">
        <v>2</v>
      </c>
      <c r="J2409">
        <v>0</v>
      </c>
      <c r="K2409">
        <v>4.4930000000000003</v>
      </c>
      <c r="L2409">
        <v>10.0905</v>
      </c>
      <c r="M2409">
        <v>9.3085000000000004</v>
      </c>
      <c r="N2409">
        <v>12.755000000000001</v>
      </c>
      <c r="O2409">
        <v>1683</v>
      </c>
      <c r="P2409">
        <v>0</v>
      </c>
      <c r="Q2409" s="5" t="e">
        <f>IF(AND(#REF!&gt;=table!$C$6,#REF!&lt;= table!$D$6),-1,IF(AND(#REF!&gt;=table!$E$6,#REF!&lt;=table!$F$6),1,0))</f>
        <v>#REF!</v>
      </c>
      <c r="R2409" s="5" t="e">
        <f>IF(AND(#REF!&gt;=table!$C$7,#REF!&lt;= table!$D$7),-1,IF(AND(#REF!&gt;=table!$E$7,#REF!&lt;=table!$F$7),1,0))</f>
        <v>#REF!</v>
      </c>
      <c r="S2409" s="5" t="e">
        <f>IF(AND(#REF!&gt;=table!$C$8,#REF!&lt;= table!$D$8),-1,IF(AND(#REF!&gt;=table!$E$8,#REF!&lt;=table!$F$8),1,0))</f>
        <v>#REF!</v>
      </c>
      <c r="T2409" s="5"/>
      <c r="U2409" s="5" t="e">
        <f>IF(AND(#REF!&gt;=table!$C$10,#REF!&lt;= table!$D$10),-1,IF(AND(#REF!&gt;=table!$E$10,#REF!&lt;=table!$F$10),1,0))</f>
        <v>#REF!</v>
      </c>
      <c r="V2409" s="5" t="e">
        <f>IF(AND(#REF!&gt;=table!$C$11,#REF!&lt;= table!$D$11),-1,IF(AND(#REF!&gt;=table!$E$11,#REF!&lt;=table!$F$11),1,0))</f>
        <v>#REF!</v>
      </c>
      <c r="W2409" s="5" t="e">
        <f>CONCATENATE(dados[[#This Row],[fator1]],dados[[#This Row],[fator5]],dados[[#This Row],[fator6]])</f>
        <v>#REF!</v>
      </c>
    </row>
    <row r="2410" spans="1:23">
      <c r="A2410" t="s">
        <v>16</v>
      </c>
      <c r="B2410">
        <v>487866</v>
      </c>
      <c r="C2410">
        <v>0.1</v>
      </c>
      <c r="D2410">
        <v>40</v>
      </c>
      <c r="E2410">
        <v>10</v>
      </c>
      <c r="F2410">
        <v>8</v>
      </c>
      <c r="G2410">
        <v>0</v>
      </c>
      <c r="H2410">
        <v>10</v>
      </c>
      <c r="I2410">
        <v>810</v>
      </c>
      <c r="J2410">
        <v>0</v>
      </c>
      <c r="K2410">
        <v>2.5535000000000001</v>
      </c>
      <c r="L2410">
        <v>2.7560000000000002</v>
      </c>
      <c r="M2410">
        <v>3.1750000000000003</v>
      </c>
      <c r="N2410">
        <v>8.995000000000001</v>
      </c>
      <c r="O2410">
        <v>1674</v>
      </c>
      <c r="P2410">
        <v>0</v>
      </c>
      <c r="Q2410" s="5" t="e">
        <f>IF(AND(#REF!&gt;=table!$C$6,#REF!&lt;= table!$D$6),-1,IF(AND(#REF!&gt;=table!$E$6,#REF!&lt;=table!$F$6),1,0))</f>
        <v>#REF!</v>
      </c>
      <c r="R2410" s="5" t="e">
        <f>IF(AND(#REF!&gt;=table!$C$7,#REF!&lt;= table!$D$7),-1,IF(AND(#REF!&gt;=table!$E$7,#REF!&lt;=table!$F$7),1,0))</f>
        <v>#REF!</v>
      </c>
      <c r="S2410" s="5" t="e">
        <f>IF(AND(#REF!&gt;=table!$C$8,#REF!&lt;= table!$D$8),-1,IF(AND(#REF!&gt;=table!$E$8,#REF!&lt;=table!$F$8),1,0))</f>
        <v>#REF!</v>
      </c>
      <c r="T2410" s="5"/>
      <c r="U2410" s="5" t="e">
        <f>IF(AND(#REF!&gt;=table!$C$10,#REF!&lt;= table!$D$10),-1,IF(AND(#REF!&gt;=table!$E$10,#REF!&lt;=table!$F$10),1,0))</f>
        <v>#REF!</v>
      </c>
      <c r="V2410" s="5" t="e">
        <f>IF(AND(#REF!&gt;=table!$C$11,#REF!&lt;= table!$D$11),-1,IF(AND(#REF!&gt;=table!$E$11,#REF!&lt;=table!$F$11),1,0))</f>
        <v>#REF!</v>
      </c>
      <c r="W2410" s="5" t="e">
        <f>CONCATENATE(dados[[#This Row],[fator1]],dados[[#This Row],[fator5]],dados[[#This Row],[fator6]])</f>
        <v>#REF!</v>
      </c>
    </row>
    <row r="2411" spans="1:23">
      <c r="A2411" t="s">
        <v>16</v>
      </c>
      <c r="B2411">
        <v>487870</v>
      </c>
      <c r="C2411">
        <v>12</v>
      </c>
      <c r="D2411">
        <v>35</v>
      </c>
      <c r="E2411">
        <v>180</v>
      </c>
      <c r="F2411">
        <v>6</v>
      </c>
      <c r="G2411">
        <v>0</v>
      </c>
      <c r="H2411">
        <v>20</v>
      </c>
      <c r="I2411">
        <v>0</v>
      </c>
      <c r="J2411">
        <v>610</v>
      </c>
      <c r="K2411">
        <v>2.782</v>
      </c>
      <c r="L2411">
        <v>3.746</v>
      </c>
      <c r="M2411">
        <v>167.23150000000001</v>
      </c>
      <c r="N2411">
        <v>8.32</v>
      </c>
      <c r="O2411">
        <v>1671</v>
      </c>
      <c r="P2411">
        <v>0</v>
      </c>
      <c r="Q2411" s="5" t="e">
        <f>IF(AND(#REF!&gt;=table!$C$6,#REF!&lt;= table!$D$6),-1,IF(AND(#REF!&gt;=table!$E$6,#REF!&lt;=table!$F$6),1,0))</f>
        <v>#REF!</v>
      </c>
      <c r="R2411" s="5" t="e">
        <f>IF(AND(#REF!&gt;=table!$C$7,#REF!&lt;= table!$D$7),-1,IF(AND(#REF!&gt;=table!$E$7,#REF!&lt;=table!$F$7),1,0))</f>
        <v>#REF!</v>
      </c>
      <c r="S2411" s="5" t="e">
        <f>IF(AND(#REF!&gt;=table!$C$8,#REF!&lt;= table!$D$8),-1,IF(AND(#REF!&gt;=table!$E$8,#REF!&lt;=table!$F$8),1,0))</f>
        <v>#REF!</v>
      </c>
      <c r="T2411" s="5"/>
      <c r="U2411" s="5" t="e">
        <f>IF(AND(#REF!&gt;=table!$C$10,#REF!&lt;= table!$D$10),-1,IF(AND(#REF!&gt;=table!$E$10,#REF!&lt;=table!$F$10),1,0))</f>
        <v>#REF!</v>
      </c>
      <c r="V2411" s="5" t="e">
        <f>IF(AND(#REF!&gt;=table!$C$11,#REF!&lt;= table!$D$11),-1,IF(AND(#REF!&gt;=table!$E$11,#REF!&lt;=table!$F$11),1,0))</f>
        <v>#REF!</v>
      </c>
      <c r="W2411" s="5" t="e">
        <f>CONCATENATE(dados[[#This Row],[fator1]],dados[[#This Row],[fator5]],dados[[#This Row],[fator6]])</f>
        <v>#REF!</v>
      </c>
    </row>
    <row r="2412" spans="1:23">
      <c r="A2412" t="s">
        <v>17</v>
      </c>
      <c r="B2412">
        <v>487871</v>
      </c>
      <c r="C2412">
        <v>14</v>
      </c>
      <c r="D2412">
        <v>30</v>
      </c>
      <c r="E2412">
        <v>66</v>
      </c>
      <c r="F2412">
        <v>9</v>
      </c>
      <c r="G2412">
        <v>20</v>
      </c>
      <c r="H2412">
        <v>25</v>
      </c>
      <c r="I2412">
        <v>7</v>
      </c>
      <c r="J2412">
        <v>1040</v>
      </c>
      <c r="K2412">
        <v>12.616000000000001</v>
      </c>
      <c r="L2412">
        <v>18.239000000000001</v>
      </c>
      <c r="M2412">
        <v>56.432000000000002</v>
      </c>
      <c r="N2412">
        <v>19.635000000000002</v>
      </c>
      <c r="O2412">
        <v>1646</v>
      </c>
      <c r="P2412">
        <v>249</v>
      </c>
      <c r="Q2412" s="5" t="e">
        <f>IF(AND(#REF!&gt;=table!$C$6,#REF!&lt;= table!$D$6),-1,IF(AND(#REF!&gt;=table!$E$6,#REF!&lt;=table!$F$6),1,0))</f>
        <v>#REF!</v>
      </c>
      <c r="R2412" s="5" t="e">
        <f>IF(AND(#REF!&gt;=table!$C$7,#REF!&lt;= table!$D$7),-1,IF(AND(#REF!&gt;=table!$E$7,#REF!&lt;=table!$F$7),1,0))</f>
        <v>#REF!</v>
      </c>
      <c r="S2412" s="5" t="e">
        <f>IF(AND(#REF!&gt;=table!$C$8,#REF!&lt;= table!$D$8),-1,IF(AND(#REF!&gt;=table!$E$8,#REF!&lt;=table!$F$8),1,0))</f>
        <v>#REF!</v>
      </c>
      <c r="T2412" s="5"/>
      <c r="U2412" s="5" t="e">
        <f>IF(AND(#REF!&gt;=table!$C$10,#REF!&lt;= table!$D$10),-1,IF(AND(#REF!&gt;=table!$E$10,#REF!&lt;=table!$F$10),1,0))</f>
        <v>#REF!</v>
      </c>
      <c r="V2412" s="5" t="e">
        <f>IF(AND(#REF!&gt;=table!$C$11,#REF!&lt;= table!$D$11),-1,IF(AND(#REF!&gt;=table!$E$11,#REF!&lt;=table!$F$11),1,0))</f>
        <v>#REF!</v>
      </c>
      <c r="W2412" s="5" t="e">
        <f>CONCATENATE(dados[[#This Row],[fator1]],dados[[#This Row],[fator5]],dados[[#This Row],[fator6]])</f>
        <v>#REF!</v>
      </c>
    </row>
    <row r="2413" spans="1:23">
      <c r="A2413" t="s">
        <v>16</v>
      </c>
      <c r="B2413">
        <v>487876</v>
      </c>
      <c r="C2413">
        <v>8</v>
      </c>
      <c r="D2413">
        <v>30</v>
      </c>
      <c r="E2413">
        <v>61</v>
      </c>
      <c r="F2413">
        <v>8</v>
      </c>
      <c r="G2413">
        <v>0</v>
      </c>
      <c r="H2413">
        <v>25</v>
      </c>
      <c r="I2413">
        <v>799</v>
      </c>
      <c r="J2413">
        <v>550</v>
      </c>
      <c r="K2413">
        <v>5.1690000000000005</v>
      </c>
      <c r="L2413">
        <v>6.0194999999999999</v>
      </c>
      <c r="M2413">
        <v>40.06</v>
      </c>
      <c r="N2413">
        <v>12.005000000000001</v>
      </c>
      <c r="O2413">
        <v>1676</v>
      </c>
      <c r="P2413">
        <v>907</v>
      </c>
      <c r="Q2413" s="5" t="e">
        <f>IF(AND(#REF!&gt;=table!$C$6,#REF!&lt;= table!$D$6),-1,IF(AND(#REF!&gt;=table!$E$6,#REF!&lt;=table!$F$6),1,0))</f>
        <v>#REF!</v>
      </c>
      <c r="R2413" s="5" t="e">
        <f>IF(AND(#REF!&gt;=table!$C$7,#REF!&lt;= table!$D$7),-1,IF(AND(#REF!&gt;=table!$E$7,#REF!&lt;=table!$F$7),1,0))</f>
        <v>#REF!</v>
      </c>
      <c r="S2413" s="5" t="e">
        <f>IF(AND(#REF!&gt;=table!$C$8,#REF!&lt;= table!$D$8),-1,IF(AND(#REF!&gt;=table!$E$8,#REF!&lt;=table!$F$8),1,0))</f>
        <v>#REF!</v>
      </c>
      <c r="T2413" s="5"/>
      <c r="U2413" s="5" t="e">
        <f>IF(AND(#REF!&gt;=table!$C$10,#REF!&lt;= table!$D$10),-1,IF(AND(#REF!&gt;=table!$E$10,#REF!&lt;=table!$F$10),1,0))</f>
        <v>#REF!</v>
      </c>
      <c r="V2413" s="5" t="e">
        <f>IF(AND(#REF!&gt;=table!$C$11,#REF!&lt;= table!$D$11),-1,IF(AND(#REF!&gt;=table!$E$11,#REF!&lt;=table!$F$11),1,0))</f>
        <v>#REF!</v>
      </c>
      <c r="W2413" s="5" t="e">
        <f>CONCATENATE(dados[[#This Row],[fator1]],dados[[#This Row],[fator5]],dados[[#This Row],[fator6]])</f>
        <v>#REF!</v>
      </c>
    </row>
    <row r="2414" spans="1:23">
      <c r="A2414" t="s">
        <v>16</v>
      </c>
      <c r="B2414">
        <v>487877</v>
      </c>
      <c r="C2414">
        <v>6</v>
      </c>
      <c r="D2414">
        <v>40</v>
      </c>
      <c r="E2414">
        <v>66</v>
      </c>
      <c r="F2414">
        <v>10</v>
      </c>
      <c r="G2414">
        <v>0</v>
      </c>
      <c r="H2414">
        <v>25</v>
      </c>
      <c r="I2414">
        <v>0</v>
      </c>
      <c r="J2414">
        <v>0</v>
      </c>
      <c r="K2414">
        <v>3.0445000000000002</v>
      </c>
      <c r="L2414">
        <v>5.2845000000000004</v>
      </c>
      <c r="M2414">
        <v>53.300000000000004</v>
      </c>
      <c r="N2414">
        <v>11.38</v>
      </c>
      <c r="O2414">
        <v>1658</v>
      </c>
      <c r="P2414">
        <v>1146</v>
      </c>
      <c r="Q2414" s="5" t="e">
        <f>IF(AND(#REF!&gt;=table!$C$6,#REF!&lt;= table!$D$6),-1,IF(AND(#REF!&gt;=table!$E$6,#REF!&lt;=table!$F$6),1,0))</f>
        <v>#REF!</v>
      </c>
      <c r="R2414" s="5" t="e">
        <f>IF(AND(#REF!&gt;=table!$C$7,#REF!&lt;= table!$D$7),-1,IF(AND(#REF!&gt;=table!$E$7,#REF!&lt;=table!$F$7),1,0))</f>
        <v>#REF!</v>
      </c>
      <c r="S2414" s="5" t="e">
        <f>IF(AND(#REF!&gt;=table!$C$8,#REF!&lt;= table!$D$8),-1,IF(AND(#REF!&gt;=table!$E$8,#REF!&lt;=table!$F$8),1,0))</f>
        <v>#REF!</v>
      </c>
      <c r="T2414" s="5"/>
      <c r="U2414" s="5" t="e">
        <f>IF(AND(#REF!&gt;=table!$C$10,#REF!&lt;= table!$D$10),-1,IF(AND(#REF!&gt;=table!$E$10,#REF!&lt;=table!$F$10),1,0))</f>
        <v>#REF!</v>
      </c>
      <c r="V2414" s="5" t="e">
        <f>IF(AND(#REF!&gt;=table!$C$11,#REF!&lt;= table!$D$11),-1,IF(AND(#REF!&gt;=table!$E$11,#REF!&lt;=table!$F$11),1,0))</f>
        <v>#REF!</v>
      </c>
      <c r="W2414" s="5" t="e">
        <f>CONCATENATE(dados[[#This Row],[fator1]],dados[[#This Row],[fator5]],dados[[#This Row],[fator6]])</f>
        <v>#REF!</v>
      </c>
    </row>
    <row r="2415" spans="1:23">
      <c r="A2415" t="s">
        <v>16</v>
      </c>
      <c r="B2415">
        <v>487880</v>
      </c>
      <c r="C2415">
        <v>7</v>
      </c>
      <c r="D2415">
        <v>33</v>
      </c>
      <c r="E2415">
        <v>153</v>
      </c>
      <c r="F2415">
        <v>4</v>
      </c>
      <c r="G2415">
        <v>0</v>
      </c>
      <c r="H2415">
        <v>25</v>
      </c>
      <c r="I2415">
        <v>1115</v>
      </c>
      <c r="J2415">
        <v>0</v>
      </c>
      <c r="K2415">
        <v>4.2995000000000001</v>
      </c>
      <c r="L2415">
        <v>10.573500000000001</v>
      </c>
      <c r="M2415">
        <v>103.587</v>
      </c>
      <c r="N2415">
        <v>11.445</v>
      </c>
      <c r="O2415">
        <v>1667</v>
      </c>
      <c r="P2415">
        <v>0</v>
      </c>
      <c r="Q2415" s="5" t="e">
        <f>IF(AND(#REF!&gt;=table!$C$6,#REF!&lt;= table!$D$6),-1,IF(AND(#REF!&gt;=table!$E$6,#REF!&lt;=table!$F$6),1,0))</f>
        <v>#REF!</v>
      </c>
      <c r="R2415" s="5" t="e">
        <f>IF(AND(#REF!&gt;=table!$C$7,#REF!&lt;= table!$D$7),-1,IF(AND(#REF!&gt;=table!$E$7,#REF!&lt;=table!$F$7),1,0))</f>
        <v>#REF!</v>
      </c>
      <c r="S2415" s="5" t="e">
        <f>IF(AND(#REF!&gt;=table!$C$8,#REF!&lt;= table!$D$8),-1,IF(AND(#REF!&gt;=table!$E$8,#REF!&lt;=table!$F$8),1,0))</f>
        <v>#REF!</v>
      </c>
      <c r="T2415" s="5"/>
      <c r="U2415" s="5" t="e">
        <f>IF(AND(#REF!&gt;=table!$C$10,#REF!&lt;= table!$D$10),-1,IF(AND(#REF!&gt;=table!$E$10,#REF!&lt;=table!$F$10),1,0))</f>
        <v>#REF!</v>
      </c>
      <c r="V2415" s="5" t="e">
        <f>IF(AND(#REF!&gt;=table!$C$11,#REF!&lt;= table!$D$11),-1,IF(AND(#REF!&gt;=table!$E$11,#REF!&lt;=table!$F$11),1,0))</f>
        <v>#REF!</v>
      </c>
      <c r="W2415" s="5" t="e">
        <f>CONCATENATE(dados[[#This Row],[fator1]],dados[[#This Row],[fator5]],dados[[#This Row],[fator6]])</f>
        <v>#REF!</v>
      </c>
    </row>
    <row r="2416" spans="1:23">
      <c r="A2416" t="s">
        <v>16</v>
      </c>
      <c r="B2416">
        <v>487886</v>
      </c>
      <c r="C2416">
        <v>7</v>
      </c>
      <c r="D2416">
        <v>33</v>
      </c>
      <c r="E2416">
        <v>153</v>
      </c>
      <c r="F2416">
        <v>4</v>
      </c>
      <c r="G2416">
        <v>0</v>
      </c>
      <c r="H2416">
        <v>25</v>
      </c>
      <c r="I2416">
        <v>0</v>
      </c>
      <c r="J2416">
        <v>0</v>
      </c>
      <c r="K2416">
        <v>3.5680000000000001</v>
      </c>
      <c r="L2416">
        <v>9.355500000000001</v>
      </c>
      <c r="M2416">
        <v>133.42099999999999</v>
      </c>
      <c r="N2416">
        <v>21.545000000000002</v>
      </c>
      <c r="O2416">
        <v>1672</v>
      </c>
      <c r="P2416">
        <v>0</v>
      </c>
      <c r="Q2416" s="5" t="e">
        <f>IF(AND(#REF!&gt;=table!$C$6,#REF!&lt;= table!$D$6),-1,IF(AND(#REF!&gt;=table!$E$6,#REF!&lt;=table!$F$6),1,0))</f>
        <v>#REF!</v>
      </c>
      <c r="R2416" s="5" t="e">
        <f>IF(AND(#REF!&gt;=table!$C$7,#REF!&lt;= table!$D$7),-1,IF(AND(#REF!&gt;=table!$E$7,#REF!&lt;=table!$F$7),1,0))</f>
        <v>#REF!</v>
      </c>
      <c r="S2416" s="5" t="e">
        <f>IF(AND(#REF!&gt;=table!$C$8,#REF!&lt;= table!$D$8),-1,IF(AND(#REF!&gt;=table!$E$8,#REF!&lt;=table!$F$8),1,0))</f>
        <v>#REF!</v>
      </c>
      <c r="T2416" s="5"/>
      <c r="U2416" s="5" t="e">
        <f>IF(AND(#REF!&gt;=table!$C$10,#REF!&lt;= table!$D$10),-1,IF(AND(#REF!&gt;=table!$E$10,#REF!&lt;=table!$F$10),1,0))</f>
        <v>#REF!</v>
      </c>
      <c r="V2416" s="5" t="e">
        <f>IF(AND(#REF!&gt;=table!$C$11,#REF!&lt;= table!$D$11),-1,IF(AND(#REF!&gt;=table!$E$11,#REF!&lt;=table!$F$11),1,0))</f>
        <v>#REF!</v>
      </c>
      <c r="W2416" s="5" t="e">
        <f>CONCATENATE(dados[[#This Row],[fator1]],dados[[#This Row],[fator5]],dados[[#This Row],[fator6]])</f>
        <v>#REF!</v>
      </c>
    </row>
    <row r="2417" spans="1:23">
      <c r="A2417" t="s">
        <v>16</v>
      </c>
      <c r="B2417">
        <v>487896</v>
      </c>
      <c r="C2417">
        <v>10</v>
      </c>
      <c r="D2417">
        <v>38</v>
      </c>
      <c r="E2417">
        <v>150</v>
      </c>
      <c r="F2417">
        <v>4</v>
      </c>
      <c r="G2417">
        <v>0</v>
      </c>
      <c r="H2417">
        <v>25</v>
      </c>
      <c r="I2417">
        <v>319</v>
      </c>
      <c r="J2417">
        <v>730</v>
      </c>
      <c r="K2417">
        <v>3.202</v>
      </c>
      <c r="L2417">
        <v>11.0015</v>
      </c>
      <c r="M2417">
        <v>82.805500000000009</v>
      </c>
      <c r="N2417">
        <v>11.855</v>
      </c>
      <c r="O2417">
        <v>1670</v>
      </c>
      <c r="P2417">
        <v>1127</v>
      </c>
      <c r="Q2417" s="5" t="e">
        <f>IF(AND(#REF!&gt;=table!$C$6,#REF!&lt;= table!$D$6),-1,IF(AND(#REF!&gt;=table!$E$6,#REF!&lt;=table!$F$6),1,0))</f>
        <v>#REF!</v>
      </c>
      <c r="R2417" s="5" t="e">
        <f>IF(AND(#REF!&gt;=table!$C$7,#REF!&lt;= table!$D$7),-1,IF(AND(#REF!&gt;=table!$E$7,#REF!&lt;=table!$F$7),1,0))</f>
        <v>#REF!</v>
      </c>
      <c r="S2417" s="5" t="e">
        <f>IF(AND(#REF!&gt;=table!$C$8,#REF!&lt;= table!$D$8),-1,IF(AND(#REF!&gt;=table!$E$8,#REF!&lt;=table!$F$8),1,0))</f>
        <v>#REF!</v>
      </c>
      <c r="T2417" s="5"/>
      <c r="U2417" s="5" t="e">
        <f>IF(AND(#REF!&gt;=table!$C$10,#REF!&lt;= table!$D$10),-1,IF(AND(#REF!&gt;=table!$E$10,#REF!&lt;=table!$F$10),1,0))</f>
        <v>#REF!</v>
      </c>
      <c r="V2417" s="5" t="e">
        <f>IF(AND(#REF!&gt;=table!$C$11,#REF!&lt;= table!$D$11),-1,IF(AND(#REF!&gt;=table!$E$11,#REF!&lt;=table!$F$11),1,0))</f>
        <v>#REF!</v>
      </c>
      <c r="W2417" s="5" t="e">
        <f>CONCATENATE(dados[[#This Row],[fator1]],dados[[#This Row],[fator5]],dados[[#This Row],[fator6]])</f>
        <v>#REF!</v>
      </c>
    </row>
    <row r="2418" spans="1:23">
      <c r="A2418" t="s">
        <v>16</v>
      </c>
      <c r="B2418">
        <v>487898</v>
      </c>
      <c r="C2418">
        <v>3</v>
      </c>
      <c r="D2418">
        <v>30</v>
      </c>
      <c r="E2418">
        <v>21</v>
      </c>
      <c r="F2418">
        <v>15</v>
      </c>
      <c r="G2418">
        <v>0</v>
      </c>
      <c r="H2418">
        <v>25</v>
      </c>
      <c r="I2418">
        <v>932</v>
      </c>
      <c r="J2418">
        <v>0</v>
      </c>
      <c r="K2418">
        <v>3.5260000000000002</v>
      </c>
      <c r="L2418">
        <v>8.9124999999999996</v>
      </c>
      <c r="M2418">
        <v>7.3620000000000001</v>
      </c>
      <c r="N2418">
        <v>11.35</v>
      </c>
      <c r="O2418">
        <v>1669</v>
      </c>
      <c r="P2418">
        <v>1093</v>
      </c>
      <c r="Q2418" s="5" t="e">
        <f>IF(AND(#REF!&gt;=table!$C$6,#REF!&lt;= table!$D$6),-1,IF(AND(#REF!&gt;=table!$E$6,#REF!&lt;=table!$F$6),1,0))</f>
        <v>#REF!</v>
      </c>
      <c r="R2418" s="5" t="e">
        <f>IF(AND(#REF!&gt;=table!$C$7,#REF!&lt;= table!$D$7),-1,IF(AND(#REF!&gt;=table!$E$7,#REF!&lt;=table!$F$7),1,0))</f>
        <v>#REF!</v>
      </c>
      <c r="S2418" s="5" t="e">
        <f>IF(AND(#REF!&gt;=table!$C$8,#REF!&lt;= table!$D$8),-1,IF(AND(#REF!&gt;=table!$E$8,#REF!&lt;=table!$F$8),1,0))</f>
        <v>#REF!</v>
      </c>
      <c r="T2418" s="5"/>
      <c r="U2418" s="5" t="e">
        <f>IF(AND(#REF!&gt;=table!$C$10,#REF!&lt;= table!$D$10),-1,IF(AND(#REF!&gt;=table!$E$10,#REF!&lt;=table!$F$10),1,0))</f>
        <v>#REF!</v>
      </c>
      <c r="V2418" s="5" t="e">
        <f>IF(AND(#REF!&gt;=table!$C$11,#REF!&lt;= table!$D$11),-1,IF(AND(#REF!&gt;=table!$E$11,#REF!&lt;=table!$F$11),1,0))</f>
        <v>#REF!</v>
      </c>
      <c r="W2418" s="5" t="e">
        <f>CONCATENATE(dados[[#This Row],[fator1]],dados[[#This Row],[fator5]],dados[[#This Row],[fator6]])</f>
        <v>#REF!</v>
      </c>
    </row>
    <row r="2419" spans="1:23">
      <c r="A2419" t="s">
        <v>16</v>
      </c>
      <c r="B2419">
        <v>487906</v>
      </c>
      <c r="C2419">
        <v>0.15</v>
      </c>
      <c r="D2419">
        <v>40</v>
      </c>
      <c r="E2419">
        <v>10</v>
      </c>
      <c r="F2419">
        <v>15</v>
      </c>
      <c r="G2419">
        <v>0</v>
      </c>
      <c r="H2419">
        <v>15</v>
      </c>
      <c r="I2419">
        <v>1058</v>
      </c>
      <c r="J2419">
        <v>820</v>
      </c>
      <c r="K2419">
        <v>3.407</v>
      </c>
      <c r="L2419">
        <v>7.1555</v>
      </c>
      <c r="M2419">
        <v>4.4245000000000001</v>
      </c>
      <c r="N2419">
        <v>9.2249999999999996</v>
      </c>
      <c r="O2419">
        <v>1644</v>
      </c>
      <c r="P2419">
        <v>996</v>
      </c>
      <c r="Q2419" s="5" t="e">
        <f>IF(AND(#REF!&gt;=table!$C$6,#REF!&lt;= table!$D$6),-1,IF(AND(#REF!&gt;=table!$E$6,#REF!&lt;=table!$F$6),1,0))</f>
        <v>#REF!</v>
      </c>
      <c r="R2419" s="5" t="e">
        <f>IF(AND(#REF!&gt;=table!$C$7,#REF!&lt;= table!$D$7),-1,IF(AND(#REF!&gt;=table!$E$7,#REF!&lt;=table!$F$7),1,0))</f>
        <v>#REF!</v>
      </c>
      <c r="S2419" s="5" t="e">
        <f>IF(AND(#REF!&gt;=table!$C$8,#REF!&lt;= table!$D$8),-1,IF(AND(#REF!&gt;=table!$E$8,#REF!&lt;=table!$F$8),1,0))</f>
        <v>#REF!</v>
      </c>
      <c r="T2419" s="5"/>
      <c r="U2419" s="5" t="e">
        <f>IF(AND(#REF!&gt;=table!$C$10,#REF!&lt;= table!$D$10),-1,IF(AND(#REF!&gt;=table!$E$10,#REF!&lt;=table!$F$10),1,0))</f>
        <v>#REF!</v>
      </c>
      <c r="V2419" s="5" t="e">
        <f>IF(AND(#REF!&gt;=table!$C$11,#REF!&lt;= table!$D$11),-1,IF(AND(#REF!&gt;=table!$E$11,#REF!&lt;=table!$F$11),1,0))</f>
        <v>#REF!</v>
      </c>
      <c r="W2419" s="5" t="e">
        <f>CONCATENATE(dados[[#This Row],[fator1]],dados[[#This Row],[fator5]],dados[[#This Row],[fator6]])</f>
        <v>#REF!</v>
      </c>
    </row>
    <row r="2420" spans="1:23">
      <c r="A2420" t="s">
        <v>16</v>
      </c>
      <c r="B2420">
        <v>487907</v>
      </c>
      <c r="C2420">
        <v>0.15</v>
      </c>
      <c r="D2420">
        <v>40</v>
      </c>
      <c r="E2420">
        <v>10</v>
      </c>
      <c r="F2420">
        <v>15</v>
      </c>
      <c r="G2420">
        <v>0</v>
      </c>
      <c r="H2420">
        <v>15</v>
      </c>
      <c r="I2420">
        <v>3</v>
      </c>
      <c r="J2420">
        <v>0</v>
      </c>
      <c r="K2420">
        <v>3.6715</v>
      </c>
      <c r="L2420">
        <v>7.1110000000000007</v>
      </c>
      <c r="M2420">
        <v>6.0890000000000004</v>
      </c>
      <c r="N2420">
        <v>8.1999999999999993</v>
      </c>
      <c r="O2420">
        <v>1652</v>
      </c>
      <c r="P2420">
        <v>910</v>
      </c>
      <c r="Q2420" s="5" t="e">
        <f>IF(AND(#REF!&gt;=table!$C$6,#REF!&lt;= table!$D$6),-1,IF(AND(#REF!&gt;=table!$E$6,#REF!&lt;=table!$F$6),1,0))</f>
        <v>#REF!</v>
      </c>
      <c r="R2420" s="5" t="e">
        <f>IF(AND(#REF!&gt;=table!$C$7,#REF!&lt;= table!$D$7),-1,IF(AND(#REF!&gt;=table!$E$7,#REF!&lt;=table!$F$7),1,0))</f>
        <v>#REF!</v>
      </c>
      <c r="S2420" s="5" t="e">
        <f>IF(AND(#REF!&gt;=table!$C$8,#REF!&lt;= table!$D$8),-1,IF(AND(#REF!&gt;=table!$E$8,#REF!&lt;=table!$F$8),1,0))</f>
        <v>#REF!</v>
      </c>
      <c r="T2420" s="5"/>
      <c r="U2420" s="5" t="e">
        <f>IF(AND(#REF!&gt;=table!$C$10,#REF!&lt;= table!$D$10),-1,IF(AND(#REF!&gt;=table!$E$10,#REF!&lt;=table!$F$10),1,0))</f>
        <v>#REF!</v>
      </c>
      <c r="V2420" s="5" t="e">
        <f>IF(AND(#REF!&gt;=table!$C$11,#REF!&lt;= table!$D$11),-1,IF(AND(#REF!&gt;=table!$E$11,#REF!&lt;=table!$F$11),1,0))</f>
        <v>#REF!</v>
      </c>
      <c r="W2420" s="5" t="e">
        <f>CONCATENATE(dados[[#This Row],[fator1]],dados[[#This Row],[fator5]],dados[[#This Row],[fator6]])</f>
        <v>#REF!</v>
      </c>
    </row>
    <row r="2421" spans="1:23">
      <c r="A2421" t="s">
        <v>17</v>
      </c>
      <c r="B2421">
        <v>487911</v>
      </c>
      <c r="C2421">
        <v>18</v>
      </c>
      <c r="D2421">
        <v>23</v>
      </c>
      <c r="E2421">
        <v>145</v>
      </c>
      <c r="F2421">
        <v>9</v>
      </c>
      <c r="G2421">
        <v>30</v>
      </c>
      <c r="H2421">
        <v>25</v>
      </c>
      <c r="I2421">
        <v>695</v>
      </c>
      <c r="J2421">
        <v>0</v>
      </c>
      <c r="K2421">
        <v>3.9615</v>
      </c>
      <c r="L2421">
        <v>8.5869999999999997</v>
      </c>
      <c r="M2421">
        <v>111.592</v>
      </c>
      <c r="N2421">
        <v>24.905000000000001</v>
      </c>
      <c r="O2421">
        <v>1677</v>
      </c>
      <c r="P2421">
        <v>0</v>
      </c>
      <c r="Q2421" s="5" t="e">
        <f>IF(AND(#REF!&gt;=table!$C$6,#REF!&lt;= table!$D$6),-1,IF(AND(#REF!&gt;=table!$E$6,#REF!&lt;=table!$F$6),1,0))</f>
        <v>#REF!</v>
      </c>
      <c r="R2421" s="5" t="e">
        <f>IF(AND(#REF!&gt;=table!$C$7,#REF!&lt;= table!$D$7),-1,IF(AND(#REF!&gt;=table!$E$7,#REF!&lt;=table!$F$7),1,0))</f>
        <v>#REF!</v>
      </c>
      <c r="S2421" s="5" t="e">
        <f>IF(AND(#REF!&gt;=table!$C$8,#REF!&lt;= table!$D$8),-1,IF(AND(#REF!&gt;=table!$E$8,#REF!&lt;=table!$F$8),1,0))</f>
        <v>#REF!</v>
      </c>
      <c r="T2421" s="5"/>
      <c r="U2421" s="5" t="e">
        <f>IF(AND(#REF!&gt;=table!$C$10,#REF!&lt;= table!$D$10),-1,IF(AND(#REF!&gt;=table!$E$10,#REF!&lt;=table!$F$10),1,0))</f>
        <v>#REF!</v>
      </c>
      <c r="V2421" s="5" t="e">
        <f>IF(AND(#REF!&gt;=table!$C$11,#REF!&lt;= table!$D$11),-1,IF(AND(#REF!&gt;=table!$E$11,#REF!&lt;=table!$F$11),1,0))</f>
        <v>#REF!</v>
      </c>
      <c r="W2421" s="5" t="e">
        <f>CONCATENATE(dados[[#This Row],[fator1]],dados[[#This Row],[fator5]],dados[[#This Row],[fator6]])</f>
        <v>#REF!</v>
      </c>
    </row>
    <row r="2422" spans="1:23">
      <c r="A2422" t="s">
        <v>17</v>
      </c>
      <c r="B2422">
        <v>487916</v>
      </c>
      <c r="C2422">
        <v>16</v>
      </c>
      <c r="D2422">
        <v>23</v>
      </c>
      <c r="E2422">
        <v>145</v>
      </c>
      <c r="F2422">
        <v>9</v>
      </c>
      <c r="G2422">
        <v>30</v>
      </c>
      <c r="H2422">
        <v>25</v>
      </c>
      <c r="I2422">
        <v>924</v>
      </c>
      <c r="J2422">
        <v>0</v>
      </c>
      <c r="K2422">
        <v>5.5295000000000005</v>
      </c>
      <c r="L2422">
        <v>15.612</v>
      </c>
      <c r="M2422">
        <v>107.2415</v>
      </c>
      <c r="N2422">
        <v>23.93</v>
      </c>
      <c r="O2422">
        <v>1681</v>
      </c>
      <c r="P2422">
        <v>667</v>
      </c>
      <c r="Q2422" s="5" t="e">
        <f>IF(AND(#REF!&gt;=table!$C$6,#REF!&lt;= table!$D$6),-1,IF(AND(#REF!&gt;=table!$E$6,#REF!&lt;=table!$F$6),1,0))</f>
        <v>#REF!</v>
      </c>
      <c r="R2422" s="5" t="e">
        <f>IF(AND(#REF!&gt;=table!$C$7,#REF!&lt;= table!$D$7),-1,IF(AND(#REF!&gt;=table!$E$7,#REF!&lt;=table!$F$7),1,0))</f>
        <v>#REF!</v>
      </c>
      <c r="S2422" s="5" t="e">
        <f>IF(AND(#REF!&gt;=table!$C$8,#REF!&lt;= table!$D$8),-1,IF(AND(#REF!&gt;=table!$E$8,#REF!&lt;=table!$F$8),1,0))</f>
        <v>#REF!</v>
      </c>
      <c r="T2422" s="5"/>
      <c r="U2422" s="5" t="e">
        <f>IF(AND(#REF!&gt;=table!$C$10,#REF!&lt;= table!$D$10),-1,IF(AND(#REF!&gt;=table!$E$10,#REF!&lt;=table!$F$10),1,0))</f>
        <v>#REF!</v>
      </c>
      <c r="V2422" s="5" t="e">
        <f>IF(AND(#REF!&gt;=table!$C$11,#REF!&lt;= table!$D$11),-1,IF(AND(#REF!&gt;=table!$E$11,#REF!&lt;=table!$F$11),1,0))</f>
        <v>#REF!</v>
      </c>
      <c r="W2422" s="5" t="e">
        <f>CONCATENATE(dados[[#This Row],[fator1]],dados[[#This Row],[fator5]],dados[[#This Row],[fator6]])</f>
        <v>#REF!</v>
      </c>
    </row>
    <row r="2423" spans="1:23">
      <c r="A2423" t="s">
        <v>17</v>
      </c>
      <c r="B2423">
        <v>487917</v>
      </c>
      <c r="C2423">
        <v>18</v>
      </c>
      <c r="D2423">
        <v>23</v>
      </c>
      <c r="E2423">
        <v>145</v>
      </c>
      <c r="F2423">
        <v>9</v>
      </c>
      <c r="G2423">
        <v>30</v>
      </c>
      <c r="H2423">
        <v>25</v>
      </c>
      <c r="I2423">
        <v>319</v>
      </c>
      <c r="J2423">
        <v>0</v>
      </c>
      <c r="K2423">
        <v>5.6555</v>
      </c>
      <c r="L2423">
        <v>14.77</v>
      </c>
      <c r="M2423">
        <v>117.816</v>
      </c>
      <c r="N2423">
        <v>23.635000000000002</v>
      </c>
      <c r="O2423">
        <v>1665</v>
      </c>
      <c r="P2423">
        <v>657</v>
      </c>
      <c r="Q2423" s="5" t="e">
        <f>IF(AND(#REF!&gt;=table!$C$6,#REF!&lt;= table!$D$6),-1,IF(AND(#REF!&gt;=table!$E$6,#REF!&lt;=table!$F$6),1,0))</f>
        <v>#REF!</v>
      </c>
      <c r="R2423" s="5" t="e">
        <f>IF(AND(#REF!&gt;=table!$C$7,#REF!&lt;= table!$D$7),-1,IF(AND(#REF!&gt;=table!$E$7,#REF!&lt;=table!$F$7),1,0))</f>
        <v>#REF!</v>
      </c>
      <c r="S2423" s="5" t="e">
        <f>IF(AND(#REF!&gt;=table!$C$8,#REF!&lt;= table!$D$8),-1,IF(AND(#REF!&gt;=table!$E$8,#REF!&lt;=table!$F$8),1,0))</f>
        <v>#REF!</v>
      </c>
      <c r="T2423" s="5"/>
      <c r="U2423" s="5" t="e">
        <f>IF(AND(#REF!&gt;=table!$C$10,#REF!&lt;= table!$D$10),-1,IF(AND(#REF!&gt;=table!$E$10,#REF!&lt;=table!$F$10),1,0))</f>
        <v>#REF!</v>
      </c>
      <c r="V2423" s="5" t="e">
        <f>IF(AND(#REF!&gt;=table!$C$11,#REF!&lt;= table!$D$11),-1,IF(AND(#REF!&gt;=table!$E$11,#REF!&lt;=table!$F$11),1,0))</f>
        <v>#REF!</v>
      </c>
      <c r="W2423" s="5" t="e">
        <f>CONCATENATE(dados[[#This Row],[fator1]],dados[[#This Row],[fator5]],dados[[#This Row],[fator6]])</f>
        <v>#REF!</v>
      </c>
    </row>
    <row r="2424" spans="1:23">
      <c r="A2424" t="s">
        <v>17</v>
      </c>
      <c r="B2424">
        <v>487918</v>
      </c>
      <c r="C2424">
        <v>18</v>
      </c>
      <c r="D2424">
        <v>23</v>
      </c>
      <c r="E2424">
        <v>145</v>
      </c>
      <c r="F2424">
        <v>9</v>
      </c>
      <c r="G2424">
        <v>30</v>
      </c>
      <c r="H2424">
        <v>25</v>
      </c>
      <c r="I2424">
        <v>1085</v>
      </c>
      <c r="J2424">
        <v>940</v>
      </c>
      <c r="K2424">
        <v>4.2565</v>
      </c>
      <c r="L2424">
        <v>7.8015000000000008</v>
      </c>
      <c r="M2424">
        <v>107.76950000000001</v>
      </c>
      <c r="N2424">
        <v>17</v>
      </c>
      <c r="O2424">
        <v>1656</v>
      </c>
      <c r="P2424">
        <v>0</v>
      </c>
      <c r="Q2424" s="5" t="e">
        <f>IF(AND(#REF!&gt;=table!$C$6,#REF!&lt;= table!$D$6),-1,IF(AND(#REF!&gt;=table!$E$6,#REF!&lt;=table!$F$6),1,0))</f>
        <v>#REF!</v>
      </c>
      <c r="R2424" s="5" t="e">
        <f>IF(AND(#REF!&gt;=table!$C$7,#REF!&lt;= table!$D$7),-1,IF(AND(#REF!&gt;=table!$E$7,#REF!&lt;=table!$F$7),1,0))</f>
        <v>#REF!</v>
      </c>
      <c r="S2424" s="5" t="e">
        <f>IF(AND(#REF!&gt;=table!$C$8,#REF!&lt;= table!$D$8),-1,IF(AND(#REF!&gt;=table!$E$8,#REF!&lt;=table!$F$8),1,0))</f>
        <v>#REF!</v>
      </c>
      <c r="T2424" s="5"/>
      <c r="U2424" s="5" t="e">
        <f>IF(AND(#REF!&gt;=table!$C$10,#REF!&lt;= table!$D$10),-1,IF(AND(#REF!&gt;=table!$E$10,#REF!&lt;=table!$F$10),1,0))</f>
        <v>#REF!</v>
      </c>
      <c r="V2424" s="5" t="e">
        <f>IF(AND(#REF!&gt;=table!$C$11,#REF!&lt;= table!$D$11),-1,IF(AND(#REF!&gt;=table!$E$11,#REF!&lt;=table!$F$11),1,0))</f>
        <v>#REF!</v>
      </c>
      <c r="W2424" s="5" t="e">
        <f>CONCATENATE(dados[[#This Row],[fator1]],dados[[#This Row],[fator5]],dados[[#This Row],[fator6]])</f>
        <v>#REF!</v>
      </c>
    </row>
    <row r="2425" spans="1:23">
      <c r="A2425" t="s">
        <v>17</v>
      </c>
      <c r="B2425">
        <v>487920</v>
      </c>
      <c r="C2425">
        <v>18</v>
      </c>
      <c r="D2425">
        <v>23</v>
      </c>
      <c r="E2425">
        <v>145</v>
      </c>
      <c r="F2425">
        <v>9</v>
      </c>
      <c r="G2425">
        <v>30</v>
      </c>
      <c r="H2425">
        <v>25</v>
      </c>
      <c r="I2425">
        <v>942</v>
      </c>
      <c r="J2425">
        <v>0</v>
      </c>
      <c r="K2425">
        <v>6.3585000000000003</v>
      </c>
      <c r="L2425">
        <v>11.311</v>
      </c>
      <c r="M2425">
        <v>117.95150000000001</v>
      </c>
      <c r="N2425">
        <v>17.39</v>
      </c>
      <c r="O2425">
        <v>1654</v>
      </c>
      <c r="P2425">
        <v>574</v>
      </c>
      <c r="Q2425" s="5" t="e">
        <f>IF(AND(#REF!&gt;=table!$C$6,#REF!&lt;= table!$D$6),-1,IF(AND(#REF!&gt;=table!$E$6,#REF!&lt;=table!$F$6),1,0))</f>
        <v>#REF!</v>
      </c>
      <c r="R2425" s="5" t="e">
        <f>IF(AND(#REF!&gt;=table!$C$7,#REF!&lt;= table!$D$7),-1,IF(AND(#REF!&gt;=table!$E$7,#REF!&lt;=table!$F$7),1,0))</f>
        <v>#REF!</v>
      </c>
      <c r="S2425" s="5" t="e">
        <f>IF(AND(#REF!&gt;=table!$C$8,#REF!&lt;= table!$D$8),-1,IF(AND(#REF!&gt;=table!$E$8,#REF!&lt;=table!$F$8),1,0))</f>
        <v>#REF!</v>
      </c>
      <c r="T2425" s="5"/>
      <c r="U2425" s="5" t="e">
        <f>IF(AND(#REF!&gt;=table!$C$10,#REF!&lt;= table!$D$10),-1,IF(AND(#REF!&gt;=table!$E$10,#REF!&lt;=table!$F$10),1,0))</f>
        <v>#REF!</v>
      </c>
      <c r="V2425" s="5" t="e">
        <f>IF(AND(#REF!&gt;=table!$C$11,#REF!&lt;= table!$D$11),-1,IF(AND(#REF!&gt;=table!$E$11,#REF!&lt;=table!$F$11),1,0))</f>
        <v>#REF!</v>
      </c>
      <c r="W2425" s="5" t="e">
        <f>CONCATENATE(dados[[#This Row],[fator1]],dados[[#This Row],[fator5]],dados[[#This Row],[fator6]])</f>
        <v>#REF!</v>
      </c>
    </row>
    <row r="2426" spans="1:23">
      <c r="A2426" t="s">
        <v>16</v>
      </c>
      <c r="B2426">
        <v>487921</v>
      </c>
      <c r="C2426">
        <v>0.15</v>
      </c>
      <c r="D2426">
        <v>40</v>
      </c>
      <c r="E2426">
        <v>10</v>
      </c>
      <c r="F2426">
        <v>15</v>
      </c>
      <c r="G2426">
        <v>0</v>
      </c>
      <c r="H2426">
        <v>15</v>
      </c>
      <c r="I2426">
        <v>1045</v>
      </c>
      <c r="J2426">
        <v>880</v>
      </c>
      <c r="K2426">
        <v>9.3094999999999999</v>
      </c>
      <c r="L2426">
        <v>15.745500000000002</v>
      </c>
      <c r="M2426">
        <v>8.0955000000000013</v>
      </c>
      <c r="N2426">
        <v>13.785</v>
      </c>
      <c r="O2426">
        <v>1655</v>
      </c>
      <c r="P2426">
        <v>429</v>
      </c>
      <c r="Q2426" s="5" t="e">
        <f>IF(AND(#REF!&gt;=table!$C$6,#REF!&lt;= table!$D$6),-1,IF(AND(#REF!&gt;=table!$E$6,#REF!&lt;=table!$F$6),1,0))</f>
        <v>#REF!</v>
      </c>
      <c r="R2426" s="5" t="e">
        <f>IF(AND(#REF!&gt;=table!$C$7,#REF!&lt;= table!$D$7),-1,IF(AND(#REF!&gt;=table!$E$7,#REF!&lt;=table!$F$7),1,0))</f>
        <v>#REF!</v>
      </c>
      <c r="S2426" s="5" t="e">
        <f>IF(AND(#REF!&gt;=table!$C$8,#REF!&lt;= table!$D$8),-1,IF(AND(#REF!&gt;=table!$E$8,#REF!&lt;=table!$F$8),1,0))</f>
        <v>#REF!</v>
      </c>
      <c r="T2426" s="5"/>
      <c r="U2426" s="5" t="e">
        <f>IF(AND(#REF!&gt;=table!$C$10,#REF!&lt;= table!$D$10),-1,IF(AND(#REF!&gt;=table!$E$10,#REF!&lt;=table!$F$10),1,0))</f>
        <v>#REF!</v>
      </c>
      <c r="V2426" s="5" t="e">
        <f>IF(AND(#REF!&gt;=table!$C$11,#REF!&lt;= table!$D$11),-1,IF(AND(#REF!&gt;=table!$E$11,#REF!&lt;=table!$F$11),1,0))</f>
        <v>#REF!</v>
      </c>
      <c r="W2426" s="5" t="e">
        <f>CONCATENATE(dados[[#This Row],[fator1]],dados[[#This Row],[fator5]],dados[[#This Row],[fator6]])</f>
        <v>#REF!</v>
      </c>
    </row>
    <row r="2427" spans="1:23">
      <c r="A2427" t="s">
        <v>17</v>
      </c>
      <c r="B2427">
        <v>487923</v>
      </c>
      <c r="C2427">
        <v>16</v>
      </c>
      <c r="D2427">
        <v>30</v>
      </c>
      <c r="E2427">
        <v>106</v>
      </c>
      <c r="F2427">
        <v>9</v>
      </c>
      <c r="G2427">
        <v>20</v>
      </c>
      <c r="H2427">
        <v>25</v>
      </c>
      <c r="I2427">
        <v>1</v>
      </c>
      <c r="J2427">
        <v>540</v>
      </c>
      <c r="K2427">
        <v>4.3815</v>
      </c>
      <c r="L2427">
        <v>12.126000000000001</v>
      </c>
      <c r="M2427">
        <v>96.016500000000008</v>
      </c>
      <c r="N2427">
        <v>17.12</v>
      </c>
      <c r="O2427">
        <v>1677</v>
      </c>
      <c r="P2427">
        <v>0</v>
      </c>
      <c r="Q2427" s="5" t="e">
        <f>IF(AND(#REF!&gt;=table!$C$6,#REF!&lt;= table!$D$6),-1,IF(AND(#REF!&gt;=table!$E$6,#REF!&lt;=table!$F$6),1,0))</f>
        <v>#REF!</v>
      </c>
      <c r="R2427" s="5" t="e">
        <f>IF(AND(#REF!&gt;=table!$C$7,#REF!&lt;= table!$D$7),-1,IF(AND(#REF!&gt;=table!$E$7,#REF!&lt;=table!$F$7),1,0))</f>
        <v>#REF!</v>
      </c>
      <c r="S2427" s="5" t="e">
        <f>IF(AND(#REF!&gt;=table!$C$8,#REF!&lt;= table!$D$8),-1,IF(AND(#REF!&gt;=table!$E$8,#REF!&lt;=table!$F$8),1,0))</f>
        <v>#REF!</v>
      </c>
      <c r="T2427" s="5"/>
      <c r="U2427" s="5" t="e">
        <f>IF(AND(#REF!&gt;=table!$C$10,#REF!&lt;= table!$D$10),-1,IF(AND(#REF!&gt;=table!$E$10,#REF!&lt;=table!$F$10),1,0))</f>
        <v>#REF!</v>
      </c>
      <c r="V2427" s="5" t="e">
        <f>IF(AND(#REF!&gt;=table!$C$11,#REF!&lt;= table!$D$11),-1,IF(AND(#REF!&gt;=table!$E$11,#REF!&lt;=table!$F$11),1,0))</f>
        <v>#REF!</v>
      </c>
      <c r="W2427" s="5" t="e">
        <f>CONCATENATE(dados[[#This Row],[fator1]],dados[[#This Row],[fator5]],dados[[#This Row],[fator6]])</f>
        <v>#REF!</v>
      </c>
    </row>
    <row r="2428" spans="1:23">
      <c r="A2428" t="s">
        <v>16</v>
      </c>
      <c r="B2428">
        <v>487926</v>
      </c>
      <c r="C2428">
        <v>0.1</v>
      </c>
      <c r="D2428">
        <v>40</v>
      </c>
      <c r="E2428">
        <v>10</v>
      </c>
      <c r="F2428">
        <v>8</v>
      </c>
      <c r="G2428">
        <v>0</v>
      </c>
      <c r="H2428">
        <v>10</v>
      </c>
      <c r="I2428">
        <v>1130</v>
      </c>
      <c r="J2428">
        <v>0</v>
      </c>
      <c r="K2428">
        <v>5.5739999999999998</v>
      </c>
      <c r="L2428">
        <v>8.0385000000000009</v>
      </c>
      <c r="M2428">
        <v>7.1265000000000001</v>
      </c>
      <c r="N2428">
        <v>11.5</v>
      </c>
      <c r="O2428">
        <v>1650</v>
      </c>
      <c r="P2428">
        <v>735</v>
      </c>
      <c r="Q2428" s="5" t="e">
        <f>IF(AND(#REF!&gt;=table!$C$6,#REF!&lt;= table!$D$6),-1,IF(AND(#REF!&gt;=table!$E$6,#REF!&lt;=table!$F$6),1,0))</f>
        <v>#REF!</v>
      </c>
      <c r="R2428" s="5" t="e">
        <f>IF(AND(#REF!&gt;=table!$C$7,#REF!&lt;= table!$D$7),-1,IF(AND(#REF!&gt;=table!$E$7,#REF!&lt;=table!$F$7),1,0))</f>
        <v>#REF!</v>
      </c>
      <c r="S2428" s="5" t="e">
        <f>IF(AND(#REF!&gt;=table!$C$8,#REF!&lt;= table!$D$8),-1,IF(AND(#REF!&gt;=table!$E$8,#REF!&lt;=table!$F$8),1,0))</f>
        <v>#REF!</v>
      </c>
      <c r="T2428" s="5"/>
      <c r="U2428" s="5" t="e">
        <f>IF(AND(#REF!&gt;=table!$C$10,#REF!&lt;= table!$D$10),-1,IF(AND(#REF!&gt;=table!$E$10,#REF!&lt;=table!$F$10),1,0))</f>
        <v>#REF!</v>
      </c>
      <c r="V2428" s="5" t="e">
        <f>IF(AND(#REF!&gt;=table!$C$11,#REF!&lt;= table!$D$11),-1,IF(AND(#REF!&gt;=table!$E$11,#REF!&lt;=table!$F$11),1,0))</f>
        <v>#REF!</v>
      </c>
      <c r="W2428" s="5" t="e">
        <f>CONCATENATE(dados[[#This Row],[fator1]],dados[[#This Row],[fator5]],dados[[#This Row],[fator6]])</f>
        <v>#REF!</v>
      </c>
    </row>
    <row r="2429" spans="1:23">
      <c r="A2429" t="s">
        <v>16</v>
      </c>
      <c r="B2429">
        <v>487928</v>
      </c>
      <c r="C2429">
        <v>0.1</v>
      </c>
      <c r="D2429">
        <v>40</v>
      </c>
      <c r="E2429">
        <v>10</v>
      </c>
      <c r="F2429">
        <v>8</v>
      </c>
      <c r="G2429">
        <v>0</v>
      </c>
      <c r="H2429">
        <v>10</v>
      </c>
      <c r="I2429">
        <v>0</v>
      </c>
      <c r="J2429">
        <v>0</v>
      </c>
      <c r="K2429">
        <v>5.883</v>
      </c>
      <c r="L2429">
        <v>15.236000000000001</v>
      </c>
      <c r="M2429">
        <v>9.0170000000000012</v>
      </c>
      <c r="N2429">
        <v>12.9</v>
      </c>
      <c r="O2429">
        <v>1683</v>
      </c>
      <c r="P2429">
        <v>631</v>
      </c>
      <c r="Q2429" s="5" t="e">
        <f>IF(AND(#REF!&gt;=table!$C$6,#REF!&lt;= table!$D$6),-1,IF(AND(#REF!&gt;=table!$E$6,#REF!&lt;=table!$F$6),1,0))</f>
        <v>#REF!</v>
      </c>
      <c r="R2429" s="5" t="e">
        <f>IF(AND(#REF!&gt;=table!$C$7,#REF!&lt;= table!$D$7),-1,IF(AND(#REF!&gt;=table!$E$7,#REF!&lt;=table!$F$7),1,0))</f>
        <v>#REF!</v>
      </c>
      <c r="S2429" s="5" t="e">
        <f>IF(AND(#REF!&gt;=table!$C$8,#REF!&lt;= table!$D$8),-1,IF(AND(#REF!&gt;=table!$E$8,#REF!&lt;=table!$F$8),1,0))</f>
        <v>#REF!</v>
      </c>
      <c r="T2429" s="5"/>
      <c r="U2429" s="5" t="e">
        <f>IF(AND(#REF!&gt;=table!$C$10,#REF!&lt;= table!$D$10),-1,IF(AND(#REF!&gt;=table!$E$10,#REF!&lt;=table!$F$10),1,0))</f>
        <v>#REF!</v>
      </c>
      <c r="V2429" s="5" t="e">
        <f>IF(AND(#REF!&gt;=table!$C$11,#REF!&lt;= table!$D$11),-1,IF(AND(#REF!&gt;=table!$E$11,#REF!&lt;=table!$F$11),1,0))</f>
        <v>#REF!</v>
      </c>
      <c r="W2429" s="5" t="e">
        <f>CONCATENATE(dados[[#This Row],[fator1]],dados[[#This Row],[fator5]],dados[[#This Row],[fator6]])</f>
        <v>#REF!</v>
      </c>
    </row>
    <row r="2430" spans="1:23">
      <c r="A2430" t="s">
        <v>17</v>
      </c>
      <c r="B2430">
        <v>487930</v>
      </c>
      <c r="C2430">
        <v>14</v>
      </c>
      <c r="D2430">
        <v>30</v>
      </c>
      <c r="E2430">
        <v>86</v>
      </c>
      <c r="F2430">
        <v>9</v>
      </c>
      <c r="G2430">
        <v>20</v>
      </c>
      <c r="H2430">
        <v>25</v>
      </c>
      <c r="I2430">
        <v>977</v>
      </c>
      <c r="J2430">
        <v>0</v>
      </c>
      <c r="K2430">
        <v>6.0375000000000005</v>
      </c>
      <c r="L2430">
        <v>11.471</v>
      </c>
      <c r="M2430">
        <v>71.883499999999998</v>
      </c>
      <c r="N2430">
        <v>17.77</v>
      </c>
      <c r="O2430">
        <v>1663</v>
      </c>
      <c r="P2430">
        <v>538</v>
      </c>
      <c r="Q2430" s="5" t="e">
        <f>IF(AND(#REF!&gt;=table!$C$6,#REF!&lt;= table!$D$6),-1,IF(AND(#REF!&gt;=table!$E$6,#REF!&lt;=table!$F$6),1,0))</f>
        <v>#REF!</v>
      </c>
      <c r="R2430" s="5" t="e">
        <f>IF(AND(#REF!&gt;=table!$C$7,#REF!&lt;= table!$D$7),-1,IF(AND(#REF!&gt;=table!$E$7,#REF!&lt;=table!$F$7),1,0))</f>
        <v>#REF!</v>
      </c>
      <c r="S2430" s="5" t="e">
        <f>IF(AND(#REF!&gt;=table!$C$8,#REF!&lt;= table!$D$8),-1,IF(AND(#REF!&gt;=table!$E$8,#REF!&lt;=table!$F$8),1,0))</f>
        <v>#REF!</v>
      </c>
      <c r="T2430" s="5"/>
      <c r="U2430" s="5" t="e">
        <f>IF(AND(#REF!&gt;=table!$C$10,#REF!&lt;= table!$D$10),-1,IF(AND(#REF!&gt;=table!$E$10,#REF!&lt;=table!$F$10),1,0))</f>
        <v>#REF!</v>
      </c>
      <c r="V2430" s="5" t="e">
        <f>IF(AND(#REF!&gt;=table!$C$11,#REF!&lt;= table!$D$11),-1,IF(AND(#REF!&gt;=table!$E$11,#REF!&lt;=table!$F$11),1,0))</f>
        <v>#REF!</v>
      </c>
      <c r="W2430" s="5" t="e">
        <f>CONCATENATE(dados[[#This Row],[fator1]],dados[[#This Row],[fator5]],dados[[#This Row],[fator6]])</f>
        <v>#REF!</v>
      </c>
    </row>
    <row r="2431" spans="1:23">
      <c r="A2431" t="s">
        <v>17</v>
      </c>
      <c r="B2431">
        <v>487935</v>
      </c>
      <c r="C2431">
        <v>12</v>
      </c>
      <c r="D2431">
        <v>25</v>
      </c>
      <c r="E2431">
        <v>120</v>
      </c>
      <c r="F2431">
        <v>9</v>
      </c>
      <c r="G2431">
        <v>110</v>
      </c>
      <c r="H2431">
        <v>50</v>
      </c>
      <c r="I2431">
        <v>560</v>
      </c>
      <c r="J2431">
        <v>0</v>
      </c>
      <c r="K2431">
        <v>3.9715000000000003</v>
      </c>
      <c r="L2431">
        <v>8.7484999999999999</v>
      </c>
      <c r="M2431">
        <v>124.563</v>
      </c>
      <c r="N2431">
        <v>33.89</v>
      </c>
      <c r="O2431">
        <v>1646</v>
      </c>
      <c r="P2431">
        <v>976</v>
      </c>
      <c r="Q2431" s="5" t="e">
        <f>IF(AND(#REF!&gt;=table!$C$6,#REF!&lt;= table!$D$6),-1,IF(AND(#REF!&gt;=table!$E$6,#REF!&lt;=table!$F$6),1,0))</f>
        <v>#REF!</v>
      </c>
      <c r="R2431" s="5" t="e">
        <f>IF(AND(#REF!&gt;=table!$C$7,#REF!&lt;= table!$D$7),-1,IF(AND(#REF!&gt;=table!$E$7,#REF!&lt;=table!$F$7),1,0))</f>
        <v>#REF!</v>
      </c>
      <c r="S2431" s="5" t="e">
        <f>IF(AND(#REF!&gt;=table!$C$8,#REF!&lt;= table!$D$8),-1,IF(AND(#REF!&gt;=table!$E$8,#REF!&lt;=table!$F$8),1,0))</f>
        <v>#REF!</v>
      </c>
      <c r="T2431" s="5"/>
      <c r="U2431" s="5" t="e">
        <f>IF(AND(#REF!&gt;=table!$C$10,#REF!&lt;= table!$D$10),-1,IF(AND(#REF!&gt;=table!$E$10,#REF!&lt;=table!$F$10),1,0))</f>
        <v>#REF!</v>
      </c>
      <c r="V2431" s="5" t="e">
        <f>IF(AND(#REF!&gt;=table!$C$11,#REF!&lt;= table!$D$11),-1,IF(AND(#REF!&gt;=table!$E$11,#REF!&lt;=table!$F$11),1,0))</f>
        <v>#REF!</v>
      </c>
      <c r="W2431" s="5" t="e">
        <f>CONCATENATE(dados[[#This Row],[fator1]],dados[[#This Row],[fator5]],dados[[#This Row],[fator6]])</f>
        <v>#REF!</v>
      </c>
    </row>
    <row r="2432" spans="1:23">
      <c r="A2432" t="s">
        <v>16</v>
      </c>
      <c r="B2432">
        <v>487938</v>
      </c>
      <c r="C2432">
        <v>0.1</v>
      </c>
      <c r="D2432">
        <v>40</v>
      </c>
      <c r="E2432">
        <v>10</v>
      </c>
      <c r="F2432">
        <v>8</v>
      </c>
      <c r="G2432">
        <v>0</v>
      </c>
      <c r="H2432">
        <v>10</v>
      </c>
      <c r="I2432">
        <v>970</v>
      </c>
      <c r="J2432">
        <v>0</v>
      </c>
      <c r="K2432">
        <v>3.0649999999999999</v>
      </c>
      <c r="L2432">
        <v>8.7620000000000005</v>
      </c>
      <c r="M2432">
        <v>7.3145000000000007</v>
      </c>
      <c r="N2432">
        <v>6.8250000000000002</v>
      </c>
      <c r="O2432">
        <v>1670</v>
      </c>
      <c r="P2432">
        <v>1074</v>
      </c>
      <c r="Q2432" s="5" t="e">
        <f>IF(AND(#REF!&gt;=table!$C$6,#REF!&lt;= table!$D$6),-1,IF(AND(#REF!&gt;=table!$E$6,#REF!&lt;=table!$F$6),1,0))</f>
        <v>#REF!</v>
      </c>
      <c r="R2432" s="5" t="e">
        <f>IF(AND(#REF!&gt;=table!$C$7,#REF!&lt;= table!$D$7),-1,IF(AND(#REF!&gt;=table!$E$7,#REF!&lt;=table!$F$7),1,0))</f>
        <v>#REF!</v>
      </c>
      <c r="S2432" s="5" t="e">
        <f>IF(AND(#REF!&gt;=table!$C$8,#REF!&lt;= table!$D$8),-1,IF(AND(#REF!&gt;=table!$E$8,#REF!&lt;=table!$F$8),1,0))</f>
        <v>#REF!</v>
      </c>
      <c r="T2432" s="5"/>
      <c r="U2432" s="5" t="e">
        <f>IF(AND(#REF!&gt;=table!$C$10,#REF!&lt;= table!$D$10),-1,IF(AND(#REF!&gt;=table!$E$10,#REF!&lt;=table!$F$10),1,0))</f>
        <v>#REF!</v>
      </c>
      <c r="V2432" s="5" t="e">
        <f>IF(AND(#REF!&gt;=table!$C$11,#REF!&lt;= table!$D$11),-1,IF(AND(#REF!&gt;=table!$E$11,#REF!&lt;=table!$F$11),1,0))</f>
        <v>#REF!</v>
      </c>
      <c r="W2432" s="5" t="e">
        <f>CONCATENATE(dados[[#This Row],[fator1]],dados[[#This Row],[fator5]],dados[[#This Row],[fator6]])</f>
        <v>#REF!</v>
      </c>
    </row>
    <row r="2433" spans="1:23">
      <c r="A2433" t="s">
        <v>16</v>
      </c>
      <c r="B2433">
        <v>487948</v>
      </c>
      <c r="C2433">
        <v>0.15</v>
      </c>
      <c r="D2433">
        <v>40</v>
      </c>
      <c r="E2433">
        <v>10</v>
      </c>
      <c r="F2433">
        <v>15</v>
      </c>
      <c r="G2433">
        <v>0</v>
      </c>
      <c r="H2433">
        <v>15</v>
      </c>
      <c r="I2433">
        <v>5</v>
      </c>
      <c r="J2433">
        <v>740</v>
      </c>
      <c r="K2433">
        <v>5.1495000000000006</v>
      </c>
      <c r="L2433">
        <v>8.4664999999999999</v>
      </c>
      <c r="M2433">
        <v>4.8795000000000002</v>
      </c>
      <c r="N2433">
        <v>8.08</v>
      </c>
      <c r="O2433">
        <v>1609</v>
      </c>
      <c r="P2433">
        <v>484</v>
      </c>
      <c r="Q2433" s="5" t="e">
        <f>IF(AND(#REF!&gt;=table!$C$6,#REF!&lt;= table!$D$6),-1,IF(AND(#REF!&gt;=table!$E$6,#REF!&lt;=table!$F$6),1,0))</f>
        <v>#REF!</v>
      </c>
      <c r="R2433" s="5" t="e">
        <f>IF(AND(#REF!&gt;=table!$C$7,#REF!&lt;= table!$D$7),-1,IF(AND(#REF!&gt;=table!$E$7,#REF!&lt;=table!$F$7),1,0))</f>
        <v>#REF!</v>
      </c>
      <c r="S2433" s="5" t="e">
        <f>IF(AND(#REF!&gt;=table!$C$8,#REF!&lt;= table!$D$8),-1,IF(AND(#REF!&gt;=table!$E$8,#REF!&lt;=table!$F$8),1,0))</f>
        <v>#REF!</v>
      </c>
      <c r="T2433" s="5"/>
      <c r="U2433" s="5" t="e">
        <f>IF(AND(#REF!&gt;=table!$C$10,#REF!&lt;= table!$D$10),-1,IF(AND(#REF!&gt;=table!$E$10,#REF!&lt;=table!$F$10),1,0))</f>
        <v>#REF!</v>
      </c>
      <c r="V2433" s="5" t="e">
        <f>IF(AND(#REF!&gt;=table!$C$11,#REF!&lt;= table!$D$11),-1,IF(AND(#REF!&gt;=table!$E$11,#REF!&lt;=table!$F$11),1,0))</f>
        <v>#REF!</v>
      </c>
      <c r="W2433" s="5" t="e">
        <f>CONCATENATE(dados[[#This Row],[fator1]],dados[[#This Row],[fator5]],dados[[#This Row],[fator6]])</f>
        <v>#REF!</v>
      </c>
    </row>
    <row r="2434" spans="1:23">
      <c r="A2434" t="s">
        <v>16</v>
      </c>
      <c r="B2434">
        <v>487954</v>
      </c>
      <c r="C2434">
        <v>9</v>
      </c>
      <c r="D2434">
        <v>40</v>
      </c>
      <c r="E2434">
        <v>46</v>
      </c>
      <c r="F2434">
        <v>15</v>
      </c>
      <c r="G2434">
        <v>0</v>
      </c>
      <c r="H2434">
        <v>25</v>
      </c>
      <c r="I2434">
        <v>354</v>
      </c>
      <c r="J2434">
        <v>0</v>
      </c>
      <c r="K2434">
        <v>15.39</v>
      </c>
      <c r="L2434">
        <v>16.458500000000001</v>
      </c>
      <c r="M2434">
        <v>36.186500000000002</v>
      </c>
      <c r="N2434">
        <v>19.905000000000001</v>
      </c>
      <c r="O2434">
        <v>1671</v>
      </c>
      <c r="P2434">
        <v>247</v>
      </c>
      <c r="Q2434" s="5" t="e">
        <f>IF(AND(#REF!&gt;=table!$C$6,#REF!&lt;= table!$D$6),-1,IF(AND(#REF!&gt;=table!$E$6,#REF!&lt;=table!$F$6),1,0))</f>
        <v>#REF!</v>
      </c>
      <c r="R2434" s="5" t="e">
        <f>IF(AND(#REF!&gt;=table!$C$7,#REF!&lt;= table!$D$7),-1,IF(AND(#REF!&gt;=table!$E$7,#REF!&lt;=table!$F$7),1,0))</f>
        <v>#REF!</v>
      </c>
      <c r="S2434" s="5" t="e">
        <f>IF(AND(#REF!&gt;=table!$C$8,#REF!&lt;= table!$D$8),-1,IF(AND(#REF!&gt;=table!$E$8,#REF!&lt;=table!$F$8),1,0))</f>
        <v>#REF!</v>
      </c>
      <c r="T2434" s="5"/>
      <c r="U2434" s="5" t="e">
        <f>IF(AND(#REF!&gt;=table!$C$10,#REF!&lt;= table!$D$10),-1,IF(AND(#REF!&gt;=table!$E$10,#REF!&lt;=table!$F$10),1,0))</f>
        <v>#REF!</v>
      </c>
      <c r="V2434" s="5" t="e">
        <f>IF(AND(#REF!&gt;=table!$C$11,#REF!&lt;= table!$D$11),-1,IF(AND(#REF!&gt;=table!$E$11,#REF!&lt;=table!$F$11),1,0))</f>
        <v>#REF!</v>
      </c>
      <c r="W2434" s="5" t="e">
        <f>CONCATENATE(dados[[#This Row],[fator1]],dados[[#This Row],[fator5]],dados[[#This Row],[fator6]])</f>
        <v>#REF!</v>
      </c>
    </row>
    <row r="2435" spans="1:23">
      <c r="A2435" t="s">
        <v>17</v>
      </c>
      <c r="B2435">
        <v>487956</v>
      </c>
      <c r="C2435">
        <v>12</v>
      </c>
      <c r="D2435">
        <v>30</v>
      </c>
      <c r="E2435">
        <v>115</v>
      </c>
      <c r="F2435">
        <v>4</v>
      </c>
      <c r="G2435">
        <v>25</v>
      </c>
      <c r="H2435">
        <v>20</v>
      </c>
      <c r="I2435">
        <v>1122</v>
      </c>
      <c r="J2435">
        <v>0</v>
      </c>
      <c r="K2435">
        <v>5.7140000000000004</v>
      </c>
      <c r="L2435">
        <v>8.4065000000000012</v>
      </c>
      <c r="M2435">
        <v>88.19850000000001</v>
      </c>
      <c r="N2435">
        <v>15.005000000000001</v>
      </c>
      <c r="O2435">
        <v>1684</v>
      </c>
      <c r="P2435">
        <v>719</v>
      </c>
      <c r="Q2435" s="5" t="e">
        <f>IF(AND(#REF!&gt;=table!$C$6,#REF!&lt;= table!$D$6),-1,IF(AND(#REF!&gt;=table!$E$6,#REF!&lt;=table!$F$6),1,0))</f>
        <v>#REF!</v>
      </c>
      <c r="R2435" s="5" t="e">
        <f>IF(AND(#REF!&gt;=table!$C$7,#REF!&lt;= table!$D$7),-1,IF(AND(#REF!&gt;=table!$E$7,#REF!&lt;=table!$F$7),1,0))</f>
        <v>#REF!</v>
      </c>
      <c r="S2435" s="5" t="e">
        <f>IF(AND(#REF!&gt;=table!$C$8,#REF!&lt;= table!$D$8),-1,IF(AND(#REF!&gt;=table!$E$8,#REF!&lt;=table!$F$8),1,0))</f>
        <v>#REF!</v>
      </c>
      <c r="T2435" s="5"/>
      <c r="U2435" s="5" t="e">
        <f>IF(AND(#REF!&gt;=table!$C$10,#REF!&lt;= table!$D$10),-1,IF(AND(#REF!&gt;=table!$E$10,#REF!&lt;=table!$F$10),1,0))</f>
        <v>#REF!</v>
      </c>
      <c r="V2435" s="5" t="e">
        <f>IF(AND(#REF!&gt;=table!$C$11,#REF!&lt;= table!$D$11),-1,IF(AND(#REF!&gt;=table!$E$11,#REF!&lt;=table!$F$11),1,0))</f>
        <v>#REF!</v>
      </c>
      <c r="W2435" s="5" t="e">
        <f>CONCATENATE(dados[[#This Row],[fator1]],dados[[#This Row],[fator5]],dados[[#This Row],[fator6]])</f>
        <v>#REF!</v>
      </c>
    </row>
    <row r="2436" spans="1:23">
      <c r="A2436" t="s">
        <v>16</v>
      </c>
      <c r="B2436">
        <v>487957</v>
      </c>
      <c r="C2436">
        <v>9</v>
      </c>
      <c r="D2436">
        <v>40</v>
      </c>
      <c r="E2436">
        <v>46</v>
      </c>
      <c r="F2436">
        <v>15</v>
      </c>
      <c r="G2436">
        <v>0</v>
      </c>
      <c r="H2436">
        <v>25</v>
      </c>
      <c r="I2436">
        <v>3</v>
      </c>
      <c r="J2436">
        <v>0</v>
      </c>
      <c r="K2436">
        <v>6.0600000000000005</v>
      </c>
      <c r="L2436">
        <v>9.8960000000000008</v>
      </c>
      <c r="M2436">
        <v>37.052</v>
      </c>
      <c r="N2436">
        <v>14.26</v>
      </c>
      <c r="O2436">
        <v>1668</v>
      </c>
      <c r="P2436">
        <v>0</v>
      </c>
      <c r="Q2436" s="5" t="e">
        <f>IF(AND(#REF!&gt;=table!$C$6,#REF!&lt;= table!$D$6),-1,IF(AND(#REF!&gt;=table!$E$6,#REF!&lt;=table!$F$6),1,0))</f>
        <v>#REF!</v>
      </c>
      <c r="R2436" s="5" t="e">
        <f>IF(AND(#REF!&gt;=table!$C$7,#REF!&lt;= table!$D$7),-1,IF(AND(#REF!&gt;=table!$E$7,#REF!&lt;=table!$F$7),1,0))</f>
        <v>#REF!</v>
      </c>
      <c r="S2436" s="5" t="e">
        <f>IF(AND(#REF!&gt;=table!$C$8,#REF!&lt;= table!$D$8),-1,IF(AND(#REF!&gt;=table!$E$8,#REF!&lt;=table!$F$8),1,0))</f>
        <v>#REF!</v>
      </c>
      <c r="T2436" s="5"/>
      <c r="U2436" s="5" t="e">
        <f>IF(AND(#REF!&gt;=table!$C$10,#REF!&lt;= table!$D$10),-1,IF(AND(#REF!&gt;=table!$E$10,#REF!&lt;=table!$F$10),1,0))</f>
        <v>#REF!</v>
      </c>
      <c r="V2436" s="5" t="e">
        <f>IF(AND(#REF!&gt;=table!$C$11,#REF!&lt;= table!$D$11),-1,IF(AND(#REF!&gt;=table!$E$11,#REF!&lt;=table!$F$11),1,0))</f>
        <v>#REF!</v>
      </c>
      <c r="W2436" s="5" t="e">
        <f>CONCATENATE(dados[[#This Row],[fator1]],dados[[#This Row],[fator5]],dados[[#This Row],[fator6]])</f>
        <v>#REF!</v>
      </c>
    </row>
    <row r="2437" spans="1:23">
      <c r="A2437" t="s">
        <v>16</v>
      </c>
      <c r="B2437">
        <v>487959</v>
      </c>
      <c r="C2437">
        <v>9</v>
      </c>
      <c r="D2437">
        <v>35</v>
      </c>
      <c r="E2437">
        <v>36</v>
      </c>
      <c r="F2437">
        <v>9</v>
      </c>
      <c r="G2437">
        <v>0</v>
      </c>
      <c r="H2437">
        <v>25</v>
      </c>
      <c r="I2437">
        <v>492</v>
      </c>
      <c r="J2437">
        <v>0</v>
      </c>
      <c r="K2437">
        <v>5.1715</v>
      </c>
      <c r="L2437">
        <v>5.3250000000000002</v>
      </c>
      <c r="M2437">
        <v>30.426000000000002</v>
      </c>
      <c r="N2437">
        <v>6.2700000000000005</v>
      </c>
      <c r="O2437">
        <v>1640</v>
      </c>
      <c r="P2437">
        <v>574</v>
      </c>
      <c r="Q2437" s="5" t="e">
        <f>IF(AND(#REF!&gt;=table!$C$6,#REF!&lt;= table!$D$6),-1,IF(AND(#REF!&gt;=table!$E$6,#REF!&lt;=table!$F$6),1,0))</f>
        <v>#REF!</v>
      </c>
      <c r="R2437" s="5" t="e">
        <f>IF(AND(#REF!&gt;=table!$C$7,#REF!&lt;= table!$D$7),-1,IF(AND(#REF!&gt;=table!$E$7,#REF!&lt;=table!$F$7),1,0))</f>
        <v>#REF!</v>
      </c>
      <c r="S2437" s="5" t="e">
        <f>IF(AND(#REF!&gt;=table!$C$8,#REF!&lt;= table!$D$8),-1,IF(AND(#REF!&gt;=table!$E$8,#REF!&lt;=table!$F$8),1,0))</f>
        <v>#REF!</v>
      </c>
      <c r="T2437" s="5"/>
      <c r="U2437" s="5" t="e">
        <f>IF(AND(#REF!&gt;=table!$C$10,#REF!&lt;= table!$D$10),-1,IF(AND(#REF!&gt;=table!$E$10,#REF!&lt;=table!$F$10),1,0))</f>
        <v>#REF!</v>
      </c>
      <c r="V2437" s="5" t="e">
        <f>IF(AND(#REF!&gt;=table!$C$11,#REF!&lt;= table!$D$11),-1,IF(AND(#REF!&gt;=table!$E$11,#REF!&lt;=table!$F$11),1,0))</f>
        <v>#REF!</v>
      </c>
      <c r="W2437" s="5" t="e">
        <f>CONCATENATE(dados[[#This Row],[fator1]],dados[[#This Row],[fator5]],dados[[#This Row],[fator6]])</f>
        <v>#REF!</v>
      </c>
    </row>
    <row r="2438" spans="1:23">
      <c r="A2438" t="s">
        <v>16</v>
      </c>
      <c r="B2438">
        <v>487961</v>
      </c>
      <c r="C2438">
        <v>12</v>
      </c>
      <c r="D2438">
        <v>40</v>
      </c>
      <c r="E2438">
        <v>36</v>
      </c>
      <c r="F2438">
        <v>9</v>
      </c>
      <c r="G2438">
        <v>0</v>
      </c>
      <c r="H2438">
        <v>25</v>
      </c>
      <c r="I2438">
        <v>837</v>
      </c>
      <c r="J2438">
        <v>0</v>
      </c>
      <c r="K2438">
        <v>3.5175000000000001</v>
      </c>
      <c r="L2438">
        <v>7.3895</v>
      </c>
      <c r="M2438">
        <v>33.650500000000001</v>
      </c>
      <c r="N2438">
        <v>16.830000000000002</v>
      </c>
      <c r="O2438">
        <v>1700</v>
      </c>
      <c r="P2438">
        <v>0</v>
      </c>
      <c r="Q2438" s="5" t="e">
        <f>IF(AND(#REF!&gt;=table!$C$6,#REF!&lt;= table!$D$6),-1,IF(AND(#REF!&gt;=table!$E$6,#REF!&lt;=table!$F$6),1,0))</f>
        <v>#REF!</v>
      </c>
      <c r="R2438" s="5" t="e">
        <f>IF(AND(#REF!&gt;=table!$C$7,#REF!&lt;= table!$D$7),-1,IF(AND(#REF!&gt;=table!$E$7,#REF!&lt;=table!$F$7),1,0))</f>
        <v>#REF!</v>
      </c>
      <c r="S2438" s="5" t="e">
        <f>IF(AND(#REF!&gt;=table!$C$8,#REF!&lt;= table!$D$8),-1,IF(AND(#REF!&gt;=table!$E$8,#REF!&lt;=table!$F$8),1,0))</f>
        <v>#REF!</v>
      </c>
      <c r="T2438" s="5"/>
      <c r="U2438" s="5" t="e">
        <f>IF(AND(#REF!&gt;=table!$C$10,#REF!&lt;= table!$D$10),-1,IF(AND(#REF!&gt;=table!$E$10,#REF!&lt;=table!$F$10),1,0))</f>
        <v>#REF!</v>
      </c>
      <c r="V2438" s="5" t="e">
        <f>IF(AND(#REF!&gt;=table!$C$11,#REF!&lt;= table!$D$11),-1,IF(AND(#REF!&gt;=table!$E$11,#REF!&lt;=table!$F$11),1,0))</f>
        <v>#REF!</v>
      </c>
      <c r="W2438" s="5" t="e">
        <f>CONCATENATE(dados[[#This Row],[fator1]],dados[[#This Row],[fator5]],dados[[#This Row],[fator6]])</f>
        <v>#REF!</v>
      </c>
    </row>
    <row r="2439" spans="1:23">
      <c r="A2439" t="s">
        <v>16</v>
      </c>
      <c r="B2439">
        <v>487963</v>
      </c>
      <c r="C2439">
        <v>0.15</v>
      </c>
      <c r="D2439">
        <v>40</v>
      </c>
      <c r="E2439">
        <v>10</v>
      </c>
      <c r="F2439">
        <v>15</v>
      </c>
      <c r="G2439">
        <v>0</v>
      </c>
      <c r="H2439">
        <v>15</v>
      </c>
      <c r="I2439">
        <v>0</v>
      </c>
      <c r="J2439">
        <v>560</v>
      </c>
      <c r="K2439">
        <v>4.2945000000000002</v>
      </c>
      <c r="L2439">
        <v>11.063500000000001</v>
      </c>
      <c r="M2439">
        <v>7.4305000000000003</v>
      </c>
      <c r="N2439">
        <v>14.675000000000001</v>
      </c>
      <c r="O2439">
        <v>1690</v>
      </c>
      <c r="P2439">
        <v>1017</v>
      </c>
      <c r="Q2439" s="5" t="e">
        <f>IF(AND(#REF!&gt;=table!$C$6,#REF!&lt;= table!$D$6),-1,IF(AND(#REF!&gt;=table!$E$6,#REF!&lt;=table!$F$6),1,0))</f>
        <v>#REF!</v>
      </c>
      <c r="R2439" s="5" t="e">
        <f>IF(AND(#REF!&gt;=table!$C$7,#REF!&lt;= table!$D$7),-1,IF(AND(#REF!&gt;=table!$E$7,#REF!&lt;=table!$F$7),1,0))</f>
        <v>#REF!</v>
      </c>
      <c r="S2439" s="5" t="e">
        <f>IF(AND(#REF!&gt;=table!$C$8,#REF!&lt;= table!$D$8),-1,IF(AND(#REF!&gt;=table!$E$8,#REF!&lt;=table!$F$8),1,0))</f>
        <v>#REF!</v>
      </c>
      <c r="T2439" s="5"/>
      <c r="U2439" s="5" t="e">
        <f>IF(AND(#REF!&gt;=table!$C$10,#REF!&lt;= table!$D$10),-1,IF(AND(#REF!&gt;=table!$E$10,#REF!&lt;=table!$F$10),1,0))</f>
        <v>#REF!</v>
      </c>
      <c r="V2439" s="5" t="e">
        <f>IF(AND(#REF!&gt;=table!$C$11,#REF!&lt;= table!$D$11),-1,IF(AND(#REF!&gt;=table!$E$11,#REF!&lt;=table!$F$11),1,0))</f>
        <v>#REF!</v>
      </c>
      <c r="W2439" s="5" t="e">
        <f>CONCATENATE(dados[[#This Row],[fator1]],dados[[#This Row],[fator5]],dados[[#This Row],[fator6]])</f>
        <v>#REF!</v>
      </c>
    </row>
    <row r="2440" spans="1:23">
      <c r="A2440" t="s">
        <v>16</v>
      </c>
      <c r="B2440">
        <v>487964</v>
      </c>
      <c r="C2440">
        <v>0.15</v>
      </c>
      <c r="D2440">
        <v>40</v>
      </c>
      <c r="E2440">
        <v>10</v>
      </c>
      <c r="F2440">
        <v>15</v>
      </c>
      <c r="G2440">
        <v>0</v>
      </c>
      <c r="H2440">
        <v>15</v>
      </c>
      <c r="I2440">
        <v>562</v>
      </c>
      <c r="J2440">
        <v>690</v>
      </c>
      <c r="K2440">
        <v>4.8765000000000001</v>
      </c>
      <c r="L2440">
        <v>8.4335000000000004</v>
      </c>
      <c r="M2440">
        <v>6.774</v>
      </c>
      <c r="N2440">
        <v>8.3650000000000002</v>
      </c>
      <c r="O2440">
        <v>1640</v>
      </c>
      <c r="P2440">
        <v>652</v>
      </c>
      <c r="Q2440" s="5" t="e">
        <f>IF(AND(#REF!&gt;=table!$C$6,#REF!&lt;= table!$D$6),-1,IF(AND(#REF!&gt;=table!$E$6,#REF!&lt;=table!$F$6),1,0))</f>
        <v>#REF!</v>
      </c>
      <c r="R2440" s="5" t="e">
        <f>IF(AND(#REF!&gt;=table!$C$7,#REF!&lt;= table!$D$7),-1,IF(AND(#REF!&gt;=table!$E$7,#REF!&lt;=table!$F$7),1,0))</f>
        <v>#REF!</v>
      </c>
      <c r="S2440" s="5" t="e">
        <f>IF(AND(#REF!&gt;=table!$C$8,#REF!&lt;= table!$D$8),-1,IF(AND(#REF!&gt;=table!$E$8,#REF!&lt;=table!$F$8),1,0))</f>
        <v>#REF!</v>
      </c>
      <c r="T2440" s="5"/>
      <c r="U2440" s="5" t="e">
        <f>IF(AND(#REF!&gt;=table!$C$10,#REF!&lt;= table!$D$10),-1,IF(AND(#REF!&gt;=table!$E$10,#REF!&lt;=table!$F$10),1,0))</f>
        <v>#REF!</v>
      </c>
      <c r="V2440" s="5" t="e">
        <f>IF(AND(#REF!&gt;=table!$C$11,#REF!&lt;= table!$D$11),-1,IF(AND(#REF!&gt;=table!$E$11,#REF!&lt;=table!$F$11),1,0))</f>
        <v>#REF!</v>
      </c>
      <c r="W2440" s="5" t="e">
        <f>CONCATENATE(dados[[#This Row],[fator1]],dados[[#This Row],[fator5]],dados[[#This Row],[fator6]])</f>
        <v>#REF!</v>
      </c>
    </row>
    <row r="2441" spans="1:23">
      <c r="A2441" t="s">
        <v>16</v>
      </c>
      <c r="B2441">
        <v>487967</v>
      </c>
      <c r="C2441">
        <v>0.15</v>
      </c>
      <c r="D2441">
        <v>40</v>
      </c>
      <c r="E2441">
        <v>10</v>
      </c>
      <c r="F2441">
        <v>15</v>
      </c>
      <c r="G2441">
        <v>0</v>
      </c>
      <c r="H2441">
        <v>15</v>
      </c>
      <c r="I2441">
        <v>0</v>
      </c>
      <c r="J2441">
        <v>0</v>
      </c>
      <c r="K2441">
        <v>4.5945</v>
      </c>
      <c r="L2441">
        <v>9.0380000000000003</v>
      </c>
      <c r="M2441">
        <v>8.1460000000000008</v>
      </c>
      <c r="N2441">
        <v>11.94</v>
      </c>
      <c r="O2441">
        <v>1640</v>
      </c>
      <c r="P2441">
        <v>817</v>
      </c>
      <c r="Q2441" s="5" t="e">
        <f>IF(AND(#REF!&gt;=table!$C$6,#REF!&lt;= table!$D$6),-1,IF(AND(#REF!&gt;=table!$E$6,#REF!&lt;=table!$F$6),1,0))</f>
        <v>#REF!</v>
      </c>
      <c r="R2441" s="5" t="e">
        <f>IF(AND(#REF!&gt;=table!$C$7,#REF!&lt;= table!$D$7),-1,IF(AND(#REF!&gt;=table!$E$7,#REF!&lt;=table!$F$7),1,0))</f>
        <v>#REF!</v>
      </c>
      <c r="S2441" s="5" t="e">
        <f>IF(AND(#REF!&gt;=table!$C$8,#REF!&lt;= table!$D$8),-1,IF(AND(#REF!&gt;=table!$E$8,#REF!&lt;=table!$F$8),1,0))</f>
        <v>#REF!</v>
      </c>
      <c r="T2441" s="5"/>
      <c r="U2441" s="5" t="e">
        <f>IF(AND(#REF!&gt;=table!$C$10,#REF!&lt;= table!$D$10),-1,IF(AND(#REF!&gt;=table!$E$10,#REF!&lt;=table!$F$10),1,0))</f>
        <v>#REF!</v>
      </c>
      <c r="V2441" s="5" t="e">
        <f>IF(AND(#REF!&gt;=table!$C$11,#REF!&lt;= table!$D$11),-1,IF(AND(#REF!&gt;=table!$E$11,#REF!&lt;=table!$F$11),1,0))</f>
        <v>#REF!</v>
      </c>
      <c r="W2441" s="5" t="e">
        <f>CONCATENATE(dados[[#This Row],[fator1]],dados[[#This Row],[fator5]],dados[[#This Row],[fator6]])</f>
        <v>#REF!</v>
      </c>
    </row>
    <row r="2442" spans="1:23">
      <c r="A2442" t="s">
        <v>16</v>
      </c>
      <c r="B2442">
        <v>487968</v>
      </c>
      <c r="C2442">
        <v>0.15</v>
      </c>
      <c r="D2442">
        <v>40</v>
      </c>
      <c r="E2442">
        <v>10</v>
      </c>
      <c r="F2442">
        <v>15</v>
      </c>
      <c r="G2442">
        <v>0</v>
      </c>
      <c r="H2442">
        <v>15</v>
      </c>
      <c r="I2442">
        <v>1136</v>
      </c>
      <c r="J2442">
        <v>0</v>
      </c>
      <c r="K2442">
        <v>6.0390000000000006</v>
      </c>
      <c r="L2442">
        <v>9.51</v>
      </c>
      <c r="M2442">
        <v>8.5285000000000011</v>
      </c>
      <c r="N2442">
        <v>12.675000000000001</v>
      </c>
      <c r="O2442">
        <v>1684</v>
      </c>
      <c r="P2442">
        <v>0</v>
      </c>
      <c r="Q2442" s="5" t="e">
        <f>IF(AND(#REF!&gt;=table!$C$6,#REF!&lt;= table!$D$6),-1,IF(AND(#REF!&gt;=table!$E$6,#REF!&lt;=table!$F$6),1,0))</f>
        <v>#REF!</v>
      </c>
      <c r="R2442" s="5" t="e">
        <f>IF(AND(#REF!&gt;=table!$C$7,#REF!&lt;= table!$D$7),-1,IF(AND(#REF!&gt;=table!$E$7,#REF!&lt;=table!$F$7),1,0))</f>
        <v>#REF!</v>
      </c>
      <c r="S2442" s="5" t="e">
        <f>IF(AND(#REF!&gt;=table!$C$8,#REF!&lt;= table!$D$8),-1,IF(AND(#REF!&gt;=table!$E$8,#REF!&lt;=table!$F$8),1,0))</f>
        <v>#REF!</v>
      </c>
      <c r="T2442" s="5"/>
      <c r="U2442" s="5" t="e">
        <f>IF(AND(#REF!&gt;=table!$C$10,#REF!&lt;= table!$D$10),-1,IF(AND(#REF!&gt;=table!$E$10,#REF!&lt;=table!$F$10),1,0))</f>
        <v>#REF!</v>
      </c>
      <c r="V2442" s="5" t="e">
        <f>IF(AND(#REF!&gt;=table!$C$11,#REF!&lt;= table!$D$11),-1,IF(AND(#REF!&gt;=table!$E$11,#REF!&lt;=table!$F$11),1,0))</f>
        <v>#REF!</v>
      </c>
      <c r="W2442" s="5" t="e">
        <f>CONCATENATE(dados[[#This Row],[fator1]],dados[[#This Row],[fator5]],dados[[#This Row],[fator6]])</f>
        <v>#REF!</v>
      </c>
    </row>
    <row r="2443" spans="1:23">
      <c r="A2443" t="s">
        <v>16</v>
      </c>
      <c r="B2443">
        <v>487970</v>
      </c>
      <c r="C2443">
        <v>0.15</v>
      </c>
      <c r="D2443">
        <v>40</v>
      </c>
      <c r="E2443">
        <v>10</v>
      </c>
      <c r="F2443">
        <v>15</v>
      </c>
      <c r="G2443">
        <v>0</v>
      </c>
      <c r="H2443">
        <v>15</v>
      </c>
      <c r="I2443">
        <v>565</v>
      </c>
      <c r="J2443">
        <v>830</v>
      </c>
      <c r="K2443">
        <v>2.9864999999999999</v>
      </c>
      <c r="L2443">
        <v>9.4510000000000005</v>
      </c>
      <c r="M2443">
        <v>2.8820000000000001</v>
      </c>
      <c r="N2443">
        <v>6.91</v>
      </c>
      <c r="O2443">
        <v>1607</v>
      </c>
      <c r="P2443">
        <v>643</v>
      </c>
      <c r="Q2443" s="5" t="e">
        <f>IF(AND(#REF!&gt;=table!$C$6,#REF!&lt;= table!$D$6),-1,IF(AND(#REF!&gt;=table!$E$6,#REF!&lt;=table!$F$6),1,0))</f>
        <v>#REF!</v>
      </c>
      <c r="R2443" s="5" t="e">
        <f>IF(AND(#REF!&gt;=table!$C$7,#REF!&lt;= table!$D$7),-1,IF(AND(#REF!&gt;=table!$E$7,#REF!&lt;=table!$F$7),1,0))</f>
        <v>#REF!</v>
      </c>
      <c r="S2443" s="5" t="e">
        <f>IF(AND(#REF!&gt;=table!$C$8,#REF!&lt;= table!$D$8),-1,IF(AND(#REF!&gt;=table!$E$8,#REF!&lt;=table!$F$8),1,0))</f>
        <v>#REF!</v>
      </c>
      <c r="T2443" s="5"/>
      <c r="U2443" s="5" t="e">
        <f>IF(AND(#REF!&gt;=table!$C$10,#REF!&lt;= table!$D$10),-1,IF(AND(#REF!&gt;=table!$E$10,#REF!&lt;=table!$F$10),1,0))</f>
        <v>#REF!</v>
      </c>
      <c r="V2443" s="5" t="e">
        <f>IF(AND(#REF!&gt;=table!$C$11,#REF!&lt;= table!$D$11),-1,IF(AND(#REF!&gt;=table!$E$11,#REF!&lt;=table!$F$11),1,0))</f>
        <v>#REF!</v>
      </c>
      <c r="W2443" s="5" t="e">
        <f>CONCATENATE(dados[[#This Row],[fator1]],dados[[#This Row],[fator5]],dados[[#This Row],[fator6]])</f>
        <v>#REF!</v>
      </c>
    </row>
    <row r="2444" spans="1:23">
      <c r="A2444" t="s">
        <v>16</v>
      </c>
      <c r="B2444">
        <v>487971</v>
      </c>
      <c r="C2444">
        <v>6</v>
      </c>
      <c r="D2444">
        <v>25</v>
      </c>
      <c r="E2444">
        <v>120</v>
      </c>
      <c r="F2444">
        <v>4</v>
      </c>
      <c r="G2444">
        <v>0</v>
      </c>
      <c r="H2444">
        <v>55</v>
      </c>
      <c r="I2444">
        <v>280</v>
      </c>
      <c r="J2444">
        <v>0</v>
      </c>
      <c r="K2444">
        <v>2.9870000000000001</v>
      </c>
      <c r="L2444">
        <v>9.4510000000000005</v>
      </c>
      <c r="M2444">
        <v>82.661000000000001</v>
      </c>
      <c r="N2444">
        <v>39.785000000000004</v>
      </c>
      <c r="O2444">
        <v>1659</v>
      </c>
      <c r="P2444">
        <v>954</v>
      </c>
      <c r="Q2444" s="5" t="e">
        <f>IF(AND(#REF!&gt;=table!$C$6,#REF!&lt;= table!$D$6),-1,IF(AND(#REF!&gt;=table!$E$6,#REF!&lt;=table!$F$6),1,0))</f>
        <v>#REF!</v>
      </c>
      <c r="R2444" s="5" t="e">
        <f>IF(AND(#REF!&gt;=table!$C$7,#REF!&lt;= table!$D$7),-1,IF(AND(#REF!&gt;=table!$E$7,#REF!&lt;=table!$F$7),1,0))</f>
        <v>#REF!</v>
      </c>
      <c r="S2444" s="5" t="e">
        <f>IF(AND(#REF!&gt;=table!$C$8,#REF!&lt;= table!$D$8),-1,IF(AND(#REF!&gt;=table!$E$8,#REF!&lt;=table!$F$8),1,0))</f>
        <v>#REF!</v>
      </c>
      <c r="T2444" s="5"/>
      <c r="U2444" s="5" t="e">
        <f>IF(AND(#REF!&gt;=table!$C$10,#REF!&lt;= table!$D$10),-1,IF(AND(#REF!&gt;=table!$E$10,#REF!&lt;=table!$F$10),1,0))</f>
        <v>#REF!</v>
      </c>
      <c r="V2444" s="5" t="e">
        <f>IF(AND(#REF!&gt;=table!$C$11,#REF!&lt;= table!$D$11),-1,IF(AND(#REF!&gt;=table!$E$11,#REF!&lt;=table!$F$11),1,0))</f>
        <v>#REF!</v>
      </c>
      <c r="W2444" s="5" t="e">
        <f>CONCATENATE(dados[[#This Row],[fator1]],dados[[#This Row],[fator5]],dados[[#This Row],[fator6]])</f>
        <v>#REF!</v>
      </c>
    </row>
    <row r="2445" spans="1:23">
      <c r="A2445" t="s">
        <v>16</v>
      </c>
      <c r="B2445">
        <v>487972</v>
      </c>
      <c r="C2445">
        <v>6</v>
      </c>
      <c r="D2445">
        <v>25</v>
      </c>
      <c r="E2445">
        <v>120</v>
      </c>
      <c r="F2445">
        <v>4</v>
      </c>
      <c r="G2445">
        <v>0</v>
      </c>
      <c r="H2445">
        <v>55</v>
      </c>
      <c r="I2445">
        <v>467</v>
      </c>
      <c r="J2445">
        <v>0</v>
      </c>
      <c r="K2445">
        <v>3.9140000000000001</v>
      </c>
      <c r="L2445">
        <v>12.031500000000001</v>
      </c>
      <c r="M2445">
        <v>111.548</v>
      </c>
      <c r="N2445">
        <v>27.97</v>
      </c>
      <c r="O2445">
        <v>1680</v>
      </c>
      <c r="P2445">
        <v>1082</v>
      </c>
      <c r="Q2445" s="5" t="e">
        <f>IF(AND(#REF!&gt;=table!$C$6,#REF!&lt;= table!$D$6),-1,IF(AND(#REF!&gt;=table!$E$6,#REF!&lt;=table!$F$6),1,0))</f>
        <v>#REF!</v>
      </c>
      <c r="R2445" s="5" t="e">
        <f>IF(AND(#REF!&gt;=table!$C$7,#REF!&lt;= table!$D$7),-1,IF(AND(#REF!&gt;=table!$E$7,#REF!&lt;=table!$F$7),1,0))</f>
        <v>#REF!</v>
      </c>
      <c r="S2445" s="5" t="e">
        <f>IF(AND(#REF!&gt;=table!$C$8,#REF!&lt;= table!$D$8),-1,IF(AND(#REF!&gt;=table!$E$8,#REF!&lt;=table!$F$8),1,0))</f>
        <v>#REF!</v>
      </c>
      <c r="T2445" s="5"/>
      <c r="U2445" s="5" t="e">
        <f>IF(AND(#REF!&gt;=table!$C$10,#REF!&lt;= table!$D$10),-1,IF(AND(#REF!&gt;=table!$E$10,#REF!&lt;=table!$F$10),1,0))</f>
        <v>#REF!</v>
      </c>
      <c r="V2445" s="5" t="e">
        <f>IF(AND(#REF!&gt;=table!$C$11,#REF!&lt;= table!$D$11),-1,IF(AND(#REF!&gt;=table!$E$11,#REF!&lt;=table!$F$11),1,0))</f>
        <v>#REF!</v>
      </c>
      <c r="W2445" s="5" t="e">
        <f>CONCATENATE(dados[[#This Row],[fator1]],dados[[#This Row],[fator5]],dados[[#This Row],[fator6]])</f>
        <v>#REF!</v>
      </c>
    </row>
    <row r="2446" spans="1:23">
      <c r="A2446" t="s">
        <v>16</v>
      </c>
      <c r="B2446">
        <v>487974</v>
      </c>
      <c r="C2446">
        <v>6</v>
      </c>
      <c r="D2446">
        <v>25</v>
      </c>
      <c r="E2446">
        <v>120</v>
      </c>
      <c r="F2446">
        <v>4</v>
      </c>
      <c r="G2446">
        <v>0</v>
      </c>
      <c r="H2446">
        <v>55</v>
      </c>
      <c r="I2446">
        <v>0</v>
      </c>
      <c r="J2446">
        <v>0</v>
      </c>
      <c r="K2446">
        <v>4.3445</v>
      </c>
      <c r="L2446">
        <v>9.7985000000000007</v>
      </c>
      <c r="M2446">
        <v>105.25550000000001</v>
      </c>
      <c r="N2446">
        <v>26.055</v>
      </c>
      <c r="O2446">
        <v>1675</v>
      </c>
      <c r="P2446">
        <v>1076</v>
      </c>
      <c r="Q2446" s="5" t="e">
        <f>IF(AND(#REF!&gt;=table!$C$6,#REF!&lt;= table!$D$6),-1,IF(AND(#REF!&gt;=table!$E$6,#REF!&lt;=table!$F$6),1,0))</f>
        <v>#REF!</v>
      </c>
      <c r="R2446" s="5" t="e">
        <f>IF(AND(#REF!&gt;=table!$C$7,#REF!&lt;= table!$D$7),-1,IF(AND(#REF!&gt;=table!$E$7,#REF!&lt;=table!$F$7),1,0))</f>
        <v>#REF!</v>
      </c>
      <c r="S2446" s="5" t="e">
        <f>IF(AND(#REF!&gt;=table!$C$8,#REF!&lt;= table!$D$8),-1,IF(AND(#REF!&gt;=table!$E$8,#REF!&lt;=table!$F$8),1,0))</f>
        <v>#REF!</v>
      </c>
      <c r="T2446" s="5"/>
      <c r="U2446" s="5" t="e">
        <f>IF(AND(#REF!&gt;=table!$C$10,#REF!&lt;= table!$D$10),-1,IF(AND(#REF!&gt;=table!$E$10,#REF!&lt;=table!$F$10),1,0))</f>
        <v>#REF!</v>
      </c>
      <c r="V2446" s="5" t="e">
        <f>IF(AND(#REF!&gt;=table!$C$11,#REF!&lt;= table!$D$11),-1,IF(AND(#REF!&gt;=table!$E$11,#REF!&lt;=table!$F$11),1,0))</f>
        <v>#REF!</v>
      </c>
      <c r="W2446" s="5" t="e">
        <f>CONCATENATE(dados[[#This Row],[fator1]],dados[[#This Row],[fator5]],dados[[#This Row],[fator6]])</f>
        <v>#REF!</v>
      </c>
    </row>
    <row r="2447" spans="1:23">
      <c r="A2447" t="s">
        <v>16</v>
      </c>
      <c r="B2447">
        <v>487976</v>
      </c>
      <c r="C2447">
        <v>12</v>
      </c>
      <c r="D2447">
        <v>35</v>
      </c>
      <c r="E2447">
        <v>86</v>
      </c>
      <c r="F2447">
        <v>10</v>
      </c>
      <c r="G2447">
        <v>0</v>
      </c>
      <c r="H2447">
        <v>25</v>
      </c>
      <c r="I2447">
        <v>603</v>
      </c>
      <c r="J2447">
        <v>0</v>
      </c>
      <c r="K2447">
        <v>11.0495</v>
      </c>
      <c r="L2447">
        <v>15.273000000000001</v>
      </c>
      <c r="M2447">
        <v>80.238</v>
      </c>
      <c r="N2447">
        <v>25.45</v>
      </c>
      <c r="O2447">
        <v>1666</v>
      </c>
      <c r="P2447">
        <v>312</v>
      </c>
      <c r="Q2447" s="5" t="e">
        <f>IF(AND(#REF!&gt;=table!$C$6,#REF!&lt;= table!$D$6),-1,IF(AND(#REF!&gt;=table!$E$6,#REF!&lt;=table!$F$6),1,0))</f>
        <v>#REF!</v>
      </c>
      <c r="R2447" s="5" t="e">
        <f>IF(AND(#REF!&gt;=table!$C$7,#REF!&lt;= table!$D$7),-1,IF(AND(#REF!&gt;=table!$E$7,#REF!&lt;=table!$F$7),1,0))</f>
        <v>#REF!</v>
      </c>
      <c r="S2447" s="5" t="e">
        <f>IF(AND(#REF!&gt;=table!$C$8,#REF!&lt;= table!$D$8),-1,IF(AND(#REF!&gt;=table!$E$8,#REF!&lt;=table!$F$8),1,0))</f>
        <v>#REF!</v>
      </c>
      <c r="T2447" s="5"/>
      <c r="U2447" s="5" t="e">
        <f>IF(AND(#REF!&gt;=table!$C$10,#REF!&lt;= table!$D$10),-1,IF(AND(#REF!&gt;=table!$E$10,#REF!&lt;=table!$F$10),1,0))</f>
        <v>#REF!</v>
      </c>
      <c r="V2447" s="5" t="e">
        <f>IF(AND(#REF!&gt;=table!$C$11,#REF!&lt;= table!$D$11),-1,IF(AND(#REF!&gt;=table!$E$11,#REF!&lt;=table!$F$11),1,0))</f>
        <v>#REF!</v>
      </c>
      <c r="W2447" s="5" t="e">
        <f>CONCATENATE(dados[[#This Row],[fator1]],dados[[#This Row],[fator5]],dados[[#This Row],[fator6]])</f>
        <v>#REF!</v>
      </c>
    </row>
    <row r="2448" spans="1:23">
      <c r="A2448" t="s">
        <v>17</v>
      </c>
      <c r="B2448">
        <v>487977</v>
      </c>
      <c r="C2448">
        <v>10</v>
      </c>
      <c r="D2448">
        <v>30</v>
      </c>
      <c r="E2448">
        <v>135</v>
      </c>
      <c r="F2448">
        <v>2</v>
      </c>
      <c r="G2448">
        <v>20</v>
      </c>
      <c r="H2448">
        <v>18</v>
      </c>
      <c r="I2448">
        <v>1</v>
      </c>
      <c r="J2448">
        <v>640</v>
      </c>
      <c r="K2448">
        <v>9.2220000000000013</v>
      </c>
      <c r="L2448">
        <v>10.702</v>
      </c>
      <c r="M2448">
        <v>111.05</v>
      </c>
      <c r="N2448">
        <v>12.735000000000001</v>
      </c>
      <c r="O2448">
        <v>1669</v>
      </c>
      <c r="P2448">
        <v>0</v>
      </c>
      <c r="Q2448" s="5" t="e">
        <f>IF(AND(#REF!&gt;=table!$C$6,#REF!&lt;= table!$D$6),-1,IF(AND(#REF!&gt;=table!$E$6,#REF!&lt;=table!$F$6),1,0))</f>
        <v>#REF!</v>
      </c>
      <c r="R2448" s="5" t="e">
        <f>IF(AND(#REF!&gt;=table!$C$7,#REF!&lt;= table!$D$7),-1,IF(AND(#REF!&gt;=table!$E$7,#REF!&lt;=table!$F$7),1,0))</f>
        <v>#REF!</v>
      </c>
      <c r="S2448" s="5" t="e">
        <f>IF(AND(#REF!&gt;=table!$C$8,#REF!&lt;= table!$D$8),-1,IF(AND(#REF!&gt;=table!$E$8,#REF!&lt;=table!$F$8),1,0))</f>
        <v>#REF!</v>
      </c>
      <c r="T2448" s="5"/>
      <c r="U2448" s="5" t="e">
        <f>IF(AND(#REF!&gt;=table!$C$10,#REF!&lt;= table!$D$10),-1,IF(AND(#REF!&gt;=table!$E$10,#REF!&lt;=table!$F$10),1,0))</f>
        <v>#REF!</v>
      </c>
      <c r="V2448" s="5" t="e">
        <f>IF(AND(#REF!&gt;=table!$C$11,#REF!&lt;= table!$D$11),-1,IF(AND(#REF!&gt;=table!$E$11,#REF!&lt;=table!$F$11),1,0))</f>
        <v>#REF!</v>
      </c>
      <c r="W2448" s="5" t="e">
        <f>CONCATENATE(dados[[#This Row],[fator1]],dados[[#This Row],[fator5]],dados[[#This Row],[fator6]])</f>
        <v>#REF!</v>
      </c>
    </row>
    <row r="2449" spans="1:23">
      <c r="A2449" t="s">
        <v>17</v>
      </c>
      <c r="B2449">
        <v>487979</v>
      </c>
      <c r="C2449">
        <v>10</v>
      </c>
      <c r="D2449">
        <v>30</v>
      </c>
      <c r="E2449">
        <v>135</v>
      </c>
      <c r="F2449">
        <v>2</v>
      </c>
      <c r="G2449">
        <v>20</v>
      </c>
      <c r="H2449">
        <v>18</v>
      </c>
      <c r="I2449">
        <v>935</v>
      </c>
      <c r="J2449">
        <v>0</v>
      </c>
      <c r="K2449">
        <v>6.1920000000000002</v>
      </c>
      <c r="L2449">
        <v>7.9505000000000008</v>
      </c>
      <c r="M2449">
        <v>126.68700000000001</v>
      </c>
      <c r="N2449">
        <v>13.77</v>
      </c>
      <c r="O2449">
        <v>1660</v>
      </c>
      <c r="P2449">
        <v>577</v>
      </c>
      <c r="Q2449" s="5" t="e">
        <f>IF(AND(#REF!&gt;=table!$C$6,#REF!&lt;= table!$D$6),-1,IF(AND(#REF!&gt;=table!$E$6,#REF!&lt;=table!$F$6),1,0))</f>
        <v>#REF!</v>
      </c>
      <c r="R2449" s="5" t="e">
        <f>IF(AND(#REF!&gt;=table!$C$7,#REF!&lt;= table!$D$7),-1,IF(AND(#REF!&gt;=table!$E$7,#REF!&lt;=table!$F$7),1,0))</f>
        <v>#REF!</v>
      </c>
      <c r="S2449" s="5" t="e">
        <f>IF(AND(#REF!&gt;=table!$C$8,#REF!&lt;= table!$D$8),-1,IF(AND(#REF!&gt;=table!$E$8,#REF!&lt;=table!$F$8),1,0))</f>
        <v>#REF!</v>
      </c>
      <c r="T2449" s="5"/>
      <c r="U2449" s="5" t="e">
        <f>IF(AND(#REF!&gt;=table!$C$10,#REF!&lt;= table!$D$10),-1,IF(AND(#REF!&gt;=table!$E$10,#REF!&lt;=table!$F$10),1,0))</f>
        <v>#REF!</v>
      </c>
      <c r="V2449" s="5" t="e">
        <f>IF(AND(#REF!&gt;=table!$C$11,#REF!&lt;= table!$D$11),-1,IF(AND(#REF!&gt;=table!$E$11,#REF!&lt;=table!$F$11),1,0))</f>
        <v>#REF!</v>
      </c>
      <c r="W2449" s="5" t="e">
        <f>CONCATENATE(dados[[#This Row],[fator1]],dados[[#This Row],[fator5]],dados[[#This Row],[fator6]])</f>
        <v>#REF!</v>
      </c>
    </row>
    <row r="2450" spans="1:23">
      <c r="A2450" t="s">
        <v>17</v>
      </c>
      <c r="B2450">
        <v>487980</v>
      </c>
      <c r="C2450">
        <v>10</v>
      </c>
      <c r="D2450">
        <v>30</v>
      </c>
      <c r="E2450">
        <v>135</v>
      </c>
      <c r="F2450">
        <v>2</v>
      </c>
      <c r="G2450">
        <v>20</v>
      </c>
      <c r="H2450">
        <v>18</v>
      </c>
      <c r="I2450">
        <v>1060</v>
      </c>
      <c r="J2450">
        <v>0</v>
      </c>
      <c r="K2450">
        <v>5.7010000000000005</v>
      </c>
      <c r="L2450">
        <v>8.0440000000000005</v>
      </c>
      <c r="M2450">
        <v>118.20400000000001</v>
      </c>
      <c r="N2450">
        <v>12.825000000000001</v>
      </c>
      <c r="O2450">
        <v>1676</v>
      </c>
      <c r="P2450">
        <v>716</v>
      </c>
      <c r="Q2450" s="5" t="e">
        <f>IF(AND(#REF!&gt;=table!$C$6,#REF!&lt;= table!$D$6),-1,IF(AND(#REF!&gt;=table!$E$6,#REF!&lt;=table!$F$6),1,0))</f>
        <v>#REF!</v>
      </c>
      <c r="R2450" s="5" t="e">
        <f>IF(AND(#REF!&gt;=table!$C$7,#REF!&lt;= table!$D$7),-1,IF(AND(#REF!&gt;=table!$E$7,#REF!&lt;=table!$F$7),1,0))</f>
        <v>#REF!</v>
      </c>
      <c r="S2450" s="5" t="e">
        <f>IF(AND(#REF!&gt;=table!$C$8,#REF!&lt;= table!$D$8),-1,IF(AND(#REF!&gt;=table!$E$8,#REF!&lt;=table!$F$8),1,0))</f>
        <v>#REF!</v>
      </c>
      <c r="T2450" s="5"/>
      <c r="U2450" s="5" t="e">
        <f>IF(AND(#REF!&gt;=table!$C$10,#REF!&lt;= table!$D$10),-1,IF(AND(#REF!&gt;=table!$E$10,#REF!&lt;=table!$F$10),1,0))</f>
        <v>#REF!</v>
      </c>
      <c r="V2450" s="5" t="e">
        <f>IF(AND(#REF!&gt;=table!$C$11,#REF!&lt;= table!$D$11),-1,IF(AND(#REF!&gt;=table!$E$11,#REF!&lt;=table!$F$11),1,0))</f>
        <v>#REF!</v>
      </c>
      <c r="W2450" s="5" t="e">
        <f>CONCATENATE(dados[[#This Row],[fator1]],dados[[#This Row],[fator5]],dados[[#This Row],[fator6]])</f>
        <v>#REF!</v>
      </c>
    </row>
    <row r="2451" spans="1:23">
      <c r="A2451" t="s">
        <v>17</v>
      </c>
      <c r="B2451">
        <v>487981</v>
      </c>
      <c r="C2451">
        <v>10</v>
      </c>
      <c r="D2451">
        <v>30</v>
      </c>
      <c r="E2451">
        <v>135</v>
      </c>
      <c r="F2451">
        <v>2</v>
      </c>
      <c r="G2451">
        <v>20</v>
      </c>
      <c r="H2451">
        <v>18</v>
      </c>
      <c r="I2451">
        <v>71</v>
      </c>
      <c r="J2451">
        <v>0</v>
      </c>
      <c r="K2451">
        <v>3.7495000000000003</v>
      </c>
      <c r="L2451">
        <v>5.6635</v>
      </c>
      <c r="M2451">
        <v>118.13950000000001</v>
      </c>
      <c r="N2451">
        <v>12.85</v>
      </c>
      <c r="O2451">
        <v>1667</v>
      </c>
      <c r="P2451">
        <v>1115</v>
      </c>
      <c r="Q2451" s="5" t="e">
        <f>IF(AND(#REF!&gt;=table!$C$6,#REF!&lt;= table!$D$6),-1,IF(AND(#REF!&gt;=table!$E$6,#REF!&lt;=table!$F$6),1,0))</f>
        <v>#REF!</v>
      </c>
      <c r="R2451" s="5" t="e">
        <f>IF(AND(#REF!&gt;=table!$C$7,#REF!&lt;= table!$D$7),-1,IF(AND(#REF!&gt;=table!$E$7,#REF!&lt;=table!$F$7),1,0))</f>
        <v>#REF!</v>
      </c>
      <c r="S2451" s="5" t="e">
        <f>IF(AND(#REF!&gt;=table!$C$8,#REF!&lt;= table!$D$8),-1,IF(AND(#REF!&gt;=table!$E$8,#REF!&lt;=table!$F$8),1,0))</f>
        <v>#REF!</v>
      </c>
      <c r="T2451" s="5"/>
      <c r="U2451" s="5" t="e">
        <f>IF(AND(#REF!&gt;=table!$C$10,#REF!&lt;= table!$D$10),-1,IF(AND(#REF!&gt;=table!$E$10,#REF!&lt;=table!$F$10),1,0))</f>
        <v>#REF!</v>
      </c>
      <c r="V2451" s="5" t="e">
        <f>IF(AND(#REF!&gt;=table!$C$11,#REF!&lt;= table!$D$11),-1,IF(AND(#REF!&gt;=table!$E$11,#REF!&lt;=table!$F$11),1,0))</f>
        <v>#REF!</v>
      </c>
      <c r="W2451" s="5" t="e">
        <f>CONCATENATE(dados[[#This Row],[fator1]],dados[[#This Row],[fator5]],dados[[#This Row],[fator6]])</f>
        <v>#REF!</v>
      </c>
    </row>
    <row r="2452" spans="1:23">
      <c r="A2452" t="s">
        <v>17</v>
      </c>
      <c r="B2452">
        <v>487982</v>
      </c>
      <c r="C2452">
        <v>10</v>
      </c>
      <c r="D2452">
        <v>30</v>
      </c>
      <c r="E2452">
        <v>135</v>
      </c>
      <c r="F2452">
        <v>2</v>
      </c>
      <c r="G2452">
        <v>20</v>
      </c>
      <c r="H2452">
        <v>18</v>
      </c>
      <c r="I2452">
        <v>1552</v>
      </c>
      <c r="J2452">
        <v>720</v>
      </c>
      <c r="K2452">
        <v>15.734</v>
      </c>
      <c r="L2452">
        <v>11.321</v>
      </c>
      <c r="M2452">
        <v>117.0865</v>
      </c>
      <c r="N2452">
        <v>9.7750000000000004</v>
      </c>
      <c r="O2452">
        <v>1645</v>
      </c>
      <c r="P2452">
        <v>0</v>
      </c>
      <c r="Q2452" s="5" t="e">
        <f>IF(AND(#REF!&gt;=table!$C$6,#REF!&lt;= table!$D$6),-1,IF(AND(#REF!&gt;=table!$E$6,#REF!&lt;=table!$F$6),1,0))</f>
        <v>#REF!</v>
      </c>
      <c r="R2452" s="5" t="e">
        <f>IF(AND(#REF!&gt;=table!$C$7,#REF!&lt;= table!$D$7),-1,IF(AND(#REF!&gt;=table!$E$7,#REF!&lt;=table!$F$7),1,0))</f>
        <v>#REF!</v>
      </c>
      <c r="S2452" s="5" t="e">
        <f>IF(AND(#REF!&gt;=table!$C$8,#REF!&lt;= table!$D$8),-1,IF(AND(#REF!&gt;=table!$E$8,#REF!&lt;=table!$F$8),1,0))</f>
        <v>#REF!</v>
      </c>
      <c r="T2452" s="5"/>
      <c r="U2452" s="5" t="e">
        <f>IF(AND(#REF!&gt;=table!$C$10,#REF!&lt;= table!$D$10),-1,IF(AND(#REF!&gt;=table!$E$10,#REF!&lt;=table!$F$10),1,0))</f>
        <v>#REF!</v>
      </c>
      <c r="V2452" s="5" t="e">
        <f>IF(AND(#REF!&gt;=table!$C$11,#REF!&lt;= table!$D$11),-1,IF(AND(#REF!&gt;=table!$E$11,#REF!&lt;=table!$F$11),1,0))</f>
        <v>#REF!</v>
      </c>
      <c r="W2452" s="5" t="e">
        <f>CONCATENATE(dados[[#This Row],[fator1]],dados[[#This Row],[fator5]],dados[[#This Row],[fator6]])</f>
        <v>#REF!</v>
      </c>
    </row>
    <row r="2453" spans="1:23">
      <c r="A2453" t="s">
        <v>17</v>
      </c>
      <c r="B2453">
        <v>487983</v>
      </c>
      <c r="C2453">
        <v>10</v>
      </c>
      <c r="D2453">
        <v>30</v>
      </c>
      <c r="E2453">
        <v>135</v>
      </c>
      <c r="F2453">
        <v>2</v>
      </c>
      <c r="G2453">
        <v>20</v>
      </c>
      <c r="H2453">
        <v>18</v>
      </c>
      <c r="I2453">
        <v>1260</v>
      </c>
      <c r="J2453">
        <v>0</v>
      </c>
      <c r="K2453">
        <v>4.452</v>
      </c>
      <c r="L2453">
        <v>5.3719999999999999</v>
      </c>
      <c r="M2453">
        <v>112.71900000000001</v>
      </c>
      <c r="N2453">
        <v>10.84</v>
      </c>
      <c r="O2453">
        <v>1671</v>
      </c>
      <c r="P2453">
        <v>0</v>
      </c>
      <c r="Q2453" s="5" t="e">
        <f>IF(AND(#REF!&gt;=table!$C$6,#REF!&lt;= table!$D$6),-1,IF(AND(#REF!&gt;=table!$E$6,#REF!&lt;=table!$F$6),1,0))</f>
        <v>#REF!</v>
      </c>
      <c r="R2453" s="5" t="e">
        <f>IF(AND(#REF!&gt;=table!$C$7,#REF!&lt;= table!$D$7),-1,IF(AND(#REF!&gt;=table!$E$7,#REF!&lt;=table!$F$7),1,0))</f>
        <v>#REF!</v>
      </c>
      <c r="S2453" s="5" t="e">
        <f>IF(AND(#REF!&gt;=table!$C$8,#REF!&lt;= table!$D$8),-1,IF(AND(#REF!&gt;=table!$E$8,#REF!&lt;=table!$F$8),1,0))</f>
        <v>#REF!</v>
      </c>
      <c r="T2453" s="5"/>
      <c r="U2453" s="5" t="e">
        <f>IF(AND(#REF!&gt;=table!$C$10,#REF!&lt;= table!$D$10),-1,IF(AND(#REF!&gt;=table!$E$10,#REF!&lt;=table!$F$10),1,0))</f>
        <v>#REF!</v>
      </c>
      <c r="V2453" s="5" t="e">
        <f>IF(AND(#REF!&gt;=table!$C$11,#REF!&lt;= table!$D$11),-1,IF(AND(#REF!&gt;=table!$E$11,#REF!&lt;=table!$F$11),1,0))</f>
        <v>#REF!</v>
      </c>
      <c r="W2453" s="5" t="e">
        <f>CONCATENATE(dados[[#This Row],[fator1]],dados[[#This Row],[fator5]],dados[[#This Row],[fator6]])</f>
        <v>#REF!</v>
      </c>
    </row>
    <row r="2454" spans="1:23">
      <c r="A2454" t="s">
        <v>16</v>
      </c>
      <c r="B2454">
        <v>487984</v>
      </c>
      <c r="C2454">
        <v>0.15</v>
      </c>
      <c r="D2454">
        <v>35</v>
      </c>
      <c r="E2454">
        <v>15</v>
      </c>
      <c r="F2454">
        <v>10</v>
      </c>
      <c r="G2454">
        <v>0</v>
      </c>
      <c r="H2454">
        <v>12</v>
      </c>
      <c r="I2454">
        <v>658</v>
      </c>
      <c r="J2454">
        <v>0</v>
      </c>
      <c r="K2454">
        <v>64.124499999999998</v>
      </c>
      <c r="L2454">
        <v>26.0395</v>
      </c>
      <c r="M2454">
        <v>8.855500000000001</v>
      </c>
      <c r="N2454">
        <v>11.33</v>
      </c>
      <c r="O2454">
        <v>1665</v>
      </c>
      <c r="P2454">
        <v>813</v>
      </c>
      <c r="Q2454" s="5" t="e">
        <f>IF(AND(#REF!&gt;=table!$C$6,#REF!&lt;= table!$D$6),-1,IF(AND(#REF!&gt;=table!$E$6,#REF!&lt;=table!$F$6),1,0))</f>
        <v>#REF!</v>
      </c>
      <c r="R2454" s="5" t="e">
        <f>IF(AND(#REF!&gt;=table!$C$7,#REF!&lt;= table!$D$7),-1,IF(AND(#REF!&gt;=table!$E$7,#REF!&lt;=table!$F$7),1,0))</f>
        <v>#REF!</v>
      </c>
      <c r="S2454" s="5" t="e">
        <f>IF(AND(#REF!&gt;=table!$C$8,#REF!&lt;= table!$D$8),-1,IF(AND(#REF!&gt;=table!$E$8,#REF!&lt;=table!$F$8),1,0))</f>
        <v>#REF!</v>
      </c>
      <c r="T2454" s="5"/>
      <c r="U2454" s="5" t="e">
        <f>IF(AND(#REF!&gt;=table!$C$10,#REF!&lt;= table!$D$10),-1,IF(AND(#REF!&gt;=table!$E$10,#REF!&lt;=table!$F$10),1,0))</f>
        <v>#REF!</v>
      </c>
      <c r="V2454" s="5" t="e">
        <f>IF(AND(#REF!&gt;=table!$C$11,#REF!&lt;= table!$D$11),-1,IF(AND(#REF!&gt;=table!$E$11,#REF!&lt;=table!$F$11),1,0))</f>
        <v>#REF!</v>
      </c>
      <c r="W2454" s="5" t="e">
        <f>CONCATENATE(dados[[#This Row],[fator1]],dados[[#This Row],[fator5]],dados[[#This Row],[fator6]])</f>
        <v>#REF!</v>
      </c>
    </row>
    <row r="2455" spans="1:23">
      <c r="A2455" t="s">
        <v>16</v>
      </c>
      <c r="B2455">
        <v>487986</v>
      </c>
      <c r="C2455">
        <v>0.15</v>
      </c>
      <c r="D2455">
        <v>35</v>
      </c>
      <c r="E2455">
        <v>15</v>
      </c>
      <c r="F2455">
        <v>10</v>
      </c>
      <c r="G2455">
        <v>0</v>
      </c>
      <c r="H2455">
        <v>12</v>
      </c>
      <c r="I2455">
        <v>757</v>
      </c>
      <c r="J2455">
        <v>860</v>
      </c>
      <c r="K2455">
        <v>4.6645000000000003</v>
      </c>
      <c r="L2455">
        <v>6.6555</v>
      </c>
      <c r="M2455">
        <v>4.6690000000000005</v>
      </c>
      <c r="N2455">
        <v>7.1950000000000003</v>
      </c>
      <c r="O2455">
        <v>1645</v>
      </c>
      <c r="P2455">
        <v>690</v>
      </c>
      <c r="Q2455" s="5" t="e">
        <f>IF(AND(#REF!&gt;=table!$C$6,#REF!&lt;= table!$D$6),-1,IF(AND(#REF!&gt;=table!$E$6,#REF!&lt;=table!$F$6),1,0))</f>
        <v>#REF!</v>
      </c>
      <c r="R2455" s="5" t="e">
        <f>IF(AND(#REF!&gt;=table!$C$7,#REF!&lt;= table!$D$7),-1,IF(AND(#REF!&gt;=table!$E$7,#REF!&lt;=table!$F$7),1,0))</f>
        <v>#REF!</v>
      </c>
      <c r="S2455" s="5" t="e">
        <f>IF(AND(#REF!&gt;=table!$C$8,#REF!&lt;= table!$D$8),-1,IF(AND(#REF!&gt;=table!$E$8,#REF!&lt;=table!$F$8),1,0))</f>
        <v>#REF!</v>
      </c>
      <c r="T2455" s="5"/>
      <c r="U2455" s="5" t="e">
        <f>IF(AND(#REF!&gt;=table!$C$10,#REF!&lt;= table!$D$10),-1,IF(AND(#REF!&gt;=table!$E$10,#REF!&lt;=table!$F$10),1,0))</f>
        <v>#REF!</v>
      </c>
      <c r="V2455" s="5" t="e">
        <f>IF(AND(#REF!&gt;=table!$C$11,#REF!&lt;= table!$D$11),-1,IF(AND(#REF!&gt;=table!$E$11,#REF!&lt;=table!$F$11),1,0))</f>
        <v>#REF!</v>
      </c>
      <c r="W2455" s="5" t="e">
        <f>CONCATENATE(dados[[#This Row],[fator1]],dados[[#This Row],[fator5]],dados[[#This Row],[fator6]])</f>
        <v>#REF!</v>
      </c>
    </row>
    <row r="2456" spans="1:23">
      <c r="A2456" t="s">
        <v>17</v>
      </c>
      <c r="B2456">
        <v>487989</v>
      </c>
      <c r="C2456">
        <v>15</v>
      </c>
      <c r="D2456">
        <v>30</v>
      </c>
      <c r="E2456">
        <v>100</v>
      </c>
      <c r="F2456">
        <v>3</v>
      </c>
      <c r="G2456">
        <v>20</v>
      </c>
      <c r="H2456">
        <v>20</v>
      </c>
      <c r="I2456">
        <v>285</v>
      </c>
      <c r="J2456">
        <v>0</v>
      </c>
      <c r="K2456">
        <v>4.165</v>
      </c>
      <c r="L2456">
        <v>8.3369999999999997</v>
      </c>
      <c r="M2456">
        <v>84.969000000000008</v>
      </c>
      <c r="N2456">
        <v>14.94</v>
      </c>
      <c r="O2456">
        <v>1678</v>
      </c>
      <c r="P2456">
        <v>1146</v>
      </c>
      <c r="Q2456" s="5" t="e">
        <f>IF(AND(#REF!&gt;=table!$C$6,#REF!&lt;= table!$D$6),-1,IF(AND(#REF!&gt;=table!$E$6,#REF!&lt;=table!$F$6),1,0))</f>
        <v>#REF!</v>
      </c>
      <c r="R2456" s="5" t="e">
        <f>IF(AND(#REF!&gt;=table!$C$7,#REF!&lt;= table!$D$7),-1,IF(AND(#REF!&gt;=table!$E$7,#REF!&lt;=table!$F$7),1,0))</f>
        <v>#REF!</v>
      </c>
      <c r="S2456" s="5" t="e">
        <f>IF(AND(#REF!&gt;=table!$C$8,#REF!&lt;= table!$D$8),-1,IF(AND(#REF!&gt;=table!$E$8,#REF!&lt;=table!$F$8),1,0))</f>
        <v>#REF!</v>
      </c>
      <c r="T2456" s="5"/>
      <c r="U2456" s="5" t="e">
        <f>IF(AND(#REF!&gt;=table!$C$10,#REF!&lt;= table!$D$10),-1,IF(AND(#REF!&gt;=table!$E$10,#REF!&lt;=table!$F$10),1,0))</f>
        <v>#REF!</v>
      </c>
      <c r="V2456" s="5" t="e">
        <f>IF(AND(#REF!&gt;=table!$C$11,#REF!&lt;= table!$D$11),-1,IF(AND(#REF!&gt;=table!$E$11,#REF!&lt;=table!$F$11),1,0))</f>
        <v>#REF!</v>
      </c>
      <c r="W2456" s="5" t="e">
        <f>CONCATENATE(dados[[#This Row],[fator1]],dados[[#This Row],[fator5]],dados[[#This Row],[fator6]])</f>
        <v>#REF!</v>
      </c>
    </row>
    <row r="2457" spans="1:23">
      <c r="A2457" t="s">
        <v>17</v>
      </c>
      <c r="B2457">
        <v>487990</v>
      </c>
      <c r="C2457">
        <v>15</v>
      </c>
      <c r="D2457">
        <v>30</v>
      </c>
      <c r="E2457">
        <v>100</v>
      </c>
      <c r="F2457">
        <v>3</v>
      </c>
      <c r="G2457">
        <v>20</v>
      </c>
      <c r="H2457">
        <v>20</v>
      </c>
      <c r="I2457">
        <v>943</v>
      </c>
      <c r="J2457">
        <v>780</v>
      </c>
      <c r="K2457">
        <v>3.58</v>
      </c>
      <c r="L2457">
        <v>10.533000000000001</v>
      </c>
      <c r="M2457">
        <v>83.903000000000006</v>
      </c>
      <c r="N2457">
        <v>14.385000000000002</v>
      </c>
      <c r="O2457">
        <v>1675</v>
      </c>
      <c r="P2457">
        <v>0</v>
      </c>
      <c r="Q2457" s="5" t="e">
        <f>IF(AND(#REF!&gt;=table!$C$6,#REF!&lt;= table!$D$6),-1,IF(AND(#REF!&gt;=table!$E$6,#REF!&lt;=table!$F$6),1,0))</f>
        <v>#REF!</v>
      </c>
      <c r="R2457" s="5" t="e">
        <f>IF(AND(#REF!&gt;=table!$C$7,#REF!&lt;= table!$D$7),-1,IF(AND(#REF!&gt;=table!$E$7,#REF!&lt;=table!$F$7),1,0))</f>
        <v>#REF!</v>
      </c>
      <c r="S2457" s="5" t="e">
        <f>IF(AND(#REF!&gt;=table!$C$8,#REF!&lt;= table!$D$8),-1,IF(AND(#REF!&gt;=table!$E$8,#REF!&lt;=table!$F$8),1,0))</f>
        <v>#REF!</v>
      </c>
      <c r="T2457" s="5"/>
      <c r="U2457" s="5" t="e">
        <f>IF(AND(#REF!&gt;=table!$C$10,#REF!&lt;= table!$D$10),-1,IF(AND(#REF!&gt;=table!$E$10,#REF!&lt;=table!$F$10),1,0))</f>
        <v>#REF!</v>
      </c>
      <c r="V2457" s="5" t="e">
        <f>IF(AND(#REF!&gt;=table!$C$11,#REF!&lt;= table!$D$11),-1,IF(AND(#REF!&gt;=table!$E$11,#REF!&lt;=table!$F$11),1,0))</f>
        <v>#REF!</v>
      </c>
      <c r="W2457" s="5" t="e">
        <f>CONCATENATE(dados[[#This Row],[fator1]],dados[[#This Row],[fator5]],dados[[#This Row],[fator6]])</f>
        <v>#REF!</v>
      </c>
    </row>
    <row r="2458" spans="1:23">
      <c r="A2458" t="s">
        <v>16</v>
      </c>
      <c r="B2458">
        <v>487991</v>
      </c>
      <c r="C2458">
        <v>0.1</v>
      </c>
      <c r="D2458">
        <v>40</v>
      </c>
      <c r="E2458">
        <v>10</v>
      </c>
      <c r="F2458">
        <v>8</v>
      </c>
      <c r="G2458">
        <v>0</v>
      </c>
      <c r="H2458">
        <v>10</v>
      </c>
      <c r="I2458">
        <v>0</v>
      </c>
      <c r="J2458">
        <v>0</v>
      </c>
      <c r="K2458">
        <v>5.4075000000000006</v>
      </c>
      <c r="L2458">
        <v>10.563500000000001</v>
      </c>
      <c r="M2458">
        <v>9.1690000000000005</v>
      </c>
      <c r="N2458">
        <v>11.44</v>
      </c>
      <c r="O2458">
        <v>1678</v>
      </c>
      <c r="P2458">
        <v>0</v>
      </c>
      <c r="Q2458" s="5" t="e">
        <f>IF(AND(#REF!&gt;=table!$C$6,#REF!&lt;= table!$D$6),-1,IF(AND(#REF!&gt;=table!$E$6,#REF!&lt;=table!$F$6),1,0))</f>
        <v>#REF!</v>
      </c>
      <c r="R2458" s="5" t="e">
        <f>IF(AND(#REF!&gt;=table!$C$7,#REF!&lt;= table!$D$7),-1,IF(AND(#REF!&gt;=table!$E$7,#REF!&lt;=table!$F$7),1,0))</f>
        <v>#REF!</v>
      </c>
      <c r="S2458" s="5" t="e">
        <f>IF(AND(#REF!&gt;=table!$C$8,#REF!&lt;= table!$D$8),-1,IF(AND(#REF!&gt;=table!$E$8,#REF!&lt;=table!$F$8),1,0))</f>
        <v>#REF!</v>
      </c>
      <c r="T2458" s="5"/>
      <c r="U2458" s="5" t="e">
        <f>IF(AND(#REF!&gt;=table!$C$10,#REF!&lt;= table!$D$10),-1,IF(AND(#REF!&gt;=table!$E$10,#REF!&lt;=table!$F$10),1,0))</f>
        <v>#REF!</v>
      </c>
      <c r="V2458" s="5" t="e">
        <f>IF(AND(#REF!&gt;=table!$C$11,#REF!&lt;= table!$D$11),-1,IF(AND(#REF!&gt;=table!$E$11,#REF!&lt;=table!$F$11),1,0))</f>
        <v>#REF!</v>
      </c>
      <c r="W2458" s="5" t="e">
        <f>CONCATENATE(dados[[#This Row],[fator1]],dados[[#This Row],[fator5]],dados[[#This Row],[fator6]])</f>
        <v>#REF!</v>
      </c>
    </row>
    <row r="2459" spans="1:23">
      <c r="A2459" t="s">
        <v>16</v>
      </c>
      <c r="B2459">
        <v>487997</v>
      </c>
      <c r="C2459">
        <v>0.15</v>
      </c>
      <c r="D2459">
        <v>40</v>
      </c>
      <c r="E2459">
        <v>10</v>
      </c>
      <c r="F2459">
        <v>15</v>
      </c>
      <c r="G2459">
        <v>0</v>
      </c>
      <c r="H2459">
        <v>15</v>
      </c>
      <c r="I2459">
        <v>1716</v>
      </c>
      <c r="J2459">
        <v>0</v>
      </c>
      <c r="K2459">
        <v>3.7440000000000002</v>
      </c>
      <c r="L2459">
        <v>8.6485000000000003</v>
      </c>
      <c r="M2459">
        <v>7.7250000000000005</v>
      </c>
      <c r="N2459">
        <v>13.155000000000001</v>
      </c>
      <c r="O2459">
        <v>1698</v>
      </c>
      <c r="P2459">
        <v>0</v>
      </c>
      <c r="Q2459" s="5" t="e">
        <f>IF(AND(#REF!&gt;=table!$C$6,#REF!&lt;= table!$D$6),-1,IF(AND(#REF!&gt;=table!$E$6,#REF!&lt;=table!$F$6),1,0))</f>
        <v>#REF!</v>
      </c>
      <c r="R2459" s="5" t="e">
        <f>IF(AND(#REF!&gt;=table!$C$7,#REF!&lt;= table!$D$7),-1,IF(AND(#REF!&gt;=table!$E$7,#REF!&lt;=table!$F$7),1,0))</f>
        <v>#REF!</v>
      </c>
      <c r="S2459" s="5" t="e">
        <f>IF(AND(#REF!&gt;=table!$C$8,#REF!&lt;= table!$D$8),-1,IF(AND(#REF!&gt;=table!$E$8,#REF!&lt;=table!$F$8),1,0))</f>
        <v>#REF!</v>
      </c>
      <c r="T2459" s="5"/>
      <c r="U2459" s="5" t="e">
        <f>IF(AND(#REF!&gt;=table!$C$10,#REF!&lt;= table!$D$10),-1,IF(AND(#REF!&gt;=table!$E$10,#REF!&lt;=table!$F$10),1,0))</f>
        <v>#REF!</v>
      </c>
      <c r="V2459" s="5" t="e">
        <f>IF(AND(#REF!&gt;=table!$C$11,#REF!&lt;= table!$D$11),-1,IF(AND(#REF!&gt;=table!$E$11,#REF!&lt;=table!$F$11),1,0))</f>
        <v>#REF!</v>
      </c>
      <c r="W2459" s="5" t="e">
        <f>CONCATENATE(dados[[#This Row],[fator1]],dados[[#This Row],[fator5]],dados[[#This Row],[fator6]])</f>
        <v>#REF!</v>
      </c>
    </row>
    <row r="2460" spans="1:23">
      <c r="A2460" t="s">
        <v>16</v>
      </c>
      <c r="B2460">
        <v>488009</v>
      </c>
      <c r="C2460">
        <v>0.15</v>
      </c>
      <c r="D2460">
        <v>40</v>
      </c>
      <c r="E2460">
        <v>10</v>
      </c>
      <c r="F2460">
        <v>15</v>
      </c>
      <c r="G2460">
        <v>0</v>
      </c>
      <c r="H2460">
        <v>15</v>
      </c>
      <c r="I2460">
        <v>1431</v>
      </c>
      <c r="J2460">
        <v>0</v>
      </c>
      <c r="K2460">
        <v>5.9335000000000004</v>
      </c>
      <c r="L2460">
        <v>7.3725000000000005</v>
      </c>
      <c r="M2460">
        <v>6.7705000000000002</v>
      </c>
      <c r="N2460">
        <v>10.89</v>
      </c>
      <c r="O2460">
        <v>1679</v>
      </c>
      <c r="P2460">
        <v>695</v>
      </c>
      <c r="Q2460" s="5" t="e">
        <f>IF(AND(#REF!&gt;=table!$C$6,#REF!&lt;= table!$D$6),-1,IF(AND(#REF!&gt;=table!$E$6,#REF!&lt;=table!$F$6),1,0))</f>
        <v>#REF!</v>
      </c>
      <c r="R2460" s="5" t="e">
        <f>IF(AND(#REF!&gt;=table!$C$7,#REF!&lt;= table!$D$7),-1,IF(AND(#REF!&gt;=table!$E$7,#REF!&lt;=table!$F$7),1,0))</f>
        <v>#REF!</v>
      </c>
      <c r="S2460" s="5" t="e">
        <f>IF(AND(#REF!&gt;=table!$C$8,#REF!&lt;= table!$D$8),-1,IF(AND(#REF!&gt;=table!$E$8,#REF!&lt;=table!$F$8),1,0))</f>
        <v>#REF!</v>
      </c>
      <c r="T2460" s="5"/>
      <c r="U2460" s="5" t="e">
        <f>IF(AND(#REF!&gt;=table!$C$10,#REF!&lt;= table!$D$10),-1,IF(AND(#REF!&gt;=table!$E$10,#REF!&lt;=table!$F$10),1,0))</f>
        <v>#REF!</v>
      </c>
      <c r="V2460" s="5" t="e">
        <f>IF(AND(#REF!&gt;=table!$C$11,#REF!&lt;= table!$D$11),-1,IF(AND(#REF!&gt;=table!$E$11,#REF!&lt;=table!$F$11),1,0))</f>
        <v>#REF!</v>
      </c>
      <c r="W2460" s="5" t="e">
        <f>CONCATENATE(dados[[#This Row],[fator1]],dados[[#This Row],[fator5]],dados[[#This Row],[fator6]])</f>
        <v>#REF!</v>
      </c>
    </row>
    <row r="2461" spans="1:23">
      <c r="A2461" t="s">
        <v>16</v>
      </c>
      <c r="B2461">
        <v>488010</v>
      </c>
      <c r="C2461">
        <v>0.1</v>
      </c>
      <c r="D2461">
        <v>40</v>
      </c>
      <c r="E2461">
        <v>10</v>
      </c>
      <c r="F2461">
        <v>8</v>
      </c>
      <c r="G2461">
        <v>0</v>
      </c>
      <c r="H2461">
        <v>10</v>
      </c>
      <c r="I2461">
        <v>1131</v>
      </c>
      <c r="J2461">
        <v>0</v>
      </c>
      <c r="K2461">
        <v>3.6990000000000003</v>
      </c>
      <c r="L2461">
        <v>5.6915000000000004</v>
      </c>
      <c r="M2461">
        <v>4.9729999999999999</v>
      </c>
      <c r="N2461">
        <v>9.48</v>
      </c>
      <c r="O2461">
        <v>1682</v>
      </c>
      <c r="P2461">
        <v>1167</v>
      </c>
      <c r="Q2461" s="5" t="e">
        <f>IF(AND(#REF!&gt;=table!$C$6,#REF!&lt;= table!$D$6),-1,IF(AND(#REF!&gt;=table!$E$6,#REF!&lt;=table!$F$6),1,0))</f>
        <v>#REF!</v>
      </c>
      <c r="R2461" s="5" t="e">
        <f>IF(AND(#REF!&gt;=table!$C$7,#REF!&lt;= table!$D$7),-1,IF(AND(#REF!&gt;=table!$E$7,#REF!&lt;=table!$F$7),1,0))</f>
        <v>#REF!</v>
      </c>
      <c r="S2461" s="5" t="e">
        <f>IF(AND(#REF!&gt;=table!$C$8,#REF!&lt;= table!$D$8),-1,IF(AND(#REF!&gt;=table!$E$8,#REF!&lt;=table!$F$8),1,0))</f>
        <v>#REF!</v>
      </c>
      <c r="T2461" s="5"/>
      <c r="U2461" s="5" t="e">
        <f>IF(AND(#REF!&gt;=table!$C$10,#REF!&lt;= table!$D$10),-1,IF(AND(#REF!&gt;=table!$E$10,#REF!&lt;=table!$F$10),1,0))</f>
        <v>#REF!</v>
      </c>
      <c r="V2461" s="5" t="e">
        <f>IF(AND(#REF!&gt;=table!$C$11,#REF!&lt;= table!$D$11),-1,IF(AND(#REF!&gt;=table!$E$11,#REF!&lt;=table!$F$11),1,0))</f>
        <v>#REF!</v>
      </c>
      <c r="W2461" s="5" t="e">
        <f>CONCATENATE(dados[[#This Row],[fator1]],dados[[#This Row],[fator5]],dados[[#This Row],[fator6]])</f>
        <v>#REF!</v>
      </c>
    </row>
    <row r="2462" spans="1:23">
      <c r="A2462" t="s">
        <v>16</v>
      </c>
      <c r="B2462">
        <v>488011</v>
      </c>
      <c r="C2462">
        <v>0.1</v>
      </c>
      <c r="D2462">
        <v>40</v>
      </c>
      <c r="E2462">
        <v>10</v>
      </c>
      <c r="F2462">
        <v>8</v>
      </c>
      <c r="G2462">
        <v>0</v>
      </c>
      <c r="H2462">
        <v>10</v>
      </c>
      <c r="I2462">
        <v>905</v>
      </c>
      <c r="J2462">
        <v>0</v>
      </c>
      <c r="K2462">
        <v>2.8580000000000001</v>
      </c>
      <c r="L2462">
        <v>6.6385000000000005</v>
      </c>
      <c r="M2462">
        <v>5.7275</v>
      </c>
      <c r="N2462">
        <v>12.49</v>
      </c>
      <c r="O2462">
        <v>1680</v>
      </c>
      <c r="P2462">
        <v>1075</v>
      </c>
      <c r="Q2462" s="5" t="e">
        <f>IF(AND(#REF!&gt;=table!$C$6,#REF!&lt;= table!$D$6),-1,IF(AND(#REF!&gt;=table!$E$6,#REF!&lt;=table!$F$6),1,0))</f>
        <v>#REF!</v>
      </c>
      <c r="R2462" s="5" t="e">
        <f>IF(AND(#REF!&gt;=table!$C$7,#REF!&lt;= table!$D$7),-1,IF(AND(#REF!&gt;=table!$E$7,#REF!&lt;=table!$F$7),1,0))</f>
        <v>#REF!</v>
      </c>
      <c r="S2462" s="5" t="e">
        <f>IF(AND(#REF!&gt;=table!$C$8,#REF!&lt;= table!$D$8),-1,IF(AND(#REF!&gt;=table!$E$8,#REF!&lt;=table!$F$8),1,0))</f>
        <v>#REF!</v>
      </c>
      <c r="T2462" s="5"/>
      <c r="U2462" s="5" t="e">
        <f>IF(AND(#REF!&gt;=table!$C$10,#REF!&lt;= table!$D$10),-1,IF(AND(#REF!&gt;=table!$E$10,#REF!&lt;=table!$F$10),1,0))</f>
        <v>#REF!</v>
      </c>
      <c r="V2462" s="5" t="e">
        <f>IF(AND(#REF!&gt;=table!$C$11,#REF!&lt;= table!$D$11),-1,IF(AND(#REF!&gt;=table!$E$11,#REF!&lt;=table!$F$11),1,0))</f>
        <v>#REF!</v>
      </c>
      <c r="W2462" s="5" t="e">
        <f>CONCATENATE(dados[[#This Row],[fator1]],dados[[#This Row],[fator5]],dados[[#This Row],[fator6]])</f>
        <v>#REF!</v>
      </c>
    </row>
    <row r="2463" spans="1:23">
      <c r="A2463" t="s">
        <v>16</v>
      </c>
      <c r="B2463">
        <v>488012</v>
      </c>
      <c r="C2463">
        <v>0.1</v>
      </c>
      <c r="D2463">
        <v>40</v>
      </c>
      <c r="E2463">
        <v>10</v>
      </c>
      <c r="F2463">
        <v>8</v>
      </c>
      <c r="G2463">
        <v>0</v>
      </c>
      <c r="H2463">
        <v>10</v>
      </c>
      <c r="I2463">
        <v>1410</v>
      </c>
      <c r="J2463">
        <v>0</v>
      </c>
      <c r="K2463">
        <v>4.4800000000000004</v>
      </c>
      <c r="L2463">
        <v>8.0244999999999997</v>
      </c>
      <c r="M2463">
        <v>6.9424999999999999</v>
      </c>
      <c r="N2463">
        <v>12.35</v>
      </c>
      <c r="O2463">
        <v>1676</v>
      </c>
      <c r="P2463">
        <v>932</v>
      </c>
      <c r="Q2463" s="5" t="e">
        <f>IF(AND(#REF!&gt;=table!$C$6,#REF!&lt;= table!$D$6),-1,IF(AND(#REF!&gt;=table!$E$6,#REF!&lt;=table!$F$6),1,0))</f>
        <v>#REF!</v>
      </c>
      <c r="R2463" s="5" t="e">
        <f>IF(AND(#REF!&gt;=table!$C$7,#REF!&lt;= table!$D$7),-1,IF(AND(#REF!&gt;=table!$E$7,#REF!&lt;=table!$F$7),1,0))</f>
        <v>#REF!</v>
      </c>
      <c r="S2463" s="5" t="e">
        <f>IF(AND(#REF!&gt;=table!$C$8,#REF!&lt;= table!$D$8),-1,IF(AND(#REF!&gt;=table!$E$8,#REF!&lt;=table!$F$8),1,0))</f>
        <v>#REF!</v>
      </c>
      <c r="T2463" s="5"/>
      <c r="U2463" s="5" t="e">
        <f>IF(AND(#REF!&gt;=table!$C$10,#REF!&lt;= table!$D$10),-1,IF(AND(#REF!&gt;=table!$E$10,#REF!&lt;=table!$F$10),1,0))</f>
        <v>#REF!</v>
      </c>
      <c r="V2463" s="5" t="e">
        <f>IF(AND(#REF!&gt;=table!$C$11,#REF!&lt;= table!$D$11),-1,IF(AND(#REF!&gt;=table!$E$11,#REF!&lt;=table!$F$11),1,0))</f>
        <v>#REF!</v>
      </c>
      <c r="W2463" s="5" t="e">
        <f>CONCATENATE(dados[[#This Row],[fator1]],dados[[#This Row],[fator5]],dados[[#This Row],[fator6]])</f>
        <v>#REF!</v>
      </c>
    </row>
    <row r="2464" spans="1:23">
      <c r="A2464" t="s">
        <v>16</v>
      </c>
      <c r="B2464">
        <v>488013</v>
      </c>
      <c r="C2464">
        <v>0.1</v>
      </c>
      <c r="D2464">
        <v>40</v>
      </c>
      <c r="E2464">
        <v>10</v>
      </c>
      <c r="F2464">
        <v>8</v>
      </c>
      <c r="G2464">
        <v>0</v>
      </c>
      <c r="H2464">
        <v>10</v>
      </c>
      <c r="I2464">
        <v>0</v>
      </c>
      <c r="J2464">
        <v>0</v>
      </c>
      <c r="K2464">
        <v>5.0795000000000003</v>
      </c>
      <c r="L2464">
        <v>9.0715000000000003</v>
      </c>
      <c r="M2464">
        <v>7.8440000000000003</v>
      </c>
      <c r="N2464">
        <v>10.1</v>
      </c>
      <c r="O2464">
        <v>1664</v>
      </c>
      <c r="P2464">
        <v>734</v>
      </c>
      <c r="Q2464" s="5" t="e">
        <f>IF(AND(#REF!&gt;=table!$C$6,#REF!&lt;= table!$D$6),-1,IF(AND(#REF!&gt;=table!$E$6,#REF!&lt;=table!$F$6),1,0))</f>
        <v>#REF!</v>
      </c>
      <c r="R2464" s="5" t="e">
        <f>IF(AND(#REF!&gt;=table!$C$7,#REF!&lt;= table!$D$7),-1,IF(AND(#REF!&gt;=table!$E$7,#REF!&lt;=table!$F$7),1,0))</f>
        <v>#REF!</v>
      </c>
      <c r="S2464" s="5" t="e">
        <f>IF(AND(#REF!&gt;=table!$C$8,#REF!&lt;= table!$D$8),-1,IF(AND(#REF!&gt;=table!$E$8,#REF!&lt;=table!$F$8),1,0))</f>
        <v>#REF!</v>
      </c>
      <c r="T2464" s="5"/>
      <c r="U2464" s="5" t="e">
        <f>IF(AND(#REF!&gt;=table!$C$10,#REF!&lt;= table!$D$10),-1,IF(AND(#REF!&gt;=table!$E$10,#REF!&lt;=table!$F$10),1,0))</f>
        <v>#REF!</v>
      </c>
      <c r="V2464" s="5" t="e">
        <f>IF(AND(#REF!&gt;=table!$C$11,#REF!&lt;= table!$D$11),-1,IF(AND(#REF!&gt;=table!$E$11,#REF!&lt;=table!$F$11),1,0))</f>
        <v>#REF!</v>
      </c>
      <c r="W2464" s="5" t="e">
        <f>CONCATENATE(dados[[#This Row],[fator1]],dados[[#This Row],[fator5]],dados[[#This Row],[fator6]])</f>
        <v>#REF!</v>
      </c>
    </row>
    <row r="2465" spans="1:23">
      <c r="A2465" t="s">
        <v>16</v>
      </c>
      <c r="B2465">
        <v>488014</v>
      </c>
      <c r="C2465">
        <v>0.1</v>
      </c>
      <c r="D2465">
        <v>40</v>
      </c>
      <c r="E2465">
        <v>10</v>
      </c>
      <c r="F2465">
        <v>8</v>
      </c>
      <c r="G2465">
        <v>0</v>
      </c>
      <c r="H2465">
        <v>10</v>
      </c>
      <c r="I2465">
        <v>0</v>
      </c>
      <c r="J2465">
        <v>0</v>
      </c>
      <c r="K2465">
        <v>4.7595000000000001</v>
      </c>
      <c r="L2465">
        <v>10.7735</v>
      </c>
      <c r="M2465">
        <v>9.7625000000000011</v>
      </c>
      <c r="N2465">
        <v>12.935</v>
      </c>
      <c r="O2465">
        <v>1659</v>
      </c>
      <c r="P2465">
        <v>680</v>
      </c>
      <c r="Q2465" s="5" t="e">
        <f>IF(AND(#REF!&gt;=table!$C$6,#REF!&lt;= table!$D$6),-1,IF(AND(#REF!&gt;=table!$E$6,#REF!&lt;=table!$F$6),1,0))</f>
        <v>#REF!</v>
      </c>
      <c r="R2465" s="5" t="e">
        <f>IF(AND(#REF!&gt;=table!$C$7,#REF!&lt;= table!$D$7),-1,IF(AND(#REF!&gt;=table!$E$7,#REF!&lt;=table!$F$7),1,0))</f>
        <v>#REF!</v>
      </c>
      <c r="S2465" s="5" t="e">
        <f>IF(AND(#REF!&gt;=table!$C$8,#REF!&lt;= table!$D$8),-1,IF(AND(#REF!&gt;=table!$E$8,#REF!&lt;=table!$F$8),1,0))</f>
        <v>#REF!</v>
      </c>
      <c r="T2465" s="5"/>
      <c r="U2465" s="5" t="e">
        <f>IF(AND(#REF!&gt;=table!$C$10,#REF!&lt;= table!$D$10),-1,IF(AND(#REF!&gt;=table!$E$10,#REF!&lt;=table!$F$10),1,0))</f>
        <v>#REF!</v>
      </c>
      <c r="V2465" s="5" t="e">
        <f>IF(AND(#REF!&gt;=table!$C$11,#REF!&lt;= table!$D$11),-1,IF(AND(#REF!&gt;=table!$E$11,#REF!&lt;=table!$F$11),1,0))</f>
        <v>#REF!</v>
      </c>
      <c r="W2465" s="5" t="e">
        <f>CONCATENATE(dados[[#This Row],[fator1]],dados[[#This Row],[fator5]],dados[[#This Row],[fator6]])</f>
        <v>#REF!</v>
      </c>
    </row>
    <row r="2466" spans="1:23">
      <c r="A2466" t="s">
        <v>16</v>
      </c>
      <c r="B2466">
        <v>488025</v>
      </c>
      <c r="C2466">
        <v>16</v>
      </c>
      <c r="D2466">
        <v>30</v>
      </c>
      <c r="E2466">
        <v>36</v>
      </c>
      <c r="F2466">
        <v>3</v>
      </c>
      <c r="G2466">
        <v>0</v>
      </c>
      <c r="H2466">
        <v>25</v>
      </c>
      <c r="I2466">
        <v>321</v>
      </c>
      <c r="J2466">
        <v>0</v>
      </c>
      <c r="K2466">
        <v>14.211500000000001</v>
      </c>
      <c r="L2466">
        <v>10.955</v>
      </c>
      <c r="M2466">
        <v>32.286999999999999</v>
      </c>
      <c r="N2466">
        <v>14.16</v>
      </c>
      <c r="O2466">
        <v>1665</v>
      </c>
      <c r="P2466">
        <v>285</v>
      </c>
      <c r="Q2466" s="5" t="e">
        <f>IF(AND(#REF!&gt;=table!$C$6,#REF!&lt;= table!$D$6),-1,IF(AND(#REF!&gt;=table!$E$6,#REF!&lt;=table!$F$6),1,0))</f>
        <v>#REF!</v>
      </c>
      <c r="R2466" s="5" t="e">
        <f>IF(AND(#REF!&gt;=table!$C$7,#REF!&lt;= table!$D$7),-1,IF(AND(#REF!&gt;=table!$E$7,#REF!&lt;=table!$F$7),1,0))</f>
        <v>#REF!</v>
      </c>
      <c r="S2466" s="5" t="e">
        <f>IF(AND(#REF!&gt;=table!$C$8,#REF!&lt;= table!$D$8),-1,IF(AND(#REF!&gt;=table!$E$8,#REF!&lt;=table!$F$8),1,0))</f>
        <v>#REF!</v>
      </c>
      <c r="T2466" s="5"/>
      <c r="U2466" s="5" t="e">
        <f>IF(AND(#REF!&gt;=table!$C$10,#REF!&lt;= table!$D$10),-1,IF(AND(#REF!&gt;=table!$E$10,#REF!&lt;=table!$F$10),1,0))</f>
        <v>#REF!</v>
      </c>
      <c r="V2466" s="5" t="e">
        <f>IF(AND(#REF!&gt;=table!$C$11,#REF!&lt;= table!$D$11),-1,IF(AND(#REF!&gt;=table!$E$11,#REF!&lt;=table!$F$11),1,0))</f>
        <v>#REF!</v>
      </c>
      <c r="W2466" s="5" t="e">
        <f>CONCATENATE(dados[[#This Row],[fator1]],dados[[#This Row],[fator5]],dados[[#This Row],[fator6]])</f>
        <v>#REF!</v>
      </c>
    </row>
    <row r="2467" spans="1:23">
      <c r="A2467" t="s">
        <v>16</v>
      </c>
      <c r="B2467">
        <v>488026</v>
      </c>
      <c r="C2467">
        <v>16</v>
      </c>
      <c r="D2467">
        <v>30</v>
      </c>
      <c r="E2467">
        <v>36</v>
      </c>
      <c r="F2467">
        <v>3</v>
      </c>
      <c r="G2467">
        <v>0</v>
      </c>
      <c r="H2467">
        <v>25</v>
      </c>
      <c r="I2467">
        <v>534</v>
      </c>
      <c r="J2467">
        <v>0</v>
      </c>
      <c r="K2467">
        <v>10.1035</v>
      </c>
      <c r="L2467">
        <v>13.128500000000001</v>
      </c>
      <c r="M2467">
        <v>39.888000000000005</v>
      </c>
      <c r="N2467">
        <v>17.105</v>
      </c>
      <c r="O2467">
        <v>1674</v>
      </c>
      <c r="P2467">
        <v>366</v>
      </c>
      <c r="Q2467" s="5" t="e">
        <f>IF(AND(#REF!&gt;=table!$C$6,#REF!&lt;= table!$D$6),-1,IF(AND(#REF!&gt;=table!$E$6,#REF!&lt;=table!$F$6),1,0))</f>
        <v>#REF!</v>
      </c>
      <c r="R2467" s="5" t="e">
        <f>IF(AND(#REF!&gt;=table!$C$7,#REF!&lt;= table!$D$7),-1,IF(AND(#REF!&gt;=table!$E$7,#REF!&lt;=table!$F$7),1,0))</f>
        <v>#REF!</v>
      </c>
      <c r="S2467" s="5" t="e">
        <f>IF(AND(#REF!&gt;=table!$C$8,#REF!&lt;= table!$D$8),-1,IF(AND(#REF!&gt;=table!$E$8,#REF!&lt;=table!$F$8),1,0))</f>
        <v>#REF!</v>
      </c>
      <c r="T2467" s="5"/>
      <c r="U2467" s="5" t="e">
        <f>IF(AND(#REF!&gt;=table!$C$10,#REF!&lt;= table!$D$10),-1,IF(AND(#REF!&gt;=table!$E$10,#REF!&lt;=table!$F$10),1,0))</f>
        <v>#REF!</v>
      </c>
      <c r="V2467" s="5" t="e">
        <f>IF(AND(#REF!&gt;=table!$C$11,#REF!&lt;= table!$D$11),-1,IF(AND(#REF!&gt;=table!$E$11,#REF!&lt;=table!$F$11),1,0))</f>
        <v>#REF!</v>
      </c>
      <c r="W2467" s="5" t="e">
        <f>CONCATENATE(dados[[#This Row],[fator1]],dados[[#This Row],[fator5]],dados[[#This Row],[fator6]])</f>
        <v>#REF!</v>
      </c>
    </row>
    <row r="2468" spans="1:23">
      <c r="A2468" t="s">
        <v>16</v>
      </c>
      <c r="B2468">
        <v>488027</v>
      </c>
      <c r="C2468">
        <v>16</v>
      </c>
      <c r="D2468">
        <v>35</v>
      </c>
      <c r="E2468">
        <v>36</v>
      </c>
      <c r="F2468">
        <v>10</v>
      </c>
      <c r="G2468">
        <v>0</v>
      </c>
      <c r="H2468">
        <v>25</v>
      </c>
      <c r="I2468">
        <v>0</v>
      </c>
      <c r="J2468">
        <v>0</v>
      </c>
      <c r="K2468">
        <v>8.1289999999999996</v>
      </c>
      <c r="L2468">
        <v>9.3369999999999997</v>
      </c>
      <c r="M2468">
        <v>29.764500000000002</v>
      </c>
      <c r="N2468">
        <v>9.745000000000001</v>
      </c>
      <c r="O2468">
        <v>1640</v>
      </c>
      <c r="P2468">
        <v>0</v>
      </c>
      <c r="Q2468" s="5" t="e">
        <f>IF(AND(#REF!&gt;=table!$C$6,#REF!&lt;= table!$D$6),-1,IF(AND(#REF!&gt;=table!$E$6,#REF!&lt;=table!$F$6),1,0))</f>
        <v>#REF!</v>
      </c>
      <c r="R2468" s="5" t="e">
        <f>IF(AND(#REF!&gt;=table!$C$7,#REF!&lt;= table!$D$7),-1,IF(AND(#REF!&gt;=table!$E$7,#REF!&lt;=table!$F$7),1,0))</f>
        <v>#REF!</v>
      </c>
      <c r="S2468" s="5" t="e">
        <f>IF(AND(#REF!&gt;=table!$C$8,#REF!&lt;= table!$D$8),-1,IF(AND(#REF!&gt;=table!$E$8,#REF!&lt;=table!$F$8),1,0))</f>
        <v>#REF!</v>
      </c>
      <c r="T2468" s="5"/>
      <c r="U2468" s="5" t="e">
        <f>IF(AND(#REF!&gt;=table!$C$10,#REF!&lt;= table!$D$10),-1,IF(AND(#REF!&gt;=table!$E$10,#REF!&lt;=table!$F$10),1,0))</f>
        <v>#REF!</v>
      </c>
      <c r="V2468" s="5" t="e">
        <f>IF(AND(#REF!&gt;=table!$C$11,#REF!&lt;= table!$D$11),-1,IF(AND(#REF!&gt;=table!$E$11,#REF!&lt;=table!$F$11),1,0))</f>
        <v>#REF!</v>
      </c>
      <c r="W2468" s="5" t="e">
        <f>CONCATENATE(dados[[#This Row],[fator1]],dados[[#This Row],[fator5]],dados[[#This Row],[fator6]])</f>
        <v>#REF!</v>
      </c>
    </row>
    <row r="2469" spans="1:23">
      <c r="A2469" t="s">
        <v>16</v>
      </c>
      <c r="B2469">
        <v>488028</v>
      </c>
      <c r="C2469">
        <v>16</v>
      </c>
      <c r="D2469">
        <v>35</v>
      </c>
      <c r="E2469">
        <v>36</v>
      </c>
      <c r="F2469">
        <v>10</v>
      </c>
      <c r="G2469">
        <v>0</v>
      </c>
      <c r="H2469">
        <v>25</v>
      </c>
      <c r="I2469">
        <v>836</v>
      </c>
      <c r="J2469">
        <v>0</v>
      </c>
      <c r="K2469">
        <v>11.96</v>
      </c>
      <c r="L2469">
        <v>12.0045</v>
      </c>
      <c r="M2469">
        <v>29.830500000000001</v>
      </c>
      <c r="N2469">
        <v>17.865000000000002</v>
      </c>
      <c r="O2469">
        <v>1682</v>
      </c>
      <c r="P2469">
        <v>0</v>
      </c>
      <c r="Q2469" s="5" t="e">
        <f>IF(AND(#REF!&gt;=table!$C$6,#REF!&lt;= table!$D$6),-1,IF(AND(#REF!&gt;=table!$E$6,#REF!&lt;=table!$F$6),1,0))</f>
        <v>#REF!</v>
      </c>
      <c r="R2469" s="5" t="e">
        <f>IF(AND(#REF!&gt;=table!$C$7,#REF!&lt;= table!$D$7),-1,IF(AND(#REF!&gt;=table!$E$7,#REF!&lt;=table!$F$7),1,0))</f>
        <v>#REF!</v>
      </c>
      <c r="S2469" s="5" t="e">
        <f>IF(AND(#REF!&gt;=table!$C$8,#REF!&lt;= table!$D$8),-1,IF(AND(#REF!&gt;=table!$E$8,#REF!&lt;=table!$F$8),1,0))</f>
        <v>#REF!</v>
      </c>
      <c r="T2469" s="5"/>
      <c r="U2469" s="5" t="e">
        <f>IF(AND(#REF!&gt;=table!$C$10,#REF!&lt;= table!$D$10),-1,IF(AND(#REF!&gt;=table!$E$10,#REF!&lt;=table!$F$10),1,0))</f>
        <v>#REF!</v>
      </c>
      <c r="V2469" s="5" t="e">
        <f>IF(AND(#REF!&gt;=table!$C$11,#REF!&lt;= table!$D$11),-1,IF(AND(#REF!&gt;=table!$E$11,#REF!&lt;=table!$F$11),1,0))</f>
        <v>#REF!</v>
      </c>
      <c r="W2469" s="5" t="e">
        <f>CONCATENATE(dados[[#This Row],[fator1]],dados[[#This Row],[fator5]],dados[[#This Row],[fator6]])</f>
        <v>#REF!</v>
      </c>
    </row>
    <row r="2470" spans="1:23">
      <c r="A2470" t="s">
        <v>16</v>
      </c>
      <c r="B2470">
        <v>488032</v>
      </c>
      <c r="C2470">
        <v>16</v>
      </c>
      <c r="D2470">
        <v>35</v>
      </c>
      <c r="E2470">
        <v>36</v>
      </c>
      <c r="F2470">
        <v>10</v>
      </c>
      <c r="G2470">
        <v>0</v>
      </c>
      <c r="H2470">
        <v>25</v>
      </c>
      <c r="I2470">
        <v>1811</v>
      </c>
      <c r="J2470">
        <v>0</v>
      </c>
      <c r="K2470">
        <v>7.9120000000000008</v>
      </c>
      <c r="L2470">
        <v>12.628</v>
      </c>
      <c r="M2470">
        <v>33.709499999999998</v>
      </c>
      <c r="N2470">
        <v>15.280000000000001</v>
      </c>
      <c r="O2470">
        <v>1655</v>
      </c>
      <c r="P2470">
        <v>0</v>
      </c>
      <c r="Q2470" s="5" t="e">
        <f>IF(AND(#REF!&gt;=table!$C$6,#REF!&lt;= table!$D$6),-1,IF(AND(#REF!&gt;=table!$E$6,#REF!&lt;=table!$F$6),1,0))</f>
        <v>#REF!</v>
      </c>
      <c r="R2470" s="5" t="e">
        <f>IF(AND(#REF!&gt;=table!$C$7,#REF!&lt;= table!$D$7),-1,IF(AND(#REF!&gt;=table!$E$7,#REF!&lt;=table!$F$7),1,0))</f>
        <v>#REF!</v>
      </c>
      <c r="S2470" s="5" t="e">
        <f>IF(AND(#REF!&gt;=table!$C$8,#REF!&lt;= table!$D$8),-1,IF(AND(#REF!&gt;=table!$E$8,#REF!&lt;=table!$F$8),1,0))</f>
        <v>#REF!</v>
      </c>
      <c r="T2470" s="5"/>
      <c r="U2470" s="5" t="e">
        <f>IF(AND(#REF!&gt;=table!$C$10,#REF!&lt;= table!$D$10),-1,IF(AND(#REF!&gt;=table!$E$10,#REF!&lt;=table!$F$10),1,0))</f>
        <v>#REF!</v>
      </c>
      <c r="V2470" s="5" t="e">
        <f>IF(AND(#REF!&gt;=table!$C$11,#REF!&lt;= table!$D$11),-1,IF(AND(#REF!&gt;=table!$E$11,#REF!&lt;=table!$F$11),1,0))</f>
        <v>#REF!</v>
      </c>
      <c r="W2470" s="5" t="e">
        <f>CONCATENATE(dados[[#This Row],[fator1]],dados[[#This Row],[fator5]],dados[[#This Row],[fator6]])</f>
        <v>#REF!</v>
      </c>
    </row>
    <row r="2471" spans="1:23">
      <c r="A2471" t="s">
        <v>16</v>
      </c>
      <c r="B2471">
        <v>488034</v>
      </c>
      <c r="C2471">
        <v>16</v>
      </c>
      <c r="D2471">
        <v>35</v>
      </c>
      <c r="E2471">
        <v>56</v>
      </c>
      <c r="F2471">
        <v>10</v>
      </c>
      <c r="G2471">
        <v>0</v>
      </c>
      <c r="H2471">
        <v>25</v>
      </c>
      <c r="I2471">
        <v>73</v>
      </c>
      <c r="J2471">
        <v>0</v>
      </c>
      <c r="K2471">
        <v>10.141</v>
      </c>
      <c r="L2471">
        <v>12.829500000000001</v>
      </c>
      <c r="M2471">
        <v>50.087000000000003</v>
      </c>
      <c r="N2471">
        <v>12.47</v>
      </c>
      <c r="O2471">
        <v>1649</v>
      </c>
      <c r="P2471">
        <v>309</v>
      </c>
      <c r="Q2471" s="5" t="e">
        <f>IF(AND(#REF!&gt;=table!$C$6,#REF!&lt;= table!$D$6),-1,IF(AND(#REF!&gt;=table!$E$6,#REF!&lt;=table!$F$6),1,0))</f>
        <v>#REF!</v>
      </c>
      <c r="R2471" s="5" t="e">
        <f>IF(AND(#REF!&gt;=table!$C$7,#REF!&lt;= table!$D$7),-1,IF(AND(#REF!&gt;=table!$E$7,#REF!&lt;=table!$F$7),1,0))</f>
        <v>#REF!</v>
      </c>
      <c r="S2471" s="5" t="e">
        <f>IF(AND(#REF!&gt;=table!$C$8,#REF!&lt;= table!$D$8),-1,IF(AND(#REF!&gt;=table!$E$8,#REF!&lt;=table!$F$8),1,0))</f>
        <v>#REF!</v>
      </c>
      <c r="T2471" s="5"/>
      <c r="U2471" s="5" t="e">
        <f>IF(AND(#REF!&gt;=table!$C$10,#REF!&lt;= table!$D$10),-1,IF(AND(#REF!&gt;=table!$E$10,#REF!&lt;=table!$F$10),1,0))</f>
        <v>#REF!</v>
      </c>
      <c r="V2471" s="5" t="e">
        <f>IF(AND(#REF!&gt;=table!$C$11,#REF!&lt;= table!$D$11),-1,IF(AND(#REF!&gt;=table!$E$11,#REF!&lt;=table!$F$11),1,0))</f>
        <v>#REF!</v>
      </c>
      <c r="W2471" s="5" t="e">
        <f>CONCATENATE(dados[[#This Row],[fator1]],dados[[#This Row],[fator5]],dados[[#This Row],[fator6]])</f>
        <v>#REF!</v>
      </c>
    </row>
    <row r="2472" spans="1:23">
      <c r="A2472" t="s">
        <v>16</v>
      </c>
      <c r="B2472">
        <v>488035</v>
      </c>
      <c r="C2472">
        <v>0.2</v>
      </c>
      <c r="D2472">
        <v>65</v>
      </c>
      <c r="E2472">
        <v>26</v>
      </c>
      <c r="F2472">
        <v>15</v>
      </c>
      <c r="G2472">
        <v>0</v>
      </c>
      <c r="H2472">
        <v>30</v>
      </c>
      <c r="I2472">
        <v>987</v>
      </c>
      <c r="J2472">
        <v>0</v>
      </c>
      <c r="K2472">
        <v>6.2075000000000005</v>
      </c>
      <c r="L2472">
        <v>11.5815</v>
      </c>
      <c r="M2472">
        <v>10.154</v>
      </c>
      <c r="N2472">
        <v>16.595000000000002</v>
      </c>
      <c r="O2472">
        <v>1691</v>
      </c>
      <c r="P2472">
        <v>778</v>
      </c>
      <c r="Q2472" s="5" t="e">
        <f>IF(AND(#REF!&gt;=table!$C$6,#REF!&lt;= table!$D$6),-1,IF(AND(#REF!&gt;=table!$E$6,#REF!&lt;=table!$F$6),1,0))</f>
        <v>#REF!</v>
      </c>
      <c r="R2472" s="5" t="e">
        <f>IF(AND(#REF!&gt;=table!$C$7,#REF!&lt;= table!$D$7),-1,IF(AND(#REF!&gt;=table!$E$7,#REF!&lt;=table!$F$7),1,0))</f>
        <v>#REF!</v>
      </c>
      <c r="S2472" s="5" t="e">
        <f>IF(AND(#REF!&gt;=table!$C$8,#REF!&lt;= table!$D$8),-1,IF(AND(#REF!&gt;=table!$E$8,#REF!&lt;=table!$F$8),1,0))</f>
        <v>#REF!</v>
      </c>
      <c r="T2472" s="5"/>
      <c r="U2472" s="5" t="e">
        <f>IF(AND(#REF!&gt;=table!$C$10,#REF!&lt;= table!$D$10),-1,IF(AND(#REF!&gt;=table!$E$10,#REF!&lt;=table!$F$10),1,0))</f>
        <v>#REF!</v>
      </c>
      <c r="V2472" s="5" t="e">
        <f>IF(AND(#REF!&gt;=table!$C$11,#REF!&lt;= table!$D$11),-1,IF(AND(#REF!&gt;=table!$E$11,#REF!&lt;=table!$F$11),1,0))</f>
        <v>#REF!</v>
      </c>
      <c r="W2472" s="5" t="e">
        <f>CONCATENATE(dados[[#This Row],[fator1]],dados[[#This Row],[fator5]],dados[[#This Row],[fator6]])</f>
        <v>#REF!</v>
      </c>
    </row>
    <row r="2473" spans="1:23">
      <c r="A2473" t="s">
        <v>16</v>
      </c>
      <c r="B2473">
        <v>488036</v>
      </c>
      <c r="C2473">
        <v>0.2</v>
      </c>
      <c r="D2473">
        <v>65</v>
      </c>
      <c r="E2473">
        <v>26</v>
      </c>
      <c r="F2473">
        <v>15</v>
      </c>
      <c r="G2473">
        <v>0</v>
      </c>
      <c r="H2473">
        <v>30</v>
      </c>
      <c r="I2473">
        <v>942</v>
      </c>
      <c r="J2473">
        <v>0</v>
      </c>
      <c r="K2473">
        <v>3.0830000000000002</v>
      </c>
      <c r="L2473">
        <v>9.5609999999999999</v>
      </c>
      <c r="M2473">
        <v>6.8334999999999999</v>
      </c>
      <c r="N2473">
        <v>16.22</v>
      </c>
      <c r="O2473">
        <v>1696</v>
      </c>
      <c r="P2473">
        <v>0</v>
      </c>
      <c r="Q2473" s="5" t="e">
        <f>IF(AND(#REF!&gt;=table!$C$6,#REF!&lt;= table!$D$6),-1,IF(AND(#REF!&gt;=table!$E$6,#REF!&lt;=table!$F$6),1,0))</f>
        <v>#REF!</v>
      </c>
      <c r="R2473" s="5" t="e">
        <f>IF(AND(#REF!&gt;=table!$C$7,#REF!&lt;= table!$D$7),-1,IF(AND(#REF!&gt;=table!$E$7,#REF!&lt;=table!$F$7),1,0))</f>
        <v>#REF!</v>
      </c>
      <c r="S2473" s="5" t="e">
        <f>IF(AND(#REF!&gt;=table!$C$8,#REF!&lt;= table!$D$8),-1,IF(AND(#REF!&gt;=table!$E$8,#REF!&lt;=table!$F$8),1,0))</f>
        <v>#REF!</v>
      </c>
      <c r="T2473" s="5"/>
      <c r="U2473" s="5" t="e">
        <f>IF(AND(#REF!&gt;=table!$C$10,#REF!&lt;= table!$D$10),-1,IF(AND(#REF!&gt;=table!$E$10,#REF!&lt;=table!$F$10),1,0))</f>
        <v>#REF!</v>
      </c>
      <c r="V2473" s="5" t="e">
        <f>IF(AND(#REF!&gt;=table!$C$11,#REF!&lt;= table!$D$11),-1,IF(AND(#REF!&gt;=table!$E$11,#REF!&lt;=table!$F$11),1,0))</f>
        <v>#REF!</v>
      </c>
      <c r="W2473" s="5" t="e">
        <f>CONCATENATE(dados[[#This Row],[fator1]],dados[[#This Row],[fator5]],dados[[#This Row],[fator6]])</f>
        <v>#REF!</v>
      </c>
    </row>
    <row r="2474" spans="1:23">
      <c r="A2474" t="s">
        <v>16</v>
      </c>
      <c r="B2474">
        <v>488037</v>
      </c>
      <c r="C2474">
        <v>0.2</v>
      </c>
      <c r="D2474">
        <v>65</v>
      </c>
      <c r="E2474">
        <v>26</v>
      </c>
      <c r="F2474">
        <v>15</v>
      </c>
      <c r="G2474">
        <v>0</v>
      </c>
      <c r="H2474">
        <v>30</v>
      </c>
      <c r="I2474">
        <v>1141</v>
      </c>
      <c r="J2474">
        <v>0</v>
      </c>
      <c r="K2474">
        <v>3.5445000000000002</v>
      </c>
      <c r="L2474">
        <v>9.0445000000000011</v>
      </c>
      <c r="M2474">
        <v>8.0325000000000006</v>
      </c>
      <c r="N2474">
        <v>18.309999999999999</v>
      </c>
      <c r="O2474">
        <v>1671</v>
      </c>
      <c r="P2474">
        <v>1088</v>
      </c>
      <c r="Q2474" s="5" t="e">
        <f>IF(AND(#REF!&gt;=table!$C$6,#REF!&lt;= table!$D$6),-1,IF(AND(#REF!&gt;=table!$E$6,#REF!&lt;=table!$F$6),1,0))</f>
        <v>#REF!</v>
      </c>
      <c r="R2474" s="5" t="e">
        <f>IF(AND(#REF!&gt;=table!$C$7,#REF!&lt;= table!$D$7),-1,IF(AND(#REF!&gt;=table!$E$7,#REF!&lt;=table!$F$7),1,0))</f>
        <v>#REF!</v>
      </c>
      <c r="S2474" s="5" t="e">
        <f>IF(AND(#REF!&gt;=table!$C$8,#REF!&lt;= table!$D$8),-1,IF(AND(#REF!&gt;=table!$E$8,#REF!&lt;=table!$F$8),1,0))</f>
        <v>#REF!</v>
      </c>
      <c r="T2474" s="5"/>
      <c r="U2474" s="5" t="e">
        <f>IF(AND(#REF!&gt;=table!$C$10,#REF!&lt;= table!$D$10),-1,IF(AND(#REF!&gt;=table!$E$10,#REF!&lt;=table!$F$10),1,0))</f>
        <v>#REF!</v>
      </c>
      <c r="V2474" s="5" t="e">
        <f>IF(AND(#REF!&gt;=table!$C$11,#REF!&lt;= table!$D$11),-1,IF(AND(#REF!&gt;=table!$E$11,#REF!&lt;=table!$F$11),1,0))</f>
        <v>#REF!</v>
      </c>
      <c r="W2474" s="5" t="e">
        <f>CONCATENATE(dados[[#This Row],[fator1]],dados[[#This Row],[fator5]],dados[[#This Row],[fator6]])</f>
        <v>#REF!</v>
      </c>
    </row>
    <row r="2475" spans="1:23">
      <c r="A2475" t="s">
        <v>16</v>
      </c>
      <c r="B2475">
        <v>488038</v>
      </c>
      <c r="C2475">
        <v>0.2</v>
      </c>
      <c r="D2475">
        <v>65</v>
      </c>
      <c r="E2475">
        <v>26</v>
      </c>
      <c r="F2475">
        <v>15</v>
      </c>
      <c r="G2475">
        <v>0</v>
      </c>
      <c r="H2475">
        <v>30</v>
      </c>
      <c r="I2475">
        <v>4</v>
      </c>
      <c r="J2475">
        <v>0</v>
      </c>
      <c r="K2475">
        <v>4.7960000000000003</v>
      </c>
      <c r="L2475">
        <v>8.0190000000000001</v>
      </c>
      <c r="M2475">
        <v>7.2560000000000002</v>
      </c>
      <c r="N2475">
        <v>15.575000000000001</v>
      </c>
      <c r="O2475">
        <v>1673</v>
      </c>
      <c r="P2475">
        <v>998</v>
      </c>
      <c r="Q2475" s="5" t="e">
        <f>IF(AND(#REF!&gt;=table!$C$6,#REF!&lt;= table!$D$6),-1,IF(AND(#REF!&gt;=table!$E$6,#REF!&lt;=table!$F$6),1,0))</f>
        <v>#REF!</v>
      </c>
      <c r="R2475" s="5" t="e">
        <f>IF(AND(#REF!&gt;=table!$C$7,#REF!&lt;= table!$D$7),-1,IF(AND(#REF!&gt;=table!$E$7,#REF!&lt;=table!$F$7),1,0))</f>
        <v>#REF!</v>
      </c>
      <c r="S2475" s="5" t="e">
        <f>IF(AND(#REF!&gt;=table!$C$8,#REF!&lt;= table!$D$8),-1,IF(AND(#REF!&gt;=table!$E$8,#REF!&lt;=table!$F$8),1,0))</f>
        <v>#REF!</v>
      </c>
      <c r="T2475" s="5"/>
      <c r="U2475" s="5" t="e">
        <f>IF(AND(#REF!&gt;=table!$C$10,#REF!&lt;= table!$D$10),-1,IF(AND(#REF!&gt;=table!$E$10,#REF!&lt;=table!$F$10),1,0))</f>
        <v>#REF!</v>
      </c>
      <c r="V2475" s="5" t="e">
        <f>IF(AND(#REF!&gt;=table!$C$11,#REF!&lt;= table!$D$11),-1,IF(AND(#REF!&gt;=table!$E$11,#REF!&lt;=table!$F$11),1,0))</f>
        <v>#REF!</v>
      </c>
      <c r="W2475" s="5" t="e">
        <f>CONCATENATE(dados[[#This Row],[fator1]],dados[[#This Row],[fator5]],dados[[#This Row],[fator6]])</f>
        <v>#REF!</v>
      </c>
    </row>
    <row r="2476" spans="1:23">
      <c r="A2476" t="s">
        <v>16</v>
      </c>
      <c r="B2476">
        <v>488043</v>
      </c>
      <c r="C2476">
        <v>16</v>
      </c>
      <c r="D2476">
        <v>35</v>
      </c>
      <c r="E2476">
        <v>56</v>
      </c>
      <c r="F2476">
        <v>10</v>
      </c>
      <c r="G2476">
        <v>0</v>
      </c>
      <c r="H2476">
        <v>25</v>
      </c>
      <c r="I2476">
        <v>977</v>
      </c>
      <c r="J2476">
        <v>960</v>
      </c>
      <c r="K2476">
        <v>3.9690000000000003</v>
      </c>
      <c r="L2476">
        <v>8.2975000000000012</v>
      </c>
      <c r="M2476">
        <v>52.293500000000002</v>
      </c>
      <c r="N2476">
        <v>11.365</v>
      </c>
      <c r="O2476">
        <v>1634</v>
      </c>
      <c r="P2476">
        <v>585</v>
      </c>
      <c r="Q2476" s="5" t="e">
        <f>IF(AND(#REF!&gt;=table!$C$6,#REF!&lt;= table!$D$6),-1,IF(AND(#REF!&gt;=table!$E$6,#REF!&lt;=table!$F$6),1,0))</f>
        <v>#REF!</v>
      </c>
      <c r="R2476" s="5" t="e">
        <f>IF(AND(#REF!&gt;=table!$C$7,#REF!&lt;= table!$D$7),-1,IF(AND(#REF!&gt;=table!$E$7,#REF!&lt;=table!$F$7),1,0))</f>
        <v>#REF!</v>
      </c>
      <c r="S2476" s="5" t="e">
        <f>IF(AND(#REF!&gt;=table!$C$8,#REF!&lt;= table!$D$8),-1,IF(AND(#REF!&gt;=table!$E$8,#REF!&lt;=table!$F$8),1,0))</f>
        <v>#REF!</v>
      </c>
      <c r="T2476" s="5"/>
      <c r="U2476" s="5" t="e">
        <f>IF(AND(#REF!&gt;=table!$C$10,#REF!&lt;= table!$D$10),-1,IF(AND(#REF!&gt;=table!$E$10,#REF!&lt;=table!$F$10),1,0))</f>
        <v>#REF!</v>
      </c>
      <c r="V2476" s="5" t="e">
        <f>IF(AND(#REF!&gt;=table!$C$11,#REF!&lt;= table!$D$11),-1,IF(AND(#REF!&gt;=table!$E$11,#REF!&lt;=table!$F$11),1,0))</f>
        <v>#REF!</v>
      </c>
      <c r="W2476" s="5" t="e">
        <f>CONCATENATE(dados[[#This Row],[fator1]],dados[[#This Row],[fator5]],dados[[#This Row],[fator6]])</f>
        <v>#REF!</v>
      </c>
    </row>
    <row r="2477" spans="1:23">
      <c r="A2477" t="s">
        <v>16</v>
      </c>
      <c r="B2477">
        <v>488045</v>
      </c>
      <c r="C2477">
        <v>0.18</v>
      </c>
      <c r="D2477">
        <v>50</v>
      </c>
      <c r="E2477">
        <v>56</v>
      </c>
      <c r="F2477">
        <v>15</v>
      </c>
      <c r="G2477">
        <v>0</v>
      </c>
      <c r="H2477">
        <v>50</v>
      </c>
      <c r="I2477">
        <v>49</v>
      </c>
      <c r="J2477">
        <v>0</v>
      </c>
      <c r="K2477">
        <v>5.9290000000000003</v>
      </c>
      <c r="L2477">
        <v>11.397</v>
      </c>
      <c r="M2477">
        <v>9.9730000000000008</v>
      </c>
      <c r="N2477">
        <v>17.065000000000001</v>
      </c>
      <c r="O2477">
        <v>1693</v>
      </c>
      <c r="P2477">
        <v>578</v>
      </c>
      <c r="Q2477" s="5" t="e">
        <f>IF(AND(#REF!&gt;=table!$C$6,#REF!&lt;= table!$D$6),-1,IF(AND(#REF!&gt;=table!$E$6,#REF!&lt;=table!$F$6),1,0))</f>
        <v>#REF!</v>
      </c>
      <c r="R2477" s="5" t="e">
        <f>IF(AND(#REF!&gt;=table!$C$7,#REF!&lt;= table!$D$7),-1,IF(AND(#REF!&gt;=table!$E$7,#REF!&lt;=table!$F$7),1,0))</f>
        <v>#REF!</v>
      </c>
      <c r="S2477" s="5" t="e">
        <f>IF(AND(#REF!&gt;=table!$C$8,#REF!&lt;= table!$D$8),-1,IF(AND(#REF!&gt;=table!$E$8,#REF!&lt;=table!$F$8),1,0))</f>
        <v>#REF!</v>
      </c>
      <c r="T2477" s="5"/>
      <c r="U2477" s="5" t="e">
        <f>IF(AND(#REF!&gt;=table!$C$10,#REF!&lt;= table!$D$10),-1,IF(AND(#REF!&gt;=table!$E$10,#REF!&lt;=table!$F$10),1,0))</f>
        <v>#REF!</v>
      </c>
      <c r="V2477" s="5" t="e">
        <f>IF(AND(#REF!&gt;=table!$C$11,#REF!&lt;= table!$D$11),-1,IF(AND(#REF!&gt;=table!$E$11,#REF!&lt;=table!$F$11),1,0))</f>
        <v>#REF!</v>
      </c>
      <c r="W2477" s="5" t="e">
        <f>CONCATENATE(dados[[#This Row],[fator1]],dados[[#This Row],[fator5]],dados[[#This Row],[fator6]])</f>
        <v>#REF!</v>
      </c>
    </row>
    <row r="2478" spans="1:23">
      <c r="A2478" t="s">
        <v>16</v>
      </c>
      <c r="B2478">
        <v>488046</v>
      </c>
      <c r="C2478">
        <v>16</v>
      </c>
      <c r="D2478">
        <v>35</v>
      </c>
      <c r="E2478">
        <v>56</v>
      </c>
      <c r="F2478">
        <v>10</v>
      </c>
      <c r="G2478">
        <v>0</v>
      </c>
      <c r="H2478">
        <v>25</v>
      </c>
      <c r="I2478">
        <v>0</v>
      </c>
      <c r="J2478">
        <v>0</v>
      </c>
      <c r="K2478">
        <v>8.3730000000000011</v>
      </c>
      <c r="L2478">
        <v>13.723000000000001</v>
      </c>
      <c r="M2478">
        <v>54.7425</v>
      </c>
      <c r="N2478">
        <v>20.345000000000002</v>
      </c>
      <c r="O2478">
        <v>1672</v>
      </c>
      <c r="P2478">
        <v>343</v>
      </c>
      <c r="Q2478" s="5" t="e">
        <f>IF(AND(#REF!&gt;=table!$C$6,#REF!&lt;= table!$D$6),-1,IF(AND(#REF!&gt;=table!$E$6,#REF!&lt;=table!$F$6),1,0))</f>
        <v>#REF!</v>
      </c>
      <c r="R2478" s="5" t="e">
        <f>IF(AND(#REF!&gt;=table!$C$7,#REF!&lt;= table!$D$7),-1,IF(AND(#REF!&gt;=table!$E$7,#REF!&lt;=table!$F$7),1,0))</f>
        <v>#REF!</v>
      </c>
      <c r="S2478" s="5" t="e">
        <f>IF(AND(#REF!&gt;=table!$C$8,#REF!&lt;= table!$D$8),-1,IF(AND(#REF!&gt;=table!$E$8,#REF!&lt;=table!$F$8),1,0))</f>
        <v>#REF!</v>
      </c>
      <c r="T2478" s="5"/>
      <c r="U2478" s="5" t="e">
        <f>IF(AND(#REF!&gt;=table!$C$10,#REF!&lt;= table!$D$10),-1,IF(AND(#REF!&gt;=table!$E$10,#REF!&lt;=table!$F$10),1,0))</f>
        <v>#REF!</v>
      </c>
      <c r="V2478" s="5" t="e">
        <f>IF(AND(#REF!&gt;=table!$C$11,#REF!&lt;= table!$D$11),-1,IF(AND(#REF!&gt;=table!$E$11,#REF!&lt;=table!$F$11),1,0))</f>
        <v>#REF!</v>
      </c>
      <c r="W2478" s="5" t="e">
        <f>CONCATENATE(dados[[#This Row],[fator1]],dados[[#This Row],[fator5]],dados[[#This Row],[fator6]])</f>
        <v>#REF!</v>
      </c>
    </row>
    <row r="2479" spans="1:23">
      <c r="A2479" t="s">
        <v>16</v>
      </c>
      <c r="B2479">
        <v>488047</v>
      </c>
      <c r="C2479">
        <v>16</v>
      </c>
      <c r="D2479">
        <v>35</v>
      </c>
      <c r="E2479">
        <v>56</v>
      </c>
      <c r="F2479">
        <v>10</v>
      </c>
      <c r="G2479">
        <v>0</v>
      </c>
      <c r="H2479">
        <v>25</v>
      </c>
      <c r="I2479">
        <v>775</v>
      </c>
      <c r="J2479">
        <v>0</v>
      </c>
      <c r="K2479">
        <v>5.7205000000000004</v>
      </c>
      <c r="L2479">
        <v>11.4755</v>
      </c>
      <c r="M2479">
        <v>52.987000000000002</v>
      </c>
      <c r="N2479">
        <v>18.48</v>
      </c>
      <c r="O2479">
        <v>1683</v>
      </c>
      <c r="P2479">
        <v>644</v>
      </c>
      <c r="Q2479" s="5" t="e">
        <f>IF(AND(#REF!&gt;=table!$C$6,#REF!&lt;= table!$D$6),-1,IF(AND(#REF!&gt;=table!$E$6,#REF!&lt;=table!$F$6),1,0))</f>
        <v>#REF!</v>
      </c>
      <c r="R2479" s="5" t="e">
        <f>IF(AND(#REF!&gt;=table!$C$7,#REF!&lt;= table!$D$7),-1,IF(AND(#REF!&gt;=table!$E$7,#REF!&lt;=table!$F$7),1,0))</f>
        <v>#REF!</v>
      </c>
      <c r="S2479" s="5" t="e">
        <f>IF(AND(#REF!&gt;=table!$C$8,#REF!&lt;= table!$D$8),-1,IF(AND(#REF!&gt;=table!$E$8,#REF!&lt;=table!$F$8),1,0))</f>
        <v>#REF!</v>
      </c>
      <c r="T2479" s="5"/>
      <c r="U2479" s="5" t="e">
        <f>IF(AND(#REF!&gt;=table!$C$10,#REF!&lt;= table!$D$10),-1,IF(AND(#REF!&gt;=table!$E$10,#REF!&lt;=table!$F$10),1,0))</f>
        <v>#REF!</v>
      </c>
      <c r="V2479" s="5" t="e">
        <f>IF(AND(#REF!&gt;=table!$C$11,#REF!&lt;= table!$D$11),-1,IF(AND(#REF!&gt;=table!$E$11,#REF!&lt;=table!$F$11),1,0))</f>
        <v>#REF!</v>
      </c>
      <c r="W2479" s="5" t="e">
        <f>CONCATENATE(dados[[#This Row],[fator1]],dados[[#This Row],[fator5]],dados[[#This Row],[fator6]])</f>
        <v>#REF!</v>
      </c>
    </row>
    <row r="2480" spans="1:23">
      <c r="A2480" t="s">
        <v>16</v>
      </c>
      <c r="B2480">
        <v>488051</v>
      </c>
      <c r="C2480">
        <v>16</v>
      </c>
      <c r="D2480">
        <v>30</v>
      </c>
      <c r="E2480">
        <v>36</v>
      </c>
      <c r="F2480">
        <v>3</v>
      </c>
      <c r="G2480">
        <v>0</v>
      </c>
      <c r="H2480">
        <v>25</v>
      </c>
      <c r="I2480">
        <v>452</v>
      </c>
      <c r="J2480">
        <v>0</v>
      </c>
      <c r="K2480">
        <v>5.5600000000000005</v>
      </c>
      <c r="L2480">
        <v>12.637500000000001</v>
      </c>
      <c r="M2480">
        <v>39.315000000000005</v>
      </c>
      <c r="N2480">
        <v>18.21</v>
      </c>
      <c r="O2480">
        <v>1668</v>
      </c>
      <c r="P2480">
        <v>669</v>
      </c>
      <c r="Q2480" s="5" t="e">
        <f>IF(AND(#REF!&gt;=table!$C$6,#REF!&lt;= table!$D$6),-1,IF(AND(#REF!&gt;=table!$E$6,#REF!&lt;=table!$F$6),1,0))</f>
        <v>#REF!</v>
      </c>
      <c r="R2480" s="5" t="e">
        <f>IF(AND(#REF!&gt;=table!$C$7,#REF!&lt;= table!$D$7),-1,IF(AND(#REF!&gt;=table!$E$7,#REF!&lt;=table!$F$7),1,0))</f>
        <v>#REF!</v>
      </c>
      <c r="S2480" s="5" t="e">
        <f>IF(AND(#REF!&gt;=table!$C$8,#REF!&lt;= table!$D$8),-1,IF(AND(#REF!&gt;=table!$E$8,#REF!&lt;=table!$F$8),1,0))</f>
        <v>#REF!</v>
      </c>
      <c r="T2480" s="5"/>
      <c r="U2480" s="5" t="e">
        <f>IF(AND(#REF!&gt;=table!$C$10,#REF!&lt;= table!$D$10),-1,IF(AND(#REF!&gt;=table!$E$10,#REF!&lt;=table!$F$10),1,0))</f>
        <v>#REF!</v>
      </c>
      <c r="V2480" s="5" t="e">
        <f>IF(AND(#REF!&gt;=table!$C$11,#REF!&lt;= table!$D$11),-1,IF(AND(#REF!&gt;=table!$E$11,#REF!&lt;=table!$F$11),1,0))</f>
        <v>#REF!</v>
      </c>
      <c r="W2480" s="5" t="e">
        <f>CONCATENATE(dados[[#This Row],[fator1]],dados[[#This Row],[fator5]],dados[[#This Row],[fator6]])</f>
        <v>#REF!</v>
      </c>
    </row>
    <row r="2481" spans="1:23">
      <c r="A2481" t="s">
        <v>17</v>
      </c>
      <c r="B2481">
        <v>488063</v>
      </c>
      <c r="C2481">
        <v>10</v>
      </c>
      <c r="D2481">
        <v>25</v>
      </c>
      <c r="E2481">
        <v>156</v>
      </c>
      <c r="F2481">
        <v>8</v>
      </c>
      <c r="G2481">
        <v>20</v>
      </c>
      <c r="H2481">
        <v>25</v>
      </c>
      <c r="I2481">
        <v>0</v>
      </c>
      <c r="J2481">
        <v>0</v>
      </c>
      <c r="K2481">
        <v>4.6640000000000006</v>
      </c>
      <c r="L2481">
        <v>8.5955000000000013</v>
      </c>
      <c r="M2481">
        <v>134.249</v>
      </c>
      <c r="N2481">
        <v>15.65</v>
      </c>
      <c r="O2481">
        <v>1683</v>
      </c>
      <c r="P2481">
        <v>0</v>
      </c>
      <c r="Q2481" s="5" t="e">
        <f>IF(AND(#REF!&gt;=table!$C$6,#REF!&lt;= table!$D$6),-1,IF(AND(#REF!&gt;=table!$E$6,#REF!&lt;=table!$F$6),1,0))</f>
        <v>#REF!</v>
      </c>
      <c r="R2481" s="5" t="e">
        <f>IF(AND(#REF!&gt;=table!$C$7,#REF!&lt;= table!$D$7),-1,IF(AND(#REF!&gt;=table!$E$7,#REF!&lt;=table!$F$7),1,0))</f>
        <v>#REF!</v>
      </c>
      <c r="S2481" s="5" t="e">
        <f>IF(AND(#REF!&gt;=table!$C$8,#REF!&lt;= table!$D$8),-1,IF(AND(#REF!&gt;=table!$E$8,#REF!&lt;=table!$F$8),1,0))</f>
        <v>#REF!</v>
      </c>
      <c r="T2481" s="5"/>
      <c r="U2481" s="5" t="e">
        <f>IF(AND(#REF!&gt;=table!$C$10,#REF!&lt;= table!$D$10),-1,IF(AND(#REF!&gt;=table!$E$10,#REF!&lt;=table!$F$10),1,0))</f>
        <v>#REF!</v>
      </c>
      <c r="V2481" s="5" t="e">
        <f>IF(AND(#REF!&gt;=table!$C$11,#REF!&lt;= table!$D$11),-1,IF(AND(#REF!&gt;=table!$E$11,#REF!&lt;=table!$F$11),1,0))</f>
        <v>#REF!</v>
      </c>
      <c r="W2481" s="5" t="e">
        <f>CONCATENATE(dados[[#This Row],[fator1]],dados[[#This Row],[fator5]],dados[[#This Row],[fator6]])</f>
        <v>#REF!</v>
      </c>
    </row>
    <row r="2482" spans="1:23">
      <c r="A2482" t="s">
        <v>17</v>
      </c>
      <c r="B2482">
        <v>488066</v>
      </c>
      <c r="C2482">
        <v>10</v>
      </c>
      <c r="D2482">
        <v>25</v>
      </c>
      <c r="E2482">
        <v>156</v>
      </c>
      <c r="F2482">
        <v>8</v>
      </c>
      <c r="G2482">
        <v>20</v>
      </c>
      <c r="H2482">
        <v>25</v>
      </c>
      <c r="I2482">
        <v>0</v>
      </c>
      <c r="J2482">
        <v>0</v>
      </c>
      <c r="K2482">
        <v>3.0815000000000001</v>
      </c>
      <c r="L2482">
        <v>7.8575000000000008</v>
      </c>
      <c r="M2482">
        <v>124.655</v>
      </c>
      <c r="N2482">
        <v>13.135</v>
      </c>
      <c r="O2482">
        <v>1680</v>
      </c>
      <c r="P2482">
        <v>0</v>
      </c>
      <c r="Q2482" s="5" t="e">
        <f>IF(AND(#REF!&gt;=table!$C$6,#REF!&lt;= table!$D$6),-1,IF(AND(#REF!&gt;=table!$E$6,#REF!&lt;=table!$F$6),1,0))</f>
        <v>#REF!</v>
      </c>
      <c r="R2482" s="5" t="e">
        <f>IF(AND(#REF!&gt;=table!$C$7,#REF!&lt;= table!$D$7),-1,IF(AND(#REF!&gt;=table!$E$7,#REF!&lt;=table!$F$7),1,0))</f>
        <v>#REF!</v>
      </c>
      <c r="S2482" s="5" t="e">
        <f>IF(AND(#REF!&gt;=table!$C$8,#REF!&lt;= table!$D$8),-1,IF(AND(#REF!&gt;=table!$E$8,#REF!&lt;=table!$F$8),1,0))</f>
        <v>#REF!</v>
      </c>
      <c r="T2482" s="5"/>
      <c r="U2482" s="5" t="e">
        <f>IF(AND(#REF!&gt;=table!$C$10,#REF!&lt;= table!$D$10),-1,IF(AND(#REF!&gt;=table!$E$10,#REF!&lt;=table!$F$10),1,0))</f>
        <v>#REF!</v>
      </c>
      <c r="V2482" s="5" t="e">
        <f>IF(AND(#REF!&gt;=table!$C$11,#REF!&lt;= table!$D$11),-1,IF(AND(#REF!&gt;=table!$E$11,#REF!&lt;=table!$F$11),1,0))</f>
        <v>#REF!</v>
      </c>
      <c r="W2482" s="5" t="e">
        <f>CONCATENATE(dados[[#This Row],[fator1]],dados[[#This Row],[fator5]],dados[[#This Row],[fator6]])</f>
        <v>#REF!</v>
      </c>
    </row>
    <row r="2483" spans="1:23">
      <c r="A2483" t="s">
        <v>17</v>
      </c>
      <c r="B2483">
        <v>488068</v>
      </c>
      <c r="C2483">
        <v>10</v>
      </c>
      <c r="D2483">
        <v>25</v>
      </c>
      <c r="E2483">
        <v>156</v>
      </c>
      <c r="F2483">
        <v>8</v>
      </c>
      <c r="G2483">
        <v>20</v>
      </c>
      <c r="H2483">
        <v>25</v>
      </c>
      <c r="I2483">
        <v>31</v>
      </c>
      <c r="J2483">
        <v>0</v>
      </c>
      <c r="K2483">
        <v>4.0745000000000005</v>
      </c>
      <c r="L2483">
        <v>11.1485</v>
      </c>
      <c r="M2483">
        <v>144.405</v>
      </c>
      <c r="N2483">
        <v>20.895</v>
      </c>
      <c r="O2483">
        <v>1681</v>
      </c>
      <c r="P2483">
        <v>0</v>
      </c>
      <c r="Q2483" s="5" t="e">
        <f>IF(AND(#REF!&gt;=table!$C$6,#REF!&lt;= table!$D$6),-1,IF(AND(#REF!&gt;=table!$E$6,#REF!&lt;=table!$F$6),1,0))</f>
        <v>#REF!</v>
      </c>
      <c r="R2483" s="5" t="e">
        <f>IF(AND(#REF!&gt;=table!$C$7,#REF!&lt;= table!$D$7),-1,IF(AND(#REF!&gt;=table!$E$7,#REF!&lt;=table!$F$7),1,0))</f>
        <v>#REF!</v>
      </c>
      <c r="S2483" s="5" t="e">
        <f>IF(AND(#REF!&gt;=table!$C$8,#REF!&lt;= table!$D$8),-1,IF(AND(#REF!&gt;=table!$E$8,#REF!&lt;=table!$F$8),1,0))</f>
        <v>#REF!</v>
      </c>
      <c r="T2483" s="5"/>
      <c r="U2483" s="5" t="e">
        <f>IF(AND(#REF!&gt;=table!$C$10,#REF!&lt;= table!$D$10),-1,IF(AND(#REF!&gt;=table!$E$10,#REF!&lt;=table!$F$10),1,0))</f>
        <v>#REF!</v>
      </c>
      <c r="V2483" s="5" t="e">
        <f>IF(AND(#REF!&gt;=table!$C$11,#REF!&lt;= table!$D$11),-1,IF(AND(#REF!&gt;=table!$E$11,#REF!&lt;=table!$F$11),1,0))</f>
        <v>#REF!</v>
      </c>
      <c r="W2483" s="5" t="e">
        <f>CONCATENATE(dados[[#This Row],[fator1]],dados[[#This Row],[fator5]],dados[[#This Row],[fator6]])</f>
        <v>#REF!</v>
      </c>
    </row>
    <row r="2484" spans="1:23">
      <c r="A2484" t="s">
        <v>17</v>
      </c>
      <c r="B2484">
        <v>488069</v>
      </c>
      <c r="C2484">
        <v>10</v>
      </c>
      <c r="D2484">
        <v>25</v>
      </c>
      <c r="E2484">
        <v>156</v>
      </c>
      <c r="F2484">
        <v>8</v>
      </c>
      <c r="G2484">
        <v>20</v>
      </c>
      <c r="H2484">
        <v>25</v>
      </c>
      <c r="I2484">
        <v>0</v>
      </c>
      <c r="J2484">
        <v>0</v>
      </c>
      <c r="K2484">
        <v>5.0419999999999998</v>
      </c>
      <c r="L2484">
        <v>13.621</v>
      </c>
      <c r="M2484">
        <v>138.214</v>
      </c>
      <c r="N2484">
        <v>17.059999999999999</v>
      </c>
      <c r="O2484">
        <v>1687</v>
      </c>
      <c r="P2484">
        <v>0</v>
      </c>
      <c r="Q2484" s="5" t="e">
        <f>IF(AND(#REF!&gt;=table!$C$6,#REF!&lt;= table!$D$6),-1,IF(AND(#REF!&gt;=table!$E$6,#REF!&lt;=table!$F$6),1,0))</f>
        <v>#REF!</v>
      </c>
      <c r="R2484" s="5" t="e">
        <f>IF(AND(#REF!&gt;=table!$C$7,#REF!&lt;= table!$D$7),-1,IF(AND(#REF!&gt;=table!$E$7,#REF!&lt;=table!$F$7),1,0))</f>
        <v>#REF!</v>
      </c>
      <c r="S2484" s="5" t="e">
        <f>IF(AND(#REF!&gt;=table!$C$8,#REF!&lt;= table!$D$8),-1,IF(AND(#REF!&gt;=table!$E$8,#REF!&lt;=table!$F$8),1,0))</f>
        <v>#REF!</v>
      </c>
      <c r="T2484" s="5"/>
      <c r="U2484" s="5" t="e">
        <f>IF(AND(#REF!&gt;=table!$C$10,#REF!&lt;= table!$D$10),-1,IF(AND(#REF!&gt;=table!$E$10,#REF!&lt;=table!$F$10),1,0))</f>
        <v>#REF!</v>
      </c>
      <c r="V2484" s="5" t="e">
        <f>IF(AND(#REF!&gt;=table!$C$11,#REF!&lt;= table!$D$11),-1,IF(AND(#REF!&gt;=table!$E$11,#REF!&lt;=table!$F$11),1,0))</f>
        <v>#REF!</v>
      </c>
      <c r="W2484" s="5" t="e">
        <f>CONCATENATE(dados[[#This Row],[fator1]],dados[[#This Row],[fator5]],dados[[#This Row],[fator6]])</f>
        <v>#REF!</v>
      </c>
    </row>
    <row r="2485" spans="1:23">
      <c r="A2485" t="s">
        <v>16</v>
      </c>
      <c r="B2485">
        <v>488070</v>
      </c>
      <c r="C2485">
        <v>0.19</v>
      </c>
      <c r="D2485">
        <v>50</v>
      </c>
      <c r="E2485">
        <v>56</v>
      </c>
      <c r="F2485">
        <v>15</v>
      </c>
      <c r="G2485">
        <v>0</v>
      </c>
      <c r="H2485">
        <v>50</v>
      </c>
      <c r="I2485">
        <v>343</v>
      </c>
      <c r="J2485">
        <v>730</v>
      </c>
      <c r="K2485">
        <v>5.6787000000000001</v>
      </c>
      <c r="L2485">
        <v>5.141</v>
      </c>
      <c r="M2485">
        <v>4.3180000000000005</v>
      </c>
      <c r="N2485">
        <v>12.275</v>
      </c>
      <c r="O2485">
        <v>1627</v>
      </c>
      <c r="P2485">
        <v>0</v>
      </c>
      <c r="Q2485" s="5" t="e">
        <f>IF(AND(#REF!&gt;=table!$C$6,#REF!&lt;= table!$D$6),-1,IF(AND(#REF!&gt;=table!$E$6,#REF!&lt;=table!$F$6),1,0))</f>
        <v>#REF!</v>
      </c>
      <c r="R2485" s="5" t="e">
        <f>IF(AND(#REF!&gt;=table!$C$7,#REF!&lt;= table!$D$7),-1,IF(AND(#REF!&gt;=table!$E$7,#REF!&lt;=table!$F$7),1,0))</f>
        <v>#REF!</v>
      </c>
      <c r="S2485" s="5" t="e">
        <f>IF(AND(#REF!&gt;=table!$C$8,#REF!&lt;= table!$D$8),-1,IF(AND(#REF!&gt;=table!$E$8,#REF!&lt;=table!$F$8),1,0))</f>
        <v>#REF!</v>
      </c>
      <c r="T2485" s="5"/>
      <c r="U2485" s="5" t="e">
        <f>IF(AND(#REF!&gt;=table!$C$10,#REF!&lt;= table!$D$10),-1,IF(AND(#REF!&gt;=table!$E$10,#REF!&lt;=table!$F$10),1,0))</f>
        <v>#REF!</v>
      </c>
      <c r="V2485" s="5" t="e">
        <f>IF(AND(#REF!&gt;=table!$C$11,#REF!&lt;= table!$D$11),-1,IF(AND(#REF!&gt;=table!$E$11,#REF!&lt;=table!$F$11),1,0))</f>
        <v>#REF!</v>
      </c>
      <c r="W2485" s="5" t="e">
        <f>CONCATENATE(dados[[#This Row],[fator1]],dados[[#This Row],[fator5]],dados[[#This Row],[fator6]])</f>
        <v>#REF!</v>
      </c>
    </row>
    <row r="2486" spans="1:23">
      <c r="A2486" t="s">
        <v>16</v>
      </c>
      <c r="B2486">
        <v>488097</v>
      </c>
      <c r="C2486">
        <v>8</v>
      </c>
      <c r="D2486">
        <v>30</v>
      </c>
      <c r="E2486">
        <v>86</v>
      </c>
      <c r="F2486">
        <v>8</v>
      </c>
      <c r="G2486">
        <v>0</v>
      </c>
      <c r="H2486">
        <v>25</v>
      </c>
      <c r="I2486">
        <v>893</v>
      </c>
      <c r="J2486">
        <v>0</v>
      </c>
      <c r="K2486">
        <v>4.0105000000000004</v>
      </c>
      <c r="L2486">
        <v>4.1370000000000005</v>
      </c>
      <c r="M2486">
        <v>80.548000000000002</v>
      </c>
      <c r="N2486">
        <v>13.26</v>
      </c>
      <c r="O2486">
        <v>1677</v>
      </c>
      <c r="P2486">
        <v>856</v>
      </c>
      <c r="Q2486" s="5" t="e">
        <f>IF(AND(#REF!&gt;=table!$C$6,#REF!&lt;= table!$D$6),-1,IF(AND(#REF!&gt;=table!$E$6,#REF!&lt;=table!$F$6),1,0))</f>
        <v>#REF!</v>
      </c>
      <c r="R2486" s="5" t="e">
        <f>IF(AND(#REF!&gt;=table!$C$7,#REF!&lt;= table!$D$7),-1,IF(AND(#REF!&gt;=table!$E$7,#REF!&lt;=table!$F$7),1,0))</f>
        <v>#REF!</v>
      </c>
      <c r="S2486" s="5" t="e">
        <f>IF(AND(#REF!&gt;=table!$C$8,#REF!&lt;= table!$D$8),-1,IF(AND(#REF!&gt;=table!$E$8,#REF!&lt;=table!$F$8),1,0))</f>
        <v>#REF!</v>
      </c>
      <c r="T2486" s="5"/>
      <c r="U2486" s="5" t="e">
        <f>IF(AND(#REF!&gt;=table!$C$10,#REF!&lt;= table!$D$10),-1,IF(AND(#REF!&gt;=table!$E$10,#REF!&lt;=table!$F$10),1,0))</f>
        <v>#REF!</v>
      </c>
      <c r="V2486" s="5" t="e">
        <f>IF(AND(#REF!&gt;=table!$C$11,#REF!&lt;= table!$D$11),-1,IF(AND(#REF!&gt;=table!$E$11,#REF!&lt;=table!$F$11),1,0))</f>
        <v>#REF!</v>
      </c>
      <c r="W2486" s="5" t="e">
        <f>CONCATENATE(dados[[#This Row],[fator1]],dados[[#This Row],[fator5]],dados[[#This Row],[fator6]])</f>
        <v>#REF!</v>
      </c>
    </row>
    <row r="2487" spans="1:23">
      <c r="A2487" t="s">
        <v>16</v>
      </c>
      <c r="B2487">
        <v>488098</v>
      </c>
      <c r="C2487">
        <v>17</v>
      </c>
      <c r="D2487">
        <v>55</v>
      </c>
      <c r="E2487">
        <v>75</v>
      </c>
      <c r="F2487">
        <v>15</v>
      </c>
      <c r="G2487">
        <v>0</v>
      </c>
      <c r="H2487">
        <v>20</v>
      </c>
      <c r="I2487">
        <v>0</v>
      </c>
      <c r="J2487">
        <v>0</v>
      </c>
      <c r="K2487">
        <v>9.6255000000000006</v>
      </c>
      <c r="L2487">
        <v>15.285500000000001</v>
      </c>
      <c r="M2487">
        <v>67.498500000000007</v>
      </c>
      <c r="N2487">
        <v>16.215</v>
      </c>
      <c r="O2487">
        <v>1660</v>
      </c>
      <c r="P2487">
        <v>358</v>
      </c>
      <c r="Q2487" s="5" t="e">
        <f>IF(AND(#REF!&gt;=table!$C$6,#REF!&lt;= table!$D$6),-1,IF(AND(#REF!&gt;=table!$E$6,#REF!&lt;=table!$F$6),1,0))</f>
        <v>#REF!</v>
      </c>
      <c r="R2487" s="5" t="e">
        <f>IF(AND(#REF!&gt;=table!$C$7,#REF!&lt;= table!$D$7),-1,IF(AND(#REF!&gt;=table!$E$7,#REF!&lt;=table!$F$7),1,0))</f>
        <v>#REF!</v>
      </c>
      <c r="S2487" s="5" t="e">
        <f>IF(AND(#REF!&gt;=table!$C$8,#REF!&lt;= table!$D$8),-1,IF(AND(#REF!&gt;=table!$E$8,#REF!&lt;=table!$F$8),1,0))</f>
        <v>#REF!</v>
      </c>
      <c r="T2487" s="5"/>
      <c r="U2487" s="5" t="e">
        <f>IF(AND(#REF!&gt;=table!$C$10,#REF!&lt;= table!$D$10),-1,IF(AND(#REF!&gt;=table!$E$10,#REF!&lt;=table!$F$10),1,0))</f>
        <v>#REF!</v>
      </c>
      <c r="V2487" s="5" t="e">
        <f>IF(AND(#REF!&gt;=table!$C$11,#REF!&lt;= table!$D$11),-1,IF(AND(#REF!&gt;=table!$E$11,#REF!&lt;=table!$F$11),1,0))</f>
        <v>#REF!</v>
      </c>
      <c r="W2487" s="5" t="e">
        <f>CONCATENATE(dados[[#This Row],[fator1]],dados[[#This Row],[fator5]],dados[[#This Row],[fator6]])</f>
        <v>#REF!</v>
      </c>
    </row>
    <row r="2488" spans="1:23">
      <c r="A2488" t="s">
        <v>16</v>
      </c>
      <c r="B2488">
        <v>488103</v>
      </c>
      <c r="C2488">
        <v>17</v>
      </c>
      <c r="D2488">
        <v>55</v>
      </c>
      <c r="E2488">
        <v>75</v>
      </c>
      <c r="F2488">
        <v>15</v>
      </c>
      <c r="G2488">
        <v>0</v>
      </c>
      <c r="H2488">
        <v>20</v>
      </c>
      <c r="I2488">
        <v>878</v>
      </c>
      <c r="J2488">
        <v>900</v>
      </c>
      <c r="K2488">
        <v>7.4375</v>
      </c>
      <c r="L2488">
        <v>14.0595</v>
      </c>
      <c r="M2488">
        <v>66.452500000000001</v>
      </c>
      <c r="N2488">
        <v>17.055</v>
      </c>
      <c r="O2488">
        <v>1662</v>
      </c>
      <c r="P2488">
        <v>528</v>
      </c>
      <c r="Q2488" s="5" t="e">
        <f>IF(AND(#REF!&gt;=table!$C$6,#REF!&lt;= table!$D$6),-1,IF(AND(#REF!&gt;=table!$E$6,#REF!&lt;=table!$F$6),1,0))</f>
        <v>#REF!</v>
      </c>
      <c r="R2488" s="5" t="e">
        <f>IF(AND(#REF!&gt;=table!$C$7,#REF!&lt;= table!$D$7),-1,IF(AND(#REF!&gt;=table!$E$7,#REF!&lt;=table!$F$7),1,0))</f>
        <v>#REF!</v>
      </c>
      <c r="S2488" s="5" t="e">
        <f>IF(AND(#REF!&gt;=table!$C$8,#REF!&lt;= table!$D$8),-1,IF(AND(#REF!&gt;=table!$E$8,#REF!&lt;=table!$F$8),1,0))</f>
        <v>#REF!</v>
      </c>
      <c r="T2488" s="5"/>
      <c r="U2488" s="5" t="e">
        <f>IF(AND(#REF!&gt;=table!$C$10,#REF!&lt;= table!$D$10),-1,IF(AND(#REF!&gt;=table!$E$10,#REF!&lt;=table!$F$10),1,0))</f>
        <v>#REF!</v>
      </c>
      <c r="V2488" s="5" t="e">
        <f>IF(AND(#REF!&gt;=table!$C$11,#REF!&lt;= table!$D$11),-1,IF(AND(#REF!&gt;=table!$E$11,#REF!&lt;=table!$F$11),1,0))</f>
        <v>#REF!</v>
      </c>
      <c r="W2488" s="5" t="e">
        <f>CONCATENATE(dados[[#This Row],[fator1]],dados[[#This Row],[fator5]],dados[[#This Row],[fator6]])</f>
        <v>#REF!</v>
      </c>
    </row>
    <row r="2489" spans="1:23">
      <c r="A2489" t="s">
        <v>16</v>
      </c>
      <c r="B2489">
        <v>488115</v>
      </c>
      <c r="C2489">
        <v>0.15</v>
      </c>
      <c r="D2489">
        <v>40</v>
      </c>
      <c r="E2489">
        <v>10</v>
      </c>
      <c r="F2489">
        <v>15</v>
      </c>
      <c r="G2489">
        <v>0</v>
      </c>
      <c r="H2489">
        <v>15</v>
      </c>
      <c r="I2489">
        <v>0</v>
      </c>
      <c r="J2489">
        <v>0</v>
      </c>
      <c r="K2489">
        <v>12.2005</v>
      </c>
      <c r="L2489">
        <v>9.7050000000000001</v>
      </c>
      <c r="M2489">
        <v>7.7035</v>
      </c>
      <c r="N2489">
        <v>8.7850000000000001</v>
      </c>
      <c r="O2489">
        <v>1669</v>
      </c>
      <c r="P2489">
        <v>399</v>
      </c>
      <c r="Q2489" s="5" t="e">
        <f>IF(AND(#REF!&gt;=table!$C$6,#REF!&lt;= table!$D$6),-1,IF(AND(#REF!&gt;=table!$E$6,#REF!&lt;=table!$F$6),1,0))</f>
        <v>#REF!</v>
      </c>
      <c r="R2489" s="5" t="e">
        <f>IF(AND(#REF!&gt;=table!$C$7,#REF!&lt;= table!$D$7),-1,IF(AND(#REF!&gt;=table!$E$7,#REF!&lt;=table!$F$7),1,0))</f>
        <v>#REF!</v>
      </c>
      <c r="S2489" s="5" t="e">
        <f>IF(AND(#REF!&gt;=table!$C$8,#REF!&lt;= table!$D$8),-1,IF(AND(#REF!&gt;=table!$E$8,#REF!&lt;=table!$F$8),1,0))</f>
        <v>#REF!</v>
      </c>
      <c r="T2489" s="5"/>
      <c r="U2489" s="5" t="e">
        <f>IF(AND(#REF!&gt;=table!$C$10,#REF!&lt;= table!$D$10),-1,IF(AND(#REF!&gt;=table!$E$10,#REF!&lt;=table!$F$10),1,0))</f>
        <v>#REF!</v>
      </c>
      <c r="V2489" s="5" t="e">
        <f>IF(AND(#REF!&gt;=table!$C$11,#REF!&lt;= table!$D$11),-1,IF(AND(#REF!&gt;=table!$E$11,#REF!&lt;=table!$F$11),1,0))</f>
        <v>#REF!</v>
      </c>
      <c r="W2489" s="5" t="e">
        <f>CONCATENATE(dados[[#This Row],[fator1]],dados[[#This Row],[fator5]],dados[[#This Row],[fator6]])</f>
        <v>#REF!</v>
      </c>
    </row>
    <row r="2490" spans="1:23">
      <c r="A2490" t="s">
        <v>16</v>
      </c>
      <c r="B2490">
        <v>488116</v>
      </c>
      <c r="C2490">
        <v>8</v>
      </c>
      <c r="D2490">
        <v>30</v>
      </c>
      <c r="E2490">
        <v>86</v>
      </c>
      <c r="F2490">
        <v>9</v>
      </c>
      <c r="G2490">
        <v>0</v>
      </c>
      <c r="H2490">
        <v>25</v>
      </c>
      <c r="I2490">
        <v>0</v>
      </c>
      <c r="J2490">
        <v>0</v>
      </c>
      <c r="K2490">
        <v>6.4210000000000003</v>
      </c>
      <c r="L2490">
        <v>9.4139999999999997</v>
      </c>
      <c r="M2490">
        <v>82.554000000000002</v>
      </c>
      <c r="N2490">
        <v>14.8</v>
      </c>
      <c r="O2490">
        <v>1659</v>
      </c>
      <c r="P2490">
        <v>550</v>
      </c>
      <c r="Q2490" s="5" t="e">
        <f>IF(AND(#REF!&gt;=table!$C$6,#REF!&lt;= table!$D$6),-1,IF(AND(#REF!&gt;=table!$E$6,#REF!&lt;=table!$F$6),1,0))</f>
        <v>#REF!</v>
      </c>
      <c r="R2490" s="5" t="e">
        <f>IF(AND(#REF!&gt;=table!$C$7,#REF!&lt;= table!$D$7),-1,IF(AND(#REF!&gt;=table!$E$7,#REF!&lt;=table!$F$7),1,0))</f>
        <v>#REF!</v>
      </c>
      <c r="S2490" s="5" t="e">
        <f>IF(AND(#REF!&gt;=table!$C$8,#REF!&lt;= table!$D$8),-1,IF(AND(#REF!&gt;=table!$E$8,#REF!&lt;=table!$F$8),1,0))</f>
        <v>#REF!</v>
      </c>
      <c r="T2490" s="5"/>
      <c r="U2490" s="5" t="e">
        <f>IF(AND(#REF!&gt;=table!$C$10,#REF!&lt;= table!$D$10),-1,IF(AND(#REF!&gt;=table!$E$10,#REF!&lt;=table!$F$10),1,0))</f>
        <v>#REF!</v>
      </c>
      <c r="V2490" s="5" t="e">
        <f>IF(AND(#REF!&gt;=table!$C$11,#REF!&lt;= table!$D$11),-1,IF(AND(#REF!&gt;=table!$E$11,#REF!&lt;=table!$F$11),1,0))</f>
        <v>#REF!</v>
      </c>
      <c r="W2490" s="5" t="e">
        <f>CONCATENATE(dados[[#This Row],[fator1]],dados[[#This Row],[fator5]],dados[[#This Row],[fator6]])</f>
        <v>#REF!</v>
      </c>
    </row>
    <row r="2491" spans="1:23">
      <c r="A2491" t="s">
        <v>16</v>
      </c>
      <c r="B2491">
        <v>488117</v>
      </c>
      <c r="C2491">
        <v>8</v>
      </c>
      <c r="D2491">
        <v>40</v>
      </c>
      <c r="E2491">
        <v>86</v>
      </c>
      <c r="F2491">
        <v>8</v>
      </c>
      <c r="G2491">
        <v>0</v>
      </c>
      <c r="H2491">
        <v>25</v>
      </c>
      <c r="I2491">
        <v>0</v>
      </c>
      <c r="J2491">
        <v>0</v>
      </c>
      <c r="K2491">
        <v>4.3825000000000003</v>
      </c>
      <c r="L2491">
        <v>9.9050000000000011</v>
      </c>
      <c r="M2491">
        <v>61.706500000000005</v>
      </c>
      <c r="N2491">
        <v>12.26</v>
      </c>
      <c r="O2491">
        <v>1685</v>
      </c>
      <c r="P2491">
        <v>0</v>
      </c>
      <c r="Q2491" s="5" t="e">
        <f>IF(AND(#REF!&gt;=table!$C$6,#REF!&lt;= table!$D$6),-1,IF(AND(#REF!&gt;=table!$E$6,#REF!&lt;=table!$F$6),1,0))</f>
        <v>#REF!</v>
      </c>
      <c r="R2491" s="5" t="e">
        <f>IF(AND(#REF!&gt;=table!$C$7,#REF!&lt;= table!$D$7),-1,IF(AND(#REF!&gt;=table!$E$7,#REF!&lt;=table!$F$7),1,0))</f>
        <v>#REF!</v>
      </c>
      <c r="S2491" s="5" t="e">
        <f>IF(AND(#REF!&gt;=table!$C$8,#REF!&lt;= table!$D$8),-1,IF(AND(#REF!&gt;=table!$E$8,#REF!&lt;=table!$F$8),1,0))</f>
        <v>#REF!</v>
      </c>
      <c r="T2491" s="5"/>
      <c r="U2491" s="5" t="e">
        <f>IF(AND(#REF!&gt;=table!$C$10,#REF!&lt;= table!$D$10),-1,IF(AND(#REF!&gt;=table!$E$10,#REF!&lt;=table!$F$10),1,0))</f>
        <v>#REF!</v>
      </c>
      <c r="V2491" s="5" t="e">
        <f>IF(AND(#REF!&gt;=table!$C$11,#REF!&lt;= table!$D$11),-1,IF(AND(#REF!&gt;=table!$E$11,#REF!&lt;=table!$F$11),1,0))</f>
        <v>#REF!</v>
      </c>
      <c r="W2491" s="5" t="e">
        <f>CONCATENATE(dados[[#This Row],[fator1]],dados[[#This Row],[fator5]],dados[[#This Row],[fator6]])</f>
        <v>#REF!</v>
      </c>
    </row>
    <row r="2492" spans="1:23">
      <c r="A2492" t="s">
        <v>16</v>
      </c>
      <c r="B2492">
        <v>488118</v>
      </c>
      <c r="C2492">
        <v>8</v>
      </c>
      <c r="D2492">
        <v>30</v>
      </c>
      <c r="E2492">
        <v>86</v>
      </c>
      <c r="F2492">
        <v>8</v>
      </c>
      <c r="G2492">
        <v>0</v>
      </c>
      <c r="H2492">
        <v>25</v>
      </c>
      <c r="I2492">
        <v>907</v>
      </c>
      <c r="J2492">
        <v>0</v>
      </c>
      <c r="K2492">
        <v>5.4690000000000003</v>
      </c>
      <c r="L2492">
        <v>12.262</v>
      </c>
      <c r="M2492">
        <v>80.851500000000001</v>
      </c>
      <c r="N2492">
        <v>15.175000000000001</v>
      </c>
      <c r="O2492">
        <v>1668</v>
      </c>
      <c r="P2492">
        <v>622</v>
      </c>
      <c r="Q2492" s="5" t="e">
        <f>IF(AND(#REF!&gt;=table!$C$6,#REF!&lt;= table!$D$6),-1,IF(AND(#REF!&gt;=table!$E$6,#REF!&lt;=table!$F$6),1,0))</f>
        <v>#REF!</v>
      </c>
      <c r="R2492" s="5" t="e">
        <f>IF(AND(#REF!&gt;=table!$C$7,#REF!&lt;= table!$D$7),-1,IF(AND(#REF!&gt;=table!$E$7,#REF!&lt;=table!$F$7),1,0))</f>
        <v>#REF!</v>
      </c>
      <c r="S2492" s="5" t="e">
        <f>IF(AND(#REF!&gt;=table!$C$8,#REF!&lt;= table!$D$8),-1,IF(AND(#REF!&gt;=table!$E$8,#REF!&lt;=table!$F$8),1,0))</f>
        <v>#REF!</v>
      </c>
      <c r="T2492" s="5"/>
      <c r="U2492" s="5" t="e">
        <f>IF(AND(#REF!&gt;=table!$C$10,#REF!&lt;= table!$D$10),-1,IF(AND(#REF!&gt;=table!$E$10,#REF!&lt;=table!$F$10),1,0))</f>
        <v>#REF!</v>
      </c>
      <c r="V2492" s="5" t="e">
        <f>IF(AND(#REF!&gt;=table!$C$11,#REF!&lt;= table!$D$11),-1,IF(AND(#REF!&gt;=table!$E$11,#REF!&lt;=table!$F$11),1,0))</f>
        <v>#REF!</v>
      </c>
      <c r="W2492" s="5" t="e">
        <f>CONCATENATE(dados[[#This Row],[fator1]],dados[[#This Row],[fator5]],dados[[#This Row],[fator6]])</f>
        <v>#REF!</v>
      </c>
    </row>
    <row r="2493" spans="1:23">
      <c r="A2493" t="s">
        <v>16</v>
      </c>
      <c r="B2493">
        <v>488124</v>
      </c>
      <c r="C2493">
        <v>0.15</v>
      </c>
      <c r="D2493">
        <v>35</v>
      </c>
      <c r="E2493">
        <v>15</v>
      </c>
      <c r="F2493">
        <v>10</v>
      </c>
      <c r="G2493">
        <v>0</v>
      </c>
      <c r="H2493">
        <v>12</v>
      </c>
      <c r="I2493">
        <v>0</v>
      </c>
      <c r="J2493">
        <v>0</v>
      </c>
      <c r="K2493">
        <v>5.0880000000000001</v>
      </c>
      <c r="L2493">
        <v>7.7925000000000004</v>
      </c>
      <c r="M2493">
        <v>6.86</v>
      </c>
      <c r="N2493">
        <v>12.925000000000001</v>
      </c>
      <c r="O2493">
        <v>1664</v>
      </c>
      <c r="P2493">
        <v>791</v>
      </c>
      <c r="Q2493" s="5" t="e">
        <f>IF(AND(#REF!&gt;=table!$C$6,#REF!&lt;= table!$D$6),-1,IF(AND(#REF!&gt;=table!$E$6,#REF!&lt;=table!$F$6),1,0))</f>
        <v>#REF!</v>
      </c>
      <c r="R2493" s="5" t="e">
        <f>IF(AND(#REF!&gt;=table!$C$7,#REF!&lt;= table!$D$7),-1,IF(AND(#REF!&gt;=table!$E$7,#REF!&lt;=table!$F$7),1,0))</f>
        <v>#REF!</v>
      </c>
      <c r="S2493" s="5" t="e">
        <f>IF(AND(#REF!&gt;=table!$C$8,#REF!&lt;= table!$D$8),-1,IF(AND(#REF!&gt;=table!$E$8,#REF!&lt;=table!$F$8),1,0))</f>
        <v>#REF!</v>
      </c>
      <c r="T2493" s="5"/>
      <c r="U2493" s="5" t="e">
        <f>IF(AND(#REF!&gt;=table!$C$10,#REF!&lt;= table!$D$10),-1,IF(AND(#REF!&gt;=table!$E$10,#REF!&lt;=table!$F$10),1,0))</f>
        <v>#REF!</v>
      </c>
      <c r="V2493" s="5" t="e">
        <f>IF(AND(#REF!&gt;=table!$C$11,#REF!&lt;= table!$D$11),-1,IF(AND(#REF!&gt;=table!$E$11,#REF!&lt;=table!$F$11),1,0))</f>
        <v>#REF!</v>
      </c>
      <c r="W2493" s="5" t="e">
        <f>CONCATENATE(dados[[#This Row],[fator1]],dados[[#This Row],[fator5]],dados[[#This Row],[fator6]])</f>
        <v>#REF!</v>
      </c>
    </row>
    <row r="2494" spans="1:23">
      <c r="A2494" t="s">
        <v>16</v>
      </c>
      <c r="B2494">
        <v>488135</v>
      </c>
      <c r="C2494">
        <v>0.1</v>
      </c>
      <c r="D2494">
        <v>40</v>
      </c>
      <c r="E2494">
        <v>10</v>
      </c>
      <c r="F2494">
        <v>8</v>
      </c>
      <c r="G2494">
        <v>0</v>
      </c>
      <c r="H2494">
        <v>10</v>
      </c>
      <c r="I2494">
        <v>910</v>
      </c>
      <c r="J2494">
        <v>0</v>
      </c>
      <c r="K2494">
        <v>2.68</v>
      </c>
      <c r="L2494">
        <v>11.0875</v>
      </c>
      <c r="M2494">
        <v>8.9455000000000009</v>
      </c>
      <c r="N2494">
        <v>13.335000000000001</v>
      </c>
      <c r="O2494">
        <v>1690</v>
      </c>
      <c r="P2494">
        <v>1028</v>
      </c>
      <c r="Q2494" s="5" t="e">
        <f>IF(AND(#REF!&gt;=table!$C$6,#REF!&lt;= table!$D$6),-1,IF(AND(#REF!&gt;=table!$E$6,#REF!&lt;=table!$F$6),1,0))</f>
        <v>#REF!</v>
      </c>
      <c r="R2494" s="5" t="e">
        <f>IF(AND(#REF!&gt;=table!$C$7,#REF!&lt;= table!$D$7),-1,IF(AND(#REF!&gt;=table!$E$7,#REF!&lt;=table!$F$7),1,0))</f>
        <v>#REF!</v>
      </c>
      <c r="S2494" s="5" t="e">
        <f>IF(AND(#REF!&gt;=table!$C$8,#REF!&lt;= table!$D$8),-1,IF(AND(#REF!&gt;=table!$E$8,#REF!&lt;=table!$F$8),1,0))</f>
        <v>#REF!</v>
      </c>
      <c r="T2494" s="5"/>
      <c r="U2494" s="5" t="e">
        <f>IF(AND(#REF!&gt;=table!$C$10,#REF!&lt;= table!$D$10),-1,IF(AND(#REF!&gt;=table!$E$10,#REF!&lt;=table!$F$10),1,0))</f>
        <v>#REF!</v>
      </c>
      <c r="V2494" s="5" t="e">
        <f>IF(AND(#REF!&gt;=table!$C$11,#REF!&lt;= table!$D$11),-1,IF(AND(#REF!&gt;=table!$E$11,#REF!&lt;=table!$F$11),1,0))</f>
        <v>#REF!</v>
      </c>
      <c r="W2494" s="5" t="e">
        <f>CONCATENATE(dados[[#This Row],[fator1]],dados[[#This Row],[fator5]],dados[[#This Row],[fator6]])</f>
        <v>#REF!</v>
      </c>
    </row>
    <row r="2495" spans="1:23">
      <c r="A2495" t="s">
        <v>16</v>
      </c>
      <c r="B2495">
        <v>488145</v>
      </c>
      <c r="C2495">
        <v>0.15</v>
      </c>
      <c r="D2495">
        <v>40</v>
      </c>
      <c r="E2495">
        <v>10</v>
      </c>
      <c r="F2495">
        <v>15</v>
      </c>
      <c r="G2495">
        <v>0</v>
      </c>
      <c r="H2495">
        <v>15</v>
      </c>
      <c r="I2495">
        <v>1135</v>
      </c>
      <c r="J2495">
        <v>0</v>
      </c>
      <c r="K2495">
        <v>3.9365000000000001</v>
      </c>
      <c r="L2495">
        <v>8.7309999999999999</v>
      </c>
      <c r="M2495">
        <v>7.1830000000000007</v>
      </c>
      <c r="N2495">
        <v>11.195</v>
      </c>
      <c r="O2495">
        <v>1671</v>
      </c>
      <c r="P2495">
        <v>907</v>
      </c>
      <c r="Q2495" s="5" t="e">
        <f>IF(AND(#REF!&gt;=table!$C$6,#REF!&lt;= table!$D$6),-1,IF(AND(#REF!&gt;=table!$E$6,#REF!&lt;=table!$F$6),1,0))</f>
        <v>#REF!</v>
      </c>
      <c r="R2495" s="5" t="e">
        <f>IF(AND(#REF!&gt;=table!$C$7,#REF!&lt;= table!$D$7),-1,IF(AND(#REF!&gt;=table!$E$7,#REF!&lt;=table!$F$7),1,0))</f>
        <v>#REF!</v>
      </c>
      <c r="S2495" s="5" t="e">
        <f>IF(AND(#REF!&gt;=table!$C$8,#REF!&lt;= table!$D$8),-1,IF(AND(#REF!&gt;=table!$E$8,#REF!&lt;=table!$F$8),1,0))</f>
        <v>#REF!</v>
      </c>
      <c r="T2495" s="5"/>
      <c r="U2495" s="5" t="e">
        <f>IF(AND(#REF!&gt;=table!$C$10,#REF!&lt;= table!$D$10),-1,IF(AND(#REF!&gt;=table!$E$10,#REF!&lt;=table!$F$10),1,0))</f>
        <v>#REF!</v>
      </c>
      <c r="V2495" s="5" t="e">
        <f>IF(AND(#REF!&gt;=table!$C$11,#REF!&lt;= table!$D$11),-1,IF(AND(#REF!&gt;=table!$E$11,#REF!&lt;=table!$F$11),1,0))</f>
        <v>#REF!</v>
      </c>
      <c r="W2495" s="5" t="e">
        <f>CONCATENATE(dados[[#This Row],[fator1]],dados[[#This Row],[fator5]],dados[[#This Row],[fator6]])</f>
        <v>#REF!</v>
      </c>
    </row>
    <row r="2496" spans="1:23">
      <c r="A2496" t="s">
        <v>16</v>
      </c>
      <c r="B2496">
        <v>488146</v>
      </c>
      <c r="C2496">
        <v>0.15</v>
      </c>
      <c r="D2496">
        <v>40</v>
      </c>
      <c r="E2496">
        <v>10</v>
      </c>
      <c r="F2496">
        <v>15</v>
      </c>
      <c r="G2496">
        <v>0</v>
      </c>
      <c r="H2496">
        <v>15</v>
      </c>
      <c r="I2496">
        <v>701</v>
      </c>
      <c r="J2496">
        <v>0</v>
      </c>
      <c r="K2496">
        <v>2.5145</v>
      </c>
      <c r="L2496">
        <v>8.6180000000000003</v>
      </c>
      <c r="M2496">
        <v>6.4650000000000007</v>
      </c>
      <c r="N2496">
        <v>14.780000000000001</v>
      </c>
      <c r="O2496">
        <v>1692</v>
      </c>
      <c r="P2496">
        <v>1311</v>
      </c>
      <c r="Q2496" s="5" t="e">
        <f>IF(AND(#REF!&gt;=table!$C$6,#REF!&lt;= table!$D$6),-1,IF(AND(#REF!&gt;=table!$E$6,#REF!&lt;=table!$F$6),1,0))</f>
        <v>#REF!</v>
      </c>
      <c r="R2496" s="5" t="e">
        <f>IF(AND(#REF!&gt;=table!$C$7,#REF!&lt;= table!$D$7),-1,IF(AND(#REF!&gt;=table!$E$7,#REF!&lt;=table!$F$7),1,0))</f>
        <v>#REF!</v>
      </c>
      <c r="S2496" s="5" t="e">
        <f>IF(AND(#REF!&gt;=table!$C$8,#REF!&lt;= table!$D$8),-1,IF(AND(#REF!&gt;=table!$E$8,#REF!&lt;=table!$F$8),1,0))</f>
        <v>#REF!</v>
      </c>
      <c r="T2496" s="5"/>
      <c r="U2496" s="5" t="e">
        <f>IF(AND(#REF!&gt;=table!$C$10,#REF!&lt;= table!$D$10),-1,IF(AND(#REF!&gt;=table!$E$10,#REF!&lt;=table!$F$10),1,0))</f>
        <v>#REF!</v>
      </c>
      <c r="V2496" s="5" t="e">
        <f>IF(AND(#REF!&gt;=table!$C$11,#REF!&lt;= table!$D$11),-1,IF(AND(#REF!&gt;=table!$E$11,#REF!&lt;=table!$F$11),1,0))</f>
        <v>#REF!</v>
      </c>
      <c r="W2496" s="5" t="e">
        <f>CONCATENATE(dados[[#This Row],[fator1]],dados[[#This Row],[fator5]],dados[[#This Row],[fator6]])</f>
        <v>#REF!</v>
      </c>
    </row>
    <row r="2497" spans="1:23">
      <c r="A2497" t="s">
        <v>16</v>
      </c>
      <c r="B2497">
        <v>488148</v>
      </c>
      <c r="C2497">
        <v>0.15</v>
      </c>
      <c r="D2497">
        <v>40</v>
      </c>
      <c r="E2497">
        <v>10</v>
      </c>
      <c r="F2497">
        <v>15</v>
      </c>
      <c r="G2497">
        <v>0</v>
      </c>
      <c r="H2497">
        <v>15</v>
      </c>
      <c r="I2497">
        <v>1296</v>
      </c>
      <c r="J2497">
        <v>0</v>
      </c>
      <c r="K2497">
        <v>2.9525000000000001</v>
      </c>
      <c r="L2497">
        <v>8.9745000000000008</v>
      </c>
      <c r="M2497">
        <v>7.4235000000000007</v>
      </c>
      <c r="N2497">
        <v>14.025</v>
      </c>
      <c r="O2497">
        <v>1681</v>
      </c>
      <c r="P2497">
        <v>1103</v>
      </c>
      <c r="Q2497" s="5" t="e">
        <f>IF(AND(#REF!&gt;=table!$C$6,#REF!&lt;= table!$D$6),-1,IF(AND(#REF!&gt;=table!$E$6,#REF!&lt;=table!$F$6),1,0))</f>
        <v>#REF!</v>
      </c>
      <c r="R2497" s="5" t="e">
        <f>IF(AND(#REF!&gt;=table!$C$7,#REF!&lt;= table!$D$7),-1,IF(AND(#REF!&gt;=table!$E$7,#REF!&lt;=table!$F$7),1,0))</f>
        <v>#REF!</v>
      </c>
      <c r="S2497" s="5" t="e">
        <f>IF(AND(#REF!&gt;=table!$C$8,#REF!&lt;= table!$D$8),-1,IF(AND(#REF!&gt;=table!$E$8,#REF!&lt;=table!$F$8),1,0))</f>
        <v>#REF!</v>
      </c>
      <c r="T2497" s="5"/>
      <c r="U2497" s="5" t="e">
        <f>IF(AND(#REF!&gt;=table!$C$10,#REF!&lt;= table!$D$10),-1,IF(AND(#REF!&gt;=table!$E$10,#REF!&lt;=table!$F$10),1,0))</f>
        <v>#REF!</v>
      </c>
      <c r="V2497" s="5" t="e">
        <f>IF(AND(#REF!&gt;=table!$C$11,#REF!&lt;= table!$D$11),-1,IF(AND(#REF!&gt;=table!$E$11,#REF!&lt;=table!$F$11),1,0))</f>
        <v>#REF!</v>
      </c>
      <c r="W2497" s="5" t="e">
        <f>CONCATENATE(dados[[#This Row],[fator1]],dados[[#This Row],[fator5]],dados[[#This Row],[fator6]])</f>
        <v>#REF!</v>
      </c>
    </row>
    <row r="2498" spans="1:23">
      <c r="A2498" t="s">
        <v>16</v>
      </c>
      <c r="B2498">
        <v>488149</v>
      </c>
      <c r="C2498">
        <v>0.15</v>
      </c>
      <c r="D2498">
        <v>40</v>
      </c>
      <c r="E2498">
        <v>10</v>
      </c>
      <c r="F2498">
        <v>15</v>
      </c>
      <c r="G2498">
        <v>0</v>
      </c>
      <c r="H2498">
        <v>15</v>
      </c>
      <c r="I2498">
        <v>387</v>
      </c>
      <c r="J2498">
        <v>0</v>
      </c>
      <c r="K2498">
        <v>5.0354999999999999</v>
      </c>
      <c r="L2498">
        <v>12.637</v>
      </c>
      <c r="M2498">
        <v>8.9939999999999998</v>
      </c>
      <c r="N2498">
        <v>12.17</v>
      </c>
      <c r="O2498">
        <v>1668</v>
      </c>
      <c r="P2498">
        <v>0</v>
      </c>
      <c r="Q2498" s="5" t="e">
        <f>IF(AND(#REF!&gt;=table!$C$6,#REF!&lt;= table!$D$6),-1,IF(AND(#REF!&gt;=table!$E$6,#REF!&lt;=table!$F$6),1,0))</f>
        <v>#REF!</v>
      </c>
      <c r="R2498" s="5" t="e">
        <f>IF(AND(#REF!&gt;=table!$C$7,#REF!&lt;= table!$D$7),-1,IF(AND(#REF!&gt;=table!$E$7,#REF!&lt;=table!$F$7),1,0))</f>
        <v>#REF!</v>
      </c>
      <c r="S2498" s="5" t="e">
        <f>IF(AND(#REF!&gt;=table!$C$8,#REF!&lt;= table!$D$8),-1,IF(AND(#REF!&gt;=table!$E$8,#REF!&lt;=table!$F$8),1,0))</f>
        <v>#REF!</v>
      </c>
      <c r="T2498" s="5"/>
      <c r="U2498" s="5" t="e">
        <f>IF(AND(#REF!&gt;=table!$C$10,#REF!&lt;= table!$D$10),-1,IF(AND(#REF!&gt;=table!$E$10,#REF!&lt;=table!$F$10),1,0))</f>
        <v>#REF!</v>
      </c>
      <c r="V2498" s="5" t="e">
        <f>IF(AND(#REF!&gt;=table!$C$11,#REF!&lt;= table!$D$11),-1,IF(AND(#REF!&gt;=table!$E$11,#REF!&lt;=table!$F$11),1,0))</f>
        <v>#REF!</v>
      </c>
      <c r="W2498" s="5" t="e">
        <f>CONCATENATE(dados[[#This Row],[fator1]],dados[[#This Row],[fator5]],dados[[#This Row],[fator6]])</f>
        <v>#REF!</v>
      </c>
    </row>
    <row r="2499" spans="1:23">
      <c r="A2499" t="s">
        <v>16</v>
      </c>
      <c r="B2499">
        <v>488153</v>
      </c>
      <c r="C2499">
        <v>0.15</v>
      </c>
      <c r="D2499">
        <v>40</v>
      </c>
      <c r="E2499">
        <v>10</v>
      </c>
      <c r="F2499">
        <v>15</v>
      </c>
      <c r="G2499">
        <v>0</v>
      </c>
      <c r="H2499">
        <v>15</v>
      </c>
      <c r="I2499">
        <v>620</v>
      </c>
      <c r="J2499">
        <v>0</v>
      </c>
      <c r="K2499">
        <v>4.3285</v>
      </c>
      <c r="L2499">
        <v>9.609</v>
      </c>
      <c r="M2499">
        <v>7.5060000000000002</v>
      </c>
      <c r="N2499">
        <v>11.085000000000001</v>
      </c>
      <c r="O2499">
        <v>1668</v>
      </c>
      <c r="P2499">
        <v>0</v>
      </c>
      <c r="Q2499" s="5" t="e">
        <f>IF(AND(#REF!&gt;=table!$C$6,#REF!&lt;= table!$D$6),-1,IF(AND(#REF!&gt;=table!$E$6,#REF!&lt;=table!$F$6),1,0))</f>
        <v>#REF!</v>
      </c>
      <c r="R2499" s="5" t="e">
        <f>IF(AND(#REF!&gt;=table!$C$7,#REF!&lt;= table!$D$7),-1,IF(AND(#REF!&gt;=table!$E$7,#REF!&lt;=table!$F$7),1,0))</f>
        <v>#REF!</v>
      </c>
      <c r="S2499" s="5" t="e">
        <f>IF(AND(#REF!&gt;=table!$C$8,#REF!&lt;= table!$D$8),-1,IF(AND(#REF!&gt;=table!$E$8,#REF!&lt;=table!$F$8),1,0))</f>
        <v>#REF!</v>
      </c>
      <c r="T2499" s="5"/>
      <c r="U2499" s="5" t="e">
        <f>IF(AND(#REF!&gt;=table!$C$10,#REF!&lt;= table!$D$10),-1,IF(AND(#REF!&gt;=table!$E$10,#REF!&lt;=table!$F$10),1,0))</f>
        <v>#REF!</v>
      </c>
      <c r="V2499" s="5" t="e">
        <f>IF(AND(#REF!&gt;=table!$C$11,#REF!&lt;= table!$D$11),-1,IF(AND(#REF!&gt;=table!$E$11,#REF!&lt;=table!$F$11),1,0))</f>
        <v>#REF!</v>
      </c>
      <c r="W2499" s="5" t="e">
        <f>CONCATENATE(dados[[#This Row],[fator1]],dados[[#This Row],[fator5]],dados[[#This Row],[fator6]])</f>
        <v>#REF!</v>
      </c>
    </row>
    <row r="2500" spans="1:23">
      <c r="A2500" t="s">
        <v>16</v>
      </c>
      <c r="B2500">
        <v>488155</v>
      </c>
      <c r="C2500">
        <v>6</v>
      </c>
      <c r="D2500">
        <v>40</v>
      </c>
      <c r="E2500">
        <v>66</v>
      </c>
      <c r="F2500">
        <v>10</v>
      </c>
      <c r="G2500">
        <v>0</v>
      </c>
      <c r="H2500">
        <v>25</v>
      </c>
      <c r="I2500">
        <v>805</v>
      </c>
      <c r="J2500">
        <v>0</v>
      </c>
      <c r="K2500">
        <v>4.6325000000000003</v>
      </c>
      <c r="L2500">
        <v>10.543000000000001</v>
      </c>
      <c r="M2500">
        <v>55.497</v>
      </c>
      <c r="N2500">
        <v>15.030000000000001</v>
      </c>
      <c r="O2500">
        <v>1670</v>
      </c>
      <c r="P2500">
        <v>987</v>
      </c>
      <c r="Q2500" s="5" t="e">
        <f>IF(AND(#REF!&gt;=table!$C$6,#REF!&lt;= table!$D$6),-1,IF(AND(#REF!&gt;=table!$E$6,#REF!&lt;=table!$F$6),1,0))</f>
        <v>#REF!</v>
      </c>
      <c r="R2500" s="5" t="e">
        <f>IF(AND(#REF!&gt;=table!$C$7,#REF!&lt;= table!$D$7),-1,IF(AND(#REF!&gt;=table!$E$7,#REF!&lt;=table!$F$7),1,0))</f>
        <v>#REF!</v>
      </c>
      <c r="S2500" s="5" t="e">
        <f>IF(AND(#REF!&gt;=table!$C$8,#REF!&lt;= table!$D$8),-1,IF(AND(#REF!&gt;=table!$E$8,#REF!&lt;=table!$F$8),1,0))</f>
        <v>#REF!</v>
      </c>
      <c r="T2500" s="5"/>
      <c r="U2500" s="5" t="e">
        <f>IF(AND(#REF!&gt;=table!$C$10,#REF!&lt;= table!$D$10),-1,IF(AND(#REF!&gt;=table!$E$10,#REF!&lt;=table!$F$10),1,0))</f>
        <v>#REF!</v>
      </c>
      <c r="V2500" s="5" t="e">
        <f>IF(AND(#REF!&gt;=table!$C$11,#REF!&lt;= table!$D$11),-1,IF(AND(#REF!&gt;=table!$E$11,#REF!&lt;=table!$F$11),1,0))</f>
        <v>#REF!</v>
      </c>
      <c r="W2500" s="5" t="e">
        <f>CONCATENATE(dados[[#This Row],[fator1]],dados[[#This Row],[fator5]],dados[[#This Row],[fator6]])</f>
        <v>#REF!</v>
      </c>
    </row>
    <row r="2501" spans="1:23">
      <c r="A2501" t="s">
        <v>16</v>
      </c>
      <c r="B2501">
        <v>488157</v>
      </c>
      <c r="C2501">
        <v>8</v>
      </c>
      <c r="D2501">
        <v>30</v>
      </c>
      <c r="E2501">
        <v>61</v>
      </c>
      <c r="F2501">
        <v>8</v>
      </c>
      <c r="G2501">
        <v>0</v>
      </c>
      <c r="H2501">
        <v>25</v>
      </c>
      <c r="I2501">
        <v>689</v>
      </c>
      <c r="J2501">
        <v>0</v>
      </c>
      <c r="K2501">
        <v>6.2605000000000004</v>
      </c>
      <c r="L2501">
        <v>13.236000000000001</v>
      </c>
      <c r="M2501">
        <v>49.320500000000003</v>
      </c>
      <c r="N2501">
        <v>13.13</v>
      </c>
      <c r="O2501">
        <v>1675</v>
      </c>
      <c r="P2501">
        <v>526</v>
      </c>
      <c r="Q2501" s="5" t="e">
        <f>IF(AND(#REF!&gt;=table!$C$6,#REF!&lt;= table!$D$6),-1,IF(AND(#REF!&gt;=table!$E$6,#REF!&lt;=table!$F$6),1,0))</f>
        <v>#REF!</v>
      </c>
      <c r="R2501" s="5" t="e">
        <f>IF(AND(#REF!&gt;=table!$C$7,#REF!&lt;= table!$D$7),-1,IF(AND(#REF!&gt;=table!$E$7,#REF!&lt;=table!$F$7),1,0))</f>
        <v>#REF!</v>
      </c>
      <c r="S2501" s="5" t="e">
        <f>IF(AND(#REF!&gt;=table!$C$8,#REF!&lt;= table!$D$8),-1,IF(AND(#REF!&gt;=table!$E$8,#REF!&lt;=table!$F$8),1,0))</f>
        <v>#REF!</v>
      </c>
      <c r="T2501" s="5"/>
      <c r="U2501" s="5" t="e">
        <f>IF(AND(#REF!&gt;=table!$C$10,#REF!&lt;= table!$D$10),-1,IF(AND(#REF!&gt;=table!$E$10,#REF!&lt;=table!$F$10),1,0))</f>
        <v>#REF!</v>
      </c>
      <c r="V2501" s="5" t="e">
        <f>IF(AND(#REF!&gt;=table!$C$11,#REF!&lt;= table!$D$11),-1,IF(AND(#REF!&gt;=table!$E$11,#REF!&lt;=table!$F$11),1,0))</f>
        <v>#REF!</v>
      </c>
      <c r="W2501" s="5" t="e">
        <f>CONCATENATE(dados[[#This Row],[fator1]],dados[[#This Row],[fator5]],dados[[#This Row],[fator6]])</f>
        <v>#REF!</v>
      </c>
    </row>
    <row r="2502" spans="1:23">
      <c r="A2502" t="s">
        <v>16</v>
      </c>
      <c r="B2502">
        <v>488159</v>
      </c>
      <c r="C2502">
        <v>6</v>
      </c>
      <c r="D2502">
        <v>40</v>
      </c>
      <c r="E2502">
        <v>66</v>
      </c>
      <c r="F2502">
        <v>10</v>
      </c>
      <c r="G2502">
        <v>0</v>
      </c>
      <c r="H2502">
        <v>25</v>
      </c>
      <c r="I2502">
        <v>1171</v>
      </c>
      <c r="J2502">
        <v>0</v>
      </c>
      <c r="K2502">
        <v>4.6204999999999998</v>
      </c>
      <c r="L2502">
        <v>11.652000000000001</v>
      </c>
      <c r="M2502">
        <v>55.853500000000004</v>
      </c>
      <c r="N2502">
        <v>17.815000000000001</v>
      </c>
      <c r="O2502">
        <v>1674</v>
      </c>
      <c r="P2502">
        <v>882</v>
      </c>
      <c r="Q2502" s="5" t="e">
        <f>IF(AND(#REF!&gt;=table!$C$6,#REF!&lt;= table!$D$6),-1,IF(AND(#REF!&gt;=table!$E$6,#REF!&lt;=table!$F$6),1,0))</f>
        <v>#REF!</v>
      </c>
      <c r="R2502" s="5" t="e">
        <f>IF(AND(#REF!&gt;=table!$C$7,#REF!&lt;= table!$D$7),-1,IF(AND(#REF!&gt;=table!$E$7,#REF!&lt;=table!$F$7),1,0))</f>
        <v>#REF!</v>
      </c>
      <c r="S2502" s="5" t="e">
        <f>IF(AND(#REF!&gt;=table!$C$8,#REF!&lt;= table!$D$8),-1,IF(AND(#REF!&gt;=table!$E$8,#REF!&lt;=table!$F$8),1,0))</f>
        <v>#REF!</v>
      </c>
      <c r="T2502" s="5"/>
      <c r="U2502" s="5" t="e">
        <f>IF(AND(#REF!&gt;=table!$C$10,#REF!&lt;= table!$D$10),-1,IF(AND(#REF!&gt;=table!$E$10,#REF!&lt;=table!$F$10),1,0))</f>
        <v>#REF!</v>
      </c>
      <c r="V2502" s="5" t="e">
        <f>IF(AND(#REF!&gt;=table!$C$11,#REF!&lt;= table!$D$11),-1,IF(AND(#REF!&gt;=table!$E$11,#REF!&lt;=table!$F$11),1,0))</f>
        <v>#REF!</v>
      </c>
      <c r="W2502" s="5" t="e">
        <f>CONCATENATE(dados[[#This Row],[fator1]],dados[[#This Row],[fator5]],dados[[#This Row],[fator6]])</f>
        <v>#REF!</v>
      </c>
    </row>
    <row r="2503" spans="1:23">
      <c r="A2503" t="s">
        <v>16</v>
      </c>
      <c r="B2503">
        <v>488160</v>
      </c>
      <c r="C2503">
        <v>6</v>
      </c>
      <c r="D2503">
        <v>40</v>
      </c>
      <c r="E2503">
        <v>66</v>
      </c>
      <c r="F2503">
        <v>10</v>
      </c>
      <c r="G2503">
        <v>0</v>
      </c>
      <c r="H2503">
        <v>25</v>
      </c>
      <c r="I2503">
        <v>902</v>
      </c>
      <c r="J2503">
        <v>0</v>
      </c>
      <c r="K2503">
        <v>6.8135000000000003</v>
      </c>
      <c r="L2503">
        <v>16.223500000000001</v>
      </c>
      <c r="M2503">
        <v>60.048999999999999</v>
      </c>
      <c r="N2503">
        <v>18.815000000000001</v>
      </c>
      <c r="O2503">
        <v>1670</v>
      </c>
      <c r="P2503">
        <v>494</v>
      </c>
      <c r="Q2503" s="5" t="e">
        <f>IF(AND(#REF!&gt;=table!$C$6,#REF!&lt;= table!$D$6),-1,IF(AND(#REF!&gt;=table!$E$6,#REF!&lt;=table!$F$6),1,0))</f>
        <v>#REF!</v>
      </c>
      <c r="R2503" s="5" t="e">
        <f>IF(AND(#REF!&gt;=table!$C$7,#REF!&lt;= table!$D$7),-1,IF(AND(#REF!&gt;=table!$E$7,#REF!&lt;=table!$F$7),1,0))</f>
        <v>#REF!</v>
      </c>
      <c r="S2503" s="5" t="e">
        <f>IF(AND(#REF!&gt;=table!$C$8,#REF!&lt;= table!$D$8),-1,IF(AND(#REF!&gt;=table!$E$8,#REF!&lt;=table!$F$8),1,0))</f>
        <v>#REF!</v>
      </c>
      <c r="T2503" s="5"/>
      <c r="U2503" s="5" t="e">
        <f>IF(AND(#REF!&gt;=table!$C$10,#REF!&lt;= table!$D$10),-1,IF(AND(#REF!&gt;=table!$E$10,#REF!&lt;=table!$F$10),1,0))</f>
        <v>#REF!</v>
      </c>
      <c r="V2503" s="5" t="e">
        <f>IF(AND(#REF!&gt;=table!$C$11,#REF!&lt;= table!$D$11),-1,IF(AND(#REF!&gt;=table!$E$11,#REF!&lt;=table!$F$11),1,0))</f>
        <v>#REF!</v>
      </c>
      <c r="W2503" s="5" t="e">
        <f>CONCATENATE(dados[[#This Row],[fator1]],dados[[#This Row],[fator5]],dados[[#This Row],[fator6]])</f>
        <v>#REF!</v>
      </c>
    </row>
    <row r="2504" spans="1:23">
      <c r="A2504" t="s">
        <v>17</v>
      </c>
      <c r="B2504">
        <v>488164</v>
      </c>
      <c r="C2504">
        <v>7</v>
      </c>
      <c r="D2504">
        <v>35</v>
      </c>
      <c r="E2504">
        <v>200</v>
      </c>
      <c r="F2504">
        <v>8</v>
      </c>
      <c r="G2504">
        <v>50</v>
      </c>
      <c r="H2504">
        <v>25</v>
      </c>
      <c r="I2504">
        <v>1042</v>
      </c>
      <c r="J2504">
        <v>0</v>
      </c>
      <c r="K2504">
        <v>5.7105000000000006</v>
      </c>
      <c r="L2504">
        <v>10.644</v>
      </c>
      <c r="M2504">
        <v>167.02100000000002</v>
      </c>
      <c r="N2504">
        <v>13.15</v>
      </c>
      <c r="O2504">
        <v>1660</v>
      </c>
      <c r="P2504">
        <v>646</v>
      </c>
      <c r="Q2504" s="5" t="e">
        <f>IF(AND(#REF!&gt;=table!$C$6,#REF!&lt;= table!$D$6),-1,IF(AND(#REF!&gt;=table!$E$6,#REF!&lt;=table!$F$6),1,0))</f>
        <v>#REF!</v>
      </c>
      <c r="R2504" s="5" t="e">
        <f>IF(AND(#REF!&gt;=table!$C$7,#REF!&lt;= table!$D$7),-1,IF(AND(#REF!&gt;=table!$E$7,#REF!&lt;=table!$F$7),1,0))</f>
        <v>#REF!</v>
      </c>
      <c r="S2504" s="5" t="e">
        <f>IF(AND(#REF!&gt;=table!$C$8,#REF!&lt;= table!$D$8),-1,IF(AND(#REF!&gt;=table!$E$8,#REF!&lt;=table!$F$8),1,0))</f>
        <v>#REF!</v>
      </c>
      <c r="T2504" s="5"/>
      <c r="U2504" s="5" t="e">
        <f>IF(AND(#REF!&gt;=table!$C$10,#REF!&lt;= table!$D$10),-1,IF(AND(#REF!&gt;=table!$E$10,#REF!&lt;=table!$F$10),1,0))</f>
        <v>#REF!</v>
      </c>
      <c r="V2504" s="5" t="e">
        <f>IF(AND(#REF!&gt;=table!$C$11,#REF!&lt;= table!$D$11),-1,IF(AND(#REF!&gt;=table!$E$11,#REF!&lt;=table!$F$11),1,0))</f>
        <v>#REF!</v>
      </c>
      <c r="W2504" s="5" t="e">
        <f>CONCATENATE(dados[[#This Row],[fator1]],dados[[#This Row],[fator5]],dados[[#This Row],[fator6]])</f>
        <v>#REF!</v>
      </c>
    </row>
    <row r="2505" spans="1:23">
      <c r="A2505" t="s">
        <v>17</v>
      </c>
      <c r="B2505">
        <v>488165</v>
      </c>
      <c r="C2505">
        <v>7</v>
      </c>
      <c r="D2505">
        <v>35</v>
      </c>
      <c r="E2505">
        <v>200</v>
      </c>
      <c r="F2505">
        <v>8</v>
      </c>
      <c r="G2505">
        <v>50</v>
      </c>
      <c r="H2505">
        <v>25</v>
      </c>
      <c r="I2505">
        <v>625</v>
      </c>
      <c r="J2505">
        <v>0</v>
      </c>
      <c r="K2505">
        <v>3.4395000000000002</v>
      </c>
      <c r="L2505">
        <v>8.6185000000000009</v>
      </c>
      <c r="M2505">
        <v>158.8715</v>
      </c>
      <c r="N2505">
        <v>13.75</v>
      </c>
      <c r="O2505">
        <v>1682</v>
      </c>
      <c r="P2505">
        <v>1046</v>
      </c>
      <c r="Q2505" s="5" t="e">
        <f>IF(AND(#REF!&gt;=table!$C$6,#REF!&lt;= table!$D$6),-1,IF(AND(#REF!&gt;=table!$E$6,#REF!&lt;=table!$F$6),1,0))</f>
        <v>#REF!</v>
      </c>
      <c r="R2505" s="5" t="e">
        <f>IF(AND(#REF!&gt;=table!$C$7,#REF!&lt;= table!$D$7),-1,IF(AND(#REF!&gt;=table!$E$7,#REF!&lt;=table!$F$7),1,0))</f>
        <v>#REF!</v>
      </c>
      <c r="S2505" s="5" t="e">
        <f>IF(AND(#REF!&gt;=table!$C$8,#REF!&lt;= table!$D$8),-1,IF(AND(#REF!&gt;=table!$E$8,#REF!&lt;=table!$F$8),1,0))</f>
        <v>#REF!</v>
      </c>
      <c r="T2505" s="5"/>
      <c r="U2505" s="5" t="e">
        <f>IF(AND(#REF!&gt;=table!$C$10,#REF!&lt;= table!$D$10),-1,IF(AND(#REF!&gt;=table!$E$10,#REF!&lt;=table!$F$10),1,0))</f>
        <v>#REF!</v>
      </c>
      <c r="V2505" s="5" t="e">
        <f>IF(AND(#REF!&gt;=table!$C$11,#REF!&lt;= table!$D$11),-1,IF(AND(#REF!&gt;=table!$E$11,#REF!&lt;=table!$F$11),1,0))</f>
        <v>#REF!</v>
      </c>
      <c r="W2505" s="5" t="e">
        <f>CONCATENATE(dados[[#This Row],[fator1]],dados[[#This Row],[fator5]],dados[[#This Row],[fator6]])</f>
        <v>#REF!</v>
      </c>
    </row>
    <row r="2506" spans="1:23">
      <c r="A2506" t="s">
        <v>17</v>
      </c>
      <c r="B2506">
        <v>488166</v>
      </c>
      <c r="C2506">
        <v>10</v>
      </c>
      <c r="D2506">
        <v>25</v>
      </c>
      <c r="E2506">
        <v>156</v>
      </c>
      <c r="F2506">
        <v>8</v>
      </c>
      <c r="G2506">
        <v>20</v>
      </c>
      <c r="H2506">
        <v>25</v>
      </c>
      <c r="I2506">
        <v>26</v>
      </c>
      <c r="J2506">
        <v>820</v>
      </c>
      <c r="K2506">
        <v>4.2</v>
      </c>
      <c r="L2506">
        <v>16.990500000000001</v>
      </c>
      <c r="M2506">
        <v>135.91200000000001</v>
      </c>
      <c r="N2506">
        <v>16.845000000000002</v>
      </c>
      <c r="O2506">
        <v>1696</v>
      </c>
      <c r="P2506">
        <v>0</v>
      </c>
      <c r="Q2506" s="5" t="e">
        <f>IF(AND(#REF!&gt;=table!$C$6,#REF!&lt;= table!$D$6),-1,IF(AND(#REF!&gt;=table!$E$6,#REF!&lt;=table!$F$6),1,0))</f>
        <v>#REF!</v>
      </c>
      <c r="R2506" s="5" t="e">
        <f>IF(AND(#REF!&gt;=table!$C$7,#REF!&lt;= table!$D$7),-1,IF(AND(#REF!&gt;=table!$E$7,#REF!&lt;=table!$F$7),1,0))</f>
        <v>#REF!</v>
      </c>
      <c r="S2506" s="5" t="e">
        <f>IF(AND(#REF!&gt;=table!$C$8,#REF!&lt;= table!$D$8),-1,IF(AND(#REF!&gt;=table!$E$8,#REF!&lt;=table!$F$8),1,0))</f>
        <v>#REF!</v>
      </c>
      <c r="T2506" s="5"/>
      <c r="U2506" s="5" t="e">
        <f>IF(AND(#REF!&gt;=table!$C$10,#REF!&lt;= table!$D$10),-1,IF(AND(#REF!&gt;=table!$E$10,#REF!&lt;=table!$F$10),1,0))</f>
        <v>#REF!</v>
      </c>
      <c r="V2506" s="5" t="e">
        <f>IF(AND(#REF!&gt;=table!$C$11,#REF!&lt;= table!$D$11),-1,IF(AND(#REF!&gt;=table!$E$11,#REF!&lt;=table!$F$11),1,0))</f>
        <v>#REF!</v>
      </c>
      <c r="W2506" s="5" t="e">
        <f>CONCATENATE(dados[[#This Row],[fator1]],dados[[#This Row],[fator5]],dados[[#This Row],[fator6]])</f>
        <v>#REF!</v>
      </c>
    </row>
    <row r="2507" spans="1:23">
      <c r="A2507" t="s">
        <v>16</v>
      </c>
      <c r="B2507">
        <v>488167</v>
      </c>
      <c r="C2507">
        <v>4</v>
      </c>
      <c r="D2507">
        <v>40</v>
      </c>
      <c r="E2507">
        <v>21</v>
      </c>
      <c r="F2507">
        <v>20</v>
      </c>
      <c r="G2507">
        <v>0</v>
      </c>
      <c r="H2507">
        <v>25</v>
      </c>
      <c r="I2507">
        <v>1051</v>
      </c>
      <c r="J2507">
        <v>0</v>
      </c>
      <c r="K2507">
        <v>4.7590000000000003</v>
      </c>
      <c r="L2507">
        <v>10.609</v>
      </c>
      <c r="M2507">
        <v>9.7565000000000008</v>
      </c>
      <c r="N2507">
        <v>11.585000000000001</v>
      </c>
      <c r="O2507">
        <v>1668</v>
      </c>
      <c r="P2507">
        <v>766</v>
      </c>
      <c r="Q2507" s="5" t="e">
        <f>IF(AND(#REF!&gt;=table!$C$6,#REF!&lt;= table!$D$6),-1,IF(AND(#REF!&gt;=table!$E$6,#REF!&lt;=table!$F$6),1,0))</f>
        <v>#REF!</v>
      </c>
      <c r="R2507" s="5" t="e">
        <f>IF(AND(#REF!&gt;=table!$C$7,#REF!&lt;= table!$D$7),-1,IF(AND(#REF!&gt;=table!$E$7,#REF!&lt;=table!$F$7),1,0))</f>
        <v>#REF!</v>
      </c>
      <c r="S2507" s="5" t="e">
        <f>IF(AND(#REF!&gt;=table!$C$8,#REF!&lt;= table!$D$8),-1,IF(AND(#REF!&gt;=table!$E$8,#REF!&lt;=table!$F$8),1,0))</f>
        <v>#REF!</v>
      </c>
      <c r="T2507" s="5"/>
      <c r="U2507" s="5" t="e">
        <f>IF(AND(#REF!&gt;=table!$C$10,#REF!&lt;= table!$D$10),-1,IF(AND(#REF!&gt;=table!$E$10,#REF!&lt;=table!$F$10),1,0))</f>
        <v>#REF!</v>
      </c>
      <c r="V2507" s="5" t="e">
        <f>IF(AND(#REF!&gt;=table!$C$11,#REF!&lt;= table!$D$11),-1,IF(AND(#REF!&gt;=table!$E$11,#REF!&lt;=table!$F$11),1,0))</f>
        <v>#REF!</v>
      </c>
      <c r="W2507" s="5" t="e">
        <f>CONCATENATE(dados[[#This Row],[fator1]],dados[[#This Row],[fator5]],dados[[#This Row],[fator6]])</f>
        <v>#REF!</v>
      </c>
    </row>
    <row r="2508" spans="1:23">
      <c r="A2508" t="s">
        <v>17</v>
      </c>
      <c r="B2508">
        <v>488170</v>
      </c>
      <c r="C2508">
        <v>16</v>
      </c>
      <c r="D2508">
        <v>25</v>
      </c>
      <c r="E2508">
        <v>56</v>
      </c>
      <c r="F2508">
        <v>10</v>
      </c>
      <c r="G2508">
        <v>13</v>
      </c>
      <c r="H2508">
        <v>25</v>
      </c>
      <c r="I2508">
        <v>0</v>
      </c>
      <c r="J2508">
        <v>0</v>
      </c>
      <c r="K2508">
        <v>8.3830000000000009</v>
      </c>
      <c r="L2508">
        <v>18.547000000000001</v>
      </c>
      <c r="M2508">
        <v>59.112000000000002</v>
      </c>
      <c r="N2508">
        <v>21.995000000000001</v>
      </c>
      <c r="O2508">
        <v>1672</v>
      </c>
      <c r="P2508">
        <v>334</v>
      </c>
      <c r="Q2508" s="5" t="e">
        <f>IF(AND(#REF!&gt;=table!$C$6,#REF!&lt;= table!$D$6),-1,IF(AND(#REF!&gt;=table!$E$6,#REF!&lt;=table!$F$6),1,0))</f>
        <v>#REF!</v>
      </c>
      <c r="R2508" s="5" t="e">
        <f>IF(AND(#REF!&gt;=table!$C$7,#REF!&lt;= table!$D$7),-1,IF(AND(#REF!&gt;=table!$E$7,#REF!&lt;=table!$F$7),1,0))</f>
        <v>#REF!</v>
      </c>
      <c r="S2508" s="5" t="e">
        <f>IF(AND(#REF!&gt;=table!$C$8,#REF!&lt;= table!$D$8),-1,IF(AND(#REF!&gt;=table!$E$8,#REF!&lt;=table!$F$8),1,0))</f>
        <v>#REF!</v>
      </c>
      <c r="T2508" s="5"/>
      <c r="U2508" s="5" t="e">
        <f>IF(AND(#REF!&gt;=table!$C$10,#REF!&lt;= table!$D$10),-1,IF(AND(#REF!&gt;=table!$E$10,#REF!&lt;=table!$F$10),1,0))</f>
        <v>#REF!</v>
      </c>
      <c r="V2508" s="5" t="e">
        <f>IF(AND(#REF!&gt;=table!$C$11,#REF!&lt;= table!$D$11),-1,IF(AND(#REF!&gt;=table!$E$11,#REF!&lt;=table!$F$11),1,0))</f>
        <v>#REF!</v>
      </c>
      <c r="W2508" s="5" t="e">
        <f>CONCATENATE(dados[[#This Row],[fator1]],dados[[#This Row],[fator5]],dados[[#This Row],[fator6]])</f>
        <v>#REF!</v>
      </c>
    </row>
    <row r="2509" spans="1:23">
      <c r="A2509" t="s">
        <v>17</v>
      </c>
      <c r="B2509">
        <v>488171</v>
      </c>
      <c r="C2509">
        <v>16</v>
      </c>
      <c r="D2509">
        <v>25</v>
      </c>
      <c r="E2509">
        <v>56</v>
      </c>
      <c r="F2509">
        <v>10</v>
      </c>
      <c r="G2509">
        <v>13</v>
      </c>
      <c r="H2509">
        <v>25</v>
      </c>
      <c r="I2509">
        <v>458</v>
      </c>
      <c r="J2509">
        <v>690</v>
      </c>
      <c r="K2509">
        <v>27.595000000000002</v>
      </c>
      <c r="L2509">
        <v>37.945500000000003</v>
      </c>
      <c r="M2509">
        <v>47.078500000000005</v>
      </c>
      <c r="N2509">
        <v>15.52</v>
      </c>
      <c r="O2509">
        <v>1688</v>
      </c>
      <c r="P2509">
        <v>147</v>
      </c>
      <c r="Q2509" s="5" t="e">
        <f>IF(AND(#REF!&gt;=table!$C$6,#REF!&lt;= table!$D$6),-1,IF(AND(#REF!&gt;=table!$E$6,#REF!&lt;=table!$F$6),1,0))</f>
        <v>#REF!</v>
      </c>
      <c r="R2509" s="5" t="e">
        <f>IF(AND(#REF!&gt;=table!$C$7,#REF!&lt;= table!$D$7),-1,IF(AND(#REF!&gt;=table!$E$7,#REF!&lt;=table!$F$7),1,0))</f>
        <v>#REF!</v>
      </c>
      <c r="S2509" s="5" t="e">
        <f>IF(AND(#REF!&gt;=table!$C$8,#REF!&lt;= table!$D$8),-1,IF(AND(#REF!&gt;=table!$E$8,#REF!&lt;=table!$F$8),1,0))</f>
        <v>#REF!</v>
      </c>
      <c r="T2509" s="5"/>
      <c r="U2509" s="5" t="e">
        <f>IF(AND(#REF!&gt;=table!$C$10,#REF!&lt;= table!$D$10),-1,IF(AND(#REF!&gt;=table!$E$10,#REF!&lt;=table!$F$10),1,0))</f>
        <v>#REF!</v>
      </c>
      <c r="V2509" s="5" t="e">
        <f>IF(AND(#REF!&gt;=table!$C$11,#REF!&lt;= table!$D$11),-1,IF(AND(#REF!&gt;=table!$E$11,#REF!&lt;=table!$F$11),1,0))</f>
        <v>#REF!</v>
      </c>
      <c r="W2509" s="5" t="e">
        <f>CONCATENATE(dados[[#This Row],[fator1]],dados[[#This Row],[fator5]],dados[[#This Row],[fator6]])</f>
        <v>#REF!</v>
      </c>
    </row>
    <row r="2510" spans="1:23">
      <c r="A2510" t="s">
        <v>17</v>
      </c>
      <c r="B2510">
        <v>488172</v>
      </c>
      <c r="C2510">
        <v>16</v>
      </c>
      <c r="D2510">
        <v>25</v>
      </c>
      <c r="E2510">
        <v>56</v>
      </c>
      <c r="F2510">
        <v>10</v>
      </c>
      <c r="G2510">
        <v>13</v>
      </c>
      <c r="H2510">
        <v>25</v>
      </c>
      <c r="I2510">
        <v>1</v>
      </c>
      <c r="J2510">
        <v>0</v>
      </c>
      <c r="K2510">
        <v>4.9980000000000002</v>
      </c>
      <c r="L2510">
        <v>16.722000000000001</v>
      </c>
      <c r="M2510">
        <v>60.322500000000005</v>
      </c>
      <c r="N2510">
        <v>18.135000000000002</v>
      </c>
      <c r="O2510">
        <v>1674</v>
      </c>
      <c r="P2510">
        <v>754</v>
      </c>
      <c r="Q2510" s="5" t="e">
        <f>IF(AND(#REF!&gt;=table!$C$6,#REF!&lt;= table!$D$6),-1,IF(AND(#REF!&gt;=table!$E$6,#REF!&lt;=table!$F$6),1,0))</f>
        <v>#REF!</v>
      </c>
      <c r="R2510" s="5" t="e">
        <f>IF(AND(#REF!&gt;=table!$C$7,#REF!&lt;= table!$D$7),-1,IF(AND(#REF!&gt;=table!$E$7,#REF!&lt;=table!$F$7),1,0))</f>
        <v>#REF!</v>
      </c>
      <c r="S2510" s="5" t="e">
        <f>IF(AND(#REF!&gt;=table!$C$8,#REF!&lt;= table!$D$8),-1,IF(AND(#REF!&gt;=table!$E$8,#REF!&lt;=table!$F$8),1,0))</f>
        <v>#REF!</v>
      </c>
      <c r="T2510" s="5"/>
      <c r="U2510" s="5" t="e">
        <f>IF(AND(#REF!&gt;=table!$C$10,#REF!&lt;= table!$D$10),-1,IF(AND(#REF!&gt;=table!$E$10,#REF!&lt;=table!$F$10),1,0))</f>
        <v>#REF!</v>
      </c>
      <c r="V2510" s="5" t="e">
        <f>IF(AND(#REF!&gt;=table!$C$11,#REF!&lt;= table!$D$11),-1,IF(AND(#REF!&gt;=table!$E$11,#REF!&lt;=table!$F$11),1,0))</f>
        <v>#REF!</v>
      </c>
      <c r="W2510" s="5" t="e">
        <f>CONCATENATE(dados[[#This Row],[fator1]],dados[[#This Row],[fator5]],dados[[#This Row],[fator6]])</f>
        <v>#REF!</v>
      </c>
    </row>
    <row r="2511" spans="1:23">
      <c r="A2511" t="s">
        <v>17</v>
      </c>
      <c r="B2511">
        <v>488173</v>
      </c>
      <c r="C2511">
        <v>10</v>
      </c>
      <c r="D2511">
        <v>25</v>
      </c>
      <c r="E2511">
        <v>40</v>
      </c>
      <c r="F2511">
        <v>10</v>
      </c>
      <c r="G2511">
        <v>110</v>
      </c>
      <c r="H2511">
        <v>50</v>
      </c>
      <c r="I2511">
        <v>774</v>
      </c>
      <c r="J2511">
        <v>0</v>
      </c>
      <c r="K2511">
        <v>9.4109999999999996</v>
      </c>
      <c r="L2511">
        <v>16.148500000000002</v>
      </c>
      <c r="M2511">
        <v>38.824000000000005</v>
      </c>
      <c r="N2511">
        <v>19.905000000000001</v>
      </c>
      <c r="O2511">
        <v>1677</v>
      </c>
      <c r="P2511">
        <v>376</v>
      </c>
      <c r="Q2511" s="5" t="e">
        <f>IF(AND(#REF!&gt;=table!$C$6,#REF!&lt;= table!$D$6),-1,IF(AND(#REF!&gt;=table!$E$6,#REF!&lt;=table!$F$6),1,0))</f>
        <v>#REF!</v>
      </c>
      <c r="R2511" s="5" t="e">
        <f>IF(AND(#REF!&gt;=table!$C$7,#REF!&lt;= table!$D$7),-1,IF(AND(#REF!&gt;=table!$E$7,#REF!&lt;=table!$F$7),1,0))</f>
        <v>#REF!</v>
      </c>
      <c r="S2511" s="5" t="e">
        <f>IF(AND(#REF!&gt;=table!$C$8,#REF!&lt;= table!$D$8),-1,IF(AND(#REF!&gt;=table!$E$8,#REF!&lt;=table!$F$8),1,0))</f>
        <v>#REF!</v>
      </c>
      <c r="T2511" s="5"/>
      <c r="U2511" s="5" t="e">
        <f>IF(AND(#REF!&gt;=table!$C$10,#REF!&lt;= table!$D$10),-1,IF(AND(#REF!&gt;=table!$E$10,#REF!&lt;=table!$F$10),1,0))</f>
        <v>#REF!</v>
      </c>
      <c r="V2511" s="5" t="e">
        <f>IF(AND(#REF!&gt;=table!$C$11,#REF!&lt;= table!$D$11),-1,IF(AND(#REF!&gt;=table!$E$11,#REF!&lt;=table!$F$11),1,0))</f>
        <v>#REF!</v>
      </c>
      <c r="W2511" s="5" t="e">
        <f>CONCATENATE(dados[[#This Row],[fator1]],dados[[#This Row],[fator5]],dados[[#This Row],[fator6]])</f>
        <v>#REF!</v>
      </c>
    </row>
    <row r="2512" spans="1:23">
      <c r="A2512" t="s">
        <v>17</v>
      </c>
      <c r="B2512">
        <v>488176</v>
      </c>
      <c r="C2512">
        <v>10</v>
      </c>
      <c r="D2512">
        <v>25</v>
      </c>
      <c r="E2512">
        <v>80</v>
      </c>
      <c r="F2512">
        <v>10</v>
      </c>
      <c r="G2512">
        <v>110</v>
      </c>
      <c r="H2512">
        <v>50</v>
      </c>
      <c r="I2512">
        <v>25</v>
      </c>
      <c r="J2512">
        <v>0</v>
      </c>
      <c r="K2512">
        <v>4.3940000000000001</v>
      </c>
      <c r="L2512">
        <v>13.6065</v>
      </c>
      <c r="M2512">
        <v>32.595500000000001</v>
      </c>
      <c r="N2512">
        <v>51.295000000000002</v>
      </c>
      <c r="O2512">
        <v>1677</v>
      </c>
      <c r="P2512">
        <v>788</v>
      </c>
      <c r="Q2512" s="5" t="e">
        <f>IF(AND(#REF!&gt;=table!$C$6,#REF!&lt;= table!$D$6),-1,IF(AND(#REF!&gt;=table!$E$6,#REF!&lt;=table!$F$6),1,0))</f>
        <v>#REF!</v>
      </c>
      <c r="R2512" s="5" t="e">
        <f>IF(AND(#REF!&gt;=table!$C$7,#REF!&lt;= table!$D$7),-1,IF(AND(#REF!&gt;=table!$E$7,#REF!&lt;=table!$F$7),1,0))</f>
        <v>#REF!</v>
      </c>
      <c r="S2512" s="5" t="e">
        <f>IF(AND(#REF!&gt;=table!$C$8,#REF!&lt;= table!$D$8),-1,IF(AND(#REF!&gt;=table!$E$8,#REF!&lt;=table!$F$8),1,0))</f>
        <v>#REF!</v>
      </c>
      <c r="T2512" s="5"/>
      <c r="U2512" s="5" t="e">
        <f>IF(AND(#REF!&gt;=table!$C$10,#REF!&lt;= table!$D$10),-1,IF(AND(#REF!&gt;=table!$E$10,#REF!&lt;=table!$F$10),1,0))</f>
        <v>#REF!</v>
      </c>
      <c r="V2512" s="5" t="e">
        <f>IF(AND(#REF!&gt;=table!$C$11,#REF!&lt;= table!$D$11),-1,IF(AND(#REF!&gt;=table!$E$11,#REF!&lt;=table!$F$11),1,0))</f>
        <v>#REF!</v>
      </c>
      <c r="W2512" s="5" t="e">
        <f>CONCATENATE(dados[[#This Row],[fator1]],dados[[#This Row],[fator5]],dados[[#This Row],[fator6]])</f>
        <v>#REF!</v>
      </c>
    </row>
    <row r="2513" spans="1:23">
      <c r="A2513" t="s">
        <v>16</v>
      </c>
      <c r="B2513">
        <v>488180</v>
      </c>
      <c r="C2513">
        <v>16</v>
      </c>
      <c r="D2513">
        <v>35</v>
      </c>
      <c r="E2513">
        <v>56</v>
      </c>
      <c r="F2513">
        <v>10</v>
      </c>
      <c r="G2513">
        <v>0</v>
      </c>
      <c r="H2513">
        <v>25</v>
      </c>
      <c r="I2513">
        <v>0</v>
      </c>
      <c r="J2513">
        <v>0</v>
      </c>
      <c r="K2513">
        <v>6.7725</v>
      </c>
      <c r="L2513">
        <v>11.8955</v>
      </c>
      <c r="M2513">
        <v>53.164500000000004</v>
      </c>
      <c r="N2513">
        <v>17.04</v>
      </c>
      <c r="O2513">
        <v>1686</v>
      </c>
      <c r="P2513">
        <v>1052</v>
      </c>
      <c r="Q2513" s="5" t="e">
        <f>IF(AND(#REF!&gt;=table!$C$6,#REF!&lt;= table!$D$6),-1,IF(AND(#REF!&gt;=table!$E$6,#REF!&lt;=table!$F$6),1,0))</f>
        <v>#REF!</v>
      </c>
      <c r="R2513" s="5" t="e">
        <f>IF(AND(#REF!&gt;=table!$C$7,#REF!&lt;= table!$D$7),-1,IF(AND(#REF!&gt;=table!$E$7,#REF!&lt;=table!$F$7),1,0))</f>
        <v>#REF!</v>
      </c>
      <c r="S2513" s="5" t="e">
        <f>IF(AND(#REF!&gt;=table!$C$8,#REF!&lt;= table!$D$8),-1,IF(AND(#REF!&gt;=table!$E$8,#REF!&lt;=table!$F$8),1,0))</f>
        <v>#REF!</v>
      </c>
      <c r="T2513" s="5"/>
      <c r="U2513" s="5" t="e">
        <f>IF(AND(#REF!&gt;=table!$C$10,#REF!&lt;= table!$D$10),-1,IF(AND(#REF!&gt;=table!$E$10,#REF!&lt;=table!$F$10),1,0))</f>
        <v>#REF!</v>
      </c>
      <c r="V2513" s="5" t="e">
        <f>IF(AND(#REF!&gt;=table!$C$11,#REF!&lt;= table!$D$11),-1,IF(AND(#REF!&gt;=table!$E$11,#REF!&lt;=table!$F$11),1,0))</f>
        <v>#REF!</v>
      </c>
      <c r="W2513" s="5" t="e">
        <f>CONCATENATE(dados[[#This Row],[fator1]],dados[[#This Row],[fator5]],dados[[#This Row],[fator6]])</f>
        <v>#REF!</v>
      </c>
    </row>
    <row r="2514" spans="1:23">
      <c r="A2514" t="s">
        <v>16</v>
      </c>
      <c r="B2514">
        <v>488192</v>
      </c>
      <c r="C2514">
        <v>11</v>
      </c>
      <c r="D2514">
        <v>40</v>
      </c>
      <c r="E2514">
        <v>151</v>
      </c>
      <c r="F2514">
        <v>8</v>
      </c>
      <c r="G2514">
        <v>0</v>
      </c>
      <c r="H2514">
        <v>25</v>
      </c>
      <c r="I2514">
        <v>727</v>
      </c>
      <c r="J2514">
        <v>0</v>
      </c>
      <c r="K2514">
        <v>7.6785000000000005</v>
      </c>
      <c r="L2514">
        <v>14.387500000000001</v>
      </c>
      <c r="M2514">
        <v>127.119</v>
      </c>
      <c r="N2514">
        <v>14.540000000000001</v>
      </c>
      <c r="O2514">
        <v>1665</v>
      </c>
      <c r="P2514">
        <v>393</v>
      </c>
      <c r="Q2514" s="5" t="e">
        <f>IF(AND(#REF!&gt;=table!$C$6,#REF!&lt;= table!$D$6),-1,IF(AND(#REF!&gt;=table!$E$6,#REF!&lt;=table!$F$6),1,0))</f>
        <v>#REF!</v>
      </c>
      <c r="R2514" s="5" t="e">
        <f>IF(AND(#REF!&gt;=table!$C$7,#REF!&lt;= table!$D$7),-1,IF(AND(#REF!&gt;=table!$E$7,#REF!&lt;=table!$F$7),1,0))</f>
        <v>#REF!</v>
      </c>
      <c r="S2514" s="5" t="e">
        <f>IF(AND(#REF!&gt;=table!$C$8,#REF!&lt;= table!$D$8),-1,IF(AND(#REF!&gt;=table!$E$8,#REF!&lt;=table!$F$8),1,0))</f>
        <v>#REF!</v>
      </c>
      <c r="T2514" s="5"/>
      <c r="U2514" s="5" t="e">
        <f>IF(AND(#REF!&gt;=table!$C$10,#REF!&lt;= table!$D$10),-1,IF(AND(#REF!&gt;=table!$E$10,#REF!&lt;=table!$F$10),1,0))</f>
        <v>#REF!</v>
      </c>
      <c r="V2514" s="5" t="e">
        <f>IF(AND(#REF!&gt;=table!$C$11,#REF!&lt;= table!$D$11),-1,IF(AND(#REF!&gt;=table!$E$11,#REF!&lt;=table!$F$11),1,0))</f>
        <v>#REF!</v>
      </c>
      <c r="W2514" s="5" t="e">
        <f>CONCATENATE(dados[[#This Row],[fator1]],dados[[#This Row],[fator5]],dados[[#This Row],[fator6]])</f>
        <v>#REF!</v>
      </c>
    </row>
    <row r="2515" spans="1:23">
      <c r="A2515" t="s">
        <v>16</v>
      </c>
      <c r="B2515">
        <v>488193</v>
      </c>
      <c r="C2515">
        <v>11</v>
      </c>
      <c r="D2515">
        <v>40</v>
      </c>
      <c r="E2515">
        <v>151</v>
      </c>
      <c r="F2515">
        <v>8</v>
      </c>
      <c r="G2515">
        <v>0</v>
      </c>
      <c r="H2515">
        <v>25</v>
      </c>
      <c r="I2515">
        <v>3</v>
      </c>
      <c r="J2515">
        <v>0</v>
      </c>
      <c r="K2515">
        <v>4.9874999999999998</v>
      </c>
      <c r="L2515">
        <v>13.923</v>
      </c>
      <c r="M2515">
        <v>129.49200000000002</v>
      </c>
      <c r="N2515">
        <v>17.740000000000002</v>
      </c>
      <c r="O2515">
        <v>1678</v>
      </c>
      <c r="P2515">
        <v>708</v>
      </c>
      <c r="Q2515" s="5" t="e">
        <f>IF(AND(#REF!&gt;=table!$C$6,#REF!&lt;= table!$D$6),-1,IF(AND(#REF!&gt;=table!$E$6,#REF!&lt;=table!$F$6),1,0))</f>
        <v>#REF!</v>
      </c>
      <c r="R2515" s="5" t="e">
        <f>IF(AND(#REF!&gt;=table!$C$7,#REF!&lt;= table!$D$7),-1,IF(AND(#REF!&gt;=table!$E$7,#REF!&lt;=table!$F$7),1,0))</f>
        <v>#REF!</v>
      </c>
      <c r="S2515" s="5" t="e">
        <f>IF(AND(#REF!&gt;=table!$C$8,#REF!&lt;= table!$D$8),-1,IF(AND(#REF!&gt;=table!$E$8,#REF!&lt;=table!$F$8),1,0))</f>
        <v>#REF!</v>
      </c>
      <c r="T2515" s="5"/>
      <c r="U2515" s="5" t="e">
        <f>IF(AND(#REF!&gt;=table!$C$10,#REF!&lt;= table!$D$10),-1,IF(AND(#REF!&gt;=table!$E$10,#REF!&lt;=table!$F$10),1,0))</f>
        <v>#REF!</v>
      </c>
      <c r="V2515" s="5" t="e">
        <f>IF(AND(#REF!&gt;=table!$C$11,#REF!&lt;= table!$D$11),-1,IF(AND(#REF!&gt;=table!$E$11,#REF!&lt;=table!$F$11),1,0))</f>
        <v>#REF!</v>
      </c>
      <c r="W2515" s="5" t="e">
        <f>CONCATENATE(dados[[#This Row],[fator1]],dados[[#This Row],[fator5]],dados[[#This Row],[fator6]])</f>
        <v>#REF!</v>
      </c>
    </row>
    <row r="2516" spans="1:23">
      <c r="A2516" t="s">
        <v>17</v>
      </c>
      <c r="B2516">
        <v>488196</v>
      </c>
      <c r="C2516">
        <v>14</v>
      </c>
      <c r="D2516">
        <v>25</v>
      </c>
      <c r="E2516">
        <v>130</v>
      </c>
      <c r="F2516">
        <v>9</v>
      </c>
      <c r="G2516">
        <v>110</v>
      </c>
      <c r="H2516">
        <v>50</v>
      </c>
      <c r="I2516">
        <v>16</v>
      </c>
      <c r="J2516">
        <v>0</v>
      </c>
      <c r="K2516">
        <v>4.8790000000000004</v>
      </c>
      <c r="L2516">
        <v>14.790500000000002</v>
      </c>
      <c r="M2516">
        <v>98.786000000000001</v>
      </c>
      <c r="N2516">
        <v>39.26</v>
      </c>
      <c r="O2516">
        <v>1670</v>
      </c>
      <c r="P2516">
        <v>0</v>
      </c>
      <c r="Q2516" s="5" t="e">
        <f>IF(AND(#REF!&gt;=table!$C$6,#REF!&lt;= table!$D$6),-1,IF(AND(#REF!&gt;=table!$E$6,#REF!&lt;=table!$F$6),1,0))</f>
        <v>#REF!</v>
      </c>
      <c r="R2516" s="5" t="e">
        <f>IF(AND(#REF!&gt;=table!$C$7,#REF!&lt;= table!$D$7),-1,IF(AND(#REF!&gt;=table!$E$7,#REF!&lt;=table!$F$7),1,0))</f>
        <v>#REF!</v>
      </c>
      <c r="S2516" s="5" t="e">
        <f>IF(AND(#REF!&gt;=table!$C$8,#REF!&lt;= table!$D$8),-1,IF(AND(#REF!&gt;=table!$E$8,#REF!&lt;=table!$F$8),1,0))</f>
        <v>#REF!</v>
      </c>
      <c r="T2516" s="5"/>
      <c r="U2516" s="5" t="e">
        <f>IF(AND(#REF!&gt;=table!$C$10,#REF!&lt;= table!$D$10),-1,IF(AND(#REF!&gt;=table!$E$10,#REF!&lt;=table!$F$10),1,0))</f>
        <v>#REF!</v>
      </c>
      <c r="V2516" s="5" t="e">
        <f>IF(AND(#REF!&gt;=table!$C$11,#REF!&lt;= table!$D$11),-1,IF(AND(#REF!&gt;=table!$E$11,#REF!&lt;=table!$F$11),1,0))</f>
        <v>#REF!</v>
      </c>
      <c r="W2516" s="5" t="e">
        <f>CONCATENATE(dados[[#This Row],[fator1]],dados[[#This Row],[fator5]],dados[[#This Row],[fator6]])</f>
        <v>#REF!</v>
      </c>
    </row>
    <row r="2517" spans="1:23">
      <c r="A2517" t="s">
        <v>16</v>
      </c>
      <c r="B2517">
        <v>488199</v>
      </c>
      <c r="C2517">
        <v>11</v>
      </c>
      <c r="D2517">
        <v>40</v>
      </c>
      <c r="E2517">
        <v>151</v>
      </c>
      <c r="F2517">
        <v>8</v>
      </c>
      <c r="G2517">
        <v>0</v>
      </c>
      <c r="H2517">
        <v>25</v>
      </c>
      <c r="I2517">
        <v>392</v>
      </c>
      <c r="J2517">
        <v>0</v>
      </c>
      <c r="K2517">
        <v>6.3245000000000005</v>
      </c>
      <c r="L2517">
        <v>14.480500000000001</v>
      </c>
      <c r="M2517">
        <v>132.64700000000002</v>
      </c>
      <c r="N2517">
        <v>18.28</v>
      </c>
      <c r="O2517">
        <v>1682</v>
      </c>
      <c r="P2517">
        <v>0</v>
      </c>
      <c r="Q2517" s="5" t="e">
        <f>IF(AND(#REF!&gt;=table!$C$6,#REF!&lt;= table!$D$6),-1,IF(AND(#REF!&gt;=table!$E$6,#REF!&lt;=table!$F$6),1,0))</f>
        <v>#REF!</v>
      </c>
      <c r="R2517" s="5" t="e">
        <f>IF(AND(#REF!&gt;=table!$C$7,#REF!&lt;= table!$D$7),-1,IF(AND(#REF!&gt;=table!$E$7,#REF!&lt;=table!$F$7),1,0))</f>
        <v>#REF!</v>
      </c>
      <c r="S2517" s="5" t="e">
        <f>IF(AND(#REF!&gt;=table!$C$8,#REF!&lt;= table!$D$8),-1,IF(AND(#REF!&gt;=table!$E$8,#REF!&lt;=table!$F$8),1,0))</f>
        <v>#REF!</v>
      </c>
      <c r="T2517" s="5"/>
      <c r="U2517" s="5" t="e">
        <f>IF(AND(#REF!&gt;=table!$C$10,#REF!&lt;= table!$D$10),-1,IF(AND(#REF!&gt;=table!$E$10,#REF!&lt;=table!$F$10),1,0))</f>
        <v>#REF!</v>
      </c>
      <c r="V2517" s="5" t="e">
        <f>IF(AND(#REF!&gt;=table!$C$11,#REF!&lt;= table!$D$11),-1,IF(AND(#REF!&gt;=table!$E$11,#REF!&lt;=table!$F$11),1,0))</f>
        <v>#REF!</v>
      </c>
      <c r="W2517" s="5" t="e">
        <f>CONCATENATE(dados[[#This Row],[fator1]],dados[[#This Row],[fator5]],dados[[#This Row],[fator6]])</f>
        <v>#REF!</v>
      </c>
    </row>
    <row r="2518" spans="1:23">
      <c r="A2518" t="s">
        <v>17</v>
      </c>
      <c r="B2518">
        <v>488201</v>
      </c>
      <c r="C2518">
        <v>14</v>
      </c>
      <c r="D2518">
        <v>30</v>
      </c>
      <c r="E2518">
        <v>66</v>
      </c>
      <c r="F2518">
        <v>9</v>
      </c>
      <c r="G2518">
        <v>20</v>
      </c>
      <c r="H2518">
        <v>25</v>
      </c>
      <c r="I2518">
        <v>37</v>
      </c>
      <c r="J2518">
        <v>0</v>
      </c>
      <c r="K2518">
        <v>6.3559999999999999</v>
      </c>
      <c r="L2518">
        <v>12.4505</v>
      </c>
      <c r="M2518">
        <v>57.223500000000001</v>
      </c>
      <c r="N2518">
        <v>18.420000000000002</v>
      </c>
      <c r="O2518">
        <v>1675</v>
      </c>
      <c r="P2518">
        <v>528</v>
      </c>
      <c r="Q2518" s="5" t="e">
        <f>IF(AND(#REF!&gt;=table!$C$6,#REF!&lt;= table!$D$6),-1,IF(AND(#REF!&gt;=table!$E$6,#REF!&lt;=table!$F$6),1,0))</f>
        <v>#REF!</v>
      </c>
      <c r="R2518" s="5" t="e">
        <f>IF(AND(#REF!&gt;=table!$C$7,#REF!&lt;= table!$D$7),-1,IF(AND(#REF!&gt;=table!$E$7,#REF!&lt;=table!$F$7),1,0))</f>
        <v>#REF!</v>
      </c>
      <c r="S2518" s="5" t="e">
        <f>IF(AND(#REF!&gt;=table!$C$8,#REF!&lt;= table!$D$8),-1,IF(AND(#REF!&gt;=table!$E$8,#REF!&lt;=table!$F$8),1,0))</f>
        <v>#REF!</v>
      </c>
      <c r="T2518" s="5"/>
      <c r="U2518" s="5" t="e">
        <f>IF(AND(#REF!&gt;=table!$C$10,#REF!&lt;= table!$D$10),-1,IF(AND(#REF!&gt;=table!$E$10,#REF!&lt;=table!$F$10),1,0))</f>
        <v>#REF!</v>
      </c>
      <c r="V2518" s="5" t="e">
        <f>IF(AND(#REF!&gt;=table!$C$11,#REF!&lt;= table!$D$11),-1,IF(AND(#REF!&gt;=table!$E$11,#REF!&lt;=table!$F$11),1,0))</f>
        <v>#REF!</v>
      </c>
      <c r="W2518" s="5" t="e">
        <f>CONCATENATE(dados[[#This Row],[fator1]],dados[[#This Row],[fator5]],dados[[#This Row],[fator6]])</f>
        <v>#REF!</v>
      </c>
    </row>
    <row r="2519" spans="1:23">
      <c r="A2519" t="s">
        <v>17</v>
      </c>
      <c r="B2519">
        <v>488202</v>
      </c>
      <c r="C2519">
        <v>14</v>
      </c>
      <c r="D2519">
        <v>30</v>
      </c>
      <c r="E2519">
        <v>66</v>
      </c>
      <c r="F2519">
        <v>9</v>
      </c>
      <c r="G2519">
        <v>20</v>
      </c>
      <c r="H2519">
        <v>25</v>
      </c>
      <c r="I2519">
        <v>2</v>
      </c>
      <c r="J2519">
        <v>20</v>
      </c>
      <c r="K2519">
        <v>5.3494999999999999</v>
      </c>
      <c r="L2519">
        <v>12.445</v>
      </c>
      <c r="M2519">
        <v>63.639500000000005</v>
      </c>
      <c r="N2519">
        <v>15.845000000000001</v>
      </c>
      <c r="O2519">
        <v>1676</v>
      </c>
      <c r="P2519">
        <v>0</v>
      </c>
      <c r="Q2519" s="5" t="e">
        <f>IF(AND(#REF!&gt;=table!$C$6,#REF!&lt;= table!$D$6),-1,IF(AND(#REF!&gt;=table!$E$6,#REF!&lt;=table!$F$6),1,0))</f>
        <v>#REF!</v>
      </c>
      <c r="R2519" s="5" t="e">
        <f>IF(AND(#REF!&gt;=table!$C$7,#REF!&lt;= table!$D$7),-1,IF(AND(#REF!&gt;=table!$E$7,#REF!&lt;=table!$F$7),1,0))</f>
        <v>#REF!</v>
      </c>
      <c r="S2519" s="5" t="e">
        <f>IF(AND(#REF!&gt;=table!$C$8,#REF!&lt;= table!$D$8),-1,IF(AND(#REF!&gt;=table!$E$8,#REF!&lt;=table!$F$8),1,0))</f>
        <v>#REF!</v>
      </c>
      <c r="T2519" s="5"/>
      <c r="U2519" s="5" t="e">
        <f>IF(AND(#REF!&gt;=table!$C$10,#REF!&lt;= table!$D$10),-1,IF(AND(#REF!&gt;=table!$E$10,#REF!&lt;=table!$F$10),1,0))</f>
        <v>#REF!</v>
      </c>
      <c r="V2519" s="5" t="e">
        <f>IF(AND(#REF!&gt;=table!$C$11,#REF!&lt;= table!$D$11),-1,IF(AND(#REF!&gt;=table!$E$11,#REF!&lt;=table!$F$11),1,0))</f>
        <v>#REF!</v>
      </c>
      <c r="W2519" s="5" t="e">
        <f>CONCATENATE(dados[[#This Row],[fator1]],dados[[#This Row],[fator5]],dados[[#This Row],[fator6]])</f>
        <v>#REF!</v>
      </c>
    </row>
    <row r="2520" spans="1:23">
      <c r="A2520" t="s">
        <v>17</v>
      </c>
      <c r="B2520">
        <v>488204</v>
      </c>
      <c r="C2520">
        <v>10</v>
      </c>
      <c r="D2520">
        <v>30</v>
      </c>
      <c r="E2520">
        <v>135</v>
      </c>
      <c r="F2520">
        <v>2</v>
      </c>
      <c r="G2520">
        <v>20</v>
      </c>
      <c r="H2520">
        <v>18</v>
      </c>
      <c r="I2520">
        <v>647</v>
      </c>
      <c r="J2520">
        <v>0</v>
      </c>
      <c r="K2520">
        <v>5.6815000000000007</v>
      </c>
      <c r="L2520">
        <v>6.4675000000000002</v>
      </c>
      <c r="M2520">
        <v>124.36500000000001</v>
      </c>
      <c r="N2520">
        <v>8.3849999999999998</v>
      </c>
      <c r="O2520">
        <v>1644</v>
      </c>
      <c r="P2520">
        <v>0</v>
      </c>
      <c r="Q2520" s="5" t="e">
        <f>IF(AND(#REF!&gt;=table!$C$6,#REF!&lt;= table!$D$6),-1,IF(AND(#REF!&gt;=table!$E$6,#REF!&lt;=table!$F$6),1,0))</f>
        <v>#REF!</v>
      </c>
      <c r="R2520" s="5" t="e">
        <f>IF(AND(#REF!&gt;=table!$C$7,#REF!&lt;= table!$D$7),-1,IF(AND(#REF!&gt;=table!$E$7,#REF!&lt;=table!$F$7),1,0))</f>
        <v>#REF!</v>
      </c>
      <c r="S2520" s="5" t="e">
        <f>IF(AND(#REF!&gt;=table!$C$8,#REF!&lt;= table!$D$8),-1,IF(AND(#REF!&gt;=table!$E$8,#REF!&lt;=table!$F$8),1,0))</f>
        <v>#REF!</v>
      </c>
      <c r="T2520" s="5"/>
      <c r="U2520" s="5" t="e">
        <f>IF(AND(#REF!&gt;=table!$C$10,#REF!&lt;= table!$D$10),-1,IF(AND(#REF!&gt;=table!$E$10,#REF!&lt;=table!$F$10),1,0))</f>
        <v>#REF!</v>
      </c>
      <c r="V2520" s="5" t="e">
        <f>IF(AND(#REF!&gt;=table!$C$11,#REF!&lt;= table!$D$11),-1,IF(AND(#REF!&gt;=table!$E$11,#REF!&lt;=table!$F$11),1,0))</f>
        <v>#REF!</v>
      </c>
      <c r="W2520" s="5" t="e">
        <f>CONCATENATE(dados[[#This Row],[fator1]],dados[[#This Row],[fator5]],dados[[#This Row],[fator6]])</f>
        <v>#REF!</v>
      </c>
    </row>
    <row r="2521" spans="1:23">
      <c r="A2521" t="s">
        <v>17</v>
      </c>
      <c r="B2521">
        <v>488206</v>
      </c>
      <c r="C2521">
        <v>15</v>
      </c>
      <c r="D2521">
        <v>30</v>
      </c>
      <c r="E2521">
        <v>100</v>
      </c>
      <c r="F2521">
        <v>3</v>
      </c>
      <c r="G2521">
        <v>20</v>
      </c>
      <c r="H2521">
        <v>22</v>
      </c>
      <c r="I2521">
        <v>0</v>
      </c>
      <c r="J2521">
        <v>0</v>
      </c>
      <c r="K2521">
        <v>3.5085000000000002</v>
      </c>
      <c r="L2521">
        <v>12.055</v>
      </c>
      <c r="M2521">
        <v>94.225500000000011</v>
      </c>
      <c r="N2521">
        <v>18.8</v>
      </c>
      <c r="O2521">
        <v>1694</v>
      </c>
      <c r="P2521">
        <v>1220</v>
      </c>
      <c r="Q2521" s="5" t="e">
        <f>IF(AND(#REF!&gt;=table!$C$6,#REF!&lt;= table!$D$6),-1,IF(AND(#REF!&gt;=table!$E$6,#REF!&lt;=table!$F$6),1,0))</f>
        <v>#REF!</v>
      </c>
      <c r="R2521" s="5" t="e">
        <f>IF(AND(#REF!&gt;=table!$C$7,#REF!&lt;= table!$D$7),-1,IF(AND(#REF!&gt;=table!$E$7,#REF!&lt;=table!$F$7),1,0))</f>
        <v>#REF!</v>
      </c>
      <c r="S2521" s="5" t="e">
        <f>IF(AND(#REF!&gt;=table!$C$8,#REF!&lt;= table!$D$8),-1,IF(AND(#REF!&gt;=table!$E$8,#REF!&lt;=table!$F$8),1,0))</f>
        <v>#REF!</v>
      </c>
      <c r="T2521" s="5"/>
      <c r="U2521" s="5" t="e">
        <f>IF(AND(#REF!&gt;=table!$C$10,#REF!&lt;= table!$D$10),-1,IF(AND(#REF!&gt;=table!$E$10,#REF!&lt;=table!$F$10),1,0))</f>
        <v>#REF!</v>
      </c>
      <c r="V2521" s="5" t="e">
        <f>IF(AND(#REF!&gt;=table!$C$11,#REF!&lt;= table!$D$11),-1,IF(AND(#REF!&gt;=table!$E$11,#REF!&lt;=table!$F$11),1,0))</f>
        <v>#REF!</v>
      </c>
      <c r="W2521" s="5" t="e">
        <f>CONCATENATE(dados[[#This Row],[fator1]],dados[[#This Row],[fator5]],dados[[#This Row],[fator6]])</f>
        <v>#REF!</v>
      </c>
    </row>
    <row r="2522" spans="1:23">
      <c r="A2522" t="s">
        <v>17</v>
      </c>
      <c r="B2522">
        <v>488207</v>
      </c>
      <c r="C2522">
        <v>15</v>
      </c>
      <c r="D2522">
        <v>30</v>
      </c>
      <c r="E2522">
        <v>100</v>
      </c>
      <c r="F2522">
        <v>3</v>
      </c>
      <c r="G2522">
        <v>20</v>
      </c>
      <c r="H2522">
        <v>22</v>
      </c>
      <c r="I2522">
        <v>0</v>
      </c>
      <c r="J2522">
        <v>0</v>
      </c>
      <c r="K2522">
        <v>3.6215000000000002</v>
      </c>
      <c r="L2522">
        <v>9.9310000000000009</v>
      </c>
      <c r="M2522">
        <v>91.587000000000003</v>
      </c>
      <c r="N2522">
        <v>18.04</v>
      </c>
      <c r="O2522">
        <v>1682</v>
      </c>
      <c r="P2522">
        <v>0</v>
      </c>
      <c r="Q2522" s="5" t="e">
        <f>IF(AND(#REF!&gt;=table!$C$6,#REF!&lt;= table!$D$6),-1,IF(AND(#REF!&gt;=table!$E$6,#REF!&lt;=table!$F$6),1,0))</f>
        <v>#REF!</v>
      </c>
      <c r="R2522" s="5" t="e">
        <f>IF(AND(#REF!&gt;=table!$C$7,#REF!&lt;= table!$D$7),-1,IF(AND(#REF!&gt;=table!$E$7,#REF!&lt;=table!$F$7),1,0))</f>
        <v>#REF!</v>
      </c>
      <c r="S2522" s="5" t="e">
        <f>IF(AND(#REF!&gt;=table!$C$8,#REF!&lt;= table!$D$8),-1,IF(AND(#REF!&gt;=table!$E$8,#REF!&lt;=table!$F$8),1,0))</f>
        <v>#REF!</v>
      </c>
      <c r="T2522" s="5"/>
      <c r="U2522" s="5" t="e">
        <f>IF(AND(#REF!&gt;=table!$C$10,#REF!&lt;= table!$D$10),-1,IF(AND(#REF!&gt;=table!$E$10,#REF!&lt;=table!$F$10),1,0))</f>
        <v>#REF!</v>
      </c>
      <c r="V2522" s="5" t="e">
        <f>IF(AND(#REF!&gt;=table!$C$11,#REF!&lt;= table!$D$11),-1,IF(AND(#REF!&gt;=table!$E$11,#REF!&lt;=table!$F$11),1,0))</f>
        <v>#REF!</v>
      </c>
      <c r="W2522" s="5" t="e">
        <f>CONCATENATE(dados[[#This Row],[fator1]],dados[[#This Row],[fator5]],dados[[#This Row],[fator6]])</f>
        <v>#REF!</v>
      </c>
    </row>
    <row r="2523" spans="1:23">
      <c r="A2523" t="s">
        <v>16</v>
      </c>
      <c r="B2523">
        <v>488212</v>
      </c>
      <c r="C2523">
        <v>0.15</v>
      </c>
      <c r="D2523">
        <v>35</v>
      </c>
      <c r="E2523">
        <v>15</v>
      </c>
      <c r="F2523">
        <v>10</v>
      </c>
      <c r="G2523">
        <v>0</v>
      </c>
      <c r="H2523">
        <v>12</v>
      </c>
      <c r="I2523">
        <v>682</v>
      </c>
      <c r="J2523">
        <v>0</v>
      </c>
      <c r="K2523">
        <v>2.9984999999999999</v>
      </c>
      <c r="L2523">
        <v>10.082000000000001</v>
      </c>
      <c r="M2523">
        <v>9.2729999999999997</v>
      </c>
      <c r="N2523">
        <v>14.215</v>
      </c>
      <c r="O2523">
        <v>1661</v>
      </c>
      <c r="P2523">
        <v>840</v>
      </c>
      <c r="Q2523" s="5" t="e">
        <f>IF(AND(#REF!&gt;=table!$C$6,#REF!&lt;= table!$D$6),-1,IF(AND(#REF!&gt;=table!$E$6,#REF!&lt;=table!$F$6),1,0))</f>
        <v>#REF!</v>
      </c>
      <c r="R2523" s="5" t="e">
        <f>IF(AND(#REF!&gt;=table!$C$7,#REF!&lt;= table!$D$7),-1,IF(AND(#REF!&gt;=table!$E$7,#REF!&lt;=table!$F$7),1,0))</f>
        <v>#REF!</v>
      </c>
      <c r="S2523" s="5" t="e">
        <f>IF(AND(#REF!&gt;=table!$C$8,#REF!&lt;= table!$D$8),-1,IF(AND(#REF!&gt;=table!$E$8,#REF!&lt;=table!$F$8),1,0))</f>
        <v>#REF!</v>
      </c>
      <c r="T2523" s="5"/>
      <c r="U2523" s="5" t="e">
        <f>IF(AND(#REF!&gt;=table!$C$10,#REF!&lt;= table!$D$10),-1,IF(AND(#REF!&gt;=table!$E$10,#REF!&lt;=table!$F$10),1,0))</f>
        <v>#REF!</v>
      </c>
      <c r="V2523" s="5" t="e">
        <f>IF(AND(#REF!&gt;=table!$C$11,#REF!&lt;= table!$D$11),-1,IF(AND(#REF!&gt;=table!$E$11,#REF!&lt;=table!$F$11),1,0))</f>
        <v>#REF!</v>
      </c>
      <c r="W2523" s="5" t="e">
        <f>CONCATENATE(dados[[#This Row],[fator1]],dados[[#This Row],[fator5]],dados[[#This Row],[fator6]])</f>
        <v>#REF!</v>
      </c>
    </row>
    <row r="2524" spans="1:23">
      <c r="A2524" t="s">
        <v>16</v>
      </c>
      <c r="B2524">
        <v>488215</v>
      </c>
      <c r="C2524">
        <v>0.15</v>
      </c>
      <c r="D2524">
        <v>35</v>
      </c>
      <c r="E2524">
        <v>15</v>
      </c>
      <c r="F2524">
        <v>10</v>
      </c>
      <c r="G2524">
        <v>0</v>
      </c>
      <c r="H2524">
        <v>12</v>
      </c>
      <c r="I2524">
        <v>862</v>
      </c>
      <c r="J2524">
        <v>0</v>
      </c>
      <c r="K2524">
        <v>5.0230000000000006</v>
      </c>
      <c r="L2524">
        <v>12.743500000000001</v>
      </c>
      <c r="M2524">
        <v>11.736500000000001</v>
      </c>
      <c r="N2524">
        <v>15.4</v>
      </c>
      <c r="O2524">
        <v>1692</v>
      </c>
      <c r="P2524">
        <v>644</v>
      </c>
      <c r="Q2524" s="5" t="e">
        <f>IF(AND(#REF!&gt;=table!$C$6,#REF!&lt;= table!$D$6),-1,IF(AND(#REF!&gt;=table!$E$6,#REF!&lt;=table!$F$6),1,0))</f>
        <v>#REF!</v>
      </c>
      <c r="R2524" s="5" t="e">
        <f>IF(AND(#REF!&gt;=table!$C$7,#REF!&lt;= table!$D$7),-1,IF(AND(#REF!&gt;=table!$E$7,#REF!&lt;=table!$F$7),1,0))</f>
        <v>#REF!</v>
      </c>
      <c r="S2524" s="5" t="e">
        <f>IF(AND(#REF!&gt;=table!$C$8,#REF!&lt;= table!$D$8),-1,IF(AND(#REF!&gt;=table!$E$8,#REF!&lt;=table!$F$8),1,0))</f>
        <v>#REF!</v>
      </c>
      <c r="T2524" s="5"/>
      <c r="U2524" s="5" t="e">
        <f>IF(AND(#REF!&gt;=table!$C$10,#REF!&lt;= table!$D$10),-1,IF(AND(#REF!&gt;=table!$E$10,#REF!&lt;=table!$F$10),1,0))</f>
        <v>#REF!</v>
      </c>
      <c r="V2524" s="5" t="e">
        <f>IF(AND(#REF!&gt;=table!$C$11,#REF!&lt;= table!$D$11),-1,IF(AND(#REF!&gt;=table!$E$11,#REF!&lt;=table!$F$11),1,0))</f>
        <v>#REF!</v>
      </c>
      <c r="W2524" s="5" t="e">
        <f>CONCATENATE(dados[[#This Row],[fator1]],dados[[#This Row],[fator5]],dados[[#This Row],[fator6]])</f>
        <v>#REF!</v>
      </c>
    </row>
    <row r="2525" spans="1:23">
      <c r="A2525" t="s">
        <v>17</v>
      </c>
      <c r="B2525">
        <v>488223</v>
      </c>
      <c r="C2525">
        <v>15</v>
      </c>
      <c r="D2525">
        <v>30</v>
      </c>
      <c r="E2525">
        <v>100</v>
      </c>
      <c r="F2525">
        <v>3</v>
      </c>
      <c r="G2525">
        <v>20</v>
      </c>
      <c r="H2525">
        <v>22</v>
      </c>
      <c r="I2525">
        <v>296</v>
      </c>
      <c r="J2525">
        <v>0</v>
      </c>
      <c r="K2525">
        <v>11.762500000000001</v>
      </c>
      <c r="L2525">
        <v>16.566500000000001</v>
      </c>
      <c r="M2525">
        <v>81.591000000000008</v>
      </c>
      <c r="N2525">
        <v>14.02</v>
      </c>
      <c r="O2525">
        <v>1669</v>
      </c>
      <c r="P2525">
        <v>0</v>
      </c>
      <c r="Q2525" s="5" t="e">
        <f>IF(AND(#REF!&gt;=table!$C$6,#REF!&lt;= table!$D$6),-1,IF(AND(#REF!&gt;=table!$E$6,#REF!&lt;=table!$F$6),1,0))</f>
        <v>#REF!</v>
      </c>
      <c r="R2525" s="5" t="e">
        <f>IF(AND(#REF!&gt;=table!$C$7,#REF!&lt;= table!$D$7),-1,IF(AND(#REF!&gt;=table!$E$7,#REF!&lt;=table!$F$7),1,0))</f>
        <v>#REF!</v>
      </c>
      <c r="S2525" s="5" t="e">
        <f>IF(AND(#REF!&gt;=table!$C$8,#REF!&lt;= table!$D$8),-1,IF(AND(#REF!&gt;=table!$E$8,#REF!&lt;=table!$F$8),1,0))</f>
        <v>#REF!</v>
      </c>
      <c r="T2525" s="5"/>
      <c r="U2525" s="5" t="e">
        <f>IF(AND(#REF!&gt;=table!$C$10,#REF!&lt;= table!$D$10),-1,IF(AND(#REF!&gt;=table!$E$10,#REF!&lt;=table!$F$10),1,0))</f>
        <v>#REF!</v>
      </c>
      <c r="V2525" s="5" t="e">
        <f>IF(AND(#REF!&gt;=table!$C$11,#REF!&lt;= table!$D$11),-1,IF(AND(#REF!&gt;=table!$E$11,#REF!&lt;=table!$F$11),1,0))</f>
        <v>#REF!</v>
      </c>
      <c r="W2525" s="5" t="e">
        <f>CONCATENATE(dados[[#This Row],[fator1]],dados[[#This Row],[fator5]],dados[[#This Row],[fator6]])</f>
        <v>#REF!</v>
      </c>
    </row>
    <row r="2526" spans="1:23">
      <c r="A2526" t="s">
        <v>17</v>
      </c>
      <c r="B2526">
        <v>488224</v>
      </c>
      <c r="C2526">
        <v>15</v>
      </c>
      <c r="D2526">
        <v>30</v>
      </c>
      <c r="E2526">
        <v>100</v>
      </c>
      <c r="F2526">
        <v>3</v>
      </c>
      <c r="G2526">
        <v>20</v>
      </c>
      <c r="H2526">
        <v>22</v>
      </c>
      <c r="I2526">
        <v>581</v>
      </c>
      <c r="J2526">
        <v>0</v>
      </c>
      <c r="K2526">
        <v>8.6150000000000002</v>
      </c>
      <c r="L2526">
        <v>15.816000000000001</v>
      </c>
      <c r="M2526">
        <v>91.491</v>
      </c>
      <c r="N2526">
        <v>16.345000000000002</v>
      </c>
      <c r="O2526">
        <v>1659</v>
      </c>
      <c r="P2526">
        <v>375</v>
      </c>
      <c r="Q2526" s="5" t="e">
        <f>IF(AND(#REF!&gt;=table!$C$6,#REF!&lt;= table!$D$6),-1,IF(AND(#REF!&gt;=table!$E$6,#REF!&lt;=table!$F$6),1,0))</f>
        <v>#REF!</v>
      </c>
      <c r="R2526" s="5" t="e">
        <f>IF(AND(#REF!&gt;=table!$C$7,#REF!&lt;= table!$D$7),-1,IF(AND(#REF!&gt;=table!$E$7,#REF!&lt;=table!$F$7),1,0))</f>
        <v>#REF!</v>
      </c>
      <c r="S2526" s="5" t="e">
        <f>IF(AND(#REF!&gt;=table!$C$8,#REF!&lt;= table!$D$8),-1,IF(AND(#REF!&gt;=table!$E$8,#REF!&lt;=table!$F$8),1,0))</f>
        <v>#REF!</v>
      </c>
      <c r="T2526" s="5"/>
      <c r="U2526" s="5" t="e">
        <f>IF(AND(#REF!&gt;=table!$C$10,#REF!&lt;= table!$D$10),-1,IF(AND(#REF!&gt;=table!$E$10,#REF!&lt;=table!$F$10),1,0))</f>
        <v>#REF!</v>
      </c>
      <c r="V2526" s="5" t="e">
        <f>IF(AND(#REF!&gt;=table!$C$11,#REF!&lt;= table!$D$11),-1,IF(AND(#REF!&gt;=table!$E$11,#REF!&lt;=table!$F$11),1,0))</f>
        <v>#REF!</v>
      </c>
      <c r="W2526" s="5" t="e">
        <f>CONCATENATE(dados[[#This Row],[fator1]],dados[[#This Row],[fator5]],dados[[#This Row],[fator6]])</f>
        <v>#REF!</v>
      </c>
    </row>
    <row r="2527" spans="1:23">
      <c r="A2527" t="s">
        <v>17</v>
      </c>
      <c r="B2527">
        <v>488226</v>
      </c>
      <c r="C2527">
        <v>16</v>
      </c>
      <c r="D2527">
        <v>33</v>
      </c>
      <c r="E2527">
        <v>150</v>
      </c>
      <c r="F2527">
        <v>3</v>
      </c>
      <c r="G2527">
        <v>15</v>
      </c>
      <c r="H2527">
        <v>22</v>
      </c>
      <c r="I2527">
        <v>1064</v>
      </c>
      <c r="J2527">
        <v>0</v>
      </c>
      <c r="K2527">
        <v>6.2229999999999999</v>
      </c>
      <c r="L2527">
        <v>11.2805</v>
      </c>
      <c r="M2527">
        <v>126.5185</v>
      </c>
      <c r="N2527">
        <v>14.26</v>
      </c>
      <c r="O2527">
        <v>1685</v>
      </c>
      <c r="P2527">
        <v>0</v>
      </c>
      <c r="Q2527" s="5" t="e">
        <f>IF(AND(#REF!&gt;=table!$C$6,#REF!&lt;= table!$D$6),-1,IF(AND(#REF!&gt;=table!$E$6,#REF!&lt;=table!$F$6),1,0))</f>
        <v>#REF!</v>
      </c>
      <c r="R2527" s="5" t="e">
        <f>IF(AND(#REF!&gt;=table!$C$7,#REF!&lt;= table!$D$7),-1,IF(AND(#REF!&gt;=table!$E$7,#REF!&lt;=table!$F$7),1,0))</f>
        <v>#REF!</v>
      </c>
      <c r="S2527" s="5" t="e">
        <f>IF(AND(#REF!&gt;=table!$C$8,#REF!&lt;= table!$D$8),-1,IF(AND(#REF!&gt;=table!$E$8,#REF!&lt;=table!$F$8),1,0))</f>
        <v>#REF!</v>
      </c>
      <c r="T2527" s="5"/>
      <c r="U2527" s="5" t="e">
        <f>IF(AND(#REF!&gt;=table!$C$10,#REF!&lt;= table!$D$10),-1,IF(AND(#REF!&gt;=table!$E$10,#REF!&lt;=table!$F$10),1,0))</f>
        <v>#REF!</v>
      </c>
      <c r="V2527" s="5" t="e">
        <f>IF(AND(#REF!&gt;=table!$C$11,#REF!&lt;= table!$D$11),-1,IF(AND(#REF!&gt;=table!$E$11,#REF!&lt;=table!$F$11),1,0))</f>
        <v>#REF!</v>
      </c>
      <c r="W2527" s="5" t="e">
        <f>CONCATENATE(dados[[#This Row],[fator1]],dados[[#This Row],[fator5]],dados[[#This Row],[fator6]])</f>
        <v>#REF!</v>
      </c>
    </row>
    <row r="2528" spans="1:23">
      <c r="A2528" t="s">
        <v>17</v>
      </c>
      <c r="B2528">
        <v>488227</v>
      </c>
      <c r="C2528">
        <v>16</v>
      </c>
      <c r="D2528">
        <v>33</v>
      </c>
      <c r="E2528">
        <v>150</v>
      </c>
      <c r="F2528">
        <v>3</v>
      </c>
      <c r="G2528">
        <v>15</v>
      </c>
      <c r="H2528">
        <v>22</v>
      </c>
      <c r="I2528">
        <v>928</v>
      </c>
      <c r="J2528">
        <v>0</v>
      </c>
      <c r="K2528">
        <v>6.0855000000000006</v>
      </c>
      <c r="L2528">
        <v>11.987</v>
      </c>
      <c r="M2528">
        <v>134.34700000000001</v>
      </c>
      <c r="N2528">
        <v>16.315000000000001</v>
      </c>
      <c r="O2528">
        <v>1662</v>
      </c>
      <c r="P2528">
        <v>583</v>
      </c>
      <c r="Q2528" s="5" t="e">
        <f>IF(AND(#REF!&gt;=table!$C$6,#REF!&lt;= table!$D$6),-1,IF(AND(#REF!&gt;=table!$E$6,#REF!&lt;=table!$F$6),1,0))</f>
        <v>#REF!</v>
      </c>
      <c r="R2528" s="5" t="e">
        <f>IF(AND(#REF!&gt;=table!$C$7,#REF!&lt;= table!$D$7),-1,IF(AND(#REF!&gt;=table!$E$7,#REF!&lt;=table!$F$7),1,0))</f>
        <v>#REF!</v>
      </c>
      <c r="S2528" s="5" t="e">
        <f>IF(AND(#REF!&gt;=table!$C$8,#REF!&lt;= table!$D$8),-1,IF(AND(#REF!&gt;=table!$E$8,#REF!&lt;=table!$F$8),1,0))</f>
        <v>#REF!</v>
      </c>
      <c r="T2528" s="5"/>
      <c r="U2528" s="5" t="e">
        <f>IF(AND(#REF!&gt;=table!$C$10,#REF!&lt;= table!$D$10),-1,IF(AND(#REF!&gt;=table!$E$10,#REF!&lt;=table!$F$10),1,0))</f>
        <v>#REF!</v>
      </c>
      <c r="V2528" s="5" t="e">
        <f>IF(AND(#REF!&gt;=table!$C$11,#REF!&lt;= table!$D$11),-1,IF(AND(#REF!&gt;=table!$E$11,#REF!&lt;=table!$F$11),1,0))</f>
        <v>#REF!</v>
      </c>
      <c r="W2528" s="5" t="e">
        <f>CONCATENATE(dados[[#This Row],[fator1]],dados[[#This Row],[fator5]],dados[[#This Row],[fator6]])</f>
        <v>#REF!</v>
      </c>
    </row>
    <row r="2529" spans="1:23">
      <c r="A2529" t="s">
        <v>16</v>
      </c>
      <c r="B2529">
        <v>488228</v>
      </c>
      <c r="C2529">
        <v>16</v>
      </c>
      <c r="D2529">
        <v>35</v>
      </c>
      <c r="E2529">
        <v>56</v>
      </c>
      <c r="F2529">
        <v>10</v>
      </c>
      <c r="G2529">
        <v>0</v>
      </c>
      <c r="H2529">
        <v>25</v>
      </c>
      <c r="I2529">
        <v>2</v>
      </c>
      <c r="J2529">
        <v>0</v>
      </c>
      <c r="K2529">
        <v>7.5510000000000002</v>
      </c>
      <c r="L2529">
        <v>16.02</v>
      </c>
      <c r="M2529">
        <v>59.841000000000001</v>
      </c>
      <c r="N2529">
        <v>17.7</v>
      </c>
      <c r="O2529">
        <v>1658</v>
      </c>
      <c r="P2529">
        <v>366</v>
      </c>
      <c r="Q2529" s="5" t="e">
        <f>IF(AND(#REF!&gt;=table!$C$6,#REF!&lt;= table!$D$6),-1,IF(AND(#REF!&gt;=table!$E$6,#REF!&lt;=table!$F$6),1,0))</f>
        <v>#REF!</v>
      </c>
      <c r="R2529" s="5" t="e">
        <f>IF(AND(#REF!&gt;=table!$C$7,#REF!&lt;= table!$D$7),-1,IF(AND(#REF!&gt;=table!$E$7,#REF!&lt;=table!$F$7),1,0))</f>
        <v>#REF!</v>
      </c>
      <c r="S2529" s="5" t="e">
        <f>IF(AND(#REF!&gt;=table!$C$8,#REF!&lt;= table!$D$8),-1,IF(AND(#REF!&gt;=table!$E$8,#REF!&lt;=table!$F$8),1,0))</f>
        <v>#REF!</v>
      </c>
      <c r="T2529" s="5"/>
      <c r="U2529" s="5" t="e">
        <f>IF(AND(#REF!&gt;=table!$C$10,#REF!&lt;= table!$D$10),-1,IF(AND(#REF!&gt;=table!$E$10,#REF!&lt;=table!$F$10),1,0))</f>
        <v>#REF!</v>
      </c>
      <c r="V2529" s="5" t="e">
        <f>IF(AND(#REF!&gt;=table!$C$11,#REF!&lt;= table!$D$11),-1,IF(AND(#REF!&gt;=table!$E$11,#REF!&lt;=table!$F$11),1,0))</f>
        <v>#REF!</v>
      </c>
      <c r="W2529" s="5" t="e">
        <f>CONCATENATE(dados[[#This Row],[fator1]],dados[[#This Row],[fator5]],dados[[#This Row],[fator6]])</f>
        <v>#REF!</v>
      </c>
    </row>
    <row r="2530" spans="1:23">
      <c r="A2530" t="s">
        <v>16</v>
      </c>
      <c r="B2530">
        <v>488234</v>
      </c>
      <c r="C2530">
        <v>0.15</v>
      </c>
      <c r="D2530">
        <v>40</v>
      </c>
      <c r="E2530">
        <v>10</v>
      </c>
      <c r="F2530">
        <v>15</v>
      </c>
      <c r="G2530">
        <v>0</v>
      </c>
      <c r="H2530">
        <v>15</v>
      </c>
      <c r="I2530">
        <v>654</v>
      </c>
      <c r="J2530">
        <v>0</v>
      </c>
      <c r="K2530">
        <v>3.7880000000000003</v>
      </c>
      <c r="L2530">
        <v>4.6660000000000004</v>
      </c>
      <c r="M2530">
        <v>4.6025</v>
      </c>
      <c r="N2530">
        <v>9.11</v>
      </c>
      <c r="O2530">
        <v>1641</v>
      </c>
      <c r="P2530">
        <v>980</v>
      </c>
      <c r="Q2530" s="5" t="e">
        <f>IF(AND(#REF!&gt;=table!$C$6,#REF!&lt;= table!$D$6),-1,IF(AND(#REF!&gt;=table!$E$6,#REF!&lt;=table!$F$6),1,0))</f>
        <v>#REF!</v>
      </c>
      <c r="R2530" s="5" t="e">
        <f>IF(AND(#REF!&gt;=table!$C$7,#REF!&lt;= table!$D$7),-1,IF(AND(#REF!&gt;=table!$E$7,#REF!&lt;=table!$F$7),1,0))</f>
        <v>#REF!</v>
      </c>
      <c r="S2530" s="5" t="e">
        <f>IF(AND(#REF!&gt;=table!$C$8,#REF!&lt;= table!$D$8),-1,IF(AND(#REF!&gt;=table!$E$8,#REF!&lt;=table!$F$8),1,0))</f>
        <v>#REF!</v>
      </c>
      <c r="T2530" s="5"/>
      <c r="U2530" s="5" t="e">
        <f>IF(AND(#REF!&gt;=table!$C$10,#REF!&lt;= table!$D$10),-1,IF(AND(#REF!&gt;=table!$E$10,#REF!&lt;=table!$F$10),1,0))</f>
        <v>#REF!</v>
      </c>
      <c r="V2530" s="5" t="e">
        <f>IF(AND(#REF!&gt;=table!$C$11,#REF!&lt;= table!$D$11),-1,IF(AND(#REF!&gt;=table!$E$11,#REF!&lt;=table!$F$11),1,0))</f>
        <v>#REF!</v>
      </c>
      <c r="W2530" s="5" t="e">
        <f>CONCATENATE(dados[[#This Row],[fator1]],dados[[#This Row],[fator5]],dados[[#This Row],[fator6]])</f>
        <v>#REF!</v>
      </c>
    </row>
    <row r="2531" spans="1:23">
      <c r="A2531" t="s">
        <v>16</v>
      </c>
      <c r="B2531">
        <v>488241</v>
      </c>
      <c r="C2531">
        <v>12</v>
      </c>
      <c r="D2531">
        <v>35</v>
      </c>
      <c r="E2531">
        <v>180</v>
      </c>
      <c r="F2531">
        <v>6</v>
      </c>
      <c r="G2531">
        <v>0</v>
      </c>
      <c r="H2531">
        <v>20</v>
      </c>
      <c r="I2531">
        <v>647</v>
      </c>
      <c r="J2531">
        <v>0</v>
      </c>
      <c r="K2531">
        <v>5.2620000000000005</v>
      </c>
      <c r="L2531">
        <v>8.6155000000000008</v>
      </c>
      <c r="M2531">
        <v>163.04050000000001</v>
      </c>
      <c r="N2531">
        <v>11.51</v>
      </c>
      <c r="O2531">
        <v>1661</v>
      </c>
      <c r="P2531">
        <v>0</v>
      </c>
      <c r="Q2531" s="5" t="e">
        <f>IF(AND(#REF!&gt;=table!$C$6,#REF!&lt;= table!$D$6),-1,IF(AND(#REF!&gt;=table!$E$6,#REF!&lt;=table!$F$6),1,0))</f>
        <v>#REF!</v>
      </c>
      <c r="R2531" s="5" t="e">
        <f>IF(AND(#REF!&gt;=table!$C$7,#REF!&lt;= table!$D$7),-1,IF(AND(#REF!&gt;=table!$E$7,#REF!&lt;=table!$F$7),1,0))</f>
        <v>#REF!</v>
      </c>
      <c r="S2531" s="5" t="e">
        <f>IF(AND(#REF!&gt;=table!$C$8,#REF!&lt;= table!$D$8),-1,IF(AND(#REF!&gt;=table!$E$8,#REF!&lt;=table!$F$8),1,0))</f>
        <v>#REF!</v>
      </c>
      <c r="T2531" s="5"/>
      <c r="U2531" s="5" t="e">
        <f>IF(AND(#REF!&gt;=table!$C$10,#REF!&lt;= table!$D$10),-1,IF(AND(#REF!&gt;=table!$E$10,#REF!&lt;=table!$F$10),1,0))</f>
        <v>#REF!</v>
      </c>
      <c r="V2531" s="5" t="e">
        <f>IF(AND(#REF!&gt;=table!$C$11,#REF!&lt;= table!$D$11),-1,IF(AND(#REF!&gt;=table!$E$11,#REF!&lt;=table!$F$11),1,0))</f>
        <v>#REF!</v>
      </c>
      <c r="W2531" s="5" t="e">
        <f>CONCATENATE(dados[[#This Row],[fator1]],dados[[#This Row],[fator5]],dados[[#This Row],[fator6]])</f>
        <v>#REF!</v>
      </c>
    </row>
    <row r="2532" spans="1:23">
      <c r="A2532" t="s">
        <v>16</v>
      </c>
      <c r="B2532">
        <v>488245</v>
      </c>
      <c r="C2532">
        <v>7</v>
      </c>
      <c r="D2532">
        <v>35</v>
      </c>
      <c r="E2532">
        <v>170</v>
      </c>
      <c r="F2532">
        <v>6</v>
      </c>
      <c r="G2532">
        <v>0</v>
      </c>
      <c r="H2532">
        <v>20</v>
      </c>
      <c r="I2532">
        <v>164</v>
      </c>
      <c r="J2532">
        <v>480</v>
      </c>
      <c r="K2532">
        <v>29.2255</v>
      </c>
      <c r="L2532">
        <v>30.564</v>
      </c>
      <c r="M2532">
        <v>152.00400000000002</v>
      </c>
      <c r="N2532">
        <v>8.745000000000001</v>
      </c>
      <c r="O2532">
        <v>1653</v>
      </c>
      <c r="P2532">
        <v>0</v>
      </c>
      <c r="Q2532" s="5" t="e">
        <f>IF(AND(#REF!&gt;=table!$C$6,#REF!&lt;= table!$D$6),-1,IF(AND(#REF!&gt;=table!$E$6,#REF!&lt;=table!$F$6),1,0))</f>
        <v>#REF!</v>
      </c>
      <c r="R2532" s="5" t="e">
        <f>IF(AND(#REF!&gt;=table!$C$7,#REF!&lt;= table!$D$7),-1,IF(AND(#REF!&gt;=table!$E$7,#REF!&lt;=table!$F$7),1,0))</f>
        <v>#REF!</v>
      </c>
      <c r="S2532" s="5" t="e">
        <f>IF(AND(#REF!&gt;=table!$C$8,#REF!&lt;= table!$D$8),-1,IF(AND(#REF!&gt;=table!$E$8,#REF!&lt;=table!$F$8),1,0))</f>
        <v>#REF!</v>
      </c>
      <c r="T2532" s="5"/>
      <c r="U2532" s="5" t="e">
        <f>IF(AND(#REF!&gt;=table!$C$10,#REF!&lt;= table!$D$10),-1,IF(AND(#REF!&gt;=table!$E$10,#REF!&lt;=table!$F$10),1,0))</f>
        <v>#REF!</v>
      </c>
      <c r="V2532" s="5" t="e">
        <f>IF(AND(#REF!&gt;=table!$C$11,#REF!&lt;= table!$D$11),-1,IF(AND(#REF!&gt;=table!$E$11,#REF!&lt;=table!$F$11),1,0))</f>
        <v>#REF!</v>
      </c>
      <c r="W2532" s="5" t="e">
        <f>CONCATENATE(dados[[#This Row],[fator1]],dados[[#This Row],[fator5]],dados[[#This Row],[fator6]])</f>
        <v>#REF!</v>
      </c>
    </row>
    <row r="2533" spans="1:23">
      <c r="A2533" t="s">
        <v>17</v>
      </c>
      <c r="B2533">
        <v>488246</v>
      </c>
      <c r="C2533">
        <v>16</v>
      </c>
      <c r="D2533">
        <v>30</v>
      </c>
      <c r="E2533">
        <v>106</v>
      </c>
      <c r="F2533">
        <v>9</v>
      </c>
      <c r="G2533">
        <v>20</v>
      </c>
      <c r="H2533">
        <v>25</v>
      </c>
      <c r="I2533">
        <v>494</v>
      </c>
      <c r="J2533">
        <v>0</v>
      </c>
      <c r="K2533">
        <v>9.016</v>
      </c>
      <c r="L2533">
        <v>16.735500000000002</v>
      </c>
      <c r="M2533">
        <v>112.2765</v>
      </c>
      <c r="N2533">
        <v>15.11</v>
      </c>
      <c r="O2533">
        <v>1661</v>
      </c>
      <c r="P2533">
        <v>369</v>
      </c>
      <c r="Q2533" s="5" t="e">
        <f>IF(AND(#REF!&gt;=table!$C$6,#REF!&lt;= table!$D$6),-1,IF(AND(#REF!&gt;=table!$E$6,#REF!&lt;=table!$F$6),1,0))</f>
        <v>#REF!</v>
      </c>
      <c r="R2533" s="5" t="e">
        <f>IF(AND(#REF!&gt;=table!$C$7,#REF!&lt;= table!$D$7),-1,IF(AND(#REF!&gt;=table!$E$7,#REF!&lt;=table!$F$7),1,0))</f>
        <v>#REF!</v>
      </c>
      <c r="S2533" s="5" t="e">
        <f>IF(AND(#REF!&gt;=table!$C$8,#REF!&lt;= table!$D$8),-1,IF(AND(#REF!&gt;=table!$E$8,#REF!&lt;=table!$F$8),1,0))</f>
        <v>#REF!</v>
      </c>
      <c r="T2533" s="5"/>
      <c r="U2533" s="5" t="e">
        <f>IF(AND(#REF!&gt;=table!$C$10,#REF!&lt;= table!$D$10),-1,IF(AND(#REF!&gt;=table!$E$10,#REF!&lt;=table!$F$10),1,0))</f>
        <v>#REF!</v>
      </c>
      <c r="V2533" s="5" t="e">
        <f>IF(AND(#REF!&gt;=table!$C$11,#REF!&lt;= table!$D$11),-1,IF(AND(#REF!&gt;=table!$E$11,#REF!&lt;=table!$F$11),1,0))</f>
        <v>#REF!</v>
      </c>
      <c r="W2533" s="5" t="e">
        <f>CONCATENATE(dados[[#This Row],[fator1]],dados[[#This Row],[fator5]],dados[[#This Row],[fator6]])</f>
        <v>#REF!</v>
      </c>
    </row>
    <row r="2534" spans="1:23">
      <c r="A2534" t="s">
        <v>17</v>
      </c>
      <c r="B2534">
        <v>488248</v>
      </c>
      <c r="C2534">
        <v>14</v>
      </c>
      <c r="D2534">
        <v>25</v>
      </c>
      <c r="E2534">
        <v>130</v>
      </c>
      <c r="F2534">
        <v>9</v>
      </c>
      <c r="G2534">
        <v>110</v>
      </c>
      <c r="H2534">
        <v>50</v>
      </c>
      <c r="I2534">
        <v>312</v>
      </c>
      <c r="J2534">
        <v>0</v>
      </c>
      <c r="K2534">
        <v>12.17</v>
      </c>
      <c r="L2534">
        <v>13.399000000000001</v>
      </c>
      <c r="M2534">
        <v>113.3275</v>
      </c>
      <c r="N2534">
        <v>45.745000000000005</v>
      </c>
      <c r="O2534">
        <v>1676</v>
      </c>
      <c r="P2534">
        <v>320</v>
      </c>
      <c r="Q2534" s="5" t="e">
        <f>IF(AND(#REF!&gt;=table!$C$6,#REF!&lt;= table!$D$6),-1,IF(AND(#REF!&gt;=table!$E$6,#REF!&lt;=table!$F$6),1,0))</f>
        <v>#REF!</v>
      </c>
      <c r="R2534" s="5" t="e">
        <f>IF(AND(#REF!&gt;=table!$C$7,#REF!&lt;= table!$D$7),-1,IF(AND(#REF!&gt;=table!$E$7,#REF!&lt;=table!$F$7),1,0))</f>
        <v>#REF!</v>
      </c>
      <c r="S2534" s="5" t="e">
        <f>IF(AND(#REF!&gt;=table!$C$8,#REF!&lt;= table!$D$8),-1,IF(AND(#REF!&gt;=table!$E$8,#REF!&lt;=table!$F$8),1,0))</f>
        <v>#REF!</v>
      </c>
      <c r="T2534" s="5"/>
      <c r="U2534" s="5" t="e">
        <f>IF(AND(#REF!&gt;=table!$C$10,#REF!&lt;= table!$D$10),-1,IF(AND(#REF!&gt;=table!$E$10,#REF!&lt;=table!$F$10),1,0))</f>
        <v>#REF!</v>
      </c>
      <c r="V2534" s="5" t="e">
        <f>IF(AND(#REF!&gt;=table!$C$11,#REF!&lt;= table!$D$11),-1,IF(AND(#REF!&gt;=table!$E$11,#REF!&lt;=table!$F$11),1,0))</f>
        <v>#REF!</v>
      </c>
      <c r="W2534" s="5" t="e">
        <f>CONCATENATE(dados[[#This Row],[fator1]],dados[[#This Row],[fator5]],dados[[#This Row],[fator6]])</f>
        <v>#REF!</v>
      </c>
    </row>
    <row r="2535" spans="1:23">
      <c r="A2535" t="s">
        <v>17</v>
      </c>
      <c r="B2535">
        <v>488249</v>
      </c>
      <c r="C2535">
        <v>12</v>
      </c>
      <c r="D2535">
        <v>25</v>
      </c>
      <c r="E2535">
        <v>120</v>
      </c>
      <c r="F2535">
        <v>9</v>
      </c>
      <c r="G2535">
        <v>110</v>
      </c>
      <c r="H2535">
        <v>50</v>
      </c>
      <c r="I2535">
        <v>361</v>
      </c>
      <c r="J2535">
        <v>0</v>
      </c>
      <c r="K2535">
        <v>7.2860000000000005</v>
      </c>
      <c r="L2535">
        <v>10.1135</v>
      </c>
      <c r="M2535">
        <v>105.6455</v>
      </c>
      <c r="N2535">
        <v>38.855000000000004</v>
      </c>
      <c r="O2535">
        <v>1689</v>
      </c>
      <c r="P2535">
        <v>0</v>
      </c>
      <c r="Q2535" s="5" t="e">
        <f>IF(AND(#REF!&gt;=table!$C$6,#REF!&lt;= table!$D$6),-1,IF(AND(#REF!&gt;=table!$E$6,#REF!&lt;=table!$F$6),1,0))</f>
        <v>#REF!</v>
      </c>
      <c r="R2535" s="5" t="e">
        <f>IF(AND(#REF!&gt;=table!$C$7,#REF!&lt;= table!$D$7),-1,IF(AND(#REF!&gt;=table!$E$7,#REF!&lt;=table!$F$7),1,0))</f>
        <v>#REF!</v>
      </c>
      <c r="S2535" s="5" t="e">
        <f>IF(AND(#REF!&gt;=table!$C$8,#REF!&lt;= table!$D$8),-1,IF(AND(#REF!&gt;=table!$E$8,#REF!&lt;=table!$F$8),1,0))</f>
        <v>#REF!</v>
      </c>
      <c r="T2535" s="5"/>
      <c r="U2535" s="5" t="e">
        <f>IF(AND(#REF!&gt;=table!$C$10,#REF!&lt;= table!$D$10),-1,IF(AND(#REF!&gt;=table!$E$10,#REF!&lt;=table!$F$10),1,0))</f>
        <v>#REF!</v>
      </c>
      <c r="V2535" s="5" t="e">
        <f>IF(AND(#REF!&gt;=table!$C$11,#REF!&lt;= table!$D$11),-1,IF(AND(#REF!&gt;=table!$E$11,#REF!&lt;=table!$F$11),1,0))</f>
        <v>#REF!</v>
      </c>
      <c r="W2535" s="5" t="e">
        <f>CONCATENATE(dados[[#This Row],[fator1]],dados[[#This Row],[fator5]],dados[[#This Row],[fator6]])</f>
        <v>#REF!</v>
      </c>
    </row>
    <row r="2536" spans="1:23">
      <c r="A2536" t="s">
        <v>17</v>
      </c>
      <c r="B2536">
        <v>488250</v>
      </c>
      <c r="C2536">
        <v>7</v>
      </c>
      <c r="D2536">
        <v>25</v>
      </c>
      <c r="E2536">
        <v>106</v>
      </c>
      <c r="F2536">
        <v>9</v>
      </c>
      <c r="G2536">
        <v>110</v>
      </c>
      <c r="H2536">
        <v>50</v>
      </c>
      <c r="I2536">
        <v>0</v>
      </c>
      <c r="J2536">
        <v>0</v>
      </c>
      <c r="K2536">
        <v>5.7069999999999999</v>
      </c>
      <c r="L2536">
        <v>13.1035</v>
      </c>
      <c r="M2536">
        <v>96.628500000000003</v>
      </c>
      <c r="N2536">
        <v>37.414999999999999</v>
      </c>
      <c r="O2536">
        <v>1668</v>
      </c>
      <c r="P2536">
        <v>0</v>
      </c>
      <c r="Q2536" s="5" t="e">
        <f>IF(AND(#REF!&gt;=table!$C$6,#REF!&lt;= table!$D$6),-1,IF(AND(#REF!&gt;=table!$E$6,#REF!&lt;=table!$F$6),1,0))</f>
        <v>#REF!</v>
      </c>
      <c r="R2536" s="5" t="e">
        <f>IF(AND(#REF!&gt;=table!$C$7,#REF!&lt;= table!$D$7),-1,IF(AND(#REF!&gt;=table!$E$7,#REF!&lt;=table!$F$7),1,0))</f>
        <v>#REF!</v>
      </c>
      <c r="S2536" s="5" t="e">
        <f>IF(AND(#REF!&gt;=table!$C$8,#REF!&lt;= table!$D$8),-1,IF(AND(#REF!&gt;=table!$E$8,#REF!&lt;=table!$F$8),1,0))</f>
        <v>#REF!</v>
      </c>
      <c r="T2536" s="5"/>
      <c r="U2536" s="5" t="e">
        <f>IF(AND(#REF!&gt;=table!$C$10,#REF!&lt;= table!$D$10),-1,IF(AND(#REF!&gt;=table!$E$10,#REF!&lt;=table!$F$10),1,0))</f>
        <v>#REF!</v>
      </c>
      <c r="V2536" s="5" t="e">
        <f>IF(AND(#REF!&gt;=table!$C$11,#REF!&lt;= table!$D$11),-1,IF(AND(#REF!&gt;=table!$E$11,#REF!&lt;=table!$F$11),1,0))</f>
        <v>#REF!</v>
      </c>
      <c r="W2536" s="5" t="e">
        <f>CONCATENATE(dados[[#This Row],[fator1]],dados[[#This Row],[fator5]],dados[[#This Row],[fator6]])</f>
        <v>#REF!</v>
      </c>
    </row>
    <row r="2537" spans="1:23">
      <c r="A2537" t="s">
        <v>16</v>
      </c>
      <c r="B2537">
        <v>488253</v>
      </c>
      <c r="C2537">
        <v>9</v>
      </c>
      <c r="D2537">
        <v>33</v>
      </c>
      <c r="E2537">
        <v>153</v>
      </c>
      <c r="F2537">
        <v>4</v>
      </c>
      <c r="G2537">
        <v>0</v>
      </c>
      <c r="H2537">
        <v>25</v>
      </c>
      <c r="I2537">
        <v>792</v>
      </c>
      <c r="J2537">
        <v>0</v>
      </c>
      <c r="K2537">
        <v>3.4370000000000003</v>
      </c>
      <c r="L2537">
        <v>6.7615000000000007</v>
      </c>
      <c r="M2537">
        <v>125.08850000000001</v>
      </c>
      <c r="N2537">
        <v>11.305</v>
      </c>
      <c r="O2537">
        <v>1640</v>
      </c>
      <c r="P2537">
        <v>0</v>
      </c>
      <c r="Q2537" s="5" t="e">
        <f>IF(AND(#REF!&gt;=table!$C$6,#REF!&lt;= table!$D$6),-1,IF(AND(#REF!&gt;=table!$E$6,#REF!&lt;=table!$F$6),1,0))</f>
        <v>#REF!</v>
      </c>
      <c r="R2537" s="5" t="e">
        <f>IF(AND(#REF!&gt;=table!$C$7,#REF!&lt;= table!$D$7),-1,IF(AND(#REF!&gt;=table!$E$7,#REF!&lt;=table!$F$7),1,0))</f>
        <v>#REF!</v>
      </c>
      <c r="S2537" s="5" t="e">
        <f>IF(AND(#REF!&gt;=table!$C$8,#REF!&lt;= table!$D$8),-1,IF(AND(#REF!&gt;=table!$E$8,#REF!&lt;=table!$F$8),1,0))</f>
        <v>#REF!</v>
      </c>
      <c r="T2537" s="5"/>
      <c r="U2537" s="5" t="e">
        <f>IF(AND(#REF!&gt;=table!$C$10,#REF!&lt;= table!$D$10),-1,IF(AND(#REF!&gt;=table!$E$10,#REF!&lt;=table!$F$10),1,0))</f>
        <v>#REF!</v>
      </c>
      <c r="V2537" s="5" t="e">
        <f>IF(AND(#REF!&gt;=table!$C$11,#REF!&lt;= table!$D$11),-1,IF(AND(#REF!&gt;=table!$E$11,#REF!&lt;=table!$F$11),1,0))</f>
        <v>#REF!</v>
      </c>
      <c r="W2537" s="5" t="e">
        <f>CONCATENATE(dados[[#This Row],[fator1]],dados[[#This Row],[fator5]],dados[[#This Row],[fator6]])</f>
        <v>#REF!</v>
      </c>
    </row>
    <row r="2538" spans="1:23">
      <c r="A2538" t="s">
        <v>16</v>
      </c>
      <c r="B2538">
        <v>488263</v>
      </c>
      <c r="C2538">
        <v>4</v>
      </c>
      <c r="D2538">
        <v>40</v>
      </c>
      <c r="E2538">
        <v>21</v>
      </c>
      <c r="F2538">
        <v>20</v>
      </c>
      <c r="G2538">
        <v>0</v>
      </c>
      <c r="H2538">
        <v>25</v>
      </c>
      <c r="I2538">
        <v>562</v>
      </c>
      <c r="J2538">
        <v>630</v>
      </c>
      <c r="K2538">
        <v>4.68</v>
      </c>
      <c r="L2538">
        <v>5.0535000000000005</v>
      </c>
      <c r="M2538">
        <v>18.839000000000002</v>
      </c>
      <c r="N2538">
        <v>9.44</v>
      </c>
      <c r="O2538">
        <v>1625</v>
      </c>
      <c r="P2538">
        <v>0</v>
      </c>
      <c r="Q2538" s="5" t="e">
        <f>IF(AND(#REF!&gt;=table!$C$6,#REF!&lt;= table!$D$6),-1,IF(AND(#REF!&gt;=table!$E$6,#REF!&lt;=table!$F$6),1,0))</f>
        <v>#REF!</v>
      </c>
      <c r="R2538" s="5" t="e">
        <f>IF(AND(#REF!&gt;=table!$C$7,#REF!&lt;= table!$D$7),-1,IF(AND(#REF!&gt;=table!$E$7,#REF!&lt;=table!$F$7),1,0))</f>
        <v>#REF!</v>
      </c>
      <c r="S2538" s="5" t="e">
        <f>IF(AND(#REF!&gt;=table!$C$8,#REF!&lt;= table!$D$8),-1,IF(AND(#REF!&gt;=table!$E$8,#REF!&lt;=table!$F$8),1,0))</f>
        <v>#REF!</v>
      </c>
      <c r="T2538" s="5"/>
      <c r="U2538" s="5" t="e">
        <f>IF(AND(#REF!&gt;=table!$C$10,#REF!&lt;= table!$D$10),-1,IF(AND(#REF!&gt;=table!$E$10,#REF!&lt;=table!$F$10),1,0))</f>
        <v>#REF!</v>
      </c>
      <c r="V2538" s="5" t="e">
        <f>IF(AND(#REF!&gt;=table!$C$11,#REF!&lt;= table!$D$11),-1,IF(AND(#REF!&gt;=table!$E$11,#REF!&lt;=table!$F$11),1,0))</f>
        <v>#REF!</v>
      </c>
      <c r="W2538" s="5" t="e">
        <f>CONCATENATE(dados[[#This Row],[fator1]],dados[[#This Row],[fator5]],dados[[#This Row],[fator6]])</f>
        <v>#REF!</v>
      </c>
    </row>
    <row r="2539" spans="1:23">
      <c r="A2539" t="s">
        <v>16</v>
      </c>
      <c r="B2539">
        <v>584479</v>
      </c>
      <c r="C2539">
        <v>12</v>
      </c>
      <c r="D2539">
        <v>27</v>
      </c>
      <c r="E2539">
        <v>36</v>
      </c>
      <c r="F2539">
        <v>8</v>
      </c>
      <c r="G2539">
        <v>0</v>
      </c>
      <c r="H2539">
        <v>25</v>
      </c>
      <c r="I2539">
        <v>1108</v>
      </c>
      <c r="J2539">
        <v>0</v>
      </c>
      <c r="K2539">
        <v>7.3500000000000005</v>
      </c>
      <c r="L2539">
        <v>14.950000000000001</v>
      </c>
      <c r="M2539">
        <v>40.230000000000004</v>
      </c>
      <c r="N2539">
        <v>21.54</v>
      </c>
      <c r="O2539">
        <v>1682</v>
      </c>
      <c r="P2539">
        <v>428</v>
      </c>
      <c r="Q2539" s="5" t="e">
        <f>IF(AND(#REF!&gt;=table!$C$6,#REF!&lt;= table!$D$6),-1,IF(AND(#REF!&gt;=table!$E$6,#REF!&lt;=table!$F$6),1,0))</f>
        <v>#REF!</v>
      </c>
      <c r="R2539" s="5" t="e">
        <f>IF(AND(#REF!&gt;=table!$C$7,#REF!&lt;= table!$D$7),-1,IF(AND(#REF!&gt;=table!$E$7,#REF!&lt;=table!$F$7),1,0))</f>
        <v>#REF!</v>
      </c>
      <c r="S2539" s="5" t="e">
        <f>IF(AND(#REF!&gt;=table!$C$8,#REF!&lt;= table!$D$8),-1,IF(AND(#REF!&gt;=table!$E$8,#REF!&lt;=table!$F$8),1,0))</f>
        <v>#REF!</v>
      </c>
      <c r="T2539" s="5"/>
      <c r="U2539" s="5" t="e">
        <f>IF(AND(#REF!&gt;=table!$C$10,#REF!&lt;= table!$D$10),-1,IF(AND(#REF!&gt;=table!$E$10,#REF!&lt;=table!$F$10),1,0))</f>
        <v>#REF!</v>
      </c>
      <c r="V2539" s="5" t="e">
        <f>IF(AND(#REF!&gt;=table!$C$11,#REF!&lt;= table!$D$11),-1,IF(AND(#REF!&gt;=table!$E$11,#REF!&lt;=table!$F$11),1,0))</f>
        <v>#REF!</v>
      </c>
      <c r="W2539" s="5" t="e">
        <f>CONCATENATE(dados[[#This Row],[fator1]],dados[[#This Row],[fator5]],dados[[#This Row],[fator6]])</f>
        <v>#REF!</v>
      </c>
    </row>
    <row r="2540" spans="1:23">
      <c r="A2540" t="s">
        <v>16</v>
      </c>
      <c r="B2540">
        <v>584480</v>
      </c>
      <c r="C2540">
        <v>11</v>
      </c>
      <c r="D2540">
        <v>40</v>
      </c>
      <c r="E2540">
        <v>40</v>
      </c>
      <c r="F2540">
        <v>15</v>
      </c>
      <c r="G2540">
        <v>0</v>
      </c>
      <c r="H2540">
        <v>25</v>
      </c>
      <c r="I2540">
        <v>21</v>
      </c>
      <c r="J2540">
        <v>0</v>
      </c>
      <c r="K2540">
        <v>5.2850000000000001</v>
      </c>
      <c r="L2540">
        <v>13.6</v>
      </c>
      <c r="M2540">
        <v>41.25</v>
      </c>
      <c r="N2540">
        <v>22.75</v>
      </c>
      <c r="O2540">
        <v>1715</v>
      </c>
      <c r="P2540">
        <v>678</v>
      </c>
      <c r="Q2540" s="5" t="e">
        <f>IF(AND(#REF!&gt;=table!$C$6,#REF!&lt;= table!$D$6),-1,IF(AND(#REF!&gt;=table!$E$6,#REF!&lt;=table!$F$6),1,0))</f>
        <v>#REF!</v>
      </c>
      <c r="R2540" s="5" t="e">
        <f>IF(AND(#REF!&gt;=table!$C$7,#REF!&lt;= table!$D$7),-1,IF(AND(#REF!&gt;=table!$E$7,#REF!&lt;=table!$F$7),1,0))</f>
        <v>#REF!</v>
      </c>
      <c r="S2540" s="5" t="e">
        <f>IF(AND(#REF!&gt;=table!$C$8,#REF!&lt;= table!$D$8),-1,IF(AND(#REF!&gt;=table!$E$8,#REF!&lt;=table!$F$8),1,0))</f>
        <v>#REF!</v>
      </c>
      <c r="T2540" s="5"/>
      <c r="U2540" s="5" t="e">
        <f>IF(AND(#REF!&gt;=table!$C$10,#REF!&lt;= table!$D$10),-1,IF(AND(#REF!&gt;=table!$E$10,#REF!&lt;=table!$F$10),1,0))</f>
        <v>#REF!</v>
      </c>
      <c r="V2540" s="5" t="e">
        <f>IF(AND(#REF!&gt;=table!$C$11,#REF!&lt;= table!$D$11),-1,IF(AND(#REF!&gt;=table!$E$11,#REF!&lt;=table!$F$11),1,0))</f>
        <v>#REF!</v>
      </c>
      <c r="W2540" s="5" t="e">
        <f>CONCATENATE(dados[[#This Row],[fator1]],dados[[#This Row],[fator5]],dados[[#This Row],[fator6]])</f>
        <v>#REF!</v>
      </c>
    </row>
    <row r="2541" spans="1:23">
      <c r="A2541" t="s">
        <v>16</v>
      </c>
      <c r="B2541">
        <v>584481</v>
      </c>
      <c r="C2541">
        <v>11</v>
      </c>
      <c r="D2541">
        <v>40</v>
      </c>
      <c r="E2541">
        <v>40</v>
      </c>
      <c r="F2541">
        <v>9</v>
      </c>
      <c r="G2541">
        <v>0</v>
      </c>
      <c r="H2541">
        <v>25</v>
      </c>
      <c r="I2541">
        <v>1838</v>
      </c>
      <c r="J2541">
        <v>0</v>
      </c>
      <c r="K2541">
        <v>5.24</v>
      </c>
      <c r="L2541">
        <v>9.1950000000000003</v>
      </c>
      <c r="M2541">
        <v>33.299999999999997</v>
      </c>
      <c r="N2541">
        <v>10.700000000000001</v>
      </c>
      <c r="O2541">
        <v>1666</v>
      </c>
      <c r="P2541">
        <v>868</v>
      </c>
      <c r="Q2541" s="5" t="e">
        <f>IF(AND(#REF!&gt;=table!$C$6,#REF!&lt;= table!$D$6),-1,IF(AND(#REF!&gt;=table!$E$6,#REF!&lt;=table!$F$6),1,0))</f>
        <v>#REF!</v>
      </c>
      <c r="R2541" s="5" t="e">
        <f>IF(AND(#REF!&gt;=table!$C$7,#REF!&lt;= table!$D$7),-1,IF(AND(#REF!&gt;=table!$E$7,#REF!&lt;=table!$F$7),1,0))</f>
        <v>#REF!</v>
      </c>
      <c r="S2541" s="5" t="e">
        <f>IF(AND(#REF!&gt;=table!$C$8,#REF!&lt;= table!$D$8),-1,IF(AND(#REF!&gt;=table!$E$8,#REF!&lt;=table!$F$8),1,0))</f>
        <v>#REF!</v>
      </c>
      <c r="T2541" s="5"/>
      <c r="U2541" s="5" t="e">
        <f>IF(AND(#REF!&gt;=table!$C$10,#REF!&lt;= table!$D$10),-1,IF(AND(#REF!&gt;=table!$E$10,#REF!&lt;=table!$F$10),1,0))</f>
        <v>#REF!</v>
      </c>
      <c r="V2541" s="5" t="e">
        <f>IF(AND(#REF!&gt;=table!$C$11,#REF!&lt;= table!$D$11),-1,IF(AND(#REF!&gt;=table!$E$11,#REF!&lt;=table!$F$11),1,0))</f>
        <v>#REF!</v>
      </c>
      <c r="W2541" s="5" t="e">
        <f>CONCATENATE(dados[[#This Row],[fator1]],dados[[#This Row],[fator5]],dados[[#This Row],[fator6]])</f>
        <v>#REF!</v>
      </c>
    </row>
    <row r="2542" spans="1:23">
      <c r="A2542" t="s">
        <v>16</v>
      </c>
      <c r="B2542">
        <v>584482</v>
      </c>
      <c r="C2542">
        <v>11</v>
      </c>
      <c r="D2542">
        <v>40</v>
      </c>
      <c r="E2542">
        <v>40</v>
      </c>
      <c r="F2542">
        <v>15</v>
      </c>
      <c r="G2542">
        <v>0</v>
      </c>
      <c r="H2542">
        <v>25</v>
      </c>
      <c r="I2542">
        <v>729</v>
      </c>
      <c r="J2542">
        <v>0</v>
      </c>
      <c r="K2542">
        <v>3.4350000000000001</v>
      </c>
      <c r="L2542">
        <v>9.7000000000000011</v>
      </c>
      <c r="M2542">
        <v>37.75</v>
      </c>
      <c r="N2542">
        <v>17.400000000000002</v>
      </c>
      <c r="O2542">
        <v>1680</v>
      </c>
      <c r="P2542">
        <v>1235</v>
      </c>
      <c r="Q2542" s="5" t="e">
        <f>IF(AND(#REF!&gt;=table!$C$6,#REF!&lt;= table!$D$6),-1,IF(AND(#REF!&gt;=table!$E$6,#REF!&lt;=table!$F$6),1,0))</f>
        <v>#REF!</v>
      </c>
      <c r="R2542" s="5" t="e">
        <f>IF(AND(#REF!&gt;=table!$C$7,#REF!&lt;= table!$D$7),-1,IF(AND(#REF!&gt;=table!$E$7,#REF!&lt;=table!$F$7),1,0))</f>
        <v>#REF!</v>
      </c>
      <c r="S2542" s="5" t="e">
        <f>IF(AND(#REF!&gt;=table!$C$8,#REF!&lt;= table!$D$8),-1,IF(AND(#REF!&gt;=table!$E$8,#REF!&lt;=table!$F$8),1,0))</f>
        <v>#REF!</v>
      </c>
      <c r="T2542" s="5"/>
      <c r="U2542" s="5" t="e">
        <f>IF(AND(#REF!&gt;=table!$C$10,#REF!&lt;= table!$D$10),-1,IF(AND(#REF!&gt;=table!$E$10,#REF!&lt;=table!$F$10),1,0))</f>
        <v>#REF!</v>
      </c>
      <c r="V2542" s="5" t="e">
        <f>IF(AND(#REF!&gt;=table!$C$11,#REF!&lt;= table!$D$11),-1,IF(AND(#REF!&gt;=table!$E$11,#REF!&lt;=table!$F$11),1,0))</f>
        <v>#REF!</v>
      </c>
      <c r="W2542" s="5" t="e">
        <f>CONCATENATE(dados[[#This Row],[fator1]],dados[[#This Row],[fator5]],dados[[#This Row],[fator6]])</f>
        <v>#REF!</v>
      </c>
    </row>
    <row r="2543" spans="1:23">
      <c r="A2543" t="s">
        <v>16</v>
      </c>
      <c r="B2543">
        <v>584484</v>
      </c>
      <c r="C2543">
        <v>9</v>
      </c>
      <c r="D2543">
        <v>27</v>
      </c>
      <c r="E2543">
        <v>40</v>
      </c>
      <c r="F2543">
        <v>8</v>
      </c>
      <c r="G2543">
        <v>0</v>
      </c>
      <c r="H2543">
        <v>25</v>
      </c>
      <c r="I2543">
        <v>392</v>
      </c>
      <c r="J2543">
        <v>0</v>
      </c>
      <c r="K2543">
        <v>3.97</v>
      </c>
      <c r="L2543">
        <v>9.3000000000000007</v>
      </c>
      <c r="M2543">
        <v>33.58</v>
      </c>
      <c r="N2543">
        <v>12.895000000000001</v>
      </c>
      <c r="O2543">
        <v>1650</v>
      </c>
      <c r="P2543">
        <v>871</v>
      </c>
      <c r="Q2543" s="5" t="e">
        <f>IF(AND(#REF!&gt;=table!$C$6,#REF!&lt;= table!$D$6),-1,IF(AND(#REF!&gt;=table!$E$6,#REF!&lt;=table!$F$6),1,0))</f>
        <v>#REF!</v>
      </c>
      <c r="R2543" s="5" t="e">
        <f>IF(AND(#REF!&gt;=table!$C$7,#REF!&lt;= table!$D$7),-1,IF(AND(#REF!&gt;=table!$E$7,#REF!&lt;=table!$F$7),1,0))</f>
        <v>#REF!</v>
      </c>
      <c r="S2543" s="5" t="e">
        <f>IF(AND(#REF!&gt;=table!$C$8,#REF!&lt;= table!$D$8),-1,IF(AND(#REF!&gt;=table!$E$8,#REF!&lt;=table!$F$8),1,0))</f>
        <v>#REF!</v>
      </c>
      <c r="T2543" s="5"/>
      <c r="U2543" s="5" t="e">
        <f>IF(AND(#REF!&gt;=table!$C$10,#REF!&lt;= table!$D$10),-1,IF(AND(#REF!&gt;=table!$E$10,#REF!&lt;=table!$F$10),1,0))</f>
        <v>#REF!</v>
      </c>
      <c r="V2543" s="5" t="e">
        <f>IF(AND(#REF!&gt;=table!$C$11,#REF!&lt;= table!$D$11),-1,IF(AND(#REF!&gt;=table!$E$11,#REF!&lt;=table!$F$11),1,0))</f>
        <v>#REF!</v>
      </c>
      <c r="W2543" s="5" t="e">
        <f>CONCATENATE(dados[[#This Row],[fator1]],dados[[#This Row],[fator5]],dados[[#This Row],[fator6]])</f>
        <v>#REF!</v>
      </c>
    </row>
    <row r="2544" spans="1:23">
      <c r="A2544" t="s">
        <v>16</v>
      </c>
      <c r="B2544">
        <v>584485</v>
      </c>
      <c r="C2544">
        <v>9</v>
      </c>
      <c r="D2544">
        <v>27</v>
      </c>
      <c r="E2544">
        <v>40</v>
      </c>
      <c r="F2544">
        <v>8</v>
      </c>
      <c r="G2544">
        <v>0</v>
      </c>
      <c r="H2544">
        <v>25</v>
      </c>
      <c r="I2544">
        <v>738</v>
      </c>
      <c r="J2544">
        <v>0</v>
      </c>
      <c r="K2544">
        <v>3.605</v>
      </c>
      <c r="L2544">
        <v>9.65</v>
      </c>
      <c r="M2544">
        <v>30.95</v>
      </c>
      <c r="N2544">
        <v>14.6</v>
      </c>
      <c r="O2544">
        <v>1664</v>
      </c>
      <c r="P2544">
        <v>1033</v>
      </c>
      <c r="Q2544" s="5" t="e">
        <f>IF(AND(#REF!&gt;=table!$C$6,#REF!&lt;= table!$D$6),-1,IF(AND(#REF!&gt;=table!$E$6,#REF!&lt;=table!$F$6),1,0))</f>
        <v>#REF!</v>
      </c>
      <c r="R2544" s="5" t="e">
        <f>IF(AND(#REF!&gt;=table!$C$7,#REF!&lt;= table!$D$7),-1,IF(AND(#REF!&gt;=table!$E$7,#REF!&lt;=table!$F$7),1,0))</f>
        <v>#REF!</v>
      </c>
      <c r="S2544" s="5" t="e">
        <f>IF(AND(#REF!&gt;=table!$C$8,#REF!&lt;= table!$D$8),-1,IF(AND(#REF!&gt;=table!$E$8,#REF!&lt;=table!$F$8),1,0))</f>
        <v>#REF!</v>
      </c>
      <c r="T2544" s="5"/>
      <c r="U2544" s="5" t="e">
        <f>IF(AND(#REF!&gt;=table!$C$10,#REF!&lt;= table!$D$10),-1,IF(AND(#REF!&gt;=table!$E$10,#REF!&lt;=table!$F$10),1,0))</f>
        <v>#REF!</v>
      </c>
      <c r="V2544" s="5" t="e">
        <f>IF(AND(#REF!&gt;=table!$C$11,#REF!&lt;= table!$D$11),-1,IF(AND(#REF!&gt;=table!$E$11,#REF!&lt;=table!$F$11),1,0))</f>
        <v>#REF!</v>
      </c>
      <c r="W2544" s="5" t="e">
        <f>CONCATENATE(dados[[#This Row],[fator1]],dados[[#This Row],[fator5]],dados[[#This Row],[fator6]])</f>
        <v>#REF!</v>
      </c>
    </row>
    <row r="2545" spans="1:23">
      <c r="A2545" t="s">
        <v>16</v>
      </c>
      <c r="B2545">
        <v>584486</v>
      </c>
      <c r="C2545">
        <v>9</v>
      </c>
      <c r="D2545">
        <v>27</v>
      </c>
      <c r="E2545">
        <v>40</v>
      </c>
      <c r="F2545">
        <v>8</v>
      </c>
      <c r="G2545">
        <v>0</v>
      </c>
      <c r="H2545">
        <v>25</v>
      </c>
      <c r="I2545">
        <v>506</v>
      </c>
      <c r="J2545">
        <v>960</v>
      </c>
      <c r="K2545">
        <v>5.54</v>
      </c>
      <c r="L2545">
        <v>16.149999999999999</v>
      </c>
      <c r="M2545">
        <v>26.5</v>
      </c>
      <c r="N2545">
        <v>16.100000000000001</v>
      </c>
      <c r="O2545">
        <v>1665</v>
      </c>
      <c r="P2545">
        <v>718</v>
      </c>
      <c r="Q2545" s="5" t="e">
        <f>IF(AND(#REF!&gt;=table!$C$6,#REF!&lt;= table!$D$6),-1,IF(AND(#REF!&gt;=table!$E$6,#REF!&lt;=table!$F$6),1,0))</f>
        <v>#REF!</v>
      </c>
      <c r="R2545" s="5" t="e">
        <f>IF(AND(#REF!&gt;=table!$C$7,#REF!&lt;= table!$D$7),-1,IF(AND(#REF!&gt;=table!$E$7,#REF!&lt;=table!$F$7),1,0))</f>
        <v>#REF!</v>
      </c>
      <c r="S2545" s="5" t="e">
        <f>IF(AND(#REF!&gt;=table!$C$8,#REF!&lt;= table!$D$8),-1,IF(AND(#REF!&gt;=table!$E$8,#REF!&lt;=table!$F$8),1,0))</f>
        <v>#REF!</v>
      </c>
      <c r="T2545" s="5"/>
      <c r="U2545" s="5" t="e">
        <f>IF(AND(#REF!&gt;=table!$C$10,#REF!&lt;= table!$D$10),-1,IF(AND(#REF!&gt;=table!$E$10,#REF!&lt;=table!$F$10),1,0))</f>
        <v>#REF!</v>
      </c>
      <c r="V2545" s="5" t="e">
        <f>IF(AND(#REF!&gt;=table!$C$11,#REF!&lt;= table!$D$11),-1,IF(AND(#REF!&gt;=table!$E$11,#REF!&lt;=table!$F$11),1,0))</f>
        <v>#REF!</v>
      </c>
      <c r="W2545" s="5" t="e">
        <f>CONCATENATE(dados[[#This Row],[fator1]],dados[[#This Row],[fator5]],dados[[#This Row],[fator6]])</f>
        <v>#REF!</v>
      </c>
    </row>
    <row r="2546" spans="1:23">
      <c r="A2546" t="s">
        <v>16</v>
      </c>
      <c r="B2546">
        <v>584490</v>
      </c>
      <c r="C2546">
        <v>9</v>
      </c>
      <c r="D2546">
        <v>27</v>
      </c>
      <c r="E2546">
        <v>40</v>
      </c>
      <c r="F2546">
        <v>8</v>
      </c>
      <c r="G2546">
        <v>0</v>
      </c>
      <c r="H2546">
        <v>25</v>
      </c>
      <c r="I2546">
        <v>4</v>
      </c>
      <c r="J2546">
        <v>0</v>
      </c>
      <c r="K2546">
        <v>4.53</v>
      </c>
      <c r="L2546">
        <v>13.5</v>
      </c>
      <c r="M2546">
        <v>35.15</v>
      </c>
      <c r="N2546">
        <v>16.75</v>
      </c>
      <c r="O2546">
        <v>1684</v>
      </c>
      <c r="P2546">
        <v>0</v>
      </c>
      <c r="Q2546" s="5" t="e">
        <f>IF(AND(#REF!&gt;=table!$C$6,#REF!&lt;= table!$D$6),-1,IF(AND(#REF!&gt;=table!$E$6,#REF!&lt;=table!$F$6),1,0))</f>
        <v>#REF!</v>
      </c>
      <c r="R2546" s="5" t="e">
        <f>IF(AND(#REF!&gt;=table!$C$7,#REF!&lt;= table!$D$7),-1,IF(AND(#REF!&gt;=table!$E$7,#REF!&lt;=table!$F$7),1,0))</f>
        <v>#REF!</v>
      </c>
      <c r="S2546" s="5" t="e">
        <f>IF(AND(#REF!&gt;=table!$C$8,#REF!&lt;= table!$D$8),-1,IF(AND(#REF!&gt;=table!$E$8,#REF!&lt;=table!$F$8),1,0))</f>
        <v>#REF!</v>
      </c>
      <c r="T2546" s="5"/>
      <c r="U2546" s="5" t="e">
        <f>IF(AND(#REF!&gt;=table!$C$10,#REF!&lt;= table!$D$10),-1,IF(AND(#REF!&gt;=table!$E$10,#REF!&lt;=table!$F$10),1,0))</f>
        <v>#REF!</v>
      </c>
      <c r="V2546" s="5" t="e">
        <f>IF(AND(#REF!&gt;=table!$C$11,#REF!&lt;= table!$D$11),-1,IF(AND(#REF!&gt;=table!$E$11,#REF!&lt;=table!$F$11),1,0))</f>
        <v>#REF!</v>
      </c>
      <c r="W2546" s="5" t="e">
        <f>CONCATENATE(dados[[#This Row],[fator1]],dados[[#This Row],[fator5]],dados[[#This Row],[fator6]])</f>
        <v>#REF!</v>
      </c>
    </row>
    <row r="2547" spans="1:23">
      <c r="A2547" t="s">
        <v>16</v>
      </c>
      <c r="B2547">
        <v>584491</v>
      </c>
      <c r="C2547">
        <v>5</v>
      </c>
      <c r="D2547">
        <v>40</v>
      </c>
      <c r="E2547">
        <v>40</v>
      </c>
      <c r="F2547">
        <v>8</v>
      </c>
      <c r="G2547">
        <v>0</v>
      </c>
      <c r="H2547">
        <v>25</v>
      </c>
      <c r="I2547">
        <v>301</v>
      </c>
      <c r="J2547">
        <v>0</v>
      </c>
      <c r="K2547">
        <v>3.29</v>
      </c>
      <c r="L2547">
        <v>9.8000000000000007</v>
      </c>
      <c r="M2547">
        <v>28.900000000000002</v>
      </c>
      <c r="N2547">
        <v>13.35</v>
      </c>
      <c r="O2547">
        <v>1686</v>
      </c>
      <c r="P2547">
        <v>0</v>
      </c>
      <c r="Q2547" s="5" t="e">
        <f>IF(AND(#REF!&gt;=table!$C$6,#REF!&lt;= table!$D$6),-1,IF(AND(#REF!&gt;=table!$E$6,#REF!&lt;=table!$F$6),1,0))</f>
        <v>#REF!</v>
      </c>
      <c r="R2547" s="5" t="e">
        <f>IF(AND(#REF!&gt;=table!$C$7,#REF!&lt;= table!$D$7),-1,IF(AND(#REF!&gt;=table!$E$7,#REF!&lt;=table!$F$7),1,0))</f>
        <v>#REF!</v>
      </c>
      <c r="S2547" s="5" t="e">
        <f>IF(AND(#REF!&gt;=table!$C$8,#REF!&lt;= table!$D$8),-1,IF(AND(#REF!&gt;=table!$E$8,#REF!&lt;=table!$F$8),1,0))</f>
        <v>#REF!</v>
      </c>
      <c r="T2547" s="5"/>
      <c r="U2547" s="5" t="e">
        <f>IF(AND(#REF!&gt;=table!$C$10,#REF!&lt;= table!$D$10),-1,IF(AND(#REF!&gt;=table!$E$10,#REF!&lt;=table!$F$10),1,0))</f>
        <v>#REF!</v>
      </c>
      <c r="V2547" s="5" t="e">
        <f>IF(AND(#REF!&gt;=table!$C$11,#REF!&lt;= table!$D$11),-1,IF(AND(#REF!&gt;=table!$E$11,#REF!&lt;=table!$F$11),1,0))</f>
        <v>#REF!</v>
      </c>
      <c r="W2547" s="5" t="e">
        <f>CONCATENATE(dados[[#This Row],[fator1]],dados[[#This Row],[fator5]],dados[[#This Row],[fator6]])</f>
        <v>#REF!</v>
      </c>
    </row>
    <row r="2548" spans="1:23">
      <c r="A2548" t="s">
        <v>16</v>
      </c>
      <c r="B2548">
        <v>584492</v>
      </c>
      <c r="C2548">
        <v>5</v>
      </c>
      <c r="D2548">
        <v>40</v>
      </c>
      <c r="E2548">
        <v>36</v>
      </c>
      <c r="F2548">
        <v>8</v>
      </c>
      <c r="G2548">
        <v>0</v>
      </c>
      <c r="H2548">
        <v>25</v>
      </c>
      <c r="I2548">
        <v>815</v>
      </c>
      <c r="J2548">
        <v>0</v>
      </c>
      <c r="K2548">
        <v>4.18</v>
      </c>
      <c r="L2548">
        <v>9.1</v>
      </c>
      <c r="M2548">
        <v>32.25</v>
      </c>
      <c r="N2548">
        <v>12.9</v>
      </c>
      <c r="O2548">
        <v>1673</v>
      </c>
      <c r="P2548">
        <v>0</v>
      </c>
      <c r="Q2548" s="5" t="e">
        <f>IF(AND(#REF!&gt;=table!$C$6,#REF!&lt;= table!$D$6),-1,IF(AND(#REF!&gt;=table!$E$6,#REF!&lt;=table!$F$6),1,0))</f>
        <v>#REF!</v>
      </c>
      <c r="R2548" s="5" t="e">
        <f>IF(AND(#REF!&gt;=table!$C$7,#REF!&lt;= table!$D$7),-1,IF(AND(#REF!&gt;=table!$E$7,#REF!&lt;=table!$F$7),1,0))</f>
        <v>#REF!</v>
      </c>
      <c r="S2548" s="5" t="e">
        <f>IF(AND(#REF!&gt;=table!$C$8,#REF!&lt;= table!$D$8),-1,IF(AND(#REF!&gt;=table!$E$8,#REF!&lt;=table!$F$8),1,0))</f>
        <v>#REF!</v>
      </c>
      <c r="T2548" s="5"/>
      <c r="U2548" s="5" t="e">
        <f>IF(AND(#REF!&gt;=table!$C$10,#REF!&lt;= table!$D$10),-1,IF(AND(#REF!&gt;=table!$E$10,#REF!&lt;=table!$F$10),1,0))</f>
        <v>#REF!</v>
      </c>
      <c r="V2548" s="5" t="e">
        <f>IF(AND(#REF!&gt;=table!$C$11,#REF!&lt;= table!$D$11),-1,IF(AND(#REF!&gt;=table!$E$11,#REF!&lt;=table!$F$11),1,0))</f>
        <v>#REF!</v>
      </c>
      <c r="W2548" s="5" t="e">
        <f>CONCATENATE(dados[[#This Row],[fator1]],dados[[#This Row],[fator5]],dados[[#This Row],[fator6]])</f>
        <v>#REF!</v>
      </c>
    </row>
    <row r="2549" spans="1:23">
      <c r="A2549" t="s">
        <v>17</v>
      </c>
      <c r="B2549">
        <v>584499</v>
      </c>
      <c r="C2549">
        <v>45</v>
      </c>
      <c r="D2549">
        <v>30</v>
      </c>
      <c r="E2549">
        <v>126</v>
      </c>
      <c r="F2549">
        <v>9</v>
      </c>
      <c r="G2549">
        <v>23</v>
      </c>
      <c r="H2549">
        <v>22</v>
      </c>
      <c r="I2549">
        <v>141</v>
      </c>
      <c r="J2549">
        <v>690</v>
      </c>
      <c r="K2549">
        <v>7.1450000000000005</v>
      </c>
      <c r="L2549">
        <v>16.649999999999999</v>
      </c>
      <c r="M2549">
        <v>109.2</v>
      </c>
      <c r="N2549">
        <v>20</v>
      </c>
      <c r="O2549">
        <v>1663</v>
      </c>
      <c r="P2549">
        <v>467</v>
      </c>
      <c r="Q2549" s="5" t="e">
        <f>IF(AND(#REF!&gt;=table!$C$6,#REF!&lt;= table!$D$6),-1,IF(AND(#REF!&gt;=table!$E$6,#REF!&lt;=table!$F$6),1,0))</f>
        <v>#REF!</v>
      </c>
      <c r="R2549" s="5" t="e">
        <f>IF(AND(#REF!&gt;=table!$C$7,#REF!&lt;= table!$D$7),-1,IF(AND(#REF!&gt;=table!$E$7,#REF!&lt;=table!$F$7),1,0))</f>
        <v>#REF!</v>
      </c>
      <c r="S2549" s="5" t="e">
        <f>IF(AND(#REF!&gt;=table!$C$8,#REF!&lt;= table!$D$8),-1,IF(AND(#REF!&gt;=table!$E$8,#REF!&lt;=table!$F$8),1,0))</f>
        <v>#REF!</v>
      </c>
      <c r="T2549" s="5"/>
      <c r="U2549" s="5" t="e">
        <f>IF(AND(#REF!&gt;=table!$C$10,#REF!&lt;= table!$D$10),-1,IF(AND(#REF!&gt;=table!$E$10,#REF!&lt;=table!$F$10),1,0))</f>
        <v>#REF!</v>
      </c>
      <c r="V2549" s="5" t="e">
        <f>IF(AND(#REF!&gt;=table!$C$11,#REF!&lt;= table!$D$11),-1,IF(AND(#REF!&gt;=table!$E$11,#REF!&lt;=table!$F$11),1,0))</f>
        <v>#REF!</v>
      </c>
      <c r="W2549" s="5" t="e">
        <f>CONCATENATE(dados[[#This Row],[fator1]],dados[[#This Row],[fator5]],dados[[#This Row],[fator6]])</f>
        <v>#REF!</v>
      </c>
    </row>
    <row r="2550" spans="1:23">
      <c r="A2550" t="s">
        <v>16</v>
      </c>
      <c r="B2550">
        <v>584500</v>
      </c>
      <c r="C2550">
        <v>8</v>
      </c>
      <c r="D2550">
        <v>27</v>
      </c>
      <c r="E2550">
        <v>90</v>
      </c>
      <c r="F2550">
        <v>8</v>
      </c>
      <c r="G2550">
        <v>0</v>
      </c>
      <c r="H2550">
        <v>22</v>
      </c>
      <c r="I2550">
        <v>139</v>
      </c>
      <c r="J2550">
        <v>0</v>
      </c>
      <c r="K2550">
        <v>8.3650000000000002</v>
      </c>
      <c r="L2550">
        <v>12.25</v>
      </c>
      <c r="M2550">
        <v>37.950000000000003</v>
      </c>
      <c r="N2550">
        <v>13</v>
      </c>
      <c r="O2550">
        <v>1676</v>
      </c>
      <c r="P2550">
        <v>446</v>
      </c>
      <c r="Q2550" s="5" t="e">
        <f>IF(AND(#REF!&gt;=table!$C$6,#REF!&lt;= table!$D$6),-1,IF(AND(#REF!&gt;=table!$E$6,#REF!&lt;=table!$F$6),1,0))</f>
        <v>#REF!</v>
      </c>
      <c r="R2550" s="5" t="e">
        <f>IF(AND(#REF!&gt;=table!$C$7,#REF!&lt;= table!$D$7),-1,IF(AND(#REF!&gt;=table!$E$7,#REF!&lt;=table!$F$7),1,0))</f>
        <v>#REF!</v>
      </c>
      <c r="S2550" s="5" t="e">
        <f>IF(AND(#REF!&gt;=table!$C$8,#REF!&lt;= table!$D$8),-1,IF(AND(#REF!&gt;=table!$E$8,#REF!&lt;=table!$F$8),1,0))</f>
        <v>#REF!</v>
      </c>
      <c r="T2550" s="5"/>
      <c r="U2550" s="5" t="e">
        <f>IF(AND(#REF!&gt;=table!$C$10,#REF!&lt;= table!$D$10),-1,IF(AND(#REF!&gt;=table!$E$10,#REF!&lt;=table!$F$10),1,0))</f>
        <v>#REF!</v>
      </c>
      <c r="V2550" s="5" t="e">
        <f>IF(AND(#REF!&gt;=table!$C$11,#REF!&lt;= table!$D$11),-1,IF(AND(#REF!&gt;=table!$E$11,#REF!&lt;=table!$F$11),1,0))</f>
        <v>#REF!</v>
      </c>
      <c r="W2550" s="5" t="e">
        <f>CONCATENATE(dados[[#This Row],[fator1]],dados[[#This Row],[fator5]],dados[[#This Row],[fator6]])</f>
        <v>#REF!</v>
      </c>
    </row>
    <row r="2551" spans="1:23">
      <c r="A2551" t="s">
        <v>16</v>
      </c>
      <c r="B2551">
        <v>584502</v>
      </c>
      <c r="C2551">
        <v>8</v>
      </c>
      <c r="D2551">
        <v>27</v>
      </c>
      <c r="E2551">
        <v>65</v>
      </c>
      <c r="F2551">
        <v>8</v>
      </c>
      <c r="G2551">
        <v>0</v>
      </c>
      <c r="H2551">
        <v>25</v>
      </c>
      <c r="I2551">
        <v>557</v>
      </c>
      <c r="J2551">
        <v>470</v>
      </c>
      <c r="K2551">
        <v>9.5549999999999997</v>
      </c>
      <c r="L2551">
        <v>16.2</v>
      </c>
      <c r="M2551">
        <v>66.099999999999994</v>
      </c>
      <c r="N2551">
        <v>12</v>
      </c>
      <c r="O2551">
        <v>1679</v>
      </c>
      <c r="P2551">
        <v>414</v>
      </c>
      <c r="Q2551" s="5" t="e">
        <f>IF(AND(#REF!&gt;=table!$C$6,#REF!&lt;= table!$D$6),-1,IF(AND(#REF!&gt;=table!$E$6,#REF!&lt;=table!$F$6),1,0))</f>
        <v>#REF!</v>
      </c>
      <c r="R2551" s="5" t="e">
        <f>IF(AND(#REF!&gt;=table!$C$7,#REF!&lt;= table!$D$7),-1,IF(AND(#REF!&gt;=table!$E$7,#REF!&lt;=table!$F$7),1,0))</f>
        <v>#REF!</v>
      </c>
      <c r="S2551" s="5" t="e">
        <f>IF(AND(#REF!&gt;=table!$C$8,#REF!&lt;= table!$D$8),-1,IF(AND(#REF!&gt;=table!$E$8,#REF!&lt;=table!$F$8),1,0))</f>
        <v>#REF!</v>
      </c>
      <c r="T2551" s="5"/>
      <c r="U2551" s="5" t="e">
        <f>IF(AND(#REF!&gt;=table!$C$10,#REF!&lt;= table!$D$10),-1,IF(AND(#REF!&gt;=table!$E$10,#REF!&lt;=table!$F$10),1,0))</f>
        <v>#REF!</v>
      </c>
      <c r="V2551" s="5" t="e">
        <f>IF(AND(#REF!&gt;=table!$C$11,#REF!&lt;= table!$D$11),-1,IF(AND(#REF!&gt;=table!$E$11,#REF!&lt;=table!$F$11),1,0))</f>
        <v>#REF!</v>
      </c>
      <c r="W2551" s="5" t="e">
        <f>CONCATENATE(dados[[#This Row],[fator1]],dados[[#This Row],[fator5]],dados[[#This Row],[fator6]])</f>
        <v>#REF!</v>
      </c>
    </row>
    <row r="2552" spans="1:23">
      <c r="A2552" t="s">
        <v>16</v>
      </c>
      <c r="B2552">
        <v>584506</v>
      </c>
      <c r="C2552">
        <v>3</v>
      </c>
      <c r="D2552">
        <v>30</v>
      </c>
      <c r="E2552">
        <v>20</v>
      </c>
      <c r="F2552">
        <v>15</v>
      </c>
      <c r="G2552">
        <v>0</v>
      </c>
      <c r="H2552">
        <v>25</v>
      </c>
      <c r="I2552">
        <v>1046</v>
      </c>
      <c r="J2552">
        <v>680</v>
      </c>
      <c r="K2552">
        <v>3.65</v>
      </c>
      <c r="L2552">
        <v>14.65</v>
      </c>
      <c r="M2552">
        <v>20</v>
      </c>
      <c r="N2552">
        <v>18</v>
      </c>
      <c r="O2552">
        <v>1677</v>
      </c>
      <c r="P2552">
        <v>876</v>
      </c>
      <c r="Q2552" s="5" t="e">
        <f>IF(AND(#REF!&gt;=table!$C$6,#REF!&lt;= table!$D$6),-1,IF(AND(#REF!&gt;=table!$E$6,#REF!&lt;=table!$F$6),1,0))</f>
        <v>#REF!</v>
      </c>
      <c r="R2552" s="5" t="e">
        <f>IF(AND(#REF!&gt;=table!$C$7,#REF!&lt;= table!$D$7),-1,IF(AND(#REF!&gt;=table!$E$7,#REF!&lt;=table!$F$7),1,0))</f>
        <v>#REF!</v>
      </c>
      <c r="S2552" s="5" t="e">
        <f>IF(AND(#REF!&gt;=table!$C$8,#REF!&lt;= table!$D$8),-1,IF(AND(#REF!&gt;=table!$E$8,#REF!&lt;=table!$F$8),1,0))</f>
        <v>#REF!</v>
      </c>
      <c r="T2552" s="5"/>
      <c r="U2552" s="5" t="e">
        <f>IF(AND(#REF!&gt;=table!$C$10,#REF!&lt;= table!$D$10),-1,IF(AND(#REF!&gt;=table!$E$10,#REF!&lt;=table!$F$10),1,0))</f>
        <v>#REF!</v>
      </c>
      <c r="V2552" s="5" t="e">
        <f>IF(AND(#REF!&gt;=table!$C$11,#REF!&lt;= table!$D$11),-1,IF(AND(#REF!&gt;=table!$E$11,#REF!&lt;=table!$F$11),1,0))</f>
        <v>#REF!</v>
      </c>
      <c r="W2552" s="5" t="e">
        <f>CONCATENATE(dados[[#This Row],[fator1]],dados[[#This Row],[fator5]],dados[[#This Row],[fator6]])</f>
        <v>#REF!</v>
      </c>
    </row>
    <row r="2553" spans="1:23">
      <c r="A2553" t="s">
        <v>16</v>
      </c>
      <c r="B2553">
        <v>584507</v>
      </c>
      <c r="C2553">
        <v>7</v>
      </c>
      <c r="D2553">
        <v>35</v>
      </c>
      <c r="E2553">
        <v>170</v>
      </c>
      <c r="F2553">
        <v>6</v>
      </c>
      <c r="G2553">
        <v>0</v>
      </c>
      <c r="H2553">
        <v>20</v>
      </c>
      <c r="I2553">
        <v>6</v>
      </c>
      <c r="J2553">
        <v>0</v>
      </c>
      <c r="K2553">
        <v>4.4400000000000004</v>
      </c>
      <c r="L2553">
        <v>12.05</v>
      </c>
      <c r="M2553">
        <v>129.35500000000002</v>
      </c>
      <c r="N2553">
        <v>15.66</v>
      </c>
      <c r="O2553">
        <v>1683</v>
      </c>
      <c r="P2553">
        <v>913</v>
      </c>
      <c r="Q2553" s="5" t="e">
        <f>IF(AND(#REF!&gt;=table!$C$6,#REF!&lt;= table!$D$6),-1,IF(AND(#REF!&gt;=table!$E$6,#REF!&lt;=table!$F$6),1,0))</f>
        <v>#REF!</v>
      </c>
      <c r="R2553" s="5" t="e">
        <f>IF(AND(#REF!&gt;=table!$C$7,#REF!&lt;= table!$D$7),-1,IF(AND(#REF!&gt;=table!$E$7,#REF!&lt;=table!$F$7),1,0))</f>
        <v>#REF!</v>
      </c>
      <c r="S2553" s="5" t="e">
        <f>IF(AND(#REF!&gt;=table!$C$8,#REF!&lt;= table!$D$8),-1,IF(AND(#REF!&gt;=table!$E$8,#REF!&lt;=table!$F$8),1,0))</f>
        <v>#REF!</v>
      </c>
      <c r="T2553" s="5"/>
      <c r="U2553" s="5" t="e">
        <f>IF(AND(#REF!&gt;=table!$C$10,#REF!&lt;= table!$D$10),-1,IF(AND(#REF!&gt;=table!$E$10,#REF!&lt;=table!$F$10),1,0))</f>
        <v>#REF!</v>
      </c>
      <c r="V2553" s="5" t="e">
        <f>IF(AND(#REF!&gt;=table!$C$11,#REF!&lt;= table!$D$11),-1,IF(AND(#REF!&gt;=table!$E$11,#REF!&lt;=table!$F$11),1,0))</f>
        <v>#REF!</v>
      </c>
      <c r="W2553" s="5" t="e">
        <f>CONCATENATE(dados[[#This Row],[fator1]],dados[[#This Row],[fator5]],dados[[#This Row],[fator6]])</f>
        <v>#REF!</v>
      </c>
    </row>
    <row r="2554" spans="1:23">
      <c r="A2554" t="s">
        <v>16</v>
      </c>
      <c r="B2554">
        <v>584509</v>
      </c>
      <c r="C2554">
        <v>7</v>
      </c>
      <c r="D2554">
        <v>35</v>
      </c>
      <c r="E2554">
        <v>170</v>
      </c>
      <c r="F2554">
        <v>6</v>
      </c>
      <c r="G2554">
        <v>0</v>
      </c>
      <c r="H2554">
        <v>20</v>
      </c>
      <c r="I2554">
        <v>0</v>
      </c>
      <c r="J2554">
        <v>1470</v>
      </c>
      <c r="K2554">
        <v>6.48</v>
      </c>
      <c r="L2554">
        <v>17.55</v>
      </c>
      <c r="M2554">
        <v>145.70000000000002</v>
      </c>
      <c r="N2554">
        <v>12.65</v>
      </c>
      <c r="O2554">
        <v>1678</v>
      </c>
      <c r="P2554">
        <v>0</v>
      </c>
      <c r="Q2554" s="5" t="e">
        <f>IF(AND(#REF!&gt;=table!$C$6,#REF!&lt;= table!$D$6),-1,IF(AND(#REF!&gt;=table!$E$6,#REF!&lt;=table!$F$6),1,0))</f>
        <v>#REF!</v>
      </c>
      <c r="R2554" s="5" t="e">
        <f>IF(AND(#REF!&gt;=table!$C$7,#REF!&lt;= table!$D$7),-1,IF(AND(#REF!&gt;=table!$E$7,#REF!&lt;=table!$F$7),1,0))</f>
        <v>#REF!</v>
      </c>
      <c r="S2554" s="5" t="e">
        <f>IF(AND(#REF!&gt;=table!$C$8,#REF!&lt;= table!$D$8),-1,IF(AND(#REF!&gt;=table!$E$8,#REF!&lt;=table!$F$8),1,0))</f>
        <v>#REF!</v>
      </c>
      <c r="T2554" s="5"/>
      <c r="U2554" s="5" t="e">
        <f>IF(AND(#REF!&gt;=table!$C$10,#REF!&lt;= table!$D$10),-1,IF(AND(#REF!&gt;=table!$E$10,#REF!&lt;=table!$F$10),1,0))</f>
        <v>#REF!</v>
      </c>
      <c r="V2554" s="5" t="e">
        <f>IF(AND(#REF!&gt;=table!$C$11,#REF!&lt;= table!$D$11),-1,IF(AND(#REF!&gt;=table!$E$11,#REF!&lt;=table!$F$11),1,0))</f>
        <v>#REF!</v>
      </c>
      <c r="W2554" s="5" t="e">
        <f>CONCATENATE(dados[[#This Row],[fator1]],dados[[#This Row],[fator5]],dados[[#This Row],[fator6]])</f>
        <v>#REF!</v>
      </c>
    </row>
    <row r="2555" spans="1:23">
      <c r="A2555" t="s">
        <v>17</v>
      </c>
      <c r="B2555">
        <v>584516</v>
      </c>
      <c r="C2555">
        <v>0.15</v>
      </c>
      <c r="D2555">
        <v>40</v>
      </c>
      <c r="E2555">
        <v>105</v>
      </c>
      <c r="F2555">
        <v>10</v>
      </c>
      <c r="G2555">
        <v>10</v>
      </c>
      <c r="H2555">
        <v>80</v>
      </c>
      <c r="I2555">
        <v>737</v>
      </c>
      <c r="J2555">
        <v>0</v>
      </c>
      <c r="K2555">
        <v>3.24</v>
      </c>
      <c r="L2555">
        <v>12.9</v>
      </c>
      <c r="M2555">
        <v>11.450000000000001</v>
      </c>
      <c r="N2555">
        <v>25.725000000000001</v>
      </c>
      <c r="O2555">
        <v>1691</v>
      </c>
      <c r="P2555">
        <v>1282</v>
      </c>
      <c r="Q2555" s="5" t="e">
        <f>IF(AND(#REF!&gt;=table!$C$6,#REF!&lt;= table!$D$6),-1,IF(AND(#REF!&gt;=table!$E$6,#REF!&lt;=table!$F$6),1,0))</f>
        <v>#REF!</v>
      </c>
      <c r="R2555" s="5" t="e">
        <f>IF(AND(#REF!&gt;=table!$C$7,#REF!&lt;= table!$D$7),-1,IF(AND(#REF!&gt;=table!$E$7,#REF!&lt;=table!$F$7),1,0))</f>
        <v>#REF!</v>
      </c>
      <c r="S2555" s="5" t="e">
        <f>IF(AND(#REF!&gt;=table!$C$8,#REF!&lt;= table!$D$8),-1,IF(AND(#REF!&gt;=table!$E$8,#REF!&lt;=table!$F$8),1,0))</f>
        <v>#REF!</v>
      </c>
      <c r="T2555" s="5"/>
      <c r="U2555" s="5" t="e">
        <f>IF(AND(#REF!&gt;=table!$C$10,#REF!&lt;= table!$D$10),-1,IF(AND(#REF!&gt;=table!$E$10,#REF!&lt;=table!$F$10),1,0))</f>
        <v>#REF!</v>
      </c>
      <c r="V2555" s="5" t="e">
        <f>IF(AND(#REF!&gt;=table!$C$11,#REF!&lt;= table!$D$11),-1,IF(AND(#REF!&gt;=table!$E$11,#REF!&lt;=table!$F$11),1,0))</f>
        <v>#REF!</v>
      </c>
      <c r="W2555" s="5" t="e">
        <f>CONCATENATE(dados[[#This Row],[fator1]],dados[[#This Row],[fator5]],dados[[#This Row],[fator6]])</f>
        <v>#REF!</v>
      </c>
    </row>
    <row r="2556" spans="1:23">
      <c r="A2556" t="s">
        <v>17</v>
      </c>
      <c r="B2556">
        <v>584517</v>
      </c>
      <c r="C2556">
        <v>0.15</v>
      </c>
      <c r="D2556">
        <v>40</v>
      </c>
      <c r="E2556">
        <v>105</v>
      </c>
      <c r="F2556">
        <v>10</v>
      </c>
      <c r="G2556">
        <v>10</v>
      </c>
      <c r="H2556">
        <v>80</v>
      </c>
      <c r="I2556">
        <v>1072</v>
      </c>
      <c r="J2556">
        <v>0</v>
      </c>
      <c r="K2556">
        <v>3.7600000000000002</v>
      </c>
      <c r="L2556">
        <v>10.950000000000001</v>
      </c>
      <c r="M2556">
        <v>10.335000000000001</v>
      </c>
      <c r="N2556">
        <v>46.74</v>
      </c>
      <c r="O2556">
        <v>1675</v>
      </c>
      <c r="P2556">
        <v>1177</v>
      </c>
      <c r="Q2556" s="5" t="e">
        <f>IF(AND(#REF!&gt;=table!$C$6,#REF!&lt;= table!$D$6),-1,IF(AND(#REF!&gt;=table!$E$6,#REF!&lt;=table!$F$6),1,0))</f>
        <v>#REF!</v>
      </c>
      <c r="R2556" s="5" t="e">
        <f>IF(AND(#REF!&gt;=table!$C$7,#REF!&lt;= table!$D$7),-1,IF(AND(#REF!&gt;=table!$E$7,#REF!&lt;=table!$F$7),1,0))</f>
        <v>#REF!</v>
      </c>
      <c r="S2556" s="5" t="e">
        <f>IF(AND(#REF!&gt;=table!$C$8,#REF!&lt;= table!$D$8),-1,IF(AND(#REF!&gt;=table!$E$8,#REF!&lt;=table!$F$8),1,0))</f>
        <v>#REF!</v>
      </c>
      <c r="T2556" s="5"/>
      <c r="U2556" s="5" t="e">
        <f>IF(AND(#REF!&gt;=table!$C$10,#REF!&lt;= table!$D$10),-1,IF(AND(#REF!&gt;=table!$E$10,#REF!&lt;=table!$F$10),1,0))</f>
        <v>#REF!</v>
      </c>
      <c r="V2556" s="5" t="e">
        <f>IF(AND(#REF!&gt;=table!$C$11,#REF!&lt;= table!$D$11),-1,IF(AND(#REF!&gt;=table!$E$11,#REF!&lt;=table!$F$11),1,0))</f>
        <v>#REF!</v>
      </c>
      <c r="W2556" s="5" t="e">
        <f>CONCATENATE(dados[[#This Row],[fator1]],dados[[#This Row],[fator5]],dados[[#This Row],[fator6]])</f>
        <v>#REF!</v>
      </c>
    </row>
    <row r="2557" spans="1:23">
      <c r="A2557" t="s">
        <v>16</v>
      </c>
      <c r="B2557">
        <v>584520</v>
      </c>
      <c r="C2557">
        <v>5</v>
      </c>
      <c r="D2557">
        <v>40</v>
      </c>
      <c r="E2557">
        <v>40</v>
      </c>
      <c r="F2557">
        <v>8</v>
      </c>
      <c r="G2557">
        <v>0</v>
      </c>
      <c r="H2557">
        <v>25</v>
      </c>
      <c r="I2557">
        <v>27</v>
      </c>
      <c r="J2557">
        <v>580</v>
      </c>
      <c r="K2557">
        <v>3.2950000000000004</v>
      </c>
      <c r="L2557">
        <v>15</v>
      </c>
      <c r="M2557">
        <v>19.25</v>
      </c>
      <c r="N2557">
        <v>17.3</v>
      </c>
      <c r="O2557">
        <v>1693</v>
      </c>
      <c r="P2557">
        <v>1090</v>
      </c>
      <c r="Q2557" s="5" t="e">
        <f>IF(AND(#REF!&gt;=table!$C$6,#REF!&lt;= table!$D$6),-1,IF(AND(#REF!&gt;=table!$E$6,#REF!&lt;=table!$F$6),1,0))</f>
        <v>#REF!</v>
      </c>
      <c r="R2557" s="5" t="e">
        <f>IF(AND(#REF!&gt;=table!$C$7,#REF!&lt;= table!$D$7),-1,IF(AND(#REF!&gt;=table!$E$7,#REF!&lt;=table!$F$7),1,0))</f>
        <v>#REF!</v>
      </c>
      <c r="S2557" s="5" t="e">
        <f>IF(AND(#REF!&gt;=table!$C$8,#REF!&lt;= table!$D$8),-1,IF(AND(#REF!&gt;=table!$E$8,#REF!&lt;=table!$F$8),1,0))</f>
        <v>#REF!</v>
      </c>
      <c r="T2557" s="5"/>
      <c r="U2557" s="5" t="e">
        <f>IF(AND(#REF!&gt;=table!$C$10,#REF!&lt;= table!$D$10),-1,IF(AND(#REF!&gt;=table!$E$10,#REF!&lt;=table!$F$10),1,0))</f>
        <v>#REF!</v>
      </c>
      <c r="V2557" s="5" t="e">
        <f>IF(AND(#REF!&gt;=table!$C$11,#REF!&lt;= table!$D$11),-1,IF(AND(#REF!&gt;=table!$E$11,#REF!&lt;=table!$F$11),1,0))</f>
        <v>#REF!</v>
      </c>
      <c r="W2557" s="5" t="e">
        <f>CONCATENATE(dados[[#This Row],[fator1]],dados[[#This Row],[fator5]],dados[[#This Row],[fator6]])</f>
        <v>#REF!</v>
      </c>
    </row>
    <row r="2558" spans="1:23">
      <c r="A2558" t="s">
        <v>16</v>
      </c>
      <c r="B2558">
        <v>584523</v>
      </c>
      <c r="C2558">
        <v>8</v>
      </c>
      <c r="D2558">
        <v>27</v>
      </c>
      <c r="E2558">
        <v>65</v>
      </c>
      <c r="F2558">
        <v>8</v>
      </c>
      <c r="G2558">
        <v>0</v>
      </c>
      <c r="H2558">
        <v>25</v>
      </c>
      <c r="I2558">
        <v>1005</v>
      </c>
      <c r="J2558">
        <v>0</v>
      </c>
      <c r="K2558">
        <v>5.5750000000000002</v>
      </c>
      <c r="L2558">
        <v>13.85</v>
      </c>
      <c r="M2558">
        <v>54.35</v>
      </c>
      <c r="N2558">
        <v>16.95</v>
      </c>
      <c r="O2558">
        <v>1689</v>
      </c>
      <c r="P2558">
        <v>830</v>
      </c>
      <c r="Q2558" s="5" t="e">
        <f>IF(AND(#REF!&gt;=table!$C$6,#REF!&lt;= table!$D$6),-1,IF(AND(#REF!&gt;=table!$E$6,#REF!&lt;=table!$F$6),1,0))</f>
        <v>#REF!</v>
      </c>
      <c r="R2558" s="5" t="e">
        <f>IF(AND(#REF!&gt;=table!$C$7,#REF!&lt;= table!$D$7),-1,IF(AND(#REF!&gt;=table!$E$7,#REF!&lt;=table!$F$7),1,0))</f>
        <v>#REF!</v>
      </c>
      <c r="S2558" s="5" t="e">
        <f>IF(AND(#REF!&gt;=table!$C$8,#REF!&lt;= table!$D$8),-1,IF(AND(#REF!&gt;=table!$E$8,#REF!&lt;=table!$F$8),1,0))</f>
        <v>#REF!</v>
      </c>
      <c r="T2558" s="5"/>
      <c r="U2558" s="5" t="e">
        <f>IF(AND(#REF!&gt;=table!$C$10,#REF!&lt;= table!$D$10),-1,IF(AND(#REF!&gt;=table!$E$10,#REF!&lt;=table!$F$10),1,0))</f>
        <v>#REF!</v>
      </c>
      <c r="V2558" s="5" t="e">
        <f>IF(AND(#REF!&gt;=table!$C$11,#REF!&lt;= table!$D$11),-1,IF(AND(#REF!&gt;=table!$E$11,#REF!&lt;=table!$F$11),1,0))</f>
        <v>#REF!</v>
      </c>
      <c r="W2558" s="5" t="e">
        <f>CONCATENATE(dados[[#This Row],[fator1]],dados[[#This Row],[fator5]],dados[[#This Row],[fator6]])</f>
        <v>#REF!</v>
      </c>
    </row>
    <row r="2559" spans="1:23">
      <c r="A2559" t="s">
        <v>16</v>
      </c>
      <c r="B2559">
        <v>584525</v>
      </c>
      <c r="C2559">
        <v>11</v>
      </c>
      <c r="D2559">
        <v>40</v>
      </c>
      <c r="E2559">
        <v>151</v>
      </c>
      <c r="F2559">
        <v>8</v>
      </c>
      <c r="G2559">
        <v>0</v>
      </c>
      <c r="H2559">
        <v>25</v>
      </c>
      <c r="I2559">
        <v>1024</v>
      </c>
      <c r="J2559">
        <v>0</v>
      </c>
      <c r="K2559">
        <v>5.4649999999999999</v>
      </c>
      <c r="L2559">
        <v>11.55</v>
      </c>
      <c r="M2559">
        <v>111.495</v>
      </c>
      <c r="N2559">
        <v>20.785</v>
      </c>
      <c r="O2559">
        <v>1678</v>
      </c>
      <c r="P2559">
        <v>977</v>
      </c>
      <c r="Q2559" s="5" t="e">
        <f>IF(AND(#REF!&gt;=table!$C$6,#REF!&lt;= table!$D$6),-1,IF(AND(#REF!&gt;=table!$E$6,#REF!&lt;=table!$F$6),1,0))</f>
        <v>#REF!</v>
      </c>
      <c r="R2559" s="5" t="e">
        <f>IF(AND(#REF!&gt;=table!$C$7,#REF!&lt;= table!$D$7),-1,IF(AND(#REF!&gt;=table!$E$7,#REF!&lt;=table!$F$7),1,0))</f>
        <v>#REF!</v>
      </c>
      <c r="S2559" s="5" t="e">
        <f>IF(AND(#REF!&gt;=table!$C$8,#REF!&lt;= table!$D$8),-1,IF(AND(#REF!&gt;=table!$E$8,#REF!&lt;=table!$F$8),1,0))</f>
        <v>#REF!</v>
      </c>
      <c r="T2559" s="5"/>
      <c r="U2559" s="5" t="e">
        <f>IF(AND(#REF!&gt;=table!$C$10,#REF!&lt;= table!$D$10),-1,IF(AND(#REF!&gt;=table!$E$10,#REF!&lt;=table!$F$10),1,0))</f>
        <v>#REF!</v>
      </c>
      <c r="V2559" s="5" t="e">
        <f>IF(AND(#REF!&gt;=table!$C$11,#REF!&lt;= table!$D$11),-1,IF(AND(#REF!&gt;=table!$E$11,#REF!&lt;=table!$F$11),1,0))</f>
        <v>#REF!</v>
      </c>
      <c r="W2559" s="5" t="e">
        <f>CONCATENATE(dados[[#This Row],[fator1]],dados[[#This Row],[fator5]],dados[[#This Row],[fator6]])</f>
        <v>#REF!</v>
      </c>
    </row>
    <row r="2560" spans="1:23">
      <c r="A2560" t="s">
        <v>16</v>
      </c>
      <c r="B2560">
        <v>584526</v>
      </c>
      <c r="C2560">
        <v>11</v>
      </c>
      <c r="D2560">
        <v>40</v>
      </c>
      <c r="E2560">
        <v>151</v>
      </c>
      <c r="F2560">
        <v>8</v>
      </c>
      <c r="G2560">
        <v>0</v>
      </c>
      <c r="H2560">
        <v>25</v>
      </c>
      <c r="I2560">
        <v>879</v>
      </c>
      <c r="J2560">
        <v>0</v>
      </c>
      <c r="K2560">
        <v>3.7950000000000004</v>
      </c>
      <c r="L2560">
        <v>13.200000000000001</v>
      </c>
      <c r="M2560">
        <v>99.75500000000001</v>
      </c>
      <c r="N2560">
        <v>18.670000000000002</v>
      </c>
      <c r="O2560">
        <v>1671</v>
      </c>
      <c r="P2560">
        <v>934</v>
      </c>
      <c r="Q2560" s="5" t="e">
        <f>IF(AND(#REF!&gt;=table!$C$6,#REF!&lt;= table!$D$6),-1,IF(AND(#REF!&gt;=table!$E$6,#REF!&lt;=table!$F$6),1,0))</f>
        <v>#REF!</v>
      </c>
      <c r="R2560" s="5" t="e">
        <f>IF(AND(#REF!&gt;=table!$C$7,#REF!&lt;= table!$D$7),-1,IF(AND(#REF!&gt;=table!$E$7,#REF!&lt;=table!$F$7),1,0))</f>
        <v>#REF!</v>
      </c>
      <c r="S2560" s="5" t="e">
        <f>IF(AND(#REF!&gt;=table!$C$8,#REF!&lt;= table!$D$8),-1,IF(AND(#REF!&gt;=table!$E$8,#REF!&lt;=table!$F$8),1,0))</f>
        <v>#REF!</v>
      </c>
      <c r="T2560" s="5"/>
      <c r="U2560" s="5" t="e">
        <f>IF(AND(#REF!&gt;=table!$C$10,#REF!&lt;= table!$D$10),-1,IF(AND(#REF!&gt;=table!$E$10,#REF!&lt;=table!$F$10),1,0))</f>
        <v>#REF!</v>
      </c>
      <c r="V2560" s="5" t="e">
        <f>IF(AND(#REF!&gt;=table!$C$11,#REF!&lt;= table!$D$11),-1,IF(AND(#REF!&gt;=table!$E$11,#REF!&lt;=table!$F$11),1,0))</f>
        <v>#REF!</v>
      </c>
      <c r="W2560" s="5" t="e">
        <f>CONCATENATE(dados[[#This Row],[fator1]],dados[[#This Row],[fator5]],dados[[#This Row],[fator6]])</f>
        <v>#REF!</v>
      </c>
    </row>
    <row r="2561" spans="1:23">
      <c r="A2561" t="s">
        <v>16</v>
      </c>
      <c r="B2561">
        <v>584531</v>
      </c>
      <c r="C2561">
        <v>13</v>
      </c>
      <c r="D2561">
        <v>35</v>
      </c>
      <c r="E2561">
        <v>110</v>
      </c>
      <c r="F2561">
        <v>10</v>
      </c>
      <c r="G2561">
        <v>0</v>
      </c>
      <c r="H2561">
        <v>25</v>
      </c>
      <c r="I2561">
        <v>1134</v>
      </c>
      <c r="J2561">
        <v>0</v>
      </c>
      <c r="K2561">
        <v>5.1000000000000005</v>
      </c>
      <c r="L2561">
        <v>14.58</v>
      </c>
      <c r="M2561">
        <v>92.4</v>
      </c>
      <c r="N2561">
        <v>22.8</v>
      </c>
      <c r="O2561">
        <v>1683</v>
      </c>
      <c r="P2561">
        <v>0</v>
      </c>
      <c r="Q2561" s="5" t="e">
        <f>IF(AND(#REF!&gt;=table!$C$6,#REF!&lt;= table!$D$6),-1,IF(AND(#REF!&gt;=table!$E$6,#REF!&lt;=table!$F$6),1,0))</f>
        <v>#REF!</v>
      </c>
      <c r="R2561" s="5" t="e">
        <f>IF(AND(#REF!&gt;=table!$C$7,#REF!&lt;= table!$D$7),-1,IF(AND(#REF!&gt;=table!$E$7,#REF!&lt;=table!$F$7),1,0))</f>
        <v>#REF!</v>
      </c>
      <c r="S2561" s="5" t="e">
        <f>IF(AND(#REF!&gt;=table!$C$8,#REF!&lt;= table!$D$8),-1,IF(AND(#REF!&gt;=table!$E$8,#REF!&lt;=table!$F$8),1,0))</f>
        <v>#REF!</v>
      </c>
      <c r="T2561" s="5"/>
      <c r="U2561" s="5" t="e">
        <f>IF(AND(#REF!&gt;=table!$C$10,#REF!&lt;= table!$D$10),-1,IF(AND(#REF!&gt;=table!$E$10,#REF!&lt;=table!$F$10),1,0))</f>
        <v>#REF!</v>
      </c>
      <c r="V2561" s="5" t="e">
        <f>IF(AND(#REF!&gt;=table!$C$11,#REF!&lt;= table!$D$11),-1,IF(AND(#REF!&gt;=table!$E$11,#REF!&lt;=table!$F$11),1,0))</f>
        <v>#REF!</v>
      </c>
      <c r="W2561" s="5" t="e">
        <f>CONCATENATE(dados[[#This Row],[fator1]],dados[[#This Row],[fator5]],dados[[#This Row],[fator6]])</f>
        <v>#REF!</v>
      </c>
    </row>
    <row r="2562" spans="1:23">
      <c r="A2562" t="s">
        <v>16</v>
      </c>
      <c r="B2562">
        <v>584533</v>
      </c>
      <c r="C2562">
        <v>13</v>
      </c>
      <c r="D2562">
        <v>35</v>
      </c>
      <c r="E2562">
        <v>110</v>
      </c>
      <c r="F2562">
        <v>10</v>
      </c>
      <c r="G2562">
        <v>0</v>
      </c>
      <c r="H2562">
        <v>25</v>
      </c>
      <c r="I2562">
        <v>79</v>
      </c>
      <c r="J2562">
        <v>630</v>
      </c>
      <c r="K2562">
        <v>3.5</v>
      </c>
      <c r="L2562">
        <v>16.149999999999999</v>
      </c>
      <c r="M2562">
        <v>85.600000000000009</v>
      </c>
      <c r="N2562">
        <v>25.900000000000002</v>
      </c>
      <c r="O2562">
        <v>1671</v>
      </c>
      <c r="P2562">
        <v>867</v>
      </c>
      <c r="Q2562" s="5" t="e">
        <f>IF(AND(#REF!&gt;=table!$C$6,#REF!&lt;= table!$D$6),-1,IF(AND(#REF!&gt;=table!$E$6,#REF!&lt;=table!$F$6),1,0))</f>
        <v>#REF!</v>
      </c>
      <c r="R2562" s="5" t="e">
        <f>IF(AND(#REF!&gt;=table!$C$7,#REF!&lt;= table!$D$7),-1,IF(AND(#REF!&gt;=table!$E$7,#REF!&lt;=table!$F$7),1,0))</f>
        <v>#REF!</v>
      </c>
      <c r="S2562" s="5" t="e">
        <f>IF(AND(#REF!&gt;=table!$C$8,#REF!&lt;= table!$D$8),-1,IF(AND(#REF!&gt;=table!$E$8,#REF!&lt;=table!$F$8),1,0))</f>
        <v>#REF!</v>
      </c>
      <c r="T2562" s="5"/>
      <c r="U2562" s="5" t="e">
        <f>IF(AND(#REF!&gt;=table!$C$10,#REF!&lt;= table!$D$10),-1,IF(AND(#REF!&gt;=table!$E$10,#REF!&lt;=table!$F$10),1,0))</f>
        <v>#REF!</v>
      </c>
      <c r="V2562" s="5" t="e">
        <f>IF(AND(#REF!&gt;=table!$C$11,#REF!&lt;= table!$D$11),-1,IF(AND(#REF!&gt;=table!$E$11,#REF!&lt;=table!$F$11),1,0))</f>
        <v>#REF!</v>
      </c>
      <c r="W2562" s="5" t="e">
        <f>CONCATENATE(dados[[#This Row],[fator1]],dados[[#This Row],[fator5]],dados[[#This Row],[fator6]])</f>
        <v>#REF!</v>
      </c>
    </row>
    <row r="2563" spans="1:23">
      <c r="A2563" t="s">
        <v>16</v>
      </c>
      <c r="B2563">
        <v>584538</v>
      </c>
      <c r="C2563">
        <v>0.15</v>
      </c>
      <c r="D2563">
        <v>40</v>
      </c>
      <c r="E2563">
        <v>10</v>
      </c>
      <c r="F2563">
        <v>15</v>
      </c>
      <c r="G2563">
        <v>0</v>
      </c>
      <c r="H2563">
        <v>15</v>
      </c>
      <c r="I2563">
        <v>1285</v>
      </c>
      <c r="J2563">
        <v>0</v>
      </c>
      <c r="K2563">
        <v>3.5950000000000002</v>
      </c>
      <c r="L2563">
        <v>11.05</v>
      </c>
      <c r="M2563">
        <v>7.4</v>
      </c>
      <c r="N2563">
        <v>13.700000000000001</v>
      </c>
      <c r="O2563">
        <v>1691</v>
      </c>
      <c r="P2563">
        <v>1408</v>
      </c>
      <c r="Q2563" s="5" t="e">
        <f>IF(AND(#REF!&gt;=table!$C$6,#REF!&lt;= table!$D$6),-1,IF(AND(#REF!&gt;=table!$E$6,#REF!&lt;=table!$F$6),1,0))</f>
        <v>#REF!</v>
      </c>
      <c r="R2563" s="5" t="e">
        <f>IF(AND(#REF!&gt;=table!$C$7,#REF!&lt;= table!$D$7),-1,IF(AND(#REF!&gt;=table!$E$7,#REF!&lt;=table!$F$7),1,0))</f>
        <v>#REF!</v>
      </c>
      <c r="S2563" s="5" t="e">
        <f>IF(AND(#REF!&gt;=table!$C$8,#REF!&lt;= table!$D$8),-1,IF(AND(#REF!&gt;=table!$E$8,#REF!&lt;=table!$F$8),1,0))</f>
        <v>#REF!</v>
      </c>
      <c r="T2563" s="5"/>
      <c r="U2563" s="5" t="e">
        <f>IF(AND(#REF!&gt;=table!$C$10,#REF!&lt;= table!$D$10),-1,IF(AND(#REF!&gt;=table!$E$10,#REF!&lt;=table!$F$10),1,0))</f>
        <v>#REF!</v>
      </c>
      <c r="V2563" s="5" t="e">
        <f>IF(AND(#REF!&gt;=table!$C$11,#REF!&lt;= table!$D$11),-1,IF(AND(#REF!&gt;=table!$E$11,#REF!&lt;=table!$F$11),1,0))</f>
        <v>#REF!</v>
      </c>
      <c r="W2563" s="5" t="e">
        <f>CONCATENATE(dados[[#This Row],[fator1]],dados[[#This Row],[fator5]],dados[[#This Row],[fator6]])</f>
        <v>#REF!</v>
      </c>
    </row>
    <row r="2564" spans="1:23">
      <c r="A2564" t="s">
        <v>16</v>
      </c>
      <c r="B2564">
        <v>584541</v>
      </c>
      <c r="C2564">
        <v>0.23</v>
      </c>
      <c r="D2564">
        <v>65</v>
      </c>
      <c r="E2564">
        <v>26</v>
      </c>
      <c r="F2564">
        <v>15</v>
      </c>
      <c r="G2564">
        <v>0</v>
      </c>
      <c r="H2564">
        <v>35</v>
      </c>
      <c r="I2564">
        <v>1204</v>
      </c>
      <c r="J2564">
        <v>0</v>
      </c>
      <c r="K2564">
        <v>2.73</v>
      </c>
      <c r="L2564">
        <v>8.1999999999999993</v>
      </c>
      <c r="M2564">
        <v>7.2</v>
      </c>
      <c r="N2564">
        <v>10</v>
      </c>
      <c r="O2564">
        <v>1693</v>
      </c>
      <c r="P2564">
        <v>0</v>
      </c>
      <c r="Q2564" s="5" t="e">
        <f>IF(AND(#REF!&gt;=table!$C$6,#REF!&lt;= table!$D$6),-1,IF(AND(#REF!&gt;=table!$E$6,#REF!&lt;=table!$F$6),1,0))</f>
        <v>#REF!</v>
      </c>
      <c r="R2564" s="5" t="e">
        <f>IF(AND(#REF!&gt;=table!$C$7,#REF!&lt;= table!$D$7),-1,IF(AND(#REF!&gt;=table!$E$7,#REF!&lt;=table!$F$7),1,0))</f>
        <v>#REF!</v>
      </c>
      <c r="S2564" s="5" t="e">
        <f>IF(AND(#REF!&gt;=table!$C$8,#REF!&lt;= table!$D$8),-1,IF(AND(#REF!&gt;=table!$E$8,#REF!&lt;=table!$F$8),1,0))</f>
        <v>#REF!</v>
      </c>
      <c r="T2564" s="5"/>
      <c r="U2564" s="5" t="e">
        <f>IF(AND(#REF!&gt;=table!$C$10,#REF!&lt;= table!$D$10),-1,IF(AND(#REF!&gt;=table!$E$10,#REF!&lt;=table!$F$10),1,0))</f>
        <v>#REF!</v>
      </c>
      <c r="V2564" s="5" t="e">
        <f>IF(AND(#REF!&gt;=table!$C$11,#REF!&lt;= table!$D$11),-1,IF(AND(#REF!&gt;=table!$E$11,#REF!&lt;=table!$F$11),1,0))</f>
        <v>#REF!</v>
      </c>
      <c r="W2564" s="5" t="e">
        <f>CONCATENATE(dados[[#This Row],[fator1]],dados[[#This Row],[fator5]],dados[[#This Row],[fator6]])</f>
        <v>#REF!</v>
      </c>
    </row>
    <row r="2565" spans="1:23">
      <c r="A2565" t="s">
        <v>17</v>
      </c>
      <c r="B2565">
        <v>584547</v>
      </c>
      <c r="C2565">
        <v>14</v>
      </c>
      <c r="D2565">
        <v>25</v>
      </c>
      <c r="E2565">
        <v>130</v>
      </c>
      <c r="F2565">
        <v>9</v>
      </c>
      <c r="G2565">
        <v>110</v>
      </c>
      <c r="H2565">
        <v>50</v>
      </c>
      <c r="I2565">
        <v>1334</v>
      </c>
      <c r="J2565">
        <v>840</v>
      </c>
      <c r="K2565">
        <v>2.2800000000000002</v>
      </c>
      <c r="L2565">
        <v>9.61</v>
      </c>
      <c r="M2565">
        <v>59.445</v>
      </c>
      <c r="N2565">
        <v>20.365000000000002</v>
      </c>
      <c r="O2565">
        <v>1689</v>
      </c>
      <c r="P2565">
        <v>1251</v>
      </c>
      <c r="Q2565" s="5" t="e">
        <f>IF(AND(#REF!&gt;=table!$C$6,#REF!&lt;= table!$D$6),-1,IF(AND(#REF!&gt;=table!$E$6,#REF!&lt;=table!$F$6),1,0))</f>
        <v>#REF!</v>
      </c>
      <c r="R2565" s="5" t="e">
        <f>IF(AND(#REF!&gt;=table!$C$7,#REF!&lt;= table!$D$7),-1,IF(AND(#REF!&gt;=table!$E$7,#REF!&lt;=table!$F$7),1,0))</f>
        <v>#REF!</v>
      </c>
      <c r="S2565" s="5" t="e">
        <f>IF(AND(#REF!&gt;=table!$C$8,#REF!&lt;= table!$D$8),-1,IF(AND(#REF!&gt;=table!$E$8,#REF!&lt;=table!$F$8),1,0))</f>
        <v>#REF!</v>
      </c>
      <c r="T2565" s="5"/>
      <c r="U2565" s="5" t="e">
        <f>IF(AND(#REF!&gt;=table!$C$10,#REF!&lt;= table!$D$10),-1,IF(AND(#REF!&gt;=table!$E$10,#REF!&lt;=table!$F$10),1,0))</f>
        <v>#REF!</v>
      </c>
      <c r="V2565" s="5" t="e">
        <f>IF(AND(#REF!&gt;=table!$C$11,#REF!&lt;= table!$D$11),-1,IF(AND(#REF!&gt;=table!$E$11,#REF!&lt;=table!$F$11),1,0))</f>
        <v>#REF!</v>
      </c>
      <c r="W2565" s="5" t="e">
        <f>CONCATENATE(dados[[#This Row],[fator1]],dados[[#This Row],[fator5]],dados[[#This Row],[fator6]])</f>
        <v>#REF!</v>
      </c>
    </row>
    <row r="2566" spans="1:23">
      <c r="A2566" t="s">
        <v>16</v>
      </c>
      <c r="B2566">
        <v>584549</v>
      </c>
      <c r="C2566">
        <v>16</v>
      </c>
      <c r="D2566">
        <v>35</v>
      </c>
      <c r="E2566">
        <v>40</v>
      </c>
      <c r="F2566">
        <v>10</v>
      </c>
      <c r="G2566">
        <v>0</v>
      </c>
      <c r="H2566">
        <v>25</v>
      </c>
      <c r="I2566">
        <v>381</v>
      </c>
      <c r="J2566">
        <v>0</v>
      </c>
      <c r="K2566">
        <v>7.1400000000000006</v>
      </c>
      <c r="L2566">
        <v>13.07</v>
      </c>
      <c r="M2566">
        <v>34.550000000000004</v>
      </c>
      <c r="N2566">
        <v>13.3</v>
      </c>
      <c r="O2566">
        <v>1659</v>
      </c>
      <c r="P2566">
        <v>0</v>
      </c>
      <c r="Q2566" s="5" t="e">
        <f>IF(AND(#REF!&gt;=table!$C$6,#REF!&lt;= table!$D$6),-1,IF(AND(#REF!&gt;=table!$E$6,#REF!&lt;=table!$F$6),1,0))</f>
        <v>#REF!</v>
      </c>
      <c r="R2566" s="5" t="e">
        <f>IF(AND(#REF!&gt;=table!$C$7,#REF!&lt;= table!$D$7),-1,IF(AND(#REF!&gt;=table!$E$7,#REF!&lt;=table!$F$7),1,0))</f>
        <v>#REF!</v>
      </c>
      <c r="S2566" s="5" t="e">
        <f>IF(AND(#REF!&gt;=table!$C$8,#REF!&lt;= table!$D$8),-1,IF(AND(#REF!&gt;=table!$E$8,#REF!&lt;=table!$F$8),1,0))</f>
        <v>#REF!</v>
      </c>
      <c r="T2566" s="5"/>
      <c r="U2566" s="5" t="e">
        <f>IF(AND(#REF!&gt;=table!$C$10,#REF!&lt;= table!$D$10),-1,IF(AND(#REF!&gt;=table!$E$10,#REF!&lt;=table!$F$10),1,0))</f>
        <v>#REF!</v>
      </c>
      <c r="V2566" s="5" t="e">
        <f>IF(AND(#REF!&gt;=table!$C$11,#REF!&lt;= table!$D$11),-1,IF(AND(#REF!&gt;=table!$E$11,#REF!&lt;=table!$F$11),1,0))</f>
        <v>#REF!</v>
      </c>
      <c r="W2566" s="5" t="e">
        <f>CONCATENATE(dados[[#This Row],[fator1]],dados[[#This Row],[fator5]],dados[[#This Row],[fator6]])</f>
        <v>#REF!</v>
      </c>
    </row>
    <row r="2567" spans="1:23">
      <c r="A2567" t="s">
        <v>16</v>
      </c>
      <c r="B2567">
        <v>584551</v>
      </c>
      <c r="C2567">
        <v>16</v>
      </c>
      <c r="D2567">
        <v>35</v>
      </c>
      <c r="E2567">
        <v>40</v>
      </c>
      <c r="F2567">
        <v>10</v>
      </c>
      <c r="G2567">
        <v>0</v>
      </c>
      <c r="H2567">
        <v>25</v>
      </c>
      <c r="I2567">
        <v>22</v>
      </c>
      <c r="J2567">
        <v>0</v>
      </c>
      <c r="K2567">
        <v>17.96</v>
      </c>
      <c r="L2567">
        <v>12.3</v>
      </c>
      <c r="M2567">
        <v>28</v>
      </c>
      <c r="N2567">
        <v>16.41</v>
      </c>
      <c r="O2567">
        <v>1665</v>
      </c>
      <c r="P2567">
        <v>196</v>
      </c>
      <c r="Q2567" s="5" t="e">
        <f>IF(AND(#REF!&gt;=table!$C$6,#REF!&lt;= table!$D$6),-1,IF(AND(#REF!&gt;=table!$E$6,#REF!&lt;=table!$F$6),1,0))</f>
        <v>#REF!</v>
      </c>
      <c r="R2567" s="5" t="e">
        <f>IF(AND(#REF!&gt;=table!$C$7,#REF!&lt;= table!$D$7),-1,IF(AND(#REF!&gt;=table!$E$7,#REF!&lt;=table!$F$7),1,0))</f>
        <v>#REF!</v>
      </c>
      <c r="S2567" s="5" t="e">
        <f>IF(AND(#REF!&gt;=table!$C$8,#REF!&lt;= table!$D$8),-1,IF(AND(#REF!&gt;=table!$E$8,#REF!&lt;=table!$F$8),1,0))</f>
        <v>#REF!</v>
      </c>
      <c r="T2567" s="5"/>
      <c r="U2567" s="5" t="e">
        <f>IF(AND(#REF!&gt;=table!$C$10,#REF!&lt;= table!$D$10),-1,IF(AND(#REF!&gt;=table!$E$10,#REF!&lt;=table!$F$10),1,0))</f>
        <v>#REF!</v>
      </c>
      <c r="V2567" s="5" t="e">
        <f>IF(AND(#REF!&gt;=table!$C$11,#REF!&lt;= table!$D$11),-1,IF(AND(#REF!&gt;=table!$E$11,#REF!&lt;=table!$F$11),1,0))</f>
        <v>#REF!</v>
      </c>
      <c r="W2567" s="5" t="e">
        <f>CONCATENATE(dados[[#This Row],[fator1]],dados[[#This Row],[fator5]],dados[[#This Row],[fator6]])</f>
        <v>#REF!</v>
      </c>
    </row>
    <row r="2568" spans="1:23">
      <c r="A2568" t="s">
        <v>17</v>
      </c>
      <c r="B2568">
        <v>584552</v>
      </c>
      <c r="C2568">
        <v>18</v>
      </c>
      <c r="D2568">
        <v>23</v>
      </c>
      <c r="E2568">
        <v>145</v>
      </c>
      <c r="F2568">
        <v>4</v>
      </c>
      <c r="G2568">
        <v>30</v>
      </c>
      <c r="H2568">
        <v>25</v>
      </c>
      <c r="I2568">
        <v>299</v>
      </c>
      <c r="J2568">
        <v>0</v>
      </c>
      <c r="K2568">
        <v>8.3650000000000002</v>
      </c>
      <c r="L2568">
        <v>10.75</v>
      </c>
      <c r="M2568">
        <v>95.100000000000009</v>
      </c>
      <c r="N2568">
        <v>15.450000000000001</v>
      </c>
      <c r="O2568">
        <v>1685</v>
      </c>
      <c r="P2568">
        <v>491</v>
      </c>
      <c r="Q2568" s="5" t="e">
        <f>IF(AND(#REF!&gt;=table!$C$6,#REF!&lt;= table!$D$6),-1,IF(AND(#REF!&gt;=table!$E$6,#REF!&lt;=table!$F$6),1,0))</f>
        <v>#REF!</v>
      </c>
      <c r="R2568" s="5" t="e">
        <f>IF(AND(#REF!&gt;=table!$C$7,#REF!&lt;= table!$D$7),-1,IF(AND(#REF!&gt;=table!$E$7,#REF!&lt;=table!$F$7),1,0))</f>
        <v>#REF!</v>
      </c>
      <c r="S2568" s="5" t="e">
        <f>IF(AND(#REF!&gt;=table!$C$8,#REF!&lt;= table!$D$8),-1,IF(AND(#REF!&gt;=table!$E$8,#REF!&lt;=table!$F$8),1,0))</f>
        <v>#REF!</v>
      </c>
      <c r="T2568" s="5"/>
      <c r="U2568" s="5" t="e">
        <f>IF(AND(#REF!&gt;=table!$C$10,#REF!&lt;= table!$D$10),-1,IF(AND(#REF!&gt;=table!$E$10,#REF!&lt;=table!$F$10),1,0))</f>
        <v>#REF!</v>
      </c>
      <c r="V2568" s="5" t="e">
        <f>IF(AND(#REF!&gt;=table!$C$11,#REF!&lt;= table!$D$11),-1,IF(AND(#REF!&gt;=table!$E$11,#REF!&lt;=table!$F$11),1,0))</f>
        <v>#REF!</v>
      </c>
      <c r="W2568" s="5" t="e">
        <f>CONCATENATE(dados[[#This Row],[fator1]],dados[[#This Row],[fator5]],dados[[#This Row],[fator6]])</f>
        <v>#REF!</v>
      </c>
    </row>
    <row r="2569" spans="1:23">
      <c r="A2569" t="s">
        <v>16</v>
      </c>
      <c r="B2569">
        <v>584553</v>
      </c>
      <c r="C2569">
        <v>16</v>
      </c>
      <c r="D2569">
        <v>35</v>
      </c>
      <c r="E2569">
        <v>40</v>
      </c>
      <c r="F2569">
        <v>10</v>
      </c>
      <c r="G2569">
        <v>0</v>
      </c>
      <c r="H2569">
        <v>25</v>
      </c>
      <c r="I2569">
        <v>128</v>
      </c>
      <c r="J2569">
        <v>0</v>
      </c>
      <c r="K2569">
        <v>5.01</v>
      </c>
      <c r="L2569">
        <v>9.7000000000000011</v>
      </c>
      <c r="M2569">
        <v>33.549999999999997</v>
      </c>
      <c r="N2569">
        <v>14.15</v>
      </c>
      <c r="O2569">
        <v>1680</v>
      </c>
      <c r="P2569">
        <v>780</v>
      </c>
      <c r="Q2569" s="5" t="e">
        <f>IF(AND(#REF!&gt;=table!$C$6,#REF!&lt;= table!$D$6),-1,IF(AND(#REF!&gt;=table!$E$6,#REF!&lt;=table!$F$6),1,0))</f>
        <v>#REF!</v>
      </c>
      <c r="R2569" s="5" t="e">
        <f>IF(AND(#REF!&gt;=table!$C$7,#REF!&lt;= table!$D$7),-1,IF(AND(#REF!&gt;=table!$E$7,#REF!&lt;=table!$F$7),1,0))</f>
        <v>#REF!</v>
      </c>
      <c r="S2569" s="5" t="e">
        <f>IF(AND(#REF!&gt;=table!$C$8,#REF!&lt;= table!$D$8),-1,IF(AND(#REF!&gt;=table!$E$8,#REF!&lt;=table!$F$8),1,0))</f>
        <v>#REF!</v>
      </c>
      <c r="T2569" s="5"/>
      <c r="U2569" s="5" t="e">
        <f>IF(AND(#REF!&gt;=table!$C$10,#REF!&lt;= table!$D$10),-1,IF(AND(#REF!&gt;=table!$E$10,#REF!&lt;=table!$F$10),1,0))</f>
        <v>#REF!</v>
      </c>
      <c r="V2569" s="5" t="e">
        <f>IF(AND(#REF!&gt;=table!$C$11,#REF!&lt;= table!$D$11),-1,IF(AND(#REF!&gt;=table!$E$11,#REF!&lt;=table!$F$11),1,0))</f>
        <v>#REF!</v>
      </c>
      <c r="W2569" s="5" t="e">
        <f>CONCATENATE(dados[[#This Row],[fator1]],dados[[#This Row],[fator5]],dados[[#This Row],[fator6]])</f>
        <v>#REF!</v>
      </c>
    </row>
    <row r="2570" spans="1:23">
      <c r="A2570" t="s">
        <v>16</v>
      </c>
      <c r="B2570">
        <v>584558</v>
      </c>
      <c r="C2570">
        <v>3</v>
      </c>
      <c r="D2570">
        <v>30</v>
      </c>
      <c r="E2570">
        <v>23</v>
      </c>
      <c r="F2570">
        <v>15</v>
      </c>
      <c r="G2570">
        <v>0</v>
      </c>
      <c r="H2570">
        <v>25</v>
      </c>
      <c r="I2570">
        <v>156</v>
      </c>
      <c r="J2570">
        <v>0</v>
      </c>
      <c r="K2570">
        <v>8.1650000000000009</v>
      </c>
      <c r="L2570">
        <v>17.350000000000001</v>
      </c>
      <c r="M2570">
        <v>16.3</v>
      </c>
      <c r="N2570">
        <v>21.55</v>
      </c>
      <c r="O2570">
        <v>1683</v>
      </c>
      <c r="P2570">
        <v>498</v>
      </c>
      <c r="Q2570" s="5" t="e">
        <f>IF(AND(#REF!&gt;=table!$C$6,#REF!&lt;= table!$D$6),-1,IF(AND(#REF!&gt;=table!$E$6,#REF!&lt;=table!$F$6),1,0))</f>
        <v>#REF!</v>
      </c>
      <c r="R2570" s="5" t="e">
        <f>IF(AND(#REF!&gt;=table!$C$7,#REF!&lt;= table!$D$7),-1,IF(AND(#REF!&gt;=table!$E$7,#REF!&lt;=table!$F$7),1,0))</f>
        <v>#REF!</v>
      </c>
      <c r="S2570" s="5" t="e">
        <f>IF(AND(#REF!&gt;=table!$C$8,#REF!&lt;= table!$D$8),-1,IF(AND(#REF!&gt;=table!$E$8,#REF!&lt;=table!$F$8),1,0))</f>
        <v>#REF!</v>
      </c>
      <c r="T2570" s="5"/>
      <c r="U2570" s="5" t="e">
        <f>IF(AND(#REF!&gt;=table!$C$10,#REF!&lt;= table!$D$10),-1,IF(AND(#REF!&gt;=table!$E$10,#REF!&lt;=table!$F$10),1,0))</f>
        <v>#REF!</v>
      </c>
      <c r="V2570" s="5" t="e">
        <f>IF(AND(#REF!&gt;=table!$C$11,#REF!&lt;= table!$D$11),-1,IF(AND(#REF!&gt;=table!$E$11,#REF!&lt;=table!$F$11),1,0))</f>
        <v>#REF!</v>
      </c>
      <c r="W2570" s="5" t="e">
        <f>CONCATENATE(dados[[#This Row],[fator1]],dados[[#This Row],[fator5]],dados[[#This Row],[fator6]])</f>
        <v>#REF!</v>
      </c>
    </row>
    <row r="2571" spans="1:23">
      <c r="A2571" t="s">
        <v>16</v>
      </c>
      <c r="B2571">
        <v>584559</v>
      </c>
      <c r="C2571">
        <v>4</v>
      </c>
      <c r="D2571">
        <v>40</v>
      </c>
      <c r="E2571">
        <v>21</v>
      </c>
      <c r="F2571">
        <v>20</v>
      </c>
      <c r="G2571">
        <v>0</v>
      </c>
      <c r="H2571">
        <v>25</v>
      </c>
      <c r="I2571">
        <v>389</v>
      </c>
      <c r="J2571">
        <v>0</v>
      </c>
      <c r="K2571">
        <v>6.2450000000000001</v>
      </c>
      <c r="L2571">
        <v>10.3</v>
      </c>
      <c r="M2571">
        <v>14.475000000000001</v>
      </c>
      <c r="N2571">
        <v>13.755000000000001</v>
      </c>
      <c r="O2571">
        <v>1676</v>
      </c>
      <c r="P2571">
        <v>648</v>
      </c>
      <c r="Q2571" s="5" t="e">
        <f>IF(AND(#REF!&gt;=table!$C$6,#REF!&lt;= table!$D$6),-1,IF(AND(#REF!&gt;=table!$E$6,#REF!&lt;=table!$F$6),1,0))</f>
        <v>#REF!</v>
      </c>
      <c r="R2571" s="5" t="e">
        <f>IF(AND(#REF!&gt;=table!$C$7,#REF!&lt;= table!$D$7),-1,IF(AND(#REF!&gt;=table!$E$7,#REF!&lt;=table!$F$7),1,0))</f>
        <v>#REF!</v>
      </c>
      <c r="S2571" s="5" t="e">
        <f>IF(AND(#REF!&gt;=table!$C$8,#REF!&lt;= table!$D$8),-1,IF(AND(#REF!&gt;=table!$E$8,#REF!&lt;=table!$F$8),1,0))</f>
        <v>#REF!</v>
      </c>
      <c r="T2571" s="5"/>
      <c r="U2571" s="5" t="e">
        <f>IF(AND(#REF!&gt;=table!$C$10,#REF!&lt;= table!$D$10),-1,IF(AND(#REF!&gt;=table!$E$10,#REF!&lt;=table!$F$10),1,0))</f>
        <v>#REF!</v>
      </c>
      <c r="V2571" s="5" t="e">
        <f>IF(AND(#REF!&gt;=table!$C$11,#REF!&lt;= table!$D$11),-1,IF(AND(#REF!&gt;=table!$E$11,#REF!&lt;=table!$F$11),1,0))</f>
        <v>#REF!</v>
      </c>
      <c r="W2571" s="5" t="e">
        <f>CONCATENATE(dados[[#This Row],[fator1]],dados[[#This Row],[fator5]],dados[[#This Row],[fator6]])</f>
        <v>#REF!</v>
      </c>
    </row>
    <row r="2572" spans="1:23">
      <c r="A2572" t="s">
        <v>16</v>
      </c>
      <c r="B2572">
        <v>584560</v>
      </c>
      <c r="C2572">
        <v>3</v>
      </c>
      <c r="D2572">
        <v>25</v>
      </c>
      <c r="E2572">
        <v>20</v>
      </c>
      <c r="F2572">
        <v>15</v>
      </c>
      <c r="G2572">
        <v>0</v>
      </c>
      <c r="H2572">
        <v>20</v>
      </c>
      <c r="I2572">
        <v>1450</v>
      </c>
      <c r="J2572">
        <v>0</v>
      </c>
      <c r="K2572">
        <v>4.7450000000000001</v>
      </c>
      <c r="L2572">
        <v>8.0500000000000007</v>
      </c>
      <c r="M2572">
        <v>7.4050000000000002</v>
      </c>
      <c r="N2572">
        <v>9.65</v>
      </c>
      <c r="O2572">
        <v>1661</v>
      </c>
      <c r="P2572">
        <v>0</v>
      </c>
      <c r="Q2572" s="5" t="e">
        <f>IF(AND(#REF!&gt;=table!$C$6,#REF!&lt;= table!$D$6),-1,IF(AND(#REF!&gt;=table!$E$6,#REF!&lt;=table!$F$6),1,0))</f>
        <v>#REF!</v>
      </c>
      <c r="R2572" s="5" t="e">
        <f>IF(AND(#REF!&gt;=table!$C$7,#REF!&lt;= table!$D$7),-1,IF(AND(#REF!&gt;=table!$E$7,#REF!&lt;=table!$F$7),1,0))</f>
        <v>#REF!</v>
      </c>
      <c r="S2572" s="5" t="e">
        <f>IF(AND(#REF!&gt;=table!$C$8,#REF!&lt;= table!$D$8),-1,IF(AND(#REF!&gt;=table!$E$8,#REF!&lt;=table!$F$8),1,0))</f>
        <v>#REF!</v>
      </c>
      <c r="T2572" s="5"/>
      <c r="U2572" s="5" t="e">
        <f>IF(AND(#REF!&gt;=table!$C$10,#REF!&lt;= table!$D$10),-1,IF(AND(#REF!&gt;=table!$E$10,#REF!&lt;=table!$F$10),1,0))</f>
        <v>#REF!</v>
      </c>
      <c r="V2572" s="5" t="e">
        <f>IF(AND(#REF!&gt;=table!$C$11,#REF!&lt;= table!$D$11),-1,IF(AND(#REF!&gt;=table!$E$11,#REF!&lt;=table!$F$11),1,0))</f>
        <v>#REF!</v>
      </c>
      <c r="W2572" s="5" t="e">
        <f>CONCATENATE(dados[[#This Row],[fator1]],dados[[#This Row],[fator5]],dados[[#This Row],[fator6]])</f>
        <v>#REF!</v>
      </c>
    </row>
    <row r="2573" spans="1:23">
      <c r="A2573" t="s">
        <v>16</v>
      </c>
      <c r="B2573">
        <v>584561</v>
      </c>
      <c r="C2573">
        <v>6</v>
      </c>
      <c r="D2573">
        <v>40</v>
      </c>
      <c r="E2573">
        <v>66</v>
      </c>
      <c r="F2573">
        <v>10</v>
      </c>
      <c r="G2573">
        <v>0</v>
      </c>
      <c r="H2573">
        <v>25</v>
      </c>
      <c r="I2573">
        <v>572</v>
      </c>
      <c r="J2573">
        <v>0</v>
      </c>
      <c r="K2573">
        <v>4.9350000000000005</v>
      </c>
      <c r="L2573">
        <v>10</v>
      </c>
      <c r="M2573">
        <v>56.5</v>
      </c>
      <c r="N2573">
        <v>14.200000000000001</v>
      </c>
      <c r="O2573">
        <v>1656</v>
      </c>
      <c r="P2573">
        <v>705</v>
      </c>
      <c r="Q2573" s="5" t="e">
        <f>IF(AND(#REF!&gt;=table!$C$6,#REF!&lt;= table!$D$6),-1,IF(AND(#REF!&gt;=table!$E$6,#REF!&lt;=table!$F$6),1,0))</f>
        <v>#REF!</v>
      </c>
      <c r="R2573" s="5" t="e">
        <f>IF(AND(#REF!&gt;=table!$C$7,#REF!&lt;= table!$D$7),-1,IF(AND(#REF!&gt;=table!$E$7,#REF!&lt;=table!$F$7),1,0))</f>
        <v>#REF!</v>
      </c>
      <c r="S2573" s="5" t="e">
        <f>IF(AND(#REF!&gt;=table!$C$8,#REF!&lt;= table!$D$8),-1,IF(AND(#REF!&gt;=table!$E$8,#REF!&lt;=table!$F$8),1,0))</f>
        <v>#REF!</v>
      </c>
      <c r="T2573" s="5"/>
      <c r="U2573" s="5" t="e">
        <f>IF(AND(#REF!&gt;=table!$C$10,#REF!&lt;= table!$D$10),-1,IF(AND(#REF!&gt;=table!$E$10,#REF!&lt;=table!$F$10),1,0))</f>
        <v>#REF!</v>
      </c>
      <c r="V2573" s="5" t="e">
        <f>IF(AND(#REF!&gt;=table!$C$11,#REF!&lt;= table!$D$11),-1,IF(AND(#REF!&gt;=table!$E$11,#REF!&lt;=table!$F$11),1,0))</f>
        <v>#REF!</v>
      </c>
      <c r="W2573" s="5" t="e">
        <f>CONCATENATE(dados[[#This Row],[fator1]],dados[[#This Row],[fator5]],dados[[#This Row],[fator6]])</f>
        <v>#REF!</v>
      </c>
    </row>
    <row r="2574" spans="1:23">
      <c r="A2574" t="s">
        <v>16</v>
      </c>
      <c r="B2574">
        <v>584563</v>
      </c>
      <c r="C2574">
        <v>8</v>
      </c>
      <c r="D2574">
        <v>40</v>
      </c>
      <c r="E2574">
        <v>65</v>
      </c>
      <c r="F2574">
        <v>8</v>
      </c>
      <c r="G2574">
        <v>0</v>
      </c>
      <c r="H2574">
        <v>25</v>
      </c>
      <c r="I2574">
        <v>105</v>
      </c>
      <c r="J2574">
        <v>0</v>
      </c>
      <c r="K2574">
        <v>3.5100000000000002</v>
      </c>
      <c r="L2574">
        <v>10.950000000000001</v>
      </c>
      <c r="M2574">
        <v>67.55</v>
      </c>
      <c r="N2574">
        <v>16.350000000000001</v>
      </c>
      <c r="O2574">
        <v>1680</v>
      </c>
      <c r="P2574">
        <v>0</v>
      </c>
      <c r="Q2574" s="5" t="e">
        <f>IF(AND(#REF!&gt;=table!$C$6,#REF!&lt;= table!$D$6),-1,IF(AND(#REF!&gt;=table!$E$6,#REF!&lt;=table!$F$6),1,0))</f>
        <v>#REF!</v>
      </c>
      <c r="R2574" s="5" t="e">
        <f>IF(AND(#REF!&gt;=table!$C$7,#REF!&lt;= table!$D$7),-1,IF(AND(#REF!&gt;=table!$E$7,#REF!&lt;=table!$F$7),1,0))</f>
        <v>#REF!</v>
      </c>
      <c r="S2574" s="5" t="e">
        <f>IF(AND(#REF!&gt;=table!$C$8,#REF!&lt;= table!$D$8),-1,IF(AND(#REF!&gt;=table!$E$8,#REF!&lt;=table!$F$8),1,0))</f>
        <v>#REF!</v>
      </c>
      <c r="T2574" s="5"/>
      <c r="U2574" s="5" t="e">
        <f>IF(AND(#REF!&gt;=table!$C$10,#REF!&lt;= table!$D$10),-1,IF(AND(#REF!&gt;=table!$E$10,#REF!&lt;=table!$F$10),1,0))</f>
        <v>#REF!</v>
      </c>
      <c r="V2574" s="5" t="e">
        <f>IF(AND(#REF!&gt;=table!$C$11,#REF!&lt;= table!$D$11),-1,IF(AND(#REF!&gt;=table!$E$11,#REF!&lt;=table!$F$11),1,0))</f>
        <v>#REF!</v>
      </c>
      <c r="W2574" s="5" t="e">
        <f>CONCATENATE(dados[[#This Row],[fator1]],dados[[#This Row],[fator5]],dados[[#This Row],[fator6]])</f>
        <v>#REF!</v>
      </c>
    </row>
    <row r="2575" spans="1:23">
      <c r="A2575" t="s">
        <v>16</v>
      </c>
      <c r="B2575">
        <v>584565</v>
      </c>
      <c r="C2575">
        <v>12</v>
      </c>
      <c r="D2575">
        <v>35</v>
      </c>
      <c r="E2575">
        <v>90</v>
      </c>
      <c r="F2575">
        <v>10</v>
      </c>
      <c r="G2575">
        <v>0</v>
      </c>
      <c r="H2575">
        <v>25</v>
      </c>
      <c r="I2575">
        <v>128</v>
      </c>
      <c r="J2575">
        <v>740</v>
      </c>
      <c r="K2575">
        <v>3.4650000000000003</v>
      </c>
      <c r="L2575">
        <v>13.950000000000001</v>
      </c>
      <c r="M2575">
        <v>68.55</v>
      </c>
      <c r="N2575">
        <v>20.150000000000002</v>
      </c>
      <c r="O2575">
        <v>1675</v>
      </c>
      <c r="P2575">
        <v>1130</v>
      </c>
      <c r="Q2575" s="5" t="e">
        <f>IF(AND(#REF!&gt;=table!$C$6,#REF!&lt;= table!$D$6),-1,IF(AND(#REF!&gt;=table!$E$6,#REF!&lt;=table!$F$6),1,0))</f>
        <v>#REF!</v>
      </c>
      <c r="R2575" s="5" t="e">
        <f>IF(AND(#REF!&gt;=table!$C$7,#REF!&lt;= table!$D$7),-1,IF(AND(#REF!&gt;=table!$E$7,#REF!&lt;=table!$F$7),1,0))</f>
        <v>#REF!</v>
      </c>
      <c r="S2575" s="5" t="e">
        <f>IF(AND(#REF!&gt;=table!$C$8,#REF!&lt;= table!$D$8),-1,IF(AND(#REF!&gt;=table!$E$8,#REF!&lt;=table!$F$8),1,0))</f>
        <v>#REF!</v>
      </c>
      <c r="T2575" s="5"/>
      <c r="U2575" s="5" t="e">
        <f>IF(AND(#REF!&gt;=table!$C$10,#REF!&lt;= table!$D$10),-1,IF(AND(#REF!&gt;=table!$E$10,#REF!&lt;=table!$F$10),1,0))</f>
        <v>#REF!</v>
      </c>
      <c r="V2575" s="5" t="e">
        <f>IF(AND(#REF!&gt;=table!$C$11,#REF!&lt;= table!$D$11),-1,IF(AND(#REF!&gt;=table!$E$11,#REF!&lt;=table!$F$11),1,0))</f>
        <v>#REF!</v>
      </c>
      <c r="W2575" s="5" t="e">
        <f>CONCATENATE(dados[[#This Row],[fator1]],dados[[#This Row],[fator5]],dados[[#This Row],[fator6]])</f>
        <v>#REF!</v>
      </c>
    </row>
    <row r="2576" spans="1:23">
      <c r="A2576" t="s">
        <v>16</v>
      </c>
      <c r="B2576">
        <v>584567</v>
      </c>
      <c r="C2576">
        <v>12</v>
      </c>
      <c r="D2576">
        <v>35</v>
      </c>
      <c r="E2576">
        <v>90</v>
      </c>
      <c r="F2576">
        <v>10</v>
      </c>
      <c r="G2576">
        <v>0</v>
      </c>
      <c r="H2576">
        <v>25</v>
      </c>
      <c r="I2576">
        <v>211</v>
      </c>
      <c r="J2576">
        <v>0</v>
      </c>
      <c r="K2576">
        <v>5.03</v>
      </c>
      <c r="L2576">
        <v>10.6</v>
      </c>
      <c r="M2576">
        <v>73.400000000000006</v>
      </c>
      <c r="N2576">
        <v>13.700000000000001</v>
      </c>
      <c r="O2576">
        <v>1662</v>
      </c>
      <c r="P2576">
        <v>0</v>
      </c>
      <c r="Q2576" s="5" t="e">
        <f>IF(AND(#REF!&gt;=table!$C$6,#REF!&lt;= table!$D$6),-1,IF(AND(#REF!&gt;=table!$E$6,#REF!&lt;=table!$F$6),1,0))</f>
        <v>#REF!</v>
      </c>
      <c r="R2576" s="5" t="e">
        <f>IF(AND(#REF!&gt;=table!$C$7,#REF!&lt;= table!$D$7),-1,IF(AND(#REF!&gt;=table!$E$7,#REF!&lt;=table!$F$7),1,0))</f>
        <v>#REF!</v>
      </c>
      <c r="S2576" s="5" t="e">
        <f>IF(AND(#REF!&gt;=table!$C$8,#REF!&lt;= table!$D$8),-1,IF(AND(#REF!&gt;=table!$E$8,#REF!&lt;=table!$F$8),1,0))</f>
        <v>#REF!</v>
      </c>
      <c r="T2576" s="5"/>
      <c r="U2576" s="5" t="e">
        <f>IF(AND(#REF!&gt;=table!$C$10,#REF!&lt;= table!$D$10),-1,IF(AND(#REF!&gt;=table!$E$10,#REF!&lt;=table!$F$10),1,0))</f>
        <v>#REF!</v>
      </c>
      <c r="V2576" s="5" t="e">
        <f>IF(AND(#REF!&gt;=table!$C$11,#REF!&lt;= table!$D$11),-1,IF(AND(#REF!&gt;=table!$E$11,#REF!&lt;=table!$F$11),1,0))</f>
        <v>#REF!</v>
      </c>
      <c r="W2576" s="5" t="e">
        <f>CONCATENATE(dados[[#This Row],[fator1]],dados[[#This Row],[fator5]],dados[[#This Row],[fator6]])</f>
        <v>#REF!</v>
      </c>
    </row>
    <row r="2577" spans="1:23">
      <c r="A2577" t="s">
        <v>16</v>
      </c>
      <c r="B2577">
        <v>584568</v>
      </c>
      <c r="C2577">
        <v>12</v>
      </c>
      <c r="D2577">
        <v>35</v>
      </c>
      <c r="E2577">
        <v>90</v>
      </c>
      <c r="F2577">
        <v>10</v>
      </c>
      <c r="G2577">
        <v>0</v>
      </c>
      <c r="H2577">
        <v>25</v>
      </c>
      <c r="I2577">
        <v>0</v>
      </c>
      <c r="J2577">
        <v>490</v>
      </c>
      <c r="K2577">
        <v>3.71</v>
      </c>
      <c r="L2577">
        <v>15.15</v>
      </c>
      <c r="M2577">
        <v>64.25</v>
      </c>
      <c r="N2577">
        <v>23.7</v>
      </c>
      <c r="O2577">
        <v>1688</v>
      </c>
      <c r="P2577">
        <v>954</v>
      </c>
      <c r="Q2577" s="5" t="e">
        <f>IF(AND(#REF!&gt;=table!$C$6,#REF!&lt;= table!$D$6),-1,IF(AND(#REF!&gt;=table!$E$6,#REF!&lt;=table!$F$6),1,0))</f>
        <v>#REF!</v>
      </c>
      <c r="R2577" s="5" t="e">
        <f>IF(AND(#REF!&gt;=table!$C$7,#REF!&lt;= table!$D$7),-1,IF(AND(#REF!&gt;=table!$E$7,#REF!&lt;=table!$F$7),1,0))</f>
        <v>#REF!</v>
      </c>
      <c r="S2577" s="5" t="e">
        <f>IF(AND(#REF!&gt;=table!$C$8,#REF!&lt;= table!$D$8),-1,IF(AND(#REF!&gt;=table!$E$8,#REF!&lt;=table!$F$8),1,0))</f>
        <v>#REF!</v>
      </c>
      <c r="T2577" s="5"/>
      <c r="U2577" s="5" t="e">
        <f>IF(AND(#REF!&gt;=table!$C$10,#REF!&lt;= table!$D$10),-1,IF(AND(#REF!&gt;=table!$E$10,#REF!&lt;=table!$F$10),1,0))</f>
        <v>#REF!</v>
      </c>
      <c r="V2577" s="5" t="e">
        <f>IF(AND(#REF!&gt;=table!$C$11,#REF!&lt;= table!$D$11),-1,IF(AND(#REF!&gt;=table!$E$11,#REF!&lt;=table!$F$11),1,0))</f>
        <v>#REF!</v>
      </c>
      <c r="W2577" s="5" t="e">
        <f>CONCATENATE(dados[[#This Row],[fator1]],dados[[#This Row],[fator5]],dados[[#This Row],[fator6]])</f>
        <v>#REF!</v>
      </c>
    </row>
    <row r="2578" spans="1:23">
      <c r="A2578" t="s">
        <v>16</v>
      </c>
      <c r="B2578">
        <v>584569</v>
      </c>
      <c r="C2578">
        <v>12</v>
      </c>
      <c r="D2578">
        <v>35</v>
      </c>
      <c r="E2578">
        <v>90</v>
      </c>
      <c r="F2578">
        <v>10</v>
      </c>
      <c r="G2578">
        <v>0</v>
      </c>
      <c r="H2578">
        <v>25</v>
      </c>
      <c r="I2578">
        <v>305</v>
      </c>
      <c r="J2578">
        <v>0</v>
      </c>
      <c r="K2578">
        <v>7.625</v>
      </c>
      <c r="L2578">
        <v>14.25</v>
      </c>
      <c r="M2578">
        <v>79.850000000000009</v>
      </c>
      <c r="N2578">
        <v>18.150000000000002</v>
      </c>
      <c r="O2578">
        <v>1666</v>
      </c>
      <c r="P2578">
        <v>475</v>
      </c>
      <c r="Q2578" s="5" t="e">
        <f>IF(AND(#REF!&gt;=table!$C$6,#REF!&lt;= table!$D$6),-1,IF(AND(#REF!&gt;=table!$E$6,#REF!&lt;=table!$F$6),1,0))</f>
        <v>#REF!</v>
      </c>
      <c r="R2578" s="5" t="e">
        <f>IF(AND(#REF!&gt;=table!$C$7,#REF!&lt;= table!$D$7),-1,IF(AND(#REF!&gt;=table!$E$7,#REF!&lt;=table!$F$7),1,0))</f>
        <v>#REF!</v>
      </c>
      <c r="S2578" s="5" t="e">
        <f>IF(AND(#REF!&gt;=table!$C$8,#REF!&lt;= table!$D$8),-1,IF(AND(#REF!&gt;=table!$E$8,#REF!&lt;=table!$F$8),1,0))</f>
        <v>#REF!</v>
      </c>
      <c r="T2578" s="5"/>
      <c r="U2578" s="5" t="e">
        <f>IF(AND(#REF!&gt;=table!$C$10,#REF!&lt;= table!$D$10),-1,IF(AND(#REF!&gt;=table!$E$10,#REF!&lt;=table!$F$10),1,0))</f>
        <v>#REF!</v>
      </c>
      <c r="V2578" s="5" t="e">
        <f>IF(AND(#REF!&gt;=table!$C$11,#REF!&lt;= table!$D$11),-1,IF(AND(#REF!&gt;=table!$E$11,#REF!&lt;=table!$F$11),1,0))</f>
        <v>#REF!</v>
      </c>
      <c r="W2578" s="5" t="e">
        <f>CONCATENATE(dados[[#This Row],[fator1]],dados[[#This Row],[fator5]],dados[[#This Row],[fator6]])</f>
        <v>#REF!</v>
      </c>
    </row>
    <row r="2579" spans="1:23">
      <c r="A2579" t="s">
        <v>16</v>
      </c>
      <c r="B2579">
        <v>584571</v>
      </c>
      <c r="C2579">
        <v>12</v>
      </c>
      <c r="D2579">
        <v>35</v>
      </c>
      <c r="E2579">
        <v>90</v>
      </c>
      <c r="F2579">
        <v>10</v>
      </c>
      <c r="G2579">
        <v>0</v>
      </c>
      <c r="H2579">
        <v>25</v>
      </c>
      <c r="I2579">
        <v>1778</v>
      </c>
      <c r="J2579">
        <v>0</v>
      </c>
      <c r="K2579">
        <v>11.265000000000001</v>
      </c>
      <c r="L2579">
        <v>14.4</v>
      </c>
      <c r="M2579">
        <v>84.600000000000009</v>
      </c>
      <c r="N2579">
        <v>23</v>
      </c>
      <c r="O2579">
        <v>1671</v>
      </c>
      <c r="P2579">
        <v>0</v>
      </c>
      <c r="Q2579" s="5" t="e">
        <f>IF(AND(#REF!&gt;=table!$C$6,#REF!&lt;= table!$D$6),-1,IF(AND(#REF!&gt;=table!$E$6,#REF!&lt;=table!$F$6),1,0))</f>
        <v>#REF!</v>
      </c>
      <c r="R2579" s="5" t="e">
        <f>IF(AND(#REF!&gt;=table!$C$7,#REF!&lt;= table!$D$7),-1,IF(AND(#REF!&gt;=table!$E$7,#REF!&lt;=table!$F$7),1,0))</f>
        <v>#REF!</v>
      </c>
      <c r="S2579" s="5" t="e">
        <f>IF(AND(#REF!&gt;=table!$C$8,#REF!&lt;= table!$D$8),-1,IF(AND(#REF!&gt;=table!$E$8,#REF!&lt;=table!$F$8),1,0))</f>
        <v>#REF!</v>
      </c>
      <c r="T2579" s="5"/>
      <c r="U2579" s="5" t="e">
        <f>IF(AND(#REF!&gt;=table!$C$10,#REF!&lt;= table!$D$10),-1,IF(AND(#REF!&gt;=table!$E$10,#REF!&lt;=table!$F$10),1,0))</f>
        <v>#REF!</v>
      </c>
      <c r="V2579" s="5" t="e">
        <f>IF(AND(#REF!&gt;=table!$C$11,#REF!&lt;= table!$D$11),-1,IF(AND(#REF!&gt;=table!$E$11,#REF!&lt;=table!$F$11),1,0))</f>
        <v>#REF!</v>
      </c>
      <c r="W2579" s="5" t="e">
        <f>CONCATENATE(dados[[#This Row],[fator1]],dados[[#This Row],[fator5]],dados[[#This Row],[fator6]])</f>
        <v>#REF!</v>
      </c>
    </row>
    <row r="2580" spans="1:23">
      <c r="A2580" t="s">
        <v>16</v>
      </c>
      <c r="B2580">
        <v>584573</v>
      </c>
      <c r="C2580">
        <v>12</v>
      </c>
      <c r="D2580">
        <v>35</v>
      </c>
      <c r="E2580">
        <v>90</v>
      </c>
      <c r="F2580">
        <v>10</v>
      </c>
      <c r="G2580">
        <v>0</v>
      </c>
      <c r="H2580">
        <v>25</v>
      </c>
      <c r="I2580">
        <v>3</v>
      </c>
      <c r="J2580">
        <v>0</v>
      </c>
      <c r="K2580">
        <v>6.62</v>
      </c>
      <c r="L2580">
        <v>14.375</v>
      </c>
      <c r="M2580">
        <v>73.75</v>
      </c>
      <c r="N2580">
        <v>25.2</v>
      </c>
      <c r="O2580">
        <v>1691</v>
      </c>
      <c r="P2580">
        <v>0</v>
      </c>
      <c r="Q2580" s="5" t="e">
        <f>IF(AND(#REF!&gt;=table!$C$6,#REF!&lt;= table!$D$6),-1,IF(AND(#REF!&gt;=table!$E$6,#REF!&lt;=table!$F$6),1,0))</f>
        <v>#REF!</v>
      </c>
      <c r="R2580" s="5" t="e">
        <f>IF(AND(#REF!&gt;=table!$C$7,#REF!&lt;= table!$D$7),-1,IF(AND(#REF!&gt;=table!$E$7,#REF!&lt;=table!$F$7),1,0))</f>
        <v>#REF!</v>
      </c>
      <c r="S2580" s="5" t="e">
        <f>IF(AND(#REF!&gt;=table!$C$8,#REF!&lt;= table!$D$8),-1,IF(AND(#REF!&gt;=table!$E$8,#REF!&lt;=table!$F$8),1,0))</f>
        <v>#REF!</v>
      </c>
      <c r="T2580" s="5"/>
      <c r="U2580" s="5" t="e">
        <f>IF(AND(#REF!&gt;=table!$C$10,#REF!&lt;= table!$D$10),-1,IF(AND(#REF!&gt;=table!$E$10,#REF!&lt;=table!$F$10),1,0))</f>
        <v>#REF!</v>
      </c>
      <c r="V2580" s="5" t="e">
        <f>IF(AND(#REF!&gt;=table!$C$11,#REF!&lt;= table!$D$11),-1,IF(AND(#REF!&gt;=table!$E$11,#REF!&lt;=table!$F$11),1,0))</f>
        <v>#REF!</v>
      </c>
      <c r="W2580" s="5" t="e">
        <f>CONCATENATE(dados[[#This Row],[fator1]],dados[[#This Row],[fator5]],dados[[#This Row],[fator6]])</f>
        <v>#REF!</v>
      </c>
    </row>
    <row r="2581" spans="1:23">
      <c r="A2581" t="s">
        <v>16</v>
      </c>
      <c r="B2581">
        <v>584576</v>
      </c>
      <c r="C2581">
        <v>12</v>
      </c>
      <c r="D2581">
        <v>35</v>
      </c>
      <c r="E2581">
        <v>90</v>
      </c>
      <c r="F2581">
        <v>10</v>
      </c>
      <c r="G2581">
        <v>0</v>
      </c>
      <c r="H2581">
        <v>25</v>
      </c>
      <c r="I2581">
        <v>913</v>
      </c>
      <c r="J2581">
        <v>0</v>
      </c>
      <c r="K2581">
        <v>8.2550000000000008</v>
      </c>
      <c r="L2581">
        <v>13.200000000000001</v>
      </c>
      <c r="M2581">
        <v>79.3</v>
      </c>
      <c r="N2581">
        <v>17.95</v>
      </c>
      <c r="O2581">
        <v>1681</v>
      </c>
      <c r="P2581">
        <v>510</v>
      </c>
      <c r="Q2581" s="5" t="e">
        <f>IF(AND(#REF!&gt;=table!$C$6,#REF!&lt;= table!$D$6),-1,IF(AND(#REF!&gt;=table!$E$6,#REF!&lt;=table!$F$6),1,0))</f>
        <v>#REF!</v>
      </c>
      <c r="R2581" s="5" t="e">
        <f>IF(AND(#REF!&gt;=table!$C$7,#REF!&lt;= table!$D$7),-1,IF(AND(#REF!&gt;=table!$E$7,#REF!&lt;=table!$F$7),1,0))</f>
        <v>#REF!</v>
      </c>
      <c r="S2581" s="5" t="e">
        <f>IF(AND(#REF!&gt;=table!$C$8,#REF!&lt;= table!$D$8),-1,IF(AND(#REF!&gt;=table!$E$8,#REF!&lt;=table!$F$8),1,0))</f>
        <v>#REF!</v>
      </c>
      <c r="T2581" s="5"/>
      <c r="U2581" s="5" t="e">
        <f>IF(AND(#REF!&gt;=table!$C$10,#REF!&lt;= table!$D$10),-1,IF(AND(#REF!&gt;=table!$E$10,#REF!&lt;=table!$F$10),1,0))</f>
        <v>#REF!</v>
      </c>
      <c r="V2581" s="5" t="e">
        <f>IF(AND(#REF!&gt;=table!$C$11,#REF!&lt;= table!$D$11),-1,IF(AND(#REF!&gt;=table!$E$11,#REF!&lt;=table!$F$11),1,0))</f>
        <v>#REF!</v>
      </c>
      <c r="W2581" s="5" t="e">
        <f>CONCATENATE(dados[[#This Row],[fator1]],dados[[#This Row],[fator5]],dados[[#This Row],[fator6]])</f>
        <v>#REF!</v>
      </c>
    </row>
    <row r="2582" spans="1:23">
      <c r="A2582" t="s">
        <v>17</v>
      </c>
      <c r="B2582">
        <v>584577</v>
      </c>
      <c r="C2582">
        <v>24</v>
      </c>
      <c r="D2582">
        <v>25</v>
      </c>
      <c r="E2582">
        <v>70</v>
      </c>
      <c r="F2582">
        <v>3</v>
      </c>
      <c r="G2582">
        <v>18</v>
      </c>
      <c r="H2582">
        <v>25</v>
      </c>
      <c r="I2582">
        <v>877</v>
      </c>
      <c r="J2582">
        <v>0</v>
      </c>
      <c r="K2582">
        <v>6.1450000000000005</v>
      </c>
      <c r="L2582">
        <v>8.9</v>
      </c>
      <c r="M2582">
        <v>61.35</v>
      </c>
      <c r="N2582">
        <v>9.4</v>
      </c>
      <c r="O2582">
        <v>1656</v>
      </c>
      <c r="P2582">
        <v>597</v>
      </c>
      <c r="Q2582" s="5" t="e">
        <f>IF(AND(#REF!&gt;=table!$C$6,#REF!&lt;= table!$D$6),-1,IF(AND(#REF!&gt;=table!$E$6,#REF!&lt;=table!$F$6),1,0))</f>
        <v>#REF!</v>
      </c>
      <c r="R2582" s="5" t="e">
        <f>IF(AND(#REF!&gt;=table!$C$7,#REF!&lt;= table!$D$7),-1,IF(AND(#REF!&gt;=table!$E$7,#REF!&lt;=table!$F$7),1,0))</f>
        <v>#REF!</v>
      </c>
      <c r="S2582" s="5" t="e">
        <f>IF(AND(#REF!&gt;=table!$C$8,#REF!&lt;= table!$D$8),-1,IF(AND(#REF!&gt;=table!$E$8,#REF!&lt;=table!$F$8),1,0))</f>
        <v>#REF!</v>
      </c>
      <c r="T2582" s="5"/>
      <c r="U2582" s="5" t="e">
        <f>IF(AND(#REF!&gt;=table!$C$10,#REF!&lt;= table!$D$10),-1,IF(AND(#REF!&gt;=table!$E$10,#REF!&lt;=table!$F$10),1,0))</f>
        <v>#REF!</v>
      </c>
      <c r="V2582" s="5" t="e">
        <f>IF(AND(#REF!&gt;=table!$C$11,#REF!&lt;= table!$D$11),-1,IF(AND(#REF!&gt;=table!$E$11,#REF!&lt;=table!$F$11),1,0))</f>
        <v>#REF!</v>
      </c>
      <c r="W2582" s="5" t="e">
        <f>CONCATENATE(dados[[#This Row],[fator1]],dados[[#This Row],[fator5]],dados[[#This Row],[fator6]])</f>
        <v>#REF!</v>
      </c>
    </row>
    <row r="2583" spans="1:23">
      <c r="A2583" t="s">
        <v>17</v>
      </c>
      <c r="B2583">
        <v>584578</v>
      </c>
      <c r="C2583">
        <v>14</v>
      </c>
      <c r="D2583">
        <v>30</v>
      </c>
      <c r="E2583">
        <v>110</v>
      </c>
      <c r="F2583">
        <v>4</v>
      </c>
      <c r="G2583">
        <v>20</v>
      </c>
      <c r="H2583">
        <v>22</v>
      </c>
      <c r="I2583">
        <v>1578</v>
      </c>
      <c r="J2583">
        <v>620</v>
      </c>
      <c r="K2583">
        <v>5.0550000000000006</v>
      </c>
      <c r="L2583">
        <v>6.8</v>
      </c>
      <c r="M2583">
        <v>90.65</v>
      </c>
      <c r="N2583">
        <v>6.65</v>
      </c>
      <c r="O2583">
        <v>1673</v>
      </c>
      <c r="P2583">
        <v>708</v>
      </c>
      <c r="Q2583" s="5" t="e">
        <f>IF(AND(#REF!&gt;=table!$C$6,#REF!&lt;= table!$D$6),-1,IF(AND(#REF!&gt;=table!$E$6,#REF!&lt;=table!$F$6),1,0))</f>
        <v>#REF!</v>
      </c>
      <c r="R2583" s="5" t="e">
        <f>IF(AND(#REF!&gt;=table!$C$7,#REF!&lt;= table!$D$7),-1,IF(AND(#REF!&gt;=table!$E$7,#REF!&lt;=table!$F$7),1,0))</f>
        <v>#REF!</v>
      </c>
      <c r="S2583" s="5" t="e">
        <f>IF(AND(#REF!&gt;=table!$C$8,#REF!&lt;= table!$D$8),-1,IF(AND(#REF!&gt;=table!$E$8,#REF!&lt;=table!$F$8),1,0))</f>
        <v>#REF!</v>
      </c>
      <c r="T2583" s="5"/>
      <c r="U2583" s="5" t="e">
        <f>IF(AND(#REF!&gt;=table!$C$10,#REF!&lt;= table!$D$10),-1,IF(AND(#REF!&gt;=table!$E$10,#REF!&lt;=table!$F$10),1,0))</f>
        <v>#REF!</v>
      </c>
      <c r="V2583" s="5" t="e">
        <f>IF(AND(#REF!&gt;=table!$C$11,#REF!&lt;= table!$D$11),-1,IF(AND(#REF!&gt;=table!$E$11,#REF!&lt;=table!$F$11),1,0))</f>
        <v>#REF!</v>
      </c>
      <c r="W2583" s="5" t="e">
        <f>CONCATENATE(dados[[#This Row],[fator1]],dados[[#This Row],[fator5]],dados[[#This Row],[fator6]])</f>
        <v>#REF!</v>
      </c>
    </row>
    <row r="2584" spans="1:23">
      <c r="A2584" t="s">
        <v>17</v>
      </c>
      <c r="B2584">
        <v>584591</v>
      </c>
      <c r="C2584">
        <v>18</v>
      </c>
      <c r="D2584">
        <v>23</v>
      </c>
      <c r="E2584">
        <v>145</v>
      </c>
      <c r="F2584">
        <v>9</v>
      </c>
      <c r="G2584">
        <v>30</v>
      </c>
      <c r="H2584">
        <v>25</v>
      </c>
      <c r="I2584">
        <v>402</v>
      </c>
      <c r="J2584">
        <v>1140</v>
      </c>
      <c r="K2584">
        <v>4.21</v>
      </c>
      <c r="L2584">
        <v>6.92</v>
      </c>
      <c r="M2584">
        <v>103.55</v>
      </c>
      <c r="N2584">
        <v>9.9500000000000011</v>
      </c>
      <c r="O2584">
        <v>1666</v>
      </c>
      <c r="P2584">
        <v>0</v>
      </c>
      <c r="Q2584" s="5" t="e">
        <f>IF(AND(#REF!&gt;=table!$C$6,#REF!&lt;= table!$D$6),-1,IF(AND(#REF!&gt;=table!$E$6,#REF!&lt;=table!$F$6),1,0))</f>
        <v>#REF!</v>
      </c>
      <c r="R2584" s="5" t="e">
        <f>IF(AND(#REF!&gt;=table!$C$7,#REF!&lt;= table!$D$7),-1,IF(AND(#REF!&gt;=table!$E$7,#REF!&lt;=table!$F$7),1,0))</f>
        <v>#REF!</v>
      </c>
      <c r="S2584" s="5" t="e">
        <f>IF(AND(#REF!&gt;=table!$C$8,#REF!&lt;= table!$D$8),-1,IF(AND(#REF!&gt;=table!$E$8,#REF!&lt;=table!$F$8),1,0))</f>
        <v>#REF!</v>
      </c>
      <c r="T2584" s="5"/>
      <c r="U2584" s="5" t="e">
        <f>IF(AND(#REF!&gt;=table!$C$10,#REF!&lt;= table!$D$10),-1,IF(AND(#REF!&gt;=table!$E$10,#REF!&lt;=table!$F$10),1,0))</f>
        <v>#REF!</v>
      </c>
      <c r="V2584" s="5" t="e">
        <f>IF(AND(#REF!&gt;=table!$C$11,#REF!&lt;= table!$D$11),-1,IF(AND(#REF!&gt;=table!$E$11,#REF!&lt;=table!$F$11),1,0))</f>
        <v>#REF!</v>
      </c>
      <c r="W2584" s="5" t="e">
        <f>CONCATENATE(dados[[#This Row],[fator1]],dados[[#This Row],[fator5]],dados[[#This Row],[fator6]])</f>
        <v>#REF!</v>
      </c>
    </row>
    <row r="2585" spans="1:23">
      <c r="A2585" t="s">
        <v>16</v>
      </c>
      <c r="B2585">
        <v>584600</v>
      </c>
      <c r="C2585">
        <v>11</v>
      </c>
      <c r="D2585">
        <v>40</v>
      </c>
      <c r="E2585">
        <v>151</v>
      </c>
      <c r="F2585">
        <v>8</v>
      </c>
      <c r="G2585">
        <v>0</v>
      </c>
      <c r="H2585">
        <v>25</v>
      </c>
      <c r="I2585">
        <v>1116</v>
      </c>
      <c r="J2585">
        <v>680</v>
      </c>
      <c r="K2585">
        <v>4.08</v>
      </c>
      <c r="L2585">
        <v>11.200000000000001</v>
      </c>
      <c r="M2585">
        <v>117.56500000000001</v>
      </c>
      <c r="N2585">
        <v>24.445</v>
      </c>
      <c r="O2585">
        <v>1665</v>
      </c>
      <c r="P2585">
        <v>1001</v>
      </c>
      <c r="Q2585" s="5" t="e">
        <f>IF(AND(#REF!&gt;=table!$C$6,#REF!&lt;= table!$D$6),-1,IF(AND(#REF!&gt;=table!$E$6,#REF!&lt;=table!$F$6),1,0))</f>
        <v>#REF!</v>
      </c>
      <c r="R2585" s="5" t="e">
        <f>IF(AND(#REF!&gt;=table!$C$7,#REF!&lt;= table!$D$7),-1,IF(AND(#REF!&gt;=table!$E$7,#REF!&lt;=table!$F$7),1,0))</f>
        <v>#REF!</v>
      </c>
      <c r="S2585" s="5" t="e">
        <f>IF(AND(#REF!&gt;=table!$C$8,#REF!&lt;= table!$D$8),-1,IF(AND(#REF!&gt;=table!$E$8,#REF!&lt;=table!$F$8),1,0))</f>
        <v>#REF!</v>
      </c>
      <c r="T2585" s="5"/>
      <c r="U2585" s="5" t="e">
        <f>IF(AND(#REF!&gt;=table!$C$10,#REF!&lt;= table!$D$10),-1,IF(AND(#REF!&gt;=table!$E$10,#REF!&lt;=table!$F$10),1,0))</f>
        <v>#REF!</v>
      </c>
      <c r="V2585" s="5" t="e">
        <f>IF(AND(#REF!&gt;=table!$C$11,#REF!&lt;= table!$D$11),-1,IF(AND(#REF!&gt;=table!$E$11,#REF!&lt;=table!$F$11),1,0))</f>
        <v>#REF!</v>
      </c>
      <c r="W2585" s="5" t="e">
        <f>CONCATENATE(dados[[#This Row],[fator1]],dados[[#This Row],[fator5]],dados[[#This Row],[fator6]])</f>
        <v>#REF!</v>
      </c>
    </row>
    <row r="2586" spans="1:23">
      <c r="A2586" t="s">
        <v>16</v>
      </c>
      <c r="B2586">
        <v>584601</v>
      </c>
      <c r="C2586">
        <v>7</v>
      </c>
      <c r="D2586">
        <v>35</v>
      </c>
      <c r="E2586">
        <v>170</v>
      </c>
      <c r="F2586">
        <v>6</v>
      </c>
      <c r="G2586">
        <v>0</v>
      </c>
      <c r="H2586">
        <v>20</v>
      </c>
      <c r="I2586">
        <v>684</v>
      </c>
      <c r="J2586">
        <v>0</v>
      </c>
      <c r="K2586">
        <v>3.44</v>
      </c>
      <c r="L2586">
        <v>6.7</v>
      </c>
      <c r="M2586">
        <v>92.65</v>
      </c>
      <c r="N2586">
        <v>8.75</v>
      </c>
      <c r="O2586">
        <v>1658</v>
      </c>
      <c r="P2586">
        <v>1307</v>
      </c>
      <c r="Q2586" s="5" t="e">
        <f>IF(AND(#REF!&gt;=table!$C$6,#REF!&lt;= table!$D$6),-1,IF(AND(#REF!&gt;=table!$E$6,#REF!&lt;=table!$F$6),1,0))</f>
        <v>#REF!</v>
      </c>
      <c r="R2586" s="5" t="e">
        <f>IF(AND(#REF!&gt;=table!$C$7,#REF!&lt;= table!$D$7),-1,IF(AND(#REF!&gt;=table!$E$7,#REF!&lt;=table!$F$7),1,0))</f>
        <v>#REF!</v>
      </c>
      <c r="S2586" s="5" t="e">
        <f>IF(AND(#REF!&gt;=table!$C$8,#REF!&lt;= table!$D$8),-1,IF(AND(#REF!&gt;=table!$E$8,#REF!&lt;=table!$F$8),1,0))</f>
        <v>#REF!</v>
      </c>
      <c r="T2586" s="5"/>
      <c r="U2586" s="5" t="e">
        <f>IF(AND(#REF!&gt;=table!$C$10,#REF!&lt;= table!$D$10),-1,IF(AND(#REF!&gt;=table!$E$10,#REF!&lt;=table!$F$10),1,0))</f>
        <v>#REF!</v>
      </c>
      <c r="V2586" s="5" t="e">
        <f>IF(AND(#REF!&gt;=table!$C$11,#REF!&lt;= table!$D$11),-1,IF(AND(#REF!&gt;=table!$E$11,#REF!&lt;=table!$F$11),1,0))</f>
        <v>#REF!</v>
      </c>
      <c r="W2586" s="5" t="e">
        <f>CONCATENATE(dados[[#This Row],[fator1]],dados[[#This Row],[fator5]],dados[[#This Row],[fator6]])</f>
        <v>#REF!</v>
      </c>
    </row>
    <row r="2587" spans="1:23">
      <c r="A2587" t="s">
        <v>16</v>
      </c>
      <c r="B2587">
        <v>584603</v>
      </c>
      <c r="C2587">
        <v>6</v>
      </c>
      <c r="D2587">
        <v>40</v>
      </c>
      <c r="E2587">
        <v>70</v>
      </c>
      <c r="F2587">
        <v>10</v>
      </c>
      <c r="G2587">
        <v>0</v>
      </c>
      <c r="H2587">
        <v>25</v>
      </c>
      <c r="I2587">
        <v>1072</v>
      </c>
      <c r="J2587">
        <v>0</v>
      </c>
      <c r="K2587">
        <v>3.2950000000000004</v>
      </c>
      <c r="L2587">
        <v>9.1</v>
      </c>
      <c r="M2587">
        <v>61.92</v>
      </c>
      <c r="N2587">
        <v>17.645</v>
      </c>
      <c r="O2587">
        <v>1668</v>
      </c>
      <c r="P2587">
        <v>1249</v>
      </c>
      <c r="Q2587" s="5" t="e">
        <f>IF(AND(#REF!&gt;=table!$C$6,#REF!&lt;= table!$D$6),-1,IF(AND(#REF!&gt;=table!$E$6,#REF!&lt;=table!$F$6),1,0))</f>
        <v>#REF!</v>
      </c>
      <c r="R2587" s="5" t="e">
        <f>IF(AND(#REF!&gt;=table!$C$7,#REF!&lt;= table!$D$7),-1,IF(AND(#REF!&gt;=table!$E$7,#REF!&lt;=table!$F$7),1,0))</f>
        <v>#REF!</v>
      </c>
      <c r="S2587" s="5" t="e">
        <f>IF(AND(#REF!&gt;=table!$C$8,#REF!&lt;= table!$D$8),-1,IF(AND(#REF!&gt;=table!$E$8,#REF!&lt;=table!$F$8),1,0))</f>
        <v>#REF!</v>
      </c>
      <c r="T2587" s="5"/>
      <c r="U2587" s="5" t="e">
        <f>IF(AND(#REF!&gt;=table!$C$10,#REF!&lt;= table!$D$10),-1,IF(AND(#REF!&gt;=table!$E$10,#REF!&lt;=table!$F$10),1,0))</f>
        <v>#REF!</v>
      </c>
      <c r="V2587" s="5" t="e">
        <f>IF(AND(#REF!&gt;=table!$C$11,#REF!&lt;= table!$D$11),-1,IF(AND(#REF!&gt;=table!$E$11,#REF!&lt;=table!$F$11),1,0))</f>
        <v>#REF!</v>
      </c>
      <c r="W2587" s="5" t="e">
        <f>CONCATENATE(dados[[#This Row],[fator1]],dados[[#This Row],[fator5]],dados[[#This Row],[fator6]])</f>
        <v>#REF!</v>
      </c>
    </row>
    <row r="2588" spans="1:23">
      <c r="A2588" t="s">
        <v>16</v>
      </c>
      <c r="B2588">
        <v>584604</v>
      </c>
      <c r="C2588">
        <v>8</v>
      </c>
      <c r="D2588">
        <v>27</v>
      </c>
      <c r="E2588">
        <v>65</v>
      </c>
      <c r="F2588">
        <v>8</v>
      </c>
      <c r="G2588">
        <v>0</v>
      </c>
      <c r="H2588">
        <v>25</v>
      </c>
      <c r="I2588">
        <v>321</v>
      </c>
      <c r="J2588">
        <v>0</v>
      </c>
      <c r="K2588">
        <v>3.2050000000000001</v>
      </c>
      <c r="L2588">
        <v>5.8</v>
      </c>
      <c r="M2588">
        <v>44.6</v>
      </c>
      <c r="N2588">
        <v>12</v>
      </c>
      <c r="O2588">
        <v>1660</v>
      </c>
      <c r="P2588">
        <v>0</v>
      </c>
      <c r="Q2588" s="5" t="e">
        <f>IF(AND(#REF!&gt;=table!$C$6,#REF!&lt;= table!$D$6),-1,IF(AND(#REF!&gt;=table!$E$6,#REF!&lt;=table!$F$6),1,0))</f>
        <v>#REF!</v>
      </c>
      <c r="R2588" s="5" t="e">
        <f>IF(AND(#REF!&gt;=table!$C$7,#REF!&lt;= table!$D$7),-1,IF(AND(#REF!&gt;=table!$E$7,#REF!&lt;=table!$F$7),1,0))</f>
        <v>#REF!</v>
      </c>
      <c r="S2588" s="5" t="e">
        <f>IF(AND(#REF!&gt;=table!$C$8,#REF!&lt;= table!$D$8),-1,IF(AND(#REF!&gt;=table!$E$8,#REF!&lt;=table!$F$8),1,0))</f>
        <v>#REF!</v>
      </c>
      <c r="T2588" s="5"/>
      <c r="U2588" s="5" t="e">
        <f>IF(AND(#REF!&gt;=table!$C$10,#REF!&lt;= table!$D$10),-1,IF(AND(#REF!&gt;=table!$E$10,#REF!&lt;=table!$F$10),1,0))</f>
        <v>#REF!</v>
      </c>
      <c r="V2588" s="5" t="e">
        <f>IF(AND(#REF!&gt;=table!$C$11,#REF!&lt;= table!$D$11),-1,IF(AND(#REF!&gt;=table!$E$11,#REF!&lt;=table!$F$11),1,0))</f>
        <v>#REF!</v>
      </c>
      <c r="W2588" s="5" t="e">
        <f>CONCATENATE(dados[[#This Row],[fator1]],dados[[#This Row],[fator5]],dados[[#This Row],[fator6]])</f>
        <v>#REF!</v>
      </c>
    </row>
    <row r="2589" spans="1:23">
      <c r="A2589" t="s">
        <v>16</v>
      </c>
      <c r="B2589">
        <v>584605</v>
      </c>
      <c r="C2589">
        <v>6</v>
      </c>
      <c r="D2589">
        <v>40</v>
      </c>
      <c r="E2589">
        <v>70</v>
      </c>
      <c r="F2589">
        <v>10</v>
      </c>
      <c r="G2589">
        <v>0</v>
      </c>
      <c r="H2589">
        <v>25</v>
      </c>
      <c r="I2589">
        <v>1766</v>
      </c>
      <c r="J2589">
        <v>730</v>
      </c>
      <c r="K2589">
        <v>5.5550000000000006</v>
      </c>
      <c r="L2589">
        <v>5.7</v>
      </c>
      <c r="M2589">
        <v>54.1</v>
      </c>
      <c r="N2589">
        <v>11.35</v>
      </c>
      <c r="O2589">
        <v>1638</v>
      </c>
      <c r="P2589">
        <v>613</v>
      </c>
      <c r="Q2589" s="5" t="e">
        <f>IF(AND(#REF!&gt;=table!$C$6,#REF!&lt;= table!$D$6),-1,IF(AND(#REF!&gt;=table!$E$6,#REF!&lt;=table!$F$6),1,0))</f>
        <v>#REF!</v>
      </c>
      <c r="R2589" s="5" t="e">
        <f>IF(AND(#REF!&gt;=table!$C$7,#REF!&lt;= table!$D$7),-1,IF(AND(#REF!&gt;=table!$E$7,#REF!&lt;=table!$F$7),1,0))</f>
        <v>#REF!</v>
      </c>
      <c r="S2589" s="5" t="e">
        <f>IF(AND(#REF!&gt;=table!$C$8,#REF!&lt;= table!$D$8),-1,IF(AND(#REF!&gt;=table!$E$8,#REF!&lt;=table!$F$8),1,0))</f>
        <v>#REF!</v>
      </c>
      <c r="T2589" s="5"/>
      <c r="U2589" s="5" t="e">
        <f>IF(AND(#REF!&gt;=table!$C$10,#REF!&lt;= table!$D$10),-1,IF(AND(#REF!&gt;=table!$E$10,#REF!&lt;=table!$F$10),1,0))</f>
        <v>#REF!</v>
      </c>
      <c r="V2589" s="5" t="e">
        <f>IF(AND(#REF!&gt;=table!$C$11,#REF!&lt;= table!$D$11),-1,IF(AND(#REF!&gt;=table!$E$11,#REF!&lt;=table!$F$11),1,0))</f>
        <v>#REF!</v>
      </c>
      <c r="W2589" s="5" t="e">
        <f>CONCATENATE(dados[[#This Row],[fator1]],dados[[#This Row],[fator5]],dados[[#This Row],[fator6]])</f>
        <v>#REF!</v>
      </c>
    </row>
    <row r="2590" spans="1:23">
      <c r="A2590" t="s">
        <v>16</v>
      </c>
      <c r="B2590">
        <v>584606</v>
      </c>
      <c r="C2590">
        <v>8</v>
      </c>
      <c r="D2590">
        <v>40</v>
      </c>
      <c r="E2590">
        <v>65</v>
      </c>
      <c r="F2590">
        <v>8</v>
      </c>
      <c r="G2590">
        <v>0</v>
      </c>
      <c r="H2590">
        <v>25</v>
      </c>
      <c r="I2590">
        <v>437</v>
      </c>
      <c r="J2590">
        <v>0</v>
      </c>
      <c r="K2590">
        <v>16.835000000000001</v>
      </c>
      <c r="L2590">
        <v>15.3</v>
      </c>
      <c r="M2590">
        <v>47.35</v>
      </c>
      <c r="N2590">
        <v>14.65</v>
      </c>
      <c r="O2590">
        <v>1677</v>
      </c>
      <c r="P2590">
        <v>0</v>
      </c>
      <c r="Q2590" s="5" t="e">
        <f>IF(AND(#REF!&gt;=table!$C$6,#REF!&lt;= table!$D$6),-1,IF(AND(#REF!&gt;=table!$E$6,#REF!&lt;=table!$F$6),1,0))</f>
        <v>#REF!</v>
      </c>
      <c r="R2590" s="5" t="e">
        <f>IF(AND(#REF!&gt;=table!$C$7,#REF!&lt;= table!$D$7),-1,IF(AND(#REF!&gt;=table!$E$7,#REF!&lt;=table!$F$7),1,0))</f>
        <v>#REF!</v>
      </c>
      <c r="S2590" s="5" t="e">
        <f>IF(AND(#REF!&gt;=table!$C$8,#REF!&lt;= table!$D$8),-1,IF(AND(#REF!&gt;=table!$E$8,#REF!&lt;=table!$F$8),1,0))</f>
        <v>#REF!</v>
      </c>
      <c r="T2590" s="5"/>
      <c r="U2590" s="5" t="e">
        <f>IF(AND(#REF!&gt;=table!$C$10,#REF!&lt;= table!$D$10),-1,IF(AND(#REF!&gt;=table!$E$10,#REF!&lt;=table!$F$10),1,0))</f>
        <v>#REF!</v>
      </c>
      <c r="V2590" s="5" t="e">
        <f>IF(AND(#REF!&gt;=table!$C$11,#REF!&lt;= table!$D$11),-1,IF(AND(#REF!&gt;=table!$E$11,#REF!&lt;=table!$F$11),1,0))</f>
        <v>#REF!</v>
      </c>
      <c r="W2590" s="5" t="e">
        <f>CONCATENATE(dados[[#This Row],[fator1]],dados[[#This Row],[fator5]],dados[[#This Row],[fator6]])</f>
        <v>#REF!</v>
      </c>
    </row>
    <row r="2591" spans="1:23">
      <c r="A2591" t="s">
        <v>16</v>
      </c>
      <c r="B2591">
        <v>584607</v>
      </c>
      <c r="C2591">
        <v>8</v>
      </c>
      <c r="D2591">
        <v>40</v>
      </c>
      <c r="E2591">
        <v>65</v>
      </c>
      <c r="F2591">
        <v>8</v>
      </c>
      <c r="G2591">
        <v>0</v>
      </c>
      <c r="H2591">
        <v>25</v>
      </c>
      <c r="I2591">
        <v>447</v>
      </c>
      <c r="J2591">
        <v>0</v>
      </c>
      <c r="K2591">
        <v>3.3149999999999999</v>
      </c>
      <c r="L2591">
        <v>7</v>
      </c>
      <c r="M2591">
        <v>54.550000000000004</v>
      </c>
      <c r="N2591">
        <v>13.15</v>
      </c>
      <c r="O2591">
        <v>1667</v>
      </c>
      <c r="P2591">
        <v>1059</v>
      </c>
      <c r="Q2591" s="5" t="e">
        <f>IF(AND(#REF!&gt;=table!$C$6,#REF!&lt;= table!$D$6),-1,IF(AND(#REF!&gt;=table!$E$6,#REF!&lt;=table!$F$6),1,0))</f>
        <v>#REF!</v>
      </c>
      <c r="R2591" s="5" t="e">
        <f>IF(AND(#REF!&gt;=table!$C$7,#REF!&lt;= table!$D$7),-1,IF(AND(#REF!&gt;=table!$E$7,#REF!&lt;=table!$F$7),1,0))</f>
        <v>#REF!</v>
      </c>
      <c r="S2591" s="5" t="e">
        <f>IF(AND(#REF!&gt;=table!$C$8,#REF!&lt;= table!$D$8),-1,IF(AND(#REF!&gt;=table!$E$8,#REF!&lt;=table!$F$8),1,0))</f>
        <v>#REF!</v>
      </c>
      <c r="T2591" s="5"/>
      <c r="U2591" s="5" t="e">
        <f>IF(AND(#REF!&gt;=table!$C$10,#REF!&lt;= table!$D$10),-1,IF(AND(#REF!&gt;=table!$E$10,#REF!&lt;=table!$F$10),1,0))</f>
        <v>#REF!</v>
      </c>
      <c r="V2591" s="5" t="e">
        <f>IF(AND(#REF!&gt;=table!$C$11,#REF!&lt;= table!$D$11),-1,IF(AND(#REF!&gt;=table!$E$11,#REF!&lt;=table!$F$11),1,0))</f>
        <v>#REF!</v>
      </c>
      <c r="W2591" s="5" t="e">
        <f>CONCATENATE(dados[[#This Row],[fator1]],dados[[#This Row],[fator5]],dados[[#This Row],[fator6]])</f>
        <v>#REF!</v>
      </c>
    </row>
    <row r="2592" spans="1:23">
      <c r="A2592" t="s">
        <v>16</v>
      </c>
      <c r="B2592">
        <v>584610</v>
      </c>
      <c r="C2592">
        <v>9</v>
      </c>
      <c r="D2592">
        <v>30</v>
      </c>
      <c r="E2592">
        <v>146</v>
      </c>
      <c r="F2592">
        <v>4</v>
      </c>
      <c r="G2592">
        <v>0</v>
      </c>
      <c r="H2592">
        <v>25</v>
      </c>
      <c r="I2592">
        <v>1493</v>
      </c>
      <c r="J2592">
        <v>710</v>
      </c>
      <c r="K2592">
        <v>2.8040000000000003</v>
      </c>
      <c r="L2592">
        <v>6.7050000000000001</v>
      </c>
      <c r="M2592">
        <v>123</v>
      </c>
      <c r="N2592">
        <v>12.65</v>
      </c>
      <c r="O2592">
        <v>1649</v>
      </c>
      <c r="P2592">
        <v>0</v>
      </c>
      <c r="Q2592" s="5" t="e">
        <f>IF(AND(#REF!&gt;=table!$C$6,#REF!&lt;= table!$D$6),-1,IF(AND(#REF!&gt;=table!$E$6,#REF!&lt;=table!$F$6),1,0))</f>
        <v>#REF!</v>
      </c>
      <c r="R2592" s="5" t="e">
        <f>IF(AND(#REF!&gt;=table!$C$7,#REF!&lt;= table!$D$7),-1,IF(AND(#REF!&gt;=table!$E$7,#REF!&lt;=table!$F$7),1,0))</f>
        <v>#REF!</v>
      </c>
      <c r="S2592" s="5" t="e">
        <f>IF(AND(#REF!&gt;=table!$C$8,#REF!&lt;= table!$D$8),-1,IF(AND(#REF!&gt;=table!$E$8,#REF!&lt;=table!$F$8),1,0))</f>
        <v>#REF!</v>
      </c>
      <c r="T2592" s="5"/>
      <c r="U2592" s="5" t="e">
        <f>IF(AND(#REF!&gt;=table!$C$10,#REF!&lt;= table!$D$10),-1,IF(AND(#REF!&gt;=table!$E$10,#REF!&lt;=table!$F$10),1,0))</f>
        <v>#REF!</v>
      </c>
      <c r="V2592" s="5" t="e">
        <f>IF(AND(#REF!&gt;=table!$C$11,#REF!&lt;= table!$D$11),-1,IF(AND(#REF!&gt;=table!$E$11,#REF!&lt;=table!$F$11),1,0))</f>
        <v>#REF!</v>
      </c>
      <c r="W2592" s="5" t="e">
        <f>CONCATENATE(dados[[#This Row],[fator1]],dados[[#This Row],[fator5]],dados[[#This Row],[fator6]])</f>
        <v>#REF!</v>
      </c>
    </row>
    <row r="2593" spans="1:23">
      <c r="A2593" t="s">
        <v>16</v>
      </c>
      <c r="B2593">
        <v>584611</v>
      </c>
      <c r="C2593">
        <v>13</v>
      </c>
      <c r="D2593">
        <v>35</v>
      </c>
      <c r="E2593">
        <v>110</v>
      </c>
      <c r="F2593">
        <v>10</v>
      </c>
      <c r="G2593">
        <v>0</v>
      </c>
      <c r="H2593">
        <v>25</v>
      </c>
      <c r="I2593">
        <v>1</v>
      </c>
      <c r="J2593">
        <v>0</v>
      </c>
      <c r="K2593">
        <v>3.0100000000000002</v>
      </c>
      <c r="L2593">
        <v>11.3</v>
      </c>
      <c r="M2593">
        <v>99.4</v>
      </c>
      <c r="N2593">
        <v>21.400000000000002</v>
      </c>
      <c r="O2593">
        <v>1686</v>
      </c>
      <c r="P2593">
        <v>0</v>
      </c>
      <c r="Q2593" s="5" t="e">
        <f>IF(AND(#REF!&gt;=table!$C$6,#REF!&lt;= table!$D$6),-1,IF(AND(#REF!&gt;=table!$E$6,#REF!&lt;=table!$F$6),1,0))</f>
        <v>#REF!</v>
      </c>
      <c r="R2593" s="5" t="e">
        <f>IF(AND(#REF!&gt;=table!$C$7,#REF!&lt;= table!$D$7),-1,IF(AND(#REF!&gt;=table!$E$7,#REF!&lt;=table!$F$7),1,0))</f>
        <v>#REF!</v>
      </c>
      <c r="S2593" s="5" t="e">
        <f>IF(AND(#REF!&gt;=table!$C$8,#REF!&lt;= table!$D$8),-1,IF(AND(#REF!&gt;=table!$E$8,#REF!&lt;=table!$F$8),1,0))</f>
        <v>#REF!</v>
      </c>
      <c r="T2593" s="5"/>
      <c r="U2593" s="5" t="e">
        <f>IF(AND(#REF!&gt;=table!$C$10,#REF!&lt;= table!$D$10),-1,IF(AND(#REF!&gt;=table!$E$10,#REF!&lt;=table!$F$10),1,0))</f>
        <v>#REF!</v>
      </c>
      <c r="V2593" s="5" t="e">
        <f>IF(AND(#REF!&gt;=table!$C$11,#REF!&lt;= table!$D$11),-1,IF(AND(#REF!&gt;=table!$E$11,#REF!&lt;=table!$F$11),1,0))</f>
        <v>#REF!</v>
      </c>
      <c r="W2593" s="5" t="e">
        <f>CONCATENATE(dados[[#This Row],[fator1]],dados[[#This Row],[fator5]],dados[[#This Row],[fator6]])</f>
        <v>#REF!</v>
      </c>
    </row>
    <row r="2594" spans="1:23">
      <c r="A2594" t="s">
        <v>16</v>
      </c>
      <c r="B2594">
        <v>584614</v>
      </c>
      <c r="C2594">
        <v>13</v>
      </c>
      <c r="D2594">
        <v>35</v>
      </c>
      <c r="E2594">
        <v>110</v>
      </c>
      <c r="F2594">
        <v>10</v>
      </c>
      <c r="G2594">
        <v>0</v>
      </c>
      <c r="H2594">
        <v>25</v>
      </c>
      <c r="I2594">
        <v>2</v>
      </c>
      <c r="J2594">
        <v>0</v>
      </c>
      <c r="K2594">
        <v>4.6850000000000005</v>
      </c>
      <c r="L2594">
        <v>10.200000000000001</v>
      </c>
      <c r="M2594">
        <v>86.95</v>
      </c>
      <c r="N2594">
        <v>16.45</v>
      </c>
      <c r="O2594">
        <v>1661</v>
      </c>
      <c r="P2594">
        <v>0</v>
      </c>
      <c r="Q2594" s="5" t="e">
        <f>IF(AND(#REF!&gt;=table!$C$6,#REF!&lt;= table!$D$6),-1,IF(AND(#REF!&gt;=table!$E$6,#REF!&lt;=table!$F$6),1,0))</f>
        <v>#REF!</v>
      </c>
      <c r="R2594" s="5" t="e">
        <f>IF(AND(#REF!&gt;=table!$C$7,#REF!&lt;= table!$D$7),-1,IF(AND(#REF!&gt;=table!$E$7,#REF!&lt;=table!$F$7),1,0))</f>
        <v>#REF!</v>
      </c>
      <c r="S2594" s="5" t="e">
        <f>IF(AND(#REF!&gt;=table!$C$8,#REF!&lt;= table!$D$8),-1,IF(AND(#REF!&gt;=table!$E$8,#REF!&lt;=table!$F$8),1,0))</f>
        <v>#REF!</v>
      </c>
      <c r="T2594" s="5"/>
      <c r="U2594" s="5" t="e">
        <f>IF(AND(#REF!&gt;=table!$C$10,#REF!&lt;= table!$D$10),-1,IF(AND(#REF!&gt;=table!$E$10,#REF!&lt;=table!$F$10),1,0))</f>
        <v>#REF!</v>
      </c>
      <c r="V2594" s="5" t="e">
        <f>IF(AND(#REF!&gt;=table!$C$11,#REF!&lt;= table!$D$11),-1,IF(AND(#REF!&gt;=table!$E$11,#REF!&lt;=table!$F$11),1,0))</f>
        <v>#REF!</v>
      </c>
      <c r="W2594" s="5" t="e">
        <f>CONCATENATE(dados[[#This Row],[fator1]],dados[[#This Row],[fator5]],dados[[#This Row],[fator6]])</f>
        <v>#REF!</v>
      </c>
    </row>
    <row r="2595" spans="1:23">
      <c r="A2595" t="s">
        <v>17</v>
      </c>
      <c r="B2595">
        <v>584616</v>
      </c>
      <c r="C2595">
        <v>13</v>
      </c>
      <c r="D2595">
        <v>35</v>
      </c>
      <c r="E2595">
        <v>130</v>
      </c>
      <c r="F2595">
        <v>3</v>
      </c>
      <c r="G2595">
        <v>30</v>
      </c>
      <c r="H2595">
        <v>23</v>
      </c>
      <c r="I2595">
        <v>665</v>
      </c>
      <c r="J2595">
        <v>0</v>
      </c>
      <c r="K2595">
        <v>7.0049999999999999</v>
      </c>
      <c r="L2595">
        <v>12.5</v>
      </c>
      <c r="M2595">
        <v>76.650000000000006</v>
      </c>
      <c r="N2595">
        <v>14.6</v>
      </c>
      <c r="O2595">
        <v>1676</v>
      </c>
      <c r="P2595">
        <v>0</v>
      </c>
      <c r="Q2595" s="5" t="e">
        <f>IF(AND(#REF!&gt;=table!$C$6,#REF!&lt;= table!$D$6),-1,IF(AND(#REF!&gt;=table!$E$6,#REF!&lt;=table!$F$6),1,0))</f>
        <v>#REF!</v>
      </c>
      <c r="R2595" s="5" t="e">
        <f>IF(AND(#REF!&gt;=table!$C$7,#REF!&lt;= table!$D$7),-1,IF(AND(#REF!&gt;=table!$E$7,#REF!&lt;=table!$F$7),1,0))</f>
        <v>#REF!</v>
      </c>
      <c r="S2595" s="5" t="e">
        <f>IF(AND(#REF!&gt;=table!$C$8,#REF!&lt;= table!$D$8),-1,IF(AND(#REF!&gt;=table!$E$8,#REF!&lt;=table!$F$8),1,0))</f>
        <v>#REF!</v>
      </c>
      <c r="T2595" s="5"/>
      <c r="U2595" s="5" t="e">
        <f>IF(AND(#REF!&gt;=table!$C$10,#REF!&lt;= table!$D$10),-1,IF(AND(#REF!&gt;=table!$E$10,#REF!&lt;=table!$F$10),1,0))</f>
        <v>#REF!</v>
      </c>
      <c r="V2595" s="5" t="e">
        <f>IF(AND(#REF!&gt;=table!$C$11,#REF!&lt;= table!$D$11),-1,IF(AND(#REF!&gt;=table!$E$11,#REF!&lt;=table!$F$11),1,0))</f>
        <v>#REF!</v>
      </c>
      <c r="W2595" s="5" t="e">
        <f>CONCATENATE(dados[[#This Row],[fator1]],dados[[#This Row],[fator5]],dados[[#This Row],[fator6]])</f>
        <v>#REF!</v>
      </c>
    </row>
    <row r="2596" spans="1:23">
      <c r="A2596" t="s">
        <v>16</v>
      </c>
      <c r="B2596">
        <v>584617</v>
      </c>
      <c r="C2596">
        <v>6</v>
      </c>
      <c r="D2596">
        <v>25</v>
      </c>
      <c r="E2596">
        <v>120</v>
      </c>
      <c r="F2596">
        <v>4</v>
      </c>
      <c r="G2596">
        <v>0</v>
      </c>
      <c r="H2596">
        <v>55</v>
      </c>
      <c r="I2596">
        <v>1174</v>
      </c>
      <c r="J2596">
        <v>0</v>
      </c>
      <c r="K2596">
        <v>2.6320000000000001</v>
      </c>
      <c r="L2596">
        <v>8.86</v>
      </c>
      <c r="M2596">
        <v>87.820000000000007</v>
      </c>
      <c r="N2596">
        <v>21.57</v>
      </c>
      <c r="O2596">
        <v>1692</v>
      </c>
      <c r="P2596">
        <v>0</v>
      </c>
      <c r="Q2596" s="5" t="e">
        <f>IF(AND(#REF!&gt;=table!$C$6,#REF!&lt;= table!$D$6),-1,IF(AND(#REF!&gt;=table!$E$6,#REF!&lt;=table!$F$6),1,0))</f>
        <v>#REF!</v>
      </c>
      <c r="R2596" s="5" t="e">
        <f>IF(AND(#REF!&gt;=table!$C$7,#REF!&lt;= table!$D$7),-1,IF(AND(#REF!&gt;=table!$E$7,#REF!&lt;=table!$F$7),1,0))</f>
        <v>#REF!</v>
      </c>
      <c r="S2596" s="5" t="e">
        <f>IF(AND(#REF!&gt;=table!$C$8,#REF!&lt;= table!$D$8),-1,IF(AND(#REF!&gt;=table!$E$8,#REF!&lt;=table!$F$8),1,0))</f>
        <v>#REF!</v>
      </c>
      <c r="T2596" s="5"/>
      <c r="U2596" s="5" t="e">
        <f>IF(AND(#REF!&gt;=table!$C$10,#REF!&lt;= table!$D$10),-1,IF(AND(#REF!&gt;=table!$E$10,#REF!&lt;=table!$F$10),1,0))</f>
        <v>#REF!</v>
      </c>
      <c r="V2596" s="5" t="e">
        <f>IF(AND(#REF!&gt;=table!$C$11,#REF!&lt;= table!$D$11),-1,IF(AND(#REF!&gt;=table!$E$11,#REF!&lt;=table!$F$11),1,0))</f>
        <v>#REF!</v>
      </c>
      <c r="W2596" s="5" t="e">
        <f>CONCATENATE(dados[[#This Row],[fator1]],dados[[#This Row],[fator5]],dados[[#This Row],[fator6]])</f>
        <v>#REF!</v>
      </c>
    </row>
    <row r="2597" spans="1:23">
      <c r="A2597" t="s">
        <v>17</v>
      </c>
      <c r="B2597">
        <v>584620</v>
      </c>
      <c r="C2597">
        <v>46</v>
      </c>
      <c r="D2597">
        <v>18</v>
      </c>
      <c r="E2597">
        <v>66</v>
      </c>
      <c r="F2597">
        <v>6</v>
      </c>
      <c r="G2597">
        <v>20</v>
      </c>
      <c r="H2597">
        <v>23</v>
      </c>
      <c r="I2597">
        <v>1364</v>
      </c>
      <c r="J2597">
        <v>0</v>
      </c>
      <c r="K2597">
        <v>5.3500000000000005</v>
      </c>
      <c r="L2597">
        <v>11.950000000000001</v>
      </c>
      <c r="M2597">
        <v>59.4</v>
      </c>
      <c r="N2597">
        <v>13.5</v>
      </c>
      <c r="O2597">
        <v>1680</v>
      </c>
      <c r="P2597">
        <v>667</v>
      </c>
      <c r="Q2597" s="5" t="e">
        <f>IF(AND(#REF!&gt;=table!$C$6,#REF!&lt;= table!$D$6),-1,IF(AND(#REF!&gt;=table!$E$6,#REF!&lt;=table!$F$6),1,0))</f>
        <v>#REF!</v>
      </c>
      <c r="R2597" s="5" t="e">
        <f>IF(AND(#REF!&gt;=table!$C$7,#REF!&lt;= table!$D$7),-1,IF(AND(#REF!&gt;=table!$E$7,#REF!&lt;=table!$F$7),1,0))</f>
        <v>#REF!</v>
      </c>
      <c r="S2597" s="5" t="e">
        <f>IF(AND(#REF!&gt;=table!$C$8,#REF!&lt;= table!$D$8),-1,IF(AND(#REF!&gt;=table!$E$8,#REF!&lt;=table!$F$8),1,0))</f>
        <v>#REF!</v>
      </c>
      <c r="T2597" s="5"/>
      <c r="U2597" s="5" t="e">
        <f>IF(AND(#REF!&gt;=table!$C$10,#REF!&lt;= table!$D$10),-1,IF(AND(#REF!&gt;=table!$E$10,#REF!&lt;=table!$F$10),1,0))</f>
        <v>#REF!</v>
      </c>
      <c r="V2597" s="5" t="e">
        <f>IF(AND(#REF!&gt;=table!$C$11,#REF!&lt;= table!$D$11),-1,IF(AND(#REF!&gt;=table!$E$11,#REF!&lt;=table!$F$11),1,0))</f>
        <v>#REF!</v>
      </c>
      <c r="W2597" s="5" t="e">
        <f>CONCATENATE(dados[[#This Row],[fator1]],dados[[#This Row],[fator5]],dados[[#This Row],[fator6]])</f>
        <v>#REF!</v>
      </c>
    </row>
    <row r="2598" spans="1:23">
      <c r="A2598" t="s">
        <v>17</v>
      </c>
      <c r="B2598">
        <v>584621</v>
      </c>
      <c r="C2598">
        <v>46</v>
      </c>
      <c r="D2598">
        <v>18</v>
      </c>
      <c r="E2598">
        <v>66</v>
      </c>
      <c r="F2598">
        <v>9</v>
      </c>
      <c r="G2598">
        <v>20</v>
      </c>
      <c r="H2598">
        <v>23</v>
      </c>
      <c r="I2598">
        <v>78</v>
      </c>
      <c r="J2598">
        <v>0</v>
      </c>
      <c r="K2598">
        <v>8.93</v>
      </c>
      <c r="L2598">
        <v>14.6</v>
      </c>
      <c r="M2598">
        <v>54.6</v>
      </c>
      <c r="N2598">
        <v>18.75</v>
      </c>
      <c r="O2598">
        <v>1689</v>
      </c>
      <c r="P2598">
        <v>422</v>
      </c>
      <c r="Q2598" s="5" t="e">
        <f>IF(AND(#REF!&gt;=table!$C$6,#REF!&lt;= table!$D$6),-1,IF(AND(#REF!&gt;=table!$E$6,#REF!&lt;=table!$F$6),1,0))</f>
        <v>#REF!</v>
      </c>
      <c r="R2598" s="5" t="e">
        <f>IF(AND(#REF!&gt;=table!$C$7,#REF!&lt;= table!$D$7),-1,IF(AND(#REF!&gt;=table!$E$7,#REF!&lt;=table!$F$7),1,0))</f>
        <v>#REF!</v>
      </c>
      <c r="S2598" s="5" t="e">
        <f>IF(AND(#REF!&gt;=table!$C$8,#REF!&lt;= table!$D$8),-1,IF(AND(#REF!&gt;=table!$E$8,#REF!&lt;=table!$F$8),1,0))</f>
        <v>#REF!</v>
      </c>
      <c r="T2598" s="5"/>
      <c r="U2598" s="5" t="e">
        <f>IF(AND(#REF!&gt;=table!$C$10,#REF!&lt;= table!$D$10),-1,IF(AND(#REF!&gt;=table!$E$10,#REF!&lt;=table!$F$10),1,0))</f>
        <v>#REF!</v>
      </c>
      <c r="V2598" s="5" t="e">
        <f>IF(AND(#REF!&gt;=table!$C$11,#REF!&lt;= table!$D$11),-1,IF(AND(#REF!&gt;=table!$E$11,#REF!&lt;=table!$F$11),1,0))</f>
        <v>#REF!</v>
      </c>
      <c r="W2598" s="5" t="e">
        <f>CONCATENATE(dados[[#This Row],[fator1]],dados[[#This Row],[fator5]],dados[[#This Row],[fator6]])</f>
        <v>#REF!</v>
      </c>
    </row>
    <row r="2599" spans="1:23">
      <c r="A2599" t="s">
        <v>17</v>
      </c>
      <c r="B2599">
        <v>584622</v>
      </c>
      <c r="C2599">
        <v>46</v>
      </c>
      <c r="D2599">
        <v>18</v>
      </c>
      <c r="E2599">
        <v>66</v>
      </c>
      <c r="F2599">
        <v>10</v>
      </c>
      <c r="G2599">
        <v>20</v>
      </c>
      <c r="H2599">
        <v>23</v>
      </c>
      <c r="I2599">
        <v>12</v>
      </c>
      <c r="J2599">
        <v>0</v>
      </c>
      <c r="K2599">
        <v>11.195</v>
      </c>
      <c r="L2599">
        <v>11.75</v>
      </c>
      <c r="M2599">
        <v>55.7</v>
      </c>
      <c r="N2599">
        <v>16</v>
      </c>
      <c r="O2599">
        <v>1694</v>
      </c>
      <c r="P2599">
        <v>0</v>
      </c>
      <c r="Q2599" s="5" t="e">
        <f>IF(AND(#REF!&gt;=table!$C$6,#REF!&lt;= table!$D$6),-1,IF(AND(#REF!&gt;=table!$E$6,#REF!&lt;=table!$F$6),1,0))</f>
        <v>#REF!</v>
      </c>
      <c r="R2599" s="5" t="e">
        <f>IF(AND(#REF!&gt;=table!$C$7,#REF!&lt;= table!$D$7),-1,IF(AND(#REF!&gt;=table!$E$7,#REF!&lt;=table!$F$7),1,0))</f>
        <v>#REF!</v>
      </c>
      <c r="S2599" s="5" t="e">
        <f>IF(AND(#REF!&gt;=table!$C$8,#REF!&lt;= table!$D$8),-1,IF(AND(#REF!&gt;=table!$E$8,#REF!&lt;=table!$F$8),1,0))</f>
        <v>#REF!</v>
      </c>
      <c r="T2599" s="5"/>
      <c r="U2599" s="5" t="e">
        <f>IF(AND(#REF!&gt;=table!$C$10,#REF!&lt;= table!$D$10),-1,IF(AND(#REF!&gt;=table!$E$10,#REF!&lt;=table!$F$10),1,0))</f>
        <v>#REF!</v>
      </c>
      <c r="V2599" s="5" t="e">
        <f>IF(AND(#REF!&gt;=table!$C$11,#REF!&lt;= table!$D$11),-1,IF(AND(#REF!&gt;=table!$E$11,#REF!&lt;=table!$F$11),1,0))</f>
        <v>#REF!</v>
      </c>
      <c r="W2599" s="5" t="e">
        <f>CONCATENATE(dados[[#This Row],[fator1]],dados[[#This Row],[fator5]],dados[[#This Row],[fator6]])</f>
        <v>#REF!</v>
      </c>
    </row>
    <row r="2600" spans="1:23">
      <c r="A2600" t="s">
        <v>16</v>
      </c>
      <c r="B2600">
        <v>584624</v>
      </c>
      <c r="C2600">
        <v>7</v>
      </c>
      <c r="D2600">
        <v>33</v>
      </c>
      <c r="E2600">
        <v>150</v>
      </c>
      <c r="F2600">
        <v>4</v>
      </c>
      <c r="G2600">
        <v>0</v>
      </c>
      <c r="H2600">
        <v>25</v>
      </c>
      <c r="I2600">
        <v>1829</v>
      </c>
      <c r="J2600">
        <v>0</v>
      </c>
      <c r="K2600">
        <v>2.7150000000000003</v>
      </c>
      <c r="L2600">
        <v>7.7</v>
      </c>
      <c r="M2600">
        <v>108</v>
      </c>
      <c r="N2600">
        <v>14.55</v>
      </c>
      <c r="O2600">
        <v>1680</v>
      </c>
      <c r="P2600">
        <v>1349</v>
      </c>
      <c r="Q2600" s="5" t="e">
        <f>IF(AND(#REF!&gt;=table!$C$6,#REF!&lt;= table!$D$6),-1,IF(AND(#REF!&gt;=table!$E$6,#REF!&lt;=table!$F$6),1,0))</f>
        <v>#REF!</v>
      </c>
      <c r="R2600" s="5" t="e">
        <f>IF(AND(#REF!&gt;=table!$C$7,#REF!&lt;= table!$D$7),-1,IF(AND(#REF!&gt;=table!$E$7,#REF!&lt;=table!$F$7),1,0))</f>
        <v>#REF!</v>
      </c>
      <c r="S2600" s="5" t="e">
        <f>IF(AND(#REF!&gt;=table!$C$8,#REF!&lt;= table!$D$8),-1,IF(AND(#REF!&gt;=table!$E$8,#REF!&lt;=table!$F$8),1,0))</f>
        <v>#REF!</v>
      </c>
      <c r="T2600" s="5"/>
      <c r="U2600" s="5" t="e">
        <f>IF(AND(#REF!&gt;=table!$C$10,#REF!&lt;= table!$D$10),-1,IF(AND(#REF!&gt;=table!$E$10,#REF!&lt;=table!$F$10),1,0))</f>
        <v>#REF!</v>
      </c>
      <c r="V2600" s="5" t="e">
        <f>IF(AND(#REF!&gt;=table!$C$11,#REF!&lt;= table!$D$11),-1,IF(AND(#REF!&gt;=table!$E$11,#REF!&lt;=table!$F$11),1,0))</f>
        <v>#REF!</v>
      </c>
      <c r="W2600" s="5" t="e">
        <f>CONCATENATE(dados[[#This Row],[fator1]],dados[[#This Row],[fator5]],dados[[#This Row],[fator6]])</f>
        <v>#REF!</v>
      </c>
    </row>
    <row r="2601" spans="1:23">
      <c r="A2601" t="s">
        <v>16</v>
      </c>
      <c r="B2601">
        <v>584628</v>
      </c>
      <c r="C2601">
        <v>10</v>
      </c>
      <c r="D2601">
        <v>30</v>
      </c>
      <c r="E2601">
        <v>96</v>
      </c>
      <c r="F2601">
        <v>8</v>
      </c>
      <c r="G2601">
        <v>0</v>
      </c>
      <c r="H2601">
        <v>25</v>
      </c>
      <c r="I2601">
        <v>1273</v>
      </c>
      <c r="J2601">
        <v>0</v>
      </c>
      <c r="K2601">
        <v>3.68</v>
      </c>
      <c r="L2601">
        <v>7.8500000000000005</v>
      </c>
      <c r="M2601">
        <v>74.350000000000009</v>
      </c>
      <c r="N2601">
        <v>16.350000000000001</v>
      </c>
      <c r="O2601">
        <v>1678</v>
      </c>
      <c r="P2601">
        <v>0</v>
      </c>
      <c r="Q2601" s="5" t="e">
        <f>IF(AND(#REF!&gt;=table!$C$6,#REF!&lt;= table!$D$6),-1,IF(AND(#REF!&gt;=table!$E$6,#REF!&lt;=table!$F$6),1,0))</f>
        <v>#REF!</v>
      </c>
      <c r="R2601" s="5" t="e">
        <f>IF(AND(#REF!&gt;=table!$C$7,#REF!&lt;= table!$D$7),-1,IF(AND(#REF!&gt;=table!$E$7,#REF!&lt;=table!$F$7),1,0))</f>
        <v>#REF!</v>
      </c>
      <c r="S2601" s="5" t="e">
        <f>IF(AND(#REF!&gt;=table!$C$8,#REF!&lt;= table!$D$8),-1,IF(AND(#REF!&gt;=table!$E$8,#REF!&lt;=table!$F$8),1,0))</f>
        <v>#REF!</v>
      </c>
      <c r="T2601" s="5"/>
      <c r="U2601" s="5" t="e">
        <f>IF(AND(#REF!&gt;=table!$C$10,#REF!&lt;= table!$D$10),-1,IF(AND(#REF!&gt;=table!$E$10,#REF!&lt;=table!$F$10),1,0))</f>
        <v>#REF!</v>
      </c>
      <c r="V2601" s="5" t="e">
        <f>IF(AND(#REF!&gt;=table!$C$11,#REF!&lt;= table!$D$11),-1,IF(AND(#REF!&gt;=table!$E$11,#REF!&lt;=table!$F$11),1,0))</f>
        <v>#REF!</v>
      </c>
      <c r="W2601" s="5" t="e">
        <f>CONCATENATE(dados[[#This Row],[fator1]],dados[[#This Row],[fator5]],dados[[#This Row],[fator6]])</f>
        <v>#REF!</v>
      </c>
    </row>
    <row r="2602" spans="1:23">
      <c r="A2602" t="s">
        <v>16</v>
      </c>
      <c r="B2602">
        <v>584629</v>
      </c>
      <c r="C2602">
        <v>10</v>
      </c>
      <c r="D2602">
        <v>30</v>
      </c>
      <c r="E2602">
        <v>96</v>
      </c>
      <c r="F2602">
        <v>8</v>
      </c>
      <c r="G2602">
        <v>0</v>
      </c>
      <c r="H2602">
        <v>25</v>
      </c>
      <c r="I2602">
        <v>392</v>
      </c>
      <c r="J2602">
        <v>0</v>
      </c>
      <c r="K2602">
        <v>3.34</v>
      </c>
      <c r="L2602">
        <v>12.15</v>
      </c>
      <c r="M2602">
        <v>84.350000000000009</v>
      </c>
      <c r="N2602">
        <v>19.2</v>
      </c>
      <c r="O2602">
        <v>1681</v>
      </c>
      <c r="P2602">
        <v>0</v>
      </c>
      <c r="Q2602" s="5" t="e">
        <f>IF(AND(#REF!&gt;=table!$C$6,#REF!&lt;= table!$D$6),-1,IF(AND(#REF!&gt;=table!$E$6,#REF!&lt;=table!$F$6),1,0))</f>
        <v>#REF!</v>
      </c>
      <c r="R2602" s="5" t="e">
        <f>IF(AND(#REF!&gt;=table!$C$7,#REF!&lt;= table!$D$7),-1,IF(AND(#REF!&gt;=table!$E$7,#REF!&lt;=table!$F$7),1,0))</f>
        <v>#REF!</v>
      </c>
      <c r="S2602" s="5" t="e">
        <f>IF(AND(#REF!&gt;=table!$C$8,#REF!&lt;= table!$D$8),-1,IF(AND(#REF!&gt;=table!$E$8,#REF!&lt;=table!$F$8),1,0))</f>
        <v>#REF!</v>
      </c>
      <c r="T2602" s="5"/>
      <c r="U2602" s="5" t="e">
        <f>IF(AND(#REF!&gt;=table!$C$10,#REF!&lt;= table!$D$10),-1,IF(AND(#REF!&gt;=table!$E$10,#REF!&lt;=table!$F$10),1,0))</f>
        <v>#REF!</v>
      </c>
      <c r="V2602" s="5" t="e">
        <f>IF(AND(#REF!&gt;=table!$C$11,#REF!&lt;= table!$D$11),-1,IF(AND(#REF!&gt;=table!$E$11,#REF!&lt;=table!$F$11),1,0))</f>
        <v>#REF!</v>
      </c>
      <c r="W2602" s="5" t="e">
        <f>CONCATENATE(dados[[#This Row],[fator1]],dados[[#This Row],[fator5]],dados[[#This Row],[fator6]])</f>
        <v>#REF!</v>
      </c>
    </row>
    <row r="2603" spans="1:23">
      <c r="A2603" t="s">
        <v>16</v>
      </c>
      <c r="B2603">
        <v>584630</v>
      </c>
      <c r="C2603">
        <v>8</v>
      </c>
      <c r="D2603">
        <v>27</v>
      </c>
      <c r="E2603">
        <v>90</v>
      </c>
      <c r="F2603">
        <v>9</v>
      </c>
      <c r="G2603">
        <v>0</v>
      </c>
      <c r="H2603">
        <v>25</v>
      </c>
      <c r="I2603">
        <v>424</v>
      </c>
      <c r="J2603">
        <v>0</v>
      </c>
      <c r="K2603">
        <v>2.87</v>
      </c>
      <c r="L2603">
        <v>7.15</v>
      </c>
      <c r="M2603">
        <v>77.55</v>
      </c>
      <c r="N2603">
        <v>12.950000000000001</v>
      </c>
      <c r="O2603">
        <v>1684</v>
      </c>
      <c r="P2603">
        <v>0</v>
      </c>
      <c r="Q2603" s="5" t="e">
        <f>IF(AND(#REF!&gt;=table!$C$6,#REF!&lt;= table!$D$6),-1,IF(AND(#REF!&gt;=table!$E$6,#REF!&lt;=table!$F$6),1,0))</f>
        <v>#REF!</v>
      </c>
      <c r="R2603" s="5" t="e">
        <f>IF(AND(#REF!&gt;=table!$C$7,#REF!&lt;= table!$D$7),-1,IF(AND(#REF!&gt;=table!$E$7,#REF!&lt;=table!$F$7),1,0))</f>
        <v>#REF!</v>
      </c>
      <c r="S2603" s="5" t="e">
        <f>IF(AND(#REF!&gt;=table!$C$8,#REF!&lt;= table!$D$8),-1,IF(AND(#REF!&gt;=table!$E$8,#REF!&lt;=table!$F$8),1,0))</f>
        <v>#REF!</v>
      </c>
      <c r="T2603" s="5"/>
      <c r="U2603" s="5" t="e">
        <f>IF(AND(#REF!&gt;=table!$C$10,#REF!&lt;= table!$D$10),-1,IF(AND(#REF!&gt;=table!$E$10,#REF!&lt;=table!$F$10),1,0))</f>
        <v>#REF!</v>
      </c>
      <c r="V2603" s="5" t="e">
        <f>IF(AND(#REF!&gt;=table!$C$11,#REF!&lt;= table!$D$11),-1,IF(AND(#REF!&gt;=table!$E$11,#REF!&lt;=table!$F$11),1,0))</f>
        <v>#REF!</v>
      </c>
      <c r="W2603" s="5" t="e">
        <f>CONCATENATE(dados[[#This Row],[fator1]],dados[[#This Row],[fator5]],dados[[#This Row],[fator6]])</f>
        <v>#REF!</v>
      </c>
    </row>
    <row r="2604" spans="1:23">
      <c r="A2604" t="s">
        <v>17</v>
      </c>
      <c r="B2604">
        <v>584631</v>
      </c>
      <c r="C2604">
        <v>20</v>
      </c>
      <c r="D2604">
        <v>33</v>
      </c>
      <c r="E2604">
        <v>40</v>
      </c>
      <c r="F2604">
        <v>5</v>
      </c>
      <c r="G2604">
        <v>20</v>
      </c>
      <c r="H2604">
        <v>25</v>
      </c>
      <c r="I2604">
        <v>1107</v>
      </c>
      <c r="J2604">
        <v>0</v>
      </c>
      <c r="K2604">
        <v>3.59</v>
      </c>
      <c r="L2604">
        <v>9.7000000000000011</v>
      </c>
      <c r="M2604">
        <v>39.25</v>
      </c>
      <c r="N2604">
        <v>13.55</v>
      </c>
      <c r="O2604">
        <v>1684</v>
      </c>
      <c r="P2604">
        <v>0</v>
      </c>
      <c r="Q2604" s="5" t="e">
        <f>IF(AND(#REF!&gt;=table!$C$6,#REF!&lt;= table!$D$6),-1,IF(AND(#REF!&gt;=table!$E$6,#REF!&lt;=table!$F$6),1,0))</f>
        <v>#REF!</v>
      </c>
      <c r="R2604" s="5" t="e">
        <f>IF(AND(#REF!&gt;=table!$C$7,#REF!&lt;= table!$D$7),-1,IF(AND(#REF!&gt;=table!$E$7,#REF!&lt;=table!$F$7),1,0))</f>
        <v>#REF!</v>
      </c>
      <c r="S2604" s="5" t="e">
        <f>IF(AND(#REF!&gt;=table!$C$8,#REF!&lt;= table!$D$8),-1,IF(AND(#REF!&gt;=table!$E$8,#REF!&lt;=table!$F$8),1,0))</f>
        <v>#REF!</v>
      </c>
      <c r="T2604" s="5"/>
      <c r="U2604" s="5" t="e">
        <f>IF(AND(#REF!&gt;=table!$C$10,#REF!&lt;= table!$D$10),-1,IF(AND(#REF!&gt;=table!$E$10,#REF!&lt;=table!$F$10),1,0))</f>
        <v>#REF!</v>
      </c>
      <c r="V2604" s="5" t="e">
        <f>IF(AND(#REF!&gt;=table!$C$11,#REF!&lt;= table!$D$11),-1,IF(AND(#REF!&gt;=table!$E$11,#REF!&lt;=table!$F$11),1,0))</f>
        <v>#REF!</v>
      </c>
      <c r="W2604" s="5" t="e">
        <f>CONCATENATE(dados[[#This Row],[fator1]],dados[[#This Row],[fator5]],dados[[#This Row],[fator6]])</f>
        <v>#REF!</v>
      </c>
    </row>
    <row r="2605" spans="1:23">
      <c r="A2605" t="s">
        <v>17</v>
      </c>
      <c r="B2605">
        <v>584634</v>
      </c>
      <c r="C2605">
        <v>20</v>
      </c>
      <c r="D2605">
        <v>33</v>
      </c>
      <c r="E2605">
        <v>100</v>
      </c>
      <c r="F2605">
        <v>10</v>
      </c>
      <c r="G2605">
        <v>20</v>
      </c>
      <c r="H2605">
        <v>25</v>
      </c>
      <c r="I2605">
        <v>603</v>
      </c>
      <c r="J2605">
        <v>0</v>
      </c>
      <c r="K2605">
        <v>2.9050000000000002</v>
      </c>
      <c r="L2605">
        <v>3.25</v>
      </c>
      <c r="M2605">
        <v>91.850000000000009</v>
      </c>
      <c r="N2605">
        <v>8.5</v>
      </c>
      <c r="O2605">
        <v>1673</v>
      </c>
      <c r="P2605">
        <v>1071</v>
      </c>
      <c r="Q2605" s="5" t="e">
        <f>IF(AND(#REF!&gt;=table!$C$6,#REF!&lt;= table!$D$6),-1,IF(AND(#REF!&gt;=table!$E$6,#REF!&lt;=table!$F$6),1,0))</f>
        <v>#REF!</v>
      </c>
      <c r="R2605" s="5" t="e">
        <f>IF(AND(#REF!&gt;=table!$C$7,#REF!&lt;= table!$D$7),-1,IF(AND(#REF!&gt;=table!$E$7,#REF!&lt;=table!$F$7),1,0))</f>
        <v>#REF!</v>
      </c>
      <c r="S2605" s="5" t="e">
        <f>IF(AND(#REF!&gt;=table!$C$8,#REF!&lt;= table!$D$8),-1,IF(AND(#REF!&gt;=table!$E$8,#REF!&lt;=table!$F$8),1,0))</f>
        <v>#REF!</v>
      </c>
      <c r="T2605" s="5"/>
      <c r="U2605" s="5" t="e">
        <f>IF(AND(#REF!&gt;=table!$C$10,#REF!&lt;= table!$D$10),-1,IF(AND(#REF!&gt;=table!$E$10,#REF!&lt;=table!$F$10),1,0))</f>
        <v>#REF!</v>
      </c>
      <c r="V2605" s="5" t="e">
        <f>IF(AND(#REF!&gt;=table!$C$11,#REF!&lt;= table!$D$11),-1,IF(AND(#REF!&gt;=table!$E$11,#REF!&lt;=table!$F$11),1,0))</f>
        <v>#REF!</v>
      </c>
      <c r="W2605" s="5" t="e">
        <f>CONCATENATE(dados[[#This Row],[fator1]],dados[[#This Row],[fator5]],dados[[#This Row],[fator6]])</f>
        <v>#REF!</v>
      </c>
    </row>
    <row r="2606" spans="1:23">
      <c r="A2606" t="s">
        <v>16</v>
      </c>
      <c r="B2606">
        <v>584638</v>
      </c>
      <c r="C2606">
        <v>16</v>
      </c>
      <c r="D2606">
        <v>35</v>
      </c>
      <c r="E2606">
        <v>40</v>
      </c>
      <c r="F2606">
        <v>10</v>
      </c>
      <c r="G2606">
        <v>0</v>
      </c>
      <c r="H2606">
        <v>25</v>
      </c>
      <c r="I2606">
        <v>853</v>
      </c>
      <c r="J2606">
        <v>0</v>
      </c>
      <c r="K2606">
        <v>4.24</v>
      </c>
      <c r="L2606">
        <v>5.2</v>
      </c>
      <c r="M2606">
        <v>31.5</v>
      </c>
      <c r="N2606">
        <v>10.450000000000001</v>
      </c>
      <c r="O2606">
        <v>1676</v>
      </c>
      <c r="P2606">
        <v>0</v>
      </c>
      <c r="Q2606" s="5" t="e">
        <f>IF(AND(#REF!&gt;=table!$C$6,#REF!&lt;= table!$D$6),-1,IF(AND(#REF!&gt;=table!$E$6,#REF!&lt;=table!$F$6),1,0))</f>
        <v>#REF!</v>
      </c>
      <c r="R2606" s="5" t="e">
        <f>IF(AND(#REF!&gt;=table!$C$7,#REF!&lt;= table!$D$7),-1,IF(AND(#REF!&gt;=table!$E$7,#REF!&lt;=table!$F$7),1,0))</f>
        <v>#REF!</v>
      </c>
      <c r="S2606" s="5" t="e">
        <f>IF(AND(#REF!&gt;=table!$C$8,#REF!&lt;= table!$D$8),-1,IF(AND(#REF!&gt;=table!$E$8,#REF!&lt;=table!$F$8),1,0))</f>
        <v>#REF!</v>
      </c>
      <c r="T2606" s="5"/>
      <c r="U2606" s="5" t="e">
        <f>IF(AND(#REF!&gt;=table!$C$10,#REF!&lt;= table!$D$10),-1,IF(AND(#REF!&gt;=table!$E$10,#REF!&lt;=table!$F$10),1,0))</f>
        <v>#REF!</v>
      </c>
      <c r="V2606" s="5" t="e">
        <f>IF(AND(#REF!&gt;=table!$C$11,#REF!&lt;= table!$D$11),-1,IF(AND(#REF!&gt;=table!$E$11,#REF!&lt;=table!$F$11),1,0))</f>
        <v>#REF!</v>
      </c>
      <c r="W2606" s="5" t="e">
        <f>CONCATENATE(dados[[#This Row],[fator1]],dados[[#This Row],[fator5]],dados[[#This Row],[fator6]])</f>
        <v>#REF!</v>
      </c>
    </row>
    <row r="2607" spans="1:23">
      <c r="A2607" t="s">
        <v>16</v>
      </c>
      <c r="B2607">
        <v>584644</v>
      </c>
      <c r="C2607">
        <v>8</v>
      </c>
      <c r="D2607">
        <v>27</v>
      </c>
      <c r="E2607">
        <v>65</v>
      </c>
      <c r="F2607">
        <v>8</v>
      </c>
      <c r="G2607">
        <v>0</v>
      </c>
      <c r="H2607">
        <v>25</v>
      </c>
      <c r="I2607">
        <v>231</v>
      </c>
      <c r="J2607">
        <v>0</v>
      </c>
      <c r="K2607">
        <v>2.91</v>
      </c>
      <c r="L2607">
        <v>7.9</v>
      </c>
      <c r="M2607">
        <v>58.35</v>
      </c>
      <c r="N2607">
        <v>17.7</v>
      </c>
      <c r="O2607">
        <v>1651</v>
      </c>
      <c r="P2607">
        <v>871</v>
      </c>
      <c r="Q2607" s="5" t="e">
        <f>IF(AND(#REF!&gt;=table!$C$6,#REF!&lt;= table!$D$6),-1,IF(AND(#REF!&gt;=table!$E$6,#REF!&lt;=table!$F$6),1,0))</f>
        <v>#REF!</v>
      </c>
      <c r="R2607" s="5" t="e">
        <f>IF(AND(#REF!&gt;=table!$C$7,#REF!&lt;= table!$D$7),-1,IF(AND(#REF!&gt;=table!$E$7,#REF!&lt;=table!$F$7),1,0))</f>
        <v>#REF!</v>
      </c>
      <c r="S2607" s="5" t="e">
        <f>IF(AND(#REF!&gt;=table!$C$8,#REF!&lt;= table!$D$8),-1,IF(AND(#REF!&gt;=table!$E$8,#REF!&lt;=table!$F$8),1,0))</f>
        <v>#REF!</v>
      </c>
      <c r="T2607" s="5"/>
      <c r="U2607" s="5" t="e">
        <f>IF(AND(#REF!&gt;=table!$C$10,#REF!&lt;= table!$D$10),-1,IF(AND(#REF!&gt;=table!$E$10,#REF!&lt;=table!$F$10),1,0))</f>
        <v>#REF!</v>
      </c>
      <c r="V2607" s="5" t="e">
        <f>IF(AND(#REF!&gt;=table!$C$11,#REF!&lt;= table!$D$11),-1,IF(AND(#REF!&gt;=table!$E$11,#REF!&lt;=table!$F$11),1,0))</f>
        <v>#REF!</v>
      </c>
      <c r="W2607" s="5" t="e">
        <f>CONCATENATE(dados[[#This Row],[fator1]],dados[[#This Row],[fator5]],dados[[#This Row],[fator6]])</f>
        <v>#REF!</v>
      </c>
    </row>
    <row r="2608" spans="1:23">
      <c r="A2608" t="s">
        <v>16</v>
      </c>
      <c r="B2608">
        <v>584645</v>
      </c>
      <c r="C2608">
        <v>8</v>
      </c>
      <c r="D2608">
        <v>27</v>
      </c>
      <c r="E2608">
        <v>65</v>
      </c>
      <c r="F2608">
        <v>8</v>
      </c>
      <c r="G2608">
        <v>0</v>
      </c>
      <c r="H2608">
        <v>25</v>
      </c>
      <c r="I2608">
        <v>572</v>
      </c>
      <c r="J2608">
        <v>0</v>
      </c>
      <c r="K2608">
        <v>3.99</v>
      </c>
      <c r="L2608">
        <v>5.15</v>
      </c>
      <c r="M2608">
        <v>36.64</v>
      </c>
      <c r="N2608">
        <v>11.9</v>
      </c>
      <c r="O2608">
        <v>1648</v>
      </c>
      <c r="P2608">
        <v>0</v>
      </c>
      <c r="Q2608" s="5" t="e">
        <f>IF(AND(#REF!&gt;=table!$C$6,#REF!&lt;= table!$D$6),-1,IF(AND(#REF!&gt;=table!$E$6,#REF!&lt;=table!$F$6),1,0))</f>
        <v>#REF!</v>
      </c>
      <c r="R2608" s="5" t="e">
        <f>IF(AND(#REF!&gt;=table!$C$7,#REF!&lt;= table!$D$7),-1,IF(AND(#REF!&gt;=table!$E$7,#REF!&lt;=table!$F$7),1,0))</f>
        <v>#REF!</v>
      </c>
      <c r="S2608" s="5" t="e">
        <f>IF(AND(#REF!&gt;=table!$C$8,#REF!&lt;= table!$D$8),-1,IF(AND(#REF!&gt;=table!$E$8,#REF!&lt;=table!$F$8),1,0))</f>
        <v>#REF!</v>
      </c>
      <c r="T2608" s="5"/>
      <c r="U2608" s="5" t="e">
        <f>IF(AND(#REF!&gt;=table!$C$10,#REF!&lt;= table!$D$10),-1,IF(AND(#REF!&gt;=table!$E$10,#REF!&lt;=table!$F$10),1,0))</f>
        <v>#REF!</v>
      </c>
      <c r="V2608" s="5" t="e">
        <f>IF(AND(#REF!&gt;=table!$C$11,#REF!&lt;= table!$D$11),-1,IF(AND(#REF!&gt;=table!$E$11,#REF!&lt;=table!$F$11),1,0))</f>
        <v>#REF!</v>
      </c>
      <c r="W2608" s="5" t="e">
        <f>CONCATENATE(dados[[#This Row],[fator1]],dados[[#This Row],[fator5]],dados[[#This Row],[fator6]])</f>
        <v>#REF!</v>
      </c>
    </row>
    <row r="2609" spans="1:23">
      <c r="A2609" t="s">
        <v>16</v>
      </c>
      <c r="B2609">
        <v>584653</v>
      </c>
      <c r="C2609">
        <v>17</v>
      </c>
      <c r="D2609">
        <v>55</v>
      </c>
      <c r="E2609">
        <v>75</v>
      </c>
      <c r="F2609">
        <v>15</v>
      </c>
      <c r="G2609">
        <v>0</v>
      </c>
      <c r="H2609">
        <v>20</v>
      </c>
      <c r="I2609">
        <v>1322</v>
      </c>
      <c r="J2609">
        <v>530</v>
      </c>
      <c r="K2609">
        <v>3.585</v>
      </c>
      <c r="L2609">
        <v>12.3</v>
      </c>
      <c r="M2609">
        <v>53.7</v>
      </c>
      <c r="N2609">
        <v>10.85</v>
      </c>
      <c r="O2609">
        <v>1686</v>
      </c>
      <c r="P2609">
        <v>1039</v>
      </c>
      <c r="Q2609" s="5" t="e">
        <f>IF(AND(#REF!&gt;=table!$C$6,#REF!&lt;= table!$D$6),-1,IF(AND(#REF!&gt;=table!$E$6,#REF!&lt;=table!$F$6),1,0))</f>
        <v>#REF!</v>
      </c>
      <c r="R2609" s="5" t="e">
        <f>IF(AND(#REF!&gt;=table!$C$7,#REF!&lt;= table!$D$7),-1,IF(AND(#REF!&gt;=table!$E$7,#REF!&lt;=table!$F$7),1,0))</f>
        <v>#REF!</v>
      </c>
      <c r="S2609" s="5" t="e">
        <f>IF(AND(#REF!&gt;=table!$C$8,#REF!&lt;= table!$D$8),-1,IF(AND(#REF!&gt;=table!$E$8,#REF!&lt;=table!$F$8),1,0))</f>
        <v>#REF!</v>
      </c>
      <c r="T2609" s="5"/>
      <c r="U2609" s="5" t="e">
        <f>IF(AND(#REF!&gt;=table!$C$10,#REF!&lt;= table!$D$10),-1,IF(AND(#REF!&gt;=table!$E$10,#REF!&lt;=table!$F$10),1,0))</f>
        <v>#REF!</v>
      </c>
      <c r="V2609" s="5" t="e">
        <f>IF(AND(#REF!&gt;=table!$C$11,#REF!&lt;= table!$D$11),-1,IF(AND(#REF!&gt;=table!$E$11,#REF!&lt;=table!$F$11),1,0))</f>
        <v>#REF!</v>
      </c>
      <c r="W2609" s="5" t="e">
        <f>CONCATENATE(dados[[#This Row],[fator1]],dados[[#This Row],[fator5]],dados[[#This Row],[fator6]])</f>
        <v>#REF!</v>
      </c>
    </row>
    <row r="2610" spans="1:23">
      <c r="A2610" t="s">
        <v>17</v>
      </c>
      <c r="B2610">
        <v>584655</v>
      </c>
      <c r="C2610">
        <v>29</v>
      </c>
      <c r="D2610">
        <v>25</v>
      </c>
      <c r="E2610">
        <v>131</v>
      </c>
      <c r="F2610">
        <v>6</v>
      </c>
      <c r="G2610">
        <v>21</v>
      </c>
      <c r="H2610">
        <v>25</v>
      </c>
      <c r="I2610">
        <v>1848</v>
      </c>
      <c r="J2610">
        <v>0</v>
      </c>
      <c r="K2610">
        <v>6.0600000000000005</v>
      </c>
      <c r="L2610">
        <v>7.9</v>
      </c>
      <c r="M2610">
        <v>77.900000000000006</v>
      </c>
      <c r="N2610">
        <v>10.65</v>
      </c>
      <c r="O2610">
        <v>1692</v>
      </c>
      <c r="P2610">
        <v>0</v>
      </c>
      <c r="Q2610" s="5" t="e">
        <f>IF(AND(#REF!&gt;=table!$C$6,#REF!&lt;= table!$D$6),-1,IF(AND(#REF!&gt;=table!$E$6,#REF!&lt;=table!$F$6),1,0))</f>
        <v>#REF!</v>
      </c>
      <c r="R2610" s="5" t="e">
        <f>IF(AND(#REF!&gt;=table!$C$7,#REF!&lt;= table!$D$7),-1,IF(AND(#REF!&gt;=table!$E$7,#REF!&lt;=table!$F$7),1,0))</f>
        <v>#REF!</v>
      </c>
      <c r="S2610" s="5" t="e">
        <f>IF(AND(#REF!&gt;=table!$C$8,#REF!&lt;= table!$D$8),-1,IF(AND(#REF!&gt;=table!$E$8,#REF!&lt;=table!$F$8),1,0))</f>
        <v>#REF!</v>
      </c>
      <c r="T2610" s="5"/>
      <c r="U2610" s="5" t="e">
        <f>IF(AND(#REF!&gt;=table!$C$10,#REF!&lt;= table!$D$10),-1,IF(AND(#REF!&gt;=table!$E$10,#REF!&lt;=table!$F$10),1,0))</f>
        <v>#REF!</v>
      </c>
      <c r="V2610" s="5" t="e">
        <f>IF(AND(#REF!&gt;=table!$C$11,#REF!&lt;= table!$D$11),-1,IF(AND(#REF!&gt;=table!$E$11,#REF!&lt;=table!$F$11),1,0))</f>
        <v>#REF!</v>
      </c>
      <c r="W2610" s="5" t="e">
        <f>CONCATENATE(dados[[#This Row],[fator1]],dados[[#This Row],[fator5]],dados[[#This Row],[fator6]])</f>
        <v>#REF!</v>
      </c>
    </row>
    <row r="2611" spans="1:23">
      <c r="A2611" t="s">
        <v>17</v>
      </c>
      <c r="B2611">
        <v>584656</v>
      </c>
      <c r="C2611">
        <v>29</v>
      </c>
      <c r="D2611">
        <v>25</v>
      </c>
      <c r="E2611">
        <v>131</v>
      </c>
      <c r="F2611">
        <v>6</v>
      </c>
      <c r="G2611">
        <v>21</v>
      </c>
      <c r="H2611">
        <v>25</v>
      </c>
      <c r="I2611">
        <v>0</v>
      </c>
      <c r="J2611">
        <v>0</v>
      </c>
      <c r="K2611">
        <v>3.09</v>
      </c>
      <c r="L2611">
        <v>5.95</v>
      </c>
      <c r="M2611">
        <v>89.9</v>
      </c>
      <c r="N2611">
        <v>12.6</v>
      </c>
      <c r="O2611">
        <v>1657</v>
      </c>
      <c r="P2611">
        <v>1173</v>
      </c>
      <c r="Q2611" s="5" t="e">
        <f>IF(AND(#REF!&gt;=table!$C$6,#REF!&lt;= table!$D$6),-1,IF(AND(#REF!&gt;=table!$E$6,#REF!&lt;=table!$F$6),1,0))</f>
        <v>#REF!</v>
      </c>
      <c r="R2611" s="5" t="e">
        <f>IF(AND(#REF!&gt;=table!$C$7,#REF!&lt;= table!$D$7),-1,IF(AND(#REF!&gt;=table!$E$7,#REF!&lt;=table!$F$7),1,0))</f>
        <v>#REF!</v>
      </c>
      <c r="S2611" s="5" t="e">
        <f>IF(AND(#REF!&gt;=table!$C$8,#REF!&lt;= table!$D$8),-1,IF(AND(#REF!&gt;=table!$E$8,#REF!&lt;=table!$F$8),1,0))</f>
        <v>#REF!</v>
      </c>
      <c r="T2611" s="5"/>
      <c r="U2611" s="5" t="e">
        <f>IF(AND(#REF!&gt;=table!$C$10,#REF!&lt;= table!$D$10),-1,IF(AND(#REF!&gt;=table!$E$10,#REF!&lt;=table!$F$10),1,0))</f>
        <v>#REF!</v>
      </c>
      <c r="V2611" s="5" t="e">
        <f>IF(AND(#REF!&gt;=table!$C$11,#REF!&lt;= table!$D$11),-1,IF(AND(#REF!&gt;=table!$E$11,#REF!&lt;=table!$F$11),1,0))</f>
        <v>#REF!</v>
      </c>
      <c r="W2611" s="5" t="e">
        <f>CONCATENATE(dados[[#This Row],[fator1]],dados[[#This Row],[fator5]],dados[[#This Row],[fator6]])</f>
        <v>#REF!</v>
      </c>
    </row>
    <row r="2612" spans="1:23">
      <c r="A2612" t="s">
        <v>16</v>
      </c>
      <c r="B2612">
        <v>584658</v>
      </c>
      <c r="C2612">
        <v>17</v>
      </c>
      <c r="D2612">
        <v>55</v>
      </c>
      <c r="E2612">
        <v>75</v>
      </c>
      <c r="F2612">
        <v>15</v>
      </c>
      <c r="G2612">
        <v>0</v>
      </c>
      <c r="H2612">
        <v>20</v>
      </c>
      <c r="I2612">
        <v>8</v>
      </c>
      <c r="J2612">
        <v>510</v>
      </c>
      <c r="K2612">
        <v>5.125</v>
      </c>
      <c r="L2612">
        <v>13.1</v>
      </c>
      <c r="M2612">
        <v>54</v>
      </c>
      <c r="N2612">
        <v>15.75</v>
      </c>
      <c r="O2612">
        <v>1685</v>
      </c>
      <c r="P2612">
        <v>668</v>
      </c>
      <c r="Q2612" s="5" t="e">
        <f>IF(AND(#REF!&gt;=table!$C$6,#REF!&lt;= table!$D$6),-1,IF(AND(#REF!&gt;=table!$E$6,#REF!&lt;=table!$F$6),1,0))</f>
        <v>#REF!</v>
      </c>
      <c r="R2612" s="5" t="e">
        <f>IF(AND(#REF!&gt;=table!$C$7,#REF!&lt;= table!$D$7),-1,IF(AND(#REF!&gt;=table!$E$7,#REF!&lt;=table!$F$7),1,0))</f>
        <v>#REF!</v>
      </c>
      <c r="S2612" s="5" t="e">
        <f>IF(AND(#REF!&gt;=table!$C$8,#REF!&lt;= table!$D$8),-1,IF(AND(#REF!&gt;=table!$E$8,#REF!&lt;=table!$F$8),1,0))</f>
        <v>#REF!</v>
      </c>
      <c r="T2612" s="5"/>
      <c r="U2612" s="5" t="e">
        <f>IF(AND(#REF!&gt;=table!$C$10,#REF!&lt;= table!$D$10),-1,IF(AND(#REF!&gt;=table!$E$10,#REF!&lt;=table!$F$10),1,0))</f>
        <v>#REF!</v>
      </c>
      <c r="V2612" s="5" t="e">
        <f>IF(AND(#REF!&gt;=table!$C$11,#REF!&lt;= table!$D$11),-1,IF(AND(#REF!&gt;=table!$E$11,#REF!&lt;=table!$F$11),1,0))</f>
        <v>#REF!</v>
      </c>
      <c r="W2612" s="5" t="e">
        <f>CONCATENATE(dados[[#This Row],[fator1]],dados[[#This Row],[fator5]],dados[[#This Row],[fator6]])</f>
        <v>#REF!</v>
      </c>
    </row>
    <row r="2613" spans="1:23">
      <c r="A2613" t="s">
        <v>16</v>
      </c>
      <c r="B2613">
        <v>584659</v>
      </c>
      <c r="C2613">
        <v>12</v>
      </c>
      <c r="D2613">
        <v>35</v>
      </c>
      <c r="E2613">
        <v>90</v>
      </c>
      <c r="F2613">
        <v>10</v>
      </c>
      <c r="G2613">
        <v>0</v>
      </c>
      <c r="H2613">
        <v>25</v>
      </c>
      <c r="I2613">
        <v>1264</v>
      </c>
      <c r="J2613">
        <v>0</v>
      </c>
      <c r="K2613">
        <v>2.7150000000000003</v>
      </c>
      <c r="L2613">
        <v>6.05</v>
      </c>
      <c r="M2613">
        <v>67.3</v>
      </c>
      <c r="N2613">
        <v>14.3</v>
      </c>
      <c r="O2613">
        <v>1687</v>
      </c>
      <c r="P2613">
        <v>0</v>
      </c>
      <c r="Q2613" s="5" t="e">
        <f>IF(AND(#REF!&gt;=table!$C$6,#REF!&lt;= table!$D$6),-1,IF(AND(#REF!&gt;=table!$E$6,#REF!&lt;=table!$F$6),1,0))</f>
        <v>#REF!</v>
      </c>
      <c r="R2613" s="5" t="e">
        <f>IF(AND(#REF!&gt;=table!$C$7,#REF!&lt;= table!$D$7),-1,IF(AND(#REF!&gt;=table!$E$7,#REF!&lt;=table!$F$7),1,0))</f>
        <v>#REF!</v>
      </c>
      <c r="S2613" s="5" t="e">
        <f>IF(AND(#REF!&gt;=table!$C$8,#REF!&lt;= table!$D$8),-1,IF(AND(#REF!&gt;=table!$E$8,#REF!&lt;=table!$F$8),1,0))</f>
        <v>#REF!</v>
      </c>
      <c r="T2613" s="5"/>
      <c r="U2613" s="5" t="e">
        <f>IF(AND(#REF!&gt;=table!$C$10,#REF!&lt;= table!$D$10),-1,IF(AND(#REF!&gt;=table!$E$10,#REF!&lt;=table!$F$10),1,0))</f>
        <v>#REF!</v>
      </c>
      <c r="V2613" s="5" t="e">
        <f>IF(AND(#REF!&gt;=table!$C$11,#REF!&lt;= table!$D$11),-1,IF(AND(#REF!&gt;=table!$E$11,#REF!&lt;=table!$F$11),1,0))</f>
        <v>#REF!</v>
      </c>
      <c r="W2613" s="5" t="e">
        <f>CONCATENATE(dados[[#This Row],[fator1]],dados[[#This Row],[fator5]],dados[[#This Row],[fator6]])</f>
        <v>#REF!</v>
      </c>
    </row>
    <row r="2614" spans="1:23">
      <c r="A2614" t="s">
        <v>17</v>
      </c>
      <c r="B2614">
        <v>584662</v>
      </c>
      <c r="C2614">
        <v>14</v>
      </c>
      <c r="D2614">
        <v>30</v>
      </c>
      <c r="E2614">
        <v>87</v>
      </c>
      <c r="F2614">
        <v>9</v>
      </c>
      <c r="G2614">
        <v>20</v>
      </c>
      <c r="H2614">
        <v>25</v>
      </c>
      <c r="I2614">
        <v>873</v>
      </c>
      <c r="J2614">
        <v>790</v>
      </c>
      <c r="K2614">
        <v>4.3600000000000003</v>
      </c>
      <c r="L2614">
        <v>21.45</v>
      </c>
      <c r="M2614">
        <v>72.100000000000009</v>
      </c>
      <c r="N2614">
        <v>13</v>
      </c>
      <c r="O2614">
        <v>1682</v>
      </c>
      <c r="P2614">
        <v>464</v>
      </c>
      <c r="Q2614" s="5" t="e">
        <f>IF(AND(#REF!&gt;=table!$C$6,#REF!&lt;= table!$D$6),-1,IF(AND(#REF!&gt;=table!$E$6,#REF!&lt;=table!$F$6),1,0))</f>
        <v>#REF!</v>
      </c>
      <c r="R2614" s="5" t="e">
        <f>IF(AND(#REF!&gt;=table!$C$7,#REF!&lt;= table!$D$7),-1,IF(AND(#REF!&gt;=table!$E$7,#REF!&lt;=table!$F$7),1,0))</f>
        <v>#REF!</v>
      </c>
      <c r="S2614" s="5" t="e">
        <f>IF(AND(#REF!&gt;=table!$C$8,#REF!&lt;= table!$D$8),-1,IF(AND(#REF!&gt;=table!$E$8,#REF!&lt;=table!$F$8),1,0))</f>
        <v>#REF!</v>
      </c>
      <c r="T2614" s="5"/>
      <c r="U2614" s="5" t="e">
        <f>IF(AND(#REF!&gt;=table!$C$10,#REF!&lt;= table!$D$10),-1,IF(AND(#REF!&gt;=table!$E$10,#REF!&lt;=table!$F$10),1,0))</f>
        <v>#REF!</v>
      </c>
      <c r="V2614" s="5" t="e">
        <f>IF(AND(#REF!&gt;=table!$C$11,#REF!&lt;= table!$D$11),-1,IF(AND(#REF!&gt;=table!$E$11,#REF!&lt;=table!$F$11),1,0))</f>
        <v>#REF!</v>
      </c>
      <c r="W2614" s="5" t="e">
        <f>CONCATENATE(dados[[#This Row],[fator1]],dados[[#This Row],[fator5]],dados[[#This Row],[fator6]])</f>
        <v>#REF!</v>
      </c>
    </row>
    <row r="2615" spans="1:23">
      <c r="A2615" t="s">
        <v>17</v>
      </c>
      <c r="B2615">
        <v>584663</v>
      </c>
      <c r="C2615">
        <v>14</v>
      </c>
      <c r="D2615">
        <v>30</v>
      </c>
      <c r="E2615">
        <v>90</v>
      </c>
      <c r="F2615">
        <v>9</v>
      </c>
      <c r="G2615">
        <v>20</v>
      </c>
      <c r="H2615">
        <v>25</v>
      </c>
      <c r="I2615">
        <v>1084</v>
      </c>
      <c r="J2615">
        <v>0</v>
      </c>
      <c r="K2615">
        <v>2.359</v>
      </c>
      <c r="L2615">
        <v>15.555000000000001</v>
      </c>
      <c r="M2615">
        <v>77.174999999999997</v>
      </c>
      <c r="N2615">
        <v>16.775000000000002</v>
      </c>
      <c r="O2615">
        <v>1709</v>
      </c>
      <c r="P2615">
        <v>1073</v>
      </c>
      <c r="Q2615" s="5" t="e">
        <f>IF(AND(#REF!&gt;=table!$C$6,#REF!&lt;= table!$D$6),-1,IF(AND(#REF!&gt;=table!$E$6,#REF!&lt;=table!$F$6),1,0))</f>
        <v>#REF!</v>
      </c>
      <c r="R2615" s="5" t="e">
        <f>IF(AND(#REF!&gt;=table!$C$7,#REF!&lt;= table!$D$7),-1,IF(AND(#REF!&gt;=table!$E$7,#REF!&lt;=table!$F$7),1,0))</f>
        <v>#REF!</v>
      </c>
      <c r="S2615" s="5" t="e">
        <f>IF(AND(#REF!&gt;=table!$C$8,#REF!&lt;= table!$D$8),-1,IF(AND(#REF!&gt;=table!$E$8,#REF!&lt;=table!$F$8),1,0))</f>
        <v>#REF!</v>
      </c>
      <c r="T2615" s="5"/>
      <c r="U2615" s="5" t="e">
        <f>IF(AND(#REF!&gt;=table!$C$10,#REF!&lt;= table!$D$10),-1,IF(AND(#REF!&gt;=table!$E$10,#REF!&lt;=table!$F$10),1,0))</f>
        <v>#REF!</v>
      </c>
      <c r="V2615" s="5" t="e">
        <f>IF(AND(#REF!&gt;=table!$C$11,#REF!&lt;= table!$D$11),-1,IF(AND(#REF!&gt;=table!$E$11,#REF!&lt;=table!$F$11),1,0))</f>
        <v>#REF!</v>
      </c>
      <c r="W2615" s="5" t="e">
        <f>CONCATENATE(dados[[#This Row],[fator1]],dados[[#This Row],[fator5]],dados[[#This Row],[fator6]])</f>
        <v>#REF!</v>
      </c>
    </row>
    <row r="2616" spans="1:23">
      <c r="A2616" t="s">
        <v>17</v>
      </c>
      <c r="B2616">
        <v>584667</v>
      </c>
      <c r="C2616">
        <v>29</v>
      </c>
      <c r="D2616">
        <v>30</v>
      </c>
      <c r="E2616">
        <v>126</v>
      </c>
      <c r="F2616">
        <v>6</v>
      </c>
      <c r="G2616">
        <v>23</v>
      </c>
      <c r="H2616">
        <v>23</v>
      </c>
      <c r="I2616">
        <v>77</v>
      </c>
      <c r="J2616">
        <v>0</v>
      </c>
      <c r="K2616">
        <v>2.61</v>
      </c>
      <c r="L2616">
        <v>8.6</v>
      </c>
      <c r="M2616">
        <v>120.4</v>
      </c>
      <c r="N2616">
        <v>12.6</v>
      </c>
      <c r="O2616">
        <v>1680</v>
      </c>
      <c r="P2616">
        <v>0</v>
      </c>
      <c r="Q2616" s="5" t="e">
        <f>IF(AND(#REF!&gt;=table!$C$6,#REF!&lt;= table!$D$6),-1,IF(AND(#REF!&gt;=table!$E$6,#REF!&lt;=table!$F$6),1,0))</f>
        <v>#REF!</v>
      </c>
      <c r="R2616" s="5" t="e">
        <f>IF(AND(#REF!&gt;=table!$C$7,#REF!&lt;= table!$D$7),-1,IF(AND(#REF!&gt;=table!$E$7,#REF!&lt;=table!$F$7),1,0))</f>
        <v>#REF!</v>
      </c>
      <c r="S2616" s="5" t="e">
        <f>IF(AND(#REF!&gt;=table!$C$8,#REF!&lt;= table!$D$8),-1,IF(AND(#REF!&gt;=table!$E$8,#REF!&lt;=table!$F$8),1,0))</f>
        <v>#REF!</v>
      </c>
      <c r="T2616" s="5"/>
      <c r="U2616" s="5" t="e">
        <f>IF(AND(#REF!&gt;=table!$C$10,#REF!&lt;= table!$D$10),-1,IF(AND(#REF!&gt;=table!$E$10,#REF!&lt;=table!$F$10),1,0))</f>
        <v>#REF!</v>
      </c>
      <c r="V2616" s="5" t="e">
        <f>IF(AND(#REF!&gt;=table!$C$11,#REF!&lt;= table!$D$11),-1,IF(AND(#REF!&gt;=table!$E$11,#REF!&lt;=table!$F$11),1,0))</f>
        <v>#REF!</v>
      </c>
      <c r="W2616" s="5" t="e">
        <f>CONCATENATE(dados[[#This Row],[fator1]],dados[[#This Row],[fator5]],dados[[#This Row],[fator6]])</f>
        <v>#REF!</v>
      </c>
    </row>
    <row r="2617" spans="1:23">
      <c r="A2617" t="s">
        <v>16</v>
      </c>
      <c r="B2617">
        <v>584668</v>
      </c>
      <c r="C2617">
        <v>0.13</v>
      </c>
      <c r="D2617">
        <v>35</v>
      </c>
      <c r="E2617">
        <v>15</v>
      </c>
      <c r="F2617">
        <v>10</v>
      </c>
      <c r="G2617">
        <v>0</v>
      </c>
      <c r="H2617">
        <v>12</v>
      </c>
      <c r="I2617">
        <v>425</v>
      </c>
      <c r="J2617">
        <v>860</v>
      </c>
      <c r="K2617">
        <v>4.2250000000000005</v>
      </c>
      <c r="L2617">
        <v>19.25</v>
      </c>
      <c r="M2617">
        <v>8.3000000000000007</v>
      </c>
      <c r="N2617">
        <v>11.85</v>
      </c>
      <c r="O2617">
        <v>1675</v>
      </c>
      <c r="P2617">
        <v>0</v>
      </c>
      <c r="Q2617" s="5" t="e">
        <f>IF(AND(#REF!&gt;=table!$C$6,#REF!&lt;= table!$D$6),-1,IF(AND(#REF!&gt;=table!$E$6,#REF!&lt;=table!$F$6),1,0))</f>
        <v>#REF!</v>
      </c>
      <c r="R2617" s="5" t="e">
        <f>IF(AND(#REF!&gt;=table!$C$7,#REF!&lt;= table!$D$7),-1,IF(AND(#REF!&gt;=table!$E$7,#REF!&lt;=table!$F$7),1,0))</f>
        <v>#REF!</v>
      </c>
      <c r="S2617" s="5" t="e">
        <f>IF(AND(#REF!&gt;=table!$C$8,#REF!&lt;= table!$D$8),-1,IF(AND(#REF!&gt;=table!$E$8,#REF!&lt;=table!$F$8),1,0))</f>
        <v>#REF!</v>
      </c>
      <c r="T2617" s="5"/>
      <c r="U2617" s="5" t="e">
        <f>IF(AND(#REF!&gt;=table!$C$10,#REF!&lt;= table!$D$10),-1,IF(AND(#REF!&gt;=table!$E$10,#REF!&lt;=table!$F$10),1,0))</f>
        <v>#REF!</v>
      </c>
      <c r="V2617" s="5" t="e">
        <f>IF(AND(#REF!&gt;=table!$C$11,#REF!&lt;= table!$D$11),-1,IF(AND(#REF!&gt;=table!$E$11,#REF!&lt;=table!$F$11),1,0))</f>
        <v>#REF!</v>
      </c>
      <c r="W2617" s="5" t="e">
        <f>CONCATENATE(dados[[#This Row],[fator1]],dados[[#This Row],[fator5]],dados[[#This Row],[fator6]])</f>
        <v>#REF!</v>
      </c>
    </row>
    <row r="2618" spans="1:23">
      <c r="A2618" t="s">
        <v>17</v>
      </c>
      <c r="B2618">
        <v>584669</v>
      </c>
      <c r="C2618">
        <v>29</v>
      </c>
      <c r="D2618">
        <v>30</v>
      </c>
      <c r="E2618">
        <v>126</v>
      </c>
      <c r="F2618">
        <v>6</v>
      </c>
      <c r="G2618">
        <v>23</v>
      </c>
      <c r="H2618">
        <v>23</v>
      </c>
      <c r="I2618">
        <v>0</v>
      </c>
      <c r="J2618">
        <v>0</v>
      </c>
      <c r="K2618">
        <v>2.9850000000000003</v>
      </c>
      <c r="L2618">
        <v>13.450000000000001</v>
      </c>
      <c r="M2618">
        <v>106.45</v>
      </c>
      <c r="N2618">
        <v>14.1</v>
      </c>
      <c r="O2618">
        <v>1667</v>
      </c>
      <c r="P2618">
        <v>0</v>
      </c>
      <c r="Q2618" s="5" t="e">
        <f>IF(AND(#REF!&gt;=table!$C$6,#REF!&lt;= table!$D$6),-1,IF(AND(#REF!&gt;=table!$E$6,#REF!&lt;=table!$F$6),1,0))</f>
        <v>#REF!</v>
      </c>
      <c r="R2618" s="5" t="e">
        <f>IF(AND(#REF!&gt;=table!$C$7,#REF!&lt;= table!$D$7),-1,IF(AND(#REF!&gt;=table!$E$7,#REF!&lt;=table!$F$7),1,0))</f>
        <v>#REF!</v>
      </c>
      <c r="S2618" s="5" t="e">
        <f>IF(AND(#REF!&gt;=table!$C$8,#REF!&lt;= table!$D$8),-1,IF(AND(#REF!&gt;=table!$E$8,#REF!&lt;=table!$F$8),1,0))</f>
        <v>#REF!</v>
      </c>
      <c r="T2618" s="5"/>
      <c r="U2618" s="5" t="e">
        <f>IF(AND(#REF!&gt;=table!$C$10,#REF!&lt;= table!$D$10),-1,IF(AND(#REF!&gt;=table!$E$10,#REF!&lt;=table!$F$10),1,0))</f>
        <v>#REF!</v>
      </c>
      <c r="V2618" s="5" t="e">
        <f>IF(AND(#REF!&gt;=table!$C$11,#REF!&lt;= table!$D$11),-1,IF(AND(#REF!&gt;=table!$E$11,#REF!&lt;=table!$F$11),1,0))</f>
        <v>#REF!</v>
      </c>
      <c r="W2618" s="5" t="e">
        <f>CONCATENATE(dados[[#This Row],[fator1]],dados[[#This Row],[fator5]],dados[[#This Row],[fator6]])</f>
        <v>#REF!</v>
      </c>
    </row>
    <row r="2619" spans="1:23">
      <c r="A2619" t="s">
        <v>17</v>
      </c>
      <c r="B2619">
        <v>584675</v>
      </c>
      <c r="C2619">
        <v>0.15</v>
      </c>
      <c r="D2619">
        <v>500</v>
      </c>
      <c r="E2619">
        <v>50</v>
      </c>
      <c r="F2619">
        <v>10</v>
      </c>
      <c r="G2619">
        <v>80</v>
      </c>
      <c r="H2619">
        <v>30</v>
      </c>
      <c r="I2619">
        <v>474</v>
      </c>
      <c r="J2619">
        <v>0</v>
      </c>
      <c r="K2619">
        <v>3.9050000000000002</v>
      </c>
      <c r="L2619">
        <v>13.5</v>
      </c>
      <c r="M2619">
        <v>12.4</v>
      </c>
      <c r="N2619">
        <v>14.700000000000001</v>
      </c>
      <c r="O2619">
        <v>1692</v>
      </c>
      <c r="P2619">
        <v>794</v>
      </c>
      <c r="Q2619" s="5" t="e">
        <f>IF(AND(#REF!&gt;=table!$C$6,#REF!&lt;= table!$D$6),-1,IF(AND(#REF!&gt;=table!$E$6,#REF!&lt;=table!$F$6),1,0))</f>
        <v>#REF!</v>
      </c>
      <c r="R2619" s="5" t="e">
        <f>IF(AND(#REF!&gt;=table!$C$7,#REF!&lt;= table!$D$7),-1,IF(AND(#REF!&gt;=table!$E$7,#REF!&lt;=table!$F$7),1,0))</f>
        <v>#REF!</v>
      </c>
      <c r="S2619" s="5" t="e">
        <f>IF(AND(#REF!&gt;=table!$C$8,#REF!&lt;= table!$D$8),-1,IF(AND(#REF!&gt;=table!$E$8,#REF!&lt;=table!$F$8),1,0))</f>
        <v>#REF!</v>
      </c>
      <c r="T2619" s="5"/>
      <c r="U2619" s="5" t="e">
        <f>IF(AND(#REF!&gt;=table!$C$10,#REF!&lt;= table!$D$10),-1,IF(AND(#REF!&gt;=table!$E$10,#REF!&lt;=table!$F$10),1,0))</f>
        <v>#REF!</v>
      </c>
      <c r="V2619" s="5" t="e">
        <f>IF(AND(#REF!&gt;=table!$C$11,#REF!&lt;= table!$D$11),-1,IF(AND(#REF!&gt;=table!$E$11,#REF!&lt;=table!$F$11),1,0))</f>
        <v>#REF!</v>
      </c>
      <c r="W2619" s="5" t="e">
        <f>CONCATENATE(dados[[#This Row],[fator1]],dados[[#This Row],[fator5]],dados[[#This Row],[fator6]])</f>
        <v>#REF!</v>
      </c>
    </row>
    <row r="2620" spans="1:23">
      <c r="A2620" t="s">
        <v>17</v>
      </c>
      <c r="B2620">
        <v>584678</v>
      </c>
      <c r="C2620">
        <v>0.15</v>
      </c>
      <c r="D2620">
        <v>500</v>
      </c>
      <c r="E2620">
        <v>50</v>
      </c>
      <c r="F2620">
        <v>10</v>
      </c>
      <c r="G2620">
        <v>80</v>
      </c>
      <c r="H2620">
        <v>30</v>
      </c>
      <c r="I2620">
        <v>1425</v>
      </c>
      <c r="J2620">
        <v>0</v>
      </c>
      <c r="K2620">
        <v>5.4050000000000002</v>
      </c>
      <c r="L2620">
        <v>12</v>
      </c>
      <c r="M2620">
        <v>11.25</v>
      </c>
      <c r="N2620">
        <v>9.75</v>
      </c>
      <c r="O2620">
        <v>1675</v>
      </c>
      <c r="P2620">
        <v>434</v>
      </c>
      <c r="Q2620" s="5" t="e">
        <f>IF(AND(#REF!&gt;=table!$C$6,#REF!&lt;= table!$D$6),-1,IF(AND(#REF!&gt;=table!$E$6,#REF!&lt;=table!$F$6),1,0))</f>
        <v>#REF!</v>
      </c>
      <c r="R2620" s="5" t="e">
        <f>IF(AND(#REF!&gt;=table!$C$7,#REF!&lt;= table!$D$7),-1,IF(AND(#REF!&gt;=table!$E$7,#REF!&lt;=table!$F$7),1,0))</f>
        <v>#REF!</v>
      </c>
      <c r="S2620" s="5" t="e">
        <f>IF(AND(#REF!&gt;=table!$C$8,#REF!&lt;= table!$D$8),-1,IF(AND(#REF!&gt;=table!$E$8,#REF!&lt;=table!$F$8),1,0))</f>
        <v>#REF!</v>
      </c>
      <c r="T2620" s="5"/>
      <c r="U2620" s="5" t="e">
        <f>IF(AND(#REF!&gt;=table!$C$10,#REF!&lt;= table!$D$10),-1,IF(AND(#REF!&gt;=table!$E$10,#REF!&lt;=table!$F$10),1,0))</f>
        <v>#REF!</v>
      </c>
      <c r="V2620" s="5" t="e">
        <f>IF(AND(#REF!&gt;=table!$C$11,#REF!&lt;= table!$D$11),-1,IF(AND(#REF!&gt;=table!$E$11,#REF!&lt;=table!$F$11),1,0))</f>
        <v>#REF!</v>
      </c>
      <c r="W2620" s="5" t="e">
        <f>CONCATENATE(dados[[#This Row],[fator1]],dados[[#This Row],[fator5]],dados[[#This Row],[fator6]])</f>
        <v>#REF!</v>
      </c>
    </row>
    <row r="2621" spans="1:23">
      <c r="A2621" t="s">
        <v>18</v>
      </c>
      <c r="B2621">
        <v>584684</v>
      </c>
      <c r="C2621">
        <v>3</v>
      </c>
      <c r="D2621">
        <v>5</v>
      </c>
      <c r="E2621">
        <v>26</v>
      </c>
      <c r="F2621">
        <v>15</v>
      </c>
      <c r="G2621">
        <v>42</v>
      </c>
      <c r="H2621">
        <v>30</v>
      </c>
      <c r="I2621">
        <v>1127</v>
      </c>
      <c r="J2621">
        <v>0</v>
      </c>
      <c r="K2621">
        <v>7.12</v>
      </c>
      <c r="L2621">
        <v>14.1</v>
      </c>
      <c r="M2621">
        <v>22.1</v>
      </c>
      <c r="N2621">
        <v>10.200000000000001</v>
      </c>
      <c r="O2621">
        <v>1671</v>
      </c>
      <c r="P2621">
        <v>428</v>
      </c>
      <c r="Q2621" s="5" t="e">
        <f>IF(AND(#REF!&gt;=table!$C$6,#REF!&lt;= table!$D$6),-1,IF(AND(#REF!&gt;=table!$E$6,#REF!&lt;=table!$F$6),1,0))</f>
        <v>#REF!</v>
      </c>
      <c r="R2621" s="5" t="e">
        <f>IF(AND(#REF!&gt;=table!$C$7,#REF!&lt;= table!$D$7),-1,IF(AND(#REF!&gt;=table!$E$7,#REF!&lt;=table!$F$7),1,0))</f>
        <v>#REF!</v>
      </c>
      <c r="S2621" s="5" t="e">
        <f>IF(AND(#REF!&gt;=table!$C$8,#REF!&lt;= table!$D$8),-1,IF(AND(#REF!&gt;=table!$E$8,#REF!&lt;=table!$F$8),1,0))</f>
        <v>#REF!</v>
      </c>
      <c r="T2621" s="5"/>
      <c r="U2621" s="5" t="e">
        <f>IF(AND(#REF!&gt;=table!$C$10,#REF!&lt;= table!$D$10),-1,IF(AND(#REF!&gt;=table!$E$10,#REF!&lt;=table!$F$10),1,0))</f>
        <v>#REF!</v>
      </c>
      <c r="V2621" s="5" t="e">
        <f>IF(AND(#REF!&gt;=table!$C$11,#REF!&lt;= table!$D$11),-1,IF(AND(#REF!&gt;=table!$E$11,#REF!&lt;=table!$F$11),1,0))</f>
        <v>#REF!</v>
      </c>
      <c r="W2621" s="5" t="e">
        <f>CONCATENATE(dados[[#This Row],[fator1]],dados[[#This Row],[fator5]],dados[[#This Row],[fator6]])</f>
        <v>#REF!</v>
      </c>
    </row>
    <row r="2622" spans="1:23">
      <c r="A2622" t="s">
        <v>16</v>
      </c>
      <c r="B2622">
        <v>584685</v>
      </c>
      <c r="C2622">
        <v>6</v>
      </c>
      <c r="D2622">
        <v>40</v>
      </c>
      <c r="E2622">
        <v>70</v>
      </c>
      <c r="F2622">
        <v>10</v>
      </c>
      <c r="G2622">
        <v>0</v>
      </c>
      <c r="H2622">
        <v>25</v>
      </c>
      <c r="I2622">
        <v>909</v>
      </c>
      <c r="J2622">
        <v>0</v>
      </c>
      <c r="K2622">
        <v>8.19</v>
      </c>
      <c r="L2622">
        <v>17.45</v>
      </c>
      <c r="M2622">
        <v>60.800000000000004</v>
      </c>
      <c r="N2622">
        <v>17.25</v>
      </c>
      <c r="O2622">
        <v>1686</v>
      </c>
      <c r="P2622">
        <v>440</v>
      </c>
      <c r="Q2622" s="5" t="e">
        <f>IF(AND(#REF!&gt;=table!$C$6,#REF!&lt;= table!$D$6),-1,IF(AND(#REF!&gt;=table!$E$6,#REF!&lt;=table!$F$6),1,0))</f>
        <v>#REF!</v>
      </c>
      <c r="R2622" s="5" t="e">
        <f>IF(AND(#REF!&gt;=table!$C$7,#REF!&lt;= table!$D$7),-1,IF(AND(#REF!&gt;=table!$E$7,#REF!&lt;=table!$F$7),1,0))</f>
        <v>#REF!</v>
      </c>
      <c r="S2622" s="5" t="e">
        <f>IF(AND(#REF!&gt;=table!$C$8,#REF!&lt;= table!$D$8),-1,IF(AND(#REF!&gt;=table!$E$8,#REF!&lt;=table!$F$8),1,0))</f>
        <v>#REF!</v>
      </c>
      <c r="T2622" s="5"/>
      <c r="U2622" s="5" t="e">
        <f>IF(AND(#REF!&gt;=table!$C$10,#REF!&lt;= table!$D$10),-1,IF(AND(#REF!&gt;=table!$E$10,#REF!&lt;=table!$F$10),1,0))</f>
        <v>#REF!</v>
      </c>
      <c r="V2622" s="5" t="e">
        <f>IF(AND(#REF!&gt;=table!$C$11,#REF!&lt;= table!$D$11),-1,IF(AND(#REF!&gt;=table!$E$11,#REF!&lt;=table!$F$11),1,0))</f>
        <v>#REF!</v>
      </c>
      <c r="W2622" s="5" t="e">
        <f>CONCATENATE(dados[[#This Row],[fator1]],dados[[#This Row],[fator5]],dados[[#This Row],[fator6]])</f>
        <v>#REF!</v>
      </c>
    </row>
    <row r="2623" spans="1:23">
      <c r="A2623" t="s">
        <v>16</v>
      </c>
      <c r="B2623">
        <v>584688</v>
      </c>
      <c r="C2623">
        <v>8</v>
      </c>
      <c r="D2623">
        <v>27</v>
      </c>
      <c r="E2623">
        <v>65</v>
      </c>
      <c r="F2623">
        <v>8</v>
      </c>
      <c r="G2623">
        <v>0</v>
      </c>
      <c r="H2623">
        <v>25</v>
      </c>
      <c r="I2623">
        <v>1873</v>
      </c>
      <c r="J2623">
        <v>0</v>
      </c>
      <c r="K2623">
        <v>4.5950000000000006</v>
      </c>
      <c r="L2623">
        <v>13.3</v>
      </c>
      <c r="M2623">
        <v>57.4</v>
      </c>
      <c r="N2623">
        <v>8.65</v>
      </c>
      <c r="O2623">
        <v>1663</v>
      </c>
      <c r="P2623">
        <v>0</v>
      </c>
      <c r="Q2623" s="5" t="e">
        <f>IF(AND(#REF!&gt;=table!$C$6,#REF!&lt;= table!$D$6),-1,IF(AND(#REF!&gt;=table!$E$6,#REF!&lt;=table!$F$6),1,0))</f>
        <v>#REF!</v>
      </c>
      <c r="R2623" s="5" t="e">
        <f>IF(AND(#REF!&gt;=table!$C$7,#REF!&lt;= table!$D$7),-1,IF(AND(#REF!&gt;=table!$E$7,#REF!&lt;=table!$F$7),1,0))</f>
        <v>#REF!</v>
      </c>
      <c r="S2623" s="5" t="e">
        <f>IF(AND(#REF!&gt;=table!$C$8,#REF!&lt;= table!$D$8),-1,IF(AND(#REF!&gt;=table!$E$8,#REF!&lt;=table!$F$8),1,0))</f>
        <v>#REF!</v>
      </c>
      <c r="T2623" s="5"/>
      <c r="U2623" s="5" t="e">
        <f>IF(AND(#REF!&gt;=table!$C$10,#REF!&lt;= table!$D$10),-1,IF(AND(#REF!&gt;=table!$E$10,#REF!&lt;=table!$F$10),1,0))</f>
        <v>#REF!</v>
      </c>
      <c r="V2623" s="5" t="e">
        <f>IF(AND(#REF!&gt;=table!$C$11,#REF!&lt;= table!$D$11),-1,IF(AND(#REF!&gt;=table!$E$11,#REF!&lt;=table!$F$11),1,0))</f>
        <v>#REF!</v>
      </c>
      <c r="W2623" s="5" t="e">
        <f>CONCATENATE(dados[[#This Row],[fator1]],dados[[#This Row],[fator5]],dados[[#This Row],[fator6]])</f>
        <v>#REF!</v>
      </c>
    </row>
    <row r="2624" spans="1:23">
      <c r="A2624" t="s">
        <v>16</v>
      </c>
      <c r="B2624">
        <v>584691</v>
      </c>
      <c r="C2624">
        <v>8</v>
      </c>
      <c r="D2624">
        <v>40</v>
      </c>
      <c r="E2624">
        <v>86</v>
      </c>
      <c r="F2624">
        <v>6</v>
      </c>
      <c r="G2624">
        <v>0</v>
      </c>
      <c r="H2624">
        <v>20</v>
      </c>
      <c r="I2624">
        <v>1914</v>
      </c>
      <c r="J2624">
        <v>0</v>
      </c>
      <c r="K2624">
        <v>2.65</v>
      </c>
      <c r="L2624">
        <v>10.855</v>
      </c>
      <c r="M2624">
        <v>67.965000000000003</v>
      </c>
      <c r="N2624">
        <v>12.795</v>
      </c>
      <c r="O2624">
        <v>1683</v>
      </c>
      <c r="P2624">
        <v>976</v>
      </c>
      <c r="Q2624" s="5" t="e">
        <f>IF(AND(#REF!&gt;=table!$C$6,#REF!&lt;= table!$D$6),-1,IF(AND(#REF!&gt;=table!$E$6,#REF!&lt;=table!$F$6),1,0))</f>
        <v>#REF!</v>
      </c>
      <c r="R2624" s="5" t="e">
        <f>IF(AND(#REF!&gt;=table!$C$7,#REF!&lt;= table!$D$7),-1,IF(AND(#REF!&gt;=table!$E$7,#REF!&lt;=table!$F$7),1,0))</f>
        <v>#REF!</v>
      </c>
      <c r="S2624" s="5" t="e">
        <f>IF(AND(#REF!&gt;=table!$C$8,#REF!&lt;= table!$D$8),-1,IF(AND(#REF!&gt;=table!$E$8,#REF!&lt;=table!$F$8),1,0))</f>
        <v>#REF!</v>
      </c>
      <c r="T2624" s="5"/>
      <c r="U2624" s="5" t="e">
        <f>IF(AND(#REF!&gt;=table!$C$10,#REF!&lt;= table!$D$10),-1,IF(AND(#REF!&gt;=table!$E$10,#REF!&lt;=table!$F$10),1,0))</f>
        <v>#REF!</v>
      </c>
      <c r="V2624" s="5" t="e">
        <f>IF(AND(#REF!&gt;=table!$C$11,#REF!&lt;= table!$D$11),-1,IF(AND(#REF!&gt;=table!$E$11,#REF!&lt;=table!$F$11),1,0))</f>
        <v>#REF!</v>
      </c>
      <c r="W2624" s="5" t="e">
        <f>CONCATENATE(dados[[#This Row],[fator1]],dados[[#This Row],[fator5]],dados[[#This Row],[fator6]])</f>
        <v>#REF!</v>
      </c>
    </row>
    <row r="2625" spans="1:23">
      <c r="A2625" t="s">
        <v>16</v>
      </c>
      <c r="B2625">
        <v>584692</v>
      </c>
      <c r="C2625">
        <v>8</v>
      </c>
      <c r="D2625">
        <v>40</v>
      </c>
      <c r="E2625">
        <v>86</v>
      </c>
      <c r="F2625">
        <v>6</v>
      </c>
      <c r="G2625">
        <v>0</v>
      </c>
      <c r="H2625">
        <v>20</v>
      </c>
      <c r="I2625">
        <v>2409</v>
      </c>
      <c r="J2625">
        <v>0</v>
      </c>
      <c r="K2625">
        <v>2.5295000000000001</v>
      </c>
      <c r="L2625">
        <v>9.4600000000000009</v>
      </c>
      <c r="M2625">
        <v>19</v>
      </c>
      <c r="N2625">
        <v>9.6</v>
      </c>
      <c r="O2625">
        <v>1669</v>
      </c>
      <c r="P2625">
        <v>621</v>
      </c>
      <c r="Q2625" s="5" t="e">
        <f>IF(AND(#REF!&gt;=table!$C$6,#REF!&lt;= table!$D$6),-1,IF(AND(#REF!&gt;=table!$E$6,#REF!&lt;=table!$F$6),1,0))</f>
        <v>#REF!</v>
      </c>
      <c r="R2625" s="5" t="e">
        <f>IF(AND(#REF!&gt;=table!$C$7,#REF!&lt;= table!$D$7),-1,IF(AND(#REF!&gt;=table!$E$7,#REF!&lt;=table!$F$7),1,0))</f>
        <v>#REF!</v>
      </c>
      <c r="S2625" s="5" t="e">
        <f>IF(AND(#REF!&gt;=table!$C$8,#REF!&lt;= table!$D$8),-1,IF(AND(#REF!&gt;=table!$E$8,#REF!&lt;=table!$F$8),1,0))</f>
        <v>#REF!</v>
      </c>
      <c r="T2625" s="5"/>
      <c r="U2625" s="5" t="e">
        <f>IF(AND(#REF!&gt;=table!$C$10,#REF!&lt;= table!$D$10),-1,IF(AND(#REF!&gt;=table!$E$10,#REF!&lt;=table!$F$10),1,0))</f>
        <v>#REF!</v>
      </c>
      <c r="V2625" s="5" t="e">
        <f>IF(AND(#REF!&gt;=table!$C$11,#REF!&lt;= table!$D$11),-1,IF(AND(#REF!&gt;=table!$E$11,#REF!&lt;=table!$F$11),1,0))</f>
        <v>#REF!</v>
      </c>
      <c r="W2625" s="5" t="e">
        <f>CONCATENATE(dados[[#This Row],[fator1]],dados[[#This Row],[fator5]],dados[[#This Row],[fator6]])</f>
        <v>#REF!</v>
      </c>
    </row>
    <row r="2626" spans="1:23">
      <c r="A2626" t="s">
        <v>16</v>
      </c>
      <c r="B2626">
        <v>584693</v>
      </c>
      <c r="C2626">
        <v>6</v>
      </c>
      <c r="D2626">
        <v>25</v>
      </c>
      <c r="E2626">
        <v>120</v>
      </c>
      <c r="F2626">
        <v>4</v>
      </c>
      <c r="G2626">
        <v>0</v>
      </c>
      <c r="H2626">
        <v>55</v>
      </c>
      <c r="I2626">
        <v>459</v>
      </c>
      <c r="J2626">
        <v>480</v>
      </c>
      <c r="K2626">
        <v>4.9750000000000005</v>
      </c>
      <c r="L2626">
        <v>11.1</v>
      </c>
      <c r="M2626">
        <v>116.3</v>
      </c>
      <c r="N2626">
        <v>21.3</v>
      </c>
      <c r="O2626">
        <v>1681</v>
      </c>
      <c r="P2626">
        <v>668</v>
      </c>
      <c r="Q2626" s="5" t="e">
        <f>IF(AND(#REF!&gt;=table!$C$6,#REF!&lt;= table!$D$6),-1,IF(AND(#REF!&gt;=table!$E$6,#REF!&lt;=table!$F$6),1,0))</f>
        <v>#REF!</v>
      </c>
      <c r="R2626" s="5" t="e">
        <f>IF(AND(#REF!&gt;=table!$C$7,#REF!&lt;= table!$D$7),-1,IF(AND(#REF!&gt;=table!$E$7,#REF!&lt;=table!$F$7),1,0))</f>
        <v>#REF!</v>
      </c>
      <c r="S2626" s="5" t="e">
        <f>IF(AND(#REF!&gt;=table!$C$8,#REF!&lt;= table!$D$8),-1,IF(AND(#REF!&gt;=table!$E$8,#REF!&lt;=table!$F$8),1,0))</f>
        <v>#REF!</v>
      </c>
      <c r="T2626" s="5"/>
      <c r="U2626" s="5" t="e">
        <f>IF(AND(#REF!&gt;=table!$C$10,#REF!&lt;= table!$D$10),-1,IF(AND(#REF!&gt;=table!$E$10,#REF!&lt;=table!$F$10),1,0))</f>
        <v>#REF!</v>
      </c>
      <c r="V2626" s="5" t="e">
        <f>IF(AND(#REF!&gt;=table!$C$11,#REF!&lt;= table!$D$11),-1,IF(AND(#REF!&gt;=table!$E$11,#REF!&lt;=table!$F$11),1,0))</f>
        <v>#REF!</v>
      </c>
      <c r="W2626" s="5" t="e">
        <f>CONCATENATE(dados[[#This Row],[fator1]],dados[[#This Row],[fator5]],dados[[#This Row],[fator6]])</f>
        <v>#REF!</v>
      </c>
    </row>
    <row r="2627" spans="1:23">
      <c r="A2627" t="s">
        <v>17</v>
      </c>
      <c r="B2627">
        <v>584695</v>
      </c>
      <c r="C2627">
        <v>18</v>
      </c>
      <c r="D2627">
        <v>30</v>
      </c>
      <c r="E2627">
        <v>136</v>
      </c>
      <c r="F2627">
        <v>3</v>
      </c>
      <c r="G2627">
        <v>20</v>
      </c>
      <c r="H2627">
        <v>25</v>
      </c>
      <c r="I2627">
        <v>602</v>
      </c>
      <c r="J2627">
        <v>0</v>
      </c>
      <c r="K2627">
        <v>2.5550000000000002</v>
      </c>
      <c r="L2627">
        <v>8.1</v>
      </c>
      <c r="M2627">
        <v>99.9</v>
      </c>
      <c r="N2627">
        <v>12.8</v>
      </c>
      <c r="O2627">
        <v>1691</v>
      </c>
      <c r="P2627">
        <v>1183</v>
      </c>
      <c r="Q2627" s="5" t="e">
        <f>IF(AND(#REF!&gt;=table!$C$6,#REF!&lt;= table!$D$6),-1,IF(AND(#REF!&gt;=table!$E$6,#REF!&lt;=table!$F$6),1,0))</f>
        <v>#REF!</v>
      </c>
      <c r="R2627" s="5" t="e">
        <f>IF(AND(#REF!&gt;=table!$C$7,#REF!&lt;= table!$D$7),-1,IF(AND(#REF!&gt;=table!$E$7,#REF!&lt;=table!$F$7),1,0))</f>
        <v>#REF!</v>
      </c>
      <c r="S2627" s="5" t="e">
        <f>IF(AND(#REF!&gt;=table!$C$8,#REF!&lt;= table!$D$8),-1,IF(AND(#REF!&gt;=table!$E$8,#REF!&lt;=table!$F$8),1,0))</f>
        <v>#REF!</v>
      </c>
      <c r="T2627" s="5"/>
      <c r="U2627" s="5" t="e">
        <f>IF(AND(#REF!&gt;=table!$C$10,#REF!&lt;= table!$D$10),-1,IF(AND(#REF!&gt;=table!$E$10,#REF!&lt;=table!$F$10),1,0))</f>
        <v>#REF!</v>
      </c>
      <c r="V2627" s="5" t="e">
        <f>IF(AND(#REF!&gt;=table!$C$11,#REF!&lt;= table!$D$11),-1,IF(AND(#REF!&gt;=table!$E$11,#REF!&lt;=table!$F$11),1,0))</f>
        <v>#REF!</v>
      </c>
      <c r="W2627" s="5" t="e">
        <f>CONCATENATE(dados[[#This Row],[fator1]],dados[[#This Row],[fator5]],dados[[#This Row],[fator6]])</f>
        <v>#REF!</v>
      </c>
    </row>
    <row r="2628" spans="1:23">
      <c r="A2628" t="s">
        <v>17</v>
      </c>
      <c r="B2628">
        <v>584696</v>
      </c>
      <c r="C2628">
        <v>16</v>
      </c>
      <c r="D2628">
        <v>35</v>
      </c>
      <c r="E2628">
        <v>120</v>
      </c>
      <c r="F2628">
        <v>4</v>
      </c>
      <c r="G2628">
        <v>30</v>
      </c>
      <c r="H2628">
        <v>20</v>
      </c>
      <c r="I2628">
        <v>951</v>
      </c>
      <c r="J2628">
        <v>460</v>
      </c>
      <c r="K2628">
        <v>2.64</v>
      </c>
      <c r="L2628">
        <v>6.6000000000000005</v>
      </c>
      <c r="M2628">
        <v>80.45</v>
      </c>
      <c r="N2628">
        <v>7.25</v>
      </c>
      <c r="O2628">
        <v>1664</v>
      </c>
      <c r="P2628">
        <v>1042</v>
      </c>
      <c r="Q2628" s="5" t="e">
        <f>IF(AND(#REF!&gt;=table!$C$6,#REF!&lt;= table!$D$6),-1,IF(AND(#REF!&gt;=table!$E$6,#REF!&lt;=table!$F$6),1,0))</f>
        <v>#REF!</v>
      </c>
      <c r="R2628" s="5" t="e">
        <f>IF(AND(#REF!&gt;=table!$C$7,#REF!&lt;= table!$D$7),-1,IF(AND(#REF!&gt;=table!$E$7,#REF!&lt;=table!$F$7),1,0))</f>
        <v>#REF!</v>
      </c>
      <c r="S2628" s="5" t="e">
        <f>IF(AND(#REF!&gt;=table!$C$8,#REF!&lt;= table!$D$8),-1,IF(AND(#REF!&gt;=table!$E$8,#REF!&lt;=table!$F$8),1,0))</f>
        <v>#REF!</v>
      </c>
      <c r="T2628" s="5"/>
      <c r="U2628" s="5" t="e">
        <f>IF(AND(#REF!&gt;=table!$C$10,#REF!&lt;= table!$D$10),-1,IF(AND(#REF!&gt;=table!$E$10,#REF!&lt;=table!$F$10),1,0))</f>
        <v>#REF!</v>
      </c>
      <c r="V2628" s="5" t="e">
        <f>IF(AND(#REF!&gt;=table!$C$11,#REF!&lt;= table!$D$11),-1,IF(AND(#REF!&gt;=table!$E$11,#REF!&lt;=table!$F$11),1,0))</f>
        <v>#REF!</v>
      </c>
      <c r="W2628" s="5" t="e">
        <f>CONCATENATE(dados[[#This Row],[fator1]],dados[[#This Row],[fator5]],dados[[#This Row],[fator6]])</f>
        <v>#REF!</v>
      </c>
    </row>
    <row r="2629" spans="1:23">
      <c r="A2629" t="s">
        <v>17</v>
      </c>
      <c r="B2629">
        <v>584697</v>
      </c>
      <c r="C2629">
        <v>16</v>
      </c>
      <c r="D2629">
        <v>35</v>
      </c>
      <c r="E2629">
        <v>136</v>
      </c>
      <c r="F2629">
        <v>4</v>
      </c>
      <c r="G2629">
        <v>30</v>
      </c>
      <c r="H2629">
        <v>25</v>
      </c>
      <c r="I2629">
        <v>499</v>
      </c>
      <c r="J2629">
        <v>870</v>
      </c>
      <c r="K2629">
        <v>3.09</v>
      </c>
      <c r="L2629">
        <v>5.65</v>
      </c>
      <c r="M2629">
        <v>115.35000000000001</v>
      </c>
      <c r="N2629">
        <v>16.25</v>
      </c>
      <c r="O2629">
        <v>1654</v>
      </c>
      <c r="P2629">
        <v>754</v>
      </c>
      <c r="Q2629" s="5" t="e">
        <f>IF(AND(#REF!&gt;=table!$C$6,#REF!&lt;= table!$D$6),-1,IF(AND(#REF!&gt;=table!$E$6,#REF!&lt;=table!$F$6),1,0))</f>
        <v>#REF!</v>
      </c>
      <c r="R2629" s="5" t="e">
        <f>IF(AND(#REF!&gt;=table!$C$7,#REF!&lt;= table!$D$7),-1,IF(AND(#REF!&gt;=table!$E$7,#REF!&lt;=table!$F$7),1,0))</f>
        <v>#REF!</v>
      </c>
      <c r="S2629" s="5" t="e">
        <f>IF(AND(#REF!&gt;=table!$C$8,#REF!&lt;= table!$D$8),-1,IF(AND(#REF!&gt;=table!$E$8,#REF!&lt;=table!$F$8),1,0))</f>
        <v>#REF!</v>
      </c>
      <c r="T2629" s="5"/>
      <c r="U2629" s="5" t="e">
        <f>IF(AND(#REF!&gt;=table!$C$10,#REF!&lt;= table!$D$10),-1,IF(AND(#REF!&gt;=table!$E$10,#REF!&lt;=table!$F$10),1,0))</f>
        <v>#REF!</v>
      </c>
      <c r="V2629" s="5" t="e">
        <f>IF(AND(#REF!&gt;=table!$C$11,#REF!&lt;= table!$D$11),-1,IF(AND(#REF!&gt;=table!$E$11,#REF!&lt;=table!$F$11),1,0))</f>
        <v>#REF!</v>
      </c>
      <c r="W2629" s="5" t="e">
        <f>CONCATENATE(dados[[#This Row],[fator1]],dados[[#This Row],[fator5]],dados[[#This Row],[fator6]])</f>
        <v>#REF!</v>
      </c>
    </row>
    <row r="2630" spans="1:23">
      <c r="A2630" t="s">
        <v>17</v>
      </c>
      <c r="B2630">
        <v>584698</v>
      </c>
      <c r="C2630">
        <v>16</v>
      </c>
      <c r="D2630">
        <v>35</v>
      </c>
      <c r="E2630">
        <v>136</v>
      </c>
      <c r="F2630">
        <v>4</v>
      </c>
      <c r="G2630">
        <v>30</v>
      </c>
      <c r="H2630">
        <v>25</v>
      </c>
      <c r="I2630">
        <v>900</v>
      </c>
      <c r="J2630">
        <v>0</v>
      </c>
      <c r="K2630">
        <v>2.38</v>
      </c>
      <c r="L2630">
        <v>7.8</v>
      </c>
      <c r="M2630">
        <v>141.15</v>
      </c>
      <c r="N2630">
        <v>11.950000000000001</v>
      </c>
      <c r="O2630">
        <v>1690</v>
      </c>
      <c r="P2630">
        <v>895</v>
      </c>
      <c r="Q2630" s="5" t="e">
        <f>IF(AND(#REF!&gt;=table!$C$6,#REF!&lt;= table!$D$6),-1,IF(AND(#REF!&gt;=table!$E$6,#REF!&lt;=table!$F$6),1,0))</f>
        <v>#REF!</v>
      </c>
      <c r="R2630" s="5" t="e">
        <f>IF(AND(#REF!&gt;=table!$C$7,#REF!&lt;= table!$D$7),-1,IF(AND(#REF!&gt;=table!$E$7,#REF!&lt;=table!$F$7),1,0))</f>
        <v>#REF!</v>
      </c>
      <c r="S2630" s="5" t="e">
        <f>IF(AND(#REF!&gt;=table!$C$8,#REF!&lt;= table!$D$8),-1,IF(AND(#REF!&gt;=table!$E$8,#REF!&lt;=table!$F$8),1,0))</f>
        <v>#REF!</v>
      </c>
      <c r="T2630" s="5"/>
      <c r="U2630" s="5" t="e">
        <f>IF(AND(#REF!&gt;=table!$C$10,#REF!&lt;= table!$D$10),-1,IF(AND(#REF!&gt;=table!$E$10,#REF!&lt;=table!$F$10),1,0))</f>
        <v>#REF!</v>
      </c>
      <c r="V2630" s="5" t="e">
        <f>IF(AND(#REF!&gt;=table!$C$11,#REF!&lt;= table!$D$11),-1,IF(AND(#REF!&gt;=table!$E$11,#REF!&lt;=table!$F$11),1,0))</f>
        <v>#REF!</v>
      </c>
      <c r="W2630" s="5" t="e">
        <f>CONCATENATE(dados[[#This Row],[fator1]],dados[[#This Row],[fator5]],dados[[#This Row],[fator6]])</f>
        <v>#REF!</v>
      </c>
    </row>
    <row r="2631" spans="1:23">
      <c r="A2631" t="s">
        <v>17</v>
      </c>
      <c r="B2631">
        <v>584701</v>
      </c>
      <c r="C2631">
        <v>16</v>
      </c>
      <c r="D2631">
        <v>35</v>
      </c>
      <c r="E2631">
        <v>136</v>
      </c>
      <c r="F2631">
        <v>4</v>
      </c>
      <c r="G2631">
        <v>30</v>
      </c>
      <c r="H2631">
        <v>25</v>
      </c>
      <c r="I2631">
        <v>1797</v>
      </c>
      <c r="J2631">
        <v>0</v>
      </c>
      <c r="K2631">
        <v>2.39</v>
      </c>
      <c r="L2631">
        <v>6.6000000000000005</v>
      </c>
      <c r="M2631">
        <v>103.85000000000001</v>
      </c>
      <c r="N2631">
        <v>11.3</v>
      </c>
      <c r="O2631">
        <v>1677</v>
      </c>
      <c r="P2631">
        <v>1156</v>
      </c>
      <c r="Q2631" s="5" t="e">
        <f>IF(AND(#REF!&gt;=table!$C$6,#REF!&lt;= table!$D$6),-1,IF(AND(#REF!&gt;=table!$E$6,#REF!&lt;=table!$F$6),1,0))</f>
        <v>#REF!</v>
      </c>
      <c r="R2631" s="5" t="e">
        <f>IF(AND(#REF!&gt;=table!$C$7,#REF!&lt;= table!$D$7),-1,IF(AND(#REF!&gt;=table!$E$7,#REF!&lt;=table!$F$7),1,0))</f>
        <v>#REF!</v>
      </c>
      <c r="S2631" s="5" t="e">
        <f>IF(AND(#REF!&gt;=table!$C$8,#REF!&lt;= table!$D$8),-1,IF(AND(#REF!&gt;=table!$E$8,#REF!&lt;=table!$F$8),1,0))</f>
        <v>#REF!</v>
      </c>
      <c r="T2631" s="5"/>
      <c r="U2631" s="5" t="e">
        <f>IF(AND(#REF!&gt;=table!$C$10,#REF!&lt;= table!$D$10),-1,IF(AND(#REF!&gt;=table!$E$10,#REF!&lt;=table!$F$10),1,0))</f>
        <v>#REF!</v>
      </c>
      <c r="V2631" s="5" t="e">
        <f>IF(AND(#REF!&gt;=table!$C$11,#REF!&lt;= table!$D$11),-1,IF(AND(#REF!&gt;=table!$E$11,#REF!&lt;=table!$F$11),1,0))</f>
        <v>#REF!</v>
      </c>
      <c r="W2631" s="5" t="e">
        <f>CONCATENATE(dados[[#This Row],[fator1]],dados[[#This Row],[fator5]],dados[[#This Row],[fator6]])</f>
        <v>#REF!</v>
      </c>
    </row>
    <row r="2632" spans="1:23">
      <c r="A2632" t="s">
        <v>16</v>
      </c>
      <c r="B2632">
        <v>584707</v>
      </c>
      <c r="C2632">
        <v>0.1</v>
      </c>
      <c r="D2632">
        <v>40</v>
      </c>
      <c r="E2632">
        <v>10</v>
      </c>
      <c r="F2632">
        <v>8</v>
      </c>
      <c r="G2632">
        <v>0</v>
      </c>
      <c r="H2632">
        <v>10</v>
      </c>
      <c r="I2632">
        <v>739</v>
      </c>
      <c r="J2632">
        <v>0</v>
      </c>
      <c r="K2632">
        <v>3.8650000000000002</v>
      </c>
      <c r="L2632">
        <v>7.1000000000000005</v>
      </c>
      <c r="M2632">
        <v>6</v>
      </c>
      <c r="N2632">
        <v>8.6</v>
      </c>
      <c r="O2632">
        <v>1691</v>
      </c>
      <c r="P2632">
        <v>753</v>
      </c>
      <c r="Q2632" s="5" t="e">
        <f>IF(AND(#REF!&gt;=table!$C$6,#REF!&lt;= table!$D$6),-1,IF(AND(#REF!&gt;=table!$E$6,#REF!&lt;=table!$F$6),1,0))</f>
        <v>#REF!</v>
      </c>
      <c r="R2632" s="5" t="e">
        <f>IF(AND(#REF!&gt;=table!$C$7,#REF!&lt;= table!$D$7),-1,IF(AND(#REF!&gt;=table!$E$7,#REF!&lt;=table!$F$7),1,0))</f>
        <v>#REF!</v>
      </c>
      <c r="S2632" s="5" t="e">
        <f>IF(AND(#REF!&gt;=table!$C$8,#REF!&lt;= table!$D$8),-1,IF(AND(#REF!&gt;=table!$E$8,#REF!&lt;=table!$F$8),1,0))</f>
        <v>#REF!</v>
      </c>
      <c r="T2632" s="5"/>
      <c r="U2632" s="5" t="e">
        <f>IF(AND(#REF!&gt;=table!$C$10,#REF!&lt;= table!$D$10),-1,IF(AND(#REF!&gt;=table!$E$10,#REF!&lt;=table!$F$10),1,0))</f>
        <v>#REF!</v>
      </c>
      <c r="V2632" s="5" t="e">
        <f>IF(AND(#REF!&gt;=table!$C$11,#REF!&lt;= table!$D$11),-1,IF(AND(#REF!&gt;=table!$E$11,#REF!&lt;=table!$F$11),1,0))</f>
        <v>#REF!</v>
      </c>
      <c r="W2632" s="5" t="e">
        <f>CONCATENATE(dados[[#This Row],[fator1]],dados[[#This Row],[fator5]],dados[[#This Row],[fator6]])</f>
        <v>#REF!</v>
      </c>
    </row>
    <row r="2633" spans="1:23">
      <c r="A2633" t="s">
        <v>16</v>
      </c>
      <c r="B2633">
        <v>584708</v>
      </c>
      <c r="C2633">
        <v>4</v>
      </c>
      <c r="D2633">
        <v>40</v>
      </c>
      <c r="E2633">
        <v>21</v>
      </c>
      <c r="F2633">
        <v>20</v>
      </c>
      <c r="G2633">
        <v>0</v>
      </c>
      <c r="H2633">
        <v>25</v>
      </c>
      <c r="I2633">
        <v>686</v>
      </c>
      <c r="J2633">
        <v>870</v>
      </c>
      <c r="K2633">
        <v>1.7050000000000001</v>
      </c>
      <c r="L2633">
        <v>7.9</v>
      </c>
      <c r="M2633">
        <v>18.8</v>
      </c>
      <c r="N2633">
        <v>13.950000000000001</v>
      </c>
      <c r="O2633">
        <v>1669</v>
      </c>
      <c r="P2633">
        <v>0</v>
      </c>
      <c r="Q2633" s="5" t="e">
        <f>IF(AND(#REF!&gt;=table!$C$6,#REF!&lt;= table!$D$6),-1,IF(AND(#REF!&gt;=table!$E$6,#REF!&lt;=table!$F$6),1,0))</f>
        <v>#REF!</v>
      </c>
      <c r="R2633" s="5" t="e">
        <f>IF(AND(#REF!&gt;=table!$C$7,#REF!&lt;= table!$D$7),-1,IF(AND(#REF!&gt;=table!$E$7,#REF!&lt;=table!$F$7),1,0))</f>
        <v>#REF!</v>
      </c>
      <c r="S2633" s="5" t="e">
        <f>IF(AND(#REF!&gt;=table!$C$8,#REF!&lt;= table!$D$8),-1,IF(AND(#REF!&gt;=table!$E$8,#REF!&lt;=table!$F$8),1,0))</f>
        <v>#REF!</v>
      </c>
      <c r="T2633" s="5"/>
      <c r="U2633" s="5" t="e">
        <f>IF(AND(#REF!&gt;=table!$C$10,#REF!&lt;= table!$D$10),-1,IF(AND(#REF!&gt;=table!$E$10,#REF!&lt;=table!$F$10),1,0))</f>
        <v>#REF!</v>
      </c>
      <c r="V2633" s="5" t="e">
        <f>IF(AND(#REF!&gt;=table!$C$11,#REF!&lt;= table!$D$11),-1,IF(AND(#REF!&gt;=table!$E$11,#REF!&lt;=table!$F$11),1,0))</f>
        <v>#REF!</v>
      </c>
      <c r="W2633" s="5" t="e">
        <f>CONCATENATE(dados[[#This Row],[fator1]],dados[[#This Row],[fator5]],dados[[#This Row],[fator6]])</f>
        <v>#REF!</v>
      </c>
    </row>
    <row r="2634" spans="1:23">
      <c r="A2634" t="s">
        <v>16</v>
      </c>
      <c r="B2634">
        <v>584712</v>
      </c>
      <c r="C2634">
        <v>15</v>
      </c>
      <c r="D2634">
        <v>35</v>
      </c>
      <c r="E2634">
        <v>86</v>
      </c>
      <c r="F2634">
        <v>10</v>
      </c>
      <c r="G2634">
        <v>0</v>
      </c>
      <c r="H2634">
        <v>25</v>
      </c>
      <c r="I2634">
        <v>670</v>
      </c>
      <c r="J2634">
        <v>0</v>
      </c>
      <c r="K2634">
        <v>3.0300000000000002</v>
      </c>
      <c r="L2634">
        <v>9.9500000000000011</v>
      </c>
      <c r="M2634">
        <v>72.45</v>
      </c>
      <c r="N2634">
        <v>9.65</v>
      </c>
      <c r="O2634">
        <v>1677</v>
      </c>
      <c r="P2634">
        <v>0</v>
      </c>
      <c r="Q2634" s="5" t="e">
        <f>IF(AND(#REF!&gt;=table!$C$6,#REF!&lt;= table!$D$6),-1,IF(AND(#REF!&gt;=table!$E$6,#REF!&lt;=table!$F$6),1,0))</f>
        <v>#REF!</v>
      </c>
      <c r="R2634" s="5" t="e">
        <f>IF(AND(#REF!&gt;=table!$C$7,#REF!&lt;= table!$D$7),-1,IF(AND(#REF!&gt;=table!$E$7,#REF!&lt;=table!$F$7),1,0))</f>
        <v>#REF!</v>
      </c>
      <c r="S2634" s="5" t="e">
        <f>IF(AND(#REF!&gt;=table!$C$8,#REF!&lt;= table!$D$8),-1,IF(AND(#REF!&gt;=table!$E$8,#REF!&lt;=table!$F$8),1,0))</f>
        <v>#REF!</v>
      </c>
      <c r="T2634" s="5"/>
      <c r="U2634" s="5" t="e">
        <f>IF(AND(#REF!&gt;=table!$C$10,#REF!&lt;= table!$D$10),-1,IF(AND(#REF!&gt;=table!$E$10,#REF!&lt;=table!$F$10),1,0))</f>
        <v>#REF!</v>
      </c>
      <c r="V2634" s="5" t="e">
        <f>IF(AND(#REF!&gt;=table!$C$11,#REF!&lt;= table!$D$11),-1,IF(AND(#REF!&gt;=table!$E$11,#REF!&lt;=table!$F$11),1,0))</f>
        <v>#REF!</v>
      </c>
      <c r="W2634" s="5" t="e">
        <f>CONCATENATE(dados[[#This Row],[fator1]],dados[[#This Row],[fator5]],dados[[#This Row],[fator6]])</f>
        <v>#REF!</v>
      </c>
    </row>
    <row r="2635" spans="1:23">
      <c r="A2635" t="s">
        <v>16</v>
      </c>
      <c r="B2635">
        <v>584713</v>
      </c>
      <c r="C2635">
        <v>12</v>
      </c>
      <c r="D2635">
        <v>35</v>
      </c>
      <c r="E2635">
        <v>90</v>
      </c>
      <c r="F2635">
        <v>10</v>
      </c>
      <c r="G2635">
        <v>0</v>
      </c>
      <c r="H2635">
        <v>25</v>
      </c>
      <c r="I2635">
        <v>5</v>
      </c>
      <c r="J2635">
        <v>0</v>
      </c>
      <c r="K2635">
        <v>2.4350000000000001</v>
      </c>
      <c r="L2635">
        <v>17.600000000000001</v>
      </c>
      <c r="M2635">
        <v>56.800000000000004</v>
      </c>
      <c r="N2635">
        <v>11.950000000000001</v>
      </c>
      <c r="O2635">
        <v>1688</v>
      </c>
      <c r="P2635">
        <v>0</v>
      </c>
      <c r="Q2635" s="5" t="e">
        <f>IF(AND(#REF!&gt;=table!$C$6,#REF!&lt;= table!$D$6),-1,IF(AND(#REF!&gt;=table!$E$6,#REF!&lt;=table!$F$6),1,0))</f>
        <v>#REF!</v>
      </c>
      <c r="R2635" s="5" t="e">
        <f>IF(AND(#REF!&gt;=table!$C$7,#REF!&lt;= table!$D$7),-1,IF(AND(#REF!&gt;=table!$E$7,#REF!&lt;=table!$F$7),1,0))</f>
        <v>#REF!</v>
      </c>
      <c r="S2635" s="5" t="e">
        <f>IF(AND(#REF!&gt;=table!$C$8,#REF!&lt;= table!$D$8),-1,IF(AND(#REF!&gt;=table!$E$8,#REF!&lt;=table!$F$8),1,0))</f>
        <v>#REF!</v>
      </c>
      <c r="T2635" s="5"/>
      <c r="U2635" s="5" t="e">
        <f>IF(AND(#REF!&gt;=table!$C$10,#REF!&lt;= table!$D$10),-1,IF(AND(#REF!&gt;=table!$E$10,#REF!&lt;=table!$F$10),1,0))</f>
        <v>#REF!</v>
      </c>
      <c r="V2635" s="5" t="e">
        <f>IF(AND(#REF!&gt;=table!$C$11,#REF!&lt;= table!$D$11),-1,IF(AND(#REF!&gt;=table!$E$11,#REF!&lt;=table!$F$11),1,0))</f>
        <v>#REF!</v>
      </c>
      <c r="W2635" s="5" t="e">
        <f>CONCATENATE(dados[[#This Row],[fator1]],dados[[#This Row],[fator5]],dados[[#This Row],[fator6]])</f>
        <v>#REF!</v>
      </c>
    </row>
    <row r="2636" spans="1:23">
      <c r="A2636" t="s">
        <v>16</v>
      </c>
      <c r="B2636">
        <v>584714</v>
      </c>
      <c r="C2636">
        <v>12</v>
      </c>
      <c r="D2636">
        <v>35</v>
      </c>
      <c r="E2636">
        <v>90</v>
      </c>
      <c r="F2636">
        <v>10</v>
      </c>
      <c r="G2636">
        <v>0</v>
      </c>
      <c r="H2636">
        <v>25</v>
      </c>
      <c r="I2636">
        <v>1370</v>
      </c>
      <c r="J2636">
        <v>0</v>
      </c>
      <c r="K2636">
        <v>4.2549999999999999</v>
      </c>
      <c r="L2636">
        <v>17.8</v>
      </c>
      <c r="M2636">
        <v>80.575000000000003</v>
      </c>
      <c r="N2636">
        <v>12.625</v>
      </c>
      <c r="O2636">
        <v>1690</v>
      </c>
      <c r="P2636">
        <v>0</v>
      </c>
      <c r="Q2636" s="5" t="e">
        <f>IF(AND(#REF!&gt;=table!$C$6,#REF!&lt;= table!$D$6),-1,IF(AND(#REF!&gt;=table!$E$6,#REF!&lt;=table!$F$6),1,0))</f>
        <v>#REF!</v>
      </c>
      <c r="R2636" s="5" t="e">
        <f>IF(AND(#REF!&gt;=table!$C$7,#REF!&lt;= table!$D$7),-1,IF(AND(#REF!&gt;=table!$E$7,#REF!&lt;=table!$F$7),1,0))</f>
        <v>#REF!</v>
      </c>
      <c r="S2636" s="5" t="e">
        <f>IF(AND(#REF!&gt;=table!$C$8,#REF!&lt;= table!$D$8),-1,IF(AND(#REF!&gt;=table!$E$8,#REF!&lt;=table!$F$8),1,0))</f>
        <v>#REF!</v>
      </c>
      <c r="T2636" s="5"/>
      <c r="U2636" s="5" t="e">
        <f>IF(AND(#REF!&gt;=table!$C$10,#REF!&lt;= table!$D$10),-1,IF(AND(#REF!&gt;=table!$E$10,#REF!&lt;=table!$F$10),1,0))</f>
        <v>#REF!</v>
      </c>
      <c r="V2636" s="5" t="e">
        <f>IF(AND(#REF!&gt;=table!$C$11,#REF!&lt;= table!$D$11),-1,IF(AND(#REF!&gt;=table!$E$11,#REF!&lt;=table!$F$11),1,0))</f>
        <v>#REF!</v>
      </c>
      <c r="W2636" s="5" t="e">
        <f>CONCATENATE(dados[[#This Row],[fator1]],dados[[#This Row],[fator5]],dados[[#This Row],[fator6]])</f>
        <v>#REF!</v>
      </c>
    </row>
    <row r="2637" spans="1:23">
      <c r="A2637" t="s">
        <v>16</v>
      </c>
      <c r="B2637">
        <v>584715</v>
      </c>
      <c r="C2637">
        <v>12</v>
      </c>
      <c r="D2637">
        <v>35</v>
      </c>
      <c r="E2637">
        <v>90</v>
      </c>
      <c r="F2637">
        <v>10</v>
      </c>
      <c r="G2637">
        <v>0</v>
      </c>
      <c r="H2637">
        <v>25</v>
      </c>
      <c r="I2637">
        <v>996</v>
      </c>
      <c r="J2637">
        <v>0</v>
      </c>
      <c r="K2637">
        <v>4.5</v>
      </c>
      <c r="L2637">
        <v>12.465</v>
      </c>
      <c r="M2637">
        <v>78.7</v>
      </c>
      <c r="N2637">
        <v>15.4</v>
      </c>
      <c r="O2637">
        <v>1676</v>
      </c>
      <c r="P2637">
        <v>639</v>
      </c>
      <c r="Q2637" s="5" t="e">
        <f>IF(AND(#REF!&gt;=table!$C$6,#REF!&lt;= table!$D$6),-1,IF(AND(#REF!&gt;=table!$E$6,#REF!&lt;=table!$F$6),1,0))</f>
        <v>#REF!</v>
      </c>
      <c r="R2637" s="5" t="e">
        <f>IF(AND(#REF!&gt;=table!$C$7,#REF!&lt;= table!$D$7),-1,IF(AND(#REF!&gt;=table!$E$7,#REF!&lt;=table!$F$7),1,0))</f>
        <v>#REF!</v>
      </c>
      <c r="S2637" s="5" t="e">
        <f>IF(AND(#REF!&gt;=table!$C$8,#REF!&lt;= table!$D$8),-1,IF(AND(#REF!&gt;=table!$E$8,#REF!&lt;=table!$F$8),1,0))</f>
        <v>#REF!</v>
      </c>
      <c r="T2637" s="5"/>
      <c r="U2637" s="5" t="e">
        <f>IF(AND(#REF!&gt;=table!$C$10,#REF!&lt;= table!$D$10),-1,IF(AND(#REF!&gt;=table!$E$10,#REF!&lt;=table!$F$10),1,0))</f>
        <v>#REF!</v>
      </c>
      <c r="V2637" s="5" t="e">
        <f>IF(AND(#REF!&gt;=table!$C$11,#REF!&lt;= table!$D$11),-1,IF(AND(#REF!&gt;=table!$E$11,#REF!&lt;=table!$F$11),1,0))</f>
        <v>#REF!</v>
      </c>
      <c r="W2637" s="5" t="e">
        <f>CONCATENATE(dados[[#This Row],[fator1]],dados[[#This Row],[fator5]],dados[[#This Row],[fator6]])</f>
        <v>#REF!</v>
      </c>
    </row>
    <row r="2638" spans="1:23">
      <c r="A2638" t="s">
        <v>16</v>
      </c>
      <c r="B2638">
        <v>584718</v>
      </c>
      <c r="C2638">
        <v>12</v>
      </c>
      <c r="D2638">
        <v>35</v>
      </c>
      <c r="E2638">
        <v>90</v>
      </c>
      <c r="F2638">
        <v>10</v>
      </c>
      <c r="G2638">
        <v>0</v>
      </c>
      <c r="H2638">
        <v>25</v>
      </c>
      <c r="I2638">
        <v>0</v>
      </c>
      <c r="J2638">
        <v>0</v>
      </c>
      <c r="K2638">
        <v>4.26</v>
      </c>
      <c r="L2638">
        <v>11.25</v>
      </c>
      <c r="M2638">
        <v>77.88</v>
      </c>
      <c r="N2638">
        <v>11.535</v>
      </c>
      <c r="O2638">
        <v>1665</v>
      </c>
      <c r="P2638">
        <v>593</v>
      </c>
      <c r="Q2638" s="5" t="e">
        <f>IF(AND(#REF!&gt;=table!$C$6,#REF!&lt;= table!$D$6),-1,IF(AND(#REF!&gt;=table!$E$6,#REF!&lt;=table!$F$6),1,0))</f>
        <v>#REF!</v>
      </c>
      <c r="R2638" s="5" t="e">
        <f>IF(AND(#REF!&gt;=table!$C$7,#REF!&lt;= table!$D$7),-1,IF(AND(#REF!&gt;=table!$E$7,#REF!&lt;=table!$F$7),1,0))</f>
        <v>#REF!</v>
      </c>
      <c r="S2638" s="5" t="e">
        <f>IF(AND(#REF!&gt;=table!$C$8,#REF!&lt;= table!$D$8),-1,IF(AND(#REF!&gt;=table!$E$8,#REF!&lt;=table!$F$8),1,0))</f>
        <v>#REF!</v>
      </c>
      <c r="T2638" s="5"/>
      <c r="U2638" s="5" t="e">
        <f>IF(AND(#REF!&gt;=table!$C$10,#REF!&lt;= table!$D$10),-1,IF(AND(#REF!&gt;=table!$E$10,#REF!&lt;=table!$F$10),1,0))</f>
        <v>#REF!</v>
      </c>
      <c r="V2638" s="5" t="e">
        <f>IF(AND(#REF!&gt;=table!$C$11,#REF!&lt;= table!$D$11),-1,IF(AND(#REF!&gt;=table!$E$11,#REF!&lt;=table!$F$11),1,0))</f>
        <v>#REF!</v>
      </c>
      <c r="W2638" s="5" t="e">
        <f>CONCATENATE(dados[[#This Row],[fator1]],dados[[#This Row],[fator5]],dados[[#This Row],[fator6]])</f>
        <v>#REF!</v>
      </c>
    </row>
    <row r="2639" spans="1:23">
      <c r="A2639" t="s">
        <v>16</v>
      </c>
      <c r="B2639">
        <v>584719</v>
      </c>
      <c r="C2639">
        <v>12</v>
      </c>
      <c r="D2639">
        <v>35</v>
      </c>
      <c r="E2639">
        <v>90</v>
      </c>
      <c r="F2639">
        <v>10</v>
      </c>
      <c r="G2639">
        <v>0</v>
      </c>
      <c r="H2639">
        <v>25</v>
      </c>
      <c r="I2639">
        <v>1459</v>
      </c>
      <c r="J2639">
        <v>0</v>
      </c>
      <c r="K2639">
        <v>7.5650000000000004</v>
      </c>
      <c r="L2639">
        <v>12.47</v>
      </c>
      <c r="M2639">
        <v>72.260000000000005</v>
      </c>
      <c r="N2639">
        <v>12.825000000000001</v>
      </c>
      <c r="O2639">
        <v>1673</v>
      </c>
      <c r="P2639">
        <v>0</v>
      </c>
      <c r="Q2639" s="5" t="e">
        <f>IF(AND(#REF!&gt;=table!$C$6,#REF!&lt;= table!$D$6),-1,IF(AND(#REF!&gt;=table!$E$6,#REF!&lt;=table!$F$6),1,0))</f>
        <v>#REF!</v>
      </c>
      <c r="R2639" s="5" t="e">
        <f>IF(AND(#REF!&gt;=table!$C$7,#REF!&lt;= table!$D$7),-1,IF(AND(#REF!&gt;=table!$E$7,#REF!&lt;=table!$F$7),1,0))</f>
        <v>#REF!</v>
      </c>
      <c r="S2639" s="5" t="e">
        <f>IF(AND(#REF!&gt;=table!$C$8,#REF!&lt;= table!$D$8),-1,IF(AND(#REF!&gt;=table!$E$8,#REF!&lt;=table!$F$8),1,0))</f>
        <v>#REF!</v>
      </c>
      <c r="T2639" s="5"/>
      <c r="U2639" s="5" t="e">
        <f>IF(AND(#REF!&gt;=table!$C$10,#REF!&lt;= table!$D$10),-1,IF(AND(#REF!&gt;=table!$E$10,#REF!&lt;=table!$F$10),1,0))</f>
        <v>#REF!</v>
      </c>
      <c r="V2639" s="5" t="e">
        <f>IF(AND(#REF!&gt;=table!$C$11,#REF!&lt;= table!$D$11),-1,IF(AND(#REF!&gt;=table!$E$11,#REF!&lt;=table!$F$11),1,0))</f>
        <v>#REF!</v>
      </c>
      <c r="W2639" s="5" t="e">
        <f>CONCATENATE(dados[[#This Row],[fator1]],dados[[#This Row],[fator5]],dados[[#This Row],[fator6]])</f>
        <v>#REF!</v>
      </c>
    </row>
    <row r="2640" spans="1:23">
      <c r="A2640" t="s">
        <v>16</v>
      </c>
      <c r="B2640">
        <v>584720</v>
      </c>
      <c r="C2640">
        <v>12</v>
      </c>
      <c r="D2640">
        <v>35</v>
      </c>
      <c r="E2640">
        <v>86</v>
      </c>
      <c r="F2640">
        <v>8</v>
      </c>
      <c r="G2640">
        <v>0</v>
      </c>
      <c r="H2640">
        <v>25</v>
      </c>
      <c r="I2640">
        <v>1436</v>
      </c>
      <c r="J2640">
        <v>0</v>
      </c>
      <c r="K2640">
        <v>4.22</v>
      </c>
      <c r="L2640">
        <v>17.16</v>
      </c>
      <c r="M2640">
        <v>54.435000000000002</v>
      </c>
      <c r="N2640">
        <v>14.75</v>
      </c>
      <c r="O2640">
        <v>1701</v>
      </c>
      <c r="P2640">
        <v>868</v>
      </c>
      <c r="Q2640" s="5" t="e">
        <f>IF(AND(#REF!&gt;=table!$C$6,#REF!&lt;= table!$D$6),-1,IF(AND(#REF!&gt;=table!$E$6,#REF!&lt;=table!$F$6),1,0))</f>
        <v>#REF!</v>
      </c>
      <c r="R2640" s="5" t="e">
        <f>IF(AND(#REF!&gt;=table!$C$7,#REF!&lt;= table!$D$7),-1,IF(AND(#REF!&gt;=table!$E$7,#REF!&lt;=table!$F$7),1,0))</f>
        <v>#REF!</v>
      </c>
      <c r="S2640" s="5" t="e">
        <f>IF(AND(#REF!&gt;=table!$C$8,#REF!&lt;= table!$D$8),-1,IF(AND(#REF!&gt;=table!$E$8,#REF!&lt;=table!$F$8),1,0))</f>
        <v>#REF!</v>
      </c>
      <c r="T2640" s="5"/>
      <c r="U2640" s="5" t="e">
        <f>IF(AND(#REF!&gt;=table!$C$10,#REF!&lt;= table!$D$10),-1,IF(AND(#REF!&gt;=table!$E$10,#REF!&lt;=table!$F$10),1,0))</f>
        <v>#REF!</v>
      </c>
      <c r="V2640" s="5" t="e">
        <f>IF(AND(#REF!&gt;=table!$C$11,#REF!&lt;= table!$D$11),-1,IF(AND(#REF!&gt;=table!$E$11,#REF!&lt;=table!$F$11),1,0))</f>
        <v>#REF!</v>
      </c>
      <c r="W2640" s="5" t="e">
        <f>CONCATENATE(dados[[#This Row],[fator1]],dados[[#This Row],[fator5]],dados[[#This Row],[fator6]])</f>
        <v>#REF!</v>
      </c>
    </row>
    <row r="2641" spans="1:23">
      <c r="A2641" t="s">
        <v>17</v>
      </c>
      <c r="B2641">
        <v>584721</v>
      </c>
      <c r="C2641">
        <v>8</v>
      </c>
      <c r="D2641">
        <v>25</v>
      </c>
      <c r="E2641">
        <v>136</v>
      </c>
      <c r="F2641">
        <v>6</v>
      </c>
      <c r="G2641">
        <v>8</v>
      </c>
      <c r="H2641">
        <v>25</v>
      </c>
      <c r="I2641">
        <v>1376</v>
      </c>
      <c r="J2641">
        <v>0</v>
      </c>
      <c r="K2641">
        <v>3.88</v>
      </c>
      <c r="L2641">
        <v>10.65</v>
      </c>
      <c r="M2641">
        <v>111.86</v>
      </c>
      <c r="N2641">
        <v>8.7550000000000008</v>
      </c>
      <c r="O2641">
        <v>1673</v>
      </c>
      <c r="P2641">
        <v>0</v>
      </c>
      <c r="Q2641" s="5" t="e">
        <f>IF(AND(#REF!&gt;=table!$C$6,#REF!&lt;= table!$D$6),-1,IF(AND(#REF!&gt;=table!$E$6,#REF!&lt;=table!$F$6),1,0))</f>
        <v>#REF!</v>
      </c>
      <c r="R2641" s="5" t="e">
        <f>IF(AND(#REF!&gt;=table!$C$7,#REF!&lt;= table!$D$7),-1,IF(AND(#REF!&gt;=table!$E$7,#REF!&lt;=table!$F$7),1,0))</f>
        <v>#REF!</v>
      </c>
      <c r="S2641" s="5" t="e">
        <f>IF(AND(#REF!&gt;=table!$C$8,#REF!&lt;= table!$D$8),-1,IF(AND(#REF!&gt;=table!$E$8,#REF!&lt;=table!$F$8),1,0))</f>
        <v>#REF!</v>
      </c>
      <c r="T2641" s="5"/>
      <c r="U2641" s="5" t="e">
        <f>IF(AND(#REF!&gt;=table!$C$10,#REF!&lt;= table!$D$10),-1,IF(AND(#REF!&gt;=table!$E$10,#REF!&lt;=table!$F$10),1,0))</f>
        <v>#REF!</v>
      </c>
      <c r="V2641" s="5" t="e">
        <f>IF(AND(#REF!&gt;=table!$C$11,#REF!&lt;= table!$D$11),-1,IF(AND(#REF!&gt;=table!$E$11,#REF!&lt;=table!$F$11),1,0))</f>
        <v>#REF!</v>
      </c>
      <c r="W2641" s="5" t="e">
        <f>CONCATENATE(dados[[#This Row],[fator1]],dados[[#This Row],[fator5]],dados[[#This Row],[fator6]])</f>
        <v>#REF!</v>
      </c>
    </row>
    <row r="2642" spans="1:23">
      <c r="A2642" t="s">
        <v>18</v>
      </c>
      <c r="B2642">
        <v>584723</v>
      </c>
      <c r="C2642">
        <v>3</v>
      </c>
      <c r="D2642">
        <v>5</v>
      </c>
      <c r="E2642">
        <v>26</v>
      </c>
      <c r="F2642">
        <v>15</v>
      </c>
      <c r="G2642">
        <v>42</v>
      </c>
      <c r="H2642">
        <v>30</v>
      </c>
      <c r="I2642">
        <v>1173</v>
      </c>
      <c r="J2642">
        <v>990</v>
      </c>
      <c r="K2642">
        <v>6.3950000000000005</v>
      </c>
      <c r="L2642">
        <v>7.47</v>
      </c>
      <c r="M2642">
        <v>16.5</v>
      </c>
      <c r="N2642">
        <v>10.25</v>
      </c>
      <c r="O2642">
        <v>1569</v>
      </c>
      <c r="P2642">
        <v>335</v>
      </c>
      <c r="Q2642" s="5" t="e">
        <f>IF(AND(#REF!&gt;=table!$C$6,#REF!&lt;= table!$D$6),-1,IF(AND(#REF!&gt;=table!$E$6,#REF!&lt;=table!$F$6),1,0))</f>
        <v>#REF!</v>
      </c>
      <c r="R2642" s="5" t="e">
        <f>IF(AND(#REF!&gt;=table!$C$7,#REF!&lt;= table!$D$7),-1,IF(AND(#REF!&gt;=table!$E$7,#REF!&lt;=table!$F$7),1,0))</f>
        <v>#REF!</v>
      </c>
      <c r="S2642" s="5" t="e">
        <f>IF(AND(#REF!&gt;=table!$C$8,#REF!&lt;= table!$D$8),-1,IF(AND(#REF!&gt;=table!$E$8,#REF!&lt;=table!$F$8),1,0))</f>
        <v>#REF!</v>
      </c>
      <c r="T2642" s="5"/>
      <c r="U2642" s="5" t="e">
        <f>IF(AND(#REF!&gt;=table!$C$10,#REF!&lt;= table!$D$10),-1,IF(AND(#REF!&gt;=table!$E$10,#REF!&lt;=table!$F$10),1,0))</f>
        <v>#REF!</v>
      </c>
      <c r="V2642" s="5" t="e">
        <f>IF(AND(#REF!&gt;=table!$C$11,#REF!&lt;= table!$D$11),-1,IF(AND(#REF!&gt;=table!$E$11,#REF!&lt;=table!$F$11),1,0))</f>
        <v>#REF!</v>
      </c>
      <c r="W2642" s="5" t="e">
        <f>CONCATENATE(dados[[#This Row],[fator1]],dados[[#This Row],[fator5]],dados[[#This Row],[fator6]])</f>
        <v>#REF!</v>
      </c>
    </row>
    <row r="2643" spans="1:23">
      <c r="A2643" t="s">
        <v>17</v>
      </c>
      <c r="B2643">
        <v>584726</v>
      </c>
      <c r="C2643">
        <v>16</v>
      </c>
      <c r="D2643">
        <v>30</v>
      </c>
      <c r="E2643">
        <v>150</v>
      </c>
      <c r="F2643">
        <v>8</v>
      </c>
      <c r="G2643">
        <v>28</v>
      </c>
      <c r="H2643">
        <v>25</v>
      </c>
      <c r="I2643">
        <v>1009</v>
      </c>
      <c r="J2643">
        <v>590</v>
      </c>
      <c r="K2643">
        <v>3.6550000000000002</v>
      </c>
      <c r="L2643">
        <v>14.450000000000001</v>
      </c>
      <c r="M2643">
        <v>96.25</v>
      </c>
      <c r="N2643">
        <v>12.75</v>
      </c>
      <c r="O2643">
        <v>1660</v>
      </c>
      <c r="P2643">
        <v>0</v>
      </c>
      <c r="Q2643" s="5" t="e">
        <f>IF(AND(#REF!&gt;=table!$C$6,#REF!&lt;= table!$D$6),-1,IF(AND(#REF!&gt;=table!$E$6,#REF!&lt;=table!$F$6),1,0))</f>
        <v>#REF!</v>
      </c>
      <c r="R2643" s="5" t="e">
        <f>IF(AND(#REF!&gt;=table!$C$7,#REF!&lt;= table!$D$7),-1,IF(AND(#REF!&gt;=table!$E$7,#REF!&lt;=table!$F$7),1,0))</f>
        <v>#REF!</v>
      </c>
      <c r="S2643" s="5" t="e">
        <f>IF(AND(#REF!&gt;=table!$C$8,#REF!&lt;= table!$D$8),-1,IF(AND(#REF!&gt;=table!$E$8,#REF!&lt;=table!$F$8),1,0))</f>
        <v>#REF!</v>
      </c>
      <c r="T2643" s="5"/>
      <c r="U2643" s="5" t="e">
        <f>IF(AND(#REF!&gt;=table!$C$10,#REF!&lt;= table!$D$10),-1,IF(AND(#REF!&gt;=table!$E$10,#REF!&lt;=table!$F$10),1,0))</f>
        <v>#REF!</v>
      </c>
      <c r="V2643" s="5" t="e">
        <f>IF(AND(#REF!&gt;=table!$C$11,#REF!&lt;= table!$D$11),-1,IF(AND(#REF!&gt;=table!$E$11,#REF!&lt;=table!$F$11),1,0))</f>
        <v>#REF!</v>
      </c>
      <c r="W2643" s="5" t="e">
        <f>CONCATENATE(dados[[#This Row],[fator1]],dados[[#This Row],[fator5]],dados[[#This Row],[fator6]])</f>
        <v>#REF!</v>
      </c>
    </row>
    <row r="2644" spans="1:23">
      <c r="A2644" t="s">
        <v>17</v>
      </c>
      <c r="B2644">
        <v>584728</v>
      </c>
      <c r="C2644">
        <v>18</v>
      </c>
      <c r="D2644">
        <v>23</v>
      </c>
      <c r="E2644">
        <v>145</v>
      </c>
      <c r="F2644">
        <v>6</v>
      </c>
      <c r="G2644">
        <v>30</v>
      </c>
      <c r="H2644">
        <v>25</v>
      </c>
      <c r="I2644">
        <v>30</v>
      </c>
      <c r="J2644">
        <v>0</v>
      </c>
      <c r="K2644">
        <v>7.92</v>
      </c>
      <c r="L2644">
        <v>20.38</v>
      </c>
      <c r="M2644">
        <v>82.4</v>
      </c>
      <c r="N2644">
        <v>17.7</v>
      </c>
      <c r="O2644">
        <v>1678</v>
      </c>
      <c r="P2644">
        <v>334</v>
      </c>
      <c r="Q2644" s="5" t="e">
        <f>IF(AND(#REF!&gt;=table!$C$6,#REF!&lt;= table!$D$6),-1,IF(AND(#REF!&gt;=table!$E$6,#REF!&lt;=table!$F$6),1,0))</f>
        <v>#REF!</v>
      </c>
      <c r="R2644" s="5" t="e">
        <f>IF(AND(#REF!&gt;=table!$C$7,#REF!&lt;= table!$D$7),-1,IF(AND(#REF!&gt;=table!$E$7,#REF!&lt;=table!$F$7),1,0))</f>
        <v>#REF!</v>
      </c>
      <c r="S2644" s="5" t="e">
        <f>IF(AND(#REF!&gt;=table!$C$8,#REF!&lt;= table!$D$8),-1,IF(AND(#REF!&gt;=table!$E$8,#REF!&lt;=table!$F$8),1,0))</f>
        <v>#REF!</v>
      </c>
      <c r="T2644" s="5"/>
      <c r="U2644" s="5" t="e">
        <f>IF(AND(#REF!&gt;=table!$C$10,#REF!&lt;= table!$D$10),-1,IF(AND(#REF!&gt;=table!$E$10,#REF!&lt;=table!$F$10),1,0))</f>
        <v>#REF!</v>
      </c>
      <c r="V2644" s="5" t="e">
        <f>IF(AND(#REF!&gt;=table!$C$11,#REF!&lt;= table!$D$11),-1,IF(AND(#REF!&gt;=table!$E$11,#REF!&lt;=table!$F$11),1,0))</f>
        <v>#REF!</v>
      </c>
      <c r="W2644" s="5" t="e">
        <f>CONCATENATE(dados[[#This Row],[fator1]],dados[[#This Row],[fator5]],dados[[#This Row],[fator6]])</f>
        <v>#REF!</v>
      </c>
    </row>
    <row r="2645" spans="1:23">
      <c r="A2645" t="s">
        <v>17</v>
      </c>
      <c r="B2645">
        <v>584729</v>
      </c>
      <c r="C2645">
        <v>18</v>
      </c>
      <c r="D2645">
        <v>23</v>
      </c>
      <c r="E2645">
        <v>145</v>
      </c>
      <c r="F2645">
        <v>9</v>
      </c>
      <c r="G2645">
        <v>30</v>
      </c>
      <c r="H2645">
        <v>25</v>
      </c>
      <c r="I2645">
        <v>687</v>
      </c>
      <c r="J2645">
        <v>0</v>
      </c>
      <c r="K2645">
        <v>7.8150000000000004</v>
      </c>
      <c r="L2645">
        <v>15.05</v>
      </c>
      <c r="M2645">
        <v>120.35000000000001</v>
      </c>
      <c r="N2645">
        <v>12.3</v>
      </c>
      <c r="O2645">
        <v>1657</v>
      </c>
      <c r="P2645">
        <v>336</v>
      </c>
      <c r="Q2645" s="5" t="e">
        <f>IF(AND(#REF!&gt;=table!$C$6,#REF!&lt;= table!$D$6),-1,IF(AND(#REF!&gt;=table!$E$6,#REF!&lt;=table!$F$6),1,0))</f>
        <v>#REF!</v>
      </c>
      <c r="R2645" s="5" t="e">
        <f>IF(AND(#REF!&gt;=table!$C$7,#REF!&lt;= table!$D$7),-1,IF(AND(#REF!&gt;=table!$E$7,#REF!&lt;=table!$F$7),1,0))</f>
        <v>#REF!</v>
      </c>
      <c r="S2645" s="5" t="e">
        <f>IF(AND(#REF!&gt;=table!$C$8,#REF!&lt;= table!$D$8),-1,IF(AND(#REF!&gt;=table!$E$8,#REF!&lt;=table!$F$8),1,0))</f>
        <v>#REF!</v>
      </c>
      <c r="T2645" s="5"/>
      <c r="U2645" s="5" t="e">
        <f>IF(AND(#REF!&gt;=table!$C$10,#REF!&lt;= table!$D$10),-1,IF(AND(#REF!&gt;=table!$E$10,#REF!&lt;=table!$F$10),1,0))</f>
        <v>#REF!</v>
      </c>
      <c r="V2645" s="5" t="e">
        <f>IF(AND(#REF!&gt;=table!$C$11,#REF!&lt;= table!$D$11),-1,IF(AND(#REF!&gt;=table!$E$11,#REF!&lt;=table!$F$11),1,0))</f>
        <v>#REF!</v>
      </c>
      <c r="W2645" s="5" t="e">
        <f>CONCATENATE(dados[[#This Row],[fator1]],dados[[#This Row],[fator5]],dados[[#This Row],[fator6]])</f>
        <v>#REF!</v>
      </c>
    </row>
    <row r="2646" spans="1:23">
      <c r="A2646" t="s">
        <v>17</v>
      </c>
      <c r="B2646">
        <v>584730</v>
      </c>
      <c r="C2646">
        <v>18</v>
      </c>
      <c r="D2646">
        <v>23</v>
      </c>
      <c r="E2646">
        <v>145</v>
      </c>
      <c r="F2646">
        <v>9</v>
      </c>
      <c r="G2646">
        <v>30</v>
      </c>
      <c r="H2646">
        <v>25</v>
      </c>
      <c r="I2646">
        <v>1287</v>
      </c>
      <c r="J2646">
        <v>920</v>
      </c>
      <c r="K2646">
        <v>8.6</v>
      </c>
      <c r="L2646">
        <v>10.700000000000001</v>
      </c>
      <c r="M2646">
        <v>117.67</v>
      </c>
      <c r="N2646">
        <v>14.025</v>
      </c>
      <c r="O2646">
        <v>1652</v>
      </c>
      <c r="P2646">
        <v>375</v>
      </c>
      <c r="Q2646" s="5" t="e">
        <f>IF(AND(#REF!&gt;=table!$C$6,#REF!&lt;= table!$D$6),-1,IF(AND(#REF!&gt;=table!$E$6,#REF!&lt;=table!$F$6),1,0))</f>
        <v>#REF!</v>
      </c>
      <c r="R2646" s="5" t="e">
        <f>IF(AND(#REF!&gt;=table!$C$7,#REF!&lt;= table!$D$7),-1,IF(AND(#REF!&gt;=table!$E$7,#REF!&lt;=table!$F$7),1,0))</f>
        <v>#REF!</v>
      </c>
      <c r="S2646" s="5" t="e">
        <f>IF(AND(#REF!&gt;=table!$C$8,#REF!&lt;= table!$D$8),-1,IF(AND(#REF!&gt;=table!$E$8,#REF!&lt;=table!$F$8),1,0))</f>
        <v>#REF!</v>
      </c>
      <c r="T2646" s="5"/>
      <c r="U2646" s="5" t="e">
        <f>IF(AND(#REF!&gt;=table!$C$10,#REF!&lt;= table!$D$10),-1,IF(AND(#REF!&gt;=table!$E$10,#REF!&lt;=table!$F$10),1,0))</f>
        <v>#REF!</v>
      </c>
      <c r="V2646" s="5" t="e">
        <f>IF(AND(#REF!&gt;=table!$C$11,#REF!&lt;= table!$D$11),-1,IF(AND(#REF!&gt;=table!$E$11,#REF!&lt;=table!$F$11),1,0))</f>
        <v>#REF!</v>
      </c>
      <c r="W2646" s="5" t="e">
        <f>CONCATENATE(dados[[#This Row],[fator1]],dados[[#This Row],[fator5]],dados[[#This Row],[fator6]])</f>
        <v>#REF!</v>
      </c>
    </row>
    <row r="2647" spans="1:23">
      <c r="A2647" t="s">
        <v>17</v>
      </c>
      <c r="B2647">
        <v>584732</v>
      </c>
      <c r="C2647">
        <v>18</v>
      </c>
      <c r="D2647">
        <v>30</v>
      </c>
      <c r="E2647">
        <v>160</v>
      </c>
      <c r="F2647">
        <v>4</v>
      </c>
      <c r="G2647">
        <v>20</v>
      </c>
      <c r="H2647">
        <v>25</v>
      </c>
      <c r="I2647">
        <v>0</v>
      </c>
      <c r="J2647">
        <v>480</v>
      </c>
      <c r="K2647">
        <v>3.4</v>
      </c>
      <c r="L2647">
        <v>19.3</v>
      </c>
      <c r="M2647">
        <v>111.55</v>
      </c>
      <c r="N2647">
        <v>16.75</v>
      </c>
      <c r="O2647">
        <v>1702</v>
      </c>
      <c r="P2647">
        <v>691</v>
      </c>
      <c r="Q2647" s="5" t="e">
        <f>IF(AND(#REF!&gt;=table!$C$6,#REF!&lt;= table!$D$6),-1,IF(AND(#REF!&gt;=table!$E$6,#REF!&lt;=table!$F$6),1,0))</f>
        <v>#REF!</v>
      </c>
      <c r="R2647" s="5" t="e">
        <f>IF(AND(#REF!&gt;=table!$C$7,#REF!&lt;= table!$D$7),-1,IF(AND(#REF!&gt;=table!$E$7,#REF!&lt;=table!$F$7),1,0))</f>
        <v>#REF!</v>
      </c>
      <c r="S2647" s="5" t="e">
        <f>IF(AND(#REF!&gt;=table!$C$8,#REF!&lt;= table!$D$8),-1,IF(AND(#REF!&gt;=table!$E$8,#REF!&lt;=table!$F$8),1,0))</f>
        <v>#REF!</v>
      </c>
      <c r="T2647" s="5"/>
      <c r="U2647" s="5" t="e">
        <f>IF(AND(#REF!&gt;=table!$C$10,#REF!&lt;= table!$D$10),-1,IF(AND(#REF!&gt;=table!$E$10,#REF!&lt;=table!$F$10),1,0))</f>
        <v>#REF!</v>
      </c>
      <c r="V2647" s="5" t="e">
        <f>IF(AND(#REF!&gt;=table!$C$11,#REF!&lt;= table!$D$11),-1,IF(AND(#REF!&gt;=table!$E$11,#REF!&lt;=table!$F$11),1,0))</f>
        <v>#REF!</v>
      </c>
      <c r="W2647" s="5" t="e">
        <f>CONCATENATE(dados[[#This Row],[fator1]],dados[[#This Row],[fator5]],dados[[#This Row],[fator6]])</f>
        <v>#REF!</v>
      </c>
    </row>
    <row r="2648" spans="1:23">
      <c r="A2648" t="s">
        <v>16</v>
      </c>
      <c r="B2648">
        <v>584740</v>
      </c>
      <c r="C2648">
        <v>7</v>
      </c>
      <c r="D2648">
        <v>35</v>
      </c>
      <c r="E2648">
        <v>170</v>
      </c>
      <c r="F2648">
        <v>6</v>
      </c>
      <c r="G2648">
        <v>0</v>
      </c>
      <c r="H2648">
        <v>20</v>
      </c>
      <c r="I2648">
        <v>1302</v>
      </c>
      <c r="J2648">
        <v>1140</v>
      </c>
      <c r="K2648">
        <v>4.0333000000000006</v>
      </c>
      <c r="L2648">
        <v>6.15</v>
      </c>
      <c r="M2648">
        <v>142.23500000000001</v>
      </c>
      <c r="N2648">
        <v>13.13</v>
      </c>
      <c r="O2648">
        <v>1650</v>
      </c>
      <c r="P2648">
        <v>682</v>
      </c>
      <c r="Q2648" s="5" t="e">
        <f>IF(AND(#REF!&gt;=table!$C$6,#REF!&lt;= table!$D$6),-1,IF(AND(#REF!&gt;=table!$E$6,#REF!&lt;=table!$F$6),1,0))</f>
        <v>#REF!</v>
      </c>
      <c r="R2648" s="5" t="e">
        <f>IF(AND(#REF!&gt;=table!$C$7,#REF!&lt;= table!$D$7),-1,IF(AND(#REF!&gt;=table!$E$7,#REF!&lt;=table!$F$7),1,0))</f>
        <v>#REF!</v>
      </c>
      <c r="S2648" s="5" t="e">
        <f>IF(AND(#REF!&gt;=table!$C$8,#REF!&lt;= table!$D$8),-1,IF(AND(#REF!&gt;=table!$E$8,#REF!&lt;=table!$F$8),1,0))</f>
        <v>#REF!</v>
      </c>
      <c r="T2648" s="5"/>
      <c r="U2648" s="5" t="e">
        <f>IF(AND(#REF!&gt;=table!$C$10,#REF!&lt;= table!$D$10),-1,IF(AND(#REF!&gt;=table!$E$10,#REF!&lt;=table!$F$10),1,0))</f>
        <v>#REF!</v>
      </c>
      <c r="V2648" s="5" t="e">
        <f>IF(AND(#REF!&gt;=table!$C$11,#REF!&lt;= table!$D$11),-1,IF(AND(#REF!&gt;=table!$E$11,#REF!&lt;=table!$F$11),1,0))</f>
        <v>#REF!</v>
      </c>
      <c r="W2648" s="5" t="e">
        <f>CONCATENATE(dados[[#This Row],[fator1]],dados[[#This Row],[fator5]],dados[[#This Row],[fator6]])</f>
        <v>#REF!</v>
      </c>
    </row>
    <row r="2649" spans="1:23">
      <c r="A2649" t="s">
        <v>16</v>
      </c>
      <c r="B2649">
        <v>584760</v>
      </c>
      <c r="C2649">
        <v>0.15</v>
      </c>
      <c r="D2649">
        <v>40</v>
      </c>
      <c r="E2649">
        <v>10</v>
      </c>
      <c r="F2649">
        <v>15</v>
      </c>
      <c r="G2649">
        <v>0</v>
      </c>
      <c r="H2649">
        <v>15</v>
      </c>
      <c r="I2649">
        <v>811</v>
      </c>
      <c r="J2649">
        <v>0</v>
      </c>
      <c r="K2649">
        <v>3.2650000000000001</v>
      </c>
      <c r="L2649">
        <v>13.450000000000001</v>
      </c>
      <c r="M2649">
        <v>11.8</v>
      </c>
      <c r="N2649">
        <v>10.6</v>
      </c>
      <c r="O2649">
        <v>1679</v>
      </c>
      <c r="P2649">
        <v>0</v>
      </c>
      <c r="Q2649" s="5" t="e">
        <f>IF(AND(#REF!&gt;=table!$C$6,#REF!&lt;= table!$D$6),-1,IF(AND(#REF!&gt;=table!$E$6,#REF!&lt;=table!$F$6),1,0))</f>
        <v>#REF!</v>
      </c>
      <c r="R2649" s="5" t="e">
        <f>IF(AND(#REF!&gt;=table!$C$7,#REF!&lt;= table!$D$7),-1,IF(AND(#REF!&gt;=table!$E$7,#REF!&lt;=table!$F$7),1,0))</f>
        <v>#REF!</v>
      </c>
      <c r="S2649" s="5" t="e">
        <f>IF(AND(#REF!&gt;=table!$C$8,#REF!&lt;= table!$D$8),-1,IF(AND(#REF!&gt;=table!$E$8,#REF!&lt;=table!$F$8),1,0))</f>
        <v>#REF!</v>
      </c>
      <c r="T2649" s="5"/>
      <c r="U2649" s="5" t="e">
        <f>IF(AND(#REF!&gt;=table!$C$10,#REF!&lt;= table!$D$10),-1,IF(AND(#REF!&gt;=table!$E$10,#REF!&lt;=table!$F$10),1,0))</f>
        <v>#REF!</v>
      </c>
      <c r="V2649" s="5" t="e">
        <f>IF(AND(#REF!&gt;=table!$C$11,#REF!&lt;= table!$D$11),-1,IF(AND(#REF!&gt;=table!$E$11,#REF!&lt;=table!$F$11),1,0))</f>
        <v>#REF!</v>
      </c>
      <c r="W2649" s="5" t="e">
        <f>CONCATENATE(dados[[#This Row],[fator1]],dados[[#This Row],[fator5]],dados[[#This Row],[fator6]])</f>
        <v>#REF!</v>
      </c>
    </row>
    <row r="2650" spans="1:23">
      <c r="A2650" t="s">
        <v>16</v>
      </c>
      <c r="B2650">
        <v>584761</v>
      </c>
      <c r="C2650">
        <v>0.15</v>
      </c>
      <c r="D2650">
        <v>40</v>
      </c>
      <c r="E2650">
        <v>10</v>
      </c>
      <c r="F2650">
        <v>15</v>
      </c>
      <c r="G2650">
        <v>0</v>
      </c>
      <c r="H2650">
        <v>15</v>
      </c>
      <c r="I2650">
        <v>957</v>
      </c>
      <c r="J2650">
        <v>0</v>
      </c>
      <c r="K2650">
        <v>3.2250000000000001</v>
      </c>
      <c r="L2650">
        <v>13.65</v>
      </c>
      <c r="M2650">
        <v>12</v>
      </c>
      <c r="N2650">
        <v>10.3</v>
      </c>
      <c r="O2650">
        <v>1684</v>
      </c>
      <c r="P2650">
        <v>0</v>
      </c>
      <c r="Q2650" s="5" t="e">
        <f>IF(AND(#REF!&gt;=table!$C$6,#REF!&lt;= table!$D$6),-1,IF(AND(#REF!&gt;=table!$E$6,#REF!&lt;=table!$F$6),1,0))</f>
        <v>#REF!</v>
      </c>
      <c r="R2650" s="5" t="e">
        <f>IF(AND(#REF!&gt;=table!$C$7,#REF!&lt;= table!$D$7),-1,IF(AND(#REF!&gt;=table!$E$7,#REF!&lt;=table!$F$7),1,0))</f>
        <v>#REF!</v>
      </c>
      <c r="S2650" s="5" t="e">
        <f>IF(AND(#REF!&gt;=table!$C$8,#REF!&lt;= table!$D$8),-1,IF(AND(#REF!&gt;=table!$E$8,#REF!&lt;=table!$F$8),1,0))</f>
        <v>#REF!</v>
      </c>
      <c r="T2650" s="5"/>
      <c r="U2650" s="5" t="e">
        <f>IF(AND(#REF!&gt;=table!$C$10,#REF!&lt;= table!$D$10),-1,IF(AND(#REF!&gt;=table!$E$10,#REF!&lt;=table!$F$10),1,0))</f>
        <v>#REF!</v>
      </c>
      <c r="V2650" s="5" t="e">
        <f>IF(AND(#REF!&gt;=table!$C$11,#REF!&lt;= table!$D$11),-1,IF(AND(#REF!&gt;=table!$E$11,#REF!&lt;=table!$F$11),1,0))</f>
        <v>#REF!</v>
      </c>
      <c r="W2650" s="5" t="e">
        <f>CONCATENATE(dados[[#This Row],[fator1]],dados[[#This Row],[fator5]],dados[[#This Row],[fator6]])</f>
        <v>#REF!</v>
      </c>
    </row>
    <row r="2651" spans="1:23">
      <c r="A2651" t="s">
        <v>16</v>
      </c>
      <c r="B2651">
        <v>584766</v>
      </c>
      <c r="C2651">
        <v>0.15</v>
      </c>
      <c r="D2651">
        <v>40</v>
      </c>
      <c r="E2651">
        <v>10</v>
      </c>
      <c r="F2651">
        <v>15</v>
      </c>
      <c r="G2651">
        <v>0</v>
      </c>
      <c r="H2651">
        <v>15</v>
      </c>
      <c r="I2651">
        <v>1301</v>
      </c>
      <c r="J2651">
        <v>620</v>
      </c>
      <c r="K2651">
        <v>2.38</v>
      </c>
      <c r="L2651">
        <v>9.6</v>
      </c>
      <c r="M2651">
        <v>8.15</v>
      </c>
      <c r="N2651">
        <v>8.5500000000000007</v>
      </c>
      <c r="O2651">
        <v>1696</v>
      </c>
      <c r="P2651">
        <v>0</v>
      </c>
      <c r="Q2651" s="5" t="e">
        <f>IF(AND(#REF!&gt;=table!$C$6,#REF!&lt;= table!$D$6),-1,IF(AND(#REF!&gt;=table!$E$6,#REF!&lt;=table!$F$6),1,0))</f>
        <v>#REF!</v>
      </c>
      <c r="R2651" s="5" t="e">
        <f>IF(AND(#REF!&gt;=table!$C$7,#REF!&lt;= table!$D$7),-1,IF(AND(#REF!&gt;=table!$E$7,#REF!&lt;=table!$F$7),1,0))</f>
        <v>#REF!</v>
      </c>
      <c r="S2651" s="5" t="e">
        <f>IF(AND(#REF!&gt;=table!$C$8,#REF!&lt;= table!$D$8),-1,IF(AND(#REF!&gt;=table!$E$8,#REF!&lt;=table!$F$8),1,0))</f>
        <v>#REF!</v>
      </c>
      <c r="T2651" s="5"/>
      <c r="U2651" s="5" t="e">
        <f>IF(AND(#REF!&gt;=table!$C$10,#REF!&lt;= table!$D$10),-1,IF(AND(#REF!&gt;=table!$E$10,#REF!&lt;=table!$F$10),1,0))</f>
        <v>#REF!</v>
      </c>
      <c r="V2651" s="5" t="e">
        <f>IF(AND(#REF!&gt;=table!$C$11,#REF!&lt;= table!$D$11),-1,IF(AND(#REF!&gt;=table!$E$11,#REF!&lt;=table!$F$11),1,0))</f>
        <v>#REF!</v>
      </c>
      <c r="W2651" s="5" t="e">
        <f>CONCATENATE(dados[[#This Row],[fator1]],dados[[#This Row],[fator5]],dados[[#This Row],[fator6]])</f>
        <v>#REF!</v>
      </c>
    </row>
    <row r="2652" spans="1:23">
      <c r="A2652" t="s">
        <v>17</v>
      </c>
      <c r="B2652">
        <v>584779</v>
      </c>
      <c r="C2652">
        <v>30</v>
      </c>
      <c r="D2652">
        <v>25</v>
      </c>
      <c r="E2652">
        <v>135</v>
      </c>
      <c r="F2652">
        <v>8</v>
      </c>
      <c r="G2652">
        <v>13</v>
      </c>
      <c r="H2652">
        <v>25</v>
      </c>
      <c r="I2652">
        <v>87</v>
      </c>
      <c r="J2652">
        <v>0</v>
      </c>
      <c r="K2652">
        <v>8.5299999999999994</v>
      </c>
      <c r="L2652">
        <v>24.375</v>
      </c>
      <c r="M2652">
        <v>83.36</v>
      </c>
      <c r="N2652">
        <v>12.795</v>
      </c>
      <c r="O2652">
        <v>1694</v>
      </c>
      <c r="P2652">
        <v>0</v>
      </c>
      <c r="Q2652" s="5" t="e">
        <f>IF(AND(#REF!&gt;=table!$C$6,#REF!&lt;= table!$D$6),-1,IF(AND(#REF!&gt;=table!$E$6,#REF!&lt;=table!$F$6),1,0))</f>
        <v>#REF!</v>
      </c>
      <c r="R2652" s="5" t="e">
        <f>IF(AND(#REF!&gt;=table!$C$7,#REF!&lt;= table!$D$7),-1,IF(AND(#REF!&gt;=table!$E$7,#REF!&lt;=table!$F$7),1,0))</f>
        <v>#REF!</v>
      </c>
      <c r="S2652" s="5" t="e">
        <f>IF(AND(#REF!&gt;=table!$C$8,#REF!&lt;= table!$D$8),-1,IF(AND(#REF!&gt;=table!$E$8,#REF!&lt;=table!$F$8),1,0))</f>
        <v>#REF!</v>
      </c>
      <c r="T2652" s="5"/>
      <c r="U2652" s="5" t="e">
        <f>IF(AND(#REF!&gt;=table!$C$10,#REF!&lt;= table!$D$10),-1,IF(AND(#REF!&gt;=table!$E$10,#REF!&lt;=table!$F$10),1,0))</f>
        <v>#REF!</v>
      </c>
      <c r="V2652" s="5" t="e">
        <f>IF(AND(#REF!&gt;=table!$C$11,#REF!&lt;= table!$D$11),-1,IF(AND(#REF!&gt;=table!$E$11,#REF!&lt;=table!$F$11),1,0))</f>
        <v>#REF!</v>
      </c>
      <c r="W2652" s="5" t="e">
        <f>CONCATENATE(dados[[#This Row],[fator1]],dados[[#This Row],[fator5]],dados[[#This Row],[fator6]])</f>
        <v>#REF!</v>
      </c>
    </row>
    <row r="2653" spans="1:23">
      <c r="A2653" t="s">
        <v>17</v>
      </c>
      <c r="B2653">
        <v>584780</v>
      </c>
      <c r="C2653">
        <v>14</v>
      </c>
      <c r="D2653">
        <v>30</v>
      </c>
      <c r="E2653">
        <v>66</v>
      </c>
      <c r="F2653">
        <v>9</v>
      </c>
      <c r="G2653">
        <v>20</v>
      </c>
      <c r="H2653">
        <v>25</v>
      </c>
      <c r="I2653">
        <v>564</v>
      </c>
      <c r="J2653">
        <v>0</v>
      </c>
      <c r="K2653">
        <v>4.9350000000000005</v>
      </c>
      <c r="L2653">
        <v>13.71</v>
      </c>
      <c r="M2653">
        <v>55.550000000000004</v>
      </c>
      <c r="N2653">
        <v>14.75</v>
      </c>
      <c r="O2653">
        <v>1675</v>
      </c>
      <c r="P2653">
        <v>0</v>
      </c>
      <c r="Q2653" s="5" t="e">
        <f>IF(AND(#REF!&gt;=table!$C$6,#REF!&lt;= table!$D$6),-1,IF(AND(#REF!&gt;=table!$E$6,#REF!&lt;=table!$F$6),1,0))</f>
        <v>#REF!</v>
      </c>
      <c r="R2653" s="5" t="e">
        <f>IF(AND(#REF!&gt;=table!$C$7,#REF!&lt;= table!$D$7),-1,IF(AND(#REF!&gt;=table!$E$7,#REF!&lt;=table!$F$7),1,0))</f>
        <v>#REF!</v>
      </c>
      <c r="S2653" s="5" t="e">
        <f>IF(AND(#REF!&gt;=table!$C$8,#REF!&lt;= table!$D$8),-1,IF(AND(#REF!&gt;=table!$E$8,#REF!&lt;=table!$F$8),1,0))</f>
        <v>#REF!</v>
      </c>
      <c r="T2653" s="5"/>
      <c r="U2653" s="5" t="e">
        <f>IF(AND(#REF!&gt;=table!$C$10,#REF!&lt;= table!$D$10),-1,IF(AND(#REF!&gt;=table!$E$10,#REF!&lt;=table!$F$10),1,0))</f>
        <v>#REF!</v>
      </c>
      <c r="V2653" s="5" t="e">
        <f>IF(AND(#REF!&gt;=table!$C$11,#REF!&lt;= table!$D$11),-1,IF(AND(#REF!&gt;=table!$E$11,#REF!&lt;=table!$F$11),1,0))</f>
        <v>#REF!</v>
      </c>
      <c r="W2653" s="5" t="e">
        <f>CONCATENATE(dados[[#This Row],[fator1]],dados[[#This Row],[fator5]],dados[[#This Row],[fator6]])</f>
        <v>#REF!</v>
      </c>
    </row>
    <row r="2654" spans="1:23">
      <c r="A2654" t="s">
        <v>17</v>
      </c>
      <c r="B2654">
        <v>584782</v>
      </c>
      <c r="C2654">
        <v>14</v>
      </c>
      <c r="D2654">
        <v>30</v>
      </c>
      <c r="E2654">
        <v>66</v>
      </c>
      <c r="F2654">
        <v>9</v>
      </c>
      <c r="G2654">
        <v>20</v>
      </c>
      <c r="H2654">
        <v>25</v>
      </c>
      <c r="I2654">
        <v>9</v>
      </c>
      <c r="J2654">
        <v>0</v>
      </c>
      <c r="K2654">
        <v>7.085</v>
      </c>
      <c r="L2654">
        <v>20.005000000000003</v>
      </c>
      <c r="M2654">
        <v>55.955000000000005</v>
      </c>
      <c r="N2654">
        <v>13.415000000000001</v>
      </c>
      <c r="O2654">
        <v>1690</v>
      </c>
      <c r="P2654">
        <v>0</v>
      </c>
      <c r="Q2654" s="5" t="e">
        <f>IF(AND(#REF!&gt;=table!$C$6,#REF!&lt;= table!$D$6),-1,IF(AND(#REF!&gt;=table!$E$6,#REF!&lt;=table!$F$6),1,0))</f>
        <v>#REF!</v>
      </c>
      <c r="R2654" s="5" t="e">
        <f>IF(AND(#REF!&gt;=table!$C$7,#REF!&lt;= table!$D$7),-1,IF(AND(#REF!&gt;=table!$E$7,#REF!&lt;=table!$F$7),1,0))</f>
        <v>#REF!</v>
      </c>
      <c r="S2654" s="5" t="e">
        <f>IF(AND(#REF!&gt;=table!$C$8,#REF!&lt;= table!$D$8),-1,IF(AND(#REF!&gt;=table!$E$8,#REF!&lt;=table!$F$8),1,0))</f>
        <v>#REF!</v>
      </c>
      <c r="T2654" s="5"/>
      <c r="U2654" s="5" t="e">
        <f>IF(AND(#REF!&gt;=table!$C$10,#REF!&lt;= table!$D$10),-1,IF(AND(#REF!&gt;=table!$E$10,#REF!&lt;=table!$F$10),1,0))</f>
        <v>#REF!</v>
      </c>
      <c r="V2654" s="5" t="e">
        <f>IF(AND(#REF!&gt;=table!$C$11,#REF!&lt;= table!$D$11),-1,IF(AND(#REF!&gt;=table!$E$11,#REF!&lt;=table!$F$11),1,0))</f>
        <v>#REF!</v>
      </c>
      <c r="W2654" s="5" t="e">
        <f>CONCATENATE(dados[[#This Row],[fator1]],dados[[#This Row],[fator5]],dados[[#This Row],[fator6]])</f>
        <v>#REF!</v>
      </c>
    </row>
    <row r="2655" spans="1:23">
      <c r="A2655" t="s">
        <v>17</v>
      </c>
      <c r="B2655">
        <v>584784</v>
      </c>
      <c r="C2655">
        <v>16</v>
      </c>
      <c r="D2655">
        <v>23</v>
      </c>
      <c r="E2655">
        <v>145</v>
      </c>
      <c r="F2655">
        <v>9</v>
      </c>
      <c r="G2655">
        <v>30</v>
      </c>
      <c r="H2655">
        <v>25</v>
      </c>
      <c r="I2655">
        <v>986</v>
      </c>
      <c r="J2655">
        <v>0</v>
      </c>
      <c r="K2655">
        <v>7.1400000000000006</v>
      </c>
      <c r="L2655">
        <v>18.5</v>
      </c>
      <c r="M2655">
        <v>146.75</v>
      </c>
      <c r="N2655">
        <v>14.55</v>
      </c>
      <c r="O2655">
        <v>1687</v>
      </c>
      <c r="P2655">
        <v>0</v>
      </c>
      <c r="Q2655" s="5" t="e">
        <f>IF(AND(#REF!&gt;=table!$C$6,#REF!&lt;= table!$D$6),-1,IF(AND(#REF!&gt;=table!$E$6,#REF!&lt;=table!$F$6),1,0))</f>
        <v>#REF!</v>
      </c>
      <c r="R2655" s="5" t="e">
        <f>IF(AND(#REF!&gt;=table!$C$7,#REF!&lt;= table!$D$7),-1,IF(AND(#REF!&gt;=table!$E$7,#REF!&lt;=table!$F$7),1,0))</f>
        <v>#REF!</v>
      </c>
      <c r="S2655" s="5" t="e">
        <f>IF(AND(#REF!&gt;=table!$C$8,#REF!&lt;= table!$D$8),-1,IF(AND(#REF!&gt;=table!$E$8,#REF!&lt;=table!$F$8),1,0))</f>
        <v>#REF!</v>
      </c>
      <c r="T2655" s="5"/>
      <c r="U2655" s="5" t="e">
        <f>IF(AND(#REF!&gt;=table!$C$10,#REF!&lt;= table!$D$10),-1,IF(AND(#REF!&gt;=table!$E$10,#REF!&lt;=table!$F$10),1,0))</f>
        <v>#REF!</v>
      </c>
      <c r="V2655" s="5" t="e">
        <f>IF(AND(#REF!&gt;=table!$C$11,#REF!&lt;= table!$D$11),-1,IF(AND(#REF!&gt;=table!$E$11,#REF!&lt;=table!$F$11),1,0))</f>
        <v>#REF!</v>
      </c>
      <c r="W2655" s="5" t="e">
        <f>CONCATENATE(dados[[#This Row],[fator1]],dados[[#This Row],[fator5]],dados[[#This Row],[fator6]])</f>
        <v>#REF!</v>
      </c>
    </row>
    <row r="2656" spans="1:23">
      <c r="A2656" t="s">
        <v>16</v>
      </c>
      <c r="B2656">
        <v>584792</v>
      </c>
      <c r="C2656">
        <v>0.15</v>
      </c>
      <c r="D2656">
        <v>35</v>
      </c>
      <c r="E2656">
        <v>15</v>
      </c>
      <c r="F2656">
        <v>10</v>
      </c>
      <c r="G2656">
        <v>0</v>
      </c>
      <c r="H2656">
        <v>12</v>
      </c>
      <c r="I2656">
        <v>1156</v>
      </c>
      <c r="J2656">
        <v>0</v>
      </c>
      <c r="K2656">
        <v>3.4743000000000004</v>
      </c>
      <c r="L2656">
        <v>9.3800000000000008</v>
      </c>
      <c r="M2656">
        <v>8.4050000000000011</v>
      </c>
      <c r="N2656">
        <v>5.65</v>
      </c>
      <c r="O2656">
        <v>1643</v>
      </c>
      <c r="P2656">
        <v>525</v>
      </c>
      <c r="Q2656" s="5" t="e">
        <f>IF(AND(#REF!&gt;=table!$C$6,#REF!&lt;= table!$D$6),-1,IF(AND(#REF!&gt;=table!$E$6,#REF!&lt;=table!$F$6),1,0))</f>
        <v>#REF!</v>
      </c>
      <c r="R2656" s="5" t="e">
        <f>IF(AND(#REF!&gt;=table!$C$7,#REF!&lt;= table!$D$7),-1,IF(AND(#REF!&gt;=table!$E$7,#REF!&lt;=table!$F$7),1,0))</f>
        <v>#REF!</v>
      </c>
      <c r="S2656" s="5" t="e">
        <f>IF(AND(#REF!&gt;=table!$C$8,#REF!&lt;= table!$D$8),-1,IF(AND(#REF!&gt;=table!$E$8,#REF!&lt;=table!$F$8),1,0))</f>
        <v>#REF!</v>
      </c>
      <c r="T2656" s="5"/>
      <c r="U2656" s="5" t="e">
        <f>IF(AND(#REF!&gt;=table!$C$10,#REF!&lt;= table!$D$10),-1,IF(AND(#REF!&gt;=table!$E$10,#REF!&lt;=table!$F$10),1,0))</f>
        <v>#REF!</v>
      </c>
      <c r="V2656" s="5" t="e">
        <f>IF(AND(#REF!&gt;=table!$C$11,#REF!&lt;= table!$D$11),-1,IF(AND(#REF!&gt;=table!$E$11,#REF!&lt;=table!$F$11),1,0))</f>
        <v>#REF!</v>
      </c>
      <c r="W2656" s="5" t="e">
        <f>CONCATENATE(dados[[#This Row],[fator1]],dados[[#This Row],[fator5]],dados[[#This Row],[fator6]])</f>
        <v>#REF!</v>
      </c>
    </row>
    <row r="2657" spans="1:23">
      <c r="A2657" t="s">
        <v>16</v>
      </c>
      <c r="B2657">
        <v>584793</v>
      </c>
      <c r="C2657">
        <v>0.15</v>
      </c>
      <c r="D2657">
        <v>35</v>
      </c>
      <c r="E2657">
        <v>15</v>
      </c>
      <c r="F2657">
        <v>10</v>
      </c>
      <c r="G2657">
        <v>0</v>
      </c>
      <c r="H2657">
        <v>12</v>
      </c>
      <c r="I2657">
        <v>33</v>
      </c>
      <c r="J2657">
        <v>0</v>
      </c>
      <c r="K2657">
        <v>2.359</v>
      </c>
      <c r="L2657">
        <v>14.885000000000002</v>
      </c>
      <c r="M2657">
        <v>12.65</v>
      </c>
      <c r="N2657">
        <v>12.5</v>
      </c>
      <c r="O2657">
        <v>1717</v>
      </c>
      <c r="P2657">
        <v>830</v>
      </c>
      <c r="Q2657" s="5" t="e">
        <f>IF(AND(#REF!&gt;=table!$C$6,#REF!&lt;= table!$D$6),-1,IF(AND(#REF!&gt;=table!$E$6,#REF!&lt;=table!$F$6),1,0))</f>
        <v>#REF!</v>
      </c>
      <c r="R2657" s="5" t="e">
        <f>IF(AND(#REF!&gt;=table!$C$7,#REF!&lt;= table!$D$7),-1,IF(AND(#REF!&gt;=table!$E$7,#REF!&lt;=table!$F$7),1,0))</f>
        <v>#REF!</v>
      </c>
      <c r="S2657" s="5" t="e">
        <f>IF(AND(#REF!&gt;=table!$C$8,#REF!&lt;= table!$D$8),-1,IF(AND(#REF!&gt;=table!$E$8,#REF!&lt;=table!$F$8),1,0))</f>
        <v>#REF!</v>
      </c>
      <c r="T2657" s="5"/>
      <c r="U2657" s="5" t="e">
        <f>IF(AND(#REF!&gt;=table!$C$10,#REF!&lt;= table!$D$10),-1,IF(AND(#REF!&gt;=table!$E$10,#REF!&lt;=table!$F$10),1,0))</f>
        <v>#REF!</v>
      </c>
      <c r="V2657" s="5" t="e">
        <f>IF(AND(#REF!&gt;=table!$C$11,#REF!&lt;= table!$D$11),-1,IF(AND(#REF!&gt;=table!$E$11,#REF!&lt;=table!$F$11),1,0))</f>
        <v>#REF!</v>
      </c>
      <c r="W2657" s="5" t="e">
        <f>CONCATENATE(dados[[#This Row],[fator1]],dados[[#This Row],[fator5]],dados[[#This Row],[fator6]])</f>
        <v>#REF!</v>
      </c>
    </row>
    <row r="2658" spans="1:23">
      <c r="A2658" t="s">
        <v>16</v>
      </c>
      <c r="B2658">
        <v>584794</v>
      </c>
      <c r="C2658">
        <v>0.15</v>
      </c>
      <c r="D2658">
        <v>35</v>
      </c>
      <c r="E2658">
        <v>15</v>
      </c>
      <c r="F2658">
        <v>10</v>
      </c>
      <c r="G2658">
        <v>0</v>
      </c>
      <c r="H2658">
        <v>12</v>
      </c>
      <c r="I2658">
        <v>996</v>
      </c>
      <c r="J2658">
        <v>0</v>
      </c>
      <c r="K2658">
        <v>2.6350000000000002</v>
      </c>
      <c r="L2658">
        <v>11.75</v>
      </c>
      <c r="M2658">
        <v>9.6</v>
      </c>
      <c r="N2658">
        <v>8.15</v>
      </c>
      <c r="O2658">
        <v>1693</v>
      </c>
      <c r="P2658">
        <v>0</v>
      </c>
      <c r="Q2658" s="5" t="e">
        <f>IF(AND(#REF!&gt;=table!$C$6,#REF!&lt;= table!$D$6),-1,IF(AND(#REF!&gt;=table!$E$6,#REF!&lt;=table!$F$6),1,0))</f>
        <v>#REF!</v>
      </c>
      <c r="R2658" s="5" t="e">
        <f>IF(AND(#REF!&gt;=table!$C$7,#REF!&lt;= table!$D$7),-1,IF(AND(#REF!&gt;=table!$E$7,#REF!&lt;=table!$F$7),1,0))</f>
        <v>#REF!</v>
      </c>
      <c r="S2658" s="5" t="e">
        <f>IF(AND(#REF!&gt;=table!$C$8,#REF!&lt;= table!$D$8),-1,IF(AND(#REF!&gt;=table!$E$8,#REF!&lt;=table!$F$8),1,0))</f>
        <v>#REF!</v>
      </c>
      <c r="T2658" s="5"/>
      <c r="U2658" s="5" t="e">
        <f>IF(AND(#REF!&gt;=table!$C$10,#REF!&lt;= table!$D$10),-1,IF(AND(#REF!&gt;=table!$E$10,#REF!&lt;=table!$F$10),1,0))</f>
        <v>#REF!</v>
      </c>
      <c r="V2658" s="5" t="e">
        <f>IF(AND(#REF!&gt;=table!$C$11,#REF!&lt;= table!$D$11),-1,IF(AND(#REF!&gt;=table!$E$11,#REF!&lt;=table!$F$11),1,0))</f>
        <v>#REF!</v>
      </c>
      <c r="W2658" s="5" t="e">
        <f>CONCATENATE(dados[[#This Row],[fator1]],dados[[#This Row],[fator5]],dados[[#This Row],[fator6]])</f>
        <v>#REF!</v>
      </c>
    </row>
    <row r="2659" spans="1:23">
      <c r="A2659" t="s">
        <v>16</v>
      </c>
      <c r="B2659">
        <v>584799</v>
      </c>
      <c r="C2659">
        <v>16</v>
      </c>
      <c r="D2659">
        <v>27</v>
      </c>
      <c r="E2659">
        <v>36</v>
      </c>
      <c r="F2659">
        <v>8</v>
      </c>
      <c r="G2659">
        <v>0</v>
      </c>
      <c r="H2659">
        <v>25</v>
      </c>
      <c r="I2659">
        <v>0</v>
      </c>
      <c r="J2659">
        <v>0</v>
      </c>
      <c r="K2659">
        <v>4.085</v>
      </c>
      <c r="L2659">
        <v>21.8</v>
      </c>
      <c r="M2659">
        <v>31.35</v>
      </c>
      <c r="N2659">
        <v>15.15</v>
      </c>
      <c r="O2659">
        <v>1679</v>
      </c>
      <c r="P2659">
        <v>0</v>
      </c>
      <c r="Q2659" s="5" t="e">
        <f>IF(AND(#REF!&gt;=table!$C$6,#REF!&lt;= table!$D$6),-1,IF(AND(#REF!&gt;=table!$E$6,#REF!&lt;=table!$F$6),1,0))</f>
        <v>#REF!</v>
      </c>
      <c r="R2659" s="5" t="e">
        <f>IF(AND(#REF!&gt;=table!$C$7,#REF!&lt;= table!$D$7),-1,IF(AND(#REF!&gt;=table!$E$7,#REF!&lt;=table!$F$7),1,0))</f>
        <v>#REF!</v>
      </c>
      <c r="S2659" s="5" t="e">
        <f>IF(AND(#REF!&gt;=table!$C$8,#REF!&lt;= table!$D$8),-1,IF(AND(#REF!&gt;=table!$E$8,#REF!&lt;=table!$F$8),1,0))</f>
        <v>#REF!</v>
      </c>
      <c r="T2659" s="5"/>
      <c r="U2659" s="5" t="e">
        <f>IF(AND(#REF!&gt;=table!$C$10,#REF!&lt;= table!$D$10),-1,IF(AND(#REF!&gt;=table!$E$10,#REF!&lt;=table!$F$10),1,0))</f>
        <v>#REF!</v>
      </c>
      <c r="V2659" s="5" t="e">
        <f>IF(AND(#REF!&gt;=table!$C$11,#REF!&lt;= table!$D$11),-1,IF(AND(#REF!&gt;=table!$E$11,#REF!&lt;=table!$F$11),1,0))</f>
        <v>#REF!</v>
      </c>
      <c r="W2659" s="5" t="e">
        <f>CONCATENATE(dados[[#This Row],[fator1]],dados[[#This Row],[fator5]],dados[[#This Row],[fator6]])</f>
        <v>#REF!</v>
      </c>
    </row>
    <row r="2660" spans="1:23">
      <c r="A2660" t="s">
        <v>16</v>
      </c>
      <c r="B2660">
        <v>584807</v>
      </c>
      <c r="C2660">
        <v>0.15</v>
      </c>
      <c r="D2660">
        <v>40</v>
      </c>
      <c r="E2660">
        <v>10</v>
      </c>
      <c r="F2660">
        <v>15</v>
      </c>
      <c r="G2660">
        <v>0</v>
      </c>
      <c r="H2660">
        <v>15</v>
      </c>
      <c r="I2660">
        <v>1050</v>
      </c>
      <c r="J2660">
        <v>780</v>
      </c>
      <c r="K2660">
        <v>4.0750000000000002</v>
      </c>
      <c r="L2660">
        <v>8.35</v>
      </c>
      <c r="M2660">
        <v>6.3500000000000005</v>
      </c>
      <c r="N2660">
        <v>10.4</v>
      </c>
      <c r="O2660">
        <v>1639</v>
      </c>
      <c r="P2660">
        <v>0</v>
      </c>
      <c r="Q2660" s="5" t="e">
        <f>IF(AND(#REF!&gt;=table!$C$6,#REF!&lt;= table!$D$6),-1,IF(AND(#REF!&gt;=table!$E$6,#REF!&lt;=table!$F$6),1,0))</f>
        <v>#REF!</v>
      </c>
      <c r="R2660" s="5" t="e">
        <f>IF(AND(#REF!&gt;=table!$C$7,#REF!&lt;= table!$D$7),-1,IF(AND(#REF!&gt;=table!$E$7,#REF!&lt;=table!$F$7),1,0))</f>
        <v>#REF!</v>
      </c>
      <c r="S2660" s="5" t="e">
        <f>IF(AND(#REF!&gt;=table!$C$8,#REF!&lt;= table!$D$8),-1,IF(AND(#REF!&gt;=table!$E$8,#REF!&lt;=table!$F$8),1,0))</f>
        <v>#REF!</v>
      </c>
      <c r="T2660" s="5"/>
      <c r="U2660" s="5" t="e">
        <f>IF(AND(#REF!&gt;=table!$C$10,#REF!&lt;= table!$D$10),-1,IF(AND(#REF!&gt;=table!$E$10,#REF!&lt;=table!$F$10),1,0))</f>
        <v>#REF!</v>
      </c>
      <c r="V2660" s="5" t="e">
        <f>IF(AND(#REF!&gt;=table!$C$11,#REF!&lt;= table!$D$11),-1,IF(AND(#REF!&gt;=table!$E$11,#REF!&lt;=table!$F$11),1,0))</f>
        <v>#REF!</v>
      </c>
      <c r="W2660" s="5" t="e">
        <f>CONCATENATE(dados[[#This Row],[fator1]],dados[[#This Row],[fator5]],dados[[#This Row],[fator6]])</f>
        <v>#REF!</v>
      </c>
    </row>
    <row r="2661" spans="1:23">
      <c r="A2661" t="s">
        <v>16</v>
      </c>
      <c r="B2661">
        <v>584813</v>
      </c>
      <c r="C2661">
        <v>7</v>
      </c>
      <c r="D2661">
        <v>33</v>
      </c>
      <c r="E2661">
        <v>150</v>
      </c>
      <c r="F2661">
        <v>4</v>
      </c>
      <c r="G2661">
        <v>0</v>
      </c>
      <c r="H2661">
        <v>25</v>
      </c>
      <c r="I2661">
        <v>1101</v>
      </c>
      <c r="J2661">
        <v>0</v>
      </c>
      <c r="K2661">
        <v>2.5665</v>
      </c>
      <c r="L2661">
        <v>9.85</v>
      </c>
      <c r="M2661">
        <v>141.05500000000001</v>
      </c>
      <c r="N2661">
        <v>8.6650000000000009</v>
      </c>
      <c r="O2661">
        <v>1679</v>
      </c>
      <c r="P2661">
        <v>0</v>
      </c>
      <c r="Q2661" s="5" t="e">
        <f>IF(AND(#REF!&gt;=table!$C$6,#REF!&lt;= table!$D$6),-1,IF(AND(#REF!&gt;=table!$E$6,#REF!&lt;=table!$F$6),1,0))</f>
        <v>#REF!</v>
      </c>
      <c r="R2661" s="5" t="e">
        <f>IF(AND(#REF!&gt;=table!$C$7,#REF!&lt;= table!$D$7),-1,IF(AND(#REF!&gt;=table!$E$7,#REF!&lt;=table!$F$7),1,0))</f>
        <v>#REF!</v>
      </c>
      <c r="S2661" s="5" t="e">
        <f>IF(AND(#REF!&gt;=table!$C$8,#REF!&lt;= table!$D$8),-1,IF(AND(#REF!&gt;=table!$E$8,#REF!&lt;=table!$F$8),1,0))</f>
        <v>#REF!</v>
      </c>
      <c r="T2661" s="5"/>
      <c r="U2661" s="5" t="e">
        <f>IF(AND(#REF!&gt;=table!$C$10,#REF!&lt;= table!$D$10),-1,IF(AND(#REF!&gt;=table!$E$10,#REF!&lt;=table!$F$10),1,0))</f>
        <v>#REF!</v>
      </c>
      <c r="V2661" s="5" t="e">
        <f>IF(AND(#REF!&gt;=table!$C$11,#REF!&lt;= table!$D$11),-1,IF(AND(#REF!&gt;=table!$E$11,#REF!&lt;=table!$F$11),1,0))</f>
        <v>#REF!</v>
      </c>
      <c r="W2661" s="5" t="e">
        <f>CONCATENATE(dados[[#This Row],[fator1]],dados[[#This Row],[fator5]],dados[[#This Row],[fator6]])</f>
        <v>#REF!</v>
      </c>
    </row>
    <row r="2662" spans="1:23">
      <c r="A2662" t="s">
        <v>16</v>
      </c>
      <c r="B2662">
        <v>584816</v>
      </c>
      <c r="C2662">
        <v>7</v>
      </c>
      <c r="D2662">
        <v>33</v>
      </c>
      <c r="E2662">
        <v>150</v>
      </c>
      <c r="F2662">
        <v>4</v>
      </c>
      <c r="G2662">
        <v>0</v>
      </c>
      <c r="H2662">
        <v>25</v>
      </c>
      <c r="I2662">
        <v>0</v>
      </c>
      <c r="J2662">
        <v>0</v>
      </c>
      <c r="K2662">
        <v>4.1500000000000004</v>
      </c>
      <c r="L2662">
        <v>17.7</v>
      </c>
      <c r="M2662">
        <v>125.405</v>
      </c>
      <c r="N2662">
        <v>11.55</v>
      </c>
      <c r="O2662">
        <v>1679</v>
      </c>
      <c r="P2662">
        <v>0</v>
      </c>
      <c r="Q2662" s="5" t="e">
        <f>IF(AND(#REF!&gt;=table!$C$6,#REF!&lt;= table!$D$6),-1,IF(AND(#REF!&gt;=table!$E$6,#REF!&lt;=table!$F$6),1,0))</f>
        <v>#REF!</v>
      </c>
      <c r="R2662" s="5" t="e">
        <f>IF(AND(#REF!&gt;=table!$C$7,#REF!&lt;= table!$D$7),-1,IF(AND(#REF!&gt;=table!$E$7,#REF!&lt;=table!$F$7),1,0))</f>
        <v>#REF!</v>
      </c>
      <c r="S2662" s="5" t="e">
        <f>IF(AND(#REF!&gt;=table!$C$8,#REF!&lt;= table!$D$8),-1,IF(AND(#REF!&gt;=table!$E$8,#REF!&lt;=table!$F$8),1,0))</f>
        <v>#REF!</v>
      </c>
      <c r="T2662" s="5"/>
      <c r="U2662" s="5" t="e">
        <f>IF(AND(#REF!&gt;=table!$C$10,#REF!&lt;= table!$D$10),-1,IF(AND(#REF!&gt;=table!$E$10,#REF!&lt;=table!$F$10),1,0))</f>
        <v>#REF!</v>
      </c>
      <c r="V2662" s="5" t="e">
        <f>IF(AND(#REF!&gt;=table!$C$11,#REF!&lt;= table!$D$11),-1,IF(AND(#REF!&gt;=table!$E$11,#REF!&lt;=table!$F$11),1,0))</f>
        <v>#REF!</v>
      </c>
      <c r="W2662" s="5" t="e">
        <f>CONCATENATE(dados[[#This Row],[fator1]],dados[[#This Row],[fator5]],dados[[#This Row],[fator6]])</f>
        <v>#REF!</v>
      </c>
    </row>
    <row r="2663" spans="1:23">
      <c r="A2663" t="s">
        <v>16</v>
      </c>
      <c r="B2663">
        <v>584819</v>
      </c>
      <c r="C2663">
        <v>7</v>
      </c>
      <c r="D2663">
        <v>33</v>
      </c>
      <c r="E2663">
        <v>150</v>
      </c>
      <c r="F2663">
        <v>4</v>
      </c>
      <c r="G2663">
        <v>0</v>
      </c>
      <c r="H2663">
        <v>25</v>
      </c>
      <c r="I2663">
        <v>948</v>
      </c>
      <c r="J2663">
        <v>0</v>
      </c>
      <c r="K2663">
        <v>2.3370000000000002</v>
      </c>
      <c r="L2663">
        <v>8.8150000000000013</v>
      </c>
      <c r="M2663">
        <v>140.5</v>
      </c>
      <c r="N2663">
        <v>9.75</v>
      </c>
      <c r="O2663">
        <v>1679</v>
      </c>
      <c r="P2663">
        <v>667</v>
      </c>
      <c r="Q2663" s="5" t="e">
        <f>IF(AND(#REF!&gt;=table!$C$6,#REF!&lt;= table!$D$6),-1,IF(AND(#REF!&gt;=table!$E$6,#REF!&lt;=table!$F$6),1,0))</f>
        <v>#REF!</v>
      </c>
      <c r="R2663" s="5" t="e">
        <f>IF(AND(#REF!&gt;=table!$C$7,#REF!&lt;= table!$D$7),-1,IF(AND(#REF!&gt;=table!$E$7,#REF!&lt;=table!$F$7),1,0))</f>
        <v>#REF!</v>
      </c>
      <c r="S2663" s="5" t="e">
        <f>IF(AND(#REF!&gt;=table!$C$8,#REF!&lt;= table!$D$8),-1,IF(AND(#REF!&gt;=table!$E$8,#REF!&lt;=table!$F$8),1,0))</f>
        <v>#REF!</v>
      </c>
      <c r="T2663" s="5"/>
      <c r="U2663" s="5" t="e">
        <f>IF(AND(#REF!&gt;=table!$C$10,#REF!&lt;= table!$D$10),-1,IF(AND(#REF!&gt;=table!$E$10,#REF!&lt;=table!$F$10),1,0))</f>
        <v>#REF!</v>
      </c>
      <c r="V2663" s="5" t="e">
        <f>IF(AND(#REF!&gt;=table!$C$11,#REF!&lt;= table!$D$11),-1,IF(AND(#REF!&gt;=table!$E$11,#REF!&lt;=table!$F$11),1,0))</f>
        <v>#REF!</v>
      </c>
      <c r="W2663" s="5" t="e">
        <f>CONCATENATE(dados[[#This Row],[fator1]],dados[[#This Row],[fator5]],dados[[#This Row],[fator6]])</f>
        <v>#REF!</v>
      </c>
    </row>
    <row r="2664" spans="1:23">
      <c r="A2664" t="s">
        <v>16</v>
      </c>
      <c r="B2664">
        <v>584822</v>
      </c>
      <c r="C2664">
        <v>0.15</v>
      </c>
      <c r="D2664">
        <v>40</v>
      </c>
      <c r="E2664">
        <v>64</v>
      </c>
      <c r="F2664">
        <v>10</v>
      </c>
      <c r="G2664">
        <v>0</v>
      </c>
      <c r="H2664">
        <v>35</v>
      </c>
      <c r="I2664">
        <v>937</v>
      </c>
      <c r="J2664">
        <v>0</v>
      </c>
      <c r="K2664">
        <v>2.17</v>
      </c>
      <c r="L2664">
        <v>9.25</v>
      </c>
      <c r="M2664">
        <v>8.4700000000000006</v>
      </c>
      <c r="N2664">
        <v>8.7750000000000004</v>
      </c>
      <c r="O2664">
        <v>1665</v>
      </c>
      <c r="P2664">
        <v>623</v>
      </c>
      <c r="Q2664" s="5" t="e">
        <f>IF(AND(#REF!&gt;=table!$C$6,#REF!&lt;= table!$D$6),-1,IF(AND(#REF!&gt;=table!$E$6,#REF!&lt;=table!$F$6),1,0))</f>
        <v>#REF!</v>
      </c>
      <c r="R2664" s="5" t="e">
        <f>IF(AND(#REF!&gt;=table!$C$7,#REF!&lt;= table!$D$7),-1,IF(AND(#REF!&gt;=table!$E$7,#REF!&lt;=table!$F$7),1,0))</f>
        <v>#REF!</v>
      </c>
      <c r="S2664" s="5" t="e">
        <f>IF(AND(#REF!&gt;=table!$C$8,#REF!&lt;= table!$D$8),-1,IF(AND(#REF!&gt;=table!$E$8,#REF!&lt;=table!$F$8),1,0))</f>
        <v>#REF!</v>
      </c>
      <c r="T2664" s="5"/>
      <c r="U2664" s="5" t="e">
        <f>IF(AND(#REF!&gt;=table!$C$10,#REF!&lt;= table!$D$10),-1,IF(AND(#REF!&gt;=table!$E$10,#REF!&lt;=table!$F$10),1,0))</f>
        <v>#REF!</v>
      </c>
      <c r="V2664" s="5" t="e">
        <f>IF(AND(#REF!&gt;=table!$C$11,#REF!&lt;= table!$D$11),-1,IF(AND(#REF!&gt;=table!$E$11,#REF!&lt;=table!$F$11),1,0))</f>
        <v>#REF!</v>
      </c>
      <c r="W2664" s="5" t="e">
        <f>CONCATENATE(dados[[#This Row],[fator1]],dados[[#This Row],[fator5]],dados[[#This Row],[fator6]])</f>
        <v>#REF!</v>
      </c>
    </row>
    <row r="2665" spans="1:23">
      <c r="A2665" t="s">
        <v>16</v>
      </c>
      <c r="B2665">
        <v>584824</v>
      </c>
      <c r="C2665">
        <v>0.15</v>
      </c>
      <c r="D2665">
        <v>40</v>
      </c>
      <c r="E2665">
        <v>64</v>
      </c>
      <c r="F2665">
        <v>10</v>
      </c>
      <c r="G2665">
        <v>0</v>
      </c>
      <c r="H2665">
        <v>35</v>
      </c>
      <c r="I2665">
        <v>158</v>
      </c>
      <c r="J2665">
        <v>0</v>
      </c>
      <c r="K2665">
        <v>5.5150000000000006</v>
      </c>
      <c r="L2665">
        <v>24.435000000000002</v>
      </c>
      <c r="M2665">
        <v>16.600000000000001</v>
      </c>
      <c r="N2665">
        <v>17.2</v>
      </c>
      <c r="O2665">
        <v>1701</v>
      </c>
      <c r="P2665">
        <v>602</v>
      </c>
      <c r="Q2665" s="5" t="e">
        <f>IF(AND(#REF!&gt;=table!$C$6,#REF!&lt;= table!$D$6),-1,IF(AND(#REF!&gt;=table!$E$6,#REF!&lt;=table!$F$6),1,0))</f>
        <v>#REF!</v>
      </c>
      <c r="R2665" s="5" t="e">
        <f>IF(AND(#REF!&gt;=table!$C$7,#REF!&lt;= table!$D$7),-1,IF(AND(#REF!&gt;=table!$E$7,#REF!&lt;=table!$F$7),1,0))</f>
        <v>#REF!</v>
      </c>
      <c r="S2665" s="5" t="e">
        <f>IF(AND(#REF!&gt;=table!$C$8,#REF!&lt;= table!$D$8),-1,IF(AND(#REF!&gt;=table!$E$8,#REF!&lt;=table!$F$8),1,0))</f>
        <v>#REF!</v>
      </c>
      <c r="T2665" s="5"/>
      <c r="U2665" s="5" t="e">
        <f>IF(AND(#REF!&gt;=table!$C$10,#REF!&lt;= table!$D$10),-1,IF(AND(#REF!&gt;=table!$E$10,#REF!&lt;=table!$F$10),1,0))</f>
        <v>#REF!</v>
      </c>
      <c r="V2665" s="5" t="e">
        <f>IF(AND(#REF!&gt;=table!$C$11,#REF!&lt;= table!$D$11),-1,IF(AND(#REF!&gt;=table!$E$11,#REF!&lt;=table!$F$11),1,0))</f>
        <v>#REF!</v>
      </c>
      <c r="W2665" s="5" t="e">
        <f>CONCATENATE(dados[[#This Row],[fator1]],dados[[#This Row],[fator5]],dados[[#This Row],[fator6]])</f>
        <v>#REF!</v>
      </c>
    </row>
    <row r="2666" spans="1:23">
      <c r="A2666" t="s">
        <v>16</v>
      </c>
      <c r="B2666">
        <v>584827</v>
      </c>
      <c r="C2666">
        <v>0.15</v>
      </c>
      <c r="D2666">
        <v>40</v>
      </c>
      <c r="E2666">
        <v>64</v>
      </c>
      <c r="F2666">
        <v>10</v>
      </c>
      <c r="G2666">
        <v>0</v>
      </c>
      <c r="H2666">
        <v>35</v>
      </c>
      <c r="I2666">
        <v>51</v>
      </c>
      <c r="J2666">
        <v>0</v>
      </c>
      <c r="K2666">
        <v>2.524</v>
      </c>
      <c r="L2666">
        <v>11.69</v>
      </c>
      <c r="M2666">
        <v>11.01</v>
      </c>
      <c r="N2666">
        <v>10.49</v>
      </c>
      <c r="O2666">
        <v>1674</v>
      </c>
      <c r="P2666">
        <v>0</v>
      </c>
      <c r="Q2666" s="5" t="e">
        <f>IF(AND(#REF!&gt;=table!$C$6,#REF!&lt;= table!$D$6),-1,IF(AND(#REF!&gt;=table!$E$6,#REF!&lt;=table!$F$6),1,0))</f>
        <v>#REF!</v>
      </c>
      <c r="R2666" s="5" t="e">
        <f>IF(AND(#REF!&gt;=table!$C$7,#REF!&lt;= table!$D$7),-1,IF(AND(#REF!&gt;=table!$E$7,#REF!&lt;=table!$F$7),1,0))</f>
        <v>#REF!</v>
      </c>
      <c r="S2666" s="5" t="e">
        <f>IF(AND(#REF!&gt;=table!$C$8,#REF!&lt;= table!$D$8),-1,IF(AND(#REF!&gt;=table!$E$8,#REF!&lt;=table!$F$8),1,0))</f>
        <v>#REF!</v>
      </c>
      <c r="T2666" s="5"/>
      <c r="U2666" s="5" t="e">
        <f>IF(AND(#REF!&gt;=table!$C$10,#REF!&lt;= table!$D$10),-1,IF(AND(#REF!&gt;=table!$E$10,#REF!&lt;=table!$F$10),1,0))</f>
        <v>#REF!</v>
      </c>
      <c r="V2666" s="5" t="e">
        <f>IF(AND(#REF!&gt;=table!$C$11,#REF!&lt;= table!$D$11),-1,IF(AND(#REF!&gt;=table!$E$11,#REF!&lt;=table!$F$11),1,0))</f>
        <v>#REF!</v>
      </c>
      <c r="W2666" s="5" t="e">
        <f>CONCATENATE(dados[[#This Row],[fator1]],dados[[#This Row],[fator5]],dados[[#This Row],[fator6]])</f>
        <v>#REF!</v>
      </c>
    </row>
    <row r="2667" spans="1:23">
      <c r="A2667" t="s">
        <v>17</v>
      </c>
      <c r="B2667">
        <v>584829</v>
      </c>
      <c r="C2667">
        <v>14</v>
      </c>
      <c r="D2667">
        <v>30</v>
      </c>
      <c r="E2667">
        <v>110</v>
      </c>
      <c r="F2667">
        <v>3</v>
      </c>
      <c r="G2667">
        <v>20</v>
      </c>
      <c r="H2667">
        <v>22</v>
      </c>
      <c r="I2667">
        <v>31</v>
      </c>
      <c r="J2667">
        <v>0</v>
      </c>
      <c r="K2667">
        <v>2.3330000000000002</v>
      </c>
      <c r="L2667">
        <v>7.75</v>
      </c>
      <c r="M2667">
        <v>86.454999999999998</v>
      </c>
      <c r="N2667">
        <v>7.8550000000000004</v>
      </c>
      <c r="O2667">
        <v>1656</v>
      </c>
      <c r="P2667">
        <v>0</v>
      </c>
      <c r="Q2667" s="5" t="e">
        <f>IF(AND(#REF!&gt;=table!$C$6,#REF!&lt;= table!$D$6),-1,IF(AND(#REF!&gt;=table!$E$6,#REF!&lt;=table!$F$6),1,0))</f>
        <v>#REF!</v>
      </c>
      <c r="R2667" s="5" t="e">
        <f>IF(AND(#REF!&gt;=table!$C$7,#REF!&lt;= table!$D$7),-1,IF(AND(#REF!&gt;=table!$E$7,#REF!&lt;=table!$F$7),1,0))</f>
        <v>#REF!</v>
      </c>
      <c r="S2667" s="5" t="e">
        <f>IF(AND(#REF!&gt;=table!$C$8,#REF!&lt;= table!$D$8),-1,IF(AND(#REF!&gt;=table!$E$8,#REF!&lt;=table!$F$8),1,0))</f>
        <v>#REF!</v>
      </c>
      <c r="T2667" s="5"/>
      <c r="U2667" s="5" t="e">
        <f>IF(AND(#REF!&gt;=table!$C$10,#REF!&lt;= table!$D$10),-1,IF(AND(#REF!&gt;=table!$E$10,#REF!&lt;=table!$F$10),1,0))</f>
        <v>#REF!</v>
      </c>
      <c r="V2667" s="5" t="e">
        <f>IF(AND(#REF!&gt;=table!$C$11,#REF!&lt;= table!$D$11),-1,IF(AND(#REF!&gt;=table!$E$11,#REF!&lt;=table!$F$11),1,0))</f>
        <v>#REF!</v>
      </c>
      <c r="W2667" s="5" t="e">
        <f>CONCATENATE(dados[[#This Row],[fator1]],dados[[#This Row],[fator5]],dados[[#This Row],[fator6]])</f>
        <v>#REF!</v>
      </c>
    </row>
    <row r="2668" spans="1:23">
      <c r="A2668" t="s">
        <v>17</v>
      </c>
      <c r="B2668">
        <v>584830</v>
      </c>
      <c r="C2668">
        <v>14</v>
      </c>
      <c r="D2668">
        <v>30</v>
      </c>
      <c r="E2668">
        <v>110</v>
      </c>
      <c r="F2668">
        <v>3</v>
      </c>
      <c r="G2668">
        <v>20</v>
      </c>
      <c r="H2668">
        <v>22</v>
      </c>
      <c r="I2668">
        <v>412</v>
      </c>
      <c r="J2668">
        <v>0</v>
      </c>
      <c r="K2668">
        <v>1.7745000000000002</v>
      </c>
      <c r="L2668">
        <v>12.455</v>
      </c>
      <c r="M2668">
        <v>81.745000000000005</v>
      </c>
      <c r="N2668">
        <v>12.935</v>
      </c>
      <c r="O2668">
        <v>1683</v>
      </c>
      <c r="P2668">
        <v>554</v>
      </c>
      <c r="Q2668" s="5" t="e">
        <f>IF(AND(#REF!&gt;=table!$C$6,#REF!&lt;= table!$D$6),-1,IF(AND(#REF!&gt;=table!$E$6,#REF!&lt;=table!$F$6),1,0))</f>
        <v>#REF!</v>
      </c>
      <c r="R2668" s="5" t="e">
        <f>IF(AND(#REF!&gt;=table!$C$7,#REF!&lt;= table!$D$7),-1,IF(AND(#REF!&gt;=table!$E$7,#REF!&lt;=table!$F$7),1,0))</f>
        <v>#REF!</v>
      </c>
      <c r="S2668" s="5" t="e">
        <f>IF(AND(#REF!&gt;=table!$C$8,#REF!&lt;= table!$D$8),-1,IF(AND(#REF!&gt;=table!$E$8,#REF!&lt;=table!$F$8),1,0))</f>
        <v>#REF!</v>
      </c>
      <c r="T2668" s="5"/>
      <c r="U2668" s="5" t="e">
        <f>IF(AND(#REF!&gt;=table!$C$10,#REF!&lt;= table!$D$10),-1,IF(AND(#REF!&gt;=table!$E$10,#REF!&lt;=table!$F$10),1,0))</f>
        <v>#REF!</v>
      </c>
      <c r="V2668" s="5" t="e">
        <f>IF(AND(#REF!&gt;=table!$C$11,#REF!&lt;= table!$D$11),-1,IF(AND(#REF!&gt;=table!$E$11,#REF!&lt;=table!$F$11),1,0))</f>
        <v>#REF!</v>
      </c>
      <c r="W2668" s="5" t="e">
        <f>CONCATENATE(dados[[#This Row],[fator1]],dados[[#This Row],[fator5]],dados[[#This Row],[fator6]])</f>
        <v>#REF!</v>
      </c>
    </row>
    <row r="2669" spans="1:23">
      <c r="A2669" t="s">
        <v>17</v>
      </c>
      <c r="B2669">
        <v>584831</v>
      </c>
      <c r="C2669">
        <v>14</v>
      </c>
      <c r="D2669">
        <v>30</v>
      </c>
      <c r="E2669">
        <v>110</v>
      </c>
      <c r="F2669">
        <v>3</v>
      </c>
      <c r="G2669">
        <v>20</v>
      </c>
      <c r="H2669">
        <v>22</v>
      </c>
      <c r="I2669">
        <v>19</v>
      </c>
      <c r="J2669">
        <v>0</v>
      </c>
      <c r="K2669">
        <v>2.3235000000000001</v>
      </c>
      <c r="L2669">
        <v>13.815000000000001</v>
      </c>
      <c r="M2669">
        <v>73.150000000000006</v>
      </c>
      <c r="N2669">
        <v>9.8350000000000009</v>
      </c>
      <c r="O2669">
        <v>1669</v>
      </c>
      <c r="P2669">
        <v>604</v>
      </c>
      <c r="Q2669" s="5" t="e">
        <f>IF(AND(#REF!&gt;=table!$C$6,#REF!&lt;= table!$D$6),-1,IF(AND(#REF!&gt;=table!$E$6,#REF!&lt;=table!$F$6),1,0))</f>
        <v>#REF!</v>
      </c>
      <c r="R2669" s="5" t="e">
        <f>IF(AND(#REF!&gt;=table!$C$7,#REF!&lt;= table!$D$7),-1,IF(AND(#REF!&gt;=table!$E$7,#REF!&lt;=table!$F$7),1,0))</f>
        <v>#REF!</v>
      </c>
      <c r="S2669" s="5" t="e">
        <f>IF(AND(#REF!&gt;=table!$C$8,#REF!&lt;= table!$D$8),-1,IF(AND(#REF!&gt;=table!$E$8,#REF!&lt;=table!$F$8),1,0))</f>
        <v>#REF!</v>
      </c>
      <c r="T2669" s="5"/>
      <c r="U2669" s="5" t="e">
        <f>IF(AND(#REF!&gt;=table!$C$10,#REF!&lt;= table!$D$10),-1,IF(AND(#REF!&gt;=table!$E$10,#REF!&lt;=table!$F$10),1,0))</f>
        <v>#REF!</v>
      </c>
      <c r="V2669" s="5" t="e">
        <f>IF(AND(#REF!&gt;=table!$C$11,#REF!&lt;= table!$D$11),-1,IF(AND(#REF!&gt;=table!$E$11,#REF!&lt;=table!$F$11),1,0))</f>
        <v>#REF!</v>
      </c>
      <c r="W2669" s="5" t="e">
        <f>CONCATENATE(dados[[#This Row],[fator1]],dados[[#This Row],[fator5]],dados[[#This Row],[fator6]])</f>
        <v>#REF!</v>
      </c>
    </row>
    <row r="2670" spans="1:23">
      <c r="A2670" t="s">
        <v>16</v>
      </c>
      <c r="B2670">
        <v>584835</v>
      </c>
      <c r="C2670">
        <v>8</v>
      </c>
      <c r="D2670">
        <v>27</v>
      </c>
      <c r="E2670">
        <v>65</v>
      </c>
      <c r="F2670">
        <v>8</v>
      </c>
      <c r="G2670">
        <v>0</v>
      </c>
      <c r="H2670">
        <v>25</v>
      </c>
      <c r="I2670">
        <v>1434</v>
      </c>
      <c r="J2670">
        <v>0</v>
      </c>
      <c r="K2670">
        <v>2.5155000000000003</v>
      </c>
      <c r="L2670">
        <v>9.8350000000000009</v>
      </c>
      <c r="M2670">
        <v>52.02</v>
      </c>
      <c r="N2670">
        <v>9.68</v>
      </c>
      <c r="O2670">
        <v>1656</v>
      </c>
      <c r="P2670">
        <v>0</v>
      </c>
      <c r="Q2670" s="5" t="e">
        <f>IF(AND(#REF!&gt;=table!$C$6,#REF!&lt;= table!$D$6),-1,IF(AND(#REF!&gt;=table!$E$6,#REF!&lt;=table!$F$6),1,0))</f>
        <v>#REF!</v>
      </c>
      <c r="R2670" s="5" t="e">
        <f>IF(AND(#REF!&gt;=table!$C$7,#REF!&lt;= table!$D$7),-1,IF(AND(#REF!&gt;=table!$E$7,#REF!&lt;=table!$F$7),1,0))</f>
        <v>#REF!</v>
      </c>
      <c r="S2670" s="5" t="e">
        <f>IF(AND(#REF!&gt;=table!$C$8,#REF!&lt;= table!$D$8),-1,IF(AND(#REF!&gt;=table!$E$8,#REF!&lt;=table!$F$8),1,0))</f>
        <v>#REF!</v>
      </c>
      <c r="T2670" s="5"/>
      <c r="U2670" s="5" t="e">
        <f>IF(AND(#REF!&gt;=table!$C$10,#REF!&lt;= table!$D$10),-1,IF(AND(#REF!&gt;=table!$E$10,#REF!&lt;=table!$F$10),1,0))</f>
        <v>#REF!</v>
      </c>
      <c r="V2670" s="5" t="e">
        <f>IF(AND(#REF!&gt;=table!$C$11,#REF!&lt;= table!$D$11),-1,IF(AND(#REF!&gt;=table!$E$11,#REF!&lt;=table!$F$11),1,0))</f>
        <v>#REF!</v>
      </c>
      <c r="W2670" s="5" t="e">
        <f>CONCATENATE(dados[[#This Row],[fator1]],dados[[#This Row],[fator5]],dados[[#This Row],[fator6]])</f>
        <v>#REF!</v>
      </c>
    </row>
    <row r="2671" spans="1:23">
      <c r="A2671" t="s">
        <v>16</v>
      </c>
      <c r="B2671">
        <v>584838</v>
      </c>
      <c r="C2671">
        <v>8</v>
      </c>
      <c r="D2671">
        <v>27</v>
      </c>
      <c r="E2671">
        <v>61</v>
      </c>
      <c r="F2671">
        <v>8</v>
      </c>
      <c r="G2671">
        <v>0</v>
      </c>
      <c r="H2671">
        <v>25</v>
      </c>
      <c r="I2671">
        <v>1647</v>
      </c>
      <c r="J2671">
        <v>900</v>
      </c>
      <c r="K2671">
        <v>3.3650000000000002</v>
      </c>
      <c r="L2671">
        <v>11.05</v>
      </c>
      <c r="M2671">
        <v>48.055</v>
      </c>
      <c r="N2671">
        <v>15.965000000000002</v>
      </c>
      <c r="O2671">
        <v>1645</v>
      </c>
      <c r="P2671">
        <v>644</v>
      </c>
      <c r="Q2671" s="5" t="e">
        <f>IF(AND(#REF!&gt;=table!$C$6,#REF!&lt;= table!$D$6),-1,IF(AND(#REF!&gt;=table!$E$6,#REF!&lt;=table!$F$6),1,0))</f>
        <v>#REF!</v>
      </c>
      <c r="R2671" s="5" t="e">
        <f>IF(AND(#REF!&gt;=table!$C$7,#REF!&lt;= table!$D$7),-1,IF(AND(#REF!&gt;=table!$E$7,#REF!&lt;=table!$F$7),1,0))</f>
        <v>#REF!</v>
      </c>
      <c r="S2671" s="5" t="e">
        <f>IF(AND(#REF!&gt;=table!$C$8,#REF!&lt;= table!$D$8),-1,IF(AND(#REF!&gt;=table!$E$8,#REF!&lt;=table!$F$8),1,0))</f>
        <v>#REF!</v>
      </c>
      <c r="T2671" s="5"/>
      <c r="U2671" s="5" t="e">
        <f>IF(AND(#REF!&gt;=table!$C$10,#REF!&lt;= table!$D$10),-1,IF(AND(#REF!&gt;=table!$E$10,#REF!&lt;=table!$F$10),1,0))</f>
        <v>#REF!</v>
      </c>
      <c r="V2671" s="5" t="e">
        <f>IF(AND(#REF!&gt;=table!$C$11,#REF!&lt;= table!$D$11),-1,IF(AND(#REF!&gt;=table!$E$11,#REF!&lt;=table!$F$11),1,0))</f>
        <v>#REF!</v>
      </c>
      <c r="W2671" s="5" t="e">
        <f>CONCATENATE(dados[[#This Row],[fator1]],dados[[#This Row],[fator5]],dados[[#This Row],[fator6]])</f>
        <v>#REF!</v>
      </c>
    </row>
    <row r="2672" spans="1:23">
      <c r="A2672" t="s">
        <v>16</v>
      </c>
      <c r="B2672">
        <v>584839</v>
      </c>
      <c r="C2672">
        <v>6</v>
      </c>
      <c r="D2672">
        <v>40</v>
      </c>
      <c r="E2672">
        <v>66</v>
      </c>
      <c r="F2672">
        <v>10</v>
      </c>
      <c r="G2672">
        <v>0</v>
      </c>
      <c r="H2672">
        <v>25</v>
      </c>
      <c r="I2672">
        <v>1</v>
      </c>
      <c r="J2672">
        <v>0</v>
      </c>
      <c r="K2672">
        <v>2.1145</v>
      </c>
      <c r="L2672">
        <v>14.18</v>
      </c>
      <c r="M2672">
        <v>54.19</v>
      </c>
      <c r="N2672">
        <v>15.985000000000001</v>
      </c>
      <c r="O2672">
        <v>1686</v>
      </c>
      <c r="P2672">
        <v>0</v>
      </c>
      <c r="Q2672" s="5" t="e">
        <f>IF(AND(#REF!&gt;=table!$C$6,#REF!&lt;= table!$D$6),-1,IF(AND(#REF!&gt;=table!$E$6,#REF!&lt;=table!$F$6),1,0))</f>
        <v>#REF!</v>
      </c>
      <c r="R2672" s="5" t="e">
        <f>IF(AND(#REF!&gt;=table!$C$7,#REF!&lt;= table!$D$7),-1,IF(AND(#REF!&gt;=table!$E$7,#REF!&lt;=table!$F$7),1,0))</f>
        <v>#REF!</v>
      </c>
      <c r="S2672" s="5" t="e">
        <f>IF(AND(#REF!&gt;=table!$C$8,#REF!&lt;= table!$D$8),-1,IF(AND(#REF!&gt;=table!$E$8,#REF!&lt;=table!$F$8),1,0))</f>
        <v>#REF!</v>
      </c>
      <c r="T2672" s="5"/>
      <c r="U2672" s="5" t="e">
        <f>IF(AND(#REF!&gt;=table!$C$10,#REF!&lt;= table!$D$10),-1,IF(AND(#REF!&gt;=table!$E$10,#REF!&lt;=table!$F$10),1,0))</f>
        <v>#REF!</v>
      </c>
      <c r="V2672" s="5" t="e">
        <f>IF(AND(#REF!&gt;=table!$C$11,#REF!&lt;= table!$D$11),-1,IF(AND(#REF!&gt;=table!$E$11,#REF!&lt;=table!$F$11),1,0))</f>
        <v>#REF!</v>
      </c>
      <c r="W2672" s="5" t="e">
        <f>CONCATENATE(dados[[#This Row],[fator1]],dados[[#This Row],[fator5]],dados[[#This Row],[fator6]])</f>
        <v>#REF!</v>
      </c>
    </row>
    <row r="2673" spans="1:23">
      <c r="A2673" t="s">
        <v>16</v>
      </c>
      <c r="B2673">
        <v>584841</v>
      </c>
      <c r="C2673">
        <v>6</v>
      </c>
      <c r="D2673">
        <v>40</v>
      </c>
      <c r="E2673">
        <v>66</v>
      </c>
      <c r="F2673">
        <v>10</v>
      </c>
      <c r="G2673">
        <v>0</v>
      </c>
      <c r="H2673">
        <v>25</v>
      </c>
      <c r="I2673">
        <v>399</v>
      </c>
      <c r="J2673">
        <v>0</v>
      </c>
      <c r="K2673">
        <v>2.5855000000000001</v>
      </c>
      <c r="L2673">
        <v>13.685</v>
      </c>
      <c r="M2673">
        <v>51.435000000000002</v>
      </c>
      <c r="N2673">
        <v>14.665000000000001</v>
      </c>
      <c r="O2673">
        <v>1664</v>
      </c>
      <c r="P2673">
        <v>539</v>
      </c>
      <c r="Q2673" s="5" t="e">
        <f>IF(AND(#REF!&gt;=table!$C$6,#REF!&lt;= table!$D$6),-1,IF(AND(#REF!&gt;=table!$E$6,#REF!&lt;=table!$F$6),1,0))</f>
        <v>#REF!</v>
      </c>
      <c r="R2673" s="5" t="e">
        <f>IF(AND(#REF!&gt;=table!$C$7,#REF!&lt;= table!$D$7),-1,IF(AND(#REF!&gt;=table!$E$7,#REF!&lt;=table!$F$7),1,0))</f>
        <v>#REF!</v>
      </c>
      <c r="S2673" s="5" t="e">
        <f>IF(AND(#REF!&gt;=table!$C$8,#REF!&lt;= table!$D$8),-1,IF(AND(#REF!&gt;=table!$E$8,#REF!&lt;=table!$F$8),1,0))</f>
        <v>#REF!</v>
      </c>
      <c r="T2673" s="5"/>
      <c r="U2673" s="5" t="e">
        <f>IF(AND(#REF!&gt;=table!$C$10,#REF!&lt;= table!$D$10),-1,IF(AND(#REF!&gt;=table!$E$10,#REF!&lt;=table!$F$10),1,0))</f>
        <v>#REF!</v>
      </c>
      <c r="V2673" s="5" t="e">
        <f>IF(AND(#REF!&gt;=table!$C$11,#REF!&lt;= table!$D$11),-1,IF(AND(#REF!&gt;=table!$E$11,#REF!&lt;=table!$F$11),1,0))</f>
        <v>#REF!</v>
      </c>
      <c r="W2673" s="5" t="e">
        <f>CONCATENATE(dados[[#This Row],[fator1]],dados[[#This Row],[fator5]],dados[[#This Row],[fator6]])</f>
        <v>#REF!</v>
      </c>
    </row>
    <row r="2674" spans="1:23">
      <c r="A2674" t="s">
        <v>17</v>
      </c>
      <c r="B2674">
        <v>584842</v>
      </c>
      <c r="C2674">
        <v>13</v>
      </c>
      <c r="D2674">
        <v>30</v>
      </c>
      <c r="E2674">
        <v>150</v>
      </c>
      <c r="F2674">
        <v>4</v>
      </c>
      <c r="G2674">
        <v>20</v>
      </c>
      <c r="H2674">
        <v>25</v>
      </c>
      <c r="I2674">
        <v>1340</v>
      </c>
      <c r="J2674">
        <v>0</v>
      </c>
      <c r="K2674">
        <v>4.71</v>
      </c>
      <c r="L2674">
        <v>12.645000000000001</v>
      </c>
      <c r="M2674">
        <v>146.15</v>
      </c>
      <c r="N2674">
        <v>12.75</v>
      </c>
      <c r="O2674">
        <v>1689</v>
      </c>
      <c r="P2674">
        <v>0</v>
      </c>
      <c r="Q2674" s="5" t="e">
        <f>IF(AND(#REF!&gt;=table!$C$6,#REF!&lt;= table!$D$6),-1,IF(AND(#REF!&gt;=table!$E$6,#REF!&lt;=table!$F$6),1,0))</f>
        <v>#REF!</v>
      </c>
      <c r="R2674" s="5" t="e">
        <f>IF(AND(#REF!&gt;=table!$C$7,#REF!&lt;= table!$D$7),-1,IF(AND(#REF!&gt;=table!$E$7,#REF!&lt;=table!$F$7),1,0))</f>
        <v>#REF!</v>
      </c>
      <c r="S2674" s="5" t="e">
        <f>IF(AND(#REF!&gt;=table!$C$8,#REF!&lt;= table!$D$8),-1,IF(AND(#REF!&gt;=table!$E$8,#REF!&lt;=table!$F$8),1,0))</f>
        <v>#REF!</v>
      </c>
      <c r="T2674" s="5"/>
      <c r="U2674" s="5" t="e">
        <f>IF(AND(#REF!&gt;=table!$C$10,#REF!&lt;= table!$D$10),-1,IF(AND(#REF!&gt;=table!$E$10,#REF!&lt;=table!$F$10),1,0))</f>
        <v>#REF!</v>
      </c>
      <c r="V2674" s="5" t="e">
        <f>IF(AND(#REF!&gt;=table!$C$11,#REF!&lt;= table!$D$11),-1,IF(AND(#REF!&gt;=table!$E$11,#REF!&lt;=table!$F$11),1,0))</f>
        <v>#REF!</v>
      </c>
      <c r="W2674" s="5" t="e">
        <f>CONCATENATE(dados[[#This Row],[fator1]],dados[[#This Row],[fator5]],dados[[#This Row],[fator6]])</f>
        <v>#REF!</v>
      </c>
    </row>
    <row r="2675" spans="1:23">
      <c r="A2675" t="s">
        <v>17</v>
      </c>
      <c r="B2675">
        <v>584849</v>
      </c>
      <c r="C2675">
        <v>16</v>
      </c>
      <c r="D2675">
        <v>25</v>
      </c>
      <c r="E2675">
        <v>56</v>
      </c>
      <c r="F2675">
        <v>10</v>
      </c>
      <c r="G2675">
        <v>13</v>
      </c>
      <c r="H2675">
        <v>25</v>
      </c>
      <c r="I2675">
        <v>0</v>
      </c>
      <c r="J2675">
        <v>0</v>
      </c>
      <c r="K2675">
        <v>3.6850000000000001</v>
      </c>
      <c r="L2675">
        <v>13.65</v>
      </c>
      <c r="M2675">
        <v>53.15</v>
      </c>
      <c r="N2675">
        <v>13.200000000000001</v>
      </c>
      <c r="O2675">
        <v>1701</v>
      </c>
      <c r="P2675">
        <v>0</v>
      </c>
      <c r="Q2675" s="5" t="e">
        <f>IF(AND(#REF!&gt;=table!$C$6,#REF!&lt;= table!$D$6),-1,IF(AND(#REF!&gt;=table!$E$6,#REF!&lt;=table!$F$6),1,0))</f>
        <v>#REF!</v>
      </c>
      <c r="R2675" s="5" t="e">
        <f>IF(AND(#REF!&gt;=table!$C$7,#REF!&lt;= table!$D$7),-1,IF(AND(#REF!&gt;=table!$E$7,#REF!&lt;=table!$F$7),1,0))</f>
        <v>#REF!</v>
      </c>
      <c r="S2675" s="5" t="e">
        <f>IF(AND(#REF!&gt;=table!$C$8,#REF!&lt;= table!$D$8),-1,IF(AND(#REF!&gt;=table!$E$8,#REF!&lt;=table!$F$8),1,0))</f>
        <v>#REF!</v>
      </c>
      <c r="T2675" s="5"/>
      <c r="U2675" s="5" t="e">
        <f>IF(AND(#REF!&gt;=table!$C$10,#REF!&lt;= table!$D$10),-1,IF(AND(#REF!&gt;=table!$E$10,#REF!&lt;=table!$F$10),1,0))</f>
        <v>#REF!</v>
      </c>
      <c r="V2675" s="5" t="e">
        <f>IF(AND(#REF!&gt;=table!$C$11,#REF!&lt;= table!$D$11),-1,IF(AND(#REF!&gt;=table!$E$11,#REF!&lt;=table!$F$11),1,0))</f>
        <v>#REF!</v>
      </c>
      <c r="W2675" s="5" t="e">
        <f>CONCATENATE(dados[[#This Row],[fator1]],dados[[#This Row],[fator5]],dados[[#This Row],[fator6]])</f>
        <v>#REF!</v>
      </c>
    </row>
    <row r="2676" spans="1:23">
      <c r="A2676" t="s">
        <v>17</v>
      </c>
      <c r="B2676">
        <v>584854</v>
      </c>
      <c r="C2676">
        <v>12</v>
      </c>
      <c r="D2676">
        <v>25</v>
      </c>
      <c r="E2676">
        <v>120</v>
      </c>
      <c r="F2676">
        <v>9</v>
      </c>
      <c r="G2676">
        <v>110</v>
      </c>
      <c r="H2676">
        <v>50</v>
      </c>
      <c r="I2676">
        <v>0</v>
      </c>
      <c r="J2676">
        <v>0</v>
      </c>
      <c r="K2676">
        <v>4.3899999999999997</v>
      </c>
      <c r="L2676">
        <v>19.195</v>
      </c>
      <c r="M2676">
        <v>113.4</v>
      </c>
      <c r="N2676">
        <v>23.7</v>
      </c>
      <c r="O2676">
        <v>1686</v>
      </c>
      <c r="P2676">
        <v>516</v>
      </c>
      <c r="Q2676" s="5" t="e">
        <f>IF(AND(#REF!&gt;=table!$C$6,#REF!&lt;= table!$D$6),-1,IF(AND(#REF!&gt;=table!$E$6,#REF!&lt;=table!$F$6),1,0))</f>
        <v>#REF!</v>
      </c>
      <c r="R2676" s="5" t="e">
        <f>IF(AND(#REF!&gt;=table!$C$7,#REF!&lt;= table!$D$7),-1,IF(AND(#REF!&gt;=table!$E$7,#REF!&lt;=table!$F$7),1,0))</f>
        <v>#REF!</v>
      </c>
      <c r="S2676" s="5" t="e">
        <f>IF(AND(#REF!&gt;=table!$C$8,#REF!&lt;= table!$D$8),-1,IF(AND(#REF!&gt;=table!$E$8,#REF!&lt;=table!$F$8),1,0))</f>
        <v>#REF!</v>
      </c>
      <c r="T2676" s="5"/>
      <c r="U2676" s="5" t="e">
        <f>IF(AND(#REF!&gt;=table!$C$10,#REF!&lt;= table!$D$10),-1,IF(AND(#REF!&gt;=table!$E$10,#REF!&lt;=table!$F$10),1,0))</f>
        <v>#REF!</v>
      </c>
      <c r="V2676" s="5" t="e">
        <f>IF(AND(#REF!&gt;=table!$C$11,#REF!&lt;= table!$D$11),-1,IF(AND(#REF!&gt;=table!$E$11,#REF!&lt;=table!$F$11),1,0))</f>
        <v>#REF!</v>
      </c>
      <c r="W2676" s="5" t="e">
        <f>CONCATENATE(dados[[#This Row],[fator1]],dados[[#This Row],[fator5]],dados[[#This Row],[fator6]])</f>
        <v>#REF!</v>
      </c>
    </row>
    <row r="2677" spans="1:23">
      <c r="A2677" t="s">
        <v>17</v>
      </c>
      <c r="B2677">
        <v>584855</v>
      </c>
      <c r="C2677">
        <v>12</v>
      </c>
      <c r="D2677">
        <v>25</v>
      </c>
      <c r="E2677">
        <v>120</v>
      </c>
      <c r="F2677">
        <v>9</v>
      </c>
      <c r="G2677">
        <v>110</v>
      </c>
      <c r="H2677">
        <v>50</v>
      </c>
      <c r="I2677">
        <v>199</v>
      </c>
      <c r="J2677">
        <v>0</v>
      </c>
      <c r="K2677">
        <v>4.68</v>
      </c>
      <c r="L2677">
        <v>17.615000000000002</v>
      </c>
      <c r="M2677">
        <v>105.60000000000001</v>
      </c>
      <c r="N2677">
        <v>24.7</v>
      </c>
      <c r="O2677">
        <v>1669</v>
      </c>
      <c r="P2677">
        <v>392</v>
      </c>
      <c r="Q2677" s="5" t="e">
        <f>IF(AND(#REF!&gt;=table!$C$6,#REF!&lt;= table!$D$6),-1,IF(AND(#REF!&gt;=table!$E$6,#REF!&lt;=table!$F$6),1,0))</f>
        <v>#REF!</v>
      </c>
      <c r="R2677" s="5" t="e">
        <f>IF(AND(#REF!&gt;=table!$C$7,#REF!&lt;= table!$D$7),-1,IF(AND(#REF!&gt;=table!$E$7,#REF!&lt;=table!$F$7),1,0))</f>
        <v>#REF!</v>
      </c>
      <c r="S2677" s="5" t="e">
        <f>IF(AND(#REF!&gt;=table!$C$8,#REF!&lt;= table!$D$8),-1,IF(AND(#REF!&gt;=table!$E$8,#REF!&lt;=table!$F$8),1,0))</f>
        <v>#REF!</v>
      </c>
      <c r="T2677" s="5"/>
      <c r="U2677" s="5" t="e">
        <f>IF(AND(#REF!&gt;=table!$C$10,#REF!&lt;= table!$D$10),-1,IF(AND(#REF!&gt;=table!$E$10,#REF!&lt;=table!$F$10),1,0))</f>
        <v>#REF!</v>
      </c>
      <c r="V2677" s="5" t="e">
        <f>IF(AND(#REF!&gt;=table!$C$11,#REF!&lt;= table!$D$11),-1,IF(AND(#REF!&gt;=table!$E$11,#REF!&lt;=table!$F$11),1,0))</f>
        <v>#REF!</v>
      </c>
      <c r="W2677" s="5" t="e">
        <f>CONCATENATE(dados[[#This Row],[fator1]],dados[[#This Row],[fator5]],dados[[#This Row],[fator6]])</f>
        <v>#REF!</v>
      </c>
    </row>
    <row r="2678" spans="1:23">
      <c r="A2678" t="s">
        <v>17</v>
      </c>
      <c r="B2678">
        <v>584856</v>
      </c>
      <c r="C2678">
        <v>10</v>
      </c>
      <c r="D2678">
        <v>25</v>
      </c>
      <c r="E2678">
        <v>134</v>
      </c>
      <c r="F2678">
        <v>9</v>
      </c>
      <c r="G2678">
        <v>110</v>
      </c>
      <c r="H2678">
        <v>50</v>
      </c>
      <c r="I2678">
        <v>466</v>
      </c>
      <c r="J2678">
        <v>0</v>
      </c>
      <c r="K2678">
        <v>3.74</v>
      </c>
      <c r="L2678">
        <v>14.8</v>
      </c>
      <c r="M2678">
        <v>124.60000000000001</v>
      </c>
      <c r="N2678">
        <v>36.15</v>
      </c>
      <c r="O2678">
        <v>1670</v>
      </c>
      <c r="P2678">
        <v>338</v>
      </c>
      <c r="Q2678" s="5" t="e">
        <f>IF(AND(#REF!&gt;=table!$C$6,#REF!&lt;= table!$D$6),-1,IF(AND(#REF!&gt;=table!$E$6,#REF!&lt;=table!$F$6),1,0))</f>
        <v>#REF!</v>
      </c>
      <c r="R2678" s="5" t="e">
        <f>IF(AND(#REF!&gt;=table!$C$7,#REF!&lt;= table!$D$7),-1,IF(AND(#REF!&gt;=table!$E$7,#REF!&lt;=table!$F$7),1,0))</f>
        <v>#REF!</v>
      </c>
      <c r="S2678" s="5" t="e">
        <f>IF(AND(#REF!&gt;=table!$C$8,#REF!&lt;= table!$D$8),-1,IF(AND(#REF!&gt;=table!$E$8,#REF!&lt;=table!$F$8),1,0))</f>
        <v>#REF!</v>
      </c>
      <c r="T2678" s="5"/>
      <c r="U2678" s="5" t="e">
        <f>IF(AND(#REF!&gt;=table!$C$10,#REF!&lt;= table!$D$10),-1,IF(AND(#REF!&gt;=table!$E$10,#REF!&lt;=table!$F$10),1,0))</f>
        <v>#REF!</v>
      </c>
      <c r="V2678" s="5" t="e">
        <f>IF(AND(#REF!&gt;=table!$C$11,#REF!&lt;= table!$D$11),-1,IF(AND(#REF!&gt;=table!$E$11,#REF!&lt;=table!$F$11),1,0))</f>
        <v>#REF!</v>
      </c>
      <c r="W2678" s="5" t="e">
        <f>CONCATENATE(dados[[#This Row],[fator1]],dados[[#This Row],[fator5]],dados[[#This Row],[fator6]])</f>
        <v>#REF!</v>
      </c>
    </row>
    <row r="2679" spans="1:23">
      <c r="A2679" t="s">
        <v>17</v>
      </c>
      <c r="B2679">
        <v>584857</v>
      </c>
      <c r="C2679">
        <v>16</v>
      </c>
      <c r="D2679">
        <v>25</v>
      </c>
      <c r="E2679">
        <v>56</v>
      </c>
      <c r="F2679">
        <v>10</v>
      </c>
      <c r="G2679">
        <v>13</v>
      </c>
      <c r="H2679">
        <v>25</v>
      </c>
      <c r="I2679">
        <v>0</v>
      </c>
      <c r="J2679">
        <v>0</v>
      </c>
      <c r="K2679">
        <v>6.0650000000000004</v>
      </c>
      <c r="L2679">
        <v>22.575000000000003</v>
      </c>
      <c r="M2679">
        <v>54.5</v>
      </c>
      <c r="N2679">
        <v>23.75</v>
      </c>
      <c r="O2679">
        <v>1703</v>
      </c>
      <c r="P2679">
        <v>410</v>
      </c>
      <c r="Q2679" s="5" t="e">
        <f>IF(AND(#REF!&gt;=table!$C$6,#REF!&lt;= table!$D$6),-1,IF(AND(#REF!&gt;=table!$E$6,#REF!&lt;=table!$F$6),1,0))</f>
        <v>#REF!</v>
      </c>
      <c r="R2679" s="5" t="e">
        <f>IF(AND(#REF!&gt;=table!$C$7,#REF!&lt;= table!$D$7),-1,IF(AND(#REF!&gt;=table!$E$7,#REF!&lt;=table!$F$7),1,0))</f>
        <v>#REF!</v>
      </c>
      <c r="S2679" s="5" t="e">
        <f>IF(AND(#REF!&gt;=table!$C$8,#REF!&lt;= table!$D$8),-1,IF(AND(#REF!&gt;=table!$E$8,#REF!&lt;=table!$F$8),1,0))</f>
        <v>#REF!</v>
      </c>
      <c r="T2679" s="5"/>
      <c r="U2679" s="5" t="e">
        <f>IF(AND(#REF!&gt;=table!$C$10,#REF!&lt;= table!$D$10),-1,IF(AND(#REF!&gt;=table!$E$10,#REF!&lt;=table!$F$10),1,0))</f>
        <v>#REF!</v>
      </c>
      <c r="V2679" s="5" t="e">
        <f>IF(AND(#REF!&gt;=table!$C$11,#REF!&lt;= table!$D$11),-1,IF(AND(#REF!&gt;=table!$E$11,#REF!&lt;=table!$F$11),1,0))</f>
        <v>#REF!</v>
      </c>
      <c r="W2679" s="5" t="e">
        <f>CONCATENATE(dados[[#This Row],[fator1]],dados[[#This Row],[fator5]],dados[[#This Row],[fator6]])</f>
        <v>#REF!</v>
      </c>
    </row>
    <row r="2680" spans="1:23">
      <c r="A2680" t="s">
        <v>16</v>
      </c>
      <c r="B2680">
        <v>584858</v>
      </c>
      <c r="C2680">
        <v>16</v>
      </c>
      <c r="D2680">
        <v>30</v>
      </c>
      <c r="E2680">
        <v>36</v>
      </c>
      <c r="F2680">
        <v>3</v>
      </c>
      <c r="G2680">
        <v>0</v>
      </c>
      <c r="H2680">
        <v>25</v>
      </c>
      <c r="I2680">
        <v>161</v>
      </c>
      <c r="J2680">
        <v>0</v>
      </c>
      <c r="K2680">
        <v>7.2550000000000008</v>
      </c>
      <c r="L2680">
        <v>22.715</v>
      </c>
      <c r="M2680">
        <v>31.3</v>
      </c>
      <c r="N2680">
        <v>18.05</v>
      </c>
      <c r="O2680">
        <v>1683</v>
      </c>
      <c r="P2680">
        <v>0</v>
      </c>
      <c r="Q2680" s="5" t="e">
        <f>IF(AND(#REF!&gt;=table!$C$6,#REF!&lt;= table!$D$6),-1,IF(AND(#REF!&gt;=table!$E$6,#REF!&lt;=table!$F$6),1,0))</f>
        <v>#REF!</v>
      </c>
      <c r="R2680" s="5" t="e">
        <f>IF(AND(#REF!&gt;=table!$C$7,#REF!&lt;= table!$D$7),-1,IF(AND(#REF!&gt;=table!$E$7,#REF!&lt;=table!$F$7),1,0))</f>
        <v>#REF!</v>
      </c>
      <c r="S2680" s="5" t="e">
        <f>IF(AND(#REF!&gt;=table!$C$8,#REF!&lt;= table!$D$8),-1,IF(AND(#REF!&gt;=table!$E$8,#REF!&lt;=table!$F$8),1,0))</f>
        <v>#REF!</v>
      </c>
      <c r="T2680" s="5"/>
      <c r="U2680" s="5" t="e">
        <f>IF(AND(#REF!&gt;=table!$C$10,#REF!&lt;= table!$D$10),-1,IF(AND(#REF!&gt;=table!$E$10,#REF!&lt;=table!$F$10),1,0))</f>
        <v>#REF!</v>
      </c>
      <c r="V2680" s="5" t="e">
        <f>IF(AND(#REF!&gt;=table!$C$11,#REF!&lt;= table!$D$11),-1,IF(AND(#REF!&gt;=table!$E$11,#REF!&lt;=table!$F$11),1,0))</f>
        <v>#REF!</v>
      </c>
      <c r="W2680" s="5" t="e">
        <f>CONCATENATE(dados[[#This Row],[fator1]],dados[[#This Row],[fator5]],dados[[#This Row],[fator6]])</f>
        <v>#REF!</v>
      </c>
    </row>
    <row r="2681" spans="1:23">
      <c r="A2681" t="s">
        <v>16</v>
      </c>
      <c r="B2681">
        <v>584861</v>
      </c>
      <c r="C2681">
        <v>16</v>
      </c>
      <c r="D2681">
        <v>35</v>
      </c>
      <c r="E2681">
        <v>36</v>
      </c>
      <c r="F2681">
        <v>10</v>
      </c>
      <c r="G2681">
        <v>0</v>
      </c>
      <c r="H2681">
        <v>25</v>
      </c>
      <c r="I2681">
        <v>905</v>
      </c>
      <c r="J2681">
        <v>0</v>
      </c>
      <c r="K2681">
        <v>5.2149999999999999</v>
      </c>
      <c r="L2681">
        <v>10.235000000000001</v>
      </c>
      <c r="M2681">
        <v>35.200000000000003</v>
      </c>
      <c r="N2681">
        <v>9.9500000000000011</v>
      </c>
      <c r="O2681">
        <v>1680</v>
      </c>
      <c r="P2681">
        <v>0</v>
      </c>
      <c r="Q2681" s="5" t="e">
        <f>IF(AND(#REF!&gt;=table!$C$6,#REF!&lt;= table!$D$6),-1,IF(AND(#REF!&gt;=table!$E$6,#REF!&lt;=table!$F$6),1,0))</f>
        <v>#REF!</v>
      </c>
      <c r="R2681" s="5" t="e">
        <f>IF(AND(#REF!&gt;=table!$C$7,#REF!&lt;= table!$D$7),-1,IF(AND(#REF!&gt;=table!$E$7,#REF!&lt;=table!$F$7),1,0))</f>
        <v>#REF!</v>
      </c>
      <c r="S2681" s="5" t="e">
        <f>IF(AND(#REF!&gt;=table!$C$8,#REF!&lt;= table!$D$8),-1,IF(AND(#REF!&gt;=table!$E$8,#REF!&lt;=table!$F$8),1,0))</f>
        <v>#REF!</v>
      </c>
      <c r="T2681" s="5"/>
      <c r="U2681" s="5" t="e">
        <f>IF(AND(#REF!&gt;=table!$C$10,#REF!&lt;= table!$D$10),-1,IF(AND(#REF!&gt;=table!$E$10,#REF!&lt;=table!$F$10),1,0))</f>
        <v>#REF!</v>
      </c>
      <c r="V2681" s="5" t="e">
        <f>IF(AND(#REF!&gt;=table!$C$11,#REF!&lt;= table!$D$11),-1,IF(AND(#REF!&gt;=table!$E$11,#REF!&lt;=table!$F$11),1,0))</f>
        <v>#REF!</v>
      </c>
      <c r="W2681" s="5" t="e">
        <f>CONCATENATE(dados[[#This Row],[fator1]],dados[[#This Row],[fator5]],dados[[#This Row],[fator6]])</f>
        <v>#REF!</v>
      </c>
    </row>
    <row r="2682" spans="1:23">
      <c r="A2682" t="s">
        <v>17</v>
      </c>
      <c r="B2682">
        <v>584865</v>
      </c>
      <c r="C2682">
        <v>14</v>
      </c>
      <c r="D2682">
        <v>30</v>
      </c>
      <c r="E2682">
        <v>110</v>
      </c>
      <c r="F2682">
        <v>3</v>
      </c>
      <c r="G2682">
        <v>20</v>
      </c>
      <c r="H2682">
        <v>22</v>
      </c>
      <c r="I2682">
        <v>1503</v>
      </c>
      <c r="J2682">
        <v>0</v>
      </c>
      <c r="K2682">
        <v>7.43</v>
      </c>
      <c r="L2682">
        <v>15</v>
      </c>
      <c r="M2682">
        <v>94.4</v>
      </c>
      <c r="N2682">
        <v>13.35</v>
      </c>
      <c r="O2682">
        <v>1679</v>
      </c>
      <c r="P2682">
        <v>438</v>
      </c>
      <c r="Q2682" s="5" t="e">
        <f>IF(AND(#REF!&gt;=table!$C$6,#REF!&lt;= table!$D$6),-1,IF(AND(#REF!&gt;=table!$E$6,#REF!&lt;=table!$F$6),1,0))</f>
        <v>#REF!</v>
      </c>
      <c r="R2682" s="5" t="e">
        <f>IF(AND(#REF!&gt;=table!$C$7,#REF!&lt;= table!$D$7),-1,IF(AND(#REF!&gt;=table!$E$7,#REF!&lt;=table!$F$7),1,0))</f>
        <v>#REF!</v>
      </c>
      <c r="S2682" s="5" t="e">
        <f>IF(AND(#REF!&gt;=table!$C$8,#REF!&lt;= table!$D$8),-1,IF(AND(#REF!&gt;=table!$E$8,#REF!&lt;=table!$F$8),1,0))</f>
        <v>#REF!</v>
      </c>
      <c r="T2682" s="5"/>
      <c r="U2682" s="5" t="e">
        <f>IF(AND(#REF!&gt;=table!$C$10,#REF!&lt;= table!$D$10),-1,IF(AND(#REF!&gt;=table!$E$10,#REF!&lt;=table!$F$10),1,0))</f>
        <v>#REF!</v>
      </c>
      <c r="V2682" s="5" t="e">
        <f>IF(AND(#REF!&gt;=table!$C$11,#REF!&lt;= table!$D$11),-1,IF(AND(#REF!&gt;=table!$E$11,#REF!&lt;=table!$F$11),1,0))</f>
        <v>#REF!</v>
      </c>
      <c r="W2682" s="5" t="e">
        <f>CONCATENATE(dados[[#This Row],[fator1]],dados[[#This Row],[fator5]],dados[[#This Row],[fator6]])</f>
        <v>#REF!</v>
      </c>
    </row>
    <row r="2683" spans="1:23">
      <c r="A2683" t="s">
        <v>16</v>
      </c>
      <c r="B2683">
        <v>584866</v>
      </c>
      <c r="C2683">
        <v>16</v>
      </c>
      <c r="D2683">
        <v>35</v>
      </c>
      <c r="E2683">
        <v>56</v>
      </c>
      <c r="F2683">
        <v>10</v>
      </c>
      <c r="G2683">
        <v>0</v>
      </c>
      <c r="H2683">
        <v>25</v>
      </c>
      <c r="I2683">
        <v>489</v>
      </c>
      <c r="J2683">
        <v>0</v>
      </c>
      <c r="K2683">
        <v>3.14</v>
      </c>
      <c r="L2683">
        <v>9.9500000000000011</v>
      </c>
      <c r="M2683">
        <v>53.2</v>
      </c>
      <c r="N2683">
        <v>8.9500000000000011</v>
      </c>
      <c r="O2683">
        <v>1684</v>
      </c>
      <c r="P2683">
        <v>729</v>
      </c>
      <c r="Q2683" s="5" t="e">
        <f>IF(AND(#REF!&gt;=table!$C$6,#REF!&lt;= table!$D$6),-1,IF(AND(#REF!&gt;=table!$E$6,#REF!&lt;=table!$F$6),1,0))</f>
        <v>#REF!</v>
      </c>
      <c r="R2683" s="5" t="e">
        <f>IF(AND(#REF!&gt;=table!$C$7,#REF!&lt;= table!$D$7),-1,IF(AND(#REF!&gt;=table!$E$7,#REF!&lt;=table!$F$7),1,0))</f>
        <v>#REF!</v>
      </c>
      <c r="S2683" s="5" t="e">
        <f>IF(AND(#REF!&gt;=table!$C$8,#REF!&lt;= table!$D$8),-1,IF(AND(#REF!&gt;=table!$E$8,#REF!&lt;=table!$F$8),1,0))</f>
        <v>#REF!</v>
      </c>
      <c r="T2683" s="5"/>
      <c r="U2683" s="5" t="e">
        <f>IF(AND(#REF!&gt;=table!$C$10,#REF!&lt;= table!$D$10),-1,IF(AND(#REF!&gt;=table!$E$10,#REF!&lt;=table!$F$10),1,0))</f>
        <v>#REF!</v>
      </c>
      <c r="V2683" s="5" t="e">
        <f>IF(AND(#REF!&gt;=table!$C$11,#REF!&lt;= table!$D$11),-1,IF(AND(#REF!&gt;=table!$E$11,#REF!&lt;=table!$F$11),1,0))</f>
        <v>#REF!</v>
      </c>
      <c r="W2683" s="5" t="e">
        <f>CONCATENATE(dados[[#This Row],[fator1]],dados[[#This Row],[fator5]],dados[[#This Row],[fator6]])</f>
        <v>#REF!</v>
      </c>
    </row>
    <row r="2684" spans="1:23">
      <c r="A2684" t="s">
        <v>16</v>
      </c>
      <c r="B2684">
        <v>584868</v>
      </c>
      <c r="C2684">
        <v>12</v>
      </c>
      <c r="D2684">
        <v>35</v>
      </c>
      <c r="E2684">
        <v>170</v>
      </c>
      <c r="F2684">
        <v>6</v>
      </c>
      <c r="G2684">
        <v>0</v>
      </c>
      <c r="H2684">
        <v>20</v>
      </c>
      <c r="I2684">
        <v>50</v>
      </c>
      <c r="J2684">
        <v>0</v>
      </c>
      <c r="K2684">
        <v>3.16</v>
      </c>
      <c r="L2684">
        <v>10.950000000000001</v>
      </c>
      <c r="M2684">
        <v>147.6</v>
      </c>
      <c r="N2684">
        <v>14.1</v>
      </c>
      <c r="O2684">
        <v>1696</v>
      </c>
      <c r="P2684">
        <v>764</v>
      </c>
      <c r="Q2684" s="5" t="e">
        <f>IF(AND(#REF!&gt;=table!$C$6,#REF!&lt;= table!$D$6),-1,IF(AND(#REF!&gt;=table!$E$6,#REF!&lt;=table!$F$6),1,0))</f>
        <v>#REF!</v>
      </c>
      <c r="R2684" s="5" t="e">
        <f>IF(AND(#REF!&gt;=table!$C$7,#REF!&lt;= table!$D$7),-1,IF(AND(#REF!&gt;=table!$E$7,#REF!&lt;=table!$F$7),1,0))</f>
        <v>#REF!</v>
      </c>
      <c r="S2684" s="5" t="e">
        <f>IF(AND(#REF!&gt;=table!$C$8,#REF!&lt;= table!$D$8),-1,IF(AND(#REF!&gt;=table!$E$8,#REF!&lt;=table!$F$8),1,0))</f>
        <v>#REF!</v>
      </c>
      <c r="T2684" s="5"/>
      <c r="U2684" s="5" t="e">
        <f>IF(AND(#REF!&gt;=table!$C$10,#REF!&lt;= table!$D$10),-1,IF(AND(#REF!&gt;=table!$E$10,#REF!&lt;=table!$F$10),1,0))</f>
        <v>#REF!</v>
      </c>
      <c r="V2684" s="5" t="e">
        <f>IF(AND(#REF!&gt;=table!$C$11,#REF!&lt;= table!$D$11),-1,IF(AND(#REF!&gt;=table!$E$11,#REF!&lt;=table!$F$11),1,0))</f>
        <v>#REF!</v>
      </c>
      <c r="W2684" s="5" t="e">
        <f>CONCATENATE(dados[[#This Row],[fator1]],dados[[#This Row],[fator5]],dados[[#This Row],[fator6]])</f>
        <v>#REF!</v>
      </c>
    </row>
    <row r="2685" spans="1:23">
      <c r="A2685" t="s">
        <v>16</v>
      </c>
      <c r="B2685">
        <v>584870</v>
      </c>
      <c r="C2685">
        <v>4</v>
      </c>
      <c r="D2685">
        <v>40</v>
      </c>
      <c r="E2685">
        <v>21</v>
      </c>
      <c r="F2685">
        <v>20</v>
      </c>
      <c r="G2685">
        <v>0</v>
      </c>
      <c r="H2685">
        <v>25</v>
      </c>
      <c r="I2685">
        <v>964</v>
      </c>
      <c r="J2685">
        <v>0</v>
      </c>
      <c r="K2685">
        <v>3.08</v>
      </c>
      <c r="L2685">
        <v>10.85</v>
      </c>
      <c r="M2685">
        <v>23.05</v>
      </c>
      <c r="N2685">
        <v>10.200000000000001</v>
      </c>
      <c r="O2685">
        <v>1712</v>
      </c>
      <c r="P2685">
        <v>0</v>
      </c>
      <c r="Q2685" s="5" t="e">
        <f>IF(AND(#REF!&gt;=table!$C$6,#REF!&lt;= table!$D$6),-1,IF(AND(#REF!&gt;=table!$E$6,#REF!&lt;=table!$F$6),1,0))</f>
        <v>#REF!</v>
      </c>
      <c r="R2685" s="5" t="e">
        <f>IF(AND(#REF!&gt;=table!$C$7,#REF!&lt;= table!$D$7),-1,IF(AND(#REF!&gt;=table!$E$7,#REF!&lt;=table!$F$7),1,0))</f>
        <v>#REF!</v>
      </c>
      <c r="S2685" s="5" t="e">
        <f>IF(AND(#REF!&gt;=table!$C$8,#REF!&lt;= table!$D$8),-1,IF(AND(#REF!&gt;=table!$E$8,#REF!&lt;=table!$F$8),1,0))</f>
        <v>#REF!</v>
      </c>
      <c r="T2685" s="5"/>
      <c r="U2685" s="5" t="e">
        <f>IF(AND(#REF!&gt;=table!$C$10,#REF!&lt;= table!$D$10),-1,IF(AND(#REF!&gt;=table!$E$10,#REF!&lt;=table!$F$10),1,0))</f>
        <v>#REF!</v>
      </c>
      <c r="V2685" s="5" t="e">
        <f>IF(AND(#REF!&gt;=table!$C$11,#REF!&lt;= table!$D$11),-1,IF(AND(#REF!&gt;=table!$E$11,#REF!&lt;=table!$F$11),1,0))</f>
        <v>#REF!</v>
      </c>
      <c r="W2685" s="5" t="e">
        <f>CONCATENATE(dados[[#This Row],[fator1]],dados[[#This Row],[fator5]],dados[[#This Row],[fator6]])</f>
        <v>#REF!</v>
      </c>
    </row>
    <row r="2686" spans="1:23">
      <c r="A2686" t="s">
        <v>16</v>
      </c>
      <c r="B2686">
        <v>584871</v>
      </c>
      <c r="C2686">
        <v>0.15</v>
      </c>
      <c r="D2686">
        <v>35</v>
      </c>
      <c r="E2686">
        <v>15</v>
      </c>
      <c r="F2686">
        <v>10</v>
      </c>
      <c r="G2686">
        <v>0</v>
      </c>
      <c r="H2686">
        <v>12</v>
      </c>
      <c r="I2686">
        <v>848</v>
      </c>
      <c r="J2686">
        <v>750</v>
      </c>
      <c r="K2686">
        <v>3.7850000000000001</v>
      </c>
      <c r="L2686">
        <v>9</v>
      </c>
      <c r="M2686">
        <v>7</v>
      </c>
      <c r="N2686">
        <v>8.5</v>
      </c>
      <c r="O2686">
        <v>1653</v>
      </c>
      <c r="P2686">
        <v>575</v>
      </c>
      <c r="Q2686" s="5" t="e">
        <f>IF(AND(#REF!&gt;=table!$C$6,#REF!&lt;= table!$D$6),-1,IF(AND(#REF!&gt;=table!$E$6,#REF!&lt;=table!$F$6),1,0))</f>
        <v>#REF!</v>
      </c>
      <c r="R2686" s="5" t="e">
        <f>IF(AND(#REF!&gt;=table!$C$7,#REF!&lt;= table!$D$7),-1,IF(AND(#REF!&gt;=table!$E$7,#REF!&lt;=table!$F$7),1,0))</f>
        <v>#REF!</v>
      </c>
      <c r="S2686" s="5" t="e">
        <f>IF(AND(#REF!&gt;=table!$C$8,#REF!&lt;= table!$D$8),-1,IF(AND(#REF!&gt;=table!$E$8,#REF!&lt;=table!$F$8),1,0))</f>
        <v>#REF!</v>
      </c>
      <c r="T2686" s="5"/>
      <c r="U2686" s="5" t="e">
        <f>IF(AND(#REF!&gt;=table!$C$10,#REF!&lt;= table!$D$10),-1,IF(AND(#REF!&gt;=table!$E$10,#REF!&lt;=table!$F$10),1,0))</f>
        <v>#REF!</v>
      </c>
      <c r="V2686" s="5" t="e">
        <f>IF(AND(#REF!&gt;=table!$C$11,#REF!&lt;= table!$D$11),-1,IF(AND(#REF!&gt;=table!$E$11,#REF!&lt;=table!$F$11),1,0))</f>
        <v>#REF!</v>
      </c>
      <c r="W2686" s="5" t="e">
        <f>CONCATENATE(dados[[#This Row],[fator1]],dados[[#This Row],[fator5]],dados[[#This Row],[fator6]])</f>
        <v>#REF!</v>
      </c>
    </row>
    <row r="2687" spans="1:23">
      <c r="A2687" t="s">
        <v>16</v>
      </c>
      <c r="B2687">
        <v>584873</v>
      </c>
      <c r="C2687">
        <v>7</v>
      </c>
      <c r="D2687">
        <v>35</v>
      </c>
      <c r="E2687">
        <v>170</v>
      </c>
      <c r="F2687">
        <v>6</v>
      </c>
      <c r="G2687">
        <v>0</v>
      </c>
      <c r="H2687">
        <v>20</v>
      </c>
      <c r="I2687">
        <v>0</v>
      </c>
      <c r="J2687">
        <v>0</v>
      </c>
      <c r="K2687">
        <v>2.77</v>
      </c>
      <c r="L2687">
        <v>15.3</v>
      </c>
      <c r="M2687">
        <v>137.30000000000001</v>
      </c>
      <c r="N2687">
        <v>10.85</v>
      </c>
      <c r="O2687">
        <v>1678</v>
      </c>
      <c r="P2687">
        <v>0</v>
      </c>
      <c r="Q2687" s="5" t="e">
        <f>IF(AND(#REF!&gt;=table!$C$6,#REF!&lt;= table!$D$6),-1,IF(AND(#REF!&gt;=table!$E$6,#REF!&lt;=table!$F$6),1,0))</f>
        <v>#REF!</v>
      </c>
      <c r="R2687" s="5" t="e">
        <f>IF(AND(#REF!&gt;=table!$C$7,#REF!&lt;= table!$D$7),-1,IF(AND(#REF!&gt;=table!$E$7,#REF!&lt;=table!$F$7),1,0))</f>
        <v>#REF!</v>
      </c>
      <c r="S2687" s="5" t="e">
        <f>IF(AND(#REF!&gt;=table!$C$8,#REF!&lt;= table!$D$8),-1,IF(AND(#REF!&gt;=table!$E$8,#REF!&lt;=table!$F$8),1,0))</f>
        <v>#REF!</v>
      </c>
      <c r="T2687" s="5"/>
      <c r="U2687" s="5" t="e">
        <f>IF(AND(#REF!&gt;=table!$C$10,#REF!&lt;= table!$D$10),-1,IF(AND(#REF!&gt;=table!$E$10,#REF!&lt;=table!$F$10),1,0))</f>
        <v>#REF!</v>
      </c>
      <c r="V2687" s="5" t="e">
        <f>IF(AND(#REF!&gt;=table!$C$11,#REF!&lt;= table!$D$11),-1,IF(AND(#REF!&gt;=table!$E$11,#REF!&lt;=table!$F$11),1,0))</f>
        <v>#REF!</v>
      </c>
      <c r="W2687" s="5" t="e">
        <f>CONCATENATE(dados[[#This Row],[fator1]],dados[[#This Row],[fator5]],dados[[#This Row],[fator6]])</f>
        <v>#REF!</v>
      </c>
    </row>
    <row r="2688" spans="1:23">
      <c r="A2688" t="s">
        <v>16</v>
      </c>
      <c r="B2688">
        <v>584874</v>
      </c>
      <c r="C2688">
        <v>7</v>
      </c>
      <c r="D2688">
        <v>35</v>
      </c>
      <c r="E2688">
        <v>170</v>
      </c>
      <c r="F2688">
        <v>6</v>
      </c>
      <c r="G2688">
        <v>0</v>
      </c>
      <c r="H2688">
        <v>20</v>
      </c>
      <c r="I2688">
        <v>903</v>
      </c>
      <c r="J2688">
        <v>0</v>
      </c>
      <c r="K2688">
        <v>3.09</v>
      </c>
      <c r="L2688">
        <v>12.8</v>
      </c>
      <c r="M2688">
        <v>140.88500000000002</v>
      </c>
      <c r="N2688">
        <v>11.86</v>
      </c>
      <c r="O2688">
        <v>1670</v>
      </c>
      <c r="P2688">
        <v>0</v>
      </c>
      <c r="Q2688" s="5" t="e">
        <f>IF(AND(#REF!&gt;=table!$C$6,#REF!&lt;= table!$D$6),-1,IF(AND(#REF!&gt;=table!$E$6,#REF!&lt;=table!$F$6),1,0))</f>
        <v>#REF!</v>
      </c>
      <c r="R2688" s="5" t="e">
        <f>IF(AND(#REF!&gt;=table!$C$7,#REF!&lt;= table!$D$7),-1,IF(AND(#REF!&gt;=table!$E$7,#REF!&lt;=table!$F$7),1,0))</f>
        <v>#REF!</v>
      </c>
      <c r="S2688" s="5" t="e">
        <f>IF(AND(#REF!&gt;=table!$C$8,#REF!&lt;= table!$D$8),-1,IF(AND(#REF!&gt;=table!$E$8,#REF!&lt;=table!$F$8),1,0))</f>
        <v>#REF!</v>
      </c>
      <c r="T2688" s="5"/>
      <c r="U2688" s="5" t="e">
        <f>IF(AND(#REF!&gt;=table!$C$10,#REF!&lt;= table!$D$10),-1,IF(AND(#REF!&gt;=table!$E$10,#REF!&lt;=table!$F$10),1,0))</f>
        <v>#REF!</v>
      </c>
      <c r="V2688" s="5" t="e">
        <f>IF(AND(#REF!&gt;=table!$C$11,#REF!&lt;= table!$D$11),-1,IF(AND(#REF!&gt;=table!$E$11,#REF!&lt;=table!$F$11),1,0))</f>
        <v>#REF!</v>
      </c>
      <c r="W2688" s="5" t="e">
        <f>CONCATENATE(dados[[#This Row],[fator1]],dados[[#This Row],[fator5]],dados[[#This Row],[fator6]])</f>
        <v>#REF!</v>
      </c>
    </row>
    <row r="2689" spans="1:23">
      <c r="A2689" t="s">
        <v>16</v>
      </c>
      <c r="B2689">
        <v>584875</v>
      </c>
      <c r="C2689">
        <v>7</v>
      </c>
      <c r="D2689">
        <v>35</v>
      </c>
      <c r="E2689">
        <v>170</v>
      </c>
      <c r="F2689">
        <v>6</v>
      </c>
      <c r="G2689">
        <v>0</v>
      </c>
      <c r="H2689">
        <v>20</v>
      </c>
      <c r="I2689">
        <v>558</v>
      </c>
      <c r="J2689">
        <v>0</v>
      </c>
      <c r="K2689">
        <v>3.4650000000000003</v>
      </c>
      <c r="L2689">
        <v>11.700000000000001</v>
      </c>
      <c r="M2689">
        <v>137.35</v>
      </c>
      <c r="N2689">
        <v>10.9</v>
      </c>
      <c r="O2689">
        <v>1669</v>
      </c>
      <c r="P2689">
        <v>0</v>
      </c>
      <c r="Q2689" s="5" t="e">
        <f>IF(AND(#REF!&gt;=table!$C$6,#REF!&lt;= table!$D$6),-1,IF(AND(#REF!&gt;=table!$E$6,#REF!&lt;=table!$F$6),1,0))</f>
        <v>#REF!</v>
      </c>
      <c r="R2689" s="5" t="e">
        <f>IF(AND(#REF!&gt;=table!$C$7,#REF!&lt;= table!$D$7),-1,IF(AND(#REF!&gt;=table!$E$7,#REF!&lt;=table!$F$7),1,0))</f>
        <v>#REF!</v>
      </c>
      <c r="S2689" s="5" t="e">
        <f>IF(AND(#REF!&gt;=table!$C$8,#REF!&lt;= table!$D$8),-1,IF(AND(#REF!&gt;=table!$E$8,#REF!&lt;=table!$F$8),1,0))</f>
        <v>#REF!</v>
      </c>
      <c r="T2689" s="5"/>
      <c r="U2689" s="5" t="e">
        <f>IF(AND(#REF!&gt;=table!$C$10,#REF!&lt;= table!$D$10),-1,IF(AND(#REF!&gt;=table!$E$10,#REF!&lt;=table!$F$10),1,0))</f>
        <v>#REF!</v>
      </c>
      <c r="V2689" s="5" t="e">
        <f>IF(AND(#REF!&gt;=table!$C$11,#REF!&lt;= table!$D$11),-1,IF(AND(#REF!&gt;=table!$E$11,#REF!&lt;=table!$F$11),1,0))</f>
        <v>#REF!</v>
      </c>
      <c r="W2689" s="5" t="e">
        <f>CONCATENATE(dados[[#This Row],[fator1]],dados[[#This Row],[fator5]],dados[[#This Row],[fator6]])</f>
        <v>#REF!</v>
      </c>
    </row>
    <row r="2690" spans="1:23">
      <c r="A2690" t="s">
        <v>17</v>
      </c>
      <c r="B2690">
        <v>584882</v>
      </c>
      <c r="C2690">
        <v>28</v>
      </c>
      <c r="D2690">
        <v>25</v>
      </c>
      <c r="E2690">
        <v>116</v>
      </c>
      <c r="F2690">
        <v>6</v>
      </c>
      <c r="G2690">
        <v>13</v>
      </c>
      <c r="H2690">
        <v>25</v>
      </c>
      <c r="I2690">
        <v>911</v>
      </c>
      <c r="J2690">
        <v>0</v>
      </c>
      <c r="K2690">
        <v>2.7670000000000003</v>
      </c>
      <c r="L2690">
        <v>11.545</v>
      </c>
      <c r="M2690">
        <v>109.5</v>
      </c>
      <c r="N2690">
        <v>11.85</v>
      </c>
      <c r="O2690">
        <v>1673</v>
      </c>
      <c r="P2690">
        <v>626</v>
      </c>
      <c r="Q2690" s="5" t="e">
        <f>IF(AND(#REF!&gt;=table!$C$6,#REF!&lt;= table!$D$6),-1,IF(AND(#REF!&gt;=table!$E$6,#REF!&lt;=table!$F$6),1,0))</f>
        <v>#REF!</v>
      </c>
      <c r="R2690" s="5" t="e">
        <f>IF(AND(#REF!&gt;=table!$C$7,#REF!&lt;= table!$D$7),-1,IF(AND(#REF!&gt;=table!$E$7,#REF!&lt;=table!$F$7),1,0))</f>
        <v>#REF!</v>
      </c>
      <c r="S2690" s="5" t="e">
        <f>IF(AND(#REF!&gt;=table!$C$8,#REF!&lt;= table!$D$8),-1,IF(AND(#REF!&gt;=table!$E$8,#REF!&lt;=table!$F$8),1,0))</f>
        <v>#REF!</v>
      </c>
      <c r="T2690" s="5"/>
      <c r="U2690" s="5" t="e">
        <f>IF(AND(#REF!&gt;=table!$C$10,#REF!&lt;= table!$D$10),-1,IF(AND(#REF!&gt;=table!$E$10,#REF!&lt;=table!$F$10),1,0))</f>
        <v>#REF!</v>
      </c>
      <c r="V2690" s="5" t="e">
        <f>IF(AND(#REF!&gt;=table!$C$11,#REF!&lt;= table!$D$11),-1,IF(AND(#REF!&gt;=table!$E$11,#REF!&lt;=table!$F$11),1,0))</f>
        <v>#REF!</v>
      </c>
      <c r="W2690" s="5" t="e">
        <f>CONCATENATE(dados[[#This Row],[fator1]],dados[[#This Row],[fator5]],dados[[#This Row],[fator6]])</f>
        <v>#REF!</v>
      </c>
    </row>
    <row r="2691" spans="1:23">
      <c r="A2691" t="s">
        <v>17</v>
      </c>
      <c r="B2691">
        <v>584883</v>
      </c>
      <c r="C2691">
        <v>16</v>
      </c>
      <c r="D2691">
        <v>25</v>
      </c>
      <c r="E2691">
        <v>60</v>
      </c>
      <c r="F2691">
        <v>15</v>
      </c>
      <c r="G2691">
        <v>13</v>
      </c>
      <c r="H2691">
        <v>25</v>
      </c>
      <c r="I2691">
        <v>9</v>
      </c>
      <c r="J2691">
        <v>0</v>
      </c>
      <c r="K2691">
        <v>3.9</v>
      </c>
      <c r="L2691">
        <v>9.85</v>
      </c>
      <c r="M2691">
        <v>50.550000000000004</v>
      </c>
      <c r="N2691">
        <v>10.15</v>
      </c>
      <c r="O2691">
        <v>1671</v>
      </c>
      <c r="P2691">
        <v>637</v>
      </c>
      <c r="Q2691" s="5" t="e">
        <f>IF(AND(#REF!&gt;=table!$C$6,#REF!&lt;= table!$D$6),-1,IF(AND(#REF!&gt;=table!$E$6,#REF!&lt;=table!$F$6),1,0))</f>
        <v>#REF!</v>
      </c>
      <c r="R2691" s="5" t="e">
        <f>IF(AND(#REF!&gt;=table!$C$7,#REF!&lt;= table!$D$7),-1,IF(AND(#REF!&gt;=table!$E$7,#REF!&lt;=table!$F$7),1,0))</f>
        <v>#REF!</v>
      </c>
      <c r="S2691" s="5" t="e">
        <f>IF(AND(#REF!&gt;=table!$C$8,#REF!&lt;= table!$D$8),-1,IF(AND(#REF!&gt;=table!$E$8,#REF!&lt;=table!$F$8),1,0))</f>
        <v>#REF!</v>
      </c>
      <c r="T2691" s="5"/>
      <c r="U2691" s="5" t="e">
        <f>IF(AND(#REF!&gt;=table!$C$10,#REF!&lt;= table!$D$10),-1,IF(AND(#REF!&gt;=table!$E$10,#REF!&lt;=table!$F$10),1,0))</f>
        <v>#REF!</v>
      </c>
      <c r="V2691" s="5" t="e">
        <f>IF(AND(#REF!&gt;=table!$C$11,#REF!&lt;= table!$D$11),-1,IF(AND(#REF!&gt;=table!$E$11,#REF!&lt;=table!$F$11),1,0))</f>
        <v>#REF!</v>
      </c>
      <c r="W2691" s="5" t="e">
        <f>CONCATENATE(dados[[#This Row],[fator1]],dados[[#This Row],[fator5]],dados[[#This Row],[fator6]])</f>
        <v>#REF!</v>
      </c>
    </row>
    <row r="2692" spans="1:23">
      <c r="A2692" t="s">
        <v>16</v>
      </c>
      <c r="B2692">
        <v>584891</v>
      </c>
      <c r="C2692">
        <v>0.15</v>
      </c>
      <c r="D2692">
        <v>40</v>
      </c>
      <c r="E2692">
        <v>10</v>
      </c>
      <c r="F2692">
        <v>15</v>
      </c>
      <c r="G2692">
        <v>0</v>
      </c>
      <c r="H2692">
        <v>15</v>
      </c>
      <c r="I2692">
        <v>778</v>
      </c>
      <c r="J2692">
        <v>0</v>
      </c>
      <c r="K2692">
        <v>3.105</v>
      </c>
      <c r="L2692">
        <v>15.55</v>
      </c>
      <c r="M2692">
        <v>11.5</v>
      </c>
      <c r="N2692">
        <v>8.15</v>
      </c>
      <c r="O2692">
        <v>1722</v>
      </c>
      <c r="P2692">
        <v>0</v>
      </c>
      <c r="Q2692" s="5" t="e">
        <f>IF(AND(#REF!&gt;=table!$C$6,#REF!&lt;= table!$D$6),-1,IF(AND(#REF!&gt;=table!$E$6,#REF!&lt;=table!$F$6),1,0))</f>
        <v>#REF!</v>
      </c>
      <c r="R2692" s="5" t="e">
        <f>IF(AND(#REF!&gt;=table!$C$7,#REF!&lt;= table!$D$7),-1,IF(AND(#REF!&gt;=table!$E$7,#REF!&lt;=table!$F$7),1,0))</f>
        <v>#REF!</v>
      </c>
      <c r="S2692" s="5" t="e">
        <f>IF(AND(#REF!&gt;=table!$C$8,#REF!&lt;= table!$D$8),-1,IF(AND(#REF!&gt;=table!$E$8,#REF!&lt;=table!$F$8),1,0))</f>
        <v>#REF!</v>
      </c>
      <c r="T2692" s="5"/>
      <c r="U2692" s="5" t="e">
        <f>IF(AND(#REF!&gt;=table!$C$10,#REF!&lt;= table!$D$10),-1,IF(AND(#REF!&gt;=table!$E$10,#REF!&lt;=table!$F$10),1,0))</f>
        <v>#REF!</v>
      </c>
      <c r="V2692" s="5" t="e">
        <f>IF(AND(#REF!&gt;=table!$C$11,#REF!&lt;= table!$D$11),-1,IF(AND(#REF!&gt;=table!$E$11,#REF!&lt;=table!$F$11),1,0))</f>
        <v>#REF!</v>
      </c>
      <c r="W2692" s="5" t="e">
        <f>CONCATENATE(dados[[#This Row],[fator1]],dados[[#This Row],[fator5]],dados[[#This Row],[fator6]])</f>
        <v>#REF!</v>
      </c>
    </row>
    <row r="2693" spans="1:23">
      <c r="A2693" t="s">
        <v>16</v>
      </c>
      <c r="B2693">
        <v>584892</v>
      </c>
      <c r="C2693">
        <v>0.15</v>
      </c>
      <c r="D2693">
        <v>40</v>
      </c>
      <c r="E2693">
        <v>10</v>
      </c>
      <c r="F2693">
        <v>15</v>
      </c>
      <c r="G2693">
        <v>0</v>
      </c>
      <c r="H2693">
        <v>15</v>
      </c>
      <c r="I2693">
        <v>770</v>
      </c>
      <c r="J2693">
        <v>0</v>
      </c>
      <c r="K2693">
        <v>3.1950000000000003</v>
      </c>
      <c r="L2693">
        <v>9.6</v>
      </c>
      <c r="M2693">
        <v>9.15</v>
      </c>
      <c r="N2693">
        <v>7.45</v>
      </c>
      <c r="O2693">
        <v>1694</v>
      </c>
      <c r="P2693">
        <v>745</v>
      </c>
      <c r="Q2693" s="5" t="e">
        <f>IF(AND(#REF!&gt;=table!$C$6,#REF!&lt;= table!$D$6),-1,IF(AND(#REF!&gt;=table!$E$6,#REF!&lt;=table!$F$6),1,0))</f>
        <v>#REF!</v>
      </c>
      <c r="R2693" s="5" t="e">
        <f>IF(AND(#REF!&gt;=table!$C$7,#REF!&lt;= table!$D$7),-1,IF(AND(#REF!&gt;=table!$E$7,#REF!&lt;=table!$F$7),1,0))</f>
        <v>#REF!</v>
      </c>
      <c r="S2693" s="5" t="e">
        <f>IF(AND(#REF!&gt;=table!$C$8,#REF!&lt;= table!$D$8),-1,IF(AND(#REF!&gt;=table!$E$8,#REF!&lt;=table!$F$8),1,0))</f>
        <v>#REF!</v>
      </c>
      <c r="T2693" s="5"/>
      <c r="U2693" s="5" t="e">
        <f>IF(AND(#REF!&gt;=table!$C$10,#REF!&lt;= table!$D$10),-1,IF(AND(#REF!&gt;=table!$E$10,#REF!&lt;=table!$F$10),1,0))</f>
        <v>#REF!</v>
      </c>
      <c r="V2693" s="5" t="e">
        <f>IF(AND(#REF!&gt;=table!$C$11,#REF!&lt;= table!$D$11),-1,IF(AND(#REF!&gt;=table!$E$11,#REF!&lt;=table!$F$11),1,0))</f>
        <v>#REF!</v>
      </c>
      <c r="W2693" s="5" t="e">
        <f>CONCATENATE(dados[[#This Row],[fator1]],dados[[#This Row],[fator5]],dados[[#This Row],[fator6]])</f>
        <v>#REF!</v>
      </c>
    </row>
    <row r="2694" spans="1:23">
      <c r="A2694" t="s">
        <v>16</v>
      </c>
      <c r="B2694">
        <v>584896</v>
      </c>
      <c r="C2694">
        <v>0.15</v>
      </c>
      <c r="D2694">
        <v>40</v>
      </c>
      <c r="E2694">
        <v>10</v>
      </c>
      <c r="F2694">
        <v>15</v>
      </c>
      <c r="G2694">
        <v>0</v>
      </c>
      <c r="H2694">
        <v>15</v>
      </c>
      <c r="I2694">
        <v>540</v>
      </c>
      <c r="J2694">
        <v>0</v>
      </c>
      <c r="K2694">
        <v>2.66</v>
      </c>
      <c r="L2694">
        <v>10.4</v>
      </c>
      <c r="M2694">
        <v>9.15</v>
      </c>
      <c r="N2694">
        <v>7.3500000000000005</v>
      </c>
      <c r="O2694">
        <v>1681</v>
      </c>
      <c r="P2694">
        <v>0</v>
      </c>
      <c r="Q2694" s="5" t="e">
        <f>IF(AND(#REF!&gt;=table!$C$6,#REF!&lt;= table!$D$6),-1,IF(AND(#REF!&gt;=table!$E$6,#REF!&lt;=table!$F$6),1,0))</f>
        <v>#REF!</v>
      </c>
      <c r="R2694" s="5" t="e">
        <f>IF(AND(#REF!&gt;=table!$C$7,#REF!&lt;= table!$D$7),-1,IF(AND(#REF!&gt;=table!$E$7,#REF!&lt;=table!$F$7),1,0))</f>
        <v>#REF!</v>
      </c>
      <c r="S2694" s="5" t="e">
        <f>IF(AND(#REF!&gt;=table!$C$8,#REF!&lt;= table!$D$8),-1,IF(AND(#REF!&gt;=table!$E$8,#REF!&lt;=table!$F$8),1,0))</f>
        <v>#REF!</v>
      </c>
      <c r="T2694" s="5"/>
      <c r="U2694" s="5" t="e">
        <f>IF(AND(#REF!&gt;=table!$C$10,#REF!&lt;= table!$D$10),-1,IF(AND(#REF!&gt;=table!$E$10,#REF!&lt;=table!$F$10),1,0))</f>
        <v>#REF!</v>
      </c>
      <c r="V2694" s="5" t="e">
        <f>IF(AND(#REF!&gt;=table!$C$11,#REF!&lt;= table!$D$11),-1,IF(AND(#REF!&gt;=table!$E$11,#REF!&lt;=table!$F$11),1,0))</f>
        <v>#REF!</v>
      </c>
      <c r="W2694" s="5" t="e">
        <f>CONCATENATE(dados[[#This Row],[fator1]],dados[[#This Row],[fator5]],dados[[#This Row],[fator6]])</f>
        <v>#REF!</v>
      </c>
    </row>
    <row r="2695" spans="1:23">
      <c r="A2695" t="s">
        <v>17</v>
      </c>
      <c r="B2695">
        <v>584901</v>
      </c>
      <c r="C2695">
        <v>4</v>
      </c>
      <c r="D2695">
        <v>25</v>
      </c>
      <c r="E2695">
        <v>23</v>
      </c>
      <c r="F2695">
        <v>10</v>
      </c>
      <c r="G2695">
        <v>110</v>
      </c>
      <c r="H2695">
        <v>50</v>
      </c>
      <c r="I2695">
        <v>415</v>
      </c>
      <c r="J2695">
        <v>0</v>
      </c>
      <c r="K2695">
        <v>4.2300000000000004</v>
      </c>
      <c r="L2695">
        <v>14.700000000000001</v>
      </c>
      <c r="M2695">
        <v>19.420000000000002</v>
      </c>
      <c r="N2695">
        <v>26.795000000000002</v>
      </c>
      <c r="O2695">
        <v>1680</v>
      </c>
      <c r="P2695">
        <v>656</v>
      </c>
      <c r="Q2695" s="5" t="e">
        <f>IF(AND(#REF!&gt;=table!$C$6,#REF!&lt;= table!$D$6),-1,IF(AND(#REF!&gt;=table!$E$6,#REF!&lt;=table!$F$6),1,0))</f>
        <v>#REF!</v>
      </c>
      <c r="R2695" s="5" t="e">
        <f>IF(AND(#REF!&gt;=table!$C$7,#REF!&lt;= table!$D$7),-1,IF(AND(#REF!&gt;=table!$E$7,#REF!&lt;=table!$F$7),1,0))</f>
        <v>#REF!</v>
      </c>
      <c r="S2695" s="5" t="e">
        <f>IF(AND(#REF!&gt;=table!$C$8,#REF!&lt;= table!$D$8),-1,IF(AND(#REF!&gt;=table!$E$8,#REF!&lt;=table!$F$8),1,0))</f>
        <v>#REF!</v>
      </c>
      <c r="T2695" s="5"/>
      <c r="U2695" s="5" t="e">
        <f>IF(AND(#REF!&gt;=table!$C$10,#REF!&lt;= table!$D$10),-1,IF(AND(#REF!&gt;=table!$E$10,#REF!&lt;=table!$F$10),1,0))</f>
        <v>#REF!</v>
      </c>
      <c r="V2695" s="5" t="e">
        <f>IF(AND(#REF!&gt;=table!$C$11,#REF!&lt;= table!$D$11),-1,IF(AND(#REF!&gt;=table!$E$11,#REF!&lt;=table!$F$11),1,0))</f>
        <v>#REF!</v>
      </c>
      <c r="W2695" s="5" t="e">
        <f>CONCATENATE(dados[[#This Row],[fator1]],dados[[#This Row],[fator5]],dados[[#This Row],[fator6]])</f>
        <v>#REF!</v>
      </c>
    </row>
    <row r="2696" spans="1:23">
      <c r="A2696" t="s">
        <v>17</v>
      </c>
      <c r="B2696">
        <v>584902</v>
      </c>
      <c r="C2696">
        <v>4</v>
      </c>
      <c r="D2696">
        <v>25</v>
      </c>
      <c r="E2696">
        <v>23</v>
      </c>
      <c r="F2696">
        <v>10</v>
      </c>
      <c r="G2696">
        <v>110</v>
      </c>
      <c r="H2696">
        <v>50</v>
      </c>
      <c r="I2696">
        <v>5</v>
      </c>
      <c r="J2696">
        <v>0</v>
      </c>
      <c r="K2696">
        <v>4.26</v>
      </c>
      <c r="L2696">
        <v>12.9</v>
      </c>
      <c r="M2696">
        <v>20.400000000000002</v>
      </c>
      <c r="N2696">
        <v>30.6</v>
      </c>
      <c r="O2696">
        <v>1678</v>
      </c>
      <c r="P2696">
        <v>607</v>
      </c>
      <c r="Q2696" s="5" t="e">
        <f>IF(AND(#REF!&gt;=table!$C$6,#REF!&lt;= table!$D$6),-1,IF(AND(#REF!&gt;=table!$E$6,#REF!&lt;=table!$F$6),1,0))</f>
        <v>#REF!</v>
      </c>
      <c r="R2696" s="5" t="e">
        <f>IF(AND(#REF!&gt;=table!$C$7,#REF!&lt;= table!$D$7),-1,IF(AND(#REF!&gt;=table!$E$7,#REF!&lt;=table!$F$7),1,0))</f>
        <v>#REF!</v>
      </c>
      <c r="S2696" s="5" t="e">
        <f>IF(AND(#REF!&gt;=table!$C$8,#REF!&lt;= table!$D$8),-1,IF(AND(#REF!&gt;=table!$E$8,#REF!&lt;=table!$F$8),1,0))</f>
        <v>#REF!</v>
      </c>
      <c r="T2696" s="5"/>
      <c r="U2696" s="5" t="e">
        <f>IF(AND(#REF!&gt;=table!$C$10,#REF!&lt;= table!$D$10),-1,IF(AND(#REF!&gt;=table!$E$10,#REF!&lt;=table!$F$10),1,0))</f>
        <v>#REF!</v>
      </c>
      <c r="V2696" s="5" t="e">
        <f>IF(AND(#REF!&gt;=table!$C$11,#REF!&lt;= table!$D$11),-1,IF(AND(#REF!&gt;=table!$E$11,#REF!&lt;=table!$F$11),1,0))</f>
        <v>#REF!</v>
      </c>
      <c r="W2696" s="5" t="e">
        <f>CONCATENATE(dados[[#This Row],[fator1]],dados[[#This Row],[fator5]],dados[[#This Row],[fator6]])</f>
        <v>#REF!</v>
      </c>
    </row>
    <row r="2697" spans="1:23">
      <c r="A2697" t="s">
        <v>17</v>
      </c>
      <c r="B2697">
        <v>584903</v>
      </c>
      <c r="C2697">
        <v>4</v>
      </c>
      <c r="D2697">
        <v>25</v>
      </c>
      <c r="E2697">
        <v>23</v>
      </c>
      <c r="F2697">
        <v>10</v>
      </c>
      <c r="G2697">
        <v>110</v>
      </c>
      <c r="H2697">
        <v>50</v>
      </c>
      <c r="I2697">
        <v>857</v>
      </c>
      <c r="J2697">
        <v>0</v>
      </c>
      <c r="K2697">
        <v>4.585</v>
      </c>
      <c r="L2697">
        <v>12</v>
      </c>
      <c r="M2697">
        <v>21.7</v>
      </c>
      <c r="N2697">
        <v>28.3</v>
      </c>
      <c r="O2697">
        <v>1672</v>
      </c>
      <c r="P2697">
        <v>0</v>
      </c>
      <c r="Q2697" s="5" t="e">
        <f>IF(AND(#REF!&gt;=table!$C$6,#REF!&lt;= table!$D$6),-1,IF(AND(#REF!&gt;=table!$E$6,#REF!&lt;=table!$F$6),1,0))</f>
        <v>#REF!</v>
      </c>
      <c r="R2697" s="5" t="e">
        <f>IF(AND(#REF!&gt;=table!$C$7,#REF!&lt;= table!$D$7),-1,IF(AND(#REF!&gt;=table!$E$7,#REF!&lt;=table!$F$7),1,0))</f>
        <v>#REF!</v>
      </c>
      <c r="S2697" s="5" t="e">
        <f>IF(AND(#REF!&gt;=table!$C$8,#REF!&lt;= table!$D$8),-1,IF(AND(#REF!&gt;=table!$E$8,#REF!&lt;=table!$F$8),1,0))</f>
        <v>#REF!</v>
      </c>
      <c r="T2697" s="5"/>
      <c r="U2697" s="5" t="e">
        <f>IF(AND(#REF!&gt;=table!$C$10,#REF!&lt;= table!$D$10),-1,IF(AND(#REF!&gt;=table!$E$10,#REF!&lt;=table!$F$10),1,0))</f>
        <v>#REF!</v>
      </c>
      <c r="V2697" s="5" t="e">
        <f>IF(AND(#REF!&gt;=table!$C$11,#REF!&lt;= table!$D$11),-1,IF(AND(#REF!&gt;=table!$E$11,#REF!&lt;=table!$F$11),1,0))</f>
        <v>#REF!</v>
      </c>
      <c r="W2697" s="5" t="e">
        <f>CONCATENATE(dados[[#This Row],[fator1]],dados[[#This Row],[fator5]],dados[[#This Row],[fator6]])</f>
        <v>#REF!</v>
      </c>
    </row>
    <row r="2698" spans="1:23">
      <c r="A2698" t="s">
        <v>16</v>
      </c>
      <c r="B2698">
        <v>584904</v>
      </c>
      <c r="C2698">
        <v>0.15</v>
      </c>
      <c r="D2698">
        <v>40</v>
      </c>
      <c r="E2698">
        <v>10</v>
      </c>
      <c r="F2698">
        <v>15</v>
      </c>
      <c r="G2698">
        <v>0</v>
      </c>
      <c r="H2698">
        <v>15</v>
      </c>
      <c r="I2698">
        <v>552</v>
      </c>
      <c r="J2698">
        <v>0</v>
      </c>
      <c r="K2698">
        <v>2.8250000000000002</v>
      </c>
      <c r="L2698">
        <v>10.9</v>
      </c>
      <c r="M2698">
        <v>9.4</v>
      </c>
      <c r="N2698">
        <v>8.9</v>
      </c>
      <c r="O2698">
        <v>1682</v>
      </c>
      <c r="P2698">
        <v>763</v>
      </c>
      <c r="Q2698" s="5" t="e">
        <f>IF(AND(#REF!&gt;=table!$C$6,#REF!&lt;= table!$D$6),-1,IF(AND(#REF!&gt;=table!$E$6,#REF!&lt;=table!$F$6),1,0))</f>
        <v>#REF!</v>
      </c>
      <c r="R2698" s="5" t="e">
        <f>IF(AND(#REF!&gt;=table!$C$7,#REF!&lt;= table!$D$7),-1,IF(AND(#REF!&gt;=table!$E$7,#REF!&lt;=table!$F$7),1,0))</f>
        <v>#REF!</v>
      </c>
      <c r="S2698" s="5" t="e">
        <f>IF(AND(#REF!&gt;=table!$C$8,#REF!&lt;= table!$D$8),-1,IF(AND(#REF!&gt;=table!$E$8,#REF!&lt;=table!$F$8),1,0))</f>
        <v>#REF!</v>
      </c>
      <c r="T2698" s="5"/>
      <c r="U2698" s="5" t="e">
        <f>IF(AND(#REF!&gt;=table!$C$10,#REF!&lt;= table!$D$10),-1,IF(AND(#REF!&gt;=table!$E$10,#REF!&lt;=table!$F$10),1,0))</f>
        <v>#REF!</v>
      </c>
      <c r="V2698" s="5" t="e">
        <f>IF(AND(#REF!&gt;=table!$C$11,#REF!&lt;= table!$D$11),-1,IF(AND(#REF!&gt;=table!$E$11,#REF!&lt;=table!$F$11),1,0))</f>
        <v>#REF!</v>
      </c>
      <c r="W2698" s="5" t="e">
        <f>CONCATENATE(dados[[#This Row],[fator1]],dados[[#This Row],[fator5]],dados[[#This Row],[fator6]])</f>
        <v>#REF!</v>
      </c>
    </row>
    <row r="2699" spans="1:23">
      <c r="A2699" t="s">
        <v>16</v>
      </c>
      <c r="B2699">
        <v>584911</v>
      </c>
      <c r="C2699">
        <v>16</v>
      </c>
      <c r="D2699">
        <v>35</v>
      </c>
      <c r="E2699">
        <v>36</v>
      </c>
      <c r="F2699">
        <v>10</v>
      </c>
      <c r="G2699">
        <v>0</v>
      </c>
      <c r="H2699">
        <v>25</v>
      </c>
      <c r="I2699">
        <v>471</v>
      </c>
      <c r="J2699">
        <v>0</v>
      </c>
      <c r="K2699">
        <v>5.3550000000000004</v>
      </c>
      <c r="L2699">
        <v>18.73</v>
      </c>
      <c r="M2699">
        <v>33.9</v>
      </c>
      <c r="N2699">
        <v>18.600000000000001</v>
      </c>
      <c r="O2699">
        <v>1688</v>
      </c>
      <c r="P2699">
        <v>500</v>
      </c>
      <c r="Q2699" s="5" t="e">
        <f>IF(AND(#REF!&gt;=table!$C$6,#REF!&lt;= table!$D$6),-1,IF(AND(#REF!&gt;=table!$E$6,#REF!&lt;=table!$F$6),1,0))</f>
        <v>#REF!</v>
      </c>
      <c r="R2699" s="5" t="e">
        <f>IF(AND(#REF!&gt;=table!$C$7,#REF!&lt;= table!$D$7),-1,IF(AND(#REF!&gt;=table!$E$7,#REF!&lt;=table!$F$7),1,0))</f>
        <v>#REF!</v>
      </c>
      <c r="S2699" s="5" t="e">
        <f>IF(AND(#REF!&gt;=table!$C$8,#REF!&lt;= table!$D$8),-1,IF(AND(#REF!&gt;=table!$E$8,#REF!&lt;=table!$F$8),1,0))</f>
        <v>#REF!</v>
      </c>
      <c r="T2699" s="5"/>
      <c r="U2699" s="5" t="e">
        <f>IF(AND(#REF!&gt;=table!$C$10,#REF!&lt;= table!$D$10),-1,IF(AND(#REF!&gt;=table!$E$10,#REF!&lt;=table!$F$10),1,0))</f>
        <v>#REF!</v>
      </c>
      <c r="V2699" s="5" t="e">
        <f>IF(AND(#REF!&gt;=table!$C$11,#REF!&lt;= table!$D$11),-1,IF(AND(#REF!&gt;=table!$E$11,#REF!&lt;=table!$F$11),1,0))</f>
        <v>#REF!</v>
      </c>
      <c r="W2699" s="5" t="e">
        <f>CONCATENATE(dados[[#This Row],[fator1]],dados[[#This Row],[fator5]],dados[[#This Row],[fator6]])</f>
        <v>#REF!</v>
      </c>
    </row>
    <row r="2700" spans="1:23">
      <c r="A2700" t="s">
        <v>16</v>
      </c>
      <c r="B2700">
        <v>584912</v>
      </c>
      <c r="C2700">
        <v>16</v>
      </c>
      <c r="D2700">
        <v>35</v>
      </c>
      <c r="E2700">
        <v>36</v>
      </c>
      <c r="F2700">
        <v>10</v>
      </c>
      <c r="G2700">
        <v>0</v>
      </c>
      <c r="H2700">
        <v>25</v>
      </c>
      <c r="I2700">
        <v>1115</v>
      </c>
      <c r="J2700">
        <v>0</v>
      </c>
      <c r="K2700">
        <v>5.65</v>
      </c>
      <c r="L2700">
        <v>18.75</v>
      </c>
      <c r="M2700">
        <v>30.7</v>
      </c>
      <c r="N2700">
        <v>14.35</v>
      </c>
      <c r="O2700">
        <v>1680</v>
      </c>
      <c r="P2700">
        <v>401</v>
      </c>
      <c r="Q2700" s="5" t="e">
        <f>IF(AND(#REF!&gt;=table!$C$6,#REF!&lt;= table!$D$6),-1,IF(AND(#REF!&gt;=table!$E$6,#REF!&lt;=table!$F$6),1,0))</f>
        <v>#REF!</v>
      </c>
      <c r="R2700" s="5" t="e">
        <f>IF(AND(#REF!&gt;=table!$C$7,#REF!&lt;= table!$D$7),-1,IF(AND(#REF!&gt;=table!$E$7,#REF!&lt;=table!$F$7),1,0))</f>
        <v>#REF!</v>
      </c>
      <c r="S2700" s="5" t="e">
        <f>IF(AND(#REF!&gt;=table!$C$8,#REF!&lt;= table!$D$8),-1,IF(AND(#REF!&gt;=table!$E$8,#REF!&lt;=table!$F$8),1,0))</f>
        <v>#REF!</v>
      </c>
      <c r="T2700" s="5"/>
      <c r="U2700" s="5" t="e">
        <f>IF(AND(#REF!&gt;=table!$C$10,#REF!&lt;= table!$D$10),-1,IF(AND(#REF!&gt;=table!$E$10,#REF!&lt;=table!$F$10),1,0))</f>
        <v>#REF!</v>
      </c>
      <c r="V2700" s="5" t="e">
        <f>IF(AND(#REF!&gt;=table!$C$11,#REF!&lt;= table!$D$11),-1,IF(AND(#REF!&gt;=table!$E$11,#REF!&lt;=table!$F$11),1,0))</f>
        <v>#REF!</v>
      </c>
      <c r="W2700" s="5" t="e">
        <f>CONCATENATE(dados[[#This Row],[fator1]],dados[[#This Row],[fator5]],dados[[#This Row],[fator6]])</f>
        <v>#REF!</v>
      </c>
    </row>
    <row r="2701" spans="1:23">
      <c r="A2701" t="s">
        <v>16</v>
      </c>
      <c r="B2701">
        <v>584914</v>
      </c>
      <c r="C2701">
        <v>16</v>
      </c>
      <c r="D2701">
        <v>35</v>
      </c>
      <c r="E2701">
        <v>36</v>
      </c>
      <c r="F2701">
        <v>10</v>
      </c>
      <c r="G2701">
        <v>0</v>
      </c>
      <c r="H2701">
        <v>25</v>
      </c>
      <c r="I2701">
        <v>577</v>
      </c>
      <c r="J2701">
        <v>0</v>
      </c>
      <c r="K2701">
        <v>3.54</v>
      </c>
      <c r="L2701">
        <v>10.85</v>
      </c>
      <c r="M2701">
        <v>27.25</v>
      </c>
      <c r="N2701">
        <v>12.85</v>
      </c>
      <c r="O2701">
        <v>1692</v>
      </c>
      <c r="P2701">
        <v>693</v>
      </c>
      <c r="Q2701" s="5" t="e">
        <f>IF(AND(#REF!&gt;=table!$C$6,#REF!&lt;= table!$D$6),-1,IF(AND(#REF!&gt;=table!$E$6,#REF!&lt;=table!$F$6),1,0))</f>
        <v>#REF!</v>
      </c>
      <c r="R2701" s="5" t="e">
        <f>IF(AND(#REF!&gt;=table!$C$7,#REF!&lt;= table!$D$7),-1,IF(AND(#REF!&gt;=table!$E$7,#REF!&lt;=table!$F$7),1,0))</f>
        <v>#REF!</v>
      </c>
      <c r="S2701" s="5" t="e">
        <f>IF(AND(#REF!&gt;=table!$C$8,#REF!&lt;= table!$D$8),-1,IF(AND(#REF!&gt;=table!$E$8,#REF!&lt;=table!$F$8),1,0))</f>
        <v>#REF!</v>
      </c>
      <c r="T2701" s="5"/>
      <c r="U2701" s="5" t="e">
        <f>IF(AND(#REF!&gt;=table!$C$10,#REF!&lt;= table!$D$10),-1,IF(AND(#REF!&gt;=table!$E$10,#REF!&lt;=table!$F$10),1,0))</f>
        <v>#REF!</v>
      </c>
      <c r="V2701" s="5" t="e">
        <f>IF(AND(#REF!&gt;=table!$C$11,#REF!&lt;= table!$D$11),-1,IF(AND(#REF!&gt;=table!$E$11,#REF!&lt;=table!$F$11),1,0))</f>
        <v>#REF!</v>
      </c>
      <c r="W2701" s="5" t="e">
        <f>CONCATENATE(dados[[#This Row],[fator1]],dados[[#This Row],[fator5]],dados[[#This Row],[fator6]])</f>
        <v>#REF!</v>
      </c>
    </row>
    <row r="2702" spans="1:23">
      <c r="A2702" t="s">
        <v>16</v>
      </c>
      <c r="B2702">
        <v>584915</v>
      </c>
      <c r="C2702">
        <v>3</v>
      </c>
      <c r="D2702">
        <v>30</v>
      </c>
      <c r="E2702">
        <v>21</v>
      </c>
      <c r="F2702">
        <v>15</v>
      </c>
      <c r="G2702">
        <v>0</v>
      </c>
      <c r="H2702">
        <v>25</v>
      </c>
      <c r="I2702">
        <v>1061</v>
      </c>
      <c r="J2702">
        <v>0</v>
      </c>
      <c r="K2702">
        <v>3.3250000000000002</v>
      </c>
      <c r="L2702">
        <v>16.600000000000001</v>
      </c>
      <c r="M2702">
        <v>25.7</v>
      </c>
      <c r="N2702">
        <v>12.5</v>
      </c>
      <c r="O2702">
        <v>1664</v>
      </c>
      <c r="P2702">
        <v>608</v>
      </c>
      <c r="Q2702" s="5" t="e">
        <f>IF(AND(#REF!&gt;=table!$C$6,#REF!&lt;= table!$D$6),-1,IF(AND(#REF!&gt;=table!$E$6,#REF!&lt;=table!$F$6),1,0))</f>
        <v>#REF!</v>
      </c>
      <c r="R2702" s="5" t="e">
        <f>IF(AND(#REF!&gt;=table!$C$7,#REF!&lt;= table!$D$7),-1,IF(AND(#REF!&gt;=table!$E$7,#REF!&lt;=table!$F$7),1,0))</f>
        <v>#REF!</v>
      </c>
      <c r="S2702" s="5" t="e">
        <f>IF(AND(#REF!&gt;=table!$C$8,#REF!&lt;= table!$D$8),-1,IF(AND(#REF!&gt;=table!$E$8,#REF!&lt;=table!$F$8),1,0))</f>
        <v>#REF!</v>
      </c>
      <c r="T2702" s="5"/>
      <c r="U2702" s="5" t="e">
        <f>IF(AND(#REF!&gt;=table!$C$10,#REF!&lt;= table!$D$10),-1,IF(AND(#REF!&gt;=table!$E$10,#REF!&lt;=table!$F$10),1,0))</f>
        <v>#REF!</v>
      </c>
      <c r="V2702" s="5" t="e">
        <f>IF(AND(#REF!&gt;=table!$C$11,#REF!&lt;= table!$D$11),-1,IF(AND(#REF!&gt;=table!$E$11,#REF!&lt;=table!$F$11),1,0))</f>
        <v>#REF!</v>
      </c>
      <c r="W2702" s="5" t="e">
        <f>CONCATENATE(dados[[#This Row],[fator1]],dados[[#This Row],[fator5]],dados[[#This Row],[fator6]])</f>
        <v>#REF!</v>
      </c>
    </row>
    <row r="2703" spans="1:23">
      <c r="A2703" t="s">
        <v>16</v>
      </c>
      <c r="B2703">
        <v>584916</v>
      </c>
      <c r="C2703">
        <v>16</v>
      </c>
      <c r="D2703">
        <v>27</v>
      </c>
      <c r="E2703">
        <v>36</v>
      </c>
      <c r="F2703">
        <v>8</v>
      </c>
      <c r="G2703">
        <v>0</v>
      </c>
      <c r="H2703">
        <v>25</v>
      </c>
      <c r="I2703">
        <v>1013</v>
      </c>
      <c r="J2703">
        <v>0</v>
      </c>
      <c r="K2703">
        <v>3.42</v>
      </c>
      <c r="L2703">
        <v>17.850000000000001</v>
      </c>
      <c r="M2703">
        <v>39.800000000000004</v>
      </c>
      <c r="N2703">
        <v>14.700000000000001</v>
      </c>
      <c r="O2703">
        <v>1694</v>
      </c>
      <c r="P2703">
        <v>523</v>
      </c>
      <c r="Q2703" s="5" t="e">
        <f>IF(AND(#REF!&gt;=table!$C$6,#REF!&lt;= table!$D$6),-1,IF(AND(#REF!&gt;=table!$E$6,#REF!&lt;=table!$F$6),1,0))</f>
        <v>#REF!</v>
      </c>
      <c r="R2703" s="5" t="e">
        <f>IF(AND(#REF!&gt;=table!$C$7,#REF!&lt;= table!$D$7),-1,IF(AND(#REF!&gt;=table!$E$7,#REF!&lt;=table!$F$7),1,0))</f>
        <v>#REF!</v>
      </c>
      <c r="S2703" s="5" t="e">
        <f>IF(AND(#REF!&gt;=table!$C$8,#REF!&lt;= table!$D$8),-1,IF(AND(#REF!&gt;=table!$E$8,#REF!&lt;=table!$F$8),1,0))</f>
        <v>#REF!</v>
      </c>
      <c r="T2703" s="5"/>
      <c r="U2703" s="5" t="e">
        <f>IF(AND(#REF!&gt;=table!$C$10,#REF!&lt;= table!$D$10),-1,IF(AND(#REF!&gt;=table!$E$10,#REF!&lt;=table!$F$10),1,0))</f>
        <v>#REF!</v>
      </c>
      <c r="V2703" s="5" t="e">
        <f>IF(AND(#REF!&gt;=table!$C$11,#REF!&lt;= table!$D$11),-1,IF(AND(#REF!&gt;=table!$E$11,#REF!&lt;=table!$F$11),1,0))</f>
        <v>#REF!</v>
      </c>
      <c r="W2703" s="5" t="e">
        <f>CONCATENATE(dados[[#This Row],[fator1]],dados[[#This Row],[fator5]],dados[[#This Row],[fator6]])</f>
        <v>#REF!</v>
      </c>
    </row>
    <row r="2704" spans="1:23">
      <c r="A2704" t="s">
        <v>16</v>
      </c>
      <c r="B2704">
        <v>584918</v>
      </c>
      <c r="C2704">
        <v>16</v>
      </c>
      <c r="D2704">
        <v>27</v>
      </c>
      <c r="E2704">
        <v>36</v>
      </c>
      <c r="F2704">
        <v>8</v>
      </c>
      <c r="G2704">
        <v>0</v>
      </c>
      <c r="H2704">
        <v>25</v>
      </c>
      <c r="I2704">
        <v>957</v>
      </c>
      <c r="J2704">
        <v>750</v>
      </c>
      <c r="K2704">
        <v>5.3550000000000004</v>
      </c>
      <c r="L2704">
        <v>27.7</v>
      </c>
      <c r="M2704">
        <v>30.05</v>
      </c>
      <c r="N2704">
        <v>16.7</v>
      </c>
      <c r="O2704">
        <v>1700</v>
      </c>
      <c r="P2704">
        <v>389</v>
      </c>
      <c r="Q2704" s="5" t="e">
        <f>IF(AND(#REF!&gt;=table!$C$6,#REF!&lt;= table!$D$6),-1,IF(AND(#REF!&gt;=table!$E$6,#REF!&lt;=table!$F$6),1,0))</f>
        <v>#REF!</v>
      </c>
      <c r="R2704" s="5" t="e">
        <f>IF(AND(#REF!&gt;=table!$C$7,#REF!&lt;= table!$D$7),-1,IF(AND(#REF!&gt;=table!$E$7,#REF!&lt;=table!$F$7),1,0))</f>
        <v>#REF!</v>
      </c>
      <c r="S2704" s="5" t="e">
        <f>IF(AND(#REF!&gt;=table!$C$8,#REF!&lt;= table!$D$8),-1,IF(AND(#REF!&gt;=table!$E$8,#REF!&lt;=table!$F$8),1,0))</f>
        <v>#REF!</v>
      </c>
      <c r="T2704" s="5"/>
      <c r="U2704" s="5" t="e">
        <f>IF(AND(#REF!&gt;=table!$C$10,#REF!&lt;= table!$D$10),-1,IF(AND(#REF!&gt;=table!$E$10,#REF!&lt;=table!$F$10),1,0))</f>
        <v>#REF!</v>
      </c>
      <c r="V2704" s="5" t="e">
        <f>IF(AND(#REF!&gt;=table!$C$11,#REF!&lt;= table!$D$11),-1,IF(AND(#REF!&gt;=table!$E$11,#REF!&lt;=table!$F$11),1,0))</f>
        <v>#REF!</v>
      </c>
      <c r="W2704" s="5" t="e">
        <f>CONCATENATE(dados[[#This Row],[fator1]],dados[[#This Row],[fator5]],dados[[#This Row],[fator6]])</f>
        <v>#REF!</v>
      </c>
    </row>
    <row r="2705" spans="1:23">
      <c r="A2705" t="s">
        <v>16</v>
      </c>
      <c r="B2705">
        <v>584921</v>
      </c>
      <c r="C2705">
        <v>0.15</v>
      </c>
      <c r="D2705">
        <v>40</v>
      </c>
      <c r="E2705">
        <v>10</v>
      </c>
      <c r="F2705">
        <v>15</v>
      </c>
      <c r="G2705">
        <v>0</v>
      </c>
      <c r="H2705">
        <v>15</v>
      </c>
      <c r="I2705">
        <v>1035</v>
      </c>
      <c r="J2705">
        <v>0</v>
      </c>
      <c r="K2705">
        <v>2.83</v>
      </c>
      <c r="L2705">
        <v>8.65</v>
      </c>
      <c r="M2705">
        <v>7.3550000000000004</v>
      </c>
      <c r="N2705">
        <v>9.0549999999999997</v>
      </c>
      <c r="O2705">
        <v>1695</v>
      </c>
      <c r="P2705">
        <v>0</v>
      </c>
      <c r="Q2705" s="5" t="e">
        <f>IF(AND(#REF!&gt;=table!$C$6,#REF!&lt;= table!$D$6),-1,IF(AND(#REF!&gt;=table!$E$6,#REF!&lt;=table!$F$6),1,0))</f>
        <v>#REF!</v>
      </c>
      <c r="R2705" s="5" t="e">
        <f>IF(AND(#REF!&gt;=table!$C$7,#REF!&lt;= table!$D$7),-1,IF(AND(#REF!&gt;=table!$E$7,#REF!&lt;=table!$F$7),1,0))</f>
        <v>#REF!</v>
      </c>
      <c r="S2705" s="5" t="e">
        <f>IF(AND(#REF!&gt;=table!$C$8,#REF!&lt;= table!$D$8),-1,IF(AND(#REF!&gt;=table!$E$8,#REF!&lt;=table!$F$8),1,0))</f>
        <v>#REF!</v>
      </c>
      <c r="T2705" s="5"/>
      <c r="U2705" s="5" t="e">
        <f>IF(AND(#REF!&gt;=table!$C$10,#REF!&lt;= table!$D$10),-1,IF(AND(#REF!&gt;=table!$E$10,#REF!&lt;=table!$F$10),1,0))</f>
        <v>#REF!</v>
      </c>
      <c r="V2705" s="5" t="e">
        <f>IF(AND(#REF!&gt;=table!$C$11,#REF!&lt;= table!$D$11),-1,IF(AND(#REF!&gt;=table!$E$11,#REF!&lt;=table!$F$11),1,0))</f>
        <v>#REF!</v>
      </c>
      <c r="W2705" s="5" t="e">
        <f>CONCATENATE(dados[[#This Row],[fator1]],dados[[#This Row],[fator5]],dados[[#This Row],[fator6]])</f>
        <v>#REF!</v>
      </c>
    </row>
    <row r="2706" spans="1:23">
      <c r="A2706" t="s">
        <v>16</v>
      </c>
      <c r="B2706">
        <v>584923</v>
      </c>
      <c r="C2706">
        <v>0.15</v>
      </c>
      <c r="D2706">
        <v>40</v>
      </c>
      <c r="E2706">
        <v>10</v>
      </c>
      <c r="F2706">
        <v>15</v>
      </c>
      <c r="G2706">
        <v>0</v>
      </c>
      <c r="H2706">
        <v>15</v>
      </c>
      <c r="I2706">
        <v>1234</v>
      </c>
      <c r="J2706">
        <v>0</v>
      </c>
      <c r="K2706">
        <v>5.28</v>
      </c>
      <c r="L2706">
        <v>11.755000000000001</v>
      </c>
      <c r="M2706">
        <v>9.370000000000001</v>
      </c>
      <c r="N2706">
        <v>5.6550000000000002</v>
      </c>
      <c r="O2706">
        <v>1685</v>
      </c>
      <c r="P2706">
        <v>0</v>
      </c>
      <c r="Q2706" s="5" t="e">
        <f>IF(AND(#REF!&gt;=table!$C$6,#REF!&lt;= table!$D$6),-1,IF(AND(#REF!&gt;=table!$E$6,#REF!&lt;=table!$F$6),1,0))</f>
        <v>#REF!</v>
      </c>
      <c r="R2706" s="5" t="e">
        <f>IF(AND(#REF!&gt;=table!$C$7,#REF!&lt;= table!$D$7),-1,IF(AND(#REF!&gt;=table!$E$7,#REF!&lt;=table!$F$7),1,0))</f>
        <v>#REF!</v>
      </c>
      <c r="S2706" s="5" t="e">
        <f>IF(AND(#REF!&gt;=table!$C$8,#REF!&lt;= table!$D$8),-1,IF(AND(#REF!&gt;=table!$E$8,#REF!&lt;=table!$F$8),1,0))</f>
        <v>#REF!</v>
      </c>
      <c r="T2706" s="5"/>
      <c r="U2706" s="5" t="e">
        <f>IF(AND(#REF!&gt;=table!$C$10,#REF!&lt;= table!$D$10),-1,IF(AND(#REF!&gt;=table!$E$10,#REF!&lt;=table!$F$10),1,0))</f>
        <v>#REF!</v>
      </c>
      <c r="V2706" s="5" t="e">
        <f>IF(AND(#REF!&gt;=table!$C$11,#REF!&lt;= table!$D$11),-1,IF(AND(#REF!&gt;=table!$E$11,#REF!&lt;=table!$F$11),1,0))</f>
        <v>#REF!</v>
      </c>
      <c r="W2706" s="5" t="e">
        <f>CONCATENATE(dados[[#This Row],[fator1]],dados[[#This Row],[fator5]],dados[[#This Row],[fator6]])</f>
        <v>#REF!</v>
      </c>
    </row>
    <row r="2707" spans="1:23">
      <c r="A2707" t="s">
        <v>16</v>
      </c>
      <c r="B2707">
        <v>584924</v>
      </c>
      <c r="C2707">
        <v>0.15</v>
      </c>
      <c r="D2707">
        <v>40</v>
      </c>
      <c r="E2707">
        <v>10</v>
      </c>
      <c r="F2707">
        <v>15</v>
      </c>
      <c r="G2707">
        <v>0</v>
      </c>
      <c r="H2707">
        <v>15</v>
      </c>
      <c r="I2707">
        <v>1500</v>
      </c>
      <c r="J2707">
        <v>0</v>
      </c>
      <c r="K2707">
        <v>4.5049999999999999</v>
      </c>
      <c r="L2707">
        <v>7.03</v>
      </c>
      <c r="M2707">
        <v>6.19</v>
      </c>
      <c r="N2707">
        <v>4.7050000000000001</v>
      </c>
      <c r="O2707">
        <v>1635</v>
      </c>
      <c r="P2707">
        <v>0</v>
      </c>
      <c r="Q2707" s="5" t="e">
        <f>IF(AND(#REF!&gt;=table!$C$6,#REF!&lt;= table!$D$6),-1,IF(AND(#REF!&gt;=table!$E$6,#REF!&lt;=table!$F$6),1,0))</f>
        <v>#REF!</v>
      </c>
      <c r="R2707" s="5" t="e">
        <f>IF(AND(#REF!&gt;=table!$C$7,#REF!&lt;= table!$D$7),-1,IF(AND(#REF!&gt;=table!$E$7,#REF!&lt;=table!$F$7),1,0))</f>
        <v>#REF!</v>
      </c>
      <c r="S2707" s="5" t="e">
        <f>IF(AND(#REF!&gt;=table!$C$8,#REF!&lt;= table!$D$8),-1,IF(AND(#REF!&gt;=table!$E$8,#REF!&lt;=table!$F$8),1,0))</f>
        <v>#REF!</v>
      </c>
      <c r="T2707" s="5"/>
      <c r="U2707" s="5" t="e">
        <f>IF(AND(#REF!&gt;=table!$C$10,#REF!&lt;= table!$D$10),-1,IF(AND(#REF!&gt;=table!$E$10,#REF!&lt;=table!$F$10),1,0))</f>
        <v>#REF!</v>
      </c>
      <c r="V2707" s="5" t="e">
        <f>IF(AND(#REF!&gt;=table!$C$11,#REF!&lt;= table!$D$11),-1,IF(AND(#REF!&gt;=table!$E$11,#REF!&lt;=table!$F$11),1,0))</f>
        <v>#REF!</v>
      </c>
      <c r="W2707" s="5" t="e">
        <f>CONCATENATE(dados[[#This Row],[fator1]],dados[[#This Row],[fator5]],dados[[#This Row],[fator6]])</f>
        <v>#REF!</v>
      </c>
    </row>
    <row r="2708" spans="1:23">
      <c r="A2708" t="s">
        <v>16</v>
      </c>
      <c r="B2708">
        <v>584927</v>
      </c>
      <c r="C2708">
        <v>0.15</v>
      </c>
      <c r="D2708">
        <v>40</v>
      </c>
      <c r="E2708">
        <v>10</v>
      </c>
      <c r="F2708">
        <v>15</v>
      </c>
      <c r="G2708">
        <v>0</v>
      </c>
      <c r="H2708">
        <v>15</v>
      </c>
      <c r="I2708">
        <v>161</v>
      </c>
      <c r="J2708">
        <v>0</v>
      </c>
      <c r="K2708">
        <v>3.085</v>
      </c>
      <c r="L2708">
        <v>12.3</v>
      </c>
      <c r="M2708">
        <v>9.8800000000000008</v>
      </c>
      <c r="N2708">
        <v>9.9700000000000006</v>
      </c>
      <c r="O2708">
        <v>1696</v>
      </c>
      <c r="P2708">
        <v>0</v>
      </c>
      <c r="Q2708" s="5" t="e">
        <f>IF(AND(#REF!&gt;=table!$C$6,#REF!&lt;= table!$D$6),-1,IF(AND(#REF!&gt;=table!$E$6,#REF!&lt;=table!$F$6),1,0))</f>
        <v>#REF!</v>
      </c>
      <c r="R2708" s="5" t="e">
        <f>IF(AND(#REF!&gt;=table!$C$7,#REF!&lt;= table!$D$7),-1,IF(AND(#REF!&gt;=table!$E$7,#REF!&lt;=table!$F$7),1,0))</f>
        <v>#REF!</v>
      </c>
      <c r="S2708" s="5" t="e">
        <f>IF(AND(#REF!&gt;=table!$C$8,#REF!&lt;= table!$D$8),-1,IF(AND(#REF!&gt;=table!$E$8,#REF!&lt;=table!$F$8),1,0))</f>
        <v>#REF!</v>
      </c>
      <c r="T2708" s="5"/>
      <c r="U2708" s="5" t="e">
        <f>IF(AND(#REF!&gt;=table!$C$10,#REF!&lt;= table!$D$10),-1,IF(AND(#REF!&gt;=table!$E$10,#REF!&lt;=table!$F$10),1,0))</f>
        <v>#REF!</v>
      </c>
      <c r="V2708" s="5" t="e">
        <f>IF(AND(#REF!&gt;=table!$C$11,#REF!&lt;= table!$D$11),-1,IF(AND(#REF!&gt;=table!$E$11,#REF!&lt;=table!$F$11),1,0))</f>
        <v>#REF!</v>
      </c>
      <c r="W2708" s="5" t="e">
        <f>CONCATENATE(dados[[#This Row],[fator1]],dados[[#This Row],[fator5]],dados[[#This Row],[fator6]])</f>
        <v>#REF!</v>
      </c>
    </row>
    <row r="2709" spans="1:23">
      <c r="A2709" t="s">
        <v>16</v>
      </c>
      <c r="B2709">
        <v>584928</v>
      </c>
      <c r="C2709">
        <v>9</v>
      </c>
      <c r="D2709">
        <v>35</v>
      </c>
      <c r="E2709">
        <v>36</v>
      </c>
      <c r="F2709">
        <v>9</v>
      </c>
      <c r="G2709">
        <v>0</v>
      </c>
      <c r="H2709">
        <v>25</v>
      </c>
      <c r="I2709">
        <v>763</v>
      </c>
      <c r="J2709">
        <v>0</v>
      </c>
      <c r="K2709">
        <v>3.7150000000000003</v>
      </c>
      <c r="L2709">
        <v>13.700000000000001</v>
      </c>
      <c r="M2709">
        <v>33.58</v>
      </c>
      <c r="N2709">
        <v>17.79</v>
      </c>
      <c r="O2709">
        <v>1685</v>
      </c>
      <c r="P2709">
        <v>849</v>
      </c>
      <c r="Q2709" s="5" t="e">
        <f>IF(AND(#REF!&gt;=table!$C$6,#REF!&lt;= table!$D$6),-1,IF(AND(#REF!&gt;=table!$E$6,#REF!&lt;=table!$F$6),1,0))</f>
        <v>#REF!</v>
      </c>
      <c r="R2709" s="5" t="e">
        <f>IF(AND(#REF!&gt;=table!$C$7,#REF!&lt;= table!$D$7),-1,IF(AND(#REF!&gt;=table!$E$7,#REF!&lt;=table!$F$7),1,0))</f>
        <v>#REF!</v>
      </c>
      <c r="S2709" s="5" t="e">
        <f>IF(AND(#REF!&gt;=table!$C$8,#REF!&lt;= table!$D$8),-1,IF(AND(#REF!&gt;=table!$E$8,#REF!&lt;=table!$F$8),1,0))</f>
        <v>#REF!</v>
      </c>
      <c r="T2709" s="5"/>
      <c r="U2709" s="5" t="e">
        <f>IF(AND(#REF!&gt;=table!$C$10,#REF!&lt;= table!$D$10),-1,IF(AND(#REF!&gt;=table!$E$10,#REF!&lt;=table!$F$10),1,0))</f>
        <v>#REF!</v>
      </c>
      <c r="V2709" s="5" t="e">
        <f>IF(AND(#REF!&gt;=table!$C$11,#REF!&lt;= table!$D$11),-1,IF(AND(#REF!&gt;=table!$E$11,#REF!&lt;=table!$F$11),1,0))</f>
        <v>#REF!</v>
      </c>
      <c r="W2709" s="5" t="e">
        <f>CONCATENATE(dados[[#This Row],[fator1]],dados[[#This Row],[fator5]],dados[[#This Row],[fator6]])</f>
        <v>#REF!</v>
      </c>
    </row>
    <row r="2710" spans="1:23">
      <c r="A2710" t="s">
        <v>17</v>
      </c>
      <c r="B2710">
        <v>584931</v>
      </c>
      <c r="C2710">
        <v>14</v>
      </c>
      <c r="D2710">
        <v>30</v>
      </c>
      <c r="E2710">
        <v>110</v>
      </c>
      <c r="F2710">
        <v>3</v>
      </c>
      <c r="G2710">
        <v>20</v>
      </c>
      <c r="H2710">
        <v>22</v>
      </c>
      <c r="I2710">
        <v>263</v>
      </c>
      <c r="J2710">
        <v>0</v>
      </c>
      <c r="K2710">
        <v>3.96</v>
      </c>
      <c r="L2710">
        <v>9.0500000000000007</v>
      </c>
      <c r="M2710">
        <v>84.600000000000009</v>
      </c>
      <c r="N2710">
        <v>10.950000000000001</v>
      </c>
      <c r="O2710">
        <v>1685</v>
      </c>
      <c r="P2710">
        <v>675</v>
      </c>
      <c r="Q2710" s="5" t="e">
        <f>IF(AND(#REF!&gt;=table!$C$6,#REF!&lt;= table!$D$6),-1,IF(AND(#REF!&gt;=table!$E$6,#REF!&lt;=table!$F$6),1,0))</f>
        <v>#REF!</v>
      </c>
      <c r="R2710" s="5" t="e">
        <f>IF(AND(#REF!&gt;=table!$C$7,#REF!&lt;= table!$D$7),-1,IF(AND(#REF!&gt;=table!$E$7,#REF!&lt;=table!$F$7),1,0))</f>
        <v>#REF!</v>
      </c>
      <c r="S2710" s="5" t="e">
        <f>IF(AND(#REF!&gt;=table!$C$8,#REF!&lt;= table!$D$8),-1,IF(AND(#REF!&gt;=table!$E$8,#REF!&lt;=table!$F$8),1,0))</f>
        <v>#REF!</v>
      </c>
      <c r="T2710" s="5"/>
      <c r="U2710" s="5" t="e">
        <f>IF(AND(#REF!&gt;=table!$C$10,#REF!&lt;= table!$D$10),-1,IF(AND(#REF!&gt;=table!$E$10,#REF!&lt;=table!$F$10),1,0))</f>
        <v>#REF!</v>
      </c>
      <c r="V2710" s="5" t="e">
        <f>IF(AND(#REF!&gt;=table!$C$11,#REF!&lt;= table!$D$11),-1,IF(AND(#REF!&gt;=table!$E$11,#REF!&lt;=table!$F$11),1,0))</f>
        <v>#REF!</v>
      </c>
      <c r="W2710" s="5" t="e">
        <f>CONCATENATE(dados[[#This Row],[fator1]],dados[[#This Row],[fator5]],dados[[#This Row],[fator6]])</f>
        <v>#REF!</v>
      </c>
    </row>
    <row r="2711" spans="1:23">
      <c r="A2711" t="s">
        <v>17</v>
      </c>
      <c r="B2711">
        <v>584933</v>
      </c>
      <c r="C2711">
        <v>14</v>
      </c>
      <c r="D2711">
        <v>30</v>
      </c>
      <c r="E2711">
        <v>110</v>
      </c>
      <c r="F2711">
        <v>4</v>
      </c>
      <c r="G2711">
        <v>20</v>
      </c>
      <c r="H2711">
        <v>22</v>
      </c>
      <c r="I2711">
        <v>1422</v>
      </c>
      <c r="J2711">
        <v>690</v>
      </c>
      <c r="K2711">
        <v>3.4750000000000001</v>
      </c>
      <c r="L2711">
        <v>8.4499999999999993</v>
      </c>
      <c r="M2711">
        <v>101.43</v>
      </c>
      <c r="N2711">
        <v>12.085000000000001</v>
      </c>
      <c r="O2711">
        <v>1671</v>
      </c>
      <c r="P2711">
        <v>720</v>
      </c>
      <c r="Q2711" s="5" t="e">
        <f>IF(AND(#REF!&gt;=table!$C$6,#REF!&lt;= table!$D$6),-1,IF(AND(#REF!&gt;=table!$E$6,#REF!&lt;=table!$F$6),1,0))</f>
        <v>#REF!</v>
      </c>
      <c r="R2711" s="5" t="e">
        <f>IF(AND(#REF!&gt;=table!$C$7,#REF!&lt;= table!$D$7),-1,IF(AND(#REF!&gt;=table!$E$7,#REF!&lt;=table!$F$7),1,0))</f>
        <v>#REF!</v>
      </c>
      <c r="S2711" s="5" t="e">
        <f>IF(AND(#REF!&gt;=table!$C$8,#REF!&lt;= table!$D$8),-1,IF(AND(#REF!&gt;=table!$E$8,#REF!&lt;=table!$F$8),1,0))</f>
        <v>#REF!</v>
      </c>
      <c r="T2711" s="5"/>
      <c r="U2711" s="5" t="e">
        <f>IF(AND(#REF!&gt;=table!$C$10,#REF!&lt;= table!$D$10),-1,IF(AND(#REF!&gt;=table!$E$10,#REF!&lt;=table!$F$10),1,0))</f>
        <v>#REF!</v>
      </c>
      <c r="V2711" s="5" t="e">
        <f>IF(AND(#REF!&gt;=table!$C$11,#REF!&lt;= table!$D$11),-1,IF(AND(#REF!&gt;=table!$E$11,#REF!&lt;=table!$F$11),1,0))</f>
        <v>#REF!</v>
      </c>
      <c r="W2711" s="5" t="e">
        <f>CONCATENATE(dados[[#This Row],[fator1]],dados[[#This Row],[fator5]],dados[[#This Row],[fator6]])</f>
        <v>#REF!</v>
      </c>
    </row>
    <row r="2712" spans="1:23">
      <c r="A2712" t="s">
        <v>16</v>
      </c>
      <c r="B2712">
        <v>584934</v>
      </c>
      <c r="C2712">
        <v>9</v>
      </c>
      <c r="D2712">
        <v>35</v>
      </c>
      <c r="E2712">
        <v>40</v>
      </c>
      <c r="F2712">
        <v>9</v>
      </c>
      <c r="G2712">
        <v>0</v>
      </c>
      <c r="H2712">
        <v>25</v>
      </c>
      <c r="I2712">
        <v>518</v>
      </c>
      <c r="J2712">
        <v>0</v>
      </c>
      <c r="K2712">
        <v>3.0350000000000001</v>
      </c>
      <c r="L2712">
        <v>8.35</v>
      </c>
      <c r="M2712">
        <v>36.75</v>
      </c>
      <c r="N2712">
        <v>10.3</v>
      </c>
      <c r="O2712">
        <v>1683</v>
      </c>
      <c r="P2712">
        <v>683</v>
      </c>
      <c r="Q2712" s="5" t="e">
        <f>IF(AND(#REF!&gt;=table!$C$6,#REF!&lt;= table!$D$6),-1,IF(AND(#REF!&gt;=table!$E$6,#REF!&lt;=table!$F$6),1,0))</f>
        <v>#REF!</v>
      </c>
      <c r="R2712" s="5" t="e">
        <f>IF(AND(#REF!&gt;=table!$C$7,#REF!&lt;= table!$D$7),-1,IF(AND(#REF!&gt;=table!$E$7,#REF!&lt;=table!$F$7),1,0))</f>
        <v>#REF!</v>
      </c>
      <c r="S2712" s="5" t="e">
        <f>IF(AND(#REF!&gt;=table!$C$8,#REF!&lt;= table!$D$8),-1,IF(AND(#REF!&gt;=table!$E$8,#REF!&lt;=table!$F$8),1,0))</f>
        <v>#REF!</v>
      </c>
      <c r="T2712" s="5"/>
      <c r="U2712" s="5" t="e">
        <f>IF(AND(#REF!&gt;=table!$C$10,#REF!&lt;= table!$D$10),-1,IF(AND(#REF!&gt;=table!$E$10,#REF!&lt;=table!$F$10),1,0))</f>
        <v>#REF!</v>
      </c>
      <c r="V2712" s="5" t="e">
        <f>IF(AND(#REF!&gt;=table!$C$11,#REF!&lt;= table!$D$11),-1,IF(AND(#REF!&gt;=table!$E$11,#REF!&lt;=table!$F$11),1,0))</f>
        <v>#REF!</v>
      </c>
      <c r="W2712" s="5" t="e">
        <f>CONCATENATE(dados[[#This Row],[fator1]],dados[[#This Row],[fator5]],dados[[#This Row],[fator6]])</f>
        <v>#REF!</v>
      </c>
    </row>
    <row r="2713" spans="1:23">
      <c r="A2713" t="s">
        <v>16</v>
      </c>
      <c r="B2713">
        <v>584936</v>
      </c>
      <c r="C2713">
        <v>9</v>
      </c>
      <c r="D2713">
        <v>27</v>
      </c>
      <c r="E2713">
        <v>36</v>
      </c>
      <c r="F2713">
        <v>8</v>
      </c>
      <c r="G2713">
        <v>0</v>
      </c>
      <c r="H2713">
        <v>25</v>
      </c>
      <c r="I2713">
        <v>51</v>
      </c>
      <c r="J2713">
        <v>650</v>
      </c>
      <c r="K2713">
        <v>2.39</v>
      </c>
      <c r="L2713">
        <v>19.45</v>
      </c>
      <c r="M2713">
        <v>24.150000000000002</v>
      </c>
      <c r="N2713">
        <v>12.35</v>
      </c>
      <c r="O2713">
        <v>1719</v>
      </c>
      <c r="P2713">
        <v>0</v>
      </c>
      <c r="Q2713" s="5" t="e">
        <f>IF(AND(#REF!&gt;=table!$C$6,#REF!&lt;= table!$D$6),-1,IF(AND(#REF!&gt;=table!$E$6,#REF!&lt;=table!$F$6),1,0))</f>
        <v>#REF!</v>
      </c>
      <c r="R2713" s="5" t="e">
        <f>IF(AND(#REF!&gt;=table!$C$7,#REF!&lt;= table!$D$7),-1,IF(AND(#REF!&gt;=table!$E$7,#REF!&lt;=table!$F$7),1,0))</f>
        <v>#REF!</v>
      </c>
      <c r="S2713" s="5" t="e">
        <f>IF(AND(#REF!&gt;=table!$C$8,#REF!&lt;= table!$D$8),-1,IF(AND(#REF!&gt;=table!$E$8,#REF!&lt;=table!$F$8),1,0))</f>
        <v>#REF!</v>
      </c>
      <c r="T2713" s="5"/>
      <c r="U2713" s="5" t="e">
        <f>IF(AND(#REF!&gt;=table!$C$10,#REF!&lt;= table!$D$10),-1,IF(AND(#REF!&gt;=table!$E$10,#REF!&lt;=table!$F$10),1,0))</f>
        <v>#REF!</v>
      </c>
      <c r="V2713" s="5" t="e">
        <f>IF(AND(#REF!&gt;=table!$C$11,#REF!&lt;= table!$D$11),-1,IF(AND(#REF!&gt;=table!$E$11,#REF!&lt;=table!$F$11),1,0))</f>
        <v>#REF!</v>
      </c>
      <c r="W2713" s="5" t="e">
        <f>CONCATENATE(dados[[#This Row],[fator1]],dados[[#This Row],[fator5]],dados[[#This Row],[fator6]])</f>
        <v>#REF!</v>
      </c>
    </row>
    <row r="2714" spans="1:23">
      <c r="A2714" t="s">
        <v>16</v>
      </c>
      <c r="B2714">
        <v>584937</v>
      </c>
      <c r="C2714">
        <v>9</v>
      </c>
      <c r="D2714">
        <v>27</v>
      </c>
      <c r="E2714">
        <v>36</v>
      </c>
      <c r="F2714">
        <v>8</v>
      </c>
      <c r="G2714">
        <v>0</v>
      </c>
      <c r="H2714">
        <v>25</v>
      </c>
      <c r="I2714">
        <v>59</v>
      </c>
      <c r="J2714">
        <v>0</v>
      </c>
      <c r="K2714">
        <v>2.2450000000000001</v>
      </c>
      <c r="L2714">
        <v>13.8</v>
      </c>
      <c r="M2714">
        <v>30.400000000000002</v>
      </c>
      <c r="N2714">
        <v>10.65</v>
      </c>
      <c r="O2714">
        <v>1664</v>
      </c>
      <c r="P2714">
        <v>0</v>
      </c>
      <c r="Q2714" s="5" t="e">
        <f>IF(AND(#REF!&gt;=table!$C$6,#REF!&lt;= table!$D$6),-1,IF(AND(#REF!&gt;=table!$E$6,#REF!&lt;=table!$F$6),1,0))</f>
        <v>#REF!</v>
      </c>
      <c r="R2714" s="5" t="e">
        <f>IF(AND(#REF!&gt;=table!$C$7,#REF!&lt;= table!$D$7),-1,IF(AND(#REF!&gt;=table!$E$7,#REF!&lt;=table!$F$7),1,0))</f>
        <v>#REF!</v>
      </c>
      <c r="S2714" s="5" t="e">
        <f>IF(AND(#REF!&gt;=table!$C$8,#REF!&lt;= table!$D$8),-1,IF(AND(#REF!&gt;=table!$E$8,#REF!&lt;=table!$F$8),1,0))</f>
        <v>#REF!</v>
      </c>
      <c r="T2714" s="5"/>
      <c r="U2714" s="5" t="e">
        <f>IF(AND(#REF!&gt;=table!$C$10,#REF!&lt;= table!$D$10),-1,IF(AND(#REF!&gt;=table!$E$10,#REF!&lt;=table!$F$10),1,0))</f>
        <v>#REF!</v>
      </c>
      <c r="V2714" s="5" t="e">
        <f>IF(AND(#REF!&gt;=table!$C$11,#REF!&lt;= table!$D$11),-1,IF(AND(#REF!&gt;=table!$E$11,#REF!&lt;=table!$F$11),1,0))</f>
        <v>#REF!</v>
      </c>
      <c r="W2714" s="5" t="e">
        <f>CONCATENATE(dados[[#This Row],[fator1]],dados[[#This Row],[fator5]],dados[[#This Row],[fator6]])</f>
        <v>#REF!</v>
      </c>
    </row>
    <row r="2715" spans="1:23">
      <c r="A2715" t="s">
        <v>16</v>
      </c>
      <c r="B2715">
        <v>584938</v>
      </c>
      <c r="C2715">
        <v>9</v>
      </c>
      <c r="D2715">
        <v>27</v>
      </c>
      <c r="E2715">
        <v>36</v>
      </c>
      <c r="F2715">
        <v>8</v>
      </c>
      <c r="G2715">
        <v>0</v>
      </c>
      <c r="H2715">
        <v>25</v>
      </c>
      <c r="I2715">
        <v>6</v>
      </c>
      <c r="J2715">
        <v>0</v>
      </c>
      <c r="K2715">
        <v>5.7250000000000005</v>
      </c>
      <c r="L2715">
        <v>20.490000000000002</v>
      </c>
      <c r="M2715">
        <v>32.200000000000003</v>
      </c>
      <c r="N2715">
        <v>17.05</v>
      </c>
      <c r="O2715">
        <v>1689</v>
      </c>
      <c r="P2715">
        <v>0</v>
      </c>
      <c r="Q2715" s="5" t="e">
        <f>IF(AND(#REF!&gt;=table!$C$6,#REF!&lt;= table!$D$6),-1,IF(AND(#REF!&gt;=table!$E$6,#REF!&lt;=table!$F$6),1,0))</f>
        <v>#REF!</v>
      </c>
      <c r="R2715" s="5" t="e">
        <f>IF(AND(#REF!&gt;=table!$C$7,#REF!&lt;= table!$D$7),-1,IF(AND(#REF!&gt;=table!$E$7,#REF!&lt;=table!$F$7),1,0))</f>
        <v>#REF!</v>
      </c>
      <c r="S2715" s="5" t="e">
        <f>IF(AND(#REF!&gt;=table!$C$8,#REF!&lt;= table!$D$8),-1,IF(AND(#REF!&gt;=table!$E$8,#REF!&lt;=table!$F$8),1,0))</f>
        <v>#REF!</v>
      </c>
      <c r="T2715" s="5"/>
      <c r="U2715" s="5" t="e">
        <f>IF(AND(#REF!&gt;=table!$C$10,#REF!&lt;= table!$D$10),-1,IF(AND(#REF!&gt;=table!$E$10,#REF!&lt;=table!$F$10),1,0))</f>
        <v>#REF!</v>
      </c>
      <c r="V2715" s="5" t="e">
        <f>IF(AND(#REF!&gt;=table!$C$11,#REF!&lt;= table!$D$11),-1,IF(AND(#REF!&gt;=table!$E$11,#REF!&lt;=table!$F$11),1,0))</f>
        <v>#REF!</v>
      </c>
      <c r="W2715" s="5" t="e">
        <f>CONCATENATE(dados[[#This Row],[fator1]],dados[[#This Row],[fator5]],dados[[#This Row],[fator6]])</f>
        <v>#REF!</v>
      </c>
    </row>
    <row r="2716" spans="1:23">
      <c r="A2716" t="s">
        <v>16</v>
      </c>
      <c r="B2716">
        <v>584939</v>
      </c>
      <c r="C2716">
        <v>9</v>
      </c>
      <c r="D2716">
        <v>40</v>
      </c>
      <c r="E2716">
        <v>46</v>
      </c>
      <c r="F2716">
        <v>15</v>
      </c>
      <c r="G2716">
        <v>0</v>
      </c>
      <c r="H2716">
        <v>25</v>
      </c>
      <c r="I2716">
        <v>186</v>
      </c>
      <c r="J2716">
        <v>0</v>
      </c>
      <c r="K2716">
        <v>4.7350000000000003</v>
      </c>
      <c r="L2716">
        <v>12.700000000000001</v>
      </c>
      <c r="M2716">
        <v>41.15</v>
      </c>
      <c r="N2716">
        <v>9.5</v>
      </c>
      <c r="O2716">
        <v>1638</v>
      </c>
      <c r="P2716">
        <v>415</v>
      </c>
      <c r="Q2716" s="5" t="e">
        <f>IF(AND(#REF!&gt;=table!$C$6,#REF!&lt;= table!$D$6),-1,IF(AND(#REF!&gt;=table!$E$6,#REF!&lt;=table!$F$6),1,0))</f>
        <v>#REF!</v>
      </c>
      <c r="R2716" s="5" t="e">
        <f>IF(AND(#REF!&gt;=table!$C$7,#REF!&lt;= table!$D$7),-1,IF(AND(#REF!&gt;=table!$E$7,#REF!&lt;=table!$F$7),1,0))</f>
        <v>#REF!</v>
      </c>
      <c r="S2716" s="5" t="e">
        <f>IF(AND(#REF!&gt;=table!$C$8,#REF!&lt;= table!$D$8),-1,IF(AND(#REF!&gt;=table!$E$8,#REF!&lt;=table!$F$8),1,0))</f>
        <v>#REF!</v>
      </c>
      <c r="T2716" s="5"/>
      <c r="U2716" s="5" t="e">
        <f>IF(AND(#REF!&gt;=table!$C$10,#REF!&lt;= table!$D$10),-1,IF(AND(#REF!&gt;=table!$E$10,#REF!&lt;=table!$F$10),1,0))</f>
        <v>#REF!</v>
      </c>
      <c r="V2716" s="5" t="e">
        <f>IF(AND(#REF!&gt;=table!$C$11,#REF!&lt;= table!$D$11),-1,IF(AND(#REF!&gt;=table!$E$11,#REF!&lt;=table!$F$11),1,0))</f>
        <v>#REF!</v>
      </c>
      <c r="W2716" s="5" t="e">
        <f>CONCATENATE(dados[[#This Row],[fator1]],dados[[#This Row],[fator5]],dados[[#This Row],[fator6]])</f>
        <v>#REF!</v>
      </c>
    </row>
    <row r="2717" spans="1:23">
      <c r="A2717" t="s">
        <v>16</v>
      </c>
      <c r="B2717">
        <v>584941</v>
      </c>
      <c r="C2717">
        <v>9</v>
      </c>
      <c r="D2717">
        <v>40</v>
      </c>
      <c r="E2717">
        <v>46</v>
      </c>
      <c r="F2717">
        <v>15</v>
      </c>
      <c r="G2717">
        <v>0</v>
      </c>
      <c r="H2717">
        <v>25</v>
      </c>
      <c r="I2717">
        <v>1144</v>
      </c>
      <c r="J2717">
        <v>0</v>
      </c>
      <c r="K2717">
        <v>4.9050000000000002</v>
      </c>
      <c r="L2717">
        <v>10.77</v>
      </c>
      <c r="M2717">
        <v>39.325000000000003</v>
      </c>
      <c r="N2717">
        <v>11.075000000000001</v>
      </c>
      <c r="O2717">
        <v>1673</v>
      </c>
      <c r="P2717">
        <v>0</v>
      </c>
      <c r="Q2717" s="5" t="e">
        <f>IF(AND(#REF!&gt;=table!$C$6,#REF!&lt;= table!$D$6),-1,IF(AND(#REF!&gt;=table!$E$6,#REF!&lt;=table!$F$6),1,0))</f>
        <v>#REF!</v>
      </c>
      <c r="R2717" s="5" t="e">
        <f>IF(AND(#REF!&gt;=table!$C$7,#REF!&lt;= table!$D$7),-1,IF(AND(#REF!&gt;=table!$E$7,#REF!&lt;=table!$F$7),1,0))</f>
        <v>#REF!</v>
      </c>
      <c r="S2717" s="5" t="e">
        <f>IF(AND(#REF!&gt;=table!$C$8,#REF!&lt;= table!$D$8),-1,IF(AND(#REF!&gt;=table!$E$8,#REF!&lt;=table!$F$8),1,0))</f>
        <v>#REF!</v>
      </c>
      <c r="T2717" s="5"/>
      <c r="U2717" s="5" t="e">
        <f>IF(AND(#REF!&gt;=table!$C$10,#REF!&lt;= table!$D$10),-1,IF(AND(#REF!&gt;=table!$E$10,#REF!&lt;=table!$F$10),1,0))</f>
        <v>#REF!</v>
      </c>
      <c r="V2717" s="5" t="e">
        <f>IF(AND(#REF!&gt;=table!$C$11,#REF!&lt;= table!$D$11),-1,IF(AND(#REF!&gt;=table!$E$11,#REF!&lt;=table!$F$11),1,0))</f>
        <v>#REF!</v>
      </c>
      <c r="W2717" s="5" t="e">
        <f>CONCATENATE(dados[[#This Row],[fator1]],dados[[#This Row],[fator5]],dados[[#This Row],[fator6]])</f>
        <v>#REF!</v>
      </c>
    </row>
    <row r="2718" spans="1:23">
      <c r="A2718" t="s">
        <v>16</v>
      </c>
      <c r="B2718">
        <v>584942</v>
      </c>
      <c r="C2718">
        <v>9</v>
      </c>
      <c r="D2718">
        <v>40</v>
      </c>
      <c r="E2718">
        <v>46</v>
      </c>
      <c r="F2718">
        <v>15</v>
      </c>
      <c r="G2718">
        <v>0</v>
      </c>
      <c r="H2718">
        <v>25</v>
      </c>
      <c r="I2718">
        <v>636</v>
      </c>
      <c r="J2718">
        <v>0</v>
      </c>
      <c r="K2718">
        <v>4.5350000000000001</v>
      </c>
      <c r="L2718">
        <v>13.245000000000001</v>
      </c>
      <c r="M2718">
        <v>41.774999999999999</v>
      </c>
      <c r="N2718">
        <v>15.465</v>
      </c>
      <c r="O2718">
        <v>1671</v>
      </c>
      <c r="P2718">
        <v>0</v>
      </c>
      <c r="Q2718" s="5" t="e">
        <f>IF(AND(#REF!&gt;=table!$C$6,#REF!&lt;= table!$D$6),-1,IF(AND(#REF!&gt;=table!$E$6,#REF!&lt;=table!$F$6),1,0))</f>
        <v>#REF!</v>
      </c>
      <c r="R2718" s="5" t="e">
        <f>IF(AND(#REF!&gt;=table!$C$7,#REF!&lt;= table!$D$7),-1,IF(AND(#REF!&gt;=table!$E$7,#REF!&lt;=table!$F$7),1,0))</f>
        <v>#REF!</v>
      </c>
      <c r="S2718" s="5" t="e">
        <f>IF(AND(#REF!&gt;=table!$C$8,#REF!&lt;= table!$D$8),-1,IF(AND(#REF!&gt;=table!$E$8,#REF!&lt;=table!$F$8),1,0))</f>
        <v>#REF!</v>
      </c>
      <c r="T2718" s="5"/>
      <c r="U2718" s="5" t="e">
        <f>IF(AND(#REF!&gt;=table!$C$10,#REF!&lt;= table!$D$10),-1,IF(AND(#REF!&gt;=table!$E$10,#REF!&lt;=table!$F$10),1,0))</f>
        <v>#REF!</v>
      </c>
      <c r="V2718" s="5" t="e">
        <f>IF(AND(#REF!&gt;=table!$C$11,#REF!&lt;= table!$D$11),-1,IF(AND(#REF!&gt;=table!$E$11,#REF!&lt;=table!$F$11),1,0))</f>
        <v>#REF!</v>
      </c>
      <c r="W2718" s="5" t="e">
        <f>CONCATENATE(dados[[#This Row],[fator1]],dados[[#This Row],[fator5]],dados[[#This Row],[fator6]])</f>
        <v>#REF!</v>
      </c>
    </row>
    <row r="2719" spans="1:23">
      <c r="A2719" t="s">
        <v>17</v>
      </c>
      <c r="B2719">
        <v>584948</v>
      </c>
      <c r="C2719">
        <v>15</v>
      </c>
      <c r="D2719">
        <v>35</v>
      </c>
      <c r="E2719">
        <v>220</v>
      </c>
      <c r="F2719">
        <v>6</v>
      </c>
      <c r="G2719">
        <v>45</v>
      </c>
      <c r="H2719">
        <v>25</v>
      </c>
      <c r="I2719">
        <v>1497</v>
      </c>
      <c r="J2719">
        <v>1020</v>
      </c>
      <c r="K2719">
        <v>2.5050000000000003</v>
      </c>
      <c r="L2719">
        <v>13.6</v>
      </c>
      <c r="M2719">
        <v>162.95000000000002</v>
      </c>
      <c r="N2719">
        <v>12.450000000000001</v>
      </c>
      <c r="O2719">
        <v>1737</v>
      </c>
      <c r="P2719">
        <v>0</v>
      </c>
      <c r="Q2719" s="5" t="e">
        <f>IF(AND(#REF!&gt;=table!$C$6,#REF!&lt;= table!$D$6),-1,IF(AND(#REF!&gt;=table!$E$6,#REF!&lt;=table!$F$6),1,0))</f>
        <v>#REF!</v>
      </c>
      <c r="R2719" s="5" t="e">
        <f>IF(AND(#REF!&gt;=table!$C$7,#REF!&lt;= table!$D$7),-1,IF(AND(#REF!&gt;=table!$E$7,#REF!&lt;=table!$F$7),1,0))</f>
        <v>#REF!</v>
      </c>
      <c r="S2719" s="5" t="e">
        <f>IF(AND(#REF!&gt;=table!$C$8,#REF!&lt;= table!$D$8),-1,IF(AND(#REF!&gt;=table!$E$8,#REF!&lt;=table!$F$8),1,0))</f>
        <v>#REF!</v>
      </c>
      <c r="T2719" s="5"/>
      <c r="U2719" s="5" t="e">
        <f>IF(AND(#REF!&gt;=table!$C$10,#REF!&lt;= table!$D$10),-1,IF(AND(#REF!&gt;=table!$E$10,#REF!&lt;=table!$F$10),1,0))</f>
        <v>#REF!</v>
      </c>
      <c r="V2719" s="5" t="e">
        <f>IF(AND(#REF!&gt;=table!$C$11,#REF!&lt;= table!$D$11),-1,IF(AND(#REF!&gt;=table!$E$11,#REF!&lt;=table!$F$11),1,0))</f>
        <v>#REF!</v>
      </c>
      <c r="W2719" s="5" t="e">
        <f>CONCATENATE(dados[[#This Row],[fator1]],dados[[#This Row],[fator5]],dados[[#This Row],[fator6]])</f>
        <v>#REF!</v>
      </c>
    </row>
    <row r="2720" spans="1:23">
      <c r="A2720" t="s">
        <v>17</v>
      </c>
      <c r="B2720">
        <v>584952</v>
      </c>
      <c r="C2720">
        <v>7</v>
      </c>
      <c r="D2720">
        <v>35</v>
      </c>
      <c r="E2720">
        <v>200</v>
      </c>
      <c r="F2720">
        <v>8</v>
      </c>
      <c r="G2720">
        <v>50</v>
      </c>
      <c r="H2720">
        <v>25</v>
      </c>
      <c r="I2720">
        <v>0</v>
      </c>
      <c r="J2720">
        <v>0</v>
      </c>
      <c r="K2720">
        <v>2.7</v>
      </c>
      <c r="L2720">
        <v>7.2</v>
      </c>
      <c r="M2720">
        <v>177.9</v>
      </c>
      <c r="N2720">
        <v>13.790000000000001</v>
      </c>
      <c r="O2720">
        <v>1683</v>
      </c>
      <c r="P2720">
        <v>0</v>
      </c>
      <c r="Q2720" s="5" t="e">
        <f>IF(AND(#REF!&gt;=table!$C$6,#REF!&lt;= table!$D$6),-1,IF(AND(#REF!&gt;=table!$E$6,#REF!&lt;=table!$F$6),1,0))</f>
        <v>#REF!</v>
      </c>
      <c r="R2720" s="5" t="e">
        <f>IF(AND(#REF!&gt;=table!$C$7,#REF!&lt;= table!$D$7),-1,IF(AND(#REF!&gt;=table!$E$7,#REF!&lt;=table!$F$7),1,0))</f>
        <v>#REF!</v>
      </c>
      <c r="S2720" s="5" t="e">
        <f>IF(AND(#REF!&gt;=table!$C$8,#REF!&lt;= table!$D$8),-1,IF(AND(#REF!&gt;=table!$E$8,#REF!&lt;=table!$F$8),1,0))</f>
        <v>#REF!</v>
      </c>
      <c r="T2720" s="5"/>
      <c r="U2720" s="5" t="e">
        <f>IF(AND(#REF!&gt;=table!$C$10,#REF!&lt;= table!$D$10),-1,IF(AND(#REF!&gt;=table!$E$10,#REF!&lt;=table!$F$10),1,0))</f>
        <v>#REF!</v>
      </c>
      <c r="V2720" s="5" t="e">
        <f>IF(AND(#REF!&gt;=table!$C$11,#REF!&lt;= table!$D$11),-1,IF(AND(#REF!&gt;=table!$E$11,#REF!&lt;=table!$F$11),1,0))</f>
        <v>#REF!</v>
      </c>
      <c r="W2720" s="5" t="e">
        <f>CONCATENATE(dados[[#This Row],[fator1]],dados[[#This Row],[fator5]],dados[[#This Row],[fator6]])</f>
        <v>#REF!</v>
      </c>
    </row>
    <row r="2721" spans="1:23">
      <c r="A2721" t="s">
        <v>17</v>
      </c>
      <c r="B2721">
        <v>584954</v>
      </c>
      <c r="C2721">
        <v>4</v>
      </c>
      <c r="D2721">
        <v>25</v>
      </c>
      <c r="E2721">
        <v>23</v>
      </c>
      <c r="F2721">
        <v>10</v>
      </c>
      <c r="G2721">
        <v>110</v>
      </c>
      <c r="H2721">
        <v>50</v>
      </c>
      <c r="I2721">
        <v>980</v>
      </c>
      <c r="J2721">
        <v>0</v>
      </c>
      <c r="K2721">
        <v>2.2350000000000003</v>
      </c>
      <c r="L2721">
        <v>14.75</v>
      </c>
      <c r="M2721">
        <v>18.2</v>
      </c>
      <c r="N2721">
        <v>34</v>
      </c>
      <c r="O2721">
        <v>1669</v>
      </c>
      <c r="P2721">
        <v>0</v>
      </c>
      <c r="Q2721" s="5" t="e">
        <f>IF(AND(#REF!&gt;=table!$C$6,#REF!&lt;= table!$D$6),-1,IF(AND(#REF!&gt;=table!$E$6,#REF!&lt;=table!$F$6),1,0))</f>
        <v>#REF!</v>
      </c>
      <c r="R2721" s="5" t="e">
        <f>IF(AND(#REF!&gt;=table!$C$7,#REF!&lt;= table!$D$7),-1,IF(AND(#REF!&gt;=table!$E$7,#REF!&lt;=table!$F$7),1,0))</f>
        <v>#REF!</v>
      </c>
      <c r="S2721" s="5" t="e">
        <f>IF(AND(#REF!&gt;=table!$C$8,#REF!&lt;= table!$D$8),-1,IF(AND(#REF!&gt;=table!$E$8,#REF!&lt;=table!$F$8),1,0))</f>
        <v>#REF!</v>
      </c>
      <c r="T2721" s="5"/>
      <c r="U2721" s="5" t="e">
        <f>IF(AND(#REF!&gt;=table!$C$10,#REF!&lt;= table!$D$10),-1,IF(AND(#REF!&gt;=table!$E$10,#REF!&lt;=table!$F$10),1,0))</f>
        <v>#REF!</v>
      </c>
      <c r="V2721" s="5" t="e">
        <f>IF(AND(#REF!&gt;=table!$C$11,#REF!&lt;= table!$D$11),-1,IF(AND(#REF!&gt;=table!$E$11,#REF!&lt;=table!$F$11),1,0))</f>
        <v>#REF!</v>
      </c>
      <c r="W2721" s="5" t="e">
        <f>CONCATENATE(dados[[#This Row],[fator1]],dados[[#This Row],[fator5]],dados[[#This Row],[fator6]])</f>
        <v>#REF!</v>
      </c>
    </row>
    <row r="2722" spans="1:23">
      <c r="A2722" t="s">
        <v>16</v>
      </c>
      <c r="B2722">
        <v>584955</v>
      </c>
      <c r="C2722">
        <v>6</v>
      </c>
      <c r="D2722">
        <v>25</v>
      </c>
      <c r="E2722">
        <v>120</v>
      </c>
      <c r="F2722">
        <v>4</v>
      </c>
      <c r="G2722">
        <v>0</v>
      </c>
      <c r="H2722">
        <v>55</v>
      </c>
      <c r="I2722">
        <v>1441</v>
      </c>
      <c r="J2722">
        <v>360</v>
      </c>
      <c r="K2722">
        <v>2.2480000000000002</v>
      </c>
      <c r="L2722">
        <v>16.355</v>
      </c>
      <c r="M2722">
        <v>101.65</v>
      </c>
      <c r="N2722">
        <v>40.9</v>
      </c>
      <c r="O2722">
        <v>1666</v>
      </c>
      <c r="P2722">
        <v>553</v>
      </c>
      <c r="Q2722" s="5" t="e">
        <f>IF(AND(#REF!&gt;=table!$C$6,#REF!&lt;= table!$D$6),-1,IF(AND(#REF!&gt;=table!$E$6,#REF!&lt;=table!$F$6),1,0))</f>
        <v>#REF!</v>
      </c>
      <c r="R2722" s="5" t="e">
        <f>IF(AND(#REF!&gt;=table!$C$7,#REF!&lt;= table!$D$7),-1,IF(AND(#REF!&gt;=table!$E$7,#REF!&lt;=table!$F$7),1,0))</f>
        <v>#REF!</v>
      </c>
      <c r="S2722" s="5" t="e">
        <f>IF(AND(#REF!&gt;=table!$C$8,#REF!&lt;= table!$D$8),-1,IF(AND(#REF!&gt;=table!$E$8,#REF!&lt;=table!$F$8),1,0))</f>
        <v>#REF!</v>
      </c>
      <c r="T2722" s="5"/>
      <c r="U2722" s="5" t="e">
        <f>IF(AND(#REF!&gt;=table!$C$10,#REF!&lt;= table!$D$10),-1,IF(AND(#REF!&gt;=table!$E$10,#REF!&lt;=table!$F$10),1,0))</f>
        <v>#REF!</v>
      </c>
      <c r="V2722" s="5" t="e">
        <f>IF(AND(#REF!&gt;=table!$C$11,#REF!&lt;= table!$D$11),-1,IF(AND(#REF!&gt;=table!$E$11,#REF!&lt;=table!$F$11),1,0))</f>
        <v>#REF!</v>
      </c>
      <c r="W2722" s="5" t="e">
        <f>CONCATENATE(dados[[#This Row],[fator1]],dados[[#This Row],[fator5]],dados[[#This Row],[fator6]])</f>
        <v>#REF!</v>
      </c>
    </row>
    <row r="2723" spans="1:23">
      <c r="A2723" t="s">
        <v>16</v>
      </c>
      <c r="B2723">
        <v>584956</v>
      </c>
      <c r="C2723">
        <v>5</v>
      </c>
      <c r="D2723">
        <v>25</v>
      </c>
      <c r="E2723">
        <v>120</v>
      </c>
      <c r="F2723">
        <v>4</v>
      </c>
      <c r="G2723">
        <v>0</v>
      </c>
      <c r="H2723">
        <v>55</v>
      </c>
      <c r="I2723">
        <v>689</v>
      </c>
      <c r="J2723">
        <v>330</v>
      </c>
      <c r="K2723">
        <v>3.3050000000000002</v>
      </c>
      <c r="L2723">
        <v>20.650000000000002</v>
      </c>
      <c r="M2723">
        <v>98.814999999999998</v>
      </c>
      <c r="N2723">
        <v>42.35</v>
      </c>
      <c r="O2723">
        <v>1698</v>
      </c>
      <c r="P2723">
        <v>0</v>
      </c>
      <c r="Q2723" s="5" t="e">
        <f>IF(AND(#REF!&gt;=table!$C$6,#REF!&lt;= table!$D$6),-1,IF(AND(#REF!&gt;=table!$E$6,#REF!&lt;=table!$F$6),1,0))</f>
        <v>#REF!</v>
      </c>
      <c r="R2723" s="5" t="e">
        <f>IF(AND(#REF!&gt;=table!$C$7,#REF!&lt;= table!$D$7),-1,IF(AND(#REF!&gt;=table!$E$7,#REF!&lt;=table!$F$7),1,0))</f>
        <v>#REF!</v>
      </c>
      <c r="S2723" s="5" t="e">
        <f>IF(AND(#REF!&gt;=table!$C$8,#REF!&lt;= table!$D$8),-1,IF(AND(#REF!&gt;=table!$E$8,#REF!&lt;=table!$F$8),1,0))</f>
        <v>#REF!</v>
      </c>
      <c r="T2723" s="5"/>
      <c r="U2723" s="5" t="e">
        <f>IF(AND(#REF!&gt;=table!$C$10,#REF!&lt;= table!$D$10),-1,IF(AND(#REF!&gt;=table!$E$10,#REF!&lt;=table!$F$10),1,0))</f>
        <v>#REF!</v>
      </c>
      <c r="V2723" s="5" t="e">
        <f>IF(AND(#REF!&gt;=table!$C$11,#REF!&lt;= table!$D$11),-1,IF(AND(#REF!&gt;=table!$E$11,#REF!&lt;=table!$F$11),1,0))</f>
        <v>#REF!</v>
      </c>
      <c r="W2723" s="5" t="e">
        <f>CONCATENATE(dados[[#This Row],[fator1]],dados[[#This Row],[fator5]],dados[[#This Row],[fator6]])</f>
        <v>#REF!</v>
      </c>
    </row>
    <row r="2724" spans="1:23">
      <c r="A2724" t="s">
        <v>16</v>
      </c>
      <c r="B2724">
        <v>584958</v>
      </c>
      <c r="C2724">
        <v>6</v>
      </c>
      <c r="D2724">
        <v>25</v>
      </c>
      <c r="E2724">
        <v>120</v>
      </c>
      <c r="F2724">
        <v>4</v>
      </c>
      <c r="G2724">
        <v>0</v>
      </c>
      <c r="H2724">
        <v>55</v>
      </c>
      <c r="I2724">
        <v>825</v>
      </c>
      <c r="J2724">
        <v>620</v>
      </c>
      <c r="K2724">
        <v>4.4800000000000004</v>
      </c>
      <c r="L2724">
        <v>11.5</v>
      </c>
      <c r="M2724">
        <v>92.850000000000009</v>
      </c>
      <c r="N2724">
        <v>40.85</v>
      </c>
      <c r="O2724">
        <v>1633</v>
      </c>
      <c r="P2724">
        <v>444</v>
      </c>
      <c r="Q2724" s="5" t="e">
        <f>IF(AND(#REF!&gt;=table!$C$6,#REF!&lt;= table!$D$6),-1,IF(AND(#REF!&gt;=table!$E$6,#REF!&lt;=table!$F$6),1,0))</f>
        <v>#REF!</v>
      </c>
      <c r="R2724" s="5" t="e">
        <f>IF(AND(#REF!&gt;=table!$C$7,#REF!&lt;= table!$D$7),-1,IF(AND(#REF!&gt;=table!$E$7,#REF!&lt;=table!$F$7),1,0))</f>
        <v>#REF!</v>
      </c>
      <c r="S2724" s="5" t="e">
        <f>IF(AND(#REF!&gt;=table!$C$8,#REF!&lt;= table!$D$8),-1,IF(AND(#REF!&gt;=table!$E$8,#REF!&lt;=table!$F$8),1,0))</f>
        <v>#REF!</v>
      </c>
      <c r="T2724" s="5"/>
      <c r="U2724" s="5" t="e">
        <f>IF(AND(#REF!&gt;=table!$C$10,#REF!&lt;= table!$D$10),-1,IF(AND(#REF!&gt;=table!$E$10,#REF!&lt;=table!$F$10),1,0))</f>
        <v>#REF!</v>
      </c>
      <c r="V2724" s="5" t="e">
        <f>IF(AND(#REF!&gt;=table!$C$11,#REF!&lt;= table!$D$11),-1,IF(AND(#REF!&gt;=table!$E$11,#REF!&lt;=table!$F$11),1,0))</f>
        <v>#REF!</v>
      </c>
      <c r="W2724" s="5" t="e">
        <f>CONCATENATE(dados[[#This Row],[fator1]],dados[[#This Row],[fator5]],dados[[#This Row],[fator6]])</f>
        <v>#REF!</v>
      </c>
    </row>
    <row r="2725" spans="1:23">
      <c r="A2725" t="s">
        <v>16</v>
      </c>
      <c r="B2725">
        <v>584959</v>
      </c>
      <c r="C2725">
        <v>11</v>
      </c>
      <c r="D2725">
        <v>40</v>
      </c>
      <c r="E2725">
        <v>151</v>
      </c>
      <c r="F2725">
        <v>8</v>
      </c>
      <c r="G2725">
        <v>0</v>
      </c>
      <c r="H2725">
        <v>25</v>
      </c>
      <c r="I2725">
        <v>53</v>
      </c>
      <c r="J2725">
        <v>0</v>
      </c>
      <c r="K2725">
        <v>1.8350000000000002</v>
      </c>
      <c r="L2725">
        <v>9</v>
      </c>
      <c r="M2725">
        <v>166.31</v>
      </c>
      <c r="N2725">
        <v>12.65</v>
      </c>
      <c r="O2725">
        <v>1710</v>
      </c>
      <c r="P2725">
        <v>1272</v>
      </c>
      <c r="Q2725" s="5" t="e">
        <f>IF(AND(#REF!&gt;=table!$C$6,#REF!&lt;= table!$D$6),-1,IF(AND(#REF!&gt;=table!$E$6,#REF!&lt;=table!$F$6),1,0))</f>
        <v>#REF!</v>
      </c>
      <c r="R2725" s="5" t="e">
        <f>IF(AND(#REF!&gt;=table!$C$7,#REF!&lt;= table!$D$7),-1,IF(AND(#REF!&gt;=table!$E$7,#REF!&lt;=table!$F$7),1,0))</f>
        <v>#REF!</v>
      </c>
      <c r="S2725" s="5" t="e">
        <f>IF(AND(#REF!&gt;=table!$C$8,#REF!&lt;= table!$D$8),-1,IF(AND(#REF!&gt;=table!$E$8,#REF!&lt;=table!$F$8),1,0))</f>
        <v>#REF!</v>
      </c>
      <c r="T2725" s="5"/>
      <c r="U2725" s="5" t="e">
        <f>IF(AND(#REF!&gt;=table!$C$10,#REF!&lt;= table!$D$10),-1,IF(AND(#REF!&gt;=table!$E$10,#REF!&lt;=table!$F$10),1,0))</f>
        <v>#REF!</v>
      </c>
      <c r="V2725" s="5" t="e">
        <f>IF(AND(#REF!&gt;=table!$C$11,#REF!&lt;= table!$D$11),-1,IF(AND(#REF!&gt;=table!$E$11,#REF!&lt;=table!$F$11),1,0))</f>
        <v>#REF!</v>
      </c>
      <c r="W2725" s="5" t="e">
        <f>CONCATENATE(dados[[#This Row],[fator1]],dados[[#This Row],[fator5]],dados[[#This Row],[fator6]])</f>
        <v>#REF!</v>
      </c>
    </row>
    <row r="2726" spans="1:23">
      <c r="A2726" t="s">
        <v>16</v>
      </c>
      <c r="B2726">
        <v>584962</v>
      </c>
      <c r="C2726">
        <v>11</v>
      </c>
      <c r="D2726">
        <v>40</v>
      </c>
      <c r="E2726">
        <v>151</v>
      </c>
      <c r="F2726">
        <v>8</v>
      </c>
      <c r="G2726">
        <v>0</v>
      </c>
      <c r="H2726">
        <v>25</v>
      </c>
      <c r="I2726">
        <v>28</v>
      </c>
      <c r="J2726">
        <v>0</v>
      </c>
      <c r="K2726">
        <v>3.895</v>
      </c>
      <c r="L2726">
        <v>13.185</v>
      </c>
      <c r="M2726">
        <v>54.800000000000004</v>
      </c>
      <c r="N2726">
        <v>11.200000000000001</v>
      </c>
      <c r="O2726">
        <v>1677</v>
      </c>
      <c r="P2726">
        <v>766</v>
      </c>
      <c r="Q2726" s="5" t="e">
        <f>IF(AND(#REF!&gt;=table!$C$6,#REF!&lt;= table!$D$6),-1,IF(AND(#REF!&gt;=table!$E$6,#REF!&lt;=table!$F$6),1,0))</f>
        <v>#REF!</v>
      </c>
      <c r="R2726" s="5" t="e">
        <f>IF(AND(#REF!&gt;=table!$C$7,#REF!&lt;= table!$D$7),-1,IF(AND(#REF!&gt;=table!$E$7,#REF!&lt;=table!$F$7),1,0))</f>
        <v>#REF!</v>
      </c>
      <c r="S2726" s="5" t="e">
        <f>IF(AND(#REF!&gt;=table!$C$8,#REF!&lt;= table!$D$8),-1,IF(AND(#REF!&gt;=table!$E$8,#REF!&lt;=table!$F$8),1,0))</f>
        <v>#REF!</v>
      </c>
      <c r="T2726" s="5"/>
      <c r="U2726" s="5" t="e">
        <f>IF(AND(#REF!&gt;=table!$C$10,#REF!&lt;= table!$D$10),-1,IF(AND(#REF!&gt;=table!$E$10,#REF!&lt;=table!$F$10),1,0))</f>
        <v>#REF!</v>
      </c>
      <c r="V2726" s="5" t="e">
        <f>IF(AND(#REF!&gt;=table!$C$11,#REF!&lt;= table!$D$11),-1,IF(AND(#REF!&gt;=table!$E$11,#REF!&lt;=table!$F$11),1,0))</f>
        <v>#REF!</v>
      </c>
      <c r="W2726" s="5" t="e">
        <f>CONCATENATE(dados[[#This Row],[fator1]],dados[[#This Row],[fator5]],dados[[#This Row],[fator6]])</f>
        <v>#REF!</v>
      </c>
    </row>
    <row r="2727" spans="1:23">
      <c r="A2727" t="s">
        <v>16</v>
      </c>
      <c r="B2727">
        <v>584965</v>
      </c>
      <c r="C2727">
        <v>0.15</v>
      </c>
      <c r="D2727">
        <v>40</v>
      </c>
      <c r="E2727">
        <v>10</v>
      </c>
      <c r="F2727">
        <v>15</v>
      </c>
      <c r="G2727">
        <v>0</v>
      </c>
      <c r="H2727">
        <v>15</v>
      </c>
      <c r="I2727">
        <v>517</v>
      </c>
      <c r="J2727">
        <v>0</v>
      </c>
      <c r="K2727">
        <v>4.33</v>
      </c>
      <c r="L2727">
        <v>9.4</v>
      </c>
      <c r="M2727">
        <v>8.24</v>
      </c>
      <c r="N2727">
        <v>8.0350000000000001</v>
      </c>
      <c r="O2727">
        <v>1671</v>
      </c>
      <c r="P2727">
        <v>667</v>
      </c>
      <c r="Q2727" s="5" t="e">
        <f>IF(AND(#REF!&gt;=table!$C$6,#REF!&lt;= table!$D$6),-1,IF(AND(#REF!&gt;=table!$E$6,#REF!&lt;=table!$F$6),1,0))</f>
        <v>#REF!</v>
      </c>
      <c r="R2727" s="5" t="e">
        <f>IF(AND(#REF!&gt;=table!$C$7,#REF!&lt;= table!$D$7),-1,IF(AND(#REF!&gt;=table!$E$7,#REF!&lt;=table!$F$7),1,0))</f>
        <v>#REF!</v>
      </c>
      <c r="S2727" s="5" t="e">
        <f>IF(AND(#REF!&gt;=table!$C$8,#REF!&lt;= table!$D$8),-1,IF(AND(#REF!&gt;=table!$E$8,#REF!&lt;=table!$F$8),1,0))</f>
        <v>#REF!</v>
      </c>
      <c r="T2727" s="5"/>
      <c r="U2727" s="5" t="e">
        <f>IF(AND(#REF!&gt;=table!$C$10,#REF!&lt;= table!$D$10),-1,IF(AND(#REF!&gt;=table!$E$10,#REF!&lt;=table!$F$10),1,0))</f>
        <v>#REF!</v>
      </c>
      <c r="V2727" s="5" t="e">
        <f>IF(AND(#REF!&gt;=table!$C$11,#REF!&lt;= table!$D$11),-1,IF(AND(#REF!&gt;=table!$E$11,#REF!&lt;=table!$F$11),1,0))</f>
        <v>#REF!</v>
      </c>
      <c r="W2727" s="5" t="e">
        <f>CONCATENATE(dados[[#This Row],[fator1]],dados[[#This Row],[fator5]],dados[[#This Row],[fator6]])</f>
        <v>#REF!</v>
      </c>
    </row>
    <row r="2728" spans="1:23">
      <c r="A2728" t="s">
        <v>16</v>
      </c>
      <c r="B2728">
        <v>584971</v>
      </c>
      <c r="C2728">
        <v>8</v>
      </c>
      <c r="D2728">
        <v>40</v>
      </c>
      <c r="E2728">
        <v>61</v>
      </c>
      <c r="F2728">
        <v>8</v>
      </c>
      <c r="G2728">
        <v>0</v>
      </c>
      <c r="H2728">
        <v>25</v>
      </c>
      <c r="I2728">
        <v>73</v>
      </c>
      <c r="J2728">
        <v>0</v>
      </c>
      <c r="K2728">
        <v>2.5100000000000002</v>
      </c>
      <c r="L2728">
        <v>9</v>
      </c>
      <c r="M2728">
        <v>50.050000000000004</v>
      </c>
      <c r="N2728">
        <v>11.15</v>
      </c>
      <c r="O2728">
        <v>1668</v>
      </c>
      <c r="P2728">
        <v>1000</v>
      </c>
      <c r="Q2728" s="5" t="e">
        <f>IF(AND(#REF!&gt;=table!$C$6,#REF!&lt;= table!$D$6),-1,IF(AND(#REF!&gt;=table!$E$6,#REF!&lt;=table!$F$6),1,0))</f>
        <v>#REF!</v>
      </c>
      <c r="R2728" s="5" t="e">
        <f>IF(AND(#REF!&gt;=table!$C$7,#REF!&lt;= table!$D$7),-1,IF(AND(#REF!&gt;=table!$E$7,#REF!&lt;=table!$F$7),1,0))</f>
        <v>#REF!</v>
      </c>
      <c r="S2728" s="5" t="e">
        <f>IF(AND(#REF!&gt;=table!$C$8,#REF!&lt;= table!$D$8),-1,IF(AND(#REF!&gt;=table!$E$8,#REF!&lt;=table!$F$8),1,0))</f>
        <v>#REF!</v>
      </c>
      <c r="T2728" s="5"/>
      <c r="U2728" s="5" t="e">
        <f>IF(AND(#REF!&gt;=table!$C$10,#REF!&lt;= table!$D$10),-1,IF(AND(#REF!&gt;=table!$E$10,#REF!&lt;=table!$F$10),1,0))</f>
        <v>#REF!</v>
      </c>
      <c r="V2728" s="5" t="e">
        <f>IF(AND(#REF!&gt;=table!$C$11,#REF!&lt;= table!$D$11),-1,IF(AND(#REF!&gt;=table!$E$11,#REF!&lt;=table!$F$11),1,0))</f>
        <v>#REF!</v>
      </c>
      <c r="W2728" s="5" t="e">
        <f>CONCATENATE(dados[[#This Row],[fator1]],dados[[#This Row],[fator5]],dados[[#This Row],[fator6]])</f>
        <v>#REF!</v>
      </c>
    </row>
    <row r="2729" spans="1:23">
      <c r="A2729" t="s">
        <v>16</v>
      </c>
      <c r="B2729">
        <v>584973</v>
      </c>
      <c r="C2729">
        <v>6</v>
      </c>
      <c r="D2729">
        <v>40</v>
      </c>
      <c r="E2729">
        <v>66</v>
      </c>
      <c r="F2729">
        <v>10</v>
      </c>
      <c r="G2729">
        <v>0</v>
      </c>
      <c r="H2729">
        <v>25</v>
      </c>
      <c r="I2729">
        <v>434</v>
      </c>
      <c r="J2729">
        <v>0</v>
      </c>
      <c r="K2729">
        <v>2.6850000000000001</v>
      </c>
      <c r="L2729">
        <v>10.8</v>
      </c>
      <c r="M2729">
        <v>45.25</v>
      </c>
      <c r="N2729">
        <v>11.1</v>
      </c>
      <c r="O2729">
        <v>1688</v>
      </c>
      <c r="P2729">
        <v>0</v>
      </c>
      <c r="Q2729" s="5" t="e">
        <f>IF(AND(#REF!&gt;=table!$C$6,#REF!&lt;= table!$D$6),-1,IF(AND(#REF!&gt;=table!$E$6,#REF!&lt;=table!$F$6),1,0))</f>
        <v>#REF!</v>
      </c>
      <c r="R2729" s="5" t="e">
        <f>IF(AND(#REF!&gt;=table!$C$7,#REF!&lt;= table!$D$7),-1,IF(AND(#REF!&gt;=table!$E$7,#REF!&lt;=table!$F$7),1,0))</f>
        <v>#REF!</v>
      </c>
      <c r="S2729" s="5" t="e">
        <f>IF(AND(#REF!&gt;=table!$C$8,#REF!&lt;= table!$D$8),-1,IF(AND(#REF!&gt;=table!$E$8,#REF!&lt;=table!$F$8),1,0))</f>
        <v>#REF!</v>
      </c>
      <c r="T2729" s="5"/>
      <c r="U2729" s="5" t="e">
        <f>IF(AND(#REF!&gt;=table!$C$10,#REF!&lt;= table!$D$10),-1,IF(AND(#REF!&gt;=table!$E$10,#REF!&lt;=table!$F$10),1,0))</f>
        <v>#REF!</v>
      </c>
      <c r="V2729" s="5" t="e">
        <f>IF(AND(#REF!&gt;=table!$C$11,#REF!&lt;= table!$D$11),-1,IF(AND(#REF!&gt;=table!$E$11,#REF!&lt;=table!$F$11),1,0))</f>
        <v>#REF!</v>
      </c>
      <c r="W2729" s="5" t="e">
        <f>CONCATENATE(dados[[#This Row],[fator1]],dados[[#This Row],[fator5]],dados[[#This Row],[fator6]])</f>
        <v>#REF!</v>
      </c>
    </row>
    <row r="2730" spans="1:23">
      <c r="A2730" t="s">
        <v>16</v>
      </c>
      <c r="B2730">
        <v>584974</v>
      </c>
      <c r="C2730">
        <v>6</v>
      </c>
      <c r="D2730">
        <v>40</v>
      </c>
      <c r="E2730">
        <v>66</v>
      </c>
      <c r="F2730">
        <v>10</v>
      </c>
      <c r="G2730">
        <v>0</v>
      </c>
      <c r="H2730">
        <v>25</v>
      </c>
      <c r="I2730">
        <v>1</v>
      </c>
      <c r="J2730">
        <v>0</v>
      </c>
      <c r="K2730">
        <v>6.1050000000000004</v>
      </c>
      <c r="L2730">
        <v>18.670000000000002</v>
      </c>
      <c r="M2730">
        <v>42.6</v>
      </c>
      <c r="N2730">
        <v>14.15</v>
      </c>
      <c r="O2730">
        <v>1669</v>
      </c>
      <c r="P2730">
        <v>0</v>
      </c>
      <c r="Q2730" s="5" t="e">
        <f>IF(AND(#REF!&gt;=table!$C$6,#REF!&lt;= table!$D$6),-1,IF(AND(#REF!&gt;=table!$E$6,#REF!&lt;=table!$F$6),1,0))</f>
        <v>#REF!</v>
      </c>
      <c r="R2730" s="5" t="e">
        <f>IF(AND(#REF!&gt;=table!$C$7,#REF!&lt;= table!$D$7),-1,IF(AND(#REF!&gt;=table!$E$7,#REF!&lt;=table!$F$7),1,0))</f>
        <v>#REF!</v>
      </c>
      <c r="S2730" s="5" t="e">
        <f>IF(AND(#REF!&gt;=table!$C$8,#REF!&lt;= table!$D$8),-1,IF(AND(#REF!&gt;=table!$E$8,#REF!&lt;=table!$F$8),1,0))</f>
        <v>#REF!</v>
      </c>
      <c r="T2730" s="5"/>
      <c r="U2730" s="5" t="e">
        <f>IF(AND(#REF!&gt;=table!$C$10,#REF!&lt;= table!$D$10),-1,IF(AND(#REF!&gt;=table!$E$10,#REF!&lt;=table!$F$10),1,0))</f>
        <v>#REF!</v>
      </c>
      <c r="V2730" s="5" t="e">
        <f>IF(AND(#REF!&gt;=table!$C$11,#REF!&lt;= table!$D$11),-1,IF(AND(#REF!&gt;=table!$E$11,#REF!&lt;=table!$F$11),1,0))</f>
        <v>#REF!</v>
      </c>
      <c r="W2730" s="5" t="e">
        <f>CONCATENATE(dados[[#This Row],[fator1]],dados[[#This Row],[fator5]],dados[[#This Row],[fator6]])</f>
        <v>#REF!</v>
      </c>
    </row>
    <row r="2731" spans="1:23">
      <c r="A2731" t="s">
        <v>17</v>
      </c>
      <c r="B2731">
        <v>584975</v>
      </c>
      <c r="C2731">
        <v>16</v>
      </c>
      <c r="D2731">
        <v>30</v>
      </c>
      <c r="E2731">
        <v>106</v>
      </c>
      <c r="F2731">
        <v>9</v>
      </c>
      <c r="G2731">
        <v>20</v>
      </c>
      <c r="H2731">
        <v>25</v>
      </c>
      <c r="I2731">
        <v>733</v>
      </c>
      <c r="J2731">
        <v>0</v>
      </c>
      <c r="K2731">
        <v>6.33</v>
      </c>
      <c r="L2731">
        <v>14.82</v>
      </c>
      <c r="M2731">
        <v>96.15</v>
      </c>
      <c r="N2731">
        <v>13.15</v>
      </c>
      <c r="O2731">
        <v>1687</v>
      </c>
      <c r="P2731">
        <v>390</v>
      </c>
      <c r="Q2731" s="5" t="e">
        <f>IF(AND(#REF!&gt;=table!$C$6,#REF!&lt;= table!$D$6),-1,IF(AND(#REF!&gt;=table!$E$6,#REF!&lt;=table!$F$6),1,0))</f>
        <v>#REF!</v>
      </c>
      <c r="R2731" s="5" t="e">
        <f>IF(AND(#REF!&gt;=table!$C$7,#REF!&lt;= table!$D$7),-1,IF(AND(#REF!&gt;=table!$E$7,#REF!&lt;=table!$F$7),1,0))</f>
        <v>#REF!</v>
      </c>
      <c r="S2731" s="5" t="e">
        <f>IF(AND(#REF!&gt;=table!$C$8,#REF!&lt;= table!$D$8),-1,IF(AND(#REF!&gt;=table!$E$8,#REF!&lt;=table!$F$8),1,0))</f>
        <v>#REF!</v>
      </c>
      <c r="T2731" s="5"/>
      <c r="U2731" s="5" t="e">
        <f>IF(AND(#REF!&gt;=table!$C$10,#REF!&lt;= table!$D$10),-1,IF(AND(#REF!&gt;=table!$E$10,#REF!&lt;=table!$F$10),1,0))</f>
        <v>#REF!</v>
      </c>
      <c r="V2731" s="5" t="e">
        <f>IF(AND(#REF!&gt;=table!$C$11,#REF!&lt;= table!$D$11),-1,IF(AND(#REF!&gt;=table!$E$11,#REF!&lt;=table!$F$11),1,0))</f>
        <v>#REF!</v>
      </c>
      <c r="W2731" s="5" t="e">
        <f>CONCATENATE(dados[[#This Row],[fator1]],dados[[#This Row],[fator5]],dados[[#This Row],[fator6]])</f>
        <v>#REF!</v>
      </c>
    </row>
    <row r="2732" spans="1:23">
      <c r="A2732" t="s">
        <v>17</v>
      </c>
      <c r="B2732">
        <v>584976</v>
      </c>
      <c r="C2732">
        <v>16</v>
      </c>
      <c r="D2732">
        <v>30</v>
      </c>
      <c r="E2732">
        <v>106</v>
      </c>
      <c r="F2732">
        <v>9</v>
      </c>
      <c r="G2732">
        <v>20</v>
      </c>
      <c r="H2732">
        <v>25</v>
      </c>
      <c r="I2732">
        <v>731</v>
      </c>
      <c r="J2732">
        <v>650</v>
      </c>
      <c r="K2732">
        <v>4.3849999999999998</v>
      </c>
      <c r="L2732">
        <v>6.6000000000000005</v>
      </c>
      <c r="M2732">
        <v>69.55</v>
      </c>
      <c r="N2732">
        <v>10.6</v>
      </c>
      <c r="O2732">
        <v>1651</v>
      </c>
      <c r="P2732">
        <v>0</v>
      </c>
      <c r="Q2732" s="5" t="e">
        <f>IF(AND(#REF!&gt;=table!$C$6,#REF!&lt;= table!$D$6),-1,IF(AND(#REF!&gt;=table!$E$6,#REF!&lt;=table!$F$6),1,0))</f>
        <v>#REF!</v>
      </c>
      <c r="R2732" s="5" t="e">
        <f>IF(AND(#REF!&gt;=table!$C$7,#REF!&lt;= table!$D$7),-1,IF(AND(#REF!&gt;=table!$E$7,#REF!&lt;=table!$F$7),1,0))</f>
        <v>#REF!</v>
      </c>
      <c r="S2732" s="5" t="e">
        <f>IF(AND(#REF!&gt;=table!$C$8,#REF!&lt;= table!$D$8),-1,IF(AND(#REF!&gt;=table!$E$8,#REF!&lt;=table!$F$8),1,0))</f>
        <v>#REF!</v>
      </c>
      <c r="T2732" s="5"/>
      <c r="U2732" s="5" t="e">
        <f>IF(AND(#REF!&gt;=table!$C$10,#REF!&lt;= table!$D$10),-1,IF(AND(#REF!&gt;=table!$E$10,#REF!&lt;=table!$F$10),1,0))</f>
        <v>#REF!</v>
      </c>
      <c r="V2732" s="5" t="e">
        <f>IF(AND(#REF!&gt;=table!$C$11,#REF!&lt;= table!$D$11),-1,IF(AND(#REF!&gt;=table!$E$11,#REF!&lt;=table!$F$11),1,0))</f>
        <v>#REF!</v>
      </c>
      <c r="W2732" s="5" t="e">
        <f>CONCATENATE(dados[[#This Row],[fator1]],dados[[#This Row],[fator5]],dados[[#This Row],[fator6]])</f>
        <v>#REF!</v>
      </c>
    </row>
    <row r="2733" spans="1:23">
      <c r="A2733" t="s">
        <v>17</v>
      </c>
      <c r="B2733">
        <v>584977</v>
      </c>
      <c r="C2733">
        <v>14</v>
      </c>
      <c r="D2733">
        <v>25</v>
      </c>
      <c r="E2733">
        <v>130</v>
      </c>
      <c r="F2733">
        <v>9</v>
      </c>
      <c r="G2733">
        <v>110</v>
      </c>
      <c r="H2733">
        <v>50</v>
      </c>
      <c r="I2733">
        <v>872</v>
      </c>
      <c r="J2733">
        <v>0</v>
      </c>
      <c r="K2733">
        <v>2.2949999999999999</v>
      </c>
      <c r="L2733">
        <v>15.4</v>
      </c>
      <c r="M2733">
        <v>118.95</v>
      </c>
      <c r="N2733">
        <v>23.5</v>
      </c>
      <c r="O2733">
        <v>1703</v>
      </c>
      <c r="P2733">
        <v>0</v>
      </c>
      <c r="Q2733" s="5" t="e">
        <f>IF(AND(#REF!&gt;=table!$C$6,#REF!&lt;= table!$D$6),-1,IF(AND(#REF!&gt;=table!$E$6,#REF!&lt;=table!$F$6),1,0))</f>
        <v>#REF!</v>
      </c>
      <c r="R2733" s="5" t="e">
        <f>IF(AND(#REF!&gt;=table!$C$7,#REF!&lt;= table!$D$7),-1,IF(AND(#REF!&gt;=table!$E$7,#REF!&lt;=table!$F$7),1,0))</f>
        <v>#REF!</v>
      </c>
      <c r="S2733" s="5" t="e">
        <f>IF(AND(#REF!&gt;=table!$C$8,#REF!&lt;= table!$D$8),-1,IF(AND(#REF!&gt;=table!$E$8,#REF!&lt;=table!$F$8),1,0))</f>
        <v>#REF!</v>
      </c>
      <c r="T2733" s="5"/>
      <c r="U2733" s="5" t="e">
        <f>IF(AND(#REF!&gt;=table!$C$10,#REF!&lt;= table!$D$10),-1,IF(AND(#REF!&gt;=table!$E$10,#REF!&lt;=table!$F$10),1,0))</f>
        <v>#REF!</v>
      </c>
      <c r="V2733" s="5" t="e">
        <f>IF(AND(#REF!&gt;=table!$C$11,#REF!&lt;= table!$D$11),-1,IF(AND(#REF!&gt;=table!$E$11,#REF!&lt;=table!$F$11),1,0))</f>
        <v>#REF!</v>
      </c>
      <c r="W2733" s="5" t="e">
        <f>CONCATENATE(dados[[#This Row],[fator1]],dados[[#This Row],[fator5]],dados[[#This Row],[fator6]])</f>
        <v>#REF!</v>
      </c>
    </row>
    <row r="2734" spans="1:23">
      <c r="A2734" t="s">
        <v>17</v>
      </c>
      <c r="B2734">
        <v>584978</v>
      </c>
      <c r="C2734">
        <v>0.15</v>
      </c>
      <c r="D2734">
        <v>500</v>
      </c>
      <c r="E2734">
        <v>50</v>
      </c>
      <c r="F2734">
        <v>10</v>
      </c>
      <c r="G2734">
        <v>80</v>
      </c>
      <c r="H2734">
        <v>30</v>
      </c>
      <c r="I2734">
        <v>703</v>
      </c>
      <c r="J2734">
        <v>0</v>
      </c>
      <c r="K2734">
        <v>2.2949999999999999</v>
      </c>
      <c r="L2734">
        <v>4.05</v>
      </c>
      <c r="M2734">
        <v>3.45</v>
      </c>
      <c r="N2734">
        <v>9.9500000000000011</v>
      </c>
      <c r="O2734">
        <v>1692</v>
      </c>
      <c r="P2734">
        <v>0</v>
      </c>
      <c r="Q2734" s="5" t="e">
        <f>IF(AND(#REF!&gt;=table!$C$6,#REF!&lt;= table!$D$6),-1,IF(AND(#REF!&gt;=table!$E$6,#REF!&lt;=table!$F$6),1,0))</f>
        <v>#REF!</v>
      </c>
      <c r="R2734" s="5" t="e">
        <f>IF(AND(#REF!&gt;=table!$C$7,#REF!&lt;= table!$D$7),-1,IF(AND(#REF!&gt;=table!$E$7,#REF!&lt;=table!$F$7),1,0))</f>
        <v>#REF!</v>
      </c>
      <c r="S2734" s="5" t="e">
        <f>IF(AND(#REF!&gt;=table!$C$8,#REF!&lt;= table!$D$8),-1,IF(AND(#REF!&gt;=table!$E$8,#REF!&lt;=table!$F$8),1,0))</f>
        <v>#REF!</v>
      </c>
      <c r="T2734" s="5"/>
      <c r="U2734" s="5" t="e">
        <f>IF(AND(#REF!&gt;=table!$C$10,#REF!&lt;= table!$D$10),-1,IF(AND(#REF!&gt;=table!$E$10,#REF!&lt;=table!$F$10),1,0))</f>
        <v>#REF!</v>
      </c>
      <c r="V2734" s="5" t="e">
        <f>IF(AND(#REF!&gt;=table!$C$11,#REF!&lt;= table!$D$11),-1,IF(AND(#REF!&gt;=table!$E$11,#REF!&lt;=table!$F$11),1,0))</f>
        <v>#REF!</v>
      </c>
      <c r="W2734" s="5" t="e">
        <f>CONCATENATE(dados[[#This Row],[fator1]],dados[[#This Row],[fator5]],dados[[#This Row],[fator6]])</f>
        <v>#REF!</v>
      </c>
    </row>
    <row r="2735" spans="1:23">
      <c r="A2735" t="s">
        <v>17</v>
      </c>
      <c r="B2735">
        <v>584979</v>
      </c>
      <c r="C2735">
        <v>0.15</v>
      </c>
      <c r="D2735">
        <v>500</v>
      </c>
      <c r="E2735">
        <v>50</v>
      </c>
      <c r="F2735">
        <v>10</v>
      </c>
      <c r="G2735">
        <v>80</v>
      </c>
      <c r="H2735">
        <v>30</v>
      </c>
      <c r="I2735">
        <v>838</v>
      </c>
      <c r="J2735">
        <v>0</v>
      </c>
      <c r="K2735">
        <v>2.5325000000000002</v>
      </c>
      <c r="L2735">
        <v>6.4750000000000005</v>
      </c>
      <c r="M2735">
        <v>6.5449999999999999</v>
      </c>
      <c r="N2735">
        <v>5.3250000000000002</v>
      </c>
      <c r="O2735">
        <v>1668</v>
      </c>
      <c r="P2735">
        <v>0</v>
      </c>
      <c r="Q2735" s="5" t="e">
        <f>IF(AND(#REF!&gt;=table!$C$6,#REF!&lt;= table!$D$6),-1,IF(AND(#REF!&gt;=table!$E$6,#REF!&lt;=table!$F$6),1,0))</f>
        <v>#REF!</v>
      </c>
      <c r="R2735" s="5" t="e">
        <f>IF(AND(#REF!&gt;=table!$C$7,#REF!&lt;= table!$D$7),-1,IF(AND(#REF!&gt;=table!$E$7,#REF!&lt;=table!$F$7),1,0))</f>
        <v>#REF!</v>
      </c>
      <c r="S2735" s="5" t="e">
        <f>IF(AND(#REF!&gt;=table!$C$8,#REF!&lt;= table!$D$8),-1,IF(AND(#REF!&gt;=table!$E$8,#REF!&lt;=table!$F$8),1,0))</f>
        <v>#REF!</v>
      </c>
      <c r="T2735" s="5"/>
      <c r="U2735" s="5" t="e">
        <f>IF(AND(#REF!&gt;=table!$C$10,#REF!&lt;= table!$D$10),-1,IF(AND(#REF!&gt;=table!$E$10,#REF!&lt;=table!$F$10),1,0))</f>
        <v>#REF!</v>
      </c>
      <c r="V2735" s="5" t="e">
        <f>IF(AND(#REF!&gt;=table!$C$11,#REF!&lt;= table!$D$11),-1,IF(AND(#REF!&gt;=table!$E$11,#REF!&lt;=table!$F$11),1,0))</f>
        <v>#REF!</v>
      </c>
      <c r="W2735" s="5" t="e">
        <f>CONCATENATE(dados[[#This Row],[fator1]],dados[[#This Row],[fator5]],dados[[#This Row],[fator6]])</f>
        <v>#REF!</v>
      </c>
    </row>
    <row r="2736" spans="1:23">
      <c r="A2736" t="s">
        <v>17</v>
      </c>
      <c r="B2736">
        <v>584982</v>
      </c>
      <c r="C2736">
        <v>14</v>
      </c>
      <c r="D2736">
        <v>30</v>
      </c>
      <c r="E2736">
        <v>66</v>
      </c>
      <c r="F2736">
        <v>9</v>
      </c>
      <c r="G2736">
        <v>20</v>
      </c>
      <c r="H2736">
        <v>25</v>
      </c>
      <c r="I2736">
        <v>0</v>
      </c>
      <c r="J2736">
        <v>0</v>
      </c>
      <c r="K2736">
        <v>8.226700000000001</v>
      </c>
      <c r="L2736">
        <v>23</v>
      </c>
      <c r="M2736">
        <v>60.15</v>
      </c>
      <c r="N2736">
        <v>19.75</v>
      </c>
      <c r="O2736">
        <v>1658</v>
      </c>
      <c r="P2736">
        <v>0</v>
      </c>
      <c r="Q2736" s="5" t="e">
        <f>IF(AND(#REF!&gt;=table!$C$6,#REF!&lt;= table!$D$6),-1,IF(AND(#REF!&gt;=table!$E$6,#REF!&lt;=table!$F$6),1,0))</f>
        <v>#REF!</v>
      </c>
      <c r="R2736" s="5" t="e">
        <f>IF(AND(#REF!&gt;=table!$C$7,#REF!&lt;= table!$D$7),-1,IF(AND(#REF!&gt;=table!$E$7,#REF!&lt;=table!$F$7),1,0))</f>
        <v>#REF!</v>
      </c>
      <c r="S2736" s="5" t="e">
        <f>IF(AND(#REF!&gt;=table!$C$8,#REF!&lt;= table!$D$8),-1,IF(AND(#REF!&gt;=table!$E$8,#REF!&lt;=table!$F$8),1,0))</f>
        <v>#REF!</v>
      </c>
      <c r="T2736" s="5"/>
      <c r="U2736" s="5" t="e">
        <f>IF(AND(#REF!&gt;=table!$C$10,#REF!&lt;= table!$D$10),-1,IF(AND(#REF!&gt;=table!$E$10,#REF!&lt;=table!$F$10),1,0))</f>
        <v>#REF!</v>
      </c>
      <c r="V2736" s="5" t="e">
        <f>IF(AND(#REF!&gt;=table!$C$11,#REF!&lt;= table!$D$11),-1,IF(AND(#REF!&gt;=table!$E$11,#REF!&lt;=table!$F$11),1,0))</f>
        <v>#REF!</v>
      </c>
      <c r="W2736" s="5" t="e">
        <f>CONCATENATE(dados[[#This Row],[fator1]],dados[[#This Row],[fator5]],dados[[#This Row],[fator6]])</f>
        <v>#REF!</v>
      </c>
    </row>
    <row r="2737" spans="1:23">
      <c r="A2737" t="s">
        <v>17</v>
      </c>
      <c r="B2737">
        <v>584983</v>
      </c>
      <c r="C2737">
        <v>14</v>
      </c>
      <c r="D2737">
        <v>30</v>
      </c>
      <c r="E2737">
        <v>66</v>
      </c>
      <c r="F2737">
        <v>9</v>
      </c>
      <c r="G2737">
        <v>20</v>
      </c>
      <c r="H2737">
        <v>25</v>
      </c>
      <c r="I2737">
        <v>0</v>
      </c>
      <c r="J2737">
        <v>0</v>
      </c>
      <c r="K2737">
        <v>3.3000000000000003</v>
      </c>
      <c r="L2737">
        <v>19.95</v>
      </c>
      <c r="M2737">
        <v>47.685000000000002</v>
      </c>
      <c r="N2737">
        <v>15.995000000000001</v>
      </c>
      <c r="O2737">
        <v>1673</v>
      </c>
      <c r="P2737">
        <v>0</v>
      </c>
      <c r="Q2737" s="5" t="e">
        <f>IF(AND(#REF!&gt;=table!$C$6,#REF!&lt;= table!$D$6),-1,IF(AND(#REF!&gt;=table!$E$6,#REF!&lt;=table!$F$6),1,0))</f>
        <v>#REF!</v>
      </c>
      <c r="R2737" s="5" t="e">
        <f>IF(AND(#REF!&gt;=table!$C$7,#REF!&lt;= table!$D$7),-1,IF(AND(#REF!&gt;=table!$E$7,#REF!&lt;=table!$F$7),1,0))</f>
        <v>#REF!</v>
      </c>
      <c r="S2737" s="5" t="e">
        <f>IF(AND(#REF!&gt;=table!$C$8,#REF!&lt;= table!$D$8),-1,IF(AND(#REF!&gt;=table!$E$8,#REF!&lt;=table!$F$8),1,0))</f>
        <v>#REF!</v>
      </c>
      <c r="T2737" s="5"/>
      <c r="U2737" s="5" t="e">
        <f>IF(AND(#REF!&gt;=table!$C$10,#REF!&lt;= table!$D$10),-1,IF(AND(#REF!&gt;=table!$E$10,#REF!&lt;=table!$F$10),1,0))</f>
        <v>#REF!</v>
      </c>
      <c r="V2737" s="5" t="e">
        <f>IF(AND(#REF!&gt;=table!$C$11,#REF!&lt;= table!$D$11),-1,IF(AND(#REF!&gt;=table!$E$11,#REF!&lt;=table!$F$11),1,0))</f>
        <v>#REF!</v>
      </c>
      <c r="W2737" s="5" t="e">
        <f>CONCATENATE(dados[[#This Row],[fator1]],dados[[#This Row],[fator5]],dados[[#This Row],[fator6]])</f>
        <v>#REF!</v>
      </c>
    </row>
    <row r="2738" spans="1:23">
      <c r="A2738" t="s">
        <v>17</v>
      </c>
      <c r="B2738">
        <v>584988</v>
      </c>
      <c r="C2738">
        <v>10</v>
      </c>
      <c r="D2738">
        <v>25</v>
      </c>
      <c r="E2738">
        <v>134</v>
      </c>
      <c r="F2738">
        <v>9</v>
      </c>
      <c r="G2738">
        <v>110</v>
      </c>
      <c r="H2738">
        <v>50</v>
      </c>
      <c r="I2738">
        <v>494</v>
      </c>
      <c r="J2738">
        <v>0</v>
      </c>
      <c r="K2738">
        <v>2.625</v>
      </c>
      <c r="L2738">
        <v>8.6</v>
      </c>
      <c r="M2738">
        <v>112.2</v>
      </c>
      <c r="N2738">
        <v>36.85</v>
      </c>
      <c r="O2738">
        <v>1661</v>
      </c>
      <c r="P2738">
        <v>0</v>
      </c>
      <c r="Q2738" s="5" t="e">
        <f>IF(AND(#REF!&gt;=table!$C$6,#REF!&lt;= table!$D$6),-1,IF(AND(#REF!&gt;=table!$E$6,#REF!&lt;=table!$F$6),1,0))</f>
        <v>#REF!</v>
      </c>
      <c r="R2738" s="5" t="e">
        <f>IF(AND(#REF!&gt;=table!$C$7,#REF!&lt;= table!$D$7),-1,IF(AND(#REF!&gt;=table!$E$7,#REF!&lt;=table!$F$7),1,0))</f>
        <v>#REF!</v>
      </c>
      <c r="S2738" s="5" t="e">
        <f>IF(AND(#REF!&gt;=table!$C$8,#REF!&lt;= table!$D$8),-1,IF(AND(#REF!&gt;=table!$E$8,#REF!&lt;=table!$F$8),1,0))</f>
        <v>#REF!</v>
      </c>
      <c r="T2738" s="5"/>
      <c r="U2738" s="5" t="e">
        <f>IF(AND(#REF!&gt;=table!$C$10,#REF!&lt;= table!$D$10),-1,IF(AND(#REF!&gt;=table!$E$10,#REF!&lt;=table!$F$10),1,0))</f>
        <v>#REF!</v>
      </c>
      <c r="V2738" s="5" t="e">
        <f>IF(AND(#REF!&gt;=table!$C$11,#REF!&lt;= table!$D$11),-1,IF(AND(#REF!&gt;=table!$E$11,#REF!&lt;=table!$F$11),1,0))</f>
        <v>#REF!</v>
      </c>
      <c r="W2738" s="5" t="e">
        <f>CONCATENATE(dados[[#This Row],[fator1]],dados[[#This Row],[fator5]],dados[[#This Row],[fator6]])</f>
        <v>#REF!</v>
      </c>
    </row>
    <row r="2739" spans="1:23">
      <c r="A2739" t="s">
        <v>17</v>
      </c>
      <c r="B2739">
        <v>584990</v>
      </c>
      <c r="C2739">
        <v>14</v>
      </c>
      <c r="D2739">
        <v>30</v>
      </c>
      <c r="E2739">
        <v>66</v>
      </c>
      <c r="F2739">
        <v>9</v>
      </c>
      <c r="G2739">
        <v>20</v>
      </c>
      <c r="H2739">
        <v>25</v>
      </c>
      <c r="I2739">
        <v>151</v>
      </c>
      <c r="J2739">
        <v>0</v>
      </c>
      <c r="K2739">
        <v>4.34</v>
      </c>
      <c r="L2739">
        <v>15.84</v>
      </c>
      <c r="M2739">
        <v>52.800000000000004</v>
      </c>
      <c r="N2739">
        <v>12.15</v>
      </c>
      <c r="O2739">
        <v>1672</v>
      </c>
      <c r="P2739">
        <v>0</v>
      </c>
      <c r="Q2739" s="5" t="e">
        <f>IF(AND(#REF!&gt;=table!$C$6,#REF!&lt;= table!$D$6),-1,IF(AND(#REF!&gt;=table!$E$6,#REF!&lt;=table!$F$6),1,0))</f>
        <v>#REF!</v>
      </c>
      <c r="R2739" s="5" t="e">
        <f>IF(AND(#REF!&gt;=table!$C$7,#REF!&lt;= table!$D$7),-1,IF(AND(#REF!&gt;=table!$E$7,#REF!&lt;=table!$F$7),1,0))</f>
        <v>#REF!</v>
      </c>
      <c r="S2739" s="5" t="e">
        <f>IF(AND(#REF!&gt;=table!$C$8,#REF!&lt;= table!$D$8),-1,IF(AND(#REF!&gt;=table!$E$8,#REF!&lt;=table!$F$8),1,0))</f>
        <v>#REF!</v>
      </c>
      <c r="T2739" s="5"/>
      <c r="U2739" s="5" t="e">
        <f>IF(AND(#REF!&gt;=table!$C$10,#REF!&lt;= table!$D$10),-1,IF(AND(#REF!&gt;=table!$E$10,#REF!&lt;=table!$F$10),1,0))</f>
        <v>#REF!</v>
      </c>
      <c r="V2739" s="5" t="e">
        <f>IF(AND(#REF!&gt;=table!$C$11,#REF!&lt;= table!$D$11),-1,IF(AND(#REF!&gt;=table!$E$11,#REF!&lt;=table!$F$11),1,0))</f>
        <v>#REF!</v>
      </c>
      <c r="W2739" s="5" t="e">
        <f>CONCATENATE(dados[[#This Row],[fator1]],dados[[#This Row],[fator5]],dados[[#This Row],[fator6]])</f>
        <v>#REF!</v>
      </c>
    </row>
    <row r="2740" spans="1:23">
      <c r="A2740" t="s">
        <v>17</v>
      </c>
      <c r="B2740">
        <v>584992</v>
      </c>
      <c r="C2740">
        <v>10</v>
      </c>
      <c r="D2740">
        <v>25</v>
      </c>
      <c r="E2740">
        <v>40</v>
      </c>
      <c r="F2740">
        <v>10</v>
      </c>
      <c r="G2740">
        <v>110</v>
      </c>
      <c r="H2740">
        <v>50</v>
      </c>
      <c r="I2740">
        <v>39</v>
      </c>
      <c r="J2740">
        <v>0</v>
      </c>
      <c r="K2740">
        <v>3.61</v>
      </c>
      <c r="L2740">
        <v>10.55</v>
      </c>
      <c r="M2740">
        <v>31.6</v>
      </c>
      <c r="N2740">
        <v>33.4</v>
      </c>
      <c r="O2740">
        <v>1678</v>
      </c>
      <c r="P2740">
        <v>843</v>
      </c>
      <c r="Q2740" s="5" t="e">
        <f>IF(AND(#REF!&gt;=table!$C$6,#REF!&lt;= table!$D$6),-1,IF(AND(#REF!&gt;=table!$E$6,#REF!&lt;=table!$F$6),1,0))</f>
        <v>#REF!</v>
      </c>
      <c r="R2740" s="5" t="e">
        <f>IF(AND(#REF!&gt;=table!$C$7,#REF!&lt;= table!$D$7),-1,IF(AND(#REF!&gt;=table!$E$7,#REF!&lt;=table!$F$7),1,0))</f>
        <v>#REF!</v>
      </c>
      <c r="S2740" s="5" t="e">
        <f>IF(AND(#REF!&gt;=table!$C$8,#REF!&lt;= table!$D$8),-1,IF(AND(#REF!&gt;=table!$E$8,#REF!&lt;=table!$F$8),1,0))</f>
        <v>#REF!</v>
      </c>
      <c r="T2740" s="5"/>
      <c r="U2740" s="5" t="e">
        <f>IF(AND(#REF!&gt;=table!$C$10,#REF!&lt;= table!$D$10),-1,IF(AND(#REF!&gt;=table!$E$10,#REF!&lt;=table!$F$10),1,0))</f>
        <v>#REF!</v>
      </c>
      <c r="V2740" s="5" t="e">
        <f>IF(AND(#REF!&gt;=table!$C$11,#REF!&lt;= table!$D$11),-1,IF(AND(#REF!&gt;=table!$E$11,#REF!&lt;=table!$F$11),1,0))</f>
        <v>#REF!</v>
      </c>
      <c r="W2740" s="5" t="e">
        <f>CONCATENATE(dados[[#This Row],[fator1]],dados[[#This Row],[fator5]],dados[[#This Row],[fator6]])</f>
        <v>#REF!</v>
      </c>
    </row>
    <row r="2741" spans="1:23">
      <c r="A2741" t="s">
        <v>17</v>
      </c>
      <c r="B2741">
        <v>584993</v>
      </c>
      <c r="C2741">
        <v>4</v>
      </c>
      <c r="D2741">
        <v>25</v>
      </c>
      <c r="E2741">
        <v>23</v>
      </c>
      <c r="F2741">
        <v>10</v>
      </c>
      <c r="G2741">
        <v>110</v>
      </c>
      <c r="H2741">
        <v>50</v>
      </c>
      <c r="I2741">
        <v>1070</v>
      </c>
      <c r="J2741">
        <v>820</v>
      </c>
      <c r="K2741">
        <v>4.71</v>
      </c>
      <c r="L2741">
        <v>10.450000000000001</v>
      </c>
      <c r="M2741">
        <v>17.5</v>
      </c>
      <c r="N2741">
        <v>37.050000000000004</v>
      </c>
      <c r="O2741">
        <v>1593</v>
      </c>
      <c r="P2741">
        <v>395</v>
      </c>
      <c r="Q2741" s="5" t="e">
        <f>IF(AND(#REF!&gt;=table!$C$6,#REF!&lt;= table!$D$6),-1,IF(AND(#REF!&gt;=table!$E$6,#REF!&lt;=table!$F$6),1,0))</f>
        <v>#REF!</v>
      </c>
      <c r="R2741" s="5" t="e">
        <f>IF(AND(#REF!&gt;=table!$C$7,#REF!&lt;= table!$D$7),-1,IF(AND(#REF!&gt;=table!$E$7,#REF!&lt;=table!$F$7),1,0))</f>
        <v>#REF!</v>
      </c>
      <c r="S2741" s="5" t="e">
        <f>IF(AND(#REF!&gt;=table!$C$8,#REF!&lt;= table!$D$8),-1,IF(AND(#REF!&gt;=table!$E$8,#REF!&lt;=table!$F$8),1,0))</f>
        <v>#REF!</v>
      </c>
      <c r="T2741" s="5"/>
      <c r="U2741" s="5" t="e">
        <f>IF(AND(#REF!&gt;=table!$C$10,#REF!&lt;= table!$D$10),-1,IF(AND(#REF!&gt;=table!$E$10,#REF!&lt;=table!$F$10),1,0))</f>
        <v>#REF!</v>
      </c>
      <c r="V2741" s="5" t="e">
        <f>IF(AND(#REF!&gt;=table!$C$11,#REF!&lt;= table!$D$11),-1,IF(AND(#REF!&gt;=table!$E$11,#REF!&lt;=table!$F$11),1,0))</f>
        <v>#REF!</v>
      </c>
      <c r="W2741" s="5" t="e">
        <f>CONCATENATE(dados[[#This Row],[fator1]],dados[[#This Row],[fator5]],dados[[#This Row],[fator6]])</f>
        <v>#REF!</v>
      </c>
    </row>
    <row r="2742" spans="1:23">
      <c r="A2742" t="s">
        <v>16</v>
      </c>
      <c r="B2742">
        <v>584996</v>
      </c>
      <c r="C2742">
        <v>0.15</v>
      </c>
      <c r="D2742">
        <v>40</v>
      </c>
      <c r="E2742">
        <v>10</v>
      </c>
      <c r="F2742">
        <v>15</v>
      </c>
      <c r="G2742">
        <v>0</v>
      </c>
      <c r="H2742">
        <v>15</v>
      </c>
      <c r="I2742">
        <v>1144</v>
      </c>
      <c r="J2742">
        <v>920</v>
      </c>
      <c r="K2742">
        <v>4.5049999999999999</v>
      </c>
      <c r="L2742">
        <v>8.75</v>
      </c>
      <c r="M2742">
        <v>6.65</v>
      </c>
      <c r="N2742">
        <v>7.8</v>
      </c>
      <c r="O2742">
        <v>1593</v>
      </c>
      <c r="P2742">
        <v>0</v>
      </c>
      <c r="Q2742" s="5" t="e">
        <f>IF(AND(#REF!&gt;=table!$C$6,#REF!&lt;= table!$D$6),-1,IF(AND(#REF!&gt;=table!$E$6,#REF!&lt;=table!$F$6),1,0))</f>
        <v>#REF!</v>
      </c>
      <c r="R2742" s="5" t="e">
        <f>IF(AND(#REF!&gt;=table!$C$7,#REF!&lt;= table!$D$7),-1,IF(AND(#REF!&gt;=table!$E$7,#REF!&lt;=table!$F$7),1,0))</f>
        <v>#REF!</v>
      </c>
      <c r="S2742" s="5" t="e">
        <f>IF(AND(#REF!&gt;=table!$C$8,#REF!&lt;= table!$D$8),-1,IF(AND(#REF!&gt;=table!$E$8,#REF!&lt;=table!$F$8),1,0))</f>
        <v>#REF!</v>
      </c>
      <c r="T2742" s="5"/>
      <c r="U2742" s="5" t="e">
        <f>IF(AND(#REF!&gt;=table!$C$10,#REF!&lt;= table!$D$10),-1,IF(AND(#REF!&gt;=table!$E$10,#REF!&lt;=table!$F$10),1,0))</f>
        <v>#REF!</v>
      </c>
      <c r="V2742" s="5" t="e">
        <f>IF(AND(#REF!&gt;=table!$C$11,#REF!&lt;= table!$D$11),-1,IF(AND(#REF!&gt;=table!$E$11,#REF!&lt;=table!$F$11),1,0))</f>
        <v>#REF!</v>
      </c>
      <c r="W2742" s="5" t="e">
        <f>CONCATENATE(dados[[#This Row],[fator1]],dados[[#This Row],[fator5]],dados[[#This Row],[fator6]])</f>
        <v>#REF!</v>
      </c>
    </row>
    <row r="2743" spans="1:23">
      <c r="A2743" t="s">
        <v>16</v>
      </c>
      <c r="B2743">
        <v>584999</v>
      </c>
      <c r="C2743">
        <v>0.1</v>
      </c>
      <c r="D2743">
        <v>40</v>
      </c>
      <c r="E2743">
        <v>10</v>
      </c>
      <c r="F2743">
        <v>8</v>
      </c>
      <c r="G2743">
        <v>0</v>
      </c>
      <c r="H2743">
        <v>10</v>
      </c>
      <c r="I2743">
        <v>863</v>
      </c>
      <c r="J2743">
        <v>0</v>
      </c>
      <c r="K2743">
        <v>3.25</v>
      </c>
      <c r="L2743">
        <v>12.25</v>
      </c>
      <c r="M2743">
        <v>10.5</v>
      </c>
      <c r="N2743">
        <v>9.35</v>
      </c>
      <c r="O2743">
        <v>1706</v>
      </c>
      <c r="P2743">
        <v>790</v>
      </c>
      <c r="Q2743" s="5" t="e">
        <f>IF(AND(#REF!&gt;=table!$C$6,#REF!&lt;= table!$D$6),-1,IF(AND(#REF!&gt;=table!$E$6,#REF!&lt;=table!$F$6),1,0))</f>
        <v>#REF!</v>
      </c>
      <c r="R2743" s="5" t="e">
        <f>IF(AND(#REF!&gt;=table!$C$7,#REF!&lt;= table!$D$7),-1,IF(AND(#REF!&gt;=table!$E$7,#REF!&lt;=table!$F$7),1,0))</f>
        <v>#REF!</v>
      </c>
      <c r="S2743" s="5" t="e">
        <f>IF(AND(#REF!&gt;=table!$C$8,#REF!&lt;= table!$D$8),-1,IF(AND(#REF!&gt;=table!$E$8,#REF!&lt;=table!$F$8),1,0))</f>
        <v>#REF!</v>
      </c>
      <c r="T2743" s="5"/>
      <c r="U2743" s="5" t="e">
        <f>IF(AND(#REF!&gt;=table!$C$10,#REF!&lt;= table!$D$10),-1,IF(AND(#REF!&gt;=table!$E$10,#REF!&lt;=table!$F$10),1,0))</f>
        <v>#REF!</v>
      </c>
      <c r="V2743" s="5" t="e">
        <f>IF(AND(#REF!&gt;=table!$C$11,#REF!&lt;= table!$D$11),-1,IF(AND(#REF!&gt;=table!$E$11,#REF!&lt;=table!$F$11),1,0))</f>
        <v>#REF!</v>
      </c>
      <c r="W2743" s="5" t="e">
        <f>CONCATENATE(dados[[#This Row],[fator1]],dados[[#This Row],[fator5]],dados[[#This Row],[fator6]])</f>
        <v>#REF!</v>
      </c>
    </row>
    <row r="2744" spans="1:23">
      <c r="A2744" t="s">
        <v>16</v>
      </c>
      <c r="B2744">
        <v>585002</v>
      </c>
      <c r="C2744">
        <v>8</v>
      </c>
      <c r="D2744">
        <v>27</v>
      </c>
      <c r="E2744">
        <v>86</v>
      </c>
      <c r="F2744">
        <v>9</v>
      </c>
      <c r="G2744">
        <v>0</v>
      </c>
      <c r="H2744">
        <v>25</v>
      </c>
      <c r="I2744">
        <v>654</v>
      </c>
      <c r="J2744">
        <v>0</v>
      </c>
      <c r="K2744">
        <v>5.37</v>
      </c>
      <c r="L2744">
        <v>11.55</v>
      </c>
      <c r="M2744">
        <v>72.989999999999995</v>
      </c>
      <c r="N2744">
        <v>12.790000000000001</v>
      </c>
      <c r="O2744">
        <v>1670</v>
      </c>
      <c r="P2744">
        <v>0</v>
      </c>
      <c r="Q2744" s="5" t="e">
        <f>IF(AND(#REF!&gt;=table!$C$6,#REF!&lt;= table!$D$6),-1,IF(AND(#REF!&gt;=table!$E$6,#REF!&lt;=table!$F$6),1,0))</f>
        <v>#REF!</v>
      </c>
      <c r="R2744" s="5" t="e">
        <f>IF(AND(#REF!&gt;=table!$C$7,#REF!&lt;= table!$D$7),-1,IF(AND(#REF!&gt;=table!$E$7,#REF!&lt;=table!$F$7),1,0))</f>
        <v>#REF!</v>
      </c>
      <c r="S2744" s="5" t="e">
        <f>IF(AND(#REF!&gt;=table!$C$8,#REF!&lt;= table!$D$8),-1,IF(AND(#REF!&gt;=table!$E$8,#REF!&lt;=table!$F$8),1,0))</f>
        <v>#REF!</v>
      </c>
      <c r="T2744" s="5"/>
      <c r="U2744" s="5" t="e">
        <f>IF(AND(#REF!&gt;=table!$C$10,#REF!&lt;= table!$D$10),-1,IF(AND(#REF!&gt;=table!$E$10,#REF!&lt;=table!$F$10),1,0))</f>
        <v>#REF!</v>
      </c>
      <c r="V2744" s="5" t="e">
        <f>IF(AND(#REF!&gt;=table!$C$11,#REF!&lt;= table!$D$11),-1,IF(AND(#REF!&gt;=table!$E$11,#REF!&lt;=table!$F$11),1,0))</f>
        <v>#REF!</v>
      </c>
      <c r="W2744" s="5" t="e">
        <f>CONCATENATE(dados[[#This Row],[fator1]],dados[[#This Row],[fator5]],dados[[#This Row],[fator6]])</f>
        <v>#REF!</v>
      </c>
    </row>
    <row r="2745" spans="1:23">
      <c r="A2745" t="s">
        <v>16</v>
      </c>
      <c r="B2745">
        <v>585005</v>
      </c>
      <c r="C2745">
        <v>8</v>
      </c>
      <c r="D2745">
        <v>27</v>
      </c>
      <c r="E2745">
        <v>86</v>
      </c>
      <c r="F2745">
        <v>8</v>
      </c>
      <c r="G2745">
        <v>0</v>
      </c>
      <c r="H2745">
        <v>22</v>
      </c>
      <c r="I2745">
        <v>664</v>
      </c>
      <c r="J2745">
        <v>0</v>
      </c>
      <c r="K2745">
        <v>2.13</v>
      </c>
      <c r="L2745">
        <v>11.75</v>
      </c>
      <c r="M2745">
        <v>56.75</v>
      </c>
      <c r="N2745">
        <v>9.85</v>
      </c>
      <c r="O2745">
        <v>1664</v>
      </c>
      <c r="P2745">
        <v>0</v>
      </c>
      <c r="Q2745" s="5" t="e">
        <f>IF(AND(#REF!&gt;=table!$C$6,#REF!&lt;= table!$D$6),-1,IF(AND(#REF!&gt;=table!$E$6,#REF!&lt;=table!$F$6),1,0))</f>
        <v>#REF!</v>
      </c>
      <c r="R2745" s="5" t="e">
        <f>IF(AND(#REF!&gt;=table!$C$7,#REF!&lt;= table!$D$7),-1,IF(AND(#REF!&gt;=table!$E$7,#REF!&lt;=table!$F$7),1,0))</f>
        <v>#REF!</v>
      </c>
      <c r="S2745" s="5" t="e">
        <f>IF(AND(#REF!&gt;=table!$C$8,#REF!&lt;= table!$D$8),-1,IF(AND(#REF!&gt;=table!$E$8,#REF!&lt;=table!$F$8),1,0))</f>
        <v>#REF!</v>
      </c>
      <c r="T2745" s="5"/>
      <c r="U2745" s="5" t="e">
        <f>IF(AND(#REF!&gt;=table!$C$10,#REF!&lt;= table!$D$10),-1,IF(AND(#REF!&gt;=table!$E$10,#REF!&lt;=table!$F$10),1,0))</f>
        <v>#REF!</v>
      </c>
      <c r="V2745" s="5" t="e">
        <f>IF(AND(#REF!&gt;=table!$C$11,#REF!&lt;= table!$D$11),-1,IF(AND(#REF!&gt;=table!$E$11,#REF!&lt;=table!$F$11),1,0))</f>
        <v>#REF!</v>
      </c>
      <c r="W2745" s="5" t="e">
        <f>CONCATENATE(dados[[#This Row],[fator1]],dados[[#This Row],[fator5]],dados[[#This Row],[fator6]])</f>
        <v>#REF!</v>
      </c>
    </row>
    <row r="2746" spans="1:23">
      <c r="A2746" t="s">
        <v>17</v>
      </c>
      <c r="B2746">
        <v>585007</v>
      </c>
      <c r="C2746">
        <v>0.15</v>
      </c>
      <c r="D2746">
        <v>40</v>
      </c>
      <c r="E2746">
        <v>105</v>
      </c>
      <c r="F2746">
        <v>10</v>
      </c>
      <c r="G2746">
        <v>10</v>
      </c>
      <c r="H2746">
        <v>80</v>
      </c>
      <c r="I2746">
        <v>1078</v>
      </c>
      <c r="J2746">
        <v>610</v>
      </c>
      <c r="K2746">
        <v>2.93</v>
      </c>
      <c r="L2746">
        <v>12.25</v>
      </c>
      <c r="M2746">
        <v>7.1000000000000005</v>
      </c>
      <c r="N2746">
        <v>6.75</v>
      </c>
      <c r="O2746">
        <v>1677</v>
      </c>
      <c r="P2746">
        <v>0</v>
      </c>
      <c r="Q2746" s="5" t="e">
        <f>IF(AND(#REF!&gt;=table!$C$6,#REF!&lt;= table!$D$6),-1,IF(AND(#REF!&gt;=table!$E$6,#REF!&lt;=table!$F$6),1,0))</f>
        <v>#REF!</v>
      </c>
      <c r="R2746" s="5" t="e">
        <f>IF(AND(#REF!&gt;=table!$C$7,#REF!&lt;= table!$D$7),-1,IF(AND(#REF!&gt;=table!$E$7,#REF!&lt;=table!$F$7),1,0))</f>
        <v>#REF!</v>
      </c>
      <c r="S2746" s="5" t="e">
        <f>IF(AND(#REF!&gt;=table!$C$8,#REF!&lt;= table!$D$8),-1,IF(AND(#REF!&gt;=table!$E$8,#REF!&lt;=table!$F$8),1,0))</f>
        <v>#REF!</v>
      </c>
      <c r="T2746" s="5"/>
      <c r="U2746" s="5" t="e">
        <f>IF(AND(#REF!&gt;=table!$C$10,#REF!&lt;= table!$D$10),-1,IF(AND(#REF!&gt;=table!$E$10,#REF!&lt;=table!$F$10),1,0))</f>
        <v>#REF!</v>
      </c>
      <c r="V2746" s="5" t="e">
        <f>IF(AND(#REF!&gt;=table!$C$11,#REF!&lt;= table!$D$11),-1,IF(AND(#REF!&gt;=table!$E$11,#REF!&lt;=table!$F$11),1,0))</f>
        <v>#REF!</v>
      </c>
      <c r="W2746" s="5" t="e">
        <f>CONCATENATE(dados[[#This Row],[fator1]],dados[[#This Row],[fator5]],dados[[#This Row],[fator6]])</f>
        <v>#REF!</v>
      </c>
    </row>
    <row r="2747" spans="1:23">
      <c r="A2747" t="s">
        <v>17</v>
      </c>
      <c r="B2747">
        <v>585010</v>
      </c>
      <c r="C2747">
        <v>0.15</v>
      </c>
      <c r="D2747">
        <v>40</v>
      </c>
      <c r="E2747">
        <v>105</v>
      </c>
      <c r="F2747">
        <v>10</v>
      </c>
      <c r="G2747">
        <v>10</v>
      </c>
      <c r="H2747">
        <v>80</v>
      </c>
      <c r="I2747">
        <v>0</v>
      </c>
      <c r="J2747">
        <v>0</v>
      </c>
      <c r="K2747">
        <v>2.09</v>
      </c>
      <c r="L2747">
        <v>13.65</v>
      </c>
      <c r="M2747">
        <v>11.1</v>
      </c>
      <c r="N2747">
        <v>46.800000000000004</v>
      </c>
      <c r="O2747">
        <v>1702</v>
      </c>
      <c r="P2747">
        <v>0</v>
      </c>
      <c r="Q2747" s="5" t="e">
        <f>IF(AND(#REF!&gt;=table!$C$6,#REF!&lt;= table!$D$6),-1,IF(AND(#REF!&gt;=table!$E$6,#REF!&lt;=table!$F$6),1,0))</f>
        <v>#REF!</v>
      </c>
      <c r="R2747" s="5" t="e">
        <f>IF(AND(#REF!&gt;=table!$C$7,#REF!&lt;= table!$D$7),-1,IF(AND(#REF!&gt;=table!$E$7,#REF!&lt;=table!$F$7),1,0))</f>
        <v>#REF!</v>
      </c>
      <c r="S2747" s="5" t="e">
        <f>IF(AND(#REF!&gt;=table!$C$8,#REF!&lt;= table!$D$8),-1,IF(AND(#REF!&gt;=table!$E$8,#REF!&lt;=table!$F$8),1,0))</f>
        <v>#REF!</v>
      </c>
      <c r="T2747" s="5"/>
      <c r="U2747" s="5" t="e">
        <f>IF(AND(#REF!&gt;=table!$C$10,#REF!&lt;= table!$D$10),-1,IF(AND(#REF!&gt;=table!$E$10,#REF!&lt;=table!$F$10),1,0))</f>
        <v>#REF!</v>
      </c>
      <c r="V2747" s="5" t="e">
        <f>IF(AND(#REF!&gt;=table!$C$11,#REF!&lt;= table!$D$11),-1,IF(AND(#REF!&gt;=table!$E$11,#REF!&lt;=table!$F$11),1,0))</f>
        <v>#REF!</v>
      </c>
      <c r="W2747" s="5" t="e">
        <f>CONCATENATE(dados[[#This Row],[fator1]],dados[[#This Row],[fator5]],dados[[#This Row],[fator6]])</f>
        <v>#REF!</v>
      </c>
    </row>
    <row r="2748" spans="1:23">
      <c r="A2748" t="s">
        <v>17</v>
      </c>
      <c r="B2748">
        <v>585011</v>
      </c>
      <c r="C2748">
        <v>0.15</v>
      </c>
      <c r="D2748">
        <v>40</v>
      </c>
      <c r="E2748">
        <v>105</v>
      </c>
      <c r="F2748">
        <v>10</v>
      </c>
      <c r="G2748">
        <v>10</v>
      </c>
      <c r="H2748">
        <v>80</v>
      </c>
      <c r="I2748">
        <v>1285</v>
      </c>
      <c r="J2748">
        <v>0</v>
      </c>
      <c r="K2748">
        <v>3.7650000000000001</v>
      </c>
      <c r="L2748">
        <v>15.22</v>
      </c>
      <c r="M2748">
        <v>13.23</v>
      </c>
      <c r="N2748">
        <v>15.555000000000001</v>
      </c>
      <c r="O2748">
        <v>1689</v>
      </c>
      <c r="P2748">
        <v>0</v>
      </c>
      <c r="Q2748" s="5" t="e">
        <f>IF(AND(#REF!&gt;=table!$C$6,#REF!&lt;= table!$D$6),-1,IF(AND(#REF!&gt;=table!$E$6,#REF!&lt;=table!$F$6),1,0))</f>
        <v>#REF!</v>
      </c>
      <c r="R2748" s="5" t="e">
        <f>IF(AND(#REF!&gt;=table!$C$7,#REF!&lt;= table!$D$7),-1,IF(AND(#REF!&gt;=table!$E$7,#REF!&lt;=table!$F$7),1,0))</f>
        <v>#REF!</v>
      </c>
      <c r="S2748" s="5" t="e">
        <f>IF(AND(#REF!&gt;=table!$C$8,#REF!&lt;= table!$D$8),-1,IF(AND(#REF!&gt;=table!$E$8,#REF!&lt;=table!$F$8),1,0))</f>
        <v>#REF!</v>
      </c>
      <c r="T2748" s="5"/>
      <c r="U2748" s="5" t="e">
        <f>IF(AND(#REF!&gt;=table!$C$10,#REF!&lt;= table!$D$10),-1,IF(AND(#REF!&gt;=table!$E$10,#REF!&lt;=table!$F$10),1,0))</f>
        <v>#REF!</v>
      </c>
      <c r="V2748" s="5" t="e">
        <f>IF(AND(#REF!&gt;=table!$C$11,#REF!&lt;= table!$D$11),-1,IF(AND(#REF!&gt;=table!$E$11,#REF!&lt;=table!$F$11),1,0))</f>
        <v>#REF!</v>
      </c>
      <c r="W2748" s="5" t="e">
        <f>CONCATENATE(dados[[#This Row],[fator1]],dados[[#This Row],[fator5]],dados[[#This Row],[fator6]])</f>
        <v>#REF!</v>
      </c>
    </row>
    <row r="2749" spans="1:23">
      <c r="A2749" t="s">
        <v>17</v>
      </c>
      <c r="B2749">
        <v>585012</v>
      </c>
      <c r="C2749">
        <v>9</v>
      </c>
      <c r="D2749">
        <v>50</v>
      </c>
      <c r="E2749">
        <v>190</v>
      </c>
      <c r="F2749">
        <v>6</v>
      </c>
      <c r="G2749">
        <v>20</v>
      </c>
      <c r="H2749">
        <v>25</v>
      </c>
      <c r="I2749">
        <v>0</v>
      </c>
      <c r="J2749">
        <v>0</v>
      </c>
      <c r="K2749">
        <v>2.645</v>
      </c>
      <c r="L2749">
        <v>15.55</v>
      </c>
      <c r="M2749">
        <v>162.6</v>
      </c>
      <c r="N2749">
        <v>14.85</v>
      </c>
      <c r="O2749">
        <v>1690</v>
      </c>
      <c r="P2749">
        <v>0</v>
      </c>
      <c r="Q2749" s="5" t="e">
        <f>IF(AND(#REF!&gt;=table!$C$6,#REF!&lt;= table!$D$6),-1,IF(AND(#REF!&gt;=table!$E$6,#REF!&lt;=table!$F$6),1,0))</f>
        <v>#REF!</v>
      </c>
      <c r="R2749" s="5" t="e">
        <f>IF(AND(#REF!&gt;=table!$C$7,#REF!&lt;= table!$D$7),-1,IF(AND(#REF!&gt;=table!$E$7,#REF!&lt;=table!$F$7),1,0))</f>
        <v>#REF!</v>
      </c>
      <c r="S2749" s="5" t="e">
        <f>IF(AND(#REF!&gt;=table!$C$8,#REF!&lt;= table!$D$8),-1,IF(AND(#REF!&gt;=table!$E$8,#REF!&lt;=table!$F$8),1,0))</f>
        <v>#REF!</v>
      </c>
      <c r="T2749" s="5"/>
      <c r="U2749" s="5" t="e">
        <f>IF(AND(#REF!&gt;=table!$C$10,#REF!&lt;= table!$D$10),-1,IF(AND(#REF!&gt;=table!$E$10,#REF!&lt;=table!$F$10),1,0))</f>
        <v>#REF!</v>
      </c>
      <c r="V2749" s="5" t="e">
        <f>IF(AND(#REF!&gt;=table!$C$11,#REF!&lt;= table!$D$11),-1,IF(AND(#REF!&gt;=table!$E$11,#REF!&lt;=table!$F$11),1,0))</f>
        <v>#REF!</v>
      </c>
      <c r="W2749" s="5" t="e">
        <f>CONCATENATE(dados[[#This Row],[fator1]],dados[[#This Row],[fator5]],dados[[#This Row],[fator6]])</f>
        <v>#REF!</v>
      </c>
    </row>
    <row r="2750" spans="1:23">
      <c r="A2750" t="s">
        <v>17</v>
      </c>
      <c r="B2750">
        <v>585013</v>
      </c>
      <c r="C2750">
        <v>7</v>
      </c>
      <c r="D2750">
        <v>20</v>
      </c>
      <c r="E2750">
        <v>120</v>
      </c>
      <c r="F2750">
        <v>4</v>
      </c>
      <c r="G2750">
        <v>105</v>
      </c>
      <c r="H2750">
        <v>25</v>
      </c>
      <c r="I2750">
        <v>718</v>
      </c>
      <c r="J2750">
        <v>0</v>
      </c>
      <c r="K2750">
        <v>3.105</v>
      </c>
      <c r="L2750">
        <v>13.55</v>
      </c>
      <c r="M2750">
        <v>58.6</v>
      </c>
      <c r="N2750">
        <v>12.5</v>
      </c>
      <c r="O2750">
        <v>1716</v>
      </c>
      <c r="P2750">
        <v>0</v>
      </c>
      <c r="Q2750" s="5" t="e">
        <f>IF(AND(#REF!&gt;=table!$C$6,#REF!&lt;= table!$D$6),-1,IF(AND(#REF!&gt;=table!$E$6,#REF!&lt;=table!$F$6),1,0))</f>
        <v>#REF!</v>
      </c>
      <c r="R2750" s="5" t="e">
        <f>IF(AND(#REF!&gt;=table!$C$7,#REF!&lt;= table!$D$7),-1,IF(AND(#REF!&gt;=table!$E$7,#REF!&lt;=table!$F$7),1,0))</f>
        <v>#REF!</v>
      </c>
      <c r="S2750" s="5" t="e">
        <f>IF(AND(#REF!&gt;=table!$C$8,#REF!&lt;= table!$D$8),-1,IF(AND(#REF!&gt;=table!$E$8,#REF!&lt;=table!$F$8),1,0))</f>
        <v>#REF!</v>
      </c>
      <c r="T2750" s="5"/>
      <c r="U2750" s="5" t="e">
        <f>IF(AND(#REF!&gt;=table!$C$10,#REF!&lt;= table!$D$10),-1,IF(AND(#REF!&gt;=table!$E$10,#REF!&lt;=table!$F$10),1,0))</f>
        <v>#REF!</v>
      </c>
      <c r="V2750" s="5" t="e">
        <f>IF(AND(#REF!&gt;=table!$C$11,#REF!&lt;= table!$D$11),-1,IF(AND(#REF!&gt;=table!$E$11,#REF!&lt;=table!$F$11),1,0))</f>
        <v>#REF!</v>
      </c>
      <c r="W2750" s="5" t="e">
        <f>CONCATENATE(dados[[#This Row],[fator1]],dados[[#This Row],[fator5]],dados[[#This Row],[fator6]])</f>
        <v>#REF!</v>
      </c>
    </row>
    <row r="2751" spans="1:23">
      <c r="A2751" t="s">
        <v>17</v>
      </c>
      <c r="B2751">
        <v>585015</v>
      </c>
      <c r="C2751">
        <v>16</v>
      </c>
      <c r="D2751">
        <v>33</v>
      </c>
      <c r="E2751">
        <v>150</v>
      </c>
      <c r="F2751">
        <v>10</v>
      </c>
      <c r="G2751">
        <v>15</v>
      </c>
      <c r="H2751">
        <v>25</v>
      </c>
      <c r="I2751">
        <v>505</v>
      </c>
      <c r="J2751">
        <v>0</v>
      </c>
      <c r="K2751">
        <v>2.5750000000000002</v>
      </c>
      <c r="L2751">
        <v>8.4</v>
      </c>
      <c r="M2751">
        <v>120.60000000000001</v>
      </c>
      <c r="N2751">
        <v>13.85</v>
      </c>
      <c r="O2751">
        <v>1696</v>
      </c>
      <c r="P2751">
        <v>0</v>
      </c>
      <c r="Q2751" s="5" t="e">
        <f>IF(AND(#REF!&gt;=table!$C$6,#REF!&lt;= table!$D$6),-1,IF(AND(#REF!&gt;=table!$E$6,#REF!&lt;=table!$F$6),1,0))</f>
        <v>#REF!</v>
      </c>
      <c r="R2751" s="5" t="e">
        <f>IF(AND(#REF!&gt;=table!$C$7,#REF!&lt;= table!$D$7),-1,IF(AND(#REF!&gt;=table!$E$7,#REF!&lt;=table!$F$7),1,0))</f>
        <v>#REF!</v>
      </c>
      <c r="S2751" s="5" t="e">
        <f>IF(AND(#REF!&gt;=table!$C$8,#REF!&lt;= table!$D$8),-1,IF(AND(#REF!&gt;=table!$E$8,#REF!&lt;=table!$F$8),1,0))</f>
        <v>#REF!</v>
      </c>
      <c r="T2751" s="5"/>
      <c r="U2751" s="5" t="e">
        <f>IF(AND(#REF!&gt;=table!$C$10,#REF!&lt;= table!$D$10),-1,IF(AND(#REF!&gt;=table!$E$10,#REF!&lt;=table!$F$10),1,0))</f>
        <v>#REF!</v>
      </c>
      <c r="V2751" s="5" t="e">
        <f>IF(AND(#REF!&gt;=table!$C$11,#REF!&lt;= table!$D$11),-1,IF(AND(#REF!&gt;=table!$E$11,#REF!&lt;=table!$F$11),1,0))</f>
        <v>#REF!</v>
      </c>
      <c r="W2751" s="5" t="e">
        <f>CONCATENATE(dados[[#This Row],[fator1]],dados[[#This Row],[fator5]],dados[[#This Row],[fator6]])</f>
        <v>#REF!</v>
      </c>
    </row>
    <row r="2752" spans="1:23">
      <c r="A2752" t="s">
        <v>17</v>
      </c>
      <c r="B2752">
        <v>585016</v>
      </c>
      <c r="C2752">
        <v>16</v>
      </c>
      <c r="D2752">
        <v>33</v>
      </c>
      <c r="E2752">
        <v>150</v>
      </c>
      <c r="F2752">
        <v>10</v>
      </c>
      <c r="G2752">
        <v>15</v>
      </c>
      <c r="H2752">
        <v>25</v>
      </c>
      <c r="I2752">
        <v>8</v>
      </c>
      <c r="J2752">
        <v>0</v>
      </c>
      <c r="K2752">
        <v>6.4650000000000007</v>
      </c>
      <c r="L2752">
        <v>16.149999999999999</v>
      </c>
      <c r="M2752">
        <v>118.4</v>
      </c>
      <c r="N2752">
        <v>13</v>
      </c>
      <c r="O2752">
        <v>1680</v>
      </c>
      <c r="P2752">
        <v>361</v>
      </c>
      <c r="Q2752" s="5" t="e">
        <f>IF(AND(#REF!&gt;=table!$C$6,#REF!&lt;= table!$D$6),-1,IF(AND(#REF!&gt;=table!$E$6,#REF!&lt;=table!$F$6),1,0))</f>
        <v>#REF!</v>
      </c>
      <c r="R2752" s="5" t="e">
        <f>IF(AND(#REF!&gt;=table!$C$7,#REF!&lt;= table!$D$7),-1,IF(AND(#REF!&gt;=table!$E$7,#REF!&lt;=table!$F$7),1,0))</f>
        <v>#REF!</v>
      </c>
      <c r="S2752" s="5" t="e">
        <f>IF(AND(#REF!&gt;=table!$C$8,#REF!&lt;= table!$D$8),-1,IF(AND(#REF!&gt;=table!$E$8,#REF!&lt;=table!$F$8),1,0))</f>
        <v>#REF!</v>
      </c>
      <c r="T2752" s="5"/>
      <c r="U2752" s="5" t="e">
        <f>IF(AND(#REF!&gt;=table!$C$10,#REF!&lt;= table!$D$10),-1,IF(AND(#REF!&gt;=table!$E$10,#REF!&lt;=table!$F$10),1,0))</f>
        <v>#REF!</v>
      </c>
      <c r="V2752" s="5" t="e">
        <f>IF(AND(#REF!&gt;=table!$C$11,#REF!&lt;= table!$D$11),-1,IF(AND(#REF!&gt;=table!$E$11,#REF!&lt;=table!$F$11),1,0))</f>
        <v>#REF!</v>
      </c>
      <c r="W2752" s="5" t="e">
        <f>CONCATENATE(dados[[#This Row],[fator1]],dados[[#This Row],[fator5]],dados[[#This Row],[fator6]])</f>
        <v>#REF!</v>
      </c>
    </row>
    <row r="2753" spans="1:23">
      <c r="A2753" t="s">
        <v>17</v>
      </c>
      <c r="B2753">
        <v>585017</v>
      </c>
      <c r="C2753">
        <v>16</v>
      </c>
      <c r="D2753">
        <v>33</v>
      </c>
      <c r="E2753">
        <v>150</v>
      </c>
      <c r="F2753">
        <v>10</v>
      </c>
      <c r="G2753">
        <v>15</v>
      </c>
      <c r="H2753">
        <v>25</v>
      </c>
      <c r="I2753">
        <v>1508</v>
      </c>
      <c r="J2753">
        <v>0</v>
      </c>
      <c r="K2753">
        <v>5.2650000000000006</v>
      </c>
      <c r="L2753">
        <v>9.2550000000000008</v>
      </c>
      <c r="M2753">
        <v>115.2</v>
      </c>
      <c r="N2753">
        <v>13.450000000000001</v>
      </c>
      <c r="O2753">
        <v>1672</v>
      </c>
      <c r="P2753">
        <v>547</v>
      </c>
      <c r="Q2753" s="5" t="e">
        <f>IF(AND(#REF!&gt;=table!$C$6,#REF!&lt;= table!$D$6),-1,IF(AND(#REF!&gt;=table!$E$6,#REF!&lt;=table!$F$6),1,0))</f>
        <v>#REF!</v>
      </c>
      <c r="R2753" s="5" t="e">
        <f>IF(AND(#REF!&gt;=table!$C$7,#REF!&lt;= table!$D$7),-1,IF(AND(#REF!&gt;=table!$E$7,#REF!&lt;=table!$F$7),1,0))</f>
        <v>#REF!</v>
      </c>
      <c r="S2753" s="5" t="e">
        <f>IF(AND(#REF!&gt;=table!$C$8,#REF!&lt;= table!$D$8),-1,IF(AND(#REF!&gt;=table!$E$8,#REF!&lt;=table!$F$8),1,0))</f>
        <v>#REF!</v>
      </c>
      <c r="T2753" s="5"/>
      <c r="U2753" s="5" t="e">
        <f>IF(AND(#REF!&gt;=table!$C$10,#REF!&lt;= table!$D$10),-1,IF(AND(#REF!&gt;=table!$E$10,#REF!&lt;=table!$F$10),1,0))</f>
        <v>#REF!</v>
      </c>
      <c r="V2753" s="5" t="e">
        <f>IF(AND(#REF!&gt;=table!$C$11,#REF!&lt;= table!$D$11),-1,IF(AND(#REF!&gt;=table!$E$11,#REF!&lt;=table!$F$11),1,0))</f>
        <v>#REF!</v>
      </c>
      <c r="W2753" s="5" t="e">
        <f>CONCATENATE(dados[[#This Row],[fator1]],dados[[#This Row],[fator5]],dados[[#This Row],[fator6]])</f>
        <v>#REF!</v>
      </c>
    </row>
    <row r="2754" spans="1:23">
      <c r="A2754" t="s">
        <v>17</v>
      </c>
      <c r="B2754">
        <v>585020</v>
      </c>
      <c r="C2754">
        <v>46</v>
      </c>
      <c r="D2754">
        <v>18</v>
      </c>
      <c r="E2754">
        <v>66</v>
      </c>
      <c r="F2754">
        <v>10</v>
      </c>
      <c r="G2754">
        <v>20</v>
      </c>
      <c r="H2754">
        <v>23</v>
      </c>
      <c r="I2754">
        <v>1160</v>
      </c>
      <c r="J2754">
        <v>0</v>
      </c>
      <c r="K2754">
        <v>6.3850000000000007</v>
      </c>
      <c r="L2754">
        <v>12.92</v>
      </c>
      <c r="M2754">
        <v>50.94</v>
      </c>
      <c r="N2754">
        <v>10.945</v>
      </c>
      <c r="O2754">
        <v>1666</v>
      </c>
      <c r="P2754">
        <v>333</v>
      </c>
      <c r="Q2754" s="5" t="e">
        <f>IF(AND(#REF!&gt;=table!$C$6,#REF!&lt;= table!$D$6),-1,IF(AND(#REF!&gt;=table!$E$6,#REF!&lt;=table!$F$6),1,0))</f>
        <v>#REF!</v>
      </c>
      <c r="R2754" s="5" t="e">
        <f>IF(AND(#REF!&gt;=table!$C$7,#REF!&lt;= table!$D$7),-1,IF(AND(#REF!&gt;=table!$E$7,#REF!&lt;=table!$F$7),1,0))</f>
        <v>#REF!</v>
      </c>
      <c r="S2754" s="5" t="e">
        <f>IF(AND(#REF!&gt;=table!$C$8,#REF!&lt;= table!$D$8),-1,IF(AND(#REF!&gt;=table!$E$8,#REF!&lt;=table!$F$8),1,0))</f>
        <v>#REF!</v>
      </c>
      <c r="T2754" s="5"/>
      <c r="U2754" s="5" t="e">
        <f>IF(AND(#REF!&gt;=table!$C$10,#REF!&lt;= table!$D$10),-1,IF(AND(#REF!&gt;=table!$E$10,#REF!&lt;=table!$F$10),1,0))</f>
        <v>#REF!</v>
      </c>
      <c r="V2754" s="5" t="e">
        <f>IF(AND(#REF!&gt;=table!$C$11,#REF!&lt;= table!$D$11),-1,IF(AND(#REF!&gt;=table!$E$11,#REF!&lt;=table!$F$11),1,0))</f>
        <v>#REF!</v>
      </c>
      <c r="W2754" s="5" t="e">
        <f>CONCATENATE(dados[[#This Row],[fator1]],dados[[#This Row],[fator5]],dados[[#This Row],[fator6]])</f>
        <v>#REF!</v>
      </c>
    </row>
    <row r="2755" spans="1:23">
      <c r="A2755" t="s">
        <v>16</v>
      </c>
      <c r="B2755">
        <v>585022</v>
      </c>
      <c r="C2755">
        <v>7</v>
      </c>
      <c r="D2755">
        <v>35</v>
      </c>
      <c r="E2755">
        <v>170</v>
      </c>
      <c r="F2755">
        <v>6</v>
      </c>
      <c r="G2755">
        <v>0</v>
      </c>
      <c r="H2755">
        <v>20</v>
      </c>
      <c r="I2755">
        <v>28</v>
      </c>
      <c r="J2755">
        <v>0</v>
      </c>
      <c r="K2755">
        <v>4.87</v>
      </c>
      <c r="L2755">
        <v>13.75</v>
      </c>
      <c r="M2755">
        <v>148.85</v>
      </c>
      <c r="N2755">
        <v>10.4</v>
      </c>
      <c r="O2755">
        <v>1688</v>
      </c>
      <c r="P2755">
        <v>600</v>
      </c>
      <c r="Q2755" s="5" t="e">
        <f>IF(AND(#REF!&gt;=table!$C$6,#REF!&lt;= table!$D$6),-1,IF(AND(#REF!&gt;=table!$E$6,#REF!&lt;=table!$F$6),1,0))</f>
        <v>#REF!</v>
      </c>
      <c r="R2755" s="5" t="e">
        <f>IF(AND(#REF!&gt;=table!$C$7,#REF!&lt;= table!$D$7),-1,IF(AND(#REF!&gt;=table!$E$7,#REF!&lt;=table!$F$7),1,0))</f>
        <v>#REF!</v>
      </c>
      <c r="S2755" s="5" t="e">
        <f>IF(AND(#REF!&gt;=table!$C$8,#REF!&lt;= table!$D$8),-1,IF(AND(#REF!&gt;=table!$E$8,#REF!&lt;=table!$F$8),1,0))</f>
        <v>#REF!</v>
      </c>
      <c r="T2755" s="5"/>
      <c r="U2755" s="5" t="e">
        <f>IF(AND(#REF!&gt;=table!$C$10,#REF!&lt;= table!$D$10),-1,IF(AND(#REF!&gt;=table!$E$10,#REF!&lt;=table!$F$10),1,0))</f>
        <v>#REF!</v>
      </c>
      <c r="V2755" s="5" t="e">
        <f>IF(AND(#REF!&gt;=table!$C$11,#REF!&lt;= table!$D$11),-1,IF(AND(#REF!&gt;=table!$E$11,#REF!&lt;=table!$F$11),1,0))</f>
        <v>#REF!</v>
      </c>
      <c r="W2755" s="5" t="e">
        <f>CONCATENATE(dados[[#This Row],[fator1]],dados[[#This Row],[fator5]],dados[[#This Row],[fator6]])</f>
        <v>#REF!</v>
      </c>
    </row>
    <row r="2756" spans="1:23">
      <c r="A2756" t="s">
        <v>16</v>
      </c>
      <c r="B2756">
        <v>585023</v>
      </c>
      <c r="C2756">
        <v>7</v>
      </c>
      <c r="D2756">
        <v>35</v>
      </c>
      <c r="E2756">
        <v>170</v>
      </c>
      <c r="F2756">
        <v>6</v>
      </c>
      <c r="G2756">
        <v>0</v>
      </c>
      <c r="H2756">
        <v>20</v>
      </c>
      <c r="I2756">
        <v>216</v>
      </c>
      <c r="J2756">
        <v>0</v>
      </c>
      <c r="K2756">
        <v>5.335</v>
      </c>
      <c r="L2756">
        <v>19.600000000000001</v>
      </c>
      <c r="M2756">
        <v>153.6</v>
      </c>
      <c r="N2756">
        <v>17.55</v>
      </c>
      <c r="O2756">
        <v>1689</v>
      </c>
      <c r="P2756">
        <v>377</v>
      </c>
      <c r="Q2756" s="5" t="e">
        <f>IF(AND(#REF!&gt;=table!$C$6,#REF!&lt;= table!$D$6),-1,IF(AND(#REF!&gt;=table!$E$6,#REF!&lt;=table!$F$6),1,0))</f>
        <v>#REF!</v>
      </c>
      <c r="R2756" s="5" t="e">
        <f>IF(AND(#REF!&gt;=table!$C$7,#REF!&lt;= table!$D$7),-1,IF(AND(#REF!&gt;=table!$E$7,#REF!&lt;=table!$F$7),1,0))</f>
        <v>#REF!</v>
      </c>
      <c r="S2756" s="5" t="e">
        <f>IF(AND(#REF!&gt;=table!$C$8,#REF!&lt;= table!$D$8),-1,IF(AND(#REF!&gt;=table!$E$8,#REF!&lt;=table!$F$8),1,0))</f>
        <v>#REF!</v>
      </c>
      <c r="T2756" s="5"/>
      <c r="U2756" s="5" t="e">
        <f>IF(AND(#REF!&gt;=table!$C$10,#REF!&lt;= table!$D$10),-1,IF(AND(#REF!&gt;=table!$E$10,#REF!&lt;=table!$F$10),1,0))</f>
        <v>#REF!</v>
      </c>
      <c r="V2756" s="5" t="e">
        <f>IF(AND(#REF!&gt;=table!$C$11,#REF!&lt;= table!$D$11),-1,IF(AND(#REF!&gt;=table!$E$11,#REF!&lt;=table!$F$11),1,0))</f>
        <v>#REF!</v>
      </c>
      <c r="W2756" s="5" t="e">
        <f>CONCATENATE(dados[[#This Row],[fator1]],dados[[#This Row],[fator5]],dados[[#This Row],[fator6]])</f>
        <v>#REF!</v>
      </c>
    </row>
    <row r="2757" spans="1:23">
      <c r="A2757" t="s">
        <v>16</v>
      </c>
      <c r="B2757">
        <v>585024</v>
      </c>
      <c r="C2757">
        <v>11</v>
      </c>
      <c r="D2757">
        <v>40</v>
      </c>
      <c r="E2757">
        <v>151</v>
      </c>
      <c r="F2757">
        <v>8</v>
      </c>
      <c r="G2757">
        <v>0</v>
      </c>
      <c r="H2757">
        <v>25</v>
      </c>
      <c r="I2757">
        <v>147</v>
      </c>
      <c r="J2757">
        <v>2240</v>
      </c>
      <c r="K2757">
        <v>41.885000000000005</v>
      </c>
      <c r="L2757">
        <v>33.200000000000003</v>
      </c>
      <c r="M2757">
        <v>113.15</v>
      </c>
      <c r="N2757">
        <v>7.6000000000000005</v>
      </c>
      <c r="O2757">
        <v>1689</v>
      </c>
      <c r="P2757">
        <v>0</v>
      </c>
      <c r="Q2757" s="5" t="e">
        <f>IF(AND(#REF!&gt;=table!$C$6,#REF!&lt;= table!$D$6),-1,IF(AND(#REF!&gt;=table!$E$6,#REF!&lt;=table!$F$6),1,0))</f>
        <v>#REF!</v>
      </c>
      <c r="R2757" s="5" t="e">
        <f>IF(AND(#REF!&gt;=table!$C$7,#REF!&lt;= table!$D$7),-1,IF(AND(#REF!&gt;=table!$E$7,#REF!&lt;=table!$F$7),1,0))</f>
        <v>#REF!</v>
      </c>
      <c r="S2757" s="5" t="e">
        <f>IF(AND(#REF!&gt;=table!$C$8,#REF!&lt;= table!$D$8),-1,IF(AND(#REF!&gt;=table!$E$8,#REF!&lt;=table!$F$8),1,0))</f>
        <v>#REF!</v>
      </c>
      <c r="T2757" s="5"/>
      <c r="U2757" s="5" t="e">
        <f>IF(AND(#REF!&gt;=table!$C$10,#REF!&lt;= table!$D$10),-1,IF(AND(#REF!&gt;=table!$E$10,#REF!&lt;=table!$F$10),1,0))</f>
        <v>#REF!</v>
      </c>
      <c r="V2757" s="5" t="e">
        <f>IF(AND(#REF!&gt;=table!$C$11,#REF!&lt;= table!$D$11),-1,IF(AND(#REF!&gt;=table!$E$11,#REF!&lt;=table!$F$11),1,0))</f>
        <v>#REF!</v>
      </c>
      <c r="W2757" s="5" t="e">
        <f>CONCATENATE(dados[[#This Row],[fator1]],dados[[#This Row],[fator5]],dados[[#This Row],[fator6]])</f>
        <v>#REF!</v>
      </c>
    </row>
    <row r="2758" spans="1:23">
      <c r="A2758" t="s">
        <v>17</v>
      </c>
      <c r="B2758">
        <v>585025</v>
      </c>
      <c r="C2758">
        <v>13</v>
      </c>
      <c r="D2758">
        <v>35</v>
      </c>
      <c r="E2758">
        <v>100</v>
      </c>
      <c r="F2758">
        <v>2</v>
      </c>
      <c r="G2758">
        <v>28</v>
      </c>
      <c r="H2758">
        <v>20</v>
      </c>
      <c r="I2758">
        <v>35</v>
      </c>
      <c r="J2758">
        <v>0</v>
      </c>
      <c r="K2758">
        <v>3.48</v>
      </c>
      <c r="L2758">
        <v>16.75</v>
      </c>
      <c r="M2758">
        <v>95.45</v>
      </c>
      <c r="N2758">
        <v>13.4</v>
      </c>
      <c r="O2758">
        <v>1680</v>
      </c>
      <c r="P2758">
        <v>443</v>
      </c>
      <c r="Q2758" s="5" t="e">
        <f>IF(AND(#REF!&gt;=table!$C$6,#REF!&lt;= table!$D$6),-1,IF(AND(#REF!&gt;=table!$E$6,#REF!&lt;=table!$F$6),1,0))</f>
        <v>#REF!</v>
      </c>
      <c r="R2758" s="5" t="e">
        <f>IF(AND(#REF!&gt;=table!$C$7,#REF!&lt;= table!$D$7),-1,IF(AND(#REF!&gt;=table!$E$7,#REF!&lt;=table!$F$7),1,0))</f>
        <v>#REF!</v>
      </c>
      <c r="S2758" s="5" t="e">
        <f>IF(AND(#REF!&gt;=table!$C$8,#REF!&lt;= table!$D$8),-1,IF(AND(#REF!&gt;=table!$E$8,#REF!&lt;=table!$F$8),1,0))</f>
        <v>#REF!</v>
      </c>
      <c r="T2758" s="5"/>
      <c r="U2758" s="5" t="e">
        <f>IF(AND(#REF!&gt;=table!$C$10,#REF!&lt;= table!$D$10),-1,IF(AND(#REF!&gt;=table!$E$10,#REF!&lt;=table!$F$10),1,0))</f>
        <v>#REF!</v>
      </c>
      <c r="V2758" s="5" t="e">
        <f>IF(AND(#REF!&gt;=table!$C$11,#REF!&lt;= table!$D$11),-1,IF(AND(#REF!&gt;=table!$E$11,#REF!&lt;=table!$F$11),1,0))</f>
        <v>#REF!</v>
      </c>
      <c r="W2758" s="5" t="e">
        <f>CONCATENATE(dados[[#This Row],[fator1]],dados[[#This Row],[fator5]],dados[[#This Row],[fator6]])</f>
        <v>#REF!</v>
      </c>
    </row>
    <row r="2759" spans="1:23">
      <c r="A2759" t="s">
        <v>17</v>
      </c>
      <c r="B2759">
        <v>585026</v>
      </c>
      <c r="C2759">
        <v>18</v>
      </c>
      <c r="D2759">
        <v>23</v>
      </c>
      <c r="E2759">
        <v>155</v>
      </c>
      <c r="F2759">
        <v>4</v>
      </c>
      <c r="G2759">
        <v>30</v>
      </c>
      <c r="H2759">
        <v>25</v>
      </c>
      <c r="I2759">
        <v>12</v>
      </c>
      <c r="J2759">
        <v>0</v>
      </c>
      <c r="K2759">
        <v>3.5050000000000003</v>
      </c>
      <c r="L2759">
        <v>11.5</v>
      </c>
      <c r="M2759">
        <v>150.1</v>
      </c>
      <c r="N2759">
        <v>12.85</v>
      </c>
      <c r="O2759">
        <v>1684</v>
      </c>
      <c r="P2759">
        <v>0</v>
      </c>
      <c r="Q2759" s="5" t="e">
        <f>IF(AND(#REF!&gt;=table!$C$6,#REF!&lt;= table!$D$6),-1,IF(AND(#REF!&gt;=table!$E$6,#REF!&lt;=table!$F$6),1,0))</f>
        <v>#REF!</v>
      </c>
      <c r="R2759" s="5" t="e">
        <f>IF(AND(#REF!&gt;=table!$C$7,#REF!&lt;= table!$D$7),-1,IF(AND(#REF!&gt;=table!$E$7,#REF!&lt;=table!$F$7),1,0))</f>
        <v>#REF!</v>
      </c>
      <c r="S2759" s="5" t="e">
        <f>IF(AND(#REF!&gt;=table!$C$8,#REF!&lt;= table!$D$8),-1,IF(AND(#REF!&gt;=table!$E$8,#REF!&lt;=table!$F$8),1,0))</f>
        <v>#REF!</v>
      </c>
      <c r="T2759" s="5"/>
      <c r="U2759" s="5" t="e">
        <f>IF(AND(#REF!&gt;=table!$C$10,#REF!&lt;= table!$D$10),-1,IF(AND(#REF!&gt;=table!$E$10,#REF!&lt;=table!$F$10),1,0))</f>
        <v>#REF!</v>
      </c>
      <c r="V2759" s="5" t="e">
        <f>IF(AND(#REF!&gt;=table!$C$11,#REF!&lt;= table!$D$11),-1,IF(AND(#REF!&gt;=table!$E$11,#REF!&lt;=table!$F$11),1,0))</f>
        <v>#REF!</v>
      </c>
      <c r="W2759" s="5" t="e">
        <f>CONCATENATE(dados[[#This Row],[fator1]],dados[[#This Row],[fator5]],dados[[#This Row],[fator6]])</f>
        <v>#REF!</v>
      </c>
    </row>
    <row r="2760" spans="1:23">
      <c r="A2760" t="s">
        <v>17</v>
      </c>
      <c r="B2760">
        <v>585029</v>
      </c>
      <c r="C2760">
        <v>16</v>
      </c>
      <c r="D2760">
        <v>23</v>
      </c>
      <c r="E2760">
        <v>145</v>
      </c>
      <c r="F2760">
        <v>6</v>
      </c>
      <c r="G2760">
        <v>30</v>
      </c>
      <c r="H2760">
        <v>25</v>
      </c>
      <c r="I2760">
        <v>701</v>
      </c>
      <c r="J2760">
        <v>0</v>
      </c>
      <c r="K2760">
        <v>4.78</v>
      </c>
      <c r="L2760">
        <v>14.9</v>
      </c>
      <c r="M2760">
        <v>51.6</v>
      </c>
      <c r="N2760">
        <v>11.65</v>
      </c>
      <c r="O2760">
        <v>1684</v>
      </c>
      <c r="P2760">
        <v>0</v>
      </c>
      <c r="Q2760" s="5" t="e">
        <f>IF(AND(#REF!&gt;=table!$C$6,#REF!&lt;= table!$D$6),-1,IF(AND(#REF!&gt;=table!$E$6,#REF!&lt;=table!$F$6),1,0))</f>
        <v>#REF!</v>
      </c>
      <c r="R2760" s="5" t="e">
        <f>IF(AND(#REF!&gt;=table!$C$7,#REF!&lt;= table!$D$7),-1,IF(AND(#REF!&gt;=table!$E$7,#REF!&lt;=table!$F$7),1,0))</f>
        <v>#REF!</v>
      </c>
      <c r="S2760" s="5" t="e">
        <f>IF(AND(#REF!&gt;=table!$C$8,#REF!&lt;= table!$D$8),-1,IF(AND(#REF!&gt;=table!$E$8,#REF!&lt;=table!$F$8),1,0))</f>
        <v>#REF!</v>
      </c>
      <c r="T2760" s="5"/>
      <c r="U2760" s="5" t="e">
        <f>IF(AND(#REF!&gt;=table!$C$10,#REF!&lt;= table!$D$10),-1,IF(AND(#REF!&gt;=table!$E$10,#REF!&lt;=table!$F$10),1,0))</f>
        <v>#REF!</v>
      </c>
      <c r="V2760" s="5" t="e">
        <f>IF(AND(#REF!&gt;=table!$C$11,#REF!&lt;= table!$D$11),-1,IF(AND(#REF!&gt;=table!$E$11,#REF!&lt;=table!$F$11),1,0))</f>
        <v>#REF!</v>
      </c>
      <c r="W2760" s="5" t="e">
        <f>CONCATENATE(dados[[#This Row],[fator1]],dados[[#This Row],[fator5]],dados[[#This Row],[fator6]])</f>
        <v>#REF!</v>
      </c>
    </row>
    <row r="2761" spans="1:23">
      <c r="A2761" t="s">
        <v>16</v>
      </c>
      <c r="B2761">
        <v>585032</v>
      </c>
      <c r="C2761">
        <v>12</v>
      </c>
      <c r="D2761">
        <v>35</v>
      </c>
      <c r="E2761">
        <v>180</v>
      </c>
      <c r="F2761">
        <v>6</v>
      </c>
      <c r="G2761">
        <v>0</v>
      </c>
      <c r="H2761">
        <v>20</v>
      </c>
      <c r="I2761">
        <v>97</v>
      </c>
      <c r="J2761">
        <v>960</v>
      </c>
      <c r="K2761">
        <v>5.375</v>
      </c>
      <c r="L2761">
        <v>14.35</v>
      </c>
      <c r="M2761">
        <v>26.05</v>
      </c>
      <c r="N2761">
        <v>5.7</v>
      </c>
      <c r="O2761">
        <v>1672</v>
      </c>
      <c r="P2761">
        <v>375</v>
      </c>
      <c r="Q2761" s="5" t="e">
        <f>IF(AND(#REF!&gt;=table!$C$6,#REF!&lt;= table!$D$6),-1,IF(AND(#REF!&gt;=table!$E$6,#REF!&lt;=table!$F$6),1,0))</f>
        <v>#REF!</v>
      </c>
      <c r="R2761" s="5" t="e">
        <f>IF(AND(#REF!&gt;=table!$C$7,#REF!&lt;= table!$D$7),-1,IF(AND(#REF!&gt;=table!$E$7,#REF!&lt;=table!$F$7),1,0))</f>
        <v>#REF!</v>
      </c>
      <c r="S2761" s="5" t="e">
        <f>IF(AND(#REF!&gt;=table!$C$8,#REF!&lt;= table!$D$8),-1,IF(AND(#REF!&gt;=table!$E$8,#REF!&lt;=table!$F$8),1,0))</f>
        <v>#REF!</v>
      </c>
      <c r="T2761" s="5"/>
      <c r="U2761" s="5" t="e">
        <f>IF(AND(#REF!&gt;=table!$C$10,#REF!&lt;= table!$D$10),-1,IF(AND(#REF!&gt;=table!$E$10,#REF!&lt;=table!$F$10),1,0))</f>
        <v>#REF!</v>
      </c>
      <c r="V2761" s="5" t="e">
        <f>IF(AND(#REF!&gt;=table!$C$11,#REF!&lt;= table!$D$11),-1,IF(AND(#REF!&gt;=table!$E$11,#REF!&lt;=table!$F$11),1,0))</f>
        <v>#REF!</v>
      </c>
      <c r="W2761" s="5" t="e">
        <f>CONCATENATE(dados[[#This Row],[fator1]],dados[[#This Row],[fator5]],dados[[#This Row],[fator6]])</f>
        <v>#REF!</v>
      </c>
    </row>
    <row r="2762" spans="1:23">
      <c r="A2762" t="s">
        <v>16</v>
      </c>
      <c r="B2762">
        <v>585034</v>
      </c>
      <c r="C2762">
        <v>7</v>
      </c>
      <c r="D2762">
        <v>35</v>
      </c>
      <c r="E2762">
        <v>170</v>
      </c>
      <c r="F2762">
        <v>6</v>
      </c>
      <c r="G2762">
        <v>0</v>
      </c>
      <c r="H2762">
        <v>20</v>
      </c>
      <c r="I2762">
        <v>451</v>
      </c>
      <c r="J2762">
        <v>0</v>
      </c>
      <c r="K2762">
        <v>4.1500000000000004</v>
      </c>
      <c r="L2762">
        <v>11.65</v>
      </c>
      <c r="M2762">
        <v>141.6</v>
      </c>
      <c r="N2762">
        <v>6.6000000000000005</v>
      </c>
      <c r="O2762">
        <v>1676</v>
      </c>
      <c r="P2762">
        <v>555</v>
      </c>
      <c r="Q2762" s="5" t="e">
        <f>IF(AND(#REF!&gt;=table!$C$6,#REF!&lt;= table!$D$6),-1,IF(AND(#REF!&gt;=table!$E$6,#REF!&lt;=table!$F$6),1,0))</f>
        <v>#REF!</v>
      </c>
      <c r="R2762" s="5" t="e">
        <f>IF(AND(#REF!&gt;=table!$C$7,#REF!&lt;= table!$D$7),-1,IF(AND(#REF!&gt;=table!$E$7,#REF!&lt;=table!$F$7),1,0))</f>
        <v>#REF!</v>
      </c>
      <c r="S2762" s="5" t="e">
        <f>IF(AND(#REF!&gt;=table!$C$8,#REF!&lt;= table!$D$8),-1,IF(AND(#REF!&gt;=table!$E$8,#REF!&lt;=table!$F$8),1,0))</f>
        <v>#REF!</v>
      </c>
      <c r="T2762" s="5"/>
      <c r="U2762" s="5" t="e">
        <f>IF(AND(#REF!&gt;=table!$C$10,#REF!&lt;= table!$D$10),-1,IF(AND(#REF!&gt;=table!$E$10,#REF!&lt;=table!$F$10),1,0))</f>
        <v>#REF!</v>
      </c>
      <c r="V2762" s="5" t="e">
        <f>IF(AND(#REF!&gt;=table!$C$11,#REF!&lt;= table!$D$11),-1,IF(AND(#REF!&gt;=table!$E$11,#REF!&lt;=table!$F$11),1,0))</f>
        <v>#REF!</v>
      </c>
      <c r="W2762" s="5" t="e">
        <f>CONCATENATE(dados[[#This Row],[fator1]],dados[[#This Row],[fator5]],dados[[#This Row],[fator6]])</f>
        <v>#REF!</v>
      </c>
    </row>
    <row r="2763" spans="1:23">
      <c r="A2763" t="s">
        <v>16</v>
      </c>
      <c r="B2763">
        <v>585038</v>
      </c>
      <c r="C2763">
        <v>11</v>
      </c>
      <c r="D2763">
        <v>40</v>
      </c>
      <c r="E2763">
        <v>151</v>
      </c>
      <c r="F2763">
        <v>8</v>
      </c>
      <c r="G2763">
        <v>0</v>
      </c>
      <c r="H2763">
        <v>25</v>
      </c>
      <c r="I2763">
        <v>1651</v>
      </c>
      <c r="J2763">
        <v>0</v>
      </c>
      <c r="K2763">
        <v>2.5750000000000002</v>
      </c>
      <c r="L2763">
        <v>8.6</v>
      </c>
      <c r="M2763">
        <v>110.35000000000001</v>
      </c>
      <c r="N2763">
        <v>8</v>
      </c>
      <c r="O2763">
        <v>1685</v>
      </c>
      <c r="P2763">
        <v>718</v>
      </c>
      <c r="Q2763" s="5" t="e">
        <f>IF(AND(#REF!&gt;=table!$C$6,#REF!&lt;= table!$D$6),-1,IF(AND(#REF!&gt;=table!$E$6,#REF!&lt;=table!$F$6),1,0))</f>
        <v>#REF!</v>
      </c>
      <c r="R2763" s="5" t="e">
        <f>IF(AND(#REF!&gt;=table!$C$7,#REF!&lt;= table!$D$7),-1,IF(AND(#REF!&gt;=table!$E$7,#REF!&lt;=table!$F$7),1,0))</f>
        <v>#REF!</v>
      </c>
      <c r="S2763" s="5" t="e">
        <f>IF(AND(#REF!&gt;=table!$C$8,#REF!&lt;= table!$D$8),-1,IF(AND(#REF!&gt;=table!$E$8,#REF!&lt;=table!$F$8),1,0))</f>
        <v>#REF!</v>
      </c>
      <c r="T2763" s="5"/>
      <c r="U2763" s="5" t="e">
        <f>IF(AND(#REF!&gt;=table!$C$10,#REF!&lt;= table!$D$10),-1,IF(AND(#REF!&gt;=table!$E$10,#REF!&lt;=table!$F$10),1,0))</f>
        <v>#REF!</v>
      </c>
      <c r="V2763" s="5" t="e">
        <f>IF(AND(#REF!&gt;=table!$C$11,#REF!&lt;= table!$D$11),-1,IF(AND(#REF!&gt;=table!$E$11,#REF!&lt;=table!$F$11),1,0))</f>
        <v>#REF!</v>
      </c>
      <c r="W2763" s="5" t="e">
        <f>CONCATENATE(dados[[#This Row],[fator1]],dados[[#This Row],[fator5]],dados[[#This Row],[fator6]])</f>
        <v>#REF!</v>
      </c>
    </row>
    <row r="2764" spans="1:23">
      <c r="A2764" t="s">
        <v>16</v>
      </c>
      <c r="B2764">
        <v>585040</v>
      </c>
      <c r="C2764">
        <v>10</v>
      </c>
      <c r="D2764">
        <v>38</v>
      </c>
      <c r="E2764">
        <v>150</v>
      </c>
      <c r="F2764">
        <v>4</v>
      </c>
      <c r="G2764">
        <v>0</v>
      </c>
      <c r="H2764">
        <v>25</v>
      </c>
      <c r="I2764">
        <v>936</v>
      </c>
      <c r="J2764">
        <v>0</v>
      </c>
      <c r="K2764">
        <v>3.64</v>
      </c>
      <c r="L2764">
        <v>9.65</v>
      </c>
      <c r="M2764">
        <v>119.05</v>
      </c>
      <c r="N2764">
        <v>10.25</v>
      </c>
      <c r="O2764">
        <v>1685</v>
      </c>
      <c r="P2764">
        <v>0</v>
      </c>
      <c r="Q2764" s="5" t="e">
        <f>IF(AND(#REF!&gt;=table!$C$6,#REF!&lt;= table!$D$6),-1,IF(AND(#REF!&gt;=table!$E$6,#REF!&lt;=table!$F$6),1,0))</f>
        <v>#REF!</v>
      </c>
      <c r="R2764" s="5" t="e">
        <f>IF(AND(#REF!&gt;=table!$C$7,#REF!&lt;= table!$D$7),-1,IF(AND(#REF!&gt;=table!$E$7,#REF!&lt;=table!$F$7),1,0))</f>
        <v>#REF!</v>
      </c>
      <c r="S2764" s="5" t="e">
        <f>IF(AND(#REF!&gt;=table!$C$8,#REF!&lt;= table!$D$8),-1,IF(AND(#REF!&gt;=table!$E$8,#REF!&lt;=table!$F$8),1,0))</f>
        <v>#REF!</v>
      </c>
      <c r="T2764" s="5"/>
      <c r="U2764" s="5" t="e">
        <f>IF(AND(#REF!&gt;=table!$C$10,#REF!&lt;= table!$D$10),-1,IF(AND(#REF!&gt;=table!$E$10,#REF!&lt;=table!$F$10),1,0))</f>
        <v>#REF!</v>
      </c>
      <c r="V2764" s="5" t="e">
        <f>IF(AND(#REF!&gt;=table!$C$11,#REF!&lt;= table!$D$11),-1,IF(AND(#REF!&gt;=table!$E$11,#REF!&lt;=table!$F$11),1,0))</f>
        <v>#REF!</v>
      </c>
      <c r="W2764" s="5" t="e">
        <f>CONCATENATE(dados[[#This Row],[fator1]],dados[[#This Row],[fator5]],dados[[#This Row],[fator6]])</f>
        <v>#REF!</v>
      </c>
    </row>
    <row r="2765" spans="1:23">
      <c r="A2765" t="s">
        <v>16</v>
      </c>
      <c r="B2765">
        <v>585041</v>
      </c>
      <c r="C2765">
        <v>10</v>
      </c>
      <c r="D2765">
        <v>38</v>
      </c>
      <c r="E2765">
        <v>150</v>
      </c>
      <c r="F2765">
        <v>4</v>
      </c>
      <c r="G2765">
        <v>0</v>
      </c>
      <c r="H2765">
        <v>25</v>
      </c>
      <c r="I2765">
        <v>411</v>
      </c>
      <c r="J2765">
        <v>0</v>
      </c>
      <c r="K2765">
        <v>2.95</v>
      </c>
      <c r="L2765">
        <v>8.9500000000000011</v>
      </c>
      <c r="M2765">
        <v>120.55</v>
      </c>
      <c r="N2765">
        <v>11</v>
      </c>
      <c r="O2765">
        <v>1690</v>
      </c>
      <c r="P2765">
        <v>0</v>
      </c>
      <c r="Q2765" s="5" t="e">
        <f>IF(AND(#REF!&gt;=table!$C$6,#REF!&lt;= table!$D$6),-1,IF(AND(#REF!&gt;=table!$E$6,#REF!&lt;=table!$F$6),1,0))</f>
        <v>#REF!</v>
      </c>
      <c r="R2765" s="5" t="e">
        <f>IF(AND(#REF!&gt;=table!$C$7,#REF!&lt;= table!$D$7),-1,IF(AND(#REF!&gt;=table!$E$7,#REF!&lt;=table!$F$7),1,0))</f>
        <v>#REF!</v>
      </c>
      <c r="S2765" s="5" t="e">
        <f>IF(AND(#REF!&gt;=table!$C$8,#REF!&lt;= table!$D$8),-1,IF(AND(#REF!&gt;=table!$E$8,#REF!&lt;=table!$F$8),1,0))</f>
        <v>#REF!</v>
      </c>
      <c r="T2765" s="5"/>
      <c r="U2765" s="5" t="e">
        <f>IF(AND(#REF!&gt;=table!$C$10,#REF!&lt;= table!$D$10),-1,IF(AND(#REF!&gt;=table!$E$10,#REF!&lt;=table!$F$10),1,0))</f>
        <v>#REF!</v>
      </c>
      <c r="V2765" s="5" t="e">
        <f>IF(AND(#REF!&gt;=table!$C$11,#REF!&lt;= table!$D$11),-1,IF(AND(#REF!&gt;=table!$E$11,#REF!&lt;=table!$F$11),1,0))</f>
        <v>#REF!</v>
      </c>
      <c r="W2765" s="5" t="e">
        <f>CONCATENATE(dados[[#This Row],[fator1]],dados[[#This Row],[fator5]],dados[[#This Row],[fator6]])</f>
        <v>#REF!</v>
      </c>
    </row>
    <row r="2766" spans="1:23">
      <c r="A2766" t="s">
        <v>17</v>
      </c>
      <c r="B2766">
        <v>585043</v>
      </c>
      <c r="C2766">
        <v>14</v>
      </c>
      <c r="D2766">
        <v>30</v>
      </c>
      <c r="E2766">
        <v>110</v>
      </c>
      <c r="F2766">
        <v>3</v>
      </c>
      <c r="G2766">
        <v>20</v>
      </c>
      <c r="H2766">
        <v>22</v>
      </c>
      <c r="I2766">
        <v>15</v>
      </c>
      <c r="J2766">
        <v>0</v>
      </c>
      <c r="K2766">
        <v>3.72</v>
      </c>
      <c r="L2766">
        <v>11.5</v>
      </c>
      <c r="M2766">
        <v>94.75500000000001</v>
      </c>
      <c r="N2766">
        <v>8.43</v>
      </c>
      <c r="O2766">
        <v>1690</v>
      </c>
      <c r="P2766">
        <v>0</v>
      </c>
      <c r="Q2766" s="5" t="e">
        <f>IF(AND(#REF!&gt;=table!$C$6,#REF!&lt;= table!$D$6),-1,IF(AND(#REF!&gt;=table!$E$6,#REF!&lt;=table!$F$6),1,0))</f>
        <v>#REF!</v>
      </c>
      <c r="R2766" s="5" t="e">
        <f>IF(AND(#REF!&gt;=table!$C$7,#REF!&lt;= table!$D$7),-1,IF(AND(#REF!&gt;=table!$E$7,#REF!&lt;=table!$F$7),1,0))</f>
        <v>#REF!</v>
      </c>
      <c r="S2766" s="5" t="e">
        <f>IF(AND(#REF!&gt;=table!$C$8,#REF!&lt;= table!$D$8),-1,IF(AND(#REF!&gt;=table!$E$8,#REF!&lt;=table!$F$8),1,0))</f>
        <v>#REF!</v>
      </c>
      <c r="T2766" s="5"/>
      <c r="U2766" s="5" t="e">
        <f>IF(AND(#REF!&gt;=table!$C$10,#REF!&lt;= table!$D$10),-1,IF(AND(#REF!&gt;=table!$E$10,#REF!&lt;=table!$F$10),1,0))</f>
        <v>#REF!</v>
      </c>
      <c r="V2766" s="5" t="e">
        <f>IF(AND(#REF!&gt;=table!$C$11,#REF!&lt;= table!$D$11),-1,IF(AND(#REF!&gt;=table!$E$11,#REF!&lt;=table!$F$11),1,0))</f>
        <v>#REF!</v>
      </c>
      <c r="W2766" s="5" t="e">
        <f>CONCATENATE(dados[[#This Row],[fator1]],dados[[#This Row],[fator5]],dados[[#This Row],[fator6]])</f>
        <v>#REF!</v>
      </c>
    </row>
    <row r="2767" spans="1:23">
      <c r="A2767" t="s">
        <v>17</v>
      </c>
      <c r="B2767">
        <v>585044</v>
      </c>
      <c r="C2767">
        <v>14</v>
      </c>
      <c r="D2767">
        <v>30</v>
      </c>
      <c r="E2767">
        <v>110</v>
      </c>
      <c r="F2767">
        <v>4</v>
      </c>
      <c r="G2767">
        <v>20</v>
      </c>
      <c r="H2767">
        <v>22</v>
      </c>
      <c r="I2767">
        <v>437</v>
      </c>
      <c r="J2767">
        <v>0</v>
      </c>
      <c r="K2767">
        <v>4.38</v>
      </c>
      <c r="L2767">
        <v>9.1</v>
      </c>
      <c r="M2767">
        <v>101.15</v>
      </c>
      <c r="N2767">
        <v>8.35</v>
      </c>
      <c r="O2767">
        <v>1672</v>
      </c>
      <c r="P2767">
        <v>492</v>
      </c>
      <c r="Q2767" s="5" t="e">
        <f>IF(AND(#REF!&gt;=table!$C$6,#REF!&lt;= table!$D$6),-1,IF(AND(#REF!&gt;=table!$E$6,#REF!&lt;=table!$F$6),1,0))</f>
        <v>#REF!</v>
      </c>
      <c r="R2767" s="5" t="e">
        <f>IF(AND(#REF!&gt;=table!$C$7,#REF!&lt;= table!$D$7),-1,IF(AND(#REF!&gt;=table!$E$7,#REF!&lt;=table!$F$7),1,0))</f>
        <v>#REF!</v>
      </c>
      <c r="S2767" s="5" t="e">
        <f>IF(AND(#REF!&gt;=table!$C$8,#REF!&lt;= table!$D$8),-1,IF(AND(#REF!&gt;=table!$E$8,#REF!&lt;=table!$F$8),1,0))</f>
        <v>#REF!</v>
      </c>
      <c r="T2767" s="5"/>
      <c r="U2767" s="5" t="e">
        <f>IF(AND(#REF!&gt;=table!$C$10,#REF!&lt;= table!$D$10),-1,IF(AND(#REF!&gt;=table!$E$10,#REF!&lt;=table!$F$10),1,0))</f>
        <v>#REF!</v>
      </c>
      <c r="V2767" s="5" t="e">
        <f>IF(AND(#REF!&gt;=table!$C$11,#REF!&lt;= table!$D$11),-1,IF(AND(#REF!&gt;=table!$E$11,#REF!&lt;=table!$F$11),1,0))</f>
        <v>#REF!</v>
      </c>
      <c r="W2767" s="5" t="e">
        <f>CONCATENATE(dados[[#This Row],[fator1]],dados[[#This Row],[fator5]],dados[[#This Row],[fator6]])</f>
        <v>#REF!</v>
      </c>
    </row>
    <row r="2768" spans="1:23">
      <c r="A2768" t="s">
        <v>17</v>
      </c>
      <c r="B2768">
        <v>585046</v>
      </c>
      <c r="C2768">
        <v>14</v>
      </c>
      <c r="D2768">
        <v>30</v>
      </c>
      <c r="E2768">
        <v>110</v>
      </c>
      <c r="F2768">
        <v>4</v>
      </c>
      <c r="G2768">
        <v>20</v>
      </c>
      <c r="H2768">
        <v>22</v>
      </c>
      <c r="I2768">
        <v>1132</v>
      </c>
      <c r="J2768">
        <v>0</v>
      </c>
      <c r="K2768">
        <v>3.77</v>
      </c>
      <c r="L2768">
        <v>8.25</v>
      </c>
      <c r="M2768">
        <v>104.10000000000001</v>
      </c>
      <c r="N2768">
        <v>8.6</v>
      </c>
      <c r="O2768">
        <v>1678</v>
      </c>
      <c r="P2768">
        <v>551</v>
      </c>
      <c r="Q2768" s="5" t="e">
        <f>IF(AND(#REF!&gt;=table!$C$6,#REF!&lt;= table!$D$6),-1,IF(AND(#REF!&gt;=table!$E$6,#REF!&lt;=table!$F$6),1,0))</f>
        <v>#REF!</v>
      </c>
      <c r="R2768" s="5" t="e">
        <f>IF(AND(#REF!&gt;=table!$C$7,#REF!&lt;= table!$D$7),-1,IF(AND(#REF!&gt;=table!$E$7,#REF!&lt;=table!$F$7),1,0))</f>
        <v>#REF!</v>
      </c>
      <c r="S2768" s="5" t="e">
        <f>IF(AND(#REF!&gt;=table!$C$8,#REF!&lt;= table!$D$8),-1,IF(AND(#REF!&gt;=table!$E$8,#REF!&lt;=table!$F$8),1,0))</f>
        <v>#REF!</v>
      </c>
      <c r="T2768" s="5"/>
      <c r="U2768" s="5" t="e">
        <f>IF(AND(#REF!&gt;=table!$C$10,#REF!&lt;= table!$D$10),-1,IF(AND(#REF!&gt;=table!$E$10,#REF!&lt;=table!$F$10),1,0))</f>
        <v>#REF!</v>
      </c>
      <c r="V2768" s="5" t="e">
        <f>IF(AND(#REF!&gt;=table!$C$11,#REF!&lt;= table!$D$11),-1,IF(AND(#REF!&gt;=table!$E$11,#REF!&lt;=table!$F$11),1,0))</f>
        <v>#REF!</v>
      </c>
      <c r="W2768" s="5" t="e">
        <f>CONCATENATE(dados[[#This Row],[fator1]],dados[[#This Row],[fator5]],dados[[#This Row],[fator6]])</f>
        <v>#REF!</v>
      </c>
    </row>
    <row r="2769" spans="1:23">
      <c r="A2769" t="s">
        <v>17</v>
      </c>
      <c r="B2769">
        <v>585047</v>
      </c>
      <c r="C2769">
        <v>14</v>
      </c>
      <c r="D2769">
        <v>30</v>
      </c>
      <c r="E2769">
        <v>110</v>
      </c>
      <c r="F2769">
        <v>4</v>
      </c>
      <c r="G2769">
        <v>20</v>
      </c>
      <c r="H2769">
        <v>22</v>
      </c>
      <c r="I2769">
        <v>791</v>
      </c>
      <c r="J2769">
        <v>520</v>
      </c>
      <c r="K2769">
        <v>5.73</v>
      </c>
      <c r="L2769">
        <v>9.2000000000000011</v>
      </c>
      <c r="M2769">
        <v>100.60000000000001</v>
      </c>
      <c r="N2769">
        <v>9</v>
      </c>
      <c r="O2769">
        <v>1665</v>
      </c>
      <c r="P2769">
        <v>569</v>
      </c>
      <c r="Q2769" s="5" t="e">
        <f>IF(AND(#REF!&gt;=table!$C$6,#REF!&lt;= table!$D$6),-1,IF(AND(#REF!&gt;=table!$E$6,#REF!&lt;=table!$F$6),1,0))</f>
        <v>#REF!</v>
      </c>
      <c r="R2769" s="5" t="e">
        <f>IF(AND(#REF!&gt;=table!$C$7,#REF!&lt;= table!$D$7),-1,IF(AND(#REF!&gt;=table!$E$7,#REF!&lt;=table!$F$7),1,0))</f>
        <v>#REF!</v>
      </c>
      <c r="S2769" s="5" t="e">
        <f>IF(AND(#REF!&gt;=table!$C$8,#REF!&lt;= table!$D$8),-1,IF(AND(#REF!&gt;=table!$E$8,#REF!&lt;=table!$F$8),1,0))</f>
        <v>#REF!</v>
      </c>
      <c r="T2769" s="5"/>
      <c r="U2769" s="5" t="e">
        <f>IF(AND(#REF!&gt;=table!$C$10,#REF!&lt;= table!$D$10),-1,IF(AND(#REF!&gt;=table!$E$10,#REF!&lt;=table!$F$10),1,0))</f>
        <v>#REF!</v>
      </c>
      <c r="V2769" s="5" t="e">
        <f>IF(AND(#REF!&gt;=table!$C$11,#REF!&lt;= table!$D$11),-1,IF(AND(#REF!&gt;=table!$E$11,#REF!&lt;=table!$F$11),1,0))</f>
        <v>#REF!</v>
      </c>
      <c r="W2769" s="5" t="e">
        <f>CONCATENATE(dados[[#This Row],[fator1]],dados[[#This Row],[fator5]],dados[[#This Row],[fator6]])</f>
        <v>#REF!</v>
      </c>
    </row>
    <row r="2770" spans="1:23">
      <c r="A2770" t="s">
        <v>17</v>
      </c>
      <c r="B2770">
        <v>585048</v>
      </c>
      <c r="C2770">
        <v>14</v>
      </c>
      <c r="D2770">
        <v>30</v>
      </c>
      <c r="E2770">
        <v>110</v>
      </c>
      <c r="F2770">
        <v>3</v>
      </c>
      <c r="G2770">
        <v>20</v>
      </c>
      <c r="H2770">
        <v>22</v>
      </c>
      <c r="I2770">
        <v>529</v>
      </c>
      <c r="J2770">
        <v>0</v>
      </c>
      <c r="K2770">
        <v>3.96</v>
      </c>
      <c r="L2770">
        <v>10.55</v>
      </c>
      <c r="M2770">
        <v>105.65</v>
      </c>
      <c r="N2770">
        <v>11.450000000000001</v>
      </c>
      <c r="O2770">
        <v>1702</v>
      </c>
      <c r="P2770">
        <v>0</v>
      </c>
      <c r="Q2770" s="5" t="e">
        <f>IF(AND(#REF!&gt;=table!$C$6,#REF!&lt;= table!$D$6),-1,IF(AND(#REF!&gt;=table!$E$6,#REF!&lt;=table!$F$6),1,0))</f>
        <v>#REF!</v>
      </c>
      <c r="R2770" s="5" t="e">
        <f>IF(AND(#REF!&gt;=table!$C$7,#REF!&lt;= table!$D$7),-1,IF(AND(#REF!&gt;=table!$E$7,#REF!&lt;=table!$F$7),1,0))</f>
        <v>#REF!</v>
      </c>
      <c r="S2770" s="5" t="e">
        <f>IF(AND(#REF!&gt;=table!$C$8,#REF!&lt;= table!$D$8),-1,IF(AND(#REF!&gt;=table!$E$8,#REF!&lt;=table!$F$8),1,0))</f>
        <v>#REF!</v>
      </c>
      <c r="T2770" s="5"/>
      <c r="U2770" s="5" t="e">
        <f>IF(AND(#REF!&gt;=table!$C$10,#REF!&lt;= table!$D$10),-1,IF(AND(#REF!&gt;=table!$E$10,#REF!&lt;=table!$F$10),1,0))</f>
        <v>#REF!</v>
      </c>
      <c r="V2770" s="5" t="e">
        <f>IF(AND(#REF!&gt;=table!$C$11,#REF!&lt;= table!$D$11),-1,IF(AND(#REF!&gt;=table!$E$11,#REF!&lt;=table!$F$11),1,0))</f>
        <v>#REF!</v>
      </c>
      <c r="W2770" s="5" t="e">
        <f>CONCATENATE(dados[[#This Row],[fator1]],dados[[#This Row],[fator5]],dados[[#This Row],[fator6]])</f>
        <v>#REF!</v>
      </c>
    </row>
    <row r="2771" spans="1:23">
      <c r="A2771" t="s">
        <v>17</v>
      </c>
      <c r="B2771">
        <v>585049</v>
      </c>
      <c r="C2771">
        <v>14</v>
      </c>
      <c r="D2771">
        <v>30</v>
      </c>
      <c r="E2771">
        <v>110</v>
      </c>
      <c r="F2771">
        <v>4</v>
      </c>
      <c r="G2771">
        <v>20</v>
      </c>
      <c r="H2771">
        <v>22</v>
      </c>
      <c r="I2771">
        <v>612</v>
      </c>
      <c r="J2771">
        <v>0</v>
      </c>
      <c r="K2771">
        <v>4.84</v>
      </c>
      <c r="L2771">
        <v>9.15</v>
      </c>
      <c r="M2771">
        <v>102.85000000000001</v>
      </c>
      <c r="N2771">
        <v>10</v>
      </c>
      <c r="O2771">
        <v>1675</v>
      </c>
      <c r="P2771">
        <v>485</v>
      </c>
      <c r="Q2771" s="5" t="e">
        <f>IF(AND(#REF!&gt;=table!$C$6,#REF!&lt;= table!$D$6),-1,IF(AND(#REF!&gt;=table!$E$6,#REF!&lt;=table!$F$6),1,0))</f>
        <v>#REF!</v>
      </c>
      <c r="R2771" s="5" t="e">
        <f>IF(AND(#REF!&gt;=table!$C$7,#REF!&lt;= table!$D$7),-1,IF(AND(#REF!&gt;=table!$E$7,#REF!&lt;=table!$F$7),1,0))</f>
        <v>#REF!</v>
      </c>
      <c r="S2771" s="5" t="e">
        <f>IF(AND(#REF!&gt;=table!$C$8,#REF!&lt;= table!$D$8),-1,IF(AND(#REF!&gt;=table!$E$8,#REF!&lt;=table!$F$8),1,0))</f>
        <v>#REF!</v>
      </c>
      <c r="T2771" s="5"/>
      <c r="U2771" s="5" t="e">
        <f>IF(AND(#REF!&gt;=table!$C$10,#REF!&lt;= table!$D$10),-1,IF(AND(#REF!&gt;=table!$E$10,#REF!&lt;=table!$F$10),1,0))</f>
        <v>#REF!</v>
      </c>
      <c r="V2771" s="5" t="e">
        <f>IF(AND(#REF!&gt;=table!$C$11,#REF!&lt;= table!$D$11),-1,IF(AND(#REF!&gt;=table!$E$11,#REF!&lt;=table!$F$11),1,0))</f>
        <v>#REF!</v>
      </c>
      <c r="W2771" s="5" t="e">
        <f>CONCATENATE(dados[[#This Row],[fator1]],dados[[#This Row],[fator5]],dados[[#This Row],[fator6]])</f>
        <v>#REF!</v>
      </c>
    </row>
    <row r="2772" spans="1:23">
      <c r="A2772" t="s">
        <v>17</v>
      </c>
      <c r="B2772">
        <v>585051</v>
      </c>
      <c r="C2772">
        <v>14</v>
      </c>
      <c r="D2772">
        <v>30</v>
      </c>
      <c r="E2772">
        <v>110</v>
      </c>
      <c r="F2772">
        <v>3</v>
      </c>
      <c r="G2772">
        <v>20</v>
      </c>
      <c r="H2772">
        <v>22</v>
      </c>
      <c r="I2772">
        <v>379</v>
      </c>
      <c r="J2772">
        <v>0</v>
      </c>
      <c r="K2772">
        <v>2.7949999999999999</v>
      </c>
      <c r="L2772">
        <v>9.9500000000000011</v>
      </c>
      <c r="M2772">
        <v>93.600000000000009</v>
      </c>
      <c r="N2772">
        <v>9.85</v>
      </c>
      <c r="O2772">
        <v>1682</v>
      </c>
      <c r="P2772">
        <v>553</v>
      </c>
      <c r="Q2772" s="5" t="e">
        <f>IF(AND(#REF!&gt;=table!$C$6,#REF!&lt;= table!$D$6),-1,IF(AND(#REF!&gt;=table!$E$6,#REF!&lt;=table!$F$6),1,0))</f>
        <v>#REF!</v>
      </c>
      <c r="R2772" s="5" t="e">
        <f>IF(AND(#REF!&gt;=table!$C$7,#REF!&lt;= table!$D$7),-1,IF(AND(#REF!&gt;=table!$E$7,#REF!&lt;=table!$F$7),1,0))</f>
        <v>#REF!</v>
      </c>
      <c r="S2772" s="5" t="e">
        <f>IF(AND(#REF!&gt;=table!$C$8,#REF!&lt;= table!$D$8),-1,IF(AND(#REF!&gt;=table!$E$8,#REF!&lt;=table!$F$8),1,0))</f>
        <v>#REF!</v>
      </c>
      <c r="T2772" s="5"/>
      <c r="U2772" s="5" t="e">
        <f>IF(AND(#REF!&gt;=table!$C$10,#REF!&lt;= table!$D$10),-1,IF(AND(#REF!&gt;=table!$E$10,#REF!&lt;=table!$F$10),1,0))</f>
        <v>#REF!</v>
      </c>
      <c r="V2772" s="5" t="e">
        <f>IF(AND(#REF!&gt;=table!$C$11,#REF!&lt;= table!$D$11),-1,IF(AND(#REF!&gt;=table!$E$11,#REF!&lt;=table!$F$11),1,0))</f>
        <v>#REF!</v>
      </c>
      <c r="W2772" s="5" t="e">
        <f>CONCATENATE(dados[[#This Row],[fator1]],dados[[#This Row],[fator5]],dados[[#This Row],[fator6]])</f>
        <v>#REF!</v>
      </c>
    </row>
    <row r="2773" spans="1:23">
      <c r="A2773" t="s">
        <v>17</v>
      </c>
      <c r="B2773">
        <v>585052</v>
      </c>
      <c r="C2773">
        <v>14</v>
      </c>
      <c r="D2773">
        <v>30</v>
      </c>
      <c r="E2773">
        <v>110</v>
      </c>
      <c r="F2773">
        <v>4</v>
      </c>
      <c r="G2773">
        <v>20</v>
      </c>
      <c r="H2773">
        <v>22</v>
      </c>
      <c r="I2773">
        <v>456</v>
      </c>
      <c r="J2773">
        <v>0</v>
      </c>
      <c r="K2773">
        <v>5.5049999999999999</v>
      </c>
      <c r="L2773">
        <v>11.67</v>
      </c>
      <c r="M2773">
        <v>85.65</v>
      </c>
      <c r="N2773">
        <v>9.4</v>
      </c>
      <c r="O2773">
        <v>1681</v>
      </c>
      <c r="P2773">
        <v>478</v>
      </c>
      <c r="Q2773" s="5" t="e">
        <f>IF(AND(#REF!&gt;=table!$C$6,#REF!&lt;= table!$D$6),-1,IF(AND(#REF!&gt;=table!$E$6,#REF!&lt;=table!$F$6),1,0))</f>
        <v>#REF!</v>
      </c>
      <c r="R2773" s="5" t="e">
        <f>IF(AND(#REF!&gt;=table!$C$7,#REF!&lt;= table!$D$7),-1,IF(AND(#REF!&gt;=table!$E$7,#REF!&lt;=table!$F$7),1,0))</f>
        <v>#REF!</v>
      </c>
      <c r="S2773" s="5" t="e">
        <f>IF(AND(#REF!&gt;=table!$C$8,#REF!&lt;= table!$D$8),-1,IF(AND(#REF!&gt;=table!$E$8,#REF!&lt;=table!$F$8),1,0))</f>
        <v>#REF!</v>
      </c>
      <c r="T2773" s="5"/>
      <c r="U2773" s="5" t="e">
        <f>IF(AND(#REF!&gt;=table!$C$10,#REF!&lt;= table!$D$10),-1,IF(AND(#REF!&gt;=table!$E$10,#REF!&lt;=table!$F$10),1,0))</f>
        <v>#REF!</v>
      </c>
      <c r="V2773" s="5" t="e">
        <f>IF(AND(#REF!&gt;=table!$C$11,#REF!&lt;= table!$D$11),-1,IF(AND(#REF!&gt;=table!$E$11,#REF!&lt;=table!$F$11),1,0))</f>
        <v>#REF!</v>
      </c>
      <c r="W2773" s="5" t="e">
        <f>CONCATENATE(dados[[#This Row],[fator1]],dados[[#This Row],[fator5]],dados[[#This Row],[fator6]])</f>
        <v>#REF!</v>
      </c>
    </row>
    <row r="2774" spans="1:23">
      <c r="A2774" t="s">
        <v>17</v>
      </c>
      <c r="B2774">
        <v>585053</v>
      </c>
      <c r="C2774">
        <v>14</v>
      </c>
      <c r="D2774">
        <v>30</v>
      </c>
      <c r="E2774">
        <v>110</v>
      </c>
      <c r="F2774">
        <v>3</v>
      </c>
      <c r="G2774">
        <v>20</v>
      </c>
      <c r="H2774">
        <v>22</v>
      </c>
      <c r="I2774">
        <v>446</v>
      </c>
      <c r="J2774">
        <v>0</v>
      </c>
      <c r="K2774">
        <v>5.95</v>
      </c>
      <c r="L2774">
        <v>12.35</v>
      </c>
      <c r="M2774">
        <v>108.75</v>
      </c>
      <c r="N2774">
        <v>10.1</v>
      </c>
      <c r="O2774">
        <v>1674</v>
      </c>
      <c r="P2774">
        <v>0</v>
      </c>
      <c r="Q2774" s="5" t="e">
        <f>IF(AND(#REF!&gt;=table!$C$6,#REF!&lt;= table!$D$6),-1,IF(AND(#REF!&gt;=table!$E$6,#REF!&lt;=table!$F$6),1,0))</f>
        <v>#REF!</v>
      </c>
      <c r="R2774" s="5" t="e">
        <f>IF(AND(#REF!&gt;=table!$C$7,#REF!&lt;= table!$D$7),-1,IF(AND(#REF!&gt;=table!$E$7,#REF!&lt;=table!$F$7),1,0))</f>
        <v>#REF!</v>
      </c>
      <c r="S2774" s="5" t="e">
        <f>IF(AND(#REF!&gt;=table!$C$8,#REF!&lt;= table!$D$8),-1,IF(AND(#REF!&gt;=table!$E$8,#REF!&lt;=table!$F$8),1,0))</f>
        <v>#REF!</v>
      </c>
      <c r="T2774" s="5"/>
      <c r="U2774" s="5" t="e">
        <f>IF(AND(#REF!&gt;=table!$C$10,#REF!&lt;= table!$D$10),-1,IF(AND(#REF!&gt;=table!$E$10,#REF!&lt;=table!$F$10),1,0))</f>
        <v>#REF!</v>
      </c>
      <c r="V2774" s="5" t="e">
        <f>IF(AND(#REF!&gt;=table!$C$11,#REF!&lt;= table!$D$11),-1,IF(AND(#REF!&gt;=table!$E$11,#REF!&lt;=table!$F$11),1,0))</f>
        <v>#REF!</v>
      </c>
      <c r="W2774" s="5" t="e">
        <f>CONCATENATE(dados[[#This Row],[fator1]],dados[[#This Row],[fator5]],dados[[#This Row],[fator6]])</f>
        <v>#REF!</v>
      </c>
    </row>
    <row r="2775" spans="1:23">
      <c r="A2775" t="s">
        <v>17</v>
      </c>
      <c r="B2775">
        <v>585054</v>
      </c>
      <c r="C2775">
        <v>14</v>
      </c>
      <c r="D2775">
        <v>30</v>
      </c>
      <c r="E2775">
        <v>110</v>
      </c>
      <c r="F2775">
        <v>4</v>
      </c>
      <c r="G2775">
        <v>20</v>
      </c>
      <c r="H2775">
        <v>22</v>
      </c>
      <c r="I2775">
        <v>701</v>
      </c>
      <c r="J2775">
        <v>0</v>
      </c>
      <c r="K2775">
        <v>3.97</v>
      </c>
      <c r="L2775">
        <v>11.65</v>
      </c>
      <c r="M2775">
        <v>102.575</v>
      </c>
      <c r="N2775">
        <v>14.86</v>
      </c>
      <c r="O2775">
        <v>1680</v>
      </c>
      <c r="P2775">
        <v>519</v>
      </c>
      <c r="Q2775" s="5" t="e">
        <f>IF(AND(#REF!&gt;=table!$C$6,#REF!&lt;= table!$D$6),-1,IF(AND(#REF!&gt;=table!$E$6,#REF!&lt;=table!$F$6),1,0))</f>
        <v>#REF!</v>
      </c>
      <c r="R2775" s="5" t="e">
        <f>IF(AND(#REF!&gt;=table!$C$7,#REF!&lt;= table!$D$7),-1,IF(AND(#REF!&gt;=table!$E$7,#REF!&lt;=table!$F$7),1,0))</f>
        <v>#REF!</v>
      </c>
      <c r="S2775" s="5" t="e">
        <f>IF(AND(#REF!&gt;=table!$C$8,#REF!&lt;= table!$D$8),-1,IF(AND(#REF!&gt;=table!$E$8,#REF!&lt;=table!$F$8),1,0))</f>
        <v>#REF!</v>
      </c>
      <c r="T2775" s="5"/>
      <c r="U2775" s="5" t="e">
        <f>IF(AND(#REF!&gt;=table!$C$10,#REF!&lt;= table!$D$10),-1,IF(AND(#REF!&gt;=table!$E$10,#REF!&lt;=table!$F$10),1,0))</f>
        <v>#REF!</v>
      </c>
      <c r="V2775" s="5" t="e">
        <f>IF(AND(#REF!&gt;=table!$C$11,#REF!&lt;= table!$D$11),-1,IF(AND(#REF!&gt;=table!$E$11,#REF!&lt;=table!$F$11),1,0))</f>
        <v>#REF!</v>
      </c>
      <c r="W2775" s="5" t="e">
        <f>CONCATENATE(dados[[#This Row],[fator1]],dados[[#This Row],[fator5]],dados[[#This Row],[fator6]])</f>
        <v>#REF!</v>
      </c>
    </row>
    <row r="2776" spans="1:23">
      <c r="A2776" t="s">
        <v>17</v>
      </c>
      <c r="B2776">
        <v>585055</v>
      </c>
      <c r="C2776">
        <v>14</v>
      </c>
      <c r="D2776">
        <v>30</v>
      </c>
      <c r="E2776">
        <v>110</v>
      </c>
      <c r="F2776">
        <v>4</v>
      </c>
      <c r="G2776">
        <v>20</v>
      </c>
      <c r="H2776">
        <v>22</v>
      </c>
      <c r="I2776">
        <v>657</v>
      </c>
      <c r="J2776">
        <v>0</v>
      </c>
      <c r="K2776">
        <v>5.25</v>
      </c>
      <c r="L2776">
        <v>9.7000000000000011</v>
      </c>
      <c r="M2776">
        <v>64.05</v>
      </c>
      <c r="N2776">
        <v>7.8</v>
      </c>
      <c r="O2776">
        <v>1668</v>
      </c>
      <c r="P2776">
        <v>440</v>
      </c>
      <c r="Q2776" s="5" t="e">
        <f>IF(AND(#REF!&gt;=table!$C$6,#REF!&lt;= table!$D$6),-1,IF(AND(#REF!&gt;=table!$E$6,#REF!&lt;=table!$F$6),1,0))</f>
        <v>#REF!</v>
      </c>
      <c r="R2776" s="5" t="e">
        <f>IF(AND(#REF!&gt;=table!$C$7,#REF!&lt;= table!$D$7),-1,IF(AND(#REF!&gt;=table!$E$7,#REF!&lt;=table!$F$7),1,0))</f>
        <v>#REF!</v>
      </c>
      <c r="S2776" s="5" t="e">
        <f>IF(AND(#REF!&gt;=table!$C$8,#REF!&lt;= table!$D$8),-1,IF(AND(#REF!&gt;=table!$E$8,#REF!&lt;=table!$F$8),1,0))</f>
        <v>#REF!</v>
      </c>
      <c r="T2776" s="5"/>
      <c r="U2776" s="5" t="e">
        <f>IF(AND(#REF!&gt;=table!$C$10,#REF!&lt;= table!$D$10),-1,IF(AND(#REF!&gt;=table!$E$10,#REF!&lt;=table!$F$10),1,0))</f>
        <v>#REF!</v>
      </c>
      <c r="V2776" s="5" t="e">
        <f>IF(AND(#REF!&gt;=table!$C$11,#REF!&lt;= table!$D$11),-1,IF(AND(#REF!&gt;=table!$E$11,#REF!&lt;=table!$F$11),1,0))</f>
        <v>#REF!</v>
      </c>
      <c r="W2776" s="5" t="e">
        <f>CONCATENATE(dados[[#This Row],[fator1]],dados[[#This Row],[fator5]],dados[[#This Row],[fator6]])</f>
        <v>#REF!</v>
      </c>
    </row>
    <row r="2777" spans="1:23">
      <c r="A2777" t="s">
        <v>16</v>
      </c>
      <c r="B2777">
        <v>585057</v>
      </c>
      <c r="C2777">
        <v>5</v>
      </c>
      <c r="D2777">
        <v>40</v>
      </c>
      <c r="E2777">
        <v>36</v>
      </c>
      <c r="F2777">
        <v>8</v>
      </c>
      <c r="G2777">
        <v>0</v>
      </c>
      <c r="H2777">
        <v>25</v>
      </c>
      <c r="I2777">
        <v>930</v>
      </c>
      <c r="J2777">
        <v>0</v>
      </c>
      <c r="K2777">
        <v>6.1450000000000005</v>
      </c>
      <c r="L2777">
        <v>13.950000000000001</v>
      </c>
      <c r="M2777">
        <v>12.015000000000001</v>
      </c>
      <c r="N2777">
        <v>8.6349999999999998</v>
      </c>
      <c r="O2777">
        <v>1683</v>
      </c>
      <c r="P2777">
        <v>0</v>
      </c>
      <c r="Q2777" s="5" t="e">
        <f>IF(AND(#REF!&gt;=table!$C$6,#REF!&lt;= table!$D$6),-1,IF(AND(#REF!&gt;=table!$E$6,#REF!&lt;=table!$F$6),1,0))</f>
        <v>#REF!</v>
      </c>
      <c r="R2777" s="5" t="e">
        <f>IF(AND(#REF!&gt;=table!$C$7,#REF!&lt;= table!$D$7),-1,IF(AND(#REF!&gt;=table!$E$7,#REF!&lt;=table!$F$7),1,0))</f>
        <v>#REF!</v>
      </c>
      <c r="S2777" s="5" t="e">
        <f>IF(AND(#REF!&gt;=table!$C$8,#REF!&lt;= table!$D$8),-1,IF(AND(#REF!&gt;=table!$E$8,#REF!&lt;=table!$F$8),1,0))</f>
        <v>#REF!</v>
      </c>
      <c r="T2777" s="5"/>
      <c r="U2777" s="5" t="e">
        <f>IF(AND(#REF!&gt;=table!$C$10,#REF!&lt;= table!$D$10),-1,IF(AND(#REF!&gt;=table!$E$10,#REF!&lt;=table!$F$10),1,0))</f>
        <v>#REF!</v>
      </c>
      <c r="V2777" s="5" t="e">
        <f>IF(AND(#REF!&gt;=table!$C$11,#REF!&lt;= table!$D$11),-1,IF(AND(#REF!&gt;=table!$E$11,#REF!&lt;=table!$F$11),1,0))</f>
        <v>#REF!</v>
      </c>
      <c r="W2777" s="5" t="e">
        <f>CONCATENATE(dados[[#This Row],[fator1]],dados[[#This Row],[fator5]],dados[[#This Row],[fator6]])</f>
        <v>#REF!</v>
      </c>
    </row>
    <row r="2778" spans="1:23">
      <c r="A2778" t="s">
        <v>16</v>
      </c>
      <c r="B2778">
        <v>585060</v>
      </c>
      <c r="C2778">
        <v>5</v>
      </c>
      <c r="D2778">
        <v>40</v>
      </c>
      <c r="E2778">
        <v>36</v>
      </c>
      <c r="F2778">
        <v>8</v>
      </c>
      <c r="G2778">
        <v>0</v>
      </c>
      <c r="H2778">
        <v>25</v>
      </c>
      <c r="I2778">
        <v>931</v>
      </c>
      <c r="J2778">
        <v>0</v>
      </c>
      <c r="K2778">
        <v>5.9367000000000001</v>
      </c>
      <c r="L2778">
        <v>13.530000000000001</v>
      </c>
      <c r="M2778">
        <v>12.950000000000001</v>
      </c>
      <c r="N2778">
        <v>7.55</v>
      </c>
      <c r="O2778">
        <v>1669</v>
      </c>
      <c r="P2778">
        <v>0</v>
      </c>
      <c r="Q2778" s="5" t="e">
        <f>IF(AND(#REF!&gt;=table!$C$6,#REF!&lt;= table!$D$6),-1,IF(AND(#REF!&gt;=table!$E$6,#REF!&lt;=table!$F$6),1,0))</f>
        <v>#REF!</v>
      </c>
      <c r="R2778" s="5" t="e">
        <f>IF(AND(#REF!&gt;=table!$C$7,#REF!&lt;= table!$D$7),-1,IF(AND(#REF!&gt;=table!$E$7,#REF!&lt;=table!$F$7),1,0))</f>
        <v>#REF!</v>
      </c>
      <c r="S2778" s="5" t="e">
        <f>IF(AND(#REF!&gt;=table!$C$8,#REF!&lt;= table!$D$8),-1,IF(AND(#REF!&gt;=table!$E$8,#REF!&lt;=table!$F$8),1,0))</f>
        <v>#REF!</v>
      </c>
      <c r="T2778" s="5"/>
      <c r="U2778" s="5" t="e">
        <f>IF(AND(#REF!&gt;=table!$C$10,#REF!&lt;= table!$D$10),-1,IF(AND(#REF!&gt;=table!$E$10,#REF!&lt;=table!$F$10),1,0))</f>
        <v>#REF!</v>
      </c>
      <c r="V2778" s="5" t="e">
        <f>IF(AND(#REF!&gt;=table!$C$11,#REF!&lt;= table!$D$11),-1,IF(AND(#REF!&gt;=table!$E$11,#REF!&lt;=table!$F$11),1,0))</f>
        <v>#REF!</v>
      </c>
      <c r="W2778" s="5" t="e">
        <f>CONCATENATE(dados[[#This Row],[fator1]],dados[[#This Row],[fator5]],dados[[#This Row],[fator6]])</f>
        <v>#REF!</v>
      </c>
    </row>
    <row r="2779" spans="1:23">
      <c r="A2779" t="s">
        <v>17</v>
      </c>
      <c r="B2779">
        <v>585061</v>
      </c>
      <c r="C2779">
        <v>14</v>
      </c>
      <c r="D2779">
        <v>30</v>
      </c>
      <c r="E2779">
        <v>110</v>
      </c>
      <c r="F2779">
        <v>4</v>
      </c>
      <c r="G2779">
        <v>20</v>
      </c>
      <c r="H2779">
        <v>22</v>
      </c>
      <c r="I2779">
        <v>1318</v>
      </c>
      <c r="J2779">
        <v>0</v>
      </c>
      <c r="K2779">
        <v>8.6300000000000008</v>
      </c>
      <c r="L2779">
        <v>15.64</v>
      </c>
      <c r="M2779">
        <v>12.495000000000001</v>
      </c>
      <c r="N2779">
        <v>8.7850000000000001</v>
      </c>
      <c r="O2779">
        <v>1677</v>
      </c>
      <c r="P2779">
        <v>0</v>
      </c>
      <c r="Q2779" s="5" t="e">
        <f>IF(AND(#REF!&gt;=table!$C$6,#REF!&lt;= table!$D$6),-1,IF(AND(#REF!&gt;=table!$E$6,#REF!&lt;=table!$F$6),1,0))</f>
        <v>#REF!</v>
      </c>
      <c r="R2779" s="5" t="e">
        <f>IF(AND(#REF!&gt;=table!$C$7,#REF!&lt;= table!$D$7),-1,IF(AND(#REF!&gt;=table!$E$7,#REF!&lt;=table!$F$7),1,0))</f>
        <v>#REF!</v>
      </c>
      <c r="S2779" s="5" t="e">
        <f>IF(AND(#REF!&gt;=table!$C$8,#REF!&lt;= table!$D$8),-1,IF(AND(#REF!&gt;=table!$E$8,#REF!&lt;=table!$F$8),1,0))</f>
        <v>#REF!</v>
      </c>
      <c r="T2779" s="5"/>
      <c r="U2779" s="5" t="e">
        <f>IF(AND(#REF!&gt;=table!$C$10,#REF!&lt;= table!$D$10),-1,IF(AND(#REF!&gt;=table!$E$10,#REF!&lt;=table!$F$10),1,0))</f>
        <v>#REF!</v>
      </c>
      <c r="V2779" s="5" t="e">
        <f>IF(AND(#REF!&gt;=table!$C$11,#REF!&lt;= table!$D$11),-1,IF(AND(#REF!&gt;=table!$E$11,#REF!&lt;=table!$F$11),1,0))</f>
        <v>#REF!</v>
      </c>
      <c r="W2779" s="5" t="e">
        <f>CONCATENATE(dados[[#This Row],[fator1]],dados[[#This Row],[fator5]],dados[[#This Row],[fator6]])</f>
        <v>#REF!</v>
      </c>
    </row>
    <row r="2780" spans="1:23">
      <c r="A2780" t="s">
        <v>17</v>
      </c>
      <c r="B2780">
        <v>585062</v>
      </c>
      <c r="C2780">
        <v>8</v>
      </c>
      <c r="D2780">
        <v>30</v>
      </c>
      <c r="E2780">
        <v>153</v>
      </c>
      <c r="F2780">
        <v>2</v>
      </c>
      <c r="G2780">
        <v>20</v>
      </c>
      <c r="H2780">
        <v>18</v>
      </c>
      <c r="I2780">
        <v>0</v>
      </c>
      <c r="J2780">
        <v>0</v>
      </c>
      <c r="K2780">
        <v>5.59</v>
      </c>
      <c r="L2780">
        <v>12.75</v>
      </c>
      <c r="M2780">
        <v>78.515000000000001</v>
      </c>
      <c r="N2780">
        <v>9.99</v>
      </c>
      <c r="O2780">
        <v>1678</v>
      </c>
      <c r="P2780">
        <v>0</v>
      </c>
      <c r="Q2780" s="5" t="e">
        <f>IF(AND(#REF!&gt;=table!$C$6,#REF!&lt;= table!$D$6),-1,IF(AND(#REF!&gt;=table!$E$6,#REF!&lt;=table!$F$6),1,0))</f>
        <v>#REF!</v>
      </c>
      <c r="R2780" s="5" t="e">
        <f>IF(AND(#REF!&gt;=table!$C$7,#REF!&lt;= table!$D$7),-1,IF(AND(#REF!&gt;=table!$E$7,#REF!&lt;=table!$F$7),1,0))</f>
        <v>#REF!</v>
      </c>
      <c r="S2780" s="5" t="e">
        <f>IF(AND(#REF!&gt;=table!$C$8,#REF!&lt;= table!$D$8),-1,IF(AND(#REF!&gt;=table!$E$8,#REF!&lt;=table!$F$8),1,0))</f>
        <v>#REF!</v>
      </c>
      <c r="T2780" s="5"/>
      <c r="U2780" s="5" t="e">
        <f>IF(AND(#REF!&gt;=table!$C$10,#REF!&lt;= table!$D$10),-1,IF(AND(#REF!&gt;=table!$E$10,#REF!&lt;=table!$F$10),1,0))</f>
        <v>#REF!</v>
      </c>
      <c r="V2780" s="5" t="e">
        <f>IF(AND(#REF!&gt;=table!$C$11,#REF!&lt;= table!$D$11),-1,IF(AND(#REF!&gt;=table!$E$11,#REF!&lt;=table!$F$11),1,0))</f>
        <v>#REF!</v>
      </c>
      <c r="W2780" s="5" t="e">
        <f>CONCATENATE(dados[[#This Row],[fator1]],dados[[#This Row],[fator5]],dados[[#This Row],[fator6]])</f>
        <v>#REF!</v>
      </c>
    </row>
    <row r="2781" spans="1:23">
      <c r="A2781" t="s">
        <v>16</v>
      </c>
      <c r="B2781">
        <v>585064</v>
      </c>
      <c r="C2781">
        <v>11</v>
      </c>
      <c r="D2781">
        <v>40</v>
      </c>
      <c r="E2781">
        <v>151</v>
      </c>
      <c r="F2781">
        <v>8</v>
      </c>
      <c r="G2781">
        <v>0</v>
      </c>
      <c r="H2781">
        <v>25</v>
      </c>
      <c r="I2781">
        <v>145</v>
      </c>
      <c r="J2781">
        <v>0</v>
      </c>
      <c r="K2781">
        <v>10.08</v>
      </c>
      <c r="L2781">
        <v>15.25</v>
      </c>
      <c r="M2781">
        <v>127.24000000000001</v>
      </c>
      <c r="N2781">
        <v>15.55</v>
      </c>
      <c r="O2781">
        <v>1676</v>
      </c>
      <c r="P2781">
        <v>0</v>
      </c>
      <c r="Q2781" s="5" t="e">
        <f>IF(AND(#REF!&gt;=table!$C$6,#REF!&lt;= table!$D$6),-1,IF(AND(#REF!&gt;=table!$E$6,#REF!&lt;=table!$F$6),1,0))</f>
        <v>#REF!</v>
      </c>
      <c r="R2781" s="5" t="e">
        <f>IF(AND(#REF!&gt;=table!$C$7,#REF!&lt;= table!$D$7),-1,IF(AND(#REF!&gt;=table!$E$7,#REF!&lt;=table!$F$7),1,0))</f>
        <v>#REF!</v>
      </c>
      <c r="S2781" s="5" t="e">
        <f>IF(AND(#REF!&gt;=table!$C$8,#REF!&lt;= table!$D$8),-1,IF(AND(#REF!&gt;=table!$E$8,#REF!&lt;=table!$F$8),1,0))</f>
        <v>#REF!</v>
      </c>
      <c r="T2781" s="5"/>
      <c r="U2781" s="5" t="e">
        <f>IF(AND(#REF!&gt;=table!$C$10,#REF!&lt;= table!$D$10),-1,IF(AND(#REF!&gt;=table!$E$10,#REF!&lt;=table!$F$10),1,0))</f>
        <v>#REF!</v>
      </c>
      <c r="V2781" s="5" t="e">
        <f>IF(AND(#REF!&gt;=table!$C$11,#REF!&lt;= table!$D$11),-1,IF(AND(#REF!&gt;=table!$E$11,#REF!&lt;=table!$F$11),1,0))</f>
        <v>#REF!</v>
      </c>
      <c r="W2781" s="5" t="e">
        <f>CONCATENATE(dados[[#This Row],[fator1]],dados[[#This Row],[fator5]],dados[[#This Row],[fator6]])</f>
        <v>#REF!</v>
      </c>
    </row>
    <row r="2782" spans="1:23">
      <c r="A2782" t="s">
        <v>16</v>
      </c>
      <c r="B2782">
        <v>585065</v>
      </c>
      <c r="C2782">
        <v>11</v>
      </c>
      <c r="D2782">
        <v>40</v>
      </c>
      <c r="E2782">
        <v>151</v>
      </c>
      <c r="F2782">
        <v>8</v>
      </c>
      <c r="G2782">
        <v>0</v>
      </c>
      <c r="H2782">
        <v>25</v>
      </c>
      <c r="I2782">
        <v>559</v>
      </c>
      <c r="J2782">
        <v>0</v>
      </c>
      <c r="K2782">
        <v>6.45</v>
      </c>
      <c r="L2782">
        <v>11.765000000000001</v>
      </c>
      <c r="M2782">
        <v>117</v>
      </c>
      <c r="N2782">
        <v>11.75</v>
      </c>
      <c r="O2782">
        <v>1684</v>
      </c>
      <c r="P2782">
        <v>0</v>
      </c>
      <c r="Q2782" s="5" t="e">
        <f>IF(AND(#REF!&gt;=table!$C$6,#REF!&lt;= table!$D$6),-1,IF(AND(#REF!&gt;=table!$E$6,#REF!&lt;=table!$F$6),1,0))</f>
        <v>#REF!</v>
      </c>
      <c r="R2782" s="5" t="e">
        <f>IF(AND(#REF!&gt;=table!$C$7,#REF!&lt;= table!$D$7),-1,IF(AND(#REF!&gt;=table!$E$7,#REF!&lt;=table!$F$7),1,0))</f>
        <v>#REF!</v>
      </c>
      <c r="S2782" s="5" t="e">
        <f>IF(AND(#REF!&gt;=table!$C$8,#REF!&lt;= table!$D$8),-1,IF(AND(#REF!&gt;=table!$E$8,#REF!&lt;=table!$F$8),1,0))</f>
        <v>#REF!</v>
      </c>
      <c r="T2782" s="5"/>
      <c r="U2782" s="5" t="e">
        <f>IF(AND(#REF!&gt;=table!$C$10,#REF!&lt;= table!$D$10),-1,IF(AND(#REF!&gt;=table!$E$10,#REF!&lt;=table!$F$10),1,0))</f>
        <v>#REF!</v>
      </c>
      <c r="V2782" s="5" t="e">
        <f>IF(AND(#REF!&gt;=table!$C$11,#REF!&lt;= table!$D$11),-1,IF(AND(#REF!&gt;=table!$E$11,#REF!&lt;=table!$F$11),1,0))</f>
        <v>#REF!</v>
      </c>
      <c r="W2782" s="5" t="e">
        <f>CONCATENATE(dados[[#This Row],[fator1]],dados[[#This Row],[fator5]],dados[[#This Row],[fator6]])</f>
        <v>#REF!</v>
      </c>
    </row>
    <row r="2783" spans="1:23">
      <c r="A2783" t="s">
        <v>17</v>
      </c>
      <c r="B2783">
        <v>585066</v>
      </c>
      <c r="C2783">
        <v>16</v>
      </c>
      <c r="D2783">
        <v>35</v>
      </c>
      <c r="E2783">
        <v>120</v>
      </c>
      <c r="F2783">
        <v>4</v>
      </c>
      <c r="G2783">
        <v>30</v>
      </c>
      <c r="H2783">
        <v>20</v>
      </c>
      <c r="I2783">
        <v>1146</v>
      </c>
      <c r="J2783">
        <v>430</v>
      </c>
      <c r="K2783">
        <v>10.585000000000001</v>
      </c>
      <c r="L2783">
        <v>18.59</v>
      </c>
      <c r="M2783">
        <v>99.734999999999999</v>
      </c>
      <c r="N2783">
        <v>16.580000000000002</v>
      </c>
      <c r="O2783">
        <v>1689</v>
      </c>
      <c r="P2783">
        <v>0</v>
      </c>
      <c r="Q2783" s="5" t="e">
        <f>IF(AND(#REF!&gt;=table!$C$6,#REF!&lt;= table!$D$6),-1,IF(AND(#REF!&gt;=table!$E$6,#REF!&lt;=table!$F$6),1,0))</f>
        <v>#REF!</v>
      </c>
      <c r="R2783" s="5" t="e">
        <f>IF(AND(#REF!&gt;=table!$C$7,#REF!&lt;= table!$D$7),-1,IF(AND(#REF!&gt;=table!$E$7,#REF!&lt;=table!$F$7),1,0))</f>
        <v>#REF!</v>
      </c>
      <c r="S2783" s="5" t="e">
        <f>IF(AND(#REF!&gt;=table!$C$8,#REF!&lt;= table!$D$8),-1,IF(AND(#REF!&gt;=table!$E$8,#REF!&lt;=table!$F$8),1,0))</f>
        <v>#REF!</v>
      </c>
      <c r="T2783" s="5"/>
      <c r="U2783" s="5" t="e">
        <f>IF(AND(#REF!&gt;=table!$C$10,#REF!&lt;= table!$D$10),-1,IF(AND(#REF!&gt;=table!$E$10,#REF!&lt;=table!$F$10),1,0))</f>
        <v>#REF!</v>
      </c>
      <c r="V2783" s="5" t="e">
        <f>IF(AND(#REF!&gt;=table!$C$11,#REF!&lt;= table!$D$11),-1,IF(AND(#REF!&gt;=table!$E$11,#REF!&lt;=table!$F$11),1,0))</f>
        <v>#REF!</v>
      </c>
      <c r="W2783" s="5" t="e">
        <f>CONCATENATE(dados[[#This Row],[fator1]],dados[[#This Row],[fator5]],dados[[#This Row],[fator6]])</f>
        <v>#REF!</v>
      </c>
    </row>
    <row r="2784" spans="1:23">
      <c r="A2784" t="s">
        <v>16</v>
      </c>
      <c r="B2784">
        <v>585067</v>
      </c>
      <c r="C2784">
        <v>11</v>
      </c>
      <c r="D2784">
        <v>40</v>
      </c>
      <c r="E2784">
        <v>151</v>
      </c>
      <c r="F2784">
        <v>8</v>
      </c>
      <c r="G2784">
        <v>0</v>
      </c>
      <c r="H2784">
        <v>25</v>
      </c>
      <c r="I2784">
        <v>837</v>
      </c>
      <c r="J2784">
        <v>0</v>
      </c>
      <c r="K2784">
        <v>7.42</v>
      </c>
      <c r="L2784">
        <v>12.700000000000001</v>
      </c>
      <c r="M2784">
        <v>140.70000000000002</v>
      </c>
      <c r="N2784">
        <v>12.950000000000001</v>
      </c>
      <c r="O2784">
        <v>1679</v>
      </c>
      <c r="P2784">
        <v>433</v>
      </c>
      <c r="Q2784" s="5" t="e">
        <f>IF(AND(#REF!&gt;=table!$C$6,#REF!&lt;= table!$D$6),-1,IF(AND(#REF!&gt;=table!$E$6,#REF!&lt;=table!$F$6),1,0))</f>
        <v>#REF!</v>
      </c>
      <c r="R2784" s="5" t="e">
        <f>IF(AND(#REF!&gt;=table!$C$7,#REF!&lt;= table!$D$7),-1,IF(AND(#REF!&gt;=table!$E$7,#REF!&lt;=table!$F$7),1,0))</f>
        <v>#REF!</v>
      </c>
      <c r="S2784" s="5" t="e">
        <f>IF(AND(#REF!&gt;=table!$C$8,#REF!&lt;= table!$D$8),-1,IF(AND(#REF!&gt;=table!$E$8,#REF!&lt;=table!$F$8),1,0))</f>
        <v>#REF!</v>
      </c>
      <c r="T2784" s="5"/>
      <c r="U2784" s="5" t="e">
        <f>IF(AND(#REF!&gt;=table!$C$10,#REF!&lt;= table!$D$10),-1,IF(AND(#REF!&gt;=table!$E$10,#REF!&lt;=table!$F$10),1,0))</f>
        <v>#REF!</v>
      </c>
      <c r="V2784" s="5" t="e">
        <f>IF(AND(#REF!&gt;=table!$C$11,#REF!&lt;= table!$D$11),-1,IF(AND(#REF!&gt;=table!$E$11,#REF!&lt;=table!$F$11),1,0))</f>
        <v>#REF!</v>
      </c>
      <c r="W2784" s="5" t="e">
        <f>CONCATENATE(dados[[#This Row],[fator1]],dados[[#This Row],[fator5]],dados[[#This Row],[fator6]])</f>
        <v>#REF!</v>
      </c>
    </row>
    <row r="2785" spans="1:23">
      <c r="A2785" t="s">
        <v>17</v>
      </c>
      <c r="B2785">
        <v>585068</v>
      </c>
      <c r="C2785">
        <v>14</v>
      </c>
      <c r="D2785">
        <v>30</v>
      </c>
      <c r="E2785">
        <v>110</v>
      </c>
      <c r="F2785">
        <v>3</v>
      </c>
      <c r="G2785">
        <v>20</v>
      </c>
      <c r="H2785">
        <v>22</v>
      </c>
      <c r="I2785">
        <v>732</v>
      </c>
      <c r="J2785">
        <v>0</v>
      </c>
      <c r="K2785">
        <v>5.99</v>
      </c>
      <c r="L2785">
        <v>13.3</v>
      </c>
      <c r="M2785">
        <v>111.9</v>
      </c>
      <c r="N2785">
        <v>12.1</v>
      </c>
      <c r="O2785">
        <v>1693</v>
      </c>
      <c r="P2785">
        <v>0</v>
      </c>
      <c r="Q2785" s="5" t="e">
        <f>IF(AND(#REF!&gt;=table!$C$6,#REF!&lt;= table!$D$6),-1,IF(AND(#REF!&gt;=table!$E$6,#REF!&lt;=table!$F$6),1,0))</f>
        <v>#REF!</v>
      </c>
      <c r="R2785" s="5" t="e">
        <f>IF(AND(#REF!&gt;=table!$C$7,#REF!&lt;= table!$D$7),-1,IF(AND(#REF!&gt;=table!$E$7,#REF!&lt;=table!$F$7),1,0))</f>
        <v>#REF!</v>
      </c>
      <c r="S2785" s="5" t="e">
        <f>IF(AND(#REF!&gt;=table!$C$8,#REF!&lt;= table!$D$8),-1,IF(AND(#REF!&gt;=table!$E$8,#REF!&lt;=table!$F$8),1,0))</f>
        <v>#REF!</v>
      </c>
      <c r="T2785" s="5"/>
      <c r="U2785" s="5" t="e">
        <f>IF(AND(#REF!&gt;=table!$C$10,#REF!&lt;= table!$D$10),-1,IF(AND(#REF!&gt;=table!$E$10,#REF!&lt;=table!$F$10),1,0))</f>
        <v>#REF!</v>
      </c>
      <c r="V2785" s="5" t="e">
        <f>IF(AND(#REF!&gt;=table!$C$11,#REF!&lt;= table!$D$11),-1,IF(AND(#REF!&gt;=table!$E$11,#REF!&lt;=table!$F$11),1,0))</f>
        <v>#REF!</v>
      </c>
      <c r="W2785" s="5" t="e">
        <f>CONCATENATE(dados[[#This Row],[fator1]],dados[[#This Row],[fator5]],dados[[#This Row],[fator6]])</f>
        <v>#REF!</v>
      </c>
    </row>
    <row r="2786" spans="1:23">
      <c r="A2786" t="s">
        <v>17</v>
      </c>
      <c r="B2786">
        <v>585069</v>
      </c>
      <c r="C2786">
        <v>14</v>
      </c>
      <c r="D2786">
        <v>30</v>
      </c>
      <c r="E2786">
        <v>110</v>
      </c>
      <c r="F2786">
        <v>4</v>
      </c>
      <c r="G2786">
        <v>20</v>
      </c>
      <c r="H2786">
        <v>22</v>
      </c>
      <c r="I2786">
        <v>777</v>
      </c>
      <c r="J2786">
        <v>560</v>
      </c>
      <c r="K2786">
        <v>15.075000000000001</v>
      </c>
      <c r="L2786">
        <v>21.25</v>
      </c>
      <c r="M2786">
        <v>103.35000000000001</v>
      </c>
      <c r="N2786">
        <v>13.9</v>
      </c>
      <c r="O2786">
        <v>1689</v>
      </c>
      <c r="P2786">
        <v>270</v>
      </c>
      <c r="Q2786" s="5" t="e">
        <f>IF(AND(#REF!&gt;=table!$C$6,#REF!&lt;= table!$D$6),-1,IF(AND(#REF!&gt;=table!$E$6,#REF!&lt;=table!$F$6),1,0))</f>
        <v>#REF!</v>
      </c>
      <c r="R2786" s="5" t="e">
        <f>IF(AND(#REF!&gt;=table!$C$7,#REF!&lt;= table!$D$7),-1,IF(AND(#REF!&gt;=table!$E$7,#REF!&lt;=table!$F$7),1,0))</f>
        <v>#REF!</v>
      </c>
      <c r="S2786" s="5" t="e">
        <f>IF(AND(#REF!&gt;=table!$C$8,#REF!&lt;= table!$D$8),-1,IF(AND(#REF!&gt;=table!$E$8,#REF!&lt;=table!$F$8),1,0))</f>
        <v>#REF!</v>
      </c>
      <c r="T2786" s="5"/>
      <c r="U2786" s="5" t="e">
        <f>IF(AND(#REF!&gt;=table!$C$10,#REF!&lt;= table!$D$10),-1,IF(AND(#REF!&gt;=table!$E$10,#REF!&lt;=table!$F$10),1,0))</f>
        <v>#REF!</v>
      </c>
      <c r="V2786" s="5" t="e">
        <f>IF(AND(#REF!&gt;=table!$C$11,#REF!&lt;= table!$D$11),-1,IF(AND(#REF!&gt;=table!$E$11,#REF!&lt;=table!$F$11),1,0))</f>
        <v>#REF!</v>
      </c>
      <c r="W2786" s="5" t="e">
        <f>CONCATENATE(dados[[#This Row],[fator1]],dados[[#This Row],[fator5]],dados[[#This Row],[fator6]])</f>
        <v>#REF!</v>
      </c>
    </row>
    <row r="2787" spans="1:23">
      <c r="A2787" t="s">
        <v>17</v>
      </c>
      <c r="B2787">
        <v>585070</v>
      </c>
      <c r="C2787">
        <v>14</v>
      </c>
      <c r="D2787">
        <v>30</v>
      </c>
      <c r="E2787">
        <v>110</v>
      </c>
      <c r="F2787">
        <v>4</v>
      </c>
      <c r="G2787">
        <v>20</v>
      </c>
      <c r="H2787">
        <v>22</v>
      </c>
      <c r="I2787">
        <v>1270</v>
      </c>
      <c r="J2787">
        <v>0</v>
      </c>
      <c r="K2787">
        <v>8.9</v>
      </c>
      <c r="L2787">
        <v>19</v>
      </c>
      <c r="M2787">
        <v>99.55</v>
      </c>
      <c r="N2787">
        <v>17.95</v>
      </c>
      <c r="O2787">
        <v>1715</v>
      </c>
      <c r="P2787">
        <v>408</v>
      </c>
      <c r="Q2787" s="5" t="e">
        <f>IF(AND(#REF!&gt;=table!$C$6,#REF!&lt;= table!$D$6),-1,IF(AND(#REF!&gt;=table!$E$6,#REF!&lt;=table!$F$6),1,0))</f>
        <v>#REF!</v>
      </c>
      <c r="R2787" s="5" t="e">
        <f>IF(AND(#REF!&gt;=table!$C$7,#REF!&lt;= table!$D$7),-1,IF(AND(#REF!&gt;=table!$E$7,#REF!&lt;=table!$F$7),1,0))</f>
        <v>#REF!</v>
      </c>
      <c r="S2787" s="5" t="e">
        <f>IF(AND(#REF!&gt;=table!$C$8,#REF!&lt;= table!$D$8),-1,IF(AND(#REF!&gt;=table!$E$8,#REF!&lt;=table!$F$8),1,0))</f>
        <v>#REF!</v>
      </c>
      <c r="T2787" s="5"/>
      <c r="U2787" s="5" t="e">
        <f>IF(AND(#REF!&gt;=table!$C$10,#REF!&lt;= table!$D$10),-1,IF(AND(#REF!&gt;=table!$E$10,#REF!&lt;=table!$F$10),1,0))</f>
        <v>#REF!</v>
      </c>
      <c r="V2787" s="5" t="e">
        <f>IF(AND(#REF!&gt;=table!$C$11,#REF!&lt;= table!$D$11),-1,IF(AND(#REF!&gt;=table!$E$11,#REF!&lt;=table!$F$11),1,0))</f>
        <v>#REF!</v>
      </c>
      <c r="W2787" s="5" t="e">
        <f>CONCATENATE(dados[[#This Row],[fator1]],dados[[#This Row],[fator5]],dados[[#This Row],[fator6]])</f>
        <v>#REF!</v>
      </c>
    </row>
    <row r="2788" spans="1:23">
      <c r="A2788" t="s">
        <v>17</v>
      </c>
      <c r="B2788">
        <v>585073</v>
      </c>
      <c r="C2788">
        <v>14</v>
      </c>
      <c r="D2788">
        <v>30</v>
      </c>
      <c r="E2788">
        <v>66</v>
      </c>
      <c r="F2788">
        <v>9</v>
      </c>
      <c r="G2788">
        <v>20</v>
      </c>
      <c r="H2788">
        <v>25</v>
      </c>
      <c r="I2788">
        <v>1</v>
      </c>
      <c r="J2788">
        <v>590</v>
      </c>
      <c r="K2788">
        <v>30.465</v>
      </c>
      <c r="L2788">
        <v>19.45</v>
      </c>
      <c r="M2788">
        <v>54.4</v>
      </c>
      <c r="N2788">
        <v>15.35</v>
      </c>
      <c r="O2788">
        <v>1692</v>
      </c>
      <c r="P2788">
        <v>0</v>
      </c>
      <c r="Q2788" s="5" t="e">
        <f>IF(AND(#REF!&gt;=table!$C$6,#REF!&lt;= table!$D$6),-1,IF(AND(#REF!&gt;=table!$E$6,#REF!&lt;=table!$F$6),1,0))</f>
        <v>#REF!</v>
      </c>
      <c r="R2788" s="5" t="e">
        <f>IF(AND(#REF!&gt;=table!$C$7,#REF!&lt;= table!$D$7),-1,IF(AND(#REF!&gt;=table!$E$7,#REF!&lt;=table!$F$7),1,0))</f>
        <v>#REF!</v>
      </c>
      <c r="S2788" s="5" t="e">
        <f>IF(AND(#REF!&gt;=table!$C$8,#REF!&lt;= table!$D$8),-1,IF(AND(#REF!&gt;=table!$E$8,#REF!&lt;=table!$F$8),1,0))</f>
        <v>#REF!</v>
      </c>
      <c r="T2788" s="5"/>
      <c r="U2788" s="5" t="e">
        <f>IF(AND(#REF!&gt;=table!$C$10,#REF!&lt;= table!$D$10),-1,IF(AND(#REF!&gt;=table!$E$10,#REF!&lt;=table!$F$10),1,0))</f>
        <v>#REF!</v>
      </c>
      <c r="V2788" s="5" t="e">
        <f>IF(AND(#REF!&gt;=table!$C$11,#REF!&lt;= table!$D$11),-1,IF(AND(#REF!&gt;=table!$E$11,#REF!&lt;=table!$F$11),1,0))</f>
        <v>#REF!</v>
      </c>
      <c r="W2788" s="5" t="e">
        <f>CONCATENATE(dados[[#This Row],[fator1]],dados[[#This Row],[fator5]],dados[[#This Row],[fator6]])</f>
        <v>#REF!</v>
      </c>
    </row>
    <row r="2789" spans="1:23">
      <c r="A2789" t="s">
        <v>17</v>
      </c>
      <c r="B2789">
        <v>585074</v>
      </c>
      <c r="C2789">
        <v>14</v>
      </c>
      <c r="D2789">
        <v>30</v>
      </c>
      <c r="E2789">
        <v>110</v>
      </c>
      <c r="F2789">
        <v>3</v>
      </c>
      <c r="G2789">
        <v>20</v>
      </c>
      <c r="H2789">
        <v>22</v>
      </c>
      <c r="I2789">
        <v>914</v>
      </c>
      <c r="J2789">
        <v>530</v>
      </c>
      <c r="K2789">
        <v>5.6450000000000005</v>
      </c>
      <c r="L2789">
        <v>7.15</v>
      </c>
      <c r="M2789">
        <v>182</v>
      </c>
      <c r="N2789">
        <v>16.05</v>
      </c>
      <c r="O2789">
        <v>1655</v>
      </c>
      <c r="P2789">
        <v>494</v>
      </c>
      <c r="Q2789" s="5" t="e">
        <f>IF(AND(#REF!&gt;=table!$C$6,#REF!&lt;= table!$D$6),-1,IF(AND(#REF!&gt;=table!$E$6,#REF!&lt;=table!$F$6),1,0))</f>
        <v>#REF!</v>
      </c>
      <c r="R2789" s="5" t="e">
        <f>IF(AND(#REF!&gt;=table!$C$7,#REF!&lt;= table!$D$7),-1,IF(AND(#REF!&gt;=table!$E$7,#REF!&lt;=table!$F$7),1,0))</f>
        <v>#REF!</v>
      </c>
      <c r="S2789" s="5" t="e">
        <f>IF(AND(#REF!&gt;=table!$C$8,#REF!&lt;= table!$D$8),-1,IF(AND(#REF!&gt;=table!$E$8,#REF!&lt;=table!$F$8),1,0))</f>
        <v>#REF!</v>
      </c>
      <c r="T2789" s="5"/>
      <c r="U2789" s="5" t="e">
        <f>IF(AND(#REF!&gt;=table!$C$10,#REF!&lt;= table!$D$10),-1,IF(AND(#REF!&gt;=table!$E$10,#REF!&lt;=table!$F$10),1,0))</f>
        <v>#REF!</v>
      </c>
      <c r="V2789" s="5" t="e">
        <f>IF(AND(#REF!&gt;=table!$C$11,#REF!&lt;= table!$D$11),-1,IF(AND(#REF!&gt;=table!$E$11,#REF!&lt;=table!$F$11),1,0))</f>
        <v>#REF!</v>
      </c>
      <c r="W2789" s="5" t="e">
        <f>CONCATENATE(dados[[#This Row],[fator1]],dados[[#This Row],[fator5]],dados[[#This Row],[fator6]])</f>
        <v>#REF!</v>
      </c>
    </row>
    <row r="2790" spans="1:23">
      <c r="A2790" t="s">
        <v>17</v>
      </c>
      <c r="B2790">
        <v>585076</v>
      </c>
      <c r="C2790">
        <v>15</v>
      </c>
      <c r="D2790">
        <v>35</v>
      </c>
      <c r="E2790">
        <v>120</v>
      </c>
      <c r="F2790">
        <v>4</v>
      </c>
      <c r="G2790">
        <v>15</v>
      </c>
      <c r="H2790">
        <v>20</v>
      </c>
      <c r="I2790">
        <v>589</v>
      </c>
      <c r="J2790">
        <v>0</v>
      </c>
      <c r="K2790">
        <v>4.4800000000000004</v>
      </c>
      <c r="L2790">
        <v>11.1</v>
      </c>
      <c r="M2790">
        <v>107.7</v>
      </c>
      <c r="N2790">
        <v>11.200000000000001</v>
      </c>
      <c r="O2790">
        <v>1692</v>
      </c>
      <c r="P2790">
        <v>541</v>
      </c>
      <c r="Q2790" s="5" t="e">
        <f>IF(AND(#REF!&gt;=table!$C$6,#REF!&lt;= table!$D$6),-1,IF(AND(#REF!&gt;=table!$E$6,#REF!&lt;=table!$F$6),1,0))</f>
        <v>#REF!</v>
      </c>
      <c r="R2790" s="5" t="e">
        <f>IF(AND(#REF!&gt;=table!$C$7,#REF!&lt;= table!$D$7),-1,IF(AND(#REF!&gt;=table!$E$7,#REF!&lt;=table!$F$7),1,0))</f>
        <v>#REF!</v>
      </c>
      <c r="S2790" s="5" t="e">
        <f>IF(AND(#REF!&gt;=table!$C$8,#REF!&lt;= table!$D$8),-1,IF(AND(#REF!&gt;=table!$E$8,#REF!&lt;=table!$F$8),1,0))</f>
        <v>#REF!</v>
      </c>
      <c r="T2790" s="5"/>
      <c r="U2790" s="5" t="e">
        <f>IF(AND(#REF!&gt;=table!$C$10,#REF!&lt;= table!$D$10),-1,IF(AND(#REF!&gt;=table!$E$10,#REF!&lt;=table!$F$10),1,0))</f>
        <v>#REF!</v>
      </c>
      <c r="V2790" s="5" t="e">
        <f>IF(AND(#REF!&gt;=table!$C$11,#REF!&lt;= table!$D$11),-1,IF(AND(#REF!&gt;=table!$E$11,#REF!&lt;=table!$F$11),1,0))</f>
        <v>#REF!</v>
      </c>
      <c r="W2790" s="5" t="e">
        <f>CONCATENATE(dados[[#This Row],[fator1]],dados[[#This Row],[fator5]],dados[[#This Row],[fator6]])</f>
        <v>#REF!</v>
      </c>
    </row>
    <row r="2791" spans="1:23">
      <c r="A2791" t="s">
        <v>17</v>
      </c>
      <c r="B2791">
        <v>585077</v>
      </c>
      <c r="C2791">
        <v>20</v>
      </c>
      <c r="D2791">
        <v>18</v>
      </c>
      <c r="E2791">
        <v>36</v>
      </c>
      <c r="F2791">
        <v>6</v>
      </c>
      <c r="G2791">
        <v>20</v>
      </c>
      <c r="H2791">
        <v>25</v>
      </c>
      <c r="I2791">
        <v>278</v>
      </c>
      <c r="J2791">
        <v>0</v>
      </c>
      <c r="K2791">
        <v>11.040000000000001</v>
      </c>
      <c r="L2791">
        <v>19.8</v>
      </c>
      <c r="M2791">
        <v>33.049999999999997</v>
      </c>
      <c r="N2791">
        <v>21.150000000000002</v>
      </c>
      <c r="O2791">
        <v>1686</v>
      </c>
      <c r="P2791">
        <v>0</v>
      </c>
      <c r="Q2791" s="5" t="e">
        <f>IF(AND(#REF!&gt;=table!$C$6,#REF!&lt;= table!$D$6),-1,IF(AND(#REF!&gt;=table!$E$6,#REF!&lt;=table!$F$6),1,0))</f>
        <v>#REF!</v>
      </c>
      <c r="R2791" s="5" t="e">
        <f>IF(AND(#REF!&gt;=table!$C$7,#REF!&lt;= table!$D$7),-1,IF(AND(#REF!&gt;=table!$E$7,#REF!&lt;=table!$F$7),1,0))</f>
        <v>#REF!</v>
      </c>
      <c r="S2791" s="5" t="e">
        <f>IF(AND(#REF!&gt;=table!$C$8,#REF!&lt;= table!$D$8),-1,IF(AND(#REF!&gt;=table!$E$8,#REF!&lt;=table!$F$8),1,0))</f>
        <v>#REF!</v>
      </c>
      <c r="T2791" s="5"/>
      <c r="U2791" s="5" t="e">
        <f>IF(AND(#REF!&gt;=table!$C$10,#REF!&lt;= table!$D$10),-1,IF(AND(#REF!&gt;=table!$E$10,#REF!&lt;=table!$F$10),1,0))</f>
        <v>#REF!</v>
      </c>
      <c r="V2791" s="5" t="e">
        <f>IF(AND(#REF!&gt;=table!$C$11,#REF!&lt;= table!$D$11),-1,IF(AND(#REF!&gt;=table!$E$11,#REF!&lt;=table!$F$11),1,0))</f>
        <v>#REF!</v>
      </c>
      <c r="W2791" s="5" t="e">
        <f>CONCATENATE(dados[[#This Row],[fator1]],dados[[#This Row],[fator5]],dados[[#This Row],[fator6]])</f>
        <v>#REF!</v>
      </c>
    </row>
    <row r="2792" spans="1:23">
      <c r="A2792" t="s">
        <v>17</v>
      </c>
      <c r="B2792">
        <v>585078</v>
      </c>
      <c r="C2792">
        <v>20</v>
      </c>
      <c r="D2792">
        <v>18</v>
      </c>
      <c r="E2792">
        <v>36</v>
      </c>
      <c r="F2792">
        <v>6</v>
      </c>
      <c r="G2792">
        <v>20</v>
      </c>
      <c r="H2792">
        <v>25</v>
      </c>
      <c r="I2792">
        <v>831</v>
      </c>
      <c r="J2792">
        <v>0</v>
      </c>
      <c r="K2792">
        <v>15.01</v>
      </c>
      <c r="L2792">
        <v>18.25</v>
      </c>
      <c r="M2792">
        <v>33</v>
      </c>
      <c r="N2792">
        <v>13.8</v>
      </c>
      <c r="O2792">
        <v>1693</v>
      </c>
      <c r="P2792">
        <v>249</v>
      </c>
      <c r="Q2792" s="5" t="e">
        <f>IF(AND(#REF!&gt;=table!$C$6,#REF!&lt;= table!$D$6),-1,IF(AND(#REF!&gt;=table!$E$6,#REF!&lt;=table!$F$6),1,0))</f>
        <v>#REF!</v>
      </c>
      <c r="R2792" s="5" t="e">
        <f>IF(AND(#REF!&gt;=table!$C$7,#REF!&lt;= table!$D$7),-1,IF(AND(#REF!&gt;=table!$E$7,#REF!&lt;=table!$F$7),1,0))</f>
        <v>#REF!</v>
      </c>
      <c r="S2792" s="5" t="e">
        <f>IF(AND(#REF!&gt;=table!$C$8,#REF!&lt;= table!$D$8),-1,IF(AND(#REF!&gt;=table!$E$8,#REF!&lt;=table!$F$8),1,0))</f>
        <v>#REF!</v>
      </c>
      <c r="T2792" s="5"/>
      <c r="U2792" s="5" t="e">
        <f>IF(AND(#REF!&gt;=table!$C$10,#REF!&lt;= table!$D$10),-1,IF(AND(#REF!&gt;=table!$E$10,#REF!&lt;=table!$F$10),1,0))</f>
        <v>#REF!</v>
      </c>
      <c r="V2792" s="5" t="e">
        <f>IF(AND(#REF!&gt;=table!$C$11,#REF!&lt;= table!$D$11),-1,IF(AND(#REF!&gt;=table!$E$11,#REF!&lt;=table!$F$11),1,0))</f>
        <v>#REF!</v>
      </c>
      <c r="W2792" s="5" t="e">
        <f>CONCATENATE(dados[[#This Row],[fator1]],dados[[#This Row],[fator5]],dados[[#This Row],[fator6]])</f>
        <v>#REF!</v>
      </c>
    </row>
    <row r="2793" spans="1:23">
      <c r="A2793" t="s">
        <v>17</v>
      </c>
      <c r="B2793">
        <v>585079</v>
      </c>
      <c r="C2793">
        <v>20</v>
      </c>
      <c r="D2793">
        <v>33</v>
      </c>
      <c r="E2793">
        <v>66</v>
      </c>
      <c r="F2793">
        <v>4</v>
      </c>
      <c r="G2793">
        <v>20</v>
      </c>
      <c r="H2793">
        <v>25</v>
      </c>
      <c r="I2793">
        <v>823</v>
      </c>
      <c r="J2793">
        <v>0</v>
      </c>
      <c r="K2793">
        <v>10.325000000000001</v>
      </c>
      <c r="L2793">
        <v>15.700000000000001</v>
      </c>
      <c r="M2793">
        <v>66.45</v>
      </c>
      <c r="N2793">
        <v>12.605</v>
      </c>
      <c r="O2793">
        <v>1683</v>
      </c>
      <c r="P2793">
        <v>338</v>
      </c>
      <c r="Q2793" s="5" t="e">
        <f>IF(AND(#REF!&gt;=table!$C$6,#REF!&lt;= table!$D$6),-1,IF(AND(#REF!&gt;=table!$E$6,#REF!&lt;=table!$F$6),1,0))</f>
        <v>#REF!</v>
      </c>
      <c r="R2793" s="5" t="e">
        <f>IF(AND(#REF!&gt;=table!$C$7,#REF!&lt;= table!$D$7),-1,IF(AND(#REF!&gt;=table!$E$7,#REF!&lt;=table!$F$7),1,0))</f>
        <v>#REF!</v>
      </c>
      <c r="S2793" s="5" t="e">
        <f>IF(AND(#REF!&gt;=table!$C$8,#REF!&lt;= table!$D$8),-1,IF(AND(#REF!&gt;=table!$E$8,#REF!&lt;=table!$F$8),1,0))</f>
        <v>#REF!</v>
      </c>
      <c r="T2793" s="5"/>
      <c r="U2793" s="5" t="e">
        <f>IF(AND(#REF!&gt;=table!$C$10,#REF!&lt;= table!$D$10),-1,IF(AND(#REF!&gt;=table!$E$10,#REF!&lt;=table!$F$10),1,0))</f>
        <v>#REF!</v>
      </c>
      <c r="V2793" s="5" t="e">
        <f>IF(AND(#REF!&gt;=table!$C$11,#REF!&lt;= table!$D$11),-1,IF(AND(#REF!&gt;=table!$E$11,#REF!&lt;=table!$F$11),1,0))</f>
        <v>#REF!</v>
      </c>
      <c r="W2793" s="5" t="e">
        <f>CONCATENATE(dados[[#This Row],[fator1]],dados[[#This Row],[fator5]],dados[[#This Row],[fator6]])</f>
        <v>#REF!</v>
      </c>
    </row>
    <row r="2794" spans="1:23">
      <c r="A2794" t="s">
        <v>17</v>
      </c>
      <c r="B2794">
        <v>585080</v>
      </c>
      <c r="C2794">
        <v>16</v>
      </c>
      <c r="D2794">
        <v>33</v>
      </c>
      <c r="E2794">
        <v>150</v>
      </c>
      <c r="F2794">
        <v>10</v>
      </c>
      <c r="G2794">
        <v>15</v>
      </c>
      <c r="H2794">
        <v>25</v>
      </c>
      <c r="I2794">
        <v>1103</v>
      </c>
      <c r="J2794">
        <v>0</v>
      </c>
      <c r="K2794">
        <v>8.33</v>
      </c>
      <c r="L2794">
        <v>18.05</v>
      </c>
      <c r="M2794">
        <v>131.82500000000002</v>
      </c>
      <c r="N2794">
        <v>18.63</v>
      </c>
      <c r="O2794">
        <v>1696</v>
      </c>
      <c r="P2794">
        <v>386</v>
      </c>
      <c r="Q2794" s="5" t="e">
        <f>IF(AND(#REF!&gt;=table!$C$6,#REF!&lt;= table!$D$6),-1,IF(AND(#REF!&gt;=table!$E$6,#REF!&lt;=table!$F$6),1,0))</f>
        <v>#REF!</v>
      </c>
      <c r="R2794" s="5" t="e">
        <f>IF(AND(#REF!&gt;=table!$C$7,#REF!&lt;= table!$D$7),-1,IF(AND(#REF!&gt;=table!$E$7,#REF!&lt;=table!$F$7),1,0))</f>
        <v>#REF!</v>
      </c>
      <c r="S2794" s="5" t="e">
        <f>IF(AND(#REF!&gt;=table!$C$8,#REF!&lt;= table!$D$8),-1,IF(AND(#REF!&gt;=table!$E$8,#REF!&lt;=table!$F$8),1,0))</f>
        <v>#REF!</v>
      </c>
      <c r="T2794" s="5"/>
      <c r="U2794" s="5" t="e">
        <f>IF(AND(#REF!&gt;=table!$C$10,#REF!&lt;= table!$D$10),-1,IF(AND(#REF!&gt;=table!$E$10,#REF!&lt;=table!$F$10),1,0))</f>
        <v>#REF!</v>
      </c>
      <c r="V2794" s="5" t="e">
        <f>IF(AND(#REF!&gt;=table!$C$11,#REF!&lt;= table!$D$11),-1,IF(AND(#REF!&gt;=table!$E$11,#REF!&lt;=table!$F$11),1,0))</f>
        <v>#REF!</v>
      </c>
      <c r="W2794" s="5" t="e">
        <f>CONCATENATE(dados[[#This Row],[fator1]],dados[[#This Row],[fator5]],dados[[#This Row],[fator6]])</f>
        <v>#REF!</v>
      </c>
    </row>
    <row r="2795" spans="1:23">
      <c r="A2795" t="s">
        <v>17</v>
      </c>
      <c r="B2795">
        <v>585081</v>
      </c>
      <c r="C2795">
        <v>15</v>
      </c>
      <c r="D2795">
        <v>30</v>
      </c>
      <c r="E2795">
        <v>110</v>
      </c>
      <c r="F2795">
        <v>3</v>
      </c>
      <c r="G2795">
        <v>21</v>
      </c>
      <c r="H2795">
        <v>21</v>
      </c>
      <c r="I2795">
        <v>20</v>
      </c>
      <c r="J2795">
        <v>0</v>
      </c>
      <c r="K2795">
        <v>11.945</v>
      </c>
      <c r="L2795">
        <v>18.350000000000001</v>
      </c>
      <c r="M2795">
        <v>100.05</v>
      </c>
      <c r="N2795">
        <v>15.55</v>
      </c>
      <c r="O2795">
        <v>1683</v>
      </c>
      <c r="P2795">
        <v>242</v>
      </c>
      <c r="Q2795" s="5" t="e">
        <f>IF(AND(#REF!&gt;=table!$C$6,#REF!&lt;= table!$D$6),-1,IF(AND(#REF!&gt;=table!$E$6,#REF!&lt;=table!$F$6),1,0))</f>
        <v>#REF!</v>
      </c>
      <c r="R2795" s="5" t="e">
        <f>IF(AND(#REF!&gt;=table!$C$7,#REF!&lt;= table!$D$7),-1,IF(AND(#REF!&gt;=table!$E$7,#REF!&lt;=table!$F$7),1,0))</f>
        <v>#REF!</v>
      </c>
      <c r="S2795" s="5" t="e">
        <f>IF(AND(#REF!&gt;=table!$C$8,#REF!&lt;= table!$D$8),-1,IF(AND(#REF!&gt;=table!$E$8,#REF!&lt;=table!$F$8),1,0))</f>
        <v>#REF!</v>
      </c>
      <c r="T2795" s="5"/>
      <c r="U2795" s="5" t="e">
        <f>IF(AND(#REF!&gt;=table!$C$10,#REF!&lt;= table!$D$10),-1,IF(AND(#REF!&gt;=table!$E$10,#REF!&lt;=table!$F$10),1,0))</f>
        <v>#REF!</v>
      </c>
      <c r="V2795" s="5" t="e">
        <f>IF(AND(#REF!&gt;=table!$C$11,#REF!&lt;= table!$D$11),-1,IF(AND(#REF!&gt;=table!$E$11,#REF!&lt;=table!$F$11),1,0))</f>
        <v>#REF!</v>
      </c>
      <c r="W2795" s="5" t="e">
        <f>CONCATENATE(dados[[#This Row],[fator1]],dados[[#This Row],[fator5]],dados[[#This Row],[fator6]])</f>
        <v>#REF!</v>
      </c>
    </row>
    <row r="2796" spans="1:23">
      <c r="A2796" t="s">
        <v>17</v>
      </c>
      <c r="B2796">
        <v>585082</v>
      </c>
      <c r="C2796">
        <v>14</v>
      </c>
      <c r="D2796">
        <v>30</v>
      </c>
      <c r="E2796">
        <v>66</v>
      </c>
      <c r="F2796">
        <v>9</v>
      </c>
      <c r="G2796">
        <v>20</v>
      </c>
      <c r="H2796">
        <v>25</v>
      </c>
      <c r="I2796">
        <v>2</v>
      </c>
      <c r="J2796">
        <v>0</v>
      </c>
      <c r="K2796">
        <v>12.445</v>
      </c>
      <c r="L2796">
        <v>23.27</v>
      </c>
      <c r="M2796">
        <v>67.3</v>
      </c>
      <c r="N2796">
        <v>22.34</v>
      </c>
      <c r="O2796">
        <v>1705</v>
      </c>
      <c r="P2796">
        <v>298</v>
      </c>
      <c r="Q2796" s="5" t="e">
        <f>IF(AND(#REF!&gt;=table!$C$6,#REF!&lt;= table!$D$6),-1,IF(AND(#REF!&gt;=table!$E$6,#REF!&lt;=table!$F$6),1,0))</f>
        <v>#REF!</v>
      </c>
      <c r="R2796" s="5" t="e">
        <f>IF(AND(#REF!&gt;=table!$C$7,#REF!&lt;= table!$D$7),-1,IF(AND(#REF!&gt;=table!$E$7,#REF!&lt;=table!$F$7),1,0))</f>
        <v>#REF!</v>
      </c>
      <c r="S2796" s="5" t="e">
        <f>IF(AND(#REF!&gt;=table!$C$8,#REF!&lt;= table!$D$8),-1,IF(AND(#REF!&gt;=table!$E$8,#REF!&lt;=table!$F$8),1,0))</f>
        <v>#REF!</v>
      </c>
      <c r="T2796" s="5"/>
      <c r="U2796" s="5" t="e">
        <f>IF(AND(#REF!&gt;=table!$C$10,#REF!&lt;= table!$D$10),-1,IF(AND(#REF!&gt;=table!$E$10,#REF!&lt;=table!$F$10),1,0))</f>
        <v>#REF!</v>
      </c>
      <c r="V2796" s="5" t="e">
        <f>IF(AND(#REF!&gt;=table!$C$11,#REF!&lt;= table!$D$11),-1,IF(AND(#REF!&gt;=table!$E$11,#REF!&lt;=table!$F$11),1,0))</f>
        <v>#REF!</v>
      </c>
      <c r="W2796" s="5" t="e">
        <f>CONCATENATE(dados[[#This Row],[fator1]],dados[[#This Row],[fator5]],dados[[#This Row],[fator6]])</f>
        <v>#REF!</v>
      </c>
    </row>
    <row r="2797" spans="1:23">
      <c r="A2797" t="s">
        <v>17</v>
      </c>
      <c r="B2797">
        <v>585083</v>
      </c>
      <c r="C2797">
        <v>13</v>
      </c>
      <c r="D2797">
        <v>30</v>
      </c>
      <c r="E2797">
        <v>150</v>
      </c>
      <c r="F2797">
        <v>4</v>
      </c>
      <c r="G2797">
        <v>20</v>
      </c>
      <c r="H2797">
        <v>25</v>
      </c>
      <c r="I2797">
        <v>749</v>
      </c>
      <c r="J2797">
        <v>0</v>
      </c>
      <c r="K2797">
        <v>6.54</v>
      </c>
      <c r="L2797">
        <v>12.280000000000001</v>
      </c>
      <c r="M2797">
        <v>146.55000000000001</v>
      </c>
      <c r="N2797">
        <v>11.950000000000001</v>
      </c>
      <c r="O2797">
        <v>1677</v>
      </c>
      <c r="P2797">
        <v>504</v>
      </c>
      <c r="Q2797" s="5" t="e">
        <f>IF(AND(#REF!&gt;=table!$C$6,#REF!&lt;= table!$D$6),-1,IF(AND(#REF!&gt;=table!$E$6,#REF!&lt;=table!$F$6),1,0))</f>
        <v>#REF!</v>
      </c>
      <c r="R2797" s="5" t="e">
        <f>IF(AND(#REF!&gt;=table!$C$7,#REF!&lt;= table!$D$7),-1,IF(AND(#REF!&gt;=table!$E$7,#REF!&lt;=table!$F$7),1,0))</f>
        <v>#REF!</v>
      </c>
      <c r="S2797" s="5" t="e">
        <f>IF(AND(#REF!&gt;=table!$C$8,#REF!&lt;= table!$D$8),-1,IF(AND(#REF!&gt;=table!$E$8,#REF!&lt;=table!$F$8),1,0))</f>
        <v>#REF!</v>
      </c>
      <c r="T2797" s="5"/>
      <c r="U2797" s="5" t="e">
        <f>IF(AND(#REF!&gt;=table!$C$10,#REF!&lt;= table!$D$10),-1,IF(AND(#REF!&gt;=table!$E$10,#REF!&lt;=table!$F$10),1,0))</f>
        <v>#REF!</v>
      </c>
      <c r="V2797" s="5" t="e">
        <f>IF(AND(#REF!&gt;=table!$C$11,#REF!&lt;= table!$D$11),-1,IF(AND(#REF!&gt;=table!$E$11,#REF!&lt;=table!$F$11),1,0))</f>
        <v>#REF!</v>
      </c>
      <c r="W2797" s="5" t="e">
        <f>CONCATENATE(dados[[#This Row],[fator1]],dados[[#This Row],[fator5]],dados[[#This Row],[fator6]])</f>
        <v>#REF!</v>
      </c>
    </row>
    <row r="2798" spans="1:23">
      <c r="A2798" t="s">
        <v>17</v>
      </c>
      <c r="B2798">
        <v>585084</v>
      </c>
      <c r="C2798">
        <v>13</v>
      </c>
      <c r="D2798">
        <v>30</v>
      </c>
      <c r="E2798">
        <v>150</v>
      </c>
      <c r="F2798">
        <v>4</v>
      </c>
      <c r="G2798">
        <v>20</v>
      </c>
      <c r="H2798">
        <v>25</v>
      </c>
      <c r="I2798">
        <v>830</v>
      </c>
      <c r="J2798">
        <v>0</v>
      </c>
      <c r="K2798">
        <v>4.2149999999999999</v>
      </c>
      <c r="L2798">
        <v>7.335</v>
      </c>
      <c r="M2798">
        <v>129.965</v>
      </c>
      <c r="N2798">
        <v>11.63</v>
      </c>
      <c r="O2798">
        <v>1683</v>
      </c>
      <c r="P2798">
        <v>0</v>
      </c>
      <c r="Q2798" s="5" t="e">
        <f>IF(AND(#REF!&gt;=table!$C$6,#REF!&lt;= table!$D$6),-1,IF(AND(#REF!&gt;=table!$E$6,#REF!&lt;=table!$F$6),1,0))</f>
        <v>#REF!</v>
      </c>
      <c r="R2798" s="5" t="e">
        <f>IF(AND(#REF!&gt;=table!$C$7,#REF!&lt;= table!$D$7),-1,IF(AND(#REF!&gt;=table!$E$7,#REF!&lt;=table!$F$7),1,0))</f>
        <v>#REF!</v>
      </c>
      <c r="S2798" s="5" t="e">
        <f>IF(AND(#REF!&gt;=table!$C$8,#REF!&lt;= table!$D$8),-1,IF(AND(#REF!&gt;=table!$E$8,#REF!&lt;=table!$F$8),1,0))</f>
        <v>#REF!</v>
      </c>
      <c r="T2798" s="5"/>
      <c r="U2798" s="5" t="e">
        <f>IF(AND(#REF!&gt;=table!$C$10,#REF!&lt;= table!$D$10),-1,IF(AND(#REF!&gt;=table!$E$10,#REF!&lt;=table!$F$10),1,0))</f>
        <v>#REF!</v>
      </c>
      <c r="V2798" s="5" t="e">
        <f>IF(AND(#REF!&gt;=table!$C$11,#REF!&lt;= table!$D$11),-1,IF(AND(#REF!&gt;=table!$E$11,#REF!&lt;=table!$F$11),1,0))</f>
        <v>#REF!</v>
      </c>
      <c r="W2798" s="5" t="e">
        <f>CONCATENATE(dados[[#This Row],[fator1]],dados[[#This Row],[fator5]],dados[[#This Row],[fator6]])</f>
        <v>#REF!</v>
      </c>
    </row>
    <row r="2799" spans="1:23">
      <c r="A2799" t="s">
        <v>17</v>
      </c>
      <c r="B2799">
        <v>585086</v>
      </c>
      <c r="C2799">
        <v>14</v>
      </c>
      <c r="D2799">
        <v>30</v>
      </c>
      <c r="E2799">
        <v>66</v>
      </c>
      <c r="F2799">
        <v>9</v>
      </c>
      <c r="G2799">
        <v>20</v>
      </c>
      <c r="H2799">
        <v>25</v>
      </c>
      <c r="I2799">
        <v>726</v>
      </c>
      <c r="J2799">
        <v>0</v>
      </c>
      <c r="K2799">
        <v>5.98</v>
      </c>
      <c r="L2799">
        <v>6.1950000000000003</v>
      </c>
      <c r="M2799">
        <v>64.605000000000004</v>
      </c>
      <c r="N2799">
        <v>7.67</v>
      </c>
      <c r="O2799">
        <v>1679</v>
      </c>
      <c r="P2799">
        <v>0</v>
      </c>
      <c r="Q2799" s="5" t="e">
        <f>IF(AND(#REF!&gt;=table!$C$6,#REF!&lt;= table!$D$6),-1,IF(AND(#REF!&gt;=table!$E$6,#REF!&lt;=table!$F$6),1,0))</f>
        <v>#REF!</v>
      </c>
      <c r="R2799" s="5" t="e">
        <f>IF(AND(#REF!&gt;=table!$C$7,#REF!&lt;= table!$D$7),-1,IF(AND(#REF!&gt;=table!$E$7,#REF!&lt;=table!$F$7),1,0))</f>
        <v>#REF!</v>
      </c>
      <c r="S2799" s="5" t="e">
        <f>IF(AND(#REF!&gt;=table!$C$8,#REF!&lt;= table!$D$8),-1,IF(AND(#REF!&gt;=table!$E$8,#REF!&lt;=table!$F$8),1,0))</f>
        <v>#REF!</v>
      </c>
      <c r="T2799" s="5"/>
      <c r="U2799" s="5" t="e">
        <f>IF(AND(#REF!&gt;=table!$C$10,#REF!&lt;= table!$D$10),-1,IF(AND(#REF!&gt;=table!$E$10,#REF!&lt;=table!$F$10),1,0))</f>
        <v>#REF!</v>
      </c>
      <c r="V2799" s="5" t="e">
        <f>IF(AND(#REF!&gt;=table!$C$11,#REF!&lt;= table!$D$11),-1,IF(AND(#REF!&gt;=table!$E$11,#REF!&lt;=table!$F$11),1,0))</f>
        <v>#REF!</v>
      </c>
      <c r="W2799" s="5" t="e">
        <f>CONCATENATE(dados[[#This Row],[fator1]],dados[[#This Row],[fator5]],dados[[#This Row],[fator6]])</f>
        <v>#REF!</v>
      </c>
    </row>
    <row r="2800" spans="1:23">
      <c r="A2800" t="s">
        <v>17</v>
      </c>
      <c r="B2800">
        <v>585088</v>
      </c>
      <c r="C2800">
        <v>14</v>
      </c>
      <c r="D2800">
        <v>25</v>
      </c>
      <c r="E2800">
        <v>130</v>
      </c>
      <c r="F2800">
        <v>9</v>
      </c>
      <c r="G2800">
        <v>110</v>
      </c>
      <c r="H2800">
        <v>50</v>
      </c>
      <c r="I2800">
        <v>215</v>
      </c>
      <c r="J2800">
        <v>0</v>
      </c>
      <c r="K2800">
        <v>8.75</v>
      </c>
      <c r="L2800">
        <v>21.835000000000001</v>
      </c>
      <c r="M2800">
        <v>110.09</v>
      </c>
      <c r="N2800">
        <v>30.67</v>
      </c>
      <c r="O2800">
        <v>1683</v>
      </c>
      <c r="P2800">
        <v>399</v>
      </c>
      <c r="Q2800" s="5" t="e">
        <f>IF(AND(#REF!&gt;=table!$C$6,#REF!&lt;= table!$D$6),-1,IF(AND(#REF!&gt;=table!$E$6,#REF!&lt;=table!$F$6),1,0))</f>
        <v>#REF!</v>
      </c>
      <c r="R2800" s="5" t="e">
        <f>IF(AND(#REF!&gt;=table!$C$7,#REF!&lt;= table!$D$7),-1,IF(AND(#REF!&gt;=table!$E$7,#REF!&lt;=table!$F$7),1,0))</f>
        <v>#REF!</v>
      </c>
      <c r="S2800" s="5" t="e">
        <f>IF(AND(#REF!&gt;=table!$C$8,#REF!&lt;= table!$D$8),-1,IF(AND(#REF!&gt;=table!$E$8,#REF!&lt;=table!$F$8),1,0))</f>
        <v>#REF!</v>
      </c>
      <c r="T2800" s="5"/>
      <c r="U2800" s="5" t="e">
        <f>IF(AND(#REF!&gt;=table!$C$10,#REF!&lt;= table!$D$10),-1,IF(AND(#REF!&gt;=table!$E$10,#REF!&lt;=table!$F$10),1,0))</f>
        <v>#REF!</v>
      </c>
      <c r="V2800" s="5" t="e">
        <f>IF(AND(#REF!&gt;=table!$C$11,#REF!&lt;= table!$D$11),-1,IF(AND(#REF!&gt;=table!$E$11,#REF!&lt;=table!$F$11),1,0))</f>
        <v>#REF!</v>
      </c>
      <c r="W2800" s="5" t="e">
        <f>CONCATENATE(dados[[#This Row],[fator1]],dados[[#This Row],[fator5]],dados[[#This Row],[fator6]])</f>
        <v>#REF!</v>
      </c>
    </row>
    <row r="2801" spans="1:23">
      <c r="A2801" t="s">
        <v>17</v>
      </c>
      <c r="B2801">
        <v>585089</v>
      </c>
      <c r="C2801">
        <v>18</v>
      </c>
      <c r="D2801">
        <v>23</v>
      </c>
      <c r="E2801">
        <v>145</v>
      </c>
      <c r="F2801">
        <v>9</v>
      </c>
      <c r="G2801">
        <v>30</v>
      </c>
      <c r="H2801">
        <v>25</v>
      </c>
      <c r="I2801">
        <v>668</v>
      </c>
      <c r="J2801">
        <v>0</v>
      </c>
      <c r="K2801">
        <v>3.38</v>
      </c>
      <c r="L2801">
        <v>9.6</v>
      </c>
      <c r="M2801">
        <v>115.28500000000001</v>
      </c>
      <c r="N2801">
        <v>13.585000000000001</v>
      </c>
      <c r="O2801">
        <v>1675</v>
      </c>
      <c r="P2801">
        <v>0</v>
      </c>
      <c r="Q2801" s="5" t="e">
        <f>IF(AND(#REF!&gt;=table!$C$6,#REF!&lt;= table!$D$6),-1,IF(AND(#REF!&gt;=table!$E$6,#REF!&lt;=table!$F$6),1,0))</f>
        <v>#REF!</v>
      </c>
      <c r="R2801" s="5" t="e">
        <f>IF(AND(#REF!&gt;=table!$C$7,#REF!&lt;= table!$D$7),-1,IF(AND(#REF!&gt;=table!$E$7,#REF!&lt;=table!$F$7),1,0))</f>
        <v>#REF!</v>
      </c>
      <c r="S2801" s="5" t="e">
        <f>IF(AND(#REF!&gt;=table!$C$8,#REF!&lt;= table!$D$8),-1,IF(AND(#REF!&gt;=table!$E$8,#REF!&lt;=table!$F$8),1,0))</f>
        <v>#REF!</v>
      </c>
      <c r="T2801" s="5"/>
      <c r="U2801" s="5" t="e">
        <f>IF(AND(#REF!&gt;=table!$C$10,#REF!&lt;= table!$D$10),-1,IF(AND(#REF!&gt;=table!$E$10,#REF!&lt;=table!$F$10),1,0))</f>
        <v>#REF!</v>
      </c>
      <c r="V2801" s="5" t="e">
        <f>IF(AND(#REF!&gt;=table!$C$11,#REF!&lt;= table!$D$11),-1,IF(AND(#REF!&gt;=table!$E$11,#REF!&lt;=table!$F$11),1,0))</f>
        <v>#REF!</v>
      </c>
      <c r="W2801" s="5" t="e">
        <f>CONCATENATE(dados[[#This Row],[fator1]],dados[[#This Row],[fator5]],dados[[#This Row],[fator6]])</f>
        <v>#REF!</v>
      </c>
    </row>
    <row r="2802" spans="1:23">
      <c r="A2802" t="s">
        <v>17</v>
      </c>
      <c r="B2802">
        <v>585090</v>
      </c>
      <c r="C2802">
        <v>18</v>
      </c>
      <c r="D2802">
        <v>23</v>
      </c>
      <c r="E2802">
        <v>145</v>
      </c>
      <c r="F2802">
        <v>9</v>
      </c>
      <c r="G2802">
        <v>30</v>
      </c>
      <c r="H2802">
        <v>25</v>
      </c>
      <c r="I2802">
        <v>0</v>
      </c>
      <c r="J2802">
        <v>0</v>
      </c>
      <c r="K2802">
        <v>4.75</v>
      </c>
      <c r="L2802">
        <v>13.65</v>
      </c>
      <c r="M2802">
        <v>107.65</v>
      </c>
      <c r="N2802">
        <v>15.85</v>
      </c>
      <c r="O2802">
        <v>1685</v>
      </c>
      <c r="P2802">
        <v>0</v>
      </c>
      <c r="Q2802" s="5" t="e">
        <f>IF(AND(#REF!&gt;=table!$C$6,#REF!&lt;= table!$D$6),-1,IF(AND(#REF!&gt;=table!$E$6,#REF!&lt;=table!$F$6),1,0))</f>
        <v>#REF!</v>
      </c>
      <c r="R2802" s="5" t="e">
        <f>IF(AND(#REF!&gt;=table!$C$7,#REF!&lt;= table!$D$7),-1,IF(AND(#REF!&gt;=table!$E$7,#REF!&lt;=table!$F$7),1,0))</f>
        <v>#REF!</v>
      </c>
      <c r="S2802" s="5" t="e">
        <f>IF(AND(#REF!&gt;=table!$C$8,#REF!&lt;= table!$D$8),-1,IF(AND(#REF!&gt;=table!$E$8,#REF!&lt;=table!$F$8),1,0))</f>
        <v>#REF!</v>
      </c>
      <c r="T2802" s="5"/>
      <c r="U2802" s="5" t="e">
        <f>IF(AND(#REF!&gt;=table!$C$10,#REF!&lt;= table!$D$10),-1,IF(AND(#REF!&gt;=table!$E$10,#REF!&lt;=table!$F$10),1,0))</f>
        <v>#REF!</v>
      </c>
      <c r="V2802" s="5" t="e">
        <f>IF(AND(#REF!&gt;=table!$C$11,#REF!&lt;= table!$D$11),-1,IF(AND(#REF!&gt;=table!$E$11,#REF!&lt;=table!$F$11),1,0))</f>
        <v>#REF!</v>
      </c>
      <c r="W2802" s="5" t="e">
        <f>CONCATENATE(dados[[#This Row],[fator1]],dados[[#This Row],[fator5]],dados[[#This Row],[fator6]])</f>
        <v>#REF!</v>
      </c>
    </row>
    <row r="2803" spans="1:23">
      <c r="A2803" t="s">
        <v>17</v>
      </c>
      <c r="B2803">
        <v>585091</v>
      </c>
      <c r="C2803">
        <v>16</v>
      </c>
      <c r="D2803">
        <v>23</v>
      </c>
      <c r="E2803">
        <v>145</v>
      </c>
      <c r="F2803">
        <v>9</v>
      </c>
      <c r="G2803">
        <v>30</v>
      </c>
      <c r="H2803">
        <v>25</v>
      </c>
      <c r="I2803">
        <v>5</v>
      </c>
      <c r="J2803">
        <v>0</v>
      </c>
      <c r="K2803">
        <v>5.0750000000000002</v>
      </c>
      <c r="L2803">
        <v>17.395</v>
      </c>
      <c r="M2803">
        <v>105.7</v>
      </c>
      <c r="N2803">
        <v>20.5</v>
      </c>
      <c r="O2803">
        <v>1693</v>
      </c>
      <c r="P2803">
        <v>671</v>
      </c>
      <c r="Q2803" s="5" t="e">
        <f>IF(AND(#REF!&gt;=table!$C$6,#REF!&lt;= table!$D$6),-1,IF(AND(#REF!&gt;=table!$E$6,#REF!&lt;=table!$F$6),1,0))</f>
        <v>#REF!</v>
      </c>
      <c r="R2803" s="5" t="e">
        <f>IF(AND(#REF!&gt;=table!$C$7,#REF!&lt;= table!$D$7),-1,IF(AND(#REF!&gt;=table!$E$7,#REF!&lt;=table!$F$7),1,0))</f>
        <v>#REF!</v>
      </c>
      <c r="S2803" s="5" t="e">
        <f>IF(AND(#REF!&gt;=table!$C$8,#REF!&lt;= table!$D$8),-1,IF(AND(#REF!&gt;=table!$E$8,#REF!&lt;=table!$F$8),1,0))</f>
        <v>#REF!</v>
      </c>
      <c r="T2803" s="5"/>
      <c r="U2803" s="5" t="e">
        <f>IF(AND(#REF!&gt;=table!$C$10,#REF!&lt;= table!$D$10),-1,IF(AND(#REF!&gt;=table!$E$10,#REF!&lt;=table!$F$10),1,0))</f>
        <v>#REF!</v>
      </c>
      <c r="V2803" s="5" t="e">
        <f>IF(AND(#REF!&gt;=table!$C$11,#REF!&lt;= table!$D$11),-1,IF(AND(#REF!&gt;=table!$E$11,#REF!&lt;=table!$F$11),1,0))</f>
        <v>#REF!</v>
      </c>
      <c r="W2803" s="5" t="e">
        <f>CONCATENATE(dados[[#This Row],[fator1]],dados[[#This Row],[fator5]],dados[[#This Row],[fator6]])</f>
        <v>#REF!</v>
      </c>
    </row>
    <row r="2804" spans="1:23">
      <c r="A2804" t="s">
        <v>16</v>
      </c>
      <c r="B2804">
        <v>585093</v>
      </c>
      <c r="C2804">
        <v>8</v>
      </c>
      <c r="D2804">
        <v>40</v>
      </c>
      <c r="E2804">
        <v>86</v>
      </c>
      <c r="F2804">
        <v>6</v>
      </c>
      <c r="G2804">
        <v>0</v>
      </c>
      <c r="H2804">
        <v>20</v>
      </c>
      <c r="I2804">
        <v>920</v>
      </c>
      <c r="J2804">
        <v>0</v>
      </c>
      <c r="K2804">
        <v>6.9</v>
      </c>
      <c r="L2804">
        <v>17.150000000000002</v>
      </c>
      <c r="M2804">
        <v>73.7</v>
      </c>
      <c r="N2804">
        <v>13.1</v>
      </c>
      <c r="O2804">
        <v>1673</v>
      </c>
      <c r="P2804">
        <v>395</v>
      </c>
      <c r="Q2804" s="5" t="e">
        <f>IF(AND(#REF!&gt;=table!$C$6,#REF!&lt;= table!$D$6),-1,IF(AND(#REF!&gt;=table!$E$6,#REF!&lt;=table!$F$6),1,0))</f>
        <v>#REF!</v>
      </c>
      <c r="R2804" s="5" t="e">
        <f>IF(AND(#REF!&gt;=table!$C$7,#REF!&lt;= table!$D$7),-1,IF(AND(#REF!&gt;=table!$E$7,#REF!&lt;=table!$F$7),1,0))</f>
        <v>#REF!</v>
      </c>
      <c r="S2804" s="5" t="e">
        <f>IF(AND(#REF!&gt;=table!$C$8,#REF!&lt;= table!$D$8),-1,IF(AND(#REF!&gt;=table!$E$8,#REF!&lt;=table!$F$8),1,0))</f>
        <v>#REF!</v>
      </c>
      <c r="T2804" s="5"/>
      <c r="U2804" s="5" t="e">
        <f>IF(AND(#REF!&gt;=table!$C$10,#REF!&lt;= table!$D$10),-1,IF(AND(#REF!&gt;=table!$E$10,#REF!&lt;=table!$F$10),1,0))</f>
        <v>#REF!</v>
      </c>
      <c r="V2804" s="5" t="e">
        <f>IF(AND(#REF!&gt;=table!$C$11,#REF!&lt;= table!$D$11),-1,IF(AND(#REF!&gt;=table!$E$11,#REF!&lt;=table!$F$11),1,0))</f>
        <v>#REF!</v>
      </c>
      <c r="W2804" s="5" t="e">
        <f>CONCATENATE(dados[[#This Row],[fator1]],dados[[#This Row],[fator5]],dados[[#This Row],[fator6]])</f>
        <v>#REF!</v>
      </c>
    </row>
    <row r="2805" spans="1:23">
      <c r="A2805" t="s">
        <v>16</v>
      </c>
      <c r="B2805">
        <v>585096</v>
      </c>
      <c r="C2805">
        <v>8</v>
      </c>
      <c r="D2805">
        <v>40</v>
      </c>
      <c r="E2805">
        <v>86</v>
      </c>
      <c r="F2805">
        <v>6</v>
      </c>
      <c r="G2805">
        <v>0</v>
      </c>
      <c r="H2805">
        <v>20</v>
      </c>
      <c r="I2805">
        <v>939</v>
      </c>
      <c r="J2805">
        <v>0</v>
      </c>
      <c r="K2805">
        <v>4.8950000000000005</v>
      </c>
      <c r="L2805">
        <v>14.8</v>
      </c>
      <c r="M2805">
        <v>38.225000000000001</v>
      </c>
      <c r="N2805">
        <v>9.5299999999999994</v>
      </c>
      <c r="O2805">
        <v>1660</v>
      </c>
      <c r="P2805">
        <v>517</v>
      </c>
      <c r="Q2805" s="5" t="e">
        <f>IF(AND(#REF!&gt;=table!$C$6,#REF!&lt;= table!$D$6),-1,IF(AND(#REF!&gt;=table!$E$6,#REF!&lt;=table!$F$6),1,0))</f>
        <v>#REF!</v>
      </c>
      <c r="R2805" s="5" t="e">
        <f>IF(AND(#REF!&gt;=table!$C$7,#REF!&lt;= table!$D$7),-1,IF(AND(#REF!&gt;=table!$E$7,#REF!&lt;=table!$F$7),1,0))</f>
        <v>#REF!</v>
      </c>
      <c r="S2805" s="5" t="e">
        <f>IF(AND(#REF!&gt;=table!$C$8,#REF!&lt;= table!$D$8),-1,IF(AND(#REF!&gt;=table!$E$8,#REF!&lt;=table!$F$8),1,0))</f>
        <v>#REF!</v>
      </c>
      <c r="T2805" s="5"/>
      <c r="U2805" s="5" t="e">
        <f>IF(AND(#REF!&gt;=table!$C$10,#REF!&lt;= table!$D$10),-1,IF(AND(#REF!&gt;=table!$E$10,#REF!&lt;=table!$F$10),1,0))</f>
        <v>#REF!</v>
      </c>
      <c r="V2805" s="5" t="e">
        <f>IF(AND(#REF!&gt;=table!$C$11,#REF!&lt;= table!$D$11),-1,IF(AND(#REF!&gt;=table!$E$11,#REF!&lt;=table!$F$11),1,0))</f>
        <v>#REF!</v>
      </c>
      <c r="W2805" s="5" t="e">
        <f>CONCATENATE(dados[[#This Row],[fator1]],dados[[#This Row],[fator5]],dados[[#This Row],[fator6]])</f>
        <v>#REF!</v>
      </c>
    </row>
    <row r="2806" spans="1:23">
      <c r="A2806" t="s">
        <v>16</v>
      </c>
      <c r="B2806">
        <v>585097</v>
      </c>
      <c r="C2806">
        <v>8</v>
      </c>
      <c r="D2806">
        <v>40</v>
      </c>
      <c r="E2806">
        <v>86</v>
      </c>
      <c r="F2806">
        <v>6</v>
      </c>
      <c r="G2806">
        <v>0</v>
      </c>
      <c r="H2806">
        <v>20</v>
      </c>
      <c r="I2806">
        <v>1266</v>
      </c>
      <c r="J2806">
        <v>0</v>
      </c>
      <c r="K2806">
        <v>6.3950000000000005</v>
      </c>
      <c r="L2806">
        <v>19.650000000000002</v>
      </c>
      <c r="M2806">
        <v>80.95</v>
      </c>
      <c r="N2806">
        <v>11.65</v>
      </c>
      <c r="O2806">
        <v>1696</v>
      </c>
      <c r="P2806">
        <v>0</v>
      </c>
      <c r="Q2806" s="5" t="e">
        <f>IF(AND(#REF!&gt;=table!$C$6,#REF!&lt;= table!$D$6),-1,IF(AND(#REF!&gt;=table!$E$6,#REF!&lt;=table!$F$6),1,0))</f>
        <v>#REF!</v>
      </c>
      <c r="R2806" s="5" t="e">
        <f>IF(AND(#REF!&gt;=table!$C$7,#REF!&lt;= table!$D$7),-1,IF(AND(#REF!&gt;=table!$E$7,#REF!&lt;=table!$F$7),1,0))</f>
        <v>#REF!</v>
      </c>
      <c r="S2806" s="5" t="e">
        <f>IF(AND(#REF!&gt;=table!$C$8,#REF!&lt;= table!$D$8),-1,IF(AND(#REF!&gt;=table!$E$8,#REF!&lt;=table!$F$8),1,0))</f>
        <v>#REF!</v>
      </c>
      <c r="T2806" s="5"/>
      <c r="U2806" s="5" t="e">
        <f>IF(AND(#REF!&gt;=table!$C$10,#REF!&lt;= table!$D$10),-1,IF(AND(#REF!&gt;=table!$E$10,#REF!&lt;=table!$F$10),1,0))</f>
        <v>#REF!</v>
      </c>
      <c r="V2806" s="5" t="e">
        <f>IF(AND(#REF!&gt;=table!$C$11,#REF!&lt;= table!$D$11),-1,IF(AND(#REF!&gt;=table!$E$11,#REF!&lt;=table!$F$11),1,0))</f>
        <v>#REF!</v>
      </c>
      <c r="W2806" s="5" t="e">
        <f>CONCATENATE(dados[[#This Row],[fator1]],dados[[#This Row],[fator5]],dados[[#This Row],[fator6]])</f>
        <v>#REF!</v>
      </c>
    </row>
    <row r="2807" spans="1:23">
      <c r="A2807" t="s">
        <v>17</v>
      </c>
      <c r="B2807">
        <v>585102</v>
      </c>
      <c r="C2807">
        <v>45</v>
      </c>
      <c r="D2807">
        <v>30</v>
      </c>
      <c r="E2807">
        <v>126</v>
      </c>
      <c r="F2807">
        <v>9</v>
      </c>
      <c r="G2807">
        <v>23</v>
      </c>
      <c r="H2807">
        <v>22</v>
      </c>
      <c r="I2807">
        <v>199</v>
      </c>
      <c r="J2807">
        <v>0</v>
      </c>
      <c r="K2807">
        <v>11.98</v>
      </c>
      <c r="L2807">
        <v>20.5</v>
      </c>
      <c r="M2807">
        <v>106.45</v>
      </c>
      <c r="N2807">
        <v>15.9</v>
      </c>
      <c r="O2807">
        <v>1695</v>
      </c>
      <c r="P2807">
        <v>191</v>
      </c>
      <c r="Q2807" s="5" t="e">
        <f>IF(AND(#REF!&gt;=table!$C$6,#REF!&lt;= table!$D$6),-1,IF(AND(#REF!&gt;=table!$E$6,#REF!&lt;=table!$F$6),1,0))</f>
        <v>#REF!</v>
      </c>
      <c r="R2807" s="5" t="e">
        <f>IF(AND(#REF!&gt;=table!$C$7,#REF!&lt;= table!$D$7),-1,IF(AND(#REF!&gt;=table!$E$7,#REF!&lt;=table!$F$7),1,0))</f>
        <v>#REF!</v>
      </c>
      <c r="S2807" s="5" t="e">
        <f>IF(AND(#REF!&gt;=table!$C$8,#REF!&lt;= table!$D$8),-1,IF(AND(#REF!&gt;=table!$E$8,#REF!&lt;=table!$F$8),1,0))</f>
        <v>#REF!</v>
      </c>
      <c r="T2807" s="5"/>
      <c r="U2807" s="5" t="e">
        <f>IF(AND(#REF!&gt;=table!$C$10,#REF!&lt;= table!$D$10),-1,IF(AND(#REF!&gt;=table!$E$10,#REF!&lt;=table!$F$10),1,0))</f>
        <v>#REF!</v>
      </c>
      <c r="V2807" s="5" t="e">
        <f>IF(AND(#REF!&gt;=table!$C$11,#REF!&lt;= table!$D$11),-1,IF(AND(#REF!&gt;=table!$E$11,#REF!&lt;=table!$F$11),1,0))</f>
        <v>#REF!</v>
      </c>
      <c r="W2807" s="5" t="e">
        <f>CONCATENATE(dados[[#This Row],[fator1]],dados[[#This Row],[fator5]],dados[[#This Row],[fator6]])</f>
        <v>#REF!</v>
      </c>
    </row>
    <row r="2808" spans="1:23">
      <c r="A2808" t="s">
        <v>17</v>
      </c>
      <c r="B2808">
        <v>585103</v>
      </c>
      <c r="C2808">
        <v>45</v>
      </c>
      <c r="D2808">
        <v>30</v>
      </c>
      <c r="E2808">
        <v>126</v>
      </c>
      <c r="F2808">
        <v>9</v>
      </c>
      <c r="G2808">
        <v>23</v>
      </c>
      <c r="H2808">
        <v>22</v>
      </c>
      <c r="I2808">
        <v>680</v>
      </c>
      <c r="J2808">
        <v>0</v>
      </c>
      <c r="K2808">
        <v>7.585</v>
      </c>
      <c r="L2808">
        <v>15.97</v>
      </c>
      <c r="M2808">
        <v>123.9</v>
      </c>
      <c r="N2808">
        <v>14.8</v>
      </c>
      <c r="O2808">
        <v>1697</v>
      </c>
      <c r="P2808">
        <v>428</v>
      </c>
      <c r="Q2808" s="5" t="e">
        <f>IF(AND(#REF!&gt;=table!$C$6,#REF!&lt;= table!$D$6),-1,IF(AND(#REF!&gt;=table!$E$6,#REF!&lt;=table!$F$6),1,0))</f>
        <v>#REF!</v>
      </c>
      <c r="R2808" s="5" t="e">
        <f>IF(AND(#REF!&gt;=table!$C$7,#REF!&lt;= table!$D$7),-1,IF(AND(#REF!&gt;=table!$E$7,#REF!&lt;=table!$F$7),1,0))</f>
        <v>#REF!</v>
      </c>
      <c r="S2808" s="5" t="e">
        <f>IF(AND(#REF!&gt;=table!$C$8,#REF!&lt;= table!$D$8),-1,IF(AND(#REF!&gt;=table!$E$8,#REF!&lt;=table!$F$8),1,0))</f>
        <v>#REF!</v>
      </c>
      <c r="T2808" s="5"/>
      <c r="U2808" s="5" t="e">
        <f>IF(AND(#REF!&gt;=table!$C$10,#REF!&lt;= table!$D$10),-1,IF(AND(#REF!&gt;=table!$E$10,#REF!&lt;=table!$F$10),1,0))</f>
        <v>#REF!</v>
      </c>
      <c r="V2808" s="5" t="e">
        <f>IF(AND(#REF!&gt;=table!$C$11,#REF!&lt;= table!$D$11),-1,IF(AND(#REF!&gt;=table!$E$11,#REF!&lt;=table!$F$11),1,0))</f>
        <v>#REF!</v>
      </c>
      <c r="W2808" s="5" t="e">
        <f>CONCATENATE(dados[[#This Row],[fator1]],dados[[#This Row],[fator5]],dados[[#This Row],[fator6]])</f>
        <v>#REF!</v>
      </c>
    </row>
    <row r="2809" spans="1:23">
      <c r="A2809" t="s">
        <v>17</v>
      </c>
      <c r="B2809">
        <v>585104</v>
      </c>
      <c r="C2809">
        <v>15</v>
      </c>
      <c r="D2809">
        <v>33</v>
      </c>
      <c r="E2809">
        <v>140</v>
      </c>
      <c r="F2809">
        <v>8</v>
      </c>
      <c r="G2809">
        <v>15</v>
      </c>
      <c r="H2809">
        <v>25</v>
      </c>
      <c r="I2809">
        <v>489</v>
      </c>
      <c r="J2809">
        <v>0</v>
      </c>
      <c r="K2809">
        <v>14.475000000000001</v>
      </c>
      <c r="L2809">
        <v>19.650000000000002</v>
      </c>
      <c r="M2809">
        <v>109.7</v>
      </c>
      <c r="N2809">
        <v>14.55</v>
      </c>
      <c r="O2809">
        <v>1683</v>
      </c>
      <c r="P2809">
        <v>0</v>
      </c>
      <c r="Q2809" s="5" t="e">
        <f>IF(AND(#REF!&gt;=table!$C$6,#REF!&lt;= table!$D$6),-1,IF(AND(#REF!&gt;=table!$E$6,#REF!&lt;=table!$F$6),1,0))</f>
        <v>#REF!</v>
      </c>
      <c r="R2809" s="5" t="e">
        <f>IF(AND(#REF!&gt;=table!$C$7,#REF!&lt;= table!$D$7),-1,IF(AND(#REF!&gt;=table!$E$7,#REF!&lt;=table!$F$7),1,0))</f>
        <v>#REF!</v>
      </c>
      <c r="S2809" s="5" t="e">
        <f>IF(AND(#REF!&gt;=table!$C$8,#REF!&lt;= table!$D$8),-1,IF(AND(#REF!&gt;=table!$E$8,#REF!&lt;=table!$F$8),1,0))</f>
        <v>#REF!</v>
      </c>
      <c r="T2809" s="5"/>
      <c r="U2809" s="5" t="e">
        <f>IF(AND(#REF!&gt;=table!$C$10,#REF!&lt;= table!$D$10),-1,IF(AND(#REF!&gt;=table!$E$10,#REF!&lt;=table!$F$10),1,0))</f>
        <v>#REF!</v>
      </c>
      <c r="V2809" s="5" t="e">
        <f>IF(AND(#REF!&gt;=table!$C$11,#REF!&lt;= table!$D$11),-1,IF(AND(#REF!&gt;=table!$E$11,#REF!&lt;=table!$F$11),1,0))</f>
        <v>#REF!</v>
      </c>
      <c r="W2809" s="5" t="e">
        <f>CONCATENATE(dados[[#This Row],[fator1]],dados[[#This Row],[fator5]],dados[[#This Row],[fator6]])</f>
        <v>#REF!</v>
      </c>
    </row>
    <row r="2810" spans="1:23">
      <c r="A2810" t="s">
        <v>16</v>
      </c>
      <c r="B2810">
        <v>585106</v>
      </c>
      <c r="C2810">
        <v>9</v>
      </c>
      <c r="D2810">
        <v>35</v>
      </c>
      <c r="E2810">
        <v>36</v>
      </c>
      <c r="F2810">
        <v>9</v>
      </c>
      <c r="G2810">
        <v>0</v>
      </c>
      <c r="H2810">
        <v>25</v>
      </c>
      <c r="I2810">
        <v>0</v>
      </c>
      <c r="J2810">
        <v>0</v>
      </c>
      <c r="K2810">
        <v>2.4950000000000001</v>
      </c>
      <c r="L2810">
        <v>18.7</v>
      </c>
      <c r="M2810">
        <v>30.3</v>
      </c>
      <c r="N2810">
        <v>17.900000000000002</v>
      </c>
      <c r="O2810">
        <v>1697</v>
      </c>
      <c r="P2810">
        <v>1049</v>
      </c>
      <c r="Q2810" s="5" t="e">
        <f>IF(AND(#REF!&gt;=table!$C$6,#REF!&lt;= table!$D$6),-1,IF(AND(#REF!&gt;=table!$E$6,#REF!&lt;=table!$F$6),1,0))</f>
        <v>#REF!</v>
      </c>
      <c r="R2810" s="5" t="e">
        <f>IF(AND(#REF!&gt;=table!$C$7,#REF!&lt;= table!$D$7),-1,IF(AND(#REF!&gt;=table!$E$7,#REF!&lt;=table!$F$7),1,0))</f>
        <v>#REF!</v>
      </c>
      <c r="S2810" s="5" t="e">
        <f>IF(AND(#REF!&gt;=table!$C$8,#REF!&lt;= table!$D$8),-1,IF(AND(#REF!&gt;=table!$E$8,#REF!&lt;=table!$F$8),1,0))</f>
        <v>#REF!</v>
      </c>
      <c r="T2810" s="5"/>
      <c r="U2810" s="5" t="e">
        <f>IF(AND(#REF!&gt;=table!$C$10,#REF!&lt;= table!$D$10),-1,IF(AND(#REF!&gt;=table!$E$10,#REF!&lt;=table!$F$10),1,0))</f>
        <v>#REF!</v>
      </c>
      <c r="V2810" s="5" t="e">
        <f>IF(AND(#REF!&gt;=table!$C$11,#REF!&lt;= table!$D$11),-1,IF(AND(#REF!&gt;=table!$E$11,#REF!&lt;=table!$F$11),1,0))</f>
        <v>#REF!</v>
      </c>
      <c r="W2810" s="5" t="e">
        <f>CONCATENATE(dados[[#This Row],[fator1]],dados[[#This Row],[fator5]],dados[[#This Row],[fator6]])</f>
        <v>#REF!</v>
      </c>
    </row>
    <row r="2811" spans="1:23">
      <c r="A2811" t="s">
        <v>16</v>
      </c>
      <c r="B2811">
        <v>585107</v>
      </c>
      <c r="C2811">
        <v>9</v>
      </c>
      <c r="D2811">
        <v>35</v>
      </c>
      <c r="E2811">
        <v>36</v>
      </c>
      <c r="F2811">
        <v>9</v>
      </c>
      <c r="G2811">
        <v>0</v>
      </c>
      <c r="H2811">
        <v>25</v>
      </c>
      <c r="I2811">
        <v>1118</v>
      </c>
      <c r="J2811">
        <v>0</v>
      </c>
      <c r="K2811">
        <v>7.68</v>
      </c>
      <c r="L2811">
        <v>18.650000000000002</v>
      </c>
      <c r="M2811">
        <v>30.05</v>
      </c>
      <c r="N2811">
        <v>15.75</v>
      </c>
      <c r="O2811">
        <v>1692</v>
      </c>
      <c r="P2811">
        <v>361</v>
      </c>
      <c r="Q2811" s="5" t="e">
        <f>IF(AND(#REF!&gt;=table!$C$6,#REF!&lt;= table!$D$6),-1,IF(AND(#REF!&gt;=table!$E$6,#REF!&lt;=table!$F$6),1,0))</f>
        <v>#REF!</v>
      </c>
      <c r="R2811" s="5" t="e">
        <f>IF(AND(#REF!&gt;=table!$C$7,#REF!&lt;= table!$D$7),-1,IF(AND(#REF!&gt;=table!$E$7,#REF!&lt;=table!$F$7),1,0))</f>
        <v>#REF!</v>
      </c>
      <c r="S2811" s="5" t="e">
        <f>IF(AND(#REF!&gt;=table!$C$8,#REF!&lt;= table!$D$8),-1,IF(AND(#REF!&gt;=table!$E$8,#REF!&lt;=table!$F$8),1,0))</f>
        <v>#REF!</v>
      </c>
      <c r="T2811" s="5"/>
      <c r="U2811" s="5" t="e">
        <f>IF(AND(#REF!&gt;=table!$C$10,#REF!&lt;= table!$D$10),-1,IF(AND(#REF!&gt;=table!$E$10,#REF!&lt;=table!$F$10),1,0))</f>
        <v>#REF!</v>
      </c>
      <c r="V2811" s="5" t="e">
        <f>IF(AND(#REF!&gt;=table!$C$11,#REF!&lt;= table!$D$11),-1,IF(AND(#REF!&gt;=table!$E$11,#REF!&lt;=table!$F$11),1,0))</f>
        <v>#REF!</v>
      </c>
      <c r="W2811" s="5" t="e">
        <f>CONCATENATE(dados[[#This Row],[fator1]],dados[[#This Row],[fator5]],dados[[#This Row],[fator6]])</f>
        <v>#REF!</v>
      </c>
    </row>
    <row r="2812" spans="1:23">
      <c r="A2812" t="s">
        <v>16</v>
      </c>
      <c r="B2812">
        <v>585109</v>
      </c>
      <c r="C2812">
        <v>9</v>
      </c>
      <c r="D2812">
        <v>35</v>
      </c>
      <c r="E2812">
        <v>36</v>
      </c>
      <c r="F2812">
        <v>9</v>
      </c>
      <c r="G2812">
        <v>0</v>
      </c>
      <c r="H2812">
        <v>25</v>
      </c>
      <c r="I2812">
        <v>440</v>
      </c>
      <c r="J2812">
        <v>0</v>
      </c>
      <c r="K2812">
        <v>7.95</v>
      </c>
      <c r="L2812">
        <v>16.149999999999999</v>
      </c>
      <c r="M2812">
        <v>32.5</v>
      </c>
      <c r="N2812">
        <v>12.05</v>
      </c>
      <c r="O2812">
        <v>1676</v>
      </c>
      <c r="P2812">
        <v>303</v>
      </c>
      <c r="Q2812" s="5" t="e">
        <f>IF(AND(#REF!&gt;=table!$C$6,#REF!&lt;= table!$D$6),-1,IF(AND(#REF!&gt;=table!$E$6,#REF!&lt;=table!$F$6),1,0))</f>
        <v>#REF!</v>
      </c>
      <c r="R2812" s="5" t="e">
        <f>IF(AND(#REF!&gt;=table!$C$7,#REF!&lt;= table!$D$7),-1,IF(AND(#REF!&gt;=table!$E$7,#REF!&lt;=table!$F$7),1,0))</f>
        <v>#REF!</v>
      </c>
      <c r="S2812" s="5" t="e">
        <f>IF(AND(#REF!&gt;=table!$C$8,#REF!&lt;= table!$D$8),-1,IF(AND(#REF!&gt;=table!$E$8,#REF!&lt;=table!$F$8),1,0))</f>
        <v>#REF!</v>
      </c>
      <c r="T2812" s="5"/>
      <c r="U2812" s="5" t="e">
        <f>IF(AND(#REF!&gt;=table!$C$10,#REF!&lt;= table!$D$10),-1,IF(AND(#REF!&gt;=table!$E$10,#REF!&lt;=table!$F$10),1,0))</f>
        <v>#REF!</v>
      </c>
      <c r="V2812" s="5" t="e">
        <f>IF(AND(#REF!&gt;=table!$C$11,#REF!&lt;= table!$D$11),-1,IF(AND(#REF!&gt;=table!$E$11,#REF!&lt;=table!$F$11),1,0))</f>
        <v>#REF!</v>
      </c>
      <c r="W2812" s="5" t="e">
        <f>CONCATENATE(dados[[#This Row],[fator1]],dados[[#This Row],[fator5]],dados[[#This Row],[fator6]])</f>
        <v>#REF!</v>
      </c>
    </row>
    <row r="2813" spans="1:23">
      <c r="A2813" t="s">
        <v>16</v>
      </c>
      <c r="B2813">
        <v>585110</v>
      </c>
      <c r="C2813">
        <v>9</v>
      </c>
      <c r="D2813">
        <v>40</v>
      </c>
      <c r="E2813">
        <v>46</v>
      </c>
      <c r="F2813">
        <v>15</v>
      </c>
      <c r="G2813">
        <v>0</v>
      </c>
      <c r="H2813">
        <v>25</v>
      </c>
      <c r="I2813">
        <v>5</v>
      </c>
      <c r="J2813">
        <v>0</v>
      </c>
      <c r="K2813">
        <v>12.05</v>
      </c>
      <c r="L2813">
        <v>18.7</v>
      </c>
      <c r="M2813">
        <v>33.049999999999997</v>
      </c>
      <c r="N2813">
        <v>12.85</v>
      </c>
      <c r="O2813">
        <v>1684</v>
      </c>
      <c r="P2813">
        <v>328</v>
      </c>
      <c r="Q2813" s="5" t="e">
        <f>IF(AND(#REF!&gt;=table!$C$6,#REF!&lt;= table!$D$6),-1,IF(AND(#REF!&gt;=table!$E$6,#REF!&lt;=table!$F$6),1,0))</f>
        <v>#REF!</v>
      </c>
      <c r="R2813" s="5" t="e">
        <f>IF(AND(#REF!&gt;=table!$C$7,#REF!&lt;= table!$D$7),-1,IF(AND(#REF!&gt;=table!$E$7,#REF!&lt;=table!$F$7),1,0))</f>
        <v>#REF!</v>
      </c>
      <c r="S2813" s="5" t="e">
        <f>IF(AND(#REF!&gt;=table!$C$8,#REF!&lt;= table!$D$8),-1,IF(AND(#REF!&gt;=table!$E$8,#REF!&lt;=table!$F$8),1,0))</f>
        <v>#REF!</v>
      </c>
      <c r="T2813" s="5"/>
      <c r="U2813" s="5" t="e">
        <f>IF(AND(#REF!&gt;=table!$C$10,#REF!&lt;= table!$D$10),-1,IF(AND(#REF!&gt;=table!$E$10,#REF!&lt;=table!$F$10),1,0))</f>
        <v>#REF!</v>
      </c>
      <c r="V2813" s="5" t="e">
        <f>IF(AND(#REF!&gt;=table!$C$11,#REF!&lt;= table!$D$11),-1,IF(AND(#REF!&gt;=table!$E$11,#REF!&lt;=table!$F$11),1,0))</f>
        <v>#REF!</v>
      </c>
      <c r="W2813" s="5" t="e">
        <f>CONCATENATE(dados[[#This Row],[fator1]],dados[[#This Row],[fator5]],dados[[#This Row],[fator6]])</f>
        <v>#REF!</v>
      </c>
    </row>
    <row r="2814" spans="1:23">
      <c r="A2814" t="s">
        <v>16</v>
      </c>
      <c r="B2814">
        <v>585112</v>
      </c>
      <c r="C2814">
        <v>9</v>
      </c>
      <c r="D2814">
        <v>40</v>
      </c>
      <c r="E2814">
        <v>46</v>
      </c>
      <c r="F2814">
        <v>15</v>
      </c>
      <c r="G2814">
        <v>0</v>
      </c>
      <c r="H2814">
        <v>25</v>
      </c>
      <c r="I2814">
        <v>432</v>
      </c>
      <c r="J2814">
        <v>0</v>
      </c>
      <c r="K2814">
        <v>6.72</v>
      </c>
      <c r="L2814">
        <v>18.675000000000001</v>
      </c>
      <c r="M2814">
        <v>40.980000000000004</v>
      </c>
      <c r="N2814">
        <v>20.695</v>
      </c>
      <c r="O2814">
        <v>1723</v>
      </c>
      <c r="P2814">
        <v>564</v>
      </c>
      <c r="Q2814" s="5" t="e">
        <f>IF(AND(#REF!&gt;=table!$C$6,#REF!&lt;= table!$D$6),-1,IF(AND(#REF!&gt;=table!$E$6,#REF!&lt;=table!$F$6),1,0))</f>
        <v>#REF!</v>
      </c>
      <c r="R2814" s="5" t="e">
        <f>IF(AND(#REF!&gt;=table!$C$7,#REF!&lt;= table!$D$7),-1,IF(AND(#REF!&gt;=table!$E$7,#REF!&lt;=table!$F$7),1,0))</f>
        <v>#REF!</v>
      </c>
      <c r="S2814" s="5" t="e">
        <f>IF(AND(#REF!&gt;=table!$C$8,#REF!&lt;= table!$D$8),-1,IF(AND(#REF!&gt;=table!$E$8,#REF!&lt;=table!$F$8),1,0))</f>
        <v>#REF!</v>
      </c>
      <c r="T2814" s="5"/>
      <c r="U2814" s="5" t="e">
        <f>IF(AND(#REF!&gt;=table!$C$10,#REF!&lt;= table!$D$10),-1,IF(AND(#REF!&gt;=table!$E$10,#REF!&lt;=table!$F$10),1,0))</f>
        <v>#REF!</v>
      </c>
      <c r="V2814" s="5" t="e">
        <f>IF(AND(#REF!&gt;=table!$C$11,#REF!&lt;= table!$D$11),-1,IF(AND(#REF!&gt;=table!$E$11,#REF!&lt;=table!$F$11),1,0))</f>
        <v>#REF!</v>
      </c>
      <c r="W2814" s="5" t="e">
        <f>CONCATENATE(dados[[#This Row],[fator1]],dados[[#This Row],[fator5]],dados[[#This Row],[fator6]])</f>
        <v>#REF!</v>
      </c>
    </row>
    <row r="2815" spans="1:23">
      <c r="A2815" t="s">
        <v>16</v>
      </c>
      <c r="B2815">
        <v>585113</v>
      </c>
      <c r="C2815">
        <v>9</v>
      </c>
      <c r="D2815">
        <v>40</v>
      </c>
      <c r="E2815">
        <v>46</v>
      </c>
      <c r="F2815">
        <v>15</v>
      </c>
      <c r="G2815">
        <v>0</v>
      </c>
      <c r="H2815">
        <v>25</v>
      </c>
      <c r="I2815">
        <v>431</v>
      </c>
      <c r="J2815">
        <v>0</v>
      </c>
      <c r="K2815">
        <v>13.08</v>
      </c>
      <c r="L2815">
        <v>12.5</v>
      </c>
      <c r="M2815">
        <v>29.1</v>
      </c>
      <c r="N2815">
        <v>10.15</v>
      </c>
      <c r="O2815">
        <v>1663</v>
      </c>
      <c r="P2815">
        <v>247</v>
      </c>
      <c r="Q2815" s="5" t="e">
        <f>IF(AND(#REF!&gt;=table!$C$6,#REF!&lt;= table!$D$6),-1,IF(AND(#REF!&gt;=table!$E$6,#REF!&lt;=table!$F$6),1,0))</f>
        <v>#REF!</v>
      </c>
      <c r="R2815" s="5" t="e">
        <f>IF(AND(#REF!&gt;=table!$C$7,#REF!&lt;= table!$D$7),-1,IF(AND(#REF!&gt;=table!$E$7,#REF!&lt;=table!$F$7),1,0))</f>
        <v>#REF!</v>
      </c>
      <c r="S2815" s="5" t="e">
        <f>IF(AND(#REF!&gt;=table!$C$8,#REF!&lt;= table!$D$8),-1,IF(AND(#REF!&gt;=table!$E$8,#REF!&lt;=table!$F$8),1,0))</f>
        <v>#REF!</v>
      </c>
      <c r="T2815" s="5"/>
      <c r="U2815" s="5" t="e">
        <f>IF(AND(#REF!&gt;=table!$C$10,#REF!&lt;= table!$D$10),-1,IF(AND(#REF!&gt;=table!$E$10,#REF!&lt;=table!$F$10),1,0))</f>
        <v>#REF!</v>
      </c>
      <c r="V2815" s="5" t="e">
        <f>IF(AND(#REF!&gt;=table!$C$11,#REF!&lt;= table!$D$11),-1,IF(AND(#REF!&gt;=table!$E$11,#REF!&lt;=table!$F$11),1,0))</f>
        <v>#REF!</v>
      </c>
      <c r="W2815" s="5" t="e">
        <f>CONCATENATE(dados[[#This Row],[fator1]],dados[[#This Row],[fator5]],dados[[#This Row],[fator6]])</f>
        <v>#REF!</v>
      </c>
    </row>
    <row r="2816" spans="1:23">
      <c r="A2816" t="s">
        <v>16</v>
      </c>
      <c r="B2816">
        <v>585114</v>
      </c>
      <c r="C2816">
        <v>9</v>
      </c>
      <c r="D2816">
        <v>40</v>
      </c>
      <c r="E2816">
        <v>46</v>
      </c>
      <c r="F2816">
        <v>15</v>
      </c>
      <c r="G2816">
        <v>0</v>
      </c>
      <c r="H2816">
        <v>25</v>
      </c>
      <c r="I2816">
        <v>709</v>
      </c>
      <c r="J2816">
        <v>0</v>
      </c>
      <c r="K2816">
        <v>8.4250000000000007</v>
      </c>
      <c r="L2816">
        <v>19.400000000000002</v>
      </c>
      <c r="M2816">
        <v>30.95</v>
      </c>
      <c r="N2816">
        <v>15.05</v>
      </c>
      <c r="O2816">
        <v>1690</v>
      </c>
      <c r="P2816">
        <v>429</v>
      </c>
      <c r="Q2816" s="5" t="e">
        <f>IF(AND(#REF!&gt;=table!$C$6,#REF!&lt;= table!$D$6),-1,IF(AND(#REF!&gt;=table!$E$6,#REF!&lt;=table!$F$6),1,0))</f>
        <v>#REF!</v>
      </c>
      <c r="R2816" s="5" t="e">
        <f>IF(AND(#REF!&gt;=table!$C$7,#REF!&lt;= table!$D$7),-1,IF(AND(#REF!&gt;=table!$E$7,#REF!&lt;=table!$F$7),1,0))</f>
        <v>#REF!</v>
      </c>
      <c r="S2816" s="5" t="e">
        <f>IF(AND(#REF!&gt;=table!$C$8,#REF!&lt;= table!$D$8),-1,IF(AND(#REF!&gt;=table!$E$8,#REF!&lt;=table!$F$8),1,0))</f>
        <v>#REF!</v>
      </c>
      <c r="T2816" s="5"/>
      <c r="U2816" s="5" t="e">
        <f>IF(AND(#REF!&gt;=table!$C$10,#REF!&lt;= table!$D$10),-1,IF(AND(#REF!&gt;=table!$E$10,#REF!&lt;=table!$F$10),1,0))</f>
        <v>#REF!</v>
      </c>
      <c r="V2816" s="5" t="e">
        <f>IF(AND(#REF!&gt;=table!$C$11,#REF!&lt;= table!$D$11),-1,IF(AND(#REF!&gt;=table!$E$11,#REF!&lt;=table!$F$11),1,0))</f>
        <v>#REF!</v>
      </c>
      <c r="W2816" s="5" t="e">
        <f>CONCATENATE(dados[[#This Row],[fator1]],dados[[#This Row],[fator5]],dados[[#This Row],[fator6]])</f>
        <v>#REF!</v>
      </c>
    </row>
    <row r="2817" spans="1:23">
      <c r="A2817" t="s">
        <v>16</v>
      </c>
      <c r="B2817">
        <v>585116</v>
      </c>
      <c r="C2817">
        <v>0.15</v>
      </c>
      <c r="D2817">
        <v>40</v>
      </c>
      <c r="E2817">
        <v>10</v>
      </c>
      <c r="F2817">
        <v>15</v>
      </c>
      <c r="G2817">
        <v>0</v>
      </c>
      <c r="H2817">
        <v>15</v>
      </c>
      <c r="I2817">
        <v>446</v>
      </c>
      <c r="J2817">
        <v>880</v>
      </c>
      <c r="K2817">
        <v>2.7605</v>
      </c>
      <c r="L2817">
        <v>12.89</v>
      </c>
      <c r="M2817">
        <v>8.1550000000000011</v>
      </c>
      <c r="N2817">
        <v>13.785</v>
      </c>
      <c r="O2817">
        <v>1682</v>
      </c>
      <c r="P2817">
        <v>0</v>
      </c>
      <c r="Q2817" s="5" t="e">
        <f>IF(AND(#REF!&gt;=table!$C$6,#REF!&lt;= table!$D$6),-1,IF(AND(#REF!&gt;=table!$E$6,#REF!&lt;=table!$F$6),1,0))</f>
        <v>#REF!</v>
      </c>
      <c r="R2817" s="5" t="e">
        <f>IF(AND(#REF!&gt;=table!$C$7,#REF!&lt;= table!$D$7),-1,IF(AND(#REF!&gt;=table!$E$7,#REF!&lt;=table!$F$7),1,0))</f>
        <v>#REF!</v>
      </c>
      <c r="S2817" s="5" t="e">
        <f>IF(AND(#REF!&gt;=table!$C$8,#REF!&lt;= table!$D$8),-1,IF(AND(#REF!&gt;=table!$E$8,#REF!&lt;=table!$F$8),1,0))</f>
        <v>#REF!</v>
      </c>
      <c r="T2817" s="5"/>
      <c r="U2817" s="5" t="e">
        <f>IF(AND(#REF!&gt;=table!$C$10,#REF!&lt;= table!$D$10),-1,IF(AND(#REF!&gt;=table!$E$10,#REF!&lt;=table!$F$10),1,0))</f>
        <v>#REF!</v>
      </c>
      <c r="V2817" s="5" t="e">
        <f>IF(AND(#REF!&gt;=table!$C$11,#REF!&lt;= table!$D$11),-1,IF(AND(#REF!&gt;=table!$E$11,#REF!&lt;=table!$F$11),1,0))</f>
        <v>#REF!</v>
      </c>
      <c r="W2817" s="5" t="e">
        <f>CONCATENATE(dados[[#This Row],[fator1]],dados[[#This Row],[fator5]],dados[[#This Row],[fator6]])</f>
        <v>#REF!</v>
      </c>
    </row>
    <row r="2818" spans="1:23">
      <c r="A2818" t="s">
        <v>16</v>
      </c>
      <c r="B2818">
        <v>585122</v>
      </c>
      <c r="C2818">
        <v>0.15</v>
      </c>
      <c r="D2818">
        <v>40</v>
      </c>
      <c r="E2818">
        <v>10</v>
      </c>
      <c r="F2818">
        <v>15</v>
      </c>
      <c r="G2818">
        <v>0</v>
      </c>
      <c r="H2818">
        <v>15</v>
      </c>
      <c r="I2818">
        <v>117</v>
      </c>
      <c r="J2818">
        <v>0</v>
      </c>
      <c r="K2818">
        <v>3.17</v>
      </c>
      <c r="L2818">
        <v>15.6</v>
      </c>
      <c r="M2818">
        <v>12.67</v>
      </c>
      <c r="N2818">
        <v>15.16</v>
      </c>
      <c r="O2818">
        <v>1714</v>
      </c>
      <c r="P2818">
        <v>0</v>
      </c>
      <c r="Q2818" s="5" t="e">
        <f>IF(AND(#REF!&gt;=table!$C$6,#REF!&lt;= table!$D$6),-1,IF(AND(#REF!&gt;=table!$E$6,#REF!&lt;=table!$F$6),1,0))</f>
        <v>#REF!</v>
      </c>
      <c r="R2818" s="5" t="e">
        <f>IF(AND(#REF!&gt;=table!$C$7,#REF!&lt;= table!$D$7),-1,IF(AND(#REF!&gt;=table!$E$7,#REF!&lt;=table!$F$7),1,0))</f>
        <v>#REF!</v>
      </c>
      <c r="S2818" s="5" t="e">
        <f>IF(AND(#REF!&gt;=table!$C$8,#REF!&lt;= table!$D$8),-1,IF(AND(#REF!&gt;=table!$E$8,#REF!&lt;=table!$F$8),1,0))</f>
        <v>#REF!</v>
      </c>
      <c r="T2818" s="5"/>
      <c r="U2818" s="5" t="e">
        <f>IF(AND(#REF!&gt;=table!$C$10,#REF!&lt;= table!$D$10),-1,IF(AND(#REF!&gt;=table!$E$10,#REF!&lt;=table!$F$10),1,0))</f>
        <v>#REF!</v>
      </c>
      <c r="V2818" s="5" t="e">
        <f>IF(AND(#REF!&gt;=table!$C$11,#REF!&lt;= table!$D$11),-1,IF(AND(#REF!&gt;=table!$E$11,#REF!&lt;=table!$F$11),1,0))</f>
        <v>#REF!</v>
      </c>
      <c r="W2818" s="5" t="e">
        <f>CONCATENATE(dados[[#This Row],[fator1]],dados[[#This Row],[fator5]],dados[[#This Row],[fator6]])</f>
        <v>#REF!</v>
      </c>
    </row>
    <row r="2819" spans="1:23">
      <c r="A2819" t="s">
        <v>16</v>
      </c>
      <c r="B2819">
        <v>585131</v>
      </c>
      <c r="C2819">
        <v>0.23</v>
      </c>
      <c r="D2819">
        <v>65</v>
      </c>
      <c r="E2819">
        <v>26</v>
      </c>
      <c r="F2819">
        <v>15</v>
      </c>
      <c r="G2819">
        <v>0</v>
      </c>
      <c r="H2819">
        <v>35</v>
      </c>
      <c r="I2819">
        <v>696</v>
      </c>
      <c r="J2819">
        <v>0</v>
      </c>
      <c r="K2819">
        <v>4.5</v>
      </c>
      <c r="L2819">
        <v>14.700000000000001</v>
      </c>
      <c r="M2819">
        <v>12.6</v>
      </c>
      <c r="N2819">
        <v>15.200000000000001</v>
      </c>
      <c r="O2819">
        <v>1690</v>
      </c>
      <c r="P2819">
        <v>825</v>
      </c>
      <c r="Q2819" s="5" t="e">
        <f>IF(AND(#REF!&gt;=table!$C$6,#REF!&lt;= table!$D$6),-1,IF(AND(#REF!&gt;=table!$E$6,#REF!&lt;=table!$F$6),1,0))</f>
        <v>#REF!</v>
      </c>
      <c r="R2819" s="5" t="e">
        <f>IF(AND(#REF!&gt;=table!$C$7,#REF!&lt;= table!$D$7),-1,IF(AND(#REF!&gt;=table!$E$7,#REF!&lt;=table!$F$7),1,0))</f>
        <v>#REF!</v>
      </c>
      <c r="S2819" s="5" t="e">
        <f>IF(AND(#REF!&gt;=table!$C$8,#REF!&lt;= table!$D$8),-1,IF(AND(#REF!&gt;=table!$E$8,#REF!&lt;=table!$F$8),1,0))</f>
        <v>#REF!</v>
      </c>
      <c r="T2819" s="5"/>
      <c r="U2819" s="5" t="e">
        <f>IF(AND(#REF!&gt;=table!$C$10,#REF!&lt;= table!$D$10),-1,IF(AND(#REF!&gt;=table!$E$10,#REF!&lt;=table!$F$10),1,0))</f>
        <v>#REF!</v>
      </c>
      <c r="V2819" s="5" t="e">
        <f>IF(AND(#REF!&gt;=table!$C$11,#REF!&lt;= table!$D$11),-1,IF(AND(#REF!&gt;=table!$E$11,#REF!&lt;=table!$F$11),1,0))</f>
        <v>#REF!</v>
      </c>
      <c r="W2819" s="5" t="e">
        <f>CONCATENATE(dados[[#This Row],[fator1]],dados[[#This Row],[fator5]],dados[[#This Row],[fator6]])</f>
        <v>#REF!</v>
      </c>
    </row>
    <row r="2820" spans="1:23">
      <c r="A2820" t="s">
        <v>16</v>
      </c>
      <c r="B2820">
        <v>585132</v>
      </c>
      <c r="C2820">
        <v>0.2</v>
      </c>
      <c r="D2820">
        <v>65</v>
      </c>
      <c r="E2820">
        <v>26</v>
      </c>
      <c r="F2820">
        <v>15</v>
      </c>
      <c r="G2820">
        <v>0</v>
      </c>
      <c r="H2820">
        <v>30</v>
      </c>
      <c r="I2820">
        <v>530</v>
      </c>
      <c r="J2820">
        <v>0</v>
      </c>
      <c r="K2820">
        <v>2.645</v>
      </c>
      <c r="L2820">
        <v>9.8000000000000007</v>
      </c>
      <c r="M2820">
        <v>8.5</v>
      </c>
      <c r="N2820">
        <v>10.75</v>
      </c>
      <c r="O2820">
        <v>1678</v>
      </c>
      <c r="P2820">
        <v>833</v>
      </c>
      <c r="Q2820" s="5" t="e">
        <f>IF(AND(#REF!&gt;=table!$C$6,#REF!&lt;= table!$D$6),-1,IF(AND(#REF!&gt;=table!$E$6,#REF!&lt;=table!$F$6),1,0))</f>
        <v>#REF!</v>
      </c>
      <c r="R2820" s="5" t="e">
        <f>IF(AND(#REF!&gt;=table!$C$7,#REF!&lt;= table!$D$7),-1,IF(AND(#REF!&gt;=table!$E$7,#REF!&lt;=table!$F$7),1,0))</f>
        <v>#REF!</v>
      </c>
      <c r="S2820" s="5" t="e">
        <f>IF(AND(#REF!&gt;=table!$C$8,#REF!&lt;= table!$D$8),-1,IF(AND(#REF!&gt;=table!$E$8,#REF!&lt;=table!$F$8),1,0))</f>
        <v>#REF!</v>
      </c>
      <c r="T2820" s="5"/>
      <c r="U2820" s="5" t="e">
        <f>IF(AND(#REF!&gt;=table!$C$10,#REF!&lt;= table!$D$10),-1,IF(AND(#REF!&gt;=table!$E$10,#REF!&lt;=table!$F$10),1,0))</f>
        <v>#REF!</v>
      </c>
      <c r="V2820" s="5" t="e">
        <f>IF(AND(#REF!&gt;=table!$C$11,#REF!&lt;= table!$D$11),-1,IF(AND(#REF!&gt;=table!$E$11,#REF!&lt;=table!$F$11),1,0))</f>
        <v>#REF!</v>
      </c>
      <c r="W2820" s="5" t="e">
        <f>CONCATENATE(dados[[#This Row],[fator1]],dados[[#This Row],[fator5]],dados[[#This Row],[fator6]])</f>
        <v>#REF!</v>
      </c>
    </row>
    <row r="2821" spans="1:23">
      <c r="A2821" t="s">
        <v>16</v>
      </c>
      <c r="B2821">
        <v>585133</v>
      </c>
      <c r="C2821">
        <v>8</v>
      </c>
      <c r="D2821">
        <v>27</v>
      </c>
      <c r="E2821">
        <v>86</v>
      </c>
      <c r="F2821">
        <v>8</v>
      </c>
      <c r="G2821">
        <v>0</v>
      </c>
      <c r="H2821">
        <v>22</v>
      </c>
      <c r="I2821">
        <v>0</v>
      </c>
      <c r="J2821">
        <v>0</v>
      </c>
      <c r="K2821">
        <v>3.37</v>
      </c>
      <c r="L2821">
        <v>14.950000000000001</v>
      </c>
      <c r="M2821">
        <v>71</v>
      </c>
      <c r="N2821">
        <v>17.3</v>
      </c>
      <c r="O2821">
        <v>1698</v>
      </c>
      <c r="P2821">
        <v>0</v>
      </c>
      <c r="Q2821" s="5" t="e">
        <f>IF(AND(#REF!&gt;=table!$C$6,#REF!&lt;= table!$D$6),-1,IF(AND(#REF!&gt;=table!$E$6,#REF!&lt;=table!$F$6),1,0))</f>
        <v>#REF!</v>
      </c>
      <c r="R2821" s="5" t="e">
        <f>IF(AND(#REF!&gt;=table!$C$7,#REF!&lt;= table!$D$7),-1,IF(AND(#REF!&gt;=table!$E$7,#REF!&lt;=table!$F$7),1,0))</f>
        <v>#REF!</v>
      </c>
      <c r="S2821" s="5" t="e">
        <f>IF(AND(#REF!&gt;=table!$C$8,#REF!&lt;= table!$D$8),-1,IF(AND(#REF!&gt;=table!$E$8,#REF!&lt;=table!$F$8),1,0))</f>
        <v>#REF!</v>
      </c>
      <c r="T2821" s="5"/>
      <c r="U2821" s="5" t="e">
        <f>IF(AND(#REF!&gt;=table!$C$10,#REF!&lt;= table!$D$10),-1,IF(AND(#REF!&gt;=table!$E$10,#REF!&lt;=table!$F$10),1,0))</f>
        <v>#REF!</v>
      </c>
      <c r="V2821" s="5" t="e">
        <f>IF(AND(#REF!&gt;=table!$C$11,#REF!&lt;= table!$D$11),-1,IF(AND(#REF!&gt;=table!$E$11,#REF!&lt;=table!$F$11),1,0))</f>
        <v>#REF!</v>
      </c>
      <c r="W2821" s="5" t="e">
        <f>CONCATENATE(dados[[#This Row],[fator1]],dados[[#This Row],[fator5]],dados[[#This Row],[fator6]])</f>
        <v>#REF!</v>
      </c>
    </row>
    <row r="2822" spans="1:23">
      <c r="A2822" t="s">
        <v>16</v>
      </c>
      <c r="B2822">
        <v>585134</v>
      </c>
      <c r="C2822">
        <v>8</v>
      </c>
      <c r="D2822">
        <v>27</v>
      </c>
      <c r="E2822">
        <v>86</v>
      </c>
      <c r="F2822">
        <v>8</v>
      </c>
      <c r="G2822">
        <v>0</v>
      </c>
      <c r="H2822">
        <v>22</v>
      </c>
      <c r="I2822">
        <v>533</v>
      </c>
      <c r="J2822">
        <v>0</v>
      </c>
      <c r="K2822">
        <v>5.01</v>
      </c>
      <c r="L2822">
        <v>16.600000000000001</v>
      </c>
      <c r="M2822">
        <v>85.2</v>
      </c>
      <c r="N2822">
        <v>15.35</v>
      </c>
      <c r="O2822">
        <v>1678</v>
      </c>
      <c r="P2822">
        <v>635</v>
      </c>
      <c r="Q2822" s="5" t="e">
        <f>IF(AND(#REF!&gt;=table!$C$6,#REF!&lt;= table!$D$6),-1,IF(AND(#REF!&gt;=table!$E$6,#REF!&lt;=table!$F$6),1,0))</f>
        <v>#REF!</v>
      </c>
      <c r="R2822" s="5" t="e">
        <f>IF(AND(#REF!&gt;=table!$C$7,#REF!&lt;= table!$D$7),-1,IF(AND(#REF!&gt;=table!$E$7,#REF!&lt;=table!$F$7),1,0))</f>
        <v>#REF!</v>
      </c>
      <c r="S2822" s="5" t="e">
        <f>IF(AND(#REF!&gt;=table!$C$8,#REF!&lt;= table!$D$8),-1,IF(AND(#REF!&gt;=table!$E$8,#REF!&lt;=table!$F$8),1,0))</f>
        <v>#REF!</v>
      </c>
      <c r="T2822" s="5"/>
      <c r="U2822" s="5" t="e">
        <f>IF(AND(#REF!&gt;=table!$C$10,#REF!&lt;= table!$D$10),-1,IF(AND(#REF!&gt;=table!$E$10,#REF!&lt;=table!$F$10),1,0))</f>
        <v>#REF!</v>
      </c>
      <c r="V2822" s="5" t="e">
        <f>IF(AND(#REF!&gt;=table!$C$11,#REF!&lt;= table!$D$11),-1,IF(AND(#REF!&gt;=table!$E$11,#REF!&lt;=table!$F$11),1,0))</f>
        <v>#REF!</v>
      </c>
      <c r="W2822" s="5" t="e">
        <f>CONCATENATE(dados[[#This Row],[fator1]],dados[[#This Row],[fator5]],dados[[#This Row],[fator6]])</f>
        <v>#REF!</v>
      </c>
    </row>
    <row r="2823" spans="1:23">
      <c r="A2823" t="s">
        <v>16</v>
      </c>
      <c r="B2823">
        <v>585135</v>
      </c>
      <c r="C2823">
        <v>8</v>
      </c>
      <c r="D2823">
        <v>27</v>
      </c>
      <c r="E2823">
        <v>86</v>
      </c>
      <c r="F2823">
        <v>8</v>
      </c>
      <c r="G2823">
        <v>0</v>
      </c>
      <c r="H2823">
        <v>22</v>
      </c>
      <c r="I2823">
        <v>10</v>
      </c>
      <c r="J2823">
        <v>590</v>
      </c>
      <c r="K2823">
        <v>3.24</v>
      </c>
      <c r="L2823">
        <v>14.4</v>
      </c>
      <c r="M2823">
        <v>78.11</v>
      </c>
      <c r="N2823">
        <v>13.065000000000001</v>
      </c>
      <c r="O2823">
        <v>1702</v>
      </c>
      <c r="P2823">
        <v>1049</v>
      </c>
      <c r="Q2823" s="5" t="e">
        <f>IF(AND(#REF!&gt;=table!$C$6,#REF!&lt;= table!$D$6),-1,IF(AND(#REF!&gt;=table!$E$6,#REF!&lt;=table!$F$6),1,0))</f>
        <v>#REF!</v>
      </c>
      <c r="R2823" s="5" t="e">
        <f>IF(AND(#REF!&gt;=table!$C$7,#REF!&lt;= table!$D$7),-1,IF(AND(#REF!&gt;=table!$E$7,#REF!&lt;=table!$F$7),1,0))</f>
        <v>#REF!</v>
      </c>
      <c r="S2823" s="5" t="e">
        <f>IF(AND(#REF!&gt;=table!$C$8,#REF!&lt;= table!$D$8),-1,IF(AND(#REF!&gt;=table!$E$8,#REF!&lt;=table!$F$8),1,0))</f>
        <v>#REF!</v>
      </c>
      <c r="T2823" s="5"/>
      <c r="U2823" s="5" t="e">
        <f>IF(AND(#REF!&gt;=table!$C$10,#REF!&lt;= table!$D$10),-1,IF(AND(#REF!&gt;=table!$E$10,#REF!&lt;=table!$F$10),1,0))</f>
        <v>#REF!</v>
      </c>
      <c r="V2823" s="5" t="e">
        <f>IF(AND(#REF!&gt;=table!$C$11,#REF!&lt;= table!$D$11),-1,IF(AND(#REF!&gt;=table!$E$11,#REF!&lt;=table!$F$11),1,0))</f>
        <v>#REF!</v>
      </c>
      <c r="W2823" s="5" t="e">
        <f>CONCATENATE(dados[[#This Row],[fator1]],dados[[#This Row],[fator5]],dados[[#This Row],[fator6]])</f>
        <v>#REF!</v>
      </c>
    </row>
    <row r="2824" spans="1:23">
      <c r="A2824" t="s">
        <v>16</v>
      </c>
      <c r="B2824">
        <v>585136</v>
      </c>
      <c r="C2824">
        <v>8</v>
      </c>
      <c r="D2824">
        <v>40</v>
      </c>
      <c r="E2824">
        <v>86</v>
      </c>
      <c r="F2824">
        <v>6</v>
      </c>
      <c r="G2824">
        <v>0</v>
      </c>
      <c r="H2824">
        <v>20</v>
      </c>
      <c r="I2824">
        <v>811</v>
      </c>
      <c r="J2824">
        <v>0</v>
      </c>
      <c r="K2824">
        <v>3.97</v>
      </c>
      <c r="L2824">
        <v>16</v>
      </c>
      <c r="M2824">
        <v>61.5</v>
      </c>
      <c r="N2824">
        <v>13.65</v>
      </c>
      <c r="O2824">
        <v>1685</v>
      </c>
      <c r="P2824">
        <v>818</v>
      </c>
      <c r="Q2824" s="5" t="e">
        <f>IF(AND(#REF!&gt;=table!$C$6,#REF!&lt;= table!$D$6),-1,IF(AND(#REF!&gt;=table!$E$6,#REF!&lt;=table!$F$6),1,0))</f>
        <v>#REF!</v>
      </c>
      <c r="R2824" s="5" t="e">
        <f>IF(AND(#REF!&gt;=table!$C$7,#REF!&lt;= table!$D$7),-1,IF(AND(#REF!&gt;=table!$E$7,#REF!&lt;=table!$F$7),1,0))</f>
        <v>#REF!</v>
      </c>
      <c r="S2824" s="5" t="e">
        <f>IF(AND(#REF!&gt;=table!$C$8,#REF!&lt;= table!$D$8),-1,IF(AND(#REF!&gt;=table!$E$8,#REF!&lt;=table!$F$8),1,0))</f>
        <v>#REF!</v>
      </c>
      <c r="T2824" s="5"/>
      <c r="U2824" s="5" t="e">
        <f>IF(AND(#REF!&gt;=table!$C$10,#REF!&lt;= table!$D$10),-1,IF(AND(#REF!&gt;=table!$E$10,#REF!&lt;=table!$F$10),1,0))</f>
        <v>#REF!</v>
      </c>
      <c r="V2824" s="5" t="e">
        <f>IF(AND(#REF!&gt;=table!$C$11,#REF!&lt;= table!$D$11),-1,IF(AND(#REF!&gt;=table!$E$11,#REF!&lt;=table!$F$11),1,0))</f>
        <v>#REF!</v>
      </c>
      <c r="W2824" s="5" t="e">
        <f>CONCATENATE(dados[[#This Row],[fator1]],dados[[#This Row],[fator5]],dados[[#This Row],[fator6]])</f>
        <v>#REF!</v>
      </c>
    </row>
    <row r="2825" spans="1:23">
      <c r="A2825" t="s">
        <v>16</v>
      </c>
      <c r="B2825">
        <v>585137</v>
      </c>
      <c r="C2825">
        <v>8</v>
      </c>
      <c r="D2825">
        <v>40</v>
      </c>
      <c r="E2825">
        <v>86</v>
      </c>
      <c r="F2825">
        <v>6</v>
      </c>
      <c r="G2825">
        <v>0</v>
      </c>
      <c r="H2825">
        <v>20</v>
      </c>
      <c r="I2825">
        <v>0</v>
      </c>
      <c r="J2825">
        <v>690</v>
      </c>
      <c r="K2825">
        <v>4.87</v>
      </c>
      <c r="L2825">
        <v>18.559999999999999</v>
      </c>
      <c r="M2825">
        <v>76.45</v>
      </c>
      <c r="N2825">
        <v>13.950000000000001</v>
      </c>
      <c r="O2825">
        <v>1675</v>
      </c>
      <c r="P2825">
        <v>708</v>
      </c>
      <c r="Q2825" s="5" t="e">
        <f>IF(AND(#REF!&gt;=table!$C$6,#REF!&lt;= table!$D$6),-1,IF(AND(#REF!&gt;=table!$E$6,#REF!&lt;=table!$F$6),1,0))</f>
        <v>#REF!</v>
      </c>
      <c r="R2825" s="5" t="e">
        <f>IF(AND(#REF!&gt;=table!$C$7,#REF!&lt;= table!$D$7),-1,IF(AND(#REF!&gt;=table!$E$7,#REF!&lt;=table!$F$7),1,0))</f>
        <v>#REF!</v>
      </c>
      <c r="S2825" s="5" t="e">
        <f>IF(AND(#REF!&gt;=table!$C$8,#REF!&lt;= table!$D$8),-1,IF(AND(#REF!&gt;=table!$E$8,#REF!&lt;=table!$F$8),1,0))</f>
        <v>#REF!</v>
      </c>
      <c r="T2825" s="5"/>
      <c r="U2825" s="5" t="e">
        <f>IF(AND(#REF!&gt;=table!$C$10,#REF!&lt;= table!$D$10),-1,IF(AND(#REF!&gt;=table!$E$10,#REF!&lt;=table!$F$10),1,0))</f>
        <v>#REF!</v>
      </c>
      <c r="V2825" s="5" t="e">
        <f>IF(AND(#REF!&gt;=table!$C$11,#REF!&lt;= table!$D$11),-1,IF(AND(#REF!&gt;=table!$E$11,#REF!&lt;=table!$F$11),1,0))</f>
        <v>#REF!</v>
      </c>
      <c r="W2825" s="5" t="e">
        <f>CONCATENATE(dados[[#This Row],[fator1]],dados[[#This Row],[fator5]],dados[[#This Row],[fator6]])</f>
        <v>#REF!</v>
      </c>
    </row>
    <row r="2826" spans="1:23">
      <c r="A2826" t="s">
        <v>16</v>
      </c>
      <c r="B2826">
        <v>585138</v>
      </c>
      <c r="C2826">
        <v>0.15</v>
      </c>
      <c r="D2826">
        <v>40</v>
      </c>
      <c r="E2826">
        <v>10</v>
      </c>
      <c r="F2826">
        <v>15</v>
      </c>
      <c r="G2826">
        <v>0</v>
      </c>
      <c r="H2826">
        <v>15</v>
      </c>
      <c r="I2826">
        <v>695</v>
      </c>
      <c r="J2826">
        <v>0</v>
      </c>
      <c r="K2826">
        <v>4.3050000000000006</v>
      </c>
      <c r="L2826">
        <v>7.5</v>
      </c>
      <c r="M2826">
        <v>6.6000000000000005</v>
      </c>
      <c r="N2826">
        <v>7</v>
      </c>
      <c r="O2826">
        <v>1674</v>
      </c>
      <c r="P2826">
        <v>875</v>
      </c>
      <c r="Q2826" s="5" t="e">
        <f>IF(AND(#REF!&gt;=table!$C$6,#REF!&lt;= table!$D$6),-1,IF(AND(#REF!&gt;=table!$E$6,#REF!&lt;=table!$F$6),1,0))</f>
        <v>#REF!</v>
      </c>
      <c r="R2826" s="5" t="e">
        <f>IF(AND(#REF!&gt;=table!$C$7,#REF!&lt;= table!$D$7),-1,IF(AND(#REF!&gt;=table!$E$7,#REF!&lt;=table!$F$7),1,0))</f>
        <v>#REF!</v>
      </c>
      <c r="S2826" s="5" t="e">
        <f>IF(AND(#REF!&gt;=table!$C$8,#REF!&lt;= table!$D$8),-1,IF(AND(#REF!&gt;=table!$E$8,#REF!&lt;=table!$F$8),1,0))</f>
        <v>#REF!</v>
      </c>
      <c r="T2826" s="5"/>
      <c r="U2826" s="5" t="e">
        <f>IF(AND(#REF!&gt;=table!$C$10,#REF!&lt;= table!$D$10),-1,IF(AND(#REF!&gt;=table!$E$10,#REF!&lt;=table!$F$10),1,0))</f>
        <v>#REF!</v>
      </c>
      <c r="V2826" s="5" t="e">
        <f>IF(AND(#REF!&gt;=table!$C$11,#REF!&lt;= table!$D$11),-1,IF(AND(#REF!&gt;=table!$E$11,#REF!&lt;=table!$F$11),1,0))</f>
        <v>#REF!</v>
      </c>
      <c r="W2826" s="5" t="e">
        <f>CONCATENATE(dados[[#This Row],[fator1]],dados[[#This Row],[fator5]],dados[[#This Row],[fator6]])</f>
        <v>#REF!</v>
      </c>
    </row>
    <row r="2827" spans="1:23">
      <c r="A2827" t="s">
        <v>16</v>
      </c>
      <c r="B2827">
        <v>585141</v>
      </c>
      <c r="C2827">
        <v>10</v>
      </c>
      <c r="D2827">
        <v>40</v>
      </c>
      <c r="E2827">
        <v>96</v>
      </c>
      <c r="F2827">
        <v>8</v>
      </c>
      <c r="G2827">
        <v>0</v>
      </c>
      <c r="H2827">
        <v>25</v>
      </c>
      <c r="I2827">
        <v>553</v>
      </c>
      <c r="J2827">
        <v>0</v>
      </c>
      <c r="K2827">
        <v>4.55</v>
      </c>
      <c r="L2827">
        <v>11.66</v>
      </c>
      <c r="M2827">
        <v>109.05</v>
      </c>
      <c r="N2827">
        <v>15.4</v>
      </c>
      <c r="O2827">
        <v>1650</v>
      </c>
      <c r="P2827">
        <v>781</v>
      </c>
      <c r="Q2827" s="5" t="e">
        <f>IF(AND(#REF!&gt;=table!$C$6,#REF!&lt;= table!$D$6),-1,IF(AND(#REF!&gt;=table!$E$6,#REF!&lt;=table!$F$6),1,0))</f>
        <v>#REF!</v>
      </c>
      <c r="R2827" s="5" t="e">
        <f>IF(AND(#REF!&gt;=table!$C$7,#REF!&lt;= table!$D$7),-1,IF(AND(#REF!&gt;=table!$E$7,#REF!&lt;=table!$F$7),1,0))</f>
        <v>#REF!</v>
      </c>
      <c r="S2827" s="5" t="e">
        <f>IF(AND(#REF!&gt;=table!$C$8,#REF!&lt;= table!$D$8),-1,IF(AND(#REF!&gt;=table!$E$8,#REF!&lt;=table!$F$8),1,0))</f>
        <v>#REF!</v>
      </c>
      <c r="T2827" s="5"/>
      <c r="U2827" s="5" t="e">
        <f>IF(AND(#REF!&gt;=table!$C$10,#REF!&lt;= table!$D$10),-1,IF(AND(#REF!&gt;=table!$E$10,#REF!&lt;=table!$F$10),1,0))</f>
        <v>#REF!</v>
      </c>
      <c r="V2827" s="5" t="e">
        <f>IF(AND(#REF!&gt;=table!$C$11,#REF!&lt;= table!$D$11),-1,IF(AND(#REF!&gt;=table!$E$11,#REF!&lt;=table!$F$11),1,0))</f>
        <v>#REF!</v>
      </c>
      <c r="W2827" s="5" t="e">
        <f>CONCATENATE(dados[[#This Row],[fator1]],dados[[#This Row],[fator5]],dados[[#This Row],[fator6]])</f>
        <v>#REF!</v>
      </c>
    </row>
    <row r="2828" spans="1:23">
      <c r="A2828" t="s">
        <v>16</v>
      </c>
      <c r="B2828">
        <v>585151</v>
      </c>
      <c r="C2828">
        <v>9</v>
      </c>
      <c r="D2828">
        <v>35</v>
      </c>
      <c r="E2828">
        <v>36</v>
      </c>
      <c r="F2828">
        <v>9</v>
      </c>
      <c r="G2828">
        <v>0</v>
      </c>
      <c r="H2828">
        <v>25</v>
      </c>
      <c r="I2828">
        <v>1084</v>
      </c>
      <c r="J2828">
        <v>0</v>
      </c>
      <c r="K2828">
        <v>4.665</v>
      </c>
      <c r="L2828">
        <v>14.3</v>
      </c>
      <c r="M2828">
        <v>33.305</v>
      </c>
      <c r="N2828">
        <v>13.530000000000001</v>
      </c>
      <c r="O2828">
        <v>1678</v>
      </c>
      <c r="P2828">
        <v>0</v>
      </c>
      <c r="Q2828" s="5" t="e">
        <f>IF(AND(#REF!&gt;=table!$C$6,#REF!&lt;= table!$D$6),-1,IF(AND(#REF!&gt;=table!$E$6,#REF!&lt;=table!$F$6),1,0))</f>
        <v>#REF!</v>
      </c>
      <c r="R2828" s="5" t="e">
        <f>IF(AND(#REF!&gt;=table!$C$7,#REF!&lt;= table!$D$7),-1,IF(AND(#REF!&gt;=table!$E$7,#REF!&lt;=table!$F$7),1,0))</f>
        <v>#REF!</v>
      </c>
      <c r="S2828" s="5" t="e">
        <f>IF(AND(#REF!&gt;=table!$C$8,#REF!&lt;= table!$D$8),-1,IF(AND(#REF!&gt;=table!$E$8,#REF!&lt;=table!$F$8),1,0))</f>
        <v>#REF!</v>
      </c>
      <c r="T2828" s="5"/>
      <c r="U2828" s="5" t="e">
        <f>IF(AND(#REF!&gt;=table!$C$10,#REF!&lt;= table!$D$10),-1,IF(AND(#REF!&gt;=table!$E$10,#REF!&lt;=table!$F$10),1,0))</f>
        <v>#REF!</v>
      </c>
      <c r="V2828" s="5" t="e">
        <f>IF(AND(#REF!&gt;=table!$C$11,#REF!&lt;= table!$D$11),-1,IF(AND(#REF!&gt;=table!$E$11,#REF!&lt;=table!$F$11),1,0))</f>
        <v>#REF!</v>
      </c>
      <c r="W2828" s="5" t="e">
        <f>CONCATENATE(dados[[#This Row],[fator1]],dados[[#This Row],[fator5]],dados[[#This Row],[fator6]])</f>
        <v>#REF!</v>
      </c>
    </row>
    <row r="2829" spans="1:23">
      <c r="A2829" t="s">
        <v>16</v>
      </c>
      <c r="B2829">
        <v>585153</v>
      </c>
      <c r="C2829">
        <v>6</v>
      </c>
      <c r="D2829">
        <v>25</v>
      </c>
      <c r="E2829">
        <v>120</v>
      </c>
      <c r="F2829">
        <v>4</v>
      </c>
      <c r="G2829">
        <v>0</v>
      </c>
      <c r="H2829">
        <v>55</v>
      </c>
      <c r="I2829">
        <v>1325</v>
      </c>
      <c r="J2829">
        <v>0</v>
      </c>
      <c r="K2829">
        <v>3.7050000000000001</v>
      </c>
      <c r="L2829">
        <v>13.19</v>
      </c>
      <c r="M2829">
        <v>101.3</v>
      </c>
      <c r="N2829">
        <v>41.5</v>
      </c>
      <c r="O2829">
        <v>1706</v>
      </c>
      <c r="P2829">
        <v>0</v>
      </c>
      <c r="Q2829" s="5" t="e">
        <f>IF(AND(#REF!&gt;=table!$C$6,#REF!&lt;= table!$D$6),-1,IF(AND(#REF!&gt;=table!$E$6,#REF!&lt;=table!$F$6),1,0))</f>
        <v>#REF!</v>
      </c>
      <c r="R2829" s="5" t="e">
        <f>IF(AND(#REF!&gt;=table!$C$7,#REF!&lt;= table!$D$7),-1,IF(AND(#REF!&gt;=table!$E$7,#REF!&lt;=table!$F$7),1,0))</f>
        <v>#REF!</v>
      </c>
      <c r="S2829" s="5" t="e">
        <f>IF(AND(#REF!&gt;=table!$C$8,#REF!&lt;= table!$D$8),-1,IF(AND(#REF!&gt;=table!$E$8,#REF!&lt;=table!$F$8),1,0))</f>
        <v>#REF!</v>
      </c>
      <c r="T2829" s="5"/>
      <c r="U2829" s="5" t="e">
        <f>IF(AND(#REF!&gt;=table!$C$10,#REF!&lt;= table!$D$10),-1,IF(AND(#REF!&gt;=table!$E$10,#REF!&lt;=table!$F$10),1,0))</f>
        <v>#REF!</v>
      </c>
      <c r="V2829" s="5" t="e">
        <f>IF(AND(#REF!&gt;=table!$C$11,#REF!&lt;= table!$D$11),-1,IF(AND(#REF!&gt;=table!$E$11,#REF!&lt;=table!$F$11),1,0))</f>
        <v>#REF!</v>
      </c>
      <c r="W2829" s="5" t="e">
        <f>CONCATENATE(dados[[#This Row],[fator1]],dados[[#This Row],[fator5]],dados[[#This Row],[fator6]])</f>
        <v>#REF!</v>
      </c>
    </row>
    <row r="2830" spans="1:23">
      <c r="A2830" t="s">
        <v>16</v>
      </c>
      <c r="B2830">
        <v>585154</v>
      </c>
      <c r="C2830">
        <v>6</v>
      </c>
      <c r="D2830">
        <v>25</v>
      </c>
      <c r="E2830">
        <v>120</v>
      </c>
      <c r="F2830">
        <v>4</v>
      </c>
      <c r="G2830">
        <v>0</v>
      </c>
      <c r="H2830">
        <v>55</v>
      </c>
      <c r="I2830">
        <v>759</v>
      </c>
      <c r="J2830">
        <v>0</v>
      </c>
      <c r="K2830">
        <v>2.4540000000000002</v>
      </c>
      <c r="L2830">
        <v>8.86</v>
      </c>
      <c r="M2830">
        <v>104.4</v>
      </c>
      <c r="N2830">
        <v>53.15</v>
      </c>
      <c r="O2830">
        <v>1703</v>
      </c>
      <c r="P2830">
        <v>1537</v>
      </c>
      <c r="Q2830" s="5" t="e">
        <f>IF(AND(#REF!&gt;=table!$C$6,#REF!&lt;= table!$D$6),-1,IF(AND(#REF!&gt;=table!$E$6,#REF!&lt;=table!$F$6),1,0))</f>
        <v>#REF!</v>
      </c>
      <c r="R2830" s="5" t="e">
        <f>IF(AND(#REF!&gt;=table!$C$7,#REF!&lt;= table!$D$7),-1,IF(AND(#REF!&gt;=table!$E$7,#REF!&lt;=table!$F$7),1,0))</f>
        <v>#REF!</v>
      </c>
      <c r="S2830" s="5" t="e">
        <f>IF(AND(#REF!&gt;=table!$C$8,#REF!&lt;= table!$D$8),-1,IF(AND(#REF!&gt;=table!$E$8,#REF!&lt;=table!$F$8),1,0))</f>
        <v>#REF!</v>
      </c>
      <c r="T2830" s="5"/>
      <c r="U2830" s="5" t="e">
        <f>IF(AND(#REF!&gt;=table!$C$10,#REF!&lt;= table!$D$10),-1,IF(AND(#REF!&gt;=table!$E$10,#REF!&lt;=table!$F$10),1,0))</f>
        <v>#REF!</v>
      </c>
      <c r="V2830" s="5" t="e">
        <f>IF(AND(#REF!&gt;=table!$C$11,#REF!&lt;= table!$D$11),-1,IF(AND(#REF!&gt;=table!$E$11,#REF!&lt;=table!$F$11),1,0))</f>
        <v>#REF!</v>
      </c>
      <c r="W2830" s="5" t="e">
        <f>CONCATENATE(dados[[#This Row],[fator1]],dados[[#This Row],[fator5]],dados[[#This Row],[fator6]])</f>
        <v>#REF!</v>
      </c>
    </row>
    <row r="2831" spans="1:23">
      <c r="A2831" t="s">
        <v>16</v>
      </c>
      <c r="B2831">
        <v>585158</v>
      </c>
      <c r="C2831">
        <v>12</v>
      </c>
      <c r="D2831">
        <v>27</v>
      </c>
      <c r="E2831">
        <v>40</v>
      </c>
      <c r="F2831">
        <v>8</v>
      </c>
      <c r="G2831">
        <v>0</v>
      </c>
      <c r="H2831">
        <v>25</v>
      </c>
      <c r="I2831">
        <v>351</v>
      </c>
      <c r="J2831">
        <v>0</v>
      </c>
      <c r="K2831">
        <v>11.785</v>
      </c>
      <c r="L2831">
        <v>22.95</v>
      </c>
      <c r="M2831">
        <v>35.17</v>
      </c>
      <c r="N2831">
        <v>18.505000000000003</v>
      </c>
      <c r="O2831">
        <v>1675</v>
      </c>
      <c r="P2831">
        <v>0</v>
      </c>
      <c r="Q2831" s="5" t="e">
        <f>IF(AND(#REF!&gt;=table!$C$6,#REF!&lt;= table!$D$6),-1,IF(AND(#REF!&gt;=table!$E$6,#REF!&lt;=table!$F$6),1,0))</f>
        <v>#REF!</v>
      </c>
      <c r="R2831" s="5" t="e">
        <f>IF(AND(#REF!&gt;=table!$C$7,#REF!&lt;= table!$D$7),-1,IF(AND(#REF!&gt;=table!$E$7,#REF!&lt;=table!$F$7),1,0))</f>
        <v>#REF!</v>
      </c>
      <c r="S2831" s="5" t="e">
        <f>IF(AND(#REF!&gt;=table!$C$8,#REF!&lt;= table!$D$8),-1,IF(AND(#REF!&gt;=table!$E$8,#REF!&lt;=table!$F$8),1,0))</f>
        <v>#REF!</v>
      </c>
      <c r="T2831" s="5"/>
      <c r="U2831" s="5" t="e">
        <f>IF(AND(#REF!&gt;=table!$C$10,#REF!&lt;= table!$D$10),-1,IF(AND(#REF!&gt;=table!$E$10,#REF!&lt;=table!$F$10),1,0))</f>
        <v>#REF!</v>
      </c>
      <c r="V2831" s="5" t="e">
        <f>IF(AND(#REF!&gt;=table!$C$11,#REF!&lt;= table!$D$11),-1,IF(AND(#REF!&gt;=table!$E$11,#REF!&lt;=table!$F$11),1,0))</f>
        <v>#REF!</v>
      </c>
      <c r="W2831" s="5" t="e">
        <f>CONCATENATE(dados[[#This Row],[fator1]],dados[[#This Row],[fator5]],dados[[#This Row],[fator6]])</f>
        <v>#REF!</v>
      </c>
    </row>
    <row r="2832" spans="1:23">
      <c r="A2832" t="s">
        <v>16</v>
      </c>
      <c r="B2832">
        <v>585159</v>
      </c>
      <c r="C2832">
        <v>12</v>
      </c>
      <c r="D2832">
        <v>27</v>
      </c>
      <c r="E2832">
        <v>40</v>
      </c>
      <c r="F2832">
        <v>8</v>
      </c>
      <c r="G2832">
        <v>0</v>
      </c>
      <c r="H2832">
        <v>25</v>
      </c>
      <c r="I2832">
        <v>800</v>
      </c>
      <c r="J2832">
        <v>0</v>
      </c>
      <c r="K2832">
        <v>5.93</v>
      </c>
      <c r="L2832">
        <v>17.8</v>
      </c>
      <c r="M2832">
        <v>32.865000000000002</v>
      </c>
      <c r="N2832">
        <v>13.125</v>
      </c>
      <c r="O2832">
        <v>1676</v>
      </c>
      <c r="P2832">
        <v>526</v>
      </c>
      <c r="Q2832" s="5" t="e">
        <f>IF(AND(#REF!&gt;=table!$C$6,#REF!&lt;= table!$D$6),-1,IF(AND(#REF!&gt;=table!$E$6,#REF!&lt;=table!$F$6),1,0))</f>
        <v>#REF!</v>
      </c>
      <c r="R2832" s="5" t="e">
        <f>IF(AND(#REF!&gt;=table!$C$7,#REF!&lt;= table!$D$7),-1,IF(AND(#REF!&gt;=table!$E$7,#REF!&lt;=table!$F$7),1,0))</f>
        <v>#REF!</v>
      </c>
      <c r="S2832" s="5" t="e">
        <f>IF(AND(#REF!&gt;=table!$C$8,#REF!&lt;= table!$D$8),-1,IF(AND(#REF!&gt;=table!$E$8,#REF!&lt;=table!$F$8),1,0))</f>
        <v>#REF!</v>
      </c>
      <c r="T2832" s="5"/>
      <c r="U2832" s="5" t="e">
        <f>IF(AND(#REF!&gt;=table!$C$10,#REF!&lt;= table!$D$10),-1,IF(AND(#REF!&gt;=table!$E$10,#REF!&lt;=table!$F$10),1,0))</f>
        <v>#REF!</v>
      </c>
      <c r="V2832" s="5" t="e">
        <f>IF(AND(#REF!&gt;=table!$C$11,#REF!&lt;= table!$D$11),-1,IF(AND(#REF!&gt;=table!$E$11,#REF!&lt;=table!$F$11),1,0))</f>
        <v>#REF!</v>
      </c>
      <c r="W2832" s="5" t="e">
        <f>CONCATENATE(dados[[#This Row],[fator1]],dados[[#This Row],[fator5]],dados[[#This Row],[fator6]])</f>
        <v>#REF!</v>
      </c>
    </row>
    <row r="2833" spans="1:23">
      <c r="A2833" t="s">
        <v>16</v>
      </c>
      <c r="B2833">
        <v>585160</v>
      </c>
      <c r="C2833">
        <v>12</v>
      </c>
      <c r="D2833">
        <v>35</v>
      </c>
      <c r="E2833">
        <v>180</v>
      </c>
      <c r="F2833">
        <v>6</v>
      </c>
      <c r="G2833">
        <v>0</v>
      </c>
      <c r="H2833">
        <v>20</v>
      </c>
      <c r="I2833">
        <v>596</v>
      </c>
      <c r="J2833">
        <v>840</v>
      </c>
      <c r="K2833">
        <v>3.415</v>
      </c>
      <c r="L2833">
        <v>9.7000000000000011</v>
      </c>
      <c r="M2833">
        <v>164.55500000000001</v>
      </c>
      <c r="N2833">
        <v>11.33</v>
      </c>
      <c r="O2833">
        <v>1652</v>
      </c>
      <c r="P2833">
        <v>849</v>
      </c>
      <c r="Q2833" s="5" t="e">
        <f>IF(AND(#REF!&gt;=table!$C$6,#REF!&lt;= table!$D$6),-1,IF(AND(#REF!&gt;=table!$E$6,#REF!&lt;=table!$F$6),1,0))</f>
        <v>#REF!</v>
      </c>
      <c r="R2833" s="5" t="e">
        <f>IF(AND(#REF!&gt;=table!$C$7,#REF!&lt;= table!$D$7),-1,IF(AND(#REF!&gt;=table!$E$7,#REF!&lt;=table!$F$7),1,0))</f>
        <v>#REF!</v>
      </c>
      <c r="S2833" s="5" t="e">
        <f>IF(AND(#REF!&gt;=table!$C$8,#REF!&lt;= table!$D$8),-1,IF(AND(#REF!&gt;=table!$E$8,#REF!&lt;=table!$F$8),1,0))</f>
        <v>#REF!</v>
      </c>
      <c r="T2833" s="5"/>
      <c r="U2833" s="5" t="e">
        <f>IF(AND(#REF!&gt;=table!$C$10,#REF!&lt;= table!$D$10),-1,IF(AND(#REF!&gt;=table!$E$10,#REF!&lt;=table!$F$10),1,0))</f>
        <v>#REF!</v>
      </c>
      <c r="V2833" s="5" t="e">
        <f>IF(AND(#REF!&gt;=table!$C$11,#REF!&lt;= table!$D$11),-1,IF(AND(#REF!&gt;=table!$E$11,#REF!&lt;=table!$F$11),1,0))</f>
        <v>#REF!</v>
      </c>
      <c r="W2833" s="5" t="e">
        <f>CONCATENATE(dados[[#This Row],[fator1]],dados[[#This Row],[fator5]],dados[[#This Row],[fator6]])</f>
        <v>#REF!</v>
      </c>
    </row>
    <row r="2834" spans="1:23">
      <c r="A2834" t="s">
        <v>16</v>
      </c>
      <c r="B2834">
        <v>585161</v>
      </c>
      <c r="C2834">
        <v>12</v>
      </c>
      <c r="D2834">
        <v>35</v>
      </c>
      <c r="E2834">
        <v>180</v>
      </c>
      <c r="F2834">
        <v>6</v>
      </c>
      <c r="G2834">
        <v>0</v>
      </c>
      <c r="H2834">
        <v>20</v>
      </c>
      <c r="I2834">
        <v>728</v>
      </c>
      <c r="J2834">
        <v>1580</v>
      </c>
      <c r="K2834">
        <v>4.6050000000000004</v>
      </c>
      <c r="L2834">
        <v>17.515000000000001</v>
      </c>
      <c r="M2834">
        <v>158.16</v>
      </c>
      <c r="N2834">
        <v>10.405000000000001</v>
      </c>
      <c r="O2834">
        <v>1699</v>
      </c>
      <c r="P2834">
        <v>0</v>
      </c>
      <c r="Q2834" s="5" t="e">
        <f>IF(AND(#REF!&gt;=table!$C$6,#REF!&lt;= table!$D$6),-1,IF(AND(#REF!&gt;=table!$E$6,#REF!&lt;=table!$F$6),1,0))</f>
        <v>#REF!</v>
      </c>
      <c r="R2834" s="5" t="e">
        <f>IF(AND(#REF!&gt;=table!$C$7,#REF!&lt;= table!$D$7),-1,IF(AND(#REF!&gt;=table!$E$7,#REF!&lt;=table!$F$7),1,0))</f>
        <v>#REF!</v>
      </c>
      <c r="S2834" s="5" t="e">
        <f>IF(AND(#REF!&gt;=table!$C$8,#REF!&lt;= table!$D$8),-1,IF(AND(#REF!&gt;=table!$E$8,#REF!&lt;=table!$F$8),1,0))</f>
        <v>#REF!</v>
      </c>
      <c r="T2834" s="5"/>
      <c r="U2834" s="5" t="e">
        <f>IF(AND(#REF!&gt;=table!$C$10,#REF!&lt;= table!$D$10),-1,IF(AND(#REF!&gt;=table!$E$10,#REF!&lt;=table!$F$10),1,0))</f>
        <v>#REF!</v>
      </c>
      <c r="V2834" s="5" t="e">
        <f>IF(AND(#REF!&gt;=table!$C$11,#REF!&lt;= table!$D$11),-1,IF(AND(#REF!&gt;=table!$E$11,#REF!&lt;=table!$F$11),1,0))</f>
        <v>#REF!</v>
      </c>
      <c r="W2834" s="5" t="e">
        <f>CONCATENATE(dados[[#This Row],[fator1]],dados[[#This Row],[fator5]],dados[[#This Row],[fator6]])</f>
        <v>#REF!</v>
      </c>
    </row>
    <row r="2835" spans="1:23">
      <c r="A2835" t="s">
        <v>16</v>
      </c>
      <c r="B2835">
        <v>585162</v>
      </c>
      <c r="C2835">
        <v>7</v>
      </c>
      <c r="D2835">
        <v>35</v>
      </c>
      <c r="E2835">
        <v>170</v>
      </c>
      <c r="F2835">
        <v>6</v>
      </c>
      <c r="G2835">
        <v>0</v>
      </c>
      <c r="H2835">
        <v>20</v>
      </c>
      <c r="I2835">
        <v>629</v>
      </c>
      <c r="J2835">
        <v>0</v>
      </c>
      <c r="K2835">
        <v>4.4550000000000001</v>
      </c>
      <c r="L2835">
        <v>12.09</v>
      </c>
      <c r="M2835">
        <v>135.33500000000001</v>
      </c>
      <c r="N2835">
        <v>12.11</v>
      </c>
      <c r="O2835">
        <v>1660</v>
      </c>
      <c r="P2835">
        <v>900</v>
      </c>
      <c r="Q2835" s="5" t="e">
        <f>IF(AND(#REF!&gt;=table!$C$6,#REF!&lt;= table!$D$6),-1,IF(AND(#REF!&gt;=table!$E$6,#REF!&lt;=table!$F$6),1,0))</f>
        <v>#REF!</v>
      </c>
      <c r="R2835" s="5" t="e">
        <f>IF(AND(#REF!&gt;=table!$C$7,#REF!&lt;= table!$D$7),-1,IF(AND(#REF!&gt;=table!$E$7,#REF!&lt;=table!$F$7),1,0))</f>
        <v>#REF!</v>
      </c>
      <c r="S2835" s="5" t="e">
        <f>IF(AND(#REF!&gt;=table!$C$8,#REF!&lt;= table!$D$8),-1,IF(AND(#REF!&gt;=table!$E$8,#REF!&lt;=table!$F$8),1,0))</f>
        <v>#REF!</v>
      </c>
      <c r="T2835" s="5"/>
      <c r="U2835" s="5" t="e">
        <f>IF(AND(#REF!&gt;=table!$C$10,#REF!&lt;= table!$D$10),-1,IF(AND(#REF!&gt;=table!$E$10,#REF!&lt;=table!$F$10),1,0))</f>
        <v>#REF!</v>
      </c>
      <c r="V2835" s="5" t="e">
        <f>IF(AND(#REF!&gt;=table!$C$11,#REF!&lt;= table!$D$11),-1,IF(AND(#REF!&gt;=table!$E$11,#REF!&lt;=table!$F$11),1,0))</f>
        <v>#REF!</v>
      </c>
      <c r="W2835" s="5" t="e">
        <f>CONCATENATE(dados[[#This Row],[fator1]],dados[[#This Row],[fator5]],dados[[#This Row],[fator6]])</f>
        <v>#REF!</v>
      </c>
    </row>
    <row r="2836" spans="1:23">
      <c r="A2836" t="s">
        <v>16</v>
      </c>
      <c r="B2836">
        <v>585163</v>
      </c>
      <c r="C2836">
        <v>16</v>
      </c>
      <c r="D2836">
        <v>35</v>
      </c>
      <c r="E2836">
        <v>36</v>
      </c>
      <c r="F2836">
        <v>10</v>
      </c>
      <c r="G2836">
        <v>0</v>
      </c>
      <c r="H2836">
        <v>25</v>
      </c>
      <c r="I2836">
        <v>886</v>
      </c>
      <c r="J2836">
        <v>0</v>
      </c>
      <c r="K2836">
        <v>6.78</v>
      </c>
      <c r="L2836">
        <v>27.69</v>
      </c>
      <c r="M2836">
        <v>39.715000000000003</v>
      </c>
      <c r="N2836">
        <v>20.32</v>
      </c>
      <c r="O2836">
        <v>1695</v>
      </c>
      <c r="P2836">
        <v>523</v>
      </c>
      <c r="Q2836" s="5" t="e">
        <f>IF(AND(#REF!&gt;=table!$C$6,#REF!&lt;= table!$D$6),-1,IF(AND(#REF!&gt;=table!$E$6,#REF!&lt;=table!$F$6),1,0))</f>
        <v>#REF!</v>
      </c>
      <c r="R2836" s="5" t="e">
        <f>IF(AND(#REF!&gt;=table!$C$7,#REF!&lt;= table!$D$7),-1,IF(AND(#REF!&gt;=table!$E$7,#REF!&lt;=table!$F$7),1,0))</f>
        <v>#REF!</v>
      </c>
      <c r="S2836" s="5" t="e">
        <f>IF(AND(#REF!&gt;=table!$C$8,#REF!&lt;= table!$D$8),-1,IF(AND(#REF!&gt;=table!$E$8,#REF!&lt;=table!$F$8),1,0))</f>
        <v>#REF!</v>
      </c>
      <c r="T2836" s="5"/>
      <c r="U2836" s="5" t="e">
        <f>IF(AND(#REF!&gt;=table!$C$10,#REF!&lt;= table!$D$10),-1,IF(AND(#REF!&gt;=table!$E$10,#REF!&lt;=table!$F$10),1,0))</f>
        <v>#REF!</v>
      </c>
      <c r="V2836" s="5" t="e">
        <f>IF(AND(#REF!&gt;=table!$C$11,#REF!&lt;= table!$D$11),-1,IF(AND(#REF!&gt;=table!$E$11,#REF!&lt;=table!$F$11),1,0))</f>
        <v>#REF!</v>
      </c>
      <c r="W2836" s="5" t="e">
        <f>CONCATENATE(dados[[#This Row],[fator1]],dados[[#This Row],[fator5]],dados[[#This Row],[fator6]])</f>
        <v>#REF!</v>
      </c>
    </row>
    <row r="2837" spans="1:23">
      <c r="A2837" t="s">
        <v>17</v>
      </c>
      <c r="B2837">
        <v>585168</v>
      </c>
      <c r="C2837">
        <v>14</v>
      </c>
      <c r="D2837">
        <v>30</v>
      </c>
      <c r="E2837">
        <v>110</v>
      </c>
      <c r="F2837">
        <v>4</v>
      </c>
      <c r="G2837">
        <v>20</v>
      </c>
      <c r="H2837">
        <v>22</v>
      </c>
      <c r="I2837">
        <v>1086</v>
      </c>
      <c r="J2837">
        <v>0</v>
      </c>
      <c r="K2837">
        <v>5.95</v>
      </c>
      <c r="L2837">
        <v>13.530000000000001</v>
      </c>
      <c r="M2837">
        <v>91.3</v>
      </c>
      <c r="N2837">
        <v>12.615</v>
      </c>
      <c r="O2837">
        <v>1691</v>
      </c>
      <c r="P2837">
        <v>626</v>
      </c>
      <c r="Q2837" s="5" t="e">
        <f>IF(AND(#REF!&gt;=table!$C$6,#REF!&lt;= table!$D$6),-1,IF(AND(#REF!&gt;=table!$E$6,#REF!&lt;=table!$F$6),1,0))</f>
        <v>#REF!</v>
      </c>
      <c r="R2837" s="5" t="e">
        <f>IF(AND(#REF!&gt;=table!$C$7,#REF!&lt;= table!$D$7),-1,IF(AND(#REF!&gt;=table!$E$7,#REF!&lt;=table!$F$7),1,0))</f>
        <v>#REF!</v>
      </c>
      <c r="S2837" s="5" t="e">
        <f>IF(AND(#REF!&gt;=table!$C$8,#REF!&lt;= table!$D$8),-1,IF(AND(#REF!&gt;=table!$E$8,#REF!&lt;=table!$F$8),1,0))</f>
        <v>#REF!</v>
      </c>
      <c r="T2837" s="5"/>
      <c r="U2837" s="5" t="e">
        <f>IF(AND(#REF!&gt;=table!$C$10,#REF!&lt;= table!$D$10),-1,IF(AND(#REF!&gt;=table!$E$10,#REF!&lt;=table!$F$10),1,0))</f>
        <v>#REF!</v>
      </c>
      <c r="V2837" s="5" t="e">
        <f>IF(AND(#REF!&gt;=table!$C$11,#REF!&lt;= table!$D$11),-1,IF(AND(#REF!&gt;=table!$E$11,#REF!&lt;=table!$F$11),1,0))</f>
        <v>#REF!</v>
      </c>
      <c r="W2837" s="5" t="e">
        <f>CONCATENATE(dados[[#This Row],[fator1]],dados[[#This Row],[fator5]],dados[[#This Row],[fator6]])</f>
        <v>#REF!</v>
      </c>
    </row>
    <row r="2838" spans="1:23">
      <c r="A2838" t="s">
        <v>17</v>
      </c>
      <c r="B2838">
        <v>585169</v>
      </c>
      <c r="C2838">
        <v>9</v>
      </c>
      <c r="D2838">
        <v>25</v>
      </c>
      <c r="E2838">
        <v>150</v>
      </c>
      <c r="F2838">
        <v>4</v>
      </c>
      <c r="G2838">
        <v>20</v>
      </c>
      <c r="H2838">
        <v>25</v>
      </c>
      <c r="I2838">
        <v>0</v>
      </c>
      <c r="J2838">
        <v>780</v>
      </c>
      <c r="K2838">
        <v>4.7149999999999999</v>
      </c>
      <c r="L2838">
        <v>18.190000000000001</v>
      </c>
      <c r="M2838">
        <v>99.905000000000001</v>
      </c>
      <c r="N2838">
        <v>13.465</v>
      </c>
      <c r="O2838">
        <v>1677</v>
      </c>
      <c r="P2838">
        <v>818</v>
      </c>
      <c r="Q2838" s="5" t="e">
        <f>IF(AND(#REF!&gt;=table!$C$6,#REF!&lt;= table!$D$6),-1,IF(AND(#REF!&gt;=table!$E$6,#REF!&lt;=table!$F$6),1,0))</f>
        <v>#REF!</v>
      </c>
      <c r="R2838" s="5" t="e">
        <f>IF(AND(#REF!&gt;=table!$C$7,#REF!&lt;= table!$D$7),-1,IF(AND(#REF!&gt;=table!$E$7,#REF!&lt;=table!$F$7),1,0))</f>
        <v>#REF!</v>
      </c>
      <c r="S2838" s="5" t="e">
        <f>IF(AND(#REF!&gt;=table!$C$8,#REF!&lt;= table!$D$8),-1,IF(AND(#REF!&gt;=table!$E$8,#REF!&lt;=table!$F$8),1,0))</f>
        <v>#REF!</v>
      </c>
      <c r="T2838" s="5"/>
      <c r="U2838" s="5" t="e">
        <f>IF(AND(#REF!&gt;=table!$C$10,#REF!&lt;= table!$D$10),-1,IF(AND(#REF!&gt;=table!$E$10,#REF!&lt;=table!$F$10),1,0))</f>
        <v>#REF!</v>
      </c>
      <c r="V2838" s="5" t="e">
        <f>IF(AND(#REF!&gt;=table!$C$11,#REF!&lt;= table!$D$11),-1,IF(AND(#REF!&gt;=table!$E$11,#REF!&lt;=table!$F$11),1,0))</f>
        <v>#REF!</v>
      </c>
      <c r="W2838" s="5" t="e">
        <f>CONCATENATE(dados[[#This Row],[fator1]],dados[[#This Row],[fator5]],dados[[#This Row],[fator6]])</f>
        <v>#REF!</v>
      </c>
    </row>
    <row r="2839" spans="1:23">
      <c r="A2839" t="s">
        <v>17</v>
      </c>
      <c r="B2839">
        <v>585171</v>
      </c>
      <c r="C2839">
        <v>18</v>
      </c>
      <c r="D2839">
        <v>23</v>
      </c>
      <c r="E2839">
        <v>145</v>
      </c>
      <c r="F2839">
        <v>9</v>
      </c>
      <c r="G2839">
        <v>30</v>
      </c>
      <c r="H2839">
        <v>25</v>
      </c>
      <c r="I2839">
        <v>848</v>
      </c>
      <c r="J2839">
        <v>0</v>
      </c>
      <c r="K2839">
        <v>2.6165000000000003</v>
      </c>
      <c r="L2839">
        <v>7.44</v>
      </c>
      <c r="M2839">
        <v>90.22</v>
      </c>
      <c r="N2839">
        <v>12.295</v>
      </c>
      <c r="O2839">
        <v>1680</v>
      </c>
      <c r="P2839">
        <v>0</v>
      </c>
      <c r="Q2839" s="5" t="e">
        <f>IF(AND(#REF!&gt;=table!$C$6,#REF!&lt;= table!$D$6),-1,IF(AND(#REF!&gt;=table!$E$6,#REF!&lt;=table!$F$6),1,0))</f>
        <v>#REF!</v>
      </c>
      <c r="R2839" s="5" t="e">
        <f>IF(AND(#REF!&gt;=table!$C$7,#REF!&lt;= table!$D$7),-1,IF(AND(#REF!&gt;=table!$E$7,#REF!&lt;=table!$F$7),1,0))</f>
        <v>#REF!</v>
      </c>
      <c r="S2839" s="5" t="e">
        <f>IF(AND(#REF!&gt;=table!$C$8,#REF!&lt;= table!$D$8),-1,IF(AND(#REF!&gt;=table!$E$8,#REF!&lt;=table!$F$8),1,0))</f>
        <v>#REF!</v>
      </c>
      <c r="T2839" s="5"/>
      <c r="U2839" s="5" t="e">
        <f>IF(AND(#REF!&gt;=table!$C$10,#REF!&lt;= table!$D$10),-1,IF(AND(#REF!&gt;=table!$E$10,#REF!&lt;=table!$F$10),1,0))</f>
        <v>#REF!</v>
      </c>
      <c r="V2839" s="5" t="e">
        <f>IF(AND(#REF!&gt;=table!$C$11,#REF!&lt;= table!$D$11),-1,IF(AND(#REF!&gt;=table!$E$11,#REF!&lt;=table!$F$11),1,0))</f>
        <v>#REF!</v>
      </c>
      <c r="W2839" s="5" t="e">
        <f>CONCATENATE(dados[[#This Row],[fator1]],dados[[#This Row],[fator5]],dados[[#This Row],[fator6]])</f>
        <v>#REF!</v>
      </c>
    </row>
    <row r="2840" spans="1:23">
      <c r="A2840" t="s">
        <v>17</v>
      </c>
      <c r="B2840">
        <v>585174</v>
      </c>
      <c r="C2840">
        <v>14</v>
      </c>
      <c r="D2840">
        <v>30</v>
      </c>
      <c r="E2840">
        <v>210</v>
      </c>
      <c r="F2840">
        <v>3</v>
      </c>
      <c r="G2840">
        <v>40</v>
      </c>
      <c r="H2840">
        <v>25</v>
      </c>
      <c r="I2840">
        <v>2355</v>
      </c>
      <c r="J2840">
        <v>0</v>
      </c>
      <c r="K2840">
        <v>5.3550000000000004</v>
      </c>
      <c r="L2840">
        <v>17.335000000000001</v>
      </c>
      <c r="M2840">
        <v>143.375</v>
      </c>
      <c r="N2840">
        <v>17.22</v>
      </c>
      <c r="O2840">
        <v>1706</v>
      </c>
      <c r="P2840">
        <v>695</v>
      </c>
      <c r="Q2840" s="5" t="e">
        <f>IF(AND(#REF!&gt;=table!$C$6,#REF!&lt;= table!$D$6),-1,IF(AND(#REF!&gt;=table!$E$6,#REF!&lt;=table!$F$6),1,0))</f>
        <v>#REF!</v>
      </c>
      <c r="R2840" s="5" t="e">
        <f>IF(AND(#REF!&gt;=table!$C$7,#REF!&lt;= table!$D$7),-1,IF(AND(#REF!&gt;=table!$E$7,#REF!&lt;=table!$F$7),1,0))</f>
        <v>#REF!</v>
      </c>
      <c r="S2840" s="5" t="e">
        <f>IF(AND(#REF!&gt;=table!$C$8,#REF!&lt;= table!$D$8),-1,IF(AND(#REF!&gt;=table!$E$8,#REF!&lt;=table!$F$8),1,0))</f>
        <v>#REF!</v>
      </c>
      <c r="T2840" s="5"/>
      <c r="U2840" s="5" t="e">
        <f>IF(AND(#REF!&gt;=table!$C$10,#REF!&lt;= table!$D$10),-1,IF(AND(#REF!&gt;=table!$E$10,#REF!&lt;=table!$F$10),1,0))</f>
        <v>#REF!</v>
      </c>
      <c r="V2840" s="5" t="e">
        <f>IF(AND(#REF!&gt;=table!$C$11,#REF!&lt;= table!$D$11),-1,IF(AND(#REF!&gt;=table!$E$11,#REF!&lt;=table!$F$11),1,0))</f>
        <v>#REF!</v>
      </c>
      <c r="W2840" s="5" t="e">
        <f>CONCATENATE(dados[[#This Row],[fator1]],dados[[#This Row],[fator5]],dados[[#This Row],[fator6]])</f>
        <v>#REF!</v>
      </c>
    </row>
    <row r="2841" spans="1:23">
      <c r="A2841" t="s">
        <v>16</v>
      </c>
      <c r="B2841">
        <v>585180</v>
      </c>
      <c r="C2841">
        <v>4</v>
      </c>
      <c r="D2841">
        <v>40</v>
      </c>
      <c r="E2841">
        <v>21</v>
      </c>
      <c r="F2841">
        <v>10</v>
      </c>
      <c r="G2841">
        <v>0</v>
      </c>
      <c r="H2841">
        <v>25</v>
      </c>
      <c r="I2841">
        <v>738</v>
      </c>
      <c r="J2841">
        <v>0</v>
      </c>
      <c r="K2841">
        <v>2.4830000000000001</v>
      </c>
      <c r="L2841">
        <v>7.18</v>
      </c>
      <c r="M2841">
        <v>14.71</v>
      </c>
      <c r="N2841">
        <v>10.33</v>
      </c>
      <c r="O2841">
        <v>1674</v>
      </c>
      <c r="P2841">
        <v>0</v>
      </c>
      <c r="Q2841" s="5" t="e">
        <f>IF(AND(#REF!&gt;=table!$C$6,#REF!&lt;= table!$D$6),-1,IF(AND(#REF!&gt;=table!$E$6,#REF!&lt;=table!$F$6),1,0))</f>
        <v>#REF!</v>
      </c>
      <c r="R2841" s="5" t="e">
        <f>IF(AND(#REF!&gt;=table!$C$7,#REF!&lt;= table!$D$7),-1,IF(AND(#REF!&gt;=table!$E$7,#REF!&lt;=table!$F$7),1,0))</f>
        <v>#REF!</v>
      </c>
      <c r="S2841" s="5" t="e">
        <f>IF(AND(#REF!&gt;=table!$C$8,#REF!&lt;= table!$D$8),-1,IF(AND(#REF!&gt;=table!$E$8,#REF!&lt;=table!$F$8),1,0))</f>
        <v>#REF!</v>
      </c>
      <c r="T2841" s="5"/>
      <c r="U2841" s="5" t="e">
        <f>IF(AND(#REF!&gt;=table!$C$10,#REF!&lt;= table!$D$10),-1,IF(AND(#REF!&gt;=table!$E$10,#REF!&lt;=table!$F$10),1,0))</f>
        <v>#REF!</v>
      </c>
      <c r="V2841" s="5" t="e">
        <f>IF(AND(#REF!&gt;=table!$C$11,#REF!&lt;= table!$D$11),-1,IF(AND(#REF!&gt;=table!$E$11,#REF!&lt;=table!$F$11),1,0))</f>
        <v>#REF!</v>
      </c>
      <c r="W2841" s="5" t="e">
        <f>CONCATENATE(dados[[#This Row],[fator1]],dados[[#This Row],[fator5]],dados[[#This Row],[fator6]])</f>
        <v>#REF!</v>
      </c>
    </row>
    <row r="2842" spans="1:23">
      <c r="A2842" t="s">
        <v>16</v>
      </c>
      <c r="B2842">
        <v>585182</v>
      </c>
      <c r="C2842">
        <v>0.15</v>
      </c>
      <c r="D2842">
        <v>35</v>
      </c>
      <c r="E2842">
        <v>15</v>
      </c>
      <c r="F2842">
        <v>10</v>
      </c>
      <c r="G2842">
        <v>0</v>
      </c>
      <c r="H2842">
        <v>12</v>
      </c>
      <c r="I2842">
        <v>951</v>
      </c>
      <c r="J2842">
        <v>0</v>
      </c>
      <c r="K2842">
        <v>3.68</v>
      </c>
      <c r="L2842">
        <v>6.9</v>
      </c>
      <c r="M2842">
        <v>7.15</v>
      </c>
      <c r="N2842">
        <v>10.755000000000001</v>
      </c>
      <c r="O2842">
        <v>1689</v>
      </c>
      <c r="P2842">
        <v>1343</v>
      </c>
      <c r="Q2842" s="5" t="e">
        <f>IF(AND(#REF!&gt;=table!$C$6,#REF!&lt;= table!$D$6),-1,IF(AND(#REF!&gt;=table!$E$6,#REF!&lt;=table!$F$6),1,0))</f>
        <v>#REF!</v>
      </c>
      <c r="R2842" s="5" t="e">
        <f>IF(AND(#REF!&gt;=table!$C$7,#REF!&lt;= table!$D$7),-1,IF(AND(#REF!&gt;=table!$E$7,#REF!&lt;=table!$F$7),1,0))</f>
        <v>#REF!</v>
      </c>
      <c r="S2842" s="5" t="e">
        <f>IF(AND(#REF!&gt;=table!$C$8,#REF!&lt;= table!$D$8),-1,IF(AND(#REF!&gt;=table!$E$8,#REF!&lt;=table!$F$8),1,0))</f>
        <v>#REF!</v>
      </c>
      <c r="T2842" s="5"/>
      <c r="U2842" s="5" t="e">
        <f>IF(AND(#REF!&gt;=table!$C$10,#REF!&lt;= table!$D$10),-1,IF(AND(#REF!&gt;=table!$E$10,#REF!&lt;=table!$F$10),1,0))</f>
        <v>#REF!</v>
      </c>
      <c r="V2842" s="5" t="e">
        <f>IF(AND(#REF!&gt;=table!$C$11,#REF!&lt;= table!$D$11),-1,IF(AND(#REF!&gt;=table!$E$11,#REF!&lt;=table!$F$11),1,0))</f>
        <v>#REF!</v>
      </c>
      <c r="W2842" s="5" t="e">
        <f>CONCATENATE(dados[[#This Row],[fator1]],dados[[#This Row],[fator5]],dados[[#This Row],[fator6]])</f>
        <v>#REF!</v>
      </c>
    </row>
    <row r="2843" spans="1:23">
      <c r="A2843" t="s">
        <v>16</v>
      </c>
      <c r="B2843">
        <v>585192</v>
      </c>
      <c r="C2843">
        <v>0.15</v>
      </c>
      <c r="D2843">
        <v>35</v>
      </c>
      <c r="E2843">
        <v>15</v>
      </c>
      <c r="F2843">
        <v>10</v>
      </c>
      <c r="G2843">
        <v>0</v>
      </c>
      <c r="H2843">
        <v>12</v>
      </c>
      <c r="I2843">
        <v>1658</v>
      </c>
      <c r="J2843">
        <v>0</v>
      </c>
      <c r="K2843">
        <v>4.3100000000000005</v>
      </c>
      <c r="L2843">
        <v>10.65</v>
      </c>
      <c r="M2843">
        <v>9.5500000000000007</v>
      </c>
      <c r="N2843">
        <v>11.4</v>
      </c>
      <c r="O2843">
        <v>1673</v>
      </c>
      <c r="P2843">
        <v>761</v>
      </c>
      <c r="Q2843" s="5" t="e">
        <f>IF(AND(#REF!&gt;=table!$C$6,#REF!&lt;= table!$D$6),-1,IF(AND(#REF!&gt;=table!$E$6,#REF!&lt;=table!$F$6),1,0))</f>
        <v>#REF!</v>
      </c>
      <c r="R2843" s="5" t="e">
        <f>IF(AND(#REF!&gt;=table!$C$7,#REF!&lt;= table!$D$7),-1,IF(AND(#REF!&gt;=table!$E$7,#REF!&lt;=table!$F$7),1,0))</f>
        <v>#REF!</v>
      </c>
      <c r="S2843" s="5" t="e">
        <f>IF(AND(#REF!&gt;=table!$C$8,#REF!&lt;= table!$D$8),-1,IF(AND(#REF!&gt;=table!$E$8,#REF!&lt;=table!$F$8),1,0))</f>
        <v>#REF!</v>
      </c>
      <c r="T2843" s="5"/>
      <c r="U2843" s="5" t="e">
        <f>IF(AND(#REF!&gt;=table!$C$10,#REF!&lt;= table!$D$10),-1,IF(AND(#REF!&gt;=table!$E$10,#REF!&lt;=table!$F$10),1,0))</f>
        <v>#REF!</v>
      </c>
      <c r="V2843" s="5" t="e">
        <f>IF(AND(#REF!&gt;=table!$C$11,#REF!&lt;= table!$D$11),-1,IF(AND(#REF!&gt;=table!$E$11,#REF!&lt;=table!$F$11),1,0))</f>
        <v>#REF!</v>
      </c>
      <c r="W2843" s="5" t="e">
        <f>CONCATENATE(dados[[#This Row],[fator1]],dados[[#This Row],[fator5]],dados[[#This Row],[fator6]])</f>
        <v>#REF!</v>
      </c>
    </row>
    <row r="2844" spans="1:23">
      <c r="A2844" t="s">
        <v>16</v>
      </c>
      <c r="B2844">
        <v>585193</v>
      </c>
      <c r="C2844">
        <v>0.15</v>
      </c>
      <c r="D2844">
        <v>35</v>
      </c>
      <c r="E2844">
        <v>15</v>
      </c>
      <c r="F2844">
        <v>10</v>
      </c>
      <c r="G2844">
        <v>0</v>
      </c>
      <c r="H2844">
        <v>12</v>
      </c>
      <c r="I2844">
        <v>1816</v>
      </c>
      <c r="J2844">
        <v>0</v>
      </c>
      <c r="K2844">
        <v>10.92</v>
      </c>
      <c r="L2844">
        <v>9.3000000000000007</v>
      </c>
      <c r="M2844">
        <v>8.5500000000000007</v>
      </c>
      <c r="N2844">
        <v>6.2</v>
      </c>
      <c r="O2844">
        <v>1662</v>
      </c>
      <c r="P2844">
        <v>370</v>
      </c>
      <c r="Q2844" s="5" t="e">
        <f>IF(AND(#REF!&gt;=table!$C$6,#REF!&lt;= table!$D$6),-1,IF(AND(#REF!&gt;=table!$E$6,#REF!&lt;=table!$F$6),1,0))</f>
        <v>#REF!</v>
      </c>
      <c r="R2844" s="5" t="e">
        <f>IF(AND(#REF!&gt;=table!$C$7,#REF!&lt;= table!$D$7),-1,IF(AND(#REF!&gt;=table!$E$7,#REF!&lt;=table!$F$7),1,0))</f>
        <v>#REF!</v>
      </c>
      <c r="S2844" s="5" t="e">
        <f>IF(AND(#REF!&gt;=table!$C$8,#REF!&lt;= table!$D$8),-1,IF(AND(#REF!&gt;=table!$E$8,#REF!&lt;=table!$F$8),1,0))</f>
        <v>#REF!</v>
      </c>
      <c r="T2844" s="5"/>
      <c r="U2844" s="5" t="e">
        <f>IF(AND(#REF!&gt;=table!$C$10,#REF!&lt;= table!$D$10),-1,IF(AND(#REF!&gt;=table!$E$10,#REF!&lt;=table!$F$10),1,0))</f>
        <v>#REF!</v>
      </c>
      <c r="V2844" s="5" t="e">
        <f>IF(AND(#REF!&gt;=table!$C$11,#REF!&lt;= table!$D$11),-1,IF(AND(#REF!&gt;=table!$E$11,#REF!&lt;=table!$F$11),1,0))</f>
        <v>#REF!</v>
      </c>
      <c r="W2844" s="5" t="e">
        <f>CONCATENATE(dados[[#This Row],[fator1]],dados[[#This Row],[fator5]],dados[[#This Row],[fator6]])</f>
        <v>#REF!</v>
      </c>
    </row>
    <row r="2845" spans="1:23">
      <c r="A2845" t="s">
        <v>17</v>
      </c>
      <c r="B2845">
        <v>585195</v>
      </c>
      <c r="C2845">
        <v>14</v>
      </c>
      <c r="D2845">
        <v>30</v>
      </c>
      <c r="E2845">
        <v>110</v>
      </c>
      <c r="F2845">
        <v>4</v>
      </c>
      <c r="G2845">
        <v>20</v>
      </c>
      <c r="H2845">
        <v>22</v>
      </c>
      <c r="I2845">
        <v>0</v>
      </c>
      <c r="J2845">
        <v>0</v>
      </c>
      <c r="K2845">
        <v>3.895</v>
      </c>
      <c r="L2845">
        <v>16.25</v>
      </c>
      <c r="M2845">
        <v>78.64</v>
      </c>
      <c r="N2845">
        <v>17.755000000000003</v>
      </c>
      <c r="O2845">
        <v>1688</v>
      </c>
      <c r="P2845">
        <v>0</v>
      </c>
      <c r="Q2845" s="5" t="e">
        <f>IF(AND(#REF!&gt;=table!$C$6,#REF!&lt;= table!$D$6),-1,IF(AND(#REF!&gt;=table!$E$6,#REF!&lt;=table!$F$6),1,0))</f>
        <v>#REF!</v>
      </c>
      <c r="R2845" s="5" t="e">
        <f>IF(AND(#REF!&gt;=table!$C$7,#REF!&lt;= table!$D$7),-1,IF(AND(#REF!&gt;=table!$E$7,#REF!&lt;=table!$F$7),1,0))</f>
        <v>#REF!</v>
      </c>
      <c r="S2845" s="5" t="e">
        <f>IF(AND(#REF!&gt;=table!$C$8,#REF!&lt;= table!$D$8),-1,IF(AND(#REF!&gt;=table!$E$8,#REF!&lt;=table!$F$8),1,0))</f>
        <v>#REF!</v>
      </c>
      <c r="T2845" s="5"/>
      <c r="U2845" s="5" t="e">
        <f>IF(AND(#REF!&gt;=table!$C$10,#REF!&lt;= table!$D$10),-1,IF(AND(#REF!&gt;=table!$E$10,#REF!&lt;=table!$F$10),1,0))</f>
        <v>#REF!</v>
      </c>
      <c r="V2845" s="5" t="e">
        <f>IF(AND(#REF!&gt;=table!$C$11,#REF!&lt;= table!$D$11),-1,IF(AND(#REF!&gt;=table!$E$11,#REF!&lt;=table!$F$11),1,0))</f>
        <v>#REF!</v>
      </c>
      <c r="W2845" s="5" t="e">
        <f>CONCATENATE(dados[[#This Row],[fator1]],dados[[#This Row],[fator5]],dados[[#This Row],[fator6]])</f>
        <v>#REF!</v>
      </c>
    </row>
    <row r="2846" spans="1:23">
      <c r="A2846" t="s">
        <v>17</v>
      </c>
      <c r="B2846">
        <v>585197</v>
      </c>
      <c r="C2846">
        <v>14</v>
      </c>
      <c r="D2846">
        <v>30</v>
      </c>
      <c r="E2846">
        <v>110</v>
      </c>
      <c r="F2846">
        <v>4</v>
      </c>
      <c r="G2846">
        <v>20</v>
      </c>
      <c r="H2846">
        <v>22</v>
      </c>
      <c r="I2846">
        <v>95</v>
      </c>
      <c r="J2846">
        <v>0</v>
      </c>
      <c r="K2846">
        <v>4.3933</v>
      </c>
      <c r="L2846">
        <v>16.8</v>
      </c>
      <c r="M2846">
        <v>105.13</v>
      </c>
      <c r="N2846">
        <v>15.620000000000001</v>
      </c>
      <c r="O2846">
        <v>1681</v>
      </c>
      <c r="P2846">
        <v>733</v>
      </c>
      <c r="Q2846" s="5" t="e">
        <f>IF(AND(#REF!&gt;=table!$C$6,#REF!&lt;= table!$D$6),-1,IF(AND(#REF!&gt;=table!$E$6,#REF!&lt;=table!$F$6),1,0))</f>
        <v>#REF!</v>
      </c>
      <c r="R2846" s="5" t="e">
        <f>IF(AND(#REF!&gt;=table!$C$7,#REF!&lt;= table!$D$7),-1,IF(AND(#REF!&gt;=table!$E$7,#REF!&lt;=table!$F$7),1,0))</f>
        <v>#REF!</v>
      </c>
      <c r="S2846" s="5" t="e">
        <f>IF(AND(#REF!&gt;=table!$C$8,#REF!&lt;= table!$D$8),-1,IF(AND(#REF!&gt;=table!$E$8,#REF!&lt;=table!$F$8),1,0))</f>
        <v>#REF!</v>
      </c>
      <c r="T2846" s="5"/>
      <c r="U2846" s="5" t="e">
        <f>IF(AND(#REF!&gt;=table!$C$10,#REF!&lt;= table!$D$10),-1,IF(AND(#REF!&gt;=table!$E$10,#REF!&lt;=table!$F$10),1,0))</f>
        <v>#REF!</v>
      </c>
      <c r="V2846" s="5" t="e">
        <f>IF(AND(#REF!&gt;=table!$C$11,#REF!&lt;= table!$D$11),-1,IF(AND(#REF!&gt;=table!$E$11,#REF!&lt;=table!$F$11),1,0))</f>
        <v>#REF!</v>
      </c>
      <c r="W2846" s="5" t="e">
        <f>CONCATENATE(dados[[#This Row],[fator1]],dados[[#This Row],[fator5]],dados[[#This Row],[fator6]])</f>
        <v>#REF!</v>
      </c>
    </row>
    <row r="2847" spans="1:23">
      <c r="A2847" t="s">
        <v>17</v>
      </c>
      <c r="B2847">
        <v>585200</v>
      </c>
      <c r="C2847">
        <v>14</v>
      </c>
      <c r="D2847">
        <v>30</v>
      </c>
      <c r="E2847">
        <v>110</v>
      </c>
      <c r="F2847">
        <v>4</v>
      </c>
      <c r="G2847">
        <v>20</v>
      </c>
      <c r="H2847">
        <v>22</v>
      </c>
      <c r="I2847">
        <v>1078</v>
      </c>
      <c r="J2847">
        <v>0</v>
      </c>
      <c r="K2847">
        <v>5.0250000000000004</v>
      </c>
      <c r="L2847">
        <v>13.3</v>
      </c>
      <c r="M2847">
        <v>92.00500000000001</v>
      </c>
      <c r="N2847">
        <v>9.51</v>
      </c>
      <c r="O2847">
        <v>1661</v>
      </c>
      <c r="P2847">
        <v>542</v>
      </c>
      <c r="Q2847" s="5" t="e">
        <f>IF(AND(#REF!&gt;=table!$C$6,#REF!&lt;= table!$D$6),-1,IF(AND(#REF!&gt;=table!$E$6,#REF!&lt;=table!$F$6),1,0))</f>
        <v>#REF!</v>
      </c>
      <c r="R2847" s="5" t="e">
        <f>IF(AND(#REF!&gt;=table!$C$7,#REF!&lt;= table!$D$7),-1,IF(AND(#REF!&gt;=table!$E$7,#REF!&lt;=table!$F$7),1,0))</f>
        <v>#REF!</v>
      </c>
      <c r="S2847" s="5" t="e">
        <f>IF(AND(#REF!&gt;=table!$C$8,#REF!&lt;= table!$D$8),-1,IF(AND(#REF!&gt;=table!$E$8,#REF!&lt;=table!$F$8),1,0))</f>
        <v>#REF!</v>
      </c>
      <c r="T2847" s="5"/>
      <c r="U2847" s="5" t="e">
        <f>IF(AND(#REF!&gt;=table!$C$10,#REF!&lt;= table!$D$10),-1,IF(AND(#REF!&gt;=table!$E$10,#REF!&lt;=table!$F$10),1,0))</f>
        <v>#REF!</v>
      </c>
      <c r="V2847" s="5" t="e">
        <f>IF(AND(#REF!&gt;=table!$C$11,#REF!&lt;= table!$D$11),-1,IF(AND(#REF!&gt;=table!$E$11,#REF!&lt;=table!$F$11),1,0))</f>
        <v>#REF!</v>
      </c>
      <c r="W2847" s="5" t="e">
        <f>CONCATENATE(dados[[#This Row],[fator1]],dados[[#This Row],[fator5]],dados[[#This Row],[fator6]])</f>
        <v>#REF!</v>
      </c>
    </row>
    <row r="2848" spans="1:23">
      <c r="A2848" t="s">
        <v>16</v>
      </c>
      <c r="B2848">
        <v>585212</v>
      </c>
      <c r="C2848">
        <v>9</v>
      </c>
      <c r="D2848">
        <v>27</v>
      </c>
      <c r="E2848">
        <v>36</v>
      </c>
      <c r="F2848">
        <v>8</v>
      </c>
      <c r="G2848">
        <v>0</v>
      </c>
      <c r="H2848">
        <v>25</v>
      </c>
      <c r="I2848">
        <v>591</v>
      </c>
      <c r="J2848">
        <v>0</v>
      </c>
      <c r="K2848">
        <v>5.55</v>
      </c>
      <c r="L2848">
        <v>9.27</v>
      </c>
      <c r="M2848">
        <v>32.75</v>
      </c>
      <c r="N2848">
        <v>13.3</v>
      </c>
      <c r="O2848">
        <v>1688</v>
      </c>
      <c r="P2848">
        <v>0</v>
      </c>
      <c r="Q2848" s="5" t="e">
        <f>IF(AND(#REF!&gt;=table!$C$6,#REF!&lt;= table!$D$6),-1,IF(AND(#REF!&gt;=table!$E$6,#REF!&lt;=table!$F$6),1,0))</f>
        <v>#REF!</v>
      </c>
      <c r="R2848" s="5" t="e">
        <f>IF(AND(#REF!&gt;=table!$C$7,#REF!&lt;= table!$D$7),-1,IF(AND(#REF!&gt;=table!$E$7,#REF!&lt;=table!$F$7),1,0))</f>
        <v>#REF!</v>
      </c>
      <c r="S2848" s="5" t="e">
        <f>IF(AND(#REF!&gt;=table!$C$8,#REF!&lt;= table!$D$8),-1,IF(AND(#REF!&gt;=table!$E$8,#REF!&lt;=table!$F$8),1,0))</f>
        <v>#REF!</v>
      </c>
      <c r="T2848" s="5"/>
      <c r="U2848" s="5" t="e">
        <f>IF(AND(#REF!&gt;=table!$C$10,#REF!&lt;= table!$D$10),-1,IF(AND(#REF!&gt;=table!$E$10,#REF!&lt;=table!$F$10),1,0))</f>
        <v>#REF!</v>
      </c>
      <c r="V2848" s="5" t="e">
        <f>IF(AND(#REF!&gt;=table!$C$11,#REF!&lt;= table!$D$11),-1,IF(AND(#REF!&gt;=table!$E$11,#REF!&lt;=table!$F$11),1,0))</f>
        <v>#REF!</v>
      </c>
      <c r="W2848" s="5" t="e">
        <f>CONCATENATE(dados[[#This Row],[fator1]],dados[[#This Row],[fator5]],dados[[#This Row],[fator6]])</f>
        <v>#REF!</v>
      </c>
    </row>
    <row r="2849" spans="1:23">
      <c r="A2849" t="s">
        <v>16</v>
      </c>
      <c r="B2849">
        <v>585214</v>
      </c>
      <c r="C2849">
        <v>0.1</v>
      </c>
      <c r="D2849">
        <v>40</v>
      </c>
      <c r="E2849">
        <v>10</v>
      </c>
      <c r="F2849">
        <v>8</v>
      </c>
      <c r="G2849">
        <v>0</v>
      </c>
      <c r="H2849">
        <v>10</v>
      </c>
      <c r="I2849">
        <v>1263</v>
      </c>
      <c r="J2849">
        <v>0</v>
      </c>
      <c r="K2849">
        <v>5.58</v>
      </c>
      <c r="L2849">
        <v>8.1999999999999993</v>
      </c>
      <c r="M2849">
        <v>7.165</v>
      </c>
      <c r="N2849">
        <v>6.3</v>
      </c>
      <c r="O2849">
        <v>1654</v>
      </c>
      <c r="P2849">
        <v>0</v>
      </c>
      <c r="Q2849" s="5" t="e">
        <f>IF(AND(#REF!&gt;=table!$C$6,#REF!&lt;= table!$D$6),-1,IF(AND(#REF!&gt;=table!$E$6,#REF!&lt;=table!$F$6),1,0))</f>
        <v>#REF!</v>
      </c>
      <c r="R2849" s="5" t="e">
        <f>IF(AND(#REF!&gt;=table!$C$7,#REF!&lt;= table!$D$7),-1,IF(AND(#REF!&gt;=table!$E$7,#REF!&lt;=table!$F$7),1,0))</f>
        <v>#REF!</v>
      </c>
      <c r="S2849" s="5" t="e">
        <f>IF(AND(#REF!&gt;=table!$C$8,#REF!&lt;= table!$D$8),-1,IF(AND(#REF!&gt;=table!$E$8,#REF!&lt;=table!$F$8),1,0))</f>
        <v>#REF!</v>
      </c>
      <c r="T2849" s="5"/>
      <c r="U2849" s="5" t="e">
        <f>IF(AND(#REF!&gt;=table!$C$10,#REF!&lt;= table!$D$10),-1,IF(AND(#REF!&gt;=table!$E$10,#REF!&lt;=table!$F$10),1,0))</f>
        <v>#REF!</v>
      </c>
      <c r="V2849" s="5" t="e">
        <f>IF(AND(#REF!&gt;=table!$C$11,#REF!&lt;= table!$D$11),-1,IF(AND(#REF!&gt;=table!$E$11,#REF!&lt;=table!$F$11),1,0))</f>
        <v>#REF!</v>
      </c>
      <c r="W2849" s="5" t="e">
        <f>CONCATENATE(dados[[#This Row],[fator1]],dados[[#This Row],[fator5]],dados[[#This Row],[fator6]])</f>
        <v>#REF!</v>
      </c>
    </row>
    <row r="2850" spans="1:23">
      <c r="A2850" t="s">
        <v>16</v>
      </c>
      <c r="B2850">
        <v>585215</v>
      </c>
      <c r="C2850">
        <v>0.15</v>
      </c>
      <c r="D2850">
        <v>40</v>
      </c>
      <c r="E2850">
        <v>10</v>
      </c>
      <c r="F2850">
        <v>15</v>
      </c>
      <c r="G2850">
        <v>0</v>
      </c>
      <c r="H2850">
        <v>15</v>
      </c>
      <c r="I2850">
        <v>1694</v>
      </c>
      <c r="J2850">
        <v>0</v>
      </c>
      <c r="K2850">
        <v>2.72</v>
      </c>
      <c r="L2850">
        <v>6.4</v>
      </c>
      <c r="M2850">
        <v>6.3500000000000005</v>
      </c>
      <c r="N2850">
        <v>8.5500000000000007</v>
      </c>
      <c r="O2850">
        <v>1691</v>
      </c>
      <c r="P2850">
        <v>0</v>
      </c>
      <c r="Q2850" s="5" t="e">
        <f>IF(AND(#REF!&gt;=table!$C$6,#REF!&lt;= table!$D$6),-1,IF(AND(#REF!&gt;=table!$E$6,#REF!&lt;=table!$F$6),1,0))</f>
        <v>#REF!</v>
      </c>
      <c r="R2850" s="5" t="e">
        <f>IF(AND(#REF!&gt;=table!$C$7,#REF!&lt;= table!$D$7),-1,IF(AND(#REF!&gt;=table!$E$7,#REF!&lt;=table!$F$7),1,0))</f>
        <v>#REF!</v>
      </c>
      <c r="S2850" s="5" t="e">
        <f>IF(AND(#REF!&gt;=table!$C$8,#REF!&lt;= table!$D$8),-1,IF(AND(#REF!&gt;=table!$E$8,#REF!&lt;=table!$F$8),1,0))</f>
        <v>#REF!</v>
      </c>
      <c r="T2850" s="5"/>
      <c r="U2850" s="5" t="e">
        <f>IF(AND(#REF!&gt;=table!$C$10,#REF!&lt;= table!$D$10),-1,IF(AND(#REF!&gt;=table!$E$10,#REF!&lt;=table!$F$10),1,0))</f>
        <v>#REF!</v>
      </c>
      <c r="V2850" s="5" t="e">
        <f>IF(AND(#REF!&gt;=table!$C$11,#REF!&lt;= table!$D$11),-1,IF(AND(#REF!&gt;=table!$E$11,#REF!&lt;=table!$F$11),1,0))</f>
        <v>#REF!</v>
      </c>
      <c r="W2850" s="5" t="e">
        <f>CONCATENATE(dados[[#This Row],[fator1]],dados[[#This Row],[fator5]],dados[[#This Row],[fator6]])</f>
        <v>#REF!</v>
      </c>
    </row>
    <row r="2851" spans="1:23">
      <c r="A2851" t="s">
        <v>16</v>
      </c>
      <c r="B2851">
        <v>585220</v>
      </c>
      <c r="C2851">
        <v>0.15</v>
      </c>
      <c r="D2851">
        <v>40</v>
      </c>
      <c r="E2851">
        <v>10</v>
      </c>
      <c r="F2851">
        <v>15</v>
      </c>
      <c r="G2851">
        <v>0</v>
      </c>
      <c r="H2851">
        <v>15</v>
      </c>
      <c r="I2851">
        <v>0</v>
      </c>
      <c r="J2851">
        <v>0</v>
      </c>
      <c r="K2851">
        <v>3.58</v>
      </c>
      <c r="L2851">
        <v>10.8</v>
      </c>
      <c r="M2851">
        <v>8.620000000000001</v>
      </c>
      <c r="N2851">
        <v>8.2149999999999999</v>
      </c>
      <c r="O2851">
        <v>1711</v>
      </c>
      <c r="P2851">
        <v>0</v>
      </c>
      <c r="Q2851" s="5" t="e">
        <f>IF(AND(#REF!&gt;=table!$C$6,#REF!&lt;= table!$D$6),-1,IF(AND(#REF!&gt;=table!$E$6,#REF!&lt;=table!$F$6),1,0))</f>
        <v>#REF!</v>
      </c>
      <c r="R2851" s="5" t="e">
        <f>IF(AND(#REF!&gt;=table!$C$7,#REF!&lt;= table!$D$7),-1,IF(AND(#REF!&gt;=table!$E$7,#REF!&lt;=table!$F$7),1,0))</f>
        <v>#REF!</v>
      </c>
      <c r="S2851" s="5" t="e">
        <f>IF(AND(#REF!&gt;=table!$C$8,#REF!&lt;= table!$D$8),-1,IF(AND(#REF!&gt;=table!$E$8,#REF!&lt;=table!$F$8),1,0))</f>
        <v>#REF!</v>
      </c>
      <c r="T2851" s="5"/>
      <c r="U2851" s="5" t="e">
        <f>IF(AND(#REF!&gt;=table!$C$10,#REF!&lt;= table!$D$10),-1,IF(AND(#REF!&gt;=table!$E$10,#REF!&lt;=table!$F$10),1,0))</f>
        <v>#REF!</v>
      </c>
      <c r="V2851" s="5" t="e">
        <f>IF(AND(#REF!&gt;=table!$C$11,#REF!&lt;= table!$D$11),-1,IF(AND(#REF!&gt;=table!$E$11,#REF!&lt;=table!$F$11),1,0))</f>
        <v>#REF!</v>
      </c>
      <c r="W2851" s="5" t="e">
        <f>CONCATENATE(dados[[#This Row],[fator1]],dados[[#This Row],[fator5]],dados[[#This Row],[fator6]])</f>
        <v>#REF!</v>
      </c>
    </row>
    <row r="2852" spans="1:23">
      <c r="A2852" t="s">
        <v>16</v>
      </c>
      <c r="B2852">
        <v>585223</v>
      </c>
      <c r="C2852">
        <v>0.15</v>
      </c>
      <c r="D2852">
        <v>40</v>
      </c>
      <c r="E2852">
        <v>10</v>
      </c>
      <c r="F2852">
        <v>15</v>
      </c>
      <c r="G2852">
        <v>0</v>
      </c>
      <c r="H2852">
        <v>15</v>
      </c>
      <c r="I2852">
        <v>868</v>
      </c>
      <c r="J2852">
        <v>0</v>
      </c>
      <c r="K2852">
        <v>2.3199999999999998</v>
      </c>
      <c r="L2852">
        <v>9.9</v>
      </c>
      <c r="M2852">
        <v>8.9500000000000011</v>
      </c>
      <c r="N2852">
        <v>14.450000000000001</v>
      </c>
      <c r="O2852">
        <v>1679</v>
      </c>
      <c r="P2852">
        <v>1189</v>
      </c>
      <c r="Q2852" s="5" t="e">
        <f>IF(AND(#REF!&gt;=table!$C$6,#REF!&lt;= table!$D$6),-1,IF(AND(#REF!&gt;=table!$E$6,#REF!&lt;=table!$F$6),1,0))</f>
        <v>#REF!</v>
      </c>
      <c r="R2852" s="5" t="e">
        <f>IF(AND(#REF!&gt;=table!$C$7,#REF!&lt;= table!$D$7),-1,IF(AND(#REF!&gt;=table!$E$7,#REF!&lt;=table!$F$7),1,0))</f>
        <v>#REF!</v>
      </c>
      <c r="S2852" s="5" t="e">
        <f>IF(AND(#REF!&gt;=table!$C$8,#REF!&lt;= table!$D$8),-1,IF(AND(#REF!&gt;=table!$E$8,#REF!&lt;=table!$F$8),1,0))</f>
        <v>#REF!</v>
      </c>
      <c r="T2852" s="5"/>
      <c r="U2852" s="5" t="e">
        <f>IF(AND(#REF!&gt;=table!$C$10,#REF!&lt;= table!$D$10),-1,IF(AND(#REF!&gt;=table!$E$10,#REF!&lt;=table!$F$10),1,0))</f>
        <v>#REF!</v>
      </c>
      <c r="V2852" s="5" t="e">
        <f>IF(AND(#REF!&gt;=table!$C$11,#REF!&lt;= table!$D$11),-1,IF(AND(#REF!&gt;=table!$E$11,#REF!&lt;=table!$F$11),1,0))</f>
        <v>#REF!</v>
      </c>
      <c r="W2852" s="5" t="e">
        <f>CONCATENATE(dados[[#This Row],[fator1]],dados[[#This Row],[fator5]],dados[[#This Row],[fator6]])</f>
        <v>#REF!</v>
      </c>
    </row>
    <row r="2853" spans="1:23">
      <c r="A2853" t="s">
        <v>16</v>
      </c>
      <c r="B2853">
        <v>585227</v>
      </c>
      <c r="C2853">
        <v>0.1</v>
      </c>
      <c r="D2853">
        <v>35</v>
      </c>
      <c r="E2853">
        <v>10</v>
      </c>
      <c r="F2853">
        <v>10</v>
      </c>
      <c r="G2853">
        <v>0</v>
      </c>
      <c r="H2853">
        <v>12</v>
      </c>
      <c r="I2853">
        <v>1083</v>
      </c>
      <c r="J2853">
        <v>0</v>
      </c>
      <c r="K2853">
        <v>4.0200000000000005</v>
      </c>
      <c r="L2853">
        <v>11.9</v>
      </c>
      <c r="M2853">
        <v>10.4</v>
      </c>
      <c r="N2853">
        <v>9.8000000000000007</v>
      </c>
      <c r="O2853">
        <v>1682</v>
      </c>
      <c r="P2853">
        <v>0</v>
      </c>
      <c r="Q2853" s="5" t="e">
        <f>IF(AND(#REF!&gt;=table!$C$6,#REF!&lt;= table!$D$6),-1,IF(AND(#REF!&gt;=table!$E$6,#REF!&lt;=table!$F$6),1,0))</f>
        <v>#REF!</v>
      </c>
      <c r="R2853" s="5" t="e">
        <f>IF(AND(#REF!&gt;=table!$C$7,#REF!&lt;= table!$D$7),-1,IF(AND(#REF!&gt;=table!$E$7,#REF!&lt;=table!$F$7),1,0))</f>
        <v>#REF!</v>
      </c>
      <c r="S2853" s="5" t="e">
        <f>IF(AND(#REF!&gt;=table!$C$8,#REF!&lt;= table!$D$8),-1,IF(AND(#REF!&gt;=table!$E$8,#REF!&lt;=table!$F$8),1,0))</f>
        <v>#REF!</v>
      </c>
      <c r="T2853" s="5"/>
      <c r="U2853" s="5" t="e">
        <f>IF(AND(#REF!&gt;=table!$C$10,#REF!&lt;= table!$D$10),-1,IF(AND(#REF!&gt;=table!$E$10,#REF!&lt;=table!$F$10),1,0))</f>
        <v>#REF!</v>
      </c>
      <c r="V2853" s="5" t="e">
        <f>IF(AND(#REF!&gt;=table!$C$11,#REF!&lt;= table!$D$11),-1,IF(AND(#REF!&gt;=table!$E$11,#REF!&lt;=table!$F$11),1,0))</f>
        <v>#REF!</v>
      </c>
      <c r="W2853" s="5" t="e">
        <f>CONCATENATE(dados[[#This Row],[fator1]],dados[[#This Row],[fator5]],dados[[#This Row],[fator6]])</f>
        <v>#REF!</v>
      </c>
    </row>
    <row r="2854" spans="1:23">
      <c r="A2854" t="s">
        <v>16</v>
      </c>
      <c r="B2854">
        <v>585230</v>
      </c>
      <c r="C2854">
        <v>0.1</v>
      </c>
      <c r="D2854">
        <v>35</v>
      </c>
      <c r="E2854">
        <v>10</v>
      </c>
      <c r="F2854">
        <v>10</v>
      </c>
      <c r="G2854">
        <v>0</v>
      </c>
      <c r="H2854">
        <v>12</v>
      </c>
      <c r="I2854">
        <v>1484</v>
      </c>
      <c r="J2854">
        <v>0</v>
      </c>
      <c r="K2854">
        <v>4.6000000000000005</v>
      </c>
      <c r="L2854">
        <v>11.4</v>
      </c>
      <c r="M2854">
        <v>9.9350000000000005</v>
      </c>
      <c r="N2854">
        <v>8.64</v>
      </c>
      <c r="O2854">
        <v>1698</v>
      </c>
      <c r="P2854">
        <v>0</v>
      </c>
      <c r="Q2854" s="5" t="e">
        <f>IF(AND(#REF!&gt;=table!$C$6,#REF!&lt;= table!$D$6),-1,IF(AND(#REF!&gt;=table!$E$6,#REF!&lt;=table!$F$6),1,0))</f>
        <v>#REF!</v>
      </c>
      <c r="R2854" s="5" t="e">
        <f>IF(AND(#REF!&gt;=table!$C$7,#REF!&lt;= table!$D$7),-1,IF(AND(#REF!&gt;=table!$E$7,#REF!&lt;=table!$F$7),1,0))</f>
        <v>#REF!</v>
      </c>
      <c r="S2854" s="5" t="e">
        <f>IF(AND(#REF!&gt;=table!$C$8,#REF!&lt;= table!$D$8),-1,IF(AND(#REF!&gt;=table!$E$8,#REF!&lt;=table!$F$8),1,0))</f>
        <v>#REF!</v>
      </c>
      <c r="T2854" s="5"/>
      <c r="U2854" s="5" t="e">
        <f>IF(AND(#REF!&gt;=table!$C$10,#REF!&lt;= table!$D$10),-1,IF(AND(#REF!&gt;=table!$E$10,#REF!&lt;=table!$F$10),1,0))</f>
        <v>#REF!</v>
      </c>
      <c r="V2854" s="5" t="e">
        <f>IF(AND(#REF!&gt;=table!$C$11,#REF!&lt;= table!$D$11),-1,IF(AND(#REF!&gt;=table!$E$11,#REF!&lt;=table!$F$11),1,0))</f>
        <v>#REF!</v>
      </c>
      <c r="W2854" s="5" t="e">
        <f>CONCATENATE(dados[[#This Row],[fator1]],dados[[#This Row],[fator5]],dados[[#This Row],[fator6]])</f>
        <v>#REF!</v>
      </c>
    </row>
    <row r="2855" spans="1:23">
      <c r="A2855" t="s">
        <v>17</v>
      </c>
      <c r="B2855">
        <v>585234</v>
      </c>
      <c r="C2855">
        <v>18</v>
      </c>
      <c r="D2855">
        <v>23</v>
      </c>
      <c r="E2855">
        <v>155</v>
      </c>
      <c r="F2855">
        <v>4</v>
      </c>
      <c r="G2855">
        <v>30</v>
      </c>
      <c r="H2855">
        <v>25</v>
      </c>
      <c r="I2855">
        <v>633</v>
      </c>
      <c r="J2855">
        <v>0</v>
      </c>
      <c r="K2855">
        <v>9.5050000000000008</v>
      </c>
      <c r="L2855">
        <v>19.600000000000001</v>
      </c>
      <c r="M2855">
        <v>114.9</v>
      </c>
      <c r="N2855">
        <v>13.75</v>
      </c>
      <c r="O2855">
        <v>1676</v>
      </c>
      <c r="P2855">
        <v>328</v>
      </c>
      <c r="Q2855" s="5" t="e">
        <f>IF(AND(#REF!&gt;=table!$C$6,#REF!&lt;= table!$D$6),-1,IF(AND(#REF!&gt;=table!$E$6,#REF!&lt;=table!$F$6),1,0))</f>
        <v>#REF!</v>
      </c>
      <c r="R2855" s="5" t="e">
        <f>IF(AND(#REF!&gt;=table!$C$7,#REF!&lt;= table!$D$7),-1,IF(AND(#REF!&gt;=table!$E$7,#REF!&lt;=table!$F$7),1,0))</f>
        <v>#REF!</v>
      </c>
      <c r="S2855" s="5" t="e">
        <f>IF(AND(#REF!&gt;=table!$C$8,#REF!&lt;= table!$D$8),-1,IF(AND(#REF!&gt;=table!$E$8,#REF!&lt;=table!$F$8),1,0))</f>
        <v>#REF!</v>
      </c>
      <c r="T2855" s="5"/>
      <c r="U2855" s="5" t="e">
        <f>IF(AND(#REF!&gt;=table!$C$10,#REF!&lt;= table!$D$10),-1,IF(AND(#REF!&gt;=table!$E$10,#REF!&lt;=table!$F$10),1,0))</f>
        <v>#REF!</v>
      </c>
      <c r="V2855" s="5" t="e">
        <f>IF(AND(#REF!&gt;=table!$C$11,#REF!&lt;= table!$D$11),-1,IF(AND(#REF!&gt;=table!$E$11,#REF!&lt;=table!$F$11),1,0))</f>
        <v>#REF!</v>
      </c>
      <c r="W2855" s="5" t="e">
        <f>CONCATENATE(dados[[#This Row],[fator1]],dados[[#This Row],[fator5]],dados[[#This Row],[fator6]])</f>
        <v>#REF!</v>
      </c>
    </row>
    <row r="2856" spans="1:23">
      <c r="A2856" t="s">
        <v>17</v>
      </c>
      <c r="B2856">
        <v>585235</v>
      </c>
      <c r="C2856">
        <v>16</v>
      </c>
      <c r="D2856">
        <v>30</v>
      </c>
      <c r="E2856">
        <v>106</v>
      </c>
      <c r="F2856">
        <v>9</v>
      </c>
      <c r="G2856">
        <v>20</v>
      </c>
      <c r="H2856">
        <v>25</v>
      </c>
      <c r="I2856">
        <v>482</v>
      </c>
      <c r="J2856">
        <v>0</v>
      </c>
      <c r="K2856">
        <v>3.5550000000000002</v>
      </c>
      <c r="L2856">
        <v>20.3</v>
      </c>
      <c r="M2856">
        <v>82.9</v>
      </c>
      <c r="N2856">
        <v>20.900000000000002</v>
      </c>
      <c r="O2856">
        <v>1740</v>
      </c>
      <c r="P2856">
        <v>0</v>
      </c>
      <c r="Q2856" s="5" t="e">
        <f>IF(AND(#REF!&gt;=table!$C$6,#REF!&lt;= table!$D$6),-1,IF(AND(#REF!&gt;=table!$E$6,#REF!&lt;=table!$F$6),1,0))</f>
        <v>#REF!</v>
      </c>
      <c r="R2856" s="5" t="e">
        <f>IF(AND(#REF!&gt;=table!$C$7,#REF!&lt;= table!$D$7),-1,IF(AND(#REF!&gt;=table!$E$7,#REF!&lt;=table!$F$7),1,0))</f>
        <v>#REF!</v>
      </c>
      <c r="S2856" s="5" t="e">
        <f>IF(AND(#REF!&gt;=table!$C$8,#REF!&lt;= table!$D$8),-1,IF(AND(#REF!&gt;=table!$E$8,#REF!&lt;=table!$F$8),1,0))</f>
        <v>#REF!</v>
      </c>
      <c r="T2856" s="5"/>
      <c r="U2856" s="5" t="e">
        <f>IF(AND(#REF!&gt;=table!$C$10,#REF!&lt;= table!$D$10),-1,IF(AND(#REF!&gt;=table!$E$10,#REF!&lt;=table!$F$10),1,0))</f>
        <v>#REF!</v>
      </c>
      <c r="V2856" s="5" t="e">
        <f>IF(AND(#REF!&gt;=table!$C$11,#REF!&lt;= table!$D$11),-1,IF(AND(#REF!&gt;=table!$E$11,#REF!&lt;=table!$F$11),1,0))</f>
        <v>#REF!</v>
      </c>
      <c r="W2856" s="5" t="e">
        <f>CONCATENATE(dados[[#This Row],[fator1]],dados[[#This Row],[fator5]],dados[[#This Row],[fator6]])</f>
        <v>#REF!</v>
      </c>
    </row>
    <row r="2857" spans="1:23">
      <c r="A2857" t="s">
        <v>17</v>
      </c>
      <c r="B2857">
        <v>585237</v>
      </c>
      <c r="C2857">
        <v>18</v>
      </c>
      <c r="D2857">
        <v>23</v>
      </c>
      <c r="E2857">
        <v>145</v>
      </c>
      <c r="F2857">
        <v>9</v>
      </c>
      <c r="G2857">
        <v>30</v>
      </c>
      <c r="H2857">
        <v>25</v>
      </c>
      <c r="I2857">
        <v>20</v>
      </c>
      <c r="J2857">
        <v>0</v>
      </c>
      <c r="K2857">
        <v>11.695</v>
      </c>
      <c r="L2857">
        <v>27.7</v>
      </c>
      <c r="M2857">
        <v>106.2</v>
      </c>
      <c r="N2857">
        <v>24.45</v>
      </c>
      <c r="O2857">
        <v>1685</v>
      </c>
      <c r="P2857">
        <v>0</v>
      </c>
      <c r="Q2857" s="5" t="e">
        <f>IF(AND(#REF!&gt;=table!$C$6,#REF!&lt;= table!$D$6),-1,IF(AND(#REF!&gt;=table!$E$6,#REF!&lt;=table!$F$6),1,0))</f>
        <v>#REF!</v>
      </c>
      <c r="R2857" s="5" t="e">
        <f>IF(AND(#REF!&gt;=table!$C$7,#REF!&lt;= table!$D$7),-1,IF(AND(#REF!&gt;=table!$E$7,#REF!&lt;=table!$F$7),1,0))</f>
        <v>#REF!</v>
      </c>
      <c r="S2857" s="5" t="e">
        <f>IF(AND(#REF!&gt;=table!$C$8,#REF!&lt;= table!$D$8),-1,IF(AND(#REF!&gt;=table!$E$8,#REF!&lt;=table!$F$8),1,0))</f>
        <v>#REF!</v>
      </c>
      <c r="T2857" s="5"/>
      <c r="U2857" s="5" t="e">
        <f>IF(AND(#REF!&gt;=table!$C$10,#REF!&lt;= table!$D$10),-1,IF(AND(#REF!&gt;=table!$E$10,#REF!&lt;=table!$F$10),1,0))</f>
        <v>#REF!</v>
      </c>
      <c r="V2857" s="5" t="e">
        <f>IF(AND(#REF!&gt;=table!$C$11,#REF!&lt;= table!$D$11),-1,IF(AND(#REF!&gt;=table!$E$11,#REF!&lt;=table!$F$11),1,0))</f>
        <v>#REF!</v>
      </c>
      <c r="W2857" s="5" t="e">
        <f>CONCATENATE(dados[[#This Row],[fator1]],dados[[#This Row],[fator5]],dados[[#This Row],[fator6]])</f>
        <v>#REF!</v>
      </c>
    </row>
    <row r="2858" spans="1:23">
      <c r="A2858" t="s">
        <v>17</v>
      </c>
      <c r="B2858">
        <v>585238</v>
      </c>
      <c r="C2858">
        <v>18</v>
      </c>
      <c r="D2858">
        <v>23</v>
      </c>
      <c r="E2858">
        <v>145</v>
      </c>
      <c r="F2858">
        <v>9</v>
      </c>
      <c r="G2858">
        <v>30</v>
      </c>
      <c r="H2858">
        <v>25</v>
      </c>
      <c r="I2858">
        <v>75</v>
      </c>
      <c r="J2858">
        <v>0</v>
      </c>
      <c r="K2858">
        <v>12.36</v>
      </c>
      <c r="L2858">
        <v>21.7</v>
      </c>
      <c r="M2858">
        <v>122.03500000000001</v>
      </c>
      <c r="N2858">
        <v>17.145</v>
      </c>
      <c r="O2858">
        <v>1680</v>
      </c>
      <c r="P2858">
        <v>0</v>
      </c>
      <c r="Q2858" s="5" t="e">
        <f>IF(AND(#REF!&gt;=table!$C$6,#REF!&lt;= table!$D$6),-1,IF(AND(#REF!&gt;=table!$E$6,#REF!&lt;=table!$F$6),1,0))</f>
        <v>#REF!</v>
      </c>
      <c r="R2858" s="5" t="e">
        <f>IF(AND(#REF!&gt;=table!$C$7,#REF!&lt;= table!$D$7),-1,IF(AND(#REF!&gt;=table!$E$7,#REF!&lt;=table!$F$7),1,0))</f>
        <v>#REF!</v>
      </c>
      <c r="S2858" s="5" t="e">
        <f>IF(AND(#REF!&gt;=table!$C$8,#REF!&lt;= table!$D$8),-1,IF(AND(#REF!&gt;=table!$E$8,#REF!&lt;=table!$F$8),1,0))</f>
        <v>#REF!</v>
      </c>
      <c r="T2858" s="5"/>
      <c r="U2858" s="5" t="e">
        <f>IF(AND(#REF!&gt;=table!$C$10,#REF!&lt;= table!$D$10),-1,IF(AND(#REF!&gt;=table!$E$10,#REF!&lt;=table!$F$10),1,0))</f>
        <v>#REF!</v>
      </c>
      <c r="V2858" s="5" t="e">
        <f>IF(AND(#REF!&gt;=table!$C$11,#REF!&lt;= table!$D$11),-1,IF(AND(#REF!&gt;=table!$E$11,#REF!&lt;=table!$F$11),1,0))</f>
        <v>#REF!</v>
      </c>
      <c r="W2858" s="5" t="e">
        <f>CONCATENATE(dados[[#This Row],[fator1]],dados[[#This Row],[fator5]],dados[[#This Row],[fator6]])</f>
        <v>#REF!</v>
      </c>
    </row>
    <row r="2859" spans="1:23">
      <c r="A2859" t="s">
        <v>17</v>
      </c>
      <c r="B2859">
        <v>585240</v>
      </c>
      <c r="C2859">
        <v>51</v>
      </c>
      <c r="D2859">
        <v>30</v>
      </c>
      <c r="E2859">
        <v>66</v>
      </c>
      <c r="F2859">
        <v>9</v>
      </c>
      <c r="G2859">
        <v>20</v>
      </c>
      <c r="H2859">
        <v>25</v>
      </c>
      <c r="I2859">
        <v>1245</v>
      </c>
      <c r="J2859">
        <v>0</v>
      </c>
      <c r="K2859">
        <v>7.6450000000000005</v>
      </c>
      <c r="L2859">
        <v>18.900000000000002</v>
      </c>
      <c r="M2859">
        <v>59.300000000000004</v>
      </c>
      <c r="N2859">
        <v>14</v>
      </c>
      <c r="O2859">
        <v>1681</v>
      </c>
      <c r="P2859">
        <v>368</v>
      </c>
      <c r="Q2859" s="5" t="e">
        <f>IF(AND(#REF!&gt;=table!$C$6,#REF!&lt;= table!$D$6),-1,IF(AND(#REF!&gt;=table!$E$6,#REF!&lt;=table!$F$6),1,0))</f>
        <v>#REF!</v>
      </c>
      <c r="R2859" s="5" t="e">
        <f>IF(AND(#REF!&gt;=table!$C$7,#REF!&lt;= table!$D$7),-1,IF(AND(#REF!&gt;=table!$E$7,#REF!&lt;=table!$F$7),1,0))</f>
        <v>#REF!</v>
      </c>
      <c r="S2859" s="5" t="e">
        <f>IF(AND(#REF!&gt;=table!$C$8,#REF!&lt;= table!$D$8),-1,IF(AND(#REF!&gt;=table!$E$8,#REF!&lt;=table!$F$8),1,0))</f>
        <v>#REF!</v>
      </c>
      <c r="T2859" s="5"/>
      <c r="U2859" s="5" t="e">
        <f>IF(AND(#REF!&gt;=table!$C$10,#REF!&lt;= table!$D$10),-1,IF(AND(#REF!&gt;=table!$E$10,#REF!&lt;=table!$F$10),1,0))</f>
        <v>#REF!</v>
      </c>
      <c r="V2859" s="5" t="e">
        <f>IF(AND(#REF!&gt;=table!$C$11,#REF!&lt;= table!$D$11),-1,IF(AND(#REF!&gt;=table!$E$11,#REF!&lt;=table!$F$11),1,0))</f>
        <v>#REF!</v>
      </c>
      <c r="W2859" s="5" t="e">
        <f>CONCATENATE(dados[[#This Row],[fator1]],dados[[#This Row],[fator5]],dados[[#This Row],[fator6]])</f>
        <v>#REF!</v>
      </c>
    </row>
    <row r="2860" spans="1:23">
      <c r="A2860" t="s">
        <v>17</v>
      </c>
      <c r="B2860">
        <v>585241</v>
      </c>
      <c r="C2860">
        <v>18</v>
      </c>
      <c r="D2860">
        <v>30</v>
      </c>
      <c r="E2860">
        <v>136</v>
      </c>
      <c r="F2860">
        <v>3</v>
      </c>
      <c r="G2860">
        <v>20</v>
      </c>
      <c r="H2860">
        <v>25</v>
      </c>
      <c r="I2860">
        <v>307</v>
      </c>
      <c r="J2860">
        <v>0</v>
      </c>
      <c r="K2860">
        <v>4.28</v>
      </c>
      <c r="L2860">
        <v>16.899999999999999</v>
      </c>
      <c r="M2860">
        <v>116.8</v>
      </c>
      <c r="N2860">
        <v>17</v>
      </c>
      <c r="O2860">
        <v>1675</v>
      </c>
      <c r="P2860">
        <v>535</v>
      </c>
      <c r="Q2860" s="5" t="e">
        <f>IF(AND(#REF!&gt;=table!$C$6,#REF!&lt;= table!$D$6),-1,IF(AND(#REF!&gt;=table!$E$6,#REF!&lt;=table!$F$6),1,0))</f>
        <v>#REF!</v>
      </c>
      <c r="R2860" s="5" t="e">
        <f>IF(AND(#REF!&gt;=table!$C$7,#REF!&lt;= table!$D$7),-1,IF(AND(#REF!&gt;=table!$E$7,#REF!&lt;=table!$F$7),1,0))</f>
        <v>#REF!</v>
      </c>
      <c r="S2860" s="5" t="e">
        <f>IF(AND(#REF!&gt;=table!$C$8,#REF!&lt;= table!$D$8),-1,IF(AND(#REF!&gt;=table!$E$8,#REF!&lt;=table!$F$8),1,0))</f>
        <v>#REF!</v>
      </c>
      <c r="T2860" s="5"/>
      <c r="U2860" s="5" t="e">
        <f>IF(AND(#REF!&gt;=table!$C$10,#REF!&lt;= table!$D$10),-1,IF(AND(#REF!&gt;=table!$E$10,#REF!&lt;=table!$F$10),1,0))</f>
        <v>#REF!</v>
      </c>
      <c r="V2860" s="5" t="e">
        <f>IF(AND(#REF!&gt;=table!$C$11,#REF!&lt;= table!$D$11),-1,IF(AND(#REF!&gt;=table!$E$11,#REF!&lt;=table!$F$11),1,0))</f>
        <v>#REF!</v>
      </c>
      <c r="W2860" s="5" t="e">
        <f>CONCATENATE(dados[[#This Row],[fator1]],dados[[#This Row],[fator5]],dados[[#This Row],[fator6]])</f>
        <v>#REF!</v>
      </c>
    </row>
    <row r="2861" spans="1:23">
      <c r="A2861" t="s">
        <v>17</v>
      </c>
      <c r="B2861">
        <v>585242</v>
      </c>
      <c r="C2861">
        <v>18</v>
      </c>
      <c r="D2861">
        <v>30</v>
      </c>
      <c r="E2861">
        <v>136</v>
      </c>
      <c r="F2861">
        <v>3</v>
      </c>
      <c r="G2861">
        <v>20</v>
      </c>
      <c r="H2861">
        <v>25</v>
      </c>
      <c r="I2861">
        <v>0</v>
      </c>
      <c r="J2861">
        <v>0</v>
      </c>
      <c r="K2861">
        <v>12.625</v>
      </c>
      <c r="L2861">
        <v>19.5</v>
      </c>
      <c r="M2861">
        <v>110.35000000000001</v>
      </c>
      <c r="N2861">
        <v>17.850000000000001</v>
      </c>
      <c r="O2861">
        <v>1674</v>
      </c>
      <c r="P2861">
        <v>220</v>
      </c>
      <c r="Q2861" s="5" t="e">
        <f>IF(AND(#REF!&gt;=table!$C$6,#REF!&lt;= table!$D$6),-1,IF(AND(#REF!&gt;=table!$E$6,#REF!&lt;=table!$F$6),1,0))</f>
        <v>#REF!</v>
      </c>
      <c r="R2861" s="5" t="e">
        <f>IF(AND(#REF!&gt;=table!$C$7,#REF!&lt;= table!$D$7),-1,IF(AND(#REF!&gt;=table!$E$7,#REF!&lt;=table!$F$7),1,0))</f>
        <v>#REF!</v>
      </c>
      <c r="S2861" s="5" t="e">
        <f>IF(AND(#REF!&gt;=table!$C$8,#REF!&lt;= table!$D$8),-1,IF(AND(#REF!&gt;=table!$E$8,#REF!&lt;=table!$F$8),1,0))</f>
        <v>#REF!</v>
      </c>
      <c r="T2861" s="5"/>
      <c r="U2861" s="5" t="e">
        <f>IF(AND(#REF!&gt;=table!$C$10,#REF!&lt;= table!$D$10),-1,IF(AND(#REF!&gt;=table!$E$10,#REF!&lt;=table!$F$10),1,0))</f>
        <v>#REF!</v>
      </c>
      <c r="V2861" s="5" t="e">
        <f>IF(AND(#REF!&gt;=table!$C$11,#REF!&lt;= table!$D$11),-1,IF(AND(#REF!&gt;=table!$E$11,#REF!&lt;=table!$F$11),1,0))</f>
        <v>#REF!</v>
      </c>
      <c r="W2861" s="5" t="e">
        <f>CONCATENATE(dados[[#This Row],[fator1]],dados[[#This Row],[fator5]],dados[[#This Row],[fator6]])</f>
        <v>#REF!</v>
      </c>
    </row>
    <row r="2862" spans="1:23">
      <c r="A2862" t="s">
        <v>17</v>
      </c>
      <c r="B2862">
        <v>585243</v>
      </c>
      <c r="C2862">
        <v>18</v>
      </c>
      <c r="D2862">
        <v>30</v>
      </c>
      <c r="E2862">
        <v>136</v>
      </c>
      <c r="F2862">
        <v>3</v>
      </c>
      <c r="G2862">
        <v>20</v>
      </c>
      <c r="H2862">
        <v>25</v>
      </c>
      <c r="I2862">
        <v>1274</v>
      </c>
      <c r="J2862">
        <v>0</v>
      </c>
      <c r="K2862">
        <v>12.31</v>
      </c>
      <c r="L2862">
        <v>17.350000000000001</v>
      </c>
      <c r="M2862">
        <v>92.600000000000009</v>
      </c>
      <c r="N2862">
        <v>13.1</v>
      </c>
      <c r="O2862">
        <v>1683</v>
      </c>
      <c r="P2862">
        <v>0</v>
      </c>
      <c r="Q2862" s="5" t="e">
        <f>IF(AND(#REF!&gt;=table!$C$6,#REF!&lt;= table!$D$6),-1,IF(AND(#REF!&gt;=table!$E$6,#REF!&lt;=table!$F$6),1,0))</f>
        <v>#REF!</v>
      </c>
      <c r="R2862" s="5" t="e">
        <f>IF(AND(#REF!&gt;=table!$C$7,#REF!&lt;= table!$D$7),-1,IF(AND(#REF!&gt;=table!$E$7,#REF!&lt;=table!$F$7),1,0))</f>
        <v>#REF!</v>
      </c>
      <c r="S2862" s="5" t="e">
        <f>IF(AND(#REF!&gt;=table!$C$8,#REF!&lt;= table!$D$8),-1,IF(AND(#REF!&gt;=table!$E$8,#REF!&lt;=table!$F$8),1,0))</f>
        <v>#REF!</v>
      </c>
      <c r="T2862" s="5"/>
      <c r="U2862" s="5" t="e">
        <f>IF(AND(#REF!&gt;=table!$C$10,#REF!&lt;= table!$D$10),-1,IF(AND(#REF!&gt;=table!$E$10,#REF!&lt;=table!$F$10),1,0))</f>
        <v>#REF!</v>
      </c>
      <c r="V2862" s="5" t="e">
        <f>IF(AND(#REF!&gt;=table!$C$11,#REF!&lt;= table!$D$11),-1,IF(AND(#REF!&gt;=table!$E$11,#REF!&lt;=table!$F$11),1,0))</f>
        <v>#REF!</v>
      </c>
      <c r="W2862" s="5" t="e">
        <f>CONCATENATE(dados[[#This Row],[fator1]],dados[[#This Row],[fator5]],dados[[#This Row],[fator6]])</f>
        <v>#REF!</v>
      </c>
    </row>
    <row r="2863" spans="1:23">
      <c r="A2863" t="s">
        <v>17</v>
      </c>
      <c r="B2863">
        <v>585245</v>
      </c>
      <c r="C2863">
        <v>16</v>
      </c>
      <c r="D2863">
        <v>35</v>
      </c>
      <c r="E2863">
        <v>136</v>
      </c>
      <c r="F2863">
        <v>4</v>
      </c>
      <c r="G2863">
        <v>30</v>
      </c>
      <c r="H2863">
        <v>25</v>
      </c>
      <c r="I2863">
        <v>470</v>
      </c>
      <c r="J2863">
        <v>0</v>
      </c>
      <c r="K2863">
        <v>5.9550000000000001</v>
      </c>
      <c r="L2863">
        <v>18.2</v>
      </c>
      <c r="M2863">
        <v>140.9</v>
      </c>
      <c r="N2863">
        <v>11.3</v>
      </c>
      <c r="O2863">
        <v>1669</v>
      </c>
      <c r="P2863">
        <v>526</v>
      </c>
      <c r="Q2863" s="5" t="e">
        <f>IF(AND(#REF!&gt;=table!$C$6,#REF!&lt;= table!$D$6),-1,IF(AND(#REF!&gt;=table!$E$6,#REF!&lt;=table!$F$6),1,0))</f>
        <v>#REF!</v>
      </c>
      <c r="R2863" s="5" t="e">
        <f>IF(AND(#REF!&gt;=table!$C$7,#REF!&lt;= table!$D$7),-1,IF(AND(#REF!&gt;=table!$E$7,#REF!&lt;=table!$F$7),1,0))</f>
        <v>#REF!</v>
      </c>
      <c r="S2863" s="5" t="e">
        <f>IF(AND(#REF!&gt;=table!$C$8,#REF!&lt;= table!$D$8),-1,IF(AND(#REF!&gt;=table!$E$8,#REF!&lt;=table!$F$8),1,0))</f>
        <v>#REF!</v>
      </c>
      <c r="T2863" s="5"/>
      <c r="U2863" s="5" t="e">
        <f>IF(AND(#REF!&gt;=table!$C$10,#REF!&lt;= table!$D$10),-1,IF(AND(#REF!&gt;=table!$E$10,#REF!&lt;=table!$F$10),1,0))</f>
        <v>#REF!</v>
      </c>
      <c r="V2863" s="5" t="e">
        <f>IF(AND(#REF!&gt;=table!$C$11,#REF!&lt;= table!$D$11),-1,IF(AND(#REF!&gt;=table!$E$11,#REF!&lt;=table!$F$11),1,0))</f>
        <v>#REF!</v>
      </c>
      <c r="W2863" s="5" t="e">
        <f>CONCATENATE(dados[[#This Row],[fator1]],dados[[#This Row],[fator5]],dados[[#This Row],[fator6]])</f>
        <v>#REF!</v>
      </c>
    </row>
    <row r="2864" spans="1:23">
      <c r="A2864" t="s">
        <v>17</v>
      </c>
      <c r="B2864">
        <v>585247</v>
      </c>
      <c r="C2864">
        <v>30</v>
      </c>
      <c r="D2864">
        <v>18</v>
      </c>
      <c r="E2864">
        <v>66</v>
      </c>
      <c r="F2864">
        <v>6</v>
      </c>
      <c r="G2864">
        <v>20</v>
      </c>
      <c r="H2864">
        <v>25</v>
      </c>
      <c r="I2864">
        <v>512</v>
      </c>
      <c r="J2864">
        <v>0</v>
      </c>
      <c r="K2864">
        <v>3.88</v>
      </c>
      <c r="L2864">
        <v>16.149999999999999</v>
      </c>
      <c r="M2864">
        <v>51.855000000000004</v>
      </c>
      <c r="N2864">
        <v>15.610000000000001</v>
      </c>
      <c r="O2864">
        <v>1680</v>
      </c>
      <c r="P2864">
        <v>907</v>
      </c>
      <c r="Q2864" s="5" t="e">
        <f>IF(AND(#REF!&gt;=table!$C$6,#REF!&lt;= table!$D$6),-1,IF(AND(#REF!&gt;=table!$E$6,#REF!&lt;=table!$F$6),1,0))</f>
        <v>#REF!</v>
      </c>
      <c r="R2864" s="5" t="e">
        <f>IF(AND(#REF!&gt;=table!$C$7,#REF!&lt;= table!$D$7),-1,IF(AND(#REF!&gt;=table!$E$7,#REF!&lt;=table!$F$7),1,0))</f>
        <v>#REF!</v>
      </c>
      <c r="S2864" s="5" t="e">
        <f>IF(AND(#REF!&gt;=table!$C$8,#REF!&lt;= table!$D$8),-1,IF(AND(#REF!&gt;=table!$E$8,#REF!&lt;=table!$F$8),1,0))</f>
        <v>#REF!</v>
      </c>
      <c r="T2864" s="5"/>
      <c r="U2864" s="5" t="e">
        <f>IF(AND(#REF!&gt;=table!$C$10,#REF!&lt;= table!$D$10),-1,IF(AND(#REF!&gt;=table!$E$10,#REF!&lt;=table!$F$10),1,0))</f>
        <v>#REF!</v>
      </c>
      <c r="V2864" s="5" t="e">
        <f>IF(AND(#REF!&gt;=table!$C$11,#REF!&lt;= table!$D$11),-1,IF(AND(#REF!&gt;=table!$E$11,#REF!&lt;=table!$F$11),1,0))</f>
        <v>#REF!</v>
      </c>
      <c r="W2864" s="5" t="e">
        <f>CONCATENATE(dados[[#This Row],[fator1]],dados[[#This Row],[fator5]],dados[[#This Row],[fator6]])</f>
        <v>#REF!</v>
      </c>
    </row>
    <row r="2865" spans="1:23">
      <c r="A2865" t="s">
        <v>16</v>
      </c>
      <c r="B2865">
        <v>585252</v>
      </c>
      <c r="C2865">
        <v>7</v>
      </c>
      <c r="D2865">
        <v>33</v>
      </c>
      <c r="E2865">
        <v>150</v>
      </c>
      <c r="F2865">
        <v>4</v>
      </c>
      <c r="G2865">
        <v>0</v>
      </c>
      <c r="H2865">
        <v>25</v>
      </c>
      <c r="I2865">
        <v>100</v>
      </c>
      <c r="J2865">
        <v>0</v>
      </c>
      <c r="K2865">
        <v>3.2</v>
      </c>
      <c r="L2865">
        <v>13.4</v>
      </c>
      <c r="M2865">
        <v>126.25</v>
      </c>
      <c r="N2865">
        <v>15.5</v>
      </c>
      <c r="O2865">
        <v>1680</v>
      </c>
      <c r="P2865">
        <v>1131</v>
      </c>
      <c r="Q2865" s="5" t="e">
        <f>IF(AND(#REF!&gt;=table!$C$6,#REF!&lt;= table!$D$6),-1,IF(AND(#REF!&gt;=table!$E$6,#REF!&lt;=table!$F$6),1,0))</f>
        <v>#REF!</v>
      </c>
      <c r="R2865" s="5" t="e">
        <f>IF(AND(#REF!&gt;=table!$C$7,#REF!&lt;= table!$D$7),-1,IF(AND(#REF!&gt;=table!$E$7,#REF!&lt;=table!$F$7),1,0))</f>
        <v>#REF!</v>
      </c>
      <c r="S2865" s="5" t="e">
        <f>IF(AND(#REF!&gt;=table!$C$8,#REF!&lt;= table!$D$8),-1,IF(AND(#REF!&gt;=table!$E$8,#REF!&lt;=table!$F$8),1,0))</f>
        <v>#REF!</v>
      </c>
      <c r="T2865" s="5"/>
      <c r="U2865" s="5" t="e">
        <f>IF(AND(#REF!&gt;=table!$C$10,#REF!&lt;= table!$D$10),-1,IF(AND(#REF!&gt;=table!$E$10,#REF!&lt;=table!$F$10),1,0))</f>
        <v>#REF!</v>
      </c>
      <c r="V2865" s="5" t="e">
        <f>IF(AND(#REF!&gt;=table!$C$11,#REF!&lt;= table!$D$11),-1,IF(AND(#REF!&gt;=table!$E$11,#REF!&lt;=table!$F$11),1,0))</f>
        <v>#REF!</v>
      </c>
      <c r="W2865" s="5" t="e">
        <f>CONCATENATE(dados[[#This Row],[fator1]],dados[[#This Row],[fator5]],dados[[#This Row],[fator6]])</f>
        <v>#REF!</v>
      </c>
    </row>
    <row r="2866" spans="1:23">
      <c r="A2866" t="s">
        <v>16</v>
      </c>
      <c r="B2866">
        <v>585256</v>
      </c>
      <c r="C2866">
        <v>9</v>
      </c>
      <c r="D2866">
        <v>40</v>
      </c>
      <c r="E2866">
        <v>130</v>
      </c>
      <c r="F2866">
        <v>6</v>
      </c>
      <c r="G2866">
        <v>0</v>
      </c>
      <c r="H2866">
        <v>25</v>
      </c>
      <c r="I2866">
        <v>40</v>
      </c>
      <c r="J2866">
        <v>0</v>
      </c>
      <c r="K2866">
        <v>7.0550000000000006</v>
      </c>
      <c r="L2866">
        <v>15.975000000000001</v>
      </c>
      <c r="M2866">
        <v>107.55</v>
      </c>
      <c r="N2866">
        <v>14.200000000000001</v>
      </c>
      <c r="O2866">
        <v>1671</v>
      </c>
      <c r="P2866">
        <v>0</v>
      </c>
      <c r="Q2866" s="5" t="e">
        <f>IF(AND(#REF!&gt;=table!$C$6,#REF!&lt;= table!$D$6),-1,IF(AND(#REF!&gt;=table!$E$6,#REF!&lt;=table!$F$6),1,0))</f>
        <v>#REF!</v>
      </c>
      <c r="R2866" s="5" t="e">
        <f>IF(AND(#REF!&gt;=table!$C$7,#REF!&lt;= table!$D$7),-1,IF(AND(#REF!&gt;=table!$E$7,#REF!&lt;=table!$F$7),1,0))</f>
        <v>#REF!</v>
      </c>
      <c r="S2866" s="5" t="e">
        <f>IF(AND(#REF!&gt;=table!$C$8,#REF!&lt;= table!$D$8),-1,IF(AND(#REF!&gt;=table!$E$8,#REF!&lt;=table!$F$8),1,0))</f>
        <v>#REF!</v>
      </c>
      <c r="T2866" s="5"/>
      <c r="U2866" s="5" t="e">
        <f>IF(AND(#REF!&gt;=table!$C$10,#REF!&lt;= table!$D$10),-1,IF(AND(#REF!&gt;=table!$E$10,#REF!&lt;=table!$F$10),1,0))</f>
        <v>#REF!</v>
      </c>
      <c r="V2866" s="5" t="e">
        <f>IF(AND(#REF!&gt;=table!$C$11,#REF!&lt;= table!$D$11),-1,IF(AND(#REF!&gt;=table!$E$11,#REF!&lt;=table!$F$11),1,0))</f>
        <v>#REF!</v>
      </c>
      <c r="W2866" s="5" t="e">
        <f>CONCATENATE(dados[[#This Row],[fator1]],dados[[#This Row],[fator5]],dados[[#This Row],[fator6]])</f>
        <v>#REF!</v>
      </c>
    </row>
    <row r="2867" spans="1:23">
      <c r="A2867" t="s">
        <v>16</v>
      </c>
      <c r="B2867">
        <v>585257</v>
      </c>
      <c r="C2867">
        <v>9</v>
      </c>
      <c r="D2867">
        <v>40</v>
      </c>
      <c r="E2867">
        <v>130</v>
      </c>
      <c r="F2867">
        <v>6</v>
      </c>
      <c r="G2867">
        <v>0</v>
      </c>
      <c r="H2867">
        <v>25</v>
      </c>
      <c r="I2867">
        <v>265</v>
      </c>
      <c r="J2867">
        <v>0</v>
      </c>
      <c r="K2867">
        <v>9.66</v>
      </c>
      <c r="L2867">
        <v>19.740000000000002</v>
      </c>
      <c r="M2867">
        <v>111.49000000000001</v>
      </c>
      <c r="N2867">
        <v>16.71</v>
      </c>
      <c r="O2867">
        <v>1674</v>
      </c>
      <c r="P2867">
        <v>382</v>
      </c>
      <c r="Q2867" s="5" t="e">
        <f>IF(AND(#REF!&gt;=table!$C$6,#REF!&lt;= table!$D$6),-1,IF(AND(#REF!&gt;=table!$E$6,#REF!&lt;=table!$F$6),1,0))</f>
        <v>#REF!</v>
      </c>
      <c r="R2867" s="5" t="e">
        <f>IF(AND(#REF!&gt;=table!$C$7,#REF!&lt;= table!$D$7),-1,IF(AND(#REF!&gt;=table!$E$7,#REF!&lt;=table!$F$7),1,0))</f>
        <v>#REF!</v>
      </c>
      <c r="S2867" s="5" t="e">
        <f>IF(AND(#REF!&gt;=table!$C$8,#REF!&lt;= table!$D$8),-1,IF(AND(#REF!&gt;=table!$E$8,#REF!&lt;=table!$F$8),1,0))</f>
        <v>#REF!</v>
      </c>
      <c r="T2867" s="5"/>
      <c r="U2867" s="5" t="e">
        <f>IF(AND(#REF!&gt;=table!$C$10,#REF!&lt;= table!$D$10),-1,IF(AND(#REF!&gt;=table!$E$10,#REF!&lt;=table!$F$10),1,0))</f>
        <v>#REF!</v>
      </c>
      <c r="V2867" s="5" t="e">
        <f>IF(AND(#REF!&gt;=table!$C$11,#REF!&lt;= table!$D$11),-1,IF(AND(#REF!&gt;=table!$E$11,#REF!&lt;=table!$F$11),1,0))</f>
        <v>#REF!</v>
      </c>
      <c r="W2867" s="5" t="e">
        <f>CONCATENATE(dados[[#This Row],[fator1]],dados[[#This Row],[fator5]],dados[[#This Row],[fator6]])</f>
        <v>#REF!</v>
      </c>
    </row>
    <row r="2868" spans="1:23">
      <c r="A2868" t="s">
        <v>16</v>
      </c>
      <c r="B2868">
        <v>585258</v>
      </c>
      <c r="C2868">
        <v>7</v>
      </c>
      <c r="D2868">
        <v>33</v>
      </c>
      <c r="E2868">
        <v>150</v>
      </c>
      <c r="F2868">
        <v>4</v>
      </c>
      <c r="G2868">
        <v>0</v>
      </c>
      <c r="H2868">
        <v>25</v>
      </c>
      <c r="I2868">
        <v>928</v>
      </c>
      <c r="J2868">
        <v>0</v>
      </c>
      <c r="K2868">
        <v>3.835</v>
      </c>
      <c r="L2868">
        <v>13.39</v>
      </c>
      <c r="M2868">
        <v>116.55</v>
      </c>
      <c r="N2868">
        <v>16.55</v>
      </c>
      <c r="O2868">
        <v>1704</v>
      </c>
      <c r="P2868">
        <v>0</v>
      </c>
      <c r="Q2868" s="5" t="e">
        <f>IF(AND(#REF!&gt;=table!$C$6,#REF!&lt;= table!$D$6),-1,IF(AND(#REF!&gt;=table!$E$6,#REF!&lt;=table!$F$6),1,0))</f>
        <v>#REF!</v>
      </c>
      <c r="R2868" s="5" t="e">
        <f>IF(AND(#REF!&gt;=table!$C$7,#REF!&lt;= table!$D$7),-1,IF(AND(#REF!&gt;=table!$E$7,#REF!&lt;=table!$F$7),1,0))</f>
        <v>#REF!</v>
      </c>
      <c r="S2868" s="5" t="e">
        <f>IF(AND(#REF!&gt;=table!$C$8,#REF!&lt;= table!$D$8),-1,IF(AND(#REF!&gt;=table!$E$8,#REF!&lt;=table!$F$8),1,0))</f>
        <v>#REF!</v>
      </c>
      <c r="T2868" s="5"/>
      <c r="U2868" s="5" t="e">
        <f>IF(AND(#REF!&gt;=table!$C$10,#REF!&lt;= table!$D$10),-1,IF(AND(#REF!&gt;=table!$E$10,#REF!&lt;=table!$F$10),1,0))</f>
        <v>#REF!</v>
      </c>
      <c r="V2868" s="5" t="e">
        <f>IF(AND(#REF!&gt;=table!$C$11,#REF!&lt;= table!$D$11),-1,IF(AND(#REF!&gt;=table!$E$11,#REF!&lt;=table!$F$11),1,0))</f>
        <v>#REF!</v>
      </c>
      <c r="W2868" s="5" t="e">
        <f>CONCATENATE(dados[[#This Row],[fator1]],dados[[#This Row],[fator5]],dados[[#This Row],[fator6]])</f>
        <v>#REF!</v>
      </c>
    </row>
    <row r="2869" spans="1:23">
      <c r="A2869" t="s">
        <v>16</v>
      </c>
      <c r="B2869">
        <v>585259</v>
      </c>
      <c r="C2869">
        <v>0.15</v>
      </c>
      <c r="D2869">
        <v>35</v>
      </c>
      <c r="E2869">
        <v>15</v>
      </c>
      <c r="F2869">
        <v>10</v>
      </c>
      <c r="G2869">
        <v>0</v>
      </c>
      <c r="H2869">
        <v>12</v>
      </c>
      <c r="I2869">
        <v>973</v>
      </c>
      <c r="J2869">
        <v>0</v>
      </c>
      <c r="K2869">
        <v>4.5950000000000006</v>
      </c>
      <c r="L2869">
        <v>12.1</v>
      </c>
      <c r="M2869">
        <v>10.265000000000001</v>
      </c>
      <c r="N2869">
        <v>13.105</v>
      </c>
      <c r="O2869">
        <v>1715</v>
      </c>
      <c r="P2869">
        <v>982</v>
      </c>
      <c r="Q2869" s="5" t="e">
        <f>IF(AND(#REF!&gt;=table!$C$6,#REF!&lt;= table!$D$6),-1,IF(AND(#REF!&gt;=table!$E$6,#REF!&lt;=table!$F$6),1,0))</f>
        <v>#REF!</v>
      </c>
      <c r="R2869" s="5" t="e">
        <f>IF(AND(#REF!&gt;=table!$C$7,#REF!&lt;= table!$D$7),-1,IF(AND(#REF!&gt;=table!$E$7,#REF!&lt;=table!$F$7),1,0))</f>
        <v>#REF!</v>
      </c>
      <c r="S2869" s="5" t="e">
        <f>IF(AND(#REF!&gt;=table!$C$8,#REF!&lt;= table!$D$8),-1,IF(AND(#REF!&gt;=table!$E$8,#REF!&lt;=table!$F$8),1,0))</f>
        <v>#REF!</v>
      </c>
      <c r="T2869" s="5"/>
      <c r="U2869" s="5" t="e">
        <f>IF(AND(#REF!&gt;=table!$C$10,#REF!&lt;= table!$D$10),-1,IF(AND(#REF!&gt;=table!$E$10,#REF!&lt;=table!$F$10),1,0))</f>
        <v>#REF!</v>
      </c>
      <c r="V2869" s="5" t="e">
        <f>IF(AND(#REF!&gt;=table!$C$11,#REF!&lt;= table!$D$11),-1,IF(AND(#REF!&gt;=table!$E$11,#REF!&lt;=table!$F$11),1,0))</f>
        <v>#REF!</v>
      </c>
      <c r="W2869" s="5" t="e">
        <f>CONCATENATE(dados[[#This Row],[fator1]],dados[[#This Row],[fator5]],dados[[#This Row],[fator6]])</f>
        <v>#REF!</v>
      </c>
    </row>
    <row r="2870" spans="1:23">
      <c r="A2870" t="s">
        <v>16</v>
      </c>
      <c r="B2870">
        <v>585261</v>
      </c>
      <c r="C2870">
        <v>0.23</v>
      </c>
      <c r="D2870">
        <v>65</v>
      </c>
      <c r="E2870">
        <v>26</v>
      </c>
      <c r="F2870">
        <v>15</v>
      </c>
      <c r="G2870">
        <v>0</v>
      </c>
      <c r="H2870">
        <v>35</v>
      </c>
      <c r="I2870">
        <v>1716</v>
      </c>
      <c r="J2870">
        <v>0</v>
      </c>
      <c r="K2870">
        <v>4.9350000000000005</v>
      </c>
      <c r="L2870">
        <v>12.3</v>
      </c>
      <c r="M2870">
        <v>11.65</v>
      </c>
      <c r="N2870">
        <v>14.4</v>
      </c>
      <c r="O2870">
        <v>1671</v>
      </c>
      <c r="P2870">
        <v>0</v>
      </c>
      <c r="Q2870" s="5" t="e">
        <f>IF(AND(#REF!&gt;=table!$C$6,#REF!&lt;= table!$D$6),-1,IF(AND(#REF!&gt;=table!$E$6,#REF!&lt;=table!$F$6),1,0))</f>
        <v>#REF!</v>
      </c>
      <c r="R2870" s="5" t="e">
        <f>IF(AND(#REF!&gt;=table!$C$7,#REF!&lt;= table!$D$7),-1,IF(AND(#REF!&gt;=table!$E$7,#REF!&lt;=table!$F$7),1,0))</f>
        <v>#REF!</v>
      </c>
      <c r="S2870" s="5" t="e">
        <f>IF(AND(#REF!&gt;=table!$C$8,#REF!&lt;= table!$D$8),-1,IF(AND(#REF!&gt;=table!$E$8,#REF!&lt;=table!$F$8),1,0))</f>
        <v>#REF!</v>
      </c>
      <c r="T2870" s="5"/>
      <c r="U2870" s="5" t="e">
        <f>IF(AND(#REF!&gt;=table!$C$10,#REF!&lt;= table!$D$10),-1,IF(AND(#REF!&gt;=table!$E$10,#REF!&lt;=table!$F$10),1,0))</f>
        <v>#REF!</v>
      </c>
      <c r="V2870" s="5" t="e">
        <f>IF(AND(#REF!&gt;=table!$C$11,#REF!&lt;= table!$D$11),-1,IF(AND(#REF!&gt;=table!$E$11,#REF!&lt;=table!$F$11),1,0))</f>
        <v>#REF!</v>
      </c>
      <c r="W2870" s="5" t="e">
        <f>CONCATENATE(dados[[#This Row],[fator1]],dados[[#This Row],[fator5]],dados[[#This Row],[fator6]])</f>
        <v>#REF!</v>
      </c>
    </row>
    <row r="2871" spans="1:23">
      <c r="A2871" t="s">
        <v>16</v>
      </c>
      <c r="B2871">
        <v>585262</v>
      </c>
      <c r="C2871">
        <v>0.2</v>
      </c>
      <c r="D2871">
        <v>65</v>
      </c>
      <c r="E2871">
        <v>26</v>
      </c>
      <c r="F2871">
        <v>15</v>
      </c>
      <c r="G2871">
        <v>0</v>
      </c>
      <c r="H2871">
        <v>30</v>
      </c>
      <c r="I2871">
        <v>830</v>
      </c>
      <c r="J2871">
        <v>0</v>
      </c>
      <c r="K2871">
        <v>9.0650000000000013</v>
      </c>
      <c r="L2871">
        <v>15.700000000000001</v>
      </c>
      <c r="M2871">
        <v>14.15</v>
      </c>
      <c r="N2871">
        <v>14.450000000000001</v>
      </c>
      <c r="O2871">
        <v>1688</v>
      </c>
      <c r="P2871">
        <v>608</v>
      </c>
      <c r="Q2871" s="5" t="e">
        <f>IF(AND(#REF!&gt;=table!$C$6,#REF!&lt;= table!$D$6),-1,IF(AND(#REF!&gt;=table!$E$6,#REF!&lt;=table!$F$6),1,0))</f>
        <v>#REF!</v>
      </c>
      <c r="R2871" s="5" t="e">
        <f>IF(AND(#REF!&gt;=table!$C$7,#REF!&lt;= table!$D$7),-1,IF(AND(#REF!&gt;=table!$E$7,#REF!&lt;=table!$F$7),1,0))</f>
        <v>#REF!</v>
      </c>
      <c r="S2871" s="5" t="e">
        <f>IF(AND(#REF!&gt;=table!$C$8,#REF!&lt;= table!$D$8),-1,IF(AND(#REF!&gt;=table!$E$8,#REF!&lt;=table!$F$8),1,0))</f>
        <v>#REF!</v>
      </c>
      <c r="T2871" s="5"/>
      <c r="U2871" s="5" t="e">
        <f>IF(AND(#REF!&gt;=table!$C$10,#REF!&lt;= table!$D$10),-1,IF(AND(#REF!&gt;=table!$E$10,#REF!&lt;=table!$F$10),1,0))</f>
        <v>#REF!</v>
      </c>
      <c r="V2871" s="5" t="e">
        <f>IF(AND(#REF!&gt;=table!$C$11,#REF!&lt;= table!$D$11),-1,IF(AND(#REF!&gt;=table!$E$11,#REF!&lt;=table!$F$11),1,0))</f>
        <v>#REF!</v>
      </c>
      <c r="W2871" s="5" t="e">
        <f>CONCATENATE(dados[[#This Row],[fator1]],dados[[#This Row],[fator5]],dados[[#This Row],[fator6]])</f>
        <v>#REF!</v>
      </c>
    </row>
    <row r="2872" spans="1:23">
      <c r="A2872" t="s">
        <v>16</v>
      </c>
      <c r="B2872">
        <v>585263</v>
      </c>
      <c r="C2872">
        <v>0.2</v>
      </c>
      <c r="D2872">
        <v>65</v>
      </c>
      <c r="E2872">
        <v>26</v>
      </c>
      <c r="F2872">
        <v>15</v>
      </c>
      <c r="G2872">
        <v>0</v>
      </c>
      <c r="H2872">
        <v>30</v>
      </c>
      <c r="I2872">
        <v>749</v>
      </c>
      <c r="J2872">
        <v>760</v>
      </c>
      <c r="K2872">
        <v>4.7650000000000006</v>
      </c>
      <c r="L2872">
        <v>10.73</v>
      </c>
      <c r="M2872">
        <v>8.9</v>
      </c>
      <c r="N2872">
        <v>12.85</v>
      </c>
      <c r="O2872">
        <v>1647</v>
      </c>
      <c r="P2872">
        <v>948</v>
      </c>
      <c r="Q2872" s="5" t="e">
        <f>IF(AND(#REF!&gt;=table!$C$6,#REF!&lt;= table!$D$6),-1,IF(AND(#REF!&gt;=table!$E$6,#REF!&lt;=table!$F$6),1,0))</f>
        <v>#REF!</v>
      </c>
      <c r="R2872" s="5" t="e">
        <f>IF(AND(#REF!&gt;=table!$C$7,#REF!&lt;= table!$D$7),-1,IF(AND(#REF!&gt;=table!$E$7,#REF!&lt;=table!$F$7),1,0))</f>
        <v>#REF!</v>
      </c>
      <c r="S2872" s="5" t="e">
        <f>IF(AND(#REF!&gt;=table!$C$8,#REF!&lt;= table!$D$8),-1,IF(AND(#REF!&gt;=table!$E$8,#REF!&lt;=table!$F$8),1,0))</f>
        <v>#REF!</v>
      </c>
      <c r="T2872" s="5"/>
      <c r="U2872" s="5" t="e">
        <f>IF(AND(#REF!&gt;=table!$C$10,#REF!&lt;= table!$D$10),-1,IF(AND(#REF!&gt;=table!$E$10,#REF!&lt;=table!$F$10),1,0))</f>
        <v>#REF!</v>
      </c>
      <c r="V2872" s="5" t="e">
        <f>IF(AND(#REF!&gt;=table!$C$11,#REF!&lt;= table!$D$11),-1,IF(AND(#REF!&gt;=table!$E$11,#REF!&lt;=table!$F$11),1,0))</f>
        <v>#REF!</v>
      </c>
      <c r="W2872" s="5" t="e">
        <f>CONCATENATE(dados[[#This Row],[fator1]],dados[[#This Row],[fator5]],dados[[#This Row],[fator6]])</f>
        <v>#REF!</v>
      </c>
    </row>
    <row r="2873" spans="1:23">
      <c r="A2873" t="s">
        <v>16</v>
      </c>
      <c r="B2873">
        <v>585268</v>
      </c>
      <c r="C2873">
        <v>16</v>
      </c>
      <c r="D2873">
        <v>30</v>
      </c>
      <c r="E2873">
        <v>36</v>
      </c>
      <c r="F2873">
        <v>3</v>
      </c>
      <c r="G2873">
        <v>0</v>
      </c>
      <c r="H2873">
        <v>25</v>
      </c>
      <c r="I2873">
        <v>810</v>
      </c>
      <c r="J2873">
        <v>0</v>
      </c>
      <c r="K2873">
        <v>5.65</v>
      </c>
      <c r="L2873">
        <v>22.2</v>
      </c>
      <c r="M2873">
        <v>37.050000000000004</v>
      </c>
      <c r="N2873">
        <v>12.950000000000001</v>
      </c>
      <c r="O2873">
        <v>1684</v>
      </c>
      <c r="P2873">
        <v>672</v>
      </c>
      <c r="Q2873" s="5" t="e">
        <f>IF(AND(#REF!&gt;=table!$C$6,#REF!&lt;= table!$D$6),-1,IF(AND(#REF!&gt;=table!$E$6,#REF!&lt;=table!$F$6),1,0))</f>
        <v>#REF!</v>
      </c>
      <c r="R2873" s="5" t="e">
        <f>IF(AND(#REF!&gt;=table!$C$7,#REF!&lt;= table!$D$7),-1,IF(AND(#REF!&gt;=table!$E$7,#REF!&lt;=table!$F$7),1,0))</f>
        <v>#REF!</v>
      </c>
      <c r="S2873" s="5" t="e">
        <f>IF(AND(#REF!&gt;=table!$C$8,#REF!&lt;= table!$D$8),-1,IF(AND(#REF!&gt;=table!$E$8,#REF!&lt;=table!$F$8),1,0))</f>
        <v>#REF!</v>
      </c>
      <c r="T2873" s="5"/>
      <c r="U2873" s="5" t="e">
        <f>IF(AND(#REF!&gt;=table!$C$10,#REF!&lt;= table!$D$10),-1,IF(AND(#REF!&gt;=table!$E$10,#REF!&lt;=table!$F$10),1,0))</f>
        <v>#REF!</v>
      </c>
      <c r="V2873" s="5" t="e">
        <f>IF(AND(#REF!&gt;=table!$C$11,#REF!&lt;= table!$D$11),-1,IF(AND(#REF!&gt;=table!$E$11,#REF!&lt;=table!$F$11),1,0))</f>
        <v>#REF!</v>
      </c>
      <c r="W2873" s="5" t="e">
        <f>CONCATENATE(dados[[#This Row],[fator1]],dados[[#This Row],[fator5]],dados[[#This Row],[fator6]])</f>
        <v>#REF!</v>
      </c>
    </row>
    <row r="2874" spans="1:23">
      <c r="A2874" t="s">
        <v>16</v>
      </c>
      <c r="B2874">
        <v>585269</v>
      </c>
      <c r="C2874">
        <v>16</v>
      </c>
      <c r="D2874">
        <v>27</v>
      </c>
      <c r="E2874">
        <v>36</v>
      </c>
      <c r="F2874">
        <v>8</v>
      </c>
      <c r="G2874">
        <v>0</v>
      </c>
      <c r="H2874">
        <v>25</v>
      </c>
      <c r="I2874">
        <v>1043</v>
      </c>
      <c r="J2874">
        <v>0</v>
      </c>
      <c r="K2874">
        <v>12.55</v>
      </c>
      <c r="L2874">
        <v>24.3</v>
      </c>
      <c r="M2874">
        <v>33.85</v>
      </c>
      <c r="N2874">
        <v>16.25</v>
      </c>
      <c r="O2874">
        <v>1680</v>
      </c>
      <c r="P2874">
        <v>286</v>
      </c>
      <c r="Q2874" s="5" t="e">
        <f>IF(AND(#REF!&gt;=table!$C$6,#REF!&lt;= table!$D$6),-1,IF(AND(#REF!&gt;=table!$E$6,#REF!&lt;=table!$F$6),1,0))</f>
        <v>#REF!</v>
      </c>
      <c r="R2874" s="5" t="e">
        <f>IF(AND(#REF!&gt;=table!$C$7,#REF!&lt;= table!$D$7),-1,IF(AND(#REF!&gt;=table!$E$7,#REF!&lt;=table!$F$7),1,0))</f>
        <v>#REF!</v>
      </c>
      <c r="S2874" s="5" t="e">
        <f>IF(AND(#REF!&gt;=table!$C$8,#REF!&lt;= table!$D$8),-1,IF(AND(#REF!&gt;=table!$E$8,#REF!&lt;=table!$F$8),1,0))</f>
        <v>#REF!</v>
      </c>
      <c r="T2874" s="5"/>
      <c r="U2874" s="5" t="e">
        <f>IF(AND(#REF!&gt;=table!$C$10,#REF!&lt;= table!$D$10),-1,IF(AND(#REF!&gt;=table!$E$10,#REF!&lt;=table!$F$10),1,0))</f>
        <v>#REF!</v>
      </c>
      <c r="V2874" s="5" t="e">
        <f>IF(AND(#REF!&gt;=table!$C$11,#REF!&lt;= table!$D$11),-1,IF(AND(#REF!&gt;=table!$E$11,#REF!&lt;=table!$F$11),1,0))</f>
        <v>#REF!</v>
      </c>
      <c r="W2874" s="5" t="e">
        <f>CONCATENATE(dados[[#This Row],[fator1]],dados[[#This Row],[fator5]],dados[[#This Row],[fator6]])</f>
        <v>#REF!</v>
      </c>
    </row>
    <row r="2875" spans="1:23">
      <c r="A2875" t="s">
        <v>16</v>
      </c>
      <c r="B2875">
        <v>585271</v>
      </c>
      <c r="C2875">
        <v>16</v>
      </c>
      <c r="D2875">
        <v>27</v>
      </c>
      <c r="E2875">
        <v>36</v>
      </c>
      <c r="F2875">
        <v>8</v>
      </c>
      <c r="G2875">
        <v>0</v>
      </c>
      <c r="H2875">
        <v>25</v>
      </c>
      <c r="I2875">
        <v>657</v>
      </c>
      <c r="J2875">
        <v>0</v>
      </c>
      <c r="K2875">
        <v>5.8250000000000002</v>
      </c>
      <c r="L2875">
        <v>17.600000000000001</v>
      </c>
      <c r="M2875">
        <v>36.300000000000004</v>
      </c>
      <c r="N2875">
        <v>11.65</v>
      </c>
      <c r="O2875">
        <v>1673</v>
      </c>
      <c r="P2875">
        <v>0</v>
      </c>
      <c r="Q2875" s="5" t="e">
        <f>IF(AND(#REF!&gt;=table!$C$6,#REF!&lt;= table!$D$6),-1,IF(AND(#REF!&gt;=table!$E$6,#REF!&lt;=table!$F$6),1,0))</f>
        <v>#REF!</v>
      </c>
      <c r="R2875" s="5" t="e">
        <f>IF(AND(#REF!&gt;=table!$C$7,#REF!&lt;= table!$D$7),-1,IF(AND(#REF!&gt;=table!$E$7,#REF!&lt;=table!$F$7),1,0))</f>
        <v>#REF!</v>
      </c>
      <c r="S2875" s="5" t="e">
        <f>IF(AND(#REF!&gt;=table!$C$8,#REF!&lt;= table!$D$8),-1,IF(AND(#REF!&gt;=table!$E$8,#REF!&lt;=table!$F$8),1,0))</f>
        <v>#REF!</v>
      </c>
      <c r="T2875" s="5"/>
      <c r="U2875" s="5" t="e">
        <f>IF(AND(#REF!&gt;=table!$C$10,#REF!&lt;= table!$D$10),-1,IF(AND(#REF!&gt;=table!$E$10,#REF!&lt;=table!$F$10),1,0))</f>
        <v>#REF!</v>
      </c>
      <c r="V2875" s="5" t="e">
        <f>IF(AND(#REF!&gt;=table!$C$11,#REF!&lt;= table!$D$11),-1,IF(AND(#REF!&gt;=table!$E$11,#REF!&lt;=table!$F$11),1,0))</f>
        <v>#REF!</v>
      </c>
      <c r="W2875" s="5" t="e">
        <f>CONCATENATE(dados[[#This Row],[fator1]],dados[[#This Row],[fator5]],dados[[#This Row],[fator6]])</f>
        <v>#REF!</v>
      </c>
    </row>
    <row r="2876" spans="1:23">
      <c r="A2876" t="s">
        <v>16</v>
      </c>
      <c r="B2876">
        <v>585272</v>
      </c>
      <c r="C2876">
        <v>16</v>
      </c>
      <c r="D2876">
        <v>35</v>
      </c>
      <c r="E2876">
        <v>40</v>
      </c>
      <c r="F2876">
        <v>10</v>
      </c>
      <c r="G2876">
        <v>0</v>
      </c>
      <c r="H2876">
        <v>25</v>
      </c>
      <c r="I2876">
        <v>531</v>
      </c>
      <c r="J2876">
        <v>0</v>
      </c>
      <c r="K2876">
        <v>12.09</v>
      </c>
      <c r="L2876">
        <v>27.6</v>
      </c>
      <c r="M2876">
        <v>35.6</v>
      </c>
      <c r="N2876">
        <v>20.95</v>
      </c>
      <c r="O2876">
        <v>1667</v>
      </c>
      <c r="P2876">
        <v>270</v>
      </c>
      <c r="Q2876" s="5" t="e">
        <f>IF(AND(#REF!&gt;=table!$C$6,#REF!&lt;= table!$D$6),-1,IF(AND(#REF!&gt;=table!$E$6,#REF!&lt;=table!$F$6),1,0))</f>
        <v>#REF!</v>
      </c>
      <c r="R2876" s="5" t="e">
        <f>IF(AND(#REF!&gt;=table!$C$7,#REF!&lt;= table!$D$7),-1,IF(AND(#REF!&gt;=table!$E$7,#REF!&lt;=table!$F$7),1,0))</f>
        <v>#REF!</v>
      </c>
      <c r="S2876" s="5" t="e">
        <f>IF(AND(#REF!&gt;=table!$C$8,#REF!&lt;= table!$D$8),-1,IF(AND(#REF!&gt;=table!$E$8,#REF!&lt;=table!$F$8),1,0))</f>
        <v>#REF!</v>
      </c>
      <c r="T2876" s="5"/>
      <c r="U2876" s="5" t="e">
        <f>IF(AND(#REF!&gt;=table!$C$10,#REF!&lt;= table!$D$10),-1,IF(AND(#REF!&gt;=table!$E$10,#REF!&lt;=table!$F$10),1,0))</f>
        <v>#REF!</v>
      </c>
      <c r="V2876" s="5" t="e">
        <f>IF(AND(#REF!&gt;=table!$C$11,#REF!&lt;= table!$D$11),-1,IF(AND(#REF!&gt;=table!$E$11,#REF!&lt;=table!$F$11),1,0))</f>
        <v>#REF!</v>
      </c>
      <c r="W2876" s="5" t="e">
        <f>CONCATENATE(dados[[#This Row],[fator1]],dados[[#This Row],[fator5]],dados[[#This Row],[fator6]])</f>
        <v>#REF!</v>
      </c>
    </row>
    <row r="2877" spans="1:23">
      <c r="A2877" t="s">
        <v>17</v>
      </c>
      <c r="B2877">
        <v>585275</v>
      </c>
      <c r="C2877">
        <v>20</v>
      </c>
      <c r="D2877">
        <v>33</v>
      </c>
      <c r="E2877">
        <v>80</v>
      </c>
      <c r="F2877">
        <v>4</v>
      </c>
      <c r="G2877">
        <v>20</v>
      </c>
      <c r="H2877">
        <v>25</v>
      </c>
      <c r="I2877">
        <v>13</v>
      </c>
      <c r="J2877">
        <v>800</v>
      </c>
      <c r="K2877">
        <v>4.3650000000000002</v>
      </c>
      <c r="L2877">
        <v>20</v>
      </c>
      <c r="M2877">
        <v>63.815000000000005</v>
      </c>
      <c r="N2877">
        <v>18.855</v>
      </c>
      <c r="O2877">
        <v>1683</v>
      </c>
      <c r="P2877">
        <v>951</v>
      </c>
      <c r="Q2877" s="5" t="e">
        <f>IF(AND(#REF!&gt;=table!$C$6,#REF!&lt;= table!$D$6),-1,IF(AND(#REF!&gt;=table!$E$6,#REF!&lt;=table!$F$6),1,0))</f>
        <v>#REF!</v>
      </c>
      <c r="R2877" s="5" t="e">
        <f>IF(AND(#REF!&gt;=table!$C$7,#REF!&lt;= table!$D$7),-1,IF(AND(#REF!&gt;=table!$E$7,#REF!&lt;=table!$F$7),1,0))</f>
        <v>#REF!</v>
      </c>
      <c r="S2877" s="5" t="e">
        <f>IF(AND(#REF!&gt;=table!$C$8,#REF!&lt;= table!$D$8),-1,IF(AND(#REF!&gt;=table!$E$8,#REF!&lt;=table!$F$8),1,0))</f>
        <v>#REF!</v>
      </c>
      <c r="T2877" s="5"/>
      <c r="U2877" s="5" t="e">
        <f>IF(AND(#REF!&gt;=table!$C$10,#REF!&lt;= table!$D$10),-1,IF(AND(#REF!&gt;=table!$E$10,#REF!&lt;=table!$F$10),1,0))</f>
        <v>#REF!</v>
      </c>
      <c r="V2877" s="5" t="e">
        <f>IF(AND(#REF!&gt;=table!$C$11,#REF!&lt;= table!$D$11),-1,IF(AND(#REF!&gt;=table!$E$11,#REF!&lt;=table!$F$11),1,0))</f>
        <v>#REF!</v>
      </c>
      <c r="W2877" s="5" t="e">
        <f>CONCATENATE(dados[[#This Row],[fator1]],dados[[#This Row],[fator5]],dados[[#This Row],[fator6]])</f>
        <v>#REF!</v>
      </c>
    </row>
    <row r="2878" spans="1:23">
      <c r="A2878" t="s">
        <v>17</v>
      </c>
      <c r="B2878">
        <v>585277</v>
      </c>
      <c r="C2878">
        <v>20</v>
      </c>
      <c r="D2878">
        <v>33</v>
      </c>
      <c r="E2878">
        <v>80</v>
      </c>
      <c r="F2878">
        <v>4</v>
      </c>
      <c r="G2878">
        <v>20</v>
      </c>
      <c r="H2878">
        <v>25</v>
      </c>
      <c r="I2878">
        <v>762</v>
      </c>
      <c r="J2878">
        <v>1190</v>
      </c>
      <c r="K2878">
        <v>11.33</v>
      </c>
      <c r="L2878">
        <v>24.55</v>
      </c>
      <c r="M2878">
        <v>75.400000000000006</v>
      </c>
      <c r="N2878">
        <v>15.3</v>
      </c>
      <c r="O2878">
        <v>1668</v>
      </c>
      <c r="P2878">
        <v>0</v>
      </c>
      <c r="Q2878" s="5" t="e">
        <f>IF(AND(#REF!&gt;=table!$C$6,#REF!&lt;= table!$D$6),-1,IF(AND(#REF!&gt;=table!$E$6,#REF!&lt;=table!$F$6),1,0))</f>
        <v>#REF!</v>
      </c>
      <c r="R2878" s="5" t="e">
        <f>IF(AND(#REF!&gt;=table!$C$7,#REF!&lt;= table!$D$7),-1,IF(AND(#REF!&gt;=table!$E$7,#REF!&lt;=table!$F$7),1,0))</f>
        <v>#REF!</v>
      </c>
      <c r="S2878" s="5" t="e">
        <f>IF(AND(#REF!&gt;=table!$C$8,#REF!&lt;= table!$D$8),-1,IF(AND(#REF!&gt;=table!$E$8,#REF!&lt;=table!$F$8),1,0))</f>
        <v>#REF!</v>
      </c>
      <c r="T2878" s="5"/>
      <c r="U2878" s="5" t="e">
        <f>IF(AND(#REF!&gt;=table!$C$10,#REF!&lt;= table!$D$10),-1,IF(AND(#REF!&gt;=table!$E$10,#REF!&lt;=table!$F$10),1,0))</f>
        <v>#REF!</v>
      </c>
      <c r="V2878" s="5" t="e">
        <f>IF(AND(#REF!&gt;=table!$C$11,#REF!&lt;= table!$D$11),-1,IF(AND(#REF!&gt;=table!$E$11,#REF!&lt;=table!$F$11),1,0))</f>
        <v>#REF!</v>
      </c>
      <c r="W2878" s="5" t="e">
        <f>CONCATENATE(dados[[#This Row],[fator1]],dados[[#This Row],[fator5]],dados[[#This Row],[fator6]])</f>
        <v>#REF!</v>
      </c>
    </row>
    <row r="2879" spans="1:23">
      <c r="A2879" t="s">
        <v>17</v>
      </c>
      <c r="B2879">
        <v>585279</v>
      </c>
      <c r="C2879">
        <v>23</v>
      </c>
      <c r="D2879">
        <v>33</v>
      </c>
      <c r="E2879">
        <v>66</v>
      </c>
      <c r="F2879">
        <v>3</v>
      </c>
      <c r="G2879">
        <v>20</v>
      </c>
      <c r="H2879">
        <v>25</v>
      </c>
      <c r="I2879">
        <v>739</v>
      </c>
      <c r="J2879">
        <v>0</v>
      </c>
      <c r="K2879">
        <v>5.2</v>
      </c>
      <c r="L2879">
        <v>18.600000000000001</v>
      </c>
      <c r="M2879">
        <v>52.300000000000004</v>
      </c>
      <c r="N2879">
        <v>14.450000000000001</v>
      </c>
      <c r="O2879">
        <v>1652</v>
      </c>
      <c r="P2879">
        <v>601</v>
      </c>
      <c r="Q2879" s="5" t="e">
        <f>IF(AND(#REF!&gt;=table!$C$6,#REF!&lt;= table!$D$6),-1,IF(AND(#REF!&gt;=table!$E$6,#REF!&lt;=table!$F$6),1,0))</f>
        <v>#REF!</v>
      </c>
      <c r="R2879" s="5" t="e">
        <f>IF(AND(#REF!&gt;=table!$C$7,#REF!&lt;= table!$D$7),-1,IF(AND(#REF!&gt;=table!$E$7,#REF!&lt;=table!$F$7),1,0))</f>
        <v>#REF!</v>
      </c>
      <c r="S2879" s="5" t="e">
        <f>IF(AND(#REF!&gt;=table!$C$8,#REF!&lt;= table!$D$8),-1,IF(AND(#REF!&gt;=table!$E$8,#REF!&lt;=table!$F$8),1,0))</f>
        <v>#REF!</v>
      </c>
      <c r="T2879" s="5"/>
      <c r="U2879" s="5" t="e">
        <f>IF(AND(#REF!&gt;=table!$C$10,#REF!&lt;= table!$D$10),-1,IF(AND(#REF!&gt;=table!$E$10,#REF!&lt;=table!$F$10),1,0))</f>
        <v>#REF!</v>
      </c>
      <c r="V2879" s="5" t="e">
        <f>IF(AND(#REF!&gt;=table!$C$11,#REF!&lt;= table!$D$11),-1,IF(AND(#REF!&gt;=table!$E$11,#REF!&lt;=table!$F$11),1,0))</f>
        <v>#REF!</v>
      </c>
      <c r="W2879" s="5" t="e">
        <f>CONCATENATE(dados[[#This Row],[fator1]],dados[[#This Row],[fator5]],dados[[#This Row],[fator6]])</f>
        <v>#REF!</v>
      </c>
    </row>
    <row r="2880" spans="1:23">
      <c r="A2880" t="s">
        <v>17</v>
      </c>
      <c r="B2880">
        <v>585281</v>
      </c>
      <c r="C2880">
        <v>20</v>
      </c>
      <c r="D2880">
        <v>18</v>
      </c>
      <c r="E2880">
        <v>36</v>
      </c>
      <c r="F2880">
        <v>6</v>
      </c>
      <c r="G2880">
        <v>20</v>
      </c>
      <c r="H2880">
        <v>25</v>
      </c>
      <c r="I2880">
        <v>475</v>
      </c>
      <c r="J2880">
        <v>0</v>
      </c>
      <c r="K2880">
        <v>14.715</v>
      </c>
      <c r="L2880">
        <v>21.635000000000002</v>
      </c>
      <c r="M2880">
        <v>33.15</v>
      </c>
      <c r="N2880">
        <v>16.600000000000001</v>
      </c>
      <c r="O2880">
        <v>1659</v>
      </c>
      <c r="P2880">
        <v>226</v>
      </c>
      <c r="Q2880" s="5" t="e">
        <f>IF(AND(#REF!&gt;=table!$C$6,#REF!&lt;= table!$D$6),-1,IF(AND(#REF!&gt;=table!$E$6,#REF!&lt;=table!$F$6),1,0))</f>
        <v>#REF!</v>
      </c>
      <c r="R2880" s="5" t="e">
        <f>IF(AND(#REF!&gt;=table!$C$7,#REF!&lt;= table!$D$7),-1,IF(AND(#REF!&gt;=table!$E$7,#REF!&lt;=table!$F$7),1,0))</f>
        <v>#REF!</v>
      </c>
      <c r="S2880" s="5" t="e">
        <f>IF(AND(#REF!&gt;=table!$C$8,#REF!&lt;= table!$D$8),-1,IF(AND(#REF!&gt;=table!$E$8,#REF!&lt;=table!$F$8),1,0))</f>
        <v>#REF!</v>
      </c>
      <c r="T2880" s="5"/>
      <c r="U2880" s="5" t="e">
        <f>IF(AND(#REF!&gt;=table!$C$10,#REF!&lt;= table!$D$10),-1,IF(AND(#REF!&gt;=table!$E$10,#REF!&lt;=table!$F$10),1,0))</f>
        <v>#REF!</v>
      </c>
      <c r="V2880" s="5" t="e">
        <f>IF(AND(#REF!&gt;=table!$C$11,#REF!&lt;= table!$D$11),-1,IF(AND(#REF!&gt;=table!$E$11,#REF!&lt;=table!$F$11),1,0))</f>
        <v>#REF!</v>
      </c>
      <c r="W2880" s="5" t="e">
        <f>CONCATENATE(dados[[#This Row],[fator1]],dados[[#This Row],[fator5]],dados[[#This Row],[fator6]])</f>
        <v>#REF!</v>
      </c>
    </row>
    <row r="2881" spans="1:23">
      <c r="A2881" t="s">
        <v>16</v>
      </c>
      <c r="B2881">
        <v>585283</v>
      </c>
      <c r="C2881">
        <v>4</v>
      </c>
      <c r="D2881">
        <v>50</v>
      </c>
      <c r="E2881">
        <v>45</v>
      </c>
      <c r="F2881">
        <v>10</v>
      </c>
      <c r="G2881">
        <v>0</v>
      </c>
      <c r="H2881">
        <v>50</v>
      </c>
      <c r="I2881">
        <v>0</v>
      </c>
      <c r="J2881">
        <v>0</v>
      </c>
      <c r="K2881">
        <v>6.42</v>
      </c>
      <c r="L2881">
        <v>21.650000000000002</v>
      </c>
      <c r="M2881">
        <v>19.900000000000002</v>
      </c>
      <c r="N2881">
        <v>20.6</v>
      </c>
      <c r="O2881">
        <v>1651</v>
      </c>
      <c r="P2881">
        <v>0</v>
      </c>
      <c r="Q2881" s="5" t="e">
        <f>IF(AND(#REF!&gt;=table!$C$6,#REF!&lt;= table!$D$6),-1,IF(AND(#REF!&gt;=table!$E$6,#REF!&lt;=table!$F$6),1,0))</f>
        <v>#REF!</v>
      </c>
      <c r="R2881" s="5" t="e">
        <f>IF(AND(#REF!&gt;=table!$C$7,#REF!&lt;= table!$D$7),-1,IF(AND(#REF!&gt;=table!$E$7,#REF!&lt;=table!$F$7),1,0))</f>
        <v>#REF!</v>
      </c>
      <c r="S2881" s="5" t="e">
        <f>IF(AND(#REF!&gt;=table!$C$8,#REF!&lt;= table!$D$8),-1,IF(AND(#REF!&gt;=table!$E$8,#REF!&lt;=table!$F$8),1,0))</f>
        <v>#REF!</v>
      </c>
      <c r="T2881" s="5"/>
      <c r="U2881" s="5" t="e">
        <f>IF(AND(#REF!&gt;=table!$C$10,#REF!&lt;= table!$D$10),-1,IF(AND(#REF!&gt;=table!$E$10,#REF!&lt;=table!$F$10),1,0))</f>
        <v>#REF!</v>
      </c>
      <c r="V2881" s="5" t="e">
        <f>IF(AND(#REF!&gt;=table!$C$11,#REF!&lt;= table!$D$11),-1,IF(AND(#REF!&gt;=table!$E$11,#REF!&lt;=table!$F$11),1,0))</f>
        <v>#REF!</v>
      </c>
      <c r="W2881" s="5" t="e">
        <f>CONCATENATE(dados[[#This Row],[fator1]],dados[[#This Row],[fator5]],dados[[#This Row],[fator6]])</f>
        <v>#REF!</v>
      </c>
    </row>
    <row r="2882" spans="1:23">
      <c r="A2882" t="s">
        <v>17</v>
      </c>
      <c r="B2882">
        <v>585284</v>
      </c>
      <c r="C2882">
        <v>30</v>
      </c>
      <c r="D2882">
        <v>18</v>
      </c>
      <c r="E2882">
        <v>66</v>
      </c>
      <c r="F2882">
        <v>6</v>
      </c>
      <c r="G2882">
        <v>20</v>
      </c>
      <c r="H2882">
        <v>25</v>
      </c>
      <c r="I2882">
        <v>190</v>
      </c>
      <c r="J2882">
        <v>680</v>
      </c>
      <c r="K2882">
        <v>16.89</v>
      </c>
      <c r="L2882">
        <v>29.435000000000002</v>
      </c>
      <c r="M2882">
        <v>64.650000000000006</v>
      </c>
      <c r="N2882">
        <v>20.650000000000002</v>
      </c>
      <c r="O2882">
        <v>1656</v>
      </c>
      <c r="P2882">
        <v>179</v>
      </c>
      <c r="Q2882" s="5" t="e">
        <f>IF(AND(#REF!&gt;=table!$C$6,#REF!&lt;= table!$D$6),-1,IF(AND(#REF!&gt;=table!$E$6,#REF!&lt;=table!$F$6),1,0))</f>
        <v>#REF!</v>
      </c>
      <c r="R2882" s="5" t="e">
        <f>IF(AND(#REF!&gt;=table!$C$7,#REF!&lt;= table!$D$7),-1,IF(AND(#REF!&gt;=table!$E$7,#REF!&lt;=table!$F$7),1,0))</f>
        <v>#REF!</v>
      </c>
      <c r="S2882" s="5" t="e">
        <f>IF(AND(#REF!&gt;=table!$C$8,#REF!&lt;= table!$D$8),-1,IF(AND(#REF!&gt;=table!$E$8,#REF!&lt;=table!$F$8),1,0))</f>
        <v>#REF!</v>
      </c>
      <c r="T2882" s="5"/>
      <c r="U2882" s="5" t="e">
        <f>IF(AND(#REF!&gt;=table!$C$10,#REF!&lt;= table!$D$10),-1,IF(AND(#REF!&gt;=table!$E$10,#REF!&lt;=table!$F$10),1,0))</f>
        <v>#REF!</v>
      </c>
      <c r="V2882" s="5" t="e">
        <f>IF(AND(#REF!&gt;=table!$C$11,#REF!&lt;= table!$D$11),-1,IF(AND(#REF!&gt;=table!$E$11,#REF!&lt;=table!$F$11),1,0))</f>
        <v>#REF!</v>
      </c>
      <c r="W2882" s="5" t="e">
        <f>CONCATENATE(dados[[#This Row],[fator1]],dados[[#This Row],[fator5]],dados[[#This Row],[fator6]])</f>
        <v>#REF!</v>
      </c>
    </row>
    <row r="2883" spans="1:23">
      <c r="A2883" t="s">
        <v>16</v>
      </c>
      <c r="B2883">
        <v>585287</v>
      </c>
      <c r="C2883">
        <v>10</v>
      </c>
      <c r="D2883">
        <v>40</v>
      </c>
      <c r="E2883">
        <v>136</v>
      </c>
      <c r="F2883">
        <v>6</v>
      </c>
      <c r="G2883">
        <v>0</v>
      </c>
      <c r="H2883">
        <v>25</v>
      </c>
      <c r="I2883">
        <v>7</v>
      </c>
      <c r="J2883">
        <v>0</v>
      </c>
      <c r="K2883">
        <v>5.63</v>
      </c>
      <c r="L2883">
        <v>15.530000000000001</v>
      </c>
      <c r="M2883">
        <v>111.53</v>
      </c>
      <c r="N2883">
        <v>14.1</v>
      </c>
      <c r="O2883">
        <v>1673</v>
      </c>
      <c r="P2883">
        <v>644</v>
      </c>
      <c r="Q2883" s="5" t="e">
        <f>IF(AND(#REF!&gt;=table!$C$6,#REF!&lt;= table!$D$6),-1,IF(AND(#REF!&gt;=table!$E$6,#REF!&lt;=table!$F$6),1,0))</f>
        <v>#REF!</v>
      </c>
      <c r="R2883" s="5" t="e">
        <f>IF(AND(#REF!&gt;=table!$C$7,#REF!&lt;= table!$D$7),-1,IF(AND(#REF!&gt;=table!$E$7,#REF!&lt;=table!$F$7),1,0))</f>
        <v>#REF!</v>
      </c>
      <c r="S2883" s="5" t="e">
        <f>IF(AND(#REF!&gt;=table!$C$8,#REF!&lt;= table!$D$8),-1,IF(AND(#REF!&gt;=table!$E$8,#REF!&lt;=table!$F$8),1,0))</f>
        <v>#REF!</v>
      </c>
      <c r="T2883" s="5"/>
      <c r="U2883" s="5" t="e">
        <f>IF(AND(#REF!&gt;=table!$C$10,#REF!&lt;= table!$D$10),-1,IF(AND(#REF!&gt;=table!$E$10,#REF!&lt;=table!$F$10),1,0))</f>
        <v>#REF!</v>
      </c>
      <c r="V2883" s="5" t="e">
        <f>IF(AND(#REF!&gt;=table!$C$11,#REF!&lt;= table!$D$11),-1,IF(AND(#REF!&gt;=table!$E$11,#REF!&lt;=table!$F$11),1,0))</f>
        <v>#REF!</v>
      </c>
      <c r="W2883" s="5" t="e">
        <f>CONCATENATE(dados[[#This Row],[fator1]],dados[[#This Row],[fator5]],dados[[#This Row],[fator6]])</f>
        <v>#REF!</v>
      </c>
    </row>
    <row r="2884" spans="1:23">
      <c r="A2884" t="s">
        <v>16</v>
      </c>
      <c r="B2884">
        <v>585292</v>
      </c>
      <c r="C2884">
        <v>8</v>
      </c>
      <c r="D2884">
        <v>27</v>
      </c>
      <c r="E2884">
        <v>61</v>
      </c>
      <c r="F2884">
        <v>8</v>
      </c>
      <c r="G2884">
        <v>0</v>
      </c>
      <c r="H2884">
        <v>25</v>
      </c>
      <c r="I2884">
        <v>1</v>
      </c>
      <c r="J2884">
        <v>0</v>
      </c>
      <c r="K2884">
        <v>3.1950000000000003</v>
      </c>
      <c r="L2884">
        <v>14.35</v>
      </c>
      <c r="M2884">
        <v>55.15</v>
      </c>
      <c r="N2884">
        <v>17.55</v>
      </c>
      <c r="O2884">
        <v>1692</v>
      </c>
      <c r="P2884">
        <v>932</v>
      </c>
      <c r="Q2884" s="5" t="e">
        <f>IF(AND(#REF!&gt;=table!$C$6,#REF!&lt;= table!$D$6),-1,IF(AND(#REF!&gt;=table!$E$6,#REF!&lt;=table!$F$6),1,0))</f>
        <v>#REF!</v>
      </c>
      <c r="R2884" s="5" t="e">
        <f>IF(AND(#REF!&gt;=table!$C$7,#REF!&lt;= table!$D$7),-1,IF(AND(#REF!&gt;=table!$E$7,#REF!&lt;=table!$F$7),1,0))</f>
        <v>#REF!</v>
      </c>
      <c r="S2884" s="5" t="e">
        <f>IF(AND(#REF!&gt;=table!$C$8,#REF!&lt;= table!$D$8),-1,IF(AND(#REF!&gt;=table!$E$8,#REF!&lt;=table!$F$8),1,0))</f>
        <v>#REF!</v>
      </c>
      <c r="T2884" s="5"/>
      <c r="U2884" s="5" t="e">
        <f>IF(AND(#REF!&gt;=table!$C$10,#REF!&lt;= table!$D$10),-1,IF(AND(#REF!&gt;=table!$E$10,#REF!&lt;=table!$F$10),1,0))</f>
        <v>#REF!</v>
      </c>
      <c r="V2884" s="5" t="e">
        <f>IF(AND(#REF!&gt;=table!$C$11,#REF!&lt;= table!$D$11),-1,IF(AND(#REF!&gt;=table!$E$11,#REF!&lt;=table!$F$11),1,0))</f>
        <v>#REF!</v>
      </c>
      <c r="W2884" s="5" t="e">
        <f>CONCATENATE(dados[[#This Row],[fator1]],dados[[#This Row],[fator5]],dados[[#This Row],[fator6]])</f>
        <v>#REF!</v>
      </c>
    </row>
    <row r="2885" spans="1:23">
      <c r="A2885" t="s">
        <v>17</v>
      </c>
      <c r="B2885">
        <v>585297</v>
      </c>
      <c r="C2885">
        <v>27</v>
      </c>
      <c r="D2885">
        <v>33</v>
      </c>
      <c r="E2885">
        <v>125</v>
      </c>
      <c r="F2885">
        <v>3</v>
      </c>
      <c r="G2885">
        <v>18</v>
      </c>
      <c r="H2885">
        <v>18</v>
      </c>
      <c r="I2885">
        <v>553</v>
      </c>
      <c r="J2885">
        <v>0</v>
      </c>
      <c r="K2885">
        <v>4.96</v>
      </c>
      <c r="L2885">
        <v>13.395000000000001</v>
      </c>
      <c r="M2885">
        <v>134.30000000000001</v>
      </c>
      <c r="N2885">
        <v>11.950000000000001</v>
      </c>
      <c r="O2885">
        <v>1682</v>
      </c>
      <c r="P2885">
        <v>688</v>
      </c>
      <c r="Q2885" s="5" t="e">
        <f>IF(AND(#REF!&gt;=table!$C$6,#REF!&lt;= table!$D$6),-1,IF(AND(#REF!&gt;=table!$E$6,#REF!&lt;=table!$F$6),1,0))</f>
        <v>#REF!</v>
      </c>
      <c r="R2885" s="5" t="e">
        <f>IF(AND(#REF!&gt;=table!$C$7,#REF!&lt;= table!$D$7),-1,IF(AND(#REF!&gt;=table!$E$7,#REF!&lt;=table!$F$7),1,0))</f>
        <v>#REF!</v>
      </c>
      <c r="S2885" s="5" t="e">
        <f>IF(AND(#REF!&gt;=table!$C$8,#REF!&lt;= table!$D$8),-1,IF(AND(#REF!&gt;=table!$E$8,#REF!&lt;=table!$F$8),1,0))</f>
        <v>#REF!</v>
      </c>
      <c r="T2885" s="5"/>
      <c r="U2885" s="5" t="e">
        <f>IF(AND(#REF!&gt;=table!$C$10,#REF!&lt;= table!$D$10),-1,IF(AND(#REF!&gt;=table!$E$10,#REF!&lt;=table!$F$10),1,0))</f>
        <v>#REF!</v>
      </c>
      <c r="V2885" s="5" t="e">
        <f>IF(AND(#REF!&gt;=table!$C$11,#REF!&lt;= table!$D$11),-1,IF(AND(#REF!&gt;=table!$E$11,#REF!&lt;=table!$F$11),1,0))</f>
        <v>#REF!</v>
      </c>
      <c r="W2885" s="5" t="e">
        <f>CONCATENATE(dados[[#This Row],[fator1]],dados[[#This Row],[fator5]],dados[[#This Row],[fator6]])</f>
        <v>#REF!</v>
      </c>
    </row>
    <row r="2886" spans="1:23">
      <c r="A2886" t="s">
        <v>17</v>
      </c>
      <c r="B2886">
        <v>585298</v>
      </c>
      <c r="C2886">
        <v>27</v>
      </c>
      <c r="D2886">
        <v>33</v>
      </c>
      <c r="E2886">
        <v>125</v>
      </c>
      <c r="F2886">
        <v>3</v>
      </c>
      <c r="G2886">
        <v>18</v>
      </c>
      <c r="H2886">
        <v>18</v>
      </c>
      <c r="I2886">
        <v>2209</v>
      </c>
      <c r="J2886">
        <v>0</v>
      </c>
      <c r="K2886">
        <v>5.0150000000000006</v>
      </c>
      <c r="L2886">
        <v>11.55</v>
      </c>
      <c r="M2886">
        <v>120.95</v>
      </c>
      <c r="N2886">
        <v>9.5500000000000007</v>
      </c>
      <c r="O2886">
        <v>1679</v>
      </c>
      <c r="P2886">
        <v>770</v>
      </c>
      <c r="Q2886" s="5" t="e">
        <f>IF(AND(#REF!&gt;=table!$C$6,#REF!&lt;= table!$D$6),-1,IF(AND(#REF!&gt;=table!$E$6,#REF!&lt;=table!$F$6),1,0))</f>
        <v>#REF!</v>
      </c>
      <c r="R2886" s="5" t="e">
        <f>IF(AND(#REF!&gt;=table!$C$7,#REF!&lt;= table!$D$7),-1,IF(AND(#REF!&gt;=table!$E$7,#REF!&lt;=table!$F$7),1,0))</f>
        <v>#REF!</v>
      </c>
      <c r="S2886" s="5" t="e">
        <f>IF(AND(#REF!&gt;=table!$C$8,#REF!&lt;= table!$D$8),-1,IF(AND(#REF!&gt;=table!$E$8,#REF!&lt;=table!$F$8),1,0))</f>
        <v>#REF!</v>
      </c>
      <c r="T2886" s="5"/>
      <c r="U2886" s="5" t="e">
        <f>IF(AND(#REF!&gt;=table!$C$10,#REF!&lt;= table!$D$10),-1,IF(AND(#REF!&gt;=table!$E$10,#REF!&lt;=table!$F$10),1,0))</f>
        <v>#REF!</v>
      </c>
      <c r="V2886" s="5" t="e">
        <f>IF(AND(#REF!&gt;=table!$C$11,#REF!&lt;= table!$D$11),-1,IF(AND(#REF!&gt;=table!$E$11,#REF!&lt;=table!$F$11),1,0))</f>
        <v>#REF!</v>
      </c>
      <c r="W2886" s="5" t="e">
        <f>CONCATENATE(dados[[#This Row],[fator1]],dados[[#This Row],[fator5]],dados[[#This Row],[fator6]])</f>
        <v>#REF!</v>
      </c>
    </row>
    <row r="2887" spans="1:23">
      <c r="A2887" t="s">
        <v>16</v>
      </c>
      <c r="B2887">
        <v>585303</v>
      </c>
      <c r="C2887">
        <v>7</v>
      </c>
      <c r="D2887">
        <v>33</v>
      </c>
      <c r="E2887">
        <v>150</v>
      </c>
      <c r="F2887">
        <v>4</v>
      </c>
      <c r="G2887">
        <v>0</v>
      </c>
      <c r="H2887">
        <v>25</v>
      </c>
      <c r="I2887">
        <v>643</v>
      </c>
      <c r="J2887">
        <v>0</v>
      </c>
      <c r="K2887">
        <v>4.26</v>
      </c>
      <c r="L2887">
        <v>15.700000000000001</v>
      </c>
      <c r="M2887">
        <v>114.3</v>
      </c>
      <c r="N2887">
        <v>15.9</v>
      </c>
      <c r="O2887">
        <v>1699</v>
      </c>
      <c r="P2887">
        <v>0</v>
      </c>
      <c r="Q2887" s="5" t="e">
        <f>IF(AND(#REF!&gt;=table!$C$6,#REF!&lt;= table!$D$6),-1,IF(AND(#REF!&gt;=table!$E$6,#REF!&lt;=table!$F$6),1,0))</f>
        <v>#REF!</v>
      </c>
      <c r="R2887" s="5" t="e">
        <f>IF(AND(#REF!&gt;=table!$C$7,#REF!&lt;= table!$D$7),-1,IF(AND(#REF!&gt;=table!$E$7,#REF!&lt;=table!$F$7),1,0))</f>
        <v>#REF!</v>
      </c>
      <c r="S2887" s="5" t="e">
        <f>IF(AND(#REF!&gt;=table!$C$8,#REF!&lt;= table!$D$8),-1,IF(AND(#REF!&gt;=table!$E$8,#REF!&lt;=table!$F$8),1,0))</f>
        <v>#REF!</v>
      </c>
      <c r="T2887" s="5"/>
      <c r="U2887" s="5" t="e">
        <f>IF(AND(#REF!&gt;=table!$C$10,#REF!&lt;= table!$D$10),-1,IF(AND(#REF!&gt;=table!$E$10,#REF!&lt;=table!$F$10),1,0))</f>
        <v>#REF!</v>
      </c>
      <c r="V2887" s="5" t="e">
        <f>IF(AND(#REF!&gt;=table!$C$11,#REF!&lt;= table!$D$11),-1,IF(AND(#REF!&gt;=table!$E$11,#REF!&lt;=table!$F$11),1,0))</f>
        <v>#REF!</v>
      </c>
      <c r="W2887" s="5" t="e">
        <f>CONCATENATE(dados[[#This Row],[fator1]],dados[[#This Row],[fator5]],dados[[#This Row],[fator6]])</f>
        <v>#REF!</v>
      </c>
    </row>
    <row r="2888" spans="1:23">
      <c r="A2888" t="s">
        <v>16</v>
      </c>
      <c r="B2888">
        <v>585305</v>
      </c>
      <c r="C2888">
        <v>7</v>
      </c>
      <c r="D2888">
        <v>33</v>
      </c>
      <c r="E2888">
        <v>150</v>
      </c>
      <c r="F2888">
        <v>4</v>
      </c>
      <c r="G2888">
        <v>0</v>
      </c>
      <c r="H2888">
        <v>25</v>
      </c>
      <c r="I2888">
        <v>796</v>
      </c>
      <c r="J2888">
        <v>0</v>
      </c>
      <c r="K2888">
        <v>3.6150000000000002</v>
      </c>
      <c r="L2888">
        <v>14.200000000000001</v>
      </c>
      <c r="M2888">
        <v>124.61</v>
      </c>
      <c r="N2888">
        <v>18.66</v>
      </c>
      <c r="O2888">
        <v>1709</v>
      </c>
      <c r="P2888">
        <v>0</v>
      </c>
      <c r="Q2888" s="5" t="e">
        <f>IF(AND(#REF!&gt;=table!$C$6,#REF!&lt;= table!$D$6),-1,IF(AND(#REF!&gt;=table!$E$6,#REF!&lt;=table!$F$6),1,0))</f>
        <v>#REF!</v>
      </c>
      <c r="R2888" s="5" t="e">
        <f>IF(AND(#REF!&gt;=table!$C$7,#REF!&lt;= table!$D$7),-1,IF(AND(#REF!&gt;=table!$E$7,#REF!&lt;=table!$F$7),1,0))</f>
        <v>#REF!</v>
      </c>
      <c r="S2888" s="5" t="e">
        <f>IF(AND(#REF!&gt;=table!$C$8,#REF!&lt;= table!$D$8),-1,IF(AND(#REF!&gt;=table!$E$8,#REF!&lt;=table!$F$8),1,0))</f>
        <v>#REF!</v>
      </c>
      <c r="T2888" s="5"/>
      <c r="U2888" s="5" t="e">
        <f>IF(AND(#REF!&gt;=table!$C$10,#REF!&lt;= table!$D$10),-1,IF(AND(#REF!&gt;=table!$E$10,#REF!&lt;=table!$F$10),1,0))</f>
        <v>#REF!</v>
      </c>
      <c r="V2888" s="5" t="e">
        <f>IF(AND(#REF!&gt;=table!$C$11,#REF!&lt;= table!$D$11),-1,IF(AND(#REF!&gt;=table!$E$11,#REF!&lt;=table!$F$11),1,0))</f>
        <v>#REF!</v>
      </c>
      <c r="W2888" s="5" t="e">
        <f>CONCATENATE(dados[[#This Row],[fator1]],dados[[#This Row],[fator5]],dados[[#This Row],[fator6]])</f>
        <v>#REF!</v>
      </c>
    </row>
    <row r="2889" spans="1:23">
      <c r="A2889" t="s">
        <v>16</v>
      </c>
      <c r="B2889">
        <v>585306</v>
      </c>
      <c r="C2889">
        <v>6</v>
      </c>
      <c r="D2889">
        <v>25</v>
      </c>
      <c r="E2889">
        <v>120</v>
      </c>
      <c r="F2889">
        <v>4</v>
      </c>
      <c r="G2889">
        <v>0</v>
      </c>
      <c r="H2889">
        <v>55</v>
      </c>
      <c r="I2889">
        <v>1180</v>
      </c>
      <c r="J2889">
        <v>0</v>
      </c>
      <c r="K2889">
        <v>4.1749999999999998</v>
      </c>
      <c r="L2889">
        <v>10.4</v>
      </c>
      <c r="M2889">
        <v>64.204999999999998</v>
      </c>
      <c r="N2889">
        <v>15.21</v>
      </c>
      <c r="O2889">
        <v>1650</v>
      </c>
      <c r="P2889">
        <v>843</v>
      </c>
      <c r="Q2889" s="5" t="e">
        <f>IF(AND(#REF!&gt;=table!$C$6,#REF!&lt;= table!$D$6),-1,IF(AND(#REF!&gt;=table!$E$6,#REF!&lt;=table!$F$6),1,0))</f>
        <v>#REF!</v>
      </c>
      <c r="R2889" s="5" t="e">
        <f>IF(AND(#REF!&gt;=table!$C$7,#REF!&lt;= table!$D$7),-1,IF(AND(#REF!&gt;=table!$E$7,#REF!&lt;=table!$F$7),1,0))</f>
        <v>#REF!</v>
      </c>
      <c r="S2889" s="5" t="e">
        <f>IF(AND(#REF!&gt;=table!$C$8,#REF!&lt;= table!$D$8),-1,IF(AND(#REF!&gt;=table!$E$8,#REF!&lt;=table!$F$8),1,0))</f>
        <v>#REF!</v>
      </c>
      <c r="T2889" s="5"/>
      <c r="U2889" s="5" t="e">
        <f>IF(AND(#REF!&gt;=table!$C$10,#REF!&lt;= table!$D$10),-1,IF(AND(#REF!&gt;=table!$E$10,#REF!&lt;=table!$F$10),1,0))</f>
        <v>#REF!</v>
      </c>
      <c r="V2889" s="5" t="e">
        <f>IF(AND(#REF!&gt;=table!$C$11,#REF!&lt;= table!$D$11),-1,IF(AND(#REF!&gt;=table!$E$11,#REF!&lt;=table!$F$11),1,0))</f>
        <v>#REF!</v>
      </c>
      <c r="W2889" s="5" t="e">
        <f>CONCATENATE(dados[[#This Row],[fator1]],dados[[#This Row],[fator5]],dados[[#This Row],[fator6]])</f>
        <v>#REF!</v>
      </c>
    </row>
    <row r="2890" spans="1:23">
      <c r="A2890" t="s">
        <v>16</v>
      </c>
      <c r="B2890">
        <v>585308</v>
      </c>
      <c r="C2890">
        <v>6</v>
      </c>
      <c r="D2890">
        <v>25</v>
      </c>
      <c r="E2890">
        <v>120</v>
      </c>
      <c r="F2890">
        <v>4</v>
      </c>
      <c r="G2890">
        <v>0</v>
      </c>
      <c r="H2890">
        <v>55</v>
      </c>
      <c r="I2890">
        <v>837</v>
      </c>
      <c r="J2890">
        <v>0</v>
      </c>
      <c r="K2890">
        <v>2.355</v>
      </c>
      <c r="L2890">
        <v>6.65</v>
      </c>
      <c r="M2890">
        <v>89.5</v>
      </c>
      <c r="N2890">
        <v>27.6</v>
      </c>
      <c r="O2890">
        <v>1649</v>
      </c>
      <c r="P2890">
        <v>1242</v>
      </c>
      <c r="Q2890" s="5" t="e">
        <f>IF(AND(#REF!&gt;=table!$C$6,#REF!&lt;= table!$D$6),-1,IF(AND(#REF!&gt;=table!$E$6,#REF!&lt;=table!$F$6),1,0))</f>
        <v>#REF!</v>
      </c>
      <c r="R2890" s="5" t="e">
        <f>IF(AND(#REF!&gt;=table!$C$7,#REF!&lt;= table!$D$7),-1,IF(AND(#REF!&gt;=table!$E$7,#REF!&lt;=table!$F$7),1,0))</f>
        <v>#REF!</v>
      </c>
      <c r="S2890" s="5" t="e">
        <f>IF(AND(#REF!&gt;=table!$C$8,#REF!&lt;= table!$D$8),-1,IF(AND(#REF!&gt;=table!$E$8,#REF!&lt;=table!$F$8),1,0))</f>
        <v>#REF!</v>
      </c>
      <c r="T2890" s="5"/>
      <c r="U2890" s="5" t="e">
        <f>IF(AND(#REF!&gt;=table!$C$10,#REF!&lt;= table!$D$10),-1,IF(AND(#REF!&gt;=table!$E$10,#REF!&lt;=table!$F$10),1,0))</f>
        <v>#REF!</v>
      </c>
      <c r="V2890" s="5" t="e">
        <f>IF(AND(#REF!&gt;=table!$C$11,#REF!&lt;= table!$D$11),-1,IF(AND(#REF!&gt;=table!$E$11,#REF!&lt;=table!$F$11),1,0))</f>
        <v>#REF!</v>
      </c>
      <c r="W2890" s="5" t="e">
        <f>CONCATENATE(dados[[#This Row],[fator1]],dados[[#This Row],[fator5]],dados[[#This Row],[fator6]])</f>
        <v>#REF!</v>
      </c>
    </row>
    <row r="2891" spans="1:23">
      <c r="A2891" t="s">
        <v>16</v>
      </c>
      <c r="B2891">
        <v>585310</v>
      </c>
      <c r="C2891">
        <v>11</v>
      </c>
      <c r="D2891">
        <v>35</v>
      </c>
      <c r="E2891">
        <v>45</v>
      </c>
      <c r="F2891">
        <v>9</v>
      </c>
      <c r="G2891">
        <v>0</v>
      </c>
      <c r="H2891">
        <v>25</v>
      </c>
      <c r="I2891">
        <v>298</v>
      </c>
      <c r="J2891">
        <v>0</v>
      </c>
      <c r="K2891">
        <v>3.31</v>
      </c>
      <c r="L2891">
        <v>8.65</v>
      </c>
      <c r="M2891">
        <v>37.65</v>
      </c>
      <c r="N2891">
        <v>13</v>
      </c>
      <c r="O2891">
        <v>1694</v>
      </c>
      <c r="P2891">
        <v>1146</v>
      </c>
      <c r="Q2891" s="5" t="e">
        <f>IF(AND(#REF!&gt;=table!$C$6,#REF!&lt;= table!$D$6),-1,IF(AND(#REF!&gt;=table!$E$6,#REF!&lt;=table!$F$6),1,0))</f>
        <v>#REF!</v>
      </c>
      <c r="R2891" s="5" t="e">
        <f>IF(AND(#REF!&gt;=table!$C$7,#REF!&lt;= table!$D$7),-1,IF(AND(#REF!&gt;=table!$E$7,#REF!&lt;=table!$F$7),1,0))</f>
        <v>#REF!</v>
      </c>
      <c r="S2891" s="5" t="e">
        <f>IF(AND(#REF!&gt;=table!$C$8,#REF!&lt;= table!$D$8),-1,IF(AND(#REF!&gt;=table!$E$8,#REF!&lt;=table!$F$8),1,0))</f>
        <v>#REF!</v>
      </c>
      <c r="T2891" s="5"/>
      <c r="U2891" s="5" t="e">
        <f>IF(AND(#REF!&gt;=table!$C$10,#REF!&lt;= table!$D$10),-1,IF(AND(#REF!&gt;=table!$E$10,#REF!&lt;=table!$F$10),1,0))</f>
        <v>#REF!</v>
      </c>
      <c r="V2891" s="5" t="e">
        <f>IF(AND(#REF!&gt;=table!$C$11,#REF!&lt;= table!$D$11),-1,IF(AND(#REF!&gt;=table!$E$11,#REF!&lt;=table!$F$11),1,0))</f>
        <v>#REF!</v>
      </c>
      <c r="W2891" s="5" t="e">
        <f>CONCATENATE(dados[[#This Row],[fator1]],dados[[#This Row],[fator5]],dados[[#This Row],[fator6]])</f>
        <v>#REF!</v>
      </c>
    </row>
    <row r="2892" spans="1:23">
      <c r="A2892" t="s">
        <v>16</v>
      </c>
      <c r="B2892">
        <v>585315</v>
      </c>
      <c r="C2892">
        <v>12</v>
      </c>
      <c r="D2892">
        <v>40</v>
      </c>
      <c r="E2892">
        <v>36</v>
      </c>
      <c r="F2892">
        <v>9</v>
      </c>
      <c r="G2892">
        <v>0</v>
      </c>
      <c r="H2892">
        <v>25</v>
      </c>
      <c r="I2892">
        <v>530</v>
      </c>
      <c r="J2892">
        <v>0</v>
      </c>
      <c r="K2892">
        <v>5</v>
      </c>
      <c r="L2892">
        <v>16.055</v>
      </c>
      <c r="M2892">
        <v>33.6</v>
      </c>
      <c r="N2892">
        <v>16.100000000000001</v>
      </c>
      <c r="O2892">
        <v>1676</v>
      </c>
      <c r="P2892">
        <v>673</v>
      </c>
      <c r="Q2892" s="5" t="e">
        <f>IF(AND(#REF!&gt;=table!$C$6,#REF!&lt;= table!$D$6),-1,IF(AND(#REF!&gt;=table!$E$6,#REF!&lt;=table!$F$6),1,0))</f>
        <v>#REF!</v>
      </c>
      <c r="R2892" s="5" t="e">
        <f>IF(AND(#REF!&gt;=table!$C$7,#REF!&lt;= table!$D$7),-1,IF(AND(#REF!&gt;=table!$E$7,#REF!&lt;=table!$F$7),1,0))</f>
        <v>#REF!</v>
      </c>
      <c r="S2892" s="5" t="e">
        <f>IF(AND(#REF!&gt;=table!$C$8,#REF!&lt;= table!$D$8),-1,IF(AND(#REF!&gt;=table!$E$8,#REF!&lt;=table!$F$8),1,0))</f>
        <v>#REF!</v>
      </c>
      <c r="T2892" s="5"/>
      <c r="U2892" s="5" t="e">
        <f>IF(AND(#REF!&gt;=table!$C$10,#REF!&lt;= table!$D$10),-1,IF(AND(#REF!&gt;=table!$E$10,#REF!&lt;=table!$F$10),1,0))</f>
        <v>#REF!</v>
      </c>
      <c r="V2892" s="5" t="e">
        <f>IF(AND(#REF!&gt;=table!$C$11,#REF!&lt;= table!$D$11),-1,IF(AND(#REF!&gt;=table!$E$11,#REF!&lt;=table!$F$11),1,0))</f>
        <v>#REF!</v>
      </c>
      <c r="W2892" s="5" t="e">
        <f>CONCATENATE(dados[[#This Row],[fator1]],dados[[#This Row],[fator5]],dados[[#This Row],[fator6]])</f>
        <v>#REF!</v>
      </c>
    </row>
    <row r="2893" spans="1:23">
      <c r="A2893" t="s">
        <v>16</v>
      </c>
      <c r="B2893">
        <v>585317</v>
      </c>
      <c r="C2893">
        <v>12</v>
      </c>
      <c r="D2893">
        <v>40</v>
      </c>
      <c r="E2893">
        <v>36</v>
      </c>
      <c r="F2893">
        <v>9</v>
      </c>
      <c r="G2893">
        <v>0</v>
      </c>
      <c r="H2893">
        <v>25</v>
      </c>
      <c r="I2893">
        <v>1084</v>
      </c>
      <c r="J2893">
        <v>0</v>
      </c>
      <c r="K2893">
        <v>4.09</v>
      </c>
      <c r="L2893">
        <v>14.435</v>
      </c>
      <c r="M2893">
        <v>32.56</v>
      </c>
      <c r="N2893">
        <v>17.64</v>
      </c>
      <c r="O2893">
        <v>1673</v>
      </c>
      <c r="P2893">
        <v>751</v>
      </c>
      <c r="Q2893" s="5" t="e">
        <f>IF(AND(#REF!&gt;=table!$C$6,#REF!&lt;= table!$D$6),-1,IF(AND(#REF!&gt;=table!$E$6,#REF!&lt;=table!$F$6),1,0))</f>
        <v>#REF!</v>
      </c>
      <c r="R2893" s="5" t="e">
        <f>IF(AND(#REF!&gt;=table!$C$7,#REF!&lt;= table!$D$7),-1,IF(AND(#REF!&gt;=table!$E$7,#REF!&lt;=table!$F$7),1,0))</f>
        <v>#REF!</v>
      </c>
      <c r="S2893" s="5" t="e">
        <f>IF(AND(#REF!&gt;=table!$C$8,#REF!&lt;= table!$D$8),-1,IF(AND(#REF!&gt;=table!$E$8,#REF!&lt;=table!$F$8),1,0))</f>
        <v>#REF!</v>
      </c>
      <c r="T2893" s="5"/>
      <c r="U2893" s="5" t="e">
        <f>IF(AND(#REF!&gt;=table!$C$10,#REF!&lt;= table!$D$10),-1,IF(AND(#REF!&gt;=table!$E$10,#REF!&lt;=table!$F$10),1,0))</f>
        <v>#REF!</v>
      </c>
      <c r="V2893" s="5" t="e">
        <f>IF(AND(#REF!&gt;=table!$C$11,#REF!&lt;= table!$D$11),-1,IF(AND(#REF!&gt;=table!$E$11,#REF!&lt;=table!$F$11),1,0))</f>
        <v>#REF!</v>
      </c>
      <c r="W2893" s="5" t="e">
        <f>CONCATENATE(dados[[#This Row],[fator1]],dados[[#This Row],[fator5]],dados[[#This Row],[fator6]])</f>
        <v>#REF!</v>
      </c>
    </row>
    <row r="2894" spans="1:23">
      <c r="A2894" t="s">
        <v>16</v>
      </c>
      <c r="B2894">
        <v>585320</v>
      </c>
      <c r="C2894">
        <v>16</v>
      </c>
      <c r="D2894">
        <v>30</v>
      </c>
      <c r="E2894">
        <v>36</v>
      </c>
      <c r="F2894">
        <v>3</v>
      </c>
      <c r="G2894">
        <v>0</v>
      </c>
      <c r="H2894">
        <v>25</v>
      </c>
      <c r="I2894">
        <v>944</v>
      </c>
      <c r="J2894">
        <v>0</v>
      </c>
      <c r="K2894">
        <v>5.9850000000000003</v>
      </c>
      <c r="L2894">
        <v>20.309999999999999</v>
      </c>
      <c r="M2894">
        <v>38.35</v>
      </c>
      <c r="N2894">
        <v>18.100000000000001</v>
      </c>
      <c r="O2894">
        <v>1661</v>
      </c>
      <c r="P2894">
        <v>0</v>
      </c>
      <c r="Q2894" s="5" t="e">
        <f>IF(AND(#REF!&gt;=table!$C$6,#REF!&lt;= table!$D$6),-1,IF(AND(#REF!&gt;=table!$E$6,#REF!&lt;=table!$F$6),1,0))</f>
        <v>#REF!</v>
      </c>
      <c r="R2894" s="5" t="e">
        <f>IF(AND(#REF!&gt;=table!$C$7,#REF!&lt;= table!$D$7),-1,IF(AND(#REF!&gt;=table!$E$7,#REF!&lt;=table!$F$7),1,0))</f>
        <v>#REF!</v>
      </c>
      <c r="S2894" s="5" t="e">
        <f>IF(AND(#REF!&gt;=table!$C$8,#REF!&lt;= table!$D$8),-1,IF(AND(#REF!&gt;=table!$E$8,#REF!&lt;=table!$F$8),1,0))</f>
        <v>#REF!</v>
      </c>
      <c r="T2894" s="5"/>
      <c r="U2894" s="5" t="e">
        <f>IF(AND(#REF!&gt;=table!$C$10,#REF!&lt;= table!$D$10),-1,IF(AND(#REF!&gt;=table!$E$10,#REF!&lt;=table!$F$10),1,0))</f>
        <v>#REF!</v>
      </c>
      <c r="V2894" s="5" t="e">
        <f>IF(AND(#REF!&gt;=table!$C$11,#REF!&lt;= table!$D$11),-1,IF(AND(#REF!&gt;=table!$E$11,#REF!&lt;=table!$F$11),1,0))</f>
        <v>#REF!</v>
      </c>
      <c r="W2894" s="5" t="e">
        <f>CONCATENATE(dados[[#This Row],[fator1]],dados[[#This Row],[fator5]],dados[[#This Row],[fator6]])</f>
        <v>#REF!</v>
      </c>
    </row>
    <row r="2895" spans="1:23">
      <c r="A2895" t="s">
        <v>16</v>
      </c>
      <c r="B2895">
        <v>585322</v>
      </c>
      <c r="C2895">
        <v>12</v>
      </c>
      <c r="D2895">
        <v>40</v>
      </c>
      <c r="E2895">
        <v>36</v>
      </c>
      <c r="F2895">
        <v>9</v>
      </c>
      <c r="G2895">
        <v>0</v>
      </c>
      <c r="H2895">
        <v>25</v>
      </c>
      <c r="I2895">
        <v>706</v>
      </c>
      <c r="J2895">
        <v>0</v>
      </c>
      <c r="K2895">
        <v>4.7</v>
      </c>
      <c r="L2895">
        <v>18.295000000000002</v>
      </c>
      <c r="M2895">
        <v>36.700000000000003</v>
      </c>
      <c r="N2895">
        <v>16.05</v>
      </c>
      <c r="O2895">
        <v>1670</v>
      </c>
      <c r="P2895">
        <v>609</v>
      </c>
      <c r="Q2895" s="5" t="e">
        <f>IF(AND(#REF!&gt;=table!$C$6,#REF!&lt;= table!$D$6),-1,IF(AND(#REF!&gt;=table!$E$6,#REF!&lt;=table!$F$6),1,0))</f>
        <v>#REF!</v>
      </c>
      <c r="R2895" s="5" t="e">
        <f>IF(AND(#REF!&gt;=table!$C$7,#REF!&lt;= table!$D$7),-1,IF(AND(#REF!&gt;=table!$E$7,#REF!&lt;=table!$F$7),1,0))</f>
        <v>#REF!</v>
      </c>
      <c r="S2895" s="5" t="e">
        <f>IF(AND(#REF!&gt;=table!$C$8,#REF!&lt;= table!$D$8),-1,IF(AND(#REF!&gt;=table!$E$8,#REF!&lt;=table!$F$8),1,0))</f>
        <v>#REF!</v>
      </c>
      <c r="T2895" s="5"/>
      <c r="U2895" s="5" t="e">
        <f>IF(AND(#REF!&gt;=table!$C$10,#REF!&lt;= table!$D$10),-1,IF(AND(#REF!&gt;=table!$E$10,#REF!&lt;=table!$F$10),1,0))</f>
        <v>#REF!</v>
      </c>
      <c r="V2895" s="5" t="e">
        <f>IF(AND(#REF!&gt;=table!$C$11,#REF!&lt;= table!$D$11),-1,IF(AND(#REF!&gt;=table!$E$11,#REF!&lt;=table!$F$11),1,0))</f>
        <v>#REF!</v>
      </c>
      <c r="W2895" s="5" t="e">
        <f>CONCATENATE(dados[[#This Row],[fator1]],dados[[#This Row],[fator5]],dados[[#This Row],[fator6]])</f>
        <v>#REF!</v>
      </c>
    </row>
    <row r="2896" spans="1:23">
      <c r="A2896" t="s">
        <v>16</v>
      </c>
      <c r="B2896">
        <v>585325</v>
      </c>
      <c r="C2896">
        <v>8</v>
      </c>
      <c r="D2896">
        <v>27</v>
      </c>
      <c r="E2896">
        <v>61</v>
      </c>
      <c r="F2896">
        <v>8</v>
      </c>
      <c r="G2896">
        <v>0</v>
      </c>
      <c r="H2896">
        <v>25</v>
      </c>
      <c r="I2896">
        <v>1778</v>
      </c>
      <c r="J2896">
        <v>0</v>
      </c>
      <c r="K2896">
        <v>2.5914999999999999</v>
      </c>
      <c r="L2896">
        <v>5.61</v>
      </c>
      <c r="M2896">
        <v>42.57</v>
      </c>
      <c r="N2896">
        <v>7.5200000000000005</v>
      </c>
      <c r="O2896">
        <v>1667</v>
      </c>
      <c r="P2896">
        <v>985</v>
      </c>
      <c r="Q2896" s="5" t="e">
        <f>IF(AND(#REF!&gt;=table!$C$6,#REF!&lt;= table!$D$6),-1,IF(AND(#REF!&gt;=table!$E$6,#REF!&lt;=table!$F$6),1,0))</f>
        <v>#REF!</v>
      </c>
      <c r="R2896" s="5" t="e">
        <f>IF(AND(#REF!&gt;=table!$C$7,#REF!&lt;= table!$D$7),-1,IF(AND(#REF!&gt;=table!$E$7,#REF!&lt;=table!$F$7),1,0))</f>
        <v>#REF!</v>
      </c>
      <c r="S2896" s="5" t="e">
        <f>IF(AND(#REF!&gt;=table!$C$8,#REF!&lt;= table!$D$8),-1,IF(AND(#REF!&gt;=table!$E$8,#REF!&lt;=table!$F$8),1,0))</f>
        <v>#REF!</v>
      </c>
      <c r="T2896" s="5"/>
      <c r="U2896" s="5" t="e">
        <f>IF(AND(#REF!&gt;=table!$C$10,#REF!&lt;= table!$D$10),-1,IF(AND(#REF!&gt;=table!$E$10,#REF!&lt;=table!$F$10),1,0))</f>
        <v>#REF!</v>
      </c>
      <c r="V2896" s="5" t="e">
        <f>IF(AND(#REF!&gt;=table!$C$11,#REF!&lt;= table!$D$11),-1,IF(AND(#REF!&gt;=table!$E$11,#REF!&lt;=table!$F$11),1,0))</f>
        <v>#REF!</v>
      </c>
      <c r="W2896" s="5" t="e">
        <f>CONCATENATE(dados[[#This Row],[fator1]],dados[[#This Row],[fator5]],dados[[#This Row],[fator6]])</f>
        <v>#REF!</v>
      </c>
    </row>
    <row r="2897" spans="1:23">
      <c r="A2897" t="s">
        <v>17</v>
      </c>
      <c r="B2897">
        <v>585332</v>
      </c>
      <c r="C2897">
        <v>14</v>
      </c>
      <c r="D2897">
        <v>30</v>
      </c>
      <c r="E2897">
        <v>86</v>
      </c>
      <c r="F2897">
        <v>9</v>
      </c>
      <c r="G2897">
        <v>20</v>
      </c>
      <c r="H2897">
        <v>25</v>
      </c>
      <c r="I2897">
        <v>702</v>
      </c>
      <c r="J2897">
        <v>0</v>
      </c>
      <c r="K2897">
        <v>4.6950000000000003</v>
      </c>
      <c r="L2897">
        <v>16.7</v>
      </c>
      <c r="M2897">
        <v>94.100000000000009</v>
      </c>
      <c r="N2897">
        <v>16.899999999999999</v>
      </c>
      <c r="O2897">
        <v>1678</v>
      </c>
      <c r="P2897">
        <v>412</v>
      </c>
      <c r="Q2897" s="5" t="e">
        <f>IF(AND(#REF!&gt;=table!$C$6,#REF!&lt;= table!$D$6),-1,IF(AND(#REF!&gt;=table!$E$6,#REF!&lt;=table!$F$6),1,0))</f>
        <v>#REF!</v>
      </c>
      <c r="R2897" s="5" t="e">
        <f>IF(AND(#REF!&gt;=table!$C$7,#REF!&lt;= table!$D$7),-1,IF(AND(#REF!&gt;=table!$E$7,#REF!&lt;=table!$F$7),1,0))</f>
        <v>#REF!</v>
      </c>
      <c r="S2897" s="5" t="e">
        <f>IF(AND(#REF!&gt;=table!$C$8,#REF!&lt;= table!$D$8),-1,IF(AND(#REF!&gt;=table!$E$8,#REF!&lt;=table!$F$8),1,0))</f>
        <v>#REF!</v>
      </c>
      <c r="T2897" s="5"/>
      <c r="U2897" s="5" t="e">
        <f>IF(AND(#REF!&gt;=table!$C$10,#REF!&lt;= table!$D$10),-1,IF(AND(#REF!&gt;=table!$E$10,#REF!&lt;=table!$F$10),1,0))</f>
        <v>#REF!</v>
      </c>
      <c r="V2897" s="5" t="e">
        <f>IF(AND(#REF!&gt;=table!$C$11,#REF!&lt;= table!$D$11),-1,IF(AND(#REF!&gt;=table!$E$11,#REF!&lt;=table!$F$11),1,0))</f>
        <v>#REF!</v>
      </c>
      <c r="W2897" s="5" t="e">
        <f>CONCATENATE(dados[[#This Row],[fator1]],dados[[#This Row],[fator5]],dados[[#This Row],[fator6]])</f>
        <v>#REF!</v>
      </c>
    </row>
    <row r="2898" spans="1:23">
      <c r="A2898" t="s">
        <v>17</v>
      </c>
      <c r="B2898">
        <v>585333</v>
      </c>
      <c r="C2898">
        <v>16</v>
      </c>
      <c r="D2898">
        <v>30</v>
      </c>
      <c r="E2898">
        <v>106</v>
      </c>
      <c r="F2898">
        <v>9</v>
      </c>
      <c r="G2898">
        <v>20</v>
      </c>
      <c r="H2898">
        <v>25</v>
      </c>
      <c r="I2898">
        <v>873</v>
      </c>
      <c r="J2898">
        <v>0</v>
      </c>
      <c r="K2898">
        <v>3.2600000000000002</v>
      </c>
      <c r="L2898">
        <v>13.4</v>
      </c>
      <c r="M2898">
        <v>80.8</v>
      </c>
      <c r="N2898">
        <v>11.55</v>
      </c>
      <c r="O2898">
        <v>1671</v>
      </c>
      <c r="P2898">
        <v>628</v>
      </c>
      <c r="Q2898" s="5" t="e">
        <f>IF(AND(#REF!&gt;=table!$C$6,#REF!&lt;= table!$D$6),-1,IF(AND(#REF!&gt;=table!$E$6,#REF!&lt;=table!$F$6),1,0))</f>
        <v>#REF!</v>
      </c>
      <c r="R2898" s="5" t="e">
        <f>IF(AND(#REF!&gt;=table!$C$7,#REF!&lt;= table!$D$7),-1,IF(AND(#REF!&gt;=table!$E$7,#REF!&lt;=table!$F$7),1,0))</f>
        <v>#REF!</v>
      </c>
      <c r="S2898" s="5" t="e">
        <f>IF(AND(#REF!&gt;=table!$C$8,#REF!&lt;= table!$D$8),-1,IF(AND(#REF!&gt;=table!$E$8,#REF!&lt;=table!$F$8),1,0))</f>
        <v>#REF!</v>
      </c>
      <c r="T2898" s="5"/>
      <c r="U2898" s="5" t="e">
        <f>IF(AND(#REF!&gt;=table!$C$10,#REF!&lt;= table!$D$10),-1,IF(AND(#REF!&gt;=table!$E$10,#REF!&lt;=table!$F$10),1,0))</f>
        <v>#REF!</v>
      </c>
      <c r="V2898" s="5" t="e">
        <f>IF(AND(#REF!&gt;=table!$C$11,#REF!&lt;= table!$D$11),-1,IF(AND(#REF!&gt;=table!$E$11,#REF!&lt;=table!$F$11),1,0))</f>
        <v>#REF!</v>
      </c>
      <c r="W2898" s="5" t="e">
        <f>CONCATENATE(dados[[#This Row],[fator1]],dados[[#This Row],[fator5]],dados[[#This Row],[fator6]])</f>
        <v>#REF!</v>
      </c>
    </row>
    <row r="2899" spans="1:23">
      <c r="A2899" t="s">
        <v>16</v>
      </c>
      <c r="B2899">
        <v>585338</v>
      </c>
      <c r="C2899">
        <v>0.15</v>
      </c>
      <c r="D2899">
        <v>40</v>
      </c>
      <c r="E2899">
        <v>10</v>
      </c>
      <c r="F2899">
        <v>15</v>
      </c>
      <c r="G2899">
        <v>0</v>
      </c>
      <c r="H2899">
        <v>15</v>
      </c>
      <c r="I2899">
        <v>671</v>
      </c>
      <c r="J2899">
        <v>0</v>
      </c>
      <c r="K2899">
        <v>4.54</v>
      </c>
      <c r="L2899">
        <v>11.700000000000001</v>
      </c>
      <c r="M2899">
        <v>10.450000000000001</v>
      </c>
      <c r="N2899">
        <v>6.15</v>
      </c>
      <c r="O2899">
        <v>1666</v>
      </c>
      <c r="P2899">
        <v>616</v>
      </c>
      <c r="Q2899" s="5" t="e">
        <f>IF(AND(#REF!&gt;=table!$C$6,#REF!&lt;= table!$D$6),-1,IF(AND(#REF!&gt;=table!$E$6,#REF!&lt;=table!$F$6),1,0))</f>
        <v>#REF!</v>
      </c>
      <c r="R2899" s="5" t="e">
        <f>IF(AND(#REF!&gt;=table!$C$7,#REF!&lt;= table!$D$7),-1,IF(AND(#REF!&gt;=table!$E$7,#REF!&lt;=table!$F$7),1,0))</f>
        <v>#REF!</v>
      </c>
      <c r="S2899" s="5" t="e">
        <f>IF(AND(#REF!&gt;=table!$C$8,#REF!&lt;= table!$D$8),-1,IF(AND(#REF!&gt;=table!$E$8,#REF!&lt;=table!$F$8),1,0))</f>
        <v>#REF!</v>
      </c>
      <c r="T2899" s="5"/>
      <c r="U2899" s="5" t="e">
        <f>IF(AND(#REF!&gt;=table!$C$10,#REF!&lt;= table!$D$10),-1,IF(AND(#REF!&gt;=table!$E$10,#REF!&lt;=table!$F$10),1,0))</f>
        <v>#REF!</v>
      </c>
      <c r="V2899" s="5" t="e">
        <f>IF(AND(#REF!&gt;=table!$C$11,#REF!&lt;= table!$D$11),-1,IF(AND(#REF!&gt;=table!$E$11,#REF!&lt;=table!$F$11),1,0))</f>
        <v>#REF!</v>
      </c>
      <c r="W2899" s="5" t="e">
        <f>CONCATENATE(dados[[#This Row],[fator1]],dados[[#This Row],[fator5]],dados[[#This Row],[fator6]])</f>
        <v>#REF!</v>
      </c>
    </row>
    <row r="2900" spans="1:23">
      <c r="A2900" t="s">
        <v>16</v>
      </c>
      <c r="B2900">
        <v>585342</v>
      </c>
      <c r="C2900">
        <v>8</v>
      </c>
      <c r="D2900">
        <v>27</v>
      </c>
      <c r="E2900">
        <v>61</v>
      </c>
      <c r="F2900">
        <v>9</v>
      </c>
      <c r="G2900">
        <v>0</v>
      </c>
      <c r="H2900">
        <v>25</v>
      </c>
      <c r="I2900">
        <v>53</v>
      </c>
      <c r="J2900">
        <v>0</v>
      </c>
      <c r="K2900">
        <v>3.0300000000000002</v>
      </c>
      <c r="L2900">
        <v>15.65</v>
      </c>
      <c r="M2900">
        <v>49.75</v>
      </c>
      <c r="N2900">
        <v>14.3</v>
      </c>
      <c r="O2900">
        <v>1669</v>
      </c>
      <c r="P2900">
        <v>744</v>
      </c>
      <c r="Q2900" s="5" t="e">
        <f>IF(AND(#REF!&gt;=table!$C$6,#REF!&lt;= table!$D$6),-1,IF(AND(#REF!&gt;=table!$E$6,#REF!&lt;=table!$F$6),1,0))</f>
        <v>#REF!</v>
      </c>
      <c r="R2900" s="5" t="e">
        <f>IF(AND(#REF!&gt;=table!$C$7,#REF!&lt;= table!$D$7),-1,IF(AND(#REF!&gt;=table!$E$7,#REF!&lt;=table!$F$7),1,0))</f>
        <v>#REF!</v>
      </c>
      <c r="S2900" s="5" t="e">
        <f>IF(AND(#REF!&gt;=table!$C$8,#REF!&lt;= table!$D$8),-1,IF(AND(#REF!&gt;=table!$E$8,#REF!&lt;=table!$F$8),1,0))</f>
        <v>#REF!</v>
      </c>
      <c r="T2900" s="5"/>
      <c r="U2900" s="5" t="e">
        <f>IF(AND(#REF!&gt;=table!$C$10,#REF!&lt;= table!$D$10),-1,IF(AND(#REF!&gt;=table!$E$10,#REF!&lt;=table!$F$10),1,0))</f>
        <v>#REF!</v>
      </c>
      <c r="V2900" s="5" t="e">
        <f>IF(AND(#REF!&gt;=table!$C$11,#REF!&lt;= table!$D$11),-1,IF(AND(#REF!&gt;=table!$E$11,#REF!&lt;=table!$F$11),1,0))</f>
        <v>#REF!</v>
      </c>
      <c r="W2900" s="5" t="e">
        <f>CONCATENATE(dados[[#This Row],[fator1]],dados[[#This Row],[fator5]],dados[[#This Row],[fator6]])</f>
        <v>#REF!</v>
      </c>
    </row>
    <row r="2901" spans="1:23">
      <c r="A2901" t="s">
        <v>16</v>
      </c>
      <c r="B2901">
        <v>585348</v>
      </c>
      <c r="C2901">
        <v>8</v>
      </c>
      <c r="D2901">
        <v>30</v>
      </c>
      <c r="E2901">
        <v>86</v>
      </c>
      <c r="F2901">
        <v>9</v>
      </c>
      <c r="G2901">
        <v>0</v>
      </c>
      <c r="H2901">
        <v>25</v>
      </c>
      <c r="I2901">
        <v>504</v>
      </c>
      <c r="J2901">
        <v>1170</v>
      </c>
      <c r="K2901">
        <v>4.2949999999999999</v>
      </c>
      <c r="L2901">
        <v>6.48</v>
      </c>
      <c r="M2901">
        <v>63.785000000000004</v>
      </c>
      <c r="N2901">
        <v>13.01</v>
      </c>
      <c r="O2901">
        <v>1609</v>
      </c>
      <c r="P2901">
        <v>0</v>
      </c>
      <c r="Q2901" s="5" t="e">
        <f>IF(AND(#REF!&gt;=table!$C$6,#REF!&lt;= table!$D$6),-1,IF(AND(#REF!&gt;=table!$E$6,#REF!&lt;=table!$F$6),1,0))</f>
        <v>#REF!</v>
      </c>
      <c r="R2901" s="5" t="e">
        <f>IF(AND(#REF!&gt;=table!$C$7,#REF!&lt;= table!$D$7),-1,IF(AND(#REF!&gt;=table!$E$7,#REF!&lt;=table!$F$7),1,0))</f>
        <v>#REF!</v>
      </c>
      <c r="S2901" s="5" t="e">
        <f>IF(AND(#REF!&gt;=table!$C$8,#REF!&lt;= table!$D$8),-1,IF(AND(#REF!&gt;=table!$E$8,#REF!&lt;=table!$F$8),1,0))</f>
        <v>#REF!</v>
      </c>
      <c r="T2901" s="5"/>
      <c r="U2901" s="5" t="e">
        <f>IF(AND(#REF!&gt;=table!$C$10,#REF!&lt;= table!$D$10),-1,IF(AND(#REF!&gt;=table!$E$10,#REF!&lt;=table!$F$10),1,0))</f>
        <v>#REF!</v>
      </c>
      <c r="V2901" s="5" t="e">
        <f>IF(AND(#REF!&gt;=table!$C$11,#REF!&lt;= table!$D$11),-1,IF(AND(#REF!&gt;=table!$E$11,#REF!&lt;=table!$F$11),1,0))</f>
        <v>#REF!</v>
      </c>
      <c r="W2901" s="5" t="e">
        <f>CONCATENATE(dados[[#This Row],[fator1]],dados[[#This Row],[fator5]],dados[[#This Row],[fator6]])</f>
        <v>#REF!</v>
      </c>
    </row>
    <row r="2902" spans="1:23">
      <c r="A2902" t="s">
        <v>16</v>
      </c>
      <c r="B2902">
        <v>585349</v>
      </c>
      <c r="C2902">
        <v>8</v>
      </c>
      <c r="D2902">
        <v>27</v>
      </c>
      <c r="E2902">
        <v>86</v>
      </c>
      <c r="F2902">
        <v>9</v>
      </c>
      <c r="G2902">
        <v>0</v>
      </c>
      <c r="H2902">
        <v>25</v>
      </c>
      <c r="I2902">
        <v>0</v>
      </c>
      <c r="J2902">
        <v>0</v>
      </c>
      <c r="K2902">
        <v>2.133</v>
      </c>
      <c r="L2902">
        <v>8.19</v>
      </c>
      <c r="M2902">
        <v>74.91</v>
      </c>
      <c r="N2902">
        <v>12.96</v>
      </c>
      <c r="O2902">
        <v>1694</v>
      </c>
      <c r="P2902">
        <v>0</v>
      </c>
      <c r="Q2902" s="5" t="e">
        <f>IF(AND(#REF!&gt;=table!$C$6,#REF!&lt;= table!$D$6),-1,IF(AND(#REF!&gt;=table!$E$6,#REF!&lt;=table!$F$6),1,0))</f>
        <v>#REF!</v>
      </c>
      <c r="R2902" s="5" t="e">
        <f>IF(AND(#REF!&gt;=table!$C$7,#REF!&lt;= table!$D$7),-1,IF(AND(#REF!&gt;=table!$E$7,#REF!&lt;=table!$F$7),1,0))</f>
        <v>#REF!</v>
      </c>
      <c r="S2902" s="5" t="e">
        <f>IF(AND(#REF!&gt;=table!$C$8,#REF!&lt;= table!$D$8),-1,IF(AND(#REF!&gt;=table!$E$8,#REF!&lt;=table!$F$8),1,0))</f>
        <v>#REF!</v>
      </c>
      <c r="T2902" s="5"/>
      <c r="U2902" s="5" t="e">
        <f>IF(AND(#REF!&gt;=table!$C$10,#REF!&lt;= table!$D$10),-1,IF(AND(#REF!&gt;=table!$E$10,#REF!&lt;=table!$F$10),1,0))</f>
        <v>#REF!</v>
      </c>
      <c r="V2902" s="5" t="e">
        <f>IF(AND(#REF!&gt;=table!$C$11,#REF!&lt;= table!$D$11),-1,IF(AND(#REF!&gt;=table!$E$11,#REF!&lt;=table!$F$11),1,0))</f>
        <v>#REF!</v>
      </c>
      <c r="W2902" s="5" t="e">
        <f>CONCATENATE(dados[[#This Row],[fator1]],dados[[#This Row],[fator5]],dados[[#This Row],[fator6]])</f>
        <v>#REF!</v>
      </c>
    </row>
    <row r="2903" spans="1:23">
      <c r="A2903" t="s">
        <v>16</v>
      </c>
      <c r="B2903">
        <v>585350</v>
      </c>
      <c r="C2903">
        <v>8</v>
      </c>
      <c r="D2903">
        <v>40</v>
      </c>
      <c r="E2903">
        <v>86</v>
      </c>
      <c r="F2903">
        <v>8</v>
      </c>
      <c r="G2903">
        <v>0</v>
      </c>
      <c r="H2903">
        <v>25</v>
      </c>
      <c r="I2903">
        <v>66</v>
      </c>
      <c r="J2903">
        <v>0</v>
      </c>
      <c r="K2903">
        <v>4.0150000000000006</v>
      </c>
      <c r="L2903">
        <v>13.175000000000001</v>
      </c>
      <c r="M2903">
        <v>76.475000000000009</v>
      </c>
      <c r="N2903">
        <v>10.38</v>
      </c>
      <c r="O2903">
        <v>1668</v>
      </c>
      <c r="P2903">
        <v>604</v>
      </c>
      <c r="Q2903" s="5" t="e">
        <f>IF(AND(#REF!&gt;=table!$C$6,#REF!&lt;= table!$D$6),-1,IF(AND(#REF!&gt;=table!$E$6,#REF!&lt;=table!$F$6),1,0))</f>
        <v>#REF!</v>
      </c>
      <c r="R2903" s="5" t="e">
        <f>IF(AND(#REF!&gt;=table!$C$7,#REF!&lt;= table!$D$7),-1,IF(AND(#REF!&gt;=table!$E$7,#REF!&lt;=table!$F$7),1,0))</f>
        <v>#REF!</v>
      </c>
      <c r="S2903" s="5" t="e">
        <f>IF(AND(#REF!&gt;=table!$C$8,#REF!&lt;= table!$D$8),-1,IF(AND(#REF!&gt;=table!$E$8,#REF!&lt;=table!$F$8),1,0))</f>
        <v>#REF!</v>
      </c>
      <c r="T2903" s="5"/>
      <c r="U2903" s="5" t="e">
        <f>IF(AND(#REF!&gt;=table!$C$10,#REF!&lt;= table!$D$10),-1,IF(AND(#REF!&gt;=table!$E$10,#REF!&lt;=table!$F$10),1,0))</f>
        <v>#REF!</v>
      </c>
      <c r="V2903" s="5" t="e">
        <f>IF(AND(#REF!&gt;=table!$C$11,#REF!&lt;= table!$D$11),-1,IF(AND(#REF!&gt;=table!$E$11,#REF!&lt;=table!$F$11),1,0))</f>
        <v>#REF!</v>
      </c>
      <c r="W2903" s="5" t="e">
        <f>CONCATENATE(dados[[#This Row],[fator1]],dados[[#This Row],[fator5]],dados[[#This Row],[fator6]])</f>
        <v>#REF!</v>
      </c>
    </row>
    <row r="2904" spans="1:23">
      <c r="A2904" t="s">
        <v>16</v>
      </c>
      <c r="B2904">
        <v>585352</v>
      </c>
      <c r="C2904">
        <v>0.1</v>
      </c>
      <c r="D2904">
        <v>40</v>
      </c>
      <c r="E2904">
        <v>10</v>
      </c>
      <c r="F2904">
        <v>8</v>
      </c>
      <c r="G2904">
        <v>0</v>
      </c>
      <c r="H2904">
        <v>10</v>
      </c>
      <c r="I2904">
        <v>946</v>
      </c>
      <c r="J2904">
        <v>0</v>
      </c>
      <c r="K2904">
        <v>4.2750000000000004</v>
      </c>
      <c r="L2904">
        <v>11.995000000000001</v>
      </c>
      <c r="M2904">
        <v>10.1</v>
      </c>
      <c r="N2904">
        <v>8.5050000000000008</v>
      </c>
      <c r="O2904">
        <v>1681</v>
      </c>
      <c r="P2904">
        <v>0</v>
      </c>
      <c r="Q2904" s="5" t="e">
        <f>IF(AND(#REF!&gt;=table!$C$6,#REF!&lt;= table!$D$6),-1,IF(AND(#REF!&gt;=table!$E$6,#REF!&lt;=table!$F$6),1,0))</f>
        <v>#REF!</v>
      </c>
      <c r="R2904" s="5" t="e">
        <f>IF(AND(#REF!&gt;=table!$C$7,#REF!&lt;= table!$D$7),-1,IF(AND(#REF!&gt;=table!$E$7,#REF!&lt;=table!$F$7),1,0))</f>
        <v>#REF!</v>
      </c>
      <c r="S2904" s="5" t="e">
        <f>IF(AND(#REF!&gt;=table!$C$8,#REF!&lt;= table!$D$8),-1,IF(AND(#REF!&gt;=table!$E$8,#REF!&lt;=table!$F$8),1,0))</f>
        <v>#REF!</v>
      </c>
      <c r="T2904" s="5"/>
      <c r="U2904" s="5" t="e">
        <f>IF(AND(#REF!&gt;=table!$C$10,#REF!&lt;= table!$D$10),-1,IF(AND(#REF!&gt;=table!$E$10,#REF!&lt;=table!$F$10),1,0))</f>
        <v>#REF!</v>
      </c>
      <c r="V2904" s="5" t="e">
        <f>IF(AND(#REF!&gt;=table!$C$11,#REF!&lt;= table!$D$11),-1,IF(AND(#REF!&gt;=table!$E$11,#REF!&lt;=table!$F$11),1,0))</f>
        <v>#REF!</v>
      </c>
      <c r="W2904" s="5" t="e">
        <f>CONCATENATE(dados[[#This Row],[fator1]],dados[[#This Row],[fator5]],dados[[#This Row],[fator6]])</f>
        <v>#REF!</v>
      </c>
    </row>
    <row r="2905" spans="1:23">
      <c r="A2905" t="s">
        <v>16</v>
      </c>
      <c r="B2905">
        <v>585368</v>
      </c>
      <c r="C2905">
        <v>0.15</v>
      </c>
      <c r="D2905">
        <v>40</v>
      </c>
      <c r="E2905">
        <v>10</v>
      </c>
      <c r="F2905">
        <v>15</v>
      </c>
      <c r="G2905">
        <v>0</v>
      </c>
      <c r="H2905">
        <v>15</v>
      </c>
      <c r="I2905">
        <v>0</v>
      </c>
      <c r="J2905">
        <v>0</v>
      </c>
      <c r="K2905">
        <v>3.71</v>
      </c>
      <c r="L2905">
        <v>12.35</v>
      </c>
      <c r="M2905">
        <v>11.15</v>
      </c>
      <c r="N2905">
        <v>10.4</v>
      </c>
      <c r="O2905">
        <v>1683</v>
      </c>
      <c r="P2905">
        <v>524</v>
      </c>
      <c r="Q2905" s="5" t="e">
        <f>IF(AND(#REF!&gt;=table!$C$6,#REF!&lt;= table!$D$6),-1,IF(AND(#REF!&gt;=table!$E$6,#REF!&lt;=table!$F$6),1,0))</f>
        <v>#REF!</v>
      </c>
      <c r="R2905" s="5" t="e">
        <f>IF(AND(#REF!&gt;=table!$C$7,#REF!&lt;= table!$D$7),-1,IF(AND(#REF!&gt;=table!$E$7,#REF!&lt;=table!$F$7),1,0))</f>
        <v>#REF!</v>
      </c>
      <c r="S2905" s="5" t="e">
        <f>IF(AND(#REF!&gt;=table!$C$8,#REF!&lt;= table!$D$8),-1,IF(AND(#REF!&gt;=table!$E$8,#REF!&lt;=table!$F$8),1,0))</f>
        <v>#REF!</v>
      </c>
      <c r="T2905" s="5"/>
      <c r="U2905" s="5" t="e">
        <f>IF(AND(#REF!&gt;=table!$C$10,#REF!&lt;= table!$D$10),-1,IF(AND(#REF!&gt;=table!$E$10,#REF!&lt;=table!$F$10),1,0))</f>
        <v>#REF!</v>
      </c>
      <c r="V2905" s="5" t="e">
        <f>IF(AND(#REF!&gt;=table!$C$11,#REF!&lt;= table!$D$11),-1,IF(AND(#REF!&gt;=table!$E$11,#REF!&lt;=table!$F$11),1,0))</f>
        <v>#REF!</v>
      </c>
      <c r="W2905" s="5" t="e">
        <f>CONCATENATE(dados[[#This Row],[fator1]],dados[[#This Row],[fator5]],dados[[#This Row],[fator6]])</f>
        <v>#REF!</v>
      </c>
    </row>
    <row r="2906" spans="1:23">
      <c r="A2906" t="s">
        <v>16</v>
      </c>
      <c r="B2906">
        <v>585373</v>
      </c>
      <c r="C2906">
        <v>16</v>
      </c>
      <c r="D2906">
        <v>35</v>
      </c>
      <c r="E2906">
        <v>56</v>
      </c>
      <c r="F2906">
        <v>10</v>
      </c>
      <c r="G2906">
        <v>0</v>
      </c>
      <c r="H2906">
        <v>25</v>
      </c>
      <c r="I2906">
        <v>236</v>
      </c>
      <c r="J2906">
        <v>0</v>
      </c>
      <c r="K2906">
        <v>5.88</v>
      </c>
      <c r="L2906">
        <v>16.39</v>
      </c>
      <c r="M2906">
        <v>49.555</v>
      </c>
      <c r="N2906">
        <v>11.315000000000001</v>
      </c>
      <c r="O2906">
        <v>1648</v>
      </c>
      <c r="P2906">
        <v>344</v>
      </c>
      <c r="Q2906" s="5" t="e">
        <f>IF(AND(#REF!&gt;=table!$C$6,#REF!&lt;= table!$D$6),-1,IF(AND(#REF!&gt;=table!$E$6,#REF!&lt;=table!$F$6),1,0))</f>
        <v>#REF!</v>
      </c>
      <c r="R2906" s="5" t="e">
        <f>IF(AND(#REF!&gt;=table!$C$7,#REF!&lt;= table!$D$7),-1,IF(AND(#REF!&gt;=table!$E$7,#REF!&lt;=table!$F$7),1,0))</f>
        <v>#REF!</v>
      </c>
      <c r="S2906" s="5" t="e">
        <f>IF(AND(#REF!&gt;=table!$C$8,#REF!&lt;= table!$D$8),-1,IF(AND(#REF!&gt;=table!$E$8,#REF!&lt;=table!$F$8),1,0))</f>
        <v>#REF!</v>
      </c>
      <c r="T2906" s="5"/>
      <c r="U2906" s="5" t="e">
        <f>IF(AND(#REF!&gt;=table!$C$10,#REF!&lt;= table!$D$10),-1,IF(AND(#REF!&gt;=table!$E$10,#REF!&lt;=table!$F$10),1,0))</f>
        <v>#REF!</v>
      </c>
      <c r="V2906" s="5" t="e">
        <f>IF(AND(#REF!&gt;=table!$C$11,#REF!&lt;= table!$D$11),-1,IF(AND(#REF!&gt;=table!$E$11,#REF!&lt;=table!$F$11),1,0))</f>
        <v>#REF!</v>
      </c>
      <c r="W2906" s="5" t="e">
        <f>CONCATENATE(dados[[#This Row],[fator1]],dados[[#This Row],[fator5]],dados[[#This Row],[fator6]])</f>
        <v>#REF!</v>
      </c>
    </row>
    <row r="2907" spans="1:23">
      <c r="A2907" t="s">
        <v>16</v>
      </c>
      <c r="B2907">
        <v>585374</v>
      </c>
      <c r="C2907">
        <v>16</v>
      </c>
      <c r="D2907">
        <v>35</v>
      </c>
      <c r="E2907">
        <v>56</v>
      </c>
      <c r="F2907">
        <v>10</v>
      </c>
      <c r="G2907">
        <v>0</v>
      </c>
      <c r="H2907">
        <v>25</v>
      </c>
      <c r="I2907">
        <v>547</v>
      </c>
      <c r="J2907">
        <v>0</v>
      </c>
      <c r="K2907">
        <v>6.6350000000000007</v>
      </c>
      <c r="L2907">
        <v>11.56</v>
      </c>
      <c r="M2907">
        <v>53.11</v>
      </c>
      <c r="N2907">
        <v>15.13</v>
      </c>
      <c r="O2907">
        <v>1684</v>
      </c>
      <c r="P2907">
        <v>0</v>
      </c>
      <c r="Q2907" s="5" t="e">
        <f>IF(AND(#REF!&gt;=table!$C$6,#REF!&lt;= table!$D$6),-1,IF(AND(#REF!&gt;=table!$E$6,#REF!&lt;=table!$F$6),1,0))</f>
        <v>#REF!</v>
      </c>
      <c r="R2907" s="5" t="e">
        <f>IF(AND(#REF!&gt;=table!$C$7,#REF!&lt;= table!$D$7),-1,IF(AND(#REF!&gt;=table!$E$7,#REF!&lt;=table!$F$7),1,0))</f>
        <v>#REF!</v>
      </c>
      <c r="S2907" s="5" t="e">
        <f>IF(AND(#REF!&gt;=table!$C$8,#REF!&lt;= table!$D$8),-1,IF(AND(#REF!&gt;=table!$E$8,#REF!&lt;=table!$F$8),1,0))</f>
        <v>#REF!</v>
      </c>
      <c r="T2907" s="5"/>
      <c r="U2907" s="5" t="e">
        <f>IF(AND(#REF!&gt;=table!$C$10,#REF!&lt;= table!$D$10),-1,IF(AND(#REF!&gt;=table!$E$10,#REF!&lt;=table!$F$10),1,0))</f>
        <v>#REF!</v>
      </c>
      <c r="V2907" s="5" t="e">
        <f>IF(AND(#REF!&gt;=table!$C$11,#REF!&lt;= table!$D$11),-1,IF(AND(#REF!&gt;=table!$E$11,#REF!&lt;=table!$F$11),1,0))</f>
        <v>#REF!</v>
      </c>
      <c r="W2907" s="5" t="e">
        <f>CONCATENATE(dados[[#This Row],[fator1]],dados[[#This Row],[fator5]],dados[[#This Row],[fator6]])</f>
        <v>#REF!</v>
      </c>
    </row>
    <row r="2908" spans="1:23">
      <c r="A2908" t="s">
        <v>16</v>
      </c>
      <c r="B2908">
        <v>585389</v>
      </c>
      <c r="C2908">
        <v>0.15</v>
      </c>
      <c r="D2908">
        <v>40</v>
      </c>
      <c r="E2908">
        <v>64</v>
      </c>
      <c r="F2908">
        <v>10</v>
      </c>
      <c r="G2908">
        <v>0</v>
      </c>
      <c r="H2908">
        <v>35</v>
      </c>
      <c r="I2908">
        <v>940</v>
      </c>
      <c r="J2908">
        <v>0</v>
      </c>
      <c r="K2908">
        <v>3.52</v>
      </c>
      <c r="L2908">
        <v>6.28</v>
      </c>
      <c r="M2908">
        <v>6.05</v>
      </c>
      <c r="N2908">
        <v>9.5</v>
      </c>
      <c r="O2908">
        <v>1666</v>
      </c>
      <c r="P2908">
        <v>990</v>
      </c>
      <c r="Q2908" s="5" t="e">
        <f>IF(AND(#REF!&gt;=table!$C$6,#REF!&lt;= table!$D$6),-1,IF(AND(#REF!&gt;=table!$E$6,#REF!&lt;=table!$F$6),1,0))</f>
        <v>#REF!</v>
      </c>
      <c r="R2908" s="5" t="e">
        <f>IF(AND(#REF!&gt;=table!$C$7,#REF!&lt;= table!$D$7),-1,IF(AND(#REF!&gt;=table!$E$7,#REF!&lt;=table!$F$7),1,0))</f>
        <v>#REF!</v>
      </c>
      <c r="S2908" s="5" t="e">
        <f>IF(AND(#REF!&gt;=table!$C$8,#REF!&lt;= table!$D$8),-1,IF(AND(#REF!&gt;=table!$E$8,#REF!&lt;=table!$F$8),1,0))</f>
        <v>#REF!</v>
      </c>
      <c r="T2908" s="5"/>
      <c r="U2908" s="5" t="e">
        <f>IF(AND(#REF!&gt;=table!$C$10,#REF!&lt;= table!$D$10),-1,IF(AND(#REF!&gt;=table!$E$10,#REF!&lt;=table!$F$10),1,0))</f>
        <v>#REF!</v>
      </c>
      <c r="V2908" s="5" t="e">
        <f>IF(AND(#REF!&gt;=table!$C$11,#REF!&lt;= table!$D$11),-1,IF(AND(#REF!&gt;=table!$E$11,#REF!&lt;=table!$F$11),1,0))</f>
        <v>#REF!</v>
      </c>
      <c r="W2908" s="5" t="e">
        <f>CONCATENATE(dados[[#This Row],[fator1]],dados[[#This Row],[fator5]],dados[[#This Row],[fator6]])</f>
        <v>#REF!</v>
      </c>
    </row>
    <row r="2909" spans="1:23">
      <c r="A2909" t="s">
        <v>16</v>
      </c>
      <c r="B2909">
        <v>585392</v>
      </c>
      <c r="C2909">
        <v>0.15</v>
      </c>
      <c r="D2909">
        <v>40</v>
      </c>
      <c r="E2909">
        <v>10</v>
      </c>
      <c r="F2909">
        <v>15</v>
      </c>
      <c r="G2909">
        <v>0</v>
      </c>
      <c r="H2909">
        <v>15</v>
      </c>
      <c r="I2909">
        <v>804</v>
      </c>
      <c r="J2909">
        <v>0</v>
      </c>
      <c r="K2909">
        <v>4.6399999999999997</v>
      </c>
      <c r="L2909">
        <v>9.9350000000000005</v>
      </c>
      <c r="M2909">
        <v>9.35</v>
      </c>
      <c r="N2909">
        <v>8.4499999999999993</v>
      </c>
      <c r="O2909">
        <v>1663</v>
      </c>
      <c r="P2909">
        <v>667</v>
      </c>
      <c r="Q2909" s="5" t="e">
        <f>IF(AND(#REF!&gt;=table!$C$6,#REF!&lt;= table!$D$6),-1,IF(AND(#REF!&gt;=table!$E$6,#REF!&lt;=table!$F$6),1,0))</f>
        <v>#REF!</v>
      </c>
      <c r="R2909" s="5" t="e">
        <f>IF(AND(#REF!&gt;=table!$C$7,#REF!&lt;= table!$D$7),-1,IF(AND(#REF!&gt;=table!$E$7,#REF!&lt;=table!$F$7),1,0))</f>
        <v>#REF!</v>
      </c>
      <c r="S2909" s="5" t="e">
        <f>IF(AND(#REF!&gt;=table!$C$8,#REF!&lt;= table!$D$8),-1,IF(AND(#REF!&gt;=table!$E$8,#REF!&lt;=table!$F$8),1,0))</f>
        <v>#REF!</v>
      </c>
      <c r="T2909" s="5"/>
      <c r="U2909" s="5" t="e">
        <f>IF(AND(#REF!&gt;=table!$C$10,#REF!&lt;= table!$D$10),-1,IF(AND(#REF!&gt;=table!$E$10,#REF!&lt;=table!$F$10),1,0))</f>
        <v>#REF!</v>
      </c>
      <c r="V2909" s="5" t="e">
        <f>IF(AND(#REF!&gt;=table!$C$11,#REF!&lt;= table!$D$11),-1,IF(AND(#REF!&gt;=table!$E$11,#REF!&lt;=table!$F$11),1,0))</f>
        <v>#REF!</v>
      </c>
      <c r="W2909" s="5" t="e">
        <f>CONCATENATE(dados[[#This Row],[fator1]],dados[[#This Row],[fator5]],dados[[#This Row],[fator6]])</f>
        <v>#REF!</v>
      </c>
    </row>
    <row r="2910" spans="1:23">
      <c r="A2910" t="s">
        <v>16</v>
      </c>
      <c r="B2910">
        <v>585400</v>
      </c>
      <c r="C2910">
        <v>0.15</v>
      </c>
      <c r="D2910">
        <v>40</v>
      </c>
      <c r="E2910">
        <v>10</v>
      </c>
      <c r="F2910">
        <v>15</v>
      </c>
      <c r="G2910">
        <v>0</v>
      </c>
      <c r="H2910">
        <v>15</v>
      </c>
      <c r="I2910">
        <v>462</v>
      </c>
      <c r="J2910">
        <v>630</v>
      </c>
      <c r="K2910">
        <v>3.45</v>
      </c>
      <c r="L2910">
        <v>6.05</v>
      </c>
      <c r="M2910">
        <v>5.4</v>
      </c>
      <c r="N2910">
        <v>6.05</v>
      </c>
      <c r="O2910">
        <v>1634</v>
      </c>
      <c r="P2910">
        <v>619</v>
      </c>
      <c r="Q2910" s="5" t="e">
        <f>IF(AND(#REF!&gt;=table!$C$6,#REF!&lt;= table!$D$6),-1,IF(AND(#REF!&gt;=table!$E$6,#REF!&lt;=table!$F$6),1,0))</f>
        <v>#REF!</v>
      </c>
      <c r="R2910" s="5" t="e">
        <f>IF(AND(#REF!&gt;=table!$C$7,#REF!&lt;= table!$D$7),-1,IF(AND(#REF!&gt;=table!$E$7,#REF!&lt;=table!$F$7),1,0))</f>
        <v>#REF!</v>
      </c>
      <c r="S2910" s="5" t="e">
        <f>IF(AND(#REF!&gt;=table!$C$8,#REF!&lt;= table!$D$8),-1,IF(AND(#REF!&gt;=table!$E$8,#REF!&lt;=table!$F$8),1,0))</f>
        <v>#REF!</v>
      </c>
      <c r="T2910" s="5"/>
      <c r="U2910" s="5" t="e">
        <f>IF(AND(#REF!&gt;=table!$C$10,#REF!&lt;= table!$D$10),-1,IF(AND(#REF!&gt;=table!$E$10,#REF!&lt;=table!$F$10),1,0))</f>
        <v>#REF!</v>
      </c>
      <c r="V2910" s="5" t="e">
        <f>IF(AND(#REF!&gt;=table!$C$11,#REF!&lt;= table!$D$11),-1,IF(AND(#REF!&gt;=table!$E$11,#REF!&lt;=table!$F$11),1,0))</f>
        <v>#REF!</v>
      </c>
      <c r="W2910" s="5" t="e">
        <f>CONCATENATE(dados[[#This Row],[fator1]],dados[[#This Row],[fator5]],dados[[#This Row],[fator6]])</f>
        <v>#REF!</v>
      </c>
    </row>
    <row r="2911" spans="1:23">
      <c r="A2911" t="s">
        <v>17</v>
      </c>
      <c r="B2911">
        <v>585402</v>
      </c>
      <c r="C2911">
        <v>27</v>
      </c>
      <c r="D2911">
        <v>33</v>
      </c>
      <c r="E2911">
        <v>125</v>
      </c>
      <c r="F2911">
        <v>3</v>
      </c>
      <c r="G2911">
        <v>18</v>
      </c>
      <c r="H2911">
        <v>18</v>
      </c>
      <c r="I2911">
        <v>746</v>
      </c>
      <c r="J2911">
        <v>0</v>
      </c>
      <c r="K2911">
        <v>3.6</v>
      </c>
      <c r="L2911">
        <v>9.9500000000000011</v>
      </c>
      <c r="M2911">
        <v>109.60000000000001</v>
      </c>
      <c r="N2911">
        <v>8.5500000000000007</v>
      </c>
      <c r="O2911">
        <v>1660</v>
      </c>
      <c r="P2911">
        <v>628</v>
      </c>
      <c r="Q2911" s="5" t="e">
        <f>IF(AND(#REF!&gt;=table!$C$6,#REF!&lt;= table!$D$6),-1,IF(AND(#REF!&gt;=table!$E$6,#REF!&lt;=table!$F$6),1,0))</f>
        <v>#REF!</v>
      </c>
      <c r="R2911" s="5" t="e">
        <f>IF(AND(#REF!&gt;=table!$C$7,#REF!&lt;= table!$D$7),-1,IF(AND(#REF!&gt;=table!$E$7,#REF!&lt;=table!$F$7),1,0))</f>
        <v>#REF!</v>
      </c>
      <c r="S2911" s="5" t="e">
        <f>IF(AND(#REF!&gt;=table!$C$8,#REF!&lt;= table!$D$8),-1,IF(AND(#REF!&gt;=table!$E$8,#REF!&lt;=table!$F$8),1,0))</f>
        <v>#REF!</v>
      </c>
      <c r="T2911" s="5"/>
      <c r="U2911" s="5" t="e">
        <f>IF(AND(#REF!&gt;=table!$C$10,#REF!&lt;= table!$D$10),-1,IF(AND(#REF!&gt;=table!$E$10,#REF!&lt;=table!$F$10),1,0))</f>
        <v>#REF!</v>
      </c>
      <c r="V2911" s="5" t="e">
        <f>IF(AND(#REF!&gt;=table!$C$11,#REF!&lt;= table!$D$11),-1,IF(AND(#REF!&gt;=table!$E$11,#REF!&lt;=table!$F$11),1,0))</f>
        <v>#REF!</v>
      </c>
      <c r="W2911" s="5" t="e">
        <f>CONCATENATE(dados[[#This Row],[fator1]],dados[[#This Row],[fator5]],dados[[#This Row],[fator6]])</f>
        <v>#REF!</v>
      </c>
    </row>
    <row r="2912" spans="1:23">
      <c r="A2912" t="s">
        <v>16</v>
      </c>
      <c r="B2912">
        <v>585407</v>
      </c>
      <c r="C2912">
        <v>0.15</v>
      </c>
      <c r="D2912">
        <v>40</v>
      </c>
      <c r="E2912">
        <v>10</v>
      </c>
      <c r="F2912">
        <v>15</v>
      </c>
      <c r="G2912">
        <v>0</v>
      </c>
      <c r="H2912">
        <v>15</v>
      </c>
      <c r="I2912">
        <v>829</v>
      </c>
      <c r="J2912">
        <v>0</v>
      </c>
      <c r="K2912">
        <v>3.7650000000000001</v>
      </c>
      <c r="L2912">
        <v>12.700000000000001</v>
      </c>
      <c r="M2912">
        <v>10.85</v>
      </c>
      <c r="N2912">
        <v>7.15</v>
      </c>
      <c r="O2912">
        <v>1672</v>
      </c>
      <c r="P2912">
        <v>564</v>
      </c>
      <c r="Q2912" s="5" t="e">
        <f>IF(AND(#REF!&gt;=table!$C$6,#REF!&lt;= table!$D$6),-1,IF(AND(#REF!&gt;=table!$E$6,#REF!&lt;=table!$F$6),1,0))</f>
        <v>#REF!</v>
      </c>
      <c r="R2912" s="5" t="e">
        <f>IF(AND(#REF!&gt;=table!$C$7,#REF!&lt;= table!$D$7),-1,IF(AND(#REF!&gt;=table!$E$7,#REF!&lt;=table!$F$7),1,0))</f>
        <v>#REF!</v>
      </c>
      <c r="S2912" s="5" t="e">
        <f>IF(AND(#REF!&gt;=table!$C$8,#REF!&lt;= table!$D$8),-1,IF(AND(#REF!&gt;=table!$E$8,#REF!&lt;=table!$F$8),1,0))</f>
        <v>#REF!</v>
      </c>
      <c r="T2912" s="5"/>
      <c r="U2912" s="5" t="e">
        <f>IF(AND(#REF!&gt;=table!$C$10,#REF!&lt;= table!$D$10),-1,IF(AND(#REF!&gt;=table!$E$10,#REF!&lt;=table!$F$10),1,0))</f>
        <v>#REF!</v>
      </c>
      <c r="V2912" s="5" t="e">
        <f>IF(AND(#REF!&gt;=table!$C$11,#REF!&lt;= table!$D$11),-1,IF(AND(#REF!&gt;=table!$E$11,#REF!&lt;=table!$F$11),1,0))</f>
        <v>#REF!</v>
      </c>
      <c r="W2912" s="5" t="e">
        <f>CONCATENATE(dados[[#This Row],[fator1]],dados[[#This Row],[fator5]],dados[[#This Row],[fator6]])</f>
        <v>#REF!</v>
      </c>
    </row>
    <row r="2913" spans="1:23">
      <c r="A2913" t="s">
        <v>17</v>
      </c>
      <c r="B2913">
        <v>585411</v>
      </c>
      <c r="C2913">
        <v>8</v>
      </c>
      <c r="D2913">
        <v>25</v>
      </c>
      <c r="E2913">
        <v>136</v>
      </c>
      <c r="F2913">
        <v>6</v>
      </c>
      <c r="G2913">
        <v>8</v>
      </c>
      <c r="H2913">
        <v>25</v>
      </c>
      <c r="I2913">
        <v>867</v>
      </c>
      <c r="J2913">
        <v>0</v>
      </c>
      <c r="K2913">
        <v>2.97</v>
      </c>
      <c r="L2913">
        <v>11.4</v>
      </c>
      <c r="M2913">
        <v>121.3</v>
      </c>
      <c r="N2913">
        <v>7</v>
      </c>
      <c r="O2913">
        <v>1678</v>
      </c>
      <c r="P2913">
        <v>626</v>
      </c>
      <c r="Q2913" s="5" t="e">
        <f>IF(AND(#REF!&gt;=table!$C$6,#REF!&lt;= table!$D$6),-1,IF(AND(#REF!&gt;=table!$E$6,#REF!&lt;=table!$F$6),1,0))</f>
        <v>#REF!</v>
      </c>
      <c r="R2913" s="5" t="e">
        <f>IF(AND(#REF!&gt;=table!$C$7,#REF!&lt;= table!$D$7),-1,IF(AND(#REF!&gt;=table!$E$7,#REF!&lt;=table!$F$7),1,0))</f>
        <v>#REF!</v>
      </c>
      <c r="S2913" s="5" t="e">
        <f>IF(AND(#REF!&gt;=table!$C$8,#REF!&lt;= table!$D$8),-1,IF(AND(#REF!&gt;=table!$E$8,#REF!&lt;=table!$F$8),1,0))</f>
        <v>#REF!</v>
      </c>
      <c r="T2913" s="5"/>
      <c r="U2913" s="5" t="e">
        <f>IF(AND(#REF!&gt;=table!$C$10,#REF!&lt;= table!$D$10),-1,IF(AND(#REF!&gt;=table!$E$10,#REF!&lt;=table!$F$10),1,0))</f>
        <v>#REF!</v>
      </c>
      <c r="V2913" s="5" t="e">
        <f>IF(AND(#REF!&gt;=table!$C$11,#REF!&lt;= table!$D$11),-1,IF(AND(#REF!&gt;=table!$E$11,#REF!&lt;=table!$F$11),1,0))</f>
        <v>#REF!</v>
      </c>
      <c r="W2913" s="5" t="e">
        <f>CONCATENATE(dados[[#This Row],[fator1]],dados[[#This Row],[fator5]],dados[[#This Row],[fator6]])</f>
        <v>#REF!</v>
      </c>
    </row>
    <row r="2914" spans="1:23">
      <c r="A2914" t="s">
        <v>16</v>
      </c>
      <c r="B2914">
        <v>585414</v>
      </c>
      <c r="C2914">
        <v>0.15</v>
      </c>
      <c r="D2914">
        <v>40</v>
      </c>
      <c r="E2914">
        <v>10</v>
      </c>
      <c r="F2914">
        <v>15</v>
      </c>
      <c r="G2914">
        <v>0</v>
      </c>
      <c r="H2914">
        <v>15</v>
      </c>
      <c r="I2914">
        <v>1</v>
      </c>
      <c r="J2914">
        <v>0</v>
      </c>
      <c r="K2914">
        <v>3.0649999999999999</v>
      </c>
      <c r="L2914">
        <v>12.55</v>
      </c>
      <c r="M2914">
        <v>11.25</v>
      </c>
      <c r="N2914">
        <v>8.15</v>
      </c>
      <c r="O2914">
        <v>1677</v>
      </c>
      <c r="P2914">
        <v>650</v>
      </c>
      <c r="Q2914" s="5" t="e">
        <f>IF(AND(#REF!&gt;=table!$C$6,#REF!&lt;= table!$D$6),-1,IF(AND(#REF!&gt;=table!$E$6,#REF!&lt;=table!$F$6),1,0))</f>
        <v>#REF!</v>
      </c>
      <c r="R2914" s="5" t="e">
        <f>IF(AND(#REF!&gt;=table!$C$7,#REF!&lt;= table!$D$7),-1,IF(AND(#REF!&gt;=table!$E$7,#REF!&lt;=table!$F$7),1,0))</f>
        <v>#REF!</v>
      </c>
      <c r="S2914" s="5" t="e">
        <f>IF(AND(#REF!&gt;=table!$C$8,#REF!&lt;= table!$D$8),-1,IF(AND(#REF!&gt;=table!$E$8,#REF!&lt;=table!$F$8),1,0))</f>
        <v>#REF!</v>
      </c>
      <c r="T2914" s="5"/>
      <c r="U2914" s="5" t="e">
        <f>IF(AND(#REF!&gt;=table!$C$10,#REF!&lt;= table!$D$10),-1,IF(AND(#REF!&gt;=table!$E$10,#REF!&lt;=table!$F$10),1,0))</f>
        <v>#REF!</v>
      </c>
      <c r="V2914" s="5" t="e">
        <f>IF(AND(#REF!&gt;=table!$C$11,#REF!&lt;= table!$D$11),-1,IF(AND(#REF!&gt;=table!$E$11,#REF!&lt;=table!$F$11),1,0))</f>
        <v>#REF!</v>
      </c>
      <c r="W2914" s="5" t="e">
        <f>CONCATENATE(dados[[#This Row],[fator1]],dados[[#This Row],[fator5]],dados[[#This Row],[fator6]])</f>
        <v>#REF!</v>
      </c>
    </row>
    <row r="2915" spans="1:23">
      <c r="A2915" t="s">
        <v>17</v>
      </c>
      <c r="B2915">
        <v>585415</v>
      </c>
      <c r="C2915">
        <v>16</v>
      </c>
      <c r="D2915">
        <v>23</v>
      </c>
      <c r="E2915">
        <v>145</v>
      </c>
      <c r="F2915">
        <v>4</v>
      </c>
      <c r="G2915">
        <v>30</v>
      </c>
      <c r="H2915">
        <v>25</v>
      </c>
      <c r="I2915">
        <v>0</v>
      </c>
      <c r="J2915">
        <v>0</v>
      </c>
      <c r="K2915">
        <v>3.0150000000000001</v>
      </c>
      <c r="L2915">
        <v>12.05</v>
      </c>
      <c r="M2915">
        <v>104.60000000000001</v>
      </c>
      <c r="N2915">
        <v>10.3</v>
      </c>
      <c r="O2915">
        <v>1671</v>
      </c>
      <c r="P2915">
        <v>755</v>
      </c>
      <c r="Q2915" s="5" t="e">
        <f>IF(AND(#REF!&gt;=table!$C$6,#REF!&lt;= table!$D$6),-1,IF(AND(#REF!&gt;=table!$E$6,#REF!&lt;=table!$F$6),1,0))</f>
        <v>#REF!</v>
      </c>
      <c r="R2915" s="5" t="e">
        <f>IF(AND(#REF!&gt;=table!$C$7,#REF!&lt;= table!$D$7),-1,IF(AND(#REF!&gt;=table!$E$7,#REF!&lt;=table!$F$7),1,0))</f>
        <v>#REF!</v>
      </c>
      <c r="S2915" s="5" t="e">
        <f>IF(AND(#REF!&gt;=table!$C$8,#REF!&lt;= table!$D$8),-1,IF(AND(#REF!&gt;=table!$E$8,#REF!&lt;=table!$F$8),1,0))</f>
        <v>#REF!</v>
      </c>
      <c r="T2915" s="5"/>
      <c r="U2915" s="5" t="e">
        <f>IF(AND(#REF!&gt;=table!$C$10,#REF!&lt;= table!$D$10),-1,IF(AND(#REF!&gt;=table!$E$10,#REF!&lt;=table!$F$10),1,0))</f>
        <v>#REF!</v>
      </c>
      <c r="V2915" s="5" t="e">
        <f>IF(AND(#REF!&gt;=table!$C$11,#REF!&lt;= table!$D$11),-1,IF(AND(#REF!&gt;=table!$E$11,#REF!&lt;=table!$F$11),1,0))</f>
        <v>#REF!</v>
      </c>
      <c r="W2915" s="5" t="e">
        <f>CONCATENATE(dados[[#This Row],[fator1]],dados[[#This Row],[fator5]],dados[[#This Row],[fator6]])</f>
        <v>#REF!</v>
      </c>
    </row>
    <row r="2916" spans="1:23">
      <c r="A2916" t="s">
        <v>16</v>
      </c>
      <c r="B2916">
        <v>585423</v>
      </c>
      <c r="C2916">
        <v>0.15</v>
      </c>
      <c r="D2916">
        <v>35</v>
      </c>
      <c r="E2916">
        <v>15</v>
      </c>
      <c r="F2916">
        <v>10</v>
      </c>
      <c r="G2916">
        <v>0</v>
      </c>
      <c r="H2916">
        <v>12</v>
      </c>
      <c r="I2916">
        <v>711</v>
      </c>
      <c r="J2916">
        <v>0</v>
      </c>
      <c r="K2916">
        <v>3.62</v>
      </c>
      <c r="L2916">
        <v>14.8</v>
      </c>
      <c r="M2916">
        <v>11.61</v>
      </c>
      <c r="N2916">
        <v>8.5650000000000013</v>
      </c>
      <c r="O2916">
        <v>1677</v>
      </c>
      <c r="P2916">
        <v>537</v>
      </c>
      <c r="Q2916" s="5" t="e">
        <f>IF(AND(#REF!&gt;=table!$C$6,#REF!&lt;= table!$D$6),-1,IF(AND(#REF!&gt;=table!$E$6,#REF!&lt;=table!$F$6),1,0))</f>
        <v>#REF!</v>
      </c>
      <c r="R2916" s="5" t="e">
        <f>IF(AND(#REF!&gt;=table!$C$7,#REF!&lt;= table!$D$7),-1,IF(AND(#REF!&gt;=table!$E$7,#REF!&lt;=table!$F$7),1,0))</f>
        <v>#REF!</v>
      </c>
      <c r="S2916" s="5" t="e">
        <f>IF(AND(#REF!&gt;=table!$C$8,#REF!&lt;= table!$D$8),-1,IF(AND(#REF!&gt;=table!$E$8,#REF!&lt;=table!$F$8),1,0))</f>
        <v>#REF!</v>
      </c>
      <c r="T2916" s="5"/>
      <c r="U2916" s="5" t="e">
        <f>IF(AND(#REF!&gt;=table!$C$10,#REF!&lt;= table!$D$10),-1,IF(AND(#REF!&gt;=table!$E$10,#REF!&lt;=table!$F$10),1,0))</f>
        <v>#REF!</v>
      </c>
      <c r="V2916" s="5" t="e">
        <f>IF(AND(#REF!&gt;=table!$C$11,#REF!&lt;= table!$D$11),-1,IF(AND(#REF!&gt;=table!$E$11,#REF!&lt;=table!$F$11),1,0))</f>
        <v>#REF!</v>
      </c>
      <c r="W2916" s="5" t="e">
        <f>CONCATENATE(dados[[#This Row],[fator1]],dados[[#This Row],[fator5]],dados[[#This Row],[fator6]])</f>
        <v>#REF!</v>
      </c>
    </row>
    <row r="2917" spans="1:23">
      <c r="A2917" t="s">
        <v>16</v>
      </c>
      <c r="B2917">
        <v>585424</v>
      </c>
      <c r="C2917">
        <v>8</v>
      </c>
      <c r="D2917">
        <v>40</v>
      </c>
      <c r="E2917">
        <v>86</v>
      </c>
      <c r="F2917">
        <v>6</v>
      </c>
      <c r="G2917">
        <v>0</v>
      </c>
      <c r="H2917">
        <v>20</v>
      </c>
      <c r="I2917">
        <v>0</v>
      </c>
      <c r="J2917">
        <v>0</v>
      </c>
      <c r="K2917">
        <v>3.7750000000000004</v>
      </c>
      <c r="L2917">
        <v>13.6</v>
      </c>
      <c r="M2917">
        <v>63.15</v>
      </c>
      <c r="N2917">
        <v>12.4</v>
      </c>
      <c r="O2917">
        <v>1660</v>
      </c>
      <c r="P2917">
        <v>536</v>
      </c>
      <c r="Q2917" s="5" t="e">
        <f>IF(AND(#REF!&gt;=table!$C$6,#REF!&lt;= table!$D$6),-1,IF(AND(#REF!&gt;=table!$E$6,#REF!&lt;=table!$F$6),1,0))</f>
        <v>#REF!</v>
      </c>
      <c r="R2917" s="5" t="e">
        <f>IF(AND(#REF!&gt;=table!$C$7,#REF!&lt;= table!$D$7),-1,IF(AND(#REF!&gt;=table!$E$7,#REF!&lt;=table!$F$7),1,0))</f>
        <v>#REF!</v>
      </c>
      <c r="S2917" s="5" t="e">
        <f>IF(AND(#REF!&gt;=table!$C$8,#REF!&lt;= table!$D$8),-1,IF(AND(#REF!&gt;=table!$E$8,#REF!&lt;=table!$F$8),1,0))</f>
        <v>#REF!</v>
      </c>
      <c r="T2917" s="5"/>
      <c r="U2917" s="5" t="e">
        <f>IF(AND(#REF!&gt;=table!$C$10,#REF!&lt;= table!$D$10),-1,IF(AND(#REF!&gt;=table!$E$10,#REF!&lt;=table!$F$10),1,0))</f>
        <v>#REF!</v>
      </c>
      <c r="V2917" s="5" t="e">
        <f>IF(AND(#REF!&gt;=table!$C$11,#REF!&lt;= table!$D$11),-1,IF(AND(#REF!&gt;=table!$E$11,#REF!&lt;=table!$F$11),1,0))</f>
        <v>#REF!</v>
      </c>
      <c r="W2917" s="5" t="e">
        <f>CONCATENATE(dados[[#This Row],[fator1]],dados[[#This Row],[fator5]],dados[[#This Row],[fator6]])</f>
        <v>#REF!</v>
      </c>
    </row>
    <row r="2918" spans="1:23">
      <c r="A2918" t="s">
        <v>16</v>
      </c>
      <c r="B2918">
        <v>585426</v>
      </c>
      <c r="C2918">
        <v>0.15</v>
      </c>
      <c r="D2918">
        <v>35</v>
      </c>
      <c r="E2918">
        <v>15</v>
      </c>
      <c r="F2918">
        <v>10</v>
      </c>
      <c r="G2918">
        <v>0</v>
      </c>
      <c r="H2918">
        <v>12</v>
      </c>
      <c r="I2918">
        <v>918</v>
      </c>
      <c r="J2918">
        <v>0</v>
      </c>
      <c r="K2918">
        <v>3.68</v>
      </c>
      <c r="L2918">
        <v>9.5</v>
      </c>
      <c r="M2918">
        <v>9.0500000000000007</v>
      </c>
      <c r="N2918">
        <v>9</v>
      </c>
      <c r="O2918">
        <v>1681</v>
      </c>
      <c r="P2918">
        <v>0</v>
      </c>
      <c r="Q2918" s="5" t="e">
        <f>IF(AND(#REF!&gt;=table!$C$6,#REF!&lt;= table!$D$6),-1,IF(AND(#REF!&gt;=table!$E$6,#REF!&lt;=table!$F$6),1,0))</f>
        <v>#REF!</v>
      </c>
      <c r="R2918" s="5" t="e">
        <f>IF(AND(#REF!&gt;=table!$C$7,#REF!&lt;= table!$D$7),-1,IF(AND(#REF!&gt;=table!$E$7,#REF!&lt;=table!$F$7),1,0))</f>
        <v>#REF!</v>
      </c>
      <c r="S2918" s="5" t="e">
        <f>IF(AND(#REF!&gt;=table!$C$8,#REF!&lt;= table!$D$8),-1,IF(AND(#REF!&gt;=table!$E$8,#REF!&lt;=table!$F$8),1,0))</f>
        <v>#REF!</v>
      </c>
      <c r="T2918" s="5"/>
      <c r="U2918" s="5" t="e">
        <f>IF(AND(#REF!&gt;=table!$C$10,#REF!&lt;= table!$D$10),-1,IF(AND(#REF!&gt;=table!$E$10,#REF!&lt;=table!$F$10),1,0))</f>
        <v>#REF!</v>
      </c>
      <c r="V2918" s="5" t="e">
        <f>IF(AND(#REF!&gt;=table!$C$11,#REF!&lt;= table!$D$11),-1,IF(AND(#REF!&gt;=table!$E$11,#REF!&lt;=table!$F$11),1,0))</f>
        <v>#REF!</v>
      </c>
      <c r="W2918" s="5" t="e">
        <f>CONCATENATE(dados[[#This Row],[fator1]],dados[[#This Row],[fator5]],dados[[#This Row],[fator6]])</f>
        <v>#REF!</v>
      </c>
    </row>
    <row r="2919" spans="1:23">
      <c r="A2919" t="s">
        <v>16</v>
      </c>
      <c r="B2919">
        <v>585429</v>
      </c>
      <c r="C2919">
        <v>0.2</v>
      </c>
      <c r="D2919">
        <v>65</v>
      </c>
      <c r="E2919">
        <v>26</v>
      </c>
      <c r="F2919">
        <v>15</v>
      </c>
      <c r="G2919">
        <v>0</v>
      </c>
      <c r="H2919">
        <v>30</v>
      </c>
      <c r="I2919">
        <v>15</v>
      </c>
      <c r="J2919">
        <v>0</v>
      </c>
      <c r="K2919">
        <v>3.41</v>
      </c>
      <c r="L2919">
        <v>19.2</v>
      </c>
      <c r="M2919">
        <v>12.85</v>
      </c>
      <c r="N2919">
        <v>15.700000000000001</v>
      </c>
      <c r="O2919">
        <v>1733</v>
      </c>
      <c r="P2919">
        <v>675</v>
      </c>
      <c r="Q2919" s="5" t="e">
        <f>IF(AND(#REF!&gt;=table!$C$6,#REF!&lt;= table!$D$6),-1,IF(AND(#REF!&gt;=table!$E$6,#REF!&lt;=table!$F$6),1,0))</f>
        <v>#REF!</v>
      </c>
      <c r="R2919" s="5" t="e">
        <f>IF(AND(#REF!&gt;=table!$C$7,#REF!&lt;= table!$D$7),-1,IF(AND(#REF!&gt;=table!$E$7,#REF!&lt;=table!$F$7),1,0))</f>
        <v>#REF!</v>
      </c>
      <c r="S2919" s="5" t="e">
        <f>IF(AND(#REF!&gt;=table!$C$8,#REF!&lt;= table!$D$8),-1,IF(AND(#REF!&gt;=table!$E$8,#REF!&lt;=table!$F$8),1,0))</f>
        <v>#REF!</v>
      </c>
      <c r="T2919" s="5"/>
      <c r="U2919" s="5" t="e">
        <f>IF(AND(#REF!&gt;=table!$C$10,#REF!&lt;= table!$D$10),-1,IF(AND(#REF!&gt;=table!$E$10,#REF!&lt;=table!$F$10),1,0))</f>
        <v>#REF!</v>
      </c>
      <c r="V2919" s="5" t="e">
        <f>IF(AND(#REF!&gt;=table!$C$11,#REF!&lt;= table!$D$11),-1,IF(AND(#REF!&gt;=table!$E$11,#REF!&lt;=table!$F$11),1,0))</f>
        <v>#REF!</v>
      </c>
      <c r="W2919" s="5" t="e">
        <f>CONCATENATE(dados[[#This Row],[fator1]],dados[[#This Row],[fator5]],dados[[#This Row],[fator6]])</f>
        <v>#REF!</v>
      </c>
    </row>
    <row r="2920" spans="1:23">
      <c r="A2920" t="s">
        <v>16</v>
      </c>
      <c r="B2920">
        <v>585433</v>
      </c>
      <c r="C2920">
        <v>0.15</v>
      </c>
      <c r="D2920">
        <v>40</v>
      </c>
      <c r="E2920">
        <v>10</v>
      </c>
      <c r="F2920">
        <v>15</v>
      </c>
      <c r="G2920">
        <v>0</v>
      </c>
      <c r="H2920">
        <v>15</v>
      </c>
      <c r="I2920">
        <v>558</v>
      </c>
      <c r="J2920">
        <v>410</v>
      </c>
      <c r="K2920">
        <v>7.36</v>
      </c>
      <c r="L2920">
        <v>12.9</v>
      </c>
      <c r="M2920">
        <v>9</v>
      </c>
      <c r="N2920">
        <v>6.95</v>
      </c>
      <c r="O2920">
        <v>1656</v>
      </c>
      <c r="P2920">
        <v>359</v>
      </c>
      <c r="Q2920" s="5" t="e">
        <f>IF(AND(#REF!&gt;=table!$C$6,#REF!&lt;= table!$D$6),-1,IF(AND(#REF!&gt;=table!$E$6,#REF!&lt;=table!$F$6),1,0))</f>
        <v>#REF!</v>
      </c>
      <c r="R2920" s="5" t="e">
        <f>IF(AND(#REF!&gt;=table!$C$7,#REF!&lt;= table!$D$7),-1,IF(AND(#REF!&gt;=table!$E$7,#REF!&lt;=table!$F$7),1,0))</f>
        <v>#REF!</v>
      </c>
      <c r="S2920" s="5" t="e">
        <f>IF(AND(#REF!&gt;=table!$C$8,#REF!&lt;= table!$D$8),-1,IF(AND(#REF!&gt;=table!$E$8,#REF!&lt;=table!$F$8),1,0))</f>
        <v>#REF!</v>
      </c>
      <c r="T2920" s="5"/>
      <c r="U2920" s="5" t="e">
        <f>IF(AND(#REF!&gt;=table!$C$10,#REF!&lt;= table!$D$10),-1,IF(AND(#REF!&gt;=table!$E$10,#REF!&lt;=table!$F$10),1,0))</f>
        <v>#REF!</v>
      </c>
      <c r="V2920" s="5" t="e">
        <f>IF(AND(#REF!&gt;=table!$C$11,#REF!&lt;= table!$D$11),-1,IF(AND(#REF!&gt;=table!$E$11,#REF!&lt;=table!$F$11),1,0))</f>
        <v>#REF!</v>
      </c>
      <c r="W2920" s="5" t="e">
        <f>CONCATENATE(dados[[#This Row],[fator1]],dados[[#This Row],[fator5]],dados[[#This Row],[fator6]])</f>
        <v>#REF!</v>
      </c>
    </row>
    <row r="2921" spans="1:23">
      <c r="A2921" t="s">
        <v>16</v>
      </c>
      <c r="B2921">
        <v>585434</v>
      </c>
      <c r="C2921">
        <v>0.15</v>
      </c>
      <c r="D2921">
        <v>40</v>
      </c>
      <c r="E2921">
        <v>10</v>
      </c>
      <c r="F2921">
        <v>15</v>
      </c>
      <c r="G2921">
        <v>0</v>
      </c>
      <c r="H2921">
        <v>15</v>
      </c>
      <c r="I2921">
        <v>1456</v>
      </c>
      <c r="J2921">
        <v>0</v>
      </c>
      <c r="K2921">
        <v>4.66</v>
      </c>
      <c r="L2921">
        <v>12.05</v>
      </c>
      <c r="M2921">
        <v>10.6</v>
      </c>
      <c r="N2921">
        <v>6.7</v>
      </c>
      <c r="O2921">
        <v>1669</v>
      </c>
      <c r="P2921">
        <v>0</v>
      </c>
      <c r="Q2921" s="5" t="e">
        <f>IF(AND(#REF!&gt;=table!$C$6,#REF!&lt;= table!$D$6),-1,IF(AND(#REF!&gt;=table!$E$6,#REF!&lt;=table!$F$6),1,0))</f>
        <v>#REF!</v>
      </c>
      <c r="R2921" s="5" t="e">
        <f>IF(AND(#REF!&gt;=table!$C$7,#REF!&lt;= table!$D$7),-1,IF(AND(#REF!&gt;=table!$E$7,#REF!&lt;=table!$F$7),1,0))</f>
        <v>#REF!</v>
      </c>
      <c r="S2921" s="5" t="e">
        <f>IF(AND(#REF!&gt;=table!$C$8,#REF!&lt;= table!$D$8),-1,IF(AND(#REF!&gt;=table!$E$8,#REF!&lt;=table!$F$8),1,0))</f>
        <v>#REF!</v>
      </c>
      <c r="T2921" s="5"/>
      <c r="U2921" s="5" t="e">
        <f>IF(AND(#REF!&gt;=table!$C$10,#REF!&lt;= table!$D$10),-1,IF(AND(#REF!&gt;=table!$E$10,#REF!&lt;=table!$F$10),1,0))</f>
        <v>#REF!</v>
      </c>
      <c r="V2921" s="5" t="e">
        <f>IF(AND(#REF!&gt;=table!$C$11,#REF!&lt;= table!$D$11),-1,IF(AND(#REF!&gt;=table!$E$11,#REF!&lt;=table!$F$11),1,0))</f>
        <v>#REF!</v>
      </c>
      <c r="W2921" s="5" t="e">
        <f>CONCATENATE(dados[[#This Row],[fator1]],dados[[#This Row],[fator5]],dados[[#This Row],[fator6]])</f>
        <v>#REF!</v>
      </c>
    </row>
    <row r="2922" spans="1:23">
      <c r="A2922" t="s">
        <v>16</v>
      </c>
      <c r="B2922">
        <v>585437</v>
      </c>
      <c r="C2922">
        <v>0.15</v>
      </c>
      <c r="D2922">
        <v>40</v>
      </c>
      <c r="E2922">
        <v>64</v>
      </c>
      <c r="F2922">
        <v>10</v>
      </c>
      <c r="G2922">
        <v>0</v>
      </c>
      <c r="H2922">
        <v>35</v>
      </c>
      <c r="I2922">
        <v>2041</v>
      </c>
      <c r="J2922">
        <v>640</v>
      </c>
      <c r="K2922">
        <v>2.5755000000000003</v>
      </c>
      <c r="L2922">
        <v>6.6950000000000003</v>
      </c>
      <c r="M2922">
        <v>5.66</v>
      </c>
      <c r="N2922">
        <v>9.5449999999999999</v>
      </c>
      <c r="O2922">
        <v>1643</v>
      </c>
      <c r="P2922">
        <v>668</v>
      </c>
      <c r="Q2922" s="5" t="e">
        <f>IF(AND(#REF!&gt;=table!$C$6,#REF!&lt;= table!$D$6),-1,IF(AND(#REF!&gt;=table!$E$6,#REF!&lt;=table!$F$6),1,0))</f>
        <v>#REF!</v>
      </c>
      <c r="R2922" s="5" t="e">
        <f>IF(AND(#REF!&gt;=table!$C$7,#REF!&lt;= table!$D$7),-1,IF(AND(#REF!&gt;=table!$E$7,#REF!&lt;=table!$F$7),1,0))</f>
        <v>#REF!</v>
      </c>
      <c r="S2922" s="5" t="e">
        <f>IF(AND(#REF!&gt;=table!$C$8,#REF!&lt;= table!$D$8),-1,IF(AND(#REF!&gt;=table!$E$8,#REF!&lt;=table!$F$8),1,0))</f>
        <v>#REF!</v>
      </c>
      <c r="T2922" s="5"/>
      <c r="U2922" s="5" t="e">
        <f>IF(AND(#REF!&gt;=table!$C$10,#REF!&lt;= table!$D$10),-1,IF(AND(#REF!&gt;=table!$E$10,#REF!&lt;=table!$F$10),1,0))</f>
        <v>#REF!</v>
      </c>
      <c r="V2922" s="5" t="e">
        <f>IF(AND(#REF!&gt;=table!$C$11,#REF!&lt;= table!$D$11),-1,IF(AND(#REF!&gt;=table!$E$11,#REF!&lt;=table!$F$11),1,0))</f>
        <v>#REF!</v>
      </c>
      <c r="W2922" s="5" t="e">
        <f>CONCATENATE(dados[[#This Row],[fator1]],dados[[#This Row],[fator5]],dados[[#This Row],[fator6]])</f>
        <v>#REF!</v>
      </c>
    </row>
    <row r="2923" spans="1:23">
      <c r="A2923" t="s">
        <v>17</v>
      </c>
      <c r="B2923">
        <v>585441</v>
      </c>
      <c r="C2923">
        <v>16</v>
      </c>
      <c r="D2923">
        <v>30</v>
      </c>
      <c r="E2923">
        <v>126</v>
      </c>
      <c r="F2923">
        <v>9</v>
      </c>
      <c r="G2923">
        <v>20</v>
      </c>
      <c r="H2923">
        <v>25</v>
      </c>
      <c r="I2923">
        <v>40</v>
      </c>
      <c r="J2923">
        <v>0</v>
      </c>
      <c r="K2923">
        <v>2.19</v>
      </c>
      <c r="L2923">
        <v>11.35</v>
      </c>
      <c r="M2923">
        <v>92.65</v>
      </c>
      <c r="N2923">
        <v>11</v>
      </c>
      <c r="O2923">
        <v>1665</v>
      </c>
      <c r="P2923">
        <v>480</v>
      </c>
      <c r="Q2923" s="5" t="e">
        <f>IF(AND(#REF!&gt;=table!$C$6,#REF!&lt;= table!$D$6),-1,IF(AND(#REF!&gt;=table!$E$6,#REF!&lt;=table!$F$6),1,0))</f>
        <v>#REF!</v>
      </c>
      <c r="R2923" s="5" t="e">
        <f>IF(AND(#REF!&gt;=table!$C$7,#REF!&lt;= table!$D$7),-1,IF(AND(#REF!&gt;=table!$E$7,#REF!&lt;=table!$F$7),1,0))</f>
        <v>#REF!</v>
      </c>
      <c r="S2923" s="5" t="e">
        <f>IF(AND(#REF!&gt;=table!$C$8,#REF!&lt;= table!$D$8),-1,IF(AND(#REF!&gt;=table!$E$8,#REF!&lt;=table!$F$8),1,0))</f>
        <v>#REF!</v>
      </c>
      <c r="T2923" s="5"/>
      <c r="U2923" s="5" t="e">
        <f>IF(AND(#REF!&gt;=table!$C$10,#REF!&lt;= table!$D$10),-1,IF(AND(#REF!&gt;=table!$E$10,#REF!&lt;=table!$F$10),1,0))</f>
        <v>#REF!</v>
      </c>
      <c r="V2923" s="5" t="e">
        <f>IF(AND(#REF!&gt;=table!$C$11,#REF!&lt;= table!$D$11),-1,IF(AND(#REF!&gt;=table!$E$11,#REF!&lt;=table!$F$11),1,0))</f>
        <v>#REF!</v>
      </c>
      <c r="W2923" s="5" t="e">
        <f>CONCATENATE(dados[[#This Row],[fator1]],dados[[#This Row],[fator5]],dados[[#This Row],[fator6]])</f>
        <v>#REF!</v>
      </c>
    </row>
    <row r="2924" spans="1:23">
      <c r="A2924" t="s">
        <v>17</v>
      </c>
      <c r="B2924">
        <v>585444</v>
      </c>
      <c r="C2924">
        <v>0.15</v>
      </c>
      <c r="D2924">
        <v>40</v>
      </c>
      <c r="E2924">
        <v>105</v>
      </c>
      <c r="F2924">
        <v>10</v>
      </c>
      <c r="G2924">
        <v>10</v>
      </c>
      <c r="H2924">
        <v>80</v>
      </c>
      <c r="I2924">
        <v>927</v>
      </c>
      <c r="J2924">
        <v>0</v>
      </c>
      <c r="K2924">
        <v>2.7</v>
      </c>
      <c r="L2924">
        <v>10.6</v>
      </c>
      <c r="M2924">
        <v>10</v>
      </c>
      <c r="N2924">
        <v>11.85</v>
      </c>
      <c r="O2924">
        <v>1694</v>
      </c>
      <c r="P2924">
        <v>0</v>
      </c>
      <c r="Q2924" s="5" t="e">
        <f>IF(AND(#REF!&gt;=table!$C$6,#REF!&lt;= table!$D$6),-1,IF(AND(#REF!&gt;=table!$E$6,#REF!&lt;=table!$F$6),1,0))</f>
        <v>#REF!</v>
      </c>
      <c r="R2924" s="5" t="e">
        <f>IF(AND(#REF!&gt;=table!$C$7,#REF!&lt;= table!$D$7),-1,IF(AND(#REF!&gt;=table!$E$7,#REF!&lt;=table!$F$7),1,0))</f>
        <v>#REF!</v>
      </c>
      <c r="S2924" s="5" t="e">
        <f>IF(AND(#REF!&gt;=table!$C$8,#REF!&lt;= table!$D$8),-1,IF(AND(#REF!&gt;=table!$E$8,#REF!&lt;=table!$F$8),1,0))</f>
        <v>#REF!</v>
      </c>
      <c r="T2924" s="5"/>
      <c r="U2924" s="5" t="e">
        <f>IF(AND(#REF!&gt;=table!$C$10,#REF!&lt;= table!$D$10),-1,IF(AND(#REF!&gt;=table!$E$10,#REF!&lt;=table!$F$10),1,0))</f>
        <v>#REF!</v>
      </c>
      <c r="V2924" s="5" t="e">
        <f>IF(AND(#REF!&gt;=table!$C$11,#REF!&lt;= table!$D$11),-1,IF(AND(#REF!&gt;=table!$E$11,#REF!&lt;=table!$F$11),1,0))</f>
        <v>#REF!</v>
      </c>
      <c r="W2924" s="5" t="e">
        <f>CONCATENATE(dados[[#This Row],[fator1]],dados[[#This Row],[fator5]],dados[[#This Row],[fator6]])</f>
        <v>#REF!</v>
      </c>
    </row>
    <row r="2925" spans="1:23">
      <c r="A2925" t="s">
        <v>16</v>
      </c>
      <c r="B2925">
        <v>585453</v>
      </c>
      <c r="C2925">
        <v>0.15</v>
      </c>
      <c r="D2925">
        <v>40</v>
      </c>
      <c r="E2925">
        <v>10</v>
      </c>
      <c r="F2925">
        <v>15</v>
      </c>
      <c r="G2925">
        <v>0</v>
      </c>
      <c r="H2925">
        <v>15</v>
      </c>
      <c r="I2925">
        <v>274</v>
      </c>
      <c r="J2925">
        <v>0</v>
      </c>
      <c r="K2925">
        <v>2.2250000000000001</v>
      </c>
      <c r="L2925">
        <v>10.1</v>
      </c>
      <c r="M2925">
        <v>8.9</v>
      </c>
      <c r="N2925">
        <v>9.3000000000000007</v>
      </c>
      <c r="O2925">
        <v>1676</v>
      </c>
      <c r="P2925">
        <v>0</v>
      </c>
      <c r="Q2925" s="5" t="e">
        <f>IF(AND(#REF!&gt;=table!$C$6,#REF!&lt;= table!$D$6),-1,IF(AND(#REF!&gt;=table!$E$6,#REF!&lt;=table!$F$6),1,0))</f>
        <v>#REF!</v>
      </c>
      <c r="R2925" s="5" t="e">
        <f>IF(AND(#REF!&gt;=table!$C$7,#REF!&lt;= table!$D$7),-1,IF(AND(#REF!&gt;=table!$E$7,#REF!&lt;=table!$F$7),1,0))</f>
        <v>#REF!</v>
      </c>
      <c r="S2925" s="5" t="e">
        <f>IF(AND(#REF!&gt;=table!$C$8,#REF!&lt;= table!$D$8),-1,IF(AND(#REF!&gt;=table!$E$8,#REF!&lt;=table!$F$8),1,0))</f>
        <v>#REF!</v>
      </c>
      <c r="T2925" s="5"/>
      <c r="U2925" s="5" t="e">
        <f>IF(AND(#REF!&gt;=table!$C$10,#REF!&lt;= table!$D$10),-1,IF(AND(#REF!&gt;=table!$E$10,#REF!&lt;=table!$F$10),1,0))</f>
        <v>#REF!</v>
      </c>
      <c r="V2925" s="5" t="e">
        <f>IF(AND(#REF!&gt;=table!$C$11,#REF!&lt;= table!$D$11),-1,IF(AND(#REF!&gt;=table!$E$11,#REF!&lt;=table!$F$11),1,0))</f>
        <v>#REF!</v>
      </c>
      <c r="W2925" s="5" t="e">
        <f>CONCATENATE(dados[[#This Row],[fator1]],dados[[#This Row],[fator5]],dados[[#This Row],[fator6]])</f>
        <v>#REF!</v>
      </c>
    </row>
    <row r="2926" spans="1:23">
      <c r="A2926" t="s">
        <v>16</v>
      </c>
      <c r="B2926">
        <v>585458</v>
      </c>
      <c r="C2926">
        <v>13</v>
      </c>
      <c r="D2926">
        <v>40</v>
      </c>
      <c r="E2926">
        <v>50</v>
      </c>
      <c r="F2926">
        <v>8</v>
      </c>
      <c r="G2926">
        <v>0</v>
      </c>
      <c r="H2926">
        <v>25</v>
      </c>
      <c r="I2926">
        <v>830</v>
      </c>
      <c r="J2926">
        <v>0</v>
      </c>
      <c r="K2926">
        <v>4.5449999999999999</v>
      </c>
      <c r="L2926">
        <v>12</v>
      </c>
      <c r="M2926">
        <v>41.36</v>
      </c>
      <c r="N2926">
        <v>13.015000000000001</v>
      </c>
      <c r="O2926">
        <v>1660</v>
      </c>
      <c r="P2926">
        <v>526</v>
      </c>
      <c r="Q2926" s="5" t="e">
        <f>IF(AND(#REF!&gt;=table!$C$6,#REF!&lt;= table!$D$6),-1,IF(AND(#REF!&gt;=table!$E$6,#REF!&lt;=table!$F$6),1,0))</f>
        <v>#REF!</v>
      </c>
      <c r="R2926" s="5" t="e">
        <f>IF(AND(#REF!&gt;=table!$C$7,#REF!&lt;= table!$D$7),-1,IF(AND(#REF!&gt;=table!$E$7,#REF!&lt;=table!$F$7),1,0))</f>
        <v>#REF!</v>
      </c>
      <c r="S2926" s="5" t="e">
        <f>IF(AND(#REF!&gt;=table!$C$8,#REF!&lt;= table!$D$8),-1,IF(AND(#REF!&gt;=table!$E$8,#REF!&lt;=table!$F$8),1,0))</f>
        <v>#REF!</v>
      </c>
      <c r="T2926" s="5"/>
      <c r="U2926" s="5" t="e">
        <f>IF(AND(#REF!&gt;=table!$C$10,#REF!&lt;= table!$D$10),-1,IF(AND(#REF!&gt;=table!$E$10,#REF!&lt;=table!$F$10),1,0))</f>
        <v>#REF!</v>
      </c>
      <c r="V2926" s="5" t="e">
        <f>IF(AND(#REF!&gt;=table!$C$11,#REF!&lt;= table!$D$11),-1,IF(AND(#REF!&gt;=table!$E$11,#REF!&lt;=table!$F$11),1,0))</f>
        <v>#REF!</v>
      </c>
      <c r="W2926" s="5" t="e">
        <f>CONCATENATE(dados[[#This Row],[fator1]],dados[[#This Row],[fator5]],dados[[#This Row],[fator6]])</f>
        <v>#REF!</v>
      </c>
    </row>
    <row r="2927" spans="1:23">
      <c r="A2927" t="s">
        <v>16</v>
      </c>
      <c r="B2927">
        <v>585468</v>
      </c>
      <c r="C2927">
        <v>0.15</v>
      </c>
      <c r="D2927">
        <v>40</v>
      </c>
      <c r="E2927">
        <v>10</v>
      </c>
      <c r="F2927">
        <v>15</v>
      </c>
      <c r="G2927">
        <v>0</v>
      </c>
      <c r="H2927">
        <v>15</v>
      </c>
      <c r="I2927">
        <v>879</v>
      </c>
      <c r="J2927">
        <v>0</v>
      </c>
      <c r="K2927">
        <v>3.1</v>
      </c>
      <c r="L2927">
        <v>12</v>
      </c>
      <c r="M2927">
        <v>10.39</v>
      </c>
      <c r="N2927">
        <v>8.25</v>
      </c>
      <c r="O2927">
        <v>1661</v>
      </c>
      <c r="P2927">
        <v>560</v>
      </c>
      <c r="Q2927" s="5" t="e">
        <f>IF(AND(#REF!&gt;=table!$C$6,#REF!&lt;= table!$D$6),-1,IF(AND(#REF!&gt;=table!$E$6,#REF!&lt;=table!$F$6),1,0))</f>
        <v>#REF!</v>
      </c>
      <c r="R2927" s="5" t="e">
        <f>IF(AND(#REF!&gt;=table!$C$7,#REF!&lt;= table!$D$7),-1,IF(AND(#REF!&gt;=table!$E$7,#REF!&lt;=table!$F$7),1,0))</f>
        <v>#REF!</v>
      </c>
      <c r="S2927" s="5" t="e">
        <f>IF(AND(#REF!&gt;=table!$C$8,#REF!&lt;= table!$D$8),-1,IF(AND(#REF!&gt;=table!$E$8,#REF!&lt;=table!$F$8),1,0))</f>
        <v>#REF!</v>
      </c>
      <c r="T2927" s="5"/>
      <c r="U2927" s="5" t="e">
        <f>IF(AND(#REF!&gt;=table!$C$10,#REF!&lt;= table!$D$10),-1,IF(AND(#REF!&gt;=table!$E$10,#REF!&lt;=table!$F$10),1,0))</f>
        <v>#REF!</v>
      </c>
      <c r="V2927" s="5" t="e">
        <f>IF(AND(#REF!&gt;=table!$C$11,#REF!&lt;= table!$D$11),-1,IF(AND(#REF!&gt;=table!$E$11,#REF!&lt;=table!$F$11),1,0))</f>
        <v>#REF!</v>
      </c>
      <c r="W2927" s="5" t="e">
        <f>CONCATENATE(dados[[#This Row],[fator1]],dados[[#This Row],[fator5]],dados[[#This Row],[fator6]])</f>
        <v>#REF!</v>
      </c>
    </row>
    <row r="2928" spans="1:23">
      <c r="A2928" t="s">
        <v>17</v>
      </c>
      <c r="B2928">
        <v>585472</v>
      </c>
      <c r="C2928">
        <v>8</v>
      </c>
      <c r="D2928">
        <v>25</v>
      </c>
      <c r="E2928">
        <v>136</v>
      </c>
      <c r="F2928">
        <v>6</v>
      </c>
      <c r="G2928">
        <v>8</v>
      </c>
      <c r="H2928">
        <v>25</v>
      </c>
      <c r="I2928">
        <v>636</v>
      </c>
      <c r="J2928">
        <v>0</v>
      </c>
      <c r="K2928">
        <v>3.56</v>
      </c>
      <c r="L2928">
        <v>13.75</v>
      </c>
      <c r="M2928">
        <v>102.8</v>
      </c>
      <c r="N2928">
        <v>16.55</v>
      </c>
      <c r="O2928">
        <v>1680</v>
      </c>
      <c r="P2928">
        <v>707</v>
      </c>
      <c r="Q2928" s="5" t="e">
        <f>IF(AND(#REF!&gt;=table!$C$6,#REF!&lt;= table!$D$6),-1,IF(AND(#REF!&gt;=table!$E$6,#REF!&lt;=table!$F$6),1,0))</f>
        <v>#REF!</v>
      </c>
      <c r="R2928" s="5" t="e">
        <f>IF(AND(#REF!&gt;=table!$C$7,#REF!&lt;= table!$D$7),-1,IF(AND(#REF!&gt;=table!$E$7,#REF!&lt;=table!$F$7),1,0))</f>
        <v>#REF!</v>
      </c>
      <c r="S2928" s="5" t="e">
        <f>IF(AND(#REF!&gt;=table!$C$8,#REF!&lt;= table!$D$8),-1,IF(AND(#REF!&gt;=table!$E$8,#REF!&lt;=table!$F$8),1,0))</f>
        <v>#REF!</v>
      </c>
      <c r="T2928" s="5"/>
      <c r="U2928" s="5" t="e">
        <f>IF(AND(#REF!&gt;=table!$C$10,#REF!&lt;= table!$D$10),-1,IF(AND(#REF!&gt;=table!$E$10,#REF!&lt;=table!$F$10),1,0))</f>
        <v>#REF!</v>
      </c>
      <c r="V2928" s="5" t="e">
        <f>IF(AND(#REF!&gt;=table!$C$11,#REF!&lt;= table!$D$11),-1,IF(AND(#REF!&gt;=table!$E$11,#REF!&lt;=table!$F$11),1,0))</f>
        <v>#REF!</v>
      </c>
      <c r="W2928" s="5" t="e">
        <f>CONCATENATE(dados[[#This Row],[fator1]],dados[[#This Row],[fator5]],dados[[#This Row],[fator6]])</f>
        <v>#REF!</v>
      </c>
    </row>
    <row r="2929" spans="1:23">
      <c r="A2929" t="s">
        <v>17</v>
      </c>
      <c r="B2929">
        <v>585473</v>
      </c>
      <c r="C2929">
        <v>8</v>
      </c>
      <c r="D2929">
        <v>25</v>
      </c>
      <c r="E2929">
        <v>136</v>
      </c>
      <c r="F2929">
        <v>6</v>
      </c>
      <c r="G2929">
        <v>8</v>
      </c>
      <c r="H2929">
        <v>25</v>
      </c>
      <c r="I2929">
        <v>327</v>
      </c>
      <c r="J2929">
        <v>0</v>
      </c>
      <c r="K2929">
        <v>5.29</v>
      </c>
      <c r="L2929">
        <v>13.950000000000001</v>
      </c>
      <c r="M2929">
        <v>101.35000000000001</v>
      </c>
      <c r="N2929">
        <v>12.9</v>
      </c>
      <c r="O2929">
        <v>1668</v>
      </c>
      <c r="P2929">
        <v>525</v>
      </c>
      <c r="Q2929" s="5" t="e">
        <f>IF(AND(#REF!&gt;=table!$C$6,#REF!&lt;= table!$D$6),-1,IF(AND(#REF!&gt;=table!$E$6,#REF!&lt;=table!$F$6),1,0))</f>
        <v>#REF!</v>
      </c>
      <c r="R2929" s="5" t="e">
        <f>IF(AND(#REF!&gt;=table!$C$7,#REF!&lt;= table!$D$7),-1,IF(AND(#REF!&gt;=table!$E$7,#REF!&lt;=table!$F$7),1,0))</f>
        <v>#REF!</v>
      </c>
      <c r="S2929" s="5" t="e">
        <f>IF(AND(#REF!&gt;=table!$C$8,#REF!&lt;= table!$D$8),-1,IF(AND(#REF!&gt;=table!$E$8,#REF!&lt;=table!$F$8),1,0))</f>
        <v>#REF!</v>
      </c>
      <c r="T2929" s="5"/>
      <c r="U2929" s="5" t="e">
        <f>IF(AND(#REF!&gt;=table!$C$10,#REF!&lt;= table!$D$10),-1,IF(AND(#REF!&gt;=table!$E$10,#REF!&lt;=table!$F$10),1,0))</f>
        <v>#REF!</v>
      </c>
      <c r="V2929" s="5" t="e">
        <f>IF(AND(#REF!&gt;=table!$C$11,#REF!&lt;= table!$D$11),-1,IF(AND(#REF!&gt;=table!$E$11,#REF!&lt;=table!$F$11),1,0))</f>
        <v>#REF!</v>
      </c>
      <c r="W2929" s="5" t="e">
        <f>CONCATENATE(dados[[#This Row],[fator1]],dados[[#This Row],[fator5]],dados[[#This Row],[fator6]])</f>
        <v>#REF!</v>
      </c>
    </row>
    <row r="2930" spans="1:23">
      <c r="A2930" t="s">
        <v>17</v>
      </c>
      <c r="B2930">
        <v>585474</v>
      </c>
      <c r="C2930">
        <v>8</v>
      </c>
      <c r="D2930">
        <v>25</v>
      </c>
      <c r="E2930">
        <v>136</v>
      </c>
      <c r="F2930">
        <v>6</v>
      </c>
      <c r="G2930">
        <v>8</v>
      </c>
      <c r="H2930">
        <v>25</v>
      </c>
      <c r="I2930">
        <v>0</v>
      </c>
      <c r="J2930">
        <v>0</v>
      </c>
      <c r="K2930">
        <v>5.5049999999999999</v>
      </c>
      <c r="L2930">
        <v>18.715</v>
      </c>
      <c r="M2930">
        <v>110.60000000000001</v>
      </c>
      <c r="N2930">
        <v>13.8</v>
      </c>
      <c r="O2930">
        <v>1649</v>
      </c>
      <c r="P2930">
        <v>377</v>
      </c>
      <c r="Q2930" s="5" t="e">
        <f>IF(AND(#REF!&gt;=table!$C$6,#REF!&lt;= table!$D$6),-1,IF(AND(#REF!&gt;=table!$E$6,#REF!&lt;=table!$F$6),1,0))</f>
        <v>#REF!</v>
      </c>
      <c r="R2930" s="5" t="e">
        <f>IF(AND(#REF!&gt;=table!$C$7,#REF!&lt;= table!$D$7),-1,IF(AND(#REF!&gt;=table!$E$7,#REF!&lt;=table!$F$7),1,0))</f>
        <v>#REF!</v>
      </c>
      <c r="S2930" s="5" t="e">
        <f>IF(AND(#REF!&gt;=table!$C$8,#REF!&lt;= table!$D$8),-1,IF(AND(#REF!&gt;=table!$E$8,#REF!&lt;=table!$F$8),1,0))</f>
        <v>#REF!</v>
      </c>
      <c r="T2930" s="5"/>
      <c r="U2930" s="5" t="e">
        <f>IF(AND(#REF!&gt;=table!$C$10,#REF!&lt;= table!$D$10),-1,IF(AND(#REF!&gt;=table!$E$10,#REF!&lt;=table!$F$10),1,0))</f>
        <v>#REF!</v>
      </c>
      <c r="V2930" s="5" t="e">
        <f>IF(AND(#REF!&gt;=table!$C$11,#REF!&lt;= table!$D$11),-1,IF(AND(#REF!&gt;=table!$E$11,#REF!&lt;=table!$F$11),1,0))</f>
        <v>#REF!</v>
      </c>
      <c r="W2930" s="5" t="e">
        <f>CONCATENATE(dados[[#This Row],[fator1]],dados[[#This Row],[fator5]],dados[[#This Row],[fator6]])</f>
        <v>#REF!</v>
      </c>
    </row>
    <row r="2931" spans="1:23">
      <c r="A2931" t="s">
        <v>16</v>
      </c>
      <c r="B2931">
        <v>585486</v>
      </c>
      <c r="C2931">
        <v>16</v>
      </c>
      <c r="D2931">
        <v>35</v>
      </c>
      <c r="E2931">
        <v>56</v>
      </c>
      <c r="F2931">
        <v>10</v>
      </c>
      <c r="G2931">
        <v>0</v>
      </c>
      <c r="H2931">
        <v>25</v>
      </c>
      <c r="I2931">
        <v>29</v>
      </c>
      <c r="J2931">
        <v>0</v>
      </c>
      <c r="K2931">
        <v>5.46</v>
      </c>
      <c r="L2931">
        <v>13.995000000000001</v>
      </c>
      <c r="M2931">
        <v>47.805</v>
      </c>
      <c r="N2931">
        <v>13.02</v>
      </c>
      <c r="O2931">
        <v>1674</v>
      </c>
      <c r="P2931">
        <v>561</v>
      </c>
      <c r="Q2931" s="5" t="e">
        <f>IF(AND(#REF!&gt;=table!$C$6,#REF!&lt;= table!$D$6),-1,IF(AND(#REF!&gt;=table!$E$6,#REF!&lt;=table!$F$6),1,0))</f>
        <v>#REF!</v>
      </c>
      <c r="R2931" s="5" t="e">
        <f>IF(AND(#REF!&gt;=table!$C$7,#REF!&lt;= table!$D$7),-1,IF(AND(#REF!&gt;=table!$E$7,#REF!&lt;=table!$F$7),1,0))</f>
        <v>#REF!</v>
      </c>
      <c r="S2931" s="5" t="e">
        <f>IF(AND(#REF!&gt;=table!$C$8,#REF!&lt;= table!$D$8),-1,IF(AND(#REF!&gt;=table!$E$8,#REF!&lt;=table!$F$8),1,0))</f>
        <v>#REF!</v>
      </c>
      <c r="T2931" s="5"/>
      <c r="U2931" s="5" t="e">
        <f>IF(AND(#REF!&gt;=table!$C$10,#REF!&lt;= table!$D$10),-1,IF(AND(#REF!&gt;=table!$E$10,#REF!&lt;=table!$F$10),1,0))</f>
        <v>#REF!</v>
      </c>
      <c r="V2931" s="5" t="e">
        <f>IF(AND(#REF!&gt;=table!$C$11,#REF!&lt;= table!$D$11),-1,IF(AND(#REF!&gt;=table!$E$11,#REF!&lt;=table!$F$11),1,0))</f>
        <v>#REF!</v>
      </c>
      <c r="W2931" s="5" t="e">
        <f>CONCATENATE(dados[[#This Row],[fator1]],dados[[#This Row],[fator5]],dados[[#This Row],[fator6]])</f>
        <v>#REF!</v>
      </c>
    </row>
    <row r="2932" spans="1:23">
      <c r="A2932" t="s">
        <v>17</v>
      </c>
      <c r="B2932">
        <v>585487</v>
      </c>
      <c r="C2932">
        <v>8</v>
      </c>
      <c r="D2932">
        <v>30</v>
      </c>
      <c r="E2932">
        <v>153</v>
      </c>
      <c r="F2932">
        <v>2</v>
      </c>
      <c r="G2932">
        <v>20</v>
      </c>
      <c r="H2932">
        <v>18</v>
      </c>
      <c r="I2932">
        <v>67</v>
      </c>
      <c r="J2932">
        <v>0</v>
      </c>
      <c r="K2932">
        <v>6.1000000000000005</v>
      </c>
      <c r="L2932">
        <v>11.155000000000001</v>
      </c>
      <c r="M2932">
        <v>147.5</v>
      </c>
      <c r="N2932">
        <v>11.200000000000001</v>
      </c>
      <c r="O2932">
        <v>1679</v>
      </c>
      <c r="P2932">
        <v>466</v>
      </c>
      <c r="Q2932" s="5" t="e">
        <f>IF(AND(#REF!&gt;=table!$C$6,#REF!&lt;= table!$D$6),-1,IF(AND(#REF!&gt;=table!$E$6,#REF!&lt;=table!$F$6),1,0))</f>
        <v>#REF!</v>
      </c>
      <c r="R2932" s="5" t="e">
        <f>IF(AND(#REF!&gt;=table!$C$7,#REF!&lt;= table!$D$7),-1,IF(AND(#REF!&gt;=table!$E$7,#REF!&lt;=table!$F$7),1,0))</f>
        <v>#REF!</v>
      </c>
      <c r="S2932" s="5" t="e">
        <f>IF(AND(#REF!&gt;=table!$C$8,#REF!&lt;= table!$D$8),-1,IF(AND(#REF!&gt;=table!$E$8,#REF!&lt;=table!$F$8),1,0))</f>
        <v>#REF!</v>
      </c>
      <c r="T2932" s="5"/>
      <c r="U2932" s="5" t="e">
        <f>IF(AND(#REF!&gt;=table!$C$10,#REF!&lt;= table!$D$10),-1,IF(AND(#REF!&gt;=table!$E$10,#REF!&lt;=table!$F$10),1,0))</f>
        <v>#REF!</v>
      </c>
      <c r="V2932" s="5" t="e">
        <f>IF(AND(#REF!&gt;=table!$C$11,#REF!&lt;= table!$D$11),-1,IF(AND(#REF!&gt;=table!$E$11,#REF!&lt;=table!$F$11),1,0))</f>
        <v>#REF!</v>
      </c>
      <c r="W2932" s="5" t="e">
        <f>CONCATENATE(dados[[#This Row],[fator1]],dados[[#This Row],[fator5]],dados[[#This Row],[fator6]])</f>
        <v>#REF!</v>
      </c>
    </row>
    <row r="2933" spans="1:23">
      <c r="A2933" t="s">
        <v>17</v>
      </c>
      <c r="B2933">
        <v>585490</v>
      </c>
      <c r="C2933">
        <v>14</v>
      </c>
      <c r="D2933">
        <v>30</v>
      </c>
      <c r="E2933">
        <v>110</v>
      </c>
      <c r="F2933">
        <v>3</v>
      </c>
      <c r="G2933">
        <v>20</v>
      </c>
      <c r="H2933">
        <v>22</v>
      </c>
      <c r="I2933">
        <v>243</v>
      </c>
      <c r="J2933">
        <v>0</v>
      </c>
      <c r="K2933">
        <v>3.6950000000000003</v>
      </c>
      <c r="L2933">
        <v>12.4</v>
      </c>
      <c r="M2933">
        <v>123.2</v>
      </c>
      <c r="N2933">
        <v>12.4</v>
      </c>
      <c r="O2933">
        <v>1695</v>
      </c>
      <c r="P2933">
        <v>0</v>
      </c>
      <c r="Q2933" s="5" t="e">
        <f>IF(AND(#REF!&gt;=table!$C$6,#REF!&lt;= table!$D$6),-1,IF(AND(#REF!&gt;=table!$E$6,#REF!&lt;=table!$F$6),1,0))</f>
        <v>#REF!</v>
      </c>
      <c r="R2933" s="5" t="e">
        <f>IF(AND(#REF!&gt;=table!$C$7,#REF!&lt;= table!$D$7),-1,IF(AND(#REF!&gt;=table!$E$7,#REF!&lt;=table!$F$7),1,0))</f>
        <v>#REF!</v>
      </c>
      <c r="S2933" s="5" t="e">
        <f>IF(AND(#REF!&gt;=table!$C$8,#REF!&lt;= table!$D$8),-1,IF(AND(#REF!&gt;=table!$E$8,#REF!&lt;=table!$F$8),1,0))</f>
        <v>#REF!</v>
      </c>
      <c r="T2933" s="5"/>
      <c r="U2933" s="5" t="e">
        <f>IF(AND(#REF!&gt;=table!$C$10,#REF!&lt;= table!$D$10),-1,IF(AND(#REF!&gt;=table!$E$10,#REF!&lt;=table!$F$10),1,0))</f>
        <v>#REF!</v>
      </c>
      <c r="V2933" s="5" t="e">
        <f>IF(AND(#REF!&gt;=table!$C$11,#REF!&lt;= table!$D$11),-1,IF(AND(#REF!&gt;=table!$E$11,#REF!&lt;=table!$F$11),1,0))</f>
        <v>#REF!</v>
      </c>
      <c r="W2933" s="5" t="e">
        <f>CONCATENATE(dados[[#This Row],[fator1]],dados[[#This Row],[fator5]],dados[[#This Row],[fator6]])</f>
        <v>#REF!</v>
      </c>
    </row>
    <row r="2934" spans="1:23">
      <c r="A2934" t="s">
        <v>17</v>
      </c>
      <c r="B2934">
        <v>585495</v>
      </c>
      <c r="C2934">
        <v>9</v>
      </c>
      <c r="D2934">
        <v>30</v>
      </c>
      <c r="E2934">
        <v>160</v>
      </c>
      <c r="F2934">
        <v>3</v>
      </c>
      <c r="G2934">
        <v>30</v>
      </c>
      <c r="H2934">
        <v>18</v>
      </c>
      <c r="I2934">
        <v>35</v>
      </c>
      <c r="J2934">
        <v>0</v>
      </c>
      <c r="K2934">
        <v>6.03</v>
      </c>
      <c r="L2934">
        <v>15.9</v>
      </c>
      <c r="M2934">
        <v>143.05000000000001</v>
      </c>
      <c r="N2934">
        <v>9.35</v>
      </c>
      <c r="O2934">
        <v>1659</v>
      </c>
      <c r="P2934">
        <v>304</v>
      </c>
      <c r="Q2934" s="5" t="e">
        <f>IF(AND(#REF!&gt;=table!$C$6,#REF!&lt;= table!$D$6),-1,IF(AND(#REF!&gt;=table!$E$6,#REF!&lt;=table!$F$6),1,0))</f>
        <v>#REF!</v>
      </c>
      <c r="R2934" s="5" t="e">
        <f>IF(AND(#REF!&gt;=table!$C$7,#REF!&lt;= table!$D$7),-1,IF(AND(#REF!&gt;=table!$E$7,#REF!&lt;=table!$F$7),1,0))</f>
        <v>#REF!</v>
      </c>
      <c r="S2934" s="5" t="e">
        <f>IF(AND(#REF!&gt;=table!$C$8,#REF!&lt;= table!$D$8),-1,IF(AND(#REF!&gt;=table!$E$8,#REF!&lt;=table!$F$8),1,0))</f>
        <v>#REF!</v>
      </c>
      <c r="T2934" s="5"/>
      <c r="U2934" s="5" t="e">
        <f>IF(AND(#REF!&gt;=table!$C$10,#REF!&lt;= table!$D$10),-1,IF(AND(#REF!&gt;=table!$E$10,#REF!&lt;=table!$F$10),1,0))</f>
        <v>#REF!</v>
      </c>
      <c r="V2934" s="5" t="e">
        <f>IF(AND(#REF!&gt;=table!$C$11,#REF!&lt;= table!$D$11),-1,IF(AND(#REF!&gt;=table!$E$11,#REF!&lt;=table!$F$11),1,0))</f>
        <v>#REF!</v>
      </c>
      <c r="W2934" s="5" t="e">
        <f>CONCATENATE(dados[[#This Row],[fator1]],dados[[#This Row],[fator5]],dados[[#This Row],[fator6]])</f>
        <v>#REF!</v>
      </c>
    </row>
    <row r="2935" spans="1:23">
      <c r="A2935" t="s">
        <v>17</v>
      </c>
      <c r="B2935">
        <v>585496</v>
      </c>
      <c r="C2935">
        <v>14</v>
      </c>
      <c r="D2935">
        <v>25</v>
      </c>
      <c r="E2935">
        <v>130</v>
      </c>
      <c r="F2935">
        <v>9</v>
      </c>
      <c r="G2935">
        <v>110</v>
      </c>
      <c r="H2935">
        <v>50</v>
      </c>
      <c r="I2935">
        <v>704</v>
      </c>
      <c r="J2935">
        <v>0</v>
      </c>
      <c r="K2935">
        <v>8.2200000000000006</v>
      </c>
      <c r="L2935">
        <v>20</v>
      </c>
      <c r="M2935">
        <v>105.9</v>
      </c>
      <c r="N2935">
        <v>35.950000000000003</v>
      </c>
      <c r="O2935">
        <v>1691</v>
      </c>
      <c r="P2935">
        <v>0</v>
      </c>
      <c r="Q2935" s="5" t="e">
        <f>IF(AND(#REF!&gt;=table!$C$6,#REF!&lt;= table!$D$6),-1,IF(AND(#REF!&gt;=table!$E$6,#REF!&lt;=table!$F$6),1,0))</f>
        <v>#REF!</v>
      </c>
      <c r="R2935" s="5" t="e">
        <f>IF(AND(#REF!&gt;=table!$C$7,#REF!&lt;= table!$D$7),-1,IF(AND(#REF!&gt;=table!$E$7,#REF!&lt;=table!$F$7),1,0))</f>
        <v>#REF!</v>
      </c>
      <c r="S2935" s="5" t="e">
        <f>IF(AND(#REF!&gt;=table!$C$8,#REF!&lt;= table!$D$8),-1,IF(AND(#REF!&gt;=table!$E$8,#REF!&lt;=table!$F$8),1,0))</f>
        <v>#REF!</v>
      </c>
      <c r="T2935" s="5"/>
      <c r="U2935" s="5" t="e">
        <f>IF(AND(#REF!&gt;=table!$C$10,#REF!&lt;= table!$D$10),-1,IF(AND(#REF!&gt;=table!$E$10,#REF!&lt;=table!$F$10),1,0))</f>
        <v>#REF!</v>
      </c>
      <c r="V2935" s="5" t="e">
        <f>IF(AND(#REF!&gt;=table!$C$11,#REF!&lt;= table!$D$11),-1,IF(AND(#REF!&gt;=table!$E$11,#REF!&lt;=table!$F$11),1,0))</f>
        <v>#REF!</v>
      </c>
      <c r="W2935" s="5" t="e">
        <f>CONCATENATE(dados[[#This Row],[fator1]],dados[[#This Row],[fator5]],dados[[#This Row],[fator6]])</f>
        <v>#REF!</v>
      </c>
    </row>
    <row r="2936" spans="1:23">
      <c r="A2936" t="s">
        <v>17</v>
      </c>
      <c r="B2936">
        <v>585498</v>
      </c>
      <c r="C2936">
        <v>14</v>
      </c>
      <c r="D2936">
        <v>25</v>
      </c>
      <c r="E2936">
        <v>130</v>
      </c>
      <c r="F2936">
        <v>9</v>
      </c>
      <c r="G2936">
        <v>110</v>
      </c>
      <c r="H2936">
        <v>50</v>
      </c>
      <c r="I2936">
        <v>358</v>
      </c>
      <c r="J2936">
        <v>0</v>
      </c>
      <c r="K2936">
        <v>3.29</v>
      </c>
      <c r="L2936">
        <v>9.6</v>
      </c>
      <c r="M2936">
        <v>111.45</v>
      </c>
      <c r="N2936">
        <v>38.25</v>
      </c>
      <c r="O2936">
        <v>1663</v>
      </c>
      <c r="P2936">
        <v>844</v>
      </c>
      <c r="Q2936" s="5" t="e">
        <f>IF(AND(#REF!&gt;=table!$C$6,#REF!&lt;= table!$D$6),-1,IF(AND(#REF!&gt;=table!$E$6,#REF!&lt;=table!$F$6),1,0))</f>
        <v>#REF!</v>
      </c>
      <c r="R2936" s="5" t="e">
        <f>IF(AND(#REF!&gt;=table!$C$7,#REF!&lt;= table!$D$7),-1,IF(AND(#REF!&gt;=table!$E$7,#REF!&lt;=table!$F$7),1,0))</f>
        <v>#REF!</v>
      </c>
      <c r="S2936" s="5" t="e">
        <f>IF(AND(#REF!&gt;=table!$C$8,#REF!&lt;= table!$D$8),-1,IF(AND(#REF!&gt;=table!$E$8,#REF!&lt;=table!$F$8),1,0))</f>
        <v>#REF!</v>
      </c>
      <c r="T2936" s="5"/>
      <c r="U2936" s="5" t="e">
        <f>IF(AND(#REF!&gt;=table!$C$10,#REF!&lt;= table!$D$10),-1,IF(AND(#REF!&gt;=table!$E$10,#REF!&lt;=table!$F$10),1,0))</f>
        <v>#REF!</v>
      </c>
      <c r="V2936" s="5" t="e">
        <f>IF(AND(#REF!&gt;=table!$C$11,#REF!&lt;= table!$D$11),-1,IF(AND(#REF!&gt;=table!$E$11,#REF!&lt;=table!$F$11),1,0))</f>
        <v>#REF!</v>
      </c>
      <c r="W2936" s="5" t="e">
        <f>CONCATENATE(dados[[#This Row],[fator1]],dados[[#This Row],[fator5]],dados[[#This Row],[fator6]])</f>
        <v>#REF!</v>
      </c>
    </row>
    <row r="2937" spans="1:23">
      <c r="A2937" t="s">
        <v>17</v>
      </c>
      <c r="B2937">
        <v>585499</v>
      </c>
      <c r="C2937">
        <v>16</v>
      </c>
      <c r="D2937">
        <v>23</v>
      </c>
      <c r="E2937">
        <v>145</v>
      </c>
      <c r="F2937">
        <v>9</v>
      </c>
      <c r="G2937">
        <v>30</v>
      </c>
      <c r="H2937">
        <v>25</v>
      </c>
      <c r="I2937">
        <v>1415</v>
      </c>
      <c r="J2937">
        <v>0</v>
      </c>
      <c r="K2937">
        <v>6.5200000000000005</v>
      </c>
      <c r="L2937">
        <v>22.55</v>
      </c>
      <c r="M2937">
        <v>114.15</v>
      </c>
      <c r="N2937">
        <v>20.7</v>
      </c>
      <c r="O2937">
        <v>1676</v>
      </c>
      <c r="P2937">
        <v>320</v>
      </c>
      <c r="Q2937" s="5" t="e">
        <f>IF(AND(#REF!&gt;=table!$C$6,#REF!&lt;= table!$D$6),-1,IF(AND(#REF!&gt;=table!$E$6,#REF!&lt;=table!$F$6),1,0))</f>
        <v>#REF!</v>
      </c>
      <c r="R2937" s="5" t="e">
        <f>IF(AND(#REF!&gt;=table!$C$7,#REF!&lt;= table!$D$7),-1,IF(AND(#REF!&gt;=table!$E$7,#REF!&lt;=table!$F$7),1,0))</f>
        <v>#REF!</v>
      </c>
      <c r="S2937" s="5" t="e">
        <f>IF(AND(#REF!&gt;=table!$C$8,#REF!&lt;= table!$D$8),-1,IF(AND(#REF!&gt;=table!$E$8,#REF!&lt;=table!$F$8),1,0))</f>
        <v>#REF!</v>
      </c>
      <c r="T2937" s="5"/>
      <c r="U2937" s="5" t="e">
        <f>IF(AND(#REF!&gt;=table!$C$10,#REF!&lt;= table!$D$10),-1,IF(AND(#REF!&gt;=table!$E$10,#REF!&lt;=table!$F$10),1,0))</f>
        <v>#REF!</v>
      </c>
      <c r="V2937" s="5" t="e">
        <f>IF(AND(#REF!&gt;=table!$C$11,#REF!&lt;= table!$D$11),-1,IF(AND(#REF!&gt;=table!$E$11,#REF!&lt;=table!$F$11),1,0))</f>
        <v>#REF!</v>
      </c>
      <c r="W2937" s="5" t="e">
        <f>CONCATENATE(dados[[#This Row],[fator1]],dados[[#This Row],[fator5]],dados[[#This Row],[fator6]])</f>
        <v>#REF!</v>
      </c>
    </row>
    <row r="2938" spans="1:23">
      <c r="A2938" t="s">
        <v>17</v>
      </c>
      <c r="B2938">
        <v>585500</v>
      </c>
      <c r="C2938">
        <v>9</v>
      </c>
      <c r="D2938">
        <v>30</v>
      </c>
      <c r="E2938">
        <v>160</v>
      </c>
      <c r="F2938">
        <v>3</v>
      </c>
      <c r="G2938">
        <v>30</v>
      </c>
      <c r="H2938">
        <v>18</v>
      </c>
      <c r="I2938">
        <v>2143</v>
      </c>
      <c r="J2938">
        <v>0</v>
      </c>
      <c r="K2938">
        <v>6.1050000000000004</v>
      </c>
      <c r="L2938">
        <v>14.75</v>
      </c>
      <c r="M2938">
        <v>99.05</v>
      </c>
      <c r="N2938">
        <v>13.700000000000001</v>
      </c>
      <c r="O2938">
        <v>1668</v>
      </c>
      <c r="P2938">
        <v>404</v>
      </c>
      <c r="Q2938" s="5" t="e">
        <f>IF(AND(#REF!&gt;=table!$C$6,#REF!&lt;= table!$D$6),-1,IF(AND(#REF!&gt;=table!$E$6,#REF!&lt;=table!$F$6),1,0))</f>
        <v>#REF!</v>
      </c>
      <c r="R2938" s="5" t="e">
        <f>IF(AND(#REF!&gt;=table!$C$7,#REF!&lt;= table!$D$7),-1,IF(AND(#REF!&gt;=table!$E$7,#REF!&lt;=table!$F$7),1,0))</f>
        <v>#REF!</v>
      </c>
      <c r="S2938" s="5" t="e">
        <f>IF(AND(#REF!&gt;=table!$C$8,#REF!&lt;= table!$D$8),-1,IF(AND(#REF!&gt;=table!$E$8,#REF!&lt;=table!$F$8),1,0))</f>
        <v>#REF!</v>
      </c>
      <c r="T2938" s="5"/>
      <c r="U2938" s="5" t="e">
        <f>IF(AND(#REF!&gt;=table!$C$10,#REF!&lt;= table!$D$10),-1,IF(AND(#REF!&gt;=table!$E$10,#REF!&lt;=table!$F$10),1,0))</f>
        <v>#REF!</v>
      </c>
      <c r="V2938" s="5" t="e">
        <f>IF(AND(#REF!&gt;=table!$C$11,#REF!&lt;= table!$D$11),-1,IF(AND(#REF!&gt;=table!$E$11,#REF!&lt;=table!$F$11),1,0))</f>
        <v>#REF!</v>
      </c>
      <c r="W2938" s="5" t="e">
        <f>CONCATENATE(dados[[#This Row],[fator1]],dados[[#This Row],[fator5]],dados[[#This Row],[fator6]])</f>
        <v>#REF!</v>
      </c>
    </row>
    <row r="2939" spans="1:23">
      <c r="A2939" t="s">
        <v>17</v>
      </c>
      <c r="B2939">
        <v>585501</v>
      </c>
      <c r="C2939">
        <v>9</v>
      </c>
      <c r="D2939">
        <v>30</v>
      </c>
      <c r="E2939">
        <v>160</v>
      </c>
      <c r="F2939">
        <v>3</v>
      </c>
      <c r="G2939">
        <v>30</v>
      </c>
      <c r="H2939">
        <v>18</v>
      </c>
      <c r="I2939">
        <v>1202</v>
      </c>
      <c r="J2939">
        <v>0</v>
      </c>
      <c r="K2939">
        <v>4.05</v>
      </c>
      <c r="L2939">
        <v>11.975000000000001</v>
      </c>
      <c r="M2939">
        <v>103.9</v>
      </c>
      <c r="N2939">
        <v>9</v>
      </c>
      <c r="O2939">
        <v>1661</v>
      </c>
      <c r="P2939">
        <v>521</v>
      </c>
      <c r="Q2939" s="5" t="e">
        <f>IF(AND(#REF!&gt;=table!$C$6,#REF!&lt;= table!$D$6),-1,IF(AND(#REF!&gt;=table!$E$6,#REF!&lt;=table!$F$6),1,0))</f>
        <v>#REF!</v>
      </c>
      <c r="R2939" s="5" t="e">
        <f>IF(AND(#REF!&gt;=table!$C$7,#REF!&lt;= table!$D$7),-1,IF(AND(#REF!&gt;=table!$E$7,#REF!&lt;=table!$F$7),1,0))</f>
        <v>#REF!</v>
      </c>
      <c r="S2939" s="5" t="e">
        <f>IF(AND(#REF!&gt;=table!$C$8,#REF!&lt;= table!$D$8),-1,IF(AND(#REF!&gt;=table!$E$8,#REF!&lt;=table!$F$8),1,0))</f>
        <v>#REF!</v>
      </c>
      <c r="T2939" s="5"/>
      <c r="U2939" s="5" t="e">
        <f>IF(AND(#REF!&gt;=table!$C$10,#REF!&lt;= table!$D$10),-1,IF(AND(#REF!&gt;=table!$E$10,#REF!&lt;=table!$F$10),1,0))</f>
        <v>#REF!</v>
      </c>
      <c r="V2939" s="5" t="e">
        <f>IF(AND(#REF!&gt;=table!$C$11,#REF!&lt;= table!$D$11),-1,IF(AND(#REF!&gt;=table!$E$11,#REF!&lt;=table!$F$11),1,0))</f>
        <v>#REF!</v>
      </c>
      <c r="W2939" s="5" t="e">
        <f>CONCATENATE(dados[[#This Row],[fator1]],dados[[#This Row],[fator5]],dados[[#This Row],[fator6]])</f>
        <v>#REF!</v>
      </c>
    </row>
    <row r="2940" spans="1:23">
      <c r="A2940" t="s">
        <v>17</v>
      </c>
      <c r="B2940">
        <v>585502</v>
      </c>
      <c r="C2940">
        <v>9</v>
      </c>
      <c r="D2940">
        <v>30</v>
      </c>
      <c r="E2940">
        <v>160</v>
      </c>
      <c r="F2940">
        <v>3</v>
      </c>
      <c r="G2940">
        <v>30</v>
      </c>
      <c r="H2940">
        <v>18</v>
      </c>
      <c r="I2940">
        <v>610</v>
      </c>
      <c r="J2940">
        <v>0</v>
      </c>
      <c r="K2940">
        <v>4.8100000000000005</v>
      </c>
      <c r="L2940">
        <v>13.1</v>
      </c>
      <c r="M2940">
        <v>44</v>
      </c>
      <c r="N2940">
        <v>8.7000000000000011</v>
      </c>
      <c r="O2940">
        <v>1670</v>
      </c>
      <c r="P2940">
        <v>472</v>
      </c>
      <c r="Q2940" s="5" t="e">
        <f>IF(AND(#REF!&gt;=table!$C$6,#REF!&lt;= table!$D$6),-1,IF(AND(#REF!&gt;=table!$E$6,#REF!&lt;=table!$F$6),1,0))</f>
        <v>#REF!</v>
      </c>
      <c r="R2940" s="5" t="e">
        <f>IF(AND(#REF!&gt;=table!$C$7,#REF!&lt;= table!$D$7),-1,IF(AND(#REF!&gt;=table!$E$7,#REF!&lt;=table!$F$7),1,0))</f>
        <v>#REF!</v>
      </c>
      <c r="S2940" s="5" t="e">
        <f>IF(AND(#REF!&gt;=table!$C$8,#REF!&lt;= table!$D$8),-1,IF(AND(#REF!&gt;=table!$E$8,#REF!&lt;=table!$F$8),1,0))</f>
        <v>#REF!</v>
      </c>
      <c r="T2940" s="5"/>
      <c r="U2940" s="5" t="e">
        <f>IF(AND(#REF!&gt;=table!$C$10,#REF!&lt;= table!$D$10),-1,IF(AND(#REF!&gt;=table!$E$10,#REF!&lt;=table!$F$10),1,0))</f>
        <v>#REF!</v>
      </c>
      <c r="V2940" s="5" t="e">
        <f>IF(AND(#REF!&gt;=table!$C$11,#REF!&lt;= table!$D$11),-1,IF(AND(#REF!&gt;=table!$E$11,#REF!&lt;=table!$F$11),1,0))</f>
        <v>#REF!</v>
      </c>
      <c r="W2940" s="5" t="e">
        <f>CONCATENATE(dados[[#This Row],[fator1]],dados[[#This Row],[fator5]],dados[[#This Row],[fator6]])</f>
        <v>#REF!</v>
      </c>
    </row>
    <row r="2941" spans="1:23">
      <c r="A2941" t="s">
        <v>17</v>
      </c>
      <c r="B2941">
        <v>585505</v>
      </c>
      <c r="C2941">
        <v>9</v>
      </c>
      <c r="D2941">
        <v>30</v>
      </c>
      <c r="E2941">
        <v>160</v>
      </c>
      <c r="F2941">
        <v>3</v>
      </c>
      <c r="G2941">
        <v>30</v>
      </c>
      <c r="H2941">
        <v>18</v>
      </c>
      <c r="I2941">
        <v>44</v>
      </c>
      <c r="J2941">
        <v>660</v>
      </c>
      <c r="K2941">
        <v>2.7800000000000002</v>
      </c>
      <c r="L2941">
        <v>11.4</v>
      </c>
      <c r="M2941">
        <v>67.599999999999994</v>
      </c>
      <c r="N2941">
        <v>5.05</v>
      </c>
      <c r="O2941">
        <v>1680</v>
      </c>
      <c r="P2941">
        <v>597</v>
      </c>
      <c r="Q2941" s="5" t="e">
        <f>IF(AND(#REF!&gt;=table!$C$6,#REF!&lt;= table!$D$6),-1,IF(AND(#REF!&gt;=table!$E$6,#REF!&lt;=table!$F$6),1,0))</f>
        <v>#REF!</v>
      </c>
      <c r="R2941" s="5" t="e">
        <f>IF(AND(#REF!&gt;=table!$C$7,#REF!&lt;= table!$D$7),-1,IF(AND(#REF!&gt;=table!$E$7,#REF!&lt;=table!$F$7),1,0))</f>
        <v>#REF!</v>
      </c>
      <c r="S2941" s="5" t="e">
        <f>IF(AND(#REF!&gt;=table!$C$8,#REF!&lt;= table!$D$8),-1,IF(AND(#REF!&gt;=table!$E$8,#REF!&lt;=table!$F$8),1,0))</f>
        <v>#REF!</v>
      </c>
      <c r="T2941" s="5"/>
      <c r="U2941" s="5" t="e">
        <f>IF(AND(#REF!&gt;=table!$C$10,#REF!&lt;= table!$D$10),-1,IF(AND(#REF!&gt;=table!$E$10,#REF!&lt;=table!$F$10),1,0))</f>
        <v>#REF!</v>
      </c>
      <c r="V2941" s="5" t="e">
        <f>IF(AND(#REF!&gt;=table!$C$11,#REF!&lt;= table!$D$11),-1,IF(AND(#REF!&gt;=table!$E$11,#REF!&lt;=table!$F$11),1,0))</f>
        <v>#REF!</v>
      </c>
      <c r="W2941" s="5" t="e">
        <f>CONCATENATE(dados[[#This Row],[fator1]],dados[[#This Row],[fator5]],dados[[#This Row],[fator6]])</f>
        <v>#REF!</v>
      </c>
    </row>
    <row r="2942" spans="1:23">
      <c r="A2942" t="s">
        <v>16</v>
      </c>
      <c r="B2942">
        <v>585508</v>
      </c>
      <c r="C2942">
        <v>10</v>
      </c>
      <c r="D2942">
        <v>30</v>
      </c>
      <c r="E2942">
        <v>96</v>
      </c>
      <c r="F2942">
        <v>8</v>
      </c>
      <c r="G2942">
        <v>0</v>
      </c>
      <c r="H2942">
        <v>25</v>
      </c>
      <c r="I2942">
        <v>359</v>
      </c>
      <c r="J2942">
        <v>0</v>
      </c>
      <c r="K2942">
        <v>2.5145</v>
      </c>
      <c r="L2942">
        <v>10.77</v>
      </c>
      <c r="M2942">
        <v>58.45</v>
      </c>
      <c r="N2942">
        <v>10.65</v>
      </c>
      <c r="O2942">
        <v>1711</v>
      </c>
      <c r="P2942">
        <v>942</v>
      </c>
      <c r="Q2942" s="5" t="e">
        <f>IF(AND(#REF!&gt;=table!$C$6,#REF!&lt;= table!$D$6),-1,IF(AND(#REF!&gt;=table!$E$6,#REF!&lt;=table!$F$6),1,0))</f>
        <v>#REF!</v>
      </c>
      <c r="R2942" s="5" t="e">
        <f>IF(AND(#REF!&gt;=table!$C$7,#REF!&lt;= table!$D$7),-1,IF(AND(#REF!&gt;=table!$E$7,#REF!&lt;=table!$F$7),1,0))</f>
        <v>#REF!</v>
      </c>
      <c r="S2942" s="5" t="e">
        <f>IF(AND(#REF!&gt;=table!$C$8,#REF!&lt;= table!$D$8),-1,IF(AND(#REF!&gt;=table!$E$8,#REF!&lt;=table!$F$8),1,0))</f>
        <v>#REF!</v>
      </c>
      <c r="T2942" s="5"/>
      <c r="U2942" s="5" t="e">
        <f>IF(AND(#REF!&gt;=table!$C$10,#REF!&lt;= table!$D$10),-1,IF(AND(#REF!&gt;=table!$E$10,#REF!&lt;=table!$F$10),1,0))</f>
        <v>#REF!</v>
      </c>
      <c r="V2942" s="5" t="e">
        <f>IF(AND(#REF!&gt;=table!$C$11,#REF!&lt;= table!$D$11),-1,IF(AND(#REF!&gt;=table!$E$11,#REF!&lt;=table!$F$11),1,0))</f>
        <v>#REF!</v>
      </c>
      <c r="W2942" s="5" t="e">
        <f>CONCATENATE(dados[[#This Row],[fator1]],dados[[#This Row],[fator5]],dados[[#This Row],[fator6]])</f>
        <v>#REF!</v>
      </c>
    </row>
    <row r="2943" spans="1:23">
      <c r="A2943" t="s">
        <v>16</v>
      </c>
      <c r="B2943">
        <v>585511</v>
      </c>
      <c r="C2943">
        <v>13</v>
      </c>
      <c r="D2943">
        <v>35</v>
      </c>
      <c r="E2943">
        <v>120</v>
      </c>
      <c r="F2943">
        <v>10</v>
      </c>
      <c r="G2943">
        <v>0</v>
      </c>
      <c r="H2943">
        <v>25</v>
      </c>
      <c r="I2943">
        <v>220</v>
      </c>
      <c r="J2943">
        <v>0</v>
      </c>
      <c r="K2943">
        <v>9.6050000000000004</v>
      </c>
      <c r="L2943">
        <v>15.695</v>
      </c>
      <c r="M2943">
        <v>115.685</v>
      </c>
      <c r="N2943">
        <v>17.925000000000001</v>
      </c>
      <c r="O2943">
        <v>1698</v>
      </c>
      <c r="P2943">
        <v>393</v>
      </c>
      <c r="Q2943" s="5" t="e">
        <f>IF(AND(#REF!&gt;=table!$C$6,#REF!&lt;= table!$D$6),-1,IF(AND(#REF!&gt;=table!$E$6,#REF!&lt;=table!$F$6),1,0))</f>
        <v>#REF!</v>
      </c>
      <c r="R2943" s="5" t="e">
        <f>IF(AND(#REF!&gt;=table!$C$7,#REF!&lt;= table!$D$7),-1,IF(AND(#REF!&gt;=table!$E$7,#REF!&lt;=table!$F$7),1,0))</f>
        <v>#REF!</v>
      </c>
      <c r="S2943" s="5" t="e">
        <f>IF(AND(#REF!&gt;=table!$C$8,#REF!&lt;= table!$D$8),-1,IF(AND(#REF!&gt;=table!$E$8,#REF!&lt;=table!$F$8),1,0))</f>
        <v>#REF!</v>
      </c>
      <c r="T2943" s="5"/>
      <c r="U2943" s="5" t="e">
        <f>IF(AND(#REF!&gt;=table!$C$10,#REF!&lt;= table!$D$10),-1,IF(AND(#REF!&gt;=table!$E$10,#REF!&lt;=table!$F$10),1,0))</f>
        <v>#REF!</v>
      </c>
      <c r="V2943" s="5" t="e">
        <f>IF(AND(#REF!&gt;=table!$C$11,#REF!&lt;= table!$D$11),-1,IF(AND(#REF!&gt;=table!$E$11,#REF!&lt;=table!$F$11),1,0))</f>
        <v>#REF!</v>
      </c>
      <c r="W2943" s="5" t="e">
        <f>CONCATENATE(dados[[#This Row],[fator1]],dados[[#This Row],[fator5]],dados[[#This Row],[fator6]])</f>
        <v>#REF!</v>
      </c>
    </row>
    <row r="2944" spans="1:23">
      <c r="A2944" t="s">
        <v>17</v>
      </c>
      <c r="B2944">
        <v>585513</v>
      </c>
      <c r="C2944">
        <v>9</v>
      </c>
      <c r="D2944">
        <v>30</v>
      </c>
      <c r="E2944">
        <v>160</v>
      </c>
      <c r="F2944">
        <v>3</v>
      </c>
      <c r="G2944">
        <v>30</v>
      </c>
      <c r="H2944">
        <v>18</v>
      </c>
      <c r="I2944">
        <v>144</v>
      </c>
      <c r="J2944">
        <v>0</v>
      </c>
      <c r="K2944">
        <v>6.1450000000000005</v>
      </c>
      <c r="L2944">
        <v>7.28</v>
      </c>
      <c r="M2944">
        <v>136.72499999999999</v>
      </c>
      <c r="N2944">
        <v>11.965</v>
      </c>
      <c r="O2944">
        <v>1690</v>
      </c>
      <c r="P2944">
        <v>805</v>
      </c>
      <c r="Q2944" s="5" t="e">
        <f>IF(AND(#REF!&gt;=table!$C$6,#REF!&lt;= table!$D$6),-1,IF(AND(#REF!&gt;=table!$E$6,#REF!&lt;=table!$F$6),1,0))</f>
        <v>#REF!</v>
      </c>
      <c r="R2944" s="5" t="e">
        <f>IF(AND(#REF!&gt;=table!$C$7,#REF!&lt;= table!$D$7),-1,IF(AND(#REF!&gt;=table!$E$7,#REF!&lt;=table!$F$7),1,0))</f>
        <v>#REF!</v>
      </c>
      <c r="S2944" s="5" t="e">
        <f>IF(AND(#REF!&gt;=table!$C$8,#REF!&lt;= table!$D$8),-1,IF(AND(#REF!&gt;=table!$E$8,#REF!&lt;=table!$F$8),1,0))</f>
        <v>#REF!</v>
      </c>
      <c r="T2944" s="5"/>
      <c r="U2944" s="5" t="e">
        <f>IF(AND(#REF!&gt;=table!$C$10,#REF!&lt;= table!$D$10),-1,IF(AND(#REF!&gt;=table!$E$10,#REF!&lt;=table!$F$10),1,0))</f>
        <v>#REF!</v>
      </c>
      <c r="V2944" s="5" t="e">
        <f>IF(AND(#REF!&gt;=table!$C$11,#REF!&lt;= table!$D$11),-1,IF(AND(#REF!&gt;=table!$E$11,#REF!&lt;=table!$F$11),1,0))</f>
        <v>#REF!</v>
      </c>
      <c r="W2944" s="5" t="e">
        <f>CONCATENATE(dados[[#This Row],[fator1]],dados[[#This Row],[fator5]],dados[[#This Row],[fator6]])</f>
        <v>#REF!</v>
      </c>
    </row>
    <row r="2945" spans="1:23">
      <c r="A2945" t="s">
        <v>16</v>
      </c>
      <c r="B2945">
        <v>585515</v>
      </c>
      <c r="C2945">
        <v>12</v>
      </c>
      <c r="D2945">
        <v>35</v>
      </c>
      <c r="E2945">
        <v>86</v>
      </c>
      <c r="F2945">
        <v>8</v>
      </c>
      <c r="G2945">
        <v>0</v>
      </c>
      <c r="H2945">
        <v>25</v>
      </c>
      <c r="I2945">
        <v>733</v>
      </c>
      <c r="J2945">
        <v>960</v>
      </c>
      <c r="K2945">
        <v>7.01</v>
      </c>
      <c r="L2945">
        <v>15.3</v>
      </c>
      <c r="M2945">
        <v>64.400000000000006</v>
      </c>
      <c r="N2945">
        <v>10.55</v>
      </c>
      <c r="O2945">
        <v>1691</v>
      </c>
      <c r="P2945">
        <v>0</v>
      </c>
      <c r="Q2945" s="5" t="e">
        <f>IF(AND(#REF!&gt;=table!$C$6,#REF!&lt;= table!$D$6),-1,IF(AND(#REF!&gt;=table!$E$6,#REF!&lt;=table!$F$6),1,0))</f>
        <v>#REF!</v>
      </c>
      <c r="R2945" s="5" t="e">
        <f>IF(AND(#REF!&gt;=table!$C$7,#REF!&lt;= table!$D$7),-1,IF(AND(#REF!&gt;=table!$E$7,#REF!&lt;=table!$F$7),1,0))</f>
        <v>#REF!</v>
      </c>
      <c r="S2945" s="5" t="e">
        <f>IF(AND(#REF!&gt;=table!$C$8,#REF!&lt;= table!$D$8),-1,IF(AND(#REF!&gt;=table!$E$8,#REF!&lt;=table!$F$8),1,0))</f>
        <v>#REF!</v>
      </c>
      <c r="T2945" s="5"/>
      <c r="U2945" s="5" t="e">
        <f>IF(AND(#REF!&gt;=table!$C$10,#REF!&lt;= table!$D$10),-1,IF(AND(#REF!&gt;=table!$E$10,#REF!&lt;=table!$F$10),1,0))</f>
        <v>#REF!</v>
      </c>
      <c r="V2945" s="5" t="e">
        <f>IF(AND(#REF!&gt;=table!$C$11,#REF!&lt;= table!$D$11),-1,IF(AND(#REF!&gt;=table!$E$11,#REF!&lt;=table!$F$11),1,0))</f>
        <v>#REF!</v>
      </c>
      <c r="W2945" s="5" t="e">
        <f>CONCATENATE(dados[[#This Row],[fator1]],dados[[#This Row],[fator5]],dados[[#This Row],[fator6]])</f>
        <v>#REF!</v>
      </c>
    </row>
    <row r="2946" spans="1:23">
      <c r="A2946" t="s">
        <v>16</v>
      </c>
      <c r="B2946">
        <v>585525</v>
      </c>
      <c r="C2946">
        <v>0.15</v>
      </c>
      <c r="D2946">
        <v>40</v>
      </c>
      <c r="E2946">
        <v>10</v>
      </c>
      <c r="F2946">
        <v>15</v>
      </c>
      <c r="G2946">
        <v>0</v>
      </c>
      <c r="H2946">
        <v>15</v>
      </c>
      <c r="I2946">
        <v>1021</v>
      </c>
      <c r="J2946">
        <v>520</v>
      </c>
      <c r="K2946">
        <v>2.4650000000000003</v>
      </c>
      <c r="L2946">
        <v>8.3000000000000007</v>
      </c>
      <c r="M2946">
        <v>5.43</v>
      </c>
      <c r="N2946">
        <v>5.98</v>
      </c>
      <c r="O2946">
        <v>1636</v>
      </c>
      <c r="P2946">
        <v>861</v>
      </c>
      <c r="Q2946" s="5" t="e">
        <f>IF(AND(#REF!&gt;=table!$C$6,#REF!&lt;= table!$D$6),-1,IF(AND(#REF!&gt;=table!$E$6,#REF!&lt;=table!$F$6),1,0))</f>
        <v>#REF!</v>
      </c>
      <c r="R2946" s="5" t="e">
        <f>IF(AND(#REF!&gt;=table!$C$7,#REF!&lt;= table!$D$7),-1,IF(AND(#REF!&gt;=table!$E$7,#REF!&lt;=table!$F$7),1,0))</f>
        <v>#REF!</v>
      </c>
      <c r="S2946" s="5" t="e">
        <f>IF(AND(#REF!&gt;=table!$C$8,#REF!&lt;= table!$D$8),-1,IF(AND(#REF!&gt;=table!$E$8,#REF!&lt;=table!$F$8),1,0))</f>
        <v>#REF!</v>
      </c>
      <c r="T2946" s="5"/>
      <c r="U2946" s="5" t="e">
        <f>IF(AND(#REF!&gt;=table!$C$10,#REF!&lt;= table!$D$10),-1,IF(AND(#REF!&gt;=table!$E$10,#REF!&lt;=table!$F$10),1,0))</f>
        <v>#REF!</v>
      </c>
      <c r="V2946" s="5" t="e">
        <f>IF(AND(#REF!&gt;=table!$C$11,#REF!&lt;= table!$D$11),-1,IF(AND(#REF!&gt;=table!$E$11,#REF!&lt;=table!$F$11),1,0))</f>
        <v>#REF!</v>
      </c>
      <c r="W2946" s="5" t="e">
        <f>CONCATENATE(dados[[#This Row],[fator1]],dados[[#This Row],[fator5]],dados[[#This Row],[fator6]])</f>
        <v>#REF!</v>
      </c>
    </row>
    <row r="2947" spans="1:23">
      <c r="A2947" t="s">
        <v>16</v>
      </c>
      <c r="B2947">
        <v>585527</v>
      </c>
      <c r="C2947">
        <v>0.15</v>
      </c>
      <c r="D2947">
        <v>40</v>
      </c>
      <c r="E2947">
        <v>10</v>
      </c>
      <c r="F2947">
        <v>15</v>
      </c>
      <c r="G2947">
        <v>0</v>
      </c>
      <c r="H2947">
        <v>15</v>
      </c>
      <c r="I2947">
        <v>1140</v>
      </c>
      <c r="J2947">
        <v>0</v>
      </c>
      <c r="K2947">
        <v>5.5250000000000004</v>
      </c>
      <c r="L2947">
        <v>11.35</v>
      </c>
      <c r="M2947">
        <v>10.1</v>
      </c>
      <c r="N2947">
        <v>10</v>
      </c>
      <c r="O2947">
        <v>1684</v>
      </c>
      <c r="P2947">
        <v>556</v>
      </c>
      <c r="Q2947" s="5" t="e">
        <f>IF(AND(#REF!&gt;=table!$C$6,#REF!&lt;= table!$D$6),-1,IF(AND(#REF!&gt;=table!$E$6,#REF!&lt;=table!$F$6),1,0))</f>
        <v>#REF!</v>
      </c>
      <c r="R2947" s="5" t="e">
        <f>IF(AND(#REF!&gt;=table!$C$7,#REF!&lt;= table!$D$7),-1,IF(AND(#REF!&gt;=table!$E$7,#REF!&lt;=table!$F$7),1,0))</f>
        <v>#REF!</v>
      </c>
      <c r="S2947" s="5" t="e">
        <f>IF(AND(#REF!&gt;=table!$C$8,#REF!&lt;= table!$D$8),-1,IF(AND(#REF!&gt;=table!$E$8,#REF!&lt;=table!$F$8),1,0))</f>
        <v>#REF!</v>
      </c>
      <c r="T2947" s="5"/>
      <c r="U2947" s="5" t="e">
        <f>IF(AND(#REF!&gt;=table!$C$10,#REF!&lt;= table!$D$10),-1,IF(AND(#REF!&gt;=table!$E$10,#REF!&lt;=table!$F$10),1,0))</f>
        <v>#REF!</v>
      </c>
      <c r="V2947" s="5" t="e">
        <f>IF(AND(#REF!&gt;=table!$C$11,#REF!&lt;= table!$D$11),-1,IF(AND(#REF!&gt;=table!$E$11,#REF!&lt;=table!$F$11),1,0))</f>
        <v>#REF!</v>
      </c>
      <c r="W2947" s="5" t="e">
        <f>CONCATENATE(dados[[#This Row],[fator1]],dados[[#This Row],[fator5]],dados[[#This Row],[fator6]])</f>
        <v>#REF!</v>
      </c>
    </row>
    <row r="2948" spans="1:23">
      <c r="A2948" t="s">
        <v>16</v>
      </c>
      <c r="B2948">
        <v>585529</v>
      </c>
      <c r="C2948">
        <v>0.15</v>
      </c>
      <c r="D2948">
        <v>40</v>
      </c>
      <c r="E2948">
        <v>10</v>
      </c>
      <c r="F2948">
        <v>15</v>
      </c>
      <c r="G2948">
        <v>0</v>
      </c>
      <c r="H2948">
        <v>15</v>
      </c>
      <c r="I2948">
        <v>516</v>
      </c>
      <c r="J2948">
        <v>0</v>
      </c>
      <c r="K2948">
        <v>2.8000000000000003</v>
      </c>
      <c r="L2948">
        <v>7.5</v>
      </c>
      <c r="M2948">
        <v>6.75</v>
      </c>
      <c r="N2948">
        <v>4.8</v>
      </c>
      <c r="O2948">
        <v>1688</v>
      </c>
      <c r="P2948">
        <v>979</v>
      </c>
      <c r="Q2948" s="5" t="e">
        <f>IF(AND(#REF!&gt;=table!$C$6,#REF!&lt;= table!$D$6),-1,IF(AND(#REF!&gt;=table!$E$6,#REF!&lt;=table!$F$6),1,0))</f>
        <v>#REF!</v>
      </c>
      <c r="R2948" s="5" t="e">
        <f>IF(AND(#REF!&gt;=table!$C$7,#REF!&lt;= table!$D$7),-1,IF(AND(#REF!&gt;=table!$E$7,#REF!&lt;=table!$F$7),1,0))</f>
        <v>#REF!</v>
      </c>
      <c r="S2948" s="5" t="e">
        <f>IF(AND(#REF!&gt;=table!$C$8,#REF!&lt;= table!$D$8),-1,IF(AND(#REF!&gt;=table!$E$8,#REF!&lt;=table!$F$8),1,0))</f>
        <v>#REF!</v>
      </c>
      <c r="T2948" s="5"/>
      <c r="U2948" s="5" t="e">
        <f>IF(AND(#REF!&gt;=table!$C$10,#REF!&lt;= table!$D$10),-1,IF(AND(#REF!&gt;=table!$E$10,#REF!&lt;=table!$F$10),1,0))</f>
        <v>#REF!</v>
      </c>
      <c r="V2948" s="5" t="e">
        <f>IF(AND(#REF!&gt;=table!$C$11,#REF!&lt;= table!$D$11),-1,IF(AND(#REF!&gt;=table!$E$11,#REF!&lt;=table!$F$11),1,0))</f>
        <v>#REF!</v>
      </c>
      <c r="W2948" s="5" t="e">
        <f>CONCATENATE(dados[[#This Row],[fator1]],dados[[#This Row],[fator5]],dados[[#This Row],[fator6]])</f>
        <v>#REF!</v>
      </c>
    </row>
    <row r="2949" spans="1:23">
      <c r="A2949" t="s">
        <v>16</v>
      </c>
      <c r="B2949">
        <v>585530</v>
      </c>
      <c r="C2949">
        <v>0.15</v>
      </c>
      <c r="D2949">
        <v>40</v>
      </c>
      <c r="E2949">
        <v>10</v>
      </c>
      <c r="F2949">
        <v>15</v>
      </c>
      <c r="G2949">
        <v>0</v>
      </c>
      <c r="H2949">
        <v>15</v>
      </c>
      <c r="I2949">
        <v>38</v>
      </c>
      <c r="J2949">
        <v>0</v>
      </c>
      <c r="K2949">
        <v>3.165</v>
      </c>
      <c r="L2949">
        <v>9.65</v>
      </c>
      <c r="M2949">
        <v>8.4499999999999993</v>
      </c>
      <c r="N2949">
        <v>8.15</v>
      </c>
      <c r="O2949">
        <v>1695</v>
      </c>
      <c r="P2949">
        <v>799</v>
      </c>
      <c r="Q2949" s="5" t="e">
        <f>IF(AND(#REF!&gt;=table!$C$6,#REF!&lt;= table!$D$6),-1,IF(AND(#REF!&gt;=table!$E$6,#REF!&lt;=table!$F$6),1,0))</f>
        <v>#REF!</v>
      </c>
      <c r="R2949" s="5" t="e">
        <f>IF(AND(#REF!&gt;=table!$C$7,#REF!&lt;= table!$D$7),-1,IF(AND(#REF!&gt;=table!$E$7,#REF!&lt;=table!$F$7),1,0))</f>
        <v>#REF!</v>
      </c>
      <c r="S2949" s="5" t="e">
        <f>IF(AND(#REF!&gt;=table!$C$8,#REF!&lt;= table!$D$8),-1,IF(AND(#REF!&gt;=table!$E$8,#REF!&lt;=table!$F$8),1,0))</f>
        <v>#REF!</v>
      </c>
      <c r="T2949" s="5"/>
      <c r="U2949" s="5" t="e">
        <f>IF(AND(#REF!&gt;=table!$C$10,#REF!&lt;= table!$D$10),-1,IF(AND(#REF!&gt;=table!$E$10,#REF!&lt;=table!$F$10),1,0))</f>
        <v>#REF!</v>
      </c>
      <c r="V2949" s="5" t="e">
        <f>IF(AND(#REF!&gt;=table!$C$11,#REF!&lt;= table!$D$11),-1,IF(AND(#REF!&gt;=table!$E$11,#REF!&lt;=table!$F$11),1,0))</f>
        <v>#REF!</v>
      </c>
      <c r="W2949" s="5" t="e">
        <f>CONCATENATE(dados[[#This Row],[fator1]],dados[[#This Row],[fator5]],dados[[#This Row],[fator6]])</f>
        <v>#REF!</v>
      </c>
    </row>
    <row r="2950" spans="1:23">
      <c r="A2950" t="s">
        <v>16</v>
      </c>
      <c r="B2950">
        <v>585531</v>
      </c>
      <c r="C2950">
        <v>9</v>
      </c>
      <c r="D2950">
        <v>27</v>
      </c>
      <c r="E2950">
        <v>36</v>
      </c>
      <c r="F2950">
        <v>8</v>
      </c>
      <c r="G2950">
        <v>0</v>
      </c>
      <c r="H2950">
        <v>25</v>
      </c>
      <c r="I2950">
        <v>7</v>
      </c>
      <c r="J2950">
        <v>0</v>
      </c>
      <c r="K2950">
        <v>2.7550000000000003</v>
      </c>
      <c r="L2950">
        <v>8</v>
      </c>
      <c r="M2950">
        <v>30.125</v>
      </c>
      <c r="N2950">
        <v>9.83</v>
      </c>
      <c r="O2950">
        <v>1704</v>
      </c>
      <c r="P2950">
        <v>0</v>
      </c>
      <c r="Q2950" s="5" t="e">
        <f>IF(AND(#REF!&gt;=table!$C$6,#REF!&lt;= table!$D$6),-1,IF(AND(#REF!&gt;=table!$E$6,#REF!&lt;=table!$F$6),1,0))</f>
        <v>#REF!</v>
      </c>
      <c r="R2950" s="5" t="e">
        <f>IF(AND(#REF!&gt;=table!$C$7,#REF!&lt;= table!$D$7),-1,IF(AND(#REF!&gt;=table!$E$7,#REF!&lt;=table!$F$7),1,0))</f>
        <v>#REF!</v>
      </c>
      <c r="S2950" s="5" t="e">
        <f>IF(AND(#REF!&gt;=table!$C$8,#REF!&lt;= table!$D$8),-1,IF(AND(#REF!&gt;=table!$E$8,#REF!&lt;=table!$F$8),1,0))</f>
        <v>#REF!</v>
      </c>
      <c r="T2950" s="5"/>
      <c r="U2950" s="5" t="e">
        <f>IF(AND(#REF!&gt;=table!$C$10,#REF!&lt;= table!$D$10),-1,IF(AND(#REF!&gt;=table!$E$10,#REF!&lt;=table!$F$10),1,0))</f>
        <v>#REF!</v>
      </c>
      <c r="V2950" s="5" t="e">
        <f>IF(AND(#REF!&gt;=table!$C$11,#REF!&lt;= table!$D$11),-1,IF(AND(#REF!&gt;=table!$E$11,#REF!&lt;=table!$F$11),1,0))</f>
        <v>#REF!</v>
      </c>
      <c r="W2950" s="5" t="e">
        <f>CONCATENATE(dados[[#This Row],[fator1]],dados[[#This Row],[fator5]],dados[[#This Row],[fator6]])</f>
        <v>#REF!</v>
      </c>
    </row>
    <row r="2951" spans="1:23">
      <c r="A2951" t="s">
        <v>16</v>
      </c>
      <c r="B2951">
        <v>585532</v>
      </c>
      <c r="C2951">
        <v>9</v>
      </c>
      <c r="D2951">
        <v>27</v>
      </c>
      <c r="E2951">
        <v>36</v>
      </c>
      <c r="F2951">
        <v>8</v>
      </c>
      <c r="G2951">
        <v>0</v>
      </c>
      <c r="H2951">
        <v>25</v>
      </c>
      <c r="I2951">
        <v>287</v>
      </c>
      <c r="J2951">
        <v>0</v>
      </c>
      <c r="K2951">
        <v>3.52</v>
      </c>
      <c r="L2951">
        <v>12.1</v>
      </c>
      <c r="M2951">
        <v>34.225000000000001</v>
      </c>
      <c r="N2951">
        <v>13.355</v>
      </c>
      <c r="O2951">
        <v>1671</v>
      </c>
      <c r="P2951">
        <v>625</v>
      </c>
      <c r="Q2951" s="5" t="e">
        <f>IF(AND(#REF!&gt;=table!$C$6,#REF!&lt;= table!$D$6),-1,IF(AND(#REF!&gt;=table!$E$6,#REF!&lt;=table!$F$6),1,0))</f>
        <v>#REF!</v>
      </c>
      <c r="R2951" s="5" t="e">
        <f>IF(AND(#REF!&gt;=table!$C$7,#REF!&lt;= table!$D$7),-1,IF(AND(#REF!&gt;=table!$E$7,#REF!&lt;=table!$F$7),1,0))</f>
        <v>#REF!</v>
      </c>
      <c r="S2951" s="5" t="e">
        <f>IF(AND(#REF!&gt;=table!$C$8,#REF!&lt;= table!$D$8),-1,IF(AND(#REF!&gt;=table!$E$8,#REF!&lt;=table!$F$8),1,0))</f>
        <v>#REF!</v>
      </c>
      <c r="T2951" s="5"/>
      <c r="U2951" s="5" t="e">
        <f>IF(AND(#REF!&gt;=table!$C$10,#REF!&lt;= table!$D$10),-1,IF(AND(#REF!&gt;=table!$E$10,#REF!&lt;=table!$F$10),1,0))</f>
        <v>#REF!</v>
      </c>
      <c r="V2951" s="5" t="e">
        <f>IF(AND(#REF!&gt;=table!$C$11,#REF!&lt;= table!$D$11),-1,IF(AND(#REF!&gt;=table!$E$11,#REF!&lt;=table!$F$11),1,0))</f>
        <v>#REF!</v>
      </c>
      <c r="W2951" s="5" t="e">
        <f>CONCATENATE(dados[[#This Row],[fator1]],dados[[#This Row],[fator5]],dados[[#This Row],[fator6]])</f>
        <v>#REF!</v>
      </c>
    </row>
    <row r="2952" spans="1:23">
      <c r="A2952" t="s">
        <v>17</v>
      </c>
      <c r="B2952">
        <v>585533</v>
      </c>
      <c r="C2952">
        <v>0.15</v>
      </c>
      <c r="D2952">
        <v>500</v>
      </c>
      <c r="E2952">
        <v>50</v>
      </c>
      <c r="F2952">
        <v>10</v>
      </c>
      <c r="G2952">
        <v>80</v>
      </c>
      <c r="H2952">
        <v>30</v>
      </c>
      <c r="I2952">
        <v>460</v>
      </c>
      <c r="J2952">
        <v>740</v>
      </c>
      <c r="K2952">
        <v>4.1150000000000002</v>
      </c>
      <c r="L2952">
        <v>5.5</v>
      </c>
      <c r="M2952">
        <v>4.9000000000000004</v>
      </c>
      <c r="N2952">
        <v>7.7</v>
      </c>
      <c r="O2952">
        <v>1672</v>
      </c>
      <c r="P2952">
        <v>0</v>
      </c>
      <c r="Q2952" s="5" t="e">
        <f>IF(AND(#REF!&gt;=table!$C$6,#REF!&lt;= table!$D$6),-1,IF(AND(#REF!&gt;=table!$E$6,#REF!&lt;=table!$F$6),1,0))</f>
        <v>#REF!</v>
      </c>
      <c r="R2952" s="5" t="e">
        <f>IF(AND(#REF!&gt;=table!$C$7,#REF!&lt;= table!$D$7),-1,IF(AND(#REF!&gt;=table!$E$7,#REF!&lt;=table!$F$7),1,0))</f>
        <v>#REF!</v>
      </c>
      <c r="S2952" s="5" t="e">
        <f>IF(AND(#REF!&gt;=table!$C$8,#REF!&lt;= table!$D$8),-1,IF(AND(#REF!&gt;=table!$E$8,#REF!&lt;=table!$F$8),1,0))</f>
        <v>#REF!</v>
      </c>
      <c r="T2952" s="5"/>
      <c r="U2952" s="5" t="e">
        <f>IF(AND(#REF!&gt;=table!$C$10,#REF!&lt;= table!$D$10),-1,IF(AND(#REF!&gt;=table!$E$10,#REF!&lt;=table!$F$10),1,0))</f>
        <v>#REF!</v>
      </c>
      <c r="V2952" s="5" t="e">
        <f>IF(AND(#REF!&gt;=table!$C$11,#REF!&lt;= table!$D$11),-1,IF(AND(#REF!&gt;=table!$E$11,#REF!&lt;=table!$F$11),1,0))</f>
        <v>#REF!</v>
      </c>
      <c r="W2952" s="5" t="e">
        <f>CONCATENATE(dados[[#This Row],[fator1]],dados[[#This Row],[fator5]],dados[[#This Row],[fator6]])</f>
        <v>#REF!</v>
      </c>
    </row>
    <row r="2953" spans="1:23">
      <c r="A2953" t="s">
        <v>16</v>
      </c>
      <c r="B2953">
        <v>585537</v>
      </c>
      <c r="C2953">
        <v>9</v>
      </c>
      <c r="D2953">
        <v>35</v>
      </c>
      <c r="E2953">
        <v>50</v>
      </c>
      <c r="F2953">
        <v>9</v>
      </c>
      <c r="G2953">
        <v>0</v>
      </c>
      <c r="H2953">
        <v>25</v>
      </c>
      <c r="I2953">
        <v>21</v>
      </c>
      <c r="J2953">
        <v>0</v>
      </c>
      <c r="K2953">
        <v>8.9450000000000003</v>
      </c>
      <c r="L2953">
        <v>21.2</v>
      </c>
      <c r="M2953">
        <v>36.25</v>
      </c>
      <c r="N2953">
        <v>20.5</v>
      </c>
      <c r="O2953">
        <v>1660</v>
      </c>
      <c r="P2953">
        <v>218</v>
      </c>
      <c r="Q2953" s="5" t="e">
        <f>IF(AND(#REF!&gt;=table!$C$6,#REF!&lt;= table!$D$6),-1,IF(AND(#REF!&gt;=table!$E$6,#REF!&lt;=table!$F$6),1,0))</f>
        <v>#REF!</v>
      </c>
      <c r="R2953" s="5" t="e">
        <f>IF(AND(#REF!&gt;=table!$C$7,#REF!&lt;= table!$D$7),-1,IF(AND(#REF!&gt;=table!$E$7,#REF!&lt;=table!$F$7),1,0))</f>
        <v>#REF!</v>
      </c>
      <c r="S2953" s="5" t="e">
        <f>IF(AND(#REF!&gt;=table!$C$8,#REF!&lt;= table!$D$8),-1,IF(AND(#REF!&gt;=table!$E$8,#REF!&lt;=table!$F$8),1,0))</f>
        <v>#REF!</v>
      </c>
      <c r="T2953" s="5"/>
      <c r="U2953" s="5" t="e">
        <f>IF(AND(#REF!&gt;=table!$C$10,#REF!&lt;= table!$D$10),-1,IF(AND(#REF!&gt;=table!$E$10,#REF!&lt;=table!$F$10),1,0))</f>
        <v>#REF!</v>
      </c>
      <c r="V2953" s="5" t="e">
        <f>IF(AND(#REF!&gt;=table!$C$11,#REF!&lt;= table!$D$11),-1,IF(AND(#REF!&gt;=table!$E$11,#REF!&lt;=table!$F$11),1,0))</f>
        <v>#REF!</v>
      </c>
      <c r="W2953" s="5" t="e">
        <f>CONCATENATE(dados[[#This Row],[fator1]],dados[[#This Row],[fator5]],dados[[#This Row],[fator6]])</f>
        <v>#REF!</v>
      </c>
    </row>
    <row r="2954" spans="1:23">
      <c r="A2954" t="s">
        <v>16</v>
      </c>
      <c r="B2954">
        <v>585542</v>
      </c>
      <c r="C2954">
        <v>9</v>
      </c>
      <c r="D2954">
        <v>40</v>
      </c>
      <c r="E2954">
        <v>46</v>
      </c>
      <c r="F2954">
        <v>15</v>
      </c>
      <c r="G2954">
        <v>0</v>
      </c>
      <c r="H2954">
        <v>25</v>
      </c>
      <c r="I2954">
        <v>111</v>
      </c>
      <c r="J2954">
        <v>760</v>
      </c>
      <c r="K2954">
        <v>2.4220000000000002</v>
      </c>
      <c r="L2954">
        <v>9.34</v>
      </c>
      <c r="M2954">
        <v>28.295000000000002</v>
      </c>
      <c r="N2954">
        <v>22.34</v>
      </c>
      <c r="O2954">
        <v>1682</v>
      </c>
      <c r="P2954">
        <v>902</v>
      </c>
      <c r="Q2954" s="5" t="e">
        <f>IF(AND(#REF!&gt;=table!$C$6,#REF!&lt;= table!$D$6),-1,IF(AND(#REF!&gt;=table!$E$6,#REF!&lt;=table!$F$6),1,0))</f>
        <v>#REF!</v>
      </c>
      <c r="R2954" s="5" t="e">
        <f>IF(AND(#REF!&gt;=table!$C$7,#REF!&lt;= table!$D$7),-1,IF(AND(#REF!&gt;=table!$E$7,#REF!&lt;=table!$F$7),1,0))</f>
        <v>#REF!</v>
      </c>
      <c r="S2954" s="5" t="e">
        <f>IF(AND(#REF!&gt;=table!$C$8,#REF!&lt;= table!$D$8),-1,IF(AND(#REF!&gt;=table!$E$8,#REF!&lt;=table!$F$8),1,0))</f>
        <v>#REF!</v>
      </c>
      <c r="T2954" s="5"/>
      <c r="U2954" s="5" t="e">
        <f>IF(AND(#REF!&gt;=table!$C$10,#REF!&lt;= table!$D$10),-1,IF(AND(#REF!&gt;=table!$E$10,#REF!&lt;=table!$F$10),1,0))</f>
        <v>#REF!</v>
      </c>
      <c r="V2954" s="5" t="e">
        <f>IF(AND(#REF!&gt;=table!$C$11,#REF!&lt;= table!$D$11),-1,IF(AND(#REF!&gt;=table!$E$11,#REF!&lt;=table!$F$11),1,0))</f>
        <v>#REF!</v>
      </c>
      <c r="W2954" s="5" t="e">
        <f>CONCATENATE(dados[[#This Row],[fator1]],dados[[#This Row],[fator5]],dados[[#This Row],[fator6]])</f>
        <v>#REF!</v>
      </c>
    </row>
    <row r="2955" spans="1:23">
      <c r="A2955" t="s">
        <v>16</v>
      </c>
      <c r="B2955">
        <v>585547</v>
      </c>
      <c r="C2955">
        <v>0.15</v>
      </c>
      <c r="D2955">
        <v>35</v>
      </c>
      <c r="E2955">
        <v>15</v>
      </c>
      <c r="F2955">
        <v>10</v>
      </c>
      <c r="G2955">
        <v>0</v>
      </c>
      <c r="H2955">
        <v>12</v>
      </c>
      <c r="I2955">
        <v>0</v>
      </c>
      <c r="J2955">
        <v>0</v>
      </c>
      <c r="K2955">
        <v>3.9650000000000003</v>
      </c>
      <c r="L2955">
        <v>8.9500000000000011</v>
      </c>
      <c r="M2955">
        <v>7.9850000000000003</v>
      </c>
      <c r="N2955">
        <v>6.37</v>
      </c>
      <c r="O2955">
        <v>1667</v>
      </c>
      <c r="P2955">
        <v>0</v>
      </c>
      <c r="Q2955" s="5" t="e">
        <f>IF(AND(#REF!&gt;=table!$C$6,#REF!&lt;= table!$D$6),-1,IF(AND(#REF!&gt;=table!$E$6,#REF!&lt;=table!$F$6),1,0))</f>
        <v>#REF!</v>
      </c>
      <c r="R2955" s="5" t="e">
        <f>IF(AND(#REF!&gt;=table!$C$7,#REF!&lt;= table!$D$7),-1,IF(AND(#REF!&gt;=table!$E$7,#REF!&lt;=table!$F$7),1,0))</f>
        <v>#REF!</v>
      </c>
      <c r="S2955" s="5" t="e">
        <f>IF(AND(#REF!&gt;=table!$C$8,#REF!&lt;= table!$D$8),-1,IF(AND(#REF!&gt;=table!$E$8,#REF!&lt;=table!$F$8),1,0))</f>
        <v>#REF!</v>
      </c>
      <c r="T2955" s="5"/>
      <c r="U2955" s="5" t="e">
        <f>IF(AND(#REF!&gt;=table!$C$10,#REF!&lt;= table!$D$10),-1,IF(AND(#REF!&gt;=table!$E$10,#REF!&lt;=table!$F$10),1,0))</f>
        <v>#REF!</v>
      </c>
      <c r="V2955" s="5" t="e">
        <f>IF(AND(#REF!&gt;=table!$C$11,#REF!&lt;= table!$D$11),-1,IF(AND(#REF!&gt;=table!$E$11,#REF!&lt;=table!$F$11),1,0))</f>
        <v>#REF!</v>
      </c>
      <c r="W2955" s="5" t="e">
        <f>CONCATENATE(dados[[#This Row],[fator1]],dados[[#This Row],[fator5]],dados[[#This Row],[fator6]])</f>
        <v>#REF!</v>
      </c>
    </row>
    <row r="2956" spans="1:23">
      <c r="A2956" t="s">
        <v>16</v>
      </c>
      <c r="B2956">
        <v>585548</v>
      </c>
      <c r="C2956">
        <v>0.15</v>
      </c>
      <c r="D2956">
        <v>35</v>
      </c>
      <c r="E2956">
        <v>15</v>
      </c>
      <c r="F2956">
        <v>10</v>
      </c>
      <c r="G2956">
        <v>0</v>
      </c>
      <c r="H2956">
        <v>12</v>
      </c>
      <c r="I2956">
        <v>10</v>
      </c>
      <c r="J2956">
        <v>0</v>
      </c>
      <c r="K2956">
        <v>4.8850000000000007</v>
      </c>
      <c r="L2956">
        <v>9.6</v>
      </c>
      <c r="M2956">
        <v>7.8500000000000005</v>
      </c>
      <c r="N2956">
        <v>8.4499999999999993</v>
      </c>
      <c r="O2956">
        <v>1671</v>
      </c>
      <c r="P2956">
        <v>0</v>
      </c>
      <c r="Q2956" s="5" t="e">
        <f>IF(AND(#REF!&gt;=table!$C$6,#REF!&lt;= table!$D$6),-1,IF(AND(#REF!&gt;=table!$E$6,#REF!&lt;=table!$F$6),1,0))</f>
        <v>#REF!</v>
      </c>
      <c r="R2956" s="5" t="e">
        <f>IF(AND(#REF!&gt;=table!$C$7,#REF!&lt;= table!$D$7),-1,IF(AND(#REF!&gt;=table!$E$7,#REF!&lt;=table!$F$7),1,0))</f>
        <v>#REF!</v>
      </c>
      <c r="S2956" s="5" t="e">
        <f>IF(AND(#REF!&gt;=table!$C$8,#REF!&lt;= table!$D$8),-1,IF(AND(#REF!&gt;=table!$E$8,#REF!&lt;=table!$F$8),1,0))</f>
        <v>#REF!</v>
      </c>
      <c r="T2956" s="5"/>
      <c r="U2956" s="5" t="e">
        <f>IF(AND(#REF!&gt;=table!$C$10,#REF!&lt;= table!$D$10),-1,IF(AND(#REF!&gt;=table!$E$10,#REF!&lt;=table!$F$10),1,0))</f>
        <v>#REF!</v>
      </c>
      <c r="V2956" s="5" t="e">
        <f>IF(AND(#REF!&gt;=table!$C$11,#REF!&lt;= table!$D$11),-1,IF(AND(#REF!&gt;=table!$E$11,#REF!&lt;=table!$F$11),1,0))</f>
        <v>#REF!</v>
      </c>
      <c r="W2956" s="5" t="e">
        <f>CONCATENATE(dados[[#This Row],[fator1]],dados[[#This Row],[fator5]],dados[[#This Row],[fator6]])</f>
        <v>#REF!</v>
      </c>
    </row>
    <row r="2957" spans="1:23">
      <c r="A2957" t="s">
        <v>16</v>
      </c>
      <c r="B2957">
        <v>585555</v>
      </c>
      <c r="C2957">
        <v>0.15</v>
      </c>
      <c r="D2957">
        <v>35</v>
      </c>
      <c r="E2957">
        <v>15</v>
      </c>
      <c r="F2957">
        <v>10</v>
      </c>
      <c r="G2957">
        <v>0</v>
      </c>
      <c r="H2957">
        <v>12</v>
      </c>
      <c r="I2957">
        <v>1566</v>
      </c>
      <c r="J2957">
        <v>0</v>
      </c>
      <c r="K2957">
        <v>5.63</v>
      </c>
      <c r="L2957">
        <v>12.450000000000001</v>
      </c>
      <c r="M2957">
        <v>11.3</v>
      </c>
      <c r="N2957">
        <v>13.6</v>
      </c>
      <c r="O2957">
        <v>1697</v>
      </c>
      <c r="P2957">
        <v>689</v>
      </c>
      <c r="Q2957" s="5" t="e">
        <f>IF(AND(#REF!&gt;=table!$C$6,#REF!&lt;= table!$D$6),-1,IF(AND(#REF!&gt;=table!$E$6,#REF!&lt;=table!$F$6),1,0))</f>
        <v>#REF!</v>
      </c>
      <c r="R2957" s="5" t="e">
        <f>IF(AND(#REF!&gt;=table!$C$7,#REF!&lt;= table!$D$7),-1,IF(AND(#REF!&gt;=table!$E$7,#REF!&lt;=table!$F$7),1,0))</f>
        <v>#REF!</v>
      </c>
      <c r="S2957" s="5" t="e">
        <f>IF(AND(#REF!&gt;=table!$C$8,#REF!&lt;= table!$D$8),-1,IF(AND(#REF!&gt;=table!$E$8,#REF!&lt;=table!$F$8),1,0))</f>
        <v>#REF!</v>
      </c>
      <c r="T2957" s="5"/>
      <c r="U2957" s="5" t="e">
        <f>IF(AND(#REF!&gt;=table!$C$10,#REF!&lt;= table!$D$10),-1,IF(AND(#REF!&gt;=table!$E$10,#REF!&lt;=table!$F$10),1,0))</f>
        <v>#REF!</v>
      </c>
      <c r="V2957" s="5" t="e">
        <f>IF(AND(#REF!&gt;=table!$C$11,#REF!&lt;= table!$D$11),-1,IF(AND(#REF!&gt;=table!$E$11,#REF!&lt;=table!$F$11),1,0))</f>
        <v>#REF!</v>
      </c>
      <c r="W2957" s="5" t="e">
        <f>CONCATENATE(dados[[#This Row],[fator1]],dados[[#This Row],[fator5]],dados[[#This Row],[fator6]])</f>
        <v>#REF!</v>
      </c>
    </row>
    <row r="2958" spans="1:23">
      <c r="A2958" t="s">
        <v>16</v>
      </c>
      <c r="B2958">
        <v>585558</v>
      </c>
      <c r="C2958">
        <v>0.15</v>
      </c>
      <c r="D2958">
        <v>35</v>
      </c>
      <c r="E2958">
        <v>15</v>
      </c>
      <c r="F2958">
        <v>10</v>
      </c>
      <c r="G2958">
        <v>0</v>
      </c>
      <c r="H2958">
        <v>12</v>
      </c>
      <c r="I2958">
        <v>791</v>
      </c>
      <c r="J2958">
        <v>0</v>
      </c>
      <c r="K2958">
        <v>4.17</v>
      </c>
      <c r="L2958">
        <v>8.25</v>
      </c>
      <c r="M2958">
        <v>7.75</v>
      </c>
      <c r="N2958">
        <v>12.6</v>
      </c>
      <c r="O2958">
        <v>1704</v>
      </c>
      <c r="P2958">
        <v>840</v>
      </c>
      <c r="Q2958" s="5" t="e">
        <f>IF(AND(#REF!&gt;=table!$C$6,#REF!&lt;= table!$D$6),-1,IF(AND(#REF!&gt;=table!$E$6,#REF!&lt;=table!$F$6),1,0))</f>
        <v>#REF!</v>
      </c>
      <c r="R2958" s="5" t="e">
        <f>IF(AND(#REF!&gt;=table!$C$7,#REF!&lt;= table!$D$7),-1,IF(AND(#REF!&gt;=table!$E$7,#REF!&lt;=table!$F$7),1,0))</f>
        <v>#REF!</v>
      </c>
      <c r="S2958" s="5" t="e">
        <f>IF(AND(#REF!&gt;=table!$C$8,#REF!&lt;= table!$D$8),-1,IF(AND(#REF!&gt;=table!$E$8,#REF!&lt;=table!$F$8),1,0))</f>
        <v>#REF!</v>
      </c>
      <c r="T2958" s="5"/>
      <c r="U2958" s="5" t="e">
        <f>IF(AND(#REF!&gt;=table!$C$10,#REF!&lt;= table!$D$10),-1,IF(AND(#REF!&gt;=table!$E$10,#REF!&lt;=table!$F$10),1,0))</f>
        <v>#REF!</v>
      </c>
      <c r="V2958" s="5" t="e">
        <f>IF(AND(#REF!&gt;=table!$C$11,#REF!&lt;= table!$D$11),-1,IF(AND(#REF!&gt;=table!$E$11,#REF!&lt;=table!$F$11),1,0))</f>
        <v>#REF!</v>
      </c>
      <c r="W2958" s="5" t="e">
        <f>CONCATENATE(dados[[#This Row],[fator1]],dados[[#This Row],[fator5]],dados[[#This Row],[fator6]])</f>
        <v>#REF!</v>
      </c>
    </row>
    <row r="2959" spans="1:23">
      <c r="A2959" t="s">
        <v>16</v>
      </c>
      <c r="B2959">
        <v>585561</v>
      </c>
      <c r="C2959">
        <v>0.2</v>
      </c>
      <c r="D2959">
        <v>65</v>
      </c>
      <c r="E2959">
        <v>26</v>
      </c>
      <c r="F2959">
        <v>15</v>
      </c>
      <c r="G2959">
        <v>0</v>
      </c>
      <c r="H2959">
        <v>30</v>
      </c>
      <c r="I2959">
        <v>4</v>
      </c>
      <c r="J2959">
        <v>0</v>
      </c>
      <c r="K2959">
        <v>4.4800000000000004</v>
      </c>
      <c r="L2959">
        <v>8.3000000000000007</v>
      </c>
      <c r="M2959">
        <v>7.45</v>
      </c>
      <c r="N2959">
        <v>8.8000000000000007</v>
      </c>
      <c r="O2959">
        <v>1692</v>
      </c>
      <c r="P2959">
        <v>738</v>
      </c>
      <c r="Q2959" s="5" t="e">
        <f>IF(AND(#REF!&gt;=table!$C$6,#REF!&lt;= table!$D$6),-1,IF(AND(#REF!&gt;=table!$E$6,#REF!&lt;=table!$F$6),1,0))</f>
        <v>#REF!</v>
      </c>
      <c r="R2959" s="5" t="e">
        <f>IF(AND(#REF!&gt;=table!$C$7,#REF!&lt;= table!$D$7),-1,IF(AND(#REF!&gt;=table!$E$7,#REF!&lt;=table!$F$7),1,0))</f>
        <v>#REF!</v>
      </c>
      <c r="S2959" s="5" t="e">
        <f>IF(AND(#REF!&gt;=table!$C$8,#REF!&lt;= table!$D$8),-1,IF(AND(#REF!&gt;=table!$E$8,#REF!&lt;=table!$F$8),1,0))</f>
        <v>#REF!</v>
      </c>
      <c r="T2959" s="5"/>
      <c r="U2959" s="5" t="e">
        <f>IF(AND(#REF!&gt;=table!$C$10,#REF!&lt;= table!$D$10),-1,IF(AND(#REF!&gt;=table!$E$10,#REF!&lt;=table!$F$10),1,0))</f>
        <v>#REF!</v>
      </c>
      <c r="V2959" s="5" t="e">
        <f>IF(AND(#REF!&gt;=table!$C$11,#REF!&lt;= table!$D$11),-1,IF(AND(#REF!&gt;=table!$E$11,#REF!&lt;=table!$F$11),1,0))</f>
        <v>#REF!</v>
      </c>
      <c r="W2959" s="5" t="e">
        <f>CONCATENATE(dados[[#This Row],[fator1]],dados[[#This Row],[fator5]],dados[[#This Row],[fator6]])</f>
        <v>#REF!</v>
      </c>
    </row>
    <row r="2960" spans="1:23">
      <c r="A2960" t="s">
        <v>16</v>
      </c>
      <c r="B2960">
        <v>585566</v>
      </c>
      <c r="C2960">
        <v>16</v>
      </c>
      <c r="D2960">
        <v>35</v>
      </c>
      <c r="E2960">
        <v>56</v>
      </c>
      <c r="F2960">
        <v>10</v>
      </c>
      <c r="G2960">
        <v>0</v>
      </c>
      <c r="H2960">
        <v>25</v>
      </c>
      <c r="I2960">
        <v>220</v>
      </c>
      <c r="J2960">
        <v>0</v>
      </c>
      <c r="K2960">
        <v>5.26</v>
      </c>
      <c r="L2960">
        <v>13.9</v>
      </c>
      <c r="M2960">
        <v>47.85</v>
      </c>
      <c r="N2960">
        <v>17.5</v>
      </c>
      <c r="O2960">
        <v>1702</v>
      </c>
      <c r="P2960">
        <v>705</v>
      </c>
      <c r="Q2960" s="5" t="e">
        <f>IF(AND(#REF!&gt;=table!$C$6,#REF!&lt;= table!$D$6),-1,IF(AND(#REF!&gt;=table!$E$6,#REF!&lt;=table!$F$6),1,0))</f>
        <v>#REF!</v>
      </c>
      <c r="R2960" s="5" t="e">
        <f>IF(AND(#REF!&gt;=table!$C$7,#REF!&lt;= table!$D$7),-1,IF(AND(#REF!&gt;=table!$E$7,#REF!&lt;=table!$F$7),1,0))</f>
        <v>#REF!</v>
      </c>
      <c r="S2960" s="5" t="e">
        <f>IF(AND(#REF!&gt;=table!$C$8,#REF!&lt;= table!$D$8),-1,IF(AND(#REF!&gt;=table!$E$8,#REF!&lt;=table!$F$8),1,0))</f>
        <v>#REF!</v>
      </c>
      <c r="T2960" s="5"/>
      <c r="U2960" s="5" t="e">
        <f>IF(AND(#REF!&gt;=table!$C$10,#REF!&lt;= table!$D$10),-1,IF(AND(#REF!&gt;=table!$E$10,#REF!&lt;=table!$F$10),1,0))</f>
        <v>#REF!</v>
      </c>
      <c r="V2960" s="5" t="e">
        <f>IF(AND(#REF!&gt;=table!$C$11,#REF!&lt;= table!$D$11),-1,IF(AND(#REF!&gt;=table!$E$11,#REF!&lt;=table!$F$11),1,0))</f>
        <v>#REF!</v>
      </c>
      <c r="W2960" s="5" t="e">
        <f>CONCATENATE(dados[[#This Row],[fator1]],dados[[#This Row],[fator5]],dados[[#This Row],[fator6]])</f>
        <v>#REF!</v>
      </c>
    </row>
    <row r="2961" spans="1:23">
      <c r="A2961" t="s">
        <v>16</v>
      </c>
      <c r="B2961">
        <v>585568</v>
      </c>
      <c r="C2961">
        <v>16</v>
      </c>
      <c r="D2961">
        <v>35</v>
      </c>
      <c r="E2961">
        <v>56</v>
      </c>
      <c r="F2961">
        <v>10</v>
      </c>
      <c r="G2961">
        <v>0</v>
      </c>
      <c r="H2961">
        <v>25</v>
      </c>
      <c r="I2961">
        <v>614</v>
      </c>
      <c r="J2961">
        <v>0</v>
      </c>
      <c r="K2961">
        <v>8.2550000000000008</v>
      </c>
      <c r="L2961">
        <v>13.15</v>
      </c>
      <c r="M2961">
        <v>47.575000000000003</v>
      </c>
      <c r="N2961">
        <v>13.73</v>
      </c>
      <c r="O2961">
        <v>1677</v>
      </c>
      <c r="P2961">
        <v>0</v>
      </c>
      <c r="Q2961" s="5" t="e">
        <f>IF(AND(#REF!&gt;=table!$C$6,#REF!&lt;= table!$D$6),-1,IF(AND(#REF!&gt;=table!$E$6,#REF!&lt;=table!$F$6),1,0))</f>
        <v>#REF!</v>
      </c>
      <c r="R2961" s="5" t="e">
        <f>IF(AND(#REF!&gt;=table!$C$7,#REF!&lt;= table!$D$7),-1,IF(AND(#REF!&gt;=table!$E$7,#REF!&lt;=table!$F$7),1,0))</f>
        <v>#REF!</v>
      </c>
      <c r="S2961" s="5" t="e">
        <f>IF(AND(#REF!&gt;=table!$C$8,#REF!&lt;= table!$D$8),-1,IF(AND(#REF!&gt;=table!$E$8,#REF!&lt;=table!$F$8),1,0))</f>
        <v>#REF!</v>
      </c>
      <c r="T2961" s="5"/>
      <c r="U2961" s="5" t="e">
        <f>IF(AND(#REF!&gt;=table!$C$10,#REF!&lt;= table!$D$10),-1,IF(AND(#REF!&gt;=table!$E$10,#REF!&lt;=table!$F$10),1,0))</f>
        <v>#REF!</v>
      </c>
      <c r="V2961" s="5" t="e">
        <f>IF(AND(#REF!&gt;=table!$C$11,#REF!&lt;= table!$D$11),-1,IF(AND(#REF!&gt;=table!$E$11,#REF!&lt;=table!$F$11),1,0))</f>
        <v>#REF!</v>
      </c>
      <c r="W2961" s="5" t="e">
        <f>CONCATENATE(dados[[#This Row],[fator1]],dados[[#This Row],[fator5]],dados[[#This Row],[fator6]])</f>
        <v>#REF!</v>
      </c>
    </row>
    <row r="2962" spans="1:23">
      <c r="A2962" t="s">
        <v>16</v>
      </c>
      <c r="B2962">
        <v>585570</v>
      </c>
      <c r="C2962">
        <v>16</v>
      </c>
      <c r="D2962">
        <v>35</v>
      </c>
      <c r="E2962">
        <v>56</v>
      </c>
      <c r="F2962">
        <v>10</v>
      </c>
      <c r="G2962">
        <v>0</v>
      </c>
      <c r="H2962">
        <v>25</v>
      </c>
      <c r="I2962">
        <v>131</v>
      </c>
      <c r="J2962">
        <v>0</v>
      </c>
      <c r="K2962">
        <v>6.21</v>
      </c>
      <c r="L2962">
        <v>13.4</v>
      </c>
      <c r="M2962">
        <v>32.799999999999997</v>
      </c>
      <c r="N2962">
        <v>13.3</v>
      </c>
      <c r="O2962">
        <v>1678</v>
      </c>
      <c r="P2962">
        <v>459</v>
      </c>
      <c r="Q2962" s="5" t="e">
        <f>IF(AND(#REF!&gt;=table!$C$6,#REF!&lt;= table!$D$6),-1,IF(AND(#REF!&gt;=table!$E$6,#REF!&lt;=table!$F$6),1,0))</f>
        <v>#REF!</v>
      </c>
      <c r="R2962" s="5" t="e">
        <f>IF(AND(#REF!&gt;=table!$C$7,#REF!&lt;= table!$D$7),-1,IF(AND(#REF!&gt;=table!$E$7,#REF!&lt;=table!$F$7),1,0))</f>
        <v>#REF!</v>
      </c>
      <c r="S2962" s="5" t="e">
        <f>IF(AND(#REF!&gt;=table!$C$8,#REF!&lt;= table!$D$8),-1,IF(AND(#REF!&gt;=table!$E$8,#REF!&lt;=table!$F$8),1,0))</f>
        <v>#REF!</v>
      </c>
      <c r="T2962" s="5"/>
      <c r="U2962" s="5" t="e">
        <f>IF(AND(#REF!&gt;=table!$C$10,#REF!&lt;= table!$D$10),-1,IF(AND(#REF!&gt;=table!$E$10,#REF!&lt;=table!$F$10),1,0))</f>
        <v>#REF!</v>
      </c>
      <c r="V2962" s="5" t="e">
        <f>IF(AND(#REF!&gt;=table!$C$11,#REF!&lt;= table!$D$11),-1,IF(AND(#REF!&gt;=table!$E$11,#REF!&lt;=table!$F$11),1,0))</f>
        <v>#REF!</v>
      </c>
      <c r="W2962" s="5" t="e">
        <f>CONCATENATE(dados[[#This Row],[fator1]],dados[[#This Row],[fator5]],dados[[#This Row],[fator6]])</f>
        <v>#REF!</v>
      </c>
    </row>
    <row r="2963" spans="1:23">
      <c r="A2963" t="s">
        <v>16</v>
      </c>
      <c r="B2963">
        <v>585587</v>
      </c>
      <c r="C2963">
        <v>0.2</v>
      </c>
      <c r="D2963">
        <v>65</v>
      </c>
      <c r="E2963">
        <v>26</v>
      </c>
      <c r="F2963">
        <v>15</v>
      </c>
      <c r="G2963">
        <v>0</v>
      </c>
      <c r="H2963">
        <v>30</v>
      </c>
      <c r="I2963">
        <v>569</v>
      </c>
      <c r="J2963">
        <v>0</v>
      </c>
      <c r="K2963">
        <v>5.5550000000000006</v>
      </c>
      <c r="L2963">
        <v>7.25</v>
      </c>
      <c r="M2963">
        <v>6.9</v>
      </c>
      <c r="N2963">
        <v>7.25</v>
      </c>
      <c r="O2963">
        <v>1646</v>
      </c>
      <c r="P2963">
        <v>622</v>
      </c>
      <c r="Q2963" s="5" t="e">
        <f>IF(AND(#REF!&gt;=table!$C$6,#REF!&lt;= table!$D$6),-1,IF(AND(#REF!&gt;=table!$E$6,#REF!&lt;=table!$F$6),1,0))</f>
        <v>#REF!</v>
      </c>
      <c r="R2963" s="5" t="e">
        <f>IF(AND(#REF!&gt;=table!$C$7,#REF!&lt;= table!$D$7),-1,IF(AND(#REF!&gt;=table!$E$7,#REF!&lt;=table!$F$7),1,0))</f>
        <v>#REF!</v>
      </c>
      <c r="S2963" s="5" t="e">
        <f>IF(AND(#REF!&gt;=table!$C$8,#REF!&lt;= table!$D$8),-1,IF(AND(#REF!&gt;=table!$E$8,#REF!&lt;=table!$F$8),1,0))</f>
        <v>#REF!</v>
      </c>
      <c r="T2963" s="5"/>
      <c r="U2963" s="5" t="e">
        <f>IF(AND(#REF!&gt;=table!$C$10,#REF!&lt;= table!$D$10),-1,IF(AND(#REF!&gt;=table!$E$10,#REF!&lt;=table!$F$10),1,0))</f>
        <v>#REF!</v>
      </c>
      <c r="V2963" s="5" t="e">
        <f>IF(AND(#REF!&gt;=table!$C$11,#REF!&lt;= table!$D$11),-1,IF(AND(#REF!&gt;=table!$E$11,#REF!&lt;=table!$F$11),1,0))</f>
        <v>#REF!</v>
      </c>
      <c r="W2963" s="5" t="e">
        <f>CONCATENATE(dados[[#This Row],[fator1]],dados[[#This Row],[fator5]],dados[[#This Row],[fator6]])</f>
        <v>#REF!</v>
      </c>
    </row>
    <row r="2964" spans="1:23">
      <c r="A2964" t="s">
        <v>17</v>
      </c>
      <c r="B2964">
        <v>585602</v>
      </c>
      <c r="C2964">
        <v>14</v>
      </c>
      <c r="D2964">
        <v>30</v>
      </c>
      <c r="E2964">
        <v>66</v>
      </c>
      <c r="F2964">
        <v>9</v>
      </c>
      <c r="G2964">
        <v>20</v>
      </c>
      <c r="H2964">
        <v>25</v>
      </c>
      <c r="I2964">
        <v>1257</v>
      </c>
      <c r="J2964">
        <v>0</v>
      </c>
      <c r="K2964">
        <v>3.17</v>
      </c>
      <c r="L2964">
        <v>7.45</v>
      </c>
      <c r="M2964">
        <v>54.65</v>
      </c>
      <c r="N2964">
        <v>13.3</v>
      </c>
      <c r="O2964">
        <v>1671</v>
      </c>
      <c r="P2964">
        <v>0</v>
      </c>
      <c r="Q2964" s="5" t="e">
        <f>IF(AND(#REF!&gt;=table!$C$6,#REF!&lt;= table!$D$6),-1,IF(AND(#REF!&gt;=table!$E$6,#REF!&lt;=table!$F$6),1,0))</f>
        <v>#REF!</v>
      </c>
      <c r="R2964" s="5" t="e">
        <f>IF(AND(#REF!&gt;=table!$C$7,#REF!&lt;= table!$D$7),-1,IF(AND(#REF!&gt;=table!$E$7,#REF!&lt;=table!$F$7),1,0))</f>
        <v>#REF!</v>
      </c>
      <c r="S2964" s="5" t="e">
        <f>IF(AND(#REF!&gt;=table!$C$8,#REF!&lt;= table!$D$8),-1,IF(AND(#REF!&gt;=table!$E$8,#REF!&lt;=table!$F$8),1,0))</f>
        <v>#REF!</v>
      </c>
      <c r="T2964" s="5"/>
      <c r="U2964" s="5" t="e">
        <f>IF(AND(#REF!&gt;=table!$C$10,#REF!&lt;= table!$D$10),-1,IF(AND(#REF!&gt;=table!$E$10,#REF!&lt;=table!$F$10),1,0))</f>
        <v>#REF!</v>
      </c>
      <c r="V2964" s="5" t="e">
        <f>IF(AND(#REF!&gt;=table!$C$11,#REF!&lt;= table!$D$11),-1,IF(AND(#REF!&gt;=table!$E$11,#REF!&lt;=table!$F$11),1,0))</f>
        <v>#REF!</v>
      </c>
      <c r="W2964" s="5" t="e">
        <f>CONCATENATE(dados[[#This Row],[fator1]],dados[[#This Row],[fator5]],dados[[#This Row],[fator6]])</f>
        <v>#REF!</v>
      </c>
    </row>
    <row r="2965" spans="1:23">
      <c r="A2965" t="s">
        <v>17</v>
      </c>
      <c r="B2965">
        <v>585608</v>
      </c>
      <c r="C2965">
        <v>14</v>
      </c>
      <c r="D2965">
        <v>30</v>
      </c>
      <c r="E2965">
        <v>86</v>
      </c>
      <c r="F2965">
        <v>9</v>
      </c>
      <c r="G2965">
        <v>20</v>
      </c>
      <c r="H2965">
        <v>25</v>
      </c>
      <c r="I2965">
        <v>1279</v>
      </c>
      <c r="J2965">
        <v>0</v>
      </c>
      <c r="K2965">
        <v>4.88</v>
      </c>
      <c r="L2965">
        <v>10.6</v>
      </c>
      <c r="M2965">
        <v>60.550000000000004</v>
      </c>
      <c r="N2965">
        <v>17.150000000000002</v>
      </c>
      <c r="O2965">
        <v>1688</v>
      </c>
      <c r="P2965">
        <v>816</v>
      </c>
      <c r="Q2965" s="5" t="e">
        <f>IF(AND(#REF!&gt;=table!$C$6,#REF!&lt;= table!$D$6),-1,IF(AND(#REF!&gt;=table!$E$6,#REF!&lt;=table!$F$6),1,0))</f>
        <v>#REF!</v>
      </c>
      <c r="R2965" s="5" t="e">
        <f>IF(AND(#REF!&gt;=table!$C$7,#REF!&lt;= table!$D$7),-1,IF(AND(#REF!&gt;=table!$E$7,#REF!&lt;=table!$F$7),1,0))</f>
        <v>#REF!</v>
      </c>
      <c r="S2965" s="5" t="e">
        <f>IF(AND(#REF!&gt;=table!$C$8,#REF!&lt;= table!$D$8),-1,IF(AND(#REF!&gt;=table!$E$8,#REF!&lt;=table!$F$8),1,0))</f>
        <v>#REF!</v>
      </c>
      <c r="T2965" s="5"/>
      <c r="U2965" s="5" t="e">
        <f>IF(AND(#REF!&gt;=table!$C$10,#REF!&lt;= table!$D$10),-1,IF(AND(#REF!&gt;=table!$E$10,#REF!&lt;=table!$F$10),1,0))</f>
        <v>#REF!</v>
      </c>
      <c r="V2965" s="5" t="e">
        <f>IF(AND(#REF!&gt;=table!$C$11,#REF!&lt;= table!$D$11),-1,IF(AND(#REF!&gt;=table!$E$11,#REF!&lt;=table!$F$11),1,0))</f>
        <v>#REF!</v>
      </c>
      <c r="W2965" s="5" t="e">
        <f>CONCATENATE(dados[[#This Row],[fator1]],dados[[#This Row],[fator5]],dados[[#This Row],[fator6]])</f>
        <v>#REF!</v>
      </c>
    </row>
    <row r="2966" spans="1:23">
      <c r="A2966" t="s">
        <v>17</v>
      </c>
      <c r="B2966">
        <v>585611</v>
      </c>
      <c r="C2966">
        <v>9</v>
      </c>
      <c r="D2966">
        <v>25</v>
      </c>
      <c r="E2966">
        <v>130</v>
      </c>
      <c r="F2966">
        <v>3</v>
      </c>
      <c r="G2966">
        <v>20</v>
      </c>
      <c r="H2966">
        <v>21</v>
      </c>
      <c r="I2966">
        <v>747</v>
      </c>
      <c r="J2966">
        <v>0</v>
      </c>
      <c r="K2966">
        <v>3.9250000000000003</v>
      </c>
      <c r="L2966">
        <v>9.1</v>
      </c>
      <c r="M2966">
        <v>6.4</v>
      </c>
      <c r="N2966">
        <v>10.25</v>
      </c>
      <c r="O2966">
        <v>1677</v>
      </c>
      <c r="P2966">
        <v>0</v>
      </c>
      <c r="Q2966" s="5" t="e">
        <f>IF(AND(#REF!&gt;=table!$C$6,#REF!&lt;= table!$D$6),-1,IF(AND(#REF!&gt;=table!$E$6,#REF!&lt;=table!$F$6),1,0))</f>
        <v>#REF!</v>
      </c>
      <c r="R2966" s="5" t="e">
        <f>IF(AND(#REF!&gt;=table!$C$7,#REF!&lt;= table!$D$7),-1,IF(AND(#REF!&gt;=table!$E$7,#REF!&lt;=table!$F$7),1,0))</f>
        <v>#REF!</v>
      </c>
      <c r="S2966" s="5" t="e">
        <f>IF(AND(#REF!&gt;=table!$C$8,#REF!&lt;= table!$D$8),-1,IF(AND(#REF!&gt;=table!$E$8,#REF!&lt;=table!$F$8),1,0))</f>
        <v>#REF!</v>
      </c>
      <c r="T2966" s="5"/>
      <c r="U2966" s="5" t="e">
        <f>IF(AND(#REF!&gt;=table!$C$10,#REF!&lt;= table!$D$10),-1,IF(AND(#REF!&gt;=table!$E$10,#REF!&lt;=table!$F$10),1,0))</f>
        <v>#REF!</v>
      </c>
      <c r="V2966" s="5" t="e">
        <f>IF(AND(#REF!&gt;=table!$C$11,#REF!&lt;= table!$D$11),-1,IF(AND(#REF!&gt;=table!$E$11,#REF!&lt;=table!$F$11),1,0))</f>
        <v>#REF!</v>
      </c>
      <c r="W2966" s="5" t="e">
        <f>CONCATENATE(dados[[#This Row],[fator1]],dados[[#This Row],[fator5]],dados[[#This Row],[fator6]])</f>
        <v>#REF!</v>
      </c>
    </row>
    <row r="2967" spans="1:23">
      <c r="A2967" t="s">
        <v>17</v>
      </c>
      <c r="B2967">
        <v>585619</v>
      </c>
      <c r="C2967">
        <v>27</v>
      </c>
      <c r="D2967">
        <v>33</v>
      </c>
      <c r="E2967">
        <v>125</v>
      </c>
      <c r="F2967">
        <v>3</v>
      </c>
      <c r="G2967">
        <v>18</v>
      </c>
      <c r="H2967">
        <v>18</v>
      </c>
      <c r="I2967">
        <v>0</v>
      </c>
      <c r="J2967">
        <v>790</v>
      </c>
      <c r="K2967">
        <v>6.04</v>
      </c>
      <c r="L2967">
        <v>13.8</v>
      </c>
      <c r="M2967">
        <v>106.3</v>
      </c>
      <c r="N2967">
        <v>14.4</v>
      </c>
      <c r="O2967">
        <v>1678</v>
      </c>
      <c r="P2967">
        <v>0</v>
      </c>
      <c r="Q2967" s="5" t="e">
        <f>IF(AND(#REF!&gt;=table!$C$6,#REF!&lt;= table!$D$6),-1,IF(AND(#REF!&gt;=table!$E$6,#REF!&lt;=table!$F$6),1,0))</f>
        <v>#REF!</v>
      </c>
      <c r="R2967" s="5" t="e">
        <f>IF(AND(#REF!&gt;=table!$C$7,#REF!&lt;= table!$D$7),-1,IF(AND(#REF!&gt;=table!$E$7,#REF!&lt;=table!$F$7),1,0))</f>
        <v>#REF!</v>
      </c>
      <c r="S2967" s="5" t="e">
        <f>IF(AND(#REF!&gt;=table!$C$8,#REF!&lt;= table!$D$8),-1,IF(AND(#REF!&gt;=table!$E$8,#REF!&lt;=table!$F$8),1,0))</f>
        <v>#REF!</v>
      </c>
      <c r="T2967" s="5"/>
      <c r="U2967" s="5" t="e">
        <f>IF(AND(#REF!&gt;=table!$C$10,#REF!&lt;= table!$D$10),-1,IF(AND(#REF!&gt;=table!$E$10,#REF!&lt;=table!$F$10),1,0))</f>
        <v>#REF!</v>
      </c>
      <c r="V2967" s="5" t="e">
        <f>IF(AND(#REF!&gt;=table!$C$11,#REF!&lt;= table!$D$11),-1,IF(AND(#REF!&gt;=table!$E$11,#REF!&lt;=table!$F$11),1,0))</f>
        <v>#REF!</v>
      </c>
      <c r="W2967" s="5" t="e">
        <f>CONCATENATE(dados[[#This Row],[fator1]],dados[[#This Row],[fator5]],dados[[#This Row],[fator6]])</f>
        <v>#REF!</v>
      </c>
    </row>
    <row r="2968" spans="1:23">
      <c r="A2968" t="s">
        <v>17</v>
      </c>
      <c r="B2968">
        <v>585621</v>
      </c>
      <c r="C2968">
        <v>18</v>
      </c>
      <c r="D2968">
        <v>30</v>
      </c>
      <c r="E2968">
        <v>136</v>
      </c>
      <c r="F2968">
        <v>3</v>
      </c>
      <c r="G2968">
        <v>20</v>
      </c>
      <c r="H2968">
        <v>25</v>
      </c>
      <c r="I2968">
        <v>1029</v>
      </c>
      <c r="J2968">
        <v>0</v>
      </c>
      <c r="K2968">
        <v>3.3250000000000002</v>
      </c>
      <c r="L2968">
        <v>12.450000000000001</v>
      </c>
      <c r="M2968">
        <v>120.65</v>
      </c>
      <c r="N2968">
        <v>23.3</v>
      </c>
      <c r="O2968">
        <v>1684</v>
      </c>
      <c r="P2968">
        <v>975</v>
      </c>
      <c r="Q2968" s="5" t="e">
        <f>IF(AND(#REF!&gt;=table!$C$6,#REF!&lt;= table!$D$6),-1,IF(AND(#REF!&gt;=table!$E$6,#REF!&lt;=table!$F$6),1,0))</f>
        <v>#REF!</v>
      </c>
      <c r="R2968" s="5" t="e">
        <f>IF(AND(#REF!&gt;=table!$C$7,#REF!&lt;= table!$D$7),-1,IF(AND(#REF!&gt;=table!$E$7,#REF!&lt;=table!$F$7),1,0))</f>
        <v>#REF!</v>
      </c>
      <c r="S2968" s="5" t="e">
        <f>IF(AND(#REF!&gt;=table!$C$8,#REF!&lt;= table!$D$8),-1,IF(AND(#REF!&gt;=table!$E$8,#REF!&lt;=table!$F$8),1,0))</f>
        <v>#REF!</v>
      </c>
      <c r="T2968" s="5"/>
      <c r="U2968" s="5" t="e">
        <f>IF(AND(#REF!&gt;=table!$C$10,#REF!&lt;= table!$D$10),-1,IF(AND(#REF!&gt;=table!$E$10,#REF!&lt;=table!$F$10),1,0))</f>
        <v>#REF!</v>
      </c>
      <c r="V2968" s="5" t="e">
        <f>IF(AND(#REF!&gt;=table!$C$11,#REF!&lt;= table!$D$11),-1,IF(AND(#REF!&gt;=table!$E$11,#REF!&lt;=table!$F$11),1,0))</f>
        <v>#REF!</v>
      </c>
      <c r="W2968" s="5" t="e">
        <f>CONCATENATE(dados[[#This Row],[fator1]],dados[[#This Row],[fator5]],dados[[#This Row],[fator6]])</f>
        <v>#REF!</v>
      </c>
    </row>
    <row r="2969" spans="1:23">
      <c r="A2969" t="s">
        <v>17</v>
      </c>
      <c r="B2969">
        <v>585623</v>
      </c>
      <c r="C2969">
        <v>18</v>
      </c>
      <c r="D2969">
        <v>30</v>
      </c>
      <c r="E2969">
        <v>140</v>
      </c>
      <c r="F2969">
        <v>3</v>
      </c>
      <c r="G2969">
        <v>20</v>
      </c>
      <c r="H2969">
        <v>25</v>
      </c>
      <c r="I2969">
        <v>5</v>
      </c>
      <c r="J2969">
        <v>0</v>
      </c>
      <c r="K2969">
        <v>13.42</v>
      </c>
      <c r="L2969">
        <v>14.85</v>
      </c>
      <c r="M2969">
        <v>106.9</v>
      </c>
      <c r="N2969">
        <v>19.100000000000001</v>
      </c>
      <c r="O2969">
        <v>1679</v>
      </c>
      <c r="P2969">
        <v>310</v>
      </c>
      <c r="Q2969" s="5" t="e">
        <f>IF(AND(#REF!&gt;=table!$C$6,#REF!&lt;= table!$D$6),-1,IF(AND(#REF!&gt;=table!$E$6,#REF!&lt;=table!$F$6),1,0))</f>
        <v>#REF!</v>
      </c>
      <c r="R2969" s="5" t="e">
        <f>IF(AND(#REF!&gt;=table!$C$7,#REF!&lt;= table!$D$7),-1,IF(AND(#REF!&gt;=table!$E$7,#REF!&lt;=table!$F$7),1,0))</f>
        <v>#REF!</v>
      </c>
      <c r="S2969" s="5" t="e">
        <f>IF(AND(#REF!&gt;=table!$C$8,#REF!&lt;= table!$D$8),-1,IF(AND(#REF!&gt;=table!$E$8,#REF!&lt;=table!$F$8),1,0))</f>
        <v>#REF!</v>
      </c>
      <c r="T2969" s="5"/>
      <c r="U2969" s="5" t="e">
        <f>IF(AND(#REF!&gt;=table!$C$10,#REF!&lt;= table!$D$10),-1,IF(AND(#REF!&gt;=table!$E$10,#REF!&lt;=table!$F$10),1,0))</f>
        <v>#REF!</v>
      </c>
      <c r="V2969" s="5" t="e">
        <f>IF(AND(#REF!&gt;=table!$C$11,#REF!&lt;= table!$D$11),-1,IF(AND(#REF!&gt;=table!$E$11,#REF!&lt;=table!$F$11),1,0))</f>
        <v>#REF!</v>
      </c>
      <c r="W2969" s="5" t="e">
        <f>CONCATENATE(dados[[#This Row],[fator1]],dados[[#This Row],[fator5]],dados[[#This Row],[fator6]])</f>
        <v>#REF!</v>
      </c>
    </row>
    <row r="2970" spans="1:23">
      <c r="A2970" t="s">
        <v>16</v>
      </c>
      <c r="B2970">
        <v>585626</v>
      </c>
      <c r="C2970">
        <v>0.15</v>
      </c>
      <c r="D2970">
        <v>40</v>
      </c>
      <c r="E2970">
        <v>64</v>
      </c>
      <c r="F2970">
        <v>10</v>
      </c>
      <c r="G2970">
        <v>0</v>
      </c>
      <c r="H2970">
        <v>35</v>
      </c>
      <c r="I2970">
        <v>363</v>
      </c>
      <c r="J2970">
        <v>0</v>
      </c>
      <c r="K2970">
        <v>3.13</v>
      </c>
      <c r="L2970">
        <v>10.65</v>
      </c>
      <c r="M2970">
        <v>9.3000000000000007</v>
      </c>
      <c r="N2970">
        <v>9.9500000000000011</v>
      </c>
      <c r="O2970">
        <v>1678</v>
      </c>
      <c r="P2970">
        <v>0</v>
      </c>
      <c r="Q2970" s="5" t="e">
        <f>IF(AND(#REF!&gt;=table!$C$6,#REF!&lt;= table!$D$6),-1,IF(AND(#REF!&gt;=table!$E$6,#REF!&lt;=table!$F$6),1,0))</f>
        <v>#REF!</v>
      </c>
      <c r="R2970" s="5" t="e">
        <f>IF(AND(#REF!&gt;=table!$C$7,#REF!&lt;= table!$D$7),-1,IF(AND(#REF!&gt;=table!$E$7,#REF!&lt;=table!$F$7),1,0))</f>
        <v>#REF!</v>
      </c>
      <c r="S2970" s="5" t="e">
        <f>IF(AND(#REF!&gt;=table!$C$8,#REF!&lt;= table!$D$8),-1,IF(AND(#REF!&gt;=table!$E$8,#REF!&lt;=table!$F$8),1,0))</f>
        <v>#REF!</v>
      </c>
      <c r="T2970" s="5"/>
      <c r="U2970" s="5" t="e">
        <f>IF(AND(#REF!&gt;=table!$C$10,#REF!&lt;= table!$D$10),-1,IF(AND(#REF!&gt;=table!$E$10,#REF!&lt;=table!$F$10),1,0))</f>
        <v>#REF!</v>
      </c>
      <c r="V2970" s="5" t="e">
        <f>IF(AND(#REF!&gt;=table!$C$11,#REF!&lt;= table!$D$11),-1,IF(AND(#REF!&gt;=table!$E$11,#REF!&lt;=table!$F$11),1,0))</f>
        <v>#REF!</v>
      </c>
      <c r="W2970" s="5" t="e">
        <f>CONCATENATE(dados[[#This Row],[fator1]],dados[[#This Row],[fator5]],dados[[#This Row],[fator6]])</f>
        <v>#REF!</v>
      </c>
    </row>
    <row r="2971" spans="1:23">
      <c r="A2971" t="s">
        <v>16</v>
      </c>
      <c r="B2971">
        <v>585628</v>
      </c>
      <c r="C2971">
        <v>0.15</v>
      </c>
      <c r="D2971">
        <v>40</v>
      </c>
      <c r="E2971">
        <v>64</v>
      </c>
      <c r="F2971">
        <v>10</v>
      </c>
      <c r="G2971">
        <v>0</v>
      </c>
      <c r="H2971">
        <v>35</v>
      </c>
      <c r="I2971">
        <v>473</v>
      </c>
      <c r="J2971">
        <v>0</v>
      </c>
      <c r="K2971">
        <v>5.2700000000000005</v>
      </c>
      <c r="L2971">
        <v>8.125</v>
      </c>
      <c r="M2971">
        <v>6.8250000000000002</v>
      </c>
      <c r="N2971">
        <v>8.64</v>
      </c>
      <c r="O2971">
        <v>1689</v>
      </c>
      <c r="P2971">
        <v>750</v>
      </c>
      <c r="Q2971" s="5" t="e">
        <f>IF(AND(#REF!&gt;=table!$C$6,#REF!&lt;= table!$D$6),-1,IF(AND(#REF!&gt;=table!$E$6,#REF!&lt;=table!$F$6),1,0))</f>
        <v>#REF!</v>
      </c>
      <c r="R2971" s="5" t="e">
        <f>IF(AND(#REF!&gt;=table!$C$7,#REF!&lt;= table!$D$7),-1,IF(AND(#REF!&gt;=table!$E$7,#REF!&lt;=table!$F$7),1,0))</f>
        <v>#REF!</v>
      </c>
      <c r="S2971" s="5" t="e">
        <f>IF(AND(#REF!&gt;=table!$C$8,#REF!&lt;= table!$D$8),-1,IF(AND(#REF!&gt;=table!$E$8,#REF!&lt;=table!$F$8),1,0))</f>
        <v>#REF!</v>
      </c>
      <c r="T2971" s="5"/>
      <c r="U2971" s="5" t="e">
        <f>IF(AND(#REF!&gt;=table!$C$10,#REF!&lt;= table!$D$10),-1,IF(AND(#REF!&gt;=table!$E$10,#REF!&lt;=table!$F$10),1,0))</f>
        <v>#REF!</v>
      </c>
      <c r="V2971" s="5" t="e">
        <f>IF(AND(#REF!&gt;=table!$C$11,#REF!&lt;= table!$D$11),-1,IF(AND(#REF!&gt;=table!$E$11,#REF!&lt;=table!$F$11),1,0))</f>
        <v>#REF!</v>
      </c>
      <c r="W2971" s="5" t="e">
        <f>CONCATENATE(dados[[#This Row],[fator1]],dados[[#This Row],[fator5]],dados[[#This Row],[fator6]])</f>
        <v>#REF!</v>
      </c>
    </row>
    <row r="2972" spans="1:23">
      <c r="A2972" t="s">
        <v>16</v>
      </c>
      <c r="B2972">
        <v>585639</v>
      </c>
      <c r="C2972">
        <v>0.15</v>
      </c>
      <c r="D2972">
        <v>40</v>
      </c>
      <c r="E2972">
        <v>10</v>
      </c>
      <c r="F2972">
        <v>15</v>
      </c>
      <c r="G2972">
        <v>0</v>
      </c>
      <c r="H2972">
        <v>15</v>
      </c>
      <c r="I2972">
        <v>683</v>
      </c>
      <c r="J2972">
        <v>810</v>
      </c>
      <c r="K2972">
        <v>3.73</v>
      </c>
      <c r="L2972">
        <v>5.3500000000000005</v>
      </c>
      <c r="M2972">
        <v>4.8</v>
      </c>
      <c r="N2972">
        <v>4.45</v>
      </c>
      <c r="O2972">
        <v>1601</v>
      </c>
      <c r="P2972">
        <v>660</v>
      </c>
      <c r="Q2972" s="5" t="e">
        <f>IF(AND(#REF!&gt;=table!$C$6,#REF!&lt;= table!$D$6),-1,IF(AND(#REF!&gt;=table!$E$6,#REF!&lt;=table!$F$6),1,0))</f>
        <v>#REF!</v>
      </c>
      <c r="R2972" s="5" t="e">
        <f>IF(AND(#REF!&gt;=table!$C$7,#REF!&lt;= table!$D$7),-1,IF(AND(#REF!&gt;=table!$E$7,#REF!&lt;=table!$F$7),1,0))</f>
        <v>#REF!</v>
      </c>
      <c r="S2972" s="5" t="e">
        <f>IF(AND(#REF!&gt;=table!$C$8,#REF!&lt;= table!$D$8),-1,IF(AND(#REF!&gt;=table!$E$8,#REF!&lt;=table!$F$8),1,0))</f>
        <v>#REF!</v>
      </c>
      <c r="T2972" s="5"/>
      <c r="U2972" s="5" t="e">
        <f>IF(AND(#REF!&gt;=table!$C$10,#REF!&lt;= table!$D$10),-1,IF(AND(#REF!&gt;=table!$E$10,#REF!&lt;=table!$F$10),1,0))</f>
        <v>#REF!</v>
      </c>
      <c r="V2972" s="5" t="e">
        <f>IF(AND(#REF!&gt;=table!$C$11,#REF!&lt;= table!$D$11),-1,IF(AND(#REF!&gt;=table!$E$11,#REF!&lt;=table!$F$11),1,0))</f>
        <v>#REF!</v>
      </c>
      <c r="W2972" s="5" t="e">
        <f>CONCATENATE(dados[[#This Row],[fator1]],dados[[#This Row],[fator5]],dados[[#This Row],[fator6]])</f>
        <v>#REF!</v>
      </c>
    </row>
    <row r="2973" spans="1:23">
      <c r="A2973" t="s">
        <v>16</v>
      </c>
      <c r="B2973">
        <v>585644</v>
      </c>
      <c r="C2973">
        <v>0.15</v>
      </c>
      <c r="D2973">
        <v>35</v>
      </c>
      <c r="E2973">
        <v>15</v>
      </c>
      <c r="F2973">
        <v>10</v>
      </c>
      <c r="G2973">
        <v>0</v>
      </c>
      <c r="H2973">
        <v>12</v>
      </c>
      <c r="I2973">
        <v>530</v>
      </c>
      <c r="J2973">
        <v>0</v>
      </c>
      <c r="K2973">
        <v>5.0449999999999999</v>
      </c>
      <c r="L2973">
        <v>8.85</v>
      </c>
      <c r="M2973">
        <v>8.1999999999999993</v>
      </c>
      <c r="N2973">
        <v>16.2</v>
      </c>
      <c r="O2973">
        <v>1692</v>
      </c>
      <c r="P2973">
        <v>0</v>
      </c>
      <c r="Q2973" s="5" t="e">
        <f>IF(AND(#REF!&gt;=table!$C$6,#REF!&lt;= table!$D$6),-1,IF(AND(#REF!&gt;=table!$E$6,#REF!&lt;=table!$F$6),1,0))</f>
        <v>#REF!</v>
      </c>
      <c r="R2973" s="5" t="e">
        <f>IF(AND(#REF!&gt;=table!$C$7,#REF!&lt;= table!$D$7),-1,IF(AND(#REF!&gt;=table!$E$7,#REF!&lt;=table!$F$7),1,0))</f>
        <v>#REF!</v>
      </c>
      <c r="S2973" s="5" t="e">
        <f>IF(AND(#REF!&gt;=table!$C$8,#REF!&lt;= table!$D$8),-1,IF(AND(#REF!&gt;=table!$E$8,#REF!&lt;=table!$F$8),1,0))</f>
        <v>#REF!</v>
      </c>
      <c r="T2973" s="5"/>
      <c r="U2973" s="5" t="e">
        <f>IF(AND(#REF!&gt;=table!$C$10,#REF!&lt;= table!$D$10),-1,IF(AND(#REF!&gt;=table!$E$10,#REF!&lt;=table!$F$10),1,0))</f>
        <v>#REF!</v>
      </c>
      <c r="V2973" s="5" t="e">
        <f>IF(AND(#REF!&gt;=table!$C$11,#REF!&lt;= table!$D$11),-1,IF(AND(#REF!&gt;=table!$E$11,#REF!&lt;=table!$F$11),1,0))</f>
        <v>#REF!</v>
      </c>
      <c r="W2973" s="5" t="e">
        <f>CONCATENATE(dados[[#This Row],[fator1]],dados[[#This Row],[fator5]],dados[[#This Row],[fator6]])</f>
        <v>#REF!</v>
      </c>
    </row>
    <row r="2974" spans="1:23">
      <c r="A2974" t="s">
        <v>17</v>
      </c>
      <c r="B2974">
        <v>585664</v>
      </c>
      <c r="C2974">
        <v>4</v>
      </c>
      <c r="D2974">
        <v>25</v>
      </c>
      <c r="E2974">
        <v>86</v>
      </c>
      <c r="F2974">
        <v>9</v>
      </c>
      <c r="G2974">
        <v>110</v>
      </c>
      <c r="H2974">
        <v>50</v>
      </c>
      <c r="I2974">
        <v>0</v>
      </c>
      <c r="J2974">
        <v>0</v>
      </c>
      <c r="K2974">
        <v>3.2250000000000001</v>
      </c>
      <c r="L2974">
        <v>10.35</v>
      </c>
      <c r="M2974">
        <v>87.100000000000009</v>
      </c>
      <c r="N2974">
        <v>22.2</v>
      </c>
      <c r="O2974">
        <v>1644</v>
      </c>
      <c r="P2974">
        <v>0</v>
      </c>
      <c r="Q2974" s="5" t="e">
        <f>IF(AND(#REF!&gt;=table!$C$6,#REF!&lt;= table!$D$6),-1,IF(AND(#REF!&gt;=table!$E$6,#REF!&lt;=table!$F$6),1,0))</f>
        <v>#REF!</v>
      </c>
      <c r="R2974" s="5" t="e">
        <f>IF(AND(#REF!&gt;=table!$C$7,#REF!&lt;= table!$D$7),-1,IF(AND(#REF!&gt;=table!$E$7,#REF!&lt;=table!$F$7),1,0))</f>
        <v>#REF!</v>
      </c>
      <c r="S2974" s="5" t="e">
        <f>IF(AND(#REF!&gt;=table!$C$8,#REF!&lt;= table!$D$8),-1,IF(AND(#REF!&gt;=table!$E$8,#REF!&lt;=table!$F$8),1,0))</f>
        <v>#REF!</v>
      </c>
      <c r="T2974" s="5"/>
      <c r="U2974" s="5" t="e">
        <f>IF(AND(#REF!&gt;=table!$C$10,#REF!&lt;= table!$D$10),-1,IF(AND(#REF!&gt;=table!$E$10,#REF!&lt;=table!$F$10),1,0))</f>
        <v>#REF!</v>
      </c>
      <c r="V2974" s="5" t="e">
        <f>IF(AND(#REF!&gt;=table!$C$11,#REF!&lt;= table!$D$11),-1,IF(AND(#REF!&gt;=table!$E$11,#REF!&lt;=table!$F$11),1,0))</f>
        <v>#REF!</v>
      </c>
      <c r="W2974" s="5" t="e">
        <f>CONCATENATE(dados[[#This Row],[fator1]],dados[[#This Row],[fator5]],dados[[#This Row],[fator6]])</f>
        <v>#REF!</v>
      </c>
    </row>
    <row r="2975" spans="1:23">
      <c r="A2975" t="s">
        <v>17</v>
      </c>
      <c r="B2975">
        <v>585665</v>
      </c>
      <c r="C2975">
        <v>12</v>
      </c>
      <c r="D2975">
        <v>25</v>
      </c>
      <c r="E2975">
        <v>120</v>
      </c>
      <c r="F2975">
        <v>9</v>
      </c>
      <c r="G2975">
        <v>110</v>
      </c>
      <c r="H2975">
        <v>50</v>
      </c>
      <c r="I2975">
        <v>718</v>
      </c>
      <c r="J2975">
        <v>720</v>
      </c>
      <c r="K2975">
        <v>4.3899999999999997</v>
      </c>
      <c r="L2975">
        <v>7.28</v>
      </c>
      <c r="M2975">
        <v>128.1</v>
      </c>
      <c r="N2975">
        <v>43.800000000000004</v>
      </c>
      <c r="O2975">
        <v>1631</v>
      </c>
      <c r="P2975">
        <v>920</v>
      </c>
      <c r="Q2975" s="5" t="e">
        <f>IF(AND(#REF!&gt;=table!$C$6,#REF!&lt;= table!$D$6),-1,IF(AND(#REF!&gt;=table!$E$6,#REF!&lt;=table!$F$6),1,0))</f>
        <v>#REF!</v>
      </c>
      <c r="R2975" s="5" t="e">
        <f>IF(AND(#REF!&gt;=table!$C$7,#REF!&lt;= table!$D$7),-1,IF(AND(#REF!&gt;=table!$E$7,#REF!&lt;=table!$F$7),1,0))</f>
        <v>#REF!</v>
      </c>
      <c r="S2975" s="5" t="e">
        <f>IF(AND(#REF!&gt;=table!$C$8,#REF!&lt;= table!$D$8),-1,IF(AND(#REF!&gt;=table!$E$8,#REF!&lt;=table!$F$8),1,0))</f>
        <v>#REF!</v>
      </c>
      <c r="T2975" s="5"/>
      <c r="U2975" s="5" t="e">
        <f>IF(AND(#REF!&gt;=table!$C$10,#REF!&lt;= table!$D$10),-1,IF(AND(#REF!&gt;=table!$E$10,#REF!&lt;=table!$F$10),1,0))</f>
        <v>#REF!</v>
      </c>
      <c r="V2975" s="5" t="e">
        <f>IF(AND(#REF!&gt;=table!$C$11,#REF!&lt;= table!$D$11),-1,IF(AND(#REF!&gt;=table!$E$11,#REF!&lt;=table!$F$11),1,0))</f>
        <v>#REF!</v>
      </c>
      <c r="W2975" s="5" t="e">
        <f>CONCATENATE(dados[[#This Row],[fator1]],dados[[#This Row],[fator5]],dados[[#This Row],[fator6]])</f>
        <v>#REF!</v>
      </c>
    </row>
    <row r="2976" spans="1:23">
      <c r="A2976" t="s">
        <v>17</v>
      </c>
      <c r="B2976">
        <v>585666</v>
      </c>
      <c r="C2976">
        <v>12</v>
      </c>
      <c r="D2976">
        <v>25</v>
      </c>
      <c r="E2976">
        <v>120</v>
      </c>
      <c r="F2976">
        <v>9</v>
      </c>
      <c r="G2976">
        <v>110</v>
      </c>
      <c r="H2976">
        <v>50</v>
      </c>
      <c r="I2976">
        <v>471</v>
      </c>
      <c r="J2976">
        <v>0</v>
      </c>
      <c r="K2976">
        <v>4.1399999999999997</v>
      </c>
      <c r="L2976">
        <v>6.1350000000000007</v>
      </c>
      <c r="M2976">
        <v>96.365000000000009</v>
      </c>
      <c r="N2976">
        <v>35.660000000000004</v>
      </c>
      <c r="O2976">
        <v>1669</v>
      </c>
      <c r="P2976">
        <v>1122</v>
      </c>
      <c r="Q2976" s="5" t="e">
        <f>IF(AND(#REF!&gt;=table!$C$6,#REF!&lt;= table!$D$6),-1,IF(AND(#REF!&gt;=table!$E$6,#REF!&lt;=table!$F$6),1,0))</f>
        <v>#REF!</v>
      </c>
      <c r="R2976" s="5" t="e">
        <f>IF(AND(#REF!&gt;=table!$C$7,#REF!&lt;= table!$D$7),-1,IF(AND(#REF!&gt;=table!$E$7,#REF!&lt;=table!$F$7),1,0))</f>
        <v>#REF!</v>
      </c>
      <c r="S2976" s="5" t="e">
        <f>IF(AND(#REF!&gt;=table!$C$8,#REF!&lt;= table!$D$8),-1,IF(AND(#REF!&gt;=table!$E$8,#REF!&lt;=table!$F$8),1,0))</f>
        <v>#REF!</v>
      </c>
      <c r="T2976" s="5"/>
      <c r="U2976" s="5" t="e">
        <f>IF(AND(#REF!&gt;=table!$C$10,#REF!&lt;= table!$D$10),-1,IF(AND(#REF!&gt;=table!$E$10,#REF!&lt;=table!$F$10),1,0))</f>
        <v>#REF!</v>
      </c>
      <c r="V2976" s="5" t="e">
        <f>IF(AND(#REF!&gt;=table!$C$11,#REF!&lt;= table!$D$11),-1,IF(AND(#REF!&gt;=table!$E$11,#REF!&lt;=table!$F$11),1,0))</f>
        <v>#REF!</v>
      </c>
      <c r="W2976" s="5" t="e">
        <f>CONCATENATE(dados[[#This Row],[fator1]],dados[[#This Row],[fator5]],dados[[#This Row],[fator6]])</f>
        <v>#REF!</v>
      </c>
    </row>
    <row r="2977" spans="1:23">
      <c r="A2977" t="s">
        <v>17</v>
      </c>
      <c r="B2977">
        <v>585675</v>
      </c>
      <c r="C2977">
        <v>16</v>
      </c>
      <c r="D2977">
        <v>35</v>
      </c>
      <c r="E2977">
        <v>120</v>
      </c>
      <c r="F2977">
        <v>4</v>
      </c>
      <c r="G2977">
        <v>30</v>
      </c>
      <c r="H2977">
        <v>20</v>
      </c>
      <c r="I2977">
        <v>3272</v>
      </c>
      <c r="J2977">
        <v>0</v>
      </c>
      <c r="K2977">
        <v>9.19</v>
      </c>
      <c r="L2977">
        <v>7.8500000000000005</v>
      </c>
      <c r="M2977">
        <v>84.8</v>
      </c>
      <c r="N2977">
        <v>9.2249999999999996</v>
      </c>
      <c r="O2977">
        <v>1668</v>
      </c>
      <c r="P2977">
        <v>0</v>
      </c>
      <c r="Q2977" s="5" t="e">
        <f>IF(AND(#REF!&gt;=table!$C$6,#REF!&lt;= table!$D$6),-1,IF(AND(#REF!&gt;=table!$E$6,#REF!&lt;=table!$F$6),1,0))</f>
        <v>#REF!</v>
      </c>
      <c r="R2977" s="5" t="e">
        <f>IF(AND(#REF!&gt;=table!$C$7,#REF!&lt;= table!$D$7),-1,IF(AND(#REF!&gt;=table!$E$7,#REF!&lt;=table!$F$7),1,0))</f>
        <v>#REF!</v>
      </c>
      <c r="S2977" s="5" t="e">
        <f>IF(AND(#REF!&gt;=table!$C$8,#REF!&lt;= table!$D$8),-1,IF(AND(#REF!&gt;=table!$E$8,#REF!&lt;=table!$F$8),1,0))</f>
        <v>#REF!</v>
      </c>
      <c r="T2977" s="5"/>
      <c r="U2977" s="5" t="e">
        <f>IF(AND(#REF!&gt;=table!$C$10,#REF!&lt;= table!$D$10),-1,IF(AND(#REF!&gt;=table!$E$10,#REF!&lt;=table!$F$10),1,0))</f>
        <v>#REF!</v>
      </c>
      <c r="V2977" s="5" t="e">
        <f>IF(AND(#REF!&gt;=table!$C$11,#REF!&lt;= table!$D$11),-1,IF(AND(#REF!&gt;=table!$E$11,#REF!&lt;=table!$F$11),1,0))</f>
        <v>#REF!</v>
      </c>
      <c r="W2977" s="5" t="e">
        <f>CONCATENATE(dados[[#This Row],[fator1]],dados[[#This Row],[fator5]],dados[[#This Row],[fator6]])</f>
        <v>#REF!</v>
      </c>
    </row>
    <row r="2978" spans="1:23">
      <c r="A2978" t="s">
        <v>17</v>
      </c>
      <c r="B2978">
        <v>585677</v>
      </c>
      <c r="C2978">
        <v>11</v>
      </c>
      <c r="D2978">
        <v>30</v>
      </c>
      <c r="E2978">
        <v>125</v>
      </c>
      <c r="F2978">
        <v>4</v>
      </c>
      <c r="G2978">
        <v>25</v>
      </c>
      <c r="H2978">
        <v>21</v>
      </c>
      <c r="I2978">
        <v>785</v>
      </c>
      <c r="J2978">
        <v>0</v>
      </c>
      <c r="K2978">
        <v>6.95</v>
      </c>
      <c r="L2978">
        <v>16.850000000000001</v>
      </c>
      <c r="M2978">
        <v>111.85000000000001</v>
      </c>
      <c r="N2978">
        <v>16.100000000000001</v>
      </c>
      <c r="O2978">
        <v>1670</v>
      </c>
      <c r="P2978">
        <v>0</v>
      </c>
      <c r="Q2978" s="5" t="e">
        <f>IF(AND(#REF!&gt;=table!$C$6,#REF!&lt;= table!$D$6),-1,IF(AND(#REF!&gt;=table!$E$6,#REF!&lt;=table!$F$6),1,0))</f>
        <v>#REF!</v>
      </c>
      <c r="R2978" s="5" t="e">
        <f>IF(AND(#REF!&gt;=table!$C$7,#REF!&lt;= table!$D$7),-1,IF(AND(#REF!&gt;=table!$E$7,#REF!&lt;=table!$F$7),1,0))</f>
        <v>#REF!</v>
      </c>
      <c r="S2978" s="5" t="e">
        <f>IF(AND(#REF!&gt;=table!$C$8,#REF!&lt;= table!$D$8),-1,IF(AND(#REF!&gt;=table!$E$8,#REF!&lt;=table!$F$8),1,0))</f>
        <v>#REF!</v>
      </c>
      <c r="T2978" s="5"/>
      <c r="U2978" s="5" t="e">
        <f>IF(AND(#REF!&gt;=table!$C$10,#REF!&lt;= table!$D$10),-1,IF(AND(#REF!&gt;=table!$E$10,#REF!&lt;=table!$F$10),1,0))</f>
        <v>#REF!</v>
      </c>
      <c r="V2978" s="5" t="e">
        <f>IF(AND(#REF!&gt;=table!$C$11,#REF!&lt;= table!$D$11),-1,IF(AND(#REF!&gt;=table!$E$11,#REF!&lt;=table!$F$11),1,0))</f>
        <v>#REF!</v>
      </c>
      <c r="W2978" s="5" t="e">
        <f>CONCATENATE(dados[[#This Row],[fator1]],dados[[#This Row],[fator5]],dados[[#This Row],[fator6]])</f>
        <v>#REF!</v>
      </c>
    </row>
    <row r="2979" spans="1:23">
      <c r="A2979" t="s">
        <v>16</v>
      </c>
      <c r="B2979">
        <v>585680</v>
      </c>
      <c r="C2979">
        <v>7</v>
      </c>
      <c r="D2979">
        <v>33</v>
      </c>
      <c r="E2979">
        <v>150</v>
      </c>
      <c r="F2979">
        <v>4</v>
      </c>
      <c r="G2979">
        <v>0</v>
      </c>
      <c r="H2979">
        <v>25</v>
      </c>
      <c r="I2979">
        <v>362</v>
      </c>
      <c r="J2979">
        <v>390</v>
      </c>
      <c r="K2979">
        <v>7.8050000000000006</v>
      </c>
      <c r="L2979">
        <v>14.05</v>
      </c>
      <c r="M2979">
        <v>104.9</v>
      </c>
      <c r="N2979">
        <v>16.899999999999999</v>
      </c>
      <c r="O2979">
        <v>1679</v>
      </c>
      <c r="P2979">
        <v>0</v>
      </c>
      <c r="Q2979" s="5" t="e">
        <f>IF(AND(#REF!&gt;=table!$C$6,#REF!&lt;= table!$D$6),-1,IF(AND(#REF!&gt;=table!$E$6,#REF!&lt;=table!$F$6),1,0))</f>
        <v>#REF!</v>
      </c>
      <c r="R2979" s="5" t="e">
        <f>IF(AND(#REF!&gt;=table!$C$7,#REF!&lt;= table!$D$7),-1,IF(AND(#REF!&gt;=table!$E$7,#REF!&lt;=table!$F$7),1,0))</f>
        <v>#REF!</v>
      </c>
      <c r="S2979" s="5" t="e">
        <f>IF(AND(#REF!&gt;=table!$C$8,#REF!&lt;= table!$D$8),-1,IF(AND(#REF!&gt;=table!$E$8,#REF!&lt;=table!$F$8),1,0))</f>
        <v>#REF!</v>
      </c>
      <c r="T2979" s="5"/>
      <c r="U2979" s="5" t="e">
        <f>IF(AND(#REF!&gt;=table!$C$10,#REF!&lt;= table!$D$10),-1,IF(AND(#REF!&gt;=table!$E$10,#REF!&lt;=table!$F$10),1,0))</f>
        <v>#REF!</v>
      </c>
      <c r="V2979" s="5" t="e">
        <f>IF(AND(#REF!&gt;=table!$C$11,#REF!&lt;= table!$D$11),-1,IF(AND(#REF!&gt;=table!$E$11,#REF!&lt;=table!$F$11),1,0))</f>
        <v>#REF!</v>
      </c>
      <c r="W2979" s="5" t="e">
        <f>CONCATENATE(dados[[#This Row],[fator1]],dados[[#This Row],[fator5]],dados[[#This Row],[fator6]])</f>
        <v>#REF!</v>
      </c>
    </row>
    <row r="2980" spans="1:23">
      <c r="A2980" t="s">
        <v>16</v>
      </c>
      <c r="B2980">
        <v>585681</v>
      </c>
      <c r="C2980">
        <v>11</v>
      </c>
      <c r="D2980">
        <v>40</v>
      </c>
      <c r="E2980">
        <v>151</v>
      </c>
      <c r="F2980">
        <v>8</v>
      </c>
      <c r="G2980">
        <v>0</v>
      </c>
      <c r="H2980">
        <v>25</v>
      </c>
      <c r="I2980">
        <v>480</v>
      </c>
      <c r="J2980">
        <v>0</v>
      </c>
      <c r="K2980">
        <v>4.6100000000000003</v>
      </c>
      <c r="L2980">
        <v>11.59</v>
      </c>
      <c r="M2980">
        <v>107.8</v>
      </c>
      <c r="N2980">
        <v>16.350000000000001</v>
      </c>
      <c r="O2980">
        <v>1692</v>
      </c>
      <c r="P2980">
        <v>0</v>
      </c>
      <c r="Q2980" s="5" t="e">
        <f>IF(AND(#REF!&gt;=table!$C$6,#REF!&lt;= table!$D$6),-1,IF(AND(#REF!&gt;=table!$E$6,#REF!&lt;=table!$F$6),1,0))</f>
        <v>#REF!</v>
      </c>
      <c r="R2980" s="5" t="e">
        <f>IF(AND(#REF!&gt;=table!$C$7,#REF!&lt;= table!$D$7),-1,IF(AND(#REF!&gt;=table!$E$7,#REF!&lt;=table!$F$7),1,0))</f>
        <v>#REF!</v>
      </c>
      <c r="S2980" s="5" t="e">
        <f>IF(AND(#REF!&gt;=table!$C$8,#REF!&lt;= table!$D$8),-1,IF(AND(#REF!&gt;=table!$E$8,#REF!&lt;=table!$F$8),1,0))</f>
        <v>#REF!</v>
      </c>
      <c r="T2980" s="5"/>
      <c r="U2980" s="5" t="e">
        <f>IF(AND(#REF!&gt;=table!$C$10,#REF!&lt;= table!$D$10),-1,IF(AND(#REF!&gt;=table!$E$10,#REF!&lt;=table!$F$10),1,0))</f>
        <v>#REF!</v>
      </c>
      <c r="V2980" s="5" t="e">
        <f>IF(AND(#REF!&gt;=table!$C$11,#REF!&lt;= table!$D$11),-1,IF(AND(#REF!&gt;=table!$E$11,#REF!&lt;=table!$F$11),1,0))</f>
        <v>#REF!</v>
      </c>
      <c r="W2980" s="5" t="e">
        <f>CONCATENATE(dados[[#This Row],[fator1]],dados[[#This Row],[fator5]],dados[[#This Row],[fator6]])</f>
        <v>#REF!</v>
      </c>
    </row>
    <row r="2981" spans="1:23">
      <c r="A2981" t="s">
        <v>16</v>
      </c>
      <c r="B2981">
        <v>585683</v>
      </c>
      <c r="C2981">
        <v>11</v>
      </c>
      <c r="D2981">
        <v>40</v>
      </c>
      <c r="E2981">
        <v>151</v>
      </c>
      <c r="F2981">
        <v>8</v>
      </c>
      <c r="G2981">
        <v>0</v>
      </c>
      <c r="H2981">
        <v>25</v>
      </c>
      <c r="I2981">
        <v>987</v>
      </c>
      <c r="J2981">
        <v>0</v>
      </c>
      <c r="K2981">
        <v>10.6</v>
      </c>
      <c r="L2981">
        <v>17.600000000000001</v>
      </c>
      <c r="M2981">
        <v>124.45</v>
      </c>
      <c r="N2981">
        <v>14.700000000000001</v>
      </c>
      <c r="O2981">
        <v>1682</v>
      </c>
      <c r="P2981">
        <v>443</v>
      </c>
      <c r="Q2981" s="5" t="e">
        <f>IF(AND(#REF!&gt;=table!$C$6,#REF!&lt;= table!$D$6),-1,IF(AND(#REF!&gt;=table!$E$6,#REF!&lt;=table!$F$6),1,0))</f>
        <v>#REF!</v>
      </c>
      <c r="R2981" s="5" t="e">
        <f>IF(AND(#REF!&gt;=table!$C$7,#REF!&lt;= table!$D$7),-1,IF(AND(#REF!&gt;=table!$E$7,#REF!&lt;=table!$F$7),1,0))</f>
        <v>#REF!</v>
      </c>
      <c r="S2981" s="5" t="e">
        <f>IF(AND(#REF!&gt;=table!$C$8,#REF!&lt;= table!$D$8),-1,IF(AND(#REF!&gt;=table!$E$8,#REF!&lt;=table!$F$8),1,0))</f>
        <v>#REF!</v>
      </c>
      <c r="T2981" s="5"/>
      <c r="U2981" s="5" t="e">
        <f>IF(AND(#REF!&gt;=table!$C$10,#REF!&lt;= table!$D$10),-1,IF(AND(#REF!&gt;=table!$E$10,#REF!&lt;=table!$F$10),1,0))</f>
        <v>#REF!</v>
      </c>
      <c r="V2981" s="5" t="e">
        <f>IF(AND(#REF!&gt;=table!$C$11,#REF!&lt;= table!$D$11),-1,IF(AND(#REF!&gt;=table!$E$11,#REF!&lt;=table!$F$11),1,0))</f>
        <v>#REF!</v>
      </c>
      <c r="W2981" s="5" t="e">
        <f>CONCATENATE(dados[[#This Row],[fator1]],dados[[#This Row],[fator5]],dados[[#This Row],[fator6]])</f>
        <v>#REF!</v>
      </c>
    </row>
    <row r="2982" spans="1:23">
      <c r="A2982" t="s">
        <v>16</v>
      </c>
      <c r="B2982">
        <v>585685</v>
      </c>
      <c r="C2982">
        <v>11</v>
      </c>
      <c r="D2982">
        <v>40</v>
      </c>
      <c r="E2982">
        <v>151</v>
      </c>
      <c r="F2982">
        <v>8</v>
      </c>
      <c r="G2982">
        <v>0</v>
      </c>
      <c r="H2982">
        <v>25</v>
      </c>
      <c r="I2982">
        <v>570</v>
      </c>
      <c r="J2982">
        <v>0</v>
      </c>
      <c r="K2982">
        <v>10.985000000000001</v>
      </c>
      <c r="L2982">
        <v>21.2</v>
      </c>
      <c r="M2982">
        <v>106.4</v>
      </c>
      <c r="N2982">
        <v>18.45</v>
      </c>
      <c r="O2982">
        <v>1674</v>
      </c>
      <c r="P2982">
        <v>0</v>
      </c>
      <c r="Q2982" s="5" t="e">
        <f>IF(AND(#REF!&gt;=table!$C$6,#REF!&lt;= table!$D$6),-1,IF(AND(#REF!&gt;=table!$E$6,#REF!&lt;=table!$F$6),1,0))</f>
        <v>#REF!</v>
      </c>
      <c r="R2982" s="5" t="e">
        <f>IF(AND(#REF!&gt;=table!$C$7,#REF!&lt;= table!$D$7),-1,IF(AND(#REF!&gt;=table!$E$7,#REF!&lt;=table!$F$7),1,0))</f>
        <v>#REF!</v>
      </c>
      <c r="S2982" s="5" t="e">
        <f>IF(AND(#REF!&gt;=table!$C$8,#REF!&lt;= table!$D$8),-1,IF(AND(#REF!&gt;=table!$E$8,#REF!&lt;=table!$F$8),1,0))</f>
        <v>#REF!</v>
      </c>
      <c r="T2982" s="5"/>
      <c r="U2982" s="5" t="e">
        <f>IF(AND(#REF!&gt;=table!$C$10,#REF!&lt;= table!$D$10),-1,IF(AND(#REF!&gt;=table!$E$10,#REF!&lt;=table!$F$10),1,0))</f>
        <v>#REF!</v>
      </c>
      <c r="V2982" s="5" t="e">
        <f>IF(AND(#REF!&gt;=table!$C$11,#REF!&lt;= table!$D$11),-1,IF(AND(#REF!&gt;=table!$E$11,#REF!&lt;=table!$F$11),1,0))</f>
        <v>#REF!</v>
      </c>
      <c r="W2982" s="5" t="e">
        <f>CONCATENATE(dados[[#This Row],[fator1]],dados[[#This Row],[fator5]],dados[[#This Row],[fator6]])</f>
        <v>#REF!</v>
      </c>
    </row>
    <row r="2983" spans="1:23">
      <c r="A2983" t="s">
        <v>17</v>
      </c>
      <c r="B2983">
        <v>585692</v>
      </c>
      <c r="C2983">
        <v>16</v>
      </c>
      <c r="D2983">
        <v>23</v>
      </c>
      <c r="E2983">
        <v>145</v>
      </c>
      <c r="F2983">
        <v>9</v>
      </c>
      <c r="G2983">
        <v>30</v>
      </c>
      <c r="H2983">
        <v>25</v>
      </c>
      <c r="I2983">
        <v>867</v>
      </c>
      <c r="J2983">
        <v>0</v>
      </c>
      <c r="K2983">
        <v>10.83</v>
      </c>
      <c r="L2983">
        <v>12.57</v>
      </c>
      <c r="M2983">
        <v>108.91</v>
      </c>
      <c r="N2983">
        <v>13.31</v>
      </c>
      <c r="O2983">
        <v>1674</v>
      </c>
      <c r="P2983">
        <v>0</v>
      </c>
      <c r="Q2983" s="5" t="e">
        <f>IF(AND(#REF!&gt;=table!$C$6,#REF!&lt;= table!$D$6),-1,IF(AND(#REF!&gt;=table!$E$6,#REF!&lt;=table!$F$6),1,0))</f>
        <v>#REF!</v>
      </c>
      <c r="R2983" s="5" t="e">
        <f>IF(AND(#REF!&gt;=table!$C$7,#REF!&lt;= table!$D$7),-1,IF(AND(#REF!&gt;=table!$E$7,#REF!&lt;=table!$F$7),1,0))</f>
        <v>#REF!</v>
      </c>
      <c r="S2983" s="5" t="e">
        <f>IF(AND(#REF!&gt;=table!$C$8,#REF!&lt;= table!$D$8),-1,IF(AND(#REF!&gt;=table!$E$8,#REF!&lt;=table!$F$8),1,0))</f>
        <v>#REF!</v>
      </c>
      <c r="T2983" s="5"/>
      <c r="U2983" s="5" t="e">
        <f>IF(AND(#REF!&gt;=table!$C$10,#REF!&lt;= table!$D$10),-1,IF(AND(#REF!&gt;=table!$E$10,#REF!&lt;=table!$F$10),1,0))</f>
        <v>#REF!</v>
      </c>
      <c r="V2983" s="5" t="e">
        <f>IF(AND(#REF!&gt;=table!$C$11,#REF!&lt;= table!$D$11),-1,IF(AND(#REF!&gt;=table!$E$11,#REF!&lt;=table!$F$11),1,0))</f>
        <v>#REF!</v>
      </c>
      <c r="W2983" s="5" t="e">
        <f>CONCATENATE(dados[[#This Row],[fator1]],dados[[#This Row],[fator5]],dados[[#This Row],[fator6]])</f>
        <v>#REF!</v>
      </c>
    </row>
    <row r="2984" spans="1:23">
      <c r="A2984" t="s">
        <v>17</v>
      </c>
      <c r="B2984">
        <v>585695</v>
      </c>
      <c r="C2984">
        <v>18</v>
      </c>
      <c r="D2984">
        <v>23</v>
      </c>
      <c r="E2984">
        <v>145</v>
      </c>
      <c r="F2984">
        <v>9</v>
      </c>
      <c r="G2984">
        <v>30</v>
      </c>
      <c r="H2984">
        <v>25</v>
      </c>
      <c r="I2984">
        <v>637</v>
      </c>
      <c r="J2984">
        <v>700</v>
      </c>
      <c r="K2984">
        <v>4.125</v>
      </c>
      <c r="L2984">
        <v>7.7</v>
      </c>
      <c r="M2984">
        <v>113.8</v>
      </c>
      <c r="N2984">
        <v>10.700000000000001</v>
      </c>
      <c r="O2984">
        <v>1645</v>
      </c>
      <c r="P2984">
        <v>512</v>
      </c>
      <c r="Q2984" s="5" t="e">
        <f>IF(AND(#REF!&gt;=table!$C$6,#REF!&lt;= table!$D$6),-1,IF(AND(#REF!&gt;=table!$E$6,#REF!&lt;=table!$F$6),1,0))</f>
        <v>#REF!</v>
      </c>
      <c r="R2984" s="5" t="e">
        <f>IF(AND(#REF!&gt;=table!$C$7,#REF!&lt;= table!$D$7),-1,IF(AND(#REF!&gt;=table!$E$7,#REF!&lt;=table!$F$7),1,0))</f>
        <v>#REF!</v>
      </c>
      <c r="S2984" s="5" t="e">
        <f>IF(AND(#REF!&gt;=table!$C$8,#REF!&lt;= table!$D$8),-1,IF(AND(#REF!&gt;=table!$E$8,#REF!&lt;=table!$F$8),1,0))</f>
        <v>#REF!</v>
      </c>
      <c r="T2984" s="5"/>
      <c r="U2984" s="5" t="e">
        <f>IF(AND(#REF!&gt;=table!$C$10,#REF!&lt;= table!$D$10),-1,IF(AND(#REF!&gt;=table!$E$10,#REF!&lt;=table!$F$10),1,0))</f>
        <v>#REF!</v>
      </c>
      <c r="V2984" s="5" t="e">
        <f>IF(AND(#REF!&gt;=table!$C$11,#REF!&lt;= table!$D$11),-1,IF(AND(#REF!&gt;=table!$E$11,#REF!&lt;=table!$F$11),1,0))</f>
        <v>#REF!</v>
      </c>
      <c r="W2984" s="5" t="e">
        <f>CONCATENATE(dados[[#This Row],[fator1]],dados[[#This Row],[fator5]],dados[[#This Row],[fator6]])</f>
        <v>#REF!</v>
      </c>
    </row>
    <row r="2985" spans="1:23">
      <c r="A2985" t="s">
        <v>16</v>
      </c>
      <c r="B2985">
        <v>585702</v>
      </c>
      <c r="C2985">
        <v>10</v>
      </c>
      <c r="D2985">
        <v>40</v>
      </c>
      <c r="E2985">
        <v>96</v>
      </c>
      <c r="F2985">
        <v>8</v>
      </c>
      <c r="G2985">
        <v>0</v>
      </c>
      <c r="H2985">
        <v>25</v>
      </c>
      <c r="I2985">
        <v>761</v>
      </c>
      <c r="J2985">
        <v>0</v>
      </c>
      <c r="K2985">
        <v>4.8</v>
      </c>
      <c r="L2985">
        <v>8.3000000000000007</v>
      </c>
      <c r="M2985">
        <v>63.2</v>
      </c>
      <c r="N2985">
        <v>15.4</v>
      </c>
      <c r="O2985">
        <v>1710</v>
      </c>
      <c r="P2985">
        <v>1003</v>
      </c>
      <c r="Q2985" s="5" t="e">
        <f>IF(AND(#REF!&gt;=table!$C$6,#REF!&lt;= table!$D$6),-1,IF(AND(#REF!&gt;=table!$E$6,#REF!&lt;=table!$F$6),1,0))</f>
        <v>#REF!</v>
      </c>
      <c r="R2985" s="5" t="e">
        <f>IF(AND(#REF!&gt;=table!$C$7,#REF!&lt;= table!$D$7),-1,IF(AND(#REF!&gt;=table!$E$7,#REF!&lt;=table!$F$7),1,0))</f>
        <v>#REF!</v>
      </c>
      <c r="S2985" s="5" t="e">
        <f>IF(AND(#REF!&gt;=table!$C$8,#REF!&lt;= table!$D$8),-1,IF(AND(#REF!&gt;=table!$E$8,#REF!&lt;=table!$F$8),1,0))</f>
        <v>#REF!</v>
      </c>
      <c r="T2985" s="5"/>
      <c r="U2985" s="5" t="e">
        <f>IF(AND(#REF!&gt;=table!$C$10,#REF!&lt;= table!$D$10),-1,IF(AND(#REF!&gt;=table!$E$10,#REF!&lt;=table!$F$10),1,0))</f>
        <v>#REF!</v>
      </c>
      <c r="V2985" s="5" t="e">
        <f>IF(AND(#REF!&gt;=table!$C$11,#REF!&lt;= table!$D$11),-1,IF(AND(#REF!&gt;=table!$E$11,#REF!&lt;=table!$F$11),1,0))</f>
        <v>#REF!</v>
      </c>
      <c r="W2985" s="5" t="e">
        <f>CONCATENATE(dados[[#This Row],[fator1]],dados[[#This Row],[fator5]],dados[[#This Row],[fator6]])</f>
        <v>#REF!</v>
      </c>
    </row>
    <row r="2986" spans="1:23">
      <c r="A2986" t="s">
        <v>17</v>
      </c>
      <c r="B2986">
        <v>585704</v>
      </c>
      <c r="C2986">
        <v>16</v>
      </c>
      <c r="D2986">
        <v>23</v>
      </c>
      <c r="E2986">
        <v>145</v>
      </c>
      <c r="F2986">
        <v>4</v>
      </c>
      <c r="G2986">
        <v>30</v>
      </c>
      <c r="H2986">
        <v>25</v>
      </c>
      <c r="I2986">
        <v>574</v>
      </c>
      <c r="J2986">
        <v>0</v>
      </c>
      <c r="K2986">
        <v>6.92</v>
      </c>
      <c r="L2986">
        <v>10.8</v>
      </c>
      <c r="M2986">
        <v>115.3</v>
      </c>
      <c r="N2986">
        <v>13</v>
      </c>
      <c r="O2986">
        <v>1685</v>
      </c>
      <c r="P2986">
        <v>557</v>
      </c>
      <c r="Q2986" s="5" t="e">
        <f>IF(AND(#REF!&gt;=table!$C$6,#REF!&lt;= table!$D$6),-1,IF(AND(#REF!&gt;=table!$E$6,#REF!&lt;=table!$F$6),1,0))</f>
        <v>#REF!</v>
      </c>
      <c r="R2986" s="5" t="e">
        <f>IF(AND(#REF!&gt;=table!$C$7,#REF!&lt;= table!$D$7),-1,IF(AND(#REF!&gt;=table!$E$7,#REF!&lt;=table!$F$7),1,0))</f>
        <v>#REF!</v>
      </c>
      <c r="S2986" s="5" t="e">
        <f>IF(AND(#REF!&gt;=table!$C$8,#REF!&lt;= table!$D$8),-1,IF(AND(#REF!&gt;=table!$E$8,#REF!&lt;=table!$F$8),1,0))</f>
        <v>#REF!</v>
      </c>
      <c r="T2986" s="5"/>
      <c r="U2986" s="5" t="e">
        <f>IF(AND(#REF!&gt;=table!$C$10,#REF!&lt;= table!$D$10),-1,IF(AND(#REF!&gt;=table!$E$10,#REF!&lt;=table!$F$10),1,0))</f>
        <v>#REF!</v>
      </c>
      <c r="V2986" s="5" t="e">
        <f>IF(AND(#REF!&gt;=table!$C$11,#REF!&lt;= table!$D$11),-1,IF(AND(#REF!&gt;=table!$E$11,#REF!&lt;=table!$F$11),1,0))</f>
        <v>#REF!</v>
      </c>
      <c r="W2986" s="5" t="e">
        <f>CONCATENATE(dados[[#This Row],[fator1]],dados[[#This Row],[fator5]],dados[[#This Row],[fator6]])</f>
        <v>#REF!</v>
      </c>
    </row>
    <row r="2987" spans="1:23">
      <c r="A2987" t="s">
        <v>17</v>
      </c>
      <c r="B2987">
        <v>585707</v>
      </c>
      <c r="C2987">
        <v>15</v>
      </c>
      <c r="D2987">
        <v>23</v>
      </c>
      <c r="E2987">
        <v>155</v>
      </c>
      <c r="F2987">
        <v>4</v>
      </c>
      <c r="G2987">
        <v>30</v>
      </c>
      <c r="H2987">
        <v>18</v>
      </c>
      <c r="I2987">
        <v>585</v>
      </c>
      <c r="J2987">
        <v>0</v>
      </c>
      <c r="K2987">
        <v>6.46</v>
      </c>
      <c r="L2987">
        <v>11.200000000000001</v>
      </c>
      <c r="M2987">
        <v>110.9</v>
      </c>
      <c r="N2987">
        <v>11.700000000000001</v>
      </c>
      <c r="O2987">
        <v>1678</v>
      </c>
      <c r="P2987">
        <v>536</v>
      </c>
      <c r="Q2987" s="5" t="e">
        <f>IF(AND(#REF!&gt;=table!$C$6,#REF!&lt;= table!$D$6),-1,IF(AND(#REF!&gt;=table!$E$6,#REF!&lt;=table!$F$6),1,0))</f>
        <v>#REF!</v>
      </c>
      <c r="R2987" s="5" t="e">
        <f>IF(AND(#REF!&gt;=table!$C$7,#REF!&lt;= table!$D$7),-1,IF(AND(#REF!&gt;=table!$E$7,#REF!&lt;=table!$F$7),1,0))</f>
        <v>#REF!</v>
      </c>
      <c r="S2987" s="5" t="e">
        <f>IF(AND(#REF!&gt;=table!$C$8,#REF!&lt;= table!$D$8),-1,IF(AND(#REF!&gt;=table!$E$8,#REF!&lt;=table!$F$8),1,0))</f>
        <v>#REF!</v>
      </c>
      <c r="T2987" s="5"/>
      <c r="U2987" s="5" t="e">
        <f>IF(AND(#REF!&gt;=table!$C$10,#REF!&lt;= table!$D$10),-1,IF(AND(#REF!&gt;=table!$E$10,#REF!&lt;=table!$F$10),1,0))</f>
        <v>#REF!</v>
      </c>
      <c r="V2987" s="5" t="e">
        <f>IF(AND(#REF!&gt;=table!$C$11,#REF!&lt;= table!$D$11),-1,IF(AND(#REF!&gt;=table!$E$11,#REF!&lt;=table!$F$11),1,0))</f>
        <v>#REF!</v>
      </c>
      <c r="W2987" s="5" t="e">
        <f>CONCATENATE(dados[[#This Row],[fator1]],dados[[#This Row],[fator5]],dados[[#This Row],[fator6]])</f>
        <v>#REF!</v>
      </c>
    </row>
    <row r="2988" spans="1:23">
      <c r="A2988" t="s">
        <v>17</v>
      </c>
      <c r="B2988">
        <v>585708</v>
      </c>
      <c r="C2988">
        <v>18</v>
      </c>
      <c r="D2988">
        <v>23</v>
      </c>
      <c r="E2988">
        <v>145</v>
      </c>
      <c r="F2988">
        <v>9</v>
      </c>
      <c r="G2988">
        <v>30</v>
      </c>
      <c r="H2988">
        <v>25</v>
      </c>
      <c r="I2988">
        <v>462</v>
      </c>
      <c r="J2988">
        <v>0</v>
      </c>
      <c r="K2988">
        <v>3.21</v>
      </c>
      <c r="L2988">
        <v>10.15</v>
      </c>
      <c r="M2988">
        <v>121.34</v>
      </c>
      <c r="N2988">
        <v>18.705000000000002</v>
      </c>
      <c r="O2988">
        <v>1677</v>
      </c>
      <c r="P2988">
        <v>987</v>
      </c>
      <c r="Q2988" s="5" t="e">
        <f>IF(AND(#REF!&gt;=table!$C$6,#REF!&lt;= table!$D$6),-1,IF(AND(#REF!&gt;=table!$E$6,#REF!&lt;=table!$F$6),1,0))</f>
        <v>#REF!</v>
      </c>
      <c r="R2988" s="5" t="e">
        <f>IF(AND(#REF!&gt;=table!$C$7,#REF!&lt;= table!$D$7),-1,IF(AND(#REF!&gt;=table!$E$7,#REF!&lt;=table!$F$7),1,0))</f>
        <v>#REF!</v>
      </c>
      <c r="S2988" s="5" t="e">
        <f>IF(AND(#REF!&gt;=table!$C$8,#REF!&lt;= table!$D$8),-1,IF(AND(#REF!&gt;=table!$E$8,#REF!&lt;=table!$F$8),1,0))</f>
        <v>#REF!</v>
      </c>
      <c r="T2988" s="5"/>
      <c r="U2988" s="5" t="e">
        <f>IF(AND(#REF!&gt;=table!$C$10,#REF!&lt;= table!$D$10),-1,IF(AND(#REF!&gt;=table!$E$10,#REF!&lt;=table!$F$10),1,0))</f>
        <v>#REF!</v>
      </c>
      <c r="V2988" s="5" t="e">
        <f>IF(AND(#REF!&gt;=table!$C$11,#REF!&lt;= table!$D$11),-1,IF(AND(#REF!&gt;=table!$E$11,#REF!&lt;=table!$F$11),1,0))</f>
        <v>#REF!</v>
      </c>
      <c r="W2988" s="5" t="e">
        <f>CONCATENATE(dados[[#This Row],[fator1]],dados[[#This Row],[fator5]],dados[[#This Row],[fator6]])</f>
        <v>#REF!</v>
      </c>
    </row>
    <row r="2989" spans="1:23">
      <c r="A2989" t="s">
        <v>16</v>
      </c>
      <c r="B2989">
        <v>585711</v>
      </c>
      <c r="C2989">
        <v>10</v>
      </c>
      <c r="D2989">
        <v>40</v>
      </c>
      <c r="E2989">
        <v>96</v>
      </c>
      <c r="F2989">
        <v>8</v>
      </c>
      <c r="G2989">
        <v>0</v>
      </c>
      <c r="H2989">
        <v>25</v>
      </c>
      <c r="I2989">
        <v>736</v>
      </c>
      <c r="J2989">
        <v>0</v>
      </c>
      <c r="K2989">
        <v>4.0750000000000002</v>
      </c>
      <c r="L2989">
        <v>8.6</v>
      </c>
      <c r="M2989">
        <v>78.850000000000009</v>
      </c>
      <c r="N2989">
        <v>15.65</v>
      </c>
      <c r="O2989">
        <v>1683</v>
      </c>
      <c r="P2989">
        <v>828</v>
      </c>
      <c r="Q2989" s="5" t="e">
        <f>IF(AND(#REF!&gt;=table!$C$6,#REF!&lt;= table!$D$6),-1,IF(AND(#REF!&gt;=table!$E$6,#REF!&lt;=table!$F$6),1,0))</f>
        <v>#REF!</v>
      </c>
      <c r="R2989" s="5" t="e">
        <f>IF(AND(#REF!&gt;=table!$C$7,#REF!&lt;= table!$D$7),-1,IF(AND(#REF!&gt;=table!$E$7,#REF!&lt;=table!$F$7),1,0))</f>
        <v>#REF!</v>
      </c>
      <c r="S2989" s="5" t="e">
        <f>IF(AND(#REF!&gt;=table!$C$8,#REF!&lt;= table!$D$8),-1,IF(AND(#REF!&gt;=table!$E$8,#REF!&lt;=table!$F$8),1,0))</f>
        <v>#REF!</v>
      </c>
      <c r="T2989" s="5"/>
      <c r="U2989" s="5" t="e">
        <f>IF(AND(#REF!&gt;=table!$C$10,#REF!&lt;= table!$D$10),-1,IF(AND(#REF!&gt;=table!$E$10,#REF!&lt;=table!$F$10),1,0))</f>
        <v>#REF!</v>
      </c>
      <c r="V2989" s="5" t="e">
        <f>IF(AND(#REF!&gt;=table!$C$11,#REF!&lt;= table!$D$11),-1,IF(AND(#REF!&gt;=table!$E$11,#REF!&lt;=table!$F$11),1,0))</f>
        <v>#REF!</v>
      </c>
      <c r="W2989" s="5" t="e">
        <f>CONCATENATE(dados[[#This Row],[fator1]],dados[[#This Row],[fator5]],dados[[#This Row],[fator6]])</f>
        <v>#REF!</v>
      </c>
    </row>
    <row r="2990" spans="1:23">
      <c r="A2990" t="s">
        <v>16</v>
      </c>
      <c r="B2990">
        <v>585712</v>
      </c>
      <c r="C2990">
        <v>6</v>
      </c>
      <c r="D2990">
        <v>25</v>
      </c>
      <c r="E2990">
        <v>120</v>
      </c>
      <c r="F2990">
        <v>4</v>
      </c>
      <c r="G2990">
        <v>0</v>
      </c>
      <c r="H2990">
        <v>55</v>
      </c>
      <c r="I2990">
        <v>482</v>
      </c>
      <c r="J2990">
        <v>0</v>
      </c>
      <c r="K2990">
        <v>3.5450000000000004</v>
      </c>
      <c r="L2990">
        <v>10.950000000000001</v>
      </c>
      <c r="M2990">
        <v>109.55</v>
      </c>
      <c r="N2990">
        <v>22.900000000000002</v>
      </c>
      <c r="O2990">
        <v>1716</v>
      </c>
      <c r="P2990">
        <v>0</v>
      </c>
      <c r="Q2990" s="5" t="e">
        <f>IF(AND(#REF!&gt;=table!$C$6,#REF!&lt;= table!$D$6),-1,IF(AND(#REF!&gt;=table!$E$6,#REF!&lt;=table!$F$6),1,0))</f>
        <v>#REF!</v>
      </c>
      <c r="R2990" s="5" t="e">
        <f>IF(AND(#REF!&gt;=table!$C$7,#REF!&lt;= table!$D$7),-1,IF(AND(#REF!&gt;=table!$E$7,#REF!&lt;=table!$F$7),1,0))</f>
        <v>#REF!</v>
      </c>
      <c r="S2990" s="5" t="e">
        <f>IF(AND(#REF!&gt;=table!$C$8,#REF!&lt;= table!$D$8),-1,IF(AND(#REF!&gt;=table!$E$8,#REF!&lt;=table!$F$8),1,0))</f>
        <v>#REF!</v>
      </c>
      <c r="T2990" s="5"/>
      <c r="U2990" s="5" t="e">
        <f>IF(AND(#REF!&gt;=table!$C$10,#REF!&lt;= table!$D$10),-1,IF(AND(#REF!&gt;=table!$E$10,#REF!&lt;=table!$F$10),1,0))</f>
        <v>#REF!</v>
      </c>
      <c r="V2990" s="5" t="e">
        <f>IF(AND(#REF!&gt;=table!$C$11,#REF!&lt;= table!$D$11),-1,IF(AND(#REF!&gt;=table!$E$11,#REF!&lt;=table!$F$11),1,0))</f>
        <v>#REF!</v>
      </c>
      <c r="W2990" s="5" t="e">
        <f>CONCATENATE(dados[[#This Row],[fator1]],dados[[#This Row],[fator5]],dados[[#This Row],[fator6]])</f>
        <v>#REF!</v>
      </c>
    </row>
    <row r="2991" spans="1:23">
      <c r="A2991" t="s">
        <v>16</v>
      </c>
      <c r="B2991">
        <v>585714</v>
      </c>
      <c r="C2991">
        <v>8</v>
      </c>
      <c r="D2991">
        <v>27</v>
      </c>
      <c r="E2991">
        <v>86</v>
      </c>
      <c r="F2991">
        <v>8</v>
      </c>
      <c r="G2991">
        <v>0</v>
      </c>
      <c r="H2991">
        <v>22</v>
      </c>
      <c r="I2991">
        <v>931</v>
      </c>
      <c r="J2991">
        <v>0</v>
      </c>
      <c r="K2991">
        <v>5.22</v>
      </c>
      <c r="L2991">
        <v>12.4</v>
      </c>
      <c r="M2991">
        <v>79.45</v>
      </c>
      <c r="N2991">
        <v>14.55</v>
      </c>
      <c r="O2991">
        <v>1694</v>
      </c>
      <c r="P2991">
        <v>664</v>
      </c>
      <c r="Q2991" s="5" t="e">
        <f>IF(AND(#REF!&gt;=table!$C$6,#REF!&lt;= table!$D$6),-1,IF(AND(#REF!&gt;=table!$E$6,#REF!&lt;=table!$F$6),1,0))</f>
        <v>#REF!</v>
      </c>
      <c r="R2991" s="5" t="e">
        <f>IF(AND(#REF!&gt;=table!$C$7,#REF!&lt;= table!$D$7),-1,IF(AND(#REF!&gt;=table!$E$7,#REF!&lt;=table!$F$7),1,0))</f>
        <v>#REF!</v>
      </c>
      <c r="S2991" s="5" t="e">
        <f>IF(AND(#REF!&gt;=table!$C$8,#REF!&lt;= table!$D$8),-1,IF(AND(#REF!&gt;=table!$E$8,#REF!&lt;=table!$F$8),1,0))</f>
        <v>#REF!</v>
      </c>
      <c r="T2991" s="5"/>
      <c r="U2991" s="5" t="e">
        <f>IF(AND(#REF!&gt;=table!$C$10,#REF!&lt;= table!$D$10),-1,IF(AND(#REF!&gt;=table!$E$10,#REF!&lt;=table!$F$10),1,0))</f>
        <v>#REF!</v>
      </c>
      <c r="V2991" s="5" t="e">
        <f>IF(AND(#REF!&gt;=table!$C$11,#REF!&lt;= table!$D$11),-1,IF(AND(#REF!&gt;=table!$E$11,#REF!&lt;=table!$F$11),1,0))</f>
        <v>#REF!</v>
      </c>
      <c r="W2991" s="5" t="e">
        <f>CONCATENATE(dados[[#This Row],[fator1]],dados[[#This Row],[fator5]],dados[[#This Row],[fator6]])</f>
        <v>#REF!</v>
      </c>
    </row>
    <row r="2992" spans="1:23">
      <c r="A2992" t="s">
        <v>16</v>
      </c>
      <c r="B2992">
        <v>585715</v>
      </c>
      <c r="C2992">
        <v>10</v>
      </c>
      <c r="D2992">
        <v>40</v>
      </c>
      <c r="E2992">
        <v>100</v>
      </c>
      <c r="F2992">
        <v>8</v>
      </c>
      <c r="G2992">
        <v>0</v>
      </c>
      <c r="H2992">
        <v>25</v>
      </c>
      <c r="I2992">
        <v>1027</v>
      </c>
      <c r="J2992">
        <v>0</v>
      </c>
      <c r="K2992">
        <v>7.7650000000000006</v>
      </c>
      <c r="L2992">
        <v>12.845000000000001</v>
      </c>
      <c r="M2992">
        <v>75.350000000000009</v>
      </c>
      <c r="N2992">
        <v>21</v>
      </c>
      <c r="O2992">
        <v>1678</v>
      </c>
      <c r="P2992">
        <v>0</v>
      </c>
      <c r="Q2992" s="5" t="e">
        <f>IF(AND(#REF!&gt;=table!$C$6,#REF!&lt;= table!$D$6),-1,IF(AND(#REF!&gt;=table!$E$6,#REF!&lt;=table!$F$6),1,0))</f>
        <v>#REF!</v>
      </c>
      <c r="R2992" s="5" t="e">
        <f>IF(AND(#REF!&gt;=table!$C$7,#REF!&lt;= table!$D$7),-1,IF(AND(#REF!&gt;=table!$E$7,#REF!&lt;=table!$F$7),1,0))</f>
        <v>#REF!</v>
      </c>
      <c r="S2992" s="5" t="e">
        <f>IF(AND(#REF!&gt;=table!$C$8,#REF!&lt;= table!$D$8),-1,IF(AND(#REF!&gt;=table!$E$8,#REF!&lt;=table!$F$8),1,0))</f>
        <v>#REF!</v>
      </c>
      <c r="T2992" s="5"/>
      <c r="U2992" s="5" t="e">
        <f>IF(AND(#REF!&gt;=table!$C$10,#REF!&lt;= table!$D$10),-1,IF(AND(#REF!&gt;=table!$E$10,#REF!&lt;=table!$F$10),1,0))</f>
        <v>#REF!</v>
      </c>
      <c r="V2992" s="5" t="e">
        <f>IF(AND(#REF!&gt;=table!$C$11,#REF!&lt;= table!$D$11),-1,IF(AND(#REF!&gt;=table!$E$11,#REF!&lt;=table!$F$11),1,0))</f>
        <v>#REF!</v>
      </c>
      <c r="W2992" s="5" t="e">
        <f>CONCATENATE(dados[[#This Row],[fator1]],dados[[#This Row],[fator5]],dados[[#This Row],[fator6]])</f>
        <v>#REF!</v>
      </c>
    </row>
    <row r="2993" spans="1:23">
      <c r="A2993" t="s">
        <v>16</v>
      </c>
      <c r="B2993">
        <v>585716</v>
      </c>
      <c r="C2993">
        <v>10</v>
      </c>
      <c r="D2993">
        <v>30</v>
      </c>
      <c r="E2993">
        <v>96</v>
      </c>
      <c r="F2993">
        <v>8</v>
      </c>
      <c r="G2993">
        <v>0</v>
      </c>
      <c r="H2993">
        <v>25</v>
      </c>
      <c r="I2993">
        <v>6</v>
      </c>
      <c r="J2993">
        <v>0</v>
      </c>
      <c r="K2993">
        <v>5.65</v>
      </c>
      <c r="L2993">
        <v>12.4</v>
      </c>
      <c r="M2993">
        <v>98.65</v>
      </c>
      <c r="N2993">
        <v>19.5</v>
      </c>
      <c r="O2993">
        <v>1679</v>
      </c>
      <c r="P2993">
        <v>0</v>
      </c>
      <c r="Q2993" s="5" t="e">
        <f>IF(AND(#REF!&gt;=table!$C$6,#REF!&lt;= table!$D$6),-1,IF(AND(#REF!&gt;=table!$E$6,#REF!&lt;=table!$F$6),1,0))</f>
        <v>#REF!</v>
      </c>
      <c r="R2993" s="5" t="e">
        <f>IF(AND(#REF!&gt;=table!$C$7,#REF!&lt;= table!$D$7),-1,IF(AND(#REF!&gt;=table!$E$7,#REF!&lt;=table!$F$7),1,0))</f>
        <v>#REF!</v>
      </c>
      <c r="S2993" s="5" t="e">
        <f>IF(AND(#REF!&gt;=table!$C$8,#REF!&lt;= table!$D$8),-1,IF(AND(#REF!&gt;=table!$E$8,#REF!&lt;=table!$F$8),1,0))</f>
        <v>#REF!</v>
      </c>
      <c r="T2993" s="5"/>
      <c r="U2993" s="5" t="e">
        <f>IF(AND(#REF!&gt;=table!$C$10,#REF!&lt;= table!$D$10),-1,IF(AND(#REF!&gt;=table!$E$10,#REF!&lt;=table!$F$10),1,0))</f>
        <v>#REF!</v>
      </c>
      <c r="V2993" s="5" t="e">
        <f>IF(AND(#REF!&gt;=table!$C$11,#REF!&lt;= table!$D$11),-1,IF(AND(#REF!&gt;=table!$E$11,#REF!&lt;=table!$F$11),1,0))</f>
        <v>#REF!</v>
      </c>
      <c r="W2993" s="5" t="e">
        <f>CONCATENATE(dados[[#This Row],[fator1]],dados[[#This Row],[fator5]],dados[[#This Row],[fator6]])</f>
        <v>#REF!</v>
      </c>
    </row>
    <row r="2994" spans="1:23">
      <c r="A2994" t="s">
        <v>16</v>
      </c>
      <c r="B2994">
        <v>585719</v>
      </c>
      <c r="C2994">
        <v>9</v>
      </c>
      <c r="D2994">
        <v>40</v>
      </c>
      <c r="E2994">
        <v>46</v>
      </c>
      <c r="F2994">
        <v>15</v>
      </c>
      <c r="G2994">
        <v>0</v>
      </c>
      <c r="H2994">
        <v>25</v>
      </c>
      <c r="I2994">
        <v>908</v>
      </c>
      <c r="J2994">
        <v>380</v>
      </c>
      <c r="K2994">
        <v>3.145</v>
      </c>
      <c r="L2994">
        <v>8.4499999999999993</v>
      </c>
      <c r="M2994">
        <v>40.07</v>
      </c>
      <c r="N2994">
        <v>14.985000000000001</v>
      </c>
      <c r="O2994">
        <v>1661</v>
      </c>
      <c r="P2994">
        <v>0</v>
      </c>
      <c r="Q2994" s="5" t="e">
        <f>IF(AND(#REF!&gt;=table!$C$6,#REF!&lt;= table!$D$6),-1,IF(AND(#REF!&gt;=table!$E$6,#REF!&lt;=table!$F$6),1,0))</f>
        <v>#REF!</v>
      </c>
      <c r="R2994" s="5" t="e">
        <f>IF(AND(#REF!&gt;=table!$C$7,#REF!&lt;= table!$D$7),-1,IF(AND(#REF!&gt;=table!$E$7,#REF!&lt;=table!$F$7),1,0))</f>
        <v>#REF!</v>
      </c>
      <c r="S2994" s="5" t="e">
        <f>IF(AND(#REF!&gt;=table!$C$8,#REF!&lt;= table!$D$8),-1,IF(AND(#REF!&gt;=table!$E$8,#REF!&lt;=table!$F$8),1,0))</f>
        <v>#REF!</v>
      </c>
      <c r="T2994" s="5"/>
      <c r="U2994" s="5" t="e">
        <f>IF(AND(#REF!&gt;=table!$C$10,#REF!&lt;= table!$D$10),-1,IF(AND(#REF!&gt;=table!$E$10,#REF!&lt;=table!$F$10),1,0))</f>
        <v>#REF!</v>
      </c>
      <c r="V2994" s="5" t="e">
        <f>IF(AND(#REF!&gt;=table!$C$11,#REF!&lt;= table!$D$11),-1,IF(AND(#REF!&gt;=table!$E$11,#REF!&lt;=table!$F$11),1,0))</f>
        <v>#REF!</v>
      </c>
      <c r="W2994" s="5" t="e">
        <f>CONCATENATE(dados[[#This Row],[fator1]],dados[[#This Row],[fator5]],dados[[#This Row],[fator6]])</f>
        <v>#REF!</v>
      </c>
    </row>
    <row r="2995" spans="1:23">
      <c r="A2995" t="s">
        <v>16</v>
      </c>
      <c r="B2995">
        <v>585721</v>
      </c>
      <c r="C2995">
        <v>9</v>
      </c>
      <c r="D2995">
        <v>27</v>
      </c>
      <c r="E2995">
        <v>36</v>
      </c>
      <c r="F2995">
        <v>8</v>
      </c>
      <c r="G2995">
        <v>0</v>
      </c>
      <c r="H2995">
        <v>25</v>
      </c>
      <c r="I2995">
        <v>616</v>
      </c>
      <c r="J2995">
        <v>0</v>
      </c>
      <c r="K2995">
        <v>3.0050000000000003</v>
      </c>
      <c r="L2995">
        <v>6.1000000000000005</v>
      </c>
      <c r="M2995">
        <v>27.525000000000002</v>
      </c>
      <c r="N2995">
        <v>11.39</v>
      </c>
      <c r="O2995">
        <v>1680</v>
      </c>
      <c r="P2995">
        <v>0</v>
      </c>
      <c r="Q2995" s="5" t="e">
        <f>IF(AND(#REF!&gt;=table!$C$6,#REF!&lt;= table!$D$6),-1,IF(AND(#REF!&gt;=table!$E$6,#REF!&lt;=table!$F$6),1,0))</f>
        <v>#REF!</v>
      </c>
      <c r="R2995" s="5" t="e">
        <f>IF(AND(#REF!&gt;=table!$C$7,#REF!&lt;= table!$D$7),-1,IF(AND(#REF!&gt;=table!$E$7,#REF!&lt;=table!$F$7),1,0))</f>
        <v>#REF!</v>
      </c>
      <c r="S2995" s="5" t="e">
        <f>IF(AND(#REF!&gt;=table!$C$8,#REF!&lt;= table!$D$8),-1,IF(AND(#REF!&gt;=table!$E$8,#REF!&lt;=table!$F$8),1,0))</f>
        <v>#REF!</v>
      </c>
      <c r="T2995" s="5"/>
      <c r="U2995" s="5" t="e">
        <f>IF(AND(#REF!&gt;=table!$C$10,#REF!&lt;= table!$D$10),-1,IF(AND(#REF!&gt;=table!$E$10,#REF!&lt;=table!$F$10),1,0))</f>
        <v>#REF!</v>
      </c>
      <c r="V2995" s="5" t="e">
        <f>IF(AND(#REF!&gt;=table!$C$11,#REF!&lt;= table!$D$11),-1,IF(AND(#REF!&gt;=table!$E$11,#REF!&lt;=table!$F$11),1,0))</f>
        <v>#REF!</v>
      </c>
      <c r="W2995" s="5" t="e">
        <f>CONCATENATE(dados[[#This Row],[fator1]],dados[[#This Row],[fator5]],dados[[#This Row],[fator6]])</f>
        <v>#REF!</v>
      </c>
    </row>
    <row r="2996" spans="1:23">
      <c r="A2996" t="s">
        <v>16</v>
      </c>
      <c r="B2996">
        <v>585723</v>
      </c>
      <c r="C2996">
        <v>9</v>
      </c>
      <c r="D2996">
        <v>27</v>
      </c>
      <c r="E2996">
        <v>36</v>
      </c>
      <c r="F2996">
        <v>8</v>
      </c>
      <c r="G2996">
        <v>0</v>
      </c>
      <c r="H2996">
        <v>25</v>
      </c>
      <c r="I2996">
        <v>1002</v>
      </c>
      <c r="J2996">
        <v>0</v>
      </c>
      <c r="K2996">
        <v>4.75</v>
      </c>
      <c r="L2996">
        <v>10.050000000000001</v>
      </c>
      <c r="M2996">
        <v>31.7</v>
      </c>
      <c r="N2996">
        <v>15.85</v>
      </c>
      <c r="O2996">
        <v>1700</v>
      </c>
      <c r="P2996">
        <v>827</v>
      </c>
      <c r="Q2996" s="5" t="e">
        <f>IF(AND(#REF!&gt;=table!$C$6,#REF!&lt;= table!$D$6),-1,IF(AND(#REF!&gt;=table!$E$6,#REF!&lt;=table!$F$6),1,0))</f>
        <v>#REF!</v>
      </c>
      <c r="R2996" s="5" t="e">
        <f>IF(AND(#REF!&gt;=table!$C$7,#REF!&lt;= table!$D$7),-1,IF(AND(#REF!&gt;=table!$E$7,#REF!&lt;=table!$F$7),1,0))</f>
        <v>#REF!</v>
      </c>
      <c r="S2996" s="5" t="e">
        <f>IF(AND(#REF!&gt;=table!$C$8,#REF!&lt;= table!$D$8),-1,IF(AND(#REF!&gt;=table!$E$8,#REF!&lt;=table!$F$8),1,0))</f>
        <v>#REF!</v>
      </c>
      <c r="T2996" s="5"/>
      <c r="U2996" s="5" t="e">
        <f>IF(AND(#REF!&gt;=table!$C$10,#REF!&lt;= table!$D$10),-1,IF(AND(#REF!&gt;=table!$E$10,#REF!&lt;=table!$F$10),1,0))</f>
        <v>#REF!</v>
      </c>
      <c r="V2996" s="5" t="e">
        <f>IF(AND(#REF!&gt;=table!$C$11,#REF!&lt;= table!$D$11),-1,IF(AND(#REF!&gt;=table!$E$11,#REF!&lt;=table!$F$11),1,0))</f>
        <v>#REF!</v>
      </c>
      <c r="W2996" s="5" t="e">
        <f>CONCATENATE(dados[[#This Row],[fator1]],dados[[#This Row],[fator5]],dados[[#This Row],[fator6]])</f>
        <v>#REF!</v>
      </c>
    </row>
    <row r="2997" spans="1:23">
      <c r="A2997" t="s">
        <v>16</v>
      </c>
      <c r="B2997">
        <v>585725</v>
      </c>
      <c r="C2997">
        <v>9</v>
      </c>
      <c r="D2997">
        <v>30</v>
      </c>
      <c r="E2997">
        <v>146</v>
      </c>
      <c r="F2997">
        <v>4</v>
      </c>
      <c r="G2997">
        <v>0</v>
      </c>
      <c r="H2997">
        <v>25</v>
      </c>
      <c r="I2997">
        <v>624</v>
      </c>
      <c r="J2997">
        <v>0</v>
      </c>
      <c r="K2997">
        <v>4.32</v>
      </c>
      <c r="L2997">
        <v>7.3500000000000005</v>
      </c>
      <c r="M2997">
        <v>115.35000000000001</v>
      </c>
      <c r="N2997">
        <v>12.14</v>
      </c>
      <c r="O2997">
        <v>1686</v>
      </c>
      <c r="P2997">
        <v>0</v>
      </c>
      <c r="Q2997" s="5" t="e">
        <f>IF(AND(#REF!&gt;=table!$C$6,#REF!&lt;= table!$D$6),-1,IF(AND(#REF!&gt;=table!$E$6,#REF!&lt;=table!$F$6),1,0))</f>
        <v>#REF!</v>
      </c>
      <c r="R2997" s="5" t="e">
        <f>IF(AND(#REF!&gt;=table!$C$7,#REF!&lt;= table!$D$7),-1,IF(AND(#REF!&gt;=table!$E$7,#REF!&lt;=table!$F$7),1,0))</f>
        <v>#REF!</v>
      </c>
      <c r="S2997" s="5" t="e">
        <f>IF(AND(#REF!&gt;=table!$C$8,#REF!&lt;= table!$D$8),-1,IF(AND(#REF!&gt;=table!$E$8,#REF!&lt;=table!$F$8),1,0))</f>
        <v>#REF!</v>
      </c>
      <c r="T2997" s="5"/>
      <c r="U2997" s="5" t="e">
        <f>IF(AND(#REF!&gt;=table!$C$10,#REF!&lt;= table!$D$10),-1,IF(AND(#REF!&gt;=table!$E$10,#REF!&lt;=table!$F$10),1,0))</f>
        <v>#REF!</v>
      </c>
      <c r="V2997" s="5" t="e">
        <f>IF(AND(#REF!&gt;=table!$C$11,#REF!&lt;= table!$D$11),-1,IF(AND(#REF!&gt;=table!$E$11,#REF!&lt;=table!$F$11),1,0))</f>
        <v>#REF!</v>
      </c>
      <c r="W2997" s="5" t="e">
        <f>CONCATENATE(dados[[#This Row],[fator1]],dados[[#This Row],[fator5]],dados[[#This Row],[fator6]])</f>
        <v>#REF!</v>
      </c>
    </row>
    <row r="2998" spans="1:23">
      <c r="A2998" t="s">
        <v>16</v>
      </c>
      <c r="B2998">
        <v>585730</v>
      </c>
      <c r="C2998">
        <v>0.15</v>
      </c>
      <c r="D2998">
        <v>40</v>
      </c>
      <c r="E2998">
        <v>10</v>
      </c>
      <c r="F2998">
        <v>15</v>
      </c>
      <c r="G2998">
        <v>0</v>
      </c>
      <c r="H2998">
        <v>15</v>
      </c>
      <c r="I2998">
        <v>359</v>
      </c>
      <c r="J2998">
        <v>0</v>
      </c>
      <c r="K2998">
        <v>4.29</v>
      </c>
      <c r="L2998">
        <v>7.95</v>
      </c>
      <c r="M2998">
        <v>7.15</v>
      </c>
      <c r="N2998">
        <v>7.7</v>
      </c>
      <c r="O2998">
        <v>1684</v>
      </c>
      <c r="P2998">
        <v>807</v>
      </c>
      <c r="Q2998" s="5" t="e">
        <f>IF(AND(#REF!&gt;=table!$C$6,#REF!&lt;= table!$D$6),-1,IF(AND(#REF!&gt;=table!$E$6,#REF!&lt;=table!$F$6),1,0))</f>
        <v>#REF!</v>
      </c>
      <c r="R2998" s="5" t="e">
        <f>IF(AND(#REF!&gt;=table!$C$7,#REF!&lt;= table!$D$7),-1,IF(AND(#REF!&gt;=table!$E$7,#REF!&lt;=table!$F$7),1,0))</f>
        <v>#REF!</v>
      </c>
      <c r="S2998" s="5" t="e">
        <f>IF(AND(#REF!&gt;=table!$C$8,#REF!&lt;= table!$D$8),-1,IF(AND(#REF!&gt;=table!$E$8,#REF!&lt;=table!$F$8),1,0))</f>
        <v>#REF!</v>
      </c>
      <c r="T2998" s="5"/>
      <c r="U2998" s="5" t="e">
        <f>IF(AND(#REF!&gt;=table!$C$10,#REF!&lt;= table!$D$10),-1,IF(AND(#REF!&gt;=table!$E$10,#REF!&lt;=table!$F$10),1,0))</f>
        <v>#REF!</v>
      </c>
      <c r="V2998" s="5" t="e">
        <f>IF(AND(#REF!&gt;=table!$C$11,#REF!&lt;= table!$D$11),-1,IF(AND(#REF!&gt;=table!$E$11,#REF!&lt;=table!$F$11),1,0))</f>
        <v>#REF!</v>
      </c>
      <c r="W2998" s="5" t="e">
        <f>CONCATENATE(dados[[#This Row],[fator1]],dados[[#This Row],[fator5]],dados[[#This Row],[fator6]])</f>
        <v>#REF!</v>
      </c>
    </row>
    <row r="2999" spans="1:23">
      <c r="A2999" t="s">
        <v>16</v>
      </c>
      <c r="B2999">
        <v>585733</v>
      </c>
      <c r="C2999">
        <v>0.15</v>
      </c>
      <c r="D2999">
        <v>40</v>
      </c>
      <c r="E2999">
        <v>10</v>
      </c>
      <c r="F2999">
        <v>15</v>
      </c>
      <c r="G2999">
        <v>0</v>
      </c>
      <c r="H2999">
        <v>15</v>
      </c>
      <c r="I2999">
        <v>102</v>
      </c>
      <c r="J2999">
        <v>0</v>
      </c>
      <c r="K2999">
        <v>4.4850000000000003</v>
      </c>
      <c r="L2999">
        <v>9.65</v>
      </c>
      <c r="M2999">
        <v>9.3000000000000007</v>
      </c>
      <c r="N2999">
        <v>11</v>
      </c>
      <c r="O2999">
        <v>1693</v>
      </c>
      <c r="P2999">
        <v>0</v>
      </c>
      <c r="Q2999" s="5" t="e">
        <f>IF(AND(#REF!&gt;=table!$C$6,#REF!&lt;= table!$D$6),-1,IF(AND(#REF!&gt;=table!$E$6,#REF!&lt;=table!$F$6),1,0))</f>
        <v>#REF!</v>
      </c>
      <c r="R2999" s="5" t="e">
        <f>IF(AND(#REF!&gt;=table!$C$7,#REF!&lt;= table!$D$7),-1,IF(AND(#REF!&gt;=table!$E$7,#REF!&lt;=table!$F$7),1,0))</f>
        <v>#REF!</v>
      </c>
      <c r="S2999" s="5" t="e">
        <f>IF(AND(#REF!&gt;=table!$C$8,#REF!&lt;= table!$D$8),-1,IF(AND(#REF!&gt;=table!$E$8,#REF!&lt;=table!$F$8),1,0))</f>
        <v>#REF!</v>
      </c>
      <c r="T2999" s="5"/>
      <c r="U2999" s="5" t="e">
        <f>IF(AND(#REF!&gt;=table!$C$10,#REF!&lt;= table!$D$10),-1,IF(AND(#REF!&gt;=table!$E$10,#REF!&lt;=table!$F$10),1,0))</f>
        <v>#REF!</v>
      </c>
      <c r="V2999" s="5" t="e">
        <f>IF(AND(#REF!&gt;=table!$C$11,#REF!&lt;= table!$D$11),-1,IF(AND(#REF!&gt;=table!$E$11,#REF!&lt;=table!$F$11),1,0))</f>
        <v>#REF!</v>
      </c>
      <c r="W2999" s="5" t="e">
        <f>CONCATENATE(dados[[#This Row],[fator1]],dados[[#This Row],[fator5]],dados[[#This Row],[fator6]])</f>
        <v>#REF!</v>
      </c>
    </row>
    <row r="3000" spans="1:23">
      <c r="A3000" t="s">
        <v>17</v>
      </c>
      <c r="B3000">
        <v>585737</v>
      </c>
      <c r="C3000">
        <v>23</v>
      </c>
      <c r="D3000">
        <v>40</v>
      </c>
      <c r="E3000">
        <v>120</v>
      </c>
      <c r="F3000">
        <v>4</v>
      </c>
      <c r="G3000">
        <v>20</v>
      </c>
      <c r="H3000">
        <v>25</v>
      </c>
      <c r="I3000">
        <v>15</v>
      </c>
      <c r="J3000">
        <v>0</v>
      </c>
      <c r="K3000">
        <v>4.8899999999999997</v>
      </c>
      <c r="L3000">
        <v>6.6950000000000003</v>
      </c>
      <c r="M3000">
        <v>101.5</v>
      </c>
      <c r="N3000">
        <v>17.55</v>
      </c>
      <c r="O3000">
        <v>1685</v>
      </c>
      <c r="P3000">
        <v>0</v>
      </c>
      <c r="Q3000" s="5" t="e">
        <f>IF(AND(#REF!&gt;=table!$C$6,#REF!&lt;= table!$D$6),-1,IF(AND(#REF!&gt;=table!$E$6,#REF!&lt;=table!$F$6),1,0))</f>
        <v>#REF!</v>
      </c>
      <c r="R3000" s="5" t="e">
        <f>IF(AND(#REF!&gt;=table!$C$7,#REF!&lt;= table!$D$7),-1,IF(AND(#REF!&gt;=table!$E$7,#REF!&lt;=table!$F$7),1,0))</f>
        <v>#REF!</v>
      </c>
      <c r="S3000" s="5" t="e">
        <f>IF(AND(#REF!&gt;=table!$C$8,#REF!&lt;= table!$D$8),-1,IF(AND(#REF!&gt;=table!$E$8,#REF!&lt;=table!$F$8),1,0))</f>
        <v>#REF!</v>
      </c>
      <c r="T3000" s="5"/>
      <c r="U3000" s="5" t="e">
        <f>IF(AND(#REF!&gt;=table!$C$10,#REF!&lt;= table!$D$10),-1,IF(AND(#REF!&gt;=table!$E$10,#REF!&lt;=table!$F$10),1,0))</f>
        <v>#REF!</v>
      </c>
      <c r="V3000" s="5" t="e">
        <f>IF(AND(#REF!&gt;=table!$C$11,#REF!&lt;= table!$D$11),-1,IF(AND(#REF!&gt;=table!$E$11,#REF!&lt;=table!$F$11),1,0))</f>
        <v>#REF!</v>
      </c>
      <c r="W3000" s="5" t="e">
        <f>CONCATENATE(dados[[#This Row],[fator1]],dados[[#This Row],[fator5]],dados[[#This Row],[fator6]])</f>
        <v>#REF!</v>
      </c>
    </row>
    <row r="3001" spans="1:23">
      <c r="A3001" t="s">
        <v>17</v>
      </c>
      <c r="B3001">
        <v>585738</v>
      </c>
      <c r="C3001">
        <v>14</v>
      </c>
      <c r="D3001">
        <v>30</v>
      </c>
      <c r="E3001">
        <v>210</v>
      </c>
      <c r="F3001">
        <v>3</v>
      </c>
      <c r="G3001">
        <v>40</v>
      </c>
      <c r="H3001">
        <v>25</v>
      </c>
      <c r="I3001">
        <v>1306</v>
      </c>
      <c r="J3001">
        <v>0</v>
      </c>
      <c r="K3001">
        <v>2.5415000000000001</v>
      </c>
      <c r="L3001">
        <v>3.92</v>
      </c>
      <c r="M3001">
        <v>152.67500000000001</v>
      </c>
      <c r="N3001">
        <v>15.165000000000001</v>
      </c>
      <c r="O3001">
        <v>1681</v>
      </c>
      <c r="P3001">
        <v>0</v>
      </c>
      <c r="Q3001" s="5" t="e">
        <f>IF(AND(#REF!&gt;=table!$C$6,#REF!&lt;= table!$D$6),-1,IF(AND(#REF!&gt;=table!$E$6,#REF!&lt;=table!$F$6),1,0))</f>
        <v>#REF!</v>
      </c>
      <c r="R3001" s="5" t="e">
        <f>IF(AND(#REF!&gt;=table!$C$7,#REF!&lt;= table!$D$7),-1,IF(AND(#REF!&gt;=table!$E$7,#REF!&lt;=table!$F$7),1,0))</f>
        <v>#REF!</v>
      </c>
      <c r="S3001" s="5" t="e">
        <f>IF(AND(#REF!&gt;=table!$C$8,#REF!&lt;= table!$D$8),-1,IF(AND(#REF!&gt;=table!$E$8,#REF!&lt;=table!$F$8),1,0))</f>
        <v>#REF!</v>
      </c>
      <c r="T3001" s="5"/>
      <c r="U3001" s="5" t="e">
        <f>IF(AND(#REF!&gt;=table!$C$10,#REF!&lt;= table!$D$10),-1,IF(AND(#REF!&gt;=table!$E$10,#REF!&lt;=table!$F$10),1,0))</f>
        <v>#REF!</v>
      </c>
      <c r="V3001" s="5" t="e">
        <f>IF(AND(#REF!&gt;=table!$C$11,#REF!&lt;= table!$D$11),-1,IF(AND(#REF!&gt;=table!$E$11,#REF!&lt;=table!$F$11),1,0))</f>
        <v>#REF!</v>
      </c>
      <c r="W3001" s="5" t="e">
        <f>CONCATENATE(dados[[#This Row],[fator1]],dados[[#This Row],[fator5]],dados[[#This Row],[fator6]])</f>
        <v>#REF!</v>
      </c>
    </row>
    <row r="3002" spans="1:23">
      <c r="A3002" t="s">
        <v>17</v>
      </c>
      <c r="B3002">
        <v>585742</v>
      </c>
      <c r="C3002">
        <v>14</v>
      </c>
      <c r="D3002">
        <v>30</v>
      </c>
      <c r="E3002">
        <v>66</v>
      </c>
      <c r="F3002">
        <v>9</v>
      </c>
      <c r="G3002">
        <v>20</v>
      </c>
      <c r="H3002">
        <v>25</v>
      </c>
      <c r="I3002">
        <v>285</v>
      </c>
      <c r="J3002">
        <v>0</v>
      </c>
      <c r="K3002">
        <v>4.5150000000000006</v>
      </c>
      <c r="L3002">
        <v>6.8</v>
      </c>
      <c r="M3002">
        <v>53.6</v>
      </c>
      <c r="N3002">
        <v>10.6</v>
      </c>
      <c r="O3002">
        <v>1671</v>
      </c>
      <c r="P3002">
        <v>0</v>
      </c>
      <c r="Q3002" s="5" t="e">
        <f>IF(AND(#REF!&gt;=table!$C$6,#REF!&lt;= table!$D$6),-1,IF(AND(#REF!&gt;=table!$E$6,#REF!&lt;=table!$F$6),1,0))</f>
        <v>#REF!</v>
      </c>
      <c r="R3002" s="5" t="e">
        <f>IF(AND(#REF!&gt;=table!$C$7,#REF!&lt;= table!$D$7),-1,IF(AND(#REF!&gt;=table!$E$7,#REF!&lt;=table!$F$7),1,0))</f>
        <v>#REF!</v>
      </c>
      <c r="S3002" s="5" t="e">
        <f>IF(AND(#REF!&gt;=table!$C$8,#REF!&lt;= table!$D$8),-1,IF(AND(#REF!&gt;=table!$E$8,#REF!&lt;=table!$F$8),1,0))</f>
        <v>#REF!</v>
      </c>
      <c r="T3002" s="5"/>
      <c r="U3002" s="5" t="e">
        <f>IF(AND(#REF!&gt;=table!$C$10,#REF!&lt;= table!$D$10),-1,IF(AND(#REF!&gt;=table!$E$10,#REF!&lt;=table!$F$10),1,0))</f>
        <v>#REF!</v>
      </c>
      <c r="V3002" s="5" t="e">
        <f>IF(AND(#REF!&gt;=table!$C$11,#REF!&lt;= table!$D$11),-1,IF(AND(#REF!&gt;=table!$E$11,#REF!&lt;=table!$F$11),1,0))</f>
        <v>#REF!</v>
      </c>
      <c r="W3002" s="5" t="e">
        <f>CONCATENATE(dados[[#This Row],[fator1]],dados[[#This Row],[fator5]],dados[[#This Row],[fator6]])</f>
        <v>#REF!</v>
      </c>
    </row>
    <row r="3003" spans="1:23">
      <c r="A3003" t="s">
        <v>17</v>
      </c>
      <c r="B3003">
        <v>585748</v>
      </c>
      <c r="C3003">
        <v>9</v>
      </c>
      <c r="D3003">
        <v>30</v>
      </c>
      <c r="E3003">
        <v>160</v>
      </c>
      <c r="F3003">
        <v>3</v>
      </c>
      <c r="G3003">
        <v>30</v>
      </c>
      <c r="H3003">
        <v>18</v>
      </c>
      <c r="I3003">
        <v>651</v>
      </c>
      <c r="J3003">
        <v>940</v>
      </c>
      <c r="K3003">
        <v>3.835</v>
      </c>
      <c r="L3003">
        <v>11.65</v>
      </c>
      <c r="M3003">
        <v>141.08000000000001</v>
      </c>
      <c r="N3003">
        <v>17.615000000000002</v>
      </c>
      <c r="O3003">
        <v>1707</v>
      </c>
      <c r="P3003">
        <v>1017</v>
      </c>
      <c r="Q3003" s="5" t="e">
        <f>IF(AND(#REF!&gt;=table!$C$6,#REF!&lt;= table!$D$6),-1,IF(AND(#REF!&gt;=table!$E$6,#REF!&lt;=table!$F$6),1,0))</f>
        <v>#REF!</v>
      </c>
      <c r="R3003" s="5" t="e">
        <f>IF(AND(#REF!&gt;=table!$C$7,#REF!&lt;= table!$D$7),-1,IF(AND(#REF!&gt;=table!$E$7,#REF!&lt;=table!$F$7),1,0))</f>
        <v>#REF!</v>
      </c>
      <c r="S3003" s="5" t="e">
        <f>IF(AND(#REF!&gt;=table!$C$8,#REF!&lt;= table!$D$8),-1,IF(AND(#REF!&gt;=table!$E$8,#REF!&lt;=table!$F$8),1,0))</f>
        <v>#REF!</v>
      </c>
      <c r="T3003" s="5"/>
      <c r="U3003" s="5" t="e">
        <f>IF(AND(#REF!&gt;=table!$C$10,#REF!&lt;= table!$D$10),-1,IF(AND(#REF!&gt;=table!$E$10,#REF!&lt;=table!$F$10),1,0))</f>
        <v>#REF!</v>
      </c>
      <c r="V3003" s="5" t="e">
        <f>IF(AND(#REF!&gt;=table!$C$11,#REF!&lt;= table!$D$11),-1,IF(AND(#REF!&gt;=table!$E$11,#REF!&lt;=table!$F$11),1,0))</f>
        <v>#REF!</v>
      </c>
      <c r="W3003" s="5" t="e">
        <f>CONCATENATE(dados[[#This Row],[fator1]],dados[[#This Row],[fator5]],dados[[#This Row],[fator6]])</f>
        <v>#REF!</v>
      </c>
    </row>
    <row r="3004" spans="1:23">
      <c r="A3004" t="s">
        <v>16</v>
      </c>
      <c r="B3004">
        <v>585749</v>
      </c>
      <c r="C3004">
        <v>9</v>
      </c>
      <c r="D3004">
        <v>40</v>
      </c>
      <c r="E3004">
        <v>46</v>
      </c>
      <c r="F3004">
        <v>15</v>
      </c>
      <c r="G3004">
        <v>0</v>
      </c>
      <c r="H3004">
        <v>25</v>
      </c>
      <c r="I3004">
        <v>5</v>
      </c>
      <c r="J3004">
        <v>0</v>
      </c>
      <c r="K3004">
        <v>4.5650000000000004</v>
      </c>
      <c r="L3004">
        <v>8.870000000000001</v>
      </c>
      <c r="M3004">
        <v>41.515000000000001</v>
      </c>
      <c r="N3004">
        <v>16.965</v>
      </c>
      <c r="O3004">
        <v>1675</v>
      </c>
      <c r="P3004">
        <v>941</v>
      </c>
      <c r="Q3004" s="5" t="e">
        <f>IF(AND(#REF!&gt;=table!$C$6,#REF!&lt;= table!$D$6),-1,IF(AND(#REF!&gt;=table!$E$6,#REF!&lt;=table!$F$6),1,0))</f>
        <v>#REF!</v>
      </c>
      <c r="R3004" s="5" t="e">
        <f>IF(AND(#REF!&gt;=table!$C$7,#REF!&lt;= table!$D$7),-1,IF(AND(#REF!&gt;=table!$E$7,#REF!&lt;=table!$F$7),1,0))</f>
        <v>#REF!</v>
      </c>
      <c r="S3004" s="5" t="e">
        <f>IF(AND(#REF!&gt;=table!$C$8,#REF!&lt;= table!$D$8),-1,IF(AND(#REF!&gt;=table!$E$8,#REF!&lt;=table!$F$8),1,0))</f>
        <v>#REF!</v>
      </c>
      <c r="T3004" s="5"/>
      <c r="U3004" s="5" t="e">
        <f>IF(AND(#REF!&gt;=table!$C$10,#REF!&lt;= table!$D$10),-1,IF(AND(#REF!&gt;=table!$E$10,#REF!&lt;=table!$F$10),1,0))</f>
        <v>#REF!</v>
      </c>
      <c r="V3004" s="5" t="e">
        <f>IF(AND(#REF!&gt;=table!$C$11,#REF!&lt;= table!$D$11),-1,IF(AND(#REF!&gt;=table!$E$11,#REF!&lt;=table!$F$11),1,0))</f>
        <v>#REF!</v>
      </c>
      <c r="W3004" s="5" t="e">
        <f>CONCATENATE(dados[[#This Row],[fator1]],dados[[#This Row],[fator5]],dados[[#This Row],[fator6]])</f>
        <v>#REF!</v>
      </c>
    </row>
    <row r="3005" spans="1:23">
      <c r="A3005" t="s">
        <v>16</v>
      </c>
      <c r="B3005">
        <v>585751</v>
      </c>
      <c r="C3005">
        <v>9</v>
      </c>
      <c r="D3005">
        <v>40</v>
      </c>
      <c r="E3005">
        <v>46</v>
      </c>
      <c r="F3005">
        <v>15</v>
      </c>
      <c r="G3005">
        <v>0</v>
      </c>
      <c r="H3005">
        <v>25</v>
      </c>
      <c r="I3005">
        <v>535</v>
      </c>
      <c r="J3005">
        <v>0</v>
      </c>
      <c r="K3005">
        <v>4.09</v>
      </c>
      <c r="L3005">
        <v>8.5350000000000001</v>
      </c>
      <c r="M3005">
        <v>37.800000000000004</v>
      </c>
      <c r="N3005">
        <v>16.05</v>
      </c>
      <c r="O3005">
        <v>1689</v>
      </c>
      <c r="P3005">
        <v>1093</v>
      </c>
      <c r="Q3005" s="5" t="e">
        <f>IF(AND(#REF!&gt;=table!$C$6,#REF!&lt;= table!$D$6),-1,IF(AND(#REF!&gt;=table!$E$6,#REF!&lt;=table!$F$6),1,0))</f>
        <v>#REF!</v>
      </c>
      <c r="R3005" s="5" t="e">
        <f>IF(AND(#REF!&gt;=table!$C$7,#REF!&lt;= table!$D$7),-1,IF(AND(#REF!&gt;=table!$E$7,#REF!&lt;=table!$F$7),1,0))</f>
        <v>#REF!</v>
      </c>
      <c r="S3005" s="5" t="e">
        <f>IF(AND(#REF!&gt;=table!$C$8,#REF!&lt;= table!$D$8),-1,IF(AND(#REF!&gt;=table!$E$8,#REF!&lt;=table!$F$8),1,0))</f>
        <v>#REF!</v>
      </c>
      <c r="T3005" s="5"/>
      <c r="U3005" s="5" t="e">
        <f>IF(AND(#REF!&gt;=table!$C$10,#REF!&lt;= table!$D$10),-1,IF(AND(#REF!&gt;=table!$E$10,#REF!&lt;=table!$F$10),1,0))</f>
        <v>#REF!</v>
      </c>
      <c r="V3005" s="5" t="e">
        <f>IF(AND(#REF!&gt;=table!$C$11,#REF!&lt;= table!$D$11),-1,IF(AND(#REF!&gt;=table!$E$11,#REF!&lt;=table!$F$11),1,0))</f>
        <v>#REF!</v>
      </c>
      <c r="W3005" s="5" t="e">
        <f>CONCATENATE(dados[[#This Row],[fator1]],dados[[#This Row],[fator5]],dados[[#This Row],[fator6]])</f>
        <v>#REF!</v>
      </c>
    </row>
    <row r="3006" spans="1:23">
      <c r="A3006" t="s">
        <v>17</v>
      </c>
      <c r="B3006">
        <v>585752</v>
      </c>
      <c r="C3006">
        <v>9</v>
      </c>
      <c r="D3006">
        <v>30</v>
      </c>
      <c r="E3006">
        <v>160</v>
      </c>
      <c r="F3006">
        <v>3</v>
      </c>
      <c r="G3006">
        <v>30</v>
      </c>
      <c r="H3006">
        <v>18</v>
      </c>
      <c r="I3006">
        <v>246</v>
      </c>
      <c r="J3006">
        <v>0</v>
      </c>
      <c r="K3006">
        <v>4.5049999999999999</v>
      </c>
      <c r="L3006">
        <v>7.6000000000000005</v>
      </c>
      <c r="M3006">
        <v>137.80000000000001</v>
      </c>
      <c r="N3006">
        <v>13.1</v>
      </c>
      <c r="O3006">
        <v>1692</v>
      </c>
      <c r="P3006">
        <v>0</v>
      </c>
      <c r="Q3006" s="5" t="e">
        <f>IF(AND(#REF!&gt;=table!$C$6,#REF!&lt;= table!$D$6),-1,IF(AND(#REF!&gt;=table!$E$6,#REF!&lt;=table!$F$6),1,0))</f>
        <v>#REF!</v>
      </c>
      <c r="R3006" s="5" t="e">
        <f>IF(AND(#REF!&gt;=table!$C$7,#REF!&lt;= table!$D$7),-1,IF(AND(#REF!&gt;=table!$E$7,#REF!&lt;=table!$F$7),1,0))</f>
        <v>#REF!</v>
      </c>
      <c r="S3006" s="5" t="e">
        <f>IF(AND(#REF!&gt;=table!$C$8,#REF!&lt;= table!$D$8),-1,IF(AND(#REF!&gt;=table!$E$8,#REF!&lt;=table!$F$8),1,0))</f>
        <v>#REF!</v>
      </c>
      <c r="T3006" s="5"/>
      <c r="U3006" s="5" t="e">
        <f>IF(AND(#REF!&gt;=table!$C$10,#REF!&lt;= table!$D$10),-1,IF(AND(#REF!&gt;=table!$E$10,#REF!&lt;=table!$F$10),1,0))</f>
        <v>#REF!</v>
      </c>
      <c r="V3006" s="5" t="e">
        <f>IF(AND(#REF!&gt;=table!$C$11,#REF!&lt;= table!$D$11),-1,IF(AND(#REF!&gt;=table!$E$11,#REF!&lt;=table!$F$11),1,0))</f>
        <v>#REF!</v>
      </c>
      <c r="W3006" s="5" t="e">
        <f>CONCATENATE(dados[[#This Row],[fator1]],dados[[#This Row],[fator5]],dados[[#This Row],[fator6]])</f>
        <v>#REF!</v>
      </c>
    </row>
    <row r="3007" spans="1:23">
      <c r="A3007" t="s">
        <v>16</v>
      </c>
      <c r="B3007">
        <v>585754</v>
      </c>
      <c r="C3007">
        <v>9</v>
      </c>
      <c r="D3007">
        <v>35</v>
      </c>
      <c r="E3007">
        <v>36</v>
      </c>
      <c r="F3007">
        <v>9</v>
      </c>
      <c r="G3007">
        <v>0</v>
      </c>
      <c r="H3007">
        <v>25</v>
      </c>
      <c r="I3007">
        <v>606</v>
      </c>
      <c r="J3007">
        <v>0</v>
      </c>
      <c r="K3007">
        <v>6.1150000000000002</v>
      </c>
      <c r="L3007">
        <v>8.2350000000000012</v>
      </c>
      <c r="M3007">
        <v>24.955000000000002</v>
      </c>
      <c r="N3007">
        <v>13.61</v>
      </c>
      <c r="O3007">
        <v>1695</v>
      </c>
      <c r="P3007">
        <v>767</v>
      </c>
      <c r="Q3007" s="5" t="e">
        <f>IF(AND(#REF!&gt;=table!$C$6,#REF!&lt;= table!$D$6),-1,IF(AND(#REF!&gt;=table!$E$6,#REF!&lt;=table!$F$6),1,0))</f>
        <v>#REF!</v>
      </c>
      <c r="R3007" s="5" t="e">
        <f>IF(AND(#REF!&gt;=table!$C$7,#REF!&lt;= table!$D$7),-1,IF(AND(#REF!&gt;=table!$E$7,#REF!&lt;=table!$F$7),1,0))</f>
        <v>#REF!</v>
      </c>
      <c r="S3007" s="5" t="e">
        <f>IF(AND(#REF!&gt;=table!$C$8,#REF!&lt;= table!$D$8),-1,IF(AND(#REF!&gt;=table!$E$8,#REF!&lt;=table!$F$8),1,0))</f>
        <v>#REF!</v>
      </c>
      <c r="T3007" s="5"/>
      <c r="U3007" s="5" t="e">
        <f>IF(AND(#REF!&gt;=table!$C$10,#REF!&lt;= table!$D$10),-1,IF(AND(#REF!&gt;=table!$E$10,#REF!&lt;=table!$F$10),1,0))</f>
        <v>#REF!</v>
      </c>
      <c r="V3007" s="5" t="e">
        <f>IF(AND(#REF!&gt;=table!$C$11,#REF!&lt;= table!$D$11),-1,IF(AND(#REF!&gt;=table!$E$11,#REF!&lt;=table!$F$11),1,0))</f>
        <v>#REF!</v>
      </c>
      <c r="W3007" s="5" t="e">
        <f>CONCATENATE(dados[[#This Row],[fator1]],dados[[#This Row],[fator5]],dados[[#This Row],[fator6]])</f>
        <v>#REF!</v>
      </c>
    </row>
    <row r="3008" spans="1:23">
      <c r="A3008" t="s">
        <v>16</v>
      </c>
      <c r="B3008">
        <v>585755</v>
      </c>
      <c r="C3008">
        <v>9</v>
      </c>
      <c r="D3008">
        <v>35</v>
      </c>
      <c r="E3008">
        <v>36</v>
      </c>
      <c r="F3008">
        <v>9</v>
      </c>
      <c r="G3008">
        <v>0</v>
      </c>
      <c r="H3008">
        <v>25</v>
      </c>
      <c r="I3008">
        <v>1529</v>
      </c>
      <c r="J3008">
        <v>0</v>
      </c>
      <c r="K3008">
        <v>6.1450000000000005</v>
      </c>
      <c r="L3008">
        <v>10.85</v>
      </c>
      <c r="M3008">
        <v>31</v>
      </c>
      <c r="N3008">
        <v>12.4</v>
      </c>
      <c r="O3008">
        <v>1700</v>
      </c>
      <c r="P3008">
        <v>567</v>
      </c>
      <c r="Q3008" s="5" t="e">
        <f>IF(AND(#REF!&gt;=table!$C$6,#REF!&lt;= table!$D$6),-1,IF(AND(#REF!&gt;=table!$E$6,#REF!&lt;=table!$F$6),1,0))</f>
        <v>#REF!</v>
      </c>
      <c r="R3008" s="5" t="e">
        <f>IF(AND(#REF!&gt;=table!$C$7,#REF!&lt;= table!$D$7),-1,IF(AND(#REF!&gt;=table!$E$7,#REF!&lt;=table!$F$7),1,0))</f>
        <v>#REF!</v>
      </c>
      <c r="S3008" s="5" t="e">
        <f>IF(AND(#REF!&gt;=table!$C$8,#REF!&lt;= table!$D$8),-1,IF(AND(#REF!&gt;=table!$E$8,#REF!&lt;=table!$F$8),1,0))</f>
        <v>#REF!</v>
      </c>
      <c r="T3008" s="5"/>
      <c r="U3008" s="5" t="e">
        <f>IF(AND(#REF!&gt;=table!$C$10,#REF!&lt;= table!$D$10),-1,IF(AND(#REF!&gt;=table!$E$10,#REF!&lt;=table!$F$10),1,0))</f>
        <v>#REF!</v>
      </c>
      <c r="V3008" s="5" t="e">
        <f>IF(AND(#REF!&gt;=table!$C$11,#REF!&lt;= table!$D$11),-1,IF(AND(#REF!&gt;=table!$E$11,#REF!&lt;=table!$F$11),1,0))</f>
        <v>#REF!</v>
      </c>
      <c r="W3008" s="5" t="e">
        <f>CONCATENATE(dados[[#This Row],[fator1]],dados[[#This Row],[fator5]],dados[[#This Row],[fator6]])</f>
        <v>#REF!</v>
      </c>
    </row>
    <row r="3009" spans="1:23">
      <c r="A3009" t="s">
        <v>16</v>
      </c>
      <c r="B3009">
        <v>585757</v>
      </c>
      <c r="C3009">
        <v>9</v>
      </c>
      <c r="D3009">
        <v>35</v>
      </c>
      <c r="E3009">
        <v>36</v>
      </c>
      <c r="F3009">
        <v>9</v>
      </c>
      <c r="G3009">
        <v>0</v>
      </c>
      <c r="H3009">
        <v>25</v>
      </c>
      <c r="I3009">
        <v>666</v>
      </c>
      <c r="J3009">
        <v>0</v>
      </c>
      <c r="K3009">
        <v>4.71</v>
      </c>
      <c r="L3009">
        <v>14.200000000000001</v>
      </c>
      <c r="M3009">
        <v>31.44</v>
      </c>
      <c r="N3009">
        <v>19.170000000000002</v>
      </c>
      <c r="O3009">
        <v>1695</v>
      </c>
      <c r="P3009">
        <v>945</v>
      </c>
      <c r="Q3009" s="5" t="e">
        <f>IF(AND(#REF!&gt;=table!$C$6,#REF!&lt;= table!$D$6),-1,IF(AND(#REF!&gt;=table!$E$6,#REF!&lt;=table!$F$6),1,0))</f>
        <v>#REF!</v>
      </c>
      <c r="R3009" s="5" t="e">
        <f>IF(AND(#REF!&gt;=table!$C$7,#REF!&lt;= table!$D$7),-1,IF(AND(#REF!&gt;=table!$E$7,#REF!&lt;=table!$F$7),1,0))</f>
        <v>#REF!</v>
      </c>
      <c r="S3009" s="5" t="e">
        <f>IF(AND(#REF!&gt;=table!$C$8,#REF!&lt;= table!$D$8),-1,IF(AND(#REF!&gt;=table!$E$8,#REF!&lt;=table!$F$8),1,0))</f>
        <v>#REF!</v>
      </c>
      <c r="T3009" s="5"/>
      <c r="U3009" s="5" t="e">
        <f>IF(AND(#REF!&gt;=table!$C$10,#REF!&lt;= table!$D$10),-1,IF(AND(#REF!&gt;=table!$E$10,#REF!&lt;=table!$F$10),1,0))</f>
        <v>#REF!</v>
      </c>
      <c r="V3009" s="5" t="e">
        <f>IF(AND(#REF!&gt;=table!$C$11,#REF!&lt;= table!$D$11),-1,IF(AND(#REF!&gt;=table!$E$11,#REF!&lt;=table!$F$11),1,0))</f>
        <v>#REF!</v>
      </c>
      <c r="W3009" s="5" t="e">
        <f>CONCATENATE(dados[[#This Row],[fator1]],dados[[#This Row],[fator5]],dados[[#This Row],[fator6]])</f>
        <v>#REF!</v>
      </c>
    </row>
    <row r="3010" spans="1:23">
      <c r="A3010" t="s">
        <v>16</v>
      </c>
      <c r="B3010">
        <v>585758</v>
      </c>
      <c r="C3010">
        <v>0.15</v>
      </c>
      <c r="D3010">
        <v>40</v>
      </c>
      <c r="E3010">
        <v>10</v>
      </c>
      <c r="F3010">
        <v>15</v>
      </c>
      <c r="G3010">
        <v>0</v>
      </c>
      <c r="H3010">
        <v>15</v>
      </c>
      <c r="I3010">
        <v>142</v>
      </c>
      <c r="J3010">
        <v>0</v>
      </c>
      <c r="K3010">
        <v>4.13</v>
      </c>
      <c r="L3010">
        <v>10.1</v>
      </c>
      <c r="M3010">
        <v>9.35</v>
      </c>
      <c r="N3010">
        <v>12.950000000000001</v>
      </c>
      <c r="O3010">
        <v>1696</v>
      </c>
      <c r="P3010">
        <v>833</v>
      </c>
      <c r="Q3010" s="5" t="e">
        <f>IF(AND(#REF!&gt;=table!$C$6,#REF!&lt;= table!$D$6),-1,IF(AND(#REF!&gt;=table!$E$6,#REF!&lt;=table!$F$6),1,0))</f>
        <v>#REF!</v>
      </c>
      <c r="R3010" s="5" t="e">
        <f>IF(AND(#REF!&gt;=table!$C$7,#REF!&lt;= table!$D$7),-1,IF(AND(#REF!&gt;=table!$E$7,#REF!&lt;=table!$F$7),1,0))</f>
        <v>#REF!</v>
      </c>
      <c r="S3010" s="5" t="e">
        <f>IF(AND(#REF!&gt;=table!$C$8,#REF!&lt;= table!$D$8),-1,IF(AND(#REF!&gt;=table!$E$8,#REF!&lt;=table!$F$8),1,0))</f>
        <v>#REF!</v>
      </c>
      <c r="T3010" s="5"/>
      <c r="U3010" s="5" t="e">
        <f>IF(AND(#REF!&gt;=table!$C$10,#REF!&lt;= table!$D$10),-1,IF(AND(#REF!&gt;=table!$E$10,#REF!&lt;=table!$F$10),1,0))</f>
        <v>#REF!</v>
      </c>
      <c r="V3010" s="5" t="e">
        <f>IF(AND(#REF!&gt;=table!$C$11,#REF!&lt;= table!$D$11),-1,IF(AND(#REF!&gt;=table!$E$11,#REF!&lt;=table!$F$11),1,0))</f>
        <v>#REF!</v>
      </c>
      <c r="W3010" s="5" t="e">
        <f>CONCATENATE(dados[[#This Row],[fator1]],dados[[#This Row],[fator5]],dados[[#This Row],[fator6]])</f>
        <v>#REF!</v>
      </c>
    </row>
    <row r="3011" spans="1:23">
      <c r="A3011" t="s">
        <v>16</v>
      </c>
      <c r="B3011">
        <v>585760</v>
      </c>
      <c r="C3011">
        <v>6</v>
      </c>
      <c r="D3011">
        <v>40</v>
      </c>
      <c r="E3011">
        <v>66</v>
      </c>
      <c r="F3011">
        <v>10</v>
      </c>
      <c r="G3011">
        <v>0</v>
      </c>
      <c r="H3011">
        <v>25</v>
      </c>
      <c r="I3011">
        <v>507</v>
      </c>
      <c r="J3011">
        <v>0</v>
      </c>
      <c r="K3011">
        <v>3.7050000000000001</v>
      </c>
      <c r="L3011">
        <v>7.09</v>
      </c>
      <c r="M3011">
        <v>46.35</v>
      </c>
      <c r="N3011">
        <v>10.65</v>
      </c>
      <c r="O3011">
        <v>1657</v>
      </c>
      <c r="P3011">
        <v>0</v>
      </c>
      <c r="Q3011" s="5" t="e">
        <f>IF(AND(#REF!&gt;=table!$C$6,#REF!&lt;= table!$D$6),-1,IF(AND(#REF!&gt;=table!$E$6,#REF!&lt;=table!$F$6),1,0))</f>
        <v>#REF!</v>
      </c>
      <c r="R3011" s="5" t="e">
        <f>IF(AND(#REF!&gt;=table!$C$7,#REF!&lt;= table!$D$7),-1,IF(AND(#REF!&gt;=table!$E$7,#REF!&lt;=table!$F$7),1,0))</f>
        <v>#REF!</v>
      </c>
      <c r="S3011" s="5" t="e">
        <f>IF(AND(#REF!&gt;=table!$C$8,#REF!&lt;= table!$D$8),-1,IF(AND(#REF!&gt;=table!$E$8,#REF!&lt;=table!$F$8),1,0))</f>
        <v>#REF!</v>
      </c>
      <c r="T3011" s="5"/>
      <c r="U3011" s="5" t="e">
        <f>IF(AND(#REF!&gt;=table!$C$10,#REF!&lt;= table!$D$10),-1,IF(AND(#REF!&gt;=table!$E$10,#REF!&lt;=table!$F$10),1,0))</f>
        <v>#REF!</v>
      </c>
      <c r="V3011" s="5" t="e">
        <f>IF(AND(#REF!&gt;=table!$C$11,#REF!&lt;= table!$D$11),-1,IF(AND(#REF!&gt;=table!$E$11,#REF!&lt;=table!$F$11),1,0))</f>
        <v>#REF!</v>
      </c>
      <c r="W3011" s="5" t="e">
        <f>CONCATENATE(dados[[#This Row],[fator1]],dados[[#This Row],[fator5]],dados[[#This Row],[fator6]])</f>
        <v>#REF!</v>
      </c>
    </row>
    <row r="3012" spans="1:23">
      <c r="A3012" t="s">
        <v>16</v>
      </c>
      <c r="B3012">
        <v>585762</v>
      </c>
      <c r="C3012">
        <v>8</v>
      </c>
      <c r="D3012">
        <v>27</v>
      </c>
      <c r="E3012">
        <v>65</v>
      </c>
      <c r="F3012">
        <v>8</v>
      </c>
      <c r="G3012">
        <v>0</v>
      </c>
      <c r="H3012">
        <v>25</v>
      </c>
      <c r="I3012">
        <v>967</v>
      </c>
      <c r="J3012">
        <v>0</v>
      </c>
      <c r="K3012">
        <v>7.94</v>
      </c>
      <c r="L3012">
        <v>9.8000000000000007</v>
      </c>
      <c r="M3012">
        <v>56.15</v>
      </c>
      <c r="N3012">
        <v>13.55</v>
      </c>
      <c r="O3012">
        <v>1677</v>
      </c>
      <c r="P3012">
        <v>548</v>
      </c>
      <c r="Q3012" s="5" t="e">
        <f>IF(AND(#REF!&gt;=table!$C$6,#REF!&lt;= table!$D$6),-1,IF(AND(#REF!&gt;=table!$E$6,#REF!&lt;=table!$F$6),1,0))</f>
        <v>#REF!</v>
      </c>
      <c r="R3012" s="5" t="e">
        <f>IF(AND(#REF!&gt;=table!$C$7,#REF!&lt;= table!$D$7),-1,IF(AND(#REF!&gt;=table!$E$7,#REF!&lt;=table!$F$7),1,0))</f>
        <v>#REF!</v>
      </c>
      <c r="S3012" s="5" t="e">
        <f>IF(AND(#REF!&gt;=table!$C$8,#REF!&lt;= table!$D$8),-1,IF(AND(#REF!&gt;=table!$E$8,#REF!&lt;=table!$F$8),1,0))</f>
        <v>#REF!</v>
      </c>
      <c r="T3012" s="5"/>
      <c r="U3012" s="5" t="e">
        <f>IF(AND(#REF!&gt;=table!$C$10,#REF!&lt;= table!$D$10),-1,IF(AND(#REF!&gt;=table!$E$10,#REF!&lt;=table!$F$10),1,0))</f>
        <v>#REF!</v>
      </c>
      <c r="V3012" s="5" t="e">
        <f>IF(AND(#REF!&gt;=table!$C$11,#REF!&lt;= table!$D$11),-1,IF(AND(#REF!&gt;=table!$E$11,#REF!&lt;=table!$F$11),1,0))</f>
        <v>#REF!</v>
      </c>
      <c r="W3012" s="5" t="e">
        <f>CONCATENATE(dados[[#This Row],[fator1]],dados[[#This Row],[fator5]],dados[[#This Row],[fator6]])</f>
        <v>#REF!</v>
      </c>
    </row>
    <row r="3013" spans="1:23">
      <c r="A3013" t="s">
        <v>17</v>
      </c>
      <c r="B3013">
        <v>585765</v>
      </c>
      <c r="C3013">
        <v>9</v>
      </c>
      <c r="D3013">
        <v>30</v>
      </c>
      <c r="E3013">
        <v>160</v>
      </c>
      <c r="F3013">
        <v>3</v>
      </c>
      <c r="G3013">
        <v>30</v>
      </c>
      <c r="H3013">
        <v>18</v>
      </c>
      <c r="I3013">
        <v>388</v>
      </c>
      <c r="J3013">
        <v>0</v>
      </c>
      <c r="K3013">
        <v>4.55</v>
      </c>
      <c r="L3013">
        <v>9</v>
      </c>
      <c r="M3013">
        <v>135.35</v>
      </c>
      <c r="N3013">
        <v>12.25</v>
      </c>
      <c r="O3013">
        <v>1670</v>
      </c>
      <c r="P3013">
        <v>0</v>
      </c>
      <c r="Q3013" s="5" t="e">
        <f>IF(AND(#REF!&gt;=table!$C$6,#REF!&lt;= table!$D$6),-1,IF(AND(#REF!&gt;=table!$E$6,#REF!&lt;=table!$F$6),1,0))</f>
        <v>#REF!</v>
      </c>
      <c r="R3013" s="5" t="e">
        <f>IF(AND(#REF!&gt;=table!$C$7,#REF!&lt;= table!$D$7),-1,IF(AND(#REF!&gt;=table!$E$7,#REF!&lt;=table!$F$7),1,0))</f>
        <v>#REF!</v>
      </c>
      <c r="S3013" s="5" t="e">
        <f>IF(AND(#REF!&gt;=table!$C$8,#REF!&lt;= table!$D$8),-1,IF(AND(#REF!&gt;=table!$E$8,#REF!&lt;=table!$F$8),1,0))</f>
        <v>#REF!</v>
      </c>
      <c r="T3013" s="5"/>
      <c r="U3013" s="5" t="e">
        <f>IF(AND(#REF!&gt;=table!$C$10,#REF!&lt;= table!$D$10),-1,IF(AND(#REF!&gt;=table!$E$10,#REF!&lt;=table!$F$10),1,0))</f>
        <v>#REF!</v>
      </c>
      <c r="V3013" s="5" t="e">
        <f>IF(AND(#REF!&gt;=table!$C$11,#REF!&lt;= table!$D$11),-1,IF(AND(#REF!&gt;=table!$E$11,#REF!&lt;=table!$F$11),1,0))</f>
        <v>#REF!</v>
      </c>
      <c r="W3013" s="5" t="e">
        <f>CONCATENATE(dados[[#This Row],[fator1]],dados[[#This Row],[fator5]],dados[[#This Row],[fator6]])</f>
        <v>#REF!</v>
      </c>
    </row>
    <row r="3014" spans="1:23">
      <c r="A3014" t="s">
        <v>17</v>
      </c>
      <c r="B3014">
        <v>585767</v>
      </c>
      <c r="C3014">
        <v>9</v>
      </c>
      <c r="D3014">
        <v>30</v>
      </c>
      <c r="E3014">
        <v>160</v>
      </c>
      <c r="F3014">
        <v>3</v>
      </c>
      <c r="G3014">
        <v>30</v>
      </c>
      <c r="H3014">
        <v>18</v>
      </c>
      <c r="I3014">
        <v>770</v>
      </c>
      <c r="J3014">
        <v>0</v>
      </c>
      <c r="K3014">
        <v>7.5350000000000001</v>
      </c>
      <c r="L3014">
        <v>8.5</v>
      </c>
      <c r="M3014">
        <v>145.5</v>
      </c>
      <c r="N3014">
        <v>11.1</v>
      </c>
      <c r="O3014">
        <v>1677</v>
      </c>
      <c r="P3014">
        <v>0</v>
      </c>
      <c r="Q3014" s="5" t="e">
        <f>IF(AND(#REF!&gt;=table!$C$6,#REF!&lt;= table!$D$6),-1,IF(AND(#REF!&gt;=table!$E$6,#REF!&lt;=table!$F$6),1,0))</f>
        <v>#REF!</v>
      </c>
      <c r="R3014" s="5" t="e">
        <f>IF(AND(#REF!&gt;=table!$C$7,#REF!&lt;= table!$D$7),-1,IF(AND(#REF!&gt;=table!$E$7,#REF!&lt;=table!$F$7),1,0))</f>
        <v>#REF!</v>
      </c>
      <c r="S3014" s="5" t="e">
        <f>IF(AND(#REF!&gt;=table!$C$8,#REF!&lt;= table!$D$8),-1,IF(AND(#REF!&gt;=table!$E$8,#REF!&lt;=table!$F$8),1,0))</f>
        <v>#REF!</v>
      </c>
      <c r="T3014" s="5"/>
      <c r="U3014" s="5" t="e">
        <f>IF(AND(#REF!&gt;=table!$C$10,#REF!&lt;= table!$D$10),-1,IF(AND(#REF!&gt;=table!$E$10,#REF!&lt;=table!$F$10),1,0))</f>
        <v>#REF!</v>
      </c>
      <c r="V3014" s="5" t="e">
        <f>IF(AND(#REF!&gt;=table!$C$11,#REF!&lt;= table!$D$11),-1,IF(AND(#REF!&gt;=table!$E$11,#REF!&lt;=table!$F$11),1,0))</f>
        <v>#REF!</v>
      </c>
      <c r="W3014" s="5" t="e">
        <f>CONCATENATE(dados[[#This Row],[fator1]],dados[[#This Row],[fator5]],dados[[#This Row],[fator6]])</f>
        <v>#REF!</v>
      </c>
    </row>
    <row r="3015" spans="1:23">
      <c r="A3015" t="s">
        <v>17</v>
      </c>
      <c r="B3015">
        <v>585768</v>
      </c>
      <c r="C3015">
        <v>9</v>
      </c>
      <c r="D3015">
        <v>30</v>
      </c>
      <c r="E3015">
        <v>160</v>
      </c>
      <c r="F3015">
        <v>3</v>
      </c>
      <c r="G3015">
        <v>30</v>
      </c>
      <c r="H3015">
        <v>18</v>
      </c>
      <c r="I3015">
        <v>698</v>
      </c>
      <c r="J3015">
        <v>0</v>
      </c>
      <c r="K3015">
        <v>3.335</v>
      </c>
      <c r="L3015">
        <v>5.6000000000000005</v>
      </c>
      <c r="M3015">
        <v>140.6</v>
      </c>
      <c r="N3015">
        <v>11.5</v>
      </c>
      <c r="O3015">
        <v>1674</v>
      </c>
      <c r="P3015">
        <v>1089</v>
      </c>
      <c r="Q3015" s="5" t="e">
        <f>IF(AND(#REF!&gt;=table!$C$6,#REF!&lt;= table!$D$6),-1,IF(AND(#REF!&gt;=table!$E$6,#REF!&lt;=table!$F$6),1,0))</f>
        <v>#REF!</v>
      </c>
      <c r="R3015" s="5" t="e">
        <f>IF(AND(#REF!&gt;=table!$C$7,#REF!&lt;= table!$D$7),-1,IF(AND(#REF!&gt;=table!$E$7,#REF!&lt;=table!$F$7),1,0))</f>
        <v>#REF!</v>
      </c>
      <c r="S3015" s="5" t="e">
        <f>IF(AND(#REF!&gt;=table!$C$8,#REF!&lt;= table!$D$8),-1,IF(AND(#REF!&gt;=table!$E$8,#REF!&lt;=table!$F$8),1,0))</f>
        <v>#REF!</v>
      </c>
      <c r="T3015" s="5"/>
      <c r="U3015" s="5" t="e">
        <f>IF(AND(#REF!&gt;=table!$C$10,#REF!&lt;= table!$D$10),-1,IF(AND(#REF!&gt;=table!$E$10,#REF!&lt;=table!$F$10),1,0))</f>
        <v>#REF!</v>
      </c>
      <c r="V3015" s="5" t="e">
        <f>IF(AND(#REF!&gt;=table!$C$11,#REF!&lt;= table!$D$11),-1,IF(AND(#REF!&gt;=table!$E$11,#REF!&lt;=table!$F$11),1,0))</f>
        <v>#REF!</v>
      </c>
      <c r="W3015" s="5" t="e">
        <f>CONCATENATE(dados[[#This Row],[fator1]],dados[[#This Row],[fator5]],dados[[#This Row],[fator6]])</f>
        <v>#REF!</v>
      </c>
    </row>
    <row r="3016" spans="1:23">
      <c r="A3016" t="s">
        <v>16</v>
      </c>
      <c r="B3016">
        <v>585774</v>
      </c>
      <c r="C3016">
        <v>0.18</v>
      </c>
      <c r="D3016">
        <v>50</v>
      </c>
      <c r="E3016">
        <v>56</v>
      </c>
      <c r="F3016">
        <v>15</v>
      </c>
      <c r="G3016">
        <v>0</v>
      </c>
      <c r="H3016">
        <v>50</v>
      </c>
      <c r="I3016">
        <v>0</v>
      </c>
      <c r="J3016">
        <v>0</v>
      </c>
      <c r="K3016">
        <v>2.62</v>
      </c>
      <c r="L3016">
        <v>6.3</v>
      </c>
      <c r="M3016">
        <v>5.24</v>
      </c>
      <c r="N3016">
        <v>13.870000000000001</v>
      </c>
      <c r="O3016">
        <v>1665</v>
      </c>
      <c r="P3016">
        <v>1562</v>
      </c>
      <c r="Q3016" s="5" t="e">
        <f>IF(AND(#REF!&gt;=table!$C$6,#REF!&lt;= table!$D$6),-1,IF(AND(#REF!&gt;=table!$E$6,#REF!&lt;=table!$F$6),1,0))</f>
        <v>#REF!</v>
      </c>
      <c r="R3016" s="5" t="e">
        <f>IF(AND(#REF!&gt;=table!$C$7,#REF!&lt;= table!$D$7),-1,IF(AND(#REF!&gt;=table!$E$7,#REF!&lt;=table!$F$7),1,0))</f>
        <v>#REF!</v>
      </c>
      <c r="S3016" s="5" t="e">
        <f>IF(AND(#REF!&gt;=table!$C$8,#REF!&lt;= table!$D$8),-1,IF(AND(#REF!&gt;=table!$E$8,#REF!&lt;=table!$F$8),1,0))</f>
        <v>#REF!</v>
      </c>
      <c r="T3016" s="5"/>
      <c r="U3016" s="5" t="e">
        <f>IF(AND(#REF!&gt;=table!$C$10,#REF!&lt;= table!$D$10),-1,IF(AND(#REF!&gt;=table!$E$10,#REF!&lt;=table!$F$10),1,0))</f>
        <v>#REF!</v>
      </c>
      <c r="V3016" s="5" t="e">
        <f>IF(AND(#REF!&gt;=table!$C$11,#REF!&lt;= table!$D$11),-1,IF(AND(#REF!&gt;=table!$E$11,#REF!&lt;=table!$F$11),1,0))</f>
        <v>#REF!</v>
      </c>
      <c r="W3016" s="5" t="e">
        <f>CONCATENATE(dados[[#This Row],[fator1]],dados[[#This Row],[fator5]],dados[[#This Row],[fator6]])</f>
        <v>#REF!</v>
      </c>
    </row>
    <row r="3017" spans="1:23">
      <c r="A3017" t="s">
        <v>17</v>
      </c>
      <c r="B3017">
        <v>585778</v>
      </c>
      <c r="C3017">
        <v>29</v>
      </c>
      <c r="D3017">
        <v>25</v>
      </c>
      <c r="E3017">
        <v>131</v>
      </c>
      <c r="F3017">
        <v>6</v>
      </c>
      <c r="G3017">
        <v>21</v>
      </c>
      <c r="H3017">
        <v>25</v>
      </c>
      <c r="I3017">
        <v>765</v>
      </c>
      <c r="J3017">
        <v>0</v>
      </c>
      <c r="K3017">
        <v>2.2150000000000003</v>
      </c>
      <c r="L3017">
        <v>3.95</v>
      </c>
      <c r="M3017">
        <v>86.850000000000009</v>
      </c>
      <c r="N3017">
        <v>13.85</v>
      </c>
      <c r="O3017">
        <v>1680</v>
      </c>
      <c r="P3017">
        <v>0</v>
      </c>
      <c r="Q3017" s="5" t="e">
        <f>IF(AND(#REF!&gt;=table!$C$6,#REF!&lt;= table!$D$6),-1,IF(AND(#REF!&gt;=table!$E$6,#REF!&lt;=table!$F$6),1,0))</f>
        <v>#REF!</v>
      </c>
      <c r="R3017" s="5" t="e">
        <f>IF(AND(#REF!&gt;=table!$C$7,#REF!&lt;= table!$D$7),-1,IF(AND(#REF!&gt;=table!$E$7,#REF!&lt;=table!$F$7),1,0))</f>
        <v>#REF!</v>
      </c>
      <c r="S3017" s="5" t="e">
        <f>IF(AND(#REF!&gt;=table!$C$8,#REF!&lt;= table!$D$8),-1,IF(AND(#REF!&gt;=table!$E$8,#REF!&lt;=table!$F$8),1,0))</f>
        <v>#REF!</v>
      </c>
      <c r="T3017" s="5"/>
      <c r="U3017" s="5" t="e">
        <f>IF(AND(#REF!&gt;=table!$C$10,#REF!&lt;= table!$D$10),-1,IF(AND(#REF!&gt;=table!$E$10,#REF!&lt;=table!$F$10),1,0))</f>
        <v>#REF!</v>
      </c>
      <c r="V3017" s="5" t="e">
        <f>IF(AND(#REF!&gt;=table!$C$11,#REF!&lt;= table!$D$11),-1,IF(AND(#REF!&gt;=table!$E$11,#REF!&lt;=table!$F$11),1,0))</f>
        <v>#REF!</v>
      </c>
      <c r="W3017" s="5" t="e">
        <f>CONCATENATE(dados[[#This Row],[fator1]],dados[[#This Row],[fator5]],dados[[#This Row],[fator6]])</f>
        <v>#REF!</v>
      </c>
    </row>
    <row r="3018" spans="1:23">
      <c r="A3018" t="s">
        <v>16</v>
      </c>
      <c r="B3018">
        <v>585782</v>
      </c>
      <c r="C3018">
        <v>0.15</v>
      </c>
      <c r="D3018">
        <v>40</v>
      </c>
      <c r="E3018">
        <v>10</v>
      </c>
      <c r="F3018">
        <v>15</v>
      </c>
      <c r="G3018">
        <v>0</v>
      </c>
      <c r="H3018">
        <v>15</v>
      </c>
      <c r="I3018">
        <v>0</v>
      </c>
      <c r="J3018">
        <v>0</v>
      </c>
      <c r="K3018">
        <v>3.4750000000000001</v>
      </c>
      <c r="L3018">
        <v>9.9500000000000011</v>
      </c>
      <c r="M3018">
        <v>8.18</v>
      </c>
      <c r="N3018">
        <v>15.450000000000001</v>
      </c>
      <c r="O3018">
        <v>1676</v>
      </c>
      <c r="P3018">
        <v>965</v>
      </c>
      <c r="Q3018" s="5" t="e">
        <f>IF(AND(#REF!&gt;=table!$C$6,#REF!&lt;= table!$D$6),-1,IF(AND(#REF!&gt;=table!$E$6,#REF!&lt;=table!$F$6),1,0))</f>
        <v>#REF!</v>
      </c>
      <c r="R3018" s="5" t="e">
        <f>IF(AND(#REF!&gt;=table!$C$7,#REF!&lt;= table!$D$7),-1,IF(AND(#REF!&gt;=table!$E$7,#REF!&lt;=table!$F$7),1,0))</f>
        <v>#REF!</v>
      </c>
      <c r="S3018" s="5" t="e">
        <f>IF(AND(#REF!&gt;=table!$C$8,#REF!&lt;= table!$D$8),-1,IF(AND(#REF!&gt;=table!$E$8,#REF!&lt;=table!$F$8),1,0))</f>
        <v>#REF!</v>
      </c>
      <c r="T3018" s="5"/>
      <c r="U3018" s="5" t="e">
        <f>IF(AND(#REF!&gt;=table!$C$10,#REF!&lt;= table!$D$10),-1,IF(AND(#REF!&gt;=table!$E$10,#REF!&lt;=table!$F$10),1,0))</f>
        <v>#REF!</v>
      </c>
      <c r="V3018" s="5" t="e">
        <f>IF(AND(#REF!&gt;=table!$C$11,#REF!&lt;= table!$D$11),-1,IF(AND(#REF!&gt;=table!$E$11,#REF!&lt;=table!$F$11),1,0))</f>
        <v>#REF!</v>
      </c>
      <c r="W3018" s="5" t="e">
        <f>CONCATENATE(dados[[#This Row],[fator1]],dados[[#This Row],[fator5]],dados[[#This Row],[fator6]])</f>
        <v>#REF!</v>
      </c>
    </row>
    <row r="3019" spans="1:23">
      <c r="A3019" t="s">
        <v>16</v>
      </c>
      <c r="B3019">
        <v>585785</v>
      </c>
      <c r="C3019">
        <v>8</v>
      </c>
      <c r="D3019">
        <v>40</v>
      </c>
      <c r="E3019">
        <v>86</v>
      </c>
      <c r="F3019">
        <v>8</v>
      </c>
      <c r="G3019">
        <v>0</v>
      </c>
      <c r="H3019">
        <v>25</v>
      </c>
      <c r="I3019">
        <v>1670</v>
      </c>
      <c r="J3019">
        <v>0</v>
      </c>
      <c r="K3019">
        <v>7.03</v>
      </c>
      <c r="L3019">
        <v>12.1</v>
      </c>
      <c r="M3019">
        <v>74.95</v>
      </c>
      <c r="N3019">
        <v>14.5</v>
      </c>
      <c r="O3019">
        <v>1690</v>
      </c>
      <c r="P3019">
        <v>543</v>
      </c>
      <c r="Q3019" s="5" t="e">
        <f>IF(AND(#REF!&gt;=table!$C$6,#REF!&lt;= table!$D$6),-1,IF(AND(#REF!&gt;=table!$E$6,#REF!&lt;=table!$F$6),1,0))</f>
        <v>#REF!</v>
      </c>
      <c r="R3019" s="5" t="e">
        <f>IF(AND(#REF!&gt;=table!$C$7,#REF!&lt;= table!$D$7),-1,IF(AND(#REF!&gt;=table!$E$7,#REF!&lt;=table!$F$7),1,0))</f>
        <v>#REF!</v>
      </c>
      <c r="S3019" s="5" t="e">
        <f>IF(AND(#REF!&gt;=table!$C$8,#REF!&lt;= table!$D$8),-1,IF(AND(#REF!&gt;=table!$E$8,#REF!&lt;=table!$F$8),1,0))</f>
        <v>#REF!</v>
      </c>
      <c r="T3019" s="5"/>
      <c r="U3019" s="5" t="e">
        <f>IF(AND(#REF!&gt;=table!$C$10,#REF!&lt;= table!$D$10),-1,IF(AND(#REF!&gt;=table!$E$10,#REF!&lt;=table!$F$10),1,0))</f>
        <v>#REF!</v>
      </c>
      <c r="V3019" s="5" t="e">
        <f>IF(AND(#REF!&gt;=table!$C$11,#REF!&lt;= table!$D$11),-1,IF(AND(#REF!&gt;=table!$E$11,#REF!&lt;=table!$F$11),1,0))</f>
        <v>#REF!</v>
      </c>
      <c r="W3019" s="5" t="e">
        <f>CONCATENATE(dados[[#This Row],[fator1]],dados[[#This Row],[fator5]],dados[[#This Row],[fator6]])</f>
        <v>#REF!</v>
      </c>
    </row>
    <row r="3020" spans="1:23">
      <c r="A3020" t="s">
        <v>16</v>
      </c>
      <c r="B3020">
        <v>585788</v>
      </c>
      <c r="C3020">
        <v>8</v>
      </c>
      <c r="D3020">
        <v>40</v>
      </c>
      <c r="E3020">
        <v>86</v>
      </c>
      <c r="F3020">
        <v>6</v>
      </c>
      <c r="G3020">
        <v>0</v>
      </c>
      <c r="H3020">
        <v>20</v>
      </c>
      <c r="I3020">
        <v>954</v>
      </c>
      <c r="J3020">
        <v>0</v>
      </c>
      <c r="K3020">
        <v>2.86</v>
      </c>
      <c r="L3020">
        <v>5.15</v>
      </c>
      <c r="M3020">
        <v>50.300000000000004</v>
      </c>
      <c r="N3020">
        <v>10.35</v>
      </c>
      <c r="O3020">
        <v>1679</v>
      </c>
      <c r="P3020">
        <v>1183</v>
      </c>
      <c r="Q3020" s="5" t="e">
        <f>IF(AND(#REF!&gt;=table!$C$6,#REF!&lt;= table!$D$6),-1,IF(AND(#REF!&gt;=table!$E$6,#REF!&lt;=table!$F$6),1,0))</f>
        <v>#REF!</v>
      </c>
      <c r="R3020" s="5" t="e">
        <f>IF(AND(#REF!&gt;=table!$C$7,#REF!&lt;= table!$D$7),-1,IF(AND(#REF!&gt;=table!$E$7,#REF!&lt;=table!$F$7),1,0))</f>
        <v>#REF!</v>
      </c>
      <c r="S3020" s="5" t="e">
        <f>IF(AND(#REF!&gt;=table!$C$8,#REF!&lt;= table!$D$8),-1,IF(AND(#REF!&gt;=table!$E$8,#REF!&lt;=table!$F$8),1,0))</f>
        <v>#REF!</v>
      </c>
      <c r="T3020" s="5"/>
      <c r="U3020" s="5" t="e">
        <f>IF(AND(#REF!&gt;=table!$C$10,#REF!&lt;= table!$D$10),-1,IF(AND(#REF!&gt;=table!$E$10,#REF!&lt;=table!$F$10),1,0))</f>
        <v>#REF!</v>
      </c>
      <c r="V3020" s="5" t="e">
        <f>IF(AND(#REF!&gt;=table!$C$11,#REF!&lt;= table!$D$11),-1,IF(AND(#REF!&gt;=table!$E$11,#REF!&lt;=table!$F$11),1,0))</f>
        <v>#REF!</v>
      </c>
      <c r="W3020" s="5" t="e">
        <f>CONCATENATE(dados[[#This Row],[fator1]],dados[[#This Row],[fator5]],dados[[#This Row],[fator6]])</f>
        <v>#REF!</v>
      </c>
    </row>
    <row r="3021" spans="1:23">
      <c r="A3021" t="s">
        <v>16</v>
      </c>
      <c r="B3021">
        <v>585789</v>
      </c>
      <c r="C3021">
        <v>9</v>
      </c>
      <c r="D3021">
        <v>35</v>
      </c>
      <c r="E3021">
        <v>36</v>
      </c>
      <c r="F3021">
        <v>9</v>
      </c>
      <c r="G3021">
        <v>0</v>
      </c>
      <c r="H3021">
        <v>25</v>
      </c>
      <c r="I3021">
        <v>749</v>
      </c>
      <c r="J3021">
        <v>0</v>
      </c>
      <c r="K3021">
        <v>3.7</v>
      </c>
      <c r="L3021">
        <v>10</v>
      </c>
      <c r="M3021">
        <v>35.1</v>
      </c>
      <c r="N3021">
        <v>11.25</v>
      </c>
      <c r="O3021">
        <v>1656</v>
      </c>
      <c r="P3021">
        <v>877</v>
      </c>
      <c r="Q3021" s="5" t="e">
        <f>IF(AND(#REF!&gt;=table!$C$6,#REF!&lt;= table!$D$6),-1,IF(AND(#REF!&gt;=table!$E$6,#REF!&lt;=table!$F$6),1,0))</f>
        <v>#REF!</v>
      </c>
      <c r="R3021" s="5" t="e">
        <f>IF(AND(#REF!&gt;=table!$C$7,#REF!&lt;= table!$D$7),-1,IF(AND(#REF!&gt;=table!$E$7,#REF!&lt;=table!$F$7),1,0))</f>
        <v>#REF!</v>
      </c>
      <c r="S3021" s="5" t="e">
        <f>IF(AND(#REF!&gt;=table!$C$8,#REF!&lt;= table!$D$8),-1,IF(AND(#REF!&gt;=table!$E$8,#REF!&lt;=table!$F$8),1,0))</f>
        <v>#REF!</v>
      </c>
      <c r="T3021" s="5"/>
      <c r="U3021" s="5" t="e">
        <f>IF(AND(#REF!&gt;=table!$C$10,#REF!&lt;= table!$D$10),-1,IF(AND(#REF!&gt;=table!$E$10,#REF!&lt;=table!$F$10),1,0))</f>
        <v>#REF!</v>
      </c>
      <c r="V3021" s="5" t="e">
        <f>IF(AND(#REF!&gt;=table!$C$11,#REF!&lt;= table!$D$11),-1,IF(AND(#REF!&gt;=table!$E$11,#REF!&lt;=table!$F$11),1,0))</f>
        <v>#REF!</v>
      </c>
      <c r="W3021" s="5" t="e">
        <f>CONCATENATE(dados[[#This Row],[fator1]],dados[[#This Row],[fator5]],dados[[#This Row],[fator6]])</f>
        <v>#REF!</v>
      </c>
    </row>
    <row r="3022" spans="1:23">
      <c r="A3022" t="s">
        <v>16</v>
      </c>
      <c r="B3022">
        <v>585792</v>
      </c>
      <c r="C3022">
        <v>7</v>
      </c>
      <c r="D3022">
        <v>35</v>
      </c>
      <c r="E3022">
        <v>170</v>
      </c>
      <c r="F3022">
        <v>6</v>
      </c>
      <c r="G3022">
        <v>0</v>
      </c>
      <c r="H3022">
        <v>20</v>
      </c>
      <c r="I3022">
        <v>616</v>
      </c>
      <c r="J3022">
        <v>0</v>
      </c>
      <c r="K3022">
        <v>2.98</v>
      </c>
      <c r="L3022">
        <v>6.2</v>
      </c>
      <c r="M3022">
        <v>110.10000000000001</v>
      </c>
      <c r="N3022">
        <v>11.9</v>
      </c>
      <c r="O3022">
        <v>1686</v>
      </c>
      <c r="P3022">
        <v>1162</v>
      </c>
      <c r="Q3022" s="5" t="e">
        <f>IF(AND(#REF!&gt;=table!$C$6,#REF!&lt;= table!$D$6),-1,IF(AND(#REF!&gt;=table!$E$6,#REF!&lt;=table!$F$6),1,0))</f>
        <v>#REF!</v>
      </c>
      <c r="R3022" s="5" t="e">
        <f>IF(AND(#REF!&gt;=table!$C$7,#REF!&lt;= table!$D$7),-1,IF(AND(#REF!&gt;=table!$E$7,#REF!&lt;=table!$F$7),1,0))</f>
        <v>#REF!</v>
      </c>
      <c r="S3022" s="5" t="e">
        <f>IF(AND(#REF!&gt;=table!$C$8,#REF!&lt;= table!$D$8),-1,IF(AND(#REF!&gt;=table!$E$8,#REF!&lt;=table!$F$8),1,0))</f>
        <v>#REF!</v>
      </c>
      <c r="T3022" s="5"/>
      <c r="U3022" s="5" t="e">
        <f>IF(AND(#REF!&gt;=table!$C$10,#REF!&lt;= table!$D$10),-1,IF(AND(#REF!&gt;=table!$E$10,#REF!&lt;=table!$F$10),1,0))</f>
        <v>#REF!</v>
      </c>
      <c r="V3022" s="5" t="e">
        <f>IF(AND(#REF!&gt;=table!$C$11,#REF!&lt;= table!$D$11),-1,IF(AND(#REF!&gt;=table!$E$11,#REF!&lt;=table!$F$11),1,0))</f>
        <v>#REF!</v>
      </c>
      <c r="W3022" s="5" t="e">
        <f>CONCATENATE(dados[[#This Row],[fator1]],dados[[#This Row],[fator5]],dados[[#This Row],[fator6]])</f>
        <v>#REF!</v>
      </c>
    </row>
    <row r="3023" spans="1:23">
      <c r="A3023" t="s">
        <v>16</v>
      </c>
      <c r="B3023">
        <v>585794</v>
      </c>
      <c r="C3023">
        <v>7</v>
      </c>
      <c r="D3023">
        <v>33</v>
      </c>
      <c r="E3023">
        <v>150</v>
      </c>
      <c r="F3023">
        <v>4</v>
      </c>
      <c r="G3023">
        <v>0</v>
      </c>
      <c r="H3023">
        <v>25</v>
      </c>
      <c r="I3023">
        <v>136</v>
      </c>
      <c r="J3023">
        <v>780</v>
      </c>
      <c r="K3023">
        <v>10.24</v>
      </c>
      <c r="L3023">
        <v>11.02</v>
      </c>
      <c r="M3023">
        <v>120.39500000000001</v>
      </c>
      <c r="N3023">
        <v>11.955</v>
      </c>
      <c r="O3023">
        <v>1681</v>
      </c>
      <c r="P3023">
        <v>0</v>
      </c>
      <c r="Q3023" s="5" t="e">
        <f>IF(AND(#REF!&gt;=table!$C$6,#REF!&lt;= table!$D$6),-1,IF(AND(#REF!&gt;=table!$E$6,#REF!&lt;=table!$F$6),1,0))</f>
        <v>#REF!</v>
      </c>
      <c r="R3023" s="5" t="e">
        <f>IF(AND(#REF!&gt;=table!$C$7,#REF!&lt;= table!$D$7),-1,IF(AND(#REF!&gt;=table!$E$7,#REF!&lt;=table!$F$7),1,0))</f>
        <v>#REF!</v>
      </c>
      <c r="S3023" s="5" t="e">
        <f>IF(AND(#REF!&gt;=table!$C$8,#REF!&lt;= table!$D$8),-1,IF(AND(#REF!&gt;=table!$E$8,#REF!&lt;=table!$F$8),1,0))</f>
        <v>#REF!</v>
      </c>
      <c r="T3023" s="5"/>
      <c r="U3023" s="5" t="e">
        <f>IF(AND(#REF!&gt;=table!$C$10,#REF!&lt;= table!$D$10),-1,IF(AND(#REF!&gt;=table!$E$10,#REF!&lt;=table!$F$10),1,0))</f>
        <v>#REF!</v>
      </c>
      <c r="V3023" s="5" t="e">
        <f>IF(AND(#REF!&gt;=table!$C$11,#REF!&lt;= table!$D$11),-1,IF(AND(#REF!&gt;=table!$E$11,#REF!&lt;=table!$F$11),1,0))</f>
        <v>#REF!</v>
      </c>
      <c r="W3023" s="5" t="e">
        <f>CONCATENATE(dados[[#This Row],[fator1]],dados[[#This Row],[fator5]],dados[[#This Row],[fator6]])</f>
        <v>#REF!</v>
      </c>
    </row>
    <row r="3024" spans="1:23">
      <c r="A3024" t="s">
        <v>16</v>
      </c>
      <c r="B3024">
        <v>585796</v>
      </c>
      <c r="C3024">
        <v>7</v>
      </c>
      <c r="D3024">
        <v>33</v>
      </c>
      <c r="E3024">
        <v>150</v>
      </c>
      <c r="F3024">
        <v>4</v>
      </c>
      <c r="G3024">
        <v>0</v>
      </c>
      <c r="H3024">
        <v>25</v>
      </c>
      <c r="I3024">
        <v>433</v>
      </c>
      <c r="J3024">
        <v>0</v>
      </c>
      <c r="K3024">
        <v>4.99</v>
      </c>
      <c r="L3024">
        <v>9.65</v>
      </c>
      <c r="M3024">
        <v>135.15</v>
      </c>
      <c r="N3024">
        <v>12.65</v>
      </c>
      <c r="O3024">
        <v>1682</v>
      </c>
      <c r="P3024">
        <v>743</v>
      </c>
      <c r="Q3024" s="5" t="e">
        <f>IF(AND(#REF!&gt;=table!$C$6,#REF!&lt;= table!$D$6),-1,IF(AND(#REF!&gt;=table!$E$6,#REF!&lt;=table!$F$6),1,0))</f>
        <v>#REF!</v>
      </c>
      <c r="R3024" s="5" t="e">
        <f>IF(AND(#REF!&gt;=table!$C$7,#REF!&lt;= table!$D$7),-1,IF(AND(#REF!&gt;=table!$E$7,#REF!&lt;=table!$F$7),1,0))</f>
        <v>#REF!</v>
      </c>
      <c r="S3024" s="5" t="e">
        <f>IF(AND(#REF!&gt;=table!$C$8,#REF!&lt;= table!$D$8),-1,IF(AND(#REF!&gt;=table!$E$8,#REF!&lt;=table!$F$8),1,0))</f>
        <v>#REF!</v>
      </c>
      <c r="T3024" s="5"/>
      <c r="U3024" s="5" t="e">
        <f>IF(AND(#REF!&gt;=table!$C$10,#REF!&lt;= table!$D$10),-1,IF(AND(#REF!&gt;=table!$E$10,#REF!&lt;=table!$F$10),1,0))</f>
        <v>#REF!</v>
      </c>
      <c r="V3024" s="5" t="e">
        <f>IF(AND(#REF!&gt;=table!$C$11,#REF!&lt;= table!$D$11),-1,IF(AND(#REF!&gt;=table!$E$11,#REF!&lt;=table!$F$11),1,0))</f>
        <v>#REF!</v>
      </c>
      <c r="W3024" s="5" t="e">
        <f>CONCATENATE(dados[[#This Row],[fator1]],dados[[#This Row],[fator5]],dados[[#This Row],[fator6]])</f>
        <v>#REF!</v>
      </c>
    </row>
    <row r="3025" spans="1:23">
      <c r="A3025" t="s">
        <v>16</v>
      </c>
      <c r="B3025">
        <v>585797</v>
      </c>
      <c r="C3025">
        <v>0.15</v>
      </c>
      <c r="D3025">
        <v>40</v>
      </c>
      <c r="E3025">
        <v>10</v>
      </c>
      <c r="F3025">
        <v>15</v>
      </c>
      <c r="G3025">
        <v>0</v>
      </c>
      <c r="H3025">
        <v>15</v>
      </c>
      <c r="I3025">
        <v>1082</v>
      </c>
      <c r="J3025">
        <v>0</v>
      </c>
      <c r="K3025">
        <v>4.88</v>
      </c>
      <c r="L3025">
        <v>8.9500000000000011</v>
      </c>
      <c r="M3025">
        <v>8.1050000000000004</v>
      </c>
      <c r="N3025">
        <v>10.88</v>
      </c>
      <c r="O3025">
        <v>1687</v>
      </c>
      <c r="P3025">
        <v>842</v>
      </c>
      <c r="Q3025" s="5" t="e">
        <f>IF(AND(#REF!&gt;=table!$C$6,#REF!&lt;= table!$D$6),-1,IF(AND(#REF!&gt;=table!$E$6,#REF!&lt;=table!$F$6),1,0))</f>
        <v>#REF!</v>
      </c>
      <c r="R3025" s="5" t="e">
        <f>IF(AND(#REF!&gt;=table!$C$7,#REF!&lt;= table!$D$7),-1,IF(AND(#REF!&gt;=table!$E$7,#REF!&lt;=table!$F$7),1,0))</f>
        <v>#REF!</v>
      </c>
      <c r="S3025" s="5" t="e">
        <f>IF(AND(#REF!&gt;=table!$C$8,#REF!&lt;= table!$D$8),-1,IF(AND(#REF!&gt;=table!$E$8,#REF!&lt;=table!$F$8),1,0))</f>
        <v>#REF!</v>
      </c>
      <c r="T3025" s="5"/>
      <c r="U3025" s="5" t="e">
        <f>IF(AND(#REF!&gt;=table!$C$10,#REF!&lt;= table!$D$10),-1,IF(AND(#REF!&gt;=table!$E$10,#REF!&lt;=table!$F$10),1,0))</f>
        <v>#REF!</v>
      </c>
      <c r="V3025" s="5" t="e">
        <f>IF(AND(#REF!&gt;=table!$C$11,#REF!&lt;= table!$D$11),-1,IF(AND(#REF!&gt;=table!$E$11,#REF!&lt;=table!$F$11),1,0))</f>
        <v>#REF!</v>
      </c>
      <c r="W3025" s="5" t="e">
        <f>CONCATENATE(dados[[#This Row],[fator1]],dados[[#This Row],[fator5]],dados[[#This Row],[fator6]])</f>
        <v>#REF!</v>
      </c>
    </row>
    <row r="3026" spans="1:23">
      <c r="A3026" t="s">
        <v>16</v>
      </c>
      <c r="B3026">
        <v>585802</v>
      </c>
      <c r="C3026">
        <v>7</v>
      </c>
      <c r="D3026">
        <v>33</v>
      </c>
      <c r="E3026">
        <v>150</v>
      </c>
      <c r="F3026">
        <v>4</v>
      </c>
      <c r="G3026">
        <v>0</v>
      </c>
      <c r="H3026">
        <v>25</v>
      </c>
      <c r="I3026">
        <v>1351</v>
      </c>
      <c r="J3026">
        <v>670</v>
      </c>
      <c r="K3026">
        <v>3.0950000000000002</v>
      </c>
      <c r="L3026">
        <v>10.85</v>
      </c>
      <c r="M3026">
        <v>82.05</v>
      </c>
      <c r="N3026">
        <v>16.600000000000001</v>
      </c>
      <c r="O3026">
        <v>1716</v>
      </c>
      <c r="P3026">
        <v>1215</v>
      </c>
      <c r="Q3026" s="5" t="e">
        <f>IF(AND(#REF!&gt;=table!$C$6,#REF!&lt;= table!$D$6),-1,IF(AND(#REF!&gt;=table!$E$6,#REF!&lt;=table!$F$6),1,0))</f>
        <v>#REF!</v>
      </c>
      <c r="R3026" s="5" t="e">
        <f>IF(AND(#REF!&gt;=table!$C$7,#REF!&lt;= table!$D$7),-1,IF(AND(#REF!&gt;=table!$E$7,#REF!&lt;=table!$F$7),1,0))</f>
        <v>#REF!</v>
      </c>
      <c r="S3026" s="5" t="e">
        <f>IF(AND(#REF!&gt;=table!$C$8,#REF!&lt;= table!$D$8),-1,IF(AND(#REF!&gt;=table!$E$8,#REF!&lt;=table!$F$8),1,0))</f>
        <v>#REF!</v>
      </c>
      <c r="T3026" s="5"/>
      <c r="U3026" s="5" t="e">
        <f>IF(AND(#REF!&gt;=table!$C$10,#REF!&lt;= table!$D$10),-1,IF(AND(#REF!&gt;=table!$E$10,#REF!&lt;=table!$F$10),1,0))</f>
        <v>#REF!</v>
      </c>
      <c r="V3026" s="5" t="e">
        <f>IF(AND(#REF!&gt;=table!$C$11,#REF!&lt;= table!$D$11),-1,IF(AND(#REF!&gt;=table!$E$11,#REF!&lt;=table!$F$11),1,0))</f>
        <v>#REF!</v>
      </c>
      <c r="W3026" s="5" t="e">
        <f>CONCATENATE(dados[[#This Row],[fator1]],dados[[#This Row],[fator5]],dados[[#This Row],[fator6]])</f>
        <v>#REF!</v>
      </c>
    </row>
    <row r="3027" spans="1:23">
      <c r="A3027" t="s">
        <v>17</v>
      </c>
      <c r="B3027">
        <v>585803</v>
      </c>
      <c r="C3027">
        <v>29</v>
      </c>
      <c r="D3027">
        <v>30</v>
      </c>
      <c r="E3027">
        <v>126</v>
      </c>
      <c r="F3027">
        <v>6</v>
      </c>
      <c r="G3027">
        <v>23</v>
      </c>
      <c r="H3027">
        <v>23</v>
      </c>
      <c r="I3027">
        <v>32</v>
      </c>
      <c r="J3027">
        <v>0</v>
      </c>
      <c r="K3027">
        <v>7.2250000000000005</v>
      </c>
      <c r="L3027">
        <v>14.8</v>
      </c>
      <c r="M3027">
        <v>73.56</v>
      </c>
      <c r="N3027">
        <v>14.585000000000001</v>
      </c>
      <c r="O3027">
        <v>1681</v>
      </c>
      <c r="P3027">
        <v>504</v>
      </c>
      <c r="Q3027" s="5" t="e">
        <f>IF(AND(#REF!&gt;=table!$C$6,#REF!&lt;= table!$D$6),-1,IF(AND(#REF!&gt;=table!$E$6,#REF!&lt;=table!$F$6),1,0))</f>
        <v>#REF!</v>
      </c>
      <c r="R3027" s="5" t="e">
        <f>IF(AND(#REF!&gt;=table!$C$7,#REF!&lt;= table!$D$7),-1,IF(AND(#REF!&gt;=table!$E$7,#REF!&lt;=table!$F$7),1,0))</f>
        <v>#REF!</v>
      </c>
      <c r="S3027" s="5" t="e">
        <f>IF(AND(#REF!&gt;=table!$C$8,#REF!&lt;= table!$D$8),-1,IF(AND(#REF!&gt;=table!$E$8,#REF!&lt;=table!$F$8),1,0))</f>
        <v>#REF!</v>
      </c>
      <c r="T3027" s="5"/>
      <c r="U3027" s="5" t="e">
        <f>IF(AND(#REF!&gt;=table!$C$10,#REF!&lt;= table!$D$10),-1,IF(AND(#REF!&gt;=table!$E$10,#REF!&lt;=table!$F$10),1,0))</f>
        <v>#REF!</v>
      </c>
      <c r="V3027" s="5" t="e">
        <f>IF(AND(#REF!&gt;=table!$C$11,#REF!&lt;= table!$D$11),-1,IF(AND(#REF!&gt;=table!$E$11,#REF!&lt;=table!$F$11),1,0))</f>
        <v>#REF!</v>
      </c>
      <c r="W3027" s="5" t="e">
        <f>CONCATENATE(dados[[#This Row],[fator1]],dados[[#This Row],[fator5]],dados[[#This Row],[fator6]])</f>
        <v>#REF!</v>
      </c>
    </row>
    <row r="3028" spans="1:23">
      <c r="A3028" t="s">
        <v>17</v>
      </c>
      <c r="B3028">
        <v>585804</v>
      </c>
      <c r="C3028">
        <v>29</v>
      </c>
      <c r="D3028">
        <v>30</v>
      </c>
      <c r="E3028">
        <v>126</v>
      </c>
      <c r="F3028">
        <v>6</v>
      </c>
      <c r="G3028">
        <v>23</v>
      </c>
      <c r="H3028">
        <v>23</v>
      </c>
      <c r="I3028">
        <v>1059</v>
      </c>
      <c r="J3028">
        <v>0</v>
      </c>
      <c r="K3028">
        <v>20.295000000000002</v>
      </c>
      <c r="L3028">
        <v>14.200000000000001</v>
      </c>
      <c r="M3028">
        <v>119.65</v>
      </c>
      <c r="N3028">
        <v>17.900000000000002</v>
      </c>
      <c r="O3028">
        <v>1680</v>
      </c>
      <c r="P3028">
        <v>201</v>
      </c>
      <c r="Q3028" s="5" t="e">
        <f>IF(AND(#REF!&gt;=table!$C$6,#REF!&lt;= table!$D$6),-1,IF(AND(#REF!&gt;=table!$E$6,#REF!&lt;=table!$F$6),1,0))</f>
        <v>#REF!</v>
      </c>
      <c r="R3028" s="5" t="e">
        <f>IF(AND(#REF!&gt;=table!$C$7,#REF!&lt;= table!$D$7),-1,IF(AND(#REF!&gt;=table!$E$7,#REF!&lt;=table!$F$7),1,0))</f>
        <v>#REF!</v>
      </c>
      <c r="S3028" s="5" t="e">
        <f>IF(AND(#REF!&gt;=table!$C$8,#REF!&lt;= table!$D$8),-1,IF(AND(#REF!&gt;=table!$E$8,#REF!&lt;=table!$F$8),1,0))</f>
        <v>#REF!</v>
      </c>
      <c r="T3028" s="5"/>
      <c r="U3028" s="5" t="e">
        <f>IF(AND(#REF!&gt;=table!$C$10,#REF!&lt;= table!$D$10),-1,IF(AND(#REF!&gt;=table!$E$10,#REF!&lt;=table!$F$10),1,0))</f>
        <v>#REF!</v>
      </c>
      <c r="V3028" s="5" t="e">
        <f>IF(AND(#REF!&gt;=table!$C$11,#REF!&lt;= table!$D$11),-1,IF(AND(#REF!&gt;=table!$E$11,#REF!&lt;=table!$F$11),1,0))</f>
        <v>#REF!</v>
      </c>
      <c r="W3028" s="5" t="e">
        <f>CONCATENATE(dados[[#This Row],[fator1]],dados[[#This Row],[fator5]],dados[[#This Row],[fator6]])</f>
        <v>#REF!</v>
      </c>
    </row>
    <row r="3029" spans="1:23">
      <c r="A3029" t="s">
        <v>16</v>
      </c>
      <c r="B3029">
        <v>585805</v>
      </c>
      <c r="C3029">
        <v>11</v>
      </c>
      <c r="D3029">
        <v>40</v>
      </c>
      <c r="E3029">
        <v>151</v>
      </c>
      <c r="F3029">
        <v>8</v>
      </c>
      <c r="G3029">
        <v>0</v>
      </c>
      <c r="H3029">
        <v>25</v>
      </c>
      <c r="I3029">
        <v>1300</v>
      </c>
      <c r="J3029">
        <v>780</v>
      </c>
      <c r="K3029">
        <v>36.815000000000005</v>
      </c>
      <c r="L3029">
        <v>23</v>
      </c>
      <c r="M3029">
        <v>99.965000000000003</v>
      </c>
      <c r="N3029">
        <v>10.935</v>
      </c>
      <c r="O3029">
        <v>1705</v>
      </c>
      <c r="P3029">
        <v>140</v>
      </c>
      <c r="Q3029" s="5" t="e">
        <f>IF(AND(#REF!&gt;=table!$C$6,#REF!&lt;= table!$D$6),-1,IF(AND(#REF!&gt;=table!$E$6,#REF!&lt;=table!$F$6),1,0))</f>
        <v>#REF!</v>
      </c>
      <c r="R3029" s="5" t="e">
        <f>IF(AND(#REF!&gt;=table!$C$7,#REF!&lt;= table!$D$7),-1,IF(AND(#REF!&gt;=table!$E$7,#REF!&lt;=table!$F$7),1,0))</f>
        <v>#REF!</v>
      </c>
      <c r="S3029" s="5" t="e">
        <f>IF(AND(#REF!&gt;=table!$C$8,#REF!&lt;= table!$D$8),-1,IF(AND(#REF!&gt;=table!$E$8,#REF!&lt;=table!$F$8),1,0))</f>
        <v>#REF!</v>
      </c>
      <c r="T3029" s="5"/>
      <c r="U3029" s="5" t="e">
        <f>IF(AND(#REF!&gt;=table!$C$10,#REF!&lt;= table!$D$10),-1,IF(AND(#REF!&gt;=table!$E$10,#REF!&lt;=table!$F$10),1,0))</f>
        <v>#REF!</v>
      </c>
      <c r="V3029" s="5" t="e">
        <f>IF(AND(#REF!&gt;=table!$C$11,#REF!&lt;= table!$D$11),-1,IF(AND(#REF!&gt;=table!$E$11,#REF!&lt;=table!$F$11),1,0))</f>
        <v>#REF!</v>
      </c>
      <c r="W3029" s="5" t="e">
        <f>CONCATENATE(dados[[#This Row],[fator1]],dados[[#This Row],[fator5]],dados[[#This Row],[fator6]])</f>
        <v>#REF!</v>
      </c>
    </row>
    <row r="3030" spans="1:23">
      <c r="A3030" t="s">
        <v>16</v>
      </c>
      <c r="B3030">
        <v>585809</v>
      </c>
      <c r="C3030">
        <v>8</v>
      </c>
      <c r="D3030">
        <v>27</v>
      </c>
      <c r="E3030">
        <v>86</v>
      </c>
      <c r="F3030">
        <v>8</v>
      </c>
      <c r="G3030">
        <v>0</v>
      </c>
      <c r="H3030">
        <v>22</v>
      </c>
      <c r="I3030">
        <v>533</v>
      </c>
      <c r="J3030">
        <v>0</v>
      </c>
      <c r="K3030">
        <v>6.19</v>
      </c>
      <c r="L3030">
        <v>10.565000000000001</v>
      </c>
      <c r="M3030">
        <v>78.984999999999999</v>
      </c>
      <c r="N3030">
        <v>17.555</v>
      </c>
      <c r="O3030">
        <v>1693</v>
      </c>
      <c r="P3030">
        <v>821</v>
      </c>
      <c r="Q3030" s="5" t="e">
        <f>IF(AND(#REF!&gt;=table!$C$6,#REF!&lt;= table!$D$6),-1,IF(AND(#REF!&gt;=table!$E$6,#REF!&lt;=table!$F$6),1,0))</f>
        <v>#REF!</v>
      </c>
      <c r="R3030" s="5" t="e">
        <f>IF(AND(#REF!&gt;=table!$C$7,#REF!&lt;= table!$D$7),-1,IF(AND(#REF!&gt;=table!$E$7,#REF!&lt;=table!$F$7),1,0))</f>
        <v>#REF!</v>
      </c>
      <c r="S3030" s="5" t="e">
        <f>IF(AND(#REF!&gt;=table!$C$8,#REF!&lt;= table!$D$8),-1,IF(AND(#REF!&gt;=table!$E$8,#REF!&lt;=table!$F$8),1,0))</f>
        <v>#REF!</v>
      </c>
      <c r="T3030" s="5"/>
      <c r="U3030" s="5" t="e">
        <f>IF(AND(#REF!&gt;=table!$C$10,#REF!&lt;= table!$D$10),-1,IF(AND(#REF!&gt;=table!$E$10,#REF!&lt;=table!$F$10),1,0))</f>
        <v>#REF!</v>
      </c>
      <c r="V3030" s="5" t="e">
        <f>IF(AND(#REF!&gt;=table!$C$11,#REF!&lt;= table!$D$11),-1,IF(AND(#REF!&gt;=table!$E$11,#REF!&lt;=table!$F$11),1,0))</f>
        <v>#REF!</v>
      </c>
      <c r="W3030" s="5" t="e">
        <f>CONCATENATE(dados[[#This Row],[fator1]],dados[[#This Row],[fator5]],dados[[#This Row],[fator6]])</f>
        <v>#REF!</v>
      </c>
    </row>
    <row r="3031" spans="1:23">
      <c r="A3031" t="s">
        <v>16</v>
      </c>
      <c r="B3031">
        <v>585811</v>
      </c>
      <c r="C3031">
        <v>8</v>
      </c>
      <c r="D3031">
        <v>27</v>
      </c>
      <c r="E3031">
        <v>90</v>
      </c>
      <c r="F3031">
        <v>8</v>
      </c>
      <c r="G3031">
        <v>0</v>
      </c>
      <c r="H3031">
        <v>22</v>
      </c>
      <c r="I3031">
        <v>1015</v>
      </c>
      <c r="J3031">
        <v>0</v>
      </c>
      <c r="K3031">
        <v>5.7250000000000005</v>
      </c>
      <c r="L3031">
        <v>11.85</v>
      </c>
      <c r="M3031">
        <v>53.15</v>
      </c>
      <c r="N3031">
        <v>11.65</v>
      </c>
      <c r="O3031">
        <v>1692</v>
      </c>
      <c r="P3031">
        <v>511</v>
      </c>
      <c r="Q3031" s="5" t="e">
        <f>IF(AND(#REF!&gt;=table!$C$6,#REF!&lt;= table!$D$6),-1,IF(AND(#REF!&gt;=table!$E$6,#REF!&lt;=table!$F$6),1,0))</f>
        <v>#REF!</v>
      </c>
      <c r="R3031" s="5" t="e">
        <f>IF(AND(#REF!&gt;=table!$C$7,#REF!&lt;= table!$D$7),-1,IF(AND(#REF!&gt;=table!$E$7,#REF!&lt;=table!$F$7),1,0))</f>
        <v>#REF!</v>
      </c>
      <c r="S3031" s="5" t="e">
        <f>IF(AND(#REF!&gt;=table!$C$8,#REF!&lt;= table!$D$8),-1,IF(AND(#REF!&gt;=table!$E$8,#REF!&lt;=table!$F$8),1,0))</f>
        <v>#REF!</v>
      </c>
      <c r="T3031" s="5"/>
      <c r="U3031" s="5" t="e">
        <f>IF(AND(#REF!&gt;=table!$C$10,#REF!&lt;= table!$D$10),-1,IF(AND(#REF!&gt;=table!$E$10,#REF!&lt;=table!$F$10),1,0))</f>
        <v>#REF!</v>
      </c>
      <c r="V3031" s="5" t="e">
        <f>IF(AND(#REF!&gt;=table!$C$11,#REF!&lt;= table!$D$11),-1,IF(AND(#REF!&gt;=table!$E$11,#REF!&lt;=table!$F$11),1,0))</f>
        <v>#REF!</v>
      </c>
      <c r="W3031" s="5" t="e">
        <f>CONCATENATE(dados[[#This Row],[fator1]],dados[[#This Row],[fator5]],dados[[#This Row],[fator6]])</f>
        <v>#REF!</v>
      </c>
    </row>
    <row r="3032" spans="1:23">
      <c r="A3032" t="s">
        <v>16</v>
      </c>
      <c r="B3032">
        <v>585812</v>
      </c>
      <c r="C3032">
        <v>8</v>
      </c>
      <c r="D3032">
        <v>27</v>
      </c>
      <c r="E3032">
        <v>86</v>
      </c>
      <c r="F3032">
        <v>9</v>
      </c>
      <c r="G3032">
        <v>0</v>
      </c>
      <c r="H3032">
        <v>25</v>
      </c>
      <c r="I3032">
        <v>952</v>
      </c>
      <c r="J3032">
        <v>0</v>
      </c>
      <c r="K3032">
        <v>5.2250000000000005</v>
      </c>
      <c r="L3032">
        <v>10.700000000000001</v>
      </c>
      <c r="M3032">
        <v>70.55</v>
      </c>
      <c r="N3032">
        <v>14.8</v>
      </c>
      <c r="O3032">
        <v>1687</v>
      </c>
      <c r="P3032">
        <v>0</v>
      </c>
      <c r="Q3032" s="5" t="e">
        <f>IF(AND(#REF!&gt;=table!$C$6,#REF!&lt;= table!$D$6),-1,IF(AND(#REF!&gt;=table!$E$6,#REF!&lt;=table!$F$6),1,0))</f>
        <v>#REF!</v>
      </c>
      <c r="R3032" s="5" t="e">
        <f>IF(AND(#REF!&gt;=table!$C$7,#REF!&lt;= table!$D$7),-1,IF(AND(#REF!&gt;=table!$E$7,#REF!&lt;=table!$F$7),1,0))</f>
        <v>#REF!</v>
      </c>
      <c r="S3032" s="5" t="e">
        <f>IF(AND(#REF!&gt;=table!$C$8,#REF!&lt;= table!$D$8),-1,IF(AND(#REF!&gt;=table!$E$8,#REF!&lt;=table!$F$8),1,0))</f>
        <v>#REF!</v>
      </c>
      <c r="T3032" s="5"/>
      <c r="U3032" s="5" t="e">
        <f>IF(AND(#REF!&gt;=table!$C$10,#REF!&lt;= table!$D$10),-1,IF(AND(#REF!&gt;=table!$E$10,#REF!&lt;=table!$F$10),1,0))</f>
        <v>#REF!</v>
      </c>
      <c r="V3032" s="5" t="e">
        <f>IF(AND(#REF!&gt;=table!$C$11,#REF!&lt;= table!$D$11),-1,IF(AND(#REF!&gt;=table!$E$11,#REF!&lt;=table!$F$11),1,0))</f>
        <v>#REF!</v>
      </c>
      <c r="W3032" s="5" t="e">
        <f>CONCATENATE(dados[[#This Row],[fator1]],dados[[#This Row],[fator5]],dados[[#This Row],[fator6]])</f>
        <v>#REF!</v>
      </c>
    </row>
    <row r="3033" spans="1:23">
      <c r="A3033" t="s">
        <v>16</v>
      </c>
      <c r="B3033">
        <v>585813</v>
      </c>
      <c r="C3033">
        <v>8</v>
      </c>
      <c r="D3033">
        <v>27</v>
      </c>
      <c r="E3033">
        <v>86</v>
      </c>
      <c r="F3033">
        <v>9</v>
      </c>
      <c r="G3033">
        <v>0</v>
      </c>
      <c r="H3033">
        <v>25</v>
      </c>
      <c r="I3033">
        <v>451</v>
      </c>
      <c r="J3033">
        <v>950</v>
      </c>
      <c r="K3033">
        <v>8.69</v>
      </c>
      <c r="L3033">
        <v>9.35</v>
      </c>
      <c r="M3033">
        <v>68.650000000000006</v>
      </c>
      <c r="N3033">
        <v>11.1</v>
      </c>
      <c r="O3033">
        <v>1629</v>
      </c>
      <c r="P3033">
        <v>403</v>
      </c>
      <c r="Q3033" s="5" t="e">
        <f>IF(AND(#REF!&gt;=table!$C$6,#REF!&lt;= table!$D$6),-1,IF(AND(#REF!&gt;=table!$E$6,#REF!&lt;=table!$F$6),1,0))</f>
        <v>#REF!</v>
      </c>
      <c r="R3033" s="5" t="e">
        <f>IF(AND(#REF!&gt;=table!$C$7,#REF!&lt;= table!$D$7),-1,IF(AND(#REF!&gt;=table!$E$7,#REF!&lt;=table!$F$7),1,0))</f>
        <v>#REF!</v>
      </c>
      <c r="S3033" s="5" t="e">
        <f>IF(AND(#REF!&gt;=table!$C$8,#REF!&lt;= table!$D$8),-1,IF(AND(#REF!&gt;=table!$E$8,#REF!&lt;=table!$F$8),1,0))</f>
        <v>#REF!</v>
      </c>
      <c r="T3033" s="5"/>
      <c r="U3033" s="5" t="e">
        <f>IF(AND(#REF!&gt;=table!$C$10,#REF!&lt;= table!$D$10),-1,IF(AND(#REF!&gt;=table!$E$10,#REF!&lt;=table!$F$10),1,0))</f>
        <v>#REF!</v>
      </c>
      <c r="V3033" s="5" t="e">
        <f>IF(AND(#REF!&gt;=table!$C$11,#REF!&lt;= table!$D$11),-1,IF(AND(#REF!&gt;=table!$E$11,#REF!&lt;=table!$F$11),1,0))</f>
        <v>#REF!</v>
      </c>
      <c r="W3033" s="5" t="e">
        <f>CONCATENATE(dados[[#This Row],[fator1]],dados[[#This Row],[fator5]],dados[[#This Row],[fator6]])</f>
        <v>#REF!</v>
      </c>
    </row>
    <row r="3034" spans="1:23">
      <c r="A3034" t="s">
        <v>16</v>
      </c>
      <c r="B3034">
        <v>585815</v>
      </c>
      <c r="C3034">
        <v>10</v>
      </c>
      <c r="D3034">
        <v>40</v>
      </c>
      <c r="E3034">
        <v>96</v>
      </c>
      <c r="F3034">
        <v>8</v>
      </c>
      <c r="G3034">
        <v>0</v>
      </c>
      <c r="H3034">
        <v>25</v>
      </c>
      <c r="I3034">
        <v>165</v>
      </c>
      <c r="J3034">
        <v>540</v>
      </c>
      <c r="K3034">
        <v>6.46</v>
      </c>
      <c r="L3034">
        <v>19.8</v>
      </c>
      <c r="M3034">
        <v>75.400000000000006</v>
      </c>
      <c r="N3034">
        <v>20.8</v>
      </c>
      <c r="O3034">
        <v>1707</v>
      </c>
      <c r="P3034">
        <v>679</v>
      </c>
      <c r="Q3034" s="5" t="e">
        <f>IF(AND(#REF!&gt;=table!$C$6,#REF!&lt;= table!$D$6),-1,IF(AND(#REF!&gt;=table!$E$6,#REF!&lt;=table!$F$6),1,0))</f>
        <v>#REF!</v>
      </c>
      <c r="R3034" s="5" t="e">
        <f>IF(AND(#REF!&gt;=table!$C$7,#REF!&lt;= table!$D$7),-1,IF(AND(#REF!&gt;=table!$E$7,#REF!&lt;=table!$F$7),1,0))</f>
        <v>#REF!</v>
      </c>
      <c r="S3034" s="5" t="e">
        <f>IF(AND(#REF!&gt;=table!$C$8,#REF!&lt;= table!$D$8),-1,IF(AND(#REF!&gt;=table!$E$8,#REF!&lt;=table!$F$8),1,0))</f>
        <v>#REF!</v>
      </c>
      <c r="T3034" s="5"/>
      <c r="U3034" s="5" t="e">
        <f>IF(AND(#REF!&gt;=table!$C$10,#REF!&lt;= table!$D$10),-1,IF(AND(#REF!&gt;=table!$E$10,#REF!&lt;=table!$F$10),1,0))</f>
        <v>#REF!</v>
      </c>
      <c r="V3034" s="5" t="e">
        <f>IF(AND(#REF!&gt;=table!$C$11,#REF!&lt;= table!$D$11),-1,IF(AND(#REF!&gt;=table!$E$11,#REF!&lt;=table!$F$11),1,0))</f>
        <v>#REF!</v>
      </c>
      <c r="W3034" s="5" t="e">
        <f>CONCATENATE(dados[[#This Row],[fator1]],dados[[#This Row],[fator5]],dados[[#This Row],[fator6]])</f>
        <v>#REF!</v>
      </c>
    </row>
    <row r="3035" spans="1:23">
      <c r="A3035" t="s">
        <v>16</v>
      </c>
      <c r="B3035">
        <v>585816</v>
      </c>
      <c r="C3035">
        <v>3</v>
      </c>
      <c r="D3035">
        <v>30</v>
      </c>
      <c r="E3035">
        <v>21</v>
      </c>
      <c r="F3035">
        <v>15</v>
      </c>
      <c r="G3035">
        <v>0</v>
      </c>
      <c r="H3035">
        <v>25</v>
      </c>
      <c r="I3035">
        <v>2</v>
      </c>
      <c r="J3035">
        <v>0</v>
      </c>
      <c r="K3035">
        <v>5.72</v>
      </c>
      <c r="L3035">
        <v>14.35</v>
      </c>
      <c r="M3035">
        <v>12.75</v>
      </c>
      <c r="N3035">
        <v>12.25</v>
      </c>
      <c r="O3035">
        <v>1675</v>
      </c>
      <c r="P3035">
        <v>0</v>
      </c>
      <c r="Q3035" s="5" t="e">
        <f>IF(AND(#REF!&gt;=table!$C$6,#REF!&lt;= table!$D$6),-1,IF(AND(#REF!&gt;=table!$E$6,#REF!&lt;=table!$F$6),1,0))</f>
        <v>#REF!</v>
      </c>
      <c r="R3035" s="5" t="e">
        <f>IF(AND(#REF!&gt;=table!$C$7,#REF!&lt;= table!$D$7),-1,IF(AND(#REF!&gt;=table!$E$7,#REF!&lt;=table!$F$7),1,0))</f>
        <v>#REF!</v>
      </c>
      <c r="S3035" s="5" t="e">
        <f>IF(AND(#REF!&gt;=table!$C$8,#REF!&lt;= table!$D$8),-1,IF(AND(#REF!&gt;=table!$E$8,#REF!&lt;=table!$F$8),1,0))</f>
        <v>#REF!</v>
      </c>
      <c r="T3035" s="5"/>
      <c r="U3035" s="5" t="e">
        <f>IF(AND(#REF!&gt;=table!$C$10,#REF!&lt;= table!$D$10),-1,IF(AND(#REF!&gt;=table!$E$10,#REF!&lt;=table!$F$10),1,0))</f>
        <v>#REF!</v>
      </c>
      <c r="V3035" s="5" t="e">
        <f>IF(AND(#REF!&gt;=table!$C$11,#REF!&lt;= table!$D$11),-1,IF(AND(#REF!&gt;=table!$E$11,#REF!&lt;=table!$F$11),1,0))</f>
        <v>#REF!</v>
      </c>
      <c r="W3035" s="5" t="e">
        <f>CONCATENATE(dados[[#This Row],[fator1]],dados[[#This Row],[fator5]],dados[[#This Row],[fator6]])</f>
        <v>#REF!</v>
      </c>
    </row>
    <row r="3036" spans="1:23">
      <c r="A3036" t="s">
        <v>16</v>
      </c>
      <c r="B3036">
        <v>585817</v>
      </c>
      <c r="C3036">
        <v>3</v>
      </c>
      <c r="D3036">
        <v>30</v>
      </c>
      <c r="E3036">
        <v>21</v>
      </c>
      <c r="F3036">
        <v>15</v>
      </c>
      <c r="G3036">
        <v>0</v>
      </c>
      <c r="H3036">
        <v>25</v>
      </c>
      <c r="I3036">
        <v>1044</v>
      </c>
      <c r="J3036">
        <v>0</v>
      </c>
      <c r="K3036">
        <v>4.58</v>
      </c>
      <c r="L3036">
        <v>12.48</v>
      </c>
      <c r="M3036">
        <v>18.900000000000002</v>
      </c>
      <c r="N3036">
        <v>13.6</v>
      </c>
      <c r="O3036">
        <v>1648</v>
      </c>
      <c r="P3036">
        <v>0</v>
      </c>
      <c r="Q3036" s="5" t="e">
        <f>IF(AND(#REF!&gt;=table!$C$6,#REF!&lt;= table!$D$6),-1,IF(AND(#REF!&gt;=table!$E$6,#REF!&lt;=table!$F$6),1,0))</f>
        <v>#REF!</v>
      </c>
      <c r="R3036" s="5" t="e">
        <f>IF(AND(#REF!&gt;=table!$C$7,#REF!&lt;= table!$D$7),-1,IF(AND(#REF!&gt;=table!$E$7,#REF!&lt;=table!$F$7),1,0))</f>
        <v>#REF!</v>
      </c>
      <c r="S3036" s="5" t="e">
        <f>IF(AND(#REF!&gt;=table!$C$8,#REF!&lt;= table!$D$8),-1,IF(AND(#REF!&gt;=table!$E$8,#REF!&lt;=table!$F$8),1,0))</f>
        <v>#REF!</v>
      </c>
      <c r="T3036" s="5"/>
      <c r="U3036" s="5" t="e">
        <f>IF(AND(#REF!&gt;=table!$C$10,#REF!&lt;= table!$D$10),-1,IF(AND(#REF!&gt;=table!$E$10,#REF!&lt;=table!$F$10),1,0))</f>
        <v>#REF!</v>
      </c>
      <c r="V3036" s="5" t="e">
        <f>IF(AND(#REF!&gt;=table!$C$11,#REF!&lt;= table!$D$11),-1,IF(AND(#REF!&gt;=table!$E$11,#REF!&lt;=table!$F$11),1,0))</f>
        <v>#REF!</v>
      </c>
      <c r="W3036" s="5" t="e">
        <f>CONCATENATE(dados[[#This Row],[fator1]],dados[[#This Row],[fator5]],dados[[#This Row],[fator6]])</f>
        <v>#REF!</v>
      </c>
    </row>
    <row r="3037" spans="1:23">
      <c r="A3037" t="s">
        <v>16</v>
      </c>
      <c r="B3037">
        <v>585818</v>
      </c>
      <c r="C3037">
        <v>3</v>
      </c>
      <c r="D3037">
        <v>30</v>
      </c>
      <c r="E3037">
        <v>21</v>
      </c>
      <c r="F3037">
        <v>15</v>
      </c>
      <c r="G3037">
        <v>0</v>
      </c>
      <c r="H3037">
        <v>25</v>
      </c>
      <c r="I3037">
        <v>661</v>
      </c>
      <c r="J3037">
        <v>0</v>
      </c>
      <c r="K3037">
        <v>4.9000000000000004</v>
      </c>
      <c r="L3037">
        <v>12.35</v>
      </c>
      <c r="M3037">
        <v>15.450000000000001</v>
      </c>
      <c r="N3037">
        <v>12.3</v>
      </c>
      <c r="O3037">
        <v>1665</v>
      </c>
      <c r="P3037">
        <v>698</v>
      </c>
      <c r="Q3037" s="5" t="e">
        <f>IF(AND(#REF!&gt;=table!$C$6,#REF!&lt;= table!$D$6),-1,IF(AND(#REF!&gt;=table!$E$6,#REF!&lt;=table!$F$6),1,0))</f>
        <v>#REF!</v>
      </c>
      <c r="R3037" s="5" t="e">
        <f>IF(AND(#REF!&gt;=table!$C$7,#REF!&lt;= table!$D$7),-1,IF(AND(#REF!&gt;=table!$E$7,#REF!&lt;=table!$F$7),1,0))</f>
        <v>#REF!</v>
      </c>
      <c r="S3037" s="5" t="e">
        <f>IF(AND(#REF!&gt;=table!$C$8,#REF!&lt;= table!$D$8),-1,IF(AND(#REF!&gt;=table!$E$8,#REF!&lt;=table!$F$8),1,0))</f>
        <v>#REF!</v>
      </c>
      <c r="T3037" s="5"/>
      <c r="U3037" s="5" t="e">
        <f>IF(AND(#REF!&gt;=table!$C$10,#REF!&lt;= table!$D$10),-1,IF(AND(#REF!&gt;=table!$E$10,#REF!&lt;=table!$F$10),1,0))</f>
        <v>#REF!</v>
      </c>
      <c r="V3037" s="5" t="e">
        <f>IF(AND(#REF!&gt;=table!$C$11,#REF!&lt;= table!$D$11),-1,IF(AND(#REF!&gt;=table!$E$11,#REF!&lt;=table!$F$11),1,0))</f>
        <v>#REF!</v>
      </c>
      <c r="W3037" s="5" t="e">
        <f>CONCATENATE(dados[[#This Row],[fator1]],dados[[#This Row],[fator5]],dados[[#This Row],[fator6]])</f>
        <v>#REF!</v>
      </c>
    </row>
    <row r="3038" spans="1:23">
      <c r="A3038" t="s">
        <v>17</v>
      </c>
      <c r="B3038">
        <v>585824</v>
      </c>
      <c r="C3038">
        <v>18</v>
      </c>
      <c r="D3038">
        <v>30</v>
      </c>
      <c r="E3038">
        <v>160</v>
      </c>
      <c r="F3038">
        <v>4</v>
      </c>
      <c r="G3038">
        <v>20</v>
      </c>
      <c r="H3038">
        <v>25</v>
      </c>
      <c r="I3038">
        <v>1020</v>
      </c>
      <c r="J3038">
        <v>0</v>
      </c>
      <c r="K3038">
        <v>5.68</v>
      </c>
      <c r="L3038">
        <v>12.35</v>
      </c>
      <c r="M3038">
        <v>110.2</v>
      </c>
      <c r="N3038">
        <v>16.8</v>
      </c>
      <c r="O3038">
        <v>1692</v>
      </c>
      <c r="P3038">
        <v>944</v>
      </c>
      <c r="Q3038" s="5" t="e">
        <f>IF(AND(#REF!&gt;=table!$C$6,#REF!&lt;= table!$D$6),-1,IF(AND(#REF!&gt;=table!$E$6,#REF!&lt;=table!$F$6),1,0))</f>
        <v>#REF!</v>
      </c>
      <c r="R3038" s="5" t="e">
        <f>IF(AND(#REF!&gt;=table!$C$7,#REF!&lt;= table!$D$7),-1,IF(AND(#REF!&gt;=table!$E$7,#REF!&lt;=table!$F$7),1,0))</f>
        <v>#REF!</v>
      </c>
      <c r="S3038" s="5" t="e">
        <f>IF(AND(#REF!&gt;=table!$C$8,#REF!&lt;= table!$D$8),-1,IF(AND(#REF!&gt;=table!$E$8,#REF!&lt;=table!$F$8),1,0))</f>
        <v>#REF!</v>
      </c>
      <c r="T3038" s="5"/>
      <c r="U3038" s="5" t="e">
        <f>IF(AND(#REF!&gt;=table!$C$10,#REF!&lt;= table!$D$10),-1,IF(AND(#REF!&gt;=table!$E$10,#REF!&lt;=table!$F$10),1,0))</f>
        <v>#REF!</v>
      </c>
      <c r="V3038" s="5" t="e">
        <f>IF(AND(#REF!&gt;=table!$C$11,#REF!&lt;= table!$D$11),-1,IF(AND(#REF!&gt;=table!$E$11,#REF!&lt;=table!$F$11),1,0))</f>
        <v>#REF!</v>
      </c>
      <c r="W3038" s="5" t="e">
        <f>CONCATENATE(dados[[#This Row],[fator1]],dados[[#This Row],[fator5]],dados[[#This Row],[fator6]])</f>
        <v>#REF!</v>
      </c>
    </row>
    <row r="3039" spans="1:23">
      <c r="A3039" t="s">
        <v>16</v>
      </c>
      <c r="B3039">
        <v>585829</v>
      </c>
      <c r="C3039">
        <v>0.15</v>
      </c>
      <c r="D3039">
        <v>35</v>
      </c>
      <c r="E3039">
        <v>15</v>
      </c>
      <c r="F3039">
        <v>10</v>
      </c>
      <c r="G3039">
        <v>0</v>
      </c>
      <c r="H3039">
        <v>12</v>
      </c>
      <c r="I3039">
        <v>176</v>
      </c>
      <c r="J3039">
        <v>0</v>
      </c>
      <c r="K3039">
        <v>6.6450000000000005</v>
      </c>
      <c r="L3039">
        <v>11.9</v>
      </c>
      <c r="M3039">
        <v>10.25</v>
      </c>
      <c r="N3039">
        <v>11.5</v>
      </c>
      <c r="O3039">
        <v>1700</v>
      </c>
      <c r="P3039">
        <v>574</v>
      </c>
      <c r="Q3039" s="5" t="e">
        <f>IF(AND(#REF!&gt;=table!$C$6,#REF!&lt;= table!$D$6),-1,IF(AND(#REF!&gt;=table!$E$6,#REF!&lt;=table!$F$6),1,0))</f>
        <v>#REF!</v>
      </c>
      <c r="R3039" s="5" t="e">
        <f>IF(AND(#REF!&gt;=table!$C$7,#REF!&lt;= table!$D$7),-1,IF(AND(#REF!&gt;=table!$E$7,#REF!&lt;=table!$F$7),1,0))</f>
        <v>#REF!</v>
      </c>
      <c r="S3039" s="5" t="e">
        <f>IF(AND(#REF!&gt;=table!$C$8,#REF!&lt;= table!$D$8),-1,IF(AND(#REF!&gt;=table!$E$8,#REF!&lt;=table!$F$8),1,0))</f>
        <v>#REF!</v>
      </c>
      <c r="T3039" s="5"/>
      <c r="U3039" s="5" t="e">
        <f>IF(AND(#REF!&gt;=table!$C$10,#REF!&lt;= table!$D$10),-1,IF(AND(#REF!&gt;=table!$E$10,#REF!&lt;=table!$F$10),1,0))</f>
        <v>#REF!</v>
      </c>
      <c r="V3039" s="5" t="e">
        <f>IF(AND(#REF!&gt;=table!$C$11,#REF!&lt;= table!$D$11),-1,IF(AND(#REF!&gt;=table!$E$11,#REF!&lt;=table!$F$11),1,0))</f>
        <v>#REF!</v>
      </c>
      <c r="W3039" s="5" t="e">
        <f>CONCATENATE(dados[[#This Row],[fator1]],dados[[#This Row],[fator5]],dados[[#This Row],[fator6]])</f>
        <v>#REF!</v>
      </c>
    </row>
    <row r="3040" spans="1:23">
      <c r="A3040" t="s">
        <v>16</v>
      </c>
      <c r="B3040">
        <v>585832</v>
      </c>
      <c r="C3040">
        <v>0.15</v>
      </c>
      <c r="D3040">
        <v>35</v>
      </c>
      <c r="E3040">
        <v>15</v>
      </c>
      <c r="F3040">
        <v>10</v>
      </c>
      <c r="G3040">
        <v>0</v>
      </c>
      <c r="H3040">
        <v>12</v>
      </c>
      <c r="I3040">
        <v>68</v>
      </c>
      <c r="J3040">
        <v>0</v>
      </c>
      <c r="K3040">
        <v>6.59</v>
      </c>
      <c r="L3040">
        <v>12.25</v>
      </c>
      <c r="M3040">
        <v>10.450000000000001</v>
      </c>
      <c r="N3040">
        <v>7.7</v>
      </c>
      <c r="O3040">
        <v>1664</v>
      </c>
      <c r="P3040">
        <v>518</v>
      </c>
      <c r="Q3040" s="5" t="e">
        <f>IF(AND(#REF!&gt;=table!$C$6,#REF!&lt;= table!$D$6),-1,IF(AND(#REF!&gt;=table!$E$6,#REF!&lt;=table!$F$6),1,0))</f>
        <v>#REF!</v>
      </c>
      <c r="R3040" s="5" t="e">
        <f>IF(AND(#REF!&gt;=table!$C$7,#REF!&lt;= table!$D$7),-1,IF(AND(#REF!&gt;=table!$E$7,#REF!&lt;=table!$F$7),1,0))</f>
        <v>#REF!</v>
      </c>
      <c r="S3040" s="5" t="e">
        <f>IF(AND(#REF!&gt;=table!$C$8,#REF!&lt;= table!$D$8),-1,IF(AND(#REF!&gt;=table!$E$8,#REF!&lt;=table!$F$8),1,0))</f>
        <v>#REF!</v>
      </c>
      <c r="T3040" s="5"/>
      <c r="U3040" s="5" t="e">
        <f>IF(AND(#REF!&gt;=table!$C$10,#REF!&lt;= table!$D$10),-1,IF(AND(#REF!&gt;=table!$E$10,#REF!&lt;=table!$F$10),1,0))</f>
        <v>#REF!</v>
      </c>
      <c r="V3040" s="5" t="e">
        <f>IF(AND(#REF!&gt;=table!$C$11,#REF!&lt;= table!$D$11),-1,IF(AND(#REF!&gt;=table!$E$11,#REF!&lt;=table!$F$11),1,0))</f>
        <v>#REF!</v>
      </c>
      <c r="W3040" s="5" t="e">
        <f>CONCATENATE(dados[[#This Row],[fator1]],dados[[#This Row],[fator5]],dados[[#This Row],[fator6]])</f>
        <v>#REF!</v>
      </c>
    </row>
    <row r="3041" spans="1:23">
      <c r="A3041" t="s">
        <v>17</v>
      </c>
      <c r="B3041">
        <v>585835</v>
      </c>
      <c r="C3041">
        <v>9</v>
      </c>
      <c r="D3041">
        <v>30</v>
      </c>
      <c r="E3041">
        <v>160</v>
      </c>
      <c r="F3041">
        <v>3</v>
      </c>
      <c r="G3041">
        <v>30</v>
      </c>
      <c r="H3041">
        <v>18</v>
      </c>
      <c r="I3041">
        <v>66</v>
      </c>
      <c r="J3041">
        <v>0</v>
      </c>
      <c r="K3041">
        <v>2.9250000000000003</v>
      </c>
      <c r="L3041">
        <v>4.8</v>
      </c>
      <c r="M3041">
        <v>144.30000000000001</v>
      </c>
      <c r="N3041">
        <v>9.2000000000000011</v>
      </c>
      <c r="O3041">
        <v>1665</v>
      </c>
      <c r="P3041">
        <v>1003</v>
      </c>
      <c r="Q3041" s="5" t="e">
        <f>IF(AND(#REF!&gt;=table!$C$6,#REF!&lt;= table!$D$6),-1,IF(AND(#REF!&gt;=table!$E$6,#REF!&lt;=table!$F$6),1,0))</f>
        <v>#REF!</v>
      </c>
      <c r="R3041" s="5" t="e">
        <f>IF(AND(#REF!&gt;=table!$C$7,#REF!&lt;= table!$D$7),-1,IF(AND(#REF!&gt;=table!$E$7,#REF!&lt;=table!$F$7),1,0))</f>
        <v>#REF!</v>
      </c>
      <c r="S3041" s="5" t="e">
        <f>IF(AND(#REF!&gt;=table!$C$8,#REF!&lt;= table!$D$8),-1,IF(AND(#REF!&gt;=table!$E$8,#REF!&lt;=table!$F$8),1,0))</f>
        <v>#REF!</v>
      </c>
      <c r="T3041" s="5"/>
      <c r="U3041" s="5" t="e">
        <f>IF(AND(#REF!&gt;=table!$C$10,#REF!&lt;= table!$D$10),-1,IF(AND(#REF!&gt;=table!$E$10,#REF!&lt;=table!$F$10),1,0))</f>
        <v>#REF!</v>
      </c>
      <c r="V3041" s="5" t="e">
        <f>IF(AND(#REF!&gt;=table!$C$11,#REF!&lt;= table!$D$11),-1,IF(AND(#REF!&gt;=table!$E$11,#REF!&lt;=table!$F$11),1,0))</f>
        <v>#REF!</v>
      </c>
      <c r="W3041" s="5" t="e">
        <f>CONCATENATE(dados[[#This Row],[fator1]],dados[[#This Row],[fator5]],dados[[#This Row],[fator6]])</f>
        <v>#REF!</v>
      </c>
    </row>
    <row r="3042" spans="1:23">
      <c r="A3042" t="s">
        <v>17</v>
      </c>
      <c r="B3042">
        <v>585837</v>
      </c>
      <c r="C3042">
        <v>9</v>
      </c>
      <c r="D3042">
        <v>30</v>
      </c>
      <c r="E3042">
        <v>160</v>
      </c>
      <c r="F3042">
        <v>3</v>
      </c>
      <c r="G3042">
        <v>30</v>
      </c>
      <c r="H3042">
        <v>18</v>
      </c>
      <c r="I3042">
        <v>0</v>
      </c>
      <c r="J3042">
        <v>0</v>
      </c>
      <c r="K3042">
        <v>4.7700000000000005</v>
      </c>
      <c r="L3042">
        <v>8.1999999999999993</v>
      </c>
      <c r="M3042">
        <v>146.5333</v>
      </c>
      <c r="N3042">
        <v>9.3000000000000007</v>
      </c>
      <c r="O3042">
        <v>1693</v>
      </c>
      <c r="P3042">
        <v>429</v>
      </c>
      <c r="Q3042" s="5" t="e">
        <f>IF(AND(#REF!&gt;=table!$C$6,#REF!&lt;= table!$D$6),-1,IF(AND(#REF!&gt;=table!$E$6,#REF!&lt;=table!$F$6),1,0))</f>
        <v>#REF!</v>
      </c>
      <c r="R3042" s="5" t="e">
        <f>IF(AND(#REF!&gt;=table!$C$7,#REF!&lt;= table!$D$7),-1,IF(AND(#REF!&gt;=table!$E$7,#REF!&lt;=table!$F$7),1,0))</f>
        <v>#REF!</v>
      </c>
      <c r="S3042" s="5" t="e">
        <f>IF(AND(#REF!&gt;=table!$C$8,#REF!&lt;= table!$D$8),-1,IF(AND(#REF!&gt;=table!$E$8,#REF!&lt;=table!$F$8),1,0))</f>
        <v>#REF!</v>
      </c>
      <c r="T3042" s="5"/>
      <c r="U3042" s="5" t="e">
        <f>IF(AND(#REF!&gt;=table!$C$10,#REF!&lt;= table!$D$10),-1,IF(AND(#REF!&gt;=table!$E$10,#REF!&lt;=table!$F$10),1,0))</f>
        <v>#REF!</v>
      </c>
      <c r="V3042" s="5" t="e">
        <f>IF(AND(#REF!&gt;=table!$C$11,#REF!&lt;= table!$D$11),-1,IF(AND(#REF!&gt;=table!$E$11,#REF!&lt;=table!$F$11),1,0))</f>
        <v>#REF!</v>
      </c>
      <c r="W3042" s="5" t="e">
        <f>CONCATENATE(dados[[#This Row],[fator1]],dados[[#This Row],[fator5]],dados[[#This Row],[fator6]])</f>
        <v>#REF!</v>
      </c>
    </row>
    <row r="3043" spans="1:23">
      <c r="A3043" t="s">
        <v>17</v>
      </c>
      <c r="B3043">
        <v>585839</v>
      </c>
      <c r="C3043">
        <v>9</v>
      </c>
      <c r="D3043">
        <v>30</v>
      </c>
      <c r="E3043">
        <v>160</v>
      </c>
      <c r="F3043">
        <v>3</v>
      </c>
      <c r="G3043">
        <v>30</v>
      </c>
      <c r="H3043">
        <v>18</v>
      </c>
      <c r="I3043">
        <v>238</v>
      </c>
      <c r="J3043">
        <v>0</v>
      </c>
      <c r="K3043">
        <v>4.6100000000000003</v>
      </c>
      <c r="L3043">
        <v>9.3000000000000007</v>
      </c>
      <c r="M3043">
        <v>143.45000000000002</v>
      </c>
      <c r="N3043">
        <v>12.1</v>
      </c>
      <c r="O3043">
        <v>1685</v>
      </c>
      <c r="P3043">
        <v>0</v>
      </c>
      <c r="Q3043" s="5" t="e">
        <f>IF(AND(#REF!&gt;=table!$C$6,#REF!&lt;= table!$D$6),-1,IF(AND(#REF!&gt;=table!$E$6,#REF!&lt;=table!$F$6),1,0))</f>
        <v>#REF!</v>
      </c>
      <c r="R3043" s="5" t="e">
        <f>IF(AND(#REF!&gt;=table!$C$7,#REF!&lt;= table!$D$7),-1,IF(AND(#REF!&gt;=table!$E$7,#REF!&lt;=table!$F$7),1,0))</f>
        <v>#REF!</v>
      </c>
      <c r="S3043" s="5" t="e">
        <f>IF(AND(#REF!&gt;=table!$C$8,#REF!&lt;= table!$D$8),-1,IF(AND(#REF!&gt;=table!$E$8,#REF!&lt;=table!$F$8),1,0))</f>
        <v>#REF!</v>
      </c>
      <c r="T3043" s="5"/>
      <c r="U3043" s="5" t="e">
        <f>IF(AND(#REF!&gt;=table!$C$10,#REF!&lt;= table!$D$10),-1,IF(AND(#REF!&gt;=table!$E$10,#REF!&lt;=table!$F$10),1,0))</f>
        <v>#REF!</v>
      </c>
      <c r="V3043" s="5" t="e">
        <f>IF(AND(#REF!&gt;=table!$C$11,#REF!&lt;= table!$D$11),-1,IF(AND(#REF!&gt;=table!$E$11,#REF!&lt;=table!$F$11),1,0))</f>
        <v>#REF!</v>
      </c>
      <c r="W3043" s="5" t="e">
        <f>CONCATENATE(dados[[#This Row],[fator1]],dados[[#This Row],[fator5]],dados[[#This Row],[fator6]])</f>
        <v>#REF!</v>
      </c>
    </row>
    <row r="3044" spans="1:23">
      <c r="A3044" t="s">
        <v>18</v>
      </c>
      <c r="B3044">
        <v>585840</v>
      </c>
      <c r="C3044">
        <v>3</v>
      </c>
      <c r="D3044">
        <v>5</v>
      </c>
      <c r="E3044">
        <v>26</v>
      </c>
      <c r="F3044">
        <v>15</v>
      </c>
      <c r="G3044">
        <v>42</v>
      </c>
      <c r="H3044">
        <v>30</v>
      </c>
      <c r="I3044">
        <v>7</v>
      </c>
      <c r="J3044">
        <v>0</v>
      </c>
      <c r="K3044">
        <v>5.7450000000000001</v>
      </c>
      <c r="L3044">
        <v>12.1</v>
      </c>
      <c r="M3044">
        <v>19.55</v>
      </c>
      <c r="N3044">
        <v>11.5</v>
      </c>
      <c r="O3044">
        <v>1679</v>
      </c>
      <c r="P3044">
        <v>619</v>
      </c>
      <c r="Q3044" s="5" t="e">
        <f>IF(AND(#REF!&gt;=table!$C$6,#REF!&lt;= table!$D$6),-1,IF(AND(#REF!&gt;=table!$E$6,#REF!&lt;=table!$F$6),1,0))</f>
        <v>#REF!</v>
      </c>
      <c r="R3044" s="5" t="e">
        <f>IF(AND(#REF!&gt;=table!$C$7,#REF!&lt;= table!$D$7),-1,IF(AND(#REF!&gt;=table!$E$7,#REF!&lt;=table!$F$7),1,0))</f>
        <v>#REF!</v>
      </c>
      <c r="S3044" s="5" t="e">
        <f>IF(AND(#REF!&gt;=table!$C$8,#REF!&lt;= table!$D$8),-1,IF(AND(#REF!&gt;=table!$E$8,#REF!&lt;=table!$F$8),1,0))</f>
        <v>#REF!</v>
      </c>
      <c r="T3044" s="5"/>
      <c r="U3044" s="5" t="e">
        <f>IF(AND(#REF!&gt;=table!$C$10,#REF!&lt;= table!$D$10),-1,IF(AND(#REF!&gt;=table!$E$10,#REF!&lt;=table!$F$10),1,0))</f>
        <v>#REF!</v>
      </c>
      <c r="V3044" s="5" t="e">
        <f>IF(AND(#REF!&gt;=table!$C$11,#REF!&lt;= table!$D$11),-1,IF(AND(#REF!&gt;=table!$E$11,#REF!&lt;=table!$F$11),1,0))</f>
        <v>#REF!</v>
      </c>
      <c r="W3044" s="5" t="e">
        <f>CONCATENATE(dados[[#This Row],[fator1]],dados[[#This Row],[fator5]],dados[[#This Row],[fator6]])</f>
        <v>#REF!</v>
      </c>
    </row>
    <row r="3045" spans="1:23">
      <c r="A3045" t="s">
        <v>17</v>
      </c>
      <c r="B3045">
        <v>585844</v>
      </c>
      <c r="C3045">
        <v>7</v>
      </c>
      <c r="D3045">
        <v>30</v>
      </c>
      <c r="E3045">
        <v>175</v>
      </c>
      <c r="F3045">
        <v>3</v>
      </c>
      <c r="G3045">
        <v>25</v>
      </c>
      <c r="H3045">
        <v>18</v>
      </c>
      <c r="I3045">
        <v>241</v>
      </c>
      <c r="J3045">
        <v>910</v>
      </c>
      <c r="K3045">
        <v>2.99</v>
      </c>
      <c r="L3045">
        <v>3.45</v>
      </c>
      <c r="M3045">
        <v>171.70000000000002</v>
      </c>
      <c r="N3045">
        <v>11.8</v>
      </c>
      <c r="O3045">
        <v>1657</v>
      </c>
      <c r="P3045">
        <v>0</v>
      </c>
      <c r="Q3045" s="5" t="e">
        <f>IF(AND(#REF!&gt;=table!$C$6,#REF!&lt;= table!$D$6),-1,IF(AND(#REF!&gt;=table!$E$6,#REF!&lt;=table!$F$6),1,0))</f>
        <v>#REF!</v>
      </c>
      <c r="R3045" s="5" t="e">
        <f>IF(AND(#REF!&gt;=table!$C$7,#REF!&lt;= table!$D$7),-1,IF(AND(#REF!&gt;=table!$E$7,#REF!&lt;=table!$F$7),1,0))</f>
        <v>#REF!</v>
      </c>
      <c r="S3045" s="5" t="e">
        <f>IF(AND(#REF!&gt;=table!$C$8,#REF!&lt;= table!$D$8),-1,IF(AND(#REF!&gt;=table!$E$8,#REF!&lt;=table!$F$8),1,0))</f>
        <v>#REF!</v>
      </c>
      <c r="T3045" s="5"/>
      <c r="U3045" s="5" t="e">
        <f>IF(AND(#REF!&gt;=table!$C$10,#REF!&lt;= table!$D$10),-1,IF(AND(#REF!&gt;=table!$E$10,#REF!&lt;=table!$F$10),1,0))</f>
        <v>#REF!</v>
      </c>
      <c r="V3045" s="5" t="e">
        <f>IF(AND(#REF!&gt;=table!$C$11,#REF!&lt;= table!$D$11),-1,IF(AND(#REF!&gt;=table!$E$11,#REF!&lt;=table!$F$11),1,0))</f>
        <v>#REF!</v>
      </c>
      <c r="W3045" s="5" t="e">
        <f>CONCATENATE(dados[[#This Row],[fator1]],dados[[#This Row],[fator5]],dados[[#This Row],[fator6]])</f>
        <v>#REF!</v>
      </c>
    </row>
    <row r="3046" spans="1:23">
      <c r="A3046" t="s">
        <v>17</v>
      </c>
      <c r="B3046">
        <v>585846</v>
      </c>
      <c r="C3046">
        <v>7</v>
      </c>
      <c r="D3046">
        <v>30</v>
      </c>
      <c r="E3046">
        <v>175</v>
      </c>
      <c r="F3046">
        <v>3</v>
      </c>
      <c r="G3046">
        <v>25</v>
      </c>
      <c r="H3046">
        <v>18</v>
      </c>
      <c r="I3046">
        <v>855</v>
      </c>
      <c r="J3046">
        <v>0</v>
      </c>
      <c r="K3046">
        <v>2.8650000000000002</v>
      </c>
      <c r="L3046">
        <v>3.9</v>
      </c>
      <c r="M3046">
        <v>147.45000000000002</v>
      </c>
      <c r="N3046">
        <v>12.5</v>
      </c>
      <c r="O3046">
        <v>1686</v>
      </c>
      <c r="P3046">
        <v>1409</v>
      </c>
      <c r="Q3046" s="5" t="e">
        <f>IF(AND(#REF!&gt;=table!$C$6,#REF!&lt;= table!$D$6),-1,IF(AND(#REF!&gt;=table!$E$6,#REF!&lt;=table!$F$6),1,0))</f>
        <v>#REF!</v>
      </c>
      <c r="R3046" s="5" t="e">
        <f>IF(AND(#REF!&gt;=table!$C$7,#REF!&lt;= table!$D$7),-1,IF(AND(#REF!&gt;=table!$E$7,#REF!&lt;=table!$F$7),1,0))</f>
        <v>#REF!</v>
      </c>
      <c r="S3046" s="5" t="e">
        <f>IF(AND(#REF!&gt;=table!$C$8,#REF!&lt;= table!$D$8),-1,IF(AND(#REF!&gt;=table!$E$8,#REF!&lt;=table!$F$8),1,0))</f>
        <v>#REF!</v>
      </c>
      <c r="T3046" s="5"/>
      <c r="U3046" s="5" t="e">
        <f>IF(AND(#REF!&gt;=table!$C$10,#REF!&lt;= table!$D$10),-1,IF(AND(#REF!&gt;=table!$E$10,#REF!&lt;=table!$F$10),1,0))</f>
        <v>#REF!</v>
      </c>
      <c r="V3046" s="5" t="e">
        <f>IF(AND(#REF!&gt;=table!$C$11,#REF!&lt;= table!$D$11),-1,IF(AND(#REF!&gt;=table!$E$11,#REF!&lt;=table!$F$11),1,0))</f>
        <v>#REF!</v>
      </c>
      <c r="W3046" s="5" t="e">
        <f>CONCATENATE(dados[[#This Row],[fator1]],dados[[#This Row],[fator5]],dados[[#This Row],[fator6]])</f>
        <v>#REF!</v>
      </c>
    </row>
    <row r="3047" spans="1:23">
      <c r="A3047" t="s">
        <v>17</v>
      </c>
      <c r="B3047">
        <v>585852</v>
      </c>
      <c r="C3047">
        <v>9</v>
      </c>
      <c r="D3047">
        <v>30</v>
      </c>
      <c r="E3047">
        <v>160</v>
      </c>
      <c r="F3047">
        <v>3</v>
      </c>
      <c r="G3047">
        <v>30</v>
      </c>
      <c r="H3047">
        <v>18</v>
      </c>
      <c r="I3047">
        <v>106</v>
      </c>
      <c r="J3047">
        <v>800</v>
      </c>
      <c r="K3047">
        <v>2.7350000000000003</v>
      </c>
      <c r="L3047">
        <v>5.3500000000000005</v>
      </c>
      <c r="M3047">
        <v>136.97999999999999</v>
      </c>
      <c r="N3047">
        <v>10.67</v>
      </c>
      <c r="O3047">
        <v>1707</v>
      </c>
      <c r="P3047">
        <v>0</v>
      </c>
      <c r="Q3047" s="5" t="e">
        <f>IF(AND(#REF!&gt;=table!$C$6,#REF!&lt;= table!$D$6),-1,IF(AND(#REF!&gt;=table!$E$6,#REF!&lt;=table!$F$6),1,0))</f>
        <v>#REF!</v>
      </c>
      <c r="R3047" s="5" t="e">
        <f>IF(AND(#REF!&gt;=table!$C$7,#REF!&lt;= table!$D$7),-1,IF(AND(#REF!&gt;=table!$E$7,#REF!&lt;=table!$F$7),1,0))</f>
        <v>#REF!</v>
      </c>
      <c r="S3047" s="5" t="e">
        <f>IF(AND(#REF!&gt;=table!$C$8,#REF!&lt;= table!$D$8),-1,IF(AND(#REF!&gt;=table!$E$8,#REF!&lt;=table!$F$8),1,0))</f>
        <v>#REF!</v>
      </c>
      <c r="T3047" s="5"/>
      <c r="U3047" s="5" t="e">
        <f>IF(AND(#REF!&gt;=table!$C$10,#REF!&lt;= table!$D$10),-1,IF(AND(#REF!&gt;=table!$E$10,#REF!&lt;=table!$F$10),1,0))</f>
        <v>#REF!</v>
      </c>
      <c r="V3047" s="5" t="e">
        <f>IF(AND(#REF!&gt;=table!$C$11,#REF!&lt;= table!$D$11),-1,IF(AND(#REF!&gt;=table!$E$11,#REF!&lt;=table!$F$11),1,0))</f>
        <v>#REF!</v>
      </c>
      <c r="W3047" s="5" t="e">
        <f>CONCATENATE(dados[[#This Row],[fator1]],dados[[#This Row],[fator5]],dados[[#This Row],[fator6]])</f>
        <v>#REF!</v>
      </c>
    </row>
    <row r="3048" spans="1:23">
      <c r="A3048" t="s">
        <v>16</v>
      </c>
      <c r="B3048">
        <v>585858</v>
      </c>
      <c r="C3048">
        <v>9</v>
      </c>
      <c r="D3048">
        <v>35</v>
      </c>
      <c r="E3048">
        <v>36</v>
      </c>
      <c r="F3048">
        <v>9</v>
      </c>
      <c r="G3048">
        <v>0</v>
      </c>
      <c r="H3048">
        <v>25</v>
      </c>
      <c r="I3048">
        <v>404</v>
      </c>
      <c r="J3048">
        <v>0</v>
      </c>
      <c r="K3048">
        <v>13.405000000000001</v>
      </c>
      <c r="L3048">
        <v>12.75</v>
      </c>
      <c r="M3048">
        <v>28.95</v>
      </c>
      <c r="N3048">
        <v>7.1000000000000005</v>
      </c>
      <c r="O3048">
        <v>1653</v>
      </c>
      <c r="P3048">
        <v>0</v>
      </c>
      <c r="Q3048" s="5" t="e">
        <f>IF(AND(#REF!&gt;=table!$C$6,#REF!&lt;= table!$D$6),-1,IF(AND(#REF!&gt;=table!$E$6,#REF!&lt;=table!$F$6),1,0))</f>
        <v>#REF!</v>
      </c>
      <c r="R3048" s="5" t="e">
        <f>IF(AND(#REF!&gt;=table!$C$7,#REF!&lt;= table!$D$7),-1,IF(AND(#REF!&gt;=table!$E$7,#REF!&lt;=table!$F$7),1,0))</f>
        <v>#REF!</v>
      </c>
      <c r="S3048" s="5" t="e">
        <f>IF(AND(#REF!&gt;=table!$C$8,#REF!&lt;= table!$D$8),-1,IF(AND(#REF!&gt;=table!$E$8,#REF!&lt;=table!$F$8),1,0))</f>
        <v>#REF!</v>
      </c>
      <c r="T3048" s="5"/>
      <c r="U3048" s="5" t="e">
        <f>IF(AND(#REF!&gt;=table!$C$10,#REF!&lt;= table!$D$10),-1,IF(AND(#REF!&gt;=table!$E$10,#REF!&lt;=table!$F$10),1,0))</f>
        <v>#REF!</v>
      </c>
      <c r="V3048" s="5" t="e">
        <f>IF(AND(#REF!&gt;=table!$C$11,#REF!&lt;= table!$D$11),-1,IF(AND(#REF!&gt;=table!$E$11,#REF!&lt;=table!$F$11),1,0))</f>
        <v>#REF!</v>
      </c>
      <c r="W3048" s="5" t="e">
        <f>CONCATENATE(dados[[#This Row],[fator1]],dados[[#This Row],[fator5]],dados[[#This Row],[fator6]])</f>
        <v>#REF!</v>
      </c>
    </row>
    <row r="3049" spans="1:23">
      <c r="A3049" t="s">
        <v>16</v>
      </c>
      <c r="B3049">
        <v>585867</v>
      </c>
      <c r="C3049">
        <v>6</v>
      </c>
      <c r="D3049">
        <v>40</v>
      </c>
      <c r="E3049">
        <v>36</v>
      </c>
      <c r="F3049">
        <v>20</v>
      </c>
      <c r="G3049">
        <v>0</v>
      </c>
      <c r="H3049">
        <v>25</v>
      </c>
      <c r="I3049">
        <v>113</v>
      </c>
      <c r="J3049">
        <v>0</v>
      </c>
      <c r="K3049">
        <v>3.4450000000000003</v>
      </c>
      <c r="L3049">
        <v>8.4499999999999993</v>
      </c>
      <c r="M3049">
        <v>23.28</v>
      </c>
      <c r="N3049">
        <v>11.66</v>
      </c>
      <c r="O3049">
        <v>1666</v>
      </c>
      <c r="P3049">
        <v>1151</v>
      </c>
      <c r="Q3049" s="5" t="e">
        <f>IF(AND(#REF!&gt;=table!$C$6,#REF!&lt;= table!$D$6),-1,IF(AND(#REF!&gt;=table!$E$6,#REF!&lt;=table!$F$6),1,0))</f>
        <v>#REF!</v>
      </c>
      <c r="R3049" s="5" t="e">
        <f>IF(AND(#REF!&gt;=table!$C$7,#REF!&lt;= table!$D$7),-1,IF(AND(#REF!&gt;=table!$E$7,#REF!&lt;=table!$F$7),1,0))</f>
        <v>#REF!</v>
      </c>
      <c r="S3049" s="5" t="e">
        <f>IF(AND(#REF!&gt;=table!$C$8,#REF!&lt;= table!$D$8),-1,IF(AND(#REF!&gt;=table!$E$8,#REF!&lt;=table!$F$8),1,0))</f>
        <v>#REF!</v>
      </c>
      <c r="T3049" s="5"/>
      <c r="U3049" s="5" t="e">
        <f>IF(AND(#REF!&gt;=table!$C$10,#REF!&lt;= table!$D$10),-1,IF(AND(#REF!&gt;=table!$E$10,#REF!&lt;=table!$F$10),1,0))</f>
        <v>#REF!</v>
      </c>
      <c r="V3049" s="5" t="e">
        <f>IF(AND(#REF!&gt;=table!$C$11,#REF!&lt;= table!$D$11),-1,IF(AND(#REF!&gt;=table!$E$11,#REF!&lt;=table!$F$11),1,0))</f>
        <v>#REF!</v>
      </c>
      <c r="W3049" s="5" t="e">
        <f>CONCATENATE(dados[[#This Row],[fator1]],dados[[#This Row],[fator5]],dados[[#This Row],[fator6]])</f>
        <v>#REF!</v>
      </c>
    </row>
    <row r="3050" spans="1:23">
      <c r="A3050" t="s">
        <v>16</v>
      </c>
      <c r="B3050">
        <v>585868</v>
      </c>
      <c r="C3050">
        <v>9</v>
      </c>
      <c r="D3050">
        <v>27</v>
      </c>
      <c r="E3050">
        <v>36</v>
      </c>
      <c r="F3050">
        <v>8</v>
      </c>
      <c r="G3050">
        <v>0</v>
      </c>
      <c r="H3050">
        <v>25</v>
      </c>
      <c r="I3050">
        <v>720</v>
      </c>
      <c r="J3050">
        <v>0</v>
      </c>
      <c r="K3050">
        <v>3.6550000000000002</v>
      </c>
      <c r="L3050">
        <v>8.0500000000000007</v>
      </c>
      <c r="M3050">
        <v>25.45</v>
      </c>
      <c r="N3050">
        <v>10</v>
      </c>
      <c r="O3050">
        <v>1672</v>
      </c>
      <c r="P3050">
        <v>0</v>
      </c>
      <c r="Q3050" s="5" t="e">
        <f>IF(AND(#REF!&gt;=table!$C$6,#REF!&lt;= table!$D$6),-1,IF(AND(#REF!&gt;=table!$E$6,#REF!&lt;=table!$F$6),1,0))</f>
        <v>#REF!</v>
      </c>
      <c r="R3050" s="5" t="e">
        <f>IF(AND(#REF!&gt;=table!$C$7,#REF!&lt;= table!$D$7),-1,IF(AND(#REF!&gt;=table!$E$7,#REF!&lt;=table!$F$7),1,0))</f>
        <v>#REF!</v>
      </c>
      <c r="S3050" s="5" t="e">
        <f>IF(AND(#REF!&gt;=table!$C$8,#REF!&lt;= table!$D$8),-1,IF(AND(#REF!&gt;=table!$E$8,#REF!&lt;=table!$F$8),1,0))</f>
        <v>#REF!</v>
      </c>
      <c r="T3050" s="5"/>
      <c r="U3050" s="5" t="e">
        <f>IF(AND(#REF!&gt;=table!$C$10,#REF!&lt;= table!$D$10),-1,IF(AND(#REF!&gt;=table!$E$10,#REF!&lt;=table!$F$10),1,0))</f>
        <v>#REF!</v>
      </c>
      <c r="V3050" s="5" t="e">
        <f>IF(AND(#REF!&gt;=table!$C$11,#REF!&lt;= table!$D$11),-1,IF(AND(#REF!&gt;=table!$E$11,#REF!&lt;=table!$F$11),1,0))</f>
        <v>#REF!</v>
      </c>
      <c r="W3050" s="5" t="e">
        <f>CONCATENATE(dados[[#This Row],[fator1]],dados[[#This Row],[fator5]],dados[[#This Row],[fator6]])</f>
        <v>#REF!</v>
      </c>
    </row>
    <row r="3051" spans="1:23">
      <c r="A3051" t="s">
        <v>16</v>
      </c>
      <c r="B3051">
        <v>585869</v>
      </c>
      <c r="C3051">
        <v>9</v>
      </c>
      <c r="D3051">
        <v>40</v>
      </c>
      <c r="E3051">
        <v>46</v>
      </c>
      <c r="F3051">
        <v>15</v>
      </c>
      <c r="G3051">
        <v>0</v>
      </c>
      <c r="H3051">
        <v>25</v>
      </c>
      <c r="I3051">
        <v>1078</v>
      </c>
      <c r="J3051">
        <v>0</v>
      </c>
      <c r="K3051">
        <v>3.31</v>
      </c>
      <c r="L3051">
        <v>6.5</v>
      </c>
      <c r="M3051">
        <v>39.550000000000004</v>
      </c>
      <c r="N3051">
        <v>13.85</v>
      </c>
      <c r="O3051">
        <v>1691</v>
      </c>
      <c r="P3051">
        <v>1429</v>
      </c>
      <c r="Q3051" s="5" t="e">
        <f>IF(AND(#REF!&gt;=table!$C$6,#REF!&lt;= table!$D$6),-1,IF(AND(#REF!&gt;=table!$E$6,#REF!&lt;=table!$F$6),1,0))</f>
        <v>#REF!</v>
      </c>
      <c r="R3051" s="5" t="e">
        <f>IF(AND(#REF!&gt;=table!$C$7,#REF!&lt;= table!$D$7),-1,IF(AND(#REF!&gt;=table!$E$7,#REF!&lt;=table!$F$7),1,0))</f>
        <v>#REF!</v>
      </c>
      <c r="S3051" s="5" t="e">
        <f>IF(AND(#REF!&gt;=table!$C$8,#REF!&lt;= table!$D$8),-1,IF(AND(#REF!&gt;=table!$E$8,#REF!&lt;=table!$F$8),1,0))</f>
        <v>#REF!</v>
      </c>
      <c r="T3051" s="5"/>
      <c r="U3051" s="5" t="e">
        <f>IF(AND(#REF!&gt;=table!$C$10,#REF!&lt;= table!$D$10),-1,IF(AND(#REF!&gt;=table!$E$10,#REF!&lt;=table!$F$10),1,0))</f>
        <v>#REF!</v>
      </c>
      <c r="V3051" s="5" t="e">
        <f>IF(AND(#REF!&gt;=table!$C$11,#REF!&lt;= table!$D$11),-1,IF(AND(#REF!&gt;=table!$E$11,#REF!&lt;=table!$F$11),1,0))</f>
        <v>#REF!</v>
      </c>
      <c r="W3051" s="5" t="e">
        <f>CONCATENATE(dados[[#This Row],[fator1]],dados[[#This Row],[fator5]],dados[[#This Row],[fator6]])</f>
        <v>#REF!</v>
      </c>
    </row>
    <row r="3052" spans="1:23">
      <c r="A3052" t="s">
        <v>17</v>
      </c>
      <c r="B3052">
        <v>585871</v>
      </c>
      <c r="C3052">
        <v>3</v>
      </c>
      <c r="D3052">
        <v>25</v>
      </c>
      <c r="E3052">
        <v>115</v>
      </c>
      <c r="F3052">
        <v>1</v>
      </c>
      <c r="G3052">
        <v>25</v>
      </c>
      <c r="H3052">
        <v>10</v>
      </c>
      <c r="I3052">
        <v>180</v>
      </c>
      <c r="J3052">
        <v>0</v>
      </c>
      <c r="K3052">
        <v>3.0350000000000001</v>
      </c>
      <c r="L3052">
        <v>4.6500000000000004</v>
      </c>
      <c r="M3052">
        <v>111.55</v>
      </c>
      <c r="N3052">
        <v>5.8</v>
      </c>
      <c r="O3052">
        <v>1676</v>
      </c>
      <c r="P3052">
        <v>1081</v>
      </c>
      <c r="Q3052" s="5" t="e">
        <f>IF(AND(#REF!&gt;=table!$C$6,#REF!&lt;= table!$D$6),-1,IF(AND(#REF!&gt;=table!$E$6,#REF!&lt;=table!$F$6),1,0))</f>
        <v>#REF!</v>
      </c>
      <c r="R3052" s="5" t="e">
        <f>IF(AND(#REF!&gt;=table!$C$7,#REF!&lt;= table!$D$7),-1,IF(AND(#REF!&gt;=table!$E$7,#REF!&lt;=table!$F$7),1,0))</f>
        <v>#REF!</v>
      </c>
      <c r="S3052" s="5" t="e">
        <f>IF(AND(#REF!&gt;=table!$C$8,#REF!&lt;= table!$D$8),-1,IF(AND(#REF!&gt;=table!$E$8,#REF!&lt;=table!$F$8),1,0))</f>
        <v>#REF!</v>
      </c>
      <c r="T3052" s="5"/>
      <c r="U3052" s="5" t="e">
        <f>IF(AND(#REF!&gt;=table!$C$10,#REF!&lt;= table!$D$10),-1,IF(AND(#REF!&gt;=table!$E$10,#REF!&lt;=table!$F$10),1,0))</f>
        <v>#REF!</v>
      </c>
      <c r="V3052" s="5" t="e">
        <f>IF(AND(#REF!&gt;=table!$C$11,#REF!&lt;= table!$D$11),-1,IF(AND(#REF!&gt;=table!$E$11,#REF!&lt;=table!$F$11),1,0))</f>
        <v>#REF!</v>
      </c>
      <c r="W3052" s="5" t="e">
        <f>CONCATENATE(dados[[#This Row],[fator1]],dados[[#This Row],[fator5]],dados[[#This Row],[fator6]])</f>
        <v>#REF!</v>
      </c>
    </row>
    <row r="3053" spans="1:23">
      <c r="A3053" t="s">
        <v>16</v>
      </c>
      <c r="B3053">
        <v>585875</v>
      </c>
      <c r="C3053">
        <v>17</v>
      </c>
      <c r="D3053">
        <v>55</v>
      </c>
      <c r="E3053">
        <v>75</v>
      </c>
      <c r="F3053">
        <v>15</v>
      </c>
      <c r="G3053">
        <v>0</v>
      </c>
      <c r="H3053">
        <v>20</v>
      </c>
      <c r="I3053">
        <v>2</v>
      </c>
      <c r="J3053">
        <v>0</v>
      </c>
      <c r="K3053">
        <v>5.44</v>
      </c>
      <c r="L3053">
        <v>9.2000000000000011</v>
      </c>
      <c r="M3053">
        <v>67.41</v>
      </c>
      <c r="N3053">
        <v>20.05</v>
      </c>
      <c r="O3053">
        <v>1706</v>
      </c>
      <c r="P3053">
        <v>554</v>
      </c>
      <c r="Q3053" s="5" t="e">
        <f>IF(AND(#REF!&gt;=table!$C$6,#REF!&lt;= table!$D$6),-1,IF(AND(#REF!&gt;=table!$E$6,#REF!&lt;=table!$F$6),1,0))</f>
        <v>#REF!</v>
      </c>
      <c r="R3053" s="5" t="e">
        <f>IF(AND(#REF!&gt;=table!$C$7,#REF!&lt;= table!$D$7),-1,IF(AND(#REF!&gt;=table!$E$7,#REF!&lt;=table!$F$7),1,0))</f>
        <v>#REF!</v>
      </c>
      <c r="S3053" s="5" t="e">
        <f>IF(AND(#REF!&gt;=table!$C$8,#REF!&lt;= table!$D$8),-1,IF(AND(#REF!&gt;=table!$E$8,#REF!&lt;=table!$F$8),1,0))</f>
        <v>#REF!</v>
      </c>
      <c r="T3053" s="5"/>
      <c r="U3053" s="5" t="e">
        <f>IF(AND(#REF!&gt;=table!$C$10,#REF!&lt;= table!$D$10),-1,IF(AND(#REF!&gt;=table!$E$10,#REF!&lt;=table!$F$10),1,0))</f>
        <v>#REF!</v>
      </c>
      <c r="V3053" s="5" t="e">
        <f>IF(AND(#REF!&gt;=table!$C$11,#REF!&lt;= table!$D$11),-1,IF(AND(#REF!&gt;=table!$E$11,#REF!&lt;=table!$F$11),1,0))</f>
        <v>#REF!</v>
      </c>
      <c r="W3053" s="5" t="e">
        <f>CONCATENATE(dados[[#This Row],[fator1]],dados[[#This Row],[fator5]],dados[[#This Row],[fator6]])</f>
        <v>#REF!</v>
      </c>
    </row>
    <row r="3054" spans="1:23">
      <c r="A3054" t="s">
        <v>16</v>
      </c>
      <c r="B3054">
        <v>585878</v>
      </c>
      <c r="C3054">
        <v>17</v>
      </c>
      <c r="D3054">
        <v>55</v>
      </c>
      <c r="E3054">
        <v>75</v>
      </c>
      <c r="F3054">
        <v>15</v>
      </c>
      <c r="G3054">
        <v>0</v>
      </c>
      <c r="H3054">
        <v>20</v>
      </c>
      <c r="I3054">
        <v>1</v>
      </c>
      <c r="J3054">
        <v>0</v>
      </c>
      <c r="K3054">
        <v>5.3050000000000006</v>
      </c>
      <c r="L3054">
        <v>9.57</v>
      </c>
      <c r="M3054">
        <v>44.765000000000001</v>
      </c>
      <c r="N3054">
        <v>13.94</v>
      </c>
      <c r="O3054">
        <v>1678</v>
      </c>
      <c r="P3054">
        <v>0</v>
      </c>
      <c r="Q3054" s="5" t="e">
        <f>IF(AND(#REF!&gt;=table!$C$6,#REF!&lt;= table!$D$6),-1,IF(AND(#REF!&gt;=table!$E$6,#REF!&lt;=table!$F$6),1,0))</f>
        <v>#REF!</v>
      </c>
      <c r="R3054" s="5" t="e">
        <f>IF(AND(#REF!&gt;=table!$C$7,#REF!&lt;= table!$D$7),-1,IF(AND(#REF!&gt;=table!$E$7,#REF!&lt;=table!$F$7),1,0))</f>
        <v>#REF!</v>
      </c>
      <c r="S3054" s="5" t="e">
        <f>IF(AND(#REF!&gt;=table!$C$8,#REF!&lt;= table!$D$8),-1,IF(AND(#REF!&gt;=table!$E$8,#REF!&lt;=table!$F$8),1,0))</f>
        <v>#REF!</v>
      </c>
      <c r="T3054" s="5"/>
      <c r="U3054" s="5" t="e">
        <f>IF(AND(#REF!&gt;=table!$C$10,#REF!&lt;= table!$D$10),-1,IF(AND(#REF!&gt;=table!$E$10,#REF!&lt;=table!$F$10),1,0))</f>
        <v>#REF!</v>
      </c>
      <c r="V3054" s="5" t="e">
        <f>IF(AND(#REF!&gt;=table!$C$11,#REF!&lt;= table!$D$11),-1,IF(AND(#REF!&gt;=table!$E$11,#REF!&lt;=table!$F$11),1,0))</f>
        <v>#REF!</v>
      </c>
      <c r="W3054" s="5" t="e">
        <f>CONCATENATE(dados[[#This Row],[fator1]],dados[[#This Row],[fator5]],dados[[#This Row],[fator6]])</f>
        <v>#REF!</v>
      </c>
    </row>
    <row r="3055" spans="1:23">
      <c r="A3055" t="s">
        <v>16</v>
      </c>
      <c r="B3055">
        <v>585882</v>
      </c>
      <c r="C3055">
        <v>3</v>
      </c>
      <c r="D3055">
        <v>30</v>
      </c>
      <c r="E3055">
        <v>21</v>
      </c>
      <c r="F3055">
        <v>15</v>
      </c>
      <c r="G3055">
        <v>0</v>
      </c>
      <c r="H3055">
        <v>25</v>
      </c>
      <c r="I3055">
        <v>1218</v>
      </c>
      <c r="J3055">
        <v>380</v>
      </c>
      <c r="K3055">
        <v>10.5</v>
      </c>
      <c r="L3055">
        <v>13.6</v>
      </c>
      <c r="M3055">
        <v>12.745000000000001</v>
      </c>
      <c r="N3055">
        <v>8.49</v>
      </c>
      <c r="O3055">
        <v>1669</v>
      </c>
      <c r="P3055">
        <v>0</v>
      </c>
      <c r="Q3055" s="5" t="e">
        <f>IF(AND(#REF!&gt;=table!$C$6,#REF!&lt;= table!$D$6),-1,IF(AND(#REF!&gt;=table!$E$6,#REF!&lt;=table!$F$6),1,0))</f>
        <v>#REF!</v>
      </c>
      <c r="R3055" s="5" t="e">
        <f>IF(AND(#REF!&gt;=table!$C$7,#REF!&lt;= table!$D$7),-1,IF(AND(#REF!&gt;=table!$E$7,#REF!&lt;=table!$F$7),1,0))</f>
        <v>#REF!</v>
      </c>
      <c r="S3055" s="5" t="e">
        <f>IF(AND(#REF!&gt;=table!$C$8,#REF!&lt;= table!$D$8),-1,IF(AND(#REF!&gt;=table!$E$8,#REF!&lt;=table!$F$8),1,0))</f>
        <v>#REF!</v>
      </c>
      <c r="T3055" s="5"/>
      <c r="U3055" s="5" t="e">
        <f>IF(AND(#REF!&gt;=table!$C$10,#REF!&lt;= table!$D$10),-1,IF(AND(#REF!&gt;=table!$E$10,#REF!&lt;=table!$F$10),1,0))</f>
        <v>#REF!</v>
      </c>
      <c r="V3055" s="5" t="e">
        <f>IF(AND(#REF!&gt;=table!$C$11,#REF!&lt;= table!$D$11),-1,IF(AND(#REF!&gt;=table!$E$11,#REF!&lt;=table!$F$11),1,0))</f>
        <v>#REF!</v>
      </c>
      <c r="W3055" s="5" t="e">
        <f>CONCATENATE(dados[[#This Row],[fator1]],dados[[#This Row],[fator5]],dados[[#This Row],[fator6]])</f>
        <v>#REF!</v>
      </c>
    </row>
    <row r="3056" spans="1:23">
      <c r="A3056" t="s">
        <v>16</v>
      </c>
      <c r="B3056">
        <v>585889</v>
      </c>
      <c r="C3056">
        <v>12</v>
      </c>
      <c r="D3056">
        <v>35</v>
      </c>
      <c r="E3056">
        <v>86</v>
      </c>
      <c r="F3056">
        <v>10</v>
      </c>
      <c r="G3056">
        <v>0</v>
      </c>
      <c r="H3056">
        <v>25</v>
      </c>
      <c r="I3056">
        <v>1292</v>
      </c>
      <c r="J3056">
        <v>0</v>
      </c>
      <c r="K3056">
        <v>8.67</v>
      </c>
      <c r="L3056">
        <v>10.35</v>
      </c>
      <c r="M3056">
        <v>67.45</v>
      </c>
      <c r="N3056">
        <v>11.4</v>
      </c>
      <c r="O3056">
        <v>1671</v>
      </c>
      <c r="P3056">
        <v>0</v>
      </c>
      <c r="Q3056" s="5" t="e">
        <f>IF(AND(#REF!&gt;=table!$C$6,#REF!&lt;= table!$D$6),-1,IF(AND(#REF!&gt;=table!$E$6,#REF!&lt;=table!$F$6),1,0))</f>
        <v>#REF!</v>
      </c>
      <c r="R3056" s="5" t="e">
        <f>IF(AND(#REF!&gt;=table!$C$7,#REF!&lt;= table!$D$7),-1,IF(AND(#REF!&gt;=table!$E$7,#REF!&lt;=table!$F$7),1,0))</f>
        <v>#REF!</v>
      </c>
      <c r="S3056" s="5" t="e">
        <f>IF(AND(#REF!&gt;=table!$C$8,#REF!&lt;= table!$D$8),-1,IF(AND(#REF!&gt;=table!$E$8,#REF!&lt;=table!$F$8),1,0))</f>
        <v>#REF!</v>
      </c>
      <c r="T3056" s="5"/>
      <c r="U3056" s="5" t="e">
        <f>IF(AND(#REF!&gt;=table!$C$10,#REF!&lt;= table!$D$10),-1,IF(AND(#REF!&gt;=table!$E$10,#REF!&lt;=table!$F$10),1,0))</f>
        <v>#REF!</v>
      </c>
      <c r="V3056" s="5" t="e">
        <f>IF(AND(#REF!&gt;=table!$C$11,#REF!&lt;= table!$D$11),-1,IF(AND(#REF!&gt;=table!$E$11,#REF!&lt;=table!$F$11),1,0))</f>
        <v>#REF!</v>
      </c>
      <c r="W3056" s="5" t="e">
        <f>CONCATENATE(dados[[#This Row],[fator1]],dados[[#This Row],[fator5]],dados[[#This Row],[fator6]])</f>
        <v>#REF!</v>
      </c>
    </row>
    <row r="3057" spans="1:23">
      <c r="A3057" t="s">
        <v>16</v>
      </c>
      <c r="B3057">
        <v>585891</v>
      </c>
      <c r="C3057">
        <v>16</v>
      </c>
      <c r="D3057">
        <v>35</v>
      </c>
      <c r="E3057">
        <v>36</v>
      </c>
      <c r="F3057">
        <v>10</v>
      </c>
      <c r="G3057">
        <v>0</v>
      </c>
      <c r="H3057">
        <v>25</v>
      </c>
      <c r="I3057">
        <v>2109</v>
      </c>
      <c r="J3057">
        <v>0</v>
      </c>
      <c r="K3057">
        <v>4.7149999999999999</v>
      </c>
      <c r="L3057">
        <v>11.700000000000001</v>
      </c>
      <c r="M3057">
        <v>32.85</v>
      </c>
      <c r="N3057">
        <v>15.9</v>
      </c>
      <c r="O3057">
        <v>1681</v>
      </c>
      <c r="P3057">
        <v>0</v>
      </c>
      <c r="Q3057" s="5" t="e">
        <f>IF(AND(#REF!&gt;=table!$C$6,#REF!&lt;= table!$D$6),-1,IF(AND(#REF!&gt;=table!$E$6,#REF!&lt;=table!$F$6),1,0))</f>
        <v>#REF!</v>
      </c>
      <c r="R3057" s="5" t="e">
        <f>IF(AND(#REF!&gt;=table!$C$7,#REF!&lt;= table!$D$7),-1,IF(AND(#REF!&gt;=table!$E$7,#REF!&lt;=table!$F$7),1,0))</f>
        <v>#REF!</v>
      </c>
      <c r="S3057" s="5" t="e">
        <f>IF(AND(#REF!&gt;=table!$C$8,#REF!&lt;= table!$D$8),-1,IF(AND(#REF!&gt;=table!$E$8,#REF!&lt;=table!$F$8),1,0))</f>
        <v>#REF!</v>
      </c>
      <c r="T3057" s="5"/>
      <c r="U3057" s="5" t="e">
        <f>IF(AND(#REF!&gt;=table!$C$10,#REF!&lt;= table!$D$10),-1,IF(AND(#REF!&gt;=table!$E$10,#REF!&lt;=table!$F$10),1,0))</f>
        <v>#REF!</v>
      </c>
      <c r="V3057" s="5" t="e">
        <f>IF(AND(#REF!&gt;=table!$C$11,#REF!&lt;= table!$D$11),-1,IF(AND(#REF!&gt;=table!$E$11,#REF!&lt;=table!$F$11),1,0))</f>
        <v>#REF!</v>
      </c>
      <c r="W3057" s="5" t="e">
        <f>CONCATENATE(dados[[#This Row],[fator1]],dados[[#This Row],[fator5]],dados[[#This Row],[fator6]])</f>
        <v>#REF!</v>
      </c>
    </row>
    <row r="3058" spans="1:23">
      <c r="A3058" t="s">
        <v>16</v>
      </c>
      <c r="B3058">
        <v>585895</v>
      </c>
      <c r="C3058">
        <v>0.15</v>
      </c>
      <c r="D3058">
        <v>40</v>
      </c>
      <c r="E3058">
        <v>10</v>
      </c>
      <c r="F3058">
        <v>15</v>
      </c>
      <c r="G3058">
        <v>0</v>
      </c>
      <c r="H3058">
        <v>15</v>
      </c>
      <c r="I3058">
        <v>668</v>
      </c>
      <c r="J3058">
        <v>0</v>
      </c>
      <c r="K3058">
        <v>9.2100000000000009</v>
      </c>
      <c r="L3058">
        <v>16.5</v>
      </c>
      <c r="M3058">
        <v>8.75</v>
      </c>
      <c r="N3058">
        <v>12.85</v>
      </c>
      <c r="O3058">
        <v>1694</v>
      </c>
      <c r="P3058">
        <v>963</v>
      </c>
      <c r="Q3058" s="5" t="e">
        <f>IF(AND(#REF!&gt;=table!$C$6,#REF!&lt;= table!$D$6),-1,IF(AND(#REF!&gt;=table!$E$6,#REF!&lt;=table!$F$6),1,0))</f>
        <v>#REF!</v>
      </c>
      <c r="R3058" s="5" t="e">
        <f>IF(AND(#REF!&gt;=table!$C$7,#REF!&lt;= table!$D$7),-1,IF(AND(#REF!&gt;=table!$E$7,#REF!&lt;=table!$F$7),1,0))</f>
        <v>#REF!</v>
      </c>
      <c r="S3058" s="5" t="e">
        <f>IF(AND(#REF!&gt;=table!$C$8,#REF!&lt;= table!$D$8),-1,IF(AND(#REF!&gt;=table!$E$8,#REF!&lt;=table!$F$8),1,0))</f>
        <v>#REF!</v>
      </c>
      <c r="T3058" s="5"/>
      <c r="U3058" s="5" t="e">
        <f>IF(AND(#REF!&gt;=table!$C$10,#REF!&lt;= table!$D$10),-1,IF(AND(#REF!&gt;=table!$E$10,#REF!&lt;=table!$F$10),1,0))</f>
        <v>#REF!</v>
      </c>
      <c r="V3058" s="5" t="e">
        <f>IF(AND(#REF!&gt;=table!$C$11,#REF!&lt;= table!$D$11),-1,IF(AND(#REF!&gt;=table!$E$11,#REF!&lt;=table!$F$11),1,0))</f>
        <v>#REF!</v>
      </c>
      <c r="W3058" s="5" t="e">
        <f>CONCATENATE(dados[[#This Row],[fator1]],dados[[#This Row],[fator5]],dados[[#This Row],[fator6]])</f>
        <v>#REF!</v>
      </c>
    </row>
    <row r="3059" spans="1:23">
      <c r="A3059" t="s">
        <v>16</v>
      </c>
      <c r="B3059">
        <v>585903</v>
      </c>
      <c r="C3059">
        <v>6</v>
      </c>
      <c r="D3059">
        <v>25</v>
      </c>
      <c r="E3059">
        <v>120</v>
      </c>
      <c r="F3059">
        <v>4</v>
      </c>
      <c r="G3059">
        <v>0</v>
      </c>
      <c r="H3059">
        <v>55</v>
      </c>
      <c r="I3059">
        <v>1220</v>
      </c>
      <c r="J3059">
        <v>0</v>
      </c>
      <c r="K3059">
        <v>3.37</v>
      </c>
      <c r="L3059">
        <v>14.35</v>
      </c>
      <c r="M3059">
        <v>80</v>
      </c>
      <c r="N3059">
        <v>32.950000000000003</v>
      </c>
      <c r="O3059">
        <v>1669</v>
      </c>
      <c r="P3059">
        <v>0</v>
      </c>
      <c r="Q3059" s="5" t="e">
        <f>IF(AND(#REF!&gt;=table!$C$6,#REF!&lt;= table!$D$6),-1,IF(AND(#REF!&gt;=table!$E$6,#REF!&lt;=table!$F$6),1,0))</f>
        <v>#REF!</v>
      </c>
      <c r="R3059" s="5" t="e">
        <f>IF(AND(#REF!&gt;=table!$C$7,#REF!&lt;= table!$D$7),-1,IF(AND(#REF!&gt;=table!$E$7,#REF!&lt;=table!$F$7),1,0))</f>
        <v>#REF!</v>
      </c>
      <c r="S3059" s="5" t="e">
        <f>IF(AND(#REF!&gt;=table!$C$8,#REF!&lt;= table!$D$8),-1,IF(AND(#REF!&gt;=table!$E$8,#REF!&lt;=table!$F$8),1,0))</f>
        <v>#REF!</v>
      </c>
      <c r="T3059" s="5"/>
      <c r="U3059" s="5" t="e">
        <f>IF(AND(#REF!&gt;=table!$C$10,#REF!&lt;= table!$D$10),-1,IF(AND(#REF!&gt;=table!$E$10,#REF!&lt;=table!$F$10),1,0))</f>
        <v>#REF!</v>
      </c>
      <c r="V3059" s="5" t="e">
        <f>IF(AND(#REF!&gt;=table!$C$11,#REF!&lt;= table!$D$11),-1,IF(AND(#REF!&gt;=table!$E$11,#REF!&lt;=table!$F$11),1,0))</f>
        <v>#REF!</v>
      </c>
      <c r="W3059" s="5" t="e">
        <f>CONCATENATE(dados[[#This Row],[fator1]],dados[[#This Row],[fator5]],dados[[#This Row],[fator6]])</f>
        <v>#REF!</v>
      </c>
    </row>
    <row r="3060" spans="1:23">
      <c r="A3060" t="s">
        <v>16</v>
      </c>
      <c r="B3060">
        <v>585921</v>
      </c>
      <c r="C3060">
        <v>0.15</v>
      </c>
      <c r="D3060">
        <v>40</v>
      </c>
      <c r="E3060">
        <v>10</v>
      </c>
      <c r="F3060">
        <v>15</v>
      </c>
      <c r="G3060">
        <v>0</v>
      </c>
      <c r="H3060">
        <v>15</v>
      </c>
      <c r="I3060">
        <v>1192</v>
      </c>
      <c r="J3060">
        <v>630</v>
      </c>
      <c r="K3060">
        <v>3.21</v>
      </c>
      <c r="L3060">
        <v>8</v>
      </c>
      <c r="M3060">
        <v>6.5</v>
      </c>
      <c r="N3060">
        <v>9.8000000000000007</v>
      </c>
      <c r="O3060">
        <v>1686</v>
      </c>
      <c r="P3060">
        <v>0</v>
      </c>
      <c r="Q3060" s="5" t="e">
        <f>IF(AND(#REF!&gt;=table!$C$6,#REF!&lt;= table!$D$6),-1,IF(AND(#REF!&gt;=table!$E$6,#REF!&lt;=table!$F$6),1,0))</f>
        <v>#REF!</v>
      </c>
      <c r="R3060" s="5" t="e">
        <f>IF(AND(#REF!&gt;=table!$C$7,#REF!&lt;= table!$D$7),-1,IF(AND(#REF!&gt;=table!$E$7,#REF!&lt;=table!$F$7),1,0))</f>
        <v>#REF!</v>
      </c>
      <c r="S3060" s="5" t="e">
        <f>IF(AND(#REF!&gt;=table!$C$8,#REF!&lt;= table!$D$8),-1,IF(AND(#REF!&gt;=table!$E$8,#REF!&lt;=table!$F$8),1,0))</f>
        <v>#REF!</v>
      </c>
      <c r="T3060" s="5"/>
      <c r="U3060" s="5" t="e">
        <f>IF(AND(#REF!&gt;=table!$C$10,#REF!&lt;= table!$D$10),-1,IF(AND(#REF!&gt;=table!$E$10,#REF!&lt;=table!$F$10),1,0))</f>
        <v>#REF!</v>
      </c>
      <c r="V3060" s="5" t="e">
        <f>IF(AND(#REF!&gt;=table!$C$11,#REF!&lt;= table!$D$11),-1,IF(AND(#REF!&gt;=table!$E$11,#REF!&lt;=table!$F$11),1,0))</f>
        <v>#REF!</v>
      </c>
      <c r="W3060" s="5" t="e">
        <f>CONCATENATE(dados[[#This Row],[fator1]],dados[[#This Row],[fator5]],dados[[#This Row],[fator6]])</f>
        <v>#REF!</v>
      </c>
    </row>
    <row r="3061" spans="1:23">
      <c r="A3061" t="s">
        <v>16</v>
      </c>
      <c r="B3061">
        <v>585925</v>
      </c>
      <c r="C3061">
        <v>0.15</v>
      </c>
      <c r="D3061">
        <v>35</v>
      </c>
      <c r="E3061">
        <v>15</v>
      </c>
      <c r="F3061">
        <v>10</v>
      </c>
      <c r="G3061">
        <v>0</v>
      </c>
      <c r="H3061">
        <v>12</v>
      </c>
      <c r="I3061">
        <v>0</v>
      </c>
      <c r="J3061">
        <v>0</v>
      </c>
      <c r="K3061">
        <v>3.915</v>
      </c>
      <c r="L3061">
        <v>7.9</v>
      </c>
      <c r="M3061">
        <v>6.9</v>
      </c>
      <c r="N3061">
        <v>6.8500000000000005</v>
      </c>
      <c r="O3061">
        <v>1638</v>
      </c>
      <c r="P3061">
        <v>985</v>
      </c>
      <c r="Q3061" s="5" t="e">
        <f>IF(AND(#REF!&gt;=table!$C$6,#REF!&lt;= table!$D$6),-1,IF(AND(#REF!&gt;=table!$E$6,#REF!&lt;=table!$F$6),1,0))</f>
        <v>#REF!</v>
      </c>
      <c r="R3061" s="5" t="e">
        <f>IF(AND(#REF!&gt;=table!$C$7,#REF!&lt;= table!$D$7),-1,IF(AND(#REF!&gt;=table!$E$7,#REF!&lt;=table!$F$7),1,0))</f>
        <v>#REF!</v>
      </c>
      <c r="S3061" s="5" t="e">
        <f>IF(AND(#REF!&gt;=table!$C$8,#REF!&lt;= table!$D$8),-1,IF(AND(#REF!&gt;=table!$E$8,#REF!&lt;=table!$F$8),1,0))</f>
        <v>#REF!</v>
      </c>
      <c r="T3061" s="5"/>
      <c r="U3061" s="5" t="e">
        <f>IF(AND(#REF!&gt;=table!$C$10,#REF!&lt;= table!$D$10),-1,IF(AND(#REF!&gt;=table!$E$10,#REF!&lt;=table!$F$10),1,0))</f>
        <v>#REF!</v>
      </c>
      <c r="V3061" s="5" t="e">
        <f>IF(AND(#REF!&gt;=table!$C$11,#REF!&lt;= table!$D$11),-1,IF(AND(#REF!&gt;=table!$E$11,#REF!&lt;=table!$F$11),1,0))</f>
        <v>#REF!</v>
      </c>
      <c r="W3061" s="5" t="e">
        <f>CONCATENATE(dados[[#This Row],[fator1]],dados[[#This Row],[fator5]],dados[[#This Row],[fator6]])</f>
        <v>#REF!</v>
      </c>
    </row>
    <row r="3062" spans="1:23">
      <c r="A3062" t="s">
        <v>16</v>
      </c>
      <c r="B3062">
        <v>585927</v>
      </c>
      <c r="C3062">
        <v>0.15</v>
      </c>
      <c r="D3062">
        <v>35</v>
      </c>
      <c r="E3062">
        <v>15</v>
      </c>
      <c r="F3062">
        <v>10</v>
      </c>
      <c r="G3062">
        <v>0</v>
      </c>
      <c r="H3062">
        <v>12</v>
      </c>
      <c r="I3062">
        <v>620</v>
      </c>
      <c r="J3062">
        <v>0</v>
      </c>
      <c r="K3062">
        <v>6.375</v>
      </c>
      <c r="L3062">
        <v>8.35</v>
      </c>
      <c r="M3062">
        <v>7.8</v>
      </c>
      <c r="N3062">
        <v>8.0500000000000007</v>
      </c>
      <c r="O3062">
        <v>1684</v>
      </c>
      <c r="P3062">
        <v>585</v>
      </c>
      <c r="Q3062" s="5" t="e">
        <f>IF(AND(#REF!&gt;=table!$C$6,#REF!&lt;= table!$D$6),-1,IF(AND(#REF!&gt;=table!$E$6,#REF!&lt;=table!$F$6),1,0))</f>
        <v>#REF!</v>
      </c>
      <c r="R3062" s="5" t="e">
        <f>IF(AND(#REF!&gt;=table!$C$7,#REF!&lt;= table!$D$7),-1,IF(AND(#REF!&gt;=table!$E$7,#REF!&lt;=table!$F$7),1,0))</f>
        <v>#REF!</v>
      </c>
      <c r="S3062" s="5" t="e">
        <f>IF(AND(#REF!&gt;=table!$C$8,#REF!&lt;= table!$D$8),-1,IF(AND(#REF!&gt;=table!$E$8,#REF!&lt;=table!$F$8),1,0))</f>
        <v>#REF!</v>
      </c>
      <c r="T3062" s="5"/>
      <c r="U3062" s="5" t="e">
        <f>IF(AND(#REF!&gt;=table!$C$10,#REF!&lt;= table!$D$10),-1,IF(AND(#REF!&gt;=table!$E$10,#REF!&lt;=table!$F$10),1,0))</f>
        <v>#REF!</v>
      </c>
      <c r="V3062" s="5" t="e">
        <f>IF(AND(#REF!&gt;=table!$C$11,#REF!&lt;= table!$D$11),-1,IF(AND(#REF!&gt;=table!$E$11,#REF!&lt;=table!$F$11),1,0))</f>
        <v>#REF!</v>
      </c>
      <c r="W3062" s="5" t="e">
        <f>CONCATENATE(dados[[#This Row],[fator1]],dados[[#This Row],[fator5]],dados[[#This Row],[fator6]])</f>
        <v>#REF!</v>
      </c>
    </row>
    <row r="3063" spans="1:23">
      <c r="A3063" t="s">
        <v>17</v>
      </c>
      <c r="B3063">
        <v>585942</v>
      </c>
      <c r="C3063">
        <v>0.15</v>
      </c>
      <c r="D3063">
        <v>40</v>
      </c>
      <c r="E3063">
        <v>105</v>
      </c>
      <c r="F3063">
        <v>10</v>
      </c>
      <c r="G3063">
        <v>10</v>
      </c>
      <c r="H3063">
        <v>80</v>
      </c>
      <c r="I3063">
        <v>1329</v>
      </c>
      <c r="J3063">
        <v>0</v>
      </c>
      <c r="K3063">
        <v>2.68</v>
      </c>
      <c r="L3063">
        <v>4.4000000000000004</v>
      </c>
      <c r="M3063">
        <v>3.9250000000000003</v>
      </c>
      <c r="N3063">
        <v>10.925000000000001</v>
      </c>
      <c r="O3063">
        <v>1650</v>
      </c>
      <c r="P3063">
        <v>1399</v>
      </c>
      <c r="Q3063" s="5" t="e">
        <f>IF(AND(#REF!&gt;=table!$C$6,#REF!&lt;= table!$D$6),-1,IF(AND(#REF!&gt;=table!$E$6,#REF!&lt;=table!$F$6),1,0))</f>
        <v>#REF!</v>
      </c>
      <c r="R3063" s="5" t="e">
        <f>IF(AND(#REF!&gt;=table!$C$7,#REF!&lt;= table!$D$7),-1,IF(AND(#REF!&gt;=table!$E$7,#REF!&lt;=table!$F$7),1,0))</f>
        <v>#REF!</v>
      </c>
      <c r="S3063" s="5" t="e">
        <f>IF(AND(#REF!&gt;=table!$C$8,#REF!&lt;= table!$D$8),-1,IF(AND(#REF!&gt;=table!$E$8,#REF!&lt;=table!$F$8),1,0))</f>
        <v>#REF!</v>
      </c>
      <c r="T3063" s="5"/>
      <c r="U3063" s="5" t="e">
        <f>IF(AND(#REF!&gt;=table!$C$10,#REF!&lt;= table!$D$10),-1,IF(AND(#REF!&gt;=table!$E$10,#REF!&lt;=table!$F$10),1,0))</f>
        <v>#REF!</v>
      </c>
      <c r="V3063" s="5" t="e">
        <f>IF(AND(#REF!&gt;=table!$C$11,#REF!&lt;= table!$D$11),-1,IF(AND(#REF!&gt;=table!$E$11,#REF!&lt;=table!$F$11),1,0))</f>
        <v>#REF!</v>
      </c>
      <c r="W3063" s="5" t="e">
        <f>CONCATENATE(dados[[#This Row],[fator1]],dados[[#This Row],[fator5]],dados[[#This Row],[fator6]])</f>
        <v>#REF!</v>
      </c>
    </row>
    <row r="3064" spans="1:23">
      <c r="A3064" t="s">
        <v>16</v>
      </c>
      <c r="B3064">
        <v>585944</v>
      </c>
      <c r="C3064">
        <v>0.2</v>
      </c>
      <c r="D3064">
        <v>65</v>
      </c>
      <c r="E3064">
        <v>26</v>
      </c>
      <c r="F3064">
        <v>15</v>
      </c>
      <c r="G3064">
        <v>0</v>
      </c>
      <c r="H3064">
        <v>30</v>
      </c>
      <c r="I3064">
        <v>471</v>
      </c>
      <c r="J3064">
        <v>0</v>
      </c>
      <c r="K3064">
        <v>4.58</v>
      </c>
      <c r="L3064">
        <v>13.55</v>
      </c>
      <c r="M3064">
        <v>12.4</v>
      </c>
      <c r="N3064">
        <v>20.900000000000002</v>
      </c>
      <c r="O3064">
        <v>1687</v>
      </c>
      <c r="P3064">
        <v>824</v>
      </c>
      <c r="Q3064" s="5" t="e">
        <f>IF(AND(#REF!&gt;=table!$C$6,#REF!&lt;= table!$D$6),-1,IF(AND(#REF!&gt;=table!$E$6,#REF!&lt;=table!$F$6),1,0))</f>
        <v>#REF!</v>
      </c>
      <c r="R3064" s="5" t="e">
        <f>IF(AND(#REF!&gt;=table!$C$7,#REF!&lt;= table!$D$7),-1,IF(AND(#REF!&gt;=table!$E$7,#REF!&lt;=table!$F$7),1,0))</f>
        <v>#REF!</v>
      </c>
      <c r="S3064" s="5" t="e">
        <f>IF(AND(#REF!&gt;=table!$C$8,#REF!&lt;= table!$D$8),-1,IF(AND(#REF!&gt;=table!$E$8,#REF!&lt;=table!$F$8),1,0))</f>
        <v>#REF!</v>
      </c>
      <c r="T3064" s="5"/>
      <c r="U3064" s="5" t="e">
        <f>IF(AND(#REF!&gt;=table!$C$10,#REF!&lt;= table!$D$10),-1,IF(AND(#REF!&gt;=table!$E$10,#REF!&lt;=table!$F$10),1,0))</f>
        <v>#REF!</v>
      </c>
      <c r="V3064" s="5" t="e">
        <f>IF(AND(#REF!&gt;=table!$C$11,#REF!&lt;= table!$D$11),-1,IF(AND(#REF!&gt;=table!$E$11,#REF!&lt;=table!$F$11),1,0))</f>
        <v>#REF!</v>
      </c>
      <c r="W3064" s="5" t="e">
        <f>CONCATENATE(dados[[#This Row],[fator1]],dados[[#This Row],[fator5]],dados[[#This Row],[fator6]])</f>
        <v>#REF!</v>
      </c>
    </row>
    <row r="3065" spans="1:23">
      <c r="A3065" t="s">
        <v>16</v>
      </c>
      <c r="B3065">
        <v>585954</v>
      </c>
      <c r="C3065">
        <v>0.2</v>
      </c>
      <c r="D3065">
        <v>65</v>
      </c>
      <c r="E3065">
        <v>26</v>
      </c>
      <c r="F3065">
        <v>15</v>
      </c>
      <c r="G3065">
        <v>0</v>
      </c>
      <c r="H3065">
        <v>30</v>
      </c>
      <c r="I3065">
        <v>415</v>
      </c>
      <c r="J3065">
        <v>0</v>
      </c>
      <c r="K3065">
        <v>3.45</v>
      </c>
      <c r="L3065">
        <v>7.5</v>
      </c>
      <c r="M3065">
        <v>6.8500000000000005</v>
      </c>
      <c r="N3065">
        <v>14.15</v>
      </c>
      <c r="O3065">
        <v>1653</v>
      </c>
      <c r="P3065">
        <v>993</v>
      </c>
      <c r="Q3065" s="5" t="e">
        <f>IF(AND(#REF!&gt;=table!$C$6,#REF!&lt;= table!$D$6),-1,IF(AND(#REF!&gt;=table!$E$6,#REF!&lt;=table!$F$6),1,0))</f>
        <v>#REF!</v>
      </c>
      <c r="R3065" s="5" t="e">
        <f>IF(AND(#REF!&gt;=table!$C$7,#REF!&lt;= table!$D$7),-1,IF(AND(#REF!&gt;=table!$E$7,#REF!&lt;=table!$F$7),1,0))</f>
        <v>#REF!</v>
      </c>
      <c r="S3065" s="5" t="e">
        <f>IF(AND(#REF!&gt;=table!$C$8,#REF!&lt;= table!$D$8),-1,IF(AND(#REF!&gt;=table!$E$8,#REF!&lt;=table!$F$8),1,0))</f>
        <v>#REF!</v>
      </c>
      <c r="T3065" s="5"/>
      <c r="U3065" s="5" t="e">
        <f>IF(AND(#REF!&gt;=table!$C$10,#REF!&lt;= table!$D$10),-1,IF(AND(#REF!&gt;=table!$E$10,#REF!&lt;=table!$F$10),1,0))</f>
        <v>#REF!</v>
      </c>
      <c r="V3065" s="5" t="e">
        <f>IF(AND(#REF!&gt;=table!$C$11,#REF!&lt;= table!$D$11),-1,IF(AND(#REF!&gt;=table!$E$11,#REF!&lt;=table!$F$11),1,0))</f>
        <v>#REF!</v>
      </c>
      <c r="W3065" s="5" t="e">
        <f>CONCATENATE(dados[[#This Row],[fator1]],dados[[#This Row],[fator5]],dados[[#This Row],[fator6]])</f>
        <v>#REF!</v>
      </c>
    </row>
    <row r="3066" spans="1:23">
      <c r="A3066" t="s">
        <v>16</v>
      </c>
      <c r="B3066">
        <v>585957</v>
      </c>
      <c r="C3066">
        <v>0.15</v>
      </c>
      <c r="D3066">
        <v>40</v>
      </c>
      <c r="E3066">
        <v>10</v>
      </c>
      <c r="F3066">
        <v>15</v>
      </c>
      <c r="G3066">
        <v>0</v>
      </c>
      <c r="H3066">
        <v>15</v>
      </c>
      <c r="I3066">
        <v>1243</v>
      </c>
      <c r="J3066">
        <v>0</v>
      </c>
      <c r="K3066">
        <v>3.2850000000000001</v>
      </c>
      <c r="L3066">
        <v>6.4</v>
      </c>
      <c r="M3066">
        <v>5.9</v>
      </c>
      <c r="N3066">
        <v>8.3000000000000007</v>
      </c>
      <c r="O3066">
        <v>1649</v>
      </c>
      <c r="P3066">
        <v>803</v>
      </c>
      <c r="Q3066" s="5" t="e">
        <f>IF(AND(#REF!&gt;=table!$C$6,#REF!&lt;= table!$D$6),-1,IF(AND(#REF!&gt;=table!$E$6,#REF!&lt;=table!$F$6),1,0))</f>
        <v>#REF!</v>
      </c>
      <c r="R3066" s="5" t="e">
        <f>IF(AND(#REF!&gt;=table!$C$7,#REF!&lt;= table!$D$7),-1,IF(AND(#REF!&gt;=table!$E$7,#REF!&lt;=table!$F$7),1,0))</f>
        <v>#REF!</v>
      </c>
      <c r="S3066" s="5" t="e">
        <f>IF(AND(#REF!&gt;=table!$C$8,#REF!&lt;= table!$D$8),-1,IF(AND(#REF!&gt;=table!$E$8,#REF!&lt;=table!$F$8),1,0))</f>
        <v>#REF!</v>
      </c>
      <c r="T3066" s="5"/>
      <c r="U3066" s="5" t="e">
        <f>IF(AND(#REF!&gt;=table!$C$10,#REF!&lt;= table!$D$10),-1,IF(AND(#REF!&gt;=table!$E$10,#REF!&lt;=table!$F$10),1,0))</f>
        <v>#REF!</v>
      </c>
      <c r="V3066" s="5" t="e">
        <f>IF(AND(#REF!&gt;=table!$C$11,#REF!&lt;= table!$D$11),-1,IF(AND(#REF!&gt;=table!$E$11,#REF!&lt;=table!$F$11),1,0))</f>
        <v>#REF!</v>
      </c>
      <c r="W3066" s="5" t="e">
        <f>CONCATENATE(dados[[#This Row],[fator1]],dados[[#This Row],[fator5]],dados[[#This Row],[fator6]])</f>
        <v>#REF!</v>
      </c>
    </row>
    <row r="3067" spans="1:23">
      <c r="A3067" t="s">
        <v>16</v>
      </c>
      <c r="B3067">
        <v>585960</v>
      </c>
      <c r="C3067">
        <v>0.15</v>
      </c>
      <c r="D3067">
        <v>40</v>
      </c>
      <c r="E3067">
        <v>10</v>
      </c>
      <c r="F3067">
        <v>15</v>
      </c>
      <c r="G3067">
        <v>0</v>
      </c>
      <c r="H3067">
        <v>15</v>
      </c>
      <c r="I3067">
        <v>0</v>
      </c>
      <c r="J3067">
        <v>580</v>
      </c>
      <c r="K3067">
        <v>3.18</v>
      </c>
      <c r="L3067">
        <v>8.7000000000000011</v>
      </c>
      <c r="M3067">
        <v>6.6000000000000005</v>
      </c>
      <c r="N3067">
        <v>13.200000000000001</v>
      </c>
      <c r="O3067">
        <v>1690</v>
      </c>
      <c r="P3067">
        <v>1182</v>
      </c>
      <c r="Q3067" s="5" t="e">
        <f>IF(AND(#REF!&gt;=table!$C$6,#REF!&lt;= table!$D$6),-1,IF(AND(#REF!&gt;=table!$E$6,#REF!&lt;=table!$F$6),1,0))</f>
        <v>#REF!</v>
      </c>
      <c r="R3067" s="5" t="e">
        <f>IF(AND(#REF!&gt;=table!$C$7,#REF!&lt;= table!$D$7),-1,IF(AND(#REF!&gt;=table!$E$7,#REF!&lt;=table!$F$7),1,0))</f>
        <v>#REF!</v>
      </c>
      <c r="S3067" s="5" t="e">
        <f>IF(AND(#REF!&gt;=table!$C$8,#REF!&lt;= table!$D$8),-1,IF(AND(#REF!&gt;=table!$E$8,#REF!&lt;=table!$F$8),1,0))</f>
        <v>#REF!</v>
      </c>
      <c r="T3067" s="5"/>
      <c r="U3067" s="5" t="e">
        <f>IF(AND(#REF!&gt;=table!$C$10,#REF!&lt;= table!$D$10),-1,IF(AND(#REF!&gt;=table!$E$10,#REF!&lt;=table!$F$10),1,0))</f>
        <v>#REF!</v>
      </c>
      <c r="V3067" s="5" t="e">
        <f>IF(AND(#REF!&gt;=table!$C$11,#REF!&lt;= table!$D$11),-1,IF(AND(#REF!&gt;=table!$E$11,#REF!&lt;=table!$F$11),1,0))</f>
        <v>#REF!</v>
      </c>
      <c r="W3067" s="5" t="e">
        <f>CONCATENATE(dados[[#This Row],[fator1]],dados[[#This Row],[fator5]],dados[[#This Row],[fator6]])</f>
        <v>#REF!</v>
      </c>
    </row>
    <row r="3068" spans="1:23">
      <c r="A3068" t="s">
        <v>16</v>
      </c>
      <c r="B3068">
        <v>585961</v>
      </c>
      <c r="C3068">
        <v>16</v>
      </c>
      <c r="D3068">
        <v>35</v>
      </c>
      <c r="E3068">
        <v>56</v>
      </c>
      <c r="F3068">
        <v>10</v>
      </c>
      <c r="G3068">
        <v>0</v>
      </c>
      <c r="H3068">
        <v>25</v>
      </c>
      <c r="I3068">
        <v>8</v>
      </c>
      <c r="J3068">
        <v>0</v>
      </c>
      <c r="K3068">
        <v>8.4250000000000007</v>
      </c>
      <c r="L3068">
        <v>13.24</v>
      </c>
      <c r="M3068">
        <v>39.6</v>
      </c>
      <c r="N3068">
        <v>13.8</v>
      </c>
      <c r="O3068">
        <v>1661</v>
      </c>
      <c r="P3068">
        <v>431</v>
      </c>
      <c r="Q3068" s="5" t="e">
        <f>IF(AND(#REF!&gt;=table!$C$6,#REF!&lt;= table!$D$6),-1,IF(AND(#REF!&gt;=table!$E$6,#REF!&lt;=table!$F$6),1,0))</f>
        <v>#REF!</v>
      </c>
      <c r="R3068" s="5" t="e">
        <f>IF(AND(#REF!&gt;=table!$C$7,#REF!&lt;= table!$D$7),-1,IF(AND(#REF!&gt;=table!$E$7,#REF!&lt;=table!$F$7),1,0))</f>
        <v>#REF!</v>
      </c>
      <c r="S3068" s="5" t="e">
        <f>IF(AND(#REF!&gt;=table!$C$8,#REF!&lt;= table!$D$8),-1,IF(AND(#REF!&gt;=table!$E$8,#REF!&lt;=table!$F$8),1,0))</f>
        <v>#REF!</v>
      </c>
      <c r="T3068" s="5"/>
      <c r="U3068" s="5" t="e">
        <f>IF(AND(#REF!&gt;=table!$C$10,#REF!&lt;= table!$D$10),-1,IF(AND(#REF!&gt;=table!$E$10,#REF!&lt;=table!$F$10),1,0))</f>
        <v>#REF!</v>
      </c>
      <c r="V3068" s="5" t="e">
        <f>IF(AND(#REF!&gt;=table!$C$11,#REF!&lt;= table!$D$11),-1,IF(AND(#REF!&gt;=table!$E$11,#REF!&lt;=table!$F$11),1,0))</f>
        <v>#REF!</v>
      </c>
      <c r="W3068" s="5" t="e">
        <f>CONCATENATE(dados[[#This Row],[fator1]],dados[[#This Row],[fator5]],dados[[#This Row],[fator6]])</f>
        <v>#REF!</v>
      </c>
    </row>
    <row r="3069" spans="1:23">
      <c r="A3069" t="s">
        <v>16</v>
      </c>
      <c r="B3069">
        <v>585962</v>
      </c>
      <c r="C3069">
        <v>16</v>
      </c>
      <c r="D3069">
        <v>35</v>
      </c>
      <c r="E3069">
        <v>56</v>
      </c>
      <c r="F3069">
        <v>10</v>
      </c>
      <c r="G3069">
        <v>0</v>
      </c>
      <c r="H3069">
        <v>25</v>
      </c>
      <c r="I3069">
        <v>198</v>
      </c>
      <c r="J3069">
        <v>0</v>
      </c>
      <c r="K3069">
        <v>10.265000000000001</v>
      </c>
      <c r="L3069">
        <v>19.75</v>
      </c>
      <c r="M3069">
        <v>49.800000000000004</v>
      </c>
      <c r="N3069">
        <v>18.3</v>
      </c>
      <c r="O3069">
        <v>1680</v>
      </c>
      <c r="P3069">
        <v>407</v>
      </c>
      <c r="Q3069" s="5" t="e">
        <f>IF(AND(#REF!&gt;=table!$C$6,#REF!&lt;= table!$D$6),-1,IF(AND(#REF!&gt;=table!$E$6,#REF!&lt;=table!$F$6),1,0))</f>
        <v>#REF!</v>
      </c>
      <c r="R3069" s="5" t="e">
        <f>IF(AND(#REF!&gt;=table!$C$7,#REF!&lt;= table!$D$7),-1,IF(AND(#REF!&gt;=table!$E$7,#REF!&lt;=table!$F$7),1,0))</f>
        <v>#REF!</v>
      </c>
      <c r="S3069" s="5" t="e">
        <f>IF(AND(#REF!&gt;=table!$C$8,#REF!&lt;= table!$D$8),-1,IF(AND(#REF!&gt;=table!$E$8,#REF!&lt;=table!$F$8),1,0))</f>
        <v>#REF!</v>
      </c>
      <c r="T3069" s="5"/>
      <c r="U3069" s="5" t="e">
        <f>IF(AND(#REF!&gt;=table!$C$10,#REF!&lt;= table!$D$10),-1,IF(AND(#REF!&gt;=table!$E$10,#REF!&lt;=table!$F$10),1,0))</f>
        <v>#REF!</v>
      </c>
      <c r="V3069" s="5" t="e">
        <f>IF(AND(#REF!&gt;=table!$C$11,#REF!&lt;= table!$D$11),-1,IF(AND(#REF!&gt;=table!$E$11,#REF!&lt;=table!$F$11),1,0))</f>
        <v>#REF!</v>
      </c>
      <c r="W3069" s="5" t="e">
        <f>CONCATENATE(dados[[#This Row],[fator1]],dados[[#This Row],[fator5]],dados[[#This Row],[fator6]])</f>
        <v>#REF!</v>
      </c>
    </row>
    <row r="3070" spans="1:23">
      <c r="A3070" t="s">
        <v>16</v>
      </c>
      <c r="B3070">
        <v>585964</v>
      </c>
      <c r="C3070">
        <v>13</v>
      </c>
      <c r="D3070">
        <v>35</v>
      </c>
      <c r="E3070">
        <v>120</v>
      </c>
      <c r="F3070">
        <v>10</v>
      </c>
      <c r="G3070">
        <v>0</v>
      </c>
      <c r="H3070">
        <v>25</v>
      </c>
      <c r="I3070">
        <v>0</v>
      </c>
      <c r="J3070">
        <v>0</v>
      </c>
      <c r="K3070">
        <v>5.6000000000000005</v>
      </c>
      <c r="L3070">
        <v>15.9</v>
      </c>
      <c r="M3070">
        <v>100.85000000000001</v>
      </c>
      <c r="N3070">
        <v>23.8</v>
      </c>
      <c r="O3070">
        <v>1686</v>
      </c>
      <c r="P3070">
        <v>645</v>
      </c>
      <c r="Q3070" s="5" t="e">
        <f>IF(AND(#REF!&gt;=table!$C$6,#REF!&lt;= table!$D$6),-1,IF(AND(#REF!&gt;=table!$E$6,#REF!&lt;=table!$F$6),1,0))</f>
        <v>#REF!</v>
      </c>
      <c r="R3070" s="5" t="e">
        <f>IF(AND(#REF!&gt;=table!$C$7,#REF!&lt;= table!$D$7),-1,IF(AND(#REF!&gt;=table!$E$7,#REF!&lt;=table!$F$7),1,0))</f>
        <v>#REF!</v>
      </c>
      <c r="S3070" s="5" t="e">
        <f>IF(AND(#REF!&gt;=table!$C$8,#REF!&lt;= table!$D$8),-1,IF(AND(#REF!&gt;=table!$E$8,#REF!&lt;=table!$F$8),1,0))</f>
        <v>#REF!</v>
      </c>
      <c r="T3070" s="5"/>
      <c r="U3070" s="5" t="e">
        <f>IF(AND(#REF!&gt;=table!$C$10,#REF!&lt;= table!$D$10),-1,IF(AND(#REF!&gt;=table!$E$10,#REF!&lt;=table!$F$10),1,0))</f>
        <v>#REF!</v>
      </c>
      <c r="V3070" s="5" t="e">
        <f>IF(AND(#REF!&gt;=table!$C$11,#REF!&lt;= table!$D$11),-1,IF(AND(#REF!&gt;=table!$E$11,#REF!&lt;=table!$F$11),1,0))</f>
        <v>#REF!</v>
      </c>
      <c r="W3070" s="5" t="e">
        <f>CONCATENATE(dados[[#This Row],[fator1]],dados[[#This Row],[fator5]],dados[[#This Row],[fator6]])</f>
        <v>#REF!</v>
      </c>
    </row>
    <row r="3071" spans="1:23">
      <c r="A3071" t="s">
        <v>16</v>
      </c>
      <c r="B3071">
        <v>585967</v>
      </c>
      <c r="C3071">
        <v>16</v>
      </c>
      <c r="D3071">
        <v>30</v>
      </c>
      <c r="E3071">
        <v>36</v>
      </c>
      <c r="F3071">
        <v>3</v>
      </c>
      <c r="G3071">
        <v>0</v>
      </c>
      <c r="H3071">
        <v>25</v>
      </c>
      <c r="I3071">
        <v>257</v>
      </c>
      <c r="J3071">
        <v>0</v>
      </c>
      <c r="K3071">
        <v>9.5250000000000004</v>
      </c>
      <c r="L3071">
        <v>15.4</v>
      </c>
      <c r="M3071">
        <v>31.6</v>
      </c>
      <c r="N3071">
        <v>14.5</v>
      </c>
      <c r="O3071">
        <v>1684</v>
      </c>
      <c r="P3071">
        <v>412</v>
      </c>
      <c r="Q3071" s="5" t="e">
        <f>IF(AND(#REF!&gt;=table!$C$6,#REF!&lt;= table!$D$6),-1,IF(AND(#REF!&gt;=table!$E$6,#REF!&lt;=table!$F$6),1,0))</f>
        <v>#REF!</v>
      </c>
      <c r="R3071" s="5" t="e">
        <f>IF(AND(#REF!&gt;=table!$C$7,#REF!&lt;= table!$D$7),-1,IF(AND(#REF!&gt;=table!$E$7,#REF!&lt;=table!$F$7),1,0))</f>
        <v>#REF!</v>
      </c>
      <c r="S3071" s="5" t="e">
        <f>IF(AND(#REF!&gt;=table!$C$8,#REF!&lt;= table!$D$8),-1,IF(AND(#REF!&gt;=table!$E$8,#REF!&lt;=table!$F$8),1,0))</f>
        <v>#REF!</v>
      </c>
      <c r="T3071" s="5"/>
      <c r="U3071" s="5" t="e">
        <f>IF(AND(#REF!&gt;=table!$C$10,#REF!&lt;= table!$D$10),-1,IF(AND(#REF!&gt;=table!$E$10,#REF!&lt;=table!$F$10),1,0))</f>
        <v>#REF!</v>
      </c>
      <c r="V3071" s="5" t="e">
        <f>IF(AND(#REF!&gt;=table!$C$11,#REF!&lt;= table!$D$11),-1,IF(AND(#REF!&gt;=table!$E$11,#REF!&lt;=table!$F$11),1,0))</f>
        <v>#REF!</v>
      </c>
      <c r="W3071" s="5" t="e">
        <f>CONCATENATE(dados[[#This Row],[fator1]],dados[[#This Row],[fator5]],dados[[#This Row],[fator6]])</f>
        <v>#REF!</v>
      </c>
    </row>
    <row r="3072" spans="1:23">
      <c r="A3072" t="s">
        <v>16</v>
      </c>
      <c r="B3072">
        <v>585968</v>
      </c>
      <c r="C3072">
        <v>16</v>
      </c>
      <c r="D3072">
        <v>35</v>
      </c>
      <c r="E3072">
        <v>36</v>
      </c>
      <c r="F3072">
        <v>10</v>
      </c>
      <c r="G3072">
        <v>0</v>
      </c>
      <c r="H3072">
        <v>25</v>
      </c>
      <c r="I3072">
        <v>0</v>
      </c>
      <c r="J3072">
        <v>0</v>
      </c>
      <c r="K3072">
        <v>6.25</v>
      </c>
      <c r="L3072">
        <v>14.285</v>
      </c>
      <c r="M3072">
        <v>30.740000000000002</v>
      </c>
      <c r="N3072">
        <v>14.975000000000001</v>
      </c>
      <c r="O3072">
        <v>1666</v>
      </c>
      <c r="P3072">
        <v>639</v>
      </c>
      <c r="Q3072" s="5" t="e">
        <f>IF(AND(#REF!&gt;=table!$C$6,#REF!&lt;= table!$D$6),-1,IF(AND(#REF!&gt;=table!$E$6,#REF!&lt;=table!$F$6),1,0))</f>
        <v>#REF!</v>
      </c>
      <c r="R3072" s="5" t="e">
        <f>IF(AND(#REF!&gt;=table!$C$7,#REF!&lt;= table!$D$7),-1,IF(AND(#REF!&gt;=table!$E$7,#REF!&lt;=table!$F$7),1,0))</f>
        <v>#REF!</v>
      </c>
      <c r="S3072" s="5" t="e">
        <f>IF(AND(#REF!&gt;=table!$C$8,#REF!&lt;= table!$D$8),-1,IF(AND(#REF!&gt;=table!$E$8,#REF!&lt;=table!$F$8),1,0))</f>
        <v>#REF!</v>
      </c>
      <c r="T3072" s="5"/>
      <c r="U3072" s="5" t="e">
        <f>IF(AND(#REF!&gt;=table!$C$10,#REF!&lt;= table!$D$10),-1,IF(AND(#REF!&gt;=table!$E$10,#REF!&lt;=table!$F$10),1,0))</f>
        <v>#REF!</v>
      </c>
      <c r="V3072" s="5" t="e">
        <f>IF(AND(#REF!&gt;=table!$C$11,#REF!&lt;= table!$D$11),-1,IF(AND(#REF!&gt;=table!$E$11,#REF!&lt;=table!$F$11),1,0))</f>
        <v>#REF!</v>
      </c>
      <c r="W3072" s="5" t="e">
        <f>CONCATENATE(dados[[#This Row],[fator1]],dados[[#This Row],[fator5]],dados[[#This Row],[fator6]])</f>
        <v>#REF!</v>
      </c>
    </row>
    <row r="3073" spans="1:23">
      <c r="A3073" t="s">
        <v>17</v>
      </c>
      <c r="B3073">
        <v>585974</v>
      </c>
      <c r="C3073">
        <v>14</v>
      </c>
      <c r="D3073">
        <v>30</v>
      </c>
      <c r="E3073">
        <v>86</v>
      </c>
      <c r="F3073">
        <v>9</v>
      </c>
      <c r="G3073">
        <v>20</v>
      </c>
      <c r="H3073">
        <v>25</v>
      </c>
      <c r="I3073">
        <v>304</v>
      </c>
      <c r="J3073">
        <v>0</v>
      </c>
      <c r="K3073">
        <v>6.94</v>
      </c>
      <c r="L3073">
        <v>12.32</v>
      </c>
      <c r="M3073">
        <v>78.685000000000002</v>
      </c>
      <c r="N3073">
        <v>13.26</v>
      </c>
      <c r="O3073">
        <v>1695</v>
      </c>
      <c r="P3073">
        <v>623</v>
      </c>
      <c r="Q3073" s="5" t="e">
        <f>IF(AND(#REF!&gt;=table!$C$6,#REF!&lt;= table!$D$6),-1,IF(AND(#REF!&gt;=table!$E$6,#REF!&lt;=table!$F$6),1,0))</f>
        <v>#REF!</v>
      </c>
      <c r="R3073" s="5" t="e">
        <f>IF(AND(#REF!&gt;=table!$C$7,#REF!&lt;= table!$D$7),-1,IF(AND(#REF!&gt;=table!$E$7,#REF!&lt;=table!$F$7),1,0))</f>
        <v>#REF!</v>
      </c>
      <c r="S3073" s="5" t="e">
        <f>IF(AND(#REF!&gt;=table!$C$8,#REF!&lt;= table!$D$8),-1,IF(AND(#REF!&gt;=table!$E$8,#REF!&lt;=table!$F$8),1,0))</f>
        <v>#REF!</v>
      </c>
      <c r="T3073" s="5"/>
      <c r="U3073" s="5" t="e">
        <f>IF(AND(#REF!&gt;=table!$C$10,#REF!&lt;= table!$D$10),-1,IF(AND(#REF!&gt;=table!$E$10,#REF!&lt;=table!$F$10),1,0))</f>
        <v>#REF!</v>
      </c>
      <c r="V3073" s="5" t="e">
        <f>IF(AND(#REF!&gt;=table!$C$11,#REF!&lt;= table!$D$11),-1,IF(AND(#REF!&gt;=table!$E$11,#REF!&lt;=table!$F$11),1,0))</f>
        <v>#REF!</v>
      </c>
      <c r="W3073" s="5" t="e">
        <f>CONCATENATE(dados[[#This Row],[fator1]],dados[[#This Row],[fator5]],dados[[#This Row],[fator6]])</f>
        <v>#REF!</v>
      </c>
    </row>
    <row r="3074" spans="1:23">
      <c r="A3074" t="s">
        <v>17</v>
      </c>
      <c r="B3074">
        <v>585978</v>
      </c>
      <c r="C3074">
        <v>10</v>
      </c>
      <c r="D3074">
        <v>30</v>
      </c>
      <c r="E3074">
        <v>100</v>
      </c>
      <c r="F3074">
        <v>20</v>
      </c>
      <c r="G3074">
        <v>30</v>
      </c>
      <c r="H3074">
        <v>30</v>
      </c>
      <c r="I3074">
        <v>518</v>
      </c>
      <c r="J3074">
        <v>0</v>
      </c>
      <c r="K3074">
        <v>6.41</v>
      </c>
      <c r="L3074">
        <v>15.555000000000001</v>
      </c>
      <c r="M3074">
        <v>80.12</v>
      </c>
      <c r="N3074">
        <v>24.625</v>
      </c>
      <c r="O3074">
        <v>1689</v>
      </c>
      <c r="P3074">
        <v>696</v>
      </c>
      <c r="Q3074" s="5" t="e">
        <f>IF(AND(#REF!&gt;=table!$C$6,#REF!&lt;= table!$D$6),-1,IF(AND(#REF!&gt;=table!$E$6,#REF!&lt;=table!$F$6),1,0))</f>
        <v>#REF!</v>
      </c>
      <c r="R3074" s="5" t="e">
        <f>IF(AND(#REF!&gt;=table!$C$7,#REF!&lt;= table!$D$7),-1,IF(AND(#REF!&gt;=table!$E$7,#REF!&lt;=table!$F$7),1,0))</f>
        <v>#REF!</v>
      </c>
      <c r="S3074" s="5" t="e">
        <f>IF(AND(#REF!&gt;=table!$C$8,#REF!&lt;= table!$D$8),-1,IF(AND(#REF!&gt;=table!$E$8,#REF!&lt;=table!$F$8),1,0))</f>
        <v>#REF!</v>
      </c>
      <c r="T3074" s="5"/>
      <c r="U3074" s="5" t="e">
        <f>IF(AND(#REF!&gt;=table!$C$10,#REF!&lt;= table!$D$10),-1,IF(AND(#REF!&gt;=table!$E$10,#REF!&lt;=table!$F$10),1,0))</f>
        <v>#REF!</v>
      </c>
      <c r="V3074" s="5" t="e">
        <f>IF(AND(#REF!&gt;=table!$C$11,#REF!&lt;= table!$D$11),-1,IF(AND(#REF!&gt;=table!$E$11,#REF!&lt;=table!$F$11),1,0))</f>
        <v>#REF!</v>
      </c>
      <c r="W3074" s="5" t="e">
        <f>CONCATENATE(dados[[#This Row],[fator1]],dados[[#This Row],[fator5]],dados[[#This Row],[fator6]])</f>
        <v>#REF!</v>
      </c>
    </row>
    <row r="3075" spans="1:23">
      <c r="A3075" t="s">
        <v>16</v>
      </c>
      <c r="B3075">
        <v>585982</v>
      </c>
      <c r="C3075">
        <v>0.1</v>
      </c>
      <c r="D3075">
        <v>40</v>
      </c>
      <c r="E3075">
        <v>10</v>
      </c>
      <c r="F3075">
        <v>8</v>
      </c>
      <c r="G3075">
        <v>0</v>
      </c>
      <c r="H3075">
        <v>10</v>
      </c>
      <c r="I3075">
        <v>1070</v>
      </c>
      <c r="J3075">
        <v>0</v>
      </c>
      <c r="K3075">
        <v>2.6550000000000002</v>
      </c>
      <c r="L3075">
        <v>8.6</v>
      </c>
      <c r="M3075">
        <v>7.6850000000000005</v>
      </c>
      <c r="N3075">
        <v>12.870000000000001</v>
      </c>
      <c r="O3075">
        <v>1704</v>
      </c>
      <c r="P3075">
        <v>1316</v>
      </c>
      <c r="Q3075" s="5" t="e">
        <f>IF(AND(#REF!&gt;=table!$C$6,#REF!&lt;= table!$D$6),-1,IF(AND(#REF!&gt;=table!$E$6,#REF!&lt;=table!$F$6),1,0))</f>
        <v>#REF!</v>
      </c>
      <c r="R3075" s="5" t="e">
        <f>IF(AND(#REF!&gt;=table!$C$7,#REF!&lt;= table!$D$7),-1,IF(AND(#REF!&gt;=table!$E$7,#REF!&lt;=table!$F$7),1,0))</f>
        <v>#REF!</v>
      </c>
      <c r="S3075" s="5" t="e">
        <f>IF(AND(#REF!&gt;=table!$C$8,#REF!&lt;= table!$D$8),-1,IF(AND(#REF!&gt;=table!$E$8,#REF!&lt;=table!$F$8),1,0))</f>
        <v>#REF!</v>
      </c>
      <c r="T3075" s="5"/>
      <c r="U3075" s="5" t="e">
        <f>IF(AND(#REF!&gt;=table!$C$10,#REF!&lt;= table!$D$10),-1,IF(AND(#REF!&gt;=table!$E$10,#REF!&lt;=table!$F$10),1,0))</f>
        <v>#REF!</v>
      </c>
      <c r="V3075" s="5" t="e">
        <f>IF(AND(#REF!&gt;=table!$C$11,#REF!&lt;= table!$D$11),-1,IF(AND(#REF!&gt;=table!$E$11,#REF!&lt;=table!$F$11),1,0))</f>
        <v>#REF!</v>
      </c>
      <c r="W3075" s="5" t="e">
        <f>CONCATENATE(dados[[#This Row],[fator1]],dados[[#This Row],[fator5]],dados[[#This Row],[fator6]])</f>
        <v>#REF!</v>
      </c>
    </row>
    <row r="3076" spans="1:23">
      <c r="A3076" t="s">
        <v>16</v>
      </c>
      <c r="B3076">
        <v>585983</v>
      </c>
      <c r="C3076">
        <v>0.15</v>
      </c>
      <c r="D3076">
        <v>40</v>
      </c>
      <c r="E3076">
        <v>10</v>
      </c>
      <c r="F3076">
        <v>15</v>
      </c>
      <c r="G3076">
        <v>0</v>
      </c>
      <c r="H3076">
        <v>15</v>
      </c>
      <c r="I3076">
        <v>286</v>
      </c>
      <c r="J3076">
        <v>0</v>
      </c>
      <c r="K3076">
        <v>6.3450000000000006</v>
      </c>
      <c r="L3076">
        <v>9.375</v>
      </c>
      <c r="M3076">
        <v>8.19</v>
      </c>
      <c r="N3076">
        <v>9.2550000000000008</v>
      </c>
      <c r="O3076">
        <v>1683</v>
      </c>
      <c r="P3076">
        <v>0</v>
      </c>
      <c r="Q3076" s="5" t="e">
        <f>IF(AND(#REF!&gt;=table!$C$6,#REF!&lt;= table!$D$6),-1,IF(AND(#REF!&gt;=table!$E$6,#REF!&lt;=table!$F$6),1,0))</f>
        <v>#REF!</v>
      </c>
      <c r="R3076" s="5" t="e">
        <f>IF(AND(#REF!&gt;=table!$C$7,#REF!&lt;= table!$D$7),-1,IF(AND(#REF!&gt;=table!$E$7,#REF!&lt;=table!$F$7),1,0))</f>
        <v>#REF!</v>
      </c>
      <c r="S3076" s="5" t="e">
        <f>IF(AND(#REF!&gt;=table!$C$8,#REF!&lt;= table!$D$8),-1,IF(AND(#REF!&gt;=table!$E$8,#REF!&lt;=table!$F$8),1,0))</f>
        <v>#REF!</v>
      </c>
      <c r="T3076" s="5"/>
      <c r="U3076" s="5" t="e">
        <f>IF(AND(#REF!&gt;=table!$C$10,#REF!&lt;= table!$D$10),-1,IF(AND(#REF!&gt;=table!$E$10,#REF!&lt;=table!$F$10),1,0))</f>
        <v>#REF!</v>
      </c>
      <c r="V3076" s="5" t="e">
        <f>IF(AND(#REF!&gt;=table!$C$11,#REF!&lt;= table!$D$11),-1,IF(AND(#REF!&gt;=table!$E$11,#REF!&lt;=table!$F$11),1,0))</f>
        <v>#REF!</v>
      </c>
      <c r="W3076" s="5" t="e">
        <f>CONCATENATE(dados[[#This Row],[fator1]],dados[[#This Row],[fator5]],dados[[#This Row],[fator6]])</f>
        <v>#REF!</v>
      </c>
    </row>
    <row r="3077" spans="1:23">
      <c r="A3077" t="s">
        <v>16</v>
      </c>
      <c r="B3077">
        <v>585985</v>
      </c>
      <c r="C3077">
        <v>0.1</v>
      </c>
      <c r="D3077">
        <v>40</v>
      </c>
      <c r="E3077">
        <v>10</v>
      </c>
      <c r="F3077">
        <v>8</v>
      </c>
      <c r="G3077">
        <v>0</v>
      </c>
      <c r="H3077">
        <v>10</v>
      </c>
      <c r="I3077">
        <v>1818</v>
      </c>
      <c r="J3077">
        <v>0</v>
      </c>
      <c r="K3077">
        <v>5.1050000000000004</v>
      </c>
      <c r="L3077">
        <v>7.34</v>
      </c>
      <c r="M3077">
        <v>6.5950000000000006</v>
      </c>
      <c r="N3077">
        <v>10.425000000000001</v>
      </c>
      <c r="O3077">
        <v>1691</v>
      </c>
      <c r="P3077">
        <v>1006</v>
      </c>
      <c r="Q3077" s="5" t="e">
        <f>IF(AND(#REF!&gt;=table!$C$6,#REF!&lt;= table!$D$6),-1,IF(AND(#REF!&gt;=table!$E$6,#REF!&lt;=table!$F$6),1,0))</f>
        <v>#REF!</v>
      </c>
      <c r="R3077" s="5" t="e">
        <f>IF(AND(#REF!&gt;=table!$C$7,#REF!&lt;= table!$D$7),-1,IF(AND(#REF!&gt;=table!$E$7,#REF!&lt;=table!$F$7),1,0))</f>
        <v>#REF!</v>
      </c>
      <c r="S3077" s="5" t="e">
        <f>IF(AND(#REF!&gt;=table!$C$8,#REF!&lt;= table!$D$8),-1,IF(AND(#REF!&gt;=table!$E$8,#REF!&lt;=table!$F$8),1,0))</f>
        <v>#REF!</v>
      </c>
      <c r="T3077" s="5"/>
      <c r="U3077" s="5" t="e">
        <f>IF(AND(#REF!&gt;=table!$C$10,#REF!&lt;= table!$D$10),-1,IF(AND(#REF!&gt;=table!$E$10,#REF!&lt;=table!$F$10),1,0))</f>
        <v>#REF!</v>
      </c>
      <c r="V3077" s="5" t="e">
        <f>IF(AND(#REF!&gt;=table!$C$11,#REF!&lt;= table!$D$11),-1,IF(AND(#REF!&gt;=table!$E$11,#REF!&lt;=table!$F$11),1,0))</f>
        <v>#REF!</v>
      </c>
      <c r="W3077" s="5" t="e">
        <f>CONCATENATE(dados[[#This Row],[fator1]],dados[[#This Row],[fator5]],dados[[#This Row],[fator6]])</f>
        <v>#REF!</v>
      </c>
    </row>
    <row r="3078" spans="1:23">
      <c r="A3078" t="s">
        <v>16</v>
      </c>
      <c r="B3078">
        <v>585988</v>
      </c>
      <c r="C3078">
        <v>0.15</v>
      </c>
      <c r="D3078">
        <v>40</v>
      </c>
      <c r="E3078">
        <v>10</v>
      </c>
      <c r="F3078">
        <v>15</v>
      </c>
      <c r="G3078">
        <v>0</v>
      </c>
      <c r="H3078">
        <v>15</v>
      </c>
      <c r="I3078">
        <v>535</v>
      </c>
      <c r="J3078">
        <v>0</v>
      </c>
      <c r="K3078">
        <v>5.585</v>
      </c>
      <c r="L3078">
        <v>6.59</v>
      </c>
      <c r="M3078">
        <v>6.61</v>
      </c>
      <c r="N3078">
        <v>7.8900000000000006</v>
      </c>
      <c r="O3078">
        <v>1677</v>
      </c>
      <c r="P3078">
        <v>763</v>
      </c>
      <c r="Q3078" s="5" t="e">
        <f>IF(AND(#REF!&gt;=table!$C$6,#REF!&lt;= table!$D$6),-1,IF(AND(#REF!&gt;=table!$E$6,#REF!&lt;=table!$F$6),1,0))</f>
        <v>#REF!</v>
      </c>
      <c r="R3078" s="5" t="e">
        <f>IF(AND(#REF!&gt;=table!$C$7,#REF!&lt;= table!$D$7),-1,IF(AND(#REF!&gt;=table!$E$7,#REF!&lt;=table!$F$7),1,0))</f>
        <v>#REF!</v>
      </c>
      <c r="S3078" s="5" t="e">
        <f>IF(AND(#REF!&gt;=table!$C$8,#REF!&lt;= table!$D$8),-1,IF(AND(#REF!&gt;=table!$E$8,#REF!&lt;=table!$F$8),1,0))</f>
        <v>#REF!</v>
      </c>
      <c r="T3078" s="5"/>
      <c r="U3078" s="5" t="e">
        <f>IF(AND(#REF!&gt;=table!$C$10,#REF!&lt;= table!$D$10),-1,IF(AND(#REF!&gt;=table!$E$10,#REF!&lt;=table!$F$10),1,0))</f>
        <v>#REF!</v>
      </c>
      <c r="V3078" s="5" t="e">
        <f>IF(AND(#REF!&gt;=table!$C$11,#REF!&lt;= table!$D$11),-1,IF(AND(#REF!&gt;=table!$E$11,#REF!&lt;=table!$F$11),1,0))</f>
        <v>#REF!</v>
      </c>
      <c r="W3078" s="5" t="e">
        <f>CONCATENATE(dados[[#This Row],[fator1]],dados[[#This Row],[fator5]],dados[[#This Row],[fator6]])</f>
        <v>#REF!</v>
      </c>
    </row>
    <row r="3079" spans="1:23">
      <c r="A3079" t="s">
        <v>17</v>
      </c>
      <c r="B3079">
        <v>585994</v>
      </c>
      <c r="C3079">
        <v>16</v>
      </c>
      <c r="D3079">
        <v>35</v>
      </c>
      <c r="E3079">
        <v>136</v>
      </c>
      <c r="F3079">
        <v>4</v>
      </c>
      <c r="G3079">
        <v>30</v>
      </c>
      <c r="H3079">
        <v>25</v>
      </c>
      <c r="I3079">
        <v>1134</v>
      </c>
      <c r="J3079">
        <v>0</v>
      </c>
      <c r="K3079">
        <v>5.5</v>
      </c>
      <c r="L3079">
        <v>9.99</v>
      </c>
      <c r="M3079">
        <v>97.625</v>
      </c>
      <c r="N3079">
        <v>13.42</v>
      </c>
      <c r="O3079">
        <v>1676</v>
      </c>
      <c r="P3079">
        <v>559</v>
      </c>
      <c r="Q3079" s="5" t="e">
        <f>IF(AND(#REF!&gt;=table!$C$6,#REF!&lt;= table!$D$6),-1,IF(AND(#REF!&gt;=table!$E$6,#REF!&lt;=table!$F$6),1,0))</f>
        <v>#REF!</v>
      </c>
      <c r="R3079" s="5" t="e">
        <f>IF(AND(#REF!&gt;=table!$C$7,#REF!&lt;= table!$D$7),-1,IF(AND(#REF!&gt;=table!$E$7,#REF!&lt;=table!$F$7),1,0))</f>
        <v>#REF!</v>
      </c>
      <c r="S3079" s="5" t="e">
        <f>IF(AND(#REF!&gt;=table!$C$8,#REF!&lt;= table!$D$8),-1,IF(AND(#REF!&gt;=table!$E$8,#REF!&lt;=table!$F$8),1,0))</f>
        <v>#REF!</v>
      </c>
      <c r="T3079" s="5"/>
      <c r="U3079" s="5" t="e">
        <f>IF(AND(#REF!&gt;=table!$C$10,#REF!&lt;= table!$D$10),-1,IF(AND(#REF!&gt;=table!$E$10,#REF!&lt;=table!$F$10),1,0))</f>
        <v>#REF!</v>
      </c>
      <c r="V3079" s="5" t="e">
        <f>IF(AND(#REF!&gt;=table!$C$11,#REF!&lt;= table!$D$11),-1,IF(AND(#REF!&gt;=table!$E$11,#REF!&lt;=table!$F$11),1,0))</f>
        <v>#REF!</v>
      </c>
      <c r="W3079" s="5" t="e">
        <f>CONCATENATE(dados[[#This Row],[fator1]],dados[[#This Row],[fator5]],dados[[#This Row],[fator6]])</f>
        <v>#REF!</v>
      </c>
    </row>
    <row r="3080" spans="1:23">
      <c r="A3080" t="s">
        <v>17</v>
      </c>
      <c r="B3080">
        <v>585998</v>
      </c>
      <c r="C3080">
        <v>18</v>
      </c>
      <c r="D3080">
        <v>30</v>
      </c>
      <c r="E3080">
        <v>136</v>
      </c>
      <c r="F3080">
        <v>3</v>
      </c>
      <c r="G3080">
        <v>20</v>
      </c>
      <c r="H3080">
        <v>25</v>
      </c>
      <c r="I3080">
        <v>640</v>
      </c>
      <c r="J3080">
        <v>0</v>
      </c>
      <c r="K3080">
        <v>6.7700000000000005</v>
      </c>
      <c r="L3080">
        <v>10.67</v>
      </c>
      <c r="M3080">
        <v>92.185000000000002</v>
      </c>
      <c r="N3080">
        <v>15.025</v>
      </c>
      <c r="O3080">
        <v>1674</v>
      </c>
      <c r="P3080">
        <v>573</v>
      </c>
      <c r="Q3080" s="5" t="e">
        <f>IF(AND(#REF!&gt;=table!$C$6,#REF!&lt;= table!$D$6),-1,IF(AND(#REF!&gt;=table!$E$6,#REF!&lt;=table!$F$6),1,0))</f>
        <v>#REF!</v>
      </c>
      <c r="R3080" s="5" t="e">
        <f>IF(AND(#REF!&gt;=table!$C$7,#REF!&lt;= table!$D$7),-1,IF(AND(#REF!&gt;=table!$E$7,#REF!&lt;=table!$F$7),1,0))</f>
        <v>#REF!</v>
      </c>
      <c r="S3080" s="5" t="e">
        <f>IF(AND(#REF!&gt;=table!$C$8,#REF!&lt;= table!$D$8),-1,IF(AND(#REF!&gt;=table!$E$8,#REF!&lt;=table!$F$8),1,0))</f>
        <v>#REF!</v>
      </c>
      <c r="T3080" s="5"/>
      <c r="U3080" s="5" t="e">
        <f>IF(AND(#REF!&gt;=table!$C$10,#REF!&lt;= table!$D$10),-1,IF(AND(#REF!&gt;=table!$E$10,#REF!&lt;=table!$F$10),1,0))</f>
        <v>#REF!</v>
      </c>
      <c r="V3080" s="5" t="e">
        <f>IF(AND(#REF!&gt;=table!$C$11,#REF!&lt;= table!$D$11),-1,IF(AND(#REF!&gt;=table!$E$11,#REF!&lt;=table!$F$11),1,0))</f>
        <v>#REF!</v>
      </c>
      <c r="W3080" s="5" t="e">
        <f>CONCATENATE(dados[[#This Row],[fator1]],dados[[#This Row],[fator5]],dados[[#This Row],[fator6]])</f>
        <v>#REF!</v>
      </c>
    </row>
    <row r="3081" spans="1:23">
      <c r="A3081" t="s">
        <v>17</v>
      </c>
      <c r="B3081">
        <v>586000</v>
      </c>
      <c r="C3081">
        <v>18</v>
      </c>
      <c r="D3081">
        <v>30</v>
      </c>
      <c r="E3081">
        <v>136</v>
      </c>
      <c r="F3081">
        <v>3</v>
      </c>
      <c r="G3081">
        <v>20</v>
      </c>
      <c r="H3081">
        <v>25</v>
      </c>
      <c r="I3081">
        <v>1166</v>
      </c>
      <c r="J3081">
        <v>0</v>
      </c>
      <c r="K3081">
        <v>6.12</v>
      </c>
      <c r="L3081">
        <v>9.51</v>
      </c>
      <c r="M3081">
        <v>101.47</v>
      </c>
      <c r="N3081">
        <v>15.3</v>
      </c>
      <c r="O3081">
        <v>1678</v>
      </c>
      <c r="P3081">
        <v>0</v>
      </c>
      <c r="Q3081" s="5" t="e">
        <f>IF(AND(#REF!&gt;=table!$C$6,#REF!&lt;= table!$D$6),-1,IF(AND(#REF!&gt;=table!$E$6,#REF!&lt;=table!$F$6),1,0))</f>
        <v>#REF!</v>
      </c>
      <c r="R3081" s="5" t="e">
        <f>IF(AND(#REF!&gt;=table!$C$7,#REF!&lt;= table!$D$7),-1,IF(AND(#REF!&gt;=table!$E$7,#REF!&lt;=table!$F$7),1,0))</f>
        <v>#REF!</v>
      </c>
      <c r="S3081" s="5" t="e">
        <f>IF(AND(#REF!&gt;=table!$C$8,#REF!&lt;= table!$D$8),-1,IF(AND(#REF!&gt;=table!$E$8,#REF!&lt;=table!$F$8),1,0))</f>
        <v>#REF!</v>
      </c>
      <c r="T3081" s="5"/>
      <c r="U3081" s="5" t="e">
        <f>IF(AND(#REF!&gt;=table!$C$10,#REF!&lt;= table!$D$10),-1,IF(AND(#REF!&gt;=table!$E$10,#REF!&lt;=table!$F$10),1,0))</f>
        <v>#REF!</v>
      </c>
      <c r="V3081" s="5" t="e">
        <f>IF(AND(#REF!&gt;=table!$C$11,#REF!&lt;= table!$D$11),-1,IF(AND(#REF!&gt;=table!$E$11,#REF!&lt;=table!$F$11),1,0))</f>
        <v>#REF!</v>
      </c>
      <c r="W3081" s="5" t="e">
        <f>CONCATENATE(dados[[#This Row],[fator1]],dados[[#This Row],[fator5]],dados[[#This Row],[fator6]])</f>
        <v>#REF!</v>
      </c>
    </row>
    <row r="3082" spans="1:23">
      <c r="A3082" t="s">
        <v>17</v>
      </c>
      <c r="B3082">
        <v>586002</v>
      </c>
      <c r="C3082">
        <v>11</v>
      </c>
      <c r="D3082">
        <v>30</v>
      </c>
      <c r="E3082">
        <v>125</v>
      </c>
      <c r="F3082">
        <v>4</v>
      </c>
      <c r="G3082">
        <v>25</v>
      </c>
      <c r="H3082">
        <v>21</v>
      </c>
      <c r="I3082">
        <v>1082</v>
      </c>
      <c r="J3082">
        <v>0</v>
      </c>
      <c r="K3082">
        <v>3.9350000000000001</v>
      </c>
      <c r="L3082">
        <v>6.25</v>
      </c>
      <c r="M3082">
        <v>104.09</v>
      </c>
      <c r="N3082">
        <v>12.74</v>
      </c>
      <c r="O3082">
        <v>1683</v>
      </c>
      <c r="P3082">
        <v>1368</v>
      </c>
      <c r="Q3082" s="5" t="e">
        <f>IF(AND(#REF!&gt;=table!$C$6,#REF!&lt;= table!$D$6),-1,IF(AND(#REF!&gt;=table!$E$6,#REF!&lt;=table!$F$6),1,0))</f>
        <v>#REF!</v>
      </c>
      <c r="R3082" s="5" t="e">
        <f>IF(AND(#REF!&gt;=table!$C$7,#REF!&lt;= table!$D$7),-1,IF(AND(#REF!&gt;=table!$E$7,#REF!&lt;=table!$F$7),1,0))</f>
        <v>#REF!</v>
      </c>
      <c r="S3082" s="5" t="e">
        <f>IF(AND(#REF!&gt;=table!$C$8,#REF!&lt;= table!$D$8),-1,IF(AND(#REF!&gt;=table!$E$8,#REF!&lt;=table!$F$8),1,0))</f>
        <v>#REF!</v>
      </c>
      <c r="T3082" s="5"/>
      <c r="U3082" s="5" t="e">
        <f>IF(AND(#REF!&gt;=table!$C$10,#REF!&lt;= table!$D$10),-1,IF(AND(#REF!&gt;=table!$E$10,#REF!&lt;=table!$F$10),1,0))</f>
        <v>#REF!</v>
      </c>
      <c r="V3082" s="5" t="e">
        <f>IF(AND(#REF!&gt;=table!$C$11,#REF!&lt;= table!$D$11),-1,IF(AND(#REF!&gt;=table!$E$11,#REF!&lt;=table!$F$11),1,0))</f>
        <v>#REF!</v>
      </c>
      <c r="W3082" s="5" t="e">
        <f>CONCATENATE(dados[[#This Row],[fator1]],dados[[#This Row],[fator5]],dados[[#This Row],[fator6]])</f>
        <v>#REF!</v>
      </c>
    </row>
    <row r="3083" spans="1:23">
      <c r="A3083" t="s">
        <v>17</v>
      </c>
      <c r="B3083">
        <v>586003</v>
      </c>
      <c r="C3083">
        <v>11</v>
      </c>
      <c r="D3083">
        <v>30</v>
      </c>
      <c r="E3083">
        <v>125</v>
      </c>
      <c r="F3083">
        <v>4</v>
      </c>
      <c r="G3083">
        <v>25</v>
      </c>
      <c r="H3083">
        <v>21</v>
      </c>
      <c r="I3083">
        <v>765</v>
      </c>
      <c r="J3083">
        <v>0</v>
      </c>
      <c r="K3083">
        <v>5.5550000000000006</v>
      </c>
      <c r="L3083">
        <v>8.07</v>
      </c>
      <c r="M3083">
        <v>93.12</v>
      </c>
      <c r="N3083">
        <v>12.565000000000001</v>
      </c>
      <c r="O3083">
        <v>1687</v>
      </c>
      <c r="P3083">
        <v>0</v>
      </c>
      <c r="Q3083" s="5" t="e">
        <f>IF(AND(#REF!&gt;=table!$C$6,#REF!&lt;= table!$D$6),-1,IF(AND(#REF!&gt;=table!$E$6,#REF!&lt;=table!$F$6),1,0))</f>
        <v>#REF!</v>
      </c>
      <c r="R3083" s="5" t="e">
        <f>IF(AND(#REF!&gt;=table!$C$7,#REF!&lt;= table!$D$7),-1,IF(AND(#REF!&gt;=table!$E$7,#REF!&lt;=table!$F$7),1,0))</f>
        <v>#REF!</v>
      </c>
      <c r="S3083" s="5" t="e">
        <f>IF(AND(#REF!&gt;=table!$C$8,#REF!&lt;= table!$D$8),-1,IF(AND(#REF!&gt;=table!$E$8,#REF!&lt;=table!$F$8),1,0))</f>
        <v>#REF!</v>
      </c>
      <c r="T3083" s="5"/>
      <c r="U3083" s="5" t="e">
        <f>IF(AND(#REF!&gt;=table!$C$10,#REF!&lt;= table!$D$10),-1,IF(AND(#REF!&gt;=table!$E$10,#REF!&lt;=table!$F$10),1,0))</f>
        <v>#REF!</v>
      </c>
      <c r="V3083" s="5" t="e">
        <f>IF(AND(#REF!&gt;=table!$C$11,#REF!&lt;= table!$D$11),-1,IF(AND(#REF!&gt;=table!$E$11,#REF!&lt;=table!$F$11),1,0))</f>
        <v>#REF!</v>
      </c>
      <c r="W3083" s="5" t="e">
        <f>CONCATENATE(dados[[#This Row],[fator1]],dados[[#This Row],[fator5]],dados[[#This Row],[fator6]])</f>
        <v>#REF!</v>
      </c>
    </row>
    <row r="3084" spans="1:23">
      <c r="A3084" t="s">
        <v>16</v>
      </c>
      <c r="B3084">
        <v>586009</v>
      </c>
      <c r="C3084">
        <v>4</v>
      </c>
      <c r="D3084">
        <v>40</v>
      </c>
      <c r="E3084">
        <v>21</v>
      </c>
      <c r="F3084">
        <v>20</v>
      </c>
      <c r="G3084">
        <v>0</v>
      </c>
      <c r="H3084">
        <v>25</v>
      </c>
      <c r="I3084">
        <v>398</v>
      </c>
      <c r="J3084">
        <v>0</v>
      </c>
      <c r="K3084">
        <v>5.65</v>
      </c>
      <c r="L3084">
        <v>18.670000000000002</v>
      </c>
      <c r="M3084">
        <v>12.835000000000001</v>
      </c>
      <c r="N3084">
        <v>8.43</v>
      </c>
      <c r="O3084">
        <v>1710</v>
      </c>
      <c r="P3084">
        <v>0</v>
      </c>
      <c r="Q3084" s="5" t="e">
        <f>IF(AND(#REF!&gt;=table!$C$6,#REF!&lt;= table!$D$6),-1,IF(AND(#REF!&gt;=table!$E$6,#REF!&lt;=table!$F$6),1,0))</f>
        <v>#REF!</v>
      </c>
      <c r="R3084" s="5" t="e">
        <f>IF(AND(#REF!&gt;=table!$C$7,#REF!&lt;= table!$D$7),-1,IF(AND(#REF!&gt;=table!$E$7,#REF!&lt;=table!$F$7),1,0))</f>
        <v>#REF!</v>
      </c>
      <c r="S3084" s="5" t="e">
        <f>IF(AND(#REF!&gt;=table!$C$8,#REF!&lt;= table!$D$8),-1,IF(AND(#REF!&gt;=table!$E$8,#REF!&lt;=table!$F$8),1,0))</f>
        <v>#REF!</v>
      </c>
      <c r="T3084" s="5"/>
      <c r="U3084" s="5" t="e">
        <f>IF(AND(#REF!&gt;=table!$C$10,#REF!&lt;= table!$D$10),-1,IF(AND(#REF!&gt;=table!$E$10,#REF!&lt;=table!$F$10),1,0))</f>
        <v>#REF!</v>
      </c>
      <c r="V3084" s="5" t="e">
        <f>IF(AND(#REF!&gt;=table!$C$11,#REF!&lt;= table!$D$11),-1,IF(AND(#REF!&gt;=table!$E$11,#REF!&lt;=table!$F$11),1,0))</f>
        <v>#REF!</v>
      </c>
      <c r="W3084" s="5" t="e">
        <f>CONCATENATE(dados[[#This Row],[fator1]],dados[[#This Row],[fator5]],dados[[#This Row],[fator6]])</f>
        <v>#REF!</v>
      </c>
    </row>
    <row r="3085" spans="1:23">
      <c r="A3085" t="s">
        <v>16</v>
      </c>
      <c r="B3085">
        <v>586021</v>
      </c>
      <c r="C3085">
        <v>0.15</v>
      </c>
      <c r="D3085">
        <v>35</v>
      </c>
      <c r="E3085">
        <v>15</v>
      </c>
      <c r="F3085">
        <v>10</v>
      </c>
      <c r="G3085">
        <v>0</v>
      </c>
      <c r="H3085">
        <v>12</v>
      </c>
      <c r="I3085">
        <v>397</v>
      </c>
      <c r="J3085">
        <v>0</v>
      </c>
      <c r="K3085">
        <v>7.1350000000000007</v>
      </c>
      <c r="L3085">
        <v>5.8450000000000006</v>
      </c>
      <c r="M3085">
        <v>5.65</v>
      </c>
      <c r="N3085">
        <v>5.5150000000000006</v>
      </c>
      <c r="O3085">
        <v>1672</v>
      </c>
      <c r="P3085">
        <v>480</v>
      </c>
      <c r="Q3085" s="5" t="e">
        <f>IF(AND(#REF!&gt;=table!$C$6,#REF!&lt;= table!$D$6),-1,IF(AND(#REF!&gt;=table!$E$6,#REF!&lt;=table!$F$6),1,0))</f>
        <v>#REF!</v>
      </c>
      <c r="R3085" s="5" t="e">
        <f>IF(AND(#REF!&gt;=table!$C$7,#REF!&lt;= table!$D$7),-1,IF(AND(#REF!&gt;=table!$E$7,#REF!&lt;=table!$F$7),1,0))</f>
        <v>#REF!</v>
      </c>
      <c r="S3085" s="5" t="e">
        <f>IF(AND(#REF!&gt;=table!$C$8,#REF!&lt;= table!$D$8),-1,IF(AND(#REF!&gt;=table!$E$8,#REF!&lt;=table!$F$8),1,0))</f>
        <v>#REF!</v>
      </c>
      <c r="T3085" s="5"/>
      <c r="U3085" s="5" t="e">
        <f>IF(AND(#REF!&gt;=table!$C$10,#REF!&lt;= table!$D$10),-1,IF(AND(#REF!&gt;=table!$E$10,#REF!&lt;=table!$F$10),1,0))</f>
        <v>#REF!</v>
      </c>
      <c r="V3085" s="5" t="e">
        <f>IF(AND(#REF!&gt;=table!$C$11,#REF!&lt;= table!$D$11),-1,IF(AND(#REF!&gt;=table!$E$11,#REF!&lt;=table!$F$11),1,0))</f>
        <v>#REF!</v>
      </c>
      <c r="W3085" s="5" t="e">
        <f>CONCATENATE(dados[[#This Row],[fator1]],dados[[#This Row],[fator5]],dados[[#This Row],[fator6]])</f>
        <v>#REF!</v>
      </c>
    </row>
    <row r="3086" spans="1:23">
      <c r="A3086" t="s">
        <v>16</v>
      </c>
      <c r="B3086">
        <v>586022</v>
      </c>
      <c r="C3086">
        <v>0.1</v>
      </c>
      <c r="D3086">
        <v>35</v>
      </c>
      <c r="E3086">
        <v>10</v>
      </c>
      <c r="F3086">
        <v>10</v>
      </c>
      <c r="G3086">
        <v>0</v>
      </c>
      <c r="H3086">
        <v>12</v>
      </c>
      <c r="I3086">
        <v>566</v>
      </c>
      <c r="J3086">
        <v>0</v>
      </c>
      <c r="K3086">
        <v>2.681</v>
      </c>
      <c r="L3086">
        <v>4.74</v>
      </c>
      <c r="M3086">
        <v>4.4850000000000003</v>
      </c>
      <c r="N3086">
        <v>5.8950000000000005</v>
      </c>
      <c r="O3086">
        <v>1681</v>
      </c>
      <c r="P3086">
        <v>1229</v>
      </c>
      <c r="Q3086" s="5" t="e">
        <f>IF(AND(#REF!&gt;=table!$C$6,#REF!&lt;= table!$D$6),-1,IF(AND(#REF!&gt;=table!$E$6,#REF!&lt;=table!$F$6),1,0))</f>
        <v>#REF!</v>
      </c>
      <c r="R3086" s="5" t="e">
        <f>IF(AND(#REF!&gt;=table!$C$7,#REF!&lt;= table!$D$7),-1,IF(AND(#REF!&gt;=table!$E$7,#REF!&lt;=table!$F$7),1,0))</f>
        <v>#REF!</v>
      </c>
      <c r="S3086" s="5" t="e">
        <f>IF(AND(#REF!&gt;=table!$C$8,#REF!&lt;= table!$D$8),-1,IF(AND(#REF!&gt;=table!$E$8,#REF!&lt;=table!$F$8),1,0))</f>
        <v>#REF!</v>
      </c>
      <c r="T3086" s="5"/>
      <c r="U3086" s="5" t="e">
        <f>IF(AND(#REF!&gt;=table!$C$10,#REF!&lt;= table!$D$10),-1,IF(AND(#REF!&gt;=table!$E$10,#REF!&lt;=table!$F$10),1,0))</f>
        <v>#REF!</v>
      </c>
      <c r="V3086" s="5" t="e">
        <f>IF(AND(#REF!&gt;=table!$C$11,#REF!&lt;= table!$D$11),-1,IF(AND(#REF!&gt;=table!$E$11,#REF!&lt;=table!$F$11),1,0))</f>
        <v>#REF!</v>
      </c>
      <c r="W3086" s="5" t="e">
        <f>CONCATENATE(dados[[#This Row],[fator1]],dados[[#This Row],[fator5]],dados[[#This Row],[fator6]])</f>
        <v>#REF!</v>
      </c>
    </row>
    <row r="3087" spans="1:23">
      <c r="A3087" t="s">
        <v>16</v>
      </c>
      <c r="B3087">
        <v>586024</v>
      </c>
      <c r="C3087">
        <v>0.1</v>
      </c>
      <c r="D3087">
        <v>35</v>
      </c>
      <c r="E3087">
        <v>10</v>
      </c>
      <c r="F3087">
        <v>10</v>
      </c>
      <c r="G3087">
        <v>0</v>
      </c>
      <c r="H3087">
        <v>12</v>
      </c>
      <c r="I3087">
        <v>392</v>
      </c>
      <c r="J3087">
        <v>0</v>
      </c>
      <c r="K3087">
        <v>6.0200000000000005</v>
      </c>
      <c r="L3087">
        <v>6.03</v>
      </c>
      <c r="M3087">
        <v>5.68</v>
      </c>
      <c r="N3087">
        <v>7.5250000000000004</v>
      </c>
      <c r="O3087">
        <v>1676</v>
      </c>
      <c r="P3087">
        <v>707</v>
      </c>
      <c r="Q3087" s="5" t="e">
        <f>IF(AND(#REF!&gt;=table!$C$6,#REF!&lt;= table!$D$6),-1,IF(AND(#REF!&gt;=table!$E$6,#REF!&lt;=table!$F$6),1,0))</f>
        <v>#REF!</v>
      </c>
      <c r="R3087" s="5" t="e">
        <f>IF(AND(#REF!&gt;=table!$C$7,#REF!&lt;= table!$D$7),-1,IF(AND(#REF!&gt;=table!$E$7,#REF!&lt;=table!$F$7),1,0))</f>
        <v>#REF!</v>
      </c>
      <c r="S3087" s="5" t="e">
        <f>IF(AND(#REF!&gt;=table!$C$8,#REF!&lt;= table!$D$8),-1,IF(AND(#REF!&gt;=table!$E$8,#REF!&lt;=table!$F$8),1,0))</f>
        <v>#REF!</v>
      </c>
      <c r="T3087" s="5"/>
      <c r="U3087" s="5" t="e">
        <f>IF(AND(#REF!&gt;=table!$C$10,#REF!&lt;= table!$D$10),-1,IF(AND(#REF!&gt;=table!$E$10,#REF!&lt;=table!$F$10),1,0))</f>
        <v>#REF!</v>
      </c>
      <c r="V3087" s="5" t="e">
        <f>IF(AND(#REF!&gt;=table!$C$11,#REF!&lt;= table!$D$11),-1,IF(AND(#REF!&gt;=table!$E$11,#REF!&lt;=table!$F$11),1,0))</f>
        <v>#REF!</v>
      </c>
      <c r="W3087" s="5" t="e">
        <f>CONCATENATE(dados[[#This Row],[fator1]],dados[[#This Row],[fator5]],dados[[#This Row],[fator6]])</f>
        <v>#REF!</v>
      </c>
    </row>
    <row r="3088" spans="1:23">
      <c r="A3088" t="s">
        <v>16</v>
      </c>
      <c r="B3088">
        <v>586026</v>
      </c>
      <c r="C3088">
        <v>0.1</v>
      </c>
      <c r="D3088">
        <v>35</v>
      </c>
      <c r="E3088">
        <v>10</v>
      </c>
      <c r="F3088">
        <v>10</v>
      </c>
      <c r="G3088">
        <v>0</v>
      </c>
      <c r="H3088">
        <v>12</v>
      </c>
      <c r="I3088">
        <v>0</v>
      </c>
      <c r="J3088">
        <v>0</v>
      </c>
      <c r="K3088">
        <v>4.5049999999999999</v>
      </c>
      <c r="L3088">
        <v>7.9050000000000002</v>
      </c>
      <c r="M3088">
        <v>7.2850000000000001</v>
      </c>
      <c r="N3088">
        <v>9.4749999999999996</v>
      </c>
      <c r="O3088">
        <v>1672</v>
      </c>
      <c r="P3088">
        <v>809</v>
      </c>
      <c r="Q3088" s="5" t="e">
        <f>IF(AND(#REF!&gt;=table!$C$6,#REF!&lt;= table!$D$6),-1,IF(AND(#REF!&gt;=table!$E$6,#REF!&lt;=table!$F$6),1,0))</f>
        <v>#REF!</v>
      </c>
      <c r="R3088" s="5" t="e">
        <f>IF(AND(#REF!&gt;=table!$C$7,#REF!&lt;= table!$D$7),-1,IF(AND(#REF!&gt;=table!$E$7,#REF!&lt;=table!$F$7),1,0))</f>
        <v>#REF!</v>
      </c>
      <c r="S3088" s="5" t="e">
        <f>IF(AND(#REF!&gt;=table!$C$8,#REF!&lt;= table!$D$8),-1,IF(AND(#REF!&gt;=table!$E$8,#REF!&lt;=table!$F$8),1,0))</f>
        <v>#REF!</v>
      </c>
      <c r="T3088" s="5"/>
      <c r="U3088" s="5" t="e">
        <f>IF(AND(#REF!&gt;=table!$C$10,#REF!&lt;= table!$D$10),-1,IF(AND(#REF!&gt;=table!$E$10,#REF!&lt;=table!$F$10),1,0))</f>
        <v>#REF!</v>
      </c>
      <c r="V3088" s="5" t="e">
        <f>IF(AND(#REF!&gt;=table!$C$11,#REF!&lt;= table!$D$11),-1,IF(AND(#REF!&gt;=table!$E$11,#REF!&lt;=table!$F$11),1,0))</f>
        <v>#REF!</v>
      </c>
      <c r="W3088" s="5" t="e">
        <f>CONCATENATE(dados[[#This Row],[fator1]],dados[[#This Row],[fator5]],dados[[#This Row],[fator6]])</f>
        <v>#REF!</v>
      </c>
    </row>
    <row r="3089" spans="1:23">
      <c r="A3089" t="s">
        <v>16</v>
      </c>
      <c r="B3089">
        <v>586027</v>
      </c>
      <c r="C3089">
        <v>6</v>
      </c>
      <c r="D3089">
        <v>25</v>
      </c>
      <c r="E3089">
        <v>120</v>
      </c>
      <c r="F3089">
        <v>4</v>
      </c>
      <c r="G3089">
        <v>0</v>
      </c>
      <c r="H3089">
        <v>55</v>
      </c>
      <c r="I3089">
        <v>732</v>
      </c>
      <c r="J3089">
        <v>0</v>
      </c>
      <c r="K3089">
        <v>2.4765000000000001</v>
      </c>
      <c r="L3089">
        <v>6.84</v>
      </c>
      <c r="M3089">
        <v>93.17</v>
      </c>
      <c r="N3089">
        <v>39.6</v>
      </c>
      <c r="O3089">
        <v>1682</v>
      </c>
      <c r="P3089">
        <v>0</v>
      </c>
      <c r="Q3089" s="5" t="e">
        <f>IF(AND(#REF!&gt;=table!$C$6,#REF!&lt;= table!$D$6),-1,IF(AND(#REF!&gt;=table!$E$6,#REF!&lt;=table!$F$6),1,0))</f>
        <v>#REF!</v>
      </c>
      <c r="R3089" s="5" t="e">
        <f>IF(AND(#REF!&gt;=table!$C$7,#REF!&lt;= table!$D$7),-1,IF(AND(#REF!&gt;=table!$E$7,#REF!&lt;=table!$F$7),1,0))</f>
        <v>#REF!</v>
      </c>
      <c r="S3089" s="5" t="e">
        <f>IF(AND(#REF!&gt;=table!$C$8,#REF!&lt;= table!$D$8),-1,IF(AND(#REF!&gt;=table!$E$8,#REF!&lt;=table!$F$8),1,0))</f>
        <v>#REF!</v>
      </c>
      <c r="T3089" s="5"/>
      <c r="U3089" s="5" t="e">
        <f>IF(AND(#REF!&gt;=table!$C$10,#REF!&lt;= table!$D$10),-1,IF(AND(#REF!&gt;=table!$E$10,#REF!&lt;=table!$F$10),1,0))</f>
        <v>#REF!</v>
      </c>
      <c r="V3089" s="5" t="e">
        <f>IF(AND(#REF!&gt;=table!$C$11,#REF!&lt;= table!$D$11),-1,IF(AND(#REF!&gt;=table!$E$11,#REF!&lt;=table!$F$11),1,0))</f>
        <v>#REF!</v>
      </c>
      <c r="W3089" s="5" t="e">
        <f>CONCATENATE(dados[[#This Row],[fator1]],dados[[#This Row],[fator5]],dados[[#This Row],[fator6]])</f>
        <v>#REF!</v>
      </c>
    </row>
    <row r="3090" spans="1:23">
      <c r="A3090" t="s">
        <v>16</v>
      </c>
      <c r="B3090">
        <v>586028</v>
      </c>
      <c r="C3090">
        <v>6</v>
      </c>
      <c r="D3090">
        <v>25</v>
      </c>
      <c r="E3090">
        <v>120</v>
      </c>
      <c r="F3090">
        <v>4</v>
      </c>
      <c r="G3090">
        <v>0</v>
      </c>
      <c r="H3090">
        <v>55</v>
      </c>
      <c r="I3090">
        <v>1173</v>
      </c>
      <c r="J3090">
        <v>0</v>
      </c>
      <c r="K3090">
        <v>2.75</v>
      </c>
      <c r="L3090">
        <v>3.94</v>
      </c>
      <c r="M3090">
        <v>72.765000000000001</v>
      </c>
      <c r="N3090">
        <v>31.310000000000002</v>
      </c>
      <c r="O3090">
        <v>1649</v>
      </c>
      <c r="P3090">
        <v>0</v>
      </c>
      <c r="Q3090" s="5" t="e">
        <f>IF(AND(#REF!&gt;=table!$C$6,#REF!&lt;= table!$D$6),-1,IF(AND(#REF!&gt;=table!$E$6,#REF!&lt;=table!$F$6),1,0))</f>
        <v>#REF!</v>
      </c>
      <c r="R3090" s="5" t="e">
        <f>IF(AND(#REF!&gt;=table!$C$7,#REF!&lt;= table!$D$7),-1,IF(AND(#REF!&gt;=table!$E$7,#REF!&lt;=table!$F$7),1,0))</f>
        <v>#REF!</v>
      </c>
      <c r="S3090" s="5" t="e">
        <f>IF(AND(#REF!&gt;=table!$C$8,#REF!&lt;= table!$D$8),-1,IF(AND(#REF!&gt;=table!$E$8,#REF!&lt;=table!$F$8),1,0))</f>
        <v>#REF!</v>
      </c>
      <c r="T3090" s="5"/>
      <c r="U3090" s="5" t="e">
        <f>IF(AND(#REF!&gt;=table!$C$10,#REF!&lt;= table!$D$10),-1,IF(AND(#REF!&gt;=table!$E$10,#REF!&lt;=table!$F$10),1,0))</f>
        <v>#REF!</v>
      </c>
      <c r="V3090" s="5" t="e">
        <f>IF(AND(#REF!&gt;=table!$C$11,#REF!&lt;= table!$D$11),-1,IF(AND(#REF!&gt;=table!$E$11,#REF!&lt;=table!$F$11),1,0))</f>
        <v>#REF!</v>
      </c>
      <c r="W3090" s="5" t="e">
        <f>CONCATENATE(dados[[#This Row],[fator1]],dados[[#This Row],[fator5]],dados[[#This Row],[fator6]])</f>
        <v>#REF!</v>
      </c>
    </row>
    <row r="3091" spans="1:23">
      <c r="A3091" t="s">
        <v>16</v>
      </c>
      <c r="B3091">
        <v>586029</v>
      </c>
      <c r="C3091">
        <v>6</v>
      </c>
      <c r="D3091">
        <v>25</v>
      </c>
      <c r="E3091">
        <v>120</v>
      </c>
      <c r="F3091">
        <v>4</v>
      </c>
      <c r="G3091">
        <v>0</v>
      </c>
      <c r="H3091">
        <v>55</v>
      </c>
      <c r="I3091">
        <v>190</v>
      </c>
      <c r="J3091">
        <v>0</v>
      </c>
      <c r="K3091">
        <v>2.238</v>
      </c>
      <c r="L3091">
        <v>4.8500000000000005</v>
      </c>
      <c r="M3091">
        <v>96.48</v>
      </c>
      <c r="N3091">
        <v>37.11</v>
      </c>
      <c r="O3091">
        <v>1706</v>
      </c>
      <c r="P3091">
        <v>0</v>
      </c>
      <c r="Q3091" s="5" t="e">
        <f>IF(AND(#REF!&gt;=table!$C$6,#REF!&lt;= table!$D$6),-1,IF(AND(#REF!&gt;=table!$E$6,#REF!&lt;=table!$F$6),1,0))</f>
        <v>#REF!</v>
      </c>
      <c r="R3091" s="5" t="e">
        <f>IF(AND(#REF!&gt;=table!$C$7,#REF!&lt;= table!$D$7),-1,IF(AND(#REF!&gt;=table!$E$7,#REF!&lt;=table!$F$7),1,0))</f>
        <v>#REF!</v>
      </c>
      <c r="S3091" s="5" t="e">
        <f>IF(AND(#REF!&gt;=table!$C$8,#REF!&lt;= table!$D$8),-1,IF(AND(#REF!&gt;=table!$E$8,#REF!&lt;=table!$F$8),1,0))</f>
        <v>#REF!</v>
      </c>
      <c r="T3091" s="5"/>
      <c r="U3091" s="5" t="e">
        <f>IF(AND(#REF!&gt;=table!$C$10,#REF!&lt;= table!$D$10),-1,IF(AND(#REF!&gt;=table!$E$10,#REF!&lt;=table!$F$10),1,0))</f>
        <v>#REF!</v>
      </c>
      <c r="V3091" s="5" t="e">
        <f>IF(AND(#REF!&gt;=table!$C$11,#REF!&lt;= table!$D$11),-1,IF(AND(#REF!&gt;=table!$E$11,#REF!&lt;=table!$F$11),1,0))</f>
        <v>#REF!</v>
      </c>
      <c r="W3091" s="5" t="e">
        <f>CONCATENATE(dados[[#This Row],[fator1]],dados[[#This Row],[fator5]],dados[[#This Row],[fator6]])</f>
        <v>#REF!</v>
      </c>
    </row>
    <row r="3092" spans="1:23">
      <c r="A3092" t="s">
        <v>16</v>
      </c>
      <c r="B3092">
        <v>586030</v>
      </c>
      <c r="C3092">
        <v>4</v>
      </c>
      <c r="D3092">
        <v>40</v>
      </c>
      <c r="E3092">
        <v>21</v>
      </c>
      <c r="F3092">
        <v>20</v>
      </c>
      <c r="G3092">
        <v>0</v>
      </c>
      <c r="H3092">
        <v>25</v>
      </c>
      <c r="I3092">
        <v>738</v>
      </c>
      <c r="J3092">
        <v>0</v>
      </c>
      <c r="K3092">
        <v>4.0750000000000002</v>
      </c>
      <c r="L3092">
        <v>8.2100000000000009</v>
      </c>
      <c r="M3092">
        <v>13.685</v>
      </c>
      <c r="N3092">
        <v>17.615000000000002</v>
      </c>
      <c r="O3092">
        <v>1649</v>
      </c>
      <c r="P3092">
        <v>982</v>
      </c>
      <c r="Q3092" s="5" t="e">
        <f>IF(AND(#REF!&gt;=table!$C$6,#REF!&lt;= table!$D$6),-1,IF(AND(#REF!&gt;=table!$E$6,#REF!&lt;=table!$F$6),1,0))</f>
        <v>#REF!</v>
      </c>
      <c r="R3092" s="5" t="e">
        <f>IF(AND(#REF!&gt;=table!$C$7,#REF!&lt;= table!$D$7),-1,IF(AND(#REF!&gt;=table!$E$7,#REF!&lt;=table!$F$7),1,0))</f>
        <v>#REF!</v>
      </c>
      <c r="S3092" s="5" t="e">
        <f>IF(AND(#REF!&gt;=table!$C$8,#REF!&lt;= table!$D$8),-1,IF(AND(#REF!&gt;=table!$E$8,#REF!&lt;=table!$F$8),1,0))</f>
        <v>#REF!</v>
      </c>
      <c r="T3092" s="5"/>
      <c r="U3092" s="5" t="e">
        <f>IF(AND(#REF!&gt;=table!$C$10,#REF!&lt;= table!$D$10),-1,IF(AND(#REF!&gt;=table!$E$10,#REF!&lt;=table!$F$10),1,0))</f>
        <v>#REF!</v>
      </c>
      <c r="V3092" s="5" t="e">
        <f>IF(AND(#REF!&gt;=table!$C$11,#REF!&lt;= table!$D$11),-1,IF(AND(#REF!&gt;=table!$E$11,#REF!&lt;=table!$F$11),1,0))</f>
        <v>#REF!</v>
      </c>
      <c r="W3092" s="5" t="e">
        <f>CONCATENATE(dados[[#This Row],[fator1]],dados[[#This Row],[fator5]],dados[[#This Row],[fator6]])</f>
        <v>#REF!</v>
      </c>
    </row>
    <row r="3093" spans="1:23">
      <c r="A3093" t="s">
        <v>16</v>
      </c>
      <c r="B3093">
        <v>586045</v>
      </c>
      <c r="C3093">
        <v>0.15</v>
      </c>
      <c r="D3093">
        <v>40</v>
      </c>
      <c r="E3093">
        <v>10</v>
      </c>
      <c r="F3093">
        <v>15</v>
      </c>
      <c r="G3093">
        <v>0</v>
      </c>
      <c r="H3093">
        <v>15</v>
      </c>
      <c r="I3093">
        <v>135</v>
      </c>
      <c r="J3093">
        <v>0</v>
      </c>
      <c r="K3093">
        <v>5.0200000000000005</v>
      </c>
      <c r="L3093">
        <v>6.5950000000000006</v>
      </c>
      <c r="M3093">
        <v>6.1450000000000005</v>
      </c>
      <c r="N3093">
        <v>8.9500000000000011</v>
      </c>
      <c r="O3093">
        <v>1678</v>
      </c>
      <c r="P3093">
        <v>433</v>
      </c>
      <c r="Q3093" s="5" t="e">
        <f>IF(AND(#REF!&gt;=table!$C$6,#REF!&lt;= table!$D$6),-1,IF(AND(#REF!&gt;=table!$E$6,#REF!&lt;=table!$F$6),1,0))</f>
        <v>#REF!</v>
      </c>
      <c r="R3093" s="5" t="e">
        <f>IF(AND(#REF!&gt;=table!$C$7,#REF!&lt;= table!$D$7),-1,IF(AND(#REF!&gt;=table!$E$7,#REF!&lt;=table!$F$7),1,0))</f>
        <v>#REF!</v>
      </c>
      <c r="S3093" s="5" t="e">
        <f>IF(AND(#REF!&gt;=table!$C$8,#REF!&lt;= table!$D$8),-1,IF(AND(#REF!&gt;=table!$E$8,#REF!&lt;=table!$F$8),1,0))</f>
        <v>#REF!</v>
      </c>
      <c r="T3093" s="5"/>
      <c r="U3093" s="5" t="e">
        <f>IF(AND(#REF!&gt;=table!$C$10,#REF!&lt;= table!$D$10),-1,IF(AND(#REF!&gt;=table!$E$10,#REF!&lt;=table!$F$10),1,0))</f>
        <v>#REF!</v>
      </c>
      <c r="V3093" s="5" t="e">
        <f>IF(AND(#REF!&gt;=table!$C$11,#REF!&lt;= table!$D$11),-1,IF(AND(#REF!&gt;=table!$E$11,#REF!&lt;=table!$F$11),1,0))</f>
        <v>#REF!</v>
      </c>
      <c r="W3093" s="5" t="e">
        <f>CONCATENATE(dados[[#This Row],[fator1]],dados[[#This Row],[fator5]],dados[[#This Row],[fator6]])</f>
        <v>#REF!</v>
      </c>
    </row>
    <row r="3094" spans="1:23">
      <c r="A3094" t="s">
        <v>16</v>
      </c>
      <c r="B3094">
        <v>586047</v>
      </c>
      <c r="C3094">
        <v>0.15</v>
      </c>
      <c r="D3094">
        <v>40</v>
      </c>
      <c r="E3094">
        <v>10</v>
      </c>
      <c r="F3094">
        <v>15</v>
      </c>
      <c r="G3094">
        <v>0</v>
      </c>
      <c r="H3094">
        <v>15</v>
      </c>
      <c r="I3094">
        <v>590</v>
      </c>
      <c r="J3094">
        <v>0</v>
      </c>
      <c r="K3094">
        <v>4.9750000000000005</v>
      </c>
      <c r="L3094">
        <v>5.44</v>
      </c>
      <c r="M3094">
        <v>5.125</v>
      </c>
      <c r="N3094">
        <v>11.925000000000001</v>
      </c>
      <c r="O3094">
        <v>1697</v>
      </c>
      <c r="P3094">
        <v>0</v>
      </c>
      <c r="Q3094" s="5" t="e">
        <f>IF(AND(#REF!&gt;=table!$C$6,#REF!&lt;= table!$D$6),-1,IF(AND(#REF!&gt;=table!$E$6,#REF!&lt;=table!$F$6),1,0))</f>
        <v>#REF!</v>
      </c>
      <c r="R3094" s="5" t="e">
        <f>IF(AND(#REF!&gt;=table!$C$7,#REF!&lt;= table!$D$7),-1,IF(AND(#REF!&gt;=table!$E$7,#REF!&lt;=table!$F$7),1,0))</f>
        <v>#REF!</v>
      </c>
      <c r="S3094" s="5" t="e">
        <f>IF(AND(#REF!&gt;=table!$C$8,#REF!&lt;= table!$D$8),-1,IF(AND(#REF!&gt;=table!$E$8,#REF!&lt;=table!$F$8),1,0))</f>
        <v>#REF!</v>
      </c>
      <c r="T3094" s="5"/>
      <c r="U3094" s="5" t="e">
        <f>IF(AND(#REF!&gt;=table!$C$10,#REF!&lt;= table!$D$10),-1,IF(AND(#REF!&gt;=table!$E$10,#REF!&lt;=table!$F$10),1,0))</f>
        <v>#REF!</v>
      </c>
      <c r="V3094" s="5" t="e">
        <f>IF(AND(#REF!&gt;=table!$C$11,#REF!&lt;= table!$D$11),-1,IF(AND(#REF!&gt;=table!$E$11,#REF!&lt;=table!$F$11),1,0))</f>
        <v>#REF!</v>
      </c>
      <c r="W3094" s="5" t="e">
        <f>CONCATENATE(dados[[#This Row],[fator1]],dados[[#This Row],[fator5]],dados[[#This Row],[fator6]])</f>
        <v>#REF!</v>
      </c>
    </row>
    <row r="3095" spans="1:23">
      <c r="A3095" t="s">
        <v>16</v>
      </c>
      <c r="B3095">
        <v>586048</v>
      </c>
      <c r="C3095">
        <v>0.15</v>
      </c>
      <c r="D3095">
        <v>40</v>
      </c>
      <c r="E3095">
        <v>10</v>
      </c>
      <c r="F3095">
        <v>15</v>
      </c>
      <c r="G3095">
        <v>0</v>
      </c>
      <c r="H3095">
        <v>15</v>
      </c>
      <c r="I3095">
        <v>5</v>
      </c>
      <c r="J3095">
        <v>0</v>
      </c>
      <c r="K3095">
        <v>2.2410000000000001</v>
      </c>
      <c r="L3095">
        <v>5.32</v>
      </c>
      <c r="M3095">
        <v>4.8850000000000007</v>
      </c>
      <c r="N3095">
        <v>12.98</v>
      </c>
      <c r="O3095">
        <v>1668</v>
      </c>
      <c r="P3095">
        <v>0</v>
      </c>
      <c r="Q3095" s="5" t="e">
        <f>IF(AND(#REF!&gt;=table!$C$6,#REF!&lt;= table!$D$6),-1,IF(AND(#REF!&gt;=table!$E$6,#REF!&lt;=table!$F$6),1,0))</f>
        <v>#REF!</v>
      </c>
      <c r="R3095" s="5" t="e">
        <f>IF(AND(#REF!&gt;=table!$C$7,#REF!&lt;= table!$D$7),-1,IF(AND(#REF!&gt;=table!$E$7,#REF!&lt;=table!$F$7),1,0))</f>
        <v>#REF!</v>
      </c>
      <c r="S3095" s="5" t="e">
        <f>IF(AND(#REF!&gt;=table!$C$8,#REF!&lt;= table!$D$8),-1,IF(AND(#REF!&gt;=table!$E$8,#REF!&lt;=table!$F$8),1,0))</f>
        <v>#REF!</v>
      </c>
      <c r="T3095" s="5"/>
      <c r="U3095" s="5" t="e">
        <f>IF(AND(#REF!&gt;=table!$C$10,#REF!&lt;= table!$D$10),-1,IF(AND(#REF!&gt;=table!$E$10,#REF!&lt;=table!$F$10),1,0))</f>
        <v>#REF!</v>
      </c>
      <c r="V3095" s="5" t="e">
        <f>IF(AND(#REF!&gt;=table!$C$11,#REF!&lt;= table!$D$11),-1,IF(AND(#REF!&gt;=table!$E$11,#REF!&lt;=table!$F$11),1,0))</f>
        <v>#REF!</v>
      </c>
      <c r="W3095" s="5" t="e">
        <f>CONCATENATE(dados[[#This Row],[fator1]],dados[[#This Row],[fator5]],dados[[#This Row],[fator6]])</f>
        <v>#REF!</v>
      </c>
    </row>
    <row r="3096" spans="1:23">
      <c r="A3096" t="s">
        <v>16</v>
      </c>
      <c r="B3096">
        <v>586053</v>
      </c>
      <c r="C3096">
        <v>0.15</v>
      </c>
      <c r="D3096">
        <v>40</v>
      </c>
      <c r="E3096">
        <v>10</v>
      </c>
      <c r="F3096">
        <v>15</v>
      </c>
      <c r="G3096">
        <v>0</v>
      </c>
      <c r="H3096">
        <v>15</v>
      </c>
      <c r="I3096">
        <v>359</v>
      </c>
      <c r="J3096">
        <v>0</v>
      </c>
      <c r="K3096">
        <v>5.585</v>
      </c>
      <c r="L3096">
        <v>9.7550000000000008</v>
      </c>
      <c r="M3096">
        <v>8.495000000000001</v>
      </c>
      <c r="N3096">
        <v>10.945</v>
      </c>
      <c r="O3096">
        <v>1682</v>
      </c>
      <c r="P3096">
        <v>0</v>
      </c>
      <c r="Q3096" s="5" t="e">
        <f>IF(AND(#REF!&gt;=table!$C$6,#REF!&lt;= table!$D$6),-1,IF(AND(#REF!&gt;=table!$E$6,#REF!&lt;=table!$F$6),1,0))</f>
        <v>#REF!</v>
      </c>
      <c r="R3096" s="5" t="e">
        <f>IF(AND(#REF!&gt;=table!$C$7,#REF!&lt;= table!$D$7),-1,IF(AND(#REF!&gt;=table!$E$7,#REF!&lt;=table!$F$7),1,0))</f>
        <v>#REF!</v>
      </c>
      <c r="S3096" s="5" t="e">
        <f>IF(AND(#REF!&gt;=table!$C$8,#REF!&lt;= table!$D$8),-1,IF(AND(#REF!&gt;=table!$E$8,#REF!&lt;=table!$F$8),1,0))</f>
        <v>#REF!</v>
      </c>
      <c r="T3096" s="5"/>
      <c r="U3096" s="5" t="e">
        <f>IF(AND(#REF!&gt;=table!$C$10,#REF!&lt;= table!$D$10),-1,IF(AND(#REF!&gt;=table!$E$10,#REF!&lt;=table!$F$10),1,0))</f>
        <v>#REF!</v>
      </c>
      <c r="V3096" s="5" t="e">
        <f>IF(AND(#REF!&gt;=table!$C$11,#REF!&lt;= table!$D$11),-1,IF(AND(#REF!&gt;=table!$E$11,#REF!&lt;=table!$F$11),1,0))</f>
        <v>#REF!</v>
      </c>
      <c r="W3096" s="5" t="e">
        <f>CONCATENATE(dados[[#This Row],[fator1]],dados[[#This Row],[fator5]],dados[[#This Row],[fator6]])</f>
        <v>#REF!</v>
      </c>
    </row>
    <row r="3097" spans="1:23">
      <c r="A3097" t="s">
        <v>16</v>
      </c>
      <c r="B3097">
        <v>586054</v>
      </c>
      <c r="C3097">
        <v>0.15</v>
      </c>
      <c r="D3097">
        <v>40</v>
      </c>
      <c r="E3097">
        <v>10</v>
      </c>
      <c r="F3097">
        <v>15</v>
      </c>
      <c r="G3097">
        <v>0</v>
      </c>
      <c r="H3097">
        <v>15</v>
      </c>
      <c r="I3097">
        <v>2237</v>
      </c>
      <c r="J3097">
        <v>0</v>
      </c>
      <c r="K3097">
        <v>4.87</v>
      </c>
      <c r="L3097">
        <v>8.2550000000000008</v>
      </c>
      <c r="M3097">
        <v>6.8450000000000006</v>
      </c>
      <c r="N3097">
        <v>8.67</v>
      </c>
      <c r="O3097">
        <v>1677</v>
      </c>
      <c r="P3097">
        <v>0</v>
      </c>
      <c r="Q3097" s="5" t="e">
        <f>IF(AND(#REF!&gt;=table!$C$6,#REF!&lt;= table!$D$6),-1,IF(AND(#REF!&gt;=table!$E$6,#REF!&lt;=table!$F$6),1,0))</f>
        <v>#REF!</v>
      </c>
      <c r="R3097" s="5" t="e">
        <f>IF(AND(#REF!&gt;=table!$C$7,#REF!&lt;= table!$D$7),-1,IF(AND(#REF!&gt;=table!$E$7,#REF!&lt;=table!$F$7),1,0))</f>
        <v>#REF!</v>
      </c>
      <c r="S3097" s="5" t="e">
        <f>IF(AND(#REF!&gt;=table!$C$8,#REF!&lt;= table!$D$8),-1,IF(AND(#REF!&gt;=table!$E$8,#REF!&lt;=table!$F$8),1,0))</f>
        <v>#REF!</v>
      </c>
      <c r="T3097" s="5"/>
      <c r="U3097" s="5" t="e">
        <f>IF(AND(#REF!&gt;=table!$C$10,#REF!&lt;= table!$D$10),-1,IF(AND(#REF!&gt;=table!$E$10,#REF!&lt;=table!$F$10),1,0))</f>
        <v>#REF!</v>
      </c>
      <c r="V3097" s="5" t="e">
        <f>IF(AND(#REF!&gt;=table!$C$11,#REF!&lt;= table!$D$11),-1,IF(AND(#REF!&gt;=table!$E$11,#REF!&lt;=table!$F$11),1,0))</f>
        <v>#REF!</v>
      </c>
      <c r="W3097" s="5" t="e">
        <f>CONCATENATE(dados[[#This Row],[fator1]],dados[[#This Row],[fator5]],dados[[#This Row],[fator6]])</f>
        <v>#REF!</v>
      </c>
    </row>
    <row r="3098" spans="1:23">
      <c r="A3098" t="s">
        <v>16</v>
      </c>
      <c r="B3098">
        <v>586066</v>
      </c>
      <c r="C3098">
        <v>7</v>
      </c>
      <c r="D3098">
        <v>35</v>
      </c>
      <c r="E3098">
        <v>170</v>
      </c>
      <c r="F3098">
        <v>6</v>
      </c>
      <c r="G3098">
        <v>0</v>
      </c>
      <c r="H3098">
        <v>20</v>
      </c>
      <c r="I3098">
        <v>1074</v>
      </c>
      <c r="J3098">
        <v>550</v>
      </c>
      <c r="K3098">
        <v>6.4667000000000003</v>
      </c>
      <c r="L3098">
        <v>8.3150000000000013</v>
      </c>
      <c r="M3098">
        <v>129.49</v>
      </c>
      <c r="N3098">
        <v>13.030000000000001</v>
      </c>
      <c r="O3098">
        <v>1691</v>
      </c>
      <c r="P3098">
        <v>0</v>
      </c>
      <c r="Q3098" s="5" t="e">
        <f>IF(AND(#REF!&gt;=table!$C$6,#REF!&lt;= table!$D$6),-1,IF(AND(#REF!&gt;=table!$E$6,#REF!&lt;=table!$F$6),1,0))</f>
        <v>#REF!</v>
      </c>
      <c r="R3098" s="5" t="e">
        <f>IF(AND(#REF!&gt;=table!$C$7,#REF!&lt;= table!$D$7),-1,IF(AND(#REF!&gt;=table!$E$7,#REF!&lt;=table!$F$7),1,0))</f>
        <v>#REF!</v>
      </c>
      <c r="S3098" s="5" t="e">
        <f>IF(AND(#REF!&gt;=table!$C$8,#REF!&lt;= table!$D$8),-1,IF(AND(#REF!&gt;=table!$E$8,#REF!&lt;=table!$F$8),1,0))</f>
        <v>#REF!</v>
      </c>
      <c r="T3098" s="5"/>
      <c r="U3098" s="5" t="e">
        <f>IF(AND(#REF!&gt;=table!$C$10,#REF!&lt;= table!$D$10),-1,IF(AND(#REF!&gt;=table!$E$10,#REF!&lt;=table!$F$10),1,0))</f>
        <v>#REF!</v>
      </c>
      <c r="V3098" s="5" t="e">
        <f>IF(AND(#REF!&gt;=table!$C$11,#REF!&lt;= table!$D$11),-1,IF(AND(#REF!&gt;=table!$E$11,#REF!&lt;=table!$F$11),1,0))</f>
        <v>#REF!</v>
      </c>
      <c r="W3098" s="5" t="e">
        <f>CONCATENATE(dados[[#This Row],[fator1]],dados[[#This Row],[fator5]],dados[[#This Row],[fator6]])</f>
        <v>#REF!</v>
      </c>
    </row>
    <row r="3099" spans="1:23">
      <c r="A3099" t="s">
        <v>16</v>
      </c>
      <c r="B3099">
        <v>586067</v>
      </c>
      <c r="C3099">
        <v>12</v>
      </c>
      <c r="D3099">
        <v>35</v>
      </c>
      <c r="E3099">
        <v>180</v>
      </c>
      <c r="F3099">
        <v>6</v>
      </c>
      <c r="G3099">
        <v>0</v>
      </c>
      <c r="H3099">
        <v>20</v>
      </c>
      <c r="I3099">
        <v>858</v>
      </c>
      <c r="J3099">
        <v>0</v>
      </c>
      <c r="K3099">
        <v>4.96</v>
      </c>
      <c r="L3099">
        <v>7.0150000000000006</v>
      </c>
      <c r="M3099">
        <v>164.08</v>
      </c>
      <c r="N3099">
        <v>16.38</v>
      </c>
      <c r="O3099">
        <v>1672</v>
      </c>
      <c r="P3099">
        <v>0</v>
      </c>
      <c r="Q3099" s="5" t="e">
        <f>IF(AND(#REF!&gt;=table!$C$6,#REF!&lt;= table!$D$6),-1,IF(AND(#REF!&gt;=table!$E$6,#REF!&lt;=table!$F$6),1,0))</f>
        <v>#REF!</v>
      </c>
      <c r="R3099" s="5" t="e">
        <f>IF(AND(#REF!&gt;=table!$C$7,#REF!&lt;= table!$D$7),-1,IF(AND(#REF!&gt;=table!$E$7,#REF!&lt;=table!$F$7),1,0))</f>
        <v>#REF!</v>
      </c>
      <c r="S3099" s="5" t="e">
        <f>IF(AND(#REF!&gt;=table!$C$8,#REF!&lt;= table!$D$8),-1,IF(AND(#REF!&gt;=table!$E$8,#REF!&lt;=table!$F$8),1,0))</f>
        <v>#REF!</v>
      </c>
      <c r="T3099" s="5"/>
      <c r="U3099" s="5" t="e">
        <f>IF(AND(#REF!&gt;=table!$C$10,#REF!&lt;= table!$D$10),-1,IF(AND(#REF!&gt;=table!$E$10,#REF!&lt;=table!$F$10),1,0))</f>
        <v>#REF!</v>
      </c>
      <c r="V3099" s="5" t="e">
        <f>IF(AND(#REF!&gt;=table!$C$11,#REF!&lt;= table!$D$11),-1,IF(AND(#REF!&gt;=table!$E$11,#REF!&lt;=table!$F$11),1,0))</f>
        <v>#REF!</v>
      </c>
      <c r="W3099" s="5" t="e">
        <f>CONCATENATE(dados[[#This Row],[fator1]],dados[[#This Row],[fator5]],dados[[#This Row],[fator6]])</f>
        <v>#REF!</v>
      </c>
    </row>
    <row r="3100" spans="1:23">
      <c r="A3100" t="s">
        <v>16</v>
      </c>
      <c r="B3100">
        <v>586068</v>
      </c>
      <c r="C3100">
        <v>12</v>
      </c>
      <c r="D3100">
        <v>35</v>
      </c>
      <c r="E3100">
        <v>180</v>
      </c>
      <c r="F3100">
        <v>6</v>
      </c>
      <c r="G3100">
        <v>0</v>
      </c>
      <c r="H3100">
        <v>20</v>
      </c>
      <c r="I3100">
        <v>1312</v>
      </c>
      <c r="J3100">
        <v>0</v>
      </c>
      <c r="K3100">
        <v>4.9750000000000005</v>
      </c>
      <c r="L3100">
        <v>6.8050000000000006</v>
      </c>
      <c r="M3100">
        <v>144.09</v>
      </c>
      <c r="N3100">
        <v>13.645000000000001</v>
      </c>
      <c r="O3100">
        <v>1675</v>
      </c>
      <c r="P3100">
        <v>939</v>
      </c>
      <c r="Q3100" s="5" t="e">
        <f>IF(AND(#REF!&gt;=table!$C$6,#REF!&lt;= table!$D$6),-1,IF(AND(#REF!&gt;=table!$E$6,#REF!&lt;=table!$F$6),1,0))</f>
        <v>#REF!</v>
      </c>
      <c r="R3100" s="5" t="e">
        <f>IF(AND(#REF!&gt;=table!$C$7,#REF!&lt;= table!$D$7),-1,IF(AND(#REF!&gt;=table!$E$7,#REF!&lt;=table!$F$7),1,0))</f>
        <v>#REF!</v>
      </c>
      <c r="S3100" s="5" t="e">
        <f>IF(AND(#REF!&gt;=table!$C$8,#REF!&lt;= table!$D$8),-1,IF(AND(#REF!&gt;=table!$E$8,#REF!&lt;=table!$F$8),1,0))</f>
        <v>#REF!</v>
      </c>
      <c r="T3100" s="5"/>
      <c r="U3100" s="5" t="e">
        <f>IF(AND(#REF!&gt;=table!$C$10,#REF!&lt;= table!$D$10),-1,IF(AND(#REF!&gt;=table!$E$10,#REF!&lt;=table!$F$10),1,0))</f>
        <v>#REF!</v>
      </c>
      <c r="V3100" s="5" t="e">
        <f>IF(AND(#REF!&gt;=table!$C$11,#REF!&lt;= table!$D$11),-1,IF(AND(#REF!&gt;=table!$E$11,#REF!&lt;=table!$F$11),1,0))</f>
        <v>#REF!</v>
      </c>
      <c r="W3100" s="5" t="e">
        <f>CONCATENATE(dados[[#This Row],[fator1]],dados[[#This Row],[fator5]],dados[[#This Row],[fator6]])</f>
        <v>#REF!</v>
      </c>
    </row>
    <row r="3101" spans="1:23">
      <c r="A3101" t="s">
        <v>16</v>
      </c>
      <c r="B3101">
        <v>586078</v>
      </c>
      <c r="C3101">
        <v>9</v>
      </c>
      <c r="D3101">
        <v>27</v>
      </c>
      <c r="E3101">
        <v>36</v>
      </c>
      <c r="F3101">
        <v>8</v>
      </c>
      <c r="G3101">
        <v>0</v>
      </c>
      <c r="H3101">
        <v>25</v>
      </c>
      <c r="I3101">
        <v>2</v>
      </c>
      <c r="J3101">
        <v>0</v>
      </c>
      <c r="K3101">
        <v>4.5550000000000006</v>
      </c>
      <c r="L3101">
        <v>11.950000000000001</v>
      </c>
      <c r="M3101">
        <v>32.369999999999997</v>
      </c>
      <c r="N3101">
        <v>14.97</v>
      </c>
      <c r="O3101">
        <v>1680</v>
      </c>
      <c r="P3101">
        <v>740</v>
      </c>
      <c r="Q3101" s="5" t="e">
        <f>IF(AND(#REF!&gt;=table!$C$6,#REF!&lt;= table!$D$6),-1,IF(AND(#REF!&gt;=table!$E$6,#REF!&lt;=table!$F$6),1,0))</f>
        <v>#REF!</v>
      </c>
      <c r="R3101" s="5" t="e">
        <f>IF(AND(#REF!&gt;=table!$C$7,#REF!&lt;= table!$D$7),-1,IF(AND(#REF!&gt;=table!$E$7,#REF!&lt;=table!$F$7),1,0))</f>
        <v>#REF!</v>
      </c>
      <c r="S3101" s="5" t="e">
        <f>IF(AND(#REF!&gt;=table!$C$8,#REF!&lt;= table!$D$8),-1,IF(AND(#REF!&gt;=table!$E$8,#REF!&lt;=table!$F$8),1,0))</f>
        <v>#REF!</v>
      </c>
      <c r="T3101" s="5"/>
      <c r="U3101" s="5" t="e">
        <f>IF(AND(#REF!&gt;=table!$C$10,#REF!&lt;= table!$D$10),-1,IF(AND(#REF!&gt;=table!$E$10,#REF!&lt;=table!$F$10),1,0))</f>
        <v>#REF!</v>
      </c>
      <c r="V3101" s="5" t="e">
        <f>IF(AND(#REF!&gt;=table!$C$11,#REF!&lt;= table!$D$11),-1,IF(AND(#REF!&gt;=table!$E$11,#REF!&lt;=table!$F$11),1,0))</f>
        <v>#REF!</v>
      </c>
      <c r="W3101" s="5" t="e">
        <f>CONCATENATE(dados[[#This Row],[fator1]],dados[[#This Row],[fator5]],dados[[#This Row],[fator6]])</f>
        <v>#REF!</v>
      </c>
    </row>
    <row r="3102" spans="1:23">
      <c r="A3102" t="s">
        <v>16</v>
      </c>
      <c r="B3102">
        <v>586079</v>
      </c>
      <c r="C3102">
        <v>4</v>
      </c>
      <c r="D3102">
        <v>40</v>
      </c>
      <c r="E3102">
        <v>21</v>
      </c>
      <c r="F3102">
        <v>10</v>
      </c>
      <c r="G3102">
        <v>0</v>
      </c>
      <c r="H3102">
        <v>25</v>
      </c>
      <c r="I3102">
        <v>812</v>
      </c>
      <c r="J3102">
        <v>0</v>
      </c>
      <c r="K3102">
        <v>6.0200000000000005</v>
      </c>
      <c r="L3102">
        <v>9.6</v>
      </c>
      <c r="M3102">
        <v>9.3000000000000007</v>
      </c>
      <c r="N3102">
        <v>11.3</v>
      </c>
      <c r="O3102">
        <v>1678</v>
      </c>
      <c r="P3102">
        <v>549</v>
      </c>
      <c r="Q3102" s="5" t="e">
        <f>IF(AND(#REF!&gt;=table!$C$6,#REF!&lt;= table!$D$6),-1,IF(AND(#REF!&gt;=table!$E$6,#REF!&lt;=table!$F$6),1,0))</f>
        <v>#REF!</v>
      </c>
      <c r="R3102" s="5" t="e">
        <f>IF(AND(#REF!&gt;=table!$C$7,#REF!&lt;= table!$D$7),-1,IF(AND(#REF!&gt;=table!$E$7,#REF!&lt;=table!$F$7),1,0))</f>
        <v>#REF!</v>
      </c>
      <c r="S3102" s="5" t="e">
        <f>IF(AND(#REF!&gt;=table!$C$8,#REF!&lt;= table!$D$8),-1,IF(AND(#REF!&gt;=table!$E$8,#REF!&lt;=table!$F$8),1,0))</f>
        <v>#REF!</v>
      </c>
      <c r="T3102" s="5"/>
      <c r="U3102" s="5" t="e">
        <f>IF(AND(#REF!&gt;=table!$C$10,#REF!&lt;= table!$D$10),-1,IF(AND(#REF!&gt;=table!$E$10,#REF!&lt;=table!$F$10),1,0))</f>
        <v>#REF!</v>
      </c>
      <c r="V3102" s="5" t="e">
        <f>IF(AND(#REF!&gt;=table!$C$11,#REF!&lt;= table!$D$11),-1,IF(AND(#REF!&gt;=table!$E$11,#REF!&lt;=table!$F$11),1,0))</f>
        <v>#REF!</v>
      </c>
      <c r="W3102" s="5" t="e">
        <f>CONCATENATE(dados[[#This Row],[fator1]],dados[[#This Row],[fator5]],dados[[#This Row],[fator6]])</f>
        <v>#REF!</v>
      </c>
    </row>
    <row r="3103" spans="1:23">
      <c r="A3103" t="s">
        <v>16</v>
      </c>
      <c r="B3103">
        <v>586080</v>
      </c>
      <c r="C3103">
        <v>4</v>
      </c>
      <c r="D3103">
        <v>40</v>
      </c>
      <c r="E3103">
        <v>21</v>
      </c>
      <c r="F3103">
        <v>10</v>
      </c>
      <c r="G3103">
        <v>0</v>
      </c>
      <c r="H3103">
        <v>25</v>
      </c>
      <c r="I3103">
        <v>563</v>
      </c>
      <c r="J3103">
        <v>750</v>
      </c>
      <c r="K3103">
        <v>9.2550000000000008</v>
      </c>
      <c r="L3103">
        <v>7.6000000000000005</v>
      </c>
      <c r="M3103">
        <v>6.65</v>
      </c>
      <c r="N3103">
        <v>7.4</v>
      </c>
      <c r="O3103">
        <v>1606</v>
      </c>
      <c r="P3103">
        <v>328</v>
      </c>
      <c r="Q3103" s="5" t="e">
        <f>IF(AND(#REF!&gt;=table!$C$6,#REF!&lt;= table!$D$6),-1,IF(AND(#REF!&gt;=table!$E$6,#REF!&lt;=table!$F$6),1,0))</f>
        <v>#REF!</v>
      </c>
      <c r="R3103" s="5" t="e">
        <f>IF(AND(#REF!&gt;=table!$C$7,#REF!&lt;= table!$D$7),-1,IF(AND(#REF!&gt;=table!$E$7,#REF!&lt;=table!$F$7),1,0))</f>
        <v>#REF!</v>
      </c>
      <c r="S3103" s="5" t="e">
        <f>IF(AND(#REF!&gt;=table!$C$8,#REF!&lt;= table!$D$8),-1,IF(AND(#REF!&gt;=table!$E$8,#REF!&lt;=table!$F$8),1,0))</f>
        <v>#REF!</v>
      </c>
      <c r="T3103" s="5"/>
      <c r="U3103" s="5" t="e">
        <f>IF(AND(#REF!&gt;=table!$C$10,#REF!&lt;= table!$D$10),-1,IF(AND(#REF!&gt;=table!$E$10,#REF!&lt;=table!$F$10),1,0))</f>
        <v>#REF!</v>
      </c>
      <c r="V3103" s="5" t="e">
        <f>IF(AND(#REF!&gt;=table!$C$11,#REF!&lt;= table!$D$11),-1,IF(AND(#REF!&gt;=table!$E$11,#REF!&lt;=table!$F$11),1,0))</f>
        <v>#REF!</v>
      </c>
      <c r="W3103" s="5" t="e">
        <f>CONCATENATE(dados[[#This Row],[fator1]],dados[[#This Row],[fator5]],dados[[#This Row],[fator6]])</f>
        <v>#REF!</v>
      </c>
    </row>
    <row r="3104" spans="1:23">
      <c r="A3104" t="s">
        <v>16</v>
      </c>
      <c r="B3104">
        <v>586083</v>
      </c>
      <c r="C3104">
        <v>9</v>
      </c>
      <c r="D3104">
        <v>40</v>
      </c>
      <c r="E3104">
        <v>46</v>
      </c>
      <c r="F3104">
        <v>15</v>
      </c>
      <c r="G3104">
        <v>0</v>
      </c>
      <c r="H3104">
        <v>25</v>
      </c>
      <c r="I3104">
        <v>1081</v>
      </c>
      <c r="J3104">
        <v>0</v>
      </c>
      <c r="K3104">
        <v>4.8500000000000005</v>
      </c>
      <c r="L3104">
        <v>8.11</v>
      </c>
      <c r="M3104">
        <v>36.869999999999997</v>
      </c>
      <c r="N3104">
        <v>16.43</v>
      </c>
      <c r="O3104">
        <v>1672</v>
      </c>
      <c r="P3104">
        <v>817</v>
      </c>
      <c r="Q3104" s="5" t="e">
        <f>IF(AND(#REF!&gt;=table!$C$6,#REF!&lt;= table!$D$6),-1,IF(AND(#REF!&gt;=table!$E$6,#REF!&lt;=table!$F$6),1,0))</f>
        <v>#REF!</v>
      </c>
      <c r="R3104" s="5" t="e">
        <f>IF(AND(#REF!&gt;=table!$C$7,#REF!&lt;= table!$D$7),-1,IF(AND(#REF!&gt;=table!$E$7,#REF!&lt;=table!$F$7),1,0))</f>
        <v>#REF!</v>
      </c>
      <c r="S3104" s="5" t="e">
        <f>IF(AND(#REF!&gt;=table!$C$8,#REF!&lt;= table!$D$8),-1,IF(AND(#REF!&gt;=table!$E$8,#REF!&lt;=table!$F$8),1,0))</f>
        <v>#REF!</v>
      </c>
      <c r="T3104" s="5"/>
      <c r="U3104" s="5" t="e">
        <f>IF(AND(#REF!&gt;=table!$C$10,#REF!&lt;= table!$D$10),-1,IF(AND(#REF!&gt;=table!$E$10,#REF!&lt;=table!$F$10),1,0))</f>
        <v>#REF!</v>
      </c>
      <c r="V3104" s="5" t="e">
        <f>IF(AND(#REF!&gt;=table!$C$11,#REF!&lt;= table!$D$11),-1,IF(AND(#REF!&gt;=table!$E$11,#REF!&lt;=table!$F$11),1,0))</f>
        <v>#REF!</v>
      </c>
      <c r="W3104" s="5" t="e">
        <f>CONCATENATE(dados[[#This Row],[fator1]],dados[[#This Row],[fator5]],dados[[#This Row],[fator6]])</f>
        <v>#REF!</v>
      </c>
    </row>
    <row r="3105" spans="1:23">
      <c r="A3105" t="s">
        <v>16</v>
      </c>
      <c r="B3105">
        <v>586084</v>
      </c>
      <c r="C3105">
        <v>6</v>
      </c>
      <c r="D3105">
        <v>25</v>
      </c>
      <c r="E3105">
        <v>120</v>
      </c>
      <c r="F3105">
        <v>4</v>
      </c>
      <c r="G3105">
        <v>0</v>
      </c>
      <c r="H3105">
        <v>55</v>
      </c>
      <c r="I3105">
        <v>0</v>
      </c>
      <c r="J3105">
        <v>0</v>
      </c>
      <c r="K3105">
        <v>2.7</v>
      </c>
      <c r="L3105">
        <v>9.5500000000000007</v>
      </c>
      <c r="M3105">
        <v>69.225000000000009</v>
      </c>
      <c r="N3105">
        <v>38.065000000000005</v>
      </c>
      <c r="O3105">
        <v>1712</v>
      </c>
      <c r="P3105">
        <v>0</v>
      </c>
      <c r="Q3105" s="5" t="e">
        <f>IF(AND(#REF!&gt;=table!$C$6,#REF!&lt;= table!$D$6),-1,IF(AND(#REF!&gt;=table!$E$6,#REF!&lt;=table!$F$6),1,0))</f>
        <v>#REF!</v>
      </c>
      <c r="R3105" s="5" t="e">
        <f>IF(AND(#REF!&gt;=table!$C$7,#REF!&lt;= table!$D$7),-1,IF(AND(#REF!&gt;=table!$E$7,#REF!&lt;=table!$F$7),1,0))</f>
        <v>#REF!</v>
      </c>
      <c r="S3105" s="5" t="e">
        <f>IF(AND(#REF!&gt;=table!$C$8,#REF!&lt;= table!$D$8),-1,IF(AND(#REF!&gt;=table!$E$8,#REF!&lt;=table!$F$8),1,0))</f>
        <v>#REF!</v>
      </c>
      <c r="T3105" s="5"/>
      <c r="U3105" s="5" t="e">
        <f>IF(AND(#REF!&gt;=table!$C$10,#REF!&lt;= table!$D$10),-1,IF(AND(#REF!&gt;=table!$E$10,#REF!&lt;=table!$F$10),1,0))</f>
        <v>#REF!</v>
      </c>
      <c r="V3105" s="5" t="e">
        <f>IF(AND(#REF!&gt;=table!$C$11,#REF!&lt;= table!$D$11),-1,IF(AND(#REF!&gt;=table!$E$11,#REF!&lt;=table!$F$11),1,0))</f>
        <v>#REF!</v>
      </c>
      <c r="W3105" s="5" t="e">
        <f>CONCATENATE(dados[[#This Row],[fator1]],dados[[#This Row],[fator5]],dados[[#This Row],[fator6]])</f>
        <v>#REF!</v>
      </c>
    </row>
    <row r="3106" spans="1:23">
      <c r="A3106" t="s">
        <v>16</v>
      </c>
      <c r="B3106">
        <v>586085</v>
      </c>
      <c r="C3106">
        <v>4</v>
      </c>
      <c r="D3106">
        <v>40</v>
      </c>
      <c r="E3106">
        <v>21</v>
      </c>
      <c r="F3106">
        <v>20</v>
      </c>
      <c r="G3106">
        <v>0</v>
      </c>
      <c r="H3106">
        <v>25</v>
      </c>
      <c r="I3106">
        <v>1009</v>
      </c>
      <c r="J3106">
        <v>0</v>
      </c>
      <c r="K3106">
        <v>2.71</v>
      </c>
      <c r="L3106">
        <v>8.1</v>
      </c>
      <c r="M3106">
        <v>6.75</v>
      </c>
      <c r="N3106">
        <v>16.850000000000001</v>
      </c>
      <c r="O3106">
        <v>1671</v>
      </c>
      <c r="P3106">
        <v>0</v>
      </c>
      <c r="Q3106" s="5" t="e">
        <f>IF(AND(#REF!&gt;=table!$C$6,#REF!&lt;= table!$D$6),-1,IF(AND(#REF!&gt;=table!$E$6,#REF!&lt;=table!$F$6),1,0))</f>
        <v>#REF!</v>
      </c>
      <c r="R3106" s="5" t="e">
        <f>IF(AND(#REF!&gt;=table!$C$7,#REF!&lt;= table!$D$7),-1,IF(AND(#REF!&gt;=table!$E$7,#REF!&lt;=table!$F$7),1,0))</f>
        <v>#REF!</v>
      </c>
      <c r="S3106" s="5" t="e">
        <f>IF(AND(#REF!&gt;=table!$C$8,#REF!&lt;= table!$D$8),-1,IF(AND(#REF!&gt;=table!$E$8,#REF!&lt;=table!$F$8),1,0))</f>
        <v>#REF!</v>
      </c>
      <c r="T3106" s="5"/>
      <c r="U3106" s="5" t="e">
        <f>IF(AND(#REF!&gt;=table!$C$10,#REF!&lt;= table!$D$10),-1,IF(AND(#REF!&gt;=table!$E$10,#REF!&lt;=table!$F$10),1,0))</f>
        <v>#REF!</v>
      </c>
      <c r="V3106" s="5" t="e">
        <f>IF(AND(#REF!&gt;=table!$C$11,#REF!&lt;= table!$D$11),-1,IF(AND(#REF!&gt;=table!$E$11,#REF!&lt;=table!$F$11),1,0))</f>
        <v>#REF!</v>
      </c>
      <c r="W3106" s="5" t="e">
        <f>CONCATENATE(dados[[#This Row],[fator1]],dados[[#This Row],[fator5]],dados[[#This Row],[fator6]])</f>
        <v>#REF!</v>
      </c>
    </row>
    <row r="3107" spans="1:23">
      <c r="A3107" t="s">
        <v>16</v>
      </c>
      <c r="B3107">
        <v>586089</v>
      </c>
      <c r="C3107">
        <v>7</v>
      </c>
      <c r="D3107">
        <v>33</v>
      </c>
      <c r="E3107">
        <v>150</v>
      </c>
      <c r="F3107">
        <v>4</v>
      </c>
      <c r="G3107">
        <v>0</v>
      </c>
      <c r="H3107">
        <v>25</v>
      </c>
      <c r="I3107">
        <v>369</v>
      </c>
      <c r="J3107">
        <v>0</v>
      </c>
      <c r="K3107">
        <v>10.55</v>
      </c>
      <c r="L3107">
        <v>8.875</v>
      </c>
      <c r="M3107">
        <v>114.45</v>
      </c>
      <c r="N3107">
        <v>14.950000000000001</v>
      </c>
      <c r="O3107">
        <v>1708</v>
      </c>
      <c r="P3107">
        <v>0</v>
      </c>
      <c r="Q3107" s="5" t="e">
        <f>IF(AND(#REF!&gt;=table!$C$6,#REF!&lt;= table!$D$6),-1,IF(AND(#REF!&gt;=table!$E$6,#REF!&lt;=table!$F$6),1,0))</f>
        <v>#REF!</v>
      </c>
      <c r="R3107" s="5" t="e">
        <f>IF(AND(#REF!&gt;=table!$C$7,#REF!&lt;= table!$D$7),-1,IF(AND(#REF!&gt;=table!$E$7,#REF!&lt;=table!$F$7),1,0))</f>
        <v>#REF!</v>
      </c>
      <c r="S3107" s="5" t="e">
        <f>IF(AND(#REF!&gt;=table!$C$8,#REF!&lt;= table!$D$8),-1,IF(AND(#REF!&gt;=table!$E$8,#REF!&lt;=table!$F$8),1,0))</f>
        <v>#REF!</v>
      </c>
      <c r="T3107" s="5"/>
      <c r="U3107" s="5" t="e">
        <f>IF(AND(#REF!&gt;=table!$C$10,#REF!&lt;= table!$D$10),-1,IF(AND(#REF!&gt;=table!$E$10,#REF!&lt;=table!$F$10),1,0))</f>
        <v>#REF!</v>
      </c>
      <c r="V3107" s="5" t="e">
        <f>IF(AND(#REF!&gt;=table!$C$11,#REF!&lt;= table!$D$11),-1,IF(AND(#REF!&gt;=table!$E$11,#REF!&lt;=table!$F$11),1,0))</f>
        <v>#REF!</v>
      </c>
      <c r="W3107" s="5" t="e">
        <f>CONCATENATE(dados[[#This Row],[fator1]],dados[[#This Row],[fator5]],dados[[#This Row],[fator6]])</f>
        <v>#REF!</v>
      </c>
    </row>
    <row r="3108" spans="1:23">
      <c r="A3108" t="s">
        <v>16</v>
      </c>
      <c r="B3108">
        <v>586090</v>
      </c>
      <c r="C3108">
        <v>7</v>
      </c>
      <c r="D3108">
        <v>33</v>
      </c>
      <c r="E3108">
        <v>153</v>
      </c>
      <c r="F3108">
        <v>4</v>
      </c>
      <c r="G3108">
        <v>0</v>
      </c>
      <c r="H3108">
        <v>25</v>
      </c>
      <c r="I3108">
        <v>9</v>
      </c>
      <c r="J3108">
        <v>0</v>
      </c>
      <c r="K3108">
        <v>4.4400000000000004</v>
      </c>
      <c r="L3108">
        <v>11.15</v>
      </c>
      <c r="M3108">
        <v>129.55000000000001</v>
      </c>
      <c r="N3108">
        <v>18.3</v>
      </c>
      <c r="O3108">
        <v>1675</v>
      </c>
      <c r="P3108">
        <v>0</v>
      </c>
      <c r="Q3108" s="5" t="e">
        <f>IF(AND(#REF!&gt;=table!$C$6,#REF!&lt;= table!$D$6),-1,IF(AND(#REF!&gt;=table!$E$6,#REF!&lt;=table!$F$6),1,0))</f>
        <v>#REF!</v>
      </c>
      <c r="R3108" s="5" t="e">
        <f>IF(AND(#REF!&gt;=table!$C$7,#REF!&lt;= table!$D$7),-1,IF(AND(#REF!&gt;=table!$E$7,#REF!&lt;=table!$F$7),1,0))</f>
        <v>#REF!</v>
      </c>
      <c r="S3108" s="5" t="e">
        <f>IF(AND(#REF!&gt;=table!$C$8,#REF!&lt;= table!$D$8),-1,IF(AND(#REF!&gt;=table!$E$8,#REF!&lt;=table!$F$8),1,0))</f>
        <v>#REF!</v>
      </c>
      <c r="T3108" s="5"/>
      <c r="U3108" s="5" t="e">
        <f>IF(AND(#REF!&gt;=table!$C$10,#REF!&lt;= table!$D$10),-1,IF(AND(#REF!&gt;=table!$E$10,#REF!&lt;=table!$F$10),1,0))</f>
        <v>#REF!</v>
      </c>
      <c r="V3108" s="5" t="e">
        <f>IF(AND(#REF!&gt;=table!$C$11,#REF!&lt;= table!$D$11),-1,IF(AND(#REF!&gt;=table!$E$11,#REF!&lt;=table!$F$11),1,0))</f>
        <v>#REF!</v>
      </c>
      <c r="W3108" s="5" t="e">
        <f>CONCATENATE(dados[[#This Row],[fator1]],dados[[#This Row],[fator5]],dados[[#This Row],[fator6]])</f>
        <v>#REF!</v>
      </c>
    </row>
    <row r="3109" spans="1:23">
      <c r="A3109" t="s">
        <v>16</v>
      </c>
      <c r="B3109">
        <v>586091</v>
      </c>
      <c r="C3109">
        <v>5</v>
      </c>
      <c r="D3109">
        <v>25</v>
      </c>
      <c r="E3109">
        <v>120</v>
      </c>
      <c r="F3109">
        <v>4</v>
      </c>
      <c r="G3109">
        <v>0</v>
      </c>
      <c r="H3109">
        <v>55</v>
      </c>
      <c r="I3109">
        <v>807</v>
      </c>
      <c r="J3109">
        <v>580</v>
      </c>
      <c r="K3109">
        <v>7.94</v>
      </c>
      <c r="L3109">
        <v>14.65</v>
      </c>
      <c r="M3109">
        <v>94.4</v>
      </c>
      <c r="N3109">
        <v>32.950000000000003</v>
      </c>
      <c r="O3109">
        <v>1683</v>
      </c>
      <c r="P3109">
        <v>0</v>
      </c>
      <c r="Q3109" s="5" t="e">
        <f>IF(AND(#REF!&gt;=table!$C$6,#REF!&lt;= table!$D$6),-1,IF(AND(#REF!&gt;=table!$E$6,#REF!&lt;=table!$F$6),1,0))</f>
        <v>#REF!</v>
      </c>
      <c r="R3109" s="5" t="e">
        <f>IF(AND(#REF!&gt;=table!$C$7,#REF!&lt;= table!$D$7),-1,IF(AND(#REF!&gt;=table!$E$7,#REF!&lt;=table!$F$7),1,0))</f>
        <v>#REF!</v>
      </c>
      <c r="S3109" s="5" t="e">
        <f>IF(AND(#REF!&gt;=table!$C$8,#REF!&lt;= table!$D$8),-1,IF(AND(#REF!&gt;=table!$E$8,#REF!&lt;=table!$F$8),1,0))</f>
        <v>#REF!</v>
      </c>
      <c r="T3109" s="5"/>
      <c r="U3109" s="5" t="e">
        <f>IF(AND(#REF!&gt;=table!$C$10,#REF!&lt;= table!$D$10),-1,IF(AND(#REF!&gt;=table!$E$10,#REF!&lt;=table!$F$10),1,0))</f>
        <v>#REF!</v>
      </c>
      <c r="V3109" s="5" t="e">
        <f>IF(AND(#REF!&gt;=table!$C$11,#REF!&lt;= table!$D$11),-1,IF(AND(#REF!&gt;=table!$E$11,#REF!&lt;=table!$F$11),1,0))</f>
        <v>#REF!</v>
      </c>
      <c r="W3109" s="5" t="e">
        <f>CONCATENATE(dados[[#This Row],[fator1]],dados[[#This Row],[fator5]],dados[[#This Row],[fator6]])</f>
        <v>#REF!</v>
      </c>
    </row>
    <row r="3110" spans="1:23">
      <c r="A3110" t="s">
        <v>17</v>
      </c>
      <c r="B3110">
        <v>586098</v>
      </c>
      <c r="C3110">
        <v>16</v>
      </c>
      <c r="D3110">
        <v>23</v>
      </c>
      <c r="E3110">
        <v>145</v>
      </c>
      <c r="F3110">
        <v>9</v>
      </c>
      <c r="G3110">
        <v>30</v>
      </c>
      <c r="H3110">
        <v>25</v>
      </c>
      <c r="I3110">
        <v>1046</v>
      </c>
      <c r="J3110">
        <v>0</v>
      </c>
      <c r="K3110">
        <v>11.275</v>
      </c>
      <c r="L3110">
        <v>11.65</v>
      </c>
      <c r="M3110">
        <v>133.495</v>
      </c>
      <c r="N3110">
        <v>11.4</v>
      </c>
      <c r="O3110">
        <v>1656</v>
      </c>
      <c r="P3110">
        <v>326</v>
      </c>
      <c r="Q3110" s="5" t="e">
        <f>IF(AND(#REF!&gt;=table!$C$6,#REF!&lt;= table!$D$6),-1,IF(AND(#REF!&gt;=table!$E$6,#REF!&lt;=table!$F$6),1,0))</f>
        <v>#REF!</v>
      </c>
      <c r="R3110" s="5" t="e">
        <f>IF(AND(#REF!&gt;=table!$C$7,#REF!&lt;= table!$D$7),-1,IF(AND(#REF!&gt;=table!$E$7,#REF!&lt;=table!$F$7),1,0))</f>
        <v>#REF!</v>
      </c>
      <c r="S3110" s="5" t="e">
        <f>IF(AND(#REF!&gt;=table!$C$8,#REF!&lt;= table!$D$8),-1,IF(AND(#REF!&gt;=table!$E$8,#REF!&lt;=table!$F$8),1,0))</f>
        <v>#REF!</v>
      </c>
      <c r="T3110" s="5"/>
      <c r="U3110" s="5" t="e">
        <f>IF(AND(#REF!&gt;=table!$C$10,#REF!&lt;= table!$D$10),-1,IF(AND(#REF!&gt;=table!$E$10,#REF!&lt;=table!$F$10),1,0))</f>
        <v>#REF!</v>
      </c>
      <c r="V3110" s="5" t="e">
        <f>IF(AND(#REF!&gt;=table!$C$11,#REF!&lt;= table!$D$11),-1,IF(AND(#REF!&gt;=table!$E$11,#REF!&lt;=table!$F$11),1,0))</f>
        <v>#REF!</v>
      </c>
      <c r="W3110" s="5" t="e">
        <f>CONCATENATE(dados[[#This Row],[fator1]],dados[[#This Row],[fator5]],dados[[#This Row],[fator6]])</f>
        <v>#REF!</v>
      </c>
    </row>
    <row r="3111" spans="1:23">
      <c r="A3111" t="s">
        <v>17</v>
      </c>
      <c r="B3111">
        <v>586101</v>
      </c>
      <c r="C3111">
        <v>18</v>
      </c>
      <c r="D3111">
        <v>23</v>
      </c>
      <c r="E3111">
        <v>145</v>
      </c>
      <c r="F3111">
        <v>9</v>
      </c>
      <c r="G3111">
        <v>30</v>
      </c>
      <c r="H3111">
        <v>25</v>
      </c>
      <c r="I3111">
        <v>878</v>
      </c>
      <c r="J3111">
        <v>0</v>
      </c>
      <c r="K3111">
        <v>3.15</v>
      </c>
      <c r="L3111">
        <v>6.7</v>
      </c>
      <c r="M3111">
        <v>129.77500000000001</v>
      </c>
      <c r="N3111">
        <v>12.545</v>
      </c>
      <c r="O3111">
        <v>1651</v>
      </c>
      <c r="P3111">
        <v>769</v>
      </c>
      <c r="Q3111" s="5" t="e">
        <f>IF(AND(#REF!&gt;=table!$C$6,#REF!&lt;= table!$D$6),-1,IF(AND(#REF!&gt;=table!$E$6,#REF!&lt;=table!$F$6),1,0))</f>
        <v>#REF!</v>
      </c>
      <c r="R3111" s="5" t="e">
        <f>IF(AND(#REF!&gt;=table!$C$7,#REF!&lt;= table!$D$7),-1,IF(AND(#REF!&gt;=table!$E$7,#REF!&lt;=table!$F$7),1,0))</f>
        <v>#REF!</v>
      </c>
      <c r="S3111" s="5" t="e">
        <f>IF(AND(#REF!&gt;=table!$C$8,#REF!&lt;= table!$D$8),-1,IF(AND(#REF!&gt;=table!$E$8,#REF!&lt;=table!$F$8),1,0))</f>
        <v>#REF!</v>
      </c>
      <c r="T3111" s="5"/>
      <c r="U3111" s="5" t="e">
        <f>IF(AND(#REF!&gt;=table!$C$10,#REF!&lt;= table!$D$10),-1,IF(AND(#REF!&gt;=table!$E$10,#REF!&lt;=table!$F$10),1,0))</f>
        <v>#REF!</v>
      </c>
      <c r="V3111" s="5" t="e">
        <f>IF(AND(#REF!&gt;=table!$C$11,#REF!&lt;= table!$D$11),-1,IF(AND(#REF!&gt;=table!$E$11,#REF!&lt;=table!$F$11),1,0))</f>
        <v>#REF!</v>
      </c>
      <c r="W3111" s="5" t="e">
        <f>CONCATENATE(dados[[#This Row],[fator1]],dados[[#This Row],[fator5]],dados[[#This Row],[fator6]])</f>
        <v>#REF!</v>
      </c>
    </row>
    <row r="3112" spans="1:23">
      <c r="A3112" t="s">
        <v>17</v>
      </c>
      <c r="B3112">
        <v>586103</v>
      </c>
      <c r="C3112">
        <v>18</v>
      </c>
      <c r="D3112">
        <v>23</v>
      </c>
      <c r="E3112">
        <v>145</v>
      </c>
      <c r="F3112">
        <v>9</v>
      </c>
      <c r="G3112">
        <v>30</v>
      </c>
      <c r="H3112">
        <v>25</v>
      </c>
      <c r="I3112">
        <v>849</v>
      </c>
      <c r="J3112">
        <v>0</v>
      </c>
      <c r="K3112">
        <v>15.19</v>
      </c>
      <c r="L3112">
        <v>13.305000000000001</v>
      </c>
      <c r="M3112">
        <v>102.8</v>
      </c>
      <c r="N3112">
        <v>15.35</v>
      </c>
      <c r="O3112">
        <v>1668</v>
      </c>
      <c r="P3112">
        <v>261</v>
      </c>
      <c r="Q3112" s="5" t="e">
        <f>IF(AND(#REF!&gt;=table!$C$6,#REF!&lt;= table!$D$6),-1,IF(AND(#REF!&gt;=table!$E$6,#REF!&lt;=table!$F$6),1,0))</f>
        <v>#REF!</v>
      </c>
      <c r="R3112" s="5" t="e">
        <f>IF(AND(#REF!&gt;=table!$C$7,#REF!&lt;= table!$D$7),-1,IF(AND(#REF!&gt;=table!$E$7,#REF!&lt;=table!$F$7),1,0))</f>
        <v>#REF!</v>
      </c>
      <c r="S3112" s="5" t="e">
        <f>IF(AND(#REF!&gt;=table!$C$8,#REF!&lt;= table!$D$8),-1,IF(AND(#REF!&gt;=table!$E$8,#REF!&lt;=table!$F$8),1,0))</f>
        <v>#REF!</v>
      </c>
      <c r="T3112" s="5"/>
      <c r="U3112" s="5" t="e">
        <f>IF(AND(#REF!&gt;=table!$C$10,#REF!&lt;= table!$D$10),-1,IF(AND(#REF!&gt;=table!$E$10,#REF!&lt;=table!$F$10),1,0))</f>
        <v>#REF!</v>
      </c>
      <c r="V3112" s="5" t="e">
        <f>IF(AND(#REF!&gt;=table!$C$11,#REF!&lt;= table!$D$11),-1,IF(AND(#REF!&gt;=table!$E$11,#REF!&lt;=table!$F$11),1,0))</f>
        <v>#REF!</v>
      </c>
      <c r="W3112" s="5" t="e">
        <f>CONCATENATE(dados[[#This Row],[fator1]],dados[[#This Row],[fator5]],dados[[#This Row],[fator6]])</f>
        <v>#REF!</v>
      </c>
    </row>
    <row r="3113" spans="1:23">
      <c r="A3113" t="s">
        <v>17</v>
      </c>
      <c r="B3113">
        <v>586106</v>
      </c>
      <c r="C3113">
        <v>18</v>
      </c>
      <c r="D3113">
        <v>23</v>
      </c>
      <c r="E3113">
        <v>155</v>
      </c>
      <c r="F3113">
        <v>4</v>
      </c>
      <c r="G3113">
        <v>30</v>
      </c>
      <c r="H3113">
        <v>25</v>
      </c>
      <c r="I3113">
        <v>574</v>
      </c>
      <c r="J3113">
        <v>0</v>
      </c>
      <c r="K3113">
        <v>6.6150000000000002</v>
      </c>
      <c r="L3113">
        <v>14.950000000000001</v>
      </c>
      <c r="M3113">
        <v>126.85000000000001</v>
      </c>
      <c r="N3113">
        <v>23.55</v>
      </c>
      <c r="O3113">
        <v>1671</v>
      </c>
      <c r="P3113">
        <v>0</v>
      </c>
      <c r="Q3113" s="5" t="e">
        <f>IF(AND(#REF!&gt;=table!$C$6,#REF!&lt;= table!$D$6),-1,IF(AND(#REF!&gt;=table!$E$6,#REF!&lt;=table!$F$6),1,0))</f>
        <v>#REF!</v>
      </c>
      <c r="R3113" s="5" t="e">
        <f>IF(AND(#REF!&gt;=table!$C$7,#REF!&lt;= table!$D$7),-1,IF(AND(#REF!&gt;=table!$E$7,#REF!&lt;=table!$F$7),1,0))</f>
        <v>#REF!</v>
      </c>
      <c r="S3113" s="5" t="e">
        <f>IF(AND(#REF!&gt;=table!$C$8,#REF!&lt;= table!$D$8),-1,IF(AND(#REF!&gt;=table!$E$8,#REF!&lt;=table!$F$8),1,0))</f>
        <v>#REF!</v>
      </c>
      <c r="T3113" s="5"/>
      <c r="U3113" s="5" t="e">
        <f>IF(AND(#REF!&gt;=table!$C$10,#REF!&lt;= table!$D$10),-1,IF(AND(#REF!&gt;=table!$E$10,#REF!&lt;=table!$F$10),1,0))</f>
        <v>#REF!</v>
      </c>
      <c r="V3113" s="5" t="e">
        <f>IF(AND(#REF!&gt;=table!$C$11,#REF!&lt;= table!$D$11),-1,IF(AND(#REF!&gt;=table!$E$11,#REF!&lt;=table!$F$11),1,0))</f>
        <v>#REF!</v>
      </c>
      <c r="W3113" s="5" t="e">
        <f>CONCATENATE(dados[[#This Row],[fator1]],dados[[#This Row],[fator5]],dados[[#This Row],[fator6]])</f>
        <v>#REF!</v>
      </c>
    </row>
    <row r="3114" spans="1:23">
      <c r="A3114" t="s">
        <v>16</v>
      </c>
      <c r="B3114">
        <v>586109</v>
      </c>
      <c r="C3114">
        <v>4</v>
      </c>
      <c r="D3114">
        <v>40</v>
      </c>
      <c r="E3114">
        <v>21</v>
      </c>
      <c r="F3114">
        <v>20</v>
      </c>
      <c r="G3114">
        <v>0</v>
      </c>
      <c r="H3114">
        <v>25</v>
      </c>
      <c r="I3114">
        <v>2</v>
      </c>
      <c r="J3114">
        <v>0</v>
      </c>
      <c r="K3114">
        <v>4.46</v>
      </c>
      <c r="L3114">
        <v>5.08</v>
      </c>
      <c r="M3114">
        <v>18.150000000000002</v>
      </c>
      <c r="N3114">
        <v>10.450000000000001</v>
      </c>
      <c r="O3114">
        <v>1693</v>
      </c>
      <c r="P3114">
        <v>0</v>
      </c>
      <c r="Q3114" s="5" t="e">
        <f>IF(AND(#REF!&gt;=table!$C$6,#REF!&lt;= table!$D$6),-1,IF(AND(#REF!&gt;=table!$E$6,#REF!&lt;=table!$F$6),1,0))</f>
        <v>#REF!</v>
      </c>
      <c r="R3114" s="5" t="e">
        <f>IF(AND(#REF!&gt;=table!$C$7,#REF!&lt;= table!$D$7),-1,IF(AND(#REF!&gt;=table!$E$7,#REF!&lt;=table!$F$7),1,0))</f>
        <v>#REF!</v>
      </c>
      <c r="S3114" s="5" t="e">
        <f>IF(AND(#REF!&gt;=table!$C$8,#REF!&lt;= table!$D$8),-1,IF(AND(#REF!&gt;=table!$E$8,#REF!&lt;=table!$F$8),1,0))</f>
        <v>#REF!</v>
      </c>
      <c r="T3114" s="5"/>
      <c r="U3114" s="5" t="e">
        <f>IF(AND(#REF!&gt;=table!$C$10,#REF!&lt;= table!$D$10),-1,IF(AND(#REF!&gt;=table!$E$10,#REF!&lt;=table!$F$10),1,0))</f>
        <v>#REF!</v>
      </c>
      <c r="V3114" s="5" t="e">
        <f>IF(AND(#REF!&gt;=table!$C$11,#REF!&lt;= table!$D$11),-1,IF(AND(#REF!&gt;=table!$E$11,#REF!&lt;=table!$F$11),1,0))</f>
        <v>#REF!</v>
      </c>
      <c r="W3114" s="5" t="e">
        <f>CONCATENATE(dados[[#This Row],[fator1]],dados[[#This Row],[fator5]],dados[[#This Row],[fator6]])</f>
        <v>#REF!</v>
      </c>
    </row>
    <row r="3115" spans="1:23">
      <c r="A3115" t="s">
        <v>16</v>
      </c>
      <c r="B3115">
        <v>586113</v>
      </c>
      <c r="C3115">
        <v>0.18</v>
      </c>
      <c r="D3115">
        <v>50</v>
      </c>
      <c r="E3115">
        <v>56</v>
      </c>
      <c r="F3115">
        <v>15</v>
      </c>
      <c r="G3115">
        <v>0</v>
      </c>
      <c r="H3115">
        <v>50</v>
      </c>
      <c r="I3115">
        <v>0</v>
      </c>
      <c r="J3115">
        <v>0</v>
      </c>
      <c r="K3115">
        <v>5.41</v>
      </c>
      <c r="L3115">
        <v>9.35</v>
      </c>
      <c r="M3115">
        <v>8.4499999999999993</v>
      </c>
      <c r="N3115">
        <v>8.5500000000000007</v>
      </c>
      <c r="O3115">
        <v>1675</v>
      </c>
      <c r="P3115">
        <v>0</v>
      </c>
      <c r="Q3115" s="5" t="e">
        <f>IF(AND(#REF!&gt;=table!$C$6,#REF!&lt;= table!$D$6),-1,IF(AND(#REF!&gt;=table!$E$6,#REF!&lt;=table!$F$6),1,0))</f>
        <v>#REF!</v>
      </c>
      <c r="R3115" s="5" t="e">
        <f>IF(AND(#REF!&gt;=table!$C$7,#REF!&lt;= table!$D$7),-1,IF(AND(#REF!&gt;=table!$E$7,#REF!&lt;=table!$F$7),1,0))</f>
        <v>#REF!</v>
      </c>
      <c r="S3115" s="5" t="e">
        <f>IF(AND(#REF!&gt;=table!$C$8,#REF!&lt;= table!$D$8),-1,IF(AND(#REF!&gt;=table!$E$8,#REF!&lt;=table!$F$8),1,0))</f>
        <v>#REF!</v>
      </c>
      <c r="T3115" s="5"/>
      <c r="U3115" s="5" t="e">
        <f>IF(AND(#REF!&gt;=table!$C$10,#REF!&lt;= table!$D$10),-1,IF(AND(#REF!&gt;=table!$E$10,#REF!&lt;=table!$F$10),1,0))</f>
        <v>#REF!</v>
      </c>
      <c r="V3115" s="5" t="e">
        <f>IF(AND(#REF!&gt;=table!$C$11,#REF!&lt;= table!$D$11),-1,IF(AND(#REF!&gt;=table!$E$11,#REF!&lt;=table!$F$11),1,0))</f>
        <v>#REF!</v>
      </c>
      <c r="W3115" s="5" t="e">
        <f>CONCATENATE(dados[[#This Row],[fator1]],dados[[#This Row],[fator5]],dados[[#This Row],[fator6]])</f>
        <v>#REF!</v>
      </c>
    </row>
    <row r="3116" spans="1:23">
      <c r="A3116" t="s">
        <v>16</v>
      </c>
      <c r="B3116">
        <v>586115</v>
      </c>
      <c r="C3116">
        <v>3</v>
      </c>
      <c r="D3116">
        <v>30</v>
      </c>
      <c r="E3116">
        <v>21</v>
      </c>
      <c r="F3116">
        <v>15</v>
      </c>
      <c r="G3116">
        <v>0</v>
      </c>
      <c r="H3116">
        <v>25</v>
      </c>
      <c r="I3116">
        <v>441</v>
      </c>
      <c r="J3116">
        <v>0</v>
      </c>
      <c r="K3116">
        <v>2.5265</v>
      </c>
      <c r="L3116">
        <v>5.99</v>
      </c>
      <c r="M3116">
        <v>5.3</v>
      </c>
      <c r="N3116">
        <v>10.55</v>
      </c>
      <c r="O3116">
        <v>1667</v>
      </c>
      <c r="P3116">
        <v>0</v>
      </c>
      <c r="Q3116" s="5" t="e">
        <f>IF(AND(#REF!&gt;=table!$C$6,#REF!&lt;= table!$D$6),-1,IF(AND(#REF!&gt;=table!$E$6,#REF!&lt;=table!$F$6),1,0))</f>
        <v>#REF!</v>
      </c>
      <c r="R3116" s="5" t="e">
        <f>IF(AND(#REF!&gt;=table!$C$7,#REF!&lt;= table!$D$7),-1,IF(AND(#REF!&gt;=table!$E$7,#REF!&lt;=table!$F$7),1,0))</f>
        <v>#REF!</v>
      </c>
      <c r="S3116" s="5" t="e">
        <f>IF(AND(#REF!&gt;=table!$C$8,#REF!&lt;= table!$D$8),-1,IF(AND(#REF!&gt;=table!$E$8,#REF!&lt;=table!$F$8),1,0))</f>
        <v>#REF!</v>
      </c>
      <c r="T3116" s="5"/>
      <c r="U3116" s="5" t="e">
        <f>IF(AND(#REF!&gt;=table!$C$10,#REF!&lt;= table!$D$10),-1,IF(AND(#REF!&gt;=table!$E$10,#REF!&lt;=table!$F$10),1,0))</f>
        <v>#REF!</v>
      </c>
      <c r="V3116" s="5" t="e">
        <f>IF(AND(#REF!&gt;=table!$C$11,#REF!&lt;= table!$D$11),-1,IF(AND(#REF!&gt;=table!$E$11,#REF!&lt;=table!$F$11),1,0))</f>
        <v>#REF!</v>
      </c>
      <c r="W3116" s="5" t="e">
        <f>CONCATENATE(dados[[#This Row],[fator1]],dados[[#This Row],[fator5]],dados[[#This Row],[fator6]])</f>
        <v>#REF!</v>
      </c>
    </row>
    <row r="3117" spans="1:23">
      <c r="A3117" t="s">
        <v>16</v>
      </c>
      <c r="B3117">
        <v>586131</v>
      </c>
      <c r="C3117">
        <v>0.15</v>
      </c>
      <c r="D3117">
        <v>40</v>
      </c>
      <c r="E3117">
        <v>10</v>
      </c>
      <c r="F3117">
        <v>15</v>
      </c>
      <c r="G3117">
        <v>0</v>
      </c>
      <c r="H3117">
        <v>15</v>
      </c>
      <c r="I3117">
        <v>1779</v>
      </c>
      <c r="J3117">
        <v>0</v>
      </c>
      <c r="K3117">
        <v>4.0650000000000004</v>
      </c>
      <c r="L3117">
        <v>6.3</v>
      </c>
      <c r="M3117">
        <v>6.1000000000000005</v>
      </c>
      <c r="N3117">
        <v>9.6</v>
      </c>
      <c r="O3117">
        <v>1672</v>
      </c>
      <c r="P3117">
        <v>843</v>
      </c>
      <c r="Q3117" s="5" t="e">
        <f>IF(AND(#REF!&gt;=table!$C$6,#REF!&lt;= table!$D$6),-1,IF(AND(#REF!&gt;=table!$E$6,#REF!&lt;=table!$F$6),1,0))</f>
        <v>#REF!</v>
      </c>
      <c r="R3117" s="5" t="e">
        <f>IF(AND(#REF!&gt;=table!$C$7,#REF!&lt;= table!$D$7),-1,IF(AND(#REF!&gt;=table!$E$7,#REF!&lt;=table!$F$7),1,0))</f>
        <v>#REF!</v>
      </c>
      <c r="S3117" s="5" t="e">
        <f>IF(AND(#REF!&gt;=table!$C$8,#REF!&lt;= table!$D$8),-1,IF(AND(#REF!&gt;=table!$E$8,#REF!&lt;=table!$F$8),1,0))</f>
        <v>#REF!</v>
      </c>
      <c r="T3117" s="5"/>
      <c r="U3117" s="5" t="e">
        <f>IF(AND(#REF!&gt;=table!$C$10,#REF!&lt;= table!$D$10),-1,IF(AND(#REF!&gt;=table!$E$10,#REF!&lt;=table!$F$10),1,0))</f>
        <v>#REF!</v>
      </c>
      <c r="V3117" s="5" t="e">
        <f>IF(AND(#REF!&gt;=table!$C$11,#REF!&lt;= table!$D$11),-1,IF(AND(#REF!&gt;=table!$E$11,#REF!&lt;=table!$F$11),1,0))</f>
        <v>#REF!</v>
      </c>
      <c r="W3117" s="5" t="e">
        <f>CONCATENATE(dados[[#This Row],[fator1]],dados[[#This Row],[fator5]],dados[[#This Row],[fator6]])</f>
        <v>#REF!</v>
      </c>
    </row>
    <row r="3118" spans="1:23">
      <c r="A3118" t="s">
        <v>16</v>
      </c>
      <c r="B3118">
        <v>586136</v>
      </c>
      <c r="C3118">
        <v>4</v>
      </c>
      <c r="D3118">
        <v>40</v>
      </c>
      <c r="E3118">
        <v>21</v>
      </c>
      <c r="F3118">
        <v>20</v>
      </c>
      <c r="G3118">
        <v>0</v>
      </c>
      <c r="H3118">
        <v>25</v>
      </c>
      <c r="I3118">
        <v>45</v>
      </c>
      <c r="J3118">
        <v>0</v>
      </c>
      <c r="K3118">
        <v>5.72</v>
      </c>
      <c r="L3118">
        <v>10.945</v>
      </c>
      <c r="M3118">
        <v>17.855</v>
      </c>
      <c r="N3118">
        <v>9.07</v>
      </c>
      <c r="O3118">
        <v>1677</v>
      </c>
      <c r="P3118">
        <v>591</v>
      </c>
      <c r="Q3118" s="5" t="e">
        <f>IF(AND(#REF!&gt;=table!$C$6,#REF!&lt;= table!$D$6),-1,IF(AND(#REF!&gt;=table!$E$6,#REF!&lt;=table!$F$6),1,0))</f>
        <v>#REF!</v>
      </c>
      <c r="R3118" s="5" t="e">
        <f>IF(AND(#REF!&gt;=table!$C$7,#REF!&lt;= table!$D$7),-1,IF(AND(#REF!&gt;=table!$E$7,#REF!&lt;=table!$F$7),1,0))</f>
        <v>#REF!</v>
      </c>
      <c r="S3118" s="5" t="e">
        <f>IF(AND(#REF!&gt;=table!$C$8,#REF!&lt;= table!$D$8),-1,IF(AND(#REF!&gt;=table!$E$8,#REF!&lt;=table!$F$8),1,0))</f>
        <v>#REF!</v>
      </c>
      <c r="T3118" s="5"/>
      <c r="U3118" s="5" t="e">
        <f>IF(AND(#REF!&gt;=table!$C$10,#REF!&lt;= table!$D$10),-1,IF(AND(#REF!&gt;=table!$E$10,#REF!&lt;=table!$F$10),1,0))</f>
        <v>#REF!</v>
      </c>
      <c r="V3118" s="5" t="e">
        <f>IF(AND(#REF!&gt;=table!$C$11,#REF!&lt;= table!$D$11),-1,IF(AND(#REF!&gt;=table!$E$11,#REF!&lt;=table!$F$11),1,0))</f>
        <v>#REF!</v>
      </c>
      <c r="W3118" s="5" t="e">
        <f>CONCATENATE(dados[[#This Row],[fator1]],dados[[#This Row],[fator5]],dados[[#This Row],[fator6]])</f>
        <v>#REF!</v>
      </c>
    </row>
    <row r="3119" spans="1:23">
      <c r="A3119" t="s">
        <v>16</v>
      </c>
      <c r="B3119">
        <v>586138</v>
      </c>
      <c r="C3119">
        <v>4</v>
      </c>
      <c r="D3119">
        <v>40</v>
      </c>
      <c r="E3119">
        <v>21</v>
      </c>
      <c r="F3119">
        <v>10</v>
      </c>
      <c r="G3119">
        <v>0</v>
      </c>
      <c r="H3119">
        <v>25</v>
      </c>
      <c r="I3119">
        <v>3400</v>
      </c>
      <c r="J3119">
        <v>0</v>
      </c>
      <c r="K3119">
        <v>7.0200000000000005</v>
      </c>
      <c r="L3119">
        <v>7.2</v>
      </c>
      <c r="M3119">
        <v>6.55</v>
      </c>
      <c r="N3119">
        <v>5</v>
      </c>
      <c r="O3119">
        <v>1654</v>
      </c>
      <c r="P3119">
        <v>460</v>
      </c>
      <c r="Q3119" s="5" t="e">
        <f>IF(AND(#REF!&gt;=table!$C$6,#REF!&lt;= table!$D$6),-1,IF(AND(#REF!&gt;=table!$E$6,#REF!&lt;=table!$F$6),1,0))</f>
        <v>#REF!</v>
      </c>
      <c r="R3119" s="5" t="e">
        <f>IF(AND(#REF!&gt;=table!$C$7,#REF!&lt;= table!$D$7),-1,IF(AND(#REF!&gt;=table!$E$7,#REF!&lt;=table!$F$7),1,0))</f>
        <v>#REF!</v>
      </c>
      <c r="S3119" s="5" t="e">
        <f>IF(AND(#REF!&gt;=table!$C$8,#REF!&lt;= table!$D$8),-1,IF(AND(#REF!&gt;=table!$E$8,#REF!&lt;=table!$F$8),1,0))</f>
        <v>#REF!</v>
      </c>
      <c r="T3119" s="5"/>
      <c r="U3119" s="5" t="e">
        <f>IF(AND(#REF!&gt;=table!$C$10,#REF!&lt;= table!$D$10),-1,IF(AND(#REF!&gt;=table!$E$10,#REF!&lt;=table!$F$10),1,0))</f>
        <v>#REF!</v>
      </c>
      <c r="V3119" s="5" t="e">
        <f>IF(AND(#REF!&gt;=table!$C$11,#REF!&lt;= table!$D$11),-1,IF(AND(#REF!&gt;=table!$E$11,#REF!&lt;=table!$F$11),1,0))</f>
        <v>#REF!</v>
      </c>
      <c r="W3119" s="5" t="e">
        <f>CONCATENATE(dados[[#This Row],[fator1]],dados[[#This Row],[fator5]],dados[[#This Row],[fator6]])</f>
        <v>#REF!</v>
      </c>
    </row>
    <row r="3120" spans="1:23">
      <c r="A3120" t="s">
        <v>16</v>
      </c>
      <c r="B3120">
        <v>586143</v>
      </c>
      <c r="C3120">
        <v>16</v>
      </c>
      <c r="D3120">
        <v>30</v>
      </c>
      <c r="E3120">
        <v>56</v>
      </c>
      <c r="F3120">
        <v>3</v>
      </c>
      <c r="G3120">
        <v>0</v>
      </c>
      <c r="H3120">
        <v>25</v>
      </c>
      <c r="I3120">
        <v>31</v>
      </c>
      <c r="J3120">
        <v>0</v>
      </c>
      <c r="K3120">
        <v>8.2350000000000012</v>
      </c>
      <c r="L3120">
        <v>13.1</v>
      </c>
      <c r="M3120">
        <v>48.25</v>
      </c>
      <c r="N3120">
        <v>13.05</v>
      </c>
      <c r="O3120">
        <v>1668</v>
      </c>
      <c r="P3120">
        <v>415</v>
      </c>
      <c r="Q3120" s="5" t="e">
        <f>IF(AND(#REF!&gt;=table!$C$6,#REF!&lt;= table!$D$6),-1,IF(AND(#REF!&gt;=table!$E$6,#REF!&lt;=table!$F$6),1,0))</f>
        <v>#REF!</v>
      </c>
      <c r="R3120" s="5" t="e">
        <f>IF(AND(#REF!&gt;=table!$C$7,#REF!&lt;= table!$D$7),-1,IF(AND(#REF!&gt;=table!$E$7,#REF!&lt;=table!$F$7),1,0))</f>
        <v>#REF!</v>
      </c>
      <c r="S3120" s="5" t="e">
        <f>IF(AND(#REF!&gt;=table!$C$8,#REF!&lt;= table!$D$8),-1,IF(AND(#REF!&gt;=table!$E$8,#REF!&lt;=table!$F$8),1,0))</f>
        <v>#REF!</v>
      </c>
      <c r="T3120" s="5"/>
      <c r="U3120" s="5" t="e">
        <f>IF(AND(#REF!&gt;=table!$C$10,#REF!&lt;= table!$D$10),-1,IF(AND(#REF!&gt;=table!$E$10,#REF!&lt;=table!$F$10),1,0))</f>
        <v>#REF!</v>
      </c>
      <c r="V3120" s="5" t="e">
        <f>IF(AND(#REF!&gt;=table!$C$11,#REF!&lt;= table!$D$11),-1,IF(AND(#REF!&gt;=table!$E$11,#REF!&lt;=table!$F$11),1,0))</f>
        <v>#REF!</v>
      </c>
      <c r="W3120" s="5" t="e">
        <f>CONCATENATE(dados[[#This Row],[fator1]],dados[[#This Row],[fator5]],dados[[#This Row],[fator6]])</f>
        <v>#REF!</v>
      </c>
    </row>
    <row r="3121" spans="1:23">
      <c r="A3121" t="s">
        <v>16</v>
      </c>
      <c r="B3121">
        <v>586145</v>
      </c>
      <c r="C3121">
        <v>4</v>
      </c>
      <c r="D3121">
        <v>40</v>
      </c>
      <c r="E3121">
        <v>21</v>
      </c>
      <c r="F3121">
        <v>10</v>
      </c>
      <c r="G3121">
        <v>0</v>
      </c>
      <c r="H3121">
        <v>25</v>
      </c>
      <c r="I3121">
        <v>28</v>
      </c>
      <c r="J3121">
        <v>0</v>
      </c>
      <c r="K3121">
        <v>4.0650000000000004</v>
      </c>
      <c r="L3121">
        <v>7.6000000000000005</v>
      </c>
      <c r="M3121">
        <v>12.35</v>
      </c>
      <c r="N3121">
        <v>16.25</v>
      </c>
      <c r="O3121">
        <v>1662</v>
      </c>
      <c r="P3121">
        <v>0</v>
      </c>
      <c r="Q3121" s="5" t="e">
        <f>IF(AND(#REF!&gt;=table!$C$6,#REF!&lt;= table!$D$6),-1,IF(AND(#REF!&gt;=table!$E$6,#REF!&lt;=table!$F$6),1,0))</f>
        <v>#REF!</v>
      </c>
      <c r="R3121" s="5" t="e">
        <f>IF(AND(#REF!&gt;=table!$C$7,#REF!&lt;= table!$D$7),-1,IF(AND(#REF!&gt;=table!$E$7,#REF!&lt;=table!$F$7),1,0))</f>
        <v>#REF!</v>
      </c>
      <c r="S3121" s="5" t="e">
        <f>IF(AND(#REF!&gt;=table!$C$8,#REF!&lt;= table!$D$8),-1,IF(AND(#REF!&gt;=table!$E$8,#REF!&lt;=table!$F$8),1,0))</f>
        <v>#REF!</v>
      </c>
      <c r="T3121" s="5"/>
      <c r="U3121" s="5" t="e">
        <f>IF(AND(#REF!&gt;=table!$C$10,#REF!&lt;= table!$D$10),-1,IF(AND(#REF!&gt;=table!$E$10,#REF!&lt;=table!$F$10),1,0))</f>
        <v>#REF!</v>
      </c>
      <c r="V3121" s="5" t="e">
        <f>IF(AND(#REF!&gt;=table!$C$11,#REF!&lt;= table!$D$11),-1,IF(AND(#REF!&gt;=table!$E$11,#REF!&lt;=table!$F$11),1,0))</f>
        <v>#REF!</v>
      </c>
      <c r="W3121" s="5" t="e">
        <f>CONCATENATE(dados[[#This Row],[fator1]],dados[[#This Row],[fator5]],dados[[#This Row],[fator6]])</f>
        <v>#REF!</v>
      </c>
    </row>
    <row r="3122" spans="1:23">
      <c r="A3122" t="s">
        <v>16</v>
      </c>
      <c r="B3122">
        <v>586147</v>
      </c>
      <c r="C3122">
        <v>16</v>
      </c>
      <c r="D3122">
        <v>30</v>
      </c>
      <c r="E3122">
        <v>36</v>
      </c>
      <c r="F3122">
        <v>3</v>
      </c>
      <c r="G3122">
        <v>0</v>
      </c>
      <c r="H3122">
        <v>25</v>
      </c>
      <c r="I3122">
        <v>28</v>
      </c>
      <c r="J3122">
        <v>0</v>
      </c>
      <c r="K3122">
        <v>4.16</v>
      </c>
      <c r="L3122">
        <v>11.85</v>
      </c>
      <c r="M3122">
        <v>29.2</v>
      </c>
      <c r="N3122">
        <v>13.5</v>
      </c>
      <c r="O3122">
        <v>1676</v>
      </c>
      <c r="P3122">
        <v>678</v>
      </c>
      <c r="Q3122" s="5" t="e">
        <f>IF(AND(#REF!&gt;=table!$C$6,#REF!&lt;= table!$D$6),-1,IF(AND(#REF!&gt;=table!$E$6,#REF!&lt;=table!$F$6),1,0))</f>
        <v>#REF!</v>
      </c>
      <c r="R3122" s="5" t="e">
        <f>IF(AND(#REF!&gt;=table!$C$7,#REF!&lt;= table!$D$7),-1,IF(AND(#REF!&gt;=table!$E$7,#REF!&lt;=table!$F$7),1,0))</f>
        <v>#REF!</v>
      </c>
      <c r="S3122" s="5" t="e">
        <f>IF(AND(#REF!&gt;=table!$C$8,#REF!&lt;= table!$D$8),-1,IF(AND(#REF!&gt;=table!$E$8,#REF!&lt;=table!$F$8),1,0))</f>
        <v>#REF!</v>
      </c>
      <c r="T3122" s="5"/>
      <c r="U3122" s="5" t="e">
        <f>IF(AND(#REF!&gt;=table!$C$10,#REF!&lt;= table!$D$10),-1,IF(AND(#REF!&gt;=table!$E$10,#REF!&lt;=table!$F$10),1,0))</f>
        <v>#REF!</v>
      </c>
      <c r="V3122" s="5" t="e">
        <f>IF(AND(#REF!&gt;=table!$C$11,#REF!&lt;= table!$D$11),-1,IF(AND(#REF!&gt;=table!$E$11,#REF!&lt;=table!$F$11),1,0))</f>
        <v>#REF!</v>
      </c>
      <c r="W3122" s="5" t="e">
        <f>CONCATENATE(dados[[#This Row],[fator1]],dados[[#This Row],[fator5]],dados[[#This Row],[fator6]])</f>
        <v>#REF!</v>
      </c>
    </row>
    <row r="3123" spans="1:23">
      <c r="A3123" t="s">
        <v>17</v>
      </c>
      <c r="B3123">
        <v>586148</v>
      </c>
      <c r="C3123">
        <v>16</v>
      </c>
      <c r="D3123">
        <v>25</v>
      </c>
      <c r="E3123">
        <v>56</v>
      </c>
      <c r="F3123">
        <v>10</v>
      </c>
      <c r="G3123">
        <v>13</v>
      </c>
      <c r="H3123">
        <v>25</v>
      </c>
      <c r="I3123">
        <v>390</v>
      </c>
      <c r="J3123">
        <v>0</v>
      </c>
      <c r="K3123">
        <v>5.9750000000000005</v>
      </c>
      <c r="L3123">
        <v>14.6</v>
      </c>
      <c r="M3123">
        <v>50.6</v>
      </c>
      <c r="N3123">
        <v>20.2</v>
      </c>
      <c r="O3123">
        <v>1699</v>
      </c>
      <c r="P3123">
        <v>549</v>
      </c>
      <c r="Q3123" s="5" t="e">
        <f>IF(AND(#REF!&gt;=table!$C$6,#REF!&lt;= table!$D$6),-1,IF(AND(#REF!&gt;=table!$E$6,#REF!&lt;=table!$F$6),1,0))</f>
        <v>#REF!</v>
      </c>
      <c r="R3123" s="5" t="e">
        <f>IF(AND(#REF!&gt;=table!$C$7,#REF!&lt;= table!$D$7),-1,IF(AND(#REF!&gt;=table!$E$7,#REF!&lt;=table!$F$7),1,0))</f>
        <v>#REF!</v>
      </c>
      <c r="S3123" s="5" t="e">
        <f>IF(AND(#REF!&gt;=table!$C$8,#REF!&lt;= table!$D$8),-1,IF(AND(#REF!&gt;=table!$E$8,#REF!&lt;=table!$F$8),1,0))</f>
        <v>#REF!</v>
      </c>
      <c r="T3123" s="5"/>
      <c r="U3123" s="5" t="e">
        <f>IF(AND(#REF!&gt;=table!$C$10,#REF!&lt;= table!$D$10),-1,IF(AND(#REF!&gt;=table!$E$10,#REF!&lt;=table!$F$10),1,0))</f>
        <v>#REF!</v>
      </c>
      <c r="V3123" s="5" t="e">
        <f>IF(AND(#REF!&gt;=table!$C$11,#REF!&lt;= table!$D$11),-1,IF(AND(#REF!&gt;=table!$E$11,#REF!&lt;=table!$F$11),1,0))</f>
        <v>#REF!</v>
      </c>
      <c r="W3123" s="5" t="e">
        <f>CONCATENATE(dados[[#This Row],[fator1]],dados[[#This Row],[fator5]],dados[[#This Row],[fator6]])</f>
        <v>#REF!</v>
      </c>
    </row>
    <row r="3124" spans="1:23">
      <c r="A3124" t="s">
        <v>17</v>
      </c>
      <c r="B3124">
        <v>586149</v>
      </c>
      <c r="C3124">
        <v>20</v>
      </c>
      <c r="D3124">
        <v>33</v>
      </c>
      <c r="E3124">
        <v>66</v>
      </c>
      <c r="F3124">
        <v>4</v>
      </c>
      <c r="G3124">
        <v>20</v>
      </c>
      <c r="H3124">
        <v>25</v>
      </c>
      <c r="I3124">
        <v>35</v>
      </c>
      <c r="J3124">
        <v>0</v>
      </c>
      <c r="K3124">
        <v>5.84</v>
      </c>
      <c r="L3124">
        <v>7.1000000000000005</v>
      </c>
      <c r="M3124">
        <v>54.355000000000004</v>
      </c>
      <c r="N3124">
        <v>9.2650000000000006</v>
      </c>
      <c r="O3124">
        <v>1674</v>
      </c>
      <c r="P3124">
        <v>577</v>
      </c>
      <c r="Q3124" s="5" t="e">
        <f>IF(AND(#REF!&gt;=table!$C$6,#REF!&lt;= table!$D$6),-1,IF(AND(#REF!&gt;=table!$E$6,#REF!&lt;=table!$F$6),1,0))</f>
        <v>#REF!</v>
      </c>
      <c r="R3124" s="5" t="e">
        <f>IF(AND(#REF!&gt;=table!$C$7,#REF!&lt;= table!$D$7),-1,IF(AND(#REF!&gt;=table!$E$7,#REF!&lt;=table!$F$7),1,0))</f>
        <v>#REF!</v>
      </c>
      <c r="S3124" s="5" t="e">
        <f>IF(AND(#REF!&gt;=table!$C$8,#REF!&lt;= table!$D$8),-1,IF(AND(#REF!&gt;=table!$E$8,#REF!&lt;=table!$F$8),1,0))</f>
        <v>#REF!</v>
      </c>
      <c r="T3124" s="5"/>
      <c r="U3124" s="5" t="e">
        <f>IF(AND(#REF!&gt;=table!$C$10,#REF!&lt;= table!$D$10),-1,IF(AND(#REF!&gt;=table!$E$10,#REF!&lt;=table!$F$10),1,0))</f>
        <v>#REF!</v>
      </c>
      <c r="V3124" s="5" t="e">
        <f>IF(AND(#REF!&gt;=table!$C$11,#REF!&lt;= table!$D$11),-1,IF(AND(#REF!&gt;=table!$E$11,#REF!&lt;=table!$F$11),1,0))</f>
        <v>#REF!</v>
      </c>
      <c r="W3124" s="5" t="e">
        <f>CONCATENATE(dados[[#This Row],[fator1]],dados[[#This Row],[fator5]],dados[[#This Row],[fator6]])</f>
        <v>#REF!</v>
      </c>
    </row>
    <row r="3125" spans="1:23">
      <c r="A3125" t="s">
        <v>17</v>
      </c>
      <c r="B3125">
        <v>586151</v>
      </c>
      <c r="C3125">
        <v>20</v>
      </c>
      <c r="D3125">
        <v>18</v>
      </c>
      <c r="E3125">
        <v>36</v>
      </c>
      <c r="F3125">
        <v>6</v>
      </c>
      <c r="G3125">
        <v>20</v>
      </c>
      <c r="H3125">
        <v>25</v>
      </c>
      <c r="I3125">
        <v>116</v>
      </c>
      <c r="J3125">
        <v>0</v>
      </c>
      <c r="K3125">
        <v>4.835</v>
      </c>
      <c r="L3125">
        <v>11.700000000000001</v>
      </c>
      <c r="M3125">
        <v>33.15</v>
      </c>
      <c r="N3125">
        <v>17.2</v>
      </c>
      <c r="O3125">
        <v>1676</v>
      </c>
      <c r="P3125">
        <v>683</v>
      </c>
      <c r="Q3125" s="5" t="e">
        <f>IF(AND(#REF!&gt;=table!$C$6,#REF!&lt;= table!$D$6),-1,IF(AND(#REF!&gt;=table!$E$6,#REF!&lt;=table!$F$6),1,0))</f>
        <v>#REF!</v>
      </c>
      <c r="R3125" s="5" t="e">
        <f>IF(AND(#REF!&gt;=table!$C$7,#REF!&lt;= table!$D$7),-1,IF(AND(#REF!&gt;=table!$E$7,#REF!&lt;=table!$F$7),1,0))</f>
        <v>#REF!</v>
      </c>
      <c r="S3125" s="5" t="e">
        <f>IF(AND(#REF!&gt;=table!$C$8,#REF!&lt;= table!$D$8),-1,IF(AND(#REF!&gt;=table!$E$8,#REF!&lt;=table!$F$8),1,0))</f>
        <v>#REF!</v>
      </c>
      <c r="T3125" s="5"/>
      <c r="U3125" s="5" t="e">
        <f>IF(AND(#REF!&gt;=table!$C$10,#REF!&lt;= table!$D$10),-1,IF(AND(#REF!&gt;=table!$E$10,#REF!&lt;=table!$F$10),1,0))</f>
        <v>#REF!</v>
      </c>
      <c r="V3125" s="5" t="e">
        <f>IF(AND(#REF!&gt;=table!$C$11,#REF!&lt;= table!$D$11),-1,IF(AND(#REF!&gt;=table!$E$11,#REF!&lt;=table!$F$11),1,0))</f>
        <v>#REF!</v>
      </c>
      <c r="W3125" s="5" t="e">
        <f>CONCATENATE(dados[[#This Row],[fator1]],dados[[#This Row],[fator5]],dados[[#This Row],[fator6]])</f>
        <v>#REF!</v>
      </c>
    </row>
    <row r="3126" spans="1:23">
      <c r="A3126" t="s">
        <v>17</v>
      </c>
      <c r="B3126">
        <v>586152</v>
      </c>
      <c r="C3126">
        <v>20</v>
      </c>
      <c r="D3126">
        <v>18</v>
      </c>
      <c r="E3126">
        <v>36</v>
      </c>
      <c r="F3126">
        <v>10</v>
      </c>
      <c r="G3126">
        <v>20</v>
      </c>
      <c r="H3126">
        <v>25</v>
      </c>
      <c r="I3126">
        <v>2644</v>
      </c>
      <c r="J3126">
        <v>0</v>
      </c>
      <c r="K3126">
        <v>5.01</v>
      </c>
      <c r="L3126">
        <v>9.4500000000000011</v>
      </c>
      <c r="M3126">
        <v>32.950000000000003</v>
      </c>
      <c r="N3126">
        <v>11.3</v>
      </c>
      <c r="O3126">
        <v>1689</v>
      </c>
      <c r="P3126">
        <v>740</v>
      </c>
      <c r="Q3126" s="5" t="e">
        <f>IF(AND(#REF!&gt;=table!$C$6,#REF!&lt;= table!$D$6),-1,IF(AND(#REF!&gt;=table!$E$6,#REF!&lt;=table!$F$6),1,0))</f>
        <v>#REF!</v>
      </c>
      <c r="R3126" s="5" t="e">
        <f>IF(AND(#REF!&gt;=table!$C$7,#REF!&lt;= table!$D$7),-1,IF(AND(#REF!&gt;=table!$E$7,#REF!&lt;=table!$F$7),1,0))</f>
        <v>#REF!</v>
      </c>
      <c r="S3126" s="5" t="e">
        <f>IF(AND(#REF!&gt;=table!$C$8,#REF!&lt;= table!$D$8),-1,IF(AND(#REF!&gt;=table!$E$8,#REF!&lt;=table!$F$8),1,0))</f>
        <v>#REF!</v>
      </c>
      <c r="T3126" s="5"/>
      <c r="U3126" s="5" t="e">
        <f>IF(AND(#REF!&gt;=table!$C$10,#REF!&lt;= table!$D$10),-1,IF(AND(#REF!&gt;=table!$E$10,#REF!&lt;=table!$F$10),1,0))</f>
        <v>#REF!</v>
      </c>
      <c r="V3126" s="5" t="e">
        <f>IF(AND(#REF!&gt;=table!$C$11,#REF!&lt;= table!$D$11),-1,IF(AND(#REF!&gt;=table!$E$11,#REF!&lt;=table!$F$11),1,0))</f>
        <v>#REF!</v>
      </c>
      <c r="W3126" s="5" t="e">
        <f>CONCATENATE(dados[[#This Row],[fator1]],dados[[#This Row],[fator5]],dados[[#This Row],[fator6]])</f>
        <v>#REF!</v>
      </c>
    </row>
    <row r="3127" spans="1:23">
      <c r="A3127" t="s">
        <v>17</v>
      </c>
      <c r="B3127">
        <v>586153</v>
      </c>
      <c r="C3127">
        <v>6</v>
      </c>
      <c r="D3127">
        <v>30</v>
      </c>
      <c r="E3127">
        <v>110</v>
      </c>
      <c r="F3127">
        <v>10</v>
      </c>
      <c r="G3127">
        <v>21</v>
      </c>
      <c r="H3127">
        <v>25</v>
      </c>
      <c r="I3127">
        <v>20</v>
      </c>
      <c r="J3127">
        <v>0</v>
      </c>
      <c r="K3127">
        <v>5.63</v>
      </c>
      <c r="L3127">
        <v>9.5</v>
      </c>
      <c r="M3127">
        <v>102.5</v>
      </c>
      <c r="N3127">
        <v>11.75</v>
      </c>
      <c r="O3127">
        <v>1679</v>
      </c>
      <c r="P3127">
        <v>674</v>
      </c>
      <c r="Q3127" s="5" t="e">
        <f>IF(AND(#REF!&gt;=table!$C$6,#REF!&lt;= table!$D$6),-1,IF(AND(#REF!&gt;=table!$E$6,#REF!&lt;=table!$F$6),1,0))</f>
        <v>#REF!</v>
      </c>
      <c r="R3127" s="5" t="e">
        <f>IF(AND(#REF!&gt;=table!$C$7,#REF!&lt;= table!$D$7),-1,IF(AND(#REF!&gt;=table!$E$7,#REF!&lt;=table!$F$7),1,0))</f>
        <v>#REF!</v>
      </c>
      <c r="S3127" s="5" t="e">
        <f>IF(AND(#REF!&gt;=table!$C$8,#REF!&lt;= table!$D$8),-1,IF(AND(#REF!&gt;=table!$E$8,#REF!&lt;=table!$F$8),1,0))</f>
        <v>#REF!</v>
      </c>
      <c r="T3127" s="5"/>
      <c r="U3127" s="5" t="e">
        <f>IF(AND(#REF!&gt;=table!$C$10,#REF!&lt;= table!$D$10),-1,IF(AND(#REF!&gt;=table!$E$10,#REF!&lt;=table!$F$10),1,0))</f>
        <v>#REF!</v>
      </c>
      <c r="V3127" s="5" t="e">
        <f>IF(AND(#REF!&gt;=table!$C$11,#REF!&lt;= table!$D$11),-1,IF(AND(#REF!&gt;=table!$E$11,#REF!&lt;=table!$F$11),1,0))</f>
        <v>#REF!</v>
      </c>
      <c r="W3127" s="5" t="e">
        <f>CONCATENATE(dados[[#This Row],[fator1]],dados[[#This Row],[fator5]],dados[[#This Row],[fator6]])</f>
        <v>#REF!</v>
      </c>
    </row>
    <row r="3128" spans="1:23">
      <c r="A3128" t="s">
        <v>17</v>
      </c>
      <c r="B3128">
        <v>586155</v>
      </c>
      <c r="C3128">
        <v>8</v>
      </c>
      <c r="D3128">
        <v>25</v>
      </c>
      <c r="E3128">
        <v>136</v>
      </c>
      <c r="F3128">
        <v>6</v>
      </c>
      <c r="G3128">
        <v>8</v>
      </c>
      <c r="H3128">
        <v>25</v>
      </c>
      <c r="I3128">
        <v>1</v>
      </c>
      <c r="J3128">
        <v>0</v>
      </c>
      <c r="K3128">
        <v>5.0350000000000001</v>
      </c>
      <c r="L3128">
        <v>9.75</v>
      </c>
      <c r="M3128">
        <v>107.995</v>
      </c>
      <c r="N3128">
        <v>13.82</v>
      </c>
      <c r="O3128">
        <v>1666</v>
      </c>
      <c r="P3128">
        <v>581</v>
      </c>
      <c r="Q3128" s="5" t="e">
        <f>IF(AND(#REF!&gt;=table!$C$6,#REF!&lt;= table!$D$6),-1,IF(AND(#REF!&gt;=table!$E$6,#REF!&lt;=table!$F$6),1,0))</f>
        <v>#REF!</v>
      </c>
      <c r="R3128" s="5" t="e">
        <f>IF(AND(#REF!&gt;=table!$C$7,#REF!&lt;= table!$D$7),-1,IF(AND(#REF!&gt;=table!$E$7,#REF!&lt;=table!$F$7),1,0))</f>
        <v>#REF!</v>
      </c>
      <c r="S3128" s="5" t="e">
        <f>IF(AND(#REF!&gt;=table!$C$8,#REF!&lt;= table!$D$8),-1,IF(AND(#REF!&gt;=table!$E$8,#REF!&lt;=table!$F$8),1,0))</f>
        <v>#REF!</v>
      </c>
      <c r="T3128" s="5"/>
      <c r="U3128" s="5" t="e">
        <f>IF(AND(#REF!&gt;=table!$C$10,#REF!&lt;= table!$D$10),-1,IF(AND(#REF!&gt;=table!$E$10,#REF!&lt;=table!$F$10),1,0))</f>
        <v>#REF!</v>
      </c>
      <c r="V3128" s="5" t="e">
        <f>IF(AND(#REF!&gt;=table!$C$11,#REF!&lt;= table!$D$11),-1,IF(AND(#REF!&gt;=table!$E$11,#REF!&lt;=table!$F$11),1,0))</f>
        <v>#REF!</v>
      </c>
      <c r="W3128" s="5" t="e">
        <f>CONCATENATE(dados[[#This Row],[fator1]],dados[[#This Row],[fator5]],dados[[#This Row],[fator6]])</f>
        <v>#REF!</v>
      </c>
    </row>
    <row r="3129" spans="1:23">
      <c r="A3129" t="s">
        <v>17</v>
      </c>
      <c r="B3129">
        <v>586156</v>
      </c>
      <c r="C3129">
        <v>8</v>
      </c>
      <c r="D3129">
        <v>25</v>
      </c>
      <c r="E3129">
        <v>136</v>
      </c>
      <c r="F3129">
        <v>6</v>
      </c>
      <c r="G3129">
        <v>8</v>
      </c>
      <c r="H3129">
        <v>25</v>
      </c>
      <c r="I3129">
        <v>699</v>
      </c>
      <c r="J3129">
        <v>0</v>
      </c>
      <c r="K3129">
        <v>4.96</v>
      </c>
      <c r="L3129">
        <v>11.65</v>
      </c>
      <c r="M3129">
        <v>125.60000000000001</v>
      </c>
      <c r="N3129">
        <v>14.6</v>
      </c>
      <c r="O3129">
        <v>1689</v>
      </c>
      <c r="P3129">
        <v>769</v>
      </c>
      <c r="Q3129" s="5" t="e">
        <f>IF(AND(#REF!&gt;=table!$C$6,#REF!&lt;= table!$D$6),-1,IF(AND(#REF!&gt;=table!$E$6,#REF!&lt;=table!$F$6),1,0))</f>
        <v>#REF!</v>
      </c>
      <c r="R3129" s="5" t="e">
        <f>IF(AND(#REF!&gt;=table!$C$7,#REF!&lt;= table!$D$7),-1,IF(AND(#REF!&gt;=table!$E$7,#REF!&lt;=table!$F$7),1,0))</f>
        <v>#REF!</v>
      </c>
      <c r="S3129" s="5" t="e">
        <f>IF(AND(#REF!&gt;=table!$C$8,#REF!&lt;= table!$D$8),-1,IF(AND(#REF!&gt;=table!$E$8,#REF!&lt;=table!$F$8),1,0))</f>
        <v>#REF!</v>
      </c>
      <c r="T3129" s="5"/>
      <c r="U3129" s="5" t="e">
        <f>IF(AND(#REF!&gt;=table!$C$10,#REF!&lt;= table!$D$10),-1,IF(AND(#REF!&gt;=table!$E$10,#REF!&lt;=table!$F$10),1,0))</f>
        <v>#REF!</v>
      </c>
      <c r="V3129" s="5" t="e">
        <f>IF(AND(#REF!&gt;=table!$C$11,#REF!&lt;= table!$D$11),-1,IF(AND(#REF!&gt;=table!$E$11,#REF!&lt;=table!$F$11),1,0))</f>
        <v>#REF!</v>
      </c>
      <c r="W3129" s="5" t="e">
        <f>CONCATENATE(dados[[#This Row],[fator1]],dados[[#This Row],[fator5]],dados[[#This Row],[fator6]])</f>
        <v>#REF!</v>
      </c>
    </row>
    <row r="3130" spans="1:23">
      <c r="A3130" t="s">
        <v>17</v>
      </c>
      <c r="B3130">
        <v>586160</v>
      </c>
      <c r="C3130">
        <v>8</v>
      </c>
      <c r="D3130">
        <v>25</v>
      </c>
      <c r="E3130">
        <v>136</v>
      </c>
      <c r="F3130">
        <v>6</v>
      </c>
      <c r="G3130">
        <v>8</v>
      </c>
      <c r="H3130">
        <v>25</v>
      </c>
      <c r="I3130">
        <v>23</v>
      </c>
      <c r="J3130">
        <v>0</v>
      </c>
      <c r="K3130">
        <v>4.7700000000000005</v>
      </c>
      <c r="L3130">
        <v>8.85</v>
      </c>
      <c r="M3130">
        <v>90.600000000000009</v>
      </c>
      <c r="N3130">
        <v>9.35</v>
      </c>
      <c r="O3130">
        <v>1671</v>
      </c>
      <c r="P3130">
        <v>0</v>
      </c>
      <c r="Q3130" s="5" t="e">
        <f>IF(AND(#REF!&gt;=table!$C$6,#REF!&lt;= table!$D$6),-1,IF(AND(#REF!&gt;=table!$E$6,#REF!&lt;=table!$F$6),1,0))</f>
        <v>#REF!</v>
      </c>
      <c r="R3130" s="5" t="e">
        <f>IF(AND(#REF!&gt;=table!$C$7,#REF!&lt;= table!$D$7),-1,IF(AND(#REF!&gt;=table!$E$7,#REF!&lt;=table!$F$7),1,0))</f>
        <v>#REF!</v>
      </c>
      <c r="S3130" s="5" t="e">
        <f>IF(AND(#REF!&gt;=table!$C$8,#REF!&lt;= table!$D$8),-1,IF(AND(#REF!&gt;=table!$E$8,#REF!&lt;=table!$F$8),1,0))</f>
        <v>#REF!</v>
      </c>
      <c r="T3130" s="5"/>
      <c r="U3130" s="5" t="e">
        <f>IF(AND(#REF!&gt;=table!$C$10,#REF!&lt;= table!$D$10),-1,IF(AND(#REF!&gt;=table!$E$10,#REF!&lt;=table!$F$10),1,0))</f>
        <v>#REF!</v>
      </c>
      <c r="V3130" s="5" t="e">
        <f>IF(AND(#REF!&gt;=table!$C$11,#REF!&lt;= table!$D$11),-1,IF(AND(#REF!&gt;=table!$E$11,#REF!&lt;=table!$F$11),1,0))</f>
        <v>#REF!</v>
      </c>
      <c r="W3130" s="5" t="e">
        <f>CONCATENATE(dados[[#This Row],[fator1]],dados[[#This Row],[fator5]],dados[[#This Row],[fator6]])</f>
        <v>#REF!</v>
      </c>
    </row>
    <row r="3131" spans="1:23">
      <c r="A3131" t="s">
        <v>16</v>
      </c>
      <c r="B3131">
        <v>586161</v>
      </c>
      <c r="C3131">
        <v>4</v>
      </c>
      <c r="D3131">
        <v>40</v>
      </c>
      <c r="E3131">
        <v>21</v>
      </c>
      <c r="F3131">
        <v>10</v>
      </c>
      <c r="G3131">
        <v>0</v>
      </c>
      <c r="H3131">
        <v>25</v>
      </c>
      <c r="I3131">
        <v>6</v>
      </c>
      <c r="J3131">
        <v>0</v>
      </c>
      <c r="K3131">
        <v>2.8250000000000002</v>
      </c>
      <c r="L3131">
        <v>8.9500000000000011</v>
      </c>
      <c r="M3131">
        <v>7.55</v>
      </c>
      <c r="N3131">
        <v>13.55</v>
      </c>
      <c r="O3131">
        <v>1675</v>
      </c>
      <c r="P3131">
        <v>0</v>
      </c>
      <c r="Q3131" s="5" t="e">
        <f>IF(AND(#REF!&gt;=table!$C$6,#REF!&lt;= table!$D$6),-1,IF(AND(#REF!&gt;=table!$E$6,#REF!&lt;=table!$F$6),1,0))</f>
        <v>#REF!</v>
      </c>
      <c r="R3131" s="5" t="e">
        <f>IF(AND(#REF!&gt;=table!$C$7,#REF!&lt;= table!$D$7),-1,IF(AND(#REF!&gt;=table!$E$7,#REF!&lt;=table!$F$7),1,0))</f>
        <v>#REF!</v>
      </c>
      <c r="S3131" s="5" t="e">
        <f>IF(AND(#REF!&gt;=table!$C$8,#REF!&lt;= table!$D$8),-1,IF(AND(#REF!&gt;=table!$E$8,#REF!&lt;=table!$F$8),1,0))</f>
        <v>#REF!</v>
      </c>
      <c r="T3131" s="5"/>
      <c r="U3131" s="5" t="e">
        <f>IF(AND(#REF!&gt;=table!$C$10,#REF!&lt;= table!$D$10),-1,IF(AND(#REF!&gt;=table!$E$10,#REF!&lt;=table!$F$10),1,0))</f>
        <v>#REF!</v>
      </c>
      <c r="V3131" s="5" t="e">
        <f>IF(AND(#REF!&gt;=table!$C$11,#REF!&lt;= table!$D$11),-1,IF(AND(#REF!&gt;=table!$E$11,#REF!&lt;=table!$F$11),1,0))</f>
        <v>#REF!</v>
      </c>
      <c r="W3131" s="5" t="e">
        <f>CONCATENATE(dados[[#This Row],[fator1]],dados[[#This Row],[fator5]],dados[[#This Row],[fator6]])</f>
        <v>#REF!</v>
      </c>
    </row>
    <row r="3132" spans="1:23">
      <c r="A3132" t="s">
        <v>16</v>
      </c>
      <c r="B3132">
        <v>586162</v>
      </c>
      <c r="C3132">
        <v>4</v>
      </c>
      <c r="D3132">
        <v>40</v>
      </c>
      <c r="E3132">
        <v>21</v>
      </c>
      <c r="F3132">
        <v>10</v>
      </c>
      <c r="G3132">
        <v>0</v>
      </c>
      <c r="H3132">
        <v>25</v>
      </c>
      <c r="I3132">
        <v>146</v>
      </c>
      <c r="J3132">
        <v>0</v>
      </c>
      <c r="K3132">
        <v>3.7150000000000003</v>
      </c>
      <c r="L3132">
        <v>9.85</v>
      </c>
      <c r="M3132">
        <v>8.4450000000000003</v>
      </c>
      <c r="N3132">
        <v>14.475000000000001</v>
      </c>
      <c r="O3132">
        <v>1680</v>
      </c>
      <c r="P3132">
        <v>0</v>
      </c>
      <c r="Q3132" s="5" t="e">
        <f>IF(AND(#REF!&gt;=table!$C$6,#REF!&lt;= table!$D$6),-1,IF(AND(#REF!&gt;=table!$E$6,#REF!&lt;=table!$F$6),1,0))</f>
        <v>#REF!</v>
      </c>
      <c r="R3132" s="5" t="e">
        <f>IF(AND(#REF!&gt;=table!$C$7,#REF!&lt;= table!$D$7),-1,IF(AND(#REF!&gt;=table!$E$7,#REF!&lt;=table!$F$7),1,0))</f>
        <v>#REF!</v>
      </c>
      <c r="S3132" s="5" t="e">
        <f>IF(AND(#REF!&gt;=table!$C$8,#REF!&lt;= table!$D$8),-1,IF(AND(#REF!&gt;=table!$E$8,#REF!&lt;=table!$F$8),1,0))</f>
        <v>#REF!</v>
      </c>
      <c r="T3132" s="5"/>
      <c r="U3132" s="5" t="e">
        <f>IF(AND(#REF!&gt;=table!$C$10,#REF!&lt;= table!$D$10),-1,IF(AND(#REF!&gt;=table!$E$10,#REF!&lt;=table!$F$10),1,0))</f>
        <v>#REF!</v>
      </c>
      <c r="V3132" s="5" t="e">
        <f>IF(AND(#REF!&gt;=table!$C$11,#REF!&lt;= table!$D$11),-1,IF(AND(#REF!&gt;=table!$E$11,#REF!&lt;=table!$F$11),1,0))</f>
        <v>#REF!</v>
      </c>
      <c r="W3132" s="5" t="e">
        <f>CONCATENATE(dados[[#This Row],[fator1]],dados[[#This Row],[fator5]],dados[[#This Row],[fator6]])</f>
        <v>#REF!</v>
      </c>
    </row>
    <row r="3133" spans="1:23">
      <c r="A3133" t="s">
        <v>16</v>
      </c>
      <c r="B3133">
        <v>586164</v>
      </c>
      <c r="C3133">
        <v>4</v>
      </c>
      <c r="D3133">
        <v>40</v>
      </c>
      <c r="E3133">
        <v>21</v>
      </c>
      <c r="F3133">
        <v>10</v>
      </c>
      <c r="G3133">
        <v>0</v>
      </c>
      <c r="H3133">
        <v>25</v>
      </c>
      <c r="I3133">
        <v>26</v>
      </c>
      <c r="J3133">
        <v>1050</v>
      </c>
      <c r="K3133">
        <v>7.11</v>
      </c>
      <c r="L3133">
        <v>9.48</v>
      </c>
      <c r="M3133">
        <v>7.0049999999999999</v>
      </c>
      <c r="N3133">
        <v>10.28</v>
      </c>
      <c r="O3133">
        <v>1602</v>
      </c>
      <c r="P3133">
        <v>374</v>
      </c>
      <c r="Q3133" s="5" t="e">
        <f>IF(AND(#REF!&gt;=table!$C$6,#REF!&lt;= table!$D$6),-1,IF(AND(#REF!&gt;=table!$E$6,#REF!&lt;=table!$F$6),1,0))</f>
        <v>#REF!</v>
      </c>
      <c r="R3133" s="5" t="e">
        <f>IF(AND(#REF!&gt;=table!$C$7,#REF!&lt;= table!$D$7),-1,IF(AND(#REF!&gt;=table!$E$7,#REF!&lt;=table!$F$7),1,0))</f>
        <v>#REF!</v>
      </c>
      <c r="S3133" s="5" t="e">
        <f>IF(AND(#REF!&gt;=table!$C$8,#REF!&lt;= table!$D$8),-1,IF(AND(#REF!&gt;=table!$E$8,#REF!&lt;=table!$F$8),1,0))</f>
        <v>#REF!</v>
      </c>
      <c r="T3133" s="5"/>
      <c r="U3133" s="5" t="e">
        <f>IF(AND(#REF!&gt;=table!$C$10,#REF!&lt;= table!$D$10),-1,IF(AND(#REF!&gt;=table!$E$10,#REF!&lt;=table!$F$10),1,0))</f>
        <v>#REF!</v>
      </c>
      <c r="V3133" s="5" t="e">
        <f>IF(AND(#REF!&gt;=table!$C$11,#REF!&lt;= table!$D$11),-1,IF(AND(#REF!&gt;=table!$E$11,#REF!&lt;=table!$F$11),1,0))</f>
        <v>#REF!</v>
      </c>
      <c r="W3133" s="5" t="e">
        <f>CONCATENATE(dados[[#This Row],[fator1]],dados[[#This Row],[fator5]],dados[[#This Row],[fator6]])</f>
        <v>#REF!</v>
      </c>
    </row>
    <row r="3134" spans="1:23">
      <c r="A3134" t="s">
        <v>16</v>
      </c>
      <c r="B3134">
        <v>586166</v>
      </c>
      <c r="C3134">
        <v>4</v>
      </c>
      <c r="D3134">
        <v>40</v>
      </c>
      <c r="E3134">
        <v>21</v>
      </c>
      <c r="F3134">
        <v>10</v>
      </c>
      <c r="G3134">
        <v>0</v>
      </c>
      <c r="H3134">
        <v>25</v>
      </c>
      <c r="I3134">
        <v>478</v>
      </c>
      <c r="J3134">
        <v>0</v>
      </c>
      <c r="K3134">
        <v>5.21</v>
      </c>
      <c r="L3134">
        <v>11.195</v>
      </c>
      <c r="M3134">
        <v>10.985000000000001</v>
      </c>
      <c r="N3134">
        <v>12.76</v>
      </c>
      <c r="O3134">
        <v>1717</v>
      </c>
      <c r="P3134">
        <v>809</v>
      </c>
      <c r="Q3134" s="5" t="e">
        <f>IF(AND(#REF!&gt;=table!$C$6,#REF!&lt;= table!$D$6),-1,IF(AND(#REF!&gt;=table!$E$6,#REF!&lt;=table!$F$6),1,0))</f>
        <v>#REF!</v>
      </c>
      <c r="R3134" s="5" t="e">
        <f>IF(AND(#REF!&gt;=table!$C$7,#REF!&lt;= table!$D$7),-1,IF(AND(#REF!&gt;=table!$E$7,#REF!&lt;=table!$F$7),1,0))</f>
        <v>#REF!</v>
      </c>
      <c r="S3134" s="5" t="e">
        <f>IF(AND(#REF!&gt;=table!$C$8,#REF!&lt;= table!$D$8),-1,IF(AND(#REF!&gt;=table!$E$8,#REF!&lt;=table!$F$8),1,0))</f>
        <v>#REF!</v>
      </c>
      <c r="T3134" s="5"/>
      <c r="U3134" s="5" t="e">
        <f>IF(AND(#REF!&gt;=table!$C$10,#REF!&lt;= table!$D$10),-1,IF(AND(#REF!&gt;=table!$E$10,#REF!&lt;=table!$F$10),1,0))</f>
        <v>#REF!</v>
      </c>
      <c r="V3134" s="5" t="e">
        <f>IF(AND(#REF!&gt;=table!$C$11,#REF!&lt;= table!$D$11),-1,IF(AND(#REF!&gt;=table!$E$11,#REF!&lt;=table!$F$11),1,0))</f>
        <v>#REF!</v>
      </c>
      <c r="W3134" s="5" t="e">
        <f>CONCATENATE(dados[[#This Row],[fator1]],dados[[#This Row],[fator5]],dados[[#This Row],[fator6]])</f>
        <v>#REF!</v>
      </c>
    </row>
    <row r="3135" spans="1:23">
      <c r="A3135" t="s">
        <v>16</v>
      </c>
      <c r="B3135">
        <v>586167</v>
      </c>
      <c r="C3135">
        <v>4</v>
      </c>
      <c r="D3135">
        <v>40</v>
      </c>
      <c r="E3135">
        <v>21</v>
      </c>
      <c r="F3135">
        <v>10</v>
      </c>
      <c r="G3135">
        <v>0</v>
      </c>
      <c r="H3135">
        <v>25</v>
      </c>
      <c r="I3135">
        <v>923</v>
      </c>
      <c r="J3135">
        <v>0</v>
      </c>
      <c r="K3135">
        <v>3.5950000000000002</v>
      </c>
      <c r="L3135">
        <v>10.700000000000001</v>
      </c>
      <c r="M3135">
        <v>10</v>
      </c>
      <c r="N3135">
        <v>8.25</v>
      </c>
      <c r="O3135">
        <v>1682</v>
      </c>
      <c r="P3135">
        <v>779</v>
      </c>
      <c r="Q3135" s="5" t="e">
        <f>IF(AND(#REF!&gt;=table!$C$6,#REF!&lt;= table!$D$6),-1,IF(AND(#REF!&gt;=table!$E$6,#REF!&lt;=table!$F$6),1,0))</f>
        <v>#REF!</v>
      </c>
      <c r="R3135" s="5" t="e">
        <f>IF(AND(#REF!&gt;=table!$C$7,#REF!&lt;= table!$D$7),-1,IF(AND(#REF!&gt;=table!$E$7,#REF!&lt;=table!$F$7),1,0))</f>
        <v>#REF!</v>
      </c>
      <c r="S3135" s="5" t="e">
        <f>IF(AND(#REF!&gt;=table!$C$8,#REF!&lt;= table!$D$8),-1,IF(AND(#REF!&gt;=table!$E$8,#REF!&lt;=table!$F$8),1,0))</f>
        <v>#REF!</v>
      </c>
      <c r="T3135" s="5"/>
      <c r="U3135" s="5" t="e">
        <f>IF(AND(#REF!&gt;=table!$C$10,#REF!&lt;= table!$D$10),-1,IF(AND(#REF!&gt;=table!$E$10,#REF!&lt;=table!$F$10),1,0))</f>
        <v>#REF!</v>
      </c>
      <c r="V3135" s="5" t="e">
        <f>IF(AND(#REF!&gt;=table!$C$11,#REF!&lt;= table!$D$11),-1,IF(AND(#REF!&gt;=table!$E$11,#REF!&lt;=table!$F$11),1,0))</f>
        <v>#REF!</v>
      </c>
      <c r="W3135" s="5" t="e">
        <f>CONCATENATE(dados[[#This Row],[fator1]],dados[[#This Row],[fator5]],dados[[#This Row],[fator6]])</f>
        <v>#REF!</v>
      </c>
    </row>
    <row r="3136" spans="1:23">
      <c r="A3136" t="s">
        <v>16</v>
      </c>
      <c r="B3136">
        <v>586173</v>
      </c>
      <c r="C3136">
        <v>4</v>
      </c>
      <c r="D3136">
        <v>40</v>
      </c>
      <c r="E3136">
        <v>21</v>
      </c>
      <c r="F3136">
        <v>10</v>
      </c>
      <c r="G3136">
        <v>0</v>
      </c>
      <c r="H3136">
        <v>25</v>
      </c>
      <c r="I3136">
        <v>1905</v>
      </c>
      <c r="J3136">
        <v>0</v>
      </c>
      <c r="K3136">
        <v>6.0200000000000005</v>
      </c>
      <c r="L3136">
        <v>7.8</v>
      </c>
      <c r="M3136">
        <v>7</v>
      </c>
      <c r="N3136">
        <v>6.8500000000000005</v>
      </c>
      <c r="O3136">
        <v>1649</v>
      </c>
      <c r="P3136">
        <v>0</v>
      </c>
      <c r="Q3136" s="5" t="e">
        <f>IF(AND(#REF!&gt;=table!$C$6,#REF!&lt;= table!$D$6),-1,IF(AND(#REF!&gt;=table!$E$6,#REF!&lt;=table!$F$6),1,0))</f>
        <v>#REF!</v>
      </c>
      <c r="R3136" s="5" t="e">
        <f>IF(AND(#REF!&gt;=table!$C$7,#REF!&lt;= table!$D$7),-1,IF(AND(#REF!&gt;=table!$E$7,#REF!&lt;=table!$F$7),1,0))</f>
        <v>#REF!</v>
      </c>
      <c r="S3136" s="5" t="e">
        <f>IF(AND(#REF!&gt;=table!$C$8,#REF!&lt;= table!$D$8),-1,IF(AND(#REF!&gt;=table!$E$8,#REF!&lt;=table!$F$8),1,0))</f>
        <v>#REF!</v>
      </c>
      <c r="T3136" s="5"/>
      <c r="U3136" s="5" t="e">
        <f>IF(AND(#REF!&gt;=table!$C$10,#REF!&lt;= table!$D$10),-1,IF(AND(#REF!&gt;=table!$E$10,#REF!&lt;=table!$F$10),1,0))</f>
        <v>#REF!</v>
      </c>
      <c r="V3136" s="5" t="e">
        <f>IF(AND(#REF!&gt;=table!$C$11,#REF!&lt;= table!$D$11),-1,IF(AND(#REF!&gt;=table!$E$11,#REF!&lt;=table!$F$11),1,0))</f>
        <v>#REF!</v>
      </c>
      <c r="W3136" s="5" t="e">
        <f>CONCATENATE(dados[[#This Row],[fator1]],dados[[#This Row],[fator5]],dados[[#This Row],[fator6]])</f>
        <v>#REF!</v>
      </c>
    </row>
    <row r="3137" spans="1:23">
      <c r="A3137" t="s">
        <v>16</v>
      </c>
      <c r="B3137">
        <v>586183</v>
      </c>
      <c r="C3137">
        <v>0.15</v>
      </c>
      <c r="D3137">
        <v>40</v>
      </c>
      <c r="E3137">
        <v>10</v>
      </c>
      <c r="F3137">
        <v>15</v>
      </c>
      <c r="G3137">
        <v>0</v>
      </c>
      <c r="H3137">
        <v>15</v>
      </c>
      <c r="I3137">
        <v>1187</v>
      </c>
      <c r="J3137">
        <v>0</v>
      </c>
      <c r="K3137">
        <v>4.6900000000000004</v>
      </c>
      <c r="L3137">
        <v>8.9</v>
      </c>
      <c r="M3137">
        <v>7.7150000000000007</v>
      </c>
      <c r="N3137">
        <v>12.19</v>
      </c>
      <c r="O3137">
        <v>1684</v>
      </c>
      <c r="P3137">
        <v>669</v>
      </c>
      <c r="Q3137" s="5" t="e">
        <f>IF(AND(#REF!&gt;=table!$C$6,#REF!&lt;= table!$D$6),-1,IF(AND(#REF!&gt;=table!$E$6,#REF!&lt;=table!$F$6),1,0))</f>
        <v>#REF!</v>
      </c>
      <c r="R3137" s="5" t="e">
        <f>IF(AND(#REF!&gt;=table!$C$7,#REF!&lt;= table!$D$7),-1,IF(AND(#REF!&gt;=table!$E$7,#REF!&lt;=table!$F$7),1,0))</f>
        <v>#REF!</v>
      </c>
      <c r="S3137" s="5" t="e">
        <f>IF(AND(#REF!&gt;=table!$C$8,#REF!&lt;= table!$D$8),-1,IF(AND(#REF!&gt;=table!$E$8,#REF!&lt;=table!$F$8),1,0))</f>
        <v>#REF!</v>
      </c>
      <c r="T3137" s="5"/>
      <c r="U3137" s="5" t="e">
        <f>IF(AND(#REF!&gt;=table!$C$10,#REF!&lt;= table!$D$10),-1,IF(AND(#REF!&gt;=table!$E$10,#REF!&lt;=table!$F$10),1,0))</f>
        <v>#REF!</v>
      </c>
      <c r="V3137" s="5" t="e">
        <f>IF(AND(#REF!&gt;=table!$C$11,#REF!&lt;= table!$D$11),-1,IF(AND(#REF!&gt;=table!$E$11,#REF!&lt;=table!$F$11),1,0))</f>
        <v>#REF!</v>
      </c>
      <c r="W3137" s="5" t="e">
        <f>CONCATENATE(dados[[#This Row],[fator1]],dados[[#This Row],[fator5]],dados[[#This Row],[fator6]])</f>
        <v>#REF!</v>
      </c>
    </row>
    <row r="3138" spans="1:23">
      <c r="A3138" t="s">
        <v>16</v>
      </c>
      <c r="B3138">
        <v>586185</v>
      </c>
      <c r="C3138">
        <v>0.15</v>
      </c>
      <c r="D3138">
        <v>40</v>
      </c>
      <c r="E3138">
        <v>10</v>
      </c>
      <c r="F3138">
        <v>15</v>
      </c>
      <c r="G3138">
        <v>0</v>
      </c>
      <c r="H3138">
        <v>15</v>
      </c>
      <c r="I3138">
        <v>1378</v>
      </c>
      <c r="J3138">
        <v>0</v>
      </c>
      <c r="K3138">
        <v>5.62</v>
      </c>
      <c r="L3138">
        <v>10.045</v>
      </c>
      <c r="M3138">
        <v>9.1449999999999996</v>
      </c>
      <c r="N3138">
        <v>13.105</v>
      </c>
      <c r="O3138">
        <v>1679</v>
      </c>
      <c r="P3138">
        <v>661</v>
      </c>
      <c r="Q3138" s="5" t="e">
        <f>IF(AND(#REF!&gt;=table!$C$6,#REF!&lt;= table!$D$6),-1,IF(AND(#REF!&gt;=table!$E$6,#REF!&lt;=table!$F$6),1,0))</f>
        <v>#REF!</v>
      </c>
      <c r="R3138" s="5" t="e">
        <f>IF(AND(#REF!&gt;=table!$C$7,#REF!&lt;= table!$D$7),-1,IF(AND(#REF!&gt;=table!$E$7,#REF!&lt;=table!$F$7),1,0))</f>
        <v>#REF!</v>
      </c>
      <c r="S3138" s="5" t="e">
        <f>IF(AND(#REF!&gt;=table!$C$8,#REF!&lt;= table!$D$8),-1,IF(AND(#REF!&gt;=table!$E$8,#REF!&lt;=table!$F$8),1,0))</f>
        <v>#REF!</v>
      </c>
      <c r="T3138" s="5"/>
      <c r="U3138" s="5" t="e">
        <f>IF(AND(#REF!&gt;=table!$C$10,#REF!&lt;= table!$D$10),-1,IF(AND(#REF!&gt;=table!$E$10,#REF!&lt;=table!$F$10),1,0))</f>
        <v>#REF!</v>
      </c>
      <c r="V3138" s="5" t="e">
        <f>IF(AND(#REF!&gt;=table!$C$11,#REF!&lt;= table!$D$11),-1,IF(AND(#REF!&gt;=table!$E$11,#REF!&lt;=table!$F$11),1,0))</f>
        <v>#REF!</v>
      </c>
      <c r="W3138" s="5" t="e">
        <f>CONCATENATE(dados[[#This Row],[fator1]],dados[[#This Row],[fator5]],dados[[#This Row],[fator6]])</f>
        <v>#REF!</v>
      </c>
    </row>
    <row r="3139" spans="1:23">
      <c r="A3139" t="s">
        <v>16</v>
      </c>
      <c r="B3139">
        <v>586187</v>
      </c>
      <c r="C3139">
        <v>0.15</v>
      </c>
      <c r="D3139">
        <v>40</v>
      </c>
      <c r="E3139">
        <v>10</v>
      </c>
      <c r="F3139">
        <v>15</v>
      </c>
      <c r="G3139">
        <v>0</v>
      </c>
      <c r="H3139">
        <v>15</v>
      </c>
      <c r="I3139">
        <v>0</v>
      </c>
      <c r="J3139">
        <v>0</v>
      </c>
      <c r="K3139">
        <v>3.38</v>
      </c>
      <c r="L3139">
        <v>8.7000000000000011</v>
      </c>
      <c r="M3139">
        <v>7.4950000000000001</v>
      </c>
      <c r="N3139">
        <v>15.165000000000001</v>
      </c>
      <c r="O3139">
        <v>1691</v>
      </c>
      <c r="P3139">
        <v>988</v>
      </c>
      <c r="Q3139" s="5" t="e">
        <f>IF(AND(#REF!&gt;=table!$C$6,#REF!&lt;= table!$D$6),-1,IF(AND(#REF!&gt;=table!$E$6,#REF!&lt;=table!$F$6),1,0))</f>
        <v>#REF!</v>
      </c>
      <c r="R3139" s="5" t="e">
        <f>IF(AND(#REF!&gt;=table!$C$7,#REF!&lt;= table!$D$7),-1,IF(AND(#REF!&gt;=table!$E$7,#REF!&lt;=table!$F$7),1,0))</f>
        <v>#REF!</v>
      </c>
      <c r="S3139" s="5" t="e">
        <f>IF(AND(#REF!&gt;=table!$C$8,#REF!&lt;= table!$D$8),-1,IF(AND(#REF!&gt;=table!$E$8,#REF!&lt;=table!$F$8),1,0))</f>
        <v>#REF!</v>
      </c>
      <c r="T3139" s="5"/>
      <c r="U3139" s="5" t="e">
        <f>IF(AND(#REF!&gt;=table!$C$10,#REF!&lt;= table!$D$10),-1,IF(AND(#REF!&gt;=table!$E$10,#REF!&lt;=table!$F$10),1,0))</f>
        <v>#REF!</v>
      </c>
      <c r="V3139" s="5" t="e">
        <f>IF(AND(#REF!&gt;=table!$C$11,#REF!&lt;= table!$D$11),-1,IF(AND(#REF!&gt;=table!$E$11,#REF!&lt;=table!$F$11),1,0))</f>
        <v>#REF!</v>
      </c>
      <c r="W3139" s="5" t="e">
        <f>CONCATENATE(dados[[#This Row],[fator1]],dados[[#This Row],[fator5]],dados[[#This Row],[fator6]])</f>
        <v>#REF!</v>
      </c>
    </row>
    <row r="3140" spans="1:23">
      <c r="A3140" t="s">
        <v>16</v>
      </c>
      <c r="B3140">
        <v>586207</v>
      </c>
      <c r="C3140">
        <v>8</v>
      </c>
      <c r="D3140">
        <v>40</v>
      </c>
      <c r="E3140">
        <v>86</v>
      </c>
      <c r="F3140">
        <v>6</v>
      </c>
      <c r="G3140">
        <v>0</v>
      </c>
      <c r="H3140">
        <v>20</v>
      </c>
      <c r="I3140">
        <v>356</v>
      </c>
      <c r="J3140">
        <v>0</v>
      </c>
      <c r="K3140">
        <v>2.0405000000000002</v>
      </c>
      <c r="L3140">
        <v>7.3</v>
      </c>
      <c r="M3140">
        <v>64.05</v>
      </c>
      <c r="N3140">
        <v>14.450000000000001</v>
      </c>
      <c r="O3140">
        <v>1667</v>
      </c>
      <c r="P3140">
        <v>967</v>
      </c>
      <c r="Q3140" s="5" t="e">
        <f>IF(AND(#REF!&gt;=table!$C$6,#REF!&lt;= table!$D$6),-1,IF(AND(#REF!&gt;=table!$E$6,#REF!&lt;=table!$F$6),1,0))</f>
        <v>#REF!</v>
      </c>
      <c r="R3140" s="5" t="e">
        <f>IF(AND(#REF!&gt;=table!$C$7,#REF!&lt;= table!$D$7),-1,IF(AND(#REF!&gt;=table!$E$7,#REF!&lt;=table!$F$7),1,0))</f>
        <v>#REF!</v>
      </c>
      <c r="S3140" s="5" t="e">
        <f>IF(AND(#REF!&gt;=table!$C$8,#REF!&lt;= table!$D$8),-1,IF(AND(#REF!&gt;=table!$E$8,#REF!&lt;=table!$F$8),1,0))</f>
        <v>#REF!</v>
      </c>
      <c r="T3140" s="5"/>
      <c r="U3140" s="5" t="e">
        <f>IF(AND(#REF!&gt;=table!$C$10,#REF!&lt;= table!$D$10),-1,IF(AND(#REF!&gt;=table!$E$10,#REF!&lt;=table!$F$10),1,0))</f>
        <v>#REF!</v>
      </c>
      <c r="V3140" s="5" t="e">
        <f>IF(AND(#REF!&gt;=table!$C$11,#REF!&lt;= table!$D$11),-1,IF(AND(#REF!&gt;=table!$E$11,#REF!&lt;=table!$F$11),1,0))</f>
        <v>#REF!</v>
      </c>
      <c r="W3140" s="5" t="e">
        <f>CONCATENATE(dados[[#This Row],[fator1]],dados[[#This Row],[fator5]],dados[[#This Row],[fator6]])</f>
        <v>#REF!</v>
      </c>
    </row>
    <row r="3141" spans="1:23">
      <c r="A3141" t="s">
        <v>17</v>
      </c>
      <c r="B3141">
        <v>586211</v>
      </c>
      <c r="C3141">
        <v>45</v>
      </c>
      <c r="D3141">
        <v>30</v>
      </c>
      <c r="E3141">
        <v>126</v>
      </c>
      <c r="F3141">
        <v>9</v>
      </c>
      <c r="G3141">
        <v>23</v>
      </c>
      <c r="H3141">
        <v>22</v>
      </c>
      <c r="I3141">
        <v>418</v>
      </c>
      <c r="J3141">
        <v>0</v>
      </c>
      <c r="K3141">
        <v>3.105</v>
      </c>
      <c r="L3141">
        <v>6.45</v>
      </c>
      <c r="M3141">
        <v>74</v>
      </c>
      <c r="N3141">
        <v>16</v>
      </c>
      <c r="O3141">
        <v>1672</v>
      </c>
      <c r="P3141">
        <v>1066</v>
      </c>
      <c r="Q3141" s="5" t="e">
        <f>IF(AND(#REF!&gt;=table!$C$6,#REF!&lt;= table!$D$6),-1,IF(AND(#REF!&gt;=table!$E$6,#REF!&lt;=table!$F$6),1,0))</f>
        <v>#REF!</v>
      </c>
      <c r="R3141" s="5" t="e">
        <f>IF(AND(#REF!&gt;=table!$C$7,#REF!&lt;= table!$D$7),-1,IF(AND(#REF!&gt;=table!$E$7,#REF!&lt;=table!$F$7),1,0))</f>
        <v>#REF!</v>
      </c>
      <c r="S3141" s="5" t="e">
        <f>IF(AND(#REF!&gt;=table!$C$8,#REF!&lt;= table!$D$8),-1,IF(AND(#REF!&gt;=table!$E$8,#REF!&lt;=table!$F$8),1,0))</f>
        <v>#REF!</v>
      </c>
      <c r="T3141" s="5"/>
      <c r="U3141" s="5" t="e">
        <f>IF(AND(#REF!&gt;=table!$C$10,#REF!&lt;= table!$D$10),-1,IF(AND(#REF!&gt;=table!$E$10,#REF!&lt;=table!$F$10),1,0))</f>
        <v>#REF!</v>
      </c>
      <c r="V3141" s="5" t="e">
        <f>IF(AND(#REF!&gt;=table!$C$11,#REF!&lt;= table!$D$11),-1,IF(AND(#REF!&gt;=table!$E$11,#REF!&lt;=table!$F$11),1,0))</f>
        <v>#REF!</v>
      </c>
      <c r="W3141" s="5" t="e">
        <f>CONCATENATE(dados[[#This Row],[fator1]],dados[[#This Row],[fator5]],dados[[#This Row],[fator6]])</f>
        <v>#REF!</v>
      </c>
    </row>
    <row r="3142" spans="1:23">
      <c r="A3142" t="s">
        <v>17</v>
      </c>
      <c r="B3142">
        <v>586212</v>
      </c>
      <c r="C3142">
        <v>45</v>
      </c>
      <c r="D3142">
        <v>30</v>
      </c>
      <c r="E3142">
        <v>126</v>
      </c>
      <c r="F3142">
        <v>9</v>
      </c>
      <c r="G3142">
        <v>23</v>
      </c>
      <c r="H3142">
        <v>22</v>
      </c>
      <c r="I3142">
        <v>299</v>
      </c>
      <c r="J3142">
        <v>0</v>
      </c>
      <c r="K3142">
        <v>7.21</v>
      </c>
      <c r="L3142">
        <v>13.165000000000001</v>
      </c>
      <c r="M3142">
        <v>87.76</v>
      </c>
      <c r="N3142">
        <v>17.055</v>
      </c>
      <c r="O3142">
        <v>1689</v>
      </c>
      <c r="P3142">
        <v>618</v>
      </c>
      <c r="Q3142" s="5" t="e">
        <f>IF(AND(#REF!&gt;=table!$C$6,#REF!&lt;= table!$D$6),-1,IF(AND(#REF!&gt;=table!$E$6,#REF!&lt;=table!$F$6),1,0))</f>
        <v>#REF!</v>
      </c>
      <c r="R3142" s="5" t="e">
        <f>IF(AND(#REF!&gt;=table!$C$7,#REF!&lt;= table!$D$7),-1,IF(AND(#REF!&gt;=table!$E$7,#REF!&lt;=table!$F$7),1,0))</f>
        <v>#REF!</v>
      </c>
      <c r="S3142" s="5" t="e">
        <f>IF(AND(#REF!&gt;=table!$C$8,#REF!&lt;= table!$D$8),-1,IF(AND(#REF!&gt;=table!$E$8,#REF!&lt;=table!$F$8),1,0))</f>
        <v>#REF!</v>
      </c>
      <c r="T3142" s="5"/>
      <c r="U3142" s="5" t="e">
        <f>IF(AND(#REF!&gt;=table!$C$10,#REF!&lt;= table!$D$10),-1,IF(AND(#REF!&gt;=table!$E$10,#REF!&lt;=table!$F$10),1,0))</f>
        <v>#REF!</v>
      </c>
      <c r="V3142" s="5" t="e">
        <f>IF(AND(#REF!&gt;=table!$C$11,#REF!&lt;= table!$D$11),-1,IF(AND(#REF!&gt;=table!$E$11,#REF!&lt;=table!$F$11),1,0))</f>
        <v>#REF!</v>
      </c>
      <c r="W3142" s="5" t="e">
        <f>CONCATENATE(dados[[#This Row],[fator1]],dados[[#This Row],[fator5]],dados[[#This Row],[fator6]])</f>
        <v>#REF!</v>
      </c>
    </row>
    <row r="3143" spans="1:23">
      <c r="A3143" t="s">
        <v>16</v>
      </c>
      <c r="B3143">
        <v>586220</v>
      </c>
      <c r="C3143">
        <v>0.15</v>
      </c>
      <c r="D3143">
        <v>40</v>
      </c>
      <c r="E3143">
        <v>10</v>
      </c>
      <c r="F3143">
        <v>15</v>
      </c>
      <c r="G3143">
        <v>0</v>
      </c>
      <c r="H3143">
        <v>15</v>
      </c>
      <c r="I3143">
        <v>0</v>
      </c>
      <c r="J3143">
        <v>0</v>
      </c>
      <c r="K3143">
        <v>4.91</v>
      </c>
      <c r="L3143">
        <v>8.17</v>
      </c>
      <c r="M3143">
        <v>0</v>
      </c>
      <c r="N3143">
        <v>0</v>
      </c>
      <c r="O3143">
        <v>1679</v>
      </c>
      <c r="P3143">
        <v>0</v>
      </c>
      <c r="Q3143" s="5" t="e">
        <f>IF(AND(#REF!&gt;=table!$C$6,#REF!&lt;= table!$D$6),-1,IF(AND(#REF!&gt;=table!$E$6,#REF!&lt;=table!$F$6),1,0))</f>
        <v>#REF!</v>
      </c>
      <c r="R3143" s="5" t="e">
        <f>IF(AND(#REF!&gt;=table!$C$7,#REF!&lt;= table!$D$7),-1,IF(AND(#REF!&gt;=table!$E$7,#REF!&lt;=table!$F$7),1,0))</f>
        <v>#REF!</v>
      </c>
      <c r="S3143" s="5" t="e">
        <f>IF(AND(#REF!&gt;=table!$C$8,#REF!&lt;= table!$D$8),-1,IF(AND(#REF!&gt;=table!$E$8,#REF!&lt;=table!$F$8),1,0))</f>
        <v>#REF!</v>
      </c>
      <c r="T3143" s="5"/>
      <c r="U3143" s="5" t="e">
        <f>IF(AND(#REF!&gt;=table!$C$10,#REF!&lt;= table!$D$10),-1,IF(AND(#REF!&gt;=table!$E$10,#REF!&lt;=table!$F$10),1,0))</f>
        <v>#REF!</v>
      </c>
      <c r="V3143" s="5" t="e">
        <f>IF(AND(#REF!&gt;=table!$C$11,#REF!&lt;= table!$D$11),-1,IF(AND(#REF!&gt;=table!$E$11,#REF!&lt;=table!$F$11),1,0))</f>
        <v>#REF!</v>
      </c>
      <c r="W3143" s="5" t="e">
        <f>CONCATENATE(dados[[#This Row],[fator1]],dados[[#This Row],[fator5]],dados[[#This Row],[fator6]])</f>
        <v>#REF!</v>
      </c>
    </row>
    <row r="3144" spans="1:23">
      <c r="A3144" t="s">
        <v>16</v>
      </c>
      <c r="B3144">
        <v>586225</v>
      </c>
      <c r="C3144">
        <v>12</v>
      </c>
      <c r="D3144">
        <v>35</v>
      </c>
      <c r="E3144">
        <v>86</v>
      </c>
      <c r="F3144">
        <v>10</v>
      </c>
      <c r="G3144">
        <v>0</v>
      </c>
      <c r="H3144">
        <v>25</v>
      </c>
      <c r="I3144">
        <v>1361</v>
      </c>
      <c r="J3144">
        <v>0</v>
      </c>
      <c r="K3144">
        <v>6.04</v>
      </c>
      <c r="L3144">
        <v>16.649999999999999</v>
      </c>
      <c r="M3144">
        <v>78.600000000000009</v>
      </c>
      <c r="N3144">
        <v>16.484999999999999</v>
      </c>
      <c r="O3144">
        <v>1680</v>
      </c>
      <c r="P3144">
        <v>534</v>
      </c>
      <c r="Q3144" s="5" t="e">
        <f>IF(AND(#REF!&gt;=table!$C$6,#REF!&lt;= table!$D$6),-1,IF(AND(#REF!&gt;=table!$E$6,#REF!&lt;=table!$F$6),1,0))</f>
        <v>#REF!</v>
      </c>
      <c r="R3144" s="5" t="e">
        <f>IF(AND(#REF!&gt;=table!$C$7,#REF!&lt;= table!$D$7),-1,IF(AND(#REF!&gt;=table!$E$7,#REF!&lt;=table!$F$7),1,0))</f>
        <v>#REF!</v>
      </c>
      <c r="S3144" s="5" t="e">
        <f>IF(AND(#REF!&gt;=table!$C$8,#REF!&lt;= table!$D$8),-1,IF(AND(#REF!&gt;=table!$E$8,#REF!&lt;=table!$F$8),1,0))</f>
        <v>#REF!</v>
      </c>
      <c r="T3144" s="5"/>
      <c r="U3144" s="5" t="e">
        <f>IF(AND(#REF!&gt;=table!$C$10,#REF!&lt;= table!$D$10),-1,IF(AND(#REF!&gt;=table!$E$10,#REF!&lt;=table!$F$10),1,0))</f>
        <v>#REF!</v>
      </c>
      <c r="V3144" s="5" t="e">
        <f>IF(AND(#REF!&gt;=table!$C$11,#REF!&lt;= table!$D$11),-1,IF(AND(#REF!&gt;=table!$E$11,#REF!&lt;=table!$F$11),1,0))</f>
        <v>#REF!</v>
      </c>
      <c r="W3144" s="5" t="e">
        <f>CONCATENATE(dados[[#This Row],[fator1]],dados[[#This Row],[fator5]],dados[[#This Row],[fator6]])</f>
        <v>#REF!</v>
      </c>
    </row>
    <row r="3145" spans="1:23">
      <c r="A3145" t="s">
        <v>16</v>
      </c>
      <c r="B3145">
        <v>586227</v>
      </c>
      <c r="C3145">
        <v>12</v>
      </c>
      <c r="D3145">
        <v>35</v>
      </c>
      <c r="E3145">
        <v>86</v>
      </c>
      <c r="F3145">
        <v>10</v>
      </c>
      <c r="G3145">
        <v>0</v>
      </c>
      <c r="H3145">
        <v>25</v>
      </c>
      <c r="I3145">
        <v>1580</v>
      </c>
      <c r="J3145">
        <v>0</v>
      </c>
      <c r="K3145">
        <v>5.72</v>
      </c>
      <c r="L3145">
        <v>6.8500000000000005</v>
      </c>
      <c r="M3145">
        <v>62.300000000000004</v>
      </c>
      <c r="N3145">
        <v>5.95</v>
      </c>
      <c r="O3145">
        <v>1688</v>
      </c>
      <c r="P3145">
        <v>0</v>
      </c>
      <c r="Q3145" s="5" t="e">
        <f>IF(AND(#REF!&gt;=table!$C$6,#REF!&lt;= table!$D$6),-1,IF(AND(#REF!&gt;=table!$E$6,#REF!&lt;=table!$F$6),1,0))</f>
        <v>#REF!</v>
      </c>
      <c r="R3145" s="5" t="e">
        <f>IF(AND(#REF!&gt;=table!$C$7,#REF!&lt;= table!$D$7),-1,IF(AND(#REF!&gt;=table!$E$7,#REF!&lt;=table!$F$7),1,0))</f>
        <v>#REF!</v>
      </c>
      <c r="S3145" s="5" t="e">
        <f>IF(AND(#REF!&gt;=table!$C$8,#REF!&lt;= table!$D$8),-1,IF(AND(#REF!&gt;=table!$E$8,#REF!&lt;=table!$F$8),1,0))</f>
        <v>#REF!</v>
      </c>
      <c r="T3145" s="5"/>
      <c r="U3145" s="5" t="e">
        <f>IF(AND(#REF!&gt;=table!$C$10,#REF!&lt;= table!$D$10),-1,IF(AND(#REF!&gt;=table!$E$10,#REF!&lt;=table!$F$10),1,0))</f>
        <v>#REF!</v>
      </c>
      <c r="V3145" s="5" t="e">
        <f>IF(AND(#REF!&gt;=table!$C$11,#REF!&lt;= table!$D$11),-1,IF(AND(#REF!&gt;=table!$E$11,#REF!&lt;=table!$F$11),1,0))</f>
        <v>#REF!</v>
      </c>
      <c r="W3145" s="5" t="e">
        <f>CONCATENATE(dados[[#This Row],[fator1]],dados[[#This Row],[fator5]],dados[[#This Row],[fator6]])</f>
        <v>#REF!</v>
      </c>
    </row>
    <row r="3146" spans="1:23">
      <c r="A3146" t="s">
        <v>16</v>
      </c>
      <c r="B3146">
        <v>586228</v>
      </c>
      <c r="C3146">
        <v>6</v>
      </c>
      <c r="D3146">
        <v>25</v>
      </c>
      <c r="E3146">
        <v>120</v>
      </c>
      <c r="F3146">
        <v>4</v>
      </c>
      <c r="G3146">
        <v>0</v>
      </c>
      <c r="H3146">
        <v>55</v>
      </c>
      <c r="I3146">
        <v>1664</v>
      </c>
      <c r="J3146">
        <v>1720</v>
      </c>
      <c r="K3146">
        <v>10.705</v>
      </c>
      <c r="L3146">
        <v>13.9</v>
      </c>
      <c r="M3146">
        <v>101.455</v>
      </c>
      <c r="N3146">
        <v>49.705000000000005</v>
      </c>
      <c r="O3146">
        <v>1667</v>
      </c>
      <c r="P3146">
        <v>0</v>
      </c>
      <c r="Q3146" s="5" t="e">
        <f>IF(AND(#REF!&gt;=table!$C$6,#REF!&lt;= table!$D$6),-1,IF(AND(#REF!&gt;=table!$E$6,#REF!&lt;=table!$F$6),1,0))</f>
        <v>#REF!</v>
      </c>
      <c r="R3146" s="5" t="e">
        <f>IF(AND(#REF!&gt;=table!$C$7,#REF!&lt;= table!$D$7),-1,IF(AND(#REF!&gt;=table!$E$7,#REF!&lt;=table!$F$7),1,0))</f>
        <v>#REF!</v>
      </c>
      <c r="S3146" s="5" t="e">
        <f>IF(AND(#REF!&gt;=table!$C$8,#REF!&lt;= table!$D$8),-1,IF(AND(#REF!&gt;=table!$E$8,#REF!&lt;=table!$F$8),1,0))</f>
        <v>#REF!</v>
      </c>
      <c r="T3146" s="5"/>
      <c r="U3146" s="5" t="e">
        <f>IF(AND(#REF!&gt;=table!$C$10,#REF!&lt;= table!$D$10),-1,IF(AND(#REF!&gt;=table!$E$10,#REF!&lt;=table!$F$10),1,0))</f>
        <v>#REF!</v>
      </c>
      <c r="V3146" s="5" t="e">
        <f>IF(AND(#REF!&gt;=table!$C$11,#REF!&lt;= table!$D$11),-1,IF(AND(#REF!&gt;=table!$E$11,#REF!&lt;=table!$F$11),1,0))</f>
        <v>#REF!</v>
      </c>
      <c r="W3146" s="5" t="e">
        <f>CONCATENATE(dados[[#This Row],[fator1]],dados[[#This Row],[fator5]],dados[[#This Row],[fator6]])</f>
        <v>#REF!</v>
      </c>
    </row>
    <row r="3147" spans="1:23">
      <c r="A3147" t="s">
        <v>16</v>
      </c>
      <c r="B3147">
        <v>586230</v>
      </c>
      <c r="C3147">
        <v>6</v>
      </c>
      <c r="D3147">
        <v>25</v>
      </c>
      <c r="E3147">
        <v>120</v>
      </c>
      <c r="F3147">
        <v>4</v>
      </c>
      <c r="G3147">
        <v>0</v>
      </c>
      <c r="H3147">
        <v>55</v>
      </c>
      <c r="I3147">
        <v>155</v>
      </c>
      <c r="J3147">
        <v>0</v>
      </c>
      <c r="K3147">
        <v>2.0255000000000001</v>
      </c>
      <c r="L3147">
        <v>6.23</v>
      </c>
      <c r="M3147">
        <v>92.64500000000001</v>
      </c>
      <c r="N3147">
        <v>44.585000000000001</v>
      </c>
      <c r="O3147">
        <v>1682</v>
      </c>
      <c r="P3147">
        <v>0</v>
      </c>
      <c r="Q3147" s="5" t="e">
        <f>IF(AND(#REF!&gt;=table!$C$6,#REF!&lt;= table!$D$6),-1,IF(AND(#REF!&gt;=table!$E$6,#REF!&lt;=table!$F$6),1,0))</f>
        <v>#REF!</v>
      </c>
      <c r="R3147" s="5" t="e">
        <f>IF(AND(#REF!&gt;=table!$C$7,#REF!&lt;= table!$D$7),-1,IF(AND(#REF!&gt;=table!$E$7,#REF!&lt;=table!$F$7),1,0))</f>
        <v>#REF!</v>
      </c>
      <c r="S3147" s="5" t="e">
        <f>IF(AND(#REF!&gt;=table!$C$8,#REF!&lt;= table!$D$8),-1,IF(AND(#REF!&gt;=table!$E$8,#REF!&lt;=table!$F$8),1,0))</f>
        <v>#REF!</v>
      </c>
      <c r="T3147" s="5"/>
      <c r="U3147" s="5" t="e">
        <f>IF(AND(#REF!&gt;=table!$C$10,#REF!&lt;= table!$D$10),-1,IF(AND(#REF!&gt;=table!$E$10,#REF!&lt;=table!$F$10),1,0))</f>
        <v>#REF!</v>
      </c>
      <c r="V3147" s="5" t="e">
        <f>IF(AND(#REF!&gt;=table!$C$11,#REF!&lt;= table!$D$11),-1,IF(AND(#REF!&gt;=table!$E$11,#REF!&lt;=table!$F$11),1,0))</f>
        <v>#REF!</v>
      </c>
      <c r="W3147" s="5" t="e">
        <f>CONCATENATE(dados[[#This Row],[fator1]],dados[[#This Row],[fator5]],dados[[#This Row],[fator6]])</f>
        <v>#REF!</v>
      </c>
    </row>
    <row r="3148" spans="1:23">
      <c r="A3148" t="s">
        <v>16</v>
      </c>
      <c r="B3148">
        <v>586231</v>
      </c>
      <c r="C3148">
        <v>6</v>
      </c>
      <c r="D3148">
        <v>25</v>
      </c>
      <c r="E3148">
        <v>120</v>
      </c>
      <c r="F3148">
        <v>4</v>
      </c>
      <c r="G3148">
        <v>0</v>
      </c>
      <c r="H3148">
        <v>55</v>
      </c>
      <c r="I3148">
        <v>520</v>
      </c>
      <c r="J3148">
        <v>0</v>
      </c>
      <c r="K3148">
        <v>2.4770000000000003</v>
      </c>
      <c r="L3148">
        <v>5.75</v>
      </c>
      <c r="M3148">
        <v>97.615000000000009</v>
      </c>
      <c r="N3148">
        <v>32.954999999999998</v>
      </c>
      <c r="O3148">
        <v>1687</v>
      </c>
      <c r="P3148">
        <v>1435</v>
      </c>
      <c r="Q3148" s="5" t="e">
        <f>IF(AND(#REF!&gt;=table!$C$6,#REF!&lt;= table!$D$6),-1,IF(AND(#REF!&gt;=table!$E$6,#REF!&lt;=table!$F$6),1,0))</f>
        <v>#REF!</v>
      </c>
      <c r="R3148" s="5" t="e">
        <f>IF(AND(#REF!&gt;=table!$C$7,#REF!&lt;= table!$D$7),-1,IF(AND(#REF!&gt;=table!$E$7,#REF!&lt;=table!$F$7),1,0))</f>
        <v>#REF!</v>
      </c>
      <c r="S3148" s="5" t="e">
        <f>IF(AND(#REF!&gt;=table!$C$8,#REF!&lt;= table!$D$8),-1,IF(AND(#REF!&gt;=table!$E$8,#REF!&lt;=table!$F$8),1,0))</f>
        <v>#REF!</v>
      </c>
      <c r="T3148" s="5"/>
      <c r="U3148" s="5" t="e">
        <f>IF(AND(#REF!&gt;=table!$C$10,#REF!&lt;= table!$D$10),-1,IF(AND(#REF!&gt;=table!$E$10,#REF!&lt;=table!$F$10),1,0))</f>
        <v>#REF!</v>
      </c>
      <c r="V3148" s="5" t="e">
        <f>IF(AND(#REF!&gt;=table!$C$11,#REF!&lt;= table!$D$11),-1,IF(AND(#REF!&gt;=table!$E$11,#REF!&lt;=table!$F$11),1,0))</f>
        <v>#REF!</v>
      </c>
      <c r="W3148" s="5" t="e">
        <f>CONCATENATE(dados[[#This Row],[fator1]],dados[[#This Row],[fator5]],dados[[#This Row],[fator6]])</f>
        <v>#REF!</v>
      </c>
    </row>
    <row r="3149" spans="1:23">
      <c r="A3149" t="s">
        <v>16</v>
      </c>
      <c r="B3149">
        <v>586232</v>
      </c>
      <c r="C3149">
        <v>6</v>
      </c>
      <c r="D3149">
        <v>25</v>
      </c>
      <c r="E3149">
        <v>120</v>
      </c>
      <c r="F3149">
        <v>4</v>
      </c>
      <c r="G3149">
        <v>0</v>
      </c>
      <c r="H3149">
        <v>55</v>
      </c>
      <c r="I3149">
        <v>2529</v>
      </c>
      <c r="J3149">
        <v>710</v>
      </c>
      <c r="K3149">
        <v>2.3985000000000003</v>
      </c>
      <c r="L3149">
        <v>7.6000000000000005</v>
      </c>
      <c r="M3149">
        <v>84.99</v>
      </c>
      <c r="N3149">
        <v>44.085000000000001</v>
      </c>
      <c r="O3149">
        <v>1663</v>
      </c>
      <c r="P3149">
        <v>1117</v>
      </c>
      <c r="Q3149" s="5" t="e">
        <f>IF(AND(#REF!&gt;=table!$C$6,#REF!&lt;= table!$D$6),-1,IF(AND(#REF!&gt;=table!$E$6,#REF!&lt;=table!$F$6),1,0))</f>
        <v>#REF!</v>
      </c>
      <c r="R3149" s="5" t="e">
        <f>IF(AND(#REF!&gt;=table!$C$7,#REF!&lt;= table!$D$7),-1,IF(AND(#REF!&gt;=table!$E$7,#REF!&lt;=table!$F$7),1,0))</f>
        <v>#REF!</v>
      </c>
      <c r="S3149" s="5" t="e">
        <f>IF(AND(#REF!&gt;=table!$C$8,#REF!&lt;= table!$D$8),-1,IF(AND(#REF!&gt;=table!$E$8,#REF!&lt;=table!$F$8),1,0))</f>
        <v>#REF!</v>
      </c>
      <c r="T3149" s="5"/>
      <c r="U3149" s="5" t="e">
        <f>IF(AND(#REF!&gt;=table!$C$10,#REF!&lt;= table!$D$10),-1,IF(AND(#REF!&gt;=table!$E$10,#REF!&lt;=table!$F$10),1,0))</f>
        <v>#REF!</v>
      </c>
      <c r="V3149" s="5" t="e">
        <f>IF(AND(#REF!&gt;=table!$C$11,#REF!&lt;= table!$D$11),-1,IF(AND(#REF!&gt;=table!$E$11,#REF!&lt;=table!$F$11),1,0))</f>
        <v>#REF!</v>
      </c>
      <c r="W3149" s="5" t="e">
        <f>CONCATENATE(dados[[#This Row],[fator1]],dados[[#This Row],[fator5]],dados[[#This Row],[fator6]])</f>
        <v>#REF!</v>
      </c>
    </row>
    <row r="3150" spans="1:23">
      <c r="A3150" t="s">
        <v>16</v>
      </c>
      <c r="B3150">
        <v>586235</v>
      </c>
      <c r="C3150">
        <v>0.15</v>
      </c>
      <c r="D3150">
        <v>35</v>
      </c>
      <c r="E3150">
        <v>15</v>
      </c>
      <c r="F3150">
        <v>10</v>
      </c>
      <c r="G3150">
        <v>0</v>
      </c>
      <c r="H3150">
        <v>12</v>
      </c>
      <c r="I3150">
        <v>34</v>
      </c>
      <c r="J3150">
        <v>0</v>
      </c>
      <c r="K3150">
        <v>2.5825</v>
      </c>
      <c r="L3150">
        <v>9.61</v>
      </c>
      <c r="M3150">
        <v>7.1000000000000005</v>
      </c>
      <c r="N3150">
        <v>12.675000000000001</v>
      </c>
      <c r="O3150">
        <v>1697</v>
      </c>
      <c r="P3150">
        <v>0</v>
      </c>
      <c r="Q3150" s="5" t="e">
        <f>IF(AND(#REF!&gt;=table!$C$6,#REF!&lt;= table!$D$6),-1,IF(AND(#REF!&gt;=table!$E$6,#REF!&lt;=table!$F$6),1,0))</f>
        <v>#REF!</v>
      </c>
      <c r="R3150" s="5" t="e">
        <f>IF(AND(#REF!&gt;=table!$C$7,#REF!&lt;= table!$D$7),-1,IF(AND(#REF!&gt;=table!$E$7,#REF!&lt;=table!$F$7),1,0))</f>
        <v>#REF!</v>
      </c>
      <c r="S3150" s="5" t="e">
        <f>IF(AND(#REF!&gt;=table!$C$8,#REF!&lt;= table!$D$8),-1,IF(AND(#REF!&gt;=table!$E$8,#REF!&lt;=table!$F$8),1,0))</f>
        <v>#REF!</v>
      </c>
      <c r="T3150" s="5"/>
      <c r="U3150" s="5" t="e">
        <f>IF(AND(#REF!&gt;=table!$C$10,#REF!&lt;= table!$D$10),-1,IF(AND(#REF!&gt;=table!$E$10,#REF!&lt;=table!$F$10),1,0))</f>
        <v>#REF!</v>
      </c>
      <c r="V3150" s="5" t="e">
        <f>IF(AND(#REF!&gt;=table!$C$11,#REF!&lt;= table!$D$11),-1,IF(AND(#REF!&gt;=table!$E$11,#REF!&lt;=table!$F$11),1,0))</f>
        <v>#REF!</v>
      </c>
      <c r="W3150" s="5" t="e">
        <f>CONCATENATE(dados[[#This Row],[fator1]],dados[[#This Row],[fator5]],dados[[#This Row],[fator6]])</f>
        <v>#REF!</v>
      </c>
    </row>
    <row r="3151" spans="1:23">
      <c r="A3151" t="s">
        <v>16</v>
      </c>
      <c r="B3151">
        <v>586240</v>
      </c>
      <c r="C3151">
        <v>9</v>
      </c>
      <c r="D3151">
        <v>30</v>
      </c>
      <c r="E3151">
        <v>146</v>
      </c>
      <c r="F3151">
        <v>4</v>
      </c>
      <c r="G3151">
        <v>0</v>
      </c>
      <c r="H3151">
        <v>25</v>
      </c>
      <c r="I3151">
        <v>753</v>
      </c>
      <c r="J3151">
        <v>0</v>
      </c>
      <c r="K3151">
        <v>3.16</v>
      </c>
      <c r="L3151">
        <v>9.9500000000000011</v>
      </c>
      <c r="M3151">
        <v>130.75</v>
      </c>
      <c r="N3151">
        <v>14.85</v>
      </c>
      <c r="O3151">
        <v>1686</v>
      </c>
      <c r="P3151">
        <v>783</v>
      </c>
      <c r="Q3151" s="5" t="e">
        <f>IF(AND(#REF!&gt;=table!$C$6,#REF!&lt;= table!$D$6),-1,IF(AND(#REF!&gt;=table!$E$6,#REF!&lt;=table!$F$6),1,0))</f>
        <v>#REF!</v>
      </c>
      <c r="R3151" s="5" t="e">
        <f>IF(AND(#REF!&gt;=table!$C$7,#REF!&lt;= table!$D$7),-1,IF(AND(#REF!&gt;=table!$E$7,#REF!&lt;=table!$F$7),1,0))</f>
        <v>#REF!</v>
      </c>
      <c r="S3151" s="5" t="e">
        <f>IF(AND(#REF!&gt;=table!$C$8,#REF!&lt;= table!$D$8),-1,IF(AND(#REF!&gt;=table!$E$8,#REF!&lt;=table!$F$8),1,0))</f>
        <v>#REF!</v>
      </c>
      <c r="T3151" s="5"/>
      <c r="U3151" s="5" t="e">
        <f>IF(AND(#REF!&gt;=table!$C$10,#REF!&lt;= table!$D$10),-1,IF(AND(#REF!&gt;=table!$E$10,#REF!&lt;=table!$F$10),1,0))</f>
        <v>#REF!</v>
      </c>
      <c r="V3151" s="5" t="e">
        <f>IF(AND(#REF!&gt;=table!$C$11,#REF!&lt;= table!$D$11),-1,IF(AND(#REF!&gt;=table!$E$11,#REF!&lt;=table!$F$11),1,0))</f>
        <v>#REF!</v>
      </c>
      <c r="W3151" s="5" t="e">
        <f>CONCATENATE(dados[[#This Row],[fator1]],dados[[#This Row],[fator5]],dados[[#This Row],[fator6]])</f>
        <v>#REF!</v>
      </c>
    </row>
    <row r="3152" spans="1:23">
      <c r="A3152" t="s">
        <v>16</v>
      </c>
      <c r="B3152">
        <v>586242</v>
      </c>
      <c r="C3152">
        <v>10</v>
      </c>
      <c r="D3152">
        <v>38</v>
      </c>
      <c r="E3152">
        <v>150</v>
      </c>
      <c r="F3152">
        <v>4</v>
      </c>
      <c r="G3152">
        <v>0</v>
      </c>
      <c r="H3152">
        <v>25</v>
      </c>
      <c r="I3152">
        <v>996</v>
      </c>
      <c r="J3152">
        <v>0</v>
      </c>
      <c r="K3152">
        <v>3.0150000000000001</v>
      </c>
      <c r="L3152">
        <v>11.6</v>
      </c>
      <c r="M3152">
        <v>74.350000000000009</v>
      </c>
      <c r="N3152">
        <v>14</v>
      </c>
      <c r="O3152">
        <v>1682</v>
      </c>
      <c r="P3152">
        <v>732</v>
      </c>
      <c r="Q3152" s="5" t="e">
        <f>IF(AND(#REF!&gt;=table!$C$6,#REF!&lt;= table!$D$6),-1,IF(AND(#REF!&gt;=table!$E$6,#REF!&lt;=table!$F$6),1,0))</f>
        <v>#REF!</v>
      </c>
      <c r="R3152" s="5" t="e">
        <f>IF(AND(#REF!&gt;=table!$C$7,#REF!&lt;= table!$D$7),-1,IF(AND(#REF!&gt;=table!$E$7,#REF!&lt;=table!$F$7),1,0))</f>
        <v>#REF!</v>
      </c>
      <c r="S3152" s="5" t="e">
        <f>IF(AND(#REF!&gt;=table!$C$8,#REF!&lt;= table!$D$8),-1,IF(AND(#REF!&gt;=table!$E$8,#REF!&lt;=table!$F$8),1,0))</f>
        <v>#REF!</v>
      </c>
      <c r="T3152" s="5"/>
      <c r="U3152" s="5" t="e">
        <f>IF(AND(#REF!&gt;=table!$C$10,#REF!&lt;= table!$D$10),-1,IF(AND(#REF!&gt;=table!$E$10,#REF!&lt;=table!$F$10),1,0))</f>
        <v>#REF!</v>
      </c>
      <c r="V3152" s="5" t="e">
        <f>IF(AND(#REF!&gt;=table!$C$11,#REF!&lt;= table!$D$11),-1,IF(AND(#REF!&gt;=table!$E$11,#REF!&lt;=table!$F$11),1,0))</f>
        <v>#REF!</v>
      </c>
      <c r="W3152" s="5" t="e">
        <f>CONCATENATE(dados[[#This Row],[fator1]],dados[[#This Row],[fator5]],dados[[#This Row],[fator6]])</f>
        <v>#REF!</v>
      </c>
    </row>
    <row r="3153" spans="1:23">
      <c r="A3153" t="s">
        <v>17</v>
      </c>
      <c r="B3153">
        <v>586244</v>
      </c>
      <c r="C3153">
        <v>14</v>
      </c>
      <c r="D3153">
        <v>30</v>
      </c>
      <c r="E3153">
        <v>86</v>
      </c>
      <c r="F3153">
        <v>9</v>
      </c>
      <c r="G3153">
        <v>20</v>
      </c>
      <c r="H3153">
        <v>25</v>
      </c>
      <c r="I3153">
        <v>811</v>
      </c>
      <c r="J3153">
        <v>0</v>
      </c>
      <c r="K3153">
        <v>2.61</v>
      </c>
      <c r="L3153">
        <v>5.05</v>
      </c>
      <c r="M3153">
        <v>74.25</v>
      </c>
      <c r="N3153">
        <v>9.2000000000000011</v>
      </c>
      <c r="O3153">
        <v>1646</v>
      </c>
      <c r="P3153">
        <v>0</v>
      </c>
      <c r="Q3153" s="5" t="e">
        <f>IF(AND(#REF!&gt;=table!$C$6,#REF!&lt;= table!$D$6),-1,IF(AND(#REF!&gt;=table!$E$6,#REF!&lt;=table!$F$6),1,0))</f>
        <v>#REF!</v>
      </c>
      <c r="R3153" s="5" t="e">
        <f>IF(AND(#REF!&gt;=table!$C$7,#REF!&lt;= table!$D$7),-1,IF(AND(#REF!&gt;=table!$E$7,#REF!&lt;=table!$F$7),1,0))</f>
        <v>#REF!</v>
      </c>
      <c r="S3153" s="5" t="e">
        <f>IF(AND(#REF!&gt;=table!$C$8,#REF!&lt;= table!$D$8),-1,IF(AND(#REF!&gt;=table!$E$8,#REF!&lt;=table!$F$8),1,0))</f>
        <v>#REF!</v>
      </c>
      <c r="T3153" s="5"/>
      <c r="U3153" s="5" t="e">
        <f>IF(AND(#REF!&gt;=table!$C$10,#REF!&lt;= table!$D$10),-1,IF(AND(#REF!&gt;=table!$E$10,#REF!&lt;=table!$F$10),1,0))</f>
        <v>#REF!</v>
      </c>
      <c r="V3153" s="5" t="e">
        <f>IF(AND(#REF!&gt;=table!$C$11,#REF!&lt;= table!$D$11),-1,IF(AND(#REF!&gt;=table!$E$11,#REF!&lt;=table!$F$11),1,0))</f>
        <v>#REF!</v>
      </c>
      <c r="W3153" s="5" t="e">
        <f>CONCATENATE(dados[[#This Row],[fator1]],dados[[#This Row],[fator5]],dados[[#This Row],[fator6]])</f>
        <v>#REF!</v>
      </c>
    </row>
    <row r="3154" spans="1:23">
      <c r="A3154" t="s">
        <v>17</v>
      </c>
      <c r="B3154">
        <v>586245</v>
      </c>
      <c r="C3154">
        <v>14</v>
      </c>
      <c r="D3154">
        <v>30</v>
      </c>
      <c r="E3154">
        <v>86</v>
      </c>
      <c r="F3154">
        <v>9</v>
      </c>
      <c r="G3154">
        <v>20</v>
      </c>
      <c r="H3154">
        <v>25</v>
      </c>
      <c r="I3154">
        <v>0</v>
      </c>
      <c r="J3154">
        <v>580</v>
      </c>
      <c r="K3154">
        <v>3.9250000000000003</v>
      </c>
      <c r="L3154">
        <v>7.3500000000000005</v>
      </c>
      <c r="M3154">
        <v>76.3</v>
      </c>
      <c r="N3154">
        <v>14.65</v>
      </c>
      <c r="O3154">
        <v>1649</v>
      </c>
      <c r="P3154">
        <v>839</v>
      </c>
      <c r="Q3154" s="5" t="e">
        <f>IF(AND(#REF!&gt;=table!$C$6,#REF!&lt;= table!$D$6),-1,IF(AND(#REF!&gt;=table!$E$6,#REF!&lt;=table!$F$6),1,0))</f>
        <v>#REF!</v>
      </c>
      <c r="R3154" s="5" t="e">
        <f>IF(AND(#REF!&gt;=table!$C$7,#REF!&lt;= table!$D$7),-1,IF(AND(#REF!&gt;=table!$E$7,#REF!&lt;=table!$F$7),1,0))</f>
        <v>#REF!</v>
      </c>
      <c r="S3154" s="5" t="e">
        <f>IF(AND(#REF!&gt;=table!$C$8,#REF!&lt;= table!$D$8),-1,IF(AND(#REF!&gt;=table!$E$8,#REF!&lt;=table!$F$8),1,0))</f>
        <v>#REF!</v>
      </c>
      <c r="T3154" s="5"/>
      <c r="U3154" s="5" t="e">
        <f>IF(AND(#REF!&gt;=table!$C$10,#REF!&lt;= table!$D$10),-1,IF(AND(#REF!&gt;=table!$E$10,#REF!&lt;=table!$F$10),1,0))</f>
        <v>#REF!</v>
      </c>
      <c r="V3154" s="5" t="e">
        <f>IF(AND(#REF!&gt;=table!$C$11,#REF!&lt;= table!$D$11),-1,IF(AND(#REF!&gt;=table!$E$11,#REF!&lt;=table!$F$11),1,0))</f>
        <v>#REF!</v>
      </c>
      <c r="W3154" s="5" t="e">
        <f>CONCATENATE(dados[[#This Row],[fator1]],dados[[#This Row],[fator5]],dados[[#This Row],[fator6]])</f>
        <v>#REF!</v>
      </c>
    </row>
    <row r="3155" spans="1:23">
      <c r="A3155" t="s">
        <v>16</v>
      </c>
      <c r="B3155">
        <v>586251</v>
      </c>
      <c r="C3155">
        <v>0.15</v>
      </c>
      <c r="D3155">
        <v>35</v>
      </c>
      <c r="E3155">
        <v>15</v>
      </c>
      <c r="F3155">
        <v>10</v>
      </c>
      <c r="G3155">
        <v>0</v>
      </c>
      <c r="H3155">
        <v>12</v>
      </c>
      <c r="I3155">
        <v>55</v>
      </c>
      <c r="J3155">
        <v>1390</v>
      </c>
      <c r="K3155">
        <v>4.4350000000000005</v>
      </c>
      <c r="L3155">
        <v>9.9749999999999996</v>
      </c>
      <c r="M3155">
        <v>5.335</v>
      </c>
      <c r="N3155">
        <v>9.16</v>
      </c>
      <c r="O3155">
        <v>1681</v>
      </c>
      <c r="P3155">
        <v>0</v>
      </c>
      <c r="Q3155" s="5" t="e">
        <f>IF(AND(#REF!&gt;=table!$C$6,#REF!&lt;= table!$D$6),-1,IF(AND(#REF!&gt;=table!$E$6,#REF!&lt;=table!$F$6),1,0))</f>
        <v>#REF!</v>
      </c>
      <c r="R3155" s="5" t="e">
        <f>IF(AND(#REF!&gt;=table!$C$7,#REF!&lt;= table!$D$7),-1,IF(AND(#REF!&gt;=table!$E$7,#REF!&lt;=table!$F$7),1,0))</f>
        <v>#REF!</v>
      </c>
      <c r="S3155" s="5" t="e">
        <f>IF(AND(#REF!&gt;=table!$C$8,#REF!&lt;= table!$D$8),-1,IF(AND(#REF!&gt;=table!$E$8,#REF!&lt;=table!$F$8),1,0))</f>
        <v>#REF!</v>
      </c>
      <c r="T3155" s="5"/>
      <c r="U3155" s="5" t="e">
        <f>IF(AND(#REF!&gt;=table!$C$10,#REF!&lt;= table!$D$10),-1,IF(AND(#REF!&gt;=table!$E$10,#REF!&lt;=table!$F$10),1,0))</f>
        <v>#REF!</v>
      </c>
      <c r="V3155" s="5" t="e">
        <f>IF(AND(#REF!&gt;=table!$C$11,#REF!&lt;= table!$D$11),-1,IF(AND(#REF!&gt;=table!$E$11,#REF!&lt;=table!$F$11),1,0))</f>
        <v>#REF!</v>
      </c>
      <c r="W3155" s="5" t="e">
        <f>CONCATENATE(dados[[#This Row],[fator1]],dados[[#This Row],[fator5]],dados[[#This Row],[fator6]])</f>
        <v>#REF!</v>
      </c>
    </row>
    <row r="3156" spans="1:23">
      <c r="A3156" t="s">
        <v>16</v>
      </c>
      <c r="B3156">
        <v>586252</v>
      </c>
      <c r="C3156">
        <v>0.15</v>
      </c>
      <c r="D3156">
        <v>35</v>
      </c>
      <c r="E3156">
        <v>15</v>
      </c>
      <c r="F3156">
        <v>10</v>
      </c>
      <c r="G3156">
        <v>0</v>
      </c>
      <c r="H3156">
        <v>12</v>
      </c>
      <c r="I3156">
        <v>0</v>
      </c>
      <c r="J3156">
        <v>0</v>
      </c>
      <c r="K3156">
        <v>2.7685</v>
      </c>
      <c r="L3156">
        <v>5.8</v>
      </c>
      <c r="M3156">
        <v>5.2949999999999999</v>
      </c>
      <c r="N3156">
        <v>6.9650000000000007</v>
      </c>
      <c r="O3156">
        <v>1676</v>
      </c>
      <c r="P3156">
        <v>1029</v>
      </c>
      <c r="Q3156" s="5" t="e">
        <f>IF(AND(#REF!&gt;=table!$C$6,#REF!&lt;= table!$D$6),-1,IF(AND(#REF!&gt;=table!$E$6,#REF!&lt;=table!$F$6),1,0))</f>
        <v>#REF!</v>
      </c>
      <c r="R3156" s="5" t="e">
        <f>IF(AND(#REF!&gt;=table!$C$7,#REF!&lt;= table!$D$7),-1,IF(AND(#REF!&gt;=table!$E$7,#REF!&lt;=table!$F$7),1,0))</f>
        <v>#REF!</v>
      </c>
      <c r="S3156" s="5" t="e">
        <f>IF(AND(#REF!&gt;=table!$C$8,#REF!&lt;= table!$D$8),-1,IF(AND(#REF!&gt;=table!$E$8,#REF!&lt;=table!$F$8),1,0))</f>
        <v>#REF!</v>
      </c>
      <c r="T3156" s="5"/>
      <c r="U3156" s="5" t="e">
        <f>IF(AND(#REF!&gt;=table!$C$10,#REF!&lt;= table!$D$10),-1,IF(AND(#REF!&gt;=table!$E$10,#REF!&lt;=table!$F$10),1,0))</f>
        <v>#REF!</v>
      </c>
      <c r="V3156" s="5" t="e">
        <f>IF(AND(#REF!&gt;=table!$C$11,#REF!&lt;= table!$D$11),-1,IF(AND(#REF!&gt;=table!$E$11,#REF!&lt;=table!$F$11),1,0))</f>
        <v>#REF!</v>
      </c>
      <c r="W3156" s="5" t="e">
        <f>CONCATENATE(dados[[#This Row],[fator1]],dados[[#This Row],[fator5]],dados[[#This Row],[fator6]])</f>
        <v>#REF!</v>
      </c>
    </row>
    <row r="3157" spans="1:23">
      <c r="A3157" t="s">
        <v>16</v>
      </c>
      <c r="B3157">
        <v>586254</v>
      </c>
      <c r="C3157">
        <v>0.15</v>
      </c>
      <c r="D3157">
        <v>35</v>
      </c>
      <c r="E3157">
        <v>15</v>
      </c>
      <c r="F3157">
        <v>10</v>
      </c>
      <c r="G3157">
        <v>0</v>
      </c>
      <c r="H3157">
        <v>12</v>
      </c>
      <c r="I3157">
        <v>1363</v>
      </c>
      <c r="J3157">
        <v>0</v>
      </c>
      <c r="K3157">
        <v>9.0549999999999997</v>
      </c>
      <c r="L3157">
        <v>11.700000000000001</v>
      </c>
      <c r="M3157">
        <v>28.25</v>
      </c>
      <c r="N3157">
        <v>11.35</v>
      </c>
      <c r="O3157">
        <v>1673</v>
      </c>
      <c r="P3157">
        <v>652</v>
      </c>
      <c r="Q3157" s="5" t="e">
        <f>IF(AND(#REF!&gt;=table!$C$6,#REF!&lt;= table!$D$6),-1,IF(AND(#REF!&gt;=table!$E$6,#REF!&lt;=table!$F$6),1,0))</f>
        <v>#REF!</v>
      </c>
      <c r="R3157" s="5" t="e">
        <f>IF(AND(#REF!&gt;=table!$C$7,#REF!&lt;= table!$D$7),-1,IF(AND(#REF!&gt;=table!$E$7,#REF!&lt;=table!$F$7),1,0))</f>
        <v>#REF!</v>
      </c>
      <c r="S3157" s="5" t="e">
        <f>IF(AND(#REF!&gt;=table!$C$8,#REF!&lt;= table!$D$8),-1,IF(AND(#REF!&gt;=table!$E$8,#REF!&lt;=table!$F$8),1,0))</f>
        <v>#REF!</v>
      </c>
      <c r="T3157" s="5"/>
      <c r="U3157" s="5" t="e">
        <f>IF(AND(#REF!&gt;=table!$C$10,#REF!&lt;= table!$D$10),-1,IF(AND(#REF!&gt;=table!$E$10,#REF!&lt;=table!$F$10),1,0))</f>
        <v>#REF!</v>
      </c>
      <c r="V3157" s="5" t="e">
        <f>IF(AND(#REF!&gt;=table!$C$11,#REF!&lt;= table!$D$11),-1,IF(AND(#REF!&gt;=table!$E$11,#REF!&lt;=table!$F$11),1,0))</f>
        <v>#REF!</v>
      </c>
      <c r="W3157" s="5" t="e">
        <f>CONCATENATE(dados[[#This Row],[fator1]],dados[[#This Row],[fator5]],dados[[#This Row],[fator6]])</f>
        <v>#REF!</v>
      </c>
    </row>
    <row r="3158" spans="1:23">
      <c r="A3158" t="s">
        <v>16</v>
      </c>
      <c r="B3158">
        <v>586255</v>
      </c>
      <c r="C3158">
        <v>16</v>
      </c>
      <c r="D3158">
        <v>30</v>
      </c>
      <c r="E3158">
        <v>36</v>
      </c>
      <c r="F3158">
        <v>3</v>
      </c>
      <c r="G3158">
        <v>0</v>
      </c>
      <c r="H3158">
        <v>25</v>
      </c>
      <c r="I3158">
        <v>625</v>
      </c>
      <c r="J3158">
        <v>0</v>
      </c>
      <c r="K3158">
        <v>2.7749999999999999</v>
      </c>
      <c r="L3158">
        <v>8.7000000000000011</v>
      </c>
      <c r="M3158">
        <v>29.900000000000002</v>
      </c>
      <c r="N3158">
        <v>8.85</v>
      </c>
      <c r="O3158">
        <v>1684</v>
      </c>
      <c r="P3158">
        <v>808</v>
      </c>
      <c r="Q3158" s="5" t="e">
        <f>IF(AND(#REF!&gt;=table!$C$6,#REF!&lt;= table!$D$6),-1,IF(AND(#REF!&gt;=table!$E$6,#REF!&lt;=table!$F$6),1,0))</f>
        <v>#REF!</v>
      </c>
      <c r="R3158" s="5" t="e">
        <f>IF(AND(#REF!&gt;=table!$C$7,#REF!&lt;= table!$D$7),-1,IF(AND(#REF!&gt;=table!$E$7,#REF!&lt;=table!$F$7),1,0))</f>
        <v>#REF!</v>
      </c>
      <c r="S3158" s="5" t="e">
        <f>IF(AND(#REF!&gt;=table!$C$8,#REF!&lt;= table!$D$8),-1,IF(AND(#REF!&gt;=table!$E$8,#REF!&lt;=table!$F$8),1,0))</f>
        <v>#REF!</v>
      </c>
      <c r="T3158" s="5"/>
      <c r="U3158" s="5" t="e">
        <f>IF(AND(#REF!&gt;=table!$C$10,#REF!&lt;= table!$D$10),-1,IF(AND(#REF!&gt;=table!$E$10,#REF!&lt;=table!$F$10),1,0))</f>
        <v>#REF!</v>
      </c>
      <c r="V3158" s="5" t="e">
        <f>IF(AND(#REF!&gt;=table!$C$11,#REF!&lt;= table!$D$11),-1,IF(AND(#REF!&gt;=table!$E$11,#REF!&lt;=table!$F$11),1,0))</f>
        <v>#REF!</v>
      </c>
      <c r="W3158" s="5" t="e">
        <f>CONCATENATE(dados[[#This Row],[fator1]],dados[[#This Row],[fator5]],dados[[#This Row],[fator6]])</f>
        <v>#REF!</v>
      </c>
    </row>
    <row r="3159" spans="1:23">
      <c r="A3159" t="s">
        <v>16</v>
      </c>
      <c r="B3159">
        <v>586257</v>
      </c>
      <c r="C3159">
        <v>16</v>
      </c>
      <c r="D3159">
        <v>30</v>
      </c>
      <c r="E3159">
        <v>36</v>
      </c>
      <c r="F3159">
        <v>3</v>
      </c>
      <c r="G3159">
        <v>0</v>
      </c>
      <c r="H3159">
        <v>25</v>
      </c>
      <c r="I3159">
        <v>1308</v>
      </c>
      <c r="J3159">
        <v>0</v>
      </c>
      <c r="K3159">
        <v>2.1</v>
      </c>
      <c r="L3159">
        <v>7</v>
      </c>
      <c r="M3159">
        <v>29.6</v>
      </c>
      <c r="N3159">
        <v>16</v>
      </c>
      <c r="O3159">
        <v>1718</v>
      </c>
      <c r="P3159">
        <v>1281</v>
      </c>
      <c r="Q3159" s="5" t="e">
        <f>IF(AND(#REF!&gt;=table!$C$6,#REF!&lt;= table!$D$6),-1,IF(AND(#REF!&gt;=table!$E$6,#REF!&lt;=table!$F$6),1,0))</f>
        <v>#REF!</v>
      </c>
      <c r="R3159" s="5" t="e">
        <f>IF(AND(#REF!&gt;=table!$C$7,#REF!&lt;= table!$D$7),-1,IF(AND(#REF!&gt;=table!$E$7,#REF!&lt;=table!$F$7),1,0))</f>
        <v>#REF!</v>
      </c>
      <c r="S3159" s="5" t="e">
        <f>IF(AND(#REF!&gt;=table!$C$8,#REF!&lt;= table!$D$8),-1,IF(AND(#REF!&gt;=table!$E$8,#REF!&lt;=table!$F$8),1,0))</f>
        <v>#REF!</v>
      </c>
      <c r="T3159" s="5"/>
      <c r="U3159" s="5" t="e">
        <f>IF(AND(#REF!&gt;=table!$C$10,#REF!&lt;= table!$D$10),-1,IF(AND(#REF!&gt;=table!$E$10,#REF!&lt;=table!$F$10),1,0))</f>
        <v>#REF!</v>
      </c>
      <c r="V3159" s="5" t="e">
        <f>IF(AND(#REF!&gt;=table!$C$11,#REF!&lt;= table!$D$11),-1,IF(AND(#REF!&gt;=table!$E$11,#REF!&lt;=table!$F$11),1,0))</f>
        <v>#REF!</v>
      </c>
      <c r="W3159" s="5" t="e">
        <f>CONCATENATE(dados[[#This Row],[fator1]],dados[[#This Row],[fator5]],dados[[#This Row],[fator6]])</f>
        <v>#REF!</v>
      </c>
    </row>
    <row r="3160" spans="1:23">
      <c r="A3160" t="s">
        <v>16</v>
      </c>
      <c r="B3160">
        <v>586263</v>
      </c>
      <c r="C3160">
        <v>0.2</v>
      </c>
      <c r="D3160">
        <v>65</v>
      </c>
      <c r="E3160">
        <v>26</v>
      </c>
      <c r="F3160">
        <v>15</v>
      </c>
      <c r="G3160">
        <v>0</v>
      </c>
      <c r="H3160">
        <v>30</v>
      </c>
      <c r="I3160">
        <v>1407</v>
      </c>
      <c r="J3160">
        <v>0</v>
      </c>
      <c r="K3160">
        <v>1.92</v>
      </c>
      <c r="L3160">
        <v>8.9500000000000011</v>
      </c>
      <c r="M3160">
        <v>7.125</v>
      </c>
      <c r="N3160">
        <v>19.920000000000002</v>
      </c>
      <c r="O3160">
        <v>1680</v>
      </c>
      <c r="P3160">
        <v>0</v>
      </c>
      <c r="Q3160" s="5" t="e">
        <f>IF(AND(#REF!&gt;=table!$C$6,#REF!&lt;= table!$D$6),-1,IF(AND(#REF!&gt;=table!$E$6,#REF!&lt;=table!$F$6),1,0))</f>
        <v>#REF!</v>
      </c>
      <c r="R3160" s="5" t="e">
        <f>IF(AND(#REF!&gt;=table!$C$7,#REF!&lt;= table!$D$7),-1,IF(AND(#REF!&gt;=table!$E$7,#REF!&lt;=table!$F$7),1,0))</f>
        <v>#REF!</v>
      </c>
      <c r="S3160" s="5" t="e">
        <f>IF(AND(#REF!&gt;=table!$C$8,#REF!&lt;= table!$D$8),-1,IF(AND(#REF!&gt;=table!$E$8,#REF!&lt;=table!$F$8),1,0))</f>
        <v>#REF!</v>
      </c>
      <c r="T3160" s="5"/>
      <c r="U3160" s="5" t="e">
        <f>IF(AND(#REF!&gt;=table!$C$10,#REF!&lt;= table!$D$10),-1,IF(AND(#REF!&gt;=table!$E$10,#REF!&lt;=table!$F$10),1,0))</f>
        <v>#REF!</v>
      </c>
      <c r="V3160" s="5" t="e">
        <f>IF(AND(#REF!&gt;=table!$C$11,#REF!&lt;= table!$D$11),-1,IF(AND(#REF!&gt;=table!$E$11,#REF!&lt;=table!$F$11),1,0))</f>
        <v>#REF!</v>
      </c>
      <c r="W3160" s="5" t="e">
        <f>CONCATENATE(dados[[#This Row],[fator1]],dados[[#This Row],[fator5]],dados[[#This Row],[fator6]])</f>
        <v>#REF!</v>
      </c>
    </row>
    <row r="3161" spans="1:23">
      <c r="A3161" t="s">
        <v>16</v>
      </c>
      <c r="B3161">
        <v>586264</v>
      </c>
      <c r="C3161">
        <v>0.15</v>
      </c>
      <c r="D3161">
        <v>40</v>
      </c>
      <c r="E3161">
        <v>10</v>
      </c>
      <c r="F3161">
        <v>15</v>
      </c>
      <c r="G3161">
        <v>0</v>
      </c>
      <c r="H3161">
        <v>15</v>
      </c>
      <c r="I3161">
        <v>343</v>
      </c>
      <c r="J3161">
        <v>0</v>
      </c>
      <c r="K3161">
        <v>4.53</v>
      </c>
      <c r="L3161">
        <v>6.4550000000000001</v>
      </c>
      <c r="M3161">
        <v>6.0600000000000005</v>
      </c>
      <c r="N3161">
        <v>8.16</v>
      </c>
      <c r="O3161">
        <v>1641</v>
      </c>
      <c r="P3161">
        <v>758</v>
      </c>
      <c r="Q3161" s="5" t="e">
        <f>IF(AND(#REF!&gt;=table!$C$6,#REF!&lt;= table!$D$6),-1,IF(AND(#REF!&gt;=table!$E$6,#REF!&lt;=table!$F$6),1,0))</f>
        <v>#REF!</v>
      </c>
      <c r="R3161" s="5" t="e">
        <f>IF(AND(#REF!&gt;=table!$C$7,#REF!&lt;= table!$D$7),-1,IF(AND(#REF!&gt;=table!$E$7,#REF!&lt;=table!$F$7),1,0))</f>
        <v>#REF!</v>
      </c>
      <c r="S3161" s="5" t="e">
        <f>IF(AND(#REF!&gt;=table!$C$8,#REF!&lt;= table!$D$8),-1,IF(AND(#REF!&gt;=table!$E$8,#REF!&lt;=table!$F$8),1,0))</f>
        <v>#REF!</v>
      </c>
      <c r="T3161" s="5"/>
      <c r="U3161" s="5" t="e">
        <f>IF(AND(#REF!&gt;=table!$C$10,#REF!&lt;= table!$D$10),-1,IF(AND(#REF!&gt;=table!$E$10,#REF!&lt;=table!$F$10),1,0))</f>
        <v>#REF!</v>
      </c>
      <c r="V3161" s="5" t="e">
        <f>IF(AND(#REF!&gt;=table!$C$11,#REF!&lt;= table!$D$11),-1,IF(AND(#REF!&gt;=table!$E$11,#REF!&lt;=table!$F$11),1,0))</f>
        <v>#REF!</v>
      </c>
      <c r="W3161" s="5" t="e">
        <f>CONCATENATE(dados[[#This Row],[fator1]],dados[[#This Row],[fator5]],dados[[#This Row],[fator6]])</f>
        <v>#REF!</v>
      </c>
    </row>
    <row r="3162" spans="1:23">
      <c r="A3162" t="s">
        <v>16</v>
      </c>
      <c r="B3162">
        <v>586265</v>
      </c>
      <c r="C3162">
        <v>0.15</v>
      </c>
      <c r="D3162">
        <v>40</v>
      </c>
      <c r="E3162">
        <v>10</v>
      </c>
      <c r="F3162">
        <v>15</v>
      </c>
      <c r="G3162">
        <v>0</v>
      </c>
      <c r="H3162">
        <v>15</v>
      </c>
      <c r="I3162">
        <v>2427</v>
      </c>
      <c r="J3162">
        <v>970</v>
      </c>
      <c r="K3162">
        <v>5.1749999999999998</v>
      </c>
      <c r="L3162">
        <v>10.705</v>
      </c>
      <c r="M3162">
        <v>8.6</v>
      </c>
      <c r="N3162">
        <v>12.55</v>
      </c>
      <c r="O3162">
        <v>1640</v>
      </c>
      <c r="P3162">
        <v>621</v>
      </c>
      <c r="Q3162" s="5" t="e">
        <f>IF(AND(#REF!&gt;=table!$C$6,#REF!&lt;= table!$D$6),-1,IF(AND(#REF!&gt;=table!$E$6,#REF!&lt;=table!$F$6),1,0))</f>
        <v>#REF!</v>
      </c>
      <c r="R3162" s="5" t="e">
        <f>IF(AND(#REF!&gt;=table!$C$7,#REF!&lt;= table!$D$7),-1,IF(AND(#REF!&gt;=table!$E$7,#REF!&lt;=table!$F$7),1,0))</f>
        <v>#REF!</v>
      </c>
      <c r="S3162" s="5" t="e">
        <f>IF(AND(#REF!&gt;=table!$C$8,#REF!&lt;= table!$D$8),-1,IF(AND(#REF!&gt;=table!$E$8,#REF!&lt;=table!$F$8),1,0))</f>
        <v>#REF!</v>
      </c>
      <c r="T3162" s="5"/>
      <c r="U3162" s="5" t="e">
        <f>IF(AND(#REF!&gt;=table!$C$10,#REF!&lt;= table!$D$10),-1,IF(AND(#REF!&gt;=table!$E$10,#REF!&lt;=table!$F$10),1,0))</f>
        <v>#REF!</v>
      </c>
      <c r="V3162" s="5" t="e">
        <f>IF(AND(#REF!&gt;=table!$C$11,#REF!&lt;= table!$D$11),-1,IF(AND(#REF!&gt;=table!$E$11,#REF!&lt;=table!$F$11),1,0))</f>
        <v>#REF!</v>
      </c>
      <c r="W3162" s="5" t="e">
        <f>CONCATENATE(dados[[#This Row],[fator1]],dados[[#This Row],[fator5]],dados[[#This Row],[fator6]])</f>
        <v>#REF!</v>
      </c>
    </row>
    <row r="3163" spans="1:23">
      <c r="A3163" t="s">
        <v>16</v>
      </c>
      <c r="B3163">
        <v>586269</v>
      </c>
      <c r="C3163">
        <v>4</v>
      </c>
      <c r="D3163">
        <v>40</v>
      </c>
      <c r="E3163">
        <v>21</v>
      </c>
      <c r="F3163">
        <v>20</v>
      </c>
      <c r="G3163">
        <v>0</v>
      </c>
      <c r="H3163">
        <v>25</v>
      </c>
      <c r="I3163">
        <v>1243</v>
      </c>
      <c r="J3163">
        <v>0</v>
      </c>
      <c r="K3163">
        <v>3.8850000000000002</v>
      </c>
      <c r="L3163">
        <v>7.45</v>
      </c>
      <c r="M3163">
        <v>30.415000000000003</v>
      </c>
      <c r="N3163">
        <v>11.05</v>
      </c>
      <c r="O3163">
        <v>1688</v>
      </c>
      <c r="P3163">
        <v>865</v>
      </c>
      <c r="Q3163" s="5" t="e">
        <f>IF(AND(#REF!&gt;=table!$C$6,#REF!&lt;= table!$D$6),-1,IF(AND(#REF!&gt;=table!$E$6,#REF!&lt;=table!$F$6),1,0))</f>
        <v>#REF!</v>
      </c>
      <c r="R3163" s="5" t="e">
        <f>IF(AND(#REF!&gt;=table!$C$7,#REF!&lt;= table!$D$7),-1,IF(AND(#REF!&gt;=table!$E$7,#REF!&lt;=table!$F$7),1,0))</f>
        <v>#REF!</v>
      </c>
      <c r="S3163" s="5" t="e">
        <f>IF(AND(#REF!&gt;=table!$C$8,#REF!&lt;= table!$D$8),-1,IF(AND(#REF!&gt;=table!$E$8,#REF!&lt;=table!$F$8),1,0))</f>
        <v>#REF!</v>
      </c>
      <c r="T3163" s="5"/>
      <c r="U3163" s="5" t="e">
        <f>IF(AND(#REF!&gt;=table!$C$10,#REF!&lt;= table!$D$10),-1,IF(AND(#REF!&gt;=table!$E$10,#REF!&lt;=table!$F$10),1,0))</f>
        <v>#REF!</v>
      </c>
      <c r="V3163" s="5" t="e">
        <f>IF(AND(#REF!&gt;=table!$C$11,#REF!&lt;= table!$D$11),-1,IF(AND(#REF!&gt;=table!$E$11,#REF!&lt;=table!$F$11),1,0))</f>
        <v>#REF!</v>
      </c>
      <c r="W3163" s="5" t="e">
        <f>CONCATENATE(dados[[#This Row],[fator1]],dados[[#This Row],[fator5]],dados[[#This Row],[fator6]])</f>
        <v>#REF!</v>
      </c>
    </row>
    <row r="3164" spans="1:23">
      <c r="A3164" t="s">
        <v>17</v>
      </c>
      <c r="B3164">
        <v>586282</v>
      </c>
      <c r="C3164">
        <v>7</v>
      </c>
      <c r="D3164">
        <v>30</v>
      </c>
      <c r="E3164">
        <v>175</v>
      </c>
      <c r="F3164">
        <v>3</v>
      </c>
      <c r="G3164">
        <v>25</v>
      </c>
      <c r="H3164">
        <v>18</v>
      </c>
      <c r="I3164">
        <v>106</v>
      </c>
      <c r="J3164">
        <v>0</v>
      </c>
      <c r="K3164">
        <v>3.645</v>
      </c>
      <c r="L3164">
        <v>4.4000000000000004</v>
      </c>
      <c r="M3164">
        <v>113.7</v>
      </c>
      <c r="N3164">
        <v>6</v>
      </c>
      <c r="O3164">
        <v>1680</v>
      </c>
      <c r="P3164">
        <v>0</v>
      </c>
      <c r="Q3164" s="5" t="e">
        <f>IF(AND(#REF!&gt;=table!$C$6,#REF!&lt;= table!$D$6),-1,IF(AND(#REF!&gt;=table!$E$6,#REF!&lt;=table!$F$6),1,0))</f>
        <v>#REF!</v>
      </c>
      <c r="R3164" s="5" t="e">
        <f>IF(AND(#REF!&gt;=table!$C$7,#REF!&lt;= table!$D$7),-1,IF(AND(#REF!&gt;=table!$E$7,#REF!&lt;=table!$F$7),1,0))</f>
        <v>#REF!</v>
      </c>
      <c r="S3164" s="5" t="e">
        <f>IF(AND(#REF!&gt;=table!$C$8,#REF!&lt;= table!$D$8),-1,IF(AND(#REF!&gt;=table!$E$8,#REF!&lt;=table!$F$8),1,0))</f>
        <v>#REF!</v>
      </c>
      <c r="T3164" s="5"/>
      <c r="U3164" s="5" t="e">
        <f>IF(AND(#REF!&gt;=table!$C$10,#REF!&lt;= table!$D$10),-1,IF(AND(#REF!&gt;=table!$E$10,#REF!&lt;=table!$F$10),1,0))</f>
        <v>#REF!</v>
      </c>
      <c r="V3164" s="5" t="e">
        <f>IF(AND(#REF!&gt;=table!$C$11,#REF!&lt;= table!$D$11),-1,IF(AND(#REF!&gt;=table!$E$11,#REF!&lt;=table!$F$11),1,0))</f>
        <v>#REF!</v>
      </c>
      <c r="W3164" s="5" t="e">
        <f>CONCATENATE(dados[[#This Row],[fator1]],dados[[#This Row],[fator5]],dados[[#This Row],[fator6]])</f>
        <v>#REF!</v>
      </c>
    </row>
    <row r="3165" spans="1:23">
      <c r="A3165" t="s">
        <v>17</v>
      </c>
      <c r="B3165">
        <v>586283</v>
      </c>
      <c r="C3165">
        <v>7</v>
      </c>
      <c r="D3165">
        <v>30</v>
      </c>
      <c r="E3165">
        <v>175</v>
      </c>
      <c r="F3165">
        <v>3</v>
      </c>
      <c r="G3165">
        <v>25</v>
      </c>
      <c r="H3165">
        <v>18</v>
      </c>
      <c r="I3165">
        <v>0</v>
      </c>
      <c r="J3165">
        <v>0</v>
      </c>
      <c r="K3165">
        <v>4.1399999999999997</v>
      </c>
      <c r="L3165">
        <v>6.4950000000000001</v>
      </c>
      <c r="M3165">
        <v>152.32500000000002</v>
      </c>
      <c r="N3165">
        <v>11.11</v>
      </c>
      <c r="O3165">
        <v>1683</v>
      </c>
      <c r="P3165">
        <v>0</v>
      </c>
      <c r="Q3165" s="5" t="e">
        <f>IF(AND(#REF!&gt;=table!$C$6,#REF!&lt;= table!$D$6),-1,IF(AND(#REF!&gt;=table!$E$6,#REF!&lt;=table!$F$6),1,0))</f>
        <v>#REF!</v>
      </c>
      <c r="R3165" s="5" t="e">
        <f>IF(AND(#REF!&gt;=table!$C$7,#REF!&lt;= table!$D$7),-1,IF(AND(#REF!&gt;=table!$E$7,#REF!&lt;=table!$F$7),1,0))</f>
        <v>#REF!</v>
      </c>
      <c r="S3165" s="5" t="e">
        <f>IF(AND(#REF!&gt;=table!$C$8,#REF!&lt;= table!$D$8),-1,IF(AND(#REF!&gt;=table!$E$8,#REF!&lt;=table!$F$8),1,0))</f>
        <v>#REF!</v>
      </c>
      <c r="T3165" s="5"/>
      <c r="U3165" s="5" t="e">
        <f>IF(AND(#REF!&gt;=table!$C$10,#REF!&lt;= table!$D$10),-1,IF(AND(#REF!&gt;=table!$E$10,#REF!&lt;=table!$F$10),1,0))</f>
        <v>#REF!</v>
      </c>
      <c r="V3165" s="5" t="e">
        <f>IF(AND(#REF!&gt;=table!$C$11,#REF!&lt;= table!$D$11),-1,IF(AND(#REF!&gt;=table!$E$11,#REF!&lt;=table!$F$11),1,0))</f>
        <v>#REF!</v>
      </c>
      <c r="W3165" s="5" t="e">
        <f>CONCATENATE(dados[[#This Row],[fator1]],dados[[#This Row],[fator5]],dados[[#This Row],[fator6]])</f>
        <v>#REF!</v>
      </c>
    </row>
    <row r="3166" spans="1:23">
      <c r="A3166" t="s">
        <v>17</v>
      </c>
      <c r="B3166">
        <v>586285</v>
      </c>
      <c r="C3166">
        <v>7</v>
      </c>
      <c r="D3166">
        <v>30</v>
      </c>
      <c r="E3166">
        <v>175</v>
      </c>
      <c r="F3166">
        <v>3</v>
      </c>
      <c r="G3166">
        <v>25</v>
      </c>
      <c r="H3166">
        <v>18</v>
      </c>
      <c r="I3166">
        <v>702</v>
      </c>
      <c r="J3166">
        <v>0</v>
      </c>
      <c r="K3166">
        <v>3.98</v>
      </c>
      <c r="L3166">
        <v>4.1349999999999998</v>
      </c>
      <c r="M3166">
        <v>123.7</v>
      </c>
      <c r="N3166">
        <v>6.4</v>
      </c>
      <c r="O3166">
        <v>1678</v>
      </c>
      <c r="P3166">
        <v>0</v>
      </c>
      <c r="Q3166" s="5" t="e">
        <f>IF(AND(#REF!&gt;=table!$C$6,#REF!&lt;= table!$D$6),-1,IF(AND(#REF!&gt;=table!$E$6,#REF!&lt;=table!$F$6),1,0))</f>
        <v>#REF!</v>
      </c>
      <c r="R3166" s="5" t="e">
        <f>IF(AND(#REF!&gt;=table!$C$7,#REF!&lt;= table!$D$7),-1,IF(AND(#REF!&gt;=table!$E$7,#REF!&lt;=table!$F$7),1,0))</f>
        <v>#REF!</v>
      </c>
      <c r="S3166" s="5" t="e">
        <f>IF(AND(#REF!&gt;=table!$C$8,#REF!&lt;= table!$D$8),-1,IF(AND(#REF!&gt;=table!$E$8,#REF!&lt;=table!$F$8),1,0))</f>
        <v>#REF!</v>
      </c>
      <c r="T3166" s="5"/>
      <c r="U3166" s="5" t="e">
        <f>IF(AND(#REF!&gt;=table!$C$10,#REF!&lt;= table!$D$10),-1,IF(AND(#REF!&gt;=table!$E$10,#REF!&lt;=table!$F$10),1,0))</f>
        <v>#REF!</v>
      </c>
      <c r="V3166" s="5" t="e">
        <f>IF(AND(#REF!&gt;=table!$C$11,#REF!&lt;= table!$D$11),-1,IF(AND(#REF!&gt;=table!$E$11,#REF!&lt;=table!$F$11),1,0))</f>
        <v>#REF!</v>
      </c>
      <c r="W3166" s="5" t="e">
        <f>CONCATENATE(dados[[#This Row],[fator1]],dados[[#This Row],[fator5]],dados[[#This Row],[fator6]])</f>
        <v>#REF!</v>
      </c>
    </row>
    <row r="3167" spans="1:23">
      <c r="A3167" t="s">
        <v>17</v>
      </c>
      <c r="B3167">
        <v>586288</v>
      </c>
      <c r="C3167">
        <v>7</v>
      </c>
      <c r="D3167">
        <v>30</v>
      </c>
      <c r="E3167">
        <v>175</v>
      </c>
      <c r="F3167">
        <v>3</v>
      </c>
      <c r="G3167">
        <v>25</v>
      </c>
      <c r="H3167">
        <v>18</v>
      </c>
      <c r="I3167">
        <v>1245</v>
      </c>
      <c r="J3167">
        <v>0</v>
      </c>
      <c r="K3167">
        <v>2.72</v>
      </c>
      <c r="L3167">
        <v>4.2650000000000006</v>
      </c>
      <c r="M3167">
        <v>146.38</v>
      </c>
      <c r="N3167">
        <v>12.705</v>
      </c>
      <c r="O3167">
        <v>1678</v>
      </c>
      <c r="P3167">
        <v>1126</v>
      </c>
      <c r="Q3167" s="5" t="e">
        <f>IF(AND(#REF!&gt;=table!$C$6,#REF!&lt;= table!$D$6),-1,IF(AND(#REF!&gt;=table!$E$6,#REF!&lt;=table!$F$6),1,0))</f>
        <v>#REF!</v>
      </c>
      <c r="R3167" s="5" t="e">
        <f>IF(AND(#REF!&gt;=table!$C$7,#REF!&lt;= table!$D$7),-1,IF(AND(#REF!&gt;=table!$E$7,#REF!&lt;=table!$F$7),1,0))</f>
        <v>#REF!</v>
      </c>
      <c r="S3167" s="5" t="e">
        <f>IF(AND(#REF!&gt;=table!$C$8,#REF!&lt;= table!$D$8),-1,IF(AND(#REF!&gt;=table!$E$8,#REF!&lt;=table!$F$8),1,0))</f>
        <v>#REF!</v>
      </c>
      <c r="T3167" s="5"/>
      <c r="U3167" s="5" t="e">
        <f>IF(AND(#REF!&gt;=table!$C$10,#REF!&lt;= table!$D$10),-1,IF(AND(#REF!&gt;=table!$E$10,#REF!&lt;=table!$F$10),1,0))</f>
        <v>#REF!</v>
      </c>
      <c r="V3167" s="5" t="e">
        <f>IF(AND(#REF!&gt;=table!$C$11,#REF!&lt;= table!$D$11),-1,IF(AND(#REF!&gt;=table!$E$11,#REF!&lt;=table!$F$11),1,0))</f>
        <v>#REF!</v>
      </c>
      <c r="W3167" s="5" t="e">
        <f>CONCATENATE(dados[[#This Row],[fator1]],dados[[#This Row],[fator5]],dados[[#This Row],[fator6]])</f>
        <v>#REF!</v>
      </c>
    </row>
    <row r="3168" spans="1:23">
      <c r="A3168" t="s">
        <v>17</v>
      </c>
      <c r="B3168">
        <v>586290</v>
      </c>
      <c r="C3168">
        <v>7</v>
      </c>
      <c r="D3168">
        <v>30</v>
      </c>
      <c r="E3168">
        <v>175</v>
      </c>
      <c r="F3168">
        <v>3</v>
      </c>
      <c r="G3168">
        <v>25</v>
      </c>
      <c r="H3168">
        <v>18</v>
      </c>
      <c r="I3168">
        <v>716</v>
      </c>
      <c r="J3168">
        <v>0</v>
      </c>
      <c r="K3168">
        <v>3.9350000000000001</v>
      </c>
      <c r="L3168">
        <v>3.58</v>
      </c>
      <c r="M3168">
        <v>162.83000000000001</v>
      </c>
      <c r="N3168">
        <v>11.16</v>
      </c>
      <c r="O3168">
        <v>1687</v>
      </c>
      <c r="P3168">
        <v>1381</v>
      </c>
      <c r="Q3168" s="5" t="e">
        <f>IF(AND(#REF!&gt;=table!$C$6,#REF!&lt;= table!$D$6),-1,IF(AND(#REF!&gt;=table!$E$6,#REF!&lt;=table!$F$6),1,0))</f>
        <v>#REF!</v>
      </c>
      <c r="R3168" s="5" t="e">
        <f>IF(AND(#REF!&gt;=table!$C$7,#REF!&lt;= table!$D$7),-1,IF(AND(#REF!&gt;=table!$E$7,#REF!&lt;=table!$F$7),1,0))</f>
        <v>#REF!</v>
      </c>
      <c r="S3168" s="5" t="e">
        <f>IF(AND(#REF!&gt;=table!$C$8,#REF!&lt;= table!$D$8),-1,IF(AND(#REF!&gt;=table!$E$8,#REF!&lt;=table!$F$8),1,0))</f>
        <v>#REF!</v>
      </c>
      <c r="T3168" s="5"/>
      <c r="U3168" s="5" t="e">
        <f>IF(AND(#REF!&gt;=table!$C$10,#REF!&lt;= table!$D$10),-1,IF(AND(#REF!&gt;=table!$E$10,#REF!&lt;=table!$F$10),1,0))</f>
        <v>#REF!</v>
      </c>
      <c r="V3168" s="5" t="e">
        <f>IF(AND(#REF!&gt;=table!$C$11,#REF!&lt;= table!$D$11),-1,IF(AND(#REF!&gt;=table!$E$11,#REF!&lt;=table!$F$11),1,0))</f>
        <v>#REF!</v>
      </c>
      <c r="W3168" s="5" t="e">
        <f>CONCATENATE(dados[[#This Row],[fator1]],dados[[#This Row],[fator5]],dados[[#This Row],[fator6]])</f>
        <v>#REF!</v>
      </c>
    </row>
    <row r="3169" spans="1:23">
      <c r="A3169" t="s">
        <v>16</v>
      </c>
      <c r="B3169">
        <v>586291</v>
      </c>
      <c r="C3169">
        <v>11</v>
      </c>
      <c r="D3169">
        <v>40</v>
      </c>
      <c r="E3169">
        <v>151</v>
      </c>
      <c r="F3169">
        <v>8</v>
      </c>
      <c r="G3169">
        <v>0</v>
      </c>
      <c r="H3169">
        <v>25</v>
      </c>
      <c r="I3169">
        <v>440</v>
      </c>
      <c r="J3169">
        <v>0</v>
      </c>
      <c r="K3169">
        <v>2.3199999999999998</v>
      </c>
      <c r="L3169">
        <v>4.2</v>
      </c>
      <c r="M3169">
        <v>100.105</v>
      </c>
      <c r="N3169">
        <v>15.075000000000001</v>
      </c>
      <c r="O3169">
        <v>1707</v>
      </c>
      <c r="P3169">
        <v>1555</v>
      </c>
      <c r="Q3169" s="5" t="e">
        <f>IF(AND(#REF!&gt;=table!$C$6,#REF!&lt;= table!$D$6),-1,IF(AND(#REF!&gt;=table!$E$6,#REF!&lt;=table!$F$6),1,0))</f>
        <v>#REF!</v>
      </c>
      <c r="R3169" s="5" t="e">
        <f>IF(AND(#REF!&gt;=table!$C$7,#REF!&lt;= table!$D$7),-1,IF(AND(#REF!&gt;=table!$E$7,#REF!&lt;=table!$F$7),1,0))</f>
        <v>#REF!</v>
      </c>
      <c r="S3169" s="5" t="e">
        <f>IF(AND(#REF!&gt;=table!$C$8,#REF!&lt;= table!$D$8),-1,IF(AND(#REF!&gt;=table!$E$8,#REF!&lt;=table!$F$8),1,0))</f>
        <v>#REF!</v>
      </c>
      <c r="T3169" s="5"/>
      <c r="U3169" s="5" t="e">
        <f>IF(AND(#REF!&gt;=table!$C$10,#REF!&lt;= table!$D$10),-1,IF(AND(#REF!&gt;=table!$E$10,#REF!&lt;=table!$F$10),1,0))</f>
        <v>#REF!</v>
      </c>
      <c r="V3169" s="5" t="e">
        <f>IF(AND(#REF!&gt;=table!$C$11,#REF!&lt;= table!$D$11),-1,IF(AND(#REF!&gt;=table!$E$11,#REF!&lt;=table!$F$11),1,0))</f>
        <v>#REF!</v>
      </c>
      <c r="W3169" s="5" t="e">
        <f>CONCATENATE(dados[[#This Row],[fator1]],dados[[#This Row],[fator5]],dados[[#This Row],[fator6]])</f>
        <v>#REF!</v>
      </c>
    </row>
    <row r="3170" spans="1:23">
      <c r="A3170" t="s">
        <v>16</v>
      </c>
      <c r="B3170">
        <v>586293</v>
      </c>
      <c r="C3170">
        <v>11</v>
      </c>
      <c r="D3170">
        <v>40</v>
      </c>
      <c r="E3170">
        <v>151</v>
      </c>
      <c r="F3170">
        <v>8</v>
      </c>
      <c r="G3170">
        <v>0</v>
      </c>
      <c r="H3170">
        <v>25</v>
      </c>
      <c r="I3170">
        <v>132</v>
      </c>
      <c r="J3170">
        <v>0</v>
      </c>
      <c r="K3170">
        <v>7.59</v>
      </c>
      <c r="L3170">
        <v>10.870000000000001</v>
      </c>
      <c r="M3170">
        <v>115.45</v>
      </c>
      <c r="N3170">
        <v>12.94</v>
      </c>
      <c r="O3170">
        <v>1673</v>
      </c>
      <c r="P3170">
        <v>442</v>
      </c>
      <c r="Q3170" s="5" t="e">
        <f>IF(AND(#REF!&gt;=table!$C$6,#REF!&lt;= table!$D$6),-1,IF(AND(#REF!&gt;=table!$E$6,#REF!&lt;=table!$F$6),1,0))</f>
        <v>#REF!</v>
      </c>
      <c r="R3170" s="5" t="e">
        <f>IF(AND(#REF!&gt;=table!$C$7,#REF!&lt;= table!$D$7),-1,IF(AND(#REF!&gt;=table!$E$7,#REF!&lt;=table!$F$7),1,0))</f>
        <v>#REF!</v>
      </c>
      <c r="S3170" s="5" t="e">
        <f>IF(AND(#REF!&gt;=table!$C$8,#REF!&lt;= table!$D$8),-1,IF(AND(#REF!&gt;=table!$E$8,#REF!&lt;=table!$F$8),1,0))</f>
        <v>#REF!</v>
      </c>
      <c r="T3170" s="5"/>
      <c r="U3170" s="5" t="e">
        <f>IF(AND(#REF!&gt;=table!$C$10,#REF!&lt;= table!$D$10),-1,IF(AND(#REF!&gt;=table!$E$10,#REF!&lt;=table!$F$10),1,0))</f>
        <v>#REF!</v>
      </c>
      <c r="V3170" s="5" t="e">
        <f>IF(AND(#REF!&gt;=table!$C$11,#REF!&lt;= table!$D$11),-1,IF(AND(#REF!&gt;=table!$E$11,#REF!&lt;=table!$F$11),1,0))</f>
        <v>#REF!</v>
      </c>
      <c r="W3170" s="5" t="e">
        <f>CONCATENATE(dados[[#This Row],[fator1]],dados[[#This Row],[fator5]],dados[[#This Row],[fator6]])</f>
        <v>#REF!</v>
      </c>
    </row>
    <row r="3171" spans="1:23">
      <c r="A3171" t="s">
        <v>17</v>
      </c>
      <c r="B3171">
        <v>586294</v>
      </c>
      <c r="C3171">
        <v>12</v>
      </c>
      <c r="D3171">
        <v>30</v>
      </c>
      <c r="E3171">
        <v>115</v>
      </c>
      <c r="F3171">
        <v>4</v>
      </c>
      <c r="G3171">
        <v>25</v>
      </c>
      <c r="H3171">
        <v>21</v>
      </c>
      <c r="I3171">
        <v>583</v>
      </c>
      <c r="J3171">
        <v>0</v>
      </c>
      <c r="K3171">
        <v>6.88</v>
      </c>
      <c r="L3171">
        <v>8.26</v>
      </c>
      <c r="M3171">
        <v>118.45</v>
      </c>
      <c r="N3171">
        <v>8.85</v>
      </c>
      <c r="O3171">
        <v>1667</v>
      </c>
      <c r="P3171">
        <v>541</v>
      </c>
      <c r="Q3171" s="5" t="e">
        <f>IF(AND(#REF!&gt;=table!$C$6,#REF!&lt;= table!$D$6),-1,IF(AND(#REF!&gt;=table!$E$6,#REF!&lt;=table!$F$6),1,0))</f>
        <v>#REF!</v>
      </c>
      <c r="R3171" s="5" t="e">
        <f>IF(AND(#REF!&gt;=table!$C$7,#REF!&lt;= table!$D$7),-1,IF(AND(#REF!&gt;=table!$E$7,#REF!&lt;=table!$F$7),1,0))</f>
        <v>#REF!</v>
      </c>
      <c r="S3171" s="5" t="e">
        <f>IF(AND(#REF!&gt;=table!$C$8,#REF!&lt;= table!$D$8),-1,IF(AND(#REF!&gt;=table!$E$8,#REF!&lt;=table!$F$8),1,0))</f>
        <v>#REF!</v>
      </c>
      <c r="T3171" s="5"/>
      <c r="U3171" s="5" t="e">
        <f>IF(AND(#REF!&gt;=table!$C$10,#REF!&lt;= table!$D$10),-1,IF(AND(#REF!&gt;=table!$E$10,#REF!&lt;=table!$F$10),1,0))</f>
        <v>#REF!</v>
      </c>
      <c r="V3171" s="5" t="e">
        <f>IF(AND(#REF!&gt;=table!$C$11,#REF!&lt;= table!$D$11),-1,IF(AND(#REF!&gt;=table!$E$11,#REF!&lt;=table!$F$11),1,0))</f>
        <v>#REF!</v>
      </c>
      <c r="W3171" s="5" t="e">
        <f>CONCATENATE(dados[[#This Row],[fator1]],dados[[#This Row],[fator5]],dados[[#This Row],[fator6]])</f>
        <v>#REF!</v>
      </c>
    </row>
    <row r="3172" spans="1:23">
      <c r="A3172" t="s">
        <v>17</v>
      </c>
      <c r="B3172">
        <v>586296</v>
      </c>
      <c r="C3172">
        <v>9</v>
      </c>
      <c r="D3172">
        <v>30</v>
      </c>
      <c r="E3172">
        <v>160</v>
      </c>
      <c r="F3172">
        <v>3</v>
      </c>
      <c r="G3172">
        <v>30</v>
      </c>
      <c r="H3172">
        <v>18</v>
      </c>
      <c r="I3172">
        <v>852</v>
      </c>
      <c r="J3172">
        <v>0</v>
      </c>
      <c r="K3172">
        <v>2.4805000000000001</v>
      </c>
      <c r="L3172">
        <v>5.2</v>
      </c>
      <c r="M3172">
        <v>105.65</v>
      </c>
      <c r="N3172">
        <v>11</v>
      </c>
      <c r="O3172">
        <v>1686</v>
      </c>
      <c r="P3172">
        <v>1290</v>
      </c>
      <c r="Q3172" s="5" t="e">
        <f>IF(AND(#REF!&gt;=table!$C$6,#REF!&lt;= table!$D$6),-1,IF(AND(#REF!&gt;=table!$E$6,#REF!&lt;=table!$F$6),1,0))</f>
        <v>#REF!</v>
      </c>
      <c r="R3172" s="5" t="e">
        <f>IF(AND(#REF!&gt;=table!$C$7,#REF!&lt;= table!$D$7),-1,IF(AND(#REF!&gt;=table!$E$7,#REF!&lt;=table!$F$7),1,0))</f>
        <v>#REF!</v>
      </c>
      <c r="S3172" s="5" t="e">
        <f>IF(AND(#REF!&gt;=table!$C$8,#REF!&lt;= table!$D$8),-1,IF(AND(#REF!&gt;=table!$E$8,#REF!&lt;=table!$F$8),1,0))</f>
        <v>#REF!</v>
      </c>
      <c r="T3172" s="5"/>
      <c r="U3172" s="5" t="e">
        <f>IF(AND(#REF!&gt;=table!$C$10,#REF!&lt;= table!$D$10),-1,IF(AND(#REF!&gt;=table!$E$10,#REF!&lt;=table!$F$10),1,0))</f>
        <v>#REF!</v>
      </c>
      <c r="V3172" s="5" t="e">
        <f>IF(AND(#REF!&gt;=table!$C$11,#REF!&lt;= table!$D$11),-1,IF(AND(#REF!&gt;=table!$E$11,#REF!&lt;=table!$F$11),1,0))</f>
        <v>#REF!</v>
      </c>
      <c r="W3172" s="5" t="e">
        <f>CONCATENATE(dados[[#This Row],[fator1]],dados[[#This Row],[fator5]],dados[[#This Row],[fator6]])</f>
        <v>#REF!</v>
      </c>
    </row>
    <row r="3173" spans="1:23">
      <c r="A3173" t="s">
        <v>16</v>
      </c>
      <c r="B3173">
        <v>586298</v>
      </c>
      <c r="C3173">
        <v>11</v>
      </c>
      <c r="D3173">
        <v>40</v>
      </c>
      <c r="E3173">
        <v>151</v>
      </c>
      <c r="F3173">
        <v>8</v>
      </c>
      <c r="G3173">
        <v>0</v>
      </c>
      <c r="H3173">
        <v>25</v>
      </c>
      <c r="I3173">
        <v>1</v>
      </c>
      <c r="J3173">
        <v>0</v>
      </c>
      <c r="K3173">
        <v>3.8150000000000004</v>
      </c>
      <c r="L3173">
        <v>7.65</v>
      </c>
      <c r="M3173">
        <v>115</v>
      </c>
      <c r="N3173">
        <v>10.8</v>
      </c>
      <c r="O3173">
        <v>1672</v>
      </c>
      <c r="P3173">
        <v>796</v>
      </c>
      <c r="Q3173" s="5" t="e">
        <f>IF(AND(#REF!&gt;=table!$C$6,#REF!&lt;= table!$D$6),-1,IF(AND(#REF!&gt;=table!$E$6,#REF!&lt;=table!$F$6),1,0))</f>
        <v>#REF!</v>
      </c>
      <c r="R3173" s="5" t="e">
        <f>IF(AND(#REF!&gt;=table!$C$7,#REF!&lt;= table!$D$7),-1,IF(AND(#REF!&gt;=table!$E$7,#REF!&lt;=table!$F$7),1,0))</f>
        <v>#REF!</v>
      </c>
      <c r="S3173" s="5" t="e">
        <f>IF(AND(#REF!&gt;=table!$C$8,#REF!&lt;= table!$D$8),-1,IF(AND(#REF!&gt;=table!$E$8,#REF!&lt;=table!$F$8),1,0))</f>
        <v>#REF!</v>
      </c>
      <c r="T3173" s="5"/>
      <c r="U3173" s="5" t="e">
        <f>IF(AND(#REF!&gt;=table!$C$10,#REF!&lt;= table!$D$10),-1,IF(AND(#REF!&gt;=table!$E$10,#REF!&lt;=table!$F$10),1,0))</f>
        <v>#REF!</v>
      </c>
      <c r="V3173" s="5" t="e">
        <f>IF(AND(#REF!&gt;=table!$C$11,#REF!&lt;= table!$D$11),-1,IF(AND(#REF!&gt;=table!$E$11,#REF!&lt;=table!$F$11),1,0))</f>
        <v>#REF!</v>
      </c>
      <c r="W3173" s="5" t="e">
        <f>CONCATENATE(dados[[#This Row],[fator1]],dados[[#This Row],[fator5]],dados[[#This Row],[fator6]])</f>
        <v>#REF!</v>
      </c>
    </row>
    <row r="3174" spans="1:23">
      <c r="A3174" t="s">
        <v>17</v>
      </c>
      <c r="B3174">
        <v>586299</v>
      </c>
      <c r="C3174">
        <v>8</v>
      </c>
      <c r="D3174">
        <v>30</v>
      </c>
      <c r="E3174">
        <v>160</v>
      </c>
      <c r="F3174">
        <v>3</v>
      </c>
      <c r="G3174">
        <v>20</v>
      </c>
      <c r="H3174">
        <v>18</v>
      </c>
      <c r="I3174">
        <v>631</v>
      </c>
      <c r="J3174">
        <v>0</v>
      </c>
      <c r="K3174">
        <v>4.0750000000000002</v>
      </c>
      <c r="L3174">
        <v>5.5250000000000004</v>
      </c>
      <c r="M3174">
        <v>129.80000000000001</v>
      </c>
      <c r="N3174">
        <v>13.135</v>
      </c>
      <c r="O3174">
        <v>1667</v>
      </c>
      <c r="P3174">
        <v>874</v>
      </c>
      <c r="Q3174" s="5" t="e">
        <f>IF(AND(#REF!&gt;=table!$C$6,#REF!&lt;= table!$D$6),-1,IF(AND(#REF!&gt;=table!$E$6,#REF!&lt;=table!$F$6),1,0))</f>
        <v>#REF!</v>
      </c>
      <c r="R3174" s="5" t="e">
        <f>IF(AND(#REF!&gt;=table!$C$7,#REF!&lt;= table!$D$7),-1,IF(AND(#REF!&gt;=table!$E$7,#REF!&lt;=table!$F$7),1,0))</f>
        <v>#REF!</v>
      </c>
      <c r="S3174" s="5" t="e">
        <f>IF(AND(#REF!&gt;=table!$C$8,#REF!&lt;= table!$D$8),-1,IF(AND(#REF!&gt;=table!$E$8,#REF!&lt;=table!$F$8),1,0))</f>
        <v>#REF!</v>
      </c>
      <c r="T3174" s="5"/>
      <c r="U3174" s="5" t="e">
        <f>IF(AND(#REF!&gt;=table!$C$10,#REF!&lt;= table!$D$10),-1,IF(AND(#REF!&gt;=table!$E$10,#REF!&lt;=table!$F$10),1,0))</f>
        <v>#REF!</v>
      </c>
      <c r="V3174" s="5" t="e">
        <f>IF(AND(#REF!&gt;=table!$C$11,#REF!&lt;= table!$D$11),-1,IF(AND(#REF!&gt;=table!$E$11,#REF!&lt;=table!$F$11),1,0))</f>
        <v>#REF!</v>
      </c>
      <c r="W3174" s="5" t="e">
        <f>CONCATENATE(dados[[#This Row],[fator1]],dados[[#This Row],[fator5]],dados[[#This Row],[fator6]])</f>
        <v>#REF!</v>
      </c>
    </row>
    <row r="3175" spans="1:23">
      <c r="A3175" t="s">
        <v>16</v>
      </c>
      <c r="B3175">
        <v>586316</v>
      </c>
      <c r="C3175">
        <v>0.2</v>
      </c>
      <c r="D3175">
        <v>65</v>
      </c>
      <c r="E3175">
        <v>26</v>
      </c>
      <c r="F3175">
        <v>15</v>
      </c>
      <c r="G3175">
        <v>0</v>
      </c>
      <c r="H3175">
        <v>30</v>
      </c>
      <c r="I3175">
        <v>737</v>
      </c>
      <c r="J3175">
        <v>0</v>
      </c>
      <c r="K3175">
        <v>4.9950000000000001</v>
      </c>
      <c r="L3175">
        <v>11</v>
      </c>
      <c r="M3175">
        <v>9.5500000000000007</v>
      </c>
      <c r="N3175">
        <v>12.85</v>
      </c>
      <c r="O3175">
        <v>1710</v>
      </c>
      <c r="P3175">
        <v>749</v>
      </c>
      <c r="Q3175" s="5" t="e">
        <f>IF(AND(#REF!&gt;=table!$C$6,#REF!&lt;= table!$D$6),-1,IF(AND(#REF!&gt;=table!$E$6,#REF!&lt;=table!$F$6),1,0))</f>
        <v>#REF!</v>
      </c>
      <c r="R3175" s="5" t="e">
        <f>IF(AND(#REF!&gt;=table!$C$7,#REF!&lt;= table!$D$7),-1,IF(AND(#REF!&gt;=table!$E$7,#REF!&lt;=table!$F$7),1,0))</f>
        <v>#REF!</v>
      </c>
      <c r="S3175" s="5" t="e">
        <f>IF(AND(#REF!&gt;=table!$C$8,#REF!&lt;= table!$D$8),-1,IF(AND(#REF!&gt;=table!$E$8,#REF!&lt;=table!$F$8),1,0))</f>
        <v>#REF!</v>
      </c>
      <c r="T3175" s="5"/>
      <c r="U3175" s="5" t="e">
        <f>IF(AND(#REF!&gt;=table!$C$10,#REF!&lt;= table!$D$10),-1,IF(AND(#REF!&gt;=table!$E$10,#REF!&lt;=table!$F$10),1,0))</f>
        <v>#REF!</v>
      </c>
      <c r="V3175" s="5" t="e">
        <f>IF(AND(#REF!&gt;=table!$C$11,#REF!&lt;= table!$D$11),-1,IF(AND(#REF!&gt;=table!$E$11,#REF!&lt;=table!$F$11),1,0))</f>
        <v>#REF!</v>
      </c>
      <c r="W3175" s="5" t="e">
        <f>CONCATENATE(dados[[#This Row],[fator1]],dados[[#This Row],[fator5]],dados[[#This Row],[fator6]])</f>
        <v>#REF!</v>
      </c>
    </row>
    <row r="3176" spans="1:23">
      <c r="A3176" t="s">
        <v>16</v>
      </c>
      <c r="B3176">
        <v>586320</v>
      </c>
      <c r="C3176">
        <v>4</v>
      </c>
      <c r="D3176">
        <v>40</v>
      </c>
      <c r="E3176">
        <v>21</v>
      </c>
      <c r="F3176">
        <v>20</v>
      </c>
      <c r="G3176">
        <v>0</v>
      </c>
      <c r="H3176">
        <v>25</v>
      </c>
      <c r="I3176">
        <v>14</v>
      </c>
      <c r="J3176">
        <v>0</v>
      </c>
      <c r="K3176">
        <v>3.29</v>
      </c>
      <c r="L3176">
        <v>9.7000000000000011</v>
      </c>
      <c r="M3176">
        <v>8.25</v>
      </c>
      <c r="N3176">
        <v>15.65</v>
      </c>
      <c r="O3176">
        <v>1692</v>
      </c>
      <c r="P3176">
        <v>1041</v>
      </c>
      <c r="Q3176" s="5" t="e">
        <f>IF(AND(#REF!&gt;=table!$C$6,#REF!&lt;= table!$D$6),-1,IF(AND(#REF!&gt;=table!$E$6,#REF!&lt;=table!$F$6),1,0))</f>
        <v>#REF!</v>
      </c>
      <c r="R3176" s="5" t="e">
        <f>IF(AND(#REF!&gt;=table!$C$7,#REF!&lt;= table!$D$7),-1,IF(AND(#REF!&gt;=table!$E$7,#REF!&lt;=table!$F$7),1,0))</f>
        <v>#REF!</v>
      </c>
      <c r="S3176" s="5" t="e">
        <f>IF(AND(#REF!&gt;=table!$C$8,#REF!&lt;= table!$D$8),-1,IF(AND(#REF!&gt;=table!$E$8,#REF!&lt;=table!$F$8),1,0))</f>
        <v>#REF!</v>
      </c>
      <c r="T3176" s="5"/>
      <c r="U3176" s="5" t="e">
        <f>IF(AND(#REF!&gt;=table!$C$10,#REF!&lt;= table!$D$10),-1,IF(AND(#REF!&gt;=table!$E$10,#REF!&lt;=table!$F$10),1,0))</f>
        <v>#REF!</v>
      </c>
      <c r="V3176" s="5" t="e">
        <f>IF(AND(#REF!&gt;=table!$C$11,#REF!&lt;= table!$D$11),-1,IF(AND(#REF!&gt;=table!$E$11,#REF!&lt;=table!$F$11),1,0))</f>
        <v>#REF!</v>
      </c>
      <c r="W3176" s="5" t="e">
        <f>CONCATENATE(dados[[#This Row],[fator1]],dados[[#This Row],[fator5]],dados[[#This Row],[fator6]])</f>
        <v>#REF!</v>
      </c>
    </row>
    <row r="3177" spans="1:23">
      <c r="A3177" t="s">
        <v>16</v>
      </c>
      <c r="B3177">
        <v>586329</v>
      </c>
      <c r="C3177">
        <v>3</v>
      </c>
      <c r="D3177">
        <v>30</v>
      </c>
      <c r="E3177">
        <v>21</v>
      </c>
      <c r="F3177">
        <v>15</v>
      </c>
      <c r="G3177">
        <v>0</v>
      </c>
      <c r="H3177">
        <v>25</v>
      </c>
      <c r="I3177">
        <v>0</v>
      </c>
      <c r="J3177">
        <v>0</v>
      </c>
      <c r="K3177">
        <v>3.7800000000000002</v>
      </c>
      <c r="L3177">
        <v>10.545</v>
      </c>
      <c r="M3177">
        <v>8.870000000000001</v>
      </c>
      <c r="N3177">
        <v>20.650000000000002</v>
      </c>
      <c r="O3177">
        <v>1680</v>
      </c>
      <c r="P3177">
        <v>0</v>
      </c>
      <c r="Q3177" s="5" t="e">
        <f>IF(AND(#REF!&gt;=table!$C$6,#REF!&lt;= table!$D$6),-1,IF(AND(#REF!&gt;=table!$E$6,#REF!&lt;=table!$F$6),1,0))</f>
        <v>#REF!</v>
      </c>
      <c r="R3177" s="5" t="e">
        <f>IF(AND(#REF!&gt;=table!$C$7,#REF!&lt;= table!$D$7),-1,IF(AND(#REF!&gt;=table!$E$7,#REF!&lt;=table!$F$7),1,0))</f>
        <v>#REF!</v>
      </c>
      <c r="S3177" s="5" t="e">
        <f>IF(AND(#REF!&gt;=table!$C$8,#REF!&lt;= table!$D$8),-1,IF(AND(#REF!&gt;=table!$E$8,#REF!&lt;=table!$F$8),1,0))</f>
        <v>#REF!</v>
      </c>
      <c r="T3177" s="5"/>
      <c r="U3177" s="5" t="e">
        <f>IF(AND(#REF!&gt;=table!$C$10,#REF!&lt;= table!$D$10),-1,IF(AND(#REF!&gt;=table!$E$10,#REF!&lt;=table!$F$10),1,0))</f>
        <v>#REF!</v>
      </c>
      <c r="V3177" s="5" t="e">
        <f>IF(AND(#REF!&gt;=table!$C$11,#REF!&lt;= table!$D$11),-1,IF(AND(#REF!&gt;=table!$E$11,#REF!&lt;=table!$F$11),1,0))</f>
        <v>#REF!</v>
      </c>
      <c r="W3177" s="5" t="e">
        <f>CONCATENATE(dados[[#This Row],[fator1]],dados[[#This Row],[fator5]],dados[[#This Row],[fator6]])</f>
        <v>#REF!</v>
      </c>
    </row>
    <row r="3178" spans="1:23">
      <c r="A3178" t="s">
        <v>16</v>
      </c>
      <c r="B3178">
        <v>586336</v>
      </c>
      <c r="C3178">
        <v>0.15</v>
      </c>
      <c r="D3178">
        <v>40</v>
      </c>
      <c r="E3178">
        <v>10</v>
      </c>
      <c r="F3178">
        <v>15</v>
      </c>
      <c r="G3178">
        <v>0</v>
      </c>
      <c r="H3178">
        <v>15</v>
      </c>
      <c r="I3178">
        <v>0</v>
      </c>
      <c r="J3178">
        <v>0</v>
      </c>
      <c r="K3178">
        <v>5.97</v>
      </c>
      <c r="L3178">
        <v>7.7250000000000005</v>
      </c>
      <c r="M3178">
        <v>6.9550000000000001</v>
      </c>
      <c r="N3178">
        <v>9.4649999999999999</v>
      </c>
      <c r="O3178">
        <v>1677</v>
      </c>
      <c r="P3178">
        <v>600</v>
      </c>
      <c r="Q3178" s="5" t="e">
        <f>IF(AND(#REF!&gt;=table!$C$6,#REF!&lt;= table!$D$6),-1,IF(AND(#REF!&gt;=table!$E$6,#REF!&lt;=table!$F$6),1,0))</f>
        <v>#REF!</v>
      </c>
      <c r="R3178" s="5" t="e">
        <f>IF(AND(#REF!&gt;=table!$C$7,#REF!&lt;= table!$D$7),-1,IF(AND(#REF!&gt;=table!$E$7,#REF!&lt;=table!$F$7),1,0))</f>
        <v>#REF!</v>
      </c>
      <c r="S3178" s="5" t="e">
        <f>IF(AND(#REF!&gt;=table!$C$8,#REF!&lt;= table!$D$8),-1,IF(AND(#REF!&gt;=table!$E$8,#REF!&lt;=table!$F$8),1,0))</f>
        <v>#REF!</v>
      </c>
      <c r="T3178" s="5"/>
      <c r="U3178" s="5" t="e">
        <f>IF(AND(#REF!&gt;=table!$C$10,#REF!&lt;= table!$D$10),-1,IF(AND(#REF!&gt;=table!$E$10,#REF!&lt;=table!$F$10),1,0))</f>
        <v>#REF!</v>
      </c>
      <c r="V3178" s="5" t="e">
        <f>IF(AND(#REF!&gt;=table!$C$11,#REF!&lt;= table!$D$11),-1,IF(AND(#REF!&gt;=table!$E$11,#REF!&lt;=table!$F$11),1,0))</f>
        <v>#REF!</v>
      </c>
      <c r="W3178" s="5" t="e">
        <f>CONCATENATE(dados[[#This Row],[fator1]],dados[[#This Row],[fator5]],dados[[#This Row],[fator6]])</f>
        <v>#REF!</v>
      </c>
    </row>
    <row r="3179" spans="1:23">
      <c r="A3179" t="s">
        <v>16</v>
      </c>
      <c r="B3179">
        <v>586341</v>
      </c>
      <c r="C3179">
        <v>0.15</v>
      </c>
      <c r="D3179">
        <v>40</v>
      </c>
      <c r="E3179">
        <v>10</v>
      </c>
      <c r="F3179">
        <v>15</v>
      </c>
      <c r="G3179">
        <v>0</v>
      </c>
      <c r="H3179">
        <v>15</v>
      </c>
      <c r="I3179">
        <v>1</v>
      </c>
      <c r="J3179">
        <v>0</v>
      </c>
      <c r="K3179">
        <v>3.5500000000000003</v>
      </c>
      <c r="L3179">
        <v>9.65</v>
      </c>
      <c r="M3179">
        <v>7.8250000000000002</v>
      </c>
      <c r="N3179">
        <v>13.745000000000001</v>
      </c>
      <c r="O3179">
        <v>1694</v>
      </c>
      <c r="P3179">
        <v>1014</v>
      </c>
      <c r="Q3179" s="5" t="e">
        <f>IF(AND(#REF!&gt;=table!$C$6,#REF!&lt;= table!$D$6),-1,IF(AND(#REF!&gt;=table!$E$6,#REF!&lt;=table!$F$6),1,0))</f>
        <v>#REF!</v>
      </c>
      <c r="R3179" s="5" t="e">
        <f>IF(AND(#REF!&gt;=table!$C$7,#REF!&lt;= table!$D$7),-1,IF(AND(#REF!&gt;=table!$E$7,#REF!&lt;=table!$F$7),1,0))</f>
        <v>#REF!</v>
      </c>
      <c r="S3179" s="5" t="e">
        <f>IF(AND(#REF!&gt;=table!$C$8,#REF!&lt;= table!$D$8),-1,IF(AND(#REF!&gt;=table!$E$8,#REF!&lt;=table!$F$8),1,0))</f>
        <v>#REF!</v>
      </c>
      <c r="T3179" s="5"/>
      <c r="U3179" s="5" t="e">
        <f>IF(AND(#REF!&gt;=table!$C$10,#REF!&lt;= table!$D$10),-1,IF(AND(#REF!&gt;=table!$E$10,#REF!&lt;=table!$F$10),1,0))</f>
        <v>#REF!</v>
      </c>
      <c r="V3179" s="5" t="e">
        <f>IF(AND(#REF!&gt;=table!$C$11,#REF!&lt;= table!$D$11),-1,IF(AND(#REF!&gt;=table!$E$11,#REF!&lt;=table!$F$11),1,0))</f>
        <v>#REF!</v>
      </c>
      <c r="W3179" s="5" t="e">
        <f>CONCATENATE(dados[[#This Row],[fator1]],dados[[#This Row],[fator5]],dados[[#This Row],[fator6]])</f>
        <v>#REF!</v>
      </c>
    </row>
    <row r="3180" spans="1:23">
      <c r="A3180" t="s">
        <v>17</v>
      </c>
      <c r="B3180">
        <v>586347</v>
      </c>
      <c r="C3180">
        <v>14</v>
      </c>
      <c r="D3180">
        <v>30</v>
      </c>
      <c r="E3180">
        <v>86</v>
      </c>
      <c r="F3180">
        <v>9</v>
      </c>
      <c r="G3180">
        <v>20</v>
      </c>
      <c r="H3180">
        <v>25</v>
      </c>
      <c r="I3180">
        <v>0</v>
      </c>
      <c r="J3180">
        <v>0</v>
      </c>
      <c r="K3180">
        <v>2.7749999999999999</v>
      </c>
      <c r="L3180">
        <v>5.45</v>
      </c>
      <c r="M3180">
        <v>56.050000000000004</v>
      </c>
      <c r="N3180">
        <v>12.25</v>
      </c>
      <c r="O3180">
        <v>1671</v>
      </c>
      <c r="P3180">
        <v>1248</v>
      </c>
      <c r="Q3180" s="5" t="e">
        <f>IF(AND(#REF!&gt;=table!$C$6,#REF!&lt;= table!$D$6),-1,IF(AND(#REF!&gt;=table!$E$6,#REF!&lt;=table!$F$6),1,0))</f>
        <v>#REF!</v>
      </c>
      <c r="R3180" s="5" t="e">
        <f>IF(AND(#REF!&gt;=table!$C$7,#REF!&lt;= table!$D$7),-1,IF(AND(#REF!&gt;=table!$E$7,#REF!&lt;=table!$F$7),1,0))</f>
        <v>#REF!</v>
      </c>
      <c r="S3180" s="5" t="e">
        <f>IF(AND(#REF!&gt;=table!$C$8,#REF!&lt;= table!$D$8),-1,IF(AND(#REF!&gt;=table!$E$8,#REF!&lt;=table!$F$8),1,0))</f>
        <v>#REF!</v>
      </c>
      <c r="T3180" s="5"/>
      <c r="U3180" s="5" t="e">
        <f>IF(AND(#REF!&gt;=table!$C$10,#REF!&lt;= table!$D$10),-1,IF(AND(#REF!&gt;=table!$E$10,#REF!&lt;=table!$F$10),1,0))</f>
        <v>#REF!</v>
      </c>
      <c r="V3180" s="5" t="e">
        <f>IF(AND(#REF!&gt;=table!$C$11,#REF!&lt;= table!$D$11),-1,IF(AND(#REF!&gt;=table!$E$11,#REF!&lt;=table!$F$11),1,0))</f>
        <v>#REF!</v>
      </c>
      <c r="W3180" s="5" t="e">
        <f>CONCATENATE(dados[[#This Row],[fator1]],dados[[#This Row],[fator5]],dados[[#This Row],[fator6]])</f>
        <v>#REF!</v>
      </c>
    </row>
    <row r="3181" spans="1:23">
      <c r="A3181" t="s">
        <v>17</v>
      </c>
      <c r="B3181">
        <v>586348</v>
      </c>
      <c r="C3181">
        <v>14</v>
      </c>
      <c r="D3181">
        <v>30</v>
      </c>
      <c r="E3181">
        <v>86</v>
      </c>
      <c r="F3181">
        <v>9</v>
      </c>
      <c r="G3181">
        <v>20</v>
      </c>
      <c r="H3181">
        <v>25</v>
      </c>
      <c r="I3181">
        <v>20</v>
      </c>
      <c r="J3181">
        <v>0</v>
      </c>
      <c r="K3181">
        <v>3.13</v>
      </c>
      <c r="L3181">
        <v>7.45</v>
      </c>
      <c r="M3181">
        <v>67.849999999999994</v>
      </c>
      <c r="N3181">
        <v>17.600000000000001</v>
      </c>
      <c r="O3181">
        <v>1679</v>
      </c>
      <c r="P3181">
        <v>1141</v>
      </c>
      <c r="Q3181" s="5" t="e">
        <f>IF(AND(#REF!&gt;=table!$C$6,#REF!&lt;= table!$D$6),-1,IF(AND(#REF!&gt;=table!$E$6,#REF!&lt;=table!$F$6),1,0))</f>
        <v>#REF!</v>
      </c>
      <c r="R3181" s="5" t="e">
        <f>IF(AND(#REF!&gt;=table!$C$7,#REF!&lt;= table!$D$7),-1,IF(AND(#REF!&gt;=table!$E$7,#REF!&lt;=table!$F$7),1,0))</f>
        <v>#REF!</v>
      </c>
      <c r="S3181" s="5" t="e">
        <f>IF(AND(#REF!&gt;=table!$C$8,#REF!&lt;= table!$D$8),-1,IF(AND(#REF!&gt;=table!$E$8,#REF!&lt;=table!$F$8),1,0))</f>
        <v>#REF!</v>
      </c>
      <c r="T3181" s="5"/>
      <c r="U3181" s="5" t="e">
        <f>IF(AND(#REF!&gt;=table!$C$10,#REF!&lt;= table!$D$10),-1,IF(AND(#REF!&gt;=table!$E$10,#REF!&lt;=table!$F$10),1,0))</f>
        <v>#REF!</v>
      </c>
      <c r="V3181" s="5" t="e">
        <f>IF(AND(#REF!&gt;=table!$C$11,#REF!&lt;= table!$D$11),-1,IF(AND(#REF!&gt;=table!$E$11,#REF!&lt;=table!$F$11),1,0))</f>
        <v>#REF!</v>
      </c>
      <c r="W3181" s="5" t="e">
        <f>CONCATENATE(dados[[#This Row],[fator1]],dados[[#This Row],[fator5]],dados[[#This Row],[fator6]])</f>
        <v>#REF!</v>
      </c>
    </row>
    <row r="3182" spans="1:23">
      <c r="A3182" t="s">
        <v>17</v>
      </c>
      <c r="B3182">
        <v>586351</v>
      </c>
      <c r="C3182">
        <v>14</v>
      </c>
      <c r="D3182">
        <v>30</v>
      </c>
      <c r="E3182">
        <v>66</v>
      </c>
      <c r="F3182">
        <v>9</v>
      </c>
      <c r="G3182">
        <v>20</v>
      </c>
      <c r="H3182">
        <v>25</v>
      </c>
      <c r="I3182">
        <v>11</v>
      </c>
      <c r="J3182">
        <v>1010</v>
      </c>
      <c r="K3182">
        <v>8.0299999999999994</v>
      </c>
      <c r="L3182">
        <v>6.9</v>
      </c>
      <c r="M3182">
        <v>58.15</v>
      </c>
      <c r="N3182">
        <v>11.5</v>
      </c>
      <c r="O3182">
        <v>1574</v>
      </c>
      <c r="P3182">
        <v>370</v>
      </c>
      <c r="Q3182" s="5" t="e">
        <f>IF(AND(#REF!&gt;=table!$C$6,#REF!&lt;= table!$D$6),-1,IF(AND(#REF!&gt;=table!$E$6,#REF!&lt;=table!$F$6),1,0))</f>
        <v>#REF!</v>
      </c>
      <c r="R3182" s="5" t="e">
        <f>IF(AND(#REF!&gt;=table!$C$7,#REF!&lt;= table!$D$7),-1,IF(AND(#REF!&gt;=table!$E$7,#REF!&lt;=table!$F$7),1,0))</f>
        <v>#REF!</v>
      </c>
      <c r="S3182" s="5" t="e">
        <f>IF(AND(#REF!&gt;=table!$C$8,#REF!&lt;= table!$D$8),-1,IF(AND(#REF!&gt;=table!$E$8,#REF!&lt;=table!$F$8),1,0))</f>
        <v>#REF!</v>
      </c>
      <c r="T3182" s="5"/>
      <c r="U3182" s="5" t="e">
        <f>IF(AND(#REF!&gt;=table!$C$10,#REF!&lt;= table!$D$10),-1,IF(AND(#REF!&gt;=table!$E$10,#REF!&lt;=table!$F$10),1,0))</f>
        <v>#REF!</v>
      </c>
      <c r="V3182" s="5" t="e">
        <f>IF(AND(#REF!&gt;=table!$C$11,#REF!&lt;= table!$D$11),-1,IF(AND(#REF!&gt;=table!$E$11,#REF!&lt;=table!$F$11),1,0))</f>
        <v>#REF!</v>
      </c>
      <c r="W3182" s="5" t="e">
        <f>CONCATENATE(dados[[#This Row],[fator1]],dados[[#This Row],[fator5]],dados[[#This Row],[fator6]])</f>
        <v>#REF!</v>
      </c>
    </row>
    <row r="3183" spans="1:23">
      <c r="A3183" t="s">
        <v>17</v>
      </c>
      <c r="B3183">
        <v>586354</v>
      </c>
      <c r="C3183">
        <v>14</v>
      </c>
      <c r="D3183">
        <v>30</v>
      </c>
      <c r="E3183">
        <v>66</v>
      </c>
      <c r="F3183">
        <v>9</v>
      </c>
      <c r="G3183">
        <v>20</v>
      </c>
      <c r="H3183">
        <v>25</v>
      </c>
      <c r="I3183">
        <v>0</v>
      </c>
      <c r="J3183">
        <v>0</v>
      </c>
      <c r="K3183">
        <v>3.42</v>
      </c>
      <c r="L3183">
        <v>12.35</v>
      </c>
      <c r="M3183">
        <v>69.55</v>
      </c>
      <c r="N3183">
        <v>24.85</v>
      </c>
      <c r="O3183">
        <v>1680</v>
      </c>
      <c r="P3183">
        <v>0</v>
      </c>
      <c r="Q3183" s="5" t="e">
        <f>IF(AND(#REF!&gt;=table!$C$6,#REF!&lt;= table!$D$6),-1,IF(AND(#REF!&gt;=table!$E$6,#REF!&lt;=table!$F$6),1,0))</f>
        <v>#REF!</v>
      </c>
      <c r="R3183" s="5" t="e">
        <f>IF(AND(#REF!&gt;=table!$C$7,#REF!&lt;= table!$D$7),-1,IF(AND(#REF!&gt;=table!$E$7,#REF!&lt;=table!$F$7),1,0))</f>
        <v>#REF!</v>
      </c>
      <c r="S3183" s="5" t="e">
        <f>IF(AND(#REF!&gt;=table!$C$8,#REF!&lt;= table!$D$8),-1,IF(AND(#REF!&gt;=table!$E$8,#REF!&lt;=table!$F$8),1,0))</f>
        <v>#REF!</v>
      </c>
      <c r="T3183" s="5"/>
      <c r="U3183" s="5" t="e">
        <f>IF(AND(#REF!&gt;=table!$C$10,#REF!&lt;= table!$D$10),-1,IF(AND(#REF!&gt;=table!$E$10,#REF!&lt;=table!$F$10),1,0))</f>
        <v>#REF!</v>
      </c>
      <c r="V3183" s="5" t="e">
        <f>IF(AND(#REF!&gt;=table!$C$11,#REF!&lt;= table!$D$11),-1,IF(AND(#REF!&gt;=table!$E$11,#REF!&lt;=table!$F$11),1,0))</f>
        <v>#REF!</v>
      </c>
      <c r="W3183" s="5" t="e">
        <f>CONCATENATE(dados[[#This Row],[fator1]],dados[[#This Row],[fator5]],dados[[#This Row],[fator6]])</f>
        <v>#REF!</v>
      </c>
    </row>
    <row r="3184" spans="1:23">
      <c r="A3184" t="s">
        <v>16</v>
      </c>
      <c r="B3184">
        <v>586359</v>
      </c>
      <c r="C3184">
        <v>8</v>
      </c>
      <c r="D3184">
        <v>30</v>
      </c>
      <c r="E3184">
        <v>61</v>
      </c>
      <c r="F3184">
        <v>9</v>
      </c>
      <c r="G3184">
        <v>0</v>
      </c>
      <c r="H3184">
        <v>25</v>
      </c>
      <c r="I3184">
        <v>772</v>
      </c>
      <c r="J3184">
        <v>570</v>
      </c>
      <c r="K3184">
        <v>11.05</v>
      </c>
      <c r="L3184">
        <v>10.815000000000001</v>
      </c>
      <c r="M3184">
        <v>48.68</v>
      </c>
      <c r="N3184">
        <v>12.795</v>
      </c>
      <c r="O3184">
        <v>1669</v>
      </c>
      <c r="P3184">
        <v>0</v>
      </c>
      <c r="Q3184" s="5" t="e">
        <f>IF(AND(#REF!&gt;=table!$C$6,#REF!&lt;= table!$D$6),-1,IF(AND(#REF!&gt;=table!$E$6,#REF!&lt;=table!$F$6),1,0))</f>
        <v>#REF!</v>
      </c>
      <c r="R3184" s="5" t="e">
        <f>IF(AND(#REF!&gt;=table!$C$7,#REF!&lt;= table!$D$7),-1,IF(AND(#REF!&gt;=table!$E$7,#REF!&lt;=table!$F$7),1,0))</f>
        <v>#REF!</v>
      </c>
      <c r="S3184" s="5" t="e">
        <f>IF(AND(#REF!&gt;=table!$C$8,#REF!&lt;= table!$D$8),-1,IF(AND(#REF!&gt;=table!$E$8,#REF!&lt;=table!$F$8),1,0))</f>
        <v>#REF!</v>
      </c>
      <c r="T3184" s="5"/>
      <c r="U3184" s="5" t="e">
        <f>IF(AND(#REF!&gt;=table!$C$10,#REF!&lt;= table!$D$10),-1,IF(AND(#REF!&gt;=table!$E$10,#REF!&lt;=table!$F$10),1,0))</f>
        <v>#REF!</v>
      </c>
      <c r="V3184" s="5" t="e">
        <f>IF(AND(#REF!&gt;=table!$C$11,#REF!&lt;= table!$D$11),-1,IF(AND(#REF!&gt;=table!$E$11,#REF!&lt;=table!$F$11),1,0))</f>
        <v>#REF!</v>
      </c>
      <c r="W3184" s="5" t="e">
        <f>CONCATENATE(dados[[#This Row],[fator1]],dados[[#This Row],[fator5]],dados[[#This Row],[fator6]])</f>
        <v>#REF!</v>
      </c>
    </row>
    <row r="3185" spans="1:23">
      <c r="A3185" t="s">
        <v>17</v>
      </c>
      <c r="B3185">
        <v>586360</v>
      </c>
      <c r="C3185">
        <v>7</v>
      </c>
      <c r="D3185">
        <v>20</v>
      </c>
      <c r="E3185">
        <v>120</v>
      </c>
      <c r="F3185">
        <v>4</v>
      </c>
      <c r="G3185">
        <v>105</v>
      </c>
      <c r="H3185">
        <v>25</v>
      </c>
      <c r="I3185">
        <v>0</v>
      </c>
      <c r="J3185">
        <v>0</v>
      </c>
      <c r="K3185">
        <v>7.6450000000000005</v>
      </c>
      <c r="L3185">
        <v>52.9</v>
      </c>
      <c r="M3185">
        <v>90.95</v>
      </c>
      <c r="N3185">
        <v>24.8</v>
      </c>
      <c r="O3185">
        <v>1689</v>
      </c>
      <c r="P3185">
        <v>0</v>
      </c>
      <c r="Q3185" s="5" t="e">
        <f>IF(AND(#REF!&gt;=table!$C$6,#REF!&lt;= table!$D$6),-1,IF(AND(#REF!&gt;=table!$E$6,#REF!&lt;=table!$F$6),1,0))</f>
        <v>#REF!</v>
      </c>
      <c r="R3185" s="5" t="e">
        <f>IF(AND(#REF!&gt;=table!$C$7,#REF!&lt;= table!$D$7),-1,IF(AND(#REF!&gt;=table!$E$7,#REF!&lt;=table!$F$7),1,0))</f>
        <v>#REF!</v>
      </c>
      <c r="S3185" s="5" t="e">
        <f>IF(AND(#REF!&gt;=table!$C$8,#REF!&lt;= table!$D$8),-1,IF(AND(#REF!&gt;=table!$E$8,#REF!&lt;=table!$F$8),1,0))</f>
        <v>#REF!</v>
      </c>
      <c r="T3185" s="5"/>
      <c r="U3185" s="5" t="e">
        <f>IF(AND(#REF!&gt;=table!$C$10,#REF!&lt;= table!$D$10),-1,IF(AND(#REF!&gt;=table!$E$10,#REF!&lt;=table!$F$10),1,0))</f>
        <v>#REF!</v>
      </c>
      <c r="V3185" s="5" t="e">
        <f>IF(AND(#REF!&gt;=table!$C$11,#REF!&lt;= table!$D$11),-1,IF(AND(#REF!&gt;=table!$E$11,#REF!&lt;=table!$F$11),1,0))</f>
        <v>#REF!</v>
      </c>
      <c r="W3185" s="5" t="e">
        <f>CONCATENATE(dados[[#This Row],[fator1]],dados[[#This Row],[fator5]],dados[[#This Row],[fator6]])</f>
        <v>#REF!</v>
      </c>
    </row>
    <row r="3186" spans="1:23">
      <c r="A3186" t="s">
        <v>16</v>
      </c>
      <c r="B3186">
        <v>586362</v>
      </c>
      <c r="C3186">
        <v>8</v>
      </c>
      <c r="D3186">
        <v>27</v>
      </c>
      <c r="E3186">
        <v>86</v>
      </c>
      <c r="F3186">
        <v>9</v>
      </c>
      <c r="G3186">
        <v>0</v>
      </c>
      <c r="H3186">
        <v>25</v>
      </c>
      <c r="I3186">
        <v>39</v>
      </c>
      <c r="J3186">
        <v>0</v>
      </c>
      <c r="K3186">
        <v>3.5700000000000003</v>
      </c>
      <c r="L3186">
        <v>8.3000000000000007</v>
      </c>
      <c r="M3186">
        <v>63.550000000000004</v>
      </c>
      <c r="N3186">
        <v>10</v>
      </c>
      <c r="O3186">
        <v>1644</v>
      </c>
      <c r="P3186">
        <v>774</v>
      </c>
      <c r="Q3186" s="5" t="e">
        <f>IF(AND(#REF!&gt;=table!$C$6,#REF!&lt;= table!$D$6),-1,IF(AND(#REF!&gt;=table!$E$6,#REF!&lt;=table!$F$6),1,0))</f>
        <v>#REF!</v>
      </c>
      <c r="R3186" s="5" t="e">
        <f>IF(AND(#REF!&gt;=table!$C$7,#REF!&lt;= table!$D$7),-1,IF(AND(#REF!&gt;=table!$E$7,#REF!&lt;=table!$F$7),1,0))</f>
        <v>#REF!</v>
      </c>
      <c r="S3186" s="5" t="e">
        <f>IF(AND(#REF!&gt;=table!$C$8,#REF!&lt;= table!$D$8),-1,IF(AND(#REF!&gt;=table!$E$8,#REF!&lt;=table!$F$8),1,0))</f>
        <v>#REF!</v>
      </c>
      <c r="T3186" s="5"/>
      <c r="U3186" s="5" t="e">
        <f>IF(AND(#REF!&gt;=table!$C$10,#REF!&lt;= table!$D$10),-1,IF(AND(#REF!&gt;=table!$E$10,#REF!&lt;=table!$F$10),1,0))</f>
        <v>#REF!</v>
      </c>
      <c r="V3186" s="5" t="e">
        <f>IF(AND(#REF!&gt;=table!$C$11,#REF!&lt;= table!$D$11),-1,IF(AND(#REF!&gt;=table!$E$11,#REF!&lt;=table!$F$11),1,0))</f>
        <v>#REF!</v>
      </c>
      <c r="W3186" s="5" t="e">
        <f>CONCATENATE(dados[[#This Row],[fator1]],dados[[#This Row],[fator5]],dados[[#This Row],[fator6]])</f>
        <v>#REF!</v>
      </c>
    </row>
    <row r="3187" spans="1:23">
      <c r="A3187" t="s">
        <v>16</v>
      </c>
      <c r="B3187">
        <v>586364</v>
      </c>
      <c r="C3187">
        <v>8</v>
      </c>
      <c r="D3187">
        <v>40</v>
      </c>
      <c r="E3187">
        <v>86</v>
      </c>
      <c r="F3187">
        <v>8</v>
      </c>
      <c r="G3187">
        <v>0</v>
      </c>
      <c r="H3187">
        <v>25</v>
      </c>
      <c r="I3187">
        <v>910</v>
      </c>
      <c r="J3187">
        <v>0</v>
      </c>
      <c r="K3187">
        <v>2.82</v>
      </c>
      <c r="L3187">
        <v>7.9</v>
      </c>
      <c r="M3187">
        <v>64.69</v>
      </c>
      <c r="N3187">
        <v>12.27</v>
      </c>
      <c r="O3187">
        <v>1670</v>
      </c>
      <c r="P3187">
        <v>0</v>
      </c>
      <c r="Q3187" s="5" t="e">
        <f>IF(AND(#REF!&gt;=table!$C$6,#REF!&lt;= table!$D$6),-1,IF(AND(#REF!&gt;=table!$E$6,#REF!&lt;=table!$F$6),1,0))</f>
        <v>#REF!</v>
      </c>
      <c r="R3187" s="5" t="e">
        <f>IF(AND(#REF!&gt;=table!$C$7,#REF!&lt;= table!$D$7),-1,IF(AND(#REF!&gt;=table!$E$7,#REF!&lt;=table!$F$7),1,0))</f>
        <v>#REF!</v>
      </c>
      <c r="S3187" s="5" t="e">
        <f>IF(AND(#REF!&gt;=table!$C$8,#REF!&lt;= table!$D$8),-1,IF(AND(#REF!&gt;=table!$E$8,#REF!&lt;=table!$F$8),1,0))</f>
        <v>#REF!</v>
      </c>
      <c r="T3187" s="5"/>
      <c r="U3187" s="5" t="e">
        <f>IF(AND(#REF!&gt;=table!$C$10,#REF!&lt;= table!$D$10),-1,IF(AND(#REF!&gt;=table!$E$10,#REF!&lt;=table!$F$10),1,0))</f>
        <v>#REF!</v>
      </c>
      <c r="V3187" s="5" t="e">
        <f>IF(AND(#REF!&gt;=table!$C$11,#REF!&lt;= table!$D$11),-1,IF(AND(#REF!&gt;=table!$E$11,#REF!&lt;=table!$F$11),1,0))</f>
        <v>#REF!</v>
      </c>
      <c r="W3187" s="5" t="e">
        <f>CONCATENATE(dados[[#This Row],[fator1]],dados[[#This Row],[fator5]],dados[[#This Row],[fator6]])</f>
        <v>#REF!</v>
      </c>
    </row>
    <row r="3188" spans="1:23">
      <c r="A3188" t="s">
        <v>16</v>
      </c>
      <c r="B3188">
        <v>586365</v>
      </c>
      <c r="C3188">
        <v>6</v>
      </c>
      <c r="D3188">
        <v>40</v>
      </c>
      <c r="E3188">
        <v>66</v>
      </c>
      <c r="F3188">
        <v>10</v>
      </c>
      <c r="G3188">
        <v>0</v>
      </c>
      <c r="H3188">
        <v>25</v>
      </c>
      <c r="I3188">
        <v>851</v>
      </c>
      <c r="J3188">
        <v>0</v>
      </c>
      <c r="K3188">
        <v>5.375</v>
      </c>
      <c r="L3188">
        <v>8.9600000000000009</v>
      </c>
      <c r="M3188">
        <v>55.160000000000004</v>
      </c>
      <c r="N3188">
        <v>11.14</v>
      </c>
      <c r="O3188">
        <v>1676</v>
      </c>
      <c r="P3188">
        <v>0</v>
      </c>
      <c r="Q3188" s="5" t="e">
        <f>IF(AND(#REF!&gt;=table!$C$6,#REF!&lt;= table!$D$6),-1,IF(AND(#REF!&gt;=table!$E$6,#REF!&lt;=table!$F$6),1,0))</f>
        <v>#REF!</v>
      </c>
      <c r="R3188" s="5" t="e">
        <f>IF(AND(#REF!&gt;=table!$C$7,#REF!&lt;= table!$D$7),-1,IF(AND(#REF!&gt;=table!$E$7,#REF!&lt;=table!$F$7),1,0))</f>
        <v>#REF!</v>
      </c>
      <c r="S3188" s="5" t="e">
        <f>IF(AND(#REF!&gt;=table!$C$8,#REF!&lt;= table!$D$8),-1,IF(AND(#REF!&gt;=table!$E$8,#REF!&lt;=table!$F$8),1,0))</f>
        <v>#REF!</v>
      </c>
      <c r="T3188" s="5"/>
      <c r="U3188" s="5" t="e">
        <f>IF(AND(#REF!&gt;=table!$C$10,#REF!&lt;= table!$D$10),-1,IF(AND(#REF!&gt;=table!$E$10,#REF!&lt;=table!$F$10),1,0))</f>
        <v>#REF!</v>
      </c>
      <c r="V3188" s="5" t="e">
        <f>IF(AND(#REF!&gt;=table!$C$11,#REF!&lt;= table!$D$11),-1,IF(AND(#REF!&gt;=table!$E$11,#REF!&lt;=table!$F$11),1,0))</f>
        <v>#REF!</v>
      </c>
      <c r="W3188" s="5" t="e">
        <f>CONCATENATE(dados[[#This Row],[fator1]],dados[[#This Row],[fator5]],dados[[#This Row],[fator6]])</f>
        <v>#REF!</v>
      </c>
    </row>
    <row r="3189" spans="1:23">
      <c r="A3189" t="s">
        <v>17</v>
      </c>
      <c r="B3189">
        <v>586366</v>
      </c>
      <c r="C3189">
        <v>7</v>
      </c>
      <c r="D3189">
        <v>30</v>
      </c>
      <c r="E3189">
        <v>175</v>
      </c>
      <c r="F3189">
        <v>3</v>
      </c>
      <c r="G3189">
        <v>25</v>
      </c>
      <c r="H3189">
        <v>18</v>
      </c>
      <c r="I3189">
        <v>1</v>
      </c>
      <c r="J3189">
        <v>0</v>
      </c>
      <c r="K3189">
        <v>4.26</v>
      </c>
      <c r="L3189">
        <v>9.6</v>
      </c>
      <c r="M3189">
        <v>143.11000000000001</v>
      </c>
      <c r="N3189">
        <v>8.6950000000000003</v>
      </c>
      <c r="O3189">
        <v>1690</v>
      </c>
      <c r="P3189">
        <v>0</v>
      </c>
      <c r="Q3189" s="5" t="e">
        <f>IF(AND(#REF!&gt;=table!$C$6,#REF!&lt;= table!$D$6),-1,IF(AND(#REF!&gt;=table!$E$6,#REF!&lt;=table!$F$6),1,0))</f>
        <v>#REF!</v>
      </c>
      <c r="R3189" s="5" t="e">
        <f>IF(AND(#REF!&gt;=table!$C$7,#REF!&lt;= table!$D$7),-1,IF(AND(#REF!&gt;=table!$E$7,#REF!&lt;=table!$F$7),1,0))</f>
        <v>#REF!</v>
      </c>
      <c r="S3189" s="5" t="e">
        <f>IF(AND(#REF!&gt;=table!$C$8,#REF!&lt;= table!$D$8),-1,IF(AND(#REF!&gt;=table!$E$8,#REF!&lt;=table!$F$8),1,0))</f>
        <v>#REF!</v>
      </c>
      <c r="T3189" s="5"/>
      <c r="U3189" s="5" t="e">
        <f>IF(AND(#REF!&gt;=table!$C$10,#REF!&lt;= table!$D$10),-1,IF(AND(#REF!&gt;=table!$E$10,#REF!&lt;=table!$F$10),1,0))</f>
        <v>#REF!</v>
      </c>
      <c r="V3189" s="5" t="e">
        <f>IF(AND(#REF!&gt;=table!$C$11,#REF!&lt;= table!$D$11),-1,IF(AND(#REF!&gt;=table!$E$11,#REF!&lt;=table!$F$11),1,0))</f>
        <v>#REF!</v>
      </c>
      <c r="W3189" s="5" t="e">
        <f>CONCATENATE(dados[[#This Row],[fator1]],dados[[#This Row],[fator5]],dados[[#This Row],[fator6]])</f>
        <v>#REF!</v>
      </c>
    </row>
    <row r="3190" spans="1:23">
      <c r="A3190" t="s">
        <v>17</v>
      </c>
      <c r="B3190">
        <v>586367</v>
      </c>
      <c r="C3190">
        <v>7</v>
      </c>
      <c r="D3190">
        <v>30</v>
      </c>
      <c r="E3190">
        <v>175</v>
      </c>
      <c r="F3190">
        <v>3</v>
      </c>
      <c r="G3190">
        <v>25</v>
      </c>
      <c r="H3190">
        <v>18</v>
      </c>
      <c r="I3190">
        <v>1</v>
      </c>
      <c r="J3190">
        <v>0</v>
      </c>
      <c r="K3190">
        <v>2.5885000000000002</v>
      </c>
      <c r="L3190">
        <v>7.38</v>
      </c>
      <c r="M3190">
        <v>158.38500000000002</v>
      </c>
      <c r="N3190">
        <v>10.08</v>
      </c>
      <c r="O3190">
        <v>1688</v>
      </c>
      <c r="P3190">
        <v>0</v>
      </c>
      <c r="Q3190" s="5" t="e">
        <f>IF(AND(#REF!&gt;=table!$C$6,#REF!&lt;= table!$D$6),-1,IF(AND(#REF!&gt;=table!$E$6,#REF!&lt;=table!$F$6),1,0))</f>
        <v>#REF!</v>
      </c>
      <c r="R3190" s="5" t="e">
        <f>IF(AND(#REF!&gt;=table!$C$7,#REF!&lt;= table!$D$7),-1,IF(AND(#REF!&gt;=table!$E$7,#REF!&lt;=table!$F$7),1,0))</f>
        <v>#REF!</v>
      </c>
      <c r="S3190" s="5" t="e">
        <f>IF(AND(#REF!&gt;=table!$C$8,#REF!&lt;= table!$D$8),-1,IF(AND(#REF!&gt;=table!$E$8,#REF!&lt;=table!$F$8),1,0))</f>
        <v>#REF!</v>
      </c>
      <c r="T3190" s="5"/>
      <c r="U3190" s="5" t="e">
        <f>IF(AND(#REF!&gt;=table!$C$10,#REF!&lt;= table!$D$10),-1,IF(AND(#REF!&gt;=table!$E$10,#REF!&lt;=table!$F$10),1,0))</f>
        <v>#REF!</v>
      </c>
      <c r="V3190" s="5" t="e">
        <f>IF(AND(#REF!&gt;=table!$C$11,#REF!&lt;= table!$D$11),-1,IF(AND(#REF!&gt;=table!$E$11,#REF!&lt;=table!$F$11),1,0))</f>
        <v>#REF!</v>
      </c>
      <c r="W3190" s="5" t="e">
        <f>CONCATENATE(dados[[#This Row],[fator1]],dados[[#This Row],[fator5]],dados[[#This Row],[fator6]])</f>
        <v>#REF!</v>
      </c>
    </row>
    <row r="3191" spans="1:23">
      <c r="A3191" t="s">
        <v>17</v>
      </c>
      <c r="B3191">
        <v>586368</v>
      </c>
      <c r="C3191">
        <v>7</v>
      </c>
      <c r="D3191">
        <v>30</v>
      </c>
      <c r="E3191">
        <v>175</v>
      </c>
      <c r="F3191">
        <v>3</v>
      </c>
      <c r="G3191">
        <v>25</v>
      </c>
      <c r="H3191">
        <v>18</v>
      </c>
      <c r="I3191">
        <v>1243</v>
      </c>
      <c r="J3191">
        <v>0</v>
      </c>
      <c r="K3191">
        <v>2.8149999999999999</v>
      </c>
      <c r="L3191">
        <v>7.05</v>
      </c>
      <c r="M3191">
        <v>120.595</v>
      </c>
      <c r="N3191">
        <v>8.5750000000000011</v>
      </c>
      <c r="O3191">
        <v>1694</v>
      </c>
      <c r="P3191">
        <v>0</v>
      </c>
      <c r="Q3191" s="5" t="e">
        <f>IF(AND(#REF!&gt;=table!$C$6,#REF!&lt;= table!$D$6),-1,IF(AND(#REF!&gt;=table!$E$6,#REF!&lt;=table!$F$6),1,0))</f>
        <v>#REF!</v>
      </c>
      <c r="R3191" s="5" t="e">
        <f>IF(AND(#REF!&gt;=table!$C$7,#REF!&lt;= table!$D$7),-1,IF(AND(#REF!&gt;=table!$E$7,#REF!&lt;=table!$F$7),1,0))</f>
        <v>#REF!</v>
      </c>
      <c r="S3191" s="5" t="e">
        <f>IF(AND(#REF!&gt;=table!$C$8,#REF!&lt;= table!$D$8),-1,IF(AND(#REF!&gt;=table!$E$8,#REF!&lt;=table!$F$8),1,0))</f>
        <v>#REF!</v>
      </c>
      <c r="T3191" s="5"/>
      <c r="U3191" s="5" t="e">
        <f>IF(AND(#REF!&gt;=table!$C$10,#REF!&lt;= table!$D$10),-1,IF(AND(#REF!&gt;=table!$E$10,#REF!&lt;=table!$F$10),1,0))</f>
        <v>#REF!</v>
      </c>
      <c r="V3191" s="5" t="e">
        <f>IF(AND(#REF!&gt;=table!$C$11,#REF!&lt;= table!$D$11),-1,IF(AND(#REF!&gt;=table!$E$11,#REF!&lt;=table!$F$11),1,0))</f>
        <v>#REF!</v>
      </c>
      <c r="W3191" s="5" t="e">
        <f>CONCATENATE(dados[[#This Row],[fator1]],dados[[#This Row],[fator5]],dados[[#This Row],[fator6]])</f>
        <v>#REF!</v>
      </c>
    </row>
    <row r="3192" spans="1:23">
      <c r="A3192" t="s">
        <v>17</v>
      </c>
      <c r="B3192">
        <v>586372</v>
      </c>
      <c r="C3192">
        <v>10</v>
      </c>
      <c r="D3192">
        <v>25</v>
      </c>
      <c r="E3192">
        <v>156</v>
      </c>
      <c r="F3192">
        <v>8</v>
      </c>
      <c r="G3192">
        <v>20</v>
      </c>
      <c r="H3192">
        <v>25</v>
      </c>
      <c r="I3192">
        <v>1172</v>
      </c>
      <c r="J3192">
        <v>0</v>
      </c>
      <c r="K3192">
        <v>5.25</v>
      </c>
      <c r="L3192">
        <v>11.3</v>
      </c>
      <c r="M3192">
        <v>155.965</v>
      </c>
      <c r="N3192">
        <v>13.265000000000001</v>
      </c>
      <c r="O3192">
        <v>1694</v>
      </c>
      <c r="P3192">
        <v>0</v>
      </c>
      <c r="Q3192" s="5" t="e">
        <f>IF(AND(#REF!&gt;=table!$C$6,#REF!&lt;= table!$D$6),-1,IF(AND(#REF!&gt;=table!$E$6,#REF!&lt;=table!$F$6),1,0))</f>
        <v>#REF!</v>
      </c>
      <c r="R3192" s="5" t="e">
        <f>IF(AND(#REF!&gt;=table!$C$7,#REF!&lt;= table!$D$7),-1,IF(AND(#REF!&gt;=table!$E$7,#REF!&lt;=table!$F$7),1,0))</f>
        <v>#REF!</v>
      </c>
      <c r="S3192" s="5" t="e">
        <f>IF(AND(#REF!&gt;=table!$C$8,#REF!&lt;= table!$D$8),-1,IF(AND(#REF!&gt;=table!$E$8,#REF!&lt;=table!$F$8),1,0))</f>
        <v>#REF!</v>
      </c>
      <c r="T3192" s="5"/>
      <c r="U3192" s="5" t="e">
        <f>IF(AND(#REF!&gt;=table!$C$10,#REF!&lt;= table!$D$10),-1,IF(AND(#REF!&gt;=table!$E$10,#REF!&lt;=table!$F$10),1,0))</f>
        <v>#REF!</v>
      </c>
      <c r="V3192" s="5" t="e">
        <f>IF(AND(#REF!&gt;=table!$C$11,#REF!&lt;= table!$D$11),-1,IF(AND(#REF!&gt;=table!$E$11,#REF!&lt;=table!$F$11),1,0))</f>
        <v>#REF!</v>
      </c>
      <c r="W3192" s="5" t="e">
        <f>CONCATENATE(dados[[#This Row],[fator1]],dados[[#This Row],[fator5]],dados[[#This Row],[fator6]])</f>
        <v>#REF!</v>
      </c>
    </row>
    <row r="3193" spans="1:23">
      <c r="A3193" t="s">
        <v>17</v>
      </c>
      <c r="B3193">
        <v>586373</v>
      </c>
      <c r="C3193">
        <v>8</v>
      </c>
      <c r="D3193">
        <v>30</v>
      </c>
      <c r="E3193">
        <v>153</v>
      </c>
      <c r="F3193">
        <v>2</v>
      </c>
      <c r="G3193">
        <v>20</v>
      </c>
      <c r="H3193">
        <v>18</v>
      </c>
      <c r="I3193">
        <v>540</v>
      </c>
      <c r="J3193">
        <v>0</v>
      </c>
      <c r="K3193">
        <v>5.0200000000000005</v>
      </c>
      <c r="L3193">
        <v>9.7000000000000011</v>
      </c>
      <c r="M3193">
        <v>125.45</v>
      </c>
      <c r="N3193">
        <v>10.1</v>
      </c>
      <c r="O3193">
        <v>1684</v>
      </c>
      <c r="P3193">
        <v>0</v>
      </c>
      <c r="Q3193" s="5" t="e">
        <f>IF(AND(#REF!&gt;=table!$C$6,#REF!&lt;= table!$D$6),-1,IF(AND(#REF!&gt;=table!$E$6,#REF!&lt;=table!$F$6),1,0))</f>
        <v>#REF!</v>
      </c>
      <c r="R3193" s="5" t="e">
        <f>IF(AND(#REF!&gt;=table!$C$7,#REF!&lt;= table!$D$7),-1,IF(AND(#REF!&gt;=table!$E$7,#REF!&lt;=table!$F$7),1,0))</f>
        <v>#REF!</v>
      </c>
      <c r="S3193" s="5" t="e">
        <f>IF(AND(#REF!&gt;=table!$C$8,#REF!&lt;= table!$D$8),-1,IF(AND(#REF!&gt;=table!$E$8,#REF!&lt;=table!$F$8),1,0))</f>
        <v>#REF!</v>
      </c>
      <c r="T3193" s="5"/>
      <c r="U3193" s="5" t="e">
        <f>IF(AND(#REF!&gt;=table!$C$10,#REF!&lt;= table!$D$10),-1,IF(AND(#REF!&gt;=table!$E$10,#REF!&lt;=table!$F$10),1,0))</f>
        <v>#REF!</v>
      </c>
      <c r="V3193" s="5" t="e">
        <f>IF(AND(#REF!&gt;=table!$C$11,#REF!&lt;= table!$D$11),-1,IF(AND(#REF!&gt;=table!$E$11,#REF!&lt;=table!$F$11),1,0))</f>
        <v>#REF!</v>
      </c>
      <c r="W3193" s="5" t="e">
        <f>CONCATENATE(dados[[#This Row],[fator1]],dados[[#This Row],[fator5]],dados[[#This Row],[fator6]])</f>
        <v>#REF!</v>
      </c>
    </row>
    <row r="3194" spans="1:23">
      <c r="A3194" t="s">
        <v>17</v>
      </c>
      <c r="B3194">
        <v>586374</v>
      </c>
      <c r="C3194">
        <v>10</v>
      </c>
      <c r="D3194">
        <v>25</v>
      </c>
      <c r="E3194">
        <v>156</v>
      </c>
      <c r="F3194">
        <v>8</v>
      </c>
      <c r="G3194">
        <v>20</v>
      </c>
      <c r="H3194">
        <v>25</v>
      </c>
      <c r="I3194">
        <v>590</v>
      </c>
      <c r="J3194">
        <v>0</v>
      </c>
      <c r="K3194">
        <v>9.3650000000000002</v>
      </c>
      <c r="L3194">
        <v>9.1449999999999996</v>
      </c>
      <c r="M3194">
        <v>143.30000000000001</v>
      </c>
      <c r="N3194">
        <v>7.7050000000000001</v>
      </c>
      <c r="O3194">
        <v>1668</v>
      </c>
      <c r="P3194">
        <v>368</v>
      </c>
      <c r="Q3194" s="5" t="e">
        <f>IF(AND(#REF!&gt;=table!$C$6,#REF!&lt;= table!$D$6),-1,IF(AND(#REF!&gt;=table!$E$6,#REF!&lt;=table!$F$6),1,0))</f>
        <v>#REF!</v>
      </c>
      <c r="R3194" s="5" t="e">
        <f>IF(AND(#REF!&gt;=table!$C$7,#REF!&lt;= table!$D$7),-1,IF(AND(#REF!&gt;=table!$E$7,#REF!&lt;=table!$F$7),1,0))</f>
        <v>#REF!</v>
      </c>
      <c r="S3194" s="5" t="e">
        <f>IF(AND(#REF!&gt;=table!$C$8,#REF!&lt;= table!$D$8),-1,IF(AND(#REF!&gt;=table!$E$8,#REF!&lt;=table!$F$8),1,0))</f>
        <v>#REF!</v>
      </c>
      <c r="T3194" s="5"/>
      <c r="U3194" s="5" t="e">
        <f>IF(AND(#REF!&gt;=table!$C$10,#REF!&lt;= table!$D$10),-1,IF(AND(#REF!&gt;=table!$E$10,#REF!&lt;=table!$F$10),1,0))</f>
        <v>#REF!</v>
      </c>
      <c r="V3194" s="5" t="e">
        <f>IF(AND(#REF!&gt;=table!$C$11,#REF!&lt;= table!$D$11),-1,IF(AND(#REF!&gt;=table!$E$11,#REF!&lt;=table!$F$11),1,0))</f>
        <v>#REF!</v>
      </c>
      <c r="W3194" s="5" t="e">
        <f>CONCATENATE(dados[[#This Row],[fator1]],dados[[#This Row],[fator5]],dados[[#This Row],[fator6]])</f>
        <v>#REF!</v>
      </c>
    </row>
    <row r="3195" spans="1:23">
      <c r="A3195" t="s">
        <v>17</v>
      </c>
      <c r="B3195">
        <v>586375</v>
      </c>
      <c r="C3195">
        <v>8</v>
      </c>
      <c r="D3195">
        <v>30</v>
      </c>
      <c r="E3195">
        <v>153</v>
      </c>
      <c r="F3195">
        <v>2</v>
      </c>
      <c r="G3195">
        <v>20</v>
      </c>
      <c r="H3195">
        <v>18</v>
      </c>
      <c r="I3195">
        <v>0</v>
      </c>
      <c r="J3195">
        <v>0</v>
      </c>
      <c r="K3195">
        <v>3.35</v>
      </c>
      <c r="L3195">
        <v>7.45</v>
      </c>
      <c r="M3195">
        <v>130.19999999999999</v>
      </c>
      <c r="N3195">
        <v>10.1</v>
      </c>
      <c r="O3195">
        <v>1683</v>
      </c>
      <c r="P3195">
        <v>0</v>
      </c>
      <c r="Q3195" s="5" t="e">
        <f>IF(AND(#REF!&gt;=table!$C$6,#REF!&lt;= table!$D$6),-1,IF(AND(#REF!&gt;=table!$E$6,#REF!&lt;=table!$F$6),1,0))</f>
        <v>#REF!</v>
      </c>
      <c r="R3195" s="5" t="e">
        <f>IF(AND(#REF!&gt;=table!$C$7,#REF!&lt;= table!$D$7),-1,IF(AND(#REF!&gt;=table!$E$7,#REF!&lt;=table!$F$7),1,0))</f>
        <v>#REF!</v>
      </c>
      <c r="S3195" s="5" t="e">
        <f>IF(AND(#REF!&gt;=table!$C$8,#REF!&lt;= table!$D$8),-1,IF(AND(#REF!&gt;=table!$E$8,#REF!&lt;=table!$F$8),1,0))</f>
        <v>#REF!</v>
      </c>
      <c r="T3195" s="5"/>
      <c r="U3195" s="5" t="e">
        <f>IF(AND(#REF!&gt;=table!$C$10,#REF!&lt;= table!$D$10),-1,IF(AND(#REF!&gt;=table!$E$10,#REF!&lt;=table!$F$10),1,0))</f>
        <v>#REF!</v>
      </c>
      <c r="V3195" s="5" t="e">
        <f>IF(AND(#REF!&gt;=table!$C$11,#REF!&lt;= table!$D$11),-1,IF(AND(#REF!&gt;=table!$E$11,#REF!&lt;=table!$F$11),1,0))</f>
        <v>#REF!</v>
      </c>
      <c r="W3195" s="5" t="e">
        <f>CONCATENATE(dados[[#This Row],[fator1]],dados[[#This Row],[fator5]],dados[[#This Row],[fator6]])</f>
        <v>#REF!</v>
      </c>
    </row>
    <row r="3196" spans="1:23">
      <c r="A3196" t="s">
        <v>17</v>
      </c>
      <c r="B3196">
        <v>586376</v>
      </c>
      <c r="C3196">
        <v>8</v>
      </c>
      <c r="D3196">
        <v>30</v>
      </c>
      <c r="E3196">
        <v>153</v>
      </c>
      <c r="F3196">
        <v>2</v>
      </c>
      <c r="G3196">
        <v>20</v>
      </c>
      <c r="H3196">
        <v>18</v>
      </c>
      <c r="I3196">
        <v>554</v>
      </c>
      <c r="J3196">
        <v>0</v>
      </c>
      <c r="K3196">
        <v>5.9950000000000001</v>
      </c>
      <c r="L3196">
        <v>9</v>
      </c>
      <c r="M3196">
        <v>127.75</v>
      </c>
      <c r="N3196">
        <v>10.5</v>
      </c>
      <c r="O3196">
        <v>1680</v>
      </c>
      <c r="P3196">
        <v>497</v>
      </c>
      <c r="Q3196" s="5" t="e">
        <f>IF(AND(#REF!&gt;=table!$C$6,#REF!&lt;= table!$D$6),-1,IF(AND(#REF!&gt;=table!$E$6,#REF!&lt;=table!$F$6),1,0))</f>
        <v>#REF!</v>
      </c>
      <c r="R3196" s="5" t="e">
        <f>IF(AND(#REF!&gt;=table!$C$7,#REF!&lt;= table!$D$7),-1,IF(AND(#REF!&gt;=table!$E$7,#REF!&lt;=table!$F$7),1,0))</f>
        <v>#REF!</v>
      </c>
      <c r="S3196" s="5" t="e">
        <f>IF(AND(#REF!&gt;=table!$C$8,#REF!&lt;= table!$D$8),-1,IF(AND(#REF!&gt;=table!$E$8,#REF!&lt;=table!$F$8),1,0))</f>
        <v>#REF!</v>
      </c>
      <c r="T3196" s="5"/>
      <c r="U3196" s="5" t="e">
        <f>IF(AND(#REF!&gt;=table!$C$10,#REF!&lt;= table!$D$10),-1,IF(AND(#REF!&gt;=table!$E$10,#REF!&lt;=table!$F$10),1,0))</f>
        <v>#REF!</v>
      </c>
      <c r="V3196" s="5" t="e">
        <f>IF(AND(#REF!&gt;=table!$C$11,#REF!&lt;= table!$D$11),-1,IF(AND(#REF!&gt;=table!$E$11,#REF!&lt;=table!$F$11),1,0))</f>
        <v>#REF!</v>
      </c>
      <c r="W3196" s="5" t="e">
        <f>CONCATENATE(dados[[#This Row],[fator1]],dados[[#This Row],[fator5]],dados[[#This Row],[fator6]])</f>
        <v>#REF!</v>
      </c>
    </row>
    <row r="3197" spans="1:23">
      <c r="A3197" t="s">
        <v>17</v>
      </c>
      <c r="B3197">
        <v>586377</v>
      </c>
      <c r="C3197">
        <v>18</v>
      </c>
      <c r="D3197">
        <v>30</v>
      </c>
      <c r="E3197">
        <v>136</v>
      </c>
      <c r="F3197">
        <v>3</v>
      </c>
      <c r="G3197">
        <v>20</v>
      </c>
      <c r="H3197">
        <v>25</v>
      </c>
      <c r="I3197">
        <v>0</v>
      </c>
      <c r="J3197">
        <v>0</v>
      </c>
      <c r="K3197">
        <v>5.6350000000000007</v>
      </c>
      <c r="L3197">
        <v>11.585000000000001</v>
      </c>
      <c r="M3197">
        <v>111.05</v>
      </c>
      <c r="N3197">
        <v>16.95</v>
      </c>
      <c r="O3197">
        <v>1671</v>
      </c>
      <c r="P3197">
        <v>0</v>
      </c>
      <c r="Q3197" s="5" t="e">
        <f>IF(AND(#REF!&gt;=table!$C$6,#REF!&lt;= table!$D$6),-1,IF(AND(#REF!&gt;=table!$E$6,#REF!&lt;=table!$F$6),1,0))</f>
        <v>#REF!</v>
      </c>
      <c r="R3197" s="5" t="e">
        <f>IF(AND(#REF!&gt;=table!$C$7,#REF!&lt;= table!$D$7),-1,IF(AND(#REF!&gt;=table!$E$7,#REF!&lt;=table!$F$7),1,0))</f>
        <v>#REF!</v>
      </c>
      <c r="S3197" s="5" t="e">
        <f>IF(AND(#REF!&gt;=table!$C$8,#REF!&lt;= table!$D$8),-1,IF(AND(#REF!&gt;=table!$E$8,#REF!&lt;=table!$F$8),1,0))</f>
        <v>#REF!</v>
      </c>
      <c r="T3197" s="5"/>
      <c r="U3197" s="5" t="e">
        <f>IF(AND(#REF!&gt;=table!$C$10,#REF!&lt;= table!$D$10),-1,IF(AND(#REF!&gt;=table!$E$10,#REF!&lt;=table!$F$10),1,0))</f>
        <v>#REF!</v>
      </c>
      <c r="V3197" s="5" t="e">
        <f>IF(AND(#REF!&gt;=table!$C$11,#REF!&lt;= table!$D$11),-1,IF(AND(#REF!&gt;=table!$E$11,#REF!&lt;=table!$F$11),1,0))</f>
        <v>#REF!</v>
      </c>
      <c r="W3197" s="5" t="e">
        <f>CONCATENATE(dados[[#This Row],[fator1]],dados[[#This Row],[fator5]],dados[[#This Row],[fator6]])</f>
        <v>#REF!</v>
      </c>
    </row>
    <row r="3198" spans="1:23">
      <c r="A3198" t="s">
        <v>16</v>
      </c>
      <c r="B3198">
        <v>586380</v>
      </c>
      <c r="C3198">
        <v>9</v>
      </c>
      <c r="D3198">
        <v>40</v>
      </c>
      <c r="E3198">
        <v>130</v>
      </c>
      <c r="F3198">
        <v>6</v>
      </c>
      <c r="G3198">
        <v>0</v>
      </c>
      <c r="H3198">
        <v>25</v>
      </c>
      <c r="I3198">
        <v>2091</v>
      </c>
      <c r="J3198">
        <v>0</v>
      </c>
      <c r="K3198">
        <v>5.5550000000000006</v>
      </c>
      <c r="L3198">
        <v>9.75</v>
      </c>
      <c r="M3198">
        <v>108.60000000000001</v>
      </c>
      <c r="N3198">
        <v>16.7</v>
      </c>
      <c r="O3198">
        <v>1683</v>
      </c>
      <c r="P3198">
        <v>0</v>
      </c>
      <c r="Q3198" s="5" t="e">
        <f>IF(AND(#REF!&gt;=table!$C$6,#REF!&lt;= table!$D$6),-1,IF(AND(#REF!&gt;=table!$E$6,#REF!&lt;=table!$F$6),1,0))</f>
        <v>#REF!</v>
      </c>
      <c r="R3198" s="5" t="e">
        <f>IF(AND(#REF!&gt;=table!$C$7,#REF!&lt;= table!$D$7),-1,IF(AND(#REF!&gt;=table!$E$7,#REF!&lt;=table!$F$7),1,0))</f>
        <v>#REF!</v>
      </c>
      <c r="S3198" s="5" t="e">
        <f>IF(AND(#REF!&gt;=table!$C$8,#REF!&lt;= table!$D$8),-1,IF(AND(#REF!&gt;=table!$E$8,#REF!&lt;=table!$F$8),1,0))</f>
        <v>#REF!</v>
      </c>
      <c r="T3198" s="5"/>
      <c r="U3198" s="5" t="e">
        <f>IF(AND(#REF!&gt;=table!$C$10,#REF!&lt;= table!$D$10),-1,IF(AND(#REF!&gt;=table!$E$10,#REF!&lt;=table!$F$10),1,0))</f>
        <v>#REF!</v>
      </c>
      <c r="V3198" s="5" t="e">
        <f>IF(AND(#REF!&gt;=table!$C$11,#REF!&lt;= table!$D$11),-1,IF(AND(#REF!&gt;=table!$E$11,#REF!&lt;=table!$F$11),1,0))</f>
        <v>#REF!</v>
      </c>
      <c r="W3198" s="5" t="e">
        <f>CONCATENATE(dados[[#This Row],[fator1]],dados[[#This Row],[fator5]],dados[[#This Row],[fator6]])</f>
        <v>#REF!</v>
      </c>
    </row>
    <row r="3199" spans="1:23">
      <c r="A3199" t="s">
        <v>17</v>
      </c>
      <c r="B3199">
        <v>586382</v>
      </c>
      <c r="C3199">
        <v>8</v>
      </c>
      <c r="D3199">
        <v>30</v>
      </c>
      <c r="E3199">
        <v>153</v>
      </c>
      <c r="F3199">
        <v>2</v>
      </c>
      <c r="G3199">
        <v>20</v>
      </c>
      <c r="H3199">
        <v>18</v>
      </c>
      <c r="I3199">
        <v>263</v>
      </c>
      <c r="J3199">
        <v>0</v>
      </c>
      <c r="K3199">
        <v>5.01</v>
      </c>
      <c r="L3199">
        <v>8.1999999999999993</v>
      </c>
      <c r="M3199">
        <v>131.10500000000002</v>
      </c>
      <c r="N3199">
        <v>12.35</v>
      </c>
      <c r="O3199">
        <v>1711</v>
      </c>
      <c r="P3199">
        <v>783</v>
      </c>
      <c r="Q3199" s="5" t="e">
        <f>IF(AND(#REF!&gt;=table!$C$6,#REF!&lt;= table!$D$6),-1,IF(AND(#REF!&gt;=table!$E$6,#REF!&lt;=table!$F$6),1,0))</f>
        <v>#REF!</v>
      </c>
      <c r="R3199" s="5" t="e">
        <f>IF(AND(#REF!&gt;=table!$C$7,#REF!&lt;= table!$D$7),-1,IF(AND(#REF!&gt;=table!$E$7,#REF!&lt;=table!$F$7),1,0))</f>
        <v>#REF!</v>
      </c>
      <c r="S3199" s="5" t="e">
        <f>IF(AND(#REF!&gt;=table!$C$8,#REF!&lt;= table!$D$8),-1,IF(AND(#REF!&gt;=table!$E$8,#REF!&lt;=table!$F$8),1,0))</f>
        <v>#REF!</v>
      </c>
      <c r="T3199" s="5"/>
      <c r="U3199" s="5" t="e">
        <f>IF(AND(#REF!&gt;=table!$C$10,#REF!&lt;= table!$D$10),-1,IF(AND(#REF!&gt;=table!$E$10,#REF!&lt;=table!$F$10),1,0))</f>
        <v>#REF!</v>
      </c>
      <c r="V3199" s="5" t="e">
        <f>IF(AND(#REF!&gt;=table!$C$11,#REF!&lt;= table!$D$11),-1,IF(AND(#REF!&gt;=table!$E$11,#REF!&lt;=table!$F$11),1,0))</f>
        <v>#REF!</v>
      </c>
      <c r="W3199" s="5" t="e">
        <f>CONCATENATE(dados[[#This Row],[fator1]],dados[[#This Row],[fator5]],dados[[#This Row],[fator6]])</f>
        <v>#REF!</v>
      </c>
    </row>
    <row r="3200" spans="1:23">
      <c r="A3200" t="s">
        <v>16</v>
      </c>
      <c r="B3200">
        <v>586384</v>
      </c>
      <c r="C3200">
        <v>12</v>
      </c>
      <c r="D3200">
        <v>35</v>
      </c>
      <c r="E3200">
        <v>180</v>
      </c>
      <c r="F3200">
        <v>6</v>
      </c>
      <c r="G3200">
        <v>0</v>
      </c>
      <c r="H3200">
        <v>20</v>
      </c>
      <c r="I3200">
        <v>539</v>
      </c>
      <c r="J3200">
        <v>0</v>
      </c>
      <c r="K3200">
        <v>3.88</v>
      </c>
      <c r="L3200">
        <v>7</v>
      </c>
      <c r="M3200">
        <v>102.41500000000001</v>
      </c>
      <c r="N3200">
        <v>12.31</v>
      </c>
      <c r="O3200">
        <v>1690</v>
      </c>
      <c r="P3200">
        <v>0</v>
      </c>
      <c r="Q3200" s="5" t="e">
        <f>IF(AND(#REF!&gt;=table!$C$6,#REF!&lt;= table!$D$6),-1,IF(AND(#REF!&gt;=table!$E$6,#REF!&lt;=table!$F$6),1,0))</f>
        <v>#REF!</v>
      </c>
      <c r="R3200" s="5" t="e">
        <f>IF(AND(#REF!&gt;=table!$C$7,#REF!&lt;= table!$D$7),-1,IF(AND(#REF!&gt;=table!$E$7,#REF!&lt;=table!$F$7),1,0))</f>
        <v>#REF!</v>
      </c>
      <c r="S3200" s="5" t="e">
        <f>IF(AND(#REF!&gt;=table!$C$8,#REF!&lt;= table!$D$8),-1,IF(AND(#REF!&gt;=table!$E$8,#REF!&lt;=table!$F$8),1,0))</f>
        <v>#REF!</v>
      </c>
      <c r="T3200" s="5"/>
      <c r="U3200" s="5" t="e">
        <f>IF(AND(#REF!&gt;=table!$C$10,#REF!&lt;= table!$D$10),-1,IF(AND(#REF!&gt;=table!$E$10,#REF!&lt;=table!$F$10),1,0))</f>
        <v>#REF!</v>
      </c>
      <c r="V3200" s="5" t="e">
        <f>IF(AND(#REF!&gt;=table!$C$11,#REF!&lt;= table!$D$11),-1,IF(AND(#REF!&gt;=table!$E$11,#REF!&lt;=table!$F$11),1,0))</f>
        <v>#REF!</v>
      </c>
      <c r="W3200" s="5" t="e">
        <f>CONCATENATE(dados[[#This Row],[fator1]],dados[[#This Row],[fator5]],dados[[#This Row],[fator6]])</f>
        <v>#REF!</v>
      </c>
    </row>
    <row r="3201" spans="1:23">
      <c r="A3201" t="s">
        <v>16</v>
      </c>
      <c r="B3201">
        <v>586385</v>
      </c>
      <c r="C3201">
        <v>8</v>
      </c>
      <c r="D3201">
        <v>30</v>
      </c>
      <c r="E3201">
        <v>65</v>
      </c>
      <c r="F3201">
        <v>8</v>
      </c>
      <c r="G3201">
        <v>0</v>
      </c>
      <c r="H3201">
        <v>25</v>
      </c>
      <c r="I3201">
        <v>6</v>
      </c>
      <c r="J3201">
        <v>0</v>
      </c>
      <c r="K3201">
        <v>3.5950000000000002</v>
      </c>
      <c r="L3201">
        <v>7.95</v>
      </c>
      <c r="M3201">
        <v>50.734999999999999</v>
      </c>
      <c r="N3201">
        <v>10.445</v>
      </c>
      <c r="O3201">
        <v>1673</v>
      </c>
      <c r="P3201">
        <v>0</v>
      </c>
      <c r="Q3201" s="5" t="e">
        <f>IF(AND(#REF!&gt;=table!$C$6,#REF!&lt;= table!$D$6),-1,IF(AND(#REF!&gt;=table!$E$6,#REF!&lt;=table!$F$6),1,0))</f>
        <v>#REF!</v>
      </c>
      <c r="R3201" s="5" t="e">
        <f>IF(AND(#REF!&gt;=table!$C$7,#REF!&lt;= table!$D$7),-1,IF(AND(#REF!&gt;=table!$E$7,#REF!&lt;=table!$F$7),1,0))</f>
        <v>#REF!</v>
      </c>
      <c r="S3201" s="5" t="e">
        <f>IF(AND(#REF!&gt;=table!$C$8,#REF!&lt;= table!$D$8),-1,IF(AND(#REF!&gt;=table!$E$8,#REF!&lt;=table!$F$8),1,0))</f>
        <v>#REF!</v>
      </c>
      <c r="T3201" s="5"/>
      <c r="U3201" s="5" t="e">
        <f>IF(AND(#REF!&gt;=table!$C$10,#REF!&lt;= table!$D$10),-1,IF(AND(#REF!&gt;=table!$E$10,#REF!&lt;=table!$F$10),1,0))</f>
        <v>#REF!</v>
      </c>
      <c r="V3201" s="5" t="e">
        <f>IF(AND(#REF!&gt;=table!$C$11,#REF!&lt;= table!$D$11),-1,IF(AND(#REF!&gt;=table!$E$11,#REF!&lt;=table!$F$11),1,0))</f>
        <v>#REF!</v>
      </c>
      <c r="W3201" s="5" t="e">
        <f>CONCATENATE(dados[[#This Row],[fator1]],dados[[#This Row],[fator5]],dados[[#This Row],[fator6]])</f>
        <v>#REF!</v>
      </c>
    </row>
    <row r="3202" spans="1:23">
      <c r="A3202" t="s">
        <v>16</v>
      </c>
      <c r="B3202">
        <v>586386</v>
      </c>
      <c r="C3202">
        <v>8</v>
      </c>
      <c r="D3202">
        <v>30</v>
      </c>
      <c r="E3202">
        <v>61</v>
      </c>
      <c r="F3202">
        <v>8</v>
      </c>
      <c r="G3202">
        <v>0</v>
      </c>
      <c r="H3202">
        <v>25</v>
      </c>
      <c r="I3202">
        <v>3</v>
      </c>
      <c r="J3202">
        <v>0</v>
      </c>
      <c r="K3202">
        <v>4.5250000000000004</v>
      </c>
      <c r="L3202">
        <v>7.2850000000000001</v>
      </c>
      <c r="M3202">
        <v>42.5</v>
      </c>
      <c r="N3202">
        <v>14.200000000000001</v>
      </c>
      <c r="O3202">
        <v>1681</v>
      </c>
      <c r="P3202">
        <v>906</v>
      </c>
      <c r="Q3202" s="5" t="e">
        <f>IF(AND(#REF!&gt;=table!$C$6,#REF!&lt;= table!$D$6),-1,IF(AND(#REF!&gt;=table!$E$6,#REF!&lt;=table!$F$6),1,0))</f>
        <v>#REF!</v>
      </c>
      <c r="R3202" s="5" t="e">
        <f>IF(AND(#REF!&gt;=table!$C$7,#REF!&lt;= table!$D$7),-1,IF(AND(#REF!&gt;=table!$E$7,#REF!&lt;=table!$F$7),1,0))</f>
        <v>#REF!</v>
      </c>
      <c r="S3202" s="5" t="e">
        <f>IF(AND(#REF!&gt;=table!$C$8,#REF!&lt;= table!$D$8),-1,IF(AND(#REF!&gt;=table!$E$8,#REF!&lt;=table!$F$8),1,0))</f>
        <v>#REF!</v>
      </c>
      <c r="T3202" s="5"/>
      <c r="U3202" s="5" t="e">
        <f>IF(AND(#REF!&gt;=table!$C$10,#REF!&lt;= table!$D$10),-1,IF(AND(#REF!&gt;=table!$E$10,#REF!&lt;=table!$F$10),1,0))</f>
        <v>#REF!</v>
      </c>
      <c r="V3202" s="5" t="e">
        <f>IF(AND(#REF!&gt;=table!$C$11,#REF!&lt;= table!$D$11),-1,IF(AND(#REF!&gt;=table!$E$11,#REF!&lt;=table!$F$11),1,0))</f>
        <v>#REF!</v>
      </c>
      <c r="W3202" s="5" t="e">
        <f>CONCATENATE(dados[[#This Row],[fator1]],dados[[#This Row],[fator5]],dados[[#This Row],[fator6]])</f>
        <v>#REF!</v>
      </c>
    </row>
    <row r="3203" spans="1:23">
      <c r="A3203" t="s">
        <v>16</v>
      </c>
      <c r="B3203">
        <v>586387</v>
      </c>
      <c r="C3203">
        <v>8</v>
      </c>
      <c r="D3203">
        <v>40</v>
      </c>
      <c r="E3203">
        <v>61</v>
      </c>
      <c r="F3203">
        <v>8</v>
      </c>
      <c r="G3203">
        <v>0</v>
      </c>
      <c r="H3203">
        <v>25</v>
      </c>
      <c r="I3203">
        <v>0</v>
      </c>
      <c r="J3203">
        <v>0</v>
      </c>
      <c r="K3203">
        <v>3.3867000000000003</v>
      </c>
      <c r="L3203">
        <v>11.75</v>
      </c>
      <c r="M3203">
        <v>44.95</v>
      </c>
      <c r="N3203">
        <v>19.95</v>
      </c>
      <c r="O3203">
        <v>1706</v>
      </c>
      <c r="P3203">
        <v>0</v>
      </c>
      <c r="Q3203" s="5" t="e">
        <f>IF(AND(#REF!&gt;=table!$C$6,#REF!&lt;= table!$D$6),-1,IF(AND(#REF!&gt;=table!$E$6,#REF!&lt;=table!$F$6),1,0))</f>
        <v>#REF!</v>
      </c>
      <c r="R3203" s="5" t="e">
        <f>IF(AND(#REF!&gt;=table!$C$7,#REF!&lt;= table!$D$7),-1,IF(AND(#REF!&gt;=table!$E$7,#REF!&lt;=table!$F$7),1,0))</f>
        <v>#REF!</v>
      </c>
      <c r="S3203" s="5" t="e">
        <f>IF(AND(#REF!&gt;=table!$C$8,#REF!&lt;= table!$D$8),-1,IF(AND(#REF!&gt;=table!$E$8,#REF!&lt;=table!$F$8),1,0))</f>
        <v>#REF!</v>
      </c>
      <c r="T3203" s="5"/>
      <c r="U3203" s="5" t="e">
        <f>IF(AND(#REF!&gt;=table!$C$10,#REF!&lt;= table!$D$10),-1,IF(AND(#REF!&gt;=table!$E$10,#REF!&lt;=table!$F$10),1,0))</f>
        <v>#REF!</v>
      </c>
      <c r="V3203" s="5" t="e">
        <f>IF(AND(#REF!&gt;=table!$C$11,#REF!&lt;= table!$D$11),-1,IF(AND(#REF!&gt;=table!$E$11,#REF!&lt;=table!$F$11),1,0))</f>
        <v>#REF!</v>
      </c>
      <c r="W3203" s="5" t="e">
        <f>CONCATENATE(dados[[#This Row],[fator1]],dados[[#This Row],[fator5]],dados[[#This Row],[fator6]])</f>
        <v>#REF!</v>
      </c>
    </row>
    <row r="3204" spans="1:23">
      <c r="A3204" t="s">
        <v>17</v>
      </c>
      <c r="B3204">
        <v>586390</v>
      </c>
      <c r="C3204">
        <v>18</v>
      </c>
      <c r="D3204">
        <v>23</v>
      </c>
      <c r="E3204">
        <v>145</v>
      </c>
      <c r="F3204">
        <v>9</v>
      </c>
      <c r="G3204">
        <v>30</v>
      </c>
      <c r="H3204">
        <v>25</v>
      </c>
      <c r="I3204">
        <v>2</v>
      </c>
      <c r="J3204">
        <v>0</v>
      </c>
      <c r="K3204">
        <v>4.7050000000000001</v>
      </c>
      <c r="L3204">
        <v>10.005000000000001</v>
      </c>
      <c r="M3204">
        <v>116.8</v>
      </c>
      <c r="N3204">
        <v>17.25</v>
      </c>
      <c r="O3204">
        <v>1676</v>
      </c>
      <c r="P3204">
        <v>0</v>
      </c>
      <c r="Q3204" s="5" t="e">
        <f>IF(AND(#REF!&gt;=table!$C$6,#REF!&lt;= table!$D$6),-1,IF(AND(#REF!&gt;=table!$E$6,#REF!&lt;=table!$F$6),1,0))</f>
        <v>#REF!</v>
      </c>
      <c r="R3204" s="5" t="e">
        <f>IF(AND(#REF!&gt;=table!$C$7,#REF!&lt;= table!$D$7),-1,IF(AND(#REF!&gt;=table!$E$7,#REF!&lt;=table!$F$7),1,0))</f>
        <v>#REF!</v>
      </c>
      <c r="S3204" s="5" t="e">
        <f>IF(AND(#REF!&gt;=table!$C$8,#REF!&lt;= table!$D$8),-1,IF(AND(#REF!&gt;=table!$E$8,#REF!&lt;=table!$F$8),1,0))</f>
        <v>#REF!</v>
      </c>
      <c r="T3204" s="5"/>
      <c r="U3204" s="5" t="e">
        <f>IF(AND(#REF!&gt;=table!$C$10,#REF!&lt;= table!$D$10),-1,IF(AND(#REF!&gt;=table!$E$10,#REF!&lt;=table!$F$10),1,0))</f>
        <v>#REF!</v>
      </c>
      <c r="V3204" s="5" t="e">
        <f>IF(AND(#REF!&gt;=table!$C$11,#REF!&lt;= table!$D$11),-1,IF(AND(#REF!&gt;=table!$E$11,#REF!&lt;=table!$F$11),1,0))</f>
        <v>#REF!</v>
      </c>
      <c r="W3204" s="5" t="e">
        <f>CONCATENATE(dados[[#This Row],[fator1]],dados[[#This Row],[fator5]],dados[[#This Row],[fator6]])</f>
        <v>#REF!</v>
      </c>
    </row>
    <row r="3205" spans="1:23">
      <c r="A3205" t="s">
        <v>17</v>
      </c>
      <c r="B3205">
        <v>586391</v>
      </c>
      <c r="C3205">
        <v>18</v>
      </c>
      <c r="D3205">
        <v>30</v>
      </c>
      <c r="E3205">
        <v>160</v>
      </c>
      <c r="F3205">
        <v>4</v>
      </c>
      <c r="G3205">
        <v>20</v>
      </c>
      <c r="H3205">
        <v>25</v>
      </c>
      <c r="I3205">
        <v>967</v>
      </c>
      <c r="J3205">
        <v>770</v>
      </c>
      <c r="K3205">
        <v>5.5600000000000005</v>
      </c>
      <c r="L3205">
        <v>12.33</v>
      </c>
      <c r="M3205">
        <v>111.55</v>
      </c>
      <c r="N3205">
        <v>19.3</v>
      </c>
      <c r="O3205">
        <v>1699</v>
      </c>
      <c r="P3205">
        <v>819</v>
      </c>
      <c r="Q3205" s="5" t="e">
        <f>IF(AND(#REF!&gt;=table!$C$6,#REF!&lt;= table!$D$6),-1,IF(AND(#REF!&gt;=table!$E$6,#REF!&lt;=table!$F$6),1,0))</f>
        <v>#REF!</v>
      </c>
      <c r="R3205" s="5" t="e">
        <f>IF(AND(#REF!&gt;=table!$C$7,#REF!&lt;= table!$D$7),-1,IF(AND(#REF!&gt;=table!$E$7,#REF!&lt;=table!$F$7),1,0))</f>
        <v>#REF!</v>
      </c>
      <c r="S3205" s="5" t="e">
        <f>IF(AND(#REF!&gt;=table!$C$8,#REF!&lt;= table!$D$8),-1,IF(AND(#REF!&gt;=table!$E$8,#REF!&lt;=table!$F$8),1,0))</f>
        <v>#REF!</v>
      </c>
      <c r="T3205" s="5"/>
      <c r="U3205" s="5" t="e">
        <f>IF(AND(#REF!&gt;=table!$C$10,#REF!&lt;= table!$D$10),-1,IF(AND(#REF!&gt;=table!$E$10,#REF!&lt;=table!$F$10),1,0))</f>
        <v>#REF!</v>
      </c>
      <c r="V3205" s="5" t="e">
        <f>IF(AND(#REF!&gt;=table!$C$11,#REF!&lt;= table!$D$11),-1,IF(AND(#REF!&gt;=table!$E$11,#REF!&lt;=table!$F$11),1,0))</f>
        <v>#REF!</v>
      </c>
      <c r="W3205" s="5" t="e">
        <f>CONCATENATE(dados[[#This Row],[fator1]],dados[[#This Row],[fator5]],dados[[#This Row],[fator6]])</f>
        <v>#REF!</v>
      </c>
    </row>
    <row r="3206" spans="1:23">
      <c r="A3206" t="s">
        <v>17</v>
      </c>
      <c r="B3206">
        <v>586392</v>
      </c>
      <c r="C3206">
        <v>18</v>
      </c>
      <c r="D3206">
        <v>30</v>
      </c>
      <c r="E3206">
        <v>160</v>
      </c>
      <c r="F3206">
        <v>4</v>
      </c>
      <c r="G3206">
        <v>20</v>
      </c>
      <c r="H3206">
        <v>25</v>
      </c>
      <c r="I3206">
        <v>22</v>
      </c>
      <c r="J3206">
        <v>0</v>
      </c>
      <c r="K3206">
        <v>6.415</v>
      </c>
      <c r="L3206">
        <v>13.225000000000001</v>
      </c>
      <c r="M3206">
        <v>130.46</v>
      </c>
      <c r="N3206">
        <v>19.595000000000002</v>
      </c>
      <c r="O3206">
        <v>1690</v>
      </c>
      <c r="P3206">
        <v>613</v>
      </c>
      <c r="Q3206" s="5" t="e">
        <f>IF(AND(#REF!&gt;=table!$C$6,#REF!&lt;= table!$D$6),-1,IF(AND(#REF!&gt;=table!$E$6,#REF!&lt;=table!$F$6),1,0))</f>
        <v>#REF!</v>
      </c>
      <c r="R3206" s="5" t="e">
        <f>IF(AND(#REF!&gt;=table!$C$7,#REF!&lt;= table!$D$7),-1,IF(AND(#REF!&gt;=table!$E$7,#REF!&lt;=table!$F$7),1,0))</f>
        <v>#REF!</v>
      </c>
      <c r="S3206" s="5" t="e">
        <f>IF(AND(#REF!&gt;=table!$C$8,#REF!&lt;= table!$D$8),-1,IF(AND(#REF!&gt;=table!$E$8,#REF!&lt;=table!$F$8),1,0))</f>
        <v>#REF!</v>
      </c>
      <c r="T3206" s="5"/>
      <c r="U3206" s="5" t="e">
        <f>IF(AND(#REF!&gt;=table!$C$10,#REF!&lt;= table!$D$10),-1,IF(AND(#REF!&gt;=table!$E$10,#REF!&lt;=table!$F$10),1,0))</f>
        <v>#REF!</v>
      </c>
      <c r="V3206" s="5" t="e">
        <f>IF(AND(#REF!&gt;=table!$C$11,#REF!&lt;= table!$D$11),-1,IF(AND(#REF!&gt;=table!$E$11,#REF!&lt;=table!$F$11),1,0))</f>
        <v>#REF!</v>
      </c>
      <c r="W3206" s="5" t="e">
        <f>CONCATENATE(dados[[#This Row],[fator1]],dados[[#This Row],[fator5]],dados[[#This Row],[fator6]])</f>
        <v>#REF!</v>
      </c>
    </row>
    <row r="3207" spans="1:23">
      <c r="A3207" t="s">
        <v>16</v>
      </c>
      <c r="B3207">
        <v>586393</v>
      </c>
      <c r="C3207">
        <v>3</v>
      </c>
      <c r="D3207">
        <v>30</v>
      </c>
      <c r="E3207">
        <v>21</v>
      </c>
      <c r="F3207">
        <v>15</v>
      </c>
      <c r="G3207">
        <v>0</v>
      </c>
      <c r="H3207">
        <v>25</v>
      </c>
      <c r="I3207">
        <v>89</v>
      </c>
      <c r="J3207">
        <v>0</v>
      </c>
      <c r="K3207">
        <v>6.01</v>
      </c>
      <c r="L3207">
        <v>10.26</v>
      </c>
      <c r="M3207">
        <v>10</v>
      </c>
      <c r="N3207">
        <v>11.75</v>
      </c>
      <c r="O3207">
        <v>1676</v>
      </c>
      <c r="P3207">
        <v>677</v>
      </c>
      <c r="Q3207" s="5" t="e">
        <f>IF(AND(#REF!&gt;=table!$C$6,#REF!&lt;= table!$D$6),-1,IF(AND(#REF!&gt;=table!$E$6,#REF!&lt;=table!$F$6),1,0))</f>
        <v>#REF!</v>
      </c>
      <c r="R3207" s="5" t="e">
        <f>IF(AND(#REF!&gt;=table!$C$7,#REF!&lt;= table!$D$7),-1,IF(AND(#REF!&gt;=table!$E$7,#REF!&lt;=table!$F$7),1,0))</f>
        <v>#REF!</v>
      </c>
      <c r="S3207" s="5" t="e">
        <f>IF(AND(#REF!&gt;=table!$C$8,#REF!&lt;= table!$D$8),-1,IF(AND(#REF!&gt;=table!$E$8,#REF!&lt;=table!$F$8),1,0))</f>
        <v>#REF!</v>
      </c>
      <c r="T3207" s="5"/>
      <c r="U3207" s="5" t="e">
        <f>IF(AND(#REF!&gt;=table!$C$10,#REF!&lt;= table!$D$10),-1,IF(AND(#REF!&gt;=table!$E$10,#REF!&lt;=table!$F$10),1,0))</f>
        <v>#REF!</v>
      </c>
      <c r="V3207" s="5" t="e">
        <f>IF(AND(#REF!&gt;=table!$C$11,#REF!&lt;= table!$D$11),-1,IF(AND(#REF!&gt;=table!$E$11,#REF!&lt;=table!$F$11),1,0))</f>
        <v>#REF!</v>
      </c>
      <c r="W3207" s="5" t="e">
        <f>CONCATENATE(dados[[#This Row],[fator1]],dados[[#This Row],[fator5]],dados[[#This Row],[fator6]])</f>
        <v>#REF!</v>
      </c>
    </row>
    <row r="3208" spans="1:23">
      <c r="A3208" t="s">
        <v>16</v>
      </c>
      <c r="B3208">
        <v>586396</v>
      </c>
      <c r="C3208">
        <v>6</v>
      </c>
      <c r="D3208">
        <v>25</v>
      </c>
      <c r="E3208">
        <v>120</v>
      </c>
      <c r="F3208">
        <v>4</v>
      </c>
      <c r="G3208">
        <v>0</v>
      </c>
      <c r="H3208">
        <v>55</v>
      </c>
      <c r="I3208">
        <v>0</v>
      </c>
      <c r="J3208">
        <v>0</v>
      </c>
      <c r="K3208">
        <v>2.4279999999999999</v>
      </c>
      <c r="L3208">
        <v>10.415000000000001</v>
      </c>
      <c r="M3208">
        <v>106.79</v>
      </c>
      <c r="N3208">
        <v>44.93</v>
      </c>
      <c r="O3208">
        <v>1733</v>
      </c>
      <c r="P3208">
        <v>0</v>
      </c>
      <c r="Q3208" s="5" t="e">
        <f>IF(AND(#REF!&gt;=table!$C$6,#REF!&lt;= table!$D$6),-1,IF(AND(#REF!&gt;=table!$E$6,#REF!&lt;=table!$F$6),1,0))</f>
        <v>#REF!</v>
      </c>
      <c r="R3208" s="5" t="e">
        <f>IF(AND(#REF!&gt;=table!$C$7,#REF!&lt;= table!$D$7),-1,IF(AND(#REF!&gt;=table!$E$7,#REF!&lt;=table!$F$7),1,0))</f>
        <v>#REF!</v>
      </c>
      <c r="S3208" s="5" t="e">
        <f>IF(AND(#REF!&gt;=table!$C$8,#REF!&lt;= table!$D$8),-1,IF(AND(#REF!&gt;=table!$E$8,#REF!&lt;=table!$F$8),1,0))</f>
        <v>#REF!</v>
      </c>
      <c r="T3208" s="5"/>
      <c r="U3208" s="5" t="e">
        <f>IF(AND(#REF!&gt;=table!$C$10,#REF!&lt;= table!$D$10),-1,IF(AND(#REF!&gt;=table!$E$10,#REF!&lt;=table!$F$10),1,0))</f>
        <v>#REF!</v>
      </c>
      <c r="V3208" s="5" t="e">
        <f>IF(AND(#REF!&gt;=table!$C$11,#REF!&lt;= table!$D$11),-1,IF(AND(#REF!&gt;=table!$E$11,#REF!&lt;=table!$F$11),1,0))</f>
        <v>#REF!</v>
      </c>
      <c r="W3208" s="5" t="e">
        <f>CONCATENATE(dados[[#This Row],[fator1]],dados[[#This Row],[fator5]],dados[[#This Row],[fator6]])</f>
        <v>#REF!</v>
      </c>
    </row>
    <row r="3209" spans="1:23">
      <c r="A3209" t="s">
        <v>16</v>
      </c>
      <c r="B3209">
        <v>586397</v>
      </c>
      <c r="C3209">
        <v>6</v>
      </c>
      <c r="D3209">
        <v>25</v>
      </c>
      <c r="E3209">
        <v>120</v>
      </c>
      <c r="F3209">
        <v>4</v>
      </c>
      <c r="G3209">
        <v>0</v>
      </c>
      <c r="H3209">
        <v>55</v>
      </c>
      <c r="I3209">
        <v>27</v>
      </c>
      <c r="J3209">
        <v>0</v>
      </c>
      <c r="K3209">
        <v>2.395</v>
      </c>
      <c r="L3209">
        <v>6.7</v>
      </c>
      <c r="M3209">
        <v>101.91500000000001</v>
      </c>
      <c r="N3209">
        <v>38.61</v>
      </c>
      <c r="O3209">
        <v>1697</v>
      </c>
      <c r="P3209">
        <v>0</v>
      </c>
      <c r="Q3209" s="5" t="e">
        <f>IF(AND(#REF!&gt;=table!$C$6,#REF!&lt;= table!$D$6),-1,IF(AND(#REF!&gt;=table!$E$6,#REF!&lt;=table!$F$6),1,0))</f>
        <v>#REF!</v>
      </c>
      <c r="R3209" s="5" t="e">
        <f>IF(AND(#REF!&gt;=table!$C$7,#REF!&lt;= table!$D$7),-1,IF(AND(#REF!&gt;=table!$E$7,#REF!&lt;=table!$F$7),1,0))</f>
        <v>#REF!</v>
      </c>
      <c r="S3209" s="5" t="e">
        <f>IF(AND(#REF!&gt;=table!$C$8,#REF!&lt;= table!$D$8),-1,IF(AND(#REF!&gt;=table!$E$8,#REF!&lt;=table!$F$8),1,0))</f>
        <v>#REF!</v>
      </c>
      <c r="T3209" s="5"/>
      <c r="U3209" s="5" t="e">
        <f>IF(AND(#REF!&gt;=table!$C$10,#REF!&lt;= table!$D$10),-1,IF(AND(#REF!&gt;=table!$E$10,#REF!&lt;=table!$F$10),1,0))</f>
        <v>#REF!</v>
      </c>
      <c r="V3209" s="5" t="e">
        <f>IF(AND(#REF!&gt;=table!$C$11,#REF!&lt;= table!$D$11),-1,IF(AND(#REF!&gt;=table!$E$11,#REF!&lt;=table!$F$11),1,0))</f>
        <v>#REF!</v>
      </c>
      <c r="W3209" s="5" t="e">
        <f>CONCATENATE(dados[[#This Row],[fator1]],dados[[#This Row],[fator5]],dados[[#This Row],[fator6]])</f>
        <v>#REF!</v>
      </c>
    </row>
    <row r="3210" spans="1:23">
      <c r="A3210" t="s">
        <v>16</v>
      </c>
      <c r="B3210">
        <v>586398</v>
      </c>
      <c r="C3210">
        <v>10</v>
      </c>
      <c r="D3210">
        <v>30</v>
      </c>
      <c r="E3210">
        <v>150</v>
      </c>
      <c r="F3210">
        <v>4</v>
      </c>
      <c r="G3210">
        <v>0</v>
      </c>
      <c r="H3210">
        <v>25</v>
      </c>
      <c r="I3210">
        <v>4</v>
      </c>
      <c r="J3210">
        <v>0</v>
      </c>
      <c r="K3210">
        <v>3.06</v>
      </c>
      <c r="L3210">
        <v>11.1</v>
      </c>
      <c r="M3210">
        <v>102.7</v>
      </c>
      <c r="N3210">
        <v>17.850000000000001</v>
      </c>
      <c r="O3210">
        <v>1690</v>
      </c>
      <c r="P3210">
        <v>857</v>
      </c>
      <c r="Q3210" s="5" t="e">
        <f>IF(AND(#REF!&gt;=table!$C$6,#REF!&lt;= table!$D$6),-1,IF(AND(#REF!&gt;=table!$E$6,#REF!&lt;=table!$F$6),1,0))</f>
        <v>#REF!</v>
      </c>
      <c r="R3210" s="5" t="e">
        <f>IF(AND(#REF!&gt;=table!$C$7,#REF!&lt;= table!$D$7),-1,IF(AND(#REF!&gt;=table!$E$7,#REF!&lt;=table!$F$7),1,0))</f>
        <v>#REF!</v>
      </c>
      <c r="S3210" s="5" t="e">
        <f>IF(AND(#REF!&gt;=table!$C$8,#REF!&lt;= table!$D$8),-1,IF(AND(#REF!&gt;=table!$E$8,#REF!&lt;=table!$F$8),1,0))</f>
        <v>#REF!</v>
      </c>
      <c r="T3210" s="5"/>
      <c r="U3210" s="5" t="e">
        <f>IF(AND(#REF!&gt;=table!$C$10,#REF!&lt;= table!$D$10),-1,IF(AND(#REF!&gt;=table!$E$10,#REF!&lt;=table!$F$10),1,0))</f>
        <v>#REF!</v>
      </c>
      <c r="V3210" s="5" t="e">
        <f>IF(AND(#REF!&gt;=table!$C$11,#REF!&lt;= table!$D$11),-1,IF(AND(#REF!&gt;=table!$E$11,#REF!&lt;=table!$F$11),1,0))</f>
        <v>#REF!</v>
      </c>
      <c r="W3210" s="5" t="e">
        <f>CONCATENATE(dados[[#This Row],[fator1]],dados[[#This Row],[fator5]],dados[[#This Row],[fator6]])</f>
        <v>#REF!</v>
      </c>
    </row>
    <row r="3211" spans="1:23">
      <c r="A3211" t="s">
        <v>17</v>
      </c>
      <c r="B3211">
        <v>586402</v>
      </c>
      <c r="C3211">
        <v>7</v>
      </c>
      <c r="D3211">
        <v>30</v>
      </c>
      <c r="E3211">
        <v>175</v>
      </c>
      <c r="F3211">
        <v>3</v>
      </c>
      <c r="G3211">
        <v>25</v>
      </c>
      <c r="H3211">
        <v>18</v>
      </c>
      <c r="I3211">
        <v>1003</v>
      </c>
      <c r="J3211">
        <v>0</v>
      </c>
      <c r="K3211">
        <v>2.72</v>
      </c>
      <c r="L3211">
        <v>3.6</v>
      </c>
      <c r="M3211">
        <v>148.30000000000001</v>
      </c>
      <c r="N3211">
        <v>13.700000000000001</v>
      </c>
      <c r="O3211">
        <v>1722</v>
      </c>
      <c r="P3211">
        <v>1772</v>
      </c>
      <c r="Q3211" s="5" t="e">
        <f>IF(AND(#REF!&gt;=table!$C$6,#REF!&lt;= table!$D$6),-1,IF(AND(#REF!&gt;=table!$E$6,#REF!&lt;=table!$F$6),1,0))</f>
        <v>#REF!</v>
      </c>
      <c r="R3211" s="5" t="e">
        <f>IF(AND(#REF!&gt;=table!$C$7,#REF!&lt;= table!$D$7),-1,IF(AND(#REF!&gt;=table!$E$7,#REF!&lt;=table!$F$7),1,0))</f>
        <v>#REF!</v>
      </c>
      <c r="S3211" s="5" t="e">
        <f>IF(AND(#REF!&gt;=table!$C$8,#REF!&lt;= table!$D$8),-1,IF(AND(#REF!&gt;=table!$E$8,#REF!&lt;=table!$F$8),1,0))</f>
        <v>#REF!</v>
      </c>
      <c r="T3211" s="5"/>
      <c r="U3211" s="5" t="e">
        <f>IF(AND(#REF!&gt;=table!$C$10,#REF!&lt;= table!$D$10),-1,IF(AND(#REF!&gt;=table!$E$10,#REF!&lt;=table!$F$10),1,0))</f>
        <v>#REF!</v>
      </c>
      <c r="V3211" s="5" t="e">
        <f>IF(AND(#REF!&gt;=table!$C$11,#REF!&lt;= table!$D$11),-1,IF(AND(#REF!&gt;=table!$E$11,#REF!&lt;=table!$F$11),1,0))</f>
        <v>#REF!</v>
      </c>
      <c r="W3211" s="5" t="e">
        <f>CONCATENATE(dados[[#This Row],[fator1]],dados[[#This Row],[fator5]],dados[[#This Row],[fator6]])</f>
        <v>#REF!</v>
      </c>
    </row>
    <row r="3212" spans="1:23">
      <c r="A3212" t="s">
        <v>16</v>
      </c>
      <c r="B3212">
        <v>586405</v>
      </c>
      <c r="C3212">
        <v>9</v>
      </c>
      <c r="D3212">
        <v>40</v>
      </c>
      <c r="E3212">
        <v>46</v>
      </c>
      <c r="F3212">
        <v>15</v>
      </c>
      <c r="G3212">
        <v>0</v>
      </c>
      <c r="H3212">
        <v>25</v>
      </c>
      <c r="I3212">
        <v>17</v>
      </c>
      <c r="J3212">
        <v>0</v>
      </c>
      <c r="K3212">
        <v>4.01</v>
      </c>
      <c r="L3212">
        <v>9.42</v>
      </c>
      <c r="M3212">
        <v>32.4</v>
      </c>
      <c r="N3212">
        <v>13.85</v>
      </c>
      <c r="O3212">
        <v>1667</v>
      </c>
      <c r="P3212">
        <v>656</v>
      </c>
      <c r="Q3212" s="5" t="e">
        <f>IF(AND(#REF!&gt;=table!$C$6,#REF!&lt;= table!$D$6),-1,IF(AND(#REF!&gt;=table!$E$6,#REF!&lt;=table!$F$6),1,0))</f>
        <v>#REF!</v>
      </c>
      <c r="R3212" s="5" t="e">
        <f>IF(AND(#REF!&gt;=table!$C$7,#REF!&lt;= table!$D$7),-1,IF(AND(#REF!&gt;=table!$E$7,#REF!&lt;=table!$F$7),1,0))</f>
        <v>#REF!</v>
      </c>
      <c r="S3212" s="5" t="e">
        <f>IF(AND(#REF!&gt;=table!$C$8,#REF!&lt;= table!$D$8),-1,IF(AND(#REF!&gt;=table!$E$8,#REF!&lt;=table!$F$8),1,0))</f>
        <v>#REF!</v>
      </c>
      <c r="T3212" s="5"/>
      <c r="U3212" s="5" t="e">
        <f>IF(AND(#REF!&gt;=table!$C$10,#REF!&lt;= table!$D$10),-1,IF(AND(#REF!&gt;=table!$E$10,#REF!&lt;=table!$F$10),1,0))</f>
        <v>#REF!</v>
      </c>
      <c r="V3212" s="5" t="e">
        <f>IF(AND(#REF!&gt;=table!$C$11,#REF!&lt;= table!$D$11),-1,IF(AND(#REF!&gt;=table!$E$11,#REF!&lt;=table!$F$11),1,0))</f>
        <v>#REF!</v>
      </c>
      <c r="W3212" s="5" t="e">
        <f>CONCATENATE(dados[[#This Row],[fator1]],dados[[#This Row],[fator5]],dados[[#This Row],[fator6]])</f>
        <v>#REF!</v>
      </c>
    </row>
    <row r="3213" spans="1:23">
      <c r="A3213" t="s">
        <v>16</v>
      </c>
      <c r="B3213">
        <v>586407</v>
      </c>
      <c r="C3213">
        <v>9</v>
      </c>
      <c r="D3213">
        <v>27</v>
      </c>
      <c r="E3213">
        <v>36</v>
      </c>
      <c r="F3213">
        <v>8</v>
      </c>
      <c r="G3213">
        <v>0</v>
      </c>
      <c r="H3213">
        <v>25</v>
      </c>
      <c r="I3213">
        <v>419</v>
      </c>
      <c r="J3213">
        <v>0</v>
      </c>
      <c r="K3213">
        <v>3.0050000000000003</v>
      </c>
      <c r="L3213">
        <v>6.5</v>
      </c>
      <c r="M3213">
        <v>27.400000000000002</v>
      </c>
      <c r="N3213">
        <v>13.4</v>
      </c>
      <c r="O3213">
        <v>1700</v>
      </c>
      <c r="P3213">
        <v>0</v>
      </c>
      <c r="Q3213" s="5" t="e">
        <f>IF(AND(#REF!&gt;=table!$C$6,#REF!&lt;= table!$D$6),-1,IF(AND(#REF!&gt;=table!$E$6,#REF!&lt;=table!$F$6),1,0))</f>
        <v>#REF!</v>
      </c>
      <c r="R3213" s="5" t="e">
        <f>IF(AND(#REF!&gt;=table!$C$7,#REF!&lt;= table!$D$7),-1,IF(AND(#REF!&gt;=table!$E$7,#REF!&lt;=table!$F$7),1,0))</f>
        <v>#REF!</v>
      </c>
      <c r="S3213" s="5" t="e">
        <f>IF(AND(#REF!&gt;=table!$C$8,#REF!&lt;= table!$D$8),-1,IF(AND(#REF!&gt;=table!$E$8,#REF!&lt;=table!$F$8),1,0))</f>
        <v>#REF!</v>
      </c>
      <c r="T3213" s="5"/>
      <c r="U3213" s="5" t="e">
        <f>IF(AND(#REF!&gt;=table!$C$10,#REF!&lt;= table!$D$10),-1,IF(AND(#REF!&gt;=table!$E$10,#REF!&lt;=table!$F$10),1,0))</f>
        <v>#REF!</v>
      </c>
      <c r="V3213" s="5" t="e">
        <f>IF(AND(#REF!&gt;=table!$C$11,#REF!&lt;= table!$D$11),-1,IF(AND(#REF!&gt;=table!$E$11,#REF!&lt;=table!$F$11),1,0))</f>
        <v>#REF!</v>
      </c>
      <c r="W3213" s="5" t="e">
        <f>CONCATENATE(dados[[#This Row],[fator1]],dados[[#This Row],[fator5]],dados[[#This Row],[fator6]])</f>
        <v>#REF!</v>
      </c>
    </row>
    <row r="3214" spans="1:23">
      <c r="A3214" t="s">
        <v>17</v>
      </c>
      <c r="B3214">
        <v>586409</v>
      </c>
      <c r="C3214">
        <v>6</v>
      </c>
      <c r="D3214">
        <v>30</v>
      </c>
      <c r="E3214">
        <v>110</v>
      </c>
      <c r="F3214">
        <v>8</v>
      </c>
      <c r="G3214">
        <v>21</v>
      </c>
      <c r="H3214">
        <v>25</v>
      </c>
      <c r="I3214">
        <v>487</v>
      </c>
      <c r="J3214">
        <v>830</v>
      </c>
      <c r="K3214">
        <v>2.7800000000000002</v>
      </c>
      <c r="L3214">
        <v>4.5</v>
      </c>
      <c r="M3214">
        <v>86.3</v>
      </c>
      <c r="N3214">
        <v>13.700000000000001</v>
      </c>
      <c r="O3214">
        <v>1680</v>
      </c>
      <c r="P3214">
        <v>1183</v>
      </c>
      <c r="Q3214" s="5" t="e">
        <f>IF(AND(#REF!&gt;=table!$C$6,#REF!&lt;= table!$D$6),-1,IF(AND(#REF!&gt;=table!$E$6,#REF!&lt;=table!$F$6),1,0))</f>
        <v>#REF!</v>
      </c>
      <c r="R3214" s="5" t="e">
        <f>IF(AND(#REF!&gt;=table!$C$7,#REF!&lt;= table!$D$7),-1,IF(AND(#REF!&gt;=table!$E$7,#REF!&lt;=table!$F$7),1,0))</f>
        <v>#REF!</v>
      </c>
      <c r="S3214" s="5" t="e">
        <f>IF(AND(#REF!&gt;=table!$C$8,#REF!&lt;= table!$D$8),-1,IF(AND(#REF!&gt;=table!$E$8,#REF!&lt;=table!$F$8),1,0))</f>
        <v>#REF!</v>
      </c>
      <c r="T3214" s="5"/>
      <c r="U3214" s="5" t="e">
        <f>IF(AND(#REF!&gt;=table!$C$10,#REF!&lt;= table!$D$10),-1,IF(AND(#REF!&gt;=table!$E$10,#REF!&lt;=table!$F$10),1,0))</f>
        <v>#REF!</v>
      </c>
      <c r="V3214" s="5" t="e">
        <f>IF(AND(#REF!&gt;=table!$C$11,#REF!&lt;= table!$D$11),-1,IF(AND(#REF!&gt;=table!$E$11,#REF!&lt;=table!$F$11),1,0))</f>
        <v>#REF!</v>
      </c>
      <c r="W3214" s="5" t="e">
        <f>CONCATENATE(dados[[#This Row],[fator1]],dados[[#This Row],[fator5]],dados[[#This Row],[fator6]])</f>
        <v>#REF!</v>
      </c>
    </row>
    <row r="3215" spans="1:23">
      <c r="A3215" t="s">
        <v>17</v>
      </c>
      <c r="B3215">
        <v>586410</v>
      </c>
      <c r="C3215">
        <v>6</v>
      </c>
      <c r="D3215">
        <v>30</v>
      </c>
      <c r="E3215">
        <v>110</v>
      </c>
      <c r="F3215">
        <v>10</v>
      </c>
      <c r="G3215">
        <v>21</v>
      </c>
      <c r="H3215">
        <v>25</v>
      </c>
      <c r="I3215">
        <v>14</v>
      </c>
      <c r="J3215">
        <v>0</v>
      </c>
      <c r="K3215">
        <v>2.89</v>
      </c>
      <c r="L3215">
        <v>7.1000000000000005</v>
      </c>
      <c r="M3215">
        <v>95.45</v>
      </c>
      <c r="N3215">
        <v>16.5</v>
      </c>
      <c r="O3215">
        <v>1672</v>
      </c>
      <c r="P3215">
        <v>1015</v>
      </c>
      <c r="Q3215" s="5" t="e">
        <f>IF(AND(#REF!&gt;=table!$C$6,#REF!&lt;= table!$D$6),-1,IF(AND(#REF!&gt;=table!$E$6,#REF!&lt;=table!$F$6),1,0))</f>
        <v>#REF!</v>
      </c>
      <c r="R3215" s="5" t="e">
        <f>IF(AND(#REF!&gt;=table!$C$7,#REF!&lt;= table!$D$7),-1,IF(AND(#REF!&gt;=table!$E$7,#REF!&lt;=table!$F$7),1,0))</f>
        <v>#REF!</v>
      </c>
      <c r="S3215" s="5" t="e">
        <f>IF(AND(#REF!&gt;=table!$C$8,#REF!&lt;= table!$D$8),-1,IF(AND(#REF!&gt;=table!$E$8,#REF!&lt;=table!$F$8),1,0))</f>
        <v>#REF!</v>
      </c>
      <c r="T3215" s="5"/>
      <c r="U3215" s="5" t="e">
        <f>IF(AND(#REF!&gt;=table!$C$10,#REF!&lt;= table!$D$10),-1,IF(AND(#REF!&gt;=table!$E$10,#REF!&lt;=table!$F$10),1,0))</f>
        <v>#REF!</v>
      </c>
      <c r="V3215" s="5" t="e">
        <f>IF(AND(#REF!&gt;=table!$C$11,#REF!&lt;= table!$D$11),-1,IF(AND(#REF!&gt;=table!$E$11,#REF!&lt;=table!$F$11),1,0))</f>
        <v>#REF!</v>
      </c>
      <c r="W3215" s="5" t="e">
        <f>CONCATENATE(dados[[#This Row],[fator1]],dados[[#This Row],[fator5]],dados[[#This Row],[fator6]])</f>
        <v>#REF!</v>
      </c>
    </row>
    <row r="3216" spans="1:23">
      <c r="A3216" t="s">
        <v>16</v>
      </c>
      <c r="B3216">
        <v>586415</v>
      </c>
      <c r="C3216">
        <v>0.15</v>
      </c>
      <c r="D3216">
        <v>40</v>
      </c>
      <c r="E3216">
        <v>10</v>
      </c>
      <c r="F3216">
        <v>15</v>
      </c>
      <c r="G3216">
        <v>0</v>
      </c>
      <c r="H3216">
        <v>15</v>
      </c>
      <c r="I3216">
        <v>733</v>
      </c>
      <c r="J3216">
        <v>0</v>
      </c>
      <c r="K3216">
        <v>5.7867000000000006</v>
      </c>
      <c r="L3216">
        <v>8.65</v>
      </c>
      <c r="M3216">
        <v>8.1</v>
      </c>
      <c r="N3216">
        <v>10.950000000000001</v>
      </c>
      <c r="O3216">
        <v>1683</v>
      </c>
      <c r="P3216">
        <v>735</v>
      </c>
      <c r="Q3216" s="5" t="e">
        <f>IF(AND(#REF!&gt;=table!$C$6,#REF!&lt;= table!$D$6),-1,IF(AND(#REF!&gt;=table!$E$6,#REF!&lt;=table!$F$6),1,0))</f>
        <v>#REF!</v>
      </c>
      <c r="R3216" s="5" t="e">
        <f>IF(AND(#REF!&gt;=table!$C$7,#REF!&lt;= table!$D$7),-1,IF(AND(#REF!&gt;=table!$E$7,#REF!&lt;=table!$F$7),1,0))</f>
        <v>#REF!</v>
      </c>
      <c r="S3216" s="5" t="e">
        <f>IF(AND(#REF!&gt;=table!$C$8,#REF!&lt;= table!$D$8),-1,IF(AND(#REF!&gt;=table!$E$8,#REF!&lt;=table!$F$8),1,0))</f>
        <v>#REF!</v>
      </c>
      <c r="T3216" s="5"/>
      <c r="U3216" s="5" t="e">
        <f>IF(AND(#REF!&gt;=table!$C$10,#REF!&lt;= table!$D$10),-1,IF(AND(#REF!&gt;=table!$E$10,#REF!&lt;=table!$F$10),1,0))</f>
        <v>#REF!</v>
      </c>
      <c r="V3216" s="5" t="e">
        <f>IF(AND(#REF!&gt;=table!$C$11,#REF!&lt;= table!$D$11),-1,IF(AND(#REF!&gt;=table!$E$11,#REF!&lt;=table!$F$11),1,0))</f>
        <v>#REF!</v>
      </c>
      <c r="W3216" s="5" t="e">
        <f>CONCATENATE(dados[[#This Row],[fator1]],dados[[#This Row],[fator5]],dados[[#This Row],[fator6]])</f>
        <v>#REF!</v>
      </c>
    </row>
    <row r="3217" spans="1:23">
      <c r="A3217" t="s">
        <v>16</v>
      </c>
      <c r="B3217">
        <v>586416</v>
      </c>
      <c r="C3217">
        <v>0.15</v>
      </c>
      <c r="D3217">
        <v>40</v>
      </c>
      <c r="E3217">
        <v>10</v>
      </c>
      <c r="F3217">
        <v>15</v>
      </c>
      <c r="G3217">
        <v>0</v>
      </c>
      <c r="H3217">
        <v>15</v>
      </c>
      <c r="I3217">
        <v>8</v>
      </c>
      <c r="J3217">
        <v>0</v>
      </c>
      <c r="K3217">
        <v>3.375</v>
      </c>
      <c r="L3217">
        <v>8.65</v>
      </c>
      <c r="M3217">
        <v>7.4</v>
      </c>
      <c r="N3217">
        <v>12</v>
      </c>
      <c r="O3217">
        <v>1697</v>
      </c>
      <c r="P3217">
        <v>1011</v>
      </c>
      <c r="Q3217" s="5" t="e">
        <f>IF(AND(#REF!&gt;=table!$C$6,#REF!&lt;= table!$D$6),-1,IF(AND(#REF!&gt;=table!$E$6,#REF!&lt;=table!$F$6),1,0))</f>
        <v>#REF!</v>
      </c>
      <c r="R3217" s="5" t="e">
        <f>IF(AND(#REF!&gt;=table!$C$7,#REF!&lt;= table!$D$7),-1,IF(AND(#REF!&gt;=table!$E$7,#REF!&lt;=table!$F$7),1,0))</f>
        <v>#REF!</v>
      </c>
      <c r="S3217" s="5" t="e">
        <f>IF(AND(#REF!&gt;=table!$C$8,#REF!&lt;= table!$D$8),-1,IF(AND(#REF!&gt;=table!$E$8,#REF!&lt;=table!$F$8),1,0))</f>
        <v>#REF!</v>
      </c>
      <c r="T3217" s="5"/>
      <c r="U3217" s="5" t="e">
        <f>IF(AND(#REF!&gt;=table!$C$10,#REF!&lt;= table!$D$10),-1,IF(AND(#REF!&gt;=table!$E$10,#REF!&lt;=table!$F$10),1,0))</f>
        <v>#REF!</v>
      </c>
      <c r="V3217" s="5" t="e">
        <f>IF(AND(#REF!&gt;=table!$C$11,#REF!&lt;= table!$D$11),-1,IF(AND(#REF!&gt;=table!$E$11,#REF!&lt;=table!$F$11),1,0))</f>
        <v>#REF!</v>
      </c>
      <c r="W3217" s="5" t="e">
        <f>CONCATENATE(dados[[#This Row],[fator1]],dados[[#This Row],[fator5]],dados[[#This Row],[fator6]])</f>
        <v>#REF!</v>
      </c>
    </row>
    <row r="3218" spans="1:23">
      <c r="A3218" t="s">
        <v>16</v>
      </c>
      <c r="B3218">
        <v>586417</v>
      </c>
      <c r="C3218">
        <v>0.15</v>
      </c>
      <c r="D3218">
        <v>40</v>
      </c>
      <c r="E3218">
        <v>10</v>
      </c>
      <c r="F3218">
        <v>15</v>
      </c>
      <c r="G3218">
        <v>0</v>
      </c>
      <c r="H3218">
        <v>15</v>
      </c>
      <c r="I3218">
        <v>11</v>
      </c>
      <c r="J3218">
        <v>0</v>
      </c>
      <c r="K3218">
        <v>6.0950000000000006</v>
      </c>
      <c r="L3218">
        <v>7.3</v>
      </c>
      <c r="M3218">
        <v>6.8</v>
      </c>
      <c r="N3218">
        <v>9.15</v>
      </c>
      <c r="O3218">
        <v>1690</v>
      </c>
      <c r="P3218">
        <v>706</v>
      </c>
      <c r="Q3218" s="5" t="e">
        <f>IF(AND(#REF!&gt;=table!$C$6,#REF!&lt;= table!$D$6),-1,IF(AND(#REF!&gt;=table!$E$6,#REF!&lt;=table!$F$6),1,0))</f>
        <v>#REF!</v>
      </c>
      <c r="R3218" s="5" t="e">
        <f>IF(AND(#REF!&gt;=table!$C$7,#REF!&lt;= table!$D$7),-1,IF(AND(#REF!&gt;=table!$E$7,#REF!&lt;=table!$F$7),1,0))</f>
        <v>#REF!</v>
      </c>
      <c r="S3218" s="5" t="e">
        <f>IF(AND(#REF!&gt;=table!$C$8,#REF!&lt;= table!$D$8),-1,IF(AND(#REF!&gt;=table!$E$8,#REF!&lt;=table!$F$8),1,0))</f>
        <v>#REF!</v>
      </c>
      <c r="T3218" s="5"/>
      <c r="U3218" s="5" t="e">
        <f>IF(AND(#REF!&gt;=table!$C$10,#REF!&lt;= table!$D$10),-1,IF(AND(#REF!&gt;=table!$E$10,#REF!&lt;=table!$F$10),1,0))</f>
        <v>#REF!</v>
      </c>
      <c r="V3218" s="5" t="e">
        <f>IF(AND(#REF!&gt;=table!$C$11,#REF!&lt;= table!$D$11),-1,IF(AND(#REF!&gt;=table!$E$11,#REF!&lt;=table!$F$11),1,0))</f>
        <v>#REF!</v>
      </c>
      <c r="W3218" s="5" t="e">
        <f>CONCATENATE(dados[[#This Row],[fator1]],dados[[#This Row],[fator5]],dados[[#This Row],[fator6]])</f>
        <v>#REF!</v>
      </c>
    </row>
    <row r="3219" spans="1:23">
      <c r="A3219" t="s">
        <v>16</v>
      </c>
      <c r="B3219">
        <v>586419</v>
      </c>
      <c r="C3219">
        <v>0.15</v>
      </c>
      <c r="D3219">
        <v>40</v>
      </c>
      <c r="E3219">
        <v>10</v>
      </c>
      <c r="F3219">
        <v>15</v>
      </c>
      <c r="G3219">
        <v>0</v>
      </c>
      <c r="H3219">
        <v>15</v>
      </c>
      <c r="I3219">
        <v>310</v>
      </c>
      <c r="J3219">
        <v>0</v>
      </c>
      <c r="K3219">
        <v>3.47</v>
      </c>
      <c r="L3219">
        <v>9.15</v>
      </c>
      <c r="M3219">
        <v>7.65</v>
      </c>
      <c r="N3219">
        <v>12.85</v>
      </c>
      <c r="O3219">
        <v>1688</v>
      </c>
      <c r="P3219">
        <v>1044</v>
      </c>
      <c r="Q3219" s="5" t="e">
        <f>IF(AND(#REF!&gt;=table!$C$6,#REF!&lt;= table!$D$6),-1,IF(AND(#REF!&gt;=table!$E$6,#REF!&lt;=table!$F$6),1,0))</f>
        <v>#REF!</v>
      </c>
      <c r="R3219" s="5" t="e">
        <f>IF(AND(#REF!&gt;=table!$C$7,#REF!&lt;= table!$D$7),-1,IF(AND(#REF!&gt;=table!$E$7,#REF!&lt;=table!$F$7),1,0))</f>
        <v>#REF!</v>
      </c>
      <c r="S3219" s="5" t="e">
        <f>IF(AND(#REF!&gt;=table!$C$8,#REF!&lt;= table!$D$8),-1,IF(AND(#REF!&gt;=table!$E$8,#REF!&lt;=table!$F$8),1,0))</f>
        <v>#REF!</v>
      </c>
      <c r="T3219" s="5"/>
      <c r="U3219" s="5" t="e">
        <f>IF(AND(#REF!&gt;=table!$C$10,#REF!&lt;= table!$D$10),-1,IF(AND(#REF!&gt;=table!$E$10,#REF!&lt;=table!$F$10),1,0))</f>
        <v>#REF!</v>
      </c>
      <c r="V3219" s="5" t="e">
        <f>IF(AND(#REF!&gt;=table!$C$11,#REF!&lt;= table!$D$11),-1,IF(AND(#REF!&gt;=table!$E$11,#REF!&lt;=table!$F$11),1,0))</f>
        <v>#REF!</v>
      </c>
      <c r="W3219" s="5" t="e">
        <f>CONCATENATE(dados[[#This Row],[fator1]],dados[[#This Row],[fator5]],dados[[#This Row],[fator6]])</f>
        <v>#REF!</v>
      </c>
    </row>
    <row r="3220" spans="1:23">
      <c r="A3220" t="s">
        <v>16</v>
      </c>
      <c r="B3220">
        <v>586421</v>
      </c>
      <c r="C3220">
        <v>0.18</v>
      </c>
      <c r="D3220">
        <v>40</v>
      </c>
      <c r="E3220">
        <v>70</v>
      </c>
      <c r="F3220">
        <v>15</v>
      </c>
      <c r="G3220">
        <v>0</v>
      </c>
      <c r="H3220">
        <v>80</v>
      </c>
      <c r="I3220">
        <v>29</v>
      </c>
      <c r="J3220">
        <v>0</v>
      </c>
      <c r="K3220">
        <v>9.49</v>
      </c>
      <c r="L3220">
        <v>8</v>
      </c>
      <c r="M3220">
        <v>7</v>
      </c>
      <c r="N3220">
        <v>14.05</v>
      </c>
      <c r="O3220">
        <v>1685</v>
      </c>
      <c r="P3220">
        <v>795</v>
      </c>
      <c r="Q3220" s="5" t="e">
        <f>IF(AND(#REF!&gt;=table!$C$6,#REF!&lt;= table!$D$6),-1,IF(AND(#REF!&gt;=table!$E$6,#REF!&lt;=table!$F$6),1,0))</f>
        <v>#REF!</v>
      </c>
      <c r="R3220" s="5" t="e">
        <f>IF(AND(#REF!&gt;=table!$C$7,#REF!&lt;= table!$D$7),-1,IF(AND(#REF!&gt;=table!$E$7,#REF!&lt;=table!$F$7),1,0))</f>
        <v>#REF!</v>
      </c>
      <c r="S3220" s="5" t="e">
        <f>IF(AND(#REF!&gt;=table!$C$8,#REF!&lt;= table!$D$8),-1,IF(AND(#REF!&gt;=table!$E$8,#REF!&lt;=table!$F$8),1,0))</f>
        <v>#REF!</v>
      </c>
      <c r="T3220" s="5"/>
      <c r="U3220" s="5" t="e">
        <f>IF(AND(#REF!&gt;=table!$C$10,#REF!&lt;= table!$D$10),-1,IF(AND(#REF!&gt;=table!$E$10,#REF!&lt;=table!$F$10),1,0))</f>
        <v>#REF!</v>
      </c>
      <c r="V3220" s="5" t="e">
        <f>IF(AND(#REF!&gt;=table!$C$11,#REF!&lt;= table!$D$11),-1,IF(AND(#REF!&gt;=table!$E$11,#REF!&lt;=table!$F$11),1,0))</f>
        <v>#REF!</v>
      </c>
      <c r="W3220" s="5" t="e">
        <f>CONCATENATE(dados[[#This Row],[fator1]],dados[[#This Row],[fator5]],dados[[#This Row],[fator6]])</f>
        <v>#REF!</v>
      </c>
    </row>
    <row r="3221" spans="1:23">
      <c r="A3221" t="s">
        <v>16</v>
      </c>
      <c r="B3221">
        <v>586432</v>
      </c>
      <c r="C3221">
        <v>0.2</v>
      </c>
      <c r="D3221">
        <v>65</v>
      </c>
      <c r="E3221">
        <v>26</v>
      </c>
      <c r="F3221">
        <v>15</v>
      </c>
      <c r="G3221">
        <v>0</v>
      </c>
      <c r="H3221">
        <v>30</v>
      </c>
      <c r="I3221">
        <v>1770</v>
      </c>
      <c r="J3221">
        <v>0</v>
      </c>
      <c r="K3221">
        <v>3.5700000000000003</v>
      </c>
      <c r="L3221">
        <v>6.65</v>
      </c>
      <c r="M3221">
        <v>6.25</v>
      </c>
      <c r="N3221">
        <v>14</v>
      </c>
      <c r="O3221">
        <v>1685</v>
      </c>
      <c r="P3221">
        <v>0</v>
      </c>
      <c r="Q3221" s="5" t="e">
        <f>IF(AND(#REF!&gt;=table!$C$6,#REF!&lt;= table!$D$6),-1,IF(AND(#REF!&gt;=table!$E$6,#REF!&lt;=table!$F$6),1,0))</f>
        <v>#REF!</v>
      </c>
      <c r="R3221" s="5" t="e">
        <f>IF(AND(#REF!&gt;=table!$C$7,#REF!&lt;= table!$D$7),-1,IF(AND(#REF!&gt;=table!$E$7,#REF!&lt;=table!$F$7),1,0))</f>
        <v>#REF!</v>
      </c>
      <c r="S3221" s="5" t="e">
        <f>IF(AND(#REF!&gt;=table!$C$8,#REF!&lt;= table!$D$8),-1,IF(AND(#REF!&gt;=table!$E$8,#REF!&lt;=table!$F$8),1,0))</f>
        <v>#REF!</v>
      </c>
      <c r="T3221" s="5"/>
      <c r="U3221" s="5" t="e">
        <f>IF(AND(#REF!&gt;=table!$C$10,#REF!&lt;= table!$D$10),-1,IF(AND(#REF!&gt;=table!$E$10,#REF!&lt;=table!$F$10),1,0))</f>
        <v>#REF!</v>
      </c>
      <c r="V3221" s="5" t="e">
        <f>IF(AND(#REF!&gt;=table!$C$11,#REF!&lt;= table!$D$11),-1,IF(AND(#REF!&gt;=table!$E$11,#REF!&lt;=table!$F$11),1,0))</f>
        <v>#REF!</v>
      </c>
      <c r="W3221" s="5" t="e">
        <f>CONCATENATE(dados[[#This Row],[fator1]],dados[[#This Row],[fator5]],dados[[#This Row],[fator6]])</f>
        <v>#REF!</v>
      </c>
    </row>
    <row r="3222" spans="1:23">
      <c r="A3222" t="s">
        <v>16</v>
      </c>
      <c r="B3222">
        <v>586442</v>
      </c>
      <c r="C3222">
        <v>10</v>
      </c>
      <c r="D3222">
        <v>30</v>
      </c>
      <c r="E3222">
        <v>150</v>
      </c>
      <c r="F3222">
        <v>4</v>
      </c>
      <c r="G3222">
        <v>0</v>
      </c>
      <c r="H3222">
        <v>25</v>
      </c>
      <c r="I3222">
        <v>835</v>
      </c>
      <c r="J3222">
        <v>0</v>
      </c>
      <c r="K3222">
        <v>3.2450000000000001</v>
      </c>
      <c r="L3222">
        <v>6.3</v>
      </c>
      <c r="M3222">
        <v>70.900000000000006</v>
      </c>
      <c r="N3222">
        <v>10.6</v>
      </c>
      <c r="O3222">
        <v>1694</v>
      </c>
      <c r="P3222">
        <v>872</v>
      </c>
      <c r="Q3222" s="5" t="e">
        <f>IF(AND(#REF!&gt;=table!$C$6,#REF!&lt;= table!$D$6),-1,IF(AND(#REF!&gt;=table!$E$6,#REF!&lt;=table!$F$6),1,0))</f>
        <v>#REF!</v>
      </c>
      <c r="R3222" s="5" t="e">
        <f>IF(AND(#REF!&gt;=table!$C$7,#REF!&lt;= table!$D$7),-1,IF(AND(#REF!&gt;=table!$E$7,#REF!&lt;=table!$F$7),1,0))</f>
        <v>#REF!</v>
      </c>
      <c r="S3222" s="5" t="e">
        <f>IF(AND(#REF!&gt;=table!$C$8,#REF!&lt;= table!$D$8),-1,IF(AND(#REF!&gt;=table!$E$8,#REF!&lt;=table!$F$8),1,0))</f>
        <v>#REF!</v>
      </c>
      <c r="T3222" s="5"/>
      <c r="U3222" s="5" t="e">
        <f>IF(AND(#REF!&gt;=table!$C$10,#REF!&lt;= table!$D$10),-1,IF(AND(#REF!&gt;=table!$E$10,#REF!&lt;=table!$F$10),1,0))</f>
        <v>#REF!</v>
      </c>
      <c r="V3222" s="5" t="e">
        <f>IF(AND(#REF!&gt;=table!$C$11,#REF!&lt;= table!$D$11),-1,IF(AND(#REF!&gt;=table!$E$11,#REF!&lt;=table!$F$11),1,0))</f>
        <v>#REF!</v>
      </c>
      <c r="W3222" s="5" t="e">
        <f>CONCATENATE(dados[[#This Row],[fator1]],dados[[#This Row],[fator5]],dados[[#This Row],[fator6]])</f>
        <v>#REF!</v>
      </c>
    </row>
    <row r="3223" spans="1:23">
      <c r="A3223" t="s">
        <v>17</v>
      </c>
      <c r="B3223">
        <v>586449</v>
      </c>
      <c r="C3223">
        <v>16</v>
      </c>
      <c r="D3223">
        <v>30</v>
      </c>
      <c r="E3223">
        <v>106</v>
      </c>
      <c r="F3223">
        <v>9</v>
      </c>
      <c r="G3223">
        <v>20</v>
      </c>
      <c r="H3223">
        <v>25</v>
      </c>
      <c r="I3223">
        <v>3</v>
      </c>
      <c r="J3223">
        <v>0</v>
      </c>
      <c r="K3223">
        <v>4.58</v>
      </c>
      <c r="L3223">
        <v>11.195</v>
      </c>
      <c r="M3223">
        <v>86.75</v>
      </c>
      <c r="N3223">
        <v>23.5</v>
      </c>
      <c r="O3223">
        <v>1684</v>
      </c>
      <c r="P3223">
        <v>667</v>
      </c>
      <c r="Q3223" s="5" t="e">
        <f>IF(AND(#REF!&gt;=table!$C$6,#REF!&lt;= table!$D$6),-1,IF(AND(#REF!&gt;=table!$E$6,#REF!&lt;=table!$F$6),1,0))</f>
        <v>#REF!</v>
      </c>
      <c r="R3223" s="5" t="e">
        <f>IF(AND(#REF!&gt;=table!$C$7,#REF!&lt;= table!$D$7),-1,IF(AND(#REF!&gt;=table!$E$7,#REF!&lt;=table!$F$7),1,0))</f>
        <v>#REF!</v>
      </c>
      <c r="S3223" s="5" t="e">
        <f>IF(AND(#REF!&gt;=table!$C$8,#REF!&lt;= table!$D$8),-1,IF(AND(#REF!&gt;=table!$E$8,#REF!&lt;=table!$F$8),1,0))</f>
        <v>#REF!</v>
      </c>
      <c r="T3223" s="5"/>
      <c r="U3223" s="5" t="e">
        <f>IF(AND(#REF!&gt;=table!$C$10,#REF!&lt;= table!$D$10),-1,IF(AND(#REF!&gt;=table!$E$10,#REF!&lt;=table!$F$10),1,0))</f>
        <v>#REF!</v>
      </c>
      <c r="V3223" s="5" t="e">
        <f>IF(AND(#REF!&gt;=table!$C$11,#REF!&lt;= table!$D$11),-1,IF(AND(#REF!&gt;=table!$E$11,#REF!&lt;=table!$F$11),1,0))</f>
        <v>#REF!</v>
      </c>
      <c r="W3223" s="5" t="e">
        <f>CONCATENATE(dados[[#This Row],[fator1]],dados[[#This Row],[fator5]],dados[[#This Row],[fator6]])</f>
        <v>#REF!</v>
      </c>
    </row>
    <row r="3224" spans="1:23">
      <c r="A3224" t="s">
        <v>17</v>
      </c>
      <c r="B3224">
        <v>586451</v>
      </c>
      <c r="C3224">
        <v>10</v>
      </c>
      <c r="D3224">
        <v>25</v>
      </c>
      <c r="E3224">
        <v>156</v>
      </c>
      <c r="F3224">
        <v>8</v>
      </c>
      <c r="G3224">
        <v>20</v>
      </c>
      <c r="H3224">
        <v>25</v>
      </c>
      <c r="I3224">
        <v>1285</v>
      </c>
      <c r="J3224">
        <v>560</v>
      </c>
      <c r="K3224">
        <v>3.02</v>
      </c>
      <c r="L3224">
        <v>10.4</v>
      </c>
      <c r="M3224">
        <v>144.6</v>
      </c>
      <c r="N3224">
        <v>13.1</v>
      </c>
      <c r="O3224">
        <v>1677</v>
      </c>
      <c r="P3224">
        <v>0</v>
      </c>
      <c r="Q3224" s="5" t="e">
        <f>IF(AND(#REF!&gt;=table!$C$6,#REF!&lt;= table!$D$6),-1,IF(AND(#REF!&gt;=table!$E$6,#REF!&lt;=table!$F$6),1,0))</f>
        <v>#REF!</v>
      </c>
      <c r="R3224" s="5" t="e">
        <f>IF(AND(#REF!&gt;=table!$C$7,#REF!&lt;= table!$D$7),-1,IF(AND(#REF!&gt;=table!$E$7,#REF!&lt;=table!$F$7),1,0))</f>
        <v>#REF!</v>
      </c>
      <c r="S3224" s="5" t="e">
        <f>IF(AND(#REF!&gt;=table!$C$8,#REF!&lt;= table!$D$8),-1,IF(AND(#REF!&gt;=table!$E$8,#REF!&lt;=table!$F$8),1,0))</f>
        <v>#REF!</v>
      </c>
      <c r="T3224" s="5"/>
      <c r="U3224" s="5" t="e">
        <f>IF(AND(#REF!&gt;=table!$C$10,#REF!&lt;= table!$D$10),-1,IF(AND(#REF!&gt;=table!$E$10,#REF!&lt;=table!$F$10),1,0))</f>
        <v>#REF!</v>
      </c>
      <c r="V3224" s="5" t="e">
        <f>IF(AND(#REF!&gt;=table!$C$11,#REF!&lt;= table!$D$11),-1,IF(AND(#REF!&gt;=table!$E$11,#REF!&lt;=table!$F$11),1,0))</f>
        <v>#REF!</v>
      </c>
      <c r="W3224" s="5" t="e">
        <f>CONCATENATE(dados[[#This Row],[fator1]],dados[[#This Row],[fator5]],dados[[#This Row],[fator6]])</f>
        <v>#REF!</v>
      </c>
    </row>
    <row r="3225" spans="1:23">
      <c r="A3225" t="s">
        <v>16</v>
      </c>
      <c r="B3225">
        <v>586455</v>
      </c>
      <c r="C3225">
        <v>0.15</v>
      </c>
      <c r="D3225">
        <v>40</v>
      </c>
      <c r="E3225">
        <v>10</v>
      </c>
      <c r="F3225">
        <v>15</v>
      </c>
      <c r="G3225">
        <v>0</v>
      </c>
      <c r="H3225">
        <v>15</v>
      </c>
      <c r="I3225">
        <v>1699</v>
      </c>
      <c r="J3225">
        <v>0</v>
      </c>
      <c r="K3225">
        <v>4.37</v>
      </c>
      <c r="L3225">
        <v>8.2949999999999999</v>
      </c>
      <c r="M3225">
        <v>7.8</v>
      </c>
      <c r="N3225">
        <v>10.3</v>
      </c>
      <c r="O3225">
        <v>1675</v>
      </c>
      <c r="P3225">
        <v>0</v>
      </c>
      <c r="Q3225" s="5" t="e">
        <f>IF(AND(#REF!&gt;=table!$C$6,#REF!&lt;= table!$D$6),-1,IF(AND(#REF!&gt;=table!$E$6,#REF!&lt;=table!$F$6),1,0))</f>
        <v>#REF!</v>
      </c>
      <c r="R3225" s="5" t="e">
        <f>IF(AND(#REF!&gt;=table!$C$7,#REF!&lt;= table!$D$7),-1,IF(AND(#REF!&gt;=table!$E$7,#REF!&lt;=table!$F$7),1,0))</f>
        <v>#REF!</v>
      </c>
      <c r="S3225" s="5" t="e">
        <f>IF(AND(#REF!&gt;=table!$C$8,#REF!&lt;= table!$D$8),-1,IF(AND(#REF!&gt;=table!$E$8,#REF!&lt;=table!$F$8),1,0))</f>
        <v>#REF!</v>
      </c>
      <c r="T3225" s="5"/>
      <c r="U3225" s="5" t="e">
        <f>IF(AND(#REF!&gt;=table!$C$10,#REF!&lt;= table!$D$10),-1,IF(AND(#REF!&gt;=table!$E$10,#REF!&lt;=table!$F$10),1,0))</f>
        <v>#REF!</v>
      </c>
      <c r="V3225" s="5" t="e">
        <f>IF(AND(#REF!&gt;=table!$C$11,#REF!&lt;= table!$D$11),-1,IF(AND(#REF!&gt;=table!$E$11,#REF!&lt;=table!$F$11),1,0))</f>
        <v>#REF!</v>
      </c>
      <c r="W3225" s="5" t="e">
        <f>CONCATENATE(dados[[#This Row],[fator1]],dados[[#This Row],[fator5]],dados[[#This Row],[fator6]])</f>
        <v>#REF!</v>
      </c>
    </row>
    <row r="3226" spans="1:23">
      <c r="A3226" t="s">
        <v>17</v>
      </c>
      <c r="B3226">
        <v>586458</v>
      </c>
      <c r="C3226">
        <v>24</v>
      </c>
      <c r="D3226">
        <v>35</v>
      </c>
      <c r="E3226">
        <v>155</v>
      </c>
      <c r="F3226">
        <v>6</v>
      </c>
      <c r="G3226">
        <v>130</v>
      </c>
      <c r="H3226">
        <v>25</v>
      </c>
      <c r="I3226">
        <v>668</v>
      </c>
      <c r="J3226">
        <v>0</v>
      </c>
      <c r="K3226">
        <v>3.8200000000000003</v>
      </c>
      <c r="L3226">
        <v>5.63</v>
      </c>
      <c r="M3226">
        <v>137.70000000000002</v>
      </c>
      <c r="N3226">
        <v>12</v>
      </c>
      <c r="O3226">
        <v>1688</v>
      </c>
      <c r="P3226">
        <v>0</v>
      </c>
      <c r="Q3226" s="5" t="e">
        <f>IF(AND(#REF!&gt;=table!$C$6,#REF!&lt;= table!$D$6),-1,IF(AND(#REF!&gt;=table!$E$6,#REF!&lt;=table!$F$6),1,0))</f>
        <v>#REF!</v>
      </c>
      <c r="R3226" s="5" t="e">
        <f>IF(AND(#REF!&gt;=table!$C$7,#REF!&lt;= table!$D$7),-1,IF(AND(#REF!&gt;=table!$E$7,#REF!&lt;=table!$F$7),1,0))</f>
        <v>#REF!</v>
      </c>
      <c r="S3226" s="5" t="e">
        <f>IF(AND(#REF!&gt;=table!$C$8,#REF!&lt;= table!$D$8),-1,IF(AND(#REF!&gt;=table!$E$8,#REF!&lt;=table!$F$8),1,0))</f>
        <v>#REF!</v>
      </c>
      <c r="T3226" s="5"/>
      <c r="U3226" s="5" t="e">
        <f>IF(AND(#REF!&gt;=table!$C$10,#REF!&lt;= table!$D$10),-1,IF(AND(#REF!&gt;=table!$E$10,#REF!&lt;=table!$F$10),1,0))</f>
        <v>#REF!</v>
      </c>
      <c r="V3226" s="5" t="e">
        <f>IF(AND(#REF!&gt;=table!$C$11,#REF!&lt;= table!$D$11),-1,IF(AND(#REF!&gt;=table!$E$11,#REF!&lt;=table!$F$11),1,0))</f>
        <v>#REF!</v>
      </c>
      <c r="W3226" s="5" t="e">
        <f>CONCATENATE(dados[[#This Row],[fator1]],dados[[#This Row],[fator5]],dados[[#This Row],[fator6]])</f>
        <v>#REF!</v>
      </c>
    </row>
    <row r="3227" spans="1:23">
      <c r="A3227" t="s">
        <v>16</v>
      </c>
      <c r="B3227">
        <v>586470</v>
      </c>
      <c r="C3227">
        <v>0.15</v>
      </c>
      <c r="D3227">
        <v>40</v>
      </c>
      <c r="E3227">
        <v>64</v>
      </c>
      <c r="F3227">
        <v>10</v>
      </c>
      <c r="G3227">
        <v>0</v>
      </c>
      <c r="H3227">
        <v>35</v>
      </c>
      <c r="I3227">
        <v>1109</v>
      </c>
      <c r="J3227">
        <v>0</v>
      </c>
      <c r="K3227">
        <v>7</v>
      </c>
      <c r="L3227">
        <v>10.195</v>
      </c>
      <c r="M3227">
        <v>9.2050000000000001</v>
      </c>
      <c r="N3227">
        <v>12.945</v>
      </c>
      <c r="O3227">
        <v>1689</v>
      </c>
      <c r="P3227">
        <v>0</v>
      </c>
      <c r="Q3227" s="5" t="e">
        <f>IF(AND(#REF!&gt;=table!$C$6,#REF!&lt;= table!$D$6),-1,IF(AND(#REF!&gt;=table!$E$6,#REF!&lt;=table!$F$6),1,0))</f>
        <v>#REF!</v>
      </c>
      <c r="R3227" s="5" t="e">
        <f>IF(AND(#REF!&gt;=table!$C$7,#REF!&lt;= table!$D$7),-1,IF(AND(#REF!&gt;=table!$E$7,#REF!&lt;=table!$F$7),1,0))</f>
        <v>#REF!</v>
      </c>
      <c r="S3227" s="5" t="e">
        <f>IF(AND(#REF!&gt;=table!$C$8,#REF!&lt;= table!$D$8),-1,IF(AND(#REF!&gt;=table!$E$8,#REF!&lt;=table!$F$8),1,0))</f>
        <v>#REF!</v>
      </c>
      <c r="T3227" s="5"/>
      <c r="U3227" s="5" t="e">
        <f>IF(AND(#REF!&gt;=table!$C$10,#REF!&lt;= table!$D$10),-1,IF(AND(#REF!&gt;=table!$E$10,#REF!&lt;=table!$F$10),1,0))</f>
        <v>#REF!</v>
      </c>
      <c r="V3227" s="5" t="e">
        <f>IF(AND(#REF!&gt;=table!$C$11,#REF!&lt;= table!$D$11),-1,IF(AND(#REF!&gt;=table!$E$11,#REF!&lt;=table!$F$11),1,0))</f>
        <v>#REF!</v>
      </c>
      <c r="W3227" s="5" t="e">
        <f>CONCATENATE(dados[[#This Row],[fator1]],dados[[#This Row],[fator5]],dados[[#This Row],[fator6]])</f>
        <v>#REF!</v>
      </c>
    </row>
    <row r="3228" spans="1:23">
      <c r="A3228" t="s">
        <v>17</v>
      </c>
      <c r="B3228">
        <v>586475</v>
      </c>
      <c r="C3228">
        <v>0.15</v>
      </c>
      <c r="D3228">
        <v>40</v>
      </c>
      <c r="E3228">
        <v>105</v>
      </c>
      <c r="F3228">
        <v>10</v>
      </c>
      <c r="G3228">
        <v>10</v>
      </c>
      <c r="H3228">
        <v>80</v>
      </c>
      <c r="I3228">
        <v>363</v>
      </c>
      <c r="J3228">
        <v>0</v>
      </c>
      <c r="K3228">
        <v>3.84</v>
      </c>
      <c r="L3228">
        <v>5.29</v>
      </c>
      <c r="M3228">
        <v>5.44</v>
      </c>
      <c r="N3228">
        <v>14.790000000000001</v>
      </c>
      <c r="O3228">
        <v>1670</v>
      </c>
      <c r="P3228">
        <v>994</v>
      </c>
      <c r="Q3228" s="5" t="e">
        <f>IF(AND(#REF!&gt;=table!$C$6,#REF!&lt;= table!$D$6),-1,IF(AND(#REF!&gt;=table!$E$6,#REF!&lt;=table!$F$6),1,0))</f>
        <v>#REF!</v>
      </c>
      <c r="R3228" s="5" t="e">
        <f>IF(AND(#REF!&gt;=table!$C$7,#REF!&lt;= table!$D$7),-1,IF(AND(#REF!&gt;=table!$E$7,#REF!&lt;=table!$F$7),1,0))</f>
        <v>#REF!</v>
      </c>
      <c r="S3228" s="5" t="e">
        <f>IF(AND(#REF!&gt;=table!$C$8,#REF!&lt;= table!$D$8),-1,IF(AND(#REF!&gt;=table!$E$8,#REF!&lt;=table!$F$8),1,0))</f>
        <v>#REF!</v>
      </c>
      <c r="T3228" s="5"/>
      <c r="U3228" s="5" t="e">
        <f>IF(AND(#REF!&gt;=table!$C$10,#REF!&lt;= table!$D$10),-1,IF(AND(#REF!&gt;=table!$E$10,#REF!&lt;=table!$F$10),1,0))</f>
        <v>#REF!</v>
      </c>
      <c r="V3228" s="5" t="e">
        <f>IF(AND(#REF!&gt;=table!$C$11,#REF!&lt;= table!$D$11),-1,IF(AND(#REF!&gt;=table!$E$11,#REF!&lt;=table!$F$11),1,0))</f>
        <v>#REF!</v>
      </c>
      <c r="W3228" s="5" t="e">
        <f>CONCATENATE(dados[[#This Row],[fator1]],dados[[#This Row],[fator5]],dados[[#This Row],[fator6]])</f>
        <v>#REF!</v>
      </c>
    </row>
    <row r="3229" spans="1:23">
      <c r="A3229" t="s">
        <v>16</v>
      </c>
      <c r="B3229">
        <v>586480</v>
      </c>
      <c r="C3229">
        <v>0.15</v>
      </c>
      <c r="D3229">
        <v>40</v>
      </c>
      <c r="E3229">
        <v>10</v>
      </c>
      <c r="F3229">
        <v>15</v>
      </c>
      <c r="G3229">
        <v>0</v>
      </c>
      <c r="H3229">
        <v>15</v>
      </c>
      <c r="I3229">
        <v>942</v>
      </c>
      <c r="J3229">
        <v>0</v>
      </c>
      <c r="K3229">
        <v>4.585</v>
      </c>
      <c r="L3229">
        <v>5.28</v>
      </c>
      <c r="M3229">
        <v>6.4</v>
      </c>
      <c r="N3229">
        <v>11.950000000000001</v>
      </c>
      <c r="O3229">
        <v>1682</v>
      </c>
      <c r="P3229">
        <v>0</v>
      </c>
      <c r="Q3229" s="5" t="e">
        <f>IF(AND(#REF!&gt;=table!$C$6,#REF!&lt;= table!$D$6),-1,IF(AND(#REF!&gt;=table!$E$6,#REF!&lt;=table!$F$6),1,0))</f>
        <v>#REF!</v>
      </c>
      <c r="R3229" s="5" t="e">
        <f>IF(AND(#REF!&gt;=table!$C$7,#REF!&lt;= table!$D$7),-1,IF(AND(#REF!&gt;=table!$E$7,#REF!&lt;=table!$F$7),1,0))</f>
        <v>#REF!</v>
      </c>
      <c r="S3229" s="5" t="e">
        <f>IF(AND(#REF!&gt;=table!$C$8,#REF!&lt;= table!$D$8),-1,IF(AND(#REF!&gt;=table!$E$8,#REF!&lt;=table!$F$8),1,0))</f>
        <v>#REF!</v>
      </c>
      <c r="T3229" s="5"/>
      <c r="U3229" s="5" t="e">
        <f>IF(AND(#REF!&gt;=table!$C$10,#REF!&lt;= table!$D$10),-1,IF(AND(#REF!&gt;=table!$E$10,#REF!&lt;=table!$F$10),1,0))</f>
        <v>#REF!</v>
      </c>
      <c r="V3229" s="5" t="e">
        <f>IF(AND(#REF!&gt;=table!$C$11,#REF!&lt;= table!$D$11),-1,IF(AND(#REF!&gt;=table!$E$11,#REF!&lt;=table!$F$11),1,0))</f>
        <v>#REF!</v>
      </c>
      <c r="W3229" s="5" t="e">
        <f>CONCATENATE(dados[[#This Row],[fator1]],dados[[#This Row],[fator5]],dados[[#This Row],[fator6]])</f>
        <v>#REF!</v>
      </c>
    </row>
    <row r="3230" spans="1:23">
      <c r="A3230" t="s">
        <v>16</v>
      </c>
      <c r="B3230">
        <v>586481</v>
      </c>
      <c r="C3230">
        <v>0.15</v>
      </c>
      <c r="D3230">
        <v>40</v>
      </c>
      <c r="E3230">
        <v>10</v>
      </c>
      <c r="F3230">
        <v>15</v>
      </c>
      <c r="G3230">
        <v>0</v>
      </c>
      <c r="H3230">
        <v>15</v>
      </c>
      <c r="I3230">
        <v>1441</v>
      </c>
      <c r="J3230">
        <v>0</v>
      </c>
      <c r="K3230">
        <v>5.7149999999999999</v>
      </c>
      <c r="L3230">
        <v>7.5</v>
      </c>
      <c r="M3230">
        <v>7.9</v>
      </c>
      <c r="N3230">
        <v>10.9</v>
      </c>
      <c r="O3230">
        <v>1681</v>
      </c>
      <c r="P3230">
        <v>593</v>
      </c>
      <c r="Q3230" s="5" t="e">
        <f>IF(AND(#REF!&gt;=table!$C$6,#REF!&lt;= table!$D$6),-1,IF(AND(#REF!&gt;=table!$E$6,#REF!&lt;=table!$F$6),1,0))</f>
        <v>#REF!</v>
      </c>
      <c r="R3230" s="5" t="e">
        <f>IF(AND(#REF!&gt;=table!$C$7,#REF!&lt;= table!$D$7),-1,IF(AND(#REF!&gt;=table!$E$7,#REF!&lt;=table!$F$7),1,0))</f>
        <v>#REF!</v>
      </c>
      <c r="S3230" s="5" t="e">
        <f>IF(AND(#REF!&gt;=table!$C$8,#REF!&lt;= table!$D$8),-1,IF(AND(#REF!&gt;=table!$E$8,#REF!&lt;=table!$F$8),1,0))</f>
        <v>#REF!</v>
      </c>
      <c r="T3230" s="5"/>
      <c r="U3230" s="5" t="e">
        <f>IF(AND(#REF!&gt;=table!$C$10,#REF!&lt;= table!$D$10),-1,IF(AND(#REF!&gt;=table!$E$10,#REF!&lt;=table!$F$10),1,0))</f>
        <v>#REF!</v>
      </c>
      <c r="V3230" s="5" t="e">
        <f>IF(AND(#REF!&gt;=table!$C$11,#REF!&lt;= table!$D$11),-1,IF(AND(#REF!&gt;=table!$E$11,#REF!&lt;=table!$F$11),1,0))</f>
        <v>#REF!</v>
      </c>
      <c r="W3230" s="5" t="e">
        <f>CONCATENATE(dados[[#This Row],[fator1]],dados[[#This Row],[fator5]],dados[[#This Row],[fator6]])</f>
        <v>#REF!</v>
      </c>
    </row>
    <row r="3231" spans="1:23">
      <c r="A3231" t="s">
        <v>16</v>
      </c>
      <c r="B3231">
        <v>586482</v>
      </c>
      <c r="C3231">
        <v>0.15</v>
      </c>
      <c r="D3231">
        <v>40</v>
      </c>
      <c r="E3231">
        <v>10</v>
      </c>
      <c r="F3231">
        <v>15</v>
      </c>
      <c r="G3231">
        <v>0</v>
      </c>
      <c r="H3231">
        <v>15</v>
      </c>
      <c r="I3231">
        <v>1359</v>
      </c>
      <c r="J3231">
        <v>0</v>
      </c>
      <c r="K3231">
        <v>2.165</v>
      </c>
      <c r="L3231">
        <v>6.65</v>
      </c>
      <c r="M3231">
        <v>6.1000000000000005</v>
      </c>
      <c r="N3231">
        <v>14.950000000000001</v>
      </c>
      <c r="O3231">
        <v>1714</v>
      </c>
      <c r="P3231">
        <v>1690</v>
      </c>
      <c r="Q3231" s="5" t="e">
        <f>IF(AND(#REF!&gt;=table!$C$6,#REF!&lt;= table!$D$6),-1,IF(AND(#REF!&gt;=table!$E$6,#REF!&lt;=table!$F$6),1,0))</f>
        <v>#REF!</v>
      </c>
      <c r="R3231" s="5" t="e">
        <f>IF(AND(#REF!&gt;=table!$C$7,#REF!&lt;= table!$D$7),-1,IF(AND(#REF!&gt;=table!$E$7,#REF!&lt;=table!$F$7),1,0))</f>
        <v>#REF!</v>
      </c>
      <c r="S3231" s="5" t="e">
        <f>IF(AND(#REF!&gt;=table!$C$8,#REF!&lt;= table!$D$8),-1,IF(AND(#REF!&gt;=table!$E$8,#REF!&lt;=table!$F$8),1,0))</f>
        <v>#REF!</v>
      </c>
      <c r="T3231" s="5"/>
      <c r="U3231" s="5" t="e">
        <f>IF(AND(#REF!&gt;=table!$C$10,#REF!&lt;= table!$D$10),-1,IF(AND(#REF!&gt;=table!$E$10,#REF!&lt;=table!$F$10),1,0))</f>
        <v>#REF!</v>
      </c>
      <c r="V3231" s="5" t="e">
        <f>IF(AND(#REF!&gt;=table!$C$11,#REF!&lt;= table!$D$11),-1,IF(AND(#REF!&gt;=table!$E$11,#REF!&lt;=table!$F$11),1,0))</f>
        <v>#REF!</v>
      </c>
      <c r="W3231" s="5" t="e">
        <f>CONCATENATE(dados[[#This Row],[fator1]],dados[[#This Row],[fator5]],dados[[#This Row],[fator6]])</f>
        <v>#REF!</v>
      </c>
    </row>
    <row r="3232" spans="1:23">
      <c r="A3232" t="s">
        <v>16</v>
      </c>
      <c r="B3232">
        <v>586483</v>
      </c>
      <c r="C3232">
        <v>0.1</v>
      </c>
      <c r="D3232">
        <v>40</v>
      </c>
      <c r="E3232">
        <v>10</v>
      </c>
      <c r="F3232">
        <v>8</v>
      </c>
      <c r="G3232">
        <v>0</v>
      </c>
      <c r="H3232">
        <v>10</v>
      </c>
      <c r="I3232">
        <v>1212</v>
      </c>
      <c r="J3232">
        <v>1170</v>
      </c>
      <c r="K3232">
        <v>12.845000000000001</v>
      </c>
      <c r="L3232">
        <v>5.335</v>
      </c>
      <c r="M3232">
        <v>5.7</v>
      </c>
      <c r="N3232">
        <v>4.8500000000000005</v>
      </c>
      <c r="O3232">
        <v>1609</v>
      </c>
      <c r="P3232">
        <v>0</v>
      </c>
      <c r="Q3232" s="5" t="e">
        <f>IF(AND(#REF!&gt;=table!$C$6,#REF!&lt;= table!$D$6),-1,IF(AND(#REF!&gt;=table!$E$6,#REF!&lt;=table!$F$6),1,0))</f>
        <v>#REF!</v>
      </c>
      <c r="R3232" s="5" t="e">
        <f>IF(AND(#REF!&gt;=table!$C$7,#REF!&lt;= table!$D$7),-1,IF(AND(#REF!&gt;=table!$E$7,#REF!&lt;=table!$F$7),1,0))</f>
        <v>#REF!</v>
      </c>
      <c r="S3232" s="5" t="e">
        <f>IF(AND(#REF!&gt;=table!$C$8,#REF!&lt;= table!$D$8),-1,IF(AND(#REF!&gt;=table!$E$8,#REF!&lt;=table!$F$8),1,0))</f>
        <v>#REF!</v>
      </c>
      <c r="T3232" s="5"/>
      <c r="U3232" s="5" t="e">
        <f>IF(AND(#REF!&gt;=table!$C$10,#REF!&lt;= table!$D$10),-1,IF(AND(#REF!&gt;=table!$E$10,#REF!&lt;=table!$F$10),1,0))</f>
        <v>#REF!</v>
      </c>
      <c r="V3232" s="5" t="e">
        <f>IF(AND(#REF!&gt;=table!$C$11,#REF!&lt;= table!$D$11),-1,IF(AND(#REF!&gt;=table!$E$11,#REF!&lt;=table!$F$11),1,0))</f>
        <v>#REF!</v>
      </c>
      <c r="W3232" s="5" t="e">
        <f>CONCATENATE(dados[[#This Row],[fator1]],dados[[#This Row],[fator5]],dados[[#This Row],[fator6]])</f>
        <v>#REF!</v>
      </c>
    </row>
    <row r="3233" spans="1:23">
      <c r="A3233" t="s">
        <v>16</v>
      </c>
      <c r="B3233">
        <v>586487</v>
      </c>
      <c r="C3233">
        <v>9</v>
      </c>
      <c r="D3233">
        <v>40</v>
      </c>
      <c r="E3233">
        <v>46</v>
      </c>
      <c r="F3233">
        <v>15</v>
      </c>
      <c r="G3233">
        <v>0</v>
      </c>
      <c r="H3233">
        <v>25</v>
      </c>
      <c r="I3233">
        <v>24</v>
      </c>
      <c r="J3233">
        <v>0</v>
      </c>
      <c r="K3233">
        <v>2.95</v>
      </c>
      <c r="L3233">
        <v>9</v>
      </c>
      <c r="M3233">
        <v>33.1</v>
      </c>
      <c r="N3233">
        <v>20.8</v>
      </c>
      <c r="O3233">
        <v>1673</v>
      </c>
      <c r="P3233">
        <v>1177</v>
      </c>
      <c r="Q3233" s="5" t="e">
        <f>IF(AND(#REF!&gt;=table!$C$6,#REF!&lt;= table!$D$6),-1,IF(AND(#REF!&gt;=table!$E$6,#REF!&lt;=table!$F$6),1,0))</f>
        <v>#REF!</v>
      </c>
      <c r="R3233" s="5" t="e">
        <f>IF(AND(#REF!&gt;=table!$C$7,#REF!&lt;= table!$D$7),-1,IF(AND(#REF!&gt;=table!$E$7,#REF!&lt;=table!$F$7),1,0))</f>
        <v>#REF!</v>
      </c>
      <c r="S3233" s="5" t="e">
        <f>IF(AND(#REF!&gt;=table!$C$8,#REF!&lt;= table!$D$8),-1,IF(AND(#REF!&gt;=table!$E$8,#REF!&lt;=table!$F$8),1,0))</f>
        <v>#REF!</v>
      </c>
      <c r="T3233" s="5"/>
      <c r="U3233" s="5" t="e">
        <f>IF(AND(#REF!&gt;=table!$C$10,#REF!&lt;= table!$D$10),-1,IF(AND(#REF!&gt;=table!$E$10,#REF!&lt;=table!$F$10),1,0))</f>
        <v>#REF!</v>
      </c>
      <c r="V3233" s="5" t="e">
        <f>IF(AND(#REF!&gt;=table!$C$11,#REF!&lt;= table!$D$11),-1,IF(AND(#REF!&gt;=table!$E$11,#REF!&lt;=table!$F$11),1,0))</f>
        <v>#REF!</v>
      </c>
      <c r="W3233" s="5" t="e">
        <f>CONCATENATE(dados[[#This Row],[fator1]],dados[[#This Row],[fator5]],dados[[#This Row],[fator6]])</f>
        <v>#REF!</v>
      </c>
    </row>
    <row r="3234" spans="1:23">
      <c r="A3234" t="s">
        <v>16</v>
      </c>
      <c r="B3234">
        <v>586489</v>
      </c>
      <c r="C3234">
        <v>0.1</v>
      </c>
      <c r="D3234">
        <v>35</v>
      </c>
      <c r="E3234">
        <v>10</v>
      </c>
      <c r="F3234">
        <v>10</v>
      </c>
      <c r="G3234">
        <v>0</v>
      </c>
      <c r="H3234">
        <v>12</v>
      </c>
      <c r="I3234">
        <v>52</v>
      </c>
      <c r="J3234">
        <v>860</v>
      </c>
      <c r="K3234">
        <v>4.6000000000000005</v>
      </c>
      <c r="L3234">
        <v>11.3</v>
      </c>
      <c r="M3234">
        <v>5.95</v>
      </c>
      <c r="N3234">
        <v>12.700000000000001</v>
      </c>
      <c r="O3234">
        <v>1685</v>
      </c>
      <c r="P3234">
        <v>0</v>
      </c>
      <c r="Q3234" s="5" t="e">
        <f>IF(AND(#REF!&gt;=table!$C$6,#REF!&lt;= table!$D$6),-1,IF(AND(#REF!&gt;=table!$E$6,#REF!&lt;=table!$F$6),1,0))</f>
        <v>#REF!</v>
      </c>
      <c r="R3234" s="5" t="e">
        <f>IF(AND(#REF!&gt;=table!$C$7,#REF!&lt;= table!$D$7),-1,IF(AND(#REF!&gt;=table!$E$7,#REF!&lt;=table!$F$7),1,0))</f>
        <v>#REF!</v>
      </c>
      <c r="S3234" s="5" t="e">
        <f>IF(AND(#REF!&gt;=table!$C$8,#REF!&lt;= table!$D$8),-1,IF(AND(#REF!&gt;=table!$E$8,#REF!&lt;=table!$F$8),1,0))</f>
        <v>#REF!</v>
      </c>
      <c r="T3234" s="5"/>
      <c r="U3234" s="5" t="e">
        <f>IF(AND(#REF!&gt;=table!$C$10,#REF!&lt;= table!$D$10),-1,IF(AND(#REF!&gt;=table!$E$10,#REF!&lt;=table!$F$10),1,0))</f>
        <v>#REF!</v>
      </c>
      <c r="V3234" s="5" t="e">
        <f>IF(AND(#REF!&gt;=table!$C$11,#REF!&lt;= table!$D$11),-1,IF(AND(#REF!&gt;=table!$E$11,#REF!&lt;=table!$F$11),1,0))</f>
        <v>#REF!</v>
      </c>
      <c r="W3234" s="5" t="e">
        <f>CONCATENATE(dados[[#This Row],[fator1]],dados[[#This Row],[fator5]],dados[[#This Row],[fator6]])</f>
        <v>#REF!</v>
      </c>
    </row>
    <row r="3235" spans="1:23">
      <c r="A3235" t="s">
        <v>16</v>
      </c>
      <c r="B3235">
        <v>586490</v>
      </c>
      <c r="C3235">
        <v>0.1</v>
      </c>
      <c r="D3235">
        <v>35</v>
      </c>
      <c r="E3235">
        <v>10</v>
      </c>
      <c r="F3235">
        <v>10</v>
      </c>
      <c r="G3235">
        <v>0</v>
      </c>
      <c r="H3235">
        <v>12</v>
      </c>
      <c r="I3235">
        <v>197</v>
      </c>
      <c r="J3235">
        <v>0</v>
      </c>
      <c r="K3235">
        <v>3.2950000000000004</v>
      </c>
      <c r="L3235">
        <v>9.15</v>
      </c>
      <c r="M3235">
        <v>6.7</v>
      </c>
      <c r="N3235">
        <v>10.1</v>
      </c>
      <c r="O3235">
        <v>1686</v>
      </c>
      <c r="P3235">
        <v>0</v>
      </c>
      <c r="Q3235" s="5" t="e">
        <f>IF(AND(#REF!&gt;=table!$C$6,#REF!&lt;= table!$D$6),-1,IF(AND(#REF!&gt;=table!$E$6,#REF!&lt;=table!$F$6),1,0))</f>
        <v>#REF!</v>
      </c>
      <c r="R3235" s="5" t="e">
        <f>IF(AND(#REF!&gt;=table!$C$7,#REF!&lt;= table!$D$7),-1,IF(AND(#REF!&gt;=table!$E$7,#REF!&lt;=table!$F$7),1,0))</f>
        <v>#REF!</v>
      </c>
      <c r="S3235" s="5" t="e">
        <f>IF(AND(#REF!&gt;=table!$C$8,#REF!&lt;= table!$D$8),-1,IF(AND(#REF!&gt;=table!$E$8,#REF!&lt;=table!$F$8),1,0))</f>
        <v>#REF!</v>
      </c>
      <c r="T3235" s="5"/>
      <c r="U3235" s="5" t="e">
        <f>IF(AND(#REF!&gt;=table!$C$10,#REF!&lt;= table!$D$10),-1,IF(AND(#REF!&gt;=table!$E$10,#REF!&lt;=table!$F$10),1,0))</f>
        <v>#REF!</v>
      </c>
      <c r="V3235" s="5" t="e">
        <f>IF(AND(#REF!&gt;=table!$C$11,#REF!&lt;= table!$D$11),-1,IF(AND(#REF!&gt;=table!$E$11,#REF!&lt;=table!$F$11),1,0))</f>
        <v>#REF!</v>
      </c>
      <c r="W3235" s="5" t="e">
        <f>CONCATENATE(dados[[#This Row],[fator1]],dados[[#This Row],[fator5]],dados[[#This Row],[fator6]])</f>
        <v>#REF!</v>
      </c>
    </row>
    <row r="3236" spans="1:23">
      <c r="A3236" t="s">
        <v>16</v>
      </c>
      <c r="B3236">
        <v>586498</v>
      </c>
      <c r="C3236">
        <v>0.15</v>
      </c>
      <c r="D3236">
        <v>35</v>
      </c>
      <c r="E3236">
        <v>15</v>
      </c>
      <c r="F3236">
        <v>10</v>
      </c>
      <c r="G3236">
        <v>0</v>
      </c>
      <c r="H3236">
        <v>12</v>
      </c>
      <c r="I3236">
        <v>847</v>
      </c>
      <c r="J3236">
        <v>590</v>
      </c>
      <c r="K3236">
        <v>3.13</v>
      </c>
      <c r="L3236">
        <v>9.2000000000000011</v>
      </c>
      <c r="M3236">
        <v>6.95</v>
      </c>
      <c r="N3236">
        <v>14.3</v>
      </c>
      <c r="O3236">
        <v>1717</v>
      </c>
      <c r="P3236">
        <v>1209</v>
      </c>
      <c r="Q3236" s="5" t="e">
        <f>IF(AND(#REF!&gt;=table!$C$6,#REF!&lt;= table!$D$6),-1,IF(AND(#REF!&gt;=table!$E$6,#REF!&lt;=table!$F$6),1,0))</f>
        <v>#REF!</v>
      </c>
      <c r="R3236" s="5" t="e">
        <f>IF(AND(#REF!&gt;=table!$C$7,#REF!&lt;= table!$D$7),-1,IF(AND(#REF!&gt;=table!$E$7,#REF!&lt;=table!$F$7),1,0))</f>
        <v>#REF!</v>
      </c>
      <c r="S3236" s="5" t="e">
        <f>IF(AND(#REF!&gt;=table!$C$8,#REF!&lt;= table!$D$8),-1,IF(AND(#REF!&gt;=table!$E$8,#REF!&lt;=table!$F$8),1,0))</f>
        <v>#REF!</v>
      </c>
      <c r="T3236" s="5"/>
      <c r="U3236" s="5" t="e">
        <f>IF(AND(#REF!&gt;=table!$C$10,#REF!&lt;= table!$D$10),-1,IF(AND(#REF!&gt;=table!$E$10,#REF!&lt;=table!$F$10),1,0))</f>
        <v>#REF!</v>
      </c>
      <c r="V3236" s="5" t="e">
        <f>IF(AND(#REF!&gt;=table!$C$11,#REF!&lt;= table!$D$11),-1,IF(AND(#REF!&gt;=table!$E$11,#REF!&lt;=table!$F$11),1,0))</f>
        <v>#REF!</v>
      </c>
      <c r="W3236" s="5" t="e">
        <f>CONCATENATE(dados[[#This Row],[fator1]],dados[[#This Row],[fator5]],dados[[#This Row],[fator6]])</f>
        <v>#REF!</v>
      </c>
    </row>
    <row r="3237" spans="1:23">
      <c r="A3237" t="s">
        <v>16</v>
      </c>
      <c r="B3237">
        <v>586501</v>
      </c>
      <c r="C3237">
        <v>0.15</v>
      </c>
      <c r="D3237">
        <v>40</v>
      </c>
      <c r="E3237">
        <v>10</v>
      </c>
      <c r="F3237">
        <v>15</v>
      </c>
      <c r="G3237">
        <v>0</v>
      </c>
      <c r="H3237">
        <v>15</v>
      </c>
      <c r="I3237">
        <v>422</v>
      </c>
      <c r="J3237">
        <v>0</v>
      </c>
      <c r="K3237">
        <v>3.105</v>
      </c>
      <c r="L3237">
        <v>6.1000000000000005</v>
      </c>
      <c r="M3237">
        <v>4.625</v>
      </c>
      <c r="N3237">
        <v>7.2850000000000001</v>
      </c>
      <c r="O3237">
        <v>1679</v>
      </c>
      <c r="P3237">
        <v>0</v>
      </c>
      <c r="Q3237" s="5" t="e">
        <f>IF(AND(#REF!&gt;=table!$C$6,#REF!&lt;= table!$D$6),-1,IF(AND(#REF!&gt;=table!$E$6,#REF!&lt;=table!$F$6),1,0))</f>
        <v>#REF!</v>
      </c>
      <c r="R3237" s="5" t="e">
        <f>IF(AND(#REF!&gt;=table!$C$7,#REF!&lt;= table!$D$7),-1,IF(AND(#REF!&gt;=table!$E$7,#REF!&lt;=table!$F$7),1,0))</f>
        <v>#REF!</v>
      </c>
      <c r="S3237" s="5" t="e">
        <f>IF(AND(#REF!&gt;=table!$C$8,#REF!&lt;= table!$D$8),-1,IF(AND(#REF!&gt;=table!$E$8,#REF!&lt;=table!$F$8),1,0))</f>
        <v>#REF!</v>
      </c>
      <c r="T3237" s="5"/>
      <c r="U3237" s="5" t="e">
        <f>IF(AND(#REF!&gt;=table!$C$10,#REF!&lt;= table!$D$10),-1,IF(AND(#REF!&gt;=table!$E$10,#REF!&lt;=table!$F$10),1,0))</f>
        <v>#REF!</v>
      </c>
      <c r="V3237" s="5" t="e">
        <f>IF(AND(#REF!&gt;=table!$C$11,#REF!&lt;= table!$D$11),-1,IF(AND(#REF!&gt;=table!$E$11,#REF!&lt;=table!$F$11),1,0))</f>
        <v>#REF!</v>
      </c>
      <c r="W3237" s="5" t="e">
        <f>CONCATENATE(dados[[#This Row],[fator1]],dados[[#This Row],[fator5]],dados[[#This Row],[fator6]])</f>
        <v>#REF!</v>
      </c>
    </row>
    <row r="3238" spans="1:23">
      <c r="A3238" t="s">
        <v>16</v>
      </c>
      <c r="B3238">
        <v>586502</v>
      </c>
      <c r="C3238">
        <v>0.15</v>
      </c>
      <c r="D3238">
        <v>40</v>
      </c>
      <c r="E3238">
        <v>10</v>
      </c>
      <c r="F3238">
        <v>15</v>
      </c>
      <c r="G3238">
        <v>0</v>
      </c>
      <c r="H3238">
        <v>15</v>
      </c>
      <c r="I3238">
        <v>324</v>
      </c>
      <c r="J3238">
        <v>840</v>
      </c>
      <c r="K3238">
        <v>10.59</v>
      </c>
      <c r="L3238">
        <v>13.4</v>
      </c>
      <c r="M3238">
        <v>5.54</v>
      </c>
      <c r="N3238">
        <v>9.1</v>
      </c>
      <c r="O3238">
        <v>1663</v>
      </c>
      <c r="P3238">
        <v>470</v>
      </c>
      <c r="Q3238" s="5" t="e">
        <f>IF(AND(#REF!&gt;=table!$C$6,#REF!&lt;= table!$D$6),-1,IF(AND(#REF!&gt;=table!$E$6,#REF!&lt;=table!$F$6),1,0))</f>
        <v>#REF!</v>
      </c>
      <c r="R3238" s="5" t="e">
        <f>IF(AND(#REF!&gt;=table!$C$7,#REF!&lt;= table!$D$7),-1,IF(AND(#REF!&gt;=table!$E$7,#REF!&lt;=table!$F$7),1,0))</f>
        <v>#REF!</v>
      </c>
      <c r="S3238" s="5" t="e">
        <f>IF(AND(#REF!&gt;=table!$C$8,#REF!&lt;= table!$D$8),-1,IF(AND(#REF!&gt;=table!$E$8,#REF!&lt;=table!$F$8),1,0))</f>
        <v>#REF!</v>
      </c>
      <c r="T3238" s="5"/>
      <c r="U3238" s="5" t="e">
        <f>IF(AND(#REF!&gt;=table!$C$10,#REF!&lt;= table!$D$10),-1,IF(AND(#REF!&gt;=table!$E$10,#REF!&lt;=table!$F$10),1,0))</f>
        <v>#REF!</v>
      </c>
      <c r="V3238" s="5" t="e">
        <f>IF(AND(#REF!&gt;=table!$C$11,#REF!&lt;= table!$D$11),-1,IF(AND(#REF!&gt;=table!$E$11,#REF!&lt;=table!$F$11),1,0))</f>
        <v>#REF!</v>
      </c>
      <c r="W3238" s="5" t="e">
        <f>CONCATENATE(dados[[#This Row],[fator1]],dados[[#This Row],[fator5]],dados[[#This Row],[fator6]])</f>
        <v>#REF!</v>
      </c>
    </row>
    <row r="3239" spans="1:23">
      <c r="A3239" t="s">
        <v>16</v>
      </c>
      <c r="B3239">
        <v>586503</v>
      </c>
      <c r="C3239">
        <v>7</v>
      </c>
      <c r="D3239">
        <v>35</v>
      </c>
      <c r="E3239">
        <v>170</v>
      </c>
      <c r="F3239">
        <v>6</v>
      </c>
      <c r="G3239">
        <v>0</v>
      </c>
      <c r="H3239">
        <v>20</v>
      </c>
      <c r="I3239">
        <v>0</v>
      </c>
      <c r="J3239">
        <v>870</v>
      </c>
      <c r="K3239">
        <v>3.14</v>
      </c>
      <c r="L3239">
        <v>9</v>
      </c>
      <c r="M3239">
        <v>105.15</v>
      </c>
      <c r="N3239">
        <v>14.75</v>
      </c>
      <c r="O3239">
        <v>1700</v>
      </c>
      <c r="P3239">
        <v>1137</v>
      </c>
      <c r="Q3239" s="5" t="e">
        <f>IF(AND(#REF!&gt;=table!$C$6,#REF!&lt;= table!$D$6),-1,IF(AND(#REF!&gt;=table!$E$6,#REF!&lt;=table!$F$6),1,0))</f>
        <v>#REF!</v>
      </c>
      <c r="R3239" s="5" t="e">
        <f>IF(AND(#REF!&gt;=table!$C$7,#REF!&lt;= table!$D$7),-1,IF(AND(#REF!&gt;=table!$E$7,#REF!&lt;=table!$F$7),1,0))</f>
        <v>#REF!</v>
      </c>
      <c r="S3239" s="5" t="e">
        <f>IF(AND(#REF!&gt;=table!$C$8,#REF!&lt;= table!$D$8),-1,IF(AND(#REF!&gt;=table!$E$8,#REF!&lt;=table!$F$8),1,0))</f>
        <v>#REF!</v>
      </c>
      <c r="T3239" s="5"/>
      <c r="U3239" s="5" t="e">
        <f>IF(AND(#REF!&gt;=table!$C$10,#REF!&lt;= table!$D$10),-1,IF(AND(#REF!&gt;=table!$E$10,#REF!&lt;=table!$F$10),1,0))</f>
        <v>#REF!</v>
      </c>
      <c r="V3239" s="5" t="e">
        <f>IF(AND(#REF!&gt;=table!$C$11,#REF!&lt;= table!$D$11),-1,IF(AND(#REF!&gt;=table!$E$11,#REF!&lt;=table!$F$11),1,0))</f>
        <v>#REF!</v>
      </c>
      <c r="W3239" s="5" t="e">
        <f>CONCATENATE(dados[[#This Row],[fator1]],dados[[#This Row],[fator5]],dados[[#This Row],[fator6]])</f>
        <v>#REF!</v>
      </c>
    </row>
    <row r="3240" spans="1:23">
      <c r="A3240" t="s">
        <v>16</v>
      </c>
      <c r="B3240">
        <v>586509</v>
      </c>
      <c r="C3240">
        <v>0.15</v>
      </c>
      <c r="D3240">
        <v>40</v>
      </c>
      <c r="E3240">
        <v>10</v>
      </c>
      <c r="F3240">
        <v>15</v>
      </c>
      <c r="G3240">
        <v>0</v>
      </c>
      <c r="H3240">
        <v>15</v>
      </c>
      <c r="I3240">
        <v>432</v>
      </c>
      <c r="J3240">
        <v>0</v>
      </c>
      <c r="K3240">
        <v>6.8900000000000006</v>
      </c>
      <c r="L3240">
        <v>7.75</v>
      </c>
      <c r="M3240">
        <v>6.7850000000000001</v>
      </c>
      <c r="N3240">
        <v>8.245000000000001</v>
      </c>
      <c r="O3240">
        <v>1682</v>
      </c>
      <c r="P3240">
        <v>0</v>
      </c>
      <c r="Q3240" s="5" t="e">
        <f>IF(AND(#REF!&gt;=table!$C$6,#REF!&lt;= table!$D$6),-1,IF(AND(#REF!&gt;=table!$E$6,#REF!&lt;=table!$F$6),1,0))</f>
        <v>#REF!</v>
      </c>
      <c r="R3240" s="5" t="e">
        <f>IF(AND(#REF!&gt;=table!$C$7,#REF!&lt;= table!$D$7),-1,IF(AND(#REF!&gt;=table!$E$7,#REF!&lt;=table!$F$7),1,0))</f>
        <v>#REF!</v>
      </c>
      <c r="S3240" s="5" t="e">
        <f>IF(AND(#REF!&gt;=table!$C$8,#REF!&lt;= table!$D$8),-1,IF(AND(#REF!&gt;=table!$E$8,#REF!&lt;=table!$F$8),1,0))</f>
        <v>#REF!</v>
      </c>
      <c r="T3240" s="5"/>
      <c r="U3240" s="5" t="e">
        <f>IF(AND(#REF!&gt;=table!$C$10,#REF!&lt;= table!$D$10),-1,IF(AND(#REF!&gt;=table!$E$10,#REF!&lt;=table!$F$10),1,0))</f>
        <v>#REF!</v>
      </c>
      <c r="V3240" s="5" t="e">
        <f>IF(AND(#REF!&gt;=table!$C$11,#REF!&lt;= table!$D$11),-1,IF(AND(#REF!&gt;=table!$E$11,#REF!&lt;=table!$F$11),1,0))</f>
        <v>#REF!</v>
      </c>
      <c r="W3240" s="5" t="e">
        <f>CONCATENATE(dados[[#This Row],[fator1]],dados[[#This Row],[fator5]],dados[[#This Row],[fator6]])</f>
        <v>#REF!</v>
      </c>
    </row>
    <row r="3241" spans="1:23">
      <c r="A3241" t="s">
        <v>16</v>
      </c>
      <c r="B3241">
        <v>586510</v>
      </c>
      <c r="C3241">
        <v>0.15</v>
      </c>
      <c r="D3241">
        <v>40</v>
      </c>
      <c r="E3241">
        <v>10</v>
      </c>
      <c r="F3241">
        <v>15</v>
      </c>
      <c r="G3241">
        <v>0</v>
      </c>
      <c r="H3241">
        <v>15</v>
      </c>
      <c r="I3241">
        <v>79</v>
      </c>
      <c r="J3241">
        <v>0</v>
      </c>
      <c r="K3241">
        <v>3.9</v>
      </c>
      <c r="L3241">
        <v>7.3</v>
      </c>
      <c r="M3241">
        <v>6.07</v>
      </c>
      <c r="N3241">
        <v>11.3</v>
      </c>
      <c r="O3241">
        <v>1682</v>
      </c>
      <c r="P3241">
        <v>0</v>
      </c>
      <c r="Q3241" s="5" t="e">
        <f>IF(AND(#REF!&gt;=table!$C$6,#REF!&lt;= table!$D$6),-1,IF(AND(#REF!&gt;=table!$E$6,#REF!&lt;=table!$F$6),1,0))</f>
        <v>#REF!</v>
      </c>
      <c r="R3241" s="5" t="e">
        <f>IF(AND(#REF!&gt;=table!$C$7,#REF!&lt;= table!$D$7),-1,IF(AND(#REF!&gt;=table!$E$7,#REF!&lt;=table!$F$7),1,0))</f>
        <v>#REF!</v>
      </c>
      <c r="S3241" s="5" t="e">
        <f>IF(AND(#REF!&gt;=table!$C$8,#REF!&lt;= table!$D$8),-1,IF(AND(#REF!&gt;=table!$E$8,#REF!&lt;=table!$F$8),1,0))</f>
        <v>#REF!</v>
      </c>
      <c r="T3241" s="5"/>
      <c r="U3241" s="5" t="e">
        <f>IF(AND(#REF!&gt;=table!$C$10,#REF!&lt;= table!$D$10),-1,IF(AND(#REF!&gt;=table!$E$10,#REF!&lt;=table!$F$10),1,0))</f>
        <v>#REF!</v>
      </c>
      <c r="V3241" s="5" t="e">
        <f>IF(AND(#REF!&gt;=table!$C$11,#REF!&lt;= table!$D$11),-1,IF(AND(#REF!&gt;=table!$E$11,#REF!&lt;=table!$F$11),1,0))</f>
        <v>#REF!</v>
      </c>
      <c r="W3241" s="5" t="e">
        <f>CONCATENATE(dados[[#This Row],[fator1]],dados[[#This Row],[fator5]],dados[[#This Row],[fator6]])</f>
        <v>#REF!</v>
      </c>
    </row>
    <row r="3242" spans="1:23">
      <c r="A3242" t="s">
        <v>16</v>
      </c>
      <c r="B3242">
        <v>586515</v>
      </c>
      <c r="C3242">
        <v>12</v>
      </c>
      <c r="D3242">
        <v>35</v>
      </c>
      <c r="E3242">
        <v>86</v>
      </c>
      <c r="F3242">
        <v>10</v>
      </c>
      <c r="G3242">
        <v>0</v>
      </c>
      <c r="H3242">
        <v>25</v>
      </c>
      <c r="I3242">
        <v>168</v>
      </c>
      <c r="J3242">
        <v>0</v>
      </c>
      <c r="K3242">
        <v>8.7100000000000009</v>
      </c>
      <c r="L3242">
        <v>12.64</v>
      </c>
      <c r="M3242">
        <v>65.8</v>
      </c>
      <c r="N3242">
        <v>13.565000000000001</v>
      </c>
      <c r="O3242">
        <v>1679</v>
      </c>
      <c r="P3242">
        <v>434</v>
      </c>
      <c r="Q3242" s="5" t="e">
        <f>IF(AND(#REF!&gt;=table!$C$6,#REF!&lt;= table!$D$6),-1,IF(AND(#REF!&gt;=table!$E$6,#REF!&lt;=table!$F$6),1,0))</f>
        <v>#REF!</v>
      </c>
      <c r="R3242" s="5" t="e">
        <f>IF(AND(#REF!&gt;=table!$C$7,#REF!&lt;= table!$D$7),-1,IF(AND(#REF!&gt;=table!$E$7,#REF!&lt;=table!$F$7),1,0))</f>
        <v>#REF!</v>
      </c>
      <c r="S3242" s="5" t="e">
        <f>IF(AND(#REF!&gt;=table!$C$8,#REF!&lt;= table!$D$8),-1,IF(AND(#REF!&gt;=table!$E$8,#REF!&lt;=table!$F$8),1,0))</f>
        <v>#REF!</v>
      </c>
      <c r="T3242" s="5"/>
      <c r="U3242" s="5" t="e">
        <f>IF(AND(#REF!&gt;=table!$C$10,#REF!&lt;= table!$D$10),-1,IF(AND(#REF!&gt;=table!$E$10,#REF!&lt;=table!$F$10),1,0))</f>
        <v>#REF!</v>
      </c>
      <c r="V3242" s="5" t="e">
        <f>IF(AND(#REF!&gt;=table!$C$11,#REF!&lt;= table!$D$11),-1,IF(AND(#REF!&gt;=table!$E$11,#REF!&lt;=table!$F$11),1,0))</f>
        <v>#REF!</v>
      </c>
      <c r="W3242" s="5" t="e">
        <f>CONCATENATE(dados[[#This Row],[fator1]],dados[[#This Row],[fator5]],dados[[#This Row],[fator6]])</f>
        <v>#REF!</v>
      </c>
    </row>
    <row r="3243" spans="1:23">
      <c r="A3243" t="s">
        <v>16</v>
      </c>
      <c r="B3243">
        <v>586519</v>
      </c>
      <c r="C3243">
        <v>0.15</v>
      </c>
      <c r="D3243">
        <v>40</v>
      </c>
      <c r="E3243">
        <v>10</v>
      </c>
      <c r="F3243">
        <v>15</v>
      </c>
      <c r="G3243">
        <v>0</v>
      </c>
      <c r="H3243">
        <v>15</v>
      </c>
      <c r="I3243">
        <v>99</v>
      </c>
      <c r="J3243">
        <v>0</v>
      </c>
      <c r="K3243">
        <v>4.68</v>
      </c>
      <c r="L3243">
        <v>6.22</v>
      </c>
      <c r="M3243">
        <v>5.7650000000000006</v>
      </c>
      <c r="N3243">
        <v>9.8350000000000009</v>
      </c>
      <c r="O3243">
        <v>1660</v>
      </c>
      <c r="P3243">
        <v>781</v>
      </c>
      <c r="Q3243" s="5" t="e">
        <f>IF(AND(#REF!&gt;=table!$C$6,#REF!&lt;= table!$D$6),-1,IF(AND(#REF!&gt;=table!$E$6,#REF!&lt;=table!$F$6),1,0))</f>
        <v>#REF!</v>
      </c>
      <c r="R3243" s="5" t="e">
        <f>IF(AND(#REF!&gt;=table!$C$7,#REF!&lt;= table!$D$7),-1,IF(AND(#REF!&gt;=table!$E$7,#REF!&lt;=table!$F$7),1,0))</f>
        <v>#REF!</v>
      </c>
      <c r="S3243" s="5" t="e">
        <f>IF(AND(#REF!&gt;=table!$C$8,#REF!&lt;= table!$D$8),-1,IF(AND(#REF!&gt;=table!$E$8,#REF!&lt;=table!$F$8),1,0))</f>
        <v>#REF!</v>
      </c>
      <c r="T3243" s="5"/>
      <c r="U3243" s="5" t="e">
        <f>IF(AND(#REF!&gt;=table!$C$10,#REF!&lt;= table!$D$10),-1,IF(AND(#REF!&gt;=table!$E$10,#REF!&lt;=table!$F$10),1,0))</f>
        <v>#REF!</v>
      </c>
      <c r="V3243" s="5" t="e">
        <f>IF(AND(#REF!&gt;=table!$C$11,#REF!&lt;= table!$D$11),-1,IF(AND(#REF!&gt;=table!$E$11,#REF!&lt;=table!$F$11),1,0))</f>
        <v>#REF!</v>
      </c>
      <c r="W3243" s="5" t="e">
        <f>CONCATENATE(dados[[#This Row],[fator1]],dados[[#This Row],[fator5]],dados[[#This Row],[fator6]])</f>
        <v>#REF!</v>
      </c>
    </row>
    <row r="3244" spans="1:23">
      <c r="A3244" t="s">
        <v>16</v>
      </c>
      <c r="B3244">
        <v>586525</v>
      </c>
      <c r="C3244">
        <v>0.15</v>
      </c>
      <c r="D3244">
        <v>40</v>
      </c>
      <c r="E3244">
        <v>10</v>
      </c>
      <c r="F3244">
        <v>15</v>
      </c>
      <c r="G3244">
        <v>0</v>
      </c>
      <c r="H3244">
        <v>15</v>
      </c>
      <c r="I3244">
        <v>2216</v>
      </c>
      <c r="J3244">
        <v>0</v>
      </c>
      <c r="K3244">
        <v>4.2450000000000001</v>
      </c>
      <c r="L3244">
        <v>5.08</v>
      </c>
      <c r="M3244">
        <v>4.625</v>
      </c>
      <c r="N3244">
        <v>6.1000000000000005</v>
      </c>
      <c r="O3244">
        <v>1671</v>
      </c>
      <c r="P3244">
        <v>0</v>
      </c>
      <c r="Q3244" s="5" t="e">
        <f>IF(AND(#REF!&gt;=table!$C$6,#REF!&lt;= table!$D$6),-1,IF(AND(#REF!&gt;=table!$E$6,#REF!&lt;=table!$F$6),1,0))</f>
        <v>#REF!</v>
      </c>
      <c r="R3244" s="5" t="e">
        <f>IF(AND(#REF!&gt;=table!$C$7,#REF!&lt;= table!$D$7),-1,IF(AND(#REF!&gt;=table!$E$7,#REF!&lt;=table!$F$7),1,0))</f>
        <v>#REF!</v>
      </c>
      <c r="S3244" s="5" t="e">
        <f>IF(AND(#REF!&gt;=table!$C$8,#REF!&lt;= table!$D$8),-1,IF(AND(#REF!&gt;=table!$E$8,#REF!&lt;=table!$F$8),1,0))</f>
        <v>#REF!</v>
      </c>
      <c r="T3244" s="5"/>
      <c r="U3244" s="5" t="e">
        <f>IF(AND(#REF!&gt;=table!$C$10,#REF!&lt;= table!$D$10),-1,IF(AND(#REF!&gt;=table!$E$10,#REF!&lt;=table!$F$10),1,0))</f>
        <v>#REF!</v>
      </c>
      <c r="V3244" s="5" t="e">
        <f>IF(AND(#REF!&gt;=table!$C$11,#REF!&lt;= table!$D$11),-1,IF(AND(#REF!&gt;=table!$E$11,#REF!&lt;=table!$F$11),1,0))</f>
        <v>#REF!</v>
      </c>
      <c r="W3244" s="5" t="e">
        <f>CONCATENATE(dados[[#This Row],[fator1]],dados[[#This Row],[fator5]],dados[[#This Row],[fator6]])</f>
        <v>#REF!</v>
      </c>
    </row>
    <row r="3245" spans="1:23">
      <c r="A3245" t="s">
        <v>16</v>
      </c>
      <c r="B3245">
        <v>586526</v>
      </c>
      <c r="C3245">
        <v>0.15</v>
      </c>
      <c r="D3245">
        <v>40</v>
      </c>
      <c r="E3245">
        <v>10</v>
      </c>
      <c r="F3245">
        <v>15</v>
      </c>
      <c r="G3245">
        <v>0</v>
      </c>
      <c r="H3245">
        <v>15</v>
      </c>
      <c r="I3245">
        <v>1452</v>
      </c>
      <c r="J3245">
        <v>440</v>
      </c>
      <c r="K3245">
        <v>4.3950000000000005</v>
      </c>
      <c r="L3245">
        <v>10.035</v>
      </c>
      <c r="M3245">
        <v>4.96</v>
      </c>
      <c r="N3245">
        <v>13.16</v>
      </c>
      <c r="O3245">
        <v>1696</v>
      </c>
      <c r="P3245">
        <v>1620</v>
      </c>
      <c r="Q3245" s="5" t="e">
        <f>IF(AND(#REF!&gt;=table!$C$6,#REF!&lt;= table!$D$6),-1,IF(AND(#REF!&gt;=table!$E$6,#REF!&lt;=table!$F$6),1,0))</f>
        <v>#REF!</v>
      </c>
      <c r="R3245" s="5" t="e">
        <f>IF(AND(#REF!&gt;=table!$C$7,#REF!&lt;= table!$D$7),-1,IF(AND(#REF!&gt;=table!$E$7,#REF!&lt;=table!$F$7),1,0))</f>
        <v>#REF!</v>
      </c>
      <c r="S3245" s="5" t="e">
        <f>IF(AND(#REF!&gt;=table!$C$8,#REF!&lt;= table!$D$8),-1,IF(AND(#REF!&gt;=table!$E$8,#REF!&lt;=table!$F$8),1,0))</f>
        <v>#REF!</v>
      </c>
      <c r="T3245" s="5"/>
      <c r="U3245" s="5" t="e">
        <f>IF(AND(#REF!&gt;=table!$C$10,#REF!&lt;= table!$D$10),-1,IF(AND(#REF!&gt;=table!$E$10,#REF!&lt;=table!$F$10),1,0))</f>
        <v>#REF!</v>
      </c>
      <c r="V3245" s="5" t="e">
        <f>IF(AND(#REF!&gt;=table!$C$11,#REF!&lt;= table!$D$11),-1,IF(AND(#REF!&gt;=table!$E$11,#REF!&lt;=table!$F$11),1,0))</f>
        <v>#REF!</v>
      </c>
      <c r="W3245" s="5" t="e">
        <f>CONCATENATE(dados[[#This Row],[fator1]],dados[[#This Row],[fator5]],dados[[#This Row],[fator6]])</f>
        <v>#REF!</v>
      </c>
    </row>
    <row r="3246" spans="1:23">
      <c r="A3246" t="s">
        <v>16</v>
      </c>
      <c r="B3246">
        <v>586531</v>
      </c>
      <c r="C3246">
        <v>4</v>
      </c>
      <c r="D3246">
        <v>40</v>
      </c>
      <c r="E3246">
        <v>21</v>
      </c>
      <c r="F3246">
        <v>20</v>
      </c>
      <c r="G3246">
        <v>0</v>
      </c>
      <c r="H3246">
        <v>25</v>
      </c>
      <c r="I3246">
        <v>658</v>
      </c>
      <c r="J3246">
        <v>1020</v>
      </c>
      <c r="K3246">
        <v>13.285</v>
      </c>
      <c r="L3246">
        <v>13.85</v>
      </c>
      <c r="M3246">
        <v>12.5</v>
      </c>
      <c r="N3246">
        <v>4.8</v>
      </c>
      <c r="O3246">
        <v>1682</v>
      </c>
      <c r="P3246">
        <v>0</v>
      </c>
      <c r="Q3246" s="5" t="e">
        <f>IF(AND(#REF!&gt;=table!$C$6,#REF!&lt;= table!$D$6),-1,IF(AND(#REF!&gt;=table!$E$6,#REF!&lt;=table!$F$6),1,0))</f>
        <v>#REF!</v>
      </c>
      <c r="R3246" s="5" t="e">
        <f>IF(AND(#REF!&gt;=table!$C$7,#REF!&lt;= table!$D$7),-1,IF(AND(#REF!&gt;=table!$E$7,#REF!&lt;=table!$F$7),1,0))</f>
        <v>#REF!</v>
      </c>
      <c r="S3246" s="5" t="e">
        <f>IF(AND(#REF!&gt;=table!$C$8,#REF!&lt;= table!$D$8),-1,IF(AND(#REF!&gt;=table!$E$8,#REF!&lt;=table!$F$8),1,0))</f>
        <v>#REF!</v>
      </c>
      <c r="T3246" s="5"/>
      <c r="U3246" s="5" t="e">
        <f>IF(AND(#REF!&gt;=table!$C$10,#REF!&lt;= table!$D$10),-1,IF(AND(#REF!&gt;=table!$E$10,#REF!&lt;=table!$F$10),1,0))</f>
        <v>#REF!</v>
      </c>
      <c r="V3246" s="5" t="e">
        <f>IF(AND(#REF!&gt;=table!$C$11,#REF!&lt;= table!$D$11),-1,IF(AND(#REF!&gt;=table!$E$11,#REF!&lt;=table!$F$11),1,0))</f>
        <v>#REF!</v>
      </c>
      <c r="W3246" s="5" t="e">
        <f>CONCATENATE(dados[[#This Row],[fator1]],dados[[#This Row],[fator5]],dados[[#This Row],[fator6]])</f>
        <v>#REF!</v>
      </c>
    </row>
    <row r="3247" spans="1:23">
      <c r="A3247" t="s">
        <v>16</v>
      </c>
      <c r="B3247">
        <v>586534</v>
      </c>
      <c r="C3247">
        <v>0.1</v>
      </c>
      <c r="D3247">
        <v>35</v>
      </c>
      <c r="E3247">
        <v>10</v>
      </c>
      <c r="F3247">
        <v>10</v>
      </c>
      <c r="G3247">
        <v>0</v>
      </c>
      <c r="H3247">
        <v>12</v>
      </c>
      <c r="I3247">
        <v>1110</v>
      </c>
      <c r="J3247">
        <v>880</v>
      </c>
      <c r="K3247">
        <v>3</v>
      </c>
      <c r="L3247">
        <v>7.45</v>
      </c>
      <c r="M3247">
        <v>4</v>
      </c>
      <c r="N3247">
        <v>13.6</v>
      </c>
      <c r="O3247">
        <v>1713</v>
      </c>
      <c r="P3247">
        <v>0</v>
      </c>
      <c r="Q3247" s="5" t="e">
        <f>IF(AND(#REF!&gt;=table!$C$6,#REF!&lt;= table!$D$6),-1,IF(AND(#REF!&gt;=table!$E$6,#REF!&lt;=table!$F$6),1,0))</f>
        <v>#REF!</v>
      </c>
      <c r="R3247" s="5" t="e">
        <f>IF(AND(#REF!&gt;=table!$C$7,#REF!&lt;= table!$D$7),-1,IF(AND(#REF!&gt;=table!$E$7,#REF!&lt;=table!$F$7),1,0))</f>
        <v>#REF!</v>
      </c>
      <c r="S3247" s="5" t="e">
        <f>IF(AND(#REF!&gt;=table!$C$8,#REF!&lt;= table!$D$8),-1,IF(AND(#REF!&gt;=table!$E$8,#REF!&lt;=table!$F$8),1,0))</f>
        <v>#REF!</v>
      </c>
      <c r="T3247" s="5"/>
      <c r="U3247" s="5" t="e">
        <f>IF(AND(#REF!&gt;=table!$C$10,#REF!&lt;= table!$D$10),-1,IF(AND(#REF!&gt;=table!$E$10,#REF!&lt;=table!$F$10),1,0))</f>
        <v>#REF!</v>
      </c>
      <c r="V3247" s="5" t="e">
        <f>IF(AND(#REF!&gt;=table!$C$11,#REF!&lt;= table!$D$11),-1,IF(AND(#REF!&gt;=table!$E$11,#REF!&lt;=table!$F$11),1,0))</f>
        <v>#REF!</v>
      </c>
      <c r="W3247" s="5" t="e">
        <f>CONCATENATE(dados[[#This Row],[fator1]],dados[[#This Row],[fator5]],dados[[#This Row],[fator6]])</f>
        <v>#REF!</v>
      </c>
    </row>
    <row r="3248" spans="1:23">
      <c r="A3248" t="s">
        <v>17</v>
      </c>
      <c r="B3248">
        <v>586538</v>
      </c>
      <c r="C3248">
        <v>46</v>
      </c>
      <c r="D3248">
        <v>18</v>
      </c>
      <c r="E3248">
        <v>66</v>
      </c>
      <c r="F3248">
        <v>10</v>
      </c>
      <c r="G3248">
        <v>20</v>
      </c>
      <c r="H3248">
        <v>23</v>
      </c>
      <c r="I3248">
        <v>495</v>
      </c>
      <c r="J3248">
        <v>0</v>
      </c>
      <c r="K3248">
        <v>6.3050000000000006</v>
      </c>
      <c r="L3248">
        <v>7.15</v>
      </c>
      <c r="M3248">
        <v>48.050000000000004</v>
      </c>
      <c r="N3248">
        <v>8.9</v>
      </c>
      <c r="O3248">
        <v>1632</v>
      </c>
      <c r="P3248">
        <v>449</v>
      </c>
      <c r="Q3248" s="5" t="e">
        <f>IF(AND(#REF!&gt;=table!$C$6,#REF!&lt;= table!$D$6),-1,IF(AND(#REF!&gt;=table!$E$6,#REF!&lt;=table!$F$6),1,0))</f>
        <v>#REF!</v>
      </c>
      <c r="R3248" s="5" t="e">
        <f>IF(AND(#REF!&gt;=table!$C$7,#REF!&lt;= table!$D$7),-1,IF(AND(#REF!&gt;=table!$E$7,#REF!&lt;=table!$F$7),1,0))</f>
        <v>#REF!</v>
      </c>
      <c r="S3248" s="5" t="e">
        <f>IF(AND(#REF!&gt;=table!$C$8,#REF!&lt;= table!$D$8),-1,IF(AND(#REF!&gt;=table!$E$8,#REF!&lt;=table!$F$8),1,0))</f>
        <v>#REF!</v>
      </c>
      <c r="T3248" s="5"/>
      <c r="U3248" s="5" t="e">
        <f>IF(AND(#REF!&gt;=table!$C$10,#REF!&lt;= table!$D$10),-1,IF(AND(#REF!&gt;=table!$E$10,#REF!&lt;=table!$F$10),1,0))</f>
        <v>#REF!</v>
      </c>
      <c r="V3248" s="5" t="e">
        <f>IF(AND(#REF!&gt;=table!$C$11,#REF!&lt;= table!$D$11),-1,IF(AND(#REF!&gt;=table!$E$11,#REF!&lt;=table!$F$11),1,0))</f>
        <v>#REF!</v>
      </c>
      <c r="W3248" s="5" t="e">
        <f>CONCATENATE(dados[[#This Row],[fator1]],dados[[#This Row],[fator5]],dados[[#This Row],[fator6]])</f>
        <v>#REF!</v>
      </c>
    </row>
    <row r="3249" spans="1:23">
      <c r="A3249" t="s">
        <v>16</v>
      </c>
      <c r="B3249">
        <v>586540</v>
      </c>
      <c r="C3249">
        <v>0.15</v>
      </c>
      <c r="D3249">
        <v>40</v>
      </c>
      <c r="E3249">
        <v>10</v>
      </c>
      <c r="F3249">
        <v>15</v>
      </c>
      <c r="G3249">
        <v>0</v>
      </c>
      <c r="H3249">
        <v>15</v>
      </c>
      <c r="I3249">
        <v>799</v>
      </c>
      <c r="J3249">
        <v>0</v>
      </c>
      <c r="K3249">
        <v>3.7550000000000003</v>
      </c>
      <c r="L3249">
        <v>7.5</v>
      </c>
      <c r="M3249">
        <v>6</v>
      </c>
      <c r="N3249">
        <v>12.55</v>
      </c>
      <c r="O3249">
        <v>1720</v>
      </c>
      <c r="P3249">
        <v>0</v>
      </c>
      <c r="Q3249" s="5" t="e">
        <f>IF(AND(#REF!&gt;=table!$C$6,#REF!&lt;= table!$D$6),-1,IF(AND(#REF!&gt;=table!$E$6,#REF!&lt;=table!$F$6),1,0))</f>
        <v>#REF!</v>
      </c>
      <c r="R3249" s="5" t="e">
        <f>IF(AND(#REF!&gt;=table!$C$7,#REF!&lt;= table!$D$7),-1,IF(AND(#REF!&gt;=table!$E$7,#REF!&lt;=table!$F$7),1,0))</f>
        <v>#REF!</v>
      </c>
      <c r="S3249" s="5" t="e">
        <f>IF(AND(#REF!&gt;=table!$C$8,#REF!&lt;= table!$D$8),-1,IF(AND(#REF!&gt;=table!$E$8,#REF!&lt;=table!$F$8),1,0))</f>
        <v>#REF!</v>
      </c>
      <c r="T3249" s="5"/>
      <c r="U3249" s="5" t="e">
        <f>IF(AND(#REF!&gt;=table!$C$10,#REF!&lt;= table!$D$10),-1,IF(AND(#REF!&gt;=table!$E$10,#REF!&lt;=table!$F$10),1,0))</f>
        <v>#REF!</v>
      </c>
      <c r="V3249" s="5" t="e">
        <f>IF(AND(#REF!&gt;=table!$C$11,#REF!&lt;= table!$D$11),-1,IF(AND(#REF!&gt;=table!$E$11,#REF!&lt;=table!$F$11),1,0))</f>
        <v>#REF!</v>
      </c>
      <c r="W3249" s="5" t="e">
        <f>CONCATENATE(dados[[#This Row],[fator1]],dados[[#This Row],[fator5]],dados[[#This Row],[fator6]])</f>
        <v>#REF!</v>
      </c>
    </row>
    <row r="3250" spans="1:23">
      <c r="A3250" t="s">
        <v>17</v>
      </c>
      <c r="B3250">
        <v>586543</v>
      </c>
      <c r="C3250">
        <v>46</v>
      </c>
      <c r="D3250">
        <v>18</v>
      </c>
      <c r="E3250">
        <v>66</v>
      </c>
      <c r="F3250">
        <v>10</v>
      </c>
      <c r="G3250">
        <v>20</v>
      </c>
      <c r="H3250">
        <v>23</v>
      </c>
      <c r="I3250">
        <v>462</v>
      </c>
      <c r="J3250">
        <v>0</v>
      </c>
      <c r="K3250">
        <v>3.65</v>
      </c>
      <c r="L3250">
        <v>8.4499999999999993</v>
      </c>
      <c r="M3250">
        <v>63.75</v>
      </c>
      <c r="N3250">
        <v>17.7</v>
      </c>
      <c r="O3250">
        <v>1676</v>
      </c>
      <c r="P3250">
        <v>0</v>
      </c>
      <c r="Q3250" s="5" t="e">
        <f>IF(AND(#REF!&gt;=table!$C$6,#REF!&lt;= table!$D$6),-1,IF(AND(#REF!&gt;=table!$E$6,#REF!&lt;=table!$F$6),1,0))</f>
        <v>#REF!</v>
      </c>
      <c r="R3250" s="5" t="e">
        <f>IF(AND(#REF!&gt;=table!$C$7,#REF!&lt;= table!$D$7),-1,IF(AND(#REF!&gt;=table!$E$7,#REF!&lt;=table!$F$7),1,0))</f>
        <v>#REF!</v>
      </c>
      <c r="S3250" s="5" t="e">
        <f>IF(AND(#REF!&gt;=table!$C$8,#REF!&lt;= table!$D$8),-1,IF(AND(#REF!&gt;=table!$E$8,#REF!&lt;=table!$F$8),1,0))</f>
        <v>#REF!</v>
      </c>
      <c r="T3250" s="5"/>
      <c r="U3250" s="5" t="e">
        <f>IF(AND(#REF!&gt;=table!$C$10,#REF!&lt;= table!$D$10),-1,IF(AND(#REF!&gt;=table!$E$10,#REF!&lt;=table!$F$10),1,0))</f>
        <v>#REF!</v>
      </c>
      <c r="V3250" s="5" t="e">
        <f>IF(AND(#REF!&gt;=table!$C$11,#REF!&lt;= table!$D$11),-1,IF(AND(#REF!&gt;=table!$E$11,#REF!&lt;=table!$F$11),1,0))</f>
        <v>#REF!</v>
      </c>
      <c r="W3250" s="5" t="e">
        <f>CONCATENATE(dados[[#This Row],[fator1]],dados[[#This Row],[fator5]],dados[[#This Row],[fator6]])</f>
        <v>#REF!</v>
      </c>
    </row>
    <row r="3251" spans="1:23">
      <c r="A3251" t="s">
        <v>17</v>
      </c>
      <c r="B3251">
        <v>586544</v>
      </c>
      <c r="C3251">
        <v>51</v>
      </c>
      <c r="D3251">
        <v>30</v>
      </c>
      <c r="E3251">
        <v>66</v>
      </c>
      <c r="F3251">
        <v>9</v>
      </c>
      <c r="G3251">
        <v>20</v>
      </c>
      <c r="H3251">
        <v>25</v>
      </c>
      <c r="I3251">
        <v>1512</v>
      </c>
      <c r="J3251">
        <v>0</v>
      </c>
      <c r="K3251">
        <v>4.7350000000000003</v>
      </c>
      <c r="L3251">
        <v>10.1</v>
      </c>
      <c r="M3251">
        <v>60.9</v>
      </c>
      <c r="N3251">
        <v>18.600000000000001</v>
      </c>
      <c r="O3251">
        <v>1688</v>
      </c>
      <c r="P3251">
        <v>780</v>
      </c>
      <c r="Q3251" s="5" t="e">
        <f>IF(AND(#REF!&gt;=table!$C$6,#REF!&lt;= table!$D$6),-1,IF(AND(#REF!&gt;=table!$E$6,#REF!&lt;=table!$F$6),1,0))</f>
        <v>#REF!</v>
      </c>
      <c r="R3251" s="5" t="e">
        <f>IF(AND(#REF!&gt;=table!$C$7,#REF!&lt;= table!$D$7),-1,IF(AND(#REF!&gt;=table!$E$7,#REF!&lt;=table!$F$7),1,0))</f>
        <v>#REF!</v>
      </c>
      <c r="S3251" s="5" t="e">
        <f>IF(AND(#REF!&gt;=table!$C$8,#REF!&lt;= table!$D$8),-1,IF(AND(#REF!&gt;=table!$E$8,#REF!&lt;=table!$F$8),1,0))</f>
        <v>#REF!</v>
      </c>
      <c r="T3251" s="5"/>
      <c r="U3251" s="5" t="e">
        <f>IF(AND(#REF!&gt;=table!$C$10,#REF!&lt;= table!$D$10),-1,IF(AND(#REF!&gt;=table!$E$10,#REF!&lt;=table!$F$10),1,0))</f>
        <v>#REF!</v>
      </c>
      <c r="V3251" s="5" t="e">
        <f>IF(AND(#REF!&gt;=table!$C$11,#REF!&lt;= table!$D$11),-1,IF(AND(#REF!&gt;=table!$E$11,#REF!&lt;=table!$F$11),1,0))</f>
        <v>#REF!</v>
      </c>
      <c r="W3251" s="5" t="e">
        <f>CONCATENATE(dados[[#This Row],[fator1]],dados[[#This Row],[fator5]],dados[[#This Row],[fator6]])</f>
        <v>#REF!</v>
      </c>
    </row>
    <row r="3252" spans="1:23">
      <c r="A3252" t="s">
        <v>16</v>
      </c>
      <c r="B3252">
        <v>586545</v>
      </c>
      <c r="C3252">
        <v>0.15</v>
      </c>
      <c r="D3252">
        <v>40</v>
      </c>
      <c r="E3252">
        <v>64</v>
      </c>
      <c r="F3252">
        <v>10</v>
      </c>
      <c r="G3252">
        <v>0</v>
      </c>
      <c r="H3252">
        <v>35</v>
      </c>
      <c r="I3252">
        <v>1287</v>
      </c>
      <c r="J3252">
        <v>0</v>
      </c>
      <c r="K3252">
        <v>3.39</v>
      </c>
      <c r="L3252">
        <v>9.15</v>
      </c>
      <c r="M3252">
        <v>7.7</v>
      </c>
      <c r="N3252">
        <v>20.7</v>
      </c>
      <c r="O3252">
        <v>1702</v>
      </c>
      <c r="P3252">
        <v>1222</v>
      </c>
      <c r="Q3252" s="5" t="e">
        <f>IF(AND(#REF!&gt;=table!$C$6,#REF!&lt;= table!$D$6),-1,IF(AND(#REF!&gt;=table!$E$6,#REF!&lt;=table!$F$6),1,0))</f>
        <v>#REF!</v>
      </c>
      <c r="R3252" s="5" t="e">
        <f>IF(AND(#REF!&gt;=table!$C$7,#REF!&lt;= table!$D$7),-1,IF(AND(#REF!&gt;=table!$E$7,#REF!&lt;=table!$F$7),1,0))</f>
        <v>#REF!</v>
      </c>
      <c r="S3252" s="5" t="e">
        <f>IF(AND(#REF!&gt;=table!$C$8,#REF!&lt;= table!$D$8),-1,IF(AND(#REF!&gt;=table!$E$8,#REF!&lt;=table!$F$8),1,0))</f>
        <v>#REF!</v>
      </c>
      <c r="T3252" s="5"/>
      <c r="U3252" s="5" t="e">
        <f>IF(AND(#REF!&gt;=table!$C$10,#REF!&lt;= table!$D$10),-1,IF(AND(#REF!&gt;=table!$E$10,#REF!&lt;=table!$F$10),1,0))</f>
        <v>#REF!</v>
      </c>
      <c r="V3252" s="5" t="e">
        <f>IF(AND(#REF!&gt;=table!$C$11,#REF!&lt;= table!$D$11),-1,IF(AND(#REF!&gt;=table!$E$11,#REF!&lt;=table!$F$11),1,0))</f>
        <v>#REF!</v>
      </c>
      <c r="W3252" s="5" t="e">
        <f>CONCATENATE(dados[[#This Row],[fator1]],dados[[#This Row],[fator5]],dados[[#This Row],[fator6]])</f>
        <v>#REF!</v>
      </c>
    </row>
    <row r="3253" spans="1:23">
      <c r="A3253" t="s">
        <v>16</v>
      </c>
      <c r="B3253">
        <v>586547</v>
      </c>
      <c r="C3253">
        <v>0.15</v>
      </c>
      <c r="D3253">
        <v>40</v>
      </c>
      <c r="E3253">
        <v>64</v>
      </c>
      <c r="F3253">
        <v>10</v>
      </c>
      <c r="G3253">
        <v>0</v>
      </c>
      <c r="H3253">
        <v>35</v>
      </c>
      <c r="I3253">
        <v>1018</v>
      </c>
      <c r="J3253">
        <v>0</v>
      </c>
      <c r="K3253">
        <v>3.085</v>
      </c>
      <c r="L3253">
        <v>6.8</v>
      </c>
      <c r="M3253">
        <v>6.2</v>
      </c>
      <c r="N3253">
        <v>18.8</v>
      </c>
      <c r="O3253">
        <v>1705</v>
      </c>
      <c r="P3253">
        <v>1233</v>
      </c>
      <c r="Q3253" s="5" t="e">
        <f>IF(AND(#REF!&gt;=table!$C$6,#REF!&lt;= table!$D$6),-1,IF(AND(#REF!&gt;=table!$E$6,#REF!&lt;=table!$F$6),1,0))</f>
        <v>#REF!</v>
      </c>
      <c r="R3253" s="5" t="e">
        <f>IF(AND(#REF!&gt;=table!$C$7,#REF!&lt;= table!$D$7),-1,IF(AND(#REF!&gt;=table!$E$7,#REF!&lt;=table!$F$7),1,0))</f>
        <v>#REF!</v>
      </c>
      <c r="S3253" s="5" t="e">
        <f>IF(AND(#REF!&gt;=table!$C$8,#REF!&lt;= table!$D$8),-1,IF(AND(#REF!&gt;=table!$E$8,#REF!&lt;=table!$F$8),1,0))</f>
        <v>#REF!</v>
      </c>
      <c r="T3253" s="5"/>
      <c r="U3253" s="5" t="e">
        <f>IF(AND(#REF!&gt;=table!$C$10,#REF!&lt;= table!$D$10),-1,IF(AND(#REF!&gt;=table!$E$10,#REF!&lt;=table!$F$10),1,0))</f>
        <v>#REF!</v>
      </c>
      <c r="V3253" s="5" t="e">
        <f>IF(AND(#REF!&gt;=table!$C$11,#REF!&lt;= table!$D$11),-1,IF(AND(#REF!&gt;=table!$E$11,#REF!&lt;=table!$F$11),1,0))</f>
        <v>#REF!</v>
      </c>
      <c r="W3253" s="5" t="e">
        <f>CONCATENATE(dados[[#This Row],[fator1]],dados[[#This Row],[fator5]],dados[[#This Row],[fator6]])</f>
        <v>#REF!</v>
      </c>
    </row>
    <row r="3254" spans="1:23">
      <c r="A3254" t="s">
        <v>16</v>
      </c>
      <c r="B3254">
        <v>586561</v>
      </c>
      <c r="C3254">
        <v>9</v>
      </c>
      <c r="D3254">
        <v>40</v>
      </c>
      <c r="E3254">
        <v>130</v>
      </c>
      <c r="F3254">
        <v>6</v>
      </c>
      <c r="G3254">
        <v>0</v>
      </c>
      <c r="H3254">
        <v>25</v>
      </c>
      <c r="I3254">
        <v>189</v>
      </c>
      <c r="J3254">
        <v>460</v>
      </c>
      <c r="K3254">
        <v>10.355</v>
      </c>
      <c r="L3254">
        <v>10.050000000000001</v>
      </c>
      <c r="M3254">
        <v>104</v>
      </c>
      <c r="N3254">
        <v>14.85</v>
      </c>
      <c r="O3254">
        <v>1663</v>
      </c>
      <c r="P3254">
        <v>0</v>
      </c>
      <c r="Q3254" s="5" t="e">
        <f>IF(AND(#REF!&gt;=table!$C$6,#REF!&lt;= table!$D$6),-1,IF(AND(#REF!&gt;=table!$E$6,#REF!&lt;=table!$F$6),1,0))</f>
        <v>#REF!</v>
      </c>
      <c r="R3254" s="5" t="e">
        <f>IF(AND(#REF!&gt;=table!$C$7,#REF!&lt;= table!$D$7),-1,IF(AND(#REF!&gt;=table!$E$7,#REF!&lt;=table!$F$7),1,0))</f>
        <v>#REF!</v>
      </c>
      <c r="S3254" s="5" t="e">
        <f>IF(AND(#REF!&gt;=table!$C$8,#REF!&lt;= table!$D$8),-1,IF(AND(#REF!&gt;=table!$E$8,#REF!&lt;=table!$F$8),1,0))</f>
        <v>#REF!</v>
      </c>
      <c r="T3254" s="5"/>
      <c r="U3254" s="5" t="e">
        <f>IF(AND(#REF!&gt;=table!$C$10,#REF!&lt;= table!$D$10),-1,IF(AND(#REF!&gt;=table!$E$10,#REF!&lt;=table!$F$10),1,0))</f>
        <v>#REF!</v>
      </c>
      <c r="V3254" s="5" t="e">
        <f>IF(AND(#REF!&gt;=table!$C$11,#REF!&lt;= table!$D$11),-1,IF(AND(#REF!&gt;=table!$E$11,#REF!&lt;=table!$F$11),1,0))</f>
        <v>#REF!</v>
      </c>
      <c r="W3254" s="5" t="e">
        <f>CONCATENATE(dados[[#This Row],[fator1]],dados[[#This Row],[fator5]],dados[[#This Row],[fator6]])</f>
        <v>#REF!</v>
      </c>
    </row>
    <row r="3255" spans="1:23">
      <c r="A3255" t="s">
        <v>16</v>
      </c>
      <c r="B3255">
        <v>586562</v>
      </c>
      <c r="C3255">
        <v>7</v>
      </c>
      <c r="D3255">
        <v>33</v>
      </c>
      <c r="E3255">
        <v>153</v>
      </c>
      <c r="F3255">
        <v>4</v>
      </c>
      <c r="G3255">
        <v>0</v>
      </c>
      <c r="H3255">
        <v>25</v>
      </c>
      <c r="I3255">
        <v>644</v>
      </c>
      <c r="J3255">
        <v>0</v>
      </c>
      <c r="K3255">
        <v>4.79</v>
      </c>
      <c r="L3255">
        <v>7.49</v>
      </c>
      <c r="M3255">
        <v>134.94999999999999</v>
      </c>
      <c r="N3255">
        <v>12.8</v>
      </c>
      <c r="O3255">
        <v>1685</v>
      </c>
      <c r="P3255">
        <v>0</v>
      </c>
      <c r="Q3255" s="5" t="e">
        <f>IF(AND(#REF!&gt;=table!$C$6,#REF!&lt;= table!$D$6),-1,IF(AND(#REF!&gt;=table!$E$6,#REF!&lt;=table!$F$6),1,0))</f>
        <v>#REF!</v>
      </c>
      <c r="R3255" s="5" t="e">
        <f>IF(AND(#REF!&gt;=table!$C$7,#REF!&lt;= table!$D$7),-1,IF(AND(#REF!&gt;=table!$E$7,#REF!&lt;=table!$F$7),1,0))</f>
        <v>#REF!</v>
      </c>
      <c r="S3255" s="5" t="e">
        <f>IF(AND(#REF!&gt;=table!$C$8,#REF!&lt;= table!$D$8),-1,IF(AND(#REF!&gt;=table!$E$8,#REF!&lt;=table!$F$8),1,0))</f>
        <v>#REF!</v>
      </c>
      <c r="T3255" s="5"/>
      <c r="U3255" s="5" t="e">
        <f>IF(AND(#REF!&gt;=table!$C$10,#REF!&lt;= table!$D$10),-1,IF(AND(#REF!&gt;=table!$E$10,#REF!&lt;=table!$F$10),1,0))</f>
        <v>#REF!</v>
      </c>
      <c r="V3255" s="5" t="e">
        <f>IF(AND(#REF!&gt;=table!$C$11,#REF!&lt;= table!$D$11),-1,IF(AND(#REF!&gt;=table!$E$11,#REF!&lt;=table!$F$11),1,0))</f>
        <v>#REF!</v>
      </c>
      <c r="W3255" s="5" t="e">
        <f>CONCATENATE(dados[[#This Row],[fator1]],dados[[#This Row],[fator5]],dados[[#This Row],[fator6]])</f>
        <v>#REF!</v>
      </c>
    </row>
    <row r="3256" spans="1:23">
      <c r="A3256" t="s">
        <v>16</v>
      </c>
      <c r="B3256">
        <v>586567</v>
      </c>
      <c r="C3256">
        <v>7</v>
      </c>
      <c r="D3256">
        <v>33</v>
      </c>
      <c r="E3256">
        <v>153</v>
      </c>
      <c r="F3256">
        <v>4</v>
      </c>
      <c r="G3256">
        <v>0</v>
      </c>
      <c r="H3256">
        <v>25</v>
      </c>
      <c r="I3256">
        <v>594</v>
      </c>
      <c r="J3256">
        <v>0</v>
      </c>
      <c r="K3256">
        <v>4.62</v>
      </c>
      <c r="L3256">
        <v>7.95</v>
      </c>
      <c r="M3256">
        <v>78.2</v>
      </c>
      <c r="N3256">
        <v>11.5</v>
      </c>
      <c r="O3256">
        <v>1671</v>
      </c>
      <c r="P3256">
        <v>705</v>
      </c>
      <c r="Q3256" s="5" t="e">
        <f>IF(AND(#REF!&gt;=table!$C$6,#REF!&lt;= table!$D$6),-1,IF(AND(#REF!&gt;=table!$E$6,#REF!&lt;=table!$F$6),1,0))</f>
        <v>#REF!</v>
      </c>
      <c r="R3256" s="5" t="e">
        <f>IF(AND(#REF!&gt;=table!$C$7,#REF!&lt;= table!$D$7),-1,IF(AND(#REF!&gt;=table!$E$7,#REF!&lt;=table!$F$7),1,0))</f>
        <v>#REF!</v>
      </c>
      <c r="S3256" s="5" t="e">
        <f>IF(AND(#REF!&gt;=table!$C$8,#REF!&lt;= table!$D$8),-1,IF(AND(#REF!&gt;=table!$E$8,#REF!&lt;=table!$F$8),1,0))</f>
        <v>#REF!</v>
      </c>
      <c r="T3256" s="5"/>
      <c r="U3256" s="5" t="e">
        <f>IF(AND(#REF!&gt;=table!$C$10,#REF!&lt;= table!$D$10),-1,IF(AND(#REF!&gt;=table!$E$10,#REF!&lt;=table!$F$10),1,0))</f>
        <v>#REF!</v>
      </c>
      <c r="V3256" s="5" t="e">
        <f>IF(AND(#REF!&gt;=table!$C$11,#REF!&lt;= table!$D$11),-1,IF(AND(#REF!&gt;=table!$E$11,#REF!&lt;=table!$F$11),1,0))</f>
        <v>#REF!</v>
      </c>
      <c r="W3256" s="5" t="e">
        <f>CONCATENATE(dados[[#This Row],[fator1]],dados[[#This Row],[fator5]],dados[[#This Row],[fator6]])</f>
        <v>#REF!</v>
      </c>
    </row>
    <row r="3257" spans="1:23">
      <c r="A3257" t="s">
        <v>16</v>
      </c>
      <c r="B3257">
        <v>586568</v>
      </c>
      <c r="C3257">
        <v>9</v>
      </c>
      <c r="D3257">
        <v>40</v>
      </c>
      <c r="E3257">
        <v>130</v>
      </c>
      <c r="F3257">
        <v>6</v>
      </c>
      <c r="G3257">
        <v>0</v>
      </c>
      <c r="H3257">
        <v>25</v>
      </c>
      <c r="I3257">
        <v>591</v>
      </c>
      <c r="J3257">
        <v>0</v>
      </c>
      <c r="K3257">
        <v>4.6749999999999998</v>
      </c>
      <c r="L3257">
        <v>9.4</v>
      </c>
      <c r="M3257">
        <v>116.25</v>
      </c>
      <c r="N3257">
        <v>13.450000000000001</v>
      </c>
      <c r="O3257">
        <v>1666</v>
      </c>
      <c r="P3257">
        <v>703</v>
      </c>
      <c r="Q3257" s="5" t="e">
        <f>IF(AND(#REF!&gt;=table!$C$6,#REF!&lt;= table!$D$6),-1,IF(AND(#REF!&gt;=table!$E$6,#REF!&lt;=table!$F$6),1,0))</f>
        <v>#REF!</v>
      </c>
      <c r="R3257" s="5" t="e">
        <f>IF(AND(#REF!&gt;=table!$C$7,#REF!&lt;= table!$D$7),-1,IF(AND(#REF!&gt;=table!$E$7,#REF!&lt;=table!$F$7),1,0))</f>
        <v>#REF!</v>
      </c>
      <c r="S3257" s="5" t="e">
        <f>IF(AND(#REF!&gt;=table!$C$8,#REF!&lt;= table!$D$8),-1,IF(AND(#REF!&gt;=table!$E$8,#REF!&lt;=table!$F$8),1,0))</f>
        <v>#REF!</v>
      </c>
      <c r="T3257" s="5"/>
      <c r="U3257" s="5" t="e">
        <f>IF(AND(#REF!&gt;=table!$C$10,#REF!&lt;= table!$D$10),-1,IF(AND(#REF!&gt;=table!$E$10,#REF!&lt;=table!$F$10),1,0))</f>
        <v>#REF!</v>
      </c>
      <c r="V3257" s="5" t="e">
        <f>IF(AND(#REF!&gt;=table!$C$11,#REF!&lt;= table!$D$11),-1,IF(AND(#REF!&gt;=table!$E$11,#REF!&lt;=table!$F$11),1,0))</f>
        <v>#REF!</v>
      </c>
      <c r="W3257" s="5" t="e">
        <f>CONCATENATE(dados[[#This Row],[fator1]],dados[[#This Row],[fator5]],dados[[#This Row],[fator6]])</f>
        <v>#REF!</v>
      </c>
    </row>
    <row r="3258" spans="1:23">
      <c r="A3258" t="s">
        <v>16</v>
      </c>
      <c r="B3258">
        <v>586569</v>
      </c>
      <c r="C3258">
        <v>8</v>
      </c>
      <c r="D3258">
        <v>40</v>
      </c>
      <c r="E3258">
        <v>86</v>
      </c>
      <c r="F3258">
        <v>6</v>
      </c>
      <c r="G3258">
        <v>0</v>
      </c>
      <c r="H3258">
        <v>20</v>
      </c>
      <c r="I3258">
        <v>1006</v>
      </c>
      <c r="J3258">
        <v>0</v>
      </c>
      <c r="K3258">
        <v>5.3100000000000005</v>
      </c>
      <c r="L3258">
        <v>10.1</v>
      </c>
      <c r="M3258">
        <v>69</v>
      </c>
      <c r="N3258">
        <v>11.75</v>
      </c>
      <c r="O3258">
        <v>1669</v>
      </c>
      <c r="P3258">
        <v>609</v>
      </c>
      <c r="Q3258" s="5" t="e">
        <f>IF(AND(#REF!&gt;=table!$C$6,#REF!&lt;= table!$D$6),-1,IF(AND(#REF!&gt;=table!$E$6,#REF!&lt;=table!$F$6),1,0))</f>
        <v>#REF!</v>
      </c>
      <c r="R3258" s="5" t="e">
        <f>IF(AND(#REF!&gt;=table!$C$7,#REF!&lt;= table!$D$7),-1,IF(AND(#REF!&gt;=table!$E$7,#REF!&lt;=table!$F$7),1,0))</f>
        <v>#REF!</v>
      </c>
      <c r="S3258" s="5" t="e">
        <f>IF(AND(#REF!&gt;=table!$C$8,#REF!&lt;= table!$D$8),-1,IF(AND(#REF!&gt;=table!$E$8,#REF!&lt;=table!$F$8),1,0))</f>
        <v>#REF!</v>
      </c>
      <c r="T3258" s="5"/>
      <c r="U3258" s="5" t="e">
        <f>IF(AND(#REF!&gt;=table!$C$10,#REF!&lt;= table!$D$10),-1,IF(AND(#REF!&gt;=table!$E$10,#REF!&lt;=table!$F$10),1,0))</f>
        <v>#REF!</v>
      </c>
      <c r="V3258" s="5" t="e">
        <f>IF(AND(#REF!&gt;=table!$C$11,#REF!&lt;= table!$D$11),-1,IF(AND(#REF!&gt;=table!$E$11,#REF!&lt;=table!$F$11),1,0))</f>
        <v>#REF!</v>
      </c>
      <c r="W3258" s="5" t="e">
        <f>CONCATENATE(dados[[#This Row],[fator1]],dados[[#This Row],[fator5]],dados[[#This Row],[fator6]])</f>
        <v>#REF!</v>
      </c>
    </row>
    <row r="3259" spans="1:23">
      <c r="A3259" t="s">
        <v>16</v>
      </c>
      <c r="B3259">
        <v>586575</v>
      </c>
      <c r="C3259">
        <v>11</v>
      </c>
      <c r="D3259">
        <v>35</v>
      </c>
      <c r="E3259">
        <v>45</v>
      </c>
      <c r="F3259">
        <v>9</v>
      </c>
      <c r="G3259">
        <v>0</v>
      </c>
      <c r="H3259">
        <v>25</v>
      </c>
      <c r="I3259">
        <v>137</v>
      </c>
      <c r="J3259">
        <v>0</v>
      </c>
      <c r="K3259">
        <v>2.3480000000000003</v>
      </c>
      <c r="L3259">
        <v>6.99</v>
      </c>
      <c r="M3259">
        <v>5.585</v>
      </c>
      <c r="N3259">
        <v>9.2149999999999999</v>
      </c>
      <c r="O3259">
        <v>1677</v>
      </c>
      <c r="P3259">
        <v>0</v>
      </c>
      <c r="Q3259" s="5" t="e">
        <f>IF(AND(#REF!&gt;=table!$C$6,#REF!&lt;= table!$D$6),-1,IF(AND(#REF!&gt;=table!$E$6,#REF!&lt;=table!$F$6),1,0))</f>
        <v>#REF!</v>
      </c>
      <c r="R3259" s="5" t="e">
        <f>IF(AND(#REF!&gt;=table!$C$7,#REF!&lt;= table!$D$7),-1,IF(AND(#REF!&gt;=table!$E$7,#REF!&lt;=table!$F$7),1,0))</f>
        <v>#REF!</v>
      </c>
      <c r="S3259" s="5" t="e">
        <f>IF(AND(#REF!&gt;=table!$C$8,#REF!&lt;= table!$D$8),-1,IF(AND(#REF!&gt;=table!$E$8,#REF!&lt;=table!$F$8),1,0))</f>
        <v>#REF!</v>
      </c>
      <c r="T3259" s="5"/>
      <c r="U3259" s="5" t="e">
        <f>IF(AND(#REF!&gt;=table!$C$10,#REF!&lt;= table!$D$10),-1,IF(AND(#REF!&gt;=table!$E$10,#REF!&lt;=table!$F$10),1,0))</f>
        <v>#REF!</v>
      </c>
      <c r="V3259" s="5" t="e">
        <f>IF(AND(#REF!&gt;=table!$C$11,#REF!&lt;= table!$D$11),-1,IF(AND(#REF!&gt;=table!$E$11,#REF!&lt;=table!$F$11),1,0))</f>
        <v>#REF!</v>
      </c>
      <c r="W3259" s="5" t="e">
        <f>CONCATENATE(dados[[#This Row],[fator1]],dados[[#This Row],[fator5]],dados[[#This Row],[fator6]])</f>
        <v>#REF!</v>
      </c>
    </row>
    <row r="3260" spans="1:23">
      <c r="A3260" t="s">
        <v>17</v>
      </c>
      <c r="B3260">
        <v>586579</v>
      </c>
      <c r="C3260">
        <v>14</v>
      </c>
      <c r="D3260">
        <v>30</v>
      </c>
      <c r="E3260">
        <v>110</v>
      </c>
      <c r="F3260">
        <v>4</v>
      </c>
      <c r="G3260">
        <v>20</v>
      </c>
      <c r="H3260">
        <v>22</v>
      </c>
      <c r="I3260">
        <v>3</v>
      </c>
      <c r="J3260">
        <v>0</v>
      </c>
      <c r="K3260">
        <v>5.4249999999999998</v>
      </c>
      <c r="L3260">
        <v>13.27</v>
      </c>
      <c r="M3260">
        <v>80.22</v>
      </c>
      <c r="N3260">
        <v>16.885000000000002</v>
      </c>
      <c r="O3260">
        <v>1708</v>
      </c>
      <c r="P3260">
        <v>840</v>
      </c>
      <c r="Q3260" s="5" t="e">
        <f>IF(AND(#REF!&gt;=table!$C$6,#REF!&lt;= table!$D$6),-1,IF(AND(#REF!&gt;=table!$E$6,#REF!&lt;=table!$F$6),1,0))</f>
        <v>#REF!</v>
      </c>
      <c r="R3260" s="5" t="e">
        <f>IF(AND(#REF!&gt;=table!$C$7,#REF!&lt;= table!$D$7),-1,IF(AND(#REF!&gt;=table!$E$7,#REF!&lt;=table!$F$7),1,0))</f>
        <v>#REF!</v>
      </c>
      <c r="S3260" s="5" t="e">
        <f>IF(AND(#REF!&gt;=table!$C$8,#REF!&lt;= table!$D$8),-1,IF(AND(#REF!&gt;=table!$E$8,#REF!&lt;=table!$F$8),1,0))</f>
        <v>#REF!</v>
      </c>
      <c r="T3260" s="5"/>
      <c r="U3260" s="5" t="e">
        <f>IF(AND(#REF!&gt;=table!$C$10,#REF!&lt;= table!$D$10),-1,IF(AND(#REF!&gt;=table!$E$10,#REF!&lt;=table!$F$10),1,0))</f>
        <v>#REF!</v>
      </c>
      <c r="V3260" s="5" t="e">
        <f>IF(AND(#REF!&gt;=table!$C$11,#REF!&lt;= table!$D$11),-1,IF(AND(#REF!&gt;=table!$E$11,#REF!&lt;=table!$F$11),1,0))</f>
        <v>#REF!</v>
      </c>
      <c r="W3260" s="5" t="e">
        <f>CONCATENATE(dados[[#This Row],[fator1]],dados[[#This Row],[fator5]],dados[[#This Row],[fator6]])</f>
        <v>#REF!</v>
      </c>
    </row>
    <row r="3261" spans="1:23">
      <c r="A3261" t="s">
        <v>17</v>
      </c>
      <c r="B3261">
        <v>586580</v>
      </c>
      <c r="C3261">
        <v>14</v>
      </c>
      <c r="D3261">
        <v>30</v>
      </c>
      <c r="E3261">
        <v>110</v>
      </c>
      <c r="F3261">
        <v>4</v>
      </c>
      <c r="G3261">
        <v>20</v>
      </c>
      <c r="H3261">
        <v>22</v>
      </c>
      <c r="I3261">
        <v>338</v>
      </c>
      <c r="J3261">
        <v>0</v>
      </c>
      <c r="K3261">
        <v>6.13</v>
      </c>
      <c r="L3261">
        <v>9.5500000000000007</v>
      </c>
      <c r="M3261">
        <v>101.65</v>
      </c>
      <c r="N3261">
        <v>10.225</v>
      </c>
      <c r="O3261">
        <v>1695</v>
      </c>
      <c r="P3261">
        <v>0</v>
      </c>
      <c r="Q3261" s="5" t="e">
        <f>IF(AND(#REF!&gt;=table!$C$6,#REF!&lt;= table!$D$6),-1,IF(AND(#REF!&gt;=table!$E$6,#REF!&lt;=table!$F$6),1,0))</f>
        <v>#REF!</v>
      </c>
      <c r="R3261" s="5" t="e">
        <f>IF(AND(#REF!&gt;=table!$C$7,#REF!&lt;= table!$D$7),-1,IF(AND(#REF!&gt;=table!$E$7,#REF!&lt;=table!$F$7),1,0))</f>
        <v>#REF!</v>
      </c>
      <c r="S3261" s="5" t="e">
        <f>IF(AND(#REF!&gt;=table!$C$8,#REF!&lt;= table!$D$8),-1,IF(AND(#REF!&gt;=table!$E$8,#REF!&lt;=table!$F$8),1,0))</f>
        <v>#REF!</v>
      </c>
      <c r="T3261" s="5"/>
      <c r="U3261" s="5" t="e">
        <f>IF(AND(#REF!&gt;=table!$C$10,#REF!&lt;= table!$D$10),-1,IF(AND(#REF!&gt;=table!$E$10,#REF!&lt;=table!$F$10),1,0))</f>
        <v>#REF!</v>
      </c>
      <c r="V3261" s="5" t="e">
        <f>IF(AND(#REF!&gt;=table!$C$11,#REF!&lt;= table!$D$11),-1,IF(AND(#REF!&gt;=table!$E$11,#REF!&lt;=table!$F$11),1,0))</f>
        <v>#REF!</v>
      </c>
      <c r="W3261" s="5" t="e">
        <f>CONCATENATE(dados[[#This Row],[fator1]],dados[[#This Row],[fator5]],dados[[#This Row],[fator6]])</f>
        <v>#REF!</v>
      </c>
    </row>
    <row r="3262" spans="1:23">
      <c r="A3262" t="s">
        <v>16</v>
      </c>
      <c r="B3262">
        <v>586581</v>
      </c>
      <c r="C3262">
        <v>3</v>
      </c>
      <c r="D3262">
        <v>30</v>
      </c>
      <c r="E3262">
        <v>21</v>
      </c>
      <c r="F3262">
        <v>15</v>
      </c>
      <c r="G3262">
        <v>0</v>
      </c>
      <c r="H3262">
        <v>25</v>
      </c>
      <c r="I3262">
        <v>365</v>
      </c>
      <c r="J3262">
        <v>0</v>
      </c>
      <c r="K3262">
        <v>3.74</v>
      </c>
      <c r="L3262">
        <v>5.95</v>
      </c>
      <c r="M3262">
        <v>14.8</v>
      </c>
      <c r="N3262">
        <v>10.15</v>
      </c>
      <c r="O3262">
        <v>1667</v>
      </c>
      <c r="P3262">
        <v>960</v>
      </c>
      <c r="Q3262" s="5" t="e">
        <f>IF(AND(#REF!&gt;=table!$C$6,#REF!&lt;= table!$D$6),-1,IF(AND(#REF!&gt;=table!$E$6,#REF!&lt;=table!$F$6),1,0))</f>
        <v>#REF!</v>
      </c>
      <c r="R3262" s="5" t="e">
        <f>IF(AND(#REF!&gt;=table!$C$7,#REF!&lt;= table!$D$7),-1,IF(AND(#REF!&gt;=table!$E$7,#REF!&lt;=table!$F$7),1,0))</f>
        <v>#REF!</v>
      </c>
      <c r="S3262" s="5" t="e">
        <f>IF(AND(#REF!&gt;=table!$C$8,#REF!&lt;= table!$D$8),-1,IF(AND(#REF!&gt;=table!$E$8,#REF!&lt;=table!$F$8),1,0))</f>
        <v>#REF!</v>
      </c>
      <c r="T3262" s="5"/>
      <c r="U3262" s="5" t="e">
        <f>IF(AND(#REF!&gt;=table!$C$10,#REF!&lt;= table!$D$10),-1,IF(AND(#REF!&gt;=table!$E$10,#REF!&lt;=table!$F$10),1,0))</f>
        <v>#REF!</v>
      </c>
      <c r="V3262" s="5" t="e">
        <f>IF(AND(#REF!&gt;=table!$C$11,#REF!&lt;= table!$D$11),-1,IF(AND(#REF!&gt;=table!$E$11,#REF!&lt;=table!$F$11),1,0))</f>
        <v>#REF!</v>
      </c>
      <c r="W3262" s="5" t="e">
        <f>CONCATENATE(dados[[#This Row],[fator1]],dados[[#This Row],[fator5]],dados[[#This Row],[fator6]])</f>
        <v>#REF!</v>
      </c>
    </row>
    <row r="3263" spans="1:23">
      <c r="A3263" t="s">
        <v>16</v>
      </c>
      <c r="B3263">
        <v>586589</v>
      </c>
      <c r="C3263">
        <v>11</v>
      </c>
      <c r="D3263">
        <v>40</v>
      </c>
      <c r="E3263">
        <v>151</v>
      </c>
      <c r="F3263">
        <v>8</v>
      </c>
      <c r="G3263">
        <v>0</v>
      </c>
      <c r="H3263">
        <v>25</v>
      </c>
      <c r="I3263">
        <v>781</v>
      </c>
      <c r="J3263">
        <v>0</v>
      </c>
      <c r="K3263">
        <v>3.0550000000000002</v>
      </c>
      <c r="L3263">
        <v>7</v>
      </c>
      <c r="M3263">
        <v>116.60000000000001</v>
      </c>
      <c r="N3263">
        <v>18.75</v>
      </c>
      <c r="O3263">
        <v>1693</v>
      </c>
      <c r="P3263">
        <v>0</v>
      </c>
      <c r="Q3263" s="5" t="e">
        <f>IF(AND(#REF!&gt;=table!$C$6,#REF!&lt;= table!$D$6),-1,IF(AND(#REF!&gt;=table!$E$6,#REF!&lt;=table!$F$6),1,0))</f>
        <v>#REF!</v>
      </c>
      <c r="R3263" s="5" t="e">
        <f>IF(AND(#REF!&gt;=table!$C$7,#REF!&lt;= table!$D$7),-1,IF(AND(#REF!&gt;=table!$E$7,#REF!&lt;=table!$F$7),1,0))</f>
        <v>#REF!</v>
      </c>
      <c r="S3263" s="5" t="e">
        <f>IF(AND(#REF!&gt;=table!$C$8,#REF!&lt;= table!$D$8),-1,IF(AND(#REF!&gt;=table!$E$8,#REF!&lt;=table!$F$8),1,0))</f>
        <v>#REF!</v>
      </c>
      <c r="T3263" s="5"/>
      <c r="U3263" s="5" t="e">
        <f>IF(AND(#REF!&gt;=table!$C$10,#REF!&lt;= table!$D$10),-1,IF(AND(#REF!&gt;=table!$E$10,#REF!&lt;=table!$F$10),1,0))</f>
        <v>#REF!</v>
      </c>
      <c r="V3263" s="5" t="e">
        <f>IF(AND(#REF!&gt;=table!$C$11,#REF!&lt;= table!$D$11),-1,IF(AND(#REF!&gt;=table!$E$11,#REF!&lt;=table!$F$11),1,0))</f>
        <v>#REF!</v>
      </c>
      <c r="W3263" s="5" t="e">
        <f>CONCATENATE(dados[[#This Row],[fator1]],dados[[#This Row],[fator5]],dados[[#This Row],[fator6]])</f>
        <v>#REF!</v>
      </c>
    </row>
    <row r="3264" spans="1:23">
      <c r="A3264" t="s">
        <v>16</v>
      </c>
      <c r="B3264">
        <v>586606</v>
      </c>
      <c r="C3264">
        <v>0.15</v>
      </c>
      <c r="D3264">
        <v>40</v>
      </c>
      <c r="E3264">
        <v>10</v>
      </c>
      <c r="F3264">
        <v>15</v>
      </c>
      <c r="G3264">
        <v>0</v>
      </c>
      <c r="H3264">
        <v>15</v>
      </c>
      <c r="I3264">
        <v>0</v>
      </c>
      <c r="J3264">
        <v>0</v>
      </c>
      <c r="K3264">
        <v>3.06</v>
      </c>
      <c r="L3264">
        <v>8.1999999999999993</v>
      </c>
      <c r="M3264">
        <v>7.05</v>
      </c>
      <c r="N3264">
        <v>11.8</v>
      </c>
      <c r="O3264">
        <v>1686</v>
      </c>
      <c r="P3264">
        <v>0</v>
      </c>
      <c r="Q3264" s="5" t="e">
        <f>IF(AND(#REF!&gt;=table!$C$6,#REF!&lt;= table!$D$6),-1,IF(AND(#REF!&gt;=table!$E$6,#REF!&lt;=table!$F$6),1,0))</f>
        <v>#REF!</v>
      </c>
      <c r="R3264" s="5" t="e">
        <f>IF(AND(#REF!&gt;=table!$C$7,#REF!&lt;= table!$D$7),-1,IF(AND(#REF!&gt;=table!$E$7,#REF!&lt;=table!$F$7),1,0))</f>
        <v>#REF!</v>
      </c>
      <c r="S3264" s="5" t="e">
        <f>IF(AND(#REF!&gt;=table!$C$8,#REF!&lt;= table!$D$8),-1,IF(AND(#REF!&gt;=table!$E$8,#REF!&lt;=table!$F$8),1,0))</f>
        <v>#REF!</v>
      </c>
      <c r="T3264" s="5"/>
      <c r="U3264" s="5" t="e">
        <f>IF(AND(#REF!&gt;=table!$C$10,#REF!&lt;= table!$D$10),-1,IF(AND(#REF!&gt;=table!$E$10,#REF!&lt;=table!$F$10),1,0))</f>
        <v>#REF!</v>
      </c>
      <c r="V3264" s="5" t="e">
        <f>IF(AND(#REF!&gt;=table!$C$11,#REF!&lt;= table!$D$11),-1,IF(AND(#REF!&gt;=table!$E$11,#REF!&lt;=table!$F$11),1,0))</f>
        <v>#REF!</v>
      </c>
      <c r="W3264" s="5" t="e">
        <f>CONCATENATE(dados[[#This Row],[fator1]],dados[[#This Row],[fator5]],dados[[#This Row],[fator6]])</f>
        <v>#REF!</v>
      </c>
    </row>
    <row r="3265" spans="1:23">
      <c r="A3265" t="s">
        <v>16</v>
      </c>
      <c r="B3265">
        <v>586609</v>
      </c>
      <c r="C3265">
        <v>0.15</v>
      </c>
      <c r="D3265">
        <v>40</v>
      </c>
      <c r="E3265">
        <v>10</v>
      </c>
      <c r="F3265">
        <v>15</v>
      </c>
      <c r="G3265">
        <v>0</v>
      </c>
      <c r="H3265">
        <v>15</v>
      </c>
      <c r="I3265">
        <v>138</v>
      </c>
      <c r="J3265">
        <v>0</v>
      </c>
      <c r="K3265">
        <v>2.9750000000000001</v>
      </c>
      <c r="L3265">
        <v>9.5500000000000007</v>
      </c>
      <c r="M3265">
        <v>7.95</v>
      </c>
      <c r="N3265">
        <v>12.05</v>
      </c>
      <c r="O3265">
        <v>1681</v>
      </c>
      <c r="P3265">
        <v>1360</v>
      </c>
      <c r="Q3265" s="5" t="e">
        <f>IF(AND(#REF!&gt;=table!$C$6,#REF!&lt;= table!$D$6),-1,IF(AND(#REF!&gt;=table!$E$6,#REF!&lt;=table!$F$6),1,0))</f>
        <v>#REF!</v>
      </c>
      <c r="R3265" s="5" t="e">
        <f>IF(AND(#REF!&gt;=table!$C$7,#REF!&lt;= table!$D$7),-1,IF(AND(#REF!&gt;=table!$E$7,#REF!&lt;=table!$F$7),1,0))</f>
        <v>#REF!</v>
      </c>
      <c r="S3265" s="5" t="e">
        <f>IF(AND(#REF!&gt;=table!$C$8,#REF!&lt;= table!$D$8),-1,IF(AND(#REF!&gt;=table!$E$8,#REF!&lt;=table!$F$8),1,0))</f>
        <v>#REF!</v>
      </c>
      <c r="T3265" s="5"/>
      <c r="U3265" s="5" t="e">
        <f>IF(AND(#REF!&gt;=table!$C$10,#REF!&lt;= table!$D$10),-1,IF(AND(#REF!&gt;=table!$E$10,#REF!&lt;=table!$F$10),1,0))</f>
        <v>#REF!</v>
      </c>
      <c r="V3265" s="5" t="e">
        <f>IF(AND(#REF!&gt;=table!$C$11,#REF!&lt;= table!$D$11),-1,IF(AND(#REF!&gt;=table!$E$11,#REF!&lt;=table!$F$11),1,0))</f>
        <v>#REF!</v>
      </c>
      <c r="W3265" s="5" t="e">
        <f>CONCATENATE(dados[[#This Row],[fator1]],dados[[#This Row],[fator5]],dados[[#This Row],[fator6]])</f>
        <v>#REF!</v>
      </c>
    </row>
    <row r="3266" spans="1:23">
      <c r="A3266" t="s">
        <v>17</v>
      </c>
      <c r="B3266">
        <v>586617</v>
      </c>
      <c r="C3266">
        <v>16</v>
      </c>
      <c r="D3266">
        <v>30</v>
      </c>
      <c r="E3266">
        <v>116</v>
      </c>
      <c r="F3266">
        <v>6</v>
      </c>
      <c r="G3266">
        <v>20</v>
      </c>
      <c r="H3266">
        <v>25</v>
      </c>
      <c r="I3266">
        <v>212</v>
      </c>
      <c r="J3266">
        <v>0</v>
      </c>
      <c r="K3266">
        <v>10.51</v>
      </c>
      <c r="L3266">
        <v>14.950000000000001</v>
      </c>
      <c r="M3266">
        <v>105.5</v>
      </c>
      <c r="N3266">
        <v>18.850000000000001</v>
      </c>
      <c r="O3266">
        <v>1672</v>
      </c>
      <c r="P3266">
        <v>322</v>
      </c>
      <c r="Q3266" s="5" t="e">
        <f>IF(AND(#REF!&gt;=table!$C$6,#REF!&lt;= table!$D$6),-1,IF(AND(#REF!&gt;=table!$E$6,#REF!&lt;=table!$F$6),1,0))</f>
        <v>#REF!</v>
      </c>
      <c r="R3266" s="5" t="e">
        <f>IF(AND(#REF!&gt;=table!$C$7,#REF!&lt;= table!$D$7),-1,IF(AND(#REF!&gt;=table!$E$7,#REF!&lt;=table!$F$7),1,0))</f>
        <v>#REF!</v>
      </c>
      <c r="S3266" s="5" t="e">
        <f>IF(AND(#REF!&gt;=table!$C$8,#REF!&lt;= table!$D$8),-1,IF(AND(#REF!&gt;=table!$E$8,#REF!&lt;=table!$F$8),1,0))</f>
        <v>#REF!</v>
      </c>
      <c r="T3266" s="5"/>
      <c r="U3266" s="5" t="e">
        <f>IF(AND(#REF!&gt;=table!$C$10,#REF!&lt;= table!$D$10),-1,IF(AND(#REF!&gt;=table!$E$10,#REF!&lt;=table!$F$10),1,0))</f>
        <v>#REF!</v>
      </c>
      <c r="V3266" s="5" t="e">
        <f>IF(AND(#REF!&gt;=table!$C$11,#REF!&lt;= table!$D$11),-1,IF(AND(#REF!&gt;=table!$E$11,#REF!&lt;=table!$F$11),1,0))</f>
        <v>#REF!</v>
      </c>
      <c r="W3266" s="5" t="e">
        <f>CONCATENATE(dados[[#This Row],[fator1]],dados[[#This Row],[fator5]],dados[[#This Row],[fator6]])</f>
        <v>#REF!</v>
      </c>
    </row>
    <row r="3267" spans="1:23">
      <c r="A3267" t="s">
        <v>17</v>
      </c>
      <c r="B3267">
        <v>586620</v>
      </c>
      <c r="C3267">
        <v>8</v>
      </c>
      <c r="D3267">
        <v>25</v>
      </c>
      <c r="E3267">
        <v>136</v>
      </c>
      <c r="F3267">
        <v>6</v>
      </c>
      <c r="G3267">
        <v>8</v>
      </c>
      <c r="H3267">
        <v>25</v>
      </c>
      <c r="I3267">
        <v>514</v>
      </c>
      <c r="J3267">
        <v>0</v>
      </c>
      <c r="K3267">
        <v>6.3900000000000006</v>
      </c>
      <c r="L3267">
        <v>12.8</v>
      </c>
      <c r="M3267">
        <v>119.23</v>
      </c>
      <c r="N3267">
        <v>18.53</v>
      </c>
      <c r="O3267">
        <v>1685</v>
      </c>
      <c r="P3267">
        <v>506</v>
      </c>
      <c r="Q3267" s="5" t="e">
        <f>IF(AND(#REF!&gt;=table!$C$6,#REF!&lt;= table!$D$6),-1,IF(AND(#REF!&gt;=table!$E$6,#REF!&lt;=table!$F$6),1,0))</f>
        <v>#REF!</v>
      </c>
      <c r="R3267" s="5" t="e">
        <f>IF(AND(#REF!&gt;=table!$C$7,#REF!&lt;= table!$D$7),-1,IF(AND(#REF!&gt;=table!$E$7,#REF!&lt;=table!$F$7),1,0))</f>
        <v>#REF!</v>
      </c>
      <c r="S3267" s="5" t="e">
        <f>IF(AND(#REF!&gt;=table!$C$8,#REF!&lt;= table!$D$8),-1,IF(AND(#REF!&gt;=table!$E$8,#REF!&lt;=table!$F$8),1,0))</f>
        <v>#REF!</v>
      </c>
      <c r="T3267" s="5"/>
      <c r="U3267" s="5" t="e">
        <f>IF(AND(#REF!&gt;=table!$C$10,#REF!&lt;= table!$D$10),-1,IF(AND(#REF!&gt;=table!$E$10,#REF!&lt;=table!$F$10),1,0))</f>
        <v>#REF!</v>
      </c>
      <c r="V3267" s="5" t="e">
        <f>IF(AND(#REF!&gt;=table!$C$11,#REF!&lt;= table!$D$11),-1,IF(AND(#REF!&gt;=table!$E$11,#REF!&lt;=table!$F$11),1,0))</f>
        <v>#REF!</v>
      </c>
      <c r="W3267" s="5" t="e">
        <f>CONCATENATE(dados[[#This Row],[fator1]],dados[[#This Row],[fator5]],dados[[#This Row],[fator6]])</f>
        <v>#REF!</v>
      </c>
    </row>
    <row r="3268" spans="1:23">
      <c r="A3268" t="s">
        <v>17</v>
      </c>
      <c r="B3268">
        <v>586621</v>
      </c>
      <c r="C3268">
        <v>8</v>
      </c>
      <c r="D3268">
        <v>25</v>
      </c>
      <c r="E3268">
        <v>136</v>
      </c>
      <c r="F3268">
        <v>6</v>
      </c>
      <c r="G3268">
        <v>8</v>
      </c>
      <c r="H3268">
        <v>25</v>
      </c>
      <c r="I3268">
        <v>492</v>
      </c>
      <c r="J3268">
        <v>0</v>
      </c>
      <c r="K3268">
        <v>4.32</v>
      </c>
      <c r="L3268">
        <v>9.9</v>
      </c>
      <c r="M3268">
        <v>112.45</v>
      </c>
      <c r="N3268">
        <v>17.600000000000001</v>
      </c>
      <c r="O3268">
        <v>1692</v>
      </c>
      <c r="P3268">
        <v>820</v>
      </c>
      <c r="Q3268" s="5" t="e">
        <f>IF(AND(#REF!&gt;=table!$C$6,#REF!&lt;= table!$D$6),-1,IF(AND(#REF!&gt;=table!$E$6,#REF!&lt;=table!$F$6),1,0))</f>
        <v>#REF!</v>
      </c>
      <c r="R3268" s="5" t="e">
        <f>IF(AND(#REF!&gt;=table!$C$7,#REF!&lt;= table!$D$7),-1,IF(AND(#REF!&gt;=table!$E$7,#REF!&lt;=table!$F$7),1,0))</f>
        <v>#REF!</v>
      </c>
      <c r="S3268" s="5" t="e">
        <f>IF(AND(#REF!&gt;=table!$C$8,#REF!&lt;= table!$D$8),-1,IF(AND(#REF!&gt;=table!$E$8,#REF!&lt;=table!$F$8),1,0))</f>
        <v>#REF!</v>
      </c>
      <c r="T3268" s="5"/>
      <c r="U3268" s="5" t="e">
        <f>IF(AND(#REF!&gt;=table!$C$10,#REF!&lt;= table!$D$10),-1,IF(AND(#REF!&gt;=table!$E$10,#REF!&lt;=table!$F$10),1,0))</f>
        <v>#REF!</v>
      </c>
      <c r="V3268" s="5" t="e">
        <f>IF(AND(#REF!&gt;=table!$C$11,#REF!&lt;= table!$D$11),-1,IF(AND(#REF!&gt;=table!$E$11,#REF!&lt;=table!$F$11),1,0))</f>
        <v>#REF!</v>
      </c>
      <c r="W3268" s="5" t="e">
        <f>CONCATENATE(dados[[#This Row],[fator1]],dados[[#This Row],[fator5]],dados[[#This Row],[fator6]])</f>
        <v>#REF!</v>
      </c>
    </row>
    <row r="3269" spans="1:23">
      <c r="A3269" t="s">
        <v>17</v>
      </c>
      <c r="B3269">
        <v>586622</v>
      </c>
      <c r="C3269">
        <v>8</v>
      </c>
      <c r="D3269">
        <v>25</v>
      </c>
      <c r="E3269">
        <v>136</v>
      </c>
      <c r="F3269">
        <v>6</v>
      </c>
      <c r="G3269">
        <v>8</v>
      </c>
      <c r="H3269">
        <v>25</v>
      </c>
      <c r="I3269">
        <v>393</v>
      </c>
      <c r="J3269">
        <v>0</v>
      </c>
      <c r="K3269">
        <v>4.5049999999999999</v>
      </c>
      <c r="L3269">
        <v>11.200000000000001</v>
      </c>
      <c r="M3269">
        <v>111.2</v>
      </c>
      <c r="N3269">
        <v>18.350000000000001</v>
      </c>
      <c r="O3269">
        <v>1678</v>
      </c>
      <c r="P3269">
        <v>0</v>
      </c>
      <c r="Q3269" s="5" t="e">
        <f>IF(AND(#REF!&gt;=table!$C$6,#REF!&lt;= table!$D$6),-1,IF(AND(#REF!&gt;=table!$E$6,#REF!&lt;=table!$F$6),1,0))</f>
        <v>#REF!</v>
      </c>
      <c r="R3269" s="5" t="e">
        <f>IF(AND(#REF!&gt;=table!$C$7,#REF!&lt;= table!$D$7),-1,IF(AND(#REF!&gt;=table!$E$7,#REF!&lt;=table!$F$7),1,0))</f>
        <v>#REF!</v>
      </c>
      <c r="S3269" s="5" t="e">
        <f>IF(AND(#REF!&gt;=table!$C$8,#REF!&lt;= table!$D$8),-1,IF(AND(#REF!&gt;=table!$E$8,#REF!&lt;=table!$F$8),1,0))</f>
        <v>#REF!</v>
      </c>
      <c r="T3269" s="5"/>
      <c r="U3269" s="5" t="e">
        <f>IF(AND(#REF!&gt;=table!$C$10,#REF!&lt;= table!$D$10),-1,IF(AND(#REF!&gt;=table!$E$10,#REF!&lt;=table!$F$10),1,0))</f>
        <v>#REF!</v>
      </c>
      <c r="V3269" s="5" t="e">
        <f>IF(AND(#REF!&gt;=table!$C$11,#REF!&lt;= table!$D$11),-1,IF(AND(#REF!&gt;=table!$E$11,#REF!&lt;=table!$F$11),1,0))</f>
        <v>#REF!</v>
      </c>
      <c r="W3269" s="5" t="e">
        <f>CONCATENATE(dados[[#This Row],[fator1]],dados[[#This Row],[fator5]],dados[[#This Row],[fator6]])</f>
        <v>#REF!</v>
      </c>
    </row>
    <row r="3270" spans="1:23">
      <c r="A3270" t="s">
        <v>16</v>
      </c>
      <c r="B3270">
        <v>586624</v>
      </c>
      <c r="C3270">
        <v>0.15</v>
      </c>
      <c r="D3270">
        <v>40</v>
      </c>
      <c r="E3270">
        <v>10</v>
      </c>
      <c r="F3270">
        <v>15</v>
      </c>
      <c r="G3270">
        <v>0</v>
      </c>
      <c r="H3270">
        <v>15</v>
      </c>
      <c r="I3270">
        <v>575</v>
      </c>
      <c r="J3270">
        <v>0</v>
      </c>
      <c r="K3270">
        <v>3.9350000000000001</v>
      </c>
      <c r="L3270">
        <v>8.3000000000000007</v>
      </c>
      <c r="M3270">
        <v>8.2550000000000008</v>
      </c>
      <c r="N3270">
        <v>13.120000000000001</v>
      </c>
      <c r="O3270">
        <v>1710</v>
      </c>
      <c r="P3270">
        <v>0</v>
      </c>
      <c r="Q3270" s="5" t="e">
        <f>IF(AND(#REF!&gt;=table!$C$6,#REF!&lt;= table!$D$6),-1,IF(AND(#REF!&gt;=table!$E$6,#REF!&lt;=table!$F$6),1,0))</f>
        <v>#REF!</v>
      </c>
      <c r="R3270" s="5" t="e">
        <f>IF(AND(#REF!&gt;=table!$C$7,#REF!&lt;= table!$D$7),-1,IF(AND(#REF!&gt;=table!$E$7,#REF!&lt;=table!$F$7),1,0))</f>
        <v>#REF!</v>
      </c>
      <c r="S3270" s="5" t="e">
        <f>IF(AND(#REF!&gt;=table!$C$8,#REF!&lt;= table!$D$8),-1,IF(AND(#REF!&gt;=table!$E$8,#REF!&lt;=table!$F$8),1,0))</f>
        <v>#REF!</v>
      </c>
      <c r="T3270" s="5"/>
      <c r="U3270" s="5" t="e">
        <f>IF(AND(#REF!&gt;=table!$C$10,#REF!&lt;= table!$D$10),-1,IF(AND(#REF!&gt;=table!$E$10,#REF!&lt;=table!$F$10),1,0))</f>
        <v>#REF!</v>
      </c>
      <c r="V3270" s="5" t="e">
        <f>IF(AND(#REF!&gt;=table!$C$11,#REF!&lt;= table!$D$11),-1,IF(AND(#REF!&gt;=table!$E$11,#REF!&lt;=table!$F$11),1,0))</f>
        <v>#REF!</v>
      </c>
      <c r="W3270" s="5" t="e">
        <f>CONCATENATE(dados[[#This Row],[fator1]],dados[[#This Row],[fator5]],dados[[#This Row],[fator6]])</f>
        <v>#REF!</v>
      </c>
    </row>
    <row r="3271" spans="1:23">
      <c r="A3271" t="s">
        <v>16</v>
      </c>
      <c r="B3271">
        <v>586629</v>
      </c>
      <c r="C3271">
        <v>16</v>
      </c>
      <c r="D3271">
        <v>35</v>
      </c>
      <c r="E3271">
        <v>60</v>
      </c>
      <c r="F3271">
        <v>10</v>
      </c>
      <c r="G3271">
        <v>0</v>
      </c>
      <c r="H3271">
        <v>25</v>
      </c>
      <c r="I3271">
        <v>1253</v>
      </c>
      <c r="J3271">
        <v>0</v>
      </c>
      <c r="K3271">
        <v>2.895</v>
      </c>
      <c r="L3271">
        <v>6.15</v>
      </c>
      <c r="M3271">
        <v>43.1</v>
      </c>
      <c r="N3271">
        <v>14.5</v>
      </c>
      <c r="O3271">
        <v>1643</v>
      </c>
      <c r="P3271">
        <v>874</v>
      </c>
      <c r="Q3271" s="5" t="e">
        <f>IF(AND(#REF!&gt;=table!$C$6,#REF!&lt;= table!$D$6),-1,IF(AND(#REF!&gt;=table!$E$6,#REF!&lt;=table!$F$6),1,0))</f>
        <v>#REF!</v>
      </c>
      <c r="R3271" s="5" t="e">
        <f>IF(AND(#REF!&gt;=table!$C$7,#REF!&lt;= table!$D$7),-1,IF(AND(#REF!&gt;=table!$E$7,#REF!&lt;=table!$F$7),1,0))</f>
        <v>#REF!</v>
      </c>
      <c r="S3271" s="5" t="e">
        <f>IF(AND(#REF!&gt;=table!$C$8,#REF!&lt;= table!$D$8),-1,IF(AND(#REF!&gt;=table!$E$8,#REF!&lt;=table!$F$8),1,0))</f>
        <v>#REF!</v>
      </c>
      <c r="T3271" s="5"/>
      <c r="U3271" s="5" t="e">
        <f>IF(AND(#REF!&gt;=table!$C$10,#REF!&lt;= table!$D$10),-1,IF(AND(#REF!&gt;=table!$E$10,#REF!&lt;=table!$F$10),1,0))</f>
        <v>#REF!</v>
      </c>
      <c r="V3271" s="5" t="e">
        <f>IF(AND(#REF!&gt;=table!$C$11,#REF!&lt;= table!$D$11),-1,IF(AND(#REF!&gt;=table!$E$11,#REF!&lt;=table!$F$11),1,0))</f>
        <v>#REF!</v>
      </c>
      <c r="W3271" s="5" t="e">
        <f>CONCATENATE(dados[[#This Row],[fator1]],dados[[#This Row],[fator5]],dados[[#This Row],[fator6]])</f>
        <v>#REF!</v>
      </c>
    </row>
    <row r="3272" spans="1:23">
      <c r="A3272" t="s">
        <v>16</v>
      </c>
      <c r="B3272">
        <v>586631</v>
      </c>
      <c r="C3272">
        <v>16</v>
      </c>
      <c r="D3272">
        <v>35</v>
      </c>
      <c r="E3272">
        <v>56</v>
      </c>
      <c r="F3272">
        <v>10</v>
      </c>
      <c r="G3272">
        <v>0</v>
      </c>
      <c r="H3272">
        <v>25</v>
      </c>
      <c r="I3272">
        <v>418</v>
      </c>
      <c r="J3272">
        <v>0</v>
      </c>
      <c r="K3272">
        <v>3.5250000000000004</v>
      </c>
      <c r="L3272">
        <v>5.45</v>
      </c>
      <c r="M3272">
        <v>48.550000000000004</v>
      </c>
      <c r="N3272">
        <v>10.700000000000001</v>
      </c>
      <c r="O3272">
        <v>1677</v>
      </c>
      <c r="P3272">
        <v>1096</v>
      </c>
      <c r="Q3272" s="5" t="e">
        <f>IF(AND(#REF!&gt;=table!$C$6,#REF!&lt;= table!$D$6),-1,IF(AND(#REF!&gt;=table!$E$6,#REF!&lt;=table!$F$6),1,0))</f>
        <v>#REF!</v>
      </c>
      <c r="R3272" s="5" t="e">
        <f>IF(AND(#REF!&gt;=table!$C$7,#REF!&lt;= table!$D$7),-1,IF(AND(#REF!&gt;=table!$E$7,#REF!&lt;=table!$F$7),1,0))</f>
        <v>#REF!</v>
      </c>
      <c r="S3272" s="5" t="e">
        <f>IF(AND(#REF!&gt;=table!$C$8,#REF!&lt;= table!$D$8),-1,IF(AND(#REF!&gt;=table!$E$8,#REF!&lt;=table!$F$8),1,0))</f>
        <v>#REF!</v>
      </c>
      <c r="T3272" s="5"/>
      <c r="U3272" s="5" t="e">
        <f>IF(AND(#REF!&gt;=table!$C$10,#REF!&lt;= table!$D$10),-1,IF(AND(#REF!&gt;=table!$E$10,#REF!&lt;=table!$F$10),1,0))</f>
        <v>#REF!</v>
      </c>
      <c r="V3272" s="5" t="e">
        <f>IF(AND(#REF!&gt;=table!$C$11,#REF!&lt;= table!$D$11),-1,IF(AND(#REF!&gt;=table!$E$11,#REF!&lt;=table!$F$11),1,0))</f>
        <v>#REF!</v>
      </c>
      <c r="W3272" s="5" t="e">
        <f>CONCATENATE(dados[[#This Row],[fator1]],dados[[#This Row],[fator5]],dados[[#This Row],[fator6]])</f>
        <v>#REF!</v>
      </c>
    </row>
    <row r="3273" spans="1:23">
      <c r="A3273" t="s">
        <v>17</v>
      </c>
      <c r="B3273">
        <v>586633</v>
      </c>
      <c r="C3273">
        <v>3</v>
      </c>
      <c r="D3273">
        <v>25</v>
      </c>
      <c r="E3273">
        <v>120</v>
      </c>
      <c r="F3273">
        <v>1</v>
      </c>
      <c r="G3273">
        <v>25</v>
      </c>
      <c r="H3273">
        <v>10</v>
      </c>
      <c r="I3273">
        <v>52</v>
      </c>
      <c r="J3273">
        <v>700</v>
      </c>
      <c r="K3273">
        <v>2.5300000000000002</v>
      </c>
      <c r="L3273">
        <v>2.6</v>
      </c>
      <c r="M3273">
        <v>101.8</v>
      </c>
      <c r="N3273">
        <v>8.7000000000000011</v>
      </c>
      <c r="O3273">
        <v>1670</v>
      </c>
      <c r="P3273">
        <v>1131</v>
      </c>
      <c r="Q3273" s="5" t="e">
        <f>IF(AND(#REF!&gt;=table!$C$6,#REF!&lt;= table!$D$6),-1,IF(AND(#REF!&gt;=table!$E$6,#REF!&lt;=table!$F$6),1,0))</f>
        <v>#REF!</v>
      </c>
      <c r="R3273" s="5" t="e">
        <f>IF(AND(#REF!&gt;=table!$C$7,#REF!&lt;= table!$D$7),-1,IF(AND(#REF!&gt;=table!$E$7,#REF!&lt;=table!$F$7),1,0))</f>
        <v>#REF!</v>
      </c>
      <c r="S3273" s="5" t="e">
        <f>IF(AND(#REF!&gt;=table!$C$8,#REF!&lt;= table!$D$8),-1,IF(AND(#REF!&gt;=table!$E$8,#REF!&lt;=table!$F$8),1,0))</f>
        <v>#REF!</v>
      </c>
      <c r="T3273" s="5"/>
      <c r="U3273" s="5" t="e">
        <f>IF(AND(#REF!&gt;=table!$C$10,#REF!&lt;= table!$D$10),-1,IF(AND(#REF!&gt;=table!$E$10,#REF!&lt;=table!$F$10),1,0))</f>
        <v>#REF!</v>
      </c>
      <c r="V3273" s="5" t="e">
        <f>IF(AND(#REF!&gt;=table!$C$11,#REF!&lt;= table!$D$11),-1,IF(AND(#REF!&gt;=table!$E$11,#REF!&lt;=table!$F$11),1,0))</f>
        <v>#REF!</v>
      </c>
      <c r="W3273" s="5" t="e">
        <f>CONCATENATE(dados[[#This Row],[fator1]],dados[[#This Row],[fator5]],dados[[#This Row],[fator6]])</f>
        <v>#REF!</v>
      </c>
    </row>
    <row r="3274" spans="1:23">
      <c r="A3274" t="s">
        <v>16</v>
      </c>
      <c r="B3274">
        <v>586634</v>
      </c>
      <c r="C3274">
        <v>9</v>
      </c>
      <c r="D3274">
        <v>27</v>
      </c>
      <c r="E3274">
        <v>36</v>
      </c>
      <c r="F3274">
        <v>8</v>
      </c>
      <c r="G3274">
        <v>0</v>
      </c>
      <c r="H3274">
        <v>25</v>
      </c>
      <c r="I3274">
        <v>358</v>
      </c>
      <c r="J3274">
        <v>1740</v>
      </c>
      <c r="K3274">
        <v>2.2000000000000002</v>
      </c>
      <c r="L3274">
        <v>4.6500000000000004</v>
      </c>
      <c r="M3274">
        <v>21.85</v>
      </c>
      <c r="N3274">
        <v>9</v>
      </c>
      <c r="O3274">
        <v>1714</v>
      </c>
      <c r="P3274">
        <v>0</v>
      </c>
      <c r="Q3274" s="5" t="e">
        <f>IF(AND(#REF!&gt;=table!$C$6,#REF!&lt;= table!$D$6),-1,IF(AND(#REF!&gt;=table!$E$6,#REF!&lt;=table!$F$6),1,0))</f>
        <v>#REF!</v>
      </c>
      <c r="R3274" s="5" t="e">
        <f>IF(AND(#REF!&gt;=table!$C$7,#REF!&lt;= table!$D$7),-1,IF(AND(#REF!&gt;=table!$E$7,#REF!&lt;=table!$F$7),1,0))</f>
        <v>#REF!</v>
      </c>
      <c r="S3274" s="5" t="e">
        <f>IF(AND(#REF!&gt;=table!$C$8,#REF!&lt;= table!$D$8),-1,IF(AND(#REF!&gt;=table!$E$8,#REF!&lt;=table!$F$8),1,0))</f>
        <v>#REF!</v>
      </c>
      <c r="T3274" s="5"/>
      <c r="U3274" s="5" t="e">
        <f>IF(AND(#REF!&gt;=table!$C$10,#REF!&lt;= table!$D$10),-1,IF(AND(#REF!&gt;=table!$E$10,#REF!&lt;=table!$F$10),1,0))</f>
        <v>#REF!</v>
      </c>
      <c r="V3274" s="5" t="e">
        <f>IF(AND(#REF!&gt;=table!$C$11,#REF!&lt;= table!$D$11),-1,IF(AND(#REF!&gt;=table!$E$11,#REF!&lt;=table!$F$11),1,0))</f>
        <v>#REF!</v>
      </c>
      <c r="W3274" s="5" t="e">
        <f>CONCATENATE(dados[[#This Row],[fator1]],dados[[#This Row],[fator5]],dados[[#This Row],[fator6]])</f>
        <v>#REF!</v>
      </c>
    </row>
    <row r="3275" spans="1:23">
      <c r="A3275" t="s">
        <v>16</v>
      </c>
      <c r="B3275">
        <v>586635</v>
      </c>
      <c r="C3275">
        <v>9</v>
      </c>
      <c r="D3275">
        <v>27</v>
      </c>
      <c r="E3275">
        <v>36</v>
      </c>
      <c r="F3275">
        <v>8</v>
      </c>
      <c r="G3275">
        <v>0</v>
      </c>
      <c r="H3275">
        <v>25</v>
      </c>
      <c r="I3275">
        <v>75</v>
      </c>
      <c r="J3275">
        <v>0</v>
      </c>
      <c r="K3275">
        <v>4.3250000000000002</v>
      </c>
      <c r="L3275">
        <v>8.1999999999999993</v>
      </c>
      <c r="M3275">
        <v>31.400000000000002</v>
      </c>
      <c r="N3275">
        <v>10.4</v>
      </c>
      <c r="O3275">
        <v>1644</v>
      </c>
      <c r="P3275">
        <v>598</v>
      </c>
      <c r="Q3275" s="5" t="e">
        <f>IF(AND(#REF!&gt;=table!$C$6,#REF!&lt;= table!$D$6),-1,IF(AND(#REF!&gt;=table!$E$6,#REF!&lt;=table!$F$6),1,0))</f>
        <v>#REF!</v>
      </c>
      <c r="R3275" s="5" t="e">
        <f>IF(AND(#REF!&gt;=table!$C$7,#REF!&lt;= table!$D$7),-1,IF(AND(#REF!&gt;=table!$E$7,#REF!&lt;=table!$F$7),1,0))</f>
        <v>#REF!</v>
      </c>
      <c r="S3275" s="5" t="e">
        <f>IF(AND(#REF!&gt;=table!$C$8,#REF!&lt;= table!$D$8),-1,IF(AND(#REF!&gt;=table!$E$8,#REF!&lt;=table!$F$8),1,0))</f>
        <v>#REF!</v>
      </c>
      <c r="T3275" s="5"/>
      <c r="U3275" s="5" t="e">
        <f>IF(AND(#REF!&gt;=table!$C$10,#REF!&lt;= table!$D$10),-1,IF(AND(#REF!&gt;=table!$E$10,#REF!&lt;=table!$F$10),1,0))</f>
        <v>#REF!</v>
      </c>
      <c r="V3275" s="5" t="e">
        <f>IF(AND(#REF!&gt;=table!$C$11,#REF!&lt;= table!$D$11),-1,IF(AND(#REF!&gt;=table!$E$11,#REF!&lt;=table!$F$11),1,0))</f>
        <v>#REF!</v>
      </c>
      <c r="W3275" s="5" t="e">
        <f>CONCATENATE(dados[[#This Row],[fator1]],dados[[#This Row],[fator5]],dados[[#This Row],[fator6]])</f>
        <v>#REF!</v>
      </c>
    </row>
    <row r="3276" spans="1:23">
      <c r="A3276" t="s">
        <v>16</v>
      </c>
      <c r="B3276">
        <v>586636</v>
      </c>
      <c r="C3276">
        <v>11</v>
      </c>
      <c r="D3276">
        <v>35</v>
      </c>
      <c r="E3276">
        <v>45</v>
      </c>
      <c r="F3276">
        <v>9</v>
      </c>
      <c r="G3276">
        <v>0</v>
      </c>
      <c r="H3276">
        <v>25</v>
      </c>
      <c r="I3276">
        <v>514</v>
      </c>
      <c r="J3276">
        <v>0</v>
      </c>
      <c r="K3276">
        <v>10.56</v>
      </c>
      <c r="L3276">
        <v>10.6</v>
      </c>
      <c r="M3276">
        <v>31.150000000000002</v>
      </c>
      <c r="N3276">
        <v>14.1</v>
      </c>
      <c r="O3276">
        <v>1669</v>
      </c>
      <c r="P3276">
        <v>0</v>
      </c>
      <c r="Q3276" s="5" t="e">
        <f>IF(AND(#REF!&gt;=table!$C$6,#REF!&lt;= table!$D$6),-1,IF(AND(#REF!&gt;=table!$E$6,#REF!&lt;=table!$F$6),1,0))</f>
        <v>#REF!</v>
      </c>
      <c r="R3276" s="5" t="e">
        <f>IF(AND(#REF!&gt;=table!$C$7,#REF!&lt;= table!$D$7),-1,IF(AND(#REF!&gt;=table!$E$7,#REF!&lt;=table!$F$7),1,0))</f>
        <v>#REF!</v>
      </c>
      <c r="S3276" s="5" t="e">
        <f>IF(AND(#REF!&gt;=table!$C$8,#REF!&lt;= table!$D$8),-1,IF(AND(#REF!&gt;=table!$E$8,#REF!&lt;=table!$F$8),1,0))</f>
        <v>#REF!</v>
      </c>
      <c r="T3276" s="5"/>
      <c r="U3276" s="5" t="e">
        <f>IF(AND(#REF!&gt;=table!$C$10,#REF!&lt;= table!$D$10),-1,IF(AND(#REF!&gt;=table!$E$10,#REF!&lt;=table!$F$10),1,0))</f>
        <v>#REF!</v>
      </c>
      <c r="V3276" s="5" t="e">
        <f>IF(AND(#REF!&gt;=table!$C$11,#REF!&lt;= table!$D$11),-1,IF(AND(#REF!&gt;=table!$E$11,#REF!&lt;=table!$F$11),1,0))</f>
        <v>#REF!</v>
      </c>
      <c r="W3276" s="5" t="e">
        <f>CONCATENATE(dados[[#This Row],[fator1]],dados[[#This Row],[fator5]],dados[[#This Row],[fator6]])</f>
        <v>#REF!</v>
      </c>
    </row>
    <row r="3277" spans="1:23">
      <c r="A3277" t="s">
        <v>16</v>
      </c>
      <c r="B3277">
        <v>586637</v>
      </c>
      <c r="C3277">
        <v>10</v>
      </c>
      <c r="D3277">
        <v>35</v>
      </c>
      <c r="E3277">
        <v>170</v>
      </c>
      <c r="F3277">
        <v>4</v>
      </c>
      <c r="G3277">
        <v>0</v>
      </c>
      <c r="H3277">
        <v>25</v>
      </c>
      <c r="I3277">
        <v>1246</v>
      </c>
      <c r="J3277">
        <v>0</v>
      </c>
      <c r="K3277">
        <v>2.15</v>
      </c>
      <c r="L3277">
        <v>5.4</v>
      </c>
      <c r="M3277">
        <v>61.800000000000004</v>
      </c>
      <c r="N3277">
        <v>16.149999999999999</v>
      </c>
      <c r="O3277">
        <v>1664</v>
      </c>
      <c r="P3277">
        <v>1343</v>
      </c>
      <c r="Q3277" s="5" t="e">
        <f>IF(AND(#REF!&gt;=table!$C$6,#REF!&lt;= table!$D$6),-1,IF(AND(#REF!&gt;=table!$E$6,#REF!&lt;=table!$F$6),1,0))</f>
        <v>#REF!</v>
      </c>
      <c r="R3277" s="5" t="e">
        <f>IF(AND(#REF!&gt;=table!$C$7,#REF!&lt;= table!$D$7),-1,IF(AND(#REF!&gt;=table!$E$7,#REF!&lt;=table!$F$7),1,0))</f>
        <v>#REF!</v>
      </c>
      <c r="S3277" s="5" t="e">
        <f>IF(AND(#REF!&gt;=table!$C$8,#REF!&lt;= table!$D$8),-1,IF(AND(#REF!&gt;=table!$E$8,#REF!&lt;=table!$F$8),1,0))</f>
        <v>#REF!</v>
      </c>
      <c r="T3277" s="5"/>
      <c r="U3277" s="5" t="e">
        <f>IF(AND(#REF!&gt;=table!$C$10,#REF!&lt;= table!$D$10),-1,IF(AND(#REF!&gt;=table!$E$10,#REF!&lt;=table!$F$10),1,0))</f>
        <v>#REF!</v>
      </c>
      <c r="V3277" s="5" t="e">
        <f>IF(AND(#REF!&gt;=table!$C$11,#REF!&lt;= table!$D$11),-1,IF(AND(#REF!&gt;=table!$E$11,#REF!&lt;=table!$F$11),1,0))</f>
        <v>#REF!</v>
      </c>
      <c r="W3277" s="5" t="e">
        <f>CONCATENATE(dados[[#This Row],[fator1]],dados[[#This Row],[fator5]],dados[[#This Row],[fator6]])</f>
        <v>#REF!</v>
      </c>
    </row>
    <row r="3278" spans="1:23">
      <c r="A3278" t="s">
        <v>17</v>
      </c>
      <c r="B3278">
        <v>586643</v>
      </c>
      <c r="C3278">
        <v>18</v>
      </c>
      <c r="D3278">
        <v>30</v>
      </c>
      <c r="E3278">
        <v>136</v>
      </c>
      <c r="F3278">
        <v>3</v>
      </c>
      <c r="G3278">
        <v>20</v>
      </c>
      <c r="H3278">
        <v>25</v>
      </c>
      <c r="I3278">
        <v>710</v>
      </c>
      <c r="J3278">
        <v>600</v>
      </c>
      <c r="K3278">
        <v>3.875</v>
      </c>
      <c r="L3278">
        <v>8.35</v>
      </c>
      <c r="M3278">
        <v>55.995000000000005</v>
      </c>
      <c r="N3278">
        <v>12.450000000000001</v>
      </c>
      <c r="O3278">
        <v>1659</v>
      </c>
      <c r="P3278">
        <v>834</v>
      </c>
      <c r="Q3278" s="5" t="e">
        <f>IF(AND(#REF!&gt;=table!$C$6,#REF!&lt;= table!$D$6),-1,IF(AND(#REF!&gt;=table!$E$6,#REF!&lt;=table!$F$6),1,0))</f>
        <v>#REF!</v>
      </c>
      <c r="R3278" s="5" t="e">
        <f>IF(AND(#REF!&gt;=table!$C$7,#REF!&lt;= table!$D$7),-1,IF(AND(#REF!&gt;=table!$E$7,#REF!&lt;=table!$F$7),1,0))</f>
        <v>#REF!</v>
      </c>
      <c r="S3278" s="5" t="e">
        <f>IF(AND(#REF!&gt;=table!$C$8,#REF!&lt;= table!$D$8),-1,IF(AND(#REF!&gt;=table!$E$8,#REF!&lt;=table!$F$8),1,0))</f>
        <v>#REF!</v>
      </c>
      <c r="T3278" s="5"/>
      <c r="U3278" s="5" t="e">
        <f>IF(AND(#REF!&gt;=table!$C$10,#REF!&lt;= table!$D$10),-1,IF(AND(#REF!&gt;=table!$E$10,#REF!&lt;=table!$F$10),1,0))</f>
        <v>#REF!</v>
      </c>
      <c r="V3278" s="5" t="e">
        <f>IF(AND(#REF!&gt;=table!$C$11,#REF!&lt;= table!$D$11),-1,IF(AND(#REF!&gt;=table!$E$11,#REF!&lt;=table!$F$11),1,0))</f>
        <v>#REF!</v>
      </c>
      <c r="W3278" s="5" t="e">
        <f>CONCATENATE(dados[[#This Row],[fator1]],dados[[#This Row],[fator5]],dados[[#This Row],[fator6]])</f>
        <v>#REF!</v>
      </c>
    </row>
    <row r="3279" spans="1:23">
      <c r="A3279" t="s">
        <v>17</v>
      </c>
      <c r="B3279">
        <v>586645</v>
      </c>
      <c r="C3279">
        <v>16</v>
      </c>
      <c r="D3279">
        <v>35</v>
      </c>
      <c r="E3279">
        <v>136</v>
      </c>
      <c r="F3279">
        <v>4</v>
      </c>
      <c r="G3279">
        <v>30</v>
      </c>
      <c r="H3279">
        <v>25</v>
      </c>
      <c r="I3279">
        <v>364</v>
      </c>
      <c r="J3279">
        <v>0</v>
      </c>
      <c r="K3279">
        <v>5.3650000000000002</v>
      </c>
      <c r="L3279">
        <v>10.65</v>
      </c>
      <c r="M3279">
        <v>126.55</v>
      </c>
      <c r="N3279">
        <v>14.9</v>
      </c>
      <c r="O3279">
        <v>1693</v>
      </c>
      <c r="P3279">
        <v>1285</v>
      </c>
      <c r="Q3279" s="5" t="e">
        <f>IF(AND(#REF!&gt;=table!$C$6,#REF!&lt;= table!$D$6),-1,IF(AND(#REF!&gt;=table!$E$6,#REF!&lt;=table!$F$6),1,0))</f>
        <v>#REF!</v>
      </c>
      <c r="R3279" s="5" t="e">
        <f>IF(AND(#REF!&gt;=table!$C$7,#REF!&lt;= table!$D$7),-1,IF(AND(#REF!&gt;=table!$E$7,#REF!&lt;=table!$F$7),1,0))</f>
        <v>#REF!</v>
      </c>
      <c r="S3279" s="5" t="e">
        <f>IF(AND(#REF!&gt;=table!$C$8,#REF!&lt;= table!$D$8),-1,IF(AND(#REF!&gt;=table!$E$8,#REF!&lt;=table!$F$8),1,0))</f>
        <v>#REF!</v>
      </c>
      <c r="T3279" s="5"/>
      <c r="U3279" s="5" t="e">
        <f>IF(AND(#REF!&gt;=table!$C$10,#REF!&lt;= table!$D$10),-1,IF(AND(#REF!&gt;=table!$E$10,#REF!&lt;=table!$F$10),1,0))</f>
        <v>#REF!</v>
      </c>
      <c r="V3279" s="5" t="e">
        <f>IF(AND(#REF!&gt;=table!$C$11,#REF!&lt;= table!$D$11),-1,IF(AND(#REF!&gt;=table!$E$11,#REF!&lt;=table!$F$11),1,0))</f>
        <v>#REF!</v>
      </c>
      <c r="W3279" s="5" t="e">
        <f>CONCATENATE(dados[[#This Row],[fator1]],dados[[#This Row],[fator5]],dados[[#This Row],[fator6]])</f>
        <v>#REF!</v>
      </c>
    </row>
    <row r="3280" spans="1:23">
      <c r="A3280" t="s">
        <v>17</v>
      </c>
      <c r="B3280">
        <v>586646</v>
      </c>
      <c r="C3280">
        <v>16</v>
      </c>
      <c r="D3280">
        <v>35</v>
      </c>
      <c r="E3280">
        <v>136</v>
      </c>
      <c r="F3280">
        <v>4</v>
      </c>
      <c r="G3280">
        <v>30</v>
      </c>
      <c r="H3280">
        <v>25</v>
      </c>
      <c r="I3280">
        <v>396</v>
      </c>
      <c r="J3280">
        <v>0</v>
      </c>
      <c r="K3280">
        <v>6.9650000000000007</v>
      </c>
      <c r="L3280">
        <v>10.950000000000001</v>
      </c>
      <c r="M3280">
        <v>120.35000000000001</v>
      </c>
      <c r="N3280">
        <v>14.75</v>
      </c>
      <c r="O3280">
        <v>1687</v>
      </c>
      <c r="P3280">
        <v>1285</v>
      </c>
      <c r="Q3280" s="5" t="e">
        <f>IF(AND(#REF!&gt;=table!$C$6,#REF!&lt;= table!$D$6),-1,IF(AND(#REF!&gt;=table!$E$6,#REF!&lt;=table!$F$6),1,0))</f>
        <v>#REF!</v>
      </c>
      <c r="R3280" s="5" t="e">
        <f>IF(AND(#REF!&gt;=table!$C$7,#REF!&lt;= table!$D$7),-1,IF(AND(#REF!&gt;=table!$E$7,#REF!&lt;=table!$F$7),1,0))</f>
        <v>#REF!</v>
      </c>
      <c r="S3280" s="5" t="e">
        <f>IF(AND(#REF!&gt;=table!$C$8,#REF!&lt;= table!$D$8),-1,IF(AND(#REF!&gt;=table!$E$8,#REF!&lt;=table!$F$8),1,0))</f>
        <v>#REF!</v>
      </c>
      <c r="T3280" s="5"/>
      <c r="U3280" s="5" t="e">
        <f>IF(AND(#REF!&gt;=table!$C$10,#REF!&lt;= table!$D$10),-1,IF(AND(#REF!&gt;=table!$E$10,#REF!&lt;=table!$F$10),1,0))</f>
        <v>#REF!</v>
      </c>
      <c r="V3280" s="5" t="e">
        <f>IF(AND(#REF!&gt;=table!$C$11,#REF!&lt;= table!$D$11),-1,IF(AND(#REF!&gt;=table!$E$11,#REF!&lt;=table!$F$11),1,0))</f>
        <v>#REF!</v>
      </c>
      <c r="W3280" s="5" t="e">
        <f>CONCATENATE(dados[[#This Row],[fator1]],dados[[#This Row],[fator5]],dados[[#This Row],[fator6]])</f>
        <v>#REF!</v>
      </c>
    </row>
    <row r="3281" spans="1:23">
      <c r="A3281" t="s">
        <v>16</v>
      </c>
      <c r="B3281">
        <v>586649</v>
      </c>
      <c r="C3281">
        <v>16</v>
      </c>
      <c r="D3281">
        <v>35</v>
      </c>
      <c r="E3281">
        <v>56</v>
      </c>
      <c r="F3281">
        <v>10</v>
      </c>
      <c r="G3281">
        <v>0</v>
      </c>
      <c r="H3281">
        <v>25</v>
      </c>
      <c r="I3281">
        <v>838</v>
      </c>
      <c r="J3281">
        <v>0</v>
      </c>
      <c r="K3281">
        <v>4.5350000000000001</v>
      </c>
      <c r="L3281">
        <v>11.195</v>
      </c>
      <c r="M3281">
        <v>47.195</v>
      </c>
      <c r="N3281">
        <v>21.205000000000002</v>
      </c>
      <c r="O3281">
        <v>1710</v>
      </c>
      <c r="P3281">
        <v>0</v>
      </c>
      <c r="Q3281" s="5" t="e">
        <f>IF(AND(#REF!&gt;=table!$C$6,#REF!&lt;= table!$D$6),-1,IF(AND(#REF!&gt;=table!$E$6,#REF!&lt;=table!$F$6),1,0))</f>
        <v>#REF!</v>
      </c>
      <c r="R3281" s="5" t="e">
        <f>IF(AND(#REF!&gt;=table!$C$7,#REF!&lt;= table!$D$7),-1,IF(AND(#REF!&gt;=table!$E$7,#REF!&lt;=table!$F$7),1,0))</f>
        <v>#REF!</v>
      </c>
      <c r="S3281" s="5" t="e">
        <f>IF(AND(#REF!&gt;=table!$C$8,#REF!&lt;= table!$D$8),-1,IF(AND(#REF!&gt;=table!$E$8,#REF!&lt;=table!$F$8),1,0))</f>
        <v>#REF!</v>
      </c>
      <c r="T3281" s="5"/>
      <c r="U3281" s="5" t="e">
        <f>IF(AND(#REF!&gt;=table!$C$10,#REF!&lt;= table!$D$10),-1,IF(AND(#REF!&gt;=table!$E$10,#REF!&lt;=table!$F$10),1,0))</f>
        <v>#REF!</v>
      </c>
      <c r="V3281" s="5" t="e">
        <f>IF(AND(#REF!&gt;=table!$C$11,#REF!&lt;= table!$D$11),-1,IF(AND(#REF!&gt;=table!$E$11,#REF!&lt;=table!$F$11),1,0))</f>
        <v>#REF!</v>
      </c>
      <c r="W3281" s="5" t="e">
        <f>CONCATENATE(dados[[#This Row],[fator1]],dados[[#This Row],[fator5]],dados[[#This Row],[fator6]])</f>
        <v>#REF!</v>
      </c>
    </row>
    <row r="3282" spans="1:23">
      <c r="A3282" t="s">
        <v>16</v>
      </c>
      <c r="B3282">
        <v>586651</v>
      </c>
      <c r="C3282">
        <v>16</v>
      </c>
      <c r="D3282">
        <v>35</v>
      </c>
      <c r="E3282">
        <v>56</v>
      </c>
      <c r="F3282">
        <v>10</v>
      </c>
      <c r="G3282">
        <v>0</v>
      </c>
      <c r="H3282">
        <v>25</v>
      </c>
      <c r="I3282">
        <v>719</v>
      </c>
      <c r="J3282">
        <v>0</v>
      </c>
      <c r="K3282">
        <v>5.1100000000000003</v>
      </c>
      <c r="L3282">
        <v>6.15</v>
      </c>
      <c r="M3282">
        <v>47.18</v>
      </c>
      <c r="N3282">
        <v>12.295</v>
      </c>
      <c r="O3282">
        <v>1673</v>
      </c>
      <c r="P3282">
        <v>0</v>
      </c>
      <c r="Q3282" s="5" t="e">
        <f>IF(AND(#REF!&gt;=table!$C$6,#REF!&lt;= table!$D$6),-1,IF(AND(#REF!&gt;=table!$E$6,#REF!&lt;=table!$F$6),1,0))</f>
        <v>#REF!</v>
      </c>
      <c r="R3282" s="5" t="e">
        <f>IF(AND(#REF!&gt;=table!$C$7,#REF!&lt;= table!$D$7),-1,IF(AND(#REF!&gt;=table!$E$7,#REF!&lt;=table!$F$7),1,0))</f>
        <v>#REF!</v>
      </c>
      <c r="S3282" s="5" t="e">
        <f>IF(AND(#REF!&gt;=table!$C$8,#REF!&lt;= table!$D$8),-1,IF(AND(#REF!&gt;=table!$E$8,#REF!&lt;=table!$F$8),1,0))</f>
        <v>#REF!</v>
      </c>
      <c r="T3282" s="5"/>
      <c r="U3282" s="5" t="e">
        <f>IF(AND(#REF!&gt;=table!$C$10,#REF!&lt;= table!$D$10),-1,IF(AND(#REF!&gt;=table!$E$10,#REF!&lt;=table!$F$10),1,0))</f>
        <v>#REF!</v>
      </c>
      <c r="V3282" s="5" t="e">
        <f>IF(AND(#REF!&gt;=table!$C$11,#REF!&lt;= table!$D$11),-1,IF(AND(#REF!&gt;=table!$E$11,#REF!&lt;=table!$F$11),1,0))</f>
        <v>#REF!</v>
      </c>
      <c r="W3282" s="5" t="e">
        <f>CONCATENATE(dados[[#This Row],[fator1]],dados[[#This Row],[fator5]],dados[[#This Row],[fator6]])</f>
        <v>#REF!</v>
      </c>
    </row>
    <row r="3283" spans="1:23">
      <c r="A3283" t="s">
        <v>16</v>
      </c>
      <c r="B3283">
        <v>586655</v>
      </c>
      <c r="C3283">
        <v>16</v>
      </c>
      <c r="D3283">
        <v>35</v>
      </c>
      <c r="E3283">
        <v>56</v>
      </c>
      <c r="F3283">
        <v>10</v>
      </c>
      <c r="G3283">
        <v>0</v>
      </c>
      <c r="H3283">
        <v>25</v>
      </c>
      <c r="I3283">
        <v>31</v>
      </c>
      <c r="J3283">
        <v>0</v>
      </c>
      <c r="K3283">
        <v>12.145000000000001</v>
      </c>
      <c r="L3283">
        <v>14.450000000000001</v>
      </c>
      <c r="M3283">
        <v>53.86</v>
      </c>
      <c r="N3283">
        <v>16.37</v>
      </c>
      <c r="O3283">
        <v>1667</v>
      </c>
      <c r="P3283">
        <v>351</v>
      </c>
      <c r="Q3283" s="5" t="e">
        <f>IF(AND(#REF!&gt;=table!$C$6,#REF!&lt;= table!$D$6),-1,IF(AND(#REF!&gt;=table!$E$6,#REF!&lt;=table!$F$6),1,0))</f>
        <v>#REF!</v>
      </c>
      <c r="R3283" s="5" t="e">
        <f>IF(AND(#REF!&gt;=table!$C$7,#REF!&lt;= table!$D$7),-1,IF(AND(#REF!&gt;=table!$E$7,#REF!&lt;=table!$F$7),1,0))</f>
        <v>#REF!</v>
      </c>
      <c r="S3283" s="5" t="e">
        <f>IF(AND(#REF!&gt;=table!$C$8,#REF!&lt;= table!$D$8),-1,IF(AND(#REF!&gt;=table!$E$8,#REF!&lt;=table!$F$8),1,0))</f>
        <v>#REF!</v>
      </c>
      <c r="T3283" s="5"/>
      <c r="U3283" s="5" t="e">
        <f>IF(AND(#REF!&gt;=table!$C$10,#REF!&lt;= table!$D$10),-1,IF(AND(#REF!&gt;=table!$E$10,#REF!&lt;=table!$F$10),1,0))</f>
        <v>#REF!</v>
      </c>
      <c r="V3283" s="5" t="e">
        <f>IF(AND(#REF!&gt;=table!$C$11,#REF!&lt;= table!$D$11),-1,IF(AND(#REF!&gt;=table!$E$11,#REF!&lt;=table!$F$11),1,0))</f>
        <v>#REF!</v>
      </c>
      <c r="W3283" s="5" t="e">
        <f>CONCATENATE(dados[[#This Row],[fator1]],dados[[#This Row],[fator5]],dados[[#This Row],[fator6]])</f>
        <v>#REF!</v>
      </c>
    </row>
    <row r="3284" spans="1:23">
      <c r="A3284" t="s">
        <v>16</v>
      </c>
      <c r="B3284">
        <v>586661</v>
      </c>
      <c r="C3284">
        <v>0.15</v>
      </c>
      <c r="D3284">
        <v>40</v>
      </c>
      <c r="E3284">
        <v>10</v>
      </c>
      <c r="F3284">
        <v>15</v>
      </c>
      <c r="G3284">
        <v>0</v>
      </c>
      <c r="H3284">
        <v>15</v>
      </c>
      <c r="I3284">
        <v>9</v>
      </c>
      <c r="J3284">
        <v>0</v>
      </c>
      <c r="K3284">
        <v>4.8550000000000004</v>
      </c>
      <c r="L3284">
        <v>7.8</v>
      </c>
      <c r="M3284">
        <v>7.25</v>
      </c>
      <c r="N3284">
        <v>8.6850000000000005</v>
      </c>
      <c r="O3284">
        <v>1667</v>
      </c>
      <c r="P3284">
        <v>642</v>
      </c>
      <c r="Q3284" s="5" t="e">
        <f>IF(AND(#REF!&gt;=table!$C$6,#REF!&lt;= table!$D$6),-1,IF(AND(#REF!&gt;=table!$E$6,#REF!&lt;=table!$F$6),1,0))</f>
        <v>#REF!</v>
      </c>
      <c r="R3284" s="5" t="e">
        <f>IF(AND(#REF!&gt;=table!$C$7,#REF!&lt;= table!$D$7),-1,IF(AND(#REF!&gt;=table!$E$7,#REF!&lt;=table!$F$7),1,0))</f>
        <v>#REF!</v>
      </c>
      <c r="S3284" s="5" t="e">
        <f>IF(AND(#REF!&gt;=table!$C$8,#REF!&lt;= table!$D$8),-1,IF(AND(#REF!&gt;=table!$E$8,#REF!&lt;=table!$F$8),1,0))</f>
        <v>#REF!</v>
      </c>
      <c r="T3284" s="5"/>
      <c r="U3284" s="5" t="e">
        <f>IF(AND(#REF!&gt;=table!$C$10,#REF!&lt;= table!$D$10),-1,IF(AND(#REF!&gt;=table!$E$10,#REF!&lt;=table!$F$10),1,0))</f>
        <v>#REF!</v>
      </c>
      <c r="V3284" s="5" t="e">
        <f>IF(AND(#REF!&gt;=table!$C$11,#REF!&lt;= table!$D$11),-1,IF(AND(#REF!&gt;=table!$E$11,#REF!&lt;=table!$F$11),1,0))</f>
        <v>#REF!</v>
      </c>
      <c r="W3284" s="5" t="e">
        <f>CONCATENATE(dados[[#This Row],[fator1]],dados[[#This Row],[fator5]],dados[[#This Row],[fator6]])</f>
        <v>#REF!</v>
      </c>
    </row>
    <row r="3285" spans="1:23">
      <c r="A3285" t="s">
        <v>16</v>
      </c>
      <c r="B3285">
        <v>586662</v>
      </c>
      <c r="C3285">
        <v>0.15</v>
      </c>
      <c r="D3285">
        <v>40</v>
      </c>
      <c r="E3285">
        <v>10</v>
      </c>
      <c r="F3285">
        <v>15</v>
      </c>
      <c r="G3285">
        <v>0</v>
      </c>
      <c r="H3285">
        <v>15</v>
      </c>
      <c r="I3285">
        <v>966</v>
      </c>
      <c r="J3285">
        <v>0</v>
      </c>
      <c r="K3285">
        <v>4.1150000000000002</v>
      </c>
      <c r="L3285">
        <v>6.9950000000000001</v>
      </c>
      <c r="M3285">
        <v>5.7</v>
      </c>
      <c r="N3285">
        <v>13.3</v>
      </c>
      <c r="O3285">
        <v>1699</v>
      </c>
      <c r="P3285">
        <v>1207</v>
      </c>
      <c r="Q3285" s="5" t="e">
        <f>IF(AND(#REF!&gt;=table!$C$6,#REF!&lt;= table!$D$6),-1,IF(AND(#REF!&gt;=table!$E$6,#REF!&lt;=table!$F$6),1,0))</f>
        <v>#REF!</v>
      </c>
      <c r="R3285" s="5" t="e">
        <f>IF(AND(#REF!&gt;=table!$C$7,#REF!&lt;= table!$D$7),-1,IF(AND(#REF!&gt;=table!$E$7,#REF!&lt;=table!$F$7),1,0))</f>
        <v>#REF!</v>
      </c>
      <c r="S3285" s="5" t="e">
        <f>IF(AND(#REF!&gt;=table!$C$8,#REF!&lt;= table!$D$8),-1,IF(AND(#REF!&gt;=table!$E$8,#REF!&lt;=table!$F$8),1,0))</f>
        <v>#REF!</v>
      </c>
      <c r="T3285" s="5"/>
      <c r="U3285" s="5" t="e">
        <f>IF(AND(#REF!&gt;=table!$C$10,#REF!&lt;= table!$D$10),-1,IF(AND(#REF!&gt;=table!$E$10,#REF!&lt;=table!$F$10),1,0))</f>
        <v>#REF!</v>
      </c>
      <c r="V3285" s="5" t="e">
        <f>IF(AND(#REF!&gt;=table!$C$11,#REF!&lt;= table!$D$11),-1,IF(AND(#REF!&gt;=table!$E$11,#REF!&lt;=table!$F$11),1,0))</f>
        <v>#REF!</v>
      </c>
      <c r="W3285" s="5" t="e">
        <f>CONCATENATE(dados[[#This Row],[fator1]],dados[[#This Row],[fator5]],dados[[#This Row],[fator6]])</f>
        <v>#REF!</v>
      </c>
    </row>
    <row r="3286" spans="1:23">
      <c r="A3286" t="s">
        <v>17</v>
      </c>
      <c r="B3286">
        <v>586669</v>
      </c>
      <c r="C3286">
        <v>14</v>
      </c>
      <c r="D3286">
        <v>30</v>
      </c>
      <c r="E3286">
        <v>110</v>
      </c>
      <c r="F3286">
        <v>4</v>
      </c>
      <c r="G3286">
        <v>20</v>
      </c>
      <c r="H3286">
        <v>22</v>
      </c>
      <c r="I3286">
        <v>0</v>
      </c>
      <c r="J3286">
        <v>0</v>
      </c>
      <c r="K3286">
        <v>3.74</v>
      </c>
      <c r="L3286">
        <v>7.3</v>
      </c>
      <c r="M3286">
        <v>80.7</v>
      </c>
      <c r="N3286">
        <v>14.055000000000001</v>
      </c>
      <c r="O3286">
        <v>1677</v>
      </c>
      <c r="P3286">
        <v>1052</v>
      </c>
      <c r="Q3286" s="5" t="e">
        <f>IF(AND(#REF!&gt;=table!$C$6,#REF!&lt;= table!$D$6),-1,IF(AND(#REF!&gt;=table!$E$6,#REF!&lt;=table!$F$6),1,0))</f>
        <v>#REF!</v>
      </c>
      <c r="R3286" s="5" t="e">
        <f>IF(AND(#REF!&gt;=table!$C$7,#REF!&lt;= table!$D$7),-1,IF(AND(#REF!&gt;=table!$E$7,#REF!&lt;=table!$F$7),1,0))</f>
        <v>#REF!</v>
      </c>
      <c r="S3286" s="5" t="e">
        <f>IF(AND(#REF!&gt;=table!$C$8,#REF!&lt;= table!$D$8),-1,IF(AND(#REF!&gt;=table!$E$8,#REF!&lt;=table!$F$8),1,0))</f>
        <v>#REF!</v>
      </c>
      <c r="T3286" s="5"/>
      <c r="U3286" s="5" t="e">
        <f>IF(AND(#REF!&gt;=table!$C$10,#REF!&lt;= table!$D$10),-1,IF(AND(#REF!&gt;=table!$E$10,#REF!&lt;=table!$F$10),1,0))</f>
        <v>#REF!</v>
      </c>
      <c r="V3286" s="5" t="e">
        <f>IF(AND(#REF!&gt;=table!$C$11,#REF!&lt;= table!$D$11),-1,IF(AND(#REF!&gt;=table!$E$11,#REF!&lt;=table!$F$11),1,0))</f>
        <v>#REF!</v>
      </c>
      <c r="W3286" s="5" t="e">
        <f>CONCATENATE(dados[[#This Row],[fator1]],dados[[#This Row],[fator5]],dados[[#This Row],[fator6]])</f>
        <v>#REF!</v>
      </c>
    </row>
    <row r="3287" spans="1:23">
      <c r="A3287" t="s">
        <v>16</v>
      </c>
      <c r="B3287">
        <v>586670</v>
      </c>
      <c r="C3287">
        <v>0.15</v>
      </c>
      <c r="D3287">
        <v>40</v>
      </c>
      <c r="E3287">
        <v>10</v>
      </c>
      <c r="F3287">
        <v>15</v>
      </c>
      <c r="G3287">
        <v>0</v>
      </c>
      <c r="H3287">
        <v>15</v>
      </c>
      <c r="I3287">
        <v>1798</v>
      </c>
      <c r="J3287">
        <v>0</v>
      </c>
      <c r="K3287">
        <v>5.0350000000000001</v>
      </c>
      <c r="L3287">
        <v>7.05</v>
      </c>
      <c r="M3287">
        <v>6.59</v>
      </c>
      <c r="N3287">
        <v>8.0050000000000008</v>
      </c>
      <c r="O3287">
        <v>1668</v>
      </c>
      <c r="P3287">
        <v>0</v>
      </c>
      <c r="Q3287" s="5" t="e">
        <f>IF(AND(#REF!&gt;=table!$C$6,#REF!&lt;= table!$D$6),-1,IF(AND(#REF!&gt;=table!$E$6,#REF!&lt;=table!$F$6),1,0))</f>
        <v>#REF!</v>
      </c>
      <c r="R3287" s="5" t="e">
        <f>IF(AND(#REF!&gt;=table!$C$7,#REF!&lt;= table!$D$7),-1,IF(AND(#REF!&gt;=table!$E$7,#REF!&lt;=table!$F$7),1,0))</f>
        <v>#REF!</v>
      </c>
      <c r="S3287" s="5" t="e">
        <f>IF(AND(#REF!&gt;=table!$C$8,#REF!&lt;= table!$D$8),-1,IF(AND(#REF!&gt;=table!$E$8,#REF!&lt;=table!$F$8),1,0))</f>
        <v>#REF!</v>
      </c>
      <c r="T3287" s="5"/>
      <c r="U3287" s="5" t="e">
        <f>IF(AND(#REF!&gt;=table!$C$10,#REF!&lt;= table!$D$10),-1,IF(AND(#REF!&gt;=table!$E$10,#REF!&lt;=table!$F$10),1,0))</f>
        <v>#REF!</v>
      </c>
      <c r="V3287" s="5" t="e">
        <f>IF(AND(#REF!&gt;=table!$C$11,#REF!&lt;= table!$D$11),-1,IF(AND(#REF!&gt;=table!$E$11,#REF!&lt;=table!$F$11),1,0))</f>
        <v>#REF!</v>
      </c>
      <c r="W3287" s="5" t="e">
        <f>CONCATENATE(dados[[#This Row],[fator1]],dados[[#This Row],[fator5]],dados[[#This Row],[fator6]])</f>
        <v>#REF!</v>
      </c>
    </row>
    <row r="3288" spans="1:23">
      <c r="A3288" t="s">
        <v>17</v>
      </c>
      <c r="B3288">
        <v>586673</v>
      </c>
      <c r="C3288">
        <v>14</v>
      </c>
      <c r="D3288">
        <v>30</v>
      </c>
      <c r="E3288">
        <v>110</v>
      </c>
      <c r="F3288">
        <v>4</v>
      </c>
      <c r="G3288">
        <v>20</v>
      </c>
      <c r="H3288">
        <v>22</v>
      </c>
      <c r="I3288">
        <v>495</v>
      </c>
      <c r="J3288">
        <v>0</v>
      </c>
      <c r="K3288">
        <v>4.9800000000000004</v>
      </c>
      <c r="L3288">
        <v>11.365</v>
      </c>
      <c r="M3288">
        <v>89.06</v>
      </c>
      <c r="N3288">
        <v>15.56</v>
      </c>
      <c r="O3288">
        <v>1687</v>
      </c>
      <c r="P3288">
        <v>0</v>
      </c>
      <c r="Q3288" s="5" t="e">
        <f>IF(AND(#REF!&gt;=table!$C$6,#REF!&lt;= table!$D$6),-1,IF(AND(#REF!&gt;=table!$E$6,#REF!&lt;=table!$F$6),1,0))</f>
        <v>#REF!</v>
      </c>
      <c r="R3288" s="5" t="e">
        <f>IF(AND(#REF!&gt;=table!$C$7,#REF!&lt;= table!$D$7),-1,IF(AND(#REF!&gt;=table!$E$7,#REF!&lt;=table!$F$7),1,0))</f>
        <v>#REF!</v>
      </c>
      <c r="S3288" s="5" t="e">
        <f>IF(AND(#REF!&gt;=table!$C$8,#REF!&lt;= table!$D$8),-1,IF(AND(#REF!&gt;=table!$E$8,#REF!&lt;=table!$F$8),1,0))</f>
        <v>#REF!</v>
      </c>
      <c r="T3288" s="5"/>
      <c r="U3288" s="5" t="e">
        <f>IF(AND(#REF!&gt;=table!$C$10,#REF!&lt;= table!$D$10),-1,IF(AND(#REF!&gt;=table!$E$10,#REF!&lt;=table!$F$10),1,0))</f>
        <v>#REF!</v>
      </c>
      <c r="V3288" s="5" t="e">
        <f>IF(AND(#REF!&gt;=table!$C$11,#REF!&lt;= table!$D$11),-1,IF(AND(#REF!&gt;=table!$E$11,#REF!&lt;=table!$F$11),1,0))</f>
        <v>#REF!</v>
      </c>
      <c r="W3288" s="5" t="e">
        <f>CONCATENATE(dados[[#This Row],[fator1]],dados[[#This Row],[fator5]],dados[[#This Row],[fator6]])</f>
        <v>#REF!</v>
      </c>
    </row>
    <row r="3289" spans="1:23">
      <c r="A3289" t="s">
        <v>16</v>
      </c>
      <c r="B3289">
        <v>586674</v>
      </c>
      <c r="C3289">
        <v>12</v>
      </c>
      <c r="D3289">
        <v>35</v>
      </c>
      <c r="E3289">
        <v>86</v>
      </c>
      <c r="F3289">
        <v>10</v>
      </c>
      <c r="G3289">
        <v>0</v>
      </c>
      <c r="H3289">
        <v>25</v>
      </c>
      <c r="I3289">
        <v>1402</v>
      </c>
      <c r="J3289">
        <v>0</v>
      </c>
      <c r="K3289">
        <v>5.4850000000000003</v>
      </c>
      <c r="L3289">
        <v>14.265000000000001</v>
      </c>
      <c r="M3289">
        <v>74</v>
      </c>
      <c r="N3289">
        <v>16.649999999999999</v>
      </c>
      <c r="O3289">
        <v>1653</v>
      </c>
      <c r="P3289">
        <v>461</v>
      </c>
      <c r="Q3289" s="5" t="e">
        <f>IF(AND(#REF!&gt;=table!$C$6,#REF!&lt;= table!$D$6),-1,IF(AND(#REF!&gt;=table!$E$6,#REF!&lt;=table!$F$6),1,0))</f>
        <v>#REF!</v>
      </c>
      <c r="R3289" s="5" t="e">
        <f>IF(AND(#REF!&gt;=table!$C$7,#REF!&lt;= table!$D$7),-1,IF(AND(#REF!&gt;=table!$E$7,#REF!&lt;=table!$F$7),1,0))</f>
        <v>#REF!</v>
      </c>
      <c r="S3289" s="5" t="e">
        <f>IF(AND(#REF!&gt;=table!$C$8,#REF!&lt;= table!$D$8),-1,IF(AND(#REF!&gt;=table!$E$8,#REF!&lt;=table!$F$8),1,0))</f>
        <v>#REF!</v>
      </c>
      <c r="T3289" s="5"/>
      <c r="U3289" s="5" t="e">
        <f>IF(AND(#REF!&gt;=table!$C$10,#REF!&lt;= table!$D$10),-1,IF(AND(#REF!&gt;=table!$E$10,#REF!&lt;=table!$F$10),1,0))</f>
        <v>#REF!</v>
      </c>
      <c r="V3289" s="5" t="e">
        <f>IF(AND(#REF!&gt;=table!$C$11,#REF!&lt;= table!$D$11),-1,IF(AND(#REF!&gt;=table!$E$11,#REF!&lt;=table!$F$11),1,0))</f>
        <v>#REF!</v>
      </c>
      <c r="W3289" s="5" t="e">
        <f>CONCATENATE(dados[[#This Row],[fator1]],dados[[#This Row],[fator5]],dados[[#This Row],[fator6]])</f>
        <v>#REF!</v>
      </c>
    </row>
    <row r="3290" spans="1:23">
      <c r="A3290" t="s">
        <v>16</v>
      </c>
      <c r="B3290">
        <v>586675</v>
      </c>
      <c r="C3290">
        <v>12</v>
      </c>
      <c r="D3290">
        <v>35</v>
      </c>
      <c r="E3290">
        <v>86</v>
      </c>
      <c r="F3290">
        <v>10</v>
      </c>
      <c r="G3290">
        <v>0</v>
      </c>
      <c r="H3290">
        <v>25</v>
      </c>
      <c r="I3290">
        <v>1331</v>
      </c>
      <c r="J3290">
        <v>0</v>
      </c>
      <c r="K3290">
        <v>4.4550000000000001</v>
      </c>
      <c r="L3290">
        <v>7.95</v>
      </c>
      <c r="M3290">
        <v>71.320000000000007</v>
      </c>
      <c r="N3290">
        <v>13.605</v>
      </c>
      <c r="O3290">
        <v>1665</v>
      </c>
      <c r="P3290">
        <v>589</v>
      </c>
      <c r="Q3290" s="5" t="e">
        <f>IF(AND(#REF!&gt;=table!$C$6,#REF!&lt;= table!$D$6),-1,IF(AND(#REF!&gt;=table!$E$6,#REF!&lt;=table!$F$6),1,0))</f>
        <v>#REF!</v>
      </c>
      <c r="R3290" s="5" t="e">
        <f>IF(AND(#REF!&gt;=table!$C$7,#REF!&lt;= table!$D$7),-1,IF(AND(#REF!&gt;=table!$E$7,#REF!&lt;=table!$F$7),1,0))</f>
        <v>#REF!</v>
      </c>
      <c r="S3290" s="5" t="e">
        <f>IF(AND(#REF!&gt;=table!$C$8,#REF!&lt;= table!$D$8),-1,IF(AND(#REF!&gt;=table!$E$8,#REF!&lt;=table!$F$8),1,0))</f>
        <v>#REF!</v>
      </c>
      <c r="T3290" s="5"/>
      <c r="U3290" s="5" t="e">
        <f>IF(AND(#REF!&gt;=table!$C$10,#REF!&lt;= table!$D$10),-1,IF(AND(#REF!&gt;=table!$E$10,#REF!&lt;=table!$F$10),1,0))</f>
        <v>#REF!</v>
      </c>
      <c r="V3290" s="5" t="e">
        <f>IF(AND(#REF!&gt;=table!$C$11,#REF!&lt;= table!$D$11),-1,IF(AND(#REF!&gt;=table!$E$11,#REF!&lt;=table!$F$11),1,0))</f>
        <v>#REF!</v>
      </c>
      <c r="W3290" s="5" t="e">
        <f>CONCATENATE(dados[[#This Row],[fator1]],dados[[#This Row],[fator5]],dados[[#This Row],[fator6]])</f>
        <v>#REF!</v>
      </c>
    </row>
    <row r="3291" spans="1:23">
      <c r="A3291" t="s">
        <v>16</v>
      </c>
      <c r="B3291">
        <v>586676</v>
      </c>
      <c r="C3291">
        <v>12</v>
      </c>
      <c r="D3291">
        <v>35</v>
      </c>
      <c r="E3291">
        <v>86</v>
      </c>
      <c r="F3291">
        <v>8</v>
      </c>
      <c r="G3291">
        <v>0</v>
      </c>
      <c r="H3291">
        <v>25</v>
      </c>
      <c r="I3291">
        <v>1814</v>
      </c>
      <c r="J3291">
        <v>0</v>
      </c>
      <c r="K3291">
        <v>9.69</v>
      </c>
      <c r="L3291">
        <v>11.96</v>
      </c>
      <c r="M3291">
        <v>67.83</v>
      </c>
      <c r="N3291">
        <v>14.275</v>
      </c>
      <c r="O3291">
        <v>1672</v>
      </c>
      <c r="P3291">
        <v>352</v>
      </c>
      <c r="Q3291" s="5" t="e">
        <f>IF(AND(#REF!&gt;=table!$C$6,#REF!&lt;= table!$D$6),-1,IF(AND(#REF!&gt;=table!$E$6,#REF!&lt;=table!$F$6),1,0))</f>
        <v>#REF!</v>
      </c>
      <c r="R3291" s="5" t="e">
        <f>IF(AND(#REF!&gt;=table!$C$7,#REF!&lt;= table!$D$7),-1,IF(AND(#REF!&gt;=table!$E$7,#REF!&lt;=table!$F$7),1,0))</f>
        <v>#REF!</v>
      </c>
      <c r="S3291" s="5" t="e">
        <f>IF(AND(#REF!&gt;=table!$C$8,#REF!&lt;= table!$D$8),-1,IF(AND(#REF!&gt;=table!$E$8,#REF!&lt;=table!$F$8),1,0))</f>
        <v>#REF!</v>
      </c>
      <c r="T3291" s="5"/>
      <c r="U3291" s="5" t="e">
        <f>IF(AND(#REF!&gt;=table!$C$10,#REF!&lt;= table!$D$10),-1,IF(AND(#REF!&gt;=table!$E$10,#REF!&lt;=table!$F$10),1,0))</f>
        <v>#REF!</v>
      </c>
      <c r="V3291" s="5" t="e">
        <f>IF(AND(#REF!&gt;=table!$C$11,#REF!&lt;= table!$D$11),-1,IF(AND(#REF!&gt;=table!$E$11,#REF!&lt;=table!$F$11),1,0))</f>
        <v>#REF!</v>
      </c>
      <c r="W3291" s="5" t="e">
        <f>CONCATENATE(dados[[#This Row],[fator1]],dados[[#This Row],[fator5]],dados[[#This Row],[fator6]])</f>
        <v>#REF!</v>
      </c>
    </row>
    <row r="3292" spans="1:23">
      <c r="A3292" t="s">
        <v>17</v>
      </c>
      <c r="B3292">
        <v>586677</v>
      </c>
      <c r="C3292">
        <v>14</v>
      </c>
      <c r="D3292">
        <v>30</v>
      </c>
      <c r="E3292">
        <v>110</v>
      </c>
      <c r="F3292">
        <v>4</v>
      </c>
      <c r="G3292">
        <v>20</v>
      </c>
      <c r="H3292">
        <v>22</v>
      </c>
      <c r="I3292">
        <v>87</v>
      </c>
      <c r="J3292">
        <v>0</v>
      </c>
      <c r="K3292">
        <v>4.0999999999999996</v>
      </c>
      <c r="L3292">
        <v>8.35</v>
      </c>
      <c r="M3292">
        <v>83.695000000000007</v>
      </c>
      <c r="N3292">
        <v>10.355</v>
      </c>
      <c r="O3292">
        <v>1670</v>
      </c>
      <c r="P3292">
        <v>0</v>
      </c>
      <c r="Q3292" s="5" t="e">
        <f>IF(AND(#REF!&gt;=table!$C$6,#REF!&lt;= table!$D$6),-1,IF(AND(#REF!&gt;=table!$E$6,#REF!&lt;=table!$F$6),1,0))</f>
        <v>#REF!</v>
      </c>
      <c r="R3292" s="5" t="e">
        <f>IF(AND(#REF!&gt;=table!$C$7,#REF!&lt;= table!$D$7),-1,IF(AND(#REF!&gt;=table!$E$7,#REF!&lt;=table!$F$7),1,0))</f>
        <v>#REF!</v>
      </c>
      <c r="S3292" s="5" t="e">
        <f>IF(AND(#REF!&gt;=table!$C$8,#REF!&lt;= table!$D$8),-1,IF(AND(#REF!&gt;=table!$E$8,#REF!&lt;=table!$F$8),1,0))</f>
        <v>#REF!</v>
      </c>
      <c r="T3292" s="5"/>
      <c r="U3292" s="5" t="e">
        <f>IF(AND(#REF!&gt;=table!$C$10,#REF!&lt;= table!$D$10),-1,IF(AND(#REF!&gt;=table!$E$10,#REF!&lt;=table!$F$10),1,0))</f>
        <v>#REF!</v>
      </c>
      <c r="V3292" s="5" t="e">
        <f>IF(AND(#REF!&gt;=table!$C$11,#REF!&lt;= table!$D$11),-1,IF(AND(#REF!&gt;=table!$E$11,#REF!&lt;=table!$F$11),1,0))</f>
        <v>#REF!</v>
      </c>
      <c r="W3292" s="5" t="e">
        <f>CONCATENATE(dados[[#This Row],[fator1]],dados[[#This Row],[fator5]],dados[[#This Row],[fator6]])</f>
        <v>#REF!</v>
      </c>
    </row>
    <row r="3293" spans="1:23">
      <c r="A3293" t="s">
        <v>16</v>
      </c>
      <c r="B3293">
        <v>586680</v>
      </c>
      <c r="C3293">
        <v>10</v>
      </c>
      <c r="D3293">
        <v>30</v>
      </c>
      <c r="E3293">
        <v>96</v>
      </c>
      <c r="F3293">
        <v>8</v>
      </c>
      <c r="G3293">
        <v>0</v>
      </c>
      <c r="H3293">
        <v>25</v>
      </c>
      <c r="I3293">
        <v>1026</v>
      </c>
      <c r="J3293">
        <v>0</v>
      </c>
      <c r="K3293">
        <v>2.7450000000000001</v>
      </c>
      <c r="L3293">
        <v>11</v>
      </c>
      <c r="M3293">
        <v>82.4</v>
      </c>
      <c r="N3293">
        <v>17.2</v>
      </c>
      <c r="O3293">
        <v>1706</v>
      </c>
      <c r="P3293">
        <v>1147</v>
      </c>
      <c r="Q3293" s="5" t="e">
        <f>IF(AND(#REF!&gt;=table!$C$6,#REF!&lt;= table!$D$6),-1,IF(AND(#REF!&gt;=table!$E$6,#REF!&lt;=table!$F$6),1,0))</f>
        <v>#REF!</v>
      </c>
      <c r="R3293" s="5" t="e">
        <f>IF(AND(#REF!&gt;=table!$C$7,#REF!&lt;= table!$D$7),-1,IF(AND(#REF!&gt;=table!$E$7,#REF!&lt;=table!$F$7),1,0))</f>
        <v>#REF!</v>
      </c>
      <c r="S3293" s="5" t="e">
        <f>IF(AND(#REF!&gt;=table!$C$8,#REF!&lt;= table!$D$8),-1,IF(AND(#REF!&gt;=table!$E$8,#REF!&lt;=table!$F$8),1,0))</f>
        <v>#REF!</v>
      </c>
      <c r="T3293" s="5"/>
      <c r="U3293" s="5" t="e">
        <f>IF(AND(#REF!&gt;=table!$C$10,#REF!&lt;= table!$D$10),-1,IF(AND(#REF!&gt;=table!$E$10,#REF!&lt;=table!$F$10),1,0))</f>
        <v>#REF!</v>
      </c>
      <c r="V3293" s="5" t="e">
        <f>IF(AND(#REF!&gt;=table!$C$11,#REF!&lt;= table!$D$11),-1,IF(AND(#REF!&gt;=table!$E$11,#REF!&lt;=table!$F$11),1,0))</f>
        <v>#REF!</v>
      </c>
      <c r="W3293" s="5" t="e">
        <f>CONCATENATE(dados[[#This Row],[fator1]],dados[[#This Row],[fator5]],dados[[#This Row],[fator6]])</f>
        <v>#REF!</v>
      </c>
    </row>
    <row r="3294" spans="1:23">
      <c r="A3294" t="s">
        <v>16</v>
      </c>
      <c r="B3294">
        <v>586684</v>
      </c>
      <c r="C3294">
        <v>8</v>
      </c>
      <c r="D3294">
        <v>27</v>
      </c>
      <c r="E3294">
        <v>86</v>
      </c>
      <c r="F3294">
        <v>9</v>
      </c>
      <c r="G3294">
        <v>0</v>
      </c>
      <c r="H3294">
        <v>25</v>
      </c>
      <c r="I3294">
        <v>1354</v>
      </c>
      <c r="J3294">
        <v>0</v>
      </c>
      <c r="K3294">
        <v>2.4820000000000002</v>
      </c>
      <c r="L3294">
        <v>10.6</v>
      </c>
      <c r="M3294">
        <v>44.57</v>
      </c>
      <c r="N3294">
        <v>15.55</v>
      </c>
      <c r="O3294">
        <v>1688</v>
      </c>
      <c r="P3294">
        <v>0</v>
      </c>
      <c r="Q3294" s="5" t="e">
        <f>IF(AND(#REF!&gt;=table!$C$6,#REF!&lt;= table!$D$6),-1,IF(AND(#REF!&gt;=table!$E$6,#REF!&lt;=table!$F$6),1,0))</f>
        <v>#REF!</v>
      </c>
      <c r="R3294" s="5" t="e">
        <f>IF(AND(#REF!&gt;=table!$C$7,#REF!&lt;= table!$D$7),-1,IF(AND(#REF!&gt;=table!$E$7,#REF!&lt;=table!$F$7),1,0))</f>
        <v>#REF!</v>
      </c>
      <c r="S3294" s="5" t="e">
        <f>IF(AND(#REF!&gt;=table!$C$8,#REF!&lt;= table!$D$8),-1,IF(AND(#REF!&gt;=table!$E$8,#REF!&lt;=table!$F$8),1,0))</f>
        <v>#REF!</v>
      </c>
      <c r="T3294" s="5"/>
      <c r="U3294" s="5" t="e">
        <f>IF(AND(#REF!&gt;=table!$C$10,#REF!&lt;= table!$D$10),-1,IF(AND(#REF!&gt;=table!$E$10,#REF!&lt;=table!$F$10),1,0))</f>
        <v>#REF!</v>
      </c>
      <c r="V3294" s="5" t="e">
        <f>IF(AND(#REF!&gt;=table!$C$11,#REF!&lt;= table!$D$11),-1,IF(AND(#REF!&gt;=table!$E$11,#REF!&lt;=table!$F$11),1,0))</f>
        <v>#REF!</v>
      </c>
      <c r="W3294" s="5" t="e">
        <f>CONCATENATE(dados[[#This Row],[fator1]],dados[[#This Row],[fator5]],dados[[#This Row],[fator6]])</f>
        <v>#REF!</v>
      </c>
    </row>
    <row r="3295" spans="1:23">
      <c r="A3295" t="s">
        <v>16</v>
      </c>
      <c r="B3295">
        <v>586685</v>
      </c>
      <c r="C3295">
        <v>8</v>
      </c>
      <c r="D3295">
        <v>40</v>
      </c>
      <c r="E3295">
        <v>86</v>
      </c>
      <c r="F3295">
        <v>8</v>
      </c>
      <c r="G3295">
        <v>0</v>
      </c>
      <c r="H3295">
        <v>25</v>
      </c>
      <c r="I3295">
        <v>992</v>
      </c>
      <c r="J3295">
        <v>0</v>
      </c>
      <c r="K3295">
        <v>2.8850000000000002</v>
      </c>
      <c r="L3295">
        <v>5.75</v>
      </c>
      <c r="M3295">
        <v>62.45</v>
      </c>
      <c r="N3295">
        <v>12.8</v>
      </c>
      <c r="O3295">
        <v>1665</v>
      </c>
      <c r="P3295">
        <v>0</v>
      </c>
      <c r="Q3295" s="5" t="e">
        <f>IF(AND(#REF!&gt;=table!$C$6,#REF!&lt;= table!$D$6),-1,IF(AND(#REF!&gt;=table!$E$6,#REF!&lt;=table!$F$6),1,0))</f>
        <v>#REF!</v>
      </c>
      <c r="R3295" s="5" t="e">
        <f>IF(AND(#REF!&gt;=table!$C$7,#REF!&lt;= table!$D$7),-1,IF(AND(#REF!&gt;=table!$E$7,#REF!&lt;=table!$F$7),1,0))</f>
        <v>#REF!</v>
      </c>
      <c r="S3295" s="5" t="e">
        <f>IF(AND(#REF!&gt;=table!$C$8,#REF!&lt;= table!$D$8),-1,IF(AND(#REF!&gt;=table!$E$8,#REF!&lt;=table!$F$8),1,0))</f>
        <v>#REF!</v>
      </c>
      <c r="T3295" s="5"/>
      <c r="U3295" s="5" t="e">
        <f>IF(AND(#REF!&gt;=table!$C$10,#REF!&lt;= table!$D$10),-1,IF(AND(#REF!&gt;=table!$E$10,#REF!&lt;=table!$F$10),1,0))</f>
        <v>#REF!</v>
      </c>
      <c r="V3295" s="5" t="e">
        <f>IF(AND(#REF!&gt;=table!$C$11,#REF!&lt;= table!$D$11),-1,IF(AND(#REF!&gt;=table!$E$11,#REF!&lt;=table!$F$11),1,0))</f>
        <v>#REF!</v>
      </c>
      <c r="W3295" s="5" t="e">
        <f>CONCATENATE(dados[[#This Row],[fator1]],dados[[#This Row],[fator5]],dados[[#This Row],[fator6]])</f>
        <v>#REF!</v>
      </c>
    </row>
    <row r="3296" spans="1:23">
      <c r="A3296" t="s">
        <v>17</v>
      </c>
      <c r="B3296">
        <v>586688</v>
      </c>
      <c r="C3296">
        <v>18</v>
      </c>
      <c r="D3296">
        <v>23</v>
      </c>
      <c r="E3296">
        <v>145</v>
      </c>
      <c r="F3296">
        <v>9</v>
      </c>
      <c r="G3296">
        <v>30</v>
      </c>
      <c r="H3296">
        <v>25</v>
      </c>
      <c r="I3296">
        <v>315</v>
      </c>
      <c r="J3296">
        <v>0</v>
      </c>
      <c r="K3296">
        <v>10.44</v>
      </c>
      <c r="L3296">
        <v>14.8</v>
      </c>
      <c r="M3296">
        <v>131.1</v>
      </c>
      <c r="N3296">
        <v>15.1</v>
      </c>
      <c r="O3296">
        <v>1674</v>
      </c>
      <c r="P3296">
        <v>333</v>
      </c>
      <c r="Q3296" s="5" t="e">
        <f>IF(AND(#REF!&gt;=table!$C$6,#REF!&lt;= table!$D$6),-1,IF(AND(#REF!&gt;=table!$E$6,#REF!&lt;=table!$F$6),1,0))</f>
        <v>#REF!</v>
      </c>
      <c r="R3296" s="5" t="e">
        <f>IF(AND(#REF!&gt;=table!$C$7,#REF!&lt;= table!$D$7),-1,IF(AND(#REF!&gt;=table!$E$7,#REF!&lt;=table!$F$7),1,0))</f>
        <v>#REF!</v>
      </c>
      <c r="S3296" s="5" t="e">
        <f>IF(AND(#REF!&gt;=table!$C$8,#REF!&lt;= table!$D$8),-1,IF(AND(#REF!&gt;=table!$E$8,#REF!&lt;=table!$F$8),1,0))</f>
        <v>#REF!</v>
      </c>
      <c r="T3296" s="5"/>
      <c r="U3296" s="5" t="e">
        <f>IF(AND(#REF!&gt;=table!$C$10,#REF!&lt;= table!$D$10),-1,IF(AND(#REF!&gt;=table!$E$10,#REF!&lt;=table!$F$10),1,0))</f>
        <v>#REF!</v>
      </c>
      <c r="V3296" s="5" t="e">
        <f>IF(AND(#REF!&gt;=table!$C$11,#REF!&lt;= table!$D$11),-1,IF(AND(#REF!&gt;=table!$E$11,#REF!&lt;=table!$F$11),1,0))</f>
        <v>#REF!</v>
      </c>
      <c r="W3296" s="5" t="e">
        <f>CONCATENATE(dados[[#This Row],[fator1]],dados[[#This Row],[fator5]],dados[[#This Row],[fator6]])</f>
        <v>#REF!</v>
      </c>
    </row>
    <row r="3297" spans="1:23">
      <c r="A3297" t="s">
        <v>17</v>
      </c>
      <c r="B3297">
        <v>586699</v>
      </c>
      <c r="C3297">
        <v>3</v>
      </c>
      <c r="D3297">
        <v>25</v>
      </c>
      <c r="E3297">
        <v>120</v>
      </c>
      <c r="F3297">
        <v>1</v>
      </c>
      <c r="G3297">
        <v>25</v>
      </c>
      <c r="H3297">
        <v>10</v>
      </c>
      <c r="I3297">
        <v>949</v>
      </c>
      <c r="J3297">
        <v>0</v>
      </c>
      <c r="K3297">
        <v>2.4700000000000002</v>
      </c>
      <c r="L3297">
        <v>3.2</v>
      </c>
      <c r="M3297">
        <v>70.150000000000006</v>
      </c>
      <c r="N3297">
        <v>6.75</v>
      </c>
      <c r="O3297">
        <v>1682</v>
      </c>
      <c r="P3297">
        <v>1166</v>
      </c>
      <c r="Q3297" s="5" t="e">
        <f>IF(AND(#REF!&gt;=table!$C$6,#REF!&lt;= table!$D$6),-1,IF(AND(#REF!&gt;=table!$E$6,#REF!&lt;=table!$F$6),1,0))</f>
        <v>#REF!</v>
      </c>
      <c r="R3297" s="5" t="e">
        <f>IF(AND(#REF!&gt;=table!$C$7,#REF!&lt;= table!$D$7),-1,IF(AND(#REF!&gt;=table!$E$7,#REF!&lt;=table!$F$7),1,0))</f>
        <v>#REF!</v>
      </c>
      <c r="S3297" s="5" t="e">
        <f>IF(AND(#REF!&gt;=table!$C$8,#REF!&lt;= table!$D$8),-1,IF(AND(#REF!&gt;=table!$E$8,#REF!&lt;=table!$F$8),1,0))</f>
        <v>#REF!</v>
      </c>
      <c r="T3297" s="5"/>
      <c r="U3297" s="5" t="e">
        <f>IF(AND(#REF!&gt;=table!$C$10,#REF!&lt;= table!$D$10),-1,IF(AND(#REF!&gt;=table!$E$10,#REF!&lt;=table!$F$10),1,0))</f>
        <v>#REF!</v>
      </c>
      <c r="V3297" s="5" t="e">
        <f>IF(AND(#REF!&gt;=table!$C$11,#REF!&lt;= table!$D$11),-1,IF(AND(#REF!&gt;=table!$E$11,#REF!&lt;=table!$F$11),1,0))</f>
        <v>#REF!</v>
      </c>
      <c r="W3297" s="5" t="e">
        <f>CONCATENATE(dados[[#This Row],[fator1]],dados[[#This Row],[fator5]],dados[[#This Row],[fator6]])</f>
        <v>#REF!</v>
      </c>
    </row>
    <row r="3298" spans="1:23">
      <c r="A3298" t="s">
        <v>16</v>
      </c>
      <c r="B3298">
        <v>586700</v>
      </c>
      <c r="C3298">
        <v>6</v>
      </c>
      <c r="D3298">
        <v>30</v>
      </c>
      <c r="E3298">
        <v>40</v>
      </c>
      <c r="F3298">
        <v>15</v>
      </c>
      <c r="G3298">
        <v>0</v>
      </c>
      <c r="H3298">
        <v>25</v>
      </c>
      <c r="I3298">
        <v>796</v>
      </c>
      <c r="J3298">
        <v>0</v>
      </c>
      <c r="K3298">
        <v>1.996</v>
      </c>
      <c r="L3298">
        <v>4.6100000000000003</v>
      </c>
      <c r="M3298">
        <v>8.4</v>
      </c>
      <c r="N3298">
        <v>5.45</v>
      </c>
      <c r="O3298">
        <v>1680</v>
      </c>
      <c r="P3298">
        <v>0</v>
      </c>
      <c r="Q3298" s="5" t="e">
        <f>IF(AND(#REF!&gt;=table!$C$6,#REF!&lt;= table!$D$6),-1,IF(AND(#REF!&gt;=table!$E$6,#REF!&lt;=table!$F$6),1,0))</f>
        <v>#REF!</v>
      </c>
      <c r="R3298" s="5" t="e">
        <f>IF(AND(#REF!&gt;=table!$C$7,#REF!&lt;= table!$D$7),-1,IF(AND(#REF!&gt;=table!$E$7,#REF!&lt;=table!$F$7),1,0))</f>
        <v>#REF!</v>
      </c>
      <c r="S3298" s="5" t="e">
        <f>IF(AND(#REF!&gt;=table!$C$8,#REF!&lt;= table!$D$8),-1,IF(AND(#REF!&gt;=table!$E$8,#REF!&lt;=table!$F$8),1,0))</f>
        <v>#REF!</v>
      </c>
      <c r="T3298" s="5"/>
      <c r="U3298" s="5" t="e">
        <f>IF(AND(#REF!&gt;=table!$C$10,#REF!&lt;= table!$D$10),-1,IF(AND(#REF!&gt;=table!$E$10,#REF!&lt;=table!$F$10),1,0))</f>
        <v>#REF!</v>
      </c>
      <c r="V3298" s="5" t="e">
        <f>IF(AND(#REF!&gt;=table!$C$11,#REF!&lt;= table!$D$11),-1,IF(AND(#REF!&gt;=table!$E$11,#REF!&lt;=table!$F$11),1,0))</f>
        <v>#REF!</v>
      </c>
      <c r="W3298" s="5" t="e">
        <f>CONCATENATE(dados[[#This Row],[fator1]],dados[[#This Row],[fator5]],dados[[#This Row],[fator6]])</f>
        <v>#REF!</v>
      </c>
    </row>
    <row r="3299" spans="1:23">
      <c r="A3299" t="s">
        <v>17</v>
      </c>
      <c r="B3299">
        <v>586703</v>
      </c>
      <c r="C3299">
        <v>16</v>
      </c>
      <c r="D3299">
        <v>30</v>
      </c>
      <c r="E3299">
        <v>106</v>
      </c>
      <c r="F3299">
        <v>9</v>
      </c>
      <c r="G3299">
        <v>20</v>
      </c>
      <c r="H3299">
        <v>25</v>
      </c>
      <c r="I3299">
        <v>1390</v>
      </c>
      <c r="J3299">
        <v>0</v>
      </c>
      <c r="K3299">
        <v>3.4450000000000003</v>
      </c>
      <c r="L3299">
        <v>9.5500000000000007</v>
      </c>
      <c r="M3299">
        <v>82.15</v>
      </c>
      <c r="N3299">
        <v>11.9</v>
      </c>
      <c r="O3299">
        <v>1675</v>
      </c>
      <c r="P3299">
        <v>709</v>
      </c>
      <c r="Q3299" s="5" t="e">
        <f>IF(AND(#REF!&gt;=table!$C$6,#REF!&lt;= table!$D$6),-1,IF(AND(#REF!&gt;=table!$E$6,#REF!&lt;=table!$F$6),1,0))</f>
        <v>#REF!</v>
      </c>
      <c r="R3299" s="5" t="e">
        <f>IF(AND(#REF!&gt;=table!$C$7,#REF!&lt;= table!$D$7),-1,IF(AND(#REF!&gt;=table!$E$7,#REF!&lt;=table!$F$7),1,0))</f>
        <v>#REF!</v>
      </c>
      <c r="S3299" s="5" t="e">
        <f>IF(AND(#REF!&gt;=table!$C$8,#REF!&lt;= table!$D$8),-1,IF(AND(#REF!&gt;=table!$E$8,#REF!&lt;=table!$F$8),1,0))</f>
        <v>#REF!</v>
      </c>
      <c r="T3299" s="5"/>
      <c r="U3299" s="5" t="e">
        <f>IF(AND(#REF!&gt;=table!$C$10,#REF!&lt;= table!$D$10),-1,IF(AND(#REF!&gt;=table!$E$10,#REF!&lt;=table!$F$10),1,0))</f>
        <v>#REF!</v>
      </c>
      <c r="V3299" s="5" t="e">
        <f>IF(AND(#REF!&gt;=table!$C$11,#REF!&lt;= table!$D$11),-1,IF(AND(#REF!&gt;=table!$E$11,#REF!&lt;=table!$F$11),1,0))</f>
        <v>#REF!</v>
      </c>
      <c r="W3299" s="5" t="e">
        <f>CONCATENATE(dados[[#This Row],[fator1]],dados[[#This Row],[fator5]],dados[[#This Row],[fator6]])</f>
        <v>#REF!</v>
      </c>
    </row>
    <row r="3300" spans="1:23">
      <c r="A3300" t="s">
        <v>17</v>
      </c>
      <c r="B3300">
        <v>586710</v>
      </c>
      <c r="C3300">
        <v>29</v>
      </c>
      <c r="D3300">
        <v>25</v>
      </c>
      <c r="E3300">
        <v>131</v>
      </c>
      <c r="F3300">
        <v>6</v>
      </c>
      <c r="G3300">
        <v>21</v>
      </c>
      <c r="H3300">
        <v>25</v>
      </c>
      <c r="I3300">
        <v>2</v>
      </c>
      <c r="J3300">
        <v>0</v>
      </c>
      <c r="K3300">
        <v>5.41</v>
      </c>
      <c r="L3300">
        <v>9.75</v>
      </c>
      <c r="M3300">
        <v>100.75</v>
      </c>
      <c r="N3300">
        <v>16</v>
      </c>
      <c r="O3300">
        <v>1696</v>
      </c>
      <c r="P3300">
        <v>0</v>
      </c>
      <c r="Q3300" s="5" t="e">
        <f>IF(AND(#REF!&gt;=table!$C$6,#REF!&lt;= table!$D$6),-1,IF(AND(#REF!&gt;=table!$E$6,#REF!&lt;=table!$F$6),1,0))</f>
        <v>#REF!</v>
      </c>
      <c r="R3300" s="5" t="e">
        <f>IF(AND(#REF!&gt;=table!$C$7,#REF!&lt;= table!$D$7),-1,IF(AND(#REF!&gt;=table!$E$7,#REF!&lt;=table!$F$7),1,0))</f>
        <v>#REF!</v>
      </c>
      <c r="S3300" s="5" t="e">
        <f>IF(AND(#REF!&gt;=table!$C$8,#REF!&lt;= table!$D$8),-1,IF(AND(#REF!&gt;=table!$E$8,#REF!&lt;=table!$F$8),1,0))</f>
        <v>#REF!</v>
      </c>
      <c r="T3300" s="5"/>
      <c r="U3300" s="5" t="e">
        <f>IF(AND(#REF!&gt;=table!$C$10,#REF!&lt;= table!$D$10),-1,IF(AND(#REF!&gt;=table!$E$10,#REF!&lt;=table!$F$10),1,0))</f>
        <v>#REF!</v>
      </c>
      <c r="V3300" s="5" t="e">
        <f>IF(AND(#REF!&gt;=table!$C$11,#REF!&lt;= table!$D$11),-1,IF(AND(#REF!&gt;=table!$E$11,#REF!&lt;=table!$F$11),1,0))</f>
        <v>#REF!</v>
      </c>
      <c r="W3300" s="5" t="e">
        <f>CONCATENATE(dados[[#This Row],[fator1]],dados[[#This Row],[fator5]],dados[[#This Row],[fator6]])</f>
        <v>#REF!</v>
      </c>
    </row>
    <row r="3301" spans="1:23">
      <c r="A3301" t="s">
        <v>17</v>
      </c>
      <c r="B3301">
        <v>586711</v>
      </c>
      <c r="C3301">
        <v>14</v>
      </c>
      <c r="D3301">
        <v>30</v>
      </c>
      <c r="E3301">
        <v>86</v>
      </c>
      <c r="F3301">
        <v>9</v>
      </c>
      <c r="G3301">
        <v>20</v>
      </c>
      <c r="H3301">
        <v>25</v>
      </c>
      <c r="I3301">
        <v>882</v>
      </c>
      <c r="J3301">
        <v>0</v>
      </c>
      <c r="K3301">
        <v>3.0550000000000002</v>
      </c>
      <c r="L3301">
        <v>8.15</v>
      </c>
      <c r="M3301">
        <v>81.100000000000009</v>
      </c>
      <c r="N3301">
        <v>17.3</v>
      </c>
      <c r="O3301">
        <v>1693</v>
      </c>
      <c r="P3301">
        <v>0</v>
      </c>
      <c r="Q3301" s="5" t="e">
        <f>IF(AND(#REF!&gt;=table!$C$6,#REF!&lt;= table!$D$6),-1,IF(AND(#REF!&gt;=table!$E$6,#REF!&lt;=table!$F$6),1,0))</f>
        <v>#REF!</v>
      </c>
      <c r="R3301" s="5" t="e">
        <f>IF(AND(#REF!&gt;=table!$C$7,#REF!&lt;= table!$D$7),-1,IF(AND(#REF!&gt;=table!$E$7,#REF!&lt;=table!$F$7),1,0))</f>
        <v>#REF!</v>
      </c>
      <c r="S3301" s="5" t="e">
        <f>IF(AND(#REF!&gt;=table!$C$8,#REF!&lt;= table!$D$8),-1,IF(AND(#REF!&gt;=table!$E$8,#REF!&lt;=table!$F$8),1,0))</f>
        <v>#REF!</v>
      </c>
      <c r="T3301" s="5"/>
      <c r="U3301" s="5" t="e">
        <f>IF(AND(#REF!&gt;=table!$C$10,#REF!&lt;= table!$D$10),-1,IF(AND(#REF!&gt;=table!$E$10,#REF!&lt;=table!$F$10),1,0))</f>
        <v>#REF!</v>
      </c>
      <c r="V3301" s="5" t="e">
        <f>IF(AND(#REF!&gt;=table!$C$11,#REF!&lt;= table!$D$11),-1,IF(AND(#REF!&gt;=table!$E$11,#REF!&lt;=table!$F$11),1,0))</f>
        <v>#REF!</v>
      </c>
      <c r="W3301" s="5" t="e">
        <f>CONCATENATE(dados[[#This Row],[fator1]],dados[[#This Row],[fator5]],dados[[#This Row],[fator6]])</f>
        <v>#REF!</v>
      </c>
    </row>
    <row r="3302" spans="1:23">
      <c r="A3302" t="s">
        <v>17</v>
      </c>
      <c r="B3302">
        <v>586713</v>
      </c>
      <c r="C3302">
        <v>29</v>
      </c>
      <c r="D3302">
        <v>25</v>
      </c>
      <c r="E3302">
        <v>131</v>
      </c>
      <c r="F3302">
        <v>6</v>
      </c>
      <c r="G3302">
        <v>21</v>
      </c>
      <c r="H3302">
        <v>25</v>
      </c>
      <c r="I3302">
        <v>49</v>
      </c>
      <c r="J3302">
        <v>0</v>
      </c>
      <c r="K3302">
        <v>11.58</v>
      </c>
      <c r="L3302">
        <v>14.700000000000001</v>
      </c>
      <c r="M3302">
        <v>88.19</v>
      </c>
      <c r="N3302">
        <v>20.93</v>
      </c>
      <c r="O3302">
        <v>1672</v>
      </c>
      <c r="P3302">
        <v>0</v>
      </c>
      <c r="Q3302" s="5" t="e">
        <f>IF(AND(#REF!&gt;=table!$C$6,#REF!&lt;= table!$D$6),-1,IF(AND(#REF!&gt;=table!$E$6,#REF!&lt;=table!$F$6),1,0))</f>
        <v>#REF!</v>
      </c>
      <c r="R3302" s="5" t="e">
        <f>IF(AND(#REF!&gt;=table!$C$7,#REF!&lt;= table!$D$7),-1,IF(AND(#REF!&gt;=table!$E$7,#REF!&lt;=table!$F$7),1,0))</f>
        <v>#REF!</v>
      </c>
      <c r="S3302" s="5" t="e">
        <f>IF(AND(#REF!&gt;=table!$C$8,#REF!&lt;= table!$D$8),-1,IF(AND(#REF!&gt;=table!$E$8,#REF!&lt;=table!$F$8),1,0))</f>
        <v>#REF!</v>
      </c>
      <c r="T3302" s="5"/>
      <c r="U3302" s="5" t="e">
        <f>IF(AND(#REF!&gt;=table!$C$10,#REF!&lt;= table!$D$10),-1,IF(AND(#REF!&gt;=table!$E$10,#REF!&lt;=table!$F$10),1,0))</f>
        <v>#REF!</v>
      </c>
      <c r="V3302" s="5" t="e">
        <f>IF(AND(#REF!&gt;=table!$C$11,#REF!&lt;= table!$D$11),-1,IF(AND(#REF!&gt;=table!$E$11,#REF!&lt;=table!$F$11),1,0))</f>
        <v>#REF!</v>
      </c>
      <c r="W3302" s="5" t="e">
        <f>CONCATENATE(dados[[#This Row],[fator1]],dados[[#This Row],[fator5]],dados[[#This Row],[fator6]])</f>
        <v>#REF!</v>
      </c>
    </row>
    <row r="3303" spans="1:23">
      <c r="A3303" t="s">
        <v>17</v>
      </c>
      <c r="B3303">
        <v>586715</v>
      </c>
      <c r="C3303">
        <v>29</v>
      </c>
      <c r="D3303">
        <v>25</v>
      </c>
      <c r="E3303">
        <v>131</v>
      </c>
      <c r="F3303">
        <v>6</v>
      </c>
      <c r="G3303">
        <v>21</v>
      </c>
      <c r="H3303">
        <v>25</v>
      </c>
      <c r="I3303">
        <v>1689</v>
      </c>
      <c r="J3303">
        <v>0</v>
      </c>
      <c r="K3303">
        <v>11.39</v>
      </c>
      <c r="L3303">
        <v>12.9</v>
      </c>
      <c r="M3303">
        <v>132.85</v>
      </c>
      <c r="N3303">
        <v>15.450000000000001</v>
      </c>
      <c r="O3303">
        <v>1689</v>
      </c>
      <c r="P3303">
        <v>0</v>
      </c>
      <c r="Q3303" s="5" t="e">
        <f>IF(AND(#REF!&gt;=table!$C$6,#REF!&lt;= table!$D$6),-1,IF(AND(#REF!&gt;=table!$E$6,#REF!&lt;=table!$F$6),1,0))</f>
        <v>#REF!</v>
      </c>
      <c r="R3303" s="5" t="e">
        <f>IF(AND(#REF!&gt;=table!$C$7,#REF!&lt;= table!$D$7),-1,IF(AND(#REF!&gt;=table!$E$7,#REF!&lt;=table!$F$7),1,0))</f>
        <v>#REF!</v>
      </c>
      <c r="S3303" s="5" t="e">
        <f>IF(AND(#REF!&gt;=table!$C$8,#REF!&lt;= table!$D$8),-1,IF(AND(#REF!&gt;=table!$E$8,#REF!&lt;=table!$F$8),1,0))</f>
        <v>#REF!</v>
      </c>
      <c r="T3303" s="5"/>
      <c r="U3303" s="5" t="e">
        <f>IF(AND(#REF!&gt;=table!$C$10,#REF!&lt;= table!$D$10),-1,IF(AND(#REF!&gt;=table!$E$10,#REF!&lt;=table!$F$10),1,0))</f>
        <v>#REF!</v>
      </c>
      <c r="V3303" s="5" t="e">
        <f>IF(AND(#REF!&gt;=table!$C$11,#REF!&lt;= table!$D$11),-1,IF(AND(#REF!&gt;=table!$E$11,#REF!&lt;=table!$F$11),1,0))</f>
        <v>#REF!</v>
      </c>
      <c r="W3303" s="5" t="e">
        <f>CONCATENATE(dados[[#This Row],[fator1]],dados[[#This Row],[fator5]],dados[[#This Row],[fator6]])</f>
        <v>#REF!</v>
      </c>
    </row>
    <row r="3304" spans="1:23">
      <c r="A3304" t="s">
        <v>17</v>
      </c>
      <c r="B3304">
        <v>586717</v>
      </c>
      <c r="C3304">
        <v>12</v>
      </c>
      <c r="D3304">
        <v>30</v>
      </c>
      <c r="E3304">
        <v>126</v>
      </c>
      <c r="F3304">
        <v>9</v>
      </c>
      <c r="G3304">
        <v>20</v>
      </c>
      <c r="H3304">
        <v>25</v>
      </c>
      <c r="I3304">
        <v>906</v>
      </c>
      <c r="J3304">
        <v>0</v>
      </c>
      <c r="K3304">
        <v>9.48</v>
      </c>
      <c r="L3304">
        <v>9.6550000000000011</v>
      </c>
      <c r="M3304">
        <v>57.1</v>
      </c>
      <c r="N3304">
        <v>8</v>
      </c>
      <c r="O3304">
        <v>1671</v>
      </c>
      <c r="P3304">
        <v>0</v>
      </c>
      <c r="Q3304" s="5" t="e">
        <f>IF(AND(#REF!&gt;=table!$C$6,#REF!&lt;= table!$D$6),-1,IF(AND(#REF!&gt;=table!$E$6,#REF!&lt;=table!$F$6),1,0))</f>
        <v>#REF!</v>
      </c>
      <c r="R3304" s="5" t="e">
        <f>IF(AND(#REF!&gt;=table!$C$7,#REF!&lt;= table!$D$7),-1,IF(AND(#REF!&gt;=table!$E$7,#REF!&lt;=table!$F$7),1,0))</f>
        <v>#REF!</v>
      </c>
      <c r="S3304" s="5" t="e">
        <f>IF(AND(#REF!&gt;=table!$C$8,#REF!&lt;= table!$D$8),-1,IF(AND(#REF!&gt;=table!$E$8,#REF!&lt;=table!$F$8),1,0))</f>
        <v>#REF!</v>
      </c>
      <c r="T3304" s="5"/>
      <c r="U3304" s="5" t="e">
        <f>IF(AND(#REF!&gt;=table!$C$10,#REF!&lt;= table!$D$10),-1,IF(AND(#REF!&gt;=table!$E$10,#REF!&lt;=table!$F$10),1,0))</f>
        <v>#REF!</v>
      </c>
      <c r="V3304" s="5" t="e">
        <f>IF(AND(#REF!&gt;=table!$C$11,#REF!&lt;= table!$D$11),-1,IF(AND(#REF!&gt;=table!$E$11,#REF!&lt;=table!$F$11),1,0))</f>
        <v>#REF!</v>
      </c>
      <c r="W3304" s="5" t="e">
        <f>CONCATENATE(dados[[#This Row],[fator1]],dados[[#This Row],[fator5]],dados[[#This Row],[fator6]])</f>
        <v>#REF!</v>
      </c>
    </row>
    <row r="3305" spans="1:23">
      <c r="A3305" t="s">
        <v>16</v>
      </c>
      <c r="B3305">
        <v>586719</v>
      </c>
      <c r="C3305">
        <v>0.15</v>
      </c>
      <c r="D3305">
        <v>35</v>
      </c>
      <c r="E3305">
        <v>15</v>
      </c>
      <c r="F3305">
        <v>10</v>
      </c>
      <c r="G3305">
        <v>0</v>
      </c>
      <c r="H3305">
        <v>12</v>
      </c>
      <c r="I3305">
        <v>988</v>
      </c>
      <c r="J3305">
        <v>0</v>
      </c>
      <c r="K3305">
        <v>4.4350000000000005</v>
      </c>
      <c r="L3305">
        <v>6.125</v>
      </c>
      <c r="M3305">
        <v>5.4</v>
      </c>
      <c r="N3305">
        <v>9.8000000000000007</v>
      </c>
      <c r="O3305">
        <v>1675</v>
      </c>
      <c r="P3305">
        <v>0</v>
      </c>
      <c r="Q3305" s="5" t="e">
        <f>IF(AND(#REF!&gt;=table!$C$6,#REF!&lt;= table!$D$6),-1,IF(AND(#REF!&gt;=table!$E$6,#REF!&lt;=table!$F$6),1,0))</f>
        <v>#REF!</v>
      </c>
      <c r="R3305" s="5" t="e">
        <f>IF(AND(#REF!&gt;=table!$C$7,#REF!&lt;= table!$D$7),-1,IF(AND(#REF!&gt;=table!$E$7,#REF!&lt;=table!$F$7),1,0))</f>
        <v>#REF!</v>
      </c>
      <c r="S3305" s="5" t="e">
        <f>IF(AND(#REF!&gt;=table!$C$8,#REF!&lt;= table!$D$8),-1,IF(AND(#REF!&gt;=table!$E$8,#REF!&lt;=table!$F$8),1,0))</f>
        <v>#REF!</v>
      </c>
      <c r="T3305" s="5"/>
      <c r="U3305" s="5" t="e">
        <f>IF(AND(#REF!&gt;=table!$C$10,#REF!&lt;= table!$D$10),-1,IF(AND(#REF!&gt;=table!$E$10,#REF!&lt;=table!$F$10),1,0))</f>
        <v>#REF!</v>
      </c>
      <c r="V3305" s="5" t="e">
        <f>IF(AND(#REF!&gt;=table!$C$11,#REF!&lt;= table!$D$11),-1,IF(AND(#REF!&gt;=table!$E$11,#REF!&lt;=table!$F$11),1,0))</f>
        <v>#REF!</v>
      </c>
      <c r="W3305" s="5" t="e">
        <f>CONCATENATE(dados[[#This Row],[fator1]],dados[[#This Row],[fator5]],dados[[#This Row],[fator6]])</f>
        <v>#REF!</v>
      </c>
    </row>
    <row r="3306" spans="1:23">
      <c r="A3306" t="s">
        <v>16</v>
      </c>
      <c r="B3306">
        <v>586729</v>
      </c>
      <c r="C3306">
        <v>0.15</v>
      </c>
      <c r="D3306">
        <v>35</v>
      </c>
      <c r="E3306">
        <v>15</v>
      </c>
      <c r="F3306">
        <v>10</v>
      </c>
      <c r="G3306">
        <v>0</v>
      </c>
      <c r="H3306">
        <v>12</v>
      </c>
      <c r="I3306">
        <v>1</v>
      </c>
      <c r="J3306">
        <v>0</v>
      </c>
      <c r="K3306">
        <v>4.2549999999999999</v>
      </c>
      <c r="L3306">
        <v>9.6650000000000009</v>
      </c>
      <c r="M3306">
        <v>7.3</v>
      </c>
      <c r="N3306">
        <v>13.450000000000001</v>
      </c>
      <c r="O3306">
        <v>1691</v>
      </c>
      <c r="P3306">
        <v>0</v>
      </c>
      <c r="Q3306" s="5" t="e">
        <f>IF(AND(#REF!&gt;=table!$C$6,#REF!&lt;= table!$D$6),-1,IF(AND(#REF!&gt;=table!$E$6,#REF!&lt;=table!$F$6),1,0))</f>
        <v>#REF!</v>
      </c>
      <c r="R3306" s="5" t="e">
        <f>IF(AND(#REF!&gt;=table!$C$7,#REF!&lt;= table!$D$7),-1,IF(AND(#REF!&gt;=table!$E$7,#REF!&lt;=table!$F$7),1,0))</f>
        <v>#REF!</v>
      </c>
      <c r="S3306" s="5" t="e">
        <f>IF(AND(#REF!&gt;=table!$C$8,#REF!&lt;= table!$D$8),-1,IF(AND(#REF!&gt;=table!$E$8,#REF!&lt;=table!$F$8),1,0))</f>
        <v>#REF!</v>
      </c>
      <c r="T3306" s="5"/>
      <c r="U3306" s="5" t="e">
        <f>IF(AND(#REF!&gt;=table!$C$10,#REF!&lt;= table!$D$10),-1,IF(AND(#REF!&gt;=table!$E$10,#REF!&lt;=table!$F$10),1,0))</f>
        <v>#REF!</v>
      </c>
      <c r="V3306" s="5" t="e">
        <f>IF(AND(#REF!&gt;=table!$C$11,#REF!&lt;= table!$D$11),-1,IF(AND(#REF!&gt;=table!$E$11,#REF!&lt;=table!$F$11),1,0))</f>
        <v>#REF!</v>
      </c>
      <c r="W3306" s="5" t="e">
        <f>CONCATENATE(dados[[#This Row],[fator1]],dados[[#This Row],[fator5]],dados[[#This Row],[fator6]])</f>
        <v>#REF!</v>
      </c>
    </row>
    <row r="3307" spans="1:23">
      <c r="A3307" t="s">
        <v>16</v>
      </c>
      <c r="B3307">
        <v>586730</v>
      </c>
      <c r="C3307">
        <v>0.15</v>
      </c>
      <c r="D3307">
        <v>35</v>
      </c>
      <c r="E3307">
        <v>15</v>
      </c>
      <c r="F3307">
        <v>10</v>
      </c>
      <c r="G3307">
        <v>0</v>
      </c>
      <c r="H3307">
        <v>12</v>
      </c>
      <c r="I3307">
        <v>1386</v>
      </c>
      <c r="J3307">
        <v>0</v>
      </c>
      <c r="K3307">
        <v>3.0300000000000002</v>
      </c>
      <c r="L3307">
        <v>8.5</v>
      </c>
      <c r="M3307">
        <v>6.88</v>
      </c>
      <c r="N3307">
        <v>12.24</v>
      </c>
      <c r="O3307">
        <v>1650</v>
      </c>
      <c r="P3307">
        <v>866</v>
      </c>
      <c r="Q3307" s="5" t="e">
        <f>IF(AND(#REF!&gt;=table!$C$6,#REF!&lt;= table!$D$6),-1,IF(AND(#REF!&gt;=table!$E$6,#REF!&lt;=table!$F$6),1,0))</f>
        <v>#REF!</v>
      </c>
      <c r="R3307" s="5" t="e">
        <f>IF(AND(#REF!&gt;=table!$C$7,#REF!&lt;= table!$D$7),-1,IF(AND(#REF!&gt;=table!$E$7,#REF!&lt;=table!$F$7),1,0))</f>
        <v>#REF!</v>
      </c>
      <c r="S3307" s="5" t="e">
        <f>IF(AND(#REF!&gt;=table!$C$8,#REF!&lt;= table!$D$8),-1,IF(AND(#REF!&gt;=table!$E$8,#REF!&lt;=table!$F$8),1,0))</f>
        <v>#REF!</v>
      </c>
      <c r="T3307" s="5"/>
      <c r="U3307" s="5" t="e">
        <f>IF(AND(#REF!&gt;=table!$C$10,#REF!&lt;= table!$D$10),-1,IF(AND(#REF!&gt;=table!$E$10,#REF!&lt;=table!$F$10),1,0))</f>
        <v>#REF!</v>
      </c>
      <c r="V3307" s="5" t="e">
        <f>IF(AND(#REF!&gt;=table!$C$11,#REF!&lt;= table!$D$11),-1,IF(AND(#REF!&gt;=table!$E$11,#REF!&lt;=table!$F$11),1,0))</f>
        <v>#REF!</v>
      </c>
      <c r="W3307" s="5" t="e">
        <f>CONCATENATE(dados[[#This Row],[fator1]],dados[[#This Row],[fator5]],dados[[#This Row],[fator6]])</f>
        <v>#REF!</v>
      </c>
    </row>
    <row r="3308" spans="1:23">
      <c r="A3308" t="s">
        <v>18</v>
      </c>
      <c r="B3308">
        <v>586734</v>
      </c>
      <c r="C3308">
        <v>3</v>
      </c>
      <c r="D3308">
        <v>5</v>
      </c>
      <c r="E3308">
        <v>26</v>
      </c>
      <c r="F3308">
        <v>15</v>
      </c>
      <c r="G3308">
        <v>42</v>
      </c>
      <c r="H3308">
        <v>30</v>
      </c>
      <c r="I3308">
        <v>1264</v>
      </c>
      <c r="J3308">
        <v>0</v>
      </c>
      <c r="K3308">
        <v>2.56</v>
      </c>
      <c r="L3308">
        <v>6</v>
      </c>
      <c r="M3308">
        <v>16.5</v>
      </c>
      <c r="N3308">
        <v>15.4</v>
      </c>
      <c r="O3308">
        <v>1667</v>
      </c>
      <c r="P3308">
        <v>1006</v>
      </c>
      <c r="Q3308" s="5" t="e">
        <f>IF(AND(#REF!&gt;=table!$C$6,#REF!&lt;= table!$D$6),-1,IF(AND(#REF!&gt;=table!$E$6,#REF!&lt;=table!$F$6),1,0))</f>
        <v>#REF!</v>
      </c>
      <c r="R3308" s="5" t="e">
        <f>IF(AND(#REF!&gt;=table!$C$7,#REF!&lt;= table!$D$7),-1,IF(AND(#REF!&gt;=table!$E$7,#REF!&lt;=table!$F$7),1,0))</f>
        <v>#REF!</v>
      </c>
      <c r="S3308" s="5" t="e">
        <f>IF(AND(#REF!&gt;=table!$C$8,#REF!&lt;= table!$D$8),-1,IF(AND(#REF!&gt;=table!$E$8,#REF!&lt;=table!$F$8),1,0))</f>
        <v>#REF!</v>
      </c>
      <c r="T3308" s="5"/>
      <c r="U3308" s="5" t="e">
        <f>IF(AND(#REF!&gt;=table!$C$10,#REF!&lt;= table!$D$10),-1,IF(AND(#REF!&gt;=table!$E$10,#REF!&lt;=table!$F$10),1,0))</f>
        <v>#REF!</v>
      </c>
      <c r="V3308" s="5" t="e">
        <f>IF(AND(#REF!&gt;=table!$C$11,#REF!&lt;= table!$D$11),-1,IF(AND(#REF!&gt;=table!$E$11,#REF!&lt;=table!$F$11),1,0))</f>
        <v>#REF!</v>
      </c>
      <c r="W3308" s="5" t="e">
        <f>CONCATENATE(dados[[#This Row],[fator1]],dados[[#This Row],[fator5]],dados[[#This Row],[fator6]])</f>
        <v>#REF!</v>
      </c>
    </row>
    <row r="3309" spans="1:23">
      <c r="A3309" t="s">
        <v>16</v>
      </c>
      <c r="B3309">
        <v>586737</v>
      </c>
      <c r="C3309">
        <v>0.15</v>
      </c>
      <c r="D3309">
        <v>40</v>
      </c>
      <c r="E3309">
        <v>10</v>
      </c>
      <c r="F3309">
        <v>15</v>
      </c>
      <c r="G3309">
        <v>0</v>
      </c>
      <c r="H3309">
        <v>15</v>
      </c>
      <c r="I3309">
        <v>1572</v>
      </c>
      <c r="J3309">
        <v>730</v>
      </c>
      <c r="K3309">
        <v>2.3850000000000002</v>
      </c>
      <c r="L3309">
        <v>9.5</v>
      </c>
      <c r="M3309">
        <v>5.6000000000000005</v>
      </c>
      <c r="N3309">
        <v>12.55</v>
      </c>
      <c r="O3309">
        <v>1699</v>
      </c>
      <c r="P3309">
        <v>0</v>
      </c>
      <c r="Q3309" s="5" t="e">
        <f>IF(AND(#REF!&gt;=table!$C$6,#REF!&lt;= table!$D$6),-1,IF(AND(#REF!&gt;=table!$E$6,#REF!&lt;=table!$F$6),1,0))</f>
        <v>#REF!</v>
      </c>
      <c r="R3309" s="5" t="e">
        <f>IF(AND(#REF!&gt;=table!$C$7,#REF!&lt;= table!$D$7),-1,IF(AND(#REF!&gt;=table!$E$7,#REF!&lt;=table!$F$7),1,0))</f>
        <v>#REF!</v>
      </c>
      <c r="S3309" s="5" t="e">
        <f>IF(AND(#REF!&gt;=table!$C$8,#REF!&lt;= table!$D$8),-1,IF(AND(#REF!&gt;=table!$E$8,#REF!&lt;=table!$F$8),1,0))</f>
        <v>#REF!</v>
      </c>
      <c r="T3309" s="5"/>
      <c r="U3309" s="5" t="e">
        <f>IF(AND(#REF!&gt;=table!$C$10,#REF!&lt;= table!$D$10),-1,IF(AND(#REF!&gt;=table!$E$10,#REF!&lt;=table!$F$10),1,0))</f>
        <v>#REF!</v>
      </c>
      <c r="V3309" s="5" t="e">
        <f>IF(AND(#REF!&gt;=table!$C$11,#REF!&lt;= table!$D$11),-1,IF(AND(#REF!&gt;=table!$E$11,#REF!&lt;=table!$F$11),1,0))</f>
        <v>#REF!</v>
      </c>
      <c r="W3309" s="5" t="e">
        <f>CONCATENATE(dados[[#This Row],[fator1]],dados[[#This Row],[fator5]],dados[[#This Row],[fator6]])</f>
        <v>#REF!</v>
      </c>
    </row>
    <row r="3310" spans="1:23">
      <c r="A3310" t="s">
        <v>16</v>
      </c>
      <c r="B3310">
        <v>586740</v>
      </c>
      <c r="C3310">
        <v>0.15</v>
      </c>
      <c r="D3310">
        <v>40</v>
      </c>
      <c r="E3310">
        <v>10</v>
      </c>
      <c r="F3310">
        <v>15</v>
      </c>
      <c r="G3310">
        <v>0</v>
      </c>
      <c r="H3310">
        <v>15</v>
      </c>
      <c r="I3310">
        <v>575</v>
      </c>
      <c r="J3310">
        <v>0</v>
      </c>
      <c r="K3310">
        <v>2.2390000000000003</v>
      </c>
      <c r="L3310">
        <v>5.16</v>
      </c>
      <c r="M3310">
        <v>4.25</v>
      </c>
      <c r="N3310">
        <v>6.2</v>
      </c>
      <c r="O3310">
        <v>1672</v>
      </c>
      <c r="P3310">
        <v>1144</v>
      </c>
      <c r="Q3310" s="5" t="e">
        <f>IF(AND(#REF!&gt;=table!$C$6,#REF!&lt;= table!$D$6),-1,IF(AND(#REF!&gt;=table!$E$6,#REF!&lt;=table!$F$6),1,0))</f>
        <v>#REF!</v>
      </c>
      <c r="R3310" s="5" t="e">
        <f>IF(AND(#REF!&gt;=table!$C$7,#REF!&lt;= table!$D$7),-1,IF(AND(#REF!&gt;=table!$E$7,#REF!&lt;=table!$F$7),1,0))</f>
        <v>#REF!</v>
      </c>
      <c r="S3310" s="5" t="e">
        <f>IF(AND(#REF!&gt;=table!$C$8,#REF!&lt;= table!$D$8),-1,IF(AND(#REF!&gt;=table!$E$8,#REF!&lt;=table!$F$8),1,0))</f>
        <v>#REF!</v>
      </c>
      <c r="T3310" s="5"/>
      <c r="U3310" s="5" t="e">
        <f>IF(AND(#REF!&gt;=table!$C$10,#REF!&lt;= table!$D$10),-1,IF(AND(#REF!&gt;=table!$E$10,#REF!&lt;=table!$F$10),1,0))</f>
        <v>#REF!</v>
      </c>
      <c r="V3310" s="5" t="e">
        <f>IF(AND(#REF!&gt;=table!$C$11,#REF!&lt;= table!$D$11),-1,IF(AND(#REF!&gt;=table!$E$11,#REF!&lt;=table!$F$11),1,0))</f>
        <v>#REF!</v>
      </c>
      <c r="W3310" s="5" t="e">
        <f>CONCATENATE(dados[[#This Row],[fator1]],dados[[#This Row],[fator5]],dados[[#This Row],[fator6]])</f>
        <v>#REF!</v>
      </c>
    </row>
    <row r="3311" spans="1:23">
      <c r="A3311" t="s">
        <v>17</v>
      </c>
      <c r="B3311">
        <v>586754</v>
      </c>
      <c r="C3311">
        <v>18</v>
      </c>
      <c r="D3311">
        <v>23</v>
      </c>
      <c r="E3311">
        <v>145</v>
      </c>
      <c r="F3311">
        <v>9</v>
      </c>
      <c r="G3311">
        <v>30</v>
      </c>
      <c r="H3311">
        <v>25</v>
      </c>
      <c r="I3311">
        <v>14</v>
      </c>
      <c r="J3311">
        <v>790</v>
      </c>
      <c r="K3311">
        <v>1.94</v>
      </c>
      <c r="L3311">
        <v>4.45</v>
      </c>
      <c r="M3311">
        <v>125.2</v>
      </c>
      <c r="N3311">
        <v>26.900000000000002</v>
      </c>
      <c r="O3311">
        <v>1678</v>
      </c>
      <c r="P3311">
        <v>0</v>
      </c>
      <c r="Q3311" s="5" t="e">
        <f>IF(AND(#REF!&gt;=table!$C$6,#REF!&lt;= table!$D$6),-1,IF(AND(#REF!&gt;=table!$E$6,#REF!&lt;=table!$F$6),1,0))</f>
        <v>#REF!</v>
      </c>
      <c r="R3311" s="5" t="e">
        <f>IF(AND(#REF!&gt;=table!$C$7,#REF!&lt;= table!$D$7),-1,IF(AND(#REF!&gt;=table!$E$7,#REF!&lt;=table!$F$7),1,0))</f>
        <v>#REF!</v>
      </c>
      <c r="S3311" s="5" t="e">
        <f>IF(AND(#REF!&gt;=table!$C$8,#REF!&lt;= table!$D$8),-1,IF(AND(#REF!&gt;=table!$E$8,#REF!&lt;=table!$F$8),1,0))</f>
        <v>#REF!</v>
      </c>
      <c r="T3311" s="5"/>
      <c r="U3311" s="5" t="e">
        <f>IF(AND(#REF!&gt;=table!$C$10,#REF!&lt;= table!$D$10),-1,IF(AND(#REF!&gt;=table!$E$10,#REF!&lt;=table!$F$10),1,0))</f>
        <v>#REF!</v>
      </c>
      <c r="V3311" s="5" t="e">
        <f>IF(AND(#REF!&gt;=table!$C$11,#REF!&lt;= table!$D$11),-1,IF(AND(#REF!&gt;=table!$E$11,#REF!&lt;=table!$F$11),1,0))</f>
        <v>#REF!</v>
      </c>
      <c r="W3311" s="5" t="e">
        <f>CONCATENATE(dados[[#This Row],[fator1]],dados[[#This Row],[fator5]],dados[[#This Row],[fator6]])</f>
        <v>#REF!</v>
      </c>
    </row>
    <row r="3312" spans="1:23">
      <c r="A3312" t="s">
        <v>16</v>
      </c>
      <c r="B3312">
        <v>586757</v>
      </c>
      <c r="C3312">
        <v>0.1</v>
      </c>
      <c r="D3312">
        <v>40</v>
      </c>
      <c r="E3312">
        <v>10</v>
      </c>
      <c r="F3312">
        <v>8</v>
      </c>
      <c r="G3312">
        <v>0</v>
      </c>
      <c r="H3312">
        <v>10</v>
      </c>
      <c r="I3312">
        <v>1285</v>
      </c>
      <c r="J3312">
        <v>640</v>
      </c>
      <c r="K3312">
        <v>1.75</v>
      </c>
      <c r="L3312">
        <v>5.75</v>
      </c>
      <c r="M3312">
        <v>3.65</v>
      </c>
      <c r="N3312">
        <v>9.9</v>
      </c>
      <c r="O3312">
        <v>1667</v>
      </c>
      <c r="P3312">
        <v>0</v>
      </c>
      <c r="Q3312" s="5" t="e">
        <f>IF(AND(#REF!&gt;=table!$C$6,#REF!&lt;= table!$D$6),-1,IF(AND(#REF!&gt;=table!$E$6,#REF!&lt;=table!$F$6),1,0))</f>
        <v>#REF!</v>
      </c>
      <c r="R3312" s="5" t="e">
        <f>IF(AND(#REF!&gt;=table!$C$7,#REF!&lt;= table!$D$7),-1,IF(AND(#REF!&gt;=table!$E$7,#REF!&lt;=table!$F$7),1,0))</f>
        <v>#REF!</v>
      </c>
      <c r="S3312" s="5" t="e">
        <f>IF(AND(#REF!&gt;=table!$C$8,#REF!&lt;= table!$D$8),-1,IF(AND(#REF!&gt;=table!$E$8,#REF!&lt;=table!$F$8),1,0))</f>
        <v>#REF!</v>
      </c>
      <c r="T3312" s="5"/>
      <c r="U3312" s="5" t="e">
        <f>IF(AND(#REF!&gt;=table!$C$10,#REF!&lt;= table!$D$10),-1,IF(AND(#REF!&gt;=table!$E$10,#REF!&lt;=table!$F$10),1,0))</f>
        <v>#REF!</v>
      </c>
      <c r="V3312" s="5" t="e">
        <f>IF(AND(#REF!&gt;=table!$C$11,#REF!&lt;= table!$D$11),-1,IF(AND(#REF!&gt;=table!$E$11,#REF!&lt;=table!$F$11),1,0))</f>
        <v>#REF!</v>
      </c>
      <c r="W3312" s="5" t="e">
        <f>CONCATENATE(dados[[#This Row],[fator1]],dados[[#This Row],[fator5]],dados[[#This Row],[fator6]])</f>
        <v>#REF!</v>
      </c>
    </row>
    <row r="3313" spans="1:23">
      <c r="A3313" t="s">
        <v>16</v>
      </c>
      <c r="B3313">
        <v>586762</v>
      </c>
      <c r="C3313">
        <v>0.15</v>
      </c>
      <c r="D3313">
        <v>40</v>
      </c>
      <c r="E3313">
        <v>10</v>
      </c>
      <c r="F3313">
        <v>15</v>
      </c>
      <c r="G3313">
        <v>0</v>
      </c>
      <c r="H3313">
        <v>15</v>
      </c>
      <c r="I3313">
        <v>831</v>
      </c>
      <c r="J3313">
        <v>1880</v>
      </c>
      <c r="K3313">
        <v>6.7549999999999999</v>
      </c>
      <c r="L3313">
        <v>6.38</v>
      </c>
      <c r="M3313">
        <v>3.8000000000000003</v>
      </c>
      <c r="N3313">
        <v>9.9500000000000011</v>
      </c>
      <c r="O3313">
        <v>1638</v>
      </c>
      <c r="P3313">
        <v>0</v>
      </c>
      <c r="Q3313" s="5" t="e">
        <f>IF(AND(#REF!&gt;=table!$C$6,#REF!&lt;= table!$D$6),-1,IF(AND(#REF!&gt;=table!$E$6,#REF!&lt;=table!$F$6),1,0))</f>
        <v>#REF!</v>
      </c>
      <c r="R3313" s="5" t="e">
        <f>IF(AND(#REF!&gt;=table!$C$7,#REF!&lt;= table!$D$7),-1,IF(AND(#REF!&gt;=table!$E$7,#REF!&lt;=table!$F$7),1,0))</f>
        <v>#REF!</v>
      </c>
      <c r="S3313" s="5" t="e">
        <f>IF(AND(#REF!&gt;=table!$C$8,#REF!&lt;= table!$D$8),-1,IF(AND(#REF!&gt;=table!$E$8,#REF!&lt;=table!$F$8),1,0))</f>
        <v>#REF!</v>
      </c>
      <c r="T3313" s="5"/>
      <c r="U3313" s="5" t="e">
        <f>IF(AND(#REF!&gt;=table!$C$10,#REF!&lt;= table!$D$10),-1,IF(AND(#REF!&gt;=table!$E$10,#REF!&lt;=table!$F$10),1,0))</f>
        <v>#REF!</v>
      </c>
      <c r="V3313" s="5" t="e">
        <f>IF(AND(#REF!&gt;=table!$C$11,#REF!&lt;= table!$D$11),-1,IF(AND(#REF!&gt;=table!$E$11,#REF!&lt;=table!$F$11),1,0))</f>
        <v>#REF!</v>
      </c>
      <c r="W3313" s="5" t="e">
        <f>CONCATENATE(dados[[#This Row],[fator1]],dados[[#This Row],[fator5]],dados[[#This Row],[fator6]])</f>
        <v>#REF!</v>
      </c>
    </row>
    <row r="3314" spans="1:23">
      <c r="A3314" t="s">
        <v>16</v>
      </c>
      <c r="B3314">
        <v>586767</v>
      </c>
      <c r="C3314">
        <v>3</v>
      </c>
      <c r="D3314">
        <v>30</v>
      </c>
      <c r="E3314">
        <v>21</v>
      </c>
      <c r="F3314">
        <v>15</v>
      </c>
      <c r="G3314">
        <v>0</v>
      </c>
      <c r="H3314">
        <v>25</v>
      </c>
      <c r="I3314">
        <v>616</v>
      </c>
      <c r="J3314">
        <v>1200</v>
      </c>
      <c r="K3314">
        <v>5.9450000000000003</v>
      </c>
      <c r="L3314">
        <v>8.4</v>
      </c>
      <c r="M3314">
        <v>6.9</v>
      </c>
      <c r="N3314">
        <v>8.3000000000000007</v>
      </c>
      <c r="O3314">
        <v>1633</v>
      </c>
      <c r="P3314">
        <v>0</v>
      </c>
      <c r="Q3314" s="5" t="e">
        <f>IF(AND(#REF!&gt;=table!$C$6,#REF!&lt;= table!$D$6),-1,IF(AND(#REF!&gt;=table!$E$6,#REF!&lt;=table!$F$6),1,0))</f>
        <v>#REF!</v>
      </c>
      <c r="R3314" s="5" t="e">
        <f>IF(AND(#REF!&gt;=table!$C$7,#REF!&lt;= table!$D$7),-1,IF(AND(#REF!&gt;=table!$E$7,#REF!&lt;=table!$F$7),1,0))</f>
        <v>#REF!</v>
      </c>
      <c r="S3314" s="5" t="e">
        <f>IF(AND(#REF!&gt;=table!$C$8,#REF!&lt;= table!$D$8),-1,IF(AND(#REF!&gt;=table!$E$8,#REF!&lt;=table!$F$8),1,0))</f>
        <v>#REF!</v>
      </c>
      <c r="T3314" s="5"/>
      <c r="U3314" s="5" t="e">
        <f>IF(AND(#REF!&gt;=table!$C$10,#REF!&lt;= table!$D$10),-1,IF(AND(#REF!&gt;=table!$E$10,#REF!&lt;=table!$F$10),1,0))</f>
        <v>#REF!</v>
      </c>
      <c r="V3314" s="5" t="e">
        <f>IF(AND(#REF!&gt;=table!$C$11,#REF!&lt;= table!$D$11),-1,IF(AND(#REF!&gt;=table!$E$11,#REF!&lt;=table!$F$11),1,0))</f>
        <v>#REF!</v>
      </c>
      <c r="W3314" s="5" t="e">
        <f>CONCATENATE(dados[[#This Row],[fator1]],dados[[#This Row],[fator5]],dados[[#This Row],[fator6]])</f>
        <v>#REF!</v>
      </c>
    </row>
    <row r="3315" spans="1:23">
      <c r="A3315" t="s">
        <v>17</v>
      </c>
      <c r="B3315">
        <v>586768</v>
      </c>
      <c r="C3315">
        <v>16</v>
      </c>
      <c r="D3315">
        <v>35</v>
      </c>
      <c r="E3315">
        <v>120</v>
      </c>
      <c r="F3315">
        <v>4</v>
      </c>
      <c r="G3315">
        <v>30</v>
      </c>
      <c r="H3315">
        <v>20</v>
      </c>
      <c r="I3315">
        <v>1293</v>
      </c>
      <c r="J3315">
        <v>0</v>
      </c>
      <c r="K3315">
        <v>5.93</v>
      </c>
      <c r="L3315">
        <v>8.9</v>
      </c>
      <c r="M3315">
        <v>101.33500000000001</v>
      </c>
      <c r="N3315">
        <v>12.645000000000001</v>
      </c>
      <c r="O3315">
        <v>1688</v>
      </c>
      <c r="P3315">
        <v>621</v>
      </c>
      <c r="Q3315" s="5" t="e">
        <f>IF(AND(#REF!&gt;=table!$C$6,#REF!&lt;= table!$D$6),-1,IF(AND(#REF!&gt;=table!$E$6,#REF!&lt;=table!$F$6),1,0))</f>
        <v>#REF!</v>
      </c>
      <c r="R3315" s="5" t="e">
        <f>IF(AND(#REF!&gt;=table!$C$7,#REF!&lt;= table!$D$7),-1,IF(AND(#REF!&gt;=table!$E$7,#REF!&lt;=table!$F$7),1,0))</f>
        <v>#REF!</v>
      </c>
      <c r="S3315" s="5" t="e">
        <f>IF(AND(#REF!&gt;=table!$C$8,#REF!&lt;= table!$D$8),-1,IF(AND(#REF!&gt;=table!$E$8,#REF!&lt;=table!$F$8),1,0))</f>
        <v>#REF!</v>
      </c>
      <c r="T3315" s="5"/>
      <c r="U3315" s="5" t="e">
        <f>IF(AND(#REF!&gt;=table!$C$10,#REF!&lt;= table!$D$10),-1,IF(AND(#REF!&gt;=table!$E$10,#REF!&lt;=table!$F$10),1,0))</f>
        <v>#REF!</v>
      </c>
      <c r="V3315" s="5" t="e">
        <f>IF(AND(#REF!&gt;=table!$C$11,#REF!&lt;= table!$D$11),-1,IF(AND(#REF!&gt;=table!$E$11,#REF!&lt;=table!$F$11),1,0))</f>
        <v>#REF!</v>
      </c>
      <c r="W3315" s="5" t="e">
        <f>CONCATENATE(dados[[#This Row],[fator1]],dados[[#This Row],[fator5]],dados[[#This Row],[fator6]])</f>
        <v>#REF!</v>
      </c>
    </row>
    <row r="3316" spans="1:23">
      <c r="A3316" t="s">
        <v>17</v>
      </c>
      <c r="B3316">
        <v>586769</v>
      </c>
      <c r="C3316">
        <v>16</v>
      </c>
      <c r="D3316">
        <v>30</v>
      </c>
      <c r="E3316">
        <v>106</v>
      </c>
      <c r="F3316">
        <v>9</v>
      </c>
      <c r="G3316">
        <v>20</v>
      </c>
      <c r="H3316">
        <v>25</v>
      </c>
      <c r="I3316">
        <v>764</v>
      </c>
      <c r="J3316">
        <v>0</v>
      </c>
      <c r="K3316">
        <v>5.2450000000000001</v>
      </c>
      <c r="L3316">
        <v>11.6</v>
      </c>
      <c r="M3316">
        <v>83.25</v>
      </c>
      <c r="N3316">
        <v>16.75</v>
      </c>
      <c r="O3316">
        <v>1703</v>
      </c>
      <c r="P3316">
        <v>563</v>
      </c>
      <c r="Q3316" s="5" t="e">
        <f>IF(AND(#REF!&gt;=table!$C$6,#REF!&lt;= table!$D$6),-1,IF(AND(#REF!&gt;=table!$E$6,#REF!&lt;=table!$F$6),1,0))</f>
        <v>#REF!</v>
      </c>
      <c r="R3316" s="5" t="e">
        <f>IF(AND(#REF!&gt;=table!$C$7,#REF!&lt;= table!$D$7),-1,IF(AND(#REF!&gt;=table!$E$7,#REF!&lt;=table!$F$7),1,0))</f>
        <v>#REF!</v>
      </c>
      <c r="S3316" s="5" t="e">
        <f>IF(AND(#REF!&gt;=table!$C$8,#REF!&lt;= table!$D$8),-1,IF(AND(#REF!&gt;=table!$E$8,#REF!&lt;=table!$F$8),1,0))</f>
        <v>#REF!</v>
      </c>
      <c r="T3316" s="5"/>
      <c r="U3316" s="5" t="e">
        <f>IF(AND(#REF!&gt;=table!$C$10,#REF!&lt;= table!$D$10),-1,IF(AND(#REF!&gt;=table!$E$10,#REF!&lt;=table!$F$10),1,0))</f>
        <v>#REF!</v>
      </c>
      <c r="V3316" s="5" t="e">
        <f>IF(AND(#REF!&gt;=table!$C$11,#REF!&lt;= table!$D$11),-1,IF(AND(#REF!&gt;=table!$E$11,#REF!&lt;=table!$F$11),1,0))</f>
        <v>#REF!</v>
      </c>
      <c r="W3316" s="5" t="e">
        <f>CONCATENATE(dados[[#This Row],[fator1]],dados[[#This Row],[fator5]],dados[[#This Row],[fator6]])</f>
        <v>#REF!</v>
      </c>
    </row>
    <row r="3317" spans="1:23">
      <c r="A3317" t="s">
        <v>17</v>
      </c>
      <c r="B3317">
        <v>586772</v>
      </c>
      <c r="C3317">
        <v>16</v>
      </c>
      <c r="D3317">
        <v>30</v>
      </c>
      <c r="E3317">
        <v>126</v>
      </c>
      <c r="F3317">
        <v>6</v>
      </c>
      <c r="G3317">
        <v>20</v>
      </c>
      <c r="H3317">
        <v>25</v>
      </c>
      <c r="I3317">
        <v>25</v>
      </c>
      <c r="J3317">
        <v>0</v>
      </c>
      <c r="K3317">
        <v>7.21</v>
      </c>
      <c r="L3317">
        <v>17.100000000000001</v>
      </c>
      <c r="M3317">
        <v>92.05</v>
      </c>
      <c r="N3317">
        <v>19.100000000000001</v>
      </c>
      <c r="O3317">
        <v>1693</v>
      </c>
      <c r="P3317">
        <v>0</v>
      </c>
      <c r="Q3317" s="5" t="e">
        <f>IF(AND(#REF!&gt;=table!$C$6,#REF!&lt;= table!$D$6),-1,IF(AND(#REF!&gt;=table!$E$6,#REF!&lt;=table!$F$6),1,0))</f>
        <v>#REF!</v>
      </c>
      <c r="R3317" s="5" t="e">
        <f>IF(AND(#REF!&gt;=table!$C$7,#REF!&lt;= table!$D$7),-1,IF(AND(#REF!&gt;=table!$E$7,#REF!&lt;=table!$F$7),1,0))</f>
        <v>#REF!</v>
      </c>
      <c r="S3317" s="5" t="e">
        <f>IF(AND(#REF!&gt;=table!$C$8,#REF!&lt;= table!$D$8),-1,IF(AND(#REF!&gt;=table!$E$8,#REF!&lt;=table!$F$8),1,0))</f>
        <v>#REF!</v>
      </c>
      <c r="T3317" s="5"/>
      <c r="U3317" s="5" t="e">
        <f>IF(AND(#REF!&gt;=table!$C$10,#REF!&lt;= table!$D$10),-1,IF(AND(#REF!&gt;=table!$E$10,#REF!&lt;=table!$F$10),1,0))</f>
        <v>#REF!</v>
      </c>
      <c r="V3317" s="5" t="e">
        <f>IF(AND(#REF!&gt;=table!$C$11,#REF!&lt;= table!$D$11),-1,IF(AND(#REF!&gt;=table!$E$11,#REF!&lt;=table!$F$11),1,0))</f>
        <v>#REF!</v>
      </c>
      <c r="W3317" s="5" t="e">
        <f>CONCATENATE(dados[[#This Row],[fator1]],dados[[#This Row],[fator5]],dados[[#This Row],[fator6]])</f>
        <v>#REF!</v>
      </c>
    </row>
    <row r="3318" spans="1:23">
      <c r="A3318" t="s">
        <v>17</v>
      </c>
      <c r="B3318">
        <v>586773</v>
      </c>
      <c r="C3318">
        <v>14</v>
      </c>
      <c r="D3318">
        <v>25</v>
      </c>
      <c r="E3318">
        <v>130</v>
      </c>
      <c r="F3318">
        <v>9</v>
      </c>
      <c r="G3318">
        <v>110</v>
      </c>
      <c r="H3318">
        <v>50</v>
      </c>
      <c r="I3318">
        <v>13</v>
      </c>
      <c r="J3318">
        <v>0</v>
      </c>
      <c r="K3318">
        <v>2.27</v>
      </c>
      <c r="L3318">
        <v>8.4</v>
      </c>
      <c r="M3318">
        <v>70.900000000000006</v>
      </c>
      <c r="N3318">
        <v>38.65</v>
      </c>
      <c r="O3318">
        <v>1685</v>
      </c>
      <c r="P3318">
        <v>0</v>
      </c>
      <c r="Q3318" s="5" t="e">
        <f>IF(AND(#REF!&gt;=table!$C$6,#REF!&lt;= table!$D$6),-1,IF(AND(#REF!&gt;=table!$E$6,#REF!&lt;=table!$F$6),1,0))</f>
        <v>#REF!</v>
      </c>
      <c r="R3318" s="5" t="e">
        <f>IF(AND(#REF!&gt;=table!$C$7,#REF!&lt;= table!$D$7),-1,IF(AND(#REF!&gt;=table!$E$7,#REF!&lt;=table!$F$7),1,0))</f>
        <v>#REF!</v>
      </c>
      <c r="S3318" s="5" t="e">
        <f>IF(AND(#REF!&gt;=table!$C$8,#REF!&lt;= table!$D$8),-1,IF(AND(#REF!&gt;=table!$E$8,#REF!&lt;=table!$F$8),1,0))</f>
        <v>#REF!</v>
      </c>
      <c r="T3318" s="5"/>
      <c r="U3318" s="5" t="e">
        <f>IF(AND(#REF!&gt;=table!$C$10,#REF!&lt;= table!$D$10),-1,IF(AND(#REF!&gt;=table!$E$10,#REF!&lt;=table!$F$10),1,0))</f>
        <v>#REF!</v>
      </c>
      <c r="V3318" s="5" t="e">
        <f>IF(AND(#REF!&gt;=table!$C$11,#REF!&lt;= table!$D$11),-1,IF(AND(#REF!&gt;=table!$E$11,#REF!&lt;=table!$F$11),1,0))</f>
        <v>#REF!</v>
      </c>
      <c r="W3318" s="5" t="e">
        <f>CONCATENATE(dados[[#This Row],[fator1]],dados[[#This Row],[fator5]],dados[[#This Row],[fator6]])</f>
        <v>#REF!</v>
      </c>
    </row>
    <row r="3319" spans="1:23">
      <c r="A3319" t="s">
        <v>16</v>
      </c>
      <c r="B3319">
        <v>586775</v>
      </c>
      <c r="C3319">
        <v>0.15</v>
      </c>
      <c r="D3319">
        <v>40</v>
      </c>
      <c r="E3319">
        <v>10</v>
      </c>
      <c r="F3319">
        <v>15</v>
      </c>
      <c r="G3319">
        <v>0</v>
      </c>
      <c r="H3319">
        <v>15</v>
      </c>
      <c r="I3319">
        <v>168</v>
      </c>
      <c r="J3319">
        <v>0</v>
      </c>
      <c r="K3319">
        <v>5.375</v>
      </c>
      <c r="L3319">
        <v>6.7250000000000005</v>
      </c>
      <c r="M3319">
        <v>6.6000000000000005</v>
      </c>
      <c r="N3319">
        <v>7.8500000000000005</v>
      </c>
      <c r="O3319">
        <v>1681</v>
      </c>
      <c r="P3319">
        <v>0</v>
      </c>
      <c r="Q3319" s="5" t="e">
        <f>IF(AND(#REF!&gt;=table!$C$6,#REF!&lt;= table!$D$6),-1,IF(AND(#REF!&gt;=table!$E$6,#REF!&lt;=table!$F$6),1,0))</f>
        <v>#REF!</v>
      </c>
      <c r="R3319" s="5" t="e">
        <f>IF(AND(#REF!&gt;=table!$C$7,#REF!&lt;= table!$D$7),-1,IF(AND(#REF!&gt;=table!$E$7,#REF!&lt;=table!$F$7),1,0))</f>
        <v>#REF!</v>
      </c>
      <c r="S3319" s="5" t="e">
        <f>IF(AND(#REF!&gt;=table!$C$8,#REF!&lt;= table!$D$8),-1,IF(AND(#REF!&gt;=table!$E$8,#REF!&lt;=table!$F$8),1,0))</f>
        <v>#REF!</v>
      </c>
      <c r="T3319" s="5"/>
      <c r="U3319" s="5" t="e">
        <f>IF(AND(#REF!&gt;=table!$C$10,#REF!&lt;= table!$D$10),-1,IF(AND(#REF!&gt;=table!$E$10,#REF!&lt;=table!$F$10),1,0))</f>
        <v>#REF!</v>
      </c>
      <c r="V3319" s="5" t="e">
        <f>IF(AND(#REF!&gt;=table!$C$11,#REF!&lt;= table!$D$11),-1,IF(AND(#REF!&gt;=table!$E$11,#REF!&lt;=table!$F$11),1,0))</f>
        <v>#REF!</v>
      </c>
      <c r="W3319" s="5" t="e">
        <f>CONCATENATE(dados[[#This Row],[fator1]],dados[[#This Row],[fator5]],dados[[#This Row],[fator6]])</f>
        <v>#REF!</v>
      </c>
    </row>
    <row r="3320" spans="1:23">
      <c r="A3320" t="s">
        <v>16</v>
      </c>
      <c r="B3320">
        <v>586780</v>
      </c>
      <c r="C3320">
        <v>0.15</v>
      </c>
      <c r="D3320">
        <v>40</v>
      </c>
      <c r="E3320">
        <v>10</v>
      </c>
      <c r="F3320">
        <v>15</v>
      </c>
      <c r="G3320">
        <v>0</v>
      </c>
      <c r="H3320">
        <v>15</v>
      </c>
      <c r="I3320">
        <v>1578</v>
      </c>
      <c r="J3320">
        <v>0</v>
      </c>
      <c r="K3320">
        <v>2.4900000000000002</v>
      </c>
      <c r="L3320">
        <v>8.5500000000000007</v>
      </c>
      <c r="M3320">
        <v>7.8250000000000002</v>
      </c>
      <c r="N3320">
        <v>10.69</v>
      </c>
      <c r="O3320">
        <v>1674</v>
      </c>
      <c r="P3320">
        <v>1088</v>
      </c>
      <c r="Q3320" s="5" t="e">
        <f>IF(AND(#REF!&gt;=table!$C$6,#REF!&lt;= table!$D$6),-1,IF(AND(#REF!&gt;=table!$E$6,#REF!&lt;=table!$F$6),1,0))</f>
        <v>#REF!</v>
      </c>
      <c r="R3320" s="5" t="e">
        <f>IF(AND(#REF!&gt;=table!$C$7,#REF!&lt;= table!$D$7),-1,IF(AND(#REF!&gt;=table!$E$7,#REF!&lt;=table!$F$7),1,0))</f>
        <v>#REF!</v>
      </c>
      <c r="S3320" s="5" t="e">
        <f>IF(AND(#REF!&gt;=table!$C$8,#REF!&lt;= table!$D$8),-1,IF(AND(#REF!&gt;=table!$E$8,#REF!&lt;=table!$F$8),1,0))</f>
        <v>#REF!</v>
      </c>
      <c r="T3320" s="5"/>
      <c r="U3320" s="5" t="e">
        <f>IF(AND(#REF!&gt;=table!$C$10,#REF!&lt;= table!$D$10),-1,IF(AND(#REF!&gt;=table!$E$10,#REF!&lt;=table!$F$10),1,0))</f>
        <v>#REF!</v>
      </c>
      <c r="V3320" s="5" t="e">
        <f>IF(AND(#REF!&gt;=table!$C$11,#REF!&lt;= table!$D$11),-1,IF(AND(#REF!&gt;=table!$E$11,#REF!&lt;=table!$F$11),1,0))</f>
        <v>#REF!</v>
      </c>
      <c r="W3320" s="5" t="e">
        <f>CONCATENATE(dados[[#This Row],[fator1]],dados[[#This Row],[fator5]],dados[[#This Row],[fator6]])</f>
        <v>#REF!</v>
      </c>
    </row>
    <row r="3321" spans="1:23">
      <c r="A3321" t="s">
        <v>16</v>
      </c>
      <c r="B3321">
        <v>586782</v>
      </c>
      <c r="C3321">
        <v>4</v>
      </c>
      <c r="D3321">
        <v>40</v>
      </c>
      <c r="E3321">
        <v>21</v>
      </c>
      <c r="F3321">
        <v>20</v>
      </c>
      <c r="G3321">
        <v>0</v>
      </c>
      <c r="H3321">
        <v>25</v>
      </c>
      <c r="I3321">
        <v>771</v>
      </c>
      <c r="J3321">
        <v>0</v>
      </c>
      <c r="K3321">
        <v>5.49</v>
      </c>
      <c r="L3321">
        <v>10.85</v>
      </c>
      <c r="M3321">
        <v>10.405000000000001</v>
      </c>
      <c r="N3321">
        <v>7.78</v>
      </c>
      <c r="O3321">
        <v>1661</v>
      </c>
      <c r="P3321">
        <v>0</v>
      </c>
      <c r="Q3321" s="5" t="e">
        <f>IF(AND(#REF!&gt;=table!$C$6,#REF!&lt;= table!$D$6),-1,IF(AND(#REF!&gt;=table!$E$6,#REF!&lt;=table!$F$6),1,0))</f>
        <v>#REF!</v>
      </c>
      <c r="R3321" s="5" t="e">
        <f>IF(AND(#REF!&gt;=table!$C$7,#REF!&lt;= table!$D$7),-1,IF(AND(#REF!&gt;=table!$E$7,#REF!&lt;=table!$F$7),1,0))</f>
        <v>#REF!</v>
      </c>
      <c r="S3321" s="5" t="e">
        <f>IF(AND(#REF!&gt;=table!$C$8,#REF!&lt;= table!$D$8),-1,IF(AND(#REF!&gt;=table!$E$8,#REF!&lt;=table!$F$8),1,0))</f>
        <v>#REF!</v>
      </c>
      <c r="T3321" s="5"/>
      <c r="U3321" s="5" t="e">
        <f>IF(AND(#REF!&gt;=table!$C$10,#REF!&lt;= table!$D$10),-1,IF(AND(#REF!&gt;=table!$E$10,#REF!&lt;=table!$F$10),1,0))</f>
        <v>#REF!</v>
      </c>
      <c r="V3321" s="5" t="e">
        <f>IF(AND(#REF!&gt;=table!$C$11,#REF!&lt;= table!$D$11),-1,IF(AND(#REF!&gt;=table!$E$11,#REF!&lt;=table!$F$11),1,0))</f>
        <v>#REF!</v>
      </c>
      <c r="W3321" s="5" t="e">
        <f>CONCATENATE(dados[[#This Row],[fator1]],dados[[#This Row],[fator5]],dados[[#This Row],[fator6]])</f>
        <v>#REF!</v>
      </c>
    </row>
    <row r="3322" spans="1:23">
      <c r="A3322" t="s">
        <v>16</v>
      </c>
      <c r="B3322">
        <v>586784</v>
      </c>
      <c r="C3322">
        <v>0.15</v>
      </c>
      <c r="D3322">
        <v>40</v>
      </c>
      <c r="E3322">
        <v>10</v>
      </c>
      <c r="F3322">
        <v>15</v>
      </c>
      <c r="G3322">
        <v>0</v>
      </c>
      <c r="H3322">
        <v>15</v>
      </c>
      <c r="I3322">
        <v>1174</v>
      </c>
      <c r="J3322">
        <v>0</v>
      </c>
      <c r="K3322">
        <v>3.0750000000000002</v>
      </c>
      <c r="L3322">
        <v>8.25</v>
      </c>
      <c r="M3322">
        <v>7.4</v>
      </c>
      <c r="N3322">
        <v>11.1</v>
      </c>
      <c r="O3322">
        <v>1679</v>
      </c>
      <c r="P3322">
        <v>831</v>
      </c>
      <c r="Q3322" s="5" t="e">
        <f>IF(AND(#REF!&gt;=table!$C$6,#REF!&lt;= table!$D$6),-1,IF(AND(#REF!&gt;=table!$E$6,#REF!&lt;=table!$F$6),1,0))</f>
        <v>#REF!</v>
      </c>
      <c r="R3322" s="5" t="e">
        <f>IF(AND(#REF!&gt;=table!$C$7,#REF!&lt;= table!$D$7),-1,IF(AND(#REF!&gt;=table!$E$7,#REF!&lt;=table!$F$7),1,0))</f>
        <v>#REF!</v>
      </c>
      <c r="S3322" s="5" t="e">
        <f>IF(AND(#REF!&gt;=table!$C$8,#REF!&lt;= table!$D$8),-1,IF(AND(#REF!&gt;=table!$E$8,#REF!&lt;=table!$F$8),1,0))</f>
        <v>#REF!</v>
      </c>
      <c r="T3322" s="5"/>
      <c r="U3322" s="5" t="e">
        <f>IF(AND(#REF!&gt;=table!$C$10,#REF!&lt;= table!$D$10),-1,IF(AND(#REF!&gt;=table!$E$10,#REF!&lt;=table!$F$10),1,0))</f>
        <v>#REF!</v>
      </c>
      <c r="V3322" s="5" t="e">
        <f>IF(AND(#REF!&gt;=table!$C$11,#REF!&lt;= table!$D$11),-1,IF(AND(#REF!&gt;=table!$E$11,#REF!&lt;=table!$F$11),1,0))</f>
        <v>#REF!</v>
      </c>
      <c r="W3322" s="5" t="e">
        <f>CONCATENATE(dados[[#This Row],[fator1]],dados[[#This Row],[fator5]],dados[[#This Row],[fator6]])</f>
        <v>#REF!</v>
      </c>
    </row>
    <row r="3323" spans="1:23">
      <c r="A3323" t="s">
        <v>16</v>
      </c>
      <c r="B3323">
        <v>586796</v>
      </c>
      <c r="C3323">
        <v>0.2</v>
      </c>
      <c r="D3323">
        <v>65</v>
      </c>
      <c r="E3323">
        <v>26</v>
      </c>
      <c r="F3323">
        <v>15</v>
      </c>
      <c r="G3323">
        <v>0</v>
      </c>
      <c r="H3323">
        <v>30</v>
      </c>
      <c r="I3323">
        <v>997</v>
      </c>
      <c r="J3323">
        <v>0</v>
      </c>
      <c r="K3323">
        <v>2.8450000000000002</v>
      </c>
      <c r="L3323">
        <v>9.2000000000000011</v>
      </c>
      <c r="M3323">
        <v>8.1999999999999993</v>
      </c>
      <c r="N3323">
        <v>20.5</v>
      </c>
      <c r="O3323">
        <v>1670</v>
      </c>
      <c r="P3323">
        <v>0</v>
      </c>
      <c r="Q3323" s="5" t="e">
        <f>IF(AND(#REF!&gt;=table!$C$6,#REF!&lt;= table!$D$6),-1,IF(AND(#REF!&gt;=table!$E$6,#REF!&lt;=table!$F$6),1,0))</f>
        <v>#REF!</v>
      </c>
      <c r="R3323" s="5" t="e">
        <f>IF(AND(#REF!&gt;=table!$C$7,#REF!&lt;= table!$D$7),-1,IF(AND(#REF!&gt;=table!$E$7,#REF!&lt;=table!$F$7),1,0))</f>
        <v>#REF!</v>
      </c>
      <c r="S3323" s="5" t="e">
        <f>IF(AND(#REF!&gt;=table!$C$8,#REF!&lt;= table!$D$8),-1,IF(AND(#REF!&gt;=table!$E$8,#REF!&lt;=table!$F$8),1,0))</f>
        <v>#REF!</v>
      </c>
      <c r="T3323" s="5"/>
      <c r="U3323" s="5" t="e">
        <f>IF(AND(#REF!&gt;=table!$C$10,#REF!&lt;= table!$D$10),-1,IF(AND(#REF!&gt;=table!$E$10,#REF!&lt;=table!$F$10),1,0))</f>
        <v>#REF!</v>
      </c>
      <c r="V3323" s="5" t="e">
        <f>IF(AND(#REF!&gt;=table!$C$11,#REF!&lt;= table!$D$11),-1,IF(AND(#REF!&gt;=table!$E$11,#REF!&lt;=table!$F$11),1,0))</f>
        <v>#REF!</v>
      </c>
      <c r="W3323" s="5" t="e">
        <f>CONCATENATE(dados[[#This Row],[fator1]],dados[[#This Row],[fator5]],dados[[#This Row],[fator6]])</f>
        <v>#REF!</v>
      </c>
    </row>
    <row r="3324" spans="1:23">
      <c r="A3324" t="s">
        <v>16</v>
      </c>
      <c r="B3324">
        <v>586798</v>
      </c>
      <c r="C3324">
        <v>0.23</v>
      </c>
      <c r="D3324">
        <v>65</v>
      </c>
      <c r="E3324">
        <v>26</v>
      </c>
      <c r="F3324">
        <v>15</v>
      </c>
      <c r="G3324">
        <v>0</v>
      </c>
      <c r="H3324">
        <v>35</v>
      </c>
      <c r="I3324">
        <v>527</v>
      </c>
      <c r="J3324">
        <v>0</v>
      </c>
      <c r="K3324">
        <v>2.835</v>
      </c>
      <c r="L3324">
        <v>7.7</v>
      </c>
      <c r="M3324">
        <v>7.45</v>
      </c>
      <c r="N3324">
        <v>12.75</v>
      </c>
      <c r="O3324">
        <v>1687</v>
      </c>
      <c r="P3324">
        <v>1147</v>
      </c>
      <c r="Q3324" s="5" t="e">
        <f>IF(AND(#REF!&gt;=table!$C$6,#REF!&lt;= table!$D$6),-1,IF(AND(#REF!&gt;=table!$E$6,#REF!&lt;=table!$F$6),1,0))</f>
        <v>#REF!</v>
      </c>
      <c r="R3324" s="5" t="e">
        <f>IF(AND(#REF!&gt;=table!$C$7,#REF!&lt;= table!$D$7),-1,IF(AND(#REF!&gt;=table!$E$7,#REF!&lt;=table!$F$7),1,0))</f>
        <v>#REF!</v>
      </c>
      <c r="S3324" s="5" t="e">
        <f>IF(AND(#REF!&gt;=table!$C$8,#REF!&lt;= table!$D$8),-1,IF(AND(#REF!&gt;=table!$E$8,#REF!&lt;=table!$F$8),1,0))</f>
        <v>#REF!</v>
      </c>
      <c r="T3324" s="5"/>
      <c r="U3324" s="5" t="e">
        <f>IF(AND(#REF!&gt;=table!$C$10,#REF!&lt;= table!$D$10),-1,IF(AND(#REF!&gt;=table!$E$10,#REF!&lt;=table!$F$10),1,0))</f>
        <v>#REF!</v>
      </c>
      <c r="V3324" s="5" t="e">
        <f>IF(AND(#REF!&gt;=table!$C$11,#REF!&lt;= table!$D$11),-1,IF(AND(#REF!&gt;=table!$E$11,#REF!&lt;=table!$F$11),1,0))</f>
        <v>#REF!</v>
      </c>
      <c r="W3324" s="5" t="e">
        <f>CONCATENATE(dados[[#This Row],[fator1]],dados[[#This Row],[fator5]],dados[[#This Row],[fator6]])</f>
        <v>#REF!</v>
      </c>
    </row>
    <row r="3325" spans="1:23">
      <c r="A3325" t="s">
        <v>16</v>
      </c>
      <c r="B3325">
        <v>586799</v>
      </c>
      <c r="C3325">
        <v>6</v>
      </c>
      <c r="D3325">
        <v>25</v>
      </c>
      <c r="E3325">
        <v>120</v>
      </c>
      <c r="F3325">
        <v>4</v>
      </c>
      <c r="G3325">
        <v>0</v>
      </c>
      <c r="H3325">
        <v>55</v>
      </c>
      <c r="I3325">
        <v>333</v>
      </c>
      <c r="J3325">
        <v>0</v>
      </c>
      <c r="K3325">
        <v>2.0300000000000002</v>
      </c>
      <c r="L3325">
        <v>7</v>
      </c>
      <c r="M3325">
        <v>96.56</v>
      </c>
      <c r="N3325">
        <v>36.51</v>
      </c>
      <c r="O3325">
        <v>1693</v>
      </c>
      <c r="P3325">
        <v>1335</v>
      </c>
      <c r="Q3325" s="5" t="e">
        <f>IF(AND(#REF!&gt;=table!$C$6,#REF!&lt;= table!$D$6),-1,IF(AND(#REF!&gt;=table!$E$6,#REF!&lt;=table!$F$6),1,0))</f>
        <v>#REF!</v>
      </c>
      <c r="R3325" s="5" t="e">
        <f>IF(AND(#REF!&gt;=table!$C$7,#REF!&lt;= table!$D$7),-1,IF(AND(#REF!&gt;=table!$E$7,#REF!&lt;=table!$F$7),1,0))</f>
        <v>#REF!</v>
      </c>
      <c r="S3325" s="5" t="e">
        <f>IF(AND(#REF!&gt;=table!$C$8,#REF!&lt;= table!$D$8),-1,IF(AND(#REF!&gt;=table!$E$8,#REF!&lt;=table!$F$8),1,0))</f>
        <v>#REF!</v>
      </c>
      <c r="T3325" s="5"/>
      <c r="U3325" s="5" t="e">
        <f>IF(AND(#REF!&gt;=table!$C$10,#REF!&lt;= table!$D$10),-1,IF(AND(#REF!&gt;=table!$E$10,#REF!&lt;=table!$F$10),1,0))</f>
        <v>#REF!</v>
      </c>
      <c r="V3325" s="5" t="e">
        <f>IF(AND(#REF!&gt;=table!$C$11,#REF!&lt;= table!$D$11),-1,IF(AND(#REF!&gt;=table!$E$11,#REF!&lt;=table!$F$11),1,0))</f>
        <v>#REF!</v>
      </c>
      <c r="W3325" s="5" t="e">
        <f>CONCATENATE(dados[[#This Row],[fator1]],dados[[#This Row],[fator5]],dados[[#This Row],[fator6]])</f>
        <v>#REF!</v>
      </c>
    </row>
    <row r="3326" spans="1:23">
      <c r="A3326" t="s">
        <v>16</v>
      </c>
      <c r="B3326">
        <v>586801</v>
      </c>
      <c r="C3326">
        <v>10</v>
      </c>
      <c r="D3326">
        <v>40</v>
      </c>
      <c r="E3326">
        <v>96</v>
      </c>
      <c r="F3326">
        <v>8</v>
      </c>
      <c r="G3326">
        <v>0</v>
      </c>
      <c r="H3326">
        <v>25</v>
      </c>
      <c r="I3326">
        <v>25</v>
      </c>
      <c r="J3326">
        <v>0</v>
      </c>
      <c r="K3326">
        <v>3.7850000000000001</v>
      </c>
      <c r="L3326">
        <v>12.095000000000001</v>
      </c>
      <c r="M3326">
        <v>87</v>
      </c>
      <c r="N3326">
        <v>20</v>
      </c>
      <c r="O3326">
        <v>1701</v>
      </c>
      <c r="P3326">
        <v>0</v>
      </c>
      <c r="Q3326" s="5" t="e">
        <f>IF(AND(#REF!&gt;=table!$C$6,#REF!&lt;= table!$D$6),-1,IF(AND(#REF!&gt;=table!$E$6,#REF!&lt;=table!$F$6),1,0))</f>
        <v>#REF!</v>
      </c>
      <c r="R3326" s="5" t="e">
        <f>IF(AND(#REF!&gt;=table!$C$7,#REF!&lt;= table!$D$7),-1,IF(AND(#REF!&gt;=table!$E$7,#REF!&lt;=table!$F$7),1,0))</f>
        <v>#REF!</v>
      </c>
      <c r="S3326" s="5" t="e">
        <f>IF(AND(#REF!&gt;=table!$C$8,#REF!&lt;= table!$D$8),-1,IF(AND(#REF!&gt;=table!$E$8,#REF!&lt;=table!$F$8),1,0))</f>
        <v>#REF!</v>
      </c>
      <c r="T3326" s="5"/>
      <c r="U3326" s="5" t="e">
        <f>IF(AND(#REF!&gt;=table!$C$10,#REF!&lt;= table!$D$10),-1,IF(AND(#REF!&gt;=table!$E$10,#REF!&lt;=table!$F$10),1,0))</f>
        <v>#REF!</v>
      </c>
      <c r="V3326" s="5" t="e">
        <f>IF(AND(#REF!&gt;=table!$C$11,#REF!&lt;= table!$D$11),-1,IF(AND(#REF!&gt;=table!$E$11,#REF!&lt;=table!$F$11),1,0))</f>
        <v>#REF!</v>
      </c>
      <c r="W3326" s="5" t="e">
        <f>CONCATENATE(dados[[#This Row],[fator1]],dados[[#This Row],[fator5]],dados[[#This Row],[fator6]])</f>
        <v>#REF!</v>
      </c>
    </row>
    <row r="3327" spans="1:23">
      <c r="A3327" t="s">
        <v>17</v>
      </c>
      <c r="B3327">
        <v>586804</v>
      </c>
      <c r="C3327">
        <v>15</v>
      </c>
      <c r="D3327">
        <v>23</v>
      </c>
      <c r="E3327">
        <v>155</v>
      </c>
      <c r="F3327">
        <v>4</v>
      </c>
      <c r="G3327">
        <v>30</v>
      </c>
      <c r="H3327">
        <v>18</v>
      </c>
      <c r="I3327">
        <v>1321</v>
      </c>
      <c r="J3327">
        <v>0</v>
      </c>
      <c r="K3327">
        <v>3.375</v>
      </c>
      <c r="L3327">
        <v>7.75</v>
      </c>
      <c r="M3327">
        <v>122.05</v>
      </c>
      <c r="N3327">
        <v>12.05</v>
      </c>
      <c r="O3327">
        <v>1678</v>
      </c>
      <c r="P3327">
        <v>0</v>
      </c>
      <c r="Q3327" s="5" t="e">
        <f>IF(AND(#REF!&gt;=table!$C$6,#REF!&lt;= table!$D$6),-1,IF(AND(#REF!&gt;=table!$E$6,#REF!&lt;=table!$F$6),1,0))</f>
        <v>#REF!</v>
      </c>
      <c r="R3327" s="5" t="e">
        <f>IF(AND(#REF!&gt;=table!$C$7,#REF!&lt;= table!$D$7),-1,IF(AND(#REF!&gt;=table!$E$7,#REF!&lt;=table!$F$7),1,0))</f>
        <v>#REF!</v>
      </c>
      <c r="S3327" s="5" t="e">
        <f>IF(AND(#REF!&gt;=table!$C$8,#REF!&lt;= table!$D$8),-1,IF(AND(#REF!&gt;=table!$E$8,#REF!&lt;=table!$F$8),1,0))</f>
        <v>#REF!</v>
      </c>
      <c r="T3327" s="5"/>
      <c r="U3327" s="5" t="e">
        <f>IF(AND(#REF!&gt;=table!$C$10,#REF!&lt;= table!$D$10),-1,IF(AND(#REF!&gt;=table!$E$10,#REF!&lt;=table!$F$10),1,0))</f>
        <v>#REF!</v>
      </c>
      <c r="V3327" s="5" t="e">
        <f>IF(AND(#REF!&gt;=table!$C$11,#REF!&lt;= table!$D$11),-1,IF(AND(#REF!&gt;=table!$E$11,#REF!&lt;=table!$F$11),1,0))</f>
        <v>#REF!</v>
      </c>
      <c r="W3327" s="5" t="e">
        <f>CONCATENATE(dados[[#This Row],[fator1]],dados[[#This Row],[fator5]],dados[[#This Row],[fator6]])</f>
        <v>#REF!</v>
      </c>
    </row>
    <row r="3328" spans="1:23">
      <c r="A3328" t="s">
        <v>17</v>
      </c>
      <c r="B3328">
        <v>586805</v>
      </c>
      <c r="C3328">
        <v>15</v>
      </c>
      <c r="D3328">
        <v>23</v>
      </c>
      <c r="E3328">
        <v>155</v>
      </c>
      <c r="F3328">
        <v>4</v>
      </c>
      <c r="G3328">
        <v>30</v>
      </c>
      <c r="H3328">
        <v>18</v>
      </c>
      <c r="I3328">
        <v>653</v>
      </c>
      <c r="J3328">
        <v>0</v>
      </c>
      <c r="K3328">
        <v>6.8900000000000006</v>
      </c>
      <c r="L3328">
        <v>10.700000000000001</v>
      </c>
      <c r="M3328">
        <v>129.19999999999999</v>
      </c>
      <c r="N3328">
        <v>12</v>
      </c>
      <c r="O3328">
        <v>1697</v>
      </c>
      <c r="P3328">
        <v>518</v>
      </c>
      <c r="Q3328" s="5" t="e">
        <f>IF(AND(#REF!&gt;=table!$C$6,#REF!&lt;= table!$D$6),-1,IF(AND(#REF!&gt;=table!$E$6,#REF!&lt;=table!$F$6),1,0))</f>
        <v>#REF!</v>
      </c>
      <c r="R3328" s="5" t="e">
        <f>IF(AND(#REF!&gt;=table!$C$7,#REF!&lt;= table!$D$7),-1,IF(AND(#REF!&gt;=table!$E$7,#REF!&lt;=table!$F$7),1,0))</f>
        <v>#REF!</v>
      </c>
      <c r="S3328" s="5" t="e">
        <f>IF(AND(#REF!&gt;=table!$C$8,#REF!&lt;= table!$D$8),-1,IF(AND(#REF!&gt;=table!$E$8,#REF!&lt;=table!$F$8),1,0))</f>
        <v>#REF!</v>
      </c>
      <c r="T3328" s="5"/>
      <c r="U3328" s="5" t="e">
        <f>IF(AND(#REF!&gt;=table!$C$10,#REF!&lt;= table!$D$10),-1,IF(AND(#REF!&gt;=table!$E$10,#REF!&lt;=table!$F$10),1,0))</f>
        <v>#REF!</v>
      </c>
      <c r="V3328" s="5" t="e">
        <f>IF(AND(#REF!&gt;=table!$C$11,#REF!&lt;= table!$D$11),-1,IF(AND(#REF!&gt;=table!$E$11,#REF!&lt;=table!$F$11),1,0))</f>
        <v>#REF!</v>
      </c>
      <c r="W3328" s="5" t="e">
        <f>CONCATENATE(dados[[#This Row],[fator1]],dados[[#This Row],[fator5]],dados[[#This Row],[fator6]])</f>
        <v>#REF!</v>
      </c>
    </row>
    <row r="3329" spans="1:23">
      <c r="A3329" t="s">
        <v>16</v>
      </c>
      <c r="B3329">
        <v>586806</v>
      </c>
      <c r="C3329">
        <v>8</v>
      </c>
      <c r="D3329">
        <v>27</v>
      </c>
      <c r="E3329">
        <v>86</v>
      </c>
      <c r="F3329">
        <v>8</v>
      </c>
      <c r="G3329">
        <v>0</v>
      </c>
      <c r="H3329">
        <v>25</v>
      </c>
      <c r="I3329">
        <v>580</v>
      </c>
      <c r="J3329">
        <v>0</v>
      </c>
      <c r="K3329">
        <v>11.255000000000001</v>
      </c>
      <c r="L3329">
        <v>12.75</v>
      </c>
      <c r="M3329">
        <v>83.8</v>
      </c>
      <c r="N3329">
        <v>9.2000000000000011</v>
      </c>
      <c r="O3329">
        <v>1676</v>
      </c>
      <c r="P3329">
        <v>0</v>
      </c>
      <c r="Q3329" s="5" t="e">
        <f>IF(AND(#REF!&gt;=table!$C$6,#REF!&lt;= table!$D$6),-1,IF(AND(#REF!&gt;=table!$E$6,#REF!&lt;=table!$F$6),1,0))</f>
        <v>#REF!</v>
      </c>
      <c r="R3329" s="5" t="e">
        <f>IF(AND(#REF!&gt;=table!$C$7,#REF!&lt;= table!$D$7),-1,IF(AND(#REF!&gt;=table!$E$7,#REF!&lt;=table!$F$7),1,0))</f>
        <v>#REF!</v>
      </c>
      <c r="S3329" s="5" t="e">
        <f>IF(AND(#REF!&gt;=table!$C$8,#REF!&lt;= table!$D$8),-1,IF(AND(#REF!&gt;=table!$E$8,#REF!&lt;=table!$F$8),1,0))</f>
        <v>#REF!</v>
      </c>
      <c r="T3329" s="5"/>
      <c r="U3329" s="5" t="e">
        <f>IF(AND(#REF!&gt;=table!$C$10,#REF!&lt;= table!$D$10),-1,IF(AND(#REF!&gt;=table!$E$10,#REF!&lt;=table!$F$10),1,0))</f>
        <v>#REF!</v>
      </c>
      <c r="V3329" s="5" t="e">
        <f>IF(AND(#REF!&gt;=table!$C$11,#REF!&lt;= table!$D$11),-1,IF(AND(#REF!&gt;=table!$E$11,#REF!&lt;=table!$F$11),1,0))</f>
        <v>#REF!</v>
      </c>
      <c r="W3329" s="5" t="e">
        <f>CONCATENATE(dados[[#This Row],[fator1]],dados[[#This Row],[fator5]],dados[[#This Row],[fator6]])</f>
        <v>#REF!</v>
      </c>
    </row>
    <row r="3330" spans="1:23">
      <c r="A3330" t="s">
        <v>17</v>
      </c>
      <c r="B3330">
        <v>586807</v>
      </c>
      <c r="C3330">
        <v>9</v>
      </c>
      <c r="D3330">
        <v>25</v>
      </c>
      <c r="E3330">
        <v>150</v>
      </c>
      <c r="F3330">
        <v>7</v>
      </c>
      <c r="G3330">
        <v>20</v>
      </c>
      <c r="H3330">
        <v>21</v>
      </c>
      <c r="I3330">
        <v>372</v>
      </c>
      <c r="J3330">
        <v>0</v>
      </c>
      <c r="K3330">
        <v>4.93</v>
      </c>
      <c r="L3330">
        <v>8.5</v>
      </c>
      <c r="M3330">
        <v>122.2</v>
      </c>
      <c r="N3330">
        <v>11.05</v>
      </c>
      <c r="O3330">
        <v>1689</v>
      </c>
      <c r="P3330">
        <v>0</v>
      </c>
      <c r="Q3330" s="5" t="e">
        <f>IF(AND(#REF!&gt;=table!$C$6,#REF!&lt;= table!$D$6),-1,IF(AND(#REF!&gt;=table!$E$6,#REF!&lt;=table!$F$6),1,0))</f>
        <v>#REF!</v>
      </c>
      <c r="R3330" s="5" t="e">
        <f>IF(AND(#REF!&gt;=table!$C$7,#REF!&lt;= table!$D$7),-1,IF(AND(#REF!&gt;=table!$E$7,#REF!&lt;=table!$F$7),1,0))</f>
        <v>#REF!</v>
      </c>
      <c r="S3330" s="5" t="e">
        <f>IF(AND(#REF!&gt;=table!$C$8,#REF!&lt;= table!$D$8),-1,IF(AND(#REF!&gt;=table!$E$8,#REF!&lt;=table!$F$8),1,0))</f>
        <v>#REF!</v>
      </c>
      <c r="T3330" s="5"/>
      <c r="U3330" s="5" t="e">
        <f>IF(AND(#REF!&gt;=table!$C$10,#REF!&lt;= table!$D$10),-1,IF(AND(#REF!&gt;=table!$E$10,#REF!&lt;=table!$F$10),1,0))</f>
        <v>#REF!</v>
      </c>
      <c r="V3330" s="5" t="e">
        <f>IF(AND(#REF!&gt;=table!$C$11,#REF!&lt;= table!$D$11),-1,IF(AND(#REF!&gt;=table!$E$11,#REF!&lt;=table!$F$11),1,0))</f>
        <v>#REF!</v>
      </c>
      <c r="W3330" s="5" t="e">
        <f>CONCATENATE(dados[[#This Row],[fator1]],dados[[#This Row],[fator5]],dados[[#This Row],[fator6]])</f>
        <v>#REF!</v>
      </c>
    </row>
    <row r="3331" spans="1:23">
      <c r="A3331" t="s">
        <v>16</v>
      </c>
      <c r="B3331">
        <v>586808</v>
      </c>
      <c r="C3331">
        <v>10</v>
      </c>
      <c r="D3331">
        <v>40</v>
      </c>
      <c r="E3331">
        <v>96</v>
      </c>
      <c r="F3331">
        <v>8</v>
      </c>
      <c r="G3331">
        <v>0</v>
      </c>
      <c r="H3331">
        <v>25</v>
      </c>
      <c r="I3331">
        <v>689</v>
      </c>
      <c r="J3331">
        <v>910</v>
      </c>
      <c r="K3331">
        <v>4.45</v>
      </c>
      <c r="L3331">
        <v>8.0500000000000007</v>
      </c>
      <c r="M3331">
        <v>55</v>
      </c>
      <c r="N3331">
        <v>7.3</v>
      </c>
      <c r="O3331">
        <v>1681</v>
      </c>
      <c r="P3331">
        <v>0</v>
      </c>
      <c r="Q3331" s="5" t="e">
        <f>IF(AND(#REF!&gt;=table!$C$6,#REF!&lt;= table!$D$6),-1,IF(AND(#REF!&gt;=table!$E$6,#REF!&lt;=table!$F$6),1,0))</f>
        <v>#REF!</v>
      </c>
      <c r="R3331" s="5" t="e">
        <f>IF(AND(#REF!&gt;=table!$C$7,#REF!&lt;= table!$D$7),-1,IF(AND(#REF!&gt;=table!$E$7,#REF!&lt;=table!$F$7),1,0))</f>
        <v>#REF!</v>
      </c>
      <c r="S3331" s="5" t="e">
        <f>IF(AND(#REF!&gt;=table!$C$8,#REF!&lt;= table!$D$8),-1,IF(AND(#REF!&gt;=table!$E$8,#REF!&lt;=table!$F$8),1,0))</f>
        <v>#REF!</v>
      </c>
      <c r="T3331" s="5"/>
      <c r="U3331" s="5" t="e">
        <f>IF(AND(#REF!&gt;=table!$C$10,#REF!&lt;= table!$D$10),-1,IF(AND(#REF!&gt;=table!$E$10,#REF!&lt;=table!$F$10),1,0))</f>
        <v>#REF!</v>
      </c>
      <c r="V3331" s="5" t="e">
        <f>IF(AND(#REF!&gt;=table!$C$11,#REF!&lt;= table!$D$11),-1,IF(AND(#REF!&gt;=table!$E$11,#REF!&lt;=table!$F$11),1,0))</f>
        <v>#REF!</v>
      </c>
      <c r="W3331" s="5" t="e">
        <f>CONCATENATE(dados[[#This Row],[fator1]],dados[[#This Row],[fator5]],dados[[#This Row],[fator6]])</f>
        <v>#REF!</v>
      </c>
    </row>
    <row r="3332" spans="1:23">
      <c r="A3332" t="s">
        <v>16</v>
      </c>
      <c r="B3332">
        <v>586809</v>
      </c>
      <c r="C3332">
        <v>10</v>
      </c>
      <c r="D3332">
        <v>40</v>
      </c>
      <c r="E3332">
        <v>100</v>
      </c>
      <c r="F3332">
        <v>8</v>
      </c>
      <c r="G3332">
        <v>0</v>
      </c>
      <c r="H3332">
        <v>25</v>
      </c>
      <c r="I3332">
        <v>0</v>
      </c>
      <c r="J3332">
        <v>900</v>
      </c>
      <c r="K3332">
        <v>4.2450000000000001</v>
      </c>
      <c r="L3332">
        <v>11.65</v>
      </c>
      <c r="M3332">
        <v>90.05</v>
      </c>
      <c r="N3332">
        <v>13.450000000000001</v>
      </c>
      <c r="O3332">
        <v>1686</v>
      </c>
      <c r="P3332">
        <v>717</v>
      </c>
      <c r="Q3332" s="5" t="e">
        <f>IF(AND(#REF!&gt;=table!$C$6,#REF!&lt;= table!$D$6),-1,IF(AND(#REF!&gt;=table!$E$6,#REF!&lt;=table!$F$6),1,0))</f>
        <v>#REF!</v>
      </c>
      <c r="R3332" s="5" t="e">
        <f>IF(AND(#REF!&gt;=table!$C$7,#REF!&lt;= table!$D$7),-1,IF(AND(#REF!&gt;=table!$E$7,#REF!&lt;=table!$F$7),1,0))</f>
        <v>#REF!</v>
      </c>
      <c r="S3332" s="5" t="e">
        <f>IF(AND(#REF!&gt;=table!$C$8,#REF!&lt;= table!$D$8),-1,IF(AND(#REF!&gt;=table!$E$8,#REF!&lt;=table!$F$8),1,0))</f>
        <v>#REF!</v>
      </c>
      <c r="T3332" s="5"/>
      <c r="U3332" s="5" t="e">
        <f>IF(AND(#REF!&gt;=table!$C$10,#REF!&lt;= table!$D$10),-1,IF(AND(#REF!&gt;=table!$E$10,#REF!&lt;=table!$F$10),1,0))</f>
        <v>#REF!</v>
      </c>
      <c r="V3332" s="5" t="e">
        <f>IF(AND(#REF!&gt;=table!$C$11,#REF!&lt;= table!$D$11),-1,IF(AND(#REF!&gt;=table!$E$11,#REF!&lt;=table!$F$11),1,0))</f>
        <v>#REF!</v>
      </c>
      <c r="W3332" s="5" t="e">
        <f>CONCATENATE(dados[[#This Row],[fator1]],dados[[#This Row],[fator5]],dados[[#This Row],[fator6]])</f>
        <v>#REF!</v>
      </c>
    </row>
    <row r="3333" spans="1:23">
      <c r="A3333" t="s">
        <v>16</v>
      </c>
      <c r="B3333">
        <v>586815</v>
      </c>
      <c r="C3333">
        <v>16</v>
      </c>
      <c r="D3333">
        <v>35</v>
      </c>
      <c r="E3333">
        <v>36</v>
      </c>
      <c r="F3333">
        <v>10</v>
      </c>
      <c r="G3333">
        <v>0</v>
      </c>
      <c r="H3333">
        <v>25</v>
      </c>
      <c r="I3333">
        <v>641</v>
      </c>
      <c r="J3333">
        <v>0</v>
      </c>
      <c r="K3333">
        <v>5.6950000000000003</v>
      </c>
      <c r="L3333">
        <v>8.35</v>
      </c>
      <c r="M3333">
        <v>35.800000000000004</v>
      </c>
      <c r="N3333">
        <v>9.4</v>
      </c>
      <c r="O3333">
        <v>1677</v>
      </c>
      <c r="P3333">
        <v>503</v>
      </c>
      <c r="Q3333" s="5" t="e">
        <f>IF(AND(#REF!&gt;=table!$C$6,#REF!&lt;= table!$D$6),-1,IF(AND(#REF!&gt;=table!$E$6,#REF!&lt;=table!$F$6),1,0))</f>
        <v>#REF!</v>
      </c>
      <c r="R3333" s="5" t="e">
        <f>IF(AND(#REF!&gt;=table!$C$7,#REF!&lt;= table!$D$7),-1,IF(AND(#REF!&gt;=table!$E$7,#REF!&lt;=table!$F$7),1,0))</f>
        <v>#REF!</v>
      </c>
      <c r="S3333" s="5" t="e">
        <f>IF(AND(#REF!&gt;=table!$C$8,#REF!&lt;= table!$D$8),-1,IF(AND(#REF!&gt;=table!$E$8,#REF!&lt;=table!$F$8),1,0))</f>
        <v>#REF!</v>
      </c>
      <c r="T3333" s="5"/>
      <c r="U3333" s="5" t="e">
        <f>IF(AND(#REF!&gt;=table!$C$10,#REF!&lt;= table!$D$10),-1,IF(AND(#REF!&gt;=table!$E$10,#REF!&lt;=table!$F$10),1,0))</f>
        <v>#REF!</v>
      </c>
      <c r="V3333" s="5" t="e">
        <f>IF(AND(#REF!&gt;=table!$C$11,#REF!&lt;= table!$D$11),-1,IF(AND(#REF!&gt;=table!$E$11,#REF!&lt;=table!$F$11),1,0))</f>
        <v>#REF!</v>
      </c>
      <c r="W3333" s="5" t="e">
        <f>CONCATENATE(dados[[#This Row],[fator1]],dados[[#This Row],[fator5]],dados[[#This Row],[fator6]])</f>
        <v>#REF!</v>
      </c>
    </row>
    <row r="3334" spans="1:23">
      <c r="A3334" t="s">
        <v>16</v>
      </c>
      <c r="B3334">
        <v>586816</v>
      </c>
      <c r="C3334">
        <v>0.18</v>
      </c>
      <c r="D3334">
        <v>50</v>
      </c>
      <c r="E3334">
        <v>56</v>
      </c>
      <c r="F3334">
        <v>15</v>
      </c>
      <c r="G3334">
        <v>0</v>
      </c>
      <c r="H3334">
        <v>50</v>
      </c>
      <c r="I3334">
        <v>1509</v>
      </c>
      <c r="J3334">
        <v>0</v>
      </c>
      <c r="K3334">
        <v>3.41</v>
      </c>
      <c r="L3334">
        <v>12.200000000000001</v>
      </c>
      <c r="M3334">
        <v>10.905000000000001</v>
      </c>
      <c r="N3334">
        <v>20.185000000000002</v>
      </c>
      <c r="O3334">
        <v>1707</v>
      </c>
      <c r="P3334">
        <v>922</v>
      </c>
      <c r="Q3334" s="5" t="e">
        <f>IF(AND(#REF!&gt;=table!$C$6,#REF!&lt;= table!$D$6),-1,IF(AND(#REF!&gt;=table!$E$6,#REF!&lt;=table!$F$6),1,0))</f>
        <v>#REF!</v>
      </c>
      <c r="R3334" s="5" t="e">
        <f>IF(AND(#REF!&gt;=table!$C$7,#REF!&lt;= table!$D$7),-1,IF(AND(#REF!&gt;=table!$E$7,#REF!&lt;=table!$F$7),1,0))</f>
        <v>#REF!</v>
      </c>
      <c r="S3334" s="5" t="e">
        <f>IF(AND(#REF!&gt;=table!$C$8,#REF!&lt;= table!$D$8),-1,IF(AND(#REF!&gt;=table!$E$8,#REF!&lt;=table!$F$8),1,0))</f>
        <v>#REF!</v>
      </c>
      <c r="T3334" s="5"/>
      <c r="U3334" s="5" t="e">
        <f>IF(AND(#REF!&gt;=table!$C$10,#REF!&lt;= table!$D$10),-1,IF(AND(#REF!&gt;=table!$E$10,#REF!&lt;=table!$F$10),1,0))</f>
        <v>#REF!</v>
      </c>
      <c r="V3334" s="5" t="e">
        <f>IF(AND(#REF!&gt;=table!$C$11,#REF!&lt;= table!$D$11),-1,IF(AND(#REF!&gt;=table!$E$11,#REF!&lt;=table!$F$11),1,0))</f>
        <v>#REF!</v>
      </c>
      <c r="W3334" s="5" t="e">
        <f>CONCATENATE(dados[[#This Row],[fator1]],dados[[#This Row],[fator5]],dados[[#This Row],[fator6]])</f>
        <v>#REF!</v>
      </c>
    </row>
    <row r="3335" spans="1:23">
      <c r="A3335" t="s">
        <v>16</v>
      </c>
      <c r="B3335">
        <v>586817</v>
      </c>
      <c r="C3335">
        <v>16</v>
      </c>
      <c r="D3335">
        <v>35</v>
      </c>
      <c r="E3335">
        <v>36</v>
      </c>
      <c r="F3335">
        <v>10</v>
      </c>
      <c r="G3335">
        <v>0</v>
      </c>
      <c r="H3335">
        <v>25</v>
      </c>
      <c r="I3335">
        <v>569</v>
      </c>
      <c r="J3335">
        <v>0</v>
      </c>
      <c r="K3335">
        <v>2.3035000000000001</v>
      </c>
      <c r="L3335">
        <v>6.5200000000000005</v>
      </c>
      <c r="M3335">
        <v>31.060000000000002</v>
      </c>
      <c r="N3335">
        <v>10.405000000000001</v>
      </c>
      <c r="O3335">
        <v>1676</v>
      </c>
      <c r="P3335">
        <v>0</v>
      </c>
      <c r="Q3335" s="5" t="e">
        <f>IF(AND(#REF!&gt;=table!$C$6,#REF!&lt;= table!$D$6),-1,IF(AND(#REF!&gt;=table!$E$6,#REF!&lt;=table!$F$6),1,0))</f>
        <v>#REF!</v>
      </c>
      <c r="R3335" s="5" t="e">
        <f>IF(AND(#REF!&gt;=table!$C$7,#REF!&lt;= table!$D$7),-1,IF(AND(#REF!&gt;=table!$E$7,#REF!&lt;=table!$F$7),1,0))</f>
        <v>#REF!</v>
      </c>
      <c r="S3335" s="5" t="e">
        <f>IF(AND(#REF!&gt;=table!$C$8,#REF!&lt;= table!$D$8),-1,IF(AND(#REF!&gt;=table!$E$8,#REF!&lt;=table!$F$8),1,0))</f>
        <v>#REF!</v>
      </c>
      <c r="T3335" s="5"/>
      <c r="U3335" s="5" t="e">
        <f>IF(AND(#REF!&gt;=table!$C$10,#REF!&lt;= table!$D$10),-1,IF(AND(#REF!&gt;=table!$E$10,#REF!&lt;=table!$F$10),1,0))</f>
        <v>#REF!</v>
      </c>
      <c r="V3335" s="5" t="e">
        <f>IF(AND(#REF!&gt;=table!$C$11,#REF!&lt;= table!$D$11),-1,IF(AND(#REF!&gt;=table!$E$11,#REF!&lt;=table!$F$11),1,0))</f>
        <v>#REF!</v>
      </c>
      <c r="W3335" s="5" t="e">
        <f>CONCATENATE(dados[[#This Row],[fator1]],dados[[#This Row],[fator5]],dados[[#This Row],[fator6]])</f>
        <v>#REF!</v>
      </c>
    </row>
    <row r="3336" spans="1:23">
      <c r="A3336" t="s">
        <v>16</v>
      </c>
      <c r="B3336">
        <v>586818</v>
      </c>
      <c r="C3336">
        <v>8</v>
      </c>
      <c r="D3336">
        <v>30</v>
      </c>
      <c r="E3336">
        <v>86</v>
      </c>
      <c r="F3336">
        <v>9</v>
      </c>
      <c r="G3336">
        <v>0</v>
      </c>
      <c r="H3336">
        <v>25</v>
      </c>
      <c r="I3336">
        <v>817</v>
      </c>
      <c r="J3336">
        <v>0</v>
      </c>
      <c r="K3336">
        <v>3.13</v>
      </c>
      <c r="L3336">
        <v>8.9500000000000011</v>
      </c>
      <c r="M3336">
        <v>16.38</v>
      </c>
      <c r="N3336">
        <v>14.205</v>
      </c>
      <c r="O3336">
        <v>1687</v>
      </c>
      <c r="P3336">
        <v>0</v>
      </c>
      <c r="Q3336" s="5" t="e">
        <f>IF(AND(#REF!&gt;=table!$C$6,#REF!&lt;= table!$D$6),-1,IF(AND(#REF!&gt;=table!$E$6,#REF!&lt;=table!$F$6),1,0))</f>
        <v>#REF!</v>
      </c>
      <c r="R3336" s="5" t="e">
        <f>IF(AND(#REF!&gt;=table!$C$7,#REF!&lt;= table!$D$7),-1,IF(AND(#REF!&gt;=table!$E$7,#REF!&lt;=table!$F$7),1,0))</f>
        <v>#REF!</v>
      </c>
      <c r="S3336" s="5" t="e">
        <f>IF(AND(#REF!&gt;=table!$C$8,#REF!&lt;= table!$D$8),-1,IF(AND(#REF!&gt;=table!$E$8,#REF!&lt;=table!$F$8),1,0))</f>
        <v>#REF!</v>
      </c>
      <c r="T3336" s="5"/>
      <c r="U3336" s="5" t="e">
        <f>IF(AND(#REF!&gt;=table!$C$10,#REF!&lt;= table!$D$10),-1,IF(AND(#REF!&gt;=table!$E$10,#REF!&lt;=table!$F$10),1,0))</f>
        <v>#REF!</v>
      </c>
      <c r="V3336" s="5" t="e">
        <f>IF(AND(#REF!&gt;=table!$C$11,#REF!&lt;= table!$D$11),-1,IF(AND(#REF!&gt;=table!$E$11,#REF!&lt;=table!$F$11),1,0))</f>
        <v>#REF!</v>
      </c>
      <c r="W3336" s="5" t="e">
        <f>CONCATENATE(dados[[#This Row],[fator1]],dados[[#This Row],[fator5]],dados[[#This Row],[fator6]])</f>
        <v>#REF!</v>
      </c>
    </row>
    <row r="3337" spans="1:23">
      <c r="A3337" t="s">
        <v>16</v>
      </c>
      <c r="B3337">
        <v>586819</v>
      </c>
      <c r="C3337">
        <v>12</v>
      </c>
      <c r="D3337">
        <v>35</v>
      </c>
      <c r="E3337">
        <v>86</v>
      </c>
      <c r="F3337">
        <v>10</v>
      </c>
      <c r="G3337">
        <v>0</v>
      </c>
      <c r="H3337">
        <v>25</v>
      </c>
      <c r="I3337">
        <v>428</v>
      </c>
      <c r="J3337">
        <v>0</v>
      </c>
      <c r="K3337">
        <v>9.2850000000000001</v>
      </c>
      <c r="L3337">
        <v>14.3</v>
      </c>
      <c r="M3337">
        <v>67.975000000000009</v>
      </c>
      <c r="N3337">
        <v>14.635000000000002</v>
      </c>
      <c r="O3337">
        <v>1677</v>
      </c>
      <c r="P3337">
        <v>0</v>
      </c>
      <c r="Q3337" s="5" t="e">
        <f>IF(AND(#REF!&gt;=table!$C$6,#REF!&lt;= table!$D$6),-1,IF(AND(#REF!&gt;=table!$E$6,#REF!&lt;=table!$F$6),1,0))</f>
        <v>#REF!</v>
      </c>
      <c r="R3337" s="5" t="e">
        <f>IF(AND(#REF!&gt;=table!$C$7,#REF!&lt;= table!$D$7),-1,IF(AND(#REF!&gt;=table!$E$7,#REF!&lt;=table!$F$7),1,0))</f>
        <v>#REF!</v>
      </c>
      <c r="S3337" s="5" t="e">
        <f>IF(AND(#REF!&gt;=table!$C$8,#REF!&lt;= table!$D$8),-1,IF(AND(#REF!&gt;=table!$E$8,#REF!&lt;=table!$F$8),1,0))</f>
        <v>#REF!</v>
      </c>
      <c r="T3337" s="5"/>
      <c r="U3337" s="5" t="e">
        <f>IF(AND(#REF!&gt;=table!$C$10,#REF!&lt;= table!$D$10),-1,IF(AND(#REF!&gt;=table!$E$10,#REF!&lt;=table!$F$10),1,0))</f>
        <v>#REF!</v>
      </c>
      <c r="V3337" s="5" t="e">
        <f>IF(AND(#REF!&gt;=table!$C$11,#REF!&lt;= table!$D$11),-1,IF(AND(#REF!&gt;=table!$E$11,#REF!&lt;=table!$F$11),1,0))</f>
        <v>#REF!</v>
      </c>
      <c r="W3337" s="5" t="e">
        <f>CONCATENATE(dados[[#This Row],[fator1]],dados[[#This Row],[fator5]],dados[[#This Row],[fator6]])</f>
        <v>#REF!</v>
      </c>
    </row>
    <row r="3338" spans="1:23">
      <c r="A3338" t="s">
        <v>16</v>
      </c>
      <c r="B3338">
        <v>586820</v>
      </c>
      <c r="C3338">
        <v>8</v>
      </c>
      <c r="D3338">
        <v>30</v>
      </c>
      <c r="E3338">
        <v>86</v>
      </c>
      <c r="F3338">
        <v>9</v>
      </c>
      <c r="G3338">
        <v>0</v>
      </c>
      <c r="H3338">
        <v>25</v>
      </c>
      <c r="I3338">
        <v>750</v>
      </c>
      <c r="J3338">
        <v>0</v>
      </c>
      <c r="K3338">
        <v>2.4515000000000002</v>
      </c>
      <c r="L3338">
        <v>9.9250000000000007</v>
      </c>
      <c r="M3338">
        <v>79.91</v>
      </c>
      <c r="N3338">
        <v>19.86</v>
      </c>
      <c r="O3338">
        <v>1692</v>
      </c>
      <c r="P3338">
        <v>1163</v>
      </c>
      <c r="Q3338" s="5" t="e">
        <f>IF(AND(#REF!&gt;=table!$C$6,#REF!&lt;= table!$D$6),-1,IF(AND(#REF!&gt;=table!$E$6,#REF!&lt;=table!$F$6),1,0))</f>
        <v>#REF!</v>
      </c>
      <c r="R3338" s="5" t="e">
        <f>IF(AND(#REF!&gt;=table!$C$7,#REF!&lt;= table!$D$7),-1,IF(AND(#REF!&gt;=table!$E$7,#REF!&lt;=table!$F$7),1,0))</f>
        <v>#REF!</v>
      </c>
      <c r="S3338" s="5" t="e">
        <f>IF(AND(#REF!&gt;=table!$C$8,#REF!&lt;= table!$D$8),-1,IF(AND(#REF!&gt;=table!$E$8,#REF!&lt;=table!$F$8),1,0))</f>
        <v>#REF!</v>
      </c>
      <c r="T3338" s="5"/>
      <c r="U3338" s="5" t="e">
        <f>IF(AND(#REF!&gt;=table!$C$10,#REF!&lt;= table!$D$10),-1,IF(AND(#REF!&gt;=table!$E$10,#REF!&lt;=table!$F$10),1,0))</f>
        <v>#REF!</v>
      </c>
      <c r="V3338" s="5" t="e">
        <f>IF(AND(#REF!&gt;=table!$C$11,#REF!&lt;= table!$D$11),-1,IF(AND(#REF!&gt;=table!$E$11,#REF!&lt;=table!$F$11),1,0))</f>
        <v>#REF!</v>
      </c>
      <c r="W3338" s="5" t="e">
        <f>CONCATENATE(dados[[#This Row],[fator1]],dados[[#This Row],[fator5]],dados[[#This Row],[fator6]])</f>
        <v>#REF!</v>
      </c>
    </row>
    <row r="3339" spans="1:23">
      <c r="A3339" t="s">
        <v>16</v>
      </c>
      <c r="B3339">
        <v>586821</v>
      </c>
      <c r="C3339">
        <v>8</v>
      </c>
      <c r="D3339">
        <v>40</v>
      </c>
      <c r="E3339">
        <v>86</v>
      </c>
      <c r="F3339">
        <v>9</v>
      </c>
      <c r="G3339">
        <v>0</v>
      </c>
      <c r="H3339">
        <v>25</v>
      </c>
      <c r="I3339">
        <v>0</v>
      </c>
      <c r="J3339">
        <v>0</v>
      </c>
      <c r="K3339">
        <v>4.9800000000000004</v>
      </c>
      <c r="L3339">
        <v>9.6</v>
      </c>
      <c r="M3339">
        <v>69.75</v>
      </c>
      <c r="N3339">
        <v>13.65</v>
      </c>
      <c r="O3339">
        <v>1653</v>
      </c>
      <c r="P3339">
        <v>522</v>
      </c>
      <c r="Q3339" s="5" t="e">
        <f>IF(AND(#REF!&gt;=table!$C$6,#REF!&lt;= table!$D$6),-1,IF(AND(#REF!&gt;=table!$E$6,#REF!&lt;=table!$F$6),1,0))</f>
        <v>#REF!</v>
      </c>
      <c r="R3339" s="5" t="e">
        <f>IF(AND(#REF!&gt;=table!$C$7,#REF!&lt;= table!$D$7),-1,IF(AND(#REF!&gt;=table!$E$7,#REF!&lt;=table!$F$7),1,0))</f>
        <v>#REF!</v>
      </c>
      <c r="S3339" s="5" t="e">
        <f>IF(AND(#REF!&gt;=table!$C$8,#REF!&lt;= table!$D$8),-1,IF(AND(#REF!&gt;=table!$E$8,#REF!&lt;=table!$F$8),1,0))</f>
        <v>#REF!</v>
      </c>
      <c r="T3339" s="5"/>
      <c r="U3339" s="5" t="e">
        <f>IF(AND(#REF!&gt;=table!$C$10,#REF!&lt;= table!$D$10),-1,IF(AND(#REF!&gt;=table!$E$10,#REF!&lt;=table!$F$10),1,0))</f>
        <v>#REF!</v>
      </c>
      <c r="V3339" s="5" t="e">
        <f>IF(AND(#REF!&gt;=table!$C$11,#REF!&lt;= table!$D$11),-1,IF(AND(#REF!&gt;=table!$E$11,#REF!&lt;=table!$F$11),1,0))</f>
        <v>#REF!</v>
      </c>
      <c r="W3339" s="5" t="e">
        <f>CONCATENATE(dados[[#This Row],[fator1]],dados[[#This Row],[fator5]],dados[[#This Row],[fator6]])</f>
        <v>#REF!</v>
      </c>
    </row>
    <row r="3340" spans="1:23">
      <c r="A3340" t="s">
        <v>16</v>
      </c>
      <c r="B3340">
        <v>586826</v>
      </c>
      <c r="C3340">
        <v>16</v>
      </c>
      <c r="D3340">
        <v>30</v>
      </c>
      <c r="E3340">
        <v>56</v>
      </c>
      <c r="F3340">
        <v>3</v>
      </c>
      <c r="G3340">
        <v>0</v>
      </c>
      <c r="H3340">
        <v>25</v>
      </c>
      <c r="I3340">
        <v>606</v>
      </c>
      <c r="J3340">
        <v>0</v>
      </c>
      <c r="K3340">
        <v>9.1550000000000011</v>
      </c>
      <c r="L3340">
        <v>14.450000000000001</v>
      </c>
      <c r="M3340">
        <v>50.75</v>
      </c>
      <c r="N3340">
        <v>15.1</v>
      </c>
      <c r="O3340">
        <v>1684</v>
      </c>
      <c r="P3340">
        <v>392</v>
      </c>
      <c r="Q3340" s="5" t="e">
        <f>IF(AND(#REF!&gt;=table!$C$6,#REF!&lt;= table!$D$6),-1,IF(AND(#REF!&gt;=table!$E$6,#REF!&lt;=table!$F$6),1,0))</f>
        <v>#REF!</v>
      </c>
      <c r="R3340" s="5" t="e">
        <f>IF(AND(#REF!&gt;=table!$C$7,#REF!&lt;= table!$D$7),-1,IF(AND(#REF!&gt;=table!$E$7,#REF!&lt;=table!$F$7),1,0))</f>
        <v>#REF!</v>
      </c>
      <c r="S3340" s="5" t="e">
        <f>IF(AND(#REF!&gt;=table!$C$8,#REF!&lt;= table!$D$8),-1,IF(AND(#REF!&gt;=table!$E$8,#REF!&lt;=table!$F$8),1,0))</f>
        <v>#REF!</v>
      </c>
      <c r="T3340" s="5"/>
      <c r="U3340" s="5" t="e">
        <f>IF(AND(#REF!&gt;=table!$C$10,#REF!&lt;= table!$D$10),-1,IF(AND(#REF!&gt;=table!$E$10,#REF!&lt;=table!$F$10),1,0))</f>
        <v>#REF!</v>
      </c>
      <c r="V3340" s="5" t="e">
        <f>IF(AND(#REF!&gt;=table!$C$11,#REF!&lt;= table!$D$11),-1,IF(AND(#REF!&gt;=table!$E$11,#REF!&lt;=table!$F$11),1,0))</f>
        <v>#REF!</v>
      </c>
      <c r="W3340" s="5" t="e">
        <f>CONCATENATE(dados[[#This Row],[fator1]],dados[[#This Row],[fator5]],dados[[#This Row],[fator6]])</f>
        <v>#REF!</v>
      </c>
    </row>
    <row r="3341" spans="1:23">
      <c r="A3341" t="s">
        <v>16</v>
      </c>
      <c r="B3341">
        <v>586828</v>
      </c>
      <c r="C3341">
        <v>16</v>
      </c>
      <c r="D3341">
        <v>30</v>
      </c>
      <c r="E3341">
        <v>36</v>
      </c>
      <c r="F3341">
        <v>3</v>
      </c>
      <c r="G3341">
        <v>0</v>
      </c>
      <c r="H3341">
        <v>25</v>
      </c>
      <c r="I3341">
        <v>4</v>
      </c>
      <c r="J3341">
        <v>0</v>
      </c>
      <c r="K3341">
        <v>3.0150000000000001</v>
      </c>
      <c r="L3341">
        <v>10.25</v>
      </c>
      <c r="M3341">
        <v>28.5</v>
      </c>
      <c r="N3341">
        <v>18.205000000000002</v>
      </c>
      <c r="O3341">
        <v>1696</v>
      </c>
      <c r="P3341">
        <v>1072</v>
      </c>
      <c r="Q3341" s="5" t="e">
        <f>IF(AND(#REF!&gt;=table!$C$6,#REF!&lt;= table!$D$6),-1,IF(AND(#REF!&gt;=table!$E$6,#REF!&lt;=table!$F$6),1,0))</f>
        <v>#REF!</v>
      </c>
      <c r="R3341" s="5" t="e">
        <f>IF(AND(#REF!&gt;=table!$C$7,#REF!&lt;= table!$D$7),-1,IF(AND(#REF!&gt;=table!$E$7,#REF!&lt;=table!$F$7),1,0))</f>
        <v>#REF!</v>
      </c>
      <c r="S3341" s="5" t="e">
        <f>IF(AND(#REF!&gt;=table!$C$8,#REF!&lt;= table!$D$8),-1,IF(AND(#REF!&gt;=table!$E$8,#REF!&lt;=table!$F$8),1,0))</f>
        <v>#REF!</v>
      </c>
      <c r="T3341" s="5"/>
      <c r="U3341" s="5" t="e">
        <f>IF(AND(#REF!&gt;=table!$C$10,#REF!&lt;= table!$D$10),-1,IF(AND(#REF!&gt;=table!$E$10,#REF!&lt;=table!$F$10),1,0))</f>
        <v>#REF!</v>
      </c>
      <c r="V3341" s="5" t="e">
        <f>IF(AND(#REF!&gt;=table!$C$11,#REF!&lt;= table!$D$11),-1,IF(AND(#REF!&gt;=table!$E$11,#REF!&lt;=table!$F$11),1,0))</f>
        <v>#REF!</v>
      </c>
      <c r="W3341" s="5" t="e">
        <f>CONCATENATE(dados[[#This Row],[fator1]],dados[[#This Row],[fator5]],dados[[#This Row],[fator6]])</f>
        <v>#REF!</v>
      </c>
    </row>
    <row r="3342" spans="1:23">
      <c r="A3342" t="s">
        <v>16</v>
      </c>
      <c r="B3342">
        <v>586841</v>
      </c>
      <c r="C3342">
        <v>0.18</v>
      </c>
      <c r="D3342">
        <v>50</v>
      </c>
      <c r="E3342">
        <v>56</v>
      </c>
      <c r="F3342">
        <v>15</v>
      </c>
      <c r="G3342">
        <v>0</v>
      </c>
      <c r="H3342">
        <v>50</v>
      </c>
      <c r="I3342">
        <v>1160</v>
      </c>
      <c r="J3342">
        <v>0</v>
      </c>
      <c r="K3342">
        <v>4.4750000000000005</v>
      </c>
      <c r="L3342">
        <v>10.450000000000001</v>
      </c>
      <c r="M3342">
        <v>9.5299999999999994</v>
      </c>
      <c r="N3342">
        <v>16.100000000000001</v>
      </c>
      <c r="O3342">
        <v>1678</v>
      </c>
      <c r="P3342">
        <v>0</v>
      </c>
      <c r="Q3342" s="5" t="e">
        <f>IF(AND(#REF!&gt;=table!$C$6,#REF!&lt;= table!$D$6),-1,IF(AND(#REF!&gt;=table!$E$6,#REF!&lt;=table!$F$6),1,0))</f>
        <v>#REF!</v>
      </c>
      <c r="R3342" s="5" t="e">
        <f>IF(AND(#REF!&gt;=table!$C$7,#REF!&lt;= table!$D$7),-1,IF(AND(#REF!&gt;=table!$E$7,#REF!&lt;=table!$F$7),1,0))</f>
        <v>#REF!</v>
      </c>
      <c r="S3342" s="5" t="e">
        <f>IF(AND(#REF!&gt;=table!$C$8,#REF!&lt;= table!$D$8),-1,IF(AND(#REF!&gt;=table!$E$8,#REF!&lt;=table!$F$8),1,0))</f>
        <v>#REF!</v>
      </c>
      <c r="T3342" s="5"/>
      <c r="U3342" s="5" t="e">
        <f>IF(AND(#REF!&gt;=table!$C$10,#REF!&lt;= table!$D$10),-1,IF(AND(#REF!&gt;=table!$E$10,#REF!&lt;=table!$F$10),1,0))</f>
        <v>#REF!</v>
      </c>
      <c r="V3342" s="5" t="e">
        <f>IF(AND(#REF!&gt;=table!$C$11,#REF!&lt;= table!$D$11),-1,IF(AND(#REF!&gt;=table!$E$11,#REF!&lt;=table!$F$11),1,0))</f>
        <v>#REF!</v>
      </c>
      <c r="W3342" s="5" t="e">
        <f>CONCATENATE(dados[[#This Row],[fator1]],dados[[#This Row],[fator5]],dados[[#This Row],[fator6]])</f>
        <v>#REF!</v>
      </c>
    </row>
    <row r="3343" spans="1:23">
      <c r="A3343" t="s">
        <v>16</v>
      </c>
      <c r="B3343">
        <v>586843</v>
      </c>
      <c r="C3343">
        <v>0.18</v>
      </c>
      <c r="D3343">
        <v>50</v>
      </c>
      <c r="E3343">
        <v>56</v>
      </c>
      <c r="F3343">
        <v>15</v>
      </c>
      <c r="G3343">
        <v>0</v>
      </c>
      <c r="H3343">
        <v>50</v>
      </c>
      <c r="I3343">
        <v>1151</v>
      </c>
      <c r="J3343">
        <v>0</v>
      </c>
      <c r="K3343">
        <v>4.7750000000000004</v>
      </c>
      <c r="L3343">
        <v>13.105</v>
      </c>
      <c r="M3343">
        <v>11.505000000000001</v>
      </c>
      <c r="N3343">
        <v>13.63</v>
      </c>
      <c r="O3343">
        <v>1666</v>
      </c>
      <c r="P3343">
        <v>875</v>
      </c>
      <c r="Q3343" s="5" t="e">
        <f>IF(AND(#REF!&gt;=table!$C$6,#REF!&lt;= table!$D$6),-1,IF(AND(#REF!&gt;=table!$E$6,#REF!&lt;=table!$F$6),1,0))</f>
        <v>#REF!</v>
      </c>
      <c r="R3343" s="5" t="e">
        <f>IF(AND(#REF!&gt;=table!$C$7,#REF!&lt;= table!$D$7),-1,IF(AND(#REF!&gt;=table!$E$7,#REF!&lt;=table!$F$7),1,0))</f>
        <v>#REF!</v>
      </c>
      <c r="S3343" s="5" t="e">
        <f>IF(AND(#REF!&gt;=table!$C$8,#REF!&lt;= table!$D$8),-1,IF(AND(#REF!&gt;=table!$E$8,#REF!&lt;=table!$F$8),1,0))</f>
        <v>#REF!</v>
      </c>
      <c r="T3343" s="5"/>
      <c r="U3343" s="5" t="e">
        <f>IF(AND(#REF!&gt;=table!$C$10,#REF!&lt;= table!$D$10),-1,IF(AND(#REF!&gt;=table!$E$10,#REF!&lt;=table!$F$10),1,0))</f>
        <v>#REF!</v>
      </c>
      <c r="V3343" s="5" t="e">
        <f>IF(AND(#REF!&gt;=table!$C$11,#REF!&lt;= table!$D$11),-1,IF(AND(#REF!&gt;=table!$E$11,#REF!&lt;=table!$F$11),1,0))</f>
        <v>#REF!</v>
      </c>
      <c r="W3343" s="5" t="e">
        <f>CONCATENATE(dados[[#This Row],[fator1]],dados[[#This Row],[fator5]],dados[[#This Row],[fator6]])</f>
        <v>#REF!</v>
      </c>
    </row>
    <row r="3344" spans="1:23">
      <c r="A3344" t="s">
        <v>17</v>
      </c>
      <c r="B3344">
        <v>586846</v>
      </c>
      <c r="C3344">
        <v>7</v>
      </c>
      <c r="D3344">
        <v>35</v>
      </c>
      <c r="E3344">
        <v>200</v>
      </c>
      <c r="F3344">
        <v>8</v>
      </c>
      <c r="G3344">
        <v>50</v>
      </c>
      <c r="H3344">
        <v>25</v>
      </c>
      <c r="I3344">
        <v>1</v>
      </c>
      <c r="J3344">
        <v>0</v>
      </c>
      <c r="K3344">
        <v>2.37</v>
      </c>
      <c r="L3344">
        <v>6.6000000000000005</v>
      </c>
      <c r="M3344">
        <v>170.20000000000002</v>
      </c>
      <c r="N3344">
        <v>11.5</v>
      </c>
      <c r="O3344">
        <v>1648</v>
      </c>
      <c r="P3344">
        <v>0</v>
      </c>
      <c r="Q3344" s="5" t="e">
        <f>IF(AND(#REF!&gt;=table!$C$6,#REF!&lt;= table!$D$6),-1,IF(AND(#REF!&gt;=table!$E$6,#REF!&lt;=table!$F$6),1,0))</f>
        <v>#REF!</v>
      </c>
      <c r="R3344" s="5" t="e">
        <f>IF(AND(#REF!&gt;=table!$C$7,#REF!&lt;= table!$D$7),-1,IF(AND(#REF!&gt;=table!$E$7,#REF!&lt;=table!$F$7),1,0))</f>
        <v>#REF!</v>
      </c>
      <c r="S3344" s="5" t="e">
        <f>IF(AND(#REF!&gt;=table!$C$8,#REF!&lt;= table!$D$8),-1,IF(AND(#REF!&gt;=table!$E$8,#REF!&lt;=table!$F$8),1,0))</f>
        <v>#REF!</v>
      </c>
      <c r="T3344" s="5"/>
      <c r="U3344" s="5" t="e">
        <f>IF(AND(#REF!&gt;=table!$C$10,#REF!&lt;= table!$D$10),-1,IF(AND(#REF!&gt;=table!$E$10,#REF!&lt;=table!$F$10),1,0))</f>
        <v>#REF!</v>
      </c>
      <c r="V3344" s="5" t="e">
        <f>IF(AND(#REF!&gt;=table!$C$11,#REF!&lt;= table!$D$11),-1,IF(AND(#REF!&gt;=table!$E$11,#REF!&lt;=table!$F$11),1,0))</f>
        <v>#REF!</v>
      </c>
      <c r="W3344" s="5" t="e">
        <f>CONCATENATE(dados[[#This Row],[fator1]],dados[[#This Row],[fator5]],dados[[#This Row],[fator6]])</f>
        <v>#REF!</v>
      </c>
    </row>
    <row r="3345" spans="1:23">
      <c r="A3345" t="s">
        <v>17</v>
      </c>
      <c r="B3345">
        <v>586852</v>
      </c>
      <c r="C3345">
        <v>6</v>
      </c>
      <c r="D3345">
        <v>30</v>
      </c>
      <c r="E3345">
        <v>110</v>
      </c>
      <c r="F3345">
        <v>10</v>
      </c>
      <c r="G3345">
        <v>21</v>
      </c>
      <c r="H3345">
        <v>25</v>
      </c>
      <c r="I3345">
        <v>764</v>
      </c>
      <c r="J3345">
        <v>0</v>
      </c>
      <c r="K3345">
        <v>4.3333000000000004</v>
      </c>
      <c r="L3345">
        <v>12.65</v>
      </c>
      <c r="M3345">
        <v>95.37</v>
      </c>
      <c r="N3345">
        <v>18.565000000000001</v>
      </c>
      <c r="O3345">
        <v>1664</v>
      </c>
      <c r="P3345">
        <v>716</v>
      </c>
      <c r="Q3345" s="5" t="e">
        <f>IF(AND(#REF!&gt;=table!$C$6,#REF!&lt;= table!$D$6),-1,IF(AND(#REF!&gt;=table!$E$6,#REF!&lt;=table!$F$6),1,0))</f>
        <v>#REF!</v>
      </c>
      <c r="R3345" s="5" t="e">
        <f>IF(AND(#REF!&gt;=table!$C$7,#REF!&lt;= table!$D$7),-1,IF(AND(#REF!&gt;=table!$E$7,#REF!&lt;=table!$F$7),1,0))</f>
        <v>#REF!</v>
      </c>
      <c r="S3345" s="5" t="e">
        <f>IF(AND(#REF!&gt;=table!$C$8,#REF!&lt;= table!$D$8),-1,IF(AND(#REF!&gt;=table!$E$8,#REF!&lt;=table!$F$8),1,0))</f>
        <v>#REF!</v>
      </c>
      <c r="T3345" s="5"/>
      <c r="U3345" s="5" t="e">
        <f>IF(AND(#REF!&gt;=table!$C$10,#REF!&lt;= table!$D$10),-1,IF(AND(#REF!&gt;=table!$E$10,#REF!&lt;=table!$F$10),1,0))</f>
        <v>#REF!</v>
      </c>
      <c r="V3345" s="5" t="e">
        <f>IF(AND(#REF!&gt;=table!$C$11,#REF!&lt;= table!$D$11),-1,IF(AND(#REF!&gt;=table!$E$11,#REF!&lt;=table!$F$11),1,0))</f>
        <v>#REF!</v>
      </c>
      <c r="W3345" s="5" t="e">
        <f>CONCATENATE(dados[[#This Row],[fator1]],dados[[#This Row],[fator5]],dados[[#This Row],[fator6]])</f>
        <v>#REF!</v>
      </c>
    </row>
    <row r="3346" spans="1:23">
      <c r="A3346" t="s">
        <v>16</v>
      </c>
      <c r="B3346">
        <v>586854</v>
      </c>
      <c r="C3346">
        <v>0.15</v>
      </c>
      <c r="D3346">
        <v>40</v>
      </c>
      <c r="E3346">
        <v>10</v>
      </c>
      <c r="F3346">
        <v>15</v>
      </c>
      <c r="G3346">
        <v>0</v>
      </c>
      <c r="H3346">
        <v>15</v>
      </c>
      <c r="I3346">
        <v>1115</v>
      </c>
      <c r="J3346">
        <v>0</v>
      </c>
      <c r="K3346">
        <v>5.8250000000000002</v>
      </c>
      <c r="L3346">
        <v>12.18</v>
      </c>
      <c r="M3346">
        <v>9.9500000000000011</v>
      </c>
      <c r="N3346">
        <v>11.450000000000001</v>
      </c>
      <c r="O3346">
        <v>1660</v>
      </c>
      <c r="P3346">
        <v>450</v>
      </c>
      <c r="Q3346" s="5" t="e">
        <f>IF(AND(#REF!&gt;=table!$C$6,#REF!&lt;= table!$D$6),-1,IF(AND(#REF!&gt;=table!$E$6,#REF!&lt;=table!$F$6),1,0))</f>
        <v>#REF!</v>
      </c>
      <c r="R3346" s="5" t="e">
        <f>IF(AND(#REF!&gt;=table!$C$7,#REF!&lt;= table!$D$7),-1,IF(AND(#REF!&gt;=table!$E$7,#REF!&lt;=table!$F$7),1,0))</f>
        <v>#REF!</v>
      </c>
      <c r="S3346" s="5" t="e">
        <f>IF(AND(#REF!&gt;=table!$C$8,#REF!&lt;= table!$D$8),-1,IF(AND(#REF!&gt;=table!$E$8,#REF!&lt;=table!$F$8),1,0))</f>
        <v>#REF!</v>
      </c>
      <c r="T3346" s="5"/>
      <c r="U3346" s="5" t="e">
        <f>IF(AND(#REF!&gt;=table!$C$10,#REF!&lt;= table!$D$10),-1,IF(AND(#REF!&gt;=table!$E$10,#REF!&lt;=table!$F$10),1,0))</f>
        <v>#REF!</v>
      </c>
      <c r="V3346" s="5" t="e">
        <f>IF(AND(#REF!&gt;=table!$C$11,#REF!&lt;= table!$D$11),-1,IF(AND(#REF!&gt;=table!$E$11,#REF!&lt;=table!$F$11),1,0))</f>
        <v>#REF!</v>
      </c>
      <c r="W3346" s="5" t="e">
        <f>CONCATENATE(dados[[#This Row],[fator1]],dados[[#This Row],[fator5]],dados[[#This Row],[fator6]])</f>
        <v>#REF!</v>
      </c>
    </row>
    <row r="3347" spans="1:23">
      <c r="A3347" t="s">
        <v>18</v>
      </c>
      <c r="B3347">
        <v>586858</v>
      </c>
      <c r="C3347">
        <v>29</v>
      </c>
      <c r="D3347">
        <v>2.5</v>
      </c>
      <c r="E3347">
        <v>86</v>
      </c>
      <c r="F3347">
        <v>10</v>
      </c>
      <c r="G3347">
        <v>28</v>
      </c>
      <c r="H3347">
        <v>25</v>
      </c>
      <c r="I3347">
        <v>0</v>
      </c>
      <c r="J3347">
        <v>0</v>
      </c>
      <c r="K3347">
        <v>6.1400000000000006</v>
      </c>
      <c r="L3347">
        <v>8.3049999999999997</v>
      </c>
      <c r="M3347">
        <v>83.05</v>
      </c>
      <c r="N3347">
        <v>12</v>
      </c>
      <c r="O3347">
        <v>1668</v>
      </c>
      <c r="P3347">
        <v>554</v>
      </c>
      <c r="Q3347" s="5" t="e">
        <f>IF(AND(#REF!&gt;=table!$C$6,#REF!&lt;= table!$D$6),-1,IF(AND(#REF!&gt;=table!$E$6,#REF!&lt;=table!$F$6),1,0))</f>
        <v>#REF!</v>
      </c>
      <c r="R3347" s="5" t="e">
        <f>IF(AND(#REF!&gt;=table!$C$7,#REF!&lt;= table!$D$7),-1,IF(AND(#REF!&gt;=table!$E$7,#REF!&lt;=table!$F$7),1,0))</f>
        <v>#REF!</v>
      </c>
      <c r="S3347" s="5" t="e">
        <f>IF(AND(#REF!&gt;=table!$C$8,#REF!&lt;= table!$D$8),-1,IF(AND(#REF!&gt;=table!$E$8,#REF!&lt;=table!$F$8),1,0))</f>
        <v>#REF!</v>
      </c>
      <c r="T3347" s="5"/>
      <c r="U3347" s="5" t="e">
        <f>IF(AND(#REF!&gt;=table!$C$10,#REF!&lt;= table!$D$10),-1,IF(AND(#REF!&gt;=table!$E$10,#REF!&lt;=table!$F$10),1,0))</f>
        <v>#REF!</v>
      </c>
      <c r="V3347" s="5" t="e">
        <f>IF(AND(#REF!&gt;=table!$C$11,#REF!&lt;= table!$D$11),-1,IF(AND(#REF!&gt;=table!$E$11,#REF!&lt;=table!$F$11),1,0))</f>
        <v>#REF!</v>
      </c>
      <c r="W3347" s="5" t="e">
        <f>CONCATENATE(dados[[#This Row],[fator1]],dados[[#This Row],[fator5]],dados[[#This Row],[fator6]])</f>
        <v>#REF!</v>
      </c>
    </row>
    <row r="3348" spans="1:23">
      <c r="A3348" t="s">
        <v>18</v>
      </c>
      <c r="B3348">
        <v>586859</v>
      </c>
      <c r="C3348">
        <v>31</v>
      </c>
      <c r="D3348">
        <v>2.5</v>
      </c>
      <c r="E3348">
        <v>86</v>
      </c>
      <c r="F3348">
        <v>10</v>
      </c>
      <c r="G3348">
        <v>28</v>
      </c>
      <c r="H3348">
        <v>25</v>
      </c>
      <c r="I3348">
        <v>476</v>
      </c>
      <c r="J3348">
        <v>0</v>
      </c>
      <c r="K3348">
        <v>6.24</v>
      </c>
      <c r="L3348">
        <v>13.8</v>
      </c>
      <c r="M3348">
        <v>77.75</v>
      </c>
      <c r="N3348">
        <v>14.3</v>
      </c>
      <c r="O3348">
        <v>1654</v>
      </c>
      <c r="P3348">
        <v>370</v>
      </c>
      <c r="Q3348" s="5" t="e">
        <f>IF(AND(#REF!&gt;=table!$C$6,#REF!&lt;= table!$D$6),-1,IF(AND(#REF!&gt;=table!$E$6,#REF!&lt;=table!$F$6),1,0))</f>
        <v>#REF!</v>
      </c>
      <c r="R3348" s="5" t="e">
        <f>IF(AND(#REF!&gt;=table!$C$7,#REF!&lt;= table!$D$7),-1,IF(AND(#REF!&gt;=table!$E$7,#REF!&lt;=table!$F$7),1,0))</f>
        <v>#REF!</v>
      </c>
      <c r="S3348" s="5" t="e">
        <f>IF(AND(#REF!&gt;=table!$C$8,#REF!&lt;= table!$D$8),-1,IF(AND(#REF!&gt;=table!$E$8,#REF!&lt;=table!$F$8),1,0))</f>
        <v>#REF!</v>
      </c>
      <c r="T3348" s="5"/>
      <c r="U3348" s="5" t="e">
        <f>IF(AND(#REF!&gt;=table!$C$10,#REF!&lt;= table!$D$10),-1,IF(AND(#REF!&gt;=table!$E$10,#REF!&lt;=table!$F$10),1,0))</f>
        <v>#REF!</v>
      </c>
      <c r="V3348" s="5" t="e">
        <f>IF(AND(#REF!&gt;=table!$C$11,#REF!&lt;= table!$D$11),-1,IF(AND(#REF!&gt;=table!$E$11,#REF!&lt;=table!$F$11),1,0))</f>
        <v>#REF!</v>
      </c>
      <c r="W3348" s="5" t="e">
        <f>CONCATENATE(dados[[#This Row],[fator1]],dados[[#This Row],[fator5]],dados[[#This Row],[fator6]])</f>
        <v>#REF!</v>
      </c>
    </row>
    <row r="3349" spans="1:23">
      <c r="A3349" t="s">
        <v>16</v>
      </c>
      <c r="B3349">
        <v>586861</v>
      </c>
      <c r="C3349">
        <v>0.15</v>
      </c>
      <c r="D3349">
        <v>40</v>
      </c>
      <c r="E3349">
        <v>10</v>
      </c>
      <c r="F3349">
        <v>15</v>
      </c>
      <c r="G3349">
        <v>0</v>
      </c>
      <c r="H3349">
        <v>15</v>
      </c>
      <c r="I3349">
        <v>2</v>
      </c>
      <c r="J3349">
        <v>0</v>
      </c>
      <c r="K3349">
        <v>3.3200000000000003</v>
      </c>
      <c r="L3349">
        <v>10.950000000000001</v>
      </c>
      <c r="M3349">
        <v>7.55</v>
      </c>
      <c r="N3349">
        <v>11</v>
      </c>
      <c r="O3349">
        <v>1701</v>
      </c>
      <c r="P3349">
        <v>1009</v>
      </c>
      <c r="Q3349" s="5" t="e">
        <f>IF(AND(#REF!&gt;=table!$C$6,#REF!&lt;= table!$D$6),-1,IF(AND(#REF!&gt;=table!$E$6,#REF!&lt;=table!$F$6),1,0))</f>
        <v>#REF!</v>
      </c>
      <c r="R3349" s="5" t="e">
        <f>IF(AND(#REF!&gt;=table!$C$7,#REF!&lt;= table!$D$7),-1,IF(AND(#REF!&gt;=table!$E$7,#REF!&lt;=table!$F$7),1,0))</f>
        <v>#REF!</v>
      </c>
      <c r="S3349" s="5" t="e">
        <f>IF(AND(#REF!&gt;=table!$C$8,#REF!&lt;= table!$D$8),-1,IF(AND(#REF!&gt;=table!$E$8,#REF!&lt;=table!$F$8),1,0))</f>
        <v>#REF!</v>
      </c>
      <c r="T3349" s="5"/>
      <c r="U3349" s="5" t="e">
        <f>IF(AND(#REF!&gt;=table!$C$10,#REF!&lt;= table!$D$10),-1,IF(AND(#REF!&gt;=table!$E$10,#REF!&lt;=table!$F$10),1,0))</f>
        <v>#REF!</v>
      </c>
      <c r="V3349" s="5" t="e">
        <f>IF(AND(#REF!&gt;=table!$C$11,#REF!&lt;= table!$D$11),-1,IF(AND(#REF!&gt;=table!$E$11,#REF!&lt;=table!$F$11),1,0))</f>
        <v>#REF!</v>
      </c>
      <c r="W3349" s="5" t="e">
        <f>CONCATENATE(dados[[#This Row],[fator1]],dados[[#This Row],[fator5]],dados[[#This Row],[fator6]])</f>
        <v>#REF!</v>
      </c>
    </row>
    <row r="3350" spans="1:23">
      <c r="A3350" t="s">
        <v>16</v>
      </c>
      <c r="B3350">
        <v>586862</v>
      </c>
      <c r="C3350">
        <v>0.1</v>
      </c>
      <c r="D3350">
        <v>40</v>
      </c>
      <c r="E3350">
        <v>10</v>
      </c>
      <c r="F3350">
        <v>8</v>
      </c>
      <c r="G3350">
        <v>0</v>
      </c>
      <c r="H3350">
        <v>10</v>
      </c>
      <c r="I3350">
        <v>0</v>
      </c>
      <c r="J3350">
        <v>0</v>
      </c>
      <c r="K3350">
        <v>3.64</v>
      </c>
      <c r="L3350">
        <v>8.9</v>
      </c>
      <c r="M3350">
        <v>7.8</v>
      </c>
      <c r="N3350">
        <v>10.3</v>
      </c>
      <c r="O3350">
        <v>1685</v>
      </c>
      <c r="P3350">
        <v>819</v>
      </c>
      <c r="Q3350" s="5" t="e">
        <f>IF(AND(#REF!&gt;=table!$C$6,#REF!&lt;= table!$D$6),-1,IF(AND(#REF!&gt;=table!$E$6,#REF!&lt;=table!$F$6),1,0))</f>
        <v>#REF!</v>
      </c>
      <c r="R3350" s="5" t="e">
        <f>IF(AND(#REF!&gt;=table!$C$7,#REF!&lt;= table!$D$7),-1,IF(AND(#REF!&gt;=table!$E$7,#REF!&lt;=table!$F$7),1,0))</f>
        <v>#REF!</v>
      </c>
      <c r="S3350" s="5" t="e">
        <f>IF(AND(#REF!&gt;=table!$C$8,#REF!&lt;= table!$D$8),-1,IF(AND(#REF!&gt;=table!$E$8,#REF!&lt;=table!$F$8),1,0))</f>
        <v>#REF!</v>
      </c>
      <c r="T3350" s="5"/>
      <c r="U3350" s="5" t="e">
        <f>IF(AND(#REF!&gt;=table!$C$10,#REF!&lt;= table!$D$10),-1,IF(AND(#REF!&gt;=table!$E$10,#REF!&lt;=table!$F$10),1,0))</f>
        <v>#REF!</v>
      </c>
      <c r="V3350" s="5" t="e">
        <f>IF(AND(#REF!&gt;=table!$C$11,#REF!&lt;= table!$D$11),-1,IF(AND(#REF!&gt;=table!$E$11,#REF!&lt;=table!$F$11),1,0))</f>
        <v>#REF!</v>
      </c>
      <c r="W3350" s="5" t="e">
        <f>CONCATENATE(dados[[#This Row],[fator1]],dados[[#This Row],[fator5]],dados[[#This Row],[fator6]])</f>
        <v>#REF!</v>
      </c>
    </row>
    <row r="3351" spans="1:23">
      <c r="A3351" t="s">
        <v>16</v>
      </c>
      <c r="B3351">
        <v>586863</v>
      </c>
      <c r="C3351">
        <v>0.1</v>
      </c>
      <c r="D3351">
        <v>40</v>
      </c>
      <c r="E3351">
        <v>10</v>
      </c>
      <c r="F3351">
        <v>8</v>
      </c>
      <c r="G3351">
        <v>0</v>
      </c>
      <c r="H3351">
        <v>10</v>
      </c>
      <c r="I3351">
        <v>1305</v>
      </c>
      <c r="J3351">
        <v>0</v>
      </c>
      <c r="K3351">
        <v>3.4350000000000001</v>
      </c>
      <c r="L3351">
        <v>8.7000000000000011</v>
      </c>
      <c r="M3351">
        <v>7.95</v>
      </c>
      <c r="N3351">
        <v>8.8000000000000007</v>
      </c>
      <c r="O3351">
        <v>1669</v>
      </c>
      <c r="P3351">
        <v>0</v>
      </c>
      <c r="Q3351" s="5" t="e">
        <f>IF(AND(#REF!&gt;=table!$C$6,#REF!&lt;= table!$D$6),-1,IF(AND(#REF!&gt;=table!$E$6,#REF!&lt;=table!$F$6),1,0))</f>
        <v>#REF!</v>
      </c>
      <c r="R3351" s="5" t="e">
        <f>IF(AND(#REF!&gt;=table!$C$7,#REF!&lt;= table!$D$7),-1,IF(AND(#REF!&gt;=table!$E$7,#REF!&lt;=table!$F$7),1,0))</f>
        <v>#REF!</v>
      </c>
      <c r="S3351" s="5" t="e">
        <f>IF(AND(#REF!&gt;=table!$C$8,#REF!&lt;= table!$D$8),-1,IF(AND(#REF!&gt;=table!$E$8,#REF!&lt;=table!$F$8),1,0))</f>
        <v>#REF!</v>
      </c>
      <c r="T3351" s="5"/>
      <c r="U3351" s="5" t="e">
        <f>IF(AND(#REF!&gt;=table!$C$10,#REF!&lt;= table!$D$10),-1,IF(AND(#REF!&gt;=table!$E$10,#REF!&lt;=table!$F$10),1,0))</f>
        <v>#REF!</v>
      </c>
      <c r="V3351" s="5" t="e">
        <f>IF(AND(#REF!&gt;=table!$C$11,#REF!&lt;= table!$D$11),-1,IF(AND(#REF!&gt;=table!$E$11,#REF!&lt;=table!$F$11),1,0))</f>
        <v>#REF!</v>
      </c>
      <c r="W3351" s="5" t="e">
        <f>CONCATENATE(dados[[#This Row],[fator1]],dados[[#This Row],[fator5]],dados[[#This Row],[fator6]])</f>
        <v>#REF!</v>
      </c>
    </row>
    <row r="3352" spans="1:23">
      <c r="A3352" t="s">
        <v>16</v>
      </c>
      <c r="B3352">
        <v>586866</v>
      </c>
      <c r="C3352">
        <v>0.1</v>
      </c>
      <c r="D3352">
        <v>40</v>
      </c>
      <c r="E3352">
        <v>10</v>
      </c>
      <c r="F3352">
        <v>8</v>
      </c>
      <c r="G3352">
        <v>0</v>
      </c>
      <c r="H3352">
        <v>10</v>
      </c>
      <c r="I3352">
        <v>1491</v>
      </c>
      <c r="J3352">
        <v>0</v>
      </c>
      <c r="K3352">
        <v>3.92</v>
      </c>
      <c r="L3352">
        <v>7.5</v>
      </c>
      <c r="M3352">
        <v>6.6000000000000005</v>
      </c>
      <c r="N3352">
        <v>9.8000000000000007</v>
      </c>
      <c r="O3352">
        <v>1707</v>
      </c>
      <c r="P3352">
        <v>0</v>
      </c>
      <c r="Q3352" s="5" t="e">
        <f>IF(AND(#REF!&gt;=table!$C$6,#REF!&lt;= table!$D$6),-1,IF(AND(#REF!&gt;=table!$E$6,#REF!&lt;=table!$F$6),1,0))</f>
        <v>#REF!</v>
      </c>
      <c r="R3352" s="5" t="e">
        <f>IF(AND(#REF!&gt;=table!$C$7,#REF!&lt;= table!$D$7),-1,IF(AND(#REF!&gt;=table!$E$7,#REF!&lt;=table!$F$7),1,0))</f>
        <v>#REF!</v>
      </c>
      <c r="S3352" s="5" t="e">
        <f>IF(AND(#REF!&gt;=table!$C$8,#REF!&lt;= table!$D$8),-1,IF(AND(#REF!&gt;=table!$E$8,#REF!&lt;=table!$F$8),1,0))</f>
        <v>#REF!</v>
      </c>
      <c r="T3352" s="5"/>
      <c r="U3352" s="5" t="e">
        <f>IF(AND(#REF!&gt;=table!$C$10,#REF!&lt;= table!$D$10),-1,IF(AND(#REF!&gt;=table!$E$10,#REF!&lt;=table!$F$10),1,0))</f>
        <v>#REF!</v>
      </c>
      <c r="V3352" s="5" t="e">
        <f>IF(AND(#REF!&gt;=table!$C$11,#REF!&lt;= table!$D$11),-1,IF(AND(#REF!&gt;=table!$E$11,#REF!&lt;=table!$F$11),1,0))</f>
        <v>#REF!</v>
      </c>
      <c r="W3352" s="5" t="e">
        <f>CONCATENATE(dados[[#This Row],[fator1]],dados[[#This Row],[fator5]],dados[[#This Row],[fator6]])</f>
        <v>#REF!</v>
      </c>
    </row>
    <row r="3353" spans="1:23">
      <c r="A3353" t="s">
        <v>16</v>
      </c>
      <c r="B3353">
        <v>586868</v>
      </c>
      <c r="C3353">
        <v>10</v>
      </c>
      <c r="D3353">
        <v>30</v>
      </c>
      <c r="E3353">
        <v>150</v>
      </c>
      <c r="F3353">
        <v>4</v>
      </c>
      <c r="G3353">
        <v>0</v>
      </c>
      <c r="H3353">
        <v>25</v>
      </c>
      <c r="I3353">
        <v>1091</v>
      </c>
      <c r="J3353">
        <v>0</v>
      </c>
      <c r="K3353">
        <v>4.2700000000000005</v>
      </c>
      <c r="L3353">
        <v>8.4</v>
      </c>
      <c r="M3353">
        <v>97.850000000000009</v>
      </c>
      <c r="N3353">
        <v>14.1</v>
      </c>
      <c r="O3353">
        <v>1681</v>
      </c>
      <c r="P3353">
        <v>837</v>
      </c>
      <c r="Q3353" s="5" t="e">
        <f>IF(AND(#REF!&gt;=table!$C$6,#REF!&lt;= table!$D$6),-1,IF(AND(#REF!&gt;=table!$E$6,#REF!&lt;=table!$F$6),1,0))</f>
        <v>#REF!</v>
      </c>
      <c r="R3353" s="5" t="e">
        <f>IF(AND(#REF!&gt;=table!$C$7,#REF!&lt;= table!$D$7),-1,IF(AND(#REF!&gt;=table!$E$7,#REF!&lt;=table!$F$7),1,0))</f>
        <v>#REF!</v>
      </c>
      <c r="S3353" s="5" t="e">
        <f>IF(AND(#REF!&gt;=table!$C$8,#REF!&lt;= table!$D$8),-1,IF(AND(#REF!&gt;=table!$E$8,#REF!&lt;=table!$F$8),1,0))</f>
        <v>#REF!</v>
      </c>
      <c r="T3353" s="5"/>
      <c r="U3353" s="5" t="e">
        <f>IF(AND(#REF!&gt;=table!$C$10,#REF!&lt;= table!$D$10),-1,IF(AND(#REF!&gt;=table!$E$10,#REF!&lt;=table!$F$10),1,0))</f>
        <v>#REF!</v>
      </c>
      <c r="V3353" s="5" t="e">
        <f>IF(AND(#REF!&gt;=table!$C$11,#REF!&lt;= table!$D$11),-1,IF(AND(#REF!&gt;=table!$E$11,#REF!&lt;=table!$F$11),1,0))</f>
        <v>#REF!</v>
      </c>
      <c r="W3353" s="5" t="e">
        <f>CONCATENATE(dados[[#This Row],[fator1]],dados[[#This Row],[fator5]],dados[[#This Row],[fator6]])</f>
        <v>#REF!</v>
      </c>
    </row>
    <row r="3354" spans="1:23">
      <c r="A3354" t="s">
        <v>17</v>
      </c>
      <c r="B3354">
        <v>586871</v>
      </c>
      <c r="C3354">
        <v>0.15</v>
      </c>
      <c r="D3354">
        <v>500</v>
      </c>
      <c r="E3354">
        <v>50</v>
      </c>
      <c r="F3354">
        <v>10</v>
      </c>
      <c r="G3354">
        <v>80</v>
      </c>
      <c r="H3354">
        <v>30</v>
      </c>
      <c r="I3354">
        <v>930</v>
      </c>
      <c r="J3354">
        <v>0</v>
      </c>
      <c r="K3354">
        <v>3.0950000000000002</v>
      </c>
      <c r="L3354">
        <v>9.75</v>
      </c>
      <c r="M3354">
        <v>7.3500000000000005</v>
      </c>
      <c r="N3354">
        <v>13.4</v>
      </c>
      <c r="O3354">
        <v>1669</v>
      </c>
      <c r="P3354">
        <v>1045</v>
      </c>
      <c r="Q3354" s="5" t="e">
        <f>IF(AND(#REF!&gt;=table!$C$6,#REF!&lt;= table!$D$6),-1,IF(AND(#REF!&gt;=table!$E$6,#REF!&lt;=table!$F$6),1,0))</f>
        <v>#REF!</v>
      </c>
      <c r="R3354" s="5" t="e">
        <f>IF(AND(#REF!&gt;=table!$C$7,#REF!&lt;= table!$D$7),-1,IF(AND(#REF!&gt;=table!$E$7,#REF!&lt;=table!$F$7),1,0))</f>
        <v>#REF!</v>
      </c>
      <c r="S3354" s="5" t="e">
        <f>IF(AND(#REF!&gt;=table!$C$8,#REF!&lt;= table!$D$8),-1,IF(AND(#REF!&gt;=table!$E$8,#REF!&lt;=table!$F$8),1,0))</f>
        <v>#REF!</v>
      </c>
      <c r="T3354" s="5"/>
      <c r="U3354" s="5" t="e">
        <f>IF(AND(#REF!&gt;=table!$C$10,#REF!&lt;= table!$D$10),-1,IF(AND(#REF!&gt;=table!$E$10,#REF!&lt;=table!$F$10),1,0))</f>
        <v>#REF!</v>
      </c>
      <c r="V3354" s="5" t="e">
        <f>IF(AND(#REF!&gt;=table!$C$11,#REF!&lt;= table!$D$11),-1,IF(AND(#REF!&gt;=table!$E$11,#REF!&lt;=table!$F$11),1,0))</f>
        <v>#REF!</v>
      </c>
      <c r="W3354" s="5" t="e">
        <f>CONCATENATE(dados[[#This Row],[fator1]],dados[[#This Row],[fator5]],dados[[#This Row],[fator6]])</f>
        <v>#REF!</v>
      </c>
    </row>
    <row r="3355" spans="1:23">
      <c r="A3355" t="s">
        <v>16</v>
      </c>
      <c r="B3355">
        <v>586876</v>
      </c>
      <c r="C3355">
        <v>12</v>
      </c>
      <c r="D3355">
        <v>35</v>
      </c>
      <c r="E3355">
        <v>180</v>
      </c>
      <c r="F3355">
        <v>6</v>
      </c>
      <c r="G3355">
        <v>0</v>
      </c>
      <c r="H3355">
        <v>20</v>
      </c>
      <c r="I3355">
        <v>0</v>
      </c>
      <c r="J3355">
        <v>390</v>
      </c>
      <c r="K3355">
        <v>2.665</v>
      </c>
      <c r="L3355">
        <v>3.65</v>
      </c>
      <c r="M3355">
        <v>72.855000000000004</v>
      </c>
      <c r="N3355">
        <v>9.92</v>
      </c>
      <c r="O3355">
        <v>1649</v>
      </c>
      <c r="P3355">
        <v>1083</v>
      </c>
      <c r="Q3355" s="5" t="e">
        <f>IF(AND(#REF!&gt;=table!$C$6,#REF!&lt;= table!$D$6),-1,IF(AND(#REF!&gt;=table!$E$6,#REF!&lt;=table!$F$6),1,0))</f>
        <v>#REF!</v>
      </c>
      <c r="R3355" s="5" t="e">
        <f>IF(AND(#REF!&gt;=table!$C$7,#REF!&lt;= table!$D$7),-1,IF(AND(#REF!&gt;=table!$E$7,#REF!&lt;=table!$F$7),1,0))</f>
        <v>#REF!</v>
      </c>
      <c r="S3355" s="5" t="e">
        <f>IF(AND(#REF!&gt;=table!$C$8,#REF!&lt;= table!$D$8),-1,IF(AND(#REF!&gt;=table!$E$8,#REF!&lt;=table!$F$8),1,0))</f>
        <v>#REF!</v>
      </c>
      <c r="T3355" s="5"/>
      <c r="U3355" s="5" t="e">
        <f>IF(AND(#REF!&gt;=table!$C$10,#REF!&lt;= table!$D$10),-1,IF(AND(#REF!&gt;=table!$E$10,#REF!&lt;=table!$F$10),1,0))</f>
        <v>#REF!</v>
      </c>
      <c r="V3355" s="5" t="e">
        <f>IF(AND(#REF!&gt;=table!$C$11,#REF!&lt;= table!$D$11),-1,IF(AND(#REF!&gt;=table!$E$11,#REF!&lt;=table!$F$11),1,0))</f>
        <v>#REF!</v>
      </c>
      <c r="W3355" s="5" t="e">
        <f>CONCATENATE(dados[[#This Row],[fator1]],dados[[#This Row],[fator5]],dados[[#This Row],[fator6]])</f>
        <v>#REF!</v>
      </c>
    </row>
    <row r="3356" spans="1:23">
      <c r="A3356" t="s">
        <v>17</v>
      </c>
      <c r="B3356">
        <v>586877</v>
      </c>
      <c r="C3356">
        <v>29</v>
      </c>
      <c r="D3356">
        <v>30</v>
      </c>
      <c r="E3356">
        <v>126</v>
      </c>
      <c r="F3356">
        <v>6</v>
      </c>
      <c r="G3356">
        <v>23</v>
      </c>
      <c r="H3356">
        <v>23</v>
      </c>
      <c r="I3356">
        <v>981</v>
      </c>
      <c r="J3356">
        <v>0</v>
      </c>
      <c r="K3356">
        <v>3.8850000000000002</v>
      </c>
      <c r="L3356">
        <v>6.7</v>
      </c>
      <c r="M3356">
        <v>102.60000000000001</v>
      </c>
      <c r="N3356">
        <v>12.700000000000001</v>
      </c>
      <c r="O3356">
        <v>1686</v>
      </c>
      <c r="P3356">
        <v>758</v>
      </c>
      <c r="Q3356" s="5" t="e">
        <f>IF(AND(#REF!&gt;=table!$C$6,#REF!&lt;= table!$D$6),-1,IF(AND(#REF!&gt;=table!$E$6,#REF!&lt;=table!$F$6),1,0))</f>
        <v>#REF!</v>
      </c>
      <c r="R3356" s="5" t="e">
        <f>IF(AND(#REF!&gt;=table!$C$7,#REF!&lt;= table!$D$7),-1,IF(AND(#REF!&gt;=table!$E$7,#REF!&lt;=table!$F$7),1,0))</f>
        <v>#REF!</v>
      </c>
      <c r="S3356" s="5" t="e">
        <f>IF(AND(#REF!&gt;=table!$C$8,#REF!&lt;= table!$D$8),-1,IF(AND(#REF!&gt;=table!$E$8,#REF!&lt;=table!$F$8),1,0))</f>
        <v>#REF!</v>
      </c>
      <c r="T3356" s="5"/>
      <c r="U3356" s="5" t="e">
        <f>IF(AND(#REF!&gt;=table!$C$10,#REF!&lt;= table!$D$10),-1,IF(AND(#REF!&gt;=table!$E$10,#REF!&lt;=table!$F$10),1,0))</f>
        <v>#REF!</v>
      </c>
      <c r="V3356" s="5" t="e">
        <f>IF(AND(#REF!&gt;=table!$C$11,#REF!&lt;= table!$D$11),-1,IF(AND(#REF!&gt;=table!$E$11,#REF!&lt;=table!$F$11),1,0))</f>
        <v>#REF!</v>
      </c>
      <c r="W3356" s="5" t="e">
        <f>CONCATENATE(dados[[#This Row],[fator1]],dados[[#This Row],[fator5]],dados[[#This Row],[fator6]])</f>
        <v>#REF!</v>
      </c>
    </row>
    <row r="3357" spans="1:23">
      <c r="A3357" t="s">
        <v>17</v>
      </c>
      <c r="B3357">
        <v>586878</v>
      </c>
      <c r="C3357">
        <v>29</v>
      </c>
      <c r="D3357">
        <v>30</v>
      </c>
      <c r="E3357">
        <v>126</v>
      </c>
      <c r="F3357">
        <v>6</v>
      </c>
      <c r="G3357">
        <v>23</v>
      </c>
      <c r="H3357">
        <v>23</v>
      </c>
      <c r="I3357">
        <v>391</v>
      </c>
      <c r="J3357">
        <v>0</v>
      </c>
      <c r="K3357">
        <v>4.335</v>
      </c>
      <c r="L3357">
        <v>7.5</v>
      </c>
      <c r="M3357">
        <v>72</v>
      </c>
      <c r="N3357">
        <v>10.55</v>
      </c>
      <c r="O3357">
        <v>1672</v>
      </c>
      <c r="P3357">
        <v>793</v>
      </c>
      <c r="Q3357" s="5" t="e">
        <f>IF(AND(#REF!&gt;=table!$C$6,#REF!&lt;= table!$D$6),-1,IF(AND(#REF!&gt;=table!$E$6,#REF!&lt;=table!$F$6),1,0))</f>
        <v>#REF!</v>
      </c>
      <c r="R3357" s="5" t="e">
        <f>IF(AND(#REF!&gt;=table!$C$7,#REF!&lt;= table!$D$7),-1,IF(AND(#REF!&gt;=table!$E$7,#REF!&lt;=table!$F$7),1,0))</f>
        <v>#REF!</v>
      </c>
      <c r="S3357" s="5" t="e">
        <f>IF(AND(#REF!&gt;=table!$C$8,#REF!&lt;= table!$D$8),-1,IF(AND(#REF!&gt;=table!$E$8,#REF!&lt;=table!$F$8),1,0))</f>
        <v>#REF!</v>
      </c>
      <c r="T3357" s="5"/>
      <c r="U3357" s="5" t="e">
        <f>IF(AND(#REF!&gt;=table!$C$10,#REF!&lt;= table!$D$10),-1,IF(AND(#REF!&gt;=table!$E$10,#REF!&lt;=table!$F$10),1,0))</f>
        <v>#REF!</v>
      </c>
      <c r="V3357" s="5" t="e">
        <f>IF(AND(#REF!&gt;=table!$C$11,#REF!&lt;= table!$D$11),-1,IF(AND(#REF!&gt;=table!$E$11,#REF!&lt;=table!$F$11),1,0))</f>
        <v>#REF!</v>
      </c>
      <c r="W3357" s="5" t="e">
        <f>CONCATENATE(dados[[#This Row],[fator1]],dados[[#This Row],[fator5]],dados[[#This Row],[fator6]])</f>
        <v>#REF!</v>
      </c>
    </row>
    <row r="3358" spans="1:23">
      <c r="A3358" t="s">
        <v>16</v>
      </c>
      <c r="B3358">
        <v>586887</v>
      </c>
      <c r="C3358">
        <v>0.15</v>
      </c>
      <c r="D3358">
        <v>35</v>
      </c>
      <c r="E3358">
        <v>15</v>
      </c>
      <c r="F3358">
        <v>10</v>
      </c>
      <c r="G3358">
        <v>0</v>
      </c>
      <c r="H3358">
        <v>12</v>
      </c>
      <c r="I3358">
        <v>875</v>
      </c>
      <c r="J3358">
        <v>0</v>
      </c>
      <c r="K3358">
        <v>4.72</v>
      </c>
      <c r="L3358">
        <v>7.8550000000000004</v>
      </c>
      <c r="M3358">
        <v>6.16</v>
      </c>
      <c r="N3358">
        <v>7.9350000000000005</v>
      </c>
      <c r="O3358">
        <v>1691</v>
      </c>
      <c r="P3358">
        <v>0</v>
      </c>
      <c r="Q3358" s="5" t="e">
        <f>IF(AND(#REF!&gt;=table!$C$6,#REF!&lt;= table!$D$6),-1,IF(AND(#REF!&gt;=table!$E$6,#REF!&lt;=table!$F$6),1,0))</f>
        <v>#REF!</v>
      </c>
      <c r="R3358" s="5" t="e">
        <f>IF(AND(#REF!&gt;=table!$C$7,#REF!&lt;= table!$D$7),-1,IF(AND(#REF!&gt;=table!$E$7,#REF!&lt;=table!$F$7),1,0))</f>
        <v>#REF!</v>
      </c>
      <c r="S3358" s="5" t="e">
        <f>IF(AND(#REF!&gt;=table!$C$8,#REF!&lt;= table!$D$8),-1,IF(AND(#REF!&gt;=table!$E$8,#REF!&lt;=table!$F$8),1,0))</f>
        <v>#REF!</v>
      </c>
      <c r="T3358" s="5"/>
      <c r="U3358" s="5" t="e">
        <f>IF(AND(#REF!&gt;=table!$C$10,#REF!&lt;= table!$D$10),-1,IF(AND(#REF!&gt;=table!$E$10,#REF!&lt;=table!$F$10),1,0))</f>
        <v>#REF!</v>
      </c>
      <c r="V3358" s="5" t="e">
        <f>IF(AND(#REF!&gt;=table!$C$11,#REF!&lt;= table!$D$11),-1,IF(AND(#REF!&gt;=table!$E$11,#REF!&lt;=table!$F$11),1,0))</f>
        <v>#REF!</v>
      </c>
      <c r="W3358" s="5" t="e">
        <f>CONCATENATE(dados[[#This Row],[fator1]],dados[[#This Row],[fator5]],dados[[#This Row],[fator6]])</f>
        <v>#REF!</v>
      </c>
    </row>
    <row r="3359" spans="1:23">
      <c r="A3359" t="s">
        <v>16</v>
      </c>
      <c r="B3359">
        <v>586896</v>
      </c>
      <c r="C3359">
        <v>0.15</v>
      </c>
      <c r="D3359">
        <v>40</v>
      </c>
      <c r="E3359">
        <v>10</v>
      </c>
      <c r="F3359">
        <v>15</v>
      </c>
      <c r="G3359">
        <v>0</v>
      </c>
      <c r="H3359">
        <v>15</v>
      </c>
      <c r="I3359">
        <v>673</v>
      </c>
      <c r="J3359">
        <v>0</v>
      </c>
      <c r="K3359">
        <v>2.13</v>
      </c>
      <c r="L3359">
        <v>5.8</v>
      </c>
      <c r="M3359">
        <v>5.05</v>
      </c>
      <c r="N3359">
        <v>10.9</v>
      </c>
      <c r="O3359">
        <v>1689</v>
      </c>
      <c r="P3359">
        <v>0</v>
      </c>
      <c r="Q3359" s="5" t="e">
        <f>IF(AND(#REF!&gt;=table!$C$6,#REF!&lt;= table!$D$6),-1,IF(AND(#REF!&gt;=table!$E$6,#REF!&lt;=table!$F$6),1,0))</f>
        <v>#REF!</v>
      </c>
      <c r="R3359" s="5" t="e">
        <f>IF(AND(#REF!&gt;=table!$C$7,#REF!&lt;= table!$D$7),-1,IF(AND(#REF!&gt;=table!$E$7,#REF!&lt;=table!$F$7),1,0))</f>
        <v>#REF!</v>
      </c>
      <c r="S3359" s="5" t="e">
        <f>IF(AND(#REF!&gt;=table!$C$8,#REF!&lt;= table!$D$8),-1,IF(AND(#REF!&gt;=table!$E$8,#REF!&lt;=table!$F$8),1,0))</f>
        <v>#REF!</v>
      </c>
      <c r="T3359" s="5"/>
      <c r="U3359" s="5" t="e">
        <f>IF(AND(#REF!&gt;=table!$C$10,#REF!&lt;= table!$D$10),-1,IF(AND(#REF!&gt;=table!$E$10,#REF!&lt;=table!$F$10),1,0))</f>
        <v>#REF!</v>
      </c>
      <c r="V3359" s="5" t="e">
        <f>IF(AND(#REF!&gt;=table!$C$11,#REF!&lt;= table!$D$11),-1,IF(AND(#REF!&gt;=table!$E$11,#REF!&lt;=table!$F$11),1,0))</f>
        <v>#REF!</v>
      </c>
      <c r="W3359" s="5" t="e">
        <f>CONCATENATE(dados[[#This Row],[fator1]],dados[[#This Row],[fator5]],dados[[#This Row],[fator6]])</f>
        <v>#REF!</v>
      </c>
    </row>
    <row r="3360" spans="1:23">
      <c r="A3360" t="s">
        <v>16</v>
      </c>
      <c r="B3360">
        <v>586899</v>
      </c>
      <c r="C3360">
        <v>8</v>
      </c>
      <c r="D3360">
        <v>30</v>
      </c>
      <c r="E3360">
        <v>65</v>
      </c>
      <c r="F3360">
        <v>8</v>
      </c>
      <c r="G3360">
        <v>0</v>
      </c>
      <c r="H3360">
        <v>25</v>
      </c>
      <c r="I3360">
        <v>1304</v>
      </c>
      <c r="J3360">
        <v>0</v>
      </c>
      <c r="K3360">
        <v>8.84</v>
      </c>
      <c r="L3360">
        <v>11.6</v>
      </c>
      <c r="M3360">
        <v>53.300000000000004</v>
      </c>
      <c r="N3360">
        <v>11.05</v>
      </c>
      <c r="O3360">
        <v>1675</v>
      </c>
      <c r="P3360">
        <v>364</v>
      </c>
      <c r="Q3360" s="5" t="e">
        <f>IF(AND(#REF!&gt;=table!$C$6,#REF!&lt;= table!$D$6),-1,IF(AND(#REF!&gt;=table!$E$6,#REF!&lt;=table!$F$6),1,0))</f>
        <v>#REF!</v>
      </c>
      <c r="R3360" s="5" t="e">
        <f>IF(AND(#REF!&gt;=table!$C$7,#REF!&lt;= table!$D$7),-1,IF(AND(#REF!&gt;=table!$E$7,#REF!&lt;=table!$F$7),1,0))</f>
        <v>#REF!</v>
      </c>
      <c r="S3360" s="5" t="e">
        <f>IF(AND(#REF!&gt;=table!$C$8,#REF!&lt;= table!$D$8),-1,IF(AND(#REF!&gt;=table!$E$8,#REF!&lt;=table!$F$8),1,0))</f>
        <v>#REF!</v>
      </c>
      <c r="T3360" s="5"/>
      <c r="U3360" s="5" t="e">
        <f>IF(AND(#REF!&gt;=table!$C$10,#REF!&lt;= table!$D$10),-1,IF(AND(#REF!&gt;=table!$E$10,#REF!&lt;=table!$F$10),1,0))</f>
        <v>#REF!</v>
      </c>
      <c r="V3360" s="5" t="e">
        <f>IF(AND(#REF!&gt;=table!$C$11,#REF!&lt;= table!$D$11),-1,IF(AND(#REF!&gt;=table!$E$11,#REF!&lt;=table!$F$11),1,0))</f>
        <v>#REF!</v>
      </c>
      <c r="W3360" s="5" t="e">
        <f>CONCATENATE(dados[[#This Row],[fator1]],dados[[#This Row],[fator5]],dados[[#This Row],[fator6]])</f>
        <v>#REF!</v>
      </c>
    </row>
    <row r="3361" spans="1:23">
      <c r="A3361" t="s">
        <v>17</v>
      </c>
      <c r="B3361">
        <v>586901</v>
      </c>
      <c r="C3361">
        <v>9</v>
      </c>
      <c r="D3361">
        <v>30</v>
      </c>
      <c r="E3361">
        <v>155</v>
      </c>
      <c r="F3361">
        <v>2</v>
      </c>
      <c r="G3361">
        <v>25</v>
      </c>
      <c r="H3361">
        <v>18</v>
      </c>
      <c r="I3361">
        <v>1073</v>
      </c>
      <c r="J3361">
        <v>730</v>
      </c>
      <c r="K3361">
        <v>6.3950000000000005</v>
      </c>
      <c r="L3361">
        <v>7.9950000000000001</v>
      </c>
      <c r="M3361">
        <v>138.6</v>
      </c>
      <c r="N3361">
        <v>9.5500000000000007</v>
      </c>
      <c r="O3361">
        <v>1632</v>
      </c>
      <c r="P3361">
        <v>432</v>
      </c>
      <c r="Q3361" s="5" t="e">
        <f>IF(AND(#REF!&gt;=table!$C$6,#REF!&lt;= table!$D$6),-1,IF(AND(#REF!&gt;=table!$E$6,#REF!&lt;=table!$F$6),1,0))</f>
        <v>#REF!</v>
      </c>
      <c r="R3361" s="5" t="e">
        <f>IF(AND(#REF!&gt;=table!$C$7,#REF!&lt;= table!$D$7),-1,IF(AND(#REF!&gt;=table!$E$7,#REF!&lt;=table!$F$7),1,0))</f>
        <v>#REF!</v>
      </c>
      <c r="S3361" s="5" t="e">
        <f>IF(AND(#REF!&gt;=table!$C$8,#REF!&lt;= table!$D$8),-1,IF(AND(#REF!&gt;=table!$E$8,#REF!&lt;=table!$F$8),1,0))</f>
        <v>#REF!</v>
      </c>
      <c r="T3361" s="5"/>
      <c r="U3361" s="5" t="e">
        <f>IF(AND(#REF!&gt;=table!$C$10,#REF!&lt;= table!$D$10),-1,IF(AND(#REF!&gt;=table!$E$10,#REF!&lt;=table!$F$10),1,0))</f>
        <v>#REF!</v>
      </c>
      <c r="V3361" s="5" t="e">
        <f>IF(AND(#REF!&gt;=table!$C$11,#REF!&lt;= table!$D$11),-1,IF(AND(#REF!&gt;=table!$E$11,#REF!&lt;=table!$F$11),1,0))</f>
        <v>#REF!</v>
      </c>
      <c r="W3361" s="5" t="e">
        <f>CONCATENATE(dados[[#This Row],[fator1]],dados[[#This Row],[fator5]],dados[[#This Row],[fator6]])</f>
        <v>#REF!</v>
      </c>
    </row>
    <row r="3362" spans="1:23">
      <c r="A3362" t="s">
        <v>17</v>
      </c>
      <c r="B3362">
        <v>586903</v>
      </c>
      <c r="C3362">
        <v>16</v>
      </c>
      <c r="D3362">
        <v>23</v>
      </c>
      <c r="E3362">
        <v>145</v>
      </c>
      <c r="F3362">
        <v>9</v>
      </c>
      <c r="G3362">
        <v>30</v>
      </c>
      <c r="H3362">
        <v>25</v>
      </c>
      <c r="I3362">
        <v>351</v>
      </c>
      <c r="J3362">
        <v>0</v>
      </c>
      <c r="K3362">
        <v>3.4650000000000003</v>
      </c>
      <c r="L3362">
        <v>7.9</v>
      </c>
      <c r="M3362">
        <v>130.44999999999999</v>
      </c>
      <c r="N3362">
        <v>14.25</v>
      </c>
      <c r="O3362">
        <v>1667</v>
      </c>
      <c r="P3362">
        <v>667</v>
      </c>
      <c r="Q3362" s="5" t="e">
        <f>IF(AND(#REF!&gt;=table!$C$6,#REF!&lt;= table!$D$6),-1,IF(AND(#REF!&gt;=table!$E$6,#REF!&lt;=table!$F$6),1,0))</f>
        <v>#REF!</v>
      </c>
      <c r="R3362" s="5" t="e">
        <f>IF(AND(#REF!&gt;=table!$C$7,#REF!&lt;= table!$D$7),-1,IF(AND(#REF!&gt;=table!$E$7,#REF!&lt;=table!$F$7),1,0))</f>
        <v>#REF!</v>
      </c>
      <c r="S3362" s="5" t="e">
        <f>IF(AND(#REF!&gt;=table!$C$8,#REF!&lt;= table!$D$8),-1,IF(AND(#REF!&gt;=table!$E$8,#REF!&lt;=table!$F$8),1,0))</f>
        <v>#REF!</v>
      </c>
      <c r="T3362" s="5"/>
      <c r="U3362" s="5" t="e">
        <f>IF(AND(#REF!&gt;=table!$C$10,#REF!&lt;= table!$D$10),-1,IF(AND(#REF!&gt;=table!$E$10,#REF!&lt;=table!$F$10),1,0))</f>
        <v>#REF!</v>
      </c>
      <c r="V3362" s="5" t="e">
        <f>IF(AND(#REF!&gt;=table!$C$11,#REF!&lt;= table!$D$11),-1,IF(AND(#REF!&gt;=table!$E$11,#REF!&lt;=table!$F$11),1,0))</f>
        <v>#REF!</v>
      </c>
      <c r="W3362" s="5" t="e">
        <f>CONCATENATE(dados[[#This Row],[fator1]],dados[[#This Row],[fator5]],dados[[#This Row],[fator6]])</f>
        <v>#REF!</v>
      </c>
    </row>
    <row r="3363" spans="1:23">
      <c r="A3363" t="s">
        <v>16</v>
      </c>
      <c r="B3363">
        <v>586908</v>
      </c>
      <c r="C3363">
        <v>0.15</v>
      </c>
      <c r="D3363">
        <v>35</v>
      </c>
      <c r="E3363">
        <v>15</v>
      </c>
      <c r="F3363">
        <v>10</v>
      </c>
      <c r="G3363">
        <v>0</v>
      </c>
      <c r="H3363">
        <v>12</v>
      </c>
      <c r="I3363">
        <v>786</v>
      </c>
      <c r="J3363">
        <v>0</v>
      </c>
      <c r="K3363">
        <v>5.24</v>
      </c>
      <c r="L3363">
        <v>8.85</v>
      </c>
      <c r="M3363">
        <v>7.65</v>
      </c>
      <c r="N3363">
        <v>8.8000000000000007</v>
      </c>
      <c r="O3363">
        <v>1668</v>
      </c>
      <c r="P3363">
        <v>506</v>
      </c>
      <c r="Q3363" s="5" t="e">
        <f>IF(AND(#REF!&gt;=table!$C$6,#REF!&lt;= table!$D$6),-1,IF(AND(#REF!&gt;=table!$E$6,#REF!&lt;=table!$F$6),1,0))</f>
        <v>#REF!</v>
      </c>
      <c r="R3363" s="5" t="e">
        <f>IF(AND(#REF!&gt;=table!$C$7,#REF!&lt;= table!$D$7),-1,IF(AND(#REF!&gt;=table!$E$7,#REF!&lt;=table!$F$7),1,0))</f>
        <v>#REF!</v>
      </c>
      <c r="S3363" s="5" t="e">
        <f>IF(AND(#REF!&gt;=table!$C$8,#REF!&lt;= table!$D$8),-1,IF(AND(#REF!&gt;=table!$E$8,#REF!&lt;=table!$F$8),1,0))</f>
        <v>#REF!</v>
      </c>
      <c r="T3363" s="5"/>
      <c r="U3363" s="5" t="e">
        <f>IF(AND(#REF!&gt;=table!$C$10,#REF!&lt;= table!$D$10),-1,IF(AND(#REF!&gt;=table!$E$10,#REF!&lt;=table!$F$10),1,0))</f>
        <v>#REF!</v>
      </c>
      <c r="V3363" s="5" t="e">
        <f>IF(AND(#REF!&gt;=table!$C$11,#REF!&lt;= table!$D$11),-1,IF(AND(#REF!&gt;=table!$E$11,#REF!&lt;=table!$F$11),1,0))</f>
        <v>#REF!</v>
      </c>
      <c r="W3363" s="5" t="e">
        <f>CONCATENATE(dados[[#This Row],[fator1]],dados[[#This Row],[fator5]],dados[[#This Row],[fator6]])</f>
        <v>#REF!</v>
      </c>
    </row>
    <row r="3364" spans="1:23">
      <c r="A3364" t="s">
        <v>16</v>
      </c>
      <c r="B3364">
        <v>586909</v>
      </c>
      <c r="C3364">
        <v>0.15</v>
      </c>
      <c r="D3364">
        <v>35</v>
      </c>
      <c r="E3364">
        <v>15</v>
      </c>
      <c r="F3364">
        <v>10</v>
      </c>
      <c r="G3364">
        <v>0</v>
      </c>
      <c r="H3364">
        <v>12</v>
      </c>
      <c r="I3364">
        <v>1017</v>
      </c>
      <c r="J3364">
        <v>0</v>
      </c>
      <c r="K3364">
        <v>4.5650000000000004</v>
      </c>
      <c r="L3364">
        <v>9.4749999999999996</v>
      </c>
      <c r="M3364">
        <v>7.99</v>
      </c>
      <c r="N3364">
        <v>10.72</v>
      </c>
      <c r="O3364">
        <v>1701</v>
      </c>
      <c r="P3364">
        <v>754</v>
      </c>
      <c r="Q3364" s="5" t="e">
        <f>IF(AND(#REF!&gt;=table!$C$6,#REF!&lt;= table!$D$6),-1,IF(AND(#REF!&gt;=table!$E$6,#REF!&lt;=table!$F$6),1,0))</f>
        <v>#REF!</v>
      </c>
      <c r="R3364" s="5" t="e">
        <f>IF(AND(#REF!&gt;=table!$C$7,#REF!&lt;= table!$D$7),-1,IF(AND(#REF!&gt;=table!$E$7,#REF!&lt;=table!$F$7),1,0))</f>
        <v>#REF!</v>
      </c>
      <c r="S3364" s="5" t="e">
        <f>IF(AND(#REF!&gt;=table!$C$8,#REF!&lt;= table!$D$8),-1,IF(AND(#REF!&gt;=table!$E$8,#REF!&lt;=table!$F$8),1,0))</f>
        <v>#REF!</v>
      </c>
      <c r="T3364" s="5"/>
      <c r="U3364" s="5" t="e">
        <f>IF(AND(#REF!&gt;=table!$C$10,#REF!&lt;= table!$D$10),-1,IF(AND(#REF!&gt;=table!$E$10,#REF!&lt;=table!$F$10),1,0))</f>
        <v>#REF!</v>
      </c>
      <c r="V3364" s="5" t="e">
        <f>IF(AND(#REF!&gt;=table!$C$11,#REF!&lt;= table!$D$11),-1,IF(AND(#REF!&gt;=table!$E$11,#REF!&lt;=table!$F$11),1,0))</f>
        <v>#REF!</v>
      </c>
      <c r="W3364" s="5" t="e">
        <f>CONCATENATE(dados[[#This Row],[fator1]],dados[[#This Row],[fator5]],dados[[#This Row],[fator6]])</f>
        <v>#REF!</v>
      </c>
    </row>
    <row r="3365" spans="1:23">
      <c r="A3365" t="s">
        <v>16</v>
      </c>
      <c r="B3365">
        <v>586910</v>
      </c>
      <c r="C3365">
        <v>0.15</v>
      </c>
      <c r="D3365">
        <v>35</v>
      </c>
      <c r="E3365">
        <v>15</v>
      </c>
      <c r="F3365">
        <v>10</v>
      </c>
      <c r="G3365">
        <v>0</v>
      </c>
      <c r="H3365">
        <v>12</v>
      </c>
      <c r="I3365">
        <v>1567</v>
      </c>
      <c r="J3365">
        <v>0</v>
      </c>
      <c r="K3365">
        <v>8.9150000000000009</v>
      </c>
      <c r="L3365">
        <v>10.130000000000001</v>
      </c>
      <c r="M3365">
        <v>9.1650000000000009</v>
      </c>
      <c r="N3365">
        <v>7.8500000000000005</v>
      </c>
      <c r="O3365">
        <v>1655</v>
      </c>
      <c r="P3365">
        <v>332</v>
      </c>
      <c r="Q3365" s="5" t="e">
        <f>IF(AND(#REF!&gt;=table!$C$6,#REF!&lt;= table!$D$6),-1,IF(AND(#REF!&gt;=table!$E$6,#REF!&lt;=table!$F$6),1,0))</f>
        <v>#REF!</v>
      </c>
      <c r="R3365" s="5" t="e">
        <f>IF(AND(#REF!&gt;=table!$C$7,#REF!&lt;= table!$D$7),-1,IF(AND(#REF!&gt;=table!$E$7,#REF!&lt;=table!$F$7),1,0))</f>
        <v>#REF!</v>
      </c>
      <c r="S3365" s="5" t="e">
        <f>IF(AND(#REF!&gt;=table!$C$8,#REF!&lt;= table!$D$8),-1,IF(AND(#REF!&gt;=table!$E$8,#REF!&lt;=table!$F$8),1,0))</f>
        <v>#REF!</v>
      </c>
      <c r="T3365" s="5"/>
      <c r="U3365" s="5" t="e">
        <f>IF(AND(#REF!&gt;=table!$C$10,#REF!&lt;= table!$D$10),-1,IF(AND(#REF!&gt;=table!$E$10,#REF!&lt;=table!$F$10),1,0))</f>
        <v>#REF!</v>
      </c>
      <c r="V3365" s="5" t="e">
        <f>IF(AND(#REF!&gt;=table!$C$11,#REF!&lt;= table!$D$11),-1,IF(AND(#REF!&gt;=table!$E$11,#REF!&lt;=table!$F$11),1,0))</f>
        <v>#REF!</v>
      </c>
      <c r="W3365" s="5" t="e">
        <f>CONCATENATE(dados[[#This Row],[fator1]],dados[[#This Row],[fator5]],dados[[#This Row],[fator6]])</f>
        <v>#REF!</v>
      </c>
    </row>
    <row r="3366" spans="1:23">
      <c r="A3366" t="s">
        <v>16</v>
      </c>
      <c r="B3366">
        <v>586911</v>
      </c>
      <c r="C3366">
        <v>0.15</v>
      </c>
      <c r="D3366">
        <v>35</v>
      </c>
      <c r="E3366">
        <v>15</v>
      </c>
      <c r="F3366">
        <v>10</v>
      </c>
      <c r="G3366">
        <v>0</v>
      </c>
      <c r="H3366">
        <v>12</v>
      </c>
      <c r="I3366">
        <v>1308</v>
      </c>
      <c r="J3366">
        <v>0</v>
      </c>
      <c r="K3366">
        <v>6.74</v>
      </c>
      <c r="L3366">
        <v>10.11</v>
      </c>
      <c r="M3366">
        <v>8.86</v>
      </c>
      <c r="N3366">
        <v>7.9050000000000002</v>
      </c>
      <c r="O3366">
        <v>1684</v>
      </c>
      <c r="P3366">
        <v>0</v>
      </c>
      <c r="Q3366" s="5" t="e">
        <f>IF(AND(#REF!&gt;=table!$C$6,#REF!&lt;= table!$D$6),-1,IF(AND(#REF!&gt;=table!$E$6,#REF!&lt;=table!$F$6),1,0))</f>
        <v>#REF!</v>
      </c>
      <c r="R3366" s="5" t="e">
        <f>IF(AND(#REF!&gt;=table!$C$7,#REF!&lt;= table!$D$7),-1,IF(AND(#REF!&gt;=table!$E$7,#REF!&lt;=table!$F$7),1,0))</f>
        <v>#REF!</v>
      </c>
      <c r="S3366" s="5" t="e">
        <f>IF(AND(#REF!&gt;=table!$C$8,#REF!&lt;= table!$D$8),-1,IF(AND(#REF!&gt;=table!$E$8,#REF!&lt;=table!$F$8),1,0))</f>
        <v>#REF!</v>
      </c>
      <c r="T3366" s="5"/>
      <c r="U3366" s="5" t="e">
        <f>IF(AND(#REF!&gt;=table!$C$10,#REF!&lt;= table!$D$10),-1,IF(AND(#REF!&gt;=table!$E$10,#REF!&lt;=table!$F$10),1,0))</f>
        <v>#REF!</v>
      </c>
      <c r="V3366" s="5" t="e">
        <f>IF(AND(#REF!&gt;=table!$C$11,#REF!&lt;= table!$D$11),-1,IF(AND(#REF!&gt;=table!$E$11,#REF!&lt;=table!$F$11),1,0))</f>
        <v>#REF!</v>
      </c>
      <c r="W3366" s="5" t="e">
        <f>CONCATENATE(dados[[#This Row],[fator1]],dados[[#This Row],[fator5]],dados[[#This Row],[fator6]])</f>
        <v>#REF!</v>
      </c>
    </row>
    <row r="3367" spans="1:23">
      <c r="A3367" t="s">
        <v>17</v>
      </c>
      <c r="B3367">
        <v>586912</v>
      </c>
      <c r="C3367">
        <v>18</v>
      </c>
      <c r="D3367">
        <v>30</v>
      </c>
      <c r="E3367">
        <v>136</v>
      </c>
      <c r="F3367">
        <v>3</v>
      </c>
      <c r="G3367">
        <v>20</v>
      </c>
      <c r="H3367">
        <v>25</v>
      </c>
      <c r="I3367">
        <v>845</v>
      </c>
      <c r="J3367">
        <v>0</v>
      </c>
      <c r="K3367">
        <v>8.5050000000000008</v>
      </c>
      <c r="L3367">
        <v>11.055</v>
      </c>
      <c r="M3367">
        <v>122.44</v>
      </c>
      <c r="N3367">
        <v>11.13</v>
      </c>
      <c r="O3367">
        <v>1671</v>
      </c>
      <c r="P3367">
        <v>422</v>
      </c>
      <c r="Q3367" s="5" t="e">
        <f>IF(AND(#REF!&gt;=table!$C$6,#REF!&lt;= table!$D$6),-1,IF(AND(#REF!&gt;=table!$E$6,#REF!&lt;=table!$F$6),1,0))</f>
        <v>#REF!</v>
      </c>
      <c r="R3367" s="5" t="e">
        <f>IF(AND(#REF!&gt;=table!$C$7,#REF!&lt;= table!$D$7),-1,IF(AND(#REF!&gt;=table!$E$7,#REF!&lt;=table!$F$7),1,0))</f>
        <v>#REF!</v>
      </c>
      <c r="S3367" s="5" t="e">
        <f>IF(AND(#REF!&gt;=table!$C$8,#REF!&lt;= table!$D$8),-1,IF(AND(#REF!&gt;=table!$E$8,#REF!&lt;=table!$F$8),1,0))</f>
        <v>#REF!</v>
      </c>
      <c r="T3367" s="5"/>
      <c r="U3367" s="5" t="e">
        <f>IF(AND(#REF!&gt;=table!$C$10,#REF!&lt;= table!$D$10),-1,IF(AND(#REF!&gt;=table!$E$10,#REF!&lt;=table!$F$10),1,0))</f>
        <v>#REF!</v>
      </c>
      <c r="V3367" s="5" t="e">
        <f>IF(AND(#REF!&gt;=table!$C$11,#REF!&lt;= table!$D$11),-1,IF(AND(#REF!&gt;=table!$E$11,#REF!&lt;=table!$F$11),1,0))</f>
        <v>#REF!</v>
      </c>
      <c r="W3367" s="5" t="e">
        <f>CONCATENATE(dados[[#This Row],[fator1]],dados[[#This Row],[fator5]],dados[[#This Row],[fator6]])</f>
        <v>#REF!</v>
      </c>
    </row>
    <row r="3368" spans="1:23">
      <c r="A3368" t="s">
        <v>17</v>
      </c>
      <c r="B3368">
        <v>586913</v>
      </c>
      <c r="C3368">
        <v>16</v>
      </c>
      <c r="D3368">
        <v>35</v>
      </c>
      <c r="E3368">
        <v>136</v>
      </c>
      <c r="F3368">
        <v>4</v>
      </c>
      <c r="G3368">
        <v>30</v>
      </c>
      <c r="H3368">
        <v>25</v>
      </c>
      <c r="I3368">
        <v>738</v>
      </c>
      <c r="J3368">
        <v>0</v>
      </c>
      <c r="K3368">
        <v>6.36</v>
      </c>
      <c r="L3368">
        <v>10.565000000000001</v>
      </c>
      <c r="M3368">
        <v>117.995</v>
      </c>
      <c r="N3368">
        <v>11.16</v>
      </c>
      <c r="O3368">
        <v>1686</v>
      </c>
      <c r="P3368">
        <v>508</v>
      </c>
      <c r="Q3368" s="5" t="e">
        <f>IF(AND(#REF!&gt;=table!$C$6,#REF!&lt;= table!$D$6),-1,IF(AND(#REF!&gt;=table!$E$6,#REF!&lt;=table!$F$6),1,0))</f>
        <v>#REF!</v>
      </c>
      <c r="R3368" s="5" t="e">
        <f>IF(AND(#REF!&gt;=table!$C$7,#REF!&lt;= table!$D$7),-1,IF(AND(#REF!&gt;=table!$E$7,#REF!&lt;=table!$F$7),1,0))</f>
        <v>#REF!</v>
      </c>
      <c r="S3368" s="5" t="e">
        <f>IF(AND(#REF!&gt;=table!$C$8,#REF!&lt;= table!$D$8),-1,IF(AND(#REF!&gt;=table!$E$8,#REF!&lt;=table!$F$8),1,0))</f>
        <v>#REF!</v>
      </c>
      <c r="T3368" s="5"/>
      <c r="U3368" s="5" t="e">
        <f>IF(AND(#REF!&gt;=table!$C$10,#REF!&lt;= table!$D$10),-1,IF(AND(#REF!&gt;=table!$E$10,#REF!&lt;=table!$F$10),1,0))</f>
        <v>#REF!</v>
      </c>
      <c r="V3368" s="5" t="e">
        <f>IF(AND(#REF!&gt;=table!$C$11,#REF!&lt;= table!$D$11),-1,IF(AND(#REF!&gt;=table!$E$11,#REF!&lt;=table!$F$11),1,0))</f>
        <v>#REF!</v>
      </c>
      <c r="W3368" s="5" t="e">
        <f>CONCATENATE(dados[[#This Row],[fator1]],dados[[#This Row],[fator5]],dados[[#This Row],[fator6]])</f>
        <v>#REF!</v>
      </c>
    </row>
    <row r="3369" spans="1:23">
      <c r="A3369" t="s">
        <v>16</v>
      </c>
      <c r="B3369">
        <v>586923</v>
      </c>
      <c r="C3369">
        <v>16</v>
      </c>
      <c r="D3369">
        <v>35</v>
      </c>
      <c r="E3369">
        <v>40</v>
      </c>
      <c r="F3369">
        <v>10</v>
      </c>
      <c r="G3369">
        <v>0</v>
      </c>
      <c r="H3369">
        <v>25</v>
      </c>
      <c r="I3369">
        <v>856</v>
      </c>
      <c r="J3369">
        <v>0</v>
      </c>
      <c r="K3369">
        <v>12.595000000000001</v>
      </c>
      <c r="L3369">
        <v>15.4</v>
      </c>
      <c r="M3369">
        <v>37.5</v>
      </c>
      <c r="N3369">
        <v>20.85</v>
      </c>
      <c r="O3369">
        <v>1678</v>
      </c>
      <c r="P3369">
        <v>259</v>
      </c>
      <c r="Q3369" s="5" t="e">
        <f>IF(AND(#REF!&gt;=table!$C$6,#REF!&lt;= table!$D$6),-1,IF(AND(#REF!&gt;=table!$E$6,#REF!&lt;=table!$F$6),1,0))</f>
        <v>#REF!</v>
      </c>
      <c r="R3369" s="5" t="e">
        <f>IF(AND(#REF!&gt;=table!$C$7,#REF!&lt;= table!$D$7),-1,IF(AND(#REF!&gt;=table!$E$7,#REF!&lt;=table!$F$7),1,0))</f>
        <v>#REF!</v>
      </c>
      <c r="S3369" s="5" t="e">
        <f>IF(AND(#REF!&gt;=table!$C$8,#REF!&lt;= table!$D$8),-1,IF(AND(#REF!&gt;=table!$E$8,#REF!&lt;=table!$F$8),1,0))</f>
        <v>#REF!</v>
      </c>
      <c r="T3369" s="5"/>
      <c r="U3369" s="5" t="e">
        <f>IF(AND(#REF!&gt;=table!$C$10,#REF!&lt;= table!$D$10),-1,IF(AND(#REF!&gt;=table!$E$10,#REF!&lt;=table!$F$10),1,0))</f>
        <v>#REF!</v>
      </c>
      <c r="V3369" s="5" t="e">
        <f>IF(AND(#REF!&gt;=table!$C$11,#REF!&lt;= table!$D$11),-1,IF(AND(#REF!&gt;=table!$E$11,#REF!&lt;=table!$F$11),1,0))</f>
        <v>#REF!</v>
      </c>
      <c r="W3369" s="5" t="e">
        <f>CONCATENATE(dados[[#This Row],[fator1]],dados[[#This Row],[fator5]],dados[[#This Row],[fator6]])</f>
        <v>#REF!</v>
      </c>
    </row>
    <row r="3370" spans="1:23">
      <c r="A3370" t="s">
        <v>16</v>
      </c>
      <c r="B3370">
        <v>586924</v>
      </c>
      <c r="C3370">
        <v>16</v>
      </c>
      <c r="D3370">
        <v>35</v>
      </c>
      <c r="E3370">
        <v>40</v>
      </c>
      <c r="F3370">
        <v>10</v>
      </c>
      <c r="G3370">
        <v>0</v>
      </c>
      <c r="H3370">
        <v>25</v>
      </c>
      <c r="I3370">
        <v>367</v>
      </c>
      <c r="J3370">
        <v>0</v>
      </c>
      <c r="K3370">
        <v>6.4</v>
      </c>
      <c r="L3370">
        <v>9.8000000000000007</v>
      </c>
      <c r="M3370">
        <v>36.550000000000004</v>
      </c>
      <c r="N3370">
        <v>13.200000000000001</v>
      </c>
      <c r="O3370">
        <v>1665</v>
      </c>
      <c r="P3370">
        <v>418</v>
      </c>
      <c r="Q3370" s="5" t="e">
        <f>IF(AND(#REF!&gt;=table!$C$6,#REF!&lt;= table!$D$6),-1,IF(AND(#REF!&gt;=table!$E$6,#REF!&lt;=table!$F$6),1,0))</f>
        <v>#REF!</v>
      </c>
      <c r="R3370" s="5" t="e">
        <f>IF(AND(#REF!&gt;=table!$C$7,#REF!&lt;= table!$D$7),-1,IF(AND(#REF!&gt;=table!$E$7,#REF!&lt;=table!$F$7),1,0))</f>
        <v>#REF!</v>
      </c>
      <c r="S3370" s="5" t="e">
        <f>IF(AND(#REF!&gt;=table!$C$8,#REF!&lt;= table!$D$8),-1,IF(AND(#REF!&gt;=table!$E$8,#REF!&lt;=table!$F$8),1,0))</f>
        <v>#REF!</v>
      </c>
      <c r="T3370" s="5"/>
      <c r="U3370" s="5" t="e">
        <f>IF(AND(#REF!&gt;=table!$C$10,#REF!&lt;= table!$D$10),-1,IF(AND(#REF!&gt;=table!$E$10,#REF!&lt;=table!$F$10),1,0))</f>
        <v>#REF!</v>
      </c>
      <c r="V3370" s="5" t="e">
        <f>IF(AND(#REF!&gt;=table!$C$11,#REF!&lt;= table!$D$11),-1,IF(AND(#REF!&gt;=table!$E$11,#REF!&lt;=table!$F$11),1,0))</f>
        <v>#REF!</v>
      </c>
      <c r="W3370" s="5" t="e">
        <f>CONCATENATE(dados[[#This Row],[fator1]],dados[[#This Row],[fator5]],dados[[#This Row],[fator6]])</f>
        <v>#REF!</v>
      </c>
    </row>
    <row r="3371" spans="1:23">
      <c r="A3371" t="s">
        <v>17</v>
      </c>
      <c r="B3371">
        <v>586926</v>
      </c>
      <c r="C3371">
        <v>16</v>
      </c>
      <c r="D3371">
        <v>30</v>
      </c>
      <c r="E3371">
        <v>150</v>
      </c>
      <c r="F3371">
        <v>8</v>
      </c>
      <c r="G3371">
        <v>28</v>
      </c>
      <c r="H3371">
        <v>25</v>
      </c>
      <c r="I3371">
        <v>975</v>
      </c>
      <c r="J3371">
        <v>650</v>
      </c>
      <c r="K3371">
        <v>3.66</v>
      </c>
      <c r="L3371">
        <v>5.4</v>
      </c>
      <c r="M3371">
        <v>118.30500000000001</v>
      </c>
      <c r="N3371">
        <v>9.9850000000000012</v>
      </c>
      <c r="O3371">
        <v>1630</v>
      </c>
      <c r="P3371">
        <v>0</v>
      </c>
      <c r="Q3371" s="5" t="e">
        <f>IF(AND(#REF!&gt;=table!$C$6,#REF!&lt;= table!$D$6),-1,IF(AND(#REF!&gt;=table!$E$6,#REF!&lt;=table!$F$6),1,0))</f>
        <v>#REF!</v>
      </c>
      <c r="R3371" s="5" t="e">
        <f>IF(AND(#REF!&gt;=table!$C$7,#REF!&lt;= table!$D$7),-1,IF(AND(#REF!&gt;=table!$E$7,#REF!&lt;=table!$F$7),1,0))</f>
        <v>#REF!</v>
      </c>
      <c r="S3371" s="5" t="e">
        <f>IF(AND(#REF!&gt;=table!$C$8,#REF!&lt;= table!$D$8),-1,IF(AND(#REF!&gt;=table!$E$8,#REF!&lt;=table!$F$8),1,0))</f>
        <v>#REF!</v>
      </c>
      <c r="T3371" s="5"/>
      <c r="U3371" s="5" t="e">
        <f>IF(AND(#REF!&gt;=table!$C$10,#REF!&lt;= table!$D$10),-1,IF(AND(#REF!&gt;=table!$E$10,#REF!&lt;=table!$F$10),1,0))</f>
        <v>#REF!</v>
      </c>
      <c r="V3371" s="5" t="e">
        <f>IF(AND(#REF!&gt;=table!$C$11,#REF!&lt;= table!$D$11),-1,IF(AND(#REF!&gt;=table!$E$11,#REF!&lt;=table!$F$11),1,0))</f>
        <v>#REF!</v>
      </c>
      <c r="W3371" s="5" t="e">
        <f>CONCATENATE(dados[[#This Row],[fator1]],dados[[#This Row],[fator5]],dados[[#This Row],[fator6]])</f>
        <v>#REF!</v>
      </c>
    </row>
    <row r="3372" spans="1:23">
      <c r="A3372" t="s">
        <v>17</v>
      </c>
      <c r="B3372">
        <v>586927</v>
      </c>
      <c r="C3372">
        <v>14</v>
      </c>
      <c r="D3372">
        <v>30</v>
      </c>
      <c r="E3372">
        <v>110</v>
      </c>
      <c r="F3372">
        <v>4</v>
      </c>
      <c r="G3372">
        <v>20</v>
      </c>
      <c r="H3372">
        <v>22</v>
      </c>
      <c r="I3372">
        <v>748</v>
      </c>
      <c r="J3372">
        <v>0</v>
      </c>
      <c r="K3372">
        <v>2.875</v>
      </c>
      <c r="L3372">
        <v>6.4</v>
      </c>
      <c r="M3372">
        <v>94.265000000000001</v>
      </c>
      <c r="N3372">
        <v>9.5150000000000006</v>
      </c>
      <c r="O3372">
        <v>1686</v>
      </c>
      <c r="P3372">
        <v>966</v>
      </c>
      <c r="Q3372" s="5" t="e">
        <f>IF(AND(#REF!&gt;=table!$C$6,#REF!&lt;= table!$D$6),-1,IF(AND(#REF!&gt;=table!$E$6,#REF!&lt;=table!$F$6),1,0))</f>
        <v>#REF!</v>
      </c>
      <c r="R3372" s="5" t="e">
        <f>IF(AND(#REF!&gt;=table!$C$7,#REF!&lt;= table!$D$7),-1,IF(AND(#REF!&gt;=table!$E$7,#REF!&lt;=table!$F$7),1,0))</f>
        <v>#REF!</v>
      </c>
      <c r="S3372" s="5" t="e">
        <f>IF(AND(#REF!&gt;=table!$C$8,#REF!&lt;= table!$D$8),-1,IF(AND(#REF!&gt;=table!$E$8,#REF!&lt;=table!$F$8),1,0))</f>
        <v>#REF!</v>
      </c>
      <c r="T3372" s="5"/>
      <c r="U3372" s="5" t="e">
        <f>IF(AND(#REF!&gt;=table!$C$10,#REF!&lt;= table!$D$10),-1,IF(AND(#REF!&gt;=table!$E$10,#REF!&lt;=table!$F$10),1,0))</f>
        <v>#REF!</v>
      </c>
      <c r="V3372" s="5" t="e">
        <f>IF(AND(#REF!&gt;=table!$C$11,#REF!&lt;= table!$D$11),-1,IF(AND(#REF!&gt;=table!$E$11,#REF!&lt;=table!$F$11),1,0))</f>
        <v>#REF!</v>
      </c>
      <c r="W3372" s="5" t="e">
        <f>CONCATENATE(dados[[#This Row],[fator1]],dados[[#This Row],[fator5]],dados[[#This Row],[fator6]])</f>
        <v>#REF!</v>
      </c>
    </row>
    <row r="3373" spans="1:23">
      <c r="A3373" t="s">
        <v>17</v>
      </c>
      <c r="B3373">
        <v>586928</v>
      </c>
      <c r="C3373">
        <v>15</v>
      </c>
      <c r="D3373">
        <v>23</v>
      </c>
      <c r="E3373">
        <v>155</v>
      </c>
      <c r="F3373">
        <v>4</v>
      </c>
      <c r="G3373">
        <v>30</v>
      </c>
      <c r="H3373">
        <v>18</v>
      </c>
      <c r="I3373">
        <v>1404</v>
      </c>
      <c r="J3373">
        <v>0</v>
      </c>
      <c r="K3373">
        <v>6.59</v>
      </c>
      <c r="L3373">
        <v>11.290000000000001</v>
      </c>
      <c r="M3373">
        <v>123.92500000000001</v>
      </c>
      <c r="N3373">
        <v>13.99</v>
      </c>
      <c r="O3373">
        <v>1674</v>
      </c>
      <c r="P3373">
        <v>463</v>
      </c>
      <c r="Q3373" s="5" t="e">
        <f>IF(AND(#REF!&gt;=table!$C$6,#REF!&lt;= table!$D$6),-1,IF(AND(#REF!&gt;=table!$E$6,#REF!&lt;=table!$F$6),1,0))</f>
        <v>#REF!</v>
      </c>
      <c r="R3373" s="5" t="e">
        <f>IF(AND(#REF!&gt;=table!$C$7,#REF!&lt;= table!$D$7),-1,IF(AND(#REF!&gt;=table!$E$7,#REF!&lt;=table!$F$7),1,0))</f>
        <v>#REF!</v>
      </c>
      <c r="S3373" s="5" t="e">
        <f>IF(AND(#REF!&gt;=table!$C$8,#REF!&lt;= table!$D$8),-1,IF(AND(#REF!&gt;=table!$E$8,#REF!&lt;=table!$F$8),1,0))</f>
        <v>#REF!</v>
      </c>
      <c r="T3373" s="5"/>
      <c r="U3373" s="5" t="e">
        <f>IF(AND(#REF!&gt;=table!$C$10,#REF!&lt;= table!$D$10),-1,IF(AND(#REF!&gt;=table!$E$10,#REF!&lt;=table!$F$10),1,0))</f>
        <v>#REF!</v>
      </c>
      <c r="V3373" s="5" t="e">
        <f>IF(AND(#REF!&gt;=table!$C$11,#REF!&lt;= table!$D$11),-1,IF(AND(#REF!&gt;=table!$E$11,#REF!&lt;=table!$F$11),1,0))</f>
        <v>#REF!</v>
      </c>
      <c r="W3373" s="5" t="e">
        <f>CONCATENATE(dados[[#This Row],[fator1]],dados[[#This Row],[fator5]],dados[[#This Row],[fator6]])</f>
        <v>#REF!</v>
      </c>
    </row>
    <row r="3374" spans="1:23">
      <c r="A3374" t="s">
        <v>17</v>
      </c>
      <c r="B3374">
        <v>586930</v>
      </c>
      <c r="C3374">
        <v>18</v>
      </c>
      <c r="D3374">
        <v>23</v>
      </c>
      <c r="E3374">
        <v>155</v>
      </c>
      <c r="F3374">
        <v>4</v>
      </c>
      <c r="G3374">
        <v>30</v>
      </c>
      <c r="H3374">
        <v>25</v>
      </c>
      <c r="I3374">
        <v>1046</v>
      </c>
      <c r="J3374">
        <v>0</v>
      </c>
      <c r="K3374">
        <v>4.9800000000000004</v>
      </c>
      <c r="L3374">
        <v>12.700000000000001</v>
      </c>
      <c r="M3374">
        <v>106.10000000000001</v>
      </c>
      <c r="N3374">
        <v>18</v>
      </c>
      <c r="O3374">
        <v>1694</v>
      </c>
      <c r="P3374">
        <v>0</v>
      </c>
      <c r="Q3374" s="5" t="e">
        <f>IF(AND(#REF!&gt;=table!$C$6,#REF!&lt;= table!$D$6),-1,IF(AND(#REF!&gt;=table!$E$6,#REF!&lt;=table!$F$6),1,0))</f>
        <v>#REF!</v>
      </c>
      <c r="R3374" s="5" t="e">
        <f>IF(AND(#REF!&gt;=table!$C$7,#REF!&lt;= table!$D$7),-1,IF(AND(#REF!&gt;=table!$E$7,#REF!&lt;=table!$F$7),1,0))</f>
        <v>#REF!</v>
      </c>
      <c r="S3374" s="5" t="e">
        <f>IF(AND(#REF!&gt;=table!$C$8,#REF!&lt;= table!$D$8),-1,IF(AND(#REF!&gt;=table!$E$8,#REF!&lt;=table!$F$8),1,0))</f>
        <v>#REF!</v>
      </c>
      <c r="T3374" s="5"/>
      <c r="U3374" s="5" t="e">
        <f>IF(AND(#REF!&gt;=table!$C$10,#REF!&lt;= table!$D$10),-1,IF(AND(#REF!&gt;=table!$E$10,#REF!&lt;=table!$F$10),1,0))</f>
        <v>#REF!</v>
      </c>
      <c r="V3374" s="5" t="e">
        <f>IF(AND(#REF!&gt;=table!$C$11,#REF!&lt;= table!$D$11),-1,IF(AND(#REF!&gt;=table!$E$11,#REF!&lt;=table!$F$11),1,0))</f>
        <v>#REF!</v>
      </c>
      <c r="W3374" s="5" t="e">
        <f>CONCATENATE(dados[[#This Row],[fator1]],dados[[#This Row],[fator5]],dados[[#This Row],[fator6]])</f>
        <v>#REF!</v>
      </c>
    </row>
    <row r="3375" spans="1:23">
      <c r="A3375" t="s">
        <v>17</v>
      </c>
      <c r="B3375">
        <v>586934</v>
      </c>
      <c r="C3375">
        <v>16</v>
      </c>
      <c r="D3375">
        <v>33</v>
      </c>
      <c r="E3375">
        <v>150</v>
      </c>
      <c r="F3375">
        <v>8</v>
      </c>
      <c r="G3375">
        <v>15</v>
      </c>
      <c r="H3375">
        <v>25</v>
      </c>
      <c r="I3375">
        <v>1245</v>
      </c>
      <c r="J3375">
        <v>0</v>
      </c>
      <c r="K3375">
        <v>3.93</v>
      </c>
      <c r="L3375">
        <v>10.700000000000001</v>
      </c>
      <c r="M3375">
        <v>165.85</v>
      </c>
      <c r="N3375">
        <v>22.35</v>
      </c>
      <c r="O3375">
        <v>1689</v>
      </c>
      <c r="P3375">
        <v>986</v>
      </c>
      <c r="Q3375" s="5" t="e">
        <f>IF(AND(#REF!&gt;=table!$C$6,#REF!&lt;= table!$D$6),-1,IF(AND(#REF!&gt;=table!$E$6,#REF!&lt;=table!$F$6),1,0))</f>
        <v>#REF!</v>
      </c>
      <c r="R3375" s="5" t="e">
        <f>IF(AND(#REF!&gt;=table!$C$7,#REF!&lt;= table!$D$7),-1,IF(AND(#REF!&gt;=table!$E$7,#REF!&lt;=table!$F$7),1,0))</f>
        <v>#REF!</v>
      </c>
      <c r="S3375" s="5" t="e">
        <f>IF(AND(#REF!&gt;=table!$C$8,#REF!&lt;= table!$D$8),-1,IF(AND(#REF!&gt;=table!$E$8,#REF!&lt;=table!$F$8),1,0))</f>
        <v>#REF!</v>
      </c>
      <c r="T3375" s="5"/>
      <c r="U3375" s="5" t="e">
        <f>IF(AND(#REF!&gt;=table!$C$10,#REF!&lt;= table!$D$10),-1,IF(AND(#REF!&gt;=table!$E$10,#REF!&lt;=table!$F$10),1,0))</f>
        <v>#REF!</v>
      </c>
      <c r="V3375" s="5" t="e">
        <f>IF(AND(#REF!&gt;=table!$C$11,#REF!&lt;= table!$D$11),-1,IF(AND(#REF!&gt;=table!$E$11,#REF!&lt;=table!$F$11),1,0))</f>
        <v>#REF!</v>
      </c>
      <c r="W3375" s="5" t="e">
        <f>CONCATENATE(dados[[#This Row],[fator1]],dados[[#This Row],[fator5]],dados[[#This Row],[fator6]])</f>
        <v>#REF!</v>
      </c>
    </row>
    <row r="3376" spans="1:23">
      <c r="A3376" t="s">
        <v>17</v>
      </c>
      <c r="B3376">
        <v>586935</v>
      </c>
      <c r="C3376">
        <v>16</v>
      </c>
      <c r="D3376">
        <v>33</v>
      </c>
      <c r="E3376">
        <v>150</v>
      </c>
      <c r="F3376">
        <v>8</v>
      </c>
      <c r="G3376">
        <v>15</v>
      </c>
      <c r="H3376">
        <v>25</v>
      </c>
      <c r="I3376">
        <v>866</v>
      </c>
      <c r="J3376">
        <v>0</v>
      </c>
      <c r="K3376">
        <v>4.99</v>
      </c>
      <c r="L3376">
        <v>10.450000000000001</v>
      </c>
      <c r="M3376">
        <v>85.9</v>
      </c>
      <c r="N3376">
        <v>11.700000000000001</v>
      </c>
      <c r="O3376">
        <v>1670</v>
      </c>
      <c r="P3376">
        <v>530</v>
      </c>
      <c r="Q3376" s="5" t="e">
        <f>IF(AND(#REF!&gt;=table!$C$6,#REF!&lt;= table!$D$6),-1,IF(AND(#REF!&gt;=table!$E$6,#REF!&lt;=table!$F$6),1,0))</f>
        <v>#REF!</v>
      </c>
      <c r="R3376" s="5" t="e">
        <f>IF(AND(#REF!&gt;=table!$C$7,#REF!&lt;= table!$D$7),-1,IF(AND(#REF!&gt;=table!$E$7,#REF!&lt;=table!$F$7),1,0))</f>
        <v>#REF!</v>
      </c>
      <c r="S3376" s="5" t="e">
        <f>IF(AND(#REF!&gt;=table!$C$8,#REF!&lt;= table!$D$8),-1,IF(AND(#REF!&gt;=table!$E$8,#REF!&lt;=table!$F$8),1,0))</f>
        <v>#REF!</v>
      </c>
      <c r="T3376" s="5"/>
      <c r="U3376" s="5" t="e">
        <f>IF(AND(#REF!&gt;=table!$C$10,#REF!&lt;= table!$D$10),-1,IF(AND(#REF!&gt;=table!$E$10,#REF!&lt;=table!$F$10),1,0))</f>
        <v>#REF!</v>
      </c>
      <c r="V3376" s="5" t="e">
        <f>IF(AND(#REF!&gt;=table!$C$11,#REF!&lt;= table!$D$11),-1,IF(AND(#REF!&gt;=table!$E$11,#REF!&lt;=table!$F$11),1,0))</f>
        <v>#REF!</v>
      </c>
      <c r="W3376" s="5" t="e">
        <f>CONCATENATE(dados[[#This Row],[fator1]],dados[[#This Row],[fator5]],dados[[#This Row],[fator6]])</f>
        <v>#REF!</v>
      </c>
    </row>
    <row r="3377" spans="1:23">
      <c r="A3377" t="s">
        <v>17</v>
      </c>
      <c r="B3377">
        <v>586936</v>
      </c>
      <c r="C3377">
        <v>16</v>
      </c>
      <c r="D3377">
        <v>33</v>
      </c>
      <c r="E3377">
        <v>150</v>
      </c>
      <c r="F3377">
        <v>8</v>
      </c>
      <c r="G3377">
        <v>15</v>
      </c>
      <c r="H3377">
        <v>25</v>
      </c>
      <c r="I3377">
        <v>1003</v>
      </c>
      <c r="J3377">
        <v>0</v>
      </c>
      <c r="K3377">
        <v>2.7749999999999999</v>
      </c>
      <c r="L3377">
        <v>6.9</v>
      </c>
      <c r="M3377">
        <v>100.9</v>
      </c>
      <c r="N3377">
        <v>14.3</v>
      </c>
      <c r="O3377">
        <v>1694</v>
      </c>
      <c r="P3377">
        <v>979</v>
      </c>
      <c r="Q3377" s="5" t="e">
        <f>IF(AND(#REF!&gt;=table!$C$6,#REF!&lt;= table!$D$6),-1,IF(AND(#REF!&gt;=table!$E$6,#REF!&lt;=table!$F$6),1,0))</f>
        <v>#REF!</v>
      </c>
      <c r="R3377" s="5" t="e">
        <f>IF(AND(#REF!&gt;=table!$C$7,#REF!&lt;= table!$D$7),-1,IF(AND(#REF!&gt;=table!$E$7,#REF!&lt;=table!$F$7),1,0))</f>
        <v>#REF!</v>
      </c>
      <c r="S3377" s="5" t="e">
        <f>IF(AND(#REF!&gt;=table!$C$8,#REF!&lt;= table!$D$8),-1,IF(AND(#REF!&gt;=table!$E$8,#REF!&lt;=table!$F$8),1,0))</f>
        <v>#REF!</v>
      </c>
      <c r="T3377" s="5"/>
      <c r="U3377" s="5" t="e">
        <f>IF(AND(#REF!&gt;=table!$C$10,#REF!&lt;= table!$D$10),-1,IF(AND(#REF!&gt;=table!$E$10,#REF!&lt;=table!$F$10),1,0))</f>
        <v>#REF!</v>
      </c>
      <c r="V3377" s="5" t="e">
        <f>IF(AND(#REF!&gt;=table!$C$11,#REF!&lt;= table!$D$11),-1,IF(AND(#REF!&gt;=table!$E$11,#REF!&lt;=table!$F$11),1,0))</f>
        <v>#REF!</v>
      </c>
      <c r="W3377" s="5" t="e">
        <f>CONCATENATE(dados[[#This Row],[fator1]],dados[[#This Row],[fator5]],dados[[#This Row],[fator6]])</f>
        <v>#REF!</v>
      </c>
    </row>
    <row r="3378" spans="1:23">
      <c r="A3378" t="s">
        <v>17</v>
      </c>
      <c r="B3378">
        <v>586937</v>
      </c>
      <c r="C3378">
        <v>15</v>
      </c>
      <c r="D3378">
        <v>33</v>
      </c>
      <c r="E3378">
        <v>140</v>
      </c>
      <c r="F3378">
        <v>10</v>
      </c>
      <c r="G3378">
        <v>15</v>
      </c>
      <c r="H3378">
        <v>25</v>
      </c>
      <c r="I3378">
        <v>1516</v>
      </c>
      <c r="J3378">
        <v>0</v>
      </c>
      <c r="K3378">
        <v>5.65</v>
      </c>
      <c r="L3378">
        <v>11.35</v>
      </c>
      <c r="M3378">
        <v>86</v>
      </c>
      <c r="N3378">
        <v>12.4</v>
      </c>
      <c r="O3378">
        <v>1666</v>
      </c>
      <c r="P3378">
        <v>480</v>
      </c>
      <c r="Q3378" s="5" t="e">
        <f>IF(AND(#REF!&gt;=table!$C$6,#REF!&lt;= table!$D$6),-1,IF(AND(#REF!&gt;=table!$E$6,#REF!&lt;=table!$F$6),1,0))</f>
        <v>#REF!</v>
      </c>
      <c r="R3378" s="5" t="e">
        <f>IF(AND(#REF!&gt;=table!$C$7,#REF!&lt;= table!$D$7),-1,IF(AND(#REF!&gt;=table!$E$7,#REF!&lt;=table!$F$7),1,0))</f>
        <v>#REF!</v>
      </c>
      <c r="S3378" s="5" t="e">
        <f>IF(AND(#REF!&gt;=table!$C$8,#REF!&lt;= table!$D$8),-1,IF(AND(#REF!&gt;=table!$E$8,#REF!&lt;=table!$F$8),1,0))</f>
        <v>#REF!</v>
      </c>
      <c r="T3378" s="5"/>
      <c r="U3378" s="5" t="e">
        <f>IF(AND(#REF!&gt;=table!$C$10,#REF!&lt;= table!$D$10),-1,IF(AND(#REF!&gt;=table!$E$10,#REF!&lt;=table!$F$10),1,0))</f>
        <v>#REF!</v>
      </c>
      <c r="V3378" s="5" t="e">
        <f>IF(AND(#REF!&gt;=table!$C$11,#REF!&lt;= table!$D$11),-1,IF(AND(#REF!&gt;=table!$E$11,#REF!&lt;=table!$F$11),1,0))</f>
        <v>#REF!</v>
      </c>
      <c r="W3378" s="5" t="e">
        <f>CONCATENATE(dados[[#This Row],[fator1]],dados[[#This Row],[fator5]],dados[[#This Row],[fator6]])</f>
        <v>#REF!</v>
      </c>
    </row>
    <row r="3379" spans="1:23">
      <c r="A3379" t="s">
        <v>17</v>
      </c>
      <c r="B3379">
        <v>586949</v>
      </c>
      <c r="C3379">
        <v>8</v>
      </c>
      <c r="D3379">
        <v>25</v>
      </c>
      <c r="E3379">
        <v>136</v>
      </c>
      <c r="F3379">
        <v>6</v>
      </c>
      <c r="G3379">
        <v>8</v>
      </c>
      <c r="H3379">
        <v>25</v>
      </c>
      <c r="I3379">
        <v>811</v>
      </c>
      <c r="J3379">
        <v>0</v>
      </c>
      <c r="K3379">
        <v>2.57</v>
      </c>
      <c r="L3379">
        <v>4.05</v>
      </c>
      <c r="M3379">
        <v>117.75</v>
      </c>
      <c r="N3379">
        <v>13.15</v>
      </c>
      <c r="O3379">
        <v>1686</v>
      </c>
      <c r="P3379">
        <v>1254</v>
      </c>
      <c r="Q3379" s="5" t="e">
        <f>IF(AND(#REF!&gt;=table!$C$6,#REF!&lt;= table!$D$6),-1,IF(AND(#REF!&gt;=table!$E$6,#REF!&lt;=table!$F$6),1,0))</f>
        <v>#REF!</v>
      </c>
      <c r="R3379" s="5" t="e">
        <f>IF(AND(#REF!&gt;=table!$C$7,#REF!&lt;= table!$D$7),-1,IF(AND(#REF!&gt;=table!$E$7,#REF!&lt;=table!$F$7),1,0))</f>
        <v>#REF!</v>
      </c>
      <c r="S3379" s="5" t="e">
        <f>IF(AND(#REF!&gt;=table!$C$8,#REF!&lt;= table!$D$8),-1,IF(AND(#REF!&gt;=table!$E$8,#REF!&lt;=table!$F$8),1,0))</f>
        <v>#REF!</v>
      </c>
      <c r="T3379" s="5"/>
      <c r="U3379" s="5" t="e">
        <f>IF(AND(#REF!&gt;=table!$C$10,#REF!&lt;= table!$D$10),-1,IF(AND(#REF!&gt;=table!$E$10,#REF!&lt;=table!$F$10),1,0))</f>
        <v>#REF!</v>
      </c>
      <c r="V3379" s="5" t="e">
        <f>IF(AND(#REF!&gt;=table!$C$11,#REF!&lt;= table!$D$11),-1,IF(AND(#REF!&gt;=table!$E$11,#REF!&lt;=table!$F$11),1,0))</f>
        <v>#REF!</v>
      </c>
      <c r="W3379" s="5" t="e">
        <f>CONCATENATE(dados[[#This Row],[fator1]],dados[[#This Row],[fator5]],dados[[#This Row],[fator6]])</f>
        <v>#REF!</v>
      </c>
    </row>
    <row r="3380" spans="1:23">
      <c r="A3380" t="s">
        <v>17</v>
      </c>
      <c r="B3380">
        <v>586953</v>
      </c>
      <c r="C3380">
        <v>10</v>
      </c>
      <c r="D3380">
        <v>25</v>
      </c>
      <c r="E3380">
        <v>156</v>
      </c>
      <c r="F3380">
        <v>8</v>
      </c>
      <c r="G3380">
        <v>20</v>
      </c>
      <c r="H3380">
        <v>25</v>
      </c>
      <c r="I3380">
        <v>580</v>
      </c>
      <c r="J3380">
        <v>720</v>
      </c>
      <c r="K3380">
        <v>2.98</v>
      </c>
      <c r="L3380">
        <v>2.95</v>
      </c>
      <c r="M3380">
        <v>134.75</v>
      </c>
      <c r="N3380">
        <v>15.6</v>
      </c>
      <c r="O3380">
        <v>1695</v>
      </c>
      <c r="P3380">
        <v>1743</v>
      </c>
      <c r="Q3380" s="5" t="e">
        <f>IF(AND(#REF!&gt;=table!$C$6,#REF!&lt;= table!$D$6),-1,IF(AND(#REF!&gt;=table!$E$6,#REF!&lt;=table!$F$6),1,0))</f>
        <v>#REF!</v>
      </c>
      <c r="R3380" s="5" t="e">
        <f>IF(AND(#REF!&gt;=table!$C$7,#REF!&lt;= table!$D$7),-1,IF(AND(#REF!&gt;=table!$E$7,#REF!&lt;=table!$F$7),1,0))</f>
        <v>#REF!</v>
      </c>
      <c r="S3380" s="5" t="e">
        <f>IF(AND(#REF!&gt;=table!$C$8,#REF!&lt;= table!$D$8),-1,IF(AND(#REF!&gt;=table!$E$8,#REF!&lt;=table!$F$8),1,0))</f>
        <v>#REF!</v>
      </c>
      <c r="T3380" s="5"/>
      <c r="U3380" s="5" t="e">
        <f>IF(AND(#REF!&gt;=table!$C$10,#REF!&lt;= table!$D$10),-1,IF(AND(#REF!&gt;=table!$E$10,#REF!&lt;=table!$F$10),1,0))</f>
        <v>#REF!</v>
      </c>
      <c r="V3380" s="5" t="e">
        <f>IF(AND(#REF!&gt;=table!$C$11,#REF!&lt;= table!$D$11),-1,IF(AND(#REF!&gt;=table!$E$11,#REF!&lt;=table!$F$11),1,0))</f>
        <v>#REF!</v>
      </c>
      <c r="W3380" s="5" t="e">
        <f>CONCATENATE(dados[[#This Row],[fator1]],dados[[#This Row],[fator5]],dados[[#This Row],[fator6]])</f>
        <v>#REF!</v>
      </c>
    </row>
    <row r="3381" spans="1:23">
      <c r="A3381" t="s">
        <v>16</v>
      </c>
      <c r="B3381">
        <v>586964</v>
      </c>
      <c r="C3381">
        <v>0.15</v>
      </c>
      <c r="D3381">
        <v>40</v>
      </c>
      <c r="E3381">
        <v>10</v>
      </c>
      <c r="F3381">
        <v>15</v>
      </c>
      <c r="G3381">
        <v>0</v>
      </c>
      <c r="H3381">
        <v>15</v>
      </c>
      <c r="I3381">
        <v>1191</v>
      </c>
      <c r="J3381">
        <v>0</v>
      </c>
      <c r="K3381">
        <v>4.7350000000000003</v>
      </c>
      <c r="L3381">
        <v>6.25</v>
      </c>
      <c r="M3381">
        <v>5.7</v>
      </c>
      <c r="N3381">
        <v>7.95</v>
      </c>
      <c r="O3381">
        <v>1665</v>
      </c>
      <c r="P3381">
        <v>646</v>
      </c>
      <c r="Q3381" s="5" t="e">
        <f>IF(AND(#REF!&gt;=table!$C$6,#REF!&lt;= table!$D$6),-1,IF(AND(#REF!&gt;=table!$E$6,#REF!&lt;=table!$F$6),1,0))</f>
        <v>#REF!</v>
      </c>
      <c r="R3381" s="5" t="e">
        <f>IF(AND(#REF!&gt;=table!$C$7,#REF!&lt;= table!$D$7),-1,IF(AND(#REF!&gt;=table!$E$7,#REF!&lt;=table!$F$7),1,0))</f>
        <v>#REF!</v>
      </c>
      <c r="S3381" s="5" t="e">
        <f>IF(AND(#REF!&gt;=table!$C$8,#REF!&lt;= table!$D$8),-1,IF(AND(#REF!&gt;=table!$E$8,#REF!&lt;=table!$F$8),1,0))</f>
        <v>#REF!</v>
      </c>
      <c r="T3381" s="5"/>
      <c r="U3381" s="5" t="e">
        <f>IF(AND(#REF!&gt;=table!$C$10,#REF!&lt;= table!$D$10),-1,IF(AND(#REF!&gt;=table!$E$10,#REF!&lt;=table!$F$10),1,0))</f>
        <v>#REF!</v>
      </c>
      <c r="V3381" s="5" t="e">
        <f>IF(AND(#REF!&gt;=table!$C$11,#REF!&lt;= table!$D$11),-1,IF(AND(#REF!&gt;=table!$E$11,#REF!&lt;=table!$F$11),1,0))</f>
        <v>#REF!</v>
      </c>
      <c r="W3381" s="5" t="e">
        <f>CONCATENATE(dados[[#This Row],[fator1]],dados[[#This Row],[fator5]],dados[[#This Row],[fator6]])</f>
        <v>#REF!</v>
      </c>
    </row>
    <row r="3382" spans="1:23">
      <c r="A3382" t="s">
        <v>16</v>
      </c>
      <c r="B3382">
        <v>586967</v>
      </c>
      <c r="C3382">
        <v>16</v>
      </c>
      <c r="D3382">
        <v>35</v>
      </c>
      <c r="E3382">
        <v>56</v>
      </c>
      <c r="F3382">
        <v>10</v>
      </c>
      <c r="G3382">
        <v>0</v>
      </c>
      <c r="H3382">
        <v>25</v>
      </c>
      <c r="I3382">
        <v>804</v>
      </c>
      <c r="J3382">
        <v>0</v>
      </c>
      <c r="K3382">
        <v>4.7050000000000001</v>
      </c>
      <c r="L3382">
        <v>13.25</v>
      </c>
      <c r="M3382">
        <v>44.7</v>
      </c>
      <c r="N3382">
        <v>16.55</v>
      </c>
      <c r="O3382">
        <v>1688</v>
      </c>
      <c r="P3382">
        <v>651</v>
      </c>
      <c r="Q3382" s="5" t="e">
        <f>IF(AND(#REF!&gt;=table!$C$6,#REF!&lt;= table!$D$6),-1,IF(AND(#REF!&gt;=table!$E$6,#REF!&lt;=table!$F$6),1,0))</f>
        <v>#REF!</v>
      </c>
      <c r="R3382" s="5" t="e">
        <f>IF(AND(#REF!&gt;=table!$C$7,#REF!&lt;= table!$D$7),-1,IF(AND(#REF!&gt;=table!$E$7,#REF!&lt;=table!$F$7),1,0))</f>
        <v>#REF!</v>
      </c>
      <c r="S3382" s="5" t="e">
        <f>IF(AND(#REF!&gt;=table!$C$8,#REF!&lt;= table!$D$8),-1,IF(AND(#REF!&gt;=table!$E$8,#REF!&lt;=table!$F$8),1,0))</f>
        <v>#REF!</v>
      </c>
      <c r="T3382" s="5"/>
      <c r="U3382" s="5" t="e">
        <f>IF(AND(#REF!&gt;=table!$C$10,#REF!&lt;= table!$D$10),-1,IF(AND(#REF!&gt;=table!$E$10,#REF!&lt;=table!$F$10),1,0))</f>
        <v>#REF!</v>
      </c>
      <c r="V3382" s="5" t="e">
        <f>IF(AND(#REF!&gt;=table!$C$11,#REF!&lt;= table!$D$11),-1,IF(AND(#REF!&gt;=table!$E$11,#REF!&lt;=table!$F$11),1,0))</f>
        <v>#REF!</v>
      </c>
      <c r="W3382" s="5" t="e">
        <f>CONCATENATE(dados[[#This Row],[fator1]],dados[[#This Row],[fator5]],dados[[#This Row],[fator6]])</f>
        <v>#REF!</v>
      </c>
    </row>
    <row r="3383" spans="1:23">
      <c r="A3383" t="s">
        <v>16</v>
      </c>
      <c r="B3383">
        <v>586968</v>
      </c>
      <c r="C3383">
        <v>16</v>
      </c>
      <c r="D3383">
        <v>35</v>
      </c>
      <c r="E3383">
        <v>56</v>
      </c>
      <c r="F3383">
        <v>10</v>
      </c>
      <c r="G3383">
        <v>0</v>
      </c>
      <c r="H3383">
        <v>25</v>
      </c>
      <c r="I3383">
        <v>598</v>
      </c>
      <c r="J3383">
        <v>0</v>
      </c>
      <c r="K3383">
        <v>10.295</v>
      </c>
      <c r="L3383">
        <v>14.3</v>
      </c>
      <c r="M3383">
        <v>47.45</v>
      </c>
      <c r="N3383">
        <v>12.35</v>
      </c>
      <c r="O3383">
        <v>1684</v>
      </c>
      <c r="P3383">
        <v>372</v>
      </c>
      <c r="Q3383" s="5" t="e">
        <f>IF(AND(#REF!&gt;=table!$C$6,#REF!&lt;= table!$D$6),-1,IF(AND(#REF!&gt;=table!$E$6,#REF!&lt;=table!$F$6),1,0))</f>
        <v>#REF!</v>
      </c>
      <c r="R3383" s="5" t="e">
        <f>IF(AND(#REF!&gt;=table!$C$7,#REF!&lt;= table!$D$7),-1,IF(AND(#REF!&gt;=table!$E$7,#REF!&lt;=table!$F$7),1,0))</f>
        <v>#REF!</v>
      </c>
      <c r="S3383" s="5" t="e">
        <f>IF(AND(#REF!&gt;=table!$C$8,#REF!&lt;= table!$D$8),-1,IF(AND(#REF!&gt;=table!$E$8,#REF!&lt;=table!$F$8),1,0))</f>
        <v>#REF!</v>
      </c>
      <c r="T3383" s="5"/>
      <c r="U3383" s="5" t="e">
        <f>IF(AND(#REF!&gt;=table!$C$10,#REF!&lt;= table!$D$10),-1,IF(AND(#REF!&gt;=table!$E$10,#REF!&lt;=table!$F$10),1,0))</f>
        <v>#REF!</v>
      </c>
      <c r="V3383" s="5" t="e">
        <f>IF(AND(#REF!&gt;=table!$C$11,#REF!&lt;= table!$D$11),-1,IF(AND(#REF!&gt;=table!$E$11,#REF!&lt;=table!$F$11),1,0))</f>
        <v>#REF!</v>
      </c>
      <c r="W3383" s="5" t="e">
        <f>CONCATENATE(dados[[#This Row],[fator1]],dados[[#This Row],[fator5]],dados[[#This Row],[fator6]])</f>
        <v>#REF!</v>
      </c>
    </row>
    <row r="3384" spans="1:23">
      <c r="A3384" t="s">
        <v>16</v>
      </c>
      <c r="B3384">
        <v>586970</v>
      </c>
      <c r="C3384">
        <v>16</v>
      </c>
      <c r="D3384">
        <v>35</v>
      </c>
      <c r="E3384">
        <v>56</v>
      </c>
      <c r="F3384">
        <v>10</v>
      </c>
      <c r="G3384">
        <v>0</v>
      </c>
      <c r="H3384">
        <v>25</v>
      </c>
      <c r="I3384">
        <v>771</v>
      </c>
      <c r="J3384">
        <v>0</v>
      </c>
      <c r="K3384">
        <v>9.25</v>
      </c>
      <c r="L3384">
        <v>10</v>
      </c>
      <c r="M3384">
        <v>40.43</v>
      </c>
      <c r="N3384">
        <v>11.255000000000001</v>
      </c>
      <c r="O3384">
        <v>1665</v>
      </c>
      <c r="P3384">
        <v>361</v>
      </c>
      <c r="Q3384" s="5" t="e">
        <f>IF(AND(#REF!&gt;=table!$C$6,#REF!&lt;= table!$D$6),-1,IF(AND(#REF!&gt;=table!$E$6,#REF!&lt;=table!$F$6),1,0))</f>
        <v>#REF!</v>
      </c>
      <c r="R3384" s="5" t="e">
        <f>IF(AND(#REF!&gt;=table!$C$7,#REF!&lt;= table!$D$7),-1,IF(AND(#REF!&gt;=table!$E$7,#REF!&lt;=table!$F$7),1,0))</f>
        <v>#REF!</v>
      </c>
      <c r="S3384" s="5" t="e">
        <f>IF(AND(#REF!&gt;=table!$C$8,#REF!&lt;= table!$D$8),-1,IF(AND(#REF!&gt;=table!$E$8,#REF!&lt;=table!$F$8),1,0))</f>
        <v>#REF!</v>
      </c>
      <c r="T3384" s="5"/>
      <c r="U3384" s="5" t="e">
        <f>IF(AND(#REF!&gt;=table!$C$10,#REF!&lt;= table!$D$10),-1,IF(AND(#REF!&gt;=table!$E$10,#REF!&lt;=table!$F$10),1,0))</f>
        <v>#REF!</v>
      </c>
      <c r="V3384" s="5" t="e">
        <f>IF(AND(#REF!&gt;=table!$C$11,#REF!&lt;= table!$D$11),-1,IF(AND(#REF!&gt;=table!$E$11,#REF!&lt;=table!$F$11),1,0))</f>
        <v>#REF!</v>
      </c>
      <c r="W3384" s="5" t="e">
        <f>CONCATENATE(dados[[#This Row],[fator1]],dados[[#This Row],[fator5]],dados[[#This Row],[fator6]])</f>
        <v>#REF!</v>
      </c>
    </row>
    <row r="3385" spans="1:23">
      <c r="A3385" t="s">
        <v>16</v>
      </c>
      <c r="B3385">
        <v>586974</v>
      </c>
      <c r="C3385">
        <v>9</v>
      </c>
      <c r="D3385">
        <v>27</v>
      </c>
      <c r="E3385">
        <v>36</v>
      </c>
      <c r="F3385">
        <v>8</v>
      </c>
      <c r="G3385">
        <v>0</v>
      </c>
      <c r="H3385">
        <v>25</v>
      </c>
      <c r="I3385">
        <v>745</v>
      </c>
      <c r="J3385">
        <v>0</v>
      </c>
      <c r="K3385">
        <v>5.0250000000000004</v>
      </c>
      <c r="L3385">
        <v>10.5</v>
      </c>
      <c r="M3385">
        <v>25.1</v>
      </c>
      <c r="N3385">
        <v>14.8</v>
      </c>
      <c r="O3385">
        <v>1683</v>
      </c>
      <c r="P3385">
        <v>0</v>
      </c>
      <c r="Q3385" s="5" t="e">
        <f>IF(AND(#REF!&gt;=table!$C$6,#REF!&lt;= table!$D$6),-1,IF(AND(#REF!&gt;=table!$E$6,#REF!&lt;=table!$F$6),1,0))</f>
        <v>#REF!</v>
      </c>
      <c r="R3385" s="5" t="e">
        <f>IF(AND(#REF!&gt;=table!$C$7,#REF!&lt;= table!$D$7),-1,IF(AND(#REF!&gt;=table!$E$7,#REF!&lt;=table!$F$7),1,0))</f>
        <v>#REF!</v>
      </c>
      <c r="S3385" s="5" t="e">
        <f>IF(AND(#REF!&gt;=table!$C$8,#REF!&lt;= table!$D$8),-1,IF(AND(#REF!&gt;=table!$E$8,#REF!&lt;=table!$F$8),1,0))</f>
        <v>#REF!</v>
      </c>
      <c r="T3385" s="5"/>
      <c r="U3385" s="5" t="e">
        <f>IF(AND(#REF!&gt;=table!$C$10,#REF!&lt;= table!$D$10),-1,IF(AND(#REF!&gt;=table!$E$10,#REF!&lt;=table!$F$10),1,0))</f>
        <v>#REF!</v>
      </c>
      <c r="V3385" s="5" t="e">
        <f>IF(AND(#REF!&gt;=table!$C$11,#REF!&lt;= table!$D$11),-1,IF(AND(#REF!&gt;=table!$E$11,#REF!&lt;=table!$F$11),1,0))</f>
        <v>#REF!</v>
      </c>
      <c r="W3385" s="5" t="e">
        <f>CONCATENATE(dados[[#This Row],[fator1]],dados[[#This Row],[fator5]],dados[[#This Row],[fator6]])</f>
        <v>#REF!</v>
      </c>
    </row>
    <row r="3386" spans="1:23">
      <c r="A3386" t="s">
        <v>16</v>
      </c>
      <c r="B3386">
        <v>586975</v>
      </c>
      <c r="C3386">
        <v>9</v>
      </c>
      <c r="D3386">
        <v>40</v>
      </c>
      <c r="E3386">
        <v>46</v>
      </c>
      <c r="F3386">
        <v>15</v>
      </c>
      <c r="G3386">
        <v>0</v>
      </c>
      <c r="H3386">
        <v>25</v>
      </c>
      <c r="I3386">
        <v>1150</v>
      </c>
      <c r="J3386">
        <v>0</v>
      </c>
      <c r="K3386">
        <v>7.69</v>
      </c>
      <c r="L3386">
        <v>12.700000000000001</v>
      </c>
      <c r="M3386">
        <v>24.91</v>
      </c>
      <c r="N3386">
        <v>13.43</v>
      </c>
      <c r="O3386">
        <v>1664</v>
      </c>
      <c r="P3386">
        <v>386</v>
      </c>
      <c r="Q3386" s="5" t="e">
        <f>IF(AND(#REF!&gt;=table!$C$6,#REF!&lt;= table!$D$6),-1,IF(AND(#REF!&gt;=table!$E$6,#REF!&lt;=table!$F$6),1,0))</f>
        <v>#REF!</v>
      </c>
      <c r="R3386" s="5" t="e">
        <f>IF(AND(#REF!&gt;=table!$C$7,#REF!&lt;= table!$D$7),-1,IF(AND(#REF!&gt;=table!$E$7,#REF!&lt;=table!$F$7),1,0))</f>
        <v>#REF!</v>
      </c>
      <c r="S3386" s="5" t="e">
        <f>IF(AND(#REF!&gt;=table!$C$8,#REF!&lt;= table!$D$8),-1,IF(AND(#REF!&gt;=table!$E$8,#REF!&lt;=table!$F$8),1,0))</f>
        <v>#REF!</v>
      </c>
      <c r="T3386" s="5"/>
      <c r="U3386" s="5" t="e">
        <f>IF(AND(#REF!&gt;=table!$C$10,#REF!&lt;= table!$D$10),-1,IF(AND(#REF!&gt;=table!$E$10,#REF!&lt;=table!$F$10),1,0))</f>
        <v>#REF!</v>
      </c>
      <c r="V3386" s="5" t="e">
        <f>IF(AND(#REF!&gt;=table!$C$11,#REF!&lt;= table!$D$11),-1,IF(AND(#REF!&gt;=table!$E$11,#REF!&lt;=table!$F$11),1,0))</f>
        <v>#REF!</v>
      </c>
      <c r="W3386" s="5" t="e">
        <f>CONCATENATE(dados[[#This Row],[fator1]],dados[[#This Row],[fator5]],dados[[#This Row],[fator6]])</f>
        <v>#REF!</v>
      </c>
    </row>
    <row r="3387" spans="1:23">
      <c r="A3387" t="s">
        <v>16</v>
      </c>
      <c r="B3387">
        <v>586976</v>
      </c>
      <c r="C3387">
        <v>6</v>
      </c>
      <c r="D3387">
        <v>25</v>
      </c>
      <c r="E3387">
        <v>120</v>
      </c>
      <c r="F3387">
        <v>4</v>
      </c>
      <c r="G3387">
        <v>0</v>
      </c>
      <c r="H3387">
        <v>55</v>
      </c>
      <c r="I3387">
        <v>882</v>
      </c>
      <c r="J3387">
        <v>0</v>
      </c>
      <c r="K3387">
        <v>2.6015000000000001</v>
      </c>
      <c r="L3387">
        <v>11.265000000000001</v>
      </c>
      <c r="M3387">
        <v>98.76</v>
      </c>
      <c r="N3387">
        <v>35.695</v>
      </c>
      <c r="O3387">
        <v>1698</v>
      </c>
      <c r="P3387">
        <v>1211</v>
      </c>
      <c r="Q3387" s="5" t="e">
        <f>IF(AND(#REF!&gt;=table!$C$6,#REF!&lt;= table!$D$6),-1,IF(AND(#REF!&gt;=table!$E$6,#REF!&lt;=table!$F$6),1,0))</f>
        <v>#REF!</v>
      </c>
      <c r="R3387" s="5" t="e">
        <f>IF(AND(#REF!&gt;=table!$C$7,#REF!&lt;= table!$D$7),-1,IF(AND(#REF!&gt;=table!$E$7,#REF!&lt;=table!$F$7),1,0))</f>
        <v>#REF!</v>
      </c>
      <c r="S3387" s="5" t="e">
        <f>IF(AND(#REF!&gt;=table!$C$8,#REF!&lt;= table!$D$8),-1,IF(AND(#REF!&gt;=table!$E$8,#REF!&lt;=table!$F$8),1,0))</f>
        <v>#REF!</v>
      </c>
      <c r="T3387" s="5"/>
      <c r="U3387" s="5" t="e">
        <f>IF(AND(#REF!&gt;=table!$C$10,#REF!&lt;= table!$D$10),-1,IF(AND(#REF!&gt;=table!$E$10,#REF!&lt;=table!$F$10),1,0))</f>
        <v>#REF!</v>
      </c>
      <c r="V3387" s="5" t="e">
        <f>IF(AND(#REF!&gt;=table!$C$11,#REF!&lt;= table!$D$11),-1,IF(AND(#REF!&gt;=table!$E$11,#REF!&lt;=table!$F$11),1,0))</f>
        <v>#REF!</v>
      </c>
      <c r="W3387" s="5" t="e">
        <f>CONCATENATE(dados[[#This Row],[fator1]],dados[[#This Row],[fator5]],dados[[#This Row],[fator6]])</f>
        <v>#REF!</v>
      </c>
    </row>
    <row r="3388" spans="1:23">
      <c r="A3388" t="s">
        <v>16</v>
      </c>
      <c r="B3388">
        <v>586978</v>
      </c>
      <c r="C3388">
        <v>9</v>
      </c>
      <c r="D3388">
        <v>35</v>
      </c>
      <c r="E3388">
        <v>50</v>
      </c>
      <c r="F3388">
        <v>9</v>
      </c>
      <c r="G3388">
        <v>0</v>
      </c>
      <c r="H3388">
        <v>25</v>
      </c>
      <c r="I3388">
        <v>1285</v>
      </c>
      <c r="J3388">
        <v>0</v>
      </c>
      <c r="K3388">
        <v>4.3150000000000004</v>
      </c>
      <c r="L3388">
        <v>6.9750000000000005</v>
      </c>
      <c r="M3388">
        <v>37.9</v>
      </c>
      <c r="N3388">
        <v>11.5</v>
      </c>
      <c r="O3388">
        <v>1675</v>
      </c>
      <c r="P3388">
        <v>0</v>
      </c>
      <c r="Q3388" s="5" t="e">
        <f>IF(AND(#REF!&gt;=table!$C$6,#REF!&lt;= table!$D$6),-1,IF(AND(#REF!&gt;=table!$E$6,#REF!&lt;=table!$F$6),1,0))</f>
        <v>#REF!</v>
      </c>
      <c r="R3388" s="5" t="e">
        <f>IF(AND(#REF!&gt;=table!$C$7,#REF!&lt;= table!$D$7),-1,IF(AND(#REF!&gt;=table!$E$7,#REF!&lt;=table!$F$7),1,0))</f>
        <v>#REF!</v>
      </c>
      <c r="S3388" s="5" t="e">
        <f>IF(AND(#REF!&gt;=table!$C$8,#REF!&lt;= table!$D$8),-1,IF(AND(#REF!&gt;=table!$E$8,#REF!&lt;=table!$F$8),1,0))</f>
        <v>#REF!</v>
      </c>
      <c r="T3388" s="5"/>
      <c r="U3388" s="5" t="e">
        <f>IF(AND(#REF!&gt;=table!$C$10,#REF!&lt;= table!$D$10),-1,IF(AND(#REF!&gt;=table!$E$10,#REF!&lt;=table!$F$10),1,0))</f>
        <v>#REF!</v>
      </c>
      <c r="V3388" s="5" t="e">
        <f>IF(AND(#REF!&gt;=table!$C$11,#REF!&lt;= table!$D$11),-1,IF(AND(#REF!&gt;=table!$E$11,#REF!&lt;=table!$F$11),1,0))</f>
        <v>#REF!</v>
      </c>
      <c r="W3388" s="5" t="e">
        <f>CONCATENATE(dados[[#This Row],[fator1]],dados[[#This Row],[fator5]],dados[[#This Row],[fator6]])</f>
        <v>#REF!</v>
      </c>
    </row>
    <row r="3389" spans="1:23">
      <c r="A3389" t="s">
        <v>16</v>
      </c>
      <c r="B3389">
        <v>586979</v>
      </c>
      <c r="C3389">
        <v>9</v>
      </c>
      <c r="D3389">
        <v>35</v>
      </c>
      <c r="E3389">
        <v>36</v>
      </c>
      <c r="F3389">
        <v>9</v>
      </c>
      <c r="G3389">
        <v>0</v>
      </c>
      <c r="H3389">
        <v>25</v>
      </c>
      <c r="I3389">
        <v>882</v>
      </c>
      <c r="J3389">
        <v>0</v>
      </c>
      <c r="K3389">
        <v>6.3950000000000005</v>
      </c>
      <c r="L3389">
        <v>14.315000000000001</v>
      </c>
      <c r="M3389">
        <v>35.700000000000003</v>
      </c>
      <c r="N3389">
        <v>15.5</v>
      </c>
      <c r="O3389">
        <v>1681</v>
      </c>
      <c r="P3389">
        <v>0</v>
      </c>
      <c r="Q3389" s="5" t="e">
        <f>IF(AND(#REF!&gt;=table!$C$6,#REF!&lt;= table!$D$6),-1,IF(AND(#REF!&gt;=table!$E$6,#REF!&lt;=table!$F$6),1,0))</f>
        <v>#REF!</v>
      </c>
      <c r="R3389" s="5" t="e">
        <f>IF(AND(#REF!&gt;=table!$C$7,#REF!&lt;= table!$D$7),-1,IF(AND(#REF!&gt;=table!$E$7,#REF!&lt;=table!$F$7),1,0))</f>
        <v>#REF!</v>
      </c>
      <c r="S3389" s="5" t="e">
        <f>IF(AND(#REF!&gt;=table!$C$8,#REF!&lt;= table!$D$8),-1,IF(AND(#REF!&gt;=table!$E$8,#REF!&lt;=table!$F$8),1,0))</f>
        <v>#REF!</v>
      </c>
      <c r="T3389" s="5"/>
      <c r="U3389" s="5" t="e">
        <f>IF(AND(#REF!&gt;=table!$C$10,#REF!&lt;= table!$D$10),-1,IF(AND(#REF!&gt;=table!$E$10,#REF!&lt;=table!$F$10),1,0))</f>
        <v>#REF!</v>
      </c>
      <c r="V3389" s="5" t="e">
        <f>IF(AND(#REF!&gt;=table!$C$11,#REF!&lt;= table!$D$11),-1,IF(AND(#REF!&gt;=table!$E$11,#REF!&lt;=table!$F$11),1,0))</f>
        <v>#REF!</v>
      </c>
      <c r="W3389" s="5" t="e">
        <f>CONCATENATE(dados[[#This Row],[fator1]],dados[[#This Row],[fator5]],dados[[#This Row],[fator6]])</f>
        <v>#REF!</v>
      </c>
    </row>
    <row r="3390" spans="1:23">
      <c r="A3390" t="s">
        <v>16</v>
      </c>
      <c r="B3390">
        <v>586980</v>
      </c>
      <c r="C3390">
        <v>9</v>
      </c>
      <c r="D3390">
        <v>35</v>
      </c>
      <c r="E3390">
        <v>36</v>
      </c>
      <c r="F3390">
        <v>9</v>
      </c>
      <c r="G3390">
        <v>0</v>
      </c>
      <c r="H3390">
        <v>25</v>
      </c>
      <c r="I3390">
        <v>1198</v>
      </c>
      <c r="J3390">
        <v>0</v>
      </c>
      <c r="K3390">
        <v>11.83</v>
      </c>
      <c r="L3390">
        <v>14.15</v>
      </c>
      <c r="M3390">
        <v>118.15</v>
      </c>
      <c r="N3390">
        <v>19.350000000000001</v>
      </c>
      <c r="O3390">
        <v>1684</v>
      </c>
      <c r="P3390">
        <v>223</v>
      </c>
      <c r="Q3390" s="5" t="e">
        <f>IF(AND(#REF!&gt;=table!$C$6,#REF!&lt;= table!$D$6),-1,IF(AND(#REF!&gt;=table!$E$6,#REF!&lt;=table!$F$6),1,0))</f>
        <v>#REF!</v>
      </c>
      <c r="R3390" s="5" t="e">
        <f>IF(AND(#REF!&gt;=table!$C$7,#REF!&lt;= table!$D$7),-1,IF(AND(#REF!&gt;=table!$E$7,#REF!&lt;=table!$F$7),1,0))</f>
        <v>#REF!</v>
      </c>
      <c r="S3390" s="5" t="e">
        <f>IF(AND(#REF!&gt;=table!$C$8,#REF!&lt;= table!$D$8),-1,IF(AND(#REF!&gt;=table!$E$8,#REF!&lt;=table!$F$8),1,0))</f>
        <v>#REF!</v>
      </c>
      <c r="T3390" s="5"/>
      <c r="U3390" s="5" t="e">
        <f>IF(AND(#REF!&gt;=table!$C$10,#REF!&lt;= table!$D$10),-1,IF(AND(#REF!&gt;=table!$E$10,#REF!&lt;=table!$F$10),1,0))</f>
        <v>#REF!</v>
      </c>
      <c r="V3390" s="5" t="e">
        <f>IF(AND(#REF!&gt;=table!$C$11,#REF!&lt;= table!$D$11),-1,IF(AND(#REF!&gt;=table!$E$11,#REF!&lt;=table!$F$11),1,0))</f>
        <v>#REF!</v>
      </c>
      <c r="W3390" s="5" t="e">
        <f>CONCATENATE(dados[[#This Row],[fator1]],dados[[#This Row],[fator5]],dados[[#This Row],[fator6]])</f>
        <v>#REF!</v>
      </c>
    </row>
    <row r="3391" spans="1:23">
      <c r="A3391" t="s">
        <v>16</v>
      </c>
      <c r="B3391">
        <v>586981</v>
      </c>
      <c r="C3391">
        <v>9</v>
      </c>
      <c r="D3391">
        <v>27</v>
      </c>
      <c r="E3391">
        <v>36</v>
      </c>
      <c r="F3391">
        <v>8</v>
      </c>
      <c r="G3391">
        <v>0</v>
      </c>
      <c r="H3391">
        <v>25</v>
      </c>
      <c r="I3391">
        <v>900</v>
      </c>
      <c r="J3391">
        <v>0</v>
      </c>
      <c r="K3391">
        <v>9.9700000000000006</v>
      </c>
      <c r="L3391">
        <v>15.55</v>
      </c>
      <c r="M3391">
        <v>27.85</v>
      </c>
      <c r="N3391">
        <v>20.2</v>
      </c>
      <c r="O3391">
        <v>1695</v>
      </c>
      <c r="P3391">
        <v>379</v>
      </c>
      <c r="Q3391" s="5" t="e">
        <f>IF(AND(#REF!&gt;=table!$C$6,#REF!&lt;= table!$D$6),-1,IF(AND(#REF!&gt;=table!$E$6,#REF!&lt;=table!$F$6),1,0))</f>
        <v>#REF!</v>
      </c>
      <c r="R3391" s="5" t="e">
        <f>IF(AND(#REF!&gt;=table!$C$7,#REF!&lt;= table!$D$7),-1,IF(AND(#REF!&gt;=table!$E$7,#REF!&lt;=table!$F$7),1,0))</f>
        <v>#REF!</v>
      </c>
      <c r="S3391" s="5" t="e">
        <f>IF(AND(#REF!&gt;=table!$C$8,#REF!&lt;= table!$D$8),-1,IF(AND(#REF!&gt;=table!$E$8,#REF!&lt;=table!$F$8),1,0))</f>
        <v>#REF!</v>
      </c>
      <c r="T3391" s="5"/>
      <c r="U3391" s="5" t="e">
        <f>IF(AND(#REF!&gt;=table!$C$10,#REF!&lt;= table!$D$10),-1,IF(AND(#REF!&gt;=table!$E$10,#REF!&lt;=table!$F$10),1,0))</f>
        <v>#REF!</v>
      </c>
      <c r="V3391" s="5" t="e">
        <f>IF(AND(#REF!&gt;=table!$C$11,#REF!&lt;= table!$D$11),-1,IF(AND(#REF!&gt;=table!$E$11,#REF!&lt;=table!$F$11),1,0))</f>
        <v>#REF!</v>
      </c>
      <c r="W3391" s="5" t="e">
        <f>CONCATENATE(dados[[#This Row],[fator1]],dados[[#This Row],[fator5]],dados[[#This Row],[fator6]])</f>
        <v>#REF!</v>
      </c>
    </row>
    <row r="3392" spans="1:23">
      <c r="A3392" t="s">
        <v>17</v>
      </c>
      <c r="B3392">
        <v>586984</v>
      </c>
      <c r="C3392">
        <v>16</v>
      </c>
      <c r="D3392">
        <v>33</v>
      </c>
      <c r="E3392">
        <v>150</v>
      </c>
      <c r="F3392">
        <v>10</v>
      </c>
      <c r="G3392">
        <v>15</v>
      </c>
      <c r="H3392">
        <v>25</v>
      </c>
      <c r="I3392">
        <v>1140</v>
      </c>
      <c r="J3392">
        <v>0</v>
      </c>
      <c r="K3392">
        <v>9.08</v>
      </c>
      <c r="L3392">
        <v>14.3</v>
      </c>
      <c r="M3392">
        <v>108.05</v>
      </c>
      <c r="N3392">
        <v>15.55</v>
      </c>
      <c r="O3392">
        <v>1684</v>
      </c>
      <c r="P3392">
        <v>0</v>
      </c>
      <c r="Q3392" s="5" t="e">
        <f>IF(AND(#REF!&gt;=table!$C$6,#REF!&lt;= table!$D$6),-1,IF(AND(#REF!&gt;=table!$E$6,#REF!&lt;=table!$F$6),1,0))</f>
        <v>#REF!</v>
      </c>
      <c r="R3392" s="5" t="e">
        <f>IF(AND(#REF!&gt;=table!$C$7,#REF!&lt;= table!$D$7),-1,IF(AND(#REF!&gt;=table!$E$7,#REF!&lt;=table!$F$7),1,0))</f>
        <v>#REF!</v>
      </c>
      <c r="S3392" s="5" t="e">
        <f>IF(AND(#REF!&gt;=table!$C$8,#REF!&lt;= table!$D$8),-1,IF(AND(#REF!&gt;=table!$E$8,#REF!&lt;=table!$F$8),1,0))</f>
        <v>#REF!</v>
      </c>
      <c r="T3392" s="5"/>
      <c r="U3392" s="5" t="e">
        <f>IF(AND(#REF!&gt;=table!$C$10,#REF!&lt;= table!$D$10),-1,IF(AND(#REF!&gt;=table!$E$10,#REF!&lt;=table!$F$10),1,0))</f>
        <v>#REF!</v>
      </c>
      <c r="V3392" s="5" t="e">
        <f>IF(AND(#REF!&gt;=table!$C$11,#REF!&lt;= table!$D$11),-1,IF(AND(#REF!&gt;=table!$E$11,#REF!&lt;=table!$F$11),1,0))</f>
        <v>#REF!</v>
      </c>
      <c r="W3392" s="5" t="e">
        <f>CONCATENATE(dados[[#This Row],[fator1]],dados[[#This Row],[fator5]],dados[[#This Row],[fator6]])</f>
        <v>#REF!</v>
      </c>
    </row>
    <row r="3393" spans="1:23">
      <c r="A3393" t="s">
        <v>17</v>
      </c>
      <c r="B3393">
        <v>586985</v>
      </c>
      <c r="C3393">
        <v>16</v>
      </c>
      <c r="D3393">
        <v>33</v>
      </c>
      <c r="E3393">
        <v>150</v>
      </c>
      <c r="F3393">
        <v>10</v>
      </c>
      <c r="G3393">
        <v>15</v>
      </c>
      <c r="H3393">
        <v>25</v>
      </c>
      <c r="I3393">
        <v>1541</v>
      </c>
      <c r="J3393">
        <v>650</v>
      </c>
      <c r="K3393">
        <v>9.86</v>
      </c>
      <c r="L3393">
        <v>15.55</v>
      </c>
      <c r="M3393">
        <v>141</v>
      </c>
      <c r="N3393">
        <v>15.950000000000001</v>
      </c>
      <c r="O3393">
        <v>1699</v>
      </c>
      <c r="P3393">
        <v>479</v>
      </c>
      <c r="Q3393" s="5" t="e">
        <f>IF(AND(#REF!&gt;=table!$C$6,#REF!&lt;= table!$D$6),-1,IF(AND(#REF!&gt;=table!$E$6,#REF!&lt;=table!$F$6),1,0))</f>
        <v>#REF!</v>
      </c>
      <c r="R3393" s="5" t="e">
        <f>IF(AND(#REF!&gt;=table!$C$7,#REF!&lt;= table!$D$7),-1,IF(AND(#REF!&gt;=table!$E$7,#REF!&lt;=table!$F$7),1,0))</f>
        <v>#REF!</v>
      </c>
      <c r="S3393" s="5" t="e">
        <f>IF(AND(#REF!&gt;=table!$C$8,#REF!&lt;= table!$D$8),-1,IF(AND(#REF!&gt;=table!$E$8,#REF!&lt;=table!$F$8),1,0))</f>
        <v>#REF!</v>
      </c>
      <c r="T3393" s="5"/>
      <c r="U3393" s="5" t="e">
        <f>IF(AND(#REF!&gt;=table!$C$10,#REF!&lt;= table!$D$10),-1,IF(AND(#REF!&gt;=table!$E$10,#REF!&lt;=table!$F$10),1,0))</f>
        <v>#REF!</v>
      </c>
      <c r="V3393" s="5" t="e">
        <f>IF(AND(#REF!&gt;=table!$C$11,#REF!&lt;= table!$D$11),-1,IF(AND(#REF!&gt;=table!$E$11,#REF!&lt;=table!$F$11),1,0))</f>
        <v>#REF!</v>
      </c>
      <c r="W3393" s="5" t="e">
        <f>CONCATENATE(dados[[#This Row],[fator1]],dados[[#This Row],[fator5]],dados[[#This Row],[fator6]])</f>
        <v>#REF!</v>
      </c>
    </row>
    <row r="3394" spans="1:23">
      <c r="A3394" t="s">
        <v>17</v>
      </c>
      <c r="B3394">
        <v>586988</v>
      </c>
      <c r="C3394">
        <v>14</v>
      </c>
      <c r="D3394">
        <v>30</v>
      </c>
      <c r="E3394">
        <v>66</v>
      </c>
      <c r="F3394">
        <v>9</v>
      </c>
      <c r="G3394">
        <v>20</v>
      </c>
      <c r="H3394">
        <v>25</v>
      </c>
      <c r="I3394">
        <v>1197</v>
      </c>
      <c r="J3394">
        <v>0</v>
      </c>
      <c r="K3394">
        <v>7.9750000000000005</v>
      </c>
      <c r="L3394">
        <v>10.700000000000001</v>
      </c>
      <c r="M3394">
        <v>52.17</v>
      </c>
      <c r="N3394">
        <v>14.075000000000001</v>
      </c>
      <c r="O3394">
        <v>1670</v>
      </c>
      <c r="P3394">
        <v>447</v>
      </c>
      <c r="Q3394" s="5" t="e">
        <f>IF(AND(#REF!&gt;=table!$C$6,#REF!&lt;= table!$D$6),-1,IF(AND(#REF!&gt;=table!$E$6,#REF!&lt;=table!$F$6),1,0))</f>
        <v>#REF!</v>
      </c>
      <c r="R3394" s="5" t="e">
        <f>IF(AND(#REF!&gt;=table!$C$7,#REF!&lt;= table!$D$7),-1,IF(AND(#REF!&gt;=table!$E$7,#REF!&lt;=table!$F$7),1,0))</f>
        <v>#REF!</v>
      </c>
      <c r="S3394" s="5" t="e">
        <f>IF(AND(#REF!&gt;=table!$C$8,#REF!&lt;= table!$D$8),-1,IF(AND(#REF!&gt;=table!$E$8,#REF!&lt;=table!$F$8),1,0))</f>
        <v>#REF!</v>
      </c>
      <c r="T3394" s="5"/>
      <c r="U3394" s="5" t="e">
        <f>IF(AND(#REF!&gt;=table!$C$10,#REF!&lt;= table!$D$10),-1,IF(AND(#REF!&gt;=table!$E$10,#REF!&lt;=table!$F$10),1,0))</f>
        <v>#REF!</v>
      </c>
      <c r="V3394" s="5" t="e">
        <f>IF(AND(#REF!&gt;=table!$C$11,#REF!&lt;= table!$D$11),-1,IF(AND(#REF!&gt;=table!$E$11,#REF!&lt;=table!$F$11),1,0))</f>
        <v>#REF!</v>
      </c>
      <c r="W3394" s="5" t="e">
        <f>CONCATENATE(dados[[#This Row],[fator1]],dados[[#This Row],[fator5]],dados[[#This Row],[fator6]])</f>
        <v>#REF!</v>
      </c>
    </row>
    <row r="3395" spans="1:23">
      <c r="A3395" t="s">
        <v>17</v>
      </c>
      <c r="B3395">
        <v>586991</v>
      </c>
      <c r="C3395">
        <v>14</v>
      </c>
      <c r="D3395">
        <v>30</v>
      </c>
      <c r="E3395">
        <v>66</v>
      </c>
      <c r="F3395">
        <v>9</v>
      </c>
      <c r="G3395">
        <v>20</v>
      </c>
      <c r="H3395">
        <v>25</v>
      </c>
      <c r="I3395">
        <v>638</v>
      </c>
      <c r="J3395">
        <v>0</v>
      </c>
      <c r="K3395">
        <v>3.7050000000000001</v>
      </c>
      <c r="L3395">
        <v>7.5600000000000005</v>
      </c>
      <c r="M3395">
        <v>58.395000000000003</v>
      </c>
      <c r="N3395">
        <v>14.98</v>
      </c>
      <c r="O3395">
        <v>1682</v>
      </c>
      <c r="P3395">
        <v>952</v>
      </c>
      <c r="Q3395" s="5" t="e">
        <f>IF(AND(#REF!&gt;=table!$C$6,#REF!&lt;= table!$D$6),-1,IF(AND(#REF!&gt;=table!$E$6,#REF!&lt;=table!$F$6),1,0))</f>
        <v>#REF!</v>
      </c>
      <c r="R3395" s="5" t="e">
        <f>IF(AND(#REF!&gt;=table!$C$7,#REF!&lt;= table!$D$7),-1,IF(AND(#REF!&gt;=table!$E$7,#REF!&lt;=table!$F$7),1,0))</f>
        <v>#REF!</v>
      </c>
      <c r="S3395" s="5" t="e">
        <f>IF(AND(#REF!&gt;=table!$C$8,#REF!&lt;= table!$D$8),-1,IF(AND(#REF!&gt;=table!$E$8,#REF!&lt;=table!$F$8),1,0))</f>
        <v>#REF!</v>
      </c>
      <c r="T3395" s="5"/>
      <c r="U3395" s="5" t="e">
        <f>IF(AND(#REF!&gt;=table!$C$10,#REF!&lt;= table!$D$10),-1,IF(AND(#REF!&gt;=table!$E$10,#REF!&lt;=table!$F$10),1,0))</f>
        <v>#REF!</v>
      </c>
      <c r="V3395" s="5" t="e">
        <f>IF(AND(#REF!&gt;=table!$C$11,#REF!&lt;= table!$D$11),-1,IF(AND(#REF!&gt;=table!$E$11,#REF!&lt;=table!$F$11),1,0))</f>
        <v>#REF!</v>
      </c>
      <c r="W3395" s="5" t="e">
        <f>CONCATENATE(dados[[#This Row],[fator1]],dados[[#This Row],[fator5]],dados[[#This Row],[fator6]])</f>
        <v>#REF!</v>
      </c>
    </row>
    <row r="3396" spans="1:23">
      <c r="A3396" t="s">
        <v>17</v>
      </c>
      <c r="B3396">
        <v>586994</v>
      </c>
      <c r="C3396">
        <v>14</v>
      </c>
      <c r="D3396">
        <v>30</v>
      </c>
      <c r="E3396">
        <v>126</v>
      </c>
      <c r="F3396">
        <v>9</v>
      </c>
      <c r="G3396">
        <v>20</v>
      </c>
      <c r="H3396">
        <v>25</v>
      </c>
      <c r="I3396">
        <v>0</v>
      </c>
      <c r="J3396">
        <v>580</v>
      </c>
      <c r="K3396">
        <v>4.0049999999999999</v>
      </c>
      <c r="L3396">
        <v>11.6</v>
      </c>
      <c r="M3396">
        <v>123.4</v>
      </c>
      <c r="N3396">
        <v>21.45</v>
      </c>
      <c r="O3396">
        <v>1677</v>
      </c>
      <c r="P3396">
        <v>792</v>
      </c>
      <c r="Q3396" s="5" t="e">
        <f>IF(AND(#REF!&gt;=table!$C$6,#REF!&lt;= table!$D$6),-1,IF(AND(#REF!&gt;=table!$E$6,#REF!&lt;=table!$F$6),1,0))</f>
        <v>#REF!</v>
      </c>
      <c r="R3396" s="5" t="e">
        <f>IF(AND(#REF!&gt;=table!$C$7,#REF!&lt;= table!$D$7),-1,IF(AND(#REF!&gt;=table!$E$7,#REF!&lt;=table!$F$7),1,0))</f>
        <v>#REF!</v>
      </c>
      <c r="S3396" s="5" t="e">
        <f>IF(AND(#REF!&gt;=table!$C$8,#REF!&lt;= table!$D$8),-1,IF(AND(#REF!&gt;=table!$E$8,#REF!&lt;=table!$F$8),1,0))</f>
        <v>#REF!</v>
      </c>
      <c r="T3396" s="5"/>
      <c r="U3396" s="5" t="e">
        <f>IF(AND(#REF!&gt;=table!$C$10,#REF!&lt;= table!$D$10),-1,IF(AND(#REF!&gt;=table!$E$10,#REF!&lt;=table!$F$10),1,0))</f>
        <v>#REF!</v>
      </c>
      <c r="V3396" s="5" t="e">
        <f>IF(AND(#REF!&gt;=table!$C$11,#REF!&lt;= table!$D$11),-1,IF(AND(#REF!&gt;=table!$E$11,#REF!&lt;=table!$F$11),1,0))</f>
        <v>#REF!</v>
      </c>
      <c r="W3396" s="5" t="e">
        <f>CONCATENATE(dados[[#This Row],[fator1]],dados[[#This Row],[fator5]],dados[[#This Row],[fator6]])</f>
        <v>#REF!</v>
      </c>
    </row>
    <row r="3397" spans="1:23">
      <c r="A3397" t="s">
        <v>17</v>
      </c>
      <c r="B3397">
        <v>587007</v>
      </c>
      <c r="C3397">
        <v>14</v>
      </c>
      <c r="D3397">
        <v>30</v>
      </c>
      <c r="E3397">
        <v>66</v>
      </c>
      <c r="F3397">
        <v>9</v>
      </c>
      <c r="G3397">
        <v>20</v>
      </c>
      <c r="H3397">
        <v>25</v>
      </c>
      <c r="I3397">
        <v>1703</v>
      </c>
      <c r="J3397">
        <v>0</v>
      </c>
      <c r="K3397">
        <v>11.36</v>
      </c>
      <c r="L3397">
        <v>17.5</v>
      </c>
      <c r="M3397">
        <v>56.4</v>
      </c>
      <c r="N3397">
        <v>18.05</v>
      </c>
      <c r="O3397">
        <v>1660</v>
      </c>
      <c r="P3397">
        <v>464</v>
      </c>
      <c r="Q3397" s="5" t="e">
        <f>IF(AND(#REF!&gt;=table!$C$6,#REF!&lt;= table!$D$6),-1,IF(AND(#REF!&gt;=table!$E$6,#REF!&lt;=table!$F$6),1,0))</f>
        <v>#REF!</v>
      </c>
      <c r="R3397" s="5" t="e">
        <f>IF(AND(#REF!&gt;=table!$C$7,#REF!&lt;= table!$D$7),-1,IF(AND(#REF!&gt;=table!$E$7,#REF!&lt;=table!$F$7),1,0))</f>
        <v>#REF!</v>
      </c>
      <c r="S3397" s="5" t="e">
        <f>IF(AND(#REF!&gt;=table!$C$8,#REF!&lt;= table!$D$8),-1,IF(AND(#REF!&gt;=table!$E$8,#REF!&lt;=table!$F$8),1,0))</f>
        <v>#REF!</v>
      </c>
      <c r="T3397" s="5"/>
      <c r="U3397" s="5" t="e">
        <f>IF(AND(#REF!&gt;=table!$C$10,#REF!&lt;= table!$D$10),-1,IF(AND(#REF!&gt;=table!$E$10,#REF!&lt;=table!$F$10),1,0))</f>
        <v>#REF!</v>
      </c>
      <c r="V3397" s="5" t="e">
        <f>IF(AND(#REF!&gt;=table!$C$11,#REF!&lt;= table!$D$11),-1,IF(AND(#REF!&gt;=table!$E$11,#REF!&lt;=table!$F$11),1,0))</f>
        <v>#REF!</v>
      </c>
      <c r="W3397" s="5" t="e">
        <f>CONCATENATE(dados[[#This Row],[fator1]],dados[[#This Row],[fator5]],dados[[#This Row],[fator6]])</f>
        <v>#REF!</v>
      </c>
    </row>
    <row r="3398" spans="1:23">
      <c r="A3398" t="s">
        <v>17</v>
      </c>
      <c r="B3398">
        <v>587010</v>
      </c>
      <c r="C3398">
        <v>14</v>
      </c>
      <c r="D3398">
        <v>30</v>
      </c>
      <c r="E3398">
        <v>66</v>
      </c>
      <c r="F3398">
        <v>9</v>
      </c>
      <c r="G3398">
        <v>20</v>
      </c>
      <c r="H3398">
        <v>25</v>
      </c>
      <c r="I3398">
        <v>1423</v>
      </c>
      <c r="J3398">
        <v>0</v>
      </c>
      <c r="K3398">
        <v>4.875</v>
      </c>
      <c r="L3398">
        <v>12.85</v>
      </c>
      <c r="M3398">
        <v>57.45</v>
      </c>
      <c r="N3398">
        <v>16.25</v>
      </c>
      <c r="O3398">
        <v>1673</v>
      </c>
      <c r="P3398">
        <v>0</v>
      </c>
      <c r="Q3398" s="5" t="e">
        <f>IF(AND(#REF!&gt;=table!$C$6,#REF!&lt;= table!$D$6),-1,IF(AND(#REF!&gt;=table!$E$6,#REF!&lt;=table!$F$6),1,0))</f>
        <v>#REF!</v>
      </c>
      <c r="R3398" s="5" t="e">
        <f>IF(AND(#REF!&gt;=table!$C$7,#REF!&lt;= table!$D$7),-1,IF(AND(#REF!&gt;=table!$E$7,#REF!&lt;=table!$F$7),1,0))</f>
        <v>#REF!</v>
      </c>
      <c r="S3398" s="5" t="e">
        <f>IF(AND(#REF!&gt;=table!$C$8,#REF!&lt;= table!$D$8),-1,IF(AND(#REF!&gt;=table!$E$8,#REF!&lt;=table!$F$8),1,0))</f>
        <v>#REF!</v>
      </c>
      <c r="T3398" s="5"/>
      <c r="U3398" s="5" t="e">
        <f>IF(AND(#REF!&gt;=table!$C$10,#REF!&lt;= table!$D$10),-1,IF(AND(#REF!&gt;=table!$E$10,#REF!&lt;=table!$F$10),1,0))</f>
        <v>#REF!</v>
      </c>
      <c r="V3398" s="5" t="e">
        <f>IF(AND(#REF!&gt;=table!$C$11,#REF!&lt;= table!$D$11),-1,IF(AND(#REF!&gt;=table!$E$11,#REF!&lt;=table!$F$11),1,0))</f>
        <v>#REF!</v>
      </c>
      <c r="W3398" s="5" t="e">
        <f>CONCATENATE(dados[[#This Row],[fator1]],dados[[#This Row],[fator5]],dados[[#This Row],[fator6]])</f>
        <v>#REF!</v>
      </c>
    </row>
    <row r="3399" spans="1:23">
      <c r="A3399" t="s">
        <v>17</v>
      </c>
      <c r="B3399">
        <v>587014</v>
      </c>
      <c r="C3399">
        <v>14</v>
      </c>
      <c r="D3399">
        <v>30</v>
      </c>
      <c r="E3399">
        <v>66</v>
      </c>
      <c r="F3399">
        <v>9</v>
      </c>
      <c r="G3399">
        <v>20</v>
      </c>
      <c r="H3399">
        <v>25</v>
      </c>
      <c r="I3399">
        <v>1207</v>
      </c>
      <c r="J3399">
        <v>0</v>
      </c>
      <c r="K3399">
        <v>4.1050000000000004</v>
      </c>
      <c r="L3399">
        <v>12.59</v>
      </c>
      <c r="M3399">
        <v>57.1</v>
      </c>
      <c r="N3399">
        <v>18.43</v>
      </c>
      <c r="O3399">
        <v>1679</v>
      </c>
      <c r="P3399">
        <v>914</v>
      </c>
      <c r="Q3399" s="5" t="e">
        <f>IF(AND(#REF!&gt;=table!$C$6,#REF!&lt;= table!$D$6),-1,IF(AND(#REF!&gt;=table!$E$6,#REF!&lt;=table!$F$6),1,0))</f>
        <v>#REF!</v>
      </c>
      <c r="R3399" s="5" t="e">
        <f>IF(AND(#REF!&gt;=table!$C$7,#REF!&lt;= table!$D$7),-1,IF(AND(#REF!&gt;=table!$E$7,#REF!&lt;=table!$F$7),1,0))</f>
        <v>#REF!</v>
      </c>
      <c r="S3399" s="5" t="e">
        <f>IF(AND(#REF!&gt;=table!$C$8,#REF!&lt;= table!$D$8),-1,IF(AND(#REF!&gt;=table!$E$8,#REF!&lt;=table!$F$8),1,0))</f>
        <v>#REF!</v>
      </c>
      <c r="T3399" s="5"/>
      <c r="U3399" s="5" t="e">
        <f>IF(AND(#REF!&gt;=table!$C$10,#REF!&lt;= table!$D$10),-1,IF(AND(#REF!&gt;=table!$E$10,#REF!&lt;=table!$F$10),1,0))</f>
        <v>#REF!</v>
      </c>
      <c r="V3399" s="5" t="e">
        <f>IF(AND(#REF!&gt;=table!$C$11,#REF!&lt;= table!$D$11),-1,IF(AND(#REF!&gt;=table!$E$11,#REF!&lt;=table!$F$11),1,0))</f>
        <v>#REF!</v>
      </c>
      <c r="W3399" s="5" t="e">
        <f>CONCATENATE(dados[[#This Row],[fator1]],dados[[#This Row],[fator5]],dados[[#This Row],[fator6]])</f>
        <v>#REF!</v>
      </c>
    </row>
    <row r="3400" spans="1:23">
      <c r="A3400" t="s">
        <v>16</v>
      </c>
      <c r="B3400">
        <v>587030</v>
      </c>
      <c r="C3400">
        <v>4</v>
      </c>
      <c r="D3400">
        <v>40</v>
      </c>
      <c r="E3400">
        <v>21</v>
      </c>
      <c r="F3400">
        <v>20</v>
      </c>
      <c r="G3400">
        <v>0</v>
      </c>
      <c r="H3400">
        <v>25</v>
      </c>
      <c r="I3400">
        <v>0</v>
      </c>
      <c r="J3400">
        <v>0</v>
      </c>
      <c r="K3400">
        <v>3.9550000000000001</v>
      </c>
      <c r="L3400">
        <v>9.73</v>
      </c>
      <c r="M3400">
        <v>21.1</v>
      </c>
      <c r="N3400">
        <v>11.3</v>
      </c>
      <c r="O3400">
        <v>1675</v>
      </c>
      <c r="P3400">
        <v>815</v>
      </c>
      <c r="Q3400" s="5" t="e">
        <f>IF(AND(#REF!&gt;=table!$C$6,#REF!&lt;= table!$D$6),-1,IF(AND(#REF!&gt;=table!$E$6,#REF!&lt;=table!$F$6),1,0))</f>
        <v>#REF!</v>
      </c>
      <c r="R3400" s="5" t="e">
        <f>IF(AND(#REF!&gt;=table!$C$7,#REF!&lt;= table!$D$7),-1,IF(AND(#REF!&gt;=table!$E$7,#REF!&lt;=table!$F$7),1,0))</f>
        <v>#REF!</v>
      </c>
      <c r="S3400" s="5" t="e">
        <f>IF(AND(#REF!&gt;=table!$C$8,#REF!&lt;= table!$D$8),-1,IF(AND(#REF!&gt;=table!$E$8,#REF!&lt;=table!$F$8),1,0))</f>
        <v>#REF!</v>
      </c>
      <c r="T3400" s="5"/>
      <c r="U3400" s="5" t="e">
        <f>IF(AND(#REF!&gt;=table!$C$10,#REF!&lt;= table!$D$10),-1,IF(AND(#REF!&gt;=table!$E$10,#REF!&lt;=table!$F$10),1,0))</f>
        <v>#REF!</v>
      </c>
      <c r="V3400" s="5" t="e">
        <f>IF(AND(#REF!&gt;=table!$C$11,#REF!&lt;= table!$D$11),-1,IF(AND(#REF!&gt;=table!$E$11,#REF!&lt;=table!$F$11),1,0))</f>
        <v>#REF!</v>
      </c>
      <c r="W3400" s="5" t="e">
        <f>CONCATENATE(dados[[#This Row],[fator1]],dados[[#This Row],[fator5]],dados[[#This Row],[fator6]])</f>
        <v>#REF!</v>
      </c>
    </row>
    <row r="3401" spans="1:23">
      <c r="A3401" t="s">
        <v>16</v>
      </c>
      <c r="B3401">
        <v>587037</v>
      </c>
      <c r="C3401">
        <v>0.23</v>
      </c>
      <c r="D3401">
        <v>65</v>
      </c>
      <c r="E3401">
        <v>26</v>
      </c>
      <c r="F3401">
        <v>15</v>
      </c>
      <c r="G3401">
        <v>0</v>
      </c>
      <c r="H3401">
        <v>35</v>
      </c>
      <c r="I3401">
        <v>0</v>
      </c>
      <c r="J3401">
        <v>0</v>
      </c>
      <c r="K3401">
        <v>3.1</v>
      </c>
      <c r="L3401">
        <v>12.200000000000001</v>
      </c>
      <c r="M3401">
        <v>11.57</v>
      </c>
      <c r="N3401">
        <v>14.385000000000002</v>
      </c>
      <c r="O3401">
        <v>1671</v>
      </c>
      <c r="P3401">
        <v>810</v>
      </c>
      <c r="Q3401" s="5" t="e">
        <f>IF(AND(#REF!&gt;=table!$C$6,#REF!&lt;= table!$D$6),-1,IF(AND(#REF!&gt;=table!$E$6,#REF!&lt;=table!$F$6),1,0))</f>
        <v>#REF!</v>
      </c>
      <c r="R3401" s="5" t="e">
        <f>IF(AND(#REF!&gt;=table!$C$7,#REF!&lt;= table!$D$7),-1,IF(AND(#REF!&gt;=table!$E$7,#REF!&lt;=table!$F$7),1,0))</f>
        <v>#REF!</v>
      </c>
      <c r="S3401" s="5" t="e">
        <f>IF(AND(#REF!&gt;=table!$C$8,#REF!&lt;= table!$D$8),-1,IF(AND(#REF!&gt;=table!$E$8,#REF!&lt;=table!$F$8),1,0))</f>
        <v>#REF!</v>
      </c>
      <c r="T3401" s="5"/>
      <c r="U3401" s="5" t="e">
        <f>IF(AND(#REF!&gt;=table!$C$10,#REF!&lt;= table!$D$10),-1,IF(AND(#REF!&gt;=table!$E$10,#REF!&lt;=table!$F$10),1,0))</f>
        <v>#REF!</v>
      </c>
      <c r="V3401" s="5" t="e">
        <f>IF(AND(#REF!&gt;=table!$C$11,#REF!&lt;= table!$D$11),-1,IF(AND(#REF!&gt;=table!$E$11,#REF!&lt;=table!$F$11),1,0))</f>
        <v>#REF!</v>
      </c>
      <c r="W3401" s="5" t="e">
        <f>CONCATENATE(dados[[#This Row],[fator1]],dados[[#This Row],[fator5]],dados[[#This Row],[fator6]])</f>
        <v>#REF!</v>
      </c>
    </row>
    <row r="3402" spans="1:23">
      <c r="A3402" t="s">
        <v>16</v>
      </c>
      <c r="B3402">
        <v>587039</v>
      </c>
      <c r="C3402">
        <v>0.2</v>
      </c>
      <c r="D3402">
        <v>65</v>
      </c>
      <c r="E3402">
        <v>26</v>
      </c>
      <c r="F3402">
        <v>15</v>
      </c>
      <c r="G3402">
        <v>0</v>
      </c>
      <c r="H3402">
        <v>30</v>
      </c>
      <c r="I3402">
        <v>6</v>
      </c>
      <c r="J3402">
        <v>0</v>
      </c>
      <c r="K3402">
        <v>2.915</v>
      </c>
      <c r="L3402">
        <v>13.450000000000001</v>
      </c>
      <c r="M3402">
        <v>11.8</v>
      </c>
      <c r="N3402">
        <v>18.8</v>
      </c>
      <c r="O3402">
        <v>1702</v>
      </c>
      <c r="P3402">
        <v>941</v>
      </c>
      <c r="Q3402" s="5" t="e">
        <f>IF(AND(#REF!&gt;=table!$C$6,#REF!&lt;= table!$D$6),-1,IF(AND(#REF!&gt;=table!$E$6,#REF!&lt;=table!$F$6),1,0))</f>
        <v>#REF!</v>
      </c>
      <c r="R3402" s="5" t="e">
        <f>IF(AND(#REF!&gt;=table!$C$7,#REF!&lt;= table!$D$7),-1,IF(AND(#REF!&gt;=table!$E$7,#REF!&lt;=table!$F$7),1,0))</f>
        <v>#REF!</v>
      </c>
      <c r="S3402" s="5" t="e">
        <f>IF(AND(#REF!&gt;=table!$C$8,#REF!&lt;= table!$D$8),-1,IF(AND(#REF!&gt;=table!$E$8,#REF!&lt;=table!$F$8),1,0))</f>
        <v>#REF!</v>
      </c>
      <c r="T3402" s="5"/>
      <c r="U3402" s="5" t="e">
        <f>IF(AND(#REF!&gt;=table!$C$10,#REF!&lt;= table!$D$10),-1,IF(AND(#REF!&gt;=table!$E$10,#REF!&lt;=table!$F$10),1,0))</f>
        <v>#REF!</v>
      </c>
      <c r="V3402" s="5" t="e">
        <f>IF(AND(#REF!&gt;=table!$C$11,#REF!&lt;= table!$D$11),-1,IF(AND(#REF!&gt;=table!$E$11,#REF!&lt;=table!$F$11),1,0))</f>
        <v>#REF!</v>
      </c>
      <c r="W3402" s="5" t="e">
        <f>CONCATENATE(dados[[#This Row],[fator1]],dados[[#This Row],[fator5]],dados[[#This Row],[fator6]])</f>
        <v>#REF!</v>
      </c>
    </row>
    <row r="3403" spans="1:23">
      <c r="A3403" t="s">
        <v>16</v>
      </c>
      <c r="B3403">
        <v>587040</v>
      </c>
      <c r="C3403">
        <v>0.2</v>
      </c>
      <c r="D3403">
        <v>65</v>
      </c>
      <c r="E3403">
        <v>26</v>
      </c>
      <c r="F3403">
        <v>15</v>
      </c>
      <c r="G3403">
        <v>0</v>
      </c>
      <c r="H3403">
        <v>30</v>
      </c>
      <c r="I3403">
        <v>0</v>
      </c>
      <c r="J3403">
        <v>0</v>
      </c>
      <c r="K3403">
        <v>2.15</v>
      </c>
      <c r="L3403">
        <v>7.9</v>
      </c>
      <c r="M3403">
        <v>7.3</v>
      </c>
      <c r="N3403">
        <v>16.2</v>
      </c>
      <c r="O3403">
        <v>1676</v>
      </c>
      <c r="P3403">
        <v>0</v>
      </c>
      <c r="Q3403" s="5" t="e">
        <f>IF(AND(#REF!&gt;=table!$C$6,#REF!&lt;= table!$D$6),-1,IF(AND(#REF!&gt;=table!$E$6,#REF!&lt;=table!$F$6),1,0))</f>
        <v>#REF!</v>
      </c>
      <c r="R3403" s="5" t="e">
        <f>IF(AND(#REF!&gt;=table!$C$7,#REF!&lt;= table!$D$7),-1,IF(AND(#REF!&gt;=table!$E$7,#REF!&lt;=table!$F$7),1,0))</f>
        <v>#REF!</v>
      </c>
      <c r="S3403" s="5" t="e">
        <f>IF(AND(#REF!&gt;=table!$C$8,#REF!&lt;= table!$D$8),-1,IF(AND(#REF!&gt;=table!$E$8,#REF!&lt;=table!$F$8),1,0))</f>
        <v>#REF!</v>
      </c>
      <c r="T3403" s="5"/>
      <c r="U3403" s="5" t="e">
        <f>IF(AND(#REF!&gt;=table!$C$10,#REF!&lt;= table!$D$10),-1,IF(AND(#REF!&gt;=table!$E$10,#REF!&lt;=table!$F$10),1,0))</f>
        <v>#REF!</v>
      </c>
      <c r="V3403" s="5" t="e">
        <f>IF(AND(#REF!&gt;=table!$C$11,#REF!&lt;= table!$D$11),-1,IF(AND(#REF!&gt;=table!$E$11,#REF!&lt;=table!$F$11),1,0))</f>
        <v>#REF!</v>
      </c>
      <c r="W3403" s="5" t="e">
        <f>CONCATENATE(dados[[#This Row],[fator1]],dados[[#This Row],[fator5]],dados[[#This Row],[fator6]])</f>
        <v>#REF!</v>
      </c>
    </row>
    <row r="3404" spans="1:23">
      <c r="A3404" t="s">
        <v>16</v>
      </c>
      <c r="B3404">
        <v>587045</v>
      </c>
      <c r="C3404">
        <v>0.2</v>
      </c>
      <c r="D3404">
        <v>65</v>
      </c>
      <c r="E3404">
        <v>26</v>
      </c>
      <c r="F3404">
        <v>15</v>
      </c>
      <c r="G3404">
        <v>0</v>
      </c>
      <c r="H3404">
        <v>30</v>
      </c>
      <c r="I3404">
        <v>45</v>
      </c>
      <c r="J3404">
        <v>0</v>
      </c>
      <c r="K3404">
        <v>3.68</v>
      </c>
      <c r="L3404">
        <v>8.4499999999999993</v>
      </c>
      <c r="M3404">
        <v>7.95</v>
      </c>
      <c r="N3404">
        <v>11.3</v>
      </c>
      <c r="O3404">
        <v>1662</v>
      </c>
      <c r="P3404">
        <v>0</v>
      </c>
      <c r="Q3404" s="5" t="e">
        <f>IF(AND(#REF!&gt;=table!$C$6,#REF!&lt;= table!$D$6),-1,IF(AND(#REF!&gt;=table!$E$6,#REF!&lt;=table!$F$6),1,0))</f>
        <v>#REF!</v>
      </c>
      <c r="R3404" s="5" t="e">
        <f>IF(AND(#REF!&gt;=table!$C$7,#REF!&lt;= table!$D$7),-1,IF(AND(#REF!&gt;=table!$E$7,#REF!&lt;=table!$F$7),1,0))</f>
        <v>#REF!</v>
      </c>
      <c r="S3404" s="5" t="e">
        <f>IF(AND(#REF!&gt;=table!$C$8,#REF!&lt;= table!$D$8),-1,IF(AND(#REF!&gt;=table!$E$8,#REF!&lt;=table!$F$8),1,0))</f>
        <v>#REF!</v>
      </c>
      <c r="T3404" s="5"/>
      <c r="U3404" s="5" t="e">
        <f>IF(AND(#REF!&gt;=table!$C$10,#REF!&lt;= table!$D$10),-1,IF(AND(#REF!&gt;=table!$E$10,#REF!&lt;=table!$F$10),1,0))</f>
        <v>#REF!</v>
      </c>
      <c r="V3404" s="5" t="e">
        <f>IF(AND(#REF!&gt;=table!$C$11,#REF!&lt;= table!$D$11),-1,IF(AND(#REF!&gt;=table!$E$11,#REF!&lt;=table!$F$11),1,0))</f>
        <v>#REF!</v>
      </c>
      <c r="W3404" s="5" t="e">
        <f>CONCATENATE(dados[[#This Row],[fator1]],dados[[#This Row],[fator5]],dados[[#This Row],[fator6]])</f>
        <v>#REF!</v>
      </c>
    </row>
    <row r="3405" spans="1:23">
      <c r="A3405" t="s">
        <v>17</v>
      </c>
      <c r="B3405">
        <v>587051</v>
      </c>
      <c r="C3405">
        <v>18</v>
      </c>
      <c r="D3405">
        <v>33</v>
      </c>
      <c r="E3405">
        <v>70</v>
      </c>
      <c r="F3405">
        <v>6</v>
      </c>
      <c r="G3405">
        <v>20</v>
      </c>
      <c r="H3405">
        <v>25</v>
      </c>
      <c r="I3405">
        <v>1160</v>
      </c>
      <c r="J3405">
        <v>0</v>
      </c>
      <c r="K3405">
        <v>11.65</v>
      </c>
      <c r="L3405">
        <v>15.865</v>
      </c>
      <c r="M3405">
        <v>56.5</v>
      </c>
      <c r="N3405">
        <v>13.3</v>
      </c>
      <c r="O3405">
        <v>1659</v>
      </c>
      <c r="P3405">
        <v>323</v>
      </c>
      <c r="Q3405" s="5" t="e">
        <f>IF(AND(#REF!&gt;=table!$C$6,#REF!&lt;= table!$D$6),-1,IF(AND(#REF!&gt;=table!$E$6,#REF!&lt;=table!$F$6),1,0))</f>
        <v>#REF!</v>
      </c>
      <c r="R3405" s="5" t="e">
        <f>IF(AND(#REF!&gt;=table!$C$7,#REF!&lt;= table!$D$7),-1,IF(AND(#REF!&gt;=table!$E$7,#REF!&lt;=table!$F$7),1,0))</f>
        <v>#REF!</v>
      </c>
      <c r="S3405" s="5" t="e">
        <f>IF(AND(#REF!&gt;=table!$C$8,#REF!&lt;= table!$D$8),-1,IF(AND(#REF!&gt;=table!$E$8,#REF!&lt;=table!$F$8),1,0))</f>
        <v>#REF!</v>
      </c>
      <c r="T3405" s="5"/>
      <c r="U3405" s="5" t="e">
        <f>IF(AND(#REF!&gt;=table!$C$10,#REF!&lt;= table!$D$10),-1,IF(AND(#REF!&gt;=table!$E$10,#REF!&lt;=table!$F$10),1,0))</f>
        <v>#REF!</v>
      </c>
      <c r="V3405" s="5" t="e">
        <f>IF(AND(#REF!&gt;=table!$C$11,#REF!&lt;= table!$D$11),-1,IF(AND(#REF!&gt;=table!$E$11,#REF!&lt;=table!$F$11),1,0))</f>
        <v>#REF!</v>
      </c>
      <c r="W3405" s="5" t="e">
        <f>CONCATENATE(dados[[#This Row],[fator1]],dados[[#This Row],[fator5]],dados[[#This Row],[fator6]])</f>
        <v>#REF!</v>
      </c>
    </row>
    <row r="3406" spans="1:23">
      <c r="A3406" t="s">
        <v>16</v>
      </c>
      <c r="B3406">
        <v>587055</v>
      </c>
      <c r="C3406">
        <v>12</v>
      </c>
      <c r="D3406">
        <v>35</v>
      </c>
      <c r="E3406">
        <v>180</v>
      </c>
      <c r="F3406">
        <v>6</v>
      </c>
      <c r="G3406">
        <v>0</v>
      </c>
      <c r="H3406">
        <v>20</v>
      </c>
      <c r="I3406">
        <v>622</v>
      </c>
      <c r="J3406">
        <v>0</v>
      </c>
      <c r="K3406">
        <v>3.0300000000000002</v>
      </c>
      <c r="L3406">
        <v>5.5</v>
      </c>
      <c r="M3406">
        <v>166.1</v>
      </c>
      <c r="N3406">
        <v>9.4500000000000011</v>
      </c>
      <c r="O3406">
        <v>1677</v>
      </c>
      <c r="P3406">
        <v>0</v>
      </c>
      <c r="Q3406" s="5" t="e">
        <f>IF(AND(#REF!&gt;=table!$C$6,#REF!&lt;= table!$D$6),-1,IF(AND(#REF!&gt;=table!$E$6,#REF!&lt;=table!$F$6),1,0))</f>
        <v>#REF!</v>
      </c>
      <c r="R3406" s="5" t="e">
        <f>IF(AND(#REF!&gt;=table!$C$7,#REF!&lt;= table!$D$7),-1,IF(AND(#REF!&gt;=table!$E$7,#REF!&lt;=table!$F$7),1,0))</f>
        <v>#REF!</v>
      </c>
      <c r="S3406" s="5" t="e">
        <f>IF(AND(#REF!&gt;=table!$C$8,#REF!&lt;= table!$D$8),-1,IF(AND(#REF!&gt;=table!$E$8,#REF!&lt;=table!$F$8),1,0))</f>
        <v>#REF!</v>
      </c>
      <c r="T3406" s="5"/>
      <c r="U3406" s="5" t="e">
        <f>IF(AND(#REF!&gt;=table!$C$10,#REF!&lt;= table!$D$10),-1,IF(AND(#REF!&gt;=table!$E$10,#REF!&lt;=table!$F$10),1,0))</f>
        <v>#REF!</v>
      </c>
      <c r="V3406" s="5" t="e">
        <f>IF(AND(#REF!&gt;=table!$C$11,#REF!&lt;= table!$D$11),-1,IF(AND(#REF!&gt;=table!$E$11,#REF!&lt;=table!$F$11),1,0))</f>
        <v>#REF!</v>
      </c>
      <c r="W3406" s="5" t="e">
        <f>CONCATENATE(dados[[#This Row],[fator1]],dados[[#This Row],[fator5]],dados[[#This Row],[fator6]])</f>
        <v>#REF!</v>
      </c>
    </row>
    <row r="3407" spans="1:23">
      <c r="A3407" t="s">
        <v>16</v>
      </c>
      <c r="B3407">
        <v>587057</v>
      </c>
      <c r="C3407">
        <v>7</v>
      </c>
      <c r="D3407">
        <v>33</v>
      </c>
      <c r="E3407">
        <v>153</v>
      </c>
      <c r="F3407">
        <v>4</v>
      </c>
      <c r="G3407">
        <v>0</v>
      </c>
      <c r="H3407">
        <v>25</v>
      </c>
      <c r="I3407">
        <v>817</v>
      </c>
      <c r="J3407">
        <v>0</v>
      </c>
      <c r="K3407">
        <v>4.24</v>
      </c>
      <c r="L3407">
        <v>6.1000000000000005</v>
      </c>
      <c r="M3407">
        <v>137.51500000000001</v>
      </c>
      <c r="N3407">
        <v>10.275</v>
      </c>
      <c r="O3407">
        <v>1673</v>
      </c>
      <c r="P3407">
        <v>0</v>
      </c>
      <c r="Q3407" s="5" t="e">
        <f>IF(AND(#REF!&gt;=table!$C$6,#REF!&lt;= table!$D$6),-1,IF(AND(#REF!&gt;=table!$E$6,#REF!&lt;=table!$F$6),1,0))</f>
        <v>#REF!</v>
      </c>
      <c r="R3407" s="5" t="e">
        <f>IF(AND(#REF!&gt;=table!$C$7,#REF!&lt;= table!$D$7),-1,IF(AND(#REF!&gt;=table!$E$7,#REF!&lt;=table!$F$7),1,0))</f>
        <v>#REF!</v>
      </c>
      <c r="S3407" s="5" t="e">
        <f>IF(AND(#REF!&gt;=table!$C$8,#REF!&lt;= table!$D$8),-1,IF(AND(#REF!&gt;=table!$E$8,#REF!&lt;=table!$F$8),1,0))</f>
        <v>#REF!</v>
      </c>
      <c r="T3407" s="5"/>
      <c r="U3407" s="5" t="e">
        <f>IF(AND(#REF!&gt;=table!$C$10,#REF!&lt;= table!$D$10),-1,IF(AND(#REF!&gt;=table!$E$10,#REF!&lt;=table!$F$10),1,0))</f>
        <v>#REF!</v>
      </c>
      <c r="V3407" s="5" t="e">
        <f>IF(AND(#REF!&gt;=table!$C$11,#REF!&lt;= table!$D$11),-1,IF(AND(#REF!&gt;=table!$E$11,#REF!&lt;=table!$F$11),1,0))</f>
        <v>#REF!</v>
      </c>
      <c r="W3407" s="5" t="e">
        <f>CONCATENATE(dados[[#This Row],[fator1]],dados[[#This Row],[fator5]],dados[[#This Row],[fator6]])</f>
        <v>#REF!</v>
      </c>
    </row>
    <row r="3408" spans="1:23">
      <c r="A3408" t="s">
        <v>16</v>
      </c>
      <c r="B3408">
        <v>587058</v>
      </c>
      <c r="C3408">
        <v>7</v>
      </c>
      <c r="D3408">
        <v>33</v>
      </c>
      <c r="E3408">
        <v>153</v>
      </c>
      <c r="F3408">
        <v>4</v>
      </c>
      <c r="G3408">
        <v>0</v>
      </c>
      <c r="H3408">
        <v>25</v>
      </c>
      <c r="I3408">
        <v>1125</v>
      </c>
      <c r="J3408">
        <v>0</v>
      </c>
      <c r="K3408">
        <v>2.06</v>
      </c>
      <c r="L3408">
        <v>5.75</v>
      </c>
      <c r="M3408">
        <v>59.15</v>
      </c>
      <c r="N3408">
        <v>9.15</v>
      </c>
      <c r="O3408">
        <v>1689</v>
      </c>
      <c r="P3408">
        <v>0</v>
      </c>
      <c r="Q3408" s="5" t="e">
        <f>IF(AND(#REF!&gt;=table!$C$6,#REF!&lt;= table!$D$6),-1,IF(AND(#REF!&gt;=table!$E$6,#REF!&lt;=table!$F$6),1,0))</f>
        <v>#REF!</v>
      </c>
      <c r="R3408" s="5" t="e">
        <f>IF(AND(#REF!&gt;=table!$C$7,#REF!&lt;= table!$D$7),-1,IF(AND(#REF!&gt;=table!$E$7,#REF!&lt;=table!$F$7),1,0))</f>
        <v>#REF!</v>
      </c>
      <c r="S3408" s="5" t="e">
        <f>IF(AND(#REF!&gt;=table!$C$8,#REF!&lt;= table!$D$8),-1,IF(AND(#REF!&gt;=table!$E$8,#REF!&lt;=table!$F$8),1,0))</f>
        <v>#REF!</v>
      </c>
      <c r="T3408" s="5"/>
      <c r="U3408" s="5" t="e">
        <f>IF(AND(#REF!&gt;=table!$C$10,#REF!&lt;= table!$D$10),-1,IF(AND(#REF!&gt;=table!$E$10,#REF!&lt;=table!$F$10),1,0))</f>
        <v>#REF!</v>
      </c>
      <c r="V3408" s="5" t="e">
        <f>IF(AND(#REF!&gt;=table!$C$11,#REF!&lt;= table!$D$11),-1,IF(AND(#REF!&gt;=table!$E$11,#REF!&lt;=table!$F$11),1,0))</f>
        <v>#REF!</v>
      </c>
      <c r="W3408" s="5" t="e">
        <f>CONCATENATE(dados[[#This Row],[fator1]],dados[[#This Row],[fator5]],dados[[#This Row],[fator6]])</f>
        <v>#REF!</v>
      </c>
    </row>
    <row r="3409" spans="1:23">
      <c r="A3409" t="s">
        <v>16</v>
      </c>
      <c r="B3409">
        <v>587059</v>
      </c>
      <c r="C3409">
        <v>9</v>
      </c>
      <c r="D3409">
        <v>40</v>
      </c>
      <c r="E3409">
        <v>130</v>
      </c>
      <c r="F3409">
        <v>3</v>
      </c>
      <c r="G3409">
        <v>0</v>
      </c>
      <c r="H3409">
        <v>25</v>
      </c>
      <c r="I3409">
        <v>1416</v>
      </c>
      <c r="J3409">
        <v>0</v>
      </c>
      <c r="K3409">
        <v>2.9050000000000002</v>
      </c>
      <c r="L3409">
        <v>8.5</v>
      </c>
      <c r="M3409">
        <v>45.75</v>
      </c>
      <c r="N3409">
        <v>9.4</v>
      </c>
      <c r="O3409">
        <v>1675</v>
      </c>
      <c r="P3409">
        <v>0</v>
      </c>
      <c r="Q3409" s="5" t="e">
        <f>IF(AND(#REF!&gt;=table!$C$6,#REF!&lt;= table!$D$6),-1,IF(AND(#REF!&gt;=table!$E$6,#REF!&lt;=table!$F$6),1,0))</f>
        <v>#REF!</v>
      </c>
      <c r="R3409" s="5" t="e">
        <f>IF(AND(#REF!&gt;=table!$C$7,#REF!&lt;= table!$D$7),-1,IF(AND(#REF!&gt;=table!$E$7,#REF!&lt;=table!$F$7),1,0))</f>
        <v>#REF!</v>
      </c>
      <c r="S3409" s="5" t="e">
        <f>IF(AND(#REF!&gt;=table!$C$8,#REF!&lt;= table!$D$8),-1,IF(AND(#REF!&gt;=table!$E$8,#REF!&lt;=table!$F$8),1,0))</f>
        <v>#REF!</v>
      </c>
      <c r="T3409" s="5"/>
      <c r="U3409" s="5" t="e">
        <f>IF(AND(#REF!&gt;=table!$C$10,#REF!&lt;= table!$D$10),-1,IF(AND(#REF!&gt;=table!$E$10,#REF!&lt;=table!$F$10),1,0))</f>
        <v>#REF!</v>
      </c>
      <c r="V3409" s="5" t="e">
        <f>IF(AND(#REF!&gt;=table!$C$11,#REF!&lt;= table!$D$11),-1,IF(AND(#REF!&gt;=table!$E$11,#REF!&lt;=table!$F$11),1,0))</f>
        <v>#REF!</v>
      </c>
      <c r="W3409" s="5" t="e">
        <f>CONCATENATE(dados[[#This Row],[fator1]],dados[[#This Row],[fator5]],dados[[#This Row],[fator6]])</f>
        <v>#REF!</v>
      </c>
    </row>
    <row r="3410" spans="1:23">
      <c r="A3410" t="s">
        <v>16</v>
      </c>
      <c r="B3410">
        <v>587061</v>
      </c>
      <c r="C3410">
        <v>9</v>
      </c>
      <c r="D3410">
        <v>40</v>
      </c>
      <c r="E3410">
        <v>130</v>
      </c>
      <c r="F3410">
        <v>6</v>
      </c>
      <c r="G3410">
        <v>0</v>
      </c>
      <c r="H3410">
        <v>25</v>
      </c>
      <c r="I3410">
        <v>219</v>
      </c>
      <c r="J3410">
        <v>580</v>
      </c>
      <c r="K3410">
        <v>5.4649999999999999</v>
      </c>
      <c r="L3410">
        <v>6.2</v>
      </c>
      <c r="M3410">
        <v>60.4</v>
      </c>
      <c r="N3410">
        <v>6.8500000000000005</v>
      </c>
      <c r="O3410">
        <v>1655</v>
      </c>
      <c r="P3410">
        <v>532</v>
      </c>
      <c r="Q3410" s="5" t="e">
        <f>IF(AND(#REF!&gt;=table!$C$6,#REF!&lt;= table!$D$6),-1,IF(AND(#REF!&gt;=table!$E$6,#REF!&lt;=table!$F$6),1,0))</f>
        <v>#REF!</v>
      </c>
      <c r="R3410" s="5" t="e">
        <f>IF(AND(#REF!&gt;=table!$C$7,#REF!&lt;= table!$D$7),-1,IF(AND(#REF!&gt;=table!$E$7,#REF!&lt;=table!$F$7),1,0))</f>
        <v>#REF!</v>
      </c>
      <c r="S3410" s="5" t="e">
        <f>IF(AND(#REF!&gt;=table!$C$8,#REF!&lt;= table!$D$8),-1,IF(AND(#REF!&gt;=table!$E$8,#REF!&lt;=table!$F$8),1,0))</f>
        <v>#REF!</v>
      </c>
      <c r="T3410" s="5"/>
      <c r="U3410" s="5" t="e">
        <f>IF(AND(#REF!&gt;=table!$C$10,#REF!&lt;= table!$D$10),-1,IF(AND(#REF!&gt;=table!$E$10,#REF!&lt;=table!$F$10),1,0))</f>
        <v>#REF!</v>
      </c>
      <c r="V3410" s="5" t="e">
        <f>IF(AND(#REF!&gt;=table!$C$11,#REF!&lt;= table!$D$11),-1,IF(AND(#REF!&gt;=table!$E$11,#REF!&lt;=table!$F$11),1,0))</f>
        <v>#REF!</v>
      </c>
      <c r="W3410" s="5" t="e">
        <f>CONCATENATE(dados[[#This Row],[fator1]],dados[[#This Row],[fator5]],dados[[#This Row],[fator6]])</f>
        <v>#REF!</v>
      </c>
    </row>
    <row r="3411" spans="1:23">
      <c r="A3411" t="s">
        <v>16</v>
      </c>
      <c r="B3411">
        <v>587062</v>
      </c>
      <c r="C3411">
        <v>9</v>
      </c>
      <c r="D3411">
        <v>40</v>
      </c>
      <c r="E3411">
        <v>130</v>
      </c>
      <c r="F3411">
        <v>3</v>
      </c>
      <c r="G3411">
        <v>0</v>
      </c>
      <c r="H3411">
        <v>25</v>
      </c>
      <c r="I3411">
        <v>731</v>
      </c>
      <c r="J3411">
        <v>790</v>
      </c>
      <c r="K3411">
        <v>10.715</v>
      </c>
      <c r="L3411">
        <v>9.0400000000000009</v>
      </c>
      <c r="M3411">
        <v>94.100000000000009</v>
      </c>
      <c r="N3411">
        <v>9.0500000000000007</v>
      </c>
      <c r="O3411">
        <v>1655</v>
      </c>
      <c r="P3411">
        <v>381</v>
      </c>
      <c r="Q3411" s="5" t="e">
        <f>IF(AND(#REF!&gt;=table!$C$6,#REF!&lt;= table!$D$6),-1,IF(AND(#REF!&gt;=table!$E$6,#REF!&lt;=table!$F$6),1,0))</f>
        <v>#REF!</v>
      </c>
      <c r="R3411" s="5" t="e">
        <f>IF(AND(#REF!&gt;=table!$C$7,#REF!&lt;= table!$D$7),-1,IF(AND(#REF!&gt;=table!$E$7,#REF!&lt;=table!$F$7),1,0))</f>
        <v>#REF!</v>
      </c>
      <c r="S3411" s="5" t="e">
        <f>IF(AND(#REF!&gt;=table!$C$8,#REF!&lt;= table!$D$8),-1,IF(AND(#REF!&gt;=table!$E$8,#REF!&lt;=table!$F$8),1,0))</f>
        <v>#REF!</v>
      </c>
      <c r="T3411" s="5"/>
      <c r="U3411" s="5" t="e">
        <f>IF(AND(#REF!&gt;=table!$C$10,#REF!&lt;= table!$D$10),-1,IF(AND(#REF!&gt;=table!$E$10,#REF!&lt;=table!$F$10),1,0))</f>
        <v>#REF!</v>
      </c>
      <c r="V3411" s="5" t="e">
        <f>IF(AND(#REF!&gt;=table!$C$11,#REF!&lt;= table!$D$11),-1,IF(AND(#REF!&gt;=table!$E$11,#REF!&lt;=table!$F$11),1,0))</f>
        <v>#REF!</v>
      </c>
      <c r="W3411" s="5" t="e">
        <f>CONCATENATE(dados[[#This Row],[fator1]],dados[[#This Row],[fator5]],dados[[#This Row],[fator6]])</f>
        <v>#REF!</v>
      </c>
    </row>
    <row r="3412" spans="1:23">
      <c r="A3412" t="s">
        <v>16</v>
      </c>
      <c r="B3412">
        <v>587063</v>
      </c>
      <c r="C3412">
        <v>9</v>
      </c>
      <c r="D3412">
        <v>30</v>
      </c>
      <c r="E3412">
        <v>146</v>
      </c>
      <c r="F3412">
        <v>4</v>
      </c>
      <c r="G3412">
        <v>0</v>
      </c>
      <c r="H3412">
        <v>25</v>
      </c>
      <c r="I3412">
        <v>629</v>
      </c>
      <c r="J3412">
        <v>0</v>
      </c>
      <c r="K3412">
        <v>3.5550000000000002</v>
      </c>
      <c r="L3412">
        <v>10</v>
      </c>
      <c r="M3412">
        <v>110.75</v>
      </c>
      <c r="N3412">
        <v>10.285</v>
      </c>
      <c r="O3412">
        <v>1674</v>
      </c>
      <c r="P3412">
        <v>0</v>
      </c>
      <c r="Q3412" s="5" t="e">
        <f>IF(AND(#REF!&gt;=table!$C$6,#REF!&lt;= table!$D$6),-1,IF(AND(#REF!&gt;=table!$E$6,#REF!&lt;=table!$F$6),1,0))</f>
        <v>#REF!</v>
      </c>
      <c r="R3412" s="5" t="e">
        <f>IF(AND(#REF!&gt;=table!$C$7,#REF!&lt;= table!$D$7),-1,IF(AND(#REF!&gt;=table!$E$7,#REF!&lt;=table!$F$7),1,0))</f>
        <v>#REF!</v>
      </c>
      <c r="S3412" s="5" t="e">
        <f>IF(AND(#REF!&gt;=table!$C$8,#REF!&lt;= table!$D$8),-1,IF(AND(#REF!&gt;=table!$E$8,#REF!&lt;=table!$F$8),1,0))</f>
        <v>#REF!</v>
      </c>
      <c r="T3412" s="5"/>
      <c r="U3412" s="5" t="e">
        <f>IF(AND(#REF!&gt;=table!$C$10,#REF!&lt;= table!$D$10),-1,IF(AND(#REF!&gt;=table!$E$10,#REF!&lt;=table!$F$10),1,0))</f>
        <v>#REF!</v>
      </c>
      <c r="V3412" s="5" t="e">
        <f>IF(AND(#REF!&gt;=table!$C$11,#REF!&lt;= table!$D$11),-1,IF(AND(#REF!&gt;=table!$E$11,#REF!&lt;=table!$F$11),1,0))</f>
        <v>#REF!</v>
      </c>
      <c r="W3412" s="5" t="e">
        <f>CONCATENATE(dados[[#This Row],[fator1]],dados[[#This Row],[fator5]],dados[[#This Row],[fator6]])</f>
        <v>#REF!</v>
      </c>
    </row>
    <row r="3413" spans="1:23">
      <c r="A3413" t="s">
        <v>17</v>
      </c>
      <c r="B3413">
        <v>587065</v>
      </c>
      <c r="C3413">
        <v>8</v>
      </c>
      <c r="D3413">
        <v>30</v>
      </c>
      <c r="E3413">
        <v>153</v>
      </c>
      <c r="F3413">
        <v>2</v>
      </c>
      <c r="G3413">
        <v>20</v>
      </c>
      <c r="H3413">
        <v>18</v>
      </c>
      <c r="I3413">
        <v>666</v>
      </c>
      <c r="J3413">
        <v>0</v>
      </c>
      <c r="K3413">
        <v>3.42</v>
      </c>
      <c r="L3413">
        <v>8.8000000000000007</v>
      </c>
      <c r="M3413">
        <v>136.9</v>
      </c>
      <c r="N3413">
        <v>10.6</v>
      </c>
      <c r="O3413">
        <v>1690</v>
      </c>
      <c r="P3413">
        <v>731</v>
      </c>
      <c r="Q3413" s="5" t="e">
        <f>IF(AND(#REF!&gt;=table!$C$6,#REF!&lt;= table!$D$6),-1,IF(AND(#REF!&gt;=table!$E$6,#REF!&lt;=table!$F$6),1,0))</f>
        <v>#REF!</v>
      </c>
      <c r="R3413" s="5" t="e">
        <f>IF(AND(#REF!&gt;=table!$C$7,#REF!&lt;= table!$D$7),-1,IF(AND(#REF!&gt;=table!$E$7,#REF!&lt;=table!$F$7),1,0))</f>
        <v>#REF!</v>
      </c>
      <c r="S3413" s="5" t="e">
        <f>IF(AND(#REF!&gt;=table!$C$8,#REF!&lt;= table!$D$8),-1,IF(AND(#REF!&gt;=table!$E$8,#REF!&lt;=table!$F$8),1,0))</f>
        <v>#REF!</v>
      </c>
      <c r="T3413" s="5"/>
      <c r="U3413" s="5" t="e">
        <f>IF(AND(#REF!&gt;=table!$C$10,#REF!&lt;= table!$D$10),-1,IF(AND(#REF!&gt;=table!$E$10,#REF!&lt;=table!$F$10),1,0))</f>
        <v>#REF!</v>
      </c>
      <c r="V3413" s="5" t="e">
        <f>IF(AND(#REF!&gt;=table!$C$11,#REF!&lt;= table!$D$11),-1,IF(AND(#REF!&gt;=table!$E$11,#REF!&lt;=table!$F$11),1,0))</f>
        <v>#REF!</v>
      </c>
      <c r="W3413" s="5" t="e">
        <f>CONCATENATE(dados[[#This Row],[fator1]],dados[[#This Row],[fator5]],dados[[#This Row],[fator6]])</f>
        <v>#REF!</v>
      </c>
    </row>
    <row r="3414" spans="1:23">
      <c r="A3414" t="s">
        <v>17</v>
      </c>
      <c r="B3414">
        <v>587066</v>
      </c>
      <c r="C3414">
        <v>14</v>
      </c>
      <c r="D3414">
        <v>30</v>
      </c>
      <c r="E3414">
        <v>140</v>
      </c>
      <c r="F3414">
        <v>4</v>
      </c>
      <c r="G3414">
        <v>25</v>
      </c>
      <c r="H3414">
        <v>21</v>
      </c>
      <c r="I3414">
        <v>978</v>
      </c>
      <c r="J3414">
        <v>0</v>
      </c>
      <c r="K3414">
        <v>3.5050000000000003</v>
      </c>
      <c r="L3414">
        <v>9</v>
      </c>
      <c r="M3414">
        <v>124.4</v>
      </c>
      <c r="N3414">
        <v>10.700000000000001</v>
      </c>
      <c r="O3414">
        <v>1687</v>
      </c>
      <c r="P3414">
        <v>774</v>
      </c>
      <c r="Q3414" s="5" t="e">
        <f>IF(AND(#REF!&gt;=table!$C$6,#REF!&lt;= table!$D$6),-1,IF(AND(#REF!&gt;=table!$E$6,#REF!&lt;=table!$F$6),1,0))</f>
        <v>#REF!</v>
      </c>
      <c r="R3414" s="5" t="e">
        <f>IF(AND(#REF!&gt;=table!$C$7,#REF!&lt;= table!$D$7),-1,IF(AND(#REF!&gt;=table!$E$7,#REF!&lt;=table!$F$7),1,0))</f>
        <v>#REF!</v>
      </c>
      <c r="S3414" s="5" t="e">
        <f>IF(AND(#REF!&gt;=table!$C$8,#REF!&lt;= table!$D$8),-1,IF(AND(#REF!&gt;=table!$E$8,#REF!&lt;=table!$F$8),1,0))</f>
        <v>#REF!</v>
      </c>
      <c r="T3414" s="5"/>
      <c r="U3414" s="5" t="e">
        <f>IF(AND(#REF!&gt;=table!$C$10,#REF!&lt;= table!$D$10),-1,IF(AND(#REF!&gt;=table!$E$10,#REF!&lt;=table!$F$10),1,0))</f>
        <v>#REF!</v>
      </c>
      <c r="V3414" s="5" t="e">
        <f>IF(AND(#REF!&gt;=table!$C$11,#REF!&lt;= table!$D$11),-1,IF(AND(#REF!&gt;=table!$E$11,#REF!&lt;=table!$F$11),1,0))</f>
        <v>#REF!</v>
      </c>
      <c r="W3414" s="5" t="e">
        <f>CONCATENATE(dados[[#This Row],[fator1]],dados[[#This Row],[fator5]],dados[[#This Row],[fator6]])</f>
        <v>#REF!</v>
      </c>
    </row>
    <row r="3415" spans="1:23">
      <c r="A3415" t="s">
        <v>17</v>
      </c>
      <c r="B3415">
        <v>587067</v>
      </c>
      <c r="C3415">
        <v>14</v>
      </c>
      <c r="D3415">
        <v>30</v>
      </c>
      <c r="E3415">
        <v>140</v>
      </c>
      <c r="F3415">
        <v>4</v>
      </c>
      <c r="G3415">
        <v>25</v>
      </c>
      <c r="H3415">
        <v>21</v>
      </c>
      <c r="I3415">
        <v>1565</v>
      </c>
      <c r="J3415">
        <v>0</v>
      </c>
      <c r="K3415">
        <v>5.19</v>
      </c>
      <c r="L3415">
        <v>9.15</v>
      </c>
      <c r="M3415">
        <v>124.2333</v>
      </c>
      <c r="N3415">
        <v>10</v>
      </c>
      <c r="O3415">
        <v>1664</v>
      </c>
      <c r="P3415">
        <v>418</v>
      </c>
      <c r="Q3415" s="5" t="e">
        <f>IF(AND(#REF!&gt;=table!$C$6,#REF!&lt;= table!$D$6),-1,IF(AND(#REF!&gt;=table!$E$6,#REF!&lt;=table!$F$6),1,0))</f>
        <v>#REF!</v>
      </c>
      <c r="R3415" s="5" t="e">
        <f>IF(AND(#REF!&gt;=table!$C$7,#REF!&lt;= table!$D$7),-1,IF(AND(#REF!&gt;=table!$E$7,#REF!&lt;=table!$F$7),1,0))</f>
        <v>#REF!</v>
      </c>
      <c r="S3415" s="5" t="e">
        <f>IF(AND(#REF!&gt;=table!$C$8,#REF!&lt;= table!$D$8),-1,IF(AND(#REF!&gt;=table!$E$8,#REF!&lt;=table!$F$8),1,0))</f>
        <v>#REF!</v>
      </c>
      <c r="T3415" s="5"/>
      <c r="U3415" s="5" t="e">
        <f>IF(AND(#REF!&gt;=table!$C$10,#REF!&lt;= table!$D$10),-1,IF(AND(#REF!&gt;=table!$E$10,#REF!&lt;=table!$F$10),1,0))</f>
        <v>#REF!</v>
      </c>
      <c r="V3415" s="5" t="e">
        <f>IF(AND(#REF!&gt;=table!$C$11,#REF!&lt;= table!$D$11),-1,IF(AND(#REF!&gt;=table!$E$11,#REF!&lt;=table!$F$11),1,0))</f>
        <v>#REF!</v>
      </c>
      <c r="W3415" s="5" t="e">
        <f>CONCATENATE(dados[[#This Row],[fator1]],dados[[#This Row],[fator5]],dados[[#This Row],[fator6]])</f>
        <v>#REF!</v>
      </c>
    </row>
    <row r="3416" spans="1:23">
      <c r="A3416" t="s">
        <v>16</v>
      </c>
      <c r="B3416">
        <v>587069</v>
      </c>
      <c r="C3416">
        <v>17</v>
      </c>
      <c r="D3416">
        <v>55</v>
      </c>
      <c r="E3416">
        <v>75</v>
      </c>
      <c r="F3416">
        <v>15</v>
      </c>
      <c r="G3416">
        <v>0</v>
      </c>
      <c r="H3416">
        <v>20</v>
      </c>
      <c r="I3416">
        <v>943</v>
      </c>
      <c r="J3416">
        <v>0</v>
      </c>
      <c r="K3416">
        <v>3.19</v>
      </c>
      <c r="L3416">
        <v>6.25</v>
      </c>
      <c r="M3416">
        <v>40</v>
      </c>
      <c r="N3416">
        <v>10.1</v>
      </c>
      <c r="O3416">
        <v>1672</v>
      </c>
      <c r="P3416">
        <v>0</v>
      </c>
      <c r="Q3416" s="5" t="e">
        <f>IF(AND(#REF!&gt;=table!$C$6,#REF!&lt;= table!$D$6),-1,IF(AND(#REF!&gt;=table!$E$6,#REF!&lt;=table!$F$6),1,0))</f>
        <v>#REF!</v>
      </c>
      <c r="R3416" s="5" t="e">
        <f>IF(AND(#REF!&gt;=table!$C$7,#REF!&lt;= table!$D$7),-1,IF(AND(#REF!&gt;=table!$E$7,#REF!&lt;=table!$F$7),1,0))</f>
        <v>#REF!</v>
      </c>
      <c r="S3416" s="5" t="e">
        <f>IF(AND(#REF!&gt;=table!$C$8,#REF!&lt;= table!$D$8),-1,IF(AND(#REF!&gt;=table!$E$8,#REF!&lt;=table!$F$8),1,0))</f>
        <v>#REF!</v>
      </c>
      <c r="T3416" s="5"/>
      <c r="U3416" s="5" t="e">
        <f>IF(AND(#REF!&gt;=table!$C$10,#REF!&lt;= table!$D$10),-1,IF(AND(#REF!&gt;=table!$E$10,#REF!&lt;=table!$F$10),1,0))</f>
        <v>#REF!</v>
      </c>
      <c r="V3416" s="5" t="e">
        <f>IF(AND(#REF!&gt;=table!$C$11,#REF!&lt;= table!$D$11),-1,IF(AND(#REF!&gt;=table!$E$11,#REF!&lt;=table!$F$11),1,0))</f>
        <v>#REF!</v>
      </c>
      <c r="W3416" s="5" t="e">
        <f>CONCATENATE(dados[[#This Row],[fator1]],dados[[#This Row],[fator5]],dados[[#This Row],[fator6]])</f>
        <v>#REF!</v>
      </c>
    </row>
    <row r="3417" spans="1:23">
      <c r="A3417" t="s">
        <v>16</v>
      </c>
      <c r="B3417">
        <v>587073</v>
      </c>
      <c r="C3417">
        <v>7</v>
      </c>
      <c r="D3417">
        <v>35</v>
      </c>
      <c r="E3417">
        <v>170</v>
      </c>
      <c r="F3417">
        <v>6</v>
      </c>
      <c r="G3417">
        <v>0</v>
      </c>
      <c r="H3417">
        <v>20</v>
      </c>
      <c r="I3417">
        <v>333</v>
      </c>
      <c r="J3417">
        <v>540</v>
      </c>
      <c r="K3417">
        <v>4.7350000000000003</v>
      </c>
      <c r="L3417">
        <v>8.3150000000000013</v>
      </c>
      <c r="M3417">
        <v>149.55000000000001</v>
      </c>
      <c r="N3417">
        <v>11.1</v>
      </c>
      <c r="O3417">
        <v>1678</v>
      </c>
      <c r="P3417">
        <v>524</v>
      </c>
      <c r="Q3417" s="5" t="e">
        <f>IF(AND(#REF!&gt;=table!$C$6,#REF!&lt;= table!$D$6),-1,IF(AND(#REF!&gt;=table!$E$6,#REF!&lt;=table!$F$6),1,0))</f>
        <v>#REF!</v>
      </c>
      <c r="R3417" s="5" t="e">
        <f>IF(AND(#REF!&gt;=table!$C$7,#REF!&lt;= table!$D$7),-1,IF(AND(#REF!&gt;=table!$E$7,#REF!&lt;=table!$F$7),1,0))</f>
        <v>#REF!</v>
      </c>
      <c r="S3417" s="5" t="e">
        <f>IF(AND(#REF!&gt;=table!$C$8,#REF!&lt;= table!$D$8),-1,IF(AND(#REF!&gt;=table!$E$8,#REF!&lt;=table!$F$8),1,0))</f>
        <v>#REF!</v>
      </c>
      <c r="T3417" s="5"/>
      <c r="U3417" s="5" t="e">
        <f>IF(AND(#REF!&gt;=table!$C$10,#REF!&lt;= table!$D$10),-1,IF(AND(#REF!&gt;=table!$E$10,#REF!&lt;=table!$F$10),1,0))</f>
        <v>#REF!</v>
      </c>
      <c r="V3417" s="5" t="e">
        <f>IF(AND(#REF!&gt;=table!$C$11,#REF!&lt;= table!$D$11),-1,IF(AND(#REF!&gt;=table!$E$11,#REF!&lt;=table!$F$11),1,0))</f>
        <v>#REF!</v>
      </c>
      <c r="W3417" s="5" t="e">
        <f>CONCATENATE(dados[[#This Row],[fator1]],dados[[#This Row],[fator5]],dados[[#This Row],[fator6]])</f>
        <v>#REF!</v>
      </c>
    </row>
    <row r="3418" spans="1:23">
      <c r="A3418" t="s">
        <v>17</v>
      </c>
      <c r="B3418">
        <v>587077</v>
      </c>
      <c r="C3418">
        <v>29</v>
      </c>
      <c r="D3418">
        <v>30</v>
      </c>
      <c r="E3418">
        <v>126</v>
      </c>
      <c r="F3418">
        <v>6</v>
      </c>
      <c r="G3418">
        <v>23</v>
      </c>
      <c r="H3418">
        <v>23</v>
      </c>
      <c r="I3418">
        <v>760</v>
      </c>
      <c r="J3418">
        <v>0</v>
      </c>
      <c r="K3418">
        <v>5.71</v>
      </c>
      <c r="L3418">
        <v>12.6</v>
      </c>
      <c r="M3418">
        <v>86.4</v>
      </c>
      <c r="N3418">
        <v>15</v>
      </c>
      <c r="O3418">
        <v>1682</v>
      </c>
      <c r="P3418">
        <v>506</v>
      </c>
      <c r="Q3418" s="5" t="e">
        <f>IF(AND(#REF!&gt;=table!$C$6,#REF!&lt;= table!$D$6),-1,IF(AND(#REF!&gt;=table!$E$6,#REF!&lt;=table!$F$6),1,0))</f>
        <v>#REF!</v>
      </c>
      <c r="R3418" s="5" t="e">
        <f>IF(AND(#REF!&gt;=table!$C$7,#REF!&lt;= table!$D$7),-1,IF(AND(#REF!&gt;=table!$E$7,#REF!&lt;=table!$F$7),1,0))</f>
        <v>#REF!</v>
      </c>
      <c r="S3418" s="5" t="e">
        <f>IF(AND(#REF!&gt;=table!$C$8,#REF!&lt;= table!$D$8),-1,IF(AND(#REF!&gt;=table!$E$8,#REF!&lt;=table!$F$8),1,0))</f>
        <v>#REF!</v>
      </c>
      <c r="T3418" s="5"/>
      <c r="U3418" s="5" t="e">
        <f>IF(AND(#REF!&gt;=table!$C$10,#REF!&lt;= table!$D$10),-1,IF(AND(#REF!&gt;=table!$E$10,#REF!&lt;=table!$F$10),1,0))</f>
        <v>#REF!</v>
      </c>
      <c r="V3418" s="5" t="e">
        <f>IF(AND(#REF!&gt;=table!$C$11,#REF!&lt;= table!$D$11),-1,IF(AND(#REF!&gt;=table!$E$11,#REF!&lt;=table!$F$11),1,0))</f>
        <v>#REF!</v>
      </c>
      <c r="W3418" s="5" t="e">
        <f>CONCATENATE(dados[[#This Row],[fator1]],dados[[#This Row],[fator5]],dados[[#This Row],[fator6]])</f>
        <v>#REF!</v>
      </c>
    </row>
    <row r="3419" spans="1:23">
      <c r="A3419" t="s">
        <v>17</v>
      </c>
      <c r="B3419">
        <v>587078</v>
      </c>
      <c r="C3419">
        <v>29</v>
      </c>
      <c r="D3419">
        <v>30</v>
      </c>
      <c r="E3419">
        <v>130</v>
      </c>
      <c r="F3419">
        <v>6</v>
      </c>
      <c r="G3419">
        <v>23</v>
      </c>
      <c r="H3419">
        <v>23</v>
      </c>
      <c r="I3419">
        <v>193</v>
      </c>
      <c r="J3419">
        <v>830</v>
      </c>
      <c r="K3419">
        <v>17.63</v>
      </c>
      <c r="L3419">
        <v>21.1</v>
      </c>
      <c r="M3419">
        <v>90.7</v>
      </c>
      <c r="N3419">
        <v>10.050000000000001</v>
      </c>
      <c r="O3419">
        <v>1666</v>
      </c>
      <c r="P3419">
        <v>163</v>
      </c>
      <c r="Q3419" s="5" t="e">
        <f>IF(AND(#REF!&gt;=table!$C$6,#REF!&lt;= table!$D$6),-1,IF(AND(#REF!&gt;=table!$E$6,#REF!&lt;=table!$F$6),1,0))</f>
        <v>#REF!</v>
      </c>
      <c r="R3419" s="5" t="e">
        <f>IF(AND(#REF!&gt;=table!$C$7,#REF!&lt;= table!$D$7),-1,IF(AND(#REF!&gt;=table!$E$7,#REF!&lt;=table!$F$7),1,0))</f>
        <v>#REF!</v>
      </c>
      <c r="S3419" s="5" t="e">
        <f>IF(AND(#REF!&gt;=table!$C$8,#REF!&lt;= table!$D$8),-1,IF(AND(#REF!&gt;=table!$E$8,#REF!&lt;=table!$F$8),1,0))</f>
        <v>#REF!</v>
      </c>
      <c r="T3419" s="5"/>
      <c r="U3419" s="5" t="e">
        <f>IF(AND(#REF!&gt;=table!$C$10,#REF!&lt;= table!$D$10),-1,IF(AND(#REF!&gt;=table!$E$10,#REF!&lt;=table!$F$10),1,0))</f>
        <v>#REF!</v>
      </c>
      <c r="V3419" s="5" t="e">
        <f>IF(AND(#REF!&gt;=table!$C$11,#REF!&lt;= table!$D$11),-1,IF(AND(#REF!&gt;=table!$E$11,#REF!&lt;=table!$F$11),1,0))</f>
        <v>#REF!</v>
      </c>
      <c r="W3419" s="5" t="e">
        <f>CONCATENATE(dados[[#This Row],[fator1]],dados[[#This Row],[fator5]],dados[[#This Row],[fator6]])</f>
        <v>#REF!</v>
      </c>
    </row>
    <row r="3420" spans="1:23">
      <c r="A3420" t="s">
        <v>17</v>
      </c>
      <c r="B3420">
        <v>587079</v>
      </c>
      <c r="C3420">
        <v>29</v>
      </c>
      <c r="D3420">
        <v>30</v>
      </c>
      <c r="E3420">
        <v>130</v>
      </c>
      <c r="F3420">
        <v>6</v>
      </c>
      <c r="G3420">
        <v>23</v>
      </c>
      <c r="H3420">
        <v>23</v>
      </c>
      <c r="I3420">
        <v>811</v>
      </c>
      <c r="J3420">
        <v>1920</v>
      </c>
      <c r="K3420">
        <v>3.31</v>
      </c>
      <c r="L3420">
        <v>5.4</v>
      </c>
      <c r="M3420">
        <v>96.55</v>
      </c>
      <c r="N3420">
        <v>13.200000000000001</v>
      </c>
      <c r="O3420">
        <v>1667</v>
      </c>
      <c r="P3420">
        <v>864</v>
      </c>
      <c r="Q3420" s="5" t="e">
        <f>IF(AND(#REF!&gt;=table!$C$6,#REF!&lt;= table!$D$6),-1,IF(AND(#REF!&gt;=table!$E$6,#REF!&lt;=table!$F$6),1,0))</f>
        <v>#REF!</v>
      </c>
      <c r="R3420" s="5" t="e">
        <f>IF(AND(#REF!&gt;=table!$C$7,#REF!&lt;= table!$D$7),-1,IF(AND(#REF!&gt;=table!$E$7,#REF!&lt;=table!$F$7),1,0))</f>
        <v>#REF!</v>
      </c>
      <c r="S3420" s="5" t="e">
        <f>IF(AND(#REF!&gt;=table!$C$8,#REF!&lt;= table!$D$8),-1,IF(AND(#REF!&gt;=table!$E$8,#REF!&lt;=table!$F$8),1,0))</f>
        <v>#REF!</v>
      </c>
      <c r="T3420" s="5"/>
      <c r="U3420" s="5" t="e">
        <f>IF(AND(#REF!&gt;=table!$C$10,#REF!&lt;= table!$D$10),-1,IF(AND(#REF!&gt;=table!$E$10,#REF!&lt;=table!$F$10),1,0))</f>
        <v>#REF!</v>
      </c>
      <c r="V3420" s="5" t="e">
        <f>IF(AND(#REF!&gt;=table!$C$11,#REF!&lt;= table!$D$11),-1,IF(AND(#REF!&gt;=table!$E$11,#REF!&lt;=table!$F$11),1,0))</f>
        <v>#REF!</v>
      </c>
      <c r="W3420" s="5" t="e">
        <f>CONCATENATE(dados[[#This Row],[fator1]],dados[[#This Row],[fator5]],dados[[#This Row],[fator6]])</f>
        <v>#REF!</v>
      </c>
    </row>
    <row r="3421" spans="1:23">
      <c r="A3421" t="s">
        <v>17</v>
      </c>
      <c r="B3421">
        <v>587081</v>
      </c>
      <c r="C3421">
        <v>10</v>
      </c>
      <c r="D3421">
        <v>25</v>
      </c>
      <c r="E3421">
        <v>156</v>
      </c>
      <c r="F3421">
        <v>8</v>
      </c>
      <c r="G3421">
        <v>20</v>
      </c>
      <c r="H3421">
        <v>25</v>
      </c>
      <c r="I3421">
        <v>692</v>
      </c>
      <c r="J3421">
        <v>0</v>
      </c>
      <c r="K3421">
        <v>2.7195</v>
      </c>
      <c r="L3421">
        <v>11.15</v>
      </c>
      <c r="M3421">
        <v>120.73</v>
      </c>
      <c r="N3421">
        <v>12.83</v>
      </c>
      <c r="O3421">
        <v>1678</v>
      </c>
      <c r="P3421">
        <v>628</v>
      </c>
      <c r="Q3421" s="5" t="e">
        <f>IF(AND(#REF!&gt;=table!$C$6,#REF!&lt;= table!$D$6),-1,IF(AND(#REF!&gt;=table!$E$6,#REF!&lt;=table!$F$6),1,0))</f>
        <v>#REF!</v>
      </c>
      <c r="R3421" s="5" t="e">
        <f>IF(AND(#REF!&gt;=table!$C$7,#REF!&lt;= table!$D$7),-1,IF(AND(#REF!&gt;=table!$E$7,#REF!&lt;=table!$F$7),1,0))</f>
        <v>#REF!</v>
      </c>
      <c r="S3421" s="5" t="e">
        <f>IF(AND(#REF!&gt;=table!$C$8,#REF!&lt;= table!$D$8),-1,IF(AND(#REF!&gt;=table!$E$8,#REF!&lt;=table!$F$8),1,0))</f>
        <v>#REF!</v>
      </c>
      <c r="T3421" s="5"/>
      <c r="U3421" s="5" t="e">
        <f>IF(AND(#REF!&gt;=table!$C$10,#REF!&lt;= table!$D$10),-1,IF(AND(#REF!&gt;=table!$E$10,#REF!&lt;=table!$F$10),1,0))</f>
        <v>#REF!</v>
      </c>
      <c r="V3421" s="5" t="e">
        <f>IF(AND(#REF!&gt;=table!$C$11,#REF!&lt;= table!$D$11),-1,IF(AND(#REF!&gt;=table!$E$11,#REF!&lt;=table!$F$11),1,0))</f>
        <v>#REF!</v>
      </c>
      <c r="W3421" s="5" t="e">
        <f>CONCATENATE(dados[[#This Row],[fator1]],dados[[#This Row],[fator5]],dados[[#This Row],[fator6]])</f>
        <v>#REF!</v>
      </c>
    </row>
    <row r="3422" spans="1:23">
      <c r="A3422" t="s">
        <v>17</v>
      </c>
      <c r="B3422">
        <v>587087</v>
      </c>
      <c r="C3422">
        <v>0.15</v>
      </c>
      <c r="D3422">
        <v>500</v>
      </c>
      <c r="E3422">
        <v>50</v>
      </c>
      <c r="F3422">
        <v>10</v>
      </c>
      <c r="G3422">
        <v>80</v>
      </c>
      <c r="H3422">
        <v>30</v>
      </c>
      <c r="I3422">
        <v>0</v>
      </c>
      <c r="J3422">
        <v>0</v>
      </c>
      <c r="K3422">
        <v>2.7315</v>
      </c>
      <c r="L3422">
        <v>11.33</v>
      </c>
      <c r="M3422">
        <v>9.19</v>
      </c>
      <c r="N3422">
        <v>22.405000000000001</v>
      </c>
      <c r="O3422">
        <v>1670</v>
      </c>
      <c r="P3422">
        <v>0</v>
      </c>
      <c r="Q3422" s="5" t="e">
        <f>IF(AND(#REF!&gt;=table!$C$6,#REF!&lt;= table!$D$6),-1,IF(AND(#REF!&gt;=table!$E$6,#REF!&lt;=table!$F$6),1,0))</f>
        <v>#REF!</v>
      </c>
      <c r="R3422" s="5" t="e">
        <f>IF(AND(#REF!&gt;=table!$C$7,#REF!&lt;= table!$D$7),-1,IF(AND(#REF!&gt;=table!$E$7,#REF!&lt;=table!$F$7),1,0))</f>
        <v>#REF!</v>
      </c>
      <c r="S3422" s="5" t="e">
        <f>IF(AND(#REF!&gt;=table!$C$8,#REF!&lt;= table!$D$8),-1,IF(AND(#REF!&gt;=table!$E$8,#REF!&lt;=table!$F$8),1,0))</f>
        <v>#REF!</v>
      </c>
      <c r="T3422" s="5"/>
      <c r="U3422" s="5" t="e">
        <f>IF(AND(#REF!&gt;=table!$C$10,#REF!&lt;= table!$D$10),-1,IF(AND(#REF!&gt;=table!$E$10,#REF!&lt;=table!$F$10),1,0))</f>
        <v>#REF!</v>
      </c>
      <c r="V3422" s="5" t="e">
        <f>IF(AND(#REF!&gt;=table!$C$11,#REF!&lt;= table!$D$11),-1,IF(AND(#REF!&gt;=table!$E$11,#REF!&lt;=table!$F$11),1,0))</f>
        <v>#REF!</v>
      </c>
      <c r="W3422" s="5" t="e">
        <f>CONCATENATE(dados[[#This Row],[fator1]],dados[[#This Row],[fator5]],dados[[#This Row],[fator6]])</f>
        <v>#REF!</v>
      </c>
    </row>
    <row r="3423" spans="1:23">
      <c r="A3423" t="s">
        <v>17</v>
      </c>
      <c r="B3423">
        <v>587088</v>
      </c>
      <c r="C3423">
        <v>6</v>
      </c>
      <c r="D3423">
        <v>30</v>
      </c>
      <c r="E3423">
        <v>110</v>
      </c>
      <c r="F3423">
        <v>10</v>
      </c>
      <c r="G3423">
        <v>21</v>
      </c>
      <c r="H3423">
        <v>25</v>
      </c>
      <c r="I3423">
        <v>710</v>
      </c>
      <c r="J3423">
        <v>0</v>
      </c>
      <c r="K3423">
        <v>1.9180000000000001</v>
      </c>
      <c r="L3423">
        <v>5.1050000000000004</v>
      </c>
      <c r="M3423">
        <v>76.704999999999998</v>
      </c>
      <c r="N3423">
        <v>13.205</v>
      </c>
      <c r="O3423">
        <v>1671</v>
      </c>
      <c r="P3423">
        <v>1298</v>
      </c>
      <c r="Q3423" s="5" t="e">
        <f>IF(AND(#REF!&gt;=table!$C$6,#REF!&lt;= table!$D$6),-1,IF(AND(#REF!&gt;=table!$E$6,#REF!&lt;=table!$F$6),1,0))</f>
        <v>#REF!</v>
      </c>
      <c r="R3423" s="5" t="e">
        <f>IF(AND(#REF!&gt;=table!$C$7,#REF!&lt;= table!$D$7),-1,IF(AND(#REF!&gt;=table!$E$7,#REF!&lt;=table!$F$7),1,0))</f>
        <v>#REF!</v>
      </c>
      <c r="S3423" s="5" t="e">
        <f>IF(AND(#REF!&gt;=table!$C$8,#REF!&lt;= table!$D$8),-1,IF(AND(#REF!&gt;=table!$E$8,#REF!&lt;=table!$F$8),1,0))</f>
        <v>#REF!</v>
      </c>
      <c r="T3423" s="5"/>
      <c r="U3423" s="5" t="e">
        <f>IF(AND(#REF!&gt;=table!$C$10,#REF!&lt;= table!$D$10),-1,IF(AND(#REF!&gt;=table!$E$10,#REF!&lt;=table!$F$10),1,0))</f>
        <v>#REF!</v>
      </c>
      <c r="V3423" s="5" t="e">
        <f>IF(AND(#REF!&gt;=table!$C$11,#REF!&lt;= table!$D$11),-1,IF(AND(#REF!&gt;=table!$E$11,#REF!&lt;=table!$F$11),1,0))</f>
        <v>#REF!</v>
      </c>
      <c r="W3423" s="5" t="e">
        <f>CONCATENATE(dados[[#This Row],[fator1]],dados[[#This Row],[fator5]],dados[[#This Row],[fator6]])</f>
        <v>#REF!</v>
      </c>
    </row>
    <row r="3424" spans="1:23">
      <c r="A3424" t="s">
        <v>17</v>
      </c>
      <c r="B3424">
        <v>587089</v>
      </c>
      <c r="C3424">
        <v>6</v>
      </c>
      <c r="D3424">
        <v>30</v>
      </c>
      <c r="E3424">
        <v>110</v>
      </c>
      <c r="F3424">
        <v>8</v>
      </c>
      <c r="G3424">
        <v>21</v>
      </c>
      <c r="H3424">
        <v>25</v>
      </c>
      <c r="I3424">
        <v>1123</v>
      </c>
      <c r="J3424">
        <v>0</v>
      </c>
      <c r="K3424">
        <v>4.99</v>
      </c>
      <c r="L3424">
        <v>8.9</v>
      </c>
      <c r="M3424">
        <v>76.710000000000008</v>
      </c>
      <c r="N3424">
        <v>13.200000000000001</v>
      </c>
      <c r="O3424">
        <v>1671</v>
      </c>
      <c r="P3424">
        <v>0</v>
      </c>
      <c r="Q3424" s="5" t="e">
        <f>IF(AND(#REF!&gt;=table!$C$6,#REF!&lt;= table!$D$6),-1,IF(AND(#REF!&gt;=table!$E$6,#REF!&lt;=table!$F$6),1,0))</f>
        <v>#REF!</v>
      </c>
      <c r="R3424" s="5" t="e">
        <f>IF(AND(#REF!&gt;=table!$C$7,#REF!&lt;= table!$D$7),-1,IF(AND(#REF!&gt;=table!$E$7,#REF!&lt;=table!$F$7),1,0))</f>
        <v>#REF!</v>
      </c>
      <c r="S3424" s="5" t="e">
        <f>IF(AND(#REF!&gt;=table!$C$8,#REF!&lt;= table!$D$8),-1,IF(AND(#REF!&gt;=table!$E$8,#REF!&lt;=table!$F$8),1,0))</f>
        <v>#REF!</v>
      </c>
      <c r="T3424" s="5"/>
      <c r="U3424" s="5" t="e">
        <f>IF(AND(#REF!&gt;=table!$C$10,#REF!&lt;= table!$D$10),-1,IF(AND(#REF!&gt;=table!$E$10,#REF!&lt;=table!$F$10),1,0))</f>
        <v>#REF!</v>
      </c>
      <c r="V3424" s="5" t="e">
        <f>IF(AND(#REF!&gt;=table!$C$11,#REF!&lt;= table!$D$11),-1,IF(AND(#REF!&gt;=table!$E$11,#REF!&lt;=table!$F$11),1,0))</f>
        <v>#REF!</v>
      </c>
      <c r="W3424" s="5" t="e">
        <f>CONCATENATE(dados[[#This Row],[fator1]],dados[[#This Row],[fator5]],dados[[#This Row],[fator6]])</f>
        <v>#REF!</v>
      </c>
    </row>
    <row r="3425" spans="1:23">
      <c r="A3425" t="s">
        <v>17</v>
      </c>
      <c r="B3425">
        <v>587092</v>
      </c>
      <c r="C3425">
        <v>16</v>
      </c>
      <c r="D3425">
        <v>23</v>
      </c>
      <c r="E3425">
        <v>145</v>
      </c>
      <c r="F3425">
        <v>9</v>
      </c>
      <c r="G3425">
        <v>30</v>
      </c>
      <c r="H3425">
        <v>25</v>
      </c>
      <c r="I3425">
        <v>78</v>
      </c>
      <c r="J3425">
        <v>0</v>
      </c>
      <c r="K3425">
        <v>4.6950000000000003</v>
      </c>
      <c r="L3425">
        <v>6.0049999999999999</v>
      </c>
      <c r="M3425">
        <v>111.77</v>
      </c>
      <c r="N3425">
        <v>11.255000000000001</v>
      </c>
      <c r="O3425">
        <v>1664</v>
      </c>
      <c r="P3425">
        <v>758</v>
      </c>
      <c r="Q3425" s="5" t="e">
        <f>IF(AND(#REF!&gt;=table!$C$6,#REF!&lt;= table!$D$6),-1,IF(AND(#REF!&gt;=table!$E$6,#REF!&lt;=table!$F$6),1,0))</f>
        <v>#REF!</v>
      </c>
      <c r="R3425" s="5" t="e">
        <f>IF(AND(#REF!&gt;=table!$C$7,#REF!&lt;= table!$D$7),-1,IF(AND(#REF!&gt;=table!$E$7,#REF!&lt;=table!$F$7),1,0))</f>
        <v>#REF!</v>
      </c>
      <c r="S3425" s="5" t="e">
        <f>IF(AND(#REF!&gt;=table!$C$8,#REF!&lt;= table!$D$8),-1,IF(AND(#REF!&gt;=table!$E$8,#REF!&lt;=table!$F$8),1,0))</f>
        <v>#REF!</v>
      </c>
      <c r="T3425" s="5"/>
      <c r="U3425" s="5" t="e">
        <f>IF(AND(#REF!&gt;=table!$C$10,#REF!&lt;= table!$D$10),-1,IF(AND(#REF!&gt;=table!$E$10,#REF!&lt;=table!$F$10),1,0))</f>
        <v>#REF!</v>
      </c>
      <c r="V3425" s="5" t="e">
        <f>IF(AND(#REF!&gt;=table!$C$11,#REF!&lt;= table!$D$11),-1,IF(AND(#REF!&gt;=table!$E$11,#REF!&lt;=table!$F$11),1,0))</f>
        <v>#REF!</v>
      </c>
      <c r="W3425" s="5" t="e">
        <f>CONCATENATE(dados[[#This Row],[fator1]],dados[[#This Row],[fator5]],dados[[#This Row],[fator6]])</f>
        <v>#REF!</v>
      </c>
    </row>
    <row r="3426" spans="1:23">
      <c r="A3426" t="s">
        <v>17</v>
      </c>
      <c r="B3426">
        <v>587093</v>
      </c>
      <c r="C3426">
        <v>16</v>
      </c>
      <c r="D3426">
        <v>23</v>
      </c>
      <c r="E3426">
        <v>145</v>
      </c>
      <c r="F3426">
        <v>9</v>
      </c>
      <c r="G3426">
        <v>30</v>
      </c>
      <c r="H3426">
        <v>25</v>
      </c>
      <c r="I3426">
        <v>208</v>
      </c>
      <c r="J3426">
        <v>1720</v>
      </c>
      <c r="K3426">
        <v>5.86</v>
      </c>
      <c r="L3426">
        <v>18.78</v>
      </c>
      <c r="M3426">
        <v>100.28500000000001</v>
      </c>
      <c r="N3426">
        <v>20.245000000000001</v>
      </c>
      <c r="O3426">
        <v>1689</v>
      </c>
      <c r="P3426">
        <v>0</v>
      </c>
      <c r="Q3426" s="5" t="e">
        <f>IF(AND(#REF!&gt;=table!$C$6,#REF!&lt;= table!$D$6),-1,IF(AND(#REF!&gt;=table!$E$6,#REF!&lt;=table!$F$6),1,0))</f>
        <v>#REF!</v>
      </c>
      <c r="R3426" s="5" t="e">
        <f>IF(AND(#REF!&gt;=table!$C$7,#REF!&lt;= table!$D$7),-1,IF(AND(#REF!&gt;=table!$E$7,#REF!&lt;=table!$F$7),1,0))</f>
        <v>#REF!</v>
      </c>
      <c r="S3426" s="5" t="e">
        <f>IF(AND(#REF!&gt;=table!$C$8,#REF!&lt;= table!$D$8),-1,IF(AND(#REF!&gt;=table!$E$8,#REF!&lt;=table!$F$8),1,0))</f>
        <v>#REF!</v>
      </c>
      <c r="T3426" s="5"/>
      <c r="U3426" s="5" t="e">
        <f>IF(AND(#REF!&gt;=table!$C$10,#REF!&lt;= table!$D$10),-1,IF(AND(#REF!&gt;=table!$E$10,#REF!&lt;=table!$F$10),1,0))</f>
        <v>#REF!</v>
      </c>
      <c r="V3426" s="5" t="e">
        <f>IF(AND(#REF!&gt;=table!$C$11,#REF!&lt;= table!$D$11),-1,IF(AND(#REF!&gt;=table!$E$11,#REF!&lt;=table!$F$11),1,0))</f>
        <v>#REF!</v>
      </c>
      <c r="W3426" s="5" t="e">
        <f>CONCATENATE(dados[[#This Row],[fator1]],dados[[#This Row],[fator5]],dados[[#This Row],[fator6]])</f>
        <v>#REF!</v>
      </c>
    </row>
    <row r="3427" spans="1:23">
      <c r="A3427" t="s">
        <v>17</v>
      </c>
      <c r="B3427">
        <v>587094</v>
      </c>
      <c r="C3427">
        <v>16</v>
      </c>
      <c r="D3427">
        <v>23</v>
      </c>
      <c r="E3427">
        <v>145</v>
      </c>
      <c r="F3427">
        <v>9</v>
      </c>
      <c r="G3427">
        <v>30</v>
      </c>
      <c r="H3427">
        <v>25</v>
      </c>
      <c r="I3427">
        <v>446</v>
      </c>
      <c r="J3427">
        <v>1060</v>
      </c>
      <c r="K3427">
        <v>3.8450000000000002</v>
      </c>
      <c r="L3427">
        <v>8.1</v>
      </c>
      <c r="M3427">
        <v>110.86500000000001</v>
      </c>
      <c r="N3427">
        <v>13.935</v>
      </c>
      <c r="O3427">
        <v>1677</v>
      </c>
      <c r="P3427">
        <v>0</v>
      </c>
      <c r="Q3427" s="5" t="e">
        <f>IF(AND(#REF!&gt;=table!$C$6,#REF!&lt;= table!$D$6),-1,IF(AND(#REF!&gt;=table!$E$6,#REF!&lt;=table!$F$6),1,0))</f>
        <v>#REF!</v>
      </c>
      <c r="R3427" s="5" t="e">
        <f>IF(AND(#REF!&gt;=table!$C$7,#REF!&lt;= table!$D$7),-1,IF(AND(#REF!&gt;=table!$E$7,#REF!&lt;=table!$F$7),1,0))</f>
        <v>#REF!</v>
      </c>
      <c r="S3427" s="5" t="e">
        <f>IF(AND(#REF!&gt;=table!$C$8,#REF!&lt;= table!$D$8),-1,IF(AND(#REF!&gt;=table!$E$8,#REF!&lt;=table!$F$8),1,0))</f>
        <v>#REF!</v>
      </c>
      <c r="T3427" s="5"/>
      <c r="U3427" s="5" t="e">
        <f>IF(AND(#REF!&gt;=table!$C$10,#REF!&lt;= table!$D$10),-1,IF(AND(#REF!&gt;=table!$E$10,#REF!&lt;=table!$F$10),1,0))</f>
        <v>#REF!</v>
      </c>
      <c r="V3427" s="5" t="e">
        <f>IF(AND(#REF!&gt;=table!$C$11,#REF!&lt;= table!$D$11),-1,IF(AND(#REF!&gt;=table!$E$11,#REF!&lt;=table!$F$11),1,0))</f>
        <v>#REF!</v>
      </c>
      <c r="W3427" s="5" t="e">
        <f>CONCATENATE(dados[[#This Row],[fator1]],dados[[#This Row],[fator5]],dados[[#This Row],[fator6]])</f>
        <v>#REF!</v>
      </c>
    </row>
    <row r="3428" spans="1:23">
      <c r="A3428" t="s">
        <v>16</v>
      </c>
      <c r="B3428">
        <v>587098</v>
      </c>
      <c r="C3428">
        <v>4</v>
      </c>
      <c r="D3428">
        <v>40</v>
      </c>
      <c r="E3428">
        <v>21</v>
      </c>
      <c r="F3428">
        <v>10</v>
      </c>
      <c r="G3428">
        <v>0</v>
      </c>
      <c r="H3428">
        <v>25</v>
      </c>
      <c r="I3428">
        <v>1196</v>
      </c>
      <c r="J3428">
        <v>490</v>
      </c>
      <c r="K3428">
        <v>4.75</v>
      </c>
      <c r="L3428">
        <v>4.88</v>
      </c>
      <c r="M3428">
        <v>4.3650000000000002</v>
      </c>
      <c r="N3428">
        <v>6.9550000000000001</v>
      </c>
      <c r="O3428">
        <v>1640</v>
      </c>
      <c r="P3428">
        <v>892</v>
      </c>
      <c r="Q3428" s="5" t="e">
        <f>IF(AND(#REF!&gt;=table!$C$6,#REF!&lt;= table!$D$6),-1,IF(AND(#REF!&gt;=table!$E$6,#REF!&lt;=table!$F$6),1,0))</f>
        <v>#REF!</v>
      </c>
      <c r="R3428" s="5" t="e">
        <f>IF(AND(#REF!&gt;=table!$C$7,#REF!&lt;= table!$D$7),-1,IF(AND(#REF!&gt;=table!$E$7,#REF!&lt;=table!$F$7),1,0))</f>
        <v>#REF!</v>
      </c>
      <c r="S3428" s="5" t="e">
        <f>IF(AND(#REF!&gt;=table!$C$8,#REF!&lt;= table!$D$8),-1,IF(AND(#REF!&gt;=table!$E$8,#REF!&lt;=table!$F$8),1,0))</f>
        <v>#REF!</v>
      </c>
      <c r="T3428" s="5"/>
      <c r="U3428" s="5" t="e">
        <f>IF(AND(#REF!&gt;=table!$C$10,#REF!&lt;= table!$D$10),-1,IF(AND(#REF!&gt;=table!$E$10,#REF!&lt;=table!$F$10),1,0))</f>
        <v>#REF!</v>
      </c>
      <c r="V3428" s="5" t="e">
        <f>IF(AND(#REF!&gt;=table!$C$11,#REF!&lt;= table!$D$11),-1,IF(AND(#REF!&gt;=table!$E$11,#REF!&lt;=table!$F$11),1,0))</f>
        <v>#REF!</v>
      </c>
      <c r="W3428" s="5" t="e">
        <f>CONCATENATE(dados[[#This Row],[fator1]],dados[[#This Row],[fator5]],dados[[#This Row],[fator6]])</f>
        <v>#REF!</v>
      </c>
    </row>
    <row r="3429" spans="1:23">
      <c r="A3429" t="s">
        <v>17</v>
      </c>
      <c r="B3429">
        <v>587100</v>
      </c>
      <c r="C3429">
        <v>13</v>
      </c>
      <c r="D3429">
        <v>30</v>
      </c>
      <c r="E3429">
        <v>106</v>
      </c>
      <c r="F3429">
        <v>10</v>
      </c>
      <c r="G3429">
        <v>20</v>
      </c>
      <c r="H3429">
        <v>25</v>
      </c>
      <c r="I3429">
        <v>828</v>
      </c>
      <c r="J3429">
        <v>0</v>
      </c>
      <c r="K3429">
        <v>2.7135000000000002</v>
      </c>
      <c r="L3429">
        <v>10.18</v>
      </c>
      <c r="M3429">
        <v>90.555000000000007</v>
      </c>
      <c r="N3429">
        <v>18.57</v>
      </c>
      <c r="O3429">
        <v>1667</v>
      </c>
      <c r="P3429">
        <v>0</v>
      </c>
      <c r="Q3429" s="5" t="e">
        <f>IF(AND(#REF!&gt;=table!$C$6,#REF!&lt;= table!$D$6),-1,IF(AND(#REF!&gt;=table!$E$6,#REF!&lt;=table!$F$6),1,0))</f>
        <v>#REF!</v>
      </c>
      <c r="R3429" s="5" t="e">
        <f>IF(AND(#REF!&gt;=table!$C$7,#REF!&lt;= table!$D$7),-1,IF(AND(#REF!&gt;=table!$E$7,#REF!&lt;=table!$F$7),1,0))</f>
        <v>#REF!</v>
      </c>
      <c r="S3429" s="5" t="e">
        <f>IF(AND(#REF!&gt;=table!$C$8,#REF!&lt;= table!$D$8),-1,IF(AND(#REF!&gt;=table!$E$8,#REF!&lt;=table!$F$8),1,0))</f>
        <v>#REF!</v>
      </c>
      <c r="T3429" s="5"/>
      <c r="U3429" s="5" t="e">
        <f>IF(AND(#REF!&gt;=table!$C$10,#REF!&lt;= table!$D$10),-1,IF(AND(#REF!&gt;=table!$E$10,#REF!&lt;=table!$F$10),1,0))</f>
        <v>#REF!</v>
      </c>
      <c r="V3429" s="5" t="e">
        <f>IF(AND(#REF!&gt;=table!$C$11,#REF!&lt;= table!$D$11),-1,IF(AND(#REF!&gt;=table!$E$11,#REF!&lt;=table!$F$11),1,0))</f>
        <v>#REF!</v>
      </c>
      <c r="W3429" s="5" t="e">
        <f>CONCATENATE(dados[[#This Row],[fator1]],dados[[#This Row],[fator5]],dados[[#This Row],[fator6]])</f>
        <v>#REF!</v>
      </c>
    </row>
    <row r="3430" spans="1:23">
      <c r="A3430" t="s">
        <v>17</v>
      </c>
      <c r="B3430">
        <v>587102</v>
      </c>
      <c r="C3430">
        <v>13</v>
      </c>
      <c r="D3430">
        <v>30</v>
      </c>
      <c r="E3430">
        <v>106</v>
      </c>
      <c r="F3430">
        <v>10</v>
      </c>
      <c r="G3430">
        <v>20</v>
      </c>
      <c r="H3430">
        <v>25</v>
      </c>
      <c r="I3430">
        <v>416</v>
      </c>
      <c r="J3430">
        <v>0</v>
      </c>
      <c r="K3430">
        <v>6.3</v>
      </c>
      <c r="L3430">
        <v>8.6050000000000004</v>
      </c>
      <c r="M3430">
        <v>82.00500000000001</v>
      </c>
      <c r="N3430">
        <v>15.21</v>
      </c>
      <c r="O3430">
        <v>1688</v>
      </c>
      <c r="P3430">
        <v>631</v>
      </c>
      <c r="Q3430" s="5" t="e">
        <f>IF(AND(#REF!&gt;=table!$C$6,#REF!&lt;= table!$D$6),-1,IF(AND(#REF!&gt;=table!$E$6,#REF!&lt;=table!$F$6),1,0))</f>
        <v>#REF!</v>
      </c>
      <c r="R3430" s="5" t="e">
        <f>IF(AND(#REF!&gt;=table!$C$7,#REF!&lt;= table!$D$7),-1,IF(AND(#REF!&gt;=table!$E$7,#REF!&lt;=table!$F$7),1,0))</f>
        <v>#REF!</v>
      </c>
      <c r="S3430" s="5" t="e">
        <f>IF(AND(#REF!&gt;=table!$C$8,#REF!&lt;= table!$D$8),-1,IF(AND(#REF!&gt;=table!$E$8,#REF!&lt;=table!$F$8),1,0))</f>
        <v>#REF!</v>
      </c>
      <c r="T3430" s="5"/>
      <c r="U3430" s="5" t="e">
        <f>IF(AND(#REF!&gt;=table!$C$10,#REF!&lt;= table!$D$10),-1,IF(AND(#REF!&gt;=table!$E$10,#REF!&lt;=table!$F$10),1,0))</f>
        <v>#REF!</v>
      </c>
      <c r="V3430" s="5" t="e">
        <f>IF(AND(#REF!&gt;=table!$C$11,#REF!&lt;= table!$D$11),-1,IF(AND(#REF!&gt;=table!$E$11,#REF!&lt;=table!$F$11),1,0))</f>
        <v>#REF!</v>
      </c>
      <c r="W3430" s="5" t="e">
        <f>CONCATENATE(dados[[#This Row],[fator1]],dados[[#This Row],[fator5]],dados[[#This Row],[fator6]])</f>
        <v>#REF!</v>
      </c>
    </row>
    <row r="3431" spans="1:23">
      <c r="A3431" t="s">
        <v>16</v>
      </c>
      <c r="B3431">
        <v>587103</v>
      </c>
      <c r="C3431">
        <v>13</v>
      </c>
      <c r="D3431">
        <v>35</v>
      </c>
      <c r="E3431">
        <v>120</v>
      </c>
      <c r="F3431">
        <v>10</v>
      </c>
      <c r="G3431">
        <v>0</v>
      </c>
      <c r="H3431">
        <v>25</v>
      </c>
      <c r="I3431">
        <v>987</v>
      </c>
      <c r="J3431">
        <v>0</v>
      </c>
      <c r="K3431">
        <v>17.600000000000001</v>
      </c>
      <c r="L3431">
        <v>14.59</v>
      </c>
      <c r="M3431">
        <v>86</v>
      </c>
      <c r="N3431">
        <v>13.705</v>
      </c>
      <c r="O3431">
        <v>1675</v>
      </c>
      <c r="P3431">
        <v>225</v>
      </c>
      <c r="Q3431" s="5" t="e">
        <f>IF(AND(#REF!&gt;=table!$C$6,#REF!&lt;= table!$D$6),-1,IF(AND(#REF!&gt;=table!$E$6,#REF!&lt;=table!$F$6),1,0))</f>
        <v>#REF!</v>
      </c>
      <c r="R3431" s="5" t="e">
        <f>IF(AND(#REF!&gt;=table!$C$7,#REF!&lt;= table!$D$7),-1,IF(AND(#REF!&gt;=table!$E$7,#REF!&lt;=table!$F$7),1,0))</f>
        <v>#REF!</v>
      </c>
      <c r="S3431" s="5" t="e">
        <f>IF(AND(#REF!&gt;=table!$C$8,#REF!&lt;= table!$D$8),-1,IF(AND(#REF!&gt;=table!$E$8,#REF!&lt;=table!$F$8),1,0))</f>
        <v>#REF!</v>
      </c>
      <c r="T3431" s="5"/>
      <c r="U3431" s="5" t="e">
        <f>IF(AND(#REF!&gt;=table!$C$10,#REF!&lt;= table!$D$10),-1,IF(AND(#REF!&gt;=table!$E$10,#REF!&lt;=table!$F$10),1,0))</f>
        <v>#REF!</v>
      </c>
      <c r="V3431" s="5" t="e">
        <f>IF(AND(#REF!&gt;=table!$C$11,#REF!&lt;= table!$D$11),-1,IF(AND(#REF!&gt;=table!$E$11,#REF!&lt;=table!$F$11),1,0))</f>
        <v>#REF!</v>
      </c>
      <c r="W3431" s="5" t="e">
        <f>CONCATENATE(dados[[#This Row],[fator1]],dados[[#This Row],[fator5]],dados[[#This Row],[fator6]])</f>
        <v>#REF!</v>
      </c>
    </row>
    <row r="3432" spans="1:23">
      <c r="A3432" t="s">
        <v>17</v>
      </c>
      <c r="B3432">
        <v>587104</v>
      </c>
      <c r="C3432">
        <v>16</v>
      </c>
      <c r="D3432">
        <v>25</v>
      </c>
      <c r="E3432">
        <v>56</v>
      </c>
      <c r="F3432">
        <v>10</v>
      </c>
      <c r="G3432">
        <v>13</v>
      </c>
      <c r="H3432">
        <v>25</v>
      </c>
      <c r="I3432">
        <v>1</v>
      </c>
      <c r="J3432">
        <v>0</v>
      </c>
      <c r="K3432">
        <v>4.4550000000000001</v>
      </c>
      <c r="L3432">
        <v>5.4350000000000005</v>
      </c>
      <c r="M3432">
        <v>49.6</v>
      </c>
      <c r="N3432">
        <v>15.865</v>
      </c>
      <c r="O3432">
        <v>1669</v>
      </c>
      <c r="P3432">
        <v>1012</v>
      </c>
      <c r="Q3432" s="5" t="e">
        <f>IF(AND(#REF!&gt;=table!$C$6,#REF!&lt;= table!$D$6),-1,IF(AND(#REF!&gt;=table!$E$6,#REF!&lt;=table!$F$6),1,0))</f>
        <v>#REF!</v>
      </c>
      <c r="R3432" s="5" t="e">
        <f>IF(AND(#REF!&gt;=table!$C$7,#REF!&lt;= table!$D$7),-1,IF(AND(#REF!&gt;=table!$E$7,#REF!&lt;=table!$F$7),1,0))</f>
        <v>#REF!</v>
      </c>
      <c r="S3432" s="5" t="e">
        <f>IF(AND(#REF!&gt;=table!$C$8,#REF!&lt;= table!$D$8),-1,IF(AND(#REF!&gt;=table!$E$8,#REF!&lt;=table!$F$8),1,0))</f>
        <v>#REF!</v>
      </c>
      <c r="T3432" s="5"/>
      <c r="U3432" s="5" t="e">
        <f>IF(AND(#REF!&gt;=table!$C$10,#REF!&lt;= table!$D$10),-1,IF(AND(#REF!&gt;=table!$E$10,#REF!&lt;=table!$F$10),1,0))</f>
        <v>#REF!</v>
      </c>
      <c r="V3432" s="5" t="e">
        <f>IF(AND(#REF!&gt;=table!$C$11,#REF!&lt;= table!$D$11),-1,IF(AND(#REF!&gt;=table!$E$11,#REF!&lt;=table!$F$11),1,0))</f>
        <v>#REF!</v>
      </c>
      <c r="W3432" s="5" t="e">
        <f>CONCATENATE(dados[[#This Row],[fator1]],dados[[#This Row],[fator5]],dados[[#This Row],[fator6]])</f>
        <v>#REF!</v>
      </c>
    </row>
    <row r="3433" spans="1:23">
      <c r="A3433" t="s">
        <v>17</v>
      </c>
      <c r="B3433">
        <v>587110</v>
      </c>
      <c r="C3433">
        <v>14</v>
      </c>
      <c r="D3433">
        <v>30</v>
      </c>
      <c r="E3433">
        <v>66</v>
      </c>
      <c r="F3433">
        <v>9</v>
      </c>
      <c r="G3433">
        <v>20</v>
      </c>
      <c r="H3433">
        <v>25</v>
      </c>
      <c r="I3433">
        <v>1107</v>
      </c>
      <c r="J3433">
        <v>0</v>
      </c>
      <c r="K3433">
        <v>5.97</v>
      </c>
      <c r="L3433">
        <v>9.32</v>
      </c>
      <c r="M3433">
        <v>55.67</v>
      </c>
      <c r="N3433">
        <v>9.9</v>
      </c>
      <c r="O3433">
        <v>1662</v>
      </c>
      <c r="P3433">
        <v>0</v>
      </c>
      <c r="Q3433" s="5" t="e">
        <f>IF(AND(#REF!&gt;=table!$C$6,#REF!&lt;= table!$D$6),-1,IF(AND(#REF!&gt;=table!$E$6,#REF!&lt;=table!$F$6),1,0))</f>
        <v>#REF!</v>
      </c>
      <c r="R3433" s="5" t="e">
        <f>IF(AND(#REF!&gt;=table!$C$7,#REF!&lt;= table!$D$7),-1,IF(AND(#REF!&gt;=table!$E$7,#REF!&lt;=table!$F$7),1,0))</f>
        <v>#REF!</v>
      </c>
      <c r="S3433" s="5" t="e">
        <f>IF(AND(#REF!&gt;=table!$C$8,#REF!&lt;= table!$D$8),-1,IF(AND(#REF!&gt;=table!$E$8,#REF!&lt;=table!$F$8),1,0))</f>
        <v>#REF!</v>
      </c>
      <c r="T3433" s="5"/>
      <c r="U3433" s="5" t="e">
        <f>IF(AND(#REF!&gt;=table!$C$10,#REF!&lt;= table!$D$10),-1,IF(AND(#REF!&gt;=table!$E$10,#REF!&lt;=table!$F$10),1,0))</f>
        <v>#REF!</v>
      </c>
      <c r="V3433" s="5" t="e">
        <f>IF(AND(#REF!&gt;=table!$C$11,#REF!&lt;= table!$D$11),-1,IF(AND(#REF!&gt;=table!$E$11,#REF!&lt;=table!$F$11),1,0))</f>
        <v>#REF!</v>
      </c>
      <c r="W3433" s="5" t="e">
        <f>CONCATENATE(dados[[#This Row],[fator1]],dados[[#This Row],[fator5]],dados[[#This Row],[fator6]])</f>
        <v>#REF!</v>
      </c>
    </row>
    <row r="3434" spans="1:23">
      <c r="A3434" t="s">
        <v>16</v>
      </c>
      <c r="B3434">
        <v>587115</v>
      </c>
      <c r="C3434">
        <v>0.1</v>
      </c>
      <c r="D3434">
        <v>40</v>
      </c>
      <c r="E3434">
        <v>10</v>
      </c>
      <c r="F3434">
        <v>8</v>
      </c>
      <c r="G3434">
        <v>0</v>
      </c>
      <c r="H3434">
        <v>10</v>
      </c>
      <c r="I3434">
        <v>1523</v>
      </c>
      <c r="J3434">
        <v>0</v>
      </c>
      <c r="K3434">
        <v>4.3600000000000003</v>
      </c>
      <c r="L3434">
        <v>8.2200000000000006</v>
      </c>
      <c r="M3434">
        <v>7.7750000000000004</v>
      </c>
      <c r="N3434">
        <v>9.9749999999999996</v>
      </c>
      <c r="O3434">
        <v>1680</v>
      </c>
      <c r="P3434">
        <v>937</v>
      </c>
      <c r="Q3434" s="5" t="e">
        <f>IF(AND(#REF!&gt;=table!$C$6,#REF!&lt;= table!$D$6),-1,IF(AND(#REF!&gt;=table!$E$6,#REF!&lt;=table!$F$6),1,0))</f>
        <v>#REF!</v>
      </c>
      <c r="R3434" s="5" t="e">
        <f>IF(AND(#REF!&gt;=table!$C$7,#REF!&lt;= table!$D$7),-1,IF(AND(#REF!&gt;=table!$E$7,#REF!&lt;=table!$F$7),1,0))</f>
        <v>#REF!</v>
      </c>
      <c r="S3434" s="5" t="e">
        <f>IF(AND(#REF!&gt;=table!$C$8,#REF!&lt;= table!$D$8),-1,IF(AND(#REF!&gt;=table!$E$8,#REF!&lt;=table!$F$8),1,0))</f>
        <v>#REF!</v>
      </c>
      <c r="T3434" s="5"/>
      <c r="U3434" s="5" t="e">
        <f>IF(AND(#REF!&gt;=table!$C$10,#REF!&lt;= table!$D$10),-1,IF(AND(#REF!&gt;=table!$E$10,#REF!&lt;=table!$F$10),1,0))</f>
        <v>#REF!</v>
      </c>
      <c r="V3434" s="5" t="e">
        <f>IF(AND(#REF!&gt;=table!$C$11,#REF!&lt;= table!$D$11),-1,IF(AND(#REF!&gt;=table!$E$11,#REF!&lt;=table!$F$11),1,0))</f>
        <v>#REF!</v>
      </c>
      <c r="W3434" s="5" t="e">
        <f>CONCATENATE(dados[[#This Row],[fator1]],dados[[#This Row],[fator5]],dados[[#This Row],[fator6]])</f>
        <v>#REF!</v>
      </c>
    </row>
    <row r="3435" spans="1:23">
      <c r="A3435" t="s">
        <v>17</v>
      </c>
      <c r="B3435">
        <v>587121</v>
      </c>
      <c r="C3435">
        <v>9</v>
      </c>
      <c r="D3435">
        <v>25</v>
      </c>
      <c r="E3435">
        <v>130</v>
      </c>
      <c r="F3435">
        <v>3</v>
      </c>
      <c r="G3435">
        <v>20</v>
      </c>
      <c r="H3435">
        <v>21</v>
      </c>
      <c r="I3435">
        <v>818</v>
      </c>
      <c r="J3435">
        <v>0</v>
      </c>
      <c r="K3435">
        <v>6.07</v>
      </c>
      <c r="L3435">
        <v>11.495000000000001</v>
      </c>
      <c r="M3435">
        <v>111.245</v>
      </c>
      <c r="N3435">
        <v>11.865</v>
      </c>
      <c r="O3435">
        <v>1660</v>
      </c>
      <c r="P3435">
        <v>540</v>
      </c>
      <c r="Q3435" s="5" t="e">
        <f>IF(AND(#REF!&gt;=table!$C$6,#REF!&lt;= table!$D$6),-1,IF(AND(#REF!&gt;=table!$E$6,#REF!&lt;=table!$F$6),1,0))</f>
        <v>#REF!</v>
      </c>
      <c r="R3435" s="5" t="e">
        <f>IF(AND(#REF!&gt;=table!$C$7,#REF!&lt;= table!$D$7),-1,IF(AND(#REF!&gt;=table!$E$7,#REF!&lt;=table!$F$7),1,0))</f>
        <v>#REF!</v>
      </c>
      <c r="S3435" s="5" t="e">
        <f>IF(AND(#REF!&gt;=table!$C$8,#REF!&lt;= table!$D$8),-1,IF(AND(#REF!&gt;=table!$E$8,#REF!&lt;=table!$F$8),1,0))</f>
        <v>#REF!</v>
      </c>
      <c r="T3435" s="5"/>
      <c r="U3435" s="5" t="e">
        <f>IF(AND(#REF!&gt;=table!$C$10,#REF!&lt;= table!$D$10),-1,IF(AND(#REF!&gt;=table!$E$10,#REF!&lt;=table!$F$10),1,0))</f>
        <v>#REF!</v>
      </c>
      <c r="V3435" s="5" t="e">
        <f>IF(AND(#REF!&gt;=table!$C$11,#REF!&lt;= table!$D$11),-1,IF(AND(#REF!&gt;=table!$E$11,#REF!&lt;=table!$F$11),1,0))</f>
        <v>#REF!</v>
      </c>
      <c r="W3435" s="5" t="e">
        <f>CONCATENATE(dados[[#This Row],[fator1]],dados[[#This Row],[fator5]],dados[[#This Row],[fator6]])</f>
        <v>#REF!</v>
      </c>
    </row>
    <row r="3436" spans="1:23">
      <c r="A3436" t="s">
        <v>16</v>
      </c>
      <c r="B3436">
        <v>587122</v>
      </c>
      <c r="C3436">
        <v>0.15</v>
      </c>
      <c r="D3436">
        <v>40</v>
      </c>
      <c r="E3436">
        <v>10</v>
      </c>
      <c r="F3436">
        <v>15</v>
      </c>
      <c r="G3436">
        <v>0</v>
      </c>
      <c r="H3436">
        <v>15</v>
      </c>
      <c r="I3436">
        <v>1708</v>
      </c>
      <c r="J3436">
        <v>0</v>
      </c>
      <c r="K3436">
        <v>6.4850000000000003</v>
      </c>
      <c r="L3436">
        <v>6.6150000000000002</v>
      </c>
      <c r="M3436">
        <v>6.3500000000000005</v>
      </c>
      <c r="N3436">
        <v>9.14</v>
      </c>
      <c r="O3436">
        <v>1677</v>
      </c>
      <c r="P3436">
        <v>0</v>
      </c>
      <c r="Q3436" s="5" t="e">
        <f>IF(AND(#REF!&gt;=table!$C$6,#REF!&lt;= table!$D$6),-1,IF(AND(#REF!&gt;=table!$E$6,#REF!&lt;=table!$F$6),1,0))</f>
        <v>#REF!</v>
      </c>
      <c r="R3436" s="5" t="e">
        <f>IF(AND(#REF!&gt;=table!$C$7,#REF!&lt;= table!$D$7),-1,IF(AND(#REF!&gt;=table!$E$7,#REF!&lt;=table!$F$7),1,0))</f>
        <v>#REF!</v>
      </c>
      <c r="S3436" s="5" t="e">
        <f>IF(AND(#REF!&gt;=table!$C$8,#REF!&lt;= table!$D$8),-1,IF(AND(#REF!&gt;=table!$E$8,#REF!&lt;=table!$F$8),1,0))</f>
        <v>#REF!</v>
      </c>
      <c r="T3436" s="5"/>
      <c r="U3436" s="5" t="e">
        <f>IF(AND(#REF!&gt;=table!$C$10,#REF!&lt;= table!$D$10),-1,IF(AND(#REF!&gt;=table!$E$10,#REF!&lt;=table!$F$10),1,0))</f>
        <v>#REF!</v>
      </c>
      <c r="V3436" s="5" t="e">
        <f>IF(AND(#REF!&gt;=table!$C$11,#REF!&lt;= table!$D$11),-1,IF(AND(#REF!&gt;=table!$E$11,#REF!&lt;=table!$F$11),1,0))</f>
        <v>#REF!</v>
      </c>
      <c r="W3436" s="5" t="e">
        <f>CONCATENATE(dados[[#This Row],[fator1]],dados[[#This Row],[fator5]],dados[[#This Row],[fator6]])</f>
        <v>#REF!</v>
      </c>
    </row>
    <row r="3437" spans="1:23">
      <c r="A3437" t="s">
        <v>16</v>
      </c>
      <c r="B3437">
        <v>587130</v>
      </c>
      <c r="C3437">
        <v>16</v>
      </c>
      <c r="D3437">
        <v>35</v>
      </c>
      <c r="E3437">
        <v>36</v>
      </c>
      <c r="F3437">
        <v>10</v>
      </c>
      <c r="G3437">
        <v>0</v>
      </c>
      <c r="H3437">
        <v>25</v>
      </c>
      <c r="I3437">
        <v>18</v>
      </c>
      <c r="J3437">
        <v>0</v>
      </c>
      <c r="K3437">
        <v>6.03</v>
      </c>
      <c r="L3437">
        <v>7.11</v>
      </c>
      <c r="M3437">
        <v>22.925000000000001</v>
      </c>
      <c r="N3437">
        <v>9.1750000000000007</v>
      </c>
      <c r="O3437">
        <v>1696</v>
      </c>
      <c r="P3437">
        <v>659</v>
      </c>
      <c r="Q3437" s="5" t="e">
        <f>IF(AND(#REF!&gt;=table!$C$6,#REF!&lt;= table!$D$6),-1,IF(AND(#REF!&gt;=table!$E$6,#REF!&lt;=table!$F$6),1,0))</f>
        <v>#REF!</v>
      </c>
      <c r="R3437" s="5" t="e">
        <f>IF(AND(#REF!&gt;=table!$C$7,#REF!&lt;= table!$D$7),-1,IF(AND(#REF!&gt;=table!$E$7,#REF!&lt;=table!$F$7),1,0))</f>
        <v>#REF!</v>
      </c>
      <c r="S3437" s="5" t="e">
        <f>IF(AND(#REF!&gt;=table!$C$8,#REF!&lt;= table!$D$8),-1,IF(AND(#REF!&gt;=table!$E$8,#REF!&lt;=table!$F$8),1,0))</f>
        <v>#REF!</v>
      </c>
      <c r="T3437" s="5"/>
      <c r="U3437" s="5" t="e">
        <f>IF(AND(#REF!&gt;=table!$C$10,#REF!&lt;= table!$D$10),-1,IF(AND(#REF!&gt;=table!$E$10,#REF!&lt;=table!$F$10),1,0))</f>
        <v>#REF!</v>
      </c>
      <c r="V3437" s="5" t="e">
        <f>IF(AND(#REF!&gt;=table!$C$11,#REF!&lt;= table!$D$11),-1,IF(AND(#REF!&gt;=table!$E$11,#REF!&lt;=table!$F$11),1,0))</f>
        <v>#REF!</v>
      </c>
      <c r="W3437" s="5" t="e">
        <f>CONCATENATE(dados[[#This Row],[fator1]],dados[[#This Row],[fator5]],dados[[#This Row],[fator6]])</f>
        <v>#REF!</v>
      </c>
    </row>
    <row r="3438" spans="1:23">
      <c r="A3438" t="s">
        <v>16</v>
      </c>
      <c r="B3438">
        <v>587132</v>
      </c>
      <c r="C3438">
        <v>16</v>
      </c>
      <c r="D3438">
        <v>35</v>
      </c>
      <c r="E3438">
        <v>36</v>
      </c>
      <c r="F3438">
        <v>10</v>
      </c>
      <c r="G3438">
        <v>0</v>
      </c>
      <c r="H3438">
        <v>25</v>
      </c>
      <c r="I3438">
        <v>0</v>
      </c>
      <c r="J3438">
        <v>0</v>
      </c>
      <c r="K3438">
        <v>15.67</v>
      </c>
      <c r="L3438">
        <v>20.150000000000002</v>
      </c>
      <c r="M3438">
        <v>21.7</v>
      </c>
      <c r="N3438">
        <v>20.685000000000002</v>
      </c>
      <c r="O3438">
        <v>1675</v>
      </c>
      <c r="P3438">
        <v>0</v>
      </c>
      <c r="Q3438" s="5" t="e">
        <f>IF(AND(#REF!&gt;=table!$C$6,#REF!&lt;= table!$D$6),-1,IF(AND(#REF!&gt;=table!$E$6,#REF!&lt;=table!$F$6),1,0))</f>
        <v>#REF!</v>
      </c>
      <c r="R3438" s="5" t="e">
        <f>IF(AND(#REF!&gt;=table!$C$7,#REF!&lt;= table!$D$7),-1,IF(AND(#REF!&gt;=table!$E$7,#REF!&lt;=table!$F$7),1,0))</f>
        <v>#REF!</v>
      </c>
      <c r="S3438" s="5" t="e">
        <f>IF(AND(#REF!&gt;=table!$C$8,#REF!&lt;= table!$D$8),-1,IF(AND(#REF!&gt;=table!$E$8,#REF!&lt;=table!$F$8),1,0))</f>
        <v>#REF!</v>
      </c>
      <c r="T3438" s="5"/>
      <c r="U3438" s="5" t="e">
        <f>IF(AND(#REF!&gt;=table!$C$10,#REF!&lt;= table!$D$10),-1,IF(AND(#REF!&gt;=table!$E$10,#REF!&lt;=table!$F$10),1,0))</f>
        <v>#REF!</v>
      </c>
      <c r="V3438" s="5" t="e">
        <f>IF(AND(#REF!&gt;=table!$C$11,#REF!&lt;= table!$D$11),-1,IF(AND(#REF!&gt;=table!$E$11,#REF!&lt;=table!$F$11),1,0))</f>
        <v>#REF!</v>
      </c>
      <c r="W3438" s="5" t="e">
        <f>CONCATENATE(dados[[#This Row],[fator1]],dados[[#This Row],[fator5]],dados[[#This Row],[fator6]])</f>
        <v>#REF!</v>
      </c>
    </row>
    <row r="3439" spans="1:23">
      <c r="A3439" t="s">
        <v>16</v>
      </c>
      <c r="B3439">
        <v>587134</v>
      </c>
      <c r="C3439">
        <v>8</v>
      </c>
      <c r="D3439">
        <v>30</v>
      </c>
      <c r="E3439">
        <v>86</v>
      </c>
      <c r="F3439">
        <v>9</v>
      </c>
      <c r="G3439">
        <v>0</v>
      </c>
      <c r="H3439">
        <v>25</v>
      </c>
      <c r="I3439">
        <v>59</v>
      </c>
      <c r="J3439">
        <v>710</v>
      </c>
      <c r="K3439">
        <v>5.7149999999999999</v>
      </c>
      <c r="L3439">
        <v>6.8500000000000005</v>
      </c>
      <c r="M3439">
        <v>84.155000000000001</v>
      </c>
      <c r="N3439">
        <v>9.92</v>
      </c>
      <c r="O3439">
        <v>1667</v>
      </c>
      <c r="P3439">
        <v>0</v>
      </c>
      <c r="Q3439" s="5" t="e">
        <f>IF(AND(#REF!&gt;=table!$C$6,#REF!&lt;= table!$D$6),-1,IF(AND(#REF!&gt;=table!$E$6,#REF!&lt;=table!$F$6),1,0))</f>
        <v>#REF!</v>
      </c>
      <c r="R3439" s="5" t="e">
        <f>IF(AND(#REF!&gt;=table!$C$7,#REF!&lt;= table!$D$7),-1,IF(AND(#REF!&gt;=table!$E$7,#REF!&lt;=table!$F$7),1,0))</f>
        <v>#REF!</v>
      </c>
      <c r="S3439" s="5" t="e">
        <f>IF(AND(#REF!&gt;=table!$C$8,#REF!&lt;= table!$D$8),-1,IF(AND(#REF!&gt;=table!$E$8,#REF!&lt;=table!$F$8),1,0))</f>
        <v>#REF!</v>
      </c>
      <c r="T3439" s="5"/>
      <c r="U3439" s="5" t="e">
        <f>IF(AND(#REF!&gt;=table!$C$10,#REF!&lt;= table!$D$10),-1,IF(AND(#REF!&gt;=table!$E$10,#REF!&lt;=table!$F$10),1,0))</f>
        <v>#REF!</v>
      </c>
      <c r="V3439" s="5" t="e">
        <f>IF(AND(#REF!&gt;=table!$C$11,#REF!&lt;= table!$D$11),-1,IF(AND(#REF!&gt;=table!$E$11,#REF!&lt;=table!$F$11),1,0))</f>
        <v>#REF!</v>
      </c>
      <c r="W3439" s="5" t="e">
        <f>CONCATENATE(dados[[#This Row],[fator1]],dados[[#This Row],[fator5]],dados[[#This Row],[fator6]])</f>
        <v>#REF!</v>
      </c>
    </row>
    <row r="3440" spans="1:23">
      <c r="A3440" t="s">
        <v>16</v>
      </c>
      <c r="B3440">
        <v>587135</v>
      </c>
      <c r="C3440">
        <v>10</v>
      </c>
      <c r="D3440">
        <v>35</v>
      </c>
      <c r="E3440">
        <v>170</v>
      </c>
      <c r="F3440">
        <v>4</v>
      </c>
      <c r="G3440">
        <v>0</v>
      </c>
      <c r="H3440">
        <v>25</v>
      </c>
      <c r="I3440">
        <v>453</v>
      </c>
      <c r="J3440">
        <v>0</v>
      </c>
      <c r="K3440">
        <v>4.2300000000000004</v>
      </c>
      <c r="L3440">
        <v>7.915</v>
      </c>
      <c r="M3440">
        <v>152.535</v>
      </c>
      <c r="N3440">
        <v>11.83</v>
      </c>
      <c r="O3440">
        <v>1684</v>
      </c>
      <c r="P3440">
        <v>0</v>
      </c>
      <c r="Q3440" s="5" t="e">
        <f>IF(AND(#REF!&gt;=table!$C$6,#REF!&lt;= table!$D$6),-1,IF(AND(#REF!&gt;=table!$E$6,#REF!&lt;=table!$F$6),1,0))</f>
        <v>#REF!</v>
      </c>
      <c r="R3440" s="5" t="e">
        <f>IF(AND(#REF!&gt;=table!$C$7,#REF!&lt;= table!$D$7),-1,IF(AND(#REF!&gt;=table!$E$7,#REF!&lt;=table!$F$7),1,0))</f>
        <v>#REF!</v>
      </c>
      <c r="S3440" s="5" t="e">
        <f>IF(AND(#REF!&gt;=table!$C$8,#REF!&lt;= table!$D$8),-1,IF(AND(#REF!&gt;=table!$E$8,#REF!&lt;=table!$F$8),1,0))</f>
        <v>#REF!</v>
      </c>
      <c r="T3440" s="5"/>
      <c r="U3440" s="5" t="e">
        <f>IF(AND(#REF!&gt;=table!$C$10,#REF!&lt;= table!$D$10),-1,IF(AND(#REF!&gt;=table!$E$10,#REF!&lt;=table!$F$10),1,0))</f>
        <v>#REF!</v>
      </c>
      <c r="V3440" s="5" t="e">
        <f>IF(AND(#REF!&gt;=table!$C$11,#REF!&lt;= table!$D$11),-1,IF(AND(#REF!&gt;=table!$E$11,#REF!&lt;=table!$F$11),1,0))</f>
        <v>#REF!</v>
      </c>
      <c r="W3440" s="5" t="e">
        <f>CONCATENATE(dados[[#This Row],[fator1]],dados[[#This Row],[fator5]],dados[[#This Row],[fator6]])</f>
        <v>#REF!</v>
      </c>
    </row>
    <row r="3441" spans="1:23">
      <c r="A3441" t="s">
        <v>16</v>
      </c>
      <c r="B3441">
        <v>587136</v>
      </c>
      <c r="C3441">
        <v>10</v>
      </c>
      <c r="D3441">
        <v>40</v>
      </c>
      <c r="E3441">
        <v>96</v>
      </c>
      <c r="F3441">
        <v>8</v>
      </c>
      <c r="G3441">
        <v>0</v>
      </c>
      <c r="H3441">
        <v>25</v>
      </c>
      <c r="I3441">
        <v>1382</v>
      </c>
      <c r="J3441">
        <v>0</v>
      </c>
      <c r="K3441">
        <v>10.700000000000001</v>
      </c>
      <c r="L3441">
        <v>11.125</v>
      </c>
      <c r="M3441">
        <v>76.39</v>
      </c>
      <c r="N3441">
        <v>10.665000000000001</v>
      </c>
      <c r="O3441">
        <v>1667</v>
      </c>
      <c r="P3441">
        <v>326</v>
      </c>
      <c r="Q3441" s="5" t="e">
        <f>IF(AND(#REF!&gt;=table!$C$6,#REF!&lt;= table!$D$6),-1,IF(AND(#REF!&gt;=table!$E$6,#REF!&lt;=table!$F$6),1,0))</f>
        <v>#REF!</v>
      </c>
      <c r="R3441" s="5" t="e">
        <f>IF(AND(#REF!&gt;=table!$C$7,#REF!&lt;= table!$D$7),-1,IF(AND(#REF!&gt;=table!$E$7,#REF!&lt;=table!$F$7),1,0))</f>
        <v>#REF!</v>
      </c>
      <c r="S3441" s="5" t="e">
        <f>IF(AND(#REF!&gt;=table!$C$8,#REF!&lt;= table!$D$8),-1,IF(AND(#REF!&gt;=table!$E$8,#REF!&lt;=table!$F$8),1,0))</f>
        <v>#REF!</v>
      </c>
      <c r="T3441" s="5"/>
      <c r="U3441" s="5" t="e">
        <f>IF(AND(#REF!&gt;=table!$C$10,#REF!&lt;= table!$D$10),-1,IF(AND(#REF!&gt;=table!$E$10,#REF!&lt;=table!$F$10),1,0))</f>
        <v>#REF!</v>
      </c>
      <c r="V3441" s="5" t="e">
        <f>IF(AND(#REF!&gt;=table!$C$11,#REF!&lt;= table!$D$11),-1,IF(AND(#REF!&gt;=table!$E$11,#REF!&lt;=table!$F$11),1,0))</f>
        <v>#REF!</v>
      </c>
      <c r="W3441" s="5" t="e">
        <f>CONCATENATE(dados[[#This Row],[fator1]],dados[[#This Row],[fator5]],dados[[#This Row],[fator6]])</f>
        <v>#REF!</v>
      </c>
    </row>
    <row r="3442" spans="1:23">
      <c r="A3442" t="s">
        <v>16</v>
      </c>
      <c r="B3442">
        <v>587143</v>
      </c>
      <c r="C3442">
        <v>0.15</v>
      </c>
      <c r="D3442">
        <v>35</v>
      </c>
      <c r="E3442">
        <v>15</v>
      </c>
      <c r="F3442">
        <v>10</v>
      </c>
      <c r="G3442">
        <v>0</v>
      </c>
      <c r="H3442">
        <v>12</v>
      </c>
      <c r="I3442">
        <v>182</v>
      </c>
      <c r="J3442">
        <v>920</v>
      </c>
      <c r="K3442">
        <v>3.9650000000000003</v>
      </c>
      <c r="L3442">
        <v>9.8550000000000004</v>
      </c>
      <c r="M3442">
        <v>5.69</v>
      </c>
      <c r="N3442">
        <v>11.82</v>
      </c>
      <c r="O3442">
        <v>1676</v>
      </c>
      <c r="P3442">
        <v>982</v>
      </c>
      <c r="Q3442" s="5" t="e">
        <f>IF(AND(#REF!&gt;=table!$C$6,#REF!&lt;= table!$D$6),-1,IF(AND(#REF!&gt;=table!$E$6,#REF!&lt;=table!$F$6),1,0))</f>
        <v>#REF!</v>
      </c>
      <c r="R3442" s="5" t="e">
        <f>IF(AND(#REF!&gt;=table!$C$7,#REF!&lt;= table!$D$7),-1,IF(AND(#REF!&gt;=table!$E$7,#REF!&lt;=table!$F$7),1,0))</f>
        <v>#REF!</v>
      </c>
      <c r="S3442" s="5" t="e">
        <f>IF(AND(#REF!&gt;=table!$C$8,#REF!&lt;= table!$D$8),-1,IF(AND(#REF!&gt;=table!$E$8,#REF!&lt;=table!$F$8),1,0))</f>
        <v>#REF!</v>
      </c>
      <c r="T3442" s="5"/>
      <c r="U3442" s="5" t="e">
        <f>IF(AND(#REF!&gt;=table!$C$10,#REF!&lt;= table!$D$10),-1,IF(AND(#REF!&gt;=table!$E$10,#REF!&lt;=table!$F$10),1,0))</f>
        <v>#REF!</v>
      </c>
      <c r="V3442" s="5" t="e">
        <f>IF(AND(#REF!&gt;=table!$C$11,#REF!&lt;= table!$D$11),-1,IF(AND(#REF!&gt;=table!$E$11,#REF!&lt;=table!$F$11),1,0))</f>
        <v>#REF!</v>
      </c>
      <c r="W3442" s="5" t="e">
        <f>CONCATENATE(dados[[#This Row],[fator1]],dados[[#This Row],[fator5]],dados[[#This Row],[fator6]])</f>
        <v>#REF!</v>
      </c>
    </row>
    <row r="3443" spans="1:23">
      <c r="A3443" t="s">
        <v>17</v>
      </c>
      <c r="B3443">
        <v>587150</v>
      </c>
      <c r="C3443">
        <v>14</v>
      </c>
      <c r="D3443">
        <v>30</v>
      </c>
      <c r="E3443">
        <v>86</v>
      </c>
      <c r="F3443">
        <v>9</v>
      </c>
      <c r="G3443">
        <v>20</v>
      </c>
      <c r="H3443">
        <v>25</v>
      </c>
      <c r="I3443">
        <v>3</v>
      </c>
      <c r="J3443">
        <v>0</v>
      </c>
      <c r="K3443">
        <v>7.3850000000000007</v>
      </c>
      <c r="L3443">
        <v>12.700000000000001</v>
      </c>
      <c r="M3443">
        <v>74.600000000000009</v>
      </c>
      <c r="N3443">
        <v>12.8</v>
      </c>
      <c r="O3443">
        <v>1667</v>
      </c>
      <c r="P3443">
        <v>400</v>
      </c>
      <c r="Q3443" s="5" t="e">
        <f>IF(AND(#REF!&gt;=table!$C$6,#REF!&lt;= table!$D$6),-1,IF(AND(#REF!&gt;=table!$E$6,#REF!&lt;=table!$F$6),1,0))</f>
        <v>#REF!</v>
      </c>
      <c r="R3443" s="5" t="e">
        <f>IF(AND(#REF!&gt;=table!$C$7,#REF!&lt;= table!$D$7),-1,IF(AND(#REF!&gt;=table!$E$7,#REF!&lt;=table!$F$7),1,0))</f>
        <v>#REF!</v>
      </c>
      <c r="S3443" s="5" t="e">
        <f>IF(AND(#REF!&gt;=table!$C$8,#REF!&lt;= table!$D$8),-1,IF(AND(#REF!&gt;=table!$E$8,#REF!&lt;=table!$F$8),1,0))</f>
        <v>#REF!</v>
      </c>
      <c r="T3443" s="5"/>
      <c r="U3443" s="5" t="e">
        <f>IF(AND(#REF!&gt;=table!$C$10,#REF!&lt;= table!$D$10),-1,IF(AND(#REF!&gt;=table!$E$10,#REF!&lt;=table!$F$10),1,0))</f>
        <v>#REF!</v>
      </c>
      <c r="V3443" s="5" t="e">
        <f>IF(AND(#REF!&gt;=table!$C$11,#REF!&lt;= table!$D$11),-1,IF(AND(#REF!&gt;=table!$E$11,#REF!&lt;=table!$F$11),1,0))</f>
        <v>#REF!</v>
      </c>
      <c r="W3443" s="5" t="e">
        <f>CONCATENATE(dados[[#This Row],[fator1]],dados[[#This Row],[fator5]],dados[[#This Row],[fator6]])</f>
        <v>#REF!</v>
      </c>
    </row>
    <row r="3444" spans="1:23">
      <c r="A3444" t="s">
        <v>17</v>
      </c>
      <c r="B3444">
        <v>587152</v>
      </c>
      <c r="C3444">
        <v>14</v>
      </c>
      <c r="D3444">
        <v>30</v>
      </c>
      <c r="E3444">
        <v>86</v>
      </c>
      <c r="F3444">
        <v>9</v>
      </c>
      <c r="G3444">
        <v>20</v>
      </c>
      <c r="H3444">
        <v>25</v>
      </c>
      <c r="I3444">
        <v>751</v>
      </c>
      <c r="J3444">
        <v>0</v>
      </c>
      <c r="K3444">
        <v>4.72</v>
      </c>
      <c r="L3444">
        <v>8.5</v>
      </c>
      <c r="M3444">
        <v>77.825000000000003</v>
      </c>
      <c r="N3444">
        <v>11.290000000000001</v>
      </c>
      <c r="O3444">
        <v>1691</v>
      </c>
      <c r="P3444">
        <v>641</v>
      </c>
      <c r="Q3444" s="5" t="e">
        <f>IF(AND(#REF!&gt;=table!$C$6,#REF!&lt;= table!$D$6),-1,IF(AND(#REF!&gt;=table!$E$6,#REF!&lt;=table!$F$6),1,0))</f>
        <v>#REF!</v>
      </c>
      <c r="R3444" s="5" t="e">
        <f>IF(AND(#REF!&gt;=table!$C$7,#REF!&lt;= table!$D$7),-1,IF(AND(#REF!&gt;=table!$E$7,#REF!&lt;=table!$F$7),1,0))</f>
        <v>#REF!</v>
      </c>
      <c r="S3444" s="5" t="e">
        <f>IF(AND(#REF!&gt;=table!$C$8,#REF!&lt;= table!$D$8),-1,IF(AND(#REF!&gt;=table!$E$8,#REF!&lt;=table!$F$8),1,0))</f>
        <v>#REF!</v>
      </c>
      <c r="T3444" s="5"/>
      <c r="U3444" s="5" t="e">
        <f>IF(AND(#REF!&gt;=table!$C$10,#REF!&lt;= table!$D$10),-1,IF(AND(#REF!&gt;=table!$E$10,#REF!&lt;=table!$F$10),1,0))</f>
        <v>#REF!</v>
      </c>
      <c r="V3444" s="5" t="e">
        <f>IF(AND(#REF!&gt;=table!$C$11,#REF!&lt;= table!$D$11),-1,IF(AND(#REF!&gt;=table!$E$11,#REF!&lt;=table!$F$11),1,0))</f>
        <v>#REF!</v>
      </c>
      <c r="W3444" s="5" t="e">
        <f>CONCATENATE(dados[[#This Row],[fator1]],dados[[#This Row],[fator5]],dados[[#This Row],[fator6]])</f>
        <v>#REF!</v>
      </c>
    </row>
    <row r="3445" spans="1:23">
      <c r="A3445" t="s">
        <v>17</v>
      </c>
      <c r="B3445">
        <v>587156</v>
      </c>
      <c r="C3445">
        <v>14</v>
      </c>
      <c r="D3445">
        <v>25</v>
      </c>
      <c r="E3445">
        <v>130</v>
      </c>
      <c r="F3445">
        <v>9</v>
      </c>
      <c r="G3445">
        <v>110</v>
      </c>
      <c r="H3445">
        <v>50</v>
      </c>
      <c r="I3445">
        <v>0</v>
      </c>
      <c r="J3445">
        <v>0</v>
      </c>
      <c r="K3445">
        <v>2.5190000000000001</v>
      </c>
      <c r="L3445">
        <v>7.0250000000000004</v>
      </c>
      <c r="M3445">
        <v>64.400000000000006</v>
      </c>
      <c r="N3445">
        <v>37.9</v>
      </c>
      <c r="O3445">
        <v>1700</v>
      </c>
      <c r="P3445">
        <v>0</v>
      </c>
      <c r="Q3445" s="5" t="e">
        <f>IF(AND(#REF!&gt;=table!$C$6,#REF!&lt;= table!$D$6),-1,IF(AND(#REF!&gt;=table!$E$6,#REF!&lt;=table!$F$6),1,0))</f>
        <v>#REF!</v>
      </c>
      <c r="R3445" s="5" t="e">
        <f>IF(AND(#REF!&gt;=table!$C$7,#REF!&lt;= table!$D$7),-1,IF(AND(#REF!&gt;=table!$E$7,#REF!&lt;=table!$F$7),1,0))</f>
        <v>#REF!</v>
      </c>
      <c r="S3445" s="5" t="e">
        <f>IF(AND(#REF!&gt;=table!$C$8,#REF!&lt;= table!$D$8),-1,IF(AND(#REF!&gt;=table!$E$8,#REF!&lt;=table!$F$8),1,0))</f>
        <v>#REF!</v>
      </c>
      <c r="T3445" s="5"/>
      <c r="U3445" s="5" t="e">
        <f>IF(AND(#REF!&gt;=table!$C$10,#REF!&lt;= table!$D$10),-1,IF(AND(#REF!&gt;=table!$E$10,#REF!&lt;=table!$F$10),1,0))</f>
        <v>#REF!</v>
      </c>
      <c r="V3445" s="5" t="e">
        <f>IF(AND(#REF!&gt;=table!$C$11,#REF!&lt;= table!$D$11),-1,IF(AND(#REF!&gt;=table!$E$11,#REF!&lt;=table!$F$11),1,0))</f>
        <v>#REF!</v>
      </c>
      <c r="W3445" s="5" t="e">
        <f>CONCATENATE(dados[[#This Row],[fator1]],dados[[#This Row],[fator5]],dados[[#This Row],[fator6]])</f>
        <v>#REF!</v>
      </c>
    </row>
    <row r="3446" spans="1:23">
      <c r="A3446" t="s">
        <v>17</v>
      </c>
      <c r="B3446">
        <v>587158</v>
      </c>
      <c r="C3446">
        <v>16</v>
      </c>
      <c r="D3446">
        <v>30</v>
      </c>
      <c r="E3446">
        <v>106</v>
      </c>
      <c r="F3446">
        <v>9</v>
      </c>
      <c r="G3446">
        <v>20</v>
      </c>
      <c r="H3446">
        <v>25</v>
      </c>
      <c r="I3446">
        <v>419</v>
      </c>
      <c r="J3446">
        <v>0</v>
      </c>
      <c r="K3446">
        <v>2.3610000000000002</v>
      </c>
      <c r="L3446">
        <v>6.75</v>
      </c>
      <c r="M3446">
        <v>81.22</v>
      </c>
      <c r="N3446">
        <v>14.945</v>
      </c>
      <c r="O3446">
        <v>1700</v>
      </c>
      <c r="P3446">
        <v>1340</v>
      </c>
      <c r="Q3446" s="5" t="e">
        <f>IF(AND(#REF!&gt;=table!$C$6,#REF!&lt;= table!$D$6),-1,IF(AND(#REF!&gt;=table!$E$6,#REF!&lt;=table!$F$6),1,0))</f>
        <v>#REF!</v>
      </c>
      <c r="R3446" s="5" t="e">
        <f>IF(AND(#REF!&gt;=table!$C$7,#REF!&lt;= table!$D$7),-1,IF(AND(#REF!&gt;=table!$E$7,#REF!&lt;=table!$F$7),1,0))</f>
        <v>#REF!</v>
      </c>
      <c r="S3446" s="5" t="e">
        <f>IF(AND(#REF!&gt;=table!$C$8,#REF!&lt;= table!$D$8),-1,IF(AND(#REF!&gt;=table!$E$8,#REF!&lt;=table!$F$8),1,0))</f>
        <v>#REF!</v>
      </c>
      <c r="T3446" s="5"/>
      <c r="U3446" s="5" t="e">
        <f>IF(AND(#REF!&gt;=table!$C$10,#REF!&lt;= table!$D$10),-1,IF(AND(#REF!&gt;=table!$E$10,#REF!&lt;=table!$F$10),1,0))</f>
        <v>#REF!</v>
      </c>
      <c r="V3446" s="5" t="e">
        <f>IF(AND(#REF!&gt;=table!$C$11,#REF!&lt;= table!$D$11),-1,IF(AND(#REF!&gt;=table!$E$11,#REF!&lt;=table!$F$11),1,0))</f>
        <v>#REF!</v>
      </c>
      <c r="W3446" s="5" t="e">
        <f>CONCATENATE(dados[[#This Row],[fator1]],dados[[#This Row],[fator5]],dados[[#This Row],[fator6]])</f>
        <v>#REF!</v>
      </c>
    </row>
    <row r="3447" spans="1:23">
      <c r="A3447" t="s">
        <v>17</v>
      </c>
      <c r="B3447">
        <v>587160</v>
      </c>
      <c r="C3447">
        <v>16</v>
      </c>
      <c r="D3447">
        <v>30</v>
      </c>
      <c r="E3447">
        <v>106</v>
      </c>
      <c r="F3447">
        <v>9</v>
      </c>
      <c r="G3447">
        <v>20</v>
      </c>
      <c r="H3447">
        <v>25</v>
      </c>
      <c r="I3447">
        <v>596</v>
      </c>
      <c r="J3447">
        <v>0</v>
      </c>
      <c r="K3447">
        <v>6.01</v>
      </c>
      <c r="L3447">
        <v>6.2</v>
      </c>
      <c r="M3447">
        <v>74.900000000000006</v>
      </c>
      <c r="N3447">
        <v>12.450000000000001</v>
      </c>
      <c r="O3447">
        <v>1669</v>
      </c>
      <c r="P3447">
        <v>556</v>
      </c>
      <c r="Q3447" s="5" t="e">
        <f>IF(AND(#REF!&gt;=table!$C$6,#REF!&lt;= table!$D$6),-1,IF(AND(#REF!&gt;=table!$E$6,#REF!&lt;=table!$F$6),1,0))</f>
        <v>#REF!</v>
      </c>
      <c r="R3447" s="5" t="e">
        <f>IF(AND(#REF!&gt;=table!$C$7,#REF!&lt;= table!$D$7),-1,IF(AND(#REF!&gt;=table!$E$7,#REF!&lt;=table!$F$7),1,0))</f>
        <v>#REF!</v>
      </c>
      <c r="S3447" s="5" t="e">
        <f>IF(AND(#REF!&gt;=table!$C$8,#REF!&lt;= table!$D$8),-1,IF(AND(#REF!&gt;=table!$E$8,#REF!&lt;=table!$F$8),1,0))</f>
        <v>#REF!</v>
      </c>
      <c r="T3447" s="5"/>
      <c r="U3447" s="5" t="e">
        <f>IF(AND(#REF!&gt;=table!$C$10,#REF!&lt;= table!$D$10),-1,IF(AND(#REF!&gt;=table!$E$10,#REF!&lt;=table!$F$10),1,0))</f>
        <v>#REF!</v>
      </c>
      <c r="V3447" s="5" t="e">
        <f>IF(AND(#REF!&gt;=table!$C$11,#REF!&lt;= table!$D$11),-1,IF(AND(#REF!&gt;=table!$E$11,#REF!&lt;=table!$F$11),1,0))</f>
        <v>#REF!</v>
      </c>
      <c r="W3447" s="5" t="e">
        <f>CONCATENATE(dados[[#This Row],[fator1]],dados[[#This Row],[fator5]],dados[[#This Row],[fator6]])</f>
        <v>#REF!</v>
      </c>
    </row>
    <row r="3448" spans="1:23">
      <c r="A3448" t="s">
        <v>17</v>
      </c>
      <c r="B3448">
        <v>587161</v>
      </c>
      <c r="C3448">
        <v>16</v>
      </c>
      <c r="D3448">
        <v>30</v>
      </c>
      <c r="E3448">
        <v>106</v>
      </c>
      <c r="F3448">
        <v>9</v>
      </c>
      <c r="G3448">
        <v>20</v>
      </c>
      <c r="H3448">
        <v>25</v>
      </c>
      <c r="I3448">
        <v>498</v>
      </c>
      <c r="J3448">
        <v>0</v>
      </c>
      <c r="K3448">
        <v>2.79</v>
      </c>
      <c r="L3448">
        <v>4.95</v>
      </c>
      <c r="M3448">
        <v>112.66</v>
      </c>
      <c r="N3448">
        <v>10.225</v>
      </c>
      <c r="O3448">
        <v>1667</v>
      </c>
      <c r="P3448">
        <v>1048</v>
      </c>
      <c r="Q3448" s="5" t="e">
        <f>IF(AND(#REF!&gt;=table!$C$6,#REF!&lt;= table!$D$6),-1,IF(AND(#REF!&gt;=table!$E$6,#REF!&lt;=table!$F$6),1,0))</f>
        <v>#REF!</v>
      </c>
      <c r="R3448" s="5" t="e">
        <f>IF(AND(#REF!&gt;=table!$C$7,#REF!&lt;= table!$D$7),-1,IF(AND(#REF!&gt;=table!$E$7,#REF!&lt;=table!$F$7),1,0))</f>
        <v>#REF!</v>
      </c>
      <c r="S3448" s="5" t="e">
        <f>IF(AND(#REF!&gt;=table!$C$8,#REF!&lt;= table!$D$8),-1,IF(AND(#REF!&gt;=table!$E$8,#REF!&lt;=table!$F$8),1,0))</f>
        <v>#REF!</v>
      </c>
      <c r="T3448" s="5"/>
      <c r="U3448" s="5" t="e">
        <f>IF(AND(#REF!&gt;=table!$C$10,#REF!&lt;= table!$D$10),-1,IF(AND(#REF!&gt;=table!$E$10,#REF!&lt;=table!$F$10),1,0))</f>
        <v>#REF!</v>
      </c>
      <c r="V3448" s="5" t="e">
        <f>IF(AND(#REF!&gt;=table!$C$11,#REF!&lt;= table!$D$11),-1,IF(AND(#REF!&gt;=table!$E$11,#REF!&lt;=table!$F$11),1,0))</f>
        <v>#REF!</v>
      </c>
      <c r="W3448" s="5" t="e">
        <f>CONCATENATE(dados[[#This Row],[fator1]],dados[[#This Row],[fator5]],dados[[#This Row],[fator6]])</f>
        <v>#REF!</v>
      </c>
    </row>
    <row r="3449" spans="1:23">
      <c r="A3449" t="s">
        <v>16</v>
      </c>
      <c r="B3449">
        <v>587167</v>
      </c>
      <c r="C3449">
        <v>0.15</v>
      </c>
      <c r="D3449">
        <v>40</v>
      </c>
      <c r="E3449">
        <v>10</v>
      </c>
      <c r="F3449">
        <v>15</v>
      </c>
      <c r="G3449">
        <v>0</v>
      </c>
      <c r="H3449">
        <v>15</v>
      </c>
      <c r="I3449">
        <v>643</v>
      </c>
      <c r="J3449">
        <v>0</v>
      </c>
      <c r="K3449">
        <v>3.375</v>
      </c>
      <c r="L3449">
        <v>6.3500000000000005</v>
      </c>
      <c r="M3449">
        <v>5.6000000000000005</v>
      </c>
      <c r="N3449">
        <v>12.450000000000001</v>
      </c>
      <c r="O3449">
        <v>1666</v>
      </c>
      <c r="P3449">
        <v>983</v>
      </c>
      <c r="Q3449" s="5" t="e">
        <f>IF(AND(#REF!&gt;=table!$C$6,#REF!&lt;= table!$D$6),-1,IF(AND(#REF!&gt;=table!$E$6,#REF!&lt;=table!$F$6),1,0))</f>
        <v>#REF!</v>
      </c>
      <c r="R3449" s="5" t="e">
        <f>IF(AND(#REF!&gt;=table!$C$7,#REF!&lt;= table!$D$7),-1,IF(AND(#REF!&gt;=table!$E$7,#REF!&lt;=table!$F$7),1,0))</f>
        <v>#REF!</v>
      </c>
      <c r="S3449" s="5" t="e">
        <f>IF(AND(#REF!&gt;=table!$C$8,#REF!&lt;= table!$D$8),-1,IF(AND(#REF!&gt;=table!$E$8,#REF!&lt;=table!$F$8),1,0))</f>
        <v>#REF!</v>
      </c>
      <c r="T3449" s="5"/>
      <c r="U3449" s="5" t="e">
        <f>IF(AND(#REF!&gt;=table!$C$10,#REF!&lt;= table!$D$10),-1,IF(AND(#REF!&gt;=table!$E$10,#REF!&lt;=table!$F$10),1,0))</f>
        <v>#REF!</v>
      </c>
      <c r="V3449" s="5" t="e">
        <f>IF(AND(#REF!&gt;=table!$C$11,#REF!&lt;= table!$D$11),-1,IF(AND(#REF!&gt;=table!$E$11,#REF!&lt;=table!$F$11),1,0))</f>
        <v>#REF!</v>
      </c>
      <c r="W3449" s="5" t="e">
        <f>CONCATENATE(dados[[#This Row],[fator1]],dados[[#This Row],[fator5]],dados[[#This Row],[fator6]])</f>
        <v>#REF!</v>
      </c>
    </row>
    <row r="3450" spans="1:23">
      <c r="A3450" t="s">
        <v>16</v>
      </c>
      <c r="B3450">
        <v>587168</v>
      </c>
      <c r="C3450">
        <v>3</v>
      </c>
      <c r="D3450">
        <v>30</v>
      </c>
      <c r="E3450">
        <v>21</v>
      </c>
      <c r="F3450">
        <v>15</v>
      </c>
      <c r="G3450">
        <v>0</v>
      </c>
      <c r="H3450">
        <v>25</v>
      </c>
      <c r="I3450">
        <v>569</v>
      </c>
      <c r="J3450">
        <v>0</v>
      </c>
      <c r="K3450">
        <v>3.52</v>
      </c>
      <c r="L3450">
        <v>6.55</v>
      </c>
      <c r="M3450">
        <v>6.69</v>
      </c>
      <c r="N3450">
        <v>7.3500000000000005</v>
      </c>
      <c r="O3450">
        <v>1664</v>
      </c>
      <c r="P3450">
        <v>703</v>
      </c>
      <c r="Q3450" s="5" t="e">
        <f>IF(AND(#REF!&gt;=table!$C$6,#REF!&lt;= table!$D$6),-1,IF(AND(#REF!&gt;=table!$E$6,#REF!&lt;=table!$F$6),1,0))</f>
        <v>#REF!</v>
      </c>
      <c r="R3450" s="5" t="e">
        <f>IF(AND(#REF!&gt;=table!$C$7,#REF!&lt;= table!$D$7),-1,IF(AND(#REF!&gt;=table!$E$7,#REF!&lt;=table!$F$7),1,0))</f>
        <v>#REF!</v>
      </c>
      <c r="S3450" s="5" t="e">
        <f>IF(AND(#REF!&gt;=table!$C$8,#REF!&lt;= table!$D$8),-1,IF(AND(#REF!&gt;=table!$E$8,#REF!&lt;=table!$F$8),1,0))</f>
        <v>#REF!</v>
      </c>
      <c r="T3450" s="5"/>
      <c r="U3450" s="5" t="e">
        <f>IF(AND(#REF!&gt;=table!$C$10,#REF!&lt;= table!$D$10),-1,IF(AND(#REF!&gt;=table!$E$10,#REF!&lt;=table!$F$10),1,0))</f>
        <v>#REF!</v>
      </c>
      <c r="V3450" s="5" t="e">
        <f>IF(AND(#REF!&gt;=table!$C$11,#REF!&lt;= table!$D$11),-1,IF(AND(#REF!&gt;=table!$E$11,#REF!&lt;=table!$F$11),1,0))</f>
        <v>#REF!</v>
      </c>
      <c r="W3450" s="5" t="e">
        <f>CONCATENATE(dados[[#This Row],[fator1]],dados[[#This Row],[fator5]],dados[[#This Row],[fator6]])</f>
        <v>#REF!</v>
      </c>
    </row>
    <row r="3451" spans="1:23">
      <c r="A3451" t="s">
        <v>16</v>
      </c>
      <c r="B3451">
        <v>587169</v>
      </c>
      <c r="C3451">
        <v>0.15</v>
      </c>
      <c r="D3451">
        <v>40</v>
      </c>
      <c r="E3451">
        <v>10</v>
      </c>
      <c r="F3451">
        <v>15</v>
      </c>
      <c r="G3451">
        <v>0</v>
      </c>
      <c r="H3451">
        <v>15</v>
      </c>
      <c r="I3451">
        <v>532</v>
      </c>
      <c r="J3451">
        <v>0</v>
      </c>
      <c r="K3451">
        <v>2.5569999999999999</v>
      </c>
      <c r="L3451">
        <v>7.09</v>
      </c>
      <c r="M3451">
        <v>5.5</v>
      </c>
      <c r="N3451">
        <v>7.9</v>
      </c>
      <c r="O3451">
        <v>1666</v>
      </c>
      <c r="P3451">
        <v>1036</v>
      </c>
      <c r="Q3451" s="5" t="e">
        <f>IF(AND(#REF!&gt;=table!$C$6,#REF!&lt;= table!$D$6),-1,IF(AND(#REF!&gt;=table!$E$6,#REF!&lt;=table!$F$6),1,0))</f>
        <v>#REF!</v>
      </c>
      <c r="R3451" s="5" t="e">
        <f>IF(AND(#REF!&gt;=table!$C$7,#REF!&lt;= table!$D$7),-1,IF(AND(#REF!&gt;=table!$E$7,#REF!&lt;=table!$F$7),1,0))</f>
        <v>#REF!</v>
      </c>
      <c r="S3451" s="5" t="e">
        <f>IF(AND(#REF!&gt;=table!$C$8,#REF!&lt;= table!$D$8),-1,IF(AND(#REF!&gt;=table!$E$8,#REF!&lt;=table!$F$8),1,0))</f>
        <v>#REF!</v>
      </c>
      <c r="T3451" s="5"/>
      <c r="U3451" s="5" t="e">
        <f>IF(AND(#REF!&gt;=table!$C$10,#REF!&lt;= table!$D$10),-1,IF(AND(#REF!&gt;=table!$E$10,#REF!&lt;=table!$F$10),1,0))</f>
        <v>#REF!</v>
      </c>
      <c r="V3451" s="5" t="e">
        <f>IF(AND(#REF!&gt;=table!$C$11,#REF!&lt;= table!$D$11),-1,IF(AND(#REF!&gt;=table!$E$11,#REF!&lt;=table!$F$11),1,0))</f>
        <v>#REF!</v>
      </c>
      <c r="W3451" s="5" t="e">
        <f>CONCATENATE(dados[[#This Row],[fator1]],dados[[#This Row],[fator5]],dados[[#This Row],[fator6]])</f>
        <v>#REF!</v>
      </c>
    </row>
    <row r="3452" spans="1:23">
      <c r="A3452" t="s">
        <v>16</v>
      </c>
      <c r="B3452">
        <v>587172</v>
      </c>
      <c r="C3452">
        <v>3</v>
      </c>
      <c r="D3452">
        <v>30</v>
      </c>
      <c r="E3452">
        <v>21</v>
      </c>
      <c r="F3452">
        <v>15</v>
      </c>
      <c r="G3452">
        <v>0</v>
      </c>
      <c r="H3452">
        <v>25</v>
      </c>
      <c r="I3452">
        <v>767</v>
      </c>
      <c r="J3452">
        <v>0</v>
      </c>
      <c r="K3452">
        <v>3.9450000000000003</v>
      </c>
      <c r="L3452">
        <v>6.55</v>
      </c>
      <c r="M3452">
        <v>16.649999999999999</v>
      </c>
      <c r="N3452">
        <v>11.55</v>
      </c>
      <c r="O3452">
        <v>1661</v>
      </c>
      <c r="P3452">
        <v>856</v>
      </c>
      <c r="Q3452" s="5" t="e">
        <f>IF(AND(#REF!&gt;=table!$C$6,#REF!&lt;= table!$D$6),-1,IF(AND(#REF!&gt;=table!$E$6,#REF!&lt;=table!$F$6),1,0))</f>
        <v>#REF!</v>
      </c>
      <c r="R3452" s="5" t="e">
        <f>IF(AND(#REF!&gt;=table!$C$7,#REF!&lt;= table!$D$7),-1,IF(AND(#REF!&gt;=table!$E$7,#REF!&lt;=table!$F$7),1,0))</f>
        <v>#REF!</v>
      </c>
      <c r="S3452" s="5" t="e">
        <f>IF(AND(#REF!&gt;=table!$C$8,#REF!&lt;= table!$D$8),-1,IF(AND(#REF!&gt;=table!$E$8,#REF!&lt;=table!$F$8),1,0))</f>
        <v>#REF!</v>
      </c>
      <c r="T3452" s="5"/>
      <c r="U3452" s="5" t="e">
        <f>IF(AND(#REF!&gt;=table!$C$10,#REF!&lt;= table!$D$10),-1,IF(AND(#REF!&gt;=table!$E$10,#REF!&lt;=table!$F$10),1,0))</f>
        <v>#REF!</v>
      </c>
      <c r="V3452" s="5" t="e">
        <f>IF(AND(#REF!&gt;=table!$C$11,#REF!&lt;= table!$D$11),-1,IF(AND(#REF!&gt;=table!$E$11,#REF!&lt;=table!$F$11),1,0))</f>
        <v>#REF!</v>
      </c>
      <c r="W3452" s="5" t="e">
        <f>CONCATENATE(dados[[#This Row],[fator1]],dados[[#This Row],[fator5]],dados[[#This Row],[fator6]])</f>
        <v>#REF!</v>
      </c>
    </row>
    <row r="3453" spans="1:23">
      <c r="A3453" t="s">
        <v>16</v>
      </c>
      <c r="B3453">
        <v>587173</v>
      </c>
      <c r="C3453">
        <v>0.15</v>
      </c>
      <c r="D3453">
        <v>40</v>
      </c>
      <c r="E3453">
        <v>10</v>
      </c>
      <c r="F3453">
        <v>15</v>
      </c>
      <c r="G3453">
        <v>0</v>
      </c>
      <c r="H3453">
        <v>15</v>
      </c>
      <c r="I3453">
        <v>0</v>
      </c>
      <c r="J3453">
        <v>0</v>
      </c>
      <c r="K3453">
        <v>4.96</v>
      </c>
      <c r="L3453">
        <v>8.9</v>
      </c>
      <c r="M3453">
        <v>8.14</v>
      </c>
      <c r="N3453">
        <v>10.775</v>
      </c>
      <c r="O3453">
        <v>1671</v>
      </c>
      <c r="P3453">
        <v>703</v>
      </c>
      <c r="Q3453" s="5" t="e">
        <f>IF(AND(#REF!&gt;=table!$C$6,#REF!&lt;= table!$D$6),-1,IF(AND(#REF!&gt;=table!$E$6,#REF!&lt;=table!$F$6),1,0))</f>
        <v>#REF!</v>
      </c>
      <c r="R3453" s="5" t="e">
        <f>IF(AND(#REF!&gt;=table!$C$7,#REF!&lt;= table!$D$7),-1,IF(AND(#REF!&gt;=table!$E$7,#REF!&lt;=table!$F$7),1,0))</f>
        <v>#REF!</v>
      </c>
      <c r="S3453" s="5" t="e">
        <f>IF(AND(#REF!&gt;=table!$C$8,#REF!&lt;= table!$D$8),-1,IF(AND(#REF!&gt;=table!$E$8,#REF!&lt;=table!$F$8),1,0))</f>
        <v>#REF!</v>
      </c>
      <c r="T3453" s="5"/>
      <c r="U3453" s="5" t="e">
        <f>IF(AND(#REF!&gt;=table!$C$10,#REF!&lt;= table!$D$10),-1,IF(AND(#REF!&gt;=table!$E$10,#REF!&lt;=table!$F$10),1,0))</f>
        <v>#REF!</v>
      </c>
      <c r="V3453" s="5" t="e">
        <f>IF(AND(#REF!&gt;=table!$C$11,#REF!&lt;= table!$D$11),-1,IF(AND(#REF!&gt;=table!$E$11,#REF!&lt;=table!$F$11),1,0))</f>
        <v>#REF!</v>
      </c>
      <c r="W3453" s="5" t="e">
        <f>CONCATENATE(dados[[#This Row],[fator1]],dados[[#This Row],[fator5]],dados[[#This Row],[fator6]])</f>
        <v>#REF!</v>
      </c>
    </row>
    <row r="3454" spans="1:23">
      <c r="A3454" t="s">
        <v>16</v>
      </c>
      <c r="B3454">
        <v>587175</v>
      </c>
      <c r="C3454">
        <v>0.15</v>
      </c>
      <c r="D3454">
        <v>40</v>
      </c>
      <c r="E3454">
        <v>10</v>
      </c>
      <c r="F3454">
        <v>15</v>
      </c>
      <c r="G3454">
        <v>0</v>
      </c>
      <c r="H3454">
        <v>15</v>
      </c>
      <c r="I3454">
        <v>750</v>
      </c>
      <c r="J3454">
        <v>0</v>
      </c>
      <c r="K3454">
        <v>3.91</v>
      </c>
      <c r="L3454">
        <v>10.950000000000001</v>
      </c>
      <c r="M3454">
        <v>8.9</v>
      </c>
      <c r="N3454">
        <v>13.9</v>
      </c>
      <c r="O3454">
        <v>1674</v>
      </c>
      <c r="P3454">
        <v>762</v>
      </c>
      <c r="Q3454" s="5" t="e">
        <f>IF(AND(#REF!&gt;=table!$C$6,#REF!&lt;= table!$D$6),-1,IF(AND(#REF!&gt;=table!$E$6,#REF!&lt;=table!$F$6),1,0))</f>
        <v>#REF!</v>
      </c>
      <c r="R3454" s="5" t="e">
        <f>IF(AND(#REF!&gt;=table!$C$7,#REF!&lt;= table!$D$7),-1,IF(AND(#REF!&gt;=table!$E$7,#REF!&lt;=table!$F$7),1,0))</f>
        <v>#REF!</v>
      </c>
      <c r="S3454" s="5" t="e">
        <f>IF(AND(#REF!&gt;=table!$C$8,#REF!&lt;= table!$D$8),-1,IF(AND(#REF!&gt;=table!$E$8,#REF!&lt;=table!$F$8),1,0))</f>
        <v>#REF!</v>
      </c>
      <c r="T3454" s="5"/>
      <c r="U3454" s="5" t="e">
        <f>IF(AND(#REF!&gt;=table!$C$10,#REF!&lt;= table!$D$10),-1,IF(AND(#REF!&gt;=table!$E$10,#REF!&lt;=table!$F$10),1,0))</f>
        <v>#REF!</v>
      </c>
      <c r="V3454" s="5" t="e">
        <f>IF(AND(#REF!&gt;=table!$C$11,#REF!&lt;= table!$D$11),-1,IF(AND(#REF!&gt;=table!$E$11,#REF!&lt;=table!$F$11),1,0))</f>
        <v>#REF!</v>
      </c>
      <c r="W3454" s="5" t="e">
        <f>CONCATENATE(dados[[#This Row],[fator1]],dados[[#This Row],[fator5]],dados[[#This Row],[fator6]])</f>
        <v>#REF!</v>
      </c>
    </row>
    <row r="3455" spans="1:23">
      <c r="A3455" t="s">
        <v>17</v>
      </c>
      <c r="B3455">
        <v>587179</v>
      </c>
      <c r="C3455">
        <v>0.15</v>
      </c>
      <c r="D3455">
        <v>40</v>
      </c>
      <c r="E3455">
        <v>105</v>
      </c>
      <c r="F3455">
        <v>10</v>
      </c>
      <c r="G3455">
        <v>10</v>
      </c>
      <c r="H3455">
        <v>80</v>
      </c>
      <c r="I3455">
        <v>881</v>
      </c>
      <c r="J3455">
        <v>0</v>
      </c>
      <c r="K3455">
        <v>2.7075</v>
      </c>
      <c r="L3455">
        <v>8.9250000000000007</v>
      </c>
      <c r="M3455">
        <v>7.4</v>
      </c>
      <c r="N3455">
        <v>38.1</v>
      </c>
      <c r="O3455">
        <v>1675</v>
      </c>
      <c r="P3455">
        <v>0</v>
      </c>
      <c r="Q3455" s="5" t="e">
        <f>IF(AND(#REF!&gt;=table!$C$6,#REF!&lt;= table!$D$6),-1,IF(AND(#REF!&gt;=table!$E$6,#REF!&lt;=table!$F$6),1,0))</f>
        <v>#REF!</v>
      </c>
      <c r="R3455" s="5" t="e">
        <f>IF(AND(#REF!&gt;=table!$C$7,#REF!&lt;= table!$D$7),-1,IF(AND(#REF!&gt;=table!$E$7,#REF!&lt;=table!$F$7),1,0))</f>
        <v>#REF!</v>
      </c>
      <c r="S3455" s="5" t="e">
        <f>IF(AND(#REF!&gt;=table!$C$8,#REF!&lt;= table!$D$8),-1,IF(AND(#REF!&gt;=table!$E$8,#REF!&lt;=table!$F$8),1,0))</f>
        <v>#REF!</v>
      </c>
      <c r="T3455" s="5"/>
      <c r="U3455" s="5" t="e">
        <f>IF(AND(#REF!&gt;=table!$C$10,#REF!&lt;= table!$D$10),-1,IF(AND(#REF!&gt;=table!$E$10,#REF!&lt;=table!$F$10),1,0))</f>
        <v>#REF!</v>
      </c>
      <c r="V3455" s="5" t="e">
        <f>IF(AND(#REF!&gt;=table!$C$11,#REF!&lt;= table!$D$11),-1,IF(AND(#REF!&gt;=table!$E$11,#REF!&lt;=table!$F$11),1,0))</f>
        <v>#REF!</v>
      </c>
      <c r="W3455" s="5" t="e">
        <f>CONCATENATE(dados[[#This Row],[fator1]],dados[[#This Row],[fator5]],dados[[#This Row],[fator6]])</f>
        <v>#REF!</v>
      </c>
    </row>
    <row r="3456" spans="1:23">
      <c r="A3456" t="s">
        <v>16</v>
      </c>
      <c r="B3456">
        <v>587188</v>
      </c>
      <c r="C3456">
        <v>0.15</v>
      </c>
      <c r="D3456">
        <v>40</v>
      </c>
      <c r="E3456">
        <v>64</v>
      </c>
      <c r="F3456">
        <v>10</v>
      </c>
      <c r="G3456">
        <v>0</v>
      </c>
      <c r="H3456">
        <v>35</v>
      </c>
      <c r="I3456">
        <v>977</v>
      </c>
      <c r="J3456">
        <v>0</v>
      </c>
      <c r="K3456">
        <v>3.33</v>
      </c>
      <c r="L3456">
        <v>4.55</v>
      </c>
      <c r="M3456">
        <v>5.21</v>
      </c>
      <c r="N3456">
        <v>8.89</v>
      </c>
      <c r="O3456">
        <v>1681</v>
      </c>
      <c r="P3456">
        <v>1127</v>
      </c>
      <c r="Q3456" s="5" t="e">
        <f>IF(AND(#REF!&gt;=table!$C$6,#REF!&lt;= table!$D$6),-1,IF(AND(#REF!&gt;=table!$E$6,#REF!&lt;=table!$F$6),1,0))</f>
        <v>#REF!</v>
      </c>
      <c r="R3456" s="5" t="e">
        <f>IF(AND(#REF!&gt;=table!$C$7,#REF!&lt;= table!$D$7),-1,IF(AND(#REF!&gt;=table!$E$7,#REF!&lt;=table!$F$7),1,0))</f>
        <v>#REF!</v>
      </c>
      <c r="S3456" s="5" t="e">
        <f>IF(AND(#REF!&gt;=table!$C$8,#REF!&lt;= table!$D$8),-1,IF(AND(#REF!&gt;=table!$E$8,#REF!&lt;=table!$F$8),1,0))</f>
        <v>#REF!</v>
      </c>
      <c r="T3456" s="5"/>
      <c r="U3456" s="5" t="e">
        <f>IF(AND(#REF!&gt;=table!$C$10,#REF!&lt;= table!$D$10),-1,IF(AND(#REF!&gt;=table!$E$10,#REF!&lt;=table!$F$10),1,0))</f>
        <v>#REF!</v>
      </c>
      <c r="V3456" s="5" t="e">
        <f>IF(AND(#REF!&gt;=table!$C$11,#REF!&lt;= table!$D$11),-1,IF(AND(#REF!&gt;=table!$E$11,#REF!&lt;=table!$F$11),1,0))</f>
        <v>#REF!</v>
      </c>
      <c r="W3456" s="5" t="e">
        <f>CONCATENATE(dados[[#This Row],[fator1]],dados[[#This Row],[fator5]],dados[[#This Row],[fator6]])</f>
        <v>#REF!</v>
      </c>
    </row>
    <row r="3457" spans="1:23">
      <c r="A3457" t="s">
        <v>16</v>
      </c>
      <c r="B3457">
        <v>587195</v>
      </c>
      <c r="C3457">
        <v>0.1</v>
      </c>
      <c r="D3457">
        <v>35</v>
      </c>
      <c r="E3457">
        <v>10</v>
      </c>
      <c r="F3457">
        <v>10</v>
      </c>
      <c r="G3457">
        <v>0</v>
      </c>
      <c r="H3457">
        <v>12</v>
      </c>
      <c r="I3457">
        <v>152</v>
      </c>
      <c r="J3457">
        <v>0</v>
      </c>
      <c r="K3457">
        <v>3.66</v>
      </c>
      <c r="L3457">
        <v>9.1</v>
      </c>
      <c r="M3457">
        <v>8.5</v>
      </c>
      <c r="N3457">
        <v>11.05</v>
      </c>
      <c r="O3457">
        <v>1677</v>
      </c>
      <c r="P3457">
        <v>881</v>
      </c>
      <c r="Q3457" s="5" t="e">
        <f>IF(AND(#REF!&gt;=table!$C$6,#REF!&lt;= table!$D$6),-1,IF(AND(#REF!&gt;=table!$E$6,#REF!&lt;=table!$F$6),1,0))</f>
        <v>#REF!</v>
      </c>
      <c r="R3457" s="5" t="e">
        <f>IF(AND(#REF!&gt;=table!$C$7,#REF!&lt;= table!$D$7),-1,IF(AND(#REF!&gt;=table!$E$7,#REF!&lt;=table!$F$7),1,0))</f>
        <v>#REF!</v>
      </c>
      <c r="S3457" s="5" t="e">
        <f>IF(AND(#REF!&gt;=table!$C$8,#REF!&lt;= table!$D$8),-1,IF(AND(#REF!&gt;=table!$E$8,#REF!&lt;=table!$F$8),1,0))</f>
        <v>#REF!</v>
      </c>
      <c r="T3457" s="5"/>
      <c r="U3457" s="5" t="e">
        <f>IF(AND(#REF!&gt;=table!$C$10,#REF!&lt;= table!$D$10),-1,IF(AND(#REF!&gt;=table!$E$10,#REF!&lt;=table!$F$10),1,0))</f>
        <v>#REF!</v>
      </c>
      <c r="V3457" s="5" t="e">
        <f>IF(AND(#REF!&gt;=table!$C$11,#REF!&lt;= table!$D$11),-1,IF(AND(#REF!&gt;=table!$E$11,#REF!&lt;=table!$F$11),1,0))</f>
        <v>#REF!</v>
      </c>
      <c r="W3457" s="5" t="e">
        <f>CONCATENATE(dados[[#This Row],[fator1]],dados[[#This Row],[fator5]],dados[[#This Row],[fator6]])</f>
        <v>#REF!</v>
      </c>
    </row>
    <row r="3458" spans="1:23">
      <c r="A3458" t="s">
        <v>16</v>
      </c>
      <c r="B3458">
        <v>587196</v>
      </c>
      <c r="C3458">
        <v>0.1</v>
      </c>
      <c r="D3458">
        <v>35</v>
      </c>
      <c r="E3458">
        <v>10</v>
      </c>
      <c r="F3458">
        <v>10</v>
      </c>
      <c r="G3458">
        <v>0</v>
      </c>
      <c r="H3458">
        <v>12</v>
      </c>
      <c r="I3458">
        <v>782</v>
      </c>
      <c r="J3458">
        <v>0</v>
      </c>
      <c r="K3458">
        <v>2.33</v>
      </c>
      <c r="L3458">
        <v>7.65</v>
      </c>
      <c r="M3458">
        <v>7</v>
      </c>
      <c r="N3458">
        <v>10.9</v>
      </c>
      <c r="O3458">
        <v>1686</v>
      </c>
      <c r="P3458">
        <v>1395</v>
      </c>
      <c r="Q3458" s="5" t="e">
        <f>IF(AND(#REF!&gt;=table!$C$6,#REF!&lt;= table!$D$6),-1,IF(AND(#REF!&gt;=table!$E$6,#REF!&lt;=table!$F$6),1,0))</f>
        <v>#REF!</v>
      </c>
      <c r="R3458" s="5" t="e">
        <f>IF(AND(#REF!&gt;=table!$C$7,#REF!&lt;= table!$D$7),-1,IF(AND(#REF!&gt;=table!$E$7,#REF!&lt;=table!$F$7),1,0))</f>
        <v>#REF!</v>
      </c>
      <c r="S3458" s="5" t="e">
        <f>IF(AND(#REF!&gt;=table!$C$8,#REF!&lt;= table!$D$8),-1,IF(AND(#REF!&gt;=table!$E$8,#REF!&lt;=table!$F$8),1,0))</f>
        <v>#REF!</v>
      </c>
      <c r="T3458" s="5"/>
      <c r="U3458" s="5" t="e">
        <f>IF(AND(#REF!&gt;=table!$C$10,#REF!&lt;= table!$D$10),-1,IF(AND(#REF!&gt;=table!$E$10,#REF!&lt;=table!$F$10),1,0))</f>
        <v>#REF!</v>
      </c>
      <c r="V3458" s="5" t="e">
        <f>IF(AND(#REF!&gt;=table!$C$11,#REF!&lt;= table!$D$11),-1,IF(AND(#REF!&gt;=table!$E$11,#REF!&lt;=table!$F$11),1,0))</f>
        <v>#REF!</v>
      </c>
      <c r="W3458" s="5" t="e">
        <f>CONCATENATE(dados[[#This Row],[fator1]],dados[[#This Row],[fator5]],dados[[#This Row],[fator6]])</f>
        <v>#REF!</v>
      </c>
    </row>
    <row r="3459" spans="1:23">
      <c r="A3459" t="s">
        <v>17</v>
      </c>
      <c r="B3459">
        <v>587197</v>
      </c>
      <c r="C3459">
        <v>18</v>
      </c>
      <c r="D3459">
        <v>23</v>
      </c>
      <c r="E3459">
        <v>145</v>
      </c>
      <c r="F3459">
        <v>9</v>
      </c>
      <c r="G3459">
        <v>30</v>
      </c>
      <c r="H3459">
        <v>25</v>
      </c>
      <c r="I3459">
        <v>910</v>
      </c>
      <c r="J3459">
        <v>0</v>
      </c>
      <c r="K3459">
        <v>4.835</v>
      </c>
      <c r="L3459">
        <v>10.050000000000001</v>
      </c>
      <c r="M3459">
        <v>69.95</v>
      </c>
      <c r="N3459">
        <v>8.3000000000000007</v>
      </c>
      <c r="O3459">
        <v>1677</v>
      </c>
      <c r="P3459">
        <v>694</v>
      </c>
      <c r="Q3459" s="5" t="e">
        <f>IF(AND(#REF!&gt;=table!$C$6,#REF!&lt;= table!$D$6),-1,IF(AND(#REF!&gt;=table!$E$6,#REF!&lt;=table!$F$6),1,0))</f>
        <v>#REF!</v>
      </c>
      <c r="R3459" s="5" t="e">
        <f>IF(AND(#REF!&gt;=table!$C$7,#REF!&lt;= table!$D$7),-1,IF(AND(#REF!&gt;=table!$E$7,#REF!&lt;=table!$F$7),1,0))</f>
        <v>#REF!</v>
      </c>
      <c r="S3459" s="5" t="e">
        <f>IF(AND(#REF!&gt;=table!$C$8,#REF!&lt;= table!$D$8),-1,IF(AND(#REF!&gt;=table!$E$8,#REF!&lt;=table!$F$8),1,0))</f>
        <v>#REF!</v>
      </c>
      <c r="T3459" s="5"/>
      <c r="U3459" s="5" t="e">
        <f>IF(AND(#REF!&gt;=table!$C$10,#REF!&lt;= table!$D$10),-1,IF(AND(#REF!&gt;=table!$E$10,#REF!&lt;=table!$F$10),1,0))</f>
        <v>#REF!</v>
      </c>
      <c r="V3459" s="5" t="e">
        <f>IF(AND(#REF!&gt;=table!$C$11,#REF!&lt;= table!$D$11),-1,IF(AND(#REF!&gt;=table!$E$11,#REF!&lt;=table!$F$11),1,0))</f>
        <v>#REF!</v>
      </c>
      <c r="W3459" s="5" t="e">
        <f>CONCATENATE(dados[[#This Row],[fator1]],dados[[#This Row],[fator5]],dados[[#This Row],[fator6]])</f>
        <v>#REF!</v>
      </c>
    </row>
    <row r="3460" spans="1:23">
      <c r="A3460" t="s">
        <v>16</v>
      </c>
      <c r="B3460">
        <v>587198</v>
      </c>
      <c r="C3460">
        <v>4</v>
      </c>
      <c r="D3460">
        <v>40</v>
      </c>
      <c r="E3460">
        <v>21</v>
      </c>
      <c r="F3460">
        <v>20</v>
      </c>
      <c r="G3460">
        <v>0</v>
      </c>
      <c r="H3460">
        <v>25</v>
      </c>
      <c r="I3460">
        <v>1080</v>
      </c>
      <c r="J3460">
        <v>0</v>
      </c>
      <c r="K3460">
        <v>4.085</v>
      </c>
      <c r="L3460">
        <v>5.9250000000000007</v>
      </c>
      <c r="M3460">
        <v>6.26</v>
      </c>
      <c r="N3460">
        <v>5.5449999999999999</v>
      </c>
      <c r="O3460">
        <v>1683</v>
      </c>
      <c r="P3460">
        <v>845</v>
      </c>
      <c r="Q3460" s="5" t="e">
        <f>IF(AND(#REF!&gt;=table!$C$6,#REF!&lt;= table!$D$6),-1,IF(AND(#REF!&gt;=table!$E$6,#REF!&lt;=table!$F$6),1,0))</f>
        <v>#REF!</v>
      </c>
      <c r="R3460" s="5" t="e">
        <f>IF(AND(#REF!&gt;=table!$C$7,#REF!&lt;= table!$D$7),-1,IF(AND(#REF!&gt;=table!$E$7,#REF!&lt;=table!$F$7),1,0))</f>
        <v>#REF!</v>
      </c>
      <c r="S3460" s="5" t="e">
        <f>IF(AND(#REF!&gt;=table!$C$8,#REF!&lt;= table!$D$8),-1,IF(AND(#REF!&gt;=table!$E$8,#REF!&lt;=table!$F$8),1,0))</f>
        <v>#REF!</v>
      </c>
      <c r="T3460" s="5"/>
      <c r="U3460" s="5" t="e">
        <f>IF(AND(#REF!&gt;=table!$C$10,#REF!&lt;= table!$D$10),-1,IF(AND(#REF!&gt;=table!$E$10,#REF!&lt;=table!$F$10),1,0))</f>
        <v>#REF!</v>
      </c>
      <c r="V3460" s="5" t="e">
        <f>IF(AND(#REF!&gt;=table!$C$11,#REF!&lt;= table!$D$11),-1,IF(AND(#REF!&gt;=table!$E$11,#REF!&lt;=table!$F$11),1,0))</f>
        <v>#REF!</v>
      </c>
      <c r="W3460" s="5" t="e">
        <f>CONCATENATE(dados[[#This Row],[fator1]],dados[[#This Row],[fator5]],dados[[#This Row],[fator6]])</f>
        <v>#REF!</v>
      </c>
    </row>
    <row r="3461" spans="1:23">
      <c r="A3461" t="s">
        <v>16</v>
      </c>
      <c r="B3461">
        <v>587204</v>
      </c>
      <c r="C3461">
        <v>4</v>
      </c>
      <c r="D3461">
        <v>40</v>
      </c>
      <c r="E3461">
        <v>21</v>
      </c>
      <c r="F3461">
        <v>10</v>
      </c>
      <c r="G3461">
        <v>0</v>
      </c>
      <c r="H3461">
        <v>25</v>
      </c>
      <c r="I3461">
        <v>1537</v>
      </c>
      <c r="J3461">
        <v>860</v>
      </c>
      <c r="K3461">
        <v>11.14</v>
      </c>
      <c r="L3461">
        <v>8.5500000000000007</v>
      </c>
      <c r="M3461">
        <v>16.3</v>
      </c>
      <c r="N3461">
        <v>10.5</v>
      </c>
      <c r="O3461">
        <v>1659</v>
      </c>
      <c r="P3461">
        <v>0</v>
      </c>
      <c r="Q3461" s="5" t="e">
        <f>IF(AND(#REF!&gt;=table!$C$6,#REF!&lt;= table!$D$6),-1,IF(AND(#REF!&gt;=table!$E$6,#REF!&lt;=table!$F$6),1,0))</f>
        <v>#REF!</v>
      </c>
      <c r="R3461" s="5" t="e">
        <f>IF(AND(#REF!&gt;=table!$C$7,#REF!&lt;= table!$D$7),-1,IF(AND(#REF!&gt;=table!$E$7,#REF!&lt;=table!$F$7),1,0))</f>
        <v>#REF!</v>
      </c>
      <c r="S3461" s="5" t="e">
        <f>IF(AND(#REF!&gt;=table!$C$8,#REF!&lt;= table!$D$8),-1,IF(AND(#REF!&gt;=table!$E$8,#REF!&lt;=table!$F$8),1,0))</f>
        <v>#REF!</v>
      </c>
      <c r="T3461" s="5"/>
      <c r="U3461" s="5" t="e">
        <f>IF(AND(#REF!&gt;=table!$C$10,#REF!&lt;= table!$D$10),-1,IF(AND(#REF!&gt;=table!$E$10,#REF!&lt;=table!$F$10),1,0))</f>
        <v>#REF!</v>
      </c>
      <c r="V3461" s="5" t="e">
        <f>IF(AND(#REF!&gt;=table!$C$11,#REF!&lt;= table!$D$11),-1,IF(AND(#REF!&gt;=table!$E$11,#REF!&lt;=table!$F$11),1,0))</f>
        <v>#REF!</v>
      </c>
      <c r="W3461" s="5" t="e">
        <f>CONCATENATE(dados[[#This Row],[fator1]],dados[[#This Row],[fator5]],dados[[#This Row],[fator6]])</f>
        <v>#REF!</v>
      </c>
    </row>
    <row r="3462" spans="1:23">
      <c r="A3462" t="s">
        <v>16</v>
      </c>
      <c r="B3462">
        <v>587228</v>
      </c>
      <c r="C3462">
        <v>13</v>
      </c>
      <c r="D3462">
        <v>35</v>
      </c>
      <c r="E3462">
        <v>120</v>
      </c>
      <c r="F3462">
        <v>10</v>
      </c>
      <c r="G3462">
        <v>0</v>
      </c>
      <c r="H3462">
        <v>25</v>
      </c>
      <c r="I3462">
        <v>3</v>
      </c>
      <c r="J3462">
        <v>0</v>
      </c>
      <c r="K3462">
        <v>4.09</v>
      </c>
      <c r="L3462">
        <v>12.6</v>
      </c>
      <c r="M3462">
        <v>121.995</v>
      </c>
      <c r="N3462">
        <v>22.375</v>
      </c>
      <c r="O3462">
        <v>1700</v>
      </c>
      <c r="P3462">
        <v>845</v>
      </c>
      <c r="Q3462" s="5" t="e">
        <f>IF(AND(#REF!&gt;=table!$C$6,#REF!&lt;= table!$D$6),-1,IF(AND(#REF!&gt;=table!$E$6,#REF!&lt;=table!$F$6),1,0))</f>
        <v>#REF!</v>
      </c>
      <c r="R3462" s="5" t="e">
        <f>IF(AND(#REF!&gt;=table!$C$7,#REF!&lt;= table!$D$7),-1,IF(AND(#REF!&gt;=table!$E$7,#REF!&lt;=table!$F$7),1,0))</f>
        <v>#REF!</v>
      </c>
      <c r="S3462" s="5" t="e">
        <f>IF(AND(#REF!&gt;=table!$C$8,#REF!&lt;= table!$D$8),-1,IF(AND(#REF!&gt;=table!$E$8,#REF!&lt;=table!$F$8),1,0))</f>
        <v>#REF!</v>
      </c>
      <c r="T3462" s="5"/>
      <c r="U3462" s="5" t="e">
        <f>IF(AND(#REF!&gt;=table!$C$10,#REF!&lt;= table!$D$10),-1,IF(AND(#REF!&gt;=table!$E$10,#REF!&lt;=table!$F$10),1,0))</f>
        <v>#REF!</v>
      </c>
      <c r="V3462" s="5" t="e">
        <f>IF(AND(#REF!&gt;=table!$C$11,#REF!&lt;= table!$D$11),-1,IF(AND(#REF!&gt;=table!$E$11,#REF!&lt;=table!$F$11),1,0))</f>
        <v>#REF!</v>
      </c>
      <c r="W3462" s="5" t="e">
        <f>CONCATENATE(dados[[#This Row],[fator1]],dados[[#This Row],[fator5]],dados[[#This Row],[fator6]])</f>
        <v>#REF!</v>
      </c>
    </row>
    <row r="3463" spans="1:23">
      <c r="A3463" t="s">
        <v>16</v>
      </c>
      <c r="B3463">
        <v>587230</v>
      </c>
      <c r="C3463">
        <v>13</v>
      </c>
      <c r="D3463">
        <v>35</v>
      </c>
      <c r="E3463">
        <v>120</v>
      </c>
      <c r="F3463">
        <v>10</v>
      </c>
      <c r="G3463">
        <v>0</v>
      </c>
      <c r="H3463">
        <v>25</v>
      </c>
      <c r="I3463">
        <v>20</v>
      </c>
      <c r="J3463">
        <v>0</v>
      </c>
      <c r="K3463">
        <v>5.4950000000000001</v>
      </c>
      <c r="L3463">
        <v>10</v>
      </c>
      <c r="M3463">
        <v>90.7</v>
      </c>
      <c r="N3463">
        <v>14.950000000000001</v>
      </c>
      <c r="O3463">
        <v>1675</v>
      </c>
      <c r="P3463">
        <v>553</v>
      </c>
      <c r="Q3463" s="5" t="e">
        <f>IF(AND(#REF!&gt;=table!$C$6,#REF!&lt;= table!$D$6),-1,IF(AND(#REF!&gt;=table!$E$6,#REF!&lt;=table!$F$6),1,0))</f>
        <v>#REF!</v>
      </c>
      <c r="R3463" s="5" t="e">
        <f>IF(AND(#REF!&gt;=table!$C$7,#REF!&lt;= table!$D$7),-1,IF(AND(#REF!&gt;=table!$E$7,#REF!&lt;=table!$F$7),1,0))</f>
        <v>#REF!</v>
      </c>
      <c r="S3463" s="5" t="e">
        <f>IF(AND(#REF!&gt;=table!$C$8,#REF!&lt;= table!$D$8),-1,IF(AND(#REF!&gt;=table!$E$8,#REF!&lt;=table!$F$8),1,0))</f>
        <v>#REF!</v>
      </c>
      <c r="T3463" s="5"/>
      <c r="U3463" s="5" t="e">
        <f>IF(AND(#REF!&gt;=table!$C$10,#REF!&lt;= table!$D$10),-1,IF(AND(#REF!&gt;=table!$E$10,#REF!&lt;=table!$F$10),1,0))</f>
        <v>#REF!</v>
      </c>
      <c r="V3463" s="5" t="e">
        <f>IF(AND(#REF!&gt;=table!$C$11,#REF!&lt;= table!$D$11),-1,IF(AND(#REF!&gt;=table!$E$11,#REF!&lt;=table!$F$11),1,0))</f>
        <v>#REF!</v>
      </c>
      <c r="W3463" s="5" t="e">
        <f>CONCATENATE(dados[[#This Row],[fator1]],dados[[#This Row],[fator5]],dados[[#This Row],[fator6]])</f>
        <v>#REF!</v>
      </c>
    </row>
    <row r="3464" spans="1:23">
      <c r="A3464" t="s">
        <v>17</v>
      </c>
      <c r="B3464">
        <v>587233</v>
      </c>
      <c r="C3464">
        <v>12</v>
      </c>
      <c r="D3464">
        <v>30</v>
      </c>
      <c r="E3464">
        <v>115</v>
      </c>
      <c r="F3464">
        <v>4</v>
      </c>
      <c r="G3464">
        <v>25</v>
      </c>
      <c r="H3464">
        <v>21</v>
      </c>
      <c r="I3464">
        <v>61</v>
      </c>
      <c r="J3464">
        <v>0</v>
      </c>
      <c r="K3464">
        <v>2.2909999999999999</v>
      </c>
      <c r="L3464">
        <v>7.1000000000000005</v>
      </c>
      <c r="M3464">
        <v>105.35000000000001</v>
      </c>
      <c r="N3464">
        <v>11.05</v>
      </c>
      <c r="O3464">
        <v>1678</v>
      </c>
      <c r="P3464">
        <v>0</v>
      </c>
      <c r="Q3464" s="5" t="e">
        <f>IF(AND(#REF!&gt;=table!$C$6,#REF!&lt;= table!$D$6),-1,IF(AND(#REF!&gt;=table!$E$6,#REF!&lt;=table!$F$6),1,0))</f>
        <v>#REF!</v>
      </c>
      <c r="R3464" s="5" t="e">
        <f>IF(AND(#REF!&gt;=table!$C$7,#REF!&lt;= table!$D$7),-1,IF(AND(#REF!&gt;=table!$E$7,#REF!&lt;=table!$F$7),1,0))</f>
        <v>#REF!</v>
      </c>
      <c r="S3464" s="5" t="e">
        <f>IF(AND(#REF!&gt;=table!$C$8,#REF!&lt;= table!$D$8),-1,IF(AND(#REF!&gt;=table!$E$8,#REF!&lt;=table!$F$8),1,0))</f>
        <v>#REF!</v>
      </c>
      <c r="T3464" s="5"/>
      <c r="U3464" s="5" t="e">
        <f>IF(AND(#REF!&gt;=table!$C$10,#REF!&lt;= table!$D$10),-1,IF(AND(#REF!&gt;=table!$E$10,#REF!&lt;=table!$F$10),1,0))</f>
        <v>#REF!</v>
      </c>
      <c r="V3464" s="5" t="e">
        <f>IF(AND(#REF!&gt;=table!$C$11,#REF!&lt;= table!$D$11),-1,IF(AND(#REF!&gt;=table!$E$11,#REF!&lt;=table!$F$11),1,0))</f>
        <v>#REF!</v>
      </c>
      <c r="W3464" s="5" t="e">
        <f>CONCATENATE(dados[[#This Row],[fator1]],dados[[#This Row],[fator5]],dados[[#This Row],[fator6]])</f>
        <v>#REF!</v>
      </c>
    </row>
    <row r="3465" spans="1:23">
      <c r="A3465" t="s">
        <v>17</v>
      </c>
      <c r="B3465">
        <v>587234</v>
      </c>
      <c r="C3465">
        <v>15</v>
      </c>
      <c r="D3465">
        <v>35</v>
      </c>
      <c r="E3465">
        <v>120</v>
      </c>
      <c r="F3465">
        <v>4</v>
      </c>
      <c r="G3465">
        <v>15</v>
      </c>
      <c r="H3465">
        <v>20</v>
      </c>
      <c r="I3465">
        <v>24</v>
      </c>
      <c r="J3465">
        <v>0</v>
      </c>
      <c r="K3465">
        <v>4.45</v>
      </c>
      <c r="L3465">
        <v>7.8900000000000006</v>
      </c>
      <c r="M3465">
        <v>98.05</v>
      </c>
      <c r="N3465">
        <v>12.4</v>
      </c>
      <c r="O3465">
        <v>1675</v>
      </c>
      <c r="P3465">
        <v>889</v>
      </c>
      <c r="Q3465" s="5" t="e">
        <f>IF(AND(#REF!&gt;=table!$C$6,#REF!&lt;= table!$D$6),-1,IF(AND(#REF!&gt;=table!$E$6,#REF!&lt;=table!$F$6),1,0))</f>
        <v>#REF!</v>
      </c>
      <c r="R3465" s="5" t="e">
        <f>IF(AND(#REF!&gt;=table!$C$7,#REF!&lt;= table!$D$7),-1,IF(AND(#REF!&gt;=table!$E$7,#REF!&lt;=table!$F$7),1,0))</f>
        <v>#REF!</v>
      </c>
      <c r="S3465" s="5" t="e">
        <f>IF(AND(#REF!&gt;=table!$C$8,#REF!&lt;= table!$D$8),-1,IF(AND(#REF!&gt;=table!$E$8,#REF!&lt;=table!$F$8),1,0))</f>
        <v>#REF!</v>
      </c>
      <c r="T3465" s="5"/>
      <c r="U3465" s="5" t="e">
        <f>IF(AND(#REF!&gt;=table!$C$10,#REF!&lt;= table!$D$10),-1,IF(AND(#REF!&gt;=table!$E$10,#REF!&lt;=table!$F$10),1,0))</f>
        <v>#REF!</v>
      </c>
      <c r="V3465" s="5" t="e">
        <f>IF(AND(#REF!&gt;=table!$C$11,#REF!&lt;= table!$D$11),-1,IF(AND(#REF!&gt;=table!$E$11,#REF!&lt;=table!$F$11),1,0))</f>
        <v>#REF!</v>
      </c>
      <c r="W3465" s="5" t="e">
        <f>CONCATENATE(dados[[#This Row],[fator1]],dados[[#This Row],[fator5]],dados[[#This Row],[fator6]])</f>
        <v>#REF!</v>
      </c>
    </row>
    <row r="3466" spans="1:23">
      <c r="A3466" t="s">
        <v>16</v>
      </c>
      <c r="B3466">
        <v>587235</v>
      </c>
      <c r="C3466">
        <v>11</v>
      </c>
      <c r="D3466">
        <v>40</v>
      </c>
      <c r="E3466">
        <v>151</v>
      </c>
      <c r="F3466">
        <v>8</v>
      </c>
      <c r="G3466">
        <v>0</v>
      </c>
      <c r="H3466">
        <v>25</v>
      </c>
      <c r="I3466">
        <v>564</v>
      </c>
      <c r="J3466">
        <v>0</v>
      </c>
      <c r="K3466">
        <v>2.113</v>
      </c>
      <c r="L3466">
        <v>5.9850000000000003</v>
      </c>
      <c r="M3466">
        <v>66.95</v>
      </c>
      <c r="N3466">
        <v>11.05</v>
      </c>
      <c r="O3466">
        <v>1686</v>
      </c>
      <c r="P3466">
        <v>0</v>
      </c>
      <c r="Q3466" s="5" t="e">
        <f>IF(AND(#REF!&gt;=table!$C$6,#REF!&lt;= table!$D$6),-1,IF(AND(#REF!&gt;=table!$E$6,#REF!&lt;=table!$F$6),1,0))</f>
        <v>#REF!</v>
      </c>
      <c r="R3466" s="5" t="e">
        <f>IF(AND(#REF!&gt;=table!$C$7,#REF!&lt;= table!$D$7),-1,IF(AND(#REF!&gt;=table!$E$7,#REF!&lt;=table!$F$7),1,0))</f>
        <v>#REF!</v>
      </c>
      <c r="S3466" s="5" t="e">
        <f>IF(AND(#REF!&gt;=table!$C$8,#REF!&lt;= table!$D$8),-1,IF(AND(#REF!&gt;=table!$E$8,#REF!&lt;=table!$F$8),1,0))</f>
        <v>#REF!</v>
      </c>
      <c r="T3466" s="5"/>
      <c r="U3466" s="5" t="e">
        <f>IF(AND(#REF!&gt;=table!$C$10,#REF!&lt;= table!$D$10),-1,IF(AND(#REF!&gt;=table!$E$10,#REF!&lt;=table!$F$10),1,0))</f>
        <v>#REF!</v>
      </c>
      <c r="V3466" s="5" t="e">
        <f>IF(AND(#REF!&gt;=table!$C$11,#REF!&lt;= table!$D$11),-1,IF(AND(#REF!&gt;=table!$E$11,#REF!&lt;=table!$F$11),1,0))</f>
        <v>#REF!</v>
      </c>
      <c r="W3466" s="5" t="e">
        <f>CONCATENATE(dados[[#This Row],[fator1]],dados[[#This Row],[fator5]],dados[[#This Row],[fator6]])</f>
        <v>#REF!</v>
      </c>
    </row>
    <row r="3467" spans="1:23">
      <c r="A3467" t="s">
        <v>16</v>
      </c>
      <c r="B3467">
        <v>587236</v>
      </c>
      <c r="C3467">
        <v>11</v>
      </c>
      <c r="D3467">
        <v>40</v>
      </c>
      <c r="E3467">
        <v>151</v>
      </c>
      <c r="F3467">
        <v>8</v>
      </c>
      <c r="G3467">
        <v>0</v>
      </c>
      <c r="H3467">
        <v>25</v>
      </c>
      <c r="I3467">
        <v>0</v>
      </c>
      <c r="J3467">
        <v>0</v>
      </c>
      <c r="K3467">
        <v>2.0150000000000001</v>
      </c>
      <c r="L3467">
        <v>5.1000000000000005</v>
      </c>
      <c r="M3467">
        <v>109.71000000000001</v>
      </c>
      <c r="N3467">
        <v>13.975000000000001</v>
      </c>
      <c r="O3467">
        <v>1674</v>
      </c>
      <c r="P3467">
        <v>0</v>
      </c>
      <c r="Q3467" s="5" t="e">
        <f>IF(AND(#REF!&gt;=table!$C$6,#REF!&lt;= table!$D$6),-1,IF(AND(#REF!&gt;=table!$E$6,#REF!&lt;=table!$F$6),1,0))</f>
        <v>#REF!</v>
      </c>
      <c r="R3467" s="5" t="e">
        <f>IF(AND(#REF!&gt;=table!$C$7,#REF!&lt;= table!$D$7),-1,IF(AND(#REF!&gt;=table!$E$7,#REF!&lt;=table!$F$7),1,0))</f>
        <v>#REF!</v>
      </c>
      <c r="S3467" s="5" t="e">
        <f>IF(AND(#REF!&gt;=table!$C$8,#REF!&lt;= table!$D$8),-1,IF(AND(#REF!&gt;=table!$E$8,#REF!&lt;=table!$F$8),1,0))</f>
        <v>#REF!</v>
      </c>
      <c r="T3467" s="5"/>
      <c r="U3467" s="5" t="e">
        <f>IF(AND(#REF!&gt;=table!$C$10,#REF!&lt;= table!$D$10),-1,IF(AND(#REF!&gt;=table!$E$10,#REF!&lt;=table!$F$10),1,0))</f>
        <v>#REF!</v>
      </c>
      <c r="V3467" s="5" t="e">
        <f>IF(AND(#REF!&gt;=table!$C$11,#REF!&lt;= table!$D$11),-1,IF(AND(#REF!&gt;=table!$E$11,#REF!&lt;=table!$F$11),1,0))</f>
        <v>#REF!</v>
      </c>
      <c r="W3467" s="5" t="e">
        <f>CONCATENATE(dados[[#This Row],[fator1]],dados[[#This Row],[fator5]],dados[[#This Row],[fator6]])</f>
        <v>#REF!</v>
      </c>
    </row>
    <row r="3468" spans="1:23">
      <c r="A3468" t="s">
        <v>17</v>
      </c>
      <c r="B3468">
        <v>587240</v>
      </c>
      <c r="C3468">
        <v>6</v>
      </c>
      <c r="D3468">
        <v>30</v>
      </c>
      <c r="E3468">
        <v>110</v>
      </c>
      <c r="F3468">
        <v>10</v>
      </c>
      <c r="G3468">
        <v>21</v>
      </c>
      <c r="H3468">
        <v>25</v>
      </c>
      <c r="I3468">
        <v>64</v>
      </c>
      <c r="J3468">
        <v>0</v>
      </c>
      <c r="K3468">
        <v>5.835</v>
      </c>
      <c r="L3468">
        <v>12.450000000000001</v>
      </c>
      <c r="M3468">
        <v>65.150000000000006</v>
      </c>
      <c r="N3468">
        <v>15.05</v>
      </c>
      <c r="O3468">
        <v>1679</v>
      </c>
      <c r="P3468">
        <v>0</v>
      </c>
      <c r="Q3468" s="5" t="e">
        <f>IF(AND(#REF!&gt;=table!$C$6,#REF!&lt;= table!$D$6),-1,IF(AND(#REF!&gt;=table!$E$6,#REF!&lt;=table!$F$6),1,0))</f>
        <v>#REF!</v>
      </c>
      <c r="R3468" s="5" t="e">
        <f>IF(AND(#REF!&gt;=table!$C$7,#REF!&lt;= table!$D$7),-1,IF(AND(#REF!&gt;=table!$E$7,#REF!&lt;=table!$F$7),1,0))</f>
        <v>#REF!</v>
      </c>
      <c r="S3468" s="5" t="e">
        <f>IF(AND(#REF!&gt;=table!$C$8,#REF!&lt;= table!$D$8),-1,IF(AND(#REF!&gt;=table!$E$8,#REF!&lt;=table!$F$8),1,0))</f>
        <v>#REF!</v>
      </c>
      <c r="T3468" s="5"/>
      <c r="U3468" s="5" t="e">
        <f>IF(AND(#REF!&gt;=table!$C$10,#REF!&lt;= table!$D$10),-1,IF(AND(#REF!&gt;=table!$E$10,#REF!&lt;=table!$F$10),1,0))</f>
        <v>#REF!</v>
      </c>
      <c r="V3468" s="5" t="e">
        <f>IF(AND(#REF!&gt;=table!$C$11,#REF!&lt;= table!$D$11),-1,IF(AND(#REF!&gt;=table!$E$11,#REF!&lt;=table!$F$11),1,0))</f>
        <v>#REF!</v>
      </c>
      <c r="W3468" s="5" t="e">
        <f>CONCATENATE(dados[[#This Row],[fator1]],dados[[#This Row],[fator5]],dados[[#This Row],[fator6]])</f>
        <v>#REF!</v>
      </c>
    </row>
    <row r="3469" spans="1:23">
      <c r="A3469" t="s">
        <v>17</v>
      </c>
      <c r="B3469">
        <v>587241</v>
      </c>
      <c r="C3469">
        <v>6</v>
      </c>
      <c r="D3469">
        <v>30</v>
      </c>
      <c r="E3469">
        <v>110</v>
      </c>
      <c r="F3469">
        <v>10</v>
      </c>
      <c r="G3469">
        <v>21</v>
      </c>
      <c r="H3469">
        <v>25</v>
      </c>
      <c r="I3469">
        <v>3</v>
      </c>
      <c r="J3469">
        <v>0</v>
      </c>
      <c r="K3469">
        <v>2.7550000000000003</v>
      </c>
      <c r="L3469">
        <v>4.55</v>
      </c>
      <c r="M3469">
        <v>103.075</v>
      </c>
      <c r="N3469">
        <v>20.39</v>
      </c>
      <c r="O3469">
        <v>1680</v>
      </c>
      <c r="P3469">
        <v>0</v>
      </c>
      <c r="Q3469" s="5" t="e">
        <f>IF(AND(#REF!&gt;=table!$C$6,#REF!&lt;= table!$D$6),-1,IF(AND(#REF!&gt;=table!$E$6,#REF!&lt;=table!$F$6),1,0))</f>
        <v>#REF!</v>
      </c>
      <c r="R3469" s="5" t="e">
        <f>IF(AND(#REF!&gt;=table!$C$7,#REF!&lt;= table!$D$7),-1,IF(AND(#REF!&gt;=table!$E$7,#REF!&lt;=table!$F$7),1,0))</f>
        <v>#REF!</v>
      </c>
      <c r="S3469" s="5" t="e">
        <f>IF(AND(#REF!&gt;=table!$C$8,#REF!&lt;= table!$D$8),-1,IF(AND(#REF!&gt;=table!$E$8,#REF!&lt;=table!$F$8),1,0))</f>
        <v>#REF!</v>
      </c>
      <c r="T3469" s="5"/>
      <c r="U3469" s="5" t="e">
        <f>IF(AND(#REF!&gt;=table!$C$10,#REF!&lt;= table!$D$10),-1,IF(AND(#REF!&gt;=table!$E$10,#REF!&lt;=table!$F$10),1,0))</f>
        <v>#REF!</v>
      </c>
      <c r="V3469" s="5" t="e">
        <f>IF(AND(#REF!&gt;=table!$C$11,#REF!&lt;= table!$D$11),-1,IF(AND(#REF!&gt;=table!$E$11,#REF!&lt;=table!$F$11),1,0))</f>
        <v>#REF!</v>
      </c>
      <c r="W3469" s="5" t="e">
        <f>CONCATENATE(dados[[#This Row],[fator1]],dados[[#This Row],[fator5]],dados[[#This Row],[fator6]])</f>
        <v>#REF!</v>
      </c>
    </row>
    <row r="3470" spans="1:23">
      <c r="A3470" t="s">
        <v>17</v>
      </c>
      <c r="B3470">
        <v>587244</v>
      </c>
      <c r="C3470">
        <v>7</v>
      </c>
      <c r="D3470">
        <v>35</v>
      </c>
      <c r="E3470">
        <v>200</v>
      </c>
      <c r="F3470">
        <v>8</v>
      </c>
      <c r="G3470">
        <v>50</v>
      </c>
      <c r="H3470">
        <v>25</v>
      </c>
      <c r="I3470">
        <v>770</v>
      </c>
      <c r="J3470">
        <v>750</v>
      </c>
      <c r="K3470">
        <v>4.7300000000000004</v>
      </c>
      <c r="L3470">
        <v>9.9250000000000007</v>
      </c>
      <c r="M3470">
        <v>146.15</v>
      </c>
      <c r="N3470">
        <v>14.6</v>
      </c>
      <c r="O3470">
        <v>1668</v>
      </c>
      <c r="P3470">
        <v>837</v>
      </c>
      <c r="Q3470" s="5" t="e">
        <f>IF(AND(#REF!&gt;=table!$C$6,#REF!&lt;= table!$D$6),-1,IF(AND(#REF!&gt;=table!$E$6,#REF!&lt;=table!$F$6),1,0))</f>
        <v>#REF!</v>
      </c>
      <c r="R3470" s="5" t="e">
        <f>IF(AND(#REF!&gt;=table!$C$7,#REF!&lt;= table!$D$7),-1,IF(AND(#REF!&gt;=table!$E$7,#REF!&lt;=table!$F$7),1,0))</f>
        <v>#REF!</v>
      </c>
      <c r="S3470" s="5" t="e">
        <f>IF(AND(#REF!&gt;=table!$C$8,#REF!&lt;= table!$D$8),-1,IF(AND(#REF!&gt;=table!$E$8,#REF!&lt;=table!$F$8),1,0))</f>
        <v>#REF!</v>
      </c>
      <c r="T3470" s="5"/>
      <c r="U3470" s="5" t="e">
        <f>IF(AND(#REF!&gt;=table!$C$10,#REF!&lt;= table!$D$10),-1,IF(AND(#REF!&gt;=table!$E$10,#REF!&lt;=table!$F$10),1,0))</f>
        <v>#REF!</v>
      </c>
      <c r="V3470" s="5" t="e">
        <f>IF(AND(#REF!&gt;=table!$C$11,#REF!&lt;= table!$D$11),-1,IF(AND(#REF!&gt;=table!$E$11,#REF!&lt;=table!$F$11),1,0))</f>
        <v>#REF!</v>
      </c>
      <c r="W3470" s="5" t="e">
        <f>CONCATENATE(dados[[#This Row],[fator1]],dados[[#This Row],[fator5]],dados[[#This Row],[fator6]])</f>
        <v>#REF!</v>
      </c>
    </row>
    <row r="3471" spans="1:23">
      <c r="A3471" t="s">
        <v>17</v>
      </c>
      <c r="B3471">
        <v>587246</v>
      </c>
      <c r="C3471">
        <v>7</v>
      </c>
      <c r="D3471">
        <v>35</v>
      </c>
      <c r="E3471">
        <v>200</v>
      </c>
      <c r="F3471">
        <v>8</v>
      </c>
      <c r="G3471">
        <v>50</v>
      </c>
      <c r="H3471">
        <v>25</v>
      </c>
      <c r="I3471">
        <v>10</v>
      </c>
      <c r="J3471">
        <v>0</v>
      </c>
      <c r="K3471">
        <v>3.6150000000000002</v>
      </c>
      <c r="L3471">
        <v>8.6</v>
      </c>
      <c r="M3471">
        <v>169.535</v>
      </c>
      <c r="N3471">
        <v>13.125</v>
      </c>
      <c r="O3471">
        <v>1683</v>
      </c>
      <c r="P3471">
        <v>0</v>
      </c>
      <c r="Q3471" s="5" t="e">
        <f>IF(AND(#REF!&gt;=table!$C$6,#REF!&lt;= table!$D$6),-1,IF(AND(#REF!&gt;=table!$E$6,#REF!&lt;=table!$F$6),1,0))</f>
        <v>#REF!</v>
      </c>
      <c r="R3471" s="5" t="e">
        <f>IF(AND(#REF!&gt;=table!$C$7,#REF!&lt;= table!$D$7),-1,IF(AND(#REF!&gt;=table!$E$7,#REF!&lt;=table!$F$7),1,0))</f>
        <v>#REF!</v>
      </c>
      <c r="S3471" s="5" t="e">
        <f>IF(AND(#REF!&gt;=table!$C$8,#REF!&lt;= table!$D$8),-1,IF(AND(#REF!&gt;=table!$E$8,#REF!&lt;=table!$F$8),1,0))</f>
        <v>#REF!</v>
      </c>
      <c r="T3471" s="5"/>
      <c r="U3471" s="5" t="e">
        <f>IF(AND(#REF!&gt;=table!$C$10,#REF!&lt;= table!$D$10),-1,IF(AND(#REF!&gt;=table!$E$10,#REF!&lt;=table!$F$10),1,0))</f>
        <v>#REF!</v>
      </c>
      <c r="V3471" s="5" t="e">
        <f>IF(AND(#REF!&gt;=table!$C$11,#REF!&lt;= table!$D$11),-1,IF(AND(#REF!&gt;=table!$E$11,#REF!&lt;=table!$F$11),1,0))</f>
        <v>#REF!</v>
      </c>
      <c r="W3471" s="5" t="e">
        <f>CONCATENATE(dados[[#This Row],[fator1]],dados[[#This Row],[fator5]],dados[[#This Row],[fator6]])</f>
        <v>#REF!</v>
      </c>
    </row>
    <row r="3472" spans="1:23">
      <c r="A3472" t="s">
        <v>17</v>
      </c>
      <c r="B3472">
        <v>587248</v>
      </c>
      <c r="C3472">
        <v>7</v>
      </c>
      <c r="D3472">
        <v>20</v>
      </c>
      <c r="E3472">
        <v>120</v>
      </c>
      <c r="F3472">
        <v>4</v>
      </c>
      <c r="G3472">
        <v>105</v>
      </c>
      <c r="H3472">
        <v>25</v>
      </c>
      <c r="I3472">
        <v>10</v>
      </c>
      <c r="J3472">
        <v>0</v>
      </c>
      <c r="K3472">
        <v>2.73</v>
      </c>
      <c r="L3472">
        <v>9.75</v>
      </c>
      <c r="M3472">
        <v>87.320000000000007</v>
      </c>
      <c r="N3472">
        <v>21.53</v>
      </c>
      <c r="O3472">
        <v>1674</v>
      </c>
      <c r="P3472">
        <v>939</v>
      </c>
      <c r="Q3472" s="5" t="e">
        <f>IF(AND(#REF!&gt;=table!$C$6,#REF!&lt;= table!$D$6),-1,IF(AND(#REF!&gt;=table!$E$6,#REF!&lt;=table!$F$6),1,0))</f>
        <v>#REF!</v>
      </c>
      <c r="R3472" s="5" t="e">
        <f>IF(AND(#REF!&gt;=table!$C$7,#REF!&lt;= table!$D$7),-1,IF(AND(#REF!&gt;=table!$E$7,#REF!&lt;=table!$F$7),1,0))</f>
        <v>#REF!</v>
      </c>
      <c r="S3472" s="5" t="e">
        <f>IF(AND(#REF!&gt;=table!$C$8,#REF!&lt;= table!$D$8),-1,IF(AND(#REF!&gt;=table!$E$8,#REF!&lt;=table!$F$8),1,0))</f>
        <v>#REF!</v>
      </c>
      <c r="T3472" s="5"/>
      <c r="U3472" s="5" t="e">
        <f>IF(AND(#REF!&gt;=table!$C$10,#REF!&lt;= table!$D$10),-1,IF(AND(#REF!&gt;=table!$E$10,#REF!&lt;=table!$F$10),1,0))</f>
        <v>#REF!</v>
      </c>
      <c r="V3472" s="5" t="e">
        <f>IF(AND(#REF!&gt;=table!$C$11,#REF!&lt;= table!$D$11),-1,IF(AND(#REF!&gt;=table!$E$11,#REF!&lt;=table!$F$11),1,0))</f>
        <v>#REF!</v>
      </c>
      <c r="W3472" s="5" t="e">
        <f>CONCATENATE(dados[[#This Row],[fator1]],dados[[#This Row],[fator5]],dados[[#This Row],[fator6]])</f>
        <v>#REF!</v>
      </c>
    </row>
    <row r="3473" spans="1:23">
      <c r="A3473" t="s">
        <v>17</v>
      </c>
      <c r="B3473">
        <v>587249</v>
      </c>
      <c r="C3473">
        <v>7</v>
      </c>
      <c r="D3473">
        <v>20</v>
      </c>
      <c r="E3473">
        <v>120</v>
      </c>
      <c r="F3473">
        <v>4</v>
      </c>
      <c r="G3473">
        <v>105</v>
      </c>
      <c r="H3473">
        <v>25</v>
      </c>
      <c r="I3473">
        <v>351</v>
      </c>
      <c r="J3473">
        <v>0</v>
      </c>
      <c r="K3473">
        <v>2.145</v>
      </c>
      <c r="L3473">
        <v>3.5500000000000003</v>
      </c>
      <c r="M3473">
        <v>93.234999999999999</v>
      </c>
      <c r="N3473">
        <v>13.52</v>
      </c>
      <c r="O3473">
        <v>1677</v>
      </c>
      <c r="P3473">
        <v>1445</v>
      </c>
      <c r="Q3473" s="5" t="e">
        <f>IF(AND(#REF!&gt;=table!$C$6,#REF!&lt;= table!$D$6),-1,IF(AND(#REF!&gt;=table!$E$6,#REF!&lt;=table!$F$6),1,0))</f>
        <v>#REF!</v>
      </c>
      <c r="R3473" s="5" t="e">
        <f>IF(AND(#REF!&gt;=table!$C$7,#REF!&lt;= table!$D$7),-1,IF(AND(#REF!&gt;=table!$E$7,#REF!&lt;=table!$F$7),1,0))</f>
        <v>#REF!</v>
      </c>
      <c r="S3473" s="5" t="e">
        <f>IF(AND(#REF!&gt;=table!$C$8,#REF!&lt;= table!$D$8),-1,IF(AND(#REF!&gt;=table!$E$8,#REF!&lt;=table!$F$8),1,0))</f>
        <v>#REF!</v>
      </c>
      <c r="T3473" s="5"/>
      <c r="U3473" s="5" t="e">
        <f>IF(AND(#REF!&gt;=table!$C$10,#REF!&lt;= table!$D$10),-1,IF(AND(#REF!&gt;=table!$E$10,#REF!&lt;=table!$F$10),1,0))</f>
        <v>#REF!</v>
      </c>
      <c r="V3473" s="5" t="e">
        <f>IF(AND(#REF!&gt;=table!$C$11,#REF!&lt;= table!$D$11),-1,IF(AND(#REF!&gt;=table!$E$11,#REF!&lt;=table!$F$11),1,0))</f>
        <v>#REF!</v>
      </c>
      <c r="W3473" s="5" t="e">
        <f>CONCATENATE(dados[[#This Row],[fator1]],dados[[#This Row],[fator5]],dados[[#This Row],[fator6]])</f>
        <v>#REF!</v>
      </c>
    </row>
    <row r="3474" spans="1:23">
      <c r="A3474" t="s">
        <v>16</v>
      </c>
      <c r="B3474">
        <v>587254</v>
      </c>
      <c r="C3474">
        <v>0.18</v>
      </c>
      <c r="D3474">
        <v>40</v>
      </c>
      <c r="E3474">
        <v>70</v>
      </c>
      <c r="F3474">
        <v>15</v>
      </c>
      <c r="G3474">
        <v>0</v>
      </c>
      <c r="H3474">
        <v>80</v>
      </c>
      <c r="I3474">
        <v>1463</v>
      </c>
      <c r="J3474">
        <v>0</v>
      </c>
      <c r="K3474">
        <v>2.7600000000000002</v>
      </c>
      <c r="L3474">
        <v>7.4</v>
      </c>
      <c r="M3474">
        <v>6.5</v>
      </c>
      <c r="N3474">
        <v>15.200000000000001</v>
      </c>
      <c r="O3474">
        <v>1651</v>
      </c>
      <c r="P3474">
        <v>961</v>
      </c>
      <c r="Q3474" s="5" t="e">
        <f>IF(AND(#REF!&gt;=table!$C$6,#REF!&lt;= table!$D$6),-1,IF(AND(#REF!&gt;=table!$E$6,#REF!&lt;=table!$F$6),1,0))</f>
        <v>#REF!</v>
      </c>
      <c r="R3474" s="5" t="e">
        <f>IF(AND(#REF!&gt;=table!$C$7,#REF!&lt;= table!$D$7),-1,IF(AND(#REF!&gt;=table!$E$7,#REF!&lt;=table!$F$7),1,0))</f>
        <v>#REF!</v>
      </c>
      <c r="S3474" s="5" t="e">
        <f>IF(AND(#REF!&gt;=table!$C$8,#REF!&lt;= table!$D$8),-1,IF(AND(#REF!&gt;=table!$E$8,#REF!&lt;=table!$F$8),1,0))</f>
        <v>#REF!</v>
      </c>
      <c r="T3474" s="5"/>
      <c r="U3474" s="5" t="e">
        <f>IF(AND(#REF!&gt;=table!$C$10,#REF!&lt;= table!$D$10),-1,IF(AND(#REF!&gt;=table!$E$10,#REF!&lt;=table!$F$10),1,0))</f>
        <v>#REF!</v>
      </c>
      <c r="V3474" s="5" t="e">
        <f>IF(AND(#REF!&gt;=table!$C$11,#REF!&lt;= table!$D$11),-1,IF(AND(#REF!&gt;=table!$E$11,#REF!&lt;=table!$F$11),1,0))</f>
        <v>#REF!</v>
      </c>
      <c r="W3474" s="5" t="e">
        <f>CONCATENATE(dados[[#This Row],[fator1]],dados[[#This Row],[fator5]],dados[[#This Row],[fator6]])</f>
        <v>#REF!</v>
      </c>
    </row>
    <row r="3475" spans="1:23">
      <c r="A3475" t="s">
        <v>17</v>
      </c>
      <c r="B3475">
        <v>587255</v>
      </c>
      <c r="C3475">
        <v>13</v>
      </c>
      <c r="D3475">
        <v>35</v>
      </c>
      <c r="E3475">
        <v>100</v>
      </c>
      <c r="F3475">
        <v>4</v>
      </c>
      <c r="G3475">
        <v>28</v>
      </c>
      <c r="H3475">
        <v>25</v>
      </c>
      <c r="I3475">
        <v>467</v>
      </c>
      <c r="J3475">
        <v>0</v>
      </c>
      <c r="K3475">
        <v>4.28</v>
      </c>
      <c r="L3475">
        <v>10.65</v>
      </c>
      <c r="M3475">
        <v>103.05</v>
      </c>
      <c r="N3475">
        <v>13.200000000000001</v>
      </c>
      <c r="O3475">
        <v>1667</v>
      </c>
      <c r="P3475">
        <v>740</v>
      </c>
      <c r="Q3475" s="5" t="e">
        <f>IF(AND(#REF!&gt;=table!$C$6,#REF!&lt;= table!$D$6),-1,IF(AND(#REF!&gt;=table!$E$6,#REF!&lt;=table!$F$6),1,0))</f>
        <v>#REF!</v>
      </c>
      <c r="R3475" s="5" t="e">
        <f>IF(AND(#REF!&gt;=table!$C$7,#REF!&lt;= table!$D$7),-1,IF(AND(#REF!&gt;=table!$E$7,#REF!&lt;=table!$F$7),1,0))</f>
        <v>#REF!</v>
      </c>
      <c r="S3475" s="5" t="e">
        <f>IF(AND(#REF!&gt;=table!$C$8,#REF!&lt;= table!$D$8),-1,IF(AND(#REF!&gt;=table!$E$8,#REF!&lt;=table!$F$8),1,0))</f>
        <v>#REF!</v>
      </c>
      <c r="T3475" s="5"/>
      <c r="U3475" s="5" t="e">
        <f>IF(AND(#REF!&gt;=table!$C$10,#REF!&lt;= table!$D$10),-1,IF(AND(#REF!&gt;=table!$E$10,#REF!&lt;=table!$F$10),1,0))</f>
        <v>#REF!</v>
      </c>
      <c r="V3475" s="5" t="e">
        <f>IF(AND(#REF!&gt;=table!$C$11,#REF!&lt;= table!$D$11),-1,IF(AND(#REF!&gt;=table!$E$11,#REF!&lt;=table!$F$11),1,0))</f>
        <v>#REF!</v>
      </c>
      <c r="W3475" s="5" t="e">
        <f>CONCATENATE(dados[[#This Row],[fator1]],dados[[#This Row],[fator5]],dados[[#This Row],[fator6]])</f>
        <v>#REF!</v>
      </c>
    </row>
    <row r="3476" spans="1:23">
      <c r="A3476" t="s">
        <v>17</v>
      </c>
      <c r="B3476">
        <v>587256</v>
      </c>
      <c r="C3476">
        <v>4</v>
      </c>
      <c r="D3476">
        <v>25</v>
      </c>
      <c r="E3476">
        <v>23</v>
      </c>
      <c r="F3476">
        <v>10</v>
      </c>
      <c r="G3476">
        <v>110</v>
      </c>
      <c r="H3476">
        <v>50</v>
      </c>
      <c r="I3476">
        <v>552</v>
      </c>
      <c r="J3476">
        <v>0</v>
      </c>
      <c r="K3476">
        <v>5.12</v>
      </c>
      <c r="L3476">
        <v>9.6</v>
      </c>
      <c r="M3476">
        <v>18.600000000000001</v>
      </c>
      <c r="N3476">
        <v>32.200000000000003</v>
      </c>
      <c r="O3476">
        <v>1688</v>
      </c>
      <c r="P3476">
        <v>674</v>
      </c>
      <c r="Q3476" s="5" t="e">
        <f>IF(AND(#REF!&gt;=table!$C$6,#REF!&lt;= table!$D$6),-1,IF(AND(#REF!&gt;=table!$E$6,#REF!&lt;=table!$F$6),1,0))</f>
        <v>#REF!</v>
      </c>
      <c r="R3476" s="5" t="e">
        <f>IF(AND(#REF!&gt;=table!$C$7,#REF!&lt;= table!$D$7),-1,IF(AND(#REF!&gt;=table!$E$7,#REF!&lt;=table!$F$7),1,0))</f>
        <v>#REF!</v>
      </c>
      <c r="S3476" s="5" t="e">
        <f>IF(AND(#REF!&gt;=table!$C$8,#REF!&lt;= table!$D$8),-1,IF(AND(#REF!&gt;=table!$E$8,#REF!&lt;=table!$F$8),1,0))</f>
        <v>#REF!</v>
      </c>
      <c r="T3476" s="5"/>
      <c r="U3476" s="5" t="e">
        <f>IF(AND(#REF!&gt;=table!$C$10,#REF!&lt;= table!$D$10),-1,IF(AND(#REF!&gt;=table!$E$10,#REF!&lt;=table!$F$10),1,0))</f>
        <v>#REF!</v>
      </c>
      <c r="V3476" s="5" t="e">
        <f>IF(AND(#REF!&gt;=table!$C$11,#REF!&lt;= table!$D$11),-1,IF(AND(#REF!&gt;=table!$E$11,#REF!&lt;=table!$F$11),1,0))</f>
        <v>#REF!</v>
      </c>
      <c r="W3476" s="5" t="e">
        <f>CONCATENATE(dados[[#This Row],[fator1]],dados[[#This Row],[fator5]],dados[[#This Row],[fator6]])</f>
        <v>#REF!</v>
      </c>
    </row>
    <row r="3477" spans="1:23">
      <c r="A3477" t="s">
        <v>17</v>
      </c>
      <c r="B3477">
        <v>587262</v>
      </c>
      <c r="C3477">
        <v>4</v>
      </c>
      <c r="D3477">
        <v>25</v>
      </c>
      <c r="E3477">
        <v>23</v>
      </c>
      <c r="F3477">
        <v>10</v>
      </c>
      <c r="G3477">
        <v>110</v>
      </c>
      <c r="H3477">
        <v>50</v>
      </c>
      <c r="I3477">
        <v>0</v>
      </c>
      <c r="J3477">
        <v>0</v>
      </c>
      <c r="K3477">
        <v>2.89</v>
      </c>
      <c r="L3477">
        <v>5.1000000000000005</v>
      </c>
      <c r="M3477">
        <v>15.1</v>
      </c>
      <c r="N3477">
        <v>17.400000000000002</v>
      </c>
      <c r="O3477">
        <v>1651</v>
      </c>
      <c r="P3477">
        <v>1361</v>
      </c>
      <c r="Q3477" s="5" t="e">
        <f>IF(AND(#REF!&gt;=table!$C$6,#REF!&lt;= table!$D$6),-1,IF(AND(#REF!&gt;=table!$E$6,#REF!&lt;=table!$F$6),1,0))</f>
        <v>#REF!</v>
      </c>
      <c r="R3477" s="5" t="e">
        <f>IF(AND(#REF!&gt;=table!$C$7,#REF!&lt;= table!$D$7),-1,IF(AND(#REF!&gt;=table!$E$7,#REF!&lt;=table!$F$7),1,0))</f>
        <v>#REF!</v>
      </c>
      <c r="S3477" s="5" t="e">
        <f>IF(AND(#REF!&gt;=table!$C$8,#REF!&lt;= table!$D$8),-1,IF(AND(#REF!&gt;=table!$E$8,#REF!&lt;=table!$F$8),1,0))</f>
        <v>#REF!</v>
      </c>
      <c r="T3477" s="5"/>
      <c r="U3477" s="5" t="e">
        <f>IF(AND(#REF!&gt;=table!$C$10,#REF!&lt;= table!$D$10),-1,IF(AND(#REF!&gt;=table!$E$10,#REF!&lt;=table!$F$10),1,0))</f>
        <v>#REF!</v>
      </c>
      <c r="V3477" s="5" t="e">
        <f>IF(AND(#REF!&gt;=table!$C$11,#REF!&lt;= table!$D$11),-1,IF(AND(#REF!&gt;=table!$E$11,#REF!&lt;=table!$F$11),1,0))</f>
        <v>#REF!</v>
      </c>
      <c r="W3477" s="5" t="e">
        <f>CONCATENATE(dados[[#This Row],[fator1]],dados[[#This Row],[fator5]],dados[[#This Row],[fator6]])</f>
        <v>#REF!</v>
      </c>
    </row>
    <row r="3478" spans="1:23">
      <c r="A3478" t="s">
        <v>17</v>
      </c>
      <c r="B3478">
        <v>587263</v>
      </c>
      <c r="C3478">
        <v>4</v>
      </c>
      <c r="D3478">
        <v>25</v>
      </c>
      <c r="E3478">
        <v>23</v>
      </c>
      <c r="F3478">
        <v>10</v>
      </c>
      <c r="G3478">
        <v>110</v>
      </c>
      <c r="H3478">
        <v>50</v>
      </c>
      <c r="I3478">
        <v>0</v>
      </c>
      <c r="J3478">
        <v>0</v>
      </c>
      <c r="K3478">
        <v>3.44</v>
      </c>
      <c r="L3478">
        <v>6.15</v>
      </c>
      <c r="M3478">
        <v>12.72</v>
      </c>
      <c r="N3478">
        <v>32.26</v>
      </c>
      <c r="O3478">
        <v>1680</v>
      </c>
      <c r="P3478">
        <v>0</v>
      </c>
      <c r="Q3478" s="5" t="e">
        <f>IF(AND(#REF!&gt;=table!$C$6,#REF!&lt;= table!$D$6),-1,IF(AND(#REF!&gt;=table!$E$6,#REF!&lt;=table!$F$6),1,0))</f>
        <v>#REF!</v>
      </c>
      <c r="R3478" s="5" t="e">
        <f>IF(AND(#REF!&gt;=table!$C$7,#REF!&lt;= table!$D$7),-1,IF(AND(#REF!&gt;=table!$E$7,#REF!&lt;=table!$F$7),1,0))</f>
        <v>#REF!</v>
      </c>
      <c r="S3478" s="5" t="e">
        <f>IF(AND(#REF!&gt;=table!$C$8,#REF!&lt;= table!$D$8),-1,IF(AND(#REF!&gt;=table!$E$8,#REF!&lt;=table!$F$8),1,0))</f>
        <v>#REF!</v>
      </c>
      <c r="T3478" s="5"/>
      <c r="U3478" s="5" t="e">
        <f>IF(AND(#REF!&gt;=table!$C$10,#REF!&lt;= table!$D$10),-1,IF(AND(#REF!&gt;=table!$E$10,#REF!&lt;=table!$F$10),1,0))</f>
        <v>#REF!</v>
      </c>
      <c r="V3478" s="5" t="e">
        <f>IF(AND(#REF!&gt;=table!$C$11,#REF!&lt;= table!$D$11),-1,IF(AND(#REF!&gt;=table!$E$11,#REF!&lt;=table!$F$11),1,0))</f>
        <v>#REF!</v>
      </c>
      <c r="W3478" s="5" t="e">
        <f>CONCATENATE(dados[[#This Row],[fator1]],dados[[#This Row],[fator5]],dados[[#This Row],[fator6]])</f>
        <v>#REF!</v>
      </c>
    </row>
    <row r="3479" spans="1:23">
      <c r="A3479" t="s">
        <v>16</v>
      </c>
      <c r="B3479">
        <v>587273</v>
      </c>
      <c r="C3479">
        <v>7</v>
      </c>
      <c r="D3479">
        <v>33</v>
      </c>
      <c r="E3479">
        <v>153</v>
      </c>
      <c r="F3479">
        <v>4</v>
      </c>
      <c r="G3479">
        <v>0</v>
      </c>
      <c r="H3479">
        <v>25</v>
      </c>
      <c r="I3479">
        <v>8</v>
      </c>
      <c r="J3479">
        <v>0</v>
      </c>
      <c r="K3479">
        <v>3.5100000000000002</v>
      </c>
      <c r="L3479">
        <v>9.0500000000000007</v>
      </c>
      <c r="M3479">
        <v>132.55000000000001</v>
      </c>
      <c r="N3479">
        <v>16.05</v>
      </c>
      <c r="O3479">
        <v>1676</v>
      </c>
      <c r="P3479">
        <v>0</v>
      </c>
      <c r="Q3479" s="5" t="e">
        <f>IF(AND(#REF!&gt;=table!$C$6,#REF!&lt;= table!$D$6),-1,IF(AND(#REF!&gt;=table!$E$6,#REF!&lt;=table!$F$6),1,0))</f>
        <v>#REF!</v>
      </c>
      <c r="R3479" s="5" t="e">
        <f>IF(AND(#REF!&gt;=table!$C$7,#REF!&lt;= table!$D$7),-1,IF(AND(#REF!&gt;=table!$E$7,#REF!&lt;=table!$F$7),1,0))</f>
        <v>#REF!</v>
      </c>
      <c r="S3479" s="5" t="e">
        <f>IF(AND(#REF!&gt;=table!$C$8,#REF!&lt;= table!$D$8),-1,IF(AND(#REF!&gt;=table!$E$8,#REF!&lt;=table!$F$8),1,0))</f>
        <v>#REF!</v>
      </c>
      <c r="T3479" s="5"/>
      <c r="U3479" s="5" t="e">
        <f>IF(AND(#REF!&gt;=table!$C$10,#REF!&lt;= table!$D$10),-1,IF(AND(#REF!&gt;=table!$E$10,#REF!&lt;=table!$F$10),1,0))</f>
        <v>#REF!</v>
      </c>
      <c r="V3479" s="5" t="e">
        <f>IF(AND(#REF!&gt;=table!$C$11,#REF!&lt;= table!$D$11),-1,IF(AND(#REF!&gt;=table!$E$11,#REF!&lt;=table!$F$11),1,0))</f>
        <v>#REF!</v>
      </c>
      <c r="W3479" s="5" t="e">
        <f>CONCATENATE(dados[[#This Row],[fator1]],dados[[#This Row],[fator5]],dados[[#This Row],[fator6]])</f>
        <v>#REF!</v>
      </c>
    </row>
    <row r="3480" spans="1:23">
      <c r="A3480" t="s">
        <v>16</v>
      </c>
      <c r="B3480">
        <v>587274</v>
      </c>
      <c r="C3480">
        <v>12</v>
      </c>
      <c r="D3480">
        <v>35</v>
      </c>
      <c r="E3480">
        <v>180</v>
      </c>
      <c r="F3480">
        <v>6</v>
      </c>
      <c r="G3480">
        <v>0</v>
      </c>
      <c r="H3480">
        <v>20</v>
      </c>
      <c r="I3480">
        <v>579</v>
      </c>
      <c r="J3480">
        <v>0</v>
      </c>
      <c r="K3480">
        <v>4.3899999999999997</v>
      </c>
      <c r="L3480">
        <v>6</v>
      </c>
      <c r="M3480">
        <v>155.95000000000002</v>
      </c>
      <c r="N3480">
        <v>13</v>
      </c>
      <c r="O3480">
        <v>1696</v>
      </c>
      <c r="P3480">
        <v>1051</v>
      </c>
      <c r="Q3480" s="5" t="e">
        <f>IF(AND(#REF!&gt;=table!$C$6,#REF!&lt;= table!$D$6),-1,IF(AND(#REF!&gt;=table!$E$6,#REF!&lt;=table!$F$6),1,0))</f>
        <v>#REF!</v>
      </c>
      <c r="R3480" s="5" t="e">
        <f>IF(AND(#REF!&gt;=table!$C$7,#REF!&lt;= table!$D$7),-1,IF(AND(#REF!&gt;=table!$E$7,#REF!&lt;=table!$F$7),1,0))</f>
        <v>#REF!</v>
      </c>
      <c r="S3480" s="5" t="e">
        <f>IF(AND(#REF!&gt;=table!$C$8,#REF!&lt;= table!$D$8),-1,IF(AND(#REF!&gt;=table!$E$8,#REF!&lt;=table!$F$8),1,0))</f>
        <v>#REF!</v>
      </c>
      <c r="T3480" s="5"/>
      <c r="U3480" s="5" t="e">
        <f>IF(AND(#REF!&gt;=table!$C$10,#REF!&lt;= table!$D$10),-1,IF(AND(#REF!&gt;=table!$E$10,#REF!&lt;=table!$F$10),1,0))</f>
        <v>#REF!</v>
      </c>
      <c r="V3480" s="5" t="e">
        <f>IF(AND(#REF!&gt;=table!$C$11,#REF!&lt;= table!$D$11),-1,IF(AND(#REF!&gt;=table!$E$11,#REF!&lt;=table!$F$11),1,0))</f>
        <v>#REF!</v>
      </c>
      <c r="W3480" s="5" t="e">
        <f>CONCATENATE(dados[[#This Row],[fator1]],dados[[#This Row],[fator5]],dados[[#This Row],[fator6]])</f>
        <v>#REF!</v>
      </c>
    </row>
    <row r="3481" spans="1:23">
      <c r="A3481" t="s">
        <v>16</v>
      </c>
      <c r="B3481">
        <v>587275</v>
      </c>
      <c r="C3481">
        <v>12</v>
      </c>
      <c r="D3481">
        <v>35</v>
      </c>
      <c r="E3481">
        <v>180</v>
      </c>
      <c r="F3481">
        <v>6</v>
      </c>
      <c r="G3481">
        <v>0</v>
      </c>
      <c r="H3481">
        <v>20</v>
      </c>
      <c r="I3481">
        <v>1597</v>
      </c>
      <c r="J3481">
        <v>920</v>
      </c>
      <c r="K3481">
        <v>7.42</v>
      </c>
      <c r="L3481">
        <v>13.705</v>
      </c>
      <c r="M3481">
        <v>138.25</v>
      </c>
      <c r="N3481">
        <v>13.75</v>
      </c>
      <c r="O3481">
        <v>1667</v>
      </c>
      <c r="P3481">
        <v>479</v>
      </c>
      <c r="Q3481" s="5" t="e">
        <f>IF(AND(#REF!&gt;=table!$C$6,#REF!&lt;= table!$D$6),-1,IF(AND(#REF!&gt;=table!$E$6,#REF!&lt;=table!$F$6),1,0))</f>
        <v>#REF!</v>
      </c>
      <c r="R3481" s="5" t="e">
        <f>IF(AND(#REF!&gt;=table!$C$7,#REF!&lt;= table!$D$7),-1,IF(AND(#REF!&gt;=table!$E$7,#REF!&lt;=table!$F$7),1,0))</f>
        <v>#REF!</v>
      </c>
      <c r="S3481" s="5" t="e">
        <f>IF(AND(#REF!&gt;=table!$C$8,#REF!&lt;= table!$D$8),-1,IF(AND(#REF!&gt;=table!$E$8,#REF!&lt;=table!$F$8),1,0))</f>
        <v>#REF!</v>
      </c>
      <c r="T3481" s="5"/>
      <c r="U3481" s="5" t="e">
        <f>IF(AND(#REF!&gt;=table!$C$10,#REF!&lt;= table!$D$10),-1,IF(AND(#REF!&gt;=table!$E$10,#REF!&lt;=table!$F$10),1,0))</f>
        <v>#REF!</v>
      </c>
      <c r="V3481" s="5" t="e">
        <f>IF(AND(#REF!&gt;=table!$C$11,#REF!&lt;= table!$D$11),-1,IF(AND(#REF!&gt;=table!$E$11,#REF!&lt;=table!$F$11),1,0))</f>
        <v>#REF!</v>
      </c>
      <c r="W3481" s="5" t="e">
        <f>CONCATENATE(dados[[#This Row],[fator1]],dados[[#This Row],[fator5]],dados[[#This Row],[fator6]])</f>
        <v>#REF!</v>
      </c>
    </row>
    <row r="3482" spans="1:23">
      <c r="A3482" t="s">
        <v>16</v>
      </c>
      <c r="B3482">
        <v>587276</v>
      </c>
      <c r="C3482">
        <v>12</v>
      </c>
      <c r="D3482">
        <v>35</v>
      </c>
      <c r="E3482">
        <v>180</v>
      </c>
      <c r="F3482">
        <v>6</v>
      </c>
      <c r="G3482">
        <v>0</v>
      </c>
      <c r="H3482">
        <v>20</v>
      </c>
      <c r="I3482">
        <v>715</v>
      </c>
      <c r="J3482">
        <v>0</v>
      </c>
      <c r="K3482">
        <v>4.83</v>
      </c>
      <c r="L3482">
        <v>8.4</v>
      </c>
      <c r="M3482">
        <v>134.655</v>
      </c>
      <c r="N3482">
        <v>14.745000000000001</v>
      </c>
      <c r="O3482">
        <v>1685</v>
      </c>
      <c r="P3482">
        <v>856</v>
      </c>
      <c r="Q3482" s="5" t="e">
        <f>IF(AND(#REF!&gt;=table!$C$6,#REF!&lt;= table!$D$6),-1,IF(AND(#REF!&gt;=table!$E$6,#REF!&lt;=table!$F$6),1,0))</f>
        <v>#REF!</v>
      </c>
      <c r="R3482" s="5" t="e">
        <f>IF(AND(#REF!&gt;=table!$C$7,#REF!&lt;= table!$D$7),-1,IF(AND(#REF!&gt;=table!$E$7,#REF!&lt;=table!$F$7),1,0))</f>
        <v>#REF!</v>
      </c>
      <c r="S3482" s="5" t="e">
        <f>IF(AND(#REF!&gt;=table!$C$8,#REF!&lt;= table!$D$8),-1,IF(AND(#REF!&gt;=table!$E$8,#REF!&lt;=table!$F$8),1,0))</f>
        <v>#REF!</v>
      </c>
      <c r="T3482" s="5"/>
      <c r="U3482" s="5" t="e">
        <f>IF(AND(#REF!&gt;=table!$C$10,#REF!&lt;= table!$D$10),-1,IF(AND(#REF!&gt;=table!$E$10,#REF!&lt;=table!$F$10),1,0))</f>
        <v>#REF!</v>
      </c>
      <c r="V3482" s="5" t="e">
        <f>IF(AND(#REF!&gt;=table!$C$11,#REF!&lt;= table!$D$11),-1,IF(AND(#REF!&gt;=table!$E$11,#REF!&lt;=table!$F$11),1,0))</f>
        <v>#REF!</v>
      </c>
      <c r="W3482" s="5" t="e">
        <f>CONCATENATE(dados[[#This Row],[fator1]],dados[[#This Row],[fator5]],dados[[#This Row],[fator6]])</f>
        <v>#REF!</v>
      </c>
    </row>
    <row r="3483" spans="1:23">
      <c r="A3483" t="s">
        <v>16</v>
      </c>
      <c r="B3483">
        <v>587277</v>
      </c>
      <c r="C3483">
        <v>12</v>
      </c>
      <c r="D3483">
        <v>35</v>
      </c>
      <c r="E3483">
        <v>180</v>
      </c>
      <c r="F3483">
        <v>6</v>
      </c>
      <c r="G3483">
        <v>0</v>
      </c>
      <c r="H3483">
        <v>20</v>
      </c>
      <c r="I3483">
        <v>122</v>
      </c>
      <c r="J3483">
        <v>0</v>
      </c>
      <c r="K3483">
        <v>4.2850000000000001</v>
      </c>
      <c r="L3483">
        <v>7.7</v>
      </c>
      <c r="M3483">
        <v>148.65</v>
      </c>
      <c r="N3483">
        <v>14.65</v>
      </c>
      <c r="O3483">
        <v>1680</v>
      </c>
      <c r="P3483">
        <v>890</v>
      </c>
      <c r="Q3483" s="5" t="e">
        <f>IF(AND(#REF!&gt;=table!$C$6,#REF!&lt;= table!$D$6),-1,IF(AND(#REF!&gt;=table!$E$6,#REF!&lt;=table!$F$6),1,0))</f>
        <v>#REF!</v>
      </c>
      <c r="R3483" s="5" t="e">
        <f>IF(AND(#REF!&gt;=table!$C$7,#REF!&lt;= table!$D$7),-1,IF(AND(#REF!&gt;=table!$E$7,#REF!&lt;=table!$F$7),1,0))</f>
        <v>#REF!</v>
      </c>
      <c r="S3483" s="5" t="e">
        <f>IF(AND(#REF!&gt;=table!$C$8,#REF!&lt;= table!$D$8),-1,IF(AND(#REF!&gt;=table!$E$8,#REF!&lt;=table!$F$8),1,0))</f>
        <v>#REF!</v>
      </c>
      <c r="T3483" s="5"/>
      <c r="U3483" s="5" t="e">
        <f>IF(AND(#REF!&gt;=table!$C$10,#REF!&lt;= table!$D$10),-1,IF(AND(#REF!&gt;=table!$E$10,#REF!&lt;=table!$F$10),1,0))</f>
        <v>#REF!</v>
      </c>
      <c r="V3483" s="5" t="e">
        <f>IF(AND(#REF!&gt;=table!$C$11,#REF!&lt;= table!$D$11),-1,IF(AND(#REF!&gt;=table!$E$11,#REF!&lt;=table!$F$11),1,0))</f>
        <v>#REF!</v>
      </c>
      <c r="W3483" s="5" t="e">
        <f>CONCATENATE(dados[[#This Row],[fator1]],dados[[#This Row],[fator5]],dados[[#This Row],[fator6]])</f>
        <v>#REF!</v>
      </c>
    </row>
    <row r="3484" spans="1:23">
      <c r="A3484" t="s">
        <v>17</v>
      </c>
      <c r="B3484">
        <v>587278</v>
      </c>
      <c r="C3484">
        <v>20</v>
      </c>
      <c r="D3484">
        <v>18</v>
      </c>
      <c r="E3484">
        <v>36</v>
      </c>
      <c r="F3484">
        <v>6</v>
      </c>
      <c r="G3484">
        <v>20</v>
      </c>
      <c r="H3484">
        <v>25</v>
      </c>
      <c r="I3484">
        <v>454</v>
      </c>
      <c r="J3484">
        <v>0</v>
      </c>
      <c r="K3484">
        <v>7.375</v>
      </c>
      <c r="L3484">
        <v>11.950000000000001</v>
      </c>
      <c r="M3484">
        <v>35.950000000000003</v>
      </c>
      <c r="N3484">
        <v>14.200000000000001</v>
      </c>
      <c r="O3484">
        <v>1676</v>
      </c>
      <c r="P3484">
        <v>531</v>
      </c>
      <c r="Q3484" s="5" t="e">
        <f>IF(AND(#REF!&gt;=table!$C$6,#REF!&lt;= table!$D$6),-1,IF(AND(#REF!&gt;=table!$E$6,#REF!&lt;=table!$F$6),1,0))</f>
        <v>#REF!</v>
      </c>
      <c r="R3484" s="5" t="e">
        <f>IF(AND(#REF!&gt;=table!$C$7,#REF!&lt;= table!$D$7),-1,IF(AND(#REF!&gt;=table!$E$7,#REF!&lt;=table!$F$7),1,0))</f>
        <v>#REF!</v>
      </c>
      <c r="S3484" s="5" t="e">
        <f>IF(AND(#REF!&gt;=table!$C$8,#REF!&lt;= table!$D$8),-1,IF(AND(#REF!&gt;=table!$E$8,#REF!&lt;=table!$F$8),1,0))</f>
        <v>#REF!</v>
      </c>
      <c r="T3484" s="5"/>
      <c r="U3484" s="5" t="e">
        <f>IF(AND(#REF!&gt;=table!$C$10,#REF!&lt;= table!$D$10),-1,IF(AND(#REF!&gt;=table!$E$10,#REF!&lt;=table!$F$10),1,0))</f>
        <v>#REF!</v>
      </c>
      <c r="V3484" s="5" t="e">
        <f>IF(AND(#REF!&gt;=table!$C$11,#REF!&lt;= table!$D$11),-1,IF(AND(#REF!&gt;=table!$E$11,#REF!&lt;=table!$F$11),1,0))</f>
        <v>#REF!</v>
      </c>
      <c r="W3484" s="5" t="e">
        <f>CONCATENATE(dados[[#This Row],[fator1]],dados[[#This Row],[fator5]],dados[[#This Row],[fator6]])</f>
        <v>#REF!</v>
      </c>
    </row>
    <row r="3485" spans="1:23">
      <c r="A3485" t="s">
        <v>16</v>
      </c>
      <c r="B3485">
        <v>587279</v>
      </c>
      <c r="C3485">
        <v>0.15</v>
      </c>
      <c r="D3485">
        <v>35</v>
      </c>
      <c r="E3485">
        <v>15</v>
      </c>
      <c r="F3485">
        <v>10</v>
      </c>
      <c r="G3485">
        <v>0</v>
      </c>
      <c r="H3485">
        <v>12</v>
      </c>
      <c r="I3485">
        <v>1957</v>
      </c>
      <c r="J3485">
        <v>810</v>
      </c>
      <c r="K3485">
        <v>15.505000000000001</v>
      </c>
      <c r="L3485">
        <v>11.200000000000001</v>
      </c>
      <c r="M3485">
        <v>8.6300000000000008</v>
      </c>
      <c r="N3485">
        <v>12.46</v>
      </c>
      <c r="O3485">
        <v>1670</v>
      </c>
      <c r="P3485">
        <v>0</v>
      </c>
      <c r="Q3485" s="5" t="e">
        <f>IF(AND(#REF!&gt;=table!$C$6,#REF!&lt;= table!$D$6),-1,IF(AND(#REF!&gt;=table!$E$6,#REF!&lt;=table!$F$6),1,0))</f>
        <v>#REF!</v>
      </c>
      <c r="R3485" s="5" t="e">
        <f>IF(AND(#REF!&gt;=table!$C$7,#REF!&lt;= table!$D$7),-1,IF(AND(#REF!&gt;=table!$E$7,#REF!&lt;=table!$F$7),1,0))</f>
        <v>#REF!</v>
      </c>
      <c r="S3485" s="5" t="e">
        <f>IF(AND(#REF!&gt;=table!$C$8,#REF!&lt;= table!$D$8),-1,IF(AND(#REF!&gt;=table!$E$8,#REF!&lt;=table!$F$8),1,0))</f>
        <v>#REF!</v>
      </c>
      <c r="T3485" s="5"/>
      <c r="U3485" s="5" t="e">
        <f>IF(AND(#REF!&gt;=table!$C$10,#REF!&lt;= table!$D$10),-1,IF(AND(#REF!&gt;=table!$E$10,#REF!&lt;=table!$F$10),1,0))</f>
        <v>#REF!</v>
      </c>
      <c r="V3485" s="5" t="e">
        <f>IF(AND(#REF!&gt;=table!$C$11,#REF!&lt;= table!$D$11),-1,IF(AND(#REF!&gt;=table!$E$11,#REF!&lt;=table!$F$11),1,0))</f>
        <v>#REF!</v>
      </c>
      <c r="W3485" s="5" t="e">
        <f>CONCATENATE(dados[[#This Row],[fator1]],dados[[#This Row],[fator5]],dados[[#This Row],[fator6]])</f>
        <v>#REF!</v>
      </c>
    </row>
    <row r="3486" spans="1:23">
      <c r="A3486" t="s">
        <v>17</v>
      </c>
      <c r="B3486">
        <v>587281</v>
      </c>
      <c r="C3486">
        <v>16</v>
      </c>
      <c r="D3486">
        <v>35</v>
      </c>
      <c r="E3486">
        <v>136</v>
      </c>
      <c r="F3486">
        <v>4</v>
      </c>
      <c r="G3486">
        <v>30</v>
      </c>
      <c r="H3486">
        <v>25</v>
      </c>
      <c r="I3486">
        <v>2003</v>
      </c>
      <c r="J3486">
        <v>0</v>
      </c>
      <c r="K3486">
        <v>14.51</v>
      </c>
      <c r="L3486">
        <v>11.55</v>
      </c>
      <c r="M3486">
        <v>114.60000000000001</v>
      </c>
      <c r="N3486">
        <v>13.6</v>
      </c>
      <c r="O3486">
        <v>1690</v>
      </c>
      <c r="P3486">
        <v>303</v>
      </c>
      <c r="Q3486" s="5" t="e">
        <f>IF(AND(#REF!&gt;=table!$C$6,#REF!&lt;= table!$D$6),-1,IF(AND(#REF!&gt;=table!$E$6,#REF!&lt;=table!$F$6),1,0))</f>
        <v>#REF!</v>
      </c>
      <c r="R3486" s="5" t="e">
        <f>IF(AND(#REF!&gt;=table!$C$7,#REF!&lt;= table!$D$7),-1,IF(AND(#REF!&gt;=table!$E$7,#REF!&lt;=table!$F$7),1,0))</f>
        <v>#REF!</v>
      </c>
      <c r="S3486" s="5" t="e">
        <f>IF(AND(#REF!&gt;=table!$C$8,#REF!&lt;= table!$D$8),-1,IF(AND(#REF!&gt;=table!$E$8,#REF!&lt;=table!$F$8),1,0))</f>
        <v>#REF!</v>
      </c>
      <c r="T3486" s="5"/>
      <c r="U3486" s="5" t="e">
        <f>IF(AND(#REF!&gt;=table!$C$10,#REF!&lt;= table!$D$10),-1,IF(AND(#REF!&gt;=table!$E$10,#REF!&lt;=table!$F$10),1,0))</f>
        <v>#REF!</v>
      </c>
      <c r="V3486" s="5" t="e">
        <f>IF(AND(#REF!&gt;=table!$C$11,#REF!&lt;= table!$D$11),-1,IF(AND(#REF!&gt;=table!$E$11,#REF!&lt;=table!$F$11),1,0))</f>
        <v>#REF!</v>
      </c>
      <c r="W3486" s="5" t="e">
        <f>CONCATENATE(dados[[#This Row],[fator1]],dados[[#This Row],[fator5]],dados[[#This Row],[fator6]])</f>
        <v>#REF!</v>
      </c>
    </row>
    <row r="3487" spans="1:23">
      <c r="A3487" t="s">
        <v>16</v>
      </c>
      <c r="B3487">
        <v>587286</v>
      </c>
      <c r="C3487">
        <v>6</v>
      </c>
      <c r="D3487">
        <v>40</v>
      </c>
      <c r="E3487">
        <v>66</v>
      </c>
      <c r="F3487">
        <v>10</v>
      </c>
      <c r="G3487">
        <v>0</v>
      </c>
      <c r="H3487">
        <v>25</v>
      </c>
      <c r="I3487">
        <v>948</v>
      </c>
      <c r="J3487">
        <v>0</v>
      </c>
      <c r="K3487">
        <v>4.54</v>
      </c>
      <c r="L3487">
        <v>6.9</v>
      </c>
      <c r="M3487">
        <v>52.75</v>
      </c>
      <c r="N3487">
        <v>14.15</v>
      </c>
      <c r="O3487">
        <v>1681</v>
      </c>
      <c r="P3487">
        <v>742</v>
      </c>
      <c r="Q3487" s="5" t="e">
        <f>IF(AND(#REF!&gt;=table!$C$6,#REF!&lt;= table!$D$6),-1,IF(AND(#REF!&gt;=table!$E$6,#REF!&lt;=table!$F$6),1,0))</f>
        <v>#REF!</v>
      </c>
      <c r="R3487" s="5" t="e">
        <f>IF(AND(#REF!&gt;=table!$C$7,#REF!&lt;= table!$D$7),-1,IF(AND(#REF!&gt;=table!$E$7,#REF!&lt;=table!$F$7),1,0))</f>
        <v>#REF!</v>
      </c>
      <c r="S3487" s="5" t="e">
        <f>IF(AND(#REF!&gt;=table!$C$8,#REF!&lt;= table!$D$8),-1,IF(AND(#REF!&gt;=table!$E$8,#REF!&lt;=table!$F$8),1,0))</f>
        <v>#REF!</v>
      </c>
      <c r="T3487" s="5"/>
      <c r="U3487" s="5" t="e">
        <f>IF(AND(#REF!&gt;=table!$C$10,#REF!&lt;= table!$D$10),-1,IF(AND(#REF!&gt;=table!$E$10,#REF!&lt;=table!$F$10),1,0))</f>
        <v>#REF!</v>
      </c>
      <c r="V3487" s="5" t="e">
        <f>IF(AND(#REF!&gt;=table!$C$11,#REF!&lt;= table!$D$11),-1,IF(AND(#REF!&gt;=table!$E$11,#REF!&lt;=table!$F$11),1,0))</f>
        <v>#REF!</v>
      </c>
      <c r="W3487" s="5" t="e">
        <f>CONCATENATE(dados[[#This Row],[fator1]],dados[[#This Row],[fator5]],dados[[#This Row],[fator6]])</f>
        <v>#REF!</v>
      </c>
    </row>
    <row r="3488" spans="1:23">
      <c r="A3488" t="s">
        <v>16</v>
      </c>
      <c r="B3488">
        <v>587288</v>
      </c>
      <c r="C3488">
        <v>6</v>
      </c>
      <c r="D3488">
        <v>40</v>
      </c>
      <c r="E3488">
        <v>66</v>
      </c>
      <c r="F3488">
        <v>10</v>
      </c>
      <c r="G3488">
        <v>0</v>
      </c>
      <c r="H3488">
        <v>25</v>
      </c>
      <c r="I3488">
        <v>1246</v>
      </c>
      <c r="J3488">
        <v>0</v>
      </c>
      <c r="K3488">
        <v>5.8</v>
      </c>
      <c r="L3488">
        <v>7.25</v>
      </c>
      <c r="M3488">
        <v>52.21</v>
      </c>
      <c r="N3488">
        <v>12.41</v>
      </c>
      <c r="O3488">
        <v>1673</v>
      </c>
      <c r="P3488">
        <v>0</v>
      </c>
      <c r="Q3488" s="5" t="e">
        <f>IF(AND(#REF!&gt;=table!$C$6,#REF!&lt;= table!$D$6),-1,IF(AND(#REF!&gt;=table!$E$6,#REF!&lt;=table!$F$6),1,0))</f>
        <v>#REF!</v>
      </c>
      <c r="R3488" s="5" t="e">
        <f>IF(AND(#REF!&gt;=table!$C$7,#REF!&lt;= table!$D$7),-1,IF(AND(#REF!&gt;=table!$E$7,#REF!&lt;=table!$F$7),1,0))</f>
        <v>#REF!</v>
      </c>
      <c r="S3488" s="5" t="e">
        <f>IF(AND(#REF!&gt;=table!$C$8,#REF!&lt;= table!$D$8),-1,IF(AND(#REF!&gt;=table!$E$8,#REF!&lt;=table!$F$8),1,0))</f>
        <v>#REF!</v>
      </c>
      <c r="T3488" s="5"/>
      <c r="U3488" s="5" t="e">
        <f>IF(AND(#REF!&gt;=table!$C$10,#REF!&lt;= table!$D$10),-1,IF(AND(#REF!&gt;=table!$E$10,#REF!&lt;=table!$F$10),1,0))</f>
        <v>#REF!</v>
      </c>
      <c r="V3488" s="5" t="e">
        <f>IF(AND(#REF!&gt;=table!$C$11,#REF!&lt;= table!$D$11),-1,IF(AND(#REF!&gt;=table!$E$11,#REF!&lt;=table!$F$11),1,0))</f>
        <v>#REF!</v>
      </c>
      <c r="W3488" s="5" t="e">
        <f>CONCATENATE(dados[[#This Row],[fator1]],dados[[#This Row],[fator5]],dados[[#This Row],[fator6]])</f>
        <v>#REF!</v>
      </c>
    </row>
    <row r="3489" spans="1:23">
      <c r="A3489" t="s">
        <v>16</v>
      </c>
      <c r="B3489">
        <v>587289</v>
      </c>
      <c r="C3489">
        <v>6</v>
      </c>
      <c r="D3489">
        <v>25</v>
      </c>
      <c r="E3489">
        <v>120</v>
      </c>
      <c r="F3489">
        <v>4</v>
      </c>
      <c r="G3489">
        <v>0</v>
      </c>
      <c r="H3489">
        <v>55</v>
      </c>
      <c r="I3489">
        <v>777</v>
      </c>
      <c r="J3489">
        <v>0</v>
      </c>
      <c r="K3489">
        <v>4.21</v>
      </c>
      <c r="L3489">
        <v>9.9749999999999996</v>
      </c>
      <c r="M3489">
        <v>95.55</v>
      </c>
      <c r="N3489">
        <v>31.05</v>
      </c>
      <c r="O3489">
        <v>1684</v>
      </c>
      <c r="P3489">
        <v>908</v>
      </c>
      <c r="Q3489" s="5" t="e">
        <f>IF(AND(#REF!&gt;=table!$C$6,#REF!&lt;= table!$D$6),-1,IF(AND(#REF!&gt;=table!$E$6,#REF!&lt;=table!$F$6),1,0))</f>
        <v>#REF!</v>
      </c>
      <c r="R3489" s="5" t="e">
        <f>IF(AND(#REF!&gt;=table!$C$7,#REF!&lt;= table!$D$7),-1,IF(AND(#REF!&gt;=table!$E$7,#REF!&lt;=table!$F$7),1,0))</f>
        <v>#REF!</v>
      </c>
      <c r="S3489" s="5" t="e">
        <f>IF(AND(#REF!&gt;=table!$C$8,#REF!&lt;= table!$D$8),-1,IF(AND(#REF!&gt;=table!$E$8,#REF!&lt;=table!$F$8),1,0))</f>
        <v>#REF!</v>
      </c>
      <c r="T3489" s="5"/>
      <c r="U3489" s="5" t="e">
        <f>IF(AND(#REF!&gt;=table!$C$10,#REF!&lt;= table!$D$10),-1,IF(AND(#REF!&gt;=table!$E$10,#REF!&lt;=table!$F$10),1,0))</f>
        <v>#REF!</v>
      </c>
      <c r="V3489" s="5" t="e">
        <f>IF(AND(#REF!&gt;=table!$C$11,#REF!&lt;= table!$D$11),-1,IF(AND(#REF!&gt;=table!$E$11,#REF!&lt;=table!$F$11),1,0))</f>
        <v>#REF!</v>
      </c>
      <c r="W3489" s="5" t="e">
        <f>CONCATENATE(dados[[#This Row],[fator1]],dados[[#This Row],[fator5]],dados[[#This Row],[fator6]])</f>
        <v>#REF!</v>
      </c>
    </row>
    <row r="3490" spans="1:23">
      <c r="A3490" t="s">
        <v>16</v>
      </c>
      <c r="B3490">
        <v>587290</v>
      </c>
      <c r="C3490">
        <v>8</v>
      </c>
      <c r="D3490">
        <v>30</v>
      </c>
      <c r="E3490">
        <v>61</v>
      </c>
      <c r="F3490">
        <v>8</v>
      </c>
      <c r="G3490">
        <v>0</v>
      </c>
      <c r="H3490">
        <v>25</v>
      </c>
      <c r="I3490">
        <v>792</v>
      </c>
      <c r="J3490">
        <v>0</v>
      </c>
      <c r="K3490">
        <v>3.2250000000000001</v>
      </c>
      <c r="L3490">
        <v>7.75</v>
      </c>
      <c r="M3490">
        <v>54.050000000000004</v>
      </c>
      <c r="N3490">
        <v>12.75</v>
      </c>
      <c r="O3490">
        <v>1688</v>
      </c>
      <c r="P3490">
        <v>1123</v>
      </c>
      <c r="Q3490" s="5" t="e">
        <f>IF(AND(#REF!&gt;=table!$C$6,#REF!&lt;= table!$D$6),-1,IF(AND(#REF!&gt;=table!$E$6,#REF!&lt;=table!$F$6),1,0))</f>
        <v>#REF!</v>
      </c>
      <c r="R3490" s="5" t="e">
        <f>IF(AND(#REF!&gt;=table!$C$7,#REF!&lt;= table!$D$7),-1,IF(AND(#REF!&gt;=table!$E$7,#REF!&lt;=table!$F$7),1,0))</f>
        <v>#REF!</v>
      </c>
      <c r="S3490" s="5" t="e">
        <f>IF(AND(#REF!&gt;=table!$C$8,#REF!&lt;= table!$D$8),-1,IF(AND(#REF!&gt;=table!$E$8,#REF!&lt;=table!$F$8),1,0))</f>
        <v>#REF!</v>
      </c>
      <c r="T3490" s="5"/>
      <c r="U3490" s="5" t="e">
        <f>IF(AND(#REF!&gt;=table!$C$10,#REF!&lt;= table!$D$10),-1,IF(AND(#REF!&gt;=table!$E$10,#REF!&lt;=table!$F$10),1,0))</f>
        <v>#REF!</v>
      </c>
      <c r="V3490" s="5" t="e">
        <f>IF(AND(#REF!&gt;=table!$C$11,#REF!&lt;= table!$D$11),-1,IF(AND(#REF!&gt;=table!$E$11,#REF!&lt;=table!$F$11),1,0))</f>
        <v>#REF!</v>
      </c>
      <c r="W3490" s="5" t="e">
        <f>CONCATENATE(dados[[#This Row],[fator1]],dados[[#This Row],[fator5]],dados[[#This Row],[fator6]])</f>
        <v>#REF!</v>
      </c>
    </row>
    <row r="3491" spans="1:23">
      <c r="A3491" t="s">
        <v>16</v>
      </c>
      <c r="B3491">
        <v>587291</v>
      </c>
      <c r="C3491">
        <v>8</v>
      </c>
      <c r="D3491">
        <v>40</v>
      </c>
      <c r="E3491">
        <v>61</v>
      </c>
      <c r="F3491">
        <v>8</v>
      </c>
      <c r="G3491">
        <v>0</v>
      </c>
      <c r="H3491">
        <v>25</v>
      </c>
      <c r="I3491">
        <v>941</v>
      </c>
      <c r="J3491">
        <v>3020</v>
      </c>
      <c r="K3491">
        <v>3.9750000000000001</v>
      </c>
      <c r="L3491">
        <v>11.450000000000001</v>
      </c>
      <c r="M3491">
        <v>58.85</v>
      </c>
      <c r="N3491">
        <v>29.8</v>
      </c>
      <c r="O3491">
        <v>1660</v>
      </c>
      <c r="P3491">
        <v>1005</v>
      </c>
      <c r="Q3491" s="5" t="e">
        <f>IF(AND(#REF!&gt;=table!$C$6,#REF!&lt;= table!$D$6),-1,IF(AND(#REF!&gt;=table!$E$6,#REF!&lt;=table!$F$6),1,0))</f>
        <v>#REF!</v>
      </c>
      <c r="R3491" s="5" t="e">
        <f>IF(AND(#REF!&gt;=table!$C$7,#REF!&lt;= table!$D$7),-1,IF(AND(#REF!&gt;=table!$E$7,#REF!&lt;=table!$F$7),1,0))</f>
        <v>#REF!</v>
      </c>
      <c r="S3491" s="5" t="e">
        <f>IF(AND(#REF!&gt;=table!$C$8,#REF!&lt;= table!$D$8),-1,IF(AND(#REF!&gt;=table!$E$8,#REF!&lt;=table!$F$8),1,0))</f>
        <v>#REF!</v>
      </c>
      <c r="T3491" s="5"/>
      <c r="U3491" s="5" t="e">
        <f>IF(AND(#REF!&gt;=table!$C$10,#REF!&lt;= table!$D$10),-1,IF(AND(#REF!&gt;=table!$E$10,#REF!&lt;=table!$F$10),1,0))</f>
        <v>#REF!</v>
      </c>
      <c r="V3491" s="5" t="e">
        <f>IF(AND(#REF!&gt;=table!$C$11,#REF!&lt;= table!$D$11),-1,IF(AND(#REF!&gt;=table!$E$11,#REF!&lt;=table!$F$11),1,0))</f>
        <v>#REF!</v>
      </c>
      <c r="W3491" s="5" t="e">
        <f>CONCATENATE(dados[[#This Row],[fator1]],dados[[#This Row],[fator5]],dados[[#This Row],[fator6]])</f>
        <v>#REF!</v>
      </c>
    </row>
    <row r="3492" spans="1:23">
      <c r="A3492" t="s">
        <v>16</v>
      </c>
      <c r="B3492">
        <v>587293</v>
      </c>
      <c r="C3492">
        <v>8</v>
      </c>
      <c r="D3492">
        <v>30</v>
      </c>
      <c r="E3492">
        <v>61</v>
      </c>
      <c r="F3492">
        <v>8</v>
      </c>
      <c r="G3492">
        <v>0</v>
      </c>
      <c r="H3492">
        <v>25</v>
      </c>
      <c r="I3492">
        <v>624</v>
      </c>
      <c r="J3492">
        <v>0</v>
      </c>
      <c r="K3492">
        <v>4.3250000000000002</v>
      </c>
      <c r="L3492">
        <v>20.350000000000001</v>
      </c>
      <c r="M3492">
        <v>49.75</v>
      </c>
      <c r="N3492">
        <v>13.3</v>
      </c>
      <c r="O3492">
        <v>1705</v>
      </c>
      <c r="P3492">
        <v>818</v>
      </c>
      <c r="Q3492" s="5" t="e">
        <f>IF(AND(#REF!&gt;=table!$C$6,#REF!&lt;= table!$D$6),-1,IF(AND(#REF!&gt;=table!$E$6,#REF!&lt;=table!$F$6),1,0))</f>
        <v>#REF!</v>
      </c>
      <c r="R3492" s="5" t="e">
        <f>IF(AND(#REF!&gt;=table!$C$7,#REF!&lt;= table!$D$7),-1,IF(AND(#REF!&gt;=table!$E$7,#REF!&lt;=table!$F$7),1,0))</f>
        <v>#REF!</v>
      </c>
      <c r="S3492" s="5" t="e">
        <f>IF(AND(#REF!&gt;=table!$C$8,#REF!&lt;= table!$D$8),-1,IF(AND(#REF!&gt;=table!$E$8,#REF!&lt;=table!$F$8),1,0))</f>
        <v>#REF!</v>
      </c>
      <c r="T3492" s="5"/>
      <c r="U3492" s="5" t="e">
        <f>IF(AND(#REF!&gt;=table!$C$10,#REF!&lt;= table!$D$10),-1,IF(AND(#REF!&gt;=table!$E$10,#REF!&lt;=table!$F$10),1,0))</f>
        <v>#REF!</v>
      </c>
      <c r="V3492" s="5" t="e">
        <f>IF(AND(#REF!&gt;=table!$C$11,#REF!&lt;= table!$D$11),-1,IF(AND(#REF!&gt;=table!$E$11,#REF!&lt;=table!$F$11),1,0))</f>
        <v>#REF!</v>
      </c>
      <c r="W3492" s="5" t="e">
        <f>CONCATENATE(dados[[#This Row],[fator1]],dados[[#This Row],[fator5]],dados[[#This Row],[fator6]])</f>
        <v>#REF!</v>
      </c>
    </row>
    <row r="3493" spans="1:23">
      <c r="A3493" t="s">
        <v>16</v>
      </c>
      <c r="B3493">
        <v>587295</v>
      </c>
      <c r="C3493">
        <v>0.15</v>
      </c>
      <c r="D3493">
        <v>40</v>
      </c>
      <c r="E3493">
        <v>10</v>
      </c>
      <c r="F3493">
        <v>15</v>
      </c>
      <c r="G3493">
        <v>0</v>
      </c>
      <c r="H3493">
        <v>15</v>
      </c>
      <c r="I3493">
        <v>1</v>
      </c>
      <c r="J3493">
        <v>0</v>
      </c>
      <c r="K3493">
        <v>5.99</v>
      </c>
      <c r="L3493">
        <v>9.85</v>
      </c>
      <c r="M3493">
        <v>9.4250000000000007</v>
      </c>
      <c r="N3493">
        <v>12.55</v>
      </c>
      <c r="O3493">
        <v>1682</v>
      </c>
      <c r="P3493">
        <v>556</v>
      </c>
      <c r="Q3493" s="5" t="e">
        <f>IF(AND(#REF!&gt;=table!$C$6,#REF!&lt;= table!$D$6),-1,IF(AND(#REF!&gt;=table!$E$6,#REF!&lt;=table!$F$6),1,0))</f>
        <v>#REF!</v>
      </c>
      <c r="R3493" s="5" t="e">
        <f>IF(AND(#REF!&gt;=table!$C$7,#REF!&lt;= table!$D$7),-1,IF(AND(#REF!&gt;=table!$E$7,#REF!&lt;=table!$F$7),1,0))</f>
        <v>#REF!</v>
      </c>
      <c r="S3493" s="5" t="e">
        <f>IF(AND(#REF!&gt;=table!$C$8,#REF!&lt;= table!$D$8),-1,IF(AND(#REF!&gt;=table!$E$8,#REF!&lt;=table!$F$8),1,0))</f>
        <v>#REF!</v>
      </c>
      <c r="T3493" s="5"/>
      <c r="U3493" s="5" t="e">
        <f>IF(AND(#REF!&gt;=table!$C$10,#REF!&lt;= table!$D$10),-1,IF(AND(#REF!&gt;=table!$E$10,#REF!&lt;=table!$F$10),1,0))</f>
        <v>#REF!</v>
      </c>
      <c r="V3493" s="5" t="e">
        <f>IF(AND(#REF!&gt;=table!$C$11,#REF!&lt;= table!$D$11),-1,IF(AND(#REF!&gt;=table!$E$11,#REF!&lt;=table!$F$11),1,0))</f>
        <v>#REF!</v>
      </c>
      <c r="W3493" s="5" t="e">
        <f>CONCATENATE(dados[[#This Row],[fator1]],dados[[#This Row],[fator5]],dados[[#This Row],[fator6]])</f>
        <v>#REF!</v>
      </c>
    </row>
    <row r="3494" spans="1:23">
      <c r="A3494" t="s">
        <v>16</v>
      </c>
      <c r="B3494">
        <v>587296</v>
      </c>
      <c r="C3494">
        <v>0.15</v>
      </c>
      <c r="D3494">
        <v>40</v>
      </c>
      <c r="E3494">
        <v>10</v>
      </c>
      <c r="F3494">
        <v>15</v>
      </c>
      <c r="G3494">
        <v>0</v>
      </c>
      <c r="H3494">
        <v>15</v>
      </c>
      <c r="I3494">
        <v>3</v>
      </c>
      <c r="J3494">
        <v>440</v>
      </c>
      <c r="K3494">
        <v>16.105</v>
      </c>
      <c r="L3494">
        <v>13.5</v>
      </c>
      <c r="M3494">
        <v>9.9850000000000012</v>
      </c>
      <c r="N3494">
        <v>10.24</v>
      </c>
      <c r="O3494">
        <v>1665</v>
      </c>
      <c r="P3494">
        <v>220</v>
      </c>
      <c r="Q3494" s="5" t="e">
        <f>IF(AND(#REF!&gt;=table!$C$6,#REF!&lt;= table!$D$6),-1,IF(AND(#REF!&gt;=table!$E$6,#REF!&lt;=table!$F$6),1,0))</f>
        <v>#REF!</v>
      </c>
      <c r="R3494" s="5" t="e">
        <f>IF(AND(#REF!&gt;=table!$C$7,#REF!&lt;= table!$D$7),-1,IF(AND(#REF!&gt;=table!$E$7,#REF!&lt;=table!$F$7),1,0))</f>
        <v>#REF!</v>
      </c>
      <c r="S3494" s="5" t="e">
        <f>IF(AND(#REF!&gt;=table!$C$8,#REF!&lt;= table!$D$8),-1,IF(AND(#REF!&gt;=table!$E$8,#REF!&lt;=table!$F$8),1,0))</f>
        <v>#REF!</v>
      </c>
      <c r="T3494" s="5"/>
      <c r="U3494" s="5" t="e">
        <f>IF(AND(#REF!&gt;=table!$C$10,#REF!&lt;= table!$D$10),-1,IF(AND(#REF!&gt;=table!$E$10,#REF!&lt;=table!$F$10),1,0))</f>
        <v>#REF!</v>
      </c>
      <c r="V3494" s="5" t="e">
        <f>IF(AND(#REF!&gt;=table!$C$11,#REF!&lt;= table!$D$11),-1,IF(AND(#REF!&gt;=table!$E$11,#REF!&lt;=table!$F$11),1,0))</f>
        <v>#REF!</v>
      </c>
      <c r="W3494" s="5" t="e">
        <f>CONCATENATE(dados[[#This Row],[fator1]],dados[[#This Row],[fator5]],dados[[#This Row],[fator6]])</f>
        <v>#REF!</v>
      </c>
    </row>
    <row r="3495" spans="1:23">
      <c r="A3495" t="s">
        <v>16</v>
      </c>
      <c r="B3495">
        <v>587298</v>
      </c>
      <c r="C3495">
        <v>0.15</v>
      </c>
      <c r="D3495">
        <v>40</v>
      </c>
      <c r="E3495">
        <v>10</v>
      </c>
      <c r="F3495">
        <v>15</v>
      </c>
      <c r="G3495">
        <v>0</v>
      </c>
      <c r="H3495">
        <v>15</v>
      </c>
      <c r="I3495">
        <v>0</v>
      </c>
      <c r="J3495">
        <v>0</v>
      </c>
      <c r="K3495">
        <v>4.46</v>
      </c>
      <c r="L3495">
        <v>8.8000000000000007</v>
      </c>
      <c r="M3495">
        <v>8.65</v>
      </c>
      <c r="N3495">
        <v>15.5</v>
      </c>
      <c r="O3495">
        <v>1680</v>
      </c>
      <c r="P3495">
        <v>0</v>
      </c>
      <c r="Q3495" s="5" t="e">
        <f>IF(AND(#REF!&gt;=table!$C$6,#REF!&lt;= table!$D$6),-1,IF(AND(#REF!&gt;=table!$E$6,#REF!&lt;=table!$F$6),1,0))</f>
        <v>#REF!</v>
      </c>
      <c r="R3495" s="5" t="e">
        <f>IF(AND(#REF!&gt;=table!$C$7,#REF!&lt;= table!$D$7),-1,IF(AND(#REF!&gt;=table!$E$7,#REF!&lt;=table!$F$7),1,0))</f>
        <v>#REF!</v>
      </c>
      <c r="S3495" s="5" t="e">
        <f>IF(AND(#REF!&gt;=table!$C$8,#REF!&lt;= table!$D$8),-1,IF(AND(#REF!&gt;=table!$E$8,#REF!&lt;=table!$F$8),1,0))</f>
        <v>#REF!</v>
      </c>
      <c r="T3495" s="5"/>
      <c r="U3495" s="5" t="e">
        <f>IF(AND(#REF!&gt;=table!$C$10,#REF!&lt;= table!$D$10),-1,IF(AND(#REF!&gt;=table!$E$10,#REF!&lt;=table!$F$10),1,0))</f>
        <v>#REF!</v>
      </c>
      <c r="V3495" s="5" t="e">
        <f>IF(AND(#REF!&gt;=table!$C$11,#REF!&lt;= table!$D$11),-1,IF(AND(#REF!&gt;=table!$E$11,#REF!&lt;=table!$F$11),1,0))</f>
        <v>#REF!</v>
      </c>
      <c r="W3495" s="5" t="e">
        <f>CONCATENATE(dados[[#This Row],[fator1]],dados[[#This Row],[fator5]],dados[[#This Row],[fator6]])</f>
        <v>#REF!</v>
      </c>
    </row>
    <row r="3496" spans="1:23">
      <c r="A3496" t="s">
        <v>16</v>
      </c>
      <c r="B3496">
        <v>587302</v>
      </c>
      <c r="C3496">
        <v>0.15</v>
      </c>
      <c r="D3496">
        <v>40</v>
      </c>
      <c r="E3496">
        <v>10</v>
      </c>
      <c r="F3496">
        <v>15</v>
      </c>
      <c r="G3496">
        <v>0</v>
      </c>
      <c r="H3496">
        <v>15</v>
      </c>
      <c r="I3496">
        <v>1128</v>
      </c>
      <c r="J3496">
        <v>1440</v>
      </c>
      <c r="K3496">
        <v>3.6750000000000003</v>
      </c>
      <c r="L3496">
        <v>13.85</v>
      </c>
      <c r="M3496">
        <v>8.9500000000000011</v>
      </c>
      <c r="N3496">
        <v>14.8</v>
      </c>
      <c r="O3496">
        <v>1697</v>
      </c>
      <c r="P3496">
        <v>1114</v>
      </c>
      <c r="Q3496" s="5" t="e">
        <f>IF(AND(#REF!&gt;=table!$C$6,#REF!&lt;= table!$D$6),-1,IF(AND(#REF!&gt;=table!$E$6,#REF!&lt;=table!$F$6),1,0))</f>
        <v>#REF!</v>
      </c>
      <c r="R3496" s="5" t="e">
        <f>IF(AND(#REF!&gt;=table!$C$7,#REF!&lt;= table!$D$7),-1,IF(AND(#REF!&gt;=table!$E$7,#REF!&lt;=table!$F$7),1,0))</f>
        <v>#REF!</v>
      </c>
      <c r="S3496" s="5" t="e">
        <f>IF(AND(#REF!&gt;=table!$C$8,#REF!&lt;= table!$D$8),-1,IF(AND(#REF!&gt;=table!$E$8,#REF!&lt;=table!$F$8),1,0))</f>
        <v>#REF!</v>
      </c>
      <c r="T3496" s="5"/>
      <c r="U3496" s="5" t="e">
        <f>IF(AND(#REF!&gt;=table!$C$10,#REF!&lt;= table!$D$10),-1,IF(AND(#REF!&gt;=table!$E$10,#REF!&lt;=table!$F$10),1,0))</f>
        <v>#REF!</v>
      </c>
      <c r="V3496" s="5" t="e">
        <f>IF(AND(#REF!&gt;=table!$C$11,#REF!&lt;= table!$D$11),-1,IF(AND(#REF!&gt;=table!$E$11,#REF!&lt;=table!$F$11),1,0))</f>
        <v>#REF!</v>
      </c>
      <c r="W3496" s="5" t="e">
        <f>CONCATENATE(dados[[#This Row],[fator1]],dados[[#This Row],[fator5]],dados[[#This Row],[fator6]])</f>
        <v>#REF!</v>
      </c>
    </row>
    <row r="3497" spans="1:23">
      <c r="A3497" t="s">
        <v>16</v>
      </c>
      <c r="B3497">
        <v>587306</v>
      </c>
      <c r="C3497">
        <v>0.1</v>
      </c>
      <c r="D3497">
        <v>40</v>
      </c>
      <c r="E3497">
        <v>10</v>
      </c>
      <c r="F3497">
        <v>8</v>
      </c>
      <c r="G3497">
        <v>0</v>
      </c>
      <c r="H3497">
        <v>10</v>
      </c>
      <c r="I3497">
        <v>674</v>
      </c>
      <c r="J3497">
        <v>0</v>
      </c>
      <c r="K3497">
        <v>5.1050000000000004</v>
      </c>
      <c r="L3497">
        <v>9.85</v>
      </c>
      <c r="M3497">
        <v>8.8000000000000007</v>
      </c>
      <c r="N3497">
        <v>15.15</v>
      </c>
      <c r="O3497">
        <v>1695</v>
      </c>
      <c r="P3497">
        <v>756</v>
      </c>
      <c r="Q3497" s="5" t="e">
        <f>IF(AND(#REF!&gt;=table!$C$6,#REF!&lt;= table!$D$6),-1,IF(AND(#REF!&gt;=table!$E$6,#REF!&lt;=table!$F$6),1,0))</f>
        <v>#REF!</v>
      </c>
      <c r="R3497" s="5" t="e">
        <f>IF(AND(#REF!&gt;=table!$C$7,#REF!&lt;= table!$D$7),-1,IF(AND(#REF!&gt;=table!$E$7,#REF!&lt;=table!$F$7),1,0))</f>
        <v>#REF!</v>
      </c>
      <c r="S3497" s="5" t="e">
        <f>IF(AND(#REF!&gt;=table!$C$8,#REF!&lt;= table!$D$8),-1,IF(AND(#REF!&gt;=table!$E$8,#REF!&lt;=table!$F$8),1,0))</f>
        <v>#REF!</v>
      </c>
      <c r="T3497" s="5"/>
      <c r="U3497" s="5" t="e">
        <f>IF(AND(#REF!&gt;=table!$C$10,#REF!&lt;= table!$D$10),-1,IF(AND(#REF!&gt;=table!$E$10,#REF!&lt;=table!$F$10),1,0))</f>
        <v>#REF!</v>
      </c>
      <c r="V3497" s="5" t="e">
        <f>IF(AND(#REF!&gt;=table!$C$11,#REF!&lt;= table!$D$11),-1,IF(AND(#REF!&gt;=table!$E$11,#REF!&lt;=table!$F$11),1,0))</f>
        <v>#REF!</v>
      </c>
      <c r="W3497" s="5" t="e">
        <f>CONCATENATE(dados[[#This Row],[fator1]],dados[[#This Row],[fator5]],dados[[#This Row],[fator6]])</f>
        <v>#REF!</v>
      </c>
    </row>
    <row r="3498" spans="1:23">
      <c r="A3498" t="s">
        <v>16</v>
      </c>
      <c r="B3498">
        <v>587307</v>
      </c>
      <c r="C3498">
        <v>10</v>
      </c>
      <c r="D3498">
        <v>45</v>
      </c>
      <c r="E3498">
        <v>156</v>
      </c>
      <c r="F3498">
        <v>8</v>
      </c>
      <c r="G3498">
        <v>0</v>
      </c>
      <c r="H3498">
        <v>25</v>
      </c>
      <c r="I3498">
        <v>307</v>
      </c>
      <c r="J3498">
        <v>0</v>
      </c>
      <c r="K3498">
        <v>9.0750000000000011</v>
      </c>
      <c r="L3498">
        <v>15.700000000000001</v>
      </c>
      <c r="M3498">
        <v>108.83</v>
      </c>
      <c r="N3498">
        <v>16.62</v>
      </c>
      <c r="O3498">
        <v>1683</v>
      </c>
      <c r="P3498">
        <v>0</v>
      </c>
      <c r="Q3498" s="5" t="e">
        <f>IF(AND(#REF!&gt;=table!$C$6,#REF!&lt;= table!$D$6),-1,IF(AND(#REF!&gt;=table!$E$6,#REF!&lt;=table!$F$6),1,0))</f>
        <v>#REF!</v>
      </c>
      <c r="R3498" s="5" t="e">
        <f>IF(AND(#REF!&gt;=table!$C$7,#REF!&lt;= table!$D$7),-1,IF(AND(#REF!&gt;=table!$E$7,#REF!&lt;=table!$F$7),1,0))</f>
        <v>#REF!</v>
      </c>
      <c r="S3498" s="5" t="e">
        <f>IF(AND(#REF!&gt;=table!$C$8,#REF!&lt;= table!$D$8),-1,IF(AND(#REF!&gt;=table!$E$8,#REF!&lt;=table!$F$8),1,0))</f>
        <v>#REF!</v>
      </c>
      <c r="T3498" s="5"/>
      <c r="U3498" s="5" t="e">
        <f>IF(AND(#REF!&gt;=table!$C$10,#REF!&lt;= table!$D$10),-1,IF(AND(#REF!&gt;=table!$E$10,#REF!&lt;=table!$F$10),1,0))</f>
        <v>#REF!</v>
      </c>
      <c r="V3498" s="5" t="e">
        <f>IF(AND(#REF!&gt;=table!$C$11,#REF!&lt;= table!$D$11),-1,IF(AND(#REF!&gt;=table!$E$11,#REF!&lt;=table!$F$11),1,0))</f>
        <v>#REF!</v>
      </c>
      <c r="W3498" s="5" t="e">
        <f>CONCATENATE(dados[[#This Row],[fator1]],dados[[#This Row],[fator5]],dados[[#This Row],[fator6]])</f>
        <v>#REF!</v>
      </c>
    </row>
    <row r="3499" spans="1:23">
      <c r="A3499" t="s">
        <v>17</v>
      </c>
      <c r="B3499">
        <v>587309</v>
      </c>
      <c r="C3499">
        <v>15</v>
      </c>
      <c r="D3499">
        <v>35</v>
      </c>
      <c r="E3499">
        <v>120</v>
      </c>
      <c r="F3499">
        <v>4</v>
      </c>
      <c r="G3499">
        <v>15</v>
      </c>
      <c r="H3499">
        <v>20</v>
      </c>
      <c r="I3499">
        <v>0</v>
      </c>
      <c r="J3499">
        <v>0</v>
      </c>
      <c r="K3499">
        <v>3.02</v>
      </c>
      <c r="L3499">
        <v>6.8</v>
      </c>
      <c r="M3499">
        <v>66.849999999999994</v>
      </c>
      <c r="N3499">
        <v>11.1</v>
      </c>
      <c r="O3499">
        <v>1694</v>
      </c>
      <c r="P3499">
        <v>0</v>
      </c>
      <c r="Q3499" s="5" t="e">
        <f>IF(AND(#REF!&gt;=table!$C$6,#REF!&lt;= table!$D$6),-1,IF(AND(#REF!&gt;=table!$E$6,#REF!&lt;=table!$F$6),1,0))</f>
        <v>#REF!</v>
      </c>
      <c r="R3499" s="5" t="e">
        <f>IF(AND(#REF!&gt;=table!$C$7,#REF!&lt;= table!$D$7),-1,IF(AND(#REF!&gt;=table!$E$7,#REF!&lt;=table!$F$7),1,0))</f>
        <v>#REF!</v>
      </c>
      <c r="S3499" s="5" t="e">
        <f>IF(AND(#REF!&gt;=table!$C$8,#REF!&lt;= table!$D$8),-1,IF(AND(#REF!&gt;=table!$E$8,#REF!&lt;=table!$F$8),1,0))</f>
        <v>#REF!</v>
      </c>
      <c r="T3499" s="5"/>
      <c r="U3499" s="5" t="e">
        <f>IF(AND(#REF!&gt;=table!$C$10,#REF!&lt;= table!$D$10),-1,IF(AND(#REF!&gt;=table!$E$10,#REF!&lt;=table!$F$10),1,0))</f>
        <v>#REF!</v>
      </c>
      <c r="V3499" s="5" t="e">
        <f>IF(AND(#REF!&gt;=table!$C$11,#REF!&lt;= table!$D$11),-1,IF(AND(#REF!&gt;=table!$E$11,#REF!&lt;=table!$F$11),1,0))</f>
        <v>#REF!</v>
      </c>
      <c r="W3499" s="5" t="e">
        <f>CONCATENATE(dados[[#This Row],[fator1]],dados[[#This Row],[fator5]],dados[[#This Row],[fator6]])</f>
        <v>#REF!</v>
      </c>
    </row>
    <row r="3500" spans="1:23">
      <c r="A3500" t="s">
        <v>17</v>
      </c>
      <c r="B3500">
        <v>587310</v>
      </c>
      <c r="C3500">
        <v>9</v>
      </c>
      <c r="D3500">
        <v>25</v>
      </c>
      <c r="E3500">
        <v>130</v>
      </c>
      <c r="F3500">
        <v>3</v>
      </c>
      <c r="G3500">
        <v>20</v>
      </c>
      <c r="H3500">
        <v>21</v>
      </c>
      <c r="I3500">
        <v>647</v>
      </c>
      <c r="J3500">
        <v>0</v>
      </c>
      <c r="K3500">
        <v>3.96</v>
      </c>
      <c r="L3500">
        <v>6.7</v>
      </c>
      <c r="M3500">
        <v>109.95</v>
      </c>
      <c r="N3500">
        <v>11.8</v>
      </c>
      <c r="O3500">
        <v>1677</v>
      </c>
      <c r="P3500">
        <v>934</v>
      </c>
      <c r="Q3500" s="5" t="e">
        <f>IF(AND(#REF!&gt;=table!$C$6,#REF!&lt;= table!$D$6),-1,IF(AND(#REF!&gt;=table!$E$6,#REF!&lt;=table!$F$6),1,0))</f>
        <v>#REF!</v>
      </c>
      <c r="R3500" s="5" t="e">
        <f>IF(AND(#REF!&gt;=table!$C$7,#REF!&lt;= table!$D$7),-1,IF(AND(#REF!&gt;=table!$E$7,#REF!&lt;=table!$F$7),1,0))</f>
        <v>#REF!</v>
      </c>
      <c r="S3500" s="5" t="e">
        <f>IF(AND(#REF!&gt;=table!$C$8,#REF!&lt;= table!$D$8),-1,IF(AND(#REF!&gt;=table!$E$8,#REF!&lt;=table!$F$8),1,0))</f>
        <v>#REF!</v>
      </c>
      <c r="T3500" s="5"/>
      <c r="U3500" s="5" t="e">
        <f>IF(AND(#REF!&gt;=table!$C$10,#REF!&lt;= table!$D$10),-1,IF(AND(#REF!&gt;=table!$E$10,#REF!&lt;=table!$F$10),1,0))</f>
        <v>#REF!</v>
      </c>
      <c r="V3500" s="5" t="e">
        <f>IF(AND(#REF!&gt;=table!$C$11,#REF!&lt;= table!$D$11),-1,IF(AND(#REF!&gt;=table!$E$11,#REF!&lt;=table!$F$11),1,0))</f>
        <v>#REF!</v>
      </c>
      <c r="W3500" s="5" t="e">
        <f>CONCATENATE(dados[[#This Row],[fator1]],dados[[#This Row],[fator5]],dados[[#This Row],[fator6]])</f>
        <v>#REF!</v>
      </c>
    </row>
    <row r="3501" spans="1:23">
      <c r="A3501" t="s">
        <v>17</v>
      </c>
      <c r="B3501">
        <v>587312</v>
      </c>
      <c r="C3501">
        <v>9</v>
      </c>
      <c r="D3501">
        <v>25</v>
      </c>
      <c r="E3501">
        <v>130</v>
      </c>
      <c r="F3501">
        <v>3</v>
      </c>
      <c r="G3501">
        <v>20</v>
      </c>
      <c r="H3501">
        <v>21</v>
      </c>
      <c r="I3501">
        <v>421</v>
      </c>
      <c r="J3501">
        <v>0</v>
      </c>
      <c r="K3501">
        <v>3.17</v>
      </c>
      <c r="L3501">
        <v>8.9</v>
      </c>
      <c r="M3501">
        <v>113.45</v>
      </c>
      <c r="N3501">
        <v>16.600000000000001</v>
      </c>
      <c r="O3501">
        <v>1696</v>
      </c>
      <c r="P3501">
        <v>1211</v>
      </c>
      <c r="Q3501" s="5" t="e">
        <f>IF(AND(#REF!&gt;=table!$C$6,#REF!&lt;= table!$D$6),-1,IF(AND(#REF!&gt;=table!$E$6,#REF!&lt;=table!$F$6),1,0))</f>
        <v>#REF!</v>
      </c>
      <c r="R3501" s="5" t="e">
        <f>IF(AND(#REF!&gt;=table!$C$7,#REF!&lt;= table!$D$7),-1,IF(AND(#REF!&gt;=table!$E$7,#REF!&lt;=table!$F$7),1,0))</f>
        <v>#REF!</v>
      </c>
      <c r="S3501" s="5" t="e">
        <f>IF(AND(#REF!&gt;=table!$C$8,#REF!&lt;= table!$D$8),-1,IF(AND(#REF!&gt;=table!$E$8,#REF!&lt;=table!$F$8),1,0))</f>
        <v>#REF!</v>
      </c>
      <c r="T3501" s="5"/>
      <c r="U3501" s="5" t="e">
        <f>IF(AND(#REF!&gt;=table!$C$10,#REF!&lt;= table!$D$10),-1,IF(AND(#REF!&gt;=table!$E$10,#REF!&lt;=table!$F$10),1,0))</f>
        <v>#REF!</v>
      </c>
      <c r="V3501" s="5" t="e">
        <f>IF(AND(#REF!&gt;=table!$C$11,#REF!&lt;= table!$D$11),-1,IF(AND(#REF!&gt;=table!$E$11,#REF!&lt;=table!$F$11),1,0))</f>
        <v>#REF!</v>
      </c>
      <c r="W3501" s="5" t="e">
        <f>CONCATENATE(dados[[#This Row],[fator1]],dados[[#This Row],[fator5]],dados[[#This Row],[fator6]])</f>
        <v>#REF!</v>
      </c>
    </row>
    <row r="3502" spans="1:23">
      <c r="A3502" t="s">
        <v>16</v>
      </c>
      <c r="B3502">
        <v>587313</v>
      </c>
      <c r="C3502">
        <v>10</v>
      </c>
      <c r="D3502">
        <v>40</v>
      </c>
      <c r="E3502">
        <v>96</v>
      </c>
      <c r="F3502">
        <v>8</v>
      </c>
      <c r="G3502">
        <v>0</v>
      </c>
      <c r="H3502">
        <v>25</v>
      </c>
      <c r="I3502">
        <v>931</v>
      </c>
      <c r="J3502">
        <v>0</v>
      </c>
      <c r="K3502">
        <v>3.4050000000000002</v>
      </c>
      <c r="L3502">
        <v>12.25</v>
      </c>
      <c r="M3502">
        <v>94.850000000000009</v>
      </c>
      <c r="N3502">
        <v>16.100000000000001</v>
      </c>
      <c r="O3502">
        <v>1689</v>
      </c>
      <c r="P3502">
        <v>0</v>
      </c>
      <c r="Q3502" s="5" t="e">
        <f>IF(AND(#REF!&gt;=table!$C$6,#REF!&lt;= table!$D$6),-1,IF(AND(#REF!&gt;=table!$E$6,#REF!&lt;=table!$F$6),1,0))</f>
        <v>#REF!</v>
      </c>
      <c r="R3502" s="5" t="e">
        <f>IF(AND(#REF!&gt;=table!$C$7,#REF!&lt;= table!$D$7),-1,IF(AND(#REF!&gt;=table!$E$7,#REF!&lt;=table!$F$7),1,0))</f>
        <v>#REF!</v>
      </c>
      <c r="S3502" s="5" t="e">
        <f>IF(AND(#REF!&gt;=table!$C$8,#REF!&lt;= table!$D$8),-1,IF(AND(#REF!&gt;=table!$E$8,#REF!&lt;=table!$F$8),1,0))</f>
        <v>#REF!</v>
      </c>
      <c r="T3502" s="5"/>
      <c r="U3502" s="5" t="e">
        <f>IF(AND(#REF!&gt;=table!$C$10,#REF!&lt;= table!$D$10),-1,IF(AND(#REF!&gt;=table!$E$10,#REF!&lt;=table!$F$10),1,0))</f>
        <v>#REF!</v>
      </c>
      <c r="V3502" s="5" t="e">
        <f>IF(AND(#REF!&gt;=table!$C$11,#REF!&lt;= table!$D$11),-1,IF(AND(#REF!&gt;=table!$E$11,#REF!&lt;=table!$F$11),1,0))</f>
        <v>#REF!</v>
      </c>
      <c r="W3502" s="5" t="e">
        <f>CONCATENATE(dados[[#This Row],[fator1]],dados[[#This Row],[fator5]],dados[[#This Row],[fator6]])</f>
        <v>#REF!</v>
      </c>
    </row>
    <row r="3503" spans="1:23">
      <c r="A3503" t="s">
        <v>17</v>
      </c>
      <c r="B3503">
        <v>587314</v>
      </c>
      <c r="C3503">
        <v>9</v>
      </c>
      <c r="D3503">
        <v>25</v>
      </c>
      <c r="E3503">
        <v>130</v>
      </c>
      <c r="F3503">
        <v>3</v>
      </c>
      <c r="G3503">
        <v>20</v>
      </c>
      <c r="H3503">
        <v>21</v>
      </c>
      <c r="I3503">
        <v>933</v>
      </c>
      <c r="J3503">
        <v>0</v>
      </c>
      <c r="K3503">
        <v>5.63</v>
      </c>
      <c r="L3503">
        <v>12.35</v>
      </c>
      <c r="M3503">
        <v>124</v>
      </c>
      <c r="N3503">
        <v>15.65</v>
      </c>
      <c r="O3503">
        <v>1673</v>
      </c>
      <c r="P3503">
        <v>591</v>
      </c>
      <c r="Q3503" s="5" t="e">
        <f>IF(AND(#REF!&gt;=table!$C$6,#REF!&lt;= table!$D$6),-1,IF(AND(#REF!&gt;=table!$E$6,#REF!&lt;=table!$F$6),1,0))</f>
        <v>#REF!</v>
      </c>
      <c r="R3503" s="5" t="e">
        <f>IF(AND(#REF!&gt;=table!$C$7,#REF!&lt;= table!$D$7),-1,IF(AND(#REF!&gt;=table!$E$7,#REF!&lt;=table!$F$7),1,0))</f>
        <v>#REF!</v>
      </c>
      <c r="S3503" s="5" t="e">
        <f>IF(AND(#REF!&gt;=table!$C$8,#REF!&lt;= table!$D$8),-1,IF(AND(#REF!&gt;=table!$E$8,#REF!&lt;=table!$F$8),1,0))</f>
        <v>#REF!</v>
      </c>
      <c r="T3503" s="5"/>
      <c r="U3503" s="5" t="e">
        <f>IF(AND(#REF!&gt;=table!$C$10,#REF!&lt;= table!$D$10),-1,IF(AND(#REF!&gt;=table!$E$10,#REF!&lt;=table!$F$10),1,0))</f>
        <v>#REF!</v>
      </c>
      <c r="V3503" s="5" t="e">
        <f>IF(AND(#REF!&gt;=table!$C$11,#REF!&lt;= table!$D$11),-1,IF(AND(#REF!&gt;=table!$E$11,#REF!&lt;=table!$F$11),1,0))</f>
        <v>#REF!</v>
      </c>
      <c r="W3503" s="5" t="e">
        <f>CONCATENATE(dados[[#This Row],[fator1]],dados[[#This Row],[fator5]],dados[[#This Row],[fator6]])</f>
        <v>#REF!</v>
      </c>
    </row>
    <row r="3504" spans="1:23">
      <c r="A3504" t="s">
        <v>17</v>
      </c>
      <c r="B3504">
        <v>587315</v>
      </c>
      <c r="C3504">
        <v>9</v>
      </c>
      <c r="D3504">
        <v>25</v>
      </c>
      <c r="E3504">
        <v>130</v>
      </c>
      <c r="F3504">
        <v>3</v>
      </c>
      <c r="G3504">
        <v>20</v>
      </c>
      <c r="H3504">
        <v>21</v>
      </c>
      <c r="I3504">
        <v>909</v>
      </c>
      <c r="J3504">
        <v>0</v>
      </c>
      <c r="K3504">
        <v>6.33</v>
      </c>
      <c r="L3504">
        <v>11.115</v>
      </c>
      <c r="M3504">
        <v>124.045</v>
      </c>
      <c r="N3504">
        <v>13.08</v>
      </c>
      <c r="O3504">
        <v>1671</v>
      </c>
      <c r="P3504">
        <v>604</v>
      </c>
      <c r="Q3504" s="5" t="e">
        <f>IF(AND(#REF!&gt;=table!$C$6,#REF!&lt;= table!$D$6),-1,IF(AND(#REF!&gt;=table!$E$6,#REF!&lt;=table!$F$6),1,0))</f>
        <v>#REF!</v>
      </c>
      <c r="R3504" s="5" t="e">
        <f>IF(AND(#REF!&gt;=table!$C$7,#REF!&lt;= table!$D$7),-1,IF(AND(#REF!&gt;=table!$E$7,#REF!&lt;=table!$F$7),1,0))</f>
        <v>#REF!</v>
      </c>
      <c r="S3504" s="5" t="e">
        <f>IF(AND(#REF!&gt;=table!$C$8,#REF!&lt;= table!$D$8),-1,IF(AND(#REF!&gt;=table!$E$8,#REF!&lt;=table!$F$8),1,0))</f>
        <v>#REF!</v>
      </c>
      <c r="T3504" s="5"/>
      <c r="U3504" s="5" t="e">
        <f>IF(AND(#REF!&gt;=table!$C$10,#REF!&lt;= table!$D$10),-1,IF(AND(#REF!&gt;=table!$E$10,#REF!&lt;=table!$F$10),1,0))</f>
        <v>#REF!</v>
      </c>
      <c r="V3504" s="5" t="e">
        <f>IF(AND(#REF!&gt;=table!$C$11,#REF!&lt;= table!$D$11),-1,IF(AND(#REF!&gt;=table!$E$11,#REF!&lt;=table!$F$11),1,0))</f>
        <v>#REF!</v>
      </c>
      <c r="W3504" s="5" t="e">
        <f>CONCATENATE(dados[[#This Row],[fator1]],dados[[#This Row],[fator5]],dados[[#This Row],[fator6]])</f>
        <v>#REF!</v>
      </c>
    </row>
    <row r="3505" spans="1:23">
      <c r="A3505" t="s">
        <v>17</v>
      </c>
      <c r="B3505">
        <v>587319</v>
      </c>
      <c r="C3505">
        <v>10</v>
      </c>
      <c r="D3505">
        <v>25</v>
      </c>
      <c r="E3505">
        <v>156</v>
      </c>
      <c r="F3505">
        <v>8</v>
      </c>
      <c r="G3505">
        <v>20</v>
      </c>
      <c r="H3505">
        <v>25</v>
      </c>
      <c r="I3505">
        <v>970</v>
      </c>
      <c r="J3505">
        <v>870</v>
      </c>
      <c r="K3505">
        <v>4.2050000000000001</v>
      </c>
      <c r="L3505">
        <v>15.25</v>
      </c>
      <c r="M3505">
        <v>138.72499999999999</v>
      </c>
      <c r="N3505">
        <v>15.785</v>
      </c>
      <c r="O3505">
        <v>1695</v>
      </c>
      <c r="P3505">
        <v>835</v>
      </c>
      <c r="Q3505" s="5" t="e">
        <f>IF(AND(#REF!&gt;=table!$C$6,#REF!&lt;= table!$D$6),-1,IF(AND(#REF!&gt;=table!$E$6,#REF!&lt;=table!$F$6),1,0))</f>
        <v>#REF!</v>
      </c>
      <c r="R3505" s="5" t="e">
        <f>IF(AND(#REF!&gt;=table!$C$7,#REF!&lt;= table!$D$7),-1,IF(AND(#REF!&gt;=table!$E$7,#REF!&lt;=table!$F$7),1,0))</f>
        <v>#REF!</v>
      </c>
      <c r="S3505" s="5" t="e">
        <f>IF(AND(#REF!&gt;=table!$C$8,#REF!&lt;= table!$D$8),-1,IF(AND(#REF!&gt;=table!$E$8,#REF!&lt;=table!$F$8),1,0))</f>
        <v>#REF!</v>
      </c>
      <c r="T3505" s="5"/>
      <c r="U3505" s="5" t="e">
        <f>IF(AND(#REF!&gt;=table!$C$10,#REF!&lt;= table!$D$10),-1,IF(AND(#REF!&gt;=table!$E$10,#REF!&lt;=table!$F$10),1,0))</f>
        <v>#REF!</v>
      </c>
      <c r="V3505" s="5" t="e">
        <f>IF(AND(#REF!&gt;=table!$C$11,#REF!&lt;= table!$D$11),-1,IF(AND(#REF!&gt;=table!$E$11,#REF!&lt;=table!$F$11),1,0))</f>
        <v>#REF!</v>
      </c>
      <c r="W3505" s="5" t="e">
        <f>CONCATENATE(dados[[#This Row],[fator1]],dados[[#This Row],[fator5]],dados[[#This Row],[fator6]])</f>
        <v>#REF!</v>
      </c>
    </row>
    <row r="3506" spans="1:23">
      <c r="A3506" t="s">
        <v>17</v>
      </c>
      <c r="B3506">
        <v>587320</v>
      </c>
      <c r="C3506">
        <v>10</v>
      </c>
      <c r="D3506">
        <v>25</v>
      </c>
      <c r="E3506">
        <v>156</v>
      </c>
      <c r="F3506">
        <v>8</v>
      </c>
      <c r="G3506">
        <v>20</v>
      </c>
      <c r="H3506">
        <v>25</v>
      </c>
      <c r="I3506">
        <v>1105</v>
      </c>
      <c r="J3506">
        <v>0</v>
      </c>
      <c r="K3506">
        <v>3.2</v>
      </c>
      <c r="L3506">
        <v>12.25</v>
      </c>
      <c r="M3506">
        <v>119.60000000000001</v>
      </c>
      <c r="N3506">
        <v>15.35</v>
      </c>
      <c r="O3506">
        <v>1693</v>
      </c>
      <c r="P3506">
        <v>0</v>
      </c>
      <c r="Q3506" s="5" t="e">
        <f>IF(AND(#REF!&gt;=table!$C$6,#REF!&lt;= table!$D$6),-1,IF(AND(#REF!&gt;=table!$E$6,#REF!&lt;=table!$F$6),1,0))</f>
        <v>#REF!</v>
      </c>
      <c r="R3506" s="5" t="e">
        <f>IF(AND(#REF!&gt;=table!$C$7,#REF!&lt;= table!$D$7),-1,IF(AND(#REF!&gt;=table!$E$7,#REF!&lt;=table!$F$7),1,0))</f>
        <v>#REF!</v>
      </c>
      <c r="S3506" s="5" t="e">
        <f>IF(AND(#REF!&gt;=table!$C$8,#REF!&lt;= table!$D$8),-1,IF(AND(#REF!&gt;=table!$E$8,#REF!&lt;=table!$F$8),1,0))</f>
        <v>#REF!</v>
      </c>
      <c r="T3506" s="5"/>
      <c r="U3506" s="5" t="e">
        <f>IF(AND(#REF!&gt;=table!$C$10,#REF!&lt;= table!$D$10),-1,IF(AND(#REF!&gt;=table!$E$10,#REF!&lt;=table!$F$10),1,0))</f>
        <v>#REF!</v>
      </c>
      <c r="V3506" s="5" t="e">
        <f>IF(AND(#REF!&gt;=table!$C$11,#REF!&lt;= table!$D$11),-1,IF(AND(#REF!&gt;=table!$E$11,#REF!&lt;=table!$F$11),1,0))</f>
        <v>#REF!</v>
      </c>
      <c r="W3506" s="5" t="e">
        <f>CONCATENATE(dados[[#This Row],[fator1]],dados[[#This Row],[fator5]],dados[[#This Row],[fator6]])</f>
        <v>#REF!</v>
      </c>
    </row>
    <row r="3507" spans="1:23">
      <c r="A3507" t="s">
        <v>16</v>
      </c>
      <c r="B3507">
        <v>587326</v>
      </c>
      <c r="C3507">
        <v>0.15</v>
      </c>
      <c r="D3507">
        <v>40</v>
      </c>
      <c r="E3507">
        <v>10</v>
      </c>
      <c r="F3507">
        <v>15</v>
      </c>
      <c r="G3507">
        <v>0</v>
      </c>
      <c r="H3507">
        <v>15</v>
      </c>
      <c r="I3507">
        <v>817</v>
      </c>
      <c r="J3507">
        <v>0</v>
      </c>
      <c r="K3507">
        <v>4.4249999999999998</v>
      </c>
      <c r="L3507">
        <v>11.05</v>
      </c>
      <c r="M3507">
        <v>10.35</v>
      </c>
      <c r="N3507">
        <v>12.450000000000001</v>
      </c>
      <c r="O3507">
        <v>1693</v>
      </c>
      <c r="P3507">
        <v>815</v>
      </c>
      <c r="Q3507" s="5" t="e">
        <f>IF(AND(#REF!&gt;=table!$C$6,#REF!&lt;= table!$D$6),-1,IF(AND(#REF!&gt;=table!$E$6,#REF!&lt;=table!$F$6),1,0))</f>
        <v>#REF!</v>
      </c>
      <c r="R3507" s="5" t="e">
        <f>IF(AND(#REF!&gt;=table!$C$7,#REF!&lt;= table!$D$7),-1,IF(AND(#REF!&gt;=table!$E$7,#REF!&lt;=table!$F$7),1,0))</f>
        <v>#REF!</v>
      </c>
      <c r="S3507" s="5" t="e">
        <f>IF(AND(#REF!&gt;=table!$C$8,#REF!&lt;= table!$D$8),-1,IF(AND(#REF!&gt;=table!$E$8,#REF!&lt;=table!$F$8),1,0))</f>
        <v>#REF!</v>
      </c>
      <c r="T3507" s="5"/>
      <c r="U3507" s="5" t="e">
        <f>IF(AND(#REF!&gt;=table!$C$10,#REF!&lt;= table!$D$10),-1,IF(AND(#REF!&gt;=table!$E$10,#REF!&lt;=table!$F$10),1,0))</f>
        <v>#REF!</v>
      </c>
      <c r="V3507" s="5" t="e">
        <f>IF(AND(#REF!&gt;=table!$C$11,#REF!&lt;= table!$D$11),-1,IF(AND(#REF!&gt;=table!$E$11,#REF!&lt;=table!$F$11),1,0))</f>
        <v>#REF!</v>
      </c>
      <c r="W3507" s="5" t="e">
        <f>CONCATENATE(dados[[#This Row],[fator1]],dados[[#This Row],[fator5]],dados[[#This Row],[fator6]])</f>
        <v>#REF!</v>
      </c>
    </row>
    <row r="3508" spans="1:23">
      <c r="A3508" t="s">
        <v>17</v>
      </c>
      <c r="B3508">
        <v>587330</v>
      </c>
      <c r="C3508">
        <v>16</v>
      </c>
      <c r="D3508">
        <v>25</v>
      </c>
      <c r="E3508">
        <v>60</v>
      </c>
      <c r="F3508">
        <v>10</v>
      </c>
      <c r="G3508">
        <v>13</v>
      </c>
      <c r="H3508">
        <v>25</v>
      </c>
      <c r="I3508">
        <v>1083</v>
      </c>
      <c r="J3508">
        <v>0</v>
      </c>
      <c r="K3508">
        <v>6.6150000000000002</v>
      </c>
      <c r="L3508">
        <v>10.5</v>
      </c>
      <c r="M3508">
        <v>27.1</v>
      </c>
      <c r="N3508">
        <v>13.9</v>
      </c>
      <c r="O3508">
        <v>1676</v>
      </c>
      <c r="P3508">
        <v>533</v>
      </c>
      <c r="Q3508" s="5" t="e">
        <f>IF(AND(#REF!&gt;=table!$C$6,#REF!&lt;= table!$D$6),-1,IF(AND(#REF!&gt;=table!$E$6,#REF!&lt;=table!$F$6),1,0))</f>
        <v>#REF!</v>
      </c>
      <c r="R3508" s="5" t="e">
        <f>IF(AND(#REF!&gt;=table!$C$7,#REF!&lt;= table!$D$7),-1,IF(AND(#REF!&gt;=table!$E$7,#REF!&lt;=table!$F$7),1,0))</f>
        <v>#REF!</v>
      </c>
      <c r="S3508" s="5" t="e">
        <f>IF(AND(#REF!&gt;=table!$C$8,#REF!&lt;= table!$D$8),-1,IF(AND(#REF!&gt;=table!$E$8,#REF!&lt;=table!$F$8),1,0))</f>
        <v>#REF!</v>
      </c>
      <c r="T3508" s="5"/>
      <c r="U3508" s="5" t="e">
        <f>IF(AND(#REF!&gt;=table!$C$10,#REF!&lt;= table!$D$10),-1,IF(AND(#REF!&gt;=table!$E$10,#REF!&lt;=table!$F$10),1,0))</f>
        <v>#REF!</v>
      </c>
      <c r="V3508" s="5" t="e">
        <f>IF(AND(#REF!&gt;=table!$C$11,#REF!&lt;= table!$D$11),-1,IF(AND(#REF!&gt;=table!$E$11,#REF!&lt;=table!$F$11),1,0))</f>
        <v>#REF!</v>
      </c>
      <c r="W3508" s="5" t="e">
        <f>CONCATENATE(dados[[#This Row],[fator1]],dados[[#This Row],[fator5]],dados[[#This Row],[fator6]])</f>
        <v>#REF!</v>
      </c>
    </row>
    <row r="3509" spans="1:23">
      <c r="A3509" t="s">
        <v>16</v>
      </c>
      <c r="B3509">
        <v>587331</v>
      </c>
      <c r="C3509">
        <v>16</v>
      </c>
      <c r="D3509">
        <v>30</v>
      </c>
      <c r="E3509">
        <v>36</v>
      </c>
      <c r="F3509">
        <v>3</v>
      </c>
      <c r="G3509">
        <v>0</v>
      </c>
      <c r="H3509">
        <v>25</v>
      </c>
      <c r="I3509">
        <v>1112</v>
      </c>
      <c r="J3509">
        <v>0</v>
      </c>
      <c r="K3509">
        <v>4.9350000000000005</v>
      </c>
      <c r="L3509">
        <v>16.365000000000002</v>
      </c>
      <c r="M3509">
        <v>27.5</v>
      </c>
      <c r="N3509">
        <v>15.6</v>
      </c>
      <c r="O3509">
        <v>1689</v>
      </c>
      <c r="P3509">
        <v>774</v>
      </c>
      <c r="Q3509" s="5" t="e">
        <f>IF(AND(#REF!&gt;=table!$C$6,#REF!&lt;= table!$D$6),-1,IF(AND(#REF!&gt;=table!$E$6,#REF!&lt;=table!$F$6),1,0))</f>
        <v>#REF!</v>
      </c>
      <c r="R3509" s="5" t="e">
        <f>IF(AND(#REF!&gt;=table!$C$7,#REF!&lt;= table!$D$7),-1,IF(AND(#REF!&gt;=table!$E$7,#REF!&lt;=table!$F$7),1,0))</f>
        <v>#REF!</v>
      </c>
      <c r="S3509" s="5" t="e">
        <f>IF(AND(#REF!&gt;=table!$C$8,#REF!&lt;= table!$D$8),-1,IF(AND(#REF!&gt;=table!$E$8,#REF!&lt;=table!$F$8),1,0))</f>
        <v>#REF!</v>
      </c>
      <c r="T3509" s="5"/>
      <c r="U3509" s="5" t="e">
        <f>IF(AND(#REF!&gt;=table!$C$10,#REF!&lt;= table!$D$10),-1,IF(AND(#REF!&gt;=table!$E$10,#REF!&lt;=table!$F$10),1,0))</f>
        <v>#REF!</v>
      </c>
      <c r="V3509" s="5" t="e">
        <f>IF(AND(#REF!&gt;=table!$C$11,#REF!&lt;= table!$D$11),-1,IF(AND(#REF!&gt;=table!$E$11,#REF!&lt;=table!$F$11),1,0))</f>
        <v>#REF!</v>
      </c>
      <c r="W3509" s="5" t="e">
        <f>CONCATENATE(dados[[#This Row],[fator1]],dados[[#This Row],[fator5]],dados[[#This Row],[fator6]])</f>
        <v>#REF!</v>
      </c>
    </row>
    <row r="3510" spans="1:23">
      <c r="A3510" t="s">
        <v>16</v>
      </c>
      <c r="B3510">
        <v>587332</v>
      </c>
      <c r="C3510">
        <v>16</v>
      </c>
      <c r="D3510">
        <v>35</v>
      </c>
      <c r="E3510">
        <v>36</v>
      </c>
      <c r="F3510">
        <v>10</v>
      </c>
      <c r="G3510">
        <v>0</v>
      </c>
      <c r="H3510">
        <v>25</v>
      </c>
      <c r="I3510">
        <v>1536</v>
      </c>
      <c r="J3510">
        <v>0</v>
      </c>
      <c r="K3510">
        <v>8.3967000000000009</v>
      </c>
      <c r="L3510">
        <v>17.850000000000001</v>
      </c>
      <c r="M3510">
        <v>31.6</v>
      </c>
      <c r="N3510">
        <v>16.95</v>
      </c>
      <c r="O3510">
        <v>1678</v>
      </c>
      <c r="P3510">
        <v>0</v>
      </c>
      <c r="Q3510" s="5" t="e">
        <f>IF(AND(#REF!&gt;=table!$C$6,#REF!&lt;= table!$D$6),-1,IF(AND(#REF!&gt;=table!$E$6,#REF!&lt;=table!$F$6),1,0))</f>
        <v>#REF!</v>
      </c>
      <c r="R3510" s="5" t="e">
        <f>IF(AND(#REF!&gt;=table!$C$7,#REF!&lt;= table!$D$7),-1,IF(AND(#REF!&gt;=table!$E$7,#REF!&lt;=table!$F$7),1,0))</f>
        <v>#REF!</v>
      </c>
      <c r="S3510" s="5" t="e">
        <f>IF(AND(#REF!&gt;=table!$C$8,#REF!&lt;= table!$D$8),-1,IF(AND(#REF!&gt;=table!$E$8,#REF!&lt;=table!$F$8),1,0))</f>
        <v>#REF!</v>
      </c>
      <c r="T3510" s="5"/>
      <c r="U3510" s="5" t="e">
        <f>IF(AND(#REF!&gt;=table!$C$10,#REF!&lt;= table!$D$10),-1,IF(AND(#REF!&gt;=table!$E$10,#REF!&lt;=table!$F$10),1,0))</f>
        <v>#REF!</v>
      </c>
      <c r="V3510" s="5" t="e">
        <f>IF(AND(#REF!&gt;=table!$C$11,#REF!&lt;= table!$D$11),-1,IF(AND(#REF!&gt;=table!$E$11,#REF!&lt;=table!$F$11),1,0))</f>
        <v>#REF!</v>
      </c>
      <c r="W3510" s="5" t="e">
        <f>CONCATENATE(dados[[#This Row],[fator1]],dados[[#This Row],[fator5]],dados[[#This Row],[fator6]])</f>
        <v>#REF!</v>
      </c>
    </row>
    <row r="3511" spans="1:23">
      <c r="A3511" t="s">
        <v>17</v>
      </c>
      <c r="B3511">
        <v>587335</v>
      </c>
      <c r="C3511">
        <v>15</v>
      </c>
      <c r="D3511">
        <v>25</v>
      </c>
      <c r="E3511">
        <v>126</v>
      </c>
      <c r="F3511">
        <v>10</v>
      </c>
      <c r="G3511">
        <v>23</v>
      </c>
      <c r="H3511">
        <v>25</v>
      </c>
      <c r="I3511">
        <v>0</v>
      </c>
      <c r="J3511">
        <v>0</v>
      </c>
      <c r="K3511">
        <v>2.3149999999999999</v>
      </c>
      <c r="L3511">
        <v>4.4000000000000004</v>
      </c>
      <c r="M3511">
        <v>108.66500000000001</v>
      </c>
      <c r="N3511">
        <v>12.485000000000001</v>
      </c>
      <c r="O3511">
        <v>1675</v>
      </c>
      <c r="P3511">
        <v>0</v>
      </c>
      <c r="Q3511" s="5" t="e">
        <f>IF(AND(#REF!&gt;=table!$C$6,#REF!&lt;= table!$D$6),-1,IF(AND(#REF!&gt;=table!$E$6,#REF!&lt;=table!$F$6),1,0))</f>
        <v>#REF!</v>
      </c>
      <c r="R3511" s="5" t="e">
        <f>IF(AND(#REF!&gt;=table!$C$7,#REF!&lt;= table!$D$7),-1,IF(AND(#REF!&gt;=table!$E$7,#REF!&lt;=table!$F$7),1,0))</f>
        <v>#REF!</v>
      </c>
      <c r="S3511" s="5" t="e">
        <f>IF(AND(#REF!&gt;=table!$C$8,#REF!&lt;= table!$D$8),-1,IF(AND(#REF!&gt;=table!$E$8,#REF!&lt;=table!$F$8),1,0))</f>
        <v>#REF!</v>
      </c>
      <c r="T3511" s="5"/>
      <c r="U3511" s="5" t="e">
        <f>IF(AND(#REF!&gt;=table!$C$10,#REF!&lt;= table!$D$10),-1,IF(AND(#REF!&gt;=table!$E$10,#REF!&lt;=table!$F$10),1,0))</f>
        <v>#REF!</v>
      </c>
      <c r="V3511" s="5" t="e">
        <f>IF(AND(#REF!&gt;=table!$C$11,#REF!&lt;= table!$D$11),-1,IF(AND(#REF!&gt;=table!$E$11,#REF!&lt;=table!$F$11),1,0))</f>
        <v>#REF!</v>
      </c>
      <c r="W3511" s="5" t="e">
        <f>CONCATENATE(dados[[#This Row],[fator1]],dados[[#This Row],[fator5]],dados[[#This Row],[fator6]])</f>
        <v>#REF!</v>
      </c>
    </row>
    <row r="3512" spans="1:23">
      <c r="A3512" t="s">
        <v>16</v>
      </c>
      <c r="B3512">
        <v>587337</v>
      </c>
      <c r="C3512">
        <v>0.15</v>
      </c>
      <c r="D3512">
        <v>40</v>
      </c>
      <c r="E3512">
        <v>64</v>
      </c>
      <c r="F3512">
        <v>10</v>
      </c>
      <c r="G3512">
        <v>0</v>
      </c>
      <c r="H3512">
        <v>35</v>
      </c>
      <c r="I3512">
        <v>1</v>
      </c>
      <c r="J3512">
        <v>0</v>
      </c>
      <c r="K3512">
        <v>2.3265000000000002</v>
      </c>
      <c r="L3512">
        <v>7.21</v>
      </c>
      <c r="M3512">
        <v>6.0750000000000002</v>
      </c>
      <c r="N3512">
        <v>11.555</v>
      </c>
      <c r="O3512">
        <v>1682</v>
      </c>
      <c r="P3512">
        <v>0</v>
      </c>
      <c r="Q3512" s="5" t="e">
        <f>IF(AND(#REF!&gt;=table!$C$6,#REF!&lt;= table!$D$6),-1,IF(AND(#REF!&gt;=table!$E$6,#REF!&lt;=table!$F$6),1,0))</f>
        <v>#REF!</v>
      </c>
      <c r="R3512" s="5" t="e">
        <f>IF(AND(#REF!&gt;=table!$C$7,#REF!&lt;= table!$D$7),-1,IF(AND(#REF!&gt;=table!$E$7,#REF!&lt;=table!$F$7),1,0))</f>
        <v>#REF!</v>
      </c>
      <c r="S3512" s="5" t="e">
        <f>IF(AND(#REF!&gt;=table!$C$8,#REF!&lt;= table!$D$8),-1,IF(AND(#REF!&gt;=table!$E$8,#REF!&lt;=table!$F$8),1,0))</f>
        <v>#REF!</v>
      </c>
      <c r="T3512" s="5"/>
      <c r="U3512" s="5" t="e">
        <f>IF(AND(#REF!&gt;=table!$C$10,#REF!&lt;= table!$D$10),-1,IF(AND(#REF!&gt;=table!$E$10,#REF!&lt;=table!$F$10),1,0))</f>
        <v>#REF!</v>
      </c>
      <c r="V3512" s="5" t="e">
        <f>IF(AND(#REF!&gt;=table!$C$11,#REF!&lt;= table!$D$11),-1,IF(AND(#REF!&gt;=table!$E$11,#REF!&lt;=table!$F$11),1,0))</f>
        <v>#REF!</v>
      </c>
      <c r="W3512" s="5" t="e">
        <f>CONCATENATE(dados[[#This Row],[fator1]],dados[[#This Row],[fator5]],dados[[#This Row],[fator6]])</f>
        <v>#REF!</v>
      </c>
    </row>
    <row r="3513" spans="1:23">
      <c r="A3513" t="s">
        <v>17</v>
      </c>
      <c r="B3513">
        <v>587338</v>
      </c>
      <c r="C3513">
        <v>6</v>
      </c>
      <c r="D3513">
        <v>30</v>
      </c>
      <c r="E3513">
        <v>110</v>
      </c>
      <c r="F3513">
        <v>10</v>
      </c>
      <c r="G3513">
        <v>21</v>
      </c>
      <c r="H3513">
        <v>25</v>
      </c>
      <c r="I3513">
        <v>18</v>
      </c>
      <c r="J3513">
        <v>0</v>
      </c>
      <c r="K3513">
        <v>7.63</v>
      </c>
      <c r="L3513">
        <v>8.42</v>
      </c>
      <c r="M3513">
        <v>98.225000000000009</v>
      </c>
      <c r="N3513">
        <v>13.635</v>
      </c>
      <c r="O3513">
        <v>1660</v>
      </c>
      <c r="P3513">
        <v>675</v>
      </c>
      <c r="Q3513" s="5" t="e">
        <f>IF(AND(#REF!&gt;=table!$C$6,#REF!&lt;= table!$D$6),-1,IF(AND(#REF!&gt;=table!$E$6,#REF!&lt;=table!$F$6),1,0))</f>
        <v>#REF!</v>
      </c>
      <c r="R3513" s="5" t="e">
        <f>IF(AND(#REF!&gt;=table!$C$7,#REF!&lt;= table!$D$7),-1,IF(AND(#REF!&gt;=table!$E$7,#REF!&lt;=table!$F$7),1,0))</f>
        <v>#REF!</v>
      </c>
      <c r="S3513" s="5" t="e">
        <f>IF(AND(#REF!&gt;=table!$C$8,#REF!&lt;= table!$D$8),-1,IF(AND(#REF!&gt;=table!$E$8,#REF!&lt;=table!$F$8),1,0))</f>
        <v>#REF!</v>
      </c>
      <c r="T3513" s="5"/>
      <c r="U3513" s="5" t="e">
        <f>IF(AND(#REF!&gt;=table!$C$10,#REF!&lt;= table!$D$10),-1,IF(AND(#REF!&gt;=table!$E$10,#REF!&lt;=table!$F$10),1,0))</f>
        <v>#REF!</v>
      </c>
      <c r="V3513" s="5" t="e">
        <f>IF(AND(#REF!&gt;=table!$C$11,#REF!&lt;= table!$D$11),-1,IF(AND(#REF!&gt;=table!$E$11,#REF!&lt;=table!$F$11),1,0))</f>
        <v>#REF!</v>
      </c>
      <c r="W3513" s="5" t="e">
        <f>CONCATENATE(dados[[#This Row],[fator1]],dados[[#This Row],[fator5]],dados[[#This Row],[fator6]])</f>
        <v>#REF!</v>
      </c>
    </row>
    <row r="3514" spans="1:23">
      <c r="A3514" t="s">
        <v>17</v>
      </c>
      <c r="B3514">
        <v>587340</v>
      </c>
      <c r="C3514">
        <v>6</v>
      </c>
      <c r="D3514">
        <v>30</v>
      </c>
      <c r="E3514">
        <v>110</v>
      </c>
      <c r="F3514">
        <v>10</v>
      </c>
      <c r="G3514">
        <v>21</v>
      </c>
      <c r="H3514">
        <v>25</v>
      </c>
      <c r="I3514">
        <v>477</v>
      </c>
      <c r="J3514">
        <v>0</v>
      </c>
      <c r="K3514">
        <v>4.2650000000000006</v>
      </c>
      <c r="L3514">
        <v>14.05</v>
      </c>
      <c r="M3514">
        <v>82.2</v>
      </c>
      <c r="N3514">
        <v>20.95</v>
      </c>
      <c r="O3514">
        <v>1668</v>
      </c>
      <c r="P3514">
        <v>914</v>
      </c>
      <c r="Q3514" s="5" t="e">
        <f>IF(AND(#REF!&gt;=table!$C$6,#REF!&lt;= table!$D$6),-1,IF(AND(#REF!&gt;=table!$E$6,#REF!&lt;=table!$F$6),1,0))</f>
        <v>#REF!</v>
      </c>
      <c r="R3514" s="5" t="e">
        <f>IF(AND(#REF!&gt;=table!$C$7,#REF!&lt;= table!$D$7),-1,IF(AND(#REF!&gt;=table!$E$7,#REF!&lt;=table!$F$7),1,0))</f>
        <v>#REF!</v>
      </c>
      <c r="S3514" s="5" t="e">
        <f>IF(AND(#REF!&gt;=table!$C$8,#REF!&lt;= table!$D$8),-1,IF(AND(#REF!&gt;=table!$E$8,#REF!&lt;=table!$F$8),1,0))</f>
        <v>#REF!</v>
      </c>
      <c r="T3514" s="5"/>
      <c r="U3514" s="5" t="e">
        <f>IF(AND(#REF!&gt;=table!$C$10,#REF!&lt;= table!$D$10),-1,IF(AND(#REF!&gt;=table!$E$10,#REF!&lt;=table!$F$10),1,0))</f>
        <v>#REF!</v>
      </c>
      <c r="V3514" s="5" t="e">
        <f>IF(AND(#REF!&gt;=table!$C$11,#REF!&lt;= table!$D$11),-1,IF(AND(#REF!&gt;=table!$E$11,#REF!&lt;=table!$F$11),1,0))</f>
        <v>#REF!</v>
      </c>
      <c r="W3514" s="5" t="e">
        <f>CONCATENATE(dados[[#This Row],[fator1]],dados[[#This Row],[fator5]],dados[[#This Row],[fator6]])</f>
        <v>#REF!</v>
      </c>
    </row>
    <row r="3515" spans="1:23">
      <c r="A3515" t="s">
        <v>16</v>
      </c>
      <c r="B3515">
        <v>587346</v>
      </c>
      <c r="C3515">
        <v>12</v>
      </c>
      <c r="D3515">
        <v>35</v>
      </c>
      <c r="E3515">
        <v>180</v>
      </c>
      <c r="F3515">
        <v>6</v>
      </c>
      <c r="G3515">
        <v>0</v>
      </c>
      <c r="H3515">
        <v>20</v>
      </c>
      <c r="I3515">
        <v>957</v>
      </c>
      <c r="J3515">
        <v>0</v>
      </c>
      <c r="K3515">
        <v>3.0950000000000002</v>
      </c>
      <c r="L3515">
        <v>6.75</v>
      </c>
      <c r="M3515">
        <v>170.15</v>
      </c>
      <c r="N3515">
        <v>12.450000000000001</v>
      </c>
      <c r="O3515">
        <v>1674</v>
      </c>
      <c r="P3515">
        <v>0</v>
      </c>
      <c r="Q3515" s="5" t="e">
        <f>IF(AND(#REF!&gt;=table!$C$6,#REF!&lt;= table!$D$6),-1,IF(AND(#REF!&gt;=table!$E$6,#REF!&lt;=table!$F$6),1,0))</f>
        <v>#REF!</v>
      </c>
      <c r="R3515" s="5" t="e">
        <f>IF(AND(#REF!&gt;=table!$C$7,#REF!&lt;= table!$D$7),-1,IF(AND(#REF!&gt;=table!$E$7,#REF!&lt;=table!$F$7),1,0))</f>
        <v>#REF!</v>
      </c>
      <c r="S3515" s="5" t="e">
        <f>IF(AND(#REF!&gt;=table!$C$8,#REF!&lt;= table!$D$8),-1,IF(AND(#REF!&gt;=table!$E$8,#REF!&lt;=table!$F$8),1,0))</f>
        <v>#REF!</v>
      </c>
      <c r="T3515" s="5"/>
      <c r="U3515" s="5" t="e">
        <f>IF(AND(#REF!&gt;=table!$C$10,#REF!&lt;= table!$D$10),-1,IF(AND(#REF!&gt;=table!$E$10,#REF!&lt;=table!$F$10),1,0))</f>
        <v>#REF!</v>
      </c>
      <c r="V3515" s="5" t="e">
        <f>IF(AND(#REF!&gt;=table!$C$11,#REF!&lt;= table!$D$11),-1,IF(AND(#REF!&gt;=table!$E$11,#REF!&lt;=table!$F$11),1,0))</f>
        <v>#REF!</v>
      </c>
      <c r="W3515" s="5" t="e">
        <f>CONCATENATE(dados[[#This Row],[fator1]],dados[[#This Row],[fator5]],dados[[#This Row],[fator6]])</f>
        <v>#REF!</v>
      </c>
    </row>
    <row r="3516" spans="1:23">
      <c r="A3516" t="s">
        <v>16</v>
      </c>
      <c r="B3516">
        <v>587347</v>
      </c>
      <c r="C3516">
        <v>7</v>
      </c>
      <c r="D3516">
        <v>35</v>
      </c>
      <c r="E3516">
        <v>170</v>
      </c>
      <c r="F3516">
        <v>6</v>
      </c>
      <c r="G3516">
        <v>0</v>
      </c>
      <c r="H3516">
        <v>20</v>
      </c>
      <c r="I3516">
        <v>0</v>
      </c>
      <c r="J3516">
        <v>0</v>
      </c>
      <c r="K3516">
        <v>3.38</v>
      </c>
      <c r="L3516">
        <v>7.3</v>
      </c>
      <c r="M3516">
        <v>133.15</v>
      </c>
      <c r="N3516">
        <v>11.15</v>
      </c>
      <c r="O3516">
        <v>1658</v>
      </c>
      <c r="P3516">
        <v>1116</v>
      </c>
      <c r="Q3516" s="5" t="e">
        <f>IF(AND(#REF!&gt;=table!$C$6,#REF!&lt;= table!$D$6),-1,IF(AND(#REF!&gt;=table!$E$6,#REF!&lt;=table!$F$6),1,0))</f>
        <v>#REF!</v>
      </c>
      <c r="R3516" s="5" t="e">
        <f>IF(AND(#REF!&gt;=table!$C$7,#REF!&lt;= table!$D$7),-1,IF(AND(#REF!&gt;=table!$E$7,#REF!&lt;=table!$F$7),1,0))</f>
        <v>#REF!</v>
      </c>
      <c r="S3516" s="5" t="e">
        <f>IF(AND(#REF!&gt;=table!$C$8,#REF!&lt;= table!$D$8),-1,IF(AND(#REF!&gt;=table!$E$8,#REF!&lt;=table!$F$8),1,0))</f>
        <v>#REF!</v>
      </c>
      <c r="T3516" s="5"/>
      <c r="U3516" s="5" t="e">
        <f>IF(AND(#REF!&gt;=table!$C$10,#REF!&lt;= table!$D$10),-1,IF(AND(#REF!&gt;=table!$E$10,#REF!&lt;=table!$F$10),1,0))</f>
        <v>#REF!</v>
      </c>
      <c r="V3516" s="5" t="e">
        <f>IF(AND(#REF!&gt;=table!$C$11,#REF!&lt;= table!$D$11),-1,IF(AND(#REF!&gt;=table!$E$11,#REF!&lt;=table!$F$11),1,0))</f>
        <v>#REF!</v>
      </c>
      <c r="W3516" s="5" t="e">
        <f>CONCATENATE(dados[[#This Row],[fator1]],dados[[#This Row],[fator5]],dados[[#This Row],[fator6]])</f>
        <v>#REF!</v>
      </c>
    </row>
    <row r="3517" spans="1:23">
      <c r="A3517" t="s">
        <v>16</v>
      </c>
      <c r="B3517">
        <v>587351</v>
      </c>
      <c r="C3517">
        <v>9</v>
      </c>
      <c r="D3517">
        <v>40</v>
      </c>
      <c r="E3517">
        <v>130</v>
      </c>
      <c r="F3517">
        <v>3</v>
      </c>
      <c r="G3517">
        <v>0</v>
      </c>
      <c r="H3517">
        <v>25</v>
      </c>
      <c r="I3517">
        <v>783</v>
      </c>
      <c r="J3517">
        <v>0</v>
      </c>
      <c r="K3517">
        <v>4.51</v>
      </c>
      <c r="L3517">
        <v>8.65</v>
      </c>
      <c r="M3517">
        <v>107.7</v>
      </c>
      <c r="N3517">
        <v>13.35</v>
      </c>
      <c r="O3517">
        <v>1673</v>
      </c>
      <c r="P3517">
        <v>687</v>
      </c>
      <c r="Q3517" s="5" t="e">
        <f>IF(AND(#REF!&gt;=table!$C$6,#REF!&lt;= table!$D$6),-1,IF(AND(#REF!&gt;=table!$E$6,#REF!&lt;=table!$F$6),1,0))</f>
        <v>#REF!</v>
      </c>
      <c r="R3517" s="5" t="e">
        <f>IF(AND(#REF!&gt;=table!$C$7,#REF!&lt;= table!$D$7),-1,IF(AND(#REF!&gt;=table!$E$7,#REF!&lt;=table!$F$7),1,0))</f>
        <v>#REF!</v>
      </c>
      <c r="S3517" s="5" t="e">
        <f>IF(AND(#REF!&gt;=table!$C$8,#REF!&lt;= table!$D$8),-1,IF(AND(#REF!&gt;=table!$E$8,#REF!&lt;=table!$F$8),1,0))</f>
        <v>#REF!</v>
      </c>
      <c r="T3517" s="5"/>
      <c r="U3517" s="5" t="e">
        <f>IF(AND(#REF!&gt;=table!$C$10,#REF!&lt;= table!$D$10),-1,IF(AND(#REF!&gt;=table!$E$10,#REF!&lt;=table!$F$10),1,0))</f>
        <v>#REF!</v>
      </c>
      <c r="V3517" s="5" t="e">
        <f>IF(AND(#REF!&gt;=table!$C$11,#REF!&lt;= table!$D$11),-1,IF(AND(#REF!&gt;=table!$E$11,#REF!&lt;=table!$F$11),1,0))</f>
        <v>#REF!</v>
      </c>
      <c r="W3517" s="5" t="e">
        <f>CONCATENATE(dados[[#This Row],[fator1]],dados[[#This Row],[fator5]],dados[[#This Row],[fator6]])</f>
        <v>#REF!</v>
      </c>
    </row>
    <row r="3518" spans="1:23">
      <c r="A3518" t="s">
        <v>16</v>
      </c>
      <c r="B3518">
        <v>587354</v>
      </c>
      <c r="C3518">
        <v>12</v>
      </c>
      <c r="D3518">
        <v>35</v>
      </c>
      <c r="E3518">
        <v>86</v>
      </c>
      <c r="F3518">
        <v>10</v>
      </c>
      <c r="G3518">
        <v>0</v>
      </c>
      <c r="H3518">
        <v>25</v>
      </c>
      <c r="I3518">
        <v>63</v>
      </c>
      <c r="J3518">
        <v>0</v>
      </c>
      <c r="K3518">
        <v>3.11</v>
      </c>
      <c r="L3518">
        <v>13.3</v>
      </c>
      <c r="M3518">
        <v>60.67</v>
      </c>
      <c r="N3518">
        <v>15.860000000000001</v>
      </c>
      <c r="O3518">
        <v>1661</v>
      </c>
      <c r="P3518">
        <v>725</v>
      </c>
      <c r="Q3518" s="5" t="e">
        <f>IF(AND(#REF!&gt;=table!$C$6,#REF!&lt;= table!$D$6),-1,IF(AND(#REF!&gt;=table!$E$6,#REF!&lt;=table!$F$6),1,0))</f>
        <v>#REF!</v>
      </c>
      <c r="R3518" s="5" t="e">
        <f>IF(AND(#REF!&gt;=table!$C$7,#REF!&lt;= table!$D$7),-1,IF(AND(#REF!&gt;=table!$E$7,#REF!&lt;=table!$F$7),1,0))</f>
        <v>#REF!</v>
      </c>
      <c r="S3518" s="5" t="e">
        <f>IF(AND(#REF!&gt;=table!$C$8,#REF!&lt;= table!$D$8),-1,IF(AND(#REF!&gt;=table!$E$8,#REF!&lt;=table!$F$8),1,0))</f>
        <v>#REF!</v>
      </c>
      <c r="T3518" s="5"/>
      <c r="U3518" s="5" t="e">
        <f>IF(AND(#REF!&gt;=table!$C$10,#REF!&lt;= table!$D$10),-1,IF(AND(#REF!&gt;=table!$E$10,#REF!&lt;=table!$F$10),1,0))</f>
        <v>#REF!</v>
      </c>
      <c r="V3518" s="5" t="e">
        <f>IF(AND(#REF!&gt;=table!$C$11,#REF!&lt;= table!$D$11),-1,IF(AND(#REF!&gt;=table!$E$11,#REF!&lt;=table!$F$11),1,0))</f>
        <v>#REF!</v>
      </c>
      <c r="W3518" s="5" t="e">
        <f>CONCATENATE(dados[[#This Row],[fator1]],dados[[#This Row],[fator5]],dados[[#This Row],[fator6]])</f>
        <v>#REF!</v>
      </c>
    </row>
    <row r="3519" spans="1:23">
      <c r="A3519" t="s">
        <v>16</v>
      </c>
      <c r="B3519">
        <v>587357</v>
      </c>
      <c r="C3519">
        <v>13</v>
      </c>
      <c r="D3519">
        <v>35</v>
      </c>
      <c r="E3519">
        <v>120</v>
      </c>
      <c r="F3519">
        <v>10</v>
      </c>
      <c r="G3519">
        <v>0</v>
      </c>
      <c r="H3519">
        <v>25</v>
      </c>
      <c r="I3519">
        <v>20</v>
      </c>
      <c r="J3519">
        <v>920</v>
      </c>
      <c r="K3519">
        <v>4.67</v>
      </c>
      <c r="L3519">
        <v>15.43</v>
      </c>
      <c r="M3519">
        <v>107.345</v>
      </c>
      <c r="N3519">
        <v>21.074999999999999</v>
      </c>
      <c r="O3519">
        <v>1680</v>
      </c>
      <c r="P3519">
        <v>842</v>
      </c>
      <c r="Q3519" s="5" t="e">
        <f>IF(AND(#REF!&gt;=table!$C$6,#REF!&lt;= table!$D$6),-1,IF(AND(#REF!&gt;=table!$E$6,#REF!&lt;=table!$F$6),1,0))</f>
        <v>#REF!</v>
      </c>
      <c r="R3519" s="5" t="e">
        <f>IF(AND(#REF!&gt;=table!$C$7,#REF!&lt;= table!$D$7),-1,IF(AND(#REF!&gt;=table!$E$7,#REF!&lt;=table!$F$7),1,0))</f>
        <v>#REF!</v>
      </c>
      <c r="S3519" s="5" t="e">
        <f>IF(AND(#REF!&gt;=table!$C$8,#REF!&lt;= table!$D$8),-1,IF(AND(#REF!&gt;=table!$E$8,#REF!&lt;=table!$F$8),1,0))</f>
        <v>#REF!</v>
      </c>
      <c r="T3519" s="5"/>
      <c r="U3519" s="5" t="e">
        <f>IF(AND(#REF!&gt;=table!$C$10,#REF!&lt;= table!$D$10),-1,IF(AND(#REF!&gt;=table!$E$10,#REF!&lt;=table!$F$10),1,0))</f>
        <v>#REF!</v>
      </c>
      <c r="V3519" s="5" t="e">
        <f>IF(AND(#REF!&gt;=table!$C$11,#REF!&lt;= table!$D$11),-1,IF(AND(#REF!&gt;=table!$E$11,#REF!&lt;=table!$F$11),1,0))</f>
        <v>#REF!</v>
      </c>
      <c r="W3519" s="5" t="e">
        <f>CONCATENATE(dados[[#This Row],[fator1]],dados[[#This Row],[fator5]],dados[[#This Row],[fator6]])</f>
        <v>#REF!</v>
      </c>
    </row>
    <row r="3520" spans="1:23">
      <c r="A3520" t="s">
        <v>18</v>
      </c>
      <c r="B3520">
        <v>587358</v>
      </c>
      <c r="C3520">
        <v>3</v>
      </c>
      <c r="D3520">
        <v>5</v>
      </c>
      <c r="E3520">
        <v>26</v>
      </c>
      <c r="F3520">
        <v>15</v>
      </c>
      <c r="G3520">
        <v>42</v>
      </c>
      <c r="H3520">
        <v>30</v>
      </c>
      <c r="I3520">
        <v>3</v>
      </c>
      <c r="J3520">
        <v>0</v>
      </c>
      <c r="K3520">
        <v>2.2345000000000002</v>
      </c>
      <c r="L3520">
        <v>9.4850000000000012</v>
      </c>
      <c r="M3520">
        <v>17.25</v>
      </c>
      <c r="N3520">
        <v>20.455000000000002</v>
      </c>
      <c r="O3520">
        <v>1690</v>
      </c>
      <c r="P3520">
        <v>0</v>
      </c>
      <c r="Q3520" s="5" t="e">
        <f>IF(AND(#REF!&gt;=table!$C$6,#REF!&lt;= table!$D$6),-1,IF(AND(#REF!&gt;=table!$E$6,#REF!&lt;=table!$F$6),1,0))</f>
        <v>#REF!</v>
      </c>
      <c r="R3520" s="5" t="e">
        <f>IF(AND(#REF!&gt;=table!$C$7,#REF!&lt;= table!$D$7),-1,IF(AND(#REF!&gt;=table!$E$7,#REF!&lt;=table!$F$7),1,0))</f>
        <v>#REF!</v>
      </c>
      <c r="S3520" s="5" t="e">
        <f>IF(AND(#REF!&gt;=table!$C$8,#REF!&lt;= table!$D$8),-1,IF(AND(#REF!&gt;=table!$E$8,#REF!&lt;=table!$F$8),1,0))</f>
        <v>#REF!</v>
      </c>
      <c r="T3520" s="5"/>
      <c r="U3520" s="5" t="e">
        <f>IF(AND(#REF!&gt;=table!$C$10,#REF!&lt;= table!$D$10),-1,IF(AND(#REF!&gt;=table!$E$10,#REF!&lt;=table!$F$10),1,0))</f>
        <v>#REF!</v>
      </c>
      <c r="V3520" s="5" t="e">
        <f>IF(AND(#REF!&gt;=table!$C$11,#REF!&lt;= table!$D$11),-1,IF(AND(#REF!&gt;=table!$E$11,#REF!&lt;=table!$F$11),1,0))</f>
        <v>#REF!</v>
      </c>
      <c r="W3520" s="5" t="e">
        <f>CONCATENATE(dados[[#This Row],[fator1]],dados[[#This Row],[fator5]],dados[[#This Row],[fator6]])</f>
        <v>#REF!</v>
      </c>
    </row>
    <row r="3521" spans="1:23">
      <c r="A3521" t="s">
        <v>16</v>
      </c>
      <c r="B3521">
        <v>587359</v>
      </c>
      <c r="C3521">
        <v>13</v>
      </c>
      <c r="D3521">
        <v>35</v>
      </c>
      <c r="E3521">
        <v>120</v>
      </c>
      <c r="F3521">
        <v>10</v>
      </c>
      <c r="G3521">
        <v>0</v>
      </c>
      <c r="H3521">
        <v>25</v>
      </c>
      <c r="I3521">
        <v>1</v>
      </c>
      <c r="J3521">
        <v>670</v>
      </c>
      <c r="K3521">
        <v>5.2650000000000006</v>
      </c>
      <c r="L3521">
        <v>20.190000000000001</v>
      </c>
      <c r="M3521">
        <v>116.11</v>
      </c>
      <c r="N3521">
        <v>24.575000000000003</v>
      </c>
      <c r="O3521">
        <v>1695</v>
      </c>
      <c r="P3521">
        <v>758</v>
      </c>
      <c r="Q3521" s="5" t="e">
        <f>IF(AND(#REF!&gt;=table!$C$6,#REF!&lt;= table!$D$6),-1,IF(AND(#REF!&gt;=table!$E$6,#REF!&lt;=table!$F$6),1,0))</f>
        <v>#REF!</v>
      </c>
      <c r="R3521" s="5" t="e">
        <f>IF(AND(#REF!&gt;=table!$C$7,#REF!&lt;= table!$D$7),-1,IF(AND(#REF!&gt;=table!$E$7,#REF!&lt;=table!$F$7),1,0))</f>
        <v>#REF!</v>
      </c>
      <c r="S3521" s="5" t="e">
        <f>IF(AND(#REF!&gt;=table!$C$8,#REF!&lt;= table!$D$8),-1,IF(AND(#REF!&gt;=table!$E$8,#REF!&lt;=table!$F$8),1,0))</f>
        <v>#REF!</v>
      </c>
      <c r="T3521" s="5"/>
      <c r="U3521" s="5" t="e">
        <f>IF(AND(#REF!&gt;=table!$C$10,#REF!&lt;= table!$D$10),-1,IF(AND(#REF!&gt;=table!$E$10,#REF!&lt;=table!$F$10),1,0))</f>
        <v>#REF!</v>
      </c>
      <c r="V3521" s="5" t="e">
        <f>IF(AND(#REF!&gt;=table!$C$11,#REF!&lt;= table!$D$11),-1,IF(AND(#REF!&gt;=table!$E$11,#REF!&lt;=table!$F$11),1,0))</f>
        <v>#REF!</v>
      </c>
      <c r="W3521" s="5" t="e">
        <f>CONCATENATE(dados[[#This Row],[fator1]],dados[[#This Row],[fator5]],dados[[#This Row],[fator6]])</f>
        <v>#REF!</v>
      </c>
    </row>
    <row r="3522" spans="1:23">
      <c r="A3522" t="s">
        <v>16</v>
      </c>
      <c r="B3522">
        <v>587360</v>
      </c>
      <c r="C3522">
        <v>13</v>
      </c>
      <c r="D3522">
        <v>35</v>
      </c>
      <c r="E3522">
        <v>120</v>
      </c>
      <c r="F3522">
        <v>10</v>
      </c>
      <c r="G3522">
        <v>0</v>
      </c>
      <c r="H3522">
        <v>25</v>
      </c>
      <c r="I3522">
        <v>323</v>
      </c>
      <c r="J3522">
        <v>0</v>
      </c>
      <c r="K3522">
        <v>4.9249999999999998</v>
      </c>
      <c r="L3522">
        <v>15.585000000000001</v>
      </c>
      <c r="M3522">
        <v>110.65</v>
      </c>
      <c r="N3522">
        <v>20.5</v>
      </c>
      <c r="O3522">
        <v>1674</v>
      </c>
      <c r="P3522">
        <v>819</v>
      </c>
      <c r="Q3522" s="5" t="e">
        <f>IF(AND(#REF!&gt;=table!$C$6,#REF!&lt;= table!$D$6),-1,IF(AND(#REF!&gt;=table!$E$6,#REF!&lt;=table!$F$6),1,0))</f>
        <v>#REF!</v>
      </c>
      <c r="R3522" s="5" t="e">
        <f>IF(AND(#REF!&gt;=table!$C$7,#REF!&lt;= table!$D$7),-1,IF(AND(#REF!&gt;=table!$E$7,#REF!&lt;=table!$F$7),1,0))</f>
        <v>#REF!</v>
      </c>
      <c r="S3522" s="5" t="e">
        <f>IF(AND(#REF!&gt;=table!$C$8,#REF!&lt;= table!$D$8),-1,IF(AND(#REF!&gt;=table!$E$8,#REF!&lt;=table!$F$8),1,0))</f>
        <v>#REF!</v>
      </c>
      <c r="T3522" s="5"/>
      <c r="U3522" s="5" t="e">
        <f>IF(AND(#REF!&gt;=table!$C$10,#REF!&lt;= table!$D$10),-1,IF(AND(#REF!&gt;=table!$E$10,#REF!&lt;=table!$F$10),1,0))</f>
        <v>#REF!</v>
      </c>
      <c r="V3522" s="5" t="e">
        <f>IF(AND(#REF!&gt;=table!$C$11,#REF!&lt;= table!$D$11),-1,IF(AND(#REF!&gt;=table!$E$11,#REF!&lt;=table!$F$11),1,0))</f>
        <v>#REF!</v>
      </c>
      <c r="W3522" s="5" t="e">
        <f>CONCATENATE(dados[[#This Row],[fator1]],dados[[#This Row],[fator5]],dados[[#This Row],[fator6]])</f>
        <v>#REF!</v>
      </c>
    </row>
    <row r="3523" spans="1:23">
      <c r="A3523" t="s">
        <v>16</v>
      </c>
      <c r="B3523">
        <v>587362</v>
      </c>
      <c r="C3523">
        <v>9</v>
      </c>
      <c r="D3523">
        <v>35</v>
      </c>
      <c r="E3523">
        <v>36</v>
      </c>
      <c r="F3523">
        <v>9</v>
      </c>
      <c r="G3523">
        <v>0</v>
      </c>
      <c r="H3523">
        <v>25</v>
      </c>
      <c r="I3523">
        <v>906</v>
      </c>
      <c r="J3523">
        <v>0</v>
      </c>
      <c r="K3523">
        <v>4.5950000000000006</v>
      </c>
      <c r="L3523">
        <v>7.3550000000000004</v>
      </c>
      <c r="M3523">
        <v>30.205000000000002</v>
      </c>
      <c r="N3523">
        <v>12.74</v>
      </c>
      <c r="O3523">
        <v>1682</v>
      </c>
      <c r="P3523">
        <v>0</v>
      </c>
      <c r="Q3523" s="5" t="e">
        <f>IF(AND(#REF!&gt;=table!$C$6,#REF!&lt;= table!$D$6),-1,IF(AND(#REF!&gt;=table!$E$6,#REF!&lt;=table!$F$6),1,0))</f>
        <v>#REF!</v>
      </c>
      <c r="R3523" s="5" t="e">
        <f>IF(AND(#REF!&gt;=table!$C$7,#REF!&lt;= table!$D$7),-1,IF(AND(#REF!&gt;=table!$E$7,#REF!&lt;=table!$F$7),1,0))</f>
        <v>#REF!</v>
      </c>
      <c r="S3523" s="5" t="e">
        <f>IF(AND(#REF!&gt;=table!$C$8,#REF!&lt;= table!$D$8),-1,IF(AND(#REF!&gt;=table!$E$8,#REF!&lt;=table!$F$8),1,0))</f>
        <v>#REF!</v>
      </c>
      <c r="T3523" s="5"/>
      <c r="U3523" s="5" t="e">
        <f>IF(AND(#REF!&gt;=table!$C$10,#REF!&lt;= table!$D$10),-1,IF(AND(#REF!&gt;=table!$E$10,#REF!&lt;=table!$F$10),1,0))</f>
        <v>#REF!</v>
      </c>
      <c r="V3523" s="5" t="e">
        <f>IF(AND(#REF!&gt;=table!$C$11,#REF!&lt;= table!$D$11),-1,IF(AND(#REF!&gt;=table!$E$11,#REF!&lt;=table!$F$11),1,0))</f>
        <v>#REF!</v>
      </c>
      <c r="W3523" s="5" t="e">
        <f>CONCATENATE(dados[[#This Row],[fator1]],dados[[#This Row],[fator5]],dados[[#This Row],[fator6]])</f>
        <v>#REF!</v>
      </c>
    </row>
    <row r="3524" spans="1:23">
      <c r="A3524" t="s">
        <v>16</v>
      </c>
      <c r="B3524">
        <v>587363</v>
      </c>
      <c r="C3524">
        <v>9</v>
      </c>
      <c r="D3524">
        <v>27</v>
      </c>
      <c r="E3524">
        <v>36</v>
      </c>
      <c r="F3524">
        <v>8</v>
      </c>
      <c r="G3524">
        <v>0</v>
      </c>
      <c r="H3524">
        <v>25</v>
      </c>
      <c r="I3524">
        <v>383</v>
      </c>
      <c r="J3524">
        <v>0</v>
      </c>
      <c r="K3524">
        <v>5.665</v>
      </c>
      <c r="L3524">
        <v>11.700000000000001</v>
      </c>
      <c r="M3524">
        <v>32.265000000000001</v>
      </c>
      <c r="N3524">
        <v>13.625</v>
      </c>
      <c r="O3524">
        <v>1664</v>
      </c>
      <c r="P3524">
        <v>0</v>
      </c>
      <c r="Q3524" s="5" t="e">
        <f>IF(AND(#REF!&gt;=table!$C$6,#REF!&lt;= table!$D$6),-1,IF(AND(#REF!&gt;=table!$E$6,#REF!&lt;=table!$F$6),1,0))</f>
        <v>#REF!</v>
      </c>
      <c r="R3524" s="5" t="e">
        <f>IF(AND(#REF!&gt;=table!$C$7,#REF!&lt;= table!$D$7),-1,IF(AND(#REF!&gt;=table!$E$7,#REF!&lt;=table!$F$7),1,0))</f>
        <v>#REF!</v>
      </c>
      <c r="S3524" s="5" t="e">
        <f>IF(AND(#REF!&gt;=table!$C$8,#REF!&lt;= table!$D$8),-1,IF(AND(#REF!&gt;=table!$E$8,#REF!&lt;=table!$F$8),1,0))</f>
        <v>#REF!</v>
      </c>
      <c r="T3524" s="5"/>
      <c r="U3524" s="5" t="e">
        <f>IF(AND(#REF!&gt;=table!$C$10,#REF!&lt;= table!$D$10),-1,IF(AND(#REF!&gt;=table!$E$10,#REF!&lt;=table!$F$10),1,0))</f>
        <v>#REF!</v>
      </c>
      <c r="V3524" s="5" t="e">
        <f>IF(AND(#REF!&gt;=table!$C$11,#REF!&lt;= table!$D$11),-1,IF(AND(#REF!&gt;=table!$E$11,#REF!&lt;=table!$F$11),1,0))</f>
        <v>#REF!</v>
      </c>
      <c r="W3524" s="5" t="e">
        <f>CONCATENATE(dados[[#This Row],[fator1]],dados[[#This Row],[fator5]],dados[[#This Row],[fator6]])</f>
        <v>#REF!</v>
      </c>
    </row>
    <row r="3525" spans="1:23">
      <c r="A3525" t="s">
        <v>16</v>
      </c>
      <c r="B3525">
        <v>587365</v>
      </c>
      <c r="C3525">
        <v>0.15</v>
      </c>
      <c r="D3525">
        <v>40</v>
      </c>
      <c r="E3525">
        <v>10</v>
      </c>
      <c r="F3525">
        <v>15</v>
      </c>
      <c r="G3525">
        <v>0</v>
      </c>
      <c r="H3525">
        <v>15</v>
      </c>
      <c r="I3525">
        <v>18</v>
      </c>
      <c r="J3525">
        <v>0</v>
      </c>
      <c r="K3525">
        <v>4.0600000000000005</v>
      </c>
      <c r="L3525">
        <v>7.9750000000000005</v>
      </c>
      <c r="M3525">
        <v>7.91</v>
      </c>
      <c r="N3525">
        <v>10.07</v>
      </c>
      <c r="O3525">
        <v>1690</v>
      </c>
      <c r="P3525">
        <v>0</v>
      </c>
      <c r="Q3525" s="5" t="e">
        <f>IF(AND(#REF!&gt;=table!$C$6,#REF!&lt;= table!$D$6),-1,IF(AND(#REF!&gt;=table!$E$6,#REF!&lt;=table!$F$6),1,0))</f>
        <v>#REF!</v>
      </c>
      <c r="R3525" s="5" t="e">
        <f>IF(AND(#REF!&gt;=table!$C$7,#REF!&lt;= table!$D$7),-1,IF(AND(#REF!&gt;=table!$E$7,#REF!&lt;=table!$F$7),1,0))</f>
        <v>#REF!</v>
      </c>
      <c r="S3525" s="5" t="e">
        <f>IF(AND(#REF!&gt;=table!$C$8,#REF!&lt;= table!$D$8),-1,IF(AND(#REF!&gt;=table!$E$8,#REF!&lt;=table!$F$8),1,0))</f>
        <v>#REF!</v>
      </c>
      <c r="T3525" s="5"/>
      <c r="U3525" s="5" t="e">
        <f>IF(AND(#REF!&gt;=table!$C$10,#REF!&lt;= table!$D$10),-1,IF(AND(#REF!&gt;=table!$E$10,#REF!&lt;=table!$F$10),1,0))</f>
        <v>#REF!</v>
      </c>
      <c r="V3525" s="5" t="e">
        <f>IF(AND(#REF!&gt;=table!$C$11,#REF!&lt;= table!$D$11),-1,IF(AND(#REF!&gt;=table!$E$11,#REF!&lt;=table!$F$11),1,0))</f>
        <v>#REF!</v>
      </c>
      <c r="W3525" s="5" t="e">
        <f>CONCATENATE(dados[[#This Row],[fator1]],dados[[#This Row],[fator5]],dados[[#This Row],[fator6]])</f>
        <v>#REF!</v>
      </c>
    </row>
    <row r="3526" spans="1:23">
      <c r="A3526" t="s">
        <v>16</v>
      </c>
      <c r="B3526">
        <v>587369</v>
      </c>
      <c r="C3526">
        <v>0.15</v>
      </c>
      <c r="D3526">
        <v>40</v>
      </c>
      <c r="E3526">
        <v>10</v>
      </c>
      <c r="F3526">
        <v>15</v>
      </c>
      <c r="G3526">
        <v>0</v>
      </c>
      <c r="H3526">
        <v>15</v>
      </c>
      <c r="I3526">
        <v>547</v>
      </c>
      <c r="J3526">
        <v>0</v>
      </c>
      <c r="K3526">
        <v>7.19</v>
      </c>
      <c r="L3526">
        <v>10.735000000000001</v>
      </c>
      <c r="M3526">
        <v>10.08</v>
      </c>
      <c r="N3526">
        <v>10.435</v>
      </c>
      <c r="O3526">
        <v>1646</v>
      </c>
      <c r="P3526">
        <v>0</v>
      </c>
      <c r="Q3526" s="5" t="e">
        <f>IF(AND(#REF!&gt;=table!$C$6,#REF!&lt;= table!$D$6),-1,IF(AND(#REF!&gt;=table!$E$6,#REF!&lt;=table!$F$6),1,0))</f>
        <v>#REF!</v>
      </c>
      <c r="R3526" s="5" t="e">
        <f>IF(AND(#REF!&gt;=table!$C$7,#REF!&lt;= table!$D$7),-1,IF(AND(#REF!&gt;=table!$E$7,#REF!&lt;=table!$F$7),1,0))</f>
        <v>#REF!</v>
      </c>
      <c r="S3526" s="5" t="e">
        <f>IF(AND(#REF!&gt;=table!$C$8,#REF!&lt;= table!$D$8),-1,IF(AND(#REF!&gt;=table!$E$8,#REF!&lt;=table!$F$8),1,0))</f>
        <v>#REF!</v>
      </c>
      <c r="T3526" s="5"/>
      <c r="U3526" s="5" t="e">
        <f>IF(AND(#REF!&gt;=table!$C$10,#REF!&lt;= table!$D$10),-1,IF(AND(#REF!&gt;=table!$E$10,#REF!&lt;=table!$F$10),1,0))</f>
        <v>#REF!</v>
      </c>
      <c r="V3526" s="5" t="e">
        <f>IF(AND(#REF!&gt;=table!$C$11,#REF!&lt;= table!$D$11),-1,IF(AND(#REF!&gt;=table!$E$11,#REF!&lt;=table!$F$11),1,0))</f>
        <v>#REF!</v>
      </c>
      <c r="W3526" s="5" t="e">
        <f>CONCATENATE(dados[[#This Row],[fator1]],dados[[#This Row],[fator5]],dados[[#This Row],[fator6]])</f>
        <v>#REF!</v>
      </c>
    </row>
    <row r="3527" spans="1:23">
      <c r="A3527" t="s">
        <v>16</v>
      </c>
      <c r="B3527">
        <v>587370</v>
      </c>
      <c r="C3527">
        <v>8</v>
      </c>
      <c r="D3527">
        <v>30</v>
      </c>
      <c r="E3527">
        <v>61</v>
      </c>
      <c r="F3527">
        <v>8</v>
      </c>
      <c r="G3527">
        <v>0</v>
      </c>
      <c r="H3527">
        <v>25</v>
      </c>
      <c r="I3527">
        <v>486</v>
      </c>
      <c r="J3527">
        <v>0</v>
      </c>
      <c r="K3527">
        <v>9.7650000000000006</v>
      </c>
      <c r="L3527">
        <v>11.545</v>
      </c>
      <c r="M3527">
        <v>56.800000000000004</v>
      </c>
      <c r="N3527">
        <v>14.22</v>
      </c>
      <c r="O3527">
        <v>1678</v>
      </c>
      <c r="P3527">
        <v>0</v>
      </c>
      <c r="Q3527" s="5" t="e">
        <f>IF(AND(#REF!&gt;=table!$C$6,#REF!&lt;= table!$D$6),-1,IF(AND(#REF!&gt;=table!$E$6,#REF!&lt;=table!$F$6),1,0))</f>
        <v>#REF!</v>
      </c>
      <c r="R3527" s="5" t="e">
        <f>IF(AND(#REF!&gt;=table!$C$7,#REF!&lt;= table!$D$7),-1,IF(AND(#REF!&gt;=table!$E$7,#REF!&lt;=table!$F$7),1,0))</f>
        <v>#REF!</v>
      </c>
      <c r="S3527" s="5" t="e">
        <f>IF(AND(#REF!&gt;=table!$C$8,#REF!&lt;= table!$D$8),-1,IF(AND(#REF!&gt;=table!$E$8,#REF!&lt;=table!$F$8),1,0))</f>
        <v>#REF!</v>
      </c>
      <c r="T3527" s="5"/>
      <c r="U3527" s="5" t="e">
        <f>IF(AND(#REF!&gt;=table!$C$10,#REF!&lt;= table!$D$10),-1,IF(AND(#REF!&gt;=table!$E$10,#REF!&lt;=table!$F$10),1,0))</f>
        <v>#REF!</v>
      </c>
      <c r="V3527" s="5" t="e">
        <f>IF(AND(#REF!&gt;=table!$C$11,#REF!&lt;= table!$D$11),-1,IF(AND(#REF!&gt;=table!$E$11,#REF!&lt;=table!$F$11),1,0))</f>
        <v>#REF!</v>
      </c>
      <c r="W3527" s="5" t="e">
        <f>CONCATENATE(dados[[#This Row],[fator1]],dados[[#This Row],[fator5]],dados[[#This Row],[fator6]])</f>
        <v>#REF!</v>
      </c>
    </row>
    <row r="3528" spans="1:23">
      <c r="A3528" t="s">
        <v>16</v>
      </c>
      <c r="B3528">
        <v>587372</v>
      </c>
      <c r="C3528">
        <v>6</v>
      </c>
      <c r="D3528">
        <v>40</v>
      </c>
      <c r="E3528">
        <v>66</v>
      </c>
      <c r="F3528">
        <v>10</v>
      </c>
      <c r="G3528">
        <v>0</v>
      </c>
      <c r="H3528">
        <v>25</v>
      </c>
      <c r="I3528">
        <v>1391</v>
      </c>
      <c r="J3528">
        <v>0</v>
      </c>
      <c r="K3528">
        <v>4.8050000000000006</v>
      </c>
      <c r="L3528">
        <v>5.99</v>
      </c>
      <c r="M3528">
        <v>49.44</v>
      </c>
      <c r="N3528">
        <v>8.59</v>
      </c>
      <c r="O3528">
        <v>1648</v>
      </c>
      <c r="P3528">
        <v>846</v>
      </c>
      <c r="Q3528" s="5" t="e">
        <f>IF(AND(#REF!&gt;=table!$C$6,#REF!&lt;= table!$D$6),-1,IF(AND(#REF!&gt;=table!$E$6,#REF!&lt;=table!$F$6),1,0))</f>
        <v>#REF!</v>
      </c>
      <c r="R3528" s="5" t="e">
        <f>IF(AND(#REF!&gt;=table!$C$7,#REF!&lt;= table!$D$7),-1,IF(AND(#REF!&gt;=table!$E$7,#REF!&lt;=table!$F$7),1,0))</f>
        <v>#REF!</v>
      </c>
      <c r="S3528" s="5" t="e">
        <f>IF(AND(#REF!&gt;=table!$C$8,#REF!&lt;= table!$D$8),-1,IF(AND(#REF!&gt;=table!$E$8,#REF!&lt;=table!$F$8),1,0))</f>
        <v>#REF!</v>
      </c>
      <c r="T3528" s="5"/>
      <c r="U3528" s="5" t="e">
        <f>IF(AND(#REF!&gt;=table!$C$10,#REF!&lt;= table!$D$10),-1,IF(AND(#REF!&gt;=table!$E$10,#REF!&lt;=table!$F$10),1,0))</f>
        <v>#REF!</v>
      </c>
      <c r="V3528" s="5" t="e">
        <f>IF(AND(#REF!&gt;=table!$C$11,#REF!&lt;= table!$D$11),-1,IF(AND(#REF!&gt;=table!$E$11,#REF!&lt;=table!$F$11),1,0))</f>
        <v>#REF!</v>
      </c>
      <c r="W3528" s="5" t="e">
        <f>CONCATENATE(dados[[#This Row],[fator1]],dados[[#This Row],[fator5]],dados[[#This Row],[fator6]])</f>
        <v>#REF!</v>
      </c>
    </row>
    <row r="3529" spans="1:23">
      <c r="A3529" t="s">
        <v>16</v>
      </c>
      <c r="B3529">
        <v>587377</v>
      </c>
      <c r="C3529">
        <v>8</v>
      </c>
      <c r="D3529">
        <v>30</v>
      </c>
      <c r="E3529">
        <v>61</v>
      </c>
      <c r="F3529">
        <v>8</v>
      </c>
      <c r="G3529">
        <v>0</v>
      </c>
      <c r="H3529">
        <v>25</v>
      </c>
      <c r="I3529">
        <v>700</v>
      </c>
      <c r="J3529">
        <v>0</v>
      </c>
      <c r="K3529">
        <v>4.7050000000000001</v>
      </c>
      <c r="L3529">
        <v>6.37</v>
      </c>
      <c r="M3529">
        <v>51.315000000000005</v>
      </c>
      <c r="N3529">
        <v>11.4</v>
      </c>
      <c r="O3529">
        <v>1676</v>
      </c>
      <c r="P3529">
        <v>870</v>
      </c>
      <c r="Q3529" s="5" t="e">
        <f>IF(AND(#REF!&gt;=table!$C$6,#REF!&lt;= table!$D$6),-1,IF(AND(#REF!&gt;=table!$E$6,#REF!&lt;=table!$F$6),1,0))</f>
        <v>#REF!</v>
      </c>
      <c r="R3529" s="5" t="e">
        <f>IF(AND(#REF!&gt;=table!$C$7,#REF!&lt;= table!$D$7),-1,IF(AND(#REF!&gt;=table!$E$7,#REF!&lt;=table!$F$7),1,0))</f>
        <v>#REF!</v>
      </c>
      <c r="S3529" s="5" t="e">
        <f>IF(AND(#REF!&gt;=table!$C$8,#REF!&lt;= table!$D$8),-1,IF(AND(#REF!&gt;=table!$E$8,#REF!&lt;=table!$F$8),1,0))</f>
        <v>#REF!</v>
      </c>
      <c r="T3529" s="5"/>
      <c r="U3529" s="5" t="e">
        <f>IF(AND(#REF!&gt;=table!$C$10,#REF!&lt;= table!$D$10),-1,IF(AND(#REF!&gt;=table!$E$10,#REF!&lt;=table!$F$10),1,0))</f>
        <v>#REF!</v>
      </c>
      <c r="V3529" s="5" t="e">
        <f>IF(AND(#REF!&gt;=table!$C$11,#REF!&lt;= table!$D$11),-1,IF(AND(#REF!&gt;=table!$E$11,#REF!&lt;=table!$F$11),1,0))</f>
        <v>#REF!</v>
      </c>
      <c r="W3529" s="5" t="e">
        <f>CONCATENATE(dados[[#This Row],[fator1]],dados[[#This Row],[fator5]],dados[[#This Row],[fator6]])</f>
        <v>#REF!</v>
      </c>
    </row>
    <row r="3530" spans="1:23">
      <c r="A3530" t="s">
        <v>16</v>
      </c>
      <c r="B3530">
        <v>587378</v>
      </c>
      <c r="C3530">
        <v>8</v>
      </c>
      <c r="D3530">
        <v>30</v>
      </c>
      <c r="E3530">
        <v>61</v>
      </c>
      <c r="F3530">
        <v>8</v>
      </c>
      <c r="G3530">
        <v>0</v>
      </c>
      <c r="H3530">
        <v>25</v>
      </c>
      <c r="I3530">
        <v>744</v>
      </c>
      <c r="J3530">
        <v>0</v>
      </c>
      <c r="K3530">
        <v>1.8485</v>
      </c>
      <c r="L3530">
        <v>7.53</v>
      </c>
      <c r="M3530">
        <v>52.4</v>
      </c>
      <c r="N3530">
        <v>15.525</v>
      </c>
      <c r="O3530">
        <v>1710</v>
      </c>
      <c r="P3530">
        <v>0</v>
      </c>
      <c r="Q3530" s="5" t="e">
        <f>IF(AND(#REF!&gt;=table!$C$6,#REF!&lt;= table!$D$6),-1,IF(AND(#REF!&gt;=table!$E$6,#REF!&lt;=table!$F$6),1,0))</f>
        <v>#REF!</v>
      </c>
      <c r="R3530" s="5" t="e">
        <f>IF(AND(#REF!&gt;=table!$C$7,#REF!&lt;= table!$D$7),-1,IF(AND(#REF!&gt;=table!$E$7,#REF!&lt;=table!$F$7),1,0))</f>
        <v>#REF!</v>
      </c>
      <c r="S3530" s="5" t="e">
        <f>IF(AND(#REF!&gt;=table!$C$8,#REF!&lt;= table!$D$8),-1,IF(AND(#REF!&gt;=table!$E$8,#REF!&lt;=table!$F$8),1,0))</f>
        <v>#REF!</v>
      </c>
      <c r="T3530" s="5"/>
      <c r="U3530" s="5" t="e">
        <f>IF(AND(#REF!&gt;=table!$C$10,#REF!&lt;= table!$D$10),-1,IF(AND(#REF!&gt;=table!$E$10,#REF!&lt;=table!$F$10),1,0))</f>
        <v>#REF!</v>
      </c>
      <c r="V3530" s="5" t="e">
        <f>IF(AND(#REF!&gt;=table!$C$11,#REF!&lt;= table!$D$11),-1,IF(AND(#REF!&gt;=table!$E$11,#REF!&lt;=table!$F$11),1,0))</f>
        <v>#REF!</v>
      </c>
      <c r="W3530" s="5" t="e">
        <f>CONCATENATE(dados[[#This Row],[fator1]],dados[[#This Row],[fator5]],dados[[#This Row],[fator6]])</f>
        <v>#REF!</v>
      </c>
    </row>
    <row r="3531" spans="1:23">
      <c r="A3531" t="s">
        <v>17</v>
      </c>
      <c r="B3531">
        <v>587379</v>
      </c>
      <c r="C3531">
        <v>18</v>
      </c>
      <c r="D3531">
        <v>23</v>
      </c>
      <c r="E3531">
        <v>145</v>
      </c>
      <c r="F3531">
        <v>9</v>
      </c>
      <c r="G3531">
        <v>30</v>
      </c>
      <c r="H3531">
        <v>25</v>
      </c>
      <c r="I3531">
        <v>579</v>
      </c>
      <c r="J3531">
        <v>0</v>
      </c>
      <c r="K3531">
        <v>2.294</v>
      </c>
      <c r="L3531">
        <v>9.7000000000000011</v>
      </c>
      <c r="M3531">
        <v>91.55</v>
      </c>
      <c r="N3531">
        <v>13.65</v>
      </c>
      <c r="O3531">
        <v>1655</v>
      </c>
      <c r="P3531">
        <v>949</v>
      </c>
      <c r="Q3531" s="5" t="e">
        <f>IF(AND(#REF!&gt;=table!$C$6,#REF!&lt;= table!$D$6),-1,IF(AND(#REF!&gt;=table!$E$6,#REF!&lt;=table!$F$6),1,0))</f>
        <v>#REF!</v>
      </c>
      <c r="R3531" s="5" t="e">
        <f>IF(AND(#REF!&gt;=table!$C$7,#REF!&lt;= table!$D$7),-1,IF(AND(#REF!&gt;=table!$E$7,#REF!&lt;=table!$F$7),1,0))</f>
        <v>#REF!</v>
      </c>
      <c r="S3531" s="5" t="e">
        <f>IF(AND(#REF!&gt;=table!$C$8,#REF!&lt;= table!$D$8),-1,IF(AND(#REF!&gt;=table!$E$8,#REF!&lt;=table!$F$8),1,0))</f>
        <v>#REF!</v>
      </c>
      <c r="T3531" s="5"/>
      <c r="U3531" s="5" t="e">
        <f>IF(AND(#REF!&gt;=table!$C$10,#REF!&lt;= table!$D$10),-1,IF(AND(#REF!&gt;=table!$E$10,#REF!&lt;=table!$F$10),1,0))</f>
        <v>#REF!</v>
      </c>
      <c r="V3531" s="5" t="e">
        <f>IF(AND(#REF!&gt;=table!$C$11,#REF!&lt;= table!$D$11),-1,IF(AND(#REF!&gt;=table!$E$11,#REF!&lt;=table!$F$11),1,0))</f>
        <v>#REF!</v>
      </c>
      <c r="W3531" s="5" t="e">
        <f>CONCATENATE(dados[[#This Row],[fator1]],dados[[#This Row],[fator5]],dados[[#This Row],[fator6]])</f>
        <v>#REF!</v>
      </c>
    </row>
    <row r="3532" spans="1:23">
      <c r="A3532" t="s">
        <v>16</v>
      </c>
      <c r="B3532">
        <v>587380</v>
      </c>
      <c r="C3532">
        <v>8</v>
      </c>
      <c r="D3532">
        <v>30</v>
      </c>
      <c r="E3532">
        <v>61</v>
      </c>
      <c r="F3532">
        <v>8</v>
      </c>
      <c r="G3532">
        <v>0</v>
      </c>
      <c r="H3532">
        <v>25</v>
      </c>
      <c r="I3532">
        <v>900</v>
      </c>
      <c r="J3532">
        <v>0</v>
      </c>
      <c r="K3532">
        <v>4.6100000000000003</v>
      </c>
      <c r="L3532">
        <v>12.38</v>
      </c>
      <c r="M3532">
        <v>55.265000000000001</v>
      </c>
      <c r="N3532">
        <v>15.875</v>
      </c>
      <c r="O3532">
        <v>1696</v>
      </c>
      <c r="P3532">
        <v>0</v>
      </c>
      <c r="Q3532" s="5" t="e">
        <f>IF(AND(#REF!&gt;=table!$C$6,#REF!&lt;= table!$D$6),-1,IF(AND(#REF!&gt;=table!$E$6,#REF!&lt;=table!$F$6),1,0))</f>
        <v>#REF!</v>
      </c>
      <c r="R3532" s="5" t="e">
        <f>IF(AND(#REF!&gt;=table!$C$7,#REF!&lt;= table!$D$7),-1,IF(AND(#REF!&gt;=table!$E$7,#REF!&lt;=table!$F$7),1,0))</f>
        <v>#REF!</v>
      </c>
      <c r="S3532" s="5" t="e">
        <f>IF(AND(#REF!&gt;=table!$C$8,#REF!&lt;= table!$D$8),-1,IF(AND(#REF!&gt;=table!$E$8,#REF!&lt;=table!$F$8),1,0))</f>
        <v>#REF!</v>
      </c>
      <c r="T3532" s="5"/>
      <c r="U3532" s="5" t="e">
        <f>IF(AND(#REF!&gt;=table!$C$10,#REF!&lt;= table!$D$10),-1,IF(AND(#REF!&gt;=table!$E$10,#REF!&lt;=table!$F$10),1,0))</f>
        <v>#REF!</v>
      </c>
      <c r="V3532" s="5" t="e">
        <f>IF(AND(#REF!&gt;=table!$C$11,#REF!&lt;= table!$D$11),-1,IF(AND(#REF!&gt;=table!$E$11,#REF!&lt;=table!$F$11),1,0))</f>
        <v>#REF!</v>
      </c>
      <c r="W3532" s="5" t="e">
        <f>CONCATENATE(dados[[#This Row],[fator1]],dados[[#This Row],[fator5]],dados[[#This Row],[fator6]])</f>
        <v>#REF!</v>
      </c>
    </row>
    <row r="3533" spans="1:23">
      <c r="A3533" t="s">
        <v>16</v>
      </c>
      <c r="B3533">
        <v>587381</v>
      </c>
      <c r="C3533">
        <v>6</v>
      </c>
      <c r="D3533">
        <v>40</v>
      </c>
      <c r="E3533">
        <v>66</v>
      </c>
      <c r="F3533">
        <v>8</v>
      </c>
      <c r="G3533">
        <v>0</v>
      </c>
      <c r="H3533">
        <v>25</v>
      </c>
      <c r="I3533">
        <v>1067</v>
      </c>
      <c r="J3533">
        <v>0</v>
      </c>
      <c r="K3533">
        <v>2.306</v>
      </c>
      <c r="L3533">
        <v>11.305</v>
      </c>
      <c r="M3533">
        <v>40.92</v>
      </c>
      <c r="N3533">
        <v>13.515000000000001</v>
      </c>
      <c r="O3533">
        <v>1674</v>
      </c>
      <c r="P3533">
        <v>0</v>
      </c>
      <c r="Q3533" s="5" t="e">
        <f>IF(AND(#REF!&gt;=table!$C$6,#REF!&lt;= table!$D$6),-1,IF(AND(#REF!&gt;=table!$E$6,#REF!&lt;=table!$F$6),1,0))</f>
        <v>#REF!</v>
      </c>
      <c r="R3533" s="5" t="e">
        <f>IF(AND(#REF!&gt;=table!$C$7,#REF!&lt;= table!$D$7),-1,IF(AND(#REF!&gt;=table!$E$7,#REF!&lt;=table!$F$7),1,0))</f>
        <v>#REF!</v>
      </c>
      <c r="S3533" s="5" t="e">
        <f>IF(AND(#REF!&gt;=table!$C$8,#REF!&lt;= table!$D$8),-1,IF(AND(#REF!&gt;=table!$E$8,#REF!&lt;=table!$F$8),1,0))</f>
        <v>#REF!</v>
      </c>
      <c r="T3533" s="5"/>
      <c r="U3533" s="5" t="e">
        <f>IF(AND(#REF!&gt;=table!$C$10,#REF!&lt;= table!$D$10),-1,IF(AND(#REF!&gt;=table!$E$10,#REF!&lt;=table!$F$10),1,0))</f>
        <v>#REF!</v>
      </c>
      <c r="V3533" s="5" t="e">
        <f>IF(AND(#REF!&gt;=table!$C$11,#REF!&lt;= table!$D$11),-1,IF(AND(#REF!&gt;=table!$E$11,#REF!&lt;=table!$F$11),1,0))</f>
        <v>#REF!</v>
      </c>
      <c r="W3533" s="5" t="e">
        <f>CONCATENATE(dados[[#This Row],[fator1]],dados[[#This Row],[fator5]],dados[[#This Row],[fator6]])</f>
        <v>#REF!</v>
      </c>
    </row>
    <row r="3534" spans="1:23">
      <c r="A3534" t="s">
        <v>16</v>
      </c>
      <c r="B3534">
        <v>587384</v>
      </c>
      <c r="C3534">
        <v>6</v>
      </c>
      <c r="D3534">
        <v>40</v>
      </c>
      <c r="E3534">
        <v>66</v>
      </c>
      <c r="F3534">
        <v>10</v>
      </c>
      <c r="G3534">
        <v>0</v>
      </c>
      <c r="H3534">
        <v>25</v>
      </c>
      <c r="I3534">
        <v>545</v>
      </c>
      <c r="J3534">
        <v>0</v>
      </c>
      <c r="K3534">
        <v>2.7295000000000003</v>
      </c>
      <c r="L3534">
        <v>10.845000000000001</v>
      </c>
      <c r="M3534">
        <v>53.54</v>
      </c>
      <c r="N3534">
        <v>17.61</v>
      </c>
      <c r="O3534">
        <v>1667</v>
      </c>
      <c r="P3534">
        <v>1037</v>
      </c>
      <c r="Q3534" s="5" t="e">
        <f>IF(AND(#REF!&gt;=table!$C$6,#REF!&lt;= table!$D$6),-1,IF(AND(#REF!&gt;=table!$E$6,#REF!&lt;=table!$F$6),1,0))</f>
        <v>#REF!</v>
      </c>
      <c r="R3534" s="5" t="e">
        <f>IF(AND(#REF!&gt;=table!$C$7,#REF!&lt;= table!$D$7),-1,IF(AND(#REF!&gt;=table!$E$7,#REF!&lt;=table!$F$7),1,0))</f>
        <v>#REF!</v>
      </c>
      <c r="S3534" s="5" t="e">
        <f>IF(AND(#REF!&gt;=table!$C$8,#REF!&lt;= table!$D$8),-1,IF(AND(#REF!&gt;=table!$E$8,#REF!&lt;=table!$F$8),1,0))</f>
        <v>#REF!</v>
      </c>
      <c r="T3534" s="5"/>
      <c r="U3534" s="5" t="e">
        <f>IF(AND(#REF!&gt;=table!$C$10,#REF!&lt;= table!$D$10),-1,IF(AND(#REF!&gt;=table!$E$10,#REF!&lt;=table!$F$10),1,0))</f>
        <v>#REF!</v>
      </c>
      <c r="V3534" s="5" t="e">
        <f>IF(AND(#REF!&gt;=table!$C$11,#REF!&lt;= table!$D$11),-1,IF(AND(#REF!&gt;=table!$E$11,#REF!&lt;=table!$F$11),1,0))</f>
        <v>#REF!</v>
      </c>
      <c r="W3534" s="5" t="e">
        <f>CONCATENATE(dados[[#This Row],[fator1]],dados[[#This Row],[fator5]],dados[[#This Row],[fator6]])</f>
        <v>#REF!</v>
      </c>
    </row>
    <row r="3535" spans="1:23">
      <c r="A3535" t="s">
        <v>16</v>
      </c>
      <c r="B3535">
        <v>587385</v>
      </c>
      <c r="C3535">
        <v>8</v>
      </c>
      <c r="D3535">
        <v>30</v>
      </c>
      <c r="E3535">
        <v>61</v>
      </c>
      <c r="F3535">
        <v>8</v>
      </c>
      <c r="G3535">
        <v>0</v>
      </c>
      <c r="H3535">
        <v>25</v>
      </c>
      <c r="I3535">
        <v>587</v>
      </c>
      <c r="J3535">
        <v>0</v>
      </c>
      <c r="K3535">
        <v>4.49</v>
      </c>
      <c r="L3535">
        <v>10.52</v>
      </c>
      <c r="M3535">
        <v>45.29</v>
      </c>
      <c r="N3535">
        <v>18.225000000000001</v>
      </c>
      <c r="O3535">
        <v>1682</v>
      </c>
      <c r="P3535">
        <v>1205</v>
      </c>
      <c r="Q3535" s="5" t="e">
        <f>IF(AND(#REF!&gt;=table!$C$6,#REF!&lt;= table!$D$6),-1,IF(AND(#REF!&gt;=table!$E$6,#REF!&lt;=table!$F$6),1,0))</f>
        <v>#REF!</v>
      </c>
      <c r="R3535" s="5" t="e">
        <f>IF(AND(#REF!&gt;=table!$C$7,#REF!&lt;= table!$D$7),-1,IF(AND(#REF!&gt;=table!$E$7,#REF!&lt;=table!$F$7),1,0))</f>
        <v>#REF!</v>
      </c>
      <c r="S3535" s="5" t="e">
        <f>IF(AND(#REF!&gt;=table!$C$8,#REF!&lt;= table!$D$8),-1,IF(AND(#REF!&gt;=table!$E$8,#REF!&lt;=table!$F$8),1,0))</f>
        <v>#REF!</v>
      </c>
      <c r="T3535" s="5"/>
      <c r="U3535" s="5" t="e">
        <f>IF(AND(#REF!&gt;=table!$C$10,#REF!&lt;= table!$D$10),-1,IF(AND(#REF!&gt;=table!$E$10,#REF!&lt;=table!$F$10),1,0))</f>
        <v>#REF!</v>
      </c>
      <c r="V3535" s="5" t="e">
        <f>IF(AND(#REF!&gt;=table!$C$11,#REF!&lt;= table!$D$11),-1,IF(AND(#REF!&gt;=table!$E$11,#REF!&lt;=table!$F$11),1,0))</f>
        <v>#REF!</v>
      </c>
      <c r="W3535" s="5" t="e">
        <f>CONCATENATE(dados[[#This Row],[fator1]],dados[[#This Row],[fator5]],dados[[#This Row],[fator6]])</f>
        <v>#REF!</v>
      </c>
    </row>
    <row r="3536" spans="1:23">
      <c r="A3536" t="s">
        <v>16</v>
      </c>
      <c r="B3536">
        <v>587386</v>
      </c>
      <c r="C3536">
        <v>8</v>
      </c>
      <c r="D3536">
        <v>30</v>
      </c>
      <c r="E3536">
        <v>61</v>
      </c>
      <c r="F3536">
        <v>8</v>
      </c>
      <c r="G3536">
        <v>0</v>
      </c>
      <c r="H3536">
        <v>25</v>
      </c>
      <c r="I3536">
        <v>1598</v>
      </c>
      <c r="J3536">
        <v>920</v>
      </c>
      <c r="K3536">
        <v>4.41</v>
      </c>
      <c r="L3536">
        <v>6.0350000000000001</v>
      </c>
      <c r="M3536">
        <v>41.88</v>
      </c>
      <c r="N3536">
        <v>10.130000000000001</v>
      </c>
      <c r="O3536">
        <v>1613</v>
      </c>
      <c r="P3536">
        <v>713</v>
      </c>
      <c r="Q3536" s="5" t="e">
        <f>IF(AND(#REF!&gt;=table!$C$6,#REF!&lt;= table!$D$6),-1,IF(AND(#REF!&gt;=table!$E$6,#REF!&lt;=table!$F$6),1,0))</f>
        <v>#REF!</v>
      </c>
      <c r="R3536" s="5" t="e">
        <f>IF(AND(#REF!&gt;=table!$C$7,#REF!&lt;= table!$D$7),-1,IF(AND(#REF!&gt;=table!$E$7,#REF!&lt;=table!$F$7),1,0))</f>
        <v>#REF!</v>
      </c>
      <c r="S3536" s="5" t="e">
        <f>IF(AND(#REF!&gt;=table!$C$8,#REF!&lt;= table!$D$8),-1,IF(AND(#REF!&gt;=table!$E$8,#REF!&lt;=table!$F$8),1,0))</f>
        <v>#REF!</v>
      </c>
      <c r="T3536" s="5"/>
      <c r="U3536" s="5" t="e">
        <f>IF(AND(#REF!&gt;=table!$C$10,#REF!&lt;= table!$D$10),-1,IF(AND(#REF!&gt;=table!$E$10,#REF!&lt;=table!$F$10),1,0))</f>
        <v>#REF!</v>
      </c>
      <c r="V3536" s="5" t="e">
        <f>IF(AND(#REF!&gt;=table!$C$11,#REF!&lt;= table!$D$11),-1,IF(AND(#REF!&gt;=table!$E$11,#REF!&lt;=table!$F$11),1,0))</f>
        <v>#REF!</v>
      </c>
      <c r="W3536" s="5" t="e">
        <f>CONCATENATE(dados[[#This Row],[fator1]],dados[[#This Row],[fator5]],dados[[#This Row],[fator6]])</f>
        <v>#REF!</v>
      </c>
    </row>
    <row r="3537" spans="1:23">
      <c r="A3537" t="s">
        <v>18</v>
      </c>
      <c r="B3537">
        <v>587395</v>
      </c>
      <c r="C3537">
        <v>3</v>
      </c>
      <c r="D3537">
        <v>5</v>
      </c>
      <c r="E3537">
        <v>26</v>
      </c>
      <c r="F3537">
        <v>15</v>
      </c>
      <c r="G3537">
        <v>42</v>
      </c>
      <c r="H3537">
        <v>30</v>
      </c>
      <c r="I3537">
        <v>1226</v>
      </c>
      <c r="J3537">
        <v>760</v>
      </c>
      <c r="K3537">
        <v>5.7949999999999999</v>
      </c>
      <c r="L3537">
        <v>5.59</v>
      </c>
      <c r="M3537">
        <v>19.28</v>
      </c>
      <c r="N3537">
        <v>10.595000000000001</v>
      </c>
      <c r="O3537">
        <v>1622</v>
      </c>
      <c r="P3537">
        <v>0</v>
      </c>
      <c r="Q3537" s="5" t="e">
        <f>IF(AND(#REF!&gt;=table!$C$6,#REF!&lt;= table!$D$6),-1,IF(AND(#REF!&gt;=table!$E$6,#REF!&lt;=table!$F$6),1,0))</f>
        <v>#REF!</v>
      </c>
      <c r="R3537" s="5" t="e">
        <f>IF(AND(#REF!&gt;=table!$C$7,#REF!&lt;= table!$D$7),-1,IF(AND(#REF!&gt;=table!$E$7,#REF!&lt;=table!$F$7),1,0))</f>
        <v>#REF!</v>
      </c>
      <c r="S3537" s="5" t="e">
        <f>IF(AND(#REF!&gt;=table!$C$8,#REF!&lt;= table!$D$8),-1,IF(AND(#REF!&gt;=table!$E$8,#REF!&lt;=table!$F$8),1,0))</f>
        <v>#REF!</v>
      </c>
      <c r="T3537" s="5"/>
      <c r="U3537" s="5" t="e">
        <f>IF(AND(#REF!&gt;=table!$C$10,#REF!&lt;= table!$D$10),-1,IF(AND(#REF!&gt;=table!$E$10,#REF!&lt;=table!$F$10),1,0))</f>
        <v>#REF!</v>
      </c>
      <c r="V3537" s="5" t="e">
        <f>IF(AND(#REF!&gt;=table!$C$11,#REF!&lt;= table!$D$11),-1,IF(AND(#REF!&gt;=table!$E$11,#REF!&lt;=table!$F$11),1,0))</f>
        <v>#REF!</v>
      </c>
      <c r="W3537" s="5" t="e">
        <f>CONCATENATE(dados[[#This Row],[fator1]],dados[[#This Row],[fator5]],dados[[#This Row],[fator6]])</f>
        <v>#REF!</v>
      </c>
    </row>
    <row r="3538" spans="1:23">
      <c r="A3538" t="s">
        <v>16</v>
      </c>
      <c r="B3538">
        <v>587403</v>
      </c>
      <c r="C3538">
        <v>0.2</v>
      </c>
      <c r="D3538">
        <v>65</v>
      </c>
      <c r="E3538">
        <v>26</v>
      </c>
      <c r="F3538">
        <v>15</v>
      </c>
      <c r="G3538">
        <v>0</v>
      </c>
      <c r="H3538">
        <v>30</v>
      </c>
      <c r="I3538">
        <v>1179</v>
      </c>
      <c r="J3538">
        <v>0</v>
      </c>
      <c r="K3538">
        <v>2.5880000000000001</v>
      </c>
      <c r="L3538">
        <v>7.44</v>
      </c>
      <c r="M3538">
        <v>6.7949999999999999</v>
      </c>
      <c r="N3538">
        <v>13.055000000000001</v>
      </c>
      <c r="O3538">
        <v>1675</v>
      </c>
      <c r="P3538">
        <v>1223</v>
      </c>
      <c r="Q3538" s="5" t="e">
        <f>IF(AND(#REF!&gt;=table!$C$6,#REF!&lt;= table!$D$6),-1,IF(AND(#REF!&gt;=table!$E$6,#REF!&lt;=table!$F$6),1,0))</f>
        <v>#REF!</v>
      </c>
      <c r="R3538" s="5" t="e">
        <f>IF(AND(#REF!&gt;=table!$C$7,#REF!&lt;= table!$D$7),-1,IF(AND(#REF!&gt;=table!$E$7,#REF!&lt;=table!$F$7),1,0))</f>
        <v>#REF!</v>
      </c>
      <c r="S3538" s="5" t="e">
        <f>IF(AND(#REF!&gt;=table!$C$8,#REF!&lt;= table!$D$8),-1,IF(AND(#REF!&gt;=table!$E$8,#REF!&lt;=table!$F$8),1,0))</f>
        <v>#REF!</v>
      </c>
      <c r="T3538" s="5"/>
      <c r="U3538" s="5" t="e">
        <f>IF(AND(#REF!&gt;=table!$C$10,#REF!&lt;= table!$D$10),-1,IF(AND(#REF!&gt;=table!$E$10,#REF!&lt;=table!$F$10),1,0))</f>
        <v>#REF!</v>
      </c>
      <c r="V3538" s="5" t="e">
        <f>IF(AND(#REF!&gt;=table!$C$11,#REF!&lt;= table!$D$11),-1,IF(AND(#REF!&gt;=table!$E$11,#REF!&lt;=table!$F$11),1,0))</f>
        <v>#REF!</v>
      </c>
      <c r="W3538" s="5" t="e">
        <f>CONCATENATE(dados[[#This Row],[fator1]],dados[[#This Row],[fator5]],dados[[#This Row],[fator6]])</f>
        <v>#REF!</v>
      </c>
    </row>
    <row r="3539" spans="1:23">
      <c r="A3539" t="s">
        <v>17</v>
      </c>
      <c r="B3539">
        <v>587405</v>
      </c>
      <c r="C3539">
        <v>9</v>
      </c>
      <c r="D3539">
        <v>25</v>
      </c>
      <c r="E3539">
        <v>130</v>
      </c>
      <c r="F3539">
        <v>3</v>
      </c>
      <c r="G3539">
        <v>20</v>
      </c>
      <c r="H3539">
        <v>21</v>
      </c>
      <c r="I3539">
        <v>0</v>
      </c>
      <c r="J3539">
        <v>0</v>
      </c>
      <c r="K3539">
        <v>2.218</v>
      </c>
      <c r="L3539">
        <v>9.3049999999999997</v>
      </c>
      <c r="M3539">
        <v>124.54</v>
      </c>
      <c r="N3539">
        <v>14.215</v>
      </c>
      <c r="O3539">
        <v>1686</v>
      </c>
      <c r="P3539">
        <v>0</v>
      </c>
      <c r="Q3539" s="5" t="e">
        <f>IF(AND(#REF!&gt;=table!$C$6,#REF!&lt;= table!$D$6),-1,IF(AND(#REF!&gt;=table!$E$6,#REF!&lt;=table!$F$6),1,0))</f>
        <v>#REF!</v>
      </c>
      <c r="R3539" s="5" t="e">
        <f>IF(AND(#REF!&gt;=table!$C$7,#REF!&lt;= table!$D$7),-1,IF(AND(#REF!&gt;=table!$E$7,#REF!&lt;=table!$F$7),1,0))</f>
        <v>#REF!</v>
      </c>
      <c r="S3539" s="5" t="e">
        <f>IF(AND(#REF!&gt;=table!$C$8,#REF!&lt;= table!$D$8),-1,IF(AND(#REF!&gt;=table!$E$8,#REF!&lt;=table!$F$8),1,0))</f>
        <v>#REF!</v>
      </c>
      <c r="T3539" s="5"/>
      <c r="U3539" s="5" t="e">
        <f>IF(AND(#REF!&gt;=table!$C$10,#REF!&lt;= table!$D$10),-1,IF(AND(#REF!&gt;=table!$E$10,#REF!&lt;=table!$F$10),1,0))</f>
        <v>#REF!</v>
      </c>
      <c r="V3539" s="5" t="e">
        <f>IF(AND(#REF!&gt;=table!$C$11,#REF!&lt;= table!$D$11),-1,IF(AND(#REF!&gt;=table!$E$11,#REF!&lt;=table!$F$11),1,0))</f>
        <v>#REF!</v>
      </c>
      <c r="W3539" s="5" t="e">
        <f>CONCATENATE(dados[[#This Row],[fator1]],dados[[#This Row],[fator5]],dados[[#This Row],[fator6]])</f>
        <v>#REF!</v>
      </c>
    </row>
    <row r="3540" spans="1:23">
      <c r="A3540" t="s">
        <v>16</v>
      </c>
      <c r="B3540">
        <v>587406</v>
      </c>
      <c r="C3540">
        <v>6</v>
      </c>
      <c r="D3540">
        <v>25</v>
      </c>
      <c r="E3540">
        <v>120</v>
      </c>
      <c r="F3540">
        <v>4</v>
      </c>
      <c r="G3540">
        <v>0</v>
      </c>
      <c r="H3540">
        <v>55</v>
      </c>
      <c r="I3540">
        <v>1356</v>
      </c>
      <c r="J3540">
        <v>0</v>
      </c>
      <c r="K3540">
        <v>1.869</v>
      </c>
      <c r="L3540">
        <v>5.7650000000000006</v>
      </c>
      <c r="M3540">
        <v>87.195000000000007</v>
      </c>
      <c r="N3540">
        <v>34.410000000000004</v>
      </c>
      <c r="O3540">
        <v>1659</v>
      </c>
      <c r="P3540">
        <v>0</v>
      </c>
      <c r="Q3540" s="5" t="e">
        <f>IF(AND(#REF!&gt;=table!$C$6,#REF!&lt;= table!$D$6),-1,IF(AND(#REF!&gt;=table!$E$6,#REF!&lt;=table!$F$6),1,0))</f>
        <v>#REF!</v>
      </c>
      <c r="R3540" s="5" t="e">
        <f>IF(AND(#REF!&gt;=table!$C$7,#REF!&lt;= table!$D$7),-1,IF(AND(#REF!&gt;=table!$E$7,#REF!&lt;=table!$F$7),1,0))</f>
        <v>#REF!</v>
      </c>
      <c r="S3540" s="5" t="e">
        <f>IF(AND(#REF!&gt;=table!$C$8,#REF!&lt;= table!$D$8),-1,IF(AND(#REF!&gt;=table!$E$8,#REF!&lt;=table!$F$8),1,0))</f>
        <v>#REF!</v>
      </c>
      <c r="T3540" s="5"/>
      <c r="U3540" s="5" t="e">
        <f>IF(AND(#REF!&gt;=table!$C$10,#REF!&lt;= table!$D$10),-1,IF(AND(#REF!&gt;=table!$E$10,#REF!&lt;=table!$F$10),1,0))</f>
        <v>#REF!</v>
      </c>
      <c r="V3540" s="5" t="e">
        <f>IF(AND(#REF!&gt;=table!$C$11,#REF!&lt;= table!$D$11),-1,IF(AND(#REF!&gt;=table!$E$11,#REF!&lt;=table!$F$11),1,0))</f>
        <v>#REF!</v>
      </c>
      <c r="W3540" s="5" t="e">
        <f>CONCATENATE(dados[[#This Row],[fator1]],dados[[#This Row],[fator5]],dados[[#This Row],[fator6]])</f>
        <v>#REF!</v>
      </c>
    </row>
    <row r="3541" spans="1:23">
      <c r="A3541" t="s">
        <v>16</v>
      </c>
      <c r="B3541">
        <v>587409</v>
      </c>
      <c r="C3541">
        <v>6</v>
      </c>
      <c r="D3541">
        <v>25</v>
      </c>
      <c r="E3541">
        <v>120</v>
      </c>
      <c r="F3541">
        <v>4</v>
      </c>
      <c r="G3541">
        <v>0</v>
      </c>
      <c r="H3541">
        <v>55</v>
      </c>
      <c r="I3541">
        <v>635</v>
      </c>
      <c r="J3541">
        <v>0</v>
      </c>
      <c r="K3541">
        <v>1.8310000000000002</v>
      </c>
      <c r="L3541">
        <v>10.265000000000001</v>
      </c>
      <c r="M3541">
        <v>89.945000000000007</v>
      </c>
      <c r="N3541">
        <v>36.36</v>
      </c>
      <c r="O3541">
        <v>1704</v>
      </c>
      <c r="P3541">
        <v>1758</v>
      </c>
      <c r="Q3541" s="5" t="e">
        <f>IF(AND(#REF!&gt;=table!$C$6,#REF!&lt;= table!$D$6),-1,IF(AND(#REF!&gt;=table!$E$6,#REF!&lt;=table!$F$6),1,0))</f>
        <v>#REF!</v>
      </c>
      <c r="R3541" s="5" t="e">
        <f>IF(AND(#REF!&gt;=table!$C$7,#REF!&lt;= table!$D$7),-1,IF(AND(#REF!&gt;=table!$E$7,#REF!&lt;=table!$F$7),1,0))</f>
        <v>#REF!</v>
      </c>
      <c r="S3541" s="5" t="e">
        <f>IF(AND(#REF!&gt;=table!$C$8,#REF!&lt;= table!$D$8),-1,IF(AND(#REF!&gt;=table!$E$8,#REF!&lt;=table!$F$8),1,0))</f>
        <v>#REF!</v>
      </c>
      <c r="T3541" s="5"/>
      <c r="U3541" s="5" t="e">
        <f>IF(AND(#REF!&gt;=table!$C$10,#REF!&lt;= table!$D$10),-1,IF(AND(#REF!&gt;=table!$E$10,#REF!&lt;=table!$F$10),1,0))</f>
        <v>#REF!</v>
      </c>
      <c r="V3541" s="5" t="e">
        <f>IF(AND(#REF!&gt;=table!$C$11,#REF!&lt;= table!$D$11),-1,IF(AND(#REF!&gt;=table!$E$11,#REF!&lt;=table!$F$11),1,0))</f>
        <v>#REF!</v>
      </c>
      <c r="W3541" s="5" t="e">
        <f>CONCATENATE(dados[[#This Row],[fator1]],dados[[#This Row],[fator5]],dados[[#This Row],[fator6]])</f>
        <v>#REF!</v>
      </c>
    </row>
    <row r="3542" spans="1:23">
      <c r="A3542" t="s">
        <v>16</v>
      </c>
      <c r="B3542">
        <v>587411</v>
      </c>
      <c r="C3542">
        <v>16</v>
      </c>
      <c r="D3542">
        <v>35</v>
      </c>
      <c r="E3542">
        <v>56</v>
      </c>
      <c r="F3542">
        <v>10</v>
      </c>
      <c r="G3542">
        <v>0</v>
      </c>
      <c r="H3542">
        <v>25</v>
      </c>
      <c r="I3542">
        <v>944</v>
      </c>
      <c r="J3542">
        <v>0</v>
      </c>
      <c r="K3542">
        <v>5.71</v>
      </c>
      <c r="L3542">
        <v>13.055000000000001</v>
      </c>
      <c r="M3542">
        <v>60.215000000000003</v>
      </c>
      <c r="N3542">
        <v>20.375</v>
      </c>
      <c r="O3542">
        <v>1673</v>
      </c>
      <c r="P3542">
        <v>840</v>
      </c>
      <c r="Q3542" s="5" t="e">
        <f>IF(AND(#REF!&gt;=table!$C$6,#REF!&lt;= table!$D$6),-1,IF(AND(#REF!&gt;=table!$E$6,#REF!&lt;=table!$F$6),1,0))</f>
        <v>#REF!</v>
      </c>
      <c r="R3542" s="5" t="e">
        <f>IF(AND(#REF!&gt;=table!$C$7,#REF!&lt;= table!$D$7),-1,IF(AND(#REF!&gt;=table!$E$7,#REF!&lt;=table!$F$7),1,0))</f>
        <v>#REF!</v>
      </c>
      <c r="S3542" s="5" t="e">
        <f>IF(AND(#REF!&gt;=table!$C$8,#REF!&lt;= table!$D$8),-1,IF(AND(#REF!&gt;=table!$E$8,#REF!&lt;=table!$F$8),1,0))</f>
        <v>#REF!</v>
      </c>
      <c r="T3542" s="5"/>
      <c r="U3542" s="5" t="e">
        <f>IF(AND(#REF!&gt;=table!$C$10,#REF!&lt;= table!$D$10),-1,IF(AND(#REF!&gt;=table!$E$10,#REF!&lt;=table!$F$10),1,0))</f>
        <v>#REF!</v>
      </c>
      <c r="V3542" s="5" t="e">
        <f>IF(AND(#REF!&gt;=table!$C$11,#REF!&lt;= table!$D$11),-1,IF(AND(#REF!&gt;=table!$E$11,#REF!&lt;=table!$F$11),1,0))</f>
        <v>#REF!</v>
      </c>
      <c r="W3542" s="5" t="e">
        <f>CONCATENATE(dados[[#This Row],[fator1]],dados[[#This Row],[fator5]],dados[[#This Row],[fator6]])</f>
        <v>#REF!</v>
      </c>
    </row>
    <row r="3543" spans="1:23">
      <c r="A3543" t="s">
        <v>16</v>
      </c>
      <c r="B3543">
        <v>587412</v>
      </c>
      <c r="C3543">
        <v>16</v>
      </c>
      <c r="D3543">
        <v>35</v>
      </c>
      <c r="E3543">
        <v>36</v>
      </c>
      <c r="F3543">
        <v>10</v>
      </c>
      <c r="G3543">
        <v>0</v>
      </c>
      <c r="H3543">
        <v>25</v>
      </c>
      <c r="I3543">
        <v>0</v>
      </c>
      <c r="J3543">
        <v>0</v>
      </c>
      <c r="K3543">
        <v>5.84</v>
      </c>
      <c r="L3543">
        <v>13.870000000000001</v>
      </c>
      <c r="M3543">
        <v>35.995000000000005</v>
      </c>
      <c r="N3543">
        <v>18.845000000000002</v>
      </c>
      <c r="O3543">
        <v>1682</v>
      </c>
      <c r="P3543">
        <v>0</v>
      </c>
      <c r="Q3543" s="5" t="e">
        <f>IF(AND(#REF!&gt;=table!$C$6,#REF!&lt;= table!$D$6),-1,IF(AND(#REF!&gt;=table!$E$6,#REF!&lt;=table!$F$6),1,0))</f>
        <v>#REF!</v>
      </c>
      <c r="R3543" s="5" t="e">
        <f>IF(AND(#REF!&gt;=table!$C$7,#REF!&lt;= table!$D$7),-1,IF(AND(#REF!&gt;=table!$E$7,#REF!&lt;=table!$F$7),1,0))</f>
        <v>#REF!</v>
      </c>
      <c r="S3543" s="5" t="e">
        <f>IF(AND(#REF!&gt;=table!$C$8,#REF!&lt;= table!$D$8),-1,IF(AND(#REF!&gt;=table!$E$8,#REF!&lt;=table!$F$8),1,0))</f>
        <v>#REF!</v>
      </c>
      <c r="T3543" s="5"/>
      <c r="U3543" s="5" t="e">
        <f>IF(AND(#REF!&gt;=table!$C$10,#REF!&lt;= table!$D$10),-1,IF(AND(#REF!&gt;=table!$E$10,#REF!&lt;=table!$F$10),1,0))</f>
        <v>#REF!</v>
      </c>
      <c r="V3543" s="5" t="e">
        <f>IF(AND(#REF!&gt;=table!$C$11,#REF!&lt;= table!$D$11),-1,IF(AND(#REF!&gt;=table!$E$11,#REF!&lt;=table!$F$11),1,0))</f>
        <v>#REF!</v>
      </c>
      <c r="W3543" s="5" t="e">
        <f>CONCATENATE(dados[[#This Row],[fator1]],dados[[#This Row],[fator5]],dados[[#This Row],[fator6]])</f>
        <v>#REF!</v>
      </c>
    </row>
    <row r="3544" spans="1:23">
      <c r="A3544" t="s">
        <v>17</v>
      </c>
      <c r="B3544">
        <v>587413</v>
      </c>
      <c r="C3544">
        <v>14</v>
      </c>
      <c r="D3544">
        <v>30</v>
      </c>
      <c r="E3544">
        <v>110</v>
      </c>
      <c r="F3544">
        <v>4</v>
      </c>
      <c r="G3544">
        <v>20</v>
      </c>
      <c r="H3544">
        <v>22</v>
      </c>
      <c r="I3544">
        <v>856</v>
      </c>
      <c r="J3544">
        <v>0</v>
      </c>
      <c r="K3544">
        <v>5.1150000000000002</v>
      </c>
      <c r="L3544">
        <v>10.17</v>
      </c>
      <c r="M3544">
        <v>87.74</v>
      </c>
      <c r="N3544">
        <v>12.22</v>
      </c>
      <c r="O3544">
        <v>1678</v>
      </c>
      <c r="P3544">
        <v>0</v>
      </c>
      <c r="Q3544" s="5" t="e">
        <f>IF(AND(#REF!&gt;=table!$C$6,#REF!&lt;= table!$D$6),-1,IF(AND(#REF!&gt;=table!$E$6,#REF!&lt;=table!$F$6),1,0))</f>
        <v>#REF!</v>
      </c>
      <c r="R3544" s="5" t="e">
        <f>IF(AND(#REF!&gt;=table!$C$7,#REF!&lt;= table!$D$7),-1,IF(AND(#REF!&gt;=table!$E$7,#REF!&lt;=table!$F$7),1,0))</f>
        <v>#REF!</v>
      </c>
      <c r="S3544" s="5" t="e">
        <f>IF(AND(#REF!&gt;=table!$C$8,#REF!&lt;= table!$D$8),-1,IF(AND(#REF!&gt;=table!$E$8,#REF!&lt;=table!$F$8),1,0))</f>
        <v>#REF!</v>
      </c>
      <c r="T3544" s="5"/>
      <c r="U3544" s="5" t="e">
        <f>IF(AND(#REF!&gt;=table!$C$10,#REF!&lt;= table!$D$10),-1,IF(AND(#REF!&gt;=table!$E$10,#REF!&lt;=table!$F$10),1,0))</f>
        <v>#REF!</v>
      </c>
      <c r="V3544" s="5" t="e">
        <f>IF(AND(#REF!&gt;=table!$C$11,#REF!&lt;= table!$D$11),-1,IF(AND(#REF!&gt;=table!$E$11,#REF!&lt;=table!$F$11),1,0))</f>
        <v>#REF!</v>
      </c>
      <c r="W3544" s="5" t="e">
        <f>CONCATENATE(dados[[#This Row],[fator1]],dados[[#This Row],[fator5]],dados[[#This Row],[fator6]])</f>
        <v>#REF!</v>
      </c>
    </row>
    <row r="3545" spans="1:23">
      <c r="A3545" t="s">
        <v>17</v>
      </c>
      <c r="B3545">
        <v>587414</v>
      </c>
      <c r="C3545">
        <v>14</v>
      </c>
      <c r="D3545">
        <v>30</v>
      </c>
      <c r="E3545">
        <v>110</v>
      </c>
      <c r="F3545">
        <v>4</v>
      </c>
      <c r="G3545">
        <v>20</v>
      </c>
      <c r="H3545">
        <v>22</v>
      </c>
      <c r="I3545">
        <v>660</v>
      </c>
      <c r="J3545">
        <v>0</v>
      </c>
      <c r="K3545">
        <v>2.4750000000000001</v>
      </c>
      <c r="L3545">
        <v>7.6450000000000005</v>
      </c>
      <c r="M3545">
        <v>93.165000000000006</v>
      </c>
      <c r="N3545">
        <v>12.32</v>
      </c>
      <c r="O3545">
        <v>1683</v>
      </c>
      <c r="P3545">
        <v>0</v>
      </c>
      <c r="Q3545" s="5" t="e">
        <f>IF(AND(#REF!&gt;=table!$C$6,#REF!&lt;= table!$D$6),-1,IF(AND(#REF!&gt;=table!$E$6,#REF!&lt;=table!$F$6),1,0))</f>
        <v>#REF!</v>
      </c>
      <c r="R3545" s="5" t="e">
        <f>IF(AND(#REF!&gt;=table!$C$7,#REF!&lt;= table!$D$7),-1,IF(AND(#REF!&gt;=table!$E$7,#REF!&lt;=table!$F$7),1,0))</f>
        <v>#REF!</v>
      </c>
      <c r="S3545" s="5" t="e">
        <f>IF(AND(#REF!&gt;=table!$C$8,#REF!&lt;= table!$D$8),-1,IF(AND(#REF!&gt;=table!$E$8,#REF!&lt;=table!$F$8),1,0))</f>
        <v>#REF!</v>
      </c>
      <c r="T3545" s="5"/>
      <c r="U3545" s="5" t="e">
        <f>IF(AND(#REF!&gt;=table!$C$10,#REF!&lt;= table!$D$10),-1,IF(AND(#REF!&gt;=table!$E$10,#REF!&lt;=table!$F$10),1,0))</f>
        <v>#REF!</v>
      </c>
      <c r="V3545" s="5" t="e">
        <f>IF(AND(#REF!&gt;=table!$C$11,#REF!&lt;= table!$D$11),-1,IF(AND(#REF!&gt;=table!$E$11,#REF!&lt;=table!$F$11),1,0))</f>
        <v>#REF!</v>
      </c>
      <c r="W3545" s="5" t="e">
        <f>CONCATENATE(dados[[#This Row],[fator1]],dados[[#This Row],[fator5]],dados[[#This Row],[fator6]])</f>
        <v>#REF!</v>
      </c>
    </row>
    <row r="3546" spans="1:23">
      <c r="A3546" t="s">
        <v>17</v>
      </c>
      <c r="B3546">
        <v>587417</v>
      </c>
      <c r="C3546">
        <v>18</v>
      </c>
      <c r="D3546">
        <v>23</v>
      </c>
      <c r="E3546">
        <v>145</v>
      </c>
      <c r="F3546">
        <v>9</v>
      </c>
      <c r="G3546">
        <v>30</v>
      </c>
      <c r="H3546">
        <v>25</v>
      </c>
      <c r="I3546">
        <v>854</v>
      </c>
      <c r="J3546">
        <v>0</v>
      </c>
      <c r="K3546">
        <v>10.015000000000001</v>
      </c>
      <c r="L3546">
        <v>11.55</v>
      </c>
      <c r="M3546">
        <v>129.22499999999999</v>
      </c>
      <c r="N3546">
        <v>14.88</v>
      </c>
      <c r="O3546">
        <v>1667</v>
      </c>
      <c r="P3546">
        <v>0</v>
      </c>
      <c r="Q3546" s="5" t="e">
        <f>IF(AND(#REF!&gt;=table!$C$6,#REF!&lt;= table!$D$6),-1,IF(AND(#REF!&gt;=table!$E$6,#REF!&lt;=table!$F$6),1,0))</f>
        <v>#REF!</v>
      </c>
      <c r="R3546" s="5" t="e">
        <f>IF(AND(#REF!&gt;=table!$C$7,#REF!&lt;= table!$D$7),-1,IF(AND(#REF!&gt;=table!$E$7,#REF!&lt;=table!$F$7),1,0))</f>
        <v>#REF!</v>
      </c>
      <c r="S3546" s="5" t="e">
        <f>IF(AND(#REF!&gt;=table!$C$8,#REF!&lt;= table!$D$8),-1,IF(AND(#REF!&gt;=table!$E$8,#REF!&lt;=table!$F$8),1,0))</f>
        <v>#REF!</v>
      </c>
      <c r="T3546" s="5"/>
      <c r="U3546" s="5" t="e">
        <f>IF(AND(#REF!&gt;=table!$C$10,#REF!&lt;= table!$D$10),-1,IF(AND(#REF!&gt;=table!$E$10,#REF!&lt;=table!$F$10),1,0))</f>
        <v>#REF!</v>
      </c>
      <c r="V3546" s="5" t="e">
        <f>IF(AND(#REF!&gt;=table!$C$11,#REF!&lt;= table!$D$11),-1,IF(AND(#REF!&gt;=table!$E$11,#REF!&lt;=table!$F$11),1,0))</f>
        <v>#REF!</v>
      </c>
      <c r="W3546" s="5" t="e">
        <f>CONCATENATE(dados[[#This Row],[fator1]],dados[[#This Row],[fator5]],dados[[#This Row],[fator6]])</f>
        <v>#REF!</v>
      </c>
    </row>
    <row r="3547" spans="1:23">
      <c r="A3547" t="s">
        <v>17</v>
      </c>
      <c r="B3547">
        <v>587418</v>
      </c>
      <c r="C3547">
        <v>16</v>
      </c>
      <c r="D3547">
        <v>23</v>
      </c>
      <c r="E3547">
        <v>145</v>
      </c>
      <c r="F3547">
        <v>9</v>
      </c>
      <c r="G3547">
        <v>30</v>
      </c>
      <c r="H3547">
        <v>25</v>
      </c>
      <c r="I3547">
        <v>0</v>
      </c>
      <c r="J3547">
        <v>710</v>
      </c>
      <c r="K3547">
        <v>6.11</v>
      </c>
      <c r="L3547">
        <v>19.625</v>
      </c>
      <c r="M3547">
        <v>119.745</v>
      </c>
      <c r="N3547">
        <v>21.18</v>
      </c>
      <c r="O3547">
        <v>1671</v>
      </c>
      <c r="P3547">
        <v>533</v>
      </c>
      <c r="Q3547" s="5" t="e">
        <f>IF(AND(#REF!&gt;=table!$C$6,#REF!&lt;= table!$D$6),-1,IF(AND(#REF!&gt;=table!$E$6,#REF!&lt;=table!$F$6),1,0))</f>
        <v>#REF!</v>
      </c>
      <c r="R3547" s="5" t="e">
        <f>IF(AND(#REF!&gt;=table!$C$7,#REF!&lt;= table!$D$7),-1,IF(AND(#REF!&gt;=table!$E$7,#REF!&lt;=table!$F$7),1,0))</f>
        <v>#REF!</v>
      </c>
      <c r="S3547" s="5" t="e">
        <f>IF(AND(#REF!&gt;=table!$C$8,#REF!&lt;= table!$D$8),-1,IF(AND(#REF!&gt;=table!$E$8,#REF!&lt;=table!$F$8),1,0))</f>
        <v>#REF!</v>
      </c>
      <c r="T3547" s="5"/>
      <c r="U3547" s="5" t="e">
        <f>IF(AND(#REF!&gt;=table!$C$10,#REF!&lt;= table!$D$10),-1,IF(AND(#REF!&gt;=table!$E$10,#REF!&lt;=table!$F$10),1,0))</f>
        <v>#REF!</v>
      </c>
      <c r="V3547" s="5" t="e">
        <f>IF(AND(#REF!&gt;=table!$C$11,#REF!&lt;= table!$D$11),-1,IF(AND(#REF!&gt;=table!$E$11,#REF!&lt;=table!$F$11),1,0))</f>
        <v>#REF!</v>
      </c>
      <c r="W3547" s="5" t="e">
        <f>CONCATENATE(dados[[#This Row],[fator1]],dados[[#This Row],[fator5]],dados[[#This Row],[fator6]])</f>
        <v>#REF!</v>
      </c>
    </row>
    <row r="3548" spans="1:23">
      <c r="A3548" t="s">
        <v>16</v>
      </c>
      <c r="B3548">
        <v>587430</v>
      </c>
      <c r="C3548">
        <v>0.15</v>
      </c>
      <c r="D3548">
        <v>40</v>
      </c>
      <c r="E3548">
        <v>10</v>
      </c>
      <c r="F3548">
        <v>15</v>
      </c>
      <c r="G3548">
        <v>0</v>
      </c>
      <c r="H3548">
        <v>15</v>
      </c>
      <c r="I3548">
        <v>10</v>
      </c>
      <c r="J3548">
        <v>670</v>
      </c>
      <c r="K3548">
        <v>2.3925000000000001</v>
      </c>
      <c r="L3548">
        <v>13.52</v>
      </c>
      <c r="M3548">
        <v>6.3150000000000004</v>
      </c>
      <c r="N3548">
        <v>11.9</v>
      </c>
      <c r="O3548">
        <v>1695</v>
      </c>
      <c r="P3548">
        <v>1117</v>
      </c>
      <c r="Q3548" s="5" t="e">
        <f>IF(AND(#REF!&gt;=table!$C$6,#REF!&lt;= table!$D$6),-1,IF(AND(#REF!&gt;=table!$E$6,#REF!&lt;=table!$F$6),1,0))</f>
        <v>#REF!</v>
      </c>
      <c r="R3548" s="5" t="e">
        <f>IF(AND(#REF!&gt;=table!$C$7,#REF!&lt;= table!$D$7),-1,IF(AND(#REF!&gt;=table!$E$7,#REF!&lt;=table!$F$7),1,0))</f>
        <v>#REF!</v>
      </c>
      <c r="S3548" s="5" t="e">
        <f>IF(AND(#REF!&gt;=table!$C$8,#REF!&lt;= table!$D$8),-1,IF(AND(#REF!&gt;=table!$E$8,#REF!&lt;=table!$F$8),1,0))</f>
        <v>#REF!</v>
      </c>
      <c r="T3548" s="5"/>
      <c r="U3548" s="5" t="e">
        <f>IF(AND(#REF!&gt;=table!$C$10,#REF!&lt;= table!$D$10),-1,IF(AND(#REF!&gt;=table!$E$10,#REF!&lt;=table!$F$10),1,0))</f>
        <v>#REF!</v>
      </c>
      <c r="V3548" s="5" t="e">
        <f>IF(AND(#REF!&gt;=table!$C$11,#REF!&lt;= table!$D$11),-1,IF(AND(#REF!&gt;=table!$E$11,#REF!&lt;=table!$F$11),1,0))</f>
        <v>#REF!</v>
      </c>
      <c r="W3548" s="5" t="e">
        <f>CONCATENATE(dados[[#This Row],[fator1]],dados[[#This Row],[fator5]],dados[[#This Row],[fator6]])</f>
        <v>#REF!</v>
      </c>
    </row>
    <row r="3549" spans="1:23">
      <c r="A3549" t="s">
        <v>17</v>
      </c>
      <c r="B3549">
        <v>587432</v>
      </c>
      <c r="C3549">
        <v>8</v>
      </c>
      <c r="D3549">
        <v>25</v>
      </c>
      <c r="E3549">
        <v>136</v>
      </c>
      <c r="F3549">
        <v>6</v>
      </c>
      <c r="G3549">
        <v>8</v>
      </c>
      <c r="H3549">
        <v>25</v>
      </c>
      <c r="I3549">
        <v>0</v>
      </c>
      <c r="J3549">
        <v>0</v>
      </c>
      <c r="K3549">
        <v>7.6400000000000006</v>
      </c>
      <c r="L3549">
        <v>13.41</v>
      </c>
      <c r="M3549">
        <v>78.400000000000006</v>
      </c>
      <c r="N3549">
        <v>14.540000000000001</v>
      </c>
      <c r="O3549">
        <v>1668</v>
      </c>
      <c r="P3549">
        <v>776</v>
      </c>
      <c r="Q3549" s="5" t="e">
        <f>IF(AND(#REF!&gt;=table!$C$6,#REF!&lt;= table!$D$6),-1,IF(AND(#REF!&gt;=table!$E$6,#REF!&lt;=table!$F$6),1,0))</f>
        <v>#REF!</v>
      </c>
      <c r="R3549" s="5" t="e">
        <f>IF(AND(#REF!&gt;=table!$C$7,#REF!&lt;= table!$D$7),-1,IF(AND(#REF!&gt;=table!$E$7,#REF!&lt;=table!$F$7),1,0))</f>
        <v>#REF!</v>
      </c>
      <c r="S3549" s="5" t="e">
        <f>IF(AND(#REF!&gt;=table!$C$8,#REF!&lt;= table!$D$8),-1,IF(AND(#REF!&gt;=table!$E$8,#REF!&lt;=table!$F$8),1,0))</f>
        <v>#REF!</v>
      </c>
      <c r="T3549" s="5"/>
      <c r="U3549" s="5" t="e">
        <f>IF(AND(#REF!&gt;=table!$C$10,#REF!&lt;= table!$D$10),-1,IF(AND(#REF!&gt;=table!$E$10,#REF!&lt;=table!$F$10),1,0))</f>
        <v>#REF!</v>
      </c>
      <c r="V3549" s="5" t="e">
        <f>IF(AND(#REF!&gt;=table!$C$11,#REF!&lt;= table!$D$11),-1,IF(AND(#REF!&gt;=table!$E$11,#REF!&lt;=table!$F$11),1,0))</f>
        <v>#REF!</v>
      </c>
      <c r="W3549" s="5" t="e">
        <f>CONCATENATE(dados[[#This Row],[fator1]],dados[[#This Row],[fator5]],dados[[#This Row],[fator6]])</f>
        <v>#REF!</v>
      </c>
    </row>
    <row r="3550" spans="1:23">
      <c r="A3550" t="s">
        <v>17</v>
      </c>
      <c r="B3550">
        <v>587433</v>
      </c>
      <c r="C3550">
        <v>8</v>
      </c>
      <c r="D3550">
        <v>25</v>
      </c>
      <c r="E3550">
        <v>136</v>
      </c>
      <c r="F3550">
        <v>6</v>
      </c>
      <c r="G3550">
        <v>8</v>
      </c>
      <c r="H3550">
        <v>25</v>
      </c>
      <c r="I3550">
        <v>26</v>
      </c>
      <c r="J3550">
        <v>0</v>
      </c>
      <c r="K3550">
        <v>6.05</v>
      </c>
      <c r="L3550">
        <v>25.310000000000002</v>
      </c>
      <c r="M3550">
        <v>118.53</v>
      </c>
      <c r="N3550">
        <v>16.845000000000002</v>
      </c>
      <c r="O3550">
        <v>1686</v>
      </c>
      <c r="P3550">
        <v>747</v>
      </c>
      <c r="Q3550" s="5" t="e">
        <f>IF(AND(#REF!&gt;=table!$C$6,#REF!&lt;= table!$D$6),-1,IF(AND(#REF!&gt;=table!$E$6,#REF!&lt;=table!$F$6),1,0))</f>
        <v>#REF!</v>
      </c>
      <c r="R3550" s="5" t="e">
        <f>IF(AND(#REF!&gt;=table!$C$7,#REF!&lt;= table!$D$7),-1,IF(AND(#REF!&gt;=table!$E$7,#REF!&lt;=table!$F$7),1,0))</f>
        <v>#REF!</v>
      </c>
      <c r="S3550" s="5" t="e">
        <f>IF(AND(#REF!&gt;=table!$C$8,#REF!&lt;= table!$D$8),-1,IF(AND(#REF!&gt;=table!$E$8,#REF!&lt;=table!$F$8),1,0))</f>
        <v>#REF!</v>
      </c>
      <c r="T3550" s="5"/>
      <c r="U3550" s="5" t="e">
        <f>IF(AND(#REF!&gt;=table!$C$10,#REF!&lt;= table!$D$10),-1,IF(AND(#REF!&gt;=table!$E$10,#REF!&lt;=table!$F$10),1,0))</f>
        <v>#REF!</v>
      </c>
      <c r="V3550" s="5" t="e">
        <f>IF(AND(#REF!&gt;=table!$C$11,#REF!&lt;= table!$D$11),-1,IF(AND(#REF!&gt;=table!$E$11,#REF!&lt;=table!$F$11),1,0))</f>
        <v>#REF!</v>
      </c>
      <c r="W3550" s="5" t="e">
        <f>CONCATENATE(dados[[#This Row],[fator1]],dados[[#This Row],[fator5]],dados[[#This Row],[fator6]])</f>
        <v>#REF!</v>
      </c>
    </row>
    <row r="3551" spans="1:23">
      <c r="A3551" t="s">
        <v>17</v>
      </c>
      <c r="B3551">
        <v>587439</v>
      </c>
      <c r="C3551">
        <v>7</v>
      </c>
      <c r="D3551">
        <v>35</v>
      </c>
      <c r="E3551">
        <v>200</v>
      </c>
      <c r="F3551">
        <v>8</v>
      </c>
      <c r="G3551">
        <v>50</v>
      </c>
      <c r="H3551">
        <v>25</v>
      </c>
      <c r="I3551">
        <v>371</v>
      </c>
      <c r="J3551">
        <v>0</v>
      </c>
      <c r="K3551">
        <v>2.6445000000000003</v>
      </c>
      <c r="L3551">
        <v>11.765000000000001</v>
      </c>
      <c r="M3551">
        <v>173.92000000000002</v>
      </c>
      <c r="N3551">
        <v>17.54</v>
      </c>
      <c r="O3551">
        <v>1676</v>
      </c>
      <c r="P3551">
        <v>937</v>
      </c>
      <c r="Q3551" s="5" t="e">
        <f>IF(AND(#REF!&gt;=table!$C$6,#REF!&lt;= table!$D$6),-1,IF(AND(#REF!&gt;=table!$E$6,#REF!&lt;=table!$F$6),1,0))</f>
        <v>#REF!</v>
      </c>
      <c r="R3551" s="5" t="e">
        <f>IF(AND(#REF!&gt;=table!$C$7,#REF!&lt;= table!$D$7),-1,IF(AND(#REF!&gt;=table!$E$7,#REF!&lt;=table!$F$7),1,0))</f>
        <v>#REF!</v>
      </c>
      <c r="S3551" s="5" t="e">
        <f>IF(AND(#REF!&gt;=table!$C$8,#REF!&lt;= table!$D$8),-1,IF(AND(#REF!&gt;=table!$E$8,#REF!&lt;=table!$F$8),1,0))</f>
        <v>#REF!</v>
      </c>
      <c r="T3551" s="5"/>
      <c r="U3551" s="5" t="e">
        <f>IF(AND(#REF!&gt;=table!$C$10,#REF!&lt;= table!$D$10),-1,IF(AND(#REF!&gt;=table!$E$10,#REF!&lt;=table!$F$10),1,0))</f>
        <v>#REF!</v>
      </c>
      <c r="V3551" s="5" t="e">
        <f>IF(AND(#REF!&gt;=table!$C$11,#REF!&lt;= table!$D$11),-1,IF(AND(#REF!&gt;=table!$E$11,#REF!&lt;=table!$F$11),1,0))</f>
        <v>#REF!</v>
      </c>
      <c r="W3551" s="5" t="e">
        <f>CONCATENATE(dados[[#This Row],[fator1]],dados[[#This Row],[fator5]],dados[[#This Row],[fator6]])</f>
        <v>#REF!</v>
      </c>
    </row>
    <row r="3552" spans="1:23">
      <c r="A3552" t="s">
        <v>17</v>
      </c>
      <c r="B3552">
        <v>587441</v>
      </c>
      <c r="C3552">
        <v>10</v>
      </c>
      <c r="D3552">
        <v>25</v>
      </c>
      <c r="E3552">
        <v>156</v>
      </c>
      <c r="F3552">
        <v>8</v>
      </c>
      <c r="G3552">
        <v>20</v>
      </c>
      <c r="H3552">
        <v>25</v>
      </c>
      <c r="I3552">
        <v>3</v>
      </c>
      <c r="J3552">
        <v>40</v>
      </c>
      <c r="K3552">
        <v>2.7800000000000002</v>
      </c>
      <c r="L3552">
        <v>9.3000000000000007</v>
      </c>
      <c r="M3552">
        <v>131.435</v>
      </c>
      <c r="N3552">
        <v>24.675000000000001</v>
      </c>
      <c r="O3552">
        <v>1684</v>
      </c>
      <c r="P3552">
        <v>1262</v>
      </c>
      <c r="Q3552" s="5" t="e">
        <f>IF(AND(#REF!&gt;=table!$C$6,#REF!&lt;= table!$D$6),-1,IF(AND(#REF!&gt;=table!$E$6,#REF!&lt;=table!$F$6),1,0))</f>
        <v>#REF!</v>
      </c>
      <c r="R3552" s="5" t="e">
        <f>IF(AND(#REF!&gt;=table!$C$7,#REF!&lt;= table!$D$7),-1,IF(AND(#REF!&gt;=table!$E$7,#REF!&lt;=table!$F$7),1,0))</f>
        <v>#REF!</v>
      </c>
      <c r="S3552" s="5" t="e">
        <f>IF(AND(#REF!&gt;=table!$C$8,#REF!&lt;= table!$D$8),-1,IF(AND(#REF!&gt;=table!$E$8,#REF!&lt;=table!$F$8),1,0))</f>
        <v>#REF!</v>
      </c>
      <c r="T3552" s="5"/>
      <c r="U3552" s="5" t="e">
        <f>IF(AND(#REF!&gt;=table!$C$10,#REF!&lt;= table!$D$10),-1,IF(AND(#REF!&gt;=table!$E$10,#REF!&lt;=table!$F$10),1,0))</f>
        <v>#REF!</v>
      </c>
      <c r="V3552" s="5" t="e">
        <f>IF(AND(#REF!&gt;=table!$C$11,#REF!&lt;= table!$D$11),-1,IF(AND(#REF!&gt;=table!$E$11,#REF!&lt;=table!$F$11),1,0))</f>
        <v>#REF!</v>
      </c>
      <c r="W3552" s="5" t="e">
        <f>CONCATENATE(dados[[#This Row],[fator1]],dados[[#This Row],[fator5]],dados[[#This Row],[fator6]])</f>
        <v>#REF!</v>
      </c>
    </row>
    <row r="3553" spans="1:23">
      <c r="A3553" t="s">
        <v>17</v>
      </c>
      <c r="B3553">
        <v>587443</v>
      </c>
      <c r="C3553">
        <v>3</v>
      </c>
      <c r="D3553">
        <v>25</v>
      </c>
      <c r="E3553">
        <v>120</v>
      </c>
      <c r="F3553">
        <v>1</v>
      </c>
      <c r="G3553">
        <v>25</v>
      </c>
      <c r="H3553">
        <v>10</v>
      </c>
      <c r="I3553">
        <v>909</v>
      </c>
      <c r="J3553">
        <v>0</v>
      </c>
      <c r="K3553">
        <v>1.9140000000000001</v>
      </c>
      <c r="L3553">
        <v>6.61</v>
      </c>
      <c r="M3553">
        <v>5.48</v>
      </c>
      <c r="N3553">
        <v>5.7</v>
      </c>
      <c r="O3553">
        <v>1536</v>
      </c>
      <c r="P3553">
        <v>0</v>
      </c>
      <c r="Q3553" s="5" t="e">
        <f>IF(AND(#REF!&gt;=table!$C$6,#REF!&lt;= table!$D$6),-1,IF(AND(#REF!&gt;=table!$E$6,#REF!&lt;=table!$F$6),1,0))</f>
        <v>#REF!</v>
      </c>
      <c r="R3553" s="5" t="e">
        <f>IF(AND(#REF!&gt;=table!$C$7,#REF!&lt;= table!$D$7),-1,IF(AND(#REF!&gt;=table!$E$7,#REF!&lt;=table!$F$7),1,0))</f>
        <v>#REF!</v>
      </c>
      <c r="S3553" s="5" t="e">
        <f>IF(AND(#REF!&gt;=table!$C$8,#REF!&lt;= table!$D$8),-1,IF(AND(#REF!&gt;=table!$E$8,#REF!&lt;=table!$F$8),1,0))</f>
        <v>#REF!</v>
      </c>
      <c r="T3553" s="5"/>
      <c r="U3553" s="5" t="e">
        <f>IF(AND(#REF!&gt;=table!$C$10,#REF!&lt;= table!$D$10),-1,IF(AND(#REF!&gt;=table!$E$10,#REF!&lt;=table!$F$10),1,0))</f>
        <v>#REF!</v>
      </c>
      <c r="V3553" s="5" t="e">
        <f>IF(AND(#REF!&gt;=table!$C$11,#REF!&lt;= table!$D$11),-1,IF(AND(#REF!&gt;=table!$E$11,#REF!&lt;=table!$F$11),1,0))</f>
        <v>#REF!</v>
      </c>
      <c r="W3553" s="5" t="e">
        <f>CONCATENATE(dados[[#This Row],[fator1]],dados[[#This Row],[fator5]],dados[[#This Row],[fator6]])</f>
        <v>#REF!</v>
      </c>
    </row>
    <row r="3554" spans="1:23">
      <c r="A3554" t="s">
        <v>17</v>
      </c>
      <c r="B3554">
        <v>587444</v>
      </c>
      <c r="C3554">
        <v>16</v>
      </c>
      <c r="D3554">
        <v>25</v>
      </c>
      <c r="E3554">
        <v>60</v>
      </c>
      <c r="F3554">
        <v>10</v>
      </c>
      <c r="G3554">
        <v>13</v>
      </c>
      <c r="H3554">
        <v>25</v>
      </c>
      <c r="I3554">
        <v>66</v>
      </c>
      <c r="J3554">
        <v>0</v>
      </c>
      <c r="K3554">
        <v>2.2675000000000001</v>
      </c>
      <c r="L3554">
        <v>8.5500000000000007</v>
      </c>
      <c r="M3554">
        <v>38.450000000000003</v>
      </c>
      <c r="N3554">
        <v>12.795</v>
      </c>
      <c r="O3554">
        <v>1678</v>
      </c>
      <c r="P3554">
        <v>0</v>
      </c>
      <c r="Q3554" s="5" t="e">
        <f>IF(AND(#REF!&gt;=table!$C$6,#REF!&lt;= table!$D$6),-1,IF(AND(#REF!&gt;=table!$E$6,#REF!&lt;=table!$F$6),1,0))</f>
        <v>#REF!</v>
      </c>
      <c r="R3554" s="5" t="e">
        <f>IF(AND(#REF!&gt;=table!$C$7,#REF!&lt;= table!$D$7),-1,IF(AND(#REF!&gt;=table!$E$7,#REF!&lt;=table!$F$7),1,0))</f>
        <v>#REF!</v>
      </c>
      <c r="S3554" s="5" t="e">
        <f>IF(AND(#REF!&gt;=table!$C$8,#REF!&lt;= table!$D$8),-1,IF(AND(#REF!&gt;=table!$E$8,#REF!&lt;=table!$F$8),1,0))</f>
        <v>#REF!</v>
      </c>
      <c r="T3554" s="5"/>
      <c r="U3554" s="5" t="e">
        <f>IF(AND(#REF!&gt;=table!$C$10,#REF!&lt;= table!$D$10),-1,IF(AND(#REF!&gt;=table!$E$10,#REF!&lt;=table!$F$10),1,0))</f>
        <v>#REF!</v>
      </c>
      <c r="V3554" s="5" t="e">
        <f>IF(AND(#REF!&gt;=table!$C$11,#REF!&lt;= table!$D$11),-1,IF(AND(#REF!&gt;=table!$E$11,#REF!&lt;=table!$F$11),1,0))</f>
        <v>#REF!</v>
      </c>
      <c r="W3554" s="5" t="e">
        <f>CONCATENATE(dados[[#This Row],[fator1]],dados[[#This Row],[fator5]],dados[[#This Row],[fator6]])</f>
        <v>#REF!</v>
      </c>
    </row>
    <row r="3555" spans="1:23">
      <c r="A3555" t="s">
        <v>17</v>
      </c>
      <c r="B3555">
        <v>587446</v>
      </c>
      <c r="C3555">
        <v>16</v>
      </c>
      <c r="D3555">
        <v>30</v>
      </c>
      <c r="E3555">
        <v>106</v>
      </c>
      <c r="F3555">
        <v>9</v>
      </c>
      <c r="G3555">
        <v>20</v>
      </c>
      <c r="H3555">
        <v>25</v>
      </c>
      <c r="I3555">
        <v>872</v>
      </c>
      <c r="J3555">
        <v>0</v>
      </c>
      <c r="K3555">
        <v>4.55</v>
      </c>
      <c r="L3555">
        <v>8.3150000000000013</v>
      </c>
      <c r="M3555">
        <v>72.03</v>
      </c>
      <c r="N3555">
        <v>16.725000000000001</v>
      </c>
      <c r="O3555">
        <v>1698</v>
      </c>
      <c r="P3555">
        <v>930</v>
      </c>
      <c r="Q3555" s="5" t="e">
        <f>IF(AND(#REF!&gt;=table!$C$6,#REF!&lt;= table!$D$6),-1,IF(AND(#REF!&gt;=table!$E$6,#REF!&lt;=table!$F$6),1,0))</f>
        <v>#REF!</v>
      </c>
      <c r="R3555" s="5" t="e">
        <f>IF(AND(#REF!&gt;=table!$C$7,#REF!&lt;= table!$D$7),-1,IF(AND(#REF!&gt;=table!$E$7,#REF!&lt;=table!$F$7),1,0))</f>
        <v>#REF!</v>
      </c>
      <c r="S3555" s="5" t="e">
        <f>IF(AND(#REF!&gt;=table!$C$8,#REF!&lt;= table!$D$8),-1,IF(AND(#REF!&gt;=table!$E$8,#REF!&lt;=table!$F$8),1,0))</f>
        <v>#REF!</v>
      </c>
      <c r="T3555" s="5"/>
      <c r="U3555" s="5" t="e">
        <f>IF(AND(#REF!&gt;=table!$C$10,#REF!&lt;= table!$D$10),-1,IF(AND(#REF!&gt;=table!$E$10,#REF!&lt;=table!$F$10),1,0))</f>
        <v>#REF!</v>
      </c>
      <c r="V3555" s="5" t="e">
        <f>IF(AND(#REF!&gt;=table!$C$11,#REF!&lt;= table!$D$11),-1,IF(AND(#REF!&gt;=table!$E$11,#REF!&lt;=table!$F$11),1,0))</f>
        <v>#REF!</v>
      </c>
      <c r="W3555" s="5" t="e">
        <f>CONCATENATE(dados[[#This Row],[fator1]],dados[[#This Row],[fator5]],dados[[#This Row],[fator6]])</f>
        <v>#REF!</v>
      </c>
    </row>
    <row r="3556" spans="1:23">
      <c r="A3556" t="s">
        <v>17</v>
      </c>
      <c r="B3556">
        <v>587448</v>
      </c>
      <c r="C3556">
        <v>16</v>
      </c>
      <c r="D3556">
        <v>30</v>
      </c>
      <c r="E3556">
        <v>106</v>
      </c>
      <c r="F3556">
        <v>9</v>
      </c>
      <c r="G3556">
        <v>20</v>
      </c>
      <c r="H3556">
        <v>25</v>
      </c>
      <c r="I3556">
        <v>1</v>
      </c>
      <c r="J3556">
        <v>0</v>
      </c>
      <c r="K3556">
        <v>6.29</v>
      </c>
      <c r="L3556">
        <v>11.175000000000001</v>
      </c>
      <c r="M3556">
        <v>96.52</v>
      </c>
      <c r="N3556">
        <v>18.385000000000002</v>
      </c>
      <c r="O3556">
        <v>1697</v>
      </c>
      <c r="P3556">
        <v>0</v>
      </c>
      <c r="Q3556" s="5" t="e">
        <f>IF(AND(#REF!&gt;=table!$C$6,#REF!&lt;= table!$D$6),-1,IF(AND(#REF!&gt;=table!$E$6,#REF!&lt;=table!$F$6),1,0))</f>
        <v>#REF!</v>
      </c>
      <c r="R3556" s="5" t="e">
        <f>IF(AND(#REF!&gt;=table!$C$7,#REF!&lt;= table!$D$7),-1,IF(AND(#REF!&gt;=table!$E$7,#REF!&lt;=table!$F$7),1,0))</f>
        <v>#REF!</v>
      </c>
      <c r="S3556" s="5" t="e">
        <f>IF(AND(#REF!&gt;=table!$C$8,#REF!&lt;= table!$D$8),-1,IF(AND(#REF!&gt;=table!$E$8,#REF!&lt;=table!$F$8),1,0))</f>
        <v>#REF!</v>
      </c>
      <c r="T3556" s="5"/>
      <c r="U3556" s="5" t="e">
        <f>IF(AND(#REF!&gt;=table!$C$10,#REF!&lt;= table!$D$10),-1,IF(AND(#REF!&gt;=table!$E$10,#REF!&lt;=table!$F$10),1,0))</f>
        <v>#REF!</v>
      </c>
      <c r="V3556" s="5" t="e">
        <f>IF(AND(#REF!&gt;=table!$C$11,#REF!&lt;= table!$D$11),-1,IF(AND(#REF!&gt;=table!$E$11,#REF!&lt;=table!$F$11),1,0))</f>
        <v>#REF!</v>
      </c>
      <c r="W3556" s="5" t="e">
        <f>CONCATENATE(dados[[#This Row],[fator1]],dados[[#This Row],[fator5]],dados[[#This Row],[fator6]])</f>
        <v>#REF!</v>
      </c>
    </row>
    <row r="3557" spans="1:23">
      <c r="A3557" t="s">
        <v>16</v>
      </c>
      <c r="B3557">
        <v>587449</v>
      </c>
      <c r="C3557">
        <v>0.15</v>
      </c>
      <c r="D3557">
        <v>40</v>
      </c>
      <c r="E3557">
        <v>64</v>
      </c>
      <c r="F3557">
        <v>10</v>
      </c>
      <c r="G3557">
        <v>0</v>
      </c>
      <c r="H3557">
        <v>35</v>
      </c>
      <c r="I3557">
        <v>603</v>
      </c>
      <c r="J3557">
        <v>0</v>
      </c>
      <c r="K3557">
        <v>2.6779999999999999</v>
      </c>
      <c r="L3557">
        <v>10.200000000000001</v>
      </c>
      <c r="M3557">
        <v>9.65</v>
      </c>
      <c r="N3557">
        <v>18.27</v>
      </c>
      <c r="O3557">
        <v>1684</v>
      </c>
      <c r="P3557">
        <v>845</v>
      </c>
      <c r="Q3557" s="5" t="e">
        <f>IF(AND(#REF!&gt;=table!$C$6,#REF!&lt;= table!$D$6),-1,IF(AND(#REF!&gt;=table!$E$6,#REF!&lt;=table!$F$6),1,0))</f>
        <v>#REF!</v>
      </c>
      <c r="R3557" s="5" t="e">
        <f>IF(AND(#REF!&gt;=table!$C$7,#REF!&lt;= table!$D$7),-1,IF(AND(#REF!&gt;=table!$E$7,#REF!&lt;=table!$F$7),1,0))</f>
        <v>#REF!</v>
      </c>
      <c r="S3557" s="5" t="e">
        <f>IF(AND(#REF!&gt;=table!$C$8,#REF!&lt;= table!$D$8),-1,IF(AND(#REF!&gt;=table!$E$8,#REF!&lt;=table!$F$8),1,0))</f>
        <v>#REF!</v>
      </c>
      <c r="T3557" s="5"/>
      <c r="U3557" s="5" t="e">
        <f>IF(AND(#REF!&gt;=table!$C$10,#REF!&lt;= table!$D$10),-1,IF(AND(#REF!&gt;=table!$E$10,#REF!&lt;=table!$F$10),1,0))</f>
        <v>#REF!</v>
      </c>
      <c r="V3557" s="5" t="e">
        <f>IF(AND(#REF!&gt;=table!$C$11,#REF!&lt;= table!$D$11),-1,IF(AND(#REF!&gt;=table!$E$11,#REF!&lt;=table!$F$11),1,0))</f>
        <v>#REF!</v>
      </c>
      <c r="W3557" s="5" t="e">
        <f>CONCATENATE(dados[[#This Row],[fator1]],dados[[#This Row],[fator5]],dados[[#This Row],[fator6]])</f>
        <v>#REF!</v>
      </c>
    </row>
    <row r="3558" spans="1:23">
      <c r="A3558" t="s">
        <v>16</v>
      </c>
      <c r="B3558">
        <v>587450</v>
      </c>
      <c r="C3558">
        <v>0.15</v>
      </c>
      <c r="D3558">
        <v>40</v>
      </c>
      <c r="E3558">
        <v>64</v>
      </c>
      <c r="F3558">
        <v>10</v>
      </c>
      <c r="G3558">
        <v>0</v>
      </c>
      <c r="H3558">
        <v>35</v>
      </c>
      <c r="I3558">
        <v>6</v>
      </c>
      <c r="J3558">
        <v>0</v>
      </c>
      <c r="K3558">
        <v>2.718</v>
      </c>
      <c r="L3558">
        <v>11.435</v>
      </c>
      <c r="M3558">
        <v>10.485000000000001</v>
      </c>
      <c r="N3558">
        <v>18.785</v>
      </c>
      <c r="O3558">
        <v>1696</v>
      </c>
      <c r="P3558">
        <v>910</v>
      </c>
      <c r="Q3558" s="5" t="e">
        <f>IF(AND(#REF!&gt;=table!$C$6,#REF!&lt;= table!$D$6),-1,IF(AND(#REF!&gt;=table!$E$6,#REF!&lt;=table!$F$6),1,0))</f>
        <v>#REF!</v>
      </c>
      <c r="R3558" s="5" t="e">
        <f>IF(AND(#REF!&gt;=table!$C$7,#REF!&lt;= table!$D$7),-1,IF(AND(#REF!&gt;=table!$E$7,#REF!&lt;=table!$F$7),1,0))</f>
        <v>#REF!</v>
      </c>
      <c r="S3558" s="5" t="e">
        <f>IF(AND(#REF!&gt;=table!$C$8,#REF!&lt;= table!$D$8),-1,IF(AND(#REF!&gt;=table!$E$8,#REF!&lt;=table!$F$8),1,0))</f>
        <v>#REF!</v>
      </c>
      <c r="T3558" s="5"/>
      <c r="U3558" s="5" t="e">
        <f>IF(AND(#REF!&gt;=table!$C$10,#REF!&lt;= table!$D$10),-1,IF(AND(#REF!&gt;=table!$E$10,#REF!&lt;=table!$F$10),1,0))</f>
        <v>#REF!</v>
      </c>
      <c r="V3558" s="5" t="e">
        <f>IF(AND(#REF!&gt;=table!$C$11,#REF!&lt;= table!$D$11),-1,IF(AND(#REF!&gt;=table!$E$11,#REF!&lt;=table!$F$11),1,0))</f>
        <v>#REF!</v>
      </c>
      <c r="W3558" s="5" t="e">
        <f>CONCATENATE(dados[[#This Row],[fator1]],dados[[#This Row],[fator5]],dados[[#This Row],[fator6]])</f>
        <v>#REF!</v>
      </c>
    </row>
    <row r="3559" spans="1:23">
      <c r="A3559" t="s">
        <v>16</v>
      </c>
      <c r="B3559">
        <v>587452</v>
      </c>
      <c r="C3559">
        <v>0.15</v>
      </c>
      <c r="D3559">
        <v>40</v>
      </c>
      <c r="E3559">
        <v>64</v>
      </c>
      <c r="F3559">
        <v>10</v>
      </c>
      <c r="G3559">
        <v>0</v>
      </c>
      <c r="H3559">
        <v>35</v>
      </c>
      <c r="I3559">
        <v>55</v>
      </c>
      <c r="J3559">
        <v>0</v>
      </c>
      <c r="K3559">
        <v>5.8550000000000004</v>
      </c>
      <c r="L3559">
        <v>16.865000000000002</v>
      </c>
      <c r="M3559">
        <v>12.370000000000001</v>
      </c>
      <c r="N3559">
        <v>25.435000000000002</v>
      </c>
      <c r="O3559">
        <v>1679</v>
      </c>
      <c r="P3559">
        <v>755</v>
      </c>
      <c r="Q3559" s="5" t="e">
        <f>IF(AND(#REF!&gt;=table!$C$6,#REF!&lt;= table!$D$6),-1,IF(AND(#REF!&gt;=table!$E$6,#REF!&lt;=table!$F$6),1,0))</f>
        <v>#REF!</v>
      </c>
      <c r="R3559" s="5" t="e">
        <f>IF(AND(#REF!&gt;=table!$C$7,#REF!&lt;= table!$D$7),-1,IF(AND(#REF!&gt;=table!$E$7,#REF!&lt;=table!$F$7),1,0))</f>
        <v>#REF!</v>
      </c>
      <c r="S3559" s="5" t="e">
        <f>IF(AND(#REF!&gt;=table!$C$8,#REF!&lt;= table!$D$8),-1,IF(AND(#REF!&gt;=table!$E$8,#REF!&lt;=table!$F$8),1,0))</f>
        <v>#REF!</v>
      </c>
      <c r="T3559" s="5"/>
      <c r="U3559" s="5" t="e">
        <f>IF(AND(#REF!&gt;=table!$C$10,#REF!&lt;= table!$D$10),-1,IF(AND(#REF!&gt;=table!$E$10,#REF!&lt;=table!$F$10),1,0))</f>
        <v>#REF!</v>
      </c>
      <c r="V3559" s="5" t="e">
        <f>IF(AND(#REF!&gt;=table!$C$11,#REF!&lt;= table!$D$11),-1,IF(AND(#REF!&gt;=table!$E$11,#REF!&lt;=table!$F$11),1,0))</f>
        <v>#REF!</v>
      </c>
      <c r="W3559" s="5" t="e">
        <f>CONCATENATE(dados[[#This Row],[fator1]],dados[[#This Row],[fator5]],dados[[#This Row],[fator6]])</f>
        <v>#REF!</v>
      </c>
    </row>
    <row r="3560" spans="1:23">
      <c r="A3560" t="s">
        <v>18</v>
      </c>
      <c r="B3560">
        <v>587456</v>
      </c>
      <c r="C3560">
        <v>3</v>
      </c>
      <c r="D3560">
        <v>5</v>
      </c>
      <c r="E3560">
        <v>26</v>
      </c>
      <c r="F3560">
        <v>15</v>
      </c>
      <c r="G3560">
        <v>42</v>
      </c>
      <c r="H3560">
        <v>30</v>
      </c>
      <c r="I3560">
        <v>1913</v>
      </c>
      <c r="J3560">
        <v>0</v>
      </c>
      <c r="K3560">
        <v>6.7650000000000006</v>
      </c>
      <c r="L3560">
        <v>8.8450000000000006</v>
      </c>
      <c r="M3560">
        <v>19.745000000000001</v>
      </c>
      <c r="N3560">
        <v>12.545</v>
      </c>
      <c r="O3560">
        <v>1665</v>
      </c>
      <c r="P3560">
        <v>0</v>
      </c>
      <c r="Q3560" s="5" t="e">
        <f>IF(AND(#REF!&gt;=table!$C$6,#REF!&lt;= table!$D$6),-1,IF(AND(#REF!&gt;=table!$E$6,#REF!&lt;=table!$F$6),1,0))</f>
        <v>#REF!</v>
      </c>
      <c r="R3560" s="5" t="e">
        <f>IF(AND(#REF!&gt;=table!$C$7,#REF!&lt;= table!$D$7),-1,IF(AND(#REF!&gt;=table!$E$7,#REF!&lt;=table!$F$7),1,0))</f>
        <v>#REF!</v>
      </c>
      <c r="S3560" s="5" t="e">
        <f>IF(AND(#REF!&gt;=table!$C$8,#REF!&lt;= table!$D$8),-1,IF(AND(#REF!&gt;=table!$E$8,#REF!&lt;=table!$F$8),1,0))</f>
        <v>#REF!</v>
      </c>
      <c r="T3560" s="5"/>
      <c r="U3560" s="5" t="e">
        <f>IF(AND(#REF!&gt;=table!$C$10,#REF!&lt;= table!$D$10),-1,IF(AND(#REF!&gt;=table!$E$10,#REF!&lt;=table!$F$10),1,0))</f>
        <v>#REF!</v>
      </c>
      <c r="V3560" s="5" t="e">
        <f>IF(AND(#REF!&gt;=table!$C$11,#REF!&lt;= table!$D$11),-1,IF(AND(#REF!&gt;=table!$E$11,#REF!&lt;=table!$F$11),1,0))</f>
        <v>#REF!</v>
      </c>
      <c r="W3560" s="5" t="e">
        <f>CONCATENATE(dados[[#This Row],[fator1]],dados[[#This Row],[fator5]],dados[[#This Row],[fator6]])</f>
        <v>#REF!</v>
      </c>
    </row>
    <row r="3561" spans="1:23">
      <c r="A3561" t="s">
        <v>16</v>
      </c>
      <c r="B3561">
        <v>587458</v>
      </c>
      <c r="C3561">
        <v>0.2</v>
      </c>
      <c r="D3561">
        <v>65</v>
      </c>
      <c r="E3561">
        <v>26</v>
      </c>
      <c r="F3561">
        <v>15</v>
      </c>
      <c r="G3561">
        <v>0</v>
      </c>
      <c r="H3561">
        <v>30</v>
      </c>
      <c r="I3561">
        <v>872</v>
      </c>
      <c r="J3561">
        <v>0</v>
      </c>
      <c r="K3561">
        <v>2.4065000000000003</v>
      </c>
      <c r="L3561">
        <v>11.31</v>
      </c>
      <c r="M3561">
        <v>9.9250000000000007</v>
      </c>
      <c r="N3561">
        <v>17.13</v>
      </c>
      <c r="O3561">
        <v>1688</v>
      </c>
      <c r="P3561">
        <v>1103</v>
      </c>
      <c r="Q3561" s="5" t="e">
        <f>IF(AND(#REF!&gt;=table!$C$6,#REF!&lt;= table!$D$6),-1,IF(AND(#REF!&gt;=table!$E$6,#REF!&lt;=table!$F$6),1,0))</f>
        <v>#REF!</v>
      </c>
      <c r="R3561" s="5" t="e">
        <f>IF(AND(#REF!&gt;=table!$C$7,#REF!&lt;= table!$D$7),-1,IF(AND(#REF!&gt;=table!$E$7,#REF!&lt;=table!$F$7),1,0))</f>
        <v>#REF!</v>
      </c>
      <c r="S3561" s="5" t="e">
        <f>IF(AND(#REF!&gt;=table!$C$8,#REF!&lt;= table!$D$8),-1,IF(AND(#REF!&gt;=table!$E$8,#REF!&lt;=table!$F$8),1,0))</f>
        <v>#REF!</v>
      </c>
      <c r="T3561" s="5"/>
      <c r="U3561" s="5" t="e">
        <f>IF(AND(#REF!&gt;=table!$C$10,#REF!&lt;= table!$D$10),-1,IF(AND(#REF!&gt;=table!$E$10,#REF!&lt;=table!$F$10),1,0))</f>
        <v>#REF!</v>
      </c>
      <c r="V3561" s="5" t="e">
        <f>IF(AND(#REF!&gt;=table!$C$11,#REF!&lt;= table!$D$11),-1,IF(AND(#REF!&gt;=table!$E$11,#REF!&lt;=table!$F$11),1,0))</f>
        <v>#REF!</v>
      </c>
      <c r="W3561" s="5" t="e">
        <f>CONCATENATE(dados[[#This Row],[fator1]],dados[[#This Row],[fator5]],dados[[#This Row],[fator6]])</f>
        <v>#REF!</v>
      </c>
    </row>
    <row r="3562" spans="1:23">
      <c r="A3562" t="s">
        <v>16</v>
      </c>
      <c r="B3562">
        <v>587460</v>
      </c>
      <c r="C3562">
        <v>0.2</v>
      </c>
      <c r="D3562">
        <v>65</v>
      </c>
      <c r="E3562">
        <v>26</v>
      </c>
      <c r="F3562">
        <v>15</v>
      </c>
      <c r="G3562">
        <v>0</v>
      </c>
      <c r="H3562">
        <v>30</v>
      </c>
      <c r="I3562">
        <v>899</v>
      </c>
      <c r="J3562">
        <v>0</v>
      </c>
      <c r="K3562">
        <v>10.945</v>
      </c>
      <c r="L3562">
        <v>15.700000000000001</v>
      </c>
      <c r="M3562">
        <v>15.395000000000001</v>
      </c>
      <c r="N3562">
        <v>19.175000000000001</v>
      </c>
      <c r="O3562">
        <v>1681</v>
      </c>
      <c r="P3562">
        <v>330</v>
      </c>
      <c r="Q3562" s="5" t="e">
        <f>IF(AND(#REF!&gt;=table!$C$6,#REF!&lt;= table!$D$6),-1,IF(AND(#REF!&gt;=table!$E$6,#REF!&lt;=table!$F$6),1,0))</f>
        <v>#REF!</v>
      </c>
      <c r="R3562" s="5" t="e">
        <f>IF(AND(#REF!&gt;=table!$C$7,#REF!&lt;= table!$D$7),-1,IF(AND(#REF!&gt;=table!$E$7,#REF!&lt;=table!$F$7),1,0))</f>
        <v>#REF!</v>
      </c>
      <c r="S3562" s="5" t="e">
        <f>IF(AND(#REF!&gt;=table!$C$8,#REF!&lt;= table!$D$8),-1,IF(AND(#REF!&gt;=table!$E$8,#REF!&lt;=table!$F$8),1,0))</f>
        <v>#REF!</v>
      </c>
      <c r="T3562" s="5"/>
      <c r="U3562" s="5" t="e">
        <f>IF(AND(#REF!&gt;=table!$C$10,#REF!&lt;= table!$D$10),-1,IF(AND(#REF!&gt;=table!$E$10,#REF!&lt;=table!$F$10),1,0))</f>
        <v>#REF!</v>
      </c>
      <c r="V3562" s="5" t="e">
        <f>IF(AND(#REF!&gt;=table!$C$11,#REF!&lt;= table!$D$11),-1,IF(AND(#REF!&gt;=table!$E$11,#REF!&lt;=table!$F$11),1,0))</f>
        <v>#REF!</v>
      </c>
      <c r="W3562" s="5" t="e">
        <f>CONCATENATE(dados[[#This Row],[fator1]],dados[[#This Row],[fator5]],dados[[#This Row],[fator6]])</f>
        <v>#REF!</v>
      </c>
    </row>
    <row r="3563" spans="1:23">
      <c r="A3563" t="s">
        <v>16</v>
      </c>
      <c r="B3563">
        <v>587463</v>
      </c>
      <c r="C3563">
        <v>0.2</v>
      </c>
      <c r="D3563">
        <v>65</v>
      </c>
      <c r="E3563">
        <v>26</v>
      </c>
      <c r="F3563">
        <v>15</v>
      </c>
      <c r="G3563">
        <v>0</v>
      </c>
      <c r="H3563">
        <v>30</v>
      </c>
      <c r="I3563">
        <v>265</v>
      </c>
      <c r="J3563">
        <v>0</v>
      </c>
      <c r="K3563">
        <v>5.93</v>
      </c>
      <c r="L3563">
        <v>17.2</v>
      </c>
      <c r="M3563">
        <v>14.8</v>
      </c>
      <c r="N3563">
        <v>23.85</v>
      </c>
      <c r="O3563">
        <v>1677</v>
      </c>
      <c r="P3563">
        <v>524</v>
      </c>
      <c r="Q3563" s="5" t="e">
        <f>IF(AND(#REF!&gt;=table!$C$6,#REF!&lt;= table!$D$6),-1,IF(AND(#REF!&gt;=table!$E$6,#REF!&lt;=table!$F$6),1,0))</f>
        <v>#REF!</v>
      </c>
      <c r="R3563" s="5" t="e">
        <f>IF(AND(#REF!&gt;=table!$C$7,#REF!&lt;= table!$D$7),-1,IF(AND(#REF!&gt;=table!$E$7,#REF!&lt;=table!$F$7),1,0))</f>
        <v>#REF!</v>
      </c>
      <c r="S3563" s="5" t="e">
        <f>IF(AND(#REF!&gt;=table!$C$8,#REF!&lt;= table!$D$8),-1,IF(AND(#REF!&gt;=table!$E$8,#REF!&lt;=table!$F$8),1,0))</f>
        <v>#REF!</v>
      </c>
      <c r="T3563" s="5"/>
      <c r="U3563" s="5" t="e">
        <f>IF(AND(#REF!&gt;=table!$C$10,#REF!&lt;= table!$D$10),-1,IF(AND(#REF!&gt;=table!$E$10,#REF!&lt;=table!$F$10),1,0))</f>
        <v>#REF!</v>
      </c>
      <c r="V3563" s="5" t="e">
        <f>IF(AND(#REF!&gt;=table!$C$11,#REF!&lt;= table!$D$11),-1,IF(AND(#REF!&gt;=table!$E$11,#REF!&lt;=table!$F$11),1,0))</f>
        <v>#REF!</v>
      </c>
      <c r="W3563" s="5" t="e">
        <f>CONCATENATE(dados[[#This Row],[fator1]],dados[[#This Row],[fator5]],dados[[#This Row],[fator6]])</f>
        <v>#REF!</v>
      </c>
    </row>
    <row r="3564" spans="1:23">
      <c r="A3564" t="s">
        <v>16</v>
      </c>
      <c r="B3564">
        <v>587469</v>
      </c>
      <c r="C3564">
        <v>8</v>
      </c>
      <c r="D3564">
        <v>30</v>
      </c>
      <c r="E3564">
        <v>65</v>
      </c>
      <c r="F3564">
        <v>9</v>
      </c>
      <c r="G3564">
        <v>0</v>
      </c>
      <c r="H3564">
        <v>25</v>
      </c>
      <c r="I3564">
        <v>927</v>
      </c>
      <c r="J3564">
        <v>0</v>
      </c>
      <c r="K3564">
        <v>3.875</v>
      </c>
      <c r="L3564">
        <v>7.15</v>
      </c>
      <c r="M3564">
        <v>50.15</v>
      </c>
      <c r="N3564">
        <v>11.200000000000001</v>
      </c>
      <c r="O3564">
        <v>1662</v>
      </c>
      <c r="P3564">
        <v>796</v>
      </c>
      <c r="Q3564" s="5" t="e">
        <f>IF(AND(#REF!&gt;=table!$C$6,#REF!&lt;= table!$D$6),-1,IF(AND(#REF!&gt;=table!$E$6,#REF!&lt;=table!$F$6),1,0))</f>
        <v>#REF!</v>
      </c>
      <c r="R3564" s="5" t="e">
        <f>IF(AND(#REF!&gt;=table!$C$7,#REF!&lt;= table!$D$7),-1,IF(AND(#REF!&gt;=table!$E$7,#REF!&lt;=table!$F$7),1,0))</f>
        <v>#REF!</v>
      </c>
      <c r="S3564" s="5" t="e">
        <f>IF(AND(#REF!&gt;=table!$C$8,#REF!&lt;= table!$D$8),-1,IF(AND(#REF!&gt;=table!$E$8,#REF!&lt;=table!$F$8),1,0))</f>
        <v>#REF!</v>
      </c>
      <c r="T3564" s="5"/>
      <c r="U3564" s="5" t="e">
        <f>IF(AND(#REF!&gt;=table!$C$10,#REF!&lt;= table!$D$10),-1,IF(AND(#REF!&gt;=table!$E$10,#REF!&lt;=table!$F$10),1,0))</f>
        <v>#REF!</v>
      </c>
      <c r="V3564" s="5" t="e">
        <f>IF(AND(#REF!&gt;=table!$C$11,#REF!&lt;= table!$D$11),-1,IF(AND(#REF!&gt;=table!$E$11,#REF!&lt;=table!$F$11),1,0))</f>
        <v>#REF!</v>
      </c>
      <c r="W3564" s="5" t="e">
        <f>CONCATENATE(dados[[#This Row],[fator1]],dados[[#This Row],[fator5]],dados[[#This Row],[fator6]])</f>
        <v>#REF!</v>
      </c>
    </row>
    <row r="3565" spans="1:23">
      <c r="A3565" t="s">
        <v>16</v>
      </c>
      <c r="B3565">
        <v>587472</v>
      </c>
      <c r="C3565">
        <v>6</v>
      </c>
      <c r="D3565">
        <v>40</v>
      </c>
      <c r="E3565">
        <v>66</v>
      </c>
      <c r="F3565">
        <v>10</v>
      </c>
      <c r="G3565">
        <v>0</v>
      </c>
      <c r="H3565">
        <v>25</v>
      </c>
      <c r="I3565">
        <v>1</v>
      </c>
      <c r="J3565">
        <v>0</v>
      </c>
      <c r="K3565">
        <v>3.7650000000000001</v>
      </c>
      <c r="L3565">
        <v>6.3500000000000005</v>
      </c>
      <c r="M3565">
        <v>49.2</v>
      </c>
      <c r="N3565">
        <v>10.9</v>
      </c>
      <c r="O3565">
        <v>1665</v>
      </c>
      <c r="P3565">
        <v>802</v>
      </c>
      <c r="Q3565" s="5" t="e">
        <f>IF(AND(#REF!&gt;=table!$C$6,#REF!&lt;= table!$D$6),-1,IF(AND(#REF!&gt;=table!$E$6,#REF!&lt;=table!$F$6),1,0))</f>
        <v>#REF!</v>
      </c>
      <c r="R3565" s="5" t="e">
        <f>IF(AND(#REF!&gt;=table!$C$7,#REF!&lt;= table!$D$7),-1,IF(AND(#REF!&gt;=table!$E$7,#REF!&lt;=table!$F$7),1,0))</f>
        <v>#REF!</v>
      </c>
      <c r="S3565" s="5" t="e">
        <f>IF(AND(#REF!&gt;=table!$C$8,#REF!&lt;= table!$D$8),-1,IF(AND(#REF!&gt;=table!$E$8,#REF!&lt;=table!$F$8),1,0))</f>
        <v>#REF!</v>
      </c>
      <c r="T3565" s="5"/>
      <c r="U3565" s="5" t="e">
        <f>IF(AND(#REF!&gt;=table!$C$10,#REF!&lt;= table!$D$10),-1,IF(AND(#REF!&gt;=table!$E$10,#REF!&lt;=table!$F$10),1,0))</f>
        <v>#REF!</v>
      </c>
      <c r="V3565" s="5" t="e">
        <f>IF(AND(#REF!&gt;=table!$C$11,#REF!&lt;= table!$D$11),-1,IF(AND(#REF!&gt;=table!$E$11,#REF!&lt;=table!$F$11),1,0))</f>
        <v>#REF!</v>
      </c>
      <c r="W3565" s="5" t="e">
        <f>CONCATENATE(dados[[#This Row],[fator1]],dados[[#This Row],[fator5]],dados[[#This Row],[fator6]])</f>
        <v>#REF!</v>
      </c>
    </row>
    <row r="3566" spans="1:23">
      <c r="A3566" t="s">
        <v>16</v>
      </c>
      <c r="B3566">
        <v>587473</v>
      </c>
      <c r="C3566">
        <v>6</v>
      </c>
      <c r="D3566">
        <v>40</v>
      </c>
      <c r="E3566">
        <v>66</v>
      </c>
      <c r="F3566">
        <v>10</v>
      </c>
      <c r="G3566">
        <v>0</v>
      </c>
      <c r="H3566">
        <v>25</v>
      </c>
      <c r="I3566">
        <v>812</v>
      </c>
      <c r="J3566">
        <v>0</v>
      </c>
      <c r="K3566">
        <v>3.3050000000000002</v>
      </c>
      <c r="L3566">
        <v>6.5</v>
      </c>
      <c r="M3566">
        <v>53.365000000000002</v>
      </c>
      <c r="N3566">
        <v>11.83</v>
      </c>
      <c r="O3566">
        <v>1635</v>
      </c>
      <c r="P3566">
        <v>770</v>
      </c>
      <c r="Q3566" s="5" t="e">
        <f>IF(AND(#REF!&gt;=table!$C$6,#REF!&lt;= table!$D$6),-1,IF(AND(#REF!&gt;=table!$E$6,#REF!&lt;=table!$F$6),1,0))</f>
        <v>#REF!</v>
      </c>
      <c r="R3566" s="5" t="e">
        <f>IF(AND(#REF!&gt;=table!$C$7,#REF!&lt;= table!$D$7),-1,IF(AND(#REF!&gt;=table!$E$7,#REF!&lt;=table!$F$7),1,0))</f>
        <v>#REF!</v>
      </c>
      <c r="S3566" s="5" t="e">
        <f>IF(AND(#REF!&gt;=table!$C$8,#REF!&lt;= table!$D$8),-1,IF(AND(#REF!&gt;=table!$E$8,#REF!&lt;=table!$F$8),1,0))</f>
        <v>#REF!</v>
      </c>
      <c r="T3566" s="5"/>
      <c r="U3566" s="5" t="e">
        <f>IF(AND(#REF!&gt;=table!$C$10,#REF!&lt;= table!$D$10),-1,IF(AND(#REF!&gt;=table!$E$10,#REF!&lt;=table!$F$10),1,0))</f>
        <v>#REF!</v>
      </c>
      <c r="V3566" s="5" t="e">
        <f>IF(AND(#REF!&gt;=table!$C$11,#REF!&lt;= table!$D$11),-1,IF(AND(#REF!&gt;=table!$E$11,#REF!&lt;=table!$F$11),1,0))</f>
        <v>#REF!</v>
      </c>
      <c r="W3566" s="5" t="e">
        <f>CONCATENATE(dados[[#This Row],[fator1]],dados[[#This Row],[fator5]],dados[[#This Row],[fator6]])</f>
        <v>#REF!</v>
      </c>
    </row>
    <row r="3567" spans="1:23">
      <c r="A3567" t="s">
        <v>16</v>
      </c>
      <c r="B3567">
        <v>587475</v>
      </c>
      <c r="C3567">
        <v>4</v>
      </c>
      <c r="D3567">
        <v>40</v>
      </c>
      <c r="E3567">
        <v>21</v>
      </c>
      <c r="F3567">
        <v>20</v>
      </c>
      <c r="G3567">
        <v>0</v>
      </c>
      <c r="H3567">
        <v>25</v>
      </c>
      <c r="I3567">
        <v>850</v>
      </c>
      <c r="J3567">
        <v>0</v>
      </c>
      <c r="K3567">
        <v>3.71</v>
      </c>
      <c r="L3567">
        <v>11.745000000000001</v>
      </c>
      <c r="M3567">
        <v>9.9050000000000011</v>
      </c>
      <c r="N3567">
        <v>16.580000000000002</v>
      </c>
      <c r="O3567">
        <v>1662</v>
      </c>
      <c r="P3567">
        <v>1031</v>
      </c>
      <c r="Q3567" s="5" t="e">
        <f>IF(AND(#REF!&gt;=table!$C$6,#REF!&lt;= table!$D$6),-1,IF(AND(#REF!&gt;=table!$E$6,#REF!&lt;=table!$F$6),1,0))</f>
        <v>#REF!</v>
      </c>
      <c r="R3567" s="5" t="e">
        <f>IF(AND(#REF!&gt;=table!$C$7,#REF!&lt;= table!$D$7),-1,IF(AND(#REF!&gt;=table!$E$7,#REF!&lt;=table!$F$7),1,0))</f>
        <v>#REF!</v>
      </c>
      <c r="S3567" s="5" t="e">
        <f>IF(AND(#REF!&gt;=table!$C$8,#REF!&lt;= table!$D$8),-1,IF(AND(#REF!&gt;=table!$E$8,#REF!&lt;=table!$F$8),1,0))</f>
        <v>#REF!</v>
      </c>
      <c r="T3567" s="5"/>
      <c r="U3567" s="5" t="e">
        <f>IF(AND(#REF!&gt;=table!$C$10,#REF!&lt;= table!$D$10),-1,IF(AND(#REF!&gt;=table!$E$10,#REF!&lt;=table!$F$10),1,0))</f>
        <v>#REF!</v>
      </c>
      <c r="V3567" s="5" t="e">
        <f>IF(AND(#REF!&gt;=table!$C$11,#REF!&lt;= table!$D$11),-1,IF(AND(#REF!&gt;=table!$E$11,#REF!&lt;=table!$F$11),1,0))</f>
        <v>#REF!</v>
      </c>
      <c r="W3567" s="5" t="e">
        <f>CONCATENATE(dados[[#This Row],[fator1]],dados[[#This Row],[fator5]],dados[[#This Row],[fator6]])</f>
        <v>#REF!</v>
      </c>
    </row>
    <row r="3568" spans="1:23">
      <c r="A3568" t="s">
        <v>16</v>
      </c>
      <c r="B3568">
        <v>587480</v>
      </c>
      <c r="C3568">
        <v>8</v>
      </c>
      <c r="D3568">
        <v>40</v>
      </c>
      <c r="E3568">
        <v>86</v>
      </c>
      <c r="F3568">
        <v>9</v>
      </c>
      <c r="G3568">
        <v>0</v>
      </c>
      <c r="H3568">
        <v>25</v>
      </c>
      <c r="I3568">
        <v>382</v>
      </c>
      <c r="J3568">
        <v>0</v>
      </c>
      <c r="K3568">
        <v>4.28</v>
      </c>
      <c r="L3568">
        <v>11.950000000000001</v>
      </c>
      <c r="M3568">
        <v>75.55</v>
      </c>
      <c r="N3568">
        <v>13.533000000000001</v>
      </c>
      <c r="O3568">
        <v>1669</v>
      </c>
      <c r="P3568">
        <v>721</v>
      </c>
      <c r="Q3568" s="5" t="e">
        <f>IF(AND(#REF!&gt;=table!$C$6,#REF!&lt;= table!$D$6),-1,IF(AND(#REF!&gt;=table!$E$6,#REF!&lt;=table!$F$6),1,0))</f>
        <v>#REF!</v>
      </c>
      <c r="R3568" s="5" t="e">
        <f>IF(AND(#REF!&gt;=table!$C$7,#REF!&lt;= table!$D$7),-1,IF(AND(#REF!&gt;=table!$E$7,#REF!&lt;=table!$F$7),1,0))</f>
        <v>#REF!</v>
      </c>
      <c r="S3568" s="5" t="e">
        <f>IF(AND(#REF!&gt;=table!$C$8,#REF!&lt;= table!$D$8),-1,IF(AND(#REF!&gt;=table!$E$8,#REF!&lt;=table!$F$8),1,0))</f>
        <v>#REF!</v>
      </c>
      <c r="T3568" s="5"/>
      <c r="U3568" s="5" t="e">
        <f>IF(AND(#REF!&gt;=table!$C$10,#REF!&lt;= table!$D$10),-1,IF(AND(#REF!&gt;=table!$E$10,#REF!&lt;=table!$F$10),1,0))</f>
        <v>#REF!</v>
      </c>
      <c r="V3568" s="5" t="e">
        <f>IF(AND(#REF!&gt;=table!$C$11,#REF!&lt;= table!$D$11),-1,IF(AND(#REF!&gt;=table!$E$11,#REF!&lt;=table!$F$11),1,0))</f>
        <v>#REF!</v>
      </c>
      <c r="W3568" s="5" t="e">
        <f>CONCATENATE(dados[[#This Row],[fator1]],dados[[#This Row],[fator5]],dados[[#This Row],[fator6]])</f>
        <v>#REF!</v>
      </c>
    </row>
    <row r="3569" spans="1:23">
      <c r="A3569" t="s">
        <v>16</v>
      </c>
      <c r="B3569">
        <v>587481</v>
      </c>
      <c r="C3569">
        <v>0.15</v>
      </c>
      <c r="D3569">
        <v>40</v>
      </c>
      <c r="E3569">
        <v>64</v>
      </c>
      <c r="F3569">
        <v>10</v>
      </c>
      <c r="G3569">
        <v>0</v>
      </c>
      <c r="H3569">
        <v>35</v>
      </c>
      <c r="I3569">
        <v>751</v>
      </c>
      <c r="J3569">
        <v>0</v>
      </c>
      <c r="K3569">
        <v>3.7950000000000004</v>
      </c>
      <c r="L3569">
        <v>7.835</v>
      </c>
      <c r="M3569">
        <v>6.05</v>
      </c>
      <c r="N3569">
        <v>12.3</v>
      </c>
      <c r="O3569">
        <v>1713</v>
      </c>
      <c r="P3569">
        <v>0</v>
      </c>
      <c r="Q3569" s="5" t="e">
        <f>IF(AND(#REF!&gt;=table!$C$6,#REF!&lt;= table!$D$6),-1,IF(AND(#REF!&gt;=table!$E$6,#REF!&lt;=table!$F$6),1,0))</f>
        <v>#REF!</v>
      </c>
      <c r="R3569" s="5" t="e">
        <f>IF(AND(#REF!&gt;=table!$C$7,#REF!&lt;= table!$D$7),-1,IF(AND(#REF!&gt;=table!$E$7,#REF!&lt;=table!$F$7),1,0))</f>
        <v>#REF!</v>
      </c>
      <c r="S3569" s="5" t="e">
        <f>IF(AND(#REF!&gt;=table!$C$8,#REF!&lt;= table!$D$8),-1,IF(AND(#REF!&gt;=table!$E$8,#REF!&lt;=table!$F$8),1,0))</f>
        <v>#REF!</v>
      </c>
      <c r="T3569" s="5"/>
      <c r="U3569" s="5" t="e">
        <f>IF(AND(#REF!&gt;=table!$C$10,#REF!&lt;= table!$D$10),-1,IF(AND(#REF!&gt;=table!$E$10,#REF!&lt;=table!$F$10),1,0))</f>
        <v>#REF!</v>
      </c>
      <c r="V3569" s="5" t="e">
        <f>IF(AND(#REF!&gt;=table!$C$11,#REF!&lt;= table!$D$11),-1,IF(AND(#REF!&gt;=table!$E$11,#REF!&lt;=table!$F$11),1,0))</f>
        <v>#REF!</v>
      </c>
      <c r="W3569" s="5" t="e">
        <f>CONCATENATE(dados[[#This Row],[fator1]],dados[[#This Row],[fator5]],dados[[#This Row],[fator6]])</f>
        <v>#REF!</v>
      </c>
    </row>
    <row r="3570" spans="1:23">
      <c r="A3570" t="s">
        <v>16</v>
      </c>
      <c r="B3570">
        <v>587490</v>
      </c>
      <c r="C3570">
        <v>0.2</v>
      </c>
      <c r="D3570">
        <v>65</v>
      </c>
      <c r="E3570">
        <v>26</v>
      </c>
      <c r="F3570">
        <v>15</v>
      </c>
      <c r="G3570">
        <v>0</v>
      </c>
      <c r="H3570">
        <v>30</v>
      </c>
      <c r="I3570">
        <v>0</v>
      </c>
      <c r="J3570">
        <v>0</v>
      </c>
      <c r="K3570">
        <v>4.26</v>
      </c>
      <c r="L3570">
        <v>10.035</v>
      </c>
      <c r="M3570">
        <v>9.48</v>
      </c>
      <c r="N3570">
        <v>12.435</v>
      </c>
      <c r="O3570">
        <v>1652</v>
      </c>
      <c r="P3570">
        <v>800</v>
      </c>
      <c r="Q3570" s="5" t="e">
        <f>IF(AND(#REF!&gt;=table!$C$6,#REF!&lt;= table!$D$6),-1,IF(AND(#REF!&gt;=table!$E$6,#REF!&lt;=table!$F$6),1,0))</f>
        <v>#REF!</v>
      </c>
      <c r="R3570" s="5" t="e">
        <f>IF(AND(#REF!&gt;=table!$C$7,#REF!&lt;= table!$D$7),-1,IF(AND(#REF!&gt;=table!$E$7,#REF!&lt;=table!$F$7),1,0))</f>
        <v>#REF!</v>
      </c>
      <c r="S3570" s="5" t="e">
        <f>IF(AND(#REF!&gt;=table!$C$8,#REF!&lt;= table!$D$8),-1,IF(AND(#REF!&gt;=table!$E$8,#REF!&lt;=table!$F$8),1,0))</f>
        <v>#REF!</v>
      </c>
      <c r="T3570" s="5"/>
      <c r="U3570" s="5" t="e">
        <f>IF(AND(#REF!&gt;=table!$C$10,#REF!&lt;= table!$D$10),-1,IF(AND(#REF!&gt;=table!$E$10,#REF!&lt;=table!$F$10),1,0))</f>
        <v>#REF!</v>
      </c>
      <c r="V3570" s="5" t="e">
        <f>IF(AND(#REF!&gt;=table!$C$11,#REF!&lt;= table!$D$11),-1,IF(AND(#REF!&gt;=table!$E$11,#REF!&lt;=table!$F$11),1,0))</f>
        <v>#REF!</v>
      </c>
      <c r="W3570" s="5" t="e">
        <f>CONCATENATE(dados[[#This Row],[fator1]],dados[[#This Row],[fator5]],dados[[#This Row],[fator6]])</f>
        <v>#REF!</v>
      </c>
    </row>
    <row r="3571" spans="1:23">
      <c r="A3571" t="s">
        <v>16</v>
      </c>
      <c r="B3571">
        <v>587497</v>
      </c>
      <c r="C3571">
        <v>0.18</v>
      </c>
      <c r="D3571">
        <v>50</v>
      </c>
      <c r="E3571">
        <v>56</v>
      </c>
      <c r="F3571">
        <v>15</v>
      </c>
      <c r="G3571">
        <v>0</v>
      </c>
      <c r="H3571">
        <v>50</v>
      </c>
      <c r="I3571">
        <v>0</v>
      </c>
      <c r="J3571">
        <v>0</v>
      </c>
      <c r="K3571">
        <v>7.37</v>
      </c>
      <c r="L3571">
        <v>11.55</v>
      </c>
      <c r="M3571">
        <v>10.935</v>
      </c>
      <c r="N3571">
        <v>13.23</v>
      </c>
      <c r="O3571">
        <v>1670</v>
      </c>
      <c r="P3571">
        <v>449</v>
      </c>
      <c r="Q3571" s="5" t="e">
        <f>IF(AND(#REF!&gt;=table!$C$6,#REF!&lt;= table!$D$6),-1,IF(AND(#REF!&gt;=table!$E$6,#REF!&lt;=table!$F$6),1,0))</f>
        <v>#REF!</v>
      </c>
      <c r="R3571" s="5" t="e">
        <f>IF(AND(#REF!&gt;=table!$C$7,#REF!&lt;= table!$D$7),-1,IF(AND(#REF!&gt;=table!$E$7,#REF!&lt;=table!$F$7),1,0))</f>
        <v>#REF!</v>
      </c>
      <c r="S3571" s="5" t="e">
        <f>IF(AND(#REF!&gt;=table!$C$8,#REF!&lt;= table!$D$8),-1,IF(AND(#REF!&gt;=table!$E$8,#REF!&lt;=table!$F$8),1,0))</f>
        <v>#REF!</v>
      </c>
      <c r="T3571" s="5"/>
      <c r="U3571" s="5" t="e">
        <f>IF(AND(#REF!&gt;=table!$C$10,#REF!&lt;= table!$D$10),-1,IF(AND(#REF!&gt;=table!$E$10,#REF!&lt;=table!$F$10),1,0))</f>
        <v>#REF!</v>
      </c>
      <c r="V3571" s="5" t="e">
        <f>IF(AND(#REF!&gt;=table!$C$11,#REF!&lt;= table!$D$11),-1,IF(AND(#REF!&gt;=table!$E$11,#REF!&lt;=table!$F$11),1,0))</f>
        <v>#REF!</v>
      </c>
      <c r="W3571" s="5" t="e">
        <f>CONCATENATE(dados[[#This Row],[fator1]],dados[[#This Row],[fator5]],dados[[#This Row],[fator6]])</f>
        <v>#REF!</v>
      </c>
    </row>
    <row r="3572" spans="1:23">
      <c r="A3572" t="s">
        <v>17</v>
      </c>
      <c r="B3572">
        <v>587506</v>
      </c>
      <c r="C3572">
        <v>14</v>
      </c>
      <c r="D3572">
        <v>30</v>
      </c>
      <c r="E3572">
        <v>110</v>
      </c>
      <c r="F3572">
        <v>4</v>
      </c>
      <c r="G3572">
        <v>20</v>
      </c>
      <c r="H3572">
        <v>22</v>
      </c>
      <c r="I3572">
        <v>1</v>
      </c>
      <c r="J3572">
        <v>1080</v>
      </c>
      <c r="K3572">
        <v>10.095000000000001</v>
      </c>
      <c r="L3572">
        <v>16.164999999999999</v>
      </c>
      <c r="M3572">
        <v>92.984999999999999</v>
      </c>
      <c r="N3572">
        <v>11.44</v>
      </c>
      <c r="O3572">
        <v>1704</v>
      </c>
      <c r="P3572">
        <v>0</v>
      </c>
      <c r="Q3572" s="5" t="e">
        <f>IF(AND(#REF!&gt;=table!$C$6,#REF!&lt;= table!$D$6),-1,IF(AND(#REF!&gt;=table!$E$6,#REF!&lt;=table!$F$6),1,0))</f>
        <v>#REF!</v>
      </c>
      <c r="R3572" s="5" t="e">
        <f>IF(AND(#REF!&gt;=table!$C$7,#REF!&lt;= table!$D$7),-1,IF(AND(#REF!&gt;=table!$E$7,#REF!&lt;=table!$F$7),1,0))</f>
        <v>#REF!</v>
      </c>
      <c r="S3572" s="5" t="e">
        <f>IF(AND(#REF!&gt;=table!$C$8,#REF!&lt;= table!$D$8),-1,IF(AND(#REF!&gt;=table!$E$8,#REF!&lt;=table!$F$8),1,0))</f>
        <v>#REF!</v>
      </c>
      <c r="T3572" s="5"/>
      <c r="U3572" s="5" t="e">
        <f>IF(AND(#REF!&gt;=table!$C$10,#REF!&lt;= table!$D$10),-1,IF(AND(#REF!&gt;=table!$E$10,#REF!&lt;=table!$F$10),1,0))</f>
        <v>#REF!</v>
      </c>
      <c r="V3572" s="5" t="e">
        <f>IF(AND(#REF!&gt;=table!$C$11,#REF!&lt;= table!$D$11),-1,IF(AND(#REF!&gt;=table!$E$11,#REF!&lt;=table!$F$11),1,0))</f>
        <v>#REF!</v>
      </c>
      <c r="W3572" s="5" t="e">
        <f>CONCATENATE(dados[[#This Row],[fator1]],dados[[#This Row],[fator5]],dados[[#This Row],[fator6]])</f>
        <v>#REF!</v>
      </c>
    </row>
    <row r="3573" spans="1:23">
      <c r="A3573" t="s">
        <v>16</v>
      </c>
      <c r="B3573">
        <v>587511</v>
      </c>
      <c r="C3573">
        <v>10</v>
      </c>
      <c r="D3573">
        <v>40</v>
      </c>
      <c r="E3573">
        <v>96</v>
      </c>
      <c r="F3573">
        <v>8</v>
      </c>
      <c r="G3573">
        <v>0</v>
      </c>
      <c r="H3573">
        <v>25</v>
      </c>
      <c r="I3573">
        <v>466</v>
      </c>
      <c r="J3573">
        <v>0</v>
      </c>
      <c r="K3573">
        <v>3.34</v>
      </c>
      <c r="L3573">
        <v>7.36</v>
      </c>
      <c r="M3573">
        <v>66.81</v>
      </c>
      <c r="N3573">
        <v>13.48</v>
      </c>
      <c r="O3573">
        <v>1719</v>
      </c>
      <c r="P3573">
        <v>0</v>
      </c>
      <c r="Q3573" s="5" t="e">
        <f>IF(AND(#REF!&gt;=table!$C$6,#REF!&lt;= table!$D$6),-1,IF(AND(#REF!&gt;=table!$E$6,#REF!&lt;=table!$F$6),1,0))</f>
        <v>#REF!</v>
      </c>
      <c r="R3573" s="5" t="e">
        <f>IF(AND(#REF!&gt;=table!$C$7,#REF!&lt;= table!$D$7),-1,IF(AND(#REF!&gt;=table!$E$7,#REF!&lt;=table!$F$7),1,0))</f>
        <v>#REF!</v>
      </c>
      <c r="S3573" s="5" t="e">
        <f>IF(AND(#REF!&gt;=table!$C$8,#REF!&lt;= table!$D$8),-1,IF(AND(#REF!&gt;=table!$E$8,#REF!&lt;=table!$F$8),1,0))</f>
        <v>#REF!</v>
      </c>
      <c r="T3573" s="5"/>
      <c r="U3573" s="5" t="e">
        <f>IF(AND(#REF!&gt;=table!$C$10,#REF!&lt;= table!$D$10),-1,IF(AND(#REF!&gt;=table!$E$10,#REF!&lt;=table!$F$10),1,0))</f>
        <v>#REF!</v>
      </c>
      <c r="V3573" s="5" t="e">
        <f>IF(AND(#REF!&gt;=table!$C$11,#REF!&lt;= table!$D$11),-1,IF(AND(#REF!&gt;=table!$E$11,#REF!&lt;=table!$F$11),1,0))</f>
        <v>#REF!</v>
      </c>
      <c r="W3573" s="5" t="e">
        <f>CONCATENATE(dados[[#This Row],[fator1]],dados[[#This Row],[fator5]],dados[[#This Row],[fator6]])</f>
        <v>#REF!</v>
      </c>
    </row>
    <row r="3574" spans="1:23">
      <c r="A3574" t="s">
        <v>16</v>
      </c>
      <c r="B3574">
        <v>587514</v>
      </c>
      <c r="C3574">
        <v>11</v>
      </c>
      <c r="D3574">
        <v>35</v>
      </c>
      <c r="E3574">
        <v>45</v>
      </c>
      <c r="F3574">
        <v>9</v>
      </c>
      <c r="G3574">
        <v>0</v>
      </c>
      <c r="H3574">
        <v>25</v>
      </c>
      <c r="I3574">
        <v>1</v>
      </c>
      <c r="J3574">
        <v>0</v>
      </c>
      <c r="K3574">
        <v>4.6100000000000003</v>
      </c>
      <c r="L3574">
        <v>12.175000000000001</v>
      </c>
      <c r="M3574">
        <v>40.475000000000001</v>
      </c>
      <c r="N3574">
        <v>18.275000000000002</v>
      </c>
      <c r="O3574">
        <v>1700</v>
      </c>
      <c r="P3574">
        <v>0</v>
      </c>
      <c r="Q3574" s="5" t="e">
        <f>IF(AND(#REF!&gt;=table!$C$6,#REF!&lt;= table!$D$6),-1,IF(AND(#REF!&gt;=table!$E$6,#REF!&lt;=table!$F$6),1,0))</f>
        <v>#REF!</v>
      </c>
      <c r="R3574" s="5" t="e">
        <f>IF(AND(#REF!&gt;=table!$C$7,#REF!&lt;= table!$D$7),-1,IF(AND(#REF!&gt;=table!$E$7,#REF!&lt;=table!$F$7),1,0))</f>
        <v>#REF!</v>
      </c>
      <c r="S3574" s="5" t="e">
        <f>IF(AND(#REF!&gt;=table!$C$8,#REF!&lt;= table!$D$8),-1,IF(AND(#REF!&gt;=table!$E$8,#REF!&lt;=table!$F$8),1,0))</f>
        <v>#REF!</v>
      </c>
      <c r="T3574" s="5"/>
      <c r="U3574" s="5" t="e">
        <f>IF(AND(#REF!&gt;=table!$C$10,#REF!&lt;= table!$D$10),-1,IF(AND(#REF!&gt;=table!$E$10,#REF!&lt;=table!$F$10),1,0))</f>
        <v>#REF!</v>
      </c>
      <c r="V3574" s="5" t="e">
        <f>IF(AND(#REF!&gt;=table!$C$11,#REF!&lt;= table!$D$11),-1,IF(AND(#REF!&gt;=table!$E$11,#REF!&lt;=table!$F$11),1,0))</f>
        <v>#REF!</v>
      </c>
      <c r="W3574" s="5" t="e">
        <f>CONCATENATE(dados[[#This Row],[fator1]],dados[[#This Row],[fator5]],dados[[#This Row],[fator6]])</f>
        <v>#REF!</v>
      </c>
    </row>
    <row r="3575" spans="1:23">
      <c r="A3575" t="s">
        <v>16</v>
      </c>
      <c r="B3575">
        <v>587515</v>
      </c>
      <c r="C3575">
        <v>11</v>
      </c>
      <c r="D3575">
        <v>35</v>
      </c>
      <c r="E3575">
        <v>45</v>
      </c>
      <c r="F3575">
        <v>9</v>
      </c>
      <c r="G3575">
        <v>0</v>
      </c>
      <c r="H3575">
        <v>25</v>
      </c>
      <c r="I3575">
        <v>0</v>
      </c>
      <c r="J3575">
        <v>0</v>
      </c>
      <c r="K3575">
        <v>5.6350000000000007</v>
      </c>
      <c r="L3575">
        <v>9.5150000000000006</v>
      </c>
      <c r="M3575">
        <v>38.305</v>
      </c>
      <c r="N3575">
        <v>12.815000000000001</v>
      </c>
      <c r="O3575">
        <v>1678</v>
      </c>
      <c r="P3575">
        <v>0</v>
      </c>
      <c r="Q3575" s="5" t="e">
        <f>IF(AND(#REF!&gt;=table!$C$6,#REF!&lt;= table!$D$6),-1,IF(AND(#REF!&gt;=table!$E$6,#REF!&lt;=table!$F$6),1,0))</f>
        <v>#REF!</v>
      </c>
      <c r="R3575" s="5" t="e">
        <f>IF(AND(#REF!&gt;=table!$C$7,#REF!&lt;= table!$D$7),-1,IF(AND(#REF!&gt;=table!$E$7,#REF!&lt;=table!$F$7),1,0))</f>
        <v>#REF!</v>
      </c>
      <c r="S3575" s="5" t="e">
        <f>IF(AND(#REF!&gt;=table!$C$8,#REF!&lt;= table!$D$8),-1,IF(AND(#REF!&gt;=table!$E$8,#REF!&lt;=table!$F$8),1,0))</f>
        <v>#REF!</v>
      </c>
      <c r="T3575" s="5"/>
      <c r="U3575" s="5" t="e">
        <f>IF(AND(#REF!&gt;=table!$C$10,#REF!&lt;= table!$D$10),-1,IF(AND(#REF!&gt;=table!$E$10,#REF!&lt;=table!$F$10),1,0))</f>
        <v>#REF!</v>
      </c>
      <c r="V3575" s="5" t="e">
        <f>IF(AND(#REF!&gt;=table!$C$11,#REF!&lt;= table!$D$11),-1,IF(AND(#REF!&gt;=table!$E$11,#REF!&lt;=table!$F$11),1,0))</f>
        <v>#REF!</v>
      </c>
      <c r="W3575" s="5" t="e">
        <f>CONCATENATE(dados[[#This Row],[fator1]],dados[[#This Row],[fator5]],dados[[#This Row],[fator6]])</f>
        <v>#REF!</v>
      </c>
    </row>
    <row r="3576" spans="1:23">
      <c r="A3576" t="s">
        <v>17</v>
      </c>
      <c r="B3576">
        <v>587517</v>
      </c>
      <c r="C3576">
        <v>14</v>
      </c>
      <c r="D3576">
        <v>30</v>
      </c>
      <c r="E3576">
        <v>140</v>
      </c>
      <c r="F3576">
        <v>4</v>
      </c>
      <c r="G3576">
        <v>25</v>
      </c>
      <c r="H3576">
        <v>21</v>
      </c>
      <c r="I3576">
        <v>194</v>
      </c>
      <c r="J3576">
        <v>0</v>
      </c>
      <c r="K3576">
        <v>2.79</v>
      </c>
      <c r="L3576">
        <v>4.5150000000000006</v>
      </c>
      <c r="M3576">
        <v>113.62</v>
      </c>
      <c r="N3576">
        <v>10.775</v>
      </c>
      <c r="O3576">
        <v>1678</v>
      </c>
      <c r="P3576">
        <v>1349</v>
      </c>
      <c r="Q3576" s="5" t="e">
        <f>IF(AND(#REF!&gt;=table!$C$6,#REF!&lt;= table!$D$6),-1,IF(AND(#REF!&gt;=table!$E$6,#REF!&lt;=table!$F$6),1,0))</f>
        <v>#REF!</v>
      </c>
      <c r="R3576" s="5" t="e">
        <f>IF(AND(#REF!&gt;=table!$C$7,#REF!&lt;= table!$D$7),-1,IF(AND(#REF!&gt;=table!$E$7,#REF!&lt;=table!$F$7),1,0))</f>
        <v>#REF!</v>
      </c>
      <c r="S3576" s="5" t="e">
        <f>IF(AND(#REF!&gt;=table!$C$8,#REF!&lt;= table!$D$8),-1,IF(AND(#REF!&gt;=table!$E$8,#REF!&lt;=table!$F$8),1,0))</f>
        <v>#REF!</v>
      </c>
      <c r="T3576" s="5"/>
      <c r="U3576" s="5" t="e">
        <f>IF(AND(#REF!&gt;=table!$C$10,#REF!&lt;= table!$D$10),-1,IF(AND(#REF!&gt;=table!$E$10,#REF!&lt;=table!$F$10),1,0))</f>
        <v>#REF!</v>
      </c>
      <c r="V3576" s="5" t="e">
        <f>IF(AND(#REF!&gt;=table!$C$11,#REF!&lt;= table!$D$11),-1,IF(AND(#REF!&gt;=table!$E$11,#REF!&lt;=table!$F$11),1,0))</f>
        <v>#REF!</v>
      </c>
      <c r="W3576" s="5" t="e">
        <f>CONCATENATE(dados[[#This Row],[fator1]],dados[[#This Row],[fator5]],dados[[#This Row],[fator6]])</f>
        <v>#REF!</v>
      </c>
    </row>
    <row r="3577" spans="1:23">
      <c r="A3577" t="s">
        <v>17</v>
      </c>
      <c r="B3577">
        <v>587518</v>
      </c>
      <c r="C3577">
        <v>15</v>
      </c>
      <c r="D3577">
        <v>35</v>
      </c>
      <c r="E3577">
        <v>120</v>
      </c>
      <c r="F3577">
        <v>4</v>
      </c>
      <c r="G3577">
        <v>15</v>
      </c>
      <c r="H3577">
        <v>20</v>
      </c>
      <c r="I3577">
        <v>371</v>
      </c>
      <c r="J3577">
        <v>0</v>
      </c>
      <c r="K3577">
        <v>4.1450000000000005</v>
      </c>
      <c r="L3577">
        <v>8.9450000000000003</v>
      </c>
      <c r="M3577">
        <v>71.924999999999997</v>
      </c>
      <c r="N3577">
        <v>11.83</v>
      </c>
      <c r="O3577">
        <v>1674</v>
      </c>
      <c r="P3577">
        <v>987</v>
      </c>
      <c r="Q3577" s="5" t="e">
        <f>IF(AND(#REF!&gt;=table!$C$6,#REF!&lt;= table!$D$6),-1,IF(AND(#REF!&gt;=table!$E$6,#REF!&lt;=table!$F$6),1,0))</f>
        <v>#REF!</v>
      </c>
      <c r="R3577" s="5" t="e">
        <f>IF(AND(#REF!&gt;=table!$C$7,#REF!&lt;= table!$D$7),-1,IF(AND(#REF!&gt;=table!$E$7,#REF!&lt;=table!$F$7),1,0))</f>
        <v>#REF!</v>
      </c>
      <c r="S3577" s="5" t="e">
        <f>IF(AND(#REF!&gt;=table!$C$8,#REF!&lt;= table!$D$8),-1,IF(AND(#REF!&gt;=table!$E$8,#REF!&lt;=table!$F$8),1,0))</f>
        <v>#REF!</v>
      </c>
      <c r="T3577" s="5"/>
      <c r="U3577" s="5" t="e">
        <f>IF(AND(#REF!&gt;=table!$C$10,#REF!&lt;= table!$D$10),-1,IF(AND(#REF!&gt;=table!$E$10,#REF!&lt;=table!$F$10),1,0))</f>
        <v>#REF!</v>
      </c>
      <c r="V3577" s="5" t="e">
        <f>IF(AND(#REF!&gt;=table!$C$11,#REF!&lt;= table!$D$11),-1,IF(AND(#REF!&gt;=table!$E$11,#REF!&lt;=table!$F$11),1,0))</f>
        <v>#REF!</v>
      </c>
      <c r="W3577" s="5" t="e">
        <f>CONCATENATE(dados[[#This Row],[fator1]],dados[[#This Row],[fator5]],dados[[#This Row],[fator6]])</f>
        <v>#REF!</v>
      </c>
    </row>
    <row r="3578" spans="1:23">
      <c r="A3578" t="s">
        <v>16</v>
      </c>
      <c r="B3578">
        <v>587522</v>
      </c>
      <c r="C3578">
        <v>11</v>
      </c>
      <c r="D3578">
        <v>40</v>
      </c>
      <c r="E3578">
        <v>151</v>
      </c>
      <c r="F3578">
        <v>8</v>
      </c>
      <c r="G3578">
        <v>0</v>
      </c>
      <c r="H3578">
        <v>25</v>
      </c>
      <c r="I3578">
        <v>1020</v>
      </c>
      <c r="J3578">
        <v>630</v>
      </c>
      <c r="K3578">
        <v>2.7749999999999999</v>
      </c>
      <c r="L3578">
        <v>11.865</v>
      </c>
      <c r="M3578">
        <v>0</v>
      </c>
      <c r="N3578">
        <v>0</v>
      </c>
      <c r="O3578">
        <v>1720</v>
      </c>
      <c r="P3578">
        <v>1230</v>
      </c>
      <c r="Q3578" s="5" t="e">
        <f>IF(AND(#REF!&gt;=table!$C$6,#REF!&lt;= table!$D$6),-1,IF(AND(#REF!&gt;=table!$E$6,#REF!&lt;=table!$F$6),1,0))</f>
        <v>#REF!</v>
      </c>
      <c r="R3578" s="5" t="e">
        <f>IF(AND(#REF!&gt;=table!$C$7,#REF!&lt;= table!$D$7),-1,IF(AND(#REF!&gt;=table!$E$7,#REF!&lt;=table!$F$7),1,0))</f>
        <v>#REF!</v>
      </c>
      <c r="S3578" s="5" t="e">
        <f>IF(AND(#REF!&gt;=table!$C$8,#REF!&lt;= table!$D$8),-1,IF(AND(#REF!&gt;=table!$E$8,#REF!&lt;=table!$F$8),1,0))</f>
        <v>#REF!</v>
      </c>
      <c r="T3578" s="5"/>
      <c r="U3578" s="5" t="e">
        <f>IF(AND(#REF!&gt;=table!$C$10,#REF!&lt;= table!$D$10),-1,IF(AND(#REF!&gt;=table!$E$10,#REF!&lt;=table!$F$10),1,0))</f>
        <v>#REF!</v>
      </c>
      <c r="V3578" s="5" t="e">
        <f>IF(AND(#REF!&gt;=table!$C$11,#REF!&lt;= table!$D$11),-1,IF(AND(#REF!&gt;=table!$E$11,#REF!&lt;=table!$F$11),1,0))</f>
        <v>#REF!</v>
      </c>
      <c r="W3578" s="5" t="e">
        <f>CONCATENATE(dados[[#This Row],[fator1]],dados[[#This Row],[fator5]],dados[[#This Row],[fator6]])</f>
        <v>#REF!</v>
      </c>
    </row>
    <row r="3579" spans="1:23">
      <c r="A3579" t="s">
        <v>17</v>
      </c>
      <c r="B3579">
        <v>587523</v>
      </c>
      <c r="C3579">
        <v>16</v>
      </c>
      <c r="D3579">
        <v>35</v>
      </c>
      <c r="E3579">
        <v>120</v>
      </c>
      <c r="F3579">
        <v>4</v>
      </c>
      <c r="G3579">
        <v>30</v>
      </c>
      <c r="H3579">
        <v>20</v>
      </c>
      <c r="I3579">
        <v>0</v>
      </c>
      <c r="J3579">
        <v>0</v>
      </c>
      <c r="K3579">
        <v>4.2650000000000006</v>
      </c>
      <c r="L3579">
        <v>12.875</v>
      </c>
      <c r="M3579">
        <v>76.465000000000003</v>
      </c>
      <c r="N3579">
        <v>13.55</v>
      </c>
      <c r="O3579">
        <v>1700</v>
      </c>
      <c r="P3579">
        <v>770</v>
      </c>
      <c r="Q3579" s="5" t="e">
        <f>IF(AND(#REF!&gt;=table!$C$6,#REF!&lt;= table!$D$6),-1,IF(AND(#REF!&gt;=table!$E$6,#REF!&lt;=table!$F$6),1,0))</f>
        <v>#REF!</v>
      </c>
      <c r="R3579" s="5" t="e">
        <f>IF(AND(#REF!&gt;=table!$C$7,#REF!&lt;= table!$D$7),-1,IF(AND(#REF!&gt;=table!$E$7,#REF!&lt;=table!$F$7),1,0))</f>
        <v>#REF!</v>
      </c>
      <c r="S3579" s="5" t="e">
        <f>IF(AND(#REF!&gt;=table!$C$8,#REF!&lt;= table!$D$8),-1,IF(AND(#REF!&gt;=table!$E$8,#REF!&lt;=table!$F$8),1,0))</f>
        <v>#REF!</v>
      </c>
      <c r="T3579" s="5"/>
      <c r="U3579" s="5" t="e">
        <f>IF(AND(#REF!&gt;=table!$C$10,#REF!&lt;= table!$D$10),-1,IF(AND(#REF!&gt;=table!$E$10,#REF!&lt;=table!$F$10),1,0))</f>
        <v>#REF!</v>
      </c>
      <c r="V3579" s="5" t="e">
        <f>IF(AND(#REF!&gt;=table!$C$11,#REF!&lt;= table!$D$11),-1,IF(AND(#REF!&gt;=table!$E$11,#REF!&lt;=table!$F$11),1,0))</f>
        <v>#REF!</v>
      </c>
      <c r="W3579" s="5" t="e">
        <f>CONCATENATE(dados[[#This Row],[fator1]],dados[[#This Row],[fator5]],dados[[#This Row],[fator6]])</f>
        <v>#REF!</v>
      </c>
    </row>
    <row r="3580" spans="1:23">
      <c r="A3580" t="s">
        <v>17</v>
      </c>
      <c r="B3580">
        <v>587524</v>
      </c>
      <c r="C3580">
        <v>16</v>
      </c>
      <c r="D3580">
        <v>23</v>
      </c>
      <c r="E3580">
        <v>145</v>
      </c>
      <c r="F3580">
        <v>9</v>
      </c>
      <c r="G3580">
        <v>30</v>
      </c>
      <c r="H3580">
        <v>25</v>
      </c>
      <c r="I3580">
        <v>1034</v>
      </c>
      <c r="J3580">
        <v>0</v>
      </c>
      <c r="K3580">
        <v>5.8500000000000005</v>
      </c>
      <c r="L3580">
        <v>11.085000000000001</v>
      </c>
      <c r="M3580">
        <v>103.545</v>
      </c>
      <c r="N3580">
        <v>14.66</v>
      </c>
      <c r="O3580">
        <v>1680</v>
      </c>
      <c r="P3580">
        <v>671</v>
      </c>
      <c r="Q3580" s="5" t="e">
        <f>IF(AND(#REF!&gt;=table!$C$6,#REF!&lt;= table!$D$6),-1,IF(AND(#REF!&gt;=table!$E$6,#REF!&lt;=table!$F$6),1,0))</f>
        <v>#REF!</v>
      </c>
      <c r="R3580" s="5" t="e">
        <f>IF(AND(#REF!&gt;=table!$C$7,#REF!&lt;= table!$D$7),-1,IF(AND(#REF!&gt;=table!$E$7,#REF!&lt;=table!$F$7),1,0))</f>
        <v>#REF!</v>
      </c>
      <c r="S3580" s="5" t="e">
        <f>IF(AND(#REF!&gt;=table!$C$8,#REF!&lt;= table!$D$8),-1,IF(AND(#REF!&gt;=table!$E$8,#REF!&lt;=table!$F$8),1,0))</f>
        <v>#REF!</v>
      </c>
      <c r="T3580" s="5"/>
      <c r="U3580" s="5" t="e">
        <f>IF(AND(#REF!&gt;=table!$C$10,#REF!&lt;= table!$D$10),-1,IF(AND(#REF!&gt;=table!$E$10,#REF!&lt;=table!$F$10),1,0))</f>
        <v>#REF!</v>
      </c>
      <c r="V3580" s="5" t="e">
        <f>IF(AND(#REF!&gt;=table!$C$11,#REF!&lt;= table!$D$11),-1,IF(AND(#REF!&gt;=table!$E$11,#REF!&lt;=table!$F$11),1,0))</f>
        <v>#REF!</v>
      </c>
      <c r="W3580" s="5" t="e">
        <f>CONCATENATE(dados[[#This Row],[fator1]],dados[[#This Row],[fator5]],dados[[#This Row],[fator6]])</f>
        <v>#REF!</v>
      </c>
    </row>
    <row r="3581" spans="1:23">
      <c r="A3581" t="s">
        <v>16</v>
      </c>
      <c r="B3581">
        <v>587531</v>
      </c>
      <c r="C3581">
        <v>0.15</v>
      </c>
      <c r="D3581">
        <v>40</v>
      </c>
      <c r="E3581">
        <v>10</v>
      </c>
      <c r="F3581">
        <v>15</v>
      </c>
      <c r="G3581">
        <v>0</v>
      </c>
      <c r="H3581">
        <v>15</v>
      </c>
      <c r="I3581">
        <v>0</v>
      </c>
      <c r="J3581">
        <v>0</v>
      </c>
      <c r="K3581">
        <v>3.375</v>
      </c>
      <c r="L3581">
        <v>6.7650000000000006</v>
      </c>
      <c r="M3581">
        <v>5.8550000000000004</v>
      </c>
      <c r="N3581">
        <v>12.275</v>
      </c>
      <c r="O3581">
        <v>1688</v>
      </c>
      <c r="P3581">
        <v>0</v>
      </c>
      <c r="Q3581" s="5" t="e">
        <f>IF(AND(#REF!&gt;=table!$C$6,#REF!&lt;= table!$D$6),-1,IF(AND(#REF!&gt;=table!$E$6,#REF!&lt;=table!$F$6),1,0))</f>
        <v>#REF!</v>
      </c>
      <c r="R3581" s="5" t="e">
        <f>IF(AND(#REF!&gt;=table!$C$7,#REF!&lt;= table!$D$7),-1,IF(AND(#REF!&gt;=table!$E$7,#REF!&lt;=table!$F$7),1,0))</f>
        <v>#REF!</v>
      </c>
      <c r="S3581" s="5" t="e">
        <f>IF(AND(#REF!&gt;=table!$C$8,#REF!&lt;= table!$D$8),-1,IF(AND(#REF!&gt;=table!$E$8,#REF!&lt;=table!$F$8),1,0))</f>
        <v>#REF!</v>
      </c>
      <c r="T3581" s="5"/>
      <c r="U3581" s="5" t="e">
        <f>IF(AND(#REF!&gt;=table!$C$10,#REF!&lt;= table!$D$10),-1,IF(AND(#REF!&gt;=table!$E$10,#REF!&lt;=table!$F$10),1,0))</f>
        <v>#REF!</v>
      </c>
      <c r="V3581" s="5" t="e">
        <f>IF(AND(#REF!&gt;=table!$C$11,#REF!&lt;= table!$D$11),-1,IF(AND(#REF!&gt;=table!$E$11,#REF!&lt;=table!$F$11),1,0))</f>
        <v>#REF!</v>
      </c>
      <c r="W3581" s="5" t="e">
        <f>CONCATENATE(dados[[#This Row],[fator1]],dados[[#This Row],[fator5]],dados[[#This Row],[fator6]])</f>
        <v>#REF!</v>
      </c>
    </row>
    <row r="3582" spans="1:23">
      <c r="A3582" t="s">
        <v>16</v>
      </c>
      <c r="B3582">
        <v>587533</v>
      </c>
      <c r="C3582">
        <v>13</v>
      </c>
      <c r="D3582">
        <v>35</v>
      </c>
      <c r="E3582">
        <v>120</v>
      </c>
      <c r="F3582">
        <v>10</v>
      </c>
      <c r="G3582">
        <v>0</v>
      </c>
      <c r="H3582">
        <v>25</v>
      </c>
      <c r="I3582">
        <v>248</v>
      </c>
      <c r="J3582">
        <v>0</v>
      </c>
      <c r="K3582">
        <v>3.5150000000000001</v>
      </c>
      <c r="L3582">
        <v>10.165000000000001</v>
      </c>
      <c r="M3582">
        <v>100.39500000000001</v>
      </c>
      <c r="N3582">
        <v>13.870000000000001</v>
      </c>
      <c r="O3582">
        <v>1686</v>
      </c>
      <c r="P3582">
        <v>0</v>
      </c>
      <c r="Q3582" s="5" t="e">
        <f>IF(AND(#REF!&gt;=table!$C$6,#REF!&lt;= table!$D$6),-1,IF(AND(#REF!&gt;=table!$E$6,#REF!&lt;=table!$F$6),1,0))</f>
        <v>#REF!</v>
      </c>
      <c r="R3582" s="5" t="e">
        <f>IF(AND(#REF!&gt;=table!$C$7,#REF!&lt;= table!$D$7),-1,IF(AND(#REF!&gt;=table!$E$7,#REF!&lt;=table!$F$7),1,0))</f>
        <v>#REF!</v>
      </c>
      <c r="S3582" s="5" t="e">
        <f>IF(AND(#REF!&gt;=table!$C$8,#REF!&lt;= table!$D$8),-1,IF(AND(#REF!&gt;=table!$E$8,#REF!&lt;=table!$F$8),1,0))</f>
        <v>#REF!</v>
      </c>
      <c r="T3582" s="5"/>
      <c r="U3582" s="5" t="e">
        <f>IF(AND(#REF!&gt;=table!$C$10,#REF!&lt;= table!$D$10),-1,IF(AND(#REF!&gt;=table!$E$10,#REF!&lt;=table!$F$10),1,0))</f>
        <v>#REF!</v>
      </c>
      <c r="V3582" s="5" t="e">
        <f>IF(AND(#REF!&gt;=table!$C$11,#REF!&lt;= table!$D$11),-1,IF(AND(#REF!&gt;=table!$E$11,#REF!&lt;=table!$F$11),1,0))</f>
        <v>#REF!</v>
      </c>
      <c r="W3582" s="5" t="e">
        <f>CONCATENATE(dados[[#This Row],[fator1]],dados[[#This Row],[fator5]],dados[[#This Row],[fator6]])</f>
        <v>#REF!</v>
      </c>
    </row>
    <row r="3583" spans="1:23">
      <c r="A3583" t="s">
        <v>16</v>
      </c>
      <c r="B3583">
        <v>587535</v>
      </c>
      <c r="C3583">
        <v>15</v>
      </c>
      <c r="D3583">
        <v>35</v>
      </c>
      <c r="E3583">
        <v>86</v>
      </c>
      <c r="F3583">
        <v>10</v>
      </c>
      <c r="G3583">
        <v>0</v>
      </c>
      <c r="H3583">
        <v>25</v>
      </c>
      <c r="I3583">
        <v>924</v>
      </c>
      <c r="J3583">
        <v>0</v>
      </c>
      <c r="K3583">
        <v>4.5350000000000001</v>
      </c>
      <c r="L3583">
        <v>8.2200000000000006</v>
      </c>
      <c r="M3583">
        <v>7.95</v>
      </c>
      <c r="N3583">
        <v>9.8350000000000009</v>
      </c>
      <c r="O3583">
        <v>1660</v>
      </c>
      <c r="P3583">
        <v>713</v>
      </c>
      <c r="Q3583" s="5" t="e">
        <f>IF(AND(#REF!&gt;=table!$C$6,#REF!&lt;= table!$D$6),-1,IF(AND(#REF!&gt;=table!$E$6,#REF!&lt;=table!$F$6),1,0))</f>
        <v>#REF!</v>
      </c>
      <c r="R3583" s="5" t="e">
        <f>IF(AND(#REF!&gt;=table!$C$7,#REF!&lt;= table!$D$7),-1,IF(AND(#REF!&gt;=table!$E$7,#REF!&lt;=table!$F$7),1,0))</f>
        <v>#REF!</v>
      </c>
      <c r="S3583" s="5" t="e">
        <f>IF(AND(#REF!&gt;=table!$C$8,#REF!&lt;= table!$D$8),-1,IF(AND(#REF!&gt;=table!$E$8,#REF!&lt;=table!$F$8),1,0))</f>
        <v>#REF!</v>
      </c>
      <c r="T3583" s="5"/>
      <c r="U3583" s="5" t="e">
        <f>IF(AND(#REF!&gt;=table!$C$10,#REF!&lt;= table!$D$10),-1,IF(AND(#REF!&gt;=table!$E$10,#REF!&lt;=table!$F$10),1,0))</f>
        <v>#REF!</v>
      </c>
      <c r="V3583" s="5" t="e">
        <f>IF(AND(#REF!&gt;=table!$C$11,#REF!&lt;= table!$D$11),-1,IF(AND(#REF!&gt;=table!$E$11,#REF!&lt;=table!$F$11),1,0))</f>
        <v>#REF!</v>
      </c>
      <c r="W3583" s="5" t="e">
        <f>CONCATENATE(dados[[#This Row],[fator1]],dados[[#This Row],[fator5]],dados[[#This Row],[fator6]])</f>
        <v>#REF!</v>
      </c>
    </row>
    <row r="3584" spans="1:23">
      <c r="A3584" t="s">
        <v>16</v>
      </c>
      <c r="B3584">
        <v>587536</v>
      </c>
      <c r="C3584">
        <v>15</v>
      </c>
      <c r="D3584">
        <v>35</v>
      </c>
      <c r="E3584">
        <v>86</v>
      </c>
      <c r="F3584">
        <v>10</v>
      </c>
      <c r="G3584">
        <v>0</v>
      </c>
      <c r="H3584">
        <v>25</v>
      </c>
      <c r="I3584">
        <v>16</v>
      </c>
      <c r="J3584">
        <v>0</v>
      </c>
      <c r="K3584">
        <v>4.6100000000000003</v>
      </c>
      <c r="L3584">
        <v>9.6150000000000002</v>
      </c>
      <c r="M3584">
        <v>71.945000000000007</v>
      </c>
      <c r="N3584">
        <v>12.665000000000001</v>
      </c>
      <c r="O3584">
        <v>1670</v>
      </c>
      <c r="P3584">
        <v>768</v>
      </c>
      <c r="Q3584" s="5" t="e">
        <f>IF(AND(#REF!&gt;=table!$C$6,#REF!&lt;= table!$D$6),-1,IF(AND(#REF!&gt;=table!$E$6,#REF!&lt;=table!$F$6),1,0))</f>
        <v>#REF!</v>
      </c>
      <c r="R3584" s="5" t="e">
        <f>IF(AND(#REF!&gt;=table!$C$7,#REF!&lt;= table!$D$7),-1,IF(AND(#REF!&gt;=table!$E$7,#REF!&lt;=table!$F$7),1,0))</f>
        <v>#REF!</v>
      </c>
      <c r="S3584" s="5" t="e">
        <f>IF(AND(#REF!&gt;=table!$C$8,#REF!&lt;= table!$D$8),-1,IF(AND(#REF!&gt;=table!$E$8,#REF!&lt;=table!$F$8),1,0))</f>
        <v>#REF!</v>
      </c>
      <c r="T3584" s="5"/>
      <c r="U3584" s="5" t="e">
        <f>IF(AND(#REF!&gt;=table!$C$10,#REF!&lt;= table!$D$10),-1,IF(AND(#REF!&gt;=table!$E$10,#REF!&lt;=table!$F$10),1,0))</f>
        <v>#REF!</v>
      </c>
      <c r="V3584" s="5" t="e">
        <f>IF(AND(#REF!&gt;=table!$C$11,#REF!&lt;= table!$D$11),-1,IF(AND(#REF!&gt;=table!$E$11,#REF!&lt;=table!$F$11),1,0))</f>
        <v>#REF!</v>
      </c>
      <c r="W3584" s="5" t="e">
        <f>CONCATENATE(dados[[#This Row],[fator1]],dados[[#This Row],[fator5]],dados[[#This Row],[fator6]])</f>
        <v>#REF!</v>
      </c>
    </row>
    <row r="3585" spans="1:23">
      <c r="A3585" t="s">
        <v>16</v>
      </c>
      <c r="B3585">
        <v>587539</v>
      </c>
      <c r="C3585">
        <v>12</v>
      </c>
      <c r="D3585">
        <v>35</v>
      </c>
      <c r="E3585">
        <v>86</v>
      </c>
      <c r="F3585">
        <v>10</v>
      </c>
      <c r="G3585">
        <v>0</v>
      </c>
      <c r="H3585">
        <v>25</v>
      </c>
      <c r="I3585">
        <v>79</v>
      </c>
      <c r="J3585">
        <v>0</v>
      </c>
      <c r="K3585">
        <v>3.625</v>
      </c>
      <c r="L3585">
        <v>5.08</v>
      </c>
      <c r="M3585">
        <v>59.56</v>
      </c>
      <c r="N3585">
        <v>11.120000000000001</v>
      </c>
      <c r="O3585">
        <v>1669</v>
      </c>
      <c r="P3585">
        <v>1113</v>
      </c>
      <c r="Q3585" s="5" t="e">
        <f>IF(AND(#REF!&gt;=table!$C$6,#REF!&lt;= table!$D$6),-1,IF(AND(#REF!&gt;=table!$E$6,#REF!&lt;=table!$F$6),1,0))</f>
        <v>#REF!</v>
      </c>
      <c r="R3585" s="5" t="e">
        <f>IF(AND(#REF!&gt;=table!$C$7,#REF!&lt;= table!$D$7),-1,IF(AND(#REF!&gt;=table!$E$7,#REF!&lt;=table!$F$7),1,0))</f>
        <v>#REF!</v>
      </c>
      <c r="S3585" s="5" t="e">
        <f>IF(AND(#REF!&gt;=table!$C$8,#REF!&lt;= table!$D$8),-1,IF(AND(#REF!&gt;=table!$E$8,#REF!&lt;=table!$F$8),1,0))</f>
        <v>#REF!</v>
      </c>
      <c r="T3585" s="5"/>
      <c r="U3585" s="5" t="e">
        <f>IF(AND(#REF!&gt;=table!$C$10,#REF!&lt;= table!$D$10),-1,IF(AND(#REF!&gt;=table!$E$10,#REF!&lt;=table!$F$10),1,0))</f>
        <v>#REF!</v>
      </c>
      <c r="V3585" s="5" t="e">
        <f>IF(AND(#REF!&gt;=table!$C$11,#REF!&lt;= table!$D$11),-1,IF(AND(#REF!&gt;=table!$E$11,#REF!&lt;=table!$F$11),1,0))</f>
        <v>#REF!</v>
      </c>
      <c r="W3585" s="5" t="e">
        <f>CONCATENATE(dados[[#This Row],[fator1]],dados[[#This Row],[fator5]],dados[[#This Row],[fator6]])</f>
        <v>#REF!</v>
      </c>
    </row>
    <row r="3586" spans="1:23">
      <c r="A3586" t="s">
        <v>16</v>
      </c>
      <c r="B3586">
        <v>587540</v>
      </c>
      <c r="C3586">
        <v>12</v>
      </c>
      <c r="D3586">
        <v>35</v>
      </c>
      <c r="E3586">
        <v>86</v>
      </c>
      <c r="F3586">
        <v>10</v>
      </c>
      <c r="G3586">
        <v>0</v>
      </c>
      <c r="H3586">
        <v>25</v>
      </c>
      <c r="I3586">
        <v>393</v>
      </c>
      <c r="J3586">
        <v>0</v>
      </c>
      <c r="K3586">
        <v>6.0150000000000006</v>
      </c>
      <c r="L3586">
        <v>11.435</v>
      </c>
      <c r="M3586">
        <v>68.16</v>
      </c>
      <c r="N3586">
        <v>11.855</v>
      </c>
      <c r="O3586">
        <v>1676</v>
      </c>
      <c r="P3586">
        <v>1057</v>
      </c>
      <c r="Q3586" s="5" t="e">
        <f>IF(AND(#REF!&gt;=table!$C$6,#REF!&lt;= table!$D$6),-1,IF(AND(#REF!&gt;=table!$E$6,#REF!&lt;=table!$F$6),1,0))</f>
        <v>#REF!</v>
      </c>
      <c r="R3586" s="5" t="e">
        <f>IF(AND(#REF!&gt;=table!$C$7,#REF!&lt;= table!$D$7),-1,IF(AND(#REF!&gt;=table!$E$7,#REF!&lt;=table!$F$7),1,0))</f>
        <v>#REF!</v>
      </c>
      <c r="S3586" s="5" t="e">
        <f>IF(AND(#REF!&gt;=table!$C$8,#REF!&lt;= table!$D$8),-1,IF(AND(#REF!&gt;=table!$E$8,#REF!&lt;=table!$F$8),1,0))</f>
        <v>#REF!</v>
      </c>
      <c r="T3586" s="5"/>
      <c r="U3586" s="5" t="e">
        <f>IF(AND(#REF!&gt;=table!$C$10,#REF!&lt;= table!$D$10),-1,IF(AND(#REF!&gt;=table!$E$10,#REF!&lt;=table!$F$10),1,0))</f>
        <v>#REF!</v>
      </c>
      <c r="V3586" s="5" t="e">
        <f>IF(AND(#REF!&gt;=table!$C$11,#REF!&lt;= table!$D$11),-1,IF(AND(#REF!&gt;=table!$E$11,#REF!&lt;=table!$F$11),1,0))</f>
        <v>#REF!</v>
      </c>
      <c r="W3586" s="5" t="e">
        <f>CONCATENATE(dados[[#This Row],[fator1]],dados[[#This Row],[fator5]],dados[[#This Row],[fator6]])</f>
        <v>#REF!</v>
      </c>
    </row>
    <row r="3587" spans="1:23">
      <c r="A3587" t="s">
        <v>16</v>
      </c>
      <c r="B3587">
        <v>587541</v>
      </c>
      <c r="C3587">
        <v>0.15</v>
      </c>
      <c r="D3587">
        <v>40</v>
      </c>
      <c r="E3587">
        <v>10</v>
      </c>
      <c r="F3587">
        <v>15</v>
      </c>
      <c r="G3587">
        <v>0</v>
      </c>
      <c r="H3587">
        <v>15</v>
      </c>
      <c r="I3587">
        <v>364</v>
      </c>
      <c r="J3587">
        <v>0</v>
      </c>
      <c r="K3587">
        <v>5.64</v>
      </c>
      <c r="L3587">
        <v>7.88</v>
      </c>
      <c r="M3587">
        <v>7.63</v>
      </c>
      <c r="N3587">
        <v>7.4250000000000007</v>
      </c>
      <c r="O3587">
        <v>1659</v>
      </c>
      <c r="P3587">
        <v>600</v>
      </c>
      <c r="Q3587" s="5" t="e">
        <f>IF(AND(#REF!&gt;=table!$C$6,#REF!&lt;= table!$D$6),-1,IF(AND(#REF!&gt;=table!$E$6,#REF!&lt;=table!$F$6),1,0))</f>
        <v>#REF!</v>
      </c>
      <c r="R3587" s="5" t="e">
        <f>IF(AND(#REF!&gt;=table!$C$7,#REF!&lt;= table!$D$7),-1,IF(AND(#REF!&gt;=table!$E$7,#REF!&lt;=table!$F$7),1,0))</f>
        <v>#REF!</v>
      </c>
      <c r="S3587" s="5" t="e">
        <f>IF(AND(#REF!&gt;=table!$C$8,#REF!&lt;= table!$D$8),-1,IF(AND(#REF!&gt;=table!$E$8,#REF!&lt;=table!$F$8),1,0))</f>
        <v>#REF!</v>
      </c>
      <c r="T3587" s="5"/>
      <c r="U3587" s="5" t="e">
        <f>IF(AND(#REF!&gt;=table!$C$10,#REF!&lt;= table!$D$10),-1,IF(AND(#REF!&gt;=table!$E$10,#REF!&lt;=table!$F$10),1,0))</f>
        <v>#REF!</v>
      </c>
      <c r="V3587" s="5" t="e">
        <f>IF(AND(#REF!&gt;=table!$C$11,#REF!&lt;= table!$D$11),-1,IF(AND(#REF!&gt;=table!$E$11,#REF!&lt;=table!$F$11),1,0))</f>
        <v>#REF!</v>
      </c>
      <c r="W3587" s="5" t="e">
        <f>CONCATENATE(dados[[#This Row],[fator1]],dados[[#This Row],[fator5]],dados[[#This Row],[fator6]])</f>
        <v>#REF!</v>
      </c>
    </row>
    <row r="3588" spans="1:23">
      <c r="A3588" t="s">
        <v>16</v>
      </c>
      <c r="B3588">
        <v>587550</v>
      </c>
      <c r="C3588">
        <v>12</v>
      </c>
      <c r="D3588">
        <v>35</v>
      </c>
      <c r="E3588">
        <v>86</v>
      </c>
      <c r="F3588">
        <v>10</v>
      </c>
      <c r="G3588">
        <v>0</v>
      </c>
      <c r="H3588">
        <v>25</v>
      </c>
      <c r="I3588">
        <v>0</v>
      </c>
      <c r="J3588">
        <v>0</v>
      </c>
      <c r="K3588">
        <v>3.72</v>
      </c>
      <c r="L3588">
        <v>11.23</v>
      </c>
      <c r="M3588">
        <v>70.900000000000006</v>
      </c>
      <c r="N3588">
        <v>20.45</v>
      </c>
      <c r="O3588">
        <v>1680</v>
      </c>
      <c r="P3588">
        <v>0</v>
      </c>
      <c r="Q3588" s="5" t="e">
        <f>IF(AND(#REF!&gt;=table!$C$6,#REF!&lt;= table!$D$6),-1,IF(AND(#REF!&gt;=table!$E$6,#REF!&lt;=table!$F$6),1,0))</f>
        <v>#REF!</v>
      </c>
      <c r="R3588" s="5" t="e">
        <f>IF(AND(#REF!&gt;=table!$C$7,#REF!&lt;= table!$D$7),-1,IF(AND(#REF!&gt;=table!$E$7,#REF!&lt;=table!$F$7),1,0))</f>
        <v>#REF!</v>
      </c>
      <c r="S3588" s="5" t="e">
        <f>IF(AND(#REF!&gt;=table!$C$8,#REF!&lt;= table!$D$8),-1,IF(AND(#REF!&gt;=table!$E$8,#REF!&lt;=table!$F$8),1,0))</f>
        <v>#REF!</v>
      </c>
      <c r="T3588" s="5"/>
      <c r="U3588" s="5" t="e">
        <f>IF(AND(#REF!&gt;=table!$C$10,#REF!&lt;= table!$D$10),-1,IF(AND(#REF!&gt;=table!$E$10,#REF!&lt;=table!$F$10),1,0))</f>
        <v>#REF!</v>
      </c>
      <c r="V3588" s="5" t="e">
        <f>IF(AND(#REF!&gt;=table!$C$11,#REF!&lt;= table!$D$11),-1,IF(AND(#REF!&gt;=table!$E$11,#REF!&lt;=table!$F$11),1,0))</f>
        <v>#REF!</v>
      </c>
      <c r="W3588" s="5" t="e">
        <f>CONCATENATE(dados[[#This Row],[fator1]],dados[[#This Row],[fator5]],dados[[#This Row],[fator6]])</f>
        <v>#REF!</v>
      </c>
    </row>
    <row r="3589" spans="1:23">
      <c r="A3589" t="s">
        <v>16</v>
      </c>
      <c r="B3589">
        <v>587551</v>
      </c>
      <c r="C3589">
        <v>3</v>
      </c>
      <c r="D3589">
        <v>30</v>
      </c>
      <c r="E3589">
        <v>21</v>
      </c>
      <c r="F3589">
        <v>15</v>
      </c>
      <c r="G3589">
        <v>0</v>
      </c>
      <c r="H3589">
        <v>25</v>
      </c>
      <c r="I3589">
        <v>983</v>
      </c>
      <c r="J3589">
        <v>0</v>
      </c>
      <c r="K3589">
        <v>3.86</v>
      </c>
      <c r="L3589">
        <v>9.0500000000000007</v>
      </c>
      <c r="M3589">
        <v>17.850000000000001</v>
      </c>
      <c r="N3589">
        <v>16.350000000000001</v>
      </c>
      <c r="O3589">
        <v>1683</v>
      </c>
      <c r="P3589">
        <v>1027</v>
      </c>
      <c r="Q3589" s="5" t="e">
        <f>IF(AND(#REF!&gt;=table!$C$6,#REF!&lt;= table!$D$6),-1,IF(AND(#REF!&gt;=table!$E$6,#REF!&lt;=table!$F$6),1,0))</f>
        <v>#REF!</v>
      </c>
      <c r="R3589" s="5" t="e">
        <f>IF(AND(#REF!&gt;=table!$C$7,#REF!&lt;= table!$D$7),-1,IF(AND(#REF!&gt;=table!$E$7,#REF!&lt;=table!$F$7),1,0))</f>
        <v>#REF!</v>
      </c>
      <c r="S3589" s="5" t="e">
        <f>IF(AND(#REF!&gt;=table!$C$8,#REF!&lt;= table!$D$8),-1,IF(AND(#REF!&gt;=table!$E$8,#REF!&lt;=table!$F$8),1,0))</f>
        <v>#REF!</v>
      </c>
      <c r="T3589" s="5"/>
      <c r="U3589" s="5" t="e">
        <f>IF(AND(#REF!&gt;=table!$C$10,#REF!&lt;= table!$D$10),-1,IF(AND(#REF!&gt;=table!$E$10,#REF!&lt;=table!$F$10),1,0))</f>
        <v>#REF!</v>
      </c>
      <c r="V3589" s="5" t="e">
        <f>IF(AND(#REF!&gt;=table!$C$11,#REF!&lt;= table!$D$11),-1,IF(AND(#REF!&gt;=table!$E$11,#REF!&lt;=table!$F$11),1,0))</f>
        <v>#REF!</v>
      </c>
      <c r="W3589" s="5" t="e">
        <f>CONCATENATE(dados[[#This Row],[fator1]],dados[[#This Row],[fator5]],dados[[#This Row],[fator6]])</f>
        <v>#REF!</v>
      </c>
    </row>
    <row r="3590" spans="1:23">
      <c r="A3590" t="s">
        <v>16</v>
      </c>
      <c r="B3590">
        <v>587555</v>
      </c>
      <c r="C3590">
        <v>0.15</v>
      </c>
      <c r="D3590">
        <v>40</v>
      </c>
      <c r="E3590">
        <v>10</v>
      </c>
      <c r="F3590">
        <v>15</v>
      </c>
      <c r="G3590">
        <v>0</v>
      </c>
      <c r="H3590">
        <v>15</v>
      </c>
      <c r="I3590">
        <v>902</v>
      </c>
      <c r="J3590">
        <v>0</v>
      </c>
      <c r="K3590">
        <v>4.07</v>
      </c>
      <c r="L3590">
        <v>9.2149999999999999</v>
      </c>
      <c r="M3590">
        <v>7.8</v>
      </c>
      <c r="N3590">
        <v>10.35</v>
      </c>
      <c r="O3590">
        <v>1658</v>
      </c>
      <c r="P3590">
        <v>546</v>
      </c>
      <c r="Q3590" s="5" t="e">
        <f>IF(AND(#REF!&gt;=table!$C$6,#REF!&lt;= table!$D$6),-1,IF(AND(#REF!&gt;=table!$E$6,#REF!&lt;=table!$F$6),1,0))</f>
        <v>#REF!</v>
      </c>
      <c r="R3590" s="5" t="e">
        <f>IF(AND(#REF!&gt;=table!$C$7,#REF!&lt;= table!$D$7),-1,IF(AND(#REF!&gt;=table!$E$7,#REF!&lt;=table!$F$7),1,0))</f>
        <v>#REF!</v>
      </c>
      <c r="S3590" s="5" t="e">
        <f>IF(AND(#REF!&gt;=table!$C$8,#REF!&lt;= table!$D$8),-1,IF(AND(#REF!&gt;=table!$E$8,#REF!&lt;=table!$F$8),1,0))</f>
        <v>#REF!</v>
      </c>
      <c r="T3590" s="5"/>
      <c r="U3590" s="5" t="e">
        <f>IF(AND(#REF!&gt;=table!$C$10,#REF!&lt;= table!$D$10),-1,IF(AND(#REF!&gt;=table!$E$10,#REF!&lt;=table!$F$10),1,0))</f>
        <v>#REF!</v>
      </c>
      <c r="V3590" s="5" t="e">
        <f>IF(AND(#REF!&gt;=table!$C$11,#REF!&lt;= table!$D$11),-1,IF(AND(#REF!&gt;=table!$E$11,#REF!&lt;=table!$F$11),1,0))</f>
        <v>#REF!</v>
      </c>
      <c r="W3590" s="5" t="e">
        <f>CONCATENATE(dados[[#This Row],[fator1]],dados[[#This Row],[fator5]],dados[[#This Row],[fator6]])</f>
        <v>#REF!</v>
      </c>
    </row>
    <row r="3591" spans="1:23">
      <c r="A3591" t="s">
        <v>17</v>
      </c>
      <c r="B3591">
        <v>587568</v>
      </c>
      <c r="C3591">
        <v>16</v>
      </c>
      <c r="D3591">
        <v>35</v>
      </c>
      <c r="E3591">
        <v>136</v>
      </c>
      <c r="F3591">
        <v>4</v>
      </c>
      <c r="G3591">
        <v>30</v>
      </c>
      <c r="H3591">
        <v>25</v>
      </c>
      <c r="I3591">
        <v>731</v>
      </c>
      <c r="J3591">
        <v>0</v>
      </c>
      <c r="K3591">
        <v>9.9</v>
      </c>
      <c r="L3591">
        <v>14.370000000000001</v>
      </c>
      <c r="M3591">
        <v>108.22500000000001</v>
      </c>
      <c r="N3591">
        <v>15.645000000000001</v>
      </c>
      <c r="O3591">
        <v>1680</v>
      </c>
      <c r="P3591">
        <v>352</v>
      </c>
      <c r="Q3591" s="5" t="e">
        <f>IF(AND(#REF!&gt;=table!$C$6,#REF!&lt;= table!$D$6),-1,IF(AND(#REF!&gt;=table!$E$6,#REF!&lt;=table!$F$6),1,0))</f>
        <v>#REF!</v>
      </c>
      <c r="R3591" s="5" t="e">
        <f>IF(AND(#REF!&gt;=table!$C$7,#REF!&lt;= table!$D$7),-1,IF(AND(#REF!&gt;=table!$E$7,#REF!&lt;=table!$F$7),1,0))</f>
        <v>#REF!</v>
      </c>
      <c r="S3591" s="5" t="e">
        <f>IF(AND(#REF!&gt;=table!$C$8,#REF!&lt;= table!$D$8),-1,IF(AND(#REF!&gt;=table!$E$8,#REF!&lt;=table!$F$8),1,0))</f>
        <v>#REF!</v>
      </c>
      <c r="T3591" s="5"/>
      <c r="U3591" s="5" t="e">
        <f>IF(AND(#REF!&gt;=table!$C$10,#REF!&lt;= table!$D$10),-1,IF(AND(#REF!&gt;=table!$E$10,#REF!&lt;=table!$F$10),1,0))</f>
        <v>#REF!</v>
      </c>
      <c r="V3591" s="5" t="e">
        <f>IF(AND(#REF!&gt;=table!$C$11,#REF!&lt;= table!$D$11),-1,IF(AND(#REF!&gt;=table!$E$11,#REF!&lt;=table!$F$11),1,0))</f>
        <v>#REF!</v>
      </c>
      <c r="W3591" s="5" t="e">
        <f>CONCATENATE(dados[[#This Row],[fator1]],dados[[#This Row],[fator5]],dados[[#This Row],[fator6]])</f>
        <v>#REF!</v>
      </c>
    </row>
    <row r="3592" spans="1:23">
      <c r="A3592" t="s">
        <v>17</v>
      </c>
      <c r="B3592">
        <v>587569</v>
      </c>
      <c r="C3592">
        <v>16</v>
      </c>
      <c r="D3592">
        <v>35</v>
      </c>
      <c r="E3592">
        <v>136</v>
      </c>
      <c r="F3592">
        <v>4</v>
      </c>
      <c r="G3592">
        <v>30</v>
      </c>
      <c r="H3592">
        <v>25</v>
      </c>
      <c r="I3592">
        <v>846</v>
      </c>
      <c r="J3592">
        <v>0</v>
      </c>
      <c r="K3592">
        <v>8.5050000000000008</v>
      </c>
      <c r="L3592">
        <v>15.915000000000001</v>
      </c>
      <c r="M3592">
        <v>124.21000000000001</v>
      </c>
      <c r="N3592">
        <v>16.54</v>
      </c>
      <c r="O3592">
        <v>1662</v>
      </c>
      <c r="P3592">
        <v>345</v>
      </c>
      <c r="Q3592" s="5" t="e">
        <f>IF(AND(#REF!&gt;=table!$C$6,#REF!&lt;= table!$D$6),-1,IF(AND(#REF!&gt;=table!$E$6,#REF!&lt;=table!$F$6),1,0))</f>
        <v>#REF!</v>
      </c>
      <c r="R3592" s="5" t="e">
        <f>IF(AND(#REF!&gt;=table!$C$7,#REF!&lt;= table!$D$7),-1,IF(AND(#REF!&gt;=table!$E$7,#REF!&lt;=table!$F$7),1,0))</f>
        <v>#REF!</v>
      </c>
      <c r="S3592" s="5" t="e">
        <f>IF(AND(#REF!&gt;=table!$C$8,#REF!&lt;= table!$D$8),-1,IF(AND(#REF!&gt;=table!$E$8,#REF!&lt;=table!$F$8),1,0))</f>
        <v>#REF!</v>
      </c>
      <c r="T3592" s="5"/>
      <c r="U3592" s="5" t="e">
        <f>IF(AND(#REF!&gt;=table!$C$10,#REF!&lt;= table!$D$10),-1,IF(AND(#REF!&gt;=table!$E$10,#REF!&lt;=table!$F$10),1,0))</f>
        <v>#REF!</v>
      </c>
      <c r="V3592" s="5" t="e">
        <f>IF(AND(#REF!&gt;=table!$C$11,#REF!&lt;= table!$D$11),-1,IF(AND(#REF!&gt;=table!$E$11,#REF!&lt;=table!$F$11),1,0))</f>
        <v>#REF!</v>
      </c>
      <c r="W3592" s="5" t="e">
        <f>CONCATENATE(dados[[#This Row],[fator1]],dados[[#This Row],[fator5]],dados[[#This Row],[fator6]])</f>
        <v>#REF!</v>
      </c>
    </row>
    <row r="3593" spans="1:23">
      <c r="A3593" t="s">
        <v>17</v>
      </c>
      <c r="B3593">
        <v>587570</v>
      </c>
      <c r="C3593">
        <v>16</v>
      </c>
      <c r="D3593">
        <v>35</v>
      </c>
      <c r="E3593">
        <v>136</v>
      </c>
      <c r="F3593">
        <v>4</v>
      </c>
      <c r="G3593">
        <v>30</v>
      </c>
      <c r="H3593">
        <v>25</v>
      </c>
      <c r="I3593">
        <v>961</v>
      </c>
      <c r="J3593">
        <v>0</v>
      </c>
      <c r="K3593">
        <v>9.3650000000000002</v>
      </c>
      <c r="L3593">
        <v>18.47</v>
      </c>
      <c r="M3593">
        <v>81.965000000000003</v>
      </c>
      <c r="N3593">
        <v>17.484999999999999</v>
      </c>
      <c r="O3593">
        <v>1687</v>
      </c>
      <c r="P3593">
        <v>371</v>
      </c>
      <c r="Q3593" s="5" t="e">
        <f>IF(AND(#REF!&gt;=table!$C$6,#REF!&lt;= table!$D$6),-1,IF(AND(#REF!&gt;=table!$E$6,#REF!&lt;=table!$F$6),1,0))</f>
        <v>#REF!</v>
      </c>
      <c r="R3593" s="5" t="e">
        <f>IF(AND(#REF!&gt;=table!$C$7,#REF!&lt;= table!$D$7),-1,IF(AND(#REF!&gt;=table!$E$7,#REF!&lt;=table!$F$7),1,0))</f>
        <v>#REF!</v>
      </c>
      <c r="S3593" s="5" t="e">
        <f>IF(AND(#REF!&gt;=table!$C$8,#REF!&lt;= table!$D$8),-1,IF(AND(#REF!&gt;=table!$E$8,#REF!&lt;=table!$F$8),1,0))</f>
        <v>#REF!</v>
      </c>
      <c r="T3593" s="5"/>
      <c r="U3593" s="5" t="e">
        <f>IF(AND(#REF!&gt;=table!$C$10,#REF!&lt;= table!$D$10),-1,IF(AND(#REF!&gt;=table!$E$10,#REF!&lt;=table!$F$10),1,0))</f>
        <v>#REF!</v>
      </c>
      <c r="V3593" s="5" t="e">
        <f>IF(AND(#REF!&gt;=table!$C$11,#REF!&lt;= table!$D$11),-1,IF(AND(#REF!&gt;=table!$E$11,#REF!&lt;=table!$F$11),1,0))</f>
        <v>#REF!</v>
      </c>
      <c r="W3593" s="5" t="e">
        <f>CONCATENATE(dados[[#This Row],[fator1]],dados[[#This Row],[fator5]],dados[[#This Row],[fator6]])</f>
        <v>#REF!</v>
      </c>
    </row>
    <row r="3594" spans="1:23">
      <c r="A3594" t="s">
        <v>17</v>
      </c>
      <c r="B3594">
        <v>587571</v>
      </c>
      <c r="C3594">
        <v>16</v>
      </c>
      <c r="D3594">
        <v>35</v>
      </c>
      <c r="E3594">
        <v>136</v>
      </c>
      <c r="F3594">
        <v>4</v>
      </c>
      <c r="G3594">
        <v>30</v>
      </c>
      <c r="H3594">
        <v>25</v>
      </c>
      <c r="I3594">
        <v>827</v>
      </c>
      <c r="J3594">
        <v>0</v>
      </c>
      <c r="K3594">
        <v>7.11</v>
      </c>
      <c r="L3594">
        <v>15.81</v>
      </c>
      <c r="M3594">
        <v>105.66</v>
      </c>
      <c r="N3594">
        <v>21.995000000000001</v>
      </c>
      <c r="O3594">
        <v>1681</v>
      </c>
      <c r="P3594">
        <v>417</v>
      </c>
      <c r="Q3594" s="5" t="e">
        <f>IF(AND(#REF!&gt;=table!$C$6,#REF!&lt;= table!$D$6),-1,IF(AND(#REF!&gt;=table!$E$6,#REF!&lt;=table!$F$6),1,0))</f>
        <v>#REF!</v>
      </c>
      <c r="R3594" s="5" t="e">
        <f>IF(AND(#REF!&gt;=table!$C$7,#REF!&lt;= table!$D$7),-1,IF(AND(#REF!&gt;=table!$E$7,#REF!&lt;=table!$F$7),1,0))</f>
        <v>#REF!</v>
      </c>
      <c r="S3594" s="5" t="e">
        <f>IF(AND(#REF!&gt;=table!$C$8,#REF!&lt;= table!$D$8),-1,IF(AND(#REF!&gt;=table!$E$8,#REF!&lt;=table!$F$8),1,0))</f>
        <v>#REF!</v>
      </c>
      <c r="T3594" s="5"/>
      <c r="U3594" s="5" t="e">
        <f>IF(AND(#REF!&gt;=table!$C$10,#REF!&lt;= table!$D$10),-1,IF(AND(#REF!&gt;=table!$E$10,#REF!&lt;=table!$F$10),1,0))</f>
        <v>#REF!</v>
      </c>
      <c r="V3594" s="5" t="e">
        <f>IF(AND(#REF!&gt;=table!$C$11,#REF!&lt;= table!$D$11),-1,IF(AND(#REF!&gt;=table!$E$11,#REF!&lt;=table!$F$11),1,0))</f>
        <v>#REF!</v>
      </c>
      <c r="W3594" s="5" t="e">
        <f>CONCATENATE(dados[[#This Row],[fator1]],dados[[#This Row],[fator5]],dados[[#This Row],[fator6]])</f>
        <v>#REF!</v>
      </c>
    </row>
    <row r="3595" spans="1:23">
      <c r="A3595" t="s">
        <v>17</v>
      </c>
      <c r="B3595">
        <v>587574</v>
      </c>
      <c r="C3595">
        <v>14</v>
      </c>
      <c r="D3595">
        <v>30</v>
      </c>
      <c r="E3595">
        <v>86</v>
      </c>
      <c r="F3595">
        <v>9</v>
      </c>
      <c r="G3595">
        <v>20</v>
      </c>
      <c r="H3595">
        <v>25</v>
      </c>
      <c r="I3595">
        <v>212</v>
      </c>
      <c r="J3595">
        <v>0</v>
      </c>
      <c r="K3595">
        <v>35.465000000000003</v>
      </c>
      <c r="L3595">
        <v>25.42</v>
      </c>
      <c r="M3595">
        <v>73.06</v>
      </c>
      <c r="N3595">
        <v>24.35</v>
      </c>
      <c r="O3595">
        <v>1689</v>
      </c>
      <c r="P3595">
        <v>358</v>
      </c>
      <c r="Q3595" s="5" t="e">
        <f>IF(AND(#REF!&gt;=table!$C$6,#REF!&lt;= table!$D$6),-1,IF(AND(#REF!&gt;=table!$E$6,#REF!&lt;=table!$F$6),1,0))</f>
        <v>#REF!</v>
      </c>
      <c r="R3595" s="5" t="e">
        <f>IF(AND(#REF!&gt;=table!$C$7,#REF!&lt;= table!$D$7),-1,IF(AND(#REF!&gt;=table!$E$7,#REF!&lt;=table!$F$7),1,0))</f>
        <v>#REF!</v>
      </c>
      <c r="S3595" s="5" t="e">
        <f>IF(AND(#REF!&gt;=table!$C$8,#REF!&lt;= table!$D$8),-1,IF(AND(#REF!&gt;=table!$E$8,#REF!&lt;=table!$F$8),1,0))</f>
        <v>#REF!</v>
      </c>
      <c r="T3595" s="5"/>
      <c r="U3595" s="5" t="e">
        <f>IF(AND(#REF!&gt;=table!$C$10,#REF!&lt;= table!$D$10),-1,IF(AND(#REF!&gt;=table!$E$10,#REF!&lt;=table!$F$10),1,0))</f>
        <v>#REF!</v>
      </c>
      <c r="V3595" s="5" t="e">
        <f>IF(AND(#REF!&gt;=table!$C$11,#REF!&lt;= table!$D$11),-1,IF(AND(#REF!&gt;=table!$E$11,#REF!&lt;=table!$F$11),1,0))</f>
        <v>#REF!</v>
      </c>
      <c r="W3595" s="5" t="e">
        <f>CONCATENATE(dados[[#This Row],[fator1]],dados[[#This Row],[fator5]],dados[[#This Row],[fator6]])</f>
        <v>#REF!</v>
      </c>
    </row>
    <row r="3596" spans="1:23">
      <c r="A3596" t="s">
        <v>17</v>
      </c>
      <c r="B3596">
        <v>587577</v>
      </c>
      <c r="C3596">
        <v>14</v>
      </c>
      <c r="D3596">
        <v>30</v>
      </c>
      <c r="E3596">
        <v>86</v>
      </c>
      <c r="F3596">
        <v>9</v>
      </c>
      <c r="G3596">
        <v>20</v>
      </c>
      <c r="H3596">
        <v>25</v>
      </c>
      <c r="I3596">
        <v>5</v>
      </c>
      <c r="J3596">
        <v>0</v>
      </c>
      <c r="K3596">
        <v>15.56</v>
      </c>
      <c r="L3596">
        <v>11.915000000000001</v>
      </c>
      <c r="M3596">
        <v>44.24</v>
      </c>
      <c r="N3596">
        <v>8.8949999999999996</v>
      </c>
      <c r="O3596">
        <v>1690</v>
      </c>
      <c r="P3596">
        <v>0</v>
      </c>
      <c r="Q3596" s="5" t="e">
        <f>IF(AND(#REF!&gt;=table!$C$6,#REF!&lt;= table!$D$6),-1,IF(AND(#REF!&gt;=table!$E$6,#REF!&lt;=table!$F$6),1,0))</f>
        <v>#REF!</v>
      </c>
      <c r="R3596" s="5" t="e">
        <f>IF(AND(#REF!&gt;=table!$C$7,#REF!&lt;= table!$D$7),-1,IF(AND(#REF!&gt;=table!$E$7,#REF!&lt;=table!$F$7),1,0))</f>
        <v>#REF!</v>
      </c>
      <c r="S3596" s="5" t="e">
        <f>IF(AND(#REF!&gt;=table!$C$8,#REF!&lt;= table!$D$8),-1,IF(AND(#REF!&gt;=table!$E$8,#REF!&lt;=table!$F$8),1,0))</f>
        <v>#REF!</v>
      </c>
      <c r="T3596" s="5"/>
      <c r="U3596" s="5" t="e">
        <f>IF(AND(#REF!&gt;=table!$C$10,#REF!&lt;= table!$D$10),-1,IF(AND(#REF!&gt;=table!$E$10,#REF!&lt;=table!$F$10),1,0))</f>
        <v>#REF!</v>
      </c>
      <c r="V3596" s="5" t="e">
        <f>IF(AND(#REF!&gt;=table!$C$11,#REF!&lt;= table!$D$11),-1,IF(AND(#REF!&gt;=table!$E$11,#REF!&lt;=table!$F$11),1,0))</f>
        <v>#REF!</v>
      </c>
      <c r="W3596" s="5" t="e">
        <f>CONCATENATE(dados[[#This Row],[fator1]],dados[[#This Row],[fator5]],dados[[#This Row],[fator6]])</f>
        <v>#REF!</v>
      </c>
    </row>
    <row r="3597" spans="1:23">
      <c r="A3597" t="s">
        <v>16</v>
      </c>
      <c r="B3597">
        <v>587578</v>
      </c>
      <c r="C3597">
        <v>0.1</v>
      </c>
      <c r="D3597">
        <v>35</v>
      </c>
      <c r="E3597">
        <v>10</v>
      </c>
      <c r="F3597">
        <v>10</v>
      </c>
      <c r="G3597">
        <v>0</v>
      </c>
      <c r="H3597">
        <v>12</v>
      </c>
      <c r="I3597">
        <v>0</v>
      </c>
      <c r="J3597">
        <v>0</v>
      </c>
      <c r="K3597">
        <v>5.3500000000000005</v>
      </c>
      <c r="L3597">
        <v>7.9550000000000001</v>
      </c>
      <c r="M3597">
        <v>7.3100000000000005</v>
      </c>
      <c r="N3597">
        <v>8.1449999999999996</v>
      </c>
      <c r="O3597">
        <v>1668</v>
      </c>
      <c r="P3597">
        <v>0</v>
      </c>
      <c r="Q3597" s="5" t="e">
        <f>IF(AND(#REF!&gt;=table!$C$6,#REF!&lt;= table!$D$6),-1,IF(AND(#REF!&gt;=table!$E$6,#REF!&lt;=table!$F$6),1,0))</f>
        <v>#REF!</v>
      </c>
      <c r="R3597" s="5" t="e">
        <f>IF(AND(#REF!&gt;=table!$C$7,#REF!&lt;= table!$D$7),-1,IF(AND(#REF!&gt;=table!$E$7,#REF!&lt;=table!$F$7),1,0))</f>
        <v>#REF!</v>
      </c>
      <c r="S3597" s="5" t="e">
        <f>IF(AND(#REF!&gt;=table!$C$8,#REF!&lt;= table!$D$8),-1,IF(AND(#REF!&gt;=table!$E$8,#REF!&lt;=table!$F$8),1,0))</f>
        <v>#REF!</v>
      </c>
      <c r="T3597" s="5"/>
      <c r="U3597" s="5" t="e">
        <f>IF(AND(#REF!&gt;=table!$C$10,#REF!&lt;= table!$D$10),-1,IF(AND(#REF!&gt;=table!$E$10,#REF!&lt;=table!$F$10),1,0))</f>
        <v>#REF!</v>
      </c>
      <c r="V3597" s="5" t="e">
        <f>IF(AND(#REF!&gt;=table!$C$11,#REF!&lt;= table!$D$11),-1,IF(AND(#REF!&gt;=table!$E$11,#REF!&lt;=table!$F$11),1,0))</f>
        <v>#REF!</v>
      </c>
      <c r="W3597" s="5" t="e">
        <f>CONCATENATE(dados[[#This Row],[fator1]],dados[[#This Row],[fator5]],dados[[#This Row],[fator6]])</f>
        <v>#REF!</v>
      </c>
    </row>
    <row r="3598" spans="1:23">
      <c r="A3598" t="s">
        <v>16</v>
      </c>
      <c r="B3598">
        <v>587580</v>
      </c>
      <c r="C3598">
        <v>0.15</v>
      </c>
      <c r="D3598">
        <v>35</v>
      </c>
      <c r="E3598">
        <v>15</v>
      </c>
      <c r="F3598">
        <v>10</v>
      </c>
      <c r="G3598">
        <v>0</v>
      </c>
      <c r="H3598">
        <v>12</v>
      </c>
      <c r="I3598">
        <v>4</v>
      </c>
      <c r="J3598">
        <v>0</v>
      </c>
      <c r="K3598">
        <v>5.2</v>
      </c>
      <c r="L3598">
        <v>12.63</v>
      </c>
      <c r="M3598">
        <v>11.620000000000001</v>
      </c>
      <c r="N3598">
        <v>7.05</v>
      </c>
      <c r="O3598">
        <v>1678</v>
      </c>
      <c r="P3598">
        <v>0</v>
      </c>
      <c r="Q3598" s="5" t="e">
        <f>IF(AND(#REF!&gt;=table!$C$6,#REF!&lt;= table!$D$6),-1,IF(AND(#REF!&gt;=table!$E$6,#REF!&lt;=table!$F$6),1,0))</f>
        <v>#REF!</v>
      </c>
      <c r="R3598" s="5" t="e">
        <f>IF(AND(#REF!&gt;=table!$C$7,#REF!&lt;= table!$D$7),-1,IF(AND(#REF!&gt;=table!$E$7,#REF!&lt;=table!$F$7),1,0))</f>
        <v>#REF!</v>
      </c>
      <c r="S3598" s="5" t="e">
        <f>IF(AND(#REF!&gt;=table!$C$8,#REF!&lt;= table!$D$8),-1,IF(AND(#REF!&gt;=table!$E$8,#REF!&lt;=table!$F$8),1,0))</f>
        <v>#REF!</v>
      </c>
      <c r="T3598" s="5"/>
      <c r="U3598" s="5" t="e">
        <f>IF(AND(#REF!&gt;=table!$C$10,#REF!&lt;= table!$D$10),-1,IF(AND(#REF!&gt;=table!$E$10,#REF!&lt;=table!$F$10),1,0))</f>
        <v>#REF!</v>
      </c>
      <c r="V3598" s="5" t="e">
        <f>IF(AND(#REF!&gt;=table!$C$11,#REF!&lt;= table!$D$11),-1,IF(AND(#REF!&gt;=table!$E$11,#REF!&lt;=table!$F$11),1,0))</f>
        <v>#REF!</v>
      </c>
      <c r="W3598" s="5" t="e">
        <f>CONCATENATE(dados[[#This Row],[fator1]],dados[[#This Row],[fator5]],dados[[#This Row],[fator6]])</f>
        <v>#REF!</v>
      </c>
    </row>
    <row r="3599" spans="1:23">
      <c r="A3599" t="s">
        <v>16</v>
      </c>
      <c r="B3599">
        <v>587589</v>
      </c>
      <c r="C3599">
        <v>0.15</v>
      </c>
      <c r="D3599">
        <v>40</v>
      </c>
      <c r="E3599">
        <v>10</v>
      </c>
      <c r="F3599">
        <v>15</v>
      </c>
      <c r="G3599">
        <v>0</v>
      </c>
      <c r="H3599">
        <v>15</v>
      </c>
      <c r="I3599">
        <v>14</v>
      </c>
      <c r="J3599">
        <v>0</v>
      </c>
      <c r="K3599">
        <v>9.8550000000000004</v>
      </c>
      <c r="L3599">
        <v>12.445</v>
      </c>
      <c r="M3599">
        <v>11.035</v>
      </c>
      <c r="N3599">
        <v>11.23</v>
      </c>
      <c r="O3599">
        <v>1683</v>
      </c>
      <c r="P3599">
        <v>393</v>
      </c>
      <c r="Q3599" s="5" t="e">
        <f>IF(AND(#REF!&gt;=table!$C$6,#REF!&lt;= table!$D$6),-1,IF(AND(#REF!&gt;=table!$E$6,#REF!&lt;=table!$F$6),1,0))</f>
        <v>#REF!</v>
      </c>
      <c r="R3599" s="5" t="e">
        <f>IF(AND(#REF!&gt;=table!$C$7,#REF!&lt;= table!$D$7),-1,IF(AND(#REF!&gt;=table!$E$7,#REF!&lt;=table!$F$7),1,0))</f>
        <v>#REF!</v>
      </c>
      <c r="S3599" s="5" t="e">
        <f>IF(AND(#REF!&gt;=table!$C$8,#REF!&lt;= table!$D$8),-1,IF(AND(#REF!&gt;=table!$E$8,#REF!&lt;=table!$F$8),1,0))</f>
        <v>#REF!</v>
      </c>
      <c r="T3599" s="5"/>
      <c r="U3599" s="5" t="e">
        <f>IF(AND(#REF!&gt;=table!$C$10,#REF!&lt;= table!$D$10),-1,IF(AND(#REF!&gt;=table!$E$10,#REF!&lt;=table!$F$10),1,0))</f>
        <v>#REF!</v>
      </c>
      <c r="V3599" s="5" t="e">
        <f>IF(AND(#REF!&gt;=table!$C$11,#REF!&lt;= table!$D$11),-1,IF(AND(#REF!&gt;=table!$E$11,#REF!&lt;=table!$F$11),1,0))</f>
        <v>#REF!</v>
      </c>
      <c r="W3599" s="5" t="e">
        <f>CONCATENATE(dados[[#This Row],[fator1]],dados[[#This Row],[fator5]],dados[[#This Row],[fator6]])</f>
        <v>#REF!</v>
      </c>
    </row>
    <row r="3600" spans="1:23">
      <c r="A3600" t="s">
        <v>16</v>
      </c>
      <c r="B3600">
        <v>587595</v>
      </c>
      <c r="C3600">
        <v>0.15</v>
      </c>
      <c r="D3600">
        <v>35</v>
      </c>
      <c r="E3600">
        <v>15</v>
      </c>
      <c r="F3600">
        <v>10</v>
      </c>
      <c r="G3600">
        <v>0</v>
      </c>
      <c r="H3600">
        <v>12</v>
      </c>
      <c r="I3600">
        <v>854</v>
      </c>
      <c r="J3600">
        <v>0</v>
      </c>
      <c r="K3600">
        <v>4.5200000000000005</v>
      </c>
      <c r="L3600">
        <v>10.785</v>
      </c>
      <c r="M3600">
        <v>9.6450000000000014</v>
      </c>
      <c r="N3600">
        <v>10.965</v>
      </c>
      <c r="O3600">
        <v>1676</v>
      </c>
      <c r="P3600">
        <v>810</v>
      </c>
      <c r="Q3600" s="5" t="e">
        <f>IF(AND(#REF!&gt;=table!$C$6,#REF!&lt;= table!$D$6),-1,IF(AND(#REF!&gt;=table!$E$6,#REF!&lt;=table!$F$6),1,0))</f>
        <v>#REF!</v>
      </c>
      <c r="R3600" s="5" t="e">
        <f>IF(AND(#REF!&gt;=table!$C$7,#REF!&lt;= table!$D$7),-1,IF(AND(#REF!&gt;=table!$E$7,#REF!&lt;=table!$F$7),1,0))</f>
        <v>#REF!</v>
      </c>
      <c r="S3600" s="5" t="e">
        <f>IF(AND(#REF!&gt;=table!$C$8,#REF!&lt;= table!$D$8),-1,IF(AND(#REF!&gt;=table!$E$8,#REF!&lt;=table!$F$8),1,0))</f>
        <v>#REF!</v>
      </c>
      <c r="T3600" s="5"/>
      <c r="U3600" s="5" t="e">
        <f>IF(AND(#REF!&gt;=table!$C$10,#REF!&lt;= table!$D$10),-1,IF(AND(#REF!&gt;=table!$E$10,#REF!&lt;=table!$F$10),1,0))</f>
        <v>#REF!</v>
      </c>
      <c r="V3600" s="5" t="e">
        <f>IF(AND(#REF!&gt;=table!$C$11,#REF!&lt;= table!$D$11),-1,IF(AND(#REF!&gt;=table!$E$11,#REF!&lt;=table!$F$11),1,0))</f>
        <v>#REF!</v>
      </c>
      <c r="W3600" s="5" t="e">
        <f>CONCATENATE(dados[[#This Row],[fator1]],dados[[#This Row],[fator5]],dados[[#This Row],[fator6]])</f>
        <v>#REF!</v>
      </c>
    </row>
    <row r="3601" spans="1:23">
      <c r="A3601" t="s">
        <v>16</v>
      </c>
      <c r="B3601">
        <v>587596</v>
      </c>
      <c r="C3601">
        <v>0.1</v>
      </c>
      <c r="D3601">
        <v>35</v>
      </c>
      <c r="E3601">
        <v>10</v>
      </c>
      <c r="F3601">
        <v>10</v>
      </c>
      <c r="G3601">
        <v>0</v>
      </c>
      <c r="H3601">
        <v>12</v>
      </c>
      <c r="I3601">
        <v>512</v>
      </c>
      <c r="J3601">
        <v>0</v>
      </c>
      <c r="K3601">
        <v>5.0550000000000006</v>
      </c>
      <c r="L3601">
        <v>10.195</v>
      </c>
      <c r="M3601">
        <v>9.4550000000000001</v>
      </c>
      <c r="N3601">
        <v>9.8250000000000011</v>
      </c>
      <c r="O3601">
        <v>1690</v>
      </c>
      <c r="P3601">
        <v>747</v>
      </c>
      <c r="Q3601" s="5" t="e">
        <f>IF(AND(#REF!&gt;=table!$C$6,#REF!&lt;= table!$D$6),-1,IF(AND(#REF!&gt;=table!$E$6,#REF!&lt;=table!$F$6),1,0))</f>
        <v>#REF!</v>
      </c>
      <c r="R3601" s="5" t="e">
        <f>IF(AND(#REF!&gt;=table!$C$7,#REF!&lt;= table!$D$7),-1,IF(AND(#REF!&gt;=table!$E$7,#REF!&lt;=table!$F$7),1,0))</f>
        <v>#REF!</v>
      </c>
      <c r="S3601" s="5" t="e">
        <f>IF(AND(#REF!&gt;=table!$C$8,#REF!&lt;= table!$D$8),-1,IF(AND(#REF!&gt;=table!$E$8,#REF!&lt;=table!$F$8),1,0))</f>
        <v>#REF!</v>
      </c>
      <c r="T3601" s="5"/>
      <c r="U3601" s="5" t="e">
        <f>IF(AND(#REF!&gt;=table!$C$10,#REF!&lt;= table!$D$10),-1,IF(AND(#REF!&gt;=table!$E$10,#REF!&lt;=table!$F$10),1,0))</f>
        <v>#REF!</v>
      </c>
      <c r="V3601" s="5" t="e">
        <f>IF(AND(#REF!&gt;=table!$C$11,#REF!&lt;= table!$D$11),-1,IF(AND(#REF!&gt;=table!$E$11,#REF!&lt;=table!$F$11),1,0))</f>
        <v>#REF!</v>
      </c>
      <c r="W3601" s="5" t="e">
        <f>CONCATENATE(dados[[#This Row],[fator1]],dados[[#This Row],[fator5]],dados[[#This Row],[fator6]])</f>
        <v>#REF!</v>
      </c>
    </row>
    <row r="3602" spans="1:23">
      <c r="A3602" t="s">
        <v>17</v>
      </c>
      <c r="B3602">
        <v>587597</v>
      </c>
      <c r="C3602">
        <v>9</v>
      </c>
      <c r="D3602">
        <v>25</v>
      </c>
      <c r="E3602">
        <v>130</v>
      </c>
      <c r="F3602">
        <v>3</v>
      </c>
      <c r="G3602">
        <v>20</v>
      </c>
      <c r="H3602">
        <v>21</v>
      </c>
      <c r="I3602">
        <v>937</v>
      </c>
      <c r="J3602">
        <v>0</v>
      </c>
      <c r="K3602">
        <v>5.57</v>
      </c>
      <c r="L3602">
        <v>8.2149999999999999</v>
      </c>
      <c r="M3602">
        <v>71.484999999999999</v>
      </c>
      <c r="N3602">
        <v>9.9749999999999996</v>
      </c>
      <c r="O3602">
        <v>1670</v>
      </c>
      <c r="P3602">
        <v>582</v>
      </c>
      <c r="Q3602" s="5" t="e">
        <f>IF(AND(#REF!&gt;=table!$C$6,#REF!&lt;= table!$D$6),-1,IF(AND(#REF!&gt;=table!$E$6,#REF!&lt;=table!$F$6),1,0))</f>
        <v>#REF!</v>
      </c>
      <c r="R3602" s="5" t="e">
        <f>IF(AND(#REF!&gt;=table!$C$7,#REF!&lt;= table!$D$7),-1,IF(AND(#REF!&gt;=table!$E$7,#REF!&lt;=table!$F$7),1,0))</f>
        <v>#REF!</v>
      </c>
      <c r="S3602" s="5" t="e">
        <f>IF(AND(#REF!&gt;=table!$C$8,#REF!&lt;= table!$D$8),-1,IF(AND(#REF!&gt;=table!$E$8,#REF!&lt;=table!$F$8),1,0))</f>
        <v>#REF!</v>
      </c>
      <c r="T3602" s="5"/>
      <c r="U3602" s="5" t="e">
        <f>IF(AND(#REF!&gt;=table!$C$10,#REF!&lt;= table!$D$10),-1,IF(AND(#REF!&gt;=table!$E$10,#REF!&lt;=table!$F$10),1,0))</f>
        <v>#REF!</v>
      </c>
      <c r="V3602" s="5" t="e">
        <f>IF(AND(#REF!&gt;=table!$C$11,#REF!&lt;= table!$D$11),-1,IF(AND(#REF!&gt;=table!$E$11,#REF!&lt;=table!$F$11),1,0))</f>
        <v>#REF!</v>
      </c>
      <c r="W3602" s="5" t="e">
        <f>CONCATENATE(dados[[#This Row],[fator1]],dados[[#This Row],[fator5]],dados[[#This Row],[fator6]])</f>
        <v>#REF!</v>
      </c>
    </row>
    <row r="3603" spans="1:23">
      <c r="A3603" t="s">
        <v>16</v>
      </c>
      <c r="B3603">
        <v>587599</v>
      </c>
      <c r="C3603">
        <v>0.15</v>
      </c>
      <c r="D3603">
        <v>35</v>
      </c>
      <c r="E3603">
        <v>15</v>
      </c>
      <c r="F3603">
        <v>10</v>
      </c>
      <c r="G3603">
        <v>0</v>
      </c>
      <c r="H3603">
        <v>12</v>
      </c>
      <c r="I3603">
        <v>0</v>
      </c>
      <c r="J3603">
        <v>0</v>
      </c>
      <c r="K3603">
        <v>5.24</v>
      </c>
      <c r="L3603">
        <v>8.39</v>
      </c>
      <c r="M3603">
        <v>8.2850000000000001</v>
      </c>
      <c r="N3603">
        <v>7.4</v>
      </c>
      <c r="O3603">
        <v>1669</v>
      </c>
      <c r="P3603">
        <v>724</v>
      </c>
      <c r="Q3603" s="5" t="e">
        <f>IF(AND(#REF!&gt;=table!$C$6,#REF!&lt;= table!$D$6),-1,IF(AND(#REF!&gt;=table!$E$6,#REF!&lt;=table!$F$6),1,0))</f>
        <v>#REF!</v>
      </c>
      <c r="R3603" s="5" t="e">
        <f>IF(AND(#REF!&gt;=table!$C$7,#REF!&lt;= table!$D$7),-1,IF(AND(#REF!&gt;=table!$E$7,#REF!&lt;=table!$F$7),1,0))</f>
        <v>#REF!</v>
      </c>
      <c r="S3603" s="5" t="e">
        <f>IF(AND(#REF!&gt;=table!$C$8,#REF!&lt;= table!$D$8),-1,IF(AND(#REF!&gt;=table!$E$8,#REF!&lt;=table!$F$8),1,0))</f>
        <v>#REF!</v>
      </c>
      <c r="T3603" s="5"/>
      <c r="U3603" s="5" t="e">
        <f>IF(AND(#REF!&gt;=table!$C$10,#REF!&lt;= table!$D$10),-1,IF(AND(#REF!&gt;=table!$E$10,#REF!&lt;=table!$F$10),1,0))</f>
        <v>#REF!</v>
      </c>
      <c r="V3603" s="5" t="e">
        <f>IF(AND(#REF!&gt;=table!$C$11,#REF!&lt;= table!$D$11),-1,IF(AND(#REF!&gt;=table!$E$11,#REF!&lt;=table!$F$11),1,0))</f>
        <v>#REF!</v>
      </c>
      <c r="W3603" s="5" t="e">
        <f>CONCATENATE(dados[[#This Row],[fator1]],dados[[#This Row],[fator5]],dados[[#This Row],[fator6]])</f>
        <v>#REF!</v>
      </c>
    </row>
    <row r="3604" spans="1:23">
      <c r="A3604" t="s">
        <v>17</v>
      </c>
      <c r="B3604">
        <v>587600</v>
      </c>
      <c r="C3604">
        <v>9</v>
      </c>
      <c r="D3604">
        <v>25</v>
      </c>
      <c r="E3604">
        <v>130</v>
      </c>
      <c r="F3604">
        <v>3</v>
      </c>
      <c r="G3604">
        <v>20</v>
      </c>
      <c r="H3604">
        <v>21</v>
      </c>
      <c r="I3604">
        <v>528</v>
      </c>
      <c r="J3604">
        <v>0</v>
      </c>
      <c r="K3604">
        <v>5.45</v>
      </c>
      <c r="L3604">
        <v>8.2850000000000001</v>
      </c>
      <c r="M3604">
        <v>107.22500000000001</v>
      </c>
      <c r="N3604">
        <v>11.08</v>
      </c>
      <c r="O3604">
        <v>1688</v>
      </c>
      <c r="P3604">
        <v>660</v>
      </c>
      <c r="Q3604" s="5" t="e">
        <f>IF(AND(#REF!&gt;=table!$C$6,#REF!&lt;= table!$D$6),-1,IF(AND(#REF!&gt;=table!$E$6,#REF!&lt;=table!$F$6),1,0))</f>
        <v>#REF!</v>
      </c>
      <c r="R3604" s="5" t="e">
        <f>IF(AND(#REF!&gt;=table!$C$7,#REF!&lt;= table!$D$7),-1,IF(AND(#REF!&gt;=table!$E$7,#REF!&lt;=table!$F$7),1,0))</f>
        <v>#REF!</v>
      </c>
      <c r="S3604" s="5" t="e">
        <f>IF(AND(#REF!&gt;=table!$C$8,#REF!&lt;= table!$D$8),-1,IF(AND(#REF!&gt;=table!$E$8,#REF!&lt;=table!$F$8),1,0))</f>
        <v>#REF!</v>
      </c>
      <c r="T3604" s="5"/>
      <c r="U3604" s="5" t="e">
        <f>IF(AND(#REF!&gt;=table!$C$10,#REF!&lt;= table!$D$10),-1,IF(AND(#REF!&gt;=table!$E$10,#REF!&lt;=table!$F$10),1,0))</f>
        <v>#REF!</v>
      </c>
      <c r="V3604" s="5" t="e">
        <f>IF(AND(#REF!&gt;=table!$C$11,#REF!&lt;= table!$D$11),-1,IF(AND(#REF!&gt;=table!$E$11,#REF!&lt;=table!$F$11),1,0))</f>
        <v>#REF!</v>
      </c>
      <c r="W3604" s="5" t="e">
        <f>CONCATENATE(dados[[#This Row],[fator1]],dados[[#This Row],[fator5]],dados[[#This Row],[fator6]])</f>
        <v>#REF!</v>
      </c>
    </row>
    <row r="3605" spans="1:23">
      <c r="A3605" t="s">
        <v>16</v>
      </c>
      <c r="B3605">
        <v>587601</v>
      </c>
      <c r="C3605">
        <v>0.15</v>
      </c>
      <c r="D3605">
        <v>35</v>
      </c>
      <c r="E3605">
        <v>15</v>
      </c>
      <c r="F3605">
        <v>10</v>
      </c>
      <c r="G3605">
        <v>0</v>
      </c>
      <c r="H3605">
        <v>12</v>
      </c>
      <c r="I3605">
        <v>843</v>
      </c>
      <c r="J3605">
        <v>0</v>
      </c>
      <c r="K3605">
        <v>3.58</v>
      </c>
      <c r="L3605">
        <v>10.08</v>
      </c>
      <c r="M3605">
        <v>8.7850000000000001</v>
      </c>
      <c r="N3605">
        <v>8.3350000000000009</v>
      </c>
      <c r="O3605">
        <v>1677</v>
      </c>
      <c r="P3605">
        <v>0</v>
      </c>
      <c r="Q3605" s="5" t="e">
        <f>IF(AND(#REF!&gt;=table!$C$6,#REF!&lt;= table!$D$6),-1,IF(AND(#REF!&gt;=table!$E$6,#REF!&lt;=table!$F$6),1,0))</f>
        <v>#REF!</v>
      </c>
      <c r="R3605" s="5" t="e">
        <f>IF(AND(#REF!&gt;=table!$C$7,#REF!&lt;= table!$D$7),-1,IF(AND(#REF!&gt;=table!$E$7,#REF!&lt;=table!$F$7),1,0))</f>
        <v>#REF!</v>
      </c>
      <c r="S3605" s="5" t="e">
        <f>IF(AND(#REF!&gt;=table!$C$8,#REF!&lt;= table!$D$8),-1,IF(AND(#REF!&gt;=table!$E$8,#REF!&lt;=table!$F$8),1,0))</f>
        <v>#REF!</v>
      </c>
      <c r="T3605" s="5"/>
      <c r="U3605" s="5" t="e">
        <f>IF(AND(#REF!&gt;=table!$C$10,#REF!&lt;= table!$D$10),-1,IF(AND(#REF!&gt;=table!$E$10,#REF!&lt;=table!$F$10),1,0))</f>
        <v>#REF!</v>
      </c>
      <c r="V3605" s="5" t="e">
        <f>IF(AND(#REF!&gt;=table!$C$11,#REF!&lt;= table!$D$11),-1,IF(AND(#REF!&gt;=table!$E$11,#REF!&lt;=table!$F$11),1,0))</f>
        <v>#REF!</v>
      </c>
      <c r="W3605" s="5" t="e">
        <f>CONCATENATE(dados[[#This Row],[fator1]],dados[[#This Row],[fator5]],dados[[#This Row],[fator6]])</f>
        <v>#REF!</v>
      </c>
    </row>
    <row r="3606" spans="1:23">
      <c r="A3606" t="s">
        <v>16</v>
      </c>
      <c r="B3606">
        <v>587602</v>
      </c>
      <c r="C3606">
        <v>0.15</v>
      </c>
      <c r="D3606">
        <v>35</v>
      </c>
      <c r="E3606">
        <v>15</v>
      </c>
      <c r="F3606">
        <v>10</v>
      </c>
      <c r="G3606">
        <v>0</v>
      </c>
      <c r="H3606">
        <v>12</v>
      </c>
      <c r="I3606">
        <v>569</v>
      </c>
      <c r="J3606">
        <v>0</v>
      </c>
      <c r="K3606">
        <v>10.220000000000001</v>
      </c>
      <c r="L3606">
        <v>11.35</v>
      </c>
      <c r="M3606">
        <v>10.33</v>
      </c>
      <c r="N3606">
        <v>9.8950000000000014</v>
      </c>
      <c r="O3606">
        <v>1672</v>
      </c>
      <c r="P3606">
        <v>0</v>
      </c>
      <c r="Q3606" s="5" t="e">
        <f>IF(AND(#REF!&gt;=table!$C$6,#REF!&lt;= table!$D$6),-1,IF(AND(#REF!&gt;=table!$E$6,#REF!&lt;=table!$F$6),1,0))</f>
        <v>#REF!</v>
      </c>
      <c r="R3606" s="5" t="e">
        <f>IF(AND(#REF!&gt;=table!$C$7,#REF!&lt;= table!$D$7),-1,IF(AND(#REF!&gt;=table!$E$7,#REF!&lt;=table!$F$7),1,0))</f>
        <v>#REF!</v>
      </c>
      <c r="S3606" s="5" t="e">
        <f>IF(AND(#REF!&gt;=table!$C$8,#REF!&lt;= table!$D$8),-1,IF(AND(#REF!&gt;=table!$E$8,#REF!&lt;=table!$F$8),1,0))</f>
        <v>#REF!</v>
      </c>
      <c r="T3606" s="5"/>
      <c r="U3606" s="5" t="e">
        <f>IF(AND(#REF!&gt;=table!$C$10,#REF!&lt;= table!$D$10),-1,IF(AND(#REF!&gt;=table!$E$10,#REF!&lt;=table!$F$10),1,0))</f>
        <v>#REF!</v>
      </c>
      <c r="V3606" s="5" t="e">
        <f>IF(AND(#REF!&gt;=table!$C$11,#REF!&lt;= table!$D$11),-1,IF(AND(#REF!&gt;=table!$E$11,#REF!&lt;=table!$F$11),1,0))</f>
        <v>#REF!</v>
      </c>
      <c r="W3606" s="5" t="e">
        <f>CONCATENATE(dados[[#This Row],[fator1]],dados[[#This Row],[fator5]],dados[[#This Row],[fator6]])</f>
        <v>#REF!</v>
      </c>
    </row>
    <row r="3607" spans="1:23">
      <c r="A3607" t="s">
        <v>16</v>
      </c>
      <c r="B3607">
        <v>587603</v>
      </c>
      <c r="C3607">
        <v>0.15</v>
      </c>
      <c r="D3607">
        <v>35</v>
      </c>
      <c r="E3607">
        <v>15</v>
      </c>
      <c r="F3607">
        <v>10</v>
      </c>
      <c r="G3607">
        <v>0</v>
      </c>
      <c r="H3607">
        <v>12</v>
      </c>
      <c r="I3607">
        <v>945</v>
      </c>
      <c r="J3607">
        <v>0</v>
      </c>
      <c r="K3607">
        <v>5.8050000000000006</v>
      </c>
      <c r="L3607">
        <v>9.7050000000000001</v>
      </c>
      <c r="M3607">
        <v>9.2850000000000001</v>
      </c>
      <c r="N3607">
        <v>10.305</v>
      </c>
      <c r="O3607">
        <v>1690</v>
      </c>
      <c r="P3607">
        <v>633</v>
      </c>
      <c r="Q3607" s="5" t="e">
        <f>IF(AND(#REF!&gt;=table!$C$6,#REF!&lt;= table!$D$6),-1,IF(AND(#REF!&gt;=table!$E$6,#REF!&lt;=table!$F$6),1,0))</f>
        <v>#REF!</v>
      </c>
      <c r="R3607" s="5" t="e">
        <f>IF(AND(#REF!&gt;=table!$C$7,#REF!&lt;= table!$D$7),-1,IF(AND(#REF!&gt;=table!$E$7,#REF!&lt;=table!$F$7),1,0))</f>
        <v>#REF!</v>
      </c>
      <c r="S3607" s="5" t="e">
        <f>IF(AND(#REF!&gt;=table!$C$8,#REF!&lt;= table!$D$8),-1,IF(AND(#REF!&gt;=table!$E$8,#REF!&lt;=table!$F$8),1,0))</f>
        <v>#REF!</v>
      </c>
      <c r="T3607" s="5"/>
      <c r="U3607" s="5" t="e">
        <f>IF(AND(#REF!&gt;=table!$C$10,#REF!&lt;= table!$D$10),-1,IF(AND(#REF!&gt;=table!$E$10,#REF!&lt;=table!$F$10),1,0))</f>
        <v>#REF!</v>
      </c>
      <c r="V3607" s="5" t="e">
        <f>IF(AND(#REF!&gt;=table!$C$11,#REF!&lt;= table!$D$11),-1,IF(AND(#REF!&gt;=table!$E$11,#REF!&lt;=table!$F$11),1,0))</f>
        <v>#REF!</v>
      </c>
      <c r="W3607" s="5" t="e">
        <f>CONCATENATE(dados[[#This Row],[fator1]],dados[[#This Row],[fator5]],dados[[#This Row],[fator6]])</f>
        <v>#REF!</v>
      </c>
    </row>
    <row r="3608" spans="1:23">
      <c r="A3608" t="s">
        <v>16</v>
      </c>
      <c r="B3608">
        <v>587606</v>
      </c>
      <c r="C3608">
        <v>0.15</v>
      </c>
      <c r="D3608">
        <v>35</v>
      </c>
      <c r="E3608">
        <v>15</v>
      </c>
      <c r="F3608">
        <v>10</v>
      </c>
      <c r="G3608">
        <v>0</v>
      </c>
      <c r="H3608">
        <v>12</v>
      </c>
      <c r="I3608">
        <v>746</v>
      </c>
      <c r="J3608">
        <v>640</v>
      </c>
      <c r="K3608">
        <v>2.79</v>
      </c>
      <c r="L3608">
        <v>8.995000000000001</v>
      </c>
      <c r="M3608">
        <v>7.0049999999999999</v>
      </c>
      <c r="N3608">
        <v>13.290000000000001</v>
      </c>
      <c r="O3608">
        <v>1656</v>
      </c>
      <c r="P3608">
        <v>902</v>
      </c>
      <c r="Q3608" s="5" t="e">
        <f>IF(AND(#REF!&gt;=table!$C$6,#REF!&lt;= table!$D$6),-1,IF(AND(#REF!&gt;=table!$E$6,#REF!&lt;=table!$F$6),1,0))</f>
        <v>#REF!</v>
      </c>
      <c r="R3608" s="5" t="e">
        <f>IF(AND(#REF!&gt;=table!$C$7,#REF!&lt;= table!$D$7),-1,IF(AND(#REF!&gt;=table!$E$7,#REF!&lt;=table!$F$7),1,0))</f>
        <v>#REF!</v>
      </c>
      <c r="S3608" s="5" t="e">
        <f>IF(AND(#REF!&gt;=table!$C$8,#REF!&lt;= table!$D$8),-1,IF(AND(#REF!&gt;=table!$E$8,#REF!&lt;=table!$F$8),1,0))</f>
        <v>#REF!</v>
      </c>
      <c r="T3608" s="5"/>
      <c r="U3608" s="5" t="e">
        <f>IF(AND(#REF!&gt;=table!$C$10,#REF!&lt;= table!$D$10),-1,IF(AND(#REF!&gt;=table!$E$10,#REF!&lt;=table!$F$10),1,0))</f>
        <v>#REF!</v>
      </c>
      <c r="V3608" s="5" t="e">
        <f>IF(AND(#REF!&gt;=table!$C$11,#REF!&lt;= table!$D$11),-1,IF(AND(#REF!&gt;=table!$E$11,#REF!&lt;=table!$F$11),1,0))</f>
        <v>#REF!</v>
      </c>
      <c r="W3608" s="5" t="e">
        <f>CONCATENATE(dados[[#This Row],[fator1]],dados[[#This Row],[fator5]],dados[[#This Row],[fator6]])</f>
        <v>#REF!</v>
      </c>
    </row>
    <row r="3609" spans="1:23">
      <c r="A3609" t="s">
        <v>16</v>
      </c>
      <c r="B3609">
        <v>587607</v>
      </c>
      <c r="C3609">
        <v>0.15</v>
      </c>
      <c r="D3609">
        <v>35</v>
      </c>
      <c r="E3609">
        <v>15</v>
      </c>
      <c r="F3609">
        <v>10</v>
      </c>
      <c r="G3609">
        <v>0</v>
      </c>
      <c r="H3609">
        <v>12</v>
      </c>
      <c r="I3609">
        <v>780</v>
      </c>
      <c r="J3609">
        <v>0</v>
      </c>
      <c r="K3609">
        <v>2.74</v>
      </c>
      <c r="L3609">
        <v>6.86</v>
      </c>
      <c r="M3609">
        <v>6.5350000000000001</v>
      </c>
      <c r="N3609">
        <v>9.49</v>
      </c>
      <c r="O3609">
        <v>1667</v>
      </c>
      <c r="P3609">
        <v>1165</v>
      </c>
      <c r="Q3609" s="5" t="e">
        <f>IF(AND(#REF!&gt;=table!$C$6,#REF!&lt;= table!$D$6),-1,IF(AND(#REF!&gt;=table!$E$6,#REF!&lt;=table!$F$6),1,0))</f>
        <v>#REF!</v>
      </c>
      <c r="R3609" s="5" t="e">
        <f>IF(AND(#REF!&gt;=table!$C$7,#REF!&lt;= table!$D$7),-1,IF(AND(#REF!&gt;=table!$E$7,#REF!&lt;=table!$F$7),1,0))</f>
        <v>#REF!</v>
      </c>
      <c r="S3609" s="5" t="e">
        <f>IF(AND(#REF!&gt;=table!$C$8,#REF!&lt;= table!$D$8),-1,IF(AND(#REF!&gt;=table!$E$8,#REF!&lt;=table!$F$8),1,0))</f>
        <v>#REF!</v>
      </c>
      <c r="T3609" s="5"/>
      <c r="U3609" s="5" t="e">
        <f>IF(AND(#REF!&gt;=table!$C$10,#REF!&lt;= table!$D$10),-1,IF(AND(#REF!&gt;=table!$E$10,#REF!&lt;=table!$F$10),1,0))</f>
        <v>#REF!</v>
      </c>
      <c r="V3609" s="5" t="e">
        <f>IF(AND(#REF!&gt;=table!$C$11,#REF!&lt;= table!$D$11),-1,IF(AND(#REF!&gt;=table!$E$11,#REF!&lt;=table!$F$11),1,0))</f>
        <v>#REF!</v>
      </c>
      <c r="W3609" s="5" t="e">
        <f>CONCATENATE(dados[[#This Row],[fator1]],dados[[#This Row],[fator5]],dados[[#This Row],[fator6]])</f>
        <v>#REF!</v>
      </c>
    </row>
    <row r="3610" spans="1:23">
      <c r="A3610" t="s">
        <v>17</v>
      </c>
      <c r="B3610">
        <v>587610</v>
      </c>
      <c r="C3610">
        <v>9</v>
      </c>
      <c r="D3610">
        <v>33</v>
      </c>
      <c r="E3610">
        <v>55</v>
      </c>
      <c r="F3610">
        <v>4</v>
      </c>
      <c r="G3610">
        <v>20</v>
      </c>
      <c r="H3610">
        <v>21</v>
      </c>
      <c r="I3610">
        <v>677</v>
      </c>
      <c r="J3610">
        <v>0</v>
      </c>
      <c r="K3610">
        <v>3.45</v>
      </c>
      <c r="L3610">
        <v>9.0400000000000009</v>
      </c>
      <c r="M3610">
        <v>36.840000000000003</v>
      </c>
      <c r="N3610">
        <v>10.85</v>
      </c>
      <c r="O3610">
        <v>1669</v>
      </c>
      <c r="P3610">
        <v>1093</v>
      </c>
      <c r="Q3610" s="5" t="e">
        <f>IF(AND(#REF!&gt;=table!$C$6,#REF!&lt;= table!$D$6),-1,IF(AND(#REF!&gt;=table!$E$6,#REF!&lt;=table!$F$6),1,0))</f>
        <v>#REF!</v>
      </c>
      <c r="R3610" s="5" t="e">
        <f>IF(AND(#REF!&gt;=table!$C$7,#REF!&lt;= table!$D$7),-1,IF(AND(#REF!&gt;=table!$E$7,#REF!&lt;=table!$F$7),1,0))</f>
        <v>#REF!</v>
      </c>
      <c r="S3610" s="5" t="e">
        <f>IF(AND(#REF!&gt;=table!$C$8,#REF!&lt;= table!$D$8),-1,IF(AND(#REF!&gt;=table!$E$8,#REF!&lt;=table!$F$8),1,0))</f>
        <v>#REF!</v>
      </c>
      <c r="T3610" s="5"/>
      <c r="U3610" s="5" t="e">
        <f>IF(AND(#REF!&gt;=table!$C$10,#REF!&lt;= table!$D$10),-1,IF(AND(#REF!&gt;=table!$E$10,#REF!&lt;=table!$F$10),1,0))</f>
        <v>#REF!</v>
      </c>
      <c r="V3610" s="5" t="e">
        <f>IF(AND(#REF!&gt;=table!$C$11,#REF!&lt;= table!$D$11),-1,IF(AND(#REF!&gt;=table!$E$11,#REF!&lt;=table!$F$11),1,0))</f>
        <v>#REF!</v>
      </c>
      <c r="W3610" s="5" t="e">
        <f>CONCATENATE(dados[[#This Row],[fator1]],dados[[#This Row],[fator5]],dados[[#This Row],[fator6]])</f>
        <v>#REF!</v>
      </c>
    </row>
    <row r="3611" spans="1:23">
      <c r="A3611" t="s">
        <v>17</v>
      </c>
      <c r="B3611">
        <v>587611</v>
      </c>
      <c r="C3611">
        <v>9</v>
      </c>
      <c r="D3611">
        <v>33</v>
      </c>
      <c r="E3611">
        <v>55</v>
      </c>
      <c r="F3611">
        <v>4</v>
      </c>
      <c r="G3611">
        <v>20</v>
      </c>
      <c r="H3611">
        <v>21</v>
      </c>
      <c r="I3611">
        <v>754</v>
      </c>
      <c r="J3611">
        <v>0</v>
      </c>
      <c r="K3611">
        <v>4.9000000000000004</v>
      </c>
      <c r="L3611">
        <v>9.4150000000000009</v>
      </c>
      <c r="M3611">
        <v>48.6</v>
      </c>
      <c r="N3611">
        <v>10.34</v>
      </c>
      <c r="O3611">
        <v>1665</v>
      </c>
      <c r="P3611">
        <v>0</v>
      </c>
      <c r="Q3611" s="5" t="e">
        <f>IF(AND(#REF!&gt;=table!$C$6,#REF!&lt;= table!$D$6),-1,IF(AND(#REF!&gt;=table!$E$6,#REF!&lt;=table!$F$6),1,0))</f>
        <v>#REF!</v>
      </c>
      <c r="R3611" s="5" t="e">
        <f>IF(AND(#REF!&gt;=table!$C$7,#REF!&lt;= table!$D$7),-1,IF(AND(#REF!&gt;=table!$E$7,#REF!&lt;=table!$F$7),1,0))</f>
        <v>#REF!</v>
      </c>
      <c r="S3611" s="5" t="e">
        <f>IF(AND(#REF!&gt;=table!$C$8,#REF!&lt;= table!$D$8),-1,IF(AND(#REF!&gt;=table!$E$8,#REF!&lt;=table!$F$8),1,0))</f>
        <v>#REF!</v>
      </c>
      <c r="T3611" s="5"/>
      <c r="U3611" s="5" t="e">
        <f>IF(AND(#REF!&gt;=table!$C$10,#REF!&lt;= table!$D$10),-1,IF(AND(#REF!&gt;=table!$E$10,#REF!&lt;=table!$F$10),1,0))</f>
        <v>#REF!</v>
      </c>
      <c r="V3611" s="5" t="e">
        <f>IF(AND(#REF!&gt;=table!$C$11,#REF!&lt;= table!$D$11),-1,IF(AND(#REF!&gt;=table!$E$11,#REF!&lt;=table!$F$11),1,0))</f>
        <v>#REF!</v>
      </c>
      <c r="W3611" s="5" t="e">
        <f>CONCATENATE(dados[[#This Row],[fator1]],dados[[#This Row],[fator5]],dados[[#This Row],[fator6]])</f>
        <v>#REF!</v>
      </c>
    </row>
    <row r="3612" spans="1:23">
      <c r="A3612" t="s">
        <v>17</v>
      </c>
      <c r="B3612">
        <v>587612</v>
      </c>
      <c r="C3612">
        <v>9</v>
      </c>
      <c r="D3612">
        <v>33</v>
      </c>
      <c r="E3612">
        <v>55</v>
      </c>
      <c r="F3612">
        <v>4</v>
      </c>
      <c r="G3612">
        <v>20</v>
      </c>
      <c r="H3612">
        <v>21</v>
      </c>
      <c r="I3612">
        <v>497</v>
      </c>
      <c r="J3612">
        <v>0</v>
      </c>
      <c r="K3612">
        <v>4.68</v>
      </c>
      <c r="L3612">
        <v>6.5200000000000005</v>
      </c>
      <c r="M3612">
        <v>52.395000000000003</v>
      </c>
      <c r="N3612">
        <v>12.775</v>
      </c>
      <c r="O3612">
        <v>1682</v>
      </c>
      <c r="P3612">
        <v>932</v>
      </c>
      <c r="Q3612" s="5" t="e">
        <f>IF(AND(#REF!&gt;=table!$C$6,#REF!&lt;= table!$D$6),-1,IF(AND(#REF!&gt;=table!$E$6,#REF!&lt;=table!$F$6),1,0))</f>
        <v>#REF!</v>
      </c>
      <c r="R3612" s="5" t="e">
        <f>IF(AND(#REF!&gt;=table!$C$7,#REF!&lt;= table!$D$7),-1,IF(AND(#REF!&gt;=table!$E$7,#REF!&lt;=table!$F$7),1,0))</f>
        <v>#REF!</v>
      </c>
      <c r="S3612" s="5" t="e">
        <f>IF(AND(#REF!&gt;=table!$C$8,#REF!&lt;= table!$D$8),-1,IF(AND(#REF!&gt;=table!$E$8,#REF!&lt;=table!$F$8),1,0))</f>
        <v>#REF!</v>
      </c>
      <c r="T3612" s="5"/>
      <c r="U3612" s="5" t="e">
        <f>IF(AND(#REF!&gt;=table!$C$10,#REF!&lt;= table!$D$10),-1,IF(AND(#REF!&gt;=table!$E$10,#REF!&lt;=table!$F$10),1,0))</f>
        <v>#REF!</v>
      </c>
      <c r="V3612" s="5" t="e">
        <f>IF(AND(#REF!&gt;=table!$C$11,#REF!&lt;= table!$D$11),-1,IF(AND(#REF!&gt;=table!$E$11,#REF!&lt;=table!$F$11),1,0))</f>
        <v>#REF!</v>
      </c>
      <c r="W3612" s="5" t="e">
        <f>CONCATENATE(dados[[#This Row],[fator1]],dados[[#This Row],[fator5]],dados[[#This Row],[fator6]])</f>
        <v>#REF!</v>
      </c>
    </row>
    <row r="3613" spans="1:23">
      <c r="A3613" t="s">
        <v>16</v>
      </c>
      <c r="B3613">
        <v>587616</v>
      </c>
      <c r="C3613">
        <v>0.1</v>
      </c>
      <c r="D3613">
        <v>40</v>
      </c>
      <c r="E3613">
        <v>10</v>
      </c>
      <c r="F3613">
        <v>8</v>
      </c>
      <c r="G3613">
        <v>0</v>
      </c>
      <c r="H3613">
        <v>10</v>
      </c>
      <c r="I3613">
        <v>800</v>
      </c>
      <c r="J3613">
        <v>0</v>
      </c>
      <c r="K3613">
        <v>6.0550000000000006</v>
      </c>
      <c r="L3613">
        <v>9.17</v>
      </c>
      <c r="M3613">
        <v>7.71</v>
      </c>
      <c r="N3613">
        <v>5.34</v>
      </c>
      <c r="O3613">
        <v>1668</v>
      </c>
      <c r="P3613">
        <v>602</v>
      </c>
      <c r="Q3613" s="5" t="e">
        <f>IF(AND(#REF!&gt;=table!$C$6,#REF!&lt;= table!$D$6),-1,IF(AND(#REF!&gt;=table!$E$6,#REF!&lt;=table!$F$6),1,0))</f>
        <v>#REF!</v>
      </c>
      <c r="R3613" s="5" t="e">
        <f>IF(AND(#REF!&gt;=table!$C$7,#REF!&lt;= table!$D$7),-1,IF(AND(#REF!&gt;=table!$E$7,#REF!&lt;=table!$F$7),1,0))</f>
        <v>#REF!</v>
      </c>
      <c r="S3613" s="5" t="e">
        <f>IF(AND(#REF!&gt;=table!$C$8,#REF!&lt;= table!$D$8),-1,IF(AND(#REF!&gt;=table!$E$8,#REF!&lt;=table!$F$8),1,0))</f>
        <v>#REF!</v>
      </c>
      <c r="T3613" s="5"/>
      <c r="U3613" s="5" t="e">
        <f>IF(AND(#REF!&gt;=table!$C$10,#REF!&lt;= table!$D$10),-1,IF(AND(#REF!&gt;=table!$E$10,#REF!&lt;=table!$F$10),1,0))</f>
        <v>#REF!</v>
      </c>
      <c r="V3613" s="5" t="e">
        <f>IF(AND(#REF!&gt;=table!$C$11,#REF!&lt;= table!$D$11),-1,IF(AND(#REF!&gt;=table!$E$11,#REF!&lt;=table!$F$11),1,0))</f>
        <v>#REF!</v>
      </c>
      <c r="W3613" s="5" t="e">
        <f>CONCATENATE(dados[[#This Row],[fator1]],dados[[#This Row],[fator5]],dados[[#This Row],[fator6]])</f>
        <v>#REF!</v>
      </c>
    </row>
    <row r="3614" spans="1:23">
      <c r="A3614" t="s">
        <v>17</v>
      </c>
      <c r="B3614">
        <v>587617</v>
      </c>
      <c r="C3614">
        <v>18</v>
      </c>
      <c r="D3614">
        <v>23</v>
      </c>
      <c r="E3614">
        <v>145</v>
      </c>
      <c r="F3614">
        <v>6</v>
      </c>
      <c r="G3614">
        <v>30</v>
      </c>
      <c r="H3614">
        <v>25</v>
      </c>
      <c r="I3614">
        <v>1026</v>
      </c>
      <c r="J3614">
        <v>0</v>
      </c>
      <c r="K3614">
        <v>4.24</v>
      </c>
      <c r="L3614">
        <v>8.2550000000000008</v>
      </c>
      <c r="M3614">
        <v>136.95000000000002</v>
      </c>
      <c r="N3614">
        <v>13.71</v>
      </c>
      <c r="O3614">
        <v>1700</v>
      </c>
      <c r="P3614">
        <v>930</v>
      </c>
      <c r="Q3614" s="5" t="e">
        <f>IF(AND(#REF!&gt;=table!$C$6,#REF!&lt;= table!$D$6),-1,IF(AND(#REF!&gt;=table!$E$6,#REF!&lt;=table!$F$6),1,0))</f>
        <v>#REF!</v>
      </c>
      <c r="R3614" s="5" t="e">
        <f>IF(AND(#REF!&gt;=table!$C$7,#REF!&lt;= table!$D$7),-1,IF(AND(#REF!&gt;=table!$E$7,#REF!&lt;=table!$F$7),1,0))</f>
        <v>#REF!</v>
      </c>
      <c r="S3614" s="5" t="e">
        <f>IF(AND(#REF!&gt;=table!$C$8,#REF!&lt;= table!$D$8),-1,IF(AND(#REF!&gt;=table!$E$8,#REF!&lt;=table!$F$8),1,0))</f>
        <v>#REF!</v>
      </c>
      <c r="T3614" s="5"/>
      <c r="U3614" s="5" t="e">
        <f>IF(AND(#REF!&gt;=table!$C$10,#REF!&lt;= table!$D$10),-1,IF(AND(#REF!&gt;=table!$E$10,#REF!&lt;=table!$F$10),1,0))</f>
        <v>#REF!</v>
      </c>
      <c r="V3614" s="5" t="e">
        <f>IF(AND(#REF!&gt;=table!$C$11,#REF!&lt;= table!$D$11),-1,IF(AND(#REF!&gt;=table!$E$11,#REF!&lt;=table!$F$11),1,0))</f>
        <v>#REF!</v>
      </c>
      <c r="W3614" s="5" t="e">
        <f>CONCATENATE(dados[[#This Row],[fator1]],dados[[#This Row],[fator5]],dados[[#This Row],[fator6]])</f>
        <v>#REF!</v>
      </c>
    </row>
    <row r="3615" spans="1:23">
      <c r="A3615" t="s">
        <v>17</v>
      </c>
      <c r="B3615">
        <v>587622</v>
      </c>
      <c r="C3615">
        <v>13</v>
      </c>
      <c r="D3615">
        <v>30</v>
      </c>
      <c r="E3615">
        <v>150</v>
      </c>
      <c r="F3615">
        <v>4</v>
      </c>
      <c r="G3615">
        <v>20</v>
      </c>
      <c r="H3615">
        <v>25</v>
      </c>
      <c r="I3615">
        <v>880</v>
      </c>
      <c r="J3615">
        <v>0</v>
      </c>
      <c r="K3615">
        <v>4.0350000000000001</v>
      </c>
      <c r="L3615">
        <v>11.195</v>
      </c>
      <c r="M3615">
        <v>124.94500000000001</v>
      </c>
      <c r="N3615">
        <v>17.074999999999999</v>
      </c>
      <c r="O3615">
        <v>1703</v>
      </c>
      <c r="P3615">
        <v>1110</v>
      </c>
      <c r="Q3615" s="5" t="e">
        <f>IF(AND(#REF!&gt;=table!$C$6,#REF!&lt;= table!$D$6),-1,IF(AND(#REF!&gt;=table!$E$6,#REF!&lt;=table!$F$6),1,0))</f>
        <v>#REF!</v>
      </c>
      <c r="R3615" s="5" t="e">
        <f>IF(AND(#REF!&gt;=table!$C$7,#REF!&lt;= table!$D$7),-1,IF(AND(#REF!&gt;=table!$E$7,#REF!&lt;=table!$F$7),1,0))</f>
        <v>#REF!</v>
      </c>
      <c r="S3615" s="5" t="e">
        <f>IF(AND(#REF!&gt;=table!$C$8,#REF!&lt;= table!$D$8),-1,IF(AND(#REF!&gt;=table!$E$8,#REF!&lt;=table!$F$8),1,0))</f>
        <v>#REF!</v>
      </c>
      <c r="T3615" s="5"/>
      <c r="U3615" s="5" t="e">
        <f>IF(AND(#REF!&gt;=table!$C$10,#REF!&lt;= table!$D$10),-1,IF(AND(#REF!&gt;=table!$E$10,#REF!&lt;=table!$F$10),1,0))</f>
        <v>#REF!</v>
      </c>
      <c r="V3615" s="5" t="e">
        <f>IF(AND(#REF!&gt;=table!$C$11,#REF!&lt;= table!$D$11),-1,IF(AND(#REF!&gt;=table!$E$11,#REF!&lt;=table!$F$11),1,0))</f>
        <v>#REF!</v>
      </c>
      <c r="W3615" s="5" t="e">
        <f>CONCATENATE(dados[[#This Row],[fator1]],dados[[#This Row],[fator5]],dados[[#This Row],[fator6]])</f>
        <v>#REF!</v>
      </c>
    </row>
    <row r="3616" spans="1:23">
      <c r="A3616" t="s">
        <v>17</v>
      </c>
      <c r="B3616">
        <v>587624</v>
      </c>
      <c r="C3616">
        <v>14</v>
      </c>
      <c r="D3616">
        <v>30</v>
      </c>
      <c r="E3616">
        <v>86</v>
      </c>
      <c r="F3616">
        <v>9</v>
      </c>
      <c r="G3616">
        <v>20</v>
      </c>
      <c r="H3616">
        <v>25</v>
      </c>
      <c r="I3616">
        <v>1285</v>
      </c>
      <c r="J3616">
        <v>0</v>
      </c>
      <c r="K3616">
        <v>17.240000000000002</v>
      </c>
      <c r="L3616">
        <v>14.355</v>
      </c>
      <c r="M3616">
        <v>77.445000000000007</v>
      </c>
      <c r="N3616">
        <v>14.175000000000001</v>
      </c>
      <c r="O3616">
        <v>1658</v>
      </c>
      <c r="P3616">
        <v>212</v>
      </c>
      <c r="Q3616" s="5" t="e">
        <f>IF(AND(#REF!&gt;=table!$C$6,#REF!&lt;= table!$D$6),-1,IF(AND(#REF!&gt;=table!$E$6,#REF!&lt;=table!$F$6),1,0))</f>
        <v>#REF!</v>
      </c>
      <c r="R3616" s="5" t="e">
        <f>IF(AND(#REF!&gt;=table!$C$7,#REF!&lt;= table!$D$7),-1,IF(AND(#REF!&gt;=table!$E$7,#REF!&lt;=table!$F$7),1,0))</f>
        <v>#REF!</v>
      </c>
      <c r="S3616" s="5" t="e">
        <f>IF(AND(#REF!&gt;=table!$C$8,#REF!&lt;= table!$D$8),-1,IF(AND(#REF!&gt;=table!$E$8,#REF!&lt;=table!$F$8),1,0))</f>
        <v>#REF!</v>
      </c>
      <c r="T3616" s="5"/>
      <c r="U3616" s="5" t="e">
        <f>IF(AND(#REF!&gt;=table!$C$10,#REF!&lt;= table!$D$10),-1,IF(AND(#REF!&gt;=table!$E$10,#REF!&lt;=table!$F$10),1,0))</f>
        <v>#REF!</v>
      </c>
      <c r="V3616" s="5" t="e">
        <f>IF(AND(#REF!&gt;=table!$C$11,#REF!&lt;= table!$D$11),-1,IF(AND(#REF!&gt;=table!$E$11,#REF!&lt;=table!$F$11),1,0))</f>
        <v>#REF!</v>
      </c>
      <c r="W3616" s="5" t="e">
        <f>CONCATENATE(dados[[#This Row],[fator1]],dados[[#This Row],[fator5]],dados[[#This Row],[fator6]])</f>
        <v>#REF!</v>
      </c>
    </row>
    <row r="3617" spans="1:23">
      <c r="A3617" t="s">
        <v>17</v>
      </c>
      <c r="B3617">
        <v>587625</v>
      </c>
      <c r="C3617">
        <v>14</v>
      </c>
      <c r="D3617">
        <v>30</v>
      </c>
      <c r="E3617">
        <v>86</v>
      </c>
      <c r="F3617">
        <v>9</v>
      </c>
      <c r="G3617">
        <v>20</v>
      </c>
      <c r="H3617">
        <v>25</v>
      </c>
      <c r="I3617">
        <v>1405</v>
      </c>
      <c r="J3617">
        <v>0</v>
      </c>
      <c r="K3617">
        <v>5.3050000000000006</v>
      </c>
      <c r="L3617">
        <v>16.899999999999999</v>
      </c>
      <c r="M3617">
        <v>79.745000000000005</v>
      </c>
      <c r="N3617">
        <v>20.705000000000002</v>
      </c>
      <c r="O3617">
        <v>1651</v>
      </c>
      <c r="P3617">
        <v>0</v>
      </c>
      <c r="Q3617" s="5" t="e">
        <f>IF(AND(#REF!&gt;=table!$C$6,#REF!&lt;= table!$D$6),-1,IF(AND(#REF!&gt;=table!$E$6,#REF!&lt;=table!$F$6),1,0))</f>
        <v>#REF!</v>
      </c>
      <c r="R3617" s="5" t="e">
        <f>IF(AND(#REF!&gt;=table!$C$7,#REF!&lt;= table!$D$7),-1,IF(AND(#REF!&gt;=table!$E$7,#REF!&lt;=table!$F$7),1,0))</f>
        <v>#REF!</v>
      </c>
      <c r="S3617" s="5" t="e">
        <f>IF(AND(#REF!&gt;=table!$C$8,#REF!&lt;= table!$D$8),-1,IF(AND(#REF!&gt;=table!$E$8,#REF!&lt;=table!$F$8),1,0))</f>
        <v>#REF!</v>
      </c>
      <c r="T3617" s="5"/>
      <c r="U3617" s="5" t="e">
        <f>IF(AND(#REF!&gt;=table!$C$10,#REF!&lt;= table!$D$10),-1,IF(AND(#REF!&gt;=table!$E$10,#REF!&lt;=table!$F$10),1,0))</f>
        <v>#REF!</v>
      </c>
      <c r="V3617" s="5" t="e">
        <f>IF(AND(#REF!&gt;=table!$C$11,#REF!&lt;= table!$D$11),-1,IF(AND(#REF!&gt;=table!$E$11,#REF!&lt;=table!$F$11),1,0))</f>
        <v>#REF!</v>
      </c>
      <c r="W3617" s="5" t="e">
        <f>CONCATENATE(dados[[#This Row],[fator1]],dados[[#This Row],[fator5]],dados[[#This Row],[fator6]])</f>
        <v>#REF!</v>
      </c>
    </row>
    <row r="3618" spans="1:23">
      <c r="A3618" t="s">
        <v>17</v>
      </c>
      <c r="B3618">
        <v>587626</v>
      </c>
      <c r="C3618">
        <v>14</v>
      </c>
      <c r="D3618">
        <v>30</v>
      </c>
      <c r="E3618">
        <v>86</v>
      </c>
      <c r="F3618">
        <v>9</v>
      </c>
      <c r="G3618">
        <v>20</v>
      </c>
      <c r="H3618">
        <v>25</v>
      </c>
      <c r="I3618">
        <v>1081</v>
      </c>
      <c r="J3618">
        <v>0</v>
      </c>
      <c r="K3618">
        <v>7.7550000000000008</v>
      </c>
      <c r="L3618">
        <v>19.324999999999999</v>
      </c>
      <c r="M3618">
        <v>81.5</v>
      </c>
      <c r="N3618">
        <v>18.2</v>
      </c>
      <c r="O3618">
        <v>1667</v>
      </c>
      <c r="P3618">
        <v>405</v>
      </c>
      <c r="Q3618" s="5" t="e">
        <f>IF(AND(#REF!&gt;=table!$C$6,#REF!&lt;= table!$D$6),-1,IF(AND(#REF!&gt;=table!$E$6,#REF!&lt;=table!$F$6),1,0))</f>
        <v>#REF!</v>
      </c>
      <c r="R3618" s="5" t="e">
        <f>IF(AND(#REF!&gt;=table!$C$7,#REF!&lt;= table!$D$7),-1,IF(AND(#REF!&gt;=table!$E$7,#REF!&lt;=table!$F$7),1,0))</f>
        <v>#REF!</v>
      </c>
      <c r="S3618" s="5" t="e">
        <f>IF(AND(#REF!&gt;=table!$C$8,#REF!&lt;= table!$D$8),-1,IF(AND(#REF!&gt;=table!$E$8,#REF!&lt;=table!$F$8),1,0))</f>
        <v>#REF!</v>
      </c>
      <c r="T3618" s="5"/>
      <c r="U3618" s="5" t="e">
        <f>IF(AND(#REF!&gt;=table!$C$10,#REF!&lt;= table!$D$10),-1,IF(AND(#REF!&gt;=table!$E$10,#REF!&lt;=table!$F$10),1,0))</f>
        <v>#REF!</v>
      </c>
      <c r="V3618" s="5" t="e">
        <f>IF(AND(#REF!&gt;=table!$C$11,#REF!&lt;= table!$D$11),-1,IF(AND(#REF!&gt;=table!$E$11,#REF!&lt;=table!$F$11),1,0))</f>
        <v>#REF!</v>
      </c>
      <c r="W3618" s="5" t="e">
        <f>CONCATENATE(dados[[#This Row],[fator1]],dados[[#This Row],[fator5]],dados[[#This Row],[fator6]])</f>
        <v>#REF!</v>
      </c>
    </row>
    <row r="3619" spans="1:23">
      <c r="A3619" t="s">
        <v>16</v>
      </c>
      <c r="B3619">
        <v>587635</v>
      </c>
      <c r="C3619">
        <v>0.15</v>
      </c>
      <c r="D3619">
        <v>40</v>
      </c>
      <c r="E3619">
        <v>10</v>
      </c>
      <c r="F3619">
        <v>15</v>
      </c>
      <c r="G3619">
        <v>0</v>
      </c>
      <c r="H3619">
        <v>15</v>
      </c>
      <c r="I3619">
        <v>13</v>
      </c>
      <c r="J3619">
        <v>0</v>
      </c>
      <c r="K3619">
        <v>7.0049999999999999</v>
      </c>
      <c r="L3619">
        <v>12.9</v>
      </c>
      <c r="M3619">
        <v>11.395000000000001</v>
      </c>
      <c r="N3619">
        <v>12.645000000000001</v>
      </c>
      <c r="O3619">
        <v>1676</v>
      </c>
      <c r="P3619">
        <v>0</v>
      </c>
      <c r="Q3619" s="5" t="e">
        <f>IF(AND(#REF!&gt;=table!$C$6,#REF!&lt;= table!$D$6),-1,IF(AND(#REF!&gt;=table!$E$6,#REF!&lt;=table!$F$6),1,0))</f>
        <v>#REF!</v>
      </c>
      <c r="R3619" s="5" t="e">
        <f>IF(AND(#REF!&gt;=table!$C$7,#REF!&lt;= table!$D$7),-1,IF(AND(#REF!&gt;=table!$E$7,#REF!&lt;=table!$F$7),1,0))</f>
        <v>#REF!</v>
      </c>
      <c r="S3619" s="5" t="e">
        <f>IF(AND(#REF!&gt;=table!$C$8,#REF!&lt;= table!$D$8),-1,IF(AND(#REF!&gt;=table!$E$8,#REF!&lt;=table!$F$8),1,0))</f>
        <v>#REF!</v>
      </c>
      <c r="T3619" s="5"/>
      <c r="U3619" s="5" t="e">
        <f>IF(AND(#REF!&gt;=table!$C$10,#REF!&lt;= table!$D$10),-1,IF(AND(#REF!&gt;=table!$E$10,#REF!&lt;=table!$F$10),1,0))</f>
        <v>#REF!</v>
      </c>
      <c r="V3619" s="5" t="e">
        <f>IF(AND(#REF!&gt;=table!$C$11,#REF!&lt;= table!$D$11),-1,IF(AND(#REF!&gt;=table!$E$11,#REF!&lt;=table!$F$11),1,0))</f>
        <v>#REF!</v>
      </c>
      <c r="W3619" s="5" t="e">
        <f>CONCATENATE(dados[[#This Row],[fator1]],dados[[#This Row],[fator5]],dados[[#This Row],[fator6]])</f>
        <v>#REF!</v>
      </c>
    </row>
    <row r="3620" spans="1:23">
      <c r="A3620" t="s">
        <v>17</v>
      </c>
      <c r="B3620">
        <v>587637</v>
      </c>
      <c r="C3620">
        <v>46</v>
      </c>
      <c r="D3620">
        <v>18</v>
      </c>
      <c r="E3620">
        <v>66</v>
      </c>
      <c r="F3620">
        <v>10</v>
      </c>
      <c r="G3620">
        <v>20</v>
      </c>
      <c r="H3620">
        <v>23</v>
      </c>
      <c r="I3620">
        <v>1181</v>
      </c>
      <c r="J3620">
        <v>0</v>
      </c>
      <c r="K3620">
        <v>13.065000000000001</v>
      </c>
      <c r="L3620">
        <v>12</v>
      </c>
      <c r="M3620">
        <v>46.45</v>
      </c>
      <c r="N3620">
        <v>14.15</v>
      </c>
      <c r="O3620">
        <v>1641</v>
      </c>
      <c r="P3620">
        <v>0</v>
      </c>
      <c r="Q3620" s="5" t="e">
        <f>IF(AND(#REF!&gt;=table!$C$6,#REF!&lt;= table!$D$6),-1,IF(AND(#REF!&gt;=table!$E$6,#REF!&lt;=table!$F$6),1,0))</f>
        <v>#REF!</v>
      </c>
      <c r="R3620" s="5" t="e">
        <f>IF(AND(#REF!&gt;=table!$C$7,#REF!&lt;= table!$D$7),-1,IF(AND(#REF!&gt;=table!$E$7,#REF!&lt;=table!$F$7),1,0))</f>
        <v>#REF!</v>
      </c>
      <c r="S3620" s="5" t="e">
        <f>IF(AND(#REF!&gt;=table!$C$8,#REF!&lt;= table!$D$8),-1,IF(AND(#REF!&gt;=table!$E$8,#REF!&lt;=table!$F$8),1,0))</f>
        <v>#REF!</v>
      </c>
      <c r="T3620" s="5"/>
      <c r="U3620" s="5" t="e">
        <f>IF(AND(#REF!&gt;=table!$C$10,#REF!&lt;= table!$D$10),-1,IF(AND(#REF!&gt;=table!$E$10,#REF!&lt;=table!$F$10),1,0))</f>
        <v>#REF!</v>
      </c>
      <c r="V3620" s="5" t="e">
        <f>IF(AND(#REF!&gt;=table!$C$11,#REF!&lt;= table!$D$11),-1,IF(AND(#REF!&gt;=table!$E$11,#REF!&lt;=table!$F$11),1,0))</f>
        <v>#REF!</v>
      </c>
      <c r="W3620" s="5" t="e">
        <f>CONCATENATE(dados[[#This Row],[fator1]],dados[[#This Row],[fator5]],dados[[#This Row],[fator6]])</f>
        <v>#REF!</v>
      </c>
    </row>
    <row r="3621" spans="1:23">
      <c r="A3621" t="s">
        <v>16</v>
      </c>
      <c r="B3621">
        <v>587638</v>
      </c>
      <c r="C3621">
        <v>8</v>
      </c>
      <c r="D3621">
        <v>30</v>
      </c>
      <c r="E3621">
        <v>61</v>
      </c>
      <c r="F3621">
        <v>8</v>
      </c>
      <c r="G3621">
        <v>0</v>
      </c>
      <c r="H3621">
        <v>25</v>
      </c>
      <c r="I3621">
        <v>2031</v>
      </c>
      <c r="J3621">
        <v>0</v>
      </c>
      <c r="K3621">
        <v>8.7750000000000004</v>
      </c>
      <c r="L3621">
        <v>12.855</v>
      </c>
      <c r="M3621">
        <v>50.875</v>
      </c>
      <c r="N3621">
        <v>12.5</v>
      </c>
      <c r="O3621">
        <v>1684</v>
      </c>
      <c r="P3621">
        <v>0</v>
      </c>
      <c r="Q3621" s="5" t="e">
        <f>IF(AND(#REF!&gt;=table!$C$6,#REF!&lt;= table!$D$6),-1,IF(AND(#REF!&gt;=table!$E$6,#REF!&lt;=table!$F$6),1,0))</f>
        <v>#REF!</v>
      </c>
      <c r="R3621" s="5" t="e">
        <f>IF(AND(#REF!&gt;=table!$C$7,#REF!&lt;= table!$D$7),-1,IF(AND(#REF!&gt;=table!$E$7,#REF!&lt;=table!$F$7),1,0))</f>
        <v>#REF!</v>
      </c>
      <c r="S3621" s="5" t="e">
        <f>IF(AND(#REF!&gt;=table!$C$8,#REF!&lt;= table!$D$8),-1,IF(AND(#REF!&gt;=table!$E$8,#REF!&lt;=table!$F$8),1,0))</f>
        <v>#REF!</v>
      </c>
      <c r="T3621" s="5"/>
      <c r="U3621" s="5" t="e">
        <f>IF(AND(#REF!&gt;=table!$C$10,#REF!&lt;= table!$D$10),-1,IF(AND(#REF!&gt;=table!$E$10,#REF!&lt;=table!$F$10),1,0))</f>
        <v>#REF!</v>
      </c>
      <c r="V3621" s="5" t="e">
        <f>IF(AND(#REF!&gt;=table!$C$11,#REF!&lt;= table!$D$11),-1,IF(AND(#REF!&gt;=table!$E$11,#REF!&lt;=table!$F$11),1,0))</f>
        <v>#REF!</v>
      </c>
      <c r="W3621" s="5" t="e">
        <f>CONCATENATE(dados[[#This Row],[fator1]],dados[[#This Row],[fator5]],dados[[#This Row],[fator6]])</f>
        <v>#REF!</v>
      </c>
    </row>
    <row r="3622" spans="1:23">
      <c r="A3622" t="s">
        <v>16</v>
      </c>
      <c r="B3622">
        <v>587639</v>
      </c>
      <c r="C3622">
        <v>6</v>
      </c>
      <c r="D3622">
        <v>40</v>
      </c>
      <c r="E3622">
        <v>66</v>
      </c>
      <c r="F3622">
        <v>10</v>
      </c>
      <c r="G3622">
        <v>0</v>
      </c>
      <c r="H3622">
        <v>25</v>
      </c>
      <c r="I3622">
        <v>712</v>
      </c>
      <c r="J3622">
        <v>0</v>
      </c>
      <c r="K3622">
        <v>6.8450000000000006</v>
      </c>
      <c r="L3622">
        <v>15.565000000000001</v>
      </c>
      <c r="M3622">
        <v>53.925000000000004</v>
      </c>
      <c r="N3622">
        <v>15.625</v>
      </c>
      <c r="O3622">
        <v>1694</v>
      </c>
      <c r="P3622">
        <v>0</v>
      </c>
      <c r="Q3622" s="5" t="e">
        <f>IF(AND(#REF!&gt;=table!$C$6,#REF!&lt;= table!$D$6),-1,IF(AND(#REF!&gt;=table!$E$6,#REF!&lt;=table!$F$6),1,0))</f>
        <v>#REF!</v>
      </c>
      <c r="R3622" s="5" t="e">
        <f>IF(AND(#REF!&gt;=table!$C$7,#REF!&lt;= table!$D$7),-1,IF(AND(#REF!&gt;=table!$E$7,#REF!&lt;=table!$F$7),1,0))</f>
        <v>#REF!</v>
      </c>
      <c r="S3622" s="5" t="e">
        <f>IF(AND(#REF!&gt;=table!$C$8,#REF!&lt;= table!$D$8),-1,IF(AND(#REF!&gt;=table!$E$8,#REF!&lt;=table!$F$8),1,0))</f>
        <v>#REF!</v>
      </c>
      <c r="T3622" s="5"/>
      <c r="U3622" s="5" t="e">
        <f>IF(AND(#REF!&gt;=table!$C$10,#REF!&lt;= table!$D$10),-1,IF(AND(#REF!&gt;=table!$E$10,#REF!&lt;=table!$F$10),1,0))</f>
        <v>#REF!</v>
      </c>
      <c r="V3622" s="5" t="e">
        <f>IF(AND(#REF!&gt;=table!$C$11,#REF!&lt;= table!$D$11),-1,IF(AND(#REF!&gt;=table!$E$11,#REF!&lt;=table!$F$11),1,0))</f>
        <v>#REF!</v>
      </c>
      <c r="W3622" s="5" t="e">
        <f>CONCATENATE(dados[[#This Row],[fator1]],dados[[#This Row],[fator5]],dados[[#This Row],[fator6]])</f>
        <v>#REF!</v>
      </c>
    </row>
    <row r="3623" spans="1:23">
      <c r="A3623" t="s">
        <v>16</v>
      </c>
      <c r="B3623">
        <v>587640</v>
      </c>
      <c r="C3623">
        <v>8</v>
      </c>
      <c r="D3623">
        <v>30</v>
      </c>
      <c r="E3623">
        <v>61</v>
      </c>
      <c r="F3623">
        <v>8</v>
      </c>
      <c r="G3623">
        <v>0</v>
      </c>
      <c r="H3623">
        <v>25</v>
      </c>
      <c r="I3623">
        <v>1144</v>
      </c>
      <c r="J3623">
        <v>630</v>
      </c>
      <c r="K3623">
        <v>4.49</v>
      </c>
      <c r="L3623">
        <v>17.25</v>
      </c>
      <c r="M3623">
        <v>59.95</v>
      </c>
      <c r="N3623">
        <v>17.25</v>
      </c>
      <c r="O3623">
        <v>1677</v>
      </c>
      <c r="P3623">
        <v>0</v>
      </c>
      <c r="Q3623" s="5" t="e">
        <f>IF(AND(#REF!&gt;=table!$C$6,#REF!&lt;= table!$D$6),-1,IF(AND(#REF!&gt;=table!$E$6,#REF!&lt;=table!$F$6),1,0))</f>
        <v>#REF!</v>
      </c>
      <c r="R3623" s="5" t="e">
        <f>IF(AND(#REF!&gt;=table!$C$7,#REF!&lt;= table!$D$7),-1,IF(AND(#REF!&gt;=table!$E$7,#REF!&lt;=table!$F$7),1,0))</f>
        <v>#REF!</v>
      </c>
      <c r="S3623" s="5" t="e">
        <f>IF(AND(#REF!&gt;=table!$C$8,#REF!&lt;= table!$D$8),-1,IF(AND(#REF!&gt;=table!$E$8,#REF!&lt;=table!$F$8),1,0))</f>
        <v>#REF!</v>
      </c>
      <c r="T3623" s="5"/>
      <c r="U3623" s="5" t="e">
        <f>IF(AND(#REF!&gt;=table!$C$10,#REF!&lt;= table!$D$10),-1,IF(AND(#REF!&gt;=table!$E$10,#REF!&lt;=table!$F$10),1,0))</f>
        <v>#REF!</v>
      </c>
      <c r="V3623" s="5" t="e">
        <f>IF(AND(#REF!&gt;=table!$C$11,#REF!&lt;= table!$D$11),-1,IF(AND(#REF!&gt;=table!$E$11,#REF!&lt;=table!$F$11),1,0))</f>
        <v>#REF!</v>
      </c>
      <c r="W3623" s="5" t="e">
        <f>CONCATENATE(dados[[#This Row],[fator1]],dados[[#This Row],[fator5]],dados[[#This Row],[fator6]])</f>
        <v>#REF!</v>
      </c>
    </row>
    <row r="3624" spans="1:23">
      <c r="A3624" t="s">
        <v>16</v>
      </c>
      <c r="B3624">
        <v>587645</v>
      </c>
      <c r="C3624">
        <v>8</v>
      </c>
      <c r="D3624">
        <v>30</v>
      </c>
      <c r="E3624">
        <v>61</v>
      </c>
      <c r="F3624">
        <v>8</v>
      </c>
      <c r="G3624">
        <v>0</v>
      </c>
      <c r="H3624">
        <v>25</v>
      </c>
      <c r="I3624">
        <v>515</v>
      </c>
      <c r="J3624">
        <v>0</v>
      </c>
      <c r="K3624">
        <v>7.085</v>
      </c>
      <c r="L3624">
        <v>12.1</v>
      </c>
      <c r="M3624">
        <v>51.7</v>
      </c>
      <c r="N3624">
        <v>15.5</v>
      </c>
      <c r="O3624">
        <v>1682</v>
      </c>
      <c r="P3624">
        <v>532</v>
      </c>
      <c r="Q3624" s="5" t="e">
        <f>IF(AND(#REF!&gt;=table!$C$6,#REF!&lt;= table!$D$6),-1,IF(AND(#REF!&gt;=table!$E$6,#REF!&lt;=table!$F$6),1,0))</f>
        <v>#REF!</v>
      </c>
      <c r="R3624" s="5" t="e">
        <f>IF(AND(#REF!&gt;=table!$C$7,#REF!&lt;= table!$D$7),-1,IF(AND(#REF!&gt;=table!$E$7,#REF!&lt;=table!$F$7),1,0))</f>
        <v>#REF!</v>
      </c>
      <c r="S3624" s="5" t="e">
        <f>IF(AND(#REF!&gt;=table!$C$8,#REF!&lt;= table!$D$8),-1,IF(AND(#REF!&gt;=table!$E$8,#REF!&lt;=table!$F$8),1,0))</f>
        <v>#REF!</v>
      </c>
      <c r="T3624" s="5"/>
      <c r="U3624" s="5" t="e">
        <f>IF(AND(#REF!&gt;=table!$C$10,#REF!&lt;= table!$D$10),-1,IF(AND(#REF!&gt;=table!$E$10,#REF!&lt;=table!$F$10),1,0))</f>
        <v>#REF!</v>
      </c>
      <c r="V3624" s="5" t="e">
        <f>IF(AND(#REF!&gt;=table!$C$11,#REF!&lt;= table!$D$11),-1,IF(AND(#REF!&gt;=table!$E$11,#REF!&lt;=table!$F$11),1,0))</f>
        <v>#REF!</v>
      </c>
      <c r="W3624" s="5" t="e">
        <f>CONCATENATE(dados[[#This Row],[fator1]],dados[[#This Row],[fator5]],dados[[#This Row],[fator6]])</f>
        <v>#REF!</v>
      </c>
    </row>
    <row r="3625" spans="1:23">
      <c r="A3625" t="s">
        <v>17</v>
      </c>
      <c r="B3625">
        <v>587649</v>
      </c>
      <c r="C3625">
        <v>0.15</v>
      </c>
      <c r="D3625">
        <v>40</v>
      </c>
      <c r="E3625">
        <v>105</v>
      </c>
      <c r="F3625">
        <v>10</v>
      </c>
      <c r="G3625">
        <v>10</v>
      </c>
      <c r="H3625">
        <v>80</v>
      </c>
      <c r="I3625">
        <v>106</v>
      </c>
      <c r="J3625">
        <v>0</v>
      </c>
      <c r="K3625">
        <v>3.335</v>
      </c>
      <c r="L3625">
        <v>9.6950000000000003</v>
      </c>
      <c r="M3625">
        <v>8.7100000000000009</v>
      </c>
      <c r="N3625">
        <v>40.67</v>
      </c>
      <c r="O3625">
        <v>1664</v>
      </c>
      <c r="P3625">
        <v>1195</v>
      </c>
      <c r="Q3625" s="5" t="e">
        <f>IF(AND(#REF!&gt;=table!$C$6,#REF!&lt;= table!$D$6),-1,IF(AND(#REF!&gt;=table!$E$6,#REF!&lt;=table!$F$6),1,0))</f>
        <v>#REF!</v>
      </c>
      <c r="R3625" s="5" t="e">
        <f>IF(AND(#REF!&gt;=table!$C$7,#REF!&lt;= table!$D$7),-1,IF(AND(#REF!&gt;=table!$E$7,#REF!&lt;=table!$F$7),1,0))</f>
        <v>#REF!</v>
      </c>
      <c r="S3625" s="5" t="e">
        <f>IF(AND(#REF!&gt;=table!$C$8,#REF!&lt;= table!$D$8),-1,IF(AND(#REF!&gt;=table!$E$8,#REF!&lt;=table!$F$8),1,0))</f>
        <v>#REF!</v>
      </c>
      <c r="T3625" s="5"/>
      <c r="U3625" s="5" t="e">
        <f>IF(AND(#REF!&gt;=table!$C$10,#REF!&lt;= table!$D$10),-1,IF(AND(#REF!&gt;=table!$E$10,#REF!&lt;=table!$F$10),1,0))</f>
        <v>#REF!</v>
      </c>
      <c r="V3625" s="5" t="e">
        <f>IF(AND(#REF!&gt;=table!$C$11,#REF!&lt;= table!$D$11),-1,IF(AND(#REF!&gt;=table!$E$11,#REF!&lt;=table!$F$11),1,0))</f>
        <v>#REF!</v>
      </c>
      <c r="W3625" s="5" t="e">
        <f>CONCATENATE(dados[[#This Row],[fator1]],dados[[#This Row],[fator5]],dados[[#This Row],[fator6]])</f>
        <v>#REF!</v>
      </c>
    </row>
    <row r="3626" spans="1:23">
      <c r="A3626" t="s">
        <v>17</v>
      </c>
      <c r="B3626">
        <v>587650</v>
      </c>
      <c r="C3626">
        <v>0.15</v>
      </c>
      <c r="D3626">
        <v>40</v>
      </c>
      <c r="E3626">
        <v>105</v>
      </c>
      <c r="F3626">
        <v>10</v>
      </c>
      <c r="G3626">
        <v>10</v>
      </c>
      <c r="H3626">
        <v>80</v>
      </c>
      <c r="I3626">
        <v>816</v>
      </c>
      <c r="J3626">
        <v>0</v>
      </c>
      <c r="K3626">
        <v>3.585</v>
      </c>
      <c r="L3626">
        <v>8.1999999999999993</v>
      </c>
      <c r="M3626">
        <v>7.3</v>
      </c>
      <c r="N3626">
        <v>15.15</v>
      </c>
      <c r="O3626">
        <v>1686</v>
      </c>
      <c r="P3626">
        <v>1046</v>
      </c>
      <c r="Q3626" s="5" t="e">
        <f>IF(AND(#REF!&gt;=table!$C$6,#REF!&lt;= table!$D$6),-1,IF(AND(#REF!&gt;=table!$E$6,#REF!&lt;=table!$F$6),1,0))</f>
        <v>#REF!</v>
      </c>
      <c r="R3626" s="5" t="e">
        <f>IF(AND(#REF!&gt;=table!$C$7,#REF!&lt;= table!$D$7),-1,IF(AND(#REF!&gt;=table!$E$7,#REF!&lt;=table!$F$7),1,0))</f>
        <v>#REF!</v>
      </c>
      <c r="S3626" s="5" t="e">
        <f>IF(AND(#REF!&gt;=table!$C$8,#REF!&lt;= table!$D$8),-1,IF(AND(#REF!&gt;=table!$E$8,#REF!&lt;=table!$F$8),1,0))</f>
        <v>#REF!</v>
      </c>
      <c r="T3626" s="5"/>
      <c r="U3626" s="5" t="e">
        <f>IF(AND(#REF!&gt;=table!$C$10,#REF!&lt;= table!$D$10),-1,IF(AND(#REF!&gt;=table!$E$10,#REF!&lt;=table!$F$10),1,0))</f>
        <v>#REF!</v>
      </c>
      <c r="V3626" s="5" t="e">
        <f>IF(AND(#REF!&gt;=table!$C$11,#REF!&lt;= table!$D$11),-1,IF(AND(#REF!&gt;=table!$E$11,#REF!&lt;=table!$F$11),1,0))</f>
        <v>#REF!</v>
      </c>
      <c r="W3626" s="5" t="e">
        <f>CONCATENATE(dados[[#This Row],[fator1]],dados[[#This Row],[fator5]],dados[[#This Row],[fator6]])</f>
        <v>#REF!</v>
      </c>
    </row>
    <row r="3627" spans="1:23">
      <c r="A3627" t="s">
        <v>16</v>
      </c>
      <c r="B3627">
        <v>587658</v>
      </c>
      <c r="C3627">
        <v>8</v>
      </c>
      <c r="D3627">
        <v>30</v>
      </c>
      <c r="E3627">
        <v>86</v>
      </c>
      <c r="F3627">
        <v>8</v>
      </c>
      <c r="G3627">
        <v>0</v>
      </c>
      <c r="H3627">
        <v>25</v>
      </c>
      <c r="I3627">
        <v>493</v>
      </c>
      <c r="J3627">
        <v>0</v>
      </c>
      <c r="K3627">
        <v>4.3433000000000002</v>
      </c>
      <c r="L3627">
        <v>10.475</v>
      </c>
      <c r="M3627">
        <v>65.710000000000008</v>
      </c>
      <c r="N3627">
        <v>15.34</v>
      </c>
      <c r="O3627">
        <v>1675</v>
      </c>
      <c r="P3627">
        <v>850</v>
      </c>
      <c r="Q3627" s="5" t="e">
        <f>IF(AND(#REF!&gt;=table!$C$6,#REF!&lt;= table!$D$6),-1,IF(AND(#REF!&gt;=table!$E$6,#REF!&lt;=table!$F$6),1,0))</f>
        <v>#REF!</v>
      </c>
      <c r="R3627" s="5" t="e">
        <f>IF(AND(#REF!&gt;=table!$C$7,#REF!&lt;= table!$D$7),-1,IF(AND(#REF!&gt;=table!$E$7,#REF!&lt;=table!$F$7),1,0))</f>
        <v>#REF!</v>
      </c>
      <c r="S3627" s="5" t="e">
        <f>IF(AND(#REF!&gt;=table!$C$8,#REF!&lt;= table!$D$8),-1,IF(AND(#REF!&gt;=table!$E$8,#REF!&lt;=table!$F$8),1,0))</f>
        <v>#REF!</v>
      </c>
      <c r="T3627" s="5"/>
      <c r="U3627" s="5" t="e">
        <f>IF(AND(#REF!&gt;=table!$C$10,#REF!&lt;= table!$D$10),-1,IF(AND(#REF!&gt;=table!$E$10,#REF!&lt;=table!$F$10),1,0))</f>
        <v>#REF!</v>
      </c>
      <c r="V3627" s="5" t="e">
        <f>IF(AND(#REF!&gt;=table!$C$11,#REF!&lt;= table!$D$11),-1,IF(AND(#REF!&gt;=table!$E$11,#REF!&lt;=table!$F$11),1,0))</f>
        <v>#REF!</v>
      </c>
      <c r="W3627" s="5" t="e">
        <f>CONCATENATE(dados[[#This Row],[fator1]],dados[[#This Row],[fator5]],dados[[#This Row],[fator6]])</f>
        <v>#REF!</v>
      </c>
    </row>
    <row r="3628" spans="1:23">
      <c r="A3628" t="s">
        <v>16</v>
      </c>
      <c r="B3628">
        <v>587659</v>
      </c>
      <c r="C3628">
        <v>8</v>
      </c>
      <c r="D3628">
        <v>40</v>
      </c>
      <c r="E3628">
        <v>90</v>
      </c>
      <c r="F3628">
        <v>8</v>
      </c>
      <c r="G3628">
        <v>0</v>
      </c>
      <c r="H3628">
        <v>25</v>
      </c>
      <c r="I3628">
        <v>156</v>
      </c>
      <c r="J3628">
        <v>0</v>
      </c>
      <c r="K3628">
        <v>4.7467000000000006</v>
      </c>
      <c r="L3628">
        <v>17.02</v>
      </c>
      <c r="M3628">
        <v>85.975000000000009</v>
      </c>
      <c r="N3628">
        <v>20.355</v>
      </c>
      <c r="O3628">
        <v>1672</v>
      </c>
      <c r="P3628">
        <v>0</v>
      </c>
      <c r="Q3628" s="5" t="e">
        <f>IF(AND(#REF!&gt;=table!$C$6,#REF!&lt;= table!$D$6),-1,IF(AND(#REF!&gt;=table!$E$6,#REF!&lt;=table!$F$6),1,0))</f>
        <v>#REF!</v>
      </c>
      <c r="R3628" s="5" t="e">
        <f>IF(AND(#REF!&gt;=table!$C$7,#REF!&lt;= table!$D$7),-1,IF(AND(#REF!&gt;=table!$E$7,#REF!&lt;=table!$F$7),1,0))</f>
        <v>#REF!</v>
      </c>
      <c r="S3628" s="5" t="e">
        <f>IF(AND(#REF!&gt;=table!$C$8,#REF!&lt;= table!$D$8),-1,IF(AND(#REF!&gt;=table!$E$8,#REF!&lt;=table!$F$8),1,0))</f>
        <v>#REF!</v>
      </c>
      <c r="T3628" s="5"/>
      <c r="U3628" s="5" t="e">
        <f>IF(AND(#REF!&gt;=table!$C$10,#REF!&lt;= table!$D$10),-1,IF(AND(#REF!&gt;=table!$E$10,#REF!&lt;=table!$F$10),1,0))</f>
        <v>#REF!</v>
      </c>
      <c r="V3628" s="5" t="e">
        <f>IF(AND(#REF!&gt;=table!$C$11,#REF!&lt;= table!$D$11),-1,IF(AND(#REF!&gt;=table!$E$11,#REF!&lt;=table!$F$11),1,0))</f>
        <v>#REF!</v>
      </c>
      <c r="W3628" s="5" t="e">
        <f>CONCATENATE(dados[[#This Row],[fator1]],dados[[#This Row],[fator5]],dados[[#This Row],[fator6]])</f>
        <v>#REF!</v>
      </c>
    </row>
    <row r="3629" spans="1:23">
      <c r="A3629" t="s">
        <v>16</v>
      </c>
      <c r="B3629">
        <v>587660</v>
      </c>
      <c r="C3629">
        <v>10</v>
      </c>
      <c r="D3629">
        <v>40</v>
      </c>
      <c r="E3629">
        <v>96</v>
      </c>
      <c r="F3629">
        <v>8</v>
      </c>
      <c r="G3629">
        <v>0</v>
      </c>
      <c r="H3629">
        <v>25</v>
      </c>
      <c r="I3629">
        <v>75</v>
      </c>
      <c r="J3629">
        <v>630</v>
      </c>
      <c r="K3629">
        <v>12.64</v>
      </c>
      <c r="L3629">
        <v>21.7</v>
      </c>
      <c r="M3629">
        <v>61.95</v>
      </c>
      <c r="N3629">
        <v>15.65</v>
      </c>
      <c r="O3629">
        <v>1603</v>
      </c>
      <c r="P3629">
        <v>220</v>
      </c>
      <c r="Q3629" s="5" t="e">
        <f>IF(AND(#REF!&gt;=table!$C$6,#REF!&lt;= table!$D$6),-1,IF(AND(#REF!&gt;=table!$E$6,#REF!&lt;=table!$F$6),1,0))</f>
        <v>#REF!</v>
      </c>
      <c r="R3629" s="5" t="e">
        <f>IF(AND(#REF!&gt;=table!$C$7,#REF!&lt;= table!$D$7),-1,IF(AND(#REF!&gt;=table!$E$7,#REF!&lt;=table!$F$7),1,0))</f>
        <v>#REF!</v>
      </c>
      <c r="S3629" s="5" t="e">
        <f>IF(AND(#REF!&gt;=table!$C$8,#REF!&lt;= table!$D$8),-1,IF(AND(#REF!&gt;=table!$E$8,#REF!&lt;=table!$F$8),1,0))</f>
        <v>#REF!</v>
      </c>
      <c r="T3629" s="5"/>
      <c r="U3629" s="5" t="e">
        <f>IF(AND(#REF!&gt;=table!$C$10,#REF!&lt;= table!$D$10),-1,IF(AND(#REF!&gt;=table!$E$10,#REF!&lt;=table!$F$10),1,0))</f>
        <v>#REF!</v>
      </c>
      <c r="V3629" s="5" t="e">
        <f>IF(AND(#REF!&gt;=table!$C$11,#REF!&lt;= table!$D$11),-1,IF(AND(#REF!&gt;=table!$E$11,#REF!&lt;=table!$F$11),1,0))</f>
        <v>#REF!</v>
      </c>
      <c r="W3629" s="5" t="e">
        <f>CONCATENATE(dados[[#This Row],[fator1]],dados[[#This Row],[fator5]],dados[[#This Row],[fator6]])</f>
        <v>#REF!</v>
      </c>
    </row>
    <row r="3630" spans="1:23">
      <c r="A3630" t="s">
        <v>16</v>
      </c>
      <c r="B3630">
        <v>587671</v>
      </c>
      <c r="C3630">
        <v>0.15</v>
      </c>
      <c r="D3630">
        <v>40</v>
      </c>
      <c r="E3630">
        <v>10</v>
      </c>
      <c r="F3630">
        <v>15</v>
      </c>
      <c r="G3630">
        <v>0</v>
      </c>
      <c r="H3630">
        <v>15</v>
      </c>
      <c r="I3630">
        <v>433</v>
      </c>
      <c r="J3630">
        <v>0</v>
      </c>
      <c r="K3630">
        <v>3.3250000000000002</v>
      </c>
      <c r="L3630">
        <v>9.4500000000000011</v>
      </c>
      <c r="M3630">
        <v>7.7</v>
      </c>
      <c r="N3630">
        <v>10.75</v>
      </c>
      <c r="O3630">
        <v>1667</v>
      </c>
      <c r="P3630">
        <v>0</v>
      </c>
      <c r="Q3630" s="5" t="e">
        <f>IF(AND(#REF!&gt;=table!$C$6,#REF!&lt;= table!$D$6),-1,IF(AND(#REF!&gt;=table!$E$6,#REF!&lt;=table!$F$6),1,0))</f>
        <v>#REF!</v>
      </c>
      <c r="R3630" s="5" t="e">
        <f>IF(AND(#REF!&gt;=table!$C$7,#REF!&lt;= table!$D$7),-1,IF(AND(#REF!&gt;=table!$E$7,#REF!&lt;=table!$F$7),1,0))</f>
        <v>#REF!</v>
      </c>
      <c r="S3630" s="5" t="e">
        <f>IF(AND(#REF!&gt;=table!$C$8,#REF!&lt;= table!$D$8),-1,IF(AND(#REF!&gt;=table!$E$8,#REF!&lt;=table!$F$8),1,0))</f>
        <v>#REF!</v>
      </c>
      <c r="T3630" s="5"/>
      <c r="U3630" s="5" t="e">
        <f>IF(AND(#REF!&gt;=table!$C$10,#REF!&lt;= table!$D$10),-1,IF(AND(#REF!&gt;=table!$E$10,#REF!&lt;=table!$F$10),1,0))</f>
        <v>#REF!</v>
      </c>
      <c r="V3630" s="5" t="e">
        <f>IF(AND(#REF!&gt;=table!$C$11,#REF!&lt;= table!$D$11),-1,IF(AND(#REF!&gt;=table!$E$11,#REF!&lt;=table!$F$11),1,0))</f>
        <v>#REF!</v>
      </c>
      <c r="W3630" s="5" t="e">
        <f>CONCATENATE(dados[[#This Row],[fator1]],dados[[#This Row],[fator5]],dados[[#This Row],[fator6]])</f>
        <v>#REF!</v>
      </c>
    </row>
    <row r="3631" spans="1:23">
      <c r="A3631" t="s">
        <v>16</v>
      </c>
      <c r="B3631">
        <v>587673</v>
      </c>
      <c r="C3631">
        <v>0.1</v>
      </c>
      <c r="D3631">
        <v>40</v>
      </c>
      <c r="E3631">
        <v>10</v>
      </c>
      <c r="F3631">
        <v>8</v>
      </c>
      <c r="G3631">
        <v>0</v>
      </c>
      <c r="H3631">
        <v>10</v>
      </c>
      <c r="I3631">
        <v>1434</v>
      </c>
      <c r="J3631">
        <v>0</v>
      </c>
      <c r="K3631">
        <v>3.9</v>
      </c>
      <c r="L3631">
        <v>6.9050000000000002</v>
      </c>
      <c r="M3631">
        <v>6.88</v>
      </c>
      <c r="N3631">
        <v>8.5250000000000004</v>
      </c>
      <c r="O3631">
        <v>1686</v>
      </c>
      <c r="P3631">
        <v>0</v>
      </c>
      <c r="Q3631" s="5" t="e">
        <f>IF(AND(#REF!&gt;=table!$C$6,#REF!&lt;= table!$D$6),-1,IF(AND(#REF!&gt;=table!$E$6,#REF!&lt;=table!$F$6),1,0))</f>
        <v>#REF!</v>
      </c>
      <c r="R3631" s="5" t="e">
        <f>IF(AND(#REF!&gt;=table!$C$7,#REF!&lt;= table!$D$7),-1,IF(AND(#REF!&gt;=table!$E$7,#REF!&lt;=table!$F$7),1,0))</f>
        <v>#REF!</v>
      </c>
      <c r="S3631" s="5" t="e">
        <f>IF(AND(#REF!&gt;=table!$C$8,#REF!&lt;= table!$D$8),-1,IF(AND(#REF!&gt;=table!$E$8,#REF!&lt;=table!$F$8),1,0))</f>
        <v>#REF!</v>
      </c>
      <c r="T3631" s="5"/>
      <c r="U3631" s="5" t="e">
        <f>IF(AND(#REF!&gt;=table!$C$10,#REF!&lt;= table!$D$10),-1,IF(AND(#REF!&gt;=table!$E$10,#REF!&lt;=table!$F$10),1,0))</f>
        <v>#REF!</v>
      </c>
      <c r="V3631" s="5" t="e">
        <f>IF(AND(#REF!&gt;=table!$C$11,#REF!&lt;= table!$D$11),-1,IF(AND(#REF!&gt;=table!$E$11,#REF!&lt;=table!$F$11),1,0))</f>
        <v>#REF!</v>
      </c>
      <c r="W3631" s="5" t="e">
        <f>CONCATENATE(dados[[#This Row],[fator1]],dados[[#This Row],[fator5]],dados[[#This Row],[fator6]])</f>
        <v>#REF!</v>
      </c>
    </row>
    <row r="3632" spans="1:23">
      <c r="A3632" t="s">
        <v>16</v>
      </c>
      <c r="B3632">
        <v>587684</v>
      </c>
      <c r="C3632">
        <v>16</v>
      </c>
      <c r="D3632">
        <v>35</v>
      </c>
      <c r="E3632">
        <v>56</v>
      </c>
      <c r="F3632">
        <v>10</v>
      </c>
      <c r="G3632">
        <v>0</v>
      </c>
      <c r="H3632">
        <v>25</v>
      </c>
      <c r="I3632">
        <v>1173</v>
      </c>
      <c r="J3632">
        <v>0</v>
      </c>
      <c r="K3632">
        <v>4.7750000000000004</v>
      </c>
      <c r="L3632">
        <v>13.6</v>
      </c>
      <c r="M3632">
        <v>44.6</v>
      </c>
      <c r="N3632">
        <v>14.8</v>
      </c>
      <c r="O3632">
        <v>1670</v>
      </c>
      <c r="P3632">
        <v>0</v>
      </c>
      <c r="Q3632" s="5" t="e">
        <f>IF(AND(#REF!&gt;=table!$C$6,#REF!&lt;= table!$D$6),-1,IF(AND(#REF!&gt;=table!$E$6,#REF!&lt;=table!$F$6),1,0))</f>
        <v>#REF!</v>
      </c>
      <c r="R3632" s="5" t="e">
        <f>IF(AND(#REF!&gt;=table!$C$7,#REF!&lt;= table!$D$7),-1,IF(AND(#REF!&gt;=table!$E$7,#REF!&lt;=table!$F$7),1,0))</f>
        <v>#REF!</v>
      </c>
      <c r="S3632" s="5" t="e">
        <f>IF(AND(#REF!&gt;=table!$C$8,#REF!&lt;= table!$D$8),-1,IF(AND(#REF!&gt;=table!$E$8,#REF!&lt;=table!$F$8),1,0))</f>
        <v>#REF!</v>
      </c>
      <c r="T3632" s="5"/>
      <c r="U3632" s="5" t="e">
        <f>IF(AND(#REF!&gt;=table!$C$10,#REF!&lt;= table!$D$10),-1,IF(AND(#REF!&gt;=table!$E$10,#REF!&lt;=table!$F$10),1,0))</f>
        <v>#REF!</v>
      </c>
      <c r="V3632" s="5" t="e">
        <f>IF(AND(#REF!&gt;=table!$C$11,#REF!&lt;= table!$D$11),-1,IF(AND(#REF!&gt;=table!$E$11,#REF!&lt;=table!$F$11),1,0))</f>
        <v>#REF!</v>
      </c>
      <c r="W3632" s="5" t="e">
        <f>CONCATENATE(dados[[#This Row],[fator1]],dados[[#This Row],[fator5]],dados[[#This Row],[fator6]])</f>
        <v>#REF!</v>
      </c>
    </row>
    <row r="3633" spans="1:23">
      <c r="A3633" t="s">
        <v>16</v>
      </c>
      <c r="B3633">
        <v>587685</v>
      </c>
      <c r="C3633">
        <v>16</v>
      </c>
      <c r="D3633">
        <v>30</v>
      </c>
      <c r="E3633">
        <v>36</v>
      </c>
      <c r="F3633">
        <v>3</v>
      </c>
      <c r="G3633">
        <v>0</v>
      </c>
      <c r="H3633">
        <v>25</v>
      </c>
      <c r="I3633">
        <v>567</v>
      </c>
      <c r="J3633">
        <v>0</v>
      </c>
      <c r="K3633">
        <v>2.63</v>
      </c>
      <c r="L3633">
        <v>10.35</v>
      </c>
      <c r="M3633">
        <v>30.55</v>
      </c>
      <c r="N3633">
        <v>12.25</v>
      </c>
      <c r="O3633">
        <v>1673</v>
      </c>
      <c r="P3633">
        <v>1071</v>
      </c>
      <c r="Q3633" s="5" t="e">
        <f>IF(AND(#REF!&gt;=table!$C$6,#REF!&lt;= table!$D$6),-1,IF(AND(#REF!&gt;=table!$E$6,#REF!&lt;=table!$F$6),1,0))</f>
        <v>#REF!</v>
      </c>
      <c r="R3633" s="5" t="e">
        <f>IF(AND(#REF!&gt;=table!$C$7,#REF!&lt;= table!$D$7),-1,IF(AND(#REF!&gt;=table!$E$7,#REF!&lt;=table!$F$7),1,0))</f>
        <v>#REF!</v>
      </c>
      <c r="S3633" s="5" t="e">
        <f>IF(AND(#REF!&gt;=table!$C$8,#REF!&lt;= table!$D$8),-1,IF(AND(#REF!&gt;=table!$E$8,#REF!&lt;=table!$F$8),1,0))</f>
        <v>#REF!</v>
      </c>
      <c r="T3633" s="5"/>
      <c r="U3633" s="5" t="e">
        <f>IF(AND(#REF!&gt;=table!$C$10,#REF!&lt;= table!$D$10),-1,IF(AND(#REF!&gt;=table!$E$10,#REF!&lt;=table!$F$10),1,0))</f>
        <v>#REF!</v>
      </c>
      <c r="V3633" s="5" t="e">
        <f>IF(AND(#REF!&gt;=table!$C$11,#REF!&lt;= table!$D$11),-1,IF(AND(#REF!&gt;=table!$E$11,#REF!&lt;=table!$F$11),1,0))</f>
        <v>#REF!</v>
      </c>
      <c r="W3633" s="5" t="e">
        <f>CONCATENATE(dados[[#This Row],[fator1]],dados[[#This Row],[fator5]],dados[[#This Row],[fator6]])</f>
        <v>#REF!</v>
      </c>
    </row>
    <row r="3634" spans="1:23">
      <c r="A3634" t="s">
        <v>16</v>
      </c>
      <c r="B3634">
        <v>587688</v>
      </c>
      <c r="C3634">
        <v>11</v>
      </c>
      <c r="D3634">
        <v>35</v>
      </c>
      <c r="E3634">
        <v>45</v>
      </c>
      <c r="F3634">
        <v>9</v>
      </c>
      <c r="G3634">
        <v>0</v>
      </c>
      <c r="H3634">
        <v>25</v>
      </c>
      <c r="I3634">
        <v>1260</v>
      </c>
      <c r="J3634">
        <v>0</v>
      </c>
      <c r="K3634">
        <v>5.165</v>
      </c>
      <c r="L3634">
        <v>14</v>
      </c>
      <c r="M3634">
        <v>39.85</v>
      </c>
      <c r="N3634">
        <v>14.450000000000001</v>
      </c>
      <c r="O3634">
        <v>1659</v>
      </c>
      <c r="P3634">
        <v>503</v>
      </c>
      <c r="Q3634" s="5" t="e">
        <f>IF(AND(#REF!&gt;=table!$C$6,#REF!&lt;= table!$D$6),-1,IF(AND(#REF!&gt;=table!$E$6,#REF!&lt;=table!$F$6),1,0))</f>
        <v>#REF!</v>
      </c>
      <c r="R3634" s="5" t="e">
        <f>IF(AND(#REF!&gt;=table!$C$7,#REF!&lt;= table!$D$7),-1,IF(AND(#REF!&gt;=table!$E$7,#REF!&lt;=table!$F$7),1,0))</f>
        <v>#REF!</v>
      </c>
      <c r="S3634" s="5" t="e">
        <f>IF(AND(#REF!&gt;=table!$C$8,#REF!&lt;= table!$D$8),-1,IF(AND(#REF!&gt;=table!$E$8,#REF!&lt;=table!$F$8),1,0))</f>
        <v>#REF!</v>
      </c>
      <c r="T3634" s="5"/>
      <c r="U3634" s="5" t="e">
        <f>IF(AND(#REF!&gt;=table!$C$10,#REF!&lt;= table!$D$10),-1,IF(AND(#REF!&gt;=table!$E$10,#REF!&lt;=table!$F$10),1,0))</f>
        <v>#REF!</v>
      </c>
      <c r="V3634" s="5" t="e">
        <f>IF(AND(#REF!&gt;=table!$C$11,#REF!&lt;= table!$D$11),-1,IF(AND(#REF!&gt;=table!$E$11,#REF!&lt;=table!$F$11),1,0))</f>
        <v>#REF!</v>
      </c>
      <c r="W3634" s="5" t="e">
        <f>CONCATENATE(dados[[#This Row],[fator1]],dados[[#This Row],[fator5]],dados[[#This Row],[fator6]])</f>
        <v>#REF!</v>
      </c>
    </row>
    <row r="3635" spans="1:23">
      <c r="A3635" t="s">
        <v>16</v>
      </c>
      <c r="B3635">
        <v>587693</v>
      </c>
      <c r="C3635">
        <v>12</v>
      </c>
      <c r="D3635">
        <v>40</v>
      </c>
      <c r="E3635">
        <v>36</v>
      </c>
      <c r="F3635">
        <v>9</v>
      </c>
      <c r="G3635">
        <v>0</v>
      </c>
      <c r="H3635">
        <v>25</v>
      </c>
      <c r="I3635">
        <v>1062</v>
      </c>
      <c r="J3635">
        <v>0</v>
      </c>
      <c r="K3635">
        <v>3.5150000000000001</v>
      </c>
      <c r="L3635">
        <v>9.5</v>
      </c>
      <c r="M3635">
        <v>31.6</v>
      </c>
      <c r="N3635">
        <v>12.55</v>
      </c>
      <c r="O3635">
        <v>1678</v>
      </c>
      <c r="P3635">
        <v>0</v>
      </c>
      <c r="Q3635" s="5" t="e">
        <f>IF(AND(#REF!&gt;=table!$C$6,#REF!&lt;= table!$D$6),-1,IF(AND(#REF!&gt;=table!$E$6,#REF!&lt;=table!$F$6),1,0))</f>
        <v>#REF!</v>
      </c>
      <c r="R3635" s="5" t="e">
        <f>IF(AND(#REF!&gt;=table!$C$7,#REF!&lt;= table!$D$7),-1,IF(AND(#REF!&gt;=table!$E$7,#REF!&lt;=table!$F$7),1,0))</f>
        <v>#REF!</v>
      </c>
      <c r="S3635" s="5" t="e">
        <f>IF(AND(#REF!&gt;=table!$C$8,#REF!&lt;= table!$D$8),-1,IF(AND(#REF!&gt;=table!$E$8,#REF!&lt;=table!$F$8),1,0))</f>
        <v>#REF!</v>
      </c>
      <c r="T3635" s="5"/>
      <c r="U3635" s="5" t="e">
        <f>IF(AND(#REF!&gt;=table!$C$10,#REF!&lt;= table!$D$10),-1,IF(AND(#REF!&gt;=table!$E$10,#REF!&lt;=table!$F$10),1,0))</f>
        <v>#REF!</v>
      </c>
      <c r="V3635" s="5" t="e">
        <f>IF(AND(#REF!&gt;=table!$C$11,#REF!&lt;= table!$D$11),-1,IF(AND(#REF!&gt;=table!$E$11,#REF!&lt;=table!$F$11),1,0))</f>
        <v>#REF!</v>
      </c>
      <c r="W3635" s="5" t="e">
        <f>CONCATENATE(dados[[#This Row],[fator1]],dados[[#This Row],[fator5]],dados[[#This Row],[fator6]])</f>
        <v>#REF!</v>
      </c>
    </row>
    <row r="3636" spans="1:23">
      <c r="A3636" t="s">
        <v>16</v>
      </c>
      <c r="B3636">
        <v>587694</v>
      </c>
      <c r="C3636">
        <v>11</v>
      </c>
      <c r="D3636">
        <v>35</v>
      </c>
      <c r="E3636">
        <v>45</v>
      </c>
      <c r="F3636">
        <v>9</v>
      </c>
      <c r="G3636">
        <v>0</v>
      </c>
      <c r="H3636">
        <v>25</v>
      </c>
      <c r="I3636">
        <v>750</v>
      </c>
      <c r="J3636">
        <v>800</v>
      </c>
      <c r="K3636">
        <v>4.88</v>
      </c>
      <c r="L3636">
        <v>9.65</v>
      </c>
      <c r="M3636">
        <v>31.900000000000002</v>
      </c>
      <c r="N3636">
        <v>12.05</v>
      </c>
      <c r="O3636">
        <v>1621</v>
      </c>
      <c r="P3636">
        <v>0</v>
      </c>
      <c r="Q3636" s="5" t="e">
        <f>IF(AND(#REF!&gt;=table!$C$6,#REF!&lt;= table!$D$6),-1,IF(AND(#REF!&gt;=table!$E$6,#REF!&lt;=table!$F$6),1,0))</f>
        <v>#REF!</v>
      </c>
      <c r="R3636" s="5" t="e">
        <f>IF(AND(#REF!&gt;=table!$C$7,#REF!&lt;= table!$D$7),-1,IF(AND(#REF!&gt;=table!$E$7,#REF!&lt;=table!$F$7),1,0))</f>
        <v>#REF!</v>
      </c>
      <c r="S3636" s="5" t="e">
        <f>IF(AND(#REF!&gt;=table!$C$8,#REF!&lt;= table!$D$8),-1,IF(AND(#REF!&gt;=table!$E$8,#REF!&lt;=table!$F$8),1,0))</f>
        <v>#REF!</v>
      </c>
      <c r="T3636" s="5"/>
      <c r="U3636" s="5" t="e">
        <f>IF(AND(#REF!&gt;=table!$C$10,#REF!&lt;= table!$D$10),-1,IF(AND(#REF!&gt;=table!$E$10,#REF!&lt;=table!$F$10),1,0))</f>
        <v>#REF!</v>
      </c>
      <c r="V3636" s="5" t="e">
        <f>IF(AND(#REF!&gt;=table!$C$11,#REF!&lt;= table!$D$11),-1,IF(AND(#REF!&gt;=table!$E$11,#REF!&lt;=table!$F$11),1,0))</f>
        <v>#REF!</v>
      </c>
      <c r="W3636" s="5" t="e">
        <f>CONCATENATE(dados[[#This Row],[fator1]],dados[[#This Row],[fator5]],dados[[#This Row],[fator6]])</f>
        <v>#REF!</v>
      </c>
    </row>
    <row r="3637" spans="1:23">
      <c r="A3637" t="s">
        <v>16</v>
      </c>
      <c r="B3637">
        <v>587697</v>
      </c>
      <c r="C3637">
        <v>9</v>
      </c>
      <c r="D3637">
        <v>27</v>
      </c>
      <c r="E3637">
        <v>36</v>
      </c>
      <c r="F3637">
        <v>8</v>
      </c>
      <c r="G3637">
        <v>0</v>
      </c>
      <c r="H3637">
        <v>25</v>
      </c>
      <c r="I3637">
        <v>550</v>
      </c>
      <c r="J3637">
        <v>0</v>
      </c>
      <c r="K3637">
        <v>3.18</v>
      </c>
      <c r="L3637">
        <v>12.55</v>
      </c>
      <c r="M3637">
        <v>38.15</v>
      </c>
      <c r="N3637">
        <v>18.55</v>
      </c>
      <c r="O3637">
        <v>1680</v>
      </c>
      <c r="P3637">
        <v>0</v>
      </c>
      <c r="Q3637" s="5" t="e">
        <f>IF(AND(#REF!&gt;=table!$C$6,#REF!&lt;= table!$D$6),-1,IF(AND(#REF!&gt;=table!$E$6,#REF!&lt;=table!$F$6),1,0))</f>
        <v>#REF!</v>
      </c>
      <c r="R3637" s="5" t="e">
        <f>IF(AND(#REF!&gt;=table!$C$7,#REF!&lt;= table!$D$7),-1,IF(AND(#REF!&gt;=table!$E$7,#REF!&lt;=table!$F$7),1,0))</f>
        <v>#REF!</v>
      </c>
      <c r="S3637" s="5" t="e">
        <f>IF(AND(#REF!&gt;=table!$C$8,#REF!&lt;= table!$D$8),-1,IF(AND(#REF!&gt;=table!$E$8,#REF!&lt;=table!$F$8),1,0))</f>
        <v>#REF!</v>
      </c>
      <c r="T3637" s="5"/>
      <c r="U3637" s="5" t="e">
        <f>IF(AND(#REF!&gt;=table!$C$10,#REF!&lt;= table!$D$10),-1,IF(AND(#REF!&gt;=table!$E$10,#REF!&lt;=table!$F$10),1,0))</f>
        <v>#REF!</v>
      </c>
      <c r="V3637" s="5" t="e">
        <f>IF(AND(#REF!&gt;=table!$C$11,#REF!&lt;= table!$D$11),-1,IF(AND(#REF!&gt;=table!$E$11,#REF!&lt;=table!$F$11),1,0))</f>
        <v>#REF!</v>
      </c>
      <c r="W3637" s="5" t="e">
        <f>CONCATENATE(dados[[#This Row],[fator1]],dados[[#This Row],[fator5]],dados[[#This Row],[fator6]])</f>
        <v>#REF!</v>
      </c>
    </row>
    <row r="3638" spans="1:23">
      <c r="A3638" t="s">
        <v>17</v>
      </c>
      <c r="B3638">
        <v>587700</v>
      </c>
      <c r="C3638">
        <v>27</v>
      </c>
      <c r="D3638">
        <v>33</v>
      </c>
      <c r="E3638">
        <v>125</v>
      </c>
      <c r="F3638">
        <v>3</v>
      </c>
      <c r="G3638">
        <v>18</v>
      </c>
      <c r="H3638">
        <v>18</v>
      </c>
      <c r="I3638">
        <v>1062</v>
      </c>
      <c r="J3638">
        <v>0</v>
      </c>
      <c r="K3638">
        <v>3.45</v>
      </c>
      <c r="L3638">
        <v>7</v>
      </c>
      <c r="M3638">
        <v>111.3</v>
      </c>
      <c r="N3638">
        <v>11.450000000000001</v>
      </c>
      <c r="O3638">
        <v>1666</v>
      </c>
      <c r="P3638">
        <v>0</v>
      </c>
      <c r="Q3638" s="5" t="e">
        <f>IF(AND(#REF!&gt;=table!$C$6,#REF!&lt;= table!$D$6),-1,IF(AND(#REF!&gt;=table!$E$6,#REF!&lt;=table!$F$6),1,0))</f>
        <v>#REF!</v>
      </c>
      <c r="R3638" s="5" t="e">
        <f>IF(AND(#REF!&gt;=table!$C$7,#REF!&lt;= table!$D$7),-1,IF(AND(#REF!&gt;=table!$E$7,#REF!&lt;=table!$F$7),1,0))</f>
        <v>#REF!</v>
      </c>
      <c r="S3638" s="5" t="e">
        <f>IF(AND(#REF!&gt;=table!$C$8,#REF!&lt;= table!$D$8),-1,IF(AND(#REF!&gt;=table!$E$8,#REF!&lt;=table!$F$8),1,0))</f>
        <v>#REF!</v>
      </c>
      <c r="T3638" s="5"/>
      <c r="U3638" s="5" t="e">
        <f>IF(AND(#REF!&gt;=table!$C$10,#REF!&lt;= table!$D$10),-1,IF(AND(#REF!&gt;=table!$E$10,#REF!&lt;=table!$F$10),1,0))</f>
        <v>#REF!</v>
      </c>
      <c r="V3638" s="5" t="e">
        <f>IF(AND(#REF!&gt;=table!$C$11,#REF!&lt;= table!$D$11),-1,IF(AND(#REF!&gt;=table!$E$11,#REF!&lt;=table!$F$11),1,0))</f>
        <v>#REF!</v>
      </c>
      <c r="W3638" s="5" t="e">
        <f>CONCATENATE(dados[[#This Row],[fator1]],dados[[#This Row],[fator5]],dados[[#This Row],[fator6]])</f>
        <v>#REF!</v>
      </c>
    </row>
    <row r="3639" spans="1:23">
      <c r="A3639" t="s">
        <v>17</v>
      </c>
      <c r="B3639">
        <v>587702</v>
      </c>
      <c r="C3639">
        <v>15</v>
      </c>
      <c r="D3639">
        <v>23</v>
      </c>
      <c r="E3639">
        <v>155</v>
      </c>
      <c r="F3639">
        <v>4</v>
      </c>
      <c r="G3639">
        <v>30</v>
      </c>
      <c r="H3639">
        <v>25</v>
      </c>
      <c r="I3639">
        <v>84</v>
      </c>
      <c r="J3639">
        <v>0</v>
      </c>
      <c r="K3639">
        <v>2.4750000000000001</v>
      </c>
      <c r="L3639">
        <v>6.65</v>
      </c>
      <c r="M3639">
        <v>74.95</v>
      </c>
      <c r="N3639">
        <v>10.6</v>
      </c>
      <c r="O3639">
        <v>1666</v>
      </c>
      <c r="P3639">
        <v>1085</v>
      </c>
      <c r="Q3639" s="5" t="e">
        <f>IF(AND(#REF!&gt;=table!$C$6,#REF!&lt;= table!$D$6),-1,IF(AND(#REF!&gt;=table!$E$6,#REF!&lt;=table!$F$6),1,0))</f>
        <v>#REF!</v>
      </c>
      <c r="R3639" s="5" t="e">
        <f>IF(AND(#REF!&gt;=table!$C$7,#REF!&lt;= table!$D$7),-1,IF(AND(#REF!&gt;=table!$E$7,#REF!&lt;=table!$F$7),1,0))</f>
        <v>#REF!</v>
      </c>
      <c r="S3639" s="5" t="e">
        <f>IF(AND(#REF!&gt;=table!$C$8,#REF!&lt;= table!$D$8),-1,IF(AND(#REF!&gt;=table!$E$8,#REF!&lt;=table!$F$8),1,0))</f>
        <v>#REF!</v>
      </c>
      <c r="T3639" s="5"/>
      <c r="U3639" s="5" t="e">
        <f>IF(AND(#REF!&gt;=table!$C$10,#REF!&lt;= table!$D$10),-1,IF(AND(#REF!&gt;=table!$E$10,#REF!&lt;=table!$F$10),1,0))</f>
        <v>#REF!</v>
      </c>
      <c r="V3639" s="5" t="e">
        <f>IF(AND(#REF!&gt;=table!$C$11,#REF!&lt;= table!$D$11),-1,IF(AND(#REF!&gt;=table!$E$11,#REF!&lt;=table!$F$11),1,0))</f>
        <v>#REF!</v>
      </c>
      <c r="W3639" s="5" t="e">
        <f>CONCATENATE(dados[[#This Row],[fator1]],dados[[#This Row],[fator5]],dados[[#This Row],[fator6]])</f>
        <v>#REF!</v>
      </c>
    </row>
    <row r="3640" spans="1:23">
      <c r="A3640" t="s">
        <v>17</v>
      </c>
      <c r="B3640">
        <v>587706</v>
      </c>
      <c r="C3640">
        <v>10</v>
      </c>
      <c r="D3640">
        <v>25</v>
      </c>
      <c r="E3640">
        <v>40</v>
      </c>
      <c r="F3640">
        <v>10</v>
      </c>
      <c r="G3640">
        <v>110</v>
      </c>
      <c r="H3640">
        <v>50</v>
      </c>
      <c r="I3640">
        <v>69</v>
      </c>
      <c r="J3640">
        <v>0</v>
      </c>
      <c r="K3640">
        <v>3.02</v>
      </c>
      <c r="L3640">
        <v>7.1000000000000005</v>
      </c>
      <c r="M3640">
        <v>30.8</v>
      </c>
      <c r="N3640">
        <v>27.75</v>
      </c>
      <c r="O3640">
        <v>1664</v>
      </c>
      <c r="P3640">
        <v>0</v>
      </c>
      <c r="Q3640" s="5" t="e">
        <f>IF(AND(#REF!&gt;=table!$C$6,#REF!&lt;= table!$D$6),-1,IF(AND(#REF!&gt;=table!$E$6,#REF!&lt;=table!$F$6),1,0))</f>
        <v>#REF!</v>
      </c>
      <c r="R3640" s="5" t="e">
        <f>IF(AND(#REF!&gt;=table!$C$7,#REF!&lt;= table!$D$7),-1,IF(AND(#REF!&gt;=table!$E$7,#REF!&lt;=table!$F$7),1,0))</f>
        <v>#REF!</v>
      </c>
      <c r="S3640" s="5" t="e">
        <f>IF(AND(#REF!&gt;=table!$C$8,#REF!&lt;= table!$D$8),-1,IF(AND(#REF!&gt;=table!$E$8,#REF!&lt;=table!$F$8),1,0))</f>
        <v>#REF!</v>
      </c>
      <c r="T3640" s="5"/>
      <c r="U3640" s="5" t="e">
        <f>IF(AND(#REF!&gt;=table!$C$10,#REF!&lt;= table!$D$10),-1,IF(AND(#REF!&gt;=table!$E$10,#REF!&lt;=table!$F$10),1,0))</f>
        <v>#REF!</v>
      </c>
      <c r="V3640" s="5" t="e">
        <f>IF(AND(#REF!&gt;=table!$C$11,#REF!&lt;= table!$D$11),-1,IF(AND(#REF!&gt;=table!$E$11,#REF!&lt;=table!$F$11),1,0))</f>
        <v>#REF!</v>
      </c>
      <c r="W3640" s="5" t="e">
        <f>CONCATENATE(dados[[#This Row],[fator1]],dados[[#This Row],[fator5]],dados[[#This Row],[fator6]])</f>
        <v>#REF!</v>
      </c>
    </row>
    <row r="3641" spans="1:23">
      <c r="A3641" t="s">
        <v>16</v>
      </c>
      <c r="B3641">
        <v>587708</v>
      </c>
      <c r="C3641">
        <v>0.15</v>
      </c>
      <c r="D3641">
        <v>35</v>
      </c>
      <c r="E3641">
        <v>15</v>
      </c>
      <c r="F3641">
        <v>10</v>
      </c>
      <c r="G3641">
        <v>0</v>
      </c>
      <c r="H3641">
        <v>12</v>
      </c>
      <c r="I3641">
        <v>37</v>
      </c>
      <c r="J3641">
        <v>0</v>
      </c>
      <c r="K3641">
        <v>3.8200000000000003</v>
      </c>
      <c r="L3641">
        <v>5.4</v>
      </c>
      <c r="M3641">
        <v>4.8</v>
      </c>
      <c r="N3641">
        <v>9.4</v>
      </c>
      <c r="O3641">
        <v>1660</v>
      </c>
      <c r="P3641">
        <v>1025</v>
      </c>
      <c r="Q3641" s="5" t="e">
        <f>IF(AND(#REF!&gt;=table!$C$6,#REF!&lt;= table!$D$6),-1,IF(AND(#REF!&gt;=table!$E$6,#REF!&lt;=table!$F$6),1,0))</f>
        <v>#REF!</v>
      </c>
      <c r="R3641" s="5" t="e">
        <f>IF(AND(#REF!&gt;=table!$C$7,#REF!&lt;= table!$D$7),-1,IF(AND(#REF!&gt;=table!$E$7,#REF!&lt;=table!$F$7),1,0))</f>
        <v>#REF!</v>
      </c>
      <c r="S3641" s="5" t="e">
        <f>IF(AND(#REF!&gt;=table!$C$8,#REF!&lt;= table!$D$8),-1,IF(AND(#REF!&gt;=table!$E$8,#REF!&lt;=table!$F$8),1,0))</f>
        <v>#REF!</v>
      </c>
      <c r="T3641" s="5"/>
      <c r="U3641" s="5" t="e">
        <f>IF(AND(#REF!&gt;=table!$C$10,#REF!&lt;= table!$D$10),-1,IF(AND(#REF!&gt;=table!$E$10,#REF!&lt;=table!$F$10),1,0))</f>
        <v>#REF!</v>
      </c>
      <c r="V3641" s="5" t="e">
        <f>IF(AND(#REF!&gt;=table!$C$11,#REF!&lt;= table!$D$11),-1,IF(AND(#REF!&gt;=table!$E$11,#REF!&lt;=table!$F$11),1,0))</f>
        <v>#REF!</v>
      </c>
      <c r="W3641" s="5" t="e">
        <f>CONCATENATE(dados[[#This Row],[fator1]],dados[[#This Row],[fator5]],dados[[#This Row],[fator6]])</f>
        <v>#REF!</v>
      </c>
    </row>
    <row r="3642" spans="1:23">
      <c r="A3642" t="s">
        <v>16</v>
      </c>
      <c r="B3642">
        <v>587719</v>
      </c>
      <c r="C3642">
        <v>4</v>
      </c>
      <c r="D3642">
        <v>40</v>
      </c>
      <c r="E3642">
        <v>21</v>
      </c>
      <c r="F3642">
        <v>20</v>
      </c>
      <c r="G3642">
        <v>0</v>
      </c>
      <c r="H3642">
        <v>25</v>
      </c>
      <c r="I3642">
        <v>1313</v>
      </c>
      <c r="J3642">
        <v>0</v>
      </c>
      <c r="K3642">
        <v>4.915</v>
      </c>
      <c r="L3642">
        <v>8.4499999999999993</v>
      </c>
      <c r="M3642">
        <v>19.75</v>
      </c>
      <c r="N3642">
        <v>10.700000000000001</v>
      </c>
      <c r="O3642">
        <v>1638</v>
      </c>
      <c r="P3642">
        <v>543</v>
      </c>
      <c r="Q3642" s="5" t="e">
        <f>IF(AND(#REF!&gt;=table!$C$6,#REF!&lt;= table!$D$6),-1,IF(AND(#REF!&gt;=table!$E$6,#REF!&lt;=table!$F$6),1,0))</f>
        <v>#REF!</v>
      </c>
      <c r="R3642" s="5" t="e">
        <f>IF(AND(#REF!&gt;=table!$C$7,#REF!&lt;= table!$D$7),-1,IF(AND(#REF!&gt;=table!$E$7,#REF!&lt;=table!$F$7),1,0))</f>
        <v>#REF!</v>
      </c>
      <c r="S3642" s="5" t="e">
        <f>IF(AND(#REF!&gt;=table!$C$8,#REF!&lt;= table!$D$8),-1,IF(AND(#REF!&gt;=table!$E$8,#REF!&lt;=table!$F$8),1,0))</f>
        <v>#REF!</v>
      </c>
      <c r="T3642" s="5"/>
      <c r="U3642" s="5" t="e">
        <f>IF(AND(#REF!&gt;=table!$C$10,#REF!&lt;= table!$D$10),-1,IF(AND(#REF!&gt;=table!$E$10,#REF!&lt;=table!$F$10),1,0))</f>
        <v>#REF!</v>
      </c>
      <c r="V3642" s="5" t="e">
        <f>IF(AND(#REF!&gt;=table!$C$11,#REF!&lt;= table!$D$11),-1,IF(AND(#REF!&gt;=table!$E$11,#REF!&lt;=table!$F$11),1,0))</f>
        <v>#REF!</v>
      </c>
      <c r="W3642" s="5" t="e">
        <f>CONCATENATE(dados[[#This Row],[fator1]],dados[[#This Row],[fator5]],dados[[#This Row],[fator6]])</f>
        <v>#REF!</v>
      </c>
    </row>
    <row r="3643" spans="1:23">
      <c r="A3643" t="s">
        <v>16</v>
      </c>
      <c r="B3643">
        <v>587725</v>
      </c>
      <c r="C3643">
        <v>0.15</v>
      </c>
      <c r="D3643">
        <v>40</v>
      </c>
      <c r="E3643">
        <v>10</v>
      </c>
      <c r="F3643">
        <v>15</v>
      </c>
      <c r="G3643">
        <v>0</v>
      </c>
      <c r="H3643">
        <v>15</v>
      </c>
      <c r="I3643">
        <v>1245</v>
      </c>
      <c r="J3643">
        <v>0</v>
      </c>
      <c r="K3643">
        <v>4.8</v>
      </c>
      <c r="L3643">
        <v>9.4</v>
      </c>
      <c r="M3643">
        <v>8.85</v>
      </c>
      <c r="N3643">
        <v>8.5</v>
      </c>
      <c r="O3643">
        <v>1669</v>
      </c>
      <c r="P3643">
        <v>0</v>
      </c>
      <c r="Q3643" s="5" t="e">
        <f>IF(AND(#REF!&gt;=table!$C$6,#REF!&lt;= table!$D$6),-1,IF(AND(#REF!&gt;=table!$E$6,#REF!&lt;=table!$F$6),1,0))</f>
        <v>#REF!</v>
      </c>
      <c r="R3643" s="5" t="e">
        <f>IF(AND(#REF!&gt;=table!$C$7,#REF!&lt;= table!$D$7),-1,IF(AND(#REF!&gt;=table!$E$7,#REF!&lt;=table!$F$7),1,0))</f>
        <v>#REF!</v>
      </c>
      <c r="S3643" s="5" t="e">
        <f>IF(AND(#REF!&gt;=table!$C$8,#REF!&lt;= table!$D$8),-1,IF(AND(#REF!&gt;=table!$E$8,#REF!&lt;=table!$F$8),1,0))</f>
        <v>#REF!</v>
      </c>
      <c r="T3643" s="5"/>
      <c r="U3643" s="5" t="e">
        <f>IF(AND(#REF!&gt;=table!$C$10,#REF!&lt;= table!$D$10),-1,IF(AND(#REF!&gt;=table!$E$10,#REF!&lt;=table!$F$10),1,0))</f>
        <v>#REF!</v>
      </c>
      <c r="V3643" s="5" t="e">
        <f>IF(AND(#REF!&gt;=table!$C$11,#REF!&lt;= table!$D$11),-1,IF(AND(#REF!&gt;=table!$E$11,#REF!&lt;=table!$F$11),1,0))</f>
        <v>#REF!</v>
      </c>
      <c r="W3643" s="5" t="e">
        <f>CONCATENATE(dados[[#This Row],[fator1]],dados[[#This Row],[fator5]],dados[[#This Row],[fator6]])</f>
        <v>#REF!</v>
      </c>
    </row>
    <row r="3644" spans="1:23">
      <c r="A3644" t="s">
        <v>16</v>
      </c>
      <c r="B3644">
        <v>587732</v>
      </c>
      <c r="C3644">
        <v>0.15</v>
      </c>
      <c r="D3644">
        <v>40</v>
      </c>
      <c r="E3644">
        <v>10</v>
      </c>
      <c r="F3644">
        <v>15</v>
      </c>
      <c r="G3644">
        <v>0</v>
      </c>
      <c r="H3644">
        <v>15</v>
      </c>
      <c r="I3644">
        <v>1135</v>
      </c>
      <c r="J3644">
        <v>0</v>
      </c>
      <c r="K3644">
        <v>3.5750000000000002</v>
      </c>
      <c r="L3644">
        <v>7.95</v>
      </c>
      <c r="M3644">
        <v>7.45</v>
      </c>
      <c r="N3644">
        <v>7.4</v>
      </c>
      <c r="O3644">
        <v>1636</v>
      </c>
      <c r="P3644">
        <v>0</v>
      </c>
      <c r="Q3644" s="5" t="e">
        <f>IF(AND(#REF!&gt;=table!$C$6,#REF!&lt;= table!$D$6),-1,IF(AND(#REF!&gt;=table!$E$6,#REF!&lt;=table!$F$6),1,0))</f>
        <v>#REF!</v>
      </c>
      <c r="R3644" s="5" t="e">
        <f>IF(AND(#REF!&gt;=table!$C$7,#REF!&lt;= table!$D$7),-1,IF(AND(#REF!&gt;=table!$E$7,#REF!&lt;=table!$F$7),1,0))</f>
        <v>#REF!</v>
      </c>
      <c r="S3644" s="5" t="e">
        <f>IF(AND(#REF!&gt;=table!$C$8,#REF!&lt;= table!$D$8),-1,IF(AND(#REF!&gt;=table!$E$8,#REF!&lt;=table!$F$8),1,0))</f>
        <v>#REF!</v>
      </c>
      <c r="T3644" s="5"/>
      <c r="U3644" s="5" t="e">
        <f>IF(AND(#REF!&gt;=table!$C$10,#REF!&lt;= table!$D$10),-1,IF(AND(#REF!&gt;=table!$E$10,#REF!&lt;=table!$F$10),1,0))</f>
        <v>#REF!</v>
      </c>
      <c r="V3644" s="5" t="e">
        <f>IF(AND(#REF!&gt;=table!$C$11,#REF!&lt;= table!$D$11),-1,IF(AND(#REF!&gt;=table!$E$11,#REF!&lt;=table!$F$11),1,0))</f>
        <v>#REF!</v>
      </c>
      <c r="W3644" s="5" t="e">
        <f>CONCATENATE(dados[[#This Row],[fator1]],dados[[#This Row],[fator5]],dados[[#This Row],[fator6]])</f>
        <v>#REF!</v>
      </c>
    </row>
    <row r="3645" spans="1:23">
      <c r="A3645" t="s">
        <v>17</v>
      </c>
      <c r="B3645">
        <v>587733</v>
      </c>
      <c r="C3645">
        <v>16</v>
      </c>
      <c r="D3645">
        <v>33</v>
      </c>
      <c r="E3645">
        <v>150</v>
      </c>
      <c r="F3645">
        <v>10</v>
      </c>
      <c r="G3645">
        <v>15</v>
      </c>
      <c r="H3645">
        <v>25</v>
      </c>
      <c r="I3645">
        <v>1455</v>
      </c>
      <c r="J3645">
        <v>0</v>
      </c>
      <c r="K3645">
        <v>6.09</v>
      </c>
      <c r="L3645">
        <v>12.865</v>
      </c>
      <c r="M3645">
        <v>128</v>
      </c>
      <c r="N3645">
        <v>15.65</v>
      </c>
      <c r="O3645">
        <v>1689</v>
      </c>
      <c r="P3645">
        <v>526</v>
      </c>
      <c r="Q3645" s="5" t="e">
        <f>IF(AND(#REF!&gt;=table!$C$6,#REF!&lt;= table!$D$6),-1,IF(AND(#REF!&gt;=table!$E$6,#REF!&lt;=table!$F$6),1,0))</f>
        <v>#REF!</v>
      </c>
      <c r="R3645" s="5" t="e">
        <f>IF(AND(#REF!&gt;=table!$C$7,#REF!&lt;= table!$D$7),-1,IF(AND(#REF!&gt;=table!$E$7,#REF!&lt;=table!$F$7),1,0))</f>
        <v>#REF!</v>
      </c>
      <c r="S3645" s="5" t="e">
        <f>IF(AND(#REF!&gt;=table!$C$8,#REF!&lt;= table!$D$8),-1,IF(AND(#REF!&gt;=table!$E$8,#REF!&lt;=table!$F$8),1,0))</f>
        <v>#REF!</v>
      </c>
      <c r="T3645" s="5"/>
      <c r="U3645" s="5" t="e">
        <f>IF(AND(#REF!&gt;=table!$C$10,#REF!&lt;= table!$D$10),-1,IF(AND(#REF!&gt;=table!$E$10,#REF!&lt;=table!$F$10),1,0))</f>
        <v>#REF!</v>
      </c>
      <c r="V3645" s="5" t="e">
        <f>IF(AND(#REF!&gt;=table!$C$11,#REF!&lt;= table!$D$11),-1,IF(AND(#REF!&gt;=table!$E$11,#REF!&lt;=table!$F$11),1,0))</f>
        <v>#REF!</v>
      </c>
      <c r="W3645" s="5" t="e">
        <f>CONCATENATE(dados[[#This Row],[fator1]],dados[[#This Row],[fator5]],dados[[#This Row],[fator6]])</f>
        <v>#REF!</v>
      </c>
    </row>
    <row r="3646" spans="1:23">
      <c r="A3646" t="s">
        <v>17</v>
      </c>
      <c r="B3646">
        <v>587734</v>
      </c>
      <c r="C3646">
        <v>18</v>
      </c>
      <c r="D3646">
        <v>23</v>
      </c>
      <c r="E3646">
        <v>145</v>
      </c>
      <c r="F3646">
        <v>9</v>
      </c>
      <c r="G3646">
        <v>30</v>
      </c>
      <c r="H3646">
        <v>25</v>
      </c>
      <c r="I3646">
        <v>928</v>
      </c>
      <c r="J3646">
        <v>0</v>
      </c>
      <c r="K3646">
        <v>6.0950000000000006</v>
      </c>
      <c r="L3646">
        <v>17.5</v>
      </c>
      <c r="M3646">
        <v>137.75</v>
      </c>
      <c r="N3646">
        <v>17.650000000000002</v>
      </c>
      <c r="O3646">
        <v>1683</v>
      </c>
      <c r="P3646">
        <v>486</v>
      </c>
      <c r="Q3646" s="5" t="e">
        <f>IF(AND(#REF!&gt;=table!$C$6,#REF!&lt;= table!$D$6),-1,IF(AND(#REF!&gt;=table!$E$6,#REF!&lt;=table!$F$6),1,0))</f>
        <v>#REF!</v>
      </c>
      <c r="R3646" s="5" t="e">
        <f>IF(AND(#REF!&gt;=table!$C$7,#REF!&lt;= table!$D$7),-1,IF(AND(#REF!&gt;=table!$E$7,#REF!&lt;=table!$F$7),1,0))</f>
        <v>#REF!</v>
      </c>
      <c r="S3646" s="5" t="e">
        <f>IF(AND(#REF!&gt;=table!$C$8,#REF!&lt;= table!$D$8),-1,IF(AND(#REF!&gt;=table!$E$8,#REF!&lt;=table!$F$8),1,0))</f>
        <v>#REF!</v>
      </c>
      <c r="T3646" s="5"/>
      <c r="U3646" s="5" t="e">
        <f>IF(AND(#REF!&gt;=table!$C$10,#REF!&lt;= table!$D$10),-1,IF(AND(#REF!&gt;=table!$E$10,#REF!&lt;=table!$F$10),1,0))</f>
        <v>#REF!</v>
      </c>
      <c r="V3646" s="5" t="e">
        <f>IF(AND(#REF!&gt;=table!$C$11,#REF!&lt;= table!$D$11),-1,IF(AND(#REF!&gt;=table!$E$11,#REF!&lt;=table!$F$11),1,0))</f>
        <v>#REF!</v>
      </c>
      <c r="W3646" s="5" t="e">
        <f>CONCATENATE(dados[[#This Row],[fator1]],dados[[#This Row],[fator5]],dados[[#This Row],[fator6]])</f>
        <v>#REF!</v>
      </c>
    </row>
    <row r="3647" spans="1:23">
      <c r="A3647" t="s">
        <v>17</v>
      </c>
      <c r="B3647">
        <v>587740</v>
      </c>
      <c r="C3647">
        <v>18</v>
      </c>
      <c r="D3647">
        <v>23</v>
      </c>
      <c r="E3647">
        <v>145</v>
      </c>
      <c r="F3647">
        <v>9</v>
      </c>
      <c r="G3647">
        <v>30</v>
      </c>
      <c r="H3647">
        <v>25</v>
      </c>
      <c r="I3647">
        <v>889</v>
      </c>
      <c r="J3647">
        <v>0</v>
      </c>
      <c r="K3647">
        <v>3.9850000000000003</v>
      </c>
      <c r="L3647">
        <v>7.65</v>
      </c>
      <c r="M3647">
        <v>135.1</v>
      </c>
      <c r="N3647">
        <v>10.4</v>
      </c>
      <c r="O3647">
        <v>1653</v>
      </c>
      <c r="P3647">
        <v>0</v>
      </c>
      <c r="Q3647" s="5" t="e">
        <f>IF(AND(#REF!&gt;=table!$C$6,#REF!&lt;= table!$D$6),-1,IF(AND(#REF!&gt;=table!$E$6,#REF!&lt;=table!$F$6),1,0))</f>
        <v>#REF!</v>
      </c>
      <c r="R3647" s="5" t="e">
        <f>IF(AND(#REF!&gt;=table!$C$7,#REF!&lt;= table!$D$7),-1,IF(AND(#REF!&gt;=table!$E$7,#REF!&lt;=table!$F$7),1,0))</f>
        <v>#REF!</v>
      </c>
      <c r="S3647" s="5" t="e">
        <f>IF(AND(#REF!&gt;=table!$C$8,#REF!&lt;= table!$D$8),-1,IF(AND(#REF!&gt;=table!$E$8,#REF!&lt;=table!$F$8),1,0))</f>
        <v>#REF!</v>
      </c>
      <c r="T3647" s="5"/>
      <c r="U3647" s="5" t="e">
        <f>IF(AND(#REF!&gt;=table!$C$10,#REF!&lt;= table!$D$10),-1,IF(AND(#REF!&gt;=table!$E$10,#REF!&lt;=table!$F$10),1,0))</f>
        <v>#REF!</v>
      </c>
      <c r="V3647" s="5" t="e">
        <f>IF(AND(#REF!&gt;=table!$C$11,#REF!&lt;= table!$D$11),-1,IF(AND(#REF!&gt;=table!$E$11,#REF!&lt;=table!$F$11),1,0))</f>
        <v>#REF!</v>
      </c>
      <c r="W3647" s="5" t="e">
        <f>CONCATENATE(dados[[#This Row],[fator1]],dados[[#This Row],[fator5]],dados[[#This Row],[fator6]])</f>
        <v>#REF!</v>
      </c>
    </row>
    <row r="3648" spans="1:23">
      <c r="A3648" t="s">
        <v>17</v>
      </c>
      <c r="B3648">
        <v>587742</v>
      </c>
      <c r="C3648">
        <v>16</v>
      </c>
      <c r="D3648">
        <v>33</v>
      </c>
      <c r="E3648">
        <v>150</v>
      </c>
      <c r="F3648">
        <v>8</v>
      </c>
      <c r="G3648">
        <v>15</v>
      </c>
      <c r="H3648">
        <v>25</v>
      </c>
      <c r="I3648">
        <v>1384</v>
      </c>
      <c r="J3648">
        <v>0</v>
      </c>
      <c r="K3648">
        <v>4.0150000000000006</v>
      </c>
      <c r="L3648">
        <v>10.165000000000001</v>
      </c>
      <c r="M3648">
        <v>128.69</v>
      </c>
      <c r="N3648">
        <v>10.41</v>
      </c>
      <c r="O3648">
        <v>1673</v>
      </c>
      <c r="P3648">
        <v>731</v>
      </c>
      <c r="Q3648" s="5" t="e">
        <f>IF(AND(#REF!&gt;=table!$C$6,#REF!&lt;= table!$D$6),-1,IF(AND(#REF!&gt;=table!$E$6,#REF!&lt;=table!$F$6),1,0))</f>
        <v>#REF!</v>
      </c>
      <c r="R3648" s="5" t="e">
        <f>IF(AND(#REF!&gt;=table!$C$7,#REF!&lt;= table!$D$7),-1,IF(AND(#REF!&gt;=table!$E$7,#REF!&lt;=table!$F$7),1,0))</f>
        <v>#REF!</v>
      </c>
      <c r="S3648" s="5" t="e">
        <f>IF(AND(#REF!&gt;=table!$C$8,#REF!&lt;= table!$D$8),-1,IF(AND(#REF!&gt;=table!$E$8,#REF!&lt;=table!$F$8),1,0))</f>
        <v>#REF!</v>
      </c>
      <c r="T3648" s="5"/>
      <c r="U3648" s="5" t="e">
        <f>IF(AND(#REF!&gt;=table!$C$10,#REF!&lt;= table!$D$10),-1,IF(AND(#REF!&gt;=table!$E$10,#REF!&lt;=table!$F$10),1,0))</f>
        <v>#REF!</v>
      </c>
      <c r="V3648" s="5" t="e">
        <f>IF(AND(#REF!&gt;=table!$C$11,#REF!&lt;= table!$D$11),-1,IF(AND(#REF!&gt;=table!$E$11,#REF!&lt;=table!$F$11),1,0))</f>
        <v>#REF!</v>
      </c>
      <c r="W3648" s="5" t="e">
        <f>CONCATENATE(dados[[#This Row],[fator1]],dados[[#This Row],[fator5]],dados[[#This Row],[fator6]])</f>
        <v>#REF!</v>
      </c>
    </row>
    <row r="3649" spans="1:23">
      <c r="A3649" t="s">
        <v>17</v>
      </c>
      <c r="B3649">
        <v>587743</v>
      </c>
      <c r="C3649">
        <v>14</v>
      </c>
      <c r="D3649">
        <v>25</v>
      </c>
      <c r="E3649">
        <v>130</v>
      </c>
      <c r="F3649">
        <v>9</v>
      </c>
      <c r="G3649">
        <v>110</v>
      </c>
      <c r="H3649">
        <v>50</v>
      </c>
      <c r="I3649">
        <v>680</v>
      </c>
      <c r="J3649">
        <v>0</v>
      </c>
      <c r="K3649">
        <v>4.2149999999999999</v>
      </c>
      <c r="L3649">
        <v>8.1999999999999993</v>
      </c>
      <c r="M3649">
        <v>121.13500000000001</v>
      </c>
      <c r="N3649">
        <v>37.29</v>
      </c>
      <c r="O3649">
        <v>1669</v>
      </c>
      <c r="P3649">
        <v>0</v>
      </c>
      <c r="Q3649" s="5" t="e">
        <f>IF(AND(#REF!&gt;=table!$C$6,#REF!&lt;= table!$D$6),-1,IF(AND(#REF!&gt;=table!$E$6,#REF!&lt;=table!$F$6),1,0))</f>
        <v>#REF!</v>
      </c>
      <c r="R3649" s="5" t="e">
        <f>IF(AND(#REF!&gt;=table!$C$7,#REF!&lt;= table!$D$7),-1,IF(AND(#REF!&gt;=table!$E$7,#REF!&lt;=table!$F$7),1,0))</f>
        <v>#REF!</v>
      </c>
      <c r="S3649" s="5" t="e">
        <f>IF(AND(#REF!&gt;=table!$C$8,#REF!&lt;= table!$D$8),-1,IF(AND(#REF!&gt;=table!$E$8,#REF!&lt;=table!$F$8),1,0))</f>
        <v>#REF!</v>
      </c>
      <c r="T3649" s="5"/>
      <c r="U3649" s="5" t="e">
        <f>IF(AND(#REF!&gt;=table!$C$10,#REF!&lt;= table!$D$10),-1,IF(AND(#REF!&gt;=table!$E$10,#REF!&lt;=table!$F$10),1,0))</f>
        <v>#REF!</v>
      </c>
      <c r="V3649" s="5" t="e">
        <f>IF(AND(#REF!&gt;=table!$C$11,#REF!&lt;= table!$D$11),-1,IF(AND(#REF!&gt;=table!$E$11,#REF!&lt;=table!$F$11),1,0))</f>
        <v>#REF!</v>
      </c>
      <c r="W3649" s="5" t="e">
        <f>CONCATENATE(dados[[#This Row],[fator1]],dados[[#This Row],[fator5]],dados[[#This Row],[fator6]])</f>
        <v>#REF!</v>
      </c>
    </row>
    <row r="3650" spans="1:23">
      <c r="A3650" t="s">
        <v>17</v>
      </c>
      <c r="B3650">
        <v>587744</v>
      </c>
      <c r="C3650">
        <v>14</v>
      </c>
      <c r="D3650">
        <v>25</v>
      </c>
      <c r="E3650">
        <v>130</v>
      </c>
      <c r="F3650">
        <v>9</v>
      </c>
      <c r="G3650">
        <v>110</v>
      </c>
      <c r="H3650">
        <v>50</v>
      </c>
      <c r="I3650">
        <v>1112</v>
      </c>
      <c r="J3650">
        <v>570</v>
      </c>
      <c r="K3650">
        <v>2.34</v>
      </c>
      <c r="L3650">
        <v>8.1999999999999993</v>
      </c>
      <c r="M3650">
        <v>114.7</v>
      </c>
      <c r="N3650">
        <v>55.2</v>
      </c>
      <c r="O3650">
        <v>1649</v>
      </c>
      <c r="P3650">
        <v>0</v>
      </c>
      <c r="Q3650" s="5" t="e">
        <f>IF(AND(#REF!&gt;=table!$C$6,#REF!&lt;= table!$D$6),-1,IF(AND(#REF!&gt;=table!$E$6,#REF!&lt;=table!$F$6),1,0))</f>
        <v>#REF!</v>
      </c>
      <c r="R3650" s="5" t="e">
        <f>IF(AND(#REF!&gt;=table!$C$7,#REF!&lt;= table!$D$7),-1,IF(AND(#REF!&gt;=table!$E$7,#REF!&lt;=table!$F$7),1,0))</f>
        <v>#REF!</v>
      </c>
      <c r="S3650" s="5" t="e">
        <f>IF(AND(#REF!&gt;=table!$C$8,#REF!&lt;= table!$D$8),-1,IF(AND(#REF!&gt;=table!$E$8,#REF!&lt;=table!$F$8),1,0))</f>
        <v>#REF!</v>
      </c>
      <c r="T3650" s="5"/>
      <c r="U3650" s="5" t="e">
        <f>IF(AND(#REF!&gt;=table!$C$10,#REF!&lt;= table!$D$10),-1,IF(AND(#REF!&gt;=table!$E$10,#REF!&lt;=table!$F$10),1,0))</f>
        <v>#REF!</v>
      </c>
      <c r="V3650" s="5" t="e">
        <f>IF(AND(#REF!&gt;=table!$C$11,#REF!&lt;= table!$D$11),-1,IF(AND(#REF!&gt;=table!$E$11,#REF!&lt;=table!$F$11),1,0))</f>
        <v>#REF!</v>
      </c>
      <c r="W3650" s="5" t="e">
        <f>CONCATENATE(dados[[#This Row],[fator1]],dados[[#This Row],[fator5]],dados[[#This Row],[fator6]])</f>
        <v>#REF!</v>
      </c>
    </row>
    <row r="3651" spans="1:23">
      <c r="A3651" t="s">
        <v>17</v>
      </c>
      <c r="B3651">
        <v>587748</v>
      </c>
      <c r="C3651">
        <v>14</v>
      </c>
      <c r="D3651">
        <v>25</v>
      </c>
      <c r="E3651">
        <v>130</v>
      </c>
      <c r="F3651">
        <v>9</v>
      </c>
      <c r="G3651">
        <v>110</v>
      </c>
      <c r="H3651">
        <v>50</v>
      </c>
      <c r="I3651">
        <v>4</v>
      </c>
      <c r="J3651">
        <v>0</v>
      </c>
      <c r="K3651">
        <v>6.69</v>
      </c>
      <c r="L3651">
        <v>25</v>
      </c>
      <c r="M3651">
        <v>107.7</v>
      </c>
      <c r="N3651">
        <v>24.1</v>
      </c>
      <c r="O3651">
        <v>1692</v>
      </c>
      <c r="P3651">
        <v>0</v>
      </c>
      <c r="Q3651" s="5" t="e">
        <f>IF(AND(#REF!&gt;=table!$C$6,#REF!&lt;= table!$D$6),-1,IF(AND(#REF!&gt;=table!$E$6,#REF!&lt;=table!$F$6),1,0))</f>
        <v>#REF!</v>
      </c>
      <c r="R3651" s="5" t="e">
        <f>IF(AND(#REF!&gt;=table!$C$7,#REF!&lt;= table!$D$7),-1,IF(AND(#REF!&gt;=table!$E$7,#REF!&lt;=table!$F$7),1,0))</f>
        <v>#REF!</v>
      </c>
      <c r="S3651" s="5" t="e">
        <f>IF(AND(#REF!&gt;=table!$C$8,#REF!&lt;= table!$D$8),-1,IF(AND(#REF!&gt;=table!$E$8,#REF!&lt;=table!$F$8),1,0))</f>
        <v>#REF!</v>
      </c>
      <c r="T3651" s="5"/>
      <c r="U3651" s="5" t="e">
        <f>IF(AND(#REF!&gt;=table!$C$10,#REF!&lt;= table!$D$10),-1,IF(AND(#REF!&gt;=table!$E$10,#REF!&lt;=table!$F$10),1,0))</f>
        <v>#REF!</v>
      </c>
      <c r="V3651" s="5" t="e">
        <f>IF(AND(#REF!&gt;=table!$C$11,#REF!&lt;= table!$D$11),-1,IF(AND(#REF!&gt;=table!$E$11,#REF!&lt;=table!$F$11),1,0))</f>
        <v>#REF!</v>
      </c>
      <c r="W3651" s="5" t="e">
        <f>CONCATENATE(dados[[#This Row],[fator1]],dados[[#This Row],[fator5]],dados[[#This Row],[fator6]])</f>
        <v>#REF!</v>
      </c>
    </row>
    <row r="3652" spans="1:23">
      <c r="A3652" t="s">
        <v>17</v>
      </c>
      <c r="B3652">
        <v>587751</v>
      </c>
      <c r="C3652">
        <v>16</v>
      </c>
      <c r="D3652">
        <v>30</v>
      </c>
      <c r="E3652">
        <v>106</v>
      </c>
      <c r="F3652">
        <v>6</v>
      </c>
      <c r="G3652">
        <v>20</v>
      </c>
      <c r="H3652">
        <v>25</v>
      </c>
      <c r="I3652">
        <v>34</v>
      </c>
      <c r="J3652">
        <v>0</v>
      </c>
      <c r="K3652">
        <v>4.7549999999999999</v>
      </c>
      <c r="L3652">
        <v>15.35</v>
      </c>
      <c r="M3652">
        <v>97.995000000000005</v>
      </c>
      <c r="N3652">
        <v>16.440000000000001</v>
      </c>
      <c r="O3652">
        <v>1688</v>
      </c>
      <c r="P3652">
        <v>638</v>
      </c>
      <c r="Q3652" s="5" t="e">
        <f>IF(AND(#REF!&gt;=table!$C$6,#REF!&lt;= table!$D$6),-1,IF(AND(#REF!&gt;=table!$E$6,#REF!&lt;=table!$F$6),1,0))</f>
        <v>#REF!</v>
      </c>
      <c r="R3652" s="5" t="e">
        <f>IF(AND(#REF!&gt;=table!$C$7,#REF!&lt;= table!$D$7),-1,IF(AND(#REF!&gt;=table!$E$7,#REF!&lt;=table!$F$7),1,0))</f>
        <v>#REF!</v>
      </c>
      <c r="S3652" s="5" t="e">
        <f>IF(AND(#REF!&gt;=table!$C$8,#REF!&lt;= table!$D$8),-1,IF(AND(#REF!&gt;=table!$E$8,#REF!&lt;=table!$F$8),1,0))</f>
        <v>#REF!</v>
      </c>
      <c r="T3652" s="5"/>
      <c r="U3652" s="5" t="e">
        <f>IF(AND(#REF!&gt;=table!$C$10,#REF!&lt;= table!$D$10),-1,IF(AND(#REF!&gt;=table!$E$10,#REF!&lt;=table!$F$10),1,0))</f>
        <v>#REF!</v>
      </c>
      <c r="V3652" s="5" t="e">
        <f>IF(AND(#REF!&gt;=table!$C$11,#REF!&lt;= table!$D$11),-1,IF(AND(#REF!&gt;=table!$E$11,#REF!&lt;=table!$F$11),1,0))</f>
        <v>#REF!</v>
      </c>
      <c r="W3652" s="5" t="e">
        <f>CONCATENATE(dados[[#This Row],[fator1]],dados[[#This Row],[fator5]],dados[[#This Row],[fator6]])</f>
        <v>#REF!</v>
      </c>
    </row>
    <row r="3653" spans="1:23">
      <c r="A3653" t="s">
        <v>17</v>
      </c>
      <c r="B3653">
        <v>587753</v>
      </c>
      <c r="C3653">
        <v>16</v>
      </c>
      <c r="D3653">
        <v>23</v>
      </c>
      <c r="E3653">
        <v>145</v>
      </c>
      <c r="F3653">
        <v>9</v>
      </c>
      <c r="G3653">
        <v>30</v>
      </c>
      <c r="H3653">
        <v>25</v>
      </c>
      <c r="I3653">
        <v>1307</v>
      </c>
      <c r="J3653">
        <v>830</v>
      </c>
      <c r="K3653">
        <v>5.2050000000000001</v>
      </c>
      <c r="L3653">
        <v>7.2</v>
      </c>
      <c r="M3653">
        <v>128.35</v>
      </c>
      <c r="N3653">
        <v>12.05</v>
      </c>
      <c r="O3653">
        <v>1641</v>
      </c>
      <c r="P3653">
        <v>654</v>
      </c>
      <c r="Q3653" s="5" t="e">
        <f>IF(AND(#REF!&gt;=table!$C$6,#REF!&lt;= table!$D$6),-1,IF(AND(#REF!&gt;=table!$E$6,#REF!&lt;=table!$F$6),1,0))</f>
        <v>#REF!</v>
      </c>
      <c r="R3653" s="5" t="e">
        <f>IF(AND(#REF!&gt;=table!$C$7,#REF!&lt;= table!$D$7),-1,IF(AND(#REF!&gt;=table!$E$7,#REF!&lt;=table!$F$7),1,0))</f>
        <v>#REF!</v>
      </c>
      <c r="S3653" s="5" t="e">
        <f>IF(AND(#REF!&gt;=table!$C$8,#REF!&lt;= table!$D$8),-1,IF(AND(#REF!&gt;=table!$E$8,#REF!&lt;=table!$F$8),1,0))</f>
        <v>#REF!</v>
      </c>
      <c r="T3653" s="5"/>
      <c r="U3653" s="5" t="e">
        <f>IF(AND(#REF!&gt;=table!$C$10,#REF!&lt;= table!$D$10),-1,IF(AND(#REF!&gt;=table!$E$10,#REF!&lt;=table!$F$10),1,0))</f>
        <v>#REF!</v>
      </c>
      <c r="V3653" s="5" t="e">
        <f>IF(AND(#REF!&gt;=table!$C$11,#REF!&lt;= table!$D$11),-1,IF(AND(#REF!&gt;=table!$E$11,#REF!&lt;=table!$F$11),1,0))</f>
        <v>#REF!</v>
      </c>
      <c r="W3653" s="5" t="e">
        <f>CONCATENATE(dados[[#This Row],[fator1]],dados[[#This Row],[fator5]],dados[[#This Row],[fator6]])</f>
        <v>#REF!</v>
      </c>
    </row>
    <row r="3654" spans="1:23">
      <c r="A3654" t="s">
        <v>17</v>
      </c>
      <c r="B3654">
        <v>587754</v>
      </c>
      <c r="C3654">
        <v>16</v>
      </c>
      <c r="D3654">
        <v>23</v>
      </c>
      <c r="E3654">
        <v>145</v>
      </c>
      <c r="F3654">
        <v>9</v>
      </c>
      <c r="G3654">
        <v>30</v>
      </c>
      <c r="H3654">
        <v>25</v>
      </c>
      <c r="I3654">
        <v>7</v>
      </c>
      <c r="J3654">
        <v>0</v>
      </c>
      <c r="K3654">
        <v>6.4650000000000007</v>
      </c>
      <c r="L3654">
        <v>14.15</v>
      </c>
      <c r="M3654">
        <v>115.60000000000001</v>
      </c>
      <c r="N3654">
        <v>14.8</v>
      </c>
      <c r="O3654">
        <v>1687</v>
      </c>
      <c r="P3654">
        <v>460</v>
      </c>
      <c r="Q3654" s="5" t="e">
        <f>IF(AND(#REF!&gt;=table!$C$6,#REF!&lt;= table!$D$6),-1,IF(AND(#REF!&gt;=table!$E$6,#REF!&lt;=table!$F$6),1,0))</f>
        <v>#REF!</v>
      </c>
      <c r="R3654" s="5" t="e">
        <f>IF(AND(#REF!&gt;=table!$C$7,#REF!&lt;= table!$D$7),-1,IF(AND(#REF!&gt;=table!$E$7,#REF!&lt;=table!$F$7),1,0))</f>
        <v>#REF!</v>
      </c>
      <c r="S3654" s="5" t="e">
        <f>IF(AND(#REF!&gt;=table!$C$8,#REF!&lt;= table!$D$8),-1,IF(AND(#REF!&gt;=table!$E$8,#REF!&lt;=table!$F$8),1,0))</f>
        <v>#REF!</v>
      </c>
      <c r="T3654" s="5"/>
      <c r="U3654" s="5" t="e">
        <f>IF(AND(#REF!&gt;=table!$C$10,#REF!&lt;= table!$D$10),-1,IF(AND(#REF!&gt;=table!$E$10,#REF!&lt;=table!$F$10),1,0))</f>
        <v>#REF!</v>
      </c>
      <c r="V3654" s="5" t="e">
        <f>IF(AND(#REF!&gt;=table!$C$11,#REF!&lt;= table!$D$11),-1,IF(AND(#REF!&gt;=table!$E$11,#REF!&lt;=table!$F$11),1,0))</f>
        <v>#REF!</v>
      </c>
      <c r="W3654" s="5" t="e">
        <f>CONCATENATE(dados[[#This Row],[fator1]],dados[[#This Row],[fator5]],dados[[#This Row],[fator6]])</f>
        <v>#REF!</v>
      </c>
    </row>
    <row r="3655" spans="1:23">
      <c r="A3655" t="s">
        <v>17</v>
      </c>
      <c r="B3655">
        <v>587755</v>
      </c>
      <c r="C3655">
        <v>18</v>
      </c>
      <c r="D3655">
        <v>30</v>
      </c>
      <c r="E3655">
        <v>136</v>
      </c>
      <c r="F3655">
        <v>3</v>
      </c>
      <c r="G3655">
        <v>20</v>
      </c>
      <c r="H3655">
        <v>25</v>
      </c>
      <c r="I3655">
        <v>377</v>
      </c>
      <c r="J3655">
        <v>0</v>
      </c>
      <c r="K3655">
        <v>4.2350000000000003</v>
      </c>
      <c r="L3655">
        <v>17.3</v>
      </c>
      <c r="M3655">
        <v>128.4</v>
      </c>
      <c r="N3655">
        <v>21.05</v>
      </c>
      <c r="O3655">
        <v>1683</v>
      </c>
      <c r="P3655">
        <v>0</v>
      </c>
      <c r="Q3655" s="5" t="e">
        <f>IF(AND(#REF!&gt;=table!$C$6,#REF!&lt;= table!$D$6),-1,IF(AND(#REF!&gt;=table!$E$6,#REF!&lt;=table!$F$6),1,0))</f>
        <v>#REF!</v>
      </c>
      <c r="R3655" s="5" t="e">
        <f>IF(AND(#REF!&gt;=table!$C$7,#REF!&lt;= table!$D$7),-1,IF(AND(#REF!&gt;=table!$E$7,#REF!&lt;=table!$F$7),1,0))</f>
        <v>#REF!</v>
      </c>
      <c r="S3655" s="5" t="e">
        <f>IF(AND(#REF!&gt;=table!$C$8,#REF!&lt;= table!$D$8),-1,IF(AND(#REF!&gt;=table!$E$8,#REF!&lt;=table!$F$8),1,0))</f>
        <v>#REF!</v>
      </c>
      <c r="T3655" s="5"/>
      <c r="U3655" s="5" t="e">
        <f>IF(AND(#REF!&gt;=table!$C$10,#REF!&lt;= table!$D$10),-1,IF(AND(#REF!&gt;=table!$E$10,#REF!&lt;=table!$F$10),1,0))</f>
        <v>#REF!</v>
      </c>
      <c r="V3655" s="5" t="e">
        <f>IF(AND(#REF!&gt;=table!$C$11,#REF!&lt;= table!$D$11),-1,IF(AND(#REF!&gt;=table!$E$11,#REF!&lt;=table!$F$11),1,0))</f>
        <v>#REF!</v>
      </c>
      <c r="W3655" s="5" t="e">
        <f>CONCATENATE(dados[[#This Row],[fator1]],dados[[#This Row],[fator5]],dados[[#This Row],[fator6]])</f>
        <v>#REF!</v>
      </c>
    </row>
    <row r="3656" spans="1:23">
      <c r="A3656" t="s">
        <v>17</v>
      </c>
      <c r="B3656">
        <v>587758</v>
      </c>
      <c r="C3656">
        <v>16</v>
      </c>
      <c r="D3656">
        <v>35</v>
      </c>
      <c r="E3656">
        <v>136</v>
      </c>
      <c r="F3656">
        <v>4</v>
      </c>
      <c r="G3656">
        <v>30</v>
      </c>
      <c r="H3656">
        <v>25</v>
      </c>
      <c r="I3656">
        <v>371</v>
      </c>
      <c r="J3656">
        <v>0</v>
      </c>
      <c r="K3656">
        <v>8.3849999999999998</v>
      </c>
      <c r="L3656">
        <v>16.149999999999999</v>
      </c>
      <c r="M3656">
        <v>120.15</v>
      </c>
      <c r="N3656">
        <v>14.65</v>
      </c>
      <c r="O3656">
        <v>1665</v>
      </c>
      <c r="P3656">
        <v>370</v>
      </c>
      <c r="Q3656" s="5" t="e">
        <f>IF(AND(#REF!&gt;=table!$C$6,#REF!&lt;= table!$D$6),-1,IF(AND(#REF!&gt;=table!$E$6,#REF!&lt;=table!$F$6),1,0))</f>
        <v>#REF!</v>
      </c>
      <c r="R3656" s="5" t="e">
        <f>IF(AND(#REF!&gt;=table!$C$7,#REF!&lt;= table!$D$7),-1,IF(AND(#REF!&gt;=table!$E$7,#REF!&lt;=table!$F$7),1,0))</f>
        <v>#REF!</v>
      </c>
      <c r="S3656" s="5" t="e">
        <f>IF(AND(#REF!&gt;=table!$C$8,#REF!&lt;= table!$D$8),-1,IF(AND(#REF!&gt;=table!$E$8,#REF!&lt;=table!$F$8),1,0))</f>
        <v>#REF!</v>
      </c>
      <c r="T3656" s="5"/>
      <c r="U3656" s="5" t="e">
        <f>IF(AND(#REF!&gt;=table!$C$10,#REF!&lt;= table!$D$10),-1,IF(AND(#REF!&gt;=table!$E$10,#REF!&lt;=table!$F$10),1,0))</f>
        <v>#REF!</v>
      </c>
      <c r="V3656" s="5" t="e">
        <f>IF(AND(#REF!&gt;=table!$C$11,#REF!&lt;= table!$D$11),-1,IF(AND(#REF!&gt;=table!$E$11,#REF!&lt;=table!$F$11),1,0))</f>
        <v>#REF!</v>
      </c>
      <c r="W3656" s="5" t="e">
        <f>CONCATENATE(dados[[#This Row],[fator1]],dados[[#This Row],[fator5]],dados[[#This Row],[fator6]])</f>
        <v>#REF!</v>
      </c>
    </row>
    <row r="3657" spans="1:23">
      <c r="A3657" t="s">
        <v>17</v>
      </c>
      <c r="B3657">
        <v>587759</v>
      </c>
      <c r="C3657">
        <v>16</v>
      </c>
      <c r="D3657">
        <v>35</v>
      </c>
      <c r="E3657">
        <v>136</v>
      </c>
      <c r="F3657">
        <v>4</v>
      </c>
      <c r="G3657">
        <v>30</v>
      </c>
      <c r="H3657">
        <v>25</v>
      </c>
      <c r="I3657">
        <v>317</v>
      </c>
      <c r="J3657">
        <v>0</v>
      </c>
      <c r="K3657">
        <v>12.3</v>
      </c>
      <c r="L3657">
        <v>18.25</v>
      </c>
      <c r="M3657">
        <v>124.9</v>
      </c>
      <c r="N3657">
        <v>16.3</v>
      </c>
      <c r="O3657">
        <v>1675</v>
      </c>
      <c r="P3657">
        <v>0</v>
      </c>
      <c r="Q3657" s="5" t="e">
        <f>IF(AND(#REF!&gt;=table!$C$6,#REF!&lt;= table!$D$6),-1,IF(AND(#REF!&gt;=table!$E$6,#REF!&lt;=table!$F$6),1,0))</f>
        <v>#REF!</v>
      </c>
      <c r="R3657" s="5" t="e">
        <f>IF(AND(#REF!&gt;=table!$C$7,#REF!&lt;= table!$D$7),-1,IF(AND(#REF!&gt;=table!$E$7,#REF!&lt;=table!$F$7),1,0))</f>
        <v>#REF!</v>
      </c>
      <c r="S3657" s="5" t="e">
        <f>IF(AND(#REF!&gt;=table!$C$8,#REF!&lt;= table!$D$8),-1,IF(AND(#REF!&gt;=table!$E$8,#REF!&lt;=table!$F$8),1,0))</f>
        <v>#REF!</v>
      </c>
      <c r="T3657" s="5"/>
      <c r="U3657" s="5" t="e">
        <f>IF(AND(#REF!&gt;=table!$C$10,#REF!&lt;= table!$D$10),-1,IF(AND(#REF!&gt;=table!$E$10,#REF!&lt;=table!$F$10),1,0))</f>
        <v>#REF!</v>
      </c>
      <c r="V3657" s="5" t="e">
        <f>IF(AND(#REF!&gt;=table!$C$11,#REF!&lt;= table!$D$11),-1,IF(AND(#REF!&gt;=table!$E$11,#REF!&lt;=table!$F$11),1,0))</f>
        <v>#REF!</v>
      </c>
      <c r="W3657" s="5" t="e">
        <f>CONCATENATE(dados[[#This Row],[fator1]],dados[[#This Row],[fator5]],dados[[#This Row],[fator6]])</f>
        <v>#REF!</v>
      </c>
    </row>
    <row r="3658" spans="1:23">
      <c r="A3658" t="s">
        <v>17</v>
      </c>
      <c r="B3658">
        <v>587760</v>
      </c>
      <c r="C3658">
        <v>9</v>
      </c>
      <c r="D3658">
        <v>30</v>
      </c>
      <c r="E3658">
        <v>160</v>
      </c>
      <c r="F3658">
        <v>3</v>
      </c>
      <c r="G3658">
        <v>30</v>
      </c>
      <c r="H3658">
        <v>18</v>
      </c>
      <c r="I3658">
        <v>1299</v>
      </c>
      <c r="J3658">
        <v>840</v>
      </c>
      <c r="K3658">
        <v>6.6950000000000003</v>
      </c>
      <c r="L3658">
        <v>12.3</v>
      </c>
      <c r="M3658">
        <v>123.23</v>
      </c>
      <c r="N3658">
        <v>12.865</v>
      </c>
      <c r="O3658">
        <v>1670</v>
      </c>
      <c r="P3658">
        <v>494</v>
      </c>
      <c r="Q3658" s="5" t="e">
        <f>IF(AND(#REF!&gt;=table!$C$6,#REF!&lt;= table!$D$6),-1,IF(AND(#REF!&gt;=table!$E$6,#REF!&lt;=table!$F$6),1,0))</f>
        <v>#REF!</v>
      </c>
      <c r="R3658" s="5" t="e">
        <f>IF(AND(#REF!&gt;=table!$C$7,#REF!&lt;= table!$D$7),-1,IF(AND(#REF!&gt;=table!$E$7,#REF!&lt;=table!$F$7),1,0))</f>
        <v>#REF!</v>
      </c>
      <c r="S3658" s="5" t="e">
        <f>IF(AND(#REF!&gt;=table!$C$8,#REF!&lt;= table!$D$8),-1,IF(AND(#REF!&gt;=table!$E$8,#REF!&lt;=table!$F$8),1,0))</f>
        <v>#REF!</v>
      </c>
      <c r="T3658" s="5"/>
      <c r="U3658" s="5" t="e">
        <f>IF(AND(#REF!&gt;=table!$C$10,#REF!&lt;= table!$D$10),-1,IF(AND(#REF!&gt;=table!$E$10,#REF!&lt;=table!$F$10),1,0))</f>
        <v>#REF!</v>
      </c>
      <c r="V3658" s="5" t="e">
        <f>IF(AND(#REF!&gt;=table!$C$11,#REF!&lt;= table!$D$11),-1,IF(AND(#REF!&gt;=table!$E$11,#REF!&lt;=table!$F$11),1,0))</f>
        <v>#REF!</v>
      </c>
      <c r="W3658" s="5" t="e">
        <f>CONCATENATE(dados[[#This Row],[fator1]],dados[[#This Row],[fator5]],dados[[#This Row],[fator6]])</f>
        <v>#REF!</v>
      </c>
    </row>
    <row r="3659" spans="1:23">
      <c r="A3659" t="s">
        <v>17</v>
      </c>
      <c r="B3659">
        <v>587761</v>
      </c>
      <c r="C3659">
        <v>9</v>
      </c>
      <c r="D3659">
        <v>30</v>
      </c>
      <c r="E3659">
        <v>160</v>
      </c>
      <c r="F3659">
        <v>3</v>
      </c>
      <c r="G3659">
        <v>30</v>
      </c>
      <c r="H3659">
        <v>18</v>
      </c>
      <c r="I3659">
        <v>14</v>
      </c>
      <c r="J3659">
        <v>0</v>
      </c>
      <c r="K3659">
        <v>4.22</v>
      </c>
      <c r="L3659">
        <v>8.4</v>
      </c>
      <c r="M3659">
        <v>130.65</v>
      </c>
      <c r="N3659">
        <v>11.55</v>
      </c>
      <c r="O3659">
        <v>1686</v>
      </c>
      <c r="P3659">
        <v>0</v>
      </c>
      <c r="Q3659" s="5" t="e">
        <f>IF(AND(#REF!&gt;=table!$C$6,#REF!&lt;= table!$D$6),-1,IF(AND(#REF!&gt;=table!$E$6,#REF!&lt;=table!$F$6),1,0))</f>
        <v>#REF!</v>
      </c>
      <c r="R3659" s="5" t="e">
        <f>IF(AND(#REF!&gt;=table!$C$7,#REF!&lt;= table!$D$7),-1,IF(AND(#REF!&gt;=table!$E$7,#REF!&lt;=table!$F$7),1,0))</f>
        <v>#REF!</v>
      </c>
      <c r="S3659" s="5" t="e">
        <f>IF(AND(#REF!&gt;=table!$C$8,#REF!&lt;= table!$D$8),-1,IF(AND(#REF!&gt;=table!$E$8,#REF!&lt;=table!$F$8),1,0))</f>
        <v>#REF!</v>
      </c>
      <c r="T3659" s="5"/>
      <c r="U3659" s="5" t="e">
        <f>IF(AND(#REF!&gt;=table!$C$10,#REF!&lt;= table!$D$10),-1,IF(AND(#REF!&gt;=table!$E$10,#REF!&lt;=table!$F$10),1,0))</f>
        <v>#REF!</v>
      </c>
      <c r="V3659" s="5" t="e">
        <f>IF(AND(#REF!&gt;=table!$C$11,#REF!&lt;= table!$D$11),-1,IF(AND(#REF!&gt;=table!$E$11,#REF!&lt;=table!$F$11),1,0))</f>
        <v>#REF!</v>
      </c>
      <c r="W3659" s="5" t="e">
        <f>CONCATENATE(dados[[#This Row],[fator1]],dados[[#This Row],[fator5]],dados[[#This Row],[fator6]])</f>
        <v>#REF!</v>
      </c>
    </row>
    <row r="3660" spans="1:23">
      <c r="A3660" t="s">
        <v>17</v>
      </c>
      <c r="B3660">
        <v>587769</v>
      </c>
      <c r="C3660">
        <v>9</v>
      </c>
      <c r="D3660">
        <v>30</v>
      </c>
      <c r="E3660">
        <v>160</v>
      </c>
      <c r="F3660">
        <v>3</v>
      </c>
      <c r="G3660">
        <v>30</v>
      </c>
      <c r="H3660">
        <v>18</v>
      </c>
      <c r="I3660">
        <v>796</v>
      </c>
      <c r="J3660">
        <v>0</v>
      </c>
      <c r="K3660">
        <v>4.29</v>
      </c>
      <c r="L3660">
        <v>7.15</v>
      </c>
      <c r="M3660">
        <v>138</v>
      </c>
      <c r="N3660">
        <v>13.35</v>
      </c>
      <c r="O3660">
        <v>1666</v>
      </c>
      <c r="P3660">
        <v>825</v>
      </c>
      <c r="Q3660" s="5" t="e">
        <f>IF(AND(#REF!&gt;=table!$C$6,#REF!&lt;= table!$D$6),-1,IF(AND(#REF!&gt;=table!$E$6,#REF!&lt;=table!$F$6),1,0))</f>
        <v>#REF!</v>
      </c>
      <c r="R3660" s="5" t="e">
        <f>IF(AND(#REF!&gt;=table!$C$7,#REF!&lt;= table!$D$7),-1,IF(AND(#REF!&gt;=table!$E$7,#REF!&lt;=table!$F$7),1,0))</f>
        <v>#REF!</v>
      </c>
      <c r="S3660" s="5" t="e">
        <f>IF(AND(#REF!&gt;=table!$C$8,#REF!&lt;= table!$D$8),-1,IF(AND(#REF!&gt;=table!$E$8,#REF!&lt;=table!$F$8),1,0))</f>
        <v>#REF!</v>
      </c>
      <c r="T3660" s="5"/>
      <c r="U3660" s="5" t="e">
        <f>IF(AND(#REF!&gt;=table!$C$10,#REF!&lt;= table!$D$10),-1,IF(AND(#REF!&gt;=table!$E$10,#REF!&lt;=table!$F$10),1,0))</f>
        <v>#REF!</v>
      </c>
      <c r="V3660" s="5" t="e">
        <f>IF(AND(#REF!&gt;=table!$C$11,#REF!&lt;= table!$D$11),-1,IF(AND(#REF!&gt;=table!$E$11,#REF!&lt;=table!$F$11),1,0))</f>
        <v>#REF!</v>
      </c>
      <c r="W3660" s="5" t="e">
        <f>CONCATENATE(dados[[#This Row],[fator1]],dados[[#This Row],[fator5]],dados[[#This Row],[fator6]])</f>
        <v>#REF!</v>
      </c>
    </row>
    <row r="3661" spans="1:23">
      <c r="A3661" t="s">
        <v>17</v>
      </c>
      <c r="B3661">
        <v>587770</v>
      </c>
      <c r="C3661">
        <v>9</v>
      </c>
      <c r="D3661">
        <v>30</v>
      </c>
      <c r="E3661">
        <v>160</v>
      </c>
      <c r="F3661">
        <v>3</v>
      </c>
      <c r="G3661">
        <v>30</v>
      </c>
      <c r="H3661">
        <v>18</v>
      </c>
      <c r="I3661">
        <v>856</v>
      </c>
      <c r="J3661">
        <v>0</v>
      </c>
      <c r="K3661">
        <v>3.5550000000000002</v>
      </c>
      <c r="L3661">
        <v>5.3</v>
      </c>
      <c r="M3661">
        <v>139.6</v>
      </c>
      <c r="N3661">
        <v>10.55</v>
      </c>
      <c r="O3661">
        <v>1664</v>
      </c>
      <c r="P3661">
        <v>1061</v>
      </c>
      <c r="Q3661" s="5" t="e">
        <f>IF(AND(#REF!&gt;=table!$C$6,#REF!&lt;= table!$D$6),-1,IF(AND(#REF!&gt;=table!$E$6,#REF!&lt;=table!$F$6),1,0))</f>
        <v>#REF!</v>
      </c>
      <c r="R3661" s="5" t="e">
        <f>IF(AND(#REF!&gt;=table!$C$7,#REF!&lt;= table!$D$7),-1,IF(AND(#REF!&gt;=table!$E$7,#REF!&lt;=table!$F$7),1,0))</f>
        <v>#REF!</v>
      </c>
      <c r="S3661" s="5" t="e">
        <f>IF(AND(#REF!&gt;=table!$C$8,#REF!&lt;= table!$D$8),-1,IF(AND(#REF!&gt;=table!$E$8,#REF!&lt;=table!$F$8),1,0))</f>
        <v>#REF!</v>
      </c>
      <c r="T3661" s="5"/>
      <c r="U3661" s="5" t="e">
        <f>IF(AND(#REF!&gt;=table!$C$10,#REF!&lt;= table!$D$10),-1,IF(AND(#REF!&gt;=table!$E$10,#REF!&lt;=table!$F$10),1,0))</f>
        <v>#REF!</v>
      </c>
      <c r="V3661" s="5" t="e">
        <f>IF(AND(#REF!&gt;=table!$C$11,#REF!&lt;= table!$D$11),-1,IF(AND(#REF!&gt;=table!$E$11,#REF!&lt;=table!$F$11),1,0))</f>
        <v>#REF!</v>
      </c>
      <c r="W3661" s="5" t="e">
        <f>CONCATENATE(dados[[#This Row],[fator1]],dados[[#This Row],[fator5]],dados[[#This Row],[fator6]])</f>
        <v>#REF!</v>
      </c>
    </row>
    <row r="3662" spans="1:23">
      <c r="A3662" t="s">
        <v>17</v>
      </c>
      <c r="B3662">
        <v>587771</v>
      </c>
      <c r="C3662">
        <v>9</v>
      </c>
      <c r="D3662">
        <v>30</v>
      </c>
      <c r="E3662">
        <v>160</v>
      </c>
      <c r="F3662">
        <v>3</v>
      </c>
      <c r="G3662">
        <v>30</v>
      </c>
      <c r="H3662">
        <v>18</v>
      </c>
      <c r="I3662">
        <v>842</v>
      </c>
      <c r="J3662">
        <v>0</v>
      </c>
      <c r="K3662">
        <v>2.7749999999999999</v>
      </c>
      <c r="L3662">
        <v>4.5</v>
      </c>
      <c r="M3662">
        <v>139.53</v>
      </c>
      <c r="N3662">
        <v>11.285</v>
      </c>
      <c r="O3662">
        <v>1675</v>
      </c>
      <c r="P3662">
        <v>1401</v>
      </c>
      <c r="Q3662" s="5" t="e">
        <f>IF(AND(#REF!&gt;=table!$C$6,#REF!&lt;= table!$D$6),-1,IF(AND(#REF!&gt;=table!$E$6,#REF!&lt;=table!$F$6),1,0))</f>
        <v>#REF!</v>
      </c>
      <c r="R3662" s="5" t="e">
        <f>IF(AND(#REF!&gt;=table!$C$7,#REF!&lt;= table!$D$7),-1,IF(AND(#REF!&gt;=table!$E$7,#REF!&lt;=table!$F$7),1,0))</f>
        <v>#REF!</v>
      </c>
      <c r="S3662" s="5" t="e">
        <f>IF(AND(#REF!&gt;=table!$C$8,#REF!&lt;= table!$D$8),-1,IF(AND(#REF!&gt;=table!$E$8,#REF!&lt;=table!$F$8),1,0))</f>
        <v>#REF!</v>
      </c>
      <c r="T3662" s="5"/>
      <c r="U3662" s="5" t="e">
        <f>IF(AND(#REF!&gt;=table!$C$10,#REF!&lt;= table!$D$10),-1,IF(AND(#REF!&gt;=table!$E$10,#REF!&lt;=table!$F$10),1,0))</f>
        <v>#REF!</v>
      </c>
      <c r="V3662" s="5" t="e">
        <f>IF(AND(#REF!&gt;=table!$C$11,#REF!&lt;= table!$D$11),-1,IF(AND(#REF!&gt;=table!$E$11,#REF!&lt;=table!$F$11),1,0))</f>
        <v>#REF!</v>
      </c>
      <c r="W3662" s="5" t="e">
        <f>CONCATENATE(dados[[#This Row],[fator1]],dados[[#This Row],[fator5]],dados[[#This Row],[fator6]])</f>
        <v>#REF!</v>
      </c>
    </row>
    <row r="3663" spans="1:23">
      <c r="A3663" t="s">
        <v>17</v>
      </c>
      <c r="B3663">
        <v>587772</v>
      </c>
      <c r="C3663">
        <v>18</v>
      </c>
      <c r="D3663">
        <v>23</v>
      </c>
      <c r="E3663">
        <v>145</v>
      </c>
      <c r="F3663">
        <v>9</v>
      </c>
      <c r="G3663">
        <v>30</v>
      </c>
      <c r="H3663">
        <v>25</v>
      </c>
      <c r="I3663">
        <v>387</v>
      </c>
      <c r="J3663">
        <v>0</v>
      </c>
      <c r="K3663">
        <v>2.3050000000000002</v>
      </c>
      <c r="L3663">
        <v>9.5</v>
      </c>
      <c r="M3663">
        <v>117.7</v>
      </c>
      <c r="N3663">
        <v>26.55</v>
      </c>
      <c r="O3663">
        <v>1687</v>
      </c>
      <c r="P3663">
        <v>1452</v>
      </c>
      <c r="Q3663" s="5" t="e">
        <f>IF(AND(#REF!&gt;=table!$C$6,#REF!&lt;= table!$D$6),-1,IF(AND(#REF!&gt;=table!$E$6,#REF!&lt;=table!$F$6),1,0))</f>
        <v>#REF!</v>
      </c>
      <c r="R3663" s="5" t="e">
        <f>IF(AND(#REF!&gt;=table!$C$7,#REF!&lt;= table!$D$7),-1,IF(AND(#REF!&gt;=table!$E$7,#REF!&lt;=table!$F$7),1,0))</f>
        <v>#REF!</v>
      </c>
      <c r="S3663" s="5" t="e">
        <f>IF(AND(#REF!&gt;=table!$C$8,#REF!&lt;= table!$D$8),-1,IF(AND(#REF!&gt;=table!$E$8,#REF!&lt;=table!$F$8),1,0))</f>
        <v>#REF!</v>
      </c>
      <c r="T3663" s="5"/>
      <c r="U3663" s="5" t="e">
        <f>IF(AND(#REF!&gt;=table!$C$10,#REF!&lt;= table!$D$10),-1,IF(AND(#REF!&gt;=table!$E$10,#REF!&lt;=table!$F$10),1,0))</f>
        <v>#REF!</v>
      </c>
      <c r="V3663" s="5" t="e">
        <f>IF(AND(#REF!&gt;=table!$C$11,#REF!&lt;= table!$D$11),-1,IF(AND(#REF!&gt;=table!$E$11,#REF!&lt;=table!$F$11),1,0))</f>
        <v>#REF!</v>
      </c>
      <c r="W3663" s="5" t="e">
        <f>CONCATENATE(dados[[#This Row],[fator1]],dados[[#This Row],[fator5]],dados[[#This Row],[fator6]])</f>
        <v>#REF!</v>
      </c>
    </row>
    <row r="3664" spans="1:23">
      <c r="A3664" t="s">
        <v>17</v>
      </c>
      <c r="B3664">
        <v>587773</v>
      </c>
      <c r="C3664">
        <v>18</v>
      </c>
      <c r="D3664">
        <v>23</v>
      </c>
      <c r="E3664">
        <v>145</v>
      </c>
      <c r="F3664">
        <v>4</v>
      </c>
      <c r="G3664">
        <v>30</v>
      </c>
      <c r="H3664">
        <v>25</v>
      </c>
      <c r="I3664">
        <v>10</v>
      </c>
      <c r="J3664">
        <v>0</v>
      </c>
      <c r="K3664">
        <v>4.4450000000000003</v>
      </c>
      <c r="L3664">
        <v>9</v>
      </c>
      <c r="M3664">
        <v>83.215000000000003</v>
      </c>
      <c r="N3664">
        <v>14.15</v>
      </c>
      <c r="O3664">
        <v>1673</v>
      </c>
      <c r="P3664">
        <v>905</v>
      </c>
      <c r="Q3664" s="5" t="e">
        <f>IF(AND(#REF!&gt;=table!$C$6,#REF!&lt;= table!$D$6),-1,IF(AND(#REF!&gt;=table!$E$6,#REF!&lt;=table!$F$6),1,0))</f>
        <v>#REF!</v>
      </c>
      <c r="R3664" s="5" t="e">
        <f>IF(AND(#REF!&gt;=table!$C$7,#REF!&lt;= table!$D$7),-1,IF(AND(#REF!&gt;=table!$E$7,#REF!&lt;=table!$F$7),1,0))</f>
        <v>#REF!</v>
      </c>
      <c r="S3664" s="5" t="e">
        <f>IF(AND(#REF!&gt;=table!$C$8,#REF!&lt;= table!$D$8),-1,IF(AND(#REF!&gt;=table!$E$8,#REF!&lt;=table!$F$8),1,0))</f>
        <v>#REF!</v>
      </c>
      <c r="T3664" s="5"/>
      <c r="U3664" s="5" t="e">
        <f>IF(AND(#REF!&gt;=table!$C$10,#REF!&lt;= table!$D$10),-1,IF(AND(#REF!&gt;=table!$E$10,#REF!&lt;=table!$F$10),1,0))</f>
        <v>#REF!</v>
      </c>
      <c r="V3664" s="5" t="e">
        <f>IF(AND(#REF!&gt;=table!$C$11,#REF!&lt;= table!$D$11),-1,IF(AND(#REF!&gt;=table!$E$11,#REF!&lt;=table!$F$11),1,0))</f>
        <v>#REF!</v>
      </c>
      <c r="W3664" s="5" t="e">
        <f>CONCATENATE(dados[[#This Row],[fator1]],dados[[#This Row],[fator5]],dados[[#This Row],[fator6]])</f>
        <v>#REF!</v>
      </c>
    </row>
    <row r="3665" spans="1:23">
      <c r="A3665" t="s">
        <v>16</v>
      </c>
      <c r="B3665">
        <v>587776</v>
      </c>
      <c r="C3665">
        <v>10</v>
      </c>
      <c r="D3665">
        <v>30</v>
      </c>
      <c r="E3665">
        <v>150</v>
      </c>
      <c r="F3665">
        <v>4</v>
      </c>
      <c r="G3665">
        <v>0</v>
      </c>
      <c r="H3665">
        <v>25</v>
      </c>
      <c r="I3665">
        <v>204</v>
      </c>
      <c r="J3665">
        <v>0</v>
      </c>
      <c r="K3665">
        <v>5.95</v>
      </c>
      <c r="L3665">
        <v>12.35</v>
      </c>
      <c r="M3665">
        <v>133.44999999999999</v>
      </c>
      <c r="N3665">
        <v>12.8</v>
      </c>
      <c r="O3665">
        <v>1688</v>
      </c>
      <c r="P3665">
        <v>585</v>
      </c>
      <c r="Q3665" s="5" t="e">
        <f>IF(AND(#REF!&gt;=table!$C$6,#REF!&lt;= table!$D$6),-1,IF(AND(#REF!&gt;=table!$E$6,#REF!&lt;=table!$F$6),1,0))</f>
        <v>#REF!</v>
      </c>
      <c r="R3665" s="5" t="e">
        <f>IF(AND(#REF!&gt;=table!$C$7,#REF!&lt;= table!$D$7),-1,IF(AND(#REF!&gt;=table!$E$7,#REF!&lt;=table!$F$7),1,0))</f>
        <v>#REF!</v>
      </c>
      <c r="S3665" s="5" t="e">
        <f>IF(AND(#REF!&gt;=table!$C$8,#REF!&lt;= table!$D$8),-1,IF(AND(#REF!&gt;=table!$E$8,#REF!&lt;=table!$F$8),1,0))</f>
        <v>#REF!</v>
      </c>
      <c r="T3665" s="5"/>
      <c r="U3665" s="5" t="e">
        <f>IF(AND(#REF!&gt;=table!$C$10,#REF!&lt;= table!$D$10),-1,IF(AND(#REF!&gt;=table!$E$10,#REF!&lt;=table!$F$10),1,0))</f>
        <v>#REF!</v>
      </c>
      <c r="V3665" s="5" t="e">
        <f>IF(AND(#REF!&gt;=table!$C$11,#REF!&lt;= table!$D$11),-1,IF(AND(#REF!&gt;=table!$E$11,#REF!&lt;=table!$F$11),1,0))</f>
        <v>#REF!</v>
      </c>
      <c r="W3665" s="5" t="e">
        <f>CONCATENATE(dados[[#This Row],[fator1]],dados[[#This Row],[fator5]],dados[[#This Row],[fator6]])</f>
        <v>#REF!</v>
      </c>
    </row>
    <row r="3666" spans="1:23">
      <c r="A3666" t="s">
        <v>16</v>
      </c>
      <c r="B3666">
        <v>587779</v>
      </c>
      <c r="C3666">
        <v>6</v>
      </c>
      <c r="D3666">
        <v>40</v>
      </c>
      <c r="E3666">
        <v>66</v>
      </c>
      <c r="F3666">
        <v>10</v>
      </c>
      <c r="G3666">
        <v>0</v>
      </c>
      <c r="H3666">
        <v>25</v>
      </c>
      <c r="I3666">
        <v>81</v>
      </c>
      <c r="J3666">
        <v>0</v>
      </c>
      <c r="K3666">
        <v>5.915</v>
      </c>
      <c r="L3666">
        <v>16.025000000000002</v>
      </c>
      <c r="M3666">
        <v>44.300000000000004</v>
      </c>
      <c r="N3666">
        <v>15.8</v>
      </c>
      <c r="O3666">
        <v>1678</v>
      </c>
      <c r="P3666">
        <v>0</v>
      </c>
      <c r="Q3666" s="5" t="e">
        <f>IF(AND(#REF!&gt;=table!$C$6,#REF!&lt;= table!$D$6),-1,IF(AND(#REF!&gt;=table!$E$6,#REF!&lt;=table!$F$6),1,0))</f>
        <v>#REF!</v>
      </c>
      <c r="R3666" s="5" t="e">
        <f>IF(AND(#REF!&gt;=table!$C$7,#REF!&lt;= table!$D$7),-1,IF(AND(#REF!&gt;=table!$E$7,#REF!&lt;=table!$F$7),1,0))</f>
        <v>#REF!</v>
      </c>
      <c r="S3666" s="5" t="e">
        <f>IF(AND(#REF!&gt;=table!$C$8,#REF!&lt;= table!$D$8),-1,IF(AND(#REF!&gt;=table!$E$8,#REF!&lt;=table!$F$8),1,0))</f>
        <v>#REF!</v>
      </c>
      <c r="T3666" s="5"/>
      <c r="U3666" s="5" t="e">
        <f>IF(AND(#REF!&gt;=table!$C$10,#REF!&lt;= table!$D$10),-1,IF(AND(#REF!&gt;=table!$E$10,#REF!&lt;=table!$F$10),1,0))</f>
        <v>#REF!</v>
      </c>
      <c r="V3666" s="5" t="e">
        <f>IF(AND(#REF!&gt;=table!$C$11,#REF!&lt;= table!$D$11),-1,IF(AND(#REF!&gt;=table!$E$11,#REF!&lt;=table!$F$11),1,0))</f>
        <v>#REF!</v>
      </c>
      <c r="W3666" s="5" t="e">
        <f>CONCATENATE(dados[[#This Row],[fator1]],dados[[#This Row],[fator5]],dados[[#This Row],[fator6]])</f>
        <v>#REF!</v>
      </c>
    </row>
    <row r="3667" spans="1:23">
      <c r="A3667" t="s">
        <v>16</v>
      </c>
      <c r="B3667">
        <v>587780</v>
      </c>
      <c r="C3667">
        <v>8</v>
      </c>
      <c r="D3667">
        <v>30</v>
      </c>
      <c r="E3667">
        <v>61</v>
      </c>
      <c r="F3667">
        <v>8</v>
      </c>
      <c r="G3667">
        <v>0</v>
      </c>
      <c r="H3667">
        <v>25</v>
      </c>
      <c r="I3667">
        <v>507</v>
      </c>
      <c r="J3667">
        <v>0</v>
      </c>
      <c r="K3667">
        <v>5.4850000000000003</v>
      </c>
      <c r="L3667">
        <v>10.1</v>
      </c>
      <c r="M3667">
        <v>52.24</v>
      </c>
      <c r="N3667">
        <v>11.65</v>
      </c>
      <c r="O3667">
        <v>1667</v>
      </c>
      <c r="P3667">
        <v>0</v>
      </c>
      <c r="Q3667" s="5" t="e">
        <f>IF(AND(#REF!&gt;=table!$C$6,#REF!&lt;= table!$D$6),-1,IF(AND(#REF!&gt;=table!$E$6,#REF!&lt;=table!$F$6),1,0))</f>
        <v>#REF!</v>
      </c>
      <c r="R3667" s="5" t="e">
        <f>IF(AND(#REF!&gt;=table!$C$7,#REF!&lt;= table!$D$7),-1,IF(AND(#REF!&gt;=table!$E$7,#REF!&lt;=table!$F$7),1,0))</f>
        <v>#REF!</v>
      </c>
      <c r="S3667" s="5" t="e">
        <f>IF(AND(#REF!&gt;=table!$C$8,#REF!&lt;= table!$D$8),-1,IF(AND(#REF!&gt;=table!$E$8,#REF!&lt;=table!$F$8),1,0))</f>
        <v>#REF!</v>
      </c>
      <c r="T3667" s="5"/>
      <c r="U3667" s="5" t="e">
        <f>IF(AND(#REF!&gt;=table!$C$10,#REF!&lt;= table!$D$10),-1,IF(AND(#REF!&gt;=table!$E$10,#REF!&lt;=table!$F$10),1,0))</f>
        <v>#REF!</v>
      </c>
      <c r="V3667" s="5" t="e">
        <f>IF(AND(#REF!&gt;=table!$C$11,#REF!&lt;= table!$D$11),-1,IF(AND(#REF!&gt;=table!$E$11,#REF!&lt;=table!$F$11),1,0))</f>
        <v>#REF!</v>
      </c>
      <c r="W3667" s="5" t="e">
        <f>CONCATENATE(dados[[#This Row],[fator1]],dados[[#This Row],[fator5]],dados[[#This Row],[fator6]])</f>
        <v>#REF!</v>
      </c>
    </row>
    <row r="3668" spans="1:23">
      <c r="A3668" t="s">
        <v>16</v>
      </c>
      <c r="B3668">
        <v>587781</v>
      </c>
      <c r="C3668">
        <v>8</v>
      </c>
      <c r="D3668">
        <v>30</v>
      </c>
      <c r="E3668">
        <v>61</v>
      </c>
      <c r="F3668">
        <v>8</v>
      </c>
      <c r="G3668">
        <v>0</v>
      </c>
      <c r="H3668">
        <v>25</v>
      </c>
      <c r="I3668">
        <v>1041</v>
      </c>
      <c r="J3668">
        <v>0</v>
      </c>
      <c r="K3668">
        <v>2.5649999999999999</v>
      </c>
      <c r="L3668">
        <v>7.55</v>
      </c>
      <c r="M3668">
        <v>43.99</v>
      </c>
      <c r="N3668">
        <v>14.26</v>
      </c>
      <c r="O3668">
        <v>1669</v>
      </c>
      <c r="P3668">
        <v>0</v>
      </c>
      <c r="Q3668" s="5" t="e">
        <f>IF(AND(#REF!&gt;=table!$C$6,#REF!&lt;= table!$D$6),-1,IF(AND(#REF!&gt;=table!$E$6,#REF!&lt;=table!$F$6),1,0))</f>
        <v>#REF!</v>
      </c>
      <c r="R3668" s="5" t="e">
        <f>IF(AND(#REF!&gt;=table!$C$7,#REF!&lt;= table!$D$7),-1,IF(AND(#REF!&gt;=table!$E$7,#REF!&lt;=table!$F$7),1,0))</f>
        <v>#REF!</v>
      </c>
      <c r="S3668" s="5" t="e">
        <f>IF(AND(#REF!&gt;=table!$C$8,#REF!&lt;= table!$D$8),-1,IF(AND(#REF!&gt;=table!$E$8,#REF!&lt;=table!$F$8),1,0))</f>
        <v>#REF!</v>
      </c>
      <c r="T3668" s="5"/>
      <c r="U3668" s="5" t="e">
        <f>IF(AND(#REF!&gt;=table!$C$10,#REF!&lt;= table!$D$10),-1,IF(AND(#REF!&gt;=table!$E$10,#REF!&lt;=table!$F$10),1,0))</f>
        <v>#REF!</v>
      </c>
      <c r="V3668" s="5" t="e">
        <f>IF(AND(#REF!&gt;=table!$C$11,#REF!&lt;= table!$D$11),-1,IF(AND(#REF!&gt;=table!$E$11,#REF!&lt;=table!$F$11),1,0))</f>
        <v>#REF!</v>
      </c>
      <c r="W3668" s="5" t="e">
        <f>CONCATENATE(dados[[#This Row],[fator1]],dados[[#This Row],[fator5]],dados[[#This Row],[fator6]])</f>
        <v>#REF!</v>
      </c>
    </row>
    <row r="3669" spans="1:23">
      <c r="A3669" t="s">
        <v>16</v>
      </c>
      <c r="B3669">
        <v>587782</v>
      </c>
      <c r="C3669">
        <v>6</v>
      </c>
      <c r="D3669">
        <v>40</v>
      </c>
      <c r="E3669">
        <v>66</v>
      </c>
      <c r="F3669">
        <v>10</v>
      </c>
      <c r="G3669">
        <v>0</v>
      </c>
      <c r="H3669">
        <v>25</v>
      </c>
      <c r="I3669">
        <v>88</v>
      </c>
      <c r="J3669">
        <v>0</v>
      </c>
      <c r="K3669">
        <v>4.875</v>
      </c>
      <c r="L3669">
        <v>12.950000000000001</v>
      </c>
      <c r="M3669">
        <v>43.545000000000002</v>
      </c>
      <c r="N3669">
        <v>12.625</v>
      </c>
      <c r="O3669">
        <v>1662</v>
      </c>
      <c r="P3669">
        <v>643</v>
      </c>
      <c r="Q3669" s="5" t="e">
        <f>IF(AND(#REF!&gt;=table!$C$6,#REF!&lt;= table!$D$6),-1,IF(AND(#REF!&gt;=table!$E$6,#REF!&lt;=table!$F$6),1,0))</f>
        <v>#REF!</v>
      </c>
      <c r="R3669" s="5" t="e">
        <f>IF(AND(#REF!&gt;=table!$C$7,#REF!&lt;= table!$D$7),-1,IF(AND(#REF!&gt;=table!$E$7,#REF!&lt;=table!$F$7),1,0))</f>
        <v>#REF!</v>
      </c>
      <c r="S3669" s="5" t="e">
        <f>IF(AND(#REF!&gt;=table!$C$8,#REF!&lt;= table!$D$8),-1,IF(AND(#REF!&gt;=table!$E$8,#REF!&lt;=table!$F$8),1,0))</f>
        <v>#REF!</v>
      </c>
      <c r="T3669" s="5"/>
      <c r="U3669" s="5" t="e">
        <f>IF(AND(#REF!&gt;=table!$C$10,#REF!&lt;= table!$D$10),-1,IF(AND(#REF!&gt;=table!$E$10,#REF!&lt;=table!$F$10),1,0))</f>
        <v>#REF!</v>
      </c>
      <c r="V3669" s="5" t="e">
        <f>IF(AND(#REF!&gt;=table!$C$11,#REF!&lt;= table!$D$11),-1,IF(AND(#REF!&gt;=table!$E$11,#REF!&lt;=table!$F$11),1,0))</f>
        <v>#REF!</v>
      </c>
      <c r="W3669" s="5" t="e">
        <f>CONCATENATE(dados[[#This Row],[fator1]],dados[[#This Row],[fator5]],dados[[#This Row],[fator6]])</f>
        <v>#REF!</v>
      </c>
    </row>
    <row r="3670" spans="1:23">
      <c r="A3670" t="s">
        <v>16</v>
      </c>
      <c r="B3670">
        <v>587784</v>
      </c>
      <c r="C3670">
        <v>6</v>
      </c>
      <c r="D3670">
        <v>40</v>
      </c>
      <c r="E3670">
        <v>66</v>
      </c>
      <c r="F3670">
        <v>10</v>
      </c>
      <c r="G3670">
        <v>0</v>
      </c>
      <c r="H3670">
        <v>25</v>
      </c>
      <c r="I3670">
        <v>0</v>
      </c>
      <c r="J3670">
        <v>0</v>
      </c>
      <c r="K3670">
        <v>5.2250000000000005</v>
      </c>
      <c r="L3670">
        <v>13.4</v>
      </c>
      <c r="M3670">
        <v>53.25</v>
      </c>
      <c r="N3670">
        <v>19.100000000000001</v>
      </c>
      <c r="O3670">
        <v>1675</v>
      </c>
      <c r="P3670">
        <v>0</v>
      </c>
      <c r="Q3670" s="5" t="e">
        <f>IF(AND(#REF!&gt;=table!$C$6,#REF!&lt;= table!$D$6),-1,IF(AND(#REF!&gt;=table!$E$6,#REF!&lt;=table!$F$6),1,0))</f>
        <v>#REF!</v>
      </c>
      <c r="R3670" s="5" t="e">
        <f>IF(AND(#REF!&gt;=table!$C$7,#REF!&lt;= table!$D$7),-1,IF(AND(#REF!&gt;=table!$E$7,#REF!&lt;=table!$F$7),1,0))</f>
        <v>#REF!</v>
      </c>
      <c r="S3670" s="5" t="e">
        <f>IF(AND(#REF!&gt;=table!$C$8,#REF!&lt;= table!$D$8),-1,IF(AND(#REF!&gt;=table!$E$8,#REF!&lt;=table!$F$8),1,0))</f>
        <v>#REF!</v>
      </c>
      <c r="T3670" s="5"/>
      <c r="U3670" s="5" t="e">
        <f>IF(AND(#REF!&gt;=table!$C$10,#REF!&lt;= table!$D$10),-1,IF(AND(#REF!&gt;=table!$E$10,#REF!&lt;=table!$F$10),1,0))</f>
        <v>#REF!</v>
      </c>
      <c r="V3670" s="5" t="e">
        <f>IF(AND(#REF!&gt;=table!$C$11,#REF!&lt;= table!$D$11),-1,IF(AND(#REF!&gt;=table!$E$11,#REF!&lt;=table!$F$11),1,0))</f>
        <v>#REF!</v>
      </c>
      <c r="W3670" s="5" t="e">
        <f>CONCATENATE(dados[[#This Row],[fator1]],dados[[#This Row],[fator5]],dados[[#This Row],[fator6]])</f>
        <v>#REF!</v>
      </c>
    </row>
    <row r="3671" spans="1:23">
      <c r="A3671" t="s">
        <v>16</v>
      </c>
      <c r="B3671">
        <v>587786</v>
      </c>
      <c r="C3671">
        <v>16</v>
      </c>
      <c r="D3671">
        <v>35</v>
      </c>
      <c r="E3671">
        <v>36</v>
      </c>
      <c r="F3671">
        <v>10</v>
      </c>
      <c r="G3671">
        <v>0</v>
      </c>
      <c r="H3671">
        <v>25</v>
      </c>
      <c r="I3671">
        <v>11</v>
      </c>
      <c r="J3671">
        <v>0</v>
      </c>
      <c r="K3671">
        <v>2.39</v>
      </c>
      <c r="L3671">
        <v>10.94</v>
      </c>
      <c r="M3671">
        <v>34.85</v>
      </c>
      <c r="N3671">
        <v>16.95</v>
      </c>
      <c r="O3671">
        <v>1675</v>
      </c>
      <c r="P3671">
        <v>0</v>
      </c>
      <c r="Q3671" s="5" t="e">
        <f>IF(AND(#REF!&gt;=table!$C$6,#REF!&lt;= table!$D$6),-1,IF(AND(#REF!&gt;=table!$E$6,#REF!&lt;=table!$F$6),1,0))</f>
        <v>#REF!</v>
      </c>
      <c r="R3671" s="5" t="e">
        <f>IF(AND(#REF!&gt;=table!$C$7,#REF!&lt;= table!$D$7),-1,IF(AND(#REF!&gt;=table!$E$7,#REF!&lt;=table!$F$7),1,0))</f>
        <v>#REF!</v>
      </c>
      <c r="S3671" s="5" t="e">
        <f>IF(AND(#REF!&gt;=table!$C$8,#REF!&lt;= table!$D$8),-1,IF(AND(#REF!&gt;=table!$E$8,#REF!&lt;=table!$F$8),1,0))</f>
        <v>#REF!</v>
      </c>
      <c r="T3671" s="5"/>
      <c r="U3671" s="5" t="e">
        <f>IF(AND(#REF!&gt;=table!$C$10,#REF!&lt;= table!$D$10),-1,IF(AND(#REF!&gt;=table!$E$10,#REF!&lt;=table!$F$10),1,0))</f>
        <v>#REF!</v>
      </c>
      <c r="V3671" s="5" t="e">
        <f>IF(AND(#REF!&gt;=table!$C$11,#REF!&lt;= table!$D$11),-1,IF(AND(#REF!&gt;=table!$E$11,#REF!&lt;=table!$F$11),1,0))</f>
        <v>#REF!</v>
      </c>
      <c r="W3671" s="5" t="e">
        <f>CONCATENATE(dados[[#This Row],[fator1]],dados[[#This Row],[fator5]],dados[[#This Row],[fator6]])</f>
        <v>#REF!</v>
      </c>
    </row>
    <row r="3672" spans="1:23">
      <c r="A3672" t="s">
        <v>17</v>
      </c>
      <c r="B3672">
        <v>587787</v>
      </c>
      <c r="C3672">
        <v>15</v>
      </c>
      <c r="D3672">
        <v>35</v>
      </c>
      <c r="E3672">
        <v>120</v>
      </c>
      <c r="F3672">
        <v>4</v>
      </c>
      <c r="G3672">
        <v>15</v>
      </c>
      <c r="H3672">
        <v>20</v>
      </c>
      <c r="I3672">
        <v>635</v>
      </c>
      <c r="J3672">
        <v>560</v>
      </c>
      <c r="K3672">
        <v>7.6450000000000005</v>
      </c>
      <c r="L3672">
        <v>17.400000000000002</v>
      </c>
      <c r="M3672">
        <v>81.36</v>
      </c>
      <c r="N3672">
        <v>11.27</v>
      </c>
      <c r="O3672">
        <v>1678</v>
      </c>
      <c r="P3672">
        <v>411</v>
      </c>
      <c r="Q3672" s="5" t="e">
        <f>IF(AND(#REF!&gt;=table!$C$6,#REF!&lt;= table!$D$6),-1,IF(AND(#REF!&gt;=table!$E$6,#REF!&lt;=table!$F$6),1,0))</f>
        <v>#REF!</v>
      </c>
      <c r="R3672" s="5" t="e">
        <f>IF(AND(#REF!&gt;=table!$C$7,#REF!&lt;= table!$D$7),-1,IF(AND(#REF!&gt;=table!$E$7,#REF!&lt;=table!$F$7),1,0))</f>
        <v>#REF!</v>
      </c>
      <c r="S3672" s="5" t="e">
        <f>IF(AND(#REF!&gt;=table!$C$8,#REF!&lt;= table!$D$8),-1,IF(AND(#REF!&gt;=table!$E$8,#REF!&lt;=table!$F$8),1,0))</f>
        <v>#REF!</v>
      </c>
      <c r="T3672" s="5"/>
      <c r="U3672" s="5" t="e">
        <f>IF(AND(#REF!&gt;=table!$C$10,#REF!&lt;= table!$D$10),-1,IF(AND(#REF!&gt;=table!$E$10,#REF!&lt;=table!$F$10),1,0))</f>
        <v>#REF!</v>
      </c>
      <c r="V3672" s="5" t="e">
        <f>IF(AND(#REF!&gt;=table!$C$11,#REF!&lt;= table!$D$11),-1,IF(AND(#REF!&gt;=table!$E$11,#REF!&lt;=table!$F$11),1,0))</f>
        <v>#REF!</v>
      </c>
      <c r="W3672" s="5" t="e">
        <f>CONCATENATE(dados[[#This Row],[fator1]],dados[[#This Row],[fator5]],dados[[#This Row],[fator6]])</f>
        <v>#REF!</v>
      </c>
    </row>
    <row r="3673" spans="1:23">
      <c r="A3673" t="s">
        <v>17</v>
      </c>
      <c r="B3673">
        <v>587793</v>
      </c>
      <c r="C3673">
        <v>7</v>
      </c>
      <c r="D3673">
        <v>30</v>
      </c>
      <c r="E3673">
        <v>180</v>
      </c>
      <c r="F3673">
        <v>2</v>
      </c>
      <c r="G3673">
        <v>30</v>
      </c>
      <c r="H3673">
        <v>18</v>
      </c>
      <c r="I3673">
        <v>553</v>
      </c>
      <c r="J3673">
        <v>570</v>
      </c>
      <c r="K3673">
        <v>6.88</v>
      </c>
      <c r="L3673">
        <v>11.450000000000001</v>
      </c>
      <c r="M3673">
        <v>145</v>
      </c>
      <c r="N3673">
        <v>11.75</v>
      </c>
      <c r="O3673">
        <v>1673</v>
      </c>
      <c r="P3673">
        <v>543</v>
      </c>
      <c r="Q3673" s="5" t="e">
        <f>IF(AND(#REF!&gt;=table!$C$6,#REF!&lt;= table!$D$6),-1,IF(AND(#REF!&gt;=table!$E$6,#REF!&lt;=table!$F$6),1,0))</f>
        <v>#REF!</v>
      </c>
      <c r="R3673" s="5" t="e">
        <f>IF(AND(#REF!&gt;=table!$C$7,#REF!&lt;= table!$D$7),-1,IF(AND(#REF!&gt;=table!$E$7,#REF!&lt;=table!$F$7),1,0))</f>
        <v>#REF!</v>
      </c>
      <c r="S3673" s="5" t="e">
        <f>IF(AND(#REF!&gt;=table!$C$8,#REF!&lt;= table!$D$8),-1,IF(AND(#REF!&gt;=table!$E$8,#REF!&lt;=table!$F$8),1,0))</f>
        <v>#REF!</v>
      </c>
      <c r="T3673" s="5"/>
      <c r="U3673" s="5" t="e">
        <f>IF(AND(#REF!&gt;=table!$C$10,#REF!&lt;= table!$D$10),-1,IF(AND(#REF!&gt;=table!$E$10,#REF!&lt;=table!$F$10),1,0))</f>
        <v>#REF!</v>
      </c>
      <c r="V3673" s="5" t="e">
        <f>IF(AND(#REF!&gt;=table!$C$11,#REF!&lt;= table!$D$11),-1,IF(AND(#REF!&gt;=table!$E$11,#REF!&lt;=table!$F$11),1,0))</f>
        <v>#REF!</v>
      </c>
      <c r="W3673" s="5" t="e">
        <f>CONCATENATE(dados[[#This Row],[fator1]],dados[[#This Row],[fator5]],dados[[#This Row],[fator6]])</f>
        <v>#REF!</v>
      </c>
    </row>
    <row r="3674" spans="1:23">
      <c r="A3674" t="s">
        <v>17</v>
      </c>
      <c r="B3674">
        <v>587794</v>
      </c>
      <c r="C3674">
        <v>7</v>
      </c>
      <c r="D3674">
        <v>30</v>
      </c>
      <c r="E3674">
        <v>180</v>
      </c>
      <c r="F3674">
        <v>2</v>
      </c>
      <c r="G3674">
        <v>30</v>
      </c>
      <c r="H3674">
        <v>18</v>
      </c>
      <c r="I3674">
        <v>818</v>
      </c>
      <c r="J3674">
        <v>0</v>
      </c>
      <c r="K3674">
        <v>3.83</v>
      </c>
      <c r="L3674">
        <v>8</v>
      </c>
      <c r="M3674">
        <v>150.07500000000002</v>
      </c>
      <c r="N3674">
        <v>9.4350000000000005</v>
      </c>
      <c r="O3674">
        <v>1684</v>
      </c>
      <c r="P3674">
        <v>962</v>
      </c>
      <c r="Q3674" s="5" t="e">
        <f>IF(AND(#REF!&gt;=table!$C$6,#REF!&lt;= table!$D$6),-1,IF(AND(#REF!&gt;=table!$E$6,#REF!&lt;=table!$F$6),1,0))</f>
        <v>#REF!</v>
      </c>
      <c r="R3674" s="5" t="e">
        <f>IF(AND(#REF!&gt;=table!$C$7,#REF!&lt;= table!$D$7),-1,IF(AND(#REF!&gt;=table!$E$7,#REF!&lt;=table!$F$7),1,0))</f>
        <v>#REF!</v>
      </c>
      <c r="S3674" s="5" t="e">
        <f>IF(AND(#REF!&gt;=table!$C$8,#REF!&lt;= table!$D$8),-1,IF(AND(#REF!&gt;=table!$E$8,#REF!&lt;=table!$F$8),1,0))</f>
        <v>#REF!</v>
      </c>
      <c r="T3674" s="5"/>
      <c r="U3674" s="5" t="e">
        <f>IF(AND(#REF!&gt;=table!$C$10,#REF!&lt;= table!$D$10),-1,IF(AND(#REF!&gt;=table!$E$10,#REF!&lt;=table!$F$10),1,0))</f>
        <v>#REF!</v>
      </c>
      <c r="V3674" s="5" t="e">
        <f>IF(AND(#REF!&gt;=table!$C$11,#REF!&lt;= table!$D$11),-1,IF(AND(#REF!&gt;=table!$E$11,#REF!&lt;=table!$F$11),1,0))</f>
        <v>#REF!</v>
      </c>
      <c r="W3674" s="5" t="e">
        <f>CONCATENATE(dados[[#This Row],[fator1]],dados[[#This Row],[fator5]],dados[[#This Row],[fator6]])</f>
        <v>#REF!</v>
      </c>
    </row>
    <row r="3675" spans="1:23">
      <c r="A3675" t="s">
        <v>16</v>
      </c>
      <c r="B3675">
        <v>587796</v>
      </c>
      <c r="C3675">
        <v>12</v>
      </c>
      <c r="D3675">
        <v>35</v>
      </c>
      <c r="E3675">
        <v>86</v>
      </c>
      <c r="F3675">
        <v>10</v>
      </c>
      <c r="G3675">
        <v>0</v>
      </c>
      <c r="H3675">
        <v>25</v>
      </c>
      <c r="I3675">
        <v>860</v>
      </c>
      <c r="J3675">
        <v>430</v>
      </c>
      <c r="K3675">
        <v>3.8850000000000002</v>
      </c>
      <c r="L3675">
        <v>7.55</v>
      </c>
      <c r="M3675">
        <v>86.100000000000009</v>
      </c>
      <c r="N3675">
        <v>11.9</v>
      </c>
      <c r="O3675">
        <v>1641</v>
      </c>
      <c r="P3675">
        <v>571</v>
      </c>
      <c r="Q3675" s="5" t="e">
        <f>IF(AND(#REF!&gt;=table!$C$6,#REF!&lt;= table!$D$6),-1,IF(AND(#REF!&gt;=table!$E$6,#REF!&lt;=table!$F$6),1,0))</f>
        <v>#REF!</v>
      </c>
      <c r="R3675" s="5" t="e">
        <f>IF(AND(#REF!&gt;=table!$C$7,#REF!&lt;= table!$D$7),-1,IF(AND(#REF!&gt;=table!$E$7,#REF!&lt;=table!$F$7),1,0))</f>
        <v>#REF!</v>
      </c>
      <c r="S3675" s="5" t="e">
        <f>IF(AND(#REF!&gt;=table!$C$8,#REF!&lt;= table!$D$8),-1,IF(AND(#REF!&gt;=table!$E$8,#REF!&lt;=table!$F$8),1,0))</f>
        <v>#REF!</v>
      </c>
      <c r="T3675" s="5"/>
      <c r="U3675" s="5" t="e">
        <f>IF(AND(#REF!&gt;=table!$C$10,#REF!&lt;= table!$D$10),-1,IF(AND(#REF!&gt;=table!$E$10,#REF!&lt;=table!$F$10),1,0))</f>
        <v>#REF!</v>
      </c>
      <c r="V3675" s="5" t="e">
        <f>IF(AND(#REF!&gt;=table!$C$11,#REF!&lt;= table!$D$11),-1,IF(AND(#REF!&gt;=table!$E$11,#REF!&lt;=table!$F$11),1,0))</f>
        <v>#REF!</v>
      </c>
      <c r="W3675" s="5" t="e">
        <f>CONCATENATE(dados[[#This Row],[fator1]],dados[[#This Row],[fator5]],dados[[#This Row],[fator6]])</f>
        <v>#REF!</v>
      </c>
    </row>
    <row r="3676" spans="1:23">
      <c r="A3676" t="s">
        <v>16</v>
      </c>
      <c r="B3676">
        <v>587800</v>
      </c>
      <c r="C3676">
        <v>0.15</v>
      </c>
      <c r="D3676">
        <v>40</v>
      </c>
      <c r="E3676">
        <v>10</v>
      </c>
      <c r="F3676">
        <v>15</v>
      </c>
      <c r="G3676">
        <v>0</v>
      </c>
      <c r="H3676">
        <v>15</v>
      </c>
      <c r="I3676">
        <v>899</v>
      </c>
      <c r="J3676">
        <v>0</v>
      </c>
      <c r="K3676">
        <v>2.4950000000000001</v>
      </c>
      <c r="L3676">
        <v>10.1</v>
      </c>
      <c r="M3676">
        <v>8.25</v>
      </c>
      <c r="N3676">
        <v>12.9</v>
      </c>
      <c r="O3676">
        <v>1673</v>
      </c>
      <c r="P3676">
        <v>1121</v>
      </c>
      <c r="Q3676" s="5" t="e">
        <f>IF(AND(#REF!&gt;=table!$C$6,#REF!&lt;= table!$D$6),-1,IF(AND(#REF!&gt;=table!$E$6,#REF!&lt;=table!$F$6),1,0))</f>
        <v>#REF!</v>
      </c>
      <c r="R3676" s="5" t="e">
        <f>IF(AND(#REF!&gt;=table!$C$7,#REF!&lt;= table!$D$7),-1,IF(AND(#REF!&gt;=table!$E$7,#REF!&lt;=table!$F$7),1,0))</f>
        <v>#REF!</v>
      </c>
      <c r="S3676" s="5" t="e">
        <f>IF(AND(#REF!&gt;=table!$C$8,#REF!&lt;= table!$D$8),-1,IF(AND(#REF!&gt;=table!$E$8,#REF!&lt;=table!$F$8),1,0))</f>
        <v>#REF!</v>
      </c>
      <c r="T3676" s="5"/>
      <c r="U3676" s="5" t="e">
        <f>IF(AND(#REF!&gt;=table!$C$10,#REF!&lt;= table!$D$10),-1,IF(AND(#REF!&gt;=table!$E$10,#REF!&lt;=table!$F$10),1,0))</f>
        <v>#REF!</v>
      </c>
      <c r="V3676" s="5" t="e">
        <f>IF(AND(#REF!&gt;=table!$C$11,#REF!&lt;= table!$D$11),-1,IF(AND(#REF!&gt;=table!$E$11,#REF!&lt;=table!$F$11),1,0))</f>
        <v>#REF!</v>
      </c>
      <c r="W3676" s="5" t="e">
        <f>CONCATENATE(dados[[#This Row],[fator1]],dados[[#This Row],[fator5]],dados[[#This Row],[fator6]])</f>
        <v>#REF!</v>
      </c>
    </row>
    <row r="3677" spans="1:23">
      <c r="A3677" t="s">
        <v>16</v>
      </c>
      <c r="B3677">
        <v>587801</v>
      </c>
      <c r="C3677">
        <v>0.2</v>
      </c>
      <c r="D3677">
        <v>65</v>
      </c>
      <c r="E3677">
        <v>26</v>
      </c>
      <c r="F3677">
        <v>15</v>
      </c>
      <c r="G3677">
        <v>0</v>
      </c>
      <c r="H3677">
        <v>30</v>
      </c>
      <c r="I3677">
        <v>273</v>
      </c>
      <c r="J3677">
        <v>0</v>
      </c>
      <c r="K3677">
        <v>2.5449999999999999</v>
      </c>
      <c r="L3677">
        <v>11</v>
      </c>
      <c r="M3677">
        <v>9.9500000000000011</v>
      </c>
      <c r="N3677">
        <v>18.95</v>
      </c>
      <c r="O3677">
        <v>1675</v>
      </c>
      <c r="P3677">
        <v>1121</v>
      </c>
      <c r="Q3677" s="5" t="e">
        <f>IF(AND(#REF!&gt;=table!$C$6,#REF!&lt;= table!$D$6),-1,IF(AND(#REF!&gt;=table!$E$6,#REF!&lt;=table!$F$6),1,0))</f>
        <v>#REF!</v>
      </c>
      <c r="R3677" s="5" t="e">
        <f>IF(AND(#REF!&gt;=table!$C$7,#REF!&lt;= table!$D$7),-1,IF(AND(#REF!&gt;=table!$E$7,#REF!&lt;=table!$F$7),1,0))</f>
        <v>#REF!</v>
      </c>
      <c r="S3677" s="5" t="e">
        <f>IF(AND(#REF!&gt;=table!$C$8,#REF!&lt;= table!$D$8),-1,IF(AND(#REF!&gt;=table!$E$8,#REF!&lt;=table!$F$8),1,0))</f>
        <v>#REF!</v>
      </c>
      <c r="T3677" s="5"/>
      <c r="U3677" s="5" t="e">
        <f>IF(AND(#REF!&gt;=table!$C$10,#REF!&lt;= table!$D$10),-1,IF(AND(#REF!&gt;=table!$E$10,#REF!&lt;=table!$F$10),1,0))</f>
        <v>#REF!</v>
      </c>
      <c r="V3677" s="5" t="e">
        <f>IF(AND(#REF!&gt;=table!$C$11,#REF!&lt;= table!$D$11),-1,IF(AND(#REF!&gt;=table!$E$11,#REF!&lt;=table!$F$11),1,0))</f>
        <v>#REF!</v>
      </c>
      <c r="W3677" s="5" t="e">
        <f>CONCATENATE(dados[[#This Row],[fator1]],dados[[#This Row],[fator5]],dados[[#This Row],[fator6]])</f>
        <v>#REF!</v>
      </c>
    </row>
    <row r="3678" spans="1:23">
      <c r="A3678" t="s">
        <v>16</v>
      </c>
      <c r="B3678">
        <v>587802</v>
      </c>
      <c r="C3678">
        <v>0.23</v>
      </c>
      <c r="D3678">
        <v>65</v>
      </c>
      <c r="E3678">
        <v>27</v>
      </c>
      <c r="F3678">
        <v>15</v>
      </c>
      <c r="G3678">
        <v>0</v>
      </c>
      <c r="H3678">
        <v>35</v>
      </c>
      <c r="I3678">
        <v>582</v>
      </c>
      <c r="J3678">
        <v>0</v>
      </c>
      <c r="K3678">
        <v>2.96</v>
      </c>
      <c r="L3678">
        <v>12.265000000000001</v>
      </c>
      <c r="M3678">
        <v>11.26</v>
      </c>
      <c r="N3678">
        <v>18.82</v>
      </c>
      <c r="O3678">
        <v>1660</v>
      </c>
      <c r="P3678">
        <v>876</v>
      </c>
      <c r="Q3678" s="5" t="e">
        <f>IF(AND(#REF!&gt;=table!$C$6,#REF!&lt;= table!$D$6),-1,IF(AND(#REF!&gt;=table!$E$6,#REF!&lt;=table!$F$6),1,0))</f>
        <v>#REF!</v>
      </c>
      <c r="R3678" s="5" t="e">
        <f>IF(AND(#REF!&gt;=table!$C$7,#REF!&lt;= table!$D$7),-1,IF(AND(#REF!&gt;=table!$E$7,#REF!&lt;=table!$F$7),1,0))</f>
        <v>#REF!</v>
      </c>
      <c r="S3678" s="5" t="e">
        <f>IF(AND(#REF!&gt;=table!$C$8,#REF!&lt;= table!$D$8),-1,IF(AND(#REF!&gt;=table!$E$8,#REF!&lt;=table!$F$8),1,0))</f>
        <v>#REF!</v>
      </c>
      <c r="T3678" s="5"/>
      <c r="U3678" s="5" t="e">
        <f>IF(AND(#REF!&gt;=table!$C$10,#REF!&lt;= table!$D$10),-1,IF(AND(#REF!&gt;=table!$E$10,#REF!&lt;=table!$F$10),1,0))</f>
        <v>#REF!</v>
      </c>
      <c r="V3678" s="5" t="e">
        <f>IF(AND(#REF!&gt;=table!$C$11,#REF!&lt;= table!$D$11),-1,IF(AND(#REF!&gt;=table!$E$11,#REF!&lt;=table!$F$11),1,0))</f>
        <v>#REF!</v>
      </c>
      <c r="W3678" s="5" t="e">
        <f>CONCATENATE(dados[[#This Row],[fator1]],dados[[#This Row],[fator5]],dados[[#This Row],[fator6]])</f>
        <v>#REF!</v>
      </c>
    </row>
    <row r="3679" spans="1:23">
      <c r="A3679" t="s">
        <v>16</v>
      </c>
      <c r="B3679">
        <v>587803</v>
      </c>
      <c r="C3679">
        <v>0.23</v>
      </c>
      <c r="D3679">
        <v>65</v>
      </c>
      <c r="E3679">
        <v>27</v>
      </c>
      <c r="F3679">
        <v>15</v>
      </c>
      <c r="G3679">
        <v>0</v>
      </c>
      <c r="H3679">
        <v>35</v>
      </c>
      <c r="I3679">
        <v>69</v>
      </c>
      <c r="J3679">
        <v>0</v>
      </c>
      <c r="K3679">
        <v>2.2600000000000002</v>
      </c>
      <c r="L3679">
        <v>5.2</v>
      </c>
      <c r="M3679">
        <v>5</v>
      </c>
      <c r="N3679">
        <v>12.450000000000001</v>
      </c>
      <c r="O3679">
        <v>1657</v>
      </c>
      <c r="P3679">
        <v>0</v>
      </c>
      <c r="Q3679" s="5" t="e">
        <f>IF(AND(#REF!&gt;=table!$C$6,#REF!&lt;= table!$D$6),-1,IF(AND(#REF!&gt;=table!$E$6,#REF!&lt;=table!$F$6),1,0))</f>
        <v>#REF!</v>
      </c>
      <c r="R3679" s="5" t="e">
        <f>IF(AND(#REF!&gt;=table!$C$7,#REF!&lt;= table!$D$7),-1,IF(AND(#REF!&gt;=table!$E$7,#REF!&lt;=table!$F$7),1,0))</f>
        <v>#REF!</v>
      </c>
      <c r="S3679" s="5" t="e">
        <f>IF(AND(#REF!&gt;=table!$C$8,#REF!&lt;= table!$D$8),-1,IF(AND(#REF!&gt;=table!$E$8,#REF!&lt;=table!$F$8),1,0))</f>
        <v>#REF!</v>
      </c>
      <c r="T3679" s="5"/>
      <c r="U3679" s="5" t="e">
        <f>IF(AND(#REF!&gt;=table!$C$10,#REF!&lt;= table!$D$10),-1,IF(AND(#REF!&gt;=table!$E$10,#REF!&lt;=table!$F$10),1,0))</f>
        <v>#REF!</v>
      </c>
      <c r="V3679" s="5" t="e">
        <f>IF(AND(#REF!&gt;=table!$C$11,#REF!&lt;= table!$D$11),-1,IF(AND(#REF!&gt;=table!$E$11,#REF!&lt;=table!$F$11),1,0))</f>
        <v>#REF!</v>
      </c>
      <c r="W3679" s="5" t="e">
        <f>CONCATENATE(dados[[#This Row],[fator1]],dados[[#This Row],[fator5]],dados[[#This Row],[fator6]])</f>
        <v>#REF!</v>
      </c>
    </row>
    <row r="3680" spans="1:23">
      <c r="A3680" t="s">
        <v>16</v>
      </c>
      <c r="B3680">
        <v>587814</v>
      </c>
      <c r="C3680">
        <v>0.15</v>
      </c>
      <c r="D3680">
        <v>40</v>
      </c>
      <c r="E3680">
        <v>10</v>
      </c>
      <c r="F3680">
        <v>15</v>
      </c>
      <c r="G3680">
        <v>0</v>
      </c>
      <c r="H3680">
        <v>15</v>
      </c>
      <c r="I3680">
        <v>605</v>
      </c>
      <c r="J3680">
        <v>720</v>
      </c>
      <c r="K3680">
        <v>3.7250000000000001</v>
      </c>
      <c r="L3680">
        <v>8.82</v>
      </c>
      <c r="M3680">
        <v>7.3850000000000007</v>
      </c>
      <c r="N3680">
        <v>10.795</v>
      </c>
      <c r="O3680">
        <v>1649</v>
      </c>
      <c r="P3680">
        <v>731</v>
      </c>
      <c r="Q3680" s="5" t="e">
        <f>IF(AND(#REF!&gt;=table!$C$6,#REF!&lt;= table!$D$6),-1,IF(AND(#REF!&gt;=table!$E$6,#REF!&lt;=table!$F$6),1,0))</f>
        <v>#REF!</v>
      </c>
      <c r="R3680" s="5" t="e">
        <f>IF(AND(#REF!&gt;=table!$C$7,#REF!&lt;= table!$D$7),-1,IF(AND(#REF!&gt;=table!$E$7,#REF!&lt;=table!$F$7),1,0))</f>
        <v>#REF!</v>
      </c>
      <c r="S3680" s="5" t="e">
        <f>IF(AND(#REF!&gt;=table!$C$8,#REF!&lt;= table!$D$8),-1,IF(AND(#REF!&gt;=table!$E$8,#REF!&lt;=table!$F$8),1,0))</f>
        <v>#REF!</v>
      </c>
      <c r="T3680" s="5"/>
      <c r="U3680" s="5" t="e">
        <f>IF(AND(#REF!&gt;=table!$C$10,#REF!&lt;= table!$D$10),-1,IF(AND(#REF!&gt;=table!$E$10,#REF!&lt;=table!$F$10),1,0))</f>
        <v>#REF!</v>
      </c>
      <c r="V3680" s="5" t="e">
        <f>IF(AND(#REF!&gt;=table!$C$11,#REF!&lt;= table!$D$11),-1,IF(AND(#REF!&gt;=table!$E$11,#REF!&lt;=table!$F$11),1,0))</f>
        <v>#REF!</v>
      </c>
      <c r="W3680" s="5" t="e">
        <f>CONCATENATE(dados[[#This Row],[fator1]],dados[[#This Row],[fator5]],dados[[#This Row],[fator6]])</f>
        <v>#REF!</v>
      </c>
    </row>
    <row r="3681" spans="1:23">
      <c r="A3681" t="s">
        <v>17</v>
      </c>
      <c r="B3681">
        <v>587820</v>
      </c>
      <c r="C3681">
        <v>6</v>
      </c>
      <c r="D3681">
        <v>30</v>
      </c>
      <c r="E3681">
        <v>110</v>
      </c>
      <c r="F3681">
        <v>10</v>
      </c>
      <c r="G3681">
        <v>21</v>
      </c>
      <c r="H3681">
        <v>25</v>
      </c>
      <c r="I3681">
        <v>1154</v>
      </c>
      <c r="J3681">
        <v>0</v>
      </c>
      <c r="K3681">
        <v>3.56</v>
      </c>
      <c r="L3681">
        <v>4.25</v>
      </c>
      <c r="M3681">
        <v>106.75</v>
      </c>
      <c r="N3681">
        <v>16.365000000000002</v>
      </c>
      <c r="O3681">
        <v>1653</v>
      </c>
      <c r="P3681">
        <v>1033</v>
      </c>
      <c r="Q3681" s="5" t="e">
        <f>IF(AND(#REF!&gt;=table!$C$6,#REF!&lt;= table!$D$6),-1,IF(AND(#REF!&gt;=table!$E$6,#REF!&lt;=table!$F$6),1,0))</f>
        <v>#REF!</v>
      </c>
      <c r="R3681" s="5" t="e">
        <f>IF(AND(#REF!&gt;=table!$C$7,#REF!&lt;= table!$D$7),-1,IF(AND(#REF!&gt;=table!$E$7,#REF!&lt;=table!$F$7),1,0))</f>
        <v>#REF!</v>
      </c>
      <c r="S3681" s="5" t="e">
        <f>IF(AND(#REF!&gt;=table!$C$8,#REF!&lt;= table!$D$8),-1,IF(AND(#REF!&gt;=table!$E$8,#REF!&lt;=table!$F$8),1,0))</f>
        <v>#REF!</v>
      </c>
      <c r="T3681" s="5"/>
      <c r="U3681" s="5" t="e">
        <f>IF(AND(#REF!&gt;=table!$C$10,#REF!&lt;= table!$D$10),-1,IF(AND(#REF!&gt;=table!$E$10,#REF!&lt;=table!$F$10),1,0))</f>
        <v>#REF!</v>
      </c>
      <c r="V3681" s="5" t="e">
        <f>IF(AND(#REF!&gt;=table!$C$11,#REF!&lt;= table!$D$11),-1,IF(AND(#REF!&gt;=table!$E$11,#REF!&lt;=table!$F$11),1,0))</f>
        <v>#REF!</v>
      </c>
      <c r="W3681" s="5" t="e">
        <f>CONCATENATE(dados[[#This Row],[fator1]],dados[[#This Row],[fator5]],dados[[#This Row],[fator6]])</f>
        <v>#REF!</v>
      </c>
    </row>
    <row r="3682" spans="1:23">
      <c r="A3682" t="s">
        <v>17</v>
      </c>
      <c r="B3682">
        <v>587830</v>
      </c>
      <c r="C3682">
        <v>16</v>
      </c>
      <c r="D3682">
        <v>23</v>
      </c>
      <c r="E3682">
        <v>145</v>
      </c>
      <c r="F3682">
        <v>9</v>
      </c>
      <c r="G3682">
        <v>30</v>
      </c>
      <c r="H3682">
        <v>25</v>
      </c>
      <c r="I3682">
        <v>1271</v>
      </c>
      <c r="J3682">
        <v>770</v>
      </c>
      <c r="K3682">
        <v>4.8</v>
      </c>
      <c r="L3682">
        <v>5.5</v>
      </c>
      <c r="M3682">
        <v>116.45</v>
      </c>
      <c r="N3682">
        <v>15.950000000000001</v>
      </c>
      <c r="O3682">
        <v>1603</v>
      </c>
      <c r="P3682">
        <v>623</v>
      </c>
      <c r="Q3682" s="5" t="e">
        <f>IF(AND(#REF!&gt;=table!$C$6,#REF!&lt;= table!$D$6),-1,IF(AND(#REF!&gt;=table!$E$6,#REF!&lt;=table!$F$6),1,0))</f>
        <v>#REF!</v>
      </c>
      <c r="R3682" s="5" t="e">
        <f>IF(AND(#REF!&gt;=table!$C$7,#REF!&lt;= table!$D$7),-1,IF(AND(#REF!&gt;=table!$E$7,#REF!&lt;=table!$F$7),1,0))</f>
        <v>#REF!</v>
      </c>
      <c r="S3682" s="5" t="e">
        <f>IF(AND(#REF!&gt;=table!$C$8,#REF!&lt;= table!$D$8),-1,IF(AND(#REF!&gt;=table!$E$8,#REF!&lt;=table!$F$8),1,0))</f>
        <v>#REF!</v>
      </c>
      <c r="T3682" s="5"/>
      <c r="U3682" s="5" t="e">
        <f>IF(AND(#REF!&gt;=table!$C$10,#REF!&lt;= table!$D$10),-1,IF(AND(#REF!&gt;=table!$E$10,#REF!&lt;=table!$F$10),1,0))</f>
        <v>#REF!</v>
      </c>
      <c r="V3682" s="5" t="e">
        <f>IF(AND(#REF!&gt;=table!$C$11,#REF!&lt;= table!$D$11),-1,IF(AND(#REF!&gt;=table!$E$11,#REF!&lt;=table!$F$11),1,0))</f>
        <v>#REF!</v>
      </c>
      <c r="W3682" s="5" t="e">
        <f>CONCATENATE(dados[[#This Row],[fator1]],dados[[#This Row],[fator5]],dados[[#This Row],[fator6]])</f>
        <v>#REF!</v>
      </c>
    </row>
    <row r="3683" spans="1:23">
      <c r="A3683" t="s">
        <v>16</v>
      </c>
      <c r="B3683">
        <v>587833</v>
      </c>
      <c r="C3683">
        <v>10</v>
      </c>
      <c r="D3683">
        <v>40</v>
      </c>
      <c r="E3683">
        <v>96</v>
      </c>
      <c r="F3683">
        <v>8</v>
      </c>
      <c r="G3683">
        <v>0</v>
      </c>
      <c r="H3683">
        <v>25</v>
      </c>
      <c r="I3683">
        <v>0</v>
      </c>
      <c r="J3683">
        <v>0</v>
      </c>
      <c r="K3683">
        <v>2.5249999999999999</v>
      </c>
      <c r="L3683">
        <v>5.75</v>
      </c>
      <c r="M3683">
        <v>73.8</v>
      </c>
      <c r="N3683">
        <v>15.200000000000001</v>
      </c>
      <c r="O3683">
        <v>1683</v>
      </c>
      <c r="P3683">
        <v>0</v>
      </c>
      <c r="Q3683" s="5" t="e">
        <f>IF(AND(#REF!&gt;=table!$C$6,#REF!&lt;= table!$D$6),-1,IF(AND(#REF!&gt;=table!$E$6,#REF!&lt;=table!$F$6),1,0))</f>
        <v>#REF!</v>
      </c>
      <c r="R3683" s="5" t="e">
        <f>IF(AND(#REF!&gt;=table!$C$7,#REF!&lt;= table!$D$7),-1,IF(AND(#REF!&gt;=table!$E$7,#REF!&lt;=table!$F$7),1,0))</f>
        <v>#REF!</v>
      </c>
      <c r="S3683" s="5" t="e">
        <f>IF(AND(#REF!&gt;=table!$C$8,#REF!&lt;= table!$D$8),-1,IF(AND(#REF!&gt;=table!$E$8,#REF!&lt;=table!$F$8),1,0))</f>
        <v>#REF!</v>
      </c>
      <c r="T3683" s="5"/>
      <c r="U3683" s="5" t="e">
        <f>IF(AND(#REF!&gt;=table!$C$10,#REF!&lt;= table!$D$10),-1,IF(AND(#REF!&gt;=table!$E$10,#REF!&lt;=table!$F$10),1,0))</f>
        <v>#REF!</v>
      </c>
      <c r="V3683" s="5" t="e">
        <f>IF(AND(#REF!&gt;=table!$C$11,#REF!&lt;= table!$D$11),-1,IF(AND(#REF!&gt;=table!$E$11,#REF!&lt;=table!$F$11),1,0))</f>
        <v>#REF!</v>
      </c>
      <c r="W3683" s="5" t="e">
        <f>CONCATENATE(dados[[#This Row],[fator1]],dados[[#This Row],[fator5]],dados[[#This Row],[fator6]])</f>
        <v>#REF!</v>
      </c>
    </row>
    <row r="3684" spans="1:23">
      <c r="A3684" t="s">
        <v>16</v>
      </c>
      <c r="B3684">
        <v>587836</v>
      </c>
      <c r="C3684">
        <v>0.15</v>
      </c>
      <c r="D3684">
        <v>40</v>
      </c>
      <c r="E3684">
        <v>10</v>
      </c>
      <c r="F3684">
        <v>15</v>
      </c>
      <c r="G3684">
        <v>0</v>
      </c>
      <c r="H3684">
        <v>15</v>
      </c>
      <c r="I3684">
        <v>1</v>
      </c>
      <c r="J3684">
        <v>0</v>
      </c>
      <c r="K3684">
        <v>4.1850000000000005</v>
      </c>
      <c r="L3684">
        <v>10.050000000000001</v>
      </c>
      <c r="M3684">
        <v>9.0500000000000007</v>
      </c>
      <c r="N3684">
        <v>12.9</v>
      </c>
      <c r="O3684">
        <v>1694</v>
      </c>
      <c r="P3684">
        <v>857</v>
      </c>
      <c r="Q3684" s="5" t="e">
        <f>IF(AND(#REF!&gt;=table!$C$6,#REF!&lt;= table!$D$6),-1,IF(AND(#REF!&gt;=table!$E$6,#REF!&lt;=table!$F$6),1,0))</f>
        <v>#REF!</v>
      </c>
      <c r="R3684" s="5" t="e">
        <f>IF(AND(#REF!&gt;=table!$C$7,#REF!&lt;= table!$D$7),-1,IF(AND(#REF!&gt;=table!$E$7,#REF!&lt;=table!$F$7),1,0))</f>
        <v>#REF!</v>
      </c>
      <c r="S3684" s="5" t="e">
        <f>IF(AND(#REF!&gt;=table!$C$8,#REF!&lt;= table!$D$8),-1,IF(AND(#REF!&gt;=table!$E$8,#REF!&lt;=table!$F$8),1,0))</f>
        <v>#REF!</v>
      </c>
      <c r="T3684" s="5"/>
      <c r="U3684" s="5" t="e">
        <f>IF(AND(#REF!&gt;=table!$C$10,#REF!&lt;= table!$D$10),-1,IF(AND(#REF!&gt;=table!$E$10,#REF!&lt;=table!$F$10),1,0))</f>
        <v>#REF!</v>
      </c>
      <c r="V3684" s="5" t="e">
        <f>IF(AND(#REF!&gt;=table!$C$11,#REF!&lt;= table!$D$11),-1,IF(AND(#REF!&gt;=table!$E$11,#REF!&lt;=table!$F$11),1,0))</f>
        <v>#REF!</v>
      </c>
      <c r="W3684" s="5" t="e">
        <f>CONCATENATE(dados[[#This Row],[fator1]],dados[[#This Row],[fator5]],dados[[#This Row],[fator6]])</f>
        <v>#REF!</v>
      </c>
    </row>
    <row r="3685" spans="1:23">
      <c r="A3685" t="s">
        <v>16</v>
      </c>
      <c r="B3685">
        <v>587840</v>
      </c>
      <c r="C3685">
        <v>10</v>
      </c>
      <c r="D3685">
        <v>40</v>
      </c>
      <c r="E3685">
        <v>100</v>
      </c>
      <c r="F3685">
        <v>8</v>
      </c>
      <c r="G3685">
        <v>0</v>
      </c>
      <c r="H3685">
        <v>25</v>
      </c>
      <c r="I3685">
        <v>1</v>
      </c>
      <c r="J3685">
        <v>0</v>
      </c>
      <c r="K3685">
        <v>3.6550000000000002</v>
      </c>
      <c r="L3685">
        <v>13.1</v>
      </c>
      <c r="M3685">
        <v>88</v>
      </c>
      <c r="N3685">
        <v>18.25</v>
      </c>
      <c r="O3685">
        <v>1681</v>
      </c>
      <c r="P3685">
        <v>863</v>
      </c>
      <c r="Q3685" s="5" t="e">
        <f>IF(AND(#REF!&gt;=table!$C$6,#REF!&lt;= table!$D$6),-1,IF(AND(#REF!&gt;=table!$E$6,#REF!&lt;=table!$F$6),1,0))</f>
        <v>#REF!</v>
      </c>
      <c r="R3685" s="5" t="e">
        <f>IF(AND(#REF!&gt;=table!$C$7,#REF!&lt;= table!$D$7),-1,IF(AND(#REF!&gt;=table!$E$7,#REF!&lt;=table!$F$7),1,0))</f>
        <v>#REF!</v>
      </c>
      <c r="S3685" s="5" t="e">
        <f>IF(AND(#REF!&gt;=table!$C$8,#REF!&lt;= table!$D$8),-1,IF(AND(#REF!&gt;=table!$E$8,#REF!&lt;=table!$F$8),1,0))</f>
        <v>#REF!</v>
      </c>
      <c r="T3685" s="5"/>
      <c r="U3685" s="5" t="e">
        <f>IF(AND(#REF!&gt;=table!$C$10,#REF!&lt;= table!$D$10),-1,IF(AND(#REF!&gt;=table!$E$10,#REF!&lt;=table!$F$10),1,0))</f>
        <v>#REF!</v>
      </c>
      <c r="V3685" s="5" t="e">
        <f>IF(AND(#REF!&gt;=table!$C$11,#REF!&lt;= table!$D$11),-1,IF(AND(#REF!&gt;=table!$E$11,#REF!&lt;=table!$F$11),1,0))</f>
        <v>#REF!</v>
      </c>
      <c r="W3685" s="5" t="e">
        <f>CONCATENATE(dados[[#This Row],[fator1]],dados[[#This Row],[fator5]],dados[[#This Row],[fator6]])</f>
        <v>#REF!</v>
      </c>
    </row>
    <row r="3686" spans="1:23">
      <c r="A3686" t="s">
        <v>16</v>
      </c>
      <c r="B3686">
        <v>587843</v>
      </c>
      <c r="C3686">
        <v>8</v>
      </c>
      <c r="D3686">
        <v>30</v>
      </c>
      <c r="E3686">
        <v>86</v>
      </c>
      <c r="F3686">
        <v>9</v>
      </c>
      <c r="G3686">
        <v>0</v>
      </c>
      <c r="H3686">
        <v>25</v>
      </c>
      <c r="I3686">
        <v>956</v>
      </c>
      <c r="J3686">
        <v>0</v>
      </c>
      <c r="K3686">
        <v>2.7150000000000003</v>
      </c>
      <c r="L3686">
        <v>12.5</v>
      </c>
      <c r="M3686">
        <v>67.5</v>
      </c>
      <c r="N3686">
        <v>17.7</v>
      </c>
      <c r="O3686">
        <v>1705</v>
      </c>
      <c r="P3686">
        <v>0</v>
      </c>
      <c r="Q3686" s="5" t="e">
        <f>IF(AND(#REF!&gt;=table!$C$6,#REF!&lt;= table!$D$6),-1,IF(AND(#REF!&gt;=table!$E$6,#REF!&lt;=table!$F$6),1,0))</f>
        <v>#REF!</v>
      </c>
      <c r="R3686" s="5" t="e">
        <f>IF(AND(#REF!&gt;=table!$C$7,#REF!&lt;= table!$D$7),-1,IF(AND(#REF!&gt;=table!$E$7,#REF!&lt;=table!$F$7),1,0))</f>
        <v>#REF!</v>
      </c>
      <c r="S3686" s="5" t="e">
        <f>IF(AND(#REF!&gt;=table!$C$8,#REF!&lt;= table!$D$8),-1,IF(AND(#REF!&gt;=table!$E$8,#REF!&lt;=table!$F$8),1,0))</f>
        <v>#REF!</v>
      </c>
      <c r="T3686" s="5"/>
      <c r="U3686" s="5" t="e">
        <f>IF(AND(#REF!&gt;=table!$C$10,#REF!&lt;= table!$D$10),-1,IF(AND(#REF!&gt;=table!$E$10,#REF!&lt;=table!$F$10),1,0))</f>
        <v>#REF!</v>
      </c>
      <c r="V3686" s="5" t="e">
        <f>IF(AND(#REF!&gt;=table!$C$11,#REF!&lt;= table!$D$11),-1,IF(AND(#REF!&gt;=table!$E$11,#REF!&lt;=table!$F$11),1,0))</f>
        <v>#REF!</v>
      </c>
      <c r="W3686" s="5" t="e">
        <f>CONCATENATE(dados[[#This Row],[fator1]],dados[[#This Row],[fator5]],dados[[#This Row],[fator6]])</f>
        <v>#REF!</v>
      </c>
    </row>
    <row r="3687" spans="1:23">
      <c r="A3687" t="s">
        <v>17</v>
      </c>
      <c r="B3687">
        <v>587853</v>
      </c>
      <c r="C3687">
        <v>45</v>
      </c>
      <c r="D3687">
        <v>30</v>
      </c>
      <c r="E3687">
        <v>126</v>
      </c>
      <c r="F3687">
        <v>9</v>
      </c>
      <c r="G3687">
        <v>23</v>
      </c>
      <c r="H3687">
        <v>22</v>
      </c>
      <c r="I3687">
        <v>67</v>
      </c>
      <c r="J3687">
        <v>0</v>
      </c>
      <c r="K3687">
        <v>12.96</v>
      </c>
      <c r="L3687">
        <v>17.05</v>
      </c>
      <c r="M3687">
        <v>121.2</v>
      </c>
      <c r="N3687">
        <v>19.900000000000002</v>
      </c>
      <c r="O3687">
        <v>1671</v>
      </c>
      <c r="P3687">
        <v>309</v>
      </c>
      <c r="Q3687" s="5" t="e">
        <f>IF(AND(#REF!&gt;=table!$C$6,#REF!&lt;= table!$D$6),-1,IF(AND(#REF!&gt;=table!$E$6,#REF!&lt;=table!$F$6),1,0))</f>
        <v>#REF!</v>
      </c>
      <c r="R3687" s="5" t="e">
        <f>IF(AND(#REF!&gt;=table!$C$7,#REF!&lt;= table!$D$7),-1,IF(AND(#REF!&gt;=table!$E$7,#REF!&lt;=table!$F$7),1,0))</f>
        <v>#REF!</v>
      </c>
      <c r="S3687" s="5" t="e">
        <f>IF(AND(#REF!&gt;=table!$C$8,#REF!&lt;= table!$D$8),-1,IF(AND(#REF!&gt;=table!$E$8,#REF!&lt;=table!$F$8),1,0))</f>
        <v>#REF!</v>
      </c>
      <c r="T3687" s="5"/>
      <c r="U3687" s="5" t="e">
        <f>IF(AND(#REF!&gt;=table!$C$10,#REF!&lt;= table!$D$10),-1,IF(AND(#REF!&gt;=table!$E$10,#REF!&lt;=table!$F$10),1,0))</f>
        <v>#REF!</v>
      </c>
      <c r="V3687" s="5" t="e">
        <f>IF(AND(#REF!&gt;=table!$C$11,#REF!&lt;= table!$D$11),-1,IF(AND(#REF!&gt;=table!$E$11,#REF!&lt;=table!$F$11),1,0))</f>
        <v>#REF!</v>
      </c>
      <c r="W3687" s="5" t="e">
        <f>CONCATENATE(dados[[#This Row],[fator1]],dados[[#This Row],[fator5]],dados[[#This Row],[fator6]])</f>
        <v>#REF!</v>
      </c>
    </row>
    <row r="3688" spans="1:23">
      <c r="A3688" t="s">
        <v>17</v>
      </c>
      <c r="B3688">
        <v>587858</v>
      </c>
      <c r="C3688">
        <v>6</v>
      </c>
      <c r="D3688">
        <v>30</v>
      </c>
      <c r="E3688">
        <v>110</v>
      </c>
      <c r="F3688">
        <v>8</v>
      </c>
      <c r="G3688">
        <v>21</v>
      </c>
      <c r="H3688">
        <v>25</v>
      </c>
      <c r="I3688">
        <v>0</v>
      </c>
      <c r="J3688">
        <v>630</v>
      </c>
      <c r="K3688">
        <v>3.86</v>
      </c>
      <c r="L3688">
        <v>23.150000000000002</v>
      </c>
      <c r="M3688">
        <v>96.465000000000003</v>
      </c>
      <c r="N3688">
        <v>20.41</v>
      </c>
      <c r="O3688">
        <v>1691</v>
      </c>
      <c r="P3688">
        <v>1189</v>
      </c>
      <c r="Q3688" s="5" t="e">
        <f>IF(AND(#REF!&gt;=table!$C$6,#REF!&lt;= table!$D$6),-1,IF(AND(#REF!&gt;=table!$E$6,#REF!&lt;=table!$F$6),1,0))</f>
        <v>#REF!</v>
      </c>
      <c r="R3688" s="5" t="e">
        <f>IF(AND(#REF!&gt;=table!$C$7,#REF!&lt;= table!$D$7),-1,IF(AND(#REF!&gt;=table!$E$7,#REF!&lt;=table!$F$7),1,0))</f>
        <v>#REF!</v>
      </c>
      <c r="S3688" s="5" t="e">
        <f>IF(AND(#REF!&gt;=table!$C$8,#REF!&lt;= table!$D$8),-1,IF(AND(#REF!&gt;=table!$E$8,#REF!&lt;=table!$F$8),1,0))</f>
        <v>#REF!</v>
      </c>
      <c r="T3688" s="5"/>
      <c r="U3688" s="5" t="e">
        <f>IF(AND(#REF!&gt;=table!$C$10,#REF!&lt;= table!$D$10),-1,IF(AND(#REF!&gt;=table!$E$10,#REF!&lt;=table!$F$10),1,0))</f>
        <v>#REF!</v>
      </c>
      <c r="V3688" s="5" t="e">
        <f>IF(AND(#REF!&gt;=table!$C$11,#REF!&lt;= table!$D$11),-1,IF(AND(#REF!&gt;=table!$E$11,#REF!&lt;=table!$F$11),1,0))</f>
        <v>#REF!</v>
      </c>
      <c r="W3688" s="5" t="e">
        <f>CONCATENATE(dados[[#This Row],[fator1]],dados[[#This Row],[fator5]],dados[[#This Row],[fator6]])</f>
        <v>#REF!</v>
      </c>
    </row>
    <row r="3689" spans="1:23">
      <c r="A3689" t="s">
        <v>17</v>
      </c>
      <c r="B3689">
        <v>587859</v>
      </c>
      <c r="C3689">
        <v>6</v>
      </c>
      <c r="D3689">
        <v>30</v>
      </c>
      <c r="E3689">
        <v>110</v>
      </c>
      <c r="F3689">
        <v>10</v>
      </c>
      <c r="G3689">
        <v>21</v>
      </c>
      <c r="H3689">
        <v>25</v>
      </c>
      <c r="I3689">
        <v>0</v>
      </c>
      <c r="J3689">
        <v>0</v>
      </c>
      <c r="K3689">
        <v>5.57</v>
      </c>
      <c r="L3689">
        <v>9.3000000000000007</v>
      </c>
      <c r="M3689">
        <v>91.41</v>
      </c>
      <c r="N3689">
        <v>16.53</v>
      </c>
      <c r="O3689">
        <v>1684</v>
      </c>
      <c r="P3689">
        <v>785</v>
      </c>
      <c r="Q3689" s="5" t="e">
        <f>IF(AND(#REF!&gt;=table!$C$6,#REF!&lt;= table!$D$6),-1,IF(AND(#REF!&gt;=table!$E$6,#REF!&lt;=table!$F$6),1,0))</f>
        <v>#REF!</v>
      </c>
      <c r="R3689" s="5" t="e">
        <f>IF(AND(#REF!&gt;=table!$C$7,#REF!&lt;= table!$D$7),-1,IF(AND(#REF!&gt;=table!$E$7,#REF!&lt;=table!$F$7),1,0))</f>
        <v>#REF!</v>
      </c>
      <c r="S3689" s="5" t="e">
        <f>IF(AND(#REF!&gt;=table!$C$8,#REF!&lt;= table!$D$8),-1,IF(AND(#REF!&gt;=table!$E$8,#REF!&lt;=table!$F$8),1,0))</f>
        <v>#REF!</v>
      </c>
      <c r="T3689" s="5"/>
      <c r="U3689" s="5" t="e">
        <f>IF(AND(#REF!&gt;=table!$C$10,#REF!&lt;= table!$D$10),-1,IF(AND(#REF!&gt;=table!$E$10,#REF!&lt;=table!$F$10),1,0))</f>
        <v>#REF!</v>
      </c>
      <c r="V3689" s="5" t="e">
        <f>IF(AND(#REF!&gt;=table!$C$11,#REF!&lt;= table!$D$11),-1,IF(AND(#REF!&gt;=table!$E$11,#REF!&lt;=table!$F$11),1,0))</f>
        <v>#REF!</v>
      </c>
      <c r="W3689" s="5" t="e">
        <f>CONCATENATE(dados[[#This Row],[fator1]],dados[[#This Row],[fator5]],dados[[#This Row],[fator6]])</f>
        <v>#REF!</v>
      </c>
    </row>
    <row r="3690" spans="1:23">
      <c r="A3690" t="s">
        <v>17</v>
      </c>
      <c r="B3690">
        <v>587861</v>
      </c>
      <c r="C3690">
        <v>19</v>
      </c>
      <c r="D3690">
        <v>33</v>
      </c>
      <c r="E3690">
        <v>101</v>
      </c>
      <c r="F3690">
        <v>9</v>
      </c>
      <c r="G3690">
        <v>28</v>
      </c>
      <c r="H3690">
        <v>25</v>
      </c>
      <c r="I3690">
        <v>544</v>
      </c>
      <c r="J3690">
        <v>0</v>
      </c>
      <c r="K3690">
        <v>2.7650000000000001</v>
      </c>
      <c r="L3690">
        <v>6.8500000000000005</v>
      </c>
      <c r="M3690">
        <v>71.45</v>
      </c>
      <c r="N3690">
        <v>9.2000000000000011</v>
      </c>
      <c r="O3690">
        <v>1642</v>
      </c>
      <c r="P3690">
        <v>1126</v>
      </c>
      <c r="Q3690" s="5" t="e">
        <f>IF(AND(#REF!&gt;=table!$C$6,#REF!&lt;= table!$D$6),-1,IF(AND(#REF!&gt;=table!$E$6,#REF!&lt;=table!$F$6),1,0))</f>
        <v>#REF!</v>
      </c>
      <c r="R3690" s="5" t="e">
        <f>IF(AND(#REF!&gt;=table!$C$7,#REF!&lt;= table!$D$7),-1,IF(AND(#REF!&gt;=table!$E$7,#REF!&lt;=table!$F$7),1,0))</f>
        <v>#REF!</v>
      </c>
      <c r="S3690" s="5" t="e">
        <f>IF(AND(#REF!&gt;=table!$C$8,#REF!&lt;= table!$D$8),-1,IF(AND(#REF!&gt;=table!$E$8,#REF!&lt;=table!$F$8),1,0))</f>
        <v>#REF!</v>
      </c>
      <c r="T3690" s="5"/>
      <c r="U3690" s="5" t="e">
        <f>IF(AND(#REF!&gt;=table!$C$10,#REF!&lt;= table!$D$10),-1,IF(AND(#REF!&gt;=table!$E$10,#REF!&lt;=table!$F$10),1,0))</f>
        <v>#REF!</v>
      </c>
      <c r="V3690" s="5" t="e">
        <f>IF(AND(#REF!&gt;=table!$C$11,#REF!&lt;= table!$D$11),-1,IF(AND(#REF!&gt;=table!$E$11,#REF!&lt;=table!$F$11),1,0))</f>
        <v>#REF!</v>
      </c>
      <c r="W3690" s="5" t="e">
        <f>CONCATENATE(dados[[#This Row],[fator1]],dados[[#This Row],[fator5]],dados[[#This Row],[fator6]])</f>
        <v>#REF!</v>
      </c>
    </row>
    <row r="3691" spans="1:23">
      <c r="A3691" t="s">
        <v>17</v>
      </c>
      <c r="B3691">
        <v>587863</v>
      </c>
      <c r="C3691">
        <v>10</v>
      </c>
      <c r="D3691">
        <v>25</v>
      </c>
      <c r="E3691">
        <v>156</v>
      </c>
      <c r="F3691">
        <v>8</v>
      </c>
      <c r="G3691">
        <v>20</v>
      </c>
      <c r="H3691">
        <v>25</v>
      </c>
      <c r="I3691">
        <v>252</v>
      </c>
      <c r="J3691">
        <v>0</v>
      </c>
      <c r="K3691">
        <v>4.8150000000000004</v>
      </c>
      <c r="L3691">
        <v>5.8</v>
      </c>
      <c r="M3691">
        <v>131.75</v>
      </c>
      <c r="N3691">
        <v>10.4</v>
      </c>
      <c r="O3691">
        <v>1656</v>
      </c>
      <c r="P3691">
        <v>736</v>
      </c>
      <c r="Q3691" s="5" t="e">
        <f>IF(AND(#REF!&gt;=table!$C$6,#REF!&lt;= table!$D$6),-1,IF(AND(#REF!&gt;=table!$E$6,#REF!&lt;=table!$F$6),1,0))</f>
        <v>#REF!</v>
      </c>
      <c r="R3691" s="5" t="e">
        <f>IF(AND(#REF!&gt;=table!$C$7,#REF!&lt;= table!$D$7),-1,IF(AND(#REF!&gt;=table!$E$7,#REF!&lt;=table!$F$7),1,0))</f>
        <v>#REF!</v>
      </c>
      <c r="S3691" s="5" t="e">
        <f>IF(AND(#REF!&gt;=table!$C$8,#REF!&lt;= table!$D$8),-1,IF(AND(#REF!&gt;=table!$E$8,#REF!&lt;=table!$F$8),1,0))</f>
        <v>#REF!</v>
      </c>
      <c r="T3691" s="5"/>
      <c r="U3691" s="5" t="e">
        <f>IF(AND(#REF!&gt;=table!$C$10,#REF!&lt;= table!$D$10),-1,IF(AND(#REF!&gt;=table!$E$10,#REF!&lt;=table!$F$10),1,0))</f>
        <v>#REF!</v>
      </c>
      <c r="V3691" s="5" t="e">
        <f>IF(AND(#REF!&gt;=table!$C$11,#REF!&lt;= table!$D$11),-1,IF(AND(#REF!&gt;=table!$E$11,#REF!&lt;=table!$F$11),1,0))</f>
        <v>#REF!</v>
      </c>
      <c r="W3691" s="5" t="e">
        <f>CONCATENATE(dados[[#This Row],[fator1]],dados[[#This Row],[fator5]],dados[[#This Row],[fator6]])</f>
        <v>#REF!</v>
      </c>
    </row>
    <row r="3692" spans="1:23">
      <c r="A3692" t="s">
        <v>17</v>
      </c>
      <c r="B3692">
        <v>587864</v>
      </c>
      <c r="C3692">
        <v>10</v>
      </c>
      <c r="D3692">
        <v>25</v>
      </c>
      <c r="E3692">
        <v>156</v>
      </c>
      <c r="F3692">
        <v>8</v>
      </c>
      <c r="G3692">
        <v>20</v>
      </c>
      <c r="H3692">
        <v>25</v>
      </c>
      <c r="I3692">
        <v>23</v>
      </c>
      <c r="J3692">
        <v>0</v>
      </c>
      <c r="K3692">
        <v>4.5</v>
      </c>
      <c r="L3692">
        <v>10.25</v>
      </c>
      <c r="M3692">
        <v>137.9</v>
      </c>
      <c r="N3692">
        <v>15.6</v>
      </c>
      <c r="O3692">
        <v>1672</v>
      </c>
      <c r="P3692">
        <v>802</v>
      </c>
      <c r="Q3692" s="5" t="e">
        <f>IF(AND(#REF!&gt;=table!$C$6,#REF!&lt;= table!$D$6),-1,IF(AND(#REF!&gt;=table!$E$6,#REF!&lt;=table!$F$6),1,0))</f>
        <v>#REF!</v>
      </c>
      <c r="R3692" s="5" t="e">
        <f>IF(AND(#REF!&gt;=table!$C$7,#REF!&lt;= table!$D$7),-1,IF(AND(#REF!&gt;=table!$E$7,#REF!&lt;=table!$F$7),1,0))</f>
        <v>#REF!</v>
      </c>
      <c r="S3692" s="5" t="e">
        <f>IF(AND(#REF!&gt;=table!$C$8,#REF!&lt;= table!$D$8),-1,IF(AND(#REF!&gt;=table!$E$8,#REF!&lt;=table!$F$8),1,0))</f>
        <v>#REF!</v>
      </c>
      <c r="T3692" s="5"/>
      <c r="U3692" s="5" t="e">
        <f>IF(AND(#REF!&gt;=table!$C$10,#REF!&lt;= table!$D$10),-1,IF(AND(#REF!&gt;=table!$E$10,#REF!&lt;=table!$F$10),1,0))</f>
        <v>#REF!</v>
      </c>
      <c r="V3692" s="5" t="e">
        <f>IF(AND(#REF!&gt;=table!$C$11,#REF!&lt;= table!$D$11),-1,IF(AND(#REF!&gt;=table!$E$11,#REF!&lt;=table!$F$11),1,0))</f>
        <v>#REF!</v>
      </c>
      <c r="W3692" s="5" t="e">
        <f>CONCATENATE(dados[[#This Row],[fator1]],dados[[#This Row],[fator5]],dados[[#This Row],[fator6]])</f>
        <v>#REF!</v>
      </c>
    </row>
    <row r="3693" spans="1:23">
      <c r="A3693" t="s">
        <v>17</v>
      </c>
      <c r="B3693">
        <v>587865</v>
      </c>
      <c r="C3693">
        <v>10</v>
      </c>
      <c r="D3693">
        <v>25</v>
      </c>
      <c r="E3693">
        <v>156</v>
      </c>
      <c r="F3693">
        <v>8</v>
      </c>
      <c r="G3693">
        <v>20</v>
      </c>
      <c r="H3693">
        <v>25</v>
      </c>
      <c r="I3693">
        <v>12</v>
      </c>
      <c r="J3693">
        <v>0</v>
      </c>
      <c r="K3693">
        <v>3.4950000000000001</v>
      </c>
      <c r="L3693">
        <v>10.85</v>
      </c>
      <c r="M3693">
        <v>131</v>
      </c>
      <c r="N3693">
        <v>15.6</v>
      </c>
      <c r="O3693">
        <v>1663</v>
      </c>
      <c r="P3693">
        <v>823</v>
      </c>
      <c r="Q3693" s="5" t="e">
        <f>IF(AND(#REF!&gt;=table!$C$6,#REF!&lt;= table!$D$6),-1,IF(AND(#REF!&gt;=table!$E$6,#REF!&lt;=table!$F$6),1,0))</f>
        <v>#REF!</v>
      </c>
      <c r="R3693" s="5" t="e">
        <f>IF(AND(#REF!&gt;=table!$C$7,#REF!&lt;= table!$D$7),-1,IF(AND(#REF!&gt;=table!$E$7,#REF!&lt;=table!$F$7),1,0))</f>
        <v>#REF!</v>
      </c>
      <c r="S3693" s="5" t="e">
        <f>IF(AND(#REF!&gt;=table!$C$8,#REF!&lt;= table!$D$8),-1,IF(AND(#REF!&gt;=table!$E$8,#REF!&lt;=table!$F$8),1,0))</f>
        <v>#REF!</v>
      </c>
      <c r="T3693" s="5"/>
      <c r="U3693" s="5" t="e">
        <f>IF(AND(#REF!&gt;=table!$C$10,#REF!&lt;= table!$D$10),-1,IF(AND(#REF!&gt;=table!$E$10,#REF!&lt;=table!$F$10),1,0))</f>
        <v>#REF!</v>
      </c>
      <c r="V3693" s="5" t="e">
        <f>IF(AND(#REF!&gt;=table!$C$11,#REF!&lt;= table!$D$11),-1,IF(AND(#REF!&gt;=table!$E$11,#REF!&lt;=table!$F$11),1,0))</f>
        <v>#REF!</v>
      </c>
      <c r="W3693" s="5" t="e">
        <f>CONCATENATE(dados[[#This Row],[fator1]],dados[[#This Row],[fator5]],dados[[#This Row],[fator6]])</f>
        <v>#REF!</v>
      </c>
    </row>
    <row r="3694" spans="1:23">
      <c r="A3694" t="s">
        <v>16</v>
      </c>
      <c r="B3694">
        <v>587871</v>
      </c>
      <c r="C3694">
        <v>16</v>
      </c>
      <c r="D3694">
        <v>35</v>
      </c>
      <c r="E3694">
        <v>56</v>
      </c>
      <c r="F3694">
        <v>10</v>
      </c>
      <c r="G3694">
        <v>0</v>
      </c>
      <c r="H3694">
        <v>25</v>
      </c>
      <c r="I3694">
        <v>1627</v>
      </c>
      <c r="J3694">
        <v>0</v>
      </c>
      <c r="K3694">
        <v>4.7250000000000005</v>
      </c>
      <c r="L3694">
        <v>7.8950000000000005</v>
      </c>
      <c r="M3694">
        <v>41.4</v>
      </c>
      <c r="N3694">
        <v>10.8</v>
      </c>
      <c r="O3694">
        <v>1647</v>
      </c>
      <c r="P3694">
        <v>0</v>
      </c>
      <c r="Q3694" s="5" t="e">
        <f>IF(AND(#REF!&gt;=table!$C$6,#REF!&lt;= table!$D$6),-1,IF(AND(#REF!&gt;=table!$E$6,#REF!&lt;=table!$F$6),1,0))</f>
        <v>#REF!</v>
      </c>
      <c r="R3694" s="5" t="e">
        <f>IF(AND(#REF!&gt;=table!$C$7,#REF!&lt;= table!$D$7),-1,IF(AND(#REF!&gt;=table!$E$7,#REF!&lt;=table!$F$7),1,0))</f>
        <v>#REF!</v>
      </c>
      <c r="S3694" s="5" t="e">
        <f>IF(AND(#REF!&gt;=table!$C$8,#REF!&lt;= table!$D$8),-1,IF(AND(#REF!&gt;=table!$E$8,#REF!&lt;=table!$F$8),1,0))</f>
        <v>#REF!</v>
      </c>
      <c r="T3694" s="5"/>
      <c r="U3694" s="5" t="e">
        <f>IF(AND(#REF!&gt;=table!$C$10,#REF!&lt;= table!$D$10),-1,IF(AND(#REF!&gt;=table!$E$10,#REF!&lt;=table!$F$10),1,0))</f>
        <v>#REF!</v>
      </c>
      <c r="V3694" s="5" t="e">
        <f>IF(AND(#REF!&gt;=table!$C$11,#REF!&lt;= table!$D$11),-1,IF(AND(#REF!&gt;=table!$E$11,#REF!&lt;=table!$F$11),1,0))</f>
        <v>#REF!</v>
      </c>
      <c r="W3694" s="5" t="e">
        <f>CONCATENATE(dados[[#This Row],[fator1]],dados[[#This Row],[fator5]],dados[[#This Row],[fator6]])</f>
        <v>#REF!</v>
      </c>
    </row>
    <row r="3695" spans="1:23">
      <c r="A3695" t="s">
        <v>16</v>
      </c>
      <c r="B3695">
        <v>587872</v>
      </c>
      <c r="C3695">
        <v>16</v>
      </c>
      <c r="D3695">
        <v>35</v>
      </c>
      <c r="E3695">
        <v>56</v>
      </c>
      <c r="F3695">
        <v>10</v>
      </c>
      <c r="G3695">
        <v>0</v>
      </c>
      <c r="H3695">
        <v>25</v>
      </c>
      <c r="I3695">
        <v>0</v>
      </c>
      <c r="J3695">
        <v>590</v>
      </c>
      <c r="K3695">
        <v>2.75</v>
      </c>
      <c r="L3695">
        <v>9.9250000000000007</v>
      </c>
      <c r="M3695">
        <v>41.085000000000001</v>
      </c>
      <c r="N3695">
        <v>21.215</v>
      </c>
      <c r="O3695">
        <v>1678</v>
      </c>
      <c r="P3695">
        <v>0</v>
      </c>
      <c r="Q3695" s="5" t="e">
        <f>IF(AND(#REF!&gt;=table!$C$6,#REF!&lt;= table!$D$6),-1,IF(AND(#REF!&gt;=table!$E$6,#REF!&lt;=table!$F$6),1,0))</f>
        <v>#REF!</v>
      </c>
      <c r="R3695" s="5" t="e">
        <f>IF(AND(#REF!&gt;=table!$C$7,#REF!&lt;= table!$D$7),-1,IF(AND(#REF!&gt;=table!$E$7,#REF!&lt;=table!$F$7),1,0))</f>
        <v>#REF!</v>
      </c>
      <c r="S3695" s="5" t="e">
        <f>IF(AND(#REF!&gt;=table!$C$8,#REF!&lt;= table!$D$8),-1,IF(AND(#REF!&gt;=table!$E$8,#REF!&lt;=table!$F$8),1,0))</f>
        <v>#REF!</v>
      </c>
      <c r="T3695" s="5"/>
      <c r="U3695" s="5" t="e">
        <f>IF(AND(#REF!&gt;=table!$C$10,#REF!&lt;= table!$D$10),-1,IF(AND(#REF!&gt;=table!$E$10,#REF!&lt;=table!$F$10),1,0))</f>
        <v>#REF!</v>
      </c>
      <c r="V3695" s="5" t="e">
        <f>IF(AND(#REF!&gt;=table!$C$11,#REF!&lt;= table!$D$11),-1,IF(AND(#REF!&gt;=table!$E$11,#REF!&lt;=table!$F$11),1,0))</f>
        <v>#REF!</v>
      </c>
      <c r="W3695" s="5" t="e">
        <f>CONCATENATE(dados[[#This Row],[fator1]],dados[[#This Row],[fator5]],dados[[#This Row],[fator6]])</f>
        <v>#REF!</v>
      </c>
    </row>
    <row r="3696" spans="1:23">
      <c r="A3696" t="s">
        <v>16</v>
      </c>
      <c r="B3696">
        <v>587875</v>
      </c>
      <c r="C3696">
        <v>16</v>
      </c>
      <c r="D3696">
        <v>35</v>
      </c>
      <c r="E3696">
        <v>56</v>
      </c>
      <c r="F3696">
        <v>10</v>
      </c>
      <c r="G3696">
        <v>0</v>
      </c>
      <c r="H3696">
        <v>25</v>
      </c>
      <c r="I3696">
        <v>0</v>
      </c>
      <c r="J3696">
        <v>0</v>
      </c>
      <c r="K3696">
        <v>10.695</v>
      </c>
      <c r="L3696">
        <v>8</v>
      </c>
      <c r="M3696">
        <v>35.695</v>
      </c>
      <c r="N3696">
        <v>8.4550000000000001</v>
      </c>
      <c r="O3696">
        <v>1617</v>
      </c>
      <c r="P3696">
        <v>361</v>
      </c>
      <c r="Q3696" s="5" t="e">
        <f>IF(AND(#REF!&gt;=table!$C$6,#REF!&lt;= table!$D$6),-1,IF(AND(#REF!&gt;=table!$E$6,#REF!&lt;=table!$F$6),1,0))</f>
        <v>#REF!</v>
      </c>
      <c r="R3696" s="5" t="e">
        <f>IF(AND(#REF!&gt;=table!$C$7,#REF!&lt;= table!$D$7),-1,IF(AND(#REF!&gt;=table!$E$7,#REF!&lt;=table!$F$7),1,0))</f>
        <v>#REF!</v>
      </c>
      <c r="S3696" s="5" t="e">
        <f>IF(AND(#REF!&gt;=table!$C$8,#REF!&lt;= table!$D$8),-1,IF(AND(#REF!&gt;=table!$E$8,#REF!&lt;=table!$F$8),1,0))</f>
        <v>#REF!</v>
      </c>
      <c r="T3696" s="5"/>
      <c r="U3696" s="5" t="e">
        <f>IF(AND(#REF!&gt;=table!$C$10,#REF!&lt;= table!$D$10),-1,IF(AND(#REF!&gt;=table!$E$10,#REF!&lt;=table!$F$10),1,0))</f>
        <v>#REF!</v>
      </c>
      <c r="V3696" s="5" t="e">
        <f>IF(AND(#REF!&gt;=table!$C$11,#REF!&lt;= table!$D$11),-1,IF(AND(#REF!&gt;=table!$E$11,#REF!&lt;=table!$F$11),1,0))</f>
        <v>#REF!</v>
      </c>
      <c r="W3696" s="5" t="e">
        <f>CONCATENATE(dados[[#This Row],[fator1]],dados[[#This Row],[fator5]],dados[[#This Row],[fator6]])</f>
        <v>#REF!</v>
      </c>
    </row>
    <row r="3697" spans="1:23">
      <c r="A3697" t="s">
        <v>16</v>
      </c>
      <c r="B3697">
        <v>587879</v>
      </c>
      <c r="C3697">
        <v>16</v>
      </c>
      <c r="D3697">
        <v>30</v>
      </c>
      <c r="E3697">
        <v>56</v>
      </c>
      <c r="F3697">
        <v>3</v>
      </c>
      <c r="G3697">
        <v>0</v>
      </c>
      <c r="H3697">
        <v>25</v>
      </c>
      <c r="I3697">
        <v>2</v>
      </c>
      <c r="J3697">
        <v>200</v>
      </c>
      <c r="K3697">
        <v>24.490000000000002</v>
      </c>
      <c r="L3697">
        <v>18.850000000000001</v>
      </c>
      <c r="M3697">
        <v>36.450000000000003</v>
      </c>
      <c r="N3697">
        <v>15.3</v>
      </c>
      <c r="O3697">
        <v>1675</v>
      </c>
      <c r="P3697">
        <v>0</v>
      </c>
      <c r="Q3697" s="5" t="e">
        <f>IF(AND(#REF!&gt;=table!$C$6,#REF!&lt;= table!$D$6),-1,IF(AND(#REF!&gt;=table!$E$6,#REF!&lt;=table!$F$6),1,0))</f>
        <v>#REF!</v>
      </c>
      <c r="R3697" s="5" t="e">
        <f>IF(AND(#REF!&gt;=table!$C$7,#REF!&lt;= table!$D$7),-1,IF(AND(#REF!&gt;=table!$E$7,#REF!&lt;=table!$F$7),1,0))</f>
        <v>#REF!</v>
      </c>
      <c r="S3697" s="5" t="e">
        <f>IF(AND(#REF!&gt;=table!$C$8,#REF!&lt;= table!$D$8),-1,IF(AND(#REF!&gt;=table!$E$8,#REF!&lt;=table!$F$8),1,0))</f>
        <v>#REF!</v>
      </c>
      <c r="T3697" s="5"/>
      <c r="U3697" s="5" t="e">
        <f>IF(AND(#REF!&gt;=table!$C$10,#REF!&lt;= table!$D$10),-1,IF(AND(#REF!&gt;=table!$E$10,#REF!&lt;=table!$F$10),1,0))</f>
        <v>#REF!</v>
      </c>
      <c r="V3697" s="5" t="e">
        <f>IF(AND(#REF!&gt;=table!$C$11,#REF!&lt;= table!$D$11),-1,IF(AND(#REF!&gt;=table!$E$11,#REF!&lt;=table!$F$11),1,0))</f>
        <v>#REF!</v>
      </c>
      <c r="W3697" s="5" t="e">
        <f>CONCATENATE(dados[[#This Row],[fator1]],dados[[#This Row],[fator5]],dados[[#This Row],[fator6]])</f>
        <v>#REF!</v>
      </c>
    </row>
    <row r="3698" spans="1:23">
      <c r="A3698" t="s">
        <v>16</v>
      </c>
      <c r="B3698">
        <v>587880</v>
      </c>
      <c r="C3698">
        <v>16</v>
      </c>
      <c r="D3698">
        <v>35</v>
      </c>
      <c r="E3698">
        <v>56</v>
      </c>
      <c r="F3698">
        <v>10</v>
      </c>
      <c r="G3698">
        <v>0</v>
      </c>
      <c r="H3698">
        <v>25</v>
      </c>
      <c r="I3698">
        <v>5</v>
      </c>
      <c r="J3698">
        <v>0</v>
      </c>
      <c r="K3698">
        <v>5.6950000000000003</v>
      </c>
      <c r="L3698">
        <v>14.8</v>
      </c>
      <c r="M3698">
        <v>43.02</v>
      </c>
      <c r="N3698">
        <v>17.89</v>
      </c>
      <c r="O3698">
        <v>1673</v>
      </c>
      <c r="P3698">
        <v>0</v>
      </c>
      <c r="Q3698" s="5" t="e">
        <f>IF(AND(#REF!&gt;=table!$C$6,#REF!&lt;= table!$D$6),-1,IF(AND(#REF!&gt;=table!$E$6,#REF!&lt;=table!$F$6),1,0))</f>
        <v>#REF!</v>
      </c>
      <c r="R3698" s="5" t="e">
        <f>IF(AND(#REF!&gt;=table!$C$7,#REF!&lt;= table!$D$7),-1,IF(AND(#REF!&gt;=table!$E$7,#REF!&lt;=table!$F$7),1,0))</f>
        <v>#REF!</v>
      </c>
      <c r="S3698" s="5" t="e">
        <f>IF(AND(#REF!&gt;=table!$C$8,#REF!&lt;= table!$D$8),-1,IF(AND(#REF!&gt;=table!$E$8,#REF!&lt;=table!$F$8),1,0))</f>
        <v>#REF!</v>
      </c>
      <c r="T3698" s="5"/>
      <c r="U3698" s="5" t="e">
        <f>IF(AND(#REF!&gt;=table!$C$10,#REF!&lt;= table!$D$10),-1,IF(AND(#REF!&gt;=table!$E$10,#REF!&lt;=table!$F$10),1,0))</f>
        <v>#REF!</v>
      </c>
      <c r="V3698" s="5" t="e">
        <f>IF(AND(#REF!&gt;=table!$C$11,#REF!&lt;= table!$D$11),-1,IF(AND(#REF!&gt;=table!$E$11,#REF!&lt;=table!$F$11),1,0))</f>
        <v>#REF!</v>
      </c>
      <c r="W3698" s="5" t="e">
        <f>CONCATENATE(dados[[#This Row],[fator1]],dados[[#This Row],[fator5]],dados[[#This Row],[fator6]])</f>
        <v>#REF!</v>
      </c>
    </row>
    <row r="3699" spans="1:23">
      <c r="A3699" t="s">
        <v>16</v>
      </c>
      <c r="B3699">
        <v>587882</v>
      </c>
      <c r="C3699">
        <v>16</v>
      </c>
      <c r="D3699">
        <v>30</v>
      </c>
      <c r="E3699">
        <v>56</v>
      </c>
      <c r="F3699">
        <v>3</v>
      </c>
      <c r="G3699">
        <v>0</v>
      </c>
      <c r="H3699">
        <v>25</v>
      </c>
      <c r="I3699">
        <v>602</v>
      </c>
      <c r="J3699">
        <v>0</v>
      </c>
      <c r="K3699">
        <v>3.4050000000000002</v>
      </c>
      <c r="L3699">
        <v>5.95</v>
      </c>
      <c r="M3699">
        <v>25.59</v>
      </c>
      <c r="N3699">
        <v>14.57</v>
      </c>
      <c r="O3699">
        <v>1662</v>
      </c>
      <c r="P3699">
        <v>1132</v>
      </c>
      <c r="Q3699" s="5" t="e">
        <f>IF(AND(#REF!&gt;=table!$C$6,#REF!&lt;= table!$D$6),-1,IF(AND(#REF!&gt;=table!$E$6,#REF!&lt;=table!$F$6),1,0))</f>
        <v>#REF!</v>
      </c>
      <c r="R3699" s="5" t="e">
        <f>IF(AND(#REF!&gt;=table!$C$7,#REF!&lt;= table!$D$7),-1,IF(AND(#REF!&gt;=table!$E$7,#REF!&lt;=table!$F$7),1,0))</f>
        <v>#REF!</v>
      </c>
      <c r="S3699" s="5" t="e">
        <f>IF(AND(#REF!&gt;=table!$C$8,#REF!&lt;= table!$D$8),-1,IF(AND(#REF!&gt;=table!$E$8,#REF!&lt;=table!$F$8),1,0))</f>
        <v>#REF!</v>
      </c>
      <c r="T3699" s="5"/>
      <c r="U3699" s="5" t="e">
        <f>IF(AND(#REF!&gt;=table!$C$10,#REF!&lt;= table!$D$10),-1,IF(AND(#REF!&gt;=table!$E$10,#REF!&lt;=table!$F$10),1,0))</f>
        <v>#REF!</v>
      </c>
      <c r="V3699" s="5" t="e">
        <f>IF(AND(#REF!&gt;=table!$C$11,#REF!&lt;= table!$D$11),-1,IF(AND(#REF!&gt;=table!$E$11,#REF!&lt;=table!$F$11),1,0))</f>
        <v>#REF!</v>
      </c>
      <c r="W3699" s="5" t="e">
        <f>CONCATENATE(dados[[#This Row],[fator1]],dados[[#This Row],[fator5]],dados[[#This Row],[fator6]])</f>
        <v>#REF!</v>
      </c>
    </row>
    <row r="3700" spans="1:23">
      <c r="A3700" t="s">
        <v>16</v>
      </c>
      <c r="B3700">
        <v>587884</v>
      </c>
      <c r="C3700">
        <v>16</v>
      </c>
      <c r="D3700">
        <v>35</v>
      </c>
      <c r="E3700">
        <v>36</v>
      </c>
      <c r="F3700">
        <v>10</v>
      </c>
      <c r="G3700">
        <v>0</v>
      </c>
      <c r="H3700">
        <v>25</v>
      </c>
      <c r="I3700">
        <v>3</v>
      </c>
      <c r="J3700">
        <v>0</v>
      </c>
      <c r="K3700">
        <v>4.92</v>
      </c>
      <c r="L3700">
        <v>9.6</v>
      </c>
      <c r="M3700">
        <v>25.3</v>
      </c>
      <c r="N3700">
        <v>13.950000000000001</v>
      </c>
      <c r="O3700">
        <v>1687</v>
      </c>
      <c r="P3700">
        <v>759</v>
      </c>
      <c r="Q3700" s="5" t="e">
        <f>IF(AND(#REF!&gt;=table!$C$6,#REF!&lt;= table!$D$6),-1,IF(AND(#REF!&gt;=table!$E$6,#REF!&lt;=table!$F$6),1,0))</f>
        <v>#REF!</v>
      </c>
      <c r="R3700" s="5" t="e">
        <f>IF(AND(#REF!&gt;=table!$C$7,#REF!&lt;= table!$D$7),-1,IF(AND(#REF!&gt;=table!$E$7,#REF!&lt;=table!$F$7),1,0))</f>
        <v>#REF!</v>
      </c>
      <c r="S3700" s="5" t="e">
        <f>IF(AND(#REF!&gt;=table!$C$8,#REF!&lt;= table!$D$8),-1,IF(AND(#REF!&gt;=table!$E$8,#REF!&lt;=table!$F$8),1,0))</f>
        <v>#REF!</v>
      </c>
      <c r="T3700" s="5"/>
      <c r="U3700" s="5" t="e">
        <f>IF(AND(#REF!&gt;=table!$C$10,#REF!&lt;= table!$D$10),-1,IF(AND(#REF!&gt;=table!$E$10,#REF!&lt;=table!$F$10),1,0))</f>
        <v>#REF!</v>
      </c>
      <c r="V3700" s="5" t="e">
        <f>IF(AND(#REF!&gt;=table!$C$11,#REF!&lt;= table!$D$11),-1,IF(AND(#REF!&gt;=table!$E$11,#REF!&lt;=table!$F$11),1,0))</f>
        <v>#REF!</v>
      </c>
      <c r="W3700" s="5" t="e">
        <f>CONCATENATE(dados[[#This Row],[fator1]],dados[[#This Row],[fator5]],dados[[#This Row],[fator6]])</f>
        <v>#REF!</v>
      </c>
    </row>
    <row r="3701" spans="1:23">
      <c r="A3701" t="s">
        <v>16</v>
      </c>
      <c r="B3701">
        <v>587887</v>
      </c>
      <c r="C3701">
        <v>0.15</v>
      </c>
      <c r="D3701">
        <v>40</v>
      </c>
      <c r="E3701">
        <v>10</v>
      </c>
      <c r="F3701">
        <v>15</v>
      </c>
      <c r="G3701">
        <v>0</v>
      </c>
      <c r="H3701">
        <v>15</v>
      </c>
      <c r="I3701">
        <v>1326</v>
      </c>
      <c r="J3701">
        <v>0</v>
      </c>
      <c r="K3701">
        <v>6.8550000000000004</v>
      </c>
      <c r="L3701">
        <v>9.7000000000000011</v>
      </c>
      <c r="M3701">
        <v>9.5</v>
      </c>
      <c r="N3701">
        <v>12.5</v>
      </c>
      <c r="O3701">
        <v>1686</v>
      </c>
      <c r="P3701">
        <v>569</v>
      </c>
      <c r="Q3701" s="5" t="e">
        <f>IF(AND(#REF!&gt;=table!$C$6,#REF!&lt;= table!$D$6),-1,IF(AND(#REF!&gt;=table!$E$6,#REF!&lt;=table!$F$6),1,0))</f>
        <v>#REF!</v>
      </c>
      <c r="R3701" s="5" t="e">
        <f>IF(AND(#REF!&gt;=table!$C$7,#REF!&lt;= table!$D$7),-1,IF(AND(#REF!&gt;=table!$E$7,#REF!&lt;=table!$F$7),1,0))</f>
        <v>#REF!</v>
      </c>
      <c r="S3701" s="5" t="e">
        <f>IF(AND(#REF!&gt;=table!$C$8,#REF!&lt;= table!$D$8),-1,IF(AND(#REF!&gt;=table!$E$8,#REF!&lt;=table!$F$8),1,0))</f>
        <v>#REF!</v>
      </c>
      <c r="T3701" s="5"/>
      <c r="U3701" s="5" t="e">
        <f>IF(AND(#REF!&gt;=table!$C$10,#REF!&lt;= table!$D$10),-1,IF(AND(#REF!&gt;=table!$E$10,#REF!&lt;=table!$F$10),1,0))</f>
        <v>#REF!</v>
      </c>
      <c r="V3701" s="5" t="e">
        <f>IF(AND(#REF!&gt;=table!$C$11,#REF!&lt;= table!$D$11),-1,IF(AND(#REF!&gt;=table!$E$11,#REF!&lt;=table!$F$11),1,0))</f>
        <v>#REF!</v>
      </c>
      <c r="W3701" s="5" t="e">
        <f>CONCATENATE(dados[[#This Row],[fator1]],dados[[#This Row],[fator5]],dados[[#This Row],[fator6]])</f>
        <v>#REF!</v>
      </c>
    </row>
    <row r="3702" spans="1:23">
      <c r="A3702" t="s">
        <v>16</v>
      </c>
      <c r="B3702">
        <v>587893</v>
      </c>
      <c r="C3702">
        <v>0.15</v>
      </c>
      <c r="D3702">
        <v>35</v>
      </c>
      <c r="E3702">
        <v>15</v>
      </c>
      <c r="F3702">
        <v>10</v>
      </c>
      <c r="G3702">
        <v>0</v>
      </c>
      <c r="H3702">
        <v>12</v>
      </c>
      <c r="I3702">
        <v>438</v>
      </c>
      <c r="J3702">
        <v>740</v>
      </c>
      <c r="K3702">
        <v>6.5</v>
      </c>
      <c r="L3702">
        <v>17.100000000000001</v>
      </c>
      <c r="M3702">
        <v>8.4</v>
      </c>
      <c r="N3702">
        <v>11</v>
      </c>
      <c r="O3702">
        <v>1685</v>
      </c>
      <c r="P3702">
        <v>0</v>
      </c>
      <c r="Q3702" s="5" t="e">
        <f>IF(AND(#REF!&gt;=table!$C$6,#REF!&lt;= table!$D$6),-1,IF(AND(#REF!&gt;=table!$E$6,#REF!&lt;=table!$F$6),1,0))</f>
        <v>#REF!</v>
      </c>
      <c r="R3702" s="5" t="e">
        <f>IF(AND(#REF!&gt;=table!$C$7,#REF!&lt;= table!$D$7),-1,IF(AND(#REF!&gt;=table!$E$7,#REF!&lt;=table!$F$7),1,0))</f>
        <v>#REF!</v>
      </c>
      <c r="S3702" s="5" t="e">
        <f>IF(AND(#REF!&gt;=table!$C$8,#REF!&lt;= table!$D$8),-1,IF(AND(#REF!&gt;=table!$E$8,#REF!&lt;=table!$F$8),1,0))</f>
        <v>#REF!</v>
      </c>
      <c r="T3702" s="5"/>
      <c r="U3702" s="5" t="e">
        <f>IF(AND(#REF!&gt;=table!$C$10,#REF!&lt;= table!$D$10),-1,IF(AND(#REF!&gt;=table!$E$10,#REF!&lt;=table!$F$10),1,0))</f>
        <v>#REF!</v>
      </c>
      <c r="V3702" s="5" t="e">
        <f>IF(AND(#REF!&gt;=table!$C$11,#REF!&lt;= table!$D$11),-1,IF(AND(#REF!&gt;=table!$E$11,#REF!&lt;=table!$F$11),1,0))</f>
        <v>#REF!</v>
      </c>
      <c r="W3702" s="5" t="e">
        <f>CONCATENATE(dados[[#This Row],[fator1]],dados[[#This Row],[fator5]],dados[[#This Row],[fator6]])</f>
        <v>#REF!</v>
      </c>
    </row>
    <row r="3703" spans="1:23">
      <c r="A3703" t="s">
        <v>16</v>
      </c>
      <c r="B3703">
        <v>587894</v>
      </c>
      <c r="C3703">
        <v>0.15</v>
      </c>
      <c r="D3703">
        <v>35</v>
      </c>
      <c r="E3703">
        <v>15</v>
      </c>
      <c r="F3703">
        <v>10</v>
      </c>
      <c r="G3703">
        <v>0</v>
      </c>
      <c r="H3703">
        <v>12</v>
      </c>
      <c r="I3703">
        <v>175</v>
      </c>
      <c r="J3703">
        <v>0</v>
      </c>
      <c r="K3703">
        <v>4.1749999999999998</v>
      </c>
      <c r="L3703">
        <v>9.5</v>
      </c>
      <c r="M3703">
        <v>8.5</v>
      </c>
      <c r="N3703">
        <v>13</v>
      </c>
      <c r="O3703">
        <v>1679</v>
      </c>
      <c r="P3703">
        <v>964</v>
      </c>
      <c r="Q3703" s="5" t="e">
        <f>IF(AND(#REF!&gt;=table!$C$6,#REF!&lt;= table!$D$6),-1,IF(AND(#REF!&gt;=table!$E$6,#REF!&lt;=table!$F$6),1,0))</f>
        <v>#REF!</v>
      </c>
      <c r="R3703" s="5" t="e">
        <f>IF(AND(#REF!&gt;=table!$C$7,#REF!&lt;= table!$D$7),-1,IF(AND(#REF!&gt;=table!$E$7,#REF!&lt;=table!$F$7),1,0))</f>
        <v>#REF!</v>
      </c>
      <c r="S3703" s="5" t="e">
        <f>IF(AND(#REF!&gt;=table!$C$8,#REF!&lt;= table!$D$8),-1,IF(AND(#REF!&gt;=table!$E$8,#REF!&lt;=table!$F$8),1,0))</f>
        <v>#REF!</v>
      </c>
      <c r="T3703" s="5"/>
      <c r="U3703" s="5" t="e">
        <f>IF(AND(#REF!&gt;=table!$C$10,#REF!&lt;= table!$D$10),-1,IF(AND(#REF!&gt;=table!$E$10,#REF!&lt;=table!$F$10),1,0))</f>
        <v>#REF!</v>
      </c>
      <c r="V3703" s="5" t="e">
        <f>IF(AND(#REF!&gt;=table!$C$11,#REF!&lt;= table!$D$11),-1,IF(AND(#REF!&gt;=table!$E$11,#REF!&lt;=table!$F$11),1,0))</f>
        <v>#REF!</v>
      </c>
      <c r="W3703" s="5" t="e">
        <f>CONCATENATE(dados[[#This Row],[fator1]],dados[[#This Row],[fator5]],dados[[#This Row],[fator6]])</f>
        <v>#REF!</v>
      </c>
    </row>
    <row r="3704" spans="1:23">
      <c r="A3704" t="s">
        <v>17</v>
      </c>
      <c r="B3704">
        <v>587895</v>
      </c>
      <c r="C3704">
        <v>12</v>
      </c>
      <c r="D3704">
        <v>33</v>
      </c>
      <c r="E3704">
        <v>36</v>
      </c>
      <c r="F3704">
        <v>10</v>
      </c>
      <c r="G3704">
        <v>20</v>
      </c>
      <c r="H3704">
        <v>25</v>
      </c>
      <c r="I3704">
        <v>250</v>
      </c>
      <c r="J3704">
        <v>0</v>
      </c>
      <c r="K3704">
        <v>10.59</v>
      </c>
      <c r="L3704">
        <v>14.02</v>
      </c>
      <c r="M3704">
        <v>31.905000000000001</v>
      </c>
      <c r="N3704">
        <v>16.8</v>
      </c>
      <c r="O3704">
        <v>1671</v>
      </c>
      <c r="P3704">
        <v>371</v>
      </c>
      <c r="Q3704" s="5" t="e">
        <f>IF(AND(#REF!&gt;=table!$C$6,#REF!&lt;= table!$D$6),-1,IF(AND(#REF!&gt;=table!$E$6,#REF!&lt;=table!$F$6),1,0))</f>
        <v>#REF!</v>
      </c>
      <c r="R3704" s="5" t="e">
        <f>IF(AND(#REF!&gt;=table!$C$7,#REF!&lt;= table!$D$7),-1,IF(AND(#REF!&gt;=table!$E$7,#REF!&lt;=table!$F$7),1,0))</f>
        <v>#REF!</v>
      </c>
      <c r="S3704" s="5" t="e">
        <f>IF(AND(#REF!&gt;=table!$C$8,#REF!&lt;= table!$D$8),-1,IF(AND(#REF!&gt;=table!$E$8,#REF!&lt;=table!$F$8),1,0))</f>
        <v>#REF!</v>
      </c>
      <c r="T3704" s="5"/>
      <c r="U3704" s="5" t="e">
        <f>IF(AND(#REF!&gt;=table!$C$10,#REF!&lt;= table!$D$10),-1,IF(AND(#REF!&gt;=table!$E$10,#REF!&lt;=table!$F$10),1,0))</f>
        <v>#REF!</v>
      </c>
      <c r="V3704" s="5" t="e">
        <f>IF(AND(#REF!&gt;=table!$C$11,#REF!&lt;= table!$D$11),-1,IF(AND(#REF!&gt;=table!$E$11,#REF!&lt;=table!$F$11),1,0))</f>
        <v>#REF!</v>
      </c>
      <c r="W3704" s="5" t="e">
        <f>CONCATENATE(dados[[#This Row],[fator1]],dados[[#This Row],[fator5]],dados[[#This Row],[fator6]])</f>
        <v>#REF!</v>
      </c>
    </row>
    <row r="3705" spans="1:23">
      <c r="A3705" t="s">
        <v>17</v>
      </c>
      <c r="B3705">
        <v>587897</v>
      </c>
      <c r="C3705">
        <v>20</v>
      </c>
      <c r="D3705">
        <v>33</v>
      </c>
      <c r="E3705">
        <v>66</v>
      </c>
      <c r="F3705">
        <v>4</v>
      </c>
      <c r="G3705">
        <v>20</v>
      </c>
      <c r="H3705">
        <v>25</v>
      </c>
      <c r="I3705">
        <v>849</v>
      </c>
      <c r="J3705">
        <v>690</v>
      </c>
      <c r="K3705">
        <v>4.0250000000000004</v>
      </c>
      <c r="L3705">
        <v>15</v>
      </c>
      <c r="M3705">
        <v>62.6</v>
      </c>
      <c r="N3705">
        <v>21</v>
      </c>
      <c r="O3705">
        <v>1689</v>
      </c>
      <c r="P3705">
        <v>1028</v>
      </c>
      <c r="Q3705" s="5" t="e">
        <f>IF(AND(#REF!&gt;=table!$C$6,#REF!&lt;= table!$D$6),-1,IF(AND(#REF!&gt;=table!$E$6,#REF!&lt;=table!$F$6),1,0))</f>
        <v>#REF!</v>
      </c>
      <c r="R3705" s="5" t="e">
        <f>IF(AND(#REF!&gt;=table!$C$7,#REF!&lt;= table!$D$7),-1,IF(AND(#REF!&gt;=table!$E$7,#REF!&lt;=table!$F$7),1,0))</f>
        <v>#REF!</v>
      </c>
      <c r="S3705" s="5" t="e">
        <f>IF(AND(#REF!&gt;=table!$C$8,#REF!&lt;= table!$D$8),-1,IF(AND(#REF!&gt;=table!$E$8,#REF!&lt;=table!$F$8),1,0))</f>
        <v>#REF!</v>
      </c>
      <c r="T3705" s="5"/>
      <c r="U3705" s="5" t="e">
        <f>IF(AND(#REF!&gt;=table!$C$10,#REF!&lt;= table!$D$10),-1,IF(AND(#REF!&gt;=table!$E$10,#REF!&lt;=table!$F$10),1,0))</f>
        <v>#REF!</v>
      </c>
      <c r="V3705" s="5" t="e">
        <f>IF(AND(#REF!&gt;=table!$C$11,#REF!&lt;= table!$D$11),-1,IF(AND(#REF!&gt;=table!$E$11,#REF!&lt;=table!$F$11),1,0))</f>
        <v>#REF!</v>
      </c>
      <c r="W3705" s="5" t="e">
        <f>CONCATENATE(dados[[#This Row],[fator1]],dados[[#This Row],[fator5]],dados[[#This Row],[fator6]])</f>
        <v>#REF!</v>
      </c>
    </row>
    <row r="3706" spans="1:23">
      <c r="A3706" t="s">
        <v>16</v>
      </c>
      <c r="B3706">
        <v>587898</v>
      </c>
      <c r="C3706">
        <v>0.15</v>
      </c>
      <c r="D3706">
        <v>35</v>
      </c>
      <c r="E3706">
        <v>15</v>
      </c>
      <c r="F3706">
        <v>10</v>
      </c>
      <c r="G3706">
        <v>0</v>
      </c>
      <c r="H3706">
        <v>12</v>
      </c>
      <c r="I3706">
        <v>673</v>
      </c>
      <c r="J3706">
        <v>0</v>
      </c>
      <c r="K3706">
        <v>3.93</v>
      </c>
      <c r="L3706">
        <v>6.45</v>
      </c>
      <c r="M3706">
        <v>6.25</v>
      </c>
      <c r="N3706">
        <v>8.15</v>
      </c>
      <c r="O3706">
        <v>1653</v>
      </c>
      <c r="P3706">
        <v>0</v>
      </c>
      <c r="Q3706" s="5" t="e">
        <f>IF(AND(#REF!&gt;=table!$C$6,#REF!&lt;= table!$D$6),-1,IF(AND(#REF!&gt;=table!$E$6,#REF!&lt;=table!$F$6),1,0))</f>
        <v>#REF!</v>
      </c>
      <c r="R3706" s="5" t="e">
        <f>IF(AND(#REF!&gt;=table!$C$7,#REF!&lt;= table!$D$7),-1,IF(AND(#REF!&gt;=table!$E$7,#REF!&lt;=table!$F$7),1,0))</f>
        <v>#REF!</v>
      </c>
      <c r="S3706" s="5" t="e">
        <f>IF(AND(#REF!&gt;=table!$C$8,#REF!&lt;= table!$D$8),-1,IF(AND(#REF!&gt;=table!$E$8,#REF!&lt;=table!$F$8),1,0))</f>
        <v>#REF!</v>
      </c>
      <c r="T3706" s="5"/>
      <c r="U3706" s="5" t="e">
        <f>IF(AND(#REF!&gt;=table!$C$10,#REF!&lt;= table!$D$10),-1,IF(AND(#REF!&gt;=table!$E$10,#REF!&lt;=table!$F$10),1,0))</f>
        <v>#REF!</v>
      </c>
      <c r="V3706" s="5" t="e">
        <f>IF(AND(#REF!&gt;=table!$C$11,#REF!&lt;= table!$D$11),-1,IF(AND(#REF!&gt;=table!$E$11,#REF!&lt;=table!$F$11),1,0))</f>
        <v>#REF!</v>
      </c>
      <c r="W3706" s="5" t="e">
        <f>CONCATENATE(dados[[#This Row],[fator1]],dados[[#This Row],[fator5]],dados[[#This Row],[fator6]])</f>
        <v>#REF!</v>
      </c>
    </row>
    <row r="3707" spans="1:23">
      <c r="A3707" t="s">
        <v>16</v>
      </c>
      <c r="B3707">
        <v>587900</v>
      </c>
      <c r="C3707">
        <v>0.15</v>
      </c>
      <c r="D3707">
        <v>35</v>
      </c>
      <c r="E3707">
        <v>15</v>
      </c>
      <c r="F3707">
        <v>10</v>
      </c>
      <c r="G3707">
        <v>0</v>
      </c>
      <c r="H3707">
        <v>12</v>
      </c>
      <c r="I3707">
        <v>83</v>
      </c>
      <c r="J3707">
        <v>0</v>
      </c>
      <c r="K3707">
        <v>7.49</v>
      </c>
      <c r="L3707">
        <v>9.8000000000000007</v>
      </c>
      <c r="M3707">
        <v>8.1999999999999993</v>
      </c>
      <c r="N3707">
        <v>11.4</v>
      </c>
      <c r="O3707">
        <v>1672</v>
      </c>
      <c r="P3707">
        <v>707</v>
      </c>
      <c r="Q3707" s="5" t="e">
        <f>IF(AND(#REF!&gt;=table!$C$6,#REF!&lt;= table!$D$6),-1,IF(AND(#REF!&gt;=table!$E$6,#REF!&lt;=table!$F$6),1,0))</f>
        <v>#REF!</v>
      </c>
      <c r="R3707" s="5" t="e">
        <f>IF(AND(#REF!&gt;=table!$C$7,#REF!&lt;= table!$D$7),-1,IF(AND(#REF!&gt;=table!$E$7,#REF!&lt;=table!$F$7),1,0))</f>
        <v>#REF!</v>
      </c>
      <c r="S3707" s="5" t="e">
        <f>IF(AND(#REF!&gt;=table!$C$8,#REF!&lt;= table!$D$8),-1,IF(AND(#REF!&gt;=table!$E$8,#REF!&lt;=table!$F$8),1,0))</f>
        <v>#REF!</v>
      </c>
      <c r="T3707" s="5"/>
      <c r="U3707" s="5" t="e">
        <f>IF(AND(#REF!&gt;=table!$C$10,#REF!&lt;= table!$D$10),-1,IF(AND(#REF!&gt;=table!$E$10,#REF!&lt;=table!$F$10),1,0))</f>
        <v>#REF!</v>
      </c>
      <c r="V3707" s="5" t="e">
        <f>IF(AND(#REF!&gt;=table!$C$11,#REF!&lt;= table!$D$11),-1,IF(AND(#REF!&gt;=table!$E$11,#REF!&lt;=table!$F$11),1,0))</f>
        <v>#REF!</v>
      </c>
      <c r="W3707" s="5" t="e">
        <f>CONCATENATE(dados[[#This Row],[fator1]],dados[[#This Row],[fator5]],dados[[#This Row],[fator6]])</f>
        <v>#REF!</v>
      </c>
    </row>
    <row r="3708" spans="1:23">
      <c r="A3708" t="s">
        <v>16</v>
      </c>
      <c r="B3708">
        <v>587901</v>
      </c>
      <c r="C3708">
        <v>7</v>
      </c>
      <c r="D3708">
        <v>33</v>
      </c>
      <c r="E3708">
        <v>153</v>
      </c>
      <c r="F3708">
        <v>4</v>
      </c>
      <c r="G3708">
        <v>0</v>
      </c>
      <c r="H3708">
        <v>25</v>
      </c>
      <c r="I3708">
        <v>888</v>
      </c>
      <c r="J3708">
        <v>0</v>
      </c>
      <c r="K3708">
        <v>3.37</v>
      </c>
      <c r="L3708">
        <v>9.3000000000000007</v>
      </c>
      <c r="M3708">
        <v>100.8</v>
      </c>
      <c r="N3708">
        <v>16.75</v>
      </c>
      <c r="O3708">
        <v>1698</v>
      </c>
      <c r="P3708">
        <v>1090</v>
      </c>
      <c r="Q3708" s="5" t="e">
        <f>IF(AND(#REF!&gt;=table!$C$6,#REF!&lt;= table!$D$6),-1,IF(AND(#REF!&gt;=table!$E$6,#REF!&lt;=table!$F$6),1,0))</f>
        <v>#REF!</v>
      </c>
      <c r="R3708" s="5" t="e">
        <f>IF(AND(#REF!&gt;=table!$C$7,#REF!&lt;= table!$D$7),-1,IF(AND(#REF!&gt;=table!$E$7,#REF!&lt;=table!$F$7),1,0))</f>
        <v>#REF!</v>
      </c>
      <c r="S3708" s="5" t="e">
        <f>IF(AND(#REF!&gt;=table!$C$8,#REF!&lt;= table!$D$8),-1,IF(AND(#REF!&gt;=table!$E$8,#REF!&lt;=table!$F$8),1,0))</f>
        <v>#REF!</v>
      </c>
      <c r="T3708" s="5"/>
      <c r="U3708" s="5" t="e">
        <f>IF(AND(#REF!&gt;=table!$C$10,#REF!&lt;= table!$D$10),-1,IF(AND(#REF!&gt;=table!$E$10,#REF!&lt;=table!$F$10),1,0))</f>
        <v>#REF!</v>
      </c>
      <c r="V3708" s="5" t="e">
        <f>IF(AND(#REF!&gt;=table!$C$11,#REF!&lt;= table!$D$11),-1,IF(AND(#REF!&gt;=table!$E$11,#REF!&lt;=table!$F$11),1,0))</f>
        <v>#REF!</v>
      </c>
      <c r="W3708" s="5" t="e">
        <f>CONCATENATE(dados[[#This Row],[fator1]],dados[[#This Row],[fator5]],dados[[#This Row],[fator6]])</f>
        <v>#REF!</v>
      </c>
    </row>
    <row r="3709" spans="1:23">
      <c r="A3709" t="s">
        <v>16</v>
      </c>
      <c r="B3709">
        <v>587902</v>
      </c>
      <c r="C3709">
        <v>7</v>
      </c>
      <c r="D3709">
        <v>33</v>
      </c>
      <c r="E3709">
        <v>153</v>
      </c>
      <c r="F3709">
        <v>4</v>
      </c>
      <c r="G3709">
        <v>0</v>
      </c>
      <c r="H3709">
        <v>25</v>
      </c>
      <c r="I3709">
        <v>577</v>
      </c>
      <c r="J3709">
        <v>0</v>
      </c>
      <c r="K3709">
        <v>3.7050000000000001</v>
      </c>
      <c r="L3709">
        <v>6.6000000000000005</v>
      </c>
      <c r="M3709">
        <v>143.80000000000001</v>
      </c>
      <c r="N3709">
        <v>12.200000000000001</v>
      </c>
      <c r="O3709">
        <v>1698</v>
      </c>
      <c r="P3709">
        <v>0</v>
      </c>
      <c r="Q3709" s="5" t="e">
        <f>IF(AND(#REF!&gt;=table!$C$6,#REF!&lt;= table!$D$6),-1,IF(AND(#REF!&gt;=table!$E$6,#REF!&lt;=table!$F$6),1,0))</f>
        <v>#REF!</v>
      </c>
      <c r="R3709" s="5" t="e">
        <f>IF(AND(#REF!&gt;=table!$C$7,#REF!&lt;= table!$D$7),-1,IF(AND(#REF!&gt;=table!$E$7,#REF!&lt;=table!$F$7),1,0))</f>
        <v>#REF!</v>
      </c>
      <c r="S3709" s="5" t="e">
        <f>IF(AND(#REF!&gt;=table!$C$8,#REF!&lt;= table!$D$8),-1,IF(AND(#REF!&gt;=table!$E$8,#REF!&lt;=table!$F$8),1,0))</f>
        <v>#REF!</v>
      </c>
      <c r="T3709" s="5"/>
      <c r="U3709" s="5" t="e">
        <f>IF(AND(#REF!&gt;=table!$C$10,#REF!&lt;= table!$D$10),-1,IF(AND(#REF!&gt;=table!$E$10,#REF!&lt;=table!$F$10),1,0))</f>
        <v>#REF!</v>
      </c>
      <c r="V3709" s="5" t="e">
        <f>IF(AND(#REF!&gt;=table!$C$11,#REF!&lt;= table!$D$11),-1,IF(AND(#REF!&gt;=table!$E$11,#REF!&lt;=table!$F$11),1,0))</f>
        <v>#REF!</v>
      </c>
      <c r="W3709" s="5" t="e">
        <f>CONCATENATE(dados[[#This Row],[fator1]],dados[[#This Row],[fator5]],dados[[#This Row],[fator6]])</f>
        <v>#REF!</v>
      </c>
    </row>
    <row r="3710" spans="1:23">
      <c r="A3710" t="s">
        <v>16</v>
      </c>
      <c r="B3710">
        <v>587903</v>
      </c>
      <c r="C3710">
        <v>7</v>
      </c>
      <c r="D3710">
        <v>33</v>
      </c>
      <c r="E3710">
        <v>153</v>
      </c>
      <c r="F3710">
        <v>4</v>
      </c>
      <c r="G3710">
        <v>0</v>
      </c>
      <c r="H3710">
        <v>25</v>
      </c>
      <c r="I3710">
        <v>1289</v>
      </c>
      <c r="J3710">
        <v>0</v>
      </c>
      <c r="K3710">
        <v>3.605</v>
      </c>
      <c r="L3710">
        <v>6.55</v>
      </c>
      <c r="M3710">
        <v>81.95</v>
      </c>
      <c r="N3710">
        <v>12.15</v>
      </c>
      <c r="O3710">
        <v>1695</v>
      </c>
      <c r="P3710">
        <v>1059</v>
      </c>
      <c r="Q3710" s="5" t="e">
        <f>IF(AND(#REF!&gt;=table!$C$6,#REF!&lt;= table!$D$6),-1,IF(AND(#REF!&gt;=table!$E$6,#REF!&lt;=table!$F$6),1,0))</f>
        <v>#REF!</v>
      </c>
      <c r="R3710" s="5" t="e">
        <f>IF(AND(#REF!&gt;=table!$C$7,#REF!&lt;= table!$D$7),-1,IF(AND(#REF!&gt;=table!$E$7,#REF!&lt;=table!$F$7),1,0))</f>
        <v>#REF!</v>
      </c>
      <c r="S3710" s="5" t="e">
        <f>IF(AND(#REF!&gt;=table!$C$8,#REF!&lt;= table!$D$8),-1,IF(AND(#REF!&gt;=table!$E$8,#REF!&lt;=table!$F$8),1,0))</f>
        <v>#REF!</v>
      </c>
      <c r="T3710" s="5"/>
      <c r="U3710" s="5" t="e">
        <f>IF(AND(#REF!&gt;=table!$C$10,#REF!&lt;= table!$D$10),-1,IF(AND(#REF!&gt;=table!$E$10,#REF!&lt;=table!$F$10),1,0))</f>
        <v>#REF!</v>
      </c>
      <c r="V3710" s="5" t="e">
        <f>IF(AND(#REF!&gt;=table!$C$11,#REF!&lt;= table!$D$11),-1,IF(AND(#REF!&gt;=table!$E$11,#REF!&lt;=table!$F$11),1,0))</f>
        <v>#REF!</v>
      </c>
      <c r="W3710" s="5" t="e">
        <f>CONCATENATE(dados[[#This Row],[fator1]],dados[[#This Row],[fator5]],dados[[#This Row],[fator6]])</f>
        <v>#REF!</v>
      </c>
    </row>
    <row r="3711" spans="1:23">
      <c r="A3711" t="s">
        <v>16</v>
      </c>
      <c r="B3711">
        <v>587904</v>
      </c>
      <c r="C3711">
        <v>7</v>
      </c>
      <c r="D3711">
        <v>33</v>
      </c>
      <c r="E3711">
        <v>150</v>
      </c>
      <c r="F3711">
        <v>4</v>
      </c>
      <c r="G3711">
        <v>0</v>
      </c>
      <c r="H3711">
        <v>25</v>
      </c>
      <c r="I3711">
        <v>1684</v>
      </c>
      <c r="J3711">
        <v>0</v>
      </c>
      <c r="K3711">
        <v>2.145</v>
      </c>
      <c r="L3711">
        <v>8.1</v>
      </c>
      <c r="M3711">
        <v>97.165000000000006</v>
      </c>
      <c r="N3711">
        <v>15.005000000000001</v>
      </c>
      <c r="O3711">
        <v>1701</v>
      </c>
      <c r="P3711">
        <v>0</v>
      </c>
      <c r="Q3711" s="5" t="e">
        <f>IF(AND(#REF!&gt;=table!$C$6,#REF!&lt;= table!$D$6),-1,IF(AND(#REF!&gt;=table!$E$6,#REF!&lt;=table!$F$6),1,0))</f>
        <v>#REF!</v>
      </c>
      <c r="R3711" s="5" t="e">
        <f>IF(AND(#REF!&gt;=table!$C$7,#REF!&lt;= table!$D$7),-1,IF(AND(#REF!&gt;=table!$E$7,#REF!&lt;=table!$F$7),1,0))</f>
        <v>#REF!</v>
      </c>
      <c r="S3711" s="5" t="e">
        <f>IF(AND(#REF!&gt;=table!$C$8,#REF!&lt;= table!$D$8),-1,IF(AND(#REF!&gt;=table!$E$8,#REF!&lt;=table!$F$8),1,0))</f>
        <v>#REF!</v>
      </c>
      <c r="T3711" s="5"/>
      <c r="U3711" s="5" t="e">
        <f>IF(AND(#REF!&gt;=table!$C$10,#REF!&lt;= table!$D$10),-1,IF(AND(#REF!&gt;=table!$E$10,#REF!&lt;=table!$F$10),1,0))</f>
        <v>#REF!</v>
      </c>
      <c r="V3711" s="5" t="e">
        <f>IF(AND(#REF!&gt;=table!$C$11,#REF!&lt;= table!$D$11),-1,IF(AND(#REF!&gt;=table!$E$11,#REF!&lt;=table!$F$11),1,0))</f>
        <v>#REF!</v>
      </c>
      <c r="W3711" s="5" t="e">
        <f>CONCATENATE(dados[[#This Row],[fator1]],dados[[#This Row],[fator5]],dados[[#This Row],[fator6]])</f>
        <v>#REF!</v>
      </c>
    </row>
    <row r="3712" spans="1:23">
      <c r="A3712" t="s">
        <v>16</v>
      </c>
      <c r="B3712">
        <v>587906</v>
      </c>
      <c r="C3712">
        <v>7</v>
      </c>
      <c r="D3712">
        <v>33</v>
      </c>
      <c r="E3712">
        <v>153</v>
      </c>
      <c r="F3712">
        <v>4</v>
      </c>
      <c r="G3712">
        <v>0</v>
      </c>
      <c r="H3712">
        <v>25</v>
      </c>
      <c r="I3712">
        <v>767</v>
      </c>
      <c r="J3712">
        <v>0</v>
      </c>
      <c r="K3712">
        <v>3.0500000000000003</v>
      </c>
      <c r="L3712">
        <v>8.0449999999999999</v>
      </c>
      <c r="M3712">
        <v>134.745</v>
      </c>
      <c r="N3712">
        <v>14.6</v>
      </c>
      <c r="O3712">
        <v>1688</v>
      </c>
      <c r="P3712">
        <v>1265</v>
      </c>
      <c r="Q3712" s="5" t="e">
        <f>IF(AND(#REF!&gt;=table!$C$6,#REF!&lt;= table!$D$6),-1,IF(AND(#REF!&gt;=table!$E$6,#REF!&lt;=table!$F$6),1,0))</f>
        <v>#REF!</v>
      </c>
      <c r="R3712" s="5" t="e">
        <f>IF(AND(#REF!&gt;=table!$C$7,#REF!&lt;= table!$D$7),-1,IF(AND(#REF!&gt;=table!$E$7,#REF!&lt;=table!$F$7),1,0))</f>
        <v>#REF!</v>
      </c>
      <c r="S3712" s="5" t="e">
        <f>IF(AND(#REF!&gt;=table!$C$8,#REF!&lt;= table!$D$8),-1,IF(AND(#REF!&gt;=table!$E$8,#REF!&lt;=table!$F$8),1,0))</f>
        <v>#REF!</v>
      </c>
      <c r="T3712" s="5"/>
      <c r="U3712" s="5" t="e">
        <f>IF(AND(#REF!&gt;=table!$C$10,#REF!&lt;= table!$D$10),-1,IF(AND(#REF!&gt;=table!$E$10,#REF!&lt;=table!$F$10),1,0))</f>
        <v>#REF!</v>
      </c>
      <c r="V3712" s="5" t="e">
        <f>IF(AND(#REF!&gt;=table!$C$11,#REF!&lt;= table!$D$11),-1,IF(AND(#REF!&gt;=table!$E$11,#REF!&lt;=table!$F$11),1,0))</f>
        <v>#REF!</v>
      </c>
      <c r="W3712" s="5" t="e">
        <f>CONCATENATE(dados[[#This Row],[fator1]],dados[[#This Row],[fator5]],dados[[#This Row],[fator6]])</f>
        <v>#REF!</v>
      </c>
    </row>
    <row r="3713" spans="1:23">
      <c r="A3713" t="s">
        <v>17</v>
      </c>
      <c r="B3713">
        <v>587913</v>
      </c>
      <c r="C3713">
        <v>16</v>
      </c>
      <c r="D3713">
        <v>35</v>
      </c>
      <c r="E3713">
        <v>136</v>
      </c>
      <c r="F3713">
        <v>4</v>
      </c>
      <c r="G3713">
        <v>30</v>
      </c>
      <c r="H3713">
        <v>25</v>
      </c>
      <c r="I3713">
        <v>1369</v>
      </c>
      <c r="J3713">
        <v>0</v>
      </c>
      <c r="K3713">
        <v>6.69</v>
      </c>
      <c r="L3713">
        <v>12.565000000000001</v>
      </c>
      <c r="M3713">
        <v>100.45</v>
      </c>
      <c r="N3713">
        <v>16.5</v>
      </c>
      <c r="O3713">
        <v>1686</v>
      </c>
      <c r="P3713">
        <v>574</v>
      </c>
      <c r="Q3713" s="5" t="e">
        <f>IF(AND(#REF!&gt;=table!$C$6,#REF!&lt;= table!$D$6),-1,IF(AND(#REF!&gt;=table!$E$6,#REF!&lt;=table!$F$6),1,0))</f>
        <v>#REF!</v>
      </c>
      <c r="R3713" s="5" t="e">
        <f>IF(AND(#REF!&gt;=table!$C$7,#REF!&lt;= table!$D$7),-1,IF(AND(#REF!&gt;=table!$E$7,#REF!&lt;=table!$F$7),1,0))</f>
        <v>#REF!</v>
      </c>
      <c r="S3713" s="5" t="e">
        <f>IF(AND(#REF!&gt;=table!$C$8,#REF!&lt;= table!$D$8),-1,IF(AND(#REF!&gt;=table!$E$8,#REF!&lt;=table!$F$8),1,0))</f>
        <v>#REF!</v>
      </c>
      <c r="T3713" s="5"/>
      <c r="U3713" s="5" t="e">
        <f>IF(AND(#REF!&gt;=table!$C$10,#REF!&lt;= table!$D$10),-1,IF(AND(#REF!&gt;=table!$E$10,#REF!&lt;=table!$F$10),1,0))</f>
        <v>#REF!</v>
      </c>
      <c r="V3713" s="5" t="e">
        <f>IF(AND(#REF!&gt;=table!$C$11,#REF!&lt;= table!$D$11),-1,IF(AND(#REF!&gt;=table!$E$11,#REF!&lt;=table!$F$11),1,0))</f>
        <v>#REF!</v>
      </c>
      <c r="W3713" s="5" t="e">
        <f>CONCATENATE(dados[[#This Row],[fator1]],dados[[#This Row],[fator5]],dados[[#This Row],[fator6]])</f>
        <v>#REF!</v>
      </c>
    </row>
    <row r="3714" spans="1:23">
      <c r="A3714" t="s">
        <v>17</v>
      </c>
      <c r="B3714">
        <v>587919</v>
      </c>
      <c r="C3714">
        <v>8</v>
      </c>
      <c r="D3714">
        <v>25</v>
      </c>
      <c r="E3714">
        <v>140</v>
      </c>
      <c r="F3714">
        <v>6</v>
      </c>
      <c r="G3714">
        <v>8</v>
      </c>
      <c r="H3714">
        <v>25</v>
      </c>
      <c r="I3714">
        <v>797</v>
      </c>
      <c r="J3714">
        <v>0</v>
      </c>
      <c r="K3714">
        <v>9.39</v>
      </c>
      <c r="L3714">
        <v>12.5</v>
      </c>
      <c r="M3714">
        <v>127.65</v>
      </c>
      <c r="N3714">
        <v>16.649999999999999</v>
      </c>
      <c r="O3714">
        <v>1658</v>
      </c>
      <c r="P3714">
        <v>0</v>
      </c>
      <c r="Q3714" s="5" t="e">
        <f>IF(AND(#REF!&gt;=table!$C$6,#REF!&lt;= table!$D$6),-1,IF(AND(#REF!&gt;=table!$E$6,#REF!&lt;=table!$F$6),1,0))</f>
        <v>#REF!</v>
      </c>
      <c r="R3714" s="5" t="e">
        <f>IF(AND(#REF!&gt;=table!$C$7,#REF!&lt;= table!$D$7),-1,IF(AND(#REF!&gt;=table!$E$7,#REF!&lt;=table!$F$7),1,0))</f>
        <v>#REF!</v>
      </c>
      <c r="S3714" s="5" t="e">
        <f>IF(AND(#REF!&gt;=table!$C$8,#REF!&lt;= table!$D$8),-1,IF(AND(#REF!&gt;=table!$E$8,#REF!&lt;=table!$F$8),1,0))</f>
        <v>#REF!</v>
      </c>
      <c r="T3714" s="5"/>
      <c r="U3714" s="5" t="e">
        <f>IF(AND(#REF!&gt;=table!$C$10,#REF!&lt;= table!$D$10),-1,IF(AND(#REF!&gt;=table!$E$10,#REF!&lt;=table!$F$10),1,0))</f>
        <v>#REF!</v>
      </c>
      <c r="V3714" s="5" t="e">
        <f>IF(AND(#REF!&gt;=table!$C$11,#REF!&lt;= table!$D$11),-1,IF(AND(#REF!&gt;=table!$E$11,#REF!&lt;=table!$F$11),1,0))</f>
        <v>#REF!</v>
      </c>
      <c r="W3714" s="5" t="e">
        <f>CONCATENATE(dados[[#This Row],[fator1]],dados[[#This Row],[fator5]],dados[[#This Row],[fator6]])</f>
        <v>#REF!</v>
      </c>
    </row>
    <row r="3715" spans="1:23">
      <c r="A3715" t="s">
        <v>17</v>
      </c>
      <c r="B3715">
        <v>587920</v>
      </c>
      <c r="C3715">
        <v>8</v>
      </c>
      <c r="D3715">
        <v>25</v>
      </c>
      <c r="E3715">
        <v>136</v>
      </c>
      <c r="F3715">
        <v>6</v>
      </c>
      <c r="G3715">
        <v>8</v>
      </c>
      <c r="H3715">
        <v>25</v>
      </c>
      <c r="I3715">
        <v>1675</v>
      </c>
      <c r="J3715">
        <v>530</v>
      </c>
      <c r="K3715">
        <v>11.71</v>
      </c>
      <c r="L3715">
        <v>14.165000000000001</v>
      </c>
      <c r="M3715">
        <v>118.75</v>
      </c>
      <c r="N3715">
        <v>17.600000000000001</v>
      </c>
      <c r="O3715">
        <v>1661</v>
      </c>
      <c r="P3715">
        <v>0</v>
      </c>
      <c r="Q3715" s="5" t="e">
        <f>IF(AND(#REF!&gt;=table!$C$6,#REF!&lt;= table!$D$6),-1,IF(AND(#REF!&gt;=table!$E$6,#REF!&lt;=table!$F$6),1,0))</f>
        <v>#REF!</v>
      </c>
      <c r="R3715" s="5" t="e">
        <f>IF(AND(#REF!&gt;=table!$C$7,#REF!&lt;= table!$D$7),-1,IF(AND(#REF!&gt;=table!$E$7,#REF!&lt;=table!$F$7),1,0))</f>
        <v>#REF!</v>
      </c>
      <c r="S3715" s="5" t="e">
        <f>IF(AND(#REF!&gt;=table!$C$8,#REF!&lt;= table!$D$8),-1,IF(AND(#REF!&gt;=table!$E$8,#REF!&lt;=table!$F$8),1,0))</f>
        <v>#REF!</v>
      </c>
      <c r="T3715" s="5"/>
      <c r="U3715" s="5" t="e">
        <f>IF(AND(#REF!&gt;=table!$C$10,#REF!&lt;= table!$D$10),-1,IF(AND(#REF!&gt;=table!$E$10,#REF!&lt;=table!$F$10),1,0))</f>
        <v>#REF!</v>
      </c>
      <c r="V3715" s="5" t="e">
        <f>IF(AND(#REF!&gt;=table!$C$11,#REF!&lt;= table!$D$11),-1,IF(AND(#REF!&gt;=table!$E$11,#REF!&lt;=table!$F$11),1,0))</f>
        <v>#REF!</v>
      </c>
      <c r="W3715" s="5" t="e">
        <f>CONCATENATE(dados[[#This Row],[fator1]],dados[[#This Row],[fator5]],dados[[#This Row],[fator6]])</f>
        <v>#REF!</v>
      </c>
    </row>
    <row r="3716" spans="1:23">
      <c r="A3716" t="s">
        <v>16</v>
      </c>
      <c r="B3716">
        <v>587921</v>
      </c>
      <c r="C3716">
        <v>6</v>
      </c>
      <c r="D3716">
        <v>25</v>
      </c>
      <c r="E3716">
        <v>120</v>
      </c>
      <c r="F3716">
        <v>4</v>
      </c>
      <c r="G3716">
        <v>0</v>
      </c>
      <c r="H3716">
        <v>55</v>
      </c>
      <c r="I3716">
        <v>752</v>
      </c>
      <c r="J3716">
        <v>0</v>
      </c>
      <c r="K3716">
        <v>4.9000000000000004</v>
      </c>
      <c r="L3716">
        <v>12.6</v>
      </c>
      <c r="M3716">
        <v>123.3</v>
      </c>
      <c r="N3716">
        <v>44.65</v>
      </c>
      <c r="O3716">
        <v>1677</v>
      </c>
      <c r="P3716">
        <v>676</v>
      </c>
      <c r="Q3716" s="5" t="e">
        <f>IF(AND(#REF!&gt;=table!$C$6,#REF!&lt;= table!$D$6),-1,IF(AND(#REF!&gt;=table!$E$6,#REF!&lt;=table!$F$6),1,0))</f>
        <v>#REF!</v>
      </c>
      <c r="R3716" s="5" t="e">
        <f>IF(AND(#REF!&gt;=table!$C$7,#REF!&lt;= table!$D$7),-1,IF(AND(#REF!&gt;=table!$E$7,#REF!&lt;=table!$F$7),1,0))</f>
        <v>#REF!</v>
      </c>
      <c r="S3716" s="5" t="e">
        <f>IF(AND(#REF!&gt;=table!$C$8,#REF!&lt;= table!$D$8),-1,IF(AND(#REF!&gt;=table!$E$8,#REF!&lt;=table!$F$8),1,0))</f>
        <v>#REF!</v>
      </c>
      <c r="T3716" s="5"/>
      <c r="U3716" s="5" t="e">
        <f>IF(AND(#REF!&gt;=table!$C$10,#REF!&lt;= table!$D$10),-1,IF(AND(#REF!&gt;=table!$E$10,#REF!&lt;=table!$F$10),1,0))</f>
        <v>#REF!</v>
      </c>
      <c r="V3716" s="5" t="e">
        <f>IF(AND(#REF!&gt;=table!$C$11,#REF!&lt;= table!$D$11),-1,IF(AND(#REF!&gt;=table!$E$11,#REF!&lt;=table!$F$11),1,0))</f>
        <v>#REF!</v>
      </c>
      <c r="W3716" s="5" t="e">
        <f>CONCATENATE(dados[[#This Row],[fator1]],dados[[#This Row],[fator5]],dados[[#This Row],[fator6]])</f>
        <v>#REF!</v>
      </c>
    </row>
    <row r="3717" spans="1:23">
      <c r="A3717" t="s">
        <v>16</v>
      </c>
      <c r="B3717">
        <v>587923</v>
      </c>
      <c r="C3717">
        <v>9</v>
      </c>
      <c r="D3717">
        <v>40</v>
      </c>
      <c r="E3717">
        <v>130</v>
      </c>
      <c r="F3717">
        <v>6</v>
      </c>
      <c r="G3717">
        <v>0</v>
      </c>
      <c r="H3717">
        <v>25</v>
      </c>
      <c r="I3717">
        <v>737</v>
      </c>
      <c r="J3717">
        <v>0</v>
      </c>
      <c r="K3717">
        <v>9.5650000000000013</v>
      </c>
      <c r="L3717">
        <v>13.555000000000001</v>
      </c>
      <c r="M3717">
        <v>116.25</v>
      </c>
      <c r="N3717">
        <v>16.649999999999999</v>
      </c>
      <c r="O3717">
        <v>1690</v>
      </c>
      <c r="P3717">
        <v>467</v>
      </c>
      <c r="Q3717" s="5" t="e">
        <f>IF(AND(#REF!&gt;=table!$C$6,#REF!&lt;= table!$D$6),-1,IF(AND(#REF!&gt;=table!$E$6,#REF!&lt;=table!$F$6),1,0))</f>
        <v>#REF!</v>
      </c>
      <c r="R3717" s="5" t="e">
        <f>IF(AND(#REF!&gt;=table!$C$7,#REF!&lt;= table!$D$7),-1,IF(AND(#REF!&gt;=table!$E$7,#REF!&lt;=table!$F$7),1,0))</f>
        <v>#REF!</v>
      </c>
      <c r="S3717" s="5" t="e">
        <f>IF(AND(#REF!&gt;=table!$C$8,#REF!&lt;= table!$D$8),-1,IF(AND(#REF!&gt;=table!$E$8,#REF!&lt;=table!$F$8),1,0))</f>
        <v>#REF!</v>
      </c>
      <c r="T3717" s="5"/>
      <c r="U3717" s="5" t="e">
        <f>IF(AND(#REF!&gt;=table!$C$10,#REF!&lt;= table!$D$10),-1,IF(AND(#REF!&gt;=table!$E$10,#REF!&lt;=table!$F$10),1,0))</f>
        <v>#REF!</v>
      </c>
      <c r="V3717" s="5" t="e">
        <f>IF(AND(#REF!&gt;=table!$C$11,#REF!&lt;= table!$D$11),-1,IF(AND(#REF!&gt;=table!$E$11,#REF!&lt;=table!$F$11),1,0))</f>
        <v>#REF!</v>
      </c>
      <c r="W3717" s="5" t="e">
        <f>CONCATENATE(dados[[#This Row],[fator1]],dados[[#This Row],[fator5]],dados[[#This Row],[fator6]])</f>
        <v>#REF!</v>
      </c>
    </row>
    <row r="3718" spans="1:23">
      <c r="A3718" t="s">
        <v>16</v>
      </c>
      <c r="B3718">
        <v>587924</v>
      </c>
      <c r="C3718">
        <v>9</v>
      </c>
      <c r="D3718">
        <v>40</v>
      </c>
      <c r="E3718">
        <v>130</v>
      </c>
      <c r="F3718">
        <v>6</v>
      </c>
      <c r="G3718">
        <v>0</v>
      </c>
      <c r="H3718">
        <v>25</v>
      </c>
      <c r="I3718">
        <v>580</v>
      </c>
      <c r="J3718">
        <v>0</v>
      </c>
      <c r="K3718">
        <v>9.4450000000000003</v>
      </c>
      <c r="L3718">
        <v>12.61</v>
      </c>
      <c r="M3718">
        <v>111.41500000000001</v>
      </c>
      <c r="N3718">
        <v>13.26</v>
      </c>
      <c r="O3718">
        <v>1677</v>
      </c>
      <c r="P3718">
        <v>442</v>
      </c>
      <c r="Q3718" s="5" t="e">
        <f>IF(AND(#REF!&gt;=table!$C$6,#REF!&lt;= table!$D$6),-1,IF(AND(#REF!&gt;=table!$E$6,#REF!&lt;=table!$F$6),1,0))</f>
        <v>#REF!</v>
      </c>
      <c r="R3718" s="5" t="e">
        <f>IF(AND(#REF!&gt;=table!$C$7,#REF!&lt;= table!$D$7),-1,IF(AND(#REF!&gt;=table!$E$7,#REF!&lt;=table!$F$7),1,0))</f>
        <v>#REF!</v>
      </c>
      <c r="S3718" s="5" t="e">
        <f>IF(AND(#REF!&gt;=table!$C$8,#REF!&lt;= table!$D$8),-1,IF(AND(#REF!&gt;=table!$E$8,#REF!&lt;=table!$F$8),1,0))</f>
        <v>#REF!</v>
      </c>
      <c r="T3718" s="5"/>
      <c r="U3718" s="5" t="e">
        <f>IF(AND(#REF!&gt;=table!$C$10,#REF!&lt;= table!$D$10),-1,IF(AND(#REF!&gt;=table!$E$10,#REF!&lt;=table!$F$10),1,0))</f>
        <v>#REF!</v>
      </c>
      <c r="V3718" s="5" t="e">
        <f>IF(AND(#REF!&gt;=table!$C$11,#REF!&lt;= table!$D$11),-1,IF(AND(#REF!&gt;=table!$E$11,#REF!&lt;=table!$F$11),1,0))</f>
        <v>#REF!</v>
      </c>
      <c r="W3718" s="5" t="e">
        <f>CONCATENATE(dados[[#This Row],[fator1]],dados[[#This Row],[fator5]],dados[[#This Row],[fator6]])</f>
        <v>#REF!</v>
      </c>
    </row>
    <row r="3719" spans="1:23">
      <c r="A3719" t="s">
        <v>16</v>
      </c>
      <c r="B3719">
        <v>587931</v>
      </c>
      <c r="C3719">
        <v>10</v>
      </c>
      <c r="D3719">
        <v>40</v>
      </c>
      <c r="E3719">
        <v>136</v>
      </c>
      <c r="F3719">
        <v>6</v>
      </c>
      <c r="G3719">
        <v>0</v>
      </c>
      <c r="H3719">
        <v>25</v>
      </c>
      <c r="I3719">
        <v>23</v>
      </c>
      <c r="J3719">
        <v>0</v>
      </c>
      <c r="K3719">
        <v>4.2750000000000004</v>
      </c>
      <c r="L3719">
        <v>9.0500000000000007</v>
      </c>
      <c r="M3719">
        <v>116.37</v>
      </c>
      <c r="N3719">
        <v>17.805</v>
      </c>
      <c r="O3719">
        <v>1695</v>
      </c>
      <c r="P3719">
        <v>868</v>
      </c>
      <c r="Q3719" s="5" t="e">
        <f>IF(AND(#REF!&gt;=table!$C$6,#REF!&lt;= table!$D$6),-1,IF(AND(#REF!&gt;=table!$E$6,#REF!&lt;=table!$F$6),1,0))</f>
        <v>#REF!</v>
      </c>
      <c r="R3719" s="5" t="e">
        <f>IF(AND(#REF!&gt;=table!$C$7,#REF!&lt;= table!$D$7),-1,IF(AND(#REF!&gt;=table!$E$7,#REF!&lt;=table!$F$7),1,0))</f>
        <v>#REF!</v>
      </c>
      <c r="S3719" s="5" t="e">
        <f>IF(AND(#REF!&gt;=table!$C$8,#REF!&lt;= table!$D$8),-1,IF(AND(#REF!&gt;=table!$E$8,#REF!&lt;=table!$F$8),1,0))</f>
        <v>#REF!</v>
      </c>
      <c r="T3719" s="5"/>
      <c r="U3719" s="5" t="e">
        <f>IF(AND(#REF!&gt;=table!$C$10,#REF!&lt;= table!$D$10),-1,IF(AND(#REF!&gt;=table!$E$10,#REF!&lt;=table!$F$10),1,0))</f>
        <v>#REF!</v>
      </c>
      <c r="V3719" s="5" t="e">
        <f>IF(AND(#REF!&gt;=table!$C$11,#REF!&lt;= table!$D$11),-1,IF(AND(#REF!&gt;=table!$E$11,#REF!&lt;=table!$F$11),1,0))</f>
        <v>#REF!</v>
      </c>
      <c r="W3719" s="5" t="e">
        <f>CONCATENATE(dados[[#This Row],[fator1]],dados[[#This Row],[fator5]],dados[[#This Row],[fator6]])</f>
        <v>#REF!</v>
      </c>
    </row>
    <row r="3720" spans="1:23">
      <c r="A3720" t="s">
        <v>16</v>
      </c>
      <c r="B3720">
        <v>587932</v>
      </c>
      <c r="C3720">
        <v>10</v>
      </c>
      <c r="D3720">
        <v>40</v>
      </c>
      <c r="E3720">
        <v>136</v>
      </c>
      <c r="F3720">
        <v>6</v>
      </c>
      <c r="G3720">
        <v>0</v>
      </c>
      <c r="H3720">
        <v>25</v>
      </c>
      <c r="I3720">
        <v>1</v>
      </c>
      <c r="J3720">
        <v>0</v>
      </c>
      <c r="K3720">
        <v>4.0600000000000005</v>
      </c>
      <c r="L3720">
        <v>9.7000000000000011</v>
      </c>
      <c r="M3720">
        <v>125.15</v>
      </c>
      <c r="N3720">
        <v>20</v>
      </c>
      <c r="O3720">
        <v>1709</v>
      </c>
      <c r="P3720">
        <v>1001</v>
      </c>
      <c r="Q3720" s="5" t="e">
        <f>IF(AND(#REF!&gt;=table!$C$6,#REF!&lt;= table!$D$6),-1,IF(AND(#REF!&gt;=table!$E$6,#REF!&lt;=table!$F$6),1,0))</f>
        <v>#REF!</v>
      </c>
      <c r="R3720" s="5" t="e">
        <f>IF(AND(#REF!&gt;=table!$C$7,#REF!&lt;= table!$D$7),-1,IF(AND(#REF!&gt;=table!$E$7,#REF!&lt;=table!$F$7),1,0))</f>
        <v>#REF!</v>
      </c>
      <c r="S3720" s="5" t="e">
        <f>IF(AND(#REF!&gt;=table!$C$8,#REF!&lt;= table!$D$8),-1,IF(AND(#REF!&gt;=table!$E$8,#REF!&lt;=table!$F$8),1,0))</f>
        <v>#REF!</v>
      </c>
      <c r="T3720" s="5"/>
      <c r="U3720" s="5" t="e">
        <f>IF(AND(#REF!&gt;=table!$C$10,#REF!&lt;= table!$D$10),-1,IF(AND(#REF!&gt;=table!$E$10,#REF!&lt;=table!$F$10),1,0))</f>
        <v>#REF!</v>
      </c>
      <c r="V3720" s="5" t="e">
        <f>IF(AND(#REF!&gt;=table!$C$11,#REF!&lt;= table!$D$11),-1,IF(AND(#REF!&gt;=table!$E$11,#REF!&lt;=table!$F$11),1,0))</f>
        <v>#REF!</v>
      </c>
      <c r="W3720" s="5" t="e">
        <f>CONCATENATE(dados[[#This Row],[fator1]],dados[[#This Row],[fator5]],dados[[#This Row],[fator6]])</f>
        <v>#REF!</v>
      </c>
    </row>
    <row r="3721" spans="1:23">
      <c r="A3721" t="s">
        <v>16</v>
      </c>
      <c r="B3721">
        <v>587937</v>
      </c>
      <c r="C3721">
        <v>0.15</v>
      </c>
      <c r="D3721">
        <v>40</v>
      </c>
      <c r="E3721">
        <v>10</v>
      </c>
      <c r="F3721">
        <v>15</v>
      </c>
      <c r="G3721">
        <v>0</v>
      </c>
      <c r="H3721">
        <v>15</v>
      </c>
      <c r="I3721">
        <v>713</v>
      </c>
      <c r="J3721">
        <v>740</v>
      </c>
      <c r="K3721">
        <v>5.76</v>
      </c>
      <c r="L3721">
        <v>13.435</v>
      </c>
      <c r="M3721">
        <v>9.91</v>
      </c>
      <c r="N3721">
        <v>15.615</v>
      </c>
      <c r="O3721">
        <v>1684</v>
      </c>
      <c r="P3721">
        <v>768</v>
      </c>
      <c r="Q3721" s="5" t="e">
        <f>IF(AND(#REF!&gt;=table!$C$6,#REF!&lt;= table!$D$6),-1,IF(AND(#REF!&gt;=table!$E$6,#REF!&lt;=table!$F$6),1,0))</f>
        <v>#REF!</v>
      </c>
      <c r="R3721" s="5" t="e">
        <f>IF(AND(#REF!&gt;=table!$C$7,#REF!&lt;= table!$D$7),-1,IF(AND(#REF!&gt;=table!$E$7,#REF!&lt;=table!$F$7),1,0))</f>
        <v>#REF!</v>
      </c>
      <c r="S3721" s="5" t="e">
        <f>IF(AND(#REF!&gt;=table!$C$8,#REF!&lt;= table!$D$8),-1,IF(AND(#REF!&gt;=table!$E$8,#REF!&lt;=table!$F$8),1,0))</f>
        <v>#REF!</v>
      </c>
      <c r="T3721" s="5"/>
      <c r="U3721" s="5" t="e">
        <f>IF(AND(#REF!&gt;=table!$C$10,#REF!&lt;= table!$D$10),-1,IF(AND(#REF!&gt;=table!$E$10,#REF!&lt;=table!$F$10),1,0))</f>
        <v>#REF!</v>
      </c>
      <c r="V3721" s="5" t="e">
        <f>IF(AND(#REF!&gt;=table!$C$11,#REF!&lt;= table!$D$11),-1,IF(AND(#REF!&gt;=table!$E$11,#REF!&lt;=table!$F$11),1,0))</f>
        <v>#REF!</v>
      </c>
      <c r="W3721" s="5" t="e">
        <f>CONCATENATE(dados[[#This Row],[fator1]],dados[[#This Row],[fator5]],dados[[#This Row],[fator6]])</f>
        <v>#REF!</v>
      </c>
    </row>
    <row r="3722" spans="1:23">
      <c r="A3722" t="s">
        <v>16</v>
      </c>
      <c r="B3722">
        <v>587939</v>
      </c>
      <c r="C3722">
        <v>0.15</v>
      </c>
      <c r="D3722">
        <v>40</v>
      </c>
      <c r="E3722">
        <v>10</v>
      </c>
      <c r="F3722">
        <v>15</v>
      </c>
      <c r="G3722">
        <v>0</v>
      </c>
      <c r="H3722">
        <v>15</v>
      </c>
      <c r="I3722">
        <v>989</v>
      </c>
      <c r="J3722">
        <v>790</v>
      </c>
      <c r="K3722">
        <v>6.165</v>
      </c>
      <c r="L3722">
        <v>8.84</v>
      </c>
      <c r="M3722">
        <v>7.7350000000000003</v>
      </c>
      <c r="N3722">
        <v>8.9150000000000009</v>
      </c>
      <c r="O3722">
        <v>1631</v>
      </c>
      <c r="P3722">
        <v>529</v>
      </c>
      <c r="Q3722" s="5" t="e">
        <f>IF(AND(#REF!&gt;=table!$C$6,#REF!&lt;= table!$D$6),-1,IF(AND(#REF!&gt;=table!$E$6,#REF!&lt;=table!$F$6),1,0))</f>
        <v>#REF!</v>
      </c>
      <c r="R3722" s="5" t="e">
        <f>IF(AND(#REF!&gt;=table!$C$7,#REF!&lt;= table!$D$7),-1,IF(AND(#REF!&gt;=table!$E$7,#REF!&lt;=table!$F$7),1,0))</f>
        <v>#REF!</v>
      </c>
      <c r="S3722" s="5" t="e">
        <f>IF(AND(#REF!&gt;=table!$C$8,#REF!&lt;= table!$D$8),-1,IF(AND(#REF!&gt;=table!$E$8,#REF!&lt;=table!$F$8),1,0))</f>
        <v>#REF!</v>
      </c>
      <c r="T3722" s="5"/>
      <c r="U3722" s="5" t="e">
        <f>IF(AND(#REF!&gt;=table!$C$10,#REF!&lt;= table!$D$10),-1,IF(AND(#REF!&gt;=table!$E$10,#REF!&lt;=table!$F$10),1,0))</f>
        <v>#REF!</v>
      </c>
      <c r="V3722" s="5" t="e">
        <f>IF(AND(#REF!&gt;=table!$C$11,#REF!&lt;= table!$D$11),-1,IF(AND(#REF!&gt;=table!$E$11,#REF!&lt;=table!$F$11),1,0))</f>
        <v>#REF!</v>
      </c>
      <c r="W3722" s="5" t="e">
        <f>CONCATENATE(dados[[#This Row],[fator1]],dados[[#This Row],[fator5]],dados[[#This Row],[fator6]])</f>
        <v>#REF!</v>
      </c>
    </row>
    <row r="3723" spans="1:23">
      <c r="A3723" t="s">
        <v>16</v>
      </c>
      <c r="B3723">
        <v>587944</v>
      </c>
      <c r="C3723">
        <v>0.15</v>
      </c>
      <c r="D3723">
        <v>40</v>
      </c>
      <c r="E3723">
        <v>10</v>
      </c>
      <c r="F3723">
        <v>15</v>
      </c>
      <c r="G3723">
        <v>0</v>
      </c>
      <c r="H3723">
        <v>15</v>
      </c>
      <c r="I3723">
        <v>1</v>
      </c>
      <c r="J3723">
        <v>0</v>
      </c>
      <c r="K3723">
        <v>3.6167000000000002</v>
      </c>
      <c r="L3723">
        <v>11.68</v>
      </c>
      <c r="M3723">
        <v>6.8500000000000005</v>
      </c>
      <c r="N3723">
        <v>7.2</v>
      </c>
      <c r="O3723">
        <v>1669</v>
      </c>
      <c r="P3723">
        <v>0</v>
      </c>
      <c r="Q3723" s="5" t="e">
        <f>IF(AND(#REF!&gt;=table!$C$6,#REF!&lt;= table!$D$6),-1,IF(AND(#REF!&gt;=table!$E$6,#REF!&lt;=table!$F$6),1,0))</f>
        <v>#REF!</v>
      </c>
      <c r="R3723" s="5" t="e">
        <f>IF(AND(#REF!&gt;=table!$C$7,#REF!&lt;= table!$D$7),-1,IF(AND(#REF!&gt;=table!$E$7,#REF!&lt;=table!$F$7),1,0))</f>
        <v>#REF!</v>
      </c>
      <c r="S3723" s="5" t="e">
        <f>IF(AND(#REF!&gt;=table!$C$8,#REF!&lt;= table!$D$8),-1,IF(AND(#REF!&gt;=table!$E$8,#REF!&lt;=table!$F$8),1,0))</f>
        <v>#REF!</v>
      </c>
      <c r="T3723" s="5"/>
      <c r="U3723" s="5" t="e">
        <f>IF(AND(#REF!&gt;=table!$C$10,#REF!&lt;= table!$D$10),-1,IF(AND(#REF!&gt;=table!$E$10,#REF!&lt;=table!$F$10),1,0))</f>
        <v>#REF!</v>
      </c>
      <c r="V3723" s="5" t="e">
        <f>IF(AND(#REF!&gt;=table!$C$11,#REF!&lt;= table!$D$11),-1,IF(AND(#REF!&gt;=table!$E$11,#REF!&lt;=table!$F$11),1,0))</f>
        <v>#REF!</v>
      </c>
      <c r="W3723" s="5" t="e">
        <f>CONCATENATE(dados[[#This Row],[fator1]],dados[[#This Row],[fator5]],dados[[#This Row],[fator6]])</f>
        <v>#REF!</v>
      </c>
    </row>
    <row r="3724" spans="1:23">
      <c r="A3724" t="s">
        <v>16</v>
      </c>
      <c r="B3724">
        <v>587947</v>
      </c>
      <c r="C3724">
        <v>0.23</v>
      </c>
      <c r="D3724">
        <v>65</v>
      </c>
      <c r="E3724">
        <v>26</v>
      </c>
      <c r="F3724">
        <v>15</v>
      </c>
      <c r="G3724">
        <v>0</v>
      </c>
      <c r="H3724">
        <v>35</v>
      </c>
      <c r="I3724">
        <v>658</v>
      </c>
      <c r="J3724">
        <v>0</v>
      </c>
      <c r="K3724">
        <v>3.7600000000000002</v>
      </c>
      <c r="L3724">
        <v>10.85</v>
      </c>
      <c r="M3724">
        <v>8.8000000000000007</v>
      </c>
      <c r="N3724">
        <v>10.75</v>
      </c>
      <c r="O3724">
        <v>1654</v>
      </c>
      <c r="P3724">
        <v>798</v>
      </c>
      <c r="Q3724" s="5" t="e">
        <f>IF(AND(#REF!&gt;=table!$C$6,#REF!&lt;= table!$D$6),-1,IF(AND(#REF!&gt;=table!$E$6,#REF!&lt;=table!$F$6),1,0))</f>
        <v>#REF!</v>
      </c>
      <c r="R3724" s="5" t="e">
        <f>IF(AND(#REF!&gt;=table!$C$7,#REF!&lt;= table!$D$7),-1,IF(AND(#REF!&gt;=table!$E$7,#REF!&lt;=table!$F$7),1,0))</f>
        <v>#REF!</v>
      </c>
      <c r="S3724" s="5" t="e">
        <f>IF(AND(#REF!&gt;=table!$C$8,#REF!&lt;= table!$D$8),-1,IF(AND(#REF!&gt;=table!$E$8,#REF!&lt;=table!$F$8),1,0))</f>
        <v>#REF!</v>
      </c>
      <c r="T3724" s="5"/>
      <c r="U3724" s="5" t="e">
        <f>IF(AND(#REF!&gt;=table!$C$10,#REF!&lt;= table!$D$10),-1,IF(AND(#REF!&gt;=table!$E$10,#REF!&lt;=table!$F$10),1,0))</f>
        <v>#REF!</v>
      </c>
      <c r="V3724" s="5" t="e">
        <f>IF(AND(#REF!&gt;=table!$C$11,#REF!&lt;= table!$D$11),-1,IF(AND(#REF!&gt;=table!$E$11,#REF!&lt;=table!$F$11),1,0))</f>
        <v>#REF!</v>
      </c>
      <c r="W3724" s="5" t="e">
        <f>CONCATENATE(dados[[#This Row],[fator1]],dados[[#This Row],[fator5]],dados[[#This Row],[fator6]])</f>
        <v>#REF!</v>
      </c>
    </row>
    <row r="3725" spans="1:23">
      <c r="A3725" t="s">
        <v>16</v>
      </c>
      <c r="B3725">
        <v>587953</v>
      </c>
      <c r="C3725">
        <v>12</v>
      </c>
      <c r="D3725">
        <v>35</v>
      </c>
      <c r="E3725">
        <v>180</v>
      </c>
      <c r="F3725">
        <v>6</v>
      </c>
      <c r="G3725">
        <v>0</v>
      </c>
      <c r="H3725">
        <v>20</v>
      </c>
      <c r="I3725">
        <v>0</v>
      </c>
      <c r="J3725">
        <v>1060</v>
      </c>
      <c r="K3725">
        <v>5.73</v>
      </c>
      <c r="L3725">
        <v>13.02</v>
      </c>
      <c r="M3725">
        <v>158.4</v>
      </c>
      <c r="N3725">
        <v>15.55</v>
      </c>
      <c r="O3725">
        <v>1673</v>
      </c>
      <c r="P3725">
        <v>721</v>
      </c>
      <c r="Q3725" s="5" t="e">
        <f>IF(AND(#REF!&gt;=table!$C$6,#REF!&lt;= table!$D$6),-1,IF(AND(#REF!&gt;=table!$E$6,#REF!&lt;=table!$F$6),1,0))</f>
        <v>#REF!</v>
      </c>
      <c r="R3725" s="5" t="e">
        <f>IF(AND(#REF!&gt;=table!$C$7,#REF!&lt;= table!$D$7),-1,IF(AND(#REF!&gt;=table!$E$7,#REF!&lt;=table!$F$7),1,0))</f>
        <v>#REF!</v>
      </c>
      <c r="S3725" s="5" t="e">
        <f>IF(AND(#REF!&gt;=table!$C$8,#REF!&lt;= table!$D$8),-1,IF(AND(#REF!&gt;=table!$E$8,#REF!&lt;=table!$F$8),1,0))</f>
        <v>#REF!</v>
      </c>
      <c r="T3725" s="5"/>
      <c r="U3725" s="5" t="e">
        <f>IF(AND(#REF!&gt;=table!$C$10,#REF!&lt;= table!$D$10),-1,IF(AND(#REF!&gt;=table!$E$10,#REF!&lt;=table!$F$10),1,0))</f>
        <v>#REF!</v>
      </c>
      <c r="V3725" s="5" t="e">
        <f>IF(AND(#REF!&gt;=table!$C$11,#REF!&lt;= table!$D$11),-1,IF(AND(#REF!&gt;=table!$E$11,#REF!&lt;=table!$F$11),1,0))</f>
        <v>#REF!</v>
      </c>
      <c r="W3725" s="5" t="e">
        <f>CONCATENATE(dados[[#This Row],[fator1]],dados[[#This Row],[fator5]],dados[[#This Row],[fator6]])</f>
        <v>#REF!</v>
      </c>
    </row>
    <row r="3726" spans="1:23">
      <c r="A3726" t="s">
        <v>16</v>
      </c>
      <c r="B3726">
        <v>587956</v>
      </c>
      <c r="C3726">
        <v>7</v>
      </c>
      <c r="D3726">
        <v>35</v>
      </c>
      <c r="E3726">
        <v>170</v>
      </c>
      <c r="F3726">
        <v>6</v>
      </c>
      <c r="G3726">
        <v>0</v>
      </c>
      <c r="H3726">
        <v>20</v>
      </c>
      <c r="I3726">
        <v>0</v>
      </c>
      <c r="J3726">
        <v>0</v>
      </c>
      <c r="K3726">
        <v>4.1900000000000004</v>
      </c>
      <c r="L3726">
        <v>10.56</v>
      </c>
      <c r="M3726">
        <v>137.80000000000001</v>
      </c>
      <c r="N3726">
        <v>10.9</v>
      </c>
      <c r="O3726">
        <v>1681</v>
      </c>
      <c r="P3726">
        <v>0</v>
      </c>
      <c r="Q3726" s="5" t="e">
        <f>IF(AND(#REF!&gt;=table!$C$6,#REF!&lt;= table!$D$6),-1,IF(AND(#REF!&gt;=table!$E$6,#REF!&lt;=table!$F$6),1,0))</f>
        <v>#REF!</v>
      </c>
      <c r="R3726" s="5" t="e">
        <f>IF(AND(#REF!&gt;=table!$C$7,#REF!&lt;= table!$D$7),-1,IF(AND(#REF!&gt;=table!$E$7,#REF!&lt;=table!$F$7),1,0))</f>
        <v>#REF!</v>
      </c>
      <c r="S3726" s="5" t="e">
        <f>IF(AND(#REF!&gt;=table!$C$8,#REF!&lt;= table!$D$8),-1,IF(AND(#REF!&gt;=table!$E$8,#REF!&lt;=table!$F$8),1,0))</f>
        <v>#REF!</v>
      </c>
      <c r="T3726" s="5"/>
      <c r="U3726" s="5" t="e">
        <f>IF(AND(#REF!&gt;=table!$C$10,#REF!&lt;= table!$D$10),-1,IF(AND(#REF!&gt;=table!$E$10,#REF!&lt;=table!$F$10),1,0))</f>
        <v>#REF!</v>
      </c>
      <c r="V3726" s="5" t="e">
        <f>IF(AND(#REF!&gt;=table!$C$11,#REF!&lt;= table!$D$11),-1,IF(AND(#REF!&gt;=table!$E$11,#REF!&lt;=table!$F$11),1,0))</f>
        <v>#REF!</v>
      </c>
      <c r="W3726" s="5" t="e">
        <f>CONCATENATE(dados[[#This Row],[fator1]],dados[[#This Row],[fator5]],dados[[#This Row],[fator6]])</f>
        <v>#REF!</v>
      </c>
    </row>
    <row r="3727" spans="1:23">
      <c r="A3727" t="s">
        <v>16</v>
      </c>
      <c r="B3727">
        <v>587962</v>
      </c>
      <c r="C3727">
        <v>0.1</v>
      </c>
      <c r="D3727">
        <v>35</v>
      </c>
      <c r="E3727">
        <v>10</v>
      </c>
      <c r="F3727">
        <v>10</v>
      </c>
      <c r="G3727">
        <v>0</v>
      </c>
      <c r="H3727">
        <v>12</v>
      </c>
      <c r="I3727">
        <v>0</v>
      </c>
      <c r="J3727">
        <v>0</v>
      </c>
      <c r="K3727">
        <v>3.17</v>
      </c>
      <c r="L3727">
        <v>8.69</v>
      </c>
      <c r="M3727">
        <v>7.8550000000000004</v>
      </c>
      <c r="N3727">
        <v>9.8849999999999998</v>
      </c>
      <c r="O3727">
        <v>1660</v>
      </c>
      <c r="P3727">
        <v>0</v>
      </c>
      <c r="Q3727" s="5" t="e">
        <f>IF(AND(#REF!&gt;=table!$C$6,#REF!&lt;= table!$D$6),-1,IF(AND(#REF!&gt;=table!$E$6,#REF!&lt;=table!$F$6),1,0))</f>
        <v>#REF!</v>
      </c>
      <c r="R3727" s="5" t="e">
        <f>IF(AND(#REF!&gt;=table!$C$7,#REF!&lt;= table!$D$7),-1,IF(AND(#REF!&gt;=table!$E$7,#REF!&lt;=table!$F$7),1,0))</f>
        <v>#REF!</v>
      </c>
      <c r="S3727" s="5" t="e">
        <f>IF(AND(#REF!&gt;=table!$C$8,#REF!&lt;= table!$D$8),-1,IF(AND(#REF!&gt;=table!$E$8,#REF!&lt;=table!$F$8),1,0))</f>
        <v>#REF!</v>
      </c>
      <c r="T3727" s="5"/>
      <c r="U3727" s="5" t="e">
        <f>IF(AND(#REF!&gt;=table!$C$10,#REF!&lt;= table!$D$10),-1,IF(AND(#REF!&gt;=table!$E$10,#REF!&lt;=table!$F$10),1,0))</f>
        <v>#REF!</v>
      </c>
      <c r="V3727" s="5" t="e">
        <f>IF(AND(#REF!&gt;=table!$C$11,#REF!&lt;= table!$D$11),-1,IF(AND(#REF!&gt;=table!$E$11,#REF!&lt;=table!$F$11),1,0))</f>
        <v>#REF!</v>
      </c>
      <c r="W3727" s="5" t="e">
        <f>CONCATENATE(dados[[#This Row],[fator1]],dados[[#This Row],[fator5]],dados[[#This Row],[fator6]])</f>
        <v>#REF!</v>
      </c>
    </row>
    <row r="3728" spans="1:23">
      <c r="A3728" t="s">
        <v>16</v>
      </c>
      <c r="B3728">
        <v>587965</v>
      </c>
      <c r="C3728">
        <v>3</v>
      </c>
      <c r="D3728">
        <v>30</v>
      </c>
      <c r="E3728">
        <v>21</v>
      </c>
      <c r="F3728">
        <v>15</v>
      </c>
      <c r="G3728">
        <v>0</v>
      </c>
      <c r="H3728">
        <v>25</v>
      </c>
      <c r="I3728">
        <v>733</v>
      </c>
      <c r="J3728">
        <v>0</v>
      </c>
      <c r="K3728">
        <v>7.585</v>
      </c>
      <c r="L3728">
        <v>9.4600000000000009</v>
      </c>
      <c r="M3728">
        <v>21</v>
      </c>
      <c r="N3728">
        <v>12.055</v>
      </c>
      <c r="O3728">
        <v>1673</v>
      </c>
      <c r="P3728">
        <v>0</v>
      </c>
      <c r="Q3728" s="5" t="e">
        <f>IF(AND(#REF!&gt;=table!$C$6,#REF!&lt;= table!$D$6),-1,IF(AND(#REF!&gt;=table!$E$6,#REF!&lt;=table!$F$6),1,0))</f>
        <v>#REF!</v>
      </c>
      <c r="R3728" s="5" t="e">
        <f>IF(AND(#REF!&gt;=table!$C$7,#REF!&lt;= table!$D$7),-1,IF(AND(#REF!&gt;=table!$E$7,#REF!&lt;=table!$F$7),1,0))</f>
        <v>#REF!</v>
      </c>
      <c r="S3728" s="5" t="e">
        <f>IF(AND(#REF!&gt;=table!$C$8,#REF!&lt;= table!$D$8),-1,IF(AND(#REF!&gt;=table!$E$8,#REF!&lt;=table!$F$8),1,0))</f>
        <v>#REF!</v>
      </c>
      <c r="T3728" s="5"/>
      <c r="U3728" s="5" t="e">
        <f>IF(AND(#REF!&gt;=table!$C$10,#REF!&lt;= table!$D$10),-1,IF(AND(#REF!&gt;=table!$E$10,#REF!&lt;=table!$F$10),1,0))</f>
        <v>#REF!</v>
      </c>
      <c r="V3728" s="5" t="e">
        <f>IF(AND(#REF!&gt;=table!$C$11,#REF!&lt;= table!$D$11),-1,IF(AND(#REF!&gt;=table!$E$11,#REF!&lt;=table!$F$11),1,0))</f>
        <v>#REF!</v>
      </c>
      <c r="W3728" s="5" t="e">
        <f>CONCATENATE(dados[[#This Row],[fator1]],dados[[#This Row],[fator5]],dados[[#This Row],[fator6]])</f>
        <v>#REF!</v>
      </c>
    </row>
    <row r="3729" spans="1:23">
      <c r="A3729" t="s">
        <v>16</v>
      </c>
      <c r="B3729">
        <v>587966</v>
      </c>
      <c r="C3729">
        <v>3</v>
      </c>
      <c r="D3729">
        <v>30</v>
      </c>
      <c r="E3729">
        <v>21</v>
      </c>
      <c r="F3729">
        <v>15</v>
      </c>
      <c r="G3729">
        <v>0</v>
      </c>
      <c r="H3729">
        <v>25</v>
      </c>
      <c r="I3729">
        <v>628</v>
      </c>
      <c r="J3729">
        <v>930</v>
      </c>
      <c r="K3729">
        <v>7.17</v>
      </c>
      <c r="L3729">
        <v>10.395000000000001</v>
      </c>
      <c r="M3729">
        <v>20.72</v>
      </c>
      <c r="N3729">
        <v>12.040000000000001</v>
      </c>
      <c r="O3729">
        <v>1617</v>
      </c>
      <c r="P3729">
        <v>447</v>
      </c>
      <c r="Q3729" s="5" t="e">
        <f>IF(AND(#REF!&gt;=table!$C$6,#REF!&lt;= table!$D$6),-1,IF(AND(#REF!&gt;=table!$E$6,#REF!&lt;=table!$F$6),1,0))</f>
        <v>#REF!</v>
      </c>
      <c r="R3729" s="5" t="e">
        <f>IF(AND(#REF!&gt;=table!$C$7,#REF!&lt;= table!$D$7),-1,IF(AND(#REF!&gt;=table!$E$7,#REF!&lt;=table!$F$7),1,0))</f>
        <v>#REF!</v>
      </c>
      <c r="S3729" s="5" t="e">
        <f>IF(AND(#REF!&gt;=table!$C$8,#REF!&lt;= table!$D$8),-1,IF(AND(#REF!&gt;=table!$E$8,#REF!&lt;=table!$F$8),1,0))</f>
        <v>#REF!</v>
      </c>
      <c r="T3729" s="5"/>
      <c r="U3729" s="5" t="e">
        <f>IF(AND(#REF!&gt;=table!$C$10,#REF!&lt;= table!$D$10),-1,IF(AND(#REF!&gt;=table!$E$10,#REF!&lt;=table!$F$10),1,0))</f>
        <v>#REF!</v>
      </c>
      <c r="V3729" s="5" t="e">
        <f>IF(AND(#REF!&gt;=table!$C$11,#REF!&lt;= table!$D$11),-1,IF(AND(#REF!&gt;=table!$E$11,#REF!&lt;=table!$F$11),1,0))</f>
        <v>#REF!</v>
      </c>
      <c r="W3729" s="5" t="e">
        <f>CONCATENATE(dados[[#This Row],[fator1]],dados[[#This Row],[fator5]],dados[[#This Row],[fator6]])</f>
        <v>#REF!</v>
      </c>
    </row>
    <row r="3730" spans="1:23">
      <c r="A3730" t="s">
        <v>16</v>
      </c>
      <c r="B3730">
        <v>587968</v>
      </c>
      <c r="C3730">
        <v>0.1</v>
      </c>
      <c r="D3730">
        <v>40</v>
      </c>
      <c r="E3730">
        <v>10</v>
      </c>
      <c r="F3730">
        <v>8</v>
      </c>
      <c r="G3730">
        <v>0</v>
      </c>
      <c r="H3730">
        <v>10</v>
      </c>
      <c r="I3730">
        <v>1447</v>
      </c>
      <c r="J3730">
        <v>700</v>
      </c>
      <c r="K3730">
        <v>2.7150000000000003</v>
      </c>
      <c r="L3730">
        <v>9.82</v>
      </c>
      <c r="M3730">
        <v>6.8150000000000004</v>
      </c>
      <c r="N3730">
        <v>14.065000000000001</v>
      </c>
      <c r="O3730">
        <v>1683</v>
      </c>
      <c r="P3730">
        <v>0</v>
      </c>
      <c r="Q3730" s="5" t="e">
        <f>IF(AND(#REF!&gt;=table!$C$6,#REF!&lt;= table!$D$6),-1,IF(AND(#REF!&gt;=table!$E$6,#REF!&lt;=table!$F$6),1,0))</f>
        <v>#REF!</v>
      </c>
      <c r="R3730" s="5" t="e">
        <f>IF(AND(#REF!&gt;=table!$C$7,#REF!&lt;= table!$D$7),-1,IF(AND(#REF!&gt;=table!$E$7,#REF!&lt;=table!$F$7),1,0))</f>
        <v>#REF!</v>
      </c>
      <c r="S3730" s="5" t="e">
        <f>IF(AND(#REF!&gt;=table!$C$8,#REF!&lt;= table!$D$8),-1,IF(AND(#REF!&gt;=table!$E$8,#REF!&lt;=table!$F$8),1,0))</f>
        <v>#REF!</v>
      </c>
      <c r="T3730" s="5"/>
      <c r="U3730" s="5" t="e">
        <f>IF(AND(#REF!&gt;=table!$C$10,#REF!&lt;= table!$D$10),-1,IF(AND(#REF!&gt;=table!$E$10,#REF!&lt;=table!$F$10),1,0))</f>
        <v>#REF!</v>
      </c>
      <c r="V3730" s="5" t="e">
        <f>IF(AND(#REF!&gt;=table!$C$11,#REF!&lt;= table!$D$11),-1,IF(AND(#REF!&gt;=table!$E$11,#REF!&lt;=table!$F$11),1,0))</f>
        <v>#REF!</v>
      </c>
      <c r="W3730" s="5" t="e">
        <f>CONCATENATE(dados[[#This Row],[fator1]],dados[[#This Row],[fator5]],dados[[#This Row],[fator6]])</f>
        <v>#REF!</v>
      </c>
    </row>
    <row r="3731" spans="1:23">
      <c r="A3731" t="s">
        <v>16</v>
      </c>
      <c r="B3731">
        <v>587969</v>
      </c>
      <c r="C3731">
        <v>0.1</v>
      </c>
      <c r="D3731">
        <v>40</v>
      </c>
      <c r="E3731">
        <v>10</v>
      </c>
      <c r="F3731">
        <v>8</v>
      </c>
      <c r="G3731">
        <v>0</v>
      </c>
      <c r="H3731">
        <v>10</v>
      </c>
      <c r="I3731">
        <v>642</v>
      </c>
      <c r="J3731">
        <v>0</v>
      </c>
      <c r="K3731">
        <v>3.89</v>
      </c>
      <c r="L3731">
        <v>8.2799999999999994</v>
      </c>
      <c r="M3731">
        <v>7.4450000000000003</v>
      </c>
      <c r="N3731">
        <v>9.51</v>
      </c>
      <c r="O3731">
        <v>1689</v>
      </c>
      <c r="P3731">
        <v>1086</v>
      </c>
      <c r="Q3731" s="5" t="e">
        <f>IF(AND(#REF!&gt;=table!$C$6,#REF!&lt;= table!$D$6),-1,IF(AND(#REF!&gt;=table!$E$6,#REF!&lt;=table!$F$6),1,0))</f>
        <v>#REF!</v>
      </c>
      <c r="R3731" s="5" t="e">
        <f>IF(AND(#REF!&gt;=table!$C$7,#REF!&lt;= table!$D$7),-1,IF(AND(#REF!&gt;=table!$E$7,#REF!&lt;=table!$F$7),1,0))</f>
        <v>#REF!</v>
      </c>
      <c r="S3731" s="5" t="e">
        <f>IF(AND(#REF!&gt;=table!$C$8,#REF!&lt;= table!$D$8),-1,IF(AND(#REF!&gt;=table!$E$8,#REF!&lt;=table!$F$8),1,0))</f>
        <v>#REF!</v>
      </c>
      <c r="T3731" s="5"/>
      <c r="U3731" s="5" t="e">
        <f>IF(AND(#REF!&gt;=table!$C$10,#REF!&lt;= table!$D$10),-1,IF(AND(#REF!&gt;=table!$E$10,#REF!&lt;=table!$F$10),1,0))</f>
        <v>#REF!</v>
      </c>
      <c r="V3731" s="5" t="e">
        <f>IF(AND(#REF!&gt;=table!$C$11,#REF!&lt;= table!$D$11),-1,IF(AND(#REF!&gt;=table!$E$11,#REF!&lt;=table!$F$11),1,0))</f>
        <v>#REF!</v>
      </c>
      <c r="W3731" s="5" t="e">
        <f>CONCATENATE(dados[[#This Row],[fator1]],dados[[#This Row],[fator5]],dados[[#This Row],[fator6]])</f>
        <v>#REF!</v>
      </c>
    </row>
    <row r="3732" spans="1:23">
      <c r="A3732" t="s">
        <v>16</v>
      </c>
      <c r="B3732">
        <v>587971</v>
      </c>
      <c r="C3732">
        <v>0.15</v>
      </c>
      <c r="D3732">
        <v>40</v>
      </c>
      <c r="E3732">
        <v>10</v>
      </c>
      <c r="F3732">
        <v>15</v>
      </c>
      <c r="G3732">
        <v>0</v>
      </c>
      <c r="H3732">
        <v>15</v>
      </c>
      <c r="I3732">
        <v>2</v>
      </c>
      <c r="J3732">
        <v>0</v>
      </c>
      <c r="K3732">
        <v>5.415</v>
      </c>
      <c r="L3732">
        <v>8</v>
      </c>
      <c r="M3732">
        <v>7.45</v>
      </c>
      <c r="N3732">
        <v>11.75</v>
      </c>
      <c r="O3732">
        <v>1700</v>
      </c>
      <c r="P3732">
        <v>915</v>
      </c>
      <c r="Q3732" s="5" t="e">
        <f>IF(AND(#REF!&gt;=table!$C$6,#REF!&lt;= table!$D$6),-1,IF(AND(#REF!&gt;=table!$E$6,#REF!&lt;=table!$F$6),1,0))</f>
        <v>#REF!</v>
      </c>
      <c r="R3732" s="5" t="e">
        <f>IF(AND(#REF!&gt;=table!$C$7,#REF!&lt;= table!$D$7),-1,IF(AND(#REF!&gt;=table!$E$7,#REF!&lt;=table!$F$7),1,0))</f>
        <v>#REF!</v>
      </c>
      <c r="S3732" s="5" t="e">
        <f>IF(AND(#REF!&gt;=table!$C$8,#REF!&lt;= table!$D$8),-1,IF(AND(#REF!&gt;=table!$E$8,#REF!&lt;=table!$F$8),1,0))</f>
        <v>#REF!</v>
      </c>
      <c r="T3732" s="5"/>
      <c r="U3732" s="5" t="e">
        <f>IF(AND(#REF!&gt;=table!$C$10,#REF!&lt;= table!$D$10),-1,IF(AND(#REF!&gt;=table!$E$10,#REF!&lt;=table!$F$10),1,0))</f>
        <v>#REF!</v>
      </c>
      <c r="V3732" s="5" t="e">
        <f>IF(AND(#REF!&gt;=table!$C$11,#REF!&lt;= table!$D$11),-1,IF(AND(#REF!&gt;=table!$E$11,#REF!&lt;=table!$F$11),1,0))</f>
        <v>#REF!</v>
      </c>
      <c r="W3732" s="5" t="e">
        <f>CONCATENATE(dados[[#This Row],[fator1]],dados[[#This Row],[fator5]],dados[[#This Row],[fator6]])</f>
        <v>#REF!</v>
      </c>
    </row>
    <row r="3733" spans="1:23">
      <c r="A3733" t="s">
        <v>17</v>
      </c>
      <c r="B3733">
        <v>587974</v>
      </c>
      <c r="C3733">
        <v>14</v>
      </c>
      <c r="D3733">
        <v>30</v>
      </c>
      <c r="E3733">
        <v>110</v>
      </c>
      <c r="F3733">
        <v>3</v>
      </c>
      <c r="G3733">
        <v>20</v>
      </c>
      <c r="H3733">
        <v>22</v>
      </c>
      <c r="I3733">
        <v>26</v>
      </c>
      <c r="J3733">
        <v>0</v>
      </c>
      <c r="K3733">
        <v>4.3050000000000006</v>
      </c>
      <c r="L3733">
        <v>12.115</v>
      </c>
      <c r="M3733">
        <v>79.405000000000001</v>
      </c>
      <c r="N3733">
        <v>16.48</v>
      </c>
      <c r="O3733">
        <v>1685</v>
      </c>
      <c r="P3733">
        <v>912</v>
      </c>
      <c r="Q3733" s="5" t="e">
        <f>IF(AND(#REF!&gt;=table!$C$6,#REF!&lt;= table!$D$6),-1,IF(AND(#REF!&gt;=table!$E$6,#REF!&lt;=table!$F$6),1,0))</f>
        <v>#REF!</v>
      </c>
      <c r="R3733" s="5" t="e">
        <f>IF(AND(#REF!&gt;=table!$C$7,#REF!&lt;= table!$D$7),-1,IF(AND(#REF!&gt;=table!$E$7,#REF!&lt;=table!$F$7),1,0))</f>
        <v>#REF!</v>
      </c>
      <c r="S3733" s="5" t="e">
        <f>IF(AND(#REF!&gt;=table!$C$8,#REF!&lt;= table!$D$8),-1,IF(AND(#REF!&gt;=table!$E$8,#REF!&lt;=table!$F$8),1,0))</f>
        <v>#REF!</v>
      </c>
      <c r="T3733" s="5"/>
      <c r="U3733" s="5" t="e">
        <f>IF(AND(#REF!&gt;=table!$C$10,#REF!&lt;= table!$D$10),-1,IF(AND(#REF!&gt;=table!$E$10,#REF!&lt;=table!$F$10),1,0))</f>
        <v>#REF!</v>
      </c>
      <c r="V3733" s="5" t="e">
        <f>IF(AND(#REF!&gt;=table!$C$11,#REF!&lt;= table!$D$11),-1,IF(AND(#REF!&gt;=table!$E$11,#REF!&lt;=table!$F$11),1,0))</f>
        <v>#REF!</v>
      </c>
      <c r="W3733" s="5" t="e">
        <f>CONCATENATE(dados[[#This Row],[fator1]],dados[[#This Row],[fator5]],dados[[#This Row],[fator6]])</f>
        <v>#REF!</v>
      </c>
    </row>
    <row r="3734" spans="1:23">
      <c r="A3734" t="s">
        <v>17</v>
      </c>
      <c r="B3734">
        <v>587975</v>
      </c>
      <c r="C3734">
        <v>14</v>
      </c>
      <c r="D3734">
        <v>30</v>
      </c>
      <c r="E3734">
        <v>110</v>
      </c>
      <c r="F3734">
        <v>3</v>
      </c>
      <c r="G3734">
        <v>20</v>
      </c>
      <c r="H3734">
        <v>22</v>
      </c>
      <c r="I3734">
        <v>72</v>
      </c>
      <c r="J3734">
        <v>0</v>
      </c>
      <c r="K3734">
        <v>7.75</v>
      </c>
      <c r="L3734">
        <v>18.150000000000002</v>
      </c>
      <c r="M3734">
        <v>72.210000000000008</v>
      </c>
      <c r="N3734">
        <v>16.914999999999999</v>
      </c>
      <c r="O3734">
        <v>1695</v>
      </c>
      <c r="P3734">
        <v>494</v>
      </c>
      <c r="Q3734" s="5" t="e">
        <f>IF(AND(#REF!&gt;=table!$C$6,#REF!&lt;= table!$D$6),-1,IF(AND(#REF!&gt;=table!$E$6,#REF!&lt;=table!$F$6),1,0))</f>
        <v>#REF!</v>
      </c>
      <c r="R3734" s="5" t="e">
        <f>IF(AND(#REF!&gt;=table!$C$7,#REF!&lt;= table!$D$7),-1,IF(AND(#REF!&gt;=table!$E$7,#REF!&lt;=table!$F$7),1,0))</f>
        <v>#REF!</v>
      </c>
      <c r="S3734" s="5" t="e">
        <f>IF(AND(#REF!&gt;=table!$C$8,#REF!&lt;= table!$D$8),-1,IF(AND(#REF!&gt;=table!$E$8,#REF!&lt;=table!$F$8),1,0))</f>
        <v>#REF!</v>
      </c>
      <c r="T3734" s="5"/>
      <c r="U3734" s="5" t="e">
        <f>IF(AND(#REF!&gt;=table!$C$10,#REF!&lt;= table!$D$10),-1,IF(AND(#REF!&gt;=table!$E$10,#REF!&lt;=table!$F$10),1,0))</f>
        <v>#REF!</v>
      </c>
      <c r="V3734" s="5" t="e">
        <f>IF(AND(#REF!&gt;=table!$C$11,#REF!&lt;= table!$D$11),-1,IF(AND(#REF!&gt;=table!$E$11,#REF!&lt;=table!$F$11),1,0))</f>
        <v>#REF!</v>
      </c>
      <c r="W3734" s="5" t="e">
        <f>CONCATENATE(dados[[#This Row],[fator1]],dados[[#This Row],[fator5]],dados[[#This Row],[fator6]])</f>
        <v>#REF!</v>
      </c>
    </row>
    <row r="3735" spans="1:23">
      <c r="A3735" t="s">
        <v>18</v>
      </c>
      <c r="B3735">
        <v>587992</v>
      </c>
      <c r="C3735">
        <v>3</v>
      </c>
      <c r="D3735">
        <v>5</v>
      </c>
      <c r="E3735">
        <v>26</v>
      </c>
      <c r="F3735">
        <v>15</v>
      </c>
      <c r="G3735">
        <v>42</v>
      </c>
      <c r="H3735">
        <v>30</v>
      </c>
      <c r="I3735">
        <v>0</v>
      </c>
      <c r="J3735">
        <v>0</v>
      </c>
      <c r="K3735">
        <v>5.5350000000000001</v>
      </c>
      <c r="L3735">
        <v>11.135</v>
      </c>
      <c r="M3735">
        <v>24.45</v>
      </c>
      <c r="N3735">
        <v>15.950000000000001</v>
      </c>
      <c r="O3735">
        <v>1648</v>
      </c>
      <c r="P3735">
        <v>0</v>
      </c>
      <c r="Q3735" s="5" t="e">
        <f>IF(AND(#REF!&gt;=table!$C$6,#REF!&lt;= table!$D$6),-1,IF(AND(#REF!&gt;=table!$E$6,#REF!&lt;=table!$F$6),1,0))</f>
        <v>#REF!</v>
      </c>
      <c r="R3735" s="5" t="e">
        <f>IF(AND(#REF!&gt;=table!$C$7,#REF!&lt;= table!$D$7),-1,IF(AND(#REF!&gt;=table!$E$7,#REF!&lt;=table!$F$7),1,0))</f>
        <v>#REF!</v>
      </c>
      <c r="S3735" s="5" t="e">
        <f>IF(AND(#REF!&gt;=table!$C$8,#REF!&lt;= table!$D$8),-1,IF(AND(#REF!&gt;=table!$E$8,#REF!&lt;=table!$F$8),1,0))</f>
        <v>#REF!</v>
      </c>
      <c r="T3735" s="5"/>
      <c r="U3735" s="5" t="e">
        <f>IF(AND(#REF!&gt;=table!$C$10,#REF!&lt;= table!$D$10),-1,IF(AND(#REF!&gt;=table!$E$10,#REF!&lt;=table!$F$10),1,0))</f>
        <v>#REF!</v>
      </c>
      <c r="V3735" s="5" t="e">
        <f>IF(AND(#REF!&gt;=table!$C$11,#REF!&lt;= table!$D$11),-1,IF(AND(#REF!&gt;=table!$E$11,#REF!&lt;=table!$F$11),1,0))</f>
        <v>#REF!</v>
      </c>
      <c r="W3735" s="5" t="e">
        <f>CONCATENATE(dados[[#This Row],[fator1]],dados[[#This Row],[fator5]],dados[[#This Row],[fator6]])</f>
        <v>#REF!</v>
      </c>
    </row>
    <row r="3736" spans="1:23">
      <c r="A3736" t="s">
        <v>17</v>
      </c>
      <c r="B3736">
        <v>587995</v>
      </c>
      <c r="C3736">
        <v>46</v>
      </c>
      <c r="D3736">
        <v>28</v>
      </c>
      <c r="E3736">
        <v>66</v>
      </c>
      <c r="F3736">
        <v>10</v>
      </c>
      <c r="G3736">
        <v>20</v>
      </c>
      <c r="H3736">
        <v>23</v>
      </c>
      <c r="I3736">
        <v>546</v>
      </c>
      <c r="J3736">
        <v>0</v>
      </c>
      <c r="K3736">
        <v>4.92</v>
      </c>
      <c r="L3736">
        <v>9.1</v>
      </c>
      <c r="M3736">
        <v>48.2</v>
      </c>
      <c r="N3736">
        <v>15.8</v>
      </c>
      <c r="O3736">
        <v>1679</v>
      </c>
      <c r="P3736">
        <v>851</v>
      </c>
      <c r="Q3736" s="5" t="e">
        <f>IF(AND(#REF!&gt;=table!$C$6,#REF!&lt;= table!$D$6),-1,IF(AND(#REF!&gt;=table!$E$6,#REF!&lt;=table!$F$6),1,0))</f>
        <v>#REF!</v>
      </c>
      <c r="R3736" s="5" t="e">
        <f>IF(AND(#REF!&gt;=table!$C$7,#REF!&lt;= table!$D$7),-1,IF(AND(#REF!&gt;=table!$E$7,#REF!&lt;=table!$F$7),1,0))</f>
        <v>#REF!</v>
      </c>
      <c r="S3736" s="5" t="e">
        <f>IF(AND(#REF!&gt;=table!$C$8,#REF!&lt;= table!$D$8),-1,IF(AND(#REF!&gt;=table!$E$8,#REF!&lt;=table!$F$8),1,0))</f>
        <v>#REF!</v>
      </c>
      <c r="T3736" s="5"/>
      <c r="U3736" s="5" t="e">
        <f>IF(AND(#REF!&gt;=table!$C$10,#REF!&lt;= table!$D$10),-1,IF(AND(#REF!&gt;=table!$E$10,#REF!&lt;=table!$F$10),1,0))</f>
        <v>#REF!</v>
      </c>
      <c r="V3736" s="5" t="e">
        <f>IF(AND(#REF!&gt;=table!$C$11,#REF!&lt;= table!$D$11),-1,IF(AND(#REF!&gt;=table!$E$11,#REF!&lt;=table!$F$11),1,0))</f>
        <v>#REF!</v>
      </c>
      <c r="W3736" s="5" t="e">
        <f>CONCATENATE(dados[[#This Row],[fator1]],dados[[#This Row],[fator5]],dados[[#This Row],[fator6]])</f>
        <v>#REF!</v>
      </c>
    </row>
    <row r="3737" spans="1:23">
      <c r="A3737" t="s">
        <v>18</v>
      </c>
      <c r="B3737">
        <v>587996</v>
      </c>
      <c r="C3737">
        <v>3</v>
      </c>
      <c r="D3737">
        <v>5</v>
      </c>
      <c r="E3737">
        <v>26</v>
      </c>
      <c r="F3737">
        <v>15</v>
      </c>
      <c r="G3737">
        <v>42</v>
      </c>
      <c r="H3737">
        <v>30</v>
      </c>
      <c r="I3737">
        <v>726</v>
      </c>
      <c r="J3737">
        <v>0</v>
      </c>
      <c r="K3737">
        <v>3.11</v>
      </c>
      <c r="L3737">
        <v>7.55</v>
      </c>
      <c r="M3737">
        <v>24.05</v>
      </c>
      <c r="N3737">
        <v>15.6</v>
      </c>
      <c r="O3737">
        <v>1671</v>
      </c>
      <c r="P3737">
        <v>1255</v>
      </c>
      <c r="Q3737" s="5" t="e">
        <f>IF(AND(#REF!&gt;=table!$C$6,#REF!&lt;= table!$D$6),-1,IF(AND(#REF!&gt;=table!$E$6,#REF!&lt;=table!$F$6),1,0))</f>
        <v>#REF!</v>
      </c>
      <c r="R3737" s="5" t="e">
        <f>IF(AND(#REF!&gt;=table!$C$7,#REF!&lt;= table!$D$7),-1,IF(AND(#REF!&gt;=table!$E$7,#REF!&lt;=table!$F$7),1,0))</f>
        <v>#REF!</v>
      </c>
      <c r="S3737" s="5" t="e">
        <f>IF(AND(#REF!&gt;=table!$C$8,#REF!&lt;= table!$D$8),-1,IF(AND(#REF!&gt;=table!$E$8,#REF!&lt;=table!$F$8),1,0))</f>
        <v>#REF!</v>
      </c>
      <c r="T3737" s="5"/>
      <c r="U3737" s="5" t="e">
        <f>IF(AND(#REF!&gt;=table!$C$10,#REF!&lt;= table!$D$10),-1,IF(AND(#REF!&gt;=table!$E$10,#REF!&lt;=table!$F$10),1,0))</f>
        <v>#REF!</v>
      </c>
      <c r="V3737" s="5" t="e">
        <f>IF(AND(#REF!&gt;=table!$C$11,#REF!&lt;= table!$D$11),-1,IF(AND(#REF!&gt;=table!$E$11,#REF!&lt;=table!$F$11),1,0))</f>
        <v>#REF!</v>
      </c>
      <c r="W3737" s="5" t="e">
        <f>CONCATENATE(dados[[#This Row],[fator1]],dados[[#This Row],[fator5]],dados[[#This Row],[fator6]])</f>
        <v>#REF!</v>
      </c>
    </row>
    <row r="3738" spans="1:23">
      <c r="A3738" t="s">
        <v>17</v>
      </c>
      <c r="B3738">
        <v>587997</v>
      </c>
      <c r="C3738">
        <v>8</v>
      </c>
      <c r="D3738">
        <v>30</v>
      </c>
      <c r="E3738">
        <v>153</v>
      </c>
      <c r="F3738">
        <v>2</v>
      </c>
      <c r="G3738">
        <v>20</v>
      </c>
      <c r="H3738">
        <v>18</v>
      </c>
      <c r="I3738">
        <v>324</v>
      </c>
      <c r="J3738">
        <v>0</v>
      </c>
      <c r="K3738">
        <v>4.17</v>
      </c>
      <c r="L3738">
        <v>11.5</v>
      </c>
      <c r="M3738">
        <v>126.78500000000001</v>
      </c>
      <c r="N3738">
        <v>15.1</v>
      </c>
      <c r="O3738">
        <v>1680</v>
      </c>
      <c r="P3738">
        <v>0</v>
      </c>
      <c r="Q3738" s="5" t="e">
        <f>IF(AND(#REF!&gt;=table!$C$6,#REF!&lt;= table!$D$6),-1,IF(AND(#REF!&gt;=table!$E$6,#REF!&lt;=table!$F$6),1,0))</f>
        <v>#REF!</v>
      </c>
      <c r="R3738" s="5" t="e">
        <f>IF(AND(#REF!&gt;=table!$C$7,#REF!&lt;= table!$D$7),-1,IF(AND(#REF!&gt;=table!$E$7,#REF!&lt;=table!$F$7),1,0))</f>
        <v>#REF!</v>
      </c>
      <c r="S3738" s="5" t="e">
        <f>IF(AND(#REF!&gt;=table!$C$8,#REF!&lt;= table!$D$8),-1,IF(AND(#REF!&gt;=table!$E$8,#REF!&lt;=table!$F$8),1,0))</f>
        <v>#REF!</v>
      </c>
      <c r="T3738" s="5"/>
      <c r="U3738" s="5" t="e">
        <f>IF(AND(#REF!&gt;=table!$C$10,#REF!&lt;= table!$D$10),-1,IF(AND(#REF!&gt;=table!$E$10,#REF!&lt;=table!$F$10),1,0))</f>
        <v>#REF!</v>
      </c>
      <c r="V3738" s="5" t="e">
        <f>IF(AND(#REF!&gt;=table!$C$11,#REF!&lt;= table!$D$11),-1,IF(AND(#REF!&gt;=table!$E$11,#REF!&lt;=table!$F$11),1,0))</f>
        <v>#REF!</v>
      </c>
      <c r="W3738" s="5" t="e">
        <f>CONCATENATE(dados[[#This Row],[fator1]],dados[[#This Row],[fator5]],dados[[#This Row],[fator6]])</f>
        <v>#REF!</v>
      </c>
    </row>
    <row r="3739" spans="1:23">
      <c r="A3739" t="s">
        <v>17</v>
      </c>
      <c r="B3739">
        <v>588001</v>
      </c>
      <c r="C3739">
        <v>8</v>
      </c>
      <c r="D3739">
        <v>30</v>
      </c>
      <c r="E3739">
        <v>153</v>
      </c>
      <c r="F3739">
        <v>2</v>
      </c>
      <c r="G3739">
        <v>20</v>
      </c>
      <c r="H3739">
        <v>18</v>
      </c>
      <c r="I3739">
        <v>1722</v>
      </c>
      <c r="J3739">
        <v>0</v>
      </c>
      <c r="K3739">
        <v>2.21</v>
      </c>
      <c r="L3739">
        <v>2.75</v>
      </c>
      <c r="M3739">
        <v>137.55000000000001</v>
      </c>
      <c r="N3739">
        <v>12.700000000000001</v>
      </c>
      <c r="O3739">
        <v>1684</v>
      </c>
      <c r="P3739">
        <v>0</v>
      </c>
      <c r="Q3739" s="5" t="e">
        <f>IF(AND(#REF!&gt;=table!$C$6,#REF!&lt;= table!$D$6),-1,IF(AND(#REF!&gt;=table!$E$6,#REF!&lt;=table!$F$6),1,0))</f>
        <v>#REF!</v>
      </c>
      <c r="R3739" s="5" t="e">
        <f>IF(AND(#REF!&gt;=table!$C$7,#REF!&lt;= table!$D$7),-1,IF(AND(#REF!&gt;=table!$E$7,#REF!&lt;=table!$F$7),1,0))</f>
        <v>#REF!</v>
      </c>
      <c r="S3739" s="5" t="e">
        <f>IF(AND(#REF!&gt;=table!$C$8,#REF!&lt;= table!$D$8),-1,IF(AND(#REF!&gt;=table!$E$8,#REF!&lt;=table!$F$8),1,0))</f>
        <v>#REF!</v>
      </c>
      <c r="T3739" s="5"/>
      <c r="U3739" s="5" t="e">
        <f>IF(AND(#REF!&gt;=table!$C$10,#REF!&lt;= table!$D$10),-1,IF(AND(#REF!&gt;=table!$E$10,#REF!&lt;=table!$F$10),1,0))</f>
        <v>#REF!</v>
      </c>
      <c r="V3739" s="5" t="e">
        <f>IF(AND(#REF!&gt;=table!$C$11,#REF!&lt;= table!$D$11),-1,IF(AND(#REF!&gt;=table!$E$11,#REF!&lt;=table!$F$11),1,0))</f>
        <v>#REF!</v>
      </c>
      <c r="W3739" s="5" t="e">
        <f>CONCATENATE(dados[[#This Row],[fator1]],dados[[#This Row],[fator5]],dados[[#This Row],[fator6]])</f>
        <v>#REF!</v>
      </c>
    </row>
    <row r="3740" spans="1:23">
      <c r="A3740" t="s">
        <v>17</v>
      </c>
      <c r="B3740">
        <v>588003</v>
      </c>
      <c r="C3740">
        <v>16</v>
      </c>
      <c r="D3740">
        <v>35</v>
      </c>
      <c r="E3740">
        <v>120</v>
      </c>
      <c r="F3740">
        <v>4</v>
      </c>
      <c r="G3740">
        <v>30</v>
      </c>
      <c r="H3740">
        <v>20</v>
      </c>
      <c r="I3740">
        <v>791</v>
      </c>
      <c r="J3740">
        <v>0</v>
      </c>
      <c r="K3740">
        <v>2.9550000000000001</v>
      </c>
      <c r="L3740">
        <v>8.1999999999999993</v>
      </c>
      <c r="M3740">
        <v>106.9</v>
      </c>
      <c r="N3740">
        <v>9</v>
      </c>
      <c r="O3740">
        <v>1672</v>
      </c>
      <c r="P3740">
        <v>0</v>
      </c>
      <c r="Q3740" s="5" t="e">
        <f>IF(AND(#REF!&gt;=table!$C$6,#REF!&lt;= table!$D$6),-1,IF(AND(#REF!&gt;=table!$E$6,#REF!&lt;=table!$F$6),1,0))</f>
        <v>#REF!</v>
      </c>
      <c r="R3740" s="5" t="e">
        <f>IF(AND(#REF!&gt;=table!$C$7,#REF!&lt;= table!$D$7),-1,IF(AND(#REF!&gt;=table!$E$7,#REF!&lt;=table!$F$7),1,0))</f>
        <v>#REF!</v>
      </c>
      <c r="S3740" s="5" t="e">
        <f>IF(AND(#REF!&gt;=table!$C$8,#REF!&lt;= table!$D$8),-1,IF(AND(#REF!&gt;=table!$E$8,#REF!&lt;=table!$F$8),1,0))</f>
        <v>#REF!</v>
      </c>
      <c r="T3740" s="5"/>
      <c r="U3740" s="5" t="e">
        <f>IF(AND(#REF!&gt;=table!$C$10,#REF!&lt;= table!$D$10),-1,IF(AND(#REF!&gt;=table!$E$10,#REF!&lt;=table!$F$10),1,0))</f>
        <v>#REF!</v>
      </c>
      <c r="V3740" s="5" t="e">
        <f>IF(AND(#REF!&gt;=table!$C$11,#REF!&lt;= table!$D$11),-1,IF(AND(#REF!&gt;=table!$E$11,#REF!&lt;=table!$F$11),1,0))</f>
        <v>#REF!</v>
      </c>
      <c r="W3740" s="5" t="e">
        <f>CONCATENATE(dados[[#This Row],[fator1]],dados[[#This Row],[fator5]],dados[[#This Row],[fator6]])</f>
        <v>#REF!</v>
      </c>
    </row>
    <row r="3741" spans="1:23">
      <c r="A3741" t="s">
        <v>18</v>
      </c>
      <c r="B3741">
        <v>588004</v>
      </c>
      <c r="C3741">
        <v>4</v>
      </c>
      <c r="D3741">
        <v>2.5</v>
      </c>
      <c r="E3741">
        <v>40</v>
      </c>
      <c r="F3741">
        <v>15</v>
      </c>
      <c r="G3741">
        <v>28</v>
      </c>
      <c r="H3741">
        <v>25</v>
      </c>
      <c r="I3741">
        <v>1217</v>
      </c>
      <c r="J3741">
        <v>1570</v>
      </c>
      <c r="K3741">
        <v>16.725000000000001</v>
      </c>
      <c r="L3741">
        <v>15.18</v>
      </c>
      <c r="M3741">
        <v>36.615000000000002</v>
      </c>
      <c r="N3741">
        <v>13.91</v>
      </c>
      <c r="O3741">
        <v>1663</v>
      </c>
      <c r="P3741">
        <v>0</v>
      </c>
      <c r="Q3741" s="5" t="e">
        <f>IF(AND(#REF!&gt;=table!$C$6,#REF!&lt;= table!$D$6),-1,IF(AND(#REF!&gt;=table!$E$6,#REF!&lt;=table!$F$6),1,0))</f>
        <v>#REF!</v>
      </c>
      <c r="R3741" s="5" t="e">
        <f>IF(AND(#REF!&gt;=table!$C$7,#REF!&lt;= table!$D$7),-1,IF(AND(#REF!&gt;=table!$E$7,#REF!&lt;=table!$F$7),1,0))</f>
        <v>#REF!</v>
      </c>
      <c r="S3741" s="5" t="e">
        <f>IF(AND(#REF!&gt;=table!$C$8,#REF!&lt;= table!$D$8),-1,IF(AND(#REF!&gt;=table!$E$8,#REF!&lt;=table!$F$8),1,0))</f>
        <v>#REF!</v>
      </c>
      <c r="T3741" s="5"/>
      <c r="U3741" s="5" t="e">
        <f>IF(AND(#REF!&gt;=table!$C$10,#REF!&lt;= table!$D$10),-1,IF(AND(#REF!&gt;=table!$E$10,#REF!&lt;=table!$F$10),1,0))</f>
        <v>#REF!</v>
      </c>
      <c r="V3741" s="5" t="e">
        <f>IF(AND(#REF!&gt;=table!$C$11,#REF!&lt;= table!$D$11),-1,IF(AND(#REF!&gt;=table!$E$11,#REF!&lt;=table!$F$11),1,0))</f>
        <v>#REF!</v>
      </c>
      <c r="W3741" s="5" t="e">
        <f>CONCATENATE(dados[[#This Row],[fator1]],dados[[#This Row],[fator5]],dados[[#This Row],[fator6]])</f>
        <v>#REF!</v>
      </c>
    </row>
    <row r="3742" spans="1:23">
      <c r="A3742" t="s">
        <v>16</v>
      </c>
      <c r="B3742">
        <v>588007</v>
      </c>
      <c r="C3742">
        <v>11</v>
      </c>
      <c r="D3742">
        <v>40</v>
      </c>
      <c r="E3742">
        <v>151</v>
      </c>
      <c r="F3742">
        <v>8</v>
      </c>
      <c r="G3742">
        <v>0</v>
      </c>
      <c r="H3742">
        <v>25</v>
      </c>
      <c r="I3742">
        <v>2231</v>
      </c>
      <c r="J3742">
        <v>0</v>
      </c>
      <c r="K3742">
        <v>24.215</v>
      </c>
      <c r="L3742">
        <v>30.53</v>
      </c>
      <c r="M3742">
        <v>125.9</v>
      </c>
      <c r="N3742">
        <v>14.6</v>
      </c>
      <c r="O3742">
        <v>1687</v>
      </c>
      <c r="P3742">
        <v>732</v>
      </c>
      <c r="Q3742" s="5" t="e">
        <f>IF(AND(#REF!&gt;=table!$C$6,#REF!&lt;= table!$D$6),-1,IF(AND(#REF!&gt;=table!$E$6,#REF!&lt;=table!$F$6),1,0))</f>
        <v>#REF!</v>
      </c>
      <c r="R3742" s="5" t="e">
        <f>IF(AND(#REF!&gt;=table!$C$7,#REF!&lt;= table!$D$7),-1,IF(AND(#REF!&gt;=table!$E$7,#REF!&lt;=table!$F$7),1,0))</f>
        <v>#REF!</v>
      </c>
      <c r="S3742" s="5" t="e">
        <f>IF(AND(#REF!&gt;=table!$C$8,#REF!&lt;= table!$D$8),-1,IF(AND(#REF!&gt;=table!$E$8,#REF!&lt;=table!$F$8),1,0))</f>
        <v>#REF!</v>
      </c>
      <c r="T3742" s="5"/>
      <c r="U3742" s="5" t="e">
        <f>IF(AND(#REF!&gt;=table!$C$10,#REF!&lt;= table!$D$10),-1,IF(AND(#REF!&gt;=table!$E$10,#REF!&lt;=table!$F$10),1,0))</f>
        <v>#REF!</v>
      </c>
      <c r="V3742" s="5" t="e">
        <f>IF(AND(#REF!&gt;=table!$C$11,#REF!&lt;= table!$D$11),-1,IF(AND(#REF!&gt;=table!$E$11,#REF!&lt;=table!$F$11),1,0))</f>
        <v>#REF!</v>
      </c>
      <c r="W3742" s="5" t="e">
        <f>CONCATENATE(dados[[#This Row],[fator1]],dados[[#This Row],[fator5]],dados[[#This Row],[fator6]])</f>
        <v>#REF!</v>
      </c>
    </row>
    <row r="3743" spans="1:23">
      <c r="A3743" t="s">
        <v>16</v>
      </c>
      <c r="B3743">
        <v>588008</v>
      </c>
      <c r="C3743">
        <v>0.15</v>
      </c>
      <c r="D3743">
        <v>35</v>
      </c>
      <c r="E3743">
        <v>15</v>
      </c>
      <c r="F3743">
        <v>10</v>
      </c>
      <c r="G3743">
        <v>0</v>
      </c>
      <c r="H3743">
        <v>12</v>
      </c>
      <c r="I3743">
        <v>1046</v>
      </c>
      <c r="J3743">
        <v>0</v>
      </c>
      <c r="K3743">
        <v>3.49</v>
      </c>
      <c r="L3743">
        <v>11.8</v>
      </c>
      <c r="M3743">
        <v>9.125</v>
      </c>
      <c r="N3743">
        <v>11.85</v>
      </c>
      <c r="O3743">
        <v>1689</v>
      </c>
      <c r="P3743">
        <v>1046</v>
      </c>
      <c r="Q3743" s="5" t="e">
        <f>IF(AND(#REF!&gt;=table!$C$6,#REF!&lt;= table!$D$6),-1,IF(AND(#REF!&gt;=table!$E$6,#REF!&lt;=table!$F$6),1,0))</f>
        <v>#REF!</v>
      </c>
      <c r="R3743" s="5" t="e">
        <f>IF(AND(#REF!&gt;=table!$C$7,#REF!&lt;= table!$D$7),-1,IF(AND(#REF!&gt;=table!$E$7,#REF!&lt;=table!$F$7),1,0))</f>
        <v>#REF!</v>
      </c>
      <c r="S3743" s="5" t="e">
        <f>IF(AND(#REF!&gt;=table!$C$8,#REF!&lt;= table!$D$8),-1,IF(AND(#REF!&gt;=table!$E$8,#REF!&lt;=table!$F$8),1,0))</f>
        <v>#REF!</v>
      </c>
      <c r="T3743" s="5"/>
      <c r="U3743" s="5" t="e">
        <f>IF(AND(#REF!&gt;=table!$C$10,#REF!&lt;= table!$D$10),-1,IF(AND(#REF!&gt;=table!$E$10,#REF!&lt;=table!$F$10),1,0))</f>
        <v>#REF!</v>
      </c>
      <c r="V3743" s="5" t="e">
        <f>IF(AND(#REF!&gt;=table!$C$11,#REF!&lt;= table!$D$11),-1,IF(AND(#REF!&gt;=table!$E$11,#REF!&lt;=table!$F$11),1,0))</f>
        <v>#REF!</v>
      </c>
      <c r="W3743" s="5" t="e">
        <f>CONCATENATE(dados[[#This Row],[fator1]],dados[[#This Row],[fator5]],dados[[#This Row],[fator6]])</f>
        <v>#REF!</v>
      </c>
    </row>
    <row r="3744" spans="1:23">
      <c r="A3744" t="s">
        <v>16</v>
      </c>
      <c r="B3744">
        <v>588010</v>
      </c>
      <c r="C3744">
        <v>0.15</v>
      </c>
      <c r="D3744">
        <v>35</v>
      </c>
      <c r="E3744">
        <v>15</v>
      </c>
      <c r="F3744">
        <v>10</v>
      </c>
      <c r="G3744">
        <v>0</v>
      </c>
      <c r="H3744">
        <v>12</v>
      </c>
      <c r="I3744">
        <v>51</v>
      </c>
      <c r="J3744">
        <v>0</v>
      </c>
      <c r="K3744">
        <v>3.2850000000000001</v>
      </c>
      <c r="L3744">
        <v>7.8500000000000005</v>
      </c>
      <c r="M3744">
        <v>7.3500000000000005</v>
      </c>
      <c r="N3744">
        <v>11.05</v>
      </c>
      <c r="O3744">
        <v>1687</v>
      </c>
      <c r="P3744">
        <v>2173</v>
      </c>
      <c r="Q3744" s="5" t="e">
        <f>IF(AND(#REF!&gt;=table!$C$6,#REF!&lt;= table!$D$6),-1,IF(AND(#REF!&gt;=table!$E$6,#REF!&lt;=table!$F$6),1,0))</f>
        <v>#REF!</v>
      </c>
      <c r="R3744" s="5" t="e">
        <f>IF(AND(#REF!&gt;=table!$C$7,#REF!&lt;= table!$D$7),-1,IF(AND(#REF!&gt;=table!$E$7,#REF!&lt;=table!$F$7),1,0))</f>
        <v>#REF!</v>
      </c>
      <c r="S3744" s="5" t="e">
        <f>IF(AND(#REF!&gt;=table!$C$8,#REF!&lt;= table!$D$8),-1,IF(AND(#REF!&gt;=table!$E$8,#REF!&lt;=table!$F$8),1,0))</f>
        <v>#REF!</v>
      </c>
      <c r="T3744" s="5"/>
      <c r="U3744" s="5" t="e">
        <f>IF(AND(#REF!&gt;=table!$C$10,#REF!&lt;= table!$D$10),-1,IF(AND(#REF!&gt;=table!$E$10,#REF!&lt;=table!$F$10),1,0))</f>
        <v>#REF!</v>
      </c>
      <c r="V3744" s="5" t="e">
        <f>IF(AND(#REF!&gt;=table!$C$11,#REF!&lt;= table!$D$11),-1,IF(AND(#REF!&gt;=table!$E$11,#REF!&lt;=table!$F$11),1,0))</f>
        <v>#REF!</v>
      </c>
      <c r="W3744" s="5" t="e">
        <f>CONCATENATE(dados[[#This Row],[fator1]],dados[[#This Row],[fator5]],dados[[#This Row],[fator6]])</f>
        <v>#REF!</v>
      </c>
    </row>
    <row r="3745" spans="1:23">
      <c r="A3745" t="s">
        <v>16</v>
      </c>
      <c r="B3745">
        <v>588011</v>
      </c>
      <c r="C3745">
        <v>0.15</v>
      </c>
      <c r="D3745">
        <v>35</v>
      </c>
      <c r="E3745">
        <v>15</v>
      </c>
      <c r="F3745">
        <v>10</v>
      </c>
      <c r="G3745">
        <v>0</v>
      </c>
      <c r="H3745">
        <v>12</v>
      </c>
      <c r="I3745">
        <v>6</v>
      </c>
      <c r="J3745">
        <v>0</v>
      </c>
      <c r="K3745">
        <v>6.1450000000000005</v>
      </c>
      <c r="L3745">
        <v>16.95</v>
      </c>
      <c r="M3745">
        <v>16.399999999999999</v>
      </c>
      <c r="N3745">
        <v>15</v>
      </c>
      <c r="O3745">
        <v>1715</v>
      </c>
      <c r="P3745">
        <v>555</v>
      </c>
      <c r="Q3745" s="5" t="e">
        <f>IF(AND(#REF!&gt;=table!$C$6,#REF!&lt;= table!$D$6),-1,IF(AND(#REF!&gt;=table!$E$6,#REF!&lt;=table!$F$6),1,0))</f>
        <v>#REF!</v>
      </c>
      <c r="R3745" s="5" t="e">
        <f>IF(AND(#REF!&gt;=table!$C$7,#REF!&lt;= table!$D$7),-1,IF(AND(#REF!&gt;=table!$E$7,#REF!&lt;=table!$F$7),1,0))</f>
        <v>#REF!</v>
      </c>
      <c r="S3745" s="5" t="e">
        <f>IF(AND(#REF!&gt;=table!$C$8,#REF!&lt;= table!$D$8),-1,IF(AND(#REF!&gt;=table!$E$8,#REF!&lt;=table!$F$8),1,0))</f>
        <v>#REF!</v>
      </c>
      <c r="T3745" s="5"/>
      <c r="U3745" s="5" t="e">
        <f>IF(AND(#REF!&gt;=table!$C$10,#REF!&lt;= table!$D$10),-1,IF(AND(#REF!&gt;=table!$E$10,#REF!&lt;=table!$F$10),1,0))</f>
        <v>#REF!</v>
      </c>
      <c r="V3745" s="5" t="e">
        <f>IF(AND(#REF!&gt;=table!$C$11,#REF!&lt;= table!$D$11),-1,IF(AND(#REF!&gt;=table!$E$11,#REF!&lt;=table!$F$11),1,0))</f>
        <v>#REF!</v>
      </c>
      <c r="W3745" s="5" t="e">
        <f>CONCATENATE(dados[[#This Row],[fator1]],dados[[#This Row],[fator5]],dados[[#This Row],[fator6]])</f>
        <v>#REF!</v>
      </c>
    </row>
    <row r="3746" spans="1:23">
      <c r="A3746" t="s">
        <v>16</v>
      </c>
      <c r="B3746">
        <v>588016</v>
      </c>
      <c r="C3746">
        <v>0.15</v>
      </c>
      <c r="D3746">
        <v>40</v>
      </c>
      <c r="E3746">
        <v>10</v>
      </c>
      <c r="F3746">
        <v>15</v>
      </c>
      <c r="G3746">
        <v>0</v>
      </c>
      <c r="H3746">
        <v>15</v>
      </c>
      <c r="I3746">
        <v>0</v>
      </c>
      <c r="J3746">
        <v>0</v>
      </c>
      <c r="K3746">
        <v>3.71</v>
      </c>
      <c r="L3746">
        <v>10.75</v>
      </c>
      <c r="M3746">
        <v>8.8000000000000007</v>
      </c>
      <c r="N3746">
        <v>11.9</v>
      </c>
      <c r="O3746">
        <v>1683</v>
      </c>
      <c r="P3746">
        <v>0</v>
      </c>
      <c r="Q3746" s="5" t="e">
        <f>IF(AND(#REF!&gt;=table!$C$6,#REF!&lt;= table!$D$6),-1,IF(AND(#REF!&gt;=table!$E$6,#REF!&lt;=table!$F$6),1,0))</f>
        <v>#REF!</v>
      </c>
      <c r="R3746" s="5" t="e">
        <f>IF(AND(#REF!&gt;=table!$C$7,#REF!&lt;= table!$D$7),-1,IF(AND(#REF!&gt;=table!$E$7,#REF!&lt;=table!$F$7),1,0))</f>
        <v>#REF!</v>
      </c>
      <c r="S3746" s="5" t="e">
        <f>IF(AND(#REF!&gt;=table!$C$8,#REF!&lt;= table!$D$8),-1,IF(AND(#REF!&gt;=table!$E$8,#REF!&lt;=table!$F$8),1,0))</f>
        <v>#REF!</v>
      </c>
      <c r="T3746" s="5"/>
      <c r="U3746" s="5" t="e">
        <f>IF(AND(#REF!&gt;=table!$C$10,#REF!&lt;= table!$D$10),-1,IF(AND(#REF!&gt;=table!$E$10,#REF!&lt;=table!$F$10),1,0))</f>
        <v>#REF!</v>
      </c>
      <c r="V3746" s="5" t="e">
        <f>IF(AND(#REF!&gt;=table!$C$11,#REF!&lt;= table!$D$11),-1,IF(AND(#REF!&gt;=table!$E$11,#REF!&lt;=table!$F$11),1,0))</f>
        <v>#REF!</v>
      </c>
      <c r="W3746" s="5" t="e">
        <f>CONCATENATE(dados[[#This Row],[fator1]],dados[[#This Row],[fator5]],dados[[#This Row],[fator6]])</f>
        <v>#REF!</v>
      </c>
    </row>
    <row r="3747" spans="1:23">
      <c r="A3747" t="s">
        <v>16</v>
      </c>
      <c r="B3747">
        <v>588018</v>
      </c>
      <c r="C3747">
        <v>0.1</v>
      </c>
      <c r="D3747">
        <v>40</v>
      </c>
      <c r="E3747">
        <v>10</v>
      </c>
      <c r="F3747">
        <v>8</v>
      </c>
      <c r="G3747">
        <v>0</v>
      </c>
      <c r="H3747">
        <v>10</v>
      </c>
      <c r="I3747">
        <v>560</v>
      </c>
      <c r="J3747">
        <v>0</v>
      </c>
      <c r="K3747">
        <v>3.16</v>
      </c>
      <c r="L3747">
        <v>7.75</v>
      </c>
      <c r="M3747">
        <v>7.1000000000000005</v>
      </c>
      <c r="N3747">
        <v>8.1</v>
      </c>
      <c r="O3747">
        <v>1678</v>
      </c>
      <c r="P3747">
        <v>932</v>
      </c>
      <c r="Q3747" s="5" t="e">
        <f>IF(AND(#REF!&gt;=table!$C$6,#REF!&lt;= table!$D$6),-1,IF(AND(#REF!&gt;=table!$E$6,#REF!&lt;=table!$F$6),1,0))</f>
        <v>#REF!</v>
      </c>
      <c r="R3747" s="5" t="e">
        <f>IF(AND(#REF!&gt;=table!$C$7,#REF!&lt;= table!$D$7),-1,IF(AND(#REF!&gt;=table!$E$7,#REF!&lt;=table!$F$7),1,0))</f>
        <v>#REF!</v>
      </c>
      <c r="S3747" s="5" t="e">
        <f>IF(AND(#REF!&gt;=table!$C$8,#REF!&lt;= table!$D$8),-1,IF(AND(#REF!&gt;=table!$E$8,#REF!&lt;=table!$F$8),1,0))</f>
        <v>#REF!</v>
      </c>
      <c r="T3747" s="5"/>
      <c r="U3747" s="5" t="e">
        <f>IF(AND(#REF!&gt;=table!$C$10,#REF!&lt;= table!$D$10),-1,IF(AND(#REF!&gt;=table!$E$10,#REF!&lt;=table!$F$10),1,0))</f>
        <v>#REF!</v>
      </c>
      <c r="V3747" s="5" t="e">
        <f>IF(AND(#REF!&gt;=table!$C$11,#REF!&lt;= table!$D$11),-1,IF(AND(#REF!&gt;=table!$E$11,#REF!&lt;=table!$F$11),1,0))</f>
        <v>#REF!</v>
      </c>
      <c r="W3747" s="5" t="e">
        <f>CONCATENATE(dados[[#This Row],[fator1]],dados[[#This Row],[fator5]],dados[[#This Row],[fator6]])</f>
        <v>#REF!</v>
      </c>
    </row>
    <row r="3748" spans="1:23">
      <c r="A3748" t="s">
        <v>16</v>
      </c>
      <c r="B3748">
        <v>588019</v>
      </c>
      <c r="C3748">
        <v>0.1</v>
      </c>
      <c r="D3748">
        <v>40</v>
      </c>
      <c r="E3748">
        <v>10</v>
      </c>
      <c r="F3748">
        <v>8</v>
      </c>
      <c r="G3748">
        <v>0</v>
      </c>
      <c r="H3748">
        <v>10</v>
      </c>
      <c r="I3748">
        <v>1046</v>
      </c>
      <c r="J3748">
        <v>0</v>
      </c>
      <c r="K3748">
        <v>3.56</v>
      </c>
      <c r="L3748">
        <v>9.3000000000000007</v>
      </c>
      <c r="M3748">
        <v>8.1999999999999993</v>
      </c>
      <c r="N3748">
        <v>9.6</v>
      </c>
      <c r="O3748">
        <v>1626</v>
      </c>
      <c r="P3748">
        <v>0</v>
      </c>
      <c r="Q3748" s="5" t="e">
        <f>IF(AND(#REF!&gt;=table!$C$6,#REF!&lt;= table!$D$6),-1,IF(AND(#REF!&gt;=table!$E$6,#REF!&lt;=table!$F$6),1,0))</f>
        <v>#REF!</v>
      </c>
      <c r="R3748" s="5" t="e">
        <f>IF(AND(#REF!&gt;=table!$C$7,#REF!&lt;= table!$D$7),-1,IF(AND(#REF!&gt;=table!$E$7,#REF!&lt;=table!$F$7),1,0))</f>
        <v>#REF!</v>
      </c>
      <c r="S3748" s="5" t="e">
        <f>IF(AND(#REF!&gt;=table!$C$8,#REF!&lt;= table!$D$8),-1,IF(AND(#REF!&gt;=table!$E$8,#REF!&lt;=table!$F$8),1,0))</f>
        <v>#REF!</v>
      </c>
      <c r="T3748" s="5"/>
      <c r="U3748" s="5" t="e">
        <f>IF(AND(#REF!&gt;=table!$C$10,#REF!&lt;= table!$D$10),-1,IF(AND(#REF!&gt;=table!$E$10,#REF!&lt;=table!$F$10),1,0))</f>
        <v>#REF!</v>
      </c>
      <c r="V3748" s="5" t="e">
        <f>IF(AND(#REF!&gt;=table!$C$11,#REF!&lt;= table!$D$11),-1,IF(AND(#REF!&gt;=table!$E$11,#REF!&lt;=table!$F$11),1,0))</f>
        <v>#REF!</v>
      </c>
      <c r="W3748" s="5" t="e">
        <f>CONCATENATE(dados[[#This Row],[fator1]],dados[[#This Row],[fator5]],dados[[#This Row],[fator6]])</f>
        <v>#REF!</v>
      </c>
    </row>
    <row r="3749" spans="1:23">
      <c r="A3749" t="s">
        <v>17</v>
      </c>
      <c r="B3749">
        <v>588023</v>
      </c>
      <c r="C3749">
        <v>7</v>
      </c>
      <c r="D3749">
        <v>30</v>
      </c>
      <c r="E3749">
        <v>175</v>
      </c>
      <c r="F3749">
        <v>3</v>
      </c>
      <c r="G3749">
        <v>25</v>
      </c>
      <c r="H3749">
        <v>18</v>
      </c>
      <c r="I3749">
        <v>808</v>
      </c>
      <c r="J3749">
        <v>810</v>
      </c>
      <c r="K3749">
        <v>8.2650000000000006</v>
      </c>
      <c r="L3749">
        <v>12.96</v>
      </c>
      <c r="M3749">
        <v>140.48500000000001</v>
      </c>
      <c r="N3749">
        <v>10.870000000000001</v>
      </c>
      <c r="O3749">
        <v>1684</v>
      </c>
      <c r="P3749">
        <v>0</v>
      </c>
      <c r="Q3749" s="5" t="e">
        <f>IF(AND(#REF!&gt;=table!$C$6,#REF!&lt;= table!$D$6),-1,IF(AND(#REF!&gt;=table!$E$6,#REF!&lt;=table!$F$6),1,0))</f>
        <v>#REF!</v>
      </c>
      <c r="R3749" s="5" t="e">
        <f>IF(AND(#REF!&gt;=table!$C$7,#REF!&lt;= table!$D$7),-1,IF(AND(#REF!&gt;=table!$E$7,#REF!&lt;=table!$F$7),1,0))</f>
        <v>#REF!</v>
      </c>
      <c r="S3749" s="5" t="e">
        <f>IF(AND(#REF!&gt;=table!$C$8,#REF!&lt;= table!$D$8),-1,IF(AND(#REF!&gt;=table!$E$8,#REF!&lt;=table!$F$8),1,0))</f>
        <v>#REF!</v>
      </c>
      <c r="T3749" s="5"/>
      <c r="U3749" s="5" t="e">
        <f>IF(AND(#REF!&gt;=table!$C$10,#REF!&lt;= table!$D$10),-1,IF(AND(#REF!&gt;=table!$E$10,#REF!&lt;=table!$F$10),1,0))</f>
        <v>#REF!</v>
      </c>
      <c r="V3749" s="5" t="e">
        <f>IF(AND(#REF!&gt;=table!$C$11,#REF!&lt;= table!$D$11),-1,IF(AND(#REF!&gt;=table!$E$11,#REF!&lt;=table!$F$11),1,0))</f>
        <v>#REF!</v>
      </c>
      <c r="W3749" s="5" t="e">
        <f>CONCATENATE(dados[[#This Row],[fator1]],dados[[#This Row],[fator5]],dados[[#This Row],[fator6]])</f>
        <v>#REF!</v>
      </c>
    </row>
    <row r="3750" spans="1:23">
      <c r="A3750" t="s">
        <v>16</v>
      </c>
      <c r="B3750">
        <v>588026</v>
      </c>
      <c r="C3750">
        <v>3</v>
      </c>
      <c r="D3750">
        <v>30</v>
      </c>
      <c r="E3750">
        <v>21</v>
      </c>
      <c r="F3750">
        <v>15</v>
      </c>
      <c r="G3750">
        <v>0</v>
      </c>
      <c r="H3750">
        <v>25</v>
      </c>
      <c r="I3750">
        <v>906</v>
      </c>
      <c r="J3750">
        <v>0</v>
      </c>
      <c r="K3750">
        <v>6.76</v>
      </c>
      <c r="L3750">
        <v>19.600000000000001</v>
      </c>
      <c r="M3750">
        <v>7.75</v>
      </c>
      <c r="N3750">
        <v>17.05</v>
      </c>
      <c r="O3750">
        <v>1670</v>
      </c>
      <c r="P3750">
        <v>1323</v>
      </c>
      <c r="Q3750" s="5" t="e">
        <f>IF(AND(#REF!&gt;=table!$C$6,#REF!&lt;= table!$D$6),-1,IF(AND(#REF!&gt;=table!$E$6,#REF!&lt;=table!$F$6),1,0))</f>
        <v>#REF!</v>
      </c>
      <c r="R3750" s="5" t="e">
        <f>IF(AND(#REF!&gt;=table!$C$7,#REF!&lt;= table!$D$7),-1,IF(AND(#REF!&gt;=table!$E$7,#REF!&lt;=table!$F$7),1,0))</f>
        <v>#REF!</v>
      </c>
      <c r="S3750" s="5" t="e">
        <f>IF(AND(#REF!&gt;=table!$C$8,#REF!&lt;= table!$D$8),-1,IF(AND(#REF!&gt;=table!$E$8,#REF!&lt;=table!$F$8),1,0))</f>
        <v>#REF!</v>
      </c>
      <c r="T3750" s="5"/>
      <c r="U3750" s="5" t="e">
        <f>IF(AND(#REF!&gt;=table!$C$10,#REF!&lt;= table!$D$10),-1,IF(AND(#REF!&gt;=table!$E$10,#REF!&lt;=table!$F$10),1,0))</f>
        <v>#REF!</v>
      </c>
      <c r="V3750" s="5" t="e">
        <f>IF(AND(#REF!&gt;=table!$C$11,#REF!&lt;= table!$D$11),-1,IF(AND(#REF!&gt;=table!$E$11,#REF!&lt;=table!$F$11),1,0))</f>
        <v>#REF!</v>
      </c>
      <c r="W3750" s="5" t="e">
        <f>CONCATENATE(dados[[#This Row],[fator1]],dados[[#This Row],[fator5]],dados[[#This Row],[fator6]])</f>
        <v>#REF!</v>
      </c>
    </row>
    <row r="3751" spans="1:23">
      <c r="A3751" t="s">
        <v>16</v>
      </c>
      <c r="B3751">
        <v>588029</v>
      </c>
      <c r="C3751">
        <v>0.15</v>
      </c>
      <c r="D3751">
        <v>40</v>
      </c>
      <c r="E3751">
        <v>10</v>
      </c>
      <c r="F3751">
        <v>15</v>
      </c>
      <c r="G3751">
        <v>0</v>
      </c>
      <c r="H3751">
        <v>15</v>
      </c>
      <c r="I3751">
        <v>1000</v>
      </c>
      <c r="J3751">
        <v>990</v>
      </c>
      <c r="K3751">
        <v>4.1399999999999997</v>
      </c>
      <c r="L3751">
        <v>15.4</v>
      </c>
      <c r="M3751">
        <v>9.98</v>
      </c>
      <c r="N3751">
        <v>15.665000000000001</v>
      </c>
      <c r="O3751">
        <v>1694</v>
      </c>
      <c r="P3751">
        <v>946</v>
      </c>
      <c r="Q3751" s="5" t="e">
        <f>IF(AND(#REF!&gt;=table!$C$6,#REF!&lt;= table!$D$6),-1,IF(AND(#REF!&gt;=table!$E$6,#REF!&lt;=table!$F$6),1,0))</f>
        <v>#REF!</v>
      </c>
      <c r="R3751" s="5" t="e">
        <f>IF(AND(#REF!&gt;=table!$C$7,#REF!&lt;= table!$D$7),-1,IF(AND(#REF!&gt;=table!$E$7,#REF!&lt;=table!$F$7),1,0))</f>
        <v>#REF!</v>
      </c>
      <c r="S3751" s="5" t="e">
        <f>IF(AND(#REF!&gt;=table!$C$8,#REF!&lt;= table!$D$8),-1,IF(AND(#REF!&gt;=table!$E$8,#REF!&lt;=table!$F$8),1,0))</f>
        <v>#REF!</v>
      </c>
      <c r="T3751" s="5"/>
      <c r="U3751" s="5" t="e">
        <f>IF(AND(#REF!&gt;=table!$C$10,#REF!&lt;= table!$D$10),-1,IF(AND(#REF!&gt;=table!$E$10,#REF!&lt;=table!$F$10),1,0))</f>
        <v>#REF!</v>
      </c>
      <c r="V3751" s="5" t="e">
        <f>IF(AND(#REF!&gt;=table!$C$11,#REF!&lt;= table!$D$11),-1,IF(AND(#REF!&gt;=table!$E$11,#REF!&lt;=table!$F$11),1,0))</f>
        <v>#REF!</v>
      </c>
      <c r="W3751" s="5" t="e">
        <f>CONCATENATE(dados[[#This Row],[fator1]],dados[[#This Row],[fator5]],dados[[#This Row],[fator6]])</f>
        <v>#REF!</v>
      </c>
    </row>
    <row r="3752" spans="1:23">
      <c r="A3752" t="s">
        <v>16</v>
      </c>
      <c r="B3752">
        <v>588035</v>
      </c>
      <c r="C3752">
        <v>0.15</v>
      </c>
      <c r="D3752">
        <v>40</v>
      </c>
      <c r="E3752">
        <v>10</v>
      </c>
      <c r="F3752">
        <v>15</v>
      </c>
      <c r="G3752">
        <v>0</v>
      </c>
      <c r="H3752">
        <v>15</v>
      </c>
      <c r="I3752">
        <v>1073</v>
      </c>
      <c r="J3752">
        <v>0</v>
      </c>
      <c r="K3752">
        <v>5.9850000000000003</v>
      </c>
      <c r="L3752">
        <v>9.9</v>
      </c>
      <c r="M3752">
        <v>10.46</v>
      </c>
      <c r="N3752">
        <v>12.530000000000001</v>
      </c>
      <c r="O3752">
        <v>1679</v>
      </c>
      <c r="P3752">
        <v>662</v>
      </c>
      <c r="Q3752" s="5" t="e">
        <f>IF(AND(#REF!&gt;=table!$C$6,#REF!&lt;= table!$D$6),-1,IF(AND(#REF!&gt;=table!$E$6,#REF!&lt;=table!$F$6),1,0))</f>
        <v>#REF!</v>
      </c>
      <c r="R3752" s="5" t="e">
        <f>IF(AND(#REF!&gt;=table!$C$7,#REF!&lt;= table!$D$7),-1,IF(AND(#REF!&gt;=table!$E$7,#REF!&lt;=table!$F$7),1,0))</f>
        <v>#REF!</v>
      </c>
      <c r="S3752" s="5" t="e">
        <f>IF(AND(#REF!&gt;=table!$C$8,#REF!&lt;= table!$D$8),-1,IF(AND(#REF!&gt;=table!$E$8,#REF!&lt;=table!$F$8),1,0))</f>
        <v>#REF!</v>
      </c>
      <c r="T3752" s="5"/>
      <c r="U3752" s="5" t="e">
        <f>IF(AND(#REF!&gt;=table!$C$10,#REF!&lt;= table!$D$10),-1,IF(AND(#REF!&gt;=table!$E$10,#REF!&lt;=table!$F$10),1,0))</f>
        <v>#REF!</v>
      </c>
      <c r="V3752" s="5" t="e">
        <f>IF(AND(#REF!&gt;=table!$C$11,#REF!&lt;= table!$D$11),-1,IF(AND(#REF!&gt;=table!$E$11,#REF!&lt;=table!$F$11),1,0))</f>
        <v>#REF!</v>
      </c>
      <c r="W3752" s="5" t="e">
        <f>CONCATENATE(dados[[#This Row],[fator1]],dados[[#This Row],[fator5]],dados[[#This Row],[fator6]])</f>
        <v>#REF!</v>
      </c>
    </row>
    <row r="3753" spans="1:23">
      <c r="A3753" t="s">
        <v>16</v>
      </c>
      <c r="B3753">
        <v>588037</v>
      </c>
      <c r="C3753">
        <v>6</v>
      </c>
      <c r="D3753">
        <v>25</v>
      </c>
      <c r="E3753">
        <v>120</v>
      </c>
      <c r="F3753">
        <v>4</v>
      </c>
      <c r="G3753">
        <v>0</v>
      </c>
      <c r="H3753">
        <v>55</v>
      </c>
      <c r="I3753">
        <v>579</v>
      </c>
      <c r="J3753">
        <v>0</v>
      </c>
      <c r="K3753">
        <v>3.7550000000000003</v>
      </c>
      <c r="L3753">
        <v>12.8</v>
      </c>
      <c r="M3753">
        <v>112.10000000000001</v>
      </c>
      <c r="N3753">
        <v>26.45</v>
      </c>
      <c r="O3753">
        <v>1689</v>
      </c>
      <c r="P3753">
        <v>0</v>
      </c>
      <c r="Q3753" s="5" t="e">
        <f>IF(AND(#REF!&gt;=table!$C$6,#REF!&lt;= table!$D$6),-1,IF(AND(#REF!&gt;=table!$E$6,#REF!&lt;=table!$F$6),1,0))</f>
        <v>#REF!</v>
      </c>
      <c r="R3753" s="5" t="e">
        <f>IF(AND(#REF!&gt;=table!$C$7,#REF!&lt;= table!$D$7),-1,IF(AND(#REF!&gt;=table!$E$7,#REF!&lt;=table!$F$7),1,0))</f>
        <v>#REF!</v>
      </c>
      <c r="S3753" s="5" t="e">
        <f>IF(AND(#REF!&gt;=table!$C$8,#REF!&lt;= table!$D$8),-1,IF(AND(#REF!&gt;=table!$E$8,#REF!&lt;=table!$F$8),1,0))</f>
        <v>#REF!</v>
      </c>
      <c r="T3753" s="5"/>
      <c r="U3753" s="5" t="e">
        <f>IF(AND(#REF!&gt;=table!$C$10,#REF!&lt;= table!$D$10),-1,IF(AND(#REF!&gt;=table!$E$10,#REF!&lt;=table!$F$10),1,0))</f>
        <v>#REF!</v>
      </c>
      <c r="V3753" s="5" t="e">
        <f>IF(AND(#REF!&gt;=table!$C$11,#REF!&lt;= table!$D$11),-1,IF(AND(#REF!&gt;=table!$E$11,#REF!&lt;=table!$F$11),1,0))</f>
        <v>#REF!</v>
      </c>
      <c r="W3753" s="5" t="e">
        <f>CONCATENATE(dados[[#This Row],[fator1]],dados[[#This Row],[fator5]],dados[[#This Row],[fator6]])</f>
        <v>#REF!</v>
      </c>
    </row>
    <row r="3754" spans="1:23">
      <c r="A3754" t="s">
        <v>16</v>
      </c>
      <c r="B3754">
        <v>588040</v>
      </c>
      <c r="C3754">
        <v>7</v>
      </c>
      <c r="D3754">
        <v>33</v>
      </c>
      <c r="E3754">
        <v>153</v>
      </c>
      <c r="F3754">
        <v>4</v>
      </c>
      <c r="G3754">
        <v>0</v>
      </c>
      <c r="H3754">
        <v>25</v>
      </c>
      <c r="I3754">
        <v>749</v>
      </c>
      <c r="J3754">
        <v>720</v>
      </c>
      <c r="K3754">
        <v>3.2750000000000004</v>
      </c>
      <c r="L3754">
        <v>10.295</v>
      </c>
      <c r="M3754">
        <v>140.55000000000001</v>
      </c>
      <c r="N3754">
        <v>16.649999999999999</v>
      </c>
      <c r="O3754">
        <v>1636</v>
      </c>
      <c r="P3754">
        <v>0</v>
      </c>
      <c r="Q3754" s="5" t="e">
        <f>IF(AND(#REF!&gt;=table!$C$6,#REF!&lt;= table!$D$6),-1,IF(AND(#REF!&gt;=table!$E$6,#REF!&lt;=table!$F$6),1,0))</f>
        <v>#REF!</v>
      </c>
      <c r="R3754" s="5" t="e">
        <f>IF(AND(#REF!&gt;=table!$C$7,#REF!&lt;= table!$D$7),-1,IF(AND(#REF!&gt;=table!$E$7,#REF!&lt;=table!$F$7),1,0))</f>
        <v>#REF!</v>
      </c>
      <c r="S3754" s="5" t="e">
        <f>IF(AND(#REF!&gt;=table!$C$8,#REF!&lt;= table!$D$8),-1,IF(AND(#REF!&gt;=table!$E$8,#REF!&lt;=table!$F$8),1,0))</f>
        <v>#REF!</v>
      </c>
      <c r="T3754" s="5"/>
      <c r="U3754" s="5" t="e">
        <f>IF(AND(#REF!&gt;=table!$C$10,#REF!&lt;= table!$D$10),-1,IF(AND(#REF!&gt;=table!$E$10,#REF!&lt;=table!$F$10),1,0))</f>
        <v>#REF!</v>
      </c>
      <c r="V3754" s="5" t="e">
        <f>IF(AND(#REF!&gt;=table!$C$11,#REF!&lt;= table!$D$11),-1,IF(AND(#REF!&gt;=table!$E$11,#REF!&lt;=table!$F$11),1,0))</f>
        <v>#REF!</v>
      </c>
      <c r="W3754" s="5" t="e">
        <f>CONCATENATE(dados[[#This Row],[fator1]],dados[[#This Row],[fator5]],dados[[#This Row],[fator6]])</f>
        <v>#REF!</v>
      </c>
    </row>
    <row r="3755" spans="1:23">
      <c r="A3755" t="s">
        <v>16</v>
      </c>
      <c r="B3755">
        <v>588041</v>
      </c>
      <c r="C3755">
        <v>16</v>
      </c>
      <c r="D3755">
        <v>35</v>
      </c>
      <c r="E3755">
        <v>40</v>
      </c>
      <c r="F3755">
        <v>10</v>
      </c>
      <c r="G3755">
        <v>0</v>
      </c>
      <c r="H3755">
        <v>25</v>
      </c>
      <c r="I3755">
        <v>0</v>
      </c>
      <c r="J3755">
        <v>0</v>
      </c>
      <c r="K3755">
        <v>2.44</v>
      </c>
      <c r="L3755">
        <v>7.4</v>
      </c>
      <c r="M3755">
        <v>28.195</v>
      </c>
      <c r="N3755">
        <v>17.685000000000002</v>
      </c>
      <c r="O3755">
        <v>1666</v>
      </c>
      <c r="P3755">
        <v>1234</v>
      </c>
      <c r="Q3755" s="5" t="e">
        <f>IF(AND(#REF!&gt;=table!$C$6,#REF!&lt;= table!$D$6),-1,IF(AND(#REF!&gt;=table!$E$6,#REF!&lt;=table!$F$6),1,0))</f>
        <v>#REF!</v>
      </c>
      <c r="R3755" s="5" t="e">
        <f>IF(AND(#REF!&gt;=table!$C$7,#REF!&lt;= table!$D$7),-1,IF(AND(#REF!&gt;=table!$E$7,#REF!&lt;=table!$F$7),1,0))</f>
        <v>#REF!</v>
      </c>
      <c r="S3755" s="5" t="e">
        <f>IF(AND(#REF!&gt;=table!$C$8,#REF!&lt;= table!$D$8),-1,IF(AND(#REF!&gt;=table!$E$8,#REF!&lt;=table!$F$8),1,0))</f>
        <v>#REF!</v>
      </c>
      <c r="T3755" s="5"/>
      <c r="U3755" s="5" t="e">
        <f>IF(AND(#REF!&gt;=table!$C$10,#REF!&lt;= table!$D$10),-1,IF(AND(#REF!&gt;=table!$E$10,#REF!&lt;=table!$F$10),1,0))</f>
        <v>#REF!</v>
      </c>
      <c r="V3755" s="5" t="e">
        <f>IF(AND(#REF!&gt;=table!$C$11,#REF!&lt;= table!$D$11),-1,IF(AND(#REF!&gt;=table!$E$11,#REF!&lt;=table!$F$11),1,0))</f>
        <v>#REF!</v>
      </c>
      <c r="W3755" s="5" t="e">
        <f>CONCATENATE(dados[[#This Row],[fator1]],dados[[#This Row],[fator5]],dados[[#This Row],[fator6]])</f>
        <v>#REF!</v>
      </c>
    </row>
    <row r="3756" spans="1:23">
      <c r="A3756" t="s">
        <v>17</v>
      </c>
      <c r="B3756">
        <v>588042</v>
      </c>
      <c r="C3756">
        <v>3</v>
      </c>
      <c r="D3756">
        <v>25</v>
      </c>
      <c r="E3756">
        <v>115</v>
      </c>
      <c r="F3756">
        <v>1</v>
      </c>
      <c r="G3756">
        <v>25</v>
      </c>
      <c r="H3756">
        <v>10</v>
      </c>
      <c r="I3756">
        <v>18</v>
      </c>
      <c r="J3756">
        <v>0</v>
      </c>
      <c r="K3756">
        <v>2.66</v>
      </c>
      <c r="L3756">
        <v>5.5150000000000006</v>
      </c>
      <c r="M3756">
        <v>86</v>
      </c>
      <c r="N3756">
        <v>6.7</v>
      </c>
      <c r="O3756">
        <v>1673</v>
      </c>
      <c r="P3756">
        <v>1037</v>
      </c>
      <c r="Q3756" s="5" t="e">
        <f>IF(AND(#REF!&gt;=table!$C$6,#REF!&lt;= table!$D$6),-1,IF(AND(#REF!&gt;=table!$E$6,#REF!&lt;=table!$F$6),1,0))</f>
        <v>#REF!</v>
      </c>
      <c r="R3756" s="5" t="e">
        <f>IF(AND(#REF!&gt;=table!$C$7,#REF!&lt;= table!$D$7),-1,IF(AND(#REF!&gt;=table!$E$7,#REF!&lt;=table!$F$7),1,0))</f>
        <v>#REF!</v>
      </c>
      <c r="S3756" s="5" t="e">
        <f>IF(AND(#REF!&gt;=table!$C$8,#REF!&lt;= table!$D$8),-1,IF(AND(#REF!&gt;=table!$E$8,#REF!&lt;=table!$F$8),1,0))</f>
        <v>#REF!</v>
      </c>
      <c r="T3756" s="5"/>
      <c r="U3756" s="5" t="e">
        <f>IF(AND(#REF!&gt;=table!$C$10,#REF!&lt;= table!$D$10),-1,IF(AND(#REF!&gt;=table!$E$10,#REF!&lt;=table!$F$10),1,0))</f>
        <v>#REF!</v>
      </c>
      <c r="V3756" s="5" t="e">
        <f>IF(AND(#REF!&gt;=table!$C$11,#REF!&lt;= table!$D$11),-1,IF(AND(#REF!&gt;=table!$E$11,#REF!&lt;=table!$F$11),1,0))</f>
        <v>#REF!</v>
      </c>
      <c r="W3756" s="5" t="e">
        <f>CONCATENATE(dados[[#This Row],[fator1]],dados[[#This Row],[fator5]],dados[[#This Row],[fator6]])</f>
        <v>#REF!</v>
      </c>
    </row>
    <row r="3757" spans="1:23">
      <c r="A3757" t="s">
        <v>17</v>
      </c>
      <c r="B3757">
        <v>588043</v>
      </c>
      <c r="C3757">
        <v>3</v>
      </c>
      <c r="D3757">
        <v>25</v>
      </c>
      <c r="E3757">
        <v>120</v>
      </c>
      <c r="F3757">
        <v>1</v>
      </c>
      <c r="G3757">
        <v>25</v>
      </c>
      <c r="H3757">
        <v>10</v>
      </c>
      <c r="I3757">
        <v>18</v>
      </c>
      <c r="J3757">
        <v>720</v>
      </c>
      <c r="K3757">
        <v>2.2850000000000001</v>
      </c>
      <c r="L3757">
        <v>4.6500000000000004</v>
      </c>
      <c r="M3757">
        <v>92.3</v>
      </c>
      <c r="N3757">
        <v>5.8500000000000005</v>
      </c>
      <c r="O3757">
        <v>1629</v>
      </c>
      <c r="P3757">
        <v>1001</v>
      </c>
      <c r="Q3757" s="5" t="e">
        <f>IF(AND(#REF!&gt;=table!$C$6,#REF!&lt;= table!$D$6),-1,IF(AND(#REF!&gt;=table!$E$6,#REF!&lt;=table!$F$6),1,0))</f>
        <v>#REF!</v>
      </c>
      <c r="R3757" s="5" t="e">
        <f>IF(AND(#REF!&gt;=table!$C$7,#REF!&lt;= table!$D$7),-1,IF(AND(#REF!&gt;=table!$E$7,#REF!&lt;=table!$F$7),1,0))</f>
        <v>#REF!</v>
      </c>
      <c r="S3757" s="5" t="e">
        <f>IF(AND(#REF!&gt;=table!$C$8,#REF!&lt;= table!$D$8),-1,IF(AND(#REF!&gt;=table!$E$8,#REF!&lt;=table!$F$8),1,0))</f>
        <v>#REF!</v>
      </c>
      <c r="T3757" s="5"/>
      <c r="U3757" s="5" t="e">
        <f>IF(AND(#REF!&gt;=table!$C$10,#REF!&lt;= table!$D$10),-1,IF(AND(#REF!&gt;=table!$E$10,#REF!&lt;=table!$F$10),1,0))</f>
        <v>#REF!</v>
      </c>
      <c r="V3757" s="5" t="e">
        <f>IF(AND(#REF!&gt;=table!$C$11,#REF!&lt;= table!$D$11),-1,IF(AND(#REF!&gt;=table!$E$11,#REF!&lt;=table!$F$11),1,0))</f>
        <v>#REF!</v>
      </c>
      <c r="W3757" s="5" t="e">
        <f>CONCATENATE(dados[[#This Row],[fator1]],dados[[#This Row],[fator5]],dados[[#This Row],[fator6]])</f>
        <v>#REF!</v>
      </c>
    </row>
    <row r="3758" spans="1:23">
      <c r="A3758" t="s">
        <v>17</v>
      </c>
      <c r="B3758">
        <v>588044</v>
      </c>
      <c r="C3758">
        <v>12</v>
      </c>
      <c r="D3758">
        <v>30</v>
      </c>
      <c r="E3758">
        <v>115</v>
      </c>
      <c r="F3758">
        <v>4</v>
      </c>
      <c r="G3758">
        <v>25</v>
      </c>
      <c r="H3758">
        <v>21</v>
      </c>
      <c r="I3758">
        <v>8</v>
      </c>
      <c r="J3758">
        <v>0</v>
      </c>
      <c r="K3758">
        <v>4.74</v>
      </c>
      <c r="L3758">
        <v>10.15</v>
      </c>
      <c r="M3758">
        <v>98.7</v>
      </c>
      <c r="N3758">
        <v>11.25</v>
      </c>
      <c r="O3758">
        <v>1653</v>
      </c>
      <c r="P3758">
        <v>741</v>
      </c>
      <c r="Q3758" s="5" t="e">
        <f>IF(AND(#REF!&gt;=table!$C$6,#REF!&lt;= table!$D$6),-1,IF(AND(#REF!&gt;=table!$E$6,#REF!&lt;=table!$F$6),1,0))</f>
        <v>#REF!</v>
      </c>
      <c r="R3758" s="5" t="e">
        <f>IF(AND(#REF!&gt;=table!$C$7,#REF!&lt;= table!$D$7),-1,IF(AND(#REF!&gt;=table!$E$7,#REF!&lt;=table!$F$7),1,0))</f>
        <v>#REF!</v>
      </c>
      <c r="S3758" s="5" t="e">
        <f>IF(AND(#REF!&gt;=table!$C$8,#REF!&lt;= table!$D$8),-1,IF(AND(#REF!&gt;=table!$E$8,#REF!&lt;=table!$F$8),1,0))</f>
        <v>#REF!</v>
      </c>
      <c r="T3758" s="5"/>
      <c r="U3758" s="5" t="e">
        <f>IF(AND(#REF!&gt;=table!$C$10,#REF!&lt;= table!$D$10),-1,IF(AND(#REF!&gt;=table!$E$10,#REF!&lt;=table!$F$10),1,0))</f>
        <v>#REF!</v>
      </c>
      <c r="V3758" s="5" t="e">
        <f>IF(AND(#REF!&gt;=table!$C$11,#REF!&lt;= table!$D$11),-1,IF(AND(#REF!&gt;=table!$E$11,#REF!&lt;=table!$F$11),1,0))</f>
        <v>#REF!</v>
      </c>
      <c r="W3758" s="5" t="e">
        <f>CONCATENATE(dados[[#This Row],[fator1]],dados[[#This Row],[fator5]],dados[[#This Row],[fator6]])</f>
        <v>#REF!</v>
      </c>
    </row>
    <row r="3759" spans="1:23">
      <c r="A3759" t="s">
        <v>17</v>
      </c>
      <c r="B3759">
        <v>588045</v>
      </c>
      <c r="C3759">
        <v>16</v>
      </c>
      <c r="D3759">
        <v>35</v>
      </c>
      <c r="E3759">
        <v>120</v>
      </c>
      <c r="F3759">
        <v>4</v>
      </c>
      <c r="G3759">
        <v>30</v>
      </c>
      <c r="H3759">
        <v>20</v>
      </c>
      <c r="I3759">
        <v>0</v>
      </c>
      <c r="J3759">
        <v>0</v>
      </c>
      <c r="K3759">
        <v>6.4</v>
      </c>
      <c r="L3759">
        <v>14.155000000000001</v>
      </c>
      <c r="M3759">
        <v>100.05</v>
      </c>
      <c r="N3759">
        <v>14.43</v>
      </c>
      <c r="O3759">
        <v>1663</v>
      </c>
      <c r="P3759">
        <v>560</v>
      </c>
      <c r="Q3759" s="5" t="e">
        <f>IF(AND(#REF!&gt;=table!$C$6,#REF!&lt;= table!$D$6),-1,IF(AND(#REF!&gt;=table!$E$6,#REF!&lt;=table!$F$6),1,0))</f>
        <v>#REF!</v>
      </c>
      <c r="R3759" s="5" t="e">
        <f>IF(AND(#REF!&gt;=table!$C$7,#REF!&lt;= table!$D$7),-1,IF(AND(#REF!&gt;=table!$E$7,#REF!&lt;=table!$F$7),1,0))</f>
        <v>#REF!</v>
      </c>
      <c r="S3759" s="5" t="e">
        <f>IF(AND(#REF!&gt;=table!$C$8,#REF!&lt;= table!$D$8),-1,IF(AND(#REF!&gt;=table!$E$8,#REF!&lt;=table!$F$8),1,0))</f>
        <v>#REF!</v>
      </c>
      <c r="T3759" s="5"/>
      <c r="U3759" s="5" t="e">
        <f>IF(AND(#REF!&gt;=table!$C$10,#REF!&lt;= table!$D$10),-1,IF(AND(#REF!&gt;=table!$E$10,#REF!&lt;=table!$F$10),1,0))</f>
        <v>#REF!</v>
      </c>
      <c r="V3759" s="5" t="e">
        <f>IF(AND(#REF!&gt;=table!$C$11,#REF!&lt;= table!$D$11),-1,IF(AND(#REF!&gt;=table!$E$11,#REF!&lt;=table!$F$11),1,0))</f>
        <v>#REF!</v>
      </c>
      <c r="W3759" s="5" t="e">
        <f>CONCATENATE(dados[[#This Row],[fator1]],dados[[#This Row],[fator5]],dados[[#This Row],[fator6]])</f>
        <v>#REF!</v>
      </c>
    </row>
    <row r="3760" spans="1:23">
      <c r="A3760" t="s">
        <v>16</v>
      </c>
      <c r="B3760">
        <v>588046</v>
      </c>
      <c r="C3760">
        <v>13</v>
      </c>
      <c r="D3760">
        <v>35</v>
      </c>
      <c r="E3760">
        <v>120</v>
      </c>
      <c r="F3760">
        <v>10</v>
      </c>
      <c r="G3760">
        <v>0</v>
      </c>
      <c r="H3760">
        <v>25</v>
      </c>
      <c r="I3760">
        <v>1423</v>
      </c>
      <c r="J3760">
        <v>0</v>
      </c>
      <c r="K3760">
        <v>3.0700000000000003</v>
      </c>
      <c r="L3760">
        <v>17.95</v>
      </c>
      <c r="M3760">
        <v>99.850000000000009</v>
      </c>
      <c r="N3760">
        <v>22.2</v>
      </c>
      <c r="O3760">
        <v>1708</v>
      </c>
      <c r="P3760">
        <v>0</v>
      </c>
      <c r="Q3760" s="5" t="e">
        <f>IF(AND(#REF!&gt;=table!$C$6,#REF!&lt;= table!$D$6),-1,IF(AND(#REF!&gt;=table!$E$6,#REF!&lt;=table!$F$6),1,0))</f>
        <v>#REF!</v>
      </c>
      <c r="R3760" s="5" t="e">
        <f>IF(AND(#REF!&gt;=table!$C$7,#REF!&lt;= table!$D$7),-1,IF(AND(#REF!&gt;=table!$E$7,#REF!&lt;=table!$F$7),1,0))</f>
        <v>#REF!</v>
      </c>
      <c r="S3760" s="5" t="e">
        <f>IF(AND(#REF!&gt;=table!$C$8,#REF!&lt;= table!$D$8),-1,IF(AND(#REF!&gt;=table!$E$8,#REF!&lt;=table!$F$8),1,0))</f>
        <v>#REF!</v>
      </c>
      <c r="T3760" s="5"/>
      <c r="U3760" s="5" t="e">
        <f>IF(AND(#REF!&gt;=table!$C$10,#REF!&lt;= table!$D$10),-1,IF(AND(#REF!&gt;=table!$E$10,#REF!&lt;=table!$F$10),1,0))</f>
        <v>#REF!</v>
      </c>
      <c r="V3760" s="5" t="e">
        <f>IF(AND(#REF!&gt;=table!$C$11,#REF!&lt;= table!$D$11),-1,IF(AND(#REF!&gt;=table!$E$11,#REF!&lt;=table!$F$11),1,0))</f>
        <v>#REF!</v>
      </c>
      <c r="W3760" s="5" t="e">
        <f>CONCATENATE(dados[[#This Row],[fator1]],dados[[#This Row],[fator5]],dados[[#This Row],[fator6]])</f>
        <v>#REF!</v>
      </c>
    </row>
    <row r="3761" spans="1:23">
      <c r="A3761" t="s">
        <v>17</v>
      </c>
      <c r="B3761">
        <v>588047</v>
      </c>
      <c r="C3761">
        <v>15</v>
      </c>
      <c r="D3761">
        <v>35</v>
      </c>
      <c r="E3761">
        <v>120</v>
      </c>
      <c r="F3761">
        <v>4</v>
      </c>
      <c r="G3761">
        <v>15</v>
      </c>
      <c r="H3761">
        <v>20</v>
      </c>
      <c r="I3761">
        <v>11</v>
      </c>
      <c r="J3761">
        <v>0</v>
      </c>
      <c r="K3761">
        <v>3.83</v>
      </c>
      <c r="L3761">
        <v>13.6</v>
      </c>
      <c r="M3761">
        <v>98.7</v>
      </c>
      <c r="N3761">
        <v>16.350000000000001</v>
      </c>
      <c r="O3761">
        <v>1677</v>
      </c>
      <c r="P3761">
        <v>881</v>
      </c>
      <c r="Q3761" s="5" t="e">
        <f>IF(AND(#REF!&gt;=table!$C$6,#REF!&lt;= table!$D$6),-1,IF(AND(#REF!&gt;=table!$E$6,#REF!&lt;=table!$F$6),1,0))</f>
        <v>#REF!</v>
      </c>
      <c r="R3761" s="5" t="e">
        <f>IF(AND(#REF!&gt;=table!$C$7,#REF!&lt;= table!$D$7),-1,IF(AND(#REF!&gt;=table!$E$7,#REF!&lt;=table!$F$7),1,0))</f>
        <v>#REF!</v>
      </c>
      <c r="S3761" s="5" t="e">
        <f>IF(AND(#REF!&gt;=table!$C$8,#REF!&lt;= table!$D$8),-1,IF(AND(#REF!&gt;=table!$E$8,#REF!&lt;=table!$F$8),1,0))</f>
        <v>#REF!</v>
      </c>
      <c r="T3761" s="5"/>
      <c r="U3761" s="5" t="e">
        <f>IF(AND(#REF!&gt;=table!$C$10,#REF!&lt;= table!$D$10),-1,IF(AND(#REF!&gt;=table!$E$10,#REF!&lt;=table!$F$10),1,0))</f>
        <v>#REF!</v>
      </c>
      <c r="V3761" s="5" t="e">
        <f>IF(AND(#REF!&gt;=table!$C$11,#REF!&lt;= table!$D$11),-1,IF(AND(#REF!&gt;=table!$E$11,#REF!&lt;=table!$F$11),1,0))</f>
        <v>#REF!</v>
      </c>
      <c r="W3761" s="5" t="e">
        <f>CONCATENATE(dados[[#This Row],[fator1]],dados[[#This Row],[fator5]],dados[[#This Row],[fator6]])</f>
        <v>#REF!</v>
      </c>
    </row>
    <row r="3762" spans="1:23">
      <c r="A3762" t="s">
        <v>16</v>
      </c>
      <c r="B3762">
        <v>588049</v>
      </c>
      <c r="C3762">
        <v>12</v>
      </c>
      <c r="D3762">
        <v>35</v>
      </c>
      <c r="E3762">
        <v>86</v>
      </c>
      <c r="F3762">
        <v>8</v>
      </c>
      <c r="G3762">
        <v>0</v>
      </c>
      <c r="H3762">
        <v>25</v>
      </c>
      <c r="I3762">
        <v>838</v>
      </c>
      <c r="J3762">
        <v>0</v>
      </c>
      <c r="K3762">
        <v>5.13</v>
      </c>
      <c r="L3762">
        <v>11.05</v>
      </c>
      <c r="M3762">
        <v>77.05</v>
      </c>
      <c r="N3762">
        <v>11.950000000000001</v>
      </c>
      <c r="O3762">
        <v>1708</v>
      </c>
      <c r="P3762">
        <v>867</v>
      </c>
      <c r="Q3762" s="5" t="e">
        <f>IF(AND(#REF!&gt;=table!$C$6,#REF!&lt;= table!$D$6),-1,IF(AND(#REF!&gt;=table!$E$6,#REF!&lt;=table!$F$6),1,0))</f>
        <v>#REF!</v>
      </c>
      <c r="R3762" s="5" t="e">
        <f>IF(AND(#REF!&gt;=table!$C$7,#REF!&lt;= table!$D$7),-1,IF(AND(#REF!&gt;=table!$E$7,#REF!&lt;=table!$F$7),1,0))</f>
        <v>#REF!</v>
      </c>
      <c r="S3762" s="5" t="e">
        <f>IF(AND(#REF!&gt;=table!$C$8,#REF!&lt;= table!$D$8),-1,IF(AND(#REF!&gt;=table!$E$8,#REF!&lt;=table!$F$8),1,0))</f>
        <v>#REF!</v>
      </c>
      <c r="T3762" s="5"/>
      <c r="U3762" s="5" t="e">
        <f>IF(AND(#REF!&gt;=table!$C$10,#REF!&lt;= table!$D$10),-1,IF(AND(#REF!&gt;=table!$E$10,#REF!&lt;=table!$F$10),1,0))</f>
        <v>#REF!</v>
      </c>
      <c r="V3762" s="5" t="e">
        <f>IF(AND(#REF!&gt;=table!$C$11,#REF!&lt;= table!$D$11),-1,IF(AND(#REF!&gt;=table!$E$11,#REF!&lt;=table!$F$11),1,0))</f>
        <v>#REF!</v>
      </c>
      <c r="W3762" s="5" t="e">
        <f>CONCATENATE(dados[[#This Row],[fator1]],dados[[#This Row],[fator5]],dados[[#This Row],[fator6]])</f>
        <v>#REF!</v>
      </c>
    </row>
    <row r="3763" spans="1:23">
      <c r="A3763" t="s">
        <v>16</v>
      </c>
      <c r="B3763">
        <v>588051</v>
      </c>
      <c r="C3763">
        <v>9</v>
      </c>
      <c r="D3763">
        <v>27</v>
      </c>
      <c r="E3763">
        <v>36</v>
      </c>
      <c r="F3763">
        <v>8</v>
      </c>
      <c r="G3763">
        <v>0</v>
      </c>
      <c r="H3763">
        <v>25</v>
      </c>
      <c r="I3763">
        <v>0</v>
      </c>
      <c r="J3763">
        <v>0</v>
      </c>
      <c r="K3763">
        <v>3.585</v>
      </c>
      <c r="L3763">
        <v>14.46</v>
      </c>
      <c r="M3763">
        <v>39.4</v>
      </c>
      <c r="N3763">
        <v>17.400000000000002</v>
      </c>
      <c r="O3763">
        <v>1696</v>
      </c>
      <c r="P3763">
        <v>1001</v>
      </c>
      <c r="Q3763" s="5" t="e">
        <f>IF(AND(#REF!&gt;=table!$C$6,#REF!&lt;= table!$D$6),-1,IF(AND(#REF!&gt;=table!$E$6,#REF!&lt;=table!$F$6),1,0))</f>
        <v>#REF!</v>
      </c>
      <c r="R3763" s="5" t="e">
        <f>IF(AND(#REF!&gt;=table!$C$7,#REF!&lt;= table!$D$7),-1,IF(AND(#REF!&gt;=table!$E$7,#REF!&lt;=table!$F$7),1,0))</f>
        <v>#REF!</v>
      </c>
      <c r="S3763" s="5" t="e">
        <f>IF(AND(#REF!&gt;=table!$C$8,#REF!&lt;= table!$D$8),-1,IF(AND(#REF!&gt;=table!$E$8,#REF!&lt;=table!$F$8),1,0))</f>
        <v>#REF!</v>
      </c>
      <c r="T3763" s="5"/>
      <c r="U3763" s="5" t="e">
        <f>IF(AND(#REF!&gt;=table!$C$10,#REF!&lt;= table!$D$10),-1,IF(AND(#REF!&gt;=table!$E$10,#REF!&lt;=table!$F$10),1,0))</f>
        <v>#REF!</v>
      </c>
      <c r="V3763" s="5" t="e">
        <f>IF(AND(#REF!&gt;=table!$C$11,#REF!&lt;= table!$D$11),-1,IF(AND(#REF!&gt;=table!$E$11,#REF!&lt;=table!$F$11),1,0))</f>
        <v>#REF!</v>
      </c>
      <c r="W3763" s="5" t="e">
        <f>CONCATENATE(dados[[#This Row],[fator1]],dados[[#This Row],[fator5]],dados[[#This Row],[fator6]])</f>
        <v>#REF!</v>
      </c>
    </row>
    <row r="3764" spans="1:23">
      <c r="A3764" t="s">
        <v>17</v>
      </c>
      <c r="B3764">
        <v>588052</v>
      </c>
      <c r="C3764">
        <v>20</v>
      </c>
      <c r="D3764">
        <v>33</v>
      </c>
      <c r="E3764">
        <v>100</v>
      </c>
      <c r="F3764">
        <v>10</v>
      </c>
      <c r="G3764">
        <v>20</v>
      </c>
      <c r="H3764">
        <v>25</v>
      </c>
      <c r="I3764">
        <v>0</v>
      </c>
      <c r="J3764">
        <v>0</v>
      </c>
      <c r="K3764">
        <v>12.3</v>
      </c>
      <c r="L3764">
        <v>12.65</v>
      </c>
      <c r="M3764">
        <v>80.900000000000006</v>
      </c>
      <c r="N3764">
        <v>15.85</v>
      </c>
      <c r="O3764">
        <v>1683</v>
      </c>
      <c r="P3764">
        <v>746</v>
      </c>
      <c r="Q3764" s="5" t="e">
        <f>IF(AND(#REF!&gt;=table!$C$6,#REF!&lt;= table!$D$6),-1,IF(AND(#REF!&gt;=table!$E$6,#REF!&lt;=table!$F$6),1,0))</f>
        <v>#REF!</v>
      </c>
      <c r="R3764" s="5" t="e">
        <f>IF(AND(#REF!&gt;=table!$C$7,#REF!&lt;= table!$D$7),-1,IF(AND(#REF!&gt;=table!$E$7,#REF!&lt;=table!$F$7),1,0))</f>
        <v>#REF!</v>
      </c>
      <c r="S3764" s="5" t="e">
        <f>IF(AND(#REF!&gt;=table!$C$8,#REF!&lt;= table!$D$8),-1,IF(AND(#REF!&gt;=table!$E$8,#REF!&lt;=table!$F$8),1,0))</f>
        <v>#REF!</v>
      </c>
      <c r="T3764" s="5"/>
      <c r="U3764" s="5" t="e">
        <f>IF(AND(#REF!&gt;=table!$C$10,#REF!&lt;= table!$D$10),-1,IF(AND(#REF!&gt;=table!$E$10,#REF!&lt;=table!$F$10),1,0))</f>
        <v>#REF!</v>
      </c>
      <c r="V3764" s="5" t="e">
        <f>IF(AND(#REF!&gt;=table!$C$11,#REF!&lt;= table!$D$11),-1,IF(AND(#REF!&gt;=table!$E$11,#REF!&lt;=table!$F$11),1,0))</f>
        <v>#REF!</v>
      </c>
      <c r="W3764" s="5" t="e">
        <f>CONCATENATE(dados[[#This Row],[fator1]],dados[[#This Row],[fator5]],dados[[#This Row],[fator6]])</f>
        <v>#REF!</v>
      </c>
    </row>
    <row r="3765" spans="1:23">
      <c r="A3765" t="s">
        <v>16</v>
      </c>
      <c r="B3765">
        <v>588053</v>
      </c>
      <c r="C3765">
        <v>9</v>
      </c>
      <c r="D3765">
        <v>27</v>
      </c>
      <c r="E3765">
        <v>36</v>
      </c>
      <c r="F3765">
        <v>8</v>
      </c>
      <c r="G3765">
        <v>0</v>
      </c>
      <c r="H3765">
        <v>25</v>
      </c>
      <c r="I3765">
        <v>20</v>
      </c>
      <c r="J3765">
        <v>0</v>
      </c>
      <c r="K3765">
        <v>8.4150000000000009</v>
      </c>
      <c r="L3765">
        <v>19.635000000000002</v>
      </c>
      <c r="M3765">
        <v>31.95</v>
      </c>
      <c r="N3765">
        <v>16.350000000000001</v>
      </c>
      <c r="O3765">
        <v>1666</v>
      </c>
      <c r="P3765">
        <v>0</v>
      </c>
      <c r="Q3765" s="5" t="e">
        <f>IF(AND(#REF!&gt;=table!$C$6,#REF!&lt;= table!$D$6),-1,IF(AND(#REF!&gt;=table!$E$6,#REF!&lt;=table!$F$6),1,0))</f>
        <v>#REF!</v>
      </c>
      <c r="R3765" s="5" t="e">
        <f>IF(AND(#REF!&gt;=table!$C$7,#REF!&lt;= table!$D$7),-1,IF(AND(#REF!&gt;=table!$E$7,#REF!&lt;=table!$F$7),1,0))</f>
        <v>#REF!</v>
      </c>
      <c r="S3765" s="5" t="e">
        <f>IF(AND(#REF!&gt;=table!$C$8,#REF!&lt;= table!$D$8),-1,IF(AND(#REF!&gt;=table!$E$8,#REF!&lt;=table!$F$8),1,0))</f>
        <v>#REF!</v>
      </c>
      <c r="T3765" s="5"/>
      <c r="U3765" s="5" t="e">
        <f>IF(AND(#REF!&gt;=table!$C$10,#REF!&lt;= table!$D$10),-1,IF(AND(#REF!&gt;=table!$E$10,#REF!&lt;=table!$F$10),1,0))</f>
        <v>#REF!</v>
      </c>
      <c r="V3765" s="5" t="e">
        <f>IF(AND(#REF!&gt;=table!$C$11,#REF!&lt;= table!$D$11),-1,IF(AND(#REF!&gt;=table!$E$11,#REF!&lt;=table!$F$11),1,0))</f>
        <v>#REF!</v>
      </c>
      <c r="W3765" s="5" t="e">
        <f>CONCATENATE(dados[[#This Row],[fator1]],dados[[#This Row],[fator5]],dados[[#This Row],[fator6]])</f>
        <v>#REF!</v>
      </c>
    </row>
    <row r="3766" spans="1:23">
      <c r="A3766" t="s">
        <v>17</v>
      </c>
      <c r="B3766">
        <v>588054</v>
      </c>
      <c r="C3766">
        <v>21</v>
      </c>
      <c r="D3766">
        <v>35</v>
      </c>
      <c r="E3766">
        <v>96</v>
      </c>
      <c r="F3766">
        <v>4</v>
      </c>
      <c r="G3766">
        <v>20</v>
      </c>
      <c r="H3766">
        <v>25</v>
      </c>
      <c r="I3766">
        <v>1332</v>
      </c>
      <c r="J3766">
        <v>1720</v>
      </c>
      <c r="K3766">
        <v>6.37</v>
      </c>
      <c r="L3766">
        <v>25</v>
      </c>
      <c r="M3766">
        <v>85.4</v>
      </c>
      <c r="N3766">
        <v>27.2</v>
      </c>
      <c r="O3766">
        <v>1698</v>
      </c>
      <c r="P3766">
        <v>519</v>
      </c>
      <c r="Q3766" s="5" t="e">
        <f>IF(AND(#REF!&gt;=table!$C$6,#REF!&lt;= table!$D$6),-1,IF(AND(#REF!&gt;=table!$E$6,#REF!&lt;=table!$F$6),1,0))</f>
        <v>#REF!</v>
      </c>
      <c r="R3766" s="5" t="e">
        <f>IF(AND(#REF!&gt;=table!$C$7,#REF!&lt;= table!$D$7),-1,IF(AND(#REF!&gt;=table!$E$7,#REF!&lt;=table!$F$7),1,0))</f>
        <v>#REF!</v>
      </c>
      <c r="S3766" s="5" t="e">
        <f>IF(AND(#REF!&gt;=table!$C$8,#REF!&lt;= table!$D$8),-1,IF(AND(#REF!&gt;=table!$E$8,#REF!&lt;=table!$F$8),1,0))</f>
        <v>#REF!</v>
      </c>
      <c r="T3766" s="5"/>
      <c r="U3766" s="5" t="e">
        <f>IF(AND(#REF!&gt;=table!$C$10,#REF!&lt;= table!$D$10),-1,IF(AND(#REF!&gt;=table!$E$10,#REF!&lt;=table!$F$10),1,0))</f>
        <v>#REF!</v>
      </c>
      <c r="V3766" s="5" t="e">
        <f>IF(AND(#REF!&gt;=table!$C$11,#REF!&lt;= table!$D$11),-1,IF(AND(#REF!&gt;=table!$E$11,#REF!&lt;=table!$F$11),1,0))</f>
        <v>#REF!</v>
      </c>
      <c r="W3766" s="5" t="e">
        <f>CONCATENATE(dados[[#This Row],[fator1]],dados[[#This Row],[fator5]],dados[[#This Row],[fator6]])</f>
        <v>#REF!</v>
      </c>
    </row>
    <row r="3767" spans="1:23">
      <c r="A3767" t="s">
        <v>16</v>
      </c>
      <c r="B3767">
        <v>588056</v>
      </c>
      <c r="C3767">
        <v>0.15</v>
      </c>
      <c r="D3767">
        <v>40</v>
      </c>
      <c r="E3767">
        <v>10</v>
      </c>
      <c r="F3767">
        <v>15</v>
      </c>
      <c r="G3767">
        <v>0</v>
      </c>
      <c r="H3767">
        <v>15</v>
      </c>
      <c r="I3767">
        <v>1586</v>
      </c>
      <c r="J3767">
        <v>0</v>
      </c>
      <c r="K3767">
        <v>34.04</v>
      </c>
      <c r="L3767">
        <v>23.5</v>
      </c>
      <c r="M3767">
        <v>11.25</v>
      </c>
      <c r="N3767">
        <v>11.9</v>
      </c>
      <c r="O3767">
        <v>1677</v>
      </c>
      <c r="P3767">
        <v>0</v>
      </c>
      <c r="Q3767" s="5" t="e">
        <f>IF(AND(#REF!&gt;=table!$C$6,#REF!&lt;= table!$D$6),-1,IF(AND(#REF!&gt;=table!$E$6,#REF!&lt;=table!$F$6),1,0))</f>
        <v>#REF!</v>
      </c>
      <c r="R3767" s="5" t="e">
        <f>IF(AND(#REF!&gt;=table!$C$7,#REF!&lt;= table!$D$7),-1,IF(AND(#REF!&gt;=table!$E$7,#REF!&lt;=table!$F$7),1,0))</f>
        <v>#REF!</v>
      </c>
      <c r="S3767" s="5" t="e">
        <f>IF(AND(#REF!&gt;=table!$C$8,#REF!&lt;= table!$D$8),-1,IF(AND(#REF!&gt;=table!$E$8,#REF!&lt;=table!$F$8),1,0))</f>
        <v>#REF!</v>
      </c>
      <c r="T3767" s="5"/>
      <c r="U3767" s="5" t="e">
        <f>IF(AND(#REF!&gt;=table!$C$10,#REF!&lt;= table!$D$10),-1,IF(AND(#REF!&gt;=table!$E$10,#REF!&lt;=table!$F$10),1,0))</f>
        <v>#REF!</v>
      </c>
      <c r="V3767" s="5" t="e">
        <f>IF(AND(#REF!&gt;=table!$C$11,#REF!&lt;= table!$D$11),-1,IF(AND(#REF!&gt;=table!$E$11,#REF!&lt;=table!$F$11),1,0))</f>
        <v>#REF!</v>
      </c>
      <c r="W3767" s="5" t="e">
        <f>CONCATENATE(dados[[#This Row],[fator1]],dados[[#This Row],[fator5]],dados[[#This Row],[fator6]])</f>
        <v>#REF!</v>
      </c>
    </row>
    <row r="3768" spans="1:23">
      <c r="A3768" t="s">
        <v>16</v>
      </c>
      <c r="B3768">
        <v>588057</v>
      </c>
      <c r="C3768">
        <v>0.15</v>
      </c>
      <c r="D3768">
        <v>40</v>
      </c>
      <c r="E3768">
        <v>10</v>
      </c>
      <c r="F3768">
        <v>15</v>
      </c>
      <c r="G3768">
        <v>0</v>
      </c>
      <c r="H3768">
        <v>15</v>
      </c>
      <c r="I3768">
        <v>0</v>
      </c>
      <c r="J3768">
        <v>0</v>
      </c>
      <c r="K3768">
        <v>7.32</v>
      </c>
      <c r="L3768">
        <v>9.65</v>
      </c>
      <c r="M3768">
        <v>8.5500000000000007</v>
      </c>
      <c r="N3768">
        <v>9.4</v>
      </c>
      <c r="O3768">
        <v>1651</v>
      </c>
      <c r="P3768">
        <v>0</v>
      </c>
      <c r="Q3768" s="5" t="e">
        <f>IF(AND(#REF!&gt;=table!$C$6,#REF!&lt;= table!$D$6),-1,IF(AND(#REF!&gt;=table!$E$6,#REF!&lt;=table!$F$6),1,0))</f>
        <v>#REF!</v>
      </c>
      <c r="R3768" s="5" t="e">
        <f>IF(AND(#REF!&gt;=table!$C$7,#REF!&lt;= table!$D$7),-1,IF(AND(#REF!&gt;=table!$E$7,#REF!&lt;=table!$F$7),1,0))</f>
        <v>#REF!</v>
      </c>
      <c r="S3768" s="5" t="e">
        <f>IF(AND(#REF!&gt;=table!$C$8,#REF!&lt;= table!$D$8),-1,IF(AND(#REF!&gt;=table!$E$8,#REF!&lt;=table!$F$8),1,0))</f>
        <v>#REF!</v>
      </c>
      <c r="T3768" s="5"/>
      <c r="U3768" s="5" t="e">
        <f>IF(AND(#REF!&gt;=table!$C$10,#REF!&lt;= table!$D$10),-1,IF(AND(#REF!&gt;=table!$E$10,#REF!&lt;=table!$F$10),1,0))</f>
        <v>#REF!</v>
      </c>
      <c r="V3768" s="5" t="e">
        <f>IF(AND(#REF!&gt;=table!$C$11,#REF!&lt;= table!$D$11),-1,IF(AND(#REF!&gt;=table!$E$11,#REF!&lt;=table!$F$11),1,0))</f>
        <v>#REF!</v>
      </c>
      <c r="W3768" s="5" t="e">
        <f>CONCATENATE(dados[[#This Row],[fator1]],dados[[#This Row],[fator5]],dados[[#This Row],[fator6]])</f>
        <v>#REF!</v>
      </c>
    </row>
    <row r="3769" spans="1:23">
      <c r="A3769" t="s">
        <v>16</v>
      </c>
      <c r="B3769">
        <v>588058</v>
      </c>
      <c r="C3769">
        <v>0.15</v>
      </c>
      <c r="D3769">
        <v>40</v>
      </c>
      <c r="E3769">
        <v>10</v>
      </c>
      <c r="F3769">
        <v>15</v>
      </c>
      <c r="G3769">
        <v>0</v>
      </c>
      <c r="H3769">
        <v>15</v>
      </c>
      <c r="I3769">
        <v>19</v>
      </c>
      <c r="J3769">
        <v>0</v>
      </c>
      <c r="K3769">
        <v>5.5200000000000005</v>
      </c>
      <c r="L3769">
        <v>15.24</v>
      </c>
      <c r="M3769">
        <v>13.575000000000001</v>
      </c>
      <c r="N3769">
        <v>14.085000000000001</v>
      </c>
      <c r="O3769">
        <v>1675</v>
      </c>
      <c r="P3769">
        <v>640</v>
      </c>
      <c r="Q3769" s="5" t="e">
        <f>IF(AND(#REF!&gt;=table!$C$6,#REF!&lt;= table!$D$6),-1,IF(AND(#REF!&gt;=table!$E$6,#REF!&lt;=table!$F$6),1,0))</f>
        <v>#REF!</v>
      </c>
      <c r="R3769" s="5" t="e">
        <f>IF(AND(#REF!&gt;=table!$C$7,#REF!&lt;= table!$D$7),-1,IF(AND(#REF!&gt;=table!$E$7,#REF!&lt;=table!$F$7),1,0))</f>
        <v>#REF!</v>
      </c>
      <c r="S3769" s="5" t="e">
        <f>IF(AND(#REF!&gt;=table!$C$8,#REF!&lt;= table!$D$8),-1,IF(AND(#REF!&gt;=table!$E$8,#REF!&lt;=table!$F$8),1,0))</f>
        <v>#REF!</v>
      </c>
      <c r="T3769" s="5"/>
      <c r="U3769" s="5" t="e">
        <f>IF(AND(#REF!&gt;=table!$C$10,#REF!&lt;= table!$D$10),-1,IF(AND(#REF!&gt;=table!$E$10,#REF!&lt;=table!$F$10),1,0))</f>
        <v>#REF!</v>
      </c>
      <c r="V3769" s="5" t="e">
        <f>IF(AND(#REF!&gt;=table!$C$11,#REF!&lt;= table!$D$11),-1,IF(AND(#REF!&gt;=table!$E$11,#REF!&lt;=table!$F$11),1,0))</f>
        <v>#REF!</v>
      </c>
      <c r="W3769" s="5" t="e">
        <f>CONCATENATE(dados[[#This Row],[fator1]],dados[[#This Row],[fator5]],dados[[#This Row],[fator6]])</f>
        <v>#REF!</v>
      </c>
    </row>
    <row r="3770" spans="1:23">
      <c r="A3770" t="s">
        <v>16</v>
      </c>
      <c r="B3770">
        <v>588064</v>
      </c>
      <c r="C3770">
        <v>11</v>
      </c>
      <c r="D3770">
        <v>40</v>
      </c>
      <c r="E3770">
        <v>151</v>
      </c>
      <c r="F3770">
        <v>8</v>
      </c>
      <c r="G3770">
        <v>0</v>
      </c>
      <c r="H3770">
        <v>25</v>
      </c>
      <c r="I3770">
        <v>31</v>
      </c>
      <c r="J3770">
        <v>0</v>
      </c>
      <c r="K3770">
        <v>6.37</v>
      </c>
      <c r="L3770">
        <v>12.215</v>
      </c>
      <c r="M3770">
        <v>73.784999999999997</v>
      </c>
      <c r="N3770">
        <v>11.24</v>
      </c>
      <c r="O3770">
        <v>1669</v>
      </c>
      <c r="P3770">
        <v>636</v>
      </c>
      <c r="Q3770" s="5" t="e">
        <f>IF(AND(#REF!&gt;=table!$C$6,#REF!&lt;= table!$D$6),-1,IF(AND(#REF!&gt;=table!$E$6,#REF!&lt;=table!$F$6),1,0))</f>
        <v>#REF!</v>
      </c>
      <c r="R3770" s="5" t="e">
        <f>IF(AND(#REF!&gt;=table!$C$7,#REF!&lt;= table!$D$7),-1,IF(AND(#REF!&gt;=table!$E$7,#REF!&lt;=table!$F$7),1,0))</f>
        <v>#REF!</v>
      </c>
      <c r="S3770" s="5" t="e">
        <f>IF(AND(#REF!&gt;=table!$C$8,#REF!&lt;= table!$D$8),-1,IF(AND(#REF!&gt;=table!$E$8,#REF!&lt;=table!$F$8),1,0))</f>
        <v>#REF!</v>
      </c>
      <c r="T3770" s="5"/>
      <c r="U3770" s="5" t="e">
        <f>IF(AND(#REF!&gt;=table!$C$10,#REF!&lt;= table!$D$10),-1,IF(AND(#REF!&gt;=table!$E$10,#REF!&lt;=table!$F$10),1,0))</f>
        <v>#REF!</v>
      </c>
      <c r="V3770" s="5" t="e">
        <f>IF(AND(#REF!&gt;=table!$C$11,#REF!&lt;= table!$D$11),-1,IF(AND(#REF!&gt;=table!$E$11,#REF!&lt;=table!$F$11),1,0))</f>
        <v>#REF!</v>
      </c>
      <c r="W3770" s="5" t="e">
        <f>CONCATENATE(dados[[#This Row],[fator1]],dados[[#This Row],[fator5]],dados[[#This Row],[fator6]])</f>
        <v>#REF!</v>
      </c>
    </row>
    <row r="3771" spans="1:23">
      <c r="A3771" t="s">
        <v>16</v>
      </c>
      <c r="B3771">
        <v>588065</v>
      </c>
      <c r="C3771">
        <v>7</v>
      </c>
      <c r="D3771">
        <v>35</v>
      </c>
      <c r="E3771">
        <v>170</v>
      </c>
      <c r="F3771">
        <v>6</v>
      </c>
      <c r="G3771">
        <v>0</v>
      </c>
      <c r="H3771">
        <v>20</v>
      </c>
      <c r="I3771">
        <v>729</v>
      </c>
      <c r="J3771">
        <v>1040</v>
      </c>
      <c r="K3771">
        <v>11.435</v>
      </c>
      <c r="L3771">
        <v>10.455</v>
      </c>
      <c r="M3771">
        <v>138.89000000000001</v>
      </c>
      <c r="N3771">
        <v>8.1050000000000004</v>
      </c>
      <c r="O3771">
        <v>1627</v>
      </c>
      <c r="P3771">
        <v>333</v>
      </c>
      <c r="Q3771" s="5" t="e">
        <f>IF(AND(#REF!&gt;=table!$C$6,#REF!&lt;= table!$D$6),-1,IF(AND(#REF!&gt;=table!$E$6,#REF!&lt;=table!$F$6),1,0))</f>
        <v>#REF!</v>
      </c>
      <c r="R3771" s="5" t="e">
        <f>IF(AND(#REF!&gt;=table!$C$7,#REF!&lt;= table!$D$7),-1,IF(AND(#REF!&gt;=table!$E$7,#REF!&lt;=table!$F$7),1,0))</f>
        <v>#REF!</v>
      </c>
      <c r="S3771" s="5" t="e">
        <f>IF(AND(#REF!&gt;=table!$C$8,#REF!&lt;= table!$D$8),-1,IF(AND(#REF!&gt;=table!$E$8,#REF!&lt;=table!$F$8),1,0))</f>
        <v>#REF!</v>
      </c>
      <c r="T3771" s="5"/>
      <c r="U3771" s="5" t="e">
        <f>IF(AND(#REF!&gt;=table!$C$10,#REF!&lt;= table!$D$10),-1,IF(AND(#REF!&gt;=table!$E$10,#REF!&lt;=table!$F$10),1,0))</f>
        <v>#REF!</v>
      </c>
      <c r="V3771" s="5" t="e">
        <f>IF(AND(#REF!&gt;=table!$C$11,#REF!&lt;= table!$D$11),-1,IF(AND(#REF!&gt;=table!$E$11,#REF!&lt;=table!$F$11),1,0))</f>
        <v>#REF!</v>
      </c>
      <c r="W3771" s="5" t="e">
        <f>CONCATENATE(dados[[#This Row],[fator1]],dados[[#This Row],[fator5]],dados[[#This Row],[fator6]])</f>
        <v>#REF!</v>
      </c>
    </row>
    <row r="3772" spans="1:23">
      <c r="A3772" t="s">
        <v>16</v>
      </c>
      <c r="B3772">
        <v>588066</v>
      </c>
      <c r="C3772">
        <v>13</v>
      </c>
      <c r="D3772">
        <v>35</v>
      </c>
      <c r="E3772">
        <v>120</v>
      </c>
      <c r="F3772">
        <v>10</v>
      </c>
      <c r="G3772">
        <v>0</v>
      </c>
      <c r="H3772">
        <v>25</v>
      </c>
      <c r="I3772">
        <v>6</v>
      </c>
      <c r="J3772">
        <v>0</v>
      </c>
      <c r="K3772">
        <v>3.6950000000000003</v>
      </c>
      <c r="L3772">
        <v>8.4</v>
      </c>
      <c r="M3772">
        <v>83.65</v>
      </c>
      <c r="N3772">
        <v>14.65</v>
      </c>
      <c r="O3772">
        <v>1657</v>
      </c>
      <c r="P3772">
        <v>826</v>
      </c>
      <c r="Q3772" s="5" t="e">
        <f>IF(AND(#REF!&gt;=table!$C$6,#REF!&lt;= table!$D$6),-1,IF(AND(#REF!&gt;=table!$E$6,#REF!&lt;=table!$F$6),1,0))</f>
        <v>#REF!</v>
      </c>
      <c r="R3772" s="5" t="e">
        <f>IF(AND(#REF!&gt;=table!$C$7,#REF!&lt;= table!$D$7),-1,IF(AND(#REF!&gt;=table!$E$7,#REF!&lt;=table!$F$7),1,0))</f>
        <v>#REF!</v>
      </c>
      <c r="S3772" s="5" t="e">
        <f>IF(AND(#REF!&gt;=table!$C$8,#REF!&lt;= table!$D$8),-1,IF(AND(#REF!&gt;=table!$E$8,#REF!&lt;=table!$F$8),1,0))</f>
        <v>#REF!</v>
      </c>
      <c r="T3772" s="5"/>
      <c r="U3772" s="5" t="e">
        <f>IF(AND(#REF!&gt;=table!$C$10,#REF!&lt;= table!$D$10),-1,IF(AND(#REF!&gt;=table!$E$10,#REF!&lt;=table!$F$10),1,0))</f>
        <v>#REF!</v>
      </c>
      <c r="V3772" s="5" t="e">
        <f>IF(AND(#REF!&gt;=table!$C$11,#REF!&lt;= table!$D$11),-1,IF(AND(#REF!&gt;=table!$E$11,#REF!&lt;=table!$F$11),1,0))</f>
        <v>#REF!</v>
      </c>
      <c r="W3772" s="5" t="e">
        <f>CONCATENATE(dados[[#This Row],[fator1]],dados[[#This Row],[fator5]],dados[[#This Row],[fator6]])</f>
        <v>#REF!</v>
      </c>
    </row>
    <row r="3773" spans="1:23">
      <c r="A3773" t="s">
        <v>16</v>
      </c>
      <c r="B3773">
        <v>588070</v>
      </c>
      <c r="C3773">
        <v>12</v>
      </c>
      <c r="D3773">
        <v>35</v>
      </c>
      <c r="E3773">
        <v>86</v>
      </c>
      <c r="F3773">
        <v>10</v>
      </c>
      <c r="G3773">
        <v>0</v>
      </c>
      <c r="H3773">
        <v>25</v>
      </c>
      <c r="I3773">
        <v>661</v>
      </c>
      <c r="J3773">
        <v>1060</v>
      </c>
      <c r="K3773">
        <v>4.085</v>
      </c>
      <c r="L3773">
        <v>19.850000000000001</v>
      </c>
      <c r="M3773">
        <v>68.8</v>
      </c>
      <c r="N3773">
        <v>21.25</v>
      </c>
      <c r="O3773">
        <v>1667</v>
      </c>
      <c r="P3773">
        <v>0</v>
      </c>
      <c r="Q3773" s="5" t="e">
        <f>IF(AND(#REF!&gt;=table!$C$6,#REF!&lt;= table!$D$6),-1,IF(AND(#REF!&gt;=table!$E$6,#REF!&lt;=table!$F$6),1,0))</f>
        <v>#REF!</v>
      </c>
      <c r="R3773" s="5" t="e">
        <f>IF(AND(#REF!&gt;=table!$C$7,#REF!&lt;= table!$D$7),-1,IF(AND(#REF!&gt;=table!$E$7,#REF!&lt;=table!$F$7),1,0))</f>
        <v>#REF!</v>
      </c>
      <c r="S3773" s="5" t="e">
        <f>IF(AND(#REF!&gt;=table!$C$8,#REF!&lt;= table!$D$8),-1,IF(AND(#REF!&gt;=table!$E$8,#REF!&lt;=table!$F$8),1,0))</f>
        <v>#REF!</v>
      </c>
      <c r="T3773" s="5"/>
      <c r="U3773" s="5" t="e">
        <f>IF(AND(#REF!&gt;=table!$C$10,#REF!&lt;= table!$D$10),-1,IF(AND(#REF!&gt;=table!$E$10,#REF!&lt;=table!$F$10),1,0))</f>
        <v>#REF!</v>
      </c>
      <c r="V3773" s="5" t="e">
        <f>IF(AND(#REF!&gt;=table!$C$11,#REF!&lt;= table!$D$11),-1,IF(AND(#REF!&gt;=table!$E$11,#REF!&lt;=table!$F$11),1,0))</f>
        <v>#REF!</v>
      </c>
      <c r="W3773" s="5" t="e">
        <f>CONCATENATE(dados[[#This Row],[fator1]],dados[[#This Row],[fator5]],dados[[#This Row],[fator6]])</f>
        <v>#REF!</v>
      </c>
    </row>
    <row r="3774" spans="1:23">
      <c r="A3774" t="s">
        <v>16</v>
      </c>
      <c r="B3774">
        <v>588071</v>
      </c>
      <c r="C3774">
        <v>16</v>
      </c>
      <c r="D3774">
        <v>35</v>
      </c>
      <c r="E3774">
        <v>56</v>
      </c>
      <c r="F3774">
        <v>10</v>
      </c>
      <c r="G3774">
        <v>0</v>
      </c>
      <c r="H3774">
        <v>25</v>
      </c>
      <c r="I3774">
        <v>1</v>
      </c>
      <c r="J3774">
        <v>0</v>
      </c>
      <c r="K3774">
        <v>5.1050000000000004</v>
      </c>
      <c r="L3774">
        <v>18.78</v>
      </c>
      <c r="M3774">
        <v>58.25</v>
      </c>
      <c r="N3774">
        <v>18.95</v>
      </c>
      <c r="O3774">
        <v>1676</v>
      </c>
      <c r="P3774">
        <v>697</v>
      </c>
      <c r="Q3774" s="5" t="e">
        <f>IF(AND(#REF!&gt;=table!$C$6,#REF!&lt;= table!$D$6),-1,IF(AND(#REF!&gt;=table!$E$6,#REF!&lt;=table!$F$6),1,0))</f>
        <v>#REF!</v>
      </c>
      <c r="R3774" s="5" t="e">
        <f>IF(AND(#REF!&gt;=table!$C$7,#REF!&lt;= table!$D$7),-1,IF(AND(#REF!&gt;=table!$E$7,#REF!&lt;=table!$F$7),1,0))</f>
        <v>#REF!</v>
      </c>
      <c r="S3774" s="5" t="e">
        <f>IF(AND(#REF!&gt;=table!$C$8,#REF!&lt;= table!$D$8),-1,IF(AND(#REF!&gt;=table!$E$8,#REF!&lt;=table!$F$8),1,0))</f>
        <v>#REF!</v>
      </c>
      <c r="T3774" s="5"/>
      <c r="U3774" s="5" t="e">
        <f>IF(AND(#REF!&gt;=table!$C$10,#REF!&lt;= table!$D$10),-1,IF(AND(#REF!&gt;=table!$E$10,#REF!&lt;=table!$F$10),1,0))</f>
        <v>#REF!</v>
      </c>
      <c r="V3774" s="5" t="e">
        <f>IF(AND(#REF!&gt;=table!$C$11,#REF!&lt;= table!$D$11),-1,IF(AND(#REF!&gt;=table!$E$11,#REF!&lt;=table!$F$11),1,0))</f>
        <v>#REF!</v>
      </c>
      <c r="W3774" s="5" t="e">
        <f>CONCATENATE(dados[[#This Row],[fator1]],dados[[#This Row],[fator5]],dados[[#This Row],[fator6]])</f>
        <v>#REF!</v>
      </c>
    </row>
    <row r="3775" spans="1:23">
      <c r="A3775" t="s">
        <v>16</v>
      </c>
      <c r="B3775">
        <v>588072</v>
      </c>
      <c r="C3775">
        <v>16</v>
      </c>
      <c r="D3775">
        <v>35</v>
      </c>
      <c r="E3775">
        <v>56</v>
      </c>
      <c r="F3775">
        <v>10</v>
      </c>
      <c r="G3775">
        <v>0</v>
      </c>
      <c r="H3775">
        <v>25</v>
      </c>
      <c r="I3775">
        <v>4</v>
      </c>
      <c r="J3775">
        <v>0</v>
      </c>
      <c r="K3775">
        <v>4.26</v>
      </c>
      <c r="L3775">
        <v>9.2000000000000011</v>
      </c>
      <c r="M3775">
        <v>49.95</v>
      </c>
      <c r="N3775">
        <v>11</v>
      </c>
      <c r="O3775">
        <v>1662</v>
      </c>
      <c r="P3775">
        <v>866</v>
      </c>
      <c r="Q3775" s="5" t="e">
        <f>IF(AND(#REF!&gt;=table!$C$6,#REF!&lt;= table!$D$6),-1,IF(AND(#REF!&gt;=table!$E$6,#REF!&lt;=table!$F$6),1,0))</f>
        <v>#REF!</v>
      </c>
      <c r="R3775" s="5" t="e">
        <f>IF(AND(#REF!&gt;=table!$C$7,#REF!&lt;= table!$D$7),-1,IF(AND(#REF!&gt;=table!$E$7,#REF!&lt;=table!$F$7),1,0))</f>
        <v>#REF!</v>
      </c>
      <c r="S3775" s="5" t="e">
        <f>IF(AND(#REF!&gt;=table!$C$8,#REF!&lt;= table!$D$8),-1,IF(AND(#REF!&gt;=table!$E$8,#REF!&lt;=table!$F$8),1,0))</f>
        <v>#REF!</v>
      </c>
      <c r="T3775" s="5"/>
      <c r="U3775" s="5" t="e">
        <f>IF(AND(#REF!&gt;=table!$C$10,#REF!&lt;= table!$D$10),-1,IF(AND(#REF!&gt;=table!$E$10,#REF!&lt;=table!$F$10),1,0))</f>
        <v>#REF!</v>
      </c>
      <c r="V3775" s="5" t="e">
        <f>IF(AND(#REF!&gt;=table!$C$11,#REF!&lt;= table!$D$11),-1,IF(AND(#REF!&gt;=table!$E$11,#REF!&lt;=table!$F$11),1,0))</f>
        <v>#REF!</v>
      </c>
      <c r="W3775" s="5" t="e">
        <f>CONCATENATE(dados[[#This Row],[fator1]],dados[[#This Row],[fator5]],dados[[#This Row],[fator6]])</f>
        <v>#REF!</v>
      </c>
    </row>
    <row r="3776" spans="1:23">
      <c r="A3776" t="s">
        <v>16</v>
      </c>
      <c r="B3776">
        <v>588073</v>
      </c>
      <c r="C3776">
        <v>16</v>
      </c>
      <c r="D3776">
        <v>30</v>
      </c>
      <c r="E3776">
        <v>36</v>
      </c>
      <c r="F3776">
        <v>3</v>
      </c>
      <c r="G3776">
        <v>0</v>
      </c>
      <c r="H3776">
        <v>25</v>
      </c>
      <c r="I3776">
        <v>442</v>
      </c>
      <c r="J3776">
        <v>0</v>
      </c>
      <c r="K3776">
        <v>5.452</v>
      </c>
      <c r="L3776">
        <v>15.266500000000001</v>
      </c>
      <c r="M3776">
        <v>39</v>
      </c>
      <c r="N3776">
        <v>17.350000000000001</v>
      </c>
      <c r="O3776">
        <v>1689</v>
      </c>
      <c r="P3776">
        <v>727</v>
      </c>
      <c r="Q3776" s="5" t="e">
        <f>IF(AND(#REF!&gt;=table!$C$6,#REF!&lt;= table!$D$6),-1,IF(AND(#REF!&gt;=table!$E$6,#REF!&lt;=table!$F$6),1,0))</f>
        <v>#REF!</v>
      </c>
      <c r="R3776" s="5" t="e">
        <f>IF(AND(#REF!&gt;=table!$C$7,#REF!&lt;= table!$D$7),-1,IF(AND(#REF!&gt;=table!$E$7,#REF!&lt;=table!$F$7),1,0))</f>
        <v>#REF!</v>
      </c>
      <c r="S3776" s="5" t="e">
        <f>IF(AND(#REF!&gt;=table!$C$8,#REF!&lt;= table!$D$8),-1,IF(AND(#REF!&gt;=table!$E$8,#REF!&lt;=table!$F$8),1,0))</f>
        <v>#REF!</v>
      </c>
      <c r="T3776" s="5"/>
      <c r="U3776" s="5" t="e">
        <f>IF(AND(#REF!&gt;=table!$C$10,#REF!&lt;= table!$D$10),-1,IF(AND(#REF!&gt;=table!$E$10,#REF!&lt;=table!$F$10),1,0))</f>
        <v>#REF!</v>
      </c>
      <c r="V3776" s="5" t="e">
        <f>IF(AND(#REF!&gt;=table!$C$11,#REF!&lt;= table!$D$11),-1,IF(AND(#REF!&gt;=table!$E$11,#REF!&lt;=table!$F$11),1,0))</f>
        <v>#REF!</v>
      </c>
      <c r="W3776" s="5" t="e">
        <f>CONCATENATE(dados[[#This Row],[fator1]],dados[[#This Row],[fator5]],dados[[#This Row],[fator6]])</f>
        <v>#REF!</v>
      </c>
    </row>
    <row r="3777" spans="1:23">
      <c r="A3777" t="s">
        <v>16</v>
      </c>
      <c r="B3777">
        <v>588074</v>
      </c>
      <c r="C3777">
        <v>16</v>
      </c>
      <c r="D3777">
        <v>35</v>
      </c>
      <c r="E3777">
        <v>36</v>
      </c>
      <c r="F3777">
        <v>10</v>
      </c>
      <c r="G3777">
        <v>0</v>
      </c>
      <c r="H3777">
        <v>25</v>
      </c>
      <c r="I3777">
        <v>314</v>
      </c>
      <c r="J3777">
        <v>0</v>
      </c>
      <c r="K3777">
        <v>8.56</v>
      </c>
      <c r="L3777">
        <v>18.535</v>
      </c>
      <c r="M3777">
        <v>40.1</v>
      </c>
      <c r="N3777">
        <v>18.7</v>
      </c>
      <c r="O3777">
        <v>1669</v>
      </c>
      <c r="P3777">
        <v>454</v>
      </c>
      <c r="Q3777" s="5" t="e">
        <f>IF(AND(#REF!&gt;=table!$C$6,#REF!&lt;= table!$D$6),-1,IF(AND(#REF!&gt;=table!$E$6,#REF!&lt;=table!$F$6),1,0))</f>
        <v>#REF!</v>
      </c>
      <c r="R3777" s="5" t="e">
        <f>IF(AND(#REF!&gt;=table!$C$7,#REF!&lt;= table!$D$7),-1,IF(AND(#REF!&gt;=table!$E$7,#REF!&lt;=table!$F$7),1,0))</f>
        <v>#REF!</v>
      </c>
      <c r="S3777" s="5" t="e">
        <f>IF(AND(#REF!&gt;=table!$C$8,#REF!&lt;= table!$D$8),-1,IF(AND(#REF!&gt;=table!$E$8,#REF!&lt;=table!$F$8),1,0))</f>
        <v>#REF!</v>
      </c>
      <c r="T3777" s="5"/>
      <c r="U3777" s="5" t="e">
        <f>IF(AND(#REF!&gt;=table!$C$10,#REF!&lt;= table!$D$10),-1,IF(AND(#REF!&gt;=table!$E$10,#REF!&lt;=table!$F$10),1,0))</f>
        <v>#REF!</v>
      </c>
      <c r="V3777" s="5" t="e">
        <f>IF(AND(#REF!&gt;=table!$C$11,#REF!&lt;= table!$D$11),-1,IF(AND(#REF!&gt;=table!$E$11,#REF!&lt;=table!$F$11),1,0))</f>
        <v>#REF!</v>
      </c>
      <c r="W3777" s="5" t="e">
        <f>CONCATENATE(dados[[#This Row],[fator1]],dados[[#This Row],[fator5]],dados[[#This Row],[fator6]])</f>
        <v>#REF!</v>
      </c>
    </row>
    <row r="3778" spans="1:23">
      <c r="A3778" t="s">
        <v>16</v>
      </c>
      <c r="B3778">
        <v>588075</v>
      </c>
      <c r="C3778">
        <v>4</v>
      </c>
      <c r="D3778">
        <v>40</v>
      </c>
      <c r="E3778">
        <v>21</v>
      </c>
      <c r="F3778">
        <v>20</v>
      </c>
      <c r="G3778">
        <v>0</v>
      </c>
      <c r="H3778">
        <v>25</v>
      </c>
      <c r="I3778">
        <v>1001</v>
      </c>
      <c r="J3778">
        <v>0</v>
      </c>
      <c r="K3778">
        <v>4.3367000000000004</v>
      </c>
      <c r="L3778">
        <v>10.25</v>
      </c>
      <c r="M3778">
        <v>8.8000000000000007</v>
      </c>
      <c r="N3778">
        <v>11.1</v>
      </c>
      <c r="O3778">
        <v>1674</v>
      </c>
      <c r="P3778">
        <v>965</v>
      </c>
      <c r="Q3778" s="5" t="e">
        <f>IF(AND(#REF!&gt;=table!$C$6,#REF!&lt;= table!$D$6),-1,IF(AND(#REF!&gt;=table!$E$6,#REF!&lt;=table!$F$6),1,0))</f>
        <v>#REF!</v>
      </c>
      <c r="R3778" s="5" t="e">
        <f>IF(AND(#REF!&gt;=table!$C$7,#REF!&lt;= table!$D$7),-1,IF(AND(#REF!&gt;=table!$E$7,#REF!&lt;=table!$F$7),1,0))</f>
        <v>#REF!</v>
      </c>
      <c r="S3778" s="5" t="e">
        <f>IF(AND(#REF!&gt;=table!$C$8,#REF!&lt;= table!$D$8),-1,IF(AND(#REF!&gt;=table!$E$8,#REF!&lt;=table!$F$8),1,0))</f>
        <v>#REF!</v>
      </c>
      <c r="T3778" s="5"/>
      <c r="U3778" s="5" t="e">
        <f>IF(AND(#REF!&gt;=table!$C$10,#REF!&lt;= table!$D$10),-1,IF(AND(#REF!&gt;=table!$E$10,#REF!&lt;=table!$F$10),1,0))</f>
        <v>#REF!</v>
      </c>
      <c r="V3778" s="5" t="e">
        <f>IF(AND(#REF!&gt;=table!$C$11,#REF!&lt;= table!$D$11),-1,IF(AND(#REF!&gt;=table!$E$11,#REF!&lt;=table!$F$11),1,0))</f>
        <v>#REF!</v>
      </c>
      <c r="W3778" s="5" t="e">
        <f>CONCATENATE(dados[[#This Row],[fator1]],dados[[#This Row],[fator5]],dados[[#This Row],[fator6]])</f>
        <v>#REF!</v>
      </c>
    </row>
    <row r="3779" spans="1:23">
      <c r="A3779" t="s">
        <v>16</v>
      </c>
      <c r="B3779">
        <v>588076</v>
      </c>
      <c r="C3779">
        <v>4</v>
      </c>
      <c r="D3779">
        <v>40</v>
      </c>
      <c r="E3779">
        <v>21</v>
      </c>
      <c r="F3779">
        <v>20</v>
      </c>
      <c r="G3779">
        <v>0</v>
      </c>
      <c r="H3779">
        <v>25</v>
      </c>
      <c r="I3779">
        <v>1163</v>
      </c>
      <c r="J3779">
        <v>0</v>
      </c>
      <c r="K3779">
        <v>5.585</v>
      </c>
      <c r="L3779">
        <v>10.3</v>
      </c>
      <c r="M3779">
        <v>9.9</v>
      </c>
      <c r="N3779">
        <v>11.950000000000001</v>
      </c>
      <c r="O3779">
        <v>1720</v>
      </c>
      <c r="P3779">
        <v>857</v>
      </c>
      <c r="Q3779" s="5" t="e">
        <f>IF(AND(#REF!&gt;=table!$C$6,#REF!&lt;= table!$D$6),-1,IF(AND(#REF!&gt;=table!$E$6,#REF!&lt;=table!$F$6),1,0))</f>
        <v>#REF!</v>
      </c>
      <c r="R3779" s="5" t="e">
        <f>IF(AND(#REF!&gt;=table!$C$7,#REF!&lt;= table!$D$7),-1,IF(AND(#REF!&gt;=table!$E$7,#REF!&lt;=table!$F$7),1,0))</f>
        <v>#REF!</v>
      </c>
      <c r="S3779" s="5" t="e">
        <f>IF(AND(#REF!&gt;=table!$C$8,#REF!&lt;= table!$D$8),-1,IF(AND(#REF!&gt;=table!$E$8,#REF!&lt;=table!$F$8),1,0))</f>
        <v>#REF!</v>
      </c>
      <c r="T3779" s="5"/>
      <c r="U3779" s="5" t="e">
        <f>IF(AND(#REF!&gt;=table!$C$10,#REF!&lt;= table!$D$10),-1,IF(AND(#REF!&gt;=table!$E$10,#REF!&lt;=table!$F$10),1,0))</f>
        <v>#REF!</v>
      </c>
      <c r="V3779" s="5" t="e">
        <f>IF(AND(#REF!&gt;=table!$C$11,#REF!&lt;= table!$D$11),-1,IF(AND(#REF!&gt;=table!$E$11,#REF!&lt;=table!$F$11),1,0))</f>
        <v>#REF!</v>
      </c>
      <c r="W3779" s="5" t="e">
        <f>CONCATENATE(dados[[#This Row],[fator1]],dados[[#This Row],[fator5]],dados[[#This Row],[fator6]])</f>
        <v>#REF!</v>
      </c>
    </row>
    <row r="3780" spans="1:23">
      <c r="A3780" t="s">
        <v>16</v>
      </c>
      <c r="B3780">
        <v>588080</v>
      </c>
      <c r="C3780">
        <v>0.1</v>
      </c>
      <c r="D3780">
        <v>40</v>
      </c>
      <c r="E3780">
        <v>10</v>
      </c>
      <c r="F3780">
        <v>8</v>
      </c>
      <c r="G3780">
        <v>0</v>
      </c>
      <c r="H3780">
        <v>10</v>
      </c>
      <c r="I3780">
        <v>944</v>
      </c>
      <c r="J3780">
        <v>0</v>
      </c>
      <c r="K3780">
        <v>4.6900000000000004</v>
      </c>
      <c r="L3780">
        <v>9</v>
      </c>
      <c r="M3780">
        <v>7.5</v>
      </c>
      <c r="N3780">
        <v>11.950000000000001</v>
      </c>
      <c r="O3780">
        <v>1673</v>
      </c>
      <c r="P3780">
        <v>0</v>
      </c>
      <c r="Q3780" s="5" t="e">
        <f>IF(AND(#REF!&gt;=table!$C$6,#REF!&lt;= table!$D$6),-1,IF(AND(#REF!&gt;=table!$E$6,#REF!&lt;=table!$F$6),1,0))</f>
        <v>#REF!</v>
      </c>
      <c r="R3780" s="5" t="e">
        <f>IF(AND(#REF!&gt;=table!$C$7,#REF!&lt;= table!$D$7),-1,IF(AND(#REF!&gt;=table!$E$7,#REF!&lt;=table!$F$7),1,0))</f>
        <v>#REF!</v>
      </c>
      <c r="S3780" s="5" t="e">
        <f>IF(AND(#REF!&gt;=table!$C$8,#REF!&lt;= table!$D$8),-1,IF(AND(#REF!&gt;=table!$E$8,#REF!&lt;=table!$F$8),1,0))</f>
        <v>#REF!</v>
      </c>
      <c r="T3780" s="5"/>
      <c r="U3780" s="5" t="e">
        <f>IF(AND(#REF!&gt;=table!$C$10,#REF!&lt;= table!$D$10),-1,IF(AND(#REF!&gt;=table!$E$10,#REF!&lt;=table!$F$10),1,0))</f>
        <v>#REF!</v>
      </c>
      <c r="V3780" s="5" t="e">
        <f>IF(AND(#REF!&gt;=table!$C$11,#REF!&lt;= table!$D$11),-1,IF(AND(#REF!&gt;=table!$E$11,#REF!&lt;=table!$F$11),1,0))</f>
        <v>#REF!</v>
      </c>
      <c r="W3780" s="5" t="e">
        <f>CONCATENATE(dados[[#This Row],[fator1]],dados[[#This Row],[fator5]],dados[[#This Row],[fator6]])</f>
        <v>#REF!</v>
      </c>
    </row>
    <row r="3781" spans="1:23">
      <c r="A3781" t="s">
        <v>16</v>
      </c>
      <c r="B3781">
        <v>588083</v>
      </c>
      <c r="C3781">
        <v>0.15</v>
      </c>
      <c r="D3781">
        <v>40</v>
      </c>
      <c r="E3781">
        <v>10</v>
      </c>
      <c r="F3781">
        <v>15</v>
      </c>
      <c r="G3781">
        <v>0</v>
      </c>
      <c r="H3781">
        <v>15</v>
      </c>
      <c r="I3781">
        <v>796</v>
      </c>
      <c r="J3781">
        <v>0</v>
      </c>
      <c r="K3781">
        <v>7.48</v>
      </c>
      <c r="L3781">
        <v>11.115</v>
      </c>
      <c r="M3781">
        <v>10.450000000000001</v>
      </c>
      <c r="N3781">
        <v>9.5850000000000009</v>
      </c>
      <c r="O3781">
        <v>1665</v>
      </c>
      <c r="P3781">
        <v>0</v>
      </c>
      <c r="Q3781" s="5" t="e">
        <f>IF(AND(#REF!&gt;=table!$C$6,#REF!&lt;= table!$D$6),-1,IF(AND(#REF!&gt;=table!$E$6,#REF!&lt;=table!$F$6),1,0))</f>
        <v>#REF!</v>
      </c>
      <c r="R3781" s="5" t="e">
        <f>IF(AND(#REF!&gt;=table!$C$7,#REF!&lt;= table!$D$7),-1,IF(AND(#REF!&gt;=table!$E$7,#REF!&lt;=table!$F$7),1,0))</f>
        <v>#REF!</v>
      </c>
      <c r="S3781" s="5" t="e">
        <f>IF(AND(#REF!&gt;=table!$C$8,#REF!&lt;= table!$D$8),-1,IF(AND(#REF!&gt;=table!$E$8,#REF!&lt;=table!$F$8),1,0))</f>
        <v>#REF!</v>
      </c>
      <c r="T3781" s="5"/>
      <c r="U3781" s="5" t="e">
        <f>IF(AND(#REF!&gt;=table!$C$10,#REF!&lt;= table!$D$10),-1,IF(AND(#REF!&gt;=table!$E$10,#REF!&lt;=table!$F$10),1,0))</f>
        <v>#REF!</v>
      </c>
      <c r="V3781" s="5" t="e">
        <f>IF(AND(#REF!&gt;=table!$C$11,#REF!&lt;= table!$D$11),-1,IF(AND(#REF!&gt;=table!$E$11,#REF!&lt;=table!$F$11),1,0))</f>
        <v>#REF!</v>
      </c>
      <c r="W3781" s="5" t="e">
        <f>CONCATENATE(dados[[#This Row],[fator1]],dados[[#This Row],[fator5]],dados[[#This Row],[fator6]])</f>
        <v>#REF!</v>
      </c>
    </row>
    <row r="3782" spans="1:23">
      <c r="A3782" t="s">
        <v>16</v>
      </c>
      <c r="B3782">
        <v>588092</v>
      </c>
      <c r="C3782">
        <v>0.15</v>
      </c>
      <c r="D3782">
        <v>40</v>
      </c>
      <c r="E3782">
        <v>10</v>
      </c>
      <c r="F3782">
        <v>15</v>
      </c>
      <c r="G3782">
        <v>0</v>
      </c>
      <c r="H3782">
        <v>15</v>
      </c>
      <c r="I3782">
        <v>663</v>
      </c>
      <c r="J3782">
        <v>0</v>
      </c>
      <c r="K3782">
        <v>3.36</v>
      </c>
      <c r="L3782">
        <v>11.450000000000001</v>
      </c>
      <c r="M3782">
        <v>9.8800000000000008</v>
      </c>
      <c r="N3782">
        <v>13.83</v>
      </c>
      <c r="O3782">
        <v>1690</v>
      </c>
      <c r="P3782">
        <v>1156</v>
      </c>
      <c r="Q3782" s="5" t="e">
        <f>IF(AND(#REF!&gt;=table!$C$6,#REF!&lt;= table!$D$6),-1,IF(AND(#REF!&gt;=table!$E$6,#REF!&lt;=table!$F$6),1,0))</f>
        <v>#REF!</v>
      </c>
      <c r="R3782" s="5" t="e">
        <f>IF(AND(#REF!&gt;=table!$C$7,#REF!&lt;= table!$D$7),-1,IF(AND(#REF!&gt;=table!$E$7,#REF!&lt;=table!$F$7),1,0))</f>
        <v>#REF!</v>
      </c>
      <c r="S3782" s="5" t="e">
        <f>IF(AND(#REF!&gt;=table!$C$8,#REF!&lt;= table!$D$8),-1,IF(AND(#REF!&gt;=table!$E$8,#REF!&lt;=table!$F$8),1,0))</f>
        <v>#REF!</v>
      </c>
      <c r="T3782" s="5"/>
      <c r="U3782" s="5" t="e">
        <f>IF(AND(#REF!&gt;=table!$C$10,#REF!&lt;= table!$D$10),-1,IF(AND(#REF!&gt;=table!$E$10,#REF!&lt;=table!$F$10),1,0))</f>
        <v>#REF!</v>
      </c>
      <c r="V3782" s="5" t="e">
        <f>IF(AND(#REF!&gt;=table!$C$11,#REF!&lt;= table!$D$11),-1,IF(AND(#REF!&gt;=table!$E$11,#REF!&lt;=table!$F$11),1,0))</f>
        <v>#REF!</v>
      </c>
      <c r="W3782" s="5" t="e">
        <f>CONCATENATE(dados[[#This Row],[fator1]],dados[[#This Row],[fator5]],dados[[#This Row],[fator6]])</f>
        <v>#REF!</v>
      </c>
    </row>
    <row r="3783" spans="1:23">
      <c r="A3783" t="s">
        <v>16</v>
      </c>
      <c r="B3783">
        <v>588099</v>
      </c>
      <c r="C3783">
        <v>0.15</v>
      </c>
      <c r="D3783">
        <v>40</v>
      </c>
      <c r="E3783">
        <v>10</v>
      </c>
      <c r="F3783">
        <v>15</v>
      </c>
      <c r="G3783">
        <v>0</v>
      </c>
      <c r="H3783">
        <v>15</v>
      </c>
      <c r="I3783">
        <v>0</v>
      </c>
      <c r="J3783">
        <v>0</v>
      </c>
      <c r="K3783">
        <v>3.27</v>
      </c>
      <c r="L3783">
        <v>11.950000000000001</v>
      </c>
      <c r="M3783">
        <v>10.5</v>
      </c>
      <c r="N3783">
        <v>10.5</v>
      </c>
      <c r="O3783">
        <v>1658</v>
      </c>
      <c r="P3783">
        <v>1013</v>
      </c>
      <c r="Q3783" s="5" t="e">
        <f>IF(AND(#REF!&gt;=table!$C$6,#REF!&lt;= table!$D$6),-1,IF(AND(#REF!&gt;=table!$E$6,#REF!&lt;=table!$F$6),1,0))</f>
        <v>#REF!</v>
      </c>
      <c r="R3783" s="5" t="e">
        <f>IF(AND(#REF!&gt;=table!$C$7,#REF!&lt;= table!$D$7),-1,IF(AND(#REF!&gt;=table!$E$7,#REF!&lt;=table!$F$7),1,0))</f>
        <v>#REF!</v>
      </c>
      <c r="S3783" s="5" t="e">
        <f>IF(AND(#REF!&gt;=table!$C$8,#REF!&lt;= table!$D$8),-1,IF(AND(#REF!&gt;=table!$E$8,#REF!&lt;=table!$F$8),1,0))</f>
        <v>#REF!</v>
      </c>
      <c r="T3783" s="5"/>
      <c r="U3783" s="5" t="e">
        <f>IF(AND(#REF!&gt;=table!$C$10,#REF!&lt;= table!$D$10),-1,IF(AND(#REF!&gt;=table!$E$10,#REF!&lt;=table!$F$10),1,0))</f>
        <v>#REF!</v>
      </c>
      <c r="V3783" s="5" t="e">
        <f>IF(AND(#REF!&gt;=table!$C$11,#REF!&lt;= table!$D$11),-1,IF(AND(#REF!&gt;=table!$E$11,#REF!&lt;=table!$F$11),1,0))</f>
        <v>#REF!</v>
      </c>
      <c r="W3783" s="5" t="e">
        <f>CONCATENATE(dados[[#This Row],[fator1]],dados[[#This Row],[fator5]],dados[[#This Row],[fator6]])</f>
        <v>#REF!</v>
      </c>
    </row>
    <row r="3784" spans="1:23">
      <c r="A3784" t="s">
        <v>16</v>
      </c>
      <c r="B3784">
        <v>588100</v>
      </c>
      <c r="C3784">
        <v>4</v>
      </c>
      <c r="D3784">
        <v>40</v>
      </c>
      <c r="E3784">
        <v>21</v>
      </c>
      <c r="F3784">
        <v>10</v>
      </c>
      <c r="G3784">
        <v>0</v>
      </c>
      <c r="H3784">
        <v>25</v>
      </c>
      <c r="I3784">
        <v>1</v>
      </c>
      <c r="J3784">
        <v>0</v>
      </c>
      <c r="K3784">
        <v>6.87</v>
      </c>
      <c r="L3784">
        <v>24.900000000000002</v>
      </c>
      <c r="M3784">
        <v>22.1</v>
      </c>
      <c r="N3784">
        <v>21.1</v>
      </c>
      <c r="O3784">
        <v>1674</v>
      </c>
      <c r="P3784">
        <v>447</v>
      </c>
      <c r="Q3784" s="5" t="e">
        <f>IF(AND(#REF!&gt;=table!$C$6,#REF!&lt;= table!$D$6),-1,IF(AND(#REF!&gt;=table!$E$6,#REF!&lt;=table!$F$6),1,0))</f>
        <v>#REF!</v>
      </c>
      <c r="R3784" s="5" t="e">
        <f>IF(AND(#REF!&gt;=table!$C$7,#REF!&lt;= table!$D$7),-1,IF(AND(#REF!&gt;=table!$E$7,#REF!&lt;=table!$F$7),1,0))</f>
        <v>#REF!</v>
      </c>
      <c r="S3784" s="5" t="e">
        <f>IF(AND(#REF!&gt;=table!$C$8,#REF!&lt;= table!$D$8),-1,IF(AND(#REF!&gt;=table!$E$8,#REF!&lt;=table!$F$8),1,0))</f>
        <v>#REF!</v>
      </c>
      <c r="T3784" s="5"/>
      <c r="U3784" s="5" t="e">
        <f>IF(AND(#REF!&gt;=table!$C$10,#REF!&lt;= table!$D$10),-1,IF(AND(#REF!&gt;=table!$E$10,#REF!&lt;=table!$F$10),1,0))</f>
        <v>#REF!</v>
      </c>
      <c r="V3784" s="5" t="e">
        <f>IF(AND(#REF!&gt;=table!$C$11,#REF!&lt;= table!$D$11),-1,IF(AND(#REF!&gt;=table!$E$11,#REF!&lt;=table!$F$11),1,0))</f>
        <v>#REF!</v>
      </c>
      <c r="W3784" s="5" t="e">
        <f>CONCATENATE(dados[[#This Row],[fator1]],dados[[#This Row],[fator5]],dados[[#This Row],[fator6]])</f>
        <v>#REF!</v>
      </c>
    </row>
    <row r="3785" spans="1:23">
      <c r="A3785" t="s">
        <v>17</v>
      </c>
      <c r="B3785">
        <v>588113</v>
      </c>
      <c r="C3785">
        <v>16</v>
      </c>
      <c r="D3785">
        <v>23</v>
      </c>
      <c r="E3785">
        <v>145</v>
      </c>
      <c r="F3785">
        <v>9</v>
      </c>
      <c r="G3785">
        <v>30</v>
      </c>
      <c r="H3785">
        <v>25</v>
      </c>
      <c r="I3785">
        <v>750</v>
      </c>
      <c r="J3785">
        <v>0</v>
      </c>
      <c r="K3785">
        <v>3.0350000000000001</v>
      </c>
      <c r="L3785">
        <v>9.5500000000000007</v>
      </c>
      <c r="M3785">
        <v>80.72</v>
      </c>
      <c r="N3785">
        <v>13.215</v>
      </c>
      <c r="O3785">
        <v>1660</v>
      </c>
      <c r="P3785">
        <v>963</v>
      </c>
      <c r="Q3785" s="5" t="e">
        <f>IF(AND(#REF!&gt;=table!$C$6,#REF!&lt;= table!$D$6),-1,IF(AND(#REF!&gt;=table!$E$6,#REF!&lt;=table!$F$6),1,0))</f>
        <v>#REF!</v>
      </c>
      <c r="R3785" s="5" t="e">
        <f>IF(AND(#REF!&gt;=table!$C$7,#REF!&lt;= table!$D$7),-1,IF(AND(#REF!&gt;=table!$E$7,#REF!&lt;=table!$F$7),1,0))</f>
        <v>#REF!</v>
      </c>
      <c r="S3785" s="5" t="e">
        <f>IF(AND(#REF!&gt;=table!$C$8,#REF!&lt;= table!$D$8),-1,IF(AND(#REF!&gt;=table!$E$8,#REF!&lt;=table!$F$8),1,0))</f>
        <v>#REF!</v>
      </c>
      <c r="T3785" s="5"/>
      <c r="U3785" s="5" t="e">
        <f>IF(AND(#REF!&gt;=table!$C$10,#REF!&lt;= table!$D$10),-1,IF(AND(#REF!&gt;=table!$E$10,#REF!&lt;=table!$F$10),1,0))</f>
        <v>#REF!</v>
      </c>
      <c r="V3785" s="5" t="e">
        <f>IF(AND(#REF!&gt;=table!$C$11,#REF!&lt;= table!$D$11),-1,IF(AND(#REF!&gt;=table!$E$11,#REF!&lt;=table!$F$11),1,0))</f>
        <v>#REF!</v>
      </c>
      <c r="W3785" s="5" t="e">
        <f>CONCATENATE(dados[[#This Row],[fator1]],dados[[#This Row],[fator5]],dados[[#This Row],[fator6]])</f>
        <v>#REF!</v>
      </c>
    </row>
    <row r="3786" spans="1:23">
      <c r="A3786" t="s">
        <v>17</v>
      </c>
      <c r="B3786">
        <v>588114</v>
      </c>
      <c r="C3786">
        <v>16</v>
      </c>
      <c r="D3786">
        <v>23</v>
      </c>
      <c r="E3786">
        <v>145</v>
      </c>
      <c r="F3786">
        <v>9</v>
      </c>
      <c r="G3786">
        <v>30</v>
      </c>
      <c r="H3786">
        <v>25</v>
      </c>
      <c r="I3786">
        <v>100</v>
      </c>
      <c r="J3786">
        <v>0</v>
      </c>
      <c r="K3786">
        <v>4.6000000000000005</v>
      </c>
      <c r="L3786">
        <v>10.9</v>
      </c>
      <c r="M3786">
        <v>96.600000000000009</v>
      </c>
      <c r="N3786">
        <v>16.100000000000001</v>
      </c>
      <c r="O3786">
        <v>1696</v>
      </c>
      <c r="P3786">
        <v>1016</v>
      </c>
      <c r="Q3786" s="5" t="e">
        <f>IF(AND(#REF!&gt;=table!$C$6,#REF!&lt;= table!$D$6),-1,IF(AND(#REF!&gt;=table!$E$6,#REF!&lt;=table!$F$6),1,0))</f>
        <v>#REF!</v>
      </c>
      <c r="R3786" s="5" t="e">
        <f>IF(AND(#REF!&gt;=table!$C$7,#REF!&lt;= table!$D$7),-1,IF(AND(#REF!&gt;=table!$E$7,#REF!&lt;=table!$F$7),1,0))</f>
        <v>#REF!</v>
      </c>
      <c r="S3786" s="5" t="e">
        <f>IF(AND(#REF!&gt;=table!$C$8,#REF!&lt;= table!$D$8),-1,IF(AND(#REF!&gt;=table!$E$8,#REF!&lt;=table!$F$8),1,0))</f>
        <v>#REF!</v>
      </c>
      <c r="T3786" s="5"/>
      <c r="U3786" s="5" t="e">
        <f>IF(AND(#REF!&gt;=table!$C$10,#REF!&lt;= table!$D$10),-1,IF(AND(#REF!&gt;=table!$E$10,#REF!&lt;=table!$F$10),1,0))</f>
        <v>#REF!</v>
      </c>
      <c r="V3786" s="5" t="e">
        <f>IF(AND(#REF!&gt;=table!$C$11,#REF!&lt;= table!$D$11),-1,IF(AND(#REF!&gt;=table!$E$11,#REF!&lt;=table!$F$11),1,0))</f>
        <v>#REF!</v>
      </c>
      <c r="W3786" s="5" t="e">
        <f>CONCATENATE(dados[[#This Row],[fator1]],dados[[#This Row],[fator5]],dados[[#This Row],[fator6]])</f>
        <v>#REF!</v>
      </c>
    </row>
    <row r="3787" spans="1:23">
      <c r="A3787" t="s">
        <v>17</v>
      </c>
      <c r="B3787">
        <v>588115</v>
      </c>
      <c r="C3787">
        <v>18</v>
      </c>
      <c r="D3787">
        <v>23</v>
      </c>
      <c r="E3787">
        <v>145</v>
      </c>
      <c r="F3787">
        <v>9</v>
      </c>
      <c r="G3787">
        <v>30</v>
      </c>
      <c r="H3787">
        <v>25</v>
      </c>
      <c r="I3787">
        <v>458</v>
      </c>
      <c r="J3787">
        <v>0</v>
      </c>
      <c r="K3787">
        <v>5.32</v>
      </c>
      <c r="L3787">
        <v>15.9</v>
      </c>
      <c r="M3787">
        <v>107.05</v>
      </c>
      <c r="N3787">
        <v>21.035</v>
      </c>
      <c r="O3787">
        <v>1691</v>
      </c>
      <c r="P3787">
        <v>845</v>
      </c>
      <c r="Q3787" s="5" t="e">
        <f>IF(AND(#REF!&gt;=table!$C$6,#REF!&lt;= table!$D$6),-1,IF(AND(#REF!&gt;=table!$E$6,#REF!&lt;=table!$F$6),1,0))</f>
        <v>#REF!</v>
      </c>
      <c r="R3787" s="5" t="e">
        <f>IF(AND(#REF!&gt;=table!$C$7,#REF!&lt;= table!$D$7),-1,IF(AND(#REF!&gt;=table!$E$7,#REF!&lt;=table!$F$7),1,0))</f>
        <v>#REF!</v>
      </c>
      <c r="S3787" s="5" t="e">
        <f>IF(AND(#REF!&gt;=table!$C$8,#REF!&lt;= table!$D$8),-1,IF(AND(#REF!&gt;=table!$E$8,#REF!&lt;=table!$F$8),1,0))</f>
        <v>#REF!</v>
      </c>
      <c r="T3787" s="5"/>
      <c r="U3787" s="5" t="e">
        <f>IF(AND(#REF!&gt;=table!$C$10,#REF!&lt;= table!$D$10),-1,IF(AND(#REF!&gt;=table!$E$10,#REF!&lt;=table!$F$10),1,0))</f>
        <v>#REF!</v>
      </c>
      <c r="V3787" s="5" t="e">
        <f>IF(AND(#REF!&gt;=table!$C$11,#REF!&lt;= table!$D$11),-1,IF(AND(#REF!&gt;=table!$E$11,#REF!&lt;=table!$F$11),1,0))</f>
        <v>#REF!</v>
      </c>
      <c r="W3787" s="5" t="e">
        <f>CONCATENATE(dados[[#This Row],[fator1]],dados[[#This Row],[fator5]],dados[[#This Row],[fator6]])</f>
        <v>#REF!</v>
      </c>
    </row>
    <row r="3788" spans="1:23">
      <c r="A3788" t="s">
        <v>17</v>
      </c>
      <c r="B3788">
        <v>588118</v>
      </c>
      <c r="C3788">
        <v>19</v>
      </c>
      <c r="D3788">
        <v>33</v>
      </c>
      <c r="E3788">
        <v>101</v>
      </c>
      <c r="F3788">
        <v>9</v>
      </c>
      <c r="G3788">
        <v>28</v>
      </c>
      <c r="H3788">
        <v>25</v>
      </c>
      <c r="I3788">
        <v>902</v>
      </c>
      <c r="J3788">
        <v>0</v>
      </c>
      <c r="K3788">
        <v>5.0950000000000006</v>
      </c>
      <c r="L3788">
        <v>11.540000000000001</v>
      </c>
      <c r="M3788">
        <v>75.600000000000009</v>
      </c>
      <c r="N3788">
        <v>15.25</v>
      </c>
      <c r="O3788">
        <v>1688</v>
      </c>
      <c r="P3788">
        <v>865</v>
      </c>
      <c r="Q3788" s="5" t="e">
        <f>IF(AND(#REF!&gt;=table!$C$6,#REF!&lt;= table!$D$6),-1,IF(AND(#REF!&gt;=table!$E$6,#REF!&lt;=table!$F$6),1,0))</f>
        <v>#REF!</v>
      </c>
      <c r="R3788" s="5" t="e">
        <f>IF(AND(#REF!&gt;=table!$C$7,#REF!&lt;= table!$D$7),-1,IF(AND(#REF!&gt;=table!$E$7,#REF!&lt;=table!$F$7),1,0))</f>
        <v>#REF!</v>
      </c>
      <c r="S3788" s="5" t="e">
        <f>IF(AND(#REF!&gt;=table!$C$8,#REF!&lt;= table!$D$8),-1,IF(AND(#REF!&gt;=table!$E$8,#REF!&lt;=table!$F$8),1,0))</f>
        <v>#REF!</v>
      </c>
      <c r="T3788" s="5"/>
      <c r="U3788" s="5" t="e">
        <f>IF(AND(#REF!&gt;=table!$C$10,#REF!&lt;= table!$D$10),-1,IF(AND(#REF!&gt;=table!$E$10,#REF!&lt;=table!$F$10),1,0))</f>
        <v>#REF!</v>
      </c>
      <c r="V3788" s="5" t="e">
        <f>IF(AND(#REF!&gt;=table!$C$11,#REF!&lt;= table!$D$11),-1,IF(AND(#REF!&gt;=table!$E$11,#REF!&lt;=table!$F$11),1,0))</f>
        <v>#REF!</v>
      </c>
      <c r="W3788" s="5" t="e">
        <f>CONCATENATE(dados[[#This Row],[fator1]],dados[[#This Row],[fator5]],dados[[#This Row],[fator6]])</f>
        <v>#REF!</v>
      </c>
    </row>
    <row r="3789" spans="1:23">
      <c r="A3789" t="s">
        <v>17</v>
      </c>
      <c r="B3789">
        <v>588119</v>
      </c>
      <c r="C3789">
        <v>19</v>
      </c>
      <c r="D3789">
        <v>33</v>
      </c>
      <c r="E3789">
        <v>101</v>
      </c>
      <c r="F3789">
        <v>9</v>
      </c>
      <c r="G3789">
        <v>28</v>
      </c>
      <c r="H3789">
        <v>25</v>
      </c>
      <c r="I3789">
        <v>949</v>
      </c>
      <c r="J3789">
        <v>0</v>
      </c>
      <c r="K3789">
        <v>9.4700000000000006</v>
      </c>
      <c r="L3789">
        <v>15.4</v>
      </c>
      <c r="M3789">
        <v>87.75500000000001</v>
      </c>
      <c r="N3789">
        <v>17.260000000000002</v>
      </c>
      <c r="O3789">
        <v>1692</v>
      </c>
      <c r="P3789">
        <v>486</v>
      </c>
      <c r="Q3789" s="5" t="e">
        <f>IF(AND(#REF!&gt;=table!$C$6,#REF!&lt;= table!$D$6),-1,IF(AND(#REF!&gt;=table!$E$6,#REF!&lt;=table!$F$6),1,0))</f>
        <v>#REF!</v>
      </c>
      <c r="R3789" s="5" t="e">
        <f>IF(AND(#REF!&gt;=table!$C$7,#REF!&lt;= table!$D$7),-1,IF(AND(#REF!&gt;=table!$E$7,#REF!&lt;=table!$F$7),1,0))</f>
        <v>#REF!</v>
      </c>
      <c r="S3789" s="5" t="e">
        <f>IF(AND(#REF!&gt;=table!$C$8,#REF!&lt;= table!$D$8),-1,IF(AND(#REF!&gt;=table!$E$8,#REF!&lt;=table!$F$8),1,0))</f>
        <v>#REF!</v>
      </c>
      <c r="T3789" s="5"/>
      <c r="U3789" s="5" t="e">
        <f>IF(AND(#REF!&gt;=table!$C$10,#REF!&lt;= table!$D$10),-1,IF(AND(#REF!&gt;=table!$E$10,#REF!&lt;=table!$F$10),1,0))</f>
        <v>#REF!</v>
      </c>
      <c r="V3789" s="5" t="e">
        <f>IF(AND(#REF!&gt;=table!$C$11,#REF!&lt;= table!$D$11),-1,IF(AND(#REF!&gt;=table!$E$11,#REF!&lt;=table!$F$11),1,0))</f>
        <v>#REF!</v>
      </c>
      <c r="W3789" s="5" t="e">
        <f>CONCATENATE(dados[[#This Row],[fator1]],dados[[#This Row],[fator5]],dados[[#This Row],[fator6]])</f>
        <v>#REF!</v>
      </c>
    </row>
    <row r="3790" spans="1:23">
      <c r="A3790" t="s">
        <v>17</v>
      </c>
      <c r="B3790">
        <v>588120</v>
      </c>
      <c r="C3790">
        <v>18</v>
      </c>
      <c r="D3790">
        <v>23</v>
      </c>
      <c r="E3790">
        <v>145</v>
      </c>
      <c r="F3790">
        <v>4</v>
      </c>
      <c r="G3790">
        <v>30</v>
      </c>
      <c r="H3790">
        <v>25</v>
      </c>
      <c r="I3790">
        <v>584</v>
      </c>
      <c r="J3790">
        <v>0</v>
      </c>
      <c r="K3790">
        <v>9.51</v>
      </c>
      <c r="L3790">
        <v>22.395</v>
      </c>
      <c r="M3790">
        <v>129.14000000000001</v>
      </c>
      <c r="N3790">
        <v>24.330000000000002</v>
      </c>
      <c r="O3790">
        <v>1691</v>
      </c>
      <c r="P3790">
        <v>0</v>
      </c>
      <c r="Q3790" s="5" t="e">
        <f>IF(AND(#REF!&gt;=table!$C$6,#REF!&lt;= table!$D$6),-1,IF(AND(#REF!&gt;=table!$E$6,#REF!&lt;=table!$F$6),1,0))</f>
        <v>#REF!</v>
      </c>
      <c r="R3790" s="5" t="e">
        <f>IF(AND(#REF!&gt;=table!$C$7,#REF!&lt;= table!$D$7),-1,IF(AND(#REF!&gt;=table!$E$7,#REF!&lt;=table!$F$7),1,0))</f>
        <v>#REF!</v>
      </c>
      <c r="S3790" s="5" t="e">
        <f>IF(AND(#REF!&gt;=table!$C$8,#REF!&lt;= table!$D$8),-1,IF(AND(#REF!&gt;=table!$E$8,#REF!&lt;=table!$F$8),1,0))</f>
        <v>#REF!</v>
      </c>
      <c r="T3790" s="5"/>
      <c r="U3790" s="5" t="e">
        <f>IF(AND(#REF!&gt;=table!$C$10,#REF!&lt;= table!$D$10),-1,IF(AND(#REF!&gt;=table!$E$10,#REF!&lt;=table!$F$10),1,0))</f>
        <v>#REF!</v>
      </c>
      <c r="V3790" s="5" t="e">
        <f>IF(AND(#REF!&gt;=table!$C$11,#REF!&lt;= table!$D$11),-1,IF(AND(#REF!&gt;=table!$E$11,#REF!&lt;=table!$F$11),1,0))</f>
        <v>#REF!</v>
      </c>
      <c r="W3790" s="5" t="e">
        <f>CONCATENATE(dados[[#This Row],[fator1]],dados[[#This Row],[fator5]],dados[[#This Row],[fator6]])</f>
        <v>#REF!</v>
      </c>
    </row>
    <row r="3791" spans="1:23">
      <c r="A3791" t="s">
        <v>16</v>
      </c>
      <c r="B3791">
        <v>588122</v>
      </c>
      <c r="C3791">
        <v>5</v>
      </c>
      <c r="D3791">
        <v>40</v>
      </c>
      <c r="E3791">
        <v>36</v>
      </c>
      <c r="F3791">
        <v>8</v>
      </c>
      <c r="G3791">
        <v>0</v>
      </c>
      <c r="H3791">
        <v>25</v>
      </c>
      <c r="I3791">
        <v>1074</v>
      </c>
      <c r="J3791">
        <v>0</v>
      </c>
      <c r="K3791">
        <v>6.2149999999999999</v>
      </c>
      <c r="L3791">
        <v>15.505000000000001</v>
      </c>
      <c r="M3791">
        <v>31</v>
      </c>
      <c r="N3791">
        <v>18.455000000000002</v>
      </c>
      <c r="O3791">
        <v>1690</v>
      </c>
      <c r="P3791">
        <v>0</v>
      </c>
      <c r="Q3791" s="5" t="e">
        <f>IF(AND(#REF!&gt;=table!$C$6,#REF!&lt;= table!$D$6),-1,IF(AND(#REF!&gt;=table!$E$6,#REF!&lt;=table!$F$6),1,0))</f>
        <v>#REF!</v>
      </c>
      <c r="R3791" s="5" t="e">
        <f>IF(AND(#REF!&gt;=table!$C$7,#REF!&lt;= table!$D$7),-1,IF(AND(#REF!&gt;=table!$E$7,#REF!&lt;=table!$F$7),1,0))</f>
        <v>#REF!</v>
      </c>
      <c r="S3791" s="5" t="e">
        <f>IF(AND(#REF!&gt;=table!$C$8,#REF!&lt;= table!$D$8),-1,IF(AND(#REF!&gt;=table!$E$8,#REF!&lt;=table!$F$8),1,0))</f>
        <v>#REF!</v>
      </c>
      <c r="T3791" s="5"/>
      <c r="U3791" s="5" t="e">
        <f>IF(AND(#REF!&gt;=table!$C$10,#REF!&lt;= table!$D$10),-1,IF(AND(#REF!&gt;=table!$E$10,#REF!&lt;=table!$F$10),1,0))</f>
        <v>#REF!</v>
      </c>
      <c r="V3791" s="5" t="e">
        <f>IF(AND(#REF!&gt;=table!$C$11,#REF!&lt;= table!$D$11),-1,IF(AND(#REF!&gt;=table!$E$11,#REF!&lt;=table!$F$11),1,0))</f>
        <v>#REF!</v>
      </c>
      <c r="W3791" s="5" t="e">
        <f>CONCATENATE(dados[[#This Row],[fator1]],dados[[#This Row],[fator5]],dados[[#This Row],[fator6]])</f>
        <v>#REF!</v>
      </c>
    </row>
    <row r="3792" spans="1:23">
      <c r="A3792" t="s">
        <v>16</v>
      </c>
      <c r="B3792">
        <v>588124</v>
      </c>
      <c r="C3792">
        <v>5</v>
      </c>
      <c r="D3792">
        <v>40</v>
      </c>
      <c r="E3792">
        <v>36</v>
      </c>
      <c r="F3792">
        <v>8</v>
      </c>
      <c r="G3792">
        <v>0</v>
      </c>
      <c r="H3792">
        <v>25</v>
      </c>
      <c r="I3792">
        <v>1592</v>
      </c>
      <c r="J3792">
        <v>0</v>
      </c>
      <c r="K3792">
        <v>4.0250000000000004</v>
      </c>
      <c r="L3792">
        <v>10.9</v>
      </c>
      <c r="M3792">
        <v>17.775000000000002</v>
      </c>
      <c r="N3792">
        <v>14.105</v>
      </c>
      <c r="O3792">
        <v>1659</v>
      </c>
      <c r="P3792">
        <v>1020</v>
      </c>
      <c r="Q3792" s="5" t="e">
        <f>IF(AND(#REF!&gt;=table!$C$6,#REF!&lt;= table!$D$6),-1,IF(AND(#REF!&gt;=table!$E$6,#REF!&lt;=table!$F$6),1,0))</f>
        <v>#REF!</v>
      </c>
      <c r="R3792" s="5" t="e">
        <f>IF(AND(#REF!&gt;=table!$C$7,#REF!&lt;= table!$D$7),-1,IF(AND(#REF!&gt;=table!$E$7,#REF!&lt;=table!$F$7),1,0))</f>
        <v>#REF!</v>
      </c>
      <c r="S3792" s="5" t="e">
        <f>IF(AND(#REF!&gt;=table!$C$8,#REF!&lt;= table!$D$8),-1,IF(AND(#REF!&gt;=table!$E$8,#REF!&lt;=table!$F$8),1,0))</f>
        <v>#REF!</v>
      </c>
      <c r="T3792" s="5"/>
      <c r="U3792" s="5" t="e">
        <f>IF(AND(#REF!&gt;=table!$C$10,#REF!&lt;= table!$D$10),-1,IF(AND(#REF!&gt;=table!$E$10,#REF!&lt;=table!$F$10),1,0))</f>
        <v>#REF!</v>
      </c>
      <c r="V3792" s="5" t="e">
        <f>IF(AND(#REF!&gt;=table!$C$11,#REF!&lt;= table!$D$11),-1,IF(AND(#REF!&gt;=table!$E$11,#REF!&lt;=table!$F$11),1,0))</f>
        <v>#REF!</v>
      </c>
      <c r="W3792" s="5" t="e">
        <f>CONCATENATE(dados[[#This Row],[fator1]],dados[[#This Row],[fator5]],dados[[#This Row],[fator6]])</f>
        <v>#REF!</v>
      </c>
    </row>
    <row r="3793" spans="1:23">
      <c r="A3793" t="s">
        <v>17</v>
      </c>
      <c r="B3793">
        <v>588126</v>
      </c>
      <c r="C3793">
        <v>7</v>
      </c>
      <c r="D3793">
        <v>30</v>
      </c>
      <c r="E3793">
        <v>180</v>
      </c>
      <c r="F3793">
        <v>2</v>
      </c>
      <c r="G3793">
        <v>30</v>
      </c>
      <c r="H3793">
        <v>18</v>
      </c>
      <c r="I3793">
        <v>566</v>
      </c>
      <c r="J3793">
        <v>0</v>
      </c>
      <c r="K3793">
        <v>3.59</v>
      </c>
      <c r="L3793">
        <v>5.9</v>
      </c>
      <c r="M3793">
        <v>181.55</v>
      </c>
      <c r="N3793">
        <v>14.3</v>
      </c>
      <c r="O3793">
        <v>1684</v>
      </c>
      <c r="P3793">
        <v>1235</v>
      </c>
      <c r="Q3793" s="5" t="e">
        <f>IF(AND(#REF!&gt;=table!$C$6,#REF!&lt;= table!$D$6),-1,IF(AND(#REF!&gt;=table!$E$6,#REF!&lt;=table!$F$6),1,0))</f>
        <v>#REF!</v>
      </c>
      <c r="R3793" s="5" t="e">
        <f>IF(AND(#REF!&gt;=table!$C$7,#REF!&lt;= table!$D$7),-1,IF(AND(#REF!&gt;=table!$E$7,#REF!&lt;=table!$F$7),1,0))</f>
        <v>#REF!</v>
      </c>
      <c r="S3793" s="5" t="e">
        <f>IF(AND(#REF!&gt;=table!$C$8,#REF!&lt;= table!$D$8),-1,IF(AND(#REF!&gt;=table!$E$8,#REF!&lt;=table!$F$8),1,0))</f>
        <v>#REF!</v>
      </c>
      <c r="T3793" s="5"/>
      <c r="U3793" s="5" t="e">
        <f>IF(AND(#REF!&gt;=table!$C$10,#REF!&lt;= table!$D$10),-1,IF(AND(#REF!&gt;=table!$E$10,#REF!&lt;=table!$F$10),1,0))</f>
        <v>#REF!</v>
      </c>
      <c r="V3793" s="5" t="e">
        <f>IF(AND(#REF!&gt;=table!$C$11,#REF!&lt;= table!$D$11),-1,IF(AND(#REF!&gt;=table!$E$11,#REF!&lt;=table!$F$11),1,0))</f>
        <v>#REF!</v>
      </c>
      <c r="W3793" s="5" t="e">
        <f>CONCATENATE(dados[[#This Row],[fator1]],dados[[#This Row],[fator5]],dados[[#This Row],[fator6]])</f>
        <v>#REF!</v>
      </c>
    </row>
    <row r="3794" spans="1:23">
      <c r="A3794" t="s">
        <v>17</v>
      </c>
      <c r="B3794">
        <v>588127</v>
      </c>
      <c r="C3794">
        <v>7</v>
      </c>
      <c r="D3794">
        <v>30</v>
      </c>
      <c r="E3794">
        <v>180</v>
      </c>
      <c r="F3794">
        <v>2</v>
      </c>
      <c r="G3794">
        <v>30</v>
      </c>
      <c r="H3794">
        <v>18</v>
      </c>
      <c r="I3794">
        <v>859</v>
      </c>
      <c r="J3794">
        <v>0</v>
      </c>
      <c r="K3794">
        <v>5.2450000000000001</v>
      </c>
      <c r="L3794">
        <v>6.2</v>
      </c>
      <c r="M3794">
        <v>154.45000000000002</v>
      </c>
      <c r="N3794">
        <v>12.1</v>
      </c>
      <c r="O3794">
        <v>1700</v>
      </c>
      <c r="P3794">
        <v>1020</v>
      </c>
      <c r="Q3794" s="5" t="e">
        <f>IF(AND(#REF!&gt;=table!$C$6,#REF!&lt;= table!$D$6),-1,IF(AND(#REF!&gt;=table!$E$6,#REF!&lt;=table!$F$6),1,0))</f>
        <v>#REF!</v>
      </c>
      <c r="R3794" s="5" t="e">
        <f>IF(AND(#REF!&gt;=table!$C$7,#REF!&lt;= table!$D$7),-1,IF(AND(#REF!&gt;=table!$E$7,#REF!&lt;=table!$F$7),1,0))</f>
        <v>#REF!</v>
      </c>
      <c r="S3794" s="5" t="e">
        <f>IF(AND(#REF!&gt;=table!$C$8,#REF!&lt;= table!$D$8),-1,IF(AND(#REF!&gt;=table!$E$8,#REF!&lt;=table!$F$8),1,0))</f>
        <v>#REF!</v>
      </c>
      <c r="T3794" s="5"/>
      <c r="U3794" s="5" t="e">
        <f>IF(AND(#REF!&gt;=table!$C$10,#REF!&lt;= table!$D$10),-1,IF(AND(#REF!&gt;=table!$E$10,#REF!&lt;=table!$F$10),1,0))</f>
        <v>#REF!</v>
      </c>
      <c r="V3794" s="5" t="e">
        <f>IF(AND(#REF!&gt;=table!$C$11,#REF!&lt;= table!$D$11),-1,IF(AND(#REF!&gt;=table!$E$11,#REF!&lt;=table!$F$11),1,0))</f>
        <v>#REF!</v>
      </c>
      <c r="W3794" s="5" t="e">
        <f>CONCATENATE(dados[[#This Row],[fator1]],dados[[#This Row],[fator5]],dados[[#This Row],[fator6]])</f>
        <v>#REF!</v>
      </c>
    </row>
    <row r="3795" spans="1:23">
      <c r="A3795" t="s">
        <v>17</v>
      </c>
      <c r="B3795">
        <v>588129</v>
      </c>
      <c r="C3795">
        <v>7</v>
      </c>
      <c r="D3795">
        <v>30</v>
      </c>
      <c r="E3795">
        <v>180</v>
      </c>
      <c r="F3795">
        <v>2</v>
      </c>
      <c r="G3795">
        <v>30</v>
      </c>
      <c r="H3795">
        <v>18</v>
      </c>
      <c r="I3795">
        <v>802</v>
      </c>
      <c r="J3795">
        <v>1130</v>
      </c>
      <c r="K3795">
        <v>4.2949999999999999</v>
      </c>
      <c r="L3795">
        <v>4.45</v>
      </c>
      <c r="M3795">
        <v>160.15</v>
      </c>
      <c r="N3795">
        <v>7.95</v>
      </c>
      <c r="O3795">
        <v>1595</v>
      </c>
      <c r="P3795">
        <v>0</v>
      </c>
      <c r="Q3795" s="5" t="e">
        <f>IF(AND(#REF!&gt;=table!$C$6,#REF!&lt;= table!$D$6),-1,IF(AND(#REF!&gt;=table!$E$6,#REF!&lt;=table!$F$6),1,0))</f>
        <v>#REF!</v>
      </c>
      <c r="R3795" s="5" t="e">
        <f>IF(AND(#REF!&gt;=table!$C$7,#REF!&lt;= table!$D$7),-1,IF(AND(#REF!&gt;=table!$E$7,#REF!&lt;=table!$F$7),1,0))</f>
        <v>#REF!</v>
      </c>
      <c r="S3795" s="5" t="e">
        <f>IF(AND(#REF!&gt;=table!$C$8,#REF!&lt;= table!$D$8),-1,IF(AND(#REF!&gt;=table!$E$8,#REF!&lt;=table!$F$8),1,0))</f>
        <v>#REF!</v>
      </c>
      <c r="T3795" s="5"/>
      <c r="U3795" s="5" t="e">
        <f>IF(AND(#REF!&gt;=table!$C$10,#REF!&lt;= table!$D$10),-1,IF(AND(#REF!&gt;=table!$E$10,#REF!&lt;=table!$F$10),1,0))</f>
        <v>#REF!</v>
      </c>
      <c r="V3795" s="5" t="e">
        <f>IF(AND(#REF!&gt;=table!$C$11,#REF!&lt;= table!$D$11),-1,IF(AND(#REF!&gt;=table!$E$11,#REF!&lt;=table!$F$11),1,0))</f>
        <v>#REF!</v>
      </c>
      <c r="W3795" s="5" t="e">
        <f>CONCATENATE(dados[[#This Row],[fator1]],dados[[#This Row],[fator5]],dados[[#This Row],[fator6]])</f>
        <v>#REF!</v>
      </c>
    </row>
    <row r="3796" spans="1:23">
      <c r="A3796" t="s">
        <v>17</v>
      </c>
      <c r="B3796">
        <v>588130</v>
      </c>
      <c r="C3796">
        <v>7</v>
      </c>
      <c r="D3796">
        <v>30</v>
      </c>
      <c r="E3796">
        <v>180</v>
      </c>
      <c r="F3796">
        <v>2</v>
      </c>
      <c r="G3796">
        <v>30</v>
      </c>
      <c r="H3796">
        <v>18</v>
      </c>
      <c r="I3796">
        <v>873</v>
      </c>
      <c r="J3796">
        <v>0</v>
      </c>
      <c r="K3796">
        <v>4.24</v>
      </c>
      <c r="L3796">
        <v>6.6000000000000005</v>
      </c>
      <c r="M3796">
        <v>153.4</v>
      </c>
      <c r="N3796">
        <v>8.8000000000000007</v>
      </c>
      <c r="O3796">
        <v>1680</v>
      </c>
      <c r="P3796">
        <v>0</v>
      </c>
      <c r="Q3796" s="5" t="e">
        <f>IF(AND(#REF!&gt;=table!$C$6,#REF!&lt;= table!$D$6),-1,IF(AND(#REF!&gt;=table!$E$6,#REF!&lt;=table!$F$6),1,0))</f>
        <v>#REF!</v>
      </c>
      <c r="R3796" s="5" t="e">
        <f>IF(AND(#REF!&gt;=table!$C$7,#REF!&lt;= table!$D$7),-1,IF(AND(#REF!&gt;=table!$E$7,#REF!&lt;=table!$F$7),1,0))</f>
        <v>#REF!</v>
      </c>
      <c r="S3796" s="5" t="e">
        <f>IF(AND(#REF!&gt;=table!$C$8,#REF!&lt;= table!$D$8),-1,IF(AND(#REF!&gt;=table!$E$8,#REF!&lt;=table!$F$8),1,0))</f>
        <v>#REF!</v>
      </c>
      <c r="T3796" s="5"/>
      <c r="U3796" s="5" t="e">
        <f>IF(AND(#REF!&gt;=table!$C$10,#REF!&lt;= table!$D$10),-1,IF(AND(#REF!&gt;=table!$E$10,#REF!&lt;=table!$F$10),1,0))</f>
        <v>#REF!</v>
      </c>
      <c r="V3796" s="5" t="e">
        <f>IF(AND(#REF!&gt;=table!$C$11,#REF!&lt;= table!$D$11),-1,IF(AND(#REF!&gt;=table!$E$11,#REF!&lt;=table!$F$11),1,0))</f>
        <v>#REF!</v>
      </c>
      <c r="W3796" s="5" t="e">
        <f>CONCATENATE(dados[[#This Row],[fator1]],dados[[#This Row],[fator5]],dados[[#This Row],[fator6]])</f>
        <v>#REF!</v>
      </c>
    </row>
    <row r="3797" spans="1:23">
      <c r="A3797" t="s">
        <v>17</v>
      </c>
      <c r="B3797">
        <v>588134</v>
      </c>
      <c r="C3797">
        <v>7</v>
      </c>
      <c r="D3797">
        <v>30</v>
      </c>
      <c r="E3797">
        <v>180</v>
      </c>
      <c r="F3797">
        <v>2</v>
      </c>
      <c r="G3797">
        <v>30</v>
      </c>
      <c r="H3797">
        <v>18</v>
      </c>
      <c r="I3797">
        <v>0</v>
      </c>
      <c r="J3797">
        <v>0</v>
      </c>
      <c r="K3797">
        <v>3.6350000000000002</v>
      </c>
      <c r="L3797">
        <v>10.85</v>
      </c>
      <c r="M3797">
        <v>161.1</v>
      </c>
      <c r="N3797">
        <v>15.65</v>
      </c>
      <c r="O3797">
        <v>1684</v>
      </c>
      <c r="P3797">
        <v>1089</v>
      </c>
      <c r="Q3797" s="5" t="e">
        <f>IF(AND(#REF!&gt;=table!$C$6,#REF!&lt;= table!$D$6),-1,IF(AND(#REF!&gt;=table!$E$6,#REF!&lt;=table!$F$6),1,0))</f>
        <v>#REF!</v>
      </c>
      <c r="R3797" s="5" t="e">
        <f>IF(AND(#REF!&gt;=table!$C$7,#REF!&lt;= table!$D$7),-1,IF(AND(#REF!&gt;=table!$E$7,#REF!&lt;=table!$F$7),1,0))</f>
        <v>#REF!</v>
      </c>
      <c r="S3797" s="5" t="e">
        <f>IF(AND(#REF!&gt;=table!$C$8,#REF!&lt;= table!$D$8),-1,IF(AND(#REF!&gt;=table!$E$8,#REF!&lt;=table!$F$8),1,0))</f>
        <v>#REF!</v>
      </c>
      <c r="T3797" s="5"/>
      <c r="U3797" s="5" t="e">
        <f>IF(AND(#REF!&gt;=table!$C$10,#REF!&lt;= table!$D$10),-1,IF(AND(#REF!&gt;=table!$E$10,#REF!&lt;=table!$F$10),1,0))</f>
        <v>#REF!</v>
      </c>
      <c r="V3797" s="5" t="e">
        <f>IF(AND(#REF!&gt;=table!$C$11,#REF!&lt;= table!$D$11),-1,IF(AND(#REF!&gt;=table!$E$11,#REF!&lt;=table!$F$11),1,0))</f>
        <v>#REF!</v>
      </c>
      <c r="W3797" s="5" t="e">
        <f>CONCATENATE(dados[[#This Row],[fator1]],dados[[#This Row],[fator5]],dados[[#This Row],[fator6]])</f>
        <v>#REF!</v>
      </c>
    </row>
    <row r="3798" spans="1:23">
      <c r="A3798" t="s">
        <v>17</v>
      </c>
      <c r="B3798">
        <v>588135</v>
      </c>
      <c r="C3798">
        <v>7</v>
      </c>
      <c r="D3798">
        <v>30</v>
      </c>
      <c r="E3798">
        <v>180</v>
      </c>
      <c r="F3798">
        <v>2</v>
      </c>
      <c r="G3798">
        <v>30</v>
      </c>
      <c r="H3798">
        <v>18</v>
      </c>
      <c r="I3798">
        <v>387</v>
      </c>
      <c r="J3798">
        <v>0</v>
      </c>
      <c r="K3798">
        <v>5.4050000000000002</v>
      </c>
      <c r="L3798">
        <v>7.1000000000000005</v>
      </c>
      <c r="M3798">
        <v>156.92500000000001</v>
      </c>
      <c r="N3798">
        <v>13.74</v>
      </c>
      <c r="O3798">
        <v>1666</v>
      </c>
      <c r="P3798">
        <v>648</v>
      </c>
      <c r="Q3798" s="5" t="e">
        <f>IF(AND(#REF!&gt;=table!$C$6,#REF!&lt;= table!$D$6),-1,IF(AND(#REF!&gt;=table!$E$6,#REF!&lt;=table!$F$6),1,0))</f>
        <v>#REF!</v>
      </c>
      <c r="R3798" s="5" t="e">
        <f>IF(AND(#REF!&gt;=table!$C$7,#REF!&lt;= table!$D$7),-1,IF(AND(#REF!&gt;=table!$E$7,#REF!&lt;=table!$F$7),1,0))</f>
        <v>#REF!</v>
      </c>
      <c r="S3798" s="5" t="e">
        <f>IF(AND(#REF!&gt;=table!$C$8,#REF!&lt;= table!$D$8),-1,IF(AND(#REF!&gt;=table!$E$8,#REF!&lt;=table!$F$8),1,0))</f>
        <v>#REF!</v>
      </c>
      <c r="T3798" s="5"/>
      <c r="U3798" s="5" t="e">
        <f>IF(AND(#REF!&gt;=table!$C$10,#REF!&lt;= table!$D$10),-1,IF(AND(#REF!&gt;=table!$E$10,#REF!&lt;=table!$F$10),1,0))</f>
        <v>#REF!</v>
      </c>
      <c r="V3798" s="5" t="e">
        <f>IF(AND(#REF!&gt;=table!$C$11,#REF!&lt;= table!$D$11),-1,IF(AND(#REF!&gt;=table!$E$11,#REF!&lt;=table!$F$11),1,0))</f>
        <v>#REF!</v>
      </c>
      <c r="W3798" s="5" t="e">
        <f>CONCATENATE(dados[[#This Row],[fator1]],dados[[#This Row],[fator5]],dados[[#This Row],[fator6]])</f>
        <v>#REF!</v>
      </c>
    </row>
    <row r="3799" spans="1:23">
      <c r="A3799" t="s">
        <v>17</v>
      </c>
      <c r="B3799">
        <v>588139</v>
      </c>
      <c r="C3799">
        <v>7</v>
      </c>
      <c r="D3799">
        <v>30</v>
      </c>
      <c r="E3799">
        <v>180</v>
      </c>
      <c r="F3799">
        <v>2</v>
      </c>
      <c r="G3799">
        <v>30</v>
      </c>
      <c r="H3799">
        <v>18</v>
      </c>
      <c r="I3799">
        <v>875</v>
      </c>
      <c r="J3799">
        <v>0</v>
      </c>
      <c r="K3799">
        <v>4.5</v>
      </c>
      <c r="L3799">
        <v>9.125</v>
      </c>
      <c r="M3799">
        <v>154.9</v>
      </c>
      <c r="N3799">
        <v>11.200000000000001</v>
      </c>
      <c r="O3799">
        <v>1685</v>
      </c>
      <c r="P3799">
        <v>0</v>
      </c>
      <c r="Q3799" s="5" t="e">
        <f>IF(AND(#REF!&gt;=table!$C$6,#REF!&lt;= table!$D$6),-1,IF(AND(#REF!&gt;=table!$E$6,#REF!&lt;=table!$F$6),1,0))</f>
        <v>#REF!</v>
      </c>
      <c r="R3799" s="5" t="e">
        <f>IF(AND(#REF!&gt;=table!$C$7,#REF!&lt;= table!$D$7),-1,IF(AND(#REF!&gt;=table!$E$7,#REF!&lt;=table!$F$7),1,0))</f>
        <v>#REF!</v>
      </c>
      <c r="S3799" s="5" t="e">
        <f>IF(AND(#REF!&gt;=table!$C$8,#REF!&lt;= table!$D$8),-1,IF(AND(#REF!&gt;=table!$E$8,#REF!&lt;=table!$F$8),1,0))</f>
        <v>#REF!</v>
      </c>
      <c r="T3799" s="5"/>
      <c r="U3799" s="5" t="e">
        <f>IF(AND(#REF!&gt;=table!$C$10,#REF!&lt;= table!$D$10),-1,IF(AND(#REF!&gt;=table!$E$10,#REF!&lt;=table!$F$10),1,0))</f>
        <v>#REF!</v>
      </c>
      <c r="V3799" s="5" t="e">
        <f>IF(AND(#REF!&gt;=table!$C$11,#REF!&lt;= table!$D$11),-1,IF(AND(#REF!&gt;=table!$E$11,#REF!&lt;=table!$F$11),1,0))</f>
        <v>#REF!</v>
      </c>
      <c r="W3799" s="5" t="e">
        <f>CONCATENATE(dados[[#This Row],[fator1]],dados[[#This Row],[fator5]],dados[[#This Row],[fator6]])</f>
        <v>#REF!</v>
      </c>
    </row>
    <row r="3800" spans="1:23">
      <c r="A3800" t="s">
        <v>17</v>
      </c>
      <c r="B3800">
        <v>588140</v>
      </c>
      <c r="C3800">
        <v>7</v>
      </c>
      <c r="D3800">
        <v>30</v>
      </c>
      <c r="E3800">
        <v>180</v>
      </c>
      <c r="F3800">
        <v>2</v>
      </c>
      <c r="G3800">
        <v>30</v>
      </c>
      <c r="H3800">
        <v>18</v>
      </c>
      <c r="I3800">
        <v>34</v>
      </c>
      <c r="J3800">
        <v>0</v>
      </c>
      <c r="K3800">
        <v>4.95</v>
      </c>
      <c r="L3800">
        <v>7.7</v>
      </c>
      <c r="M3800">
        <v>159.5</v>
      </c>
      <c r="N3800">
        <v>10.75</v>
      </c>
      <c r="O3800">
        <v>1680</v>
      </c>
      <c r="P3800">
        <v>833</v>
      </c>
      <c r="Q3800" s="5" t="e">
        <f>IF(AND(#REF!&gt;=table!$C$6,#REF!&lt;= table!$D$6),-1,IF(AND(#REF!&gt;=table!$E$6,#REF!&lt;=table!$F$6),1,0))</f>
        <v>#REF!</v>
      </c>
      <c r="R3800" s="5" t="e">
        <f>IF(AND(#REF!&gt;=table!$C$7,#REF!&lt;= table!$D$7),-1,IF(AND(#REF!&gt;=table!$E$7,#REF!&lt;=table!$F$7),1,0))</f>
        <v>#REF!</v>
      </c>
      <c r="S3800" s="5" t="e">
        <f>IF(AND(#REF!&gt;=table!$C$8,#REF!&lt;= table!$D$8),-1,IF(AND(#REF!&gt;=table!$E$8,#REF!&lt;=table!$F$8),1,0))</f>
        <v>#REF!</v>
      </c>
      <c r="T3800" s="5"/>
      <c r="U3800" s="5" t="e">
        <f>IF(AND(#REF!&gt;=table!$C$10,#REF!&lt;= table!$D$10),-1,IF(AND(#REF!&gt;=table!$E$10,#REF!&lt;=table!$F$10),1,0))</f>
        <v>#REF!</v>
      </c>
      <c r="V3800" s="5" t="e">
        <f>IF(AND(#REF!&gt;=table!$C$11,#REF!&lt;= table!$D$11),-1,IF(AND(#REF!&gt;=table!$E$11,#REF!&lt;=table!$F$11),1,0))</f>
        <v>#REF!</v>
      </c>
      <c r="W3800" s="5" t="e">
        <f>CONCATENATE(dados[[#This Row],[fator1]],dados[[#This Row],[fator5]],dados[[#This Row],[fator6]])</f>
        <v>#REF!</v>
      </c>
    </row>
    <row r="3801" spans="1:23">
      <c r="A3801" t="s">
        <v>16</v>
      </c>
      <c r="B3801">
        <v>588143</v>
      </c>
      <c r="C3801">
        <v>0.15</v>
      </c>
      <c r="D3801">
        <v>40</v>
      </c>
      <c r="E3801">
        <v>10</v>
      </c>
      <c r="F3801">
        <v>15</v>
      </c>
      <c r="G3801">
        <v>0</v>
      </c>
      <c r="H3801">
        <v>15</v>
      </c>
      <c r="I3801">
        <v>604</v>
      </c>
      <c r="J3801">
        <v>0</v>
      </c>
      <c r="K3801">
        <v>5.0150000000000006</v>
      </c>
      <c r="L3801">
        <v>12.950000000000001</v>
      </c>
      <c r="M3801">
        <v>11.5</v>
      </c>
      <c r="N3801">
        <v>10.6</v>
      </c>
      <c r="O3801">
        <v>1670</v>
      </c>
      <c r="P3801">
        <v>0</v>
      </c>
      <c r="Q3801" s="5" t="e">
        <f>IF(AND(#REF!&gt;=table!$C$6,#REF!&lt;= table!$D$6),-1,IF(AND(#REF!&gt;=table!$E$6,#REF!&lt;=table!$F$6),1,0))</f>
        <v>#REF!</v>
      </c>
      <c r="R3801" s="5" t="e">
        <f>IF(AND(#REF!&gt;=table!$C$7,#REF!&lt;= table!$D$7),-1,IF(AND(#REF!&gt;=table!$E$7,#REF!&lt;=table!$F$7),1,0))</f>
        <v>#REF!</v>
      </c>
      <c r="S3801" s="5" t="e">
        <f>IF(AND(#REF!&gt;=table!$C$8,#REF!&lt;= table!$D$8),-1,IF(AND(#REF!&gt;=table!$E$8,#REF!&lt;=table!$F$8),1,0))</f>
        <v>#REF!</v>
      </c>
      <c r="T3801" s="5"/>
      <c r="U3801" s="5" t="e">
        <f>IF(AND(#REF!&gt;=table!$C$10,#REF!&lt;= table!$D$10),-1,IF(AND(#REF!&gt;=table!$E$10,#REF!&lt;=table!$F$10),1,0))</f>
        <v>#REF!</v>
      </c>
      <c r="V3801" s="5" t="e">
        <f>IF(AND(#REF!&gt;=table!$C$11,#REF!&lt;= table!$D$11),-1,IF(AND(#REF!&gt;=table!$E$11,#REF!&lt;=table!$F$11),1,0))</f>
        <v>#REF!</v>
      </c>
      <c r="W3801" s="5" t="e">
        <f>CONCATENATE(dados[[#This Row],[fator1]],dados[[#This Row],[fator5]],dados[[#This Row],[fator6]])</f>
        <v>#REF!</v>
      </c>
    </row>
    <row r="3802" spans="1:23">
      <c r="A3802" t="s">
        <v>16</v>
      </c>
      <c r="B3802">
        <v>588144</v>
      </c>
      <c r="C3802">
        <v>0.15</v>
      </c>
      <c r="D3802">
        <v>40</v>
      </c>
      <c r="E3802">
        <v>10</v>
      </c>
      <c r="F3802">
        <v>15</v>
      </c>
      <c r="G3802">
        <v>0</v>
      </c>
      <c r="H3802">
        <v>15</v>
      </c>
      <c r="I3802">
        <v>714</v>
      </c>
      <c r="J3802">
        <v>0</v>
      </c>
      <c r="K3802">
        <v>3.6950000000000003</v>
      </c>
      <c r="L3802">
        <v>11.85</v>
      </c>
      <c r="M3802">
        <v>11.290000000000001</v>
      </c>
      <c r="N3802">
        <v>11.985000000000001</v>
      </c>
      <c r="O3802">
        <v>1668</v>
      </c>
      <c r="P3802">
        <v>1051</v>
      </c>
      <c r="Q3802" s="5" t="e">
        <f>IF(AND(#REF!&gt;=table!$C$6,#REF!&lt;= table!$D$6),-1,IF(AND(#REF!&gt;=table!$E$6,#REF!&lt;=table!$F$6),1,0))</f>
        <v>#REF!</v>
      </c>
      <c r="R3802" s="5" t="e">
        <f>IF(AND(#REF!&gt;=table!$C$7,#REF!&lt;= table!$D$7),-1,IF(AND(#REF!&gt;=table!$E$7,#REF!&lt;=table!$F$7),1,0))</f>
        <v>#REF!</v>
      </c>
      <c r="S3802" s="5" t="e">
        <f>IF(AND(#REF!&gt;=table!$C$8,#REF!&lt;= table!$D$8),-1,IF(AND(#REF!&gt;=table!$E$8,#REF!&lt;=table!$F$8),1,0))</f>
        <v>#REF!</v>
      </c>
      <c r="T3802" s="5"/>
      <c r="U3802" s="5" t="e">
        <f>IF(AND(#REF!&gt;=table!$C$10,#REF!&lt;= table!$D$10),-1,IF(AND(#REF!&gt;=table!$E$10,#REF!&lt;=table!$F$10),1,0))</f>
        <v>#REF!</v>
      </c>
      <c r="V3802" s="5" t="e">
        <f>IF(AND(#REF!&gt;=table!$C$11,#REF!&lt;= table!$D$11),-1,IF(AND(#REF!&gt;=table!$E$11,#REF!&lt;=table!$F$11),1,0))</f>
        <v>#REF!</v>
      </c>
      <c r="W3802" s="5" t="e">
        <f>CONCATENATE(dados[[#This Row],[fator1]],dados[[#This Row],[fator5]],dados[[#This Row],[fator6]])</f>
        <v>#REF!</v>
      </c>
    </row>
    <row r="3803" spans="1:23">
      <c r="A3803" t="s">
        <v>16</v>
      </c>
      <c r="B3803">
        <v>588146</v>
      </c>
      <c r="C3803">
        <v>0.15</v>
      </c>
      <c r="D3803">
        <v>40</v>
      </c>
      <c r="E3803">
        <v>10</v>
      </c>
      <c r="F3803">
        <v>15</v>
      </c>
      <c r="G3803">
        <v>0</v>
      </c>
      <c r="H3803">
        <v>15</v>
      </c>
      <c r="I3803">
        <v>18</v>
      </c>
      <c r="J3803">
        <v>0</v>
      </c>
      <c r="K3803">
        <v>7.71</v>
      </c>
      <c r="L3803">
        <v>12.790000000000001</v>
      </c>
      <c r="M3803">
        <v>11.66</v>
      </c>
      <c r="N3803">
        <v>10</v>
      </c>
      <c r="O3803">
        <v>1670</v>
      </c>
      <c r="P3803">
        <v>533</v>
      </c>
      <c r="Q3803" s="5" t="e">
        <f>IF(AND(#REF!&gt;=table!$C$6,#REF!&lt;= table!$D$6),-1,IF(AND(#REF!&gt;=table!$E$6,#REF!&lt;=table!$F$6),1,0))</f>
        <v>#REF!</v>
      </c>
      <c r="R3803" s="5" t="e">
        <f>IF(AND(#REF!&gt;=table!$C$7,#REF!&lt;= table!$D$7),-1,IF(AND(#REF!&gt;=table!$E$7,#REF!&lt;=table!$F$7),1,0))</f>
        <v>#REF!</v>
      </c>
      <c r="S3803" s="5" t="e">
        <f>IF(AND(#REF!&gt;=table!$C$8,#REF!&lt;= table!$D$8),-1,IF(AND(#REF!&gt;=table!$E$8,#REF!&lt;=table!$F$8),1,0))</f>
        <v>#REF!</v>
      </c>
      <c r="T3803" s="5"/>
      <c r="U3803" s="5" t="e">
        <f>IF(AND(#REF!&gt;=table!$C$10,#REF!&lt;= table!$D$10),-1,IF(AND(#REF!&gt;=table!$E$10,#REF!&lt;=table!$F$10),1,0))</f>
        <v>#REF!</v>
      </c>
      <c r="V3803" s="5" t="e">
        <f>IF(AND(#REF!&gt;=table!$C$11,#REF!&lt;= table!$D$11),-1,IF(AND(#REF!&gt;=table!$E$11,#REF!&lt;=table!$F$11),1,0))</f>
        <v>#REF!</v>
      </c>
      <c r="W3803" s="5" t="e">
        <f>CONCATENATE(dados[[#This Row],[fator1]],dados[[#This Row],[fator5]],dados[[#This Row],[fator6]])</f>
        <v>#REF!</v>
      </c>
    </row>
    <row r="3804" spans="1:23">
      <c r="A3804" t="s">
        <v>17</v>
      </c>
      <c r="B3804">
        <v>588152</v>
      </c>
      <c r="C3804">
        <v>19</v>
      </c>
      <c r="D3804">
        <v>33</v>
      </c>
      <c r="E3804">
        <v>101</v>
      </c>
      <c r="F3804">
        <v>9</v>
      </c>
      <c r="G3804">
        <v>28</v>
      </c>
      <c r="H3804">
        <v>25</v>
      </c>
      <c r="I3804">
        <v>273</v>
      </c>
      <c r="J3804">
        <v>1150</v>
      </c>
      <c r="K3804">
        <v>8.3800000000000008</v>
      </c>
      <c r="L3804">
        <v>24.85</v>
      </c>
      <c r="M3804">
        <v>99.2</v>
      </c>
      <c r="N3804">
        <v>19.25</v>
      </c>
      <c r="O3804">
        <v>1685</v>
      </c>
      <c r="P3804">
        <v>0</v>
      </c>
      <c r="Q3804" s="5" t="e">
        <f>IF(AND(#REF!&gt;=table!$C$6,#REF!&lt;= table!$D$6),-1,IF(AND(#REF!&gt;=table!$E$6,#REF!&lt;=table!$F$6),1,0))</f>
        <v>#REF!</v>
      </c>
      <c r="R3804" s="5" t="e">
        <f>IF(AND(#REF!&gt;=table!$C$7,#REF!&lt;= table!$D$7),-1,IF(AND(#REF!&gt;=table!$E$7,#REF!&lt;=table!$F$7),1,0))</f>
        <v>#REF!</v>
      </c>
      <c r="S3804" s="5" t="e">
        <f>IF(AND(#REF!&gt;=table!$C$8,#REF!&lt;= table!$D$8),-1,IF(AND(#REF!&gt;=table!$E$8,#REF!&lt;=table!$F$8),1,0))</f>
        <v>#REF!</v>
      </c>
      <c r="T3804" s="5"/>
      <c r="U3804" s="5" t="e">
        <f>IF(AND(#REF!&gt;=table!$C$10,#REF!&lt;= table!$D$10),-1,IF(AND(#REF!&gt;=table!$E$10,#REF!&lt;=table!$F$10),1,0))</f>
        <v>#REF!</v>
      </c>
      <c r="V3804" s="5" t="e">
        <f>IF(AND(#REF!&gt;=table!$C$11,#REF!&lt;= table!$D$11),-1,IF(AND(#REF!&gt;=table!$E$11,#REF!&lt;=table!$F$11),1,0))</f>
        <v>#REF!</v>
      </c>
      <c r="W3804" s="5" t="e">
        <f>CONCATENATE(dados[[#This Row],[fator1]],dados[[#This Row],[fator5]],dados[[#This Row],[fator6]])</f>
        <v>#REF!</v>
      </c>
    </row>
    <row r="3805" spans="1:23">
      <c r="A3805" t="s">
        <v>16</v>
      </c>
      <c r="B3805">
        <v>588153</v>
      </c>
      <c r="C3805">
        <v>11</v>
      </c>
      <c r="D3805">
        <v>40</v>
      </c>
      <c r="E3805">
        <v>151</v>
      </c>
      <c r="F3805">
        <v>8</v>
      </c>
      <c r="G3805">
        <v>0</v>
      </c>
      <c r="H3805">
        <v>25</v>
      </c>
      <c r="I3805">
        <v>0</v>
      </c>
      <c r="J3805">
        <v>0</v>
      </c>
      <c r="K3805">
        <v>3.02</v>
      </c>
      <c r="L3805">
        <v>14.15</v>
      </c>
      <c r="M3805">
        <v>131.65</v>
      </c>
      <c r="N3805">
        <v>20.900000000000002</v>
      </c>
      <c r="O3805">
        <v>1719</v>
      </c>
      <c r="P3805">
        <v>1116</v>
      </c>
      <c r="Q3805" s="5" t="e">
        <f>IF(AND(#REF!&gt;=table!$C$6,#REF!&lt;= table!$D$6),-1,IF(AND(#REF!&gt;=table!$E$6,#REF!&lt;=table!$F$6),1,0))</f>
        <v>#REF!</v>
      </c>
      <c r="R3805" s="5" t="e">
        <f>IF(AND(#REF!&gt;=table!$C$7,#REF!&lt;= table!$D$7),-1,IF(AND(#REF!&gt;=table!$E$7,#REF!&lt;=table!$F$7),1,0))</f>
        <v>#REF!</v>
      </c>
      <c r="S3805" s="5" t="e">
        <f>IF(AND(#REF!&gt;=table!$C$8,#REF!&lt;= table!$D$8),-1,IF(AND(#REF!&gt;=table!$E$8,#REF!&lt;=table!$F$8),1,0))</f>
        <v>#REF!</v>
      </c>
      <c r="T3805" s="5"/>
      <c r="U3805" s="5" t="e">
        <f>IF(AND(#REF!&gt;=table!$C$10,#REF!&lt;= table!$D$10),-1,IF(AND(#REF!&gt;=table!$E$10,#REF!&lt;=table!$F$10),1,0))</f>
        <v>#REF!</v>
      </c>
      <c r="V3805" s="5" t="e">
        <f>IF(AND(#REF!&gt;=table!$C$11,#REF!&lt;= table!$D$11),-1,IF(AND(#REF!&gt;=table!$E$11,#REF!&lt;=table!$F$11),1,0))</f>
        <v>#REF!</v>
      </c>
      <c r="W3805" s="5" t="e">
        <f>CONCATENATE(dados[[#This Row],[fator1]],dados[[#This Row],[fator5]],dados[[#This Row],[fator6]])</f>
        <v>#REF!</v>
      </c>
    </row>
    <row r="3806" spans="1:23">
      <c r="A3806" t="s">
        <v>16</v>
      </c>
      <c r="B3806">
        <v>588155</v>
      </c>
      <c r="C3806">
        <v>11</v>
      </c>
      <c r="D3806">
        <v>40</v>
      </c>
      <c r="E3806">
        <v>151</v>
      </c>
      <c r="F3806">
        <v>8</v>
      </c>
      <c r="G3806">
        <v>0</v>
      </c>
      <c r="H3806">
        <v>25</v>
      </c>
      <c r="I3806">
        <v>236</v>
      </c>
      <c r="J3806">
        <v>0</v>
      </c>
      <c r="K3806">
        <v>4.88</v>
      </c>
      <c r="L3806">
        <v>8.1999999999999993</v>
      </c>
      <c r="M3806">
        <v>70.56</v>
      </c>
      <c r="N3806">
        <v>10.32</v>
      </c>
      <c r="O3806">
        <v>1682</v>
      </c>
      <c r="P3806">
        <v>0</v>
      </c>
      <c r="Q3806" s="5" t="e">
        <f>IF(AND(#REF!&gt;=table!$C$6,#REF!&lt;= table!$D$6),-1,IF(AND(#REF!&gt;=table!$E$6,#REF!&lt;=table!$F$6),1,0))</f>
        <v>#REF!</v>
      </c>
      <c r="R3806" s="5" t="e">
        <f>IF(AND(#REF!&gt;=table!$C$7,#REF!&lt;= table!$D$7),-1,IF(AND(#REF!&gt;=table!$E$7,#REF!&lt;=table!$F$7),1,0))</f>
        <v>#REF!</v>
      </c>
      <c r="S3806" s="5" t="e">
        <f>IF(AND(#REF!&gt;=table!$C$8,#REF!&lt;= table!$D$8),-1,IF(AND(#REF!&gt;=table!$E$8,#REF!&lt;=table!$F$8),1,0))</f>
        <v>#REF!</v>
      </c>
      <c r="T3806" s="5"/>
      <c r="U3806" s="5" t="e">
        <f>IF(AND(#REF!&gt;=table!$C$10,#REF!&lt;= table!$D$10),-1,IF(AND(#REF!&gt;=table!$E$10,#REF!&lt;=table!$F$10),1,0))</f>
        <v>#REF!</v>
      </c>
      <c r="V3806" s="5" t="e">
        <f>IF(AND(#REF!&gt;=table!$C$11,#REF!&lt;= table!$D$11),-1,IF(AND(#REF!&gt;=table!$E$11,#REF!&lt;=table!$F$11),1,0))</f>
        <v>#REF!</v>
      </c>
      <c r="W3806" s="5" t="e">
        <f>CONCATENATE(dados[[#This Row],[fator1]],dados[[#This Row],[fator5]],dados[[#This Row],[fator6]])</f>
        <v>#REF!</v>
      </c>
    </row>
    <row r="3807" spans="1:23">
      <c r="A3807" t="s">
        <v>16</v>
      </c>
      <c r="B3807">
        <v>588156</v>
      </c>
      <c r="C3807">
        <v>11</v>
      </c>
      <c r="D3807">
        <v>40</v>
      </c>
      <c r="E3807">
        <v>151</v>
      </c>
      <c r="F3807">
        <v>8</v>
      </c>
      <c r="G3807">
        <v>0</v>
      </c>
      <c r="H3807">
        <v>25</v>
      </c>
      <c r="I3807">
        <v>58</v>
      </c>
      <c r="J3807">
        <v>0</v>
      </c>
      <c r="K3807">
        <v>5.01</v>
      </c>
      <c r="L3807">
        <v>11</v>
      </c>
      <c r="M3807">
        <v>88.15</v>
      </c>
      <c r="N3807">
        <v>19.8</v>
      </c>
      <c r="O3807">
        <v>1696</v>
      </c>
      <c r="P3807">
        <v>1018</v>
      </c>
      <c r="Q3807" s="5" t="e">
        <f>IF(AND(#REF!&gt;=table!$C$6,#REF!&lt;= table!$D$6),-1,IF(AND(#REF!&gt;=table!$E$6,#REF!&lt;=table!$F$6),1,0))</f>
        <v>#REF!</v>
      </c>
      <c r="R3807" s="5" t="e">
        <f>IF(AND(#REF!&gt;=table!$C$7,#REF!&lt;= table!$D$7),-1,IF(AND(#REF!&gt;=table!$E$7,#REF!&lt;=table!$F$7),1,0))</f>
        <v>#REF!</v>
      </c>
      <c r="S3807" s="5" t="e">
        <f>IF(AND(#REF!&gt;=table!$C$8,#REF!&lt;= table!$D$8),-1,IF(AND(#REF!&gt;=table!$E$8,#REF!&lt;=table!$F$8),1,0))</f>
        <v>#REF!</v>
      </c>
      <c r="T3807" s="5"/>
      <c r="U3807" s="5" t="e">
        <f>IF(AND(#REF!&gt;=table!$C$10,#REF!&lt;= table!$D$10),-1,IF(AND(#REF!&gt;=table!$E$10,#REF!&lt;=table!$F$10),1,0))</f>
        <v>#REF!</v>
      </c>
      <c r="V3807" s="5" t="e">
        <f>IF(AND(#REF!&gt;=table!$C$11,#REF!&lt;= table!$D$11),-1,IF(AND(#REF!&gt;=table!$E$11,#REF!&lt;=table!$F$11),1,0))</f>
        <v>#REF!</v>
      </c>
      <c r="W3807" s="5" t="e">
        <f>CONCATENATE(dados[[#This Row],[fator1]],dados[[#This Row],[fator5]],dados[[#This Row],[fator6]])</f>
        <v>#REF!</v>
      </c>
    </row>
    <row r="3808" spans="1:23">
      <c r="A3808" t="s">
        <v>16</v>
      </c>
      <c r="B3808">
        <v>588159</v>
      </c>
      <c r="C3808">
        <v>6</v>
      </c>
      <c r="D3808">
        <v>40</v>
      </c>
      <c r="E3808">
        <v>66</v>
      </c>
      <c r="F3808">
        <v>10</v>
      </c>
      <c r="G3808">
        <v>0</v>
      </c>
      <c r="H3808">
        <v>25</v>
      </c>
      <c r="I3808">
        <v>345</v>
      </c>
      <c r="J3808">
        <v>0</v>
      </c>
      <c r="K3808">
        <v>3.2600000000000002</v>
      </c>
      <c r="L3808">
        <v>8</v>
      </c>
      <c r="M3808">
        <v>62.9</v>
      </c>
      <c r="N3808">
        <v>12.1</v>
      </c>
      <c r="O3808">
        <v>1688</v>
      </c>
      <c r="P3808">
        <v>1169</v>
      </c>
      <c r="Q3808" s="5" t="e">
        <f>IF(AND(#REF!&gt;=table!$C$6,#REF!&lt;= table!$D$6),-1,IF(AND(#REF!&gt;=table!$E$6,#REF!&lt;=table!$F$6),1,0))</f>
        <v>#REF!</v>
      </c>
      <c r="R3808" s="5" t="e">
        <f>IF(AND(#REF!&gt;=table!$C$7,#REF!&lt;= table!$D$7),-1,IF(AND(#REF!&gt;=table!$E$7,#REF!&lt;=table!$F$7),1,0))</f>
        <v>#REF!</v>
      </c>
      <c r="S3808" s="5" t="e">
        <f>IF(AND(#REF!&gt;=table!$C$8,#REF!&lt;= table!$D$8),-1,IF(AND(#REF!&gt;=table!$E$8,#REF!&lt;=table!$F$8),1,0))</f>
        <v>#REF!</v>
      </c>
      <c r="T3808" s="5"/>
      <c r="U3808" s="5" t="e">
        <f>IF(AND(#REF!&gt;=table!$C$10,#REF!&lt;= table!$D$10),-1,IF(AND(#REF!&gt;=table!$E$10,#REF!&lt;=table!$F$10),1,0))</f>
        <v>#REF!</v>
      </c>
      <c r="V3808" s="5" t="e">
        <f>IF(AND(#REF!&gt;=table!$C$11,#REF!&lt;= table!$D$11),-1,IF(AND(#REF!&gt;=table!$E$11,#REF!&lt;=table!$F$11),1,0))</f>
        <v>#REF!</v>
      </c>
      <c r="W3808" s="5" t="e">
        <f>CONCATENATE(dados[[#This Row],[fator1]],dados[[#This Row],[fator5]],dados[[#This Row],[fator6]])</f>
        <v>#REF!</v>
      </c>
    </row>
    <row r="3809" spans="1:23">
      <c r="A3809" t="s">
        <v>16</v>
      </c>
      <c r="B3809">
        <v>588177</v>
      </c>
      <c r="C3809">
        <v>0.15</v>
      </c>
      <c r="D3809">
        <v>40</v>
      </c>
      <c r="E3809">
        <v>10</v>
      </c>
      <c r="F3809">
        <v>15</v>
      </c>
      <c r="G3809">
        <v>0</v>
      </c>
      <c r="H3809">
        <v>15</v>
      </c>
      <c r="I3809">
        <v>775</v>
      </c>
      <c r="J3809">
        <v>830</v>
      </c>
      <c r="K3809">
        <v>4.5250000000000004</v>
      </c>
      <c r="L3809">
        <v>19.400000000000002</v>
      </c>
      <c r="M3809">
        <v>9.35</v>
      </c>
      <c r="N3809">
        <v>13.8</v>
      </c>
      <c r="O3809">
        <v>1679</v>
      </c>
      <c r="P3809">
        <v>773</v>
      </c>
      <c r="Q3809" s="5" t="e">
        <f>IF(AND(#REF!&gt;=table!$C$6,#REF!&lt;= table!$D$6),-1,IF(AND(#REF!&gt;=table!$E$6,#REF!&lt;=table!$F$6),1,0))</f>
        <v>#REF!</v>
      </c>
      <c r="R3809" s="5" t="e">
        <f>IF(AND(#REF!&gt;=table!$C$7,#REF!&lt;= table!$D$7),-1,IF(AND(#REF!&gt;=table!$E$7,#REF!&lt;=table!$F$7),1,0))</f>
        <v>#REF!</v>
      </c>
      <c r="S3809" s="5" t="e">
        <f>IF(AND(#REF!&gt;=table!$C$8,#REF!&lt;= table!$D$8),-1,IF(AND(#REF!&gt;=table!$E$8,#REF!&lt;=table!$F$8),1,0))</f>
        <v>#REF!</v>
      </c>
      <c r="T3809" s="5"/>
      <c r="U3809" s="5" t="e">
        <f>IF(AND(#REF!&gt;=table!$C$10,#REF!&lt;= table!$D$10),-1,IF(AND(#REF!&gt;=table!$E$10,#REF!&lt;=table!$F$10),1,0))</f>
        <v>#REF!</v>
      </c>
      <c r="V3809" s="5" t="e">
        <f>IF(AND(#REF!&gt;=table!$C$11,#REF!&lt;= table!$D$11),-1,IF(AND(#REF!&gt;=table!$E$11,#REF!&lt;=table!$F$11),1,0))</f>
        <v>#REF!</v>
      </c>
      <c r="W3809" s="5" t="e">
        <f>CONCATENATE(dados[[#This Row],[fator1]],dados[[#This Row],[fator5]],dados[[#This Row],[fator6]])</f>
        <v>#REF!</v>
      </c>
    </row>
    <row r="3810" spans="1:23">
      <c r="A3810" t="s">
        <v>16</v>
      </c>
      <c r="B3810">
        <v>588182</v>
      </c>
      <c r="C3810">
        <v>16</v>
      </c>
      <c r="D3810">
        <v>30</v>
      </c>
      <c r="E3810">
        <v>36</v>
      </c>
      <c r="F3810">
        <v>3</v>
      </c>
      <c r="G3810">
        <v>0</v>
      </c>
      <c r="H3810">
        <v>25</v>
      </c>
      <c r="I3810">
        <v>0</v>
      </c>
      <c r="J3810">
        <v>0</v>
      </c>
      <c r="K3810">
        <v>17.975000000000001</v>
      </c>
      <c r="L3810">
        <v>25.400000000000002</v>
      </c>
      <c r="M3810">
        <v>32.14</v>
      </c>
      <c r="N3810">
        <v>28.395000000000003</v>
      </c>
      <c r="O3810">
        <v>1685</v>
      </c>
      <c r="P3810">
        <v>211</v>
      </c>
      <c r="Q3810" s="5" t="e">
        <f>IF(AND(#REF!&gt;=table!$C$6,#REF!&lt;= table!$D$6),-1,IF(AND(#REF!&gt;=table!$E$6,#REF!&lt;=table!$F$6),1,0))</f>
        <v>#REF!</v>
      </c>
      <c r="R3810" s="5" t="e">
        <f>IF(AND(#REF!&gt;=table!$C$7,#REF!&lt;= table!$D$7),-1,IF(AND(#REF!&gt;=table!$E$7,#REF!&lt;=table!$F$7),1,0))</f>
        <v>#REF!</v>
      </c>
      <c r="S3810" s="5" t="e">
        <f>IF(AND(#REF!&gt;=table!$C$8,#REF!&lt;= table!$D$8),-1,IF(AND(#REF!&gt;=table!$E$8,#REF!&lt;=table!$F$8),1,0))</f>
        <v>#REF!</v>
      </c>
      <c r="T3810" s="5"/>
      <c r="U3810" s="5" t="e">
        <f>IF(AND(#REF!&gt;=table!$C$10,#REF!&lt;= table!$D$10),-1,IF(AND(#REF!&gt;=table!$E$10,#REF!&lt;=table!$F$10),1,0))</f>
        <v>#REF!</v>
      </c>
      <c r="V3810" s="5" t="e">
        <f>IF(AND(#REF!&gt;=table!$C$11,#REF!&lt;= table!$D$11),-1,IF(AND(#REF!&gt;=table!$E$11,#REF!&lt;=table!$F$11),1,0))</f>
        <v>#REF!</v>
      </c>
      <c r="W3810" s="5" t="e">
        <f>CONCATENATE(dados[[#This Row],[fator1]],dados[[#This Row],[fator5]],dados[[#This Row],[fator6]])</f>
        <v>#REF!</v>
      </c>
    </row>
    <row r="3811" spans="1:23">
      <c r="A3811" t="s">
        <v>16</v>
      </c>
      <c r="B3811">
        <v>588183</v>
      </c>
      <c r="C3811">
        <v>16</v>
      </c>
      <c r="D3811">
        <v>30</v>
      </c>
      <c r="E3811">
        <v>36</v>
      </c>
      <c r="F3811">
        <v>3</v>
      </c>
      <c r="G3811">
        <v>0</v>
      </c>
      <c r="H3811">
        <v>25</v>
      </c>
      <c r="I3811">
        <v>71</v>
      </c>
      <c r="J3811">
        <v>0</v>
      </c>
      <c r="K3811">
        <v>5.1000000000000005</v>
      </c>
      <c r="L3811">
        <v>12.200000000000001</v>
      </c>
      <c r="M3811">
        <v>29.95</v>
      </c>
      <c r="N3811">
        <v>12.85</v>
      </c>
      <c r="O3811">
        <v>1670</v>
      </c>
      <c r="P3811">
        <v>749</v>
      </c>
      <c r="Q3811" s="5" t="e">
        <f>IF(AND(#REF!&gt;=table!$C$6,#REF!&lt;= table!$D$6),-1,IF(AND(#REF!&gt;=table!$E$6,#REF!&lt;=table!$F$6),1,0))</f>
        <v>#REF!</v>
      </c>
      <c r="R3811" s="5" t="e">
        <f>IF(AND(#REF!&gt;=table!$C$7,#REF!&lt;= table!$D$7),-1,IF(AND(#REF!&gt;=table!$E$7,#REF!&lt;=table!$F$7),1,0))</f>
        <v>#REF!</v>
      </c>
      <c r="S3811" s="5" t="e">
        <f>IF(AND(#REF!&gt;=table!$C$8,#REF!&lt;= table!$D$8),-1,IF(AND(#REF!&gt;=table!$E$8,#REF!&lt;=table!$F$8),1,0))</f>
        <v>#REF!</v>
      </c>
      <c r="T3811" s="5"/>
      <c r="U3811" s="5" t="e">
        <f>IF(AND(#REF!&gt;=table!$C$10,#REF!&lt;= table!$D$10),-1,IF(AND(#REF!&gt;=table!$E$10,#REF!&lt;=table!$F$10),1,0))</f>
        <v>#REF!</v>
      </c>
      <c r="V3811" s="5" t="e">
        <f>IF(AND(#REF!&gt;=table!$C$11,#REF!&lt;= table!$D$11),-1,IF(AND(#REF!&gt;=table!$E$11,#REF!&lt;=table!$F$11),1,0))</f>
        <v>#REF!</v>
      </c>
      <c r="W3811" s="5" t="e">
        <f>CONCATENATE(dados[[#This Row],[fator1]],dados[[#This Row],[fator5]],dados[[#This Row],[fator6]])</f>
        <v>#REF!</v>
      </c>
    </row>
    <row r="3812" spans="1:23">
      <c r="A3812" t="s">
        <v>16</v>
      </c>
      <c r="B3812">
        <v>588184</v>
      </c>
      <c r="C3812">
        <v>16</v>
      </c>
      <c r="D3812">
        <v>30</v>
      </c>
      <c r="E3812">
        <v>56</v>
      </c>
      <c r="F3812">
        <v>3</v>
      </c>
      <c r="G3812">
        <v>0</v>
      </c>
      <c r="H3812">
        <v>25</v>
      </c>
      <c r="I3812">
        <v>905</v>
      </c>
      <c r="J3812">
        <v>0</v>
      </c>
      <c r="K3812">
        <v>3.4</v>
      </c>
      <c r="L3812">
        <v>16.399999999999999</v>
      </c>
      <c r="M3812">
        <v>40.300000000000004</v>
      </c>
      <c r="N3812">
        <v>20.350000000000001</v>
      </c>
      <c r="O3812">
        <v>1677</v>
      </c>
      <c r="P3812">
        <v>867</v>
      </c>
      <c r="Q3812" s="5" t="e">
        <f>IF(AND(#REF!&gt;=table!$C$6,#REF!&lt;= table!$D$6),-1,IF(AND(#REF!&gt;=table!$E$6,#REF!&lt;=table!$F$6),1,0))</f>
        <v>#REF!</v>
      </c>
      <c r="R3812" s="5" t="e">
        <f>IF(AND(#REF!&gt;=table!$C$7,#REF!&lt;= table!$D$7),-1,IF(AND(#REF!&gt;=table!$E$7,#REF!&lt;=table!$F$7),1,0))</f>
        <v>#REF!</v>
      </c>
      <c r="S3812" s="5" t="e">
        <f>IF(AND(#REF!&gt;=table!$C$8,#REF!&lt;= table!$D$8),-1,IF(AND(#REF!&gt;=table!$E$8,#REF!&lt;=table!$F$8),1,0))</f>
        <v>#REF!</v>
      </c>
      <c r="T3812" s="5"/>
      <c r="U3812" s="5" t="e">
        <f>IF(AND(#REF!&gt;=table!$C$10,#REF!&lt;= table!$D$10),-1,IF(AND(#REF!&gt;=table!$E$10,#REF!&lt;=table!$F$10),1,0))</f>
        <v>#REF!</v>
      </c>
      <c r="V3812" s="5" t="e">
        <f>IF(AND(#REF!&gt;=table!$C$11,#REF!&lt;= table!$D$11),-1,IF(AND(#REF!&gt;=table!$E$11,#REF!&lt;=table!$F$11),1,0))</f>
        <v>#REF!</v>
      </c>
      <c r="W3812" s="5" t="e">
        <f>CONCATENATE(dados[[#This Row],[fator1]],dados[[#This Row],[fator5]],dados[[#This Row],[fator6]])</f>
        <v>#REF!</v>
      </c>
    </row>
    <row r="3813" spans="1:23">
      <c r="A3813" t="s">
        <v>16</v>
      </c>
      <c r="B3813">
        <v>588186</v>
      </c>
      <c r="C3813">
        <v>0.15</v>
      </c>
      <c r="D3813">
        <v>40</v>
      </c>
      <c r="E3813">
        <v>10</v>
      </c>
      <c r="F3813">
        <v>15</v>
      </c>
      <c r="G3813">
        <v>0</v>
      </c>
      <c r="H3813">
        <v>15</v>
      </c>
      <c r="I3813">
        <v>703</v>
      </c>
      <c r="J3813">
        <v>0</v>
      </c>
      <c r="K3813">
        <v>4.12</v>
      </c>
      <c r="L3813">
        <v>8.5500000000000007</v>
      </c>
      <c r="M3813">
        <v>8.17</v>
      </c>
      <c r="N3813">
        <v>11.355</v>
      </c>
      <c r="O3813">
        <v>1683</v>
      </c>
      <c r="P3813">
        <v>0</v>
      </c>
      <c r="Q3813" s="5" t="e">
        <f>IF(AND(#REF!&gt;=table!$C$6,#REF!&lt;= table!$D$6),-1,IF(AND(#REF!&gt;=table!$E$6,#REF!&lt;=table!$F$6),1,0))</f>
        <v>#REF!</v>
      </c>
      <c r="R3813" s="5" t="e">
        <f>IF(AND(#REF!&gt;=table!$C$7,#REF!&lt;= table!$D$7),-1,IF(AND(#REF!&gt;=table!$E$7,#REF!&lt;=table!$F$7),1,0))</f>
        <v>#REF!</v>
      </c>
      <c r="S3813" s="5" t="e">
        <f>IF(AND(#REF!&gt;=table!$C$8,#REF!&lt;= table!$D$8),-1,IF(AND(#REF!&gt;=table!$E$8,#REF!&lt;=table!$F$8),1,0))</f>
        <v>#REF!</v>
      </c>
      <c r="T3813" s="5"/>
      <c r="U3813" s="5" t="e">
        <f>IF(AND(#REF!&gt;=table!$C$10,#REF!&lt;= table!$D$10),-1,IF(AND(#REF!&gt;=table!$E$10,#REF!&lt;=table!$F$10),1,0))</f>
        <v>#REF!</v>
      </c>
      <c r="V3813" s="5" t="e">
        <f>IF(AND(#REF!&gt;=table!$C$11,#REF!&lt;= table!$D$11),-1,IF(AND(#REF!&gt;=table!$E$11,#REF!&lt;=table!$F$11),1,0))</f>
        <v>#REF!</v>
      </c>
      <c r="W3813" s="5" t="e">
        <f>CONCATENATE(dados[[#This Row],[fator1]],dados[[#This Row],[fator5]],dados[[#This Row],[fator6]])</f>
        <v>#REF!</v>
      </c>
    </row>
    <row r="3814" spans="1:23">
      <c r="A3814" t="s">
        <v>17</v>
      </c>
      <c r="B3814">
        <v>588189</v>
      </c>
      <c r="C3814">
        <v>7</v>
      </c>
      <c r="D3814">
        <v>30</v>
      </c>
      <c r="E3814">
        <v>180</v>
      </c>
      <c r="F3814">
        <v>2</v>
      </c>
      <c r="G3814">
        <v>30</v>
      </c>
      <c r="H3814">
        <v>18</v>
      </c>
      <c r="I3814">
        <v>1026</v>
      </c>
      <c r="J3814">
        <v>0</v>
      </c>
      <c r="K3814">
        <v>5.1000000000000005</v>
      </c>
      <c r="L3814">
        <v>8.1</v>
      </c>
      <c r="M3814">
        <v>153.55000000000001</v>
      </c>
      <c r="N3814">
        <v>10.3</v>
      </c>
      <c r="O3814">
        <v>1676</v>
      </c>
      <c r="P3814">
        <v>729</v>
      </c>
      <c r="Q3814" s="5" t="e">
        <f>IF(AND(#REF!&gt;=table!$C$6,#REF!&lt;= table!$D$6),-1,IF(AND(#REF!&gt;=table!$E$6,#REF!&lt;=table!$F$6),1,0))</f>
        <v>#REF!</v>
      </c>
      <c r="R3814" s="5" t="e">
        <f>IF(AND(#REF!&gt;=table!$C$7,#REF!&lt;= table!$D$7),-1,IF(AND(#REF!&gt;=table!$E$7,#REF!&lt;=table!$F$7),1,0))</f>
        <v>#REF!</v>
      </c>
      <c r="S3814" s="5" t="e">
        <f>IF(AND(#REF!&gt;=table!$C$8,#REF!&lt;= table!$D$8),-1,IF(AND(#REF!&gt;=table!$E$8,#REF!&lt;=table!$F$8),1,0))</f>
        <v>#REF!</v>
      </c>
      <c r="T3814" s="5"/>
      <c r="U3814" s="5" t="e">
        <f>IF(AND(#REF!&gt;=table!$C$10,#REF!&lt;= table!$D$10),-1,IF(AND(#REF!&gt;=table!$E$10,#REF!&lt;=table!$F$10),1,0))</f>
        <v>#REF!</v>
      </c>
      <c r="V3814" s="5" t="e">
        <f>IF(AND(#REF!&gt;=table!$C$11,#REF!&lt;= table!$D$11),-1,IF(AND(#REF!&gt;=table!$E$11,#REF!&lt;=table!$F$11),1,0))</f>
        <v>#REF!</v>
      </c>
      <c r="W3814" s="5" t="e">
        <f>CONCATENATE(dados[[#This Row],[fator1]],dados[[#This Row],[fator5]],dados[[#This Row],[fator6]])</f>
        <v>#REF!</v>
      </c>
    </row>
    <row r="3815" spans="1:23">
      <c r="A3815" t="s">
        <v>17</v>
      </c>
      <c r="B3815">
        <v>588190</v>
      </c>
      <c r="C3815">
        <v>7</v>
      </c>
      <c r="D3815">
        <v>30</v>
      </c>
      <c r="E3815">
        <v>180</v>
      </c>
      <c r="F3815">
        <v>2</v>
      </c>
      <c r="G3815">
        <v>30</v>
      </c>
      <c r="H3815">
        <v>18</v>
      </c>
      <c r="I3815">
        <v>19</v>
      </c>
      <c r="J3815">
        <v>0</v>
      </c>
      <c r="K3815">
        <v>3.4850000000000003</v>
      </c>
      <c r="L3815">
        <v>4.1500000000000004</v>
      </c>
      <c r="M3815">
        <v>149.1</v>
      </c>
      <c r="N3815">
        <v>10.15</v>
      </c>
      <c r="O3815">
        <v>1654</v>
      </c>
      <c r="P3815">
        <v>1154</v>
      </c>
      <c r="Q3815" s="5" t="e">
        <f>IF(AND(#REF!&gt;=table!$C$6,#REF!&lt;= table!$D$6),-1,IF(AND(#REF!&gt;=table!$E$6,#REF!&lt;=table!$F$6),1,0))</f>
        <v>#REF!</v>
      </c>
      <c r="R3815" s="5" t="e">
        <f>IF(AND(#REF!&gt;=table!$C$7,#REF!&lt;= table!$D$7),-1,IF(AND(#REF!&gt;=table!$E$7,#REF!&lt;=table!$F$7),1,0))</f>
        <v>#REF!</v>
      </c>
      <c r="S3815" s="5" t="e">
        <f>IF(AND(#REF!&gt;=table!$C$8,#REF!&lt;= table!$D$8),-1,IF(AND(#REF!&gt;=table!$E$8,#REF!&lt;=table!$F$8),1,0))</f>
        <v>#REF!</v>
      </c>
      <c r="T3815" s="5"/>
      <c r="U3815" s="5" t="e">
        <f>IF(AND(#REF!&gt;=table!$C$10,#REF!&lt;= table!$D$10),-1,IF(AND(#REF!&gt;=table!$E$10,#REF!&lt;=table!$F$10),1,0))</f>
        <v>#REF!</v>
      </c>
      <c r="V3815" s="5" t="e">
        <f>IF(AND(#REF!&gt;=table!$C$11,#REF!&lt;= table!$D$11),-1,IF(AND(#REF!&gt;=table!$E$11,#REF!&lt;=table!$F$11),1,0))</f>
        <v>#REF!</v>
      </c>
      <c r="W3815" s="5" t="e">
        <f>CONCATENATE(dados[[#This Row],[fator1]],dados[[#This Row],[fator5]],dados[[#This Row],[fator6]])</f>
        <v>#REF!</v>
      </c>
    </row>
    <row r="3816" spans="1:23">
      <c r="A3816" t="s">
        <v>17</v>
      </c>
      <c r="B3816">
        <v>588191</v>
      </c>
      <c r="C3816">
        <v>7</v>
      </c>
      <c r="D3816">
        <v>30</v>
      </c>
      <c r="E3816">
        <v>180</v>
      </c>
      <c r="F3816">
        <v>2</v>
      </c>
      <c r="G3816">
        <v>30</v>
      </c>
      <c r="H3816">
        <v>18</v>
      </c>
      <c r="I3816">
        <v>705</v>
      </c>
      <c r="J3816">
        <v>0</v>
      </c>
      <c r="K3816">
        <v>2.915</v>
      </c>
      <c r="L3816">
        <v>5.8</v>
      </c>
      <c r="M3816">
        <v>152.9</v>
      </c>
      <c r="N3816">
        <v>9.75</v>
      </c>
      <c r="O3816">
        <v>1673</v>
      </c>
      <c r="P3816">
        <v>0</v>
      </c>
      <c r="Q3816" s="5" t="e">
        <f>IF(AND(#REF!&gt;=table!$C$6,#REF!&lt;= table!$D$6),-1,IF(AND(#REF!&gt;=table!$E$6,#REF!&lt;=table!$F$6),1,0))</f>
        <v>#REF!</v>
      </c>
      <c r="R3816" s="5" t="e">
        <f>IF(AND(#REF!&gt;=table!$C$7,#REF!&lt;= table!$D$7),-1,IF(AND(#REF!&gt;=table!$E$7,#REF!&lt;=table!$F$7),1,0))</f>
        <v>#REF!</v>
      </c>
      <c r="S3816" s="5" t="e">
        <f>IF(AND(#REF!&gt;=table!$C$8,#REF!&lt;= table!$D$8),-1,IF(AND(#REF!&gt;=table!$E$8,#REF!&lt;=table!$F$8),1,0))</f>
        <v>#REF!</v>
      </c>
      <c r="T3816" s="5"/>
      <c r="U3816" s="5" t="e">
        <f>IF(AND(#REF!&gt;=table!$C$10,#REF!&lt;= table!$D$10),-1,IF(AND(#REF!&gt;=table!$E$10,#REF!&lt;=table!$F$10),1,0))</f>
        <v>#REF!</v>
      </c>
      <c r="V3816" s="5" t="e">
        <f>IF(AND(#REF!&gt;=table!$C$11,#REF!&lt;= table!$D$11),-1,IF(AND(#REF!&gt;=table!$E$11,#REF!&lt;=table!$F$11),1,0))</f>
        <v>#REF!</v>
      </c>
      <c r="W3816" s="5" t="e">
        <f>CONCATENATE(dados[[#This Row],[fator1]],dados[[#This Row],[fator5]],dados[[#This Row],[fator6]])</f>
        <v>#REF!</v>
      </c>
    </row>
    <row r="3817" spans="1:23">
      <c r="A3817" t="s">
        <v>17</v>
      </c>
      <c r="B3817">
        <v>588193</v>
      </c>
      <c r="C3817">
        <v>14</v>
      </c>
      <c r="D3817">
        <v>30</v>
      </c>
      <c r="E3817">
        <v>86</v>
      </c>
      <c r="F3817">
        <v>9</v>
      </c>
      <c r="G3817">
        <v>20</v>
      </c>
      <c r="H3817">
        <v>25</v>
      </c>
      <c r="I3817">
        <v>1059</v>
      </c>
      <c r="J3817">
        <v>0</v>
      </c>
      <c r="K3817">
        <v>6.375</v>
      </c>
      <c r="L3817">
        <v>12.35</v>
      </c>
      <c r="M3817">
        <v>67.05</v>
      </c>
      <c r="N3817">
        <v>12.450000000000001</v>
      </c>
      <c r="O3817">
        <v>1677</v>
      </c>
      <c r="P3817">
        <v>0</v>
      </c>
      <c r="Q3817" s="5" t="e">
        <f>IF(AND(#REF!&gt;=table!$C$6,#REF!&lt;= table!$D$6),-1,IF(AND(#REF!&gt;=table!$E$6,#REF!&lt;=table!$F$6),1,0))</f>
        <v>#REF!</v>
      </c>
      <c r="R3817" s="5" t="e">
        <f>IF(AND(#REF!&gt;=table!$C$7,#REF!&lt;= table!$D$7),-1,IF(AND(#REF!&gt;=table!$E$7,#REF!&lt;=table!$F$7),1,0))</f>
        <v>#REF!</v>
      </c>
      <c r="S3817" s="5" t="e">
        <f>IF(AND(#REF!&gt;=table!$C$8,#REF!&lt;= table!$D$8),-1,IF(AND(#REF!&gt;=table!$E$8,#REF!&lt;=table!$F$8),1,0))</f>
        <v>#REF!</v>
      </c>
      <c r="T3817" s="5"/>
      <c r="U3817" s="5" t="e">
        <f>IF(AND(#REF!&gt;=table!$C$10,#REF!&lt;= table!$D$10),-1,IF(AND(#REF!&gt;=table!$E$10,#REF!&lt;=table!$F$10),1,0))</f>
        <v>#REF!</v>
      </c>
      <c r="V3817" s="5" t="e">
        <f>IF(AND(#REF!&gt;=table!$C$11,#REF!&lt;= table!$D$11),-1,IF(AND(#REF!&gt;=table!$E$11,#REF!&lt;=table!$F$11),1,0))</f>
        <v>#REF!</v>
      </c>
      <c r="W3817" s="5" t="e">
        <f>CONCATENATE(dados[[#This Row],[fator1]],dados[[#This Row],[fator5]],dados[[#This Row],[fator6]])</f>
        <v>#REF!</v>
      </c>
    </row>
    <row r="3818" spans="1:23">
      <c r="A3818" t="s">
        <v>17</v>
      </c>
      <c r="B3818">
        <v>588194</v>
      </c>
      <c r="C3818">
        <v>14</v>
      </c>
      <c r="D3818">
        <v>30</v>
      </c>
      <c r="E3818">
        <v>66</v>
      </c>
      <c r="F3818">
        <v>9</v>
      </c>
      <c r="G3818">
        <v>20</v>
      </c>
      <c r="H3818">
        <v>25</v>
      </c>
      <c r="I3818">
        <v>1409</v>
      </c>
      <c r="J3818">
        <v>0</v>
      </c>
      <c r="K3818">
        <v>7.0650000000000004</v>
      </c>
      <c r="L3818">
        <v>11.4</v>
      </c>
      <c r="M3818">
        <v>59.800000000000004</v>
      </c>
      <c r="N3818">
        <v>12.25</v>
      </c>
      <c r="O3818">
        <v>1669</v>
      </c>
      <c r="P3818">
        <v>0</v>
      </c>
      <c r="Q3818" s="5" t="e">
        <f>IF(AND(#REF!&gt;=table!$C$6,#REF!&lt;= table!$D$6),-1,IF(AND(#REF!&gt;=table!$E$6,#REF!&lt;=table!$F$6),1,0))</f>
        <v>#REF!</v>
      </c>
      <c r="R3818" s="5" t="e">
        <f>IF(AND(#REF!&gt;=table!$C$7,#REF!&lt;= table!$D$7),-1,IF(AND(#REF!&gt;=table!$E$7,#REF!&lt;=table!$F$7),1,0))</f>
        <v>#REF!</v>
      </c>
      <c r="S3818" s="5" t="e">
        <f>IF(AND(#REF!&gt;=table!$C$8,#REF!&lt;= table!$D$8),-1,IF(AND(#REF!&gt;=table!$E$8,#REF!&lt;=table!$F$8),1,0))</f>
        <v>#REF!</v>
      </c>
      <c r="T3818" s="5"/>
      <c r="U3818" s="5" t="e">
        <f>IF(AND(#REF!&gt;=table!$C$10,#REF!&lt;= table!$D$10),-1,IF(AND(#REF!&gt;=table!$E$10,#REF!&lt;=table!$F$10),1,0))</f>
        <v>#REF!</v>
      </c>
      <c r="V3818" s="5" t="e">
        <f>IF(AND(#REF!&gt;=table!$C$11,#REF!&lt;= table!$D$11),-1,IF(AND(#REF!&gt;=table!$E$11,#REF!&lt;=table!$F$11),1,0))</f>
        <v>#REF!</v>
      </c>
      <c r="W3818" s="5" t="e">
        <f>CONCATENATE(dados[[#This Row],[fator1]],dados[[#This Row],[fator5]],dados[[#This Row],[fator6]])</f>
        <v>#REF!</v>
      </c>
    </row>
    <row r="3819" spans="1:23">
      <c r="A3819" t="s">
        <v>17</v>
      </c>
      <c r="B3819">
        <v>588197</v>
      </c>
      <c r="C3819">
        <v>14</v>
      </c>
      <c r="D3819">
        <v>30</v>
      </c>
      <c r="E3819">
        <v>66</v>
      </c>
      <c r="F3819">
        <v>9</v>
      </c>
      <c r="G3819">
        <v>20</v>
      </c>
      <c r="H3819">
        <v>25</v>
      </c>
      <c r="I3819">
        <v>0</v>
      </c>
      <c r="J3819">
        <v>0</v>
      </c>
      <c r="K3819">
        <v>2.17</v>
      </c>
      <c r="L3819">
        <v>5.24</v>
      </c>
      <c r="M3819">
        <v>60.42</v>
      </c>
      <c r="N3819">
        <v>18.795000000000002</v>
      </c>
      <c r="O3819">
        <v>1673</v>
      </c>
      <c r="P3819">
        <v>0</v>
      </c>
      <c r="Q3819" s="5" t="e">
        <f>IF(AND(#REF!&gt;=table!$C$6,#REF!&lt;= table!$D$6),-1,IF(AND(#REF!&gt;=table!$E$6,#REF!&lt;=table!$F$6),1,0))</f>
        <v>#REF!</v>
      </c>
      <c r="R3819" s="5" t="e">
        <f>IF(AND(#REF!&gt;=table!$C$7,#REF!&lt;= table!$D$7),-1,IF(AND(#REF!&gt;=table!$E$7,#REF!&lt;=table!$F$7),1,0))</f>
        <v>#REF!</v>
      </c>
      <c r="S3819" s="5" t="e">
        <f>IF(AND(#REF!&gt;=table!$C$8,#REF!&lt;= table!$D$8),-1,IF(AND(#REF!&gt;=table!$E$8,#REF!&lt;=table!$F$8),1,0))</f>
        <v>#REF!</v>
      </c>
      <c r="T3819" s="5"/>
      <c r="U3819" s="5" t="e">
        <f>IF(AND(#REF!&gt;=table!$C$10,#REF!&lt;= table!$D$10),-1,IF(AND(#REF!&gt;=table!$E$10,#REF!&lt;=table!$F$10),1,0))</f>
        <v>#REF!</v>
      </c>
      <c r="V3819" s="5" t="e">
        <f>IF(AND(#REF!&gt;=table!$C$11,#REF!&lt;= table!$D$11),-1,IF(AND(#REF!&gt;=table!$E$11,#REF!&lt;=table!$F$11),1,0))</f>
        <v>#REF!</v>
      </c>
      <c r="W3819" s="5" t="e">
        <f>CONCATENATE(dados[[#This Row],[fator1]],dados[[#This Row],[fator5]],dados[[#This Row],[fator6]])</f>
        <v>#REF!</v>
      </c>
    </row>
    <row r="3820" spans="1:23">
      <c r="A3820" t="s">
        <v>16</v>
      </c>
      <c r="B3820">
        <v>588202</v>
      </c>
      <c r="C3820">
        <v>6</v>
      </c>
      <c r="D3820">
        <v>25</v>
      </c>
      <c r="E3820">
        <v>120</v>
      </c>
      <c r="F3820">
        <v>4</v>
      </c>
      <c r="G3820">
        <v>0</v>
      </c>
      <c r="H3820">
        <v>55</v>
      </c>
      <c r="I3820">
        <v>1113</v>
      </c>
      <c r="J3820">
        <v>0</v>
      </c>
      <c r="K3820">
        <v>2.9450000000000003</v>
      </c>
      <c r="L3820">
        <v>9.3949999999999996</v>
      </c>
      <c r="M3820">
        <v>97.710000000000008</v>
      </c>
      <c r="N3820">
        <v>32.51</v>
      </c>
      <c r="O3820">
        <v>1714</v>
      </c>
      <c r="P3820">
        <v>0</v>
      </c>
      <c r="Q3820" s="5" t="e">
        <f>IF(AND(#REF!&gt;=table!$C$6,#REF!&lt;= table!$D$6),-1,IF(AND(#REF!&gt;=table!$E$6,#REF!&lt;=table!$F$6),1,0))</f>
        <v>#REF!</v>
      </c>
      <c r="R3820" s="5" t="e">
        <f>IF(AND(#REF!&gt;=table!$C$7,#REF!&lt;= table!$D$7),-1,IF(AND(#REF!&gt;=table!$E$7,#REF!&lt;=table!$F$7),1,0))</f>
        <v>#REF!</v>
      </c>
      <c r="S3820" s="5" t="e">
        <f>IF(AND(#REF!&gt;=table!$C$8,#REF!&lt;= table!$D$8),-1,IF(AND(#REF!&gt;=table!$E$8,#REF!&lt;=table!$F$8),1,0))</f>
        <v>#REF!</v>
      </c>
      <c r="T3820" s="5"/>
      <c r="U3820" s="5" t="e">
        <f>IF(AND(#REF!&gt;=table!$C$10,#REF!&lt;= table!$D$10),-1,IF(AND(#REF!&gt;=table!$E$10,#REF!&lt;=table!$F$10),1,0))</f>
        <v>#REF!</v>
      </c>
      <c r="V3820" s="5" t="e">
        <f>IF(AND(#REF!&gt;=table!$C$11,#REF!&lt;= table!$D$11),-1,IF(AND(#REF!&gt;=table!$E$11,#REF!&lt;=table!$F$11),1,0))</f>
        <v>#REF!</v>
      </c>
      <c r="W3820" s="5" t="e">
        <f>CONCATENATE(dados[[#This Row],[fator1]],dados[[#This Row],[fator5]],dados[[#This Row],[fator6]])</f>
        <v>#REF!</v>
      </c>
    </row>
    <row r="3821" spans="1:23">
      <c r="A3821" t="s">
        <v>17</v>
      </c>
      <c r="B3821">
        <v>588207</v>
      </c>
      <c r="C3821">
        <v>14</v>
      </c>
      <c r="D3821">
        <v>30</v>
      </c>
      <c r="E3821">
        <v>66</v>
      </c>
      <c r="F3821">
        <v>9</v>
      </c>
      <c r="G3821">
        <v>20</v>
      </c>
      <c r="H3821">
        <v>25</v>
      </c>
      <c r="I3821">
        <v>7</v>
      </c>
      <c r="J3821">
        <v>0</v>
      </c>
      <c r="K3821">
        <v>6.18</v>
      </c>
      <c r="L3821">
        <v>18.350000000000001</v>
      </c>
      <c r="M3821">
        <v>56.15</v>
      </c>
      <c r="N3821">
        <v>20.45</v>
      </c>
      <c r="O3821">
        <v>1684</v>
      </c>
      <c r="P3821">
        <v>523</v>
      </c>
      <c r="Q3821" s="5" t="e">
        <f>IF(AND(#REF!&gt;=table!$C$6,#REF!&lt;= table!$D$6),-1,IF(AND(#REF!&gt;=table!$E$6,#REF!&lt;=table!$F$6),1,0))</f>
        <v>#REF!</v>
      </c>
      <c r="R3821" s="5" t="e">
        <f>IF(AND(#REF!&gt;=table!$C$7,#REF!&lt;= table!$D$7),-1,IF(AND(#REF!&gt;=table!$E$7,#REF!&lt;=table!$F$7),1,0))</f>
        <v>#REF!</v>
      </c>
      <c r="S3821" s="5" t="e">
        <f>IF(AND(#REF!&gt;=table!$C$8,#REF!&lt;= table!$D$8),-1,IF(AND(#REF!&gt;=table!$E$8,#REF!&lt;=table!$F$8),1,0))</f>
        <v>#REF!</v>
      </c>
      <c r="T3821" s="5"/>
      <c r="U3821" s="5" t="e">
        <f>IF(AND(#REF!&gt;=table!$C$10,#REF!&lt;= table!$D$10),-1,IF(AND(#REF!&gt;=table!$E$10,#REF!&lt;=table!$F$10),1,0))</f>
        <v>#REF!</v>
      </c>
      <c r="V3821" s="5" t="e">
        <f>IF(AND(#REF!&gt;=table!$C$11,#REF!&lt;= table!$D$11),-1,IF(AND(#REF!&gt;=table!$E$11,#REF!&lt;=table!$F$11),1,0))</f>
        <v>#REF!</v>
      </c>
      <c r="W3821" s="5" t="e">
        <f>CONCATENATE(dados[[#This Row],[fator1]],dados[[#This Row],[fator5]],dados[[#This Row],[fator6]])</f>
        <v>#REF!</v>
      </c>
    </row>
    <row r="3822" spans="1:23">
      <c r="A3822" t="s">
        <v>16</v>
      </c>
      <c r="B3822">
        <v>588213</v>
      </c>
      <c r="C3822">
        <v>0.15</v>
      </c>
      <c r="D3822">
        <v>40</v>
      </c>
      <c r="E3822">
        <v>10</v>
      </c>
      <c r="F3822">
        <v>15</v>
      </c>
      <c r="G3822">
        <v>0</v>
      </c>
      <c r="H3822">
        <v>15</v>
      </c>
      <c r="I3822">
        <v>1666</v>
      </c>
      <c r="J3822">
        <v>0</v>
      </c>
      <c r="K3822">
        <v>3.7550000000000003</v>
      </c>
      <c r="L3822">
        <v>11.4</v>
      </c>
      <c r="M3822">
        <v>9.6</v>
      </c>
      <c r="N3822">
        <v>11.950000000000001</v>
      </c>
      <c r="O3822">
        <v>1677</v>
      </c>
      <c r="P3822">
        <v>878</v>
      </c>
      <c r="Q3822" s="5" t="e">
        <f>IF(AND(#REF!&gt;=table!$C$6,#REF!&lt;= table!$D$6),-1,IF(AND(#REF!&gt;=table!$E$6,#REF!&lt;=table!$F$6),1,0))</f>
        <v>#REF!</v>
      </c>
      <c r="R3822" s="5" t="e">
        <f>IF(AND(#REF!&gt;=table!$C$7,#REF!&lt;= table!$D$7),-1,IF(AND(#REF!&gt;=table!$E$7,#REF!&lt;=table!$F$7),1,0))</f>
        <v>#REF!</v>
      </c>
      <c r="S3822" s="5" t="e">
        <f>IF(AND(#REF!&gt;=table!$C$8,#REF!&lt;= table!$D$8),-1,IF(AND(#REF!&gt;=table!$E$8,#REF!&lt;=table!$F$8),1,0))</f>
        <v>#REF!</v>
      </c>
      <c r="T3822" s="5"/>
      <c r="U3822" s="5" t="e">
        <f>IF(AND(#REF!&gt;=table!$C$10,#REF!&lt;= table!$D$10),-1,IF(AND(#REF!&gt;=table!$E$10,#REF!&lt;=table!$F$10),1,0))</f>
        <v>#REF!</v>
      </c>
      <c r="V3822" s="5" t="e">
        <f>IF(AND(#REF!&gt;=table!$C$11,#REF!&lt;= table!$D$11),-1,IF(AND(#REF!&gt;=table!$E$11,#REF!&lt;=table!$F$11),1,0))</f>
        <v>#REF!</v>
      </c>
      <c r="W3822" s="5" t="e">
        <f>CONCATENATE(dados[[#This Row],[fator1]],dados[[#This Row],[fator5]],dados[[#This Row],[fator6]])</f>
        <v>#REF!</v>
      </c>
    </row>
    <row r="3823" spans="1:23">
      <c r="A3823" t="s">
        <v>17</v>
      </c>
      <c r="B3823">
        <v>588222</v>
      </c>
      <c r="C3823">
        <v>28</v>
      </c>
      <c r="D3823">
        <v>25</v>
      </c>
      <c r="E3823">
        <v>116</v>
      </c>
      <c r="F3823">
        <v>6</v>
      </c>
      <c r="G3823">
        <v>13</v>
      </c>
      <c r="H3823">
        <v>25</v>
      </c>
      <c r="I3823">
        <v>482</v>
      </c>
      <c r="J3823">
        <v>0</v>
      </c>
      <c r="K3823">
        <v>2.6150000000000002</v>
      </c>
      <c r="L3823">
        <v>7.73</v>
      </c>
      <c r="M3823">
        <v>102.31</v>
      </c>
      <c r="N3823">
        <v>11.08</v>
      </c>
      <c r="O3823">
        <v>1663</v>
      </c>
      <c r="P3823">
        <v>900</v>
      </c>
      <c r="Q3823" s="5" t="e">
        <f>IF(AND(#REF!&gt;=table!$C$6,#REF!&lt;= table!$D$6),-1,IF(AND(#REF!&gt;=table!$E$6,#REF!&lt;=table!$F$6),1,0))</f>
        <v>#REF!</v>
      </c>
      <c r="R3823" s="5" t="e">
        <f>IF(AND(#REF!&gt;=table!$C$7,#REF!&lt;= table!$D$7),-1,IF(AND(#REF!&gt;=table!$E$7,#REF!&lt;=table!$F$7),1,0))</f>
        <v>#REF!</v>
      </c>
      <c r="S3823" s="5" t="e">
        <f>IF(AND(#REF!&gt;=table!$C$8,#REF!&lt;= table!$D$8),-1,IF(AND(#REF!&gt;=table!$E$8,#REF!&lt;=table!$F$8),1,0))</f>
        <v>#REF!</v>
      </c>
      <c r="T3823" s="5"/>
      <c r="U3823" s="5" t="e">
        <f>IF(AND(#REF!&gt;=table!$C$10,#REF!&lt;= table!$D$10),-1,IF(AND(#REF!&gt;=table!$E$10,#REF!&lt;=table!$F$10),1,0))</f>
        <v>#REF!</v>
      </c>
      <c r="V3823" s="5" t="e">
        <f>IF(AND(#REF!&gt;=table!$C$11,#REF!&lt;= table!$D$11),-1,IF(AND(#REF!&gt;=table!$E$11,#REF!&lt;=table!$F$11),1,0))</f>
        <v>#REF!</v>
      </c>
      <c r="W3823" s="5" t="e">
        <f>CONCATENATE(dados[[#This Row],[fator1]],dados[[#This Row],[fator5]],dados[[#This Row],[fator6]])</f>
        <v>#REF!</v>
      </c>
    </row>
    <row r="3824" spans="1:23">
      <c r="A3824" t="s">
        <v>17</v>
      </c>
      <c r="B3824">
        <v>588223</v>
      </c>
      <c r="C3824">
        <v>28</v>
      </c>
      <c r="D3824">
        <v>25</v>
      </c>
      <c r="E3824">
        <v>116</v>
      </c>
      <c r="F3824">
        <v>6</v>
      </c>
      <c r="G3824">
        <v>13</v>
      </c>
      <c r="H3824">
        <v>25</v>
      </c>
      <c r="I3824">
        <v>1019</v>
      </c>
      <c r="J3824">
        <v>0</v>
      </c>
      <c r="K3824">
        <v>5.2650000000000006</v>
      </c>
      <c r="L3824">
        <v>6.3</v>
      </c>
      <c r="M3824">
        <v>95.2</v>
      </c>
      <c r="N3824">
        <v>11.200000000000001</v>
      </c>
      <c r="O3824">
        <v>1651</v>
      </c>
      <c r="P3824">
        <v>627</v>
      </c>
      <c r="Q3824" s="5" t="e">
        <f>IF(AND(#REF!&gt;=table!$C$6,#REF!&lt;= table!$D$6),-1,IF(AND(#REF!&gt;=table!$E$6,#REF!&lt;=table!$F$6),1,0))</f>
        <v>#REF!</v>
      </c>
      <c r="R3824" s="5" t="e">
        <f>IF(AND(#REF!&gt;=table!$C$7,#REF!&lt;= table!$D$7),-1,IF(AND(#REF!&gt;=table!$E$7,#REF!&lt;=table!$F$7),1,0))</f>
        <v>#REF!</v>
      </c>
      <c r="S3824" s="5" t="e">
        <f>IF(AND(#REF!&gt;=table!$C$8,#REF!&lt;= table!$D$8),-1,IF(AND(#REF!&gt;=table!$E$8,#REF!&lt;=table!$F$8),1,0))</f>
        <v>#REF!</v>
      </c>
      <c r="T3824" s="5"/>
      <c r="U3824" s="5" t="e">
        <f>IF(AND(#REF!&gt;=table!$C$10,#REF!&lt;= table!$D$10),-1,IF(AND(#REF!&gt;=table!$E$10,#REF!&lt;=table!$F$10),1,0))</f>
        <v>#REF!</v>
      </c>
      <c r="V3824" s="5" t="e">
        <f>IF(AND(#REF!&gt;=table!$C$11,#REF!&lt;= table!$D$11),-1,IF(AND(#REF!&gt;=table!$E$11,#REF!&lt;=table!$F$11),1,0))</f>
        <v>#REF!</v>
      </c>
      <c r="W3824" s="5" t="e">
        <f>CONCATENATE(dados[[#This Row],[fator1]],dados[[#This Row],[fator5]],dados[[#This Row],[fator6]])</f>
        <v>#REF!</v>
      </c>
    </row>
    <row r="3825" spans="1:23">
      <c r="A3825" t="s">
        <v>17</v>
      </c>
      <c r="B3825">
        <v>588234</v>
      </c>
      <c r="C3825">
        <v>18</v>
      </c>
      <c r="D3825">
        <v>23</v>
      </c>
      <c r="E3825">
        <v>145</v>
      </c>
      <c r="F3825">
        <v>9</v>
      </c>
      <c r="G3825">
        <v>30</v>
      </c>
      <c r="H3825">
        <v>25</v>
      </c>
      <c r="I3825">
        <v>568</v>
      </c>
      <c r="J3825">
        <v>0</v>
      </c>
      <c r="K3825">
        <v>5.61</v>
      </c>
      <c r="L3825">
        <v>12.8</v>
      </c>
      <c r="M3825">
        <v>60.15</v>
      </c>
      <c r="N3825">
        <v>17.2</v>
      </c>
      <c r="O3825">
        <v>1682</v>
      </c>
      <c r="P3825">
        <v>0</v>
      </c>
      <c r="Q3825" s="5" t="e">
        <f>IF(AND(#REF!&gt;=table!$C$6,#REF!&lt;= table!$D$6),-1,IF(AND(#REF!&gt;=table!$E$6,#REF!&lt;=table!$F$6),1,0))</f>
        <v>#REF!</v>
      </c>
      <c r="R3825" s="5" t="e">
        <f>IF(AND(#REF!&gt;=table!$C$7,#REF!&lt;= table!$D$7),-1,IF(AND(#REF!&gt;=table!$E$7,#REF!&lt;=table!$F$7),1,0))</f>
        <v>#REF!</v>
      </c>
      <c r="S3825" s="5" t="e">
        <f>IF(AND(#REF!&gt;=table!$C$8,#REF!&lt;= table!$D$8),-1,IF(AND(#REF!&gt;=table!$E$8,#REF!&lt;=table!$F$8),1,0))</f>
        <v>#REF!</v>
      </c>
      <c r="T3825" s="5"/>
      <c r="U3825" s="5" t="e">
        <f>IF(AND(#REF!&gt;=table!$C$10,#REF!&lt;= table!$D$10),-1,IF(AND(#REF!&gt;=table!$E$10,#REF!&lt;=table!$F$10),1,0))</f>
        <v>#REF!</v>
      </c>
      <c r="V3825" s="5" t="e">
        <f>IF(AND(#REF!&gt;=table!$C$11,#REF!&lt;= table!$D$11),-1,IF(AND(#REF!&gt;=table!$E$11,#REF!&lt;=table!$F$11),1,0))</f>
        <v>#REF!</v>
      </c>
      <c r="W3825" s="5" t="e">
        <f>CONCATENATE(dados[[#This Row],[fator1]],dados[[#This Row],[fator5]],dados[[#This Row],[fator6]])</f>
        <v>#REF!</v>
      </c>
    </row>
    <row r="3826" spans="1:23">
      <c r="A3826" t="s">
        <v>16</v>
      </c>
      <c r="B3826">
        <v>588235</v>
      </c>
      <c r="C3826">
        <v>7</v>
      </c>
      <c r="D3826">
        <v>35</v>
      </c>
      <c r="E3826">
        <v>170</v>
      </c>
      <c r="F3826">
        <v>6</v>
      </c>
      <c r="G3826">
        <v>0</v>
      </c>
      <c r="H3826">
        <v>20</v>
      </c>
      <c r="I3826">
        <v>472</v>
      </c>
      <c r="J3826">
        <v>0</v>
      </c>
      <c r="K3826">
        <v>2.6</v>
      </c>
      <c r="L3826">
        <v>4.5</v>
      </c>
      <c r="M3826">
        <v>138.20000000000002</v>
      </c>
      <c r="N3826">
        <v>16.3</v>
      </c>
      <c r="O3826">
        <v>1713</v>
      </c>
      <c r="P3826">
        <v>2001</v>
      </c>
      <c r="Q3826" s="5" t="e">
        <f>IF(AND(#REF!&gt;=table!$C$6,#REF!&lt;= table!$D$6),-1,IF(AND(#REF!&gt;=table!$E$6,#REF!&lt;=table!$F$6),1,0))</f>
        <v>#REF!</v>
      </c>
      <c r="R3826" s="5" t="e">
        <f>IF(AND(#REF!&gt;=table!$C$7,#REF!&lt;= table!$D$7),-1,IF(AND(#REF!&gt;=table!$E$7,#REF!&lt;=table!$F$7),1,0))</f>
        <v>#REF!</v>
      </c>
      <c r="S3826" s="5" t="e">
        <f>IF(AND(#REF!&gt;=table!$C$8,#REF!&lt;= table!$D$8),-1,IF(AND(#REF!&gt;=table!$E$8,#REF!&lt;=table!$F$8),1,0))</f>
        <v>#REF!</v>
      </c>
      <c r="T3826" s="5"/>
      <c r="U3826" s="5" t="e">
        <f>IF(AND(#REF!&gt;=table!$C$10,#REF!&lt;= table!$D$10),-1,IF(AND(#REF!&gt;=table!$E$10,#REF!&lt;=table!$F$10),1,0))</f>
        <v>#REF!</v>
      </c>
      <c r="V3826" s="5" t="e">
        <f>IF(AND(#REF!&gt;=table!$C$11,#REF!&lt;= table!$D$11),-1,IF(AND(#REF!&gt;=table!$E$11,#REF!&lt;=table!$F$11),1,0))</f>
        <v>#REF!</v>
      </c>
      <c r="W3826" s="5" t="e">
        <f>CONCATENATE(dados[[#This Row],[fator1]],dados[[#This Row],[fator5]],dados[[#This Row],[fator6]])</f>
        <v>#REF!</v>
      </c>
    </row>
    <row r="3827" spans="1:23">
      <c r="A3827" t="s">
        <v>16</v>
      </c>
      <c r="B3827">
        <v>588243</v>
      </c>
      <c r="C3827">
        <v>0.15</v>
      </c>
      <c r="D3827">
        <v>40</v>
      </c>
      <c r="E3827">
        <v>10</v>
      </c>
      <c r="F3827">
        <v>15</v>
      </c>
      <c r="G3827">
        <v>0</v>
      </c>
      <c r="H3827">
        <v>15</v>
      </c>
      <c r="I3827">
        <v>903</v>
      </c>
      <c r="J3827">
        <v>0</v>
      </c>
      <c r="K3827">
        <v>4.03</v>
      </c>
      <c r="L3827">
        <v>9.65</v>
      </c>
      <c r="M3827">
        <v>8</v>
      </c>
      <c r="N3827">
        <v>11.3</v>
      </c>
      <c r="O3827">
        <v>1665</v>
      </c>
      <c r="P3827">
        <v>0</v>
      </c>
      <c r="Q3827" s="5" t="e">
        <f>IF(AND(#REF!&gt;=table!$C$6,#REF!&lt;= table!$D$6),-1,IF(AND(#REF!&gt;=table!$E$6,#REF!&lt;=table!$F$6),1,0))</f>
        <v>#REF!</v>
      </c>
      <c r="R3827" s="5" t="e">
        <f>IF(AND(#REF!&gt;=table!$C$7,#REF!&lt;= table!$D$7),-1,IF(AND(#REF!&gt;=table!$E$7,#REF!&lt;=table!$F$7),1,0))</f>
        <v>#REF!</v>
      </c>
      <c r="S3827" s="5" t="e">
        <f>IF(AND(#REF!&gt;=table!$C$8,#REF!&lt;= table!$D$8),-1,IF(AND(#REF!&gt;=table!$E$8,#REF!&lt;=table!$F$8),1,0))</f>
        <v>#REF!</v>
      </c>
      <c r="T3827" s="5"/>
      <c r="U3827" s="5" t="e">
        <f>IF(AND(#REF!&gt;=table!$C$10,#REF!&lt;= table!$D$10),-1,IF(AND(#REF!&gt;=table!$E$10,#REF!&lt;=table!$F$10),1,0))</f>
        <v>#REF!</v>
      </c>
      <c r="V3827" s="5" t="e">
        <f>IF(AND(#REF!&gt;=table!$C$11,#REF!&lt;= table!$D$11),-1,IF(AND(#REF!&gt;=table!$E$11,#REF!&lt;=table!$F$11),1,0))</f>
        <v>#REF!</v>
      </c>
      <c r="W3827" s="5" t="e">
        <f>CONCATENATE(dados[[#This Row],[fator1]],dados[[#This Row],[fator5]],dados[[#This Row],[fator6]])</f>
        <v>#REF!</v>
      </c>
    </row>
    <row r="3828" spans="1:23">
      <c r="A3828" t="s">
        <v>16</v>
      </c>
      <c r="B3828">
        <v>588244</v>
      </c>
      <c r="C3828">
        <v>9</v>
      </c>
      <c r="D3828">
        <v>30</v>
      </c>
      <c r="E3828">
        <v>146</v>
      </c>
      <c r="F3828">
        <v>4</v>
      </c>
      <c r="G3828">
        <v>0</v>
      </c>
      <c r="H3828">
        <v>25</v>
      </c>
      <c r="I3828">
        <v>434</v>
      </c>
      <c r="J3828">
        <v>0</v>
      </c>
      <c r="K3828">
        <v>4.9550000000000001</v>
      </c>
      <c r="L3828">
        <v>12.85</v>
      </c>
      <c r="M3828">
        <v>133.07500000000002</v>
      </c>
      <c r="N3828">
        <v>15.635000000000002</v>
      </c>
      <c r="O3828">
        <v>1671</v>
      </c>
      <c r="P3828">
        <v>0</v>
      </c>
      <c r="Q3828" s="5" t="e">
        <f>IF(AND(#REF!&gt;=table!$C$6,#REF!&lt;= table!$D$6),-1,IF(AND(#REF!&gt;=table!$E$6,#REF!&lt;=table!$F$6),1,0))</f>
        <v>#REF!</v>
      </c>
      <c r="R3828" s="5" t="e">
        <f>IF(AND(#REF!&gt;=table!$C$7,#REF!&lt;= table!$D$7),-1,IF(AND(#REF!&gt;=table!$E$7,#REF!&lt;=table!$F$7),1,0))</f>
        <v>#REF!</v>
      </c>
      <c r="S3828" s="5" t="e">
        <f>IF(AND(#REF!&gt;=table!$C$8,#REF!&lt;= table!$D$8),-1,IF(AND(#REF!&gt;=table!$E$8,#REF!&lt;=table!$F$8),1,0))</f>
        <v>#REF!</v>
      </c>
      <c r="T3828" s="5"/>
      <c r="U3828" s="5" t="e">
        <f>IF(AND(#REF!&gt;=table!$C$10,#REF!&lt;= table!$D$10),-1,IF(AND(#REF!&gt;=table!$E$10,#REF!&lt;=table!$F$10),1,0))</f>
        <v>#REF!</v>
      </c>
      <c r="V3828" s="5" t="e">
        <f>IF(AND(#REF!&gt;=table!$C$11,#REF!&lt;= table!$D$11),-1,IF(AND(#REF!&gt;=table!$E$11,#REF!&lt;=table!$F$11),1,0))</f>
        <v>#REF!</v>
      </c>
      <c r="W3828" s="5" t="e">
        <f>CONCATENATE(dados[[#This Row],[fator1]],dados[[#This Row],[fator5]],dados[[#This Row],[fator6]])</f>
        <v>#REF!</v>
      </c>
    </row>
    <row r="3829" spans="1:23">
      <c r="A3829" t="s">
        <v>16</v>
      </c>
      <c r="B3829">
        <v>588247</v>
      </c>
      <c r="C3829">
        <v>0.15</v>
      </c>
      <c r="D3829">
        <v>40</v>
      </c>
      <c r="E3829">
        <v>10</v>
      </c>
      <c r="F3829">
        <v>15</v>
      </c>
      <c r="G3829">
        <v>0</v>
      </c>
      <c r="H3829">
        <v>15</v>
      </c>
      <c r="I3829">
        <v>18</v>
      </c>
      <c r="J3829">
        <v>0</v>
      </c>
      <c r="K3829">
        <v>3.48</v>
      </c>
      <c r="L3829">
        <v>11.5</v>
      </c>
      <c r="M3829">
        <v>10.15</v>
      </c>
      <c r="N3829">
        <v>15.75</v>
      </c>
      <c r="O3829">
        <v>1683</v>
      </c>
      <c r="P3829">
        <v>1031</v>
      </c>
      <c r="Q3829" s="5" t="e">
        <f>IF(AND(#REF!&gt;=table!$C$6,#REF!&lt;= table!$D$6),-1,IF(AND(#REF!&gt;=table!$E$6,#REF!&lt;=table!$F$6),1,0))</f>
        <v>#REF!</v>
      </c>
      <c r="R3829" s="5" t="e">
        <f>IF(AND(#REF!&gt;=table!$C$7,#REF!&lt;= table!$D$7),-1,IF(AND(#REF!&gt;=table!$E$7,#REF!&lt;=table!$F$7),1,0))</f>
        <v>#REF!</v>
      </c>
      <c r="S3829" s="5" t="e">
        <f>IF(AND(#REF!&gt;=table!$C$8,#REF!&lt;= table!$D$8),-1,IF(AND(#REF!&gt;=table!$E$8,#REF!&lt;=table!$F$8),1,0))</f>
        <v>#REF!</v>
      </c>
      <c r="T3829" s="5"/>
      <c r="U3829" s="5" t="e">
        <f>IF(AND(#REF!&gt;=table!$C$10,#REF!&lt;= table!$D$10),-1,IF(AND(#REF!&gt;=table!$E$10,#REF!&lt;=table!$F$10),1,0))</f>
        <v>#REF!</v>
      </c>
      <c r="V3829" s="5" t="e">
        <f>IF(AND(#REF!&gt;=table!$C$11,#REF!&lt;= table!$D$11),-1,IF(AND(#REF!&gt;=table!$E$11,#REF!&lt;=table!$F$11),1,0))</f>
        <v>#REF!</v>
      </c>
      <c r="W3829" s="5" t="e">
        <f>CONCATENATE(dados[[#This Row],[fator1]],dados[[#This Row],[fator5]],dados[[#This Row],[fator6]])</f>
        <v>#REF!</v>
      </c>
    </row>
    <row r="3830" spans="1:23">
      <c r="A3830" t="s">
        <v>16</v>
      </c>
      <c r="B3830">
        <v>588249</v>
      </c>
      <c r="C3830">
        <v>0.15</v>
      </c>
      <c r="D3830">
        <v>40</v>
      </c>
      <c r="E3830">
        <v>10</v>
      </c>
      <c r="F3830">
        <v>15</v>
      </c>
      <c r="G3830">
        <v>0</v>
      </c>
      <c r="H3830">
        <v>15</v>
      </c>
      <c r="I3830">
        <v>1049</v>
      </c>
      <c r="J3830">
        <v>0</v>
      </c>
      <c r="K3830">
        <v>10.46</v>
      </c>
      <c r="L3830">
        <v>12.55</v>
      </c>
      <c r="M3830">
        <v>12.035</v>
      </c>
      <c r="N3830">
        <v>12.725000000000001</v>
      </c>
      <c r="O3830">
        <v>1677</v>
      </c>
      <c r="P3830">
        <v>0</v>
      </c>
      <c r="Q3830" s="5" t="e">
        <f>IF(AND(#REF!&gt;=table!$C$6,#REF!&lt;= table!$D$6),-1,IF(AND(#REF!&gt;=table!$E$6,#REF!&lt;=table!$F$6),1,0))</f>
        <v>#REF!</v>
      </c>
      <c r="R3830" s="5" t="e">
        <f>IF(AND(#REF!&gt;=table!$C$7,#REF!&lt;= table!$D$7),-1,IF(AND(#REF!&gt;=table!$E$7,#REF!&lt;=table!$F$7),1,0))</f>
        <v>#REF!</v>
      </c>
      <c r="S3830" s="5" t="e">
        <f>IF(AND(#REF!&gt;=table!$C$8,#REF!&lt;= table!$D$8),-1,IF(AND(#REF!&gt;=table!$E$8,#REF!&lt;=table!$F$8),1,0))</f>
        <v>#REF!</v>
      </c>
      <c r="T3830" s="5"/>
      <c r="U3830" s="5" t="e">
        <f>IF(AND(#REF!&gt;=table!$C$10,#REF!&lt;= table!$D$10),-1,IF(AND(#REF!&gt;=table!$E$10,#REF!&lt;=table!$F$10),1,0))</f>
        <v>#REF!</v>
      </c>
      <c r="V3830" s="5" t="e">
        <f>IF(AND(#REF!&gt;=table!$C$11,#REF!&lt;= table!$D$11),-1,IF(AND(#REF!&gt;=table!$E$11,#REF!&lt;=table!$F$11),1,0))</f>
        <v>#REF!</v>
      </c>
      <c r="W3830" s="5" t="e">
        <f>CONCATENATE(dados[[#This Row],[fator1]],dados[[#This Row],[fator5]],dados[[#This Row],[fator6]])</f>
        <v>#REF!</v>
      </c>
    </row>
    <row r="3831" spans="1:23">
      <c r="A3831" t="s">
        <v>16</v>
      </c>
      <c r="B3831">
        <v>588252</v>
      </c>
      <c r="C3831">
        <v>0.1</v>
      </c>
      <c r="D3831">
        <v>40</v>
      </c>
      <c r="E3831">
        <v>10</v>
      </c>
      <c r="F3831">
        <v>8</v>
      </c>
      <c r="G3831">
        <v>0</v>
      </c>
      <c r="H3831">
        <v>10</v>
      </c>
      <c r="I3831">
        <v>628</v>
      </c>
      <c r="J3831">
        <v>0</v>
      </c>
      <c r="K3831">
        <v>7.9250000000000007</v>
      </c>
      <c r="L3831">
        <v>10.55</v>
      </c>
      <c r="M3831">
        <v>8.9</v>
      </c>
      <c r="N3831">
        <v>8.4499999999999993</v>
      </c>
      <c r="O3831">
        <v>1661</v>
      </c>
      <c r="P3831">
        <v>481</v>
      </c>
      <c r="Q3831" s="5" t="e">
        <f>IF(AND(#REF!&gt;=table!$C$6,#REF!&lt;= table!$D$6),-1,IF(AND(#REF!&gt;=table!$E$6,#REF!&lt;=table!$F$6),1,0))</f>
        <v>#REF!</v>
      </c>
      <c r="R3831" s="5" t="e">
        <f>IF(AND(#REF!&gt;=table!$C$7,#REF!&lt;= table!$D$7),-1,IF(AND(#REF!&gt;=table!$E$7,#REF!&lt;=table!$F$7),1,0))</f>
        <v>#REF!</v>
      </c>
      <c r="S3831" s="5" t="e">
        <f>IF(AND(#REF!&gt;=table!$C$8,#REF!&lt;= table!$D$8),-1,IF(AND(#REF!&gt;=table!$E$8,#REF!&lt;=table!$F$8),1,0))</f>
        <v>#REF!</v>
      </c>
      <c r="T3831" s="5"/>
      <c r="U3831" s="5" t="e">
        <f>IF(AND(#REF!&gt;=table!$C$10,#REF!&lt;= table!$D$10),-1,IF(AND(#REF!&gt;=table!$E$10,#REF!&lt;=table!$F$10),1,0))</f>
        <v>#REF!</v>
      </c>
      <c r="V3831" s="5" t="e">
        <f>IF(AND(#REF!&gt;=table!$C$11,#REF!&lt;= table!$D$11),-1,IF(AND(#REF!&gt;=table!$E$11,#REF!&lt;=table!$F$11),1,0))</f>
        <v>#REF!</v>
      </c>
      <c r="W3831" s="5" t="e">
        <f>CONCATENATE(dados[[#This Row],[fator1]],dados[[#This Row],[fator5]],dados[[#This Row],[fator6]])</f>
        <v>#REF!</v>
      </c>
    </row>
    <row r="3832" spans="1:23">
      <c r="A3832" t="s">
        <v>16</v>
      </c>
      <c r="B3832">
        <v>588267</v>
      </c>
      <c r="C3832">
        <v>0.15</v>
      </c>
      <c r="D3832">
        <v>40</v>
      </c>
      <c r="E3832">
        <v>10</v>
      </c>
      <c r="F3832">
        <v>15</v>
      </c>
      <c r="G3832">
        <v>0</v>
      </c>
      <c r="H3832">
        <v>15</v>
      </c>
      <c r="I3832">
        <v>399</v>
      </c>
      <c r="J3832">
        <v>0</v>
      </c>
      <c r="K3832">
        <v>2.96</v>
      </c>
      <c r="L3832">
        <v>8.25</v>
      </c>
      <c r="M3832">
        <v>6.25</v>
      </c>
      <c r="N3832">
        <v>14.700000000000001</v>
      </c>
      <c r="O3832">
        <v>1690</v>
      </c>
      <c r="P3832">
        <v>0</v>
      </c>
      <c r="Q3832" s="5" t="e">
        <f>IF(AND(#REF!&gt;=table!$C$6,#REF!&lt;= table!$D$6),-1,IF(AND(#REF!&gt;=table!$E$6,#REF!&lt;=table!$F$6),1,0))</f>
        <v>#REF!</v>
      </c>
      <c r="R3832" s="5" t="e">
        <f>IF(AND(#REF!&gt;=table!$C$7,#REF!&lt;= table!$D$7),-1,IF(AND(#REF!&gt;=table!$E$7,#REF!&lt;=table!$F$7),1,0))</f>
        <v>#REF!</v>
      </c>
      <c r="S3832" s="5" t="e">
        <f>IF(AND(#REF!&gt;=table!$C$8,#REF!&lt;= table!$D$8),-1,IF(AND(#REF!&gt;=table!$E$8,#REF!&lt;=table!$F$8),1,0))</f>
        <v>#REF!</v>
      </c>
      <c r="T3832" s="5"/>
      <c r="U3832" s="5" t="e">
        <f>IF(AND(#REF!&gt;=table!$C$10,#REF!&lt;= table!$D$10),-1,IF(AND(#REF!&gt;=table!$E$10,#REF!&lt;=table!$F$10),1,0))</f>
        <v>#REF!</v>
      </c>
      <c r="V3832" s="5" t="e">
        <f>IF(AND(#REF!&gt;=table!$C$11,#REF!&lt;= table!$D$11),-1,IF(AND(#REF!&gt;=table!$E$11,#REF!&lt;=table!$F$11),1,0))</f>
        <v>#REF!</v>
      </c>
      <c r="W3832" s="5" t="e">
        <f>CONCATENATE(dados[[#This Row],[fator1]],dados[[#This Row],[fator5]],dados[[#This Row],[fator6]])</f>
        <v>#REF!</v>
      </c>
    </row>
    <row r="3833" spans="1:23">
      <c r="A3833" t="s">
        <v>17</v>
      </c>
      <c r="B3833">
        <v>588272</v>
      </c>
      <c r="C3833">
        <v>20</v>
      </c>
      <c r="D3833">
        <v>33</v>
      </c>
      <c r="E3833">
        <v>66</v>
      </c>
      <c r="F3833">
        <v>4</v>
      </c>
      <c r="G3833">
        <v>20</v>
      </c>
      <c r="H3833">
        <v>25</v>
      </c>
      <c r="I3833">
        <v>19</v>
      </c>
      <c r="J3833">
        <v>0</v>
      </c>
      <c r="K3833">
        <v>3.5950000000000002</v>
      </c>
      <c r="L3833">
        <v>8.35</v>
      </c>
      <c r="M3833">
        <v>57.15</v>
      </c>
      <c r="N3833">
        <v>14.4</v>
      </c>
      <c r="O3833">
        <v>1652</v>
      </c>
      <c r="P3833">
        <v>0</v>
      </c>
      <c r="Q3833" s="5" t="e">
        <f>IF(AND(#REF!&gt;=table!$C$6,#REF!&lt;= table!$D$6),-1,IF(AND(#REF!&gt;=table!$E$6,#REF!&lt;=table!$F$6),1,0))</f>
        <v>#REF!</v>
      </c>
      <c r="R3833" s="5" t="e">
        <f>IF(AND(#REF!&gt;=table!$C$7,#REF!&lt;= table!$D$7),-1,IF(AND(#REF!&gt;=table!$E$7,#REF!&lt;=table!$F$7),1,0))</f>
        <v>#REF!</v>
      </c>
      <c r="S3833" s="5" t="e">
        <f>IF(AND(#REF!&gt;=table!$C$8,#REF!&lt;= table!$D$8),-1,IF(AND(#REF!&gt;=table!$E$8,#REF!&lt;=table!$F$8),1,0))</f>
        <v>#REF!</v>
      </c>
      <c r="T3833" s="5"/>
      <c r="U3833" s="5" t="e">
        <f>IF(AND(#REF!&gt;=table!$C$10,#REF!&lt;= table!$D$10),-1,IF(AND(#REF!&gt;=table!$E$10,#REF!&lt;=table!$F$10),1,0))</f>
        <v>#REF!</v>
      </c>
      <c r="V3833" s="5" t="e">
        <f>IF(AND(#REF!&gt;=table!$C$11,#REF!&lt;= table!$D$11),-1,IF(AND(#REF!&gt;=table!$E$11,#REF!&lt;=table!$F$11),1,0))</f>
        <v>#REF!</v>
      </c>
      <c r="W3833" s="5" t="e">
        <f>CONCATENATE(dados[[#This Row],[fator1]],dados[[#This Row],[fator5]],dados[[#This Row],[fator6]])</f>
        <v>#REF!</v>
      </c>
    </row>
    <row r="3834" spans="1:23">
      <c r="A3834" t="s">
        <v>17</v>
      </c>
      <c r="B3834">
        <v>588273</v>
      </c>
      <c r="C3834">
        <v>20</v>
      </c>
      <c r="D3834">
        <v>33</v>
      </c>
      <c r="E3834">
        <v>66</v>
      </c>
      <c r="F3834">
        <v>4</v>
      </c>
      <c r="G3834">
        <v>20</v>
      </c>
      <c r="H3834">
        <v>25</v>
      </c>
      <c r="I3834">
        <v>40</v>
      </c>
      <c r="J3834">
        <v>0</v>
      </c>
      <c r="K3834">
        <v>4.53</v>
      </c>
      <c r="L3834">
        <v>11.8</v>
      </c>
      <c r="M3834">
        <v>59.515000000000001</v>
      </c>
      <c r="N3834">
        <v>17.580000000000002</v>
      </c>
      <c r="O3834">
        <v>1691</v>
      </c>
      <c r="P3834">
        <v>0</v>
      </c>
      <c r="Q3834" s="5" t="e">
        <f>IF(AND(#REF!&gt;=table!$C$6,#REF!&lt;= table!$D$6),-1,IF(AND(#REF!&gt;=table!$E$6,#REF!&lt;=table!$F$6),1,0))</f>
        <v>#REF!</v>
      </c>
      <c r="R3834" s="5" t="e">
        <f>IF(AND(#REF!&gt;=table!$C$7,#REF!&lt;= table!$D$7),-1,IF(AND(#REF!&gt;=table!$E$7,#REF!&lt;=table!$F$7),1,0))</f>
        <v>#REF!</v>
      </c>
      <c r="S3834" s="5" t="e">
        <f>IF(AND(#REF!&gt;=table!$C$8,#REF!&lt;= table!$D$8),-1,IF(AND(#REF!&gt;=table!$E$8,#REF!&lt;=table!$F$8),1,0))</f>
        <v>#REF!</v>
      </c>
      <c r="T3834" s="5"/>
      <c r="U3834" s="5" t="e">
        <f>IF(AND(#REF!&gt;=table!$C$10,#REF!&lt;= table!$D$10),-1,IF(AND(#REF!&gt;=table!$E$10,#REF!&lt;=table!$F$10),1,0))</f>
        <v>#REF!</v>
      </c>
      <c r="V3834" s="5" t="e">
        <f>IF(AND(#REF!&gt;=table!$C$11,#REF!&lt;= table!$D$11),-1,IF(AND(#REF!&gt;=table!$E$11,#REF!&lt;=table!$F$11),1,0))</f>
        <v>#REF!</v>
      </c>
      <c r="W3834" s="5" t="e">
        <f>CONCATENATE(dados[[#This Row],[fator1]],dados[[#This Row],[fator5]],dados[[#This Row],[fator6]])</f>
        <v>#REF!</v>
      </c>
    </row>
    <row r="3835" spans="1:23">
      <c r="A3835" t="s">
        <v>16</v>
      </c>
      <c r="B3835">
        <v>588275</v>
      </c>
      <c r="C3835">
        <v>0.19</v>
      </c>
      <c r="D3835">
        <v>50</v>
      </c>
      <c r="E3835">
        <v>56</v>
      </c>
      <c r="F3835">
        <v>15</v>
      </c>
      <c r="G3835">
        <v>0</v>
      </c>
      <c r="H3835">
        <v>50</v>
      </c>
      <c r="I3835">
        <v>195</v>
      </c>
      <c r="J3835">
        <v>0</v>
      </c>
      <c r="K3835">
        <v>2.7350000000000003</v>
      </c>
      <c r="L3835">
        <v>5.9</v>
      </c>
      <c r="M3835">
        <v>5.05</v>
      </c>
      <c r="N3835">
        <v>10.200000000000001</v>
      </c>
      <c r="O3835">
        <v>1660</v>
      </c>
      <c r="P3835">
        <v>1562</v>
      </c>
      <c r="Q3835" s="5" t="e">
        <f>IF(AND(#REF!&gt;=table!$C$6,#REF!&lt;= table!$D$6),-1,IF(AND(#REF!&gt;=table!$E$6,#REF!&lt;=table!$F$6),1,0))</f>
        <v>#REF!</v>
      </c>
      <c r="R3835" s="5" t="e">
        <f>IF(AND(#REF!&gt;=table!$C$7,#REF!&lt;= table!$D$7),-1,IF(AND(#REF!&gt;=table!$E$7,#REF!&lt;=table!$F$7),1,0))</f>
        <v>#REF!</v>
      </c>
      <c r="S3835" s="5" t="e">
        <f>IF(AND(#REF!&gt;=table!$C$8,#REF!&lt;= table!$D$8),-1,IF(AND(#REF!&gt;=table!$E$8,#REF!&lt;=table!$F$8),1,0))</f>
        <v>#REF!</v>
      </c>
      <c r="T3835" s="5"/>
      <c r="U3835" s="5" t="e">
        <f>IF(AND(#REF!&gt;=table!$C$10,#REF!&lt;= table!$D$10),-1,IF(AND(#REF!&gt;=table!$E$10,#REF!&lt;=table!$F$10),1,0))</f>
        <v>#REF!</v>
      </c>
      <c r="V3835" s="5" t="e">
        <f>IF(AND(#REF!&gt;=table!$C$11,#REF!&lt;= table!$D$11),-1,IF(AND(#REF!&gt;=table!$E$11,#REF!&lt;=table!$F$11),1,0))</f>
        <v>#REF!</v>
      </c>
      <c r="W3835" s="5" t="e">
        <f>CONCATENATE(dados[[#This Row],[fator1]],dados[[#This Row],[fator5]],dados[[#This Row],[fator6]])</f>
        <v>#REF!</v>
      </c>
    </row>
    <row r="3836" spans="1:23">
      <c r="A3836" t="s">
        <v>16</v>
      </c>
      <c r="B3836">
        <v>588276</v>
      </c>
      <c r="C3836">
        <v>0.18</v>
      </c>
      <c r="D3836">
        <v>50</v>
      </c>
      <c r="E3836">
        <v>56</v>
      </c>
      <c r="F3836">
        <v>15</v>
      </c>
      <c r="G3836">
        <v>0</v>
      </c>
      <c r="H3836">
        <v>50</v>
      </c>
      <c r="I3836">
        <v>457</v>
      </c>
      <c r="J3836">
        <v>0</v>
      </c>
      <c r="K3836">
        <v>4.9950000000000001</v>
      </c>
      <c r="L3836">
        <v>11.25</v>
      </c>
      <c r="M3836">
        <v>9.9</v>
      </c>
      <c r="N3836">
        <v>12.5</v>
      </c>
      <c r="O3836">
        <v>1681</v>
      </c>
      <c r="P3836">
        <v>0</v>
      </c>
      <c r="Q3836" s="5" t="e">
        <f>IF(AND(#REF!&gt;=table!$C$6,#REF!&lt;= table!$D$6),-1,IF(AND(#REF!&gt;=table!$E$6,#REF!&lt;=table!$F$6),1,0))</f>
        <v>#REF!</v>
      </c>
      <c r="R3836" s="5" t="e">
        <f>IF(AND(#REF!&gt;=table!$C$7,#REF!&lt;= table!$D$7),-1,IF(AND(#REF!&gt;=table!$E$7,#REF!&lt;=table!$F$7),1,0))</f>
        <v>#REF!</v>
      </c>
      <c r="S3836" s="5" t="e">
        <f>IF(AND(#REF!&gt;=table!$C$8,#REF!&lt;= table!$D$8),-1,IF(AND(#REF!&gt;=table!$E$8,#REF!&lt;=table!$F$8),1,0))</f>
        <v>#REF!</v>
      </c>
      <c r="T3836" s="5"/>
      <c r="U3836" s="5" t="e">
        <f>IF(AND(#REF!&gt;=table!$C$10,#REF!&lt;= table!$D$10),-1,IF(AND(#REF!&gt;=table!$E$10,#REF!&lt;=table!$F$10),1,0))</f>
        <v>#REF!</v>
      </c>
      <c r="V3836" s="5" t="e">
        <f>IF(AND(#REF!&gt;=table!$C$11,#REF!&lt;= table!$D$11),-1,IF(AND(#REF!&gt;=table!$E$11,#REF!&lt;=table!$F$11),1,0))</f>
        <v>#REF!</v>
      </c>
      <c r="W3836" s="5" t="e">
        <f>CONCATENATE(dados[[#This Row],[fator1]],dados[[#This Row],[fator5]],dados[[#This Row],[fator6]])</f>
        <v>#REF!</v>
      </c>
    </row>
    <row r="3837" spans="1:23">
      <c r="A3837" t="s">
        <v>16</v>
      </c>
      <c r="B3837">
        <v>588280</v>
      </c>
      <c r="C3837">
        <v>0.15</v>
      </c>
      <c r="D3837">
        <v>40</v>
      </c>
      <c r="E3837">
        <v>64</v>
      </c>
      <c r="F3837">
        <v>10</v>
      </c>
      <c r="G3837">
        <v>0</v>
      </c>
      <c r="H3837">
        <v>35</v>
      </c>
      <c r="I3837">
        <v>1484</v>
      </c>
      <c r="J3837">
        <v>0</v>
      </c>
      <c r="K3837">
        <v>2.35</v>
      </c>
      <c r="L3837">
        <v>7.05</v>
      </c>
      <c r="M3837">
        <v>6.75</v>
      </c>
      <c r="N3837">
        <v>14.5</v>
      </c>
      <c r="O3837">
        <v>1691</v>
      </c>
      <c r="P3837">
        <v>0</v>
      </c>
      <c r="Q3837" s="5" t="e">
        <f>IF(AND(#REF!&gt;=table!$C$6,#REF!&lt;= table!$D$6),-1,IF(AND(#REF!&gt;=table!$E$6,#REF!&lt;=table!$F$6),1,0))</f>
        <v>#REF!</v>
      </c>
      <c r="R3837" s="5" t="e">
        <f>IF(AND(#REF!&gt;=table!$C$7,#REF!&lt;= table!$D$7),-1,IF(AND(#REF!&gt;=table!$E$7,#REF!&lt;=table!$F$7),1,0))</f>
        <v>#REF!</v>
      </c>
      <c r="S3837" s="5" t="e">
        <f>IF(AND(#REF!&gt;=table!$C$8,#REF!&lt;= table!$D$8),-1,IF(AND(#REF!&gt;=table!$E$8,#REF!&lt;=table!$F$8),1,0))</f>
        <v>#REF!</v>
      </c>
      <c r="T3837" s="5"/>
      <c r="U3837" s="5" t="e">
        <f>IF(AND(#REF!&gt;=table!$C$10,#REF!&lt;= table!$D$10),-1,IF(AND(#REF!&gt;=table!$E$10,#REF!&lt;=table!$F$10),1,0))</f>
        <v>#REF!</v>
      </c>
      <c r="V3837" s="5" t="e">
        <f>IF(AND(#REF!&gt;=table!$C$11,#REF!&lt;= table!$D$11),-1,IF(AND(#REF!&gt;=table!$E$11,#REF!&lt;=table!$F$11),1,0))</f>
        <v>#REF!</v>
      </c>
      <c r="W3837" s="5" t="e">
        <f>CONCATENATE(dados[[#This Row],[fator1]],dados[[#This Row],[fator5]],dados[[#This Row],[fator6]])</f>
        <v>#REF!</v>
      </c>
    </row>
    <row r="3838" spans="1:23">
      <c r="A3838" t="s">
        <v>17</v>
      </c>
      <c r="B3838">
        <v>588284</v>
      </c>
      <c r="C3838">
        <v>18</v>
      </c>
      <c r="D3838">
        <v>30</v>
      </c>
      <c r="E3838">
        <v>136</v>
      </c>
      <c r="F3838">
        <v>3</v>
      </c>
      <c r="G3838">
        <v>20</v>
      </c>
      <c r="H3838">
        <v>25</v>
      </c>
      <c r="I3838">
        <v>2</v>
      </c>
      <c r="J3838">
        <v>0</v>
      </c>
      <c r="K3838">
        <v>3.7750000000000004</v>
      </c>
      <c r="L3838">
        <v>11.1</v>
      </c>
      <c r="M3838">
        <v>62.050000000000004</v>
      </c>
      <c r="N3838">
        <v>14.75</v>
      </c>
      <c r="O3838">
        <v>1683</v>
      </c>
      <c r="P3838">
        <v>1045</v>
      </c>
      <c r="Q3838" s="5" t="e">
        <f>IF(AND(#REF!&gt;=table!$C$6,#REF!&lt;= table!$D$6),-1,IF(AND(#REF!&gt;=table!$E$6,#REF!&lt;=table!$F$6),1,0))</f>
        <v>#REF!</v>
      </c>
      <c r="R3838" s="5" t="e">
        <f>IF(AND(#REF!&gt;=table!$C$7,#REF!&lt;= table!$D$7),-1,IF(AND(#REF!&gt;=table!$E$7,#REF!&lt;=table!$F$7),1,0))</f>
        <v>#REF!</v>
      </c>
      <c r="S3838" s="5" t="e">
        <f>IF(AND(#REF!&gt;=table!$C$8,#REF!&lt;= table!$D$8),-1,IF(AND(#REF!&gt;=table!$E$8,#REF!&lt;=table!$F$8),1,0))</f>
        <v>#REF!</v>
      </c>
      <c r="T3838" s="5"/>
      <c r="U3838" s="5" t="e">
        <f>IF(AND(#REF!&gt;=table!$C$10,#REF!&lt;= table!$D$10),-1,IF(AND(#REF!&gt;=table!$E$10,#REF!&lt;=table!$F$10),1,0))</f>
        <v>#REF!</v>
      </c>
      <c r="V3838" s="5" t="e">
        <f>IF(AND(#REF!&gt;=table!$C$11,#REF!&lt;= table!$D$11),-1,IF(AND(#REF!&gt;=table!$E$11,#REF!&lt;=table!$F$11),1,0))</f>
        <v>#REF!</v>
      </c>
      <c r="W3838" s="5" t="e">
        <f>CONCATENATE(dados[[#This Row],[fator1]],dados[[#This Row],[fator5]],dados[[#This Row],[fator6]])</f>
        <v>#REF!</v>
      </c>
    </row>
    <row r="3839" spans="1:23">
      <c r="A3839" t="s">
        <v>16</v>
      </c>
      <c r="B3839">
        <v>588289</v>
      </c>
      <c r="C3839">
        <v>0.15</v>
      </c>
      <c r="D3839">
        <v>40</v>
      </c>
      <c r="E3839">
        <v>64</v>
      </c>
      <c r="F3839">
        <v>10</v>
      </c>
      <c r="G3839">
        <v>0</v>
      </c>
      <c r="H3839">
        <v>35</v>
      </c>
      <c r="I3839">
        <v>106</v>
      </c>
      <c r="J3839">
        <v>0</v>
      </c>
      <c r="K3839">
        <v>2.91</v>
      </c>
      <c r="L3839">
        <v>9.5</v>
      </c>
      <c r="M3839">
        <v>7.3</v>
      </c>
      <c r="N3839">
        <v>20.75</v>
      </c>
      <c r="O3839">
        <v>1685</v>
      </c>
      <c r="P3839">
        <v>0</v>
      </c>
      <c r="Q3839" s="5" t="e">
        <f>IF(AND(#REF!&gt;=table!$C$6,#REF!&lt;= table!$D$6),-1,IF(AND(#REF!&gt;=table!$E$6,#REF!&lt;=table!$F$6),1,0))</f>
        <v>#REF!</v>
      </c>
      <c r="R3839" s="5" t="e">
        <f>IF(AND(#REF!&gt;=table!$C$7,#REF!&lt;= table!$D$7),-1,IF(AND(#REF!&gt;=table!$E$7,#REF!&lt;=table!$F$7),1,0))</f>
        <v>#REF!</v>
      </c>
      <c r="S3839" s="5" t="e">
        <f>IF(AND(#REF!&gt;=table!$C$8,#REF!&lt;= table!$D$8),-1,IF(AND(#REF!&gt;=table!$E$8,#REF!&lt;=table!$F$8),1,0))</f>
        <v>#REF!</v>
      </c>
      <c r="T3839" s="5"/>
      <c r="U3839" s="5" t="e">
        <f>IF(AND(#REF!&gt;=table!$C$10,#REF!&lt;= table!$D$10),-1,IF(AND(#REF!&gt;=table!$E$10,#REF!&lt;=table!$F$10),1,0))</f>
        <v>#REF!</v>
      </c>
      <c r="V3839" s="5" t="e">
        <f>IF(AND(#REF!&gt;=table!$C$11,#REF!&lt;= table!$D$11),-1,IF(AND(#REF!&gt;=table!$E$11,#REF!&lt;=table!$F$11),1,0))</f>
        <v>#REF!</v>
      </c>
      <c r="W3839" s="5" t="e">
        <f>CONCATENATE(dados[[#This Row],[fator1]],dados[[#This Row],[fator5]],dados[[#This Row],[fator6]])</f>
        <v>#REF!</v>
      </c>
    </row>
    <row r="3840" spans="1:23">
      <c r="A3840" t="s">
        <v>16</v>
      </c>
      <c r="B3840">
        <v>588298</v>
      </c>
      <c r="C3840">
        <v>0.15</v>
      </c>
      <c r="D3840">
        <v>40</v>
      </c>
      <c r="E3840">
        <v>10</v>
      </c>
      <c r="F3840">
        <v>15</v>
      </c>
      <c r="G3840">
        <v>0</v>
      </c>
      <c r="H3840">
        <v>15</v>
      </c>
      <c r="I3840">
        <v>913</v>
      </c>
      <c r="J3840">
        <v>0</v>
      </c>
      <c r="K3840">
        <v>4.1467000000000001</v>
      </c>
      <c r="L3840">
        <v>11.875</v>
      </c>
      <c r="M3840">
        <v>9.9500000000000011</v>
      </c>
      <c r="N3840">
        <v>12.05</v>
      </c>
      <c r="O3840">
        <v>1665</v>
      </c>
      <c r="P3840">
        <v>921</v>
      </c>
      <c r="Q3840" s="5" t="e">
        <f>IF(AND(#REF!&gt;=table!$C$6,#REF!&lt;= table!$D$6),-1,IF(AND(#REF!&gt;=table!$E$6,#REF!&lt;=table!$F$6),1,0))</f>
        <v>#REF!</v>
      </c>
      <c r="R3840" s="5" t="e">
        <f>IF(AND(#REF!&gt;=table!$C$7,#REF!&lt;= table!$D$7),-1,IF(AND(#REF!&gt;=table!$E$7,#REF!&lt;=table!$F$7),1,0))</f>
        <v>#REF!</v>
      </c>
      <c r="S3840" s="5" t="e">
        <f>IF(AND(#REF!&gt;=table!$C$8,#REF!&lt;= table!$D$8),-1,IF(AND(#REF!&gt;=table!$E$8,#REF!&lt;=table!$F$8),1,0))</f>
        <v>#REF!</v>
      </c>
      <c r="T3840" s="5"/>
      <c r="U3840" s="5" t="e">
        <f>IF(AND(#REF!&gt;=table!$C$10,#REF!&lt;= table!$D$10),-1,IF(AND(#REF!&gt;=table!$E$10,#REF!&lt;=table!$F$10),1,0))</f>
        <v>#REF!</v>
      </c>
      <c r="V3840" s="5" t="e">
        <f>IF(AND(#REF!&gt;=table!$C$11,#REF!&lt;= table!$D$11),-1,IF(AND(#REF!&gt;=table!$E$11,#REF!&lt;=table!$F$11),1,0))</f>
        <v>#REF!</v>
      </c>
      <c r="W3840" s="5" t="e">
        <f>CONCATENATE(dados[[#This Row],[fator1]],dados[[#This Row],[fator5]],dados[[#This Row],[fator6]])</f>
        <v>#REF!</v>
      </c>
    </row>
    <row r="3841" spans="1:23">
      <c r="A3841" t="s">
        <v>16</v>
      </c>
      <c r="B3841">
        <v>588305</v>
      </c>
      <c r="C3841">
        <v>0.18</v>
      </c>
      <c r="D3841">
        <v>50</v>
      </c>
      <c r="E3841">
        <v>56</v>
      </c>
      <c r="F3841">
        <v>15</v>
      </c>
      <c r="G3841">
        <v>0</v>
      </c>
      <c r="H3841">
        <v>50</v>
      </c>
      <c r="I3841">
        <v>664</v>
      </c>
      <c r="J3841">
        <v>0</v>
      </c>
      <c r="K3841">
        <v>5.3450000000000006</v>
      </c>
      <c r="L3841">
        <v>11.35</v>
      </c>
      <c r="M3841">
        <v>10.700000000000001</v>
      </c>
      <c r="N3841">
        <v>12.5</v>
      </c>
      <c r="O3841">
        <v>1670</v>
      </c>
      <c r="P3841">
        <v>0</v>
      </c>
      <c r="Q3841" s="5" t="e">
        <f>IF(AND(#REF!&gt;=table!$C$6,#REF!&lt;= table!$D$6),-1,IF(AND(#REF!&gt;=table!$E$6,#REF!&lt;=table!$F$6),1,0))</f>
        <v>#REF!</v>
      </c>
      <c r="R3841" s="5" t="e">
        <f>IF(AND(#REF!&gt;=table!$C$7,#REF!&lt;= table!$D$7),-1,IF(AND(#REF!&gt;=table!$E$7,#REF!&lt;=table!$F$7),1,0))</f>
        <v>#REF!</v>
      </c>
      <c r="S3841" s="5" t="e">
        <f>IF(AND(#REF!&gt;=table!$C$8,#REF!&lt;= table!$D$8),-1,IF(AND(#REF!&gt;=table!$E$8,#REF!&lt;=table!$F$8),1,0))</f>
        <v>#REF!</v>
      </c>
      <c r="T3841" s="5"/>
      <c r="U3841" s="5" t="e">
        <f>IF(AND(#REF!&gt;=table!$C$10,#REF!&lt;= table!$D$10),-1,IF(AND(#REF!&gt;=table!$E$10,#REF!&lt;=table!$F$10),1,0))</f>
        <v>#REF!</v>
      </c>
      <c r="V3841" s="5" t="e">
        <f>IF(AND(#REF!&gt;=table!$C$11,#REF!&lt;= table!$D$11),-1,IF(AND(#REF!&gt;=table!$E$11,#REF!&lt;=table!$F$11),1,0))</f>
        <v>#REF!</v>
      </c>
      <c r="W3841" s="5" t="e">
        <f>CONCATENATE(dados[[#This Row],[fator1]],dados[[#This Row],[fator5]],dados[[#This Row],[fator6]])</f>
        <v>#REF!</v>
      </c>
    </row>
    <row r="3842" spans="1:23">
      <c r="A3842" t="s">
        <v>16</v>
      </c>
      <c r="B3842">
        <v>588308</v>
      </c>
      <c r="C3842">
        <v>0.18</v>
      </c>
      <c r="D3842">
        <v>50</v>
      </c>
      <c r="E3842">
        <v>56</v>
      </c>
      <c r="F3842">
        <v>15</v>
      </c>
      <c r="G3842">
        <v>0</v>
      </c>
      <c r="H3842">
        <v>50</v>
      </c>
      <c r="I3842">
        <v>542</v>
      </c>
      <c r="J3842">
        <v>0</v>
      </c>
      <c r="K3842">
        <v>4.1399999999999997</v>
      </c>
      <c r="L3842">
        <v>11.6</v>
      </c>
      <c r="M3842">
        <v>11.1</v>
      </c>
      <c r="N3842">
        <v>15.1</v>
      </c>
      <c r="O3842">
        <v>1662</v>
      </c>
      <c r="P3842">
        <v>0</v>
      </c>
      <c r="Q3842" s="5" t="e">
        <f>IF(AND(#REF!&gt;=table!$C$6,#REF!&lt;= table!$D$6),-1,IF(AND(#REF!&gt;=table!$E$6,#REF!&lt;=table!$F$6),1,0))</f>
        <v>#REF!</v>
      </c>
      <c r="R3842" s="5" t="e">
        <f>IF(AND(#REF!&gt;=table!$C$7,#REF!&lt;= table!$D$7),-1,IF(AND(#REF!&gt;=table!$E$7,#REF!&lt;=table!$F$7),1,0))</f>
        <v>#REF!</v>
      </c>
      <c r="S3842" s="5" t="e">
        <f>IF(AND(#REF!&gt;=table!$C$8,#REF!&lt;= table!$D$8),-1,IF(AND(#REF!&gt;=table!$E$8,#REF!&lt;=table!$F$8),1,0))</f>
        <v>#REF!</v>
      </c>
      <c r="T3842" s="5"/>
      <c r="U3842" s="5" t="e">
        <f>IF(AND(#REF!&gt;=table!$C$10,#REF!&lt;= table!$D$10),-1,IF(AND(#REF!&gt;=table!$E$10,#REF!&lt;=table!$F$10),1,0))</f>
        <v>#REF!</v>
      </c>
      <c r="V3842" s="5" t="e">
        <f>IF(AND(#REF!&gt;=table!$C$11,#REF!&lt;= table!$D$11),-1,IF(AND(#REF!&gt;=table!$E$11,#REF!&lt;=table!$F$11),1,0))</f>
        <v>#REF!</v>
      </c>
      <c r="W3842" s="5" t="e">
        <f>CONCATENATE(dados[[#This Row],[fator1]],dados[[#This Row],[fator5]],dados[[#This Row],[fator6]])</f>
        <v>#REF!</v>
      </c>
    </row>
    <row r="3843" spans="1:23">
      <c r="A3843" t="s">
        <v>16</v>
      </c>
      <c r="B3843">
        <v>588309</v>
      </c>
      <c r="C3843">
        <v>10</v>
      </c>
      <c r="D3843">
        <v>38</v>
      </c>
      <c r="E3843">
        <v>150</v>
      </c>
      <c r="F3843">
        <v>4</v>
      </c>
      <c r="G3843">
        <v>0</v>
      </c>
      <c r="H3843">
        <v>25</v>
      </c>
      <c r="I3843">
        <v>1110</v>
      </c>
      <c r="J3843">
        <v>1130</v>
      </c>
      <c r="K3843">
        <v>6.5250000000000004</v>
      </c>
      <c r="L3843">
        <v>16.5</v>
      </c>
      <c r="M3843">
        <v>130.19999999999999</v>
      </c>
      <c r="N3843">
        <v>13.75</v>
      </c>
      <c r="O3843">
        <v>1686</v>
      </c>
      <c r="P3843">
        <v>0</v>
      </c>
      <c r="Q3843" s="5" t="e">
        <f>IF(AND(#REF!&gt;=table!$C$6,#REF!&lt;= table!$D$6),-1,IF(AND(#REF!&gt;=table!$E$6,#REF!&lt;=table!$F$6),1,0))</f>
        <v>#REF!</v>
      </c>
      <c r="R3843" s="5" t="e">
        <f>IF(AND(#REF!&gt;=table!$C$7,#REF!&lt;= table!$D$7),-1,IF(AND(#REF!&gt;=table!$E$7,#REF!&lt;=table!$F$7),1,0))</f>
        <v>#REF!</v>
      </c>
      <c r="S3843" s="5" t="e">
        <f>IF(AND(#REF!&gt;=table!$C$8,#REF!&lt;= table!$D$8),-1,IF(AND(#REF!&gt;=table!$E$8,#REF!&lt;=table!$F$8),1,0))</f>
        <v>#REF!</v>
      </c>
      <c r="T3843" s="5"/>
      <c r="U3843" s="5" t="e">
        <f>IF(AND(#REF!&gt;=table!$C$10,#REF!&lt;= table!$D$10),-1,IF(AND(#REF!&gt;=table!$E$10,#REF!&lt;=table!$F$10),1,0))</f>
        <v>#REF!</v>
      </c>
      <c r="V3843" s="5" t="e">
        <f>IF(AND(#REF!&gt;=table!$C$11,#REF!&lt;= table!$D$11),-1,IF(AND(#REF!&gt;=table!$E$11,#REF!&lt;=table!$F$11),1,0))</f>
        <v>#REF!</v>
      </c>
      <c r="W3843" s="5" t="e">
        <f>CONCATENATE(dados[[#This Row],[fator1]],dados[[#This Row],[fator5]],dados[[#This Row],[fator6]])</f>
        <v>#REF!</v>
      </c>
    </row>
    <row r="3844" spans="1:23">
      <c r="A3844" t="s">
        <v>17</v>
      </c>
      <c r="B3844">
        <v>588310</v>
      </c>
      <c r="C3844">
        <v>6</v>
      </c>
      <c r="D3844">
        <v>30</v>
      </c>
      <c r="E3844">
        <v>110</v>
      </c>
      <c r="F3844">
        <v>10</v>
      </c>
      <c r="G3844">
        <v>21</v>
      </c>
      <c r="H3844">
        <v>25</v>
      </c>
      <c r="I3844">
        <v>7</v>
      </c>
      <c r="J3844">
        <v>0</v>
      </c>
      <c r="K3844">
        <v>4.57</v>
      </c>
      <c r="L3844">
        <v>18.600000000000001</v>
      </c>
      <c r="M3844">
        <v>100.78</v>
      </c>
      <c r="N3844">
        <v>17.655000000000001</v>
      </c>
      <c r="O3844">
        <v>1669</v>
      </c>
      <c r="P3844">
        <v>632</v>
      </c>
      <c r="Q3844" s="5" t="e">
        <f>IF(AND(#REF!&gt;=table!$C$6,#REF!&lt;= table!$D$6),-1,IF(AND(#REF!&gt;=table!$E$6,#REF!&lt;=table!$F$6),1,0))</f>
        <v>#REF!</v>
      </c>
      <c r="R3844" s="5" t="e">
        <f>IF(AND(#REF!&gt;=table!$C$7,#REF!&lt;= table!$D$7),-1,IF(AND(#REF!&gt;=table!$E$7,#REF!&lt;=table!$F$7),1,0))</f>
        <v>#REF!</v>
      </c>
      <c r="S3844" s="5" t="e">
        <f>IF(AND(#REF!&gt;=table!$C$8,#REF!&lt;= table!$D$8),-1,IF(AND(#REF!&gt;=table!$E$8,#REF!&lt;=table!$F$8),1,0))</f>
        <v>#REF!</v>
      </c>
      <c r="T3844" s="5"/>
      <c r="U3844" s="5" t="e">
        <f>IF(AND(#REF!&gt;=table!$C$10,#REF!&lt;= table!$D$10),-1,IF(AND(#REF!&gt;=table!$E$10,#REF!&lt;=table!$F$10),1,0))</f>
        <v>#REF!</v>
      </c>
      <c r="V3844" s="5" t="e">
        <f>IF(AND(#REF!&gt;=table!$C$11,#REF!&lt;= table!$D$11),-1,IF(AND(#REF!&gt;=table!$E$11,#REF!&lt;=table!$F$11),1,0))</f>
        <v>#REF!</v>
      </c>
      <c r="W3844" s="5" t="e">
        <f>CONCATENATE(dados[[#This Row],[fator1]],dados[[#This Row],[fator5]],dados[[#This Row],[fator6]])</f>
        <v>#REF!</v>
      </c>
    </row>
    <row r="3845" spans="1:23">
      <c r="A3845" t="s">
        <v>17</v>
      </c>
      <c r="B3845">
        <v>588311</v>
      </c>
      <c r="C3845">
        <v>6</v>
      </c>
      <c r="D3845">
        <v>30</v>
      </c>
      <c r="E3845">
        <v>110</v>
      </c>
      <c r="F3845">
        <v>10</v>
      </c>
      <c r="G3845">
        <v>21</v>
      </c>
      <c r="H3845">
        <v>25</v>
      </c>
      <c r="I3845">
        <v>273</v>
      </c>
      <c r="J3845">
        <v>0</v>
      </c>
      <c r="K3845">
        <v>9.44</v>
      </c>
      <c r="L3845">
        <v>14.8</v>
      </c>
      <c r="M3845">
        <v>110.75</v>
      </c>
      <c r="N3845">
        <v>17</v>
      </c>
      <c r="O3845">
        <v>1685</v>
      </c>
      <c r="P3845">
        <v>0</v>
      </c>
      <c r="Q3845" s="5" t="e">
        <f>IF(AND(#REF!&gt;=table!$C$6,#REF!&lt;= table!$D$6),-1,IF(AND(#REF!&gt;=table!$E$6,#REF!&lt;=table!$F$6),1,0))</f>
        <v>#REF!</v>
      </c>
      <c r="R3845" s="5" t="e">
        <f>IF(AND(#REF!&gt;=table!$C$7,#REF!&lt;= table!$D$7),-1,IF(AND(#REF!&gt;=table!$E$7,#REF!&lt;=table!$F$7),1,0))</f>
        <v>#REF!</v>
      </c>
      <c r="S3845" s="5" t="e">
        <f>IF(AND(#REF!&gt;=table!$C$8,#REF!&lt;= table!$D$8),-1,IF(AND(#REF!&gt;=table!$E$8,#REF!&lt;=table!$F$8),1,0))</f>
        <v>#REF!</v>
      </c>
      <c r="T3845" s="5"/>
      <c r="U3845" s="5" t="e">
        <f>IF(AND(#REF!&gt;=table!$C$10,#REF!&lt;= table!$D$10),-1,IF(AND(#REF!&gt;=table!$E$10,#REF!&lt;=table!$F$10),1,0))</f>
        <v>#REF!</v>
      </c>
      <c r="V3845" s="5" t="e">
        <f>IF(AND(#REF!&gt;=table!$C$11,#REF!&lt;= table!$D$11),-1,IF(AND(#REF!&gt;=table!$E$11,#REF!&lt;=table!$F$11),1,0))</f>
        <v>#REF!</v>
      </c>
      <c r="W3845" s="5" t="e">
        <f>CONCATENATE(dados[[#This Row],[fator1]],dados[[#This Row],[fator5]],dados[[#This Row],[fator6]])</f>
        <v>#REF!</v>
      </c>
    </row>
    <row r="3846" spans="1:23">
      <c r="A3846" t="s">
        <v>16</v>
      </c>
      <c r="B3846">
        <v>588312</v>
      </c>
      <c r="C3846">
        <v>10</v>
      </c>
      <c r="D3846">
        <v>38</v>
      </c>
      <c r="E3846">
        <v>150</v>
      </c>
      <c r="F3846">
        <v>4</v>
      </c>
      <c r="G3846">
        <v>0</v>
      </c>
      <c r="H3846">
        <v>25</v>
      </c>
      <c r="I3846">
        <v>237</v>
      </c>
      <c r="J3846">
        <v>0</v>
      </c>
      <c r="K3846">
        <v>7.59</v>
      </c>
      <c r="L3846">
        <v>17.7</v>
      </c>
      <c r="M3846">
        <v>134.14500000000001</v>
      </c>
      <c r="N3846">
        <v>17.78</v>
      </c>
      <c r="O3846">
        <v>1672</v>
      </c>
      <c r="P3846">
        <v>377</v>
      </c>
      <c r="Q3846" s="5" t="e">
        <f>IF(AND(#REF!&gt;=table!$C$6,#REF!&lt;= table!$D$6),-1,IF(AND(#REF!&gt;=table!$E$6,#REF!&lt;=table!$F$6),1,0))</f>
        <v>#REF!</v>
      </c>
      <c r="R3846" s="5" t="e">
        <f>IF(AND(#REF!&gt;=table!$C$7,#REF!&lt;= table!$D$7),-1,IF(AND(#REF!&gt;=table!$E$7,#REF!&lt;=table!$F$7),1,0))</f>
        <v>#REF!</v>
      </c>
      <c r="S3846" s="5" t="e">
        <f>IF(AND(#REF!&gt;=table!$C$8,#REF!&lt;= table!$D$8),-1,IF(AND(#REF!&gt;=table!$E$8,#REF!&lt;=table!$F$8),1,0))</f>
        <v>#REF!</v>
      </c>
      <c r="T3846" s="5"/>
      <c r="U3846" s="5" t="e">
        <f>IF(AND(#REF!&gt;=table!$C$10,#REF!&lt;= table!$D$10),-1,IF(AND(#REF!&gt;=table!$E$10,#REF!&lt;=table!$F$10),1,0))</f>
        <v>#REF!</v>
      </c>
      <c r="V3846" s="5" t="e">
        <f>IF(AND(#REF!&gt;=table!$C$11,#REF!&lt;= table!$D$11),-1,IF(AND(#REF!&gt;=table!$E$11,#REF!&lt;=table!$F$11),1,0))</f>
        <v>#REF!</v>
      </c>
      <c r="W3846" s="5" t="e">
        <f>CONCATENATE(dados[[#This Row],[fator1]],dados[[#This Row],[fator5]],dados[[#This Row],[fator6]])</f>
        <v>#REF!</v>
      </c>
    </row>
    <row r="3847" spans="1:23">
      <c r="A3847" t="s">
        <v>17</v>
      </c>
      <c r="B3847">
        <v>588317</v>
      </c>
      <c r="C3847">
        <v>10</v>
      </c>
      <c r="D3847">
        <v>25</v>
      </c>
      <c r="E3847">
        <v>156</v>
      </c>
      <c r="F3847">
        <v>8</v>
      </c>
      <c r="G3847">
        <v>20</v>
      </c>
      <c r="H3847">
        <v>25</v>
      </c>
      <c r="I3847">
        <v>205</v>
      </c>
      <c r="J3847">
        <v>0</v>
      </c>
      <c r="K3847">
        <v>6.085</v>
      </c>
      <c r="L3847">
        <v>15.85</v>
      </c>
      <c r="M3847">
        <v>135.30000000000001</v>
      </c>
      <c r="N3847">
        <v>14.200000000000001</v>
      </c>
      <c r="O3847">
        <v>1688</v>
      </c>
      <c r="P3847">
        <v>583</v>
      </c>
      <c r="Q3847" s="5" t="e">
        <f>IF(AND(#REF!&gt;=table!$C$6,#REF!&lt;= table!$D$6),-1,IF(AND(#REF!&gt;=table!$E$6,#REF!&lt;=table!$F$6),1,0))</f>
        <v>#REF!</v>
      </c>
      <c r="R3847" s="5" t="e">
        <f>IF(AND(#REF!&gt;=table!$C$7,#REF!&lt;= table!$D$7),-1,IF(AND(#REF!&gt;=table!$E$7,#REF!&lt;=table!$F$7),1,0))</f>
        <v>#REF!</v>
      </c>
      <c r="S3847" s="5" t="e">
        <f>IF(AND(#REF!&gt;=table!$C$8,#REF!&lt;= table!$D$8),-1,IF(AND(#REF!&gt;=table!$E$8,#REF!&lt;=table!$F$8),1,0))</f>
        <v>#REF!</v>
      </c>
      <c r="T3847" s="5"/>
      <c r="U3847" s="5" t="e">
        <f>IF(AND(#REF!&gt;=table!$C$10,#REF!&lt;= table!$D$10),-1,IF(AND(#REF!&gt;=table!$E$10,#REF!&lt;=table!$F$10),1,0))</f>
        <v>#REF!</v>
      </c>
      <c r="V3847" s="5" t="e">
        <f>IF(AND(#REF!&gt;=table!$C$11,#REF!&lt;= table!$D$11),-1,IF(AND(#REF!&gt;=table!$E$11,#REF!&lt;=table!$F$11),1,0))</f>
        <v>#REF!</v>
      </c>
      <c r="W3847" s="5" t="e">
        <f>CONCATENATE(dados[[#This Row],[fator1]],dados[[#This Row],[fator5]],dados[[#This Row],[fator6]])</f>
        <v>#REF!</v>
      </c>
    </row>
    <row r="3848" spans="1:23">
      <c r="A3848" t="s">
        <v>16</v>
      </c>
      <c r="B3848">
        <v>588319</v>
      </c>
      <c r="C3848">
        <v>0.15</v>
      </c>
      <c r="D3848">
        <v>40</v>
      </c>
      <c r="E3848">
        <v>10</v>
      </c>
      <c r="F3848">
        <v>15</v>
      </c>
      <c r="G3848">
        <v>0</v>
      </c>
      <c r="H3848">
        <v>15</v>
      </c>
      <c r="I3848">
        <v>0</v>
      </c>
      <c r="J3848">
        <v>0</v>
      </c>
      <c r="K3848">
        <v>3.95</v>
      </c>
      <c r="L3848">
        <v>8.8000000000000007</v>
      </c>
      <c r="M3848">
        <v>8.25</v>
      </c>
      <c r="N3848">
        <v>12.9</v>
      </c>
      <c r="O3848">
        <v>1708</v>
      </c>
      <c r="P3848">
        <v>1157</v>
      </c>
      <c r="Q3848" s="5" t="e">
        <f>IF(AND(#REF!&gt;=table!$C$6,#REF!&lt;= table!$D$6),-1,IF(AND(#REF!&gt;=table!$E$6,#REF!&lt;=table!$F$6),1,0))</f>
        <v>#REF!</v>
      </c>
      <c r="R3848" s="5" t="e">
        <f>IF(AND(#REF!&gt;=table!$C$7,#REF!&lt;= table!$D$7),-1,IF(AND(#REF!&gt;=table!$E$7,#REF!&lt;=table!$F$7),1,0))</f>
        <v>#REF!</v>
      </c>
      <c r="S3848" s="5" t="e">
        <f>IF(AND(#REF!&gt;=table!$C$8,#REF!&lt;= table!$D$8),-1,IF(AND(#REF!&gt;=table!$E$8,#REF!&lt;=table!$F$8),1,0))</f>
        <v>#REF!</v>
      </c>
      <c r="T3848" s="5"/>
      <c r="U3848" s="5" t="e">
        <f>IF(AND(#REF!&gt;=table!$C$10,#REF!&lt;= table!$D$10),-1,IF(AND(#REF!&gt;=table!$E$10,#REF!&lt;=table!$F$10),1,0))</f>
        <v>#REF!</v>
      </c>
      <c r="V3848" s="5" t="e">
        <f>IF(AND(#REF!&gt;=table!$C$11,#REF!&lt;= table!$D$11),-1,IF(AND(#REF!&gt;=table!$E$11,#REF!&lt;=table!$F$11),1,0))</f>
        <v>#REF!</v>
      </c>
      <c r="W3848" s="5" t="e">
        <f>CONCATENATE(dados[[#This Row],[fator1]],dados[[#This Row],[fator5]],dados[[#This Row],[fator6]])</f>
        <v>#REF!</v>
      </c>
    </row>
    <row r="3849" spans="1:23">
      <c r="A3849" t="s">
        <v>16</v>
      </c>
      <c r="B3849">
        <v>588327</v>
      </c>
      <c r="C3849">
        <v>0.15</v>
      </c>
      <c r="D3849">
        <v>40</v>
      </c>
      <c r="E3849">
        <v>10</v>
      </c>
      <c r="F3849">
        <v>15</v>
      </c>
      <c r="G3849">
        <v>0</v>
      </c>
      <c r="H3849">
        <v>15</v>
      </c>
      <c r="I3849">
        <v>575</v>
      </c>
      <c r="J3849">
        <v>0</v>
      </c>
      <c r="K3849">
        <v>3.7550000000000003</v>
      </c>
      <c r="L3849">
        <v>8.9</v>
      </c>
      <c r="M3849">
        <v>8.3000000000000007</v>
      </c>
      <c r="N3849">
        <v>13.15</v>
      </c>
      <c r="O3849">
        <v>1689</v>
      </c>
      <c r="P3849">
        <v>0</v>
      </c>
      <c r="Q3849" s="5" t="e">
        <f>IF(AND(#REF!&gt;=table!$C$6,#REF!&lt;= table!$D$6),-1,IF(AND(#REF!&gt;=table!$E$6,#REF!&lt;=table!$F$6),1,0))</f>
        <v>#REF!</v>
      </c>
      <c r="R3849" s="5" t="e">
        <f>IF(AND(#REF!&gt;=table!$C$7,#REF!&lt;= table!$D$7),-1,IF(AND(#REF!&gt;=table!$E$7,#REF!&lt;=table!$F$7),1,0))</f>
        <v>#REF!</v>
      </c>
      <c r="S3849" s="5" t="e">
        <f>IF(AND(#REF!&gt;=table!$C$8,#REF!&lt;= table!$D$8),-1,IF(AND(#REF!&gt;=table!$E$8,#REF!&lt;=table!$F$8),1,0))</f>
        <v>#REF!</v>
      </c>
      <c r="T3849" s="5"/>
      <c r="U3849" s="5" t="e">
        <f>IF(AND(#REF!&gt;=table!$C$10,#REF!&lt;= table!$D$10),-1,IF(AND(#REF!&gt;=table!$E$10,#REF!&lt;=table!$F$10),1,0))</f>
        <v>#REF!</v>
      </c>
      <c r="V3849" s="5" t="e">
        <f>IF(AND(#REF!&gt;=table!$C$11,#REF!&lt;= table!$D$11),-1,IF(AND(#REF!&gt;=table!$E$11,#REF!&lt;=table!$F$11),1,0))</f>
        <v>#REF!</v>
      </c>
      <c r="W3849" s="5" t="e">
        <f>CONCATENATE(dados[[#This Row],[fator1]],dados[[#This Row],[fator5]],dados[[#This Row],[fator6]])</f>
        <v>#REF!</v>
      </c>
    </row>
    <row r="3850" spans="1:23">
      <c r="A3850" t="s">
        <v>16</v>
      </c>
      <c r="B3850">
        <v>588338</v>
      </c>
      <c r="C3850">
        <v>6</v>
      </c>
      <c r="D3850">
        <v>30</v>
      </c>
      <c r="E3850">
        <v>40</v>
      </c>
      <c r="F3850">
        <v>15</v>
      </c>
      <c r="G3850">
        <v>0</v>
      </c>
      <c r="H3850">
        <v>25</v>
      </c>
      <c r="I3850">
        <v>350</v>
      </c>
      <c r="J3850">
        <v>0</v>
      </c>
      <c r="K3850">
        <v>4.1850000000000005</v>
      </c>
      <c r="L3850">
        <v>16.45</v>
      </c>
      <c r="M3850">
        <v>40.85</v>
      </c>
      <c r="N3850">
        <v>19.25</v>
      </c>
      <c r="O3850">
        <v>1664</v>
      </c>
      <c r="P3850">
        <v>825</v>
      </c>
      <c r="Q3850" s="5" t="e">
        <f>IF(AND(#REF!&gt;=table!$C$6,#REF!&lt;= table!$D$6),-1,IF(AND(#REF!&gt;=table!$E$6,#REF!&lt;=table!$F$6),1,0))</f>
        <v>#REF!</v>
      </c>
      <c r="R3850" s="5" t="e">
        <f>IF(AND(#REF!&gt;=table!$C$7,#REF!&lt;= table!$D$7),-1,IF(AND(#REF!&gt;=table!$E$7,#REF!&lt;=table!$F$7),1,0))</f>
        <v>#REF!</v>
      </c>
      <c r="S3850" s="5" t="e">
        <f>IF(AND(#REF!&gt;=table!$C$8,#REF!&lt;= table!$D$8),-1,IF(AND(#REF!&gt;=table!$E$8,#REF!&lt;=table!$F$8),1,0))</f>
        <v>#REF!</v>
      </c>
      <c r="T3850" s="5"/>
      <c r="U3850" s="5" t="e">
        <f>IF(AND(#REF!&gt;=table!$C$10,#REF!&lt;= table!$D$10),-1,IF(AND(#REF!&gt;=table!$E$10,#REF!&lt;=table!$F$10),1,0))</f>
        <v>#REF!</v>
      </c>
      <c r="V3850" s="5" t="e">
        <f>IF(AND(#REF!&gt;=table!$C$11,#REF!&lt;= table!$D$11),-1,IF(AND(#REF!&gt;=table!$E$11,#REF!&lt;=table!$F$11),1,0))</f>
        <v>#REF!</v>
      </c>
      <c r="W3850" s="5" t="e">
        <f>CONCATENATE(dados[[#This Row],[fator1]],dados[[#This Row],[fator5]],dados[[#This Row],[fator6]])</f>
        <v>#REF!</v>
      </c>
    </row>
    <row r="3851" spans="1:23">
      <c r="A3851" t="s">
        <v>16</v>
      </c>
      <c r="B3851">
        <v>588340</v>
      </c>
      <c r="C3851">
        <v>9</v>
      </c>
      <c r="D3851">
        <v>40</v>
      </c>
      <c r="E3851">
        <v>46</v>
      </c>
      <c r="F3851">
        <v>15</v>
      </c>
      <c r="G3851">
        <v>0</v>
      </c>
      <c r="H3851">
        <v>25</v>
      </c>
      <c r="I3851">
        <v>1</v>
      </c>
      <c r="J3851">
        <v>0</v>
      </c>
      <c r="K3851">
        <v>11.66</v>
      </c>
      <c r="L3851">
        <v>18.7</v>
      </c>
      <c r="M3851">
        <v>47.300000000000004</v>
      </c>
      <c r="N3851">
        <v>21.3</v>
      </c>
      <c r="O3851">
        <v>1655</v>
      </c>
      <c r="P3851">
        <v>282</v>
      </c>
      <c r="Q3851" s="5" t="e">
        <f>IF(AND(#REF!&gt;=table!$C$6,#REF!&lt;= table!$D$6),-1,IF(AND(#REF!&gt;=table!$E$6,#REF!&lt;=table!$F$6),1,0))</f>
        <v>#REF!</v>
      </c>
      <c r="R3851" s="5" t="e">
        <f>IF(AND(#REF!&gt;=table!$C$7,#REF!&lt;= table!$D$7),-1,IF(AND(#REF!&gt;=table!$E$7,#REF!&lt;=table!$F$7),1,0))</f>
        <v>#REF!</v>
      </c>
      <c r="S3851" s="5" t="e">
        <f>IF(AND(#REF!&gt;=table!$C$8,#REF!&lt;= table!$D$8),-1,IF(AND(#REF!&gt;=table!$E$8,#REF!&lt;=table!$F$8),1,0))</f>
        <v>#REF!</v>
      </c>
      <c r="T3851" s="5"/>
      <c r="U3851" s="5" t="e">
        <f>IF(AND(#REF!&gt;=table!$C$10,#REF!&lt;= table!$D$10),-1,IF(AND(#REF!&gt;=table!$E$10,#REF!&lt;=table!$F$10),1,0))</f>
        <v>#REF!</v>
      </c>
      <c r="V3851" s="5" t="e">
        <f>IF(AND(#REF!&gt;=table!$C$11,#REF!&lt;= table!$D$11),-1,IF(AND(#REF!&gt;=table!$E$11,#REF!&lt;=table!$F$11),1,0))</f>
        <v>#REF!</v>
      </c>
      <c r="W3851" s="5" t="e">
        <f>CONCATENATE(dados[[#This Row],[fator1]],dados[[#This Row],[fator5]],dados[[#This Row],[fator6]])</f>
        <v>#REF!</v>
      </c>
    </row>
    <row r="3852" spans="1:23">
      <c r="A3852" t="s">
        <v>17</v>
      </c>
      <c r="B3852">
        <v>588412</v>
      </c>
      <c r="C3852">
        <v>16</v>
      </c>
      <c r="D3852">
        <v>33</v>
      </c>
      <c r="E3852">
        <v>150</v>
      </c>
      <c r="F3852">
        <v>10</v>
      </c>
      <c r="G3852">
        <v>15</v>
      </c>
      <c r="H3852">
        <v>25</v>
      </c>
      <c r="I3852">
        <v>294</v>
      </c>
      <c r="J3852">
        <v>670</v>
      </c>
      <c r="K3852">
        <v>3.585</v>
      </c>
      <c r="L3852">
        <v>4.42</v>
      </c>
      <c r="M3852">
        <v>126.45</v>
      </c>
      <c r="N3852">
        <v>9.85</v>
      </c>
      <c r="O3852">
        <v>1607</v>
      </c>
      <c r="P3852">
        <v>0</v>
      </c>
      <c r="Q3852" s="5" t="e">
        <f>IF(AND(#REF!&gt;=table!$C$6,#REF!&lt;= table!$D$6),-1,IF(AND(#REF!&gt;=table!$E$6,#REF!&lt;=table!$F$6),1,0))</f>
        <v>#REF!</v>
      </c>
      <c r="R3852" s="5" t="e">
        <f>IF(AND(#REF!&gt;=table!$C$7,#REF!&lt;= table!$D$7),-1,IF(AND(#REF!&gt;=table!$E$7,#REF!&lt;=table!$F$7),1,0))</f>
        <v>#REF!</v>
      </c>
      <c r="S3852" s="5" t="e">
        <f>IF(AND(#REF!&gt;=table!$C$8,#REF!&lt;= table!$D$8),-1,IF(AND(#REF!&gt;=table!$E$8,#REF!&lt;=table!$F$8),1,0))</f>
        <v>#REF!</v>
      </c>
      <c r="T3852" s="5"/>
      <c r="U3852" s="5" t="e">
        <f>IF(AND(#REF!&gt;=table!$C$10,#REF!&lt;= table!$D$10),-1,IF(AND(#REF!&gt;=table!$E$10,#REF!&lt;=table!$F$10),1,0))</f>
        <v>#REF!</v>
      </c>
      <c r="V3852" s="5" t="e">
        <f>IF(AND(#REF!&gt;=table!$C$11,#REF!&lt;= table!$D$11),-1,IF(AND(#REF!&gt;=table!$E$11,#REF!&lt;=table!$F$11),1,0))</f>
        <v>#REF!</v>
      </c>
      <c r="W3852" s="5" t="e">
        <f>CONCATENATE(dados[[#This Row],[fator1]],dados[[#This Row],[fator5]],dados[[#This Row],[fator6]])</f>
        <v>#REF!</v>
      </c>
    </row>
    <row r="3853" spans="1:23">
      <c r="A3853" t="s">
        <v>16</v>
      </c>
      <c r="B3853">
        <v>588418</v>
      </c>
      <c r="C3853">
        <v>0.15</v>
      </c>
      <c r="D3853">
        <v>40</v>
      </c>
      <c r="E3853">
        <v>64</v>
      </c>
      <c r="F3853">
        <v>10</v>
      </c>
      <c r="G3853">
        <v>0</v>
      </c>
      <c r="H3853">
        <v>35</v>
      </c>
      <c r="I3853">
        <v>932</v>
      </c>
      <c r="J3853">
        <v>0</v>
      </c>
      <c r="K3853">
        <v>1.9100000000000001</v>
      </c>
      <c r="L3853">
        <v>5.05</v>
      </c>
      <c r="M3853">
        <v>5.15</v>
      </c>
      <c r="N3853">
        <v>15.3</v>
      </c>
      <c r="O3853">
        <v>1695</v>
      </c>
      <c r="P3853">
        <v>1818</v>
      </c>
      <c r="Q3853" s="5" t="e">
        <f>IF(AND(#REF!&gt;=table!$C$6,#REF!&lt;= table!$D$6),-1,IF(AND(#REF!&gt;=table!$E$6,#REF!&lt;=table!$F$6),1,0))</f>
        <v>#REF!</v>
      </c>
      <c r="R3853" s="5" t="e">
        <f>IF(AND(#REF!&gt;=table!$C$7,#REF!&lt;= table!$D$7),-1,IF(AND(#REF!&gt;=table!$E$7,#REF!&lt;=table!$F$7),1,0))</f>
        <v>#REF!</v>
      </c>
      <c r="S3853" s="5" t="e">
        <f>IF(AND(#REF!&gt;=table!$C$8,#REF!&lt;= table!$D$8),-1,IF(AND(#REF!&gt;=table!$E$8,#REF!&lt;=table!$F$8),1,0))</f>
        <v>#REF!</v>
      </c>
      <c r="T3853" s="5"/>
      <c r="U3853" s="5" t="e">
        <f>IF(AND(#REF!&gt;=table!$C$10,#REF!&lt;= table!$D$10),-1,IF(AND(#REF!&gt;=table!$E$10,#REF!&lt;=table!$F$10),1,0))</f>
        <v>#REF!</v>
      </c>
      <c r="V3853" s="5" t="e">
        <f>IF(AND(#REF!&gt;=table!$C$11,#REF!&lt;= table!$D$11),-1,IF(AND(#REF!&gt;=table!$E$11,#REF!&lt;=table!$F$11),1,0))</f>
        <v>#REF!</v>
      </c>
      <c r="W3853" s="5" t="e">
        <f>CONCATENATE(dados[[#This Row],[fator1]],dados[[#This Row],[fator5]],dados[[#This Row],[fator6]])</f>
        <v>#REF!</v>
      </c>
    </row>
    <row r="3854" spans="1:23">
      <c r="A3854" t="s">
        <v>16</v>
      </c>
      <c r="B3854">
        <v>588419</v>
      </c>
      <c r="C3854">
        <v>0.15</v>
      </c>
      <c r="D3854">
        <v>40</v>
      </c>
      <c r="E3854">
        <v>64</v>
      </c>
      <c r="F3854">
        <v>10</v>
      </c>
      <c r="G3854">
        <v>0</v>
      </c>
      <c r="H3854">
        <v>35</v>
      </c>
      <c r="I3854">
        <v>459</v>
      </c>
      <c r="J3854">
        <v>830</v>
      </c>
      <c r="K3854">
        <v>16.805</v>
      </c>
      <c r="L3854">
        <v>18.25</v>
      </c>
      <c r="M3854">
        <v>7.6000000000000005</v>
      </c>
      <c r="N3854">
        <v>8.4</v>
      </c>
      <c r="O3854">
        <v>1653</v>
      </c>
      <c r="P3854">
        <v>224</v>
      </c>
      <c r="Q3854" s="5" t="e">
        <f>IF(AND(#REF!&gt;=table!$C$6,#REF!&lt;= table!$D$6),-1,IF(AND(#REF!&gt;=table!$E$6,#REF!&lt;=table!$F$6),1,0))</f>
        <v>#REF!</v>
      </c>
      <c r="R3854" s="5" t="e">
        <f>IF(AND(#REF!&gt;=table!$C$7,#REF!&lt;= table!$D$7),-1,IF(AND(#REF!&gt;=table!$E$7,#REF!&lt;=table!$F$7),1,0))</f>
        <v>#REF!</v>
      </c>
      <c r="S3854" s="5" t="e">
        <f>IF(AND(#REF!&gt;=table!$C$8,#REF!&lt;= table!$D$8),-1,IF(AND(#REF!&gt;=table!$E$8,#REF!&lt;=table!$F$8),1,0))</f>
        <v>#REF!</v>
      </c>
      <c r="T3854" s="5"/>
      <c r="U3854" s="5" t="e">
        <f>IF(AND(#REF!&gt;=table!$C$10,#REF!&lt;= table!$D$10),-1,IF(AND(#REF!&gt;=table!$E$10,#REF!&lt;=table!$F$10),1,0))</f>
        <v>#REF!</v>
      </c>
      <c r="V3854" s="5" t="e">
        <f>IF(AND(#REF!&gt;=table!$C$11,#REF!&lt;= table!$D$11),-1,IF(AND(#REF!&gt;=table!$E$11,#REF!&lt;=table!$F$11),1,0))</f>
        <v>#REF!</v>
      </c>
      <c r="W3854" s="5" t="e">
        <f>CONCATENATE(dados[[#This Row],[fator1]],dados[[#This Row],[fator5]],dados[[#This Row],[fator6]])</f>
        <v>#REF!</v>
      </c>
    </row>
    <row r="3855" spans="1:23">
      <c r="A3855" t="s">
        <v>16</v>
      </c>
      <c r="B3855">
        <v>588436</v>
      </c>
      <c r="C3855">
        <v>0.15</v>
      </c>
      <c r="D3855">
        <v>40</v>
      </c>
      <c r="E3855">
        <v>10</v>
      </c>
      <c r="F3855">
        <v>15</v>
      </c>
      <c r="G3855">
        <v>0</v>
      </c>
      <c r="H3855">
        <v>15</v>
      </c>
      <c r="I3855">
        <v>665</v>
      </c>
      <c r="J3855">
        <v>0</v>
      </c>
      <c r="K3855">
        <v>3.9750000000000001</v>
      </c>
      <c r="L3855">
        <v>10.8</v>
      </c>
      <c r="M3855">
        <v>9.7000000000000011</v>
      </c>
      <c r="N3855">
        <v>10.35</v>
      </c>
      <c r="O3855">
        <v>1667</v>
      </c>
      <c r="P3855">
        <v>935</v>
      </c>
      <c r="Q3855" s="5" t="e">
        <f>IF(AND(#REF!&gt;=table!$C$6,#REF!&lt;= table!$D$6),-1,IF(AND(#REF!&gt;=table!$E$6,#REF!&lt;=table!$F$6),1,0))</f>
        <v>#REF!</v>
      </c>
      <c r="R3855" s="5" t="e">
        <f>IF(AND(#REF!&gt;=table!$C$7,#REF!&lt;= table!$D$7),-1,IF(AND(#REF!&gt;=table!$E$7,#REF!&lt;=table!$F$7),1,0))</f>
        <v>#REF!</v>
      </c>
      <c r="S3855" s="5" t="e">
        <f>IF(AND(#REF!&gt;=table!$C$8,#REF!&lt;= table!$D$8),-1,IF(AND(#REF!&gt;=table!$E$8,#REF!&lt;=table!$F$8),1,0))</f>
        <v>#REF!</v>
      </c>
      <c r="T3855" s="5"/>
      <c r="U3855" s="5" t="e">
        <f>IF(AND(#REF!&gt;=table!$C$10,#REF!&lt;= table!$D$10),-1,IF(AND(#REF!&gt;=table!$E$10,#REF!&lt;=table!$F$10),1,0))</f>
        <v>#REF!</v>
      </c>
      <c r="V3855" s="5" t="e">
        <f>IF(AND(#REF!&gt;=table!$C$11,#REF!&lt;= table!$D$11),-1,IF(AND(#REF!&gt;=table!$E$11,#REF!&lt;=table!$F$11),1,0))</f>
        <v>#REF!</v>
      </c>
      <c r="W3855" s="5" t="e">
        <f>CONCATENATE(dados[[#This Row],[fator1]],dados[[#This Row],[fator5]],dados[[#This Row],[fator6]])</f>
        <v>#REF!</v>
      </c>
    </row>
    <row r="3856" spans="1:23">
      <c r="A3856" t="s">
        <v>16</v>
      </c>
      <c r="B3856">
        <v>588437</v>
      </c>
      <c r="C3856">
        <v>0.15</v>
      </c>
      <c r="D3856">
        <v>40</v>
      </c>
      <c r="E3856">
        <v>10</v>
      </c>
      <c r="F3856">
        <v>15</v>
      </c>
      <c r="G3856">
        <v>0</v>
      </c>
      <c r="H3856">
        <v>15</v>
      </c>
      <c r="I3856">
        <v>1043</v>
      </c>
      <c r="J3856">
        <v>660</v>
      </c>
      <c r="K3856">
        <v>3.42</v>
      </c>
      <c r="L3856">
        <v>14.55</v>
      </c>
      <c r="M3856">
        <v>9.35</v>
      </c>
      <c r="N3856">
        <v>16.600000000000001</v>
      </c>
      <c r="O3856">
        <v>1681</v>
      </c>
      <c r="P3856">
        <v>1169</v>
      </c>
      <c r="Q3856" s="5" t="e">
        <f>IF(AND(#REF!&gt;=table!$C$6,#REF!&lt;= table!$D$6),-1,IF(AND(#REF!&gt;=table!$E$6,#REF!&lt;=table!$F$6),1,0))</f>
        <v>#REF!</v>
      </c>
      <c r="R3856" s="5" t="e">
        <f>IF(AND(#REF!&gt;=table!$C$7,#REF!&lt;= table!$D$7),-1,IF(AND(#REF!&gt;=table!$E$7,#REF!&lt;=table!$F$7),1,0))</f>
        <v>#REF!</v>
      </c>
      <c r="S3856" s="5" t="e">
        <f>IF(AND(#REF!&gt;=table!$C$8,#REF!&lt;= table!$D$8),-1,IF(AND(#REF!&gt;=table!$E$8,#REF!&lt;=table!$F$8),1,0))</f>
        <v>#REF!</v>
      </c>
      <c r="T3856" s="5"/>
      <c r="U3856" s="5" t="e">
        <f>IF(AND(#REF!&gt;=table!$C$10,#REF!&lt;= table!$D$10),-1,IF(AND(#REF!&gt;=table!$E$10,#REF!&lt;=table!$F$10),1,0))</f>
        <v>#REF!</v>
      </c>
      <c r="V3856" s="5" t="e">
        <f>IF(AND(#REF!&gt;=table!$C$11,#REF!&lt;= table!$D$11),-1,IF(AND(#REF!&gt;=table!$E$11,#REF!&lt;=table!$F$11),1,0))</f>
        <v>#REF!</v>
      </c>
      <c r="W3856" s="5" t="e">
        <f>CONCATENATE(dados[[#This Row],[fator1]],dados[[#This Row],[fator5]],dados[[#This Row],[fator6]])</f>
        <v>#REF!</v>
      </c>
    </row>
    <row r="3857" spans="1:23">
      <c r="A3857" t="s">
        <v>16</v>
      </c>
      <c r="B3857">
        <v>588446</v>
      </c>
      <c r="C3857">
        <v>6</v>
      </c>
      <c r="D3857">
        <v>40</v>
      </c>
      <c r="E3857">
        <v>66</v>
      </c>
      <c r="F3857">
        <v>10</v>
      </c>
      <c r="G3857">
        <v>0</v>
      </c>
      <c r="H3857">
        <v>25</v>
      </c>
      <c r="I3857">
        <v>404</v>
      </c>
      <c r="J3857">
        <v>0</v>
      </c>
      <c r="K3857">
        <v>5.86</v>
      </c>
      <c r="L3857">
        <v>10.06</v>
      </c>
      <c r="M3857">
        <v>58.85</v>
      </c>
      <c r="N3857">
        <v>11.3</v>
      </c>
      <c r="O3857">
        <v>1661</v>
      </c>
      <c r="P3857">
        <v>623</v>
      </c>
      <c r="Q3857" s="5" t="e">
        <f>IF(AND(#REF!&gt;=table!$C$6,#REF!&lt;= table!$D$6),-1,IF(AND(#REF!&gt;=table!$E$6,#REF!&lt;=table!$F$6),1,0))</f>
        <v>#REF!</v>
      </c>
      <c r="R3857" s="5" t="e">
        <f>IF(AND(#REF!&gt;=table!$C$7,#REF!&lt;= table!$D$7),-1,IF(AND(#REF!&gt;=table!$E$7,#REF!&lt;=table!$F$7),1,0))</f>
        <v>#REF!</v>
      </c>
      <c r="S3857" s="5" t="e">
        <f>IF(AND(#REF!&gt;=table!$C$8,#REF!&lt;= table!$D$8),-1,IF(AND(#REF!&gt;=table!$E$8,#REF!&lt;=table!$F$8),1,0))</f>
        <v>#REF!</v>
      </c>
      <c r="T3857" s="5"/>
      <c r="U3857" s="5" t="e">
        <f>IF(AND(#REF!&gt;=table!$C$10,#REF!&lt;= table!$D$10),-1,IF(AND(#REF!&gt;=table!$E$10,#REF!&lt;=table!$F$10),1,0))</f>
        <v>#REF!</v>
      </c>
      <c r="V3857" s="5" t="e">
        <f>IF(AND(#REF!&gt;=table!$C$11,#REF!&lt;= table!$D$11),-1,IF(AND(#REF!&gt;=table!$E$11,#REF!&lt;=table!$F$11),1,0))</f>
        <v>#REF!</v>
      </c>
      <c r="W3857" s="5" t="e">
        <f>CONCATENATE(dados[[#This Row],[fator1]],dados[[#This Row],[fator5]],dados[[#This Row],[fator6]])</f>
        <v>#REF!</v>
      </c>
    </row>
    <row r="3858" spans="1:23">
      <c r="A3858" t="s">
        <v>16</v>
      </c>
      <c r="B3858">
        <v>588448</v>
      </c>
      <c r="C3858">
        <v>8</v>
      </c>
      <c r="D3858">
        <v>40</v>
      </c>
      <c r="E3858">
        <v>65</v>
      </c>
      <c r="F3858">
        <v>8</v>
      </c>
      <c r="G3858">
        <v>0</v>
      </c>
      <c r="H3858">
        <v>25</v>
      </c>
      <c r="I3858">
        <v>0</v>
      </c>
      <c r="J3858">
        <v>0</v>
      </c>
      <c r="K3858">
        <v>3.89</v>
      </c>
      <c r="L3858">
        <v>11.8</v>
      </c>
      <c r="M3858">
        <v>58.015000000000001</v>
      </c>
      <c r="N3858">
        <v>14.75</v>
      </c>
      <c r="O3858">
        <v>1667</v>
      </c>
      <c r="P3858">
        <v>1006</v>
      </c>
      <c r="Q3858" s="5" t="e">
        <f>IF(AND(#REF!&gt;=table!$C$6,#REF!&lt;= table!$D$6),-1,IF(AND(#REF!&gt;=table!$E$6,#REF!&lt;=table!$F$6),1,0))</f>
        <v>#REF!</v>
      </c>
      <c r="R3858" s="5" t="e">
        <f>IF(AND(#REF!&gt;=table!$C$7,#REF!&lt;= table!$D$7),-1,IF(AND(#REF!&gt;=table!$E$7,#REF!&lt;=table!$F$7),1,0))</f>
        <v>#REF!</v>
      </c>
      <c r="S3858" s="5" t="e">
        <f>IF(AND(#REF!&gt;=table!$C$8,#REF!&lt;= table!$D$8),-1,IF(AND(#REF!&gt;=table!$E$8,#REF!&lt;=table!$F$8),1,0))</f>
        <v>#REF!</v>
      </c>
      <c r="T3858" s="5"/>
      <c r="U3858" s="5" t="e">
        <f>IF(AND(#REF!&gt;=table!$C$10,#REF!&lt;= table!$D$10),-1,IF(AND(#REF!&gt;=table!$E$10,#REF!&lt;=table!$F$10),1,0))</f>
        <v>#REF!</v>
      </c>
      <c r="V3858" s="5" t="e">
        <f>IF(AND(#REF!&gt;=table!$C$11,#REF!&lt;= table!$D$11),-1,IF(AND(#REF!&gt;=table!$E$11,#REF!&lt;=table!$F$11),1,0))</f>
        <v>#REF!</v>
      </c>
      <c r="W3858" s="5" t="e">
        <f>CONCATENATE(dados[[#This Row],[fator1]],dados[[#This Row],[fator5]],dados[[#This Row],[fator6]])</f>
        <v>#REF!</v>
      </c>
    </row>
    <row r="3859" spans="1:23">
      <c r="A3859" t="s">
        <v>16</v>
      </c>
      <c r="B3859">
        <v>588454</v>
      </c>
      <c r="C3859">
        <v>0.1</v>
      </c>
      <c r="D3859">
        <v>40</v>
      </c>
      <c r="E3859">
        <v>10</v>
      </c>
      <c r="F3859">
        <v>8</v>
      </c>
      <c r="G3859">
        <v>0</v>
      </c>
      <c r="H3859">
        <v>10</v>
      </c>
      <c r="I3859">
        <v>398</v>
      </c>
      <c r="J3859">
        <v>890</v>
      </c>
      <c r="K3859">
        <v>4.37</v>
      </c>
      <c r="L3859">
        <v>7.45</v>
      </c>
      <c r="M3859">
        <v>5.75</v>
      </c>
      <c r="N3859">
        <v>10.4</v>
      </c>
      <c r="O3859">
        <v>1662</v>
      </c>
      <c r="P3859">
        <v>1281</v>
      </c>
      <c r="Q3859" s="5" t="e">
        <f>IF(AND(#REF!&gt;=table!$C$6,#REF!&lt;= table!$D$6),-1,IF(AND(#REF!&gt;=table!$E$6,#REF!&lt;=table!$F$6),1,0))</f>
        <v>#REF!</v>
      </c>
      <c r="R3859" s="5" t="e">
        <f>IF(AND(#REF!&gt;=table!$C$7,#REF!&lt;= table!$D$7),-1,IF(AND(#REF!&gt;=table!$E$7,#REF!&lt;=table!$F$7),1,0))</f>
        <v>#REF!</v>
      </c>
      <c r="S3859" s="5" t="e">
        <f>IF(AND(#REF!&gt;=table!$C$8,#REF!&lt;= table!$D$8),-1,IF(AND(#REF!&gt;=table!$E$8,#REF!&lt;=table!$F$8),1,0))</f>
        <v>#REF!</v>
      </c>
      <c r="T3859" s="5"/>
      <c r="U3859" s="5" t="e">
        <f>IF(AND(#REF!&gt;=table!$C$10,#REF!&lt;= table!$D$10),-1,IF(AND(#REF!&gt;=table!$E$10,#REF!&lt;=table!$F$10),1,0))</f>
        <v>#REF!</v>
      </c>
      <c r="V3859" s="5" t="e">
        <f>IF(AND(#REF!&gt;=table!$C$11,#REF!&lt;= table!$D$11),-1,IF(AND(#REF!&gt;=table!$E$11,#REF!&lt;=table!$F$11),1,0))</f>
        <v>#REF!</v>
      </c>
      <c r="W3859" s="5" t="e">
        <f>CONCATENATE(dados[[#This Row],[fator1]],dados[[#This Row],[fator5]],dados[[#This Row],[fator6]])</f>
        <v>#REF!</v>
      </c>
    </row>
    <row r="3860" spans="1:23">
      <c r="A3860" t="s">
        <v>16</v>
      </c>
      <c r="B3860">
        <v>588485</v>
      </c>
      <c r="C3860">
        <v>0.15</v>
      </c>
      <c r="D3860">
        <v>40</v>
      </c>
      <c r="E3860">
        <v>10</v>
      </c>
      <c r="F3860">
        <v>15</v>
      </c>
      <c r="G3860">
        <v>0</v>
      </c>
      <c r="H3860">
        <v>15</v>
      </c>
      <c r="I3860">
        <v>1032</v>
      </c>
      <c r="J3860">
        <v>0</v>
      </c>
      <c r="K3860">
        <v>3.415</v>
      </c>
      <c r="L3860">
        <v>7.1000000000000005</v>
      </c>
      <c r="M3860">
        <v>7.6400000000000006</v>
      </c>
      <c r="N3860">
        <v>8.32</v>
      </c>
      <c r="O3860">
        <v>1669</v>
      </c>
      <c r="P3860">
        <v>1175</v>
      </c>
      <c r="Q3860" s="5" t="e">
        <f>IF(AND(#REF!&gt;=table!$C$6,#REF!&lt;= table!$D$6),-1,IF(AND(#REF!&gt;=table!$E$6,#REF!&lt;=table!$F$6),1,0))</f>
        <v>#REF!</v>
      </c>
      <c r="R3860" s="5" t="e">
        <f>IF(AND(#REF!&gt;=table!$C$7,#REF!&lt;= table!$D$7),-1,IF(AND(#REF!&gt;=table!$E$7,#REF!&lt;=table!$F$7),1,0))</f>
        <v>#REF!</v>
      </c>
      <c r="S3860" s="5" t="e">
        <f>IF(AND(#REF!&gt;=table!$C$8,#REF!&lt;= table!$D$8),-1,IF(AND(#REF!&gt;=table!$E$8,#REF!&lt;=table!$F$8),1,0))</f>
        <v>#REF!</v>
      </c>
      <c r="T3860" s="5"/>
      <c r="U3860" s="5" t="e">
        <f>IF(AND(#REF!&gt;=table!$C$10,#REF!&lt;= table!$D$10),-1,IF(AND(#REF!&gt;=table!$E$10,#REF!&lt;=table!$F$10),1,0))</f>
        <v>#REF!</v>
      </c>
      <c r="V3860" s="5" t="e">
        <f>IF(AND(#REF!&gt;=table!$C$11,#REF!&lt;= table!$D$11),-1,IF(AND(#REF!&gt;=table!$E$11,#REF!&lt;=table!$F$11),1,0))</f>
        <v>#REF!</v>
      </c>
      <c r="W3860" s="5" t="e">
        <f>CONCATENATE(dados[[#This Row],[fator1]],dados[[#This Row],[fator5]],dados[[#This Row],[fator6]])</f>
        <v>#REF!</v>
      </c>
    </row>
    <row r="3861" spans="1:23">
      <c r="A3861" t="s">
        <v>16</v>
      </c>
      <c r="B3861">
        <v>588486</v>
      </c>
      <c r="C3861">
        <v>0.15</v>
      </c>
      <c r="D3861">
        <v>40</v>
      </c>
      <c r="E3861">
        <v>10</v>
      </c>
      <c r="F3861">
        <v>15</v>
      </c>
      <c r="G3861">
        <v>0</v>
      </c>
      <c r="H3861">
        <v>15</v>
      </c>
      <c r="I3861">
        <v>1260</v>
      </c>
      <c r="J3861">
        <v>0</v>
      </c>
      <c r="K3861">
        <v>3.24</v>
      </c>
      <c r="L3861">
        <v>10.55</v>
      </c>
      <c r="M3861">
        <v>9.3000000000000007</v>
      </c>
      <c r="N3861">
        <v>12.950000000000001</v>
      </c>
      <c r="O3861">
        <v>1678</v>
      </c>
      <c r="P3861">
        <v>0</v>
      </c>
      <c r="Q3861" s="5" t="e">
        <f>IF(AND(#REF!&gt;=table!$C$6,#REF!&lt;= table!$D$6),-1,IF(AND(#REF!&gt;=table!$E$6,#REF!&lt;=table!$F$6),1,0))</f>
        <v>#REF!</v>
      </c>
      <c r="R3861" s="5" t="e">
        <f>IF(AND(#REF!&gt;=table!$C$7,#REF!&lt;= table!$D$7),-1,IF(AND(#REF!&gt;=table!$E$7,#REF!&lt;=table!$F$7),1,0))</f>
        <v>#REF!</v>
      </c>
      <c r="S3861" s="5" t="e">
        <f>IF(AND(#REF!&gt;=table!$C$8,#REF!&lt;= table!$D$8),-1,IF(AND(#REF!&gt;=table!$E$8,#REF!&lt;=table!$F$8),1,0))</f>
        <v>#REF!</v>
      </c>
      <c r="T3861" s="5"/>
      <c r="U3861" s="5" t="e">
        <f>IF(AND(#REF!&gt;=table!$C$10,#REF!&lt;= table!$D$10),-1,IF(AND(#REF!&gt;=table!$E$10,#REF!&lt;=table!$F$10),1,0))</f>
        <v>#REF!</v>
      </c>
      <c r="V3861" s="5" t="e">
        <f>IF(AND(#REF!&gt;=table!$C$11,#REF!&lt;= table!$D$11),-1,IF(AND(#REF!&gt;=table!$E$11,#REF!&lt;=table!$F$11),1,0))</f>
        <v>#REF!</v>
      </c>
      <c r="W3861" s="5" t="e">
        <f>CONCATENATE(dados[[#This Row],[fator1]],dados[[#This Row],[fator5]],dados[[#This Row],[fator6]])</f>
        <v>#REF!</v>
      </c>
    </row>
    <row r="3862" spans="1:23">
      <c r="A3862" t="s">
        <v>16</v>
      </c>
      <c r="B3862">
        <v>588504</v>
      </c>
      <c r="C3862">
        <v>0.15</v>
      </c>
      <c r="D3862">
        <v>35</v>
      </c>
      <c r="E3862">
        <v>15</v>
      </c>
      <c r="F3862">
        <v>10</v>
      </c>
      <c r="G3862">
        <v>0</v>
      </c>
      <c r="H3862">
        <v>12</v>
      </c>
      <c r="I3862">
        <v>1224</v>
      </c>
      <c r="J3862">
        <v>0</v>
      </c>
      <c r="K3862">
        <v>5.25</v>
      </c>
      <c r="L3862">
        <v>7.9</v>
      </c>
      <c r="M3862">
        <v>7.9850000000000003</v>
      </c>
      <c r="N3862">
        <v>7.8100000000000005</v>
      </c>
      <c r="O3862">
        <v>1649</v>
      </c>
      <c r="P3862">
        <v>691</v>
      </c>
      <c r="Q3862" s="5" t="e">
        <f>IF(AND(#REF!&gt;=table!$C$6,#REF!&lt;= table!$D$6),-1,IF(AND(#REF!&gt;=table!$E$6,#REF!&lt;=table!$F$6),1,0))</f>
        <v>#REF!</v>
      </c>
      <c r="R3862" s="5" t="e">
        <f>IF(AND(#REF!&gt;=table!$C$7,#REF!&lt;= table!$D$7),-1,IF(AND(#REF!&gt;=table!$E$7,#REF!&lt;=table!$F$7),1,0))</f>
        <v>#REF!</v>
      </c>
      <c r="S3862" s="5" t="e">
        <f>IF(AND(#REF!&gt;=table!$C$8,#REF!&lt;= table!$D$8),-1,IF(AND(#REF!&gt;=table!$E$8,#REF!&lt;=table!$F$8),1,0))</f>
        <v>#REF!</v>
      </c>
      <c r="T3862" s="5"/>
      <c r="U3862" s="5" t="e">
        <f>IF(AND(#REF!&gt;=table!$C$10,#REF!&lt;= table!$D$10),-1,IF(AND(#REF!&gt;=table!$E$10,#REF!&lt;=table!$F$10),1,0))</f>
        <v>#REF!</v>
      </c>
      <c r="V3862" s="5" t="e">
        <f>IF(AND(#REF!&gt;=table!$C$11,#REF!&lt;= table!$D$11),-1,IF(AND(#REF!&gt;=table!$E$11,#REF!&lt;=table!$F$11),1,0))</f>
        <v>#REF!</v>
      </c>
      <c r="W3862" s="5" t="e">
        <f>CONCATENATE(dados[[#This Row],[fator1]],dados[[#This Row],[fator5]],dados[[#This Row],[fator6]])</f>
        <v>#REF!</v>
      </c>
    </row>
    <row r="3863" spans="1:23">
      <c r="A3863" t="s">
        <v>16</v>
      </c>
      <c r="B3863">
        <v>588505</v>
      </c>
      <c r="C3863">
        <v>0.15</v>
      </c>
      <c r="D3863">
        <v>35</v>
      </c>
      <c r="E3863">
        <v>15</v>
      </c>
      <c r="F3863">
        <v>10</v>
      </c>
      <c r="G3863">
        <v>0</v>
      </c>
      <c r="H3863">
        <v>12</v>
      </c>
      <c r="I3863">
        <v>640</v>
      </c>
      <c r="J3863">
        <v>580</v>
      </c>
      <c r="K3863">
        <v>5.2750000000000004</v>
      </c>
      <c r="L3863">
        <v>5.8500000000000005</v>
      </c>
      <c r="M3863">
        <v>4.6000000000000005</v>
      </c>
      <c r="N3863">
        <v>5.95</v>
      </c>
      <c r="O3863">
        <v>1617</v>
      </c>
      <c r="P3863">
        <v>612</v>
      </c>
      <c r="Q3863" s="5" t="e">
        <f>IF(AND(#REF!&gt;=table!$C$6,#REF!&lt;= table!$D$6),-1,IF(AND(#REF!&gt;=table!$E$6,#REF!&lt;=table!$F$6),1,0))</f>
        <v>#REF!</v>
      </c>
      <c r="R3863" s="5" t="e">
        <f>IF(AND(#REF!&gt;=table!$C$7,#REF!&lt;= table!$D$7),-1,IF(AND(#REF!&gt;=table!$E$7,#REF!&lt;=table!$F$7),1,0))</f>
        <v>#REF!</v>
      </c>
      <c r="S3863" s="5" t="e">
        <f>IF(AND(#REF!&gt;=table!$C$8,#REF!&lt;= table!$D$8),-1,IF(AND(#REF!&gt;=table!$E$8,#REF!&lt;=table!$F$8),1,0))</f>
        <v>#REF!</v>
      </c>
      <c r="T3863" s="5"/>
      <c r="U3863" s="5" t="e">
        <f>IF(AND(#REF!&gt;=table!$C$10,#REF!&lt;= table!$D$10),-1,IF(AND(#REF!&gt;=table!$E$10,#REF!&lt;=table!$F$10),1,0))</f>
        <v>#REF!</v>
      </c>
      <c r="V3863" s="5" t="e">
        <f>IF(AND(#REF!&gt;=table!$C$11,#REF!&lt;= table!$D$11),-1,IF(AND(#REF!&gt;=table!$E$11,#REF!&lt;=table!$F$11),1,0))</f>
        <v>#REF!</v>
      </c>
      <c r="W3863" s="5" t="e">
        <f>CONCATENATE(dados[[#This Row],[fator1]],dados[[#This Row],[fator5]],dados[[#This Row],[fator6]])</f>
        <v>#REF!</v>
      </c>
    </row>
    <row r="3864" spans="1:23">
      <c r="A3864" t="s">
        <v>16</v>
      </c>
      <c r="B3864">
        <v>588541</v>
      </c>
      <c r="C3864">
        <v>0.15</v>
      </c>
      <c r="D3864">
        <v>40</v>
      </c>
      <c r="E3864">
        <v>10</v>
      </c>
      <c r="F3864">
        <v>15</v>
      </c>
      <c r="G3864">
        <v>0</v>
      </c>
      <c r="H3864">
        <v>15</v>
      </c>
      <c r="I3864">
        <v>1223</v>
      </c>
      <c r="J3864">
        <v>580</v>
      </c>
      <c r="K3864">
        <v>3.7350000000000003</v>
      </c>
      <c r="L3864">
        <v>12.335000000000001</v>
      </c>
      <c r="M3864">
        <v>9.0250000000000004</v>
      </c>
      <c r="N3864">
        <v>8.4649999999999999</v>
      </c>
      <c r="O3864">
        <v>1630</v>
      </c>
      <c r="P3864">
        <v>522</v>
      </c>
      <c r="Q3864" s="5" t="e">
        <f>IF(AND(#REF!&gt;=table!$C$6,#REF!&lt;= table!$D$6),-1,IF(AND(#REF!&gt;=table!$E$6,#REF!&lt;=table!$F$6),1,0))</f>
        <v>#REF!</v>
      </c>
      <c r="R3864" s="5" t="e">
        <f>IF(AND(#REF!&gt;=table!$C$7,#REF!&lt;= table!$D$7),-1,IF(AND(#REF!&gt;=table!$E$7,#REF!&lt;=table!$F$7),1,0))</f>
        <v>#REF!</v>
      </c>
      <c r="S3864" s="5" t="e">
        <f>IF(AND(#REF!&gt;=table!$C$8,#REF!&lt;= table!$D$8),-1,IF(AND(#REF!&gt;=table!$E$8,#REF!&lt;=table!$F$8),1,0))</f>
        <v>#REF!</v>
      </c>
      <c r="T3864" s="5"/>
      <c r="U3864" s="5" t="e">
        <f>IF(AND(#REF!&gt;=table!$C$10,#REF!&lt;= table!$D$10),-1,IF(AND(#REF!&gt;=table!$E$10,#REF!&lt;=table!$F$10),1,0))</f>
        <v>#REF!</v>
      </c>
      <c r="V3864" s="5" t="e">
        <f>IF(AND(#REF!&gt;=table!$C$11,#REF!&lt;= table!$D$11),-1,IF(AND(#REF!&gt;=table!$E$11,#REF!&lt;=table!$F$11),1,0))</f>
        <v>#REF!</v>
      </c>
      <c r="W3864" s="5" t="e">
        <f>CONCATENATE(dados[[#This Row],[fator1]],dados[[#This Row],[fator5]],dados[[#This Row],[fator6]])</f>
        <v>#REF!</v>
      </c>
    </row>
    <row r="3865" spans="1:23">
      <c r="A3865" t="s">
        <v>16</v>
      </c>
      <c r="B3865">
        <v>588544</v>
      </c>
      <c r="C3865">
        <v>0.15</v>
      </c>
      <c r="D3865">
        <v>40</v>
      </c>
      <c r="E3865">
        <v>10</v>
      </c>
      <c r="F3865">
        <v>15</v>
      </c>
      <c r="G3865">
        <v>0</v>
      </c>
      <c r="H3865">
        <v>15</v>
      </c>
      <c r="I3865">
        <v>35</v>
      </c>
      <c r="J3865">
        <v>470</v>
      </c>
      <c r="K3865">
        <v>16.899999999999999</v>
      </c>
      <c r="L3865">
        <v>11.25</v>
      </c>
      <c r="M3865">
        <v>9.7249999999999996</v>
      </c>
      <c r="N3865">
        <v>8.7850000000000001</v>
      </c>
      <c r="O3865">
        <v>1615</v>
      </c>
      <c r="P3865">
        <v>252</v>
      </c>
      <c r="Q3865" s="5" t="e">
        <f>IF(AND(#REF!&gt;=table!$C$6,#REF!&lt;= table!$D$6),-1,IF(AND(#REF!&gt;=table!$E$6,#REF!&lt;=table!$F$6),1,0))</f>
        <v>#REF!</v>
      </c>
      <c r="R3865" s="5" t="e">
        <f>IF(AND(#REF!&gt;=table!$C$7,#REF!&lt;= table!$D$7),-1,IF(AND(#REF!&gt;=table!$E$7,#REF!&lt;=table!$F$7),1,0))</f>
        <v>#REF!</v>
      </c>
      <c r="S3865" s="5" t="e">
        <f>IF(AND(#REF!&gt;=table!$C$8,#REF!&lt;= table!$D$8),-1,IF(AND(#REF!&gt;=table!$E$8,#REF!&lt;=table!$F$8),1,0))</f>
        <v>#REF!</v>
      </c>
      <c r="T3865" s="5"/>
      <c r="U3865" s="5" t="e">
        <f>IF(AND(#REF!&gt;=table!$C$10,#REF!&lt;= table!$D$10),-1,IF(AND(#REF!&gt;=table!$E$10,#REF!&lt;=table!$F$10),1,0))</f>
        <v>#REF!</v>
      </c>
      <c r="V3865" s="5" t="e">
        <f>IF(AND(#REF!&gt;=table!$C$11,#REF!&lt;= table!$D$11),-1,IF(AND(#REF!&gt;=table!$E$11,#REF!&lt;=table!$F$11),1,0))</f>
        <v>#REF!</v>
      </c>
      <c r="W3865" s="5" t="e">
        <f>CONCATENATE(dados[[#This Row],[fator1]],dados[[#This Row],[fator5]],dados[[#This Row],[fator6]])</f>
        <v>#REF!</v>
      </c>
    </row>
    <row r="3866" spans="1:23">
      <c r="A3866" t="s">
        <v>16</v>
      </c>
      <c r="B3866">
        <v>588568</v>
      </c>
      <c r="C3866">
        <v>0.15</v>
      </c>
      <c r="D3866">
        <v>40</v>
      </c>
      <c r="E3866">
        <v>10</v>
      </c>
      <c r="F3866">
        <v>15</v>
      </c>
      <c r="G3866">
        <v>0</v>
      </c>
      <c r="H3866">
        <v>15</v>
      </c>
      <c r="I3866">
        <v>718</v>
      </c>
      <c r="J3866">
        <v>0</v>
      </c>
      <c r="K3866">
        <v>3.4250000000000003</v>
      </c>
      <c r="L3866">
        <v>14.25</v>
      </c>
      <c r="M3866">
        <v>10</v>
      </c>
      <c r="N3866">
        <v>13.8</v>
      </c>
      <c r="O3866">
        <v>1678</v>
      </c>
      <c r="P3866">
        <v>1051</v>
      </c>
      <c r="Q3866" s="5" t="e">
        <f>IF(AND(#REF!&gt;=table!$C$6,#REF!&lt;= table!$D$6),-1,IF(AND(#REF!&gt;=table!$E$6,#REF!&lt;=table!$F$6),1,0))</f>
        <v>#REF!</v>
      </c>
      <c r="R3866" s="5" t="e">
        <f>IF(AND(#REF!&gt;=table!$C$7,#REF!&lt;= table!$D$7),-1,IF(AND(#REF!&gt;=table!$E$7,#REF!&lt;=table!$F$7),1,0))</f>
        <v>#REF!</v>
      </c>
      <c r="S3866" s="5" t="e">
        <f>IF(AND(#REF!&gt;=table!$C$8,#REF!&lt;= table!$D$8),-1,IF(AND(#REF!&gt;=table!$E$8,#REF!&lt;=table!$F$8),1,0))</f>
        <v>#REF!</v>
      </c>
      <c r="T3866" s="5"/>
      <c r="U3866" s="5" t="e">
        <f>IF(AND(#REF!&gt;=table!$C$10,#REF!&lt;= table!$D$10),-1,IF(AND(#REF!&gt;=table!$E$10,#REF!&lt;=table!$F$10),1,0))</f>
        <v>#REF!</v>
      </c>
      <c r="V3866" s="5" t="e">
        <f>IF(AND(#REF!&gt;=table!$C$11,#REF!&lt;= table!$D$11),-1,IF(AND(#REF!&gt;=table!$E$11,#REF!&lt;=table!$F$11),1,0))</f>
        <v>#REF!</v>
      </c>
      <c r="W3866" s="5" t="e">
        <f>CONCATENATE(dados[[#This Row],[fator1]],dados[[#This Row],[fator5]],dados[[#This Row],[fator6]])</f>
        <v>#REF!</v>
      </c>
    </row>
    <row r="3867" spans="1:23">
      <c r="A3867" t="s">
        <v>16</v>
      </c>
      <c r="B3867">
        <v>588583</v>
      </c>
      <c r="C3867">
        <v>4</v>
      </c>
      <c r="D3867">
        <v>40</v>
      </c>
      <c r="E3867">
        <v>21</v>
      </c>
      <c r="F3867">
        <v>20</v>
      </c>
      <c r="G3867">
        <v>0</v>
      </c>
      <c r="H3867">
        <v>25</v>
      </c>
      <c r="I3867">
        <v>809</v>
      </c>
      <c r="J3867">
        <v>1500</v>
      </c>
      <c r="K3867">
        <v>54.18</v>
      </c>
      <c r="L3867">
        <v>25.035</v>
      </c>
      <c r="M3867">
        <v>13.15</v>
      </c>
      <c r="N3867">
        <v>12.1</v>
      </c>
      <c r="O3867">
        <v>1577</v>
      </c>
      <c r="P3867">
        <v>0</v>
      </c>
      <c r="Q3867" s="5" t="e">
        <f>IF(AND(#REF!&gt;=table!$C$6,#REF!&lt;= table!$D$6),-1,IF(AND(#REF!&gt;=table!$E$6,#REF!&lt;=table!$F$6),1,0))</f>
        <v>#REF!</v>
      </c>
      <c r="R3867" s="5" t="e">
        <f>IF(AND(#REF!&gt;=table!$C$7,#REF!&lt;= table!$D$7),-1,IF(AND(#REF!&gt;=table!$E$7,#REF!&lt;=table!$F$7),1,0))</f>
        <v>#REF!</v>
      </c>
      <c r="S3867" s="5" t="e">
        <f>IF(AND(#REF!&gt;=table!$C$8,#REF!&lt;= table!$D$8),-1,IF(AND(#REF!&gt;=table!$E$8,#REF!&lt;=table!$F$8),1,0))</f>
        <v>#REF!</v>
      </c>
      <c r="T3867" s="5"/>
      <c r="U3867" s="5" t="e">
        <f>IF(AND(#REF!&gt;=table!$C$10,#REF!&lt;= table!$D$10),-1,IF(AND(#REF!&gt;=table!$E$10,#REF!&lt;=table!$F$10),1,0))</f>
        <v>#REF!</v>
      </c>
      <c r="V3867" s="5" t="e">
        <f>IF(AND(#REF!&gt;=table!$C$11,#REF!&lt;= table!$D$11),-1,IF(AND(#REF!&gt;=table!$E$11,#REF!&lt;=table!$F$11),1,0))</f>
        <v>#REF!</v>
      </c>
      <c r="W3867" s="5" t="e">
        <f>CONCATENATE(dados[[#This Row],[fator1]],dados[[#This Row],[fator5]],dados[[#This Row],[fator6]])</f>
        <v>#REF!</v>
      </c>
    </row>
    <row r="3868" spans="1:23">
      <c r="A3868" t="s">
        <v>16</v>
      </c>
      <c r="B3868">
        <v>588587</v>
      </c>
      <c r="C3868">
        <v>4</v>
      </c>
      <c r="D3868">
        <v>40</v>
      </c>
      <c r="E3868">
        <v>21</v>
      </c>
      <c r="F3868">
        <v>20</v>
      </c>
      <c r="G3868">
        <v>0</v>
      </c>
      <c r="H3868">
        <v>25</v>
      </c>
      <c r="I3868">
        <v>1342</v>
      </c>
      <c r="J3868">
        <v>1280</v>
      </c>
      <c r="K3868">
        <v>9.0350000000000001</v>
      </c>
      <c r="L3868">
        <v>9.8000000000000007</v>
      </c>
      <c r="M3868">
        <v>21.7</v>
      </c>
      <c r="N3868">
        <v>16.7</v>
      </c>
      <c r="O3868">
        <v>1598</v>
      </c>
      <c r="P3868">
        <v>0</v>
      </c>
      <c r="Q3868" s="5" t="e">
        <f>IF(AND(#REF!&gt;=table!$C$6,#REF!&lt;= table!$D$6),-1,IF(AND(#REF!&gt;=table!$E$6,#REF!&lt;=table!$F$6),1,0))</f>
        <v>#REF!</v>
      </c>
      <c r="R3868" s="5" t="e">
        <f>IF(AND(#REF!&gt;=table!$C$7,#REF!&lt;= table!$D$7),-1,IF(AND(#REF!&gt;=table!$E$7,#REF!&lt;=table!$F$7),1,0))</f>
        <v>#REF!</v>
      </c>
      <c r="S3868" s="5" t="e">
        <f>IF(AND(#REF!&gt;=table!$C$8,#REF!&lt;= table!$D$8),-1,IF(AND(#REF!&gt;=table!$E$8,#REF!&lt;=table!$F$8),1,0))</f>
        <v>#REF!</v>
      </c>
      <c r="T3868" s="5"/>
      <c r="U3868" s="5" t="e">
        <f>IF(AND(#REF!&gt;=table!$C$10,#REF!&lt;= table!$D$10),-1,IF(AND(#REF!&gt;=table!$E$10,#REF!&lt;=table!$F$10),1,0))</f>
        <v>#REF!</v>
      </c>
      <c r="V3868" s="5" t="e">
        <f>IF(AND(#REF!&gt;=table!$C$11,#REF!&lt;= table!$D$11),-1,IF(AND(#REF!&gt;=table!$E$11,#REF!&lt;=table!$F$11),1,0))</f>
        <v>#REF!</v>
      </c>
      <c r="W3868" s="5" t="e">
        <f>CONCATENATE(dados[[#This Row],[fator1]],dados[[#This Row],[fator5]],dados[[#This Row],[fator6]])</f>
        <v>#REF!</v>
      </c>
    </row>
    <row r="3869" spans="1:23">
      <c r="A3869" t="s">
        <v>16</v>
      </c>
      <c r="B3869">
        <v>588611</v>
      </c>
      <c r="C3869">
        <v>0.15</v>
      </c>
      <c r="D3869">
        <v>40</v>
      </c>
      <c r="E3869">
        <v>10</v>
      </c>
      <c r="F3869">
        <v>15</v>
      </c>
      <c r="G3869">
        <v>0</v>
      </c>
      <c r="H3869">
        <v>15</v>
      </c>
      <c r="I3869">
        <v>791</v>
      </c>
      <c r="J3869">
        <v>650</v>
      </c>
      <c r="K3869">
        <v>3.43</v>
      </c>
      <c r="L3869">
        <v>14.85</v>
      </c>
      <c r="M3869">
        <v>7</v>
      </c>
      <c r="N3869">
        <v>10.450000000000001</v>
      </c>
      <c r="O3869">
        <v>1728</v>
      </c>
      <c r="P3869">
        <v>0</v>
      </c>
      <c r="Q3869" s="5" t="e">
        <f>IF(AND(#REF!&gt;=table!$C$6,#REF!&lt;= table!$D$6),-1,IF(AND(#REF!&gt;=table!$E$6,#REF!&lt;=table!$F$6),1,0))</f>
        <v>#REF!</v>
      </c>
      <c r="R3869" s="5" t="e">
        <f>IF(AND(#REF!&gt;=table!$C$7,#REF!&lt;= table!$D$7),-1,IF(AND(#REF!&gt;=table!$E$7,#REF!&lt;=table!$F$7),1,0))</f>
        <v>#REF!</v>
      </c>
      <c r="S3869" s="5" t="e">
        <f>IF(AND(#REF!&gt;=table!$C$8,#REF!&lt;= table!$D$8),-1,IF(AND(#REF!&gt;=table!$E$8,#REF!&lt;=table!$F$8),1,0))</f>
        <v>#REF!</v>
      </c>
      <c r="T3869" s="5"/>
      <c r="U3869" s="5" t="e">
        <f>IF(AND(#REF!&gt;=table!$C$10,#REF!&lt;= table!$D$10),-1,IF(AND(#REF!&gt;=table!$E$10,#REF!&lt;=table!$F$10),1,0))</f>
        <v>#REF!</v>
      </c>
      <c r="V3869" s="5" t="e">
        <f>IF(AND(#REF!&gt;=table!$C$11,#REF!&lt;= table!$D$11),-1,IF(AND(#REF!&gt;=table!$E$11,#REF!&lt;=table!$F$11),1,0))</f>
        <v>#REF!</v>
      </c>
      <c r="W3869" s="5" t="e">
        <f>CONCATENATE(dados[[#This Row],[fator1]],dados[[#This Row],[fator5]],dados[[#This Row],[fator6]])</f>
        <v>#REF!</v>
      </c>
    </row>
    <row r="3870" spans="1:23">
      <c r="A3870" t="s">
        <v>16</v>
      </c>
      <c r="B3870">
        <v>588628</v>
      </c>
      <c r="C3870">
        <v>9</v>
      </c>
      <c r="D3870">
        <v>35</v>
      </c>
      <c r="E3870">
        <v>36</v>
      </c>
      <c r="F3870">
        <v>9</v>
      </c>
      <c r="G3870">
        <v>0</v>
      </c>
      <c r="H3870">
        <v>25</v>
      </c>
      <c r="I3870">
        <v>619</v>
      </c>
      <c r="J3870">
        <v>0</v>
      </c>
      <c r="K3870">
        <v>3.0500000000000003</v>
      </c>
      <c r="L3870">
        <v>9.15</v>
      </c>
      <c r="M3870">
        <v>7.3</v>
      </c>
      <c r="N3870">
        <v>9.1</v>
      </c>
      <c r="O3870">
        <v>1671</v>
      </c>
      <c r="P3870">
        <v>0</v>
      </c>
      <c r="Q3870" s="5" t="e">
        <f>IF(AND(#REF!&gt;=table!$C$6,#REF!&lt;= table!$D$6),-1,IF(AND(#REF!&gt;=table!$E$6,#REF!&lt;=table!$F$6),1,0))</f>
        <v>#REF!</v>
      </c>
      <c r="R3870" s="5" t="e">
        <f>IF(AND(#REF!&gt;=table!$C$7,#REF!&lt;= table!$D$7),-1,IF(AND(#REF!&gt;=table!$E$7,#REF!&lt;=table!$F$7),1,0))</f>
        <v>#REF!</v>
      </c>
      <c r="S3870" s="5" t="e">
        <f>IF(AND(#REF!&gt;=table!$C$8,#REF!&lt;= table!$D$8),-1,IF(AND(#REF!&gt;=table!$E$8,#REF!&lt;=table!$F$8),1,0))</f>
        <v>#REF!</v>
      </c>
      <c r="T3870" s="5"/>
      <c r="U3870" s="5" t="e">
        <f>IF(AND(#REF!&gt;=table!$C$10,#REF!&lt;= table!$D$10),-1,IF(AND(#REF!&gt;=table!$E$10,#REF!&lt;=table!$F$10),1,0))</f>
        <v>#REF!</v>
      </c>
      <c r="V3870" s="5" t="e">
        <f>IF(AND(#REF!&gt;=table!$C$11,#REF!&lt;= table!$D$11),-1,IF(AND(#REF!&gt;=table!$E$11,#REF!&lt;=table!$F$11),1,0))</f>
        <v>#REF!</v>
      </c>
      <c r="W3870" s="5" t="e">
        <f>CONCATENATE(dados[[#This Row],[fator1]],dados[[#This Row],[fator5]],dados[[#This Row],[fator6]])</f>
        <v>#REF!</v>
      </c>
    </row>
    <row r="3871" spans="1:23">
      <c r="A3871" t="s">
        <v>16</v>
      </c>
      <c r="B3871">
        <v>588656</v>
      </c>
      <c r="C3871">
        <v>0.15</v>
      </c>
      <c r="D3871">
        <v>40</v>
      </c>
      <c r="E3871">
        <v>10</v>
      </c>
      <c r="F3871">
        <v>15</v>
      </c>
      <c r="G3871">
        <v>0</v>
      </c>
      <c r="H3871">
        <v>15</v>
      </c>
      <c r="I3871">
        <v>825</v>
      </c>
      <c r="J3871">
        <v>0</v>
      </c>
      <c r="K3871">
        <v>3.74</v>
      </c>
      <c r="L3871">
        <v>10.450000000000001</v>
      </c>
      <c r="M3871">
        <v>8.15</v>
      </c>
      <c r="N3871">
        <v>10.15</v>
      </c>
      <c r="O3871">
        <v>1678</v>
      </c>
      <c r="P3871">
        <v>1099</v>
      </c>
      <c r="Q3871" s="5" t="e">
        <f>IF(AND(#REF!&gt;=table!$C$6,#REF!&lt;= table!$D$6),-1,IF(AND(#REF!&gt;=table!$E$6,#REF!&lt;=table!$F$6),1,0))</f>
        <v>#REF!</v>
      </c>
      <c r="R3871" s="5" t="e">
        <f>IF(AND(#REF!&gt;=table!$C$7,#REF!&lt;= table!$D$7),-1,IF(AND(#REF!&gt;=table!$E$7,#REF!&lt;=table!$F$7),1,0))</f>
        <v>#REF!</v>
      </c>
      <c r="S3871" s="5" t="e">
        <f>IF(AND(#REF!&gt;=table!$C$8,#REF!&lt;= table!$D$8),-1,IF(AND(#REF!&gt;=table!$E$8,#REF!&lt;=table!$F$8),1,0))</f>
        <v>#REF!</v>
      </c>
      <c r="T3871" s="5"/>
      <c r="U3871" s="5" t="e">
        <f>IF(AND(#REF!&gt;=table!$C$10,#REF!&lt;= table!$D$10),-1,IF(AND(#REF!&gt;=table!$E$10,#REF!&lt;=table!$F$10),1,0))</f>
        <v>#REF!</v>
      </c>
      <c r="V3871" s="5" t="e">
        <f>IF(AND(#REF!&gt;=table!$C$11,#REF!&lt;= table!$D$11),-1,IF(AND(#REF!&gt;=table!$E$11,#REF!&lt;=table!$F$11),1,0))</f>
        <v>#REF!</v>
      </c>
      <c r="W3871" s="5" t="e">
        <f>CONCATENATE(dados[[#This Row],[fator1]],dados[[#This Row],[fator5]],dados[[#This Row],[fator6]])</f>
        <v>#REF!</v>
      </c>
    </row>
    <row r="3872" spans="1:23">
      <c r="A3872" t="s">
        <v>16</v>
      </c>
      <c r="B3872">
        <v>588662</v>
      </c>
      <c r="C3872">
        <v>8</v>
      </c>
      <c r="D3872">
        <v>30</v>
      </c>
      <c r="E3872">
        <v>61</v>
      </c>
      <c r="F3872">
        <v>8</v>
      </c>
      <c r="G3872">
        <v>0</v>
      </c>
      <c r="H3872">
        <v>25</v>
      </c>
      <c r="I3872">
        <v>312</v>
      </c>
      <c r="J3872">
        <v>0</v>
      </c>
      <c r="K3872">
        <v>2.94</v>
      </c>
      <c r="L3872">
        <v>8.4</v>
      </c>
      <c r="M3872">
        <v>44.185000000000002</v>
      </c>
      <c r="N3872">
        <v>13.865</v>
      </c>
      <c r="O3872">
        <v>1668</v>
      </c>
      <c r="P3872">
        <v>1219</v>
      </c>
      <c r="Q3872" s="5" t="e">
        <f>IF(AND(#REF!&gt;=table!$C$6,#REF!&lt;= table!$D$6),-1,IF(AND(#REF!&gt;=table!$E$6,#REF!&lt;=table!$F$6),1,0))</f>
        <v>#REF!</v>
      </c>
      <c r="R3872" s="5" t="e">
        <f>IF(AND(#REF!&gt;=table!$C$7,#REF!&lt;= table!$D$7),-1,IF(AND(#REF!&gt;=table!$E$7,#REF!&lt;=table!$F$7),1,0))</f>
        <v>#REF!</v>
      </c>
      <c r="S3872" s="5" t="e">
        <f>IF(AND(#REF!&gt;=table!$C$8,#REF!&lt;= table!$D$8),-1,IF(AND(#REF!&gt;=table!$E$8,#REF!&lt;=table!$F$8),1,0))</f>
        <v>#REF!</v>
      </c>
      <c r="T3872" s="5"/>
      <c r="U3872" s="5" t="e">
        <f>IF(AND(#REF!&gt;=table!$C$10,#REF!&lt;= table!$D$10),-1,IF(AND(#REF!&gt;=table!$E$10,#REF!&lt;=table!$F$10),1,0))</f>
        <v>#REF!</v>
      </c>
      <c r="V3872" s="5" t="e">
        <f>IF(AND(#REF!&gt;=table!$C$11,#REF!&lt;= table!$D$11),-1,IF(AND(#REF!&gt;=table!$E$11,#REF!&lt;=table!$F$11),1,0))</f>
        <v>#REF!</v>
      </c>
      <c r="W3872" s="5" t="e">
        <f>CONCATENATE(dados[[#This Row],[fator1]],dados[[#This Row],[fator5]],dados[[#This Row],[fator6]])</f>
        <v>#REF!</v>
      </c>
    </row>
    <row r="3873" spans="1:23">
      <c r="A3873" t="s">
        <v>17</v>
      </c>
      <c r="B3873">
        <v>588664</v>
      </c>
      <c r="C3873">
        <v>18</v>
      </c>
      <c r="D3873">
        <v>23</v>
      </c>
      <c r="E3873">
        <v>145</v>
      </c>
      <c r="F3873">
        <v>9</v>
      </c>
      <c r="G3873">
        <v>30</v>
      </c>
      <c r="H3873">
        <v>25</v>
      </c>
      <c r="I3873">
        <v>17</v>
      </c>
      <c r="J3873">
        <v>0</v>
      </c>
      <c r="K3873">
        <v>4.8450000000000006</v>
      </c>
      <c r="L3873">
        <v>11.700000000000001</v>
      </c>
      <c r="M3873">
        <v>107.65</v>
      </c>
      <c r="N3873">
        <v>16.465</v>
      </c>
      <c r="O3873">
        <v>1678</v>
      </c>
      <c r="P3873">
        <v>905</v>
      </c>
      <c r="Q3873" s="5" t="e">
        <f>IF(AND(#REF!&gt;=table!$C$6,#REF!&lt;= table!$D$6),-1,IF(AND(#REF!&gt;=table!$E$6,#REF!&lt;=table!$F$6),1,0))</f>
        <v>#REF!</v>
      </c>
      <c r="R3873" s="5" t="e">
        <f>IF(AND(#REF!&gt;=table!$C$7,#REF!&lt;= table!$D$7),-1,IF(AND(#REF!&gt;=table!$E$7,#REF!&lt;=table!$F$7),1,0))</f>
        <v>#REF!</v>
      </c>
      <c r="S3873" s="5" t="e">
        <f>IF(AND(#REF!&gt;=table!$C$8,#REF!&lt;= table!$D$8),-1,IF(AND(#REF!&gt;=table!$E$8,#REF!&lt;=table!$F$8),1,0))</f>
        <v>#REF!</v>
      </c>
      <c r="T3873" s="5"/>
      <c r="U3873" s="5" t="e">
        <f>IF(AND(#REF!&gt;=table!$C$10,#REF!&lt;= table!$D$10),-1,IF(AND(#REF!&gt;=table!$E$10,#REF!&lt;=table!$F$10),1,0))</f>
        <v>#REF!</v>
      </c>
      <c r="V3873" s="5" t="e">
        <f>IF(AND(#REF!&gt;=table!$C$11,#REF!&lt;= table!$D$11),-1,IF(AND(#REF!&gt;=table!$E$11,#REF!&lt;=table!$F$11),1,0))</f>
        <v>#REF!</v>
      </c>
      <c r="W3873" s="5" t="e">
        <f>CONCATENATE(dados[[#This Row],[fator1]],dados[[#This Row],[fator5]],dados[[#This Row],[fator6]])</f>
        <v>#REF!</v>
      </c>
    </row>
    <row r="3874" spans="1:23">
      <c r="A3874" t="s">
        <v>17</v>
      </c>
      <c r="B3874">
        <v>588666</v>
      </c>
      <c r="C3874">
        <v>18</v>
      </c>
      <c r="D3874">
        <v>23</v>
      </c>
      <c r="E3874">
        <v>145</v>
      </c>
      <c r="F3874">
        <v>9</v>
      </c>
      <c r="G3874">
        <v>30</v>
      </c>
      <c r="H3874">
        <v>25</v>
      </c>
      <c r="I3874">
        <v>7</v>
      </c>
      <c r="J3874">
        <v>0</v>
      </c>
      <c r="K3874">
        <v>9.75</v>
      </c>
      <c r="L3874">
        <v>15.935</v>
      </c>
      <c r="M3874">
        <v>129.94999999999999</v>
      </c>
      <c r="N3874">
        <v>21.75</v>
      </c>
      <c r="O3874">
        <v>1671</v>
      </c>
      <c r="P3874">
        <v>0</v>
      </c>
      <c r="Q3874" s="5" t="e">
        <f>IF(AND(#REF!&gt;=table!$C$6,#REF!&lt;= table!$D$6),-1,IF(AND(#REF!&gt;=table!$E$6,#REF!&lt;=table!$F$6),1,0))</f>
        <v>#REF!</v>
      </c>
      <c r="R3874" s="5" t="e">
        <f>IF(AND(#REF!&gt;=table!$C$7,#REF!&lt;= table!$D$7),-1,IF(AND(#REF!&gt;=table!$E$7,#REF!&lt;=table!$F$7),1,0))</f>
        <v>#REF!</v>
      </c>
      <c r="S3874" s="5" t="e">
        <f>IF(AND(#REF!&gt;=table!$C$8,#REF!&lt;= table!$D$8),-1,IF(AND(#REF!&gt;=table!$E$8,#REF!&lt;=table!$F$8),1,0))</f>
        <v>#REF!</v>
      </c>
      <c r="T3874" s="5"/>
      <c r="U3874" s="5" t="e">
        <f>IF(AND(#REF!&gt;=table!$C$10,#REF!&lt;= table!$D$10),-1,IF(AND(#REF!&gt;=table!$E$10,#REF!&lt;=table!$F$10),1,0))</f>
        <v>#REF!</v>
      </c>
      <c r="V3874" s="5" t="e">
        <f>IF(AND(#REF!&gt;=table!$C$11,#REF!&lt;= table!$D$11),-1,IF(AND(#REF!&gt;=table!$E$11,#REF!&lt;=table!$F$11),1,0))</f>
        <v>#REF!</v>
      </c>
      <c r="W3874" s="5" t="e">
        <f>CONCATENATE(dados[[#This Row],[fator1]],dados[[#This Row],[fator5]],dados[[#This Row],[fator6]])</f>
        <v>#REF!</v>
      </c>
    </row>
    <row r="3875" spans="1:23">
      <c r="A3875" t="s">
        <v>16</v>
      </c>
      <c r="B3875">
        <v>588673</v>
      </c>
      <c r="C3875">
        <v>8</v>
      </c>
      <c r="D3875">
        <v>30</v>
      </c>
      <c r="E3875">
        <v>61</v>
      </c>
      <c r="F3875">
        <v>8</v>
      </c>
      <c r="G3875">
        <v>0</v>
      </c>
      <c r="H3875">
        <v>25</v>
      </c>
      <c r="I3875">
        <v>5</v>
      </c>
      <c r="J3875">
        <v>610</v>
      </c>
      <c r="K3875">
        <v>2.1350000000000002</v>
      </c>
      <c r="L3875">
        <v>5.2750000000000004</v>
      </c>
      <c r="M3875">
        <v>47.155000000000001</v>
      </c>
      <c r="N3875">
        <v>9.8000000000000007</v>
      </c>
      <c r="O3875">
        <v>1670</v>
      </c>
      <c r="P3875">
        <v>0</v>
      </c>
      <c r="Q3875" s="5" t="e">
        <f>IF(AND(#REF!&gt;=table!$C$6,#REF!&lt;= table!$D$6),-1,IF(AND(#REF!&gt;=table!$E$6,#REF!&lt;=table!$F$6),1,0))</f>
        <v>#REF!</v>
      </c>
      <c r="R3875" s="5" t="e">
        <f>IF(AND(#REF!&gt;=table!$C$7,#REF!&lt;= table!$D$7),-1,IF(AND(#REF!&gt;=table!$E$7,#REF!&lt;=table!$F$7),1,0))</f>
        <v>#REF!</v>
      </c>
      <c r="S3875" s="5" t="e">
        <f>IF(AND(#REF!&gt;=table!$C$8,#REF!&lt;= table!$D$8),-1,IF(AND(#REF!&gt;=table!$E$8,#REF!&lt;=table!$F$8),1,0))</f>
        <v>#REF!</v>
      </c>
      <c r="T3875" s="5"/>
      <c r="U3875" s="5" t="e">
        <f>IF(AND(#REF!&gt;=table!$C$10,#REF!&lt;= table!$D$10),-1,IF(AND(#REF!&gt;=table!$E$10,#REF!&lt;=table!$F$10),1,0))</f>
        <v>#REF!</v>
      </c>
      <c r="V3875" s="5" t="e">
        <f>IF(AND(#REF!&gt;=table!$C$11,#REF!&lt;= table!$D$11),-1,IF(AND(#REF!&gt;=table!$E$11,#REF!&lt;=table!$F$11),1,0))</f>
        <v>#REF!</v>
      </c>
      <c r="W3875" s="5" t="e">
        <f>CONCATENATE(dados[[#This Row],[fator1]],dados[[#This Row],[fator5]],dados[[#This Row],[fator6]])</f>
        <v>#REF!</v>
      </c>
    </row>
    <row r="3876" spans="1:23">
      <c r="A3876" t="s">
        <v>16</v>
      </c>
      <c r="B3876">
        <v>588676</v>
      </c>
      <c r="C3876">
        <v>8</v>
      </c>
      <c r="D3876">
        <v>30</v>
      </c>
      <c r="E3876">
        <v>61</v>
      </c>
      <c r="F3876">
        <v>8</v>
      </c>
      <c r="G3876">
        <v>0</v>
      </c>
      <c r="H3876">
        <v>25</v>
      </c>
      <c r="I3876">
        <v>95</v>
      </c>
      <c r="J3876">
        <v>0</v>
      </c>
      <c r="K3876">
        <v>3.0700000000000003</v>
      </c>
      <c r="L3876">
        <v>8.4499999999999993</v>
      </c>
      <c r="M3876">
        <v>51.95</v>
      </c>
      <c r="N3876">
        <v>14.35</v>
      </c>
      <c r="O3876">
        <v>1651</v>
      </c>
      <c r="P3876">
        <v>938</v>
      </c>
      <c r="Q3876" s="5" t="e">
        <f>IF(AND(#REF!&gt;=table!$C$6,#REF!&lt;= table!$D$6),-1,IF(AND(#REF!&gt;=table!$E$6,#REF!&lt;=table!$F$6),1,0))</f>
        <v>#REF!</v>
      </c>
      <c r="R3876" s="5" t="e">
        <f>IF(AND(#REF!&gt;=table!$C$7,#REF!&lt;= table!$D$7),-1,IF(AND(#REF!&gt;=table!$E$7,#REF!&lt;=table!$F$7),1,0))</f>
        <v>#REF!</v>
      </c>
      <c r="S3876" s="5" t="e">
        <f>IF(AND(#REF!&gt;=table!$C$8,#REF!&lt;= table!$D$8),-1,IF(AND(#REF!&gt;=table!$E$8,#REF!&lt;=table!$F$8),1,0))</f>
        <v>#REF!</v>
      </c>
      <c r="T3876" s="5"/>
      <c r="U3876" s="5" t="e">
        <f>IF(AND(#REF!&gt;=table!$C$10,#REF!&lt;= table!$D$10),-1,IF(AND(#REF!&gt;=table!$E$10,#REF!&lt;=table!$F$10),1,0))</f>
        <v>#REF!</v>
      </c>
      <c r="V3876" s="5" t="e">
        <f>IF(AND(#REF!&gt;=table!$C$11,#REF!&lt;= table!$D$11),-1,IF(AND(#REF!&gt;=table!$E$11,#REF!&lt;=table!$F$11),1,0))</f>
        <v>#REF!</v>
      </c>
      <c r="W3876" s="5" t="e">
        <f>CONCATENATE(dados[[#This Row],[fator1]],dados[[#This Row],[fator5]],dados[[#This Row],[fator6]])</f>
        <v>#REF!</v>
      </c>
    </row>
    <row r="3877" spans="1:23">
      <c r="A3877" t="s">
        <v>16</v>
      </c>
      <c r="B3877">
        <v>588678</v>
      </c>
      <c r="C3877">
        <v>16</v>
      </c>
      <c r="D3877">
        <v>35</v>
      </c>
      <c r="E3877">
        <v>36</v>
      </c>
      <c r="F3877">
        <v>10</v>
      </c>
      <c r="G3877">
        <v>0</v>
      </c>
      <c r="H3877">
        <v>25</v>
      </c>
      <c r="I3877">
        <v>56</v>
      </c>
      <c r="J3877">
        <v>0</v>
      </c>
      <c r="K3877">
        <v>3.86</v>
      </c>
      <c r="L3877">
        <v>7.8100000000000005</v>
      </c>
      <c r="M3877">
        <v>28.235000000000003</v>
      </c>
      <c r="N3877">
        <v>10.88</v>
      </c>
      <c r="O3877">
        <v>1674</v>
      </c>
      <c r="P3877">
        <v>0</v>
      </c>
      <c r="Q3877" s="5" t="e">
        <f>IF(AND(#REF!&gt;=table!$C$6,#REF!&lt;= table!$D$6),-1,IF(AND(#REF!&gt;=table!$E$6,#REF!&lt;=table!$F$6),1,0))</f>
        <v>#REF!</v>
      </c>
      <c r="R3877" s="5" t="e">
        <f>IF(AND(#REF!&gt;=table!$C$7,#REF!&lt;= table!$D$7),-1,IF(AND(#REF!&gt;=table!$E$7,#REF!&lt;=table!$F$7),1,0))</f>
        <v>#REF!</v>
      </c>
      <c r="S3877" s="5" t="e">
        <f>IF(AND(#REF!&gt;=table!$C$8,#REF!&lt;= table!$D$8),-1,IF(AND(#REF!&gt;=table!$E$8,#REF!&lt;=table!$F$8),1,0))</f>
        <v>#REF!</v>
      </c>
      <c r="T3877" s="5"/>
      <c r="U3877" s="5" t="e">
        <f>IF(AND(#REF!&gt;=table!$C$10,#REF!&lt;= table!$D$10),-1,IF(AND(#REF!&gt;=table!$E$10,#REF!&lt;=table!$F$10),1,0))</f>
        <v>#REF!</v>
      </c>
      <c r="V3877" s="5" t="e">
        <f>IF(AND(#REF!&gt;=table!$C$11,#REF!&lt;= table!$D$11),-1,IF(AND(#REF!&gt;=table!$E$11,#REF!&lt;=table!$F$11),1,0))</f>
        <v>#REF!</v>
      </c>
      <c r="W3877" s="5" t="e">
        <f>CONCATENATE(dados[[#This Row],[fator1]],dados[[#This Row],[fator5]],dados[[#This Row],[fator6]])</f>
        <v>#REF!</v>
      </c>
    </row>
    <row r="3878" spans="1:23">
      <c r="A3878" t="s">
        <v>16</v>
      </c>
      <c r="B3878">
        <v>588679</v>
      </c>
      <c r="C3878">
        <v>16</v>
      </c>
      <c r="D3878">
        <v>35</v>
      </c>
      <c r="E3878">
        <v>36</v>
      </c>
      <c r="F3878">
        <v>10</v>
      </c>
      <c r="G3878">
        <v>0</v>
      </c>
      <c r="H3878">
        <v>25</v>
      </c>
      <c r="I3878">
        <v>1016</v>
      </c>
      <c r="J3878">
        <v>0</v>
      </c>
      <c r="K3878">
        <v>5.0150000000000006</v>
      </c>
      <c r="L3878">
        <v>14.8</v>
      </c>
      <c r="M3878">
        <v>31.895000000000003</v>
      </c>
      <c r="N3878">
        <v>17.775000000000002</v>
      </c>
      <c r="O3878">
        <v>1660</v>
      </c>
      <c r="P3878">
        <v>612</v>
      </c>
      <c r="Q3878" s="5" t="e">
        <f>IF(AND(#REF!&gt;=table!$C$6,#REF!&lt;= table!$D$6),-1,IF(AND(#REF!&gt;=table!$E$6,#REF!&lt;=table!$F$6),1,0))</f>
        <v>#REF!</v>
      </c>
      <c r="R3878" s="5" t="e">
        <f>IF(AND(#REF!&gt;=table!$C$7,#REF!&lt;= table!$D$7),-1,IF(AND(#REF!&gt;=table!$E$7,#REF!&lt;=table!$F$7),1,0))</f>
        <v>#REF!</v>
      </c>
      <c r="S3878" s="5" t="e">
        <f>IF(AND(#REF!&gt;=table!$C$8,#REF!&lt;= table!$D$8),-1,IF(AND(#REF!&gt;=table!$E$8,#REF!&lt;=table!$F$8),1,0))</f>
        <v>#REF!</v>
      </c>
      <c r="T3878" s="5"/>
      <c r="U3878" s="5" t="e">
        <f>IF(AND(#REF!&gt;=table!$C$10,#REF!&lt;= table!$D$10),-1,IF(AND(#REF!&gt;=table!$E$10,#REF!&lt;=table!$F$10),1,0))</f>
        <v>#REF!</v>
      </c>
      <c r="V3878" s="5" t="e">
        <f>IF(AND(#REF!&gt;=table!$C$11,#REF!&lt;= table!$D$11),-1,IF(AND(#REF!&gt;=table!$E$11,#REF!&lt;=table!$F$11),1,0))</f>
        <v>#REF!</v>
      </c>
      <c r="W3878" s="5" t="e">
        <f>CONCATENATE(dados[[#This Row],[fator1]],dados[[#This Row],[fator5]],dados[[#This Row],[fator6]])</f>
        <v>#REF!</v>
      </c>
    </row>
    <row r="3879" spans="1:23">
      <c r="A3879" t="s">
        <v>16</v>
      </c>
      <c r="B3879">
        <v>588685</v>
      </c>
      <c r="C3879">
        <v>16</v>
      </c>
      <c r="D3879">
        <v>35</v>
      </c>
      <c r="E3879">
        <v>36</v>
      </c>
      <c r="F3879">
        <v>10</v>
      </c>
      <c r="G3879">
        <v>0</v>
      </c>
      <c r="H3879">
        <v>25</v>
      </c>
      <c r="I3879">
        <v>30</v>
      </c>
      <c r="J3879">
        <v>510</v>
      </c>
      <c r="K3879">
        <v>2.843</v>
      </c>
      <c r="L3879">
        <v>8.7744999999999997</v>
      </c>
      <c r="M3879">
        <v>28.610500000000002</v>
      </c>
      <c r="N3879">
        <v>11.8</v>
      </c>
      <c r="O3879">
        <v>1673</v>
      </c>
      <c r="P3879">
        <v>0</v>
      </c>
      <c r="Q3879" s="5" t="e">
        <f>IF(AND(#REF!&gt;=table!$C$6,#REF!&lt;= table!$D$6),-1,IF(AND(#REF!&gt;=table!$E$6,#REF!&lt;=table!$F$6),1,0))</f>
        <v>#REF!</v>
      </c>
      <c r="R3879" s="5" t="e">
        <f>IF(AND(#REF!&gt;=table!$C$7,#REF!&lt;= table!$D$7),-1,IF(AND(#REF!&gt;=table!$E$7,#REF!&lt;=table!$F$7),1,0))</f>
        <v>#REF!</v>
      </c>
      <c r="S3879" s="5" t="e">
        <f>IF(AND(#REF!&gt;=table!$C$8,#REF!&lt;= table!$D$8),-1,IF(AND(#REF!&gt;=table!$E$8,#REF!&lt;=table!$F$8),1,0))</f>
        <v>#REF!</v>
      </c>
      <c r="T3879" s="5"/>
      <c r="U3879" s="5" t="e">
        <f>IF(AND(#REF!&gt;=table!$C$10,#REF!&lt;= table!$D$10),-1,IF(AND(#REF!&gt;=table!$E$10,#REF!&lt;=table!$F$10),1,0))</f>
        <v>#REF!</v>
      </c>
      <c r="V3879" s="5" t="e">
        <f>IF(AND(#REF!&gt;=table!$C$11,#REF!&lt;= table!$D$11),-1,IF(AND(#REF!&gt;=table!$E$11,#REF!&lt;=table!$F$11),1,0))</f>
        <v>#REF!</v>
      </c>
      <c r="W3879" s="5" t="e">
        <f>CONCATENATE(dados[[#This Row],[fator1]],dados[[#This Row],[fator5]],dados[[#This Row],[fator6]])</f>
        <v>#REF!</v>
      </c>
    </row>
    <row r="3880" spans="1:23">
      <c r="A3880" t="s">
        <v>16</v>
      </c>
      <c r="B3880">
        <v>588690</v>
      </c>
      <c r="C3880">
        <v>8</v>
      </c>
      <c r="D3880">
        <v>30</v>
      </c>
      <c r="E3880">
        <v>61</v>
      </c>
      <c r="F3880">
        <v>8</v>
      </c>
      <c r="G3880">
        <v>0</v>
      </c>
      <c r="H3880">
        <v>25</v>
      </c>
      <c r="I3880">
        <v>61</v>
      </c>
      <c r="J3880">
        <v>0</v>
      </c>
      <c r="K3880">
        <v>3.621</v>
      </c>
      <c r="L3880">
        <v>13.766</v>
      </c>
      <c r="M3880">
        <v>55.269500000000001</v>
      </c>
      <c r="N3880">
        <v>18.525000000000002</v>
      </c>
      <c r="O3880">
        <v>1675</v>
      </c>
      <c r="P3880">
        <v>554</v>
      </c>
      <c r="Q3880" s="5" t="e">
        <f>IF(AND(#REF!&gt;=table!$C$6,#REF!&lt;= table!$D$6),-1,IF(AND(#REF!&gt;=table!$E$6,#REF!&lt;=table!$F$6),1,0))</f>
        <v>#REF!</v>
      </c>
      <c r="R3880" s="5" t="e">
        <f>IF(AND(#REF!&gt;=table!$C$7,#REF!&lt;= table!$D$7),-1,IF(AND(#REF!&gt;=table!$E$7,#REF!&lt;=table!$F$7),1,0))</f>
        <v>#REF!</v>
      </c>
      <c r="S3880" s="5" t="e">
        <f>IF(AND(#REF!&gt;=table!$C$8,#REF!&lt;= table!$D$8),-1,IF(AND(#REF!&gt;=table!$E$8,#REF!&lt;=table!$F$8),1,0))</f>
        <v>#REF!</v>
      </c>
      <c r="T3880" s="5"/>
      <c r="U3880" s="5" t="e">
        <f>IF(AND(#REF!&gt;=table!$C$10,#REF!&lt;= table!$D$10),-1,IF(AND(#REF!&gt;=table!$E$10,#REF!&lt;=table!$F$10),1,0))</f>
        <v>#REF!</v>
      </c>
      <c r="V3880" s="5" t="e">
        <f>IF(AND(#REF!&gt;=table!$C$11,#REF!&lt;= table!$D$11),-1,IF(AND(#REF!&gt;=table!$E$11,#REF!&lt;=table!$F$11),1,0))</f>
        <v>#REF!</v>
      </c>
      <c r="W3880" s="5" t="e">
        <f>CONCATENATE(dados[[#This Row],[fator1]],dados[[#This Row],[fator5]],dados[[#This Row],[fator6]])</f>
        <v>#REF!</v>
      </c>
    </row>
    <row r="3881" spans="1:23">
      <c r="A3881" t="s">
        <v>16</v>
      </c>
      <c r="B3881">
        <v>588691</v>
      </c>
      <c r="C3881">
        <v>8</v>
      </c>
      <c r="D3881">
        <v>30</v>
      </c>
      <c r="E3881">
        <v>61</v>
      </c>
      <c r="F3881">
        <v>8</v>
      </c>
      <c r="G3881">
        <v>0</v>
      </c>
      <c r="H3881">
        <v>25</v>
      </c>
      <c r="I3881">
        <v>22</v>
      </c>
      <c r="J3881">
        <v>0</v>
      </c>
      <c r="K3881">
        <v>7.1510000000000007</v>
      </c>
      <c r="L3881">
        <v>14.801500000000001</v>
      </c>
      <c r="M3881">
        <v>60.129000000000005</v>
      </c>
      <c r="N3881">
        <v>15.860000000000001</v>
      </c>
      <c r="O3881">
        <v>1660</v>
      </c>
      <c r="P3881">
        <v>0</v>
      </c>
      <c r="Q3881" s="5" t="e">
        <f>IF(AND(#REF!&gt;=table!$C$6,#REF!&lt;= table!$D$6),-1,IF(AND(#REF!&gt;=table!$E$6,#REF!&lt;=table!$F$6),1,0))</f>
        <v>#REF!</v>
      </c>
      <c r="R3881" s="5" t="e">
        <f>IF(AND(#REF!&gt;=table!$C$7,#REF!&lt;= table!$D$7),-1,IF(AND(#REF!&gt;=table!$E$7,#REF!&lt;=table!$F$7),1,0))</f>
        <v>#REF!</v>
      </c>
      <c r="S3881" s="5" t="e">
        <f>IF(AND(#REF!&gt;=table!$C$8,#REF!&lt;= table!$D$8),-1,IF(AND(#REF!&gt;=table!$E$8,#REF!&lt;=table!$F$8),1,0))</f>
        <v>#REF!</v>
      </c>
      <c r="T3881" s="5"/>
      <c r="U3881" s="5" t="e">
        <f>IF(AND(#REF!&gt;=table!$C$10,#REF!&lt;= table!$D$10),-1,IF(AND(#REF!&gt;=table!$E$10,#REF!&lt;=table!$F$10),1,0))</f>
        <v>#REF!</v>
      </c>
      <c r="V3881" s="5" t="e">
        <f>IF(AND(#REF!&gt;=table!$C$11,#REF!&lt;= table!$D$11),-1,IF(AND(#REF!&gt;=table!$E$11,#REF!&lt;=table!$F$11),1,0))</f>
        <v>#REF!</v>
      </c>
      <c r="W3881" s="5" t="e">
        <f>CONCATENATE(dados[[#This Row],[fator1]],dados[[#This Row],[fator5]],dados[[#This Row],[fator6]])</f>
        <v>#REF!</v>
      </c>
    </row>
    <row r="3882" spans="1:23">
      <c r="A3882" t="s">
        <v>16</v>
      </c>
      <c r="B3882">
        <v>588692</v>
      </c>
      <c r="C3882">
        <v>12</v>
      </c>
      <c r="D3882">
        <v>35</v>
      </c>
      <c r="E3882">
        <v>90</v>
      </c>
      <c r="F3882">
        <v>10</v>
      </c>
      <c r="G3882">
        <v>0</v>
      </c>
      <c r="H3882">
        <v>25</v>
      </c>
      <c r="I3882">
        <v>1000</v>
      </c>
      <c r="J3882">
        <v>0</v>
      </c>
      <c r="K3882">
        <v>3.4225000000000003</v>
      </c>
      <c r="L3882">
        <v>5.8325000000000005</v>
      </c>
      <c r="M3882">
        <v>82.415000000000006</v>
      </c>
      <c r="N3882">
        <v>14.94</v>
      </c>
      <c r="O3882">
        <v>1705</v>
      </c>
      <c r="P3882">
        <v>0</v>
      </c>
      <c r="Q3882" s="5" t="e">
        <f>IF(AND(#REF!&gt;=table!$C$6,#REF!&lt;= table!$D$6),-1,IF(AND(#REF!&gt;=table!$E$6,#REF!&lt;=table!$F$6),1,0))</f>
        <v>#REF!</v>
      </c>
      <c r="R3882" s="5" t="e">
        <f>IF(AND(#REF!&gt;=table!$C$7,#REF!&lt;= table!$D$7),-1,IF(AND(#REF!&gt;=table!$E$7,#REF!&lt;=table!$F$7),1,0))</f>
        <v>#REF!</v>
      </c>
      <c r="S3882" s="5" t="e">
        <f>IF(AND(#REF!&gt;=table!$C$8,#REF!&lt;= table!$D$8),-1,IF(AND(#REF!&gt;=table!$E$8,#REF!&lt;=table!$F$8),1,0))</f>
        <v>#REF!</v>
      </c>
      <c r="T3882" s="5"/>
      <c r="U3882" s="5" t="e">
        <f>IF(AND(#REF!&gt;=table!$C$10,#REF!&lt;= table!$D$10),-1,IF(AND(#REF!&gt;=table!$E$10,#REF!&lt;=table!$F$10),1,0))</f>
        <v>#REF!</v>
      </c>
      <c r="V3882" s="5" t="e">
        <f>IF(AND(#REF!&gt;=table!$C$11,#REF!&lt;= table!$D$11),-1,IF(AND(#REF!&gt;=table!$E$11,#REF!&lt;=table!$F$11),1,0))</f>
        <v>#REF!</v>
      </c>
      <c r="W3882" s="5" t="e">
        <f>CONCATENATE(dados[[#This Row],[fator1]],dados[[#This Row],[fator5]],dados[[#This Row],[fator6]])</f>
        <v>#REF!</v>
      </c>
    </row>
    <row r="3883" spans="1:23">
      <c r="A3883" t="s">
        <v>16</v>
      </c>
      <c r="B3883">
        <v>588696</v>
      </c>
      <c r="C3883">
        <v>0.1</v>
      </c>
      <c r="D3883">
        <v>40</v>
      </c>
      <c r="E3883">
        <v>10</v>
      </c>
      <c r="F3883">
        <v>8</v>
      </c>
      <c r="G3883">
        <v>0</v>
      </c>
      <c r="H3883">
        <v>10</v>
      </c>
      <c r="I3883">
        <v>174</v>
      </c>
      <c r="J3883">
        <v>0</v>
      </c>
      <c r="K3883">
        <v>3.8625000000000003</v>
      </c>
      <c r="L3883">
        <v>11.073500000000001</v>
      </c>
      <c r="M3883">
        <v>9.6390000000000011</v>
      </c>
      <c r="N3883">
        <v>11.11</v>
      </c>
      <c r="O3883">
        <v>1666</v>
      </c>
      <c r="P3883">
        <v>0</v>
      </c>
      <c r="Q3883" s="5" t="e">
        <f>IF(AND(#REF!&gt;=table!$C$6,#REF!&lt;= table!$D$6),-1,IF(AND(#REF!&gt;=table!$E$6,#REF!&lt;=table!$F$6),1,0))</f>
        <v>#REF!</v>
      </c>
      <c r="R3883" s="5" t="e">
        <f>IF(AND(#REF!&gt;=table!$C$7,#REF!&lt;= table!$D$7),-1,IF(AND(#REF!&gt;=table!$E$7,#REF!&lt;=table!$F$7),1,0))</f>
        <v>#REF!</v>
      </c>
      <c r="S3883" s="5" t="e">
        <f>IF(AND(#REF!&gt;=table!$C$8,#REF!&lt;= table!$D$8),-1,IF(AND(#REF!&gt;=table!$E$8,#REF!&lt;=table!$F$8),1,0))</f>
        <v>#REF!</v>
      </c>
      <c r="T3883" s="5"/>
      <c r="U3883" s="5" t="e">
        <f>IF(AND(#REF!&gt;=table!$C$10,#REF!&lt;= table!$D$10),-1,IF(AND(#REF!&gt;=table!$E$10,#REF!&lt;=table!$F$10),1,0))</f>
        <v>#REF!</v>
      </c>
      <c r="V3883" s="5" t="e">
        <f>IF(AND(#REF!&gt;=table!$C$11,#REF!&lt;= table!$D$11),-1,IF(AND(#REF!&gt;=table!$E$11,#REF!&lt;=table!$F$11),1,0))</f>
        <v>#REF!</v>
      </c>
      <c r="W3883" s="5" t="e">
        <f>CONCATENATE(dados[[#This Row],[fator1]],dados[[#This Row],[fator5]],dados[[#This Row],[fator6]])</f>
        <v>#REF!</v>
      </c>
    </row>
    <row r="3884" spans="1:23">
      <c r="A3884" t="s">
        <v>16</v>
      </c>
      <c r="B3884">
        <v>588697</v>
      </c>
      <c r="C3884">
        <v>0.15</v>
      </c>
      <c r="D3884">
        <v>40</v>
      </c>
      <c r="E3884">
        <v>10</v>
      </c>
      <c r="F3884">
        <v>15</v>
      </c>
      <c r="G3884">
        <v>0</v>
      </c>
      <c r="H3884">
        <v>15</v>
      </c>
      <c r="I3884">
        <v>283</v>
      </c>
      <c r="J3884">
        <v>0</v>
      </c>
      <c r="K3884">
        <v>3.5525000000000002</v>
      </c>
      <c r="L3884">
        <v>6.21</v>
      </c>
      <c r="M3884">
        <v>6.2160000000000002</v>
      </c>
      <c r="N3884">
        <v>4.7570000000000006</v>
      </c>
      <c r="O3884">
        <v>1642</v>
      </c>
      <c r="P3884">
        <v>0</v>
      </c>
      <c r="Q3884" s="5" t="e">
        <f>IF(AND(#REF!&gt;=table!$C$6,#REF!&lt;= table!$D$6),-1,IF(AND(#REF!&gt;=table!$E$6,#REF!&lt;=table!$F$6),1,0))</f>
        <v>#REF!</v>
      </c>
      <c r="R3884" s="5" t="e">
        <f>IF(AND(#REF!&gt;=table!$C$7,#REF!&lt;= table!$D$7),-1,IF(AND(#REF!&gt;=table!$E$7,#REF!&lt;=table!$F$7),1,0))</f>
        <v>#REF!</v>
      </c>
      <c r="S3884" s="5" t="e">
        <f>IF(AND(#REF!&gt;=table!$C$8,#REF!&lt;= table!$D$8),-1,IF(AND(#REF!&gt;=table!$E$8,#REF!&lt;=table!$F$8),1,0))</f>
        <v>#REF!</v>
      </c>
      <c r="T3884" s="5"/>
      <c r="U3884" s="5" t="e">
        <f>IF(AND(#REF!&gt;=table!$C$10,#REF!&lt;= table!$D$10),-1,IF(AND(#REF!&gt;=table!$E$10,#REF!&lt;=table!$F$10),1,0))</f>
        <v>#REF!</v>
      </c>
      <c r="V3884" s="5" t="e">
        <f>IF(AND(#REF!&gt;=table!$C$11,#REF!&lt;= table!$D$11),-1,IF(AND(#REF!&gt;=table!$E$11,#REF!&lt;=table!$F$11),1,0))</f>
        <v>#REF!</v>
      </c>
      <c r="W3884" s="5" t="e">
        <f>CONCATENATE(dados[[#This Row],[fator1]],dados[[#This Row],[fator5]],dados[[#This Row],[fator6]])</f>
        <v>#REF!</v>
      </c>
    </row>
    <row r="3885" spans="1:23">
      <c r="A3885" t="s">
        <v>16</v>
      </c>
      <c r="B3885">
        <v>588705</v>
      </c>
      <c r="C3885">
        <v>12</v>
      </c>
      <c r="D3885">
        <v>35</v>
      </c>
      <c r="E3885">
        <v>90</v>
      </c>
      <c r="F3885">
        <v>10</v>
      </c>
      <c r="G3885">
        <v>0</v>
      </c>
      <c r="H3885">
        <v>25</v>
      </c>
      <c r="I3885">
        <v>406</v>
      </c>
      <c r="J3885">
        <v>0</v>
      </c>
      <c r="K3885">
        <v>3.0310000000000001</v>
      </c>
      <c r="L3885">
        <v>7.5860000000000003</v>
      </c>
      <c r="M3885">
        <v>69.433500000000009</v>
      </c>
      <c r="N3885">
        <v>10.78</v>
      </c>
      <c r="O3885">
        <v>1653</v>
      </c>
      <c r="P3885">
        <v>1122</v>
      </c>
      <c r="Q3885" s="5" t="e">
        <f>IF(AND(#REF!&gt;=table!$C$6,#REF!&lt;= table!$D$6),-1,IF(AND(#REF!&gt;=table!$E$6,#REF!&lt;=table!$F$6),1,0))</f>
        <v>#REF!</v>
      </c>
      <c r="R3885" s="5" t="e">
        <f>IF(AND(#REF!&gt;=table!$C$7,#REF!&lt;= table!$D$7),-1,IF(AND(#REF!&gt;=table!$E$7,#REF!&lt;=table!$F$7),1,0))</f>
        <v>#REF!</v>
      </c>
      <c r="S3885" s="5" t="e">
        <f>IF(AND(#REF!&gt;=table!$C$8,#REF!&lt;= table!$D$8),-1,IF(AND(#REF!&gt;=table!$E$8,#REF!&lt;=table!$F$8),1,0))</f>
        <v>#REF!</v>
      </c>
      <c r="T3885" s="5"/>
      <c r="U3885" s="5" t="e">
        <f>IF(AND(#REF!&gt;=table!$C$10,#REF!&lt;= table!$D$10),-1,IF(AND(#REF!&gt;=table!$E$10,#REF!&lt;=table!$F$10),1,0))</f>
        <v>#REF!</v>
      </c>
      <c r="V3885" s="5" t="e">
        <f>IF(AND(#REF!&gt;=table!$C$11,#REF!&lt;= table!$D$11),-1,IF(AND(#REF!&gt;=table!$E$11,#REF!&lt;=table!$F$11),1,0))</f>
        <v>#REF!</v>
      </c>
      <c r="W3885" s="5" t="e">
        <f>CONCATENATE(dados[[#This Row],[fator1]],dados[[#This Row],[fator5]],dados[[#This Row],[fator6]])</f>
        <v>#REF!</v>
      </c>
    </row>
    <row r="3886" spans="1:23">
      <c r="A3886" t="s">
        <v>17</v>
      </c>
      <c r="B3886">
        <v>588707</v>
      </c>
      <c r="C3886">
        <v>8</v>
      </c>
      <c r="D3886">
        <v>33</v>
      </c>
      <c r="E3886">
        <v>160</v>
      </c>
      <c r="F3886">
        <v>3</v>
      </c>
      <c r="G3886">
        <v>25</v>
      </c>
      <c r="H3886">
        <v>21</v>
      </c>
      <c r="I3886">
        <v>105</v>
      </c>
      <c r="J3886">
        <v>0</v>
      </c>
      <c r="K3886">
        <v>4.6945000000000006</v>
      </c>
      <c r="L3886">
        <v>9.0765000000000011</v>
      </c>
      <c r="M3886">
        <v>146.904</v>
      </c>
      <c r="N3886">
        <v>13.48</v>
      </c>
      <c r="O3886">
        <v>1673</v>
      </c>
      <c r="P3886">
        <v>566</v>
      </c>
      <c r="Q3886" s="5" t="e">
        <f>IF(AND(#REF!&gt;=table!$C$6,#REF!&lt;= table!$D$6),-1,IF(AND(#REF!&gt;=table!$E$6,#REF!&lt;=table!$F$6),1,0))</f>
        <v>#REF!</v>
      </c>
      <c r="R3886" s="5" t="e">
        <f>IF(AND(#REF!&gt;=table!$C$7,#REF!&lt;= table!$D$7),-1,IF(AND(#REF!&gt;=table!$E$7,#REF!&lt;=table!$F$7),1,0))</f>
        <v>#REF!</v>
      </c>
      <c r="S3886" s="5" t="e">
        <f>IF(AND(#REF!&gt;=table!$C$8,#REF!&lt;= table!$D$8),-1,IF(AND(#REF!&gt;=table!$E$8,#REF!&lt;=table!$F$8),1,0))</f>
        <v>#REF!</v>
      </c>
      <c r="T3886" s="5"/>
      <c r="U3886" s="5" t="e">
        <f>IF(AND(#REF!&gt;=table!$C$10,#REF!&lt;= table!$D$10),-1,IF(AND(#REF!&gt;=table!$E$10,#REF!&lt;=table!$F$10),1,0))</f>
        <v>#REF!</v>
      </c>
      <c r="V3886" s="5" t="e">
        <f>IF(AND(#REF!&gt;=table!$C$11,#REF!&lt;= table!$D$11),-1,IF(AND(#REF!&gt;=table!$E$11,#REF!&lt;=table!$F$11),1,0))</f>
        <v>#REF!</v>
      </c>
      <c r="W3886" s="5" t="e">
        <f>CONCATENATE(dados[[#This Row],[fator1]],dados[[#This Row],[fator5]],dados[[#This Row],[fator6]])</f>
        <v>#REF!</v>
      </c>
    </row>
    <row r="3887" spans="1:23">
      <c r="A3887" t="s">
        <v>16</v>
      </c>
      <c r="B3887">
        <v>588708</v>
      </c>
      <c r="C3887">
        <v>12</v>
      </c>
      <c r="D3887">
        <v>35</v>
      </c>
      <c r="E3887">
        <v>90</v>
      </c>
      <c r="F3887">
        <v>10</v>
      </c>
      <c r="G3887">
        <v>0</v>
      </c>
      <c r="H3887">
        <v>25</v>
      </c>
      <c r="I3887">
        <v>2</v>
      </c>
      <c r="J3887">
        <v>0</v>
      </c>
      <c r="K3887">
        <v>2.86</v>
      </c>
      <c r="L3887">
        <v>11.325000000000001</v>
      </c>
      <c r="M3887">
        <v>63.618500000000004</v>
      </c>
      <c r="N3887">
        <v>17.955000000000002</v>
      </c>
      <c r="O3887">
        <v>1665</v>
      </c>
      <c r="P3887">
        <v>979</v>
      </c>
      <c r="Q3887" s="5" t="e">
        <f>IF(AND(#REF!&gt;=table!$C$6,#REF!&lt;= table!$D$6),-1,IF(AND(#REF!&gt;=table!$E$6,#REF!&lt;=table!$F$6),1,0))</f>
        <v>#REF!</v>
      </c>
      <c r="R3887" s="5" t="e">
        <f>IF(AND(#REF!&gt;=table!$C$7,#REF!&lt;= table!$D$7),-1,IF(AND(#REF!&gt;=table!$E$7,#REF!&lt;=table!$F$7),1,0))</f>
        <v>#REF!</v>
      </c>
      <c r="S3887" s="5" t="e">
        <f>IF(AND(#REF!&gt;=table!$C$8,#REF!&lt;= table!$D$8),-1,IF(AND(#REF!&gt;=table!$E$8,#REF!&lt;=table!$F$8),1,0))</f>
        <v>#REF!</v>
      </c>
      <c r="T3887" s="5"/>
      <c r="U3887" s="5" t="e">
        <f>IF(AND(#REF!&gt;=table!$C$10,#REF!&lt;= table!$D$10),-1,IF(AND(#REF!&gt;=table!$E$10,#REF!&lt;=table!$F$10),1,0))</f>
        <v>#REF!</v>
      </c>
      <c r="V3887" s="5" t="e">
        <f>IF(AND(#REF!&gt;=table!$C$11,#REF!&lt;= table!$D$11),-1,IF(AND(#REF!&gt;=table!$E$11,#REF!&lt;=table!$F$11),1,0))</f>
        <v>#REF!</v>
      </c>
      <c r="W3887" s="5" t="e">
        <f>CONCATENATE(dados[[#This Row],[fator1]],dados[[#This Row],[fator5]],dados[[#This Row],[fator6]])</f>
        <v>#REF!</v>
      </c>
    </row>
    <row r="3888" spans="1:23">
      <c r="A3888" t="s">
        <v>17</v>
      </c>
      <c r="B3888">
        <v>588710</v>
      </c>
      <c r="C3888">
        <v>8</v>
      </c>
      <c r="D3888">
        <v>33</v>
      </c>
      <c r="E3888">
        <v>160</v>
      </c>
      <c r="F3888">
        <v>3</v>
      </c>
      <c r="G3888">
        <v>25</v>
      </c>
      <c r="H3888">
        <v>21</v>
      </c>
      <c r="I3888">
        <v>362</v>
      </c>
      <c r="J3888">
        <v>0</v>
      </c>
      <c r="K3888">
        <v>3.2333000000000003</v>
      </c>
      <c r="L3888">
        <v>6.6150000000000002</v>
      </c>
      <c r="M3888">
        <v>124.53</v>
      </c>
      <c r="N3888">
        <v>11.015000000000001</v>
      </c>
      <c r="O3888">
        <v>1680</v>
      </c>
      <c r="P3888">
        <v>0</v>
      </c>
      <c r="Q3888" s="5" t="e">
        <f>IF(AND(#REF!&gt;=table!$C$6,#REF!&lt;= table!$D$6),-1,IF(AND(#REF!&gt;=table!$E$6,#REF!&lt;=table!$F$6),1,0))</f>
        <v>#REF!</v>
      </c>
      <c r="R3888" s="5" t="e">
        <f>IF(AND(#REF!&gt;=table!$C$7,#REF!&lt;= table!$D$7),-1,IF(AND(#REF!&gt;=table!$E$7,#REF!&lt;=table!$F$7),1,0))</f>
        <v>#REF!</v>
      </c>
      <c r="S3888" s="5" t="e">
        <f>IF(AND(#REF!&gt;=table!$C$8,#REF!&lt;= table!$D$8),-1,IF(AND(#REF!&gt;=table!$E$8,#REF!&lt;=table!$F$8),1,0))</f>
        <v>#REF!</v>
      </c>
      <c r="T3888" s="5"/>
      <c r="U3888" s="5" t="e">
        <f>IF(AND(#REF!&gt;=table!$C$10,#REF!&lt;= table!$D$10),-1,IF(AND(#REF!&gt;=table!$E$10,#REF!&lt;=table!$F$10),1,0))</f>
        <v>#REF!</v>
      </c>
      <c r="V3888" s="5" t="e">
        <f>IF(AND(#REF!&gt;=table!$C$11,#REF!&lt;= table!$D$11),-1,IF(AND(#REF!&gt;=table!$E$11,#REF!&lt;=table!$F$11),1,0))</f>
        <v>#REF!</v>
      </c>
      <c r="W3888" s="5" t="e">
        <f>CONCATENATE(dados[[#This Row],[fator1]],dados[[#This Row],[fator5]],dados[[#This Row],[fator6]])</f>
        <v>#REF!</v>
      </c>
    </row>
    <row r="3889" spans="1:23">
      <c r="A3889" t="s">
        <v>17</v>
      </c>
      <c r="B3889">
        <v>588711</v>
      </c>
      <c r="C3889">
        <v>8</v>
      </c>
      <c r="D3889">
        <v>33</v>
      </c>
      <c r="E3889">
        <v>160</v>
      </c>
      <c r="F3889">
        <v>3</v>
      </c>
      <c r="G3889">
        <v>25</v>
      </c>
      <c r="H3889">
        <v>21</v>
      </c>
      <c r="I3889">
        <v>320</v>
      </c>
      <c r="J3889">
        <v>1010</v>
      </c>
      <c r="K3889">
        <v>3.2745000000000002</v>
      </c>
      <c r="L3889">
        <v>7.9550000000000001</v>
      </c>
      <c r="M3889">
        <v>149.137</v>
      </c>
      <c r="N3889">
        <v>11.725000000000001</v>
      </c>
      <c r="O3889">
        <v>1634</v>
      </c>
      <c r="P3889">
        <v>0</v>
      </c>
      <c r="Q3889" s="5" t="e">
        <f>IF(AND(#REF!&gt;=table!$C$6,#REF!&lt;= table!$D$6),-1,IF(AND(#REF!&gt;=table!$E$6,#REF!&lt;=table!$F$6),1,0))</f>
        <v>#REF!</v>
      </c>
      <c r="R3889" s="5" t="e">
        <f>IF(AND(#REF!&gt;=table!$C$7,#REF!&lt;= table!$D$7),-1,IF(AND(#REF!&gt;=table!$E$7,#REF!&lt;=table!$F$7),1,0))</f>
        <v>#REF!</v>
      </c>
      <c r="S3889" s="5" t="e">
        <f>IF(AND(#REF!&gt;=table!$C$8,#REF!&lt;= table!$D$8),-1,IF(AND(#REF!&gt;=table!$E$8,#REF!&lt;=table!$F$8),1,0))</f>
        <v>#REF!</v>
      </c>
      <c r="T3889" s="5"/>
      <c r="U3889" s="5" t="e">
        <f>IF(AND(#REF!&gt;=table!$C$10,#REF!&lt;= table!$D$10),-1,IF(AND(#REF!&gt;=table!$E$10,#REF!&lt;=table!$F$10),1,0))</f>
        <v>#REF!</v>
      </c>
      <c r="V3889" s="5" t="e">
        <f>IF(AND(#REF!&gt;=table!$C$11,#REF!&lt;= table!$D$11),-1,IF(AND(#REF!&gt;=table!$E$11,#REF!&lt;=table!$F$11),1,0))</f>
        <v>#REF!</v>
      </c>
      <c r="W3889" s="5" t="e">
        <f>CONCATENATE(dados[[#This Row],[fator1]],dados[[#This Row],[fator5]],dados[[#This Row],[fator6]])</f>
        <v>#REF!</v>
      </c>
    </row>
    <row r="3890" spans="1:23">
      <c r="A3890" t="s">
        <v>17</v>
      </c>
      <c r="B3890">
        <v>588713</v>
      </c>
      <c r="C3890">
        <v>8</v>
      </c>
      <c r="D3890">
        <v>33</v>
      </c>
      <c r="E3890">
        <v>160</v>
      </c>
      <c r="F3890">
        <v>3</v>
      </c>
      <c r="G3890">
        <v>25</v>
      </c>
      <c r="H3890">
        <v>21</v>
      </c>
      <c r="I3890">
        <v>548</v>
      </c>
      <c r="J3890">
        <v>0</v>
      </c>
      <c r="K3890">
        <v>3.0795000000000003</v>
      </c>
      <c r="L3890">
        <v>5.2725</v>
      </c>
      <c r="M3890">
        <v>143.82650000000001</v>
      </c>
      <c r="N3890">
        <v>10.715</v>
      </c>
      <c r="O3890">
        <v>1694</v>
      </c>
      <c r="P3890">
        <v>0</v>
      </c>
      <c r="Q3890" s="5" t="e">
        <f>IF(AND(#REF!&gt;=table!$C$6,#REF!&lt;= table!$D$6),-1,IF(AND(#REF!&gt;=table!$E$6,#REF!&lt;=table!$F$6),1,0))</f>
        <v>#REF!</v>
      </c>
      <c r="R3890" s="5" t="e">
        <f>IF(AND(#REF!&gt;=table!$C$7,#REF!&lt;= table!$D$7),-1,IF(AND(#REF!&gt;=table!$E$7,#REF!&lt;=table!$F$7),1,0))</f>
        <v>#REF!</v>
      </c>
      <c r="S3890" s="5" t="e">
        <f>IF(AND(#REF!&gt;=table!$C$8,#REF!&lt;= table!$D$8),-1,IF(AND(#REF!&gt;=table!$E$8,#REF!&lt;=table!$F$8),1,0))</f>
        <v>#REF!</v>
      </c>
      <c r="T3890" s="5"/>
      <c r="U3890" s="5" t="e">
        <f>IF(AND(#REF!&gt;=table!$C$10,#REF!&lt;= table!$D$10),-1,IF(AND(#REF!&gt;=table!$E$10,#REF!&lt;=table!$F$10),1,0))</f>
        <v>#REF!</v>
      </c>
      <c r="V3890" s="5" t="e">
        <f>IF(AND(#REF!&gt;=table!$C$11,#REF!&lt;= table!$D$11),-1,IF(AND(#REF!&gt;=table!$E$11,#REF!&lt;=table!$F$11),1,0))</f>
        <v>#REF!</v>
      </c>
      <c r="W3890" s="5" t="e">
        <f>CONCATENATE(dados[[#This Row],[fator1]],dados[[#This Row],[fator5]],dados[[#This Row],[fator6]])</f>
        <v>#REF!</v>
      </c>
    </row>
    <row r="3891" spans="1:23">
      <c r="A3891" t="s">
        <v>17</v>
      </c>
      <c r="B3891">
        <v>588714</v>
      </c>
      <c r="C3891">
        <v>8</v>
      </c>
      <c r="D3891">
        <v>33</v>
      </c>
      <c r="E3891">
        <v>160</v>
      </c>
      <c r="F3891">
        <v>3</v>
      </c>
      <c r="G3891">
        <v>25</v>
      </c>
      <c r="H3891">
        <v>21</v>
      </c>
      <c r="I3891">
        <v>110</v>
      </c>
      <c r="J3891">
        <v>1790</v>
      </c>
      <c r="K3891">
        <v>3.2670000000000003</v>
      </c>
      <c r="L3891">
        <v>7.9555000000000007</v>
      </c>
      <c r="M3891">
        <v>146.8235</v>
      </c>
      <c r="N3891">
        <v>11.450000000000001</v>
      </c>
      <c r="O3891">
        <v>1572</v>
      </c>
      <c r="P3891">
        <v>0</v>
      </c>
      <c r="Q3891" s="5" t="e">
        <f>IF(AND(#REF!&gt;=table!$C$6,#REF!&lt;= table!$D$6),-1,IF(AND(#REF!&gt;=table!$E$6,#REF!&lt;=table!$F$6),1,0))</f>
        <v>#REF!</v>
      </c>
      <c r="R3891" s="5" t="e">
        <f>IF(AND(#REF!&gt;=table!$C$7,#REF!&lt;= table!$D$7),-1,IF(AND(#REF!&gt;=table!$E$7,#REF!&lt;=table!$F$7),1,0))</f>
        <v>#REF!</v>
      </c>
      <c r="S3891" s="5" t="e">
        <f>IF(AND(#REF!&gt;=table!$C$8,#REF!&lt;= table!$D$8),-1,IF(AND(#REF!&gt;=table!$E$8,#REF!&lt;=table!$F$8),1,0))</f>
        <v>#REF!</v>
      </c>
      <c r="T3891" s="5"/>
      <c r="U3891" s="5" t="e">
        <f>IF(AND(#REF!&gt;=table!$C$10,#REF!&lt;= table!$D$10),-1,IF(AND(#REF!&gt;=table!$E$10,#REF!&lt;=table!$F$10),1,0))</f>
        <v>#REF!</v>
      </c>
      <c r="V3891" s="5" t="e">
        <f>IF(AND(#REF!&gt;=table!$C$11,#REF!&lt;= table!$D$11),-1,IF(AND(#REF!&gt;=table!$E$11,#REF!&lt;=table!$F$11),1,0))</f>
        <v>#REF!</v>
      </c>
      <c r="W3891" s="5" t="e">
        <f>CONCATENATE(dados[[#This Row],[fator1]],dados[[#This Row],[fator5]],dados[[#This Row],[fator6]])</f>
        <v>#REF!</v>
      </c>
    </row>
    <row r="3892" spans="1:23">
      <c r="A3892" t="s">
        <v>17</v>
      </c>
      <c r="B3892">
        <v>588716</v>
      </c>
      <c r="C3892">
        <v>20</v>
      </c>
      <c r="D3892">
        <v>33</v>
      </c>
      <c r="E3892">
        <v>66</v>
      </c>
      <c r="F3892">
        <v>4</v>
      </c>
      <c r="G3892">
        <v>20</v>
      </c>
      <c r="H3892">
        <v>25</v>
      </c>
      <c r="I3892">
        <v>70</v>
      </c>
      <c r="J3892">
        <v>570</v>
      </c>
      <c r="K3892">
        <v>4.6349999999999998</v>
      </c>
      <c r="L3892">
        <v>9.7025000000000006</v>
      </c>
      <c r="M3892">
        <v>53.518500000000003</v>
      </c>
      <c r="N3892">
        <v>12.23</v>
      </c>
      <c r="O3892">
        <v>1629</v>
      </c>
      <c r="P3892">
        <v>778</v>
      </c>
      <c r="Q3892" s="5" t="e">
        <f>IF(AND(#REF!&gt;=table!$C$6,#REF!&lt;= table!$D$6),-1,IF(AND(#REF!&gt;=table!$E$6,#REF!&lt;=table!$F$6),1,0))</f>
        <v>#REF!</v>
      </c>
      <c r="R3892" s="5" t="e">
        <f>IF(AND(#REF!&gt;=table!$C$7,#REF!&lt;= table!$D$7),-1,IF(AND(#REF!&gt;=table!$E$7,#REF!&lt;=table!$F$7),1,0))</f>
        <v>#REF!</v>
      </c>
      <c r="S3892" s="5" t="e">
        <f>IF(AND(#REF!&gt;=table!$C$8,#REF!&lt;= table!$D$8),-1,IF(AND(#REF!&gt;=table!$E$8,#REF!&lt;=table!$F$8),1,0))</f>
        <v>#REF!</v>
      </c>
      <c r="T3892" s="5"/>
      <c r="U3892" s="5" t="e">
        <f>IF(AND(#REF!&gt;=table!$C$10,#REF!&lt;= table!$D$10),-1,IF(AND(#REF!&gt;=table!$E$10,#REF!&lt;=table!$F$10),1,0))</f>
        <v>#REF!</v>
      </c>
      <c r="V3892" s="5" t="e">
        <f>IF(AND(#REF!&gt;=table!$C$11,#REF!&lt;= table!$D$11),-1,IF(AND(#REF!&gt;=table!$E$11,#REF!&lt;=table!$F$11),1,0))</f>
        <v>#REF!</v>
      </c>
      <c r="W3892" s="5" t="e">
        <f>CONCATENATE(dados[[#This Row],[fator1]],dados[[#This Row],[fator5]],dados[[#This Row],[fator6]])</f>
        <v>#REF!</v>
      </c>
    </row>
    <row r="3893" spans="1:23">
      <c r="A3893" t="s">
        <v>17</v>
      </c>
      <c r="B3893">
        <v>588719</v>
      </c>
      <c r="C3893">
        <v>15</v>
      </c>
      <c r="D3893">
        <v>25</v>
      </c>
      <c r="E3893">
        <v>126</v>
      </c>
      <c r="F3893">
        <v>10</v>
      </c>
      <c r="G3893">
        <v>23</v>
      </c>
      <c r="H3893">
        <v>25</v>
      </c>
      <c r="I3893">
        <v>0</v>
      </c>
      <c r="J3893">
        <v>570</v>
      </c>
      <c r="K3893">
        <v>3.1255000000000002</v>
      </c>
      <c r="L3893">
        <v>7.9950000000000001</v>
      </c>
      <c r="M3893">
        <v>110.10600000000001</v>
      </c>
      <c r="N3893">
        <v>13.085000000000001</v>
      </c>
      <c r="O3893">
        <v>1632</v>
      </c>
      <c r="P3893">
        <v>0</v>
      </c>
      <c r="Q3893" s="5" t="e">
        <f>IF(AND(#REF!&gt;=table!$C$6,#REF!&lt;= table!$D$6),-1,IF(AND(#REF!&gt;=table!$E$6,#REF!&lt;=table!$F$6),1,0))</f>
        <v>#REF!</v>
      </c>
      <c r="R3893" s="5" t="e">
        <f>IF(AND(#REF!&gt;=table!$C$7,#REF!&lt;= table!$D$7),-1,IF(AND(#REF!&gt;=table!$E$7,#REF!&lt;=table!$F$7),1,0))</f>
        <v>#REF!</v>
      </c>
      <c r="S3893" s="5" t="e">
        <f>IF(AND(#REF!&gt;=table!$C$8,#REF!&lt;= table!$D$8),-1,IF(AND(#REF!&gt;=table!$E$8,#REF!&lt;=table!$F$8),1,0))</f>
        <v>#REF!</v>
      </c>
      <c r="T3893" s="5"/>
      <c r="U3893" s="5" t="e">
        <f>IF(AND(#REF!&gt;=table!$C$10,#REF!&lt;= table!$D$10),-1,IF(AND(#REF!&gt;=table!$E$10,#REF!&lt;=table!$F$10),1,0))</f>
        <v>#REF!</v>
      </c>
      <c r="V3893" s="5" t="e">
        <f>IF(AND(#REF!&gt;=table!$C$11,#REF!&lt;= table!$D$11),-1,IF(AND(#REF!&gt;=table!$E$11,#REF!&lt;=table!$F$11),1,0))</f>
        <v>#REF!</v>
      </c>
      <c r="W3893" s="5" t="e">
        <f>CONCATENATE(dados[[#This Row],[fator1]],dados[[#This Row],[fator5]],dados[[#This Row],[fator6]])</f>
        <v>#REF!</v>
      </c>
    </row>
    <row r="3894" spans="1:23">
      <c r="A3894" t="s">
        <v>17</v>
      </c>
      <c r="B3894">
        <v>588722</v>
      </c>
      <c r="C3894">
        <v>14</v>
      </c>
      <c r="D3894">
        <v>30</v>
      </c>
      <c r="E3894">
        <v>210</v>
      </c>
      <c r="F3894">
        <v>3</v>
      </c>
      <c r="G3894">
        <v>40</v>
      </c>
      <c r="H3894">
        <v>25</v>
      </c>
      <c r="I3894">
        <v>213</v>
      </c>
      <c r="J3894">
        <v>0</v>
      </c>
      <c r="K3894">
        <v>3.2095000000000002</v>
      </c>
      <c r="L3894">
        <v>10.831000000000001</v>
      </c>
      <c r="M3894">
        <v>186.304</v>
      </c>
      <c r="N3894">
        <v>16.125</v>
      </c>
      <c r="O3894">
        <v>1682</v>
      </c>
      <c r="P3894">
        <v>0</v>
      </c>
      <c r="Q3894" s="5" t="e">
        <f>IF(AND(#REF!&gt;=table!$C$6,#REF!&lt;= table!$D$6),-1,IF(AND(#REF!&gt;=table!$E$6,#REF!&lt;=table!$F$6),1,0))</f>
        <v>#REF!</v>
      </c>
      <c r="R3894" s="5" t="e">
        <f>IF(AND(#REF!&gt;=table!$C$7,#REF!&lt;= table!$D$7),-1,IF(AND(#REF!&gt;=table!$E$7,#REF!&lt;=table!$F$7),1,0))</f>
        <v>#REF!</v>
      </c>
      <c r="S3894" s="5" t="e">
        <f>IF(AND(#REF!&gt;=table!$C$8,#REF!&lt;= table!$D$8),-1,IF(AND(#REF!&gt;=table!$E$8,#REF!&lt;=table!$F$8),1,0))</f>
        <v>#REF!</v>
      </c>
      <c r="T3894" s="5"/>
      <c r="U3894" s="5" t="e">
        <f>IF(AND(#REF!&gt;=table!$C$10,#REF!&lt;= table!$D$10),-1,IF(AND(#REF!&gt;=table!$E$10,#REF!&lt;=table!$F$10),1,0))</f>
        <v>#REF!</v>
      </c>
      <c r="V3894" s="5" t="e">
        <f>IF(AND(#REF!&gt;=table!$C$11,#REF!&lt;= table!$D$11),-1,IF(AND(#REF!&gt;=table!$E$11,#REF!&lt;=table!$F$11),1,0))</f>
        <v>#REF!</v>
      </c>
      <c r="W3894" s="5" t="e">
        <f>CONCATENATE(dados[[#This Row],[fator1]],dados[[#This Row],[fator5]],dados[[#This Row],[fator6]])</f>
        <v>#REF!</v>
      </c>
    </row>
    <row r="3895" spans="1:23">
      <c r="A3895" t="s">
        <v>17</v>
      </c>
      <c r="B3895">
        <v>588723</v>
      </c>
      <c r="C3895">
        <v>17</v>
      </c>
      <c r="D3895">
        <v>35</v>
      </c>
      <c r="E3895">
        <v>140</v>
      </c>
      <c r="F3895">
        <v>4</v>
      </c>
      <c r="G3895">
        <v>30</v>
      </c>
      <c r="H3895">
        <v>25</v>
      </c>
      <c r="I3895">
        <v>419</v>
      </c>
      <c r="J3895">
        <v>940</v>
      </c>
      <c r="K3895">
        <v>15.572500000000002</v>
      </c>
      <c r="L3895">
        <v>22.631500000000003</v>
      </c>
      <c r="M3895">
        <v>132.2525</v>
      </c>
      <c r="N3895">
        <v>16.734999999999999</v>
      </c>
      <c r="O3895">
        <v>1679</v>
      </c>
      <c r="P3895">
        <v>213</v>
      </c>
      <c r="Q3895" s="5" t="e">
        <f>IF(AND(#REF!&gt;=table!$C$6,#REF!&lt;= table!$D$6),-1,IF(AND(#REF!&gt;=table!$E$6,#REF!&lt;=table!$F$6),1,0))</f>
        <v>#REF!</v>
      </c>
      <c r="R3895" s="5" t="e">
        <f>IF(AND(#REF!&gt;=table!$C$7,#REF!&lt;= table!$D$7),-1,IF(AND(#REF!&gt;=table!$E$7,#REF!&lt;=table!$F$7),1,0))</f>
        <v>#REF!</v>
      </c>
      <c r="S3895" s="5" t="e">
        <f>IF(AND(#REF!&gt;=table!$C$8,#REF!&lt;= table!$D$8),-1,IF(AND(#REF!&gt;=table!$E$8,#REF!&lt;=table!$F$8),1,0))</f>
        <v>#REF!</v>
      </c>
      <c r="T3895" s="5"/>
      <c r="U3895" s="5" t="e">
        <f>IF(AND(#REF!&gt;=table!$C$10,#REF!&lt;= table!$D$10),-1,IF(AND(#REF!&gt;=table!$E$10,#REF!&lt;=table!$F$10),1,0))</f>
        <v>#REF!</v>
      </c>
      <c r="V3895" s="5" t="e">
        <f>IF(AND(#REF!&gt;=table!$C$11,#REF!&lt;= table!$D$11),-1,IF(AND(#REF!&gt;=table!$E$11,#REF!&lt;=table!$F$11),1,0))</f>
        <v>#REF!</v>
      </c>
      <c r="W3895" s="5" t="e">
        <f>CONCATENATE(dados[[#This Row],[fator1]],dados[[#This Row],[fator5]],dados[[#This Row],[fator6]])</f>
        <v>#REF!</v>
      </c>
    </row>
    <row r="3896" spans="1:23">
      <c r="A3896" t="s">
        <v>17</v>
      </c>
      <c r="B3896">
        <v>588726</v>
      </c>
      <c r="C3896">
        <v>17</v>
      </c>
      <c r="D3896">
        <v>35</v>
      </c>
      <c r="E3896">
        <v>140</v>
      </c>
      <c r="F3896">
        <v>4</v>
      </c>
      <c r="G3896">
        <v>30</v>
      </c>
      <c r="H3896">
        <v>25</v>
      </c>
      <c r="I3896">
        <v>5</v>
      </c>
      <c r="J3896">
        <v>0</v>
      </c>
      <c r="K3896">
        <v>5.53</v>
      </c>
      <c r="L3896">
        <v>21.733000000000001</v>
      </c>
      <c r="M3896">
        <v>91.241</v>
      </c>
      <c r="N3896">
        <v>19.645</v>
      </c>
      <c r="O3896">
        <v>1681</v>
      </c>
      <c r="P3896">
        <v>0</v>
      </c>
      <c r="Q3896" s="5" t="e">
        <f>IF(AND(#REF!&gt;=table!$C$6,#REF!&lt;= table!$D$6),-1,IF(AND(#REF!&gt;=table!$E$6,#REF!&lt;=table!$F$6),1,0))</f>
        <v>#REF!</v>
      </c>
      <c r="R3896" s="5" t="e">
        <f>IF(AND(#REF!&gt;=table!$C$7,#REF!&lt;= table!$D$7),-1,IF(AND(#REF!&gt;=table!$E$7,#REF!&lt;=table!$F$7),1,0))</f>
        <v>#REF!</v>
      </c>
      <c r="S3896" s="5" t="e">
        <f>IF(AND(#REF!&gt;=table!$C$8,#REF!&lt;= table!$D$8),-1,IF(AND(#REF!&gt;=table!$E$8,#REF!&lt;=table!$F$8),1,0))</f>
        <v>#REF!</v>
      </c>
      <c r="T3896" s="5"/>
      <c r="U3896" s="5" t="e">
        <f>IF(AND(#REF!&gt;=table!$C$10,#REF!&lt;= table!$D$10),-1,IF(AND(#REF!&gt;=table!$E$10,#REF!&lt;=table!$F$10),1,0))</f>
        <v>#REF!</v>
      </c>
      <c r="V3896" s="5" t="e">
        <f>IF(AND(#REF!&gt;=table!$C$11,#REF!&lt;= table!$D$11),-1,IF(AND(#REF!&gt;=table!$E$11,#REF!&lt;=table!$F$11),1,0))</f>
        <v>#REF!</v>
      </c>
      <c r="W3896" s="5" t="e">
        <f>CONCATENATE(dados[[#This Row],[fator1]],dados[[#This Row],[fator5]],dados[[#This Row],[fator6]])</f>
        <v>#REF!</v>
      </c>
    </row>
    <row r="3897" spans="1:23">
      <c r="A3897" t="s">
        <v>17</v>
      </c>
      <c r="B3897">
        <v>588728</v>
      </c>
      <c r="C3897">
        <v>8</v>
      </c>
      <c r="D3897">
        <v>25</v>
      </c>
      <c r="E3897">
        <v>140</v>
      </c>
      <c r="F3897">
        <v>6</v>
      </c>
      <c r="G3897">
        <v>8</v>
      </c>
      <c r="H3897">
        <v>25</v>
      </c>
      <c r="I3897">
        <v>2</v>
      </c>
      <c r="J3897">
        <v>0</v>
      </c>
      <c r="K3897">
        <v>5.1924999999999999</v>
      </c>
      <c r="L3897">
        <v>17.170000000000002</v>
      </c>
      <c r="M3897">
        <v>120.81</v>
      </c>
      <c r="N3897">
        <v>16.580000000000002</v>
      </c>
      <c r="O3897">
        <v>1664</v>
      </c>
      <c r="P3897">
        <v>627</v>
      </c>
      <c r="Q3897" s="5" t="e">
        <f>IF(AND(#REF!&gt;=table!$C$6,#REF!&lt;= table!$D$6),-1,IF(AND(#REF!&gt;=table!$E$6,#REF!&lt;=table!$F$6),1,0))</f>
        <v>#REF!</v>
      </c>
      <c r="R3897" s="5" t="e">
        <f>IF(AND(#REF!&gt;=table!$C$7,#REF!&lt;= table!$D$7),-1,IF(AND(#REF!&gt;=table!$E$7,#REF!&lt;=table!$F$7),1,0))</f>
        <v>#REF!</v>
      </c>
      <c r="S3897" s="5" t="e">
        <f>IF(AND(#REF!&gt;=table!$C$8,#REF!&lt;= table!$D$8),-1,IF(AND(#REF!&gt;=table!$E$8,#REF!&lt;=table!$F$8),1,0))</f>
        <v>#REF!</v>
      </c>
      <c r="T3897" s="5"/>
      <c r="U3897" s="5" t="e">
        <f>IF(AND(#REF!&gt;=table!$C$10,#REF!&lt;= table!$D$10),-1,IF(AND(#REF!&gt;=table!$E$10,#REF!&lt;=table!$F$10),1,0))</f>
        <v>#REF!</v>
      </c>
      <c r="V3897" s="5" t="e">
        <f>IF(AND(#REF!&gt;=table!$C$11,#REF!&lt;= table!$D$11),-1,IF(AND(#REF!&gt;=table!$E$11,#REF!&lt;=table!$F$11),1,0))</f>
        <v>#REF!</v>
      </c>
      <c r="W3897" s="5" t="e">
        <f>CONCATENATE(dados[[#This Row],[fator1]],dados[[#This Row],[fator5]],dados[[#This Row],[fator6]])</f>
        <v>#REF!</v>
      </c>
    </row>
    <row r="3898" spans="1:23">
      <c r="A3898" t="s">
        <v>17</v>
      </c>
      <c r="B3898">
        <v>588729</v>
      </c>
      <c r="C3898">
        <v>8</v>
      </c>
      <c r="D3898">
        <v>25</v>
      </c>
      <c r="E3898">
        <v>136</v>
      </c>
      <c r="F3898">
        <v>6</v>
      </c>
      <c r="G3898">
        <v>8</v>
      </c>
      <c r="H3898">
        <v>25</v>
      </c>
      <c r="I3898">
        <v>184</v>
      </c>
      <c r="J3898">
        <v>0</v>
      </c>
      <c r="K3898">
        <v>3.34</v>
      </c>
      <c r="L3898">
        <v>13.5</v>
      </c>
      <c r="M3898">
        <v>123.4</v>
      </c>
      <c r="N3898">
        <v>14.5</v>
      </c>
      <c r="O3898">
        <v>1661</v>
      </c>
      <c r="P3898">
        <v>0</v>
      </c>
      <c r="Q3898" s="5" t="e">
        <f>IF(AND(#REF!&gt;=table!$C$6,#REF!&lt;= table!$D$6),-1,IF(AND(#REF!&gt;=table!$E$6,#REF!&lt;=table!$F$6),1,0))</f>
        <v>#REF!</v>
      </c>
      <c r="R3898" s="5" t="e">
        <f>IF(AND(#REF!&gt;=table!$C$7,#REF!&lt;= table!$D$7),-1,IF(AND(#REF!&gt;=table!$E$7,#REF!&lt;=table!$F$7),1,0))</f>
        <v>#REF!</v>
      </c>
      <c r="S3898" s="5" t="e">
        <f>IF(AND(#REF!&gt;=table!$C$8,#REF!&lt;= table!$D$8),-1,IF(AND(#REF!&gt;=table!$E$8,#REF!&lt;=table!$F$8),1,0))</f>
        <v>#REF!</v>
      </c>
      <c r="T3898" s="5"/>
      <c r="U3898" s="5" t="e">
        <f>IF(AND(#REF!&gt;=table!$C$10,#REF!&lt;= table!$D$10),-1,IF(AND(#REF!&gt;=table!$E$10,#REF!&lt;=table!$F$10),1,0))</f>
        <v>#REF!</v>
      </c>
      <c r="V3898" s="5" t="e">
        <f>IF(AND(#REF!&gt;=table!$C$11,#REF!&lt;= table!$D$11),-1,IF(AND(#REF!&gt;=table!$E$11,#REF!&lt;=table!$F$11),1,0))</f>
        <v>#REF!</v>
      </c>
      <c r="W3898" s="5" t="e">
        <f>CONCATENATE(dados[[#This Row],[fator1]],dados[[#This Row],[fator5]],dados[[#This Row],[fator6]])</f>
        <v>#REF!</v>
      </c>
    </row>
    <row r="3899" spans="1:23">
      <c r="A3899" t="s">
        <v>17</v>
      </c>
      <c r="B3899">
        <v>588730</v>
      </c>
      <c r="C3899">
        <v>8</v>
      </c>
      <c r="D3899">
        <v>25</v>
      </c>
      <c r="E3899">
        <v>136</v>
      </c>
      <c r="F3899">
        <v>6</v>
      </c>
      <c r="G3899">
        <v>8</v>
      </c>
      <c r="H3899">
        <v>25</v>
      </c>
      <c r="I3899">
        <v>0</v>
      </c>
      <c r="J3899">
        <v>0</v>
      </c>
      <c r="K3899">
        <v>3.8450000000000002</v>
      </c>
      <c r="L3899">
        <v>17.25</v>
      </c>
      <c r="M3899">
        <v>127.75</v>
      </c>
      <c r="N3899">
        <v>15.9</v>
      </c>
      <c r="O3899">
        <v>1670</v>
      </c>
      <c r="P3899">
        <v>595</v>
      </c>
      <c r="Q3899" s="5" t="e">
        <f>IF(AND(#REF!&gt;=table!$C$6,#REF!&lt;= table!$D$6),-1,IF(AND(#REF!&gt;=table!$E$6,#REF!&lt;=table!$F$6),1,0))</f>
        <v>#REF!</v>
      </c>
      <c r="R3899" s="5" t="e">
        <f>IF(AND(#REF!&gt;=table!$C$7,#REF!&lt;= table!$D$7),-1,IF(AND(#REF!&gt;=table!$E$7,#REF!&lt;=table!$F$7),1,0))</f>
        <v>#REF!</v>
      </c>
      <c r="S3899" s="5" t="e">
        <f>IF(AND(#REF!&gt;=table!$C$8,#REF!&lt;= table!$D$8),-1,IF(AND(#REF!&gt;=table!$E$8,#REF!&lt;=table!$F$8),1,0))</f>
        <v>#REF!</v>
      </c>
      <c r="T3899" s="5"/>
      <c r="U3899" s="5" t="e">
        <f>IF(AND(#REF!&gt;=table!$C$10,#REF!&lt;= table!$D$10),-1,IF(AND(#REF!&gt;=table!$E$10,#REF!&lt;=table!$F$10),1,0))</f>
        <v>#REF!</v>
      </c>
      <c r="V3899" s="5" t="e">
        <f>IF(AND(#REF!&gt;=table!$C$11,#REF!&lt;= table!$D$11),-1,IF(AND(#REF!&gt;=table!$E$11,#REF!&lt;=table!$F$11),1,0))</f>
        <v>#REF!</v>
      </c>
      <c r="W3899" s="5" t="e">
        <f>CONCATENATE(dados[[#This Row],[fator1]],dados[[#This Row],[fator5]],dados[[#This Row],[fator6]])</f>
        <v>#REF!</v>
      </c>
    </row>
    <row r="3900" spans="1:23">
      <c r="A3900" t="s">
        <v>16</v>
      </c>
      <c r="B3900">
        <v>588731</v>
      </c>
      <c r="C3900">
        <v>8</v>
      </c>
      <c r="D3900">
        <v>30</v>
      </c>
      <c r="E3900">
        <v>61</v>
      </c>
      <c r="F3900">
        <v>8</v>
      </c>
      <c r="G3900">
        <v>0</v>
      </c>
      <c r="H3900">
        <v>25</v>
      </c>
      <c r="I3900">
        <v>903</v>
      </c>
      <c r="J3900">
        <v>0</v>
      </c>
      <c r="K3900">
        <v>2.91</v>
      </c>
      <c r="L3900">
        <v>11.05</v>
      </c>
      <c r="M3900">
        <v>52.800000000000004</v>
      </c>
      <c r="N3900">
        <v>10.9</v>
      </c>
      <c r="O3900">
        <v>1671</v>
      </c>
      <c r="P3900">
        <v>0</v>
      </c>
      <c r="Q3900" s="5" t="e">
        <f>IF(AND(#REF!&gt;=table!$C$6,#REF!&lt;= table!$D$6),-1,IF(AND(#REF!&gt;=table!$E$6,#REF!&lt;=table!$F$6),1,0))</f>
        <v>#REF!</v>
      </c>
      <c r="R3900" s="5" t="e">
        <f>IF(AND(#REF!&gt;=table!$C$7,#REF!&lt;= table!$D$7),-1,IF(AND(#REF!&gt;=table!$E$7,#REF!&lt;=table!$F$7),1,0))</f>
        <v>#REF!</v>
      </c>
      <c r="S3900" s="5" t="e">
        <f>IF(AND(#REF!&gt;=table!$C$8,#REF!&lt;= table!$D$8),-1,IF(AND(#REF!&gt;=table!$E$8,#REF!&lt;=table!$F$8),1,0))</f>
        <v>#REF!</v>
      </c>
      <c r="T3900" s="5"/>
      <c r="U3900" s="5" t="e">
        <f>IF(AND(#REF!&gt;=table!$C$10,#REF!&lt;= table!$D$10),-1,IF(AND(#REF!&gt;=table!$E$10,#REF!&lt;=table!$F$10),1,0))</f>
        <v>#REF!</v>
      </c>
      <c r="V3900" s="5" t="e">
        <f>IF(AND(#REF!&gt;=table!$C$11,#REF!&lt;= table!$D$11),-1,IF(AND(#REF!&gt;=table!$E$11,#REF!&lt;=table!$F$11),1,0))</f>
        <v>#REF!</v>
      </c>
      <c r="W3900" s="5" t="e">
        <f>CONCATENATE(dados[[#This Row],[fator1]],dados[[#This Row],[fator5]],dados[[#This Row],[fator6]])</f>
        <v>#REF!</v>
      </c>
    </row>
    <row r="3901" spans="1:23">
      <c r="A3901" t="s">
        <v>17</v>
      </c>
      <c r="B3901">
        <v>588732</v>
      </c>
      <c r="C3901">
        <v>10</v>
      </c>
      <c r="D3901">
        <v>30</v>
      </c>
      <c r="E3901">
        <v>135</v>
      </c>
      <c r="F3901">
        <v>2</v>
      </c>
      <c r="G3901">
        <v>20</v>
      </c>
      <c r="H3901">
        <v>20</v>
      </c>
      <c r="I3901">
        <v>4</v>
      </c>
      <c r="J3901">
        <v>0</v>
      </c>
      <c r="K3901">
        <v>4.74</v>
      </c>
      <c r="L3901">
        <v>9</v>
      </c>
      <c r="M3901">
        <v>117.65</v>
      </c>
      <c r="N3901">
        <v>12.1</v>
      </c>
      <c r="O3901">
        <v>1660</v>
      </c>
      <c r="P3901">
        <v>849</v>
      </c>
      <c r="Q3901" s="5" t="e">
        <f>IF(AND(#REF!&gt;=table!$C$6,#REF!&lt;= table!$D$6),-1,IF(AND(#REF!&gt;=table!$E$6,#REF!&lt;=table!$F$6),1,0))</f>
        <v>#REF!</v>
      </c>
      <c r="R3901" s="5" t="e">
        <f>IF(AND(#REF!&gt;=table!$C$7,#REF!&lt;= table!$D$7),-1,IF(AND(#REF!&gt;=table!$E$7,#REF!&lt;=table!$F$7),1,0))</f>
        <v>#REF!</v>
      </c>
      <c r="S3901" s="5" t="e">
        <f>IF(AND(#REF!&gt;=table!$C$8,#REF!&lt;= table!$D$8),-1,IF(AND(#REF!&gt;=table!$E$8,#REF!&lt;=table!$F$8),1,0))</f>
        <v>#REF!</v>
      </c>
      <c r="T3901" s="5"/>
      <c r="U3901" s="5" t="e">
        <f>IF(AND(#REF!&gt;=table!$C$10,#REF!&lt;= table!$D$10),-1,IF(AND(#REF!&gt;=table!$E$10,#REF!&lt;=table!$F$10),1,0))</f>
        <v>#REF!</v>
      </c>
      <c r="V3901" s="5" t="e">
        <f>IF(AND(#REF!&gt;=table!$C$11,#REF!&lt;= table!$D$11),-1,IF(AND(#REF!&gt;=table!$E$11,#REF!&lt;=table!$F$11),1,0))</f>
        <v>#REF!</v>
      </c>
      <c r="W3901" s="5" t="e">
        <f>CONCATENATE(dados[[#This Row],[fator1]],dados[[#This Row],[fator5]],dados[[#This Row],[fator6]])</f>
        <v>#REF!</v>
      </c>
    </row>
    <row r="3902" spans="1:23">
      <c r="A3902" t="s">
        <v>17</v>
      </c>
      <c r="B3902">
        <v>588733</v>
      </c>
      <c r="C3902">
        <v>10</v>
      </c>
      <c r="D3902">
        <v>30</v>
      </c>
      <c r="E3902">
        <v>135</v>
      </c>
      <c r="F3902">
        <v>2</v>
      </c>
      <c r="G3902">
        <v>20</v>
      </c>
      <c r="H3902">
        <v>20</v>
      </c>
      <c r="I3902">
        <v>262</v>
      </c>
      <c r="J3902">
        <v>0</v>
      </c>
      <c r="K3902">
        <v>2.77</v>
      </c>
      <c r="L3902">
        <v>4.2</v>
      </c>
      <c r="M3902">
        <v>119.965</v>
      </c>
      <c r="N3902">
        <v>11.06</v>
      </c>
      <c r="O3902">
        <v>1660</v>
      </c>
      <c r="P3902">
        <v>0</v>
      </c>
      <c r="Q3902" s="5" t="e">
        <f>IF(AND(#REF!&gt;=table!$C$6,#REF!&lt;= table!$D$6),-1,IF(AND(#REF!&gt;=table!$E$6,#REF!&lt;=table!$F$6),1,0))</f>
        <v>#REF!</v>
      </c>
      <c r="R3902" s="5" t="e">
        <f>IF(AND(#REF!&gt;=table!$C$7,#REF!&lt;= table!$D$7),-1,IF(AND(#REF!&gt;=table!$E$7,#REF!&lt;=table!$F$7),1,0))</f>
        <v>#REF!</v>
      </c>
      <c r="S3902" s="5" t="e">
        <f>IF(AND(#REF!&gt;=table!$C$8,#REF!&lt;= table!$D$8),-1,IF(AND(#REF!&gt;=table!$E$8,#REF!&lt;=table!$F$8),1,0))</f>
        <v>#REF!</v>
      </c>
      <c r="T3902" s="5"/>
      <c r="U3902" s="5" t="e">
        <f>IF(AND(#REF!&gt;=table!$C$10,#REF!&lt;= table!$D$10),-1,IF(AND(#REF!&gt;=table!$E$10,#REF!&lt;=table!$F$10),1,0))</f>
        <v>#REF!</v>
      </c>
      <c r="V3902" s="5" t="e">
        <f>IF(AND(#REF!&gt;=table!$C$11,#REF!&lt;= table!$D$11),-1,IF(AND(#REF!&gt;=table!$E$11,#REF!&lt;=table!$F$11),1,0))</f>
        <v>#REF!</v>
      </c>
      <c r="W3902" s="5" t="e">
        <f>CONCATENATE(dados[[#This Row],[fator1]],dados[[#This Row],[fator5]],dados[[#This Row],[fator6]])</f>
        <v>#REF!</v>
      </c>
    </row>
    <row r="3903" spans="1:23">
      <c r="A3903" t="s">
        <v>17</v>
      </c>
      <c r="B3903">
        <v>588734</v>
      </c>
      <c r="C3903">
        <v>10</v>
      </c>
      <c r="D3903">
        <v>30</v>
      </c>
      <c r="E3903">
        <v>135</v>
      </c>
      <c r="F3903">
        <v>2</v>
      </c>
      <c r="G3903">
        <v>20</v>
      </c>
      <c r="H3903">
        <v>20</v>
      </c>
      <c r="I3903">
        <v>19</v>
      </c>
      <c r="J3903">
        <v>0</v>
      </c>
      <c r="K3903">
        <v>2.6</v>
      </c>
      <c r="L3903">
        <v>3.45</v>
      </c>
      <c r="M3903">
        <v>117.15</v>
      </c>
      <c r="N3903">
        <v>9.35</v>
      </c>
      <c r="O3903">
        <v>1634</v>
      </c>
      <c r="P3903">
        <v>0</v>
      </c>
      <c r="Q3903" s="5" t="e">
        <f>IF(AND(#REF!&gt;=table!$C$6,#REF!&lt;= table!$D$6),-1,IF(AND(#REF!&gt;=table!$E$6,#REF!&lt;=table!$F$6),1,0))</f>
        <v>#REF!</v>
      </c>
      <c r="R3903" s="5" t="e">
        <f>IF(AND(#REF!&gt;=table!$C$7,#REF!&lt;= table!$D$7),-1,IF(AND(#REF!&gt;=table!$E$7,#REF!&lt;=table!$F$7),1,0))</f>
        <v>#REF!</v>
      </c>
      <c r="S3903" s="5" t="e">
        <f>IF(AND(#REF!&gt;=table!$C$8,#REF!&lt;= table!$D$8),-1,IF(AND(#REF!&gt;=table!$E$8,#REF!&lt;=table!$F$8),1,0))</f>
        <v>#REF!</v>
      </c>
      <c r="T3903" s="5"/>
      <c r="U3903" s="5" t="e">
        <f>IF(AND(#REF!&gt;=table!$C$10,#REF!&lt;= table!$D$10),-1,IF(AND(#REF!&gt;=table!$E$10,#REF!&lt;=table!$F$10),1,0))</f>
        <v>#REF!</v>
      </c>
      <c r="V3903" s="5" t="e">
        <f>IF(AND(#REF!&gt;=table!$C$11,#REF!&lt;= table!$D$11),-1,IF(AND(#REF!&gt;=table!$E$11,#REF!&lt;=table!$F$11),1,0))</f>
        <v>#REF!</v>
      </c>
      <c r="W3903" s="5" t="e">
        <f>CONCATENATE(dados[[#This Row],[fator1]],dados[[#This Row],[fator5]],dados[[#This Row],[fator6]])</f>
        <v>#REF!</v>
      </c>
    </row>
    <row r="3904" spans="1:23">
      <c r="A3904" t="s">
        <v>16</v>
      </c>
      <c r="B3904">
        <v>588738</v>
      </c>
      <c r="C3904">
        <v>6</v>
      </c>
      <c r="D3904">
        <v>25</v>
      </c>
      <c r="E3904">
        <v>120</v>
      </c>
      <c r="F3904">
        <v>4</v>
      </c>
      <c r="G3904">
        <v>0</v>
      </c>
      <c r="H3904">
        <v>55</v>
      </c>
      <c r="I3904">
        <v>1865</v>
      </c>
      <c r="J3904">
        <v>870</v>
      </c>
      <c r="K3904">
        <v>3.88</v>
      </c>
      <c r="L3904">
        <v>12.32</v>
      </c>
      <c r="M3904">
        <v>109.88</v>
      </c>
      <c r="N3904">
        <v>32.285000000000004</v>
      </c>
      <c r="O3904">
        <v>1643</v>
      </c>
      <c r="P3904">
        <v>0</v>
      </c>
      <c r="Q3904" s="5" t="e">
        <f>IF(AND(#REF!&gt;=table!$C$6,#REF!&lt;= table!$D$6),-1,IF(AND(#REF!&gt;=table!$E$6,#REF!&lt;=table!$F$6),1,0))</f>
        <v>#REF!</v>
      </c>
      <c r="R3904" s="5" t="e">
        <f>IF(AND(#REF!&gt;=table!$C$7,#REF!&lt;= table!$D$7),-1,IF(AND(#REF!&gt;=table!$E$7,#REF!&lt;=table!$F$7),1,0))</f>
        <v>#REF!</v>
      </c>
      <c r="S3904" s="5" t="e">
        <f>IF(AND(#REF!&gt;=table!$C$8,#REF!&lt;= table!$D$8),-1,IF(AND(#REF!&gt;=table!$E$8,#REF!&lt;=table!$F$8),1,0))</f>
        <v>#REF!</v>
      </c>
      <c r="T3904" s="5"/>
      <c r="U3904" s="5" t="e">
        <f>IF(AND(#REF!&gt;=table!$C$10,#REF!&lt;= table!$D$10),-1,IF(AND(#REF!&gt;=table!$E$10,#REF!&lt;=table!$F$10),1,0))</f>
        <v>#REF!</v>
      </c>
      <c r="V3904" s="5" t="e">
        <f>IF(AND(#REF!&gt;=table!$C$11,#REF!&lt;= table!$D$11),-1,IF(AND(#REF!&gt;=table!$E$11,#REF!&lt;=table!$F$11),1,0))</f>
        <v>#REF!</v>
      </c>
      <c r="W3904" s="5" t="e">
        <f>CONCATENATE(dados[[#This Row],[fator1]],dados[[#This Row],[fator5]],dados[[#This Row],[fator6]])</f>
        <v>#REF!</v>
      </c>
    </row>
    <row r="3905" spans="1:23">
      <c r="A3905" t="s">
        <v>16</v>
      </c>
      <c r="B3905">
        <v>588739</v>
      </c>
      <c r="C3905">
        <v>6</v>
      </c>
      <c r="D3905">
        <v>25</v>
      </c>
      <c r="E3905">
        <v>120</v>
      </c>
      <c r="F3905">
        <v>4</v>
      </c>
      <c r="G3905">
        <v>0</v>
      </c>
      <c r="H3905">
        <v>55</v>
      </c>
      <c r="I3905">
        <v>538</v>
      </c>
      <c r="J3905">
        <v>0</v>
      </c>
      <c r="K3905">
        <v>2.7150000000000003</v>
      </c>
      <c r="L3905">
        <v>10.950000000000001</v>
      </c>
      <c r="M3905">
        <v>111.905</v>
      </c>
      <c r="N3905">
        <v>39.85</v>
      </c>
      <c r="O3905">
        <v>1674</v>
      </c>
      <c r="P3905">
        <v>0</v>
      </c>
      <c r="Q3905" s="5" t="e">
        <f>IF(AND(#REF!&gt;=table!$C$6,#REF!&lt;= table!$D$6),-1,IF(AND(#REF!&gt;=table!$E$6,#REF!&lt;=table!$F$6),1,0))</f>
        <v>#REF!</v>
      </c>
      <c r="R3905" s="5" t="e">
        <f>IF(AND(#REF!&gt;=table!$C$7,#REF!&lt;= table!$D$7),-1,IF(AND(#REF!&gt;=table!$E$7,#REF!&lt;=table!$F$7),1,0))</f>
        <v>#REF!</v>
      </c>
      <c r="S3905" s="5" t="e">
        <f>IF(AND(#REF!&gt;=table!$C$8,#REF!&lt;= table!$D$8),-1,IF(AND(#REF!&gt;=table!$E$8,#REF!&lt;=table!$F$8),1,0))</f>
        <v>#REF!</v>
      </c>
      <c r="T3905" s="5"/>
      <c r="U3905" s="5" t="e">
        <f>IF(AND(#REF!&gt;=table!$C$10,#REF!&lt;= table!$D$10),-1,IF(AND(#REF!&gt;=table!$E$10,#REF!&lt;=table!$F$10),1,0))</f>
        <v>#REF!</v>
      </c>
      <c r="V3905" s="5" t="e">
        <f>IF(AND(#REF!&gt;=table!$C$11,#REF!&lt;= table!$D$11),-1,IF(AND(#REF!&gt;=table!$E$11,#REF!&lt;=table!$F$11),1,0))</f>
        <v>#REF!</v>
      </c>
      <c r="W3905" s="5" t="e">
        <f>CONCATENATE(dados[[#This Row],[fator1]],dados[[#This Row],[fator5]],dados[[#This Row],[fator6]])</f>
        <v>#REF!</v>
      </c>
    </row>
    <row r="3906" spans="1:23">
      <c r="A3906" t="s">
        <v>16</v>
      </c>
      <c r="B3906">
        <v>588742</v>
      </c>
      <c r="C3906">
        <v>12</v>
      </c>
      <c r="D3906">
        <v>35</v>
      </c>
      <c r="E3906">
        <v>180</v>
      </c>
      <c r="F3906">
        <v>6</v>
      </c>
      <c r="G3906">
        <v>0</v>
      </c>
      <c r="H3906">
        <v>20</v>
      </c>
      <c r="I3906">
        <v>242</v>
      </c>
      <c r="J3906">
        <v>0</v>
      </c>
      <c r="K3906">
        <v>2.12</v>
      </c>
      <c r="L3906">
        <v>4.4000000000000004</v>
      </c>
      <c r="M3906">
        <v>45.35</v>
      </c>
      <c r="N3906">
        <v>9.75</v>
      </c>
      <c r="O3906">
        <v>1695</v>
      </c>
      <c r="P3906">
        <v>0</v>
      </c>
      <c r="Q3906" s="5" t="e">
        <f>IF(AND(#REF!&gt;=table!$C$6,#REF!&lt;= table!$D$6),-1,IF(AND(#REF!&gt;=table!$E$6,#REF!&lt;=table!$F$6),1,0))</f>
        <v>#REF!</v>
      </c>
      <c r="R3906" s="5" t="e">
        <f>IF(AND(#REF!&gt;=table!$C$7,#REF!&lt;= table!$D$7),-1,IF(AND(#REF!&gt;=table!$E$7,#REF!&lt;=table!$F$7),1,0))</f>
        <v>#REF!</v>
      </c>
      <c r="S3906" s="5" t="e">
        <f>IF(AND(#REF!&gt;=table!$C$8,#REF!&lt;= table!$D$8),-1,IF(AND(#REF!&gt;=table!$E$8,#REF!&lt;=table!$F$8),1,0))</f>
        <v>#REF!</v>
      </c>
      <c r="T3906" s="5"/>
      <c r="U3906" s="5" t="e">
        <f>IF(AND(#REF!&gt;=table!$C$10,#REF!&lt;= table!$D$10),-1,IF(AND(#REF!&gt;=table!$E$10,#REF!&lt;=table!$F$10),1,0))</f>
        <v>#REF!</v>
      </c>
      <c r="V3906" s="5" t="e">
        <f>IF(AND(#REF!&gt;=table!$C$11,#REF!&lt;= table!$D$11),-1,IF(AND(#REF!&gt;=table!$E$11,#REF!&lt;=table!$F$11),1,0))</f>
        <v>#REF!</v>
      </c>
      <c r="W3906" s="5" t="e">
        <f>CONCATENATE(dados[[#This Row],[fator1]],dados[[#This Row],[fator5]],dados[[#This Row],[fator6]])</f>
        <v>#REF!</v>
      </c>
    </row>
    <row r="3907" spans="1:23">
      <c r="A3907" t="s">
        <v>16</v>
      </c>
      <c r="B3907">
        <v>588743</v>
      </c>
      <c r="C3907">
        <v>12</v>
      </c>
      <c r="D3907">
        <v>35</v>
      </c>
      <c r="E3907">
        <v>180</v>
      </c>
      <c r="F3907">
        <v>6</v>
      </c>
      <c r="G3907">
        <v>0</v>
      </c>
      <c r="H3907">
        <v>20</v>
      </c>
      <c r="I3907">
        <v>0</v>
      </c>
      <c r="J3907">
        <v>0</v>
      </c>
      <c r="K3907">
        <v>2.93</v>
      </c>
      <c r="L3907">
        <v>8.1</v>
      </c>
      <c r="M3907">
        <v>114.3</v>
      </c>
      <c r="N3907">
        <v>8.3949999999999996</v>
      </c>
      <c r="O3907">
        <v>1679</v>
      </c>
      <c r="P3907">
        <v>0</v>
      </c>
      <c r="Q3907" s="5" t="e">
        <f>IF(AND(#REF!&gt;=table!$C$6,#REF!&lt;= table!$D$6),-1,IF(AND(#REF!&gt;=table!$E$6,#REF!&lt;=table!$F$6),1,0))</f>
        <v>#REF!</v>
      </c>
      <c r="R3907" s="5" t="e">
        <f>IF(AND(#REF!&gt;=table!$C$7,#REF!&lt;= table!$D$7),-1,IF(AND(#REF!&gt;=table!$E$7,#REF!&lt;=table!$F$7),1,0))</f>
        <v>#REF!</v>
      </c>
      <c r="S3907" s="5" t="e">
        <f>IF(AND(#REF!&gt;=table!$C$8,#REF!&lt;= table!$D$8),-1,IF(AND(#REF!&gt;=table!$E$8,#REF!&lt;=table!$F$8),1,0))</f>
        <v>#REF!</v>
      </c>
      <c r="T3907" s="5"/>
      <c r="U3907" s="5" t="e">
        <f>IF(AND(#REF!&gt;=table!$C$10,#REF!&lt;= table!$D$10),-1,IF(AND(#REF!&gt;=table!$E$10,#REF!&lt;=table!$F$10),1,0))</f>
        <v>#REF!</v>
      </c>
      <c r="V3907" s="5" t="e">
        <f>IF(AND(#REF!&gt;=table!$C$11,#REF!&lt;= table!$D$11),-1,IF(AND(#REF!&gt;=table!$E$11,#REF!&lt;=table!$F$11),1,0))</f>
        <v>#REF!</v>
      </c>
      <c r="W3907" s="5" t="e">
        <f>CONCATENATE(dados[[#This Row],[fator1]],dados[[#This Row],[fator5]],dados[[#This Row],[fator6]])</f>
        <v>#REF!</v>
      </c>
    </row>
    <row r="3908" spans="1:23">
      <c r="A3908" t="s">
        <v>16</v>
      </c>
      <c r="B3908">
        <v>588744</v>
      </c>
      <c r="C3908">
        <v>12</v>
      </c>
      <c r="D3908">
        <v>40</v>
      </c>
      <c r="E3908">
        <v>36</v>
      </c>
      <c r="F3908">
        <v>9</v>
      </c>
      <c r="G3908">
        <v>0</v>
      </c>
      <c r="H3908">
        <v>25</v>
      </c>
      <c r="I3908">
        <v>17</v>
      </c>
      <c r="J3908">
        <v>0</v>
      </c>
      <c r="K3908">
        <v>3.89</v>
      </c>
      <c r="L3908">
        <v>10</v>
      </c>
      <c r="M3908">
        <v>9.5500000000000007</v>
      </c>
      <c r="N3908">
        <v>8.5500000000000007</v>
      </c>
      <c r="O3908">
        <v>1677</v>
      </c>
      <c r="P3908">
        <v>0</v>
      </c>
      <c r="Q3908" s="5" t="e">
        <f>IF(AND(#REF!&gt;=table!$C$6,#REF!&lt;= table!$D$6),-1,IF(AND(#REF!&gt;=table!$E$6,#REF!&lt;=table!$F$6),1,0))</f>
        <v>#REF!</v>
      </c>
      <c r="R3908" s="5" t="e">
        <f>IF(AND(#REF!&gt;=table!$C$7,#REF!&lt;= table!$D$7),-1,IF(AND(#REF!&gt;=table!$E$7,#REF!&lt;=table!$F$7),1,0))</f>
        <v>#REF!</v>
      </c>
      <c r="S3908" s="5" t="e">
        <f>IF(AND(#REF!&gt;=table!$C$8,#REF!&lt;= table!$D$8),-1,IF(AND(#REF!&gt;=table!$E$8,#REF!&lt;=table!$F$8),1,0))</f>
        <v>#REF!</v>
      </c>
      <c r="T3908" s="5"/>
      <c r="U3908" s="5" t="e">
        <f>IF(AND(#REF!&gt;=table!$C$10,#REF!&lt;= table!$D$10),-1,IF(AND(#REF!&gt;=table!$E$10,#REF!&lt;=table!$F$10),1,0))</f>
        <v>#REF!</v>
      </c>
      <c r="V3908" s="5" t="e">
        <f>IF(AND(#REF!&gt;=table!$C$11,#REF!&lt;= table!$D$11),-1,IF(AND(#REF!&gt;=table!$E$11,#REF!&lt;=table!$F$11),1,0))</f>
        <v>#REF!</v>
      </c>
      <c r="W3908" s="5" t="e">
        <f>CONCATENATE(dados[[#This Row],[fator1]],dados[[#This Row],[fator5]],dados[[#This Row],[fator6]])</f>
        <v>#REF!</v>
      </c>
    </row>
    <row r="3909" spans="1:23">
      <c r="A3909" t="s">
        <v>16</v>
      </c>
      <c r="B3909">
        <v>588745</v>
      </c>
      <c r="C3909">
        <v>12</v>
      </c>
      <c r="D3909">
        <v>35</v>
      </c>
      <c r="E3909">
        <v>180</v>
      </c>
      <c r="F3909">
        <v>6</v>
      </c>
      <c r="G3909">
        <v>0</v>
      </c>
      <c r="H3909">
        <v>20</v>
      </c>
      <c r="I3909">
        <v>0</v>
      </c>
      <c r="J3909">
        <v>0</v>
      </c>
      <c r="K3909">
        <v>3.085</v>
      </c>
      <c r="L3909">
        <v>6.2</v>
      </c>
      <c r="M3909">
        <v>163.95000000000002</v>
      </c>
      <c r="N3909">
        <v>14.55</v>
      </c>
      <c r="O3909">
        <v>1596</v>
      </c>
      <c r="P3909">
        <v>0</v>
      </c>
      <c r="Q3909" s="5" t="e">
        <f>IF(AND(#REF!&gt;=table!$C$6,#REF!&lt;= table!$D$6),-1,IF(AND(#REF!&gt;=table!$E$6,#REF!&lt;=table!$F$6),1,0))</f>
        <v>#REF!</v>
      </c>
      <c r="R3909" s="5" t="e">
        <f>IF(AND(#REF!&gt;=table!$C$7,#REF!&lt;= table!$D$7),-1,IF(AND(#REF!&gt;=table!$E$7,#REF!&lt;=table!$F$7),1,0))</f>
        <v>#REF!</v>
      </c>
      <c r="S3909" s="5" t="e">
        <f>IF(AND(#REF!&gt;=table!$C$8,#REF!&lt;= table!$D$8),-1,IF(AND(#REF!&gt;=table!$E$8,#REF!&lt;=table!$F$8),1,0))</f>
        <v>#REF!</v>
      </c>
      <c r="T3909" s="5"/>
      <c r="U3909" s="5" t="e">
        <f>IF(AND(#REF!&gt;=table!$C$10,#REF!&lt;= table!$D$10),-1,IF(AND(#REF!&gt;=table!$E$10,#REF!&lt;=table!$F$10),1,0))</f>
        <v>#REF!</v>
      </c>
      <c r="V3909" s="5" t="e">
        <f>IF(AND(#REF!&gt;=table!$C$11,#REF!&lt;= table!$D$11),-1,IF(AND(#REF!&gt;=table!$E$11,#REF!&lt;=table!$F$11),1,0))</f>
        <v>#REF!</v>
      </c>
      <c r="W3909" s="5" t="e">
        <f>CONCATENATE(dados[[#This Row],[fator1]],dados[[#This Row],[fator5]],dados[[#This Row],[fator6]])</f>
        <v>#REF!</v>
      </c>
    </row>
    <row r="3910" spans="1:23">
      <c r="A3910" t="s">
        <v>17</v>
      </c>
      <c r="B3910">
        <v>588752</v>
      </c>
      <c r="C3910">
        <v>9</v>
      </c>
      <c r="D3910">
        <v>30</v>
      </c>
      <c r="E3910">
        <v>160</v>
      </c>
      <c r="F3910">
        <v>3</v>
      </c>
      <c r="G3910">
        <v>30</v>
      </c>
      <c r="H3910">
        <v>18</v>
      </c>
      <c r="I3910">
        <v>674</v>
      </c>
      <c r="J3910">
        <v>0</v>
      </c>
      <c r="K3910">
        <v>2.4950000000000001</v>
      </c>
      <c r="L3910">
        <v>8.06</v>
      </c>
      <c r="M3910">
        <v>145.13500000000002</v>
      </c>
      <c r="N3910">
        <v>10.355</v>
      </c>
      <c r="O3910">
        <v>1661</v>
      </c>
      <c r="P3910">
        <v>0</v>
      </c>
      <c r="Q3910" s="5" t="e">
        <f>IF(AND(#REF!&gt;=table!$C$6,#REF!&lt;= table!$D$6),-1,IF(AND(#REF!&gt;=table!$E$6,#REF!&lt;=table!$F$6),1,0))</f>
        <v>#REF!</v>
      </c>
      <c r="R3910" s="5" t="e">
        <f>IF(AND(#REF!&gt;=table!$C$7,#REF!&lt;= table!$D$7),-1,IF(AND(#REF!&gt;=table!$E$7,#REF!&lt;=table!$F$7),1,0))</f>
        <v>#REF!</v>
      </c>
      <c r="S3910" s="5" t="e">
        <f>IF(AND(#REF!&gt;=table!$C$8,#REF!&lt;= table!$D$8),-1,IF(AND(#REF!&gt;=table!$E$8,#REF!&lt;=table!$F$8),1,0))</f>
        <v>#REF!</v>
      </c>
      <c r="T3910" s="5"/>
      <c r="U3910" s="5" t="e">
        <f>IF(AND(#REF!&gt;=table!$C$10,#REF!&lt;= table!$D$10),-1,IF(AND(#REF!&gt;=table!$E$10,#REF!&lt;=table!$F$10),1,0))</f>
        <v>#REF!</v>
      </c>
      <c r="V3910" s="5" t="e">
        <f>IF(AND(#REF!&gt;=table!$C$11,#REF!&lt;= table!$D$11),-1,IF(AND(#REF!&gt;=table!$E$11,#REF!&lt;=table!$F$11),1,0))</f>
        <v>#REF!</v>
      </c>
      <c r="W3910" s="5" t="e">
        <f>CONCATENATE(dados[[#This Row],[fator1]],dados[[#This Row],[fator5]],dados[[#This Row],[fator6]])</f>
        <v>#REF!</v>
      </c>
    </row>
    <row r="3911" spans="1:23">
      <c r="A3911" t="s">
        <v>17</v>
      </c>
      <c r="B3911">
        <v>588755</v>
      </c>
      <c r="C3911">
        <v>9</v>
      </c>
      <c r="D3911">
        <v>30</v>
      </c>
      <c r="E3911">
        <v>160</v>
      </c>
      <c r="F3911">
        <v>3</v>
      </c>
      <c r="G3911">
        <v>30</v>
      </c>
      <c r="H3911">
        <v>18</v>
      </c>
      <c r="I3911">
        <v>621</v>
      </c>
      <c r="J3911">
        <v>1140</v>
      </c>
      <c r="K3911">
        <v>3.95</v>
      </c>
      <c r="L3911">
        <v>9.7000000000000011</v>
      </c>
      <c r="M3911">
        <v>143.55000000000001</v>
      </c>
      <c r="N3911">
        <v>8.65</v>
      </c>
      <c r="O3911">
        <v>1659</v>
      </c>
      <c r="P3911">
        <v>0</v>
      </c>
      <c r="Q3911" s="5" t="e">
        <f>IF(AND(#REF!&gt;=table!$C$6,#REF!&lt;= table!$D$6),-1,IF(AND(#REF!&gt;=table!$E$6,#REF!&lt;=table!$F$6),1,0))</f>
        <v>#REF!</v>
      </c>
      <c r="R3911" s="5" t="e">
        <f>IF(AND(#REF!&gt;=table!$C$7,#REF!&lt;= table!$D$7),-1,IF(AND(#REF!&gt;=table!$E$7,#REF!&lt;=table!$F$7),1,0))</f>
        <v>#REF!</v>
      </c>
      <c r="S3911" s="5" t="e">
        <f>IF(AND(#REF!&gt;=table!$C$8,#REF!&lt;= table!$D$8),-1,IF(AND(#REF!&gt;=table!$E$8,#REF!&lt;=table!$F$8),1,0))</f>
        <v>#REF!</v>
      </c>
      <c r="T3911" s="5"/>
      <c r="U3911" s="5" t="e">
        <f>IF(AND(#REF!&gt;=table!$C$10,#REF!&lt;= table!$D$10),-1,IF(AND(#REF!&gt;=table!$E$10,#REF!&lt;=table!$F$10),1,0))</f>
        <v>#REF!</v>
      </c>
      <c r="V3911" s="5" t="e">
        <f>IF(AND(#REF!&gt;=table!$C$11,#REF!&lt;= table!$D$11),-1,IF(AND(#REF!&gt;=table!$E$11,#REF!&lt;=table!$F$11),1,0))</f>
        <v>#REF!</v>
      </c>
      <c r="W3911" s="5" t="e">
        <f>CONCATENATE(dados[[#This Row],[fator1]],dados[[#This Row],[fator5]],dados[[#This Row],[fator6]])</f>
        <v>#REF!</v>
      </c>
    </row>
    <row r="3912" spans="1:23">
      <c r="A3912" t="s">
        <v>16</v>
      </c>
      <c r="B3912">
        <v>588757</v>
      </c>
      <c r="C3912">
        <v>6</v>
      </c>
      <c r="D3912">
        <v>30</v>
      </c>
      <c r="E3912">
        <v>40</v>
      </c>
      <c r="F3912">
        <v>15</v>
      </c>
      <c r="G3912">
        <v>0</v>
      </c>
      <c r="H3912">
        <v>25</v>
      </c>
      <c r="I3912">
        <v>753</v>
      </c>
      <c r="J3912">
        <v>0</v>
      </c>
      <c r="K3912">
        <v>3.27</v>
      </c>
      <c r="L3912">
        <v>9.2000000000000011</v>
      </c>
      <c r="M3912">
        <v>29.150000000000002</v>
      </c>
      <c r="N3912">
        <v>11.200000000000001</v>
      </c>
      <c r="O3912">
        <v>1678</v>
      </c>
      <c r="P3912">
        <v>0</v>
      </c>
      <c r="Q3912" s="5" t="e">
        <f>IF(AND(#REF!&gt;=table!$C$6,#REF!&lt;= table!$D$6),-1,IF(AND(#REF!&gt;=table!$E$6,#REF!&lt;=table!$F$6),1,0))</f>
        <v>#REF!</v>
      </c>
      <c r="R3912" s="5" t="e">
        <f>IF(AND(#REF!&gt;=table!$C$7,#REF!&lt;= table!$D$7),-1,IF(AND(#REF!&gt;=table!$E$7,#REF!&lt;=table!$F$7),1,0))</f>
        <v>#REF!</v>
      </c>
      <c r="S3912" s="5" t="e">
        <f>IF(AND(#REF!&gt;=table!$C$8,#REF!&lt;= table!$D$8),-1,IF(AND(#REF!&gt;=table!$E$8,#REF!&lt;=table!$F$8),1,0))</f>
        <v>#REF!</v>
      </c>
      <c r="T3912" s="5"/>
      <c r="U3912" s="5" t="e">
        <f>IF(AND(#REF!&gt;=table!$C$10,#REF!&lt;= table!$D$10),-1,IF(AND(#REF!&gt;=table!$E$10,#REF!&lt;=table!$F$10),1,0))</f>
        <v>#REF!</v>
      </c>
      <c r="V3912" s="5" t="e">
        <f>IF(AND(#REF!&gt;=table!$C$11,#REF!&lt;= table!$D$11),-1,IF(AND(#REF!&gt;=table!$E$11,#REF!&lt;=table!$F$11),1,0))</f>
        <v>#REF!</v>
      </c>
      <c r="W3912" s="5" t="e">
        <f>CONCATENATE(dados[[#This Row],[fator1]],dados[[#This Row],[fator5]],dados[[#This Row],[fator6]])</f>
        <v>#REF!</v>
      </c>
    </row>
    <row r="3913" spans="1:23">
      <c r="A3913" t="s">
        <v>16</v>
      </c>
      <c r="B3913">
        <v>588758</v>
      </c>
      <c r="C3913">
        <v>6</v>
      </c>
      <c r="D3913">
        <v>30</v>
      </c>
      <c r="E3913">
        <v>40</v>
      </c>
      <c r="F3913">
        <v>15</v>
      </c>
      <c r="G3913">
        <v>0</v>
      </c>
      <c r="H3913">
        <v>25</v>
      </c>
      <c r="I3913">
        <v>108</v>
      </c>
      <c r="J3913">
        <v>0</v>
      </c>
      <c r="K3913">
        <v>3.14</v>
      </c>
      <c r="L3913">
        <v>12.5</v>
      </c>
      <c r="M3913">
        <v>10.200000000000001</v>
      </c>
      <c r="N3913">
        <v>15.75</v>
      </c>
      <c r="O3913">
        <v>1692</v>
      </c>
      <c r="P3913">
        <v>0</v>
      </c>
      <c r="Q3913" s="5" t="e">
        <f>IF(AND(#REF!&gt;=table!$C$6,#REF!&lt;= table!$D$6),-1,IF(AND(#REF!&gt;=table!$E$6,#REF!&lt;=table!$F$6),1,0))</f>
        <v>#REF!</v>
      </c>
      <c r="R3913" s="5" t="e">
        <f>IF(AND(#REF!&gt;=table!$C$7,#REF!&lt;= table!$D$7),-1,IF(AND(#REF!&gt;=table!$E$7,#REF!&lt;=table!$F$7),1,0))</f>
        <v>#REF!</v>
      </c>
      <c r="S3913" s="5" t="e">
        <f>IF(AND(#REF!&gt;=table!$C$8,#REF!&lt;= table!$D$8),-1,IF(AND(#REF!&gt;=table!$E$8,#REF!&lt;=table!$F$8),1,0))</f>
        <v>#REF!</v>
      </c>
      <c r="T3913" s="5"/>
      <c r="U3913" s="5" t="e">
        <f>IF(AND(#REF!&gt;=table!$C$10,#REF!&lt;= table!$D$10),-1,IF(AND(#REF!&gt;=table!$E$10,#REF!&lt;=table!$F$10),1,0))</f>
        <v>#REF!</v>
      </c>
      <c r="V3913" s="5" t="e">
        <f>IF(AND(#REF!&gt;=table!$C$11,#REF!&lt;= table!$D$11),-1,IF(AND(#REF!&gt;=table!$E$11,#REF!&lt;=table!$F$11),1,0))</f>
        <v>#REF!</v>
      </c>
      <c r="W3913" s="5" t="e">
        <f>CONCATENATE(dados[[#This Row],[fator1]],dados[[#This Row],[fator5]],dados[[#This Row],[fator6]])</f>
        <v>#REF!</v>
      </c>
    </row>
    <row r="3914" spans="1:23">
      <c r="A3914" t="s">
        <v>17</v>
      </c>
      <c r="B3914">
        <v>588760</v>
      </c>
      <c r="C3914">
        <v>9</v>
      </c>
      <c r="D3914">
        <v>30</v>
      </c>
      <c r="E3914">
        <v>160</v>
      </c>
      <c r="F3914">
        <v>3</v>
      </c>
      <c r="G3914">
        <v>30</v>
      </c>
      <c r="H3914">
        <v>18</v>
      </c>
      <c r="I3914">
        <v>1125</v>
      </c>
      <c r="J3914">
        <v>0</v>
      </c>
      <c r="K3914">
        <v>3.2750000000000004</v>
      </c>
      <c r="L3914">
        <v>8.14</v>
      </c>
      <c r="M3914">
        <v>139.05000000000001</v>
      </c>
      <c r="N3914">
        <v>9.9</v>
      </c>
      <c r="O3914">
        <v>1662</v>
      </c>
      <c r="P3914">
        <v>630</v>
      </c>
      <c r="Q3914" s="5" t="e">
        <f>IF(AND(#REF!&gt;=table!$C$6,#REF!&lt;= table!$D$6),-1,IF(AND(#REF!&gt;=table!$E$6,#REF!&lt;=table!$F$6),1,0))</f>
        <v>#REF!</v>
      </c>
      <c r="R3914" s="5" t="e">
        <f>IF(AND(#REF!&gt;=table!$C$7,#REF!&lt;= table!$D$7),-1,IF(AND(#REF!&gt;=table!$E$7,#REF!&lt;=table!$F$7),1,0))</f>
        <v>#REF!</v>
      </c>
      <c r="S3914" s="5" t="e">
        <f>IF(AND(#REF!&gt;=table!$C$8,#REF!&lt;= table!$D$8),-1,IF(AND(#REF!&gt;=table!$E$8,#REF!&lt;=table!$F$8),1,0))</f>
        <v>#REF!</v>
      </c>
      <c r="T3914" s="5"/>
      <c r="U3914" s="5" t="e">
        <f>IF(AND(#REF!&gt;=table!$C$10,#REF!&lt;= table!$D$10),-1,IF(AND(#REF!&gt;=table!$E$10,#REF!&lt;=table!$F$10),1,0))</f>
        <v>#REF!</v>
      </c>
      <c r="V3914" s="5" t="e">
        <f>IF(AND(#REF!&gt;=table!$C$11,#REF!&lt;= table!$D$11),-1,IF(AND(#REF!&gt;=table!$E$11,#REF!&lt;=table!$F$11),1,0))</f>
        <v>#REF!</v>
      </c>
      <c r="W3914" s="5" t="e">
        <f>CONCATENATE(dados[[#This Row],[fator1]],dados[[#This Row],[fator5]],dados[[#This Row],[fator6]])</f>
        <v>#REF!</v>
      </c>
    </row>
    <row r="3915" spans="1:23">
      <c r="A3915" t="s">
        <v>17</v>
      </c>
      <c r="B3915">
        <v>588761</v>
      </c>
      <c r="C3915">
        <v>9</v>
      </c>
      <c r="D3915">
        <v>30</v>
      </c>
      <c r="E3915">
        <v>160</v>
      </c>
      <c r="F3915">
        <v>3</v>
      </c>
      <c r="G3915">
        <v>30</v>
      </c>
      <c r="H3915">
        <v>18</v>
      </c>
      <c r="I3915">
        <v>978</v>
      </c>
      <c r="J3915">
        <v>590</v>
      </c>
      <c r="K3915">
        <v>4.4450000000000003</v>
      </c>
      <c r="L3915">
        <v>6.5200000000000005</v>
      </c>
      <c r="M3915">
        <v>123.4</v>
      </c>
      <c r="N3915">
        <v>11.785</v>
      </c>
      <c r="O3915">
        <v>1632</v>
      </c>
      <c r="P3915">
        <v>0</v>
      </c>
      <c r="Q3915" s="5" t="e">
        <f>IF(AND(#REF!&gt;=table!$C$6,#REF!&lt;= table!$D$6),-1,IF(AND(#REF!&gt;=table!$E$6,#REF!&lt;=table!$F$6),1,0))</f>
        <v>#REF!</v>
      </c>
      <c r="R3915" s="5" t="e">
        <f>IF(AND(#REF!&gt;=table!$C$7,#REF!&lt;= table!$D$7),-1,IF(AND(#REF!&gt;=table!$E$7,#REF!&lt;=table!$F$7),1,0))</f>
        <v>#REF!</v>
      </c>
      <c r="S3915" s="5" t="e">
        <f>IF(AND(#REF!&gt;=table!$C$8,#REF!&lt;= table!$D$8),-1,IF(AND(#REF!&gt;=table!$E$8,#REF!&lt;=table!$F$8),1,0))</f>
        <v>#REF!</v>
      </c>
      <c r="T3915" s="5"/>
      <c r="U3915" s="5" t="e">
        <f>IF(AND(#REF!&gt;=table!$C$10,#REF!&lt;= table!$D$10),-1,IF(AND(#REF!&gt;=table!$E$10,#REF!&lt;=table!$F$10),1,0))</f>
        <v>#REF!</v>
      </c>
      <c r="V3915" s="5" t="e">
        <f>IF(AND(#REF!&gt;=table!$C$11,#REF!&lt;= table!$D$11),-1,IF(AND(#REF!&gt;=table!$E$11,#REF!&lt;=table!$F$11),1,0))</f>
        <v>#REF!</v>
      </c>
      <c r="W3915" s="5" t="e">
        <f>CONCATENATE(dados[[#This Row],[fator1]],dados[[#This Row],[fator5]],dados[[#This Row],[fator6]])</f>
        <v>#REF!</v>
      </c>
    </row>
    <row r="3916" spans="1:23">
      <c r="A3916" t="s">
        <v>17</v>
      </c>
      <c r="B3916">
        <v>588763</v>
      </c>
      <c r="C3916">
        <v>9</v>
      </c>
      <c r="D3916">
        <v>30</v>
      </c>
      <c r="E3916">
        <v>160</v>
      </c>
      <c r="F3916">
        <v>3</v>
      </c>
      <c r="G3916">
        <v>30</v>
      </c>
      <c r="H3916">
        <v>18</v>
      </c>
      <c r="I3916">
        <v>425</v>
      </c>
      <c r="J3916">
        <v>0</v>
      </c>
      <c r="K3916">
        <v>2.41</v>
      </c>
      <c r="L3916">
        <v>6.95</v>
      </c>
      <c r="M3916">
        <v>138.05000000000001</v>
      </c>
      <c r="N3916">
        <v>11.665000000000001</v>
      </c>
      <c r="O3916">
        <v>1659</v>
      </c>
      <c r="P3916">
        <v>0</v>
      </c>
      <c r="Q3916" s="5" t="e">
        <f>IF(AND(#REF!&gt;=table!$C$6,#REF!&lt;= table!$D$6),-1,IF(AND(#REF!&gt;=table!$E$6,#REF!&lt;=table!$F$6),1,0))</f>
        <v>#REF!</v>
      </c>
      <c r="R3916" s="5" t="e">
        <f>IF(AND(#REF!&gt;=table!$C$7,#REF!&lt;= table!$D$7),-1,IF(AND(#REF!&gt;=table!$E$7,#REF!&lt;=table!$F$7),1,0))</f>
        <v>#REF!</v>
      </c>
      <c r="S3916" s="5" t="e">
        <f>IF(AND(#REF!&gt;=table!$C$8,#REF!&lt;= table!$D$8),-1,IF(AND(#REF!&gt;=table!$E$8,#REF!&lt;=table!$F$8),1,0))</f>
        <v>#REF!</v>
      </c>
      <c r="T3916" s="5"/>
      <c r="U3916" s="5" t="e">
        <f>IF(AND(#REF!&gt;=table!$C$10,#REF!&lt;= table!$D$10),-1,IF(AND(#REF!&gt;=table!$E$10,#REF!&lt;=table!$F$10),1,0))</f>
        <v>#REF!</v>
      </c>
      <c r="V3916" s="5" t="e">
        <f>IF(AND(#REF!&gt;=table!$C$11,#REF!&lt;= table!$D$11),-1,IF(AND(#REF!&gt;=table!$E$11,#REF!&lt;=table!$F$11),1,0))</f>
        <v>#REF!</v>
      </c>
      <c r="W3916" s="5" t="e">
        <f>CONCATENATE(dados[[#This Row],[fator1]],dados[[#This Row],[fator5]],dados[[#This Row],[fator6]])</f>
        <v>#REF!</v>
      </c>
    </row>
    <row r="3917" spans="1:23">
      <c r="A3917" t="s">
        <v>17</v>
      </c>
      <c r="B3917">
        <v>588764</v>
      </c>
      <c r="C3917">
        <v>9</v>
      </c>
      <c r="D3917">
        <v>30</v>
      </c>
      <c r="E3917">
        <v>160</v>
      </c>
      <c r="F3917">
        <v>3</v>
      </c>
      <c r="G3917">
        <v>30</v>
      </c>
      <c r="H3917">
        <v>18</v>
      </c>
      <c r="I3917">
        <v>0</v>
      </c>
      <c r="J3917">
        <v>890</v>
      </c>
      <c r="K3917">
        <v>2.2549999999999999</v>
      </c>
      <c r="L3917">
        <v>6.65</v>
      </c>
      <c r="M3917">
        <v>143.75</v>
      </c>
      <c r="N3917">
        <v>13.25</v>
      </c>
      <c r="O3917">
        <v>1681</v>
      </c>
      <c r="P3917">
        <v>1409</v>
      </c>
      <c r="Q3917" s="5" t="e">
        <f>IF(AND(#REF!&gt;=table!$C$6,#REF!&lt;= table!$D$6),-1,IF(AND(#REF!&gt;=table!$E$6,#REF!&lt;=table!$F$6),1,0))</f>
        <v>#REF!</v>
      </c>
      <c r="R3917" s="5" t="e">
        <f>IF(AND(#REF!&gt;=table!$C$7,#REF!&lt;= table!$D$7),-1,IF(AND(#REF!&gt;=table!$E$7,#REF!&lt;=table!$F$7),1,0))</f>
        <v>#REF!</v>
      </c>
      <c r="S3917" s="5" t="e">
        <f>IF(AND(#REF!&gt;=table!$C$8,#REF!&lt;= table!$D$8),-1,IF(AND(#REF!&gt;=table!$E$8,#REF!&lt;=table!$F$8),1,0))</f>
        <v>#REF!</v>
      </c>
      <c r="T3917" s="5"/>
      <c r="U3917" s="5" t="e">
        <f>IF(AND(#REF!&gt;=table!$C$10,#REF!&lt;= table!$D$10),-1,IF(AND(#REF!&gt;=table!$E$10,#REF!&lt;=table!$F$10),1,0))</f>
        <v>#REF!</v>
      </c>
      <c r="V3917" s="5" t="e">
        <f>IF(AND(#REF!&gt;=table!$C$11,#REF!&lt;= table!$D$11),-1,IF(AND(#REF!&gt;=table!$E$11,#REF!&lt;=table!$F$11),1,0))</f>
        <v>#REF!</v>
      </c>
      <c r="W3917" s="5" t="e">
        <f>CONCATENATE(dados[[#This Row],[fator1]],dados[[#This Row],[fator5]],dados[[#This Row],[fator6]])</f>
        <v>#REF!</v>
      </c>
    </row>
    <row r="3918" spans="1:23">
      <c r="A3918" t="s">
        <v>17</v>
      </c>
      <c r="B3918">
        <v>588765</v>
      </c>
      <c r="C3918">
        <v>9</v>
      </c>
      <c r="D3918">
        <v>30</v>
      </c>
      <c r="E3918">
        <v>160</v>
      </c>
      <c r="F3918">
        <v>3</v>
      </c>
      <c r="G3918">
        <v>30</v>
      </c>
      <c r="H3918">
        <v>18</v>
      </c>
      <c r="I3918">
        <v>121</v>
      </c>
      <c r="J3918">
        <v>760</v>
      </c>
      <c r="K3918">
        <v>2.59</v>
      </c>
      <c r="L3918">
        <v>4.45</v>
      </c>
      <c r="M3918">
        <v>119.95</v>
      </c>
      <c r="N3918">
        <v>8.75</v>
      </c>
      <c r="O3918">
        <v>1639</v>
      </c>
      <c r="P3918">
        <v>0</v>
      </c>
      <c r="Q3918" s="5" t="e">
        <f>IF(AND(#REF!&gt;=table!$C$6,#REF!&lt;= table!$D$6),-1,IF(AND(#REF!&gt;=table!$E$6,#REF!&lt;=table!$F$6),1,0))</f>
        <v>#REF!</v>
      </c>
      <c r="R3918" s="5" t="e">
        <f>IF(AND(#REF!&gt;=table!$C$7,#REF!&lt;= table!$D$7),-1,IF(AND(#REF!&gt;=table!$E$7,#REF!&lt;=table!$F$7),1,0))</f>
        <v>#REF!</v>
      </c>
      <c r="S3918" s="5" t="e">
        <f>IF(AND(#REF!&gt;=table!$C$8,#REF!&lt;= table!$D$8),-1,IF(AND(#REF!&gt;=table!$E$8,#REF!&lt;=table!$F$8),1,0))</f>
        <v>#REF!</v>
      </c>
      <c r="T3918" s="5"/>
      <c r="U3918" s="5" t="e">
        <f>IF(AND(#REF!&gt;=table!$C$10,#REF!&lt;= table!$D$10),-1,IF(AND(#REF!&gt;=table!$E$10,#REF!&lt;=table!$F$10),1,0))</f>
        <v>#REF!</v>
      </c>
      <c r="V3918" s="5" t="e">
        <f>IF(AND(#REF!&gt;=table!$C$11,#REF!&lt;= table!$D$11),-1,IF(AND(#REF!&gt;=table!$E$11,#REF!&lt;=table!$F$11),1,0))</f>
        <v>#REF!</v>
      </c>
      <c r="W3918" s="5" t="e">
        <f>CONCATENATE(dados[[#This Row],[fator1]],dados[[#This Row],[fator5]],dados[[#This Row],[fator6]])</f>
        <v>#REF!</v>
      </c>
    </row>
    <row r="3919" spans="1:23">
      <c r="A3919" t="s">
        <v>16</v>
      </c>
      <c r="B3919">
        <v>588767</v>
      </c>
      <c r="C3919">
        <v>13</v>
      </c>
      <c r="D3919">
        <v>35</v>
      </c>
      <c r="E3919">
        <v>120</v>
      </c>
      <c r="F3919">
        <v>10</v>
      </c>
      <c r="G3919">
        <v>0</v>
      </c>
      <c r="H3919">
        <v>25</v>
      </c>
      <c r="I3919">
        <v>0</v>
      </c>
      <c r="J3919">
        <v>0</v>
      </c>
      <c r="K3919">
        <v>3.2350000000000003</v>
      </c>
      <c r="L3919">
        <v>10.925000000000001</v>
      </c>
      <c r="M3919">
        <v>79.88</v>
      </c>
      <c r="N3919">
        <v>12.375</v>
      </c>
      <c r="O3919">
        <v>1682</v>
      </c>
      <c r="P3919">
        <v>0</v>
      </c>
      <c r="Q3919" s="5" t="e">
        <f>IF(AND(#REF!&gt;=table!$C$6,#REF!&lt;= table!$D$6),-1,IF(AND(#REF!&gt;=table!$E$6,#REF!&lt;=table!$F$6),1,0))</f>
        <v>#REF!</v>
      </c>
      <c r="R3919" s="5" t="e">
        <f>IF(AND(#REF!&gt;=table!$C$7,#REF!&lt;= table!$D$7),-1,IF(AND(#REF!&gt;=table!$E$7,#REF!&lt;=table!$F$7),1,0))</f>
        <v>#REF!</v>
      </c>
      <c r="S3919" s="5" t="e">
        <f>IF(AND(#REF!&gt;=table!$C$8,#REF!&lt;= table!$D$8),-1,IF(AND(#REF!&gt;=table!$E$8,#REF!&lt;=table!$F$8),1,0))</f>
        <v>#REF!</v>
      </c>
      <c r="T3919" s="5"/>
      <c r="U3919" s="5" t="e">
        <f>IF(AND(#REF!&gt;=table!$C$10,#REF!&lt;= table!$D$10),-1,IF(AND(#REF!&gt;=table!$E$10,#REF!&lt;=table!$F$10),1,0))</f>
        <v>#REF!</v>
      </c>
      <c r="V3919" s="5" t="e">
        <f>IF(AND(#REF!&gt;=table!$C$11,#REF!&lt;= table!$D$11),-1,IF(AND(#REF!&gt;=table!$E$11,#REF!&lt;=table!$F$11),1,0))</f>
        <v>#REF!</v>
      </c>
      <c r="W3919" s="5" t="e">
        <f>CONCATENATE(dados[[#This Row],[fator1]],dados[[#This Row],[fator5]],dados[[#This Row],[fator6]])</f>
        <v>#REF!</v>
      </c>
    </row>
    <row r="3920" spans="1:23">
      <c r="A3920" t="s">
        <v>17</v>
      </c>
      <c r="B3920">
        <v>588770</v>
      </c>
      <c r="C3920">
        <v>9</v>
      </c>
      <c r="D3920">
        <v>30</v>
      </c>
      <c r="E3920">
        <v>160</v>
      </c>
      <c r="F3920">
        <v>3</v>
      </c>
      <c r="G3920">
        <v>30</v>
      </c>
      <c r="H3920">
        <v>18</v>
      </c>
      <c r="I3920">
        <v>283</v>
      </c>
      <c r="J3920">
        <v>590</v>
      </c>
      <c r="K3920">
        <v>2.85</v>
      </c>
      <c r="L3920">
        <v>6.9</v>
      </c>
      <c r="M3920">
        <v>142.65</v>
      </c>
      <c r="N3920">
        <v>13.4</v>
      </c>
      <c r="O3920">
        <v>1672</v>
      </c>
      <c r="P3920">
        <v>0</v>
      </c>
      <c r="Q3920" s="5" t="e">
        <f>IF(AND(#REF!&gt;=table!$C$6,#REF!&lt;= table!$D$6),-1,IF(AND(#REF!&gt;=table!$E$6,#REF!&lt;=table!$F$6),1,0))</f>
        <v>#REF!</v>
      </c>
      <c r="R3920" s="5" t="e">
        <f>IF(AND(#REF!&gt;=table!$C$7,#REF!&lt;= table!$D$7),-1,IF(AND(#REF!&gt;=table!$E$7,#REF!&lt;=table!$F$7),1,0))</f>
        <v>#REF!</v>
      </c>
      <c r="S3920" s="5" t="e">
        <f>IF(AND(#REF!&gt;=table!$C$8,#REF!&lt;= table!$D$8),-1,IF(AND(#REF!&gt;=table!$E$8,#REF!&lt;=table!$F$8),1,0))</f>
        <v>#REF!</v>
      </c>
      <c r="T3920" s="5"/>
      <c r="U3920" s="5" t="e">
        <f>IF(AND(#REF!&gt;=table!$C$10,#REF!&lt;= table!$D$10),-1,IF(AND(#REF!&gt;=table!$E$10,#REF!&lt;=table!$F$10),1,0))</f>
        <v>#REF!</v>
      </c>
      <c r="V3920" s="5" t="e">
        <f>IF(AND(#REF!&gt;=table!$C$11,#REF!&lt;= table!$D$11),-1,IF(AND(#REF!&gt;=table!$E$11,#REF!&lt;=table!$F$11),1,0))</f>
        <v>#REF!</v>
      </c>
      <c r="W3920" s="5" t="e">
        <f>CONCATENATE(dados[[#This Row],[fator1]],dados[[#This Row],[fator5]],dados[[#This Row],[fator6]])</f>
        <v>#REF!</v>
      </c>
    </row>
    <row r="3921" spans="1:23">
      <c r="A3921" t="s">
        <v>17</v>
      </c>
      <c r="B3921">
        <v>588775</v>
      </c>
      <c r="C3921">
        <v>20</v>
      </c>
      <c r="D3921">
        <v>33</v>
      </c>
      <c r="E3921">
        <v>66</v>
      </c>
      <c r="F3921">
        <v>4</v>
      </c>
      <c r="G3921">
        <v>20</v>
      </c>
      <c r="H3921">
        <v>25</v>
      </c>
      <c r="I3921">
        <v>0</v>
      </c>
      <c r="J3921">
        <v>0</v>
      </c>
      <c r="K3921">
        <v>3.7</v>
      </c>
      <c r="L3921">
        <v>17.55</v>
      </c>
      <c r="M3921">
        <v>73.850000000000009</v>
      </c>
      <c r="N3921">
        <v>19.7</v>
      </c>
      <c r="O3921">
        <v>1656</v>
      </c>
      <c r="P3921">
        <v>692</v>
      </c>
      <c r="Q3921" s="5" t="e">
        <f>IF(AND(#REF!&gt;=table!$C$6,#REF!&lt;= table!$D$6),-1,IF(AND(#REF!&gt;=table!$E$6,#REF!&lt;=table!$F$6),1,0))</f>
        <v>#REF!</v>
      </c>
      <c r="R3921" s="5" t="e">
        <f>IF(AND(#REF!&gt;=table!$C$7,#REF!&lt;= table!$D$7),-1,IF(AND(#REF!&gt;=table!$E$7,#REF!&lt;=table!$F$7),1,0))</f>
        <v>#REF!</v>
      </c>
      <c r="S3921" s="5" t="e">
        <f>IF(AND(#REF!&gt;=table!$C$8,#REF!&lt;= table!$D$8),-1,IF(AND(#REF!&gt;=table!$E$8,#REF!&lt;=table!$F$8),1,0))</f>
        <v>#REF!</v>
      </c>
      <c r="T3921" s="5"/>
      <c r="U3921" s="5" t="e">
        <f>IF(AND(#REF!&gt;=table!$C$10,#REF!&lt;= table!$D$10),-1,IF(AND(#REF!&gt;=table!$E$10,#REF!&lt;=table!$F$10),1,0))</f>
        <v>#REF!</v>
      </c>
      <c r="V3921" s="5" t="e">
        <f>IF(AND(#REF!&gt;=table!$C$11,#REF!&lt;= table!$D$11),-1,IF(AND(#REF!&gt;=table!$E$11,#REF!&lt;=table!$F$11),1,0))</f>
        <v>#REF!</v>
      </c>
      <c r="W3921" s="5" t="e">
        <f>CONCATENATE(dados[[#This Row],[fator1]],dados[[#This Row],[fator5]],dados[[#This Row],[fator6]])</f>
        <v>#REF!</v>
      </c>
    </row>
    <row r="3922" spans="1:23">
      <c r="A3922" t="s">
        <v>17</v>
      </c>
      <c r="B3922">
        <v>588776</v>
      </c>
      <c r="C3922">
        <v>20</v>
      </c>
      <c r="D3922">
        <v>33</v>
      </c>
      <c r="E3922">
        <v>66</v>
      </c>
      <c r="F3922">
        <v>4</v>
      </c>
      <c r="G3922">
        <v>20</v>
      </c>
      <c r="H3922">
        <v>25</v>
      </c>
      <c r="I3922">
        <v>195</v>
      </c>
      <c r="J3922">
        <v>0</v>
      </c>
      <c r="K3922">
        <v>5.71</v>
      </c>
      <c r="L3922">
        <v>11.950000000000001</v>
      </c>
      <c r="M3922">
        <v>63.75</v>
      </c>
      <c r="N3922">
        <v>14.700000000000001</v>
      </c>
      <c r="O3922">
        <v>1669</v>
      </c>
      <c r="P3922">
        <v>0</v>
      </c>
      <c r="Q3922" s="5" t="e">
        <f>IF(AND(#REF!&gt;=table!$C$6,#REF!&lt;= table!$D$6),-1,IF(AND(#REF!&gt;=table!$E$6,#REF!&lt;=table!$F$6),1,0))</f>
        <v>#REF!</v>
      </c>
      <c r="R3922" s="5" t="e">
        <f>IF(AND(#REF!&gt;=table!$C$7,#REF!&lt;= table!$D$7),-1,IF(AND(#REF!&gt;=table!$E$7,#REF!&lt;=table!$F$7),1,0))</f>
        <v>#REF!</v>
      </c>
      <c r="S3922" s="5" t="e">
        <f>IF(AND(#REF!&gt;=table!$C$8,#REF!&lt;= table!$D$8),-1,IF(AND(#REF!&gt;=table!$E$8,#REF!&lt;=table!$F$8),1,0))</f>
        <v>#REF!</v>
      </c>
      <c r="T3922" s="5"/>
      <c r="U3922" s="5" t="e">
        <f>IF(AND(#REF!&gt;=table!$C$10,#REF!&lt;= table!$D$10),-1,IF(AND(#REF!&gt;=table!$E$10,#REF!&lt;=table!$F$10),1,0))</f>
        <v>#REF!</v>
      </c>
      <c r="V3922" s="5" t="e">
        <f>IF(AND(#REF!&gt;=table!$C$11,#REF!&lt;= table!$D$11),-1,IF(AND(#REF!&gt;=table!$E$11,#REF!&lt;=table!$F$11),1,0))</f>
        <v>#REF!</v>
      </c>
      <c r="W3922" s="5" t="e">
        <f>CONCATENATE(dados[[#This Row],[fator1]],dados[[#This Row],[fator5]],dados[[#This Row],[fator6]])</f>
        <v>#REF!</v>
      </c>
    </row>
    <row r="3923" spans="1:23">
      <c r="A3923" t="s">
        <v>17</v>
      </c>
      <c r="B3923">
        <v>588777</v>
      </c>
      <c r="C3923">
        <v>20</v>
      </c>
      <c r="D3923">
        <v>33</v>
      </c>
      <c r="E3923">
        <v>66</v>
      </c>
      <c r="F3923">
        <v>4</v>
      </c>
      <c r="G3923">
        <v>20</v>
      </c>
      <c r="H3923">
        <v>25</v>
      </c>
      <c r="I3923">
        <v>469</v>
      </c>
      <c r="J3923">
        <v>0</v>
      </c>
      <c r="K3923">
        <v>7.2150000000000007</v>
      </c>
      <c r="L3923">
        <v>9.65</v>
      </c>
      <c r="M3923">
        <v>62.75</v>
      </c>
      <c r="N3923">
        <v>14.200000000000001</v>
      </c>
      <c r="O3923">
        <v>1670</v>
      </c>
      <c r="P3923">
        <v>0</v>
      </c>
      <c r="Q3923" s="5" t="e">
        <f>IF(AND(#REF!&gt;=table!$C$6,#REF!&lt;= table!$D$6),-1,IF(AND(#REF!&gt;=table!$E$6,#REF!&lt;=table!$F$6),1,0))</f>
        <v>#REF!</v>
      </c>
      <c r="R3923" s="5" t="e">
        <f>IF(AND(#REF!&gt;=table!$C$7,#REF!&lt;= table!$D$7),-1,IF(AND(#REF!&gt;=table!$E$7,#REF!&lt;=table!$F$7),1,0))</f>
        <v>#REF!</v>
      </c>
      <c r="S3923" s="5" t="e">
        <f>IF(AND(#REF!&gt;=table!$C$8,#REF!&lt;= table!$D$8),-1,IF(AND(#REF!&gt;=table!$E$8,#REF!&lt;=table!$F$8),1,0))</f>
        <v>#REF!</v>
      </c>
      <c r="T3923" s="5"/>
      <c r="U3923" s="5" t="e">
        <f>IF(AND(#REF!&gt;=table!$C$10,#REF!&lt;= table!$D$10),-1,IF(AND(#REF!&gt;=table!$E$10,#REF!&lt;=table!$F$10),1,0))</f>
        <v>#REF!</v>
      </c>
      <c r="V3923" s="5" t="e">
        <f>IF(AND(#REF!&gt;=table!$C$11,#REF!&lt;= table!$D$11),-1,IF(AND(#REF!&gt;=table!$E$11,#REF!&lt;=table!$F$11),1,0))</f>
        <v>#REF!</v>
      </c>
      <c r="W3923" s="5" t="e">
        <f>CONCATENATE(dados[[#This Row],[fator1]],dados[[#This Row],[fator5]],dados[[#This Row],[fator6]])</f>
        <v>#REF!</v>
      </c>
    </row>
    <row r="3924" spans="1:23">
      <c r="A3924" t="s">
        <v>17</v>
      </c>
      <c r="B3924">
        <v>588781</v>
      </c>
      <c r="C3924">
        <v>20</v>
      </c>
      <c r="D3924">
        <v>33</v>
      </c>
      <c r="E3924">
        <v>66</v>
      </c>
      <c r="F3924">
        <v>4</v>
      </c>
      <c r="G3924">
        <v>20</v>
      </c>
      <c r="H3924">
        <v>25</v>
      </c>
      <c r="I3924">
        <v>785</v>
      </c>
      <c r="J3924">
        <v>1310</v>
      </c>
      <c r="K3924">
        <v>3.45</v>
      </c>
      <c r="L3924">
        <v>5.1000000000000005</v>
      </c>
      <c r="M3924">
        <v>51.15</v>
      </c>
      <c r="N3924">
        <v>12.55</v>
      </c>
      <c r="O3924">
        <v>1588</v>
      </c>
      <c r="P3924">
        <v>717</v>
      </c>
      <c r="Q3924" s="5" t="e">
        <f>IF(AND(#REF!&gt;=table!$C$6,#REF!&lt;= table!$D$6),-1,IF(AND(#REF!&gt;=table!$E$6,#REF!&lt;=table!$F$6),1,0))</f>
        <v>#REF!</v>
      </c>
      <c r="R3924" s="5" t="e">
        <f>IF(AND(#REF!&gt;=table!$C$7,#REF!&lt;= table!$D$7),-1,IF(AND(#REF!&gt;=table!$E$7,#REF!&lt;=table!$F$7),1,0))</f>
        <v>#REF!</v>
      </c>
      <c r="S3924" s="5" t="e">
        <f>IF(AND(#REF!&gt;=table!$C$8,#REF!&lt;= table!$D$8),-1,IF(AND(#REF!&gt;=table!$E$8,#REF!&lt;=table!$F$8),1,0))</f>
        <v>#REF!</v>
      </c>
      <c r="T3924" s="5"/>
      <c r="U3924" s="5" t="e">
        <f>IF(AND(#REF!&gt;=table!$C$10,#REF!&lt;= table!$D$10),-1,IF(AND(#REF!&gt;=table!$E$10,#REF!&lt;=table!$F$10),1,0))</f>
        <v>#REF!</v>
      </c>
      <c r="V3924" s="5" t="e">
        <f>IF(AND(#REF!&gt;=table!$C$11,#REF!&lt;= table!$D$11),-1,IF(AND(#REF!&gt;=table!$E$11,#REF!&lt;=table!$F$11),1,0))</f>
        <v>#REF!</v>
      </c>
      <c r="W3924" s="5" t="e">
        <f>CONCATENATE(dados[[#This Row],[fator1]],dados[[#This Row],[fator5]],dados[[#This Row],[fator6]])</f>
        <v>#REF!</v>
      </c>
    </row>
    <row r="3925" spans="1:23">
      <c r="A3925" t="s">
        <v>17</v>
      </c>
      <c r="B3925">
        <v>588783</v>
      </c>
      <c r="C3925">
        <v>6</v>
      </c>
      <c r="D3925">
        <v>30</v>
      </c>
      <c r="E3925">
        <v>110</v>
      </c>
      <c r="F3925">
        <v>10</v>
      </c>
      <c r="G3925">
        <v>21</v>
      </c>
      <c r="H3925">
        <v>25</v>
      </c>
      <c r="I3925">
        <v>331</v>
      </c>
      <c r="J3925">
        <v>0</v>
      </c>
      <c r="K3925">
        <v>2.7450000000000001</v>
      </c>
      <c r="L3925">
        <v>3.6</v>
      </c>
      <c r="M3925">
        <v>100.7</v>
      </c>
      <c r="N3925">
        <v>10.15</v>
      </c>
      <c r="O3925">
        <v>1668</v>
      </c>
      <c r="P3925">
        <v>1272</v>
      </c>
      <c r="Q3925" s="5" t="e">
        <f>IF(AND(#REF!&gt;=table!$C$6,#REF!&lt;= table!$D$6),-1,IF(AND(#REF!&gt;=table!$E$6,#REF!&lt;=table!$F$6),1,0))</f>
        <v>#REF!</v>
      </c>
      <c r="R3925" s="5" t="e">
        <f>IF(AND(#REF!&gt;=table!$C$7,#REF!&lt;= table!$D$7),-1,IF(AND(#REF!&gt;=table!$E$7,#REF!&lt;=table!$F$7),1,0))</f>
        <v>#REF!</v>
      </c>
      <c r="S3925" s="5" t="e">
        <f>IF(AND(#REF!&gt;=table!$C$8,#REF!&lt;= table!$D$8),-1,IF(AND(#REF!&gt;=table!$E$8,#REF!&lt;=table!$F$8),1,0))</f>
        <v>#REF!</v>
      </c>
      <c r="T3925" s="5"/>
      <c r="U3925" s="5" t="e">
        <f>IF(AND(#REF!&gt;=table!$C$10,#REF!&lt;= table!$D$10),-1,IF(AND(#REF!&gt;=table!$E$10,#REF!&lt;=table!$F$10),1,0))</f>
        <v>#REF!</v>
      </c>
      <c r="V3925" s="5" t="e">
        <f>IF(AND(#REF!&gt;=table!$C$11,#REF!&lt;= table!$D$11),-1,IF(AND(#REF!&gt;=table!$E$11,#REF!&lt;=table!$F$11),1,0))</f>
        <v>#REF!</v>
      </c>
      <c r="W3925" s="5" t="e">
        <f>CONCATENATE(dados[[#This Row],[fator1]],dados[[#This Row],[fator5]],dados[[#This Row],[fator6]])</f>
        <v>#REF!</v>
      </c>
    </row>
    <row r="3926" spans="1:23">
      <c r="A3926" t="s">
        <v>17</v>
      </c>
      <c r="B3926">
        <v>588787</v>
      </c>
      <c r="C3926">
        <v>6</v>
      </c>
      <c r="D3926">
        <v>30</v>
      </c>
      <c r="E3926">
        <v>110</v>
      </c>
      <c r="F3926">
        <v>10</v>
      </c>
      <c r="G3926">
        <v>21</v>
      </c>
      <c r="H3926">
        <v>25</v>
      </c>
      <c r="I3926">
        <v>9</v>
      </c>
      <c r="J3926">
        <v>0</v>
      </c>
      <c r="K3926">
        <v>2.5300000000000002</v>
      </c>
      <c r="L3926">
        <v>3.5</v>
      </c>
      <c r="M3926">
        <v>109.75</v>
      </c>
      <c r="N3926">
        <v>18.55</v>
      </c>
      <c r="O3926">
        <v>1641</v>
      </c>
      <c r="P3926">
        <v>1235</v>
      </c>
      <c r="Q3926" s="5" t="e">
        <f>IF(AND(#REF!&gt;=table!$C$6,#REF!&lt;= table!$D$6),-1,IF(AND(#REF!&gt;=table!$E$6,#REF!&lt;=table!$F$6),1,0))</f>
        <v>#REF!</v>
      </c>
      <c r="R3926" s="5" t="e">
        <f>IF(AND(#REF!&gt;=table!$C$7,#REF!&lt;= table!$D$7),-1,IF(AND(#REF!&gt;=table!$E$7,#REF!&lt;=table!$F$7),1,0))</f>
        <v>#REF!</v>
      </c>
      <c r="S3926" s="5" t="e">
        <f>IF(AND(#REF!&gt;=table!$C$8,#REF!&lt;= table!$D$8),-1,IF(AND(#REF!&gt;=table!$E$8,#REF!&lt;=table!$F$8),1,0))</f>
        <v>#REF!</v>
      </c>
      <c r="T3926" s="5"/>
      <c r="U3926" s="5" t="e">
        <f>IF(AND(#REF!&gt;=table!$C$10,#REF!&lt;= table!$D$10),-1,IF(AND(#REF!&gt;=table!$E$10,#REF!&lt;=table!$F$10),1,0))</f>
        <v>#REF!</v>
      </c>
      <c r="V3926" s="5" t="e">
        <f>IF(AND(#REF!&gt;=table!$C$11,#REF!&lt;= table!$D$11),-1,IF(AND(#REF!&gt;=table!$E$11,#REF!&lt;=table!$F$11),1,0))</f>
        <v>#REF!</v>
      </c>
      <c r="W3926" s="5" t="e">
        <f>CONCATENATE(dados[[#This Row],[fator1]],dados[[#This Row],[fator5]],dados[[#This Row],[fator6]])</f>
        <v>#REF!</v>
      </c>
    </row>
    <row r="3927" spans="1:23">
      <c r="A3927" t="s">
        <v>17</v>
      </c>
      <c r="B3927">
        <v>588789</v>
      </c>
      <c r="C3927">
        <v>7</v>
      </c>
      <c r="D3927">
        <v>35</v>
      </c>
      <c r="E3927">
        <v>200</v>
      </c>
      <c r="F3927">
        <v>8</v>
      </c>
      <c r="G3927">
        <v>50</v>
      </c>
      <c r="H3927">
        <v>25</v>
      </c>
      <c r="I3927">
        <v>13</v>
      </c>
      <c r="J3927">
        <v>0</v>
      </c>
      <c r="K3927">
        <v>3.3450000000000002</v>
      </c>
      <c r="L3927">
        <v>11.445</v>
      </c>
      <c r="M3927">
        <v>168.3</v>
      </c>
      <c r="N3927">
        <v>14.75</v>
      </c>
      <c r="O3927">
        <v>1681</v>
      </c>
      <c r="P3927">
        <v>0</v>
      </c>
      <c r="Q3927" s="5" t="e">
        <f>IF(AND(#REF!&gt;=table!$C$6,#REF!&lt;= table!$D$6),-1,IF(AND(#REF!&gt;=table!$E$6,#REF!&lt;=table!$F$6),1,0))</f>
        <v>#REF!</v>
      </c>
      <c r="R3927" s="5" t="e">
        <f>IF(AND(#REF!&gt;=table!$C$7,#REF!&lt;= table!$D$7),-1,IF(AND(#REF!&gt;=table!$E$7,#REF!&lt;=table!$F$7),1,0))</f>
        <v>#REF!</v>
      </c>
      <c r="S3927" s="5" t="e">
        <f>IF(AND(#REF!&gt;=table!$C$8,#REF!&lt;= table!$D$8),-1,IF(AND(#REF!&gt;=table!$E$8,#REF!&lt;=table!$F$8),1,0))</f>
        <v>#REF!</v>
      </c>
      <c r="T3927" s="5"/>
      <c r="U3927" s="5" t="e">
        <f>IF(AND(#REF!&gt;=table!$C$10,#REF!&lt;= table!$D$10),-1,IF(AND(#REF!&gt;=table!$E$10,#REF!&lt;=table!$F$10),1,0))</f>
        <v>#REF!</v>
      </c>
      <c r="V3927" s="5" t="e">
        <f>IF(AND(#REF!&gt;=table!$C$11,#REF!&lt;= table!$D$11),-1,IF(AND(#REF!&gt;=table!$E$11,#REF!&lt;=table!$F$11),1,0))</f>
        <v>#REF!</v>
      </c>
      <c r="W3927" s="5" t="e">
        <f>CONCATENATE(dados[[#This Row],[fator1]],dados[[#This Row],[fator5]],dados[[#This Row],[fator6]])</f>
        <v>#REF!</v>
      </c>
    </row>
    <row r="3928" spans="1:23">
      <c r="A3928" t="s">
        <v>16</v>
      </c>
      <c r="B3928">
        <v>588791</v>
      </c>
      <c r="C3928">
        <v>0.15</v>
      </c>
      <c r="D3928">
        <v>40</v>
      </c>
      <c r="E3928">
        <v>10</v>
      </c>
      <c r="F3928">
        <v>15</v>
      </c>
      <c r="G3928">
        <v>0</v>
      </c>
      <c r="H3928">
        <v>15</v>
      </c>
      <c r="I3928">
        <v>566</v>
      </c>
      <c r="J3928">
        <v>0</v>
      </c>
      <c r="K3928">
        <v>3.335</v>
      </c>
      <c r="L3928">
        <v>9.5500000000000007</v>
      </c>
      <c r="M3928">
        <v>9.1</v>
      </c>
      <c r="N3928">
        <v>11.3</v>
      </c>
      <c r="O3928">
        <v>1688</v>
      </c>
      <c r="P3928">
        <v>984</v>
      </c>
      <c r="Q3928" s="5" t="e">
        <f>IF(AND(#REF!&gt;=table!$C$6,#REF!&lt;= table!$D$6),-1,IF(AND(#REF!&gt;=table!$E$6,#REF!&lt;=table!$F$6),1,0))</f>
        <v>#REF!</v>
      </c>
      <c r="R3928" s="5" t="e">
        <f>IF(AND(#REF!&gt;=table!$C$7,#REF!&lt;= table!$D$7),-1,IF(AND(#REF!&gt;=table!$E$7,#REF!&lt;=table!$F$7),1,0))</f>
        <v>#REF!</v>
      </c>
      <c r="S3928" s="5" t="e">
        <f>IF(AND(#REF!&gt;=table!$C$8,#REF!&lt;= table!$D$8),-1,IF(AND(#REF!&gt;=table!$E$8,#REF!&lt;=table!$F$8),1,0))</f>
        <v>#REF!</v>
      </c>
      <c r="T3928" s="5"/>
      <c r="U3928" s="5" t="e">
        <f>IF(AND(#REF!&gt;=table!$C$10,#REF!&lt;= table!$D$10),-1,IF(AND(#REF!&gt;=table!$E$10,#REF!&lt;=table!$F$10),1,0))</f>
        <v>#REF!</v>
      </c>
      <c r="V3928" s="5" t="e">
        <f>IF(AND(#REF!&gt;=table!$C$11,#REF!&lt;= table!$D$11),-1,IF(AND(#REF!&gt;=table!$E$11,#REF!&lt;=table!$F$11),1,0))</f>
        <v>#REF!</v>
      </c>
      <c r="W3928" s="5" t="e">
        <f>CONCATENATE(dados[[#This Row],[fator1]],dados[[#This Row],[fator5]],dados[[#This Row],[fator6]])</f>
        <v>#REF!</v>
      </c>
    </row>
    <row r="3929" spans="1:23">
      <c r="A3929" t="s">
        <v>16</v>
      </c>
      <c r="B3929">
        <v>588794</v>
      </c>
      <c r="C3929">
        <v>0.15</v>
      </c>
      <c r="D3929">
        <v>40</v>
      </c>
      <c r="E3929">
        <v>10</v>
      </c>
      <c r="F3929">
        <v>15</v>
      </c>
      <c r="G3929">
        <v>0</v>
      </c>
      <c r="H3929">
        <v>15</v>
      </c>
      <c r="I3929">
        <v>888</v>
      </c>
      <c r="J3929">
        <v>1000</v>
      </c>
      <c r="K3929">
        <v>3.87</v>
      </c>
      <c r="L3929">
        <v>7.26</v>
      </c>
      <c r="M3929">
        <v>5.4050000000000002</v>
      </c>
      <c r="N3929">
        <v>6.66</v>
      </c>
      <c r="O3929">
        <v>1586</v>
      </c>
      <c r="P3929">
        <v>542</v>
      </c>
      <c r="Q3929" s="5" t="e">
        <f>IF(AND(#REF!&gt;=table!$C$6,#REF!&lt;= table!$D$6),-1,IF(AND(#REF!&gt;=table!$E$6,#REF!&lt;=table!$F$6),1,0))</f>
        <v>#REF!</v>
      </c>
      <c r="R3929" s="5" t="e">
        <f>IF(AND(#REF!&gt;=table!$C$7,#REF!&lt;= table!$D$7),-1,IF(AND(#REF!&gt;=table!$E$7,#REF!&lt;=table!$F$7),1,0))</f>
        <v>#REF!</v>
      </c>
      <c r="S3929" s="5" t="e">
        <f>IF(AND(#REF!&gt;=table!$C$8,#REF!&lt;= table!$D$8),-1,IF(AND(#REF!&gt;=table!$E$8,#REF!&lt;=table!$F$8),1,0))</f>
        <v>#REF!</v>
      </c>
      <c r="T3929" s="5"/>
      <c r="U3929" s="5" t="e">
        <f>IF(AND(#REF!&gt;=table!$C$10,#REF!&lt;= table!$D$10),-1,IF(AND(#REF!&gt;=table!$E$10,#REF!&lt;=table!$F$10),1,0))</f>
        <v>#REF!</v>
      </c>
      <c r="V3929" s="5" t="e">
        <f>IF(AND(#REF!&gt;=table!$C$11,#REF!&lt;= table!$D$11),-1,IF(AND(#REF!&gt;=table!$E$11,#REF!&lt;=table!$F$11),1,0))</f>
        <v>#REF!</v>
      </c>
      <c r="W3929" s="5" t="e">
        <f>CONCATENATE(dados[[#This Row],[fator1]],dados[[#This Row],[fator5]],dados[[#This Row],[fator6]])</f>
        <v>#REF!</v>
      </c>
    </row>
    <row r="3930" spans="1:23">
      <c r="A3930" t="s">
        <v>16</v>
      </c>
      <c r="B3930">
        <v>588804</v>
      </c>
      <c r="C3930">
        <v>7</v>
      </c>
      <c r="D3930">
        <v>35</v>
      </c>
      <c r="E3930">
        <v>170</v>
      </c>
      <c r="F3930">
        <v>6</v>
      </c>
      <c r="G3930">
        <v>0</v>
      </c>
      <c r="H3930">
        <v>20</v>
      </c>
      <c r="I3930">
        <v>186</v>
      </c>
      <c r="J3930">
        <v>540</v>
      </c>
      <c r="K3930">
        <v>3.2250000000000001</v>
      </c>
      <c r="L3930">
        <v>9.85</v>
      </c>
      <c r="M3930">
        <v>138.1</v>
      </c>
      <c r="N3930">
        <v>13.200000000000001</v>
      </c>
      <c r="O3930">
        <v>1663</v>
      </c>
      <c r="P3930">
        <v>0</v>
      </c>
      <c r="Q3930" s="5" t="e">
        <f>IF(AND(#REF!&gt;=table!$C$6,#REF!&lt;= table!$D$6),-1,IF(AND(#REF!&gt;=table!$E$6,#REF!&lt;=table!$F$6),1,0))</f>
        <v>#REF!</v>
      </c>
      <c r="R3930" s="5" t="e">
        <f>IF(AND(#REF!&gt;=table!$C$7,#REF!&lt;= table!$D$7),-1,IF(AND(#REF!&gt;=table!$E$7,#REF!&lt;=table!$F$7),1,0))</f>
        <v>#REF!</v>
      </c>
      <c r="S3930" s="5" t="e">
        <f>IF(AND(#REF!&gt;=table!$C$8,#REF!&lt;= table!$D$8),-1,IF(AND(#REF!&gt;=table!$E$8,#REF!&lt;=table!$F$8),1,0))</f>
        <v>#REF!</v>
      </c>
      <c r="T3930" s="5"/>
      <c r="U3930" s="5" t="e">
        <f>IF(AND(#REF!&gt;=table!$C$10,#REF!&lt;= table!$D$10),-1,IF(AND(#REF!&gt;=table!$E$10,#REF!&lt;=table!$F$10),1,0))</f>
        <v>#REF!</v>
      </c>
      <c r="V3930" s="5" t="e">
        <f>IF(AND(#REF!&gt;=table!$C$11,#REF!&lt;= table!$D$11),-1,IF(AND(#REF!&gt;=table!$E$11,#REF!&lt;=table!$F$11),1,0))</f>
        <v>#REF!</v>
      </c>
      <c r="W3930" s="5" t="e">
        <f>CONCATENATE(dados[[#This Row],[fator1]],dados[[#This Row],[fator5]],dados[[#This Row],[fator6]])</f>
        <v>#REF!</v>
      </c>
    </row>
    <row r="3931" spans="1:23">
      <c r="A3931" t="s">
        <v>17</v>
      </c>
      <c r="B3931">
        <v>588817</v>
      </c>
      <c r="C3931">
        <v>10</v>
      </c>
      <c r="D3931">
        <v>25</v>
      </c>
      <c r="E3931">
        <v>40</v>
      </c>
      <c r="F3931">
        <v>10</v>
      </c>
      <c r="G3931">
        <v>110</v>
      </c>
      <c r="H3931">
        <v>50</v>
      </c>
      <c r="I3931">
        <v>596</v>
      </c>
      <c r="J3931">
        <v>0</v>
      </c>
      <c r="K3931">
        <v>2.52</v>
      </c>
      <c r="L3931">
        <v>5.45</v>
      </c>
      <c r="M3931">
        <v>33.04</v>
      </c>
      <c r="N3931">
        <v>26.810000000000002</v>
      </c>
      <c r="O3931">
        <v>1681</v>
      </c>
      <c r="P3931">
        <v>0</v>
      </c>
      <c r="Q3931" s="5" t="e">
        <f>IF(AND(#REF!&gt;=table!$C$6,#REF!&lt;= table!$D$6),-1,IF(AND(#REF!&gt;=table!$E$6,#REF!&lt;=table!$F$6),1,0))</f>
        <v>#REF!</v>
      </c>
      <c r="R3931" s="5" t="e">
        <f>IF(AND(#REF!&gt;=table!$C$7,#REF!&lt;= table!$D$7),-1,IF(AND(#REF!&gt;=table!$E$7,#REF!&lt;=table!$F$7),1,0))</f>
        <v>#REF!</v>
      </c>
      <c r="S3931" s="5" t="e">
        <f>IF(AND(#REF!&gt;=table!$C$8,#REF!&lt;= table!$D$8),-1,IF(AND(#REF!&gt;=table!$E$8,#REF!&lt;=table!$F$8),1,0))</f>
        <v>#REF!</v>
      </c>
      <c r="T3931" s="5"/>
      <c r="U3931" s="5" t="e">
        <f>IF(AND(#REF!&gt;=table!$C$10,#REF!&lt;= table!$D$10),-1,IF(AND(#REF!&gt;=table!$E$10,#REF!&lt;=table!$F$10),1,0))</f>
        <v>#REF!</v>
      </c>
      <c r="V3931" s="5" t="e">
        <f>IF(AND(#REF!&gt;=table!$C$11,#REF!&lt;= table!$D$11),-1,IF(AND(#REF!&gt;=table!$E$11,#REF!&lt;=table!$F$11),1,0))</f>
        <v>#REF!</v>
      </c>
      <c r="W3931" s="5" t="e">
        <f>CONCATENATE(dados[[#This Row],[fator1]],dados[[#This Row],[fator5]],dados[[#This Row],[fator6]])</f>
        <v>#REF!</v>
      </c>
    </row>
    <row r="3932" spans="1:23">
      <c r="A3932" t="s">
        <v>17</v>
      </c>
      <c r="B3932">
        <v>588818</v>
      </c>
      <c r="C3932">
        <v>8</v>
      </c>
      <c r="D3932">
        <v>33</v>
      </c>
      <c r="E3932">
        <v>160</v>
      </c>
      <c r="F3932">
        <v>3</v>
      </c>
      <c r="G3932">
        <v>25</v>
      </c>
      <c r="H3932">
        <v>21</v>
      </c>
      <c r="I3932">
        <v>1121</v>
      </c>
      <c r="J3932">
        <v>0</v>
      </c>
      <c r="K3932">
        <v>2.6255000000000002</v>
      </c>
      <c r="L3932">
        <v>2.5175000000000001</v>
      </c>
      <c r="M3932">
        <v>155.761</v>
      </c>
      <c r="N3932">
        <v>14.08</v>
      </c>
      <c r="O3932">
        <v>1678</v>
      </c>
      <c r="P3932">
        <v>0</v>
      </c>
      <c r="Q3932" s="5" t="e">
        <f>IF(AND(#REF!&gt;=table!$C$6,#REF!&lt;= table!$D$6),-1,IF(AND(#REF!&gt;=table!$E$6,#REF!&lt;=table!$F$6),1,0))</f>
        <v>#REF!</v>
      </c>
      <c r="R3932" s="5" t="e">
        <f>IF(AND(#REF!&gt;=table!$C$7,#REF!&lt;= table!$D$7),-1,IF(AND(#REF!&gt;=table!$E$7,#REF!&lt;=table!$F$7),1,0))</f>
        <v>#REF!</v>
      </c>
      <c r="S3932" s="5" t="e">
        <f>IF(AND(#REF!&gt;=table!$C$8,#REF!&lt;= table!$D$8),-1,IF(AND(#REF!&gt;=table!$E$8,#REF!&lt;=table!$F$8),1,0))</f>
        <v>#REF!</v>
      </c>
      <c r="T3932" s="5"/>
      <c r="U3932" s="5" t="e">
        <f>IF(AND(#REF!&gt;=table!$C$10,#REF!&lt;= table!$D$10),-1,IF(AND(#REF!&gt;=table!$E$10,#REF!&lt;=table!$F$10),1,0))</f>
        <v>#REF!</v>
      </c>
      <c r="V3932" s="5" t="e">
        <f>IF(AND(#REF!&gt;=table!$C$11,#REF!&lt;= table!$D$11),-1,IF(AND(#REF!&gt;=table!$E$11,#REF!&lt;=table!$F$11),1,0))</f>
        <v>#REF!</v>
      </c>
      <c r="W3932" s="5" t="e">
        <f>CONCATENATE(dados[[#This Row],[fator1]],dados[[#This Row],[fator5]],dados[[#This Row],[fator6]])</f>
        <v>#REF!</v>
      </c>
    </row>
    <row r="3933" spans="1:23">
      <c r="A3933" t="s">
        <v>17</v>
      </c>
      <c r="B3933">
        <v>588819</v>
      </c>
      <c r="C3933">
        <v>10</v>
      </c>
      <c r="D3933">
        <v>25</v>
      </c>
      <c r="E3933">
        <v>40</v>
      </c>
      <c r="F3933">
        <v>10</v>
      </c>
      <c r="G3933">
        <v>110</v>
      </c>
      <c r="H3933">
        <v>50</v>
      </c>
      <c r="I3933">
        <v>5</v>
      </c>
      <c r="J3933">
        <v>0</v>
      </c>
      <c r="K3933">
        <v>4.3905000000000003</v>
      </c>
      <c r="L3933">
        <v>12.144500000000001</v>
      </c>
      <c r="M3933">
        <v>38.000500000000002</v>
      </c>
      <c r="N3933">
        <v>22.900000000000002</v>
      </c>
      <c r="O3933">
        <v>1685</v>
      </c>
      <c r="P3933">
        <v>0</v>
      </c>
      <c r="Q3933" s="5" t="e">
        <f>IF(AND(#REF!&gt;=table!$C$6,#REF!&lt;= table!$D$6),-1,IF(AND(#REF!&gt;=table!$E$6,#REF!&lt;=table!$F$6),1,0))</f>
        <v>#REF!</v>
      </c>
      <c r="R3933" s="5" t="e">
        <f>IF(AND(#REF!&gt;=table!$C$7,#REF!&lt;= table!$D$7),-1,IF(AND(#REF!&gt;=table!$E$7,#REF!&lt;=table!$F$7),1,0))</f>
        <v>#REF!</v>
      </c>
      <c r="S3933" s="5" t="e">
        <f>IF(AND(#REF!&gt;=table!$C$8,#REF!&lt;= table!$D$8),-1,IF(AND(#REF!&gt;=table!$E$8,#REF!&lt;=table!$F$8),1,0))</f>
        <v>#REF!</v>
      </c>
      <c r="T3933" s="5"/>
      <c r="U3933" s="5" t="e">
        <f>IF(AND(#REF!&gt;=table!$C$10,#REF!&lt;= table!$D$10),-1,IF(AND(#REF!&gt;=table!$E$10,#REF!&lt;=table!$F$10),1,0))</f>
        <v>#REF!</v>
      </c>
      <c r="V3933" s="5" t="e">
        <f>IF(AND(#REF!&gt;=table!$C$11,#REF!&lt;= table!$D$11),-1,IF(AND(#REF!&gt;=table!$E$11,#REF!&lt;=table!$F$11),1,0))</f>
        <v>#REF!</v>
      </c>
      <c r="W3933" s="5" t="e">
        <f>CONCATENATE(dados[[#This Row],[fator1]],dados[[#This Row],[fator5]],dados[[#This Row],[fator6]])</f>
        <v>#REF!</v>
      </c>
    </row>
    <row r="3934" spans="1:23">
      <c r="A3934" t="s">
        <v>16</v>
      </c>
      <c r="B3934">
        <v>588820</v>
      </c>
      <c r="C3934">
        <v>16</v>
      </c>
      <c r="D3934">
        <v>35</v>
      </c>
      <c r="E3934">
        <v>56</v>
      </c>
      <c r="F3934">
        <v>10</v>
      </c>
      <c r="G3934">
        <v>0</v>
      </c>
      <c r="H3934">
        <v>25</v>
      </c>
      <c r="I3934">
        <v>0</v>
      </c>
      <c r="J3934">
        <v>0</v>
      </c>
      <c r="K3934">
        <v>2.95</v>
      </c>
      <c r="L3934">
        <v>8.1865000000000006</v>
      </c>
      <c r="M3934">
        <v>45.639500000000005</v>
      </c>
      <c r="N3934">
        <v>17.655000000000001</v>
      </c>
      <c r="O3934">
        <v>1670</v>
      </c>
      <c r="P3934">
        <v>0</v>
      </c>
      <c r="Q3934" s="5" t="e">
        <f>IF(AND(#REF!&gt;=table!$C$6,#REF!&lt;= table!$D$6),-1,IF(AND(#REF!&gt;=table!$E$6,#REF!&lt;=table!$F$6),1,0))</f>
        <v>#REF!</v>
      </c>
      <c r="R3934" s="5" t="e">
        <f>IF(AND(#REF!&gt;=table!$C$7,#REF!&lt;= table!$D$7),-1,IF(AND(#REF!&gt;=table!$E$7,#REF!&lt;=table!$F$7),1,0))</f>
        <v>#REF!</v>
      </c>
      <c r="S3934" s="5" t="e">
        <f>IF(AND(#REF!&gt;=table!$C$8,#REF!&lt;= table!$D$8),-1,IF(AND(#REF!&gt;=table!$E$8,#REF!&lt;=table!$F$8),1,0))</f>
        <v>#REF!</v>
      </c>
      <c r="T3934" s="5"/>
      <c r="U3934" s="5" t="e">
        <f>IF(AND(#REF!&gt;=table!$C$10,#REF!&lt;= table!$D$10),-1,IF(AND(#REF!&gt;=table!$E$10,#REF!&lt;=table!$F$10),1,0))</f>
        <v>#REF!</v>
      </c>
      <c r="V3934" s="5" t="e">
        <f>IF(AND(#REF!&gt;=table!$C$11,#REF!&lt;= table!$D$11),-1,IF(AND(#REF!&gt;=table!$E$11,#REF!&lt;=table!$F$11),1,0))</f>
        <v>#REF!</v>
      </c>
      <c r="W3934" s="5" t="e">
        <f>CONCATENATE(dados[[#This Row],[fator1]],dados[[#This Row],[fator5]],dados[[#This Row],[fator6]])</f>
        <v>#REF!</v>
      </c>
    </row>
    <row r="3935" spans="1:23">
      <c r="A3935" t="s">
        <v>17</v>
      </c>
      <c r="B3935">
        <v>588822</v>
      </c>
      <c r="C3935">
        <v>18</v>
      </c>
      <c r="D3935">
        <v>23</v>
      </c>
      <c r="E3935">
        <v>145</v>
      </c>
      <c r="F3935">
        <v>9</v>
      </c>
      <c r="G3935">
        <v>30</v>
      </c>
      <c r="H3935">
        <v>25</v>
      </c>
      <c r="I3935">
        <v>843</v>
      </c>
      <c r="J3935">
        <v>0</v>
      </c>
      <c r="K3935">
        <v>2.5525000000000002</v>
      </c>
      <c r="L3935">
        <v>4.2130000000000001</v>
      </c>
      <c r="M3935">
        <v>142.024</v>
      </c>
      <c r="N3935">
        <v>15.57</v>
      </c>
      <c r="O3935">
        <v>1687</v>
      </c>
      <c r="P3935">
        <v>0</v>
      </c>
      <c r="Q3935" s="5" t="e">
        <f>IF(AND(#REF!&gt;=table!$C$6,#REF!&lt;= table!$D$6),-1,IF(AND(#REF!&gt;=table!$E$6,#REF!&lt;=table!$F$6),1,0))</f>
        <v>#REF!</v>
      </c>
      <c r="R3935" s="5" t="e">
        <f>IF(AND(#REF!&gt;=table!$C$7,#REF!&lt;= table!$D$7),-1,IF(AND(#REF!&gt;=table!$E$7,#REF!&lt;=table!$F$7),1,0))</f>
        <v>#REF!</v>
      </c>
      <c r="S3935" s="5" t="e">
        <f>IF(AND(#REF!&gt;=table!$C$8,#REF!&lt;= table!$D$8),-1,IF(AND(#REF!&gt;=table!$E$8,#REF!&lt;=table!$F$8),1,0))</f>
        <v>#REF!</v>
      </c>
      <c r="T3935" s="5"/>
      <c r="U3935" s="5" t="e">
        <f>IF(AND(#REF!&gt;=table!$C$10,#REF!&lt;= table!$D$10),-1,IF(AND(#REF!&gt;=table!$E$10,#REF!&lt;=table!$F$10),1,0))</f>
        <v>#REF!</v>
      </c>
      <c r="V3935" s="5" t="e">
        <f>IF(AND(#REF!&gt;=table!$C$11,#REF!&lt;= table!$D$11),-1,IF(AND(#REF!&gt;=table!$E$11,#REF!&lt;=table!$F$11),1,0))</f>
        <v>#REF!</v>
      </c>
      <c r="W3935" s="5" t="e">
        <f>CONCATENATE(dados[[#This Row],[fator1]],dados[[#This Row],[fator5]],dados[[#This Row],[fator6]])</f>
        <v>#REF!</v>
      </c>
    </row>
    <row r="3936" spans="1:23">
      <c r="A3936" t="s">
        <v>17</v>
      </c>
      <c r="B3936">
        <v>588825</v>
      </c>
      <c r="C3936">
        <v>18</v>
      </c>
      <c r="D3936">
        <v>30</v>
      </c>
      <c r="E3936">
        <v>136</v>
      </c>
      <c r="F3936">
        <v>3</v>
      </c>
      <c r="G3936">
        <v>20</v>
      </c>
      <c r="H3936">
        <v>25</v>
      </c>
      <c r="I3936">
        <v>416</v>
      </c>
      <c r="J3936">
        <v>0</v>
      </c>
      <c r="K3936">
        <v>2.3745000000000003</v>
      </c>
      <c r="L3936">
        <v>2.7105000000000001</v>
      </c>
      <c r="M3936">
        <v>96.009</v>
      </c>
      <c r="N3936">
        <v>13.1</v>
      </c>
      <c r="O3936">
        <v>1707</v>
      </c>
      <c r="P3936">
        <v>1843</v>
      </c>
      <c r="Q3936" s="5" t="e">
        <f>IF(AND(#REF!&gt;=table!$C$6,#REF!&lt;= table!$D$6),-1,IF(AND(#REF!&gt;=table!$E$6,#REF!&lt;=table!$F$6),1,0))</f>
        <v>#REF!</v>
      </c>
      <c r="R3936" s="5" t="e">
        <f>IF(AND(#REF!&gt;=table!$C$7,#REF!&lt;= table!$D$7),-1,IF(AND(#REF!&gt;=table!$E$7,#REF!&lt;=table!$F$7),1,0))</f>
        <v>#REF!</v>
      </c>
      <c r="S3936" s="5" t="e">
        <f>IF(AND(#REF!&gt;=table!$C$8,#REF!&lt;= table!$D$8),-1,IF(AND(#REF!&gt;=table!$E$8,#REF!&lt;=table!$F$8),1,0))</f>
        <v>#REF!</v>
      </c>
      <c r="T3936" s="5"/>
      <c r="U3936" s="5" t="e">
        <f>IF(AND(#REF!&gt;=table!$C$10,#REF!&lt;= table!$D$10),-1,IF(AND(#REF!&gt;=table!$E$10,#REF!&lt;=table!$F$10),1,0))</f>
        <v>#REF!</v>
      </c>
      <c r="V3936" s="5" t="e">
        <f>IF(AND(#REF!&gt;=table!$C$11,#REF!&lt;= table!$D$11),-1,IF(AND(#REF!&gt;=table!$E$11,#REF!&lt;=table!$F$11),1,0))</f>
        <v>#REF!</v>
      </c>
      <c r="W3936" s="5" t="e">
        <f>CONCATENATE(dados[[#This Row],[fator1]],dados[[#This Row],[fator5]],dados[[#This Row],[fator6]])</f>
        <v>#REF!</v>
      </c>
    </row>
    <row r="3937" spans="1:23">
      <c r="A3937" t="s">
        <v>17</v>
      </c>
      <c r="B3937">
        <v>588826</v>
      </c>
      <c r="C3937">
        <v>8</v>
      </c>
      <c r="D3937">
        <v>33</v>
      </c>
      <c r="E3937">
        <v>160</v>
      </c>
      <c r="F3937">
        <v>3</v>
      </c>
      <c r="G3937">
        <v>25</v>
      </c>
      <c r="H3937">
        <v>21</v>
      </c>
      <c r="I3937">
        <v>785</v>
      </c>
      <c r="J3937">
        <v>0</v>
      </c>
      <c r="K3937">
        <v>4.766</v>
      </c>
      <c r="L3937">
        <v>20.214000000000002</v>
      </c>
      <c r="M3937">
        <v>105.4975</v>
      </c>
      <c r="N3937">
        <v>8.19</v>
      </c>
      <c r="O3937">
        <v>1677</v>
      </c>
      <c r="P3937">
        <v>608</v>
      </c>
      <c r="Q3937" s="5" t="e">
        <f>IF(AND(#REF!&gt;=table!$C$6,#REF!&lt;= table!$D$6),-1,IF(AND(#REF!&gt;=table!$E$6,#REF!&lt;=table!$F$6),1,0))</f>
        <v>#REF!</v>
      </c>
      <c r="R3937" s="5" t="e">
        <f>IF(AND(#REF!&gt;=table!$C$7,#REF!&lt;= table!$D$7),-1,IF(AND(#REF!&gt;=table!$E$7,#REF!&lt;=table!$F$7),1,0))</f>
        <v>#REF!</v>
      </c>
      <c r="S3937" s="5" t="e">
        <f>IF(AND(#REF!&gt;=table!$C$8,#REF!&lt;= table!$D$8),-1,IF(AND(#REF!&gt;=table!$E$8,#REF!&lt;=table!$F$8),1,0))</f>
        <v>#REF!</v>
      </c>
      <c r="T3937" s="5"/>
      <c r="U3937" s="5" t="e">
        <f>IF(AND(#REF!&gt;=table!$C$10,#REF!&lt;= table!$D$10),-1,IF(AND(#REF!&gt;=table!$E$10,#REF!&lt;=table!$F$10),1,0))</f>
        <v>#REF!</v>
      </c>
      <c r="V3937" s="5" t="e">
        <f>IF(AND(#REF!&gt;=table!$C$11,#REF!&lt;= table!$D$11),-1,IF(AND(#REF!&gt;=table!$E$11,#REF!&lt;=table!$F$11),1,0))</f>
        <v>#REF!</v>
      </c>
      <c r="W3937" s="5" t="e">
        <f>CONCATENATE(dados[[#This Row],[fator1]],dados[[#This Row],[fator5]],dados[[#This Row],[fator6]])</f>
        <v>#REF!</v>
      </c>
    </row>
    <row r="3938" spans="1:23">
      <c r="A3938" t="s">
        <v>16</v>
      </c>
      <c r="B3938">
        <v>588845</v>
      </c>
      <c r="C3938">
        <v>0.15</v>
      </c>
      <c r="D3938">
        <v>40</v>
      </c>
      <c r="E3938">
        <v>10</v>
      </c>
      <c r="F3938">
        <v>15</v>
      </c>
      <c r="G3938">
        <v>0</v>
      </c>
      <c r="H3938">
        <v>15</v>
      </c>
      <c r="I3938">
        <v>1589</v>
      </c>
      <c r="J3938">
        <v>850</v>
      </c>
      <c r="K3938">
        <v>5.7835000000000001</v>
      </c>
      <c r="L3938">
        <v>13.846500000000001</v>
      </c>
      <c r="M3938">
        <v>9.2554999999999996</v>
      </c>
      <c r="N3938">
        <v>15.885000000000002</v>
      </c>
      <c r="O3938">
        <v>1686</v>
      </c>
      <c r="P3938">
        <v>0</v>
      </c>
      <c r="Q3938" s="5" t="e">
        <f>IF(AND(#REF!&gt;=table!$C$6,#REF!&lt;= table!$D$6),-1,IF(AND(#REF!&gt;=table!$E$6,#REF!&lt;=table!$F$6),1,0))</f>
        <v>#REF!</v>
      </c>
      <c r="R3938" s="5" t="e">
        <f>IF(AND(#REF!&gt;=table!$C$7,#REF!&lt;= table!$D$7),-1,IF(AND(#REF!&gt;=table!$E$7,#REF!&lt;=table!$F$7),1,0))</f>
        <v>#REF!</v>
      </c>
      <c r="S3938" s="5" t="e">
        <f>IF(AND(#REF!&gt;=table!$C$8,#REF!&lt;= table!$D$8),-1,IF(AND(#REF!&gt;=table!$E$8,#REF!&lt;=table!$F$8),1,0))</f>
        <v>#REF!</v>
      </c>
      <c r="T3938" s="5"/>
      <c r="U3938" s="5" t="e">
        <f>IF(AND(#REF!&gt;=table!$C$10,#REF!&lt;= table!$D$10),-1,IF(AND(#REF!&gt;=table!$E$10,#REF!&lt;=table!$F$10),1,0))</f>
        <v>#REF!</v>
      </c>
      <c r="V3938" s="5" t="e">
        <f>IF(AND(#REF!&gt;=table!$C$11,#REF!&lt;= table!$D$11),-1,IF(AND(#REF!&gt;=table!$E$11,#REF!&lt;=table!$F$11),1,0))</f>
        <v>#REF!</v>
      </c>
      <c r="W3938" s="5" t="e">
        <f>CONCATENATE(dados[[#This Row],[fator1]],dados[[#This Row],[fator5]],dados[[#This Row],[fator6]])</f>
        <v>#REF!</v>
      </c>
    </row>
    <row r="3939" spans="1:23">
      <c r="A3939" t="s">
        <v>16</v>
      </c>
      <c r="B3939">
        <v>588847</v>
      </c>
      <c r="C3939">
        <v>0.15</v>
      </c>
      <c r="D3939">
        <v>40</v>
      </c>
      <c r="E3939">
        <v>10</v>
      </c>
      <c r="F3939">
        <v>15</v>
      </c>
      <c r="G3939">
        <v>0</v>
      </c>
      <c r="H3939">
        <v>15</v>
      </c>
      <c r="I3939">
        <v>773</v>
      </c>
      <c r="J3939">
        <v>0</v>
      </c>
      <c r="K3939">
        <v>3.5705</v>
      </c>
      <c r="L3939">
        <v>11.176500000000001</v>
      </c>
      <c r="M3939">
        <v>8.4625000000000004</v>
      </c>
      <c r="N3939">
        <v>10.93</v>
      </c>
      <c r="O3939">
        <v>1694</v>
      </c>
      <c r="P3939">
        <v>0</v>
      </c>
      <c r="Q3939" s="5" t="e">
        <f>IF(AND(#REF!&gt;=table!$C$6,#REF!&lt;= table!$D$6),-1,IF(AND(#REF!&gt;=table!$E$6,#REF!&lt;=table!$F$6),1,0))</f>
        <v>#REF!</v>
      </c>
      <c r="R3939" s="5" t="e">
        <f>IF(AND(#REF!&gt;=table!$C$7,#REF!&lt;= table!$D$7),-1,IF(AND(#REF!&gt;=table!$E$7,#REF!&lt;=table!$F$7),1,0))</f>
        <v>#REF!</v>
      </c>
      <c r="S3939" s="5" t="e">
        <f>IF(AND(#REF!&gt;=table!$C$8,#REF!&lt;= table!$D$8),-1,IF(AND(#REF!&gt;=table!$E$8,#REF!&lt;=table!$F$8),1,0))</f>
        <v>#REF!</v>
      </c>
      <c r="T3939" s="5"/>
      <c r="U3939" s="5" t="e">
        <f>IF(AND(#REF!&gt;=table!$C$10,#REF!&lt;= table!$D$10),-1,IF(AND(#REF!&gt;=table!$E$10,#REF!&lt;=table!$F$10),1,0))</f>
        <v>#REF!</v>
      </c>
      <c r="V3939" s="5" t="e">
        <f>IF(AND(#REF!&gt;=table!$C$11,#REF!&lt;= table!$D$11),-1,IF(AND(#REF!&gt;=table!$E$11,#REF!&lt;=table!$F$11),1,0))</f>
        <v>#REF!</v>
      </c>
      <c r="W3939" s="5" t="e">
        <f>CONCATENATE(dados[[#This Row],[fator1]],dados[[#This Row],[fator5]],dados[[#This Row],[fator6]])</f>
        <v>#REF!</v>
      </c>
    </row>
    <row r="3940" spans="1:23">
      <c r="A3940" t="s">
        <v>16</v>
      </c>
      <c r="B3940">
        <v>588857</v>
      </c>
      <c r="C3940">
        <v>0.19</v>
      </c>
      <c r="D3940">
        <v>50</v>
      </c>
      <c r="E3940">
        <v>56</v>
      </c>
      <c r="F3940">
        <v>15</v>
      </c>
      <c r="G3940">
        <v>0</v>
      </c>
      <c r="H3940">
        <v>50</v>
      </c>
      <c r="I3940">
        <v>1056</v>
      </c>
      <c r="J3940">
        <v>0</v>
      </c>
      <c r="K3940">
        <v>6.8340000000000005</v>
      </c>
      <c r="L3940">
        <v>15.413</v>
      </c>
      <c r="M3940">
        <v>13.5235</v>
      </c>
      <c r="N3940">
        <v>16.45</v>
      </c>
      <c r="O3940">
        <v>1678</v>
      </c>
      <c r="P3940">
        <v>566</v>
      </c>
      <c r="Q3940" s="5" t="e">
        <f>IF(AND(#REF!&gt;=table!$C$6,#REF!&lt;= table!$D$6),-1,IF(AND(#REF!&gt;=table!$E$6,#REF!&lt;=table!$F$6),1,0))</f>
        <v>#REF!</v>
      </c>
      <c r="R3940" s="5" t="e">
        <f>IF(AND(#REF!&gt;=table!$C$7,#REF!&lt;= table!$D$7),-1,IF(AND(#REF!&gt;=table!$E$7,#REF!&lt;=table!$F$7),1,0))</f>
        <v>#REF!</v>
      </c>
      <c r="S3940" s="5" t="e">
        <f>IF(AND(#REF!&gt;=table!$C$8,#REF!&lt;= table!$D$8),-1,IF(AND(#REF!&gt;=table!$E$8,#REF!&lt;=table!$F$8),1,0))</f>
        <v>#REF!</v>
      </c>
      <c r="T3940" s="5"/>
      <c r="U3940" s="5" t="e">
        <f>IF(AND(#REF!&gt;=table!$C$10,#REF!&lt;= table!$D$10),-1,IF(AND(#REF!&gt;=table!$E$10,#REF!&lt;=table!$F$10),1,0))</f>
        <v>#REF!</v>
      </c>
      <c r="V3940" s="5" t="e">
        <f>IF(AND(#REF!&gt;=table!$C$11,#REF!&lt;= table!$D$11),-1,IF(AND(#REF!&gt;=table!$E$11,#REF!&lt;=table!$F$11),1,0))</f>
        <v>#REF!</v>
      </c>
      <c r="W3940" s="5" t="e">
        <f>CONCATENATE(dados[[#This Row],[fator1]],dados[[#This Row],[fator5]],dados[[#This Row],[fator6]])</f>
        <v>#REF!</v>
      </c>
    </row>
    <row r="3941" spans="1:23">
      <c r="A3941" t="s">
        <v>17</v>
      </c>
      <c r="B3941">
        <v>588858</v>
      </c>
      <c r="C3941">
        <v>16</v>
      </c>
      <c r="D3941">
        <v>30</v>
      </c>
      <c r="E3941">
        <v>116</v>
      </c>
      <c r="F3941">
        <v>6</v>
      </c>
      <c r="G3941">
        <v>20</v>
      </c>
      <c r="H3941">
        <v>25</v>
      </c>
      <c r="I3941">
        <v>4</v>
      </c>
      <c r="J3941">
        <v>0</v>
      </c>
      <c r="K3941">
        <v>5.6417000000000002</v>
      </c>
      <c r="L3941">
        <v>16.504000000000001</v>
      </c>
      <c r="M3941">
        <v>97.120500000000007</v>
      </c>
      <c r="N3941">
        <v>31.38</v>
      </c>
      <c r="O3941">
        <v>1681</v>
      </c>
      <c r="P3941">
        <v>903</v>
      </c>
      <c r="Q3941" s="5" t="e">
        <f>IF(AND(#REF!&gt;=table!$C$6,#REF!&lt;= table!$D$6),-1,IF(AND(#REF!&gt;=table!$E$6,#REF!&lt;=table!$F$6),1,0))</f>
        <v>#REF!</v>
      </c>
      <c r="R3941" s="5" t="e">
        <f>IF(AND(#REF!&gt;=table!$C$7,#REF!&lt;= table!$D$7),-1,IF(AND(#REF!&gt;=table!$E$7,#REF!&lt;=table!$F$7),1,0))</f>
        <v>#REF!</v>
      </c>
      <c r="S3941" s="5" t="e">
        <f>IF(AND(#REF!&gt;=table!$C$8,#REF!&lt;= table!$D$8),-1,IF(AND(#REF!&gt;=table!$E$8,#REF!&lt;=table!$F$8),1,0))</f>
        <v>#REF!</v>
      </c>
      <c r="T3941" s="5"/>
      <c r="U3941" s="5" t="e">
        <f>IF(AND(#REF!&gt;=table!$C$10,#REF!&lt;= table!$D$10),-1,IF(AND(#REF!&gt;=table!$E$10,#REF!&lt;=table!$F$10),1,0))</f>
        <v>#REF!</v>
      </c>
      <c r="V3941" s="5" t="e">
        <f>IF(AND(#REF!&gt;=table!$C$11,#REF!&lt;= table!$D$11),-1,IF(AND(#REF!&gt;=table!$E$11,#REF!&lt;=table!$F$11),1,0))</f>
        <v>#REF!</v>
      </c>
      <c r="W3941" s="5" t="e">
        <f>CONCATENATE(dados[[#This Row],[fator1]],dados[[#This Row],[fator5]],dados[[#This Row],[fator6]])</f>
        <v>#REF!</v>
      </c>
    </row>
    <row r="3942" spans="1:23">
      <c r="A3942" t="s">
        <v>17</v>
      </c>
      <c r="B3942">
        <v>588860</v>
      </c>
      <c r="C3942">
        <v>12</v>
      </c>
      <c r="D3942">
        <v>33</v>
      </c>
      <c r="E3942">
        <v>100</v>
      </c>
      <c r="F3942">
        <v>3</v>
      </c>
      <c r="G3942">
        <v>20</v>
      </c>
      <c r="H3942">
        <v>21</v>
      </c>
      <c r="I3942">
        <v>0</v>
      </c>
      <c r="J3942">
        <v>1100</v>
      </c>
      <c r="K3942">
        <v>4.444</v>
      </c>
      <c r="L3942">
        <v>13.009</v>
      </c>
      <c r="M3942">
        <v>95.672499999999999</v>
      </c>
      <c r="N3942">
        <v>17.66</v>
      </c>
      <c r="O3942">
        <v>1669</v>
      </c>
      <c r="P3942">
        <v>944</v>
      </c>
      <c r="Q3942" s="5" t="e">
        <f>IF(AND(#REF!&gt;=table!$C$6,#REF!&lt;= table!$D$6),-1,IF(AND(#REF!&gt;=table!$E$6,#REF!&lt;=table!$F$6),1,0))</f>
        <v>#REF!</v>
      </c>
      <c r="R3942" s="5" t="e">
        <f>IF(AND(#REF!&gt;=table!$C$7,#REF!&lt;= table!$D$7),-1,IF(AND(#REF!&gt;=table!$E$7,#REF!&lt;=table!$F$7),1,0))</f>
        <v>#REF!</v>
      </c>
      <c r="S3942" s="5" t="e">
        <f>IF(AND(#REF!&gt;=table!$C$8,#REF!&lt;= table!$D$8),-1,IF(AND(#REF!&gt;=table!$E$8,#REF!&lt;=table!$F$8),1,0))</f>
        <v>#REF!</v>
      </c>
      <c r="T3942" s="5"/>
      <c r="U3942" s="5" t="e">
        <f>IF(AND(#REF!&gt;=table!$C$10,#REF!&lt;= table!$D$10),-1,IF(AND(#REF!&gt;=table!$E$10,#REF!&lt;=table!$F$10),1,0))</f>
        <v>#REF!</v>
      </c>
      <c r="V3942" s="5" t="e">
        <f>IF(AND(#REF!&gt;=table!$C$11,#REF!&lt;= table!$D$11),-1,IF(AND(#REF!&gt;=table!$E$11,#REF!&lt;=table!$F$11),1,0))</f>
        <v>#REF!</v>
      </c>
      <c r="W3942" s="5" t="e">
        <f>CONCATENATE(dados[[#This Row],[fator1]],dados[[#This Row],[fator5]],dados[[#This Row],[fator6]])</f>
        <v>#REF!</v>
      </c>
    </row>
    <row r="3943" spans="1:23">
      <c r="A3943" t="s">
        <v>17</v>
      </c>
      <c r="B3943">
        <v>588867</v>
      </c>
      <c r="C3943">
        <v>18</v>
      </c>
      <c r="D3943">
        <v>23</v>
      </c>
      <c r="E3943">
        <v>145</v>
      </c>
      <c r="F3943">
        <v>9</v>
      </c>
      <c r="G3943">
        <v>30</v>
      </c>
      <c r="H3943">
        <v>25</v>
      </c>
      <c r="I3943">
        <v>2</v>
      </c>
      <c r="J3943">
        <v>0</v>
      </c>
      <c r="K3943">
        <v>2.5300000000000002</v>
      </c>
      <c r="L3943">
        <v>9.1</v>
      </c>
      <c r="M3943">
        <v>120.5</v>
      </c>
      <c r="N3943">
        <v>17.900000000000002</v>
      </c>
      <c r="O3943">
        <v>1697</v>
      </c>
      <c r="P3943">
        <v>0</v>
      </c>
      <c r="Q3943" s="5" t="e">
        <f>IF(AND(#REF!&gt;=table!$C$6,#REF!&lt;= table!$D$6),-1,IF(AND(#REF!&gt;=table!$E$6,#REF!&lt;=table!$F$6),1,0))</f>
        <v>#REF!</v>
      </c>
      <c r="R3943" s="5" t="e">
        <f>IF(AND(#REF!&gt;=table!$C$7,#REF!&lt;= table!$D$7),-1,IF(AND(#REF!&gt;=table!$E$7,#REF!&lt;=table!$F$7),1,0))</f>
        <v>#REF!</v>
      </c>
      <c r="S3943" s="5" t="e">
        <f>IF(AND(#REF!&gt;=table!$C$8,#REF!&lt;= table!$D$8),-1,IF(AND(#REF!&gt;=table!$E$8,#REF!&lt;=table!$F$8),1,0))</f>
        <v>#REF!</v>
      </c>
      <c r="T3943" s="5"/>
      <c r="U3943" s="5" t="e">
        <f>IF(AND(#REF!&gt;=table!$C$10,#REF!&lt;= table!$D$10),-1,IF(AND(#REF!&gt;=table!$E$10,#REF!&lt;=table!$F$10),1,0))</f>
        <v>#REF!</v>
      </c>
      <c r="V3943" s="5" t="e">
        <f>IF(AND(#REF!&gt;=table!$C$11,#REF!&lt;= table!$D$11),-1,IF(AND(#REF!&gt;=table!$E$11,#REF!&lt;=table!$F$11),1,0))</f>
        <v>#REF!</v>
      </c>
      <c r="W3943" s="5" t="e">
        <f>CONCATENATE(dados[[#This Row],[fator1]],dados[[#This Row],[fator5]],dados[[#This Row],[fator6]])</f>
        <v>#REF!</v>
      </c>
    </row>
    <row r="3944" spans="1:23">
      <c r="A3944" t="s">
        <v>16</v>
      </c>
      <c r="B3944">
        <v>588883</v>
      </c>
      <c r="C3944">
        <v>0.15</v>
      </c>
      <c r="D3944">
        <v>40</v>
      </c>
      <c r="E3944">
        <v>10</v>
      </c>
      <c r="F3944">
        <v>15</v>
      </c>
      <c r="G3944">
        <v>0</v>
      </c>
      <c r="H3944">
        <v>15</v>
      </c>
      <c r="I3944">
        <v>1322</v>
      </c>
      <c r="J3944">
        <v>0</v>
      </c>
      <c r="K3944">
        <v>4.2164999999999999</v>
      </c>
      <c r="L3944">
        <v>10.582500000000001</v>
      </c>
      <c r="M3944">
        <v>9.1425000000000001</v>
      </c>
      <c r="N3944">
        <v>12.09</v>
      </c>
      <c r="O3944">
        <v>1672</v>
      </c>
      <c r="P3944">
        <v>0</v>
      </c>
      <c r="Q3944" s="5" t="e">
        <f>IF(AND(#REF!&gt;=table!$C$6,#REF!&lt;= table!$D$6),-1,IF(AND(#REF!&gt;=table!$E$6,#REF!&lt;=table!$F$6),1,0))</f>
        <v>#REF!</v>
      </c>
      <c r="R3944" s="5" t="e">
        <f>IF(AND(#REF!&gt;=table!$C$7,#REF!&lt;= table!$D$7),-1,IF(AND(#REF!&gt;=table!$E$7,#REF!&lt;=table!$F$7),1,0))</f>
        <v>#REF!</v>
      </c>
      <c r="S3944" s="5" t="e">
        <f>IF(AND(#REF!&gt;=table!$C$8,#REF!&lt;= table!$D$8),-1,IF(AND(#REF!&gt;=table!$E$8,#REF!&lt;=table!$F$8),1,0))</f>
        <v>#REF!</v>
      </c>
      <c r="T3944" s="5"/>
      <c r="U3944" s="5" t="e">
        <f>IF(AND(#REF!&gt;=table!$C$10,#REF!&lt;= table!$D$10),-1,IF(AND(#REF!&gt;=table!$E$10,#REF!&lt;=table!$F$10),1,0))</f>
        <v>#REF!</v>
      </c>
      <c r="V3944" s="5" t="e">
        <f>IF(AND(#REF!&gt;=table!$C$11,#REF!&lt;= table!$D$11),-1,IF(AND(#REF!&gt;=table!$E$11,#REF!&lt;=table!$F$11),1,0))</f>
        <v>#REF!</v>
      </c>
      <c r="W3944" s="5" t="e">
        <f>CONCATENATE(dados[[#This Row],[fator1]],dados[[#This Row],[fator5]],dados[[#This Row],[fator6]])</f>
        <v>#REF!</v>
      </c>
    </row>
    <row r="3945" spans="1:23">
      <c r="A3945" t="s">
        <v>16</v>
      </c>
      <c r="B3945">
        <v>588884</v>
      </c>
      <c r="C3945">
        <v>0.15</v>
      </c>
      <c r="D3945">
        <v>40</v>
      </c>
      <c r="E3945">
        <v>10</v>
      </c>
      <c r="F3945">
        <v>15</v>
      </c>
      <c r="G3945">
        <v>0</v>
      </c>
      <c r="H3945">
        <v>15</v>
      </c>
      <c r="I3945">
        <v>611</v>
      </c>
      <c r="J3945">
        <v>0</v>
      </c>
      <c r="K3945">
        <v>3.5945</v>
      </c>
      <c r="L3945">
        <v>9.3979999999999997</v>
      </c>
      <c r="M3945">
        <v>8.634500000000001</v>
      </c>
      <c r="N3945">
        <v>16.07</v>
      </c>
      <c r="O3945">
        <v>1681</v>
      </c>
      <c r="P3945">
        <v>0</v>
      </c>
      <c r="Q3945" s="5" t="e">
        <f>IF(AND(#REF!&gt;=table!$C$6,#REF!&lt;= table!$D$6),-1,IF(AND(#REF!&gt;=table!$E$6,#REF!&lt;=table!$F$6),1,0))</f>
        <v>#REF!</v>
      </c>
      <c r="R3945" s="5" t="e">
        <f>IF(AND(#REF!&gt;=table!$C$7,#REF!&lt;= table!$D$7),-1,IF(AND(#REF!&gt;=table!$E$7,#REF!&lt;=table!$F$7),1,0))</f>
        <v>#REF!</v>
      </c>
      <c r="S3945" s="5" t="e">
        <f>IF(AND(#REF!&gt;=table!$C$8,#REF!&lt;= table!$D$8),-1,IF(AND(#REF!&gt;=table!$E$8,#REF!&lt;=table!$F$8),1,0))</f>
        <v>#REF!</v>
      </c>
      <c r="T3945" s="5"/>
      <c r="U3945" s="5" t="e">
        <f>IF(AND(#REF!&gt;=table!$C$10,#REF!&lt;= table!$D$10),-1,IF(AND(#REF!&gt;=table!$E$10,#REF!&lt;=table!$F$10),1,0))</f>
        <v>#REF!</v>
      </c>
      <c r="V3945" s="5" t="e">
        <f>IF(AND(#REF!&gt;=table!$C$11,#REF!&lt;= table!$D$11),-1,IF(AND(#REF!&gt;=table!$E$11,#REF!&lt;=table!$F$11),1,0))</f>
        <v>#REF!</v>
      </c>
      <c r="W3945" s="5" t="e">
        <f>CONCATENATE(dados[[#This Row],[fator1]],dados[[#This Row],[fator5]],dados[[#This Row],[fator6]])</f>
        <v>#REF!</v>
      </c>
    </row>
    <row r="3946" spans="1:23">
      <c r="A3946" t="s">
        <v>16</v>
      </c>
      <c r="B3946">
        <v>588886</v>
      </c>
      <c r="C3946">
        <v>0.15</v>
      </c>
      <c r="D3946">
        <v>40</v>
      </c>
      <c r="E3946">
        <v>10</v>
      </c>
      <c r="F3946">
        <v>15</v>
      </c>
      <c r="G3946">
        <v>0</v>
      </c>
      <c r="H3946">
        <v>15</v>
      </c>
      <c r="I3946">
        <v>689</v>
      </c>
      <c r="J3946">
        <v>0</v>
      </c>
      <c r="K3946">
        <v>3.6795</v>
      </c>
      <c r="L3946">
        <v>9.3470000000000013</v>
      </c>
      <c r="M3946">
        <v>7.3500000000000005</v>
      </c>
      <c r="N3946">
        <v>10.050000000000001</v>
      </c>
      <c r="O3946">
        <v>1691</v>
      </c>
      <c r="P3946">
        <v>0</v>
      </c>
      <c r="Q3946" s="5" t="e">
        <f>IF(AND(#REF!&gt;=table!$C$6,#REF!&lt;= table!$D$6),-1,IF(AND(#REF!&gt;=table!$E$6,#REF!&lt;=table!$F$6),1,0))</f>
        <v>#REF!</v>
      </c>
      <c r="R3946" s="5" t="e">
        <f>IF(AND(#REF!&gt;=table!$C$7,#REF!&lt;= table!$D$7),-1,IF(AND(#REF!&gt;=table!$E$7,#REF!&lt;=table!$F$7),1,0))</f>
        <v>#REF!</v>
      </c>
      <c r="S3946" s="5" t="e">
        <f>IF(AND(#REF!&gt;=table!$C$8,#REF!&lt;= table!$D$8),-1,IF(AND(#REF!&gt;=table!$E$8,#REF!&lt;=table!$F$8),1,0))</f>
        <v>#REF!</v>
      </c>
      <c r="T3946" s="5"/>
      <c r="U3946" s="5" t="e">
        <f>IF(AND(#REF!&gt;=table!$C$10,#REF!&lt;= table!$D$10),-1,IF(AND(#REF!&gt;=table!$E$10,#REF!&lt;=table!$F$10),1,0))</f>
        <v>#REF!</v>
      </c>
      <c r="V3946" s="5" t="e">
        <f>IF(AND(#REF!&gt;=table!$C$11,#REF!&lt;= table!$D$11),-1,IF(AND(#REF!&gt;=table!$E$11,#REF!&lt;=table!$F$11),1,0))</f>
        <v>#REF!</v>
      </c>
      <c r="W3946" s="5" t="e">
        <f>CONCATENATE(dados[[#This Row],[fator1]],dados[[#This Row],[fator5]],dados[[#This Row],[fator6]])</f>
        <v>#REF!</v>
      </c>
    </row>
    <row r="3947" spans="1:23">
      <c r="A3947" t="s">
        <v>16</v>
      </c>
      <c r="B3947">
        <v>588889</v>
      </c>
      <c r="C3947">
        <v>0.15</v>
      </c>
      <c r="D3947">
        <v>40</v>
      </c>
      <c r="E3947">
        <v>10</v>
      </c>
      <c r="F3947">
        <v>15</v>
      </c>
      <c r="G3947">
        <v>0</v>
      </c>
      <c r="H3947">
        <v>15</v>
      </c>
      <c r="I3947">
        <v>1733</v>
      </c>
      <c r="J3947">
        <v>0</v>
      </c>
      <c r="K3947">
        <v>5.1805000000000003</v>
      </c>
      <c r="L3947">
        <v>8.1</v>
      </c>
      <c r="M3947">
        <v>7.5875000000000004</v>
      </c>
      <c r="N3947">
        <v>11.78</v>
      </c>
      <c r="O3947">
        <v>1694</v>
      </c>
      <c r="P3947">
        <v>0</v>
      </c>
      <c r="Q3947" s="5" t="e">
        <f>IF(AND(#REF!&gt;=table!$C$6,#REF!&lt;= table!$D$6),-1,IF(AND(#REF!&gt;=table!$E$6,#REF!&lt;=table!$F$6),1,0))</f>
        <v>#REF!</v>
      </c>
      <c r="R3947" s="5" t="e">
        <f>IF(AND(#REF!&gt;=table!$C$7,#REF!&lt;= table!$D$7),-1,IF(AND(#REF!&gt;=table!$E$7,#REF!&lt;=table!$F$7),1,0))</f>
        <v>#REF!</v>
      </c>
      <c r="S3947" s="5" t="e">
        <f>IF(AND(#REF!&gt;=table!$C$8,#REF!&lt;= table!$D$8),-1,IF(AND(#REF!&gt;=table!$E$8,#REF!&lt;=table!$F$8),1,0))</f>
        <v>#REF!</v>
      </c>
      <c r="T3947" s="5"/>
      <c r="U3947" s="5" t="e">
        <f>IF(AND(#REF!&gt;=table!$C$10,#REF!&lt;= table!$D$10),-1,IF(AND(#REF!&gt;=table!$E$10,#REF!&lt;=table!$F$10),1,0))</f>
        <v>#REF!</v>
      </c>
      <c r="V3947" s="5" t="e">
        <f>IF(AND(#REF!&gt;=table!$C$11,#REF!&lt;= table!$D$11),-1,IF(AND(#REF!&gt;=table!$E$11,#REF!&lt;=table!$F$11),1,0))</f>
        <v>#REF!</v>
      </c>
      <c r="W3947" s="5" t="e">
        <f>CONCATENATE(dados[[#This Row],[fator1]],dados[[#This Row],[fator5]],dados[[#This Row],[fator6]])</f>
        <v>#REF!</v>
      </c>
    </row>
    <row r="3948" spans="1:23">
      <c r="A3948" t="s">
        <v>16</v>
      </c>
      <c r="B3948">
        <v>588892</v>
      </c>
      <c r="C3948">
        <v>0.15</v>
      </c>
      <c r="D3948">
        <v>40</v>
      </c>
      <c r="E3948">
        <v>10</v>
      </c>
      <c r="F3948">
        <v>15</v>
      </c>
      <c r="G3948">
        <v>0</v>
      </c>
      <c r="H3948">
        <v>15</v>
      </c>
      <c r="I3948">
        <v>372</v>
      </c>
      <c r="J3948">
        <v>630</v>
      </c>
      <c r="K3948">
        <v>3.83</v>
      </c>
      <c r="L3948">
        <v>6.2450000000000001</v>
      </c>
      <c r="M3948">
        <v>4.05</v>
      </c>
      <c r="N3948">
        <v>11.15</v>
      </c>
      <c r="O3948">
        <v>1669</v>
      </c>
      <c r="P3948">
        <v>0</v>
      </c>
      <c r="Q3948" s="5" t="e">
        <f>IF(AND(#REF!&gt;=table!$C$6,#REF!&lt;= table!$D$6),-1,IF(AND(#REF!&gt;=table!$E$6,#REF!&lt;=table!$F$6),1,0))</f>
        <v>#REF!</v>
      </c>
      <c r="R3948" s="5" t="e">
        <f>IF(AND(#REF!&gt;=table!$C$7,#REF!&lt;= table!$D$7),-1,IF(AND(#REF!&gt;=table!$E$7,#REF!&lt;=table!$F$7),1,0))</f>
        <v>#REF!</v>
      </c>
      <c r="S3948" s="5" t="e">
        <f>IF(AND(#REF!&gt;=table!$C$8,#REF!&lt;= table!$D$8),-1,IF(AND(#REF!&gt;=table!$E$8,#REF!&lt;=table!$F$8),1,0))</f>
        <v>#REF!</v>
      </c>
      <c r="T3948" s="5"/>
      <c r="U3948" s="5" t="e">
        <f>IF(AND(#REF!&gt;=table!$C$10,#REF!&lt;= table!$D$10),-1,IF(AND(#REF!&gt;=table!$E$10,#REF!&lt;=table!$F$10),1,0))</f>
        <v>#REF!</v>
      </c>
      <c r="V3948" s="5" t="e">
        <f>IF(AND(#REF!&gt;=table!$C$11,#REF!&lt;= table!$D$11),-1,IF(AND(#REF!&gt;=table!$E$11,#REF!&lt;=table!$F$11),1,0))</f>
        <v>#REF!</v>
      </c>
      <c r="W3948" s="5" t="e">
        <f>CONCATENATE(dados[[#This Row],[fator1]],dados[[#This Row],[fator5]],dados[[#This Row],[fator6]])</f>
        <v>#REF!</v>
      </c>
    </row>
    <row r="3949" spans="1:23">
      <c r="A3949" t="s">
        <v>17</v>
      </c>
      <c r="B3949">
        <v>588897</v>
      </c>
      <c r="C3949">
        <v>18</v>
      </c>
      <c r="D3949">
        <v>33</v>
      </c>
      <c r="E3949">
        <v>85</v>
      </c>
      <c r="F3949">
        <v>5</v>
      </c>
      <c r="G3949">
        <v>28</v>
      </c>
      <c r="H3949">
        <v>25</v>
      </c>
      <c r="I3949">
        <v>11</v>
      </c>
      <c r="J3949">
        <v>810</v>
      </c>
      <c r="K3949">
        <v>5.1450000000000005</v>
      </c>
      <c r="L3949">
        <v>15</v>
      </c>
      <c r="M3949">
        <v>72.350000000000009</v>
      </c>
      <c r="N3949">
        <v>16.7</v>
      </c>
      <c r="O3949">
        <v>1666</v>
      </c>
      <c r="P3949">
        <v>712</v>
      </c>
      <c r="Q3949" s="5" t="e">
        <f>IF(AND(#REF!&gt;=table!$C$6,#REF!&lt;= table!$D$6),-1,IF(AND(#REF!&gt;=table!$E$6,#REF!&lt;=table!$F$6),1,0))</f>
        <v>#REF!</v>
      </c>
      <c r="R3949" s="5" t="e">
        <f>IF(AND(#REF!&gt;=table!$C$7,#REF!&lt;= table!$D$7),-1,IF(AND(#REF!&gt;=table!$E$7,#REF!&lt;=table!$F$7),1,0))</f>
        <v>#REF!</v>
      </c>
      <c r="S3949" s="5" t="e">
        <f>IF(AND(#REF!&gt;=table!$C$8,#REF!&lt;= table!$D$8),-1,IF(AND(#REF!&gt;=table!$E$8,#REF!&lt;=table!$F$8),1,0))</f>
        <v>#REF!</v>
      </c>
      <c r="T3949" s="5"/>
      <c r="U3949" s="5" t="e">
        <f>IF(AND(#REF!&gt;=table!$C$10,#REF!&lt;= table!$D$10),-1,IF(AND(#REF!&gt;=table!$E$10,#REF!&lt;=table!$F$10),1,0))</f>
        <v>#REF!</v>
      </c>
      <c r="V3949" s="5" t="e">
        <f>IF(AND(#REF!&gt;=table!$C$11,#REF!&lt;= table!$D$11),-1,IF(AND(#REF!&gt;=table!$E$11,#REF!&lt;=table!$F$11),1,0))</f>
        <v>#REF!</v>
      </c>
      <c r="W3949" s="5" t="e">
        <f>CONCATENATE(dados[[#This Row],[fator1]],dados[[#This Row],[fator5]],dados[[#This Row],[fator6]])</f>
        <v>#REF!</v>
      </c>
    </row>
    <row r="3950" spans="1:23">
      <c r="A3950" t="s">
        <v>17</v>
      </c>
      <c r="B3950">
        <v>588899</v>
      </c>
      <c r="C3950">
        <v>7</v>
      </c>
      <c r="D3950">
        <v>25</v>
      </c>
      <c r="E3950">
        <v>106</v>
      </c>
      <c r="F3950">
        <v>9</v>
      </c>
      <c r="G3950">
        <v>110</v>
      </c>
      <c r="H3950">
        <v>50</v>
      </c>
      <c r="I3950">
        <v>22</v>
      </c>
      <c r="J3950">
        <v>0</v>
      </c>
      <c r="K3950">
        <v>3.0300000000000002</v>
      </c>
      <c r="L3950">
        <v>7.8250000000000002</v>
      </c>
      <c r="M3950">
        <v>104.10000000000001</v>
      </c>
      <c r="N3950">
        <v>32.119999999999997</v>
      </c>
      <c r="O3950">
        <v>1682</v>
      </c>
      <c r="P3950">
        <v>1408</v>
      </c>
      <c r="Q3950" s="5" t="e">
        <f>IF(AND(#REF!&gt;=table!$C$6,#REF!&lt;= table!$D$6),-1,IF(AND(#REF!&gt;=table!$E$6,#REF!&lt;=table!$F$6),1,0))</f>
        <v>#REF!</v>
      </c>
      <c r="R3950" s="5" t="e">
        <f>IF(AND(#REF!&gt;=table!$C$7,#REF!&lt;= table!$D$7),-1,IF(AND(#REF!&gt;=table!$E$7,#REF!&lt;=table!$F$7),1,0))</f>
        <v>#REF!</v>
      </c>
      <c r="S3950" s="5" t="e">
        <f>IF(AND(#REF!&gt;=table!$C$8,#REF!&lt;= table!$D$8),-1,IF(AND(#REF!&gt;=table!$E$8,#REF!&lt;=table!$F$8),1,0))</f>
        <v>#REF!</v>
      </c>
      <c r="T3950" s="5"/>
      <c r="U3950" s="5" t="e">
        <f>IF(AND(#REF!&gt;=table!$C$10,#REF!&lt;= table!$D$10),-1,IF(AND(#REF!&gt;=table!$E$10,#REF!&lt;=table!$F$10),1,0))</f>
        <v>#REF!</v>
      </c>
      <c r="V3950" s="5" t="e">
        <f>IF(AND(#REF!&gt;=table!$C$11,#REF!&lt;= table!$D$11),-1,IF(AND(#REF!&gt;=table!$E$11,#REF!&lt;=table!$F$11),1,0))</f>
        <v>#REF!</v>
      </c>
      <c r="W3950" s="5" t="e">
        <f>CONCATENATE(dados[[#This Row],[fator1]],dados[[#This Row],[fator5]],dados[[#This Row],[fator6]])</f>
        <v>#REF!</v>
      </c>
    </row>
    <row r="3951" spans="1:23">
      <c r="A3951" t="s">
        <v>17</v>
      </c>
      <c r="B3951">
        <v>588909</v>
      </c>
      <c r="C3951">
        <v>13</v>
      </c>
      <c r="D3951">
        <v>30</v>
      </c>
      <c r="E3951">
        <v>106</v>
      </c>
      <c r="F3951">
        <v>10</v>
      </c>
      <c r="G3951">
        <v>20</v>
      </c>
      <c r="H3951">
        <v>25</v>
      </c>
      <c r="I3951">
        <v>882</v>
      </c>
      <c r="J3951">
        <v>0</v>
      </c>
      <c r="K3951">
        <v>6.835</v>
      </c>
      <c r="L3951">
        <v>9.8800000000000008</v>
      </c>
      <c r="M3951">
        <v>103.5395</v>
      </c>
      <c r="N3951">
        <v>13.765000000000001</v>
      </c>
      <c r="O3951">
        <v>1682</v>
      </c>
      <c r="P3951">
        <v>0</v>
      </c>
      <c r="Q3951" s="5" t="e">
        <f>IF(AND(#REF!&gt;=table!$C$6,#REF!&lt;= table!$D$6),-1,IF(AND(#REF!&gt;=table!$E$6,#REF!&lt;=table!$F$6),1,0))</f>
        <v>#REF!</v>
      </c>
      <c r="R3951" s="5" t="e">
        <f>IF(AND(#REF!&gt;=table!$C$7,#REF!&lt;= table!$D$7),-1,IF(AND(#REF!&gt;=table!$E$7,#REF!&lt;=table!$F$7),1,0))</f>
        <v>#REF!</v>
      </c>
      <c r="S3951" s="5" t="e">
        <f>IF(AND(#REF!&gt;=table!$C$8,#REF!&lt;= table!$D$8),-1,IF(AND(#REF!&gt;=table!$E$8,#REF!&lt;=table!$F$8),1,0))</f>
        <v>#REF!</v>
      </c>
      <c r="T3951" s="5"/>
      <c r="U3951" s="5" t="e">
        <f>IF(AND(#REF!&gt;=table!$C$10,#REF!&lt;= table!$D$10),-1,IF(AND(#REF!&gt;=table!$E$10,#REF!&lt;=table!$F$10),1,0))</f>
        <v>#REF!</v>
      </c>
      <c r="V3951" s="5" t="e">
        <f>IF(AND(#REF!&gt;=table!$C$11,#REF!&lt;= table!$D$11),-1,IF(AND(#REF!&gt;=table!$E$11,#REF!&lt;=table!$F$11),1,0))</f>
        <v>#REF!</v>
      </c>
      <c r="W3951" s="5" t="e">
        <f>CONCATENATE(dados[[#This Row],[fator1]],dados[[#This Row],[fator5]],dados[[#This Row],[fator6]])</f>
        <v>#REF!</v>
      </c>
    </row>
    <row r="3952" spans="1:23">
      <c r="A3952" t="s">
        <v>17</v>
      </c>
      <c r="B3952">
        <v>588911</v>
      </c>
      <c r="C3952">
        <v>7</v>
      </c>
      <c r="D3952">
        <v>20</v>
      </c>
      <c r="E3952">
        <v>120</v>
      </c>
      <c r="F3952">
        <v>4</v>
      </c>
      <c r="G3952">
        <v>105</v>
      </c>
      <c r="H3952">
        <v>25</v>
      </c>
      <c r="I3952">
        <v>1084</v>
      </c>
      <c r="J3952">
        <v>0</v>
      </c>
      <c r="K3952">
        <v>5.556</v>
      </c>
      <c r="L3952">
        <v>12.711500000000001</v>
      </c>
      <c r="M3952">
        <v>112.215</v>
      </c>
      <c r="N3952">
        <v>20.725000000000001</v>
      </c>
      <c r="O3952">
        <v>1656</v>
      </c>
      <c r="P3952">
        <v>0</v>
      </c>
      <c r="Q3952" s="5" t="e">
        <f>IF(AND(#REF!&gt;=table!$C$6,#REF!&lt;= table!$D$6),-1,IF(AND(#REF!&gt;=table!$E$6,#REF!&lt;=table!$F$6),1,0))</f>
        <v>#REF!</v>
      </c>
      <c r="R3952" s="5" t="e">
        <f>IF(AND(#REF!&gt;=table!$C$7,#REF!&lt;= table!$D$7),-1,IF(AND(#REF!&gt;=table!$E$7,#REF!&lt;=table!$F$7),1,0))</f>
        <v>#REF!</v>
      </c>
      <c r="S3952" s="5" t="e">
        <f>IF(AND(#REF!&gt;=table!$C$8,#REF!&lt;= table!$D$8),-1,IF(AND(#REF!&gt;=table!$E$8,#REF!&lt;=table!$F$8),1,0))</f>
        <v>#REF!</v>
      </c>
      <c r="T3952" s="5"/>
      <c r="U3952" s="5" t="e">
        <f>IF(AND(#REF!&gt;=table!$C$10,#REF!&lt;= table!$D$10),-1,IF(AND(#REF!&gt;=table!$E$10,#REF!&lt;=table!$F$10),1,0))</f>
        <v>#REF!</v>
      </c>
      <c r="V3952" s="5" t="e">
        <f>IF(AND(#REF!&gt;=table!$C$11,#REF!&lt;= table!$D$11),-1,IF(AND(#REF!&gt;=table!$E$11,#REF!&lt;=table!$F$11),1,0))</f>
        <v>#REF!</v>
      </c>
      <c r="W3952" s="5" t="e">
        <f>CONCATENATE(dados[[#This Row],[fator1]],dados[[#This Row],[fator5]],dados[[#This Row],[fator6]])</f>
        <v>#REF!</v>
      </c>
    </row>
    <row r="3953" spans="1:23">
      <c r="A3953" t="s">
        <v>17</v>
      </c>
      <c r="B3953">
        <v>588912</v>
      </c>
      <c r="C3953">
        <v>7</v>
      </c>
      <c r="D3953">
        <v>20</v>
      </c>
      <c r="E3953">
        <v>120</v>
      </c>
      <c r="F3953">
        <v>4</v>
      </c>
      <c r="G3953">
        <v>105</v>
      </c>
      <c r="H3953">
        <v>25</v>
      </c>
      <c r="I3953">
        <v>501</v>
      </c>
      <c r="J3953">
        <v>620</v>
      </c>
      <c r="K3953">
        <v>13.915000000000001</v>
      </c>
      <c r="L3953">
        <v>15.1845</v>
      </c>
      <c r="M3953">
        <v>138.22400000000002</v>
      </c>
      <c r="N3953">
        <v>15.02</v>
      </c>
      <c r="O3953">
        <v>1677</v>
      </c>
      <c r="P3953">
        <v>281</v>
      </c>
      <c r="Q3953" s="5" t="e">
        <f>IF(AND(#REF!&gt;=table!$C$6,#REF!&lt;= table!$D$6),-1,IF(AND(#REF!&gt;=table!$E$6,#REF!&lt;=table!$F$6),1,0))</f>
        <v>#REF!</v>
      </c>
      <c r="R3953" s="5" t="e">
        <f>IF(AND(#REF!&gt;=table!$C$7,#REF!&lt;= table!$D$7),-1,IF(AND(#REF!&gt;=table!$E$7,#REF!&lt;=table!$F$7),1,0))</f>
        <v>#REF!</v>
      </c>
      <c r="S3953" s="5" t="e">
        <f>IF(AND(#REF!&gt;=table!$C$8,#REF!&lt;= table!$D$8),-1,IF(AND(#REF!&gt;=table!$E$8,#REF!&lt;=table!$F$8),1,0))</f>
        <v>#REF!</v>
      </c>
      <c r="T3953" s="5"/>
      <c r="U3953" s="5" t="e">
        <f>IF(AND(#REF!&gt;=table!$C$10,#REF!&lt;= table!$D$10),-1,IF(AND(#REF!&gt;=table!$E$10,#REF!&lt;=table!$F$10),1,0))</f>
        <v>#REF!</v>
      </c>
      <c r="V3953" s="5" t="e">
        <f>IF(AND(#REF!&gt;=table!$C$11,#REF!&lt;= table!$D$11),-1,IF(AND(#REF!&gt;=table!$E$11,#REF!&lt;=table!$F$11),1,0))</f>
        <v>#REF!</v>
      </c>
      <c r="W3953" s="5" t="e">
        <f>CONCATENATE(dados[[#This Row],[fator1]],dados[[#This Row],[fator5]],dados[[#This Row],[fator6]])</f>
        <v>#REF!</v>
      </c>
    </row>
    <row r="3954" spans="1:23">
      <c r="A3954" t="s">
        <v>17</v>
      </c>
      <c r="B3954">
        <v>588916</v>
      </c>
      <c r="C3954">
        <v>9</v>
      </c>
      <c r="D3954">
        <v>33</v>
      </c>
      <c r="E3954">
        <v>35</v>
      </c>
      <c r="F3954">
        <v>5</v>
      </c>
      <c r="G3954">
        <v>20</v>
      </c>
      <c r="H3954">
        <v>21</v>
      </c>
      <c r="I3954">
        <v>0</v>
      </c>
      <c r="J3954">
        <v>0</v>
      </c>
      <c r="K3954">
        <v>3.4770000000000003</v>
      </c>
      <c r="L3954">
        <v>7.3760000000000003</v>
      </c>
      <c r="M3954">
        <v>29.2</v>
      </c>
      <c r="N3954">
        <v>11.05</v>
      </c>
      <c r="O3954">
        <v>1664</v>
      </c>
      <c r="P3954">
        <v>1026</v>
      </c>
      <c r="Q3954" s="5" t="e">
        <f>IF(AND(#REF!&gt;=table!$C$6,#REF!&lt;= table!$D$6),-1,IF(AND(#REF!&gt;=table!$E$6,#REF!&lt;=table!$F$6),1,0))</f>
        <v>#REF!</v>
      </c>
      <c r="R3954" s="5" t="e">
        <f>IF(AND(#REF!&gt;=table!$C$7,#REF!&lt;= table!$D$7),-1,IF(AND(#REF!&gt;=table!$E$7,#REF!&lt;=table!$F$7),1,0))</f>
        <v>#REF!</v>
      </c>
      <c r="S3954" s="5" t="e">
        <f>IF(AND(#REF!&gt;=table!$C$8,#REF!&lt;= table!$D$8),-1,IF(AND(#REF!&gt;=table!$E$8,#REF!&lt;=table!$F$8),1,0))</f>
        <v>#REF!</v>
      </c>
      <c r="T3954" s="5"/>
      <c r="U3954" s="5" t="e">
        <f>IF(AND(#REF!&gt;=table!$C$10,#REF!&lt;= table!$D$10),-1,IF(AND(#REF!&gt;=table!$E$10,#REF!&lt;=table!$F$10),1,0))</f>
        <v>#REF!</v>
      </c>
      <c r="V3954" s="5" t="e">
        <f>IF(AND(#REF!&gt;=table!$C$11,#REF!&lt;= table!$D$11),-1,IF(AND(#REF!&gt;=table!$E$11,#REF!&lt;=table!$F$11),1,0))</f>
        <v>#REF!</v>
      </c>
      <c r="W3954" s="5" t="e">
        <f>CONCATENATE(dados[[#This Row],[fator1]],dados[[#This Row],[fator5]],dados[[#This Row],[fator6]])</f>
        <v>#REF!</v>
      </c>
    </row>
    <row r="3955" spans="1:23">
      <c r="A3955" t="s">
        <v>16</v>
      </c>
      <c r="B3955">
        <v>588917</v>
      </c>
      <c r="C3955">
        <v>12</v>
      </c>
      <c r="D3955">
        <v>40</v>
      </c>
      <c r="E3955">
        <v>36</v>
      </c>
      <c r="F3955">
        <v>9</v>
      </c>
      <c r="G3955">
        <v>0</v>
      </c>
      <c r="H3955">
        <v>25</v>
      </c>
      <c r="I3955">
        <v>0</v>
      </c>
      <c r="J3955">
        <v>0</v>
      </c>
      <c r="K3955">
        <v>4.9119999999999999</v>
      </c>
      <c r="L3955">
        <v>13.286000000000001</v>
      </c>
      <c r="M3955">
        <v>30.4375</v>
      </c>
      <c r="N3955">
        <v>20.395</v>
      </c>
      <c r="O3955">
        <v>1661</v>
      </c>
      <c r="P3955">
        <v>875</v>
      </c>
      <c r="Q3955" s="5" t="e">
        <f>IF(AND(#REF!&gt;=table!$C$6,#REF!&lt;= table!$D$6),-1,IF(AND(#REF!&gt;=table!$E$6,#REF!&lt;=table!$F$6),1,0))</f>
        <v>#REF!</v>
      </c>
      <c r="R3955" s="5" t="e">
        <f>IF(AND(#REF!&gt;=table!$C$7,#REF!&lt;= table!$D$7),-1,IF(AND(#REF!&gt;=table!$E$7,#REF!&lt;=table!$F$7),1,0))</f>
        <v>#REF!</v>
      </c>
      <c r="S3955" s="5" t="e">
        <f>IF(AND(#REF!&gt;=table!$C$8,#REF!&lt;= table!$D$8),-1,IF(AND(#REF!&gt;=table!$E$8,#REF!&lt;=table!$F$8),1,0))</f>
        <v>#REF!</v>
      </c>
      <c r="T3955" s="5"/>
      <c r="U3955" s="5" t="e">
        <f>IF(AND(#REF!&gt;=table!$C$10,#REF!&lt;= table!$D$10),-1,IF(AND(#REF!&gt;=table!$E$10,#REF!&lt;=table!$F$10),1,0))</f>
        <v>#REF!</v>
      </c>
      <c r="V3955" s="5" t="e">
        <f>IF(AND(#REF!&gt;=table!$C$11,#REF!&lt;= table!$D$11),-1,IF(AND(#REF!&gt;=table!$E$11,#REF!&lt;=table!$F$11),1,0))</f>
        <v>#REF!</v>
      </c>
      <c r="W3955" s="5" t="e">
        <f>CONCATENATE(dados[[#This Row],[fator1]],dados[[#This Row],[fator5]],dados[[#This Row],[fator6]])</f>
        <v>#REF!</v>
      </c>
    </row>
    <row r="3956" spans="1:23">
      <c r="A3956" t="s">
        <v>17</v>
      </c>
      <c r="B3956">
        <v>588920</v>
      </c>
      <c r="C3956">
        <v>7</v>
      </c>
      <c r="D3956">
        <v>30</v>
      </c>
      <c r="E3956">
        <v>175</v>
      </c>
      <c r="F3956">
        <v>3</v>
      </c>
      <c r="G3956">
        <v>25</v>
      </c>
      <c r="H3956">
        <v>18</v>
      </c>
      <c r="I3956">
        <v>0</v>
      </c>
      <c r="J3956">
        <v>0</v>
      </c>
      <c r="K3956">
        <v>3.9210000000000003</v>
      </c>
      <c r="L3956">
        <v>8.9260000000000002</v>
      </c>
      <c r="M3956">
        <v>146.15</v>
      </c>
      <c r="N3956">
        <v>12.450000000000001</v>
      </c>
      <c r="O3956">
        <v>1679</v>
      </c>
      <c r="P3956">
        <v>1224</v>
      </c>
      <c r="Q3956" s="5" t="e">
        <f>IF(AND(#REF!&gt;=table!$C$6,#REF!&lt;= table!$D$6),-1,IF(AND(#REF!&gt;=table!$E$6,#REF!&lt;=table!$F$6),1,0))</f>
        <v>#REF!</v>
      </c>
      <c r="R3956" s="5" t="e">
        <f>IF(AND(#REF!&gt;=table!$C$7,#REF!&lt;= table!$D$7),-1,IF(AND(#REF!&gt;=table!$E$7,#REF!&lt;=table!$F$7),1,0))</f>
        <v>#REF!</v>
      </c>
      <c r="S3956" s="5" t="e">
        <f>IF(AND(#REF!&gt;=table!$C$8,#REF!&lt;= table!$D$8),-1,IF(AND(#REF!&gt;=table!$E$8,#REF!&lt;=table!$F$8),1,0))</f>
        <v>#REF!</v>
      </c>
      <c r="T3956" s="5"/>
      <c r="U3956" s="5" t="e">
        <f>IF(AND(#REF!&gt;=table!$C$10,#REF!&lt;= table!$D$10),-1,IF(AND(#REF!&gt;=table!$E$10,#REF!&lt;=table!$F$10),1,0))</f>
        <v>#REF!</v>
      </c>
      <c r="V3956" s="5" t="e">
        <f>IF(AND(#REF!&gt;=table!$C$11,#REF!&lt;= table!$D$11),-1,IF(AND(#REF!&gt;=table!$E$11,#REF!&lt;=table!$F$11),1,0))</f>
        <v>#REF!</v>
      </c>
      <c r="W3956" s="5" t="e">
        <f>CONCATENATE(dados[[#This Row],[fator1]],dados[[#This Row],[fator5]],dados[[#This Row],[fator6]])</f>
        <v>#REF!</v>
      </c>
    </row>
    <row r="3957" spans="1:23">
      <c r="A3957" t="s">
        <v>16</v>
      </c>
      <c r="B3957">
        <v>588922</v>
      </c>
      <c r="C3957">
        <v>11</v>
      </c>
      <c r="D3957">
        <v>40</v>
      </c>
      <c r="E3957">
        <v>45</v>
      </c>
      <c r="F3957">
        <v>9</v>
      </c>
      <c r="G3957">
        <v>0</v>
      </c>
      <c r="H3957">
        <v>25</v>
      </c>
      <c r="I3957">
        <v>972</v>
      </c>
      <c r="J3957">
        <v>0</v>
      </c>
      <c r="K3957">
        <v>5.4135</v>
      </c>
      <c r="L3957">
        <v>13.439500000000001</v>
      </c>
      <c r="M3957">
        <v>38.786999999999999</v>
      </c>
      <c r="N3957">
        <v>16.275000000000002</v>
      </c>
      <c r="O3957">
        <v>1686</v>
      </c>
      <c r="P3957">
        <v>836</v>
      </c>
      <c r="Q3957" s="5" t="e">
        <f>IF(AND(#REF!&gt;=table!$C$6,#REF!&lt;= table!$D$6),-1,IF(AND(#REF!&gt;=table!$E$6,#REF!&lt;=table!$F$6),1,0))</f>
        <v>#REF!</v>
      </c>
      <c r="R3957" s="5" t="e">
        <f>IF(AND(#REF!&gt;=table!$C$7,#REF!&lt;= table!$D$7),-1,IF(AND(#REF!&gt;=table!$E$7,#REF!&lt;=table!$F$7),1,0))</f>
        <v>#REF!</v>
      </c>
      <c r="S3957" s="5" t="e">
        <f>IF(AND(#REF!&gt;=table!$C$8,#REF!&lt;= table!$D$8),-1,IF(AND(#REF!&gt;=table!$E$8,#REF!&lt;=table!$F$8),1,0))</f>
        <v>#REF!</v>
      </c>
      <c r="T3957" s="5"/>
      <c r="U3957" s="5" t="e">
        <f>IF(AND(#REF!&gt;=table!$C$10,#REF!&lt;= table!$D$10),-1,IF(AND(#REF!&gt;=table!$E$10,#REF!&lt;=table!$F$10),1,0))</f>
        <v>#REF!</v>
      </c>
      <c r="V3957" s="5" t="e">
        <f>IF(AND(#REF!&gt;=table!$C$11,#REF!&lt;= table!$D$11),-1,IF(AND(#REF!&gt;=table!$E$11,#REF!&lt;=table!$F$11),1,0))</f>
        <v>#REF!</v>
      </c>
      <c r="W3957" s="5" t="e">
        <f>CONCATENATE(dados[[#This Row],[fator1]],dados[[#This Row],[fator5]],dados[[#This Row],[fator6]])</f>
        <v>#REF!</v>
      </c>
    </row>
    <row r="3958" spans="1:23">
      <c r="A3958" t="s">
        <v>16</v>
      </c>
      <c r="B3958">
        <v>588924</v>
      </c>
      <c r="C3958">
        <v>16</v>
      </c>
      <c r="D3958">
        <v>30</v>
      </c>
      <c r="E3958">
        <v>36</v>
      </c>
      <c r="F3958">
        <v>3</v>
      </c>
      <c r="G3958">
        <v>0</v>
      </c>
      <c r="H3958">
        <v>25</v>
      </c>
      <c r="I3958">
        <v>566</v>
      </c>
      <c r="J3958">
        <v>0</v>
      </c>
      <c r="K3958">
        <v>3.3585000000000003</v>
      </c>
      <c r="L3958">
        <v>5.3959999999999999</v>
      </c>
      <c r="M3958">
        <v>17.1785</v>
      </c>
      <c r="N3958">
        <v>10.755000000000001</v>
      </c>
      <c r="O3958">
        <v>1696</v>
      </c>
      <c r="P3958">
        <v>1650</v>
      </c>
      <c r="Q3958" s="5" t="e">
        <f>IF(AND(#REF!&gt;=table!$C$6,#REF!&lt;= table!$D$6),-1,IF(AND(#REF!&gt;=table!$E$6,#REF!&lt;=table!$F$6),1,0))</f>
        <v>#REF!</v>
      </c>
      <c r="R3958" s="5" t="e">
        <f>IF(AND(#REF!&gt;=table!$C$7,#REF!&lt;= table!$D$7),-1,IF(AND(#REF!&gt;=table!$E$7,#REF!&lt;=table!$F$7),1,0))</f>
        <v>#REF!</v>
      </c>
      <c r="S3958" s="5" t="e">
        <f>IF(AND(#REF!&gt;=table!$C$8,#REF!&lt;= table!$D$8),-1,IF(AND(#REF!&gt;=table!$E$8,#REF!&lt;=table!$F$8),1,0))</f>
        <v>#REF!</v>
      </c>
      <c r="T3958" s="5"/>
      <c r="U3958" s="5" t="e">
        <f>IF(AND(#REF!&gt;=table!$C$10,#REF!&lt;= table!$D$10),-1,IF(AND(#REF!&gt;=table!$E$10,#REF!&lt;=table!$F$10),1,0))</f>
        <v>#REF!</v>
      </c>
      <c r="V3958" s="5" t="e">
        <f>IF(AND(#REF!&gt;=table!$C$11,#REF!&lt;= table!$D$11),-1,IF(AND(#REF!&gt;=table!$E$11,#REF!&lt;=table!$F$11),1,0))</f>
        <v>#REF!</v>
      </c>
      <c r="W3958" s="5" t="e">
        <f>CONCATENATE(dados[[#This Row],[fator1]],dados[[#This Row],[fator5]],dados[[#This Row],[fator6]])</f>
        <v>#REF!</v>
      </c>
    </row>
    <row r="3959" spans="1:23">
      <c r="A3959" t="s">
        <v>16</v>
      </c>
      <c r="B3959">
        <v>588926</v>
      </c>
      <c r="C3959">
        <v>16</v>
      </c>
      <c r="D3959">
        <v>30</v>
      </c>
      <c r="E3959">
        <v>36</v>
      </c>
      <c r="F3959">
        <v>3</v>
      </c>
      <c r="G3959">
        <v>0</v>
      </c>
      <c r="H3959">
        <v>25</v>
      </c>
      <c r="I3959">
        <v>520</v>
      </c>
      <c r="J3959">
        <v>0</v>
      </c>
      <c r="K3959">
        <v>6.2383000000000006</v>
      </c>
      <c r="L3959">
        <v>12.304</v>
      </c>
      <c r="M3959">
        <v>31.3415</v>
      </c>
      <c r="N3959">
        <v>16.445</v>
      </c>
      <c r="O3959">
        <v>1683</v>
      </c>
      <c r="P3959">
        <v>0</v>
      </c>
      <c r="Q3959" s="5" t="e">
        <f>IF(AND(#REF!&gt;=table!$C$6,#REF!&lt;= table!$D$6),-1,IF(AND(#REF!&gt;=table!$E$6,#REF!&lt;=table!$F$6),1,0))</f>
        <v>#REF!</v>
      </c>
      <c r="R3959" s="5" t="e">
        <f>IF(AND(#REF!&gt;=table!$C$7,#REF!&lt;= table!$D$7),-1,IF(AND(#REF!&gt;=table!$E$7,#REF!&lt;=table!$F$7),1,0))</f>
        <v>#REF!</v>
      </c>
      <c r="S3959" s="5" t="e">
        <f>IF(AND(#REF!&gt;=table!$C$8,#REF!&lt;= table!$D$8),-1,IF(AND(#REF!&gt;=table!$E$8,#REF!&lt;=table!$F$8),1,0))</f>
        <v>#REF!</v>
      </c>
      <c r="T3959" s="5"/>
      <c r="U3959" s="5" t="e">
        <f>IF(AND(#REF!&gt;=table!$C$10,#REF!&lt;= table!$D$10),-1,IF(AND(#REF!&gt;=table!$E$10,#REF!&lt;=table!$F$10),1,0))</f>
        <v>#REF!</v>
      </c>
      <c r="V3959" s="5" t="e">
        <f>IF(AND(#REF!&gt;=table!$C$11,#REF!&lt;= table!$D$11),-1,IF(AND(#REF!&gt;=table!$E$11,#REF!&lt;=table!$F$11),1,0))</f>
        <v>#REF!</v>
      </c>
      <c r="W3959" s="5" t="e">
        <f>CONCATENATE(dados[[#This Row],[fator1]],dados[[#This Row],[fator5]],dados[[#This Row],[fator6]])</f>
        <v>#REF!</v>
      </c>
    </row>
    <row r="3960" spans="1:23">
      <c r="A3960" t="s">
        <v>16</v>
      </c>
      <c r="B3960">
        <v>588927</v>
      </c>
      <c r="C3960">
        <v>16</v>
      </c>
      <c r="D3960">
        <v>35</v>
      </c>
      <c r="E3960">
        <v>36</v>
      </c>
      <c r="F3960">
        <v>10</v>
      </c>
      <c r="G3960">
        <v>0</v>
      </c>
      <c r="H3960">
        <v>25</v>
      </c>
      <c r="I3960">
        <v>1</v>
      </c>
      <c r="J3960">
        <v>650</v>
      </c>
      <c r="K3960">
        <v>6.0795000000000003</v>
      </c>
      <c r="L3960">
        <v>16.750500000000002</v>
      </c>
      <c r="M3960">
        <v>40.340000000000003</v>
      </c>
      <c r="N3960">
        <v>24.92</v>
      </c>
      <c r="O3960">
        <v>1692</v>
      </c>
      <c r="P3960">
        <v>0</v>
      </c>
      <c r="Q3960" s="5" t="e">
        <f>IF(AND(#REF!&gt;=table!$C$6,#REF!&lt;= table!$D$6),-1,IF(AND(#REF!&gt;=table!$E$6,#REF!&lt;=table!$F$6),1,0))</f>
        <v>#REF!</v>
      </c>
      <c r="R3960" s="5" t="e">
        <f>IF(AND(#REF!&gt;=table!$C$7,#REF!&lt;= table!$D$7),-1,IF(AND(#REF!&gt;=table!$E$7,#REF!&lt;=table!$F$7),1,0))</f>
        <v>#REF!</v>
      </c>
      <c r="S3960" s="5" t="e">
        <f>IF(AND(#REF!&gt;=table!$C$8,#REF!&lt;= table!$D$8),-1,IF(AND(#REF!&gt;=table!$E$8,#REF!&lt;=table!$F$8),1,0))</f>
        <v>#REF!</v>
      </c>
      <c r="T3960" s="5"/>
      <c r="U3960" s="5" t="e">
        <f>IF(AND(#REF!&gt;=table!$C$10,#REF!&lt;= table!$D$10),-1,IF(AND(#REF!&gt;=table!$E$10,#REF!&lt;=table!$F$10),1,0))</f>
        <v>#REF!</v>
      </c>
      <c r="V3960" s="5" t="e">
        <f>IF(AND(#REF!&gt;=table!$C$11,#REF!&lt;= table!$D$11),-1,IF(AND(#REF!&gt;=table!$E$11,#REF!&lt;=table!$F$11),1,0))</f>
        <v>#REF!</v>
      </c>
      <c r="W3960" s="5" t="e">
        <f>CONCATENATE(dados[[#This Row],[fator1]],dados[[#This Row],[fator5]],dados[[#This Row],[fator6]])</f>
        <v>#REF!</v>
      </c>
    </row>
    <row r="3961" spans="1:23">
      <c r="A3961" t="s">
        <v>16</v>
      </c>
      <c r="B3961">
        <v>588930</v>
      </c>
      <c r="C3961">
        <v>16</v>
      </c>
      <c r="D3961">
        <v>35</v>
      </c>
      <c r="E3961">
        <v>36</v>
      </c>
      <c r="F3961">
        <v>10</v>
      </c>
      <c r="G3961">
        <v>0</v>
      </c>
      <c r="H3961">
        <v>25</v>
      </c>
      <c r="I3961">
        <v>70</v>
      </c>
      <c r="J3961">
        <v>650</v>
      </c>
      <c r="K3961">
        <v>2.1985000000000001</v>
      </c>
      <c r="L3961">
        <v>7.4725000000000001</v>
      </c>
      <c r="M3961">
        <v>27.489000000000001</v>
      </c>
      <c r="N3961">
        <v>18.920000000000002</v>
      </c>
      <c r="O3961">
        <v>1669</v>
      </c>
      <c r="P3961">
        <v>0</v>
      </c>
      <c r="Q3961" s="5" t="e">
        <f>IF(AND(#REF!&gt;=table!$C$6,#REF!&lt;= table!$D$6),-1,IF(AND(#REF!&gt;=table!$E$6,#REF!&lt;=table!$F$6),1,0))</f>
        <v>#REF!</v>
      </c>
      <c r="R3961" s="5" t="e">
        <f>IF(AND(#REF!&gt;=table!$C$7,#REF!&lt;= table!$D$7),-1,IF(AND(#REF!&gt;=table!$E$7,#REF!&lt;=table!$F$7),1,0))</f>
        <v>#REF!</v>
      </c>
      <c r="S3961" s="5" t="e">
        <f>IF(AND(#REF!&gt;=table!$C$8,#REF!&lt;= table!$D$8),-1,IF(AND(#REF!&gt;=table!$E$8,#REF!&lt;=table!$F$8),1,0))</f>
        <v>#REF!</v>
      </c>
      <c r="T3961" s="5"/>
      <c r="U3961" s="5" t="e">
        <f>IF(AND(#REF!&gt;=table!$C$10,#REF!&lt;= table!$D$10),-1,IF(AND(#REF!&gt;=table!$E$10,#REF!&lt;=table!$F$10),1,0))</f>
        <v>#REF!</v>
      </c>
      <c r="V3961" s="5" t="e">
        <f>IF(AND(#REF!&gt;=table!$C$11,#REF!&lt;= table!$D$11),-1,IF(AND(#REF!&gt;=table!$E$11,#REF!&lt;=table!$F$11),1,0))</f>
        <v>#REF!</v>
      </c>
      <c r="W3961" s="5" t="e">
        <f>CONCATENATE(dados[[#This Row],[fator1]],dados[[#This Row],[fator5]],dados[[#This Row],[fator6]])</f>
        <v>#REF!</v>
      </c>
    </row>
    <row r="3962" spans="1:23">
      <c r="A3962" t="s">
        <v>16</v>
      </c>
      <c r="B3962">
        <v>588935</v>
      </c>
      <c r="C3962">
        <v>0.15</v>
      </c>
      <c r="D3962">
        <v>40</v>
      </c>
      <c r="E3962">
        <v>10</v>
      </c>
      <c r="F3962">
        <v>15</v>
      </c>
      <c r="G3962">
        <v>0</v>
      </c>
      <c r="H3962">
        <v>15</v>
      </c>
      <c r="I3962">
        <v>451</v>
      </c>
      <c r="J3962">
        <v>0</v>
      </c>
      <c r="K3962">
        <v>4.3460000000000001</v>
      </c>
      <c r="L3962">
        <v>7.48</v>
      </c>
      <c r="M3962">
        <v>6.6379999999999999</v>
      </c>
      <c r="N3962">
        <v>11.27</v>
      </c>
      <c r="O3962">
        <v>1685</v>
      </c>
      <c r="P3962">
        <v>880</v>
      </c>
      <c r="Q3962" s="5" t="e">
        <f>IF(AND(#REF!&gt;=table!$C$6,#REF!&lt;= table!$D$6),-1,IF(AND(#REF!&gt;=table!$E$6,#REF!&lt;=table!$F$6),1,0))</f>
        <v>#REF!</v>
      </c>
      <c r="R3962" s="5" t="e">
        <f>IF(AND(#REF!&gt;=table!$C$7,#REF!&lt;= table!$D$7),-1,IF(AND(#REF!&gt;=table!$E$7,#REF!&lt;=table!$F$7),1,0))</f>
        <v>#REF!</v>
      </c>
      <c r="S3962" s="5" t="e">
        <f>IF(AND(#REF!&gt;=table!$C$8,#REF!&lt;= table!$D$8),-1,IF(AND(#REF!&gt;=table!$E$8,#REF!&lt;=table!$F$8),1,0))</f>
        <v>#REF!</v>
      </c>
      <c r="T3962" s="5"/>
      <c r="U3962" s="5" t="e">
        <f>IF(AND(#REF!&gt;=table!$C$10,#REF!&lt;= table!$D$10),-1,IF(AND(#REF!&gt;=table!$E$10,#REF!&lt;=table!$F$10),1,0))</f>
        <v>#REF!</v>
      </c>
      <c r="V3962" s="5" t="e">
        <f>IF(AND(#REF!&gt;=table!$C$11,#REF!&lt;= table!$D$11),-1,IF(AND(#REF!&gt;=table!$E$11,#REF!&lt;=table!$F$11),1,0))</f>
        <v>#REF!</v>
      </c>
      <c r="W3962" s="5" t="e">
        <f>CONCATENATE(dados[[#This Row],[fator1]],dados[[#This Row],[fator5]],dados[[#This Row],[fator6]])</f>
        <v>#REF!</v>
      </c>
    </row>
    <row r="3963" spans="1:23">
      <c r="A3963" t="s">
        <v>16</v>
      </c>
      <c r="B3963">
        <v>588938</v>
      </c>
      <c r="C3963">
        <v>0.15</v>
      </c>
      <c r="D3963">
        <v>40</v>
      </c>
      <c r="E3963">
        <v>10</v>
      </c>
      <c r="F3963">
        <v>15</v>
      </c>
      <c r="G3963">
        <v>0</v>
      </c>
      <c r="H3963">
        <v>15</v>
      </c>
      <c r="I3963">
        <v>1116</v>
      </c>
      <c r="J3963">
        <v>0</v>
      </c>
      <c r="K3963">
        <v>3.5905</v>
      </c>
      <c r="L3963">
        <v>13.301</v>
      </c>
      <c r="M3963">
        <v>10.734500000000001</v>
      </c>
      <c r="N3963">
        <v>16.105</v>
      </c>
      <c r="O3963">
        <v>1657</v>
      </c>
      <c r="P3963">
        <v>921</v>
      </c>
      <c r="Q3963" s="5" t="e">
        <f>IF(AND(#REF!&gt;=table!$C$6,#REF!&lt;= table!$D$6),-1,IF(AND(#REF!&gt;=table!$E$6,#REF!&lt;=table!$F$6),1,0))</f>
        <v>#REF!</v>
      </c>
      <c r="R3963" s="5" t="e">
        <f>IF(AND(#REF!&gt;=table!$C$7,#REF!&lt;= table!$D$7),-1,IF(AND(#REF!&gt;=table!$E$7,#REF!&lt;=table!$F$7),1,0))</f>
        <v>#REF!</v>
      </c>
      <c r="S3963" s="5" t="e">
        <f>IF(AND(#REF!&gt;=table!$C$8,#REF!&lt;= table!$D$8),-1,IF(AND(#REF!&gt;=table!$E$8,#REF!&lt;=table!$F$8),1,0))</f>
        <v>#REF!</v>
      </c>
      <c r="T3963" s="5"/>
      <c r="U3963" s="5" t="e">
        <f>IF(AND(#REF!&gt;=table!$C$10,#REF!&lt;= table!$D$10),-1,IF(AND(#REF!&gt;=table!$E$10,#REF!&lt;=table!$F$10),1,0))</f>
        <v>#REF!</v>
      </c>
      <c r="V3963" s="5" t="e">
        <f>IF(AND(#REF!&gt;=table!$C$11,#REF!&lt;= table!$D$11),-1,IF(AND(#REF!&gt;=table!$E$11,#REF!&lt;=table!$F$11),1,0))</f>
        <v>#REF!</v>
      </c>
      <c r="W3963" s="5" t="e">
        <f>CONCATENATE(dados[[#This Row],[fator1]],dados[[#This Row],[fator5]],dados[[#This Row],[fator6]])</f>
        <v>#REF!</v>
      </c>
    </row>
    <row r="3964" spans="1:23">
      <c r="A3964" t="s">
        <v>16</v>
      </c>
      <c r="B3964">
        <v>588943</v>
      </c>
      <c r="C3964">
        <v>4</v>
      </c>
      <c r="D3964">
        <v>40</v>
      </c>
      <c r="E3964">
        <v>21</v>
      </c>
      <c r="F3964">
        <v>10</v>
      </c>
      <c r="G3964">
        <v>0</v>
      </c>
      <c r="H3964">
        <v>25</v>
      </c>
      <c r="I3964">
        <v>1131</v>
      </c>
      <c r="J3964">
        <v>0</v>
      </c>
      <c r="K3964">
        <v>3.415</v>
      </c>
      <c r="L3964">
        <v>10.3855</v>
      </c>
      <c r="M3964">
        <v>18.623000000000001</v>
      </c>
      <c r="N3964">
        <v>19.905000000000001</v>
      </c>
      <c r="O3964">
        <v>1693</v>
      </c>
      <c r="P3964">
        <v>1419</v>
      </c>
      <c r="Q3964" s="5" t="e">
        <f>IF(AND(#REF!&gt;=table!$C$6,#REF!&lt;= table!$D$6),-1,IF(AND(#REF!&gt;=table!$E$6,#REF!&lt;=table!$F$6),1,0))</f>
        <v>#REF!</v>
      </c>
      <c r="R3964" s="5" t="e">
        <f>IF(AND(#REF!&gt;=table!$C$7,#REF!&lt;= table!$D$7),-1,IF(AND(#REF!&gt;=table!$E$7,#REF!&lt;=table!$F$7),1,0))</f>
        <v>#REF!</v>
      </c>
      <c r="S3964" s="5" t="e">
        <f>IF(AND(#REF!&gt;=table!$C$8,#REF!&lt;= table!$D$8),-1,IF(AND(#REF!&gt;=table!$E$8,#REF!&lt;=table!$F$8),1,0))</f>
        <v>#REF!</v>
      </c>
      <c r="T3964" s="5"/>
      <c r="U3964" s="5" t="e">
        <f>IF(AND(#REF!&gt;=table!$C$10,#REF!&lt;= table!$D$10),-1,IF(AND(#REF!&gt;=table!$E$10,#REF!&lt;=table!$F$10),1,0))</f>
        <v>#REF!</v>
      </c>
      <c r="V3964" s="5" t="e">
        <f>IF(AND(#REF!&gt;=table!$C$11,#REF!&lt;= table!$D$11),-1,IF(AND(#REF!&gt;=table!$E$11,#REF!&lt;=table!$F$11),1,0))</f>
        <v>#REF!</v>
      </c>
      <c r="W3964" s="5" t="e">
        <f>CONCATENATE(dados[[#This Row],[fator1]],dados[[#This Row],[fator5]],dados[[#This Row],[fator6]])</f>
        <v>#REF!</v>
      </c>
    </row>
    <row r="3965" spans="1:23">
      <c r="A3965" t="s">
        <v>16</v>
      </c>
      <c r="B3965">
        <v>588945</v>
      </c>
      <c r="C3965">
        <v>0.2</v>
      </c>
      <c r="D3965">
        <v>65</v>
      </c>
      <c r="E3965">
        <v>26</v>
      </c>
      <c r="F3965">
        <v>15</v>
      </c>
      <c r="G3965">
        <v>0</v>
      </c>
      <c r="H3965">
        <v>30</v>
      </c>
      <c r="I3965">
        <v>0</v>
      </c>
      <c r="J3965">
        <v>0</v>
      </c>
      <c r="K3965">
        <v>2.7605</v>
      </c>
      <c r="L3965">
        <v>9.4380000000000006</v>
      </c>
      <c r="M3965">
        <v>7.0360000000000005</v>
      </c>
      <c r="N3965">
        <v>29.89</v>
      </c>
      <c r="O3965">
        <v>1687</v>
      </c>
      <c r="P3965">
        <v>1681</v>
      </c>
      <c r="Q3965" s="5" t="e">
        <f>IF(AND(#REF!&gt;=table!$C$6,#REF!&lt;= table!$D$6),-1,IF(AND(#REF!&gt;=table!$E$6,#REF!&lt;=table!$F$6),1,0))</f>
        <v>#REF!</v>
      </c>
      <c r="R3965" s="5" t="e">
        <f>IF(AND(#REF!&gt;=table!$C$7,#REF!&lt;= table!$D$7),-1,IF(AND(#REF!&gt;=table!$E$7,#REF!&lt;=table!$F$7),1,0))</f>
        <v>#REF!</v>
      </c>
      <c r="S3965" s="5" t="e">
        <f>IF(AND(#REF!&gt;=table!$C$8,#REF!&lt;= table!$D$8),-1,IF(AND(#REF!&gt;=table!$E$8,#REF!&lt;=table!$F$8),1,0))</f>
        <v>#REF!</v>
      </c>
      <c r="T3965" s="5"/>
      <c r="U3965" s="5" t="e">
        <f>IF(AND(#REF!&gt;=table!$C$10,#REF!&lt;= table!$D$10),-1,IF(AND(#REF!&gt;=table!$E$10,#REF!&lt;=table!$F$10),1,0))</f>
        <v>#REF!</v>
      </c>
      <c r="V3965" s="5" t="e">
        <f>IF(AND(#REF!&gt;=table!$C$11,#REF!&lt;= table!$D$11),-1,IF(AND(#REF!&gt;=table!$E$11,#REF!&lt;=table!$F$11),1,0))</f>
        <v>#REF!</v>
      </c>
      <c r="W3965" s="5" t="e">
        <f>CONCATENATE(dados[[#This Row],[fator1]],dados[[#This Row],[fator5]],dados[[#This Row],[fator6]])</f>
        <v>#REF!</v>
      </c>
    </row>
    <row r="3966" spans="1:23">
      <c r="A3966" t="s">
        <v>16</v>
      </c>
      <c r="B3966">
        <v>588947</v>
      </c>
      <c r="C3966">
        <v>0.2</v>
      </c>
      <c r="D3966">
        <v>65</v>
      </c>
      <c r="E3966">
        <v>26</v>
      </c>
      <c r="F3966">
        <v>15</v>
      </c>
      <c r="G3966">
        <v>0</v>
      </c>
      <c r="H3966">
        <v>30</v>
      </c>
      <c r="I3966">
        <v>229</v>
      </c>
      <c r="J3966">
        <v>0</v>
      </c>
      <c r="K3966">
        <v>5.8025000000000002</v>
      </c>
      <c r="L3966">
        <v>6.2395000000000005</v>
      </c>
      <c r="M3966">
        <v>4.3620000000000001</v>
      </c>
      <c r="N3966">
        <v>13.545</v>
      </c>
      <c r="O3966">
        <v>1677</v>
      </c>
      <c r="P3966">
        <v>0</v>
      </c>
      <c r="Q3966" s="5" t="e">
        <f>IF(AND(#REF!&gt;=table!$C$6,#REF!&lt;= table!$D$6),-1,IF(AND(#REF!&gt;=table!$E$6,#REF!&lt;=table!$F$6),1,0))</f>
        <v>#REF!</v>
      </c>
      <c r="R3966" s="5" t="e">
        <f>IF(AND(#REF!&gt;=table!$C$7,#REF!&lt;= table!$D$7),-1,IF(AND(#REF!&gt;=table!$E$7,#REF!&lt;=table!$F$7),1,0))</f>
        <v>#REF!</v>
      </c>
      <c r="S3966" s="5" t="e">
        <f>IF(AND(#REF!&gt;=table!$C$8,#REF!&lt;= table!$D$8),-1,IF(AND(#REF!&gt;=table!$E$8,#REF!&lt;=table!$F$8),1,0))</f>
        <v>#REF!</v>
      </c>
      <c r="T3966" s="5"/>
      <c r="U3966" s="5" t="e">
        <f>IF(AND(#REF!&gt;=table!$C$10,#REF!&lt;= table!$D$10),-1,IF(AND(#REF!&gt;=table!$E$10,#REF!&lt;=table!$F$10),1,0))</f>
        <v>#REF!</v>
      </c>
      <c r="V3966" s="5" t="e">
        <f>IF(AND(#REF!&gt;=table!$C$11,#REF!&lt;= table!$D$11),-1,IF(AND(#REF!&gt;=table!$E$11,#REF!&lt;=table!$F$11),1,0))</f>
        <v>#REF!</v>
      </c>
      <c r="W3966" s="5" t="e">
        <f>CONCATENATE(dados[[#This Row],[fator1]],dados[[#This Row],[fator5]],dados[[#This Row],[fator6]])</f>
        <v>#REF!</v>
      </c>
    </row>
    <row r="3967" spans="1:23">
      <c r="A3967" t="s">
        <v>17</v>
      </c>
      <c r="B3967">
        <v>588951</v>
      </c>
      <c r="C3967">
        <v>18</v>
      </c>
      <c r="D3967">
        <v>23</v>
      </c>
      <c r="E3967">
        <v>145</v>
      </c>
      <c r="F3967">
        <v>9</v>
      </c>
      <c r="G3967">
        <v>30</v>
      </c>
      <c r="H3967">
        <v>25</v>
      </c>
      <c r="I3967">
        <v>639</v>
      </c>
      <c r="J3967">
        <v>0</v>
      </c>
      <c r="K3967">
        <v>5.7135000000000007</v>
      </c>
      <c r="L3967">
        <v>12.138</v>
      </c>
      <c r="M3967">
        <v>127.494</v>
      </c>
      <c r="N3967">
        <v>19.115000000000002</v>
      </c>
      <c r="O3967">
        <v>1688</v>
      </c>
      <c r="P3967">
        <v>695</v>
      </c>
      <c r="Q3967" s="5" t="e">
        <f>IF(AND(#REF!&gt;=table!$C$6,#REF!&lt;= table!$D$6),-1,IF(AND(#REF!&gt;=table!$E$6,#REF!&lt;=table!$F$6),1,0))</f>
        <v>#REF!</v>
      </c>
      <c r="R3967" s="5" t="e">
        <f>IF(AND(#REF!&gt;=table!$C$7,#REF!&lt;= table!$D$7),-1,IF(AND(#REF!&gt;=table!$E$7,#REF!&lt;=table!$F$7),1,0))</f>
        <v>#REF!</v>
      </c>
      <c r="S3967" s="5" t="e">
        <f>IF(AND(#REF!&gt;=table!$C$8,#REF!&lt;= table!$D$8),-1,IF(AND(#REF!&gt;=table!$E$8,#REF!&lt;=table!$F$8),1,0))</f>
        <v>#REF!</v>
      </c>
      <c r="T3967" s="5"/>
      <c r="U3967" s="5" t="e">
        <f>IF(AND(#REF!&gt;=table!$C$10,#REF!&lt;= table!$D$10),-1,IF(AND(#REF!&gt;=table!$E$10,#REF!&lt;=table!$F$10),1,0))</f>
        <v>#REF!</v>
      </c>
      <c r="V3967" s="5" t="e">
        <f>IF(AND(#REF!&gt;=table!$C$11,#REF!&lt;= table!$D$11),-1,IF(AND(#REF!&gt;=table!$E$11,#REF!&lt;=table!$F$11),1,0))</f>
        <v>#REF!</v>
      </c>
      <c r="W3967" s="5" t="e">
        <f>CONCATENATE(dados[[#This Row],[fator1]],dados[[#This Row],[fator5]],dados[[#This Row],[fator6]])</f>
        <v>#REF!</v>
      </c>
    </row>
    <row r="3968" spans="1:23">
      <c r="A3968" t="s">
        <v>16</v>
      </c>
      <c r="B3968">
        <v>588958</v>
      </c>
      <c r="C3968">
        <v>0.2</v>
      </c>
      <c r="D3968">
        <v>65</v>
      </c>
      <c r="E3968">
        <v>26</v>
      </c>
      <c r="F3968">
        <v>15</v>
      </c>
      <c r="G3968">
        <v>0</v>
      </c>
      <c r="H3968">
        <v>30</v>
      </c>
      <c r="I3968">
        <v>28</v>
      </c>
      <c r="J3968">
        <v>0</v>
      </c>
      <c r="K3968">
        <v>3.5915000000000004</v>
      </c>
      <c r="L3968">
        <v>12.952</v>
      </c>
      <c r="M3968">
        <v>8.56</v>
      </c>
      <c r="N3968">
        <v>22.650000000000002</v>
      </c>
      <c r="O3968">
        <v>1691</v>
      </c>
      <c r="P3968">
        <v>1378</v>
      </c>
      <c r="Q3968" s="5" t="e">
        <f>IF(AND(#REF!&gt;=table!$C$6,#REF!&lt;= table!$D$6),-1,IF(AND(#REF!&gt;=table!$E$6,#REF!&lt;=table!$F$6),1,0))</f>
        <v>#REF!</v>
      </c>
      <c r="R3968" s="5" t="e">
        <f>IF(AND(#REF!&gt;=table!$C$7,#REF!&lt;= table!$D$7),-1,IF(AND(#REF!&gt;=table!$E$7,#REF!&lt;=table!$F$7),1,0))</f>
        <v>#REF!</v>
      </c>
      <c r="S3968" s="5" t="e">
        <f>IF(AND(#REF!&gt;=table!$C$8,#REF!&lt;= table!$D$8),-1,IF(AND(#REF!&gt;=table!$E$8,#REF!&lt;=table!$F$8),1,0))</f>
        <v>#REF!</v>
      </c>
      <c r="T3968" s="5"/>
      <c r="U3968" s="5" t="e">
        <f>IF(AND(#REF!&gt;=table!$C$10,#REF!&lt;= table!$D$10),-1,IF(AND(#REF!&gt;=table!$E$10,#REF!&lt;=table!$F$10),1,0))</f>
        <v>#REF!</v>
      </c>
      <c r="V3968" s="5" t="e">
        <f>IF(AND(#REF!&gt;=table!$C$11,#REF!&lt;= table!$D$11),-1,IF(AND(#REF!&gt;=table!$E$11,#REF!&lt;=table!$F$11),1,0))</f>
        <v>#REF!</v>
      </c>
      <c r="W3968" s="5" t="e">
        <f>CONCATENATE(dados[[#This Row],[fator1]],dados[[#This Row],[fator5]],dados[[#This Row],[fator6]])</f>
        <v>#REF!</v>
      </c>
    </row>
    <row r="3969" spans="1:23">
      <c r="A3969" t="s">
        <v>16</v>
      </c>
      <c r="B3969">
        <v>588962</v>
      </c>
      <c r="C3969">
        <v>9</v>
      </c>
      <c r="D3969">
        <v>40</v>
      </c>
      <c r="E3969">
        <v>46</v>
      </c>
      <c r="F3969">
        <v>15</v>
      </c>
      <c r="G3969">
        <v>0</v>
      </c>
      <c r="H3969">
        <v>25</v>
      </c>
      <c r="I3969">
        <v>10</v>
      </c>
      <c r="J3969">
        <v>0</v>
      </c>
      <c r="K3969">
        <v>4.5490000000000004</v>
      </c>
      <c r="L3969">
        <v>13.82</v>
      </c>
      <c r="M3969">
        <v>44.506500000000003</v>
      </c>
      <c r="N3969">
        <v>17.79</v>
      </c>
      <c r="O3969">
        <v>1668</v>
      </c>
      <c r="P3969">
        <v>0</v>
      </c>
      <c r="Q3969" s="5" t="e">
        <f>IF(AND(#REF!&gt;=table!$C$6,#REF!&lt;= table!$D$6),-1,IF(AND(#REF!&gt;=table!$E$6,#REF!&lt;=table!$F$6),1,0))</f>
        <v>#REF!</v>
      </c>
      <c r="R3969" s="5" t="e">
        <f>IF(AND(#REF!&gt;=table!$C$7,#REF!&lt;= table!$D$7),-1,IF(AND(#REF!&gt;=table!$E$7,#REF!&lt;=table!$F$7),1,0))</f>
        <v>#REF!</v>
      </c>
      <c r="S3969" s="5" t="e">
        <f>IF(AND(#REF!&gt;=table!$C$8,#REF!&lt;= table!$D$8),-1,IF(AND(#REF!&gt;=table!$E$8,#REF!&lt;=table!$F$8),1,0))</f>
        <v>#REF!</v>
      </c>
      <c r="T3969" s="5"/>
      <c r="U3969" s="5" t="e">
        <f>IF(AND(#REF!&gt;=table!$C$10,#REF!&lt;= table!$D$10),-1,IF(AND(#REF!&gt;=table!$E$10,#REF!&lt;=table!$F$10),1,0))</f>
        <v>#REF!</v>
      </c>
      <c r="V3969" s="5" t="e">
        <f>IF(AND(#REF!&gt;=table!$C$11,#REF!&lt;= table!$D$11),-1,IF(AND(#REF!&gt;=table!$E$11,#REF!&lt;=table!$F$11),1,0))</f>
        <v>#REF!</v>
      </c>
      <c r="W3969" s="5" t="e">
        <f>CONCATENATE(dados[[#This Row],[fator1]],dados[[#This Row],[fator5]],dados[[#This Row],[fator6]])</f>
        <v>#REF!</v>
      </c>
    </row>
    <row r="3970" spans="1:23">
      <c r="A3970" t="s">
        <v>17</v>
      </c>
      <c r="B3970">
        <v>588964</v>
      </c>
      <c r="C3970">
        <v>16</v>
      </c>
      <c r="D3970">
        <v>23</v>
      </c>
      <c r="E3970">
        <v>145</v>
      </c>
      <c r="F3970">
        <v>9</v>
      </c>
      <c r="G3970">
        <v>30</v>
      </c>
      <c r="H3970">
        <v>25</v>
      </c>
      <c r="I3970">
        <v>911</v>
      </c>
      <c r="J3970">
        <v>490</v>
      </c>
      <c r="K3970">
        <v>4.6450000000000005</v>
      </c>
      <c r="L3970">
        <v>13.775500000000001</v>
      </c>
      <c r="M3970">
        <v>127.021</v>
      </c>
      <c r="N3970">
        <v>20.865000000000002</v>
      </c>
      <c r="O3970">
        <v>1687</v>
      </c>
      <c r="P3970">
        <v>1287</v>
      </c>
      <c r="Q3970" s="5" t="e">
        <f>IF(AND(#REF!&gt;=table!$C$6,#REF!&lt;= table!$D$6),-1,IF(AND(#REF!&gt;=table!$E$6,#REF!&lt;=table!$F$6),1,0))</f>
        <v>#REF!</v>
      </c>
      <c r="R3970" s="5" t="e">
        <f>IF(AND(#REF!&gt;=table!$C$7,#REF!&lt;= table!$D$7),-1,IF(AND(#REF!&gt;=table!$E$7,#REF!&lt;=table!$F$7),1,0))</f>
        <v>#REF!</v>
      </c>
      <c r="S3970" s="5" t="e">
        <f>IF(AND(#REF!&gt;=table!$C$8,#REF!&lt;= table!$D$8),-1,IF(AND(#REF!&gt;=table!$E$8,#REF!&lt;=table!$F$8),1,0))</f>
        <v>#REF!</v>
      </c>
      <c r="T3970" s="5"/>
      <c r="U3970" s="5" t="e">
        <f>IF(AND(#REF!&gt;=table!$C$10,#REF!&lt;= table!$D$10),-1,IF(AND(#REF!&gt;=table!$E$10,#REF!&lt;=table!$F$10),1,0))</f>
        <v>#REF!</v>
      </c>
      <c r="V3970" s="5" t="e">
        <f>IF(AND(#REF!&gt;=table!$C$11,#REF!&lt;= table!$D$11),-1,IF(AND(#REF!&gt;=table!$E$11,#REF!&lt;=table!$F$11),1,0))</f>
        <v>#REF!</v>
      </c>
      <c r="W3970" s="5" t="e">
        <f>CONCATENATE(dados[[#This Row],[fator1]],dados[[#This Row],[fator5]],dados[[#This Row],[fator6]])</f>
        <v>#REF!</v>
      </c>
    </row>
    <row r="3971" spans="1:23">
      <c r="A3971" t="s">
        <v>16</v>
      </c>
      <c r="B3971">
        <v>588966</v>
      </c>
      <c r="C3971">
        <v>6</v>
      </c>
      <c r="D3971">
        <v>40</v>
      </c>
      <c r="E3971">
        <v>66</v>
      </c>
      <c r="F3971">
        <v>10</v>
      </c>
      <c r="G3971">
        <v>0</v>
      </c>
      <c r="H3971">
        <v>25</v>
      </c>
      <c r="I3971">
        <v>1143</v>
      </c>
      <c r="J3971">
        <v>540</v>
      </c>
      <c r="K3971">
        <v>5.0230000000000006</v>
      </c>
      <c r="L3971">
        <v>5.165</v>
      </c>
      <c r="M3971">
        <v>49.49</v>
      </c>
      <c r="N3971">
        <v>8.5299999999999994</v>
      </c>
      <c r="O3971">
        <v>1630</v>
      </c>
      <c r="P3971">
        <v>831</v>
      </c>
      <c r="Q3971" s="5" t="e">
        <f>IF(AND(#REF!&gt;=table!$C$6,#REF!&lt;= table!$D$6),-1,IF(AND(#REF!&gt;=table!$E$6,#REF!&lt;=table!$F$6),1,0))</f>
        <v>#REF!</v>
      </c>
      <c r="R3971" s="5" t="e">
        <f>IF(AND(#REF!&gt;=table!$C$7,#REF!&lt;= table!$D$7),-1,IF(AND(#REF!&gt;=table!$E$7,#REF!&lt;=table!$F$7),1,0))</f>
        <v>#REF!</v>
      </c>
      <c r="S3971" s="5" t="e">
        <f>IF(AND(#REF!&gt;=table!$C$8,#REF!&lt;= table!$D$8),-1,IF(AND(#REF!&gt;=table!$E$8,#REF!&lt;=table!$F$8),1,0))</f>
        <v>#REF!</v>
      </c>
      <c r="T3971" s="5"/>
      <c r="U3971" s="5" t="e">
        <f>IF(AND(#REF!&gt;=table!$C$10,#REF!&lt;= table!$D$10),-1,IF(AND(#REF!&gt;=table!$E$10,#REF!&lt;=table!$F$10),1,0))</f>
        <v>#REF!</v>
      </c>
      <c r="V3971" s="5" t="e">
        <f>IF(AND(#REF!&gt;=table!$C$11,#REF!&lt;= table!$D$11),-1,IF(AND(#REF!&gt;=table!$E$11,#REF!&lt;=table!$F$11),1,0))</f>
        <v>#REF!</v>
      </c>
      <c r="W3971" s="5" t="e">
        <f>CONCATENATE(dados[[#This Row],[fator1]],dados[[#This Row],[fator5]],dados[[#This Row],[fator6]])</f>
        <v>#REF!</v>
      </c>
    </row>
    <row r="3972" spans="1:23">
      <c r="A3972" t="s">
        <v>16</v>
      </c>
      <c r="B3972">
        <v>588970</v>
      </c>
      <c r="C3972">
        <v>8</v>
      </c>
      <c r="D3972">
        <v>30</v>
      </c>
      <c r="E3972">
        <v>61</v>
      </c>
      <c r="F3972">
        <v>9</v>
      </c>
      <c r="G3972">
        <v>0</v>
      </c>
      <c r="H3972">
        <v>25</v>
      </c>
      <c r="I3972">
        <v>30</v>
      </c>
      <c r="J3972">
        <v>0</v>
      </c>
      <c r="K3972">
        <v>7.3795000000000002</v>
      </c>
      <c r="L3972">
        <v>9.8280000000000012</v>
      </c>
      <c r="M3972">
        <v>54.777000000000001</v>
      </c>
      <c r="N3972">
        <v>14.665000000000001</v>
      </c>
      <c r="O3972">
        <v>1654</v>
      </c>
      <c r="P3972">
        <v>458</v>
      </c>
      <c r="Q3972" s="5" t="e">
        <f>IF(AND(#REF!&gt;=table!$C$6,#REF!&lt;= table!$D$6),-1,IF(AND(#REF!&gt;=table!$E$6,#REF!&lt;=table!$F$6),1,0))</f>
        <v>#REF!</v>
      </c>
      <c r="R3972" s="5" t="e">
        <f>IF(AND(#REF!&gt;=table!$C$7,#REF!&lt;= table!$D$7),-1,IF(AND(#REF!&gt;=table!$E$7,#REF!&lt;=table!$F$7),1,0))</f>
        <v>#REF!</v>
      </c>
      <c r="S3972" s="5" t="e">
        <f>IF(AND(#REF!&gt;=table!$C$8,#REF!&lt;= table!$D$8),-1,IF(AND(#REF!&gt;=table!$E$8,#REF!&lt;=table!$F$8),1,0))</f>
        <v>#REF!</v>
      </c>
      <c r="T3972" s="5"/>
      <c r="U3972" s="5" t="e">
        <f>IF(AND(#REF!&gt;=table!$C$10,#REF!&lt;= table!$D$10),-1,IF(AND(#REF!&gt;=table!$E$10,#REF!&lt;=table!$F$10),1,0))</f>
        <v>#REF!</v>
      </c>
      <c r="V3972" s="5" t="e">
        <f>IF(AND(#REF!&gt;=table!$C$11,#REF!&lt;= table!$D$11),-1,IF(AND(#REF!&gt;=table!$E$11,#REF!&lt;=table!$F$11),1,0))</f>
        <v>#REF!</v>
      </c>
      <c r="W3972" s="5" t="e">
        <f>CONCATENATE(dados[[#This Row],[fator1]],dados[[#This Row],[fator5]],dados[[#This Row],[fator6]])</f>
        <v>#REF!</v>
      </c>
    </row>
    <row r="3973" spans="1:23">
      <c r="A3973" t="s">
        <v>16</v>
      </c>
      <c r="B3973">
        <v>588972</v>
      </c>
      <c r="C3973">
        <v>0.15</v>
      </c>
      <c r="D3973">
        <v>35</v>
      </c>
      <c r="E3973">
        <v>15</v>
      </c>
      <c r="F3973">
        <v>10</v>
      </c>
      <c r="G3973">
        <v>0</v>
      </c>
      <c r="H3973">
        <v>12</v>
      </c>
      <c r="I3973">
        <v>347</v>
      </c>
      <c r="J3973">
        <v>0</v>
      </c>
      <c r="K3973">
        <v>3.6625000000000001</v>
      </c>
      <c r="L3973">
        <v>12.342500000000001</v>
      </c>
      <c r="M3973">
        <v>10.925500000000001</v>
      </c>
      <c r="N3973">
        <v>16.48</v>
      </c>
      <c r="O3973">
        <v>1687</v>
      </c>
      <c r="P3973">
        <v>0</v>
      </c>
      <c r="Q3973" s="5" t="e">
        <f>IF(AND(#REF!&gt;=table!$C$6,#REF!&lt;= table!$D$6),-1,IF(AND(#REF!&gt;=table!$E$6,#REF!&lt;=table!$F$6),1,0))</f>
        <v>#REF!</v>
      </c>
      <c r="R3973" s="5" t="e">
        <f>IF(AND(#REF!&gt;=table!$C$7,#REF!&lt;= table!$D$7),-1,IF(AND(#REF!&gt;=table!$E$7,#REF!&lt;=table!$F$7),1,0))</f>
        <v>#REF!</v>
      </c>
      <c r="S3973" s="5" t="e">
        <f>IF(AND(#REF!&gt;=table!$C$8,#REF!&lt;= table!$D$8),-1,IF(AND(#REF!&gt;=table!$E$8,#REF!&lt;=table!$F$8),1,0))</f>
        <v>#REF!</v>
      </c>
      <c r="T3973" s="5"/>
      <c r="U3973" s="5" t="e">
        <f>IF(AND(#REF!&gt;=table!$C$10,#REF!&lt;= table!$D$10),-1,IF(AND(#REF!&gt;=table!$E$10,#REF!&lt;=table!$F$10),1,0))</f>
        <v>#REF!</v>
      </c>
      <c r="V3973" s="5" t="e">
        <f>IF(AND(#REF!&gt;=table!$C$11,#REF!&lt;= table!$D$11),-1,IF(AND(#REF!&gt;=table!$E$11,#REF!&lt;=table!$F$11),1,0))</f>
        <v>#REF!</v>
      </c>
      <c r="W3973" s="5" t="e">
        <f>CONCATENATE(dados[[#This Row],[fator1]],dados[[#This Row],[fator5]],dados[[#This Row],[fator6]])</f>
        <v>#REF!</v>
      </c>
    </row>
    <row r="3974" spans="1:23">
      <c r="A3974" t="s">
        <v>16</v>
      </c>
      <c r="B3974">
        <v>588975</v>
      </c>
      <c r="C3974">
        <v>10</v>
      </c>
      <c r="D3974">
        <v>35</v>
      </c>
      <c r="E3974">
        <v>170</v>
      </c>
      <c r="F3974">
        <v>4</v>
      </c>
      <c r="G3974">
        <v>0</v>
      </c>
      <c r="H3974">
        <v>25</v>
      </c>
      <c r="I3974">
        <v>0</v>
      </c>
      <c r="J3974">
        <v>0</v>
      </c>
      <c r="K3974">
        <v>3.7720000000000002</v>
      </c>
      <c r="L3974">
        <v>12.51</v>
      </c>
      <c r="M3974">
        <v>131.50300000000001</v>
      </c>
      <c r="N3974">
        <v>20.805</v>
      </c>
      <c r="O3974">
        <v>1691</v>
      </c>
      <c r="P3974">
        <v>1112</v>
      </c>
      <c r="Q3974" s="5" t="e">
        <f>IF(AND(#REF!&gt;=table!$C$6,#REF!&lt;= table!$D$6),-1,IF(AND(#REF!&gt;=table!$E$6,#REF!&lt;=table!$F$6),1,0))</f>
        <v>#REF!</v>
      </c>
      <c r="R3974" s="5" t="e">
        <f>IF(AND(#REF!&gt;=table!$C$7,#REF!&lt;= table!$D$7),-1,IF(AND(#REF!&gt;=table!$E$7,#REF!&lt;=table!$F$7),1,0))</f>
        <v>#REF!</v>
      </c>
      <c r="S3974" s="5" t="e">
        <f>IF(AND(#REF!&gt;=table!$C$8,#REF!&lt;= table!$D$8),-1,IF(AND(#REF!&gt;=table!$E$8,#REF!&lt;=table!$F$8),1,0))</f>
        <v>#REF!</v>
      </c>
      <c r="T3974" s="5"/>
      <c r="U3974" s="5" t="e">
        <f>IF(AND(#REF!&gt;=table!$C$10,#REF!&lt;= table!$D$10),-1,IF(AND(#REF!&gt;=table!$E$10,#REF!&lt;=table!$F$10),1,0))</f>
        <v>#REF!</v>
      </c>
      <c r="V3974" s="5" t="e">
        <f>IF(AND(#REF!&gt;=table!$C$11,#REF!&lt;= table!$D$11),-1,IF(AND(#REF!&gt;=table!$E$11,#REF!&lt;=table!$F$11),1,0))</f>
        <v>#REF!</v>
      </c>
      <c r="W3974" s="5" t="e">
        <f>CONCATENATE(dados[[#This Row],[fator1]],dados[[#This Row],[fator5]],dados[[#This Row],[fator6]])</f>
        <v>#REF!</v>
      </c>
    </row>
    <row r="3975" spans="1:23">
      <c r="A3975" t="s">
        <v>17</v>
      </c>
      <c r="B3975">
        <v>588982</v>
      </c>
      <c r="C3975">
        <v>15</v>
      </c>
      <c r="D3975">
        <v>25</v>
      </c>
      <c r="E3975">
        <v>126</v>
      </c>
      <c r="F3975">
        <v>10</v>
      </c>
      <c r="G3975">
        <v>23</v>
      </c>
      <c r="H3975">
        <v>25</v>
      </c>
      <c r="I3975">
        <v>1481</v>
      </c>
      <c r="J3975">
        <v>0</v>
      </c>
      <c r="K3975">
        <v>3.294</v>
      </c>
      <c r="L3975">
        <v>6.5090000000000003</v>
      </c>
      <c r="M3975">
        <v>136.8605</v>
      </c>
      <c r="N3975">
        <v>13.665000000000001</v>
      </c>
      <c r="O3975">
        <v>1659</v>
      </c>
      <c r="P3975">
        <v>1172</v>
      </c>
      <c r="Q3975" s="5" t="e">
        <f>IF(AND(#REF!&gt;=table!$C$6,#REF!&lt;= table!$D$6),-1,IF(AND(#REF!&gt;=table!$E$6,#REF!&lt;=table!$F$6),1,0))</f>
        <v>#REF!</v>
      </c>
      <c r="R3975" s="5" t="e">
        <f>IF(AND(#REF!&gt;=table!$C$7,#REF!&lt;= table!$D$7),-1,IF(AND(#REF!&gt;=table!$E$7,#REF!&lt;=table!$F$7),1,0))</f>
        <v>#REF!</v>
      </c>
      <c r="S3975" s="5" t="e">
        <f>IF(AND(#REF!&gt;=table!$C$8,#REF!&lt;= table!$D$8),-1,IF(AND(#REF!&gt;=table!$E$8,#REF!&lt;=table!$F$8),1,0))</f>
        <v>#REF!</v>
      </c>
      <c r="T3975" s="5"/>
      <c r="U3975" s="5" t="e">
        <f>IF(AND(#REF!&gt;=table!$C$10,#REF!&lt;= table!$D$10),-1,IF(AND(#REF!&gt;=table!$E$10,#REF!&lt;=table!$F$10),1,0))</f>
        <v>#REF!</v>
      </c>
      <c r="V3975" s="5" t="e">
        <f>IF(AND(#REF!&gt;=table!$C$11,#REF!&lt;= table!$D$11),-1,IF(AND(#REF!&gt;=table!$E$11,#REF!&lt;=table!$F$11),1,0))</f>
        <v>#REF!</v>
      </c>
      <c r="W3975" s="5" t="e">
        <f>CONCATENATE(dados[[#This Row],[fator1]],dados[[#This Row],[fator5]],dados[[#This Row],[fator6]])</f>
        <v>#REF!</v>
      </c>
    </row>
    <row r="3976" spans="1:23">
      <c r="A3976" t="s">
        <v>17</v>
      </c>
      <c r="B3976">
        <v>588983</v>
      </c>
      <c r="C3976">
        <v>7</v>
      </c>
      <c r="D3976">
        <v>20</v>
      </c>
      <c r="E3976">
        <v>120</v>
      </c>
      <c r="F3976">
        <v>4</v>
      </c>
      <c r="G3976">
        <v>105</v>
      </c>
      <c r="H3976">
        <v>25</v>
      </c>
      <c r="I3976">
        <v>374</v>
      </c>
      <c r="J3976">
        <v>650</v>
      </c>
      <c r="K3976">
        <v>3.0870000000000002</v>
      </c>
      <c r="L3976">
        <v>7.6755000000000004</v>
      </c>
      <c r="M3976">
        <v>113.1575</v>
      </c>
      <c r="N3976">
        <v>14.780000000000001</v>
      </c>
      <c r="O3976">
        <v>1660</v>
      </c>
      <c r="P3976">
        <v>948</v>
      </c>
      <c r="Q3976" s="5" t="e">
        <f>IF(AND(#REF!&gt;=table!$C$6,#REF!&lt;= table!$D$6),-1,IF(AND(#REF!&gt;=table!$E$6,#REF!&lt;=table!$F$6),1,0))</f>
        <v>#REF!</v>
      </c>
      <c r="R3976" s="5" t="e">
        <f>IF(AND(#REF!&gt;=table!$C$7,#REF!&lt;= table!$D$7),-1,IF(AND(#REF!&gt;=table!$E$7,#REF!&lt;=table!$F$7),1,0))</f>
        <v>#REF!</v>
      </c>
      <c r="S3976" s="5" t="e">
        <f>IF(AND(#REF!&gt;=table!$C$8,#REF!&lt;= table!$D$8),-1,IF(AND(#REF!&gt;=table!$E$8,#REF!&lt;=table!$F$8),1,0))</f>
        <v>#REF!</v>
      </c>
      <c r="T3976" s="5"/>
      <c r="U3976" s="5" t="e">
        <f>IF(AND(#REF!&gt;=table!$C$10,#REF!&lt;= table!$D$10),-1,IF(AND(#REF!&gt;=table!$E$10,#REF!&lt;=table!$F$10),1,0))</f>
        <v>#REF!</v>
      </c>
      <c r="V3976" s="5" t="e">
        <f>IF(AND(#REF!&gt;=table!$C$11,#REF!&lt;= table!$D$11),-1,IF(AND(#REF!&gt;=table!$E$11,#REF!&lt;=table!$F$11),1,0))</f>
        <v>#REF!</v>
      </c>
      <c r="W3976" s="5" t="e">
        <f>CONCATENATE(dados[[#This Row],[fator1]],dados[[#This Row],[fator5]],dados[[#This Row],[fator6]])</f>
        <v>#REF!</v>
      </c>
    </row>
    <row r="3977" spans="1:23">
      <c r="A3977" t="s">
        <v>16</v>
      </c>
      <c r="B3977">
        <v>588988</v>
      </c>
      <c r="C3977">
        <v>0.15</v>
      </c>
      <c r="D3977">
        <v>40</v>
      </c>
      <c r="E3977">
        <v>10</v>
      </c>
      <c r="F3977">
        <v>15</v>
      </c>
      <c r="G3977">
        <v>0</v>
      </c>
      <c r="H3977">
        <v>15</v>
      </c>
      <c r="I3977">
        <v>810</v>
      </c>
      <c r="J3977">
        <v>0</v>
      </c>
      <c r="K3977">
        <v>3.8310000000000004</v>
      </c>
      <c r="L3977">
        <v>6.665</v>
      </c>
      <c r="M3977">
        <v>6.0645000000000007</v>
      </c>
      <c r="N3977">
        <v>7.085</v>
      </c>
      <c r="O3977">
        <v>1669</v>
      </c>
      <c r="P3977">
        <v>1123</v>
      </c>
      <c r="Q3977" s="5" t="e">
        <f>IF(AND(#REF!&gt;=table!$C$6,#REF!&lt;= table!$D$6),-1,IF(AND(#REF!&gt;=table!$E$6,#REF!&lt;=table!$F$6),1,0))</f>
        <v>#REF!</v>
      </c>
      <c r="R3977" s="5" t="e">
        <f>IF(AND(#REF!&gt;=table!$C$7,#REF!&lt;= table!$D$7),-1,IF(AND(#REF!&gt;=table!$E$7,#REF!&lt;=table!$F$7),1,0))</f>
        <v>#REF!</v>
      </c>
      <c r="S3977" s="5" t="e">
        <f>IF(AND(#REF!&gt;=table!$C$8,#REF!&lt;= table!$D$8),-1,IF(AND(#REF!&gt;=table!$E$8,#REF!&lt;=table!$F$8),1,0))</f>
        <v>#REF!</v>
      </c>
      <c r="T3977" s="5"/>
      <c r="U3977" s="5" t="e">
        <f>IF(AND(#REF!&gt;=table!$C$10,#REF!&lt;= table!$D$10),-1,IF(AND(#REF!&gt;=table!$E$10,#REF!&lt;=table!$F$10),1,0))</f>
        <v>#REF!</v>
      </c>
      <c r="V3977" s="5" t="e">
        <f>IF(AND(#REF!&gt;=table!$C$11,#REF!&lt;= table!$D$11),-1,IF(AND(#REF!&gt;=table!$E$11,#REF!&lt;=table!$F$11),1,0))</f>
        <v>#REF!</v>
      </c>
      <c r="W3977" s="5" t="e">
        <f>CONCATENATE(dados[[#This Row],[fator1]],dados[[#This Row],[fator5]],dados[[#This Row],[fator6]])</f>
        <v>#REF!</v>
      </c>
    </row>
    <row r="3978" spans="1:23">
      <c r="A3978" t="s">
        <v>17</v>
      </c>
      <c r="B3978">
        <v>589002</v>
      </c>
      <c r="C3978">
        <v>18</v>
      </c>
      <c r="D3978">
        <v>23</v>
      </c>
      <c r="E3978">
        <v>145</v>
      </c>
      <c r="F3978">
        <v>6</v>
      </c>
      <c r="G3978">
        <v>30</v>
      </c>
      <c r="H3978">
        <v>25</v>
      </c>
      <c r="I3978">
        <v>1061</v>
      </c>
      <c r="J3978">
        <v>0</v>
      </c>
      <c r="K3978">
        <v>2.59</v>
      </c>
      <c r="L3978">
        <v>9.9855</v>
      </c>
      <c r="M3978">
        <v>127.40450000000001</v>
      </c>
      <c r="N3978">
        <v>21.615000000000002</v>
      </c>
      <c r="O3978">
        <v>1698</v>
      </c>
      <c r="P3978">
        <v>0</v>
      </c>
      <c r="Q3978" s="5" t="e">
        <f>IF(AND(#REF!&gt;=table!$C$6,#REF!&lt;= table!$D$6),-1,IF(AND(#REF!&gt;=table!$E$6,#REF!&lt;=table!$F$6),1,0))</f>
        <v>#REF!</v>
      </c>
      <c r="R3978" s="5" t="e">
        <f>IF(AND(#REF!&gt;=table!$C$7,#REF!&lt;= table!$D$7),-1,IF(AND(#REF!&gt;=table!$E$7,#REF!&lt;=table!$F$7),1,0))</f>
        <v>#REF!</v>
      </c>
      <c r="S3978" s="5" t="e">
        <f>IF(AND(#REF!&gt;=table!$C$8,#REF!&lt;= table!$D$8),-1,IF(AND(#REF!&gt;=table!$E$8,#REF!&lt;=table!$F$8),1,0))</f>
        <v>#REF!</v>
      </c>
      <c r="T3978" s="5"/>
      <c r="U3978" s="5" t="e">
        <f>IF(AND(#REF!&gt;=table!$C$10,#REF!&lt;= table!$D$10),-1,IF(AND(#REF!&gt;=table!$E$10,#REF!&lt;=table!$F$10),1,0))</f>
        <v>#REF!</v>
      </c>
      <c r="V3978" s="5" t="e">
        <f>IF(AND(#REF!&gt;=table!$C$11,#REF!&lt;= table!$D$11),-1,IF(AND(#REF!&gt;=table!$E$11,#REF!&lt;=table!$F$11),1,0))</f>
        <v>#REF!</v>
      </c>
      <c r="W3978" s="5" t="e">
        <f>CONCATENATE(dados[[#This Row],[fator1]],dados[[#This Row],[fator5]],dados[[#This Row],[fator6]])</f>
        <v>#REF!</v>
      </c>
    </row>
    <row r="3979" spans="1:23">
      <c r="A3979" t="s">
        <v>17</v>
      </c>
      <c r="B3979">
        <v>589004</v>
      </c>
      <c r="C3979">
        <v>18</v>
      </c>
      <c r="D3979">
        <v>23</v>
      </c>
      <c r="E3979">
        <v>145</v>
      </c>
      <c r="F3979">
        <v>6</v>
      </c>
      <c r="G3979">
        <v>30</v>
      </c>
      <c r="H3979">
        <v>25</v>
      </c>
      <c r="I3979">
        <v>341</v>
      </c>
      <c r="J3979">
        <v>0</v>
      </c>
      <c r="K3979">
        <v>3.0880000000000001</v>
      </c>
      <c r="L3979">
        <v>10.166500000000001</v>
      </c>
      <c r="M3979">
        <v>113.3</v>
      </c>
      <c r="N3979">
        <v>18.7</v>
      </c>
      <c r="O3979">
        <v>1682</v>
      </c>
      <c r="P3979">
        <v>0</v>
      </c>
      <c r="Q3979" s="5" t="e">
        <f>IF(AND(#REF!&gt;=table!$C$6,#REF!&lt;= table!$D$6),-1,IF(AND(#REF!&gt;=table!$E$6,#REF!&lt;=table!$F$6),1,0))</f>
        <v>#REF!</v>
      </c>
      <c r="R3979" s="5" t="e">
        <f>IF(AND(#REF!&gt;=table!$C$7,#REF!&lt;= table!$D$7),-1,IF(AND(#REF!&gt;=table!$E$7,#REF!&lt;=table!$F$7),1,0))</f>
        <v>#REF!</v>
      </c>
      <c r="S3979" s="5" t="e">
        <f>IF(AND(#REF!&gt;=table!$C$8,#REF!&lt;= table!$D$8),-1,IF(AND(#REF!&gt;=table!$E$8,#REF!&lt;=table!$F$8),1,0))</f>
        <v>#REF!</v>
      </c>
      <c r="T3979" s="5"/>
      <c r="U3979" s="5" t="e">
        <f>IF(AND(#REF!&gt;=table!$C$10,#REF!&lt;= table!$D$10),-1,IF(AND(#REF!&gt;=table!$E$10,#REF!&lt;=table!$F$10),1,0))</f>
        <v>#REF!</v>
      </c>
      <c r="V3979" s="5" t="e">
        <f>IF(AND(#REF!&gt;=table!$C$11,#REF!&lt;= table!$D$11),-1,IF(AND(#REF!&gt;=table!$E$11,#REF!&lt;=table!$F$11),1,0))</f>
        <v>#REF!</v>
      </c>
      <c r="W3979" s="5" t="e">
        <f>CONCATENATE(dados[[#This Row],[fator1]],dados[[#This Row],[fator5]],dados[[#This Row],[fator6]])</f>
        <v>#REF!</v>
      </c>
    </row>
    <row r="3980" spans="1:23">
      <c r="A3980" t="s">
        <v>17</v>
      </c>
      <c r="B3980">
        <v>589006</v>
      </c>
      <c r="C3980">
        <v>16</v>
      </c>
      <c r="D3980">
        <v>23</v>
      </c>
      <c r="E3980">
        <v>145</v>
      </c>
      <c r="F3980">
        <v>9</v>
      </c>
      <c r="G3980">
        <v>30</v>
      </c>
      <c r="H3980">
        <v>25</v>
      </c>
      <c r="I3980">
        <v>0</v>
      </c>
      <c r="J3980">
        <v>0</v>
      </c>
      <c r="K3980">
        <v>2.27</v>
      </c>
      <c r="L3980">
        <v>10.050000000000001</v>
      </c>
      <c r="M3980">
        <v>110.833</v>
      </c>
      <c r="N3980">
        <v>27.71</v>
      </c>
      <c r="O3980">
        <v>1686</v>
      </c>
      <c r="P3980">
        <v>1324</v>
      </c>
      <c r="Q3980" s="5" t="e">
        <f>IF(AND(#REF!&gt;=table!$C$6,#REF!&lt;= table!$D$6),-1,IF(AND(#REF!&gt;=table!$E$6,#REF!&lt;=table!$F$6),1,0))</f>
        <v>#REF!</v>
      </c>
      <c r="R3980" s="5" t="e">
        <f>IF(AND(#REF!&gt;=table!$C$7,#REF!&lt;= table!$D$7),-1,IF(AND(#REF!&gt;=table!$E$7,#REF!&lt;=table!$F$7),1,0))</f>
        <v>#REF!</v>
      </c>
      <c r="S3980" s="5" t="e">
        <f>IF(AND(#REF!&gt;=table!$C$8,#REF!&lt;= table!$D$8),-1,IF(AND(#REF!&gt;=table!$E$8,#REF!&lt;=table!$F$8),1,0))</f>
        <v>#REF!</v>
      </c>
      <c r="T3980" s="5"/>
      <c r="U3980" s="5" t="e">
        <f>IF(AND(#REF!&gt;=table!$C$10,#REF!&lt;= table!$D$10),-1,IF(AND(#REF!&gt;=table!$E$10,#REF!&lt;=table!$F$10),1,0))</f>
        <v>#REF!</v>
      </c>
      <c r="V3980" s="5" t="e">
        <f>IF(AND(#REF!&gt;=table!$C$11,#REF!&lt;= table!$D$11),-1,IF(AND(#REF!&gt;=table!$E$11,#REF!&lt;=table!$F$11),1,0))</f>
        <v>#REF!</v>
      </c>
      <c r="W3980" s="5" t="e">
        <f>CONCATENATE(dados[[#This Row],[fator1]],dados[[#This Row],[fator5]],dados[[#This Row],[fator6]])</f>
        <v>#REF!</v>
      </c>
    </row>
    <row r="3981" spans="1:23">
      <c r="A3981" t="s">
        <v>17</v>
      </c>
      <c r="B3981">
        <v>589007</v>
      </c>
      <c r="C3981">
        <v>16</v>
      </c>
      <c r="D3981">
        <v>23</v>
      </c>
      <c r="E3981">
        <v>145</v>
      </c>
      <c r="F3981">
        <v>9</v>
      </c>
      <c r="G3981">
        <v>30</v>
      </c>
      <c r="H3981">
        <v>25</v>
      </c>
      <c r="I3981">
        <v>2</v>
      </c>
      <c r="J3981">
        <v>0</v>
      </c>
      <c r="K3981">
        <v>5.258</v>
      </c>
      <c r="L3981">
        <v>12.2585</v>
      </c>
      <c r="M3981">
        <v>108.6315</v>
      </c>
      <c r="N3981">
        <v>16.59</v>
      </c>
      <c r="O3981">
        <v>1656</v>
      </c>
      <c r="P3981">
        <v>798</v>
      </c>
      <c r="Q3981" s="5" t="e">
        <f>IF(AND(#REF!&gt;=table!$C$6,#REF!&lt;= table!$D$6),-1,IF(AND(#REF!&gt;=table!$E$6,#REF!&lt;=table!$F$6),1,0))</f>
        <v>#REF!</v>
      </c>
      <c r="R3981" s="5" t="e">
        <f>IF(AND(#REF!&gt;=table!$C$7,#REF!&lt;= table!$D$7),-1,IF(AND(#REF!&gt;=table!$E$7,#REF!&lt;=table!$F$7),1,0))</f>
        <v>#REF!</v>
      </c>
      <c r="S3981" s="5" t="e">
        <f>IF(AND(#REF!&gt;=table!$C$8,#REF!&lt;= table!$D$8),-1,IF(AND(#REF!&gt;=table!$E$8,#REF!&lt;=table!$F$8),1,0))</f>
        <v>#REF!</v>
      </c>
      <c r="T3981" s="5"/>
      <c r="U3981" s="5" t="e">
        <f>IF(AND(#REF!&gt;=table!$C$10,#REF!&lt;= table!$D$10),-1,IF(AND(#REF!&gt;=table!$E$10,#REF!&lt;=table!$F$10),1,0))</f>
        <v>#REF!</v>
      </c>
      <c r="V3981" s="5" t="e">
        <f>IF(AND(#REF!&gt;=table!$C$11,#REF!&lt;= table!$D$11),-1,IF(AND(#REF!&gt;=table!$E$11,#REF!&lt;=table!$F$11),1,0))</f>
        <v>#REF!</v>
      </c>
      <c r="W3981" s="5" t="e">
        <f>CONCATENATE(dados[[#This Row],[fator1]],dados[[#This Row],[fator5]],dados[[#This Row],[fator6]])</f>
        <v>#REF!</v>
      </c>
    </row>
    <row r="3982" spans="1:23">
      <c r="A3982" t="s">
        <v>16</v>
      </c>
      <c r="B3982">
        <v>589008</v>
      </c>
      <c r="C3982">
        <v>0.15</v>
      </c>
      <c r="D3982">
        <v>40</v>
      </c>
      <c r="E3982">
        <v>10</v>
      </c>
      <c r="F3982">
        <v>15</v>
      </c>
      <c r="G3982">
        <v>0</v>
      </c>
      <c r="H3982">
        <v>15</v>
      </c>
      <c r="I3982">
        <v>592</v>
      </c>
      <c r="J3982">
        <v>0</v>
      </c>
      <c r="K3982">
        <v>3.0760000000000001</v>
      </c>
      <c r="L3982">
        <v>8.3625000000000007</v>
      </c>
      <c r="M3982">
        <v>6.9984999999999999</v>
      </c>
      <c r="N3982">
        <v>8.4150000000000009</v>
      </c>
      <c r="O3982">
        <v>1663</v>
      </c>
      <c r="P3982">
        <v>0</v>
      </c>
      <c r="Q3982" s="5" t="e">
        <f>IF(AND(#REF!&gt;=table!$C$6,#REF!&lt;= table!$D$6),-1,IF(AND(#REF!&gt;=table!$E$6,#REF!&lt;=table!$F$6),1,0))</f>
        <v>#REF!</v>
      </c>
      <c r="R3982" s="5" t="e">
        <f>IF(AND(#REF!&gt;=table!$C$7,#REF!&lt;= table!$D$7),-1,IF(AND(#REF!&gt;=table!$E$7,#REF!&lt;=table!$F$7),1,0))</f>
        <v>#REF!</v>
      </c>
      <c r="S3982" s="5" t="e">
        <f>IF(AND(#REF!&gt;=table!$C$8,#REF!&lt;= table!$D$8),-1,IF(AND(#REF!&gt;=table!$E$8,#REF!&lt;=table!$F$8),1,0))</f>
        <v>#REF!</v>
      </c>
      <c r="T3982" s="5"/>
      <c r="U3982" s="5" t="e">
        <f>IF(AND(#REF!&gt;=table!$C$10,#REF!&lt;= table!$D$10),-1,IF(AND(#REF!&gt;=table!$E$10,#REF!&lt;=table!$F$10),1,0))</f>
        <v>#REF!</v>
      </c>
      <c r="V3982" s="5" t="e">
        <f>IF(AND(#REF!&gt;=table!$C$11,#REF!&lt;= table!$D$11),-1,IF(AND(#REF!&gt;=table!$E$11,#REF!&lt;=table!$F$11),1,0))</f>
        <v>#REF!</v>
      </c>
      <c r="W3982" s="5" t="e">
        <f>CONCATENATE(dados[[#This Row],[fator1]],dados[[#This Row],[fator5]],dados[[#This Row],[fator6]])</f>
        <v>#REF!</v>
      </c>
    </row>
    <row r="3983" spans="1:23">
      <c r="A3983" t="s">
        <v>16</v>
      </c>
      <c r="B3983">
        <v>589009</v>
      </c>
      <c r="C3983">
        <v>0.15</v>
      </c>
      <c r="D3983">
        <v>40</v>
      </c>
      <c r="E3983">
        <v>10</v>
      </c>
      <c r="F3983">
        <v>15</v>
      </c>
      <c r="G3983">
        <v>0</v>
      </c>
      <c r="H3983">
        <v>15</v>
      </c>
      <c r="I3983">
        <v>937</v>
      </c>
      <c r="J3983">
        <v>0</v>
      </c>
      <c r="K3983">
        <v>3.3575000000000004</v>
      </c>
      <c r="L3983">
        <v>10.561500000000001</v>
      </c>
      <c r="M3983">
        <v>8.7345000000000006</v>
      </c>
      <c r="N3983">
        <v>12.13</v>
      </c>
      <c r="O3983">
        <v>1686</v>
      </c>
      <c r="P3983">
        <v>0</v>
      </c>
      <c r="Q3983" s="5" t="e">
        <f>IF(AND(#REF!&gt;=table!$C$6,#REF!&lt;= table!$D$6),-1,IF(AND(#REF!&gt;=table!$E$6,#REF!&lt;=table!$F$6),1,0))</f>
        <v>#REF!</v>
      </c>
      <c r="R3983" s="5" t="e">
        <f>IF(AND(#REF!&gt;=table!$C$7,#REF!&lt;= table!$D$7),-1,IF(AND(#REF!&gt;=table!$E$7,#REF!&lt;=table!$F$7),1,0))</f>
        <v>#REF!</v>
      </c>
      <c r="S3983" s="5" t="e">
        <f>IF(AND(#REF!&gt;=table!$C$8,#REF!&lt;= table!$D$8),-1,IF(AND(#REF!&gt;=table!$E$8,#REF!&lt;=table!$F$8),1,0))</f>
        <v>#REF!</v>
      </c>
      <c r="T3983" s="5"/>
      <c r="U3983" s="5" t="e">
        <f>IF(AND(#REF!&gt;=table!$C$10,#REF!&lt;= table!$D$10),-1,IF(AND(#REF!&gt;=table!$E$10,#REF!&lt;=table!$F$10),1,0))</f>
        <v>#REF!</v>
      </c>
      <c r="V3983" s="5" t="e">
        <f>IF(AND(#REF!&gt;=table!$C$11,#REF!&lt;= table!$D$11),-1,IF(AND(#REF!&gt;=table!$E$11,#REF!&lt;=table!$F$11),1,0))</f>
        <v>#REF!</v>
      </c>
      <c r="W3983" s="5" t="e">
        <f>CONCATENATE(dados[[#This Row],[fator1]],dados[[#This Row],[fator5]],dados[[#This Row],[fator6]])</f>
        <v>#REF!</v>
      </c>
    </row>
    <row r="3984" spans="1:23">
      <c r="A3984" t="s">
        <v>17</v>
      </c>
      <c r="B3984">
        <v>589013</v>
      </c>
      <c r="C3984">
        <v>0.15</v>
      </c>
      <c r="D3984">
        <v>500</v>
      </c>
      <c r="E3984">
        <v>50</v>
      </c>
      <c r="F3984">
        <v>10</v>
      </c>
      <c r="G3984">
        <v>80</v>
      </c>
      <c r="H3984">
        <v>30</v>
      </c>
      <c r="I3984">
        <v>0</v>
      </c>
      <c r="J3984">
        <v>0</v>
      </c>
      <c r="K3984">
        <v>4.0564999999999998</v>
      </c>
      <c r="L3984">
        <v>12.221500000000001</v>
      </c>
      <c r="M3984">
        <v>9.7355</v>
      </c>
      <c r="N3984">
        <v>21.545000000000002</v>
      </c>
      <c r="O3984">
        <v>1684</v>
      </c>
      <c r="P3984">
        <v>0</v>
      </c>
      <c r="Q3984" s="5" t="e">
        <f>IF(AND(#REF!&gt;=table!$C$6,#REF!&lt;= table!$D$6),-1,IF(AND(#REF!&gt;=table!$E$6,#REF!&lt;=table!$F$6),1,0))</f>
        <v>#REF!</v>
      </c>
      <c r="R3984" s="5" t="e">
        <f>IF(AND(#REF!&gt;=table!$C$7,#REF!&lt;= table!$D$7),-1,IF(AND(#REF!&gt;=table!$E$7,#REF!&lt;=table!$F$7),1,0))</f>
        <v>#REF!</v>
      </c>
      <c r="S3984" s="5" t="e">
        <f>IF(AND(#REF!&gt;=table!$C$8,#REF!&lt;= table!$D$8),-1,IF(AND(#REF!&gt;=table!$E$8,#REF!&lt;=table!$F$8),1,0))</f>
        <v>#REF!</v>
      </c>
      <c r="T3984" s="5"/>
      <c r="U3984" s="5" t="e">
        <f>IF(AND(#REF!&gt;=table!$C$10,#REF!&lt;= table!$D$10),-1,IF(AND(#REF!&gt;=table!$E$10,#REF!&lt;=table!$F$10),1,0))</f>
        <v>#REF!</v>
      </c>
      <c r="V3984" s="5" t="e">
        <f>IF(AND(#REF!&gt;=table!$C$11,#REF!&lt;= table!$D$11),-1,IF(AND(#REF!&gt;=table!$E$11,#REF!&lt;=table!$F$11),1,0))</f>
        <v>#REF!</v>
      </c>
      <c r="W3984" s="5" t="e">
        <f>CONCATENATE(dados[[#This Row],[fator1]],dados[[#This Row],[fator5]],dados[[#This Row],[fator6]])</f>
        <v>#REF!</v>
      </c>
    </row>
    <row r="3985" spans="1:23">
      <c r="A3985" t="s">
        <v>17</v>
      </c>
      <c r="B3985">
        <v>589016</v>
      </c>
      <c r="C3985">
        <v>0.15</v>
      </c>
      <c r="D3985">
        <v>500</v>
      </c>
      <c r="E3985">
        <v>50</v>
      </c>
      <c r="F3985">
        <v>10</v>
      </c>
      <c r="G3985">
        <v>80</v>
      </c>
      <c r="H3985">
        <v>30</v>
      </c>
      <c r="I3985">
        <v>916</v>
      </c>
      <c r="J3985">
        <v>0</v>
      </c>
      <c r="K3985">
        <v>4.8334999999999999</v>
      </c>
      <c r="L3985">
        <v>10.138500000000001</v>
      </c>
      <c r="M3985">
        <v>9.0180000000000007</v>
      </c>
      <c r="N3985">
        <v>16.395</v>
      </c>
      <c r="O3985">
        <v>1696</v>
      </c>
      <c r="P3985">
        <v>988</v>
      </c>
      <c r="Q3985" s="5" t="e">
        <f>IF(AND(#REF!&gt;=table!$C$6,#REF!&lt;= table!$D$6),-1,IF(AND(#REF!&gt;=table!$E$6,#REF!&lt;=table!$F$6),1,0))</f>
        <v>#REF!</v>
      </c>
      <c r="R3985" s="5" t="e">
        <f>IF(AND(#REF!&gt;=table!$C$7,#REF!&lt;= table!$D$7),-1,IF(AND(#REF!&gt;=table!$E$7,#REF!&lt;=table!$F$7),1,0))</f>
        <v>#REF!</v>
      </c>
      <c r="S3985" s="5" t="e">
        <f>IF(AND(#REF!&gt;=table!$C$8,#REF!&lt;= table!$D$8),-1,IF(AND(#REF!&gt;=table!$E$8,#REF!&lt;=table!$F$8),1,0))</f>
        <v>#REF!</v>
      </c>
      <c r="T3985" s="5"/>
      <c r="U3985" s="5" t="e">
        <f>IF(AND(#REF!&gt;=table!$C$10,#REF!&lt;= table!$D$10),-1,IF(AND(#REF!&gt;=table!$E$10,#REF!&lt;=table!$F$10),1,0))</f>
        <v>#REF!</v>
      </c>
      <c r="V3985" s="5" t="e">
        <f>IF(AND(#REF!&gt;=table!$C$11,#REF!&lt;= table!$D$11),-1,IF(AND(#REF!&gt;=table!$E$11,#REF!&lt;=table!$F$11),1,0))</f>
        <v>#REF!</v>
      </c>
      <c r="W3985" s="5" t="e">
        <f>CONCATENATE(dados[[#This Row],[fator1]],dados[[#This Row],[fator5]],dados[[#This Row],[fator6]])</f>
        <v>#REF!</v>
      </c>
    </row>
    <row r="3986" spans="1:23">
      <c r="A3986" t="s">
        <v>16</v>
      </c>
      <c r="B3986">
        <v>589018</v>
      </c>
      <c r="C3986">
        <v>4</v>
      </c>
      <c r="D3986">
        <v>40</v>
      </c>
      <c r="E3986">
        <v>21</v>
      </c>
      <c r="F3986">
        <v>20</v>
      </c>
      <c r="G3986">
        <v>0</v>
      </c>
      <c r="H3986">
        <v>25</v>
      </c>
      <c r="I3986">
        <v>35</v>
      </c>
      <c r="J3986">
        <v>530</v>
      </c>
      <c r="K3986">
        <v>7.423</v>
      </c>
      <c r="L3986">
        <v>18.815000000000001</v>
      </c>
      <c r="M3986">
        <v>22.555</v>
      </c>
      <c r="N3986">
        <v>22.18</v>
      </c>
      <c r="O3986">
        <v>1659</v>
      </c>
      <c r="P3986">
        <v>491</v>
      </c>
      <c r="Q3986" s="5" t="e">
        <f>IF(AND(#REF!&gt;=table!$C$6,#REF!&lt;= table!$D$6),-1,IF(AND(#REF!&gt;=table!$E$6,#REF!&lt;=table!$F$6),1,0))</f>
        <v>#REF!</v>
      </c>
      <c r="R3986" s="5" t="e">
        <f>IF(AND(#REF!&gt;=table!$C$7,#REF!&lt;= table!$D$7),-1,IF(AND(#REF!&gt;=table!$E$7,#REF!&lt;=table!$F$7),1,0))</f>
        <v>#REF!</v>
      </c>
      <c r="S3986" s="5" t="e">
        <f>IF(AND(#REF!&gt;=table!$C$8,#REF!&lt;= table!$D$8),-1,IF(AND(#REF!&gt;=table!$E$8,#REF!&lt;=table!$F$8),1,0))</f>
        <v>#REF!</v>
      </c>
      <c r="T3986" s="5"/>
      <c r="U3986" s="5" t="e">
        <f>IF(AND(#REF!&gt;=table!$C$10,#REF!&lt;= table!$D$10),-1,IF(AND(#REF!&gt;=table!$E$10,#REF!&lt;=table!$F$10),1,0))</f>
        <v>#REF!</v>
      </c>
      <c r="V3986" s="5" t="e">
        <f>IF(AND(#REF!&gt;=table!$C$11,#REF!&lt;= table!$D$11),-1,IF(AND(#REF!&gt;=table!$E$11,#REF!&lt;=table!$F$11),1,0))</f>
        <v>#REF!</v>
      </c>
      <c r="W3986" s="5" t="e">
        <f>CONCATENATE(dados[[#This Row],[fator1]],dados[[#This Row],[fator5]],dados[[#This Row],[fator6]])</f>
        <v>#REF!</v>
      </c>
    </row>
    <row r="3987" spans="1:23">
      <c r="A3987" t="s">
        <v>16</v>
      </c>
      <c r="B3987">
        <v>589019</v>
      </c>
      <c r="C3987">
        <v>4</v>
      </c>
      <c r="D3987">
        <v>40</v>
      </c>
      <c r="E3987">
        <v>21</v>
      </c>
      <c r="F3987">
        <v>20</v>
      </c>
      <c r="G3987">
        <v>0</v>
      </c>
      <c r="H3987">
        <v>25</v>
      </c>
      <c r="I3987">
        <v>722</v>
      </c>
      <c r="J3987">
        <v>0</v>
      </c>
      <c r="K3987">
        <v>7.0525000000000002</v>
      </c>
      <c r="L3987">
        <v>8.4980000000000011</v>
      </c>
      <c r="M3987">
        <v>19.728999999999999</v>
      </c>
      <c r="N3987">
        <v>9.1650000000000009</v>
      </c>
      <c r="O3987">
        <v>1624</v>
      </c>
      <c r="P3987">
        <v>477</v>
      </c>
      <c r="Q3987" s="5" t="e">
        <f>IF(AND(#REF!&gt;=table!$C$6,#REF!&lt;= table!$D$6),-1,IF(AND(#REF!&gt;=table!$E$6,#REF!&lt;=table!$F$6),1,0))</f>
        <v>#REF!</v>
      </c>
      <c r="R3987" s="5" t="e">
        <f>IF(AND(#REF!&gt;=table!$C$7,#REF!&lt;= table!$D$7),-1,IF(AND(#REF!&gt;=table!$E$7,#REF!&lt;=table!$F$7),1,0))</f>
        <v>#REF!</v>
      </c>
      <c r="S3987" s="5" t="e">
        <f>IF(AND(#REF!&gt;=table!$C$8,#REF!&lt;= table!$D$8),-1,IF(AND(#REF!&gt;=table!$E$8,#REF!&lt;=table!$F$8),1,0))</f>
        <v>#REF!</v>
      </c>
      <c r="T3987" s="5"/>
      <c r="U3987" s="5" t="e">
        <f>IF(AND(#REF!&gt;=table!$C$10,#REF!&lt;= table!$D$10),-1,IF(AND(#REF!&gt;=table!$E$10,#REF!&lt;=table!$F$10),1,0))</f>
        <v>#REF!</v>
      </c>
      <c r="V3987" s="5" t="e">
        <f>IF(AND(#REF!&gt;=table!$C$11,#REF!&lt;= table!$D$11),-1,IF(AND(#REF!&gt;=table!$E$11,#REF!&lt;=table!$F$11),1,0))</f>
        <v>#REF!</v>
      </c>
      <c r="W3987" s="5" t="e">
        <f>CONCATENATE(dados[[#This Row],[fator1]],dados[[#This Row],[fator5]],dados[[#This Row],[fator6]])</f>
        <v>#REF!</v>
      </c>
    </row>
    <row r="3988" spans="1:23">
      <c r="A3988" t="s">
        <v>16</v>
      </c>
      <c r="B3988">
        <v>589023</v>
      </c>
      <c r="C3988">
        <v>0.15</v>
      </c>
      <c r="D3988">
        <v>35</v>
      </c>
      <c r="E3988">
        <v>15</v>
      </c>
      <c r="F3988">
        <v>10</v>
      </c>
      <c r="G3988">
        <v>0</v>
      </c>
      <c r="H3988">
        <v>12</v>
      </c>
      <c r="I3988">
        <v>696</v>
      </c>
      <c r="J3988">
        <v>0</v>
      </c>
      <c r="K3988">
        <v>3.7920000000000003</v>
      </c>
      <c r="L3988">
        <v>5.7730000000000006</v>
      </c>
      <c r="M3988">
        <v>5.1820000000000004</v>
      </c>
      <c r="N3988">
        <v>9.36</v>
      </c>
      <c r="O3988">
        <v>1668</v>
      </c>
      <c r="P3988">
        <v>0</v>
      </c>
      <c r="Q3988" s="5" t="e">
        <f>IF(AND(#REF!&gt;=table!$C$6,#REF!&lt;= table!$D$6),-1,IF(AND(#REF!&gt;=table!$E$6,#REF!&lt;=table!$F$6),1,0))</f>
        <v>#REF!</v>
      </c>
      <c r="R3988" s="5" t="e">
        <f>IF(AND(#REF!&gt;=table!$C$7,#REF!&lt;= table!$D$7),-1,IF(AND(#REF!&gt;=table!$E$7,#REF!&lt;=table!$F$7),1,0))</f>
        <v>#REF!</v>
      </c>
      <c r="S3988" s="5" t="e">
        <f>IF(AND(#REF!&gt;=table!$C$8,#REF!&lt;= table!$D$8),-1,IF(AND(#REF!&gt;=table!$E$8,#REF!&lt;=table!$F$8),1,0))</f>
        <v>#REF!</v>
      </c>
      <c r="T3988" s="5"/>
      <c r="U3988" s="5" t="e">
        <f>IF(AND(#REF!&gt;=table!$C$10,#REF!&lt;= table!$D$10),-1,IF(AND(#REF!&gt;=table!$E$10,#REF!&lt;=table!$F$10),1,0))</f>
        <v>#REF!</v>
      </c>
      <c r="V3988" s="5" t="e">
        <f>IF(AND(#REF!&gt;=table!$C$11,#REF!&lt;= table!$D$11),-1,IF(AND(#REF!&gt;=table!$E$11,#REF!&lt;=table!$F$11),1,0))</f>
        <v>#REF!</v>
      </c>
      <c r="W3988" s="5" t="e">
        <f>CONCATENATE(dados[[#This Row],[fator1]],dados[[#This Row],[fator5]],dados[[#This Row],[fator6]])</f>
        <v>#REF!</v>
      </c>
    </row>
    <row r="3989" spans="1:23">
      <c r="A3989" t="s">
        <v>16</v>
      </c>
      <c r="B3989">
        <v>589024</v>
      </c>
      <c r="C3989">
        <v>7</v>
      </c>
      <c r="D3989">
        <v>33</v>
      </c>
      <c r="E3989">
        <v>153</v>
      </c>
      <c r="F3989">
        <v>4</v>
      </c>
      <c r="G3989">
        <v>0</v>
      </c>
      <c r="H3989">
        <v>25</v>
      </c>
      <c r="I3989">
        <v>78</v>
      </c>
      <c r="J3989">
        <v>0</v>
      </c>
      <c r="K3989">
        <v>4.13</v>
      </c>
      <c r="L3989">
        <v>8.198500000000001</v>
      </c>
      <c r="M3989">
        <v>119.77050000000001</v>
      </c>
      <c r="N3989">
        <v>18.265000000000001</v>
      </c>
      <c r="O3989">
        <v>1690</v>
      </c>
      <c r="P3989">
        <v>1601</v>
      </c>
      <c r="Q3989" s="5" t="e">
        <f>IF(AND(#REF!&gt;=table!$C$6,#REF!&lt;= table!$D$6),-1,IF(AND(#REF!&gt;=table!$E$6,#REF!&lt;=table!$F$6),1,0))</f>
        <v>#REF!</v>
      </c>
      <c r="R3989" s="5" t="e">
        <f>IF(AND(#REF!&gt;=table!$C$7,#REF!&lt;= table!$D$7),-1,IF(AND(#REF!&gt;=table!$E$7,#REF!&lt;=table!$F$7),1,0))</f>
        <v>#REF!</v>
      </c>
      <c r="S3989" s="5" t="e">
        <f>IF(AND(#REF!&gt;=table!$C$8,#REF!&lt;= table!$D$8),-1,IF(AND(#REF!&gt;=table!$E$8,#REF!&lt;=table!$F$8),1,0))</f>
        <v>#REF!</v>
      </c>
      <c r="T3989" s="5"/>
      <c r="U3989" s="5" t="e">
        <f>IF(AND(#REF!&gt;=table!$C$10,#REF!&lt;= table!$D$10),-1,IF(AND(#REF!&gt;=table!$E$10,#REF!&lt;=table!$F$10),1,0))</f>
        <v>#REF!</v>
      </c>
      <c r="V3989" s="5" t="e">
        <f>IF(AND(#REF!&gt;=table!$C$11,#REF!&lt;= table!$D$11),-1,IF(AND(#REF!&gt;=table!$E$11,#REF!&lt;=table!$F$11),1,0))</f>
        <v>#REF!</v>
      </c>
      <c r="W3989" s="5" t="e">
        <f>CONCATENATE(dados[[#This Row],[fator1]],dados[[#This Row],[fator5]],dados[[#This Row],[fator6]])</f>
        <v>#REF!</v>
      </c>
    </row>
    <row r="3990" spans="1:23">
      <c r="A3990" t="s">
        <v>16</v>
      </c>
      <c r="B3990">
        <v>589028</v>
      </c>
      <c r="C3990">
        <v>7</v>
      </c>
      <c r="D3990">
        <v>33</v>
      </c>
      <c r="E3990">
        <v>153</v>
      </c>
      <c r="F3990">
        <v>4</v>
      </c>
      <c r="G3990">
        <v>0</v>
      </c>
      <c r="H3990">
        <v>25</v>
      </c>
      <c r="I3990">
        <v>357</v>
      </c>
      <c r="J3990">
        <v>2040</v>
      </c>
      <c r="K3990">
        <v>31.424500000000002</v>
      </c>
      <c r="L3990">
        <v>26.872</v>
      </c>
      <c r="M3990">
        <v>104.66300000000001</v>
      </c>
      <c r="N3990">
        <v>14.34</v>
      </c>
      <c r="O3990">
        <v>1683</v>
      </c>
      <c r="P3990">
        <v>167</v>
      </c>
      <c r="Q3990" s="5" t="e">
        <f>IF(AND(#REF!&gt;=table!$C$6,#REF!&lt;= table!$D$6),-1,IF(AND(#REF!&gt;=table!$E$6,#REF!&lt;=table!$F$6),1,0))</f>
        <v>#REF!</v>
      </c>
      <c r="R3990" s="5" t="e">
        <f>IF(AND(#REF!&gt;=table!$C$7,#REF!&lt;= table!$D$7),-1,IF(AND(#REF!&gt;=table!$E$7,#REF!&lt;=table!$F$7),1,0))</f>
        <v>#REF!</v>
      </c>
      <c r="S3990" s="5" t="e">
        <f>IF(AND(#REF!&gt;=table!$C$8,#REF!&lt;= table!$D$8),-1,IF(AND(#REF!&gt;=table!$E$8,#REF!&lt;=table!$F$8),1,0))</f>
        <v>#REF!</v>
      </c>
      <c r="T3990" s="5"/>
      <c r="U3990" s="5" t="e">
        <f>IF(AND(#REF!&gt;=table!$C$10,#REF!&lt;= table!$D$10),-1,IF(AND(#REF!&gt;=table!$E$10,#REF!&lt;=table!$F$10),1,0))</f>
        <v>#REF!</v>
      </c>
      <c r="V3990" s="5" t="e">
        <f>IF(AND(#REF!&gt;=table!$C$11,#REF!&lt;= table!$D$11),-1,IF(AND(#REF!&gt;=table!$E$11,#REF!&lt;=table!$F$11),1,0))</f>
        <v>#REF!</v>
      </c>
      <c r="W3990" s="5" t="e">
        <f>CONCATENATE(dados[[#This Row],[fator1]],dados[[#This Row],[fator5]],dados[[#This Row],[fator6]])</f>
        <v>#REF!</v>
      </c>
    </row>
    <row r="3991" spans="1:23">
      <c r="A3991" t="s">
        <v>16</v>
      </c>
      <c r="B3991">
        <v>589029</v>
      </c>
      <c r="C3991">
        <v>0.15</v>
      </c>
      <c r="D3991">
        <v>40</v>
      </c>
      <c r="E3991">
        <v>10</v>
      </c>
      <c r="F3991">
        <v>15</v>
      </c>
      <c r="G3991">
        <v>0</v>
      </c>
      <c r="H3991">
        <v>15</v>
      </c>
      <c r="I3991">
        <v>317</v>
      </c>
      <c r="J3991">
        <v>0</v>
      </c>
      <c r="K3991">
        <v>3.6055000000000001</v>
      </c>
      <c r="L3991">
        <v>6.3005000000000004</v>
      </c>
      <c r="M3991">
        <v>5.0490000000000004</v>
      </c>
      <c r="N3991">
        <v>8.0549999999999997</v>
      </c>
      <c r="O3991">
        <v>1660</v>
      </c>
      <c r="P3991">
        <v>0</v>
      </c>
      <c r="Q3991" s="5" t="e">
        <f>IF(AND(#REF!&gt;=table!$C$6,#REF!&lt;= table!$D$6),-1,IF(AND(#REF!&gt;=table!$E$6,#REF!&lt;=table!$F$6),1,0))</f>
        <v>#REF!</v>
      </c>
      <c r="R3991" s="5" t="e">
        <f>IF(AND(#REF!&gt;=table!$C$7,#REF!&lt;= table!$D$7),-1,IF(AND(#REF!&gt;=table!$E$7,#REF!&lt;=table!$F$7),1,0))</f>
        <v>#REF!</v>
      </c>
      <c r="S3991" s="5" t="e">
        <f>IF(AND(#REF!&gt;=table!$C$8,#REF!&lt;= table!$D$8),-1,IF(AND(#REF!&gt;=table!$E$8,#REF!&lt;=table!$F$8),1,0))</f>
        <v>#REF!</v>
      </c>
      <c r="T3991" s="5"/>
      <c r="U3991" s="5" t="e">
        <f>IF(AND(#REF!&gt;=table!$C$10,#REF!&lt;= table!$D$10),-1,IF(AND(#REF!&gt;=table!$E$10,#REF!&lt;=table!$F$10),1,0))</f>
        <v>#REF!</v>
      </c>
      <c r="V3991" s="5" t="e">
        <f>IF(AND(#REF!&gt;=table!$C$11,#REF!&lt;= table!$D$11),-1,IF(AND(#REF!&gt;=table!$E$11,#REF!&lt;=table!$F$11),1,0))</f>
        <v>#REF!</v>
      </c>
      <c r="W3991" s="5" t="e">
        <f>CONCATENATE(dados[[#This Row],[fator1]],dados[[#This Row],[fator5]],dados[[#This Row],[fator6]])</f>
        <v>#REF!</v>
      </c>
    </row>
    <row r="3992" spans="1:23">
      <c r="A3992" t="s">
        <v>16</v>
      </c>
      <c r="B3992">
        <v>589032</v>
      </c>
      <c r="C3992">
        <v>0.15</v>
      </c>
      <c r="D3992">
        <v>40</v>
      </c>
      <c r="E3992">
        <v>10</v>
      </c>
      <c r="F3992">
        <v>15</v>
      </c>
      <c r="G3992">
        <v>0</v>
      </c>
      <c r="H3992">
        <v>15</v>
      </c>
      <c r="I3992">
        <v>23</v>
      </c>
      <c r="J3992">
        <v>0</v>
      </c>
      <c r="K3992">
        <v>3.91</v>
      </c>
      <c r="L3992">
        <v>10.317500000000001</v>
      </c>
      <c r="M3992">
        <v>8.5570000000000004</v>
      </c>
      <c r="N3992">
        <v>14.965</v>
      </c>
      <c r="O3992">
        <v>1665</v>
      </c>
      <c r="P3992">
        <v>0</v>
      </c>
      <c r="Q3992" s="5" t="e">
        <f>IF(AND(#REF!&gt;=table!$C$6,#REF!&lt;= table!$D$6),-1,IF(AND(#REF!&gt;=table!$E$6,#REF!&lt;=table!$F$6),1,0))</f>
        <v>#REF!</v>
      </c>
      <c r="R3992" s="5" t="e">
        <f>IF(AND(#REF!&gt;=table!$C$7,#REF!&lt;= table!$D$7),-1,IF(AND(#REF!&gt;=table!$E$7,#REF!&lt;=table!$F$7),1,0))</f>
        <v>#REF!</v>
      </c>
      <c r="S3992" s="5" t="e">
        <f>IF(AND(#REF!&gt;=table!$C$8,#REF!&lt;= table!$D$8),-1,IF(AND(#REF!&gt;=table!$E$8,#REF!&lt;=table!$F$8),1,0))</f>
        <v>#REF!</v>
      </c>
      <c r="T3992" s="5"/>
      <c r="U3992" s="5" t="e">
        <f>IF(AND(#REF!&gt;=table!$C$10,#REF!&lt;= table!$D$10),-1,IF(AND(#REF!&gt;=table!$E$10,#REF!&lt;=table!$F$10),1,0))</f>
        <v>#REF!</v>
      </c>
      <c r="V3992" s="5" t="e">
        <f>IF(AND(#REF!&gt;=table!$C$11,#REF!&lt;= table!$D$11),-1,IF(AND(#REF!&gt;=table!$E$11,#REF!&lt;=table!$F$11),1,0))</f>
        <v>#REF!</v>
      </c>
      <c r="W3992" s="5" t="e">
        <f>CONCATENATE(dados[[#This Row],[fator1]],dados[[#This Row],[fator5]],dados[[#This Row],[fator6]])</f>
        <v>#REF!</v>
      </c>
    </row>
    <row r="3993" spans="1:23">
      <c r="A3993" t="s">
        <v>16</v>
      </c>
      <c r="B3993">
        <v>589036</v>
      </c>
      <c r="C3993">
        <v>12</v>
      </c>
      <c r="D3993">
        <v>35</v>
      </c>
      <c r="E3993">
        <v>86</v>
      </c>
      <c r="F3993">
        <v>10</v>
      </c>
      <c r="G3993">
        <v>0</v>
      </c>
      <c r="H3993">
        <v>25</v>
      </c>
      <c r="I3993">
        <v>952</v>
      </c>
      <c r="J3993">
        <v>0</v>
      </c>
      <c r="K3993">
        <v>12.439</v>
      </c>
      <c r="L3993">
        <v>12.007000000000001</v>
      </c>
      <c r="M3993">
        <v>75.882500000000007</v>
      </c>
      <c r="N3993">
        <v>11.875</v>
      </c>
      <c r="O3993">
        <v>1667</v>
      </c>
      <c r="P3993">
        <v>318</v>
      </c>
      <c r="Q3993" s="5" t="e">
        <f>IF(AND(#REF!&gt;=table!$C$6,#REF!&lt;= table!$D$6),-1,IF(AND(#REF!&gt;=table!$E$6,#REF!&lt;=table!$F$6),1,0))</f>
        <v>#REF!</v>
      </c>
      <c r="R3993" s="5" t="e">
        <f>IF(AND(#REF!&gt;=table!$C$7,#REF!&lt;= table!$D$7),-1,IF(AND(#REF!&gt;=table!$E$7,#REF!&lt;=table!$F$7),1,0))</f>
        <v>#REF!</v>
      </c>
      <c r="S3993" s="5" t="e">
        <f>IF(AND(#REF!&gt;=table!$C$8,#REF!&lt;= table!$D$8),-1,IF(AND(#REF!&gt;=table!$E$8,#REF!&lt;=table!$F$8),1,0))</f>
        <v>#REF!</v>
      </c>
      <c r="T3993" s="5"/>
      <c r="U3993" s="5" t="e">
        <f>IF(AND(#REF!&gt;=table!$C$10,#REF!&lt;= table!$D$10),-1,IF(AND(#REF!&gt;=table!$E$10,#REF!&lt;=table!$F$10),1,0))</f>
        <v>#REF!</v>
      </c>
      <c r="V3993" s="5" t="e">
        <f>IF(AND(#REF!&gt;=table!$C$11,#REF!&lt;= table!$D$11),-1,IF(AND(#REF!&gt;=table!$E$11,#REF!&lt;=table!$F$11),1,0))</f>
        <v>#REF!</v>
      </c>
      <c r="W3993" s="5" t="e">
        <f>CONCATENATE(dados[[#This Row],[fator1]],dados[[#This Row],[fator5]],dados[[#This Row],[fator6]])</f>
        <v>#REF!</v>
      </c>
    </row>
    <row r="3994" spans="1:23">
      <c r="A3994" t="s">
        <v>16</v>
      </c>
      <c r="B3994">
        <v>589041</v>
      </c>
      <c r="C3994">
        <v>0.15</v>
      </c>
      <c r="D3994">
        <v>40</v>
      </c>
      <c r="E3994">
        <v>10</v>
      </c>
      <c r="F3994">
        <v>15</v>
      </c>
      <c r="G3994">
        <v>0</v>
      </c>
      <c r="H3994">
        <v>15</v>
      </c>
      <c r="I3994">
        <v>1752</v>
      </c>
      <c r="J3994">
        <v>740</v>
      </c>
      <c r="K3994">
        <v>6.9480000000000004</v>
      </c>
      <c r="L3994">
        <v>7.8875000000000002</v>
      </c>
      <c r="M3994">
        <v>5.5579999999999998</v>
      </c>
      <c r="N3994">
        <v>11.01</v>
      </c>
      <c r="O3994">
        <v>1649</v>
      </c>
      <c r="P3994">
        <v>718</v>
      </c>
      <c r="Q3994" s="5" t="e">
        <f>IF(AND(#REF!&gt;=table!$C$6,#REF!&lt;= table!$D$6),-1,IF(AND(#REF!&gt;=table!$E$6,#REF!&lt;=table!$F$6),1,0))</f>
        <v>#REF!</v>
      </c>
      <c r="R3994" s="5" t="e">
        <f>IF(AND(#REF!&gt;=table!$C$7,#REF!&lt;= table!$D$7),-1,IF(AND(#REF!&gt;=table!$E$7,#REF!&lt;=table!$F$7),1,0))</f>
        <v>#REF!</v>
      </c>
      <c r="S3994" s="5" t="e">
        <f>IF(AND(#REF!&gt;=table!$C$8,#REF!&lt;= table!$D$8),-1,IF(AND(#REF!&gt;=table!$E$8,#REF!&lt;=table!$F$8),1,0))</f>
        <v>#REF!</v>
      </c>
      <c r="T3994" s="5"/>
      <c r="U3994" s="5" t="e">
        <f>IF(AND(#REF!&gt;=table!$C$10,#REF!&lt;= table!$D$10),-1,IF(AND(#REF!&gt;=table!$E$10,#REF!&lt;=table!$F$10),1,0))</f>
        <v>#REF!</v>
      </c>
      <c r="V3994" s="5" t="e">
        <f>IF(AND(#REF!&gt;=table!$C$11,#REF!&lt;= table!$D$11),-1,IF(AND(#REF!&gt;=table!$E$11,#REF!&lt;=table!$F$11),1,0))</f>
        <v>#REF!</v>
      </c>
      <c r="W3994" s="5" t="e">
        <f>CONCATENATE(dados[[#This Row],[fator1]],dados[[#This Row],[fator5]],dados[[#This Row],[fator6]])</f>
        <v>#REF!</v>
      </c>
    </row>
    <row r="3995" spans="1:23">
      <c r="A3995" t="s">
        <v>16</v>
      </c>
      <c r="B3995">
        <v>589044</v>
      </c>
      <c r="C3995">
        <v>0.15</v>
      </c>
      <c r="D3995">
        <v>40</v>
      </c>
      <c r="E3995">
        <v>10</v>
      </c>
      <c r="F3995">
        <v>15</v>
      </c>
      <c r="G3995">
        <v>0</v>
      </c>
      <c r="H3995">
        <v>15</v>
      </c>
      <c r="I3995">
        <v>1294</v>
      </c>
      <c r="J3995">
        <v>0</v>
      </c>
      <c r="K3995">
        <v>3.1465000000000001</v>
      </c>
      <c r="L3995">
        <v>5.0720000000000001</v>
      </c>
      <c r="M3995">
        <v>4.8120000000000003</v>
      </c>
      <c r="N3995">
        <v>10.220000000000001</v>
      </c>
      <c r="O3995">
        <v>1682</v>
      </c>
      <c r="P3995">
        <v>0</v>
      </c>
      <c r="Q3995" s="5" t="e">
        <f>IF(AND(#REF!&gt;=table!$C$6,#REF!&lt;= table!$D$6),-1,IF(AND(#REF!&gt;=table!$E$6,#REF!&lt;=table!$F$6),1,0))</f>
        <v>#REF!</v>
      </c>
      <c r="R3995" s="5" t="e">
        <f>IF(AND(#REF!&gt;=table!$C$7,#REF!&lt;= table!$D$7),-1,IF(AND(#REF!&gt;=table!$E$7,#REF!&lt;=table!$F$7),1,0))</f>
        <v>#REF!</v>
      </c>
      <c r="S3995" s="5" t="e">
        <f>IF(AND(#REF!&gt;=table!$C$8,#REF!&lt;= table!$D$8),-1,IF(AND(#REF!&gt;=table!$E$8,#REF!&lt;=table!$F$8),1,0))</f>
        <v>#REF!</v>
      </c>
      <c r="T3995" s="5"/>
      <c r="U3995" s="5" t="e">
        <f>IF(AND(#REF!&gt;=table!$C$10,#REF!&lt;= table!$D$10),-1,IF(AND(#REF!&gt;=table!$E$10,#REF!&lt;=table!$F$10),1,0))</f>
        <v>#REF!</v>
      </c>
      <c r="V3995" s="5" t="e">
        <f>IF(AND(#REF!&gt;=table!$C$11,#REF!&lt;= table!$D$11),-1,IF(AND(#REF!&gt;=table!$E$11,#REF!&lt;=table!$F$11),1,0))</f>
        <v>#REF!</v>
      </c>
      <c r="W3995" s="5" t="e">
        <f>CONCATENATE(dados[[#This Row],[fator1]],dados[[#This Row],[fator5]],dados[[#This Row],[fator6]])</f>
        <v>#REF!</v>
      </c>
    </row>
    <row r="3996" spans="1:23">
      <c r="A3996" t="s">
        <v>16</v>
      </c>
      <c r="B3996">
        <v>589045</v>
      </c>
      <c r="C3996">
        <v>0.15</v>
      </c>
      <c r="D3996">
        <v>40</v>
      </c>
      <c r="E3996">
        <v>10</v>
      </c>
      <c r="F3996">
        <v>15</v>
      </c>
      <c r="G3996">
        <v>0</v>
      </c>
      <c r="H3996">
        <v>15</v>
      </c>
      <c r="I3996">
        <v>1144</v>
      </c>
      <c r="J3996">
        <v>970</v>
      </c>
      <c r="K3996">
        <v>2.9540000000000002</v>
      </c>
      <c r="L3996">
        <v>9.0690000000000008</v>
      </c>
      <c r="M3996">
        <v>4.0165000000000006</v>
      </c>
      <c r="N3996">
        <v>11.71</v>
      </c>
      <c r="O3996">
        <v>1669</v>
      </c>
      <c r="P3996">
        <v>1278</v>
      </c>
      <c r="Q3996" s="5" t="e">
        <f>IF(AND(#REF!&gt;=table!$C$6,#REF!&lt;= table!$D$6),-1,IF(AND(#REF!&gt;=table!$E$6,#REF!&lt;=table!$F$6),1,0))</f>
        <v>#REF!</v>
      </c>
      <c r="R3996" s="5" t="e">
        <f>IF(AND(#REF!&gt;=table!$C$7,#REF!&lt;= table!$D$7),-1,IF(AND(#REF!&gt;=table!$E$7,#REF!&lt;=table!$F$7),1,0))</f>
        <v>#REF!</v>
      </c>
      <c r="S3996" s="5" t="e">
        <f>IF(AND(#REF!&gt;=table!$C$8,#REF!&lt;= table!$D$8),-1,IF(AND(#REF!&gt;=table!$E$8,#REF!&lt;=table!$F$8),1,0))</f>
        <v>#REF!</v>
      </c>
      <c r="T3996" s="5"/>
      <c r="U3996" s="5" t="e">
        <f>IF(AND(#REF!&gt;=table!$C$10,#REF!&lt;= table!$D$10),-1,IF(AND(#REF!&gt;=table!$E$10,#REF!&lt;=table!$F$10),1,0))</f>
        <v>#REF!</v>
      </c>
      <c r="V3996" s="5" t="e">
        <f>IF(AND(#REF!&gt;=table!$C$11,#REF!&lt;= table!$D$11),-1,IF(AND(#REF!&gt;=table!$E$11,#REF!&lt;=table!$F$11),1,0))</f>
        <v>#REF!</v>
      </c>
      <c r="W3996" s="5" t="e">
        <f>CONCATENATE(dados[[#This Row],[fator1]],dados[[#This Row],[fator5]],dados[[#This Row],[fator6]])</f>
        <v>#REF!</v>
      </c>
    </row>
    <row r="3997" spans="1:23">
      <c r="A3997" t="s">
        <v>16</v>
      </c>
      <c r="B3997">
        <v>589052</v>
      </c>
      <c r="C3997">
        <v>10</v>
      </c>
      <c r="D3997">
        <v>38</v>
      </c>
      <c r="E3997">
        <v>150</v>
      </c>
      <c r="F3997">
        <v>4</v>
      </c>
      <c r="G3997">
        <v>0</v>
      </c>
      <c r="H3997">
        <v>25</v>
      </c>
      <c r="I3997">
        <v>0</v>
      </c>
      <c r="J3997">
        <v>0</v>
      </c>
      <c r="K3997">
        <v>6.0015000000000001</v>
      </c>
      <c r="L3997">
        <v>16.149999999999999</v>
      </c>
      <c r="M3997">
        <v>98.094000000000008</v>
      </c>
      <c r="N3997">
        <v>21.175000000000001</v>
      </c>
      <c r="O3997">
        <v>1678</v>
      </c>
      <c r="P3997">
        <v>758</v>
      </c>
      <c r="Q3997" s="5" t="e">
        <f>IF(AND(#REF!&gt;=table!$C$6,#REF!&lt;= table!$D$6),-1,IF(AND(#REF!&gt;=table!$E$6,#REF!&lt;=table!$F$6),1,0))</f>
        <v>#REF!</v>
      </c>
      <c r="R3997" s="5" t="e">
        <f>IF(AND(#REF!&gt;=table!$C$7,#REF!&lt;= table!$D$7),-1,IF(AND(#REF!&gt;=table!$E$7,#REF!&lt;=table!$F$7),1,0))</f>
        <v>#REF!</v>
      </c>
      <c r="S3997" s="5" t="e">
        <f>IF(AND(#REF!&gt;=table!$C$8,#REF!&lt;= table!$D$8),-1,IF(AND(#REF!&gt;=table!$E$8,#REF!&lt;=table!$F$8),1,0))</f>
        <v>#REF!</v>
      </c>
      <c r="T3997" s="5"/>
      <c r="U3997" s="5" t="e">
        <f>IF(AND(#REF!&gt;=table!$C$10,#REF!&lt;= table!$D$10),-1,IF(AND(#REF!&gt;=table!$E$10,#REF!&lt;=table!$F$10),1,0))</f>
        <v>#REF!</v>
      </c>
      <c r="V3997" s="5" t="e">
        <f>IF(AND(#REF!&gt;=table!$C$11,#REF!&lt;= table!$D$11),-1,IF(AND(#REF!&gt;=table!$E$11,#REF!&lt;=table!$F$11),1,0))</f>
        <v>#REF!</v>
      </c>
      <c r="W3997" s="5" t="e">
        <f>CONCATENATE(dados[[#This Row],[fator1]],dados[[#This Row],[fator5]],dados[[#This Row],[fator6]])</f>
        <v>#REF!</v>
      </c>
    </row>
    <row r="3998" spans="1:23">
      <c r="A3998" t="s">
        <v>16</v>
      </c>
      <c r="B3998">
        <v>589053</v>
      </c>
      <c r="C3998">
        <v>4</v>
      </c>
      <c r="D3998">
        <v>40</v>
      </c>
      <c r="E3998">
        <v>21</v>
      </c>
      <c r="F3998">
        <v>20</v>
      </c>
      <c r="G3998">
        <v>0</v>
      </c>
      <c r="H3998">
        <v>25</v>
      </c>
      <c r="I3998">
        <v>1585</v>
      </c>
      <c r="J3998">
        <v>0</v>
      </c>
      <c r="K3998">
        <v>8.0445000000000011</v>
      </c>
      <c r="L3998">
        <v>11.318000000000001</v>
      </c>
      <c r="M3998">
        <v>10.279500000000001</v>
      </c>
      <c r="N3998">
        <v>12.16</v>
      </c>
      <c r="O3998">
        <v>1655</v>
      </c>
      <c r="P3998">
        <v>502</v>
      </c>
      <c r="Q3998" s="5" t="e">
        <f>IF(AND(#REF!&gt;=table!$C$6,#REF!&lt;= table!$D$6),-1,IF(AND(#REF!&gt;=table!$E$6,#REF!&lt;=table!$F$6),1,0))</f>
        <v>#REF!</v>
      </c>
      <c r="R3998" s="5" t="e">
        <f>IF(AND(#REF!&gt;=table!$C$7,#REF!&lt;= table!$D$7),-1,IF(AND(#REF!&gt;=table!$E$7,#REF!&lt;=table!$F$7),1,0))</f>
        <v>#REF!</v>
      </c>
      <c r="S3998" s="5" t="e">
        <f>IF(AND(#REF!&gt;=table!$C$8,#REF!&lt;= table!$D$8),-1,IF(AND(#REF!&gt;=table!$E$8,#REF!&lt;=table!$F$8),1,0))</f>
        <v>#REF!</v>
      </c>
      <c r="T3998" s="5"/>
      <c r="U3998" s="5" t="e">
        <f>IF(AND(#REF!&gt;=table!$C$10,#REF!&lt;= table!$D$10),-1,IF(AND(#REF!&gt;=table!$E$10,#REF!&lt;=table!$F$10),1,0))</f>
        <v>#REF!</v>
      </c>
      <c r="V3998" s="5" t="e">
        <f>IF(AND(#REF!&gt;=table!$C$11,#REF!&lt;= table!$D$11),-1,IF(AND(#REF!&gt;=table!$E$11,#REF!&lt;=table!$F$11),1,0))</f>
        <v>#REF!</v>
      </c>
      <c r="W3998" s="5" t="e">
        <f>CONCATENATE(dados[[#This Row],[fator1]],dados[[#This Row],[fator5]],dados[[#This Row],[fator6]])</f>
        <v>#REF!</v>
      </c>
    </row>
    <row r="3999" spans="1:23">
      <c r="A3999" t="s">
        <v>16</v>
      </c>
      <c r="B3999">
        <v>589054</v>
      </c>
      <c r="C3999">
        <v>4</v>
      </c>
      <c r="D3999">
        <v>40</v>
      </c>
      <c r="E3999">
        <v>21</v>
      </c>
      <c r="F3999">
        <v>20</v>
      </c>
      <c r="G3999">
        <v>0</v>
      </c>
      <c r="H3999">
        <v>25</v>
      </c>
      <c r="I3999">
        <v>1080</v>
      </c>
      <c r="J3999">
        <v>0</v>
      </c>
      <c r="K3999">
        <v>4.1669999999999998</v>
      </c>
      <c r="L3999">
        <v>8.3550000000000004</v>
      </c>
      <c r="M3999">
        <v>7.6074999999999999</v>
      </c>
      <c r="N3999">
        <v>14.18</v>
      </c>
      <c r="O3999">
        <v>1677</v>
      </c>
      <c r="P3999">
        <v>1015</v>
      </c>
      <c r="Q3999" s="5" t="e">
        <f>IF(AND(#REF!&gt;=table!$C$6,#REF!&lt;= table!$D$6),-1,IF(AND(#REF!&gt;=table!$E$6,#REF!&lt;=table!$F$6),1,0))</f>
        <v>#REF!</v>
      </c>
      <c r="R3999" s="5" t="e">
        <f>IF(AND(#REF!&gt;=table!$C$7,#REF!&lt;= table!$D$7),-1,IF(AND(#REF!&gt;=table!$E$7,#REF!&lt;=table!$F$7),1,0))</f>
        <v>#REF!</v>
      </c>
      <c r="S3999" s="5" t="e">
        <f>IF(AND(#REF!&gt;=table!$C$8,#REF!&lt;= table!$D$8),-1,IF(AND(#REF!&gt;=table!$E$8,#REF!&lt;=table!$F$8),1,0))</f>
        <v>#REF!</v>
      </c>
      <c r="T3999" s="5"/>
      <c r="U3999" s="5" t="e">
        <f>IF(AND(#REF!&gt;=table!$C$10,#REF!&lt;= table!$D$10),-1,IF(AND(#REF!&gt;=table!$E$10,#REF!&lt;=table!$F$10),1,0))</f>
        <v>#REF!</v>
      </c>
      <c r="V3999" s="5" t="e">
        <f>IF(AND(#REF!&gt;=table!$C$11,#REF!&lt;= table!$D$11),-1,IF(AND(#REF!&gt;=table!$E$11,#REF!&lt;=table!$F$11),1,0))</f>
        <v>#REF!</v>
      </c>
      <c r="W3999" s="5" t="e">
        <f>CONCATENATE(dados[[#This Row],[fator1]],dados[[#This Row],[fator5]],dados[[#This Row],[fator6]])</f>
        <v>#REF!</v>
      </c>
    </row>
    <row r="4000" spans="1:23">
      <c r="A4000" t="s">
        <v>17</v>
      </c>
      <c r="B4000">
        <v>589067</v>
      </c>
      <c r="C4000">
        <v>16</v>
      </c>
      <c r="D4000">
        <v>23</v>
      </c>
      <c r="E4000">
        <v>145</v>
      </c>
      <c r="F4000">
        <v>6</v>
      </c>
      <c r="G4000">
        <v>30</v>
      </c>
      <c r="H4000">
        <v>25</v>
      </c>
      <c r="I4000">
        <v>762</v>
      </c>
      <c r="J4000">
        <v>470</v>
      </c>
      <c r="K4000">
        <v>5.2235000000000005</v>
      </c>
      <c r="L4000">
        <v>17.037500000000001</v>
      </c>
      <c r="M4000">
        <v>90.912500000000009</v>
      </c>
      <c r="N4000">
        <v>22.42</v>
      </c>
      <c r="O4000">
        <v>1681</v>
      </c>
      <c r="P4000">
        <v>640</v>
      </c>
      <c r="Q4000" s="5" t="e">
        <f>IF(AND(#REF!&gt;=table!$C$6,#REF!&lt;= table!$D$6),-1,IF(AND(#REF!&gt;=table!$E$6,#REF!&lt;=table!$F$6),1,0))</f>
        <v>#REF!</v>
      </c>
      <c r="R4000" s="5" t="e">
        <f>IF(AND(#REF!&gt;=table!$C$7,#REF!&lt;= table!$D$7),-1,IF(AND(#REF!&gt;=table!$E$7,#REF!&lt;=table!$F$7),1,0))</f>
        <v>#REF!</v>
      </c>
      <c r="S4000" s="5" t="e">
        <f>IF(AND(#REF!&gt;=table!$C$8,#REF!&lt;= table!$D$8),-1,IF(AND(#REF!&gt;=table!$E$8,#REF!&lt;=table!$F$8),1,0))</f>
        <v>#REF!</v>
      </c>
      <c r="T4000" s="5"/>
      <c r="U4000" s="5" t="e">
        <f>IF(AND(#REF!&gt;=table!$C$10,#REF!&lt;= table!$D$10),-1,IF(AND(#REF!&gt;=table!$E$10,#REF!&lt;=table!$F$10),1,0))</f>
        <v>#REF!</v>
      </c>
      <c r="V4000" s="5" t="e">
        <f>IF(AND(#REF!&gt;=table!$C$11,#REF!&lt;= table!$D$11),-1,IF(AND(#REF!&gt;=table!$E$11,#REF!&lt;=table!$F$11),1,0))</f>
        <v>#REF!</v>
      </c>
      <c r="W4000" s="5" t="e">
        <f>CONCATENATE(dados[[#This Row],[fator1]],dados[[#This Row],[fator5]],dados[[#This Row],[fator6]])</f>
        <v>#REF!</v>
      </c>
    </row>
    <row r="4001" spans="1:23">
      <c r="A4001" t="s">
        <v>16</v>
      </c>
      <c r="B4001">
        <v>589069</v>
      </c>
      <c r="C4001">
        <v>9</v>
      </c>
      <c r="D4001">
        <v>40</v>
      </c>
      <c r="E4001">
        <v>46</v>
      </c>
      <c r="F4001">
        <v>15</v>
      </c>
      <c r="G4001">
        <v>0</v>
      </c>
      <c r="H4001">
        <v>25</v>
      </c>
      <c r="I4001">
        <v>1218</v>
      </c>
      <c r="J4001">
        <v>0</v>
      </c>
      <c r="K4001">
        <v>2.9235000000000002</v>
      </c>
      <c r="L4001">
        <v>9.5229999999999997</v>
      </c>
      <c r="M4001">
        <v>37.767499999999998</v>
      </c>
      <c r="N4001">
        <v>19.065000000000001</v>
      </c>
      <c r="O4001">
        <v>1714</v>
      </c>
      <c r="P4001">
        <v>0</v>
      </c>
      <c r="Q4001" s="5" t="e">
        <f>IF(AND(#REF!&gt;=table!$C$6,#REF!&lt;= table!$D$6),-1,IF(AND(#REF!&gt;=table!$E$6,#REF!&lt;=table!$F$6),1,0))</f>
        <v>#REF!</v>
      </c>
      <c r="R4001" s="5" t="e">
        <f>IF(AND(#REF!&gt;=table!$C$7,#REF!&lt;= table!$D$7),-1,IF(AND(#REF!&gt;=table!$E$7,#REF!&lt;=table!$F$7),1,0))</f>
        <v>#REF!</v>
      </c>
      <c r="S4001" s="5" t="e">
        <f>IF(AND(#REF!&gt;=table!$C$8,#REF!&lt;= table!$D$8),-1,IF(AND(#REF!&gt;=table!$E$8,#REF!&lt;=table!$F$8),1,0))</f>
        <v>#REF!</v>
      </c>
      <c r="T4001" s="5"/>
      <c r="U4001" s="5" t="e">
        <f>IF(AND(#REF!&gt;=table!$C$10,#REF!&lt;= table!$D$10),-1,IF(AND(#REF!&gt;=table!$E$10,#REF!&lt;=table!$F$10),1,0))</f>
        <v>#REF!</v>
      </c>
      <c r="V4001" s="5" t="e">
        <f>IF(AND(#REF!&gt;=table!$C$11,#REF!&lt;= table!$D$11),-1,IF(AND(#REF!&gt;=table!$E$11,#REF!&lt;=table!$F$11),1,0))</f>
        <v>#REF!</v>
      </c>
      <c r="W4001" s="5" t="e">
        <f>CONCATENATE(dados[[#This Row],[fator1]],dados[[#This Row],[fator5]],dados[[#This Row],[fator6]])</f>
        <v>#REF!</v>
      </c>
    </row>
    <row r="4002" spans="1:23">
      <c r="A4002" t="s">
        <v>16</v>
      </c>
      <c r="B4002">
        <v>589070</v>
      </c>
      <c r="C4002">
        <v>9</v>
      </c>
      <c r="D4002">
        <v>40</v>
      </c>
      <c r="E4002">
        <v>46</v>
      </c>
      <c r="F4002">
        <v>15</v>
      </c>
      <c r="G4002">
        <v>0</v>
      </c>
      <c r="H4002">
        <v>25</v>
      </c>
      <c r="I4002">
        <v>1314</v>
      </c>
      <c r="J4002">
        <v>0</v>
      </c>
      <c r="K4002">
        <v>3.6220000000000003</v>
      </c>
      <c r="L4002">
        <v>11.9535</v>
      </c>
      <c r="M4002">
        <v>39.356500000000004</v>
      </c>
      <c r="N4002">
        <v>16.755000000000003</v>
      </c>
      <c r="O4002">
        <v>1659</v>
      </c>
      <c r="P4002">
        <v>847</v>
      </c>
      <c r="Q4002" s="5" t="e">
        <f>IF(AND(#REF!&gt;=table!$C$6,#REF!&lt;= table!$D$6),-1,IF(AND(#REF!&gt;=table!$E$6,#REF!&lt;=table!$F$6),1,0))</f>
        <v>#REF!</v>
      </c>
      <c r="R4002" s="5" t="e">
        <f>IF(AND(#REF!&gt;=table!$C$7,#REF!&lt;= table!$D$7),-1,IF(AND(#REF!&gt;=table!$E$7,#REF!&lt;=table!$F$7),1,0))</f>
        <v>#REF!</v>
      </c>
      <c r="S4002" s="5" t="e">
        <f>IF(AND(#REF!&gt;=table!$C$8,#REF!&lt;= table!$D$8),-1,IF(AND(#REF!&gt;=table!$E$8,#REF!&lt;=table!$F$8),1,0))</f>
        <v>#REF!</v>
      </c>
      <c r="T4002" s="5"/>
      <c r="U4002" s="5" t="e">
        <f>IF(AND(#REF!&gt;=table!$C$10,#REF!&lt;= table!$D$10),-1,IF(AND(#REF!&gt;=table!$E$10,#REF!&lt;=table!$F$10),1,0))</f>
        <v>#REF!</v>
      </c>
      <c r="V4002" s="5" t="e">
        <f>IF(AND(#REF!&gt;=table!$C$11,#REF!&lt;= table!$D$11),-1,IF(AND(#REF!&gt;=table!$E$11,#REF!&lt;=table!$F$11),1,0))</f>
        <v>#REF!</v>
      </c>
      <c r="W4002" s="5" t="e">
        <f>CONCATENATE(dados[[#This Row],[fator1]],dados[[#This Row],[fator5]],dados[[#This Row],[fator6]])</f>
        <v>#REF!</v>
      </c>
    </row>
    <row r="4003" spans="1:23">
      <c r="A4003" t="s">
        <v>16</v>
      </c>
      <c r="B4003">
        <v>589071</v>
      </c>
      <c r="C4003">
        <v>9</v>
      </c>
      <c r="D4003">
        <v>40</v>
      </c>
      <c r="E4003">
        <v>46</v>
      </c>
      <c r="F4003">
        <v>15</v>
      </c>
      <c r="G4003">
        <v>0</v>
      </c>
      <c r="H4003">
        <v>25</v>
      </c>
      <c r="I4003">
        <v>0</v>
      </c>
      <c r="J4003">
        <v>0</v>
      </c>
      <c r="K4003">
        <v>6.585</v>
      </c>
      <c r="L4003">
        <v>12.419500000000001</v>
      </c>
      <c r="M4003">
        <v>45.636500000000005</v>
      </c>
      <c r="N4003">
        <v>16.43</v>
      </c>
      <c r="O4003">
        <v>1668</v>
      </c>
      <c r="P4003">
        <v>539</v>
      </c>
      <c r="Q4003" s="5" t="e">
        <f>IF(AND(#REF!&gt;=table!$C$6,#REF!&lt;= table!$D$6),-1,IF(AND(#REF!&gt;=table!$E$6,#REF!&lt;=table!$F$6),1,0))</f>
        <v>#REF!</v>
      </c>
      <c r="R4003" s="5" t="e">
        <f>IF(AND(#REF!&gt;=table!$C$7,#REF!&lt;= table!$D$7),-1,IF(AND(#REF!&gt;=table!$E$7,#REF!&lt;=table!$F$7),1,0))</f>
        <v>#REF!</v>
      </c>
      <c r="S4003" s="5" t="e">
        <f>IF(AND(#REF!&gt;=table!$C$8,#REF!&lt;= table!$D$8),-1,IF(AND(#REF!&gt;=table!$E$8,#REF!&lt;=table!$F$8),1,0))</f>
        <v>#REF!</v>
      </c>
      <c r="T4003" s="5"/>
      <c r="U4003" s="5" t="e">
        <f>IF(AND(#REF!&gt;=table!$C$10,#REF!&lt;= table!$D$10),-1,IF(AND(#REF!&gt;=table!$E$10,#REF!&lt;=table!$F$10),1,0))</f>
        <v>#REF!</v>
      </c>
      <c r="V4003" s="5" t="e">
        <f>IF(AND(#REF!&gt;=table!$C$11,#REF!&lt;= table!$D$11),-1,IF(AND(#REF!&gt;=table!$E$11,#REF!&lt;=table!$F$11),1,0))</f>
        <v>#REF!</v>
      </c>
      <c r="W4003" s="5" t="e">
        <f>CONCATENATE(dados[[#This Row],[fator1]],dados[[#This Row],[fator5]],dados[[#This Row],[fator6]])</f>
        <v>#REF!</v>
      </c>
    </row>
    <row r="4004" spans="1:23">
      <c r="A4004" t="s">
        <v>16</v>
      </c>
      <c r="B4004">
        <v>589072</v>
      </c>
      <c r="C4004">
        <v>9</v>
      </c>
      <c r="D4004">
        <v>40</v>
      </c>
      <c r="E4004">
        <v>46</v>
      </c>
      <c r="F4004">
        <v>15</v>
      </c>
      <c r="G4004">
        <v>0</v>
      </c>
      <c r="H4004">
        <v>25</v>
      </c>
      <c r="I4004">
        <v>1337</v>
      </c>
      <c r="J4004">
        <v>0</v>
      </c>
      <c r="K4004">
        <v>3.3275000000000001</v>
      </c>
      <c r="L4004">
        <v>9.173</v>
      </c>
      <c r="M4004">
        <v>39.338000000000001</v>
      </c>
      <c r="N4004">
        <v>11.56</v>
      </c>
      <c r="O4004">
        <v>1667</v>
      </c>
      <c r="P4004">
        <v>600</v>
      </c>
      <c r="Q4004" s="5" t="e">
        <f>IF(AND(#REF!&gt;=table!$C$6,#REF!&lt;= table!$D$6),-1,IF(AND(#REF!&gt;=table!$E$6,#REF!&lt;=table!$F$6),1,0))</f>
        <v>#REF!</v>
      </c>
      <c r="R4004" s="5" t="e">
        <f>IF(AND(#REF!&gt;=table!$C$7,#REF!&lt;= table!$D$7),-1,IF(AND(#REF!&gt;=table!$E$7,#REF!&lt;=table!$F$7),1,0))</f>
        <v>#REF!</v>
      </c>
      <c r="S4004" s="5" t="e">
        <f>IF(AND(#REF!&gt;=table!$C$8,#REF!&lt;= table!$D$8),-1,IF(AND(#REF!&gt;=table!$E$8,#REF!&lt;=table!$F$8),1,0))</f>
        <v>#REF!</v>
      </c>
      <c r="T4004" s="5"/>
      <c r="U4004" s="5" t="e">
        <f>IF(AND(#REF!&gt;=table!$C$10,#REF!&lt;= table!$D$10),-1,IF(AND(#REF!&gt;=table!$E$10,#REF!&lt;=table!$F$10),1,0))</f>
        <v>#REF!</v>
      </c>
      <c r="V4004" s="5" t="e">
        <f>IF(AND(#REF!&gt;=table!$C$11,#REF!&lt;= table!$D$11),-1,IF(AND(#REF!&gt;=table!$E$11,#REF!&lt;=table!$F$11),1,0))</f>
        <v>#REF!</v>
      </c>
      <c r="W4004" s="5" t="e">
        <f>CONCATENATE(dados[[#This Row],[fator1]],dados[[#This Row],[fator5]],dados[[#This Row],[fator6]])</f>
        <v>#REF!</v>
      </c>
    </row>
    <row r="4005" spans="1:23">
      <c r="A4005" t="s">
        <v>16</v>
      </c>
      <c r="B4005">
        <v>589073</v>
      </c>
      <c r="C4005">
        <v>12</v>
      </c>
      <c r="D4005">
        <v>40</v>
      </c>
      <c r="E4005">
        <v>36</v>
      </c>
      <c r="F4005">
        <v>9</v>
      </c>
      <c r="G4005">
        <v>0</v>
      </c>
      <c r="H4005">
        <v>25</v>
      </c>
      <c r="I4005">
        <v>1409</v>
      </c>
      <c r="J4005">
        <v>0</v>
      </c>
      <c r="K4005">
        <v>3.2280000000000002</v>
      </c>
      <c r="L4005">
        <v>10.612</v>
      </c>
      <c r="M4005">
        <v>42.414999999999999</v>
      </c>
      <c r="N4005">
        <v>14.68</v>
      </c>
      <c r="O4005">
        <v>1686</v>
      </c>
      <c r="P4005">
        <v>931</v>
      </c>
      <c r="Q4005" s="5" t="e">
        <f>IF(AND(#REF!&gt;=table!$C$6,#REF!&lt;= table!$D$6),-1,IF(AND(#REF!&gt;=table!$E$6,#REF!&lt;=table!$F$6),1,0))</f>
        <v>#REF!</v>
      </c>
      <c r="R4005" s="5" t="e">
        <f>IF(AND(#REF!&gt;=table!$C$7,#REF!&lt;= table!$D$7),-1,IF(AND(#REF!&gt;=table!$E$7,#REF!&lt;=table!$F$7),1,0))</f>
        <v>#REF!</v>
      </c>
      <c r="S4005" s="5" t="e">
        <f>IF(AND(#REF!&gt;=table!$C$8,#REF!&lt;= table!$D$8),-1,IF(AND(#REF!&gt;=table!$E$8,#REF!&lt;=table!$F$8),1,0))</f>
        <v>#REF!</v>
      </c>
      <c r="T4005" s="5"/>
      <c r="U4005" s="5" t="e">
        <f>IF(AND(#REF!&gt;=table!$C$10,#REF!&lt;= table!$D$10),-1,IF(AND(#REF!&gt;=table!$E$10,#REF!&lt;=table!$F$10),1,0))</f>
        <v>#REF!</v>
      </c>
      <c r="V4005" s="5" t="e">
        <f>IF(AND(#REF!&gt;=table!$C$11,#REF!&lt;= table!$D$11),-1,IF(AND(#REF!&gt;=table!$E$11,#REF!&lt;=table!$F$11),1,0))</f>
        <v>#REF!</v>
      </c>
      <c r="W4005" s="5" t="e">
        <f>CONCATENATE(dados[[#This Row],[fator1]],dados[[#This Row],[fator5]],dados[[#This Row],[fator6]])</f>
        <v>#REF!</v>
      </c>
    </row>
    <row r="4006" spans="1:23">
      <c r="A4006" t="s">
        <v>17</v>
      </c>
      <c r="B4006">
        <v>589075</v>
      </c>
      <c r="C4006">
        <v>7</v>
      </c>
      <c r="D4006">
        <v>20</v>
      </c>
      <c r="E4006">
        <v>120</v>
      </c>
      <c r="F4006">
        <v>4</v>
      </c>
      <c r="G4006">
        <v>105</v>
      </c>
      <c r="H4006">
        <v>25</v>
      </c>
      <c r="I4006">
        <v>1427</v>
      </c>
      <c r="J4006">
        <v>0</v>
      </c>
      <c r="K4006">
        <v>5.5895000000000001</v>
      </c>
      <c r="L4006">
        <v>10.723000000000001</v>
      </c>
      <c r="M4006">
        <v>95.119</v>
      </c>
      <c r="N4006">
        <v>14.18</v>
      </c>
      <c r="O4006">
        <v>1696</v>
      </c>
      <c r="P4006">
        <v>569</v>
      </c>
      <c r="Q4006" s="5" t="e">
        <f>IF(AND(#REF!&gt;=table!$C$6,#REF!&lt;= table!$D$6),-1,IF(AND(#REF!&gt;=table!$E$6,#REF!&lt;=table!$F$6),1,0))</f>
        <v>#REF!</v>
      </c>
      <c r="R4006" s="5" t="e">
        <f>IF(AND(#REF!&gt;=table!$C$7,#REF!&lt;= table!$D$7),-1,IF(AND(#REF!&gt;=table!$E$7,#REF!&lt;=table!$F$7),1,0))</f>
        <v>#REF!</v>
      </c>
      <c r="S4006" s="5" t="e">
        <f>IF(AND(#REF!&gt;=table!$C$8,#REF!&lt;= table!$D$8),-1,IF(AND(#REF!&gt;=table!$E$8,#REF!&lt;=table!$F$8),1,0))</f>
        <v>#REF!</v>
      </c>
      <c r="T4006" s="5"/>
      <c r="U4006" s="5" t="e">
        <f>IF(AND(#REF!&gt;=table!$C$10,#REF!&lt;= table!$D$10),-1,IF(AND(#REF!&gt;=table!$E$10,#REF!&lt;=table!$F$10),1,0))</f>
        <v>#REF!</v>
      </c>
      <c r="V4006" s="5" t="e">
        <f>IF(AND(#REF!&gt;=table!$C$11,#REF!&lt;= table!$D$11),-1,IF(AND(#REF!&gt;=table!$E$11,#REF!&lt;=table!$F$11),1,0))</f>
        <v>#REF!</v>
      </c>
      <c r="W4006" s="5" t="e">
        <f>CONCATENATE(dados[[#This Row],[fator1]],dados[[#This Row],[fator5]],dados[[#This Row],[fator6]])</f>
        <v>#REF!</v>
      </c>
    </row>
    <row r="4007" spans="1:23">
      <c r="A4007" t="s">
        <v>17</v>
      </c>
      <c r="B4007">
        <v>589076</v>
      </c>
      <c r="C4007">
        <v>6</v>
      </c>
      <c r="D4007">
        <v>30</v>
      </c>
      <c r="E4007">
        <v>110</v>
      </c>
      <c r="F4007">
        <v>10</v>
      </c>
      <c r="G4007">
        <v>21</v>
      </c>
      <c r="H4007">
        <v>25</v>
      </c>
      <c r="I4007">
        <v>621</v>
      </c>
      <c r="J4007">
        <v>0</v>
      </c>
      <c r="K4007">
        <v>3.415</v>
      </c>
      <c r="L4007">
        <v>6.8029999999999999</v>
      </c>
      <c r="M4007">
        <v>92.182500000000005</v>
      </c>
      <c r="N4007">
        <v>11.005000000000001</v>
      </c>
      <c r="O4007">
        <v>1663</v>
      </c>
      <c r="P4007">
        <v>676</v>
      </c>
      <c r="Q4007" s="5" t="e">
        <f>IF(AND(#REF!&gt;=table!$C$6,#REF!&lt;= table!$D$6),-1,IF(AND(#REF!&gt;=table!$E$6,#REF!&lt;=table!$F$6),1,0))</f>
        <v>#REF!</v>
      </c>
      <c r="R4007" s="5" t="e">
        <f>IF(AND(#REF!&gt;=table!$C$7,#REF!&lt;= table!$D$7),-1,IF(AND(#REF!&gt;=table!$E$7,#REF!&lt;=table!$F$7),1,0))</f>
        <v>#REF!</v>
      </c>
      <c r="S4007" s="5" t="e">
        <f>IF(AND(#REF!&gt;=table!$C$8,#REF!&lt;= table!$D$8),-1,IF(AND(#REF!&gt;=table!$E$8,#REF!&lt;=table!$F$8),1,0))</f>
        <v>#REF!</v>
      </c>
      <c r="T4007" s="5"/>
      <c r="U4007" s="5" t="e">
        <f>IF(AND(#REF!&gt;=table!$C$10,#REF!&lt;= table!$D$10),-1,IF(AND(#REF!&gt;=table!$E$10,#REF!&lt;=table!$F$10),1,0))</f>
        <v>#REF!</v>
      </c>
      <c r="V4007" s="5" t="e">
        <f>IF(AND(#REF!&gt;=table!$C$11,#REF!&lt;= table!$D$11),-1,IF(AND(#REF!&gt;=table!$E$11,#REF!&lt;=table!$F$11),1,0))</f>
        <v>#REF!</v>
      </c>
      <c r="W4007" s="5" t="e">
        <f>CONCATENATE(dados[[#This Row],[fator1]],dados[[#This Row],[fator5]],dados[[#This Row],[fator6]])</f>
        <v>#REF!</v>
      </c>
    </row>
    <row r="4008" spans="1:23">
      <c r="A4008" t="s">
        <v>17</v>
      </c>
      <c r="B4008">
        <v>589077</v>
      </c>
      <c r="C4008">
        <v>6</v>
      </c>
      <c r="D4008">
        <v>30</v>
      </c>
      <c r="E4008">
        <v>110</v>
      </c>
      <c r="F4008">
        <v>10</v>
      </c>
      <c r="G4008">
        <v>21</v>
      </c>
      <c r="H4008">
        <v>25</v>
      </c>
      <c r="I4008">
        <v>144</v>
      </c>
      <c r="J4008">
        <v>0</v>
      </c>
      <c r="K4008">
        <v>3.5905</v>
      </c>
      <c r="L4008">
        <v>5.9735000000000005</v>
      </c>
      <c r="M4008">
        <v>104.3105</v>
      </c>
      <c r="N4008">
        <v>11.265000000000001</v>
      </c>
      <c r="O4008">
        <v>1666</v>
      </c>
      <c r="P4008">
        <v>0</v>
      </c>
      <c r="Q4008" s="5" t="e">
        <f>IF(AND(#REF!&gt;=table!$C$6,#REF!&lt;= table!$D$6),-1,IF(AND(#REF!&gt;=table!$E$6,#REF!&lt;=table!$F$6),1,0))</f>
        <v>#REF!</v>
      </c>
      <c r="R4008" s="5" t="e">
        <f>IF(AND(#REF!&gt;=table!$C$7,#REF!&lt;= table!$D$7),-1,IF(AND(#REF!&gt;=table!$E$7,#REF!&lt;=table!$F$7),1,0))</f>
        <v>#REF!</v>
      </c>
      <c r="S4008" s="5" t="e">
        <f>IF(AND(#REF!&gt;=table!$C$8,#REF!&lt;= table!$D$8),-1,IF(AND(#REF!&gt;=table!$E$8,#REF!&lt;=table!$F$8),1,0))</f>
        <v>#REF!</v>
      </c>
      <c r="T4008" s="5"/>
      <c r="U4008" s="5" t="e">
        <f>IF(AND(#REF!&gt;=table!$C$10,#REF!&lt;= table!$D$10),-1,IF(AND(#REF!&gt;=table!$E$10,#REF!&lt;=table!$F$10),1,0))</f>
        <v>#REF!</v>
      </c>
      <c r="V4008" s="5" t="e">
        <f>IF(AND(#REF!&gt;=table!$C$11,#REF!&lt;= table!$D$11),-1,IF(AND(#REF!&gt;=table!$E$11,#REF!&lt;=table!$F$11),1,0))</f>
        <v>#REF!</v>
      </c>
      <c r="W4008" s="5" t="e">
        <f>CONCATENATE(dados[[#This Row],[fator1]],dados[[#This Row],[fator5]],dados[[#This Row],[fator6]])</f>
        <v>#REF!</v>
      </c>
    </row>
    <row r="4009" spans="1:23">
      <c r="A4009" t="s">
        <v>17</v>
      </c>
      <c r="B4009">
        <v>589079</v>
      </c>
      <c r="C4009">
        <v>15</v>
      </c>
      <c r="D4009">
        <v>25</v>
      </c>
      <c r="E4009">
        <v>70</v>
      </c>
      <c r="F4009">
        <v>6</v>
      </c>
      <c r="G4009">
        <v>13</v>
      </c>
      <c r="H4009">
        <v>25</v>
      </c>
      <c r="I4009">
        <v>631</v>
      </c>
      <c r="J4009">
        <v>0</v>
      </c>
      <c r="K4009">
        <v>4.391</v>
      </c>
      <c r="L4009">
        <v>9.3905000000000012</v>
      </c>
      <c r="M4009">
        <v>58.717000000000006</v>
      </c>
      <c r="N4009">
        <v>12.8</v>
      </c>
      <c r="O4009">
        <v>1648</v>
      </c>
      <c r="P4009">
        <v>0</v>
      </c>
      <c r="Q4009" s="5" t="e">
        <f>IF(AND(#REF!&gt;=table!$C$6,#REF!&lt;= table!$D$6),-1,IF(AND(#REF!&gt;=table!$E$6,#REF!&lt;=table!$F$6),1,0))</f>
        <v>#REF!</v>
      </c>
      <c r="R4009" s="5" t="e">
        <f>IF(AND(#REF!&gt;=table!$C$7,#REF!&lt;= table!$D$7),-1,IF(AND(#REF!&gt;=table!$E$7,#REF!&lt;=table!$F$7),1,0))</f>
        <v>#REF!</v>
      </c>
      <c r="S4009" s="5" t="e">
        <f>IF(AND(#REF!&gt;=table!$C$8,#REF!&lt;= table!$D$8),-1,IF(AND(#REF!&gt;=table!$E$8,#REF!&lt;=table!$F$8),1,0))</f>
        <v>#REF!</v>
      </c>
      <c r="T4009" s="5"/>
      <c r="U4009" s="5" t="e">
        <f>IF(AND(#REF!&gt;=table!$C$10,#REF!&lt;= table!$D$10),-1,IF(AND(#REF!&gt;=table!$E$10,#REF!&lt;=table!$F$10),1,0))</f>
        <v>#REF!</v>
      </c>
      <c r="V4009" s="5" t="e">
        <f>IF(AND(#REF!&gt;=table!$C$11,#REF!&lt;= table!$D$11),-1,IF(AND(#REF!&gt;=table!$E$11,#REF!&lt;=table!$F$11),1,0))</f>
        <v>#REF!</v>
      </c>
      <c r="W4009" s="5" t="e">
        <f>CONCATENATE(dados[[#This Row],[fator1]],dados[[#This Row],[fator5]],dados[[#This Row],[fator6]])</f>
        <v>#REF!</v>
      </c>
    </row>
    <row r="4010" spans="1:23">
      <c r="A4010" t="s">
        <v>16</v>
      </c>
      <c r="B4010">
        <v>589080</v>
      </c>
      <c r="C4010">
        <v>9</v>
      </c>
      <c r="D4010">
        <v>35</v>
      </c>
      <c r="E4010">
        <v>36</v>
      </c>
      <c r="F4010">
        <v>9</v>
      </c>
      <c r="G4010">
        <v>0</v>
      </c>
      <c r="H4010">
        <v>25</v>
      </c>
      <c r="I4010">
        <v>688</v>
      </c>
      <c r="J4010">
        <v>0</v>
      </c>
      <c r="K4010">
        <v>6.3365</v>
      </c>
      <c r="L4010">
        <v>12.9085</v>
      </c>
      <c r="M4010">
        <v>34.063000000000002</v>
      </c>
      <c r="N4010">
        <v>17.010000000000002</v>
      </c>
      <c r="O4010">
        <v>1673</v>
      </c>
      <c r="P4010">
        <v>3492</v>
      </c>
      <c r="Q4010" s="5" t="e">
        <f>IF(AND(#REF!&gt;=table!$C$6,#REF!&lt;= table!$D$6),-1,IF(AND(#REF!&gt;=table!$E$6,#REF!&lt;=table!$F$6),1,0))</f>
        <v>#REF!</v>
      </c>
      <c r="R4010" s="5" t="e">
        <f>IF(AND(#REF!&gt;=table!$C$7,#REF!&lt;= table!$D$7),-1,IF(AND(#REF!&gt;=table!$E$7,#REF!&lt;=table!$F$7),1,0))</f>
        <v>#REF!</v>
      </c>
      <c r="S4010" s="5" t="e">
        <f>IF(AND(#REF!&gt;=table!$C$8,#REF!&lt;= table!$D$8),-1,IF(AND(#REF!&gt;=table!$E$8,#REF!&lt;=table!$F$8),1,0))</f>
        <v>#REF!</v>
      </c>
      <c r="T4010" s="5"/>
      <c r="U4010" s="5" t="e">
        <f>IF(AND(#REF!&gt;=table!$C$10,#REF!&lt;= table!$D$10),-1,IF(AND(#REF!&gt;=table!$E$10,#REF!&lt;=table!$F$10),1,0))</f>
        <v>#REF!</v>
      </c>
      <c r="V4010" s="5" t="e">
        <f>IF(AND(#REF!&gt;=table!$C$11,#REF!&lt;= table!$D$11),-1,IF(AND(#REF!&gt;=table!$E$11,#REF!&lt;=table!$F$11),1,0))</f>
        <v>#REF!</v>
      </c>
      <c r="W4010" s="5" t="e">
        <f>CONCATENATE(dados[[#This Row],[fator1]],dados[[#This Row],[fator5]],dados[[#This Row],[fator6]])</f>
        <v>#REF!</v>
      </c>
    </row>
    <row r="4011" spans="1:23">
      <c r="A4011" t="s">
        <v>16</v>
      </c>
      <c r="B4011">
        <v>589081</v>
      </c>
      <c r="C4011">
        <v>12</v>
      </c>
      <c r="D4011">
        <v>40</v>
      </c>
      <c r="E4011">
        <v>36</v>
      </c>
      <c r="F4011">
        <v>9</v>
      </c>
      <c r="G4011">
        <v>0</v>
      </c>
      <c r="H4011">
        <v>25</v>
      </c>
      <c r="I4011">
        <v>18</v>
      </c>
      <c r="J4011">
        <v>870</v>
      </c>
      <c r="K4011">
        <v>5.3345000000000002</v>
      </c>
      <c r="L4011">
        <v>12.236000000000001</v>
      </c>
      <c r="M4011">
        <v>28.169500000000003</v>
      </c>
      <c r="N4011">
        <v>16.065000000000001</v>
      </c>
      <c r="O4011">
        <v>1655</v>
      </c>
      <c r="P4011">
        <v>0</v>
      </c>
      <c r="Q4011" s="5" t="e">
        <f>IF(AND(#REF!&gt;=table!$C$6,#REF!&lt;= table!$D$6),-1,IF(AND(#REF!&gt;=table!$E$6,#REF!&lt;=table!$F$6),1,0))</f>
        <v>#REF!</v>
      </c>
      <c r="R4011" s="5" t="e">
        <f>IF(AND(#REF!&gt;=table!$C$7,#REF!&lt;= table!$D$7),-1,IF(AND(#REF!&gt;=table!$E$7,#REF!&lt;=table!$F$7),1,0))</f>
        <v>#REF!</v>
      </c>
      <c r="S4011" s="5" t="e">
        <f>IF(AND(#REF!&gt;=table!$C$8,#REF!&lt;= table!$D$8),-1,IF(AND(#REF!&gt;=table!$E$8,#REF!&lt;=table!$F$8),1,0))</f>
        <v>#REF!</v>
      </c>
      <c r="T4011" s="5"/>
      <c r="U4011" s="5" t="e">
        <f>IF(AND(#REF!&gt;=table!$C$10,#REF!&lt;= table!$D$10),-1,IF(AND(#REF!&gt;=table!$E$10,#REF!&lt;=table!$F$10),1,0))</f>
        <v>#REF!</v>
      </c>
      <c r="V4011" s="5" t="e">
        <f>IF(AND(#REF!&gt;=table!$C$11,#REF!&lt;= table!$D$11),-1,IF(AND(#REF!&gt;=table!$E$11,#REF!&lt;=table!$F$11),1,0))</f>
        <v>#REF!</v>
      </c>
      <c r="W4011" s="5" t="e">
        <f>CONCATENATE(dados[[#This Row],[fator1]],dados[[#This Row],[fator5]],dados[[#This Row],[fator6]])</f>
        <v>#REF!</v>
      </c>
    </row>
    <row r="4012" spans="1:23">
      <c r="A4012" t="s">
        <v>17</v>
      </c>
      <c r="B4012">
        <v>589082</v>
      </c>
      <c r="C4012">
        <v>14</v>
      </c>
      <c r="D4012">
        <v>30</v>
      </c>
      <c r="E4012">
        <v>110</v>
      </c>
      <c r="F4012">
        <v>3</v>
      </c>
      <c r="G4012">
        <v>20</v>
      </c>
      <c r="H4012">
        <v>22</v>
      </c>
      <c r="I4012">
        <v>582</v>
      </c>
      <c r="J4012">
        <v>830</v>
      </c>
      <c r="K4012">
        <v>4.774</v>
      </c>
      <c r="L4012">
        <v>6.2290000000000001</v>
      </c>
      <c r="M4012">
        <v>94.677500000000009</v>
      </c>
      <c r="N4012">
        <v>10.63</v>
      </c>
      <c r="O4012">
        <v>1648</v>
      </c>
      <c r="P4012">
        <v>0</v>
      </c>
      <c r="Q4012" s="5" t="e">
        <f>IF(AND(#REF!&gt;=table!$C$6,#REF!&lt;= table!$D$6),-1,IF(AND(#REF!&gt;=table!$E$6,#REF!&lt;=table!$F$6),1,0))</f>
        <v>#REF!</v>
      </c>
      <c r="R4012" s="5" t="e">
        <f>IF(AND(#REF!&gt;=table!$C$7,#REF!&lt;= table!$D$7),-1,IF(AND(#REF!&gt;=table!$E$7,#REF!&lt;=table!$F$7),1,0))</f>
        <v>#REF!</v>
      </c>
      <c r="S4012" s="5" t="e">
        <f>IF(AND(#REF!&gt;=table!$C$8,#REF!&lt;= table!$D$8),-1,IF(AND(#REF!&gt;=table!$E$8,#REF!&lt;=table!$F$8),1,0))</f>
        <v>#REF!</v>
      </c>
      <c r="T4012" s="5"/>
      <c r="U4012" s="5" t="e">
        <f>IF(AND(#REF!&gt;=table!$C$10,#REF!&lt;= table!$D$10),-1,IF(AND(#REF!&gt;=table!$E$10,#REF!&lt;=table!$F$10),1,0))</f>
        <v>#REF!</v>
      </c>
      <c r="V4012" s="5" t="e">
        <f>IF(AND(#REF!&gt;=table!$C$11,#REF!&lt;= table!$D$11),-1,IF(AND(#REF!&gt;=table!$E$11,#REF!&lt;=table!$F$11),1,0))</f>
        <v>#REF!</v>
      </c>
      <c r="W4012" s="5" t="e">
        <f>CONCATENATE(dados[[#This Row],[fator1]],dados[[#This Row],[fator5]],dados[[#This Row],[fator6]])</f>
        <v>#REF!</v>
      </c>
    </row>
    <row r="4013" spans="1:23">
      <c r="A4013" t="s">
        <v>16</v>
      </c>
      <c r="B4013">
        <v>589083</v>
      </c>
      <c r="C4013">
        <v>12</v>
      </c>
      <c r="D4013">
        <v>40</v>
      </c>
      <c r="E4013">
        <v>36</v>
      </c>
      <c r="F4013">
        <v>9</v>
      </c>
      <c r="G4013">
        <v>0</v>
      </c>
      <c r="H4013">
        <v>25</v>
      </c>
      <c r="I4013">
        <v>2</v>
      </c>
      <c r="J4013">
        <v>0</v>
      </c>
      <c r="K4013">
        <v>6.2805</v>
      </c>
      <c r="L4013">
        <v>15.871500000000001</v>
      </c>
      <c r="M4013">
        <v>30.445</v>
      </c>
      <c r="N4013">
        <v>17.925000000000001</v>
      </c>
      <c r="O4013">
        <v>1655</v>
      </c>
      <c r="P4013">
        <v>0</v>
      </c>
      <c r="Q4013" s="5" t="e">
        <f>IF(AND(#REF!&gt;=table!$C$6,#REF!&lt;= table!$D$6),-1,IF(AND(#REF!&gt;=table!$E$6,#REF!&lt;=table!$F$6),1,0))</f>
        <v>#REF!</v>
      </c>
      <c r="R4013" s="5" t="e">
        <f>IF(AND(#REF!&gt;=table!$C$7,#REF!&lt;= table!$D$7),-1,IF(AND(#REF!&gt;=table!$E$7,#REF!&lt;=table!$F$7),1,0))</f>
        <v>#REF!</v>
      </c>
      <c r="S4013" s="5" t="e">
        <f>IF(AND(#REF!&gt;=table!$C$8,#REF!&lt;= table!$D$8),-1,IF(AND(#REF!&gt;=table!$E$8,#REF!&lt;=table!$F$8),1,0))</f>
        <v>#REF!</v>
      </c>
      <c r="T4013" s="5"/>
      <c r="U4013" s="5" t="e">
        <f>IF(AND(#REF!&gt;=table!$C$10,#REF!&lt;= table!$D$10),-1,IF(AND(#REF!&gt;=table!$E$10,#REF!&lt;=table!$F$10),1,0))</f>
        <v>#REF!</v>
      </c>
      <c r="V4013" s="5" t="e">
        <f>IF(AND(#REF!&gt;=table!$C$11,#REF!&lt;= table!$D$11),-1,IF(AND(#REF!&gt;=table!$E$11,#REF!&lt;=table!$F$11),1,0))</f>
        <v>#REF!</v>
      </c>
      <c r="W4013" s="5" t="e">
        <f>CONCATENATE(dados[[#This Row],[fator1]],dados[[#This Row],[fator5]],dados[[#This Row],[fator6]])</f>
        <v>#REF!</v>
      </c>
    </row>
    <row r="4014" spans="1:23">
      <c r="A4014" t="s">
        <v>16</v>
      </c>
      <c r="B4014">
        <v>589084</v>
      </c>
      <c r="C4014">
        <v>12</v>
      </c>
      <c r="D4014">
        <v>40</v>
      </c>
      <c r="E4014">
        <v>36</v>
      </c>
      <c r="F4014">
        <v>9</v>
      </c>
      <c r="G4014">
        <v>0</v>
      </c>
      <c r="H4014">
        <v>25</v>
      </c>
      <c r="I4014">
        <v>69</v>
      </c>
      <c r="J4014">
        <v>0</v>
      </c>
      <c r="K4014">
        <v>5.4915000000000003</v>
      </c>
      <c r="L4014">
        <v>11.483000000000001</v>
      </c>
      <c r="M4014">
        <v>34.787500000000001</v>
      </c>
      <c r="N4014">
        <v>18.995000000000001</v>
      </c>
      <c r="O4014">
        <v>1682</v>
      </c>
      <c r="P4014">
        <v>0</v>
      </c>
      <c r="Q4014" s="5" t="e">
        <f>IF(AND(#REF!&gt;=table!$C$6,#REF!&lt;= table!$D$6),-1,IF(AND(#REF!&gt;=table!$E$6,#REF!&lt;=table!$F$6),1,0))</f>
        <v>#REF!</v>
      </c>
      <c r="R4014" s="5" t="e">
        <f>IF(AND(#REF!&gt;=table!$C$7,#REF!&lt;= table!$D$7),-1,IF(AND(#REF!&gt;=table!$E$7,#REF!&lt;=table!$F$7),1,0))</f>
        <v>#REF!</v>
      </c>
      <c r="S4014" s="5" t="e">
        <f>IF(AND(#REF!&gt;=table!$C$8,#REF!&lt;= table!$D$8),-1,IF(AND(#REF!&gt;=table!$E$8,#REF!&lt;=table!$F$8),1,0))</f>
        <v>#REF!</v>
      </c>
      <c r="T4014" s="5"/>
      <c r="U4014" s="5" t="e">
        <f>IF(AND(#REF!&gt;=table!$C$10,#REF!&lt;= table!$D$10),-1,IF(AND(#REF!&gt;=table!$E$10,#REF!&lt;=table!$F$10),1,0))</f>
        <v>#REF!</v>
      </c>
      <c r="V4014" s="5" t="e">
        <f>IF(AND(#REF!&gt;=table!$C$11,#REF!&lt;= table!$D$11),-1,IF(AND(#REF!&gt;=table!$E$11,#REF!&lt;=table!$F$11),1,0))</f>
        <v>#REF!</v>
      </c>
      <c r="W4014" s="5" t="e">
        <f>CONCATENATE(dados[[#This Row],[fator1]],dados[[#This Row],[fator5]],dados[[#This Row],[fator6]])</f>
        <v>#REF!</v>
      </c>
    </row>
    <row r="4015" spans="1:23">
      <c r="A4015" t="s">
        <v>16</v>
      </c>
      <c r="B4015">
        <v>589085</v>
      </c>
      <c r="C4015">
        <v>12</v>
      </c>
      <c r="D4015">
        <v>40</v>
      </c>
      <c r="E4015">
        <v>36</v>
      </c>
      <c r="F4015">
        <v>9</v>
      </c>
      <c r="G4015">
        <v>0</v>
      </c>
      <c r="H4015">
        <v>25</v>
      </c>
      <c r="I4015">
        <v>0</v>
      </c>
      <c r="J4015">
        <v>0</v>
      </c>
      <c r="K4015">
        <v>4.8770000000000007</v>
      </c>
      <c r="L4015">
        <v>11.109500000000001</v>
      </c>
      <c r="M4015">
        <v>36.801000000000002</v>
      </c>
      <c r="N4015">
        <v>22.195</v>
      </c>
      <c r="O4015">
        <v>1656</v>
      </c>
      <c r="P4015">
        <v>642</v>
      </c>
      <c r="Q4015" s="5" t="e">
        <f>IF(AND(#REF!&gt;=table!$C$6,#REF!&lt;= table!$D$6),-1,IF(AND(#REF!&gt;=table!$E$6,#REF!&lt;=table!$F$6),1,0))</f>
        <v>#REF!</v>
      </c>
      <c r="R4015" s="5" t="e">
        <f>IF(AND(#REF!&gt;=table!$C$7,#REF!&lt;= table!$D$7),-1,IF(AND(#REF!&gt;=table!$E$7,#REF!&lt;=table!$F$7),1,0))</f>
        <v>#REF!</v>
      </c>
      <c r="S4015" s="5" t="e">
        <f>IF(AND(#REF!&gt;=table!$C$8,#REF!&lt;= table!$D$8),-1,IF(AND(#REF!&gt;=table!$E$8,#REF!&lt;=table!$F$8),1,0))</f>
        <v>#REF!</v>
      </c>
      <c r="T4015" s="5"/>
      <c r="U4015" s="5" t="e">
        <f>IF(AND(#REF!&gt;=table!$C$10,#REF!&lt;= table!$D$10),-1,IF(AND(#REF!&gt;=table!$E$10,#REF!&lt;=table!$F$10),1,0))</f>
        <v>#REF!</v>
      </c>
      <c r="V4015" s="5" t="e">
        <f>IF(AND(#REF!&gt;=table!$C$11,#REF!&lt;= table!$D$11),-1,IF(AND(#REF!&gt;=table!$E$11,#REF!&lt;=table!$F$11),1,0))</f>
        <v>#REF!</v>
      </c>
      <c r="W4015" s="5" t="e">
        <f>CONCATENATE(dados[[#This Row],[fator1]],dados[[#This Row],[fator5]],dados[[#This Row],[fator6]])</f>
        <v>#REF!</v>
      </c>
    </row>
    <row r="4016" spans="1:23">
      <c r="A4016" t="s">
        <v>16</v>
      </c>
      <c r="B4016">
        <v>589086</v>
      </c>
      <c r="C4016">
        <v>11</v>
      </c>
      <c r="D4016">
        <v>40</v>
      </c>
      <c r="E4016">
        <v>40</v>
      </c>
      <c r="F4016">
        <v>9</v>
      </c>
      <c r="G4016">
        <v>0</v>
      </c>
      <c r="H4016">
        <v>25</v>
      </c>
      <c r="I4016">
        <v>954</v>
      </c>
      <c r="J4016">
        <v>0</v>
      </c>
      <c r="K4016">
        <v>7.5965000000000007</v>
      </c>
      <c r="L4016">
        <v>10.229000000000001</v>
      </c>
      <c r="M4016">
        <v>34.609000000000002</v>
      </c>
      <c r="N4016">
        <v>12.725000000000001</v>
      </c>
      <c r="O4016">
        <v>1665</v>
      </c>
      <c r="P4016">
        <v>428</v>
      </c>
      <c r="Q4016" s="5" t="e">
        <f>IF(AND(#REF!&gt;=table!$C$6,#REF!&lt;= table!$D$6),-1,IF(AND(#REF!&gt;=table!$E$6,#REF!&lt;=table!$F$6),1,0))</f>
        <v>#REF!</v>
      </c>
      <c r="R4016" s="5" t="e">
        <f>IF(AND(#REF!&gt;=table!$C$7,#REF!&lt;= table!$D$7),-1,IF(AND(#REF!&gt;=table!$E$7,#REF!&lt;=table!$F$7),1,0))</f>
        <v>#REF!</v>
      </c>
      <c r="S4016" s="5" t="e">
        <f>IF(AND(#REF!&gt;=table!$C$8,#REF!&lt;= table!$D$8),-1,IF(AND(#REF!&gt;=table!$E$8,#REF!&lt;=table!$F$8),1,0))</f>
        <v>#REF!</v>
      </c>
      <c r="T4016" s="5"/>
      <c r="U4016" s="5" t="e">
        <f>IF(AND(#REF!&gt;=table!$C$10,#REF!&lt;= table!$D$10),-1,IF(AND(#REF!&gt;=table!$E$10,#REF!&lt;=table!$F$10),1,0))</f>
        <v>#REF!</v>
      </c>
      <c r="V4016" s="5" t="e">
        <f>IF(AND(#REF!&gt;=table!$C$11,#REF!&lt;= table!$D$11),-1,IF(AND(#REF!&gt;=table!$E$11,#REF!&lt;=table!$F$11),1,0))</f>
        <v>#REF!</v>
      </c>
      <c r="W4016" s="5" t="e">
        <f>CONCATENATE(dados[[#This Row],[fator1]],dados[[#This Row],[fator5]],dados[[#This Row],[fator6]])</f>
        <v>#REF!</v>
      </c>
    </row>
    <row r="4017" spans="1:23">
      <c r="A4017" t="s">
        <v>16</v>
      </c>
      <c r="B4017">
        <v>589087</v>
      </c>
      <c r="C4017">
        <v>9</v>
      </c>
      <c r="D4017">
        <v>35</v>
      </c>
      <c r="E4017">
        <v>36</v>
      </c>
      <c r="F4017">
        <v>9</v>
      </c>
      <c r="G4017">
        <v>0</v>
      </c>
      <c r="H4017">
        <v>25</v>
      </c>
      <c r="I4017">
        <v>242</v>
      </c>
      <c r="J4017">
        <v>0</v>
      </c>
      <c r="K4017">
        <v>5.3955000000000002</v>
      </c>
      <c r="L4017">
        <v>11.147500000000001</v>
      </c>
      <c r="M4017">
        <v>24.91</v>
      </c>
      <c r="N4017">
        <v>13.06</v>
      </c>
      <c r="O4017">
        <v>1669</v>
      </c>
      <c r="P4017">
        <v>513</v>
      </c>
      <c r="Q4017" s="5" t="e">
        <f>IF(AND(#REF!&gt;=table!$C$6,#REF!&lt;= table!$D$6),-1,IF(AND(#REF!&gt;=table!$E$6,#REF!&lt;=table!$F$6),1,0))</f>
        <v>#REF!</v>
      </c>
      <c r="R4017" s="5" t="e">
        <f>IF(AND(#REF!&gt;=table!$C$7,#REF!&lt;= table!$D$7),-1,IF(AND(#REF!&gt;=table!$E$7,#REF!&lt;=table!$F$7),1,0))</f>
        <v>#REF!</v>
      </c>
      <c r="S4017" s="5" t="e">
        <f>IF(AND(#REF!&gt;=table!$C$8,#REF!&lt;= table!$D$8),-1,IF(AND(#REF!&gt;=table!$E$8,#REF!&lt;=table!$F$8),1,0))</f>
        <v>#REF!</v>
      </c>
      <c r="T4017" s="5"/>
      <c r="U4017" s="5" t="e">
        <f>IF(AND(#REF!&gt;=table!$C$10,#REF!&lt;= table!$D$10),-1,IF(AND(#REF!&gt;=table!$E$10,#REF!&lt;=table!$F$10),1,0))</f>
        <v>#REF!</v>
      </c>
      <c r="V4017" s="5" t="e">
        <f>IF(AND(#REF!&gt;=table!$C$11,#REF!&lt;= table!$D$11),-1,IF(AND(#REF!&gt;=table!$E$11,#REF!&lt;=table!$F$11),1,0))</f>
        <v>#REF!</v>
      </c>
      <c r="W4017" s="5" t="e">
        <f>CONCATENATE(dados[[#This Row],[fator1]],dados[[#This Row],[fator5]],dados[[#This Row],[fator6]])</f>
        <v>#REF!</v>
      </c>
    </row>
    <row r="4018" spans="1:23">
      <c r="A4018" t="s">
        <v>16</v>
      </c>
      <c r="B4018">
        <v>589088</v>
      </c>
      <c r="C4018">
        <v>9</v>
      </c>
      <c r="D4018">
        <v>35</v>
      </c>
      <c r="E4018">
        <v>36</v>
      </c>
      <c r="F4018">
        <v>9</v>
      </c>
      <c r="G4018">
        <v>0</v>
      </c>
      <c r="H4018">
        <v>25</v>
      </c>
      <c r="I4018">
        <v>1102</v>
      </c>
      <c r="J4018">
        <v>0</v>
      </c>
      <c r="K4018">
        <v>5.7955000000000005</v>
      </c>
      <c r="L4018">
        <v>10.863000000000001</v>
      </c>
      <c r="M4018">
        <v>30.138500000000001</v>
      </c>
      <c r="N4018">
        <v>16.025000000000002</v>
      </c>
      <c r="O4018">
        <v>1665</v>
      </c>
      <c r="P4018">
        <v>519</v>
      </c>
      <c r="Q4018" s="5" t="e">
        <f>IF(AND(#REF!&gt;=table!$C$6,#REF!&lt;= table!$D$6),-1,IF(AND(#REF!&gt;=table!$E$6,#REF!&lt;=table!$F$6),1,0))</f>
        <v>#REF!</v>
      </c>
      <c r="R4018" s="5" t="e">
        <f>IF(AND(#REF!&gt;=table!$C$7,#REF!&lt;= table!$D$7),-1,IF(AND(#REF!&gt;=table!$E$7,#REF!&lt;=table!$F$7),1,0))</f>
        <v>#REF!</v>
      </c>
      <c r="S4018" s="5" t="e">
        <f>IF(AND(#REF!&gt;=table!$C$8,#REF!&lt;= table!$D$8),-1,IF(AND(#REF!&gt;=table!$E$8,#REF!&lt;=table!$F$8),1,0))</f>
        <v>#REF!</v>
      </c>
      <c r="T4018" s="5"/>
      <c r="U4018" s="5" t="e">
        <f>IF(AND(#REF!&gt;=table!$C$10,#REF!&lt;= table!$D$10),-1,IF(AND(#REF!&gt;=table!$E$10,#REF!&lt;=table!$F$10),1,0))</f>
        <v>#REF!</v>
      </c>
      <c r="V4018" s="5" t="e">
        <f>IF(AND(#REF!&gt;=table!$C$11,#REF!&lt;= table!$D$11),-1,IF(AND(#REF!&gt;=table!$E$11,#REF!&lt;=table!$F$11),1,0))</f>
        <v>#REF!</v>
      </c>
      <c r="W4018" s="5" t="e">
        <f>CONCATENATE(dados[[#This Row],[fator1]],dados[[#This Row],[fator5]],dados[[#This Row],[fator6]])</f>
        <v>#REF!</v>
      </c>
    </row>
    <row r="4019" spans="1:23">
      <c r="A4019" t="s">
        <v>16</v>
      </c>
      <c r="B4019">
        <v>589090</v>
      </c>
      <c r="C4019">
        <v>9</v>
      </c>
      <c r="D4019">
        <v>40</v>
      </c>
      <c r="E4019">
        <v>46</v>
      </c>
      <c r="F4019">
        <v>15</v>
      </c>
      <c r="G4019">
        <v>0</v>
      </c>
      <c r="H4019">
        <v>25</v>
      </c>
      <c r="I4019">
        <v>839</v>
      </c>
      <c r="J4019">
        <v>0</v>
      </c>
      <c r="K4019">
        <v>6.9325000000000001</v>
      </c>
      <c r="L4019">
        <v>11.606</v>
      </c>
      <c r="M4019">
        <v>46.353500000000004</v>
      </c>
      <c r="N4019">
        <v>14.495000000000001</v>
      </c>
      <c r="O4019">
        <v>1664</v>
      </c>
      <c r="P4019">
        <v>438</v>
      </c>
      <c r="Q4019" s="5" t="e">
        <f>IF(AND(#REF!&gt;=table!$C$6,#REF!&lt;= table!$D$6),-1,IF(AND(#REF!&gt;=table!$E$6,#REF!&lt;=table!$F$6),1,0))</f>
        <v>#REF!</v>
      </c>
      <c r="R4019" s="5" t="e">
        <f>IF(AND(#REF!&gt;=table!$C$7,#REF!&lt;= table!$D$7),-1,IF(AND(#REF!&gt;=table!$E$7,#REF!&lt;=table!$F$7),1,0))</f>
        <v>#REF!</v>
      </c>
      <c r="S4019" s="5" t="e">
        <f>IF(AND(#REF!&gt;=table!$C$8,#REF!&lt;= table!$D$8),-1,IF(AND(#REF!&gt;=table!$E$8,#REF!&lt;=table!$F$8),1,0))</f>
        <v>#REF!</v>
      </c>
      <c r="T4019" s="5"/>
      <c r="U4019" s="5" t="e">
        <f>IF(AND(#REF!&gt;=table!$C$10,#REF!&lt;= table!$D$10),-1,IF(AND(#REF!&gt;=table!$E$10,#REF!&lt;=table!$F$10),1,0))</f>
        <v>#REF!</v>
      </c>
      <c r="V4019" s="5" t="e">
        <f>IF(AND(#REF!&gt;=table!$C$11,#REF!&lt;= table!$D$11),-1,IF(AND(#REF!&gt;=table!$E$11,#REF!&lt;=table!$F$11),1,0))</f>
        <v>#REF!</v>
      </c>
      <c r="W4019" s="5" t="e">
        <f>CONCATENATE(dados[[#This Row],[fator1]],dados[[#This Row],[fator5]],dados[[#This Row],[fator6]])</f>
        <v>#REF!</v>
      </c>
    </row>
    <row r="4020" spans="1:23">
      <c r="A4020" t="s">
        <v>16</v>
      </c>
      <c r="B4020">
        <v>589091</v>
      </c>
      <c r="C4020">
        <v>9</v>
      </c>
      <c r="D4020">
        <v>40</v>
      </c>
      <c r="E4020">
        <v>46</v>
      </c>
      <c r="F4020">
        <v>15</v>
      </c>
      <c r="G4020">
        <v>0</v>
      </c>
      <c r="H4020">
        <v>25</v>
      </c>
      <c r="I4020">
        <v>1082</v>
      </c>
      <c r="J4020">
        <v>590</v>
      </c>
      <c r="K4020">
        <v>8.343</v>
      </c>
      <c r="L4020">
        <v>10.6175</v>
      </c>
      <c r="M4020">
        <v>28.976000000000003</v>
      </c>
      <c r="N4020">
        <v>10.07</v>
      </c>
      <c r="O4020">
        <v>1645</v>
      </c>
      <c r="P4020">
        <v>355</v>
      </c>
      <c r="Q4020" s="5" t="e">
        <f>IF(AND(#REF!&gt;=table!$C$6,#REF!&lt;= table!$D$6),-1,IF(AND(#REF!&gt;=table!$E$6,#REF!&lt;=table!$F$6),1,0))</f>
        <v>#REF!</v>
      </c>
      <c r="R4020" s="5" t="e">
        <f>IF(AND(#REF!&gt;=table!$C$7,#REF!&lt;= table!$D$7),-1,IF(AND(#REF!&gt;=table!$E$7,#REF!&lt;=table!$F$7),1,0))</f>
        <v>#REF!</v>
      </c>
      <c r="S4020" s="5" t="e">
        <f>IF(AND(#REF!&gt;=table!$C$8,#REF!&lt;= table!$D$8),-1,IF(AND(#REF!&gt;=table!$E$8,#REF!&lt;=table!$F$8),1,0))</f>
        <v>#REF!</v>
      </c>
      <c r="T4020" s="5"/>
      <c r="U4020" s="5" t="e">
        <f>IF(AND(#REF!&gt;=table!$C$10,#REF!&lt;= table!$D$10),-1,IF(AND(#REF!&gt;=table!$E$10,#REF!&lt;=table!$F$10),1,0))</f>
        <v>#REF!</v>
      </c>
      <c r="V4020" s="5" t="e">
        <f>IF(AND(#REF!&gt;=table!$C$11,#REF!&lt;= table!$D$11),-1,IF(AND(#REF!&gt;=table!$E$11,#REF!&lt;=table!$F$11),1,0))</f>
        <v>#REF!</v>
      </c>
      <c r="W4020" s="5" t="e">
        <f>CONCATENATE(dados[[#This Row],[fator1]],dados[[#This Row],[fator5]],dados[[#This Row],[fator6]])</f>
        <v>#REF!</v>
      </c>
    </row>
    <row r="4021" spans="1:23">
      <c r="A4021" t="s">
        <v>16</v>
      </c>
      <c r="B4021">
        <v>589096</v>
      </c>
      <c r="C4021">
        <v>0.15</v>
      </c>
      <c r="D4021">
        <v>40</v>
      </c>
      <c r="E4021">
        <v>10</v>
      </c>
      <c r="F4021">
        <v>15</v>
      </c>
      <c r="G4021">
        <v>0</v>
      </c>
      <c r="H4021">
        <v>15</v>
      </c>
      <c r="I4021">
        <v>754</v>
      </c>
      <c r="J4021">
        <v>0</v>
      </c>
      <c r="K4021">
        <v>3.6890000000000001</v>
      </c>
      <c r="L4021">
        <v>8.634500000000001</v>
      </c>
      <c r="M4021">
        <v>7.1475</v>
      </c>
      <c r="N4021">
        <v>10.865</v>
      </c>
      <c r="O4021">
        <v>1652</v>
      </c>
      <c r="P4021">
        <v>758</v>
      </c>
      <c r="Q4021" s="5" t="e">
        <f>IF(AND(#REF!&gt;=table!$C$6,#REF!&lt;= table!$D$6),-1,IF(AND(#REF!&gt;=table!$E$6,#REF!&lt;=table!$F$6),1,0))</f>
        <v>#REF!</v>
      </c>
      <c r="R4021" s="5" t="e">
        <f>IF(AND(#REF!&gt;=table!$C$7,#REF!&lt;= table!$D$7),-1,IF(AND(#REF!&gt;=table!$E$7,#REF!&lt;=table!$F$7),1,0))</f>
        <v>#REF!</v>
      </c>
      <c r="S4021" s="5" t="e">
        <f>IF(AND(#REF!&gt;=table!$C$8,#REF!&lt;= table!$D$8),-1,IF(AND(#REF!&gt;=table!$E$8,#REF!&lt;=table!$F$8),1,0))</f>
        <v>#REF!</v>
      </c>
      <c r="T4021" s="5"/>
      <c r="U4021" s="5" t="e">
        <f>IF(AND(#REF!&gt;=table!$C$10,#REF!&lt;= table!$D$10),-1,IF(AND(#REF!&gt;=table!$E$10,#REF!&lt;=table!$F$10),1,0))</f>
        <v>#REF!</v>
      </c>
      <c r="V4021" s="5" t="e">
        <f>IF(AND(#REF!&gt;=table!$C$11,#REF!&lt;= table!$D$11),-1,IF(AND(#REF!&gt;=table!$E$11,#REF!&lt;=table!$F$11),1,0))</f>
        <v>#REF!</v>
      </c>
      <c r="W4021" s="5" t="e">
        <f>CONCATENATE(dados[[#This Row],[fator1]],dados[[#This Row],[fator5]],dados[[#This Row],[fator6]])</f>
        <v>#REF!</v>
      </c>
    </row>
    <row r="4022" spans="1:23">
      <c r="A4022" t="s">
        <v>17</v>
      </c>
      <c r="B4022">
        <v>589100</v>
      </c>
      <c r="C4022">
        <v>14</v>
      </c>
      <c r="D4022">
        <v>30</v>
      </c>
      <c r="E4022">
        <v>66</v>
      </c>
      <c r="F4022">
        <v>9</v>
      </c>
      <c r="G4022">
        <v>20</v>
      </c>
      <c r="H4022">
        <v>25</v>
      </c>
      <c r="I4022">
        <v>0</v>
      </c>
      <c r="J4022">
        <v>0</v>
      </c>
      <c r="K4022">
        <v>3.4515000000000002</v>
      </c>
      <c r="L4022">
        <v>11.9985</v>
      </c>
      <c r="M4022">
        <v>68.703500000000005</v>
      </c>
      <c r="N4022">
        <v>21.855</v>
      </c>
      <c r="O4022">
        <v>1671</v>
      </c>
      <c r="P4022">
        <v>850</v>
      </c>
      <c r="Q4022" s="5" t="e">
        <f>IF(AND(#REF!&gt;=table!$C$6,#REF!&lt;= table!$D$6),-1,IF(AND(#REF!&gt;=table!$E$6,#REF!&lt;=table!$F$6),1,0))</f>
        <v>#REF!</v>
      </c>
      <c r="R4022" s="5" t="e">
        <f>IF(AND(#REF!&gt;=table!$C$7,#REF!&lt;= table!$D$7),-1,IF(AND(#REF!&gt;=table!$E$7,#REF!&lt;=table!$F$7),1,0))</f>
        <v>#REF!</v>
      </c>
      <c r="S4022" s="5" t="e">
        <f>IF(AND(#REF!&gt;=table!$C$8,#REF!&lt;= table!$D$8),-1,IF(AND(#REF!&gt;=table!$E$8,#REF!&lt;=table!$F$8),1,0))</f>
        <v>#REF!</v>
      </c>
      <c r="T4022" s="5"/>
      <c r="U4022" s="5" t="e">
        <f>IF(AND(#REF!&gt;=table!$C$10,#REF!&lt;= table!$D$10),-1,IF(AND(#REF!&gt;=table!$E$10,#REF!&lt;=table!$F$10),1,0))</f>
        <v>#REF!</v>
      </c>
      <c r="V4022" s="5" t="e">
        <f>IF(AND(#REF!&gt;=table!$C$11,#REF!&lt;= table!$D$11),-1,IF(AND(#REF!&gt;=table!$E$11,#REF!&lt;=table!$F$11),1,0))</f>
        <v>#REF!</v>
      </c>
      <c r="W4022" s="5" t="e">
        <f>CONCATENATE(dados[[#This Row],[fator1]],dados[[#This Row],[fator5]],dados[[#This Row],[fator6]])</f>
        <v>#REF!</v>
      </c>
    </row>
    <row r="4023" spans="1:23">
      <c r="A4023" t="s">
        <v>17</v>
      </c>
      <c r="B4023">
        <v>589101</v>
      </c>
      <c r="C4023">
        <v>16</v>
      </c>
      <c r="D4023">
        <v>23</v>
      </c>
      <c r="E4023">
        <v>145</v>
      </c>
      <c r="F4023">
        <v>6</v>
      </c>
      <c r="G4023">
        <v>30</v>
      </c>
      <c r="H4023">
        <v>25</v>
      </c>
      <c r="I4023">
        <v>105</v>
      </c>
      <c r="J4023">
        <v>0</v>
      </c>
      <c r="K4023">
        <v>3.8280000000000003</v>
      </c>
      <c r="L4023">
        <v>6.5185000000000004</v>
      </c>
      <c r="M4023">
        <v>143.887</v>
      </c>
      <c r="N4023">
        <v>18.170000000000002</v>
      </c>
      <c r="O4023">
        <v>1634</v>
      </c>
      <c r="P4023">
        <v>649</v>
      </c>
      <c r="Q4023" s="5" t="e">
        <f>IF(AND(#REF!&gt;=table!$C$6,#REF!&lt;= table!$D$6),-1,IF(AND(#REF!&gt;=table!$E$6,#REF!&lt;=table!$F$6),1,0))</f>
        <v>#REF!</v>
      </c>
      <c r="R4023" s="5" t="e">
        <f>IF(AND(#REF!&gt;=table!$C$7,#REF!&lt;= table!$D$7),-1,IF(AND(#REF!&gt;=table!$E$7,#REF!&lt;=table!$F$7),1,0))</f>
        <v>#REF!</v>
      </c>
      <c r="S4023" s="5" t="e">
        <f>IF(AND(#REF!&gt;=table!$C$8,#REF!&lt;= table!$D$8),-1,IF(AND(#REF!&gt;=table!$E$8,#REF!&lt;=table!$F$8),1,0))</f>
        <v>#REF!</v>
      </c>
      <c r="T4023" s="5"/>
      <c r="U4023" s="5" t="e">
        <f>IF(AND(#REF!&gt;=table!$C$10,#REF!&lt;= table!$D$10),-1,IF(AND(#REF!&gt;=table!$E$10,#REF!&lt;=table!$F$10),1,0))</f>
        <v>#REF!</v>
      </c>
      <c r="V4023" s="5" t="e">
        <f>IF(AND(#REF!&gt;=table!$C$11,#REF!&lt;= table!$D$11),-1,IF(AND(#REF!&gt;=table!$E$11,#REF!&lt;=table!$F$11),1,0))</f>
        <v>#REF!</v>
      </c>
      <c r="W4023" s="5" t="e">
        <f>CONCATENATE(dados[[#This Row],[fator1]],dados[[#This Row],[fator5]],dados[[#This Row],[fator6]])</f>
        <v>#REF!</v>
      </c>
    </row>
    <row r="4024" spans="1:23">
      <c r="A4024" t="s">
        <v>17</v>
      </c>
      <c r="B4024">
        <v>589102</v>
      </c>
      <c r="C4024">
        <v>16</v>
      </c>
      <c r="D4024">
        <v>23</v>
      </c>
      <c r="E4024">
        <v>145</v>
      </c>
      <c r="F4024">
        <v>9</v>
      </c>
      <c r="G4024">
        <v>30</v>
      </c>
      <c r="H4024">
        <v>25</v>
      </c>
      <c r="I4024">
        <v>850</v>
      </c>
      <c r="J4024">
        <v>0</v>
      </c>
      <c r="K4024">
        <v>5.4390000000000001</v>
      </c>
      <c r="L4024">
        <v>7.3505000000000003</v>
      </c>
      <c r="M4024">
        <v>113.357</v>
      </c>
      <c r="N4024">
        <v>8.86</v>
      </c>
      <c r="O4024">
        <v>1622</v>
      </c>
      <c r="P4024">
        <v>494</v>
      </c>
      <c r="Q4024" s="5" t="e">
        <f>IF(AND(#REF!&gt;=table!$C$6,#REF!&lt;= table!$D$6),-1,IF(AND(#REF!&gt;=table!$E$6,#REF!&lt;=table!$F$6),1,0))</f>
        <v>#REF!</v>
      </c>
      <c r="R4024" s="5" t="e">
        <f>IF(AND(#REF!&gt;=table!$C$7,#REF!&lt;= table!$D$7),-1,IF(AND(#REF!&gt;=table!$E$7,#REF!&lt;=table!$F$7),1,0))</f>
        <v>#REF!</v>
      </c>
      <c r="S4024" s="5" t="e">
        <f>IF(AND(#REF!&gt;=table!$C$8,#REF!&lt;= table!$D$8),-1,IF(AND(#REF!&gt;=table!$E$8,#REF!&lt;=table!$F$8),1,0))</f>
        <v>#REF!</v>
      </c>
      <c r="T4024" s="5"/>
      <c r="U4024" s="5" t="e">
        <f>IF(AND(#REF!&gt;=table!$C$10,#REF!&lt;= table!$D$10),-1,IF(AND(#REF!&gt;=table!$E$10,#REF!&lt;=table!$F$10),1,0))</f>
        <v>#REF!</v>
      </c>
      <c r="V4024" s="5" t="e">
        <f>IF(AND(#REF!&gt;=table!$C$11,#REF!&lt;= table!$D$11),-1,IF(AND(#REF!&gt;=table!$E$11,#REF!&lt;=table!$F$11),1,0))</f>
        <v>#REF!</v>
      </c>
      <c r="W4024" s="5" t="e">
        <f>CONCATENATE(dados[[#This Row],[fator1]],dados[[#This Row],[fator5]],dados[[#This Row],[fator6]])</f>
        <v>#REF!</v>
      </c>
    </row>
    <row r="4025" spans="1:23">
      <c r="A4025" t="s">
        <v>17</v>
      </c>
      <c r="B4025">
        <v>589106</v>
      </c>
      <c r="C4025">
        <v>15</v>
      </c>
      <c r="D4025">
        <v>35</v>
      </c>
      <c r="E4025">
        <v>220</v>
      </c>
      <c r="F4025">
        <v>6</v>
      </c>
      <c r="G4025">
        <v>45</v>
      </c>
      <c r="H4025">
        <v>25</v>
      </c>
      <c r="I4025">
        <v>802</v>
      </c>
      <c r="J4025">
        <v>0</v>
      </c>
      <c r="K4025">
        <v>2.0699999999999998</v>
      </c>
      <c r="L4025">
        <v>6.2970000000000006</v>
      </c>
      <c r="M4025">
        <v>171.905</v>
      </c>
      <c r="N4025">
        <v>17.074999999999999</v>
      </c>
      <c r="O4025">
        <v>1672</v>
      </c>
      <c r="P4025">
        <v>0</v>
      </c>
      <c r="Q4025" s="5" t="e">
        <f>IF(AND(#REF!&gt;=table!$C$6,#REF!&lt;= table!$D$6),-1,IF(AND(#REF!&gt;=table!$E$6,#REF!&lt;=table!$F$6),1,0))</f>
        <v>#REF!</v>
      </c>
      <c r="R4025" s="5" t="e">
        <f>IF(AND(#REF!&gt;=table!$C$7,#REF!&lt;= table!$D$7),-1,IF(AND(#REF!&gt;=table!$E$7,#REF!&lt;=table!$F$7),1,0))</f>
        <v>#REF!</v>
      </c>
      <c r="S4025" s="5" t="e">
        <f>IF(AND(#REF!&gt;=table!$C$8,#REF!&lt;= table!$D$8),-1,IF(AND(#REF!&gt;=table!$E$8,#REF!&lt;=table!$F$8),1,0))</f>
        <v>#REF!</v>
      </c>
      <c r="T4025" s="5"/>
      <c r="U4025" s="5" t="e">
        <f>IF(AND(#REF!&gt;=table!$C$10,#REF!&lt;= table!$D$10),-1,IF(AND(#REF!&gt;=table!$E$10,#REF!&lt;=table!$F$10),1,0))</f>
        <v>#REF!</v>
      </c>
      <c r="V4025" s="5" t="e">
        <f>IF(AND(#REF!&gt;=table!$C$11,#REF!&lt;= table!$D$11),-1,IF(AND(#REF!&gt;=table!$E$11,#REF!&lt;=table!$F$11),1,0))</f>
        <v>#REF!</v>
      </c>
      <c r="W4025" s="5" t="e">
        <f>CONCATENATE(dados[[#This Row],[fator1]],dados[[#This Row],[fator5]],dados[[#This Row],[fator6]])</f>
        <v>#REF!</v>
      </c>
    </row>
    <row r="4026" spans="1:23">
      <c r="A4026" t="s">
        <v>17</v>
      </c>
      <c r="B4026">
        <v>589108</v>
      </c>
      <c r="C4026">
        <v>10</v>
      </c>
      <c r="D4026">
        <v>25</v>
      </c>
      <c r="E4026">
        <v>156</v>
      </c>
      <c r="F4026">
        <v>8</v>
      </c>
      <c r="G4026">
        <v>20</v>
      </c>
      <c r="H4026">
        <v>25</v>
      </c>
      <c r="I4026">
        <v>6</v>
      </c>
      <c r="J4026">
        <v>0</v>
      </c>
      <c r="K4026">
        <v>2.504</v>
      </c>
      <c r="L4026">
        <v>8.6125000000000007</v>
      </c>
      <c r="M4026">
        <v>140.22750000000002</v>
      </c>
      <c r="N4026">
        <v>16.850000000000001</v>
      </c>
      <c r="O4026">
        <v>1715</v>
      </c>
      <c r="P4026">
        <v>1357</v>
      </c>
      <c r="Q4026" s="5" t="e">
        <f>IF(AND(#REF!&gt;=table!$C$6,#REF!&lt;= table!$D$6),-1,IF(AND(#REF!&gt;=table!$E$6,#REF!&lt;=table!$F$6),1,0))</f>
        <v>#REF!</v>
      </c>
      <c r="R4026" s="5" t="e">
        <f>IF(AND(#REF!&gt;=table!$C$7,#REF!&lt;= table!$D$7),-1,IF(AND(#REF!&gt;=table!$E$7,#REF!&lt;=table!$F$7),1,0))</f>
        <v>#REF!</v>
      </c>
      <c r="S4026" s="5" t="e">
        <f>IF(AND(#REF!&gt;=table!$C$8,#REF!&lt;= table!$D$8),-1,IF(AND(#REF!&gt;=table!$E$8,#REF!&lt;=table!$F$8),1,0))</f>
        <v>#REF!</v>
      </c>
      <c r="T4026" s="5"/>
      <c r="U4026" s="5" t="e">
        <f>IF(AND(#REF!&gt;=table!$C$10,#REF!&lt;= table!$D$10),-1,IF(AND(#REF!&gt;=table!$E$10,#REF!&lt;=table!$F$10),1,0))</f>
        <v>#REF!</v>
      </c>
      <c r="V4026" s="5" t="e">
        <f>IF(AND(#REF!&gt;=table!$C$11,#REF!&lt;= table!$D$11),-1,IF(AND(#REF!&gt;=table!$E$11,#REF!&lt;=table!$F$11),1,0))</f>
        <v>#REF!</v>
      </c>
      <c r="W4026" s="5" t="e">
        <f>CONCATENATE(dados[[#This Row],[fator1]],dados[[#This Row],[fator5]],dados[[#This Row],[fator6]])</f>
        <v>#REF!</v>
      </c>
    </row>
    <row r="4027" spans="1:23">
      <c r="A4027" t="s">
        <v>17</v>
      </c>
      <c r="B4027">
        <v>589111</v>
      </c>
      <c r="C4027">
        <v>10</v>
      </c>
      <c r="D4027">
        <v>25</v>
      </c>
      <c r="E4027">
        <v>156</v>
      </c>
      <c r="F4027">
        <v>8</v>
      </c>
      <c r="G4027">
        <v>20</v>
      </c>
      <c r="H4027">
        <v>25</v>
      </c>
      <c r="I4027">
        <v>6</v>
      </c>
      <c r="J4027">
        <v>830</v>
      </c>
      <c r="K4027">
        <v>2.4664999999999999</v>
      </c>
      <c r="L4027">
        <v>10.01</v>
      </c>
      <c r="M4027">
        <v>106.10350000000001</v>
      </c>
      <c r="N4027">
        <v>15.515000000000001</v>
      </c>
      <c r="O4027">
        <v>1683</v>
      </c>
      <c r="P4027">
        <v>924</v>
      </c>
      <c r="Q4027" s="5" t="e">
        <f>IF(AND(#REF!&gt;=table!$C$6,#REF!&lt;= table!$D$6),-1,IF(AND(#REF!&gt;=table!$E$6,#REF!&lt;=table!$F$6),1,0))</f>
        <v>#REF!</v>
      </c>
      <c r="R4027" s="5" t="e">
        <f>IF(AND(#REF!&gt;=table!$C$7,#REF!&lt;= table!$D$7),-1,IF(AND(#REF!&gt;=table!$E$7,#REF!&lt;=table!$F$7),1,0))</f>
        <v>#REF!</v>
      </c>
      <c r="S4027" s="5" t="e">
        <f>IF(AND(#REF!&gt;=table!$C$8,#REF!&lt;= table!$D$8),-1,IF(AND(#REF!&gt;=table!$E$8,#REF!&lt;=table!$F$8),1,0))</f>
        <v>#REF!</v>
      </c>
      <c r="T4027" s="5"/>
      <c r="U4027" s="5" t="e">
        <f>IF(AND(#REF!&gt;=table!$C$10,#REF!&lt;= table!$D$10),-1,IF(AND(#REF!&gt;=table!$E$10,#REF!&lt;=table!$F$10),1,0))</f>
        <v>#REF!</v>
      </c>
      <c r="V4027" s="5" t="e">
        <f>IF(AND(#REF!&gt;=table!$C$11,#REF!&lt;= table!$D$11),-1,IF(AND(#REF!&gt;=table!$E$11,#REF!&lt;=table!$F$11),1,0))</f>
        <v>#REF!</v>
      </c>
      <c r="W4027" s="5" t="e">
        <f>CONCATENATE(dados[[#This Row],[fator1]],dados[[#This Row],[fator5]],dados[[#This Row],[fator6]])</f>
        <v>#REF!</v>
      </c>
    </row>
    <row r="4028" spans="1:23">
      <c r="A4028" t="s">
        <v>17</v>
      </c>
      <c r="B4028">
        <v>589112</v>
      </c>
      <c r="C4028">
        <v>10</v>
      </c>
      <c r="D4028">
        <v>25</v>
      </c>
      <c r="E4028">
        <v>156</v>
      </c>
      <c r="F4028">
        <v>8</v>
      </c>
      <c r="G4028">
        <v>20</v>
      </c>
      <c r="H4028">
        <v>25</v>
      </c>
      <c r="I4028">
        <v>211</v>
      </c>
      <c r="J4028">
        <v>0</v>
      </c>
      <c r="K4028">
        <v>3.2475000000000001</v>
      </c>
      <c r="L4028">
        <v>9.1029999999999998</v>
      </c>
      <c r="M4028">
        <v>98.547000000000011</v>
      </c>
      <c r="N4028">
        <v>13.620000000000001</v>
      </c>
      <c r="O4028">
        <v>1672</v>
      </c>
      <c r="P4028">
        <v>0</v>
      </c>
      <c r="Q4028" s="5" t="e">
        <f>IF(AND(#REF!&gt;=table!$C$6,#REF!&lt;= table!$D$6),-1,IF(AND(#REF!&gt;=table!$E$6,#REF!&lt;=table!$F$6),1,0))</f>
        <v>#REF!</v>
      </c>
      <c r="R4028" s="5" t="e">
        <f>IF(AND(#REF!&gt;=table!$C$7,#REF!&lt;= table!$D$7),-1,IF(AND(#REF!&gt;=table!$E$7,#REF!&lt;=table!$F$7),1,0))</f>
        <v>#REF!</v>
      </c>
      <c r="S4028" s="5" t="e">
        <f>IF(AND(#REF!&gt;=table!$C$8,#REF!&lt;= table!$D$8),-1,IF(AND(#REF!&gt;=table!$E$8,#REF!&lt;=table!$F$8),1,0))</f>
        <v>#REF!</v>
      </c>
      <c r="T4028" s="5"/>
      <c r="U4028" s="5" t="e">
        <f>IF(AND(#REF!&gt;=table!$C$10,#REF!&lt;= table!$D$10),-1,IF(AND(#REF!&gt;=table!$E$10,#REF!&lt;=table!$F$10),1,0))</f>
        <v>#REF!</v>
      </c>
      <c r="V4028" s="5" t="e">
        <f>IF(AND(#REF!&gt;=table!$C$11,#REF!&lt;= table!$D$11),-1,IF(AND(#REF!&gt;=table!$E$11,#REF!&lt;=table!$F$11),1,0))</f>
        <v>#REF!</v>
      </c>
      <c r="W4028" s="5" t="e">
        <f>CONCATENATE(dados[[#This Row],[fator1]],dados[[#This Row],[fator5]],dados[[#This Row],[fator6]])</f>
        <v>#REF!</v>
      </c>
    </row>
    <row r="4029" spans="1:23">
      <c r="A4029" t="s">
        <v>16</v>
      </c>
      <c r="B4029">
        <v>589113</v>
      </c>
      <c r="C4029">
        <v>8</v>
      </c>
      <c r="D4029">
        <v>30</v>
      </c>
      <c r="E4029">
        <v>61</v>
      </c>
      <c r="F4029">
        <v>8</v>
      </c>
      <c r="G4029">
        <v>0</v>
      </c>
      <c r="H4029">
        <v>25</v>
      </c>
      <c r="I4029">
        <v>799</v>
      </c>
      <c r="J4029">
        <v>0</v>
      </c>
      <c r="K4029">
        <v>2.589</v>
      </c>
      <c r="L4029">
        <v>6.2004999999999999</v>
      </c>
      <c r="M4029">
        <v>51.628</v>
      </c>
      <c r="N4029">
        <v>9.8049999999999997</v>
      </c>
      <c r="O4029">
        <v>1668</v>
      </c>
      <c r="P4029">
        <v>873</v>
      </c>
      <c r="Q4029" s="5" t="e">
        <f>IF(AND(#REF!&gt;=table!$C$6,#REF!&lt;= table!$D$6),-1,IF(AND(#REF!&gt;=table!$E$6,#REF!&lt;=table!$F$6),1,0))</f>
        <v>#REF!</v>
      </c>
      <c r="R4029" s="5" t="e">
        <f>IF(AND(#REF!&gt;=table!$C$7,#REF!&lt;= table!$D$7),-1,IF(AND(#REF!&gt;=table!$E$7,#REF!&lt;=table!$F$7),1,0))</f>
        <v>#REF!</v>
      </c>
      <c r="S4029" s="5" t="e">
        <f>IF(AND(#REF!&gt;=table!$C$8,#REF!&lt;= table!$D$8),-1,IF(AND(#REF!&gt;=table!$E$8,#REF!&lt;=table!$F$8),1,0))</f>
        <v>#REF!</v>
      </c>
      <c r="T4029" s="5"/>
      <c r="U4029" s="5" t="e">
        <f>IF(AND(#REF!&gt;=table!$C$10,#REF!&lt;= table!$D$10),-1,IF(AND(#REF!&gt;=table!$E$10,#REF!&lt;=table!$F$10),1,0))</f>
        <v>#REF!</v>
      </c>
      <c r="V4029" s="5" t="e">
        <f>IF(AND(#REF!&gt;=table!$C$11,#REF!&lt;= table!$D$11),-1,IF(AND(#REF!&gt;=table!$E$11,#REF!&lt;=table!$F$11),1,0))</f>
        <v>#REF!</v>
      </c>
      <c r="W4029" s="5" t="e">
        <f>CONCATENATE(dados[[#This Row],[fator1]],dados[[#This Row],[fator5]],dados[[#This Row],[fator6]])</f>
        <v>#REF!</v>
      </c>
    </row>
    <row r="4030" spans="1:23">
      <c r="A4030" t="s">
        <v>16</v>
      </c>
      <c r="B4030">
        <v>589114</v>
      </c>
      <c r="C4030">
        <v>6</v>
      </c>
      <c r="D4030">
        <v>25</v>
      </c>
      <c r="E4030">
        <v>120</v>
      </c>
      <c r="F4030">
        <v>4</v>
      </c>
      <c r="G4030">
        <v>0</v>
      </c>
      <c r="H4030">
        <v>55</v>
      </c>
      <c r="I4030">
        <v>1196</v>
      </c>
      <c r="J4030">
        <v>0</v>
      </c>
      <c r="K4030">
        <v>1.7530000000000001</v>
      </c>
      <c r="L4030">
        <v>4.0830000000000002</v>
      </c>
      <c r="M4030">
        <v>90.264499999999998</v>
      </c>
      <c r="N4030">
        <v>15.735000000000001</v>
      </c>
      <c r="O4030">
        <v>1670</v>
      </c>
      <c r="P4030">
        <v>0</v>
      </c>
      <c r="Q4030" s="5" t="e">
        <f>IF(AND(#REF!&gt;=table!$C$6,#REF!&lt;= table!$D$6),-1,IF(AND(#REF!&gt;=table!$E$6,#REF!&lt;=table!$F$6),1,0))</f>
        <v>#REF!</v>
      </c>
      <c r="R4030" s="5" t="e">
        <f>IF(AND(#REF!&gt;=table!$C$7,#REF!&lt;= table!$D$7),-1,IF(AND(#REF!&gt;=table!$E$7,#REF!&lt;=table!$F$7),1,0))</f>
        <v>#REF!</v>
      </c>
      <c r="S4030" s="5" t="e">
        <f>IF(AND(#REF!&gt;=table!$C$8,#REF!&lt;= table!$D$8),-1,IF(AND(#REF!&gt;=table!$E$8,#REF!&lt;=table!$F$8),1,0))</f>
        <v>#REF!</v>
      </c>
      <c r="T4030" s="5"/>
      <c r="U4030" s="5" t="e">
        <f>IF(AND(#REF!&gt;=table!$C$10,#REF!&lt;= table!$D$10),-1,IF(AND(#REF!&gt;=table!$E$10,#REF!&lt;=table!$F$10),1,0))</f>
        <v>#REF!</v>
      </c>
      <c r="V4030" s="5" t="e">
        <f>IF(AND(#REF!&gt;=table!$C$11,#REF!&lt;= table!$D$11),-1,IF(AND(#REF!&gt;=table!$E$11,#REF!&lt;=table!$F$11),1,0))</f>
        <v>#REF!</v>
      </c>
      <c r="W4030" s="5" t="e">
        <f>CONCATENATE(dados[[#This Row],[fator1]],dados[[#This Row],[fator5]],dados[[#This Row],[fator6]])</f>
        <v>#REF!</v>
      </c>
    </row>
    <row r="4031" spans="1:23">
      <c r="A4031" t="s">
        <v>16</v>
      </c>
      <c r="B4031">
        <v>589115</v>
      </c>
      <c r="C4031">
        <v>6</v>
      </c>
      <c r="D4031">
        <v>40</v>
      </c>
      <c r="E4031">
        <v>66</v>
      </c>
      <c r="F4031">
        <v>10</v>
      </c>
      <c r="G4031">
        <v>0</v>
      </c>
      <c r="H4031">
        <v>25</v>
      </c>
      <c r="I4031">
        <v>0</v>
      </c>
      <c r="J4031">
        <v>0</v>
      </c>
      <c r="K4031">
        <v>2.944</v>
      </c>
      <c r="L4031">
        <v>11.449</v>
      </c>
      <c r="M4031">
        <v>55.119</v>
      </c>
      <c r="N4031">
        <v>11.805</v>
      </c>
      <c r="O4031">
        <v>1678</v>
      </c>
      <c r="P4031">
        <v>0</v>
      </c>
      <c r="Q4031" s="5" t="e">
        <f>IF(AND(#REF!&gt;=table!$C$6,#REF!&lt;= table!$D$6),-1,IF(AND(#REF!&gt;=table!$E$6,#REF!&lt;=table!$F$6),1,0))</f>
        <v>#REF!</v>
      </c>
      <c r="R4031" s="5" t="e">
        <f>IF(AND(#REF!&gt;=table!$C$7,#REF!&lt;= table!$D$7),-1,IF(AND(#REF!&gt;=table!$E$7,#REF!&lt;=table!$F$7),1,0))</f>
        <v>#REF!</v>
      </c>
      <c r="S4031" s="5" t="e">
        <f>IF(AND(#REF!&gt;=table!$C$8,#REF!&lt;= table!$D$8),-1,IF(AND(#REF!&gt;=table!$E$8,#REF!&lt;=table!$F$8),1,0))</f>
        <v>#REF!</v>
      </c>
      <c r="T4031" s="5"/>
      <c r="U4031" s="5" t="e">
        <f>IF(AND(#REF!&gt;=table!$C$10,#REF!&lt;= table!$D$10),-1,IF(AND(#REF!&gt;=table!$E$10,#REF!&lt;=table!$F$10),1,0))</f>
        <v>#REF!</v>
      </c>
      <c r="V4031" s="5" t="e">
        <f>IF(AND(#REF!&gt;=table!$C$11,#REF!&lt;= table!$D$11),-1,IF(AND(#REF!&gt;=table!$E$11,#REF!&lt;=table!$F$11),1,0))</f>
        <v>#REF!</v>
      </c>
      <c r="W4031" s="5" t="e">
        <f>CONCATENATE(dados[[#This Row],[fator1]],dados[[#This Row],[fator5]],dados[[#This Row],[fator6]])</f>
        <v>#REF!</v>
      </c>
    </row>
    <row r="4032" spans="1:23">
      <c r="A4032" t="s">
        <v>16</v>
      </c>
      <c r="B4032">
        <v>589119</v>
      </c>
      <c r="C4032">
        <v>8</v>
      </c>
      <c r="D4032">
        <v>30</v>
      </c>
      <c r="E4032">
        <v>65</v>
      </c>
      <c r="F4032">
        <v>9</v>
      </c>
      <c r="G4032">
        <v>0</v>
      </c>
      <c r="H4032">
        <v>25</v>
      </c>
      <c r="I4032">
        <v>700</v>
      </c>
      <c r="J4032">
        <v>0</v>
      </c>
      <c r="K4032">
        <v>4.1160000000000005</v>
      </c>
      <c r="L4032">
        <v>11.054500000000001</v>
      </c>
      <c r="M4032">
        <v>60.708000000000006</v>
      </c>
      <c r="N4032">
        <v>17.25</v>
      </c>
      <c r="O4032">
        <v>1671</v>
      </c>
      <c r="P4032">
        <v>0</v>
      </c>
      <c r="Q4032" s="5" t="e">
        <f>IF(AND(#REF!&gt;=table!$C$6,#REF!&lt;= table!$D$6),-1,IF(AND(#REF!&gt;=table!$E$6,#REF!&lt;=table!$F$6),1,0))</f>
        <v>#REF!</v>
      </c>
      <c r="R4032" s="5" t="e">
        <f>IF(AND(#REF!&gt;=table!$C$7,#REF!&lt;= table!$D$7),-1,IF(AND(#REF!&gt;=table!$E$7,#REF!&lt;=table!$F$7),1,0))</f>
        <v>#REF!</v>
      </c>
      <c r="S4032" s="5" t="e">
        <f>IF(AND(#REF!&gt;=table!$C$8,#REF!&lt;= table!$D$8),-1,IF(AND(#REF!&gt;=table!$E$8,#REF!&lt;=table!$F$8),1,0))</f>
        <v>#REF!</v>
      </c>
      <c r="T4032" s="5"/>
      <c r="U4032" s="5" t="e">
        <f>IF(AND(#REF!&gt;=table!$C$10,#REF!&lt;= table!$D$10),-1,IF(AND(#REF!&gt;=table!$E$10,#REF!&lt;=table!$F$10),1,0))</f>
        <v>#REF!</v>
      </c>
      <c r="V4032" s="5" t="e">
        <f>IF(AND(#REF!&gt;=table!$C$11,#REF!&lt;= table!$D$11),-1,IF(AND(#REF!&gt;=table!$E$11,#REF!&lt;=table!$F$11),1,0))</f>
        <v>#REF!</v>
      </c>
      <c r="W4032" s="5" t="e">
        <f>CONCATENATE(dados[[#This Row],[fator1]],dados[[#This Row],[fator5]],dados[[#This Row],[fator6]])</f>
        <v>#REF!</v>
      </c>
    </row>
    <row r="4033" spans="1:23">
      <c r="A4033" t="s">
        <v>16</v>
      </c>
      <c r="B4033">
        <v>589124</v>
      </c>
      <c r="C4033">
        <v>16</v>
      </c>
      <c r="D4033">
        <v>35</v>
      </c>
      <c r="E4033">
        <v>56</v>
      </c>
      <c r="F4033">
        <v>10</v>
      </c>
      <c r="G4033">
        <v>0</v>
      </c>
      <c r="H4033">
        <v>25</v>
      </c>
      <c r="I4033">
        <v>938</v>
      </c>
      <c r="J4033">
        <v>0</v>
      </c>
      <c r="K4033">
        <v>3.6990000000000003</v>
      </c>
      <c r="L4033">
        <v>10.666500000000001</v>
      </c>
      <c r="M4033">
        <v>45.06</v>
      </c>
      <c r="N4033">
        <v>16.580000000000002</v>
      </c>
      <c r="O4033">
        <v>1674</v>
      </c>
      <c r="P4033">
        <v>667</v>
      </c>
      <c r="Q4033" s="5" t="e">
        <f>IF(AND(#REF!&gt;=table!$C$6,#REF!&lt;= table!$D$6),-1,IF(AND(#REF!&gt;=table!$E$6,#REF!&lt;=table!$F$6),1,0))</f>
        <v>#REF!</v>
      </c>
      <c r="R4033" s="5" t="e">
        <f>IF(AND(#REF!&gt;=table!$C$7,#REF!&lt;= table!$D$7),-1,IF(AND(#REF!&gt;=table!$E$7,#REF!&lt;=table!$F$7),1,0))</f>
        <v>#REF!</v>
      </c>
      <c r="S4033" s="5" t="e">
        <f>IF(AND(#REF!&gt;=table!$C$8,#REF!&lt;= table!$D$8),-1,IF(AND(#REF!&gt;=table!$E$8,#REF!&lt;=table!$F$8),1,0))</f>
        <v>#REF!</v>
      </c>
      <c r="T4033" s="5"/>
      <c r="U4033" s="5" t="e">
        <f>IF(AND(#REF!&gt;=table!$C$10,#REF!&lt;= table!$D$10),-1,IF(AND(#REF!&gt;=table!$E$10,#REF!&lt;=table!$F$10),1,0))</f>
        <v>#REF!</v>
      </c>
      <c r="V4033" s="5" t="e">
        <f>IF(AND(#REF!&gt;=table!$C$11,#REF!&lt;= table!$D$11),-1,IF(AND(#REF!&gt;=table!$E$11,#REF!&lt;=table!$F$11),1,0))</f>
        <v>#REF!</v>
      </c>
      <c r="W4033" s="5" t="e">
        <f>CONCATENATE(dados[[#This Row],[fator1]],dados[[#This Row],[fator5]],dados[[#This Row],[fator6]])</f>
        <v>#REF!</v>
      </c>
    </row>
    <row r="4034" spans="1:23">
      <c r="A4034" t="s">
        <v>17</v>
      </c>
      <c r="B4034">
        <v>589125</v>
      </c>
      <c r="C4034">
        <v>45</v>
      </c>
      <c r="D4034">
        <v>30</v>
      </c>
      <c r="E4034">
        <v>126</v>
      </c>
      <c r="F4034">
        <v>9</v>
      </c>
      <c r="G4034">
        <v>23</v>
      </c>
      <c r="H4034">
        <v>22</v>
      </c>
      <c r="I4034">
        <v>6</v>
      </c>
      <c r="J4034">
        <v>780</v>
      </c>
      <c r="K4034">
        <v>2.9025000000000003</v>
      </c>
      <c r="L4034">
        <v>10.7475</v>
      </c>
      <c r="M4034">
        <v>60.827500000000001</v>
      </c>
      <c r="N4034">
        <v>12.1</v>
      </c>
      <c r="O4034">
        <v>1676</v>
      </c>
      <c r="P4034">
        <v>795</v>
      </c>
      <c r="Q4034" s="5" t="e">
        <f>IF(AND(#REF!&gt;=table!$C$6,#REF!&lt;= table!$D$6),-1,IF(AND(#REF!&gt;=table!$E$6,#REF!&lt;=table!$F$6),1,0))</f>
        <v>#REF!</v>
      </c>
      <c r="R4034" s="5" t="e">
        <f>IF(AND(#REF!&gt;=table!$C$7,#REF!&lt;= table!$D$7),-1,IF(AND(#REF!&gt;=table!$E$7,#REF!&lt;=table!$F$7),1,0))</f>
        <v>#REF!</v>
      </c>
      <c r="S4034" s="5" t="e">
        <f>IF(AND(#REF!&gt;=table!$C$8,#REF!&lt;= table!$D$8),-1,IF(AND(#REF!&gt;=table!$E$8,#REF!&lt;=table!$F$8),1,0))</f>
        <v>#REF!</v>
      </c>
      <c r="T4034" s="5"/>
      <c r="U4034" s="5" t="e">
        <f>IF(AND(#REF!&gt;=table!$C$10,#REF!&lt;= table!$D$10),-1,IF(AND(#REF!&gt;=table!$E$10,#REF!&lt;=table!$F$10),1,0))</f>
        <v>#REF!</v>
      </c>
      <c r="V4034" s="5" t="e">
        <f>IF(AND(#REF!&gt;=table!$C$11,#REF!&lt;= table!$D$11),-1,IF(AND(#REF!&gt;=table!$E$11,#REF!&lt;=table!$F$11),1,0))</f>
        <v>#REF!</v>
      </c>
      <c r="W4034" s="5" t="e">
        <f>CONCATENATE(dados[[#This Row],[fator1]],dados[[#This Row],[fator5]],dados[[#This Row],[fator6]])</f>
        <v>#REF!</v>
      </c>
    </row>
    <row r="4035" spans="1:23">
      <c r="A4035" t="s">
        <v>16</v>
      </c>
      <c r="B4035">
        <v>589126</v>
      </c>
      <c r="C4035">
        <v>16</v>
      </c>
      <c r="D4035">
        <v>35</v>
      </c>
      <c r="E4035">
        <v>36</v>
      </c>
      <c r="F4035">
        <v>10</v>
      </c>
      <c r="G4035">
        <v>0</v>
      </c>
      <c r="H4035">
        <v>25</v>
      </c>
      <c r="I4035">
        <v>0</v>
      </c>
      <c r="J4035">
        <v>0</v>
      </c>
      <c r="K4035">
        <v>4.4320000000000004</v>
      </c>
      <c r="L4035">
        <v>8.2085000000000008</v>
      </c>
      <c r="M4035">
        <v>23.592000000000002</v>
      </c>
      <c r="N4035">
        <v>13.425000000000001</v>
      </c>
      <c r="O4035">
        <v>1690</v>
      </c>
      <c r="P4035">
        <v>0</v>
      </c>
      <c r="Q4035" s="5" t="e">
        <f>IF(AND(#REF!&gt;=table!$C$6,#REF!&lt;= table!$D$6),-1,IF(AND(#REF!&gt;=table!$E$6,#REF!&lt;=table!$F$6),1,0))</f>
        <v>#REF!</v>
      </c>
      <c r="R4035" s="5" t="e">
        <f>IF(AND(#REF!&gt;=table!$C$7,#REF!&lt;= table!$D$7),-1,IF(AND(#REF!&gt;=table!$E$7,#REF!&lt;=table!$F$7),1,0))</f>
        <v>#REF!</v>
      </c>
      <c r="S4035" s="5" t="e">
        <f>IF(AND(#REF!&gt;=table!$C$8,#REF!&lt;= table!$D$8),-1,IF(AND(#REF!&gt;=table!$E$8,#REF!&lt;=table!$F$8),1,0))</f>
        <v>#REF!</v>
      </c>
      <c r="T4035" s="5"/>
      <c r="U4035" s="5" t="e">
        <f>IF(AND(#REF!&gt;=table!$C$10,#REF!&lt;= table!$D$10),-1,IF(AND(#REF!&gt;=table!$E$10,#REF!&lt;=table!$F$10),1,0))</f>
        <v>#REF!</v>
      </c>
      <c r="V4035" s="5" t="e">
        <f>IF(AND(#REF!&gt;=table!$C$11,#REF!&lt;= table!$D$11),-1,IF(AND(#REF!&gt;=table!$E$11,#REF!&lt;=table!$F$11),1,0))</f>
        <v>#REF!</v>
      </c>
      <c r="W4035" s="5" t="e">
        <f>CONCATENATE(dados[[#This Row],[fator1]],dados[[#This Row],[fator5]],dados[[#This Row],[fator6]])</f>
        <v>#REF!</v>
      </c>
    </row>
    <row r="4036" spans="1:23">
      <c r="A4036" t="s">
        <v>17</v>
      </c>
      <c r="B4036">
        <v>589131</v>
      </c>
      <c r="C4036">
        <v>14</v>
      </c>
      <c r="D4036">
        <v>30</v>
      </c>
      <c r="E4036">
        <v>86</v>
      </c>
      <c r="F4036">
        <v>4</v>
      </c>
      <c r="G4036">
        <v>20</v>
      </c>
      <c r="H4036">
        <v>25</v>
      </c>
      <c r="I4036">
        <v>0</v>
      </c>
      <c r="J4036">
        <v>0</v>
      </c>
      <c r="K4036">
        <v>3.9075000000000002</v>
      </c>
      <c r="L4036">
        <v>11.651</v>
      </c>
      <c r="M4036">
        <v>78.531000000000006</v>
      </c>
      <c r="N4036">
        <v>17.574999999999999</v>
      </c>
      <c r="O4036">
        <v>1671</v>
      </c>
      <c r="P4036">
        <v>808</v>
      </c>
      <c r="Q4036" s="5" t="e">
        <f>IF(AND(#REF!&gt;=table!$C$6,#REF!&lt;= table!$D$6),-1,IF(AND(#REF!&gt;=table!$E$6,#REF!&lt;=table!$F$6),1,0))</f>
        <v>#REF!</v>
      </c>
      <c r="R4036" s="5" t="e">
        <f>IF(AND(#REF!&gt;=table!$C$7,#REF!&lt;= table!$D$7),-1,IF(AND(#REF!&gt;=table!$E$7,#REF!&lt;=table!$F$7),1,0))</f>
        <v>#REF!</v>
      </c>
      <c r="S4036" s="5" t="e">
        <f>IF(AND(#REF!&gt;=table!$C$8,#REF!&lt;= table!$D$8),-1,IF(AND(#REF!&gt;=table!$E$8,#REF!&lt;=table!$F$8),1,0))</f>
        <v>#REF!</v>
      </c>
      <c r="T4036" s="5"/>
      <c r="U4036" s="5" t="e">
        <f>IF(AND(#REF!&gt;=table!$C$10,#REF!&lt;= table!$D$10),-1,IF(AND(#REF!&gt;=table!$E$10,#REF!&lt;=table!$F$10),1,0))</f>
        <v>#REF!</v>
      </c>
      <c r="V4036" s="5" t="e">
        <f>IF(AND(#REF!&gt;=table!$C$11,#REF!&lt;= table!$D$11),-1,IF(AND(#REF!&gt;=table!$E$11,#REF!&lt;=table!$F$11),1,0))</f>
        <v>#REF!</v>
      </c>
      <c r="W4036" s="5" t="e">
        <f>CONCATENATE(dados[[#This Row],[fator1]],dados[[#This Row],[fator5]],dados[[#This Row],[fator6]])</f>
        <v>#REF!</v>
      </c>
    </row>
    <row r="4037" spans="1:23">
      <c r="A4037" t="s">
        <v>17</v>
      </c>
      <c r="B4037">
        <v>589132</v>
      </c>
      <c r="C4037">
        <v>16</v>
      </c>
      <c r="D4037">
        <v>30</v>
      </c>
      <c r="E4037">
        <v>106</v>
      </c>
      <c r="F4037">
        <v>4</v>
      </c>
      <c r="G4037">
        <v>20</v>
      </c>
      <c r="H4037">
        <v>25</v>
      </c>
      <c r="I4037">
        <v>170</v>
      </c>
      <c r="J4037">
        <v>0</v>
      </c>
      <c r="K4037">
        <v>4.6059999999999999</v>
      </c>
      <c r="L4037">
        <v>12.851500000000001</v>
      </c>
      <c r="M4037">
        <v>91.629500000000007</v>
      </c>
      <c r="N4037">
        <v>16.21</v>
      </c>
      <c r="O4037">
        <v>1672</v>
      </c>
      <c r="P4037">
        <v>549</v>
      </c>
      <c r="Q4037" s="5" t="e">
        <f>IF(AND(#REF!&gt;=table!$C$6,#REF!&lt;= table!$D$6),-1,IF(AND(#REF!&gt;=table!$E$6,#REF!&lt;=table!$F$6),1,0))</f>
        <v>#REF!</v>
      </c>
      <c r="R4037" s="5" t="e">
        <f>IF(AND(#REF!&gt;=table!$C$7,#REF!&lt;= table!$D$7),-1,IF(AND(#REF!&gt;=table!$E$7,#REF!&lt;=table!$F$7),1,0))</f>
        <v>#REF!</v>
      </c>
      <c r="S4037" s="5" t="e">
        <f>IF(AND(#REF!&gt;=table!$C$8,#REF!&lt;= table!$D$8),-1,IF(AND(#REF!&gt;=table!$E$8,#REF!&lt;=table!$F$8),1,0))</f>
        <v>#REF!</v>
      </c>
      <c r="T4037" s="5"/>
      <c r="U4037" s="5" t="e">
        <f>IF(AND(#REF!&gt;=table!$C$10,#REF!&lt;= table!$D$10),-1,IF(AND(#REF!&gt;=table!$E$10,#REF!&lt;=table!$F$10),1,0))</f>
        <v>#REF!</v>
      </c>
      <c r="V4037" s="5" t="e">
        <f>IF(AND(#REF!&gt;=table!$C$11,#REF!&lt;= table!$D$11),-1,IF(AND(#REF!&gt;=table!$E$11,#REF!&lt;=table!$F$11),1,0))</f>
        <v>#REF!</v>
      </c>
      <c r="W4037" s="5" t="e">
        <f>CONCATENATE(dados[[#This Row],[fator1]],dados[[#This Row],[fator5]],dados[[#This Row],[fator6]])</f>
        <v>#REF!</v>
      </c>
    </row>
    <row r="4038" spans="1:23">
      <c r="A4038" t="s">
        <v>17</v>
      </c>
      <c r="B4038">
        <v>589133</v>
      </c>
      <c r="C4038">
        <v>9</v>
      </c>
      <c r="D4038">
        <v>25</v>
      </c>
      <c r="E4038">
        <v>150</v>
      </c>
      <c r="F4038">
        <v>4</v>
      </c>
      <c r="G4038">
        <v>20</v>
      </c>
      <c r="H4038">
        <v>25</v>
      </c>
      <c r="I4038">
        <v>191</v>
      </c>
      <c r="J4038">
        <v>1960</v>
      </c>
      <c r="K4038">
        <v>2.2395</v>
      </c>
      <c r="L4038">
        <v>7.9110000000000005</v>
      </c>
      <c r="M4038">
        <v>107.29900000000001</v>
      </c>
      <c r="N4038">
        <v>17.605</v>
      </c>
      <c r="O4038">
        <v>1692</v>
      </c>
      <c r="P4038">
        <v>1429</v>
      </c>
      <c r="Q4038" s="5" t="e">
        <f>IF(AND(#REF!&gt;=table!$C$6,#REF!&lt;= table!$D$6),-1,IF(AND(#REF!&gt;=table!$E$6,#REF!&lt;=table!$F$6),1,0))</f>
        <v>#REF!</v>
      </c>
      <c r="R4038" s="5" t="e">
        <f>IF(AND(#REF!&gt;=table!$C$7,#REF!&lt;= table!$D$7),-1,IF(AND(#REF!&gt;=table!$E$7,#REF!&lt;=table!$F$7),1,0))</f>
        <v>#REF!</v>
      </c>
      <c r="S4038" s="5" t="e">
        <f>IF(AND(#REF!&gt;=table!$C$8,#REF!&lt;= table!$D$8),-1,IF(AND(#REF!&gt;=table!$E$8,#REF!&lt;=table!$F$8),1,0))</f>
        <v>#REF!</v>
      </c>
      <c r="T4038" s="5"/>
      <c r="U4038" s="5" t="e">
        <f>IF(AND(#REF!&gt;=table!$C$10,#REF!&lt;= table!$D$10),-1,IF(AND(#REF!&gt;=table!$E$10,#REF!&lt;=table!$F$10),1,0))</f>
        <v>#REF!</v>
      </c>
      <c r="V4038" s="5" t="e">
        <f>IF(AND(#REF!&gt;=table!$C$11,#REF!&lt;= table!$D$11),-1,IF(AND(#REF!&gt;=table!$E$11,#REF!&lt;=table!$F$11),1,0))</f>
        <v>#REF!</v>
      </c>
      <c r="W4038" s="5" t="e">
        <f>CONCATENATE(dados[[#This Row],[fator1]],dados[[#This Row],[fator5]],dados[[#This Row],[fator6]])</f>
        <v>#REF!</v>
      </c>
    </row>
    <row r="4039" spans="1:23">
      <c r="A4039" t="s">
        <v>16</v>
      </c>
      <c r="B4039">
        <v>589135</v>
      </c>
      <c r="C4039">
        <v>16</v>
      </c>
      <c r="D4039">
        <v>35</v>
      </c>
      <c r="E4039">
        <v>40</v>
      </c>
      <c r="F4039">
        <v>10</v>
      </c>
      <c r="G4039">
        <v>0</v>
      </c>
      <c r="H4039">
        <v>25</v>
      </c>
      <c r="I4039">
        <v>0</v>
      </c>
      <c r="J4039">
        <v>880</v>
      </c>
      <c r="K4039">
        <v>3.4725000000000001</v>
      </c>
      <c r="L4039">
        <v>18.789000000000001</v>
      </c>
      <c r="M4039">
        <v>34.886000000000003</v>
      </c>
      <c r="N4039">
        <v>19.330000000000002</v>
      </c>
      <c r="O4039">
        <v>1678</v>
      </c>
      <c r="P4039">
        <v>522</v>
      </c>
      <c r="Q4039" s="5" t="e">
        <f>IF(AND(#REF!&gt;=table!$C$6,#REF!&lt;= table!$D$6),-1,IF(AND(#REF!&gt;=table!$E$6,#REF!&lt;=table!$F$6),1,0))</f>
        <v>#REF!</v>
      </c>
      <c r="R4039" s="5" t="e">
        <f>IF(AND(#REF!&gt;=table!$C$7,#REF!&lt;= table!$D$7),-1,IF(AND(#REF!&gt;=table!$E$7,#REF!&lt;=table!$F$7),1,0))</f>
        <v>#REF!</v>
      </c>
      <c r="S4039" s="5" t="e">
        <f>IF(AND(#REF!&gt;=table!$C$8,#REF!&lt;= table!$D$8),-1,IF(AND(#REF!&gt;=table!$E$8,#REF!&lt;=table!$F$8),1,0))</f>
        <v>#REF!</v>
      </c>
      <c r="T4039" s="5"/>
      <c r="U4039" s="5" t="e">
        <f>IF(AND(#REF!&gt;=table!$C$10,#REF!&lt;= table!$D$10),-1,IF(AND(#REF!&gt;=table!$E$10,#REF!&lt;=table!$F$10),1,0))</f>
        <v>#REF!</v>
      </c>
      <c r="V4039" s="5" t="e">
        <f>IF(AND(#REF!&gt;=table!$C$11,#REF!&lt;= table!$D$11),-1,IF(AND(#REF!&gt;=table!$E$11,#REF!&lt;=table!$F$11),1,0))</f>
        <v>#REF!</v>
      </c>
      <c r="W4039" s="5" t="e">
        <f>CONCATENATE(dados[[#This Row],[fator1]],dados[[#This Row],[fator5]],dados[[#This Row],[fator6]])</f>
        <v>#REF!</v>
      </c>
    </row>
    <row r="4040" spans="1:23">
      <c r="A4040" t="s">
        <v>16</v>
      </c>
      <c r="B4040">
        <v>589137</v>
      </c>
      <c r="C4040">
        <v>16</v>
      </c>
      <c r="D4040">
        <v>35</v>
      </c>
      <c r="E4040">
        <v>40</v>
      </c>
      <c r="F4040">
        <v>10</v>
      </c>
      <c r="G4040">
        <v>0</v>
      </c>
      <c r="H4040">
        <v>25</v>
      </c>
      <c r="I4040">
        <v>166</v>
      </c>
      <c r="J4040">
        <v>0</v>
      </c>
      <c r="K4040">
        <v>3.5650000000000004</v>
      </c>
      <c r="L4040">
        <v>10.8</v>
      </c>
      <c r="M4040">
        <v>33.79</v>
      </c>
      <c r="N4040">
        <v>14.82</v>
      </c>
      <c r="O4040">
        <v>1679</v>
      </c>
      <c r="P4040">
        <v>624</v>
      </c>
      <c r="Q4040" s="5" t="e">
        <f>IF(AND(#REF!&gt;=table!$C$6,#REF!&lt;= table!$D$6),-1,IF(AND(#REF!&gt;=table!$E$6,#REF!&lt;=table!$F$6),1,0))</f>
        <v>#REF!</v>
      </c>
      <c r="R4040" s="5" t="e">
        <f>IF(AND(#REF!&gt;=table!$C$7,#REF!&lt;= table!$D$7),-1,IF(AND(#REF!&gt;=table!$E$7,#REF!&lt;=table!$F$7),1,0))</f>
        <v>#REF!</v>
      </c>
      <c r="S4040" s="5" t="e">
        <f>IF(AND(#REF!&gt;=table!$C$8,#REF!&lt;= table!$D$8),-1,IF(AND(#REF!&gt;=table!$E$8,#REF!&lt;=table!$F$8),1,0))</f>
        <v>#REF!</v>
      </c>
      <c r="T4040" s="5"/>
      <c r="U4040" s="5" t="e">
        <f>IF(AND(#REF!&gt;=table!$C$10,#REF!&lt;= table!$D$10),-1,IF(AND(#REF!&gt;=table!$E$10,#REF!&lt;=table!$F$10),1,0))</f>
        <v>#REF!</v>
      </c>
      <c r="V4040" s="5" t="e">
        <f>IF(AND(#REF!&gt;=table!$C$11,#REF!&lt;= table!$D$11),-1,IF(AND(#REF!&gt;=table!$E$11,#REF!&lt;=table!$F$11),1,0))</f>
        <v>#REF!</v>
      </c>
      <c r="W4040" s="5" t="e">
        <f>CONCATENATE(dados[[#This Row],[fator1]],dados[[#This Row],[fator5]],dados[[#This Row],[fator6]])</f>
        <v>#REF!</v>
      </c>
    </row>
    <row r="4041" spans="1:23">
      <c r="A4041" t="s">
        <v>16</v>
      </c>
      <c r="B4041">
        <v>589138</v>
      </c>
      <c r="C4041">
        <v>0.15</v>
      </c>
      <c r="D4041">
        <v>35</v>
      </c>
      <c r="E4041">
        <v>15</v>
      </c>
      <c r="F4041">
        <v>10</v>
      </c>
      <c r="G4041">
        <v>0</v>
      </c>
      <c r="H4041">
        <v>12</v>
      </c>
      <c r="I4041">
        <v>628</v>
      </c>
      <c r="J4041">
        <v>570</v>
      </c>
      <c r="K4041">
        <v>2.9490000000000003</v>
      </c>
      <c r="L4041">
        <v>9.8585000000000012</v>
      </c>
      <c r="M4041">
        <v>5.2735000000000003</v>
      </c>
      <c r="N4041">
        <v>5.4</v>
      </c>
      <c r="O4041">
        <v>1685</v>
      </c>
      <c r="P4041">
        <v>973</v>
      </c>
      <c r="Q4041" s="5" t="e">
        <f>IF(AND(#REF!&gt;=table!$C$6,#REF!&lt;= table!$D$6),-1,IF(AND(#REF!&gt;=table!$E$6,#REF!&lt;=table!$F$6),1,0))</f>
        <v>#REF!</v>
      </c>
      <c r="R4041" s="5" t="e">
        <f>IF(AND(#REF!&gt;=table!$C$7,#REF!&lt;= table!$D$7),-1,IF(AND(#REF!&gt;=table!$E$7,#REF!&lt;=table!$F$7),1,0))</f>
        <v>#REF!</v>
      </c>
      <c r="S4041" s="5" t="e">
        <f>IF(AND(#REF!&gt;=table!$C$8,#REF!&lt;= table!$D$8),-1,IF(AND(#REF!&gt;=table!$E$8,#REF!&lt;=table!$F$8),1,0))</f>
        <v>#REF!</v>
      </c>
      <c r="T4041" s="5"/>
      <c r="U4041" s="5" t="e">
        <f>IF(AND(#REF!&gt;=table!$C$10,#REF!&lt;= table!$D$10),-1,IF(AND(#REF!&gt;=table!$E$10,#REF!&lt;=table!$F$10),1,0))</f>
        <v>#REF!</v>
      </c>
      <c r="V4041" s="5" t="e">
        <f>IF(AND(#REF!&gt;=table!$C$11,#REF!&lt;= table!$D$11),-1,IF(AND(#REF!&gt;=table!$E$11,#REF!&lt;=table!$F$11),1,0))</f>
        <v>#REF!</v>
      </c>
      <c r="W4041" s="5" t="e">
        <f>CONCATENATE(dados[[#This Row],[fator1]],dados[[#This Row],[fator5]],dados[[#This Row],[fator6]])</f>
        <v>#REF!</v>
      </c>
    </row>
    <row r="4042" spans="1:23">
      <c r="A4042" t="s">
        <v>16</v>
      </c>
      <c r="B4042">
        <v>589140</v>
      </c>
      <c r="C4042">
        <v>0.15</v>
      </c>
      <c r="D4042">
        <v>35</v>
      </c>
      <c r="E4042">
        <v>15</v>
      </c>
      <c r="F4042">
        <v>10</v>
      </c>
      <c r="G4042">
        <v>0</v>
      </c>
      <c r="H4042">
        <v>12</v>
      </c>
      <c r="I4042">
        <v>0</v>
      </c>
      <c r="J4042">
        <v>0</v>
      </c>
      <c r="K4042">
        <v>3.5980000000000003</v>
      </c>
      <c r="L4042">
        <v>11.667</v>
      </c>
      <c r="M4042">
        <v>8.5170000000000012</v>
      </c>
      <c r="N4042">
        <v>7.7850000000000001</v>
      </c>
      <c r="O4042">
        <v>1691</v>
      </c>
      <c r="P4042">
        <v>576</v>
      </c>
      <c r="Q4042" s="5" t="e">
        <f>IF(AND(#REF!&gt;=table!$C$6,#REF!&lt;= table!$D$6),-1,IF(AND(#REF!&gt;=table!$E$6,#REF!&lt;=table!$F$6),1,0))</f>
        <v>#REF!</v>
      </c>
      <c r="R4042" s="5" t="e">
        <f>IF(AND(#REF!&gt;=table!$C$7,#REF!&lt;= table!$D$7),-1,IF(AND(#REF!&gt;=table!$E$7,#REF!&lt;=table!$F$7),1,0))</f>
        <v>#REF!</v>
      </c>
      <c r="S4042" s="5" t="e">
        <f>IF(AND(#REF!&gt;=table!$C$8,#REF!&lt;= table!$D$8),-1,IF(AND(#REF!&gt;=table!$E$8,#REF!&lt;=table!$F$8),1,0))</f>
        <v>#REF!</v>
      </c>
      <c r="T4042" s="5"/>
      <c r="U4042" s="5" t="e">
        <f>IF(AND(#REF!&gt;=table!$C$10,#REF!&lt;= table!$D$10),-1,IF(AND(#REF!&gt;=table!$E$10,#REF!&lt;=table!$F$10),1,0))</f>
        <v>#REF!</v>
      </c>
      <c r="V4042" s="5" t="e">
        <f>IF(AND(#REF!&gt;=table!$C$11,#REF!&lt;= table!$D$11),-1,IF(AND(#REF!&gt;=table!$E$11,#REF!&lt;=table!$F$11),1,0))</f>
        <v>#REF!</v>
      </c>
      <c r="W4042" s="5" t="e">
        <f>CONCATENATE(dados[[#This Row],[fator1]],dados[[#This Row],[fator5]],dados[[#This Row],[fator6]])</f>
        <v>#REF!</v>
      </c>
    </row>
    <row r="4043" spans="1:23">
      <c r="A4043" t="s">
        <v>16</v>
      </c>
      <c r="B4043">
        <v>589155</v>
      </c>
      <c r="C4043">
        <v>0.15</v>
      </c>
      <c r="D4043">
        <v>35</v>
      </c>
      <c r="E4043">
        <v>15</v>
      </c>
      <c r="F4043">
        <v>10</v>
      </c>
      <c r="G4043">
        <v>0</v>
      </c>
      <c r="H4043">
        <v>12</v>
      </c>
      <c r="I4043">
        <v>982</v>
      </c>
      <c r="J4043">
        <v>0</v>
      </c>
      <c r="K4043">
        <v>4.7454999999999998</v>
      </c>
      <c r="L4043">
        <v>8.7735000000000003</v>
      </c>
      <c r="M4043">
        <v>8.245000000000001</v>
      </c>
      <c r="N4043">
        <v>9</v>
      </c>
      <c r="O4043">
        <v>1672</v>
      </c>
      <c r="P4043">
        <v>576</v>
      </c>
      <c r="Q4043" s="5" t="e">
        <f>IF(AND(#REF!&gt;=table!$C$6,#REF!&lt;= table!$D$6),-1,IF(AND(#REF!&gt;=table!$E$6,#REF!&lt;=table!$F$6),1,0))</f>
        <v>#REF!</v>
      </c>
      <c r="R4043" s="5" t="e">
        <f>IF(AND(#REF!&gt;=table!$C$7,#REF!&lt;= table!$D$7),-1,IF(AND(#REF!&gt;=table!$E$7,#REF!&lt;=table!$F$7),1,0))</f>
        <v>#REF!</v>
      </c>
      <c r="S4043" s="5" t="e">
        <f>IF(AND(#REF!&gt;=table!$C$8,#REF!&lt;= table!$D$8),-1,IF(AND(#REF!&gt;=table!$E$8,#REF!&lt;=table!$F$8),1,0))</f>
        <v>#REF!</v>
      </c>
      <c r="T4043" s="5"/>
      <c r="U4043" s="5" t="e">
        <f>IF(AND(#REF!&gt;=table!$C$10,#REF!&lt;= table!$D$10),-1,IF(AND(#REF!&gt;=table!$E$10,#REF!&lt;=table!$F$10),1,0))</f>
        <v>#REF!</v>
      </c>
      <c r="V4043" s="5" t="e">
        <f>IF(AND(#REF!&gt;=table!$C$11,#REF!&lt;= table!$D$11),-1,IF(AND(#REF!&gt;=table!$E$11,#REF!&lt;=table!$F$11),1,0))</f>
        <v>#REF!</v>
      </c>
      <c r="W4043" s="5" t="e">
        <f>CONCATENATE(dados[[#This Row],[fator1]],dados[[#This Row],[fator5]],dados[[#This Row],[fator6]])</f>
        <v>#REF!</v>
      </c>
    </row>
    <row r="4044" spans="1:23">
      <c r="A4044" t="s">
        <v>16</v>
      </c>
      <c r="B4044">
        <v>589161</v>
      </c>
      <c r="C4044">
        <v>12</v>
      </c>
      <c r="D4044">
        <v>40</v>
      </c>
      <c r="E4044">
        <v>36</v>
      </c>
      <c r="F4044">
        <v>9</v>
      </c>
      <c r="G4044">
        <v>0</v>
      </c>
      <c r="H4044">
        <v>25</v>
      </c>
      <c r="I4044">
        <v>868</v>
      </c>
      <c r="J4044">
        <v>0</v>
      </c>
      <c r="K4044">
        <v>3.1680000000000001</v>
      </c>
      <c r="L4044">
        <v>8.4350000000000005</v>
      </c>
      <c r="M4044">
        <v>27.904</v>
      </c>
      <c r="N4044">
        <v>18.11</v>
      </c>
      <c r="O4044">
        <v>1684</v>
      </c>
      <c r="P4044">
        <v>0</v>
      </c>
      <c r="Q4044" s="5" t="e">
        <f>IF(AND(#REF!&gt;=table!$C$6,#REF!&lt;= table!$D$6),-1,IF(AND(#REF!&gt;=table!$E$6,#REF!&lt;=table!$F$6),1,0))</f>
        <v>#REF!</v>
      </c>
      <c r="R4044" s="5" t="e">
        <f>IF(AND(#REF!&gt;=table!$C$7,#REF!&lt;= table!$D$7),-1,IF(AND(#REF!&gt;=table!$E$7,#REF!&lt;=table!$F$7),1,0))</f>
        <v>#REF!</v>
      </c>
      <c r="S4044" s="5" t="e">
        <f>IF(AND(#REF!&gt;=table!$C$8,#REF!&lt;= table!$D$8),-1,IF(AND(#REF!&gt;=table!$E$8,#REF!&lt;=table!$F$8),1,0))</f>
        <v>#REF!</v>
      </c>
      <c r="T4044" s="5"/>
      <c r="U4044" s="5" t="e">
        <f>IF(AND(#REF!&gt;=table!$C$10,#REF!&lt;= table!$D$10),-1,IF(AND(#REF!&gt;=table!$E$10,#REF!&lt;=table!$F$10),1,0))</f>
        <v>#REF!</v>
      </c>
      <c r="V4044" s="5" t="e">
        <f>IF(AND(#REF!&gt;=table!$C$11,#REF!&lt;= table!$D$11),-1,IF(AND(#REF!&gt;=table!$E$11,#REF!&lt;=table!$F$11),1,0))</f>
        <v>#REF!</v>
      </c>
      <c r="W4044" s="5" t="e">
        <f>CONCATENATE(dados[[#This Row],[fator1]],dados[[#This Row],[fator5]],dados[[#This Row],[fator6]])</f>
        <v>#REF!</v>
      </c>
    </row>
    <row r="4045" spans="1:23">
      <c r="A4045" t="s">
        <v>16</v>
      </c>
      <c r="B4045">
        <v>589162</v>
      </c>
      <c r="C4045">
        <v>12</v>
      </c>
      <c r="D4045">
        <v>40</v>
      </c>
      <c r="E4045">
        <v>36</v>
      </c>
      <c r="F4045">
        <v>9</v>
      </c>
      <c r="G4045">
        <v>0</v>
      </c>
      <c r="H4045">
        <v>25</v>
      </c>
      <c r="I4045">
        <v>576</v>
      </c>
      <c r="J4045">
        <v>770</v>
      </c>
      <c r="K4045">
        <v>4.9020000000000001</v>
      </c>
      <c r="L4045">
        <v>11.119</v>
      </c>
      <c r="M4045">
        <v>28.892000000000003</v>
      </c>
      <c r="N4045">
        <v>8.8450000000000006</v>
      </c>
      <c r="O4045">
        <v>1639</v>
      </c>
      <c r="P4045">
        <v>0</v>
      </c>
      <c r="Q4045" s="5" t="e">
        <f>IF(AND(#REF!&gt;=table!$C$6,#REF!&lt;= table!$D$6),-1,IF(AND(#REF!&gt;=table!$E$6,#REF!&lt;=table!$F$6),1,0))</f>
        <v>#REF!</v>
      </c>
      <c r="R4045" s="5" t="e">
        <f>IF(AND(#REF!&gt;=table!$C$7,#REF!&lt;= table!$D$7),-1,IF(AND(#REF!&gt;=table!$E$7,#REF!&lt;=table!$F$7),1,0))</f>
        <v>#REF!</v>
      </c>
      <c r="S4045" s="5" t="e">
        <f>IF(AND(#REF!&gt;=table!$C$8,#REF!&lt;= table!$D$8),-1,IF(AND(#REF!&gt;=table!$E$8,#REF!&lt;=table!$F$8),1,0))</f>
        <v>#REF!</v>
      </c>
      <c r="T4045" s="5"/>
      <c r="U4045" s="5" t="e">
        <f>IF(AND(#REF!&gt;=table!$C$10,#REF!&lt;= table!$D$10),-1,IF(AND(#REF!&gt;=table!$E$10,#REF!&lt;=table!$F$10),1,0))</f>
        <v>#REF!</v>
      </c>
      <c r="V4045" s="5" t="e">
        <f>IF(AND(#REF!&gt;=table!$C$11,#REF!&lt;= table!$D$11),-1,IF(AND(#REF!&gt;=table!$E$11,#REF!&lt;=table!$F$11),1,0))</f>
        <v>#REF!</v>
      </c>
      <c r="W4045" s="5" t="e">
        <f>CONCATENATE(dados[[#This Row],[fator1]],dados[[#This Row],[fator5]],dados[[#This Row],[fator6]])</f>
        <v>#REF!</v>
      </c>
    </row>
    <row r="4046" spans="1:23">
      <c r="A4046" t="s">
        <v>16</v>
      </c>
      <c r="B4046">
        <v>589163</v>
      </c>
      <c r="C4046">
        <v>12</v>
      </c>
      <c r="D4046">
        <v>40</v>
      </c>
      <c r="E4046">
        <v>36</v>
      </c>
      <c r="F4046">
        <v>9</v>
      </c>
      <c r="G4046">
        <v>0</v>
      </c>
      <c r="H4046">
        <v>25</v>
      </c>
      <c r="I4046">
        <v>1057</v>
      </c>
      <c r="J4046">
        <v>790</v>
      </c>
      <c r="K4046">
        <v>4.7975000000000003</v>
      </c>
      <c r="L4046">
        <v>7.1890000000000001</v>
      </c>
      <c r="M4046">
        <v>28.463000000000001</v>
      </c>
      <c r="N4046">
        <v>8.1550000000000011</v>
      </c>
      <c r="O4046">
        <v>1657</v>
      </c>
      <c r="P4046">
        <v>605</v>
      </c>
      <c r="Q4046" s="5" t="e">
        <f>IF(AND(#REF!&gt;=table!$C$6,#REF!&lt;= table!$D$6),-1,IF(AND(#REF!&gt;=table!$E$6,#REF!&lt;=table!$F$6),1,0))</f>
        <v>#REF!</v>
      </c>
      <c r="R4046" s="5" t="e">
        <f>IF(AND(#REF!&gt;=table!$C$7,#REF!&lt;= table!$D$7),-1,IF(AND(#REF!&gt;=table!$E$7,#REF!&lt;=table!$F$7),1,0))</f>
        <v>#REF!</v>
      </c>
      <c r="S4046" s="5" t="e">
        <f>IF(AND(#REF!&gt;=table!$C$8,#REF!&lt;= table!$D$8),-1,IF(AND(#REF!&gt;=table!$E$8,#REF!&lt;=table!$F$8),1,0))</f>
        <v>#REF!</v>
      </c>
      <c r="T4046" s="5"/>
      <c r="U4046" s="5" t="e">
        <f>IF(AND(#REF!&gt;=table!$C$10,#REF!&lt;= table!$D$10),-1,IF(AND(#REF!&gt;=table!$E$10,#REF!&lt;=table!$F$10),1,0))</f>
        <v>#REF!</v>
      </c>
      <c r="V4046" s="5" t="e">
        <f>IF(AND(#REF!&gt;=table!$C$11,#REF!&lt;= table!$D$11),-1,IF(AND(#REF!&gt;=table!$E$11,#REF!&lt;=table!$F$11),1,0))</f>
        <v>#REF!</v>
      </c>
      <c r="W4046" s="5" t="e">
        <f>CONCATENATE(dados[[#This Row],[fator1]],dados[[#This Row],[fator5]],dados[[#This Row],[fator6]])</f>
        <v>#REF!</v>
      </c>
    </row>
    <row r="4047" spans="1:23">
      <c r="A4047" t="s">
        <v>16</v>
      </c>
      <c r="B4047">
        <v>589165</v>
      </c>
      <c r="C4047">
        <v>12</v>
      </c>
      <c r="D4047">
        <v>40</v>
      </c>
      <c r="E4047">
        <v>36</v>
      </c>
      <c r="F4047">
        <v>9</v>
      </c>
      <c r="G4047">
        <v>0</v>
      </c>
      <c r="H4047">
        <v>25</v>
      </c>
      <c r="I4047">
        <v>0</v>
      </c>
      <c r="J4047">
        <v>0</v>
      </c>
      <c r="K4047">
        <v>4.0060000000000002</v>
      </c>
      <c r="L4047">
        <v>8.464500000000001</v>
      </c>
      <c r="M4047">
        <v>34.402000000000001</v>
      </c>
      <c r="N4047">
        <v>16.809999999999999</v>
      </c>
      <c r="O4047">
        <v>1661</v>
      </c>
      <c r="P4047">
        <v>711</v>
      </c>
      <c r="Q4047" s="5" t="e">
        <f>IF(AND(#REF!&gt;=table!$C$6,#REF!&lt;= table!$D$6),-1,IF(AND(#REF!&gt;=table!$E$6,#REF!&lt;=table!$F$6),1,0))</f>
        <v>#REF!</v>
      </c>
      <c r="R4047" s="5" t="e">
        <f>IF(AND(#REF!&gt;=table!$C$7,#REF!&lt;= table!$D$7),-1,IF(AND(#REF!&gt;=table!$E$7,#REF!&lt;=table!$F$7),1,0))</f>
        <v>#REF!</v>
      </c>
      <c r="S4047" s="5" t="e">
        <f>IF(AND(#REF!&gt;=table!$C$8,#REF!&lt;= table!$D$8),-1,IF(AND(#REF!&gt;=table!$E$8,#REF!&lt;=table!$F$8),1,0))</f>
        <v>#REF!</v>
      </c>
      <c r="T4047" s="5"/>
      <c r="U4047" s="5" t="e">
        <f>IF(AND(#REF!&gt;=table!$C$10,#REF!&lt;= table!$D$10),-1,IF(AND(#REF!&gt;=table!$E$10,#REF!&lt;=table!$F$10),1,0))</f>
        <v>#REF!</v>
      </c>
      <c r="V4047" s="5" t="e">
        <f>IF(AND(#REF!&gt;=table!$C$11,#REF!&lt;= table!$D$11),-1,IF(AND(#REF!&gt;=table!$E$11,#REF!&lt;=table!$F$11),1,0))</f>
        <v>#REF!</v>
      </c>
      <c r="W4047" s="5" t="e">
        <f>CONCATENATE(dados[[#This Row],[fator1]],dados[[#This Row],[fator5]],dados[[#This Row],[fator6]])</f>
        <v>#REF!</v>
      </c>
    </row>
    <row r="4048" spans="1:23">
      <c r="A4048" t="s">
        <v>16</v>
      </c>
      <c r="B4048">
        <v>589167</v>
      </c>
      <c r="C4048">
        <v>9</v>
      </c>
      <c r="D4048">
        <v>35</v>
      </c>
      <c r="E4048">
        <v>36</v>
      </c>
      <c r="F4048">
        <v>9</v>
      </c>
      <c r="G4048">
        <v>0</v>
      </c>
      <c r="H4048">
        <v>25</v>
      </c>
      <c r="I4048">
        <v>1309</v>
      </c>
      <c r="J4048">
        <v>0</v>
      </c>
      <c r="K4048">
        <v>7.3550000000000004</v>
      </c>
      <c r="L4048">
        <v>12.8635</v>
      </c>
      <c r="M4048">
        <v>45.9895</v>
      </c>
      <c r="N4048">
        <v>16.164999999999999</v>
      </c>
      <c r="O4048">
        <v>1673</v>
      </c>
      <c r="P4048">
        <v>0</v>
      </c>
      <c r="Q4048" s="5" t="e">
        <f>IF(AND(#REF!&gt;=table!$C$6,#REF!&lt;= table!$D$6),-1,IF(AND(#REF!&gt;=table!$E$6,#REF!&lt;=table!$F$6),1,0))</f>
        <v>#REF!</v>
      </c>
      <c r="R4048" s="5" t="e">
        <f>IF(AND(#REF!&gt;=table!$C$7,#REF!&lt;= table!$D$7),-1,IF(AND(#REF!&gt;=table!$E$7,#REF!&lt;=table!$F$7),1,0))</f>
        <v>#REF!</v>
      </c>
      <c r="S4048" s="5" t="e">
        <f>IF(AND(#REF!&gt;=table!$C$8,#REF!&lt;= table!$D$8),-1,IF(AND(#REF!&gt;=table!$E$8,#REF!&lt;=table!$F$8),1,0))</f>
        <v>#REF!</v>
      </c>
      <c r="T4048" s="5"/>
      <c r="U4048" s="5" t="e">
        <f>IF(AND(#REF!&gt;=table!$C$10,#REF!&lt;= table!$D$10),-1,IF(AND(#REF!&gt;=table!$E$10,#REF!&lt;=table!$F$10),1,0))</f>
        <v>#REF!</v>
      </c>
      <c r="V4048" s="5" t="e">
        <f>IF(AND(#REF!&gt;=table!$C$11,#REF!&lt;= table!$D$11),-1,IF(AND(#REF!&gt;=table!$E$11,#REF!&lt;=table!$F$11),1,0))</f>
        <v>#REF!</v>
      </c>
      <c r="W4048" s="5" t="e">
        <f>CONCATENATE(dados[[#This Row],[fator1]],dados[[#This Row],[fator5]],dados[[#This Row],[fator6]])</f>
        <v>#REF!</v>
      </c>
    </row>
    <row r="4049" spans="1:23">
      <c r="A4049" t="s">
        <v>17</v>
      </c>
      <c r="B4049">
        <v>589169</v>
      </c>
      <c r="C4049">
        <v>7</v>
      </c>
      <c r="D4049">
        <v>25</v>
      </c>
      <c r="E4049">
        <v>106</v>
      </c>
      <c r="F4049">
        <v>9</v>
      </c>
      <c r="G4049">
        <v>110</v>
      </c>
      <c r="H4049">
        <v>50</v>
      </c>
      <c r="I4049">
        <v>0</v>
      </c>
      <c r="J4049">
        <v>0</v>
      </c>
      <c r="K4049">
        <v>3.4655</v>
      </c>
      <c r="L4049">
        <v>9.8510000000000009</v>
      </c>
      <c r="M4049">
        <v>71.388500000000008</v>
      </c>
      <c r="N4049">
        <v>29.455000000000002</v>
      </c>
      <c r="O4049">
        <v>1658</v>
      </c>
      <c r="P4049">
        <v>703</v>
      </c>
      <c r="Q4049" s="5" t="e">
        <f>IF(AND(#REF!&gt;=table!$C$6,#REF!&lt;= table!$D$6),-1,IF(AND(#REF!&gt;=table!$E$6,#REF!&lt;=table!$F$6),1,0))</f>
        <v>#REF!</v>
      </c>
      <c r="R4049" s="5" t="e">
        <f>IF(AND(#REF!&gt;=table!$C$7,#REF!&lt;= table!$D$7),-1,IF(AND(#REF!&gt;=table!$E$7,#REF!&lt;=table!$F$7),1,0))</f>
        <v>#REF!</v>
      </c>
      <c r="S4049" s="5" t="e">
        <f>IF(AND(#REF!&gt;=table!$C$8,#REF!&lt;= table!$D$8),-1,IF(AND(#REF!&gt;=table!$E$8,#REF!&lt;=table!$F$8),1,0))</f>
        <v>#REF!</v>
      </c>
      <c r="T4049" s="5"/>
      <c r="U4049" s="5" t="e">
        <f>IF(AND(#REF!&gt;=table!$C$10,#REF!&lt;= table!$D$10),-1,IF(AND(#REF!&gt;=table!$E$10,#REF!&lt;=table!$F$10),1,0))</f>
        <v>#REF!</v>
      </c>
      <c r="V4049" s="5" t="e">
        <f>IF(AND(#REF!&gt;=table!$C$11,#REF!&lt;= table!$D$11),-1,IF(AND(#REF!&gt;=table!$E$11,#REF!&lt;=table!$F$11),1,0))</f>
        <v>#REF!</v>
      </c>
      <c r="W4049" s="5" t="e">
        <f>CONCATENATE(dados[[#This Row],[fator1]],dados[[#This Row],[fator5]],dados[[#This Row],[fator6]])</f>
        <v>#REF!</v>
      </c>
    </row>
    <row r="4050" spans="1:23">
      <c r="A4050" t="s">
        <v>16</v>
      </c>
      <c r="B4050">
        <v>589170</v>
      </c>
      <c r="C4050">
        <v>9</v>
      </c>
      <c r="D4050">
        <v>40</v>
      </c>
      <c r="E4050">
        <v>46</v>
      </c>
      <c r="F4050">
        <v>15</v>
      </c>
      <c r="G4050">
        <v>0</v>
      </c>
      <c r="H4050">
        <v>25</v>
      </c>
      <c r="I4050">
        <v>516</v>
      </c>
      <c r="J4050">
        <v>840</v>
      </c>
      <c r="K4050">
        <v>3.6040000000000001</v>
      </c>
      <c r="L4050">
        <v>11.813500000000001</v>
      </c>
      <c r="M4050">
        <v>31.729500000000002</v>
      </c>
      <c r="N4050">
        <v>20.22</v>
      </c>
      <c r="O4050">
        <v>1682</v>
      </c>
      <c r="P4050">
        <v>754</v>
      </c>
      <c r="Q4050" s="5" t="e">
        <f>IF(AND(#REF!&gt;=table!$C$6,#REF!&lt;= table!$D$6),-1,IF(AND(#REF!&gt;=table!$E$6,#REF!&lt;=table!$F$6),1,0))</f>
        <v>#REF!</v>
      </c>
      <c r="R4050" s="5" t="e">
        <f>IF(AND(#REF!&gt;=table!$C$7,#REF!&lt;= table!$D$7),-1,IF(AND(#REF!&gt;=table!$E$7,#REF!&lt;=table!$F$7),1,0))</f>
        <v>#REF!</v>
      </c>
      <c r="S4050" s="5" t="e">
        <f>IF(AND(#REF!&gt;=table!$C$8,#REF!&lt;= table!$D$8),-1,IF(AND(#REF!&gt;=table!$E$8,#REF!&lt;=table!$F$8),1,0))</f>
        <v>#REF!</v>
      </c>
      <c r="T4050" s="5"/>
      <c r="U4050" s="5" t="e">
        <f>IF(AND(#REF!&gt;=table!$C$10,#REF!&lt;= table!$D$10),-1,IF(AND(#REF!&gt;=table!$E$10,#REF!&lt;=table!$F$10),1,0))</f>
        <v>#REF!</v>
      </c>
      <c r="V4050" s="5" t="e">
        <f>IF(AND(#REF!&gt;=table!$C$11,#REF!&lt;= table!$D$11),-1,IF(AND(#REF!&gt;=table!$E$11,#REF!&lt;=table!$F$11),1,0))</f>
        <v>#REF!</v>
      </c>
      <c r="W4050" s="5" t="e">
        <f>CONCATENATE(dados[[#This Row],[fator1]],dados[[#This Row],[fator5]],dados[[#This Row],[fator6]])</f>
        <v>#REF!</v>
      </c>
    </row>
    <row r="4051" spans="1:23">
      <c r="A4051" t="s">
        <v>17</v>
      </c>
      <c r="B4051">
        <v>589171</v>
      </c>
      <c r="C4051">
        <v>0.15</v>
      </c>
      <c r="D4051">
        <v>300</v>
      </c>
      <c r="E4051">
        <v>50</v>
      </c>
      <c r="F4051">
        <v>10</v>
      </c>
      <c r="G4051">
        <v>70</v>
      </c>
      <c r="H4051">
        <v>30</v>
      </c>
      <c r="I4051">
        <v>768</v>
      </c>
      <c r="J4051">
        <v>0</v>
      </c>
      <c r="K4051">
        <v>3.677</v>
      </c>
      <c r="L4051">
        <v>9.2525000000000013</v>
      </c>
      <c r="M4051">
        <v>8.7925000000000004</v>
      </c>
      <c r="N4051">
        <v>13.945</v>
      </c>
      <c r="O4051">
        <v>1679</v>
      </c>
      <c r="P4051">
        <v>811</v>
      </c>
      <c r="Q4051" s="5" t="e">
        <f>IF(AND(#REF!&gt;=table!$C$6,#REF!&lt;= table!$D$6),-1,IF(AND(#REF!&gt;=table!$E$6,#REF!&lt;=table!$F$6),1,0))</f>
        <v>#REF!</v>
      </c>
      <c r="R4051" s="5" t="e">
        <f>IF(AND(#REF!&gt;=table!$C$7,#REF!&lt;= table!$D$7),-1,IF(AND(#REF!&gt;=table!$E$7,#REF!&lt;=table!$F$7),1,0))</f>
        <v>#REF!</v>
      </c>
      <c r="S4051" s="5" t="e">
        <f>IF(AND(#REF!&gt;=table!$C$8,#REF!&lt;= table!$D$8),-1,IF(AND(#REF!&gt;=table!$E$8,#REF!&lt;=table!$F$8),1,0))</f>
        <v>#REF!</v>
      </c>
      <c r="T4051" s="5"/>
      <c r="U4051" s="5" t="e">
        <f>IF(AND(#REF!&gt;=table!$C$10,#REF!&lt;= table!$D$10),-1,IF(AND(#REF!&gt;=table!$E$10,#REF!&lt;=table!$F$10),1,0))</f>
        <v>#REF!</v>
      </c>
      <c r="V4051" s="5" t="e">
        <f>IF(AND(#REF!&gt;=table!$C$11,#REF!&lt;= table!$D$11),-1,IF(AND(#REF!&gt;=table!$E$11,#REF!&lt;=table!$F$11),1,0))</f>
        <v>#REF!</v>
      </c>
      <c r="W4051" s="5" t="e">
        <f>CONCATENATE(dados[[#This Row],[fator1]],dados[[#This Row],[fator5]],dados[[#This Row],[fator6]])</f>
        <v>#REF!</v>
      </c>
    </row>
    <row r="4052" spans="1:23">
      <c r="A4052" t="s">
        <v>17</v>
      </c>
      <c r="B4052">
        <v>589172</v>
      </c>
      <c r="C4052">
        <v>0.15</v>
      </c>
      <c r="D4052">
        <v>300</v>
      </c>
      <c r="E4052">
        <v>50</v>
      </c>
      <c r="F4052">
        <v>10</v>
      </c>
      <c r="G4052">
        <v>70</v>
      </c>
      <c r="H4052">
        <v>30</v>
      </c>
      <c r="I4052">
        <v>994</v>
      </c>
      <c r="J4052">
        <v>0</v>
      </c>
      <c r="K4052">
        <v>2.4485000000000001</v>
      </c>
      <c r="L4052">
        <v>8.8390000000000004</v>
      </c>
      <c r="M4052">
        <v>8.1225000000000005</v>
      </c>
      <c r="N4052">
        <v>13.145000000000001</v>
      </c>
      <c r="O4052">
        <v>1687</v>
      </c>
      <c r="P4052">
        <v>901</v>
      </c>
      <c r="Q4052" s="5" t="e">
        <f>IF(AND(#REF!&gt;=table!$C$6,#REF!&lt;= table!$D$6),-1,IF(AND(#REF!&gt;=table!$E$6,#REF!&lt;=table!$F$6),1,0))</f>
        <v>#REF!</v>
      </c>
      <c r="R4052" s="5" t="e">
        <f>IF(AND(#REF!&gt;=table!$C$7,#REF!&lt;= table!$D$7),-1,IF(AND(#REF!&gt;=table!$E$7,#REF!&lt;=table!$F$7),1,0))</f>
        <v>#REF!</v>
      </c>
      <c r="S4052" s="5" t="e">
        <f>IF(AND(#REF!&gt;=table!$C$8,#REF!&lt;= table!$D$8),-1,IF(AND(#REF!&gt;=table!$E$8,#REF!&lt;=table!$F$8),1,0))</f>
        <v>#REF!</v>
      </c>
      <c r="T4052" s="5"/>
      <c r="U4052" s="5" t="e">
        <f>IF(AND(#REF!&gt;=table!$C$10,#REF!&lt;= table!$D$10),-1,IF(AND(#REF!&gt;=table!$E$10,#REF!&lt;=table!$F$10),1,0))</f>
        <v>#REF!</v>
      </c>
      <c r="V4052" s="5" t="e">
        <f>IF(AND(#REF!&gt;=table!$C$11,#REF!&lt;= table!$D$11),-1,IF(AND(#REF!&gt;=table!$E$11,#REF!&lt;=table!$F$11),1,0))</f>
        <v>#REF!</v>
      </c>
      <c r="W4052" s="5" t="e">
        <f>CONCATENATE(dados[[#This Row],[fator1]],dados[[#This Row],[fator5]],dados[[#This Row],[fator6]])</f>
        <v>#REF!</v>
      </c>
    </row>
    <row r="4053" spans="1:23">
      <c r="A4053" t="s">
        <v>17</v>
      </c>
      <c r="B4053">
        <v>589176</v>
      </c>
      <c r="C4053">
        <v>14</v>
      </c>
      <c r="D4053">
        <v>30</v>
      </c>
      <c r="E4053">
        <v>126</v>
      </c>
      <c r="F4053">
        <v>9</v>
      </c>
      <c r="G4053">
        <v>20</v>
      </c>
      <c r="H4053">
        <v>25</v>
      </c>
      <c r="I4053">
        <v>1189</v>
      </c>
      <c r="J4053">
        <v>0</v>
      </c>
      <c r="K4053">
        <v>3.2845</v>
      </c>
      <c r="L4053">
        <v>9.057500000000001</v>
      </c>
      <c r="M4053">
        <v>119.19600000000001</v>
      </c>
      <c r="N4053">
        <v>13.215</v>
      </c>
      <c r="O4053">
        <v>1690</v>
      </c>
      <c r="P4053">
        <v>0</v>
      </c>
      <c r="Q4053" s="5" t="e">
        <f>IF(AND(#REF!&gt;=table!$C$6,#REF!&lt;= table!$D$6),-1,IF(AND(#REF!&gt;=table!$E$6,#REF!&lt;=table!$F$6),1,0))</f>
        <v>#REF!</v>
      </c>
      <c r="R4053" s="5" t="e">
        <f>IF(AND(#REF!&gt;=table!$C$7,#REF!&lt;= table!$D$7),-1,IF(AND(#REF!&gt;=table!$E$7,#REF!&lt;=table!$F$7),1,0))</f>
        <v>#REF!</v>
      </c>
      <c r="S4053" s="5" t="e">
        <f>IF(AND(#REF!&gt;=table!$C$8,#REF!&lt;= table!$D$8),-1,IF(AND(#REF!&gt;=table!$E$8,#REF!&lt;=table!$F$8),1,0))</f>
        <v>#REF!</v>
      </c>
      <c r="T4053" s="5"/>
      <c r="U4053" s="5" t="e">
        <f>IF(AND(#REF!&gt;=table!$C$10,#REF!&lt;= table!$D$10),-1,IF(AND(#REF!&gt;=table!$E$10,#REF!&lt;=table!$F$10),1,0))</f>
        <v>#REF!</v>
      </c>
      <c r="V4053" s="5" t="e">
        <f>IF(AND(#REF!&gt;=table!$C$11,#REF!&lt;= table!$D$11),-1,IF(AND(#REF!&gt;=table!$E$11,#REF!&lt;=table!$F$11),1,0))</f>
        <v>#REF!</v>
      </c>
      <c r="W4053" s="5" t="e">
        <f>CONCATENATE(dados[[#This Row],[fator1]],dados[[#This Row],[fator5]],dados[[#This Row],[fator6]])</f>
        <v>#REF!</v>
      </c>
    </row>
    <row r="4054" spans="1:23">
      <c r="A4054" t="s">
        <v>16</v>
      </c>
      <c r="B4054">
        <v>589177</v>
      </c>
      <c r="C4054">
        <v>16</v>
      </c>
      <c r="D4054">
        <v>30</v>
      </c>
      <c r="E4054">
        <v>56</v>
      </c>
      <c r="F4054">
        <v>3</v>
      </c>
      <c r="G4054">
        <v>0</v>
      </c>
      <c r="H4054">
        <v>25</v>
      </c>
      <c r="I4054">
        <v>1522</v>
      </c>
      <c r="J4054">
        <v>0</v>
      </c>
      <c r="K4054">
        <v>0</v>
      </c>
      <c r="L4054">
        <v>0</v>
      </c>
      <c r="M4054">
        <v>47.394500000000001</v>
      </c>
      <c r="N4054">
        <v>15.445</v>
      </c>
      <c r="O4054">
        <v>1670</v>
      </c>
      <c r="P4054">
        <v>760</v>
      </c>
      <c r="Q4054" s="5" t="e">
        <f>IF(AND(#REF!&gt;=table!$C$6,#REF!&lt;= table!$D$6),-1,IF(AND(#REF!&gt;=table!$E$6,#REF!&lt;=table!$F$6),1,0))</f>
        <v>#REF!</v>
      </c>
      <c r="R4054" s="5" t="e">
        <f>IF(AND(#REF!&gt;=table!$C$7,#REF!&lt;= table!$D$7),-1,IF(AND(#REF!&gt;=table!$E$7,#REF!&lt;=table!$F$7),1,0))</f>
        <v>#REF!</v>
      </c>
      <c r="S4054" s="5" t="e">
        <f>IF(AND(#REF!&gt;=table!$C$8,#REF!&lt;= table!$D$8),-1,IF(AND(#REF!&gt;=table!$E$8,#REF!&lt;=table!$F$8),1,0))</f>
        <v>#REF!</v>
      </c>
      <c r="T4054" s="5"/>
      <c r="U4054" s="5" t="e">
        <f>IF(AND(#REF!&gt;=table!$C$10,#REF!&lt;= table!$D$10),-1,IF(AND(#REF!&gt;=table!$E$10,#REF!&lt;=table!$F$10),1,0))</f>
        <v>#REF!</v>
      </c>
      <c r="V4054" s="5" t="e">
        <f>IF(AND(#REF!&gt;=table!$C$11,#REF!&lt;= table!$D$11),-1,IF(AND(#REF!&gt;=table!$E$11,#REF!&lt;=table!$F$11),1,0))</f>
        <v>#REF!</v>
      </c>
      <c r="W4054" s="5" t="e">
        <f>CONCATENATE(dados[[#This Row],[fator1]],dados[[#This Row],[fator5]],dados[[#This Row],[fator6]])</f>
        <v>#REF!</v>
      </c>
    </row>
    <row r="4055" spans="1:23">
      <c r="A4055" t="s">
        <v>16</v>
      </c>
      <c r="B4055">
        <v>589180</v>
      </c>
      <c r="C4055">
        <v>0.1</v>
      </c>
      <c r="D4055">
        <v>35</v>
      </c>
      <c r="E4055">
        <v>10</v>
      </c>
      <c r="F4055">
        <v>10</v>
      </c>
      <c r="G4055">
        <v>0</v>
      </c>
      <c r="H4055">
        <v>12</v>
      </c>
      <c r="I4055">
        <v>809</v>
      </c>
      <c r="J4055">
        <v>720</v>
      </c>
      <c r="K4055">
        <v>4.4024999999999999</v>
      </c>
      <c r="L4055">
        <v>7.0775000000000006</v>
      </c>
      <c r="M4055">
        <v>4.7315000000000005</v>
      </c>
      <c r="N4055">
        <v>7.47</v>
      </c>
      <c r="O4055">
        <v>1650</v>
      </c>
      <c r="P4055">
        <v>555</v>
      </c>
      <c r="Q4055" s="5" t="e">
        <f>IF(AND(#REF!&gt;=table!$C$6,#REF!&lt;= table!$D$6),-1,IF(AND(#REF!&gt;=table!$E$6,#REF!&lt;=table!$F$6),1,0))</f>
        <v>#REF!</v>
      </c>
      <c r="R4055" s="5" t="e">
        <f>IF(AND(#REF!&gt;=table!$C$7,#REF!&lt;= table!$D$7),-1,IF(AND(#REF!&gt;=table!$E$7,#REF!&lt;=table!$F$7),1,0))</f>
        <v>#REF!</v>
      </c>
      <c r="S4055" s="5" t="e">
        <f>IF(AND(#REF!&gt;=table!$C$8,#REF!&lt;= table!$D$8),-1,IF(AND(#REF!&gt;=table!$E$8,#REF!&lt;=table!$F$8),1,0))</f>
        <v>#REF!</v>
      </c>
      <c r="T4055" s="5"/>
      <c r="U4055" s="5" t="e">
        <f>IF(AND(#REF!&gt;=table!$C$10,#REF!&lt;= table!$D$10),-1,IF(AND(#REF!&gt;=table!$E$10,#REF!&lt;=table!$F$10),1,0))</f>
        <v>#REF!</v>
      </c>
      <c r="V4055" s="5" t="e">
        <f>IF(AND(#REF!&gt;=table!$C$11,#REF!&lt;= table!$D$11),-1,IF(AND(#REF!&gt;=table!$E$11,#REF!&lt;=table!$F$11),1,0))</f>
        <v>#REF!</v>
      </c>
      <c r="W4055" s="5" t="e">
        <f>CONCATENATE(dados[[#This Row],[fator1]],dados[[#This Row],[fator5]],dados[[#This Row],[fator6]])</f>
        <v>#REF!</v>
      </c>
    </row>
    <row r="4056" spans="1:23">
      <c r="A4056" t="s">
        <v>16</v>
      </c>
      <c r="B4056">
        <v>589183</v>
      </c>
      <c r="C4056">
        <v>7</v>
      </c>
      <c r="D4056">
        <v>35</v>
      </c>
      <c r="E4056">
        <v>170</v>
      </c>
      <c r="F4056">
        <v>6</v>
      </c>
      <c r="G4056">
        <v>0</v>
      </c>
      <c r="H4056">
        <v>20</v>
      </c>
      <c r="I4056">
        <v>596</v>
      </c>
      <c r="J4056">
        <v>0</v>
      </c>
      <c r="K4056">
        <v>4.5255000000000001</v>
      </c>
      <c r="L4056">
        <v>9.9855</v>
      </c>
      <c r="M4056">
        <v>111.8515</v>
      </c>
      <c r="N4056">
        <v>14.055000000000001</v>
      </c>
      <c r="O4056">
        <v>1681</v>
      </c>
      <c r="P4056">
        <v>754</v>
      </c>
      <c r="Q4056" s="5" t="e">
        <f>IF(AND(#REF!&gt;=table!$C$6,#REF!&lt;= table!$D$6),-1,IF(AND(#REF!&gt;=table!$E$6,#REF!&lt;=table!$F$6),1,0))</f>
        <v>#REF!</v>
      </c>
      <c r="R4056" s="5" t="e">
        <f>IF(AND(#REF!&gt;=table!$C$7,#REF!&lt;= table!$D$7),-1,IF(AND(#REF!&gt;=table!$E$7,#REF!&lt;=table!$F$7),1,0))</f>
        <v>#REF!</v>
      </c>
      <c r="S4056" s="5" t="e">
        <f>IF(AND(#REF!&gt;=table!$C$8,#REF!&lt;= table!$D$8),-1,IF(AND(#REF!&gt;=table!$E$8,#REF!&lt;=table!$F$8),1,0))</f>
        <v>#REF!</v>
      </c>
      <c r="T4056" s="5"/>
      <c r="U4056" s="5" t="e">
        <f>IF(AND(#REF!&gt;=table!$C$10,#REF!&lt;= table!$D$10),-1,IF(AND(#REF!&gt;=table!$E$10,#REF!&lt;=table!$F$10),1,0))</f>
        <v>#REF!</v>
      </c>
      <c r="V4056" s="5" t="e">
        <f>IF(AND(#REF!&gt;=table!$C$11,#REF!&lt;= table!$D$11),-1,IF(AND(#REF!&gt;=table!$E$11,#REF!&lt;=table!$F$11),1,0))</f>
        <v>#REF!</v>
      </c>
      <c r="W4056" s="5" t="e">
        <f>CONCATENATE(dados[[#This Row],[fator1]],dados[[#This Row],[fator5]],dados[[#This Row],[fator6]])</f>
        <v>#REF!</v>
      </c>
    </row>
    <row r="4057" spans="1:23">
      <c r="A4057" t="s">
        <v>16</v>
      </c>
      <c r="B4057">
        <v>589185</v>
      </c>
      <c r="C4057">
        <v>0.1</v>
      </c>
      <c r="D4057">
        <v>35</v>
      </c>
      <c r="E4057">
        <v>10</v>
      </c>
      <c r="F4057">
        <v>10</v>
      </c>
      <c r="G4057">
        <v>0</v>
      </c>
      <c r="H4057">
        <v>12</v>
      </c>
      <c r="I4057">
        <v>437</v>
      </c>
      <c r="J4057">
        <v>0</v>
      </c>
      <c r="K4057">
        <v>3.851</v>
      </c>
      <c r="L4057">
        <v>9.088000000000001</v>
      </c>
      <c r="M4057">
        <v>7.5830000000000002</v>
      </c>
      <c r="N4057">
        <v>8.4050000000000011</v>
      </c>
      <c r="O4057">
        <v>1682</v>
      </c>
      <c r="P4057">
        <v>0</v>
      </c>
      <c r="Q4057" s="5" t="e">
        <f>IF(AND(#REF!&gt;=table!$C$6,#REF!&lt;= table!$D$6),-1,IF(AND(#REF!&gt;=table!$E$6,#REF!&lt;=table!$F$6),1,0))</f>
        <v>#REF!</v>
      </c>
      <c r="R4057" s="5" t="e">
        <f>IF(AND(#REF!&gt;=table!$C$7,#REF!&lt;= table!$D$7),-1,IF(AND(#REF!&gt;=table!$E$7,#REF!&lt;=table!$F$7),1,0))</f>
        <v>#REF!</v>
      </c>
      <c r="S4057" s="5" t="e">
        <f>IF(AND(#REF!&gt;=table!$C$8,#REF!&lt;= table!$D$8),-1,IF(AND(#REF!&gt;=table!$E$8,#REF!&lt;=table!$F$8),1,0))</f>
        <v>#REF!</v>
      </c>
      <c r="T4057" s="5"/>
      <c r="U4057" s="5" t="e">
        <f>IF(AND(#REF!&gt;=table!$C$10,#REF!&lt;= table!$D$10),-1,IF(AND(#REF!&gt;=table!$E$10,#REF!&lt;=table!$F$10),1,0))</f>
        <v>#REF!</v>
      </c>
      <c r="V4057" s="5" t="e">
        <f>IF(AND(#REF!&gt;=table!$C$11,#REF!&lt;= table!$D$11),-1,IF(AND(#REF!&gt;=table!$E$11,#REF!&lt;=table!$F$11),1,0))</f>
        <v>#REF!</v>
      </c>
      <c r="W4057" s="5" t="e">
        <f>CONCATENATE(dados[[#This Row],[fator1]],dados[[#This Row],[fator5]],dados[[#This Row],[fator6]])</f>
        <v>#REF!</v>
      </c>
    </row>
    <row r="4058" spans="1:23">
      <c r="A4058" t="s">
        <v>16</v>
      </c>
      <c r="B4058">
        <v>589187</v>
      </c>
      <c r="C4058">
        <v>12</v>
      </c>
      <c r="D4058">
        <v>35</v>
      </c>
      <c r="E4058">
        <v>180</v>
      </c>
      <c r="F4058">
        <v>6</v>
      </c>
      <c r="G4058">
        <v>0</v>
      </c>
      <c r="H4058">
        <v>20</v>
      </c>
      <c r="I4058">
        <v>36</v>
      </c>
      <c r="J4058">
        <v>0</v>
      </c>
      <c r="K4058">
        <v>4.3055000000000003</v>
      </c>
      <c r="L4058">
        <v>10.3605</v>
      </c>
      <c r="M4058">
        <v>123.75150000000001</v>
      </c>
      <c r="N4058">
        <v>14.870000000000001</v>
      </c>
      <c r="O4058">
        <v>1676</v>
      </c>
      <c r="P4058">
        <v>583</v>
      </c>
      <c r="Q4058" s="5" t="e">
        <f>IF(AND(#REF!&gt;=table!$C$6,#REF!&lt;= table!$D$6),-1,IF(AND(#REF!&gt;=table!$E$6,#REF!&lt;=table!$F$6),1,0))</f>
        <v>#REF!</v>
      </c>
      <c r="R4058" s="5" t="e">
        <f>IF(AND(#REF!&gt;=table!$C$7,#REF!&lt;= table!$D$7),-1,IF(AND(#REF!&gt;=table!$E$7,#REF!&lt;=table!$F$7),1,0))</f>
        <v>#REF!</v>
      </c>
      <c r="S4058" s="5" t="e">
        <f>IF(AND(#REF!&gt;=table!$C$8,#REF!&lt;= table!$D$8),-1,IF(AND(#REF!&gt;=table!$E$8,#REF!&lt;=table!$F$8),1,0))</f>
        <v>#REF!</v>
      </c>
      <c r="T4058" s="5"/>
      <c r="U4058" s="5" t="e">
        <f>IF(AND(#REF!&gt;=table!$C$10,#REF!&lt;= table!$D$10),-1,IF(AND(#REF!&gt;=table!$E$10,#REF!&lt;=table!$F$10),1,0))</f>
        <v>#REF!</v>
      </c>
      <c r="V4058" s="5" t="e">
        <f>IF(AND(#REF!&gt;=table!$C$11,#REF!&lt;= table!$D$11),-1,IF(AND(#REF!&gt;=table!$E$11,#REF!&lt;=table!$F$11),1,0))</f>
        <v>#REF!</v>
      </c>
      <c r="W4058" s="5" t="e">
        <f>CONCATENATE(dados[[#This Row],[fator1]],dados[[#This Row],[fator5]],dados[[#This Row],[fator6]])</f>
        <v>#REF!</v>
      </c>
    </row>
    <row r="4059" spans="1:23">
      <c r="A4059" t="s">
        <v>16</v>
      </c>
      <c r="B4059">
        <v>589188</v>
      </c>
      <c r="C4059">
        <v>12</v>
      </c>
      <c r="D4059">
        <v>35</v>
      </c>
      <c r="E4059">
        <v>180</v>
      </c>
      <c r="F4059">
        <v>6</v>
      </c>
      <c r="G4059">
        <v>0</v>
      </c>
      <c r="H4059">
        <v>20</v>
      </c>
      <c r="I4059">
        <v>772</v>
      </c>
      <c r="J4059">
        <v>0</v>
      </c>
      <c r="K4059">
        <v>4.5840000000000005</v>
      </c>
      <c r="L4059">
        <v>7.9195000000000002</v>
      </c>
      <c r="M4059">
        <v>88.808500000000009</v>
      </c>
      <c r="N4059">
        <v>12.73</v>
      </c>
      <c r="O4059">
        <v>1676</v>
      </c>
      <c r="P4059">
        <v>809</v>
      </c>
      <c r="Q4059" s="5" t="e">
        <f>IF(AND(#REF!&gt;=table!$C$6,#REF!&lt;= table!$D$6),-1,IF(AND(#REF!&gt;=table!$E$6,#REF!&lt;=table!$F$6),1,0))</f>
        <v>#REF!</v>
      </c>
      <c r="R4059" s="5" t="e">
        <f>IF(AND(#REF!&gt;=table!$C$7,#REF!&lt;= table!$D$7),-1,IF(AND(#REF!&gt;=table!$E$7,#REF!&lt;=table!$F$7),1,0))</f>
        <v>#REF!</v>
      </c>
      <c r="S4059" s="5" t="e">
        <f>IF(AND(#REF!&gt;=table!$C$8,#REF!&lt;= table!$D$8),-1,IF(AND(#REF!&gt;=table!$E$8,#REF!&lt;=table!$F$8),1,0))</f>
        <v>#REF!</v>
      </c>
      <c r="T4059" s="5"/>
      <c r="U4059" s="5" t="e">
        <f>IF(AND(#REF!&gt;=table!$C$10,#REF!&lt;= table!$D$10),-1,IF(AND(#REF!&gt;=table!$E$10,#REF!&lt;=table!$F$10),1,0))</f>
        <v>#REF!</v>
      </c>
      <c r="V4059" s="5" t="e">
        <f>IF(AND(#REF!&gt;=table!$C$11,#REF!&lt;= table!$D$11),-1,IF(AND(#REF!&gt;=table!$E$11,#REF!&lt;=table!$F$11),1,0))</f>
        <v>#REF!</v>
      </c>
      <c r="W4059" s="5" t="e">
        <f>CONCATENATE(dados[[#This Row],[fator1]],dados[[#This Row],[fator5]],dados[[#This Row],[fator6]])</f>
        <v>#REF!</v>
      </c>
    </row>
    <row r="4060" spans="1:23">
      <c r="A4060" t="s">
        <v>17</v>
      </c>
      <c r="B4060">
        <v>589189</v>
      </c>
      <c r="C4060">
        <v>14</v>
      </c>
      <c r="D4060">
        <v>30</v>
      </c>
      <c r="E4060">
        <v>66</v>
      </c>
      <c r="F4060">
        <v>9</v>
      </c>
      <c r="G4060">
        <v>20</v>
      </c>
      <c r="H4060">
        <v>25</v>
      </c>
      <c r="I4060">
        <v>30</v>
      </c>
      <c r="J4060">
        <v>0</v>
      </c>
      <c r="K4060">
        <v>5.5955000000000004</v>
      </c>
      <c r="L4060">
        <v>16.663499999999999</v>
      </c>
      <c r="M4060">
        <v>67.838999999999999</v>
      </c>
      <c r="N4060">
        <v>21.2</v>
      </c>
      <c r="O4060">
        <v>1683</v>
      </c>
      <c r="P4060">
        <v>390</v>
      </c>
      <c r="Q4060" s="5" t="e">
        <f>IF(AND(#REF!&gt;=table!$C$6,#REF!&lt;= table!$D$6),-1,IF(AND(#REF!&gt;=table!$E$6,#REF!&lt;=table!$F$6),1,0))</f>
        <v>#REF!</v>
      </c>
      <c r="R4060" s="5" t="e">
        <f>IF(AND(#REF!&gt;=table!$C$7,#REF!&lt;= table!$D$7),-1,IF(AND(#REF!&gt;=table!$E$7,#REF!&lt;=table!$F$7),1,0))</f>
        <v>#REF!</v>
      </c>
      <c r="S4060" s="5" t="e">
        <f>IF(AND(#REF!&gt;=table!$C$8,#REF!&lt;= table!$D$8),-1,IF(AND(#REF!&gt;=table!$E$8,#REF!&lt;=table!$F$8),1,0))</f>
        <v>#REF!</v>
      </c>
      <c r="T4060" s="5"/>
      <c r="U4060" s="5" t="e">
        <f>IF(AND(#REF!&gt;=table!$C$10,#REF!&lt;= table!$D$10),-1,IF(AND(#REF!&gt;=table!$E$10,#REF!&lt;=table!$F$10),1,0))</f>
        <v>#REF!</v>
      </c>
      <c r="V4060" s="5" t="e">
        <f>IF(AND(#REF!&gt;=table!$C$11,#REF!&lt;= table!$D$11),-1,IF(AND(#REF!&gt;=table!$E$11,#REF!&lt;=table!$F$11),1,0))</f>
        <v>#REF!</v>
      </c>
      <c r="W4060" s="5" t="e">
        <f>CONCATENATE(dados[[#This Row],[fator1]],dados[[#This Row],[fator5]],dados[[#This Row],[fator6]])</f>
        <v>#REF!</v>
      </c>
    </row>
    <row r="4061" spans="1:23">
      <c r="A4061" t="s">
        <v>16</v>
      </c>
      <c r="B4061">
        <v>589190</v>
      </c>
      <c r="C4061">
        <v>10</v>
      </c>
      <c r="D4061">
        <v>38</v>
      </c>
      <c r="E4061">
        <v>150</v>
      </c>
      <c r="F4061">
        <v>4</v>
      </c>
      <c r="G4061">
        <v>0</v>
      </c>
      <c r="H4061">
        <v>25</v>
      </c>
      <c r="I4061">
        <v>305</v>
      </c>
      <c r="J4061">
        <v>0</v>
      </c>
      <c r="K4061">
        <v>7.9530000000000003</v>
      </c>
      <c r="L4061">
        <v>10.393500000000001</v>
      </c>
      <c r="M4061">
        <v>72.668999999999997</v>
      </c>
      <c r="N4061">
        <v>12.370000000000001</v>
      </c>
      <c r="O4061">
        <v>1660</v>
      </c>
      <c r="P4061">
        <v>331</v>
      </c>
      <c r="Q4061" s="5" t="e">
        <f>IF(AND(#REF!&gt;=table!$C$6,#REF!&lt;= table!$D$6),-1,IF(AND(#REF!&gt;=table!$E$6,#REF!&lt;=table!$F$6),1,0))</f>
        <v>#REF!</v>
      </c>
      <c r="R4061" s="5" t="e">
        <f>IF(AND(#REF!&gt;=table!$C$7,#REF!&lt;= table!$D$7),-1,IF(AND(#REF!&gt;=table!$E$7,#REF!&lt;=table!$F$7),1,0))</f>
        <v>#REF!</v>
      </c>
      <c r="S4061" s="5" t="e">
        <f>IF(AND(#REF!&gt;=table!$C$8,#REF!&lt;= table!$D$8),-1,IF(AND(#REF!&gt;=table!$E$8,#REF!&lt;=table!$F$8),1,0))</f>
        <v>#REF!</v>
      </c>
      <c r="T4061" s="5"/>
      <c r="U4061" s="5" t="e">
        <f>IF(AND(#REF!&gt;=table!$C$10,#REF!&lt;= table!$D$10),-1,IF(AND(#REF!&gt;=table!$E$10,#REF!&lt;=table!$F$10),1,0))</f>
        <v>#REF!</v>
      </c>
      <c r="V4061" s="5" t="e">
        <f>IF(AND(#REF!&gt;=table!$C$11,#REF!&lt;= table!$D$11),-1,IF(AND(#REF!&gt;=table!$E$11,#REF!&lt;=table!$F$11),1,0))</f>
        <v>#REF!</v>
      </c>
      <c r="W4061" s="5" t="e">
        <f>CONCATENATE(dados[[#This Row],[fator1]],dados[[#This Row],[fator5]],dados[[#This Row],[fator6]])</f>
        <v>#REF!</v>
      </c>
    </row>
    <row r="4062" spans="1:23">
      <c r="A4062" t="s">
        <v>17</v>
      </c>
      <c r="B4062">
        <v>589192</v>
      </c>
      <c r="C4062">
        <v>14</v>
      </c>
      <c r="D4062">
        <v>30</v>
      </c>
      <c r="E4062">
        <v>66</v>
      </c>
      <c r="F4062">
        <v>9</v>
      </c>
      <c r="G4062">
        <v>20</v>
      </c>
      <c r="H4062">
        <v>25</v>
      </c>
      <c r="I4062">
        <v>0</v>
      </c>
      <c r="J4062">
        <v>0</v>
      </c>
      <c r="K4062">
        <v>4.8690000000000007</v>
      </c>
      <c r="L4062">
        <v>14.171000000000001</v>
      </c>
      <c r="M4062">
        <v>61.191000000000003</v>
      </c>
      <c r="N4062">
        <v>23.01</v>
      </c>
      <c r="O4062">
        <v>1687</v>
      </c>
      <c r="P4062">
        <v>756</v>
      </c>
      <c r="Q4062" s="5" t="e">
        <f>IF(AND(#REF!&gt;=table!$C$6,#REF!&lt;= table!$D$6),-1,IF(AND(#REF!&gt;=table!$E$6,#REF!&lt;=table!$F$6),1,0))</f>
        <v>#REF!</v>
      </c>
      <c r="R4062" s="5" t="e">
        <f>IF(AND(#REF!&gt;=table!$C$7,#REF!&lt;= table!$D$7),-1,IF(AND(#REF!&gt;=table!$E$7,#REF!&lt;=table!$F$7),1,0))</f>
        <v>#REF!</v>
      </c>
      <c r="S4062" s="5" t="e">
        <f>IF(AND(#REF!&gt;=table!$C$8,#REF!&lt;= table!$D$8),-1,IF(AND(#REF!&gt;=table!$E$8,#REF!&lt;=table!$F$8),1,0))</f>
        <v>#REF!</v>
      </c>
      <c r="T4062" s="5"/>
      <c r="U4062" s="5" t="e">
        <f>IF(AND(#REF!&gt;=table!$C$10,#REF!&lt;= table!$D$10),-1,IF(AND(#REF!&gt;=table!$E$10,#REF!&lt;=table!$F$10),1,0))</f>
        <v>#REF!</v>
      </c>
      <c r="V4062" s="5" t="e">
        <f>IF(AND(#REF!&gt;=table!$C$11,#REF!&lt;= table!$D$11),-1,IF(AND(#REF!&gt;=table!$E$11,#REF!&lt;=table!$F$11),1,0))</f>
        <v>#REF!</v>
      </c>
      <c r="W4062" s="5" t="e">
        <f>CONCATENATE(dados[[#This Row],[fator1]],dados[[#This Row],[fator5]],dados[[#This Row],[fator6]])</f>
        <v>#REF!</v>
      </c>
    </row>
    <row r="4063" spans="1:23">
      <c r="A4063" t="s">
        <v>16</v>
      </c>
      <c r="B4063">
        <v>589193</v>
      </c>
      <c r="C4063">
        <v>10</v>
      </c>
      <c r="D4063">
        <v>30</v>
      </c>
      <c r="E4063">
        <v>150</v>
      </c>
      <c r="F4063">
        <v>4</v>
      </c>
      <c r="G4063">
        <v>0</v>
      </c>
      <c r="H4063">
        <v>25</v>
      </c>
      <c r="I4063">
        <v>248</v>
      </c>
      <c r="J4063">
        <v>0</v>
      </c>
      <c r="K4063">
        <v>6.3080000000000007</v>
      </c>
      <c r="L4063">
        <v>7.6140000000000008</v>
      </c>
      <c r="M4063">
        <v>107.432</v>
      </c>
      <c r="N4063">
        <v>12.065000000000001</v>
      </c>
      <c r="O4063">
        <v>1670</v>
      </c>
      <c r="P4063">
        <v>531</v>
      </c>
      <c r="Q4063" s="5" t="e">
        <f>IF(AND(#REF!&gt;=table!$C$6,#REF!&lt;= table!$D$6),-1,IF(AND(#REF!&gt;=table!$E$6,#REF!&lt;=table!$F$6),1,0))</f>
        <v>#REF!</v>
      </c>
      <c r="R4063" s="5" t="e">
        <f>IF(AND(#REF!&gt;=table!$C$7,#REF!&lt;= table!$D$7),-1,IF(AND(#REF!&gt;=table!$E$7,#REF!&lt;=table!$F$7),1,0))</f>
        <v>#REF!</v>
      </c>
      <c r="S4063" s="5" t="e">
        <f>IF(AND(#REF!&gt;=table!$C$8,#REF!&lt;= table!$D$8),-1,IF(AND(#REF!&gt;=table!$E$8,#REF!&lt;=table!$F$8),1,0))</f>
        <v>#REF!</v>
      </c>
      <c r="T4063" s="5"/>
      <c r="U4063" s="5" t="e">
        <f>IF(AND(#REF!&gt;=table!$C$10,#REF!&lt;= table!$D$10),-1,IF(AND(#REF!&gt;=table!$E$10,#REF!&lt;=table!$F$10),1,0))</f>
        <v>#REF!</v>
      </c>
      <c r="V4063" s="5" t="e">
        <f>IF(AND(#REF!&gt;=table!$C$11,#REF!&lt;= table!$D$11),-1,IF(AND(#REF!&gt;=table!$E$11,#REF!&lt;=table!$F$11),1,0))</f>
        <v>#REF!</v>
      </c>
      <c r="W4063" s="5" t="e">
        <f>CONCATENATE(dados[[#This Row],[fator1]],dados[[#This Row],[fator5]],dados[[#This Row],[fator6]])</f>
        <v>#REF!</v>
      </c>
    </row>
    <row r="4064" spans="1:23">
      <c r="A4064" t="s">
        <v>17</v>
      </c>
      <c r="B4064">
        <v>589196</v>
      </c>
      <c r="C4064">
        <v>16</v>
      </c>
      <c r="D4064">
        <v>30</v>
      </c>
      <c r="E4064">
        <v>106</v>
      </c>
      <c r="F4064">
        <v>9</v>
      </c>
      <c r="G4064">
        <v>20</v>
      </c>
      <c r="H4064">
        <v>25</v>
      </c>
      <c r="I4064">
        <v>2</v>
      </c>
      <c r="J4064">
        <v>0</v>
      </c>
      <c r="K4064">
        <v>8.5080000000000009</v>
      </c>
      <c r="L4064">
        <v>13.871</v>
      </c>
      <c r="M4064">
        <v>87.941500000000005</v>
      </c>
      <c r="N4064">
        <v>17.385000000000002</v>
      </c>
      <c r="O4064">
        <v>1671</v>
      </c>
      <c r="P4064">
        <v>0</v>
      </c>
      <c r="Q4064" s="5" t="e">
        <f>IF(AND(#REF!&gt;=table!$C$6,#REF!&lt;= table!$D$6),-1,IF(AND(#REF!&gt;=table!$E$6,#REF!&lt;=table!$F$6),1,0))</f>
        <v>#REF!</v>
      </c>
      <c r="R4064" s="5" t="e">
        <f>IF(AND(#REF!&gt;=table!$C$7,#REF!&lt;= table!$D$7),-1,IF(AND(#REF!&gt;=table!$E$7,#REF!&lt;=table!$F$7),1,0))</f>
        <v>#REF!</v>
      </c>
      <c r="S4064" s="5" t="e">
        <f>IF(AND(#REF!&gt;=table!$C$8,#REF!&lt;= table!$D$8),-1,IF(AND(#REF!&gt;=table!$E$8,#REF!&lt;=table!$F$8),1,0))</f>
        <v>#REF!</v>
      </c>
      <c r="T4064" s="5"/>
      <c r="U4064" s="5" t="e">
        <f>IF(AND(#REF!&gt;=table!$C$10,#REF!&lt;= table!$D$10),-1,IF(AND(#REF!&gt;=table!$E$10,#REF!&lt;=table!$F$10),1,0))</f>
        <v>#REF!</v>
      </c>
      <c r="V4064" s="5" t="e">
        <f>IF(AND(#REF!&gt;=table!$C$11,#REF!&lt;= table!$D$11),-1,IF(AND(#REF!&gt;=table!$E$11,#REF!&lt;=table!$F$11),1,0))</f>
        <v>#REF!</v>
      </c>
      <c r="W4064" s="5" t="e">
        <f>CONCATENATE(dados[[#This Row],[fator1]],dados[[#This Row],[fator5]],dados[[#This Row],[fator6]])</f>
        <v>#REF!</v>
      </c>
    </row>
    <row r="4065" spans="1:23">
      <c r="A4065" t="s">
        <v>16</v>
      </c>
      <c r="B4065">
        <v>589197</v>
      </c>
      <c r="C4065">
        <v>6</v>
      </c>
      <c r="D4065">
        <v>25</v>
      </c>
      <c r="E4065">
        <v>120</v>
      </c>
      <c r="F4065">
        <v>4</v>
      </c>
      <c r="G4065">
        <v>0</v>
      </c>
      <c r="H4065">
        <v>55</v>
      </c>
      <c r="I4065">
        <v>0</v>
      </c>
      <c r="J4065">
        <v>0</v>
      </c>
      <c r="K4065">
        <v>4.7330000000000005</v>
      </c>
      <c r="L4065">
        <v>8.6370000000000005</v>
      </c>
      <c r="M4065">
        <v>106.227</v>
      </c>
      <c r="N4065">
        <v>28.96</v>
      </c>
      <c r="O4065">
        <v>1683</v>
      </c>
      <c r="P4065">
        <v>0</v>
      </c>
      <c r="Q4065" s="5" t="e">
        <f>IF(AND(#REF!&gt;=table!$C$6,#REF!&lt;= table!$D$6),-1,IF(AND(#REF!&gt;=table!$E$6,#REF!&lt;=table!$F$6),1,0))</f>
        <v>#REF!</v>
      </c>
      <c r="R4065" s="5" t="e">
        <f>IF(AND(#REF!&gt;=table!$C$7,#REF!&lt;= table!$D$7),-1,IF(AND(#REF!&gt;=table!$E$7,#REF!&lt;=table!$F$7),1,0))</f>
        <v>#REF!</v>
      </c>
      <c r="S4065" s="5" t="e">
        <f>IF(AND(#REF!&gt;=table!$C$8,#REF!&lt;= table!$D$8),-1,IF(AND(#REF!&gt;=table!$E$8,#REF!&lt;=table!$F$8),1,0))</f>
        <v>#REF!</v>
      </c>
      <c r="T4065" s="5"/>
      <c r="U4065" s="5" t="e">
        <f>IF(AND(#REF!&gt;=table!$C$10,#REF!&lt;= table!$D$10),-1,IF(AND(#REF!&gt;=table!$E$10,#REF!&lt;=table!$F$10),1,0))</f>
        <v>#REF!</v>
      </c>
      <c r="V4065" s="5" t="e">
        <f>IF(AND(#REF!&gt;=table!$C$11,#REF!&lt;= table!$D$11),-1,IF(AND(#REF!&gt;=table!$E$11,#REF!&lt;=table!$F$11),1,0))</f>
        <v>#REF!</v>
      </c>
      <c r="W4065" s="5" t="e">
        <f>CONCATENATE(dados[[#This Row],[fator1]],dados[[#This Row],[fator5]],dados[[#This Row],[fator6]])</f>
        <v>#REF!</v>
      </c>
    </row>
    <row r="4066" spans="1:23">
      <c r="A4066" t="s">
        <v>17</v>
      </c>
      <c r="B4066">
        <v>589199</v>
      </c>
      <c r="C4066">
        <v>16</v>
      </c>
      <c r="D4066">
        <v>23</v>
      </c>
      <c r="E4066">
        <v>145</v>
      </c>
      <c r="F4066">
        <v>9</v>
      </c>
      <c r="G4066">
        <v>30</v>
      </c>
      <c r="H4066">
        <v>25</v>
      </c>
      <c r="I4066">
        <v>5</v>
      </c>
      <c r="J4066">
        <v>760</v>
      </c>
      <c r="K4066">
        <v>4.5550000000000006</v>
      </c>
      <c r="L4066">
        <v>14.153500000000001</v>
      </c>
      <c r="M4066">
        <v>122.11250000000001</v>
      </c>
      <c r="N4066">
        <v>28.475000000000001</v>
      </c>
      <c r="O4066">
        <v>1679</v>
      </c>
      <c r="P4066">
        <v>740</v>
      </c>
      <c r="Q4066" s="5" t="e">
        <f>IF(AND(#REF!&gt;=table!$C$6,#REF!&lt;= table!$D$6),-1,IF(AND(#REF!&gt;=table!$E$6,#REF!&lt;=table!$F$6),1,0))</f>
        <v>#REF!</v>
      </c>
      <c r="R4066" s="5" t="e">
        <f>IF(AND(#REF!&gt;=table!$C$7,#REF!&lt;= table!$D$7),-1,IF(AND(#REF!&gt;=table!$E$7,#REF!&lt;=table!$F$7),1,0))</f>
        <v>#REF!</v>
      </c>
      <c r="S4066" s="5" t="e">
        <f>IF(AND(#REF!&gt;=table!$C$8,#REF!&lt;= table!$D$8),-1,IF(AND(#REF!&gt;=table!$E$8,#REF!&lt;=table!$F$8),1,0))</f>
        <v>#REF!</v>
      </c>
      <c r="T4066" s="5"/>
      <c r="U4066" s="5" t="e">
        <f>IF(AND(#REF!&gt;=table!$C$10,#REF!&lt;= table!$D$10),-1,IF(AND(#REF!&gt;=table!$E$10,#REF!&lt;=table!$F$10),1,0))</f>
        <v>#REF!</v>
      </c>
      <c r="V4066" s="5" t="e">
        <f>IF(AND(#REF!&gt;=table!$C$11,#REF!&lt;= table!$D$11),-1,IF(AND(#REF!&gt;=table!$E$11,#REF!&lt;=table!$F$11),1,0))</f>
        <v>#REF!</v>
      </c>
      <c r="W4066" s="5" t="e">
        <f>CONCATENATE(dados[[#This Row],[fator1]],dados[[#This Row],[fator5]],dados[[#This Row],[fator6]])</f>
        <v>#REF!</v>
      </c>
    </row>
    <row r="4067" spans="1:23">
      <c r="A4067" t="s">
        <v>16</v>
      </c>
      <c r="B4067">
        <v>589200</v>
      </c>
      <c r="C4067">
        <v>0.15</v>
      </c>
      <c r="D4067">
        <v>35</v>
      </c>
      <c r="E4067">
        <v>15</v>
      </c>
      <c r="F4067">
        <v>10</v>
      </c>
      <c r="G4067">
        <v>0</v>
      </c>
      <c r="H4067">
        <v>12</v>
      </c>
      <c r="I4067">
        <v>278</v>
      </c>
      <c r="J4067">
        <v>0</v>
      </c>
      <c r="K4067">
        <v>3.504</v>
      </c>
      <c r="L4067">
        <v>7.2795000000000005</v>
      </c>
      <c r="M4067">
        <v>6.8955000000000002</v>
      </c>
      <c r="N4067">
        <v>9.93</v>
      </c>
      <c r="O4067">
        <v>1684</v>
      </c>
      <c r="P4067">
        <v>1302</v>
      </c>
      <c r="Q4067" s="5" t="e">
        <f>IF(AND(#REF!&gt;=table!$C$6,#REF!&lt;= table!$D$6),-1,IF(AND(#REF!&gt;=table!$E$6,#REF!&lt;=table!$F$6),1,0))</f>
        <v>#REF!</v>
      </c>
      <c r="R4067" s="5" t="e">
        <f>IF(AND(#REF!&gt;=table!$C$7,#REF!&lt;= table!$D$7),-1,IF(AND(#REF!&gt;=table!$E$7,#REF!&lt;=table!$F$7),1,0))</f>
        <v>#REF!</v>
      </c>
      <c r="S4067" s="5" t="e">
        <f>IF(AND(#REF!&gt;=table!$C$8,#REF!&lt;= table!$D$8),-1,IF(AND(#REF!&gt;=table!$E$8,#REF!&lt;=table!$F$8),1,0))</f>
        <v>#REF!</v>
      </c>
      <c r="T4067" s="5"/>
      <c r="U4067" s="5" t="e">
        <f>IF(AND(#REF!&gt;=table!$C$10,#REF!&lt;= table!$D$10),-1,IF(AND(#REF!&gt;=table!$E$10,#REF!&lt;=table!$F$10),1,0))</f>
        <v>#REF!</v>
      </c>
      <c r="V4067" s="5" t="e">
        <f>IF(AND(#REF!&gt;=table!$C$11,#REF!&lt;= table!$D$11),-1,IF(AND(#REF!&gt;=table!$E$11,#REF!&lt;=table!$F$11),1,0))</f>
        <v>#REF!</v>
      </c>
      <c r="W4067" s="5" t="e">
        <f>CONCATENATE(dados[[#This Row],[fator1]],dados[[#This Row],[fator5]],dados[[#This Row],[fator6]])</f>
        <v>#REF!</v>
      </c>
    </row>
    <row r="4068" spans="1:23">
      <c r="A4068" t="s">
        <v>16</v>
      </c>
      <c r="B4068">
        <v>589201</v>
      </c>
      <c r="C4068">
        <v>0.1</v>
      </c>
      <c r="D4068">
        <v>35</v>
      </c>
      <c r="E4068">
        <v>10</v>
      </c>
      <c r="F4068">
        <v>10</v>
      </c>
      <c r="G4068">
        <v>0</v>
      </c>
      <c r="H4068">
        <v>12</v>
      </c>
      <c r="I4068">
        <v>635</v>
      </c>
      <c r="J4068">
        <v>750</v>
      </c>
      <c r="K4068">
        <v>5.4889999999999999</v>
      </c>
      <c r="L4068">
        <v>10.619</v>
      </c>
      <c r="M4068">
        <v>6.5325000000000006</v>
      </c>
      <c r="N4068">
        <v>14.27</v>
      </c>
      <c r="O4068">
        <v>1674</v>
      </c>
      <c r="P4068">
        <v>0</v>
      </c>
      <c r="Q4068" s="5" t="e">
        <f>IF(AND(#REF!&gt;=table!$C$6,#REF!&lt;= table!$D$6),-1,IF(AND(#REF!&gt;=table!$E$6,#REF!&lt;=table!$F$6),1,0))</f>
        <v>#REF!</v>
      </c>
      <c r="R4068" s="5" t="e">
        <f>IF(AND(#REF!&gt;=table!$C$7,#REF!&lt;= table!$D$7),-1,IF(AND(#REF!&gt;=table!$E$7,#REF!&lt;=table!$F$7),1,0))</f>
        <v>#REF!</v>
      </c>
      <c r="S4068" s="5" t="e">
        <f>IF(AND(#REF!&gt;=table!$C$8,#REF!&lt;= table!$D$8),-1,IF(AND(#REF!&gt;=table!$E$8,#REF!&lt;=table!$F$8),1,0))</f>
        <v>#REF!</v>
      </c>
      <c r="T4068" s="5"/>
      <c r="U4068" s="5" t="e">
        <f>IF(AND(#REF!&gt;=table!$C$10,#REF!&lt;= table!$D$10),-1,IF(AND(#REF!&gt;=table!$E$10,#REF!&lt;=table!$F$10),1,0))</f>
        <v>#REF!</v>
      </c>
      <c r="V4068" s="5" t="e">
        <f>IF(AND(#REF!&gt;=table!$C$11,#REF!&lt;= table!$D$11),-1,IF(AND(#REF!&gt;=table!$E$11,#REF!&lt;=table!$F$11),1,0))</f>
        <v>#REF!</v>
      </c>
      <c r="W4068" s="5" t="e">
        <f>CONCATENATE(dados[[#This Row],[fator1]],dados[[#This Row],[fator5]],dados[[#This Row],[fator6]])</f>
        <v>#REF!</v>
      </c>
    </row>
    <row r="4069" spans="1:23">
      <c r="A4069" t="s">
        <v>16</v>
      </c>
      <c r="B4069">
        <v>589202</v>
      </c>
      <c r="C4069">
        <v>0.1</v>
      </c>
      <c r="D4069">
        <v>35</v>
      </c>
      <c r="E4069">
        <v>10</v>
      </c>
      <c r="F4069">
        <v>10</v>
      </c>
      <c r="G4069">
        <v>0</v>
      </c>
      <c r="H4069">
        <v>12</v>
      </c>
      <c r="I4069">
        <v>781</v>
      </c>
      <c r="J4069">
        <v>0</v>
      </c>
      <c r="K4069">
        <v>5.5440000000000005</v>
      </c>
      <c r="L4069">
        <v>7.6750000000000007</v>
      </c>
      <c r="M4069">
        <v>6.9980000000000002</v>
      </c>
      <c r="N4069">
        <v>8.42</v>
      </c>
      <c r="O4069">
        <v>1671</v>
      </c>
      <c r="P4069">
        <v>660</v>
      </c>
      <c r="Q4069" s="5" t="e">
        <f>IF(AND(#REF!&gt;=table!$C$6,#REF!&lt;= table!$D$6),-1,IF(AND(#REF!&gt;=table!$E$6,#REF!&lt;=table!$F$6),1,0))</f>
        <v>#REF!</v>
      </c>
      <c r="R4069" s="5" t="e">
        <f>IF(AND(#REF!&gt;=table!$C$7,#REF!&lt;= table!$D$7),-1,IF(AND(#REF!&gt;=table!$E$7,#REF!&lt;=table!$F$7),1,0))</f>
        <v>#REF!</v>
      </c>
      <c r="S4069" s="5" t="e">
        <f>IF(AND(#REF!&gt;=table!$C$8,#REF!&lt;= table!$D$8),-1,IF(AND(#REF!&gt;=table!$E$8,#REF!&lt;=table!$F$8),1,0))</f>
        <v>#REF!</v>
      </c>
      <c r="T4069" s="5"/>
      <c r="U4069" s="5" t="e">
        <f>IF(AND(#REF!&gt;=table!$C$10,#REF!&lt;= table!$D$10),-1,IF(AND(#REF!&gt;=table!$E$10,#REF!&lt;=table!$F$10),1,0))</f>
        <v>#REF!</v>
      </c>
      <c r="V4069" s="5" t="e">
        <f>IF(AND(#REF!&gt;=table!$C$11,#REF!&lt;= table!$D$11),-1,IF(AND(#REF!&gt;=table!$E$11,#REF!&lt;=table!$F$11),1,0))</f>
        <v>#REF!</v>
      </c>
      <c r="W4069" s="5" t="e">
        <f>CONCATENATE(dados[[#This Row],[fator1]],dados[[#This Row],[fator5]],dados[[#This Row],[fator6]])</f>
        <v>#REF!</v>
      </c>
    </row>
    <row r="4070" spans="1:23">
      <c r="A4070" t="s">
        <v>16</v>
      </c>
      <c r="B4070">
        <v>589203</v>
      </c>
      <c r="C4070">
        <v>12</v>
      </c>
      <c r="D4070">
        <v>35</v>
      </c>
      <c r="E4070">
        <v>180</v>
      </c>
      <c r="F4070">
        <v>6</v>
      </c>
      <c r="G4070">
        <v>0</v>
      </c>
      <c r="H4070">
        <v>20</v>
      </c>
      <c r="I4070">
        <v>0</v>
      </c>
      <c r="J4070">
        <v>0</v>
      </c>
      <c r="K4070">
        <v>4.91</v>
      </c>
      <c r="L4070">
        <v>8.33</v>
      </c>
      <c r="M4070">
        <v>151.74600000000001</v>
      </c>
      <c r="N4070">
        <v>13.93</v>
      </c>
      <c r="O4070">
        <v>1681</v>
      </c>
      <c r="P4070">
        <v>671</v>
      </c>
      <c r="Q4070" s="5" t="e">
        <f>IF(AND(#REF!&gt;=table!$C$6,#REF!&lt;= table!$D$6),-1,IF(AND(#REF!&gt;=table!$E$6,#REF!&lt;=table!$F$6),1,0))</f>
        <v>#REF!</v>
      </c>
      <c r="R4070" s="5" t="e">
        <f>IF(AND(#REF!&gt;=table!$C$7,#REF!&lt;= table!$D$7),-1,IF(AND(#REF!&gt;=table!$E$7,#REF!&lt;=table!$F$7),1,0))</f>
        <v>#REF!</v>
      </c>
      <c r="S4070" s="5" t="e">
        <f>IF(AND(#REF!&gt;=table!$C$8,#REF!&lt;= table!$D$8),-1,IF(AND(#REF!&gt;=table!$E$8,#REF!&lt;=table!$F$8),1,0))</f>
        <v>#REF!</v>
      </c>
      <c r="T4070" s="5"/>
      <c r="U4070" s="5" t="e">
        <f>IF(AND(#REF!&gt;=table!$C$10,#REF!&lt;= table!$D$10),-1,IF(AND(#REF!&gt;=table!$E$10,#REF!&lt;=table!$F$10),1,0))</f>
        <v>#REF!</v>
      </c>
      <c r="V4070" s="5" t="e">
        <f>IF(AND(#REF!&gt;=table!$C$11,#REF!&lt;= table!$D$11),-1,IF(AND(#REF!&gt;=table!$E$11,#REF!&lt;=table!$F$11),1,0))</f>
        <v>#REF!</v>
      </c>
      <c r="W4070" s="5" t="e">
        <f>CONCATENATE(dados[[#This Row],[fator1]],dados[[#This Row],[fator5]],dados[[#This Row],[fator6]])</f>
        <v>#REF!</v>
      </c>
    </row>
    <row r="4071" spans="1:23">
      <c r="A4071" t="s">
        <v>16</v>
      </c>
      <c r="B4071">
        <v>589204</v>
      </c>
      <c r="C4071">
        <v>12</v>
      </c>
      <c r="D4071">
        <v>35</v>
      </c>
      <c r="E4071">
        <v>180</v>
      </c>
      <c r="F4071">
        <v>6</v>
      </c>
      <c r="G4071">
        <v>0</v>
      </c>
      <c r="H4071">
        <v>20</v>
      </c>
      <c r="I4071">
        <v>1220</v>
      </c>
      <c r="J4071">
        <v>1800</v>
      </c>
      <c r="K4071">
        <v>4.3295000000000003</v>
      </c>
      <c r="L4071">
        <v>9.5745000000000005</v>
      </c>
      <c r="M4071">
        <v>158.22750000000002</v>
      </c>
      <c r="N4071">
        <v>12.44</v>
      </c>
      <c r="O4071">
        <v>1694</v>
      </c>
      <c r="P4071">
        <v>881</v>
      </c>
      <c r="Q4071" s="5" t="e">
        <f>IF(AND(#REF!&gt;=table!$C$6,#REF!&lt;= table!$D$6),-1,IF(AND(#REF!&gt;=table!$E$6,#REF!&lt;=table!$F$6),1,0))</f>
        <v>#REF!</v>
      </c>
      <c r="R4071" s="5" t="e">
        <f>IF(AND(#REF!&gt;=table!$C$7,#REF!&lt;= table!$D$7),-1,IF(AND(#REF!&gt;=table!$E$7,#REF!&lt;=table!$F$7),1,0))</f>
        <v>#REF!</v>
      </c>
      <c r="S4071" s="5" t="e">
        <f>IF(AND(#REF!&gt;=table!$C$8,#REF!&lt;= table!$D$8),-1,IF(AND(#REF!&gt;=table!$E$8,#REF!&lt;=table!$F$8),1,0))</f>
        <v>#REF!</v>
      </c>
      <c r="T4071" s="5"/>
      <c r="U4071" s="5" t="e">
        <f>IF(AND(#REF!&gt;=table!$C$10,#REF!&lt;= table!$D$10),-1,IF(AND(#REF!&gt;=table!$E$10,#REF!&lt;=table!$F$10),1,0))</f>
        <v>#REF!</v>
      </c>
      <c r="V4071" s="5" t="e">
        <f>IF(AND(#REF!&gt;=table!$C$11,#REF!&lt;= table!$D$11),-1,IF(AND(#REF!&gt;=table!$E$11,#REF!&lt;=table!$F$11),1,0))</f>
        <v>#REF!</v>
      </c>
      <c r="W4071" s="5" t="e">
        <f>CONCATENATE(dados[[#This Row],[fator1]],dados[[#This Row],[fator5]],dados[[#This Row],[fator6]])</f>
        <v>#REF!</v>
      </c>
    </row>
    <row r="4072" spans="1:23">
      <c r="A4072" t="s">
        <v>16</v>
      </c>
      <c r="B4072">
        <v>589205</v>
      </c>
      <c r="C4072">
        <v>12</v>
      </c>
      <c r="D4072">
        <v>35</v>
      </c>
      <c r="E4072">
        <v>180</v>
      </c>
      <c r="F4072">
        <v>6</v>
      </c>
      <c r="G4072">
        <v>0</v>
      </c>
      <c r="H4072">
        <v>20</v>
      </c>
      <c r="I4072">
        <v>1252</v>
      </c>
      <c r="J4072">
        <v>0</v>
      </c>
      <c r="K4072">
        <v>2.6555</v>
      </c>
      <c r="L4072">
        <v>5.1960000000000006</v>
      </c>
      <c r="M4072">
        <v>116.021</v>
      </c>
      <c r="N4072">
        <v>9.9749999999999996</v>
      </c>
      <c r="O4072">
        <v>1677</v>
      </c>
      <c r="P4072">
        <v>1087</v>
      </c>
      <c r="Q4072" s="5" t="e">
        <f>IF(AND(#REF!&gt;=table!$C$6,#REF!&lt;= table!$D$6),-1,IF(AND(#REF!&gt;=table!$E$6,#REF!&lt;=table!$F$6),1,0))</f>
        <v>#REF!</v>
      </c>
      <c r="R4072" s="5" t="e">
        <f>IF(AND(#REF!&gt;=table!$C$7,#REF!&lt;= table!$D$7),-1,IF(AND(#REF!&gt;=table!$E$7,#REF!&lt;=table!$F$7),1,0))</f>
        <v>#REF!</v>
      </c>
      <c r="S4072" s="5" t="e">
        <f>IF(AND(#REF!&gt;=table!$C$8,#REF!&lt;= table!$D$8),-1,IF(AND(#REF!&gt;=table!$E$8,#REF!&lt;=table!$F$8),1,0))</f>
        <v>#REF!</v>
      </c>
      <c r="T4072" s="5"/>
      <c r="U4072" s="5" t="e">
        <f>IF(AND(#REF!&gt;=table!$C$10,#REF!&lt;= table!$D$10),-1,IF(AND(#REF!&gt;=table!$E$10,#REF!&lt;=table!$F$10),1,0))</f>
        <v>#REF!</v>
      </c>
      <c r="V4072" s="5" t="e">
        <f>IF(AND(#REF!&gt;=table!$C$11,#REF!&lt;= table!$D$11),-1,IF(AND(#REF!&gt;=table!$E$11,#REF!&lt;=table!$F$11),1,0))</f>
        <v>#REF!</v>
      </c>
      <c r="W4072" s="5" t="e">
        <f>CONCATENATE(dados[[#This Row],[fator1]],dados[[#This Row],[fator5]],dados[[#This Row],[fator6]])</f>
        <v>#REF!</v>
      </c>
    </row>
    <row r="4073" spans="1:23">
      <c r="A4073" t="s">
        <v>17</v>
      </c>
      <c r="B4073">
        <v>589210</v>
      </c>
      <c r="C4073">
        <v>0.15</v>
      </c>
      <c r="D4073">
        <v>40</v>
      </c>
      <c r="E4073">
        <v>105</v>
      </c>
      <c r="F4073">
        <v>10</v>
      </c>
      <c r="G4073">
        <v>10</v>
      </c>
      <c r="H4073">
        <v>80</v>
      </c>
      <c r="I4073">
        <v>518</v>
      </c>
      <c r="J4073">
        <v>0</v>
      </c>
      <c r="K4073">
        <v>2.0355000000000003</v>
      </c>
      <c r="L4073">
        <v>6.9080000000000004</v>
      </c>
      <c r="M4073">
        <v>6.4480000000000004</v>
      </c>
      <c r="N4073">
        <v>20.725000000000001</v>
      </c>
      <c r="O4073">
        <v>1677</v>
      </c>
      <c r="P4073">
        <v>1384</v>
      </c>
      <c r="Q4073" s="5" t="e">
        <f>IF(AND(#REF!&gt;=table!$C$6,#REF!&lt;= table!$D$6),-1,IF(AND(#REF!&gt;=table!$E$6,#REF!&lt;=table!$F$6),1,0))</f>
        <v>#REF!</v>
      </c>
      <c r="R4073" s="5" t="e">
        <f>IF(AND(#REF!&gt;=table!$C$7,#REF!&lt;= table!$D$7),-1,IF(AND(#REF!&gt;=table!$E$7,#REF!&lt;=table!$F$7),1,0))</f>
        <v>#REF!</v>
      </c>
      <c r="S4073" s="5" t="e">
        <f>IF(AND(#REF!&gt;=table!$C$8,#REF!&lt;= table!$D$8),-1,IF(AND(#REF!&gt;=table!$E$8,#REF!&lt;=table!$F$8),1,0))</f>
        <v>#REF!</v>
      </c>
      <c r="T4073" s="5"/>
      <c r="U4073" s="5" t="e">
        <f>IF(AND(#REF!&gt;=table!$C$10,#REF!&lt;= table!$D$10),-1,IF(AND(#REF!&gt;=table!$E$10,#REF!&lt;=table!$F$10),1,0))</f>
        <v>#REF!</v>
      </c>
      <c r="V4073" s="5" t="e">
        <f>IF(AND(#REF!&gt;=table!$C$11,#REF!&lt;= table!$D$11),-1,IF(AND(#REF!&gt;=table!$E$11,#REF!&lt;=table!$F$11),1,0))</f>
        <v>#REF!</v>
      </c>
      <c r="W4073" s="5" t="e">
        <f>CONCATENATE(dados[[#This Row],[fator1]],dados[[#This Row],[fator5]],dados[[#This Row],[fator6]])</f>
        <v>#REF!</v>
      </c>
    </row>
    <row r="4074" spans="1:23">
      <c r="A4074" t="s">
        <v>16</v>
      </c>
      <c r="B4074">
        <v>589212</v>
      </c>
      <c r="C4074">
        <v>7</v>
      </c>
      <c r="D4074">
        <v>35</v>
      </c>
      <c r="E4074">
        <v>170</v>
      </c>
      <c r="F4074">
        <v>6</v>
      </c>
      <c r="G4074">
        <v>0</v>
      </c>
      <c r="H4074">
        <v>20</v>
      </c>
      <c r="I4074">
        <v>2</v>
      </c>
      <c r="J4074">
        <v>0</v>
      </c>
      <c r="K4074">
        <v>2.4060000000000001</v>
      </c>
      <c r="L4074">
        <v>7.1375000000000002</v>
      </c>
      <c r="M4074">
        <v>111.8275</v>
      </c>
      <c r="N4074">
        <v>11.225000000000001</v>
      </c>
      <c r="O4074">
        <v>1655</v>
      </c>
      <c r="P4074">
        <v>0</v>
      </c>
      <c r="Q4074" s="5" t="e">
        <f>IF(AND(#REF!&gt;=table!$C$6,#REF!&lt;= table!$D$6),-1,IF(AND(#REF!&gt;=table!$E$6,#REF!&lt;=table!$F$6),1,0))</f>
        <v>#REF!</v>
      </c>
      <c r="R4074" s="5" t="e">
        <f>IF(AND(#REF!&gt;=table!$C$7,#REF!&lt;= table!$D$7),-1,IF(AND(#REF!&gt;=table!$E$7,#REF!&lt;=table!$F$7),1,0))</f>
        <v>#REF!</v>
      </c>
      <c r="S4074" s="5" t="e">
        <f>IF(AND(#REF!&gt;=table!$C$8,#REF!&lt;= table!$D$8),-1,IF(AND(#REF!&gt;=table!$E$8,#REF!&lt;=table!$F$8),1,0))</f>
        <v>#REF!</v>
      </c>
      <c r="T4074" s="5"/>
      <c r="U4074" s="5" t="e">
        <f>IF(AND(#REF!&gt;=table!$C$10,#REF!&lt;= table!$D$10),-1,IF(AND(#REF!&gt;=table!$E$10,#REF!&lt;=table!$F$10),1,0))</f>
        <v>#REF!</v>
      </c>
      <c r="V4074" s="5" t="e">
        <f>IF(AND(#REF!&gt;=table!$C$11,#REF!&lt;= table!$D$11),-1,IF(AND(#REF!&gt;=table!$E$11,#REF!&lt;=table!$F$11),1,0))</f>
        <v>#REF!</v>
      </c>
      <c r="W4074" s="5" t="e">
        <f>CONCATENATE(dados[[#This Row],[fator1]],dados[[#This Row],[fator5]],dados[[#This Row],[fator6]])</f>
        <v>#REF!</v>
      </c>
    </row>
    <row r="4075" spans="1:23">
      <c r="A4075" t="s">
        <v>16</v>
      </c>
      <c r="B4075">
        <v>589218</v>
      </c>
      <c r="C4075">
        <v>0.2</v>
      </c>
      <c r="D4075">
        <v>65</v>
      </c>
      <c r="E4075">
        <v>26</v>
      </c>
      <c r="F4075">
        <v>15</v>
      </c>
      <c r="G4075">
        <v>0</v>
      </c>
      <c r="H4075">
        <v>30</v>
      </c>
      <c r="I4075">
        <v>639</v>
      </c>
      <c r="J4075">
        <v>0</v>
      </c>
      <c r="K4075">
        <v>3.153</v>
      </c>
      <c r="L4075">
        <v>9.3979999999999997</v>
      </c>
      <c r="M4075">
        <v>8.8254999999999999</v>
      </c>
      <c r="N4075">
        <v>19.64</v>
      </c>
      <c r="O4075">
        <v>1680</v>
      </c>
      <c r="P4075">
        <v>909</v>
      </c>
      <c r="Q4075" s="5" t="e">
        <f>IF(AND(#REF!&gt;=table!$C$6,#REF!&lt;= table!$D$6),-1,IF(AND(#REF!&gt;=table!$E$6,#REF!&lt;=table!$F$6),1,0))</f>
        <v>#REF!</v>
      </c>
      <c r="R4075" s="5" t="e">
        <f>IF(AND(#REF!&gt;=table!$C$7,#REF!&lt;= table!$D$7),-1,IF(AND(#REF!&gt;=table!$E$7,#REF!&lt;=table!$F$7),1,0))</f>
        <v>#REF!</v>
      </c>
      <c r="S4075" s="5" t="e">
        <f>IF(AND(#REF!&gt;=table!$C$8,#REF!&lt;= table!$D$8),-1,IF(AND(#REF!&gt;=table!$E$8,#REF!&lt;=table!$F$8),1,0))</f>
        <v>#REF!</v>
      </c>
      <c r="T4075" s="5"/>
      <c r="U4075" s="5" t="e">
        <f>IF(AND(#REF!&gt;=table!$C$10,#REF!&lt;= table!$D$10),-1,IF(AND(#REF!&gt;=table!$E$10,#REF!&lt;=table!$F$10),1,0))</f>
        <v>#REF!</v>
      </c>
      <c r="V4075" s="5" t="e">
        <f>IF(AND(#REF!&gt;=table!$C$11,#REF!&lt;= table!$D$11),-1,IF(AND(#REF!&gt;=table!$E$11,#REF!&lt;=table!$F$11),1,0))</f>
        <v>#REF!</v>
      </c>
      <c r="W4075" s="5" t="e">
        <f>CONCATENATE(dados[[#This Row],[fator1]],dados[[#This Row],[fator5]],dados[[#This Row],[fator6]])</f>
        <v>#REF!</v>
      </c>
    </row>
    <row r="4076" spans="1:23">
      <c r="A4076" t="s">
        <v>16</v>
      </c>
      <c r="B4076">
        <v>589221</v>
      </c>
      <c r="C4076">
        <v>4</v>
      </c>
      <c r="D4076">
        <v>40</v>
      </c>
      <c r="E4076">
        <v>21</v>
      </c>
      <c r="F4076">
        <v>10</v>
      </c>
      <c r="G4076">
        <v>0</v>
      </c>
      <c r="H4076">
        <v>25</v>
      </c>
      <c r="I4076">
        <v>863</v>
      </c>
      <c r="J4076">
        <v>0</v>
      </c>
      <c r="K4076">
        <v>3.24</v>
      </c>
      <c r="L4076">
        <v>9.6105</v>
      </c>
      <c r="M4076">
        <v>8.4375</v>
      </c>
      <c r="N4076">
        <v>10.275</v>
      </c>
      <c r="O4076">
        <v>1661</v>
      </c>
      <c r="P4076">
        <v>816</v>
      </c>
      <c r="Q4076" s="5" t="e">
        <f>IF(AND(#REF!&gt;=table!$C$6,#REF!&lt;= table!$D$6),-1,IF(AND(#REF!&gt;=table!$E$6,#REF!&lt;=table!$F$6),1,0))</f>
        <v>#REF!</v>
      </c>
      <c r="R4076" s="5" t="e">
        <f>IF(AND(#REF!&gt;=table!$C$7,#REF!&lt;= table!$D$7),-1,IF(AND(#REF!&gt;=table!$E$7,#REF!&lt;=table!$F$7),1,0))</f>
        <v>#REF!</v>
      </c>
      <c r="S4076" s="5" t="e">
        <f>IF(AND(#REF!&gt;=table!$C$8,#REF!&lt;= table!$D$8),-1,IF(AND(#REF!&gt;=table!$E$8,#REF!&lt;=table!$F$8),1,0))</f>
        <v>#REF!</v>
      </c>
      <c r="T4076" s="5"/>
      <c r="U4076" s="5" t="e">
        <f>IF(AND(#REF!&gt;=table!$C$10,#REF!&lt;= table!$D$10),-1,IF(AND(#REF!&gt;=table!$E$10,#REF!&lt;=table!$F$10),1,0))</f>
        <v>#REF!</v>
      </c>
      <c r="V4076" s="5" t="e">
        <f>IF(AND(#REF!&gt;=table!$C$11,#REF!&lt;= table!$D$11),-1,IF(AND(#REF!&gt;=table!$E$11,#REF!&lt;=table!$F$11),1,0))</f>
        <v>#REF!</v>
      </c>
      <c r="W4076" s="5" t="e">
        <f>CONCATENATE(dados[[#This Row],[fator1]],dados[[#This Row],[fator5]],dados[[#This Row],[fator6]])</f>
        <v>#REF!</v>
      </c>
    </row>
    <row r="4077" spans="1:23">
      <c r="A4077" t="s">
        <v>16</v>
      </c>
      <c r="B4077">
        <v>589225</v>
      </c>
      <c r="C4077">
        <v>4</v>
      </c>
      <c r="D4077">
        <v>40</v>
      </c>
      <c r="E4077">
        <v>21</v>
      </c>
      <c r="F4077">
        <v>20</v>
      </c>
      <c r="G4077">
        <v>0</v>
      </c>
      <c r="H4077">
        <v>25</v>
      </c>
      <c r="I4077">
        <v>55</v>
      </c>
      <c r="J4077">
        <v>0</v>
      </c>
      <c r="K4077">
        <v>2.2469999999999999</v>
      </c>
      <c r="L4077">
        <v>4.6130000000000004</v>
      </c>
      <c r="M4077">
        <v>14.494000000000002</v>
      </c>
      <c r="N4077">
        <v>15.805000000000001</v>
      </c>
      <c r="O4077">
        <v>1669</v>
      </c>
      <c r="P4077">
        <v>0</v>
      </c>
      <c r="Q4077" s="5" t="e">
        <f>IF(AND(#REF!&gt;=table!$C$6,#REF!&lt;= table!$D$6),-1,IF(AND(#REF!&gt;=table!$E$6,#REF!&lt;=table!$F$6),1,0))</f>
        <v>#REF!</v>
      </c>
      <c r="R4077" s="5" t="e">
        <f>IF(AND(#REF!&gt;=table!$C$7,#REF!&lt;= table!$D$7),-1,IF(AND(#REF!&gt;=table!$E$7,#REF!&lt;=table!$F$7),1,0))</f>
        <v>#REF!</v>
      </c>
      <c r="S4077" s="5" t="e">
        <f>IF(AND(#REF!&gt;=table!$C$8,#REF!&lt;= table!$D$8),-1,IF(AND(#REF!&gt;=table!$E$8,#REF!&lt;=table!$F$8),1,0))</f>
        <v>#REF!</v>
      </c>
      <c r="T4077" s="5"/>
      <c r="U4077" s="5" t="e">
        <f>IF(AND(#REF!&gt;=table!$C$10,#REF!&lt;= table!$D$10),-1,IF(AND(#REF!&gt;=table!$E$10,#REF!&lt;=table!$F$10),1,0))</f>
        <v>#REF!</v>
      </c>
      <c r="V4077" s="5" t="e">
        <f>IF(AND(#REF!&gt;=table!$C$11,#REF!&lt;= table!$D$11),-1,IF(AND(#REF!&gt;=table!$E$11,#REF!&lt;=table!$F$11),1,0))</f>
        <v>#REF!</v>
      </c>
      <c r="W4077" s="5" t="e">
        <f>CONCATENATE(dados[[#This Row],[fator1]],dados[[#This Row],[fator5]],dados[[#This Row],[fator6]])</f>
        <v>#REF!</v>
      </c>
    </row>
    <row r="4078" spans="1:23">
      <c r="A4078" t="s">
        <v>16</v>
      </c>
      <c r="B4078">
        <v>589226</v>
      </c>
      <c r="C4078">
        <v>4</v>
      </c>
      <c r="D4078">
        <v>40</v>
      </c>
      <c r="E4078">
        <v>21</v>
      </c>
      <c r="F4078">
        <v>20</v>
      </c>
      <c r="G4078">
        <v>0</v>
      </c>
      <c r="H4078">
        <v>25</v>
      </c>
      <c r="I4078">
        <v>34</v>
      </c>
      <c r="J4078">
        <v>0</v>
      </c>
      <c r="K4078">
        <v>2.5535000000000001</v>
      </c>
      <c r="L4078">
        <v>8.6720000000000006</v>
      </c>
      <c r="M4078">
        <v>7.3210000000000006</v>
      </c>
      <c r="N4078">
        <v>13.045</v>
      </c>
      <c r="O4078">
        <v>1693</v>
      </c>
      <c r="P4078">
        <v>0</v>
      </c>
      <c r="Q4078" s="5" t="e">
        <f>IF(AND(#REF!&gt;=table!$C$6,#REF!&lt;= table!$D$6),-1,IF(AND(#REF!&gt;=table!$E$6,#REF!&lt;=table!$F$6),1,0))</f>
        <v>#REF!</v>
      </c>
      <c r="R4078" s="5" t="e">
        <f>IF(AND(#REF!&gt;=table!$C$7,#REF!&lt;= table!$D$7),-1,IF(AND(#REF!&gt;=table!$E$7,#REF!&lt;=table!$F$7),1,0))</f>
        <v>#REF!</v>
      </c>
      <c r="S4078" s="5" t="e">
        <f>IF(AND(#REF!&gt;=table!$C$8,#REF!&lt;= table!$D$8),-1,IF(AND(#REF!&gt;=table!$E$8,#REF!&lt;=table!$F$8),1,0))</f>
        <v>#REF!</v>
      </c>
      <c r="T4078" s="5"/>
      <c r="U4078" s="5" t="e">
        <f>IF(AND(#REF!&gt;=table!$C$10,#REF!&lt;= table!$D$10),-1,IF(AND(#REF!&gt;=table!$E$10,#REF!&lt;=table!$F$10),1,0))</f>
        <v>#REF!</v>
      </c>
      <c r="V4078" s="5" t="e">
        <f>IF(AND(#REF!&gt;=table!$C$11,#REF!&lt;= table!$D$11),-1,IF(AND(#REF!&gt;=table!$E$11,#REF!&lt;=table!$F$11),1,0))</f>
        <v>#REF!</v>
      </c>
      <c r="W4078" s="5" t="e">
        <f>CONCATENATE(dados[[#This Row],[fator1]],dados[[#This Row],[fator5]],dados[[#This Row],[fator6]])</f>
        <v>#REF!</v>
      </c>
    </row>
    <row r="4079" spans="1:23">
      <c r="A4079" t="s">
        <v>16</v>
      </c>
      <c r="B4079">
        <v>589227</v>
      </c>
      <c r="C4079">
        <v>4</v>
      </c>
      <c r="D4079">
        <v>40</v>
      </c>
      <c r="E4079">
        <v>21</v>
      </c>
      <c r="F4079">
        <v>20</v>
      </c>
      <c r="G4079">
        <v>0</v>
      </c>
      <c r="H4079">
        <v>25</v>
      </c>
      <c r="I4079">
        <v>1087</v>
      </c>
      <c r="J4079">
        <v>0</v>
      </c>
      <c r="K4079">
        <v>3.335</v>
      </c>
      <c r="L4079">
        <v>6.101</v>
      </c>
      <c r="M4079">
        <v>5.4940000000000007</v>
      </c>
      <c r="N4079">
        <v>8.1999999999999993</v>
      </c>
      <c r="O4079">
        <v>1689</v>
      </c>
      <c r="P4079">
        <v>860</v>
      </c>
      <c r="Q4079" s="5" t="e">
        <f>IF(AND(#REF!&gt;=table!$C$6,#REF!&lt;= table!$D$6),-1,IF(AND(#REF!&gt;=table!$E$6,#REF!&lt;=table!$F$6),1,0))</f>
        <v>#REF!</v>
      </c>
      <c r="R4079" s="5" t="e">
        <f>IF(AND(#REF!&gt;=table!$C$7,#REF!&lt;= table!$D$7),-1,IF(AND(#REF!&gt;=table!$E$7,#REF!&lt;=table!$F$7),1,0))</f>
        <v>#REF!</v>
      </c>
      <c r="S4079" s="5" t="e">
        <f>IF(AND(#REF!&gt;=table!$C$8,#REF!&lt;= table!$D$8),-1,IF(AND(#REF!&gt;=table!$E$8,#REF!&lt;=table!$F$8),1,0))</f>
        <v>#REF!</v>
      </c>
      <c r="T4079" s="5"/>
      <c r="U4079" s="5" t="e">
        <f>IF(AND(#REF!&gt;=table!$C$10,#REF!&lt;= table!$D$10),-1,IF(AND(#REF!&gt;=table!$E$10,#REF!&lt;=table!$F$10),1,0))</f>
        <v>#REF!</v>
      </c>
      <c r="V4079" s="5" t="e">
        <f>IF(AND(#REF!&gt;=table!$C$11,#REF!&lt;= table!$D$11),-1,IF(AND(#REF!&gt;=table!$E$11,#REF!&lt;=table!$F$11),1,0))</f>
        <v>#REF!</v>
      </c>
      <c r="W4079" s="5" t="e">
        <f>CONCATENATE(dados[[#This Row],[fator1]],dados[[#This Row],[fator5]],dados[[#This Row],[fator6]])</f>
        <v>#REF!</v>
      </c>
    </row>
    <row r="4080" spans="1:23">
      <c r="A4080" t="s">
        <v>16</v>
      </c>
      <c r="B4080">
        <v>589230</v>
      </c>
      <c r="C4080">
        <v>3</v>
      </c>
      <c r="D4080">
        <v>30</v>
      </c>
      <c r="E4080">
        <v>21</v>
      </c>
      <c r="F4080">
        <v>15</v>
      </c>
      <c r="G4080">
        <v>0</v>
      </c>
      <c r="H4080">
        <v>25</v>
      </c>
      <c r="I4080">
        <v>1233</v>
      </c>
      <c r="J4080">
        <v>0</v>
      </c>
      <c r="K4080">
        <v>3.2605</v>
      </c>
      <c r="L4080">
        <v>7.4210000000000003</v>
      </c>
      <c r="M4080">
        <v>18.9465</v>
      </c>
      <c r="N4080">
        <v>11.825000000000001</v>
      </c>
      <c r="O4080">
        <v>1666</v>
      </c>
      <c r="P4080">
        <v>786</v>
      </c>
      <c r="Q4080" s="5" t="e">
        <f>IF(AND(#REF!&gt;=table!$C$6,#REF!&lt;= table!$D$6),-1,IF(AND(#REF!&gt;=table!$E$6,#REF!&lt;=table!$F$6),1,0))</f>
        <v>#REF!</v>
      </c>
      <c r="R4080" s="5" t="e">
        <f>IF(AND(#REF!&gt;=table!$C$7,#REF!&lt;= table!$D$7),-1,IF(AND(#REF!&gt;=table!$E$7,#REF!&lt;=table!$F$7),1,0))</f>
        <v>#REF!</v>
      </c>
      <c r="S4080" s="5" t="e">
        <f>IF(AND(#REF!&gt;=table!$C$8,#REF!&lt;= table!$D$8),-1,IF(AND(#REF!&gt;=table!$E$8,#REF!&lt;=table!$F$8),1,0))</f>
        <v>#REF!</v>
      </c>
      <c r="T4080" s="5"/>
      <c r="U4080" s="5" t="e">
        <f>IF(AND(#REF!&gt;=table!$C$10,#REF!&lt;= table!$D$10),-1,IF(AND(#REF!&gt;=table!$E$10,#REF!&lt;=table!$F$10),1,0))</f>
        <v>#REF!</v>
      </c>
      <c r="V4080" s="5" t="e">
        <f>IF(AND(#REF!&gt;=table!$C$11,#REF!&lt;= table!$D$11),-1,IF(AND(#REF!&gt;=table!$E$11,#REF!&lt;=table!$F$11),1,0))</f>
        <v>#REF!</v>
      </c>
      <c r="W4080" s="5" t="e">
        <f>CONCATENATE(dados[[#This Row],[fator1]],dados[[#This Row],[fator5]],dados[[#This Row],[fator6]])</f>
        <v>#REF!</v>
      </c>
    </row>
    <row r="4081" spans="1:23">
      <c r="A4081" t="s">
        <v>16</v>
      </c>
      <c r="B4081">
        <v>589233</v>
      </c>
      <c r="C4081">
        <v>0.15</v>
      </c>
      <c r="D4081">
        <v>40</v>
      </c>
      <c r="E4081">
        <v>10</v>
      </c>
      <c r="F4081">
        <v>15</v>
      </c>
      <c r="G4081">
        <v>0</v>
      </c>
      <c r="H4081">
        <v>15</v>
      </c>
      <c r="I4081">
        <v>129</v>
      </c>
      <c r="J4081">
        <v>0</v>
      </c>
      <c r="K4081">
        <v>4.8014999999999999</v>
      </c>
      <c r="L4081">
        <v>11.300500000000001</v>
      </c>
      <c r="M4081">
        <v>9.7430000000000003</v>
      </c>
      <c r="N4081">
        <v>9.7850000000000001</v>
      </c>
      <c r="O4081">
        <v>1678</v>
      </c>
      <c r="P4081">
        <v>0</v>
      </c>
      <c r="Q4081" s="5" t="e">
        <f>IF(AND(#REF!&gt;=table!$C$6,#REF!&lt;= table!$D$6),-1,IF(AND(#REF!&gt;=table!$E$6,#REF!&lt;=table!$F$6),1,0))</f>
        <v>#REF!</v>
      </c>
      <c r="R4081" s="5" t="e">
        <f>IF(AND(#REF!&gt;=table!$C$7,#REF!&lt;= table!$D$7),-1,IF(AND(#REF!&gt;=table!$E$7,#REF!&lt;=table!$F$7),1,0))</f>
        <v>#REF!</v>
      </c>
      <c r="S4081" s="5" t="e">
        <f>IF(AND(#REF!&gt;=table!$C$8,#REF!&lt;= table!$D$8),-1,IF(AND(#REF!&gt;=table!$E$8,#REF!&lt;=table!$F$8),1,0))</f>
        <v>#REF!</v>
      </c>
      <c r="T4081" s="5"/>
      <c r="U4081" s="5" t="e">
        <f>IF(AND(#REF!&gt;=table!$C$10,#REF!&lt;= table!$D$10),-1,IF(AND(#REF!&gt;=table!$E$10,#REF!&lt;=table!$F$10),1,0))</f>
        <v>#REF!</v>
      </c>
      <c r="V4081" s="5" t="e">
        <f>IF(AND(#REF!&gt;=table!$C$11,#REF!&lt;= table!$D$11),-1,IF(AND(#REF!&gt;=table!$E$11,#REF!&lt;=table!$F$11),1,0))</f>
        <v>#REF!</v>
      </c>
      <c r="W4081" s="5" t="e">
        <f>CONCATENATE(dados[[#This Row],[fator1]],dados[[#This Row],[fator5]],dados[[#This Row],[fator6]])</f>
        <v>#REF!</v>
      </c>
    </row>
    <row r="4082" spans="1:23">
      <c r="A4082" t="s">
        <v>16</v>
      </c>
      <c r="B4082">
        <v>589237</v>
      </c>
      <c r="C4082">
        <v>0.15</v>
      </c>
      <c r="D4082">
        <v>40</v>
      </c>
      <c r="E4082">
        <v>10</v>
      </c>
      <c r="F4082">
        <v>15</v>
      </c>
      <c r="G4082">
        <v>0</v>
      </c>
      <c r="H4082">
        <v>15</v>
      </c>
      <c r="I4082">
        <v>1557</v>
      </c>
      <c r="J4082">
        <v>0</v>
      </c>
      <c r="K4082">
        <v>3.5650000000000004</v>
      </c>
      <c r="L4082">
        <v>11.057</v>
      </c>
      <c r="M4082">
        <v>9.5820000000000007</v>
      </c>
      <c r="N4082">
        <v>10.950000000000001</v>
      </c>
      <c r="O4082">
        <v>1663</v>
      </c>
      <c r="P4082">
        <v>587</v>
      </c>
      <c r="Q4082" s="5" t="e">
        <f>IF(AND(#REF!&gt;=table!$C$6,#REF!&lt;= table!$D$6),-1,IF(AND(#REF!&gt;=table!$E$6,#REF!&lt;=table!$F$6),1,0))</f>
        <v>#REF!</v>
      </c>
      <c r="R4082" s="5" t="e">
        <f>IF(AND(#REF!&gt;=table!$C$7,#REF!&lt;= table!$D$7),-1,IF(AND(#REF!&gt;=table!$E$7,#REF!&lt;=table!$F$7),1,0))</f>
        <v>#REF!</v>
      </c>
      <c r="S4082" s="5" t="e">
        <f>IF(AND(#REF!&gt;=table!$C$8,#REF!&lt;= table!$D$8),-1,IF(AND(#REF!&gt;=table!$E$8,#REF!&lt;=table!$F$8),1,0))</f>
        <v>#REF!</v>
      </c>
      <c r="T4082" s="5"/>
      <c r="U4082" s="5" t="e">
        <f>IF(AND(#REF!&gt;=table!$C$10,#REF!&lt;= table!$D$10),-1,IF(AND(#REF!&gt;=table!$E$10,#REF!&lt;=table!$F$10),1,0))</f>
        <v>#REF!</v>
      </c>
      <c r="V4082" s="5" t="e">
        <f>IF(AND(#REF!&gt;=table!$C$11,#REF!&lt;= table!$D$11),-1,IF(AND(#REF!&gt;=table!$E$11,#REF!&lt;=table!$F$11),1,0))</f>
        <v>#REF!</v>
      </c>
      <c r="W4082" s="5" t="e">
        <f>CONCATENATE(dados[[#This Row],[fator1]],dados[[#This Row],[fator5]],dados[[#This Row],[fator6]])</f>
        <v>#REF!</v>
      </c>
    </row>
    <row r="4083" spans="1:23">
      <c r="A4083" t="s">
        <v>16</v>
      </c>
      <c r="B4083">
        <v>589239</v>
      </c>
      <c r="C4083">
        <v>0.15</v>
      </c>
      <c r="D4083">
        <v>40</v>
      </c>
      <c r="E4083">
        <v>10</v>
      </c>
      <c r="F4083">
        <v>15</v>
      </c>
      <c r="G4083">
        <v>0</v>
      </c>
      <c r="H4083">
        <v>15</v>
      </c>
      <c r="I4083">
        <v>335</v>
      </c>
      <c r="J4083">
        <v>0</v>
      </c>
      <c r="K4083">
        <v>2.8755000000000002</v>
      </c>
      <c r="L4083">
        <v>6.9950000000000001</v>
      </c>
      <c r="M4083">
        <v>6.7305000000000001</v>
      </c>
      <c r="N4083">
        <v>5.9450000000000003</v>
      </c>
      <c r="O4083">
        <v>1665</v>
      </c>
      <c r="P4083">
        <v>787</v>
      </c>
      <c r="Q4083" s="5" t="e">
        <f>IF(AND(#REF!&gt;=table!$C$6,#REF!&lt;= table!$D$6),-1,IF(AND(#REF!&gt;=table!$E$6,#REF!&lt;=table!$F$6),1,0))</f>
        <v>#REF!</v>
      </c>
      <c r="R4083" s="5" t="e">
        <f>IF(AND(#REF!&gt;=table!$C$7,#REF!&lt;= table!$D$7),-1,IF(AND(#REF!&gt;=table!$E$7,#REF!&lt;=table!$F$7),1,0))</f>
        <v>#REF!</v>
      </c>
      <c r="S4083" s="5" t="e">
        <f>IF(AND(#REF!&gt;=table!$C$8,#REF!&lt;= table!$D$8),-1,IF(AND(#REF!&gt;=table!$E$8,#REF!&lt;=table!$F$8),1,0))</f>
        <v>#REF!</v>
      </c>
      <c r="T4083" s="5"/>
      <c r="U4083" s="5" t="e">
        <f>IF(AND(#REF!&gt;=table!$C$10,#REF!&lt;= table!$D$10),-1,IF(AND(#REF!&gt;=table!$E$10,#REF!&lt;=table!$F$10),1,0))</f>
        <v>#REF!</v>
      </c>
      <c r="V4083" s="5" t="e">
        <f>IF(AND(#REF!&gt;=table!$C$11,#REF!&lt;= table!$D$11),-1,IF(AND(#REF!&gt;=table!$E$11,#REF!&lt;=table!$F$11),1,0))</f>
        <v>#REF!</v>
      </c>
      <c r="W4083" s="5" t="e">
        <f>CONCATENATE(dados[[#This Row],[fator1]],dados[[#This Row],[fator5]],dados[[#This Row],[fator6]])</f>
        <v>#REF!</v>
      </c>
    </row>
    <row r="4084" spans="1:23">
      <c r="A4084" t="s">
        <v>16</v>
      </c>
      <c r="B4084">
        <v>589240</v>
      </c>
      <c r="C4084">
        <v>16</v>
      </c>
      <c r="D4084">
        <v>35</v>
      </c>
      <c r="E4084">
        <v>40</v>
      </c>
      <c r="F4084">
        <v>10</v>
      </c>
      <c r="G4084">
        <v>0</v>
      </c>
      <c r="H4084">
        <v>25</v>
      </c>
      <c r="I4084">
        <v>1430</v>
      </c>
      <c r="J4084">
        <v>560</v>
      </c>
      <c r="K4084">
        <v>3.0455000000000001</v>
      </c>
      <c r="L4084">
        <v>14.833500000000001</v>
      </c>
      <c r="M4084">
        <v>38.959000000000003</v>
      </c>
      <c r="N4084">
        <v>14.705</v>
      </c>
      <c r="O4084">
        <v>1651</v>
      </c>
      <c r="P4084">
        <v>0</v>
      </c>
      <c r="Q4084" s="5" t="e">
        <f>IF(AND(#REF!&gt;=table!$C$6,#REF!&lt;= table!$D$6),-1,IF(AND(#REF!&gt;=table!$E$6,#REF!&lt;=table!$F$6),1,0))</f>
        <v>#REF!</v>
      </c>
      <c r="R4084" s="5" t="e">
        <f>IF(AND(#REF!&gt;=table!$C$7,#REF!&lt;= table!$D$7),-1,IF(AND(#REF!&gt;=table!$E$7,#REF!&lt;=table!$F$7),1,0))</f>
        <v>#REF!</v>
      </c>
      <c r="S4084" s="5" t="e">
        <f>IF(AND(#REF!&gt;=table!$C$8,#REF!&lt;= table!$D$8),-1,IF(AND(#REF!&gt;=table!$E$8,#REF!&lt;=table!$F$8),1,0))</f>
        <v>#REF!</v>
      </c>
      <c r="T4084" s="5"/>
      <c r="U4084" s="5" t="e">
        <f>IF(AND(#REF!&gt;=table!$C$10,#REF!&lt;= table!$D$10),-1,IF(AND(#REF!&gt;=table!$E$10,#REF!&lt;=table!$F$10),1,0))</f>
        <v>#REF!</v>
      </c>
      <c r="V4084" s="5" t="e">
        <f>IF(AND(#REF!&gt;=table!$C$11,#REF!&lt;= table!$D$11),-1,IF(AND(#REF!&gt;=table!$E$11,#REF!&lt;=table!$F$11),1,0))</f>
        <v>#REF!</v>
      </c>
      <c r="W4084" s="5" t="e">
        <f>CONCATENATE(dados[[#This Row],[fator1]],dados[[#This Row],[fator5]],dados[[#This Row],[fator6]])</f>
        <v>#REF!</v>
      </c>
    </row>
    <row r="4085" spans="1:23">
      <c r="A4085" t="s">
        <v>16</v>
      </c>
      <c r="B4085">
        <v>589241</v>
      </c>
      <c r="C4085">
        <v>16</v>
      </c>
      <c r="D4085">
        <v>35</v>
      </c>
      <c r="E4085">
        <v>40</v>
      </c>
      <c r="F4085">
        <v>10</v>
      </c>
      <c r="G4085">
        <v>0</v>
      </c>
      <c r="H4085">
        <v>25</v>
      </c>
      <c r="I4085">
        <v>0</v>
      </c>
      <c r="J4085">
        <v>0</v>
      </c>
      <c r="K4085">
        <v>4.1295000000000002</v>
      </c>
      <c r="L4085">
        <v>13.4215</v>
      </c>
      <c r="M4085">
        <v>41.095500000000001</v>
      </c>
      <c r="N4085">
        <v>19.350000000000001</v>
      </c>
      <c r="O4085">
        <v>1670</v>
      </c>
      <c r="P4085">
        <v>0</v>
      </c>
      <c r="Q4085" s="5" t="e">
        <f>IF(AND(#REF!&gt;=table!$C$6,#REF!&lt;= table!$D$6),-1,IF(AND(#REF!&gt;=table!$E$6,#REF!&lt;=table!$F$6),1,0))</f>
        <v>#REF!</v>
      </c>
      <c r="R4085" s="5" t="e">
        <f>IF(AND(#REF!&gt;=table!$C$7,#REF!&lt;= table!$D$7),-1,IF(AND(#REF!&gt;=table!$E$7,#REF!&lt;=table!$F$7),1,0))</f>
        <v>#REF!</v>
      </c>
      <c r="S4085" s="5" t="e">
        <f>IF(AND(#REF!&gt;=table!$C$8,#REF!&lt;= table!$D$8),-1,IF(AND(#REF!&gt;=table!$E$8,#REF!&lt;=table!$F$8),1,0))</f>
        <v>#REF!</v>
      </c>
      <c r="T4085" s="5"/>
      <c r="U4085" s="5" t="e">
        <f>IF(AND(#REF!&gt;=table!$C$10,#REF!&lt;= table!$D$10),-1,IF(AND(#REF!&gt;=table!$E$10,#REF!&lt;=table!$F$10),1,0))</f>
        <v>#REF!</v>
      </c>
      <c r="V4085" s="5" t="e">
        <f>IF(AND(#REF!&gt;=table!$C$11,#REF!&lt;= table!$D$11),-1,IF(AND(#REF!&gt;=table!$E$11,#REF!&lt;=table!$F$11),1,0))</f>
        <v>#REF!</v>
      </c>
      <c r="W4085" s="5" t="e">
        <f>CONCATENATE(dados[[#This Row],[fator1]],dados[[#This Row],[fator5]],dados[[#This Row],[fator6]])</f>
        <v>#REF!</v>
      </c>
    </row>
    <row r="4086" spans="1:23">
      <c r="A4086" t="s">
        <v>16</v>
      </c>
      <c r="B4086">
        <v>589243</v>
      </c>
      <c r="C4086">
        <v>7</v>
      </c>
      <c r="D4086">
        <v>33</v>
      </c>
      <c r="E4086">
        <v>153</v>
      </c>
      <c r="F4086">
        <v>4</v>
      </c>
      <c r="G4086">
        <v>0</v>
      </c>
      <c r="H4086">
        <v>25</v>
      </c>
      <c r="I4086">
        <v>1318</v>
      </c>
      <c r="J4086">
        <v>0</v>
      </c>
      <c r="K4086">
        <v>4.7445000000000004</v>
      </c>
      <c r="L4086">
        <v>10.672500000000001</v>
      </c>
      <c r="M4086">
        <v>137.3955</v>
      </c>
      <c r="N4086">
        <v>11.975000000000001</v>
      </c>
      <c r="O4086">
        <v>1674</v>
      </c>
      <c r="P4086">
        <v>0</v>
      </c>
      <c r="Q4086" s="5" t="e">
        <f>IF(AND(#REF!&gt;=table!$C$6,#REF!&lt;= table!$D$6),-1,IF(AND(#REF!&gt;=table!$E$6,#REF!&lt;=table!$F$6),1,0))</f>
        <v>#REF!</v>
      </c>
      <c r="R4086" s="5" t="e">
        <f>IF(AND(#REF!&gt;=table!$C$7,#REF!&lt;= table!$D$7),-1,IF(AND(#REF!&gt;=table!$E$7,#REF!&lt;=table!$F$7),1,0))</f>
        <v>#REF!</v>
      </c>
      <c r="S4086" s="5" t="e">
        <f>IF(AND(#REF!&gt;=table!$C$8,#REF!&lt;= table!$D$8),-1,IF(AND(#REF!&gt;=table!$E$8,#REF!&lt;=table!$F$8),1,0))</f>
        <v>#REF!</v>
      </c>
      <c r="T4086" s="5"/>
      <c r="U4086" s="5" t="e">
        <f>IF(AND(#REF!&gt;=table!$C$10,#REF!&lt;= table!$D$10),-1,IF(AND(#REF!&gt;=table!$E$10,#REF!&lt;=table!$F$10),1,0))</f>
        <v>#REF!</v>
      </c>
      <c r="V4086" s="5" t="e">
        <f>IF(AND(#REF!&gt;=table!$C$11,#REF!&lt;= table!$D$11),-1,IF(AND(#REF!&gt;=table!$E$11,#REF!&lt;=table!$F$11),1,0))</f>
        <v>#REF!</v>
      </c>
      <c r="W4086" s="5" t="e">
        <f>CONCATENATE(dados[[#This Row],[fator1]],dados[[#This Row],[fator5]],dados[[#This Row],[fator6]])</f>
        <v>#REF!</v>
      </c>
    </row>
    <row r="4087" spans="1:23">
      <c r="A4087" t="s">
        <v>16</v>
      </c>
      <c r="B4087">
        <v>589244</v>
      </c>
      <c r="C4087">
        <v>7</v>
      </c>
      <c r="D4087">
        <v>33</v>
      </c>
      <c r="E4087">
        <v>153</v>
      </c>
      <c r="F4087">
        <v>4</v>
      </c>
      <c r="G4087">
        <v>0</v>
      </c>
      <c r="H4087">
        <v>25</v>
      </c>
      <c r="I4087">
        <v>418</v>
      </c>
      <c r="J4087">
        <v>0</v>
      </c>
      <c r="K4087">
        <v>5.2145000000000001</v>
      </c>
      <c r="L4087">
        <v>12.531500000000001</v>
      </c>
      <c r="M4087">
        <v>111.80800000000001</v>
      </c>
      <c r="N4087">
        <v>14.11</v>
      </c>
      <c r="O4087">
        <v>1679</v>
      </c>
      <c r="P4087">
        <v>0</v>
      </c>
      <c r="Q4087" s="5" t="e">
        <f>IF(AND(#REF!&gt;=table!$C$6,#REF!&lt;= table!$D$6),-1,IF(AND(#REF!&gt;=table!$E$6,#REF!&lt;=table!$F$6),1,0))</f>
        <v>#REF!</v>
      </c>
      <c r="R4087" s="5" t="e">
        <f>IF(AND(#REF!&gt;=table!$C$7,#REF!&lt;= table!$D$7),-1,IF(AND(#REF!&gt;=table!$E$7,#REF!&lt;=table!$F$7),1,0))</f>
        <v>#REF!</v>
      </c>
      <c r="S4087" s="5" t="e">
        <f>IF(AND(#REF!&gt;=table!$C$8,#REF!&lt;= table!$D$8),-1,IF(AND(#REF!&gt;=table!$E$8,#REF!&lt;=table!$F$8),1,0))</f>
        <v>#REF!</v>
      </c>
      <c r="T4087" s="5"/>
      <c r="U4087" s="5" t="e">
        <f>IF(AND(#REF!&gt;=table!$C$10,#REF!&lt;= table!$D$10),-1,IF(AND(#REF!&gt;=table!$E$10,#REF!&lt;=table!$F$10),1,0))</f>
        <v>#REF!</v>
      </c>
      <c r="V4087" s="5" t="e">
        <f>IF(AND(#REF!&gt;=table!$C$11,#REF!&lt;= table!$D$11),-1,IF(AND(#REF!&gt;=table!$E$11,#REF!&lt;=table!$F$11),1,0))</f>
        <v>#REF!</v>
      </c>
      <c r="W4087" s="5" t="e">
        <f>CONCATENATE(dados[[#This Row],[fator1]],dados[[#This Row],[fator5]],dados[[#This Row],[fator6]])</f>
        <v>#REF!</v>
      </c>
    </row>
    <row r="4088" spans="1:23">
      <c r="A4088" t="s">
        <v>16</v>
      </c>
      <c r="B4088">
        <v>589245</v>
      </c>
      <c r="C4088">
        <v>9</v>
      </c>
      <c r="D4088">
        <v>40</v>
      </c>
      <c r="E4088">
        <v>130</v>
      </c>
      <c r="F4088">
        <v>3</v>
      </c>
      <c r="G4088">
        <v>0</v>
      </c>
      <c r="H4088">
        <v>25</v>
      </c>
      <c r="I4088">
        <v>1254</v>
      </c>
      <c r="J4088">
        <v>0</v>
      </c>
      <c r="K4088">
        <v>3.1405000000000003</v>
      </c>
      <c r="L4088">
        <v>12.210500000000001</v>
      </c>
      <c r="M4088">
        <v>99.465000000000003</v>
      </c>
      <c r="N4088">
        <v>14.625</v>
      </c>
      <c r="O4088">
        <v>1688</v>
      </c>
      <c r="P4088">
        <v>531</v>
      </c>
      <c r="Q4088" s="5" t="e">
        <f>IF(AND(#REF!&gt;=table!$C$6,#REF!&lt;= table!$D$6),-1,IF(AND(#REF!&gt;=table!$E$6,#REF!&lt;=table!$F$6),1,0))</f>
        <v>#REF!</v>
      </c>
      <c r="R4088" s="5" t="e">
        <f>IF(AND(#REF!&gt;=table!$C$7,#REF!&lt;= table!$D$7),-1,IF(AND(#REF!&gt;=table!$E$7,#REF!&lt;=table!$F$7),1,0))</f>
        <v>#REF!</v>
      </c>
      <c r="S4088" s="5" t="e">
        <f>IF(AND(#REF!&gt;=table!$C$8,#REF!&lt;= table!$D$8),-1,IF(AND(#REF!&gt;=table!$E$8,#REF!&lt;=table!$F$8),1,0))</f>
        <v>#REF!</v>
      </c>
      <c r="T4088" s="5"/>
      <c r="U4088" s="5" t="e">
        <f>IF(AND(#REF!&gt;=table!$C$10,#REF!&lt;= table!$D$10),-1,IF(AND(#REF!&gt;=table!$E$10,#REF!&lt;=table!$F$10),1,0))</f>
        <v>#REF!</v>
      </c>
      <c r="V4088" s="5" t="e">
        <f>IF(AND(#REF!&gt;=table!$C$11,#REF!&lt;= table!$D$11),-1,IF(AND(#REF!&gt;=table!$E$11,#REF!&lt;=table!$F$11),1,0))</f>
        <v>#REF!</v>
      </c>
      <c r="W4088" s="5" t="e">
        <f>CONCATENATE(dados[[#This Row],[fator1]],dados[[#This Row],[fator5]],dados[[#This Row],[fator6]])</f>
        <v>#REF!</v>
      </c>
    </row>
    <row r="4089" spans="1:23">
      <c r="A4089" t="s">
        <v>16</v>
      </c>
      <c r="B4089">
        <v>589247</v>
      </c>
      <c r="C4089">
        <v>11</v>
      </c>
      <c r="D4089">
        <v>40</v>
      </c>
      <c r="E4089">
        <v>151</v>
      </c>
      <c r="F4089">
        <v>8</v>
      </c>
      <c r="G4089">
        <v>0</v>
      </c>
      <c r="H4089">
        <v>25</v>
      </c>
      <c r="I4089">
        <v>651</v>
      </c>
      <c r="J4089">
        <v>0</v>
      </c>
      <c r="K4089">
        <v>5.0135000000000005</v>
      </c>
      <c r="L4089">
        <v>13.354000000000001</v>
      </c>
      <c r="M4089">
        <v>53.384</v>
      </c>
      <c r="N4089">
        <v>14.935</v>
      </c>
      <c r="O4089">
        <v>1678</v>
      </c>
      <c r="P4089">
        <v>0</v>
      </c>
      <c r="Q4089" s="5" t="e">
        <f>IF(AND(#REF!&gt;=table!$C$6,#REF!&lt;= table!$D$6),-1,IF(AND(#REF!&gt;=table!$E$6,#REF!&lt;=table!$F$6),1,0))</f>
        <v>#REF!</v>
      </c>
      <c r="R4089" s="5" t="e">
        <f>IF(AND(#REF!&gt;=table!$C$7,#REF!&lt;= table!$D$7),-1,IF(AND(#REF!&gt;=table!$E$7,#REF!&lt;=table!$F$7),1,0))</f>
        <v>#REF!</v>
      </c>
      <c r="S4089" s="5" t="e">
        <f>IF(AND(#REF!&gt;=table!$C$8,#REF!&lt;= table!$D$8),-1,IF(AND(#REF!&gt;=table!$E$8,#REF!&lt;=table!$F$8),1,0))</f>
        <v>#REF!</v>
      </c>
      <c r="T4089" s="5"/>
      <c r="U4089" s="5" t="e">
        <f>IF(AND(#REF!&gt;=table!$C$10,#REF!&lt;= table!$D$10),-1,IF(AND(#REF!&gt;=table!$E$10,#REF!&lt;=table!$F$10),1,0))</f>
        <v>#REF!</v>
      </c>
      <c r="V4089" s="5" t="e">
        <f>IF(AND(#REF!&gt;=table!$C$11,#REF!&lt;= table!$D$11),-1,IF(AND(#REF!&gt;=table!$E$11,#REF!&lt;=table!$F$11),1,0))</f>
        <v>#REF!</v>
      </c>
      <c r="W4089" s="5" t="e">
        <f>CONCATENATE(dados[[#This Row],[fator1]],dados[[#This Row],[fator5]],dados[[#This Row],[fator6]])</f>
        <v>#REF!</v>
      </c>
    </row>
    <row r="4090" spans="1:23">
      <c r="A4090" t="s">
        <v>17</v>
      </c>
      <c r="B4090">
        <v>589249</v>
      </c>
      <c r="C4090">
        <v>3</v>
      </c>
      <c r="D4090">
        <v>25</v>
      </c>
      <c r="E4090">
        <v>115</v>
      </c>
      <c r="F4090">
        <v>1</v>
      </c>
      <c r="G4090">
        <v>25</v>
      </c>
      <c r="H4090">
        <v>10</v>
      </c>
      <c r="I4090">
        <v>31</v>
      </c>
      <c r="J4090">
        <v>0</v>
      </c>
      <c r="K4090">
        <v>2.661</v>
      </c>
      <c r="L4090">
        <v>5.6610000000000005</v>
      </c>
      <c r="M4090">
        <v>92.650500000000008</v>
      </c>
      <c r="N4090">
        <v>2.19</v>
      </c>
      <c r="O4090">
        <v>1658</v>
      </c>
      <c r="P4090">
        <v>1115</v>
      </c>
      <c r="Q4090" s="5" t="e">
        <f>IF(AND(#REF!&gt;=table!$C$6,#REF!&lt;= table!$D$6),-1,IF(AND(#REF!&gt;=table!$E$6,#REF!&lt;=table!$F$6),1,0))</f>
        <v>#REF!</v>
      </c>
      <c r="R4090" s="5" t="e">
        <f>IF(AND(#REF!&gt;=table!$C$7,#REF!&lt;= table!$D$7),-1,IF(AND(#REF!&gt;=table!$E$7,#REF!&lt;=table!$F$7),1,0))</f>
        <v>#REF!</v>
      </c>
      <c r="S4090" s="5" t="e">
        <f>IF(AND(#REF!&gt;=table!$C$8,#REF!&lt;= table!$D$8),-1,IF(AND(#REF!&gt;=table!$E$8,#REF!&lt;=table!$F$8),1,0))</f>
        <v>#REF!</v>
      </c>
      <c r="T4090" s="5"/>
      <c r="U4090" s="5" t="e">
        <f>IF(AND(#REF!&gt;=table!$C$10,#REF!&lt;= table!$D$10),-1,IF(AND(#REF!&gt;=table!$E$10,#REF!&lt;=table!$F$10),1,0))</f>
        <v>#REF!</v>
      </c>
      <c r="V4090" s="5" t="e">
        <f>IF(AND(#REF!&gt;=table!$C$11,#REF!&lt;= table!$D$11),-1,IF(AND(#REF!&gt;=table!$E$11,#REF!&lt;=table!$F$11),1,0))</f>
        <v>#REF!</v>
      </c>
      <c r="W4090" s="5" t="e">
        <f>CONCATENATE(dados[[#This Row],[fator1]],dados[[#This Row],[fator5]],dados[[#This Row],[fator6]])</f>
        <v>#REF!</v>
      </c>
    </row>
    <row r="4091" spans="1:23">
      <c r="A4091" t="s">
        <v>16</v>
      </c>
      <c r="B4091">
        <v>589254</v>
      </c>
      <c r="C4091">
        <v>12</v>
      </c>
      <c r="D4091">
        <v>35</v>
      </c>
      <c r="E4091">
        <v>86</v>
      </c>
      <c r="F4091">
        <v>8</v>
      </c>
      <c r="G4091">
        <v>0</v>
      </c>
      <c r="H4091">
        <v>25</v>
      </c>
      <c r="I4091">
        <v>644</v>
      </c>
      <c r="J4091">
        <v>0</v>
      </c>
      <c r="K4091">
        <v>5.415</v>
      </c>
      <c r="L4091">
        <v>15.359</v>
      </c>
      <c r="M4091">
        <v>84.262</v>
      </c>
      <c r="N4091">
        <v>17.975000000000001</v>
      </c>
      <c r="O4091">
        <v>1674</v>
      </c>
      <c r="P4091">
        <v>479</v>
      </c>
      <c r="Q4091" s="5" t="e">
        <f>IF(AND(#REF!&gt;=table!$C$6,#REF!&lt;= table!$D$6),-1,IF(AND(#REF!&gt;=table!$E$6,#REF!&lt;=table!$F$6),1,0))</f>
        <v>#REF!</v>
      </c>
      <c r="R4091" s="5" t="e">
        <f>IF(AND(#REF!&gt;=table!$C$7,#REF!&lt;= table!$D$7),-1,IF(AND(#REF!&gt;=table!$E$7,#REF!&lt;=table!$F$7),1,0))</f>
        <v>#REF!</v>
      </c>
      <c r="S4091" s="5" t="e">
        <f>IF(AND(#REF!&gt;=table!$C$8,#REF!&lt;= table!$D$8),-1,IF(AND(#REF!&gt;=table!$E$8,#REF!&lt;=table!$F$8),1,0))</f>
        <v>#REF!</v>
      </c>
      <c r="T4091" s="5"/>
      <c r="U4091" s="5" t="e">
        <f>IF(AND(#REF!&gt;=table!$C$10,#REF!&lt;= table!$D$10),-1,IF(AND(#REF!&gt;=table!$E$10,#REF!&lt;=table!$F$10),1,0))</f>
        <v>#REF!</v>
      </c>
      <c r="V4091" s="5" t="e">
        <f>IF(AND(#REF!&gt;=table!$C$11,#REF!&lt;= table!$D$11),-1,IF(AND(#REF!&gt;=table!$E$11,#REF!&lt;=table!$F$11),1,0))</f>
        <v>#REF!</v>
      </c>
      <c r="W4091" s="5" t="e">
        <f>CONCATENATE(dados[[#This Row],[fator1]],dados[[#This Row],[fator5]],dados[[#This Row],[fator6]])</f>
        <v>#REF!</v>
      </c>
    </row>
    <row r="4092" spans="1:23">
      <c r="A4092" t="s">
        <v>16</v>
      </c>
      <c r="B4092">
        <v>589256</v>
      </c>
      <c r="C4092">
        <v>12</v>
      </c>
      <c r="D4092">
        <v>35</v>
      </c>
      <c r="E4092">
        <v>86</v>
      </c>
      <c r="F4092">
        <v>10</v>
      </c>
      <c r="G4092">
        <v>0</v>
      </c>
      <c r="H4092">
        <v>25</v>
      </c>
      <c r="I4092">
        <v>151</v>
      </c>
      <c r="J4092">
        <v>0</v>
      </c>
      <c r="K4092">
        <v>4.7949999999999999</v>
      </c>
      <c r="L4092">
        <v>14.181500000000002</v>
      </c>
      <c r="M4092">
        <v>88.44</v>
      </c>
      <c r="N4092">
        <v>15.315000000000001</v>
      </c>
      <c r="O4092">
        <v>1678</v>
      </c>
      <c r="P4092">
        <v>0</v>
      </c>
      <c r="Q4092" s="5" t="e">
        <f>IF(AND(#REF!&gt;=table!$C$6,#REF!&lt;= table!$D$6),-1,IF(AND(#REF!&gt;=table!$E$6,#REF!&lt;=table!$F$6),1,0))</f>
        <v>#REF!</v>
      </c>
      <c r="R4092" s="5" t="e">
        <f>IF(AND(#REF!&gt;=table!$C$7,#REF!&lt;= table!$D$7),-1,IF(AND(#REF!&gt;=table!$E$7,#REF!&lt;=table!$F$7),1,0))</f>
        <v>#REF!</v>
      </c>
      <c r="S4092" s="5" t="e">
        <f>IF(AND(#REF!&gt;=table!$C$8,#REF!&lt;= table!$D$8),-1,IF(AND(#REF!&gt;=table!$E$8,#REF!&lt;=table!$F$8),1,0))</f>
        <v>#REF!</v>
      </c>
      <c r="T4092" s="5"/>
      <c r="U4092" s="5" t="e">
        <f>IF(AND(#REF!&gt;=table!$C$10,#REF!&lt;= table!$D$10),-1,IF(AND(#REF!&gt;=table!$E$10,#REF!&lt;=table!$F$10),1,0))</f>
        <v>#REF!</v>
      </c>
      <c r="V4092" s="5" t="e">
        <f>IF(AND(#REF!&gt;=table!$C$11,#REF!&lt;= table!$D$11),-1,IF(AND(#REF!&gt;=table!$E$11,#REF!&lt;=table!$F$11),1,0))</f>
        <v>#REF!</v>
      </c>
      <c r="W4092" s="5" t="e">
        <f>CONCATENATE(dados[[#This Row],[fator1]],dados[[#This Row],[fator5]],dados[[#This Row],[fator6]])</f>
        <v>#REF!</v>
      </c>
    </row>
    <row r="4093" spans="1:23">
      <c r="A4093" t="s">
        <v>17</v>
      </c>
      <c r="B4093">
        <v>589257</v>
      </c>
      <c r="C4093">
        <v>7</v>
      </c>
      <c r="D4093">
        <v>30</v>
      </c>
      <c r="E4093">
        <v>175</v>
      </c>
      <c r="F4093">
        <v>3</v>
      </c>
      <c r="G4093">
        <v>25</v>
      </c>
      <c r="H4093">
        <v>18</v>
      </c>
      <c r="I4093">
        <v>818</v>
      </c>
      <c r="J4093">
        <v>860</v>
      </c>
      <c r="K4093">
        <v>3.4590000000000001</v>
      </c>
      <c r="L4093">
        <v>10.950000000000001</v>
      </c>
      <c r="M4093">
        <v>126.87</v>
      </c>
      <c r="N4093">
        <v>9.370000000000001</v>
      </c>
      <c r="O4093">
        <v>1717</v>
      </c>
      <c r="P4093">
        <v>0</v>
      </c>
      <c r="Q4093" s="5" t="e">
        <f>IF(AND(#REF!&gt;=table!$C$6,#REF!&lt;= table!$D$6),-1,IF(AND(#REF!&gt;=table!$E$6,#REF!&lt;=table!$F$6),1,0))</f>
        <v>#REF!</v>
      </c>
      <c r="R4093" s="5" t="e">
        <f>IF(AND(#REF!&gt;=table!$C$7,#REF!&lt;= table!$D$7),-1,IF(AND(#REF!&gt;=table!$E$7,#REF!&lt;=table!$F$7),1,0))</f>
        <v>#REF!</v>
      </c>
      <c r="S4093" s="5" t="e">
        <f>IF(AND(#REF!&gt;=table!$C$8,#REF!&lt;= table!$D$8),-1,IF(AND(#REF!&gt;=table!$E$8,#REF!&lt;=table!$F$8),1,0))</f>
        <v>#REF!</v>
      </c>
      <c r="T4093" s="5"/>
      <c r="U4093" s="5" t="e">
        <f>IF(AND(#REF!&gt;=table!$C$10,#REF!&lt;= table!$D$10),-1,IF(AND(#REF!&gt;=table!$E$10,#REF!&lt;=table!$F$10),1,0))</f>
        <v>#REF!</v>
      </c>
      <c r="V4093" s="5" t="e">
        <f>IF(AND(#REF!&gt;=table!$C$11,#REF!&lt;= table!$D$11),-1,IF(AND(#REF!&gt;=table!$E$11,#REF!&lt;=table!$F$11),1,0))</f>
        <v>#REF!</v>
      </c>
      <c r="W4093" s="5" t="e">
        <f>CONCATENATE(dados[[#This Row],[fator1]],dados[[#This Row],[fator5]],dados[[#This Row],[fator6]])</f>
        <v>#REF!</v>
      </c>
    </row>
    <row r="4094" spans="1:23">
      <c r="A4094" t="s">
        <v>17</v>
      </c>
      <c r="B4094">
        <v>589258</v>
      </c>
      <c r="C4094">
        <v>7</v>
      </c>
      <c r="D4094">
        <v>30</v>
      </c>
      <c r="E4094">
        <v>175</v>
      </c>
      <c r="F4094">
        <v>3</v>
      </c>
      <c r="G4094">
        <v>25</v>
      </c>
      <c r="H4094">
        <v>18</v>
      </c>
      <c r="I4094">
        <v>852</v>
      </c>
      <c r="J4094">
        <v>0</v>
      </c>
      <c r="K4094">
        <v>1.994</v>
      </c>
      <c r="L4094">
        <v>6.758</v>
      </c>
      <c r="M4094">
        <v>153.84900000000002</v>
      </c>
      <c r="N4094">
        <v>12.025</v>
      </c>
      <c r="O4094">
        <v>1686</v>
      </c>
      <c r="P4094">
        <v>875</v>
      </c>
      <c r="Q4094" s="5" t="e">
        <f>IF(AND(#REF!&gt;=table!$C$6,#REF!&lt;= table!$D$6),-1,IF(AND(#REF!&gt;=table!$E$6,#REF!&lt;=table!$F$6),1,0))</f>
        <v>#REF!</v>
      </c>
      <c r="R4094" s="5" t="e">
        <f>IF(AND(#REF!&gt;=table!$C$7,#REF!&lt;= table!$D$7),-1,IF(AND(#REF!&gt;=table!$E$7,#REF!&lt;=table!$F$7),1,0))</f>
        <v>#REF!</v>
      </c>
      <c r="S4094" s="5" t="e">
        <f>IF(AND(#REF!&gt;=table!$C$8,#REF!&lt;= table!$D$8),-1,IF(AND(#REF!&gt;=table!$E$8,#REF!&lt;=table!$F$8),1,0))</f>
        <v>#REF!</v>
      </c>
      <c r="T4094" s="5"/>
      <c r="U4094" s="5" t="e">
        <f>IF(AND(#REF!&gt;=table!$C$10,#REF!&lt;= table!$D$10),-1,IF(AND(#REF!&gt;=table!$E$10,#REF!&lt;=table!$F$10),1,0))</f>
        <v>#REF!</v>
      </c>
      <c r="V4094" s="5" t="e">
        <f>IF(AND(#REF!&gt;=table!$C$11,#REF!&lt;= table!$D$11),-1,IF(AND(#REF!&gt;=table!$E$11,#REF!&lt;=table!$F$11),1,0))</f>
        <v>#REF!</v>
      </c>
      <c r="W4094" s="5" t="e">
        <f>CONCATENATE(dados[[#This Row],[fator1]],dados[[#This Row],[fator5]],dados[[#This Row],[fator6]])</f>
        <v>#REF!</v>
      </c>
    </row>
    <row r="4095" spans="1:23">
      <c r="A4095" t="s">
        <v>16</v>
      </c>
      <c r="B4095">
        <v>589260</v>
      </c>
      <c r="C4095">
        <v>13</v>
      </c>
      <c r="D4095">
        <v>35</v>
      </c>
      <c r="E4095">
        <v>120</v>
      </c>
      <c r="F4095">
        <v>10</v>
      </c>
      <c r="G4095">
        <v>0</v>
      </c>
      <c r="H4095">
        <v>25</v>
      </c>
      <c r="I4095">
        <v>397</v>
      </c>
      <c r="J4095">
        <v>0</v>
      </c>
      <c r="K4095">
        <v>2.0645000000000002</v>
      </c>
      <c r="L4095">
        <v>4.7629999999999999</v>
      </c>
      <c r="M4095">
        <v>80.39</v>
      </c>
      <c r="N4095">
        <v>11.135</v>
      </c>
      <c r="O4095">
        <v>1743</v>
      </c>
      <c r="P4095">
        <v>0</v>
      </c>
      <c r="Q4095" s="5" t="e">
        <f>IF(AND(#REF!&gt;=table!$C$6,#REF!&lt;= table!$D$6),-1,IF(AND(#REF!&gt;=table!$E$6,#REF!&lt;=table!$F$6),1,0))</f>
        <v>#REF!</v>
      </c>
      <c r="R4095" s="5" t="e">
        <f>IF(AND(#REF!&gt;=table!$C$7,#REF!&lt;= table!$D$7),-1,IF(AND(#REF!&gt;=table!$E$7,#REF!&lt;=table!$F$7),1,0))</f>
        <v>#REF!</v>
      </c>
      <c r="S4095" s="5" t="e">
        <f>IF(AND(#REF!&gt;=table!$C$8,#REF!&lt;= table!$D$8),-1,IF(AND(#REF!&gt;=table!$E$8,#REF!&lt;=table!$F$8),1,0))</f>
        <v>#REF!</v>
      </c>
      <c r="T4095" s="5"/>
      <c r="U4095" s="5" t="e">
        <f>IF(AND(#REF!&gt;=table!$C$10,#REF!&lt;= table!$D$10),-1,IF(AND(#REF!&gt;=table!$E$10,#REF!&lt;=table!$F$10),1,0))</f>
        <v>#REF!</v>
      </c>
      <c r="V4095" s="5" t="e">
        <f>IF(AND(#REF!&gt;=table!$C$11,#REF!&lt;= table!$D$11),-1,IF(AND(#REF!&gt;=table!$E$11,#REF!&lt;=table!$F$11),1,0))</f>
        <v>#REF!</v>
      </c>
      <c r="W4095" s="5" t="e">
        <f>CONCATENATE(dados[[#This Row],[fator1]],dados[[#This Row],[fator5]],dados[[#This Row],[fator6]])</f>
        <v>#REF!</v>
      </c>
    </row>
    <row r="4096" spans="1:23">
      <c r="A4096" t="s">
        <v>17</v>
      </c>
      <c r="B4096">
        <v>589261</v>
      </c>
      <c r="C4096">
        <v>7</v>
      </c>
      <c r="D4096">
        <v>30</v>
      </c>
      <c r="E4096">
        <v>175</v>
      </c>
      <c r="F4096">
        <v>3</v>
      </c>
      <c r="G4096">
        <v>25</v>
      </c>
      <c r="H4096">
        <v>18</v>
      </c>
      <c r="I4096">
        <v>441</v>
      </c>
      <c r="J4096">
        <v>820</v>
      </c>
      <c r="K4096">
        <v>2.9265000000000003</v>
      </c>
      <c r="L4096">
        <v>8.0564999999999998</v>
      </c>
      <c r="M4096">
        <v>140.577</v>
      </c>
      <c r="N4096">
        <v>10.53</v>
      </c>
      <c r="O4096">
        <v>1678</v>
      </c>
      <c r="P4096">
        <v>583</v>
      </c>
      <c r="Q4096" s="5" t="e">
        <f>IF(AND(#REF!&gt;=table!$C$6,#REF!&lt;= table!$D$6),-1,IF(AND(#REF!&gt;=table!$E$6,#REF!&lt;=table!$F$6),1,0))</f>
        <v>#REF!</v>
      </c>
      <c r="R4096" s="5" t="e">
        <f>IF(AND(#REF!&gt;=table!$C$7,#REF!&lt;= table!$D$7),-1,IF(AND(#REF!&gt;=table!$E$7,#REF!&lt;=table!$F$7),1,0))</f>
        <v>#REF!</v>
      </c>
      <c r="S4096" s="5" t="e">
        <f>IF(AND(#REF!&gt;=table!$C$8,#REF!&lt;= table!$D$8),-1,IF(AND(#REF!&gt;=table!$E$8,#REF!&lt;=table!$F$8),1,0))</f>
        <v>#REF!</v>
      </c>
      <c r="T4096" s="5"/>
      <c r="U4096" s="5" t="e">
        <f>IF(AND(#REF!&gt;=table!$C$10,#REF!&lt;= table!$D$10),-1,IF(AND(#REF!&gt;=table!$E$10,#REF!&lt;=table!$F$10),1,0))</f>
        <v>#REF!</v>
      </c>
      <c r="V4096" s="5" t="e">
        <f>IF(AND(#REF!&gt;=table!$C$11,#REF!&lt;= table!$D$11),-1,IF(AND(#REF!&gt;=table!$E$11,#REF!&lt;=table!$F$11),1,0))</f>
        <v>#REF!</v>
      </c>
      <c r="W4096" s="5" t="e">
        <f>CONCATENATE(dados[[#This Row],[fator1]],dados[[#This Row],[fator5]],dados[[#This Row],[fator6]])</f>
        <v>#REF!</v>
      </c>
    </row>
    <row r="4097" spans="1:23">
      <c r="A4097" t="s">
        <v>16</v>
      </c>
      <c r="B4097">
        <v>589262</v>
      </c>
      <c r="C4097">
        <v>0.1</v>
      </c>
      <c r="D4097">
        <v>40</v>
      </c>
      <c r="E4097">
        <v>10</v>
      </c>
      <c r="F4097">
        <v>8</v>
      </c>
      <c r="G4097">
        <v>0</v>
      </c>
      <c r="H4097">
        <v>10</v>
      </c>
      <c r="I4097">
        <v>192</v>
      </c>
      <c r="J4097">
        <v>0</v>
      </c>
      <c r="K4097">
        <v>2.9265000000000003</v>
      </c>
      <c r="L4097">
        <v>8.0564999999999998</v>
      </c>
      <c r="M4097">
        <v>7.4770000000000003</v>
      </c>
      <c r="N4097">
        <v>6.7949999999999999</v>
      </c>
      <c r="O4097">
        <v>1689</v>
      </c>
      <c r="P4097">
        <v>868</v>
      </c>
      <c r="Q4097" s="5" t="e">
        <f>IF(AND(#REF!&gt;=table!$C$6,#REF!&lt;= table!$D$6),-1,IF(AND(#REF!&gt;=table!$E$6,#REF!&lt;=table!$F$6),1,0))</f>
        <v>#REF!</v>
      </c>
      <c r="R4097" s="5" t="e">
        <f>IF(AND(#REF!&gt;=table!$C$7,#REF!&lt;= table!$D$7),-1,IF(AND(#REF!&gt;=table!$E$7,#REF!&lt;=table!$F$7),1,0))</f>
        <v>#REF!</v>
      </c>
      <c r="S4097" s="5" t="e">
        <f>IF(AND(#REF!&gt;=table!$C$8,#REF!&lt;= table!$D$8),-1,IF(AND(#REF!&gt;=table!$E$8,#REF!&lt;=table!$F$8),1,0))</f>
        <v>#REF!</v>
      </c>
      <c r="T4097" s="5"/>
      <c r="U4097" s="5" t="e">
        <f>IF(AND(#REF!&gt;=table!$C$10,#REF!&lt;= table!$D$10),-1,IF(AND(#REF!&gt;=table!$E$10,#REF!&lt;=table!$F$10),1,0))</f>
        <v>#REF!</v>
      </c>
      <c r="V4097" s="5" t="e">
        <f>IF(AND(#REF!&gt;=table!$C$11,#REF!&lt;= table!$D$11),-1,IF(AND(#REF!&gt;=table!$E$11,#REF!&lt;=table!$F$11),1,0))</f>
        <v>#REF!</v>
      </c>
      <c r="W4097" s="5" t="e">
        <f>CONCATENATE(dados[[#This Row],[fator1]],dados[[#This Row],[fator5]],dados[[#This Row],[fator6]])</f>
        <v>#REF!</v>
      </c>
    </row>
    <row r="4098" spans="1:23">
      <c r="A4098" t="s">
        <v>16</v>
      </c>
      <c r="B4098">
        <v>589266</v>
      </c>
      <c r="C4098">
        <v>0.1</v>
      </c>
      <c r="D4098">
        <v>40</v>
      </c>
      <c r="E4098">
        <v>10</v>
      </c>
      <c r="F4098">
        <v>8</v>
      </c>
      <c r="G4098">
        <v>0</v>
      </c>
      <c r="H4098">
        <v>10</v>
      </c>
      <c r="I4098">
        <v>602</v>
      </c>
      <c r="J4098">
        <v>0</v>
      </c>
      <c r="K4098">
        <v>2.9585000000000004</v>
      </c>
      <c r="L4098">
        <v>9.697000000000001</v>
      </c>
      <c r="M4098">
        <v>8.8830000000000009</v>
      </c>
      <c r="N4098">
        <v>10.005000000000001</v>
      </c>
      <c r="O4098">
        <v>1668</v>
      </c>
      <c r="P4098">
        <v>601</v>
      </c>
      <c r="Q4098" s="5" t="e">
        <f>IF(AND(#REF!&gt;=table!$C$6,#REF!&lt;= table!$D$6),-1,IF(AND(#REF!&gt;=table!$E$6,#REF!&lt;=table!$F$6),1,0))</f>
        <v>#REF!</v>
      </c>
      <c r="R4098" s="5" t="e">
        <f>IF(AND(#REF!&gt;=table!$C$7,#REF!&lt;= table!$D$7),-1,IF(AND(#REF!&gt;=table!$E$7,#REF!&lt;=table!$F$7),1,0))</f>
        <v>#REF!</v>
      </c>
      <c r="S4098" s="5" t="e">
        <f>IF(AND(#REF!&gt;=table!$C$8,#REF!&lt;= table!$D$8),-1,IF(AND(#REF!&gt;=table!$E$8,#REF!&lt;=table!$F$8),1,0))</f>
        <v>#REF!</v>
      </c>
      <c r="T4098" s="5"/>
      <c r="U4098" s="5" t="e">
        <f>IF(AND(#REF!&gt;=table!$C$10,#REF!&lt;= table!$D$10),-1,IF(AND(#REF!&gt;=table!$E$10,#REF!&lt;=table!$F$10),1,0))</f>
        <v>#REF!</v>
      </c>
      <c r="V4098" s="5" t="e">
        <f>IF(AND(#REF!&gt;=table!$C$11,#REF!&lt;= table!$D$11),-1,IF(AND(#REF!&gt;=table!$E$11,#REF!&lt;=table!$F$11),1,0))</f>
        <v>#REF!</v>
      </c>
      <c r="W4098" s="5" t="e">
        <f>CONCATENATE(dados[[#This Row],[fator1]],dados[[#This Row],[fator5]],dados[[#This Row],[fator6]])</f>
        <v>#REF!</v>
      </c>
    </row>
    <row r="4099" spans="1:23">
      <c r="A4099" t="s">
        <v>16</v>
      </c>
      <c r="B4099">
        <v>589269</v>
      </c>
      <c r="C4099">
        <v>7</v>
      </c>
      <c r="D4099">
        <v>33</v>
      </c>
      <c r="E4099">
        <v>153</v>
      </c>
      <c r="F4099">
        <v>4</v>
      </c>
      <c r="G4099">
        <v>0</v>
      </c>
      <c r="H4099">
        <v>25</v>
      </c>
      <c r="I4099">
        <v>636</v>
      </c>
      <c r="J4099">
        <v>0</v>
      </c>
      <c r="K4099">
        <v>2.2270000000000003</v>
      </c>
      <c r="L4099">
        <v>8.5289999999999999</v>
      </c>
      <c r="M4099">
        <v>138.40100000000001</v>
      </c>
      <c r="N4099">
        <v>12.84</v>
      </c>
      <c r="O4099">
        <v>1692</v>
      </c>
      <c r="P4099">
        <v>0</v>
      </c>
      <c r="Q4099" s="5" t="e">
        <f>IF(AND(#REF!&gt;=table!$C$6,#REF!&lt;= table!$D$6),-1,IF(AND(#REF!&gt;=table!$E$6,#REF!&lt;=table!$F$6),1,0))</f>
        <v>#REF!</v>
      </c>
      <c r="R4099" s="5" t="e">
        <f>IF(AND(#REF!&gt;=table!$C$7,#REF!&lt;= table!$D$7),-1,IF(AND(#REF!&gt;=table!$E$7,#REF!&lt;=table!$F$7),1,0))</f>
        <v>#REF!</v>
      </c>
      <c r="S4099" s="5" t="e">
        <f>IF(AND(#REF!&gt;=table!$C$8,#REF!&lt;= table!$D$8),-1,IF(AND(#REF!&gt;=table!$E$8,#REF!&lt;=table!$F$8),1,0))</f>
        <v>#REF!</v>
      </c>
      <c r="T4099" s="5"/>
      <c r="U4099" s="5" t="e">
        <f>IF(AND(#REF!&gt;=table!$C$10,#REF!&lt;= table!$D$10),-1,IF(AND(#REF!&gt;=table!$E$10,#REF!&lt;=table!$F$10),1,0))</f>
        <v>#REF!</v>
      </c>
      <c r="V4099" s="5" t="e">
        <f>IF(AND(#REF!&gt;=table!$C$11,#REF!&lt;= table!$D$11),-1,IF(AND(#REF!&gt;=table!$E$11,#REF!&lt;=table!$F$11),1,0))</f>
        <v>#REF!</v>
      </c>
      <c r="W4099" s="5" t="e">
        <f>CONCATENATE(dados[[#This Row],[fator1]],dados[[#This Row],[fator5]],dados[[#This Row],[fator6]])</f>
        <v>#REF!</v>
      </c>
    </row>
    <row r="4100" spans="1:23">
      <c r="A4100" t="s">
        <v>16</v>
      </c>
      <c r="B4100">
        <v>589270</v>
      </c>
      <c r="C4100">
        <v>0.15</v>
      </c>
      <c r="D4100">
        <v>40</v>
      </c>
      <c r="E4100">
        <v>10</v>
      </c>
      <c r="F4100">
        <v>15</v>
      </c>
      <c r="G4100">
        <v>0</v>
      </c>
      <c r="H4100">
        <v>15</v>
      </c>
      <c r="I4100">
        <v>566</v>
      </c>
      <c r="J4100">
        <v>0</v>
      </c>
      <c r="K4100">
        <v>3.5905</v>
      </c>
      <c r="L4100">
        <v>8.4715000000000007</v>
      </c>
      <c r="M4100">
        <v>7.5445000000000002</v>
      </c>
      <c r="N4100">
        <v>9.2200000000000006</v>
      </c>
      <c r="O4100">
        <v>1685</v>
      </c>
      <c r="P4100">
        <v>699</v>
      </c>
      <c r="Q4100" s="5" t="e">
        <f>IF(AND(#REF!&gt;=table!$C$6,#REF!&lt;= table!$D$6),-1,IF(AND(#REF!&gt;=table!$E$6,#REF!&lt;=table!$F$6),1,0))</f>
        <v>#REF!</v>
      </c>
      <c r="R4100" s="5" t="e">
        <f>IF(AND(#REF!&gt;=table!$C$7,#REF!&lt;= table!$D$7),-1,IF(AND(#REF!&gt;=table!$E$7,#REF!&lt;=table!$F$7),1,0))</f>
        <v>#REF!</v>
      </c>
      <c r="S4100" s="5" t="e">
        <f>IF(AND(#REF!&gt;=table!$C$8,#REF!&lt;= table!$D$8),-1,IF(AND(#REF!&gt;=table!$E$8,#REF!&lt;=table!$F$8),1,0))</f>
        <v>#REF!</v>
      </c>
      <c r="T4100" s="5"/>
      <c r="U4100" s="5" t="e">
        <f>IF(AND(#REF!&gt;=table!$C$10,#REF!&lt;= table!$D$10),-1,IF(AND(#REF!&gt;=table!$E$10,#REF!&lt;=table!$F$10),1,0))</f>
        <v>#REF!</v>
      </c>
      <c r="V4100" s="5" t="e">
        <f>IF(AND(#REF!&gt;=table!$C$11,#REF!&lt;= table!$D$11),-1,IF(AND(#REF!&gt;=table!$E$11,#REF!&lt;=table!$F$11),1,0))</f>
        <v>#REF!</v>
      </c>
      <c r="W4100" s="5" t="e">
        <f>CONCATENATE(dados[[#This Row],[fator1]],dados[[#This Row],[fator5]],dados[[#This Row],[fator6]])</f>
        <v>#REF!</v>
      </c>
    </row>
    <row r="4101" spans="1:23">
      <c r="A4101" t="s">
        <v>17</v>
      </c>
      <c r="B4101">
        <v>589272</v>
      </c>
      <c r="C4101">
        <v>3</v>
      </c>
      <c r="D4101">
        <v>25</v>
      </c>
      <c r="E4101">
        <v>120</v>
      </c>
      <c r="F4101">
        <v>1</v>
      </c>
      <c r="G4101">
        <v>25</v>
      </c>
      <c r="H4101">
        <v>10</v>
      </c>
      <c r="I4101">
        <v>20</v>
      </c>
      <c r="J4101">
        <v>0</v>
      </c>
      <c r="K4101">
        <v>2.64</v>
      </c>
      <c r="L4101">
        <v>7.0390000000000006</v>
      </c>
      <c r="M4101">
        <v>99.089500000000001</v>
      </c>
      <c r="N4101">
        <v>4.4950000000000001</v>
      </c>
      <c r="O4101">
        <v>1652</v>
      </c>
      <c r="P4101">
        <v>462</v>
      </c>
      <c r="Q4101" s="5" t="e">
        <f>IF(AND(#REF!&gt;=table!$C$6,#REF!&lt;= table!$D$6),-1,IF(AND(#REF!&gt;=table!$E$6,#REF!&lt;=table!$F$6),1,0))</f>
        <v>#REF!</v>
      </c>
      <c r="R4101" s="5" t="e">
        <f>IF(AND(#REF!&gt;=table!$C$7,#REF!&lt;= table!$D$7),-1,IF(AND(#REF!&gt;=table!$E$7,#REF!&lt;=table!$F$7),1,0))</f>
        <v>#REF!</v>
      </c>
      <c r="S4101" s="5" t="e">
        <f>IF(AND(#REF!&gt;=table!$C$8,#REF!&lt;= table!$D$8),-1,IF(AND(#REF!&gt;=table!$E$8,#REF!&lt;=table!$F$8),1,0))</f>
        <v>#REF!</v>
      </c>
      <c r="T4101" s="5"/>
      <c r="U4101" s="5" t="e">
        <f>IF(AND(#REF!&gt;=table!$C$10,#REF!&lt;= table!$D$10),-1,IF(AND(#REF!&gt;=table!$E$10,#REF!&lt;=table!$F$10),1,0))</f>
        <v>#REF!</v>
      </c>
      <c r="V4101" s="5" t="e">
        <f>IF(AND(#REF!&gt;=table!$C$11,#REF!&lt;= table!$D$11),-1,IF(AND(#REF!&gt;=table!$E$11,#REF!&lt;=table!$F$11),1,0))</f>
        <v>#REF!</v>
      </c>
      <c r="W4101" s="5" t="e">
        <f>CONCATENATE(dados[[#This Row],[fator1]],dados[[#This Row],[fator5]],dados[[#This Row],[fator6]])</f>
        <v>#REF!</v>
      </c>
    </row>
    <row r="4102" spans="1:23">
      <c r="A4102" t="s">
        <v>17</v>
      </c>
      <c r="B4102">
        <v>589274</v>
      </c>
      <c r="C4102">
        <v>20</v>
      </c>
      <c r="D4102">
        <v>35</v>
      </c>
      <c r="E4102">
        <v>120</v>
      </c>
      <c r="F4102">
        <v>4</v>
      </c>
      <c r="G4102">
        <v>15</v>
      </c>
      <c r="H4102">
        <v>20</v>
      </c>
      <c r="I4102">
        <v>4</v>
      </c>
      <c r="J4102">
        <v>0</v>
      </c>
      <c r="K4102">
        <v>2.5385</v>
      </c>
      <c r="L4102">
        <v>6.1604999999999999</v>
      </c>
      <c r="M4102">
        <v>92.677500000000009</v>
      </c>
      <c r="N4102">
        <v>7.5550000000000006</v>
      </c>
      <c r="O4102">
        <v>1673</v>
      </c>
      <c r="P4102">
        <v>752</v>
      </c>
      <c r="Q4102" s="5" t="e">
        <f>IF(AND(#REF!&gt;=table!$C$6,#REF!&lt;= table!$D$6),-1,IF(AND(#REF!&gt;=table!$E$6,#REF!&lt;=table!$F$6),1,0))</f>
        <v>#REF!</v>
      </c>
      <c r="R4102" s="5" t="e">
        <f>IF(AND(#REF!&gt;=table!$C$7,#REF!&lt;= table!$D$7),-1,IF(AND(#REF!&gt;=table!$E$7,#REF!&lt;=table!$F$7),1,0))</f>
        <v>#REF!</v>
      </c>
      <c r="S4102" s="5" t="e">
        <f>IF(AND(#REF!&gt;=table!$C$8,#REF!&lt;= table!$D$8),-1,IF(AND(#REF!&gt;=table!$E$8,#REF!&lt;=table!$F$8),1,0))</f>
        <v>#REF!</v>
      </c>
      <c r="T4102" s="5"/>
      <c r="U4102" s="5" t="e">
        <f>IF(AND(#REF!&gt;=table!$C$10,#REF!&lt;= table!$D$10),-1,IF(AND(#REF!&gt;=table!$E$10,#REF!&lt;=table!$F$10),1,0))</f>
        <v>#REF!</v>
      </c>
      <c r="V4102" s="5" t="e">
        <f>IF(AND(#REF!&gt;=table!$C$11,#REF!&lt;= table!$D$11),-1,IF(AND(#REF!&gt;=table!$E$11,#REF!&lt;=table!$F$11),1,0))</f>
        <v>#REF!</v>
      </c>
      <c r="W4102" s="5" t="e">
        <f>CONCATENATE(dados[[#This Row],[fator1]],dados[[#This Row],[fator5]],dados[[#This Row],[fator6]])</f>
        <v>#REF!</v>
      </c>
    </row>
    <row r="4103" spans="1:23">
      <c r="A4103" t="s">
        <v>16</v>
      </c>
      <c r="B4103">
        <v>589275</v>
      </c>
      <c r="C4103">
        <v>12</v>
      </c>
      <c r="D4103">
        <v>40</v>
      </c>
      <c r="E4103">
        <v>36</v>
      </c>
      <c r="F4103">
        <v>9</v>
      </c>
      <c r="G4103">
        <v>0</v>
      </c>
      <c r="H4103">
        <v>25</v>
      </c>
      <c r="I4103">
        <v>8</v>
      </c>
      <c r="J4103">
        <v>0</v>
      </c>
      <c r="K4103">
        <v>4.3035000000000005</v>
      </c>
      <c r="L4103">
        <v>15.063500000000001</v>
      </c>
      <c r="M4103">
        <v>38.626000000000005</v>
      </c>
      <c r="N4103">
        <v>19.035</v>
      </c>
      <c r="O4103">
        <v>1689</v>
      </c>
      <c r="P4103">
        <v>586</v>
      </c>
      <c r="Q4103" s="5" t="e">
        <f>IF(AND(#REF!&gt;=table!$C$6,#REF!&lt;= table!$D$6),-1,IF(AND(#REF!&gt;=table!$E$6,#REF!&lt;=table!$F$6),1,0))</f>
        <v>#REF!</v>
      </c>
      <c r="R4103" s="5" t="e">
        <f>IF(AND(#REF!&gt;=table!$C$7,#REF!&lt;= table!$D$7),-1,IF(AND(#REF!&gt;=table!$E$7,#REF!&lt;=table!$F$7),1,0))</f>
        <v>#REF!</v>
      </c>
      <c r="S4103" s="5" t="e">
        <f>IF(AND(#REF!&gt;=table!$C$8,#REF!&lt;= table!$D$8),-1,IF(AND(#REF!&gt;=table!$E$8,#REF!&lt;=table!$F$8),1,0))</f>
        <v>#REF!</v>
      </c>
      <c r="T4103" s="5"/>
      <c r="U4103" s="5" t="e">
        <f>IF(AND(#REF!&gt;=table!$C$10,#REF!&lt;= table!$D$10),-1,IF(AND(#REF!&gt;=table!$E$10,#REF!&lt;=table!$F$10),1,0))</f>
        <v>#REF!</v>
      </c>
      <c r="V4103" s="5" t="e">
        <f>IF(AND(#REF!&gt;=table!$C$11,#REF!&lt;= table!$D$11),-1,IF(AND(#REF!&gt;=table!$E$11,#REF!&lt;=table!$F$11),1,0))</f>
        <v>#REF!</v>
      </c>
      <c r="W4103" s="5" t="e">
        <f>CONCATENATE(dados[[#This Row],[fator1]],dados[[#This Row],[fator5]],dados[[#This Row],[fator6]])</f>
        <v>#REF!</v>
      </c>
    </row>
    <row r="4104" spans="1:23">
      <c r="A4104" t="s">
        <v>17</v>
      </c>
      <c r="B4104">
        <v>589276</v>
      </c>
      <c r="C4104">
        <v>7</v>
      </c>
      <c r="D4104">
        <v>35</v>
      </c>
      <c r="E4104">
        <v>200</v>
      </c>
      <c r="F4104">
        <v>8</v>
      </c>
      <c r="G4104">
        <v>50</v>
      </c>
      <c r="H4104">
        <v>25</v>
      </c>
      <c r="I4104">
        <v>79</v>
      </c>
      <c r="J4104">
        <v>0</v>
      </c>
      <c r="K4104">
        <v>3.4220000000000002</v>
      </c>
      <c r="L4104">
        <v>13.359500000000001</v>
      </c>
      <c r="M4104">
        <v>185.636</v>
      </c>
      <c r="N4104">
        <v>11.555</v>
      </c>
      <c r="O4104">
        <v>1657</v>
      </c>
      <c r="P4104">
        <v>463</v>
      </c>
      <c r="Q4104" s="5" t="e">
        <f>IF(AND(#REF!&gt;=table!$C$6,#REF!&lt;= table!$D$6),-1,IF(AND(#REF!&gt;=table!$E$6,#REF!&lt;=table!$F$6),1,0))</f>
        <v>#REF!</v>
      </c>
      <c r="R4104" s="5" t="e">
        <f>IF(AND(#REF!&gt;=table!$C$7,#REF!&lt;= table!$D$7),-1,IF(AND(#REF!&gt;=table!$E$7,#REF!&lt;=table!$F$7),1,0))</f>
        <v>#REF!</v>
      </c>
      <c r="S4104" s="5" t="e">
        <f>IF(AND(#REF!&gt;=table!$C$8,#REF!&lt;= table!$D$8),-1,IF(AND(#REF!&gt;=table!$E$8,#REF!&lt;=table!$F$8),1,0))</f>
        <v>#REF!</v>
      </c>
      <c r="T4104" s="5"/>
      <c r="U4104" s="5" t="e">
        <f>IF(AND(#REF!&gt;=table!$C$10,#REF!&lt;= table!$D$10),-1,IF(AND(#REF!&gt;=table!$E$10,#REF!&lt;=table!$F$10),1,0))</f>
        <v>#REF!</v>
      </c>
      <c r="V4104" s="5" t="e">
        <f>IF(AND(#REF!&gt;=table!$C$11,#REF!&lt;= table!$D$11),-1,IF(AND(#REF!&gt;=table!$E$11,#REF!&lt;=table!$F$11),1,0))</f>
        <v>#REF!</v>
      </c>
      <c r="W4104" s="5" t="e">
        <f>CONCATENATE(dados[[#This Row],[fator1]],dados[[#This Row],[fator5]],dados[[#This Row],[fator6]])</f>
        <v>#REF!</v>
      </c>
    </row>
    <row r="4105" spans="1:23">
      <c r="A4105" t="s">
        <v>17</v>
      </c>
      <c r="B4105">
        <v>589277</v>
      </c>
      <c r="C4105">
        <v>7</v>
      </c>
      <c r="D4105">
        <v>35</v>
      </c>
      <c r="E4105">
        <v>200</v>
      </c>
      <c r="F4105">
        <v>8</v>
      </c>
      <c r="G4105">
        <v>50</v>
      </c>
      <c r="H4105">
        <v>25</v>
      </c>
      <c r="I4105">
        <v>194</v>
      </c>
      <c r="J4105">
        <v>2400</v>
      </c>
      <c r="K4105">
        <v>2.2925</v>
      </c>
      <c r="L4105">
        <v>8.7765000000000004</v>
      </c>
      <c r="M4105">
        <v>175.55200000000002</v>
      </c>
      <c r="N4105">
        <v>17.7</v>
      </c>
      <c r="O4105">
        <v>1718</v>
      </c>
      <c r="P4105">
        <v>0</v>
      </c>
      <c r="Q4105" s="5" t="e">
        <f>IF(AND(#REF!&gt;=table!$C$6,#REF!&lt;= table!$D$6),-1,IF(AND(#REF!&gt;=table!$E$6,#REF!&lt;=table!$F$6),1,0))</f>
        <v>#REF!</v>
      </c>
      <c r="R4105" s="5" t="e">
        <f>IF(AND(#REF!&gt;=table!$C$7,#REF!&lt;= table!$D$7),-1,IF(AND(#REF!&gt;=table!$E$7,#REF!&lt;=table!$F$7),1,0))</f>
        <v>#REF!</v>
      </c>
      <c r="S4105" s="5" t="e">
        <f>IF(AND(#REF!&gt;=table!$C$8,#REF!&lt;= table!$D$8),-1,IF(AND(#REF!&gt;=table!$E$8,#REF!&lt;=table!$F$8),1,0))</f>
        <v>#REF!</v>
      </c>
      <c r="T4105" s="5"/>
      <c r="U4105" s="5" t="e">
        <f>IF(AND(#REF!&gt;=table!$C$10,#REF!&lt;= table!$D$10),-1,IF(AND(#REF!&gt;=table!$E$10,#REF!&lt;=table!$F$10),1,0))</f>
        <v>#REF!</v>
      </c>
      <c r="V4105" s="5" t="e">
        <f>IF(AND(#REF!&gt;=table!$C$11,#REF!&lt;= table!$D$11),-1,IF(AND(#REF!&gt;=table!$E$11,#REF!&lt;=table!$F$11),1,0))</f>
        <v>#REF!</v>
      </c>
      <c r="W4105" s="5" t="e">
        <f>CONCATENATE(dados[[#This Row],[fator1]],dados[[#This Row],[fator5]],dados[[#This Row],[fator6]])</f>
        <v>#REF!</v>
      </c>
    </row>
    <row r="4106" spans="1:23">
      <c r="A4106" t="s">
        <v>16</v>
      </c>
      <c r="B4106">
        <v>589278</v>
      </c>
      <c r="C4106">
        <v>11</v>
      </c>
      <c r="D4106">
        <v>40</v>
      </c>
      <c r="E4106">
        <v>151</v>
      </c>
      <c r="F4106">
        <v>8</v>
      </c>
      <c r="G4106">
        <v>0</v>
      </c>
      <c r="H4106">
        <v>25</v>
      </c>
      <c r="I4106">
        <v>39</v>
      </c>
      <c r="J4106">
        <v>0</v>
      </c>
      <c r="K4106">
        <v>2.6905000000000001</v>
      </c>
      <c r="L4106">
        <v>5.194</v>
      </c>
      <c r="M4106">
        <v>74.8095</v>
      </c>
      <c r="N4106">
        <v>7.7700000000000005</v>
      </c>
      <c r="O4106">
        <v>1660</v>
      </c>
      <c r="P4106">
        <v>772</v>
      </c>
      <c r="Q4106" s="5" t="e">
        <f>IF(AND(#REF!&gt;=table!$C$6,#REF!&lt;= table!$D$6),-1,IF(AND(#REF!&gt;=table!$E$6,#REF!&lt;=table!$F$6),1,0))</f>
        <v>#REF!</v>
      </c>
      <c r="R4106" s="5" t="e">
        <f>IF(AND(#REF!&gt;=table!$C$7,#REF!&lt;= table!$D$7),-1,IF(AND(#REF!&gt;=table!$E$7,#REF!&lt;=table!$F$7),1,0))</f>
        <v>#REF!</v>
      </c>
      <c r="S4106" s="5" t="e">
        <f>IF(AND(#REF!&gt;=table!$C$8,#REF!&lt;= table!$D$8),-1,IF(AND(#REF!&gt;=table!$E$8,#REF!&lt;=table!$F$8),1,0))</f>
        <v>#REF!</v>
      </c>
      <c r="T4106" s="5"/>
      <c r="U4106" s="5" t="e">
        <f>IF(AND(#REF!&gt;=table!$C$10,#REF!&lt;= table!$D$10),-1,IF(AND(#REF!&gt;=table!$E$10,#REF!&lt;=table!$F$10),1,0))</f>
        <v>#REF!</v>
      </c>
      <c r="V4106" s="5" t="e">
        <f>IF(AND(#REF!&gt;=table!$C$11,#REF!&lt;= table!$D$11),-1,IF(AND(#REF!&gt;=table!$E$11,#REF!&lt;=table!$F$11),1,0))</f>
        <v>#REF!</v>
      </c>
      <c r="W4106" s="5" t="e">
        <f>CONCATENATE(dados[[#This Row],[fator1]],dados[[#This Row],[fator5]],dados[[#This Row],[fator6]])</f>
        <v>#REF!</v>
      </c>
    </row>
    <row r="4107" spans="1:23">
      <c r="A4107" t="s">
        <v>16</v>
      </c>
      <c r="B4107">
        <v>589280</v>
      </c>
      <c r="C4107">
        <v>11</v>
      </c>
      <c r="D4107">
        <v>40</v>
      </c>
      <c r="E4107">
        <v>151</v>
      </c>
      <c r="F4107">
        <v>8</v>
      </c>
      <c r="G4107">
        <v>0</v>
      </c>
      <c r="H4107">
        <v>25</v>
      </c>
      <c r="I4107">
        <v>2</v>
      </c>
      <c r="J4107">
        <v>0</v>
      </c>
      <c r="K4107">
        <v>3.722</v>
      </c>
      <c r="L4107">
        <v>8.6720000000000006</v>
      </c>
      <c r="M4107">
        <v>75.07350000000001</v>
      </c>
      <c r="N4107">
        <v>8.85</v>
      </c>
      <c r="O4107">
        <v>1673</v>
      </c>
      <c r="P4107">
        <v>610</v>
      </c>
      <c r="Q4107" s="5" t="e">
        <f>IF(AND(#REF!&gt;=table!$C$6,#REF!&lt;= table!$D$6),-1,IF(AND(#REF!&gt;=table!$E$6,#REF!&lt;=table!$F$6),1,0))</f>
        <v>#REF!</v>
      </c>
      <c r="R4107" s="5" t="e">
        <f>IF(AND(#REF!&gt;=table!$C$7,#REF!&lt;= table!$D$7),-1,IF(AND(#REF!&gt;=table!$E$7,#REF!&lt;=table!$F$7),1,0))</f>
        <v>#REF!</v>
      </c>
      <c r="S4107" s="5" t="e">
        <f>IF(AND(#REF!&gt;=table!$C$8,#REF!&lt;= table!$D$8),-1,IF(AND(#REF!&gt;=table!$E$8,#REF!&lt;=table!$F$8),1,0))</f>
        <v>#REF!</v>
      </c>
      <c r="T4107" s="5"/>
      <c r="U4107" s="5" t="e">
        <f>IF(AND(#REF!&gt;=table!$C$10,#REF!&lt;= table!$D$10),-1,IF(AND(#REF!&gt;=table!$E$10,#REF!&lt;=table!$F$10),1,0))</f>
        <v>#REF!</v>
      </c>
      <c r="V4107" s="5" t="e">
        <f>IF(AND(#REF!&gt;=table!$C$11,#REF!&lt;= table!$D$11),-1,IF(AND(#REF!&gt;=table!$E$11,#REF!&lt;=table!$F$11),1,0))</f>
        <v>#REF!</v>
      </c>
      <c r="W4107" s="5" t="e">
        <f>CONCATENATE(dados[[#This Row],[fator1]],dados[[#This Row],[fator5]],dados[[#This Row],[fator6]])</f>
        <v>#REF!</v>
      </c>
    </row>
    <row r="4108" spans="1:23">
      <c r="A4108" t="s">
        <v>17</v>
      </c>
      <c r="B4108">
        <v>589281</v>
      </c>
      <c r="C4108">
        <v>14</v>
      </c>
      <c r="D4108">
        <v>30</v>
      </c>
      <c r="E4108">
        <v>110</v>
      </c>
      <c r="F4108">
        <v>3</v>
      </c>
      <c r="G4108">
        <v>20</v>
      </c>
      <c r="H4108">
        <v>22</v>
      </c>
      <c r="I4108">
        <v>0</v>
      </c>
      <c r="J4108">
        <v>0</v>
      </c>
      <c r="K4108">
        <v>3.343</v>
      </c>
      <c r="L4108">
        <v>10.873000000000001</v>
      </c>
      <c r="M4108">
        <v>85.516500000000008</v>
      </c>
      <c r="N4108">
        <v>9.8800000000000008</v>
      </c>
      <c r="O4108">
        <v>1687</v>
      </c>
      <c r="P4108">
        <v>0</v>
      </c>
      <c r="Q4108" s="5" t="e">
        <f>IF(AND(#REF!&gt;=table!$C$6,#REF!&lt;= table!$D$6),-1,IF(AND(#REF!&gt;=table!$E$6,#REF!&lt;=table!$F$6),1,0))</f>
        <v>#REF!</v>
      </c>
      <c r="R4108" s="5" t="e">
        <f>IF(AND(#REF!&gt;=table!$C$7,#REF!&lt;= table!$D$7),-1,IF(AND(#REF!&gt;=table!$E$7,#REF!&lt;=table!$F$7),1,0))</f>
        <v>#REF!</v>
      </c>
      <c r="S4108" s="5" t="e">
        <f>IF(AND(#REF!&gt;=table!$C$8,#REF!&lt;= table!$D$8),-1,IF(AND(#REF!&gt;=table!$E$8,#REF!&lt;=table!$F$8),1,0))</f>
        <v>#REF!</v>
      </c>
      <c r="T4108" s="5"/>
      <c r="U4108" s="5" t="e">
        <f>IF(AND(#REF!&gt;=table!$C$10,#REF!&lt;= table!$D$10),-1,IF(AND(#REF!&gt;=table!$E$10,#REF!&lt;=table!$F$10),1,0))</f>
        <v>#REF!</v>
      </c>
      <c r="V4108" s="5" t="e">
        <f>IF(AND(#REF!&gt;=table!$C$11,#REF!&lt;= table!$D$11),-1,IF(AND(#REF!&gt;=table!$E$11,#REF!&lt;=table!$F$11),1,0))</f>
        <v>#REF!</v>
      </c>
      <c r="W4108" s="5" t="e">
        <f>CONCATENATE(dados[[#This Row],[fator1]],dados[[#This Row],[fator5]],dados[[#This Row],[fator6]])</f>
        <v>#REF!</v>
      </c>
    </row>
    <row r="4109" spans="1:23">
      <c r="A4109" t="s">
        <v>16</v>
      </c>
      <c r="B4109">
        <v>589284</v>
      </c>
      <c r="C4109">
        <v>11</v>
      </c>
      <c r="D4109">
        <v>40</v>
      </c>
      <c r="E4109">
        <v>151</v>
      </c>
      <c r="F4109">
        <v>8</v>
      </c>
      <c r="G4109">
        <v>0</v>
      </c>
      <c r="H4109">
        <v>25</v>
      </c>
      <c r="I4109">
        <v>869</v>
      </c>
      <c r="J4109">
        <v>980</v>
      </c>
      <c r="K4109">
        <v>2.0630000000000002</v>
      </c>
      <c r="L4109">
        <v>8.3239999999999998</v>
      </c>
      <c r="M4109">
        <v>102.04400000000001</v>
      </c>
      <c r="N4109">
        <v>8.7900000000000009</v>
      </c>
      <c r="O4109">
        <v>1707</v>
      </c>
      <c r="P4109">
        <v>0</v>
      </c>
      <c r="Q4109" s="5" t="e">
        <f>IF(AND(#REF!&gt;=table!$C$6,#REF!&lt;= table!$D$6),-1,IF(AND(#REF!&gt;=table!$E$6,#REF!&lt;=table!$F$6),1,0))</f>
        <v>#REF!</v>
      </c>
      <c r="R4109" s="5" t="e">
        <f>IF(AND(#REF!&gt;=table!$C$7,#REF!&lt;= table!$D$7),-1,IF(AND(#REF!&gt;=table!$E$7,#REF!&lt;=table!$F$7),1,0))</f>
        <v>#REF!</v>
      </c>
      <c r="S4109" s="5" t="e">
        <f>IF(AND(#REF!&gt;=table!$C$8,#REF!&lt;= table!$D$8),-1,IF(AND(#REF!&gt;=table!$E$8,#REF!&lt;=table!$F$8),1,0))</f>
        <v>#REF!</v>
      </c>
      <c r="T4109" s="5"/>
      <c r="U4109" s="5" t="e">
        <f>IF(AND(#REF!&gt;=table!$C$10,#REF!&lt;= table!$D$10),-1,IF(AND(#REF!&gt;=table!$E$10,#REF!&lt;=table!$F$10),1,0))</f>
        <v>#REF!</v>
      </c>
      <c r="V4109" s="5" t="e">
        <f>IF(AND(#REF!&gt;=table!$C$11,#REF!&lt;= table!$D$11),-1,IF(AND(#REF!&gt;=table!$E$11,#REF!&lt;=table!$F$11),1,0))</f>
        <v>#REF!</v>
      </c>
      <c r="W4109" s="5" t="e">
        <f>CONCATENATE(dados[[#This Row],[fator1]],dados[[#This Row],[fator5]],dados[[#This Row],[fator6]])</f>
        <v>#REF!</v>
      </c>
    </row>
    <row r="4110" spans="1:23">
      <c r="A4110" t="s">
        <v>16</v>
      </c>
      <c r="B4110">
        <v>589286</v>
      </c>
      <c r="C4110">
        <v>11</v>
      </c>
      <c r="D4110">
        <v>40</v>
      </c>
      <c r="E4110">
        <v>151</v>
      </c>
      <c r="F4110">
        <v>8</v>
      </c>
      <c r="G4110">
        <v>0</v>
      </c>
      <c r="H4110">
        <v>25</v>
      </c>
      <c r="I4110">
        <v>619</v>
      </c>
      <c r="J4110">
        <v>680</v>
      </c>
      <c r="K4110">
        <v>2.6755</v>
      </c>
      <c r="L4110">
        <v>7.8385000000000007</v>
      </c>
      <c r="M4110">
        <v>137.40200000000002</v>
      </c>
      <c r="N4110">
        <v>8.7100000000000009</v>
      </c>
      <c r="O4110">
        <v>1695</v>
      </c>
      <c r="P4110">
        <v>0</v>
      </c>
      <c r="Q4110" s="5" t="e">
        <f>IF(AND(#REF!&gt;=table!$C$6,#REF!&lt;= table!$D$6),-1,IF(AND(#REF!&gt;=table!$E$6,#REF!&lt;=table!$F$6),1,0))</f>
        <v>#REF!</v>
      </c>
      <c r="R4110" s="5" t="e">
        <f>IF(AND(#REF!&gt;=table!$C$7,#REF!&lt;= table!$D$7),-1,IF(AND(#REF!&gt;=table!$E$7,#REF!&lt;=table!$F$7),1,0))</f>
        <v>#REF!</v>
      </c>
      <c r="S4110" s="5" t="e">
        <f>IF(AND(#REF!&gt;=table!$C$8,#REF!&lt;= table!$D$8),-1,IF(AND(#REF!&gt;=table!$E$8,#REF!&lt;=table!$F$8),1,0))</f>
        <v>#REF!</v>
      </c>
      <c r="T4110" s="5"/>
      <c r="U4110" s="5" t="e">
        <f>IF(AND(#REF!&gt;=table!$C$10,#REF!&lt;= table!$D$10),-1,IF(AND(#REF!&gt;=table!$E$10,#REF!&lt;=table!$F$10),1,0))</f>
        <v>#REF!</v>
      </c>
      <c r="V4110" s="5" t="e">
        <f>IF(AND(#REF!&gt;=table!$C$11,#REF!&lt;= table!$D$11),-1,IF(AND(#REF!&gt;=table!$E$11,#REF!&lt;=table!$F$11),1,0))</f>
        <v>#REF!</v>
      </c>
      <c r="W4110" s="5" t="e">
        <f>CONCATENATE(dados[[#This Row],[fator1]],dados[[#This Row],[fator5]],dados[[#This Row],[fator6]])</f>
        <v>#REF!</v>
      </c>
    </row>
    <row r="4111" spans="1:23">
      <c r="A4111" t="s">
        <v>16</v>
      </c>
      <c r="B4111">
        <v>589300</v>
      </c>
      <c r="C4111">
        <v>0.15</v>
      </c>
      <c r="D4111">
        <v>40</v>
      </c>
      <c r="E4111">
        <v>10</v>
      </c>
      <c r="F4111">
        <v>15</v>
      </c>
      <c r="G4111">
        <v>0</v>
      </c>
      <c r="H4111">
        <v>15</v>
      </c>
      <c r="I4111">
        <v>553</v>
      </c>
      <c r="J4111">
        <v>0</v>
      </c>
      <c r="K4111">
        <v>4.3825000000000003</v>
      </c>
      <c r="L4111">
        <v>10.1145</v>
      </c>
      <c r="M4111">
        <v>9.14</v>
      </c>
      <c r="N4111">
        <v>14.185</v>
      </c>
      <c r="O4111">
        <v>1675</v>
      </c>
      <c r="P4111">
        <v>0</v>
      </c>
      <c r="Q4111" s="5" t="e">
        <f>IF(AND(#REF!&gt;=table!$C$6,#REF!&lt;= table!$D$6),-1,IF(AND(#REF!&gt;=table!$E$6,#REF!&lt;=table!$F$6),1,0))</f>
        <v>#REF!</v>
      </c>
      <c r="R4111" s="5" t="e">
        <f>IF(AND(#REF!&gt;=table!$C$7,#REF!&lt;= table!$D$7),-1,IF(AND(#REF!&gt;=table!$E$7,#REF!&lt;=table!$F$7),1,0))</f>
        <v>#REF!</v>
      </c>
      <c r="S4111" s="5" t="e">
        <f>IF(AND(#REF!&gt;=table!$C$8,#REF!&lt;= table!$D$8),-1,IF(AND(#REF!&gt;=table!$E$8,#REF!&lt;=table!$F$8),1,0))</f>
        <v>#REF!</v>
      </c>
      <c r="T4111" s="5"/>
      <c r="U4111" s="5" t="e">
        <f>IF(AND(#REF!&gt;=table!$C$10,#REF!&lt;= table!$D$10),-1,IF(AND(#REF!&gt;=table!$E$10,#REF!&lt;=table!$F$10),1,0))</f>
        <v>#REF!</v>
      </c>
      <c r="V4111" s="5" t="e">
        <f>IF(AND(#REF!&gt;=table!$C$11,#REF!&lt;= table!$D$11),-1,IF(AND(#REF!&gt;=table!$E$11,#REF!&lt;=table!$F$11),1,0))</f>
        <v>#REF!</v>
      </c>
      <c r="W4111" s="5" t="e">
        <f>CONCATENATE(dados[[#This Row],[fator1]],dados[[#This Row],[fator5]],dados[[#This Row],[fator6]])</f>
        <v>#REF!</v>
      </c>
    </row>
    <row r="4112" spans="1:23">
      <c r="A4112" t="s">
        <v>16</v>
      </c>
      <c r="B4112">
        <v>589306</v>
      </c>
      <c r="C4112">
        <v>10</v>
      </c>
      <c r="D4112">
        <v>40</v>
      </c>
      <c r="E4112">
        <v>96</v>
      </c>
      <c r="F4112">
        <v>8</v>
      </c>
      <c r="G4112">
        <v>0</v>
      </c>
      <c r="H4112">
        <v>25</v>
      </c>
      <c r="I4112">
        <v>78</v>
      </c>
      <c r="J4112">
        <v>0</v>
      </c>
      <c r="K4112">
        <v>4.4295</v>
      </c>
      <c r="L4112">
        <v>7.68</v>
      </c>
      <c r="M4112">
        <v>79.410499999999999</v>
      </c>
      <c r="N4112">
        <v>10.145000000000001</v>
      </c>
      <c r="O4112">
        <v>1657</v>
      </c>
      <c r="P4112">
        <v>454</v>
      </c>
      <c r="Q4112" s="5" t="e">
        <f>IF(AND(#REF!&gt;=table!$C$6,#REF!&lt;= table!$D$6),-1,IF(AND(#REF!&gt;=table!$E$6,#REF!&lt;=table!$F$6),1,0))</f>
        <v>#REF!</v>
      </c>
      <c r="R4112" s="5" t="e">
        <f>IF(AND(#REF!&gt;=table!$C$7,#REF!&lt;= table!$D$7),-1,IF(AND(#REF!&gt;=table!$E$7,#REF!&lt;=table!$F$7),1,0))</f>
        <v>#REF!</v>
      </c>
      <c r="S4112" s="5" t="e">
        <f>IF(AND(#REF!&gt;=table!$C$8,#REF!&lt;= table!$D$8),-1,IF(AND(#REF!&gt;=table!$E$8,#REF!&lt;=table!$F$8),1,0))</f>
        <v>#REF!</v>
      </c>
      <c r="T4112" s="5"/>
      <c r="U4112" s="5" t="e">
        <f>IF(AND(#REF!&gt;=table!$C$10,#REF!&lt;= table!$D$10),-1,IF(AND(#REF!&gt;=table!$E$10,#REF!&lt;=table!$F$10),1,0))</f>
        <v>#REF!</v>
      </c>
      <c r="V4112" s="5" t="e">
        <f>IF(AND(#REF!&gt;=table!$C$11,#REF!&lt;= table!$D$11),-1,IF(AND(#REF!&gt;=table!$E$11,#REF!&lt;=table!$F$11),1,0))</f>
        <v>#REF!</v>
      </c>
      <c r="W4112" s="5" t="e">
        <f>CONCATENATE(dados[[#This Row],[fator1]],dados[[#This Row],[fator5]],dados[[#This Row],[fator6]])</f>
        <v>#REF!</v>
      </c>
    </row>
    <row r="4113" spans="1:23">
      <c r="A4113" t="s">
        <v>16</v>
      </c>
      <c r="B4113">
        <v>589308</v>
      </c>
      <c r="C4113">
        <v>0.1</v>
      </c>
      <c r="D4113">
        <v>35</v>
      </c>
      <c r="E4113">
        <v>10</v>
      </c>
      <c r="F4113">
        <v>10</v>
      </c>
      <c r="G4113">
        <v>0</v>
      </c>
      <c r="H4113">
        <v>12</v>
      </c>
      <c r="I4113">
        <v>910</v>
      </c>
      <c r="J4113">
        <v>0</v>
      </c>
      <c r="K4113">
        <v>6.0315000000000003</v>
      </c>
      <c r="L4113">
        <v>5.5475000000000003</v>
      </c>
      <c r="M4113">
        <v>4.7815000000000003</v>
      </c>
      <c r="N4113">
        <v>7.085</v>
      </c>
      <c r="O4113">
        <v>1663</v>
      </c>
      <c r="P4113">
        <v>503</v>
      </c>
      <c r="Q4113" s="5" t="e">
        <f>IF(AND(#REF!&gt;=table!$C$6,#REF!&lt;= table!$D$6),-1,IF(AND(#REF!&gt;=table!$E$6,#REF!&lt;=table!$F$6),1,0))</f>
        <v>#REF!</v>
      </c>
      <c r="R4113" s="5" t="e">
        <f>IF(AND(#REF!&gt;=table!$C$7,#REF!&lt;= table!$D$7),-1,IF(AND(#REF!&gt;=table!$E$7,#REF!&lt;=table!$F$7),1,0))</f>
        <v>#REF!</v>
      </c>
      <c r="S4113" s="5" t="e">
        <f>IF(AND(#REF!&gt;=table!$C$8,#REF!&lt;= table!$D$8),-1,IF(AND(#REF!&gt;=table!$E$8,#REF!&lt;=table!$F$8),1,0))</f>
        <v>#REF!</v>
      </c>
      <c r="T4113" s="5"/>
      <c r="U4113" s="5" t="e">
        <f>IF(AND(#REF!&gt;=table!$C$10,#REF!&lt;= table!$D$10),-1,IF(AND(#REF!&gt;=table!$E$10,#REF!&lt;=table!$F$10),1,0))</f>
        <v>#REF!</v>
      </c>
      <c r="V4113" s="5" t="e">
        <f>IF(AND(#REF!&gt;=table!$C$11,#REF!&lt;= table!$D$11),-1,IF(AND(#REF!&gt;=table!$E$11,#REF!&lt;=table!$F$11),1,0))</f>
        <v>#REF!</v>
      </c>
      <c r="W4113" s="5" t="e">
        <f>CONCATENATE(dados[[#This Row],[fator1]],dados[[#This Row],[fator5]],dados[[#This Row],[fator6]])</f>
        <v>#REF!</v>
      </c>
    </row>
    <row r="4114" spans="1:23">
      <c r="A4114" t="s">
        <v>16</v>
      </c>
      <c r="B4114">
        <v>589310</v>
      </c>
      <c r="C4114">
        <v>0.15</v>
      </c>
      <c r="D4114">
        <v>35</v>
      </c>
      <c r="E4114">
        <v>15</v>
      </c>
      <c r="F4114">
        <v>10</v>
      </c>
      <c r="G4114">
        <v>0</v>
      </c>
      <c r="H4114">
        <v>12</v>
      </c>
      <c r="I4114">
        <v>766</v>
      </c>
      <c r="J4114">
        <v>0</v>
      </c>
      <c r="K4114">
        <v>2.597</v>
      </c>
      <c r="L4114">
        <v>5.0705</v>
      </c>
      <c r="M4114">
        <v>4.4805000000000001</v>
      </c>
      <c r="N4114">
        <v>7.835</v>
      </c>
      <c r="O4114">
        <v>1659</v>
      </c>
      <c r="P4114">
        <v>870</v>
      </c>
      <c r="Q4114" s="5" t="e">
        <f>IF(AND(#REF!&gt;=table!$C$6,#REF!&lt;= table!$D$6),-1,IF(AND(#REF!&gt;=table!$E$6,#REF!&lt;=table!$F$6),1,0))</f>
        <v>#REF!</v>
      </c>
      <c r="R4114" s="5" t="e">
        <f>IF(AND(#REF!&gt;=table!$C$7,#REF!&lt;= table!$D$7),-1,IF(AND(#REF!&gt;=table!$E$7,#REF!&lt;=table!$F$7),1,0))</f>
        <v>#REF!</v>
      </c>
      <c r="S4114" s="5" t="e">
        <f>IF(AND(#REF!&gt;=table!$C$8,#REF!&lt;= table!$D$8),-1,IF(AND(#REF!&gt;=table!$E$8,#REF!&lt;=table!$F$8),1,0))</f>
        <v>#REF!</v>
      </c>
      <c r="T4114" s="5"/>
      <c r="U4114" s="5" t="e">
        <f>IF(AND(#REF!&gt;=table!$C$10,#REF!&lt;= table!$D$10),-1,IF(AND(#REF!&gt;=table!$E$10,#REF!&lt;=table!$F$10),1,0))</f>
        <v>#REF!</v>
      </c>
      <c r="V4114" s="5" t="e">
        <f>IF(AND(#REF!&gt;=table!$C$11,#REF!&lt;= table!$D$11),-1,IF(AND(#REF!&gt;=table!$E$11,#REF!&lt;=table!$F$11),1,0))</f>
        <v>#REF!</v>
      </c>
      <c r="W4114" s="5" t="e">
        <f>CONCATENATE(dados[[#This Row],[fator1]],dados[[#This Row],[fator5]],dados[[#This Row],[fator6]])</f>
        <v>#REF!</v>
      </c>
    </row>
    <row r="4115" spans="1:23">
      <c r="A4115" t="s">
        <v>16</v>
      </c>
      <c r="B4115">
        <v>589313</v>
      </c>
      <c r="C4115">
        <v>3</v>
      </c>
      <c r="D4115">
        <v>30</v>
      </c>
      <c r="E4115">
        <v>21</v>
      </c>
      <c r="F4115">
        <v>15</v>
      </c>
      <c r="G4115">
        <v>0</v>
      </c>
      <c r="H4115">
        <v>25</v>
      </c>
      <c r="I4115">
        <v>44</v>
      </c>
      <c r="J4115">
        <v>0</v>
      </c>
      <c r="K4115">
        <v>2.516</v>
      </c>
      <c r="L4115">
        <v>7.8025000000000002</v>
      </c>
      <c r="M4115">
        <v>5.8490000000000002</v>
      </c>
      <c r="N4115">
        <v>7.835</v>
      </c>
      <c r="O4115">
        <v>1686</v>
      </c>
      <c r="P4115">
        <v>0</v>
      </c>
      <c r="Q4115" s="5" t="e">
        <f>IF(AND(#REF!&gt;=table!$C$6,#REF!&lt;= table!$D$6),-1,IF(AND(#REF!&gt;=table!$E$6,#REF!&lt;=table!$F$6),1,0))</f>
        <v>#REF!</v>
      </c>
      <c r="R4115" s="5" t="e">
        <f>IF(AND(#REF!&gt;=table!$C$7,#REF!&lt;= table!$D$7),-1,IF(AND(#REF!&gt;=table!$E$7,#REF!&lt;=table!$F$7),1,0))</f>
        <v>#REF!</v>
      </c>
      <c r="S4115" s="5" t="e">
        <f>IF(AND(#REF!&gt;=table!$C$8,#REF!&lt;= table!$D$8),-1,IF(AND(#REF!&gt;=table!$E$8,#REF!&lt;=table!$F$8),1,0))</f>
        <v>#REF!</v>
      </c>
      <c r="T4115" s="5"/>
      <c r="U4115" s="5" t="e">
        <f>IF(AND(#REF!&gt;=table!$C$10,#REF!&lt;= table!$D$10),-1,IF(AND(#REF!&gt;=table!$E$10,#REF!&lt;=table!$F$10),1,0))</f>
        <v>#REF!</v>
      </c>
      <c r="V4115" s="5" t="e">
        <f>IF(AND(#REF!&gt;=table!$C$11,#REF!&lt;= table!$D$11),-1,IF(AND(#REF!&gt;=table!$E$11,#REF!&lt;=table!$F$11),1,0))</f>
        <v>#REF!</v>
      </c>
      <c r="W4115" s="5" t="e">
        <f>CONCATENATE(dados[[#This Row],[fator1]],dados[[#This Row],[fator5]],dados[[#This Row],[fator6]])</f>
        <v>#REF!</v>
      </c>
    </row>
    <row r="4116" spans="1:23">
      <c r="A4116" t="s">
        <v>16</v>
      </c>
      <c r="B4116">
        <v>589316</v>
      </c>
      <c r="C4116">
        <v>0.15</v>
      </c>
      <c r="D4116">
        <v>35</v>
      </c>
      <c r="E4116">
        <v>15</v>
      </c>
      <c r="F4116">
        <v>10</v>
      </c>
      <c r="G4116">
        <v>0</v>
      </c>
      <c r="H4116">
        <v>12</v>
      </c>
      <c r="I4116">
        <v>393</v>
      </c>
      <c r="J4116">
        <v>0</v>
      </c>
      <c r="K4116">
        <v>3.2755000000000001</v>
      </c>
      <c r="L4116">
        <v>4.1269999999999998</v>
      </c>
      <c r="M4116">
        <v>3.2735000000000003</v>
      </c>
      <c r="N4116">
        <v>7.2850000000000001</v>
      </c>
      <c r="O4116">
        <v>1679</v>
      </c>
      <c r="P4116">
        <v>920</v>
      </c>
      <c r="Q4116" s="5" t="e">
        <f>IF(AND(#REF!&gt;=table!$C$6,#REF!&lt;= table!$D$6),-1,IF(AND(#REF!&gt;=table!$E$6,#REF!&lt;=table!$F$6),1,0))</f>
        <v>#REF!</v>
      </c>
      <c r="R4116" s="5" t="e">
        <f>IF(AND(#REF!&gt;=table!$C$7,#REF!&lt;= table!$D$7),-1,IF(AND(#REF!&gt;=table!$E$7,#REF!&lt;=table!$F$7),1,0))</f>
        <v>#REF!</v>
      </c>
      <c r="S4116" s="5" t="e">
        <f>IF(AND(#REF!&gt;=table!$C$8,#REF!&lt;= table!$D$8),-1,IF(AND(#REF!&gt;=table!$E$8,#REF!&lt;=table!$F$8),1,0))</f>
        <v>#REF!</v>
      </c>
      <c r="T4116" s="5"/>
      <c r="U4116" s="5" t="e">
        <f>IF(AND(#REF!&gt;=table!$C$10,#REF!&lt;= table!$D$10),-1,IF(AND(#REF!&gt;=table!$E$10,#REF!&lt;=table!$F$10),1,0))</f>
        <v>#REF!</v>
      </c>
      <c r="V4116" s="5" t="e">
        <f>IF(AND(#REF!&gt;=table!$C$11,#REF!&lt;= table!$D$11),-1,IF(AND(#REF!&gt;=table!$E$11,#REF!&lt;=table!$F$11),1,0))</f>
        <v>#REF!</v>
      </c>
      <c r="W4116" s="5" t="e">
        <f>CONCATENATE(dados[[#This Row],[fator1]],dados[[#This Row],[fator5]],dados[[#This Row],[fator6]])</f>
        <v>#REF!</v>
      </c>
    </row>
    <row r="4117" spans="1:23">
      <c r="A4117" t="s">
        <v>16</v>
      </c>
      <c r="B4117">
        <v>589317</v>
      </c>
      <c r="C4117">
        <v>0.15</v>
      </c>
      <c r="D4117">
        <v>35</v>
      </c>
      <c r="E4117">
        <v>15</v>
      </c>
      <c r="F4117">
        <v>10</v>
      </c>
      <c r="G4117">
        <v>0</v>
      </c>
      <c r="H4117">
        <v>12</v>
      </c>
      <c r="I4117">
        <v>453</v>
      </c>
      <c r="J4117">
        <v>0</v>
      </c>
      <c r="K4117">
        <v>2.9775</v>
      </c>
      <c r="L4117">
        <v>5.4119999999999999</v>
      </c>
      <c r="M4117">
        <v>4.8445</v>
      </c>
      <c r="N4117">
        <v>7.95</v>
      </c>
      <c r="O4117">
        <v>1680</v>
      </c>
      <c r="P4117">
        <v>0</v>
      </c>
      <c r="Q4117" s="5" t="e">
        <f>IF(AND(#REF!&gt;=table!$C$6,#REF!&lt;= table!$D$6),-1,IF(AND(#REF!&gt;=table!$E$6,#REF!&lt;=table!$F$6),1,0))</f>
        <v>#REF!</v>
      </c>
      <c r="R4117" s="5" t="e">
        <f>IF(AND(#REF!&gt;=table!$C$7,#REF!&lt;= table!$D$7),-1,IF(AND(#REF!&gt;=table!$E$7,#REF!&lt;=table!$F$7),1,0))</f>
        <v>#REF!</v>
      </c>
      <c r="S4117" s="5" t="e">
        <f>IF(AND(#REF!&gt;=table!$C$8,#REF!&lt;= table!$D$8),-1,IF(AND(#REF!&gt;=table!$E$8,#REF!&lt;=table!$F$8),1,0))</f>
        <v>#REF!</v>
      </c>
      <c r="T4117" s="5"/>
      <c r="U4117" s="5" t="e">
        <f>IF(AND(#REF!&gt;=table!$C$10,#REF!&lt;= table!$D$10),-1,IF(AND(#REF!&gt;=table!$E$10,#REF!&lt;=table!$F$10),1,0))</f>
        <v>#REF!</v>
      </c>
      <c r="V4117" s="5" t="e">
        <f>IF(AND(#REF!&gt;=table!$C$11,#REF!&lt;= table!$D$11),-1,IF(AND(#REF!&gt;=table!$E$11,#REF!&lt;=table!$F$11),1,0))</f>
        <v>#REF!</v>
      </c>
      <c r="W4117" s="5" t="e">
        <f>CONCATENATE(dados[[#This Row],[fator1]],dados[[#This Row],[fator5]],dados[[#This Row],[fator6]])</f>
        <v>#REF!</v>
      </c>
    </row>
    <row r="4118" spans="1:23">
      <c r="A4118" t="s">
        <v>16</v>
      </c>
      <c r="B4118">
        <v>589318</v>
      </c>
      <c r="C4118">
        <v>0.15</v>
      </c>
      <c r="D4118">
        <v>35</v>
      </c>
      <c r="E4118">
        <v>15</v>
      </c>
      <c r="F4118">
        <v>10</v>
      </c>
      <c r="G4118">
        <v>0</v>
      </c>
      <c r="H4118">
        <v>12</v>
      </c>
      <c r="I4118">
        <v>367</v>
      </c>
      <c r="J4118">
        <v>0</v>
      </c>
      <c r="K4118">
        <v>2.9490000000000003</v>
      </c>
      <c r="L4118">
        <v>7.1270000000000007</v>
      </c>
      <c r="M4118">
        <v>5.7750000000000004</v>
      </c>
      <c r="N4118">
        <v>10.335000000000001</v>
      </c>
      <c r="O4118">
        <v>1687</v>
      </c>
      <c r="P4118">
        <v>886</v>
      </c>
      <c r="Q4118" s="5" t="e">
        <f>IF(AND(#REF!&gt;=table!$C$6,#REF!&lt;= table!$D$6),-1,IF(AND(#REF!&gt;=table!$E$6,#REF!&lt;=table!$F$6),1,0))</f>
        <v>#REF!</v>
      </c>
      <c r="R4118" s="5" t="e">
        <f>IF(AND(#REF!&gt;=table!$C$7,#REF!&lt;= table!$D$7),-1,IF(AND(#REF!&gt;=table!$E$7,#REF!&lt;=table!$F$7),1,0))</f>
        <v>#REF!</v>
      </c>
      <c r="S4118" s="5" t="e">
        <f>IF(AND(#REF!&gt;=table!$C$8,#REF!&lt;= table!$D$8),-1,IF(AND(#REF!&gt;=table!$E$8,#REF!&lt;=table!$F$8),1,0))</f>
        <v>#REF!</v>
      </c>
      <c r="T4118" s="5"/>
      <c r="U4118" s="5" t="e">
        <f>IF(AND(#REF!&gt;=table!$C$10,#REF!&lt;= table!$D$10),-1,IF(AND(#REF!&gt;=table!$E$10,#REF!&lt;=table!$F$10),1,0))</f>
        <v>#REF!</v>
      </c>
      <c r="V4118" s="5" t="e">
        <f>IF(AND(#REF!&gt;=table!$C$11,#REF!&lt;= table!$D$11),-1,IF(AND(#REF!&gt;=table!$E$11,#REF!&lt;=table!$F$11),1,0))</f>
        <v>#REF!</v>
      </c>
      <c r="W4118" s="5" t="e">
        <f>CONCATENATE(dados[[#This Row],[fator1]],dados[[#This Row],[fator5]],dados[[#This Row],[fator6]])</f>
        <v>#REF!</v>
      </c>
    </row>
    <row r="4119" spans="1:23">
      <c r="A4119" t="s">
        <v>16</v>
      </c>
      <c r="B4119">
        <v>589319</v>
      </c>
      <c r="C4119">
        <v>0.15</v>
      </c>
      <c r="D4119">
        <v>35</v>
      </c>
      <c r="E4119">
        <v>15</v>
      </c>
      <c r="F4119">
        <v>10</v>
      </c>
      <c r="G4119">
        <v>0</v>
      </c>
      <c r="H4119">
        <v>12</v>
      </c>
      <c r="I4119">
        <v>352</v>
      </c>
      <c r="J4119">
        <v>0</v>
      </c>
      <c r="K4119">
        <v>3.5470000000000002</v>
      </c>
      <c r="L4119">
        <v>11.8245</v>
      </c>
      <c r="M4119">
        <v>9.7695000000000007</v>
      </c>
      <c r="N4119">
        <v>9.9050000000000011</v>
      </c>
      <c r="O4119">
        <v>1668</v>
      </c>
      <c r="P4119">
        <v>541</v>
      </c>
      <c r="Q4119" s="5" t="e">
        <f>IF(AND(#REF!&gt;=table!$C$6,#REF!&lt;= table!$D$6),-1,IF(AND(#REF!&gt;=table!$E$6,#REF!&lt;=table!$F$6),1,0))</f>
        <v>#REF!</v>
      </c>
      <c r="R4119" s="5" t="e">
        <f>IF(AND(#REF!&gt;=table!$C$7,#REF!&lt;= table!$D$7),-1,IF(AND(#REF!&gt;=table!$E$7,#REF!&lt;=table!$F$7),1,0))</f>
        <v>#REF!</v>
      </c>
      <c r="S4119" s="5" t="e">
        <f>IF(AND(#REF!&gt;=table!$C$8,#REF!&lt;= table!$D$8),-1,IF(AND(#REF!&gt;=table!$E$8,#REF!&lt;=table!$F$8),1,0))</f>
        <v>#REF!</v>
      </c>
      <c r="T4119" s="5"/>
      <c r="U4119" s="5" t="e">
        <f>IF(AND(#REF!&gt;=table!$C$10,#REF!&lt;= table!$D$10),-1,IF(AND(#REF!&gt;=table!$E$10,#REF!&lt;=table!$F$10),1,0))</f>
        <v>#REF!</v>
      </c>
      <c r="V4119" s="5" t="e">
        <f>IF(AND(#REF!&gt;=table!$C$11,#REF!&lt;= table!$D$11),-1,IF(AND(#REF!&gt;=table!$E$11,#REF!&lt;=table!$F$11),1,0))</f>
        <v>#REF!</v>
      </c>
      <c r="W4119" s="5" t="e">
        <f>CONCATENATE(dados[[#This Row],[fator1]],dados[[#This Row],[fator5]],dados[[#This Row],[fator6]])</f>
        <v>#REF!</v>
      </c>
    </row>
    <row r="4120" spans="1:23">
      <c r="A4120" t="s">
        <v>16</v>
      </c>
      <c r="B4120">
        <v>589321</v>
      </c>
      <c r="C4120">
        <v>0.15</v>
      </c>
      <c r="D4120">
        <v>35</v>
      </c>
      <c r="E4120">
        <v>15</v>
      </c>
      <c r="F4120">
        <v>10</v>
      </c>
      <c r="G4120">
        <v>0</v>
      </c>
      <c r="H4120">
        <v>12</v>
      </c>
      <c r="I4120">
        <v>0</v>
      </c>
      <c r="J4120">
        <v>0</v>
      </c>
      <c r="K4120">
        <v>2.5595000000000003</v>
      </c>
      <c r="L4120">
        <v>7.9690000000000003</v>
      </c>
      <c r="M4120">
        <v>5.9380000000000006</v>
      </c>
      <c r="N4120">
        <v>6.6050000000000004</v>
      </c>
      <c r="O4120">
        <v>1675</v>
      </c>
      <c r="P4120">
        <v>0</v>
      </c>
      <c r="Q4120" s="5" t="e">
        <f>IF(AND(#REF!&gt;=table!$C$6,#REF!&lt;= table!$D$6),-1,IF(AND(#REF!&gt;=table!$E$6,#REF!&lt;=table!$F$6),1,0))</f>
        <v>#REF!</v>
      </c>
      <c r="R4120" s="5" t="e">
        <f>IF(AND(#REF!&gt;=table!$C$7,#REF!&lt;= table!$D$7),-1,IF(AND(#REF!&gt;=table!$E$7,#REF!&lt;=table!$F$7),1,0))</f>
        <v>#REF!</v>
      </c>
      <c r="S4120" s="5" t="e">
        <f>IF(AND(#REF!&gt;=table!$C$8,#REF!&lt;= table!$D$8),-1,IF(AND(#REF!&gt;=table!$E$8,#REF!&lt;=table!$F$8),1,0))</f>
        <v>#REF!</v>
      </c>
      <c r="T4120" s="5"/>
      <c r="U4120" s="5" t="e">
        <f>IF(AND(#REF!&gt;=table!$C$10,#REF!&lt;= table!$D$10),-1,IF(AND(#REF!&gt;=table!$E$10,#REF!&lt;=table!$F$10),1,0))</f>
        <v>#REF!</v>
      </c>
      <c r="V4120" s="5" t="e">
        <f>IF(AND(#REF!&gt;=table!$C$11,#REF!&lt;= table!$D$11),-1,IF(AND(#REF!&gt;=table!$E$11,#REF!&lt;=table!$F$11),1,0))</f>
        <v>#REF!</v>
      </c>
      <c r="W4120" s="5" t="e">
        <f>CONCATENATE(dados[[#This Row],[fator1]],dados[[#This Row],[fator5]],dados[[#This Row],[fator6]])</f>
        <v>#REF!</v>
      </c>
    </row>
    <row r="4121" spans="1:23">
      <c r="A4121" t="s">
        <v>16</v>
      </c>
      <c r="B4121">
        <v>589326</v>
      </c>
      <c r="C4121">
        <v>9</v>
      </c>
      <c r="D4121">
        <v>35</v>
      </c>
      <c r="E4121">
        <v>36</v>
      </c>
      <c r="F4121">
        <v>9</v>
      </c>
      <c r="G4121">
        <v>0</v>
      </c>
      <c r="H4121">
        <v>25</v>
      </c>
      <c r="I4121">
        <v>247</v>
      </c>
      <c r="J4121">
        <v>0</v>
      </c>
      <c r="K4121">
        <v>4.1145000000000005</v>
      </c>
      <c r="L4121">
        <v>11.775500000000001</v>
      </c>
      <c r="M4121">
        <v>37.8035</v>
      </c>
      <c r="N4121">
        <v>14.465</v>
      </c>
      <c r="O4121">
        <v>1661</v>
      </c>
      <c r="P4121">
        <v>0</v>
      </c>
      <c r="Q4121" s="5" t="e">
        <f>IF(AND(#REF!&gt;=table!$C$6,#REF!&lt;= table!$D$6),-1,IF(AND(#REF!&gt;=table!$E$6,#REF!&lt;=table!$F$6),1,0))</f>
        <v>#REF!</v>
      </c>
      <c r="R4121" s="5" t="e">
        <f>IF(AND(#REF!&gt;=table!$C$7,#REF!&lt;= table!$D$7),-1,IF(AND(#REF!&gt;=table!$E$7,#REF!&lt;=table!$F$7),1,0))</f>
        <v>#REF!</v>
      </c>
      <c r="S4121" s="5" t="e">
        <f>IF(AND(#REF!&gt;=table!$C$8,#REF!&lt;= table!$D$8),-1,IF(AND(#REF!&gt;=table!$E$8,#REF!&lt;=table!$F$8),1,0))</f>
        <v>#REF!</v>
      </c>
      <c r="T4121" s="5"/>
      <c r="U4121" s="5" t="e">
        <f>IF(AND(#REF!&gt;=table!$C$10,#REF!&lt;= table!$D$10),-1,IF(AND(#REF!&gt;=table!$E$10,#REF!&lt;=table!$F$10),1,0))</f>
        <v>#REF!</v>
      </c>
      <c r="V4121" s="5" t="e">
        <f>IF(AND(#REF!&gt;=table!$C$11,#REF!&lt;= table!$D$11),-1,IF(AND(#REF!&gt;=table!$E$11,#REF!&lt;=table!$F$11),1,0))</f>
        <v>#REF!</v>
      </c>
      <c r="W4121" s="5" t="e">
        <f>CONCATENATE(dados[[#This Row],[fator1]],dados[[#This Row],[fator5]],dados[[#This Row],[fator6]])</f>
        <v>#REF!</v>
      </c>
    </row>
    <row r="4122" spans="1:23">
      <c r="A4122" t="s">
        <v>16</v>
      </c>
      <c r="B4122">
        <v>589328</v>
      </c>
      <c r="C4122">
        <v>9</v>
      </c>
      <c r="D4122">
        <v>40</v>
      </c>
      <c r="E4122">
        <v>46</v>
      </c>
      <c r="F4122">
        <v>15</v>
      </c>
      <c r="G4122">
        <v>0</v>
      </c>
      <c r="H4122">
        <v>25</v>
      </c>
      <c r="I4122">
        <v>1200</v>
      </c>
      <c r="J4122">
        <v>0</v>
      </c>
      <c r="K4122">
        <v>4.9125000000000005</v>
      </c>
      <c r="L4122">
        <v>6.9165000000000001</v>
      </c>
      <c r="M4122">
        <v>41.835500000000003</v>
      </c>
      <c r="N4122">
        <v>17.16</v>
      </c>
      <c r="O4122">
        <v>1692</v>
      </c>
      <c r="P4122">
        <v>0</v>
      </c>
      <c r="Q4122" s="5" t="e">
        <f>IF(AND(#REF!&gt;=table!$C$6,#REF!&lt;= table!$D$6),-1,IF(AND(#REF!&gt;=table!$E$6,#REF!&lt;=table!$F$6),1,0))</f>
        <v>#REF!</v>
      </c>
      <c r="R4122" s="5" t="e">
        <f>IF(AND(#REF!&gt;=table!$C$7,#REF!&lt;= table!$D$7),-1,IF(AND(#REF!&gt;=table!$E$7,#REF!&lt;=table!$F$7),1,0))</f>
        <v>#REF!</v>
      </c>
      <c r="S4122" s="5" t="e">
        <f>IF(AND(#REF!&gt;=table!$C$8,#REF!&lt;= table!$D$8),-1,IF(AND(#REF!&gt;=table!$E$8,#REF!&lt;=table!$F$8),1,0))</f>
        <v>#REF!</v>
      </c>
      <c r="T4122" s="5"/>
      <c r="U4122" s="5" t="e">
        <f>IF(AND(#REF!&gt;=table!$C$10,#REF!&lt;= table!$D$10),-1,IF(AND(#REF!&gt;=table!$E$10,#REF!&lt;=table!$F$10),1,0))</f>
        <v>#REF!</v>
      </c>
      <c r="V4122" s="5" t="e">
        <f>IF(AND(#REF!&gt;=table!$C$11,#REF!&lt;= table!$D$11),-1,IF(AND(#REF!&gt;=table!$E$11,#REF!&lt;=table!$F$11),1,0))</f>
        <v>#REF!</v>
      </c>
      <c r="W4122" s="5" t="e">
        <f>CONCATENATE(dados[[#This Row],[fator1]],dados[[#This Row],[fator5]],dados[[#This Row],[fator6]])</f>
        <v>#REF!</v>
      </c>
    </row>
    <row r="4123" spans="1:23">
      <c r="A4123" t="s">
        <v>16</v>
      </c>
      <c r="B4123">
        <v>589330</v>
      </c>
      <c r="C4123">
        <v>9</v>
      </c>
      <c r="D4123">
        <v>35</v>
      </c>
      <c r="E4123">
        <v>36</v>
      </c>
      <c r="F4123">
        <v>9</v>
      </c>
      <c r="G4123">
        <v>0</v>
      </c>
      <c r="H4123">
        <v>25</v>
      </c>
      <c r="I4123">
        <v>206</v>
      </c>
      <c r="J4123">
        <v>0</v>
      </c>
      <c r="K4123">
        <v>3.0445000000000002</v>
      </c>
      <c r="L4123">
        <v>3.9955000000000003</v>
      </c>
      <c r="M4123">
        <v>29.040500000000002</v>
      </c>
      <c r="N4123">
        <v>12</v>
      </c>
      <c r="O4123">
        <v>1694</v>
      </c>
      <c r="P4123">
        <v>1424</v>
      </c>
      <c r="Q4123" s="5" t="e">
        <f>IF(AND(#REF!&gt;=table!$C$6,#REF!&lt;= table!$D$6),-1,IF(AND(#REF!&gt;=table!$E$6,#REF!&lt;=table!$F$6),1,0))</f>
        <v>#REF!</v>
      </c>
      <c r="R4123" s="5" t="e">
        <f>IF(AND(#REF!&gt;=table!$C$7,#REF!&lt;= table!$D$7),-1,IF(AND(#REF!&gt;=table!$E$7,#REF!&lt;=table!$F$7),1,0))</f>
        <v>#REF!</v>
      </c>
      <c r="S4123" s="5" t="e">
        <f>IF(AND(#REF!&gt;=table!$C$8,#REF!&lt;= table!$D$8),-1,IF(AND(#REF!&gt;=table!$E$8,#REF!&lt;=table!$F$8),1,0))</f>
        <v>#REF!</v>
      </c>
      <c r="T4123" s="5"/>
      <c r="U4123" s="5" t="e">
        <f>IF(AND(#REF!&gt;=table!$C$10,#REF!&lt;= table!$D$10),-1,IF(AND(#REF!&gt;=table!$E$10,#REF!&lt;=table!$F$10),1,0))</f>
        <v>#REF!</v>
      </c>
      <c r="V4123" s="5" t="e">
        <f>IF(AND(#REF!&gt;=table!$C$11,#REF!&lt;= table!$D$11),-1,IF(AND(#REF!&gt;=table!$E$11,#REF!&lt;=table!$F$11),1,0))</f>
        <v>#REF!</v>
      </c>
      <c r="W4123" s="5" t="e">
        <f>CONCATENATE(dados[[#This Row],[fator1]],dados[[#This Row],[fator5]],dados[[#This Row],[fator6]])</f>
        <v>#REF!</v>
      </c>
    </row>
    <row r="4124" spans="1:23">
      <c r="A4124" t="s">
        <v>16</v>
      </c>
      <c r="B4124">
        <v>589331</v>
      </c>
      <c r="C4124">
        <v>9</v>
      </c>
      <c r="D4124">
        <v>35</v>
      </c>
      <c r="E4124">
        <v>36</v>
      </c>
      <c r="F4124">
        <v>9</v>
      </c>
      <c r="G4124">
        <v>0</v>
      </c>
      <c r="H4124">
        <v>25</v>
      </c>
      <c r="I4124">
        <v>659</v>
      </c>
      <c r="J4124">
        <v>0</v>
      </c>
      <c r="K4124">
        <v>3.1920000000000002</v>
      </c>
      <c r="L4124">
        <v>4.0890000000000004</v>
      </c>
      <c r="M4124">
        <v>29.512</v>
      </c>
      <c r="N4124">
        <v>11.365</v>
      </c>
      <c r="O4124">
        <v>1660</v>
      </c>
      <c r="P4124">
        <v>0</v>
      </c>
      <c r="Q4124" s="5" t="e">
        <f>IF(AND(#REF!&gt;=table!$C$6,#REF!&lt;= table!$D$6),-1,IF(AND(#REF!&gt;=table!$E$6,#REF!&lt;=table!$F$6),1,0))</f>
        <v>#REF!</v>
      </c>
      <c r="R4124" s="5" t="e">
        <f>IF(AND(#REF!&gt;=table!$C$7,#REF!&lt;= table!$D$7),-1,IF(AND(#REF!&gt;=table!$E$7,#REF!&lt;=table!$F$7),1,0))</f>
        <v>#REF!</v>
      </c>
      <c r="S4124" s="5" t="e">
        <f>IF(AND(#REF!&gt;=table!$C$8,#REF!&lt;= table!$D$8),-1,IF(AND(#REF!&gt;=table!$E$8,#REF!&lt;=table!$F$8),1,0))</f>
        <v>#REF!</v>
      </c>
      <c r="T4124" s="5"/>
      <c r="U4124" s="5" t="e">
        <f>IF(AND(#REF!&gt;=table!$C$10,#REF!&lt;= table!$D$10),-1,IF(AND(#REF!&gt;=table!$E$10,#REF!&lt;=table!$F$10),1,0))</f>
        <v>#REF!</v>
      </c>
      <c r="V4124" s="5" t="e">
        <f>IF(AND(#REF!&gt;=table!$C$11,#REF!&lt;= table!$D$11),-1,IF(AND(#REF!&gt;=table!$E$11,#REF!&lt;=table!$F$11),1,0))</f>
        <v>#REF!</v>
      </c>
      <c r="W4124" s="5" t="e">
        <f>CONCATENATE(dados[[#This Row],[fator1]],dados[[#This Row],[fator5]],dados[[#This Row],[fator6]])</f>
        <v>#REF!</v>
      </c>
    </row>
    <row r="4125" spans="1:23">
      <c r="A4125" t="s">
        <v>17</v>
      </c>
      <c r="B4125">
        <v>589332</v>
      </c>
      <c r="C4125">
        <v>18</v>
      </c>
      <c r="D4125">
        <v>30</v>
      </c>
      <c r="E4125">
        <v>136</v>
      </c>
      <c r="F4125">
        <v>3</v>
      </c>
      <c r="G4125">
        <v>20</v>
      </c>
      <c r="H4125">
        <v>25</v>
      </c>
      <c r="I4125">
        <v>611</v>
      </c>
      <c r="J4125">
        <v>0</v>
      </c>
      <c r="K4125">
        <v>3.4040000000000004</v>
      </c>
      <c r="L4125">
        <v>3.4895</v>
      </c>
      <c r="M4125">
        <v>98.712000000000003</v>
      </c>
      <c r="N4125">
        <v>10.425000000000001</v>
      </c>
      <c r="O4125">
        <v>1662</v>
      </c>
      <c r="P4125">
        <v>1206</v>
      </c>
      <c r="Q4125" s="5" t="e">
        <f>IF(AND(#REF!&gt;=table!$C$6,#REF!&lt;= table!$D$6),-1,IF(AND(#REF!&gt;=table!$E$6,#REF!&lt;=table!$F$6),1,0))</f>
        <v>#REF!</v>
      </c>
      <c r="R4125" s="5" t="e">
        <f>IF(AND(#REF!&gt;=table!$C$7,#REF!&lt;= table!$D$7),-1,IF(AND(#REF!&gt;=table!$E$7,#REF!&lt;=table!$F$7),1,0))</f>
        <v>#REF!</v>
      </c>
      <c r="S4125" s="5" t="e">
        <f>IF(AND(#REF!&gt;=table!$C$8,#REF!&lt;= table!$D$8),-1,IF(AND(#REF!&gt;=table!$E$8,#REF!&lt;=table!$F$8),1,0))</f>
        <v>#REF!</v>
      </c>
      <c r="T4125" s="5"/>
      <c r="U4125" s="5" t="e">
        <f>IF(AND(#REF!&gt;=table!$C$10,#REF!&lt;= table!$D$10),-1,IF(AND(#REF!&gt;=table!$E$10,#REF!&lt;=table!$F$10),1,0))</f>
        <v>#REF!</v>
      </c>
      <c r="V4125" s="5" t="e">
        <f>IF(AND(#REF!&gt;=table!$C$11,#REF!&lt;= table!$D$11),-1,IF(AND(#REF!&gt;=table!$E$11,#REF!&lt;=table!$F$11),1,0))</f>
        <v>#REF!</v>
      </c>
      <c r="W4125" s="5" t="e">
        <f>CONCATENATE(dados[[#This Row],[fator1]],dados[[#This Row],[fator5]],dados[[#This Row],[fator6]])</f>
        <v>#REF!</v>
      </c>
    </row>
    <row r="4126" spans="1:23">
      <c r="A4126" t="s">
        <v>17</v>
      </c>
      <c r="B4126">
        <v>589333</v>
      </c>
      <c r="C4126">
        <v>18</v>
      </c>
      <c r="D4126">
        <v>30</v>
      </c>
      <c r="E4126">
        <v>136</v>
      </c>
      <c r="F4126">
        <v>3</v>
      </c>
      <c r="G4126">
        <v>20</v>
      </c>
      <c r="H4126">
        <v>25</v>
      </c>
      <c r="I4126">
        <v>1021</v>
      </c>
      <c r="J4126">
        <v>0</v>
      </c>
      <c r="K4126">
        <v>6.19</v>
      </c>
      <c r="L4126">
        <v>6.819</v>
      </c>
      <c r="M4126">
        <v>111.2715</v>
      </c>
      <c r="N4126">
        <v>14.86</v>
      </c>
      <c r="O4126">
        <v>1679</v>
      </c>
      <c r="P4126">
        <v>0</v>
      </c>
      <c r="Q4126" s="5" t="e">
        <f>IF(AND(#REF!&gt;=table!$C$6,#REF!&lt;= table!$D$6),-1,IF(AND(#REF!&gt;=table!$E$6,#REF!&lt;=table!$F$6),1,0))</f>
        <v>#REF!</v>
      </c>
      <c r="R4126" s="5" t="e">
        <f>IF(AND(#REF!&gt;=table!$C$7,#REF!&lt;= table!$D$7),-1,IF(AND(#REF!&gt;=table!$E$7,#REF!&lt;=table!$F$7),1,0))</f>
        <v>#REF!</v>
      </c>
      <c r="S4126" s="5" t="e">
        <f>IF(AND(#REF!&gt;=table!$C$8,#REF!&lt;= table!$D$8),-1,IF(AND(#REF!&gt;=table!$E$8,#REF!&lt;=table!$F$8),1,0))</f>
        <v>#REF!</v>
      </c>
      <c r="T4126" s="5"/>
      <c r="U4126" s="5" t="e">
        <f>IF(AND(#REF!&gt;=table!$C$10,#REF!&lt;= table!$D$10),-1,IF(AND(#REF!&gt;=table!$E$10,#REF!&lt;=table!$F$10),1,0))</f>
        <v>#REF!</v>
      </c>
      <c r="V4126" s="5" t="e">
        <f>IF(AND(#REF!&gt;=table!$C$11,#REF!&lt;= table!$D$11),-1,IF(AND(#REF!&gt;=table!$E$11,#REF!&lt;=table!$F$11),1,0))</f>
        <v>#REF!</v>
      </c>
      <c r="W4126" s="5" t="e">
        <f>CONCATENATE(dados[[#This Row],[fator1]],dados[[#This Row],[fator5]],dados[[#This Row],[fator6]])</f>
        <v>#REF!</v>
      </c>
    </row>
    <row r="4127" spans="1:23">
      <c r="A4127" t="s">
        <v>17</v>
      </c>
      <c r="B4127">
        <v>589335</v>
      </c>
      <c r="C4127">
        <v>16</v>
      </c>
      <c r="D4127">
        <v>35</v>
      </c>
      <c r="E4127">
        <v>136</v>
      </c>
      <c r="F4127">
        <v>4</v>
      </c>
      <c r="G4127">
        <v>30</v>
      </c>
      <c r="H4127">
        <v>25</v>
      </c>
      <c r="I4127">
        <v>240</v>
      </c>
      <c r="J4127">
        <v>0</v>
      </c>
      <c r="K4127">
        <v>9.3265000000000011</v>
      </c>
      <c r="L4127">
        <v>9.6974999999999998</v>
      </c>
      <c r="M4127">
        <v>110.715</v>
      </c>
      <c r="N4127">
        <v>17.059999999999999</v>
      </c>
      <c r="O4127">
        <v>1667</v>
      </c>
      <c r="P4127">
        <v>400</v>
      </c>
      <c r="Q4127" s="5" t="e">
        <f>IF(AND(#REF!&gt;=table!$C$6,#REF!&lt;= table!$D$6),-1,IF(AND(#REF!&gt;=table!$E$6,#REF!&lt;=table!$F$6),1,0))</f>
        <v>#REF!</v>
      </c>
      <c r="R4127" s="5" t="e">
        <f>IF(AND(#REF!&gt;=table!$C$7,#REF!&lt;= table!$D$7),-1,IF(AND(#REF!&gt;=table!$E$7,#REF!&lt;=table!$F$7),1,0))</f>
        <v>#REF!</v>
      </c>
      <c r="S4127" s="5" t="e">
        <f>IF(AND(#REF!&gt;=table!$C$8,#REF!&lt;= table!$D$8),-1,IF(AND(#REF!&gt;=table!$E$8,#REF!&lt;=table!$F$8),1,0))</f>
        <v>#REF!</v>
      </c>
      <c r="T4127" s="5"/>
      <c r="U4127" s="5" t="e">
        <f>IF(AND(#REF!&gt;=table!$C$10,#REF!&lt;= table!$D$10),-1,IF(AND(#REF!&gt;=table!$E$10,#REF!&lt;=table!$F$10),1,0))</f>
        <v>#REF!</v>
      </c>
      <c r="V4127" s="5" t="e">
        <f>IF(AND(#REF!&gt;=table!$C$11,#REF!&lt;= table!$D$11),-1,IF(AND(#REF!&gt;=table!$E$11,#REF!&lt;=table!$F$11),1,0))</f>
        <v>#REF!</v>
      </c>
      <c r="W4127" s="5" t="e">
        <f>CONCATENATE(dados[[#This Row],[fator1]],dados[[#This Row],[fator5]],dados[[#This Row],[fator6]])</f>
        <v>#REF!</v>
      </c>
    </row>
    <row r="4128" spans="1:23">
      <c r="A4128" t="s">
        <v>17</v>
      </c>
      <c r="B4128">
        <v>589336</v>
      </c>
      <c r="C4128">
        <v>17</v>
      </c>
      <c r="D4128">
        <v>35</v>
      </c>
      <c r="E4128">
        <v>140</v>
      </c>
      <c r="F4128">
        <v>4</v>
      </c>
      <c r="G4128">
        <v>30</v>
      </c>
      <c r="H4128">
        <v>25</v>
      </c>
      <c r="I4128">
        <v>988</v>
      </c>
      <c r="J4128">
        <v>0</v>
      </c>
      <c r="K4128">
        <v>11.698</v>
      </c>
      <c r="L4128">
        <v>9.2774999999999999</v>
      </c>
      <c r="M4128">
        <v>92.973500000000001</v>
      </c>
      <c r="N4128">
        <v>11.215</v>
      </c>
      <c r="O4128">
        <v>1695</v>
      </c>
      <c r="P4128">
        <v>0</v>
      </c>
      <c r="Q4128" s="5" t="e">
        <f>IF(AND(#REF!&gt;=table!$C$6,#REF!&lt;= table!$D$6),-1,IF(AND(#REF!&gt;=table!$E$6,#REF!&lt;=table!$F$6),1,0))</f>
        <v>#REF!</v>
      </c>
      <c r="R4128" s="5" t="e">
        <f>IF(AND(#REF!&gt;=table!$C$7,#REF!&lt;= table!$D$7),-1,IF(AND(#REF!&gt;=table!$E$7,#REF!&lt;=table!$F$7),1,0))</f>
        <v>#REF!</v>
      </c>
      <c r="S4128" s="5" t="e">
        <f>IF(AND(#REF!&gt;=table!$C$8,#REF!&lt;= table!$D$8),-1,IF(AND(#REF!&gt;=table!$E$8,#REF!&lt;=table!$F$8),1,0))</f>
        <v>#REF!</v>
      </c>
      <c r="T4128" s="5"/>
      <c r="U4128" s="5" t="e">
        <f>IF(AND(#REF!&gt;=table!$C$10,#REF!&lt;= table!$D$10),-1,IF(AND(#REF!&gt;=table!$E$10,#REF!&lt;=table!$F$10),1,0))</f>
        <v>#REF!</v>
      </c>
      <c r="V4128" s="5" t="e">
        <f>IF(AND(#REF!&gt;=table!$C$11,#REF!&lt;= table!$D$11),-1,IF(AND(#REF!&gt;=table!$E$11,#REF!&lt;=table!$F$11),1,0))</f>
        <v>#REF!</v>
      </c>
      <c r="W4128" s="5" t="e">
        <f>CONCATENATE(dados[[#This Row],[fator1]],dados[[#This Row],[fator5]],dados[[#This Row],[fator6]])</f>
        <v>#REF!</v>
      </c>
    </row>
    <row r="4129" spans="1:23">
      <c r="A4129" t="s">
        <v>16</v>
      </c>
      <c r="B4129">
        <v>589338</v>
      </c>
      <c r="C4129">
        <v>12</v>
      </c>
      <c r="D4129">
        <v>40</v>
      </c>
      <c r="E4129">
        <v>36</v>
      </c>
      <c r="F4129">
        <v>9</v>
      </c>
      <c r="G4129">
        <v>0</v>
      </c>
      <c r="H4129">
        <v>25</v>
      </c>
      <c r="I4129">
        <v>101</v>
      </c>
      <c r="J4129">
        <v>0</v>
      </c>
      <c r="K4129">
        <v>7.0860000000000003</v>
      </c>
      <c r="L4129">
        <v>11.7765</v>
      </c>
      <c r="M4129">
        <v>32.411000000000001</v>
      </c>
      <c r="N4129">
        <v>19.335000000000001</v>
      </c>
      <c r="O4129">
        <v>1682</v>
      </c>
      <c r="P4129">
        <v>462</v>
      </c>
      <c r="Q4129" s="5" t="e">
        <f>IF(AND(#REF!&gt;=table!$C$6,#REF!&lt;= table!$D$6),-1,IF(AND(#REF!&gt;=table!$E$6,#REF!&lt;=table!$F$6),1,0))</f>
        <v>#REF!</v>
      </c>
      <c r="R4129" s="5" t="e">
        <f>IF(AND(#REF!&gt;=table!$C$7,#REF!&lt;= table!$D$7),-1,IF(AND(#REF!&gt;=table!$E$7,#REF!&lt;=table!$F$7),1,0))</f>
        <v>#REF!</v>
      </c>
      <c r="S4129" s="5" t="e">
        <f>IF(AND(#REF!&gt;=table!$C$8,#REF!&lt;= table!$D$8),-1,IF(AND(#REF!&gt;=table!$E$8,#REF!&lt;=table!$F$8),1,0))</f>
        <v>#REF!</v>
      </c>
      <c r="T4129" s="5"/>
      <c r="U4129" s="5" t="e">
        <f>IF(AND(#REF!&gt;=table!$C$10,#REF!&lt;= table!$D$10),-1,IF(AND(#REF!&gt;=table!$E$10,#REF!&lt;=table!$F$10),1,0))</f>
        <v>#REF!</v>
      </c>
      <c r="V4129" s="5" t="e">
        <f>IF(AND(#REF!&gt;=table!$C$11,#REF!&lt;= table!$D$11),-1,IF(AND(#REF!&gt;=table!$E$11,#REF!&lt;=table!$F$11),1,0))</f>
        <v>#REF!</v>
      </c>
      <c r="W4129" s="5" t="e">
        <f>CONCATENATE(dados[[#This Row],[fator1]],dados[[#This Row],[fator5]],dados[[#This Row],[fator6]])</f>
        <v>#REF!</v>
      </c>
    </row>
    <row r="4130" spans="1:23">
      <c r="A4130" t="s">
        <v>16</v>
      </c>
      <c r="B4130">
        <v>589339</v>
      </c>
      <c r="C4130">
        <v>9</v>
      </c>
      <c r="D4130">
        <v>35</v>
      </c>
      <c r="E4130">
        <v>36</v>
      </c>
      <c r="F4130">
        <v>9</v>
      </c>
      <c r="G4130">
        <v>0</v>
      </c>
      <c r="H4130">
        <v>25</v>
      </c>
      <c r="I4130">
        <v>848</v>
      </c>
      <c r="J4130">
        <v>0</v>
      </c>
      <c r="K4130">
        <v>9.6005000000000003</v>
      </c>
      <c r="L4130">
        <v>8.5280000000000005</v>
      </c>
      <c r="M4130">
        <v>22.158000000000001</v>
      </c>
      <c r="N4130">
        <v>11.905000000000001</v>
      </c>
      <c r="O4130">
        <v>1676</v>
      </c>
      <c r="P4130">
        <v>351</v>
      </c>
      <c r="Q4130" s="5" t="e">
        <f>IF(AND(#REF!&gt;=table!$C$6,#REF!&lt;= table!$D$6),-1,IF(AND(#REF!&gt;=table!$E$6,#REF!&lt;=table!$F$6),1,0))</f>
        <v>#REF!</v>
      </c>
      <c r="R4130" s="5" t="e">
        <f>IF(AND(#REF!&gt;=table!$C$7,#REF!&lt;= table!$D$7),-1,IF(AND(#REF!&gt;=table!$E$7,#REF!&lt;=table!$F$7),1,0))</f>
        <v>#REF!</v>
      </c>
      <c r="S4130" s="5" t="e">
        <f>IF(AND(#REF!&gt;=table!$C$8,#REF!&lt;= table!$D$8),-1,IF(AND(#REF!&gt;=table!$E$8,#REF!&lt;=table!$F$8),1,0))</f>
        <v>#REF!</v>
      </c>
      <c r="T4130" s="5"/>
      <c r="U4130" s="5" t="e">
        <f>IF(AND(#REF!&gt;=table!$C$10,#REF!&lt;= table!$D$10),-1,IF(AND(#REF!&gt;=table!$E$10,#REF!&lt;=table!$F$10),1,0))</f>
        <v>#REF!</v>
      </c>
      <c r="V4130" s="5" t="e">
        <f>IF(AND(#REF!&gt;=table!$C$11,#REF!&lt;= table!$D$11),-1,IF(AND(#REF!&gt;=table!$E$11,#REF!&lt;=table!$F$11),1,0))</f>
        <v>#REF!</v>
      </c>
      <c r="W4130" s="5" t="e">
        <f>CONCATENATE(dados[[#This Row],[fator1]],dados[[#This Row],[fator5]],dados[[#This Row],[fator6]])</f>
        <v>#REF!</v>
      </c>
    </row>
    <row r="4131" spans="1:23">
      <c r="A4131" t="s">
        <v>16</v>
      </c>
      <c r="B4131">
        <v>589340</v>
      </c>
      <c r="C4131">
        <v>9</v>
      </c>
      <c r="D4131">
        <v>35</v>
      </c>
      <c r="E4131">
        <v>36</v>
      </c>
      <c r="F4131">
        <v>9</v>
      </c>
      <c r="G4131">
        <v>0</v>
      </c>
      <c r="H4131">
        <v>25</v>
      </c>
      <c r="I4131">
        <v>769</v>
      </c>
      <c r="J4131">
        <v>0</v>
      </c>
      <c r="K4131">
        <v>8.8455000000000013</v>
      </c>
      <c r="L4131">
        <v>14.550500000000001</v>
      </c>
      <c r="M4131">
        <v>18.0335</v>
      </c>
      <c r="N4131">
        <v>18.21</v>
      </c>
      <c r="O4131">
        <v>1704</v>
      </c>
      <c r="P4131">
        <v>0</v>
      </c>
      <c r="Q4131" s="5" t="e">
        <f>IF(AND(#REF!&gt;=table!$C$6,#REF!&lt;= table!$D$6),-1,IF(AND(#REF!&gt;=table!$E$6,#REF!&lt;=table!$F$6),1,0))</f>
        <v>#REF!</v>
      </c>
      <c r="R4131" s="5" t="e">
        <f>IF(AND(#REF!&gt;=table!$C$7,#REF!&lt;= table!$D$7),-1,IF(AND(#REF!&gt;=table!$E$7,#REF!&lt;=table!$F$7),1,0))</f>
        <v>#REF!</v>
      </c>
      <c r="S4131" s="5" t="e">
        <f>IF(AND(#REF!&gt;=table!$C$8,#REF!&lt;= table!$D$8),-1,IF(AND(#REF!&gt;=table!$E$8,#REF!&lt;=table!$F$8),1,0))</f>
        <v>#REF!</v>
      </c>
      <c r="T4131" s="5"/>
      <c r="U4131" s="5" t="e">
        <f>IF(AND(#REF!&gt;=table!$C$10,#REF!&lt;= table!$D$10),-1,IF(AND(#REF!&gt;=table!$E$10,#REF!&lt;=table!$F$10),1,0))</f>
        <v>#REF!</v>
      </c>
      <c r="V4131" s="5" t="e">
        <f>IF(AND(#REF!&gt;=table!$C$11,#REF!&lt;= table!$D$11),-1,IF(AND(#REF!&gt;=table!$E$11,#REF!&lt;=table!$F$11),1,0))</f>
        <v>#REF!</v>
      </c>
      <c r="W4131" s="5" t="e">
        <f>CONCATENATE(dados[[#This Row],[fator1]],dados[[#This Row],[fator5]],dados[[#This Row],[fator6]])</f>
        <v>#REF!</v>
      </c>
    </row>
    <row r="4132" spans="1:23">
      <c r="A4132" t="s">
        <v>17</v>
      </c>
      <c r="B4132">
        <v>589342</v>
      </c>
      <c r="C4132">
        <v>14</v>
      </c>
      <c r="D4132">
        <v>30</v>
      </c>
      <c r="E4132">
        <v>210</v>
      </c>
      <c r="F4132">
        <v>3</v>
      </c>
      <c r="G4132">
        <v>40</v>
      </c>
      <c r="H4132">
        <v>25</v>
      </c>
      <c r="I4132">
        <v>1134</v>
      </c>
      <c r="J4132">
        <v>0</v>
      </c>
      <c r="K4132">
        <v>6.6390000000000002</v>
      </c>
      <c r="L4132">
        <v>7.1370000000000005</v>
      </c>
      <c r="M4132">
        <v>164.7585</v>
      </c>
      <c r="N4132">
        <v>13.16</v>
      </c>
      <c r="O4132">
        <v>1656</v>
      </c>
      <c r="P4132">
        <v>556</v>
      </c>
      <c r="Q4132" s="5" t="e">
        <f>IF(AND(#REF!&gt;=table!$C$6,#REF!&lt;= table!$D$6),-1,IF(AND(#REF!&gt;=table!$E$6,#REF!&lt;=table!$F$6),1,0))</f>
        <v>#REF!</v>
      </c>
      <c r="R4132" s="5" t="e">
        <f>IF(AND(#REF!&gt;=table!$C$7,#REF!&lt;= table!$D$7),-1,IF(AND(#REF!&gt;=table!$E$7,#REF!&lt;=table!$F$7),1,0))</f>
        <v>#REF!</v>
      </c>
      <c r="S4132" s="5" t="e">
        <f>IF(AND(#REF!&gt;=table!$C$8,#REF!&lt;= table!$D$8),-1,IF(AND(#REF!&gt;=table!$E$8,#REF!&lt;=table!$F$8),1,0))</f>
        <v>#REF!</v>
      </c>
      <c r="T4132" s="5"/>
      <c r="U4132" s="5" t="e">
        <f>IF(AND(#REF!&gt;=table!$C$10,#REF!&lt;= table!$D$10),-1,IF(AND(#REF!&gt;=table!$E$10,#REF!&lt;=table!$F$10),1,0))</f>
        <v>#REF!</v>
      </c>
      <c r="V4132" s="5" t="e">
        <f>IF(AND(#REF!&gt;=table!$C$11,#REF!&lt;= table!$D$11),-1,IF(AND(#REF!&gt;=table!$E$11,#REF!&lt;=table!$F$11),1,0))</f>
        <v>#REF!</v>
      </c>
      <c r="W4132" s="5" t="e">
        <f>CONCATENATE(dados[[#This Row],[fator1]],dados[[#This Row],[fator5]],dados[[#This Row],[fator6]])</f>
        <v>#REF!</v>
      </c>
    </row>
    <row r="4133" spans="1:23">
      <c r="A4133" t="s">
        <v>17</v>
      </c>
      <c r="B4133">
        <v>589343</v>
      </c>
      <c r="C4133">
        <v>14</v>
      </c>
      <c r="D4133">
        <v>30</v>
      </c>
      <c r="E4133">
        <v>210</v>
      </c>
      <c r="F4133">
        <v>3</v>
      </c>
      <c r="G4133">
        <v>40</v>
      </c>
      <c r="H4133">
        <v>25</v>
      </c>
      <c r="I4133">
        <v>604</v>
      </c>
      <c r="J4133">
        <v>750</v>
      </c>
      <c r="K4133">
        <v>3.2935000000000003</v>
      </c>
      <c r="L4133">
        <v>10.0265</v>
      </c>
      <c r="M4133">
        <v>131.6105</v>
      </c>
      <c r="N4133">
        <v>18.015000000000001</v>
      </c>
      <c r="O4133">
        <v>1716</v>
      </c>
      <c r="P4133">
        <v>1230</v>
      </c>
      <c r="Q4133" s="5" t="e">
        <f>IF(AND(#REF!&gt;=table!$C$6,#REF!&lt;= table!$D$6),-1,IF(AND(#REF!&gt;=table!$E$6,#REF!&lt;=table!$F$6),1,0))</f>
        <v>#REF!</v>
      </c>
      <c r="R4133" s="5" t="e">
        <f>IF(AND(#REF!&gt;=table!$C$7,#REF!&lt;= table!$D$7),-1,IF(AND(#REF!&gt;=table!$E$7,#REF!&lt;=table!$F$7),1,0))</f>
        <v>#REF!</v>
      </c>
      <c r="S4133" s="5" t="e">
        <f>IF(AND(#REF!&gt;=table!$C$8,#REF!&lt;= table!$D$8),-1,IF(AND(#REF!&gt;=table!$E$8,#REF!&lt;=table!$F$8),1,0))</f>
        <v>#REF!</v>
      </c>
      <c r="T4133" s="5"/>
      <c r="U4133" s="5" t="e">
        <f>IF(AND(#REF!&gt;=table!$C$10,#REF!&lt;= table!$D$10),-1,IF(AND(#REF!&gt;=table!$E$10,#REF!&lt;=table!$F$10),1,0))</f>
        <v>#REF!</v>
      </c>
      <c r="V4133" s="5" t="e">
        <f>IF(AND(#REF!&gt;=table!$C$11,#REF!&lt;= table!$D$11),-1,IF(AND(#REF!&gt;=table!$E$11,#REF!&lt;=table!$F$11),1,0))</f>
        <v>#REF!</v>
      </c>
      <c r="W4133" s="5" t="e">
        <f>CONCATENATE(dados[[#This Row],[fator1]],dados[[#This Row],[fator5]],dados[[#This Row],[fator6]])</f>
        <v>#REF!</v>
      </c>
    </row>
    <row r="4134" spans="1:23">
      <c r="A4134" t="s">
        <v>16</v>
      </c>
      <c r="B4134">
        <v>589344</v>
      </c>
      <c r="C4134">
        <v>9</v>
      </c>
      <c r="D4134">
        <v>35</v>
      </c>
      <c r="E4134">
        <v>36</v>
      </c>
      <c r="F4134">
        <v>9</v>
      </c>
      <c r="G4134">
        <v>0</v>
      </c>
      <c r="H4134">
        <v>25</v>
      </c>
      <c r="I4134">
        <v>1122</v>
      </c>
      <c r="J4134">
        <v>1290</v>
      </c>
      <c r="K4134">
        <v>5.2760000000000007</v>
      </c>
      <c r="L4134">
        <v>13.124500000000001</v>
      </c>
      <c r="M4134">
        <v>24.200500000000002</v>
      </c>
      <c r="N4134">
        <v>15.700000000000001</v>
      </c>
      <c r="O4134">
        <v>1691</v>
      </c>
      <c r="P4134">
        <v>669</v>
      </c>
      <c r="Q4134" s="5" t="e">
        <f>IF(AND(#REF!&gt;=table!$C$6,#REF!&lt;= table!$D$6),-1,IF(AND(#REF!&gt;=table!$E$6,#REF!&lt;=table!$F$6),1,0))</f>
        <v>#REF!</v>
      </c>
      <c r="R4134" s="5" t="e">
        <f>IF(AND(#REF!&gt;=table!$C$7,#REF!&lt;= table!$D$7),-1,IF(AND(#REF!&gt;=table!$E$7,#REF!&lt;=table!$F$7),1,0))</f>
        <v>#REF!</v>
      </c>
      <c r="S4134" s="5" t="e">
        <f>IF(AND(#REF!&gt;=table!$C$8,#REF!&lt;= table!$D$8),-1,IF(AND(#REF!&gt;=table!$E$8,#REF!&lt;=table!$F$8),1,0))</f>
        <v>#REF!</v>
      </c>
      <c r="T4134" s="5"/>
      <c r="U4134" s="5" t="e">
        <f>IF(AND(#REF!&gt;=table!$C$10,#REF!&lt;= table!$D$10),-1,IF(AND(#REF!&gt;=table!$E$10,#REF!&lt;=table!$F$10),1,0))</f>
        <v>#REF!</v>
      </c>
      <c r="V4134" s="5" t="e">
        <f>IF(AND(#REF!&gt;=table!$C$11,#REF!&lt;= table!$D$11),-1,IF(AND(#REF!&gt;=table!$E$11,#REF!&lt;=table!$F$11),1,0))</f>
        <v>#REF!</v>
      </c>
      <c r="W4134" s="5" t="e">
        <f>CONCATENATE(dados[[#This Row],[fator1]],dados[[#This Row],[fator5]],dados[[#This Row],[fator6]])</f>
        <v>#REF!</v>
      </c>
    </row>
    <row r="4135" spans="1:23">
      <c r="A4135" t="s">
        <v>16</v>
      </c>
      <c r="B4135">
        <v>589345</v>
      </c>
      <c r="C4135">
        <v>11</v>
      </c>
      <c r="D4135">
        <v>35</v>
      </c>
      <c r="E4135">
        <v>45</v>
      </c>
      <c r="F4135">
        <v>9</v>
      </c>
      <c r="G4135">
        <v>0</v>
      </c>
      <c r="H4135">
        <v>25</v>
      </c>
      <c r="I4135">
        <v>736</v>
      </c>
      <c r="J4135">
        <v>0</v>
      </c>
      <c r="K4135">
        <v>4.2955000000000005</v>
      </c>
      <c r="L4135">
        <v>7.6675000000000004</v>
      </c>
      <c r="M4135">
        <v>32.014499999999998</v>
      </c>
      <c r="N4135">
        <v>11.43</v>
      </c>
      <c r="O4135">
        <v>1678</v>
      </c>
      <c r="P4135">
        <v>0</v>
      </c>
      <c r="Q4135" s="5" t="e">
        <f>IF(AND(#REF!&gt;=table!$C$6,#REF!&lt;= table!$D$6),-1,IF(AND(#REF!&gt;=table!$E$6,#REF!&lt;=table!$F$6),1,0))</f>
        <v>#REF!</v>
      </c>
      <c r="R4135" s="5" t="e">
        <f>IF(AND(#REF!&gt;=table!$C$7,#REF!&lt;= table!$D$7),-1,IF(AND(#REF!&gt;=table!$E$7,#REF!&lt;=table!$F$7),1,0))</f>
        <v>#REF!</v>
      </c>
      <c r="S4135" s="5" t="e">
        <f>IF(AND(#REF!&gt;=table!$C$8,#REF!&lt;= table!$D$8),-1,IF(AND(#REF!&gt;=table!$E$8,#REF!&lt;=table!$F$8),1,0))</f>
        <v>#REF!</v>
      </c>
      <c r="T4135" s="5"/>
      <c r="U4135" s="5" t="e">
        <f>IF(AND(#REF!&gt;=table!$C$10,#REF!&lt;= table!$D$10),-1,IF(AND(#REF!&gt;=table!$E$10,#REF!&lt;=table!$F$10),1,0))</f>
        <v>#REF!</v>
      </c>
      <c r="V4135" s="5" t="e">
        <f>IF(AND(#REF!&gt;=table!$C$11,#REF!&lt;= table!$D$11),-1,IF(AND(#REF!&gt;=table!$E$11,#REF!&lt;=table!$F$11),1,0))</f>
        <v>#REF!</v>
      </c>
      <c r="W4135" s="5" t="e">
        <f>CONCATENATE(dados[[#This Row],[fator1]],dados[[#This Row],[fator5]],dados[[#This Row],[fator6]])</f>
        <v>#REF!</v>
      </c>
    </row>
    <row r="4136" spans="1:23">
      <c r="A4136" t="s">
        <v>16</v>
      </c>
      <c r="B4136">
        <v>589347</v>
      </c>
      <c r="C4136">
        <v>11</v>
      </c>
      <c r="D4136">
        <v>40</v>
      </c>
      <c r="E4136">
        <v>40</v>
      </c>
      <c r="F4136">
        <v>9</v>
      </c>
      <c r="G4136">
        <v>0</v>
      </c>
      <c r="H4136">
        <v>25</v>
      </c>
      <c r="I4136">
        <v>1257</v>
      </c>
      <c r="J4136">
        <v>550</v>
      </c>
      <c r="K4136">
        <v>5.9645000000000001</v>
      </c>
      <c r="L4136">
        <v>14.945500000000001</v>
      </c>
      <c r="M4136">
        <v>33.142499999999998</v>
      </c>
      <c r="N4136">
        <v>18.46</v>
      </c>
      <c r="O4136">
        <v>1678</v>
      </c>
      <c r="P4136">
        <v>0</v>
      </c>
      <c r="Q4136" s="5" t="e">
        <f>IF(AND(#REF!&gt;=table!$C$6,#REF!&lt;= table!$D$6),-1,IF(AND(#REF!&gt;=table!$E$6,#REF!&lt;=table!$F$6),1,0))</f>
        <v>#REF!</v>
      </c>
      <c r="R4136" s="5" t="e">
        <f>IF(AND(#REF!&gt;=table!$C$7,#REF!&lt;= table!$D$7),-1,IF(AND(#REF!&gt;=table!$E$7,#REF!&lt;=table!$F$7),1,0))</f>
        <v>#REF!</v>
      </c>
      <c r="S4136" s="5" t="e">
        <f>IF(AND(#REF!&gt;=table!$C$8,#REF!&lt;= table!$D$8),-1,IF(AND(#REF!&gt;=table!$E$8,#REF!&lt;=table!$F$8),1,0))</f>
        <v>#REF!</v>
      </c>
      <c r="T4136" s="5"/>
      <c r="U4136" s="5" t="e">
        <f>IF(AND(#REF!&gt;=table!$C$10,#REF!&lt;= table!$D$10),-1,IF(AND(#REF!&gt;=table!$E$10,#REF!&lt;=table!$F$10),1,0))</f>
        <v>#REF!</v>
      </c>
      <c r="V4136" s="5" t="e">
        <f>IF(AND(#REF!&gt;=table!$C$11,#REF!&lt;= table!$D$11),-1,IF(AND(#REF!&gt;=table!$E$11,#REF!&lt;=table!$F$11),1,0))</f>
        <v>#REF!</v>
      </c>
      <c r="W4136" s="5" t="e">
        <f>CONCATENATE(dados[[#This Row],[fator1]],dados[[#This Row],[fator5]],dados[[#This Row],[fator6]])</f>
        <v>#REF!</v>
      </c>
    </row>
    <row r="4137" spans="1:23">
      <c r="A4137" t="s">
        <v>17</v>
      </c>
      <c r="B4137">
        <v>589349</v>
      </c>
      <c r="C4137">
        <v>4</v>
      </c>
      <c r="D4137">
        <v>25</v>
      </c>
      <c r="E4137">
        <v>21</v>
      </c>
      <c r="F4137">
        <v>10</v>
      </c>
      <c r="G4137">
        <v>110</v>
      </c>
      <c r="H4137">
        <v>50</v>
      </c>
      <c r="I4137">
        <v>91</v>
      </c>
      <c r="J4137">
        <v>0</v>
      </c>
      <c r="K4137">
        <v>5.8150000000000004</v>
      </c>
      <c r="L4137">
        <v>11.457500000000001</v>
      </c>
      <c r="M4137">
        <v>19.118000000000002</v>
      </c>
      <c r="N4137">
        <v>28.185000000000002</v>
      </c>
      <c r="O4137">
        <v>1670</v>
      </c>
      <c r="P4137">
        <v>0</v>
      </c>
      <c r="Q4137" s="5" t="e">
        <f>IF(AND(#REF!&gt;=table!$C$6,#REF!&lt;= table!$D$6),-1,IF(AND(#REF!&gt;=table!$E$6,#REF!&lt;=table!$F$6),1,0))</f>
        <v>#REF!</v>
      </c>
      <c r="R4137" s="5" t="e">
        <f>IF(AND(#REF!&gt;=table!$C$7,#REF!&lt;= table!$D$7),-1,IF(AND(#REF!&gt;=table!$E$7,#REF!&lt;=table!$F$7),1,0))</f>
        <v>#REF!</v>
      </c>
      <c r="S4137" s="5" t="e">
        <f>IF(AND(#REF!&gt;=table!$C$8,#REF!&lt;= table!$D$8),-1,IF(AND(#REF!&gt;=table!$E$8,#REF!&lt;=table!$F$8),1,0))</f>
        <v>#REF!</v>
      </c>
      <c r="T4137" s="5"/>
      <c r="U4137" s="5" t="e">
        <f>IF(AND(#REF!&gt;=table!$C$10,#REF!&lt;= table!$D$10),-1,IF(AND(#REF!&gt;=table!$E$10,#REF!&lt;=table!$F$10),1,0))</f>
        <v>#REF!</v>
      </c>
      <c r="V4137" s="5" t="e">
        <f>IF(AND(#REF!&gt;=table!$C$11,#REF!&lt;= table!$D$11),-1,IF(AND(#REF!&gt;=table!$E$11,#REF!&lt;=table!$F$11),1,0))</f>
        <v>#REF!</v>
      </c>
      <c r="W4137" s="5" t="e">
        <f>CONCATENATE(dados[[#This Row],[fator1]],dados[[#This Row],[fator5]],dados[[#This Row],[fator6]])</f>
        <v>#REF!</v>
      </c>
    </row>
    <row r="4138" spans="1:23">
      <c r="A4138" t="s">
        <v>17</v>
      </c>
      <c r="B4138">
        <v>589354</v>
      </c>
      <c r="C4138">
        <v>9</v>
      </c>
      <c r="D4138">
        <v>25</v>
      </c>
      <c r="E4138">
        <v>130</v>
      </c>
      <c r="F4138">
        <v>3</v>
      </c>
      <c r="G4138">
        <v>20</v>
      </c>
      <c r="H4138">
        <v>21</v>
      </c>
      <c r="I4138">
        <v>367</v>
      </c>
      <c r="J4138">
        <v>0</v>
      </c>
      <c r="K4138">
        <v>4.883</v>
      </c>
      <c r="L4138">
        <v>9.6440000000000001</v>
      </c>
      <c r="M4138">
        <v>130.434</v>
      </c>
      <c r="N4138">
        <v>15.49</v>
      </c>
      <c r="O4138">
        <v>1684</v>
      </c>
      <c r="P4138">
        <v>0</v>
      </c>
      <c r="Q4138" s="5" t="e">
        <f>IF(AND(#REF!&gt;=table!$C$6,#REF!&lt;= table!$D$6),-1,IF(AND(#REF!&gt;=table!$E$6,#REF!&lt;=table!$F$6),1,0))</f>
        <v>#REF!</v>
      </c>
      <c r="R4138" s="5" t="e">
        <f>IF(AND(#REF!&gt;=table!$C$7,#REF!&lt;= table!$D$7),-1,IF(AND(#REF!&gt;=table!$E$7,#REF!&lt;=table!$F$7),1,0))</f>
        <v>#REF!</v>
      </c>
      <c r="S4138" s="5" t="e">
        <f>IF(AND(#REF!&gt;=table!$C$8,#REF!&lt;= table!$D$8),-1,IF(AND(#REF!&gt;=table!$E$8,#REF!&lt;=table!$F$8),1,0))</f>
        <v>#REF!</v>
      </c>
      <c r="T4138" s="5"/>
      <c r="U4138" s="5" t="e">
        <f>IF(AND(#REF!&gt;=table!$C$10,#REF!&lt;= table!$D$10),-1,IF(AND(#REF!&gt;=table!$E$10,#REF!&lt;=table!$F$10),1,0))</f>
        <v>#REF!</v>
      </c>
      <c r="V4138" s="5" t="e">
        <f>IF(AND(#REF!&gt;=table!$C$11,#REF!&lt;= table!$D$11),-1,IF(AND(#REF!&gt;=table!$E$11,#REF!&lt;=table!$F$11),1,0))</f>
        <v>#REF!</v>
      </c>
      <c r="W4138" s="5" t="e">
        <f>CONCATENATE(dados[[#This Row],[fator1]],dados[[#This Row],[fator5]],dados[[#This Row],[fator6]])</f>
        <v>#REF!</v>
      </c>
    </row>
    <row r="4139" spans="1:23">
      <c r="A4139" t="s">
        <v>17</v>
      </c>
      <c r="B4139">
        <v>589356</v>
      </c>
      <c r="C4139">
        <v>0.15</v>
      </c>
      <c r="D4139">
        <v>500</v>
      </c>
      <c r="E4139">
        <v>50</v>
      </c>
      <c r="F4139">
        <v>10</v>
      </c>
      <c r="G4139">
        <v>80</v>
      </c>
      <c r="H4139">
        <v>30</v>
      </c>
      <c r="I4139">
        <v>165</v>
      </c>
      <c r="J4139">
        <v>0</v>
      </c>
      <c r="K4139">
        <v>3.9713000000000003</v>
      </c>
      <c r="L4139">
        <v>9.0495000000000001</v>
      </c>
      <c r="M4139">
        <v>8.0205000000000002</v>
      </c>
      <c r="N4139">
        <v>22.955000000000002</v>
      </c>
      <c r="O4139">
        <v>1684</v>
      </c>
      <c r="P4139">
        <v>982</v>
      </c>
      <c r="Q4139" s="5" t="e">
        <f>IF(AND(#REF!&gt;=table!$C$6,#REF!&lt;= table!$D$6),-1,IF(AND(#REF!&gt;=table!$E$6,#REF!&lt;=table!$F$6),1,0))</f>
        <v>#REF!</v>
      </c>
      <c r="R4139" s="5" t="e">
        <f>IF(AND(#REF!&gt;=table!$C$7,#REF!&lt;= table!$D$7),-1,IF(AND(#REF!&gt;=table!$E$7,#REF!&lt;=table!$F$7),1,0))</f>
        <v>#REF!</v>
      </c>
      <c r="S4139" s="5" t="e">
        <f>IF(AND(#REF!&gt;=table!$C$8,#REF!&lt;= table!$D$8),-1,IF(AND(#REF!&gt;=table!$E$8,#REF!&lt;=table!$F$8),1,0))</f>
        <v>#REF!</v>
      </c>
      <c r="T4139" s="5"/>
      <c r="U4139" s="5" t="e">
        <f>IF(AND(#REF!&gt;=table!$C$10,#REF!&lt;= table!$D$10),-1,IF(AND(#REF!&gt;=table!$E$10,#REF!&lt;=table!$F$10),1,0))</f>
        <v>#REF!</v>
      </c>
      <c r="V4139" s="5" t="e">
        <f>IF(AND(#REF!&gt;=table!$C$11,#REF!&lt;= table!$D$11),-1,IF(AND(#REF!&gt;=table!$E$11,#REF!&lt;=table!$F$11),1,0))</f>
        <v>#REF!</v>
      </c>
      <c r="W4139" s="5" t="e">
        <f>CONCATENATE(dados[[#This Row],[fator1]],dados[[#This Row],[fator5]],dados[[#This Row],[fator6]])</f>
        <v>#REF!</v>
      </c>
    </row>
    <row r="4140" spans="1:23">
      <c r="A4140" t="s">
        <v>17</v>
      </c>
      <c r="B4140">
        <v>589360</v>
      </c>
      <c r="C4140">
        <v>16</v>
      </c>
      <c r="D4140">
        <v>25</v>
      </c>
      <c r="E4140">
        <v>56</v>
      </c>
      <c r="F4140">
        <v>10</v>
      </c>
      <c r="G4140">
        <v>13</v>
      </c>
      <c r="H4140">
        <v>25</v>
      </c>
      <c r="I4140">
        <v>0</v>
      </c>
      <c r="J4140">
        <v>0</v>
      </c>
      <c r="K4140">
        <v>4.2075000000000005</v>
      </c>
      <c r="L4140">
        <v>7.8730000000000002</v>
      </c>
      <c r="M4140">
        <v>49.042500000000004</v>
      </c>
      <c r="N4140">
        <v>19.015000000000001</v>
      </c>
      <c r="O4140">
        <v>1700</v>
      </c>
      <c r="P4140">
        <v>1078</v>
      </c>
      <c r="Q4140" s="5" t="e">
        <f>IF(AND(#REF!&gt;=table!$C$6,#REF!&lt;= table!$D$6),-1,IF(AND(#REF!&gt;=table!$E$6,#REF!&lt;=table!$F$6),1,0))</f>
        <v>#REF!</v>
      </c>
      <c r="R4140" s="5" t="e">
        <f>IF(AND(#REF!&gt;=table!$C$7,#REF!&lt;= table!$D$7),-1,IF(AND(#REF!&gt;=table!$E$7,#REF!&lt;=table!$F$7),1,0))</f>
        <v>#REF!</v>
      </c>
      <c r="S4140" s="5" t="e">
        <f>IF(AND(#REF!&gt;=table!$C$8,#REF!&lt;= table!$D$8),-1,IF(AND(#REF!&gt;=table!$E$8,#REF!&lt;=table!$F$8),1,0))</f>
        <v>#REF!</v>
      </c>
      <c r="T4140" s="5"/>
      <c r="U4140" s="5" t="e">
        <f>IF(AND(#REF!&gt;=table!$C$10,#REF!&lt;= table!$D$10),-1,IF(AND(#REF!&gt;=table!$E$10,#REF!&lt;=table!$F$10),1,0))</f>
        <v>#REF!</v>
      </c>
      <c r="V4140" s="5" t="e">
        <f>IF(AND(#REF!&gt;=table!$C$11,#REF!&lt;= table!$D$11),-1,IF(AND(#REF!&gt;=table!$E$11,#REF!&lt;=table!$F$11),1,0))</f>
        <v>#REF!</v>
      </c>
      <c r="W4140" s="5" t="e">
        <f>CONCATENATE(dados[[#This Row],[fator1]],dados[[#This Row],[fator5]],dados[[#This Row],[fator6]])</f>
        <v>#REF!</v>
      </c>
    </row>
    <row r="4141" spans="1:23">
      <c r="A4141" t="s">
        <v>17</v>
      </c>
      <c r="B4141">
        <v>589361</v>
      </c>
      <c r="C4141">
        <v>7</v>
      </c>
      <c r="D4141">
        <v>30</v>
      </c>
      <c r="E4141">
        <v>175</v>
      </c>
      <c r="F4141">
        <v>3</v>
      </c>
      <c r="G4141">
        <v>25</v>
      </c>
      <c r="H4141">
        <v>18</v>
      </c>
      <c r="I4141">
        <v>576</v>
      </c>
      <c r="J4141">
        <v>0</v>
      </c>
      <c r="K4141">
        <v>3.149</v>
      </c>
      <c r="L4141">
        <v>5.3040000000000003</v>
      </c>
      <c r="M4141">
        <v>151.83600000000001</v>
      </c>
      <c r="N4141">
        <v>15.585000000000001</v>
      </c>
      <c r="O4141">
        <v>1696</v>
      </c>
      <c r="P4141">
        <v>0</v>
      </c>
      <c r="Q4141" s="5" t="e">
        <f>IF(AND(#REF!&gt;=table!$C$6,#REF!&lt;= table!$D$6),-1,IF(AND(#REF!&gt;=table!$E$6,#REF!&lt;=table!$F$6),1,0))</f>
        <v>#REF!</v>
      </c>
      <c r="R4141" s="5" t="e">
        <f>IF(AND(#REF!&gt;=table!$C$7,#REF!&lt;= table!$D$7),-1,IF(AND(#REF!&gt;=table!$E$7,#REF!&lt;=table!$F$7),1,0))</f>
        <v>#REF!</v>
      </c>
      <c r="S4141" s="5" t="e">
        <f>IF(AND(#REF!&gt;=table!$C$8,#REF!&lt;= table!$D$8),-1,IF(AND(#REF!&gt;=table!$E$8,#REF!&lt;=table!$F$8),1,0))</f>
        <v>#REF!</v>
      </c>
      <c r="T4141" s="5"/>
      <c r="U4141" s="5" t="e">
        <f>IF(AND(#REF!&gt;=table!$C$10,#REF!&lt;= table!$D$10),-1,IF(AND(#REF!&gt;=table!$E$10,#REF!&lt;=table!$F$10),1,0))</f>
        <v>#REF!</v>
      </c>
      <c r="V4141" s="5" t="e">
        <f>IF(AND(#REF!&gt;=table!$C$11,#REF!&lt;= table!$D$11),-1,IF(AND(#REF!&gt;=table!$E$11,#REF!&lt;=table!$F$11),1,0))</f>
        <v>#REF!</v>
      </c>
      <c r="W4141" s="5" t="e">
        <f>CONCATENATE(dados[[#This Row],[fator1]],dados[[#This Row],[fator5]],dados[[#This Row],[fator6]])</f>
        <v>#REF!</v>
      </c>
    </row>
    <row r="4142" spans="1:23">
      <c r="A4142" t="s">
        <v>17</v>
      </c>
      <c r="B4142">
        <v>589362</v>
      </c>
      <c r="C4142">
        <v>7</v>
      </c>
      <c r="D4142">
        <v>30</v>
      </c>
      <c r="E4142">
        <v>175</v>
      </c>
      <c r="F4142">
        <v>3</v>
      </c>
      <c r="G4142">
        <v>25</v>
      </c>
      <c r="H4142">
        <v>18</v>
      </c>
      <c r="I4142">
        <v>0</v>
      </c>
      <c r="J4142">
        <v>0</v>
      </c>
      <c r="K4142">
        <v>4.2110000000000003</v>
      </c>
      <c r="L4142">
        <v>31.525000000000002</v>
      </c>
      <c r="M4142">
        <v>172.51500000000001</v>
      </c>
      <c r="N4142">
        <v>13.9</v>
      </c>
      <c r="O4142">
        <v>1702</v>
      </c>
      <c r="P4142">
        <v>1079</v>
      </c>
      <c r="Q4142" s="5" t="e">
        <f>IF(AND(#REF!&gt;=table!$C$6,#REF!&lt;= table!$D$6),-1,IF(AND(#REF!&gt;=table!$E$6,#REF!&lt;=table!$F$6),1,0))</f>
        <v>#REF!</v>
      </c>
      <c r="R4142" s="5" t="e">
        <f>IF(AND(#REF!&gt;=table!$C$7,#REF!&lt;= table!$D$7),-1,IF(AND(#REF!&gt;=table!$E$7,#REF!&lt;=table!$F$7),1,0))</f>
        <v>#REF!</v>
      </c>
      <c r="S4142" s="5" t="e">
        <f>IF(AND(#REF!&gt;=table!$C$8,#REF!&lt;= table!$D$8),-1,IF(AND(#REF!&gt;=table!$E$8,#REF!&lt;=table!$F$8),1,0))</f>
        <v>#REF!</v>
      </c>
      <c r="T4142" s="5"/>
      <c r="U4142" s="5" t="e">
        <f>IF(AND(#REF!&gt;=table!$C$10,#REF!&lt;= table!$D$10),-1,IF(AND(#REF!&gt;=table!$E$10,#REF!&lt;=table!$F$10),1,0))</f>
        <v>#REF!</v>
      </c>
      <c r="V4142" s="5" t="e">
        <f>IF(AND(#REF!&gt;=table!$C$11,#REF!&lt;= table!$D$11),-1,IF(AND(#REF!&gt;=table!$E$11,#REF!&lt;=table!$F$11),1,0))</f>
        <v>#REF!</v>
      </c>
      <c r="W4142" s="5" t="e">
        <f>CONCATENATE(dados[[#This Row],[fator1]],dados[[#This Row],[fator5]],dados[[#This Row],[fator6]])</f>
        <v>#REF!</v>
      </c>
    </row>
    <row r="4143" spans="1:23">
      <c r="A4143" t="s">
        <v>17</v>
      </c>
      <c r="B4143">
        <v>589363</v>
      </c>
      <c r="C4143">
        <v>7</v>
      </c>
      <c r="D4143">
        <v>30</v>
      </c>
      <c r="E4143">
        <v>175</v>
      </c>
      <c r="F4143">
        <v>3</v>
      </c>
      <c r="G4143">
        <v>25</v>
      </c>
      <c r="H4143">
        <v>18</v>
      </c>
      <c r="I4143">
        <v>391</v>
      </c>
      <c r="J4143">
        <v>0</v>
      </c>
      <c r="K4143">
        <v>4.8755000000000006</v>
      </c>
      <c r="L4143">
        <v>10.503</v>
      </c>
      <c r="M4143">
        <v>158.292</v>
      </c>
      <c r="N4143">
        <v>8.57</v>
      </c>
      <c r="O4143">
        <v>1656</v>
      </c>
      <c r="P4143">
        <v>796</v>
      </c>
      <c r="Q4143" s="5" t="e">
        <f>IF(AND(#REF!&gt;=table!$C$6,#REF!&lt;= table!$D$6),-1,IF(AND(#REF!&gt;=table!$E$6,#REF!&lt;=table!$F$6),1,0))</f>
        <v>#REF!</v>
      </c>
      <c r="R4143" s="5" t="e">
        <f>IF(AND(#REF!&gt;=table!$C$7,#REF!&lt;= table!$D$7),-1,IF(AND(#REF!&gt;=table!$E$7,#REF!&lt;=table!$F$7),1,0))</f>
        <v>#REF!</v>
      </c>
      <c r="S4143" s="5" t="e">
        <f>IF(AND(#REF!&gt;=table!$C$8,#REF!&lt;= table!$D$8),-1,IF(AND(#REF!&gt;=table!$E$8,#REF!&lt;=table!$F$8),1,0))</f>
        <v>#REF!</v>
      </c>
      <c r="T4143" s="5"/>
      <c r="U4143" s="5" t="e">
        <f>IF(AND(#REF!&gt;=table!$C$10,#REF!&lt;= table!$D$10),-1,IF(AND(#REF!&gt;=table!$E$10,#REF!&lt;=table!$F$10),1,0))</f>
        <v>#REF!</v>
      </c>
      <c r="V4143" s="5" t="e">
        <f>IF(AND(#REF!&gt;=table!$C$11,#REF!&lt;= table!$D$11),-1,IF(AND(#REF!&gt;=table!$E$11,#REF!&lt;=table!$F$11),1,0))</f>
        <v>#REF!</v>
      </c>
      <c r="W4143" s="5" t="e">
        <f>CONCATENATE(dados[[#This Row],[fator1]],dados[[#This Row],[fator5]],dados[[#This Row],[fator6]])</f>
        <v>#REF!</v>
      </c>
    </row>
    <row r="4144" spans="1:23">
      <c r="A4144" t="s">
        <v>17</v>
      </c>
      <c r="B4144">
        <v>589364</v>
      </c>
      <c r="C4144">
        <v>7</v>
      </c>
      <c r="D4144">
        <v>30</v>
      </c>
      <c r="E4144">
        <v>175</v>
      </c>
      <c r="F4144">
        <v>3</v>
      </c>
      <c r="G4144">
        <v>25</v>
      </c>
      <c r="H4144">
        <v>18</v>
      </c>
      <c r="I4144">
        <v>741</v>
      </c>
      <c r="J4144">
        <v>0</v>
      </c>
      <c r="K4144">
        <v>3.9860000000000002</v>
      </c>
      <c r="L4144">
        <v>6.7530000000000001</v>
      </c>
      <c r="M4144">
        <v>148.249</v>
      </c>
      <c r="N4144">
        <v>13.795</v>
      </c>
      <c r="O4144">
        <v>1667</v>
      </c>
      <c r="P4144">
        <v>1036</v>
      </c>
      <c r="Q4144" s="5" t="e">
        <f>IF(AND(#REF!&gt;=table!$C$6,#REF!&lt;= table!$D$6),-1,IF(AND(#REF!&gt;=table!$E$6,#REF!&lt;=table!$F$6),1,0))</f>
        <v>#REF!</v>
      </c>
      <c r="R4144" s="5" t="e">
        <f>IF(AND(#REF!&gt;=table!$C$7,#REF!&lt;= table!$D$7),-1,IF(AND(#REF!&gt;=table!$E$7,#REF!&lt;=table!$F$7),1,0))</f>
        <v>#REF!</v>
      </c>
      <c r="S4144" s="5" t="e">
        <f>IF(AND(#REF!&gt;=table!$C$8,#REF!&lt;= table!$D$8),-1,IF(AND(#REF!&gt;=table!$E$8,#REF!&lt;=table!$F$8),1,0))</f>
        <v>#REF!</v>
      </c>
      <c r="T4144" s="5"/>
      <c r="U4144" s="5" t="e">
        <f>IF(AND(#REF!&gt;=table!$C$10,#REF!&lt;= table!$D$10),-1,IF(AND(#REF!&gt;=table!$E$10,#REF!&lt;=table!$F$10),1,0))</f>
        <v>#REF!</v>
      </c>
      <c r="V4144" s="5" t="e">
        <f>IF(AND(#REF!&gt;=table!$C$11,#REF!&lt;= table!$D$11),-1,IF(AND(#REF!&gt;=table!$E$11,#REF!&lt;=table!$F$11),1,0))</f>
        <v>#REF!</v>
      </c>
      <c r="W4144" s="5" t="e">
        <f>CONCATENATE(dados[[#This Row],[fator1]],dados[[#This Row],[fator5]],dados[[#This Row],[fator6]])</f>
        <v>#REF!</v>
      </c>
    </row>
    <row r="4145" spans="1:23">
      <c r="A4145" t="s">
        <v>17</v>
      </c>
      <c r="B4145">
        <v>589366</v>
      </c>
      <c r="C4145">
        <v>9</v>
      </c>
      <c r="D4145">
        <v>30</v>
      </c>
      <c r="E4145">
        <v>160</v>
      </c>
      <c r="F4145">
        <v>3</v>
      </c>
      <c r="G4145">
        <v>30</v>
      </c>
      <c r="H4145">
        <v>20</v>
      </c>
      <c r="I4145">
        <v>26</v>
      </c>
      <c r="J4145">
        <v>0</v>
      </c>
      <c r="K4145">
        <v>5.4960000000000004</v>
      </c>
      <c r="L4145">
        <v>6.0030000000000001</v>
      </c>
      <c r="M4145">
        <v>140.23050000000001</v>
      </c>
      <c r="N4145">
        <v>8.7249999999999996</v>
      </c>
      <c r="O4145">
        <v>1672</v>
      </c>
      <c r="P4145">
        <v>769</v>
      </c>
      <c r="Q4145" s="5" t="e">
        <f>IF(AND(#REF!&gt;=table!$C$6,#REF!&lt;= table!$D$6),-1,IF(AND(#REF!&gt;=table!$E$6,#REF!&lt;=table!$F$6),1,0))</f>
        <v>#REF!</v>
      </c>
      <c r="R4145" s="5" t="e">
        <f>IF(AND(#REF!&gt;=table!$C$7,#REF!&lt;= table!$D$7),-1,IF(AND(#REF!&gt;=table!$E$7,#REF!&lt;=table!$F$7),1,0))</f>
        <v>#REF!</v>
      </c>
      <c r="S4145" s="5" t="e">
        <f>IF(AND(#REF!&gt;=table!$C$8,#REF!&lt;= table!$D$8),-1,IF(AND(#REF!&gt;=table!$E$8,#REF!&lt;=table!$F$8),1,0))</f>
        <v>#REF!</v>
      </c>
      <c r="T4145" s="5"/>
      <c r="U4145" s="5" t="e">
        <f>IF(AND(#REF!&gt;=table!$C$10,#REF!&lt;= table!$D$10),-1,IF(AND(#REF!&gt;=table!$E$10,#REF!&lt;=table!$F$10),1,0))</f>
        <v>#REF!</v>
      </c>
      <c r="V4145" s="5" t="e">
        <f>IF(AND(#REF!&gt;=table!$C$11,#REF!&lt;= table!$D$11),-1,IF(AND(#REF!&gt;=table!$E$11,#REF!&lt;=table!$F$11),1,0))</f>
        <v>#REF!</v>
      </c>
      <c r="W4145" s="5" t="e">
        <f>CONCATENATE(dados[[#This Row],[fator1]],dados[[#This Row],[fator5]],dados[[#This Row],[fator6]])</f>
        <v>#REF!</v>
      </c>
    </row>
    <row r="4146" spans="1:23">
      <c r="A4146" t="s">
        <v>17</v>
      </c>
      <c r="B4146">
        <v>589368</v>
      </c>
      <c r="C4146">
        <v>6</v>
      </c>
      <c r="D4146">
        <v>30</v>
      </c>
      <c r="E4146">
        <v>110</v>
      </c>
      <c r="F4146">
        <v>10</v>
      </c>
      <c r="G4146">
        <v>21</v>
      </c>
      <c r="H4146">
        <v>25</v>
      </c>
      <c r="I4146">
        <v>179</v>
      </c>
      <c r="J4146">
        <v>0</v>
      </c>
      <c r="K4146">
        <v>6.5375000000000005</v>
      </c>
      <c r="L4146">
        <v>11.105500000000001</v>
      </c>
      <c r="M4146">
        <v>103.16900000000001</v>
      </c>
      <c r="N4146">
        <v>15.84</v>
      </c>
      <c r="O4146">
        <v>1703</v>
      </c>
      <c r="P4146">
        <v>1171</v>
      </c>
      <c r="Q4146" s="5" t="e">
        <f>IF(AND(#REF!&gt;=table!$C$6,#REF!&lt;= table!$D$6),-1,IF(AND(#REF!&gt;=table!$E$6,#REF!&lt;=table!$F$6),1,0))</f>
        <v>#REF!</v>
      </c>
      <c r="R4146" s="5" t="e">
        <f>IF(AND(#REF!&gt;=table!$C$7,#REF!&lt;= table!$D$7),-1,IF(AND(#REF!&gt;=table!$E$7,#REF!&lt;=table!$F$7),1,0))</f>
        <v>#REF!</v>
      </c>
      <c r="S4146" s="5" t="e">
        <f>IF(AND(#REF!&gt;=table!$C$8,#REF!&lt;= table!$D$8),-1,IF(AND(#REF!&gt;=table!$E$8,#REF!&lt;=table!$F$8),1,0))</f>
        <v>#REF!</v>
      </c>
      <c r="T4146" s="5"/>
      <c r="U4146" s="5" t="e">
        <f>IF(AND(#REF!&gt;=table!$C$10,#REF!&lt;= table!$D$10),-1,IF(AND(#REF!&gt;=table!$E$10,#REF!&lt;=table!$F$10),1,0))</f>
        <v>#REF!</v>
      </c>
      <c r="V4146" s="5" t="e">
        <f>IF(AND(#REF!&gt;=table!$C$11,#REF!&lt;= table!$D$11),-1,IF(AND(#REF!&gt;=table!$E$11,#REF!&lt;=table!$F$11),1,0))</f>
        <v>#REF!</v>
      </c>
      <c r="W4146" s="5" t="e">
        <f>CONCATENATE(dados[[#This Row],[fator1]],dados[[#This Row],[fator5]],dados[[#This Row],[fator6]])</f>
        <v>#REF!</v>
      </c>
    </row>
    <row r="4147" spans="1:23">
      <c r="A4147" t="s">
        <v>17</v>
      </c>
      <c r="B4147">
        <v>589369</v>
      </c>
      <c r="C4147">
        <v>14</v>
      </c>
      <c r="D4147">
        <v>30</v>
      </c>
      <c r="E4147">
        <v>110</v>
      </c>
      <c r="F4147">
        <v>3</v>
      </c>
      <c r="G4147">
        <v>20</v>
      </c>
      <c r="H4147">
        <v>22</v>
      </c>
      <c r="I4147">
        <v>590</v>
      </c>
      <c r="J4147">
        <v>0</v>
      </c>
      <c r="K4147">
        <v>6.5375000000000005</v>
      </c>
      <c r="L4147">
        <v>11.105500000000001</v>
      </c>
      <c r="M4147">
        <v>81.92</v>
      </c>
      <c r="N4147">
        <v>14.89</v>
      </c>
      <c r="O4147">
        <v>1674</v>
      </c>
      <c r="P4147">
        <v>0</v>
      </c>
      <c r="Q4147" s="5" t="e">
        <f>IF(AND(#REF!&gt;=table!$C$6,#REF!&lt;= table!$D$6),-1,IF(AND(#REF!&gt;=table!$E$6,#REF!&lt;=table!$F$6),1,0))</f>
        <v>#REF!</v>
      </c>
      <c r="R4147" s="5" t="e">
        <f>IF(AND(#REF!&gt;=table!$C$7,#REF!&lt;= table!$D$7),-1,IF(AND(#REF!&gt;=table!$E$7,#REF!&lt;=table!$F$7),1,0))</f>
        <v>#REF!</v>
      </c>
      <c r="S4147" s="5" t="e">
        <f>IF(AND(#REF!&gt;=table!$C$8,#REF!&lt;= table!$D$8),-1,IF(AND(#REF!&gt;=table!$E$8,#REF!&lt;=table!$F$8),1,0))</f>
        <v>#REF!</v>
      </c>
      <c r="T4147" s="5"/>
      <c r="U4147" s="5" t="e">
        <f>IF(AND(#REF!&gt;=table!$C$10,#REF!&lt;= table!$D$10),-1,IF(AND(#REF!&gt;=table!$E$10,#REF!&lt;=table!$F$10),1,0))</f>
        <v>#REF!</v>
      </c>
      <c r="V4147" s="5" t="e">
        <f>IF(AND(#REF!&gt;=table!$C$11,#REF!&lt;= table!$D$11),-1,IF(AND(#REF!&gt;=table!$E$11,#REF!&lt;=table!$F$11),1,0))</f>
        <v>#REF!</v>
      </c>
      <c r="W4147" s="5" t="e">
        <f>CONCATENATE(dados[[#This Row],[fator1]],dados[[#This Row],[fator5]],dados[[#This Row],[fator6]])</f>
        <v>#REF!</v>
      </c>
    </row>
    <row r="4148" spans="1:23">
      <c r="A4148" t="s">
        <v>16</v>
      </c>
      <c r="B4148">
        <v>589370</v>
      </c>
      <c r="C4148">
        <v>11</v>
      </c>
      <c r="D4148">
        <v>40</v>
      </c>
      <c r="E4148">
        <v>151</v>
      </c>
      <c r="F4148">
        <v>8</v>
      </c>
      <c r="G4148">
        <v>0</v>
      </c>
      <c r="H4148">
        <v>25</v>
      </c>
      <c r="I4148">
        <v>593</v>
      </c>
      <c r="J4148">
        <v>0</v>
      </c>
      <c r="K4148">
        <v>4.7675000000000001</v>
      </c>
      <c r="L4148">
        <v>7.0685000000000002</v>
      </c>
      <c r="M4148">
        <v>152.7645</v>
      </c>
      <c r="N4148">
        <v>14.965</v>
      </c>
      <c r="O4148">
        <v>1705</v>
      </c>
      <c r="P4148">
        <v>911</v>
      </c>
      <c r="Q4148" s="5" t="e">
        <f>IF(AND(#REF!&gt;=table!$C$6,#REF!&lt;= table!$D$6),-1,IF(AND(#REF!&gt;=table!$E$6,#REF!&lt;=table!$F$6),1,0))</f>
        <v>#REF!</v>
      </c>
      <c r="R4148" s="5" t="e">
        <f>IF(AND(#REF!&gt;=table!$C$7,#REF!&lt;= table!$D$7),-1,IF(AND(#REF!&gt;=table!$E$7,#REF!&lt;=table!$F$7),1,0))</f>
        <v>#REF!</v>
      </c>
      <c r="S4148" s="5" t="e">
        <f>IF(AND(#REF!&gt;=table!$C$8,#REF!&lt;= table!$D$8),-1,IF(AND(#REF!&gt;=table!$E$8,#REF!&lt;=table!$F$8),1,0))</f>
        <v>#REF!</v>
      </c>
      <c r="T4148" s="5"/>
      <c r="U4148" s="5" t="e">
        <f>IF(AND(#REF!&gt;=table!$C$10,#REF!&lt;= table!$D$10),-1,IF(AND(#REF!&gt;=table!$E$10,#REF!&lt;=table!$F$10),1,0))</f>
        <v>#REF!</v>
      </c>
      <c r="V4148" s="5" t="e">
        <f>IF(AND(#REF!&gt;=table!$C$11,#REF!&lt;= table!$D$11),-1,IF(AND(#REF!&gt;=table!$E$11,#REF!&lt;=table!$F$11),1,0))</f>
        <v>#REF!</v>
      </c>
      <c r="W4148" s="5" t="e">
        <f>CONCATENATE(dados[[#This Row],[fator1]],dados[[#This Row],[fator5]],dados[[#This Row],[fator6]])</f>
        <v>#REF!</v>
      </c>
    </row>
    <row r="4149" spans="1:23">
      <c r="A4149" t="s">
        <v>16</v>
      </c>
      <c r="B4149">
        <v>589371</v>
      </c>
      <c r="C4149">
        <v>11</v>
      </c>
      <c r="D4149">
        <v>40</v>
      </c>
      <c r="E4149">
        <v>151</v>
      </c>
      <c r="F4149">
        <v>8</v>
      </c>
      <c r="G4149">
        <v>0</v>
      </c>
      <c r="H4149">
        <v>25</v>
      </c>
      <c r="I4149">
        <v>16</v>
      </c>
      <c r="J4149">
        <v>0</v>
      </c>
      <c r="K4149">
        <v>3.8660000000000001</v>
      </c>
      <c r="L4149">
        <v>9.0534999999999997</v>
      </c>
      <c r="M4149">
        <v>139.73350000000002</v>
      </c>
      <c r="N4149">
        <v>16.13</v>
      </c>
      <c r="O4149">
        <v>1707</v>
      </c>
      <c r="P4149">
        <v>1016</v>
      </c>
      <c r="Q4149" s="5" t="e">
        <f>IF(AND(#REF!&gt;=table!$C$6,#REF!&lt;= table!$D$6),-1,IF(AND(#REF!&gt;=table!$E$6,#REF!&lt;=table!$F$6),1,0))</f>
        <v>#REF!</v>
      </c>
      <c r="R4149" s="5" t="e">
        <f>IF(AND(#REF!&gt;=table!$C$7,#REF!&lt;= table!$D$7),-1,IF(AND(#REF!&gt;=table!$E$7,#REF!&lt;=table!$F$7),1,0))</f>
        <v>#REF!</v>
      </c>
      <c r="S4149" s="5" t="e">
        <f>IF(AND(#REF!&gt;=table!$C$8,#REF!&lt;= table!$D$8),-1,IF(AND(#REF!&gt;=table!$E$8,#REF!&lt;=table!$F$8),1,0))</f>
        <v>#REF!</v>
      </c>
      <c r="T4149" s="5"/>
      <c r="U4149" s="5" t="e">
        <f>IF(AND(#REF!&gt;=table!$C$10,#REF!&lt;= table!$D$10),-1,IF(AND(#REF!&gt;=table!$E$10,#REF!&lt;=table!$F$10),1,0))</f>
        <v>#REF!</v>
      </c>
      <c r="V4149" s="5" t="e">
        <f>IF(AND(#REF!&gt;=table!$C$11,#REF!&lt;= table!$D$11),-1,IF(AND(#REF!&gt;=table!$E$11,#REF!&lt;=table!$F$11),1,0))</f>
        <v>#REF!</v>
      </c>
      <c r="W4149" s="5" t="e">
        <f>CONCATENATE(dados[[#This Row],[fator1]],dados[[#This Row],[fator5]],dados[[#This Row],[fator6]])</f>
        <v>#REF!</v>
      </c>
    </row>
    <row r="4150" spans="1:23">
      <c r="A4150" t="s">
        <v>16</v>
      </c>
      <c r="B4150">
        <v>589373</v>
      </c>
      <c r="C4150">
        <v>11</v>
      </c>
      <c r="D4150">
        <v>40</v>
      </c>
      <c r="E4150">
        <v>151</v>
      </c>
      <c r="F4150">
        <v>8</v>
      </c>
      <c r="G4150">
        <v>0</v>
      </c>
      <c r="H4150">
        <v>25</v>
      </c>
      <c r="I4150">
        <v>432</v>
      </c>
      <c r="J4150">
        <v>0</v>
      </c>
      <c r="K4150">
        <v>5.8425000000000002</v>
      </c>
      <c r="L4150">
        <v>11.527000000000001</v>
      </c>
      <c r="M4150">
        <v>133.24800000000002</v>
      </c>
      <c r="N4150">
        <v>17.490000000000002</v>
      </c>
      <c r="O4150">
        <v>1700</v>
      </c>
      <c r="P4150">
        <v>0</v>
      </c>
      <c r="Q4150" s="5" t="e">
        <f>IF(AND(#REF!&gt;=table!$C$6,#REF!&lt;= table!$D$6),-1,IF(AND(#REF!&gt;=table!$E$6,#REF!&lt;=table!$F$6),1,0))</f>
        <v>#REF!</v>
      </c>
      <c r="R4150" s="5" t="e">
        <f>IF(AND(#REF!&gt;=table!$C$7,#REF!&lt;= table!$D$7),-1,IF(AND(#REF!&gt;=table!$E$7,#REF!&lt;=table!$F$7),1,0))</f>
        <v>#REF!</v>
      </c>
      <c r="S4150" s="5" t="e">
        <f>IF(AND(#REF!&gt;=table!$C$8,#REF!&lt;= table!$D$8),-1,IF(AND(#REF!&gt;=table!$E$8,#REF!&lt;=table!$F$8),1,0))</f>
        <v>#REF!</v>
      </c>
      <c r="T4150" s="5"/>
      <c r="U4150" s="5" t="e">
        <f>IF(AND(#REF!&gt;=table!$C$10,#REF!&lt;= table!$D$10),-1,IF(AND(#REF!&gt;=table!$E$10,#REF!&lt;=table!$F$10),1,0))</f>
        <v>#REF!</v>
      </c>
      <c r="V4150" s="5" t="e">
        <f>IF(AND(#REF!&gt;=table!$C$11,#REF!&lt;= table!$D$11),-1,IF(AND(#REF!&gt;=table!$E$11,#REF!&lt;=table!$F$11),1,0))</f>
        <v>#REF!</v>
      </c>
      <c r="W4150" s="5" t="e">
        <f>CONCATENATE(dados[[#This Row],[fator1]],dados[[#This Row],[fator5]],dados[[#This Row],[fator6]])</f>
        <v>#REF!</v>
      </c>
    </row>
    <row r="4151" spans="1:23">
      <c r="A4151" t="s">
        <v>16</v>
      </c>
      <c r="B4151">
        <v>589374</v>
      </c>
      <c r="C4151">
        <v>11</v>
      </c>
      <c r="D4151">
        <v>40</v>
      </c>
      <c r="E4151">
        <v>151</v>
      </c>
      <c r="F4151">
        <v>8</v>
      </c>
      <c r="G4151">
        <v>0</v>
      </c>
      <c r="H4151">
        <v>25</v>
      </c>
      <c r="I4151">
        <v>733</v>
      </c>
      <c r="J4151">
        <v>0</v>
      </c>
      <c r="K4151">
        <v>5.9643000000000006</v>
      </c>
      <c r="L4151">
        <v>10.5</v>
      </c>
      <c r="M4151">
        <v>106.00550000000001</v>
      </c>
      <c r="N4151">
        <v>18.515000000000001</v>
      </c>
      <c r="O4151">
        <v>1696</v>
      </c>
      <c r="P4151">
        <v>685</v>
      </c>
      <c r="Q4151" s="5" t="e">
        <f>IF(AND(#REF!&gt;=table!$C$6,#REF!&lt;= table!$D$6),-1,IF(AND(#REF!&gt;=table!$E$6,#REF!&lt;=table!$F$6),1,0))</f>
        <v>#REF!</v>
      </c>
      <c r="R4151" s="5" t="e">
        <f>IF(AND(#REF!&gt;=table!$C$7,#REF!&lt;= table!$D$7),-1,IF(AND(#REF!&gt;=table!$E$7,#REF!&lt;=table!$F$7),1,0))</f>
        <v>#REF!</v>
      </c>
      <c r="S4151" s="5" t="e">
        <f>IF(AND(#REF!&gt;=table!$C$8,#REF!&lt;= table!$D$8),-1,IF(AND(#REF!&gt;=table!$E$8,#REF!&lt;=table!$F$8),1,0))</f>
        <v>#REF!</v>
      </c>
      <c r="T4151" s="5"/>
      <c r="U4151" s="5" t="e">
        <f>IF(AND(#REF!&gt;=table!$C$10,#REF!&lt;= table!$D$10),-1,IF(AND(#REF!&gt;=table!$E$10,#REF!&lt;=table!$F$10),1,0))</f>
        <v>#REF!</v>
      </c>
      <c r="V4151" s="5" t="e">
        <f>IF(AND(#REF!&gt;=table!$C$11,#REF!&lt;= table!$D$11),-1,IF(AND(#REF!&gt;=table!$E$11,#REF!&lt;=table!$F$11),1,0))</f>
        <v>#REF!</v>
      </c>
      <c r="W4151" s="5" t="e">
        <f>CONCATENATE(dados[[#This Row],[fator1]],dados[[#This Row],[fator5]],dados[[#This Row],[fator6]])</f>
        <v>#REF!</v>
      </c>
    </row>
    <row r="4152" spans="1:23">
      <c r="A4152" t="s">
        <v>16</v>
      </c>
      <c r="B4152">
        <v>589375</v>
      </c>
      <c r="C4152">
        <v>11</v>
      </c>
      <c r="D4152">
        <v>40</v>
      </c>
      <c r="E4152">
        <v>151</v>
      </c>
      <c r="F4152">
        <v>8</v>
      </c>
      <c r="G4152">
        <v>0</v>
      </c>
      <c r="H4152">
        <v>25</v>
      </c>
      <c r="I4152">
        <v>100</v>
      </c>
      <c r="J4152">
        <v>400</v>
      </c>
      <c r="K4152">
        <v>3.3153000000000001</v>
      </c>
      <c r="L4152">
        <v>8.4465000000000003</v>
      </c>
      <c r="M4152">
        <v>101.70950000000001</v>
      </c>
      <c r="N4152">
        <v>14.75</v>
      </c>
      <c r="O4152">
        <v>1690</v>
      </c>
      <c r="P4152">
        <v>0</v>
      </c>
      <c r="Q4152" s="5" t="e">
        <f>IF(AND(#REF!&gt;=table!$C$6,#REF!&lt;= table!$D$6),-1,IF(AND(#REF!&gt;=table!$E$6,#REF!&lt;=table!$F$6),1,0))</f>
        <v>#REF!</v>
      </c>
      <c r="R4152" s="5" t="e">
        <f>IF(AND(#REF!&gt;=table!$C$7,#REF!&lt;= table!$D$7),-1,IF(AND(#REF!&gt;=table!$E$7,#REF!&lt;=table!$F$7),1,0))</f>
        <v>#REF!</v>
      </c>
      <c r="S4152" s="5" t="e">
        <f>IF(AND(#REF!&gt;=table!$C$8,#REF!&lt;= table!$D$8),-1,IF(AND(#REF!&gt;=table!$E$8,#REF!&lt;=table!$F$8),1,0))</f>
        <v>#REF!</v>
      </c>
      <c r="T4152" s="5"/>
      <c r="U4152" s="5" t="e">
        <f>IF(AND(#REF!&gt;=table!$C$10,#REF!&lt;= table!$D$10),-1,IF(AND(#REF!&gt;=table!$E$10,#REF!&lt;=table!$F$10),1,0))</f>
        <v>#REF!</v>
      </c>
      <c r="V4152" s="5" t="e">
        <f>IF(AND(#REF!&gt;=table!$C$11,#REF!&lt;= table!$D$11),-1,IF(AND(#REF!&gt;=table!$E$11,#REF!&lt;=table!$F$11),1,0))</f>
        <v>#REF!</v>
      </c>
      <c r="W4152" s="5" t="e">
        <f>CONCATENATE(dados[[#This Row],[fator1]],dados[[#This Row],[fator5]],dados[[#This Row],[fator6]])</f>
        <v>#REF!</v>
      </c>
    </row>
    <row r="4153" spans="1:23">
      <c r="A4153" t="s">
        <v>16</v>
      </c>
      <c r="B4153">
        <v>589376</v>
      </c>
      <c r="C4153">
        <v>11</v>
      </c>
      <c r="D4153">
        <v>40</v>
      </c>
      <c r="E4153">
        <v>151</v>
      </c>
      <c r="F4153">
        <v>8</v>
      </c>
      <c r="G4153">
        <v>0</v>
      </c>
      <c r="H4153">
        <v>25</v>
      </c>
      <c r="I4153">
        <v>1536</v>
      </c>
      <c r="J4153">
        <v>0</v>
      </c>
      <c r="K4153">
        <v>4.7590000000000003</v>
      </c>
      <c r="L4153">
        <v>9.4039999999999999</v>
      </c>
      <c r="M4153">
        <v>92.555500000000009</v>
      </c>
      <c r="N4153">
        <v>18.46</v>
      </c>
      <c r="O4153">
        <v>1685</v>
      </c>
      <c r="P4153">
        <v>865</v>
      </c>
      <c r="Q4153" s="5" t="e">
        <f>IF(AND(#REF!&gt;=table!$C$6,#REF!&lt;= table!$D$6),-1,IF(AND(#REF!&gt;=table!$E$6,#REF!&lt;=table!$F$6),1,0))</f>
        <v>#REF!</v>
      </c>
      <c r="R4153" s="5" t="e">
        <f>IF(AND(#REF!&gt;=table!$C$7,#REF!&lt;= table!$D$7),-1,IF(AND(#REF!&gt;=table!$E$7,#REF!&lt;=table!$F$7),1,0))</f>
        <v>#REF!</v>
      </c>
      <c r="S4153" s="5" t="e">
        <f>IF(AND(#REF!&gt;=table!$C$8,#REF!&lt;= table!$D$8),-1,IF(AND(#REF!&gt;=table!$E$8,#REF!&lt;=table!$F$8),1,0))</f>
        <v>#REF!</v>
      </c>
      <c r="T4153" s="5"/>
      <c r="U4153" s="5" t="e">
        <f>IF(AND(#REF!&gt;=table!$C$10,#REF!&lt;= table!$D$10),-1,IF(AND(#REF!&gt;=table!$E$10,#REF!&lt;=table!$F$10),1,0))</f>
        <v>#REF!</v>
      </c>
      <c r="V4153" s="5" t="e">
        <f>IF(AND(#REF!&gt;=table!$C$11,#REF!&lt;= table!$D$11),-1,IF(AND(#REF!&gt;=table!$E$11,#REF!&lt;=table!$F$11),1,0))</f>
        <v>#REF!</v>
      </c>
      <c r="W4153" s="5" t="e">
        <f>CONCATENATE(dados[[#This Row],[fator1]],dados[[#This Row],[fator5]],dados[[#This Row],[fator6]])</f>
        <v>#REF!</v>
      </c>
    </row>
    <row r="4154" spans="1:23">
      <c r="A4154" t="s">
        <v>16</v>
      </c>
      <c r="B4154">
        <v>589377</v>
      </c>
      <c r="C4154">
        <v>11</v>
      </c>
      <c r="D4154">
        <v>40</v>
      </c>
      <c r="E4154">
        <v>151</v>
      </c>
      <c r="F4154">
        <v>8</v>
      </c>
      <c r="G4154">
        <v>0</v>
      </c>
      <c r="H4154">
        <v>25</v>
      </c>
      <c r="I4154">
        <v>1239</v>
      </c>
      <c r="J4154">
        <v>0</v>
      </c>
      <c r="K4154">
        <v>6.8080000000000007</v>
      </c>
      <c r="L4154">
        <v>11.444000000000001</v>
      </c>
      <c r="M4154">
        <v>122.754</v>
      </c>
      <c r="N4154">
        <v>18.515000000000001</v>
      </c>
      <c r="O4154">
        <v>1680</v>
      </c>
      <c r="P4154">
        <v>0</v>
      </c>
      <c r="Q4154" s="5" t="e">
        <f>IF(AND(#REF!&gt;=table!$C$6,#REF!&lt;= table!$D$6),-1,IF(AND(#REF!&gt;=table!$E$6,#REF!&lt;=table!$F$6),1,0))</f>
        <v>#REF!</v>
      </c>
      <c r="R4154" s="5" t="e">
        <f>IF(AND(#REF!&gt;=table!$C$7,#REF!&lt;= table!$D$7),-1,IF(AND(#REF!&gt;=table!$E$7,#REF!&lt;=table!$F$7),1,0))</f>
        <v>#REF!</v>
      </c>
      <c r="S4154" s="5" t="e">
        <f>IF(AND(#REF!&gt;=table!$C$8,#REF!&lt;= table!$D$8),-1,IF(AND(#REF!&gt;=table!$E$8,#REF!&lt;=table!$F$8),1,0))</f>
        <v>#REF!</v>
      </c>
      <c r="T4154" s="5"/>
      <c r="U4154" s="5" t="e">
        <f>IF(AND(#REF!&gt;=table!$C$10,#REF!&lt;= table!$D$10),-1,IF(AND(#REF!&gt;=table!$E$10,#REF!&lt;=table!$F$10),1,0))</f>
        <v>#REF!</v>
      </c>
      <c r="V4154" s="5" t="e">
        <f>IF(AND(#REF!&gt;=table!$C$11,#REF!&lt;= table!$D$11),-1,IF(AND(#REF!&gt;=table!$E$11,#REF!&lt;=table!$F$11),1,0))</f>
        <v>#REF!</v>
      </c>
      <c r="W4154" s="5" t="e">
        <f>CONCATENATE(dados[[#This Row],[fator1]],dados[[#This Row],[fator5]],dados[[#This Row],[fator6]])</f>
        <v>#REF!</v>
      </c>
    </row>
    <row r="4155" spans="1:23">
      <c r="A4155" t="s">
        <v>16</v>
      </c>
      <c r="B4155">
        <v>589380</v>
      </c>
      <c r="C4155">
        <v>16</v>
      </c>
      <c r="D4155">
        <v>35</v>
      </c>
      <c r="E4155">
        <v>56</v>
      </c>
      <c r="F4155">
        <v>10</v>
      </c>
      <c r="G4155">
        <v>0</v>
      </c>
      <c r="H4155">
        <v>25</v>
      </c>
      <c r="I4155">
        <v>1056</v>
      </c>
      <c r="J4155">
        <v>990</v>
      </c>
      <c r="K4155">
        <v>24.377500000000001</v>
      </c>
      <c r="L4155">
        <v>19.318000000000001</v>
      </c>
      <c r="M4155">
        <v>50.503</v>
      </c>
      <c r="N4155">
        <v>16.98</v>
      </c>
      <c r="O4155">
        <v>1678</v>
      </c>
      <c r="P4155">
        <v>130</v>
      </c>
      <c r="Q4155" s="5" t="e">
        <f>IF(AND(#REF!&gt;=table!$C$6,#REF!&lt;= table!$D$6),-1,IF(AND(#REF!&gt;=table!$E$6,#REF!&lt;=table!$F$6),1,0))</f>
        <v>#REF!</v>
      </c>
      <c r="R4155" s="5" t="e">
        <f>IF(AND(#REF!&gt;=table!$C$7,#REF!&lt;= table!$D$7),-1,IF(AND(#REF!&gt;=table!$E$7,#REF!&lt;=table!$F$7),1,0))</f>
        <v>#REF!</v>
      </c>
      <c r="S4155" s="5" t="e">
        <f>IF(AND(#REF!&gt;=table!$C$8,#REF!&lt;= table!$D$8),-1,IF(AND(#REF!&gt;=table!$E$8,#REF!&lt;=table!$F$8),1,0))</f>
        <v>#REF!</v>
      </c>
      <c r="T4155" s="5"/>
      <c r="U4155" s="5" t="e">
        <f>IF(AND(#REF!&gt;=table!$C$10,#REF!&lt;= table!$D$10),-1,IF(AND(#REF!&gt;=table!$E$10,#REF!&lt;=table!$F$10),1,0))</f>
        <v>#REF!</v>
      </c>
      <c r="V4155" s="5" t="e">
        <f>IF(AND(#REF!&gt;=table!$C$11,#REF!&lt;= table!$D$11),-1,IF(AND(#REF!&gt;=table!$E$11,#REF!&lt;=table!$F$11),1,0))</f>
        <v>#REF!</v>
      </c>
      <c r="W4155" s="5" t="e">
        <f>CONCATENATE(dados[[#This Row],[fator1]],dados[[#This Row],[fator5]],dados[[#This Row],[fator6]])</f>
        <v>#REF!</v>
      </c>
    </row>
    <row r="4156" spans="1:23">
      <c r="A4156" t="s">
        <v>17</v>
      </c>
      <c r="B4156">
        <v>589383</v>
      </c>
      <c r="C4156">
        <v>17</v>
      </c>
      <c r="D4156">
        <v>35</v>
      </c>
      <c r="E4156">
        <v>125</v>
      </c>
      <c r="F4156">
        <v>4</v>
      </c>
      <c r="G4156">
        <v>28</v>
      </c>
      <c r="H4156">
        <v>20</v>
      </c>
      <c r="I4156">
        <v>1342</v>
      </c>
      <c r="J4156">
        <v>0</v>
      </c>
      <c r="K4156">
        <v>4.9430000000000005</v>
      </c>
      <c r="L4156">
        <v>5.6050000000000004</v>
      </c>
      <c r="M4156">
        <v>80.620500000000007</v>
      </c>
      <c r="N4156">
        <v>11.5</v>
      </c>
      <c r="O4156">
        <v>1667</v>
      </c>
      <c r="P4156">
        <v>776</v>
      </c>
      <c r="Q4156" s="5" t="e">
        <f>IF(AND(#REF!&gt;=table!$C$6,#REF!&lt;= table!$D$6),-1,IF(AND(#REF!&gt;=table!$E$6,#REF!&lt;=table!$F$6),1,0))</f>
        <v>#REF!</v>
      </c>
      <c r="R4156" s="5" t="e">
        <f>IF(AND(#REF!&gt;=table!$C$7,#REF!&lt;= table!$D$7),-1,IF(AND(#REF!&gt;=table!$E$7,#REF!&lt;=table!$F$7),1,0))</f>
        <v>#REF!</v>
      </c>
      <c r="S4156" s="5" t="e">
        <f>IF(AND(#REF!&gt;=table!$C$8,#REF!&lt;= table!$D$8),-1,IF(AND(#REF!&gt;=table!$E$8,#REF!&lt;=table!$F$8),1,0))</f>
        <v>#REF!</v>
      </c>
      <c r="T4156" s="5"/>
      <c r="U4156" s="5" t="e">
        <f>IF(AND(#REF!&gt;=table!$C$10,#REF!&lt;= table!$D$10),-1,IF(AND(#REF!&gt;=table!$E$10,#REF!&lt;=table!$F$10),1,0))</f>
        <v>#REF!</v>
      </c>
      <c r="V4156" s="5" t="e">
        <f>IF(AND(#REF!&gt;=table!$C$11,#REF!&lt;= table!$D$11),-1,IF(AND(#REF!&gt;=table!$E$11,#REF!&lt;=table!$F$11),1,0))</f>
        <v>#REF!</v>
      </c>
      <c r="W4156" s="5" t="e">
        <f>CONCATENATE(dados[[#This Row],[fator1]],dados[[#This Row],[fator5]],dados[[#This Row],[fator6]])</f>
        <v>#REF!</v>
      </c>
    </row>
    <row r="4157" spans="1:23">
      <c r="A4157" t="s">
        <v>16</v>
      </c>
      <c r="B4157">
        <v>589384</v>
      </c>
      <c r="C4157">
        <v>13</v>
      </c>
      <c r="D4157">
        <v>35</v>
      </c>
      <c r="E4157">
        <v>120</v>
      </c>
      <c r="F4157">
        <v>10</v>
      </c>
      <c r="G4157">
        <v>0</v>
      </c>
      <c r="H4157">
        <v>25</v>
      </c>
      <c r="I4157">
        <v>955</v>
      </c>
      <c r="J4157">
        <v>0</v>
      </c>
      <c r="K4157">
        <v>4.1955</v>
      </c>
      <c r="L4157">
        <v>10.0785</v>
      </c>
      <c r="M4157">
        <v>102.5055</v>
      </c>
      <c r="N4157">
        <v>17.420000000000002</v>
      </c>
      <c r="O4157">
        <v>1694</v>
      </c>
      <c r="P4157">
        <v>901</v>
      </c>
      <c r="Q4157" s="5" t="e">
        <f>IF(AND(#REF!&gt;=table!$C$6,#REF!&lt;= table!$D$6),-1,IF(AND(#REF!&gt;=table!$E$6,#REF!&lt;=table!$F$6),1,0))</f>
        <v>#REF!</v>
      </c>
      <c r="R4157" s="5" t="e">
        <f>IF(AND(#REF!&gt;=table!$C$7,#REF!&lt;= table!$D$7),-1,IF(AND(#REF!&gt;=table!$E$7,#REF!&lt;=table!$F$7),1,0))</f>
        <v>#REF!</v>
      </c>
      <c r="S4157" s="5" t="e">
        <f>IF(AND(#REF!&gt;=table!$C$8,#REF!&lt;= table!$D$8),-1,IF(AND(#REF!&gt;=table!$E$8,#REF!&lt;=table!$F$8),1,0))</f>
        <v>#REF!</v>
      </c>
      <c r="T4157" s="5"/>
      <c r="U4157" s="5" t="e">
        <f>IF(AND(#REF!&gt;=table!$C$10,#REF!&lt;= table!$D$10),-1,IF(AND(#REF!&gt;=table!$E$10,#REF!&lt;=table!$F$10),1,0))</f>
        <v>#REF!</v>
      </c>
      <c r="V4157" s="5" t="e">
        <f>IF(AND(#REF!&gt;=table!$C$11,#REF!&lt;= table!$D$11),-1,IF(AND(#REF!&gt;=table!$E$11,#REF!&lt;=table!$F$11),1,0))</f>
        <v>#REF!</v>
      </c>
      <c r="W4157" s="5" t="e">
        <f>CONCATENATE(dados[[#This Row],[fator1]],dados[[#This Row],[fator5]],dados[[#This Row],[fator6]])</f>
        <v>#REF!</v>
      </c>
    </row>
    <row r="4158" spans="1:23">
      <c r="A4158" t="s">
        <v>16</v>
      </c>
      <c r="B4158">
        <v>589386</v>
      </c>
      <c r="C4158">
        <v>0.1</v>
      </c>
      <c r="D4158">
        <v>40</v>
      </c>
      <c r="E4158">
        <v>10</v>
      </c>
      <c r="F4158">
        <v>8</v>
      </c>
      <c r="G4158">
        <v>0</v>
      </c>
      <c r="H4158">
        <v>10</v>
      </c>
      <c r="I4158">
        <v>1007</v>
      </c>
      <c r="J4158">
        <v>0</v>
      </c>
      <c r="K4158">
        <v>4.8615000000000004</v>
      </c>
      <c r="L4158">
        <v>7.0200000000000005</v>
      </c>
      <c r="M4158">
        <v>6.8630000000000004</v>
      </c>
      <c r="N4158">
        <v>11.395000000000001</v>
      </c>
      <c r="O4158">
        <v>1690</v>
      </c>
      <c r="P4158">
        <v>770</v>
      </c>
      <c r="Q4158" s="5" t="e">
        <f>IF(AND(#REF!&gt;=table!$C$6,#REF!&lt;= table!$D$6),-1,IF(AND(#REF!&gt;=table!$E$6,#REF!&lt;=table!$F$6),1,0))</f>
        <v>#REF!</v>
      </c>
      <c r="R4158" s="5" t="e">
        <f>IF(AND(#REF!&gt;=table!$C$7,#REF!&lt;= table!$D$7),-1,IF(AND(#REF!&gt;=table!$E$7,#REF!&lt;=table!$F$7),1,0))</f>
        <v>#REF!</v>
      </c>
      <c r="S4158" s="5" t="e">
        <f>IF(AND(#REF!&gt;=table!$C$8,#REF!&lt;= table!$D$8),-1,IF(AND(#REF!&gt;=table!$E$8,#REF!&lt;=table!$F$8),1,0))</f>
        <v>#REF!</v>
      </c>
      <c r="T4158" s="5"/>
      <c r="U4158" s="5" t="e">
        <f>IF(AND(#REF!&gt;=table!$C$10,#REF!&lt;= table!$D$10),-1,IF(AND(#REF!&gt;=table!$E$10,#REF!&lt;=table!$F$10),1,0))</f>
        <v>#REF!</v>
      </c>
      <c r="V4158" s="5" t="e">
        <f>IF(AND(#REF!&gt;=table!$C$11,#REF!&lt;= table!$D$11),-1,IF(AND(#REF!&gt;=table!$E$11,#REF!&lt;=table!$F$11),1,0))</f>
        <v>#REF!</v>
      </c>
      <c r="W4158" s="5" t="e">
        <f>CONCATENATE(dados[[#This Row],[fator1]],dados[[#This Row],[fator5]],dados[[#This Row],[fator6]])</f>
        <v>#REF!</v>
      </c>
    </row>
    <row r="4159" spans="1:23">
      <c r="A4159" t="s">
        <v>16</v>
      </c>
      <c r="B4159">
        <v>589388</v>
      </c>
      <c r="C4159">
        <v>0.15</v>
      </c>
      <c r="D4159">
        <v>40</v>
      </c>
      <c r="E4159">
        <v>10</v>
      </c>
      <c r="F4159">
        <v>15</v>
      </c>
      <c r="G4159">
        <v>0</v>
      </c>
      <c r="H4159">
        <v>15</v>
      </c>
      <c r="I4159">
        <v>1768</v>
      </c>
      <c r="J4159">
        <v>0</v>
      </c>
      <c r="K4159">
        <v>9.2799999999999994</v>
      </c>
      <c r="L4159">
        <v>9.6355000000000004</v>
      </c>
      <c r="M4159">
        <v>8.3450000000000006</v>
      </c>
      <c r="N4159">
        <v>9.745000000000001</v>
      </c>
      <c r="O4159">
        <v>1685</v>
      </c>
      <c r="P4159">
        <v>407</v>
      </c>
      <c r="Q4159" s="5" t="e">
        <f>IF(AND(#REF!&gt;=table!$C$6,#REF!&lt;= table!$D$6),-1,IF(AND(#REF!&gt;=table!$E$6,#REF!&lt;=table!$F$6),1,0))</f>
        <v>#REF!</v>
      </c>
      <c r="R4159" s="5" t="e">
        <f>IF(AND(#REF!&gt;=table!$C$7,#REF!&lt;= table!$D$7),-1,IF(AND(#REF!&gt;=table!$E$7,#REF!&lt;=table!$F$7),1,0))</f>
        <v>#REF!</v>
      </c>
      <c r="S4159" s="5" t="e">
        <f>IF(AND(#REF!&gt;=table!$C$8,#REF!&lt;= table!$D$8),-1,IF(AND(#REF!&gt;=table!$E$8,#REF!&lt;=table!$F$8),1,0))</f>
        <v>#REF!</v>
      </c>
      <c r="T4159" s="5"/>
      <c r="U4159" s="5" t="e">
        <f>IF(AND(#REF!&gt;=table!$C$10,#REF!&lt;= table!$D$10),-1,IF(AND(#REF!&gt;=table!$E$10,#REF!&lt;=table!$F$10),1,0))</f>
        <v>#REF!</v>
      </c>
      <c r="V4159" s="5" t="e">
        <f>IF(AND(#REF!&gt;=table!$C$11,#REF!&lt;= table!$D$11),-1,IF(AND(#REF!&gt;=table!$E$11,#REF!&lt;=table!$F$11),1,0))</f>
        <v>#REF!</v>
      </c>
      <c r="W4159" s="5" t="e">
        <f>CONCATENATE(dados[[#This Row],[fator1]],dados[[#This Row],[fator5]],dados[[#This Row],[fator6]])</f>
        <v>#REF!</v>
      </c>
    </row>
    <row r="4160" spans="1:23">
      <c r="A4160" t="s">
        <v>17</v>
      </c>
      <c r="B4160">
        <v>589391</v>
      </c>
      <c r="C4160">
        <v>20</v>
      </c>
      <c r="D4160">
        <v>33</v>
      </c>
      <c r="E4160">
        <v>40</v>
      </c>
      <c r="F4160">
        <v>5</v>
      </c>
      <c r="G4160">
        <v>20</v>
      </c>
      <c r="H4160">
        <v>25</v>
      </c>
      <c r="I4160">
        <v>435</v>
      </c>
      <c r="J4160">
        <v>0</v>
      </c>
      <c r="K4160">
        <v>7.2930000000000001</v>
      </c>
      <c r="L4160">
        <v>10.420500000000001</v>
      </c>
      <c r="M4160">
        <v>31.630500000000001</v>
      </c>
      <c r="N4160">
        <v>14.685</v>
      </c>
      <c r="O4160">
        <v>1667</v>
      </c>
      <c r="P4160">
        <v>479</v>
      </c>
      <c r="Q4160" s="5" t="e">
        <f>IF(AND(#REF!&gt;=table!$C$6,#REF!&lt;= table!$D$6),-1,IF(AND(#REF!&gt;=table!$E$6,#REF!&lt;=table!$F$6),1,0))</f>
        <v>#REF!</v>
      </c>
      <c r="R4160" s="5" t="e">
        <f>IF(AND(#REF!&gt;=table!$C$7,#REF!&lt;= table!$D$7),-1,IF(AND(#REF!&gt;=table!$E$7,#REF!&lt;=table!$F$7),1,0))</f>
        <v>#REF!</v>
      </c>
      <c r="S4160" s="5" t="e">
        <f>IF(AND(#REF!&gt;=table!$C$8,#REF!&lt;= table!$D$8),-1,IF(AND(#REF!&gt;=table!$E$8,#REF!&lt;=table!$F$8),1,0))</f>
        <v>#REF!</v>
      </c>
      <c r="T4160" s="5"/>
      <c r="U4160" s="5" t="e">
        <f>IF(AND(#REF!&gt;=table!$C$10,#REF!&lt;= table!$D$10),-1,IF(AND(#REF!&gt;=table!$E$10,#REF!&lt;=table!$F$10),1,0))</f>
        <v>#REF!</v>
      </c>
      <c r="V4160" s="5" t="e">
        <f>IF(AND(#REF!&gt;=table!$C$11,#REF!&lt;= table!$D$11),-1,IF(AND(#REF!&gt;=table!$E$11,#REF!&lt;=table!$F$11),1,0))</f>
        <v>#REF!</v>
      </c>
      <c r="W4160" s="5" t="e">
        <f>CONCATENATE(dados[[#This Row],[fator1]],dados[[#This Row],[fator5]],dados[[#This Row],[fator6]])</f>
        <v>#REF!</v>
      </c>
    </row>
    <row r="4161" spans="1:23">
      <c r="A4161" t="s">
        <v>16</v>
      </c>
      <c r="B4161">
        <v>589392</v>
      </c>
      <c r="C4161">
        <v>0.15</v>
      </c>
      <c r="D4161">
        <v>40</v>
      </c>
      <c r="E4161">
        <v>10</v>
      </c>
      <c r="F4161">
        <v>15</v>
      </c>
      <c r="G4161">
        <v>0</v>
      </c>
      <c r="H4161">
        <v>15</v>
      </c>
      <c r="I4161">
        <v>24</v>
      </c>
      <c r="J4161">
        <v>0</v>
      </c>
      <c r="K4161">
        <v>5.2787000000000006</v>
      </c>
      <c r="L4161">
        <v>7.2760000000000007</v>
      </c>
      <c r="M4161">
        <v>7.0310000000000006</v>
      </c>
      <c r="N4161">
        <v>8.0649999999999995</v>
      </c>
      <c r="O4161">
        <v>1646</v>
      </c>
      <c r="P4161">
        <v>888</v>
      </c>
      <c r="Q4161" s="5" t="e">
        <f>IF(AND(#REF!&gt;=table!$C$6,#REF!&lt;= table!$D$6),-1,IF(AND(#REF!&gt;=table!$E$6,#REF!&lt;=table!$F$6),1,0))</f>
        <v>#REF!</v>
      </c>
      <c r="R4161" s="5" t="e">
        <f>IF(AND(#REF!&gt;=table!$C$7,#REF!&lt;= table!$D$7),-1,IF(AND(#REF!&gt;=table!$E$7,#REF!&lt;=table!$F$7),1,0))</f>
        <v>#REF!</v>
      </c>
      <c r="S4161" s="5" t="e">
        <f>IF(AND(#REF!&gt;=table!$C$8,#REF!&lt;= table!$D$8),-1,IF(AND(#REF!&gt;=table!$E$8,#REF!&lt;=table!$F$8),1,0))</f>
        <v>#REF!</v>
      </c>
      <c r="T4161" s="5"/>
      <c r="U4161" s="5" t="e">
        <f>IF(AND(#REF!&gt;=table!$C$10,#REF!&lt;= table!$D$10),-1,IF(AND(#REF!&gt;=table!$E$10,#REF!&lt;=table!$F$10),1,0))</f>
        <v>#REF!</v>
      </c>
      <c r="V4161" s="5" t="e">
        <f>IF(AND(#REF!&gt;=table!$C$11,#REF!&lt;= table!$D$11),-1,IF(AND(#REF!&gt;=table!$E$11,#REF!&lt;=table!$F$11),1,0))</f>
        <v>#REF!</v>
      </c>
      <c r="W4161" s="5" t="e">
        <f>CONCATENATE(dados[[#This Row],[fator1]],dados[[#This Row],[fator5]],dados[[#This Row],[fator6]])</f>
        <v>#REF!</v>
      </c>
    </row>
    <row r="4162" spans="1:23">
      <c r="A4162" t="s">
        <v>16</v>
      </c>
      <c r="B4162">
        <v>589393</v>
      </c>
      <c r="C4162">
        <v>0.15</v>
      </c>
      <c r="D4162">
        <v>40</v>
      </c>
      <c r="E4162">
        <v>10</v>
      </c>
      <c r="F4162">
        <v>15</v>
      </c>
      <c r="G4162">
        <v>0</v>
      </c>
      <c r="H4162">
        <v>15</v>
      </c>
      <c r="I4162">
        <v>712</v>
      </c>
      <c r="J4162">
        <v>0</v>
      </c>
      <c r="K4162">
        <v>7.8290000000000006</v>
      </c>
      <c r="L4162">
        <v>6.94</v>
      </c>
      <c r="M4162">
        <v>6.2170000000000005</v>
      </c>
      <c r="N4162">
        <v>7.335</v>
      </c>
      <c r="O4162">
        <v>1685</v>
      </c>
      <c r="P4162">
        <v>609</v>
      </c>
      <c r="Q4162" s="5" t="e">
        <f>IF(AND(#REF!&gt;=table!$C$6,#REF!&lt;= table!$D$6),-1,IF(AND(#REF!&gt;=table!$E$6,#REF!&lt;=table!$F$6),1,0))</f>
        <v>#REF!</v>
      </c>
      <c r="R4162" s="5" t="e">
        <f>IF(AND(#REF!&gt;=table!$C$7,#REF!&lt;= table!$D$7),-1,IF(AND(#REF!&gt;=table!$E$7,#REF!&lt;=table!$F$7),1,0))</f>
        <v>#REF!</v>
      </c>
      <c r="S4162" s="5" t="e">
        <f>IF(AND(#REF!&gt;=table!$C$8,#REF!&lt;= table!$D$8),-1,IF(AND(#REF!&gt;=table!$E$8,#REF!&lt;=table!$F$8),1,0))</f>
        <v>#REF!</v>
      </c>
      <c r="T4162" s="5"/>
      <c r="U4162" s="5" t="e">
        <f>IF(AND(#REF!&gt;=table!$C$10,#REF!&lt;= table!$D$10),-1,IF(AND(#REF!&gt;=table!$E$10,#REF!&lt;=table!$F$10),1,0))</f>
        <v>#REF!</v>
      </c>
      <c r="V4162" s="5" t="e">
        <f>IF(AND(#REF!&gt;=table!$C$11,#REF!&lt;= table!$D$11),-1,IF(AND(#REF!&gt;=table!$E$11,#REF!&lt;=table!$F$11),1,0))</f>
        <v>#REF!</v>
      </c>
      <c r="W4162" s="5" t="e">
        <f>CONCATENATE(dados[[#This Row],[fator1]],dados[[#This Row],[fator5]],dados[[#This Row],[fator6]])</f>
        <v>#REF!</v>
      </c>
    </row>
    <row r="4163" spans="1:23">
      <c r="A4163" t="s">
        <v>17</v>
      </c>
      <c r="B4163">
        <v>589395</v>
      </c>
      <c r="C4163">
        <v>20</v>
      </c>
      <c r="D4163">
        <v>33</v>
      </c>
      <c r="E4163">
        <v>66</v>
      </c>
      <c r="F4163">
        <v>4</v>
      </c>
      <c r="G4163">
        <v>20</v>
      </c>
      <c r="H4163">
        <v>25</v>
      </c>
      <c r="I4163">
        <v>857</v>
      </c>
      <c r="J4163">
        <v>0</v>
      </c>
      <c r="K4163">
        <v>7.2840000000000007</v>
      </c>
      <c r="L4163">
        <v>11.469000000000001</v>
      </c>
      <c r="M4163">
        <v>62.712000000000003</v>
      </c>
      <c r="N4163">
        <v>17.725000000000001</v>
      </c>
      <c r="O4163">
        <v>1684</v>
      </c>
      <c r="P4163">
        <v>0</v>
      </c>
      <c r="Q4163" s="5" t="e">
        <f>IF(AND(#REF!&gt;=table!$C$6,#REF!&lt;= table!$D$6),-1,IF(AND(#REF!&gt;=table!$E$6,#REF!&lt;=table!$F$6),1,0))</f>
        <v>#REF!</v>
      </c>
      <c r="R4163" s="5" t="e">
        <f>IF(AND(#REF!&gt;=table!$C$7,#REF!&lt;= table!$D$7),-1,IF(AND(#REF!&gt;=table!$E$7,#REF!&lt;=table!$F$7),1,0))</f>
        <v>#REF!</v>
      </c>
      <c r="S4163" s="5" t="e">
        <f>IF(AND(#REF!&gt;=table!$C$8,#REF!&lt;= table!$D$8),-1,IF(AND(#REF!&gt;=table!$E$8,#REF!&lt;=table!$F$8),1,0))</f>
        <v>#REF!</v>
      </c>
      <c r="T4163" s="5"/>
      <c r="U4163" s="5" t="e">
        <f>IF(AND(#REF!&gt;=table!$C$10,#REF!&lt;= table!$D$10),-1,IF(AND(#REF!&gt;=table!$E$10,#REF!&lt;=table!$F$10),1,0))</f>
        <v>#REF!</v>
      </c>
      <c r="V4163" s="5" t="e">
        <f>IF(AND(#REF!&gt;=table!$C$11,#REF!&lt;= table!$D$11),-1,IF(AND(#REF!&gt;=table!$E$11,#REF!&lt;=table!$F$11),1,0))</f>
        <v>#REF!</v>
      </c>
      <c r="W4163" s="5" t="e">
        <f>CONCATENATE(dados[[#This Row],[fator1]],dados[[#This Row],[fator5]],dados[[#This Row],[fator6]])</f>
        <v>#REF!</v>
      </c>
    </row>
    <row r="4164" spans="1:23">
      <c r="A4164" t="s">
        <v>17</v>
      </c>
      <c r="B4164">
        <v>589396</v>
      </c>
      <c r="C4164">
        <v>20</v>
      </c>
      <c r="D4164">
        <v>33</v>
      </c>
      <c r="E4164">
        <v>66</v>
      </c>
      <c r="F4164">
        <v>4</v>
      </c>
      <c r="G4164">
        <v>20</v>
      </c>
      <c r="H4164">
        <v>25</v>
      </c>
      <c r="I4164">
        <v>284</v>
      </c>
      <c r="J4164">
        <v>0</v>
      </c>
      <c r="K4164">
        <v>8.1310000000000002</v>
      </c>
      <c r="L4164">
        <v>11.464</v>
      </c>
      <c r="M4164">
        <v>52.643500000000003</v>
      </c>
      <c r="N4164">
        <v>16.88</v>
      </c>
      <c r="O4164">
        <v>1693</v>
      </c>
      <c r="P4164">
        <v>0</v>
      </c>
      <c r="Q4164" s="5" t="e">
        <f>IF(AND(#REF!&gt;=table!$C$6,#REF!&lt;= table!$D$6),-1,IF(AND(#REF!&gt;=table!$E$6,#REF!&lt;=table!$F$6),1,0))</f>
        <v>#REF!</v>
      </c>
      <c r="R4164" s="5" t="e">
        <f>IF(AND(#REF!&gt;=table!$C$7,#REF!&lt;= table!$D$7),-1,IF(AND(#REF!&gt;=table!$E$7,#REF!&lt;=table!$F$7),1,0))</f>
        <v>#REF!</v>
      </c>
      <c r="S4164" s="5" t="e">
        <f>IF(AND(#REF!&gt;=table!$C$8,#REF!&lt;= table!$D$8),-1,IF(AND(#REF!&gt;=table!$E$8,#REF!&lt;=table!$F$8),1,0))</f>
        <v>#REF!</v>
      </c>
      <c r="T4164" s="5"/>
      <c r="U4164" s="5" t="e">
        <f>IF(AND(#REF!&gt;=table!$C$10,#REF!&lt;= table!$D$10),-1,IF(AND(#REF!&gt;=table!$E$10,#REF!&lt;=table!$F$10),1,0))</f>
        <v>#REF!</v>
      </c>
      <c r="V4164" s="5" t="e">
        <f>IF(AND(#REF!&gt;=table!$C$11,#REF!&lt;= table!$D$11),-1,IF(AND(#REF!&gt;=table!$E$11,#REF!&lt;=table!$F$11),1,0))</f>
        <v>#REF!</v>
      </c>
      <c r="W4164" s="5" t="e">
        <f>CONCATENATE(dados[[#This Row],[fator1]],dados[[#This Row],[fator5]],dados[[#This Row],[fator6]])</f>
        <v>#REF!</v>
      </c>
    </row>
    <row r="4165" spans="1:23">
      <c r="A4165" t="s">
        <v>17</v>
      </c>
      <c r="B4165">
        <v>589397</v>
      </c>
      <c r="C4165">
        <v>20</v>
      </c>
      <c r="D4165">
        <v>33</v>
      </c>
      <c r="E4165">
        <v>66</v>
      </c>
      <c r="F4165">
        <v>4</v>
      </c>
      <c r="G4165">
        <v>20</v>
      </c>
      <c r="H4165">
        <v>25</v>
      </c>
      <c r="I4165">
        <v>0</v>
      </c>
      <c r="J4165">
        <v>0</v>
      </c>
      <c r="K4165">
        <v>17.356999999999999</v>
      </c>
      <c r="L4165">
        <v>12.6975</v>
      </c>
      <c r="M4165">
        <v>41.915500000000002</v>
      </c>
      <c r="N4165">
        <v>13.535</v>
      </c>
      <c r="O4165">
        <v>1652</v>
      </c>
      <c r="P4165">
        <v>212</v>
      </c>
      <c r="Q4165" s="5" t="e">
        <f>IF(AND(#REF!&gt;=table!$C$6,#REF!&lt;= table!$D$6),-1,IF(AND(#REF!&gt;=table!$E$6,#REF!&lt;=table!$F$6),1,0))</f>
        <v>#REF!</v>
      </c>
      <c r="R4165" s="5" t="e">
        <f>IF(AND(#REF!&gt;=table!$C$7,#REF!&lt;= table!$D$7),-1,IF(AND(#REF!&gt;=table!$E$7,#REF!&lt;=table!$F$7),1,0))</f>
        <v>#REF!</v>
      </c>
      <c r="S4165" s="5" t="e">
        <f>IF(AND(#REF!&gt;=table!$C$8,#REF!&lt;= table!$D$8),-1,IF(AND(#REF!&gt;=table!$E$8,#REF!&lt;=table!$F$8),1,0))</f>
        <v>#REF!</v>
      </c>
      <c r="T4165" s="5"/>
      <c r="U4165" s="5" t="e">
        <f>IF(AND(#REF!&gt;=table!$C$10,#REF!&lt;= table!$D$10),-1,IF(AND(#REF!&gt;=table!$E$10,#REF!&lt;=table!$F$10),1,0))</f>
        <v>#REF!</v>
      </c>
      <c r="V4165" s="5" t="e">
        <f>IF(AND(#REF!&gt;=table!$C$11,#REF!&lt;= table!$D$11),-1,IF(AND(#REF!&gt;=table!$E$11,#REF!&lt;=table!$F$11),1,0))</f>
        <v>#REF!</v>
      </c>
      <c r="W4165" s="5" t="e">
        <f>CONCATENATE(dados[[#This Row],[fator1]],dados[[#This Row],[fator5]],dados[[#This Row],[fator6]])</f>
        <v>#REF!</v>
      </c>
    </row>
    <row r="4166" spans="1:23">
      <c r="A4166" t="s">
        <v>16</v>
      </c>
      <c r="B4166">
        <v>589399</v>
      </c>
      <c r="C4166">
        <v>4</v>
      </c>
      <c r="D4166">
        <v>40</v>
      </c>
      <c r="E4166">
        <v>21</v>
      </c>
      <c r="F4166">
        <v>10</v>
      </c>
      <c r="G4166">
        <v>0</v>
      </c>
      <c r="H4166">
        <v>25</v>
      </c>
      <c r="I4166">
        <v>490</v>
      </c>
      <c r="J4166">
        <v>0</v>
      </c>
      <c r="K4166">
        <v>6.359</v>
      </c>
      <c r="L4166">
        <v>8.1325000000000003</v>
      </c>
      <c r="M4166">
        <v>7.2709999999999999</v>
      </c>
      <c r="N4166">
        <v>9.6050000000000004</v>
      </c>
      <c r="O4166">
        <v>1658</v>
      </c>
      <c r="P4166">
        <v>0</v>
      </c>
      <c r="Q4166" s="5" t="e">
        <f>IF(AND(#REF!&gt;=table!$C$6,#REF!&lt;= table!$D$6),-1,IF(AND(#REF!&gt;=table!$E$6,#REF!&lt;=table!$F$6),1,0))</f>
        <v>#REF!</v>
      </c>
      <c r="R4166" s="5" t="e">
        <f>IF(AND(#REF!&gt;=table!$C$7,#REF!&lt;= table!$D$7),-1,IF(AND(#REF!&gt;=table!$E$7,#REF!&lt;=table!$F$7),1,0))</f>
        <v>#REF!</v>
      </c>
      <c r="S4166" s="5" t="e">
        <f>IF(AND(#REF!&gt;=table!$C$8,#REF!&lt;= table!$D$8),-1,IF(AND(#REF!&gt;=table!$E$8,#REF!&lt;=table!$F$8),1,0))</f>
        <v>#REF!</v>
      </c>
      <c r="T4166" s="5"/>
      <c r="U4166" s="5" t="e">
        <f>IF(AND(#REF!&gt;=table!$C$10,#REF!&lt;= table!$D$10),-1,IF(AND(#REF!&gt;=table!$E$10,#REF!&lt;=table!$F$10),1,0))</f>
        <v>#REF!</v>
      </c>
      <c r="V4166" s="5" t="e">
        <f>IF(AND(#REF!&gt;=table!$C$11,#REF!&lt;= table!$D$11),-1,IF(AND(#REF!&gt;=table!$E$11,#REF!&lt;=table!$F$11),1,0))</f>
        <v>#REF!</v>
      </c>
      <c r="W4166" s="5" t="e">
        <f>CONCATENATE(dados[[#This Row],[fator1]],dados[[#This Row],[fator5]],dados[[#This Row],[fator6]])</f>
        <v>#REF!</v>
      </c>
    </row>
    <row r="4167" spans="1:23">
      <c r="A4167" t="s">
        <v>16</v>
      </c>
      <c r="B4167">
        <v>589400</v>
      </c>
      <c r="C4167">
        <v>4</v>
      </c>
      <c r="D4167">
        <v>40</v>
      </c>
      <c r="E4167">
        <v>21</v>
      </c>
      <c r="F4167">
        <v>10</v>
      </c>
      <c r="G4167">
        <v>0</v>
      </c>
      <c r="H4167">
        <v>25</v>
      </c>
      <c r="I4167">
        <v>190</v>
      </c>
      <c r="J4167">
        <v>0</v>
      </c>
      <c r="K4167">
        <v>4.6470000000000002</v>
      </c>
      <c r="L4167">
        <v>8.5129999999999999</v>
      </c>
      <c r="M4167">
        <v>6.5630000000000006</v>
      </c>
      <c r="N4167">
        <v>9.495000000000001</v>
      </c>
      <c r="O4167">
        <v>1659</v>
      </c>
      <c r="P4167">
        <v>980</v>
      </c>
      <c r="Q4167" s="5" t="e">
        <f>IF(AND(#REF!&gt;=table!$C$6,#REF!&lt;= table!$D$6),-1,IF(AND(#REF!&gt;=table!$E$6,#REF!&lt;=table!$F$6),1,0))</f>
        <v>#REF!</v>
      </c>
      <c r="R4167" s="5" t="e">
        <f>IF(AND(#REF!&gt;=table!$C$7,#REF!&lt;= table!$D$7),-1,IF(AND(#REF!&gt;=table!$E$7,#REF!&lt;=table!$F$7),1,0))</f>
        <v>#REF!</v>
      </c>
      <c r="S4167" s="5" t="e">
        <f>IF(AND(#REF!&gt;=table!$C$8,#REF!&lt;= table!$D$8),-1,IF(AND(#REF!&gt;=table!$E$8,#REF!&lt;=table!$F$8),1,0))</f>
        <v>#REF!</v>
      </c>
      <c r="T4167" s="5"/>
      <c r="U4167" s="5" t="e">
        <f>IF(AND(#REF!&gt;=table!$C$10,#REF!&lt;= table!$D$10),-1,IF(AND(#REF!&gt;=table!$E$10,#REF!&lt;=table!$F$10),1,0))</f>
        <v>#REF!</v>
      </c>
      <c r="V4167" s="5" t="e">
        <f>IF(AND(#REF!&gt;=table!$C$11,#REF!&lt;= table!$D$11),-1,IF(AND(#REF!&gt;=table!$E$11,#REF!&lt;=table!$F$11),1,0))</f>
        <v>#REF!</v>
      </c>
      <c r="W4167" s="5" t="e">
        <f>CONCATENATE(dados[[#This Row],[fator1]],dados[[#This Row],[fator5]],dados[[#This Row],[fator6]])</f>
        <v>#REF!</v>
      </c>
    </row>
    <row r="4168" spans="1:23">
      <c r="A4168" t="s">
        <v>16</v>
      </c>
      <c r="B4168">
        <v>589402</v>
      </c>
      <c r="C4168">
        <v>6</v>
      </c>
      <c r="D4168">
        <v>25</v>
      </c>
      <c r="E4168">
        <v>120</v>
      </c>
      <c r="F4168">
        <v>4</v>
      </c>
      <c r="G4168">
        <v>0</v>
      </c>
      <c r="H4168">
        <v>55</v>
      </c>
      <c r="I4168">
        <v>535</v>
      </c>
      <c r="J4168">
        <v>0</v>
      </c>
      <c r="K4168">
        <v>3.4380000000000002</v>
      </c>
      <c r="L4168">
        <v>5.1015000000000006</v>
      </c>
      <c r="M4168">
        <v>82.591500000000011</v>
      </c>
      <c r="N4168">
        <v>11.370000000000001</v>
      </c>
      <c r="O4168">
        <v>1672</v>
      </c>
      <c r="P4168">
        <v>1344</v>
      </c>
      <c r="Q4168" s="5" t="e">
        <f>IF(AND(#REF!&gt;=table!$C$6,#REF!&lt;= table!$D$6),-1,IF(AND(#REF!&gt;=table!$E$6,#REF!&lt;=table!$F$6),1,0))</f>
        <v>#REF!</v>
      </c>
      <c r="R4168" s="5" t="e">
        <f>IF(AND(#REF!&gt;=table!$C$7,#REF!&lt;= table!$D$7),-1,IF(AND(#REF!&gt;=table!$E$7,#REF!&lt;=table!$F$7),1,0))</f>
        <v>#REF!</v>
      </c>
      <c r="S4168" s="5" t="e">
        <f>IF(AND(#REF!&gt;=table!$C$8,#REF!&lt;= table!$D$8),-1,IF(AND(#REF!&gt;=table!$E$8,#REF!&lt;=table!$F$8),1,0))</f>
        <v>#REF!</v>
      </c>
      <c r="T4168" s="5"/>
      <c r="U4168" s="5" t="e">
        <f>IF(AND(#REF!&gt;=table!$C$10,#REF!&lt;= table!$D$10),-1,IF(AND(#REF!&gt;=table!$E$10,#REF!&lt;=table!$F$10),1,0))</f>
        <v>#REF!</v>
      </c>
      <c r="V4168" s="5" t="e">
        <f>IF(AND(#REF!&gt;=table!$C$11,#REF!&lt;= table!$D$11),-1,IF(AND(#REF!&gt;=table!$E$11,#REF!&lt;=table!$F$11),1,0))</f>
        <v>#REF!</v>
      </c>
      <c r="W4168" s="5" t="e">
        <f>CONCATENATE(dados[[#This Row],[fator1]],dados[[#This Row],[fator5]],dados[[#This Row],[fator6]])</f>
        <v>#REF!</v>
      </c>
    </row>
    <row r="4169" spans="1:23">
      <c r="A4169" t="s">
        <v>16</v>
      </c>
      <c r="B4169">
        <v>589405</v>
      </c>
      <c r="C4169">
        <v>6</v>
      </c>
      <c r="D4169">
        <v>25</v>
      </c>
      <c r="E4169">
        <v>120</v>
      </c>
      <c r="F4169">
        <v>4</v>
      </c>
      <c r="G4169">
        <v>0</v>
      </c>
      <c r="H4169">
        <v>55</v>
      </c>
      <c r="I4169">
        <v>858</v>
      </c>
      <c r="J4169">
        <v>460</v>
      </c>
      <c r="K4169">
        <v>5.5340000000000007</v>
      </c>
      <c r="L4169">
        <v>7.8725000000000005</v>
      </c>
      <c r="M4169">
        <v>96.600000000000009</v>
      </c>
      <c r="N4169">
        <v>36.914999999999999</v>
      </c>
      <c r="O4169">
        <v>1681</v>
      </c>
      <c r="P4169">
        <v>777</v>
      </c>
      <c r="Q4169" s="5" t="e">
        <f>IF(AND(#REF!&gt;=table!$C$6,#REF!&lt;= table!$D$6),-1,IF(AND(#REF!&gt;=table!$E$6,#REF!&lt;=table!$F$6),1,0))</f>
        <v>#REF!</v>
      </c>
      <c r="R4169" s="5" t="e">
        <f>IF(AND(#REF!&gt;=table!$C$7,#REF!&lt;= table!$D$7),-1,IF(AND(#REF!&gt;=table!$E$7,#REF!&lt;=table!$F$7),1,0))</f>
        <v>#REF!</v>
      </c>
      <c r="S4169" s="5" t="e">
        <f>IF(AND(#REF!&gt;=table!$C$8,#REF!&lt;= table!$D$8),-1,IF(AND(#REF!&gt;=table!$E$8,#REF!&lt;=table!$F$8),1,0))</f>
        <v>#REF!</v>
      </c>
      <c r="T4169" s="5"/>
      <c r="U4169" s="5" t="e">
        <f>IF(AND(#REF!&gt;=table!$C$10,#REF!&lt;= table!$D$10),-1,IF(AND(#REF!&gt;=table!$E$10,#REF!&lt;=table!$F$10),1,0))</f>
        <v>#REF!</v>
      </c>
      <c r="V4169" s="5" t="e">
        <f>IF(AND(#REF!&gt;=table!$C$11,#REF!&lt;= table!$D$11),-1,IF(AND(#REF!&gt;=table!$E$11,#REF!&lt;=table!$F$11),1,0))</f>
        <v>#REF!</v>
      </c>
      <c r="W4169" s="5" t="e">
        <f>CONCATENATE(dados[[#This Row],[fator1]],dados[[#This Row],[fator5]],dados[[#This Row],[fator6]])</f>
        <v>#REF!</v>
      </c>
    </row>
    <row r="4170" spans="1:23">
      <c r="A4170" t="s">
        <v>16</v>
      </c>
      <c r="B4170">
        <v>589406</v>
      </c>
      <c r="C4170">
        <v>12</v>
      </c>
      <c r="D4170">
        <v>35</v>
      </c>
      <c r="E4170">
        <v>86</v>
      </c>
      <c r="F4170">
        <v>8</v>
      </c>
      <c r="G4170">
        <v>0</v>
      </c>
      <c r="H4170">
        <v>25</v>
      </c>
      <c r="I4170">
        <v>629</v>
      </c>
      <c r="J4170">
        <v>0</v>
      </c>
      <c r="K4170">
        <v>5.6580000000000004</v>
      </c>
      <c r="L4170">
        <v>8.6760000000000002</v>
      </c>
      <c r="M4170">
        <v>51.988</v>
      </c>
      <c r="N4170">
        <v>12.185</v>
      </c>
      <c r="O4170">
        <v>1674</v>
      </c>
      <c r="P4170">
        <v>0</v>
      </c>
      <c r="Q4170" s="5" t="e">
        <f>IF(AND(#REF!&gt;=table!$C$6,#REF!&lt;= table!$D$6),-1,IF(AND(#REF!&gt;=table!$E$6,#REF!&lt;=table!$F$6),1,0))</f>
        <v>#REF!</v>
      </c>
      <c r="R4170" s="5" t="e">
        <f>IF(AND(#REF!&gt;=table!$C$7,#REF!&lt;= table!$D$7),-1,IF(AND(#REF!&gt;=table!$E$7,#REF!&lt;=table!$F$7),1,0))</f>
        <v>#REF!</v>
      </c>
      <c r="S4170" s="5" t="e">
        <f>IF(AND(#REF!&gt;=table!$C$8,#REF!&lt;= table!$D$8),-1,IF(AND(#REF!&gt;=table!$E$8,#REF!&lt;=table!$F$8),1,0))</f>
        <v>#REF!</v>
      </c>
      <c r="T4170" s="5"/>
      <c r="U4170" s="5" t="e">
        <f>IF(AND(#REF!&gt;=table!$C$10,#REF!&lt;= table!$D$10),-1,IF(AND(#REF!&gt;=table!$E$10,#REF!&lt;=table!$F$10),1,0))</f>
        <v>#REF!</v>
      </c>
      <c r="V4170" s="5" t="e">
        <f>IF(AND(#REF!&gt;=table!$C$11,#REF!&lt;= table!$D$11),-1,IF(AND(#REF!&gt;=table!$E$11,#REF!&lt;=table!$F$11),1,0))</f>
        <v>#REF!</v>
      </c>
      <c r="W4170" s="5" t="e">
        <f>CONCATENATE(dados[[#This Row],[fator1]],dados[[#This Row],[fator5]],dados[[#This Row],[fator6]])</f>
        <v>#REF!</v>
      </c>
    </row>
    <row r="4171" spans="1:23">
      <c r="A4171" t="s">
        <v>16</v>
      </c>
      <c r="B4171">
        <v>589407</v>
      </c>
      <c r="C4171">
        <v>0.15</v>
      </c>
      <c r="D4171">
        <v>35</v>
      </c>
      <c r="E4171">
        <v>15</v>
      </c>
      <c r="F4171">
        <v>10</v>
      </c>
      <c r="G4171">
        <v>0</v>
      </c>
      <c r="H4171">
        <v>12</v>
      </c>
      <c r="I4171">
        <v>589</v>
      </c>
      <c r="J4171">
        <v>0</v>
      </c>
      <c r="K4171">
        <v>5.2309999999999999</v>
      </c>
      <c r="L4171">
        <v>6.6390000000000002</v>
      </c>
      <c r="M4171">
        <v>6.4525000000000006</v>
      </c>
      <c r="N4171">
        <v>8.2650000000000006</v>
      </c>
      <c r="O4171">
        <v>1692</v>
      </c>
      <c r="P4171">
        <v>0</v>
      </c>
      <c r="Q4171" s="5" t="e">
        <f>IF(AND(#REF!&gt;=table!$C$6,#REF!&lt;= table!$D$6),-1,IF(AND(#REF!&gt;=table!$E$6,#REF!&lt;=table!$F$6),1,0))</f>
        <v>#REF!</v>
      </c>
      <c r="R4171" s="5" t="e">
        <f>IF(AND(#REF!&gt;=table!$C$7,#REF!&lt;= table!$D$7),-1,IF(AND(#REF!&gt;=table!$E$7,#REF!&lt;=table!$F$7),1,0))</f>
        <v>#REF!</v>
      </c>
      <c r="S4171" s="5" t="e">
        <f>IF(AND(#REF!&gt;=table!$C$8,#REF!&lt;= table!$D$8),-1,IF(AND(#REF!&gt;=table!$E$8,#REF!&lt;=table!$F$8),1,0))</f>
        <v>#REF!</v>
      </c>
      <c r="T4171" s="5"/>
      <c r="U4171" s="5" t="e">
        <f>IF(AND(#REF!&gt;=table!$C$10,#REF!&lt;= table!$D$10),-1,IF(AND(#REF!&gt;=table!$E$10,#REF!&lt;=table!$F$10),1,0))</f>
        <v>#REF!</v>
      </c>
      <c r="V4171" s="5" t="e">
        <f>IF(AND(#REF!&gt;=table!$C$11,#REF!&lt;= table!$D$11),-1,IF(AND(#REF!&gt;=table!$E$11,#REF!&lt;=table!$F$11),1,0))</f>
        <v>#REF!</v>
      </c>
      <c r="W4171" s="5" t="e">
        <f>CONCATENATE(dados[[#This Row],[fator1]],dados[[#This Row],[fator5]],dados[[#This Row],[fator6]])</f>
        <v>#REF!</v>
      </c>
    </row>
    <row r="4172" spans="1:23">
      <c r="A4172" t="s">
        <v>16</v>
      </c>
      <c r="B4172">
        <v>589408</v>
      </c>
      <c r="C4172">
        <v>0.15</v>
      </c>
      <c r="D4172">
        <v>35</v>
      </c>
      <c r="E4172">
        <v>15</v>
      </c>
      <c r="F4172">
        <v>10</v>
      </c>
      <c r="G4172">
        <v>0</v>
      </c>
      <c r="H4172">
        <v>12</v>
      </c>
      <c r="I4172">
        <v>1039</v>
      </c>
      <c r="J4172">
        <v>0</v>
      </c>
      <c r="K4172">
        <v>4.0840000000000005</v>
      </c>
      <c r="L4172">
        <v>9.854000000000001</v>
      </c>
      <c r="M4172">
        <v>8.6925000000000008</v>
      </c>
      <c r="N4172">
        <v>13.105</v>
      </c>
      <c r="O4172">
        <v>1660</v>
      </c>
      <c r="P4172">
        <v>933</v>
      </c>
      <c r="Q4172" s="5" t="e">
        <f>IF(AND(#REF!&gt;=table!$C$6,#REF!&lt;= table!$D$6),-1,IF(AND(#REF!&gt;=table!$E$6,#REF!&lt;=table!$F$6),1,0))</f>
        <v>#REF!</v>
      </c>
      <c r="R4172" s="5" t="e">
        <f>IF(AND(#REF!&gt;=table!$C$7,#REF!&lt;= table!$D$7),-1,IF(AND(#REF!&gt;=table!$E$7,#REF!&lt;=table!$F$7),1,0))</f>
        <v>#REF!</v>
      </c>
      <c r="S4172" s="5" t="e">
        <f>IF(AND(#REF!&gt;=table!$C$8,#REF!&lt;= table!$D$8),-1,IF(AND(#REF!&gt;=table!$E$8,#REF!&lt;=table!$F$8),1,0))</f>
        <v>#REF!</v>
      </c>
      <c r="T4172" s="5"/>
      <c r="U4172" s="5" t="e">
        <f>IF(AND(#REF!&gt;=table!$C$10,#REF!&lt;= table!$D$10),-1,IF(AND(#REF!&gt;=table!$E$10,#REF!&lt;=table!$F$10),1,0))</f>
        <v>#REF!</v>
      </c>
      <c r="V4172" s="5" t="e">
        <f>IF(AND(#REF!&gt;=table!$C$11,#REF!&lt;= table!$D$11),-1,IF(AND(#REF!&gt;=table!$E$11,#REF!&lt;=table!$F$11),1,0))</f>
        <v>#REF!</v>
      </c>
      <c r="W4172" s="5" t="e">
        <f>CONCATENATE(dados[[#This Row],[fator1]],dados[[#This Row],[fator5]],dados[[#This Row],[fator6]])</f>
        <v>#REF!</v>
      </c>
    </row>
    <row r="4173" spans="1:23">
      <c r="A4173" t="s">
        <v>16</v>
      </c>
      <c r="B4173">
        <v>589409</v>
      </c>
      <c r="C4173">
        <v>0.15</v>
      </c>
      <c r="D4173">
        <v>35</v>
      </c>
      <c r="E4173">
        <v>15</v>
      </c>
      <c r="F4173">
        <v>10</v>
      </c>
      <c r="G4173">
        <v>0</v>
      </c>
      <c r="H4173">
        <v>12</v>
      </c>
      <c r="I4173">
        <v>101</v>
      </c>
      <c r="J4173">
        <v>0</v>
      </c>
      <c r="K4173">
        <v>5.8680000000000003</v>
      </c>
      <c r="L4173">
        <v>9.3740000000000006</v>
      </c>
      <c r="M4173">
        <v>9.0664999999999996</v>
      </c>
      <c r="N4173">
        <v>8.11</v>
      </c>
      <c r="O4173">
        <v>1667</v>
      </c>
      <c r="P4173">
        <v>613</v>
      </c>
      <c r="Q4173" s="5" t="e">
        <f>IF(AND(#REF!&gt;=table!$C$6,#REF!&lt;= table!$D$6),-1,IF(AND(#REF!&gt;=table!$E$6,#REF!&lt;=table!$F$6),1,0))</f>
        <v>#REF!</v>
      </c>
      <c r="R4173" s="5" t="e">
        <f>IF(AND(#REF!&gt;=table!$C$7,#REF!&lt;= table!$D$7),-1,IF(AND(#REF!&gt;=table!$E$7,#REF!&lt;=table!$F$7),1,0))</f>
        <v>#REF!</v>
      </c>
      <c r="S4173" s="5" t="e">
        <f>IF(AND(#REF!&gt;=table!$C$8,#REF!&lt;= table!$D$8),-1,IF(AND(#REF!&gt;=table!$E$8,#REF!&lt;=table!$F$8),1,0))</f>
        <v>#REF!</v>
      </c>
      <c r="T4173" s="5"/>
      <c r="U4173" s="5" t="e">
        <f>IF(AND(#REF!&gt;=table!$C$10,#REF!&lt;= table!$D$10),-1,IF(AND(#REF!&gt;=table!$E$10,#REF!&lt;=table!$F$10),1,0))</f>
        <v>#REF!</v>
      </c>
      <c r="V4173" s="5" t="e">
        <f>IF(AND(#REF!&gt;=table!$C$11,#REF!&lt;= table!$D$11),-1,IF(AND(#REF!&gt;=table!$E$11,#REF!&lt;=table!$F$11),1,0))</f>
        <v>#REF!</v>
      </c>
      <c r="W4173" s="5" t="e">
        <f>CONCATENATE(dados[[#This Row],[fator1]],dados[[#This Row],[fator5]],dados[[#This Row],[fator6]])</f>
        <v>#REF!</v>
      </c>
    </row>
    <row r="4174" spans="1:23">
      <c r="A4174" t="s">
        <v>16</v>
      </c>
      <c r="B4174">
        <v>589411</v>
      </c>
      <c r="C4174">
        <v>0.15</v>
      </c>
      <c r="D4174">
        <v>35</v>
      </c>
      <c r="E4174">
        <v>15</v>
      </c>
      <c r="F4174">
        <v>10</v>
      </c>
      <c r="G4174">
        <v>0</v>
      </c>
      <c r="H4174">
        <v>12</v>
      </c>
      <c r="I4174">
        <v>634</v>
      </c>
      <c r="J4174">
        <v>0</v>
      </c>
      <c r="K4174">
        <v>4.1989999999999998</v>
      </c>
      <c r="L4174">
        <v>10.194000000000001</v>
      </c>
      <c r="M4174">
        <v>9.370000000000001</v>
      </c>
      <c r="N4174">
        <v>14.44</v>
      </c>
      <c r="O4174">
        <v>1679</v>
      </c>
      <c r="P4174">
        <v>975</v>
      </c>
      <c r="Q4174" s="5" t="e">
        <f>IF(AND(#REF!&gt;=table!$C$6,#REF!&lt;= table!$D$6),-1,IF(AND(#REF!&gt;=table!$E$6,#REF!&lt;=table!$F$6),1,0))</f>
        <v>#REF!</v>
      </c>
      <c r="R4174" s="5" t="e">
        <f>IF(AND(#REF!&gt;=table!$C$7,#REF!&lt;= table!$D$7),-1,IF(AND(#REF!&gt;=table!$E$7,#REF!&lt;=table!$F$7),1,0))</f>
        <v>#REF!</v>
      </c>
      <c r="S4174" s="5" t="e">
        <f>IF(AND(#REF!&gt;=table!$C$8,#REF!&lt;= table!$D$8),-1,IF(AND(#REF!&gt;=table!$E$8,#REF!&lt;=table!$F$8),1,0))</f>
        <v>#REF!</v>
      </c>
      <c r="T4174" s="5"/>
      <c r="U4174" s="5" t="e">
        <f>IF(AND(#REF!&gt;=table!$C$10,#REF!&lt;= table!$D$10),-1,IF(AND(#REF!&gt;=table!$E$10,#REF!&lt;=table!$F$10),1,0))</f>
        <v>#REF!</v>
      </c>
      <c r="V4174" s="5" t="e">
        <f>IF(AND(#REF!&gt;=table!$C$11,#REF!&lt;= table!$D$11),-1,IF(AND(#REF!&gt;=table!$E$11,#REF!&lt;=table!$F$11),1,0))</f>
        <v>#REF!</v>
      </c>
      <c r="W4174" s="5" t="e">
        <f>CONCATENATE(dados[[#This Row],[fator1]],dados[[#This Row],[fator5]],dados[[#This Row],[fator6]])</f>
        <v>#REF!</v>
      </c>
    </row>
    <row r="4175" spans="1:23">
      <c r="A4175" t="s">
        <v>17</v>
      </c>
      <c r="B4175">
        <v>589417</v>
      </c>
      <c r="C4175">
        <v>18</v>
      </c>
      <c r="D4175">
        <v>23</v>
      </c>
      <c r="E4175">
        <v>145</v>
      </c>
      <c r="F4175">
        <v>9</v>
      </c>
      <c r="G4175">
        <v>30</v>
      </c>
      <c r="H4175">
        <v>25</v>
      </c>
      <c r="I4175">
        <v>665</v>
      </c>
      <c r="J4175">
        <v>0</v>
      </c>
      <c r="K4175">
        <v>6.4340000000000002</v>
      </c>
      <c r="L4175">
        <v>9.2640000000000011</v>
      </c>
      <c r="M4175">
        <v>125.96900000000001</v>
      </c>
      <c r="N4175">
        <v>16.39</v>
      </c>
      <c r="O4175">
        <v>1693</v>
      </c>
      <c r="P4175">
        <v>686</v>
      </c>
      <c r="Q4175" s="5" t="e">
        <f>IF(AND(#REF!&gt;=table!$C$6,#REF!&lt;= table!$D$6),-1,IF(AND(#REF!&gt;=table!$E$6,#REF!&lt;=table!$F$6),1,0))</f>
        <v>#REF!</v>
      </c>
      <c r="R4175" s="5" t="e">
        <f>IF(AND(#REF!&gt;=table!$C$7,#REF!&lt;= table!$D$7),-1,IF(AND(#REF!&gt;=table!$E$7,#REF!&lt;=table!$F$7),1,0))</f>
        <v>#REF!</v>
      </c>
      <c r="S4175" s="5" t="e">
        <f>IF(AND(#REF!&gt;=table!$C$8,#REF!&lt;= table!$D$8),-1,IF(AND(#REF!&gt;=table!$E$8,#REF!&lt;=table!$F$8),1,0))</f>
        <v>#REF!</v>
      </c>
      <c r="T4175" s="5"/>
      <c r="U4175" s="5" t="e">
        <f>IF(AND(#REF!&gt;=table!$C$10,#REF!&lt;= table!$D$10),-1,IF(AND(#REF!&gt;=table!$E$10,#REF!&lt;=table!$F$10),1,0))</f>
        <v>#REF!</v>
      </c>
      <c r="V4175" s="5" t="e">
        <f>IF(AND(#REF!&gt;=table!$C$11,#REF!&lt;= table!$D$11),-1,IF(AND(#REF!&gt;=table!$E$11,#REF!&lt;=table!$F$11),1,0))</f>
        <v>#REF!</v>
      </c>
      <c r="W4175" s="5" t="e">
        <f>CONCATENATE(dados[[#This Row],[fator1]],dados[[#This Row],[fator5]],dados[[#This Row],[fator6]])</f>
        <v>#REF!</v>
      </c>
    </row>
    <row r="4176" spans="1:23">
      <c r="A4176" t="s">
        <v>17</v>
      </c>
      <c r="B4176">
        <v>589418</v>
      </c>
      <c r="C4176">
        <v>18</v>
      </c>
      <c r="D4176">
        <v>23</v>
      </c>
      <c r="E4176">
        <v>145</v>
      </c>
      <c r="F4176">
        <v>9</v>
      </c>
      <c r="G4176">
        <v>30</v>
      </c>
      <c r="H4176">
        <v>25</v>
      </c>
      <c r="I4176">
        <v>876</v>
      </c>
      <c r="J4176">
        <v>0</v>
      </c>
      <c r="K4176">
        <v>3.8075000000000001</v>
      </c>
      <c r="L4176">
        <v>9.886000000000001</v>
      </c>
      <c r="M4176">
        <v>121.41200000000001</v>
      </c>
      <c r="N4176">
        <v>23.12</v>
      </c>
      <c r="O4176">
        <v>1694</v>
      </c>
      <c r="P4176">
        <v>1050</v>
      </c>
      <c r="Q4176" s="5" t="e">
        <f>IF(AND(#REF!&gt;=table!$C$6,#REF!&lt;= table!$D$6),-1,IF(AND(#REF!&gt;=table!$E$6,#REF!&lt;=table!$F$6),1,0))</f>
        <v>#REF!</v>
      </c>
      <c r="R4176" s="5" t="e">
        <f>IF(AND(#REF!&gt;=table!$C$7,#REF!&lt;= table!$D$7),-1,IF(AND(#REF!&gt;=table!$E$7,#REF!&lt;=table!$F$7),1,0))</f>
        <v>#REF!</v>
      </c>
      <c r="S4176" s="5" t="e">
        <f>IF(AND(#REF!&gt;=table!$C$8,#REF!&lt;= table!$D$8),-1,IF(AND(#REF!&gt;=table!$E$8,#REF!&lt;=table!$F$8),1,0))</f>
        <v>#REF!</v>
      </c>
      <c r="T4176" s="5"/>
      <c r="U4176" s="5" t="e">
        <f>IF(AND(#REF!&gt;=table!$C$10,#REF!&lt;= table!$D$10),-1,IF(AND(#REF!&gt;=table!$E$10,#REF!&lt;=table!$F$10),1,0))</f>
        <v>#REF!</v>
      </c>
      <c r="V4176" s="5" t="e">
        <f>IF(AND(#REF!&gt;=table!$C$11,#REF!&lt;= table!$D$11),-1,IF(AND(#REF!&gt;=table!$E$11,#REF!&lt;=table!$F$11),1,0))</f>
        <v>#REF!</v>
      </c>
      <c r="W4176" s="5" t="e">
        <f>CONCATENATE(dados[[#This Row],[fator1]],dados[[#This Row],[fator5]],dados[[#This Row],[fator6]])</f>
        <v>#REF!</v>
      </c>
    </row>
    <row r="4177" spans="1:23">
      <c r="A4177" t="s">
        <v>16</v>
      </c>
      <c r="B4177">
        <v>589426</v>
      </c>
      <c r="C4177">
        <v>0.15</v>
      </c>
      <c r="D4177">
        <v>35</v>
      </c>
      <c r="E4177">
        <v>15</v>
      </c>
      <c r="F4177">
        <v>10</v>
      </c>
      <c r="G4177">
        <v>0</v>
      </c>
      <c r="H4177">
        <v>12</v>
      </c>
      <c r="I4177">
        <v>557</v>
      </c>
      <c r="J4177">
        <v>0</v>
      </c>
      <c r="K4177">
        <v>3.9620000000000002</v>
      </c>
      <c r="L4177">
        <v>6.7715000000000005</v>
      </c>
      <c r="M4177">
        <v>7.4740000000000002</v>
      </c>
      <c r="N4177">
        <v>12.765000000000001</v>
      </c>
      <c r="O4177">
        <v>1671</v>
      </c>
      <c r="P4177">
        <v>1046</v>
      </c>
      <c r="Q4177" s="5" t="e">
        <f>IF(AND(#REF!&gt;=table!$C$6,#REF!&lt;= table!$D$6),-1,IF(AND(#REF!&gt;=table!$E$6,#REF!&lt;=table!$F$6),1,0))</f>
        <v>#REF!</v>
      </c>
      <c r="R4177" s="5" t="e">
        <f>IF(AND(#REF!&gt;=table!$C$7,#REF!&lt;= table!$D$7),-1,IF(AND(#REF!&gt;=table!$E$7,#REF!&lt;=table!$F$7),1,0))</f>
        <v>#REF!</v>
      </c>
      <c r="S4177" s="5" t="e">
        <f>IF(AND(#REF!&gt;=table!$C$8,#REF!&lt;= table!$D$8),-1,IF(AND(#REF!&gt;=table!$E$8,#REF!&lt;=table!$F$8),1,0))</f>
        <v>#REF!</v>
      </c>
      <c r="T4177" s="5"/>
      <c r="U4177" s="5" t="e">
        <f>IF(AND(#REF!&gt;=table!$C$10,#REF!&lt;= table!$D$10),-1,IF(AND(#REF!&gt;=table!$E$10,#REF!&lt;=table!$F$10),1,0))</f>
        <v>#REF!</v>
      </c>
      <c r="V4177" s="5" t="e">
        <f>IF(AND(#REF!&gt;=table!$C$11,#REF!&lt;= table!$D$11),-1,IF(AND(#REF!&gt;=table!$E$11,#REF!&lt;=table!$F$11),1,0))</f>
        <v>#REF!</v>
      </c>
      <c r="W4177" s="5" t="e">
        <f>CONCATENATE(dados[[#This Row],[fator1]],dados[[#This Row],[fator5]],dados[[#This Row],[fator6]])</f>
        <v>#REF!</v>
      </c>
    </row>
    <row r="4178" spans="1:23">
      <c r="A4178" t="s">
        <v>16</v>
      </c>
      <c r="B4178">
        <v>589427</v>
      </c>
      <c r="C4178">
        <v>0.15</v>
      </c>
      <c r="D4178">
        <v>35</v>
      </c>
      <c r="E4178">
        <v>15</v>
      </c>
      <c r="F4178">
        <v>10</v>
      </c>
      <c r="G4178">
        <v>0</v>
      </c>
      <c r="H4178">
        <v>12</v>
      </c>
      <c r="I4178">
        <v>408</v>
      </c>
      <c r="J4178">
        <v>640</v>
      </c>
      <c r="K4178">
        <v>4.3275000000000006</v>
      </c>
      <c r="L4178">
        <v>4.0505000000000004</v>
      </c>
      <c r="M4178">
        <v>3.3595000000000002</v>
      </c>
      <c r="N4178">
        <v>9.0050000000000008</v>
      </c>
      <c r="O4178">
        <v>1622</v>
      </c>
      <c r="P4178">
        <v>928</v>
      </c>
      <c r="Q4178" s="5" t="e">
        <f>IF(AND(#REF!&gt;=table!$C$6,#REF!&lt;= table!$D$6),-1,IF(AND(#REF!&gt;=table!$E$6,#REF!&lt;=table!$F$6),1,0))</f>
        <v>#REF!</v>
      </c>
      <c r="R4178" s="5" t="e">
        <f>IF(AND(#REF!&gt;=table!$C$7,#REF!&lt;= table!$D$7),-1,IF(AND(#REF!&gt;=table!$E$7,#REF!&lt;=table!$F$7),1,0))</f>
        <v>#REF!</v>
      </c>
      <c r="S4178" s="5" t="e">
        <f>IF(AND(#REF!&gt;=table!$C$8,#REF!&lt;= table!$D$8),-1,IF(AND(#REF!&gt;=table!$E$8,#REF!&lt;=table!$F$8),1,0))</f>
        <v>#REF!</v>
      </c>
      <c r="T4178" s="5"/>
      <c r="U4178" s="5" t="e">
        <f>IF(AND(#REF!&gt;=table!$C$10,#REF!&lt;= table!$D$10),-1,IF(AND(#REF!&gt;=table!$E$10,#REF!&lt;=table!$F$10),1,0))</f>
        <v>#REF!</v>
      </c>
      <c r="V4178" s="5" t="e">
        <f>IF(AND(#REF!&gt;=table!$C$11,#REF!&lt;= table!$D$11),-1,IF(AND(#REF!&gt;=table!$E$11,#REF!&lt;=table!$F$11),1,0))</f>
        <v>#REF!</v>
      </c>
      <c r="W4178" s="5" t="e">
        <f>CONCATENATE(dados[[#This Row],[fator1]],dados[[#This Row],[fator5]],dados[[#This Row],[fator6]])</f>
        <v>#REF!</v>
      </c>
    </row>
    <row r="4179" spans="1:23">
      <c r="A4179" t="s">
        <v>17</v>
      </c>
      <c r="B4179">
        <v>589431</v>
      </c>
      <c r="C4179">
        <v>0.15</v>
      </c>
      <c r="D4179">
        <v>500</v>
      </c>
      <c r="E4179">
        <v>50</v>
      </c>
      <c r="F4179">
        <v>10</v>
      </c>
      <c r="G4179">
        <v>80</v>
      </c>
      <c r="H4179">
        <v>30</v>
      </c>
      <c r="I4179">
        <v>156</v>
      </c>
      <c r="J4179">
        <v>0</v>
      </c>
      <c r="K4179">
        <v>3.9330000000000003</v>
      </c>
      <c r="L4179">
        <v>10.837</v>
      </c>
      <c r="M4179">
        <v>8.8994999999999997</v>
      </c>
      <c r="N4179">
        <v>24.585000000000001</v>
      </c>
      <c r="O4179">
        <v>1673</v>
      </c>
      <c r="P4179">
        <v>887</v>
      </c>
      <c r="Q4179" s="5" t="e">
        <f>IF(AND(#REF!&gt;=table!$C$6,#REF!&lt;= table!$D$6),-1,IF(AND(#REF!&gt;=table!$E$6,#REF!&lt;=table!$F$6),1,0))</f>
        <v>#REF!</v>
      </c>
      <c r="R4179" s="5" t="e">
        <f>IF(AND(#REF!&gt;=table!$C$7,#REF!&lt;= table!$D$7),-1,IF(AND(#REF!&gt;=table!$E$7,#REF!&lt;=table!$F$7),1,0))</f>
        <v>#REF!</v>
      </c>
      <c r="S4179" s="5" t="e">
        <f>IF(AND(#REF!&gt;=table!$C$8,#REF!&lt;= table!$D$8),-1,IF(AND(#REF!&gt;=table!$E$8,#REF!&lt;=table!$F$8),1,0))</f>
        <v>#REF!</v>
      </c>
      <c r="T4179" s="5"/>
      <c r="U4179" s="5" t="e">
        <f>IF(AND(#REF!&gt;=table!$C$10,#REF!&lt;= table!$D$10),-1,IF(AND(#REF!&gt;=table!$E$10,#REF!&lt;=table!$F$10),1,0))</f>
        <v>#REF!</v>
      </c>
      <c r="V4179" s="5" t="e">
        <f>IF(AND(#REF!&gt;=table!$C$11,#REF!&lt;= table!$D$11),-1,IF(AND(#REF!&gt;=table!$E$11,#REF!&lt;=table!$F$11),1,0))</f>
        <v>#REF!</v>
      </c>
      <c r="W4179" s="5" t="e">
        <f>CONCATENATE(dados[[#This Row],[fator1]],dados[[#This Row],[fator5]],dados[[#This Row],[fator6]])</f>
        <v>#REF!</v>
      </c>
    </row>
    <row r="4180" spans="1:23">
      <c r="A4180" t="s">
        <v>17</v>
      </c>
      <c r="B4180">
        <v>589433</v>
      </c>
      <c r="C4180">
        <v>0.15</v>
      </c>
      <c r="D4180">
        <v>500</v>
      </c>
      <c r="E4180">
        <v>50</v>
      </c>
      <c r="F4180">
        <v>10</v>
      </c>
      <c r="G4180">
        <v>80</v>
      </c>
      <c r="H4180">
        <v>30</v>
      </c>
      <c r="I4180">
        <v>721</v>
      </c>
      <c r="J4180">
        <v>770</v>
      </c>
      <c r="K4180">
        <v>4.2765000000000004</v>
      </c>
      <c r="L4180">
        <v>2.7135000000000002</v>
      </c>
      <c r="M4180">
        <v>1.8215000000000001</v>
      </c>
      <c r="N4180">
        <v>13.965</v>
      </c>
      <c r="O4180">
        <v>1626</v>
      </c>
      <c r="P4180">
        <v>1095</v>
      </c>
      <c r="Q4180" s="5" t="e">
        <f>IF(AND(#REF!&gt;=table!$C$6,#REF!&lt;= table!$D$6),-1,IF(AND(#REF!&gt;=table!$E$6,#REF!&lt;=table!$F$6),1,0))</f>
        <v>#REF!</v>
      </c>
      <c r="R4180" s="5" t="e">
        <f>IF(AND(#REF!&gt;=table!$C$7,#REF!&lt;= table!$D$7),-1,IF(AND(#REF!&gt;=table!$E$7,#REF!&lt;=table!$F$7),1,0))</f>
        <v>#REF!</v>
      </c>
      <c r="S4180" s="5" t="e">
        <f>IF(AND(#REF!&gt;=table!$C$8,#REF!&lt;= table!$D$8),-1,IF(AND(#REF!&gt;=table!$E$8,#REF!&lt;=table!$F$8),1,0))</f>
        <v>#REF!</v>
      </c>
      <c r="T4180" s="5"/>
      <c r="U4180" s="5" t="e">
        <f>IF(AND(#REF!&gt;=table!$C$10,#REF!&lt;= table!$D$10),-1,IF(AND(#REF!&gt;=table!$E$10,#REF!&lt;=table!$F$10),1,0))</f>
        <v>#REF!</v>
      </c>
      <c r="V4180" s="5" t="e">
        <f>IF(AND(#REF!&gt;=table!$C$11,#REF!&lt;= table!$D$11),-1,IF(AND(#REF!&gt;=table!$E$11,#REF!&lt;=table!$F$11),1,0))</f>
        <v>#REF!</v>
      </c>
      <c r="W4180" s="5" t="e">
        <f>CONCATENATE(dados[[#This Row],[fator1]],dados[[#This Row],[fator5]],dados[[#This Row],[fator6]])</f>
        <v>#REF!</v>
      </c>
    </row>
    <row r="4181" spans="1:23">
      <c r="A4181" t="s">
        <v>17</v>
      </c>
      <c r="B4181">
        <v>589438</v>
      </c>
      <c r="C4181">
        <v>22</v>
      </c>
      <c r="D4181">
        <v>30</v>
      </c>
      <c r="E4181">
        <v>101</v>
      </c>
      <c r="F4181">
        <v>9</v>
      </c>
      <c r="G4181">
        <v>20</v>
      </c>
      <c r="H4181">
        <v>25</v>
      </c>
      <c r="I4181">
        <v>0</v>
      </c>
      <c r="J4181">
        <v>0</v>
      </c>
      <c r="K4181">
        <v>4.8565000000000005</v>
      </c>
      <c r="L4181">
        <v>8.7695000000000007</v>
      </c>
      <c r="M4181">
        <v>86.024500000000003</v>
      </c>
      <c r="N4181">
        <v>21.32</v>
      </c>
      <c r="O4181">
        <v>1687</v>
      </c>
      <c r="P4181">
        <v>0</v>
      </c>
      <c r="Q4181" s="5" t="e">
        <f>IF(AND(#REF!&gt;=table!$C$6,#REF!&lt;= table!$D$6),-1,IF(AND(#REF!&gt;=table!$E$6,#REF!&lt;=table!$F$6),1,0))</f>
        <v>#REF!</v>
      </c>
      <c r="R4181" s="5" t="e">
        <f>IF(AND(#REF!&gt;=table!$C$7,#REF!&lt;= table!$D$7),-1,IF(AND(#REF!&gt;=table!$E$7,#REF!&lt;=table!$F$7),1,0))</f>
        <v>#REF!</v>
      </c>
      <c r="S4181" s="5" t="e">
        <f>IF(AND(#REF!&gt;=table!$C$8,#REF!&lt;= table!$D$8),-1,IF(AND(#REF!&gt;=table!$E$8,#REF!&lt;=table!$F$8),1,0))</f>
        <v>#REF!</v>
      </c>
      <c r="T4181" s="5"/>
      <c r="U4181" s="5" t="e">
        <f>IF(AND(#REF!&gt;=table!$C$10,#REF!&lt;= table!$D$10),-1,IF(AND(#REF!&gt;=table!$E$10,#REF!&lt;=table!$F$10),1,0))</f>
        <v>#REF!</v>
      </c>
      <c r="V4181" s="5" t="e">
        <f>IF(AND(#REF!&gt;=table!$C$11,#REF!&lt;= table!$D$11),-1,IF(AND(#REF!&gt;=table!$E$11,#REF!&lt;=table!$F$11),1,0))</f>
        <v>#REF!</v>
      </c>
      <c r="W4181" s="5" t="e">
        <f>CONCATENATE(dados[[#This Row],[fator1]],dados[[#This Row],[fator5]],dados[[#This Row],[fator6]])</f>
        <v>#REF!</v>
      </c>
    </row>
    <row r="4182" spans="1:23">
      <c r="A4182" t="s">
        <v>16</v>
      </c>
      <c r="B4182">
        <v>589446</v>
      </c>
      <c r="C4182">
        <v>0.15</v>
      </c>
      <c r="D4182">
        <v>40</v>
      </c>
      <c r="E4182">
        <v>10</v>
      </c>
      <c r="F4182">
        <v>15</v>
      </c>
      <c r="G4182">
        <v>0</v>
      </c>
      <c r="H4182">
        <v>15</v>
      </c>
      <c r="I4182">
        <v>1574</v>
      </c>
      <c r="J4182">
        <v>590</v>
      </c>
      <c r="K4182">
        <v>4.5565000000000007</v>
      </c>
      <c r="L4182">
        <v>3.9555000000000002</v>
      </c>
      <c r="M4182">
        <v>2.8705000000000003</v>
      </c>
      <c r="N4182">
        <v>7.19</v>
      </c>
      <c r="O4182">
        <v>1627</v>
      </c>
      <c r="P4182">
        <v>713</v>
      </c>
      <c r="Q4182" s="5" t="e">
        <f>IF(AND(#REF!&gt;=table!$C$6,#REF!&lt;= table!$D$6),-1,IF(AND(#REF!&gt;=table!$E$6,#REF!&lt;=table!$F$6),1,0))</f>
        <v>#REF!</v>
      </c>
      <c r="R4182" s="5" t="e">
        <f>IF(AND(#REF!&gt;=table!$C$7,#REF!&lt;= table!$D$7),-1,IF(AND(#REF!&gt;=table!$E$7,#REF!&lt;=table!$F$7),1,0))</f>
        <v>#REF!</v>
      </c>
      <c r="S4182" s="5" t="e">
        <f>IF(AND(#REF!&gt;=table!$C$8,#REF!&lt;= table!$D$8),-1,IF(AND(#REF!&gt;=table!$E$8,#REF!&lt;=table!$F$8),1,0))</f>
        <v>#REF!</v>
      </c>
      <c r="T4182" s="5"/>
      <c r="U4182" s="5" t="e">
        <f>IF(AND(#REF!&gt;=table!$C$10,#REF!&lt;= table!$D$10),-1,IF(AND(#REF!&gt;=table!$E$10,#REF!&lt;=table!$F$10),1,0))</f>
        <v>#REF!</v>
      </c>
      <c r="V4182" s="5" t="e">
        <f>IF(AND(#REF!&gt;=table!$C$11,#REF!&lt;= table!$D$11),-1,IF(AND(#REF!&gt;=table!$E$11,#REF!&lt;=table!$F$11),1,0))</f>
        <v>#REF!</v>
      </c>
      <c r="W4182" s="5" t="e">
        <f>CONCATENATE(dados[[#This Row],[fator1]],dados[[#This Row],[fator5]],dados[[#This Row],[fator6]])</f>
        <v>#REF!</v>
      </c>
    </row>
    <row r="4183" spans="1:23">
      <c r="A4183" t="s">
        <v>16</v>
      </c>
      <c r="B4183">
        <v>589449</v>
      </c>
      <c r="C4183">
        <v>0.15</v>
      </c>
      <c r="D4183">
        <v>40</v>
      </c>
      <c r="E4183">
        <v>10</v>
      </c>
      <c r="F4183">
        <v>15</v>
      </c>
      <c r="G4183">
        <v>0</v>
      </c>
      <c r="H4183">
        <v>15</v>
      </c>
      <c r="I4183">
        <v>189</v>
      </c>
      <c r="J4183">
        <v>0</v>
      </c>
      <c r="K4183">
        <v>5.694</v>
      </c>
      <c r="L4183">
        <v>8.4035000000000011</v>
      </c>
      <c r="M4183">
        <v>7.75</v>
      </c>
      <c r="N4183">
        <v>9.27</v>
      </c>
      <c r="O4183">
        <v>1667</v>
      </c>
      <c r="P4183">
        <v>717</v>
      </c>
      <c r="Q4183" s="5" t="e">
        <f>IF(AND(#REF!&gt;=table!$C$6,#REF!&lt;= table!$D$6),-1,IF(AND(#REF!&gt;=table!$E$6,#REF!&lt;=table!$F$6),1,0))</f>
        <v>#REF!</v>
      </c>
      <c r="R4183" s="5" t="e">
        <f>IF(AND(#REF!&gt;=table!$C$7,#REF!&lt;= table!$D$7),-1,IF(AND(#REF!&gt;=table!$E$7,#REF!&lt;=table!$F$7),1,0))</f>
        <v>#REF!</v>
      </c>
      <c r="S4183" s="5" t="e">
        <f>IF(AND(#REF!&gt;=table!$C$8,#REF!&lt;= table!$D$8),-1,IF(AND(#REF!&gt;=table!$E$8,#REF!&lt;=table!$F$8),1,0))</f>
        <v>#REF!</v>
      </c>
      <c r="T4183" s="5"/>
      <c r="U4183" s="5" t="e">
        <f>IF(AND(#REF!&gt;=table!$C$10,#REF!&lt;= table!$D$10),-1,IF(AND(#REF!&gt;=table!$E$10,#REF!&lt;=table!$F$10),1,0))</f>
        <v>#REF!</v>
      </c>
      <c r="V4183" s="5" t="e">
        <f>IF(AND(#REF!&gt;=table!$C$11,#REF!&lt;= table!$D$11),-1,IF(AND(#REF!&gt;=table!$E$11,#REF!&lt;=table!$F$11),1,0))</f>
        <v>#REF!</v>
      </c>
      <c r="W4183" s="5" t="e">
        <f>CONCATENATE(dados[[#This Row],[fator1]],dados[[#This Row],[fator5]],dados[[#This Row],[fator6]])</f>
        <v>#REF!</v>
      </c>
    </row>
    <row r="4184" spans="1:23">
      <c r="A4184" t="s">
        <v>16</v>
      </c>
      <c r="B4184">
        <v>589450</v>
      </c>
      <c r="C4184">
        <v>0.15</v>
      </c>
      <c r="D4184">
        <v>40</v>
      </c>
      <c r="E4184">
        <v>10</v>
      </c>
      <c r="F4184">
        <v>15</v>
      </c>
      <c r="G4184">
        <v>0</v>
      </c>
      <c r="H4184">
        <v>15</v>
      </c>
      <c r="I4184">
        <v>434</v>
      </c>
      <c r="J4184">
        <v>0</v>
      </c>
      <c r="K4184">
        <v>6.0385</v>
      </c>
      <c r="L4184">
        <v>9.8955000000000002</v>
      </c>
      <c r="M4184">
        <v>9.1330000000000009</v>
      </c>
      <c r="N4184">
        <v>10.31</v>
      </c>
      <c r="O4184">
        <v>1678</v>
      </c>
      <c r="P4184">
        <v>648</v>
      </c>
      <c r="Q4184" s="5" t="e">
        <f>IF(AND(#REF!&gt;=table!$C$6,#REF!&lt;= table!$D$6),-1,IF(AND(#REF!&gt;=table!$E$6,#REF!&lt;=table!$F$6),1,0))</f>
        <v>#REF!</v>
      </c>
      <c r="R4184" s="5" t="e">
        <f>IF(AND(#REF!&gt;=table!$C$7,#REF!&lt;= table!$D$7),-1,IF(AND(#REF!&gt;=table!$E$7,#REF!&lt;=table!$F$7),1,0))</f>
        <v>#REF!</v>
      </c>
      <c r="S4184" s="5" t="e">
        <f>IF(AND(#REF!&gt;=table!$C$8,#REF!&lt;= table!$D$8),-1,IF(AND(#REF!&gt;=table!$E$8,#REF!&lt;=table!$F$8),1,0))</f>
        <v>#REF!</v>
      </c>
      <c r="T4184" s="5"/>
      <c r="U4184" s="5" t="e">
        <f>IF(AND(#REF!&gt;=table!$C$10,#REF!&lt;= table!$D$10),-1,IF(AND(#REF!&gt;=table!$E$10,#REF!&lt;=table!$F$10),1,0))</f>
        <v>#REF!</v>
      </c>
      <c r="V4184" s="5" t="e">
        <f>IF(AND(#REF!&gt;=table!$C$11,#REF!&lt;= table!$D$11),-1,IF(AND(#REF!&gt;=table!$E$11,#REF!&lt;=table!$F$11),1,0))</f>
        <v>#REF!</v>
      </c>
      <c r="W4184" s="5" t="e">
        <f>CONCATENATE(dados[[#This Row],[fator1]],dados[[#This Row],[fator5]],dados[[#This Row],[fator6]])</f>
        <v>#REF!</v>
      </c>
    </row>
    <row r="4185" spans="1:23">
      <c r="A4185" t="s">
        <v>16</v>
      </c>
      <c r="B4185">
        <v>589451</v>
      </c>
      <c r="C4185">
        <v>0.15</v>
      </c>
      <c r="D4185">
        <v>40</v>
      </c>
      <c r="E4185">
        <v>10</v>
      </c>
      <c r="F4185">
        <v>15</v>
      </c>
      <c r="G4185">
        <v>0</v>
      </c>
      <c r="H4185">
        <v>15</v>
      </c>
      <c r="I4185">
        <v>164</v>
      </c>
      <c r="J4185">
        <v>0</v>
      </c>
      <c r="K4185">
        <v>3.4540000000000002</v>
      </c>
      <c r="L4185">
        <v>6.4035000000000002</v>
      </c>
      <c r="M4185">
        <v>5.5020000000000007</v>
      </c>
      <c r="N4185">
        <v>13.24</v>
      </c>
      <c r="O4185">
        <v>1714</v>
      </c>
      <c r="P4185">
        <v>1395</v>
      </c>
      <c r="Q4185" s="5" t="e">
        <f>IF(AND(#REF!&gt;=table!$C$6,#REF!&lt;= table!$D$6),-1,IF(AND(#REF!&gt;=table!$E$6,#REF!&lt;=table!$F$6),1,0))</f>
        <v>#REF!</v>
      </c>
      <c r="R4185" s="5" t="e">
        <f>IF(AND(#REF!&gt;=table!$C$7,#REF!&lt;= table!$D$7),-1,IF(AND(#REF!&gt;=table!$E$7,#REF!&lt;=table!$F$7),1,0))</f>
        <v>#REF!</v>
      </c>
      <c r="S4185" s="5" t="e">
        <f>IF(AND(#REF!&gt;=table!$C$8,#REF!&lt;= table!$D$8),-1,IF(AND(#REF!&gt;=table!$E$8,#REF!&lt;=table!$F$8),1,0))</f>
        <v>#REF!</v>
      </c>
      <c r="T4185" s="5"/>
      <c r="U4185" s="5" t="e">
        <f>IF(AND(#REF!&gt;=table!$C$10,#REF!&lt;= table!$D$10),-1,IF(AND(#REF!&gt;=table!$E$10,#REF!&lt;=table!$F$10),1,0))</f>
        <v>#REF!</v>
      </c>
      <c r="V4185" s="5" t="e">
        <f>IF(AND(#REF!&gt;=table!$C$11,#REF!&lt;= table!$D$11),-1,IF(AND(#REF!&gt;=table!$E$11,#REF!&lt;=table!$F$11),1,0))</f>
        <v>#REF!</v>
      </c>
      <c r="W4185" s="5" t="e">
        <f>CONCATENATE(dados[[#This Row],[fator1]],dados[[#This Row],[fator5]],dados[[#This Row],[fator6]])</f>
        <v>#REF!</v>
      </c>
    </row>
    <row r="4186" spans="1:23">
      <c r="A4186" t="s">
        <v>16</v>
      </c>
      <c r="B4186">
        <v>589453</v>
      </c>
      <c r="C4186">
        <v>10</v>
      </c>
      <c r="D4186">
        <v>30</v>
      </c>
      <c r="E4186">
        <v>150</v>
      </c>
      <c r="F4186">
        <v>4</v>
      </c>
      <c r="G4186">
        <v>0</v>
      </c>
      <c r="H4186">
        <v>25</v>
      </c>
      <c r="I4186">
        <v>677</v>
      </c>
      <c r="J4186">
        <v>430</v>
      </c>
      <c r="K4186">
        <v>3.242</v>
      </c>
      <c r="L4186">
        <v>3.4810000000000003</v>
      </c>
      <c r="M4186">
        <v>64.188000000000002</v>
      </c>
      <c r="N4186">
        <v>9.86</v>
      </c>
      <c r="O4186">
        <v>1640</v>
      </c>
      <c r="P4186">
        <v>919</v>
      </c>
      <c r="Q4186" s="5" t="e">
        <f>IF(AND(#REF!&gt;=table!$C$6,#REF!&lt;= table!$D$6),-1,IF(AND(#REF!&gt;=table!$E$6,#REF!&lt;=table!$F$6),1,0))</f>
        <v>#REF!</v>
      </c>
      <c r="R4186" s="5" t="e">
        <f>IF(AND(#REF!&gt;=table!$C$7,#REF!&lt;= table!$D$7),-1,IF(AND(#REF!&gt;=table!$E$7,#REF!&lt;=table!$F$7),1,0))</f>
        <v>#REF!</v>
      </c>
      <c r="S4186" s="5" t="e">
        <f>IF(AND(#REF!&gt;=table!$C$8,#REF!&lt;= table!$D$8),-1,IF(AND(#REF!&gt;=table!$E$8,#REF!&lt;=table!$F$8),1,0))</f>
        <v>#REF!</v>
      </c>
      <c r="T4186" s="5"/>
      <c r="U4186" s="5" t="e">
        <f>IF(AND(#REF!&gt;=table!$C$10,#REF!&lt;= table!$D$10),-1,IF(AND(#REF!&gt;=table!$E$10,#REF!&lt;=table!$F$10),1,0))</f>
        <v>#REF!</v>
      </c>
      <c r="V4186" s="5" t="e">
        <f>IF(AND(#REF!&gt;=table!$C$11,#REF!&lt;= table!$D$11),-1,IF(AND(#REF!&gt;=table!$E$11,#REF!&lt;=table!$F$11),1,0))</f>
        <v>#REF!</v>
      </c>
      <c r="W4186" s="5" t="e">
        <f>CONCATENATE(dados[[#This Row],[fator1]],dados[[#This Row],[fator5]],dados[[#This Row],[fator6]])</f>
        <v>#REF!</v>
      </c>
    </row>
    <row r="4187" spans="1:23">
      <c r="A4187" t="s">
        <v>16</v>
      </c>
      <c r="B4187">
        <v>589456</v>
      </c>
      <c r="C4187">
        <v>9</v>
      </c>
      <c r="D4187">
        <v>40</v>
      </c>
      <c r="E4187">
        <v>130</v>
      </c>
      <c r="F4187">
        <v>3</v>
      </c>
      <c r="G4187">
        <v>0</v>
      </c>
      <c r="H4187">
        <v>25</v>
      </c>
      <c r="I4187">
        <v>678</v>
      </c>
      <c r="J4187">
        <v>680</v>
      </c>
      <c r="K4187">
        <v>4.0815000000000001</v>
      </c>
      <c r="L4187">
        <v>9.5365000000000002</v>
      </c>
      <c r="M4187">
        <v>6.4725000000000001</v>
      </c>
      <c r="N4187">
        <v>12.22</v>
      </c>
      <c r="O4187">
        <v>1681</v>
      </c>
      <c r="P4187">
        <v>0</v>
      </c>
      <c r="Q4187" s="5" t="e">
        <f>IF(AND(#REF!&gt;=table!$C$6,#REF!&lt;= table!$D$6),-1,IF(AND(#REF!&gt;=table!$E$6,#REF!&lt;=table!$F$6),1,0))</f>
        <v>#REF!</v>
      </c>
      <c r="R4187" s="5" t="e">
        <f>IF(AND(#REF!&gt;=table!$C$7,#REF!&lt;= table!$D$7),-1,IF(AND(#REF!&gt;=table!$E$7,#REF!&lt;=table!$F$7),1,0))</f>
        <v>#REF!</v>
      </c>
      <c r="S4187" s="5" t="e">
        <f>IF(AND(#REF!&gt;=table!$C$8,#REF!&lt;= table!$D$8),-1,IF(AND(#REF!&gt;=table!$E$8,#REF!&lt;=table!$F$8),1,0))</f>
        <v>#REF!</v>
      </c>
      <c r="T4187" s="5"/>
      <c r="U4187" s="5" t="e">
        <f>IF(AND(#REF!&gt;=table!$C$10,#REF!&lt;= table!$D$10),-1,IF(AND(#REF!&gt;=table!$E$10,#REF!&lt;=table!$F$10),1,0))</f>
        <v>#REF!</v>
      </c>
      <c r="V4187" s="5" t="e">
        <f>IF(AND(#REF!&gt;=table!$C$11,#REF!&lt;= table!$D$11),-1,IF(AND(#REF!&gt;=table!$E$11,#REF!&lt;=table!$F$11),1,0))</f>
        <v>#REF!</v>
      </c>
      <c r="W4187" s="5" t="e">
        <f>CONCATENATE(dados[[#This Row],[fator1]],dados[[#This Row],[fator5]],dados[[#This Row],[fator6]])</f>
        <v>#REF!</v>
      </c>
    </row>
    <row r="4188" spans="1:23">
      <c r="A4188" t="s">
        <v>17</v>
      </c>
      <c r="B4188">
        <v>589457</v>
      </c>
      <c r="C4188">
        <v>0.15</v>
      </c>
      <c r="D4188">
        <v>500</v>
      </c>
      <c r="E4188">
        <v>50</v>
      </c>
      <c r="F4188">
        <v>10</v>
      </c>
      <c r="G4188">
        <v>80</v>
      </c>
      <c r="H4188">
        <v>30</v>
      </c>
      <c r="I4188">
        <v>96</v>
      </c>
      <c r="J4188">
        <v>0</v>
      </c>
      <c r="K4188">
        <v>3.379</v>
      </c>
      <c r="L4188">
        <v>10.266500000000001</v>
      </c>
      <c r="M4188">
        <v>7.7650000000000006</v>
      </c>
      <c r="N4188">
        <v>19.18</v>
      </c>
      <c r="O4188">
        <v>1691</v>
      </c>
      <c r="P4188">
        <v>1331</v>
      </c>
      <c r="Q4188" s="5" t="e">
        <f>IF(AND(#REF!&gt;=table!$C$6,#REF!&lt;= table!$D$6),-1,IF(AND(#REF!&gt;=table!$E$6,#REF!&lt;=table!$F$6),1,0))</f>
        <v>#REF!</v>
      </c>
      <c r="R4188" s="5" t="e">
        <f>IF(AND(#REF!&gt;=table!$C$7,#REF!&lt;= table!$D$7),-1,IF(AND(#REF!&gt;=table!$E$7,#REF!&lt;=table!$F$7),1,0))</f>
        <v>#REF!</v>
      </c>
      <c r="S4188" s="5" t="e">
        <f>IF(AND(#REF!&gt;=table!$C$8,#REF!&lt;= table!$D$8),-1,IF(AND(#REF!&gt;=table!$E$8,#REF!&lt;=table!$F$8),1,0))</f>
        <v>#REF!</v>
      </c>
      <c r="T4188" s="5"/>
      <c r="U4188" s="5" t="e">
        <f>IF(AND(#REF!&gt;=table!$C$10,#REF!&lt;= table!$D$10),-1,IF(AND(#REF!&gt;=table!$E$10,#REF!&lt;=table!$F$10),1,0))</f>
        <v>#REF!</v>
      </c>
      <c r="V4188" s="5" t="e">
        <f>IF(AND(#REF!&gt;=table!$C$11,#REF!&lt;= table!$D$11),-1,IF(AND(#REF!&gt;=table!$E$11,#REF!&lt;=table!$F$11),1,0))</f>
        <v>#REF!</v>
      </c>
      <c r="W4188" s="5" t="e">
        <f>CONCATENATE(dados[[#This Row],[fator1]],dados[[#This Row],[fator5]],dados[[#This Row],[fator6]])</f>
        <v>#REF!</v>
      </c>
    </row>
    <row r="4189" spans="1:23">
      <c r="A4189" t="s">
        <v>17</v>
      </c>
      <c r="B4189">
        <v>589458</v>
      </c>
      <c r="C4189">
        <v>0.15</v>
      </c>
      <c r="D4189">
        <v>500</v>
      </c>
      <c r="E4189">
        <v>50</v>
      </c>
      <c r="F4189">
        <v>10</v>
      </c>
      <c r="G4189">
        <v>80</v>
      </c>
      <c r="H4189">
        <v>30</v>
      </c>
      <c r="I4189">
        <v>1</v>
      </c>
      <c r="J4189">
        <v>0</v>
      </c>
      <c r="K4189">
        <v>3.2745000000000002</v>
      </c>
      <c r="L4189">
        <v>4.6655000000000006</v>
      </c>
      <c r="M4189">
        <v>3.9130000000000003</v>
      </c>
      <c r="N4189">
        <v>12.495000000000001</v>
      </c>
      <c r="O4189">
        <v>1675</v>
      </c>
      <c r="P4189">
        <v>0</v>
      </c>
      <c r="Q4189" s="5" t="e">
        <f>IF(AND(#REF!&gt;=table!$C$6,#REF!&lt;= table!$D$6),-1,IF(AND(#REF!&gt;=table!$E$6,#REF!&lt;=table!$F$6),1,0))</f>
        <v>#REF!</v>
      </c>
      <c r="R4189" s="5" t="e">
        <f>IF(AND(#REF!&gt;=table!$C$7,#REF!&lt;= table!$D$7),-1,IF(AND(#REF!&gt;=table!$E$7,#REF!&lt;=table!$F$7),1,0))</f>
        <v>#REF!</v>
      </c>
      <c r="S4189" s="5" t="e">
        <f>IF(AND(#REF!&gt;=table!$C$8,#REF!&lt;= table!$D$8),-1,IF(AND(#REF!&gt;=table!$E$8,#REF!&lt;=table!$F$8),1,0))</f>
        <v>#REF!</v>
      </c>
      <c r="T4189" s="5"/>
      <c r="U4189" s="5" t="e">
        <f>IF(AND(#REF!&gt;=table!$C$10,#REF!&lt;= table!$D$10),-1,IF(AND(#REF!&gt;=table!$E$10,#REF!&lt;=table!$F$10),1,0))</f>
        <v>#REF!</v>
      </c>
      <c r="V4189" s="5" t="e">
        <f>IF(AND(#REF!&gt;=table!$C$11,#REF!&lt;= table!$D$11),-1,IF(AND(#REF!&gt;=table!$E$11,#REF!&lt;=table!$F$11),1,0))</f>
        <v>#REF!</v>
      </c>
      <c r="W4189" s="5" t="e">
        <f>CONCATENATE(dados[[#This Row],[fator1]],dados[[#This Row],[fator5]],dados[[#This Row],[fator6]])</f>
        <v>#REF!</v>
      </c>
    </row>
    <row r="4190" spans="1:23">
      <c r="A4190" t="s">
        <v>16</v>
      </c>
      <c r="B4190">
        <v>589461</v>
      </c>
      <c r="C4190">
        <v>0.2</v>
      </c>
      <c r="D4190">
        <v>65</v>
      </c>
      <c r="E4190">
        <v>26</v>
      </c>
      <c r="F4190">
        <v>15</v>
      </c>
      <c r="G4190">
        <v>0</v>
      </c>
      <c r="H4190">
        <v>30</v>
      </c>
      <c r="I4190">
        <v>377</v>
      </c>
      <c r="J4190">
        <v>0</v>
      </c>
      <c r="K4190">
        <v>3.9750000000000001</v>
      </c>
      <c r="L4190">
        <v>9.464500000000001</v>
      </c>
      <c r="M4190">
        <v>8.2645</v>
      </c>
      <c r="N4190">
        <v>22.56</v>
      </c>
      <c r="O4190">
        <v>1690</v>
      </c>
      <c r="P4190">
        <v>1121</v>
      </c>
      <c r="Q4190" s="5" t="e">
        <f>IF(AND(#REF!&gt;=table!$C$6,#REF!&lt;= table!$D$6),-1,IF(AND(#REF!&gt;=table!$E$6,#REF!&lt;=table!$F$6),1,0))</f>
        <v>#REF!</v>
      </c>
      <c r="R4190" s="5" t="e">
        <f>IF(AND(#REF!&gt;=table!$C$7,#REF!&lt;= table!$D$7),-1,IF(AND(#REF!&gt;=table!$E$7,#REF!&lt;=table!$F$7),1,0))</f>
        <v>#REF!</v>
      </c>
      <c r="S4190" s="5" t="e">
        <f>IF(AND(#REF!&gt;=table!$C$8,#REF!&lt;= table!$D$8),-1,IF(AND(#REF!&gt;=table!$E$8,#REF!&lt;=table!$F$8),1,0))</f>
        <v>#REF!</v>
      </c>
      <c r="T4190" s="5"/>
      <c r="U4190" s="5" t="e">
        <f>IF(AND(#REF!&gt;=table!$C$10,#REF!&lt;= table!$D$10),-1,IF(AND(#REF!&gt;=table!$E$10,#REF!&lt;=table!$F$10),1,0))</f>
        <v>#REF!</v>
      </c>
      <c r="V4190" s="5" t="e">
        <f>IF(AND(#REF!&gt;=table!$C$11,#REF!&lt;= table!$D$11),-1,IF(AND(#REF!&gt;=table!$E$11,#REF!&lt;=table!$F$11),1,0))</f>
        <v>#REF!</v>
      </c>
      <c r="W4190" s="5" t="e">
        <f>CONCATENATE(dados[[#This Row],[fator1]],dados[[#This Row],[fator5]],dados[[#This Row],[fator6]])</f>
        <v>#REF!</v>
      </c>
    </row>
    <row r="4191" spans="1:23">
      <c r="A4191" t="s">
        <v>16</v>
      </c>
      <c r="B4191">
        <v>589462</v>
      </c>
      <c r="C4191">
        <v>0.2</v>
      </c>
      <c r="D4191">
        <v>65</v>
      </c>
      <c r="E4191">
        <v>26</v>
      </c>
      <c r="F4191">
        <v>15</v>
      </c>
      <c r="G4191">
        <v>0</v>
      </c>
      <c r="H4191">
        <v>30</v>
      </c>
      <c r="I4191">
        <v>334</v>
      </c>
      <c r="J4191">
        <v>0</v>
      </c>
      <c r="K4191">
        <v>4.9495000000000005</v>
      </c>
      <c r="L4191">
        <v>10.828000000000001</v>
      </c>
      <c r="M4191">
        <v>9.7060000000000013</v>
      </c>
      <c r="N4191">
        <v>17.96</v>
      </c>
      <c r="O4191">
        <v>1687</v>
      </c>
      <c r="P4191">
        <v>0</v>
      </c>
      <c r="Q4191" s="5" t="e">
        <f>IF(AND(#REF!&gt;=table!$C$6,#REF!&lt;= table!$D$6),-1,IF(AND(#REF!&gt;=table!$E$6,#REF!&lt;=table!$F$6),1,0))</f>
        <v>#REF!</v>
      </c>
      <c r="R4191" s="5" t="e">
        <f>IF(AND(#REF!&gt;=table!$C$7,#REF!&lt;= table!$D$7),-1,IF(AND(#REF!&gt;=table!$E$7,#REF!&lt;=table!$F$7),1,0))</f>
        <v>#REF!</v>
      </c>
      <c r="S4191" s="5" t="e">
        <f>IF(AND(#REF!&gt;=table!$C$8,#REF!&lt;= table!$D$8),-1,IF(AND(#REF!&gt;=table!$E$8,#REF!&lt;=table!$F$8),1,0))</f>
        <v>#REF!</v>
      </c>
      <c r="T4191" s="5"/>
      <c r="U4191" s="5" t="e">
        <f>IF(AND(#REF!&gt;=table!$C$10,#REF!&lt;= table!$D$10),-1,IF(AND(#REF!&gt;=table!$E$10,#REF!&lt;=table!$F$10),1,0))</f>
        <v>#REF!</v>
      </c>
      <c r="V4191" s="5" t="e">
        <f>IF(AND(#REF!&gt;=table!$C$11,#REF!&lt;= table!$D$11),-1,IF(AND(#REF!&gt;=table!$E$11,#REF!&lt;=table!$F$11),1,0))</f>
        <v>#REF!</v>
      </c>
      <c r="W4191" s="5" t="e">
        <f>CONCATENATE(dados[[#This Row],[fator1]],dados[[#This Row],[fator5]],dados[[#This Row],[fator6]])</f>
        <v>#REF!</v>
      </c>
    </row>
    <row r="4192" spans="1:23">
      <c r="A4192" t="s">
        <v>17</v>
      </c>
      <c r="B4192">
        <v>589465</v>
      </c>
      <c r="C4192">
        <v>20</v>
      </c>
      <c r="D4192">
        <v>33</v>
      </c>
      <c r="E4192">
        <v>66</v>
      </c>
      <c r="F4192">
        <v>4</v>
      </c>
      <c r="G4192">
        <v>20</v>
      </c>
      <c r="H4192">
        <v>25</v>
      </c>
      <c r="I4192">
        <v>111</v>
      </c>
      <c r="J4192">
        <v>0</v>
      </c>
      <c r="K4192">
        <v>3.9710000000000001</v>
      </c>
      <c r="L4192">
        <v>10.852500000000001</v>
      </c>
      <c r="M4192">
        <v>49.100500000000004</v>
      </c>
      <c r="N4192">
        <v>13.870000000000001</v>
      </c>
      <c r="O4192">
        <v>1666</v>
      </c>
      <c r="P4192">
        <v>977</v>
      </c>
      <c r="Q4192" s="5" t="e">
        <f>IF(AND(#REF!&gt;=table!$C$6,#REF!&lt;= table!$D$6),-1,IF(AND(#REF!&gt;=table!$E$6,#REF!&lt;=table!$F$6),1,0))</f>
        <v>#REF!</v>
      </c>
      <c r="R4192" s="5" t="e">
        <f>IF(AND(#REF!&gt;=table!$C$7,#REF!&lt;= table!$D$7),-1,IF(AND(#REF!&gt;=table!$E$7,#REF!&lt;=table!$F$7),1,0))</f>
        <v>#REF!</v>
      </c>
      <c r="S4192" s="5" t="e">
        <f>IF(AND(#REF!&gt;=table!$C$8,#REF!&lt;= table!$D$8),-1,IF(AND(#REF!&gt;=table!$E$8,#REF!&lt;=table!$F$8),1,0))</f>
        <v>#REF!</v>
      </c>
      <c r="T4192" s="5"/>
      <c r="U4192" s="5" t="e">
        <f>IF(AND(#REF!&gt;=table!$C$10,#REF!&lt;= table!$D$10),-1,IF(AND(#REF!&gt;=table!$E$10,#REF!&lt;=table!$F$10),1,0))</f>
        <v>#REF!</v>
      </c>
      <c r="V4192" s="5" t="e">
        <f>IF(AND(#REF!&gt;=table!$C$11,#REF!&lt;= table!$D$11),-1,IF(AND(#REF!&gt;=table!$E$11,#REF!&lt;=table!$F$11),1,0))</f>
        <v>#REF!</v>
      </c>
      <c r="W4192" s="5" t="e">
        <f>CONCATENATE(dados[[#This Row],[fator1]],dados[[#This Row],[fator5]],dados[[#This Row],[fator6]])</f>
        <v>#REF!</v>
      </c>
    </row>
    <row r="4193" spans="1:23">
      <c r="A4193" t="s">
        <v>17</v>
      </c>
      <c r="B4193">
        <v>589466</v>
      </c>
      <c r="C4193">
        <v>30</v>
      </c>
      <c r="D4193">
        <v>18</v>
      </c>
      <c r="E4193">
        <v>66</v>
      </c>
      <c r="F4193">
        <v>6</v>
      </c>
      <c r="G4193">
        <v>20</v>
      </c>
      <c r="H4193">
        <v>25</v>
      </c>
      <c r="I4193">
        <v>1024</v>
      </c>
      <c r="J4193">
        <v>0</v>
      </c>
      <c r="K4193">
        <v>4.8250000000000002</v>
      </c>
      <c r="L4193">
        <v>8.261000000000001</v>
      </c>
      <c r="M4193">
        <v>36.993500000000004</v>
      </c>
      <c r="N4193">
        <v>12.66</v>
      </c>
      <c r="O4193">
        <v>1697</v>
      </c>
      <c r="P4193">
        <v>757</v>
      </c>
      <c r="Q4193" s="5" t="e">
        <f>IF(AND(#REF!&gt;=table!$C$6,#REF!&lt;= table!$D$6),-1,IF(AND(#REF!&gt;=table!$E$6,#REF!&lt;=table!$F$6),1,0))</f>
        <v>#REF!</v>
      </c>
      <c r="R4193" s="5" t="e">
        <f>IF(AND(#REF!&gt;=table!$C$7,#REF!&lt;= table!$D$7),-1,IF(AND(#REF!&gt;=table!$E$7,#REF!&lt;=table!$F$7),1,0))</f>
        <v>#REF!</v>
      </c>
      <c r="S4193" s="5" t="e">
        <f>IF(AND(#REF!&gt;=table!$C$8,#REF!&lt;= table!$D$8),-1,IF(AND(#REF!&gt;=table!$E$8,#REF!&lt;=table!$F$8),1,0))</f>
        <v>#REF!</v>
      </c>
      <c r="T4193" s="5"/>
      <c r="U4193" s="5" t="e">
        <f>IF(AND(#REF!&gt;=table!$C$10,#REF!&lt;= table!$D$10),-1,IF(AND(#REF!&gt;=table!$E$10,#REF!&lt;=table!$F$10),1,0))</f>
        <v>#REF!</v>
      </c>
      <c r="V4193" s="5" t="e">
        <f>IF(AND(#REF!&gt;=table!$C$11,#REF!&lt;= table!$D$11),-1,IF(AND(#REF!&gt;=table!$E$11,#REF!&lt;=table!$F$11),1,0))</f>
        <v>#REF!</v>
      </c>
      <c r="W4193" s="5" t="e">
        <f>CONCATENATE(dados[[#This Row],[fator1]],dados[[#This Row],[fator5]],dados[[#This Row],[fator6]])</f>
        <v>#REF!</v>
      </c>
    </row>
    <row r="4194" spans="1:23">
      <c r="A4194" t="s">
        <v>17</v>
      </c>
      <c r="B4194">
        <v>589467</v>
      </c>
      <c r="C4194">
        <v>30</v>
      </c>
      <c r="D4194">
        <v>18</v>
      </c>
      <c r="E4194">
        <v>66</v>
      </c>
      <c r="F4194">
        <v>6</v>
      </c>
      <c r="G4194">
        <v>20</v>
      </c>
      <c r="H4194">
        <v>25</v>
      </c>
      <c r="I4194">
        <v>1310</v>
      </c>
      <c r="J4194">
        <v>0</v>
      </c>
      <c r="K4194">
        <v>4.5570000000000004</v>
      </c>
      <c r="L4194">
        <v>10.643500000000001</v>
      </c>
      <c r="M4194">
        <v>43.217500000000001</v>
      </c>
      <c r="N4194">
        <v>15.81</v>
      </c>
      <c r="O4194">
        <v>1672</v>
      </c>
      <c r="P4194">
        <v>0</v>
      </c>
      <c r="Q4194" s="5" t="e">
        <f>IF(AND(#REF!&gt;=table!$C$6,#REF!&lt;= table!$D$6),-1,IF(AND(#REF!&gt;=table!$E$6,#REF!&lt;=table!$F$6),1,0))</f>
        <v>#REF!</v>
      </c>
      <c r="R4194" s="5" t="e">
        <f>IF(AND(#REF!&gt;=table!$C$7,#REF!&lt;= table!$D$7),-1,IF(AND(#REF!&gt;=table!$E$7,#REF!&lt;=table!$F$7),1,0))</f>
        <v>#REF!</v>
      </c>
      <c r="S4194" s="5" t="e">
        <f>IF(AND(#REF!&gt;=table!$C$8,#REF!&lt;= table!$D$8),-1,IF(AND(#REF!&gt;=table!$E$8,#REF!&lt;=table!$F$8),1,0))</f>
        <v>#REF!</v>
      </c>
      <c r="T4194" s="5"/>
      <c r="U4194" s="5" t="e">
        <f>IF(AND(#REF!&gt;=table!$C$10,#REF!&lt;= table!$D$10),-1,IF(AND(#REF!&gt;=table!$E$10,#REF!&lt;=table!$F$10),1,0))</f>
        <v>#REF!</v>
      </c>
      <c r="V4194" s="5" t="e">
        <f>IF(AND(#REF!&gt;=table!$C$11,#REF!&lt;= table!$D$11),-1,IF(AND(#REF!&gt;=table!$E$11,#REF!&lt;=table!$F$11),1,0))</f>
        <v>#REF!</v>
      </c>
      <c r="W4194" s="5" t="e">
        <f>CONCATENATE(dados[[#This Row],[fator1]],dados[[#This Row],[fator5]],dados[[#This Row],[fator6]])</f>
        <v>#REF!</v>
      </c>
    </row>
    <row r="4195" spans="1:23">
      <c r="A4195" t="s">
        <v>17</v>
      </c>
      <c r="B4195">
        <v>589468</v>
      </c>
      <c r="C4195">
        <v>30</v>
      </c>
      <c r="D4195">
        <v>18</v>
      </c>
      <c r="E4195">
        <v>66</v>
      </c>
      <c r="F4195">
        <v>6</v>
      </c>
      <c r="G4195">
        <v>20</v>
      </c>
      <c r="H4195">
        <v>25</v>
      </c>
      <c r="I4195">
        <v>0</v>
      </c>
      <c r="J4195">
        <v>0</v>
      </c>
      <c r="K4195">
        <v>6.2370000000000001</v>
      </c>
      <c r="L4195">
        <v>14.637500000000001</v>
      </c>
      <c r="M4195">
        <v>42.822000000000003</v>
      </c>
      <c r="N4195">
        <v>18.625</v>
      </c>
      <c r="O4195">
        <v>1677</v>
      </c>
      <c r="P4195">
        <v>570</v>
      </c>
      <c r="Q4195" s="5" t="e">
        <f>IF(AND(#REF!&gt;=table!$C$6,#REF!&lt;= table!$D$6),-1,IF(AND(#REF!&gt;=table!$E$6,#REF!&lt;=table!$F$6),1,0))</f>
        <v>#REF!</v>
      </c>
      <c r="R4195" s="5" t="e">
        <f>IF(AND(#REF!&gt;=table!$C$7,#REF!&lt;= table!$D$7),-1,IF(AND(#REF!&gt;=table!$E$7,#REF!&lt;=table!$F$7),1,0))</f>
        <v>#REF!</v>
      </c>
      <c r="S4195" s="5" t="e">
        <f>IF(AND(#REF!&gt;=table!$C$8,#REF!&lt;= table!$D$8),-1,IF(AND(#REF!&gt;=table!$E$8,#REF!&lt;=table!$F$8),1,0))</f>
        <v>#REF!</v>
      </c>
      <c r="T4195" s="5"/>
      <c r="U4195" s="5" t="e">
        <f>IF(AND(#REF!&gt;=table!$C$10,#REF!&lt;= table!$D$10),-1,IF(AND(#REF!&gt;=table!$E$10,#REF!&lt;=table!$F$10),1,0))</f>
        <v>#REF!</v>
      </c>
      <c r="V4195" s="5" t="e">
        <f>IF(AND(#REF!&gt;=table!$C$11,#REF!&lt;= table!$D$11),-1,IF(AND(#REF!&gt;=table!$E$11,#REF!&lt;=table!$F$11),1,0))</f>
        <v>#REF!</v>
      </c>
      <c r="W4195" s="5" t="e">
        <f>CONCATENATE(dados[[#This Row],[fator1]],dados[[#This Row],[fator5]],dados[[#This Row],[fator6]])</f>
        <v>#REF!</v>
      </c>
    </row>
    <row r="4196" spans="1:23">
      <c r="A4196" t="s">
        <v>17</v>
      </c>
      <c r="B4196">
        <v>589469</v>
      </c>
      <c r="C4196">
        <v>14</v>
      </c>
      <c r="D4196">
        <v>30</v>
      </c>
      <c r="E4196">
        <v>110</v>
      </c>
      <c r="F4196">
        <v>3</v>
      </c>
      <c r="G4196">
        <v>20</v>
      </c>
      <c r="H4196">
        <v>22</v>
      </c>
      <c r="I4196">
        <v>872</v>
      </c>
      <c r="J4196">
        <v>0</v>
      </c>
      <c r="K4196">
        <v>5.7560000000000002</v>
      </c>
      <c r="L4196">
        <v>11.346500000000001</v>
      </c>
      <c r="M4196">
        <v>95.522500000000008</v>
      </c>
      <c r="N4196">
        <v>16.330000000000002</v>
      </c>
      <c r="O4196">
        <v>1696</v>
      </c>
      <c r="P4196">
        <v>605</v>
      </c>
      <c r="Q4196" s="5" t="e">
        <f>IF(AND(#REF!&gt;=table!$C$6,#REF!&lt;= table!$D$6),-1,IF(AND(#REF!&gt;=table!$E$6,#REF!&lt;=table!$F$6),1,0))</f>
        <v>#REF!</v>
      </c>
      <c r="R4196" s="5" t="e">
        <f>IF(AND(#REF!&gt;=table!$C$7,#REF!&lt;= table!$D$7),-1,IF(AND(#REF!&gt;=table!$E$7,#REF!&lt;=table!$F$7),1,0))</f>
        <v>#REF!</v>
      </c>
      <c r="S4196" s="5" t="e">
        <f>IF(AND(#REF!&gt;=table!$C$8,#REF!&lt;= table!$D$8),-1,IF(AND(#REF!&gt;=table!$E$8,#REF!&lt;=table!$F$8),1,0))</f>
        <v>#REF!</v>
      </c>
      <c r="T4196" s="5"/>
      <c r="U4196" s="5" t="e">
        <f>IF(AND(#REF!&gt;=table!$C$10,#REF!&lt;= table!$D$10),-1,IF(AND(#REF!&gt;=table!$E$10,#REF!&lt;=table!$F$10),1,0))</f>
        <v>#REF!</v>
      </c>
      <c r="V4196" s="5" t="e">
        <f>IF(AND(#REF!&gt;=table!$C$11,#REF!&lt;= table!$D$11),-1,IF(AND(#REF!&gt;=table!$E$11,#REF!&lt;=table!$F$11),1,0))</f>
        <v>#REF!</v>
      </c>
      <c r="W4196" s="5" t="e">
        <f>CONCATENATE(dados[[#This Row],[fator1]],dados[[#This Row],[fator5]],dados[[#This Row],[fator6]])</f>
        <v>#REF!</v>
      </c>
    </row>
    <row r="4197" spans="1:23">
      <c r="A4197" t="s">
        <v>17</v>
      </c>
      <c r="B4197">
        <v>589471</v>
      </c>
      <c r="C4197">
        <v>14</v>
      </c>
      <c r="D4197">
        <v>30</v>
      </c>
      <c r="E4197">
        <v>110</v>
      </c>
      <c r="F4197">
        <v>3</v>
      </c>
      <c r="G4197">
        <v>20</v>
      </c>
      <c r="H4197">
        <v>22</v>
      </c>
      <c r="I4197">
        <v>288</v>
      </c>
      <c r="J4197">
        <v>0</v>
      </c>
      <c r="K4197">
        <v>7.5165000000000006</v>
      </c>
      <c r="L4197">
        <v>9.1859999999999999</v>
      </c>
      <c r="M4197">
        <v>94.512500000000003</v>
      </c>
      <c r="N4197">
        <v>10.265000000000001</v>
      </c>
      <c r="O4197">
        <v>1677</v>
      </c>
      <c r="P4197">
        <v>530</v>
      </c>
      <c r="Q4197" s="5" t="e">
        <f>IF(AND(#REF!&gt;=table!$C$6,#REF!&lt;= table!$D$6),-1,IF(AND(#REF!&gt;=table!$E$6,#REF!&lt;=table!$F$6),1,0))</f>
        <v>#REF!</v>
      </c>
      <c r="R4197" s="5" t="e">
        <f>IF(AND(#REF!&gt;=table!$C$7,#REF!&lt;= table!$D$7),-1,IF(AND(#REF!&gt;=table!$E$7,#REF!&lt;=table!$F$7),1,0))</f>
        <v>#REF!</v>
      </c>
      <c r="S4197" s="5" t="e">
        <f>IF(AND(#REF!&gt;=table!$C$8,#REF!&lt;= table!$D$8),-1,IF(AND(#REF!&gt;=table!$E$8,#REF!&lt;=table!$F$8),1,0))</f>
        <v>#REF!</v>
      </c>
      <c r="T4197" s="5"/>
      <c r="U4197" s="5" t="e">
        <f>IF(AND(#REF!&gt;=table!$C$10,#REF!&lt;= table!$D$10),-1,IF(AND(#REF!&gt;=table!$E$10,#REF!&lt;=table!$F$10),1,0))</f>
        <v>#REF!</v>
      </c>
      <c r="V4197" s="5" t="e">
        <f>IF(AND(#REF!&gt;=table!$C$11,#REF!&lt;= table!$D$11),-1,IF(AND(#REF!&gt;=table!$E$11,#REF!&lt;=table!$F$11),1,0))</f>
        <v>#REF!</v>
      </c>
      <c r="W4197" s="5" t="e">
        <f>CONCATENATE(dados[[#This Row],[fator1]],dados[[#This Row],[fator5]],dados[[#This Row],[fator6]])</f>
        <v>#REF!</v>
      </c>
    </row>
    <row r="4198" spans="1:23">
      <c r="A4198" t="s">
        <v>17</v>
      </c>
      <c r="B4198">
        <v>589472</v>
      </c>
      <c r="C4198">
        <v>14</v>
      </c>
      <c r="D4198">
        <v>30</v>
      </c>
      <c r="E4198">
        <v>110</v>
      </c>
      <c r="F4198">
        <v>3</v>
      </c>
      <c r="G4198">
        <v>20</v>
      </c>
      <c r="H4198">
        <v>22</v>
      </c>
      <c r="I4198">
        <v>475</v>
      </c>
      <c r="J4198">
        <v>0</v>
      </c>
      <c r="K4198">
        <v>9.9450000000000003</v>
      </c>
      <c r="L4198">
        <v>12.253500000000001</v>
      </c>
      <c r="M4198">
        <v>64.165999999999997</v>
      </c>
      <c r="N4198">
        <v>13.095000000000001</v>
      </c>
      <c r="O4198">
        <v>1679</v>
      </c>
      <c r="P4198">
        <v>0</v>
      </c>
      <c r="Q4198" s="5" t="e">
        <f>IF(AND(#REF!&gt;=table!$C$6,#REF!&lt;= table!$D$6),-1,IF(AND(#REF!&gt;=table!$E$6,#REF!&lt;=table!$F$6),1,0))</f>
        <v>#REF!</v>
      </c>
      <c r="R4198" s="5" t="e">
        <f>IF(AND(#REF!&gt;=table!$C$7,#REF!&lt;= table!$D$7),-1,IF(AND(#REF!&gt;=table!$E$7,#REF!&lt;=table!$F$7),1,0))</f>
        <v>#REF!</v>
      </c>
      <c r="S4198" s="5" t="e">
        <f>IF(AND(#REF!&gt;=table!$C$8,#REF!&lt;= table!$D$8),-1,IF(AND(#REF!&gt;=table!$E$8,#REF!&lt;=table!$F$8),1,0))</f>
        <v>#REF!</v>
      </c>
      <c r="T4198" s="5"/>
      <c r="U4198" s="5" t="e">
        <f>IF(AND(#REF!&gt;=table!$C$10,#REF!&lt;= table!$D$10),-1,IF(AND(#REF!&gt;=table!$E$10,#REF!&lt;=table!$F$10),1,0))</f>
        <v>#REF!</v>
      </c>
      <c r="V4198" s="5" t="e">
        <f>IF(AND(#REF!&gt;=table!$C$11,#REF!&lt;= table!$D$11),-1,IF(AND(#REF!&gt;=table!$E$11,#REF!&lt;=table!$F$11),1,0))</f>
        <v>#REF!</v>
      </c>
      <c r="W4198" s="5" t="e">
        <f>CONCATENATE(dados[[#This Row],[fator1]],dados[[#This Row],[fator5]],dados[[#This Row],[fator6]])</f>
        <v>#REF!</v>
      </c>
    </row>
    <row r="4199" spans="1:23">
      <c r="A4199" t="s">
        <v>16</v>
      </c>
      <c r="B4199">
        <v>589474</v>
      </c>
      <c r="C4199">
        <v>12</v>
      </c>
      <c r="D4199">
        <v>40</v>
      </c>
      <c r="E4199">
        <v>36</v>
      </c>
      <c r="F4199">
        <v>9</v>
      </c>
      <c r="G4199">
        <v>0</v>
      </c>
      <c r="H4199">
        <v>25</v>
      </c>
      <c r="I4199">
        <v>495</v>
      </c>
      <c r="J4199">
        <v>0</v>
      </c>
      <c r="K4199">
        <v>3.3930000000000002</v>
      </c>
      <c r="L4199">
        <v>6.9675000000000002</v>
      </c>
      <c r="M4199">
        <v>31.419</v>
      </c>
      <c r="N4199">
        <v>12.31</v>
      </c>
      <c r="O4199">
        <v>1669</v>
      </c>
      <c r="P4199">
        <v>1061</v>
      </c>
      <c r="Q4199" s="5" t="e">
        <f>IF(AND(#REF!&gt;=table!$C$6,#REF!&lt;= table!$D$6),-1,IF(AND(#REF!&gt;=table!$E$6,#REF!&lt;=table!$F$6),1,0))</f>
        <v>#REF!</v>
      </c>
      <c r="R4199" s="5" t="e">
        <f>IF(AND(#REF!&gt;=table!$C$7,#REF!&lt;= table!$D$7),-1,IF(AND(#REF!&gt;=table!$E$7,#REF!&lt;=table!$F$7),1,0))</f>
        <v>#REF!</v>
      </c>
      <c r="S4199" s="5" t="e">
        <f>IF(AND(#REF!&gt;=table!$C$8,#REF!&lt;= table!$D$8),-1,IF(AND(#REF!&gt;=table!$E$8,#REF!&lt;=table!$F$8),1,0))</f>
        <v>#REF!</v>
      </c>
      <c r="T4199" s="5"/>
      <c r="U4199" s="5" t="e">
        <f>IF(AND(#REF!&gt;=table!$C$10,#REF!&lt;= table!$D$10),-1,IF(AND(#REF!&gt;=table!$E$10,#REF!&lt;=table!$F$10),1,0))</f>
        <v>#REF!</v>
      </c>
      <c r="V4199" s="5" t="e">
        <f>IF(AND(#REF!&gt;=table!$C$11,#REF!&lt;= table!$D$11),-1,IF(AND(#REF!&gt;=table!$E$11,#REF!&lt;=table!$F$11),1,0))</f>
        <v>#REF!</v>
      </c>
      <c r="W4199" s="5" t="e">
        <f>CONCATENATE(dados[[#This Row],[fator1]],dados[[#This Row],[fator5]],dados[[#This Row],[fator6]])</f>
        <v>#REF!</v>
      </c>
    </row>
    <row r="4200" spans="1:23">
      <c r="A4200" t="s">
        <v>17</v>
      </c>
      <c r="B4200">
        <v>589478</v>
      </c>
      <c r="C4200">
        <v>8</v>
      </c>
      <c r="D4200">
        <v>30</v>
      </c>
      <c r="E4200">
        <v>153</v>
      </c>
      <c r="F4200">
        <v>2</v>
      </c>
      <c r="G4200">
        <v>20</v>
      </c>
      <c r="H4200">
        <v>18</v>
      </c>
      <c r="I4200">
        <v>5</v>
      </c>
      <c r="J4200">
        <v>0</v>
      </c>
      <c r="K4200">
        <v>4.8760000000000003</v>
      </c>
      <c r="L4200">
        <v>11.189</v>
      </c>
      <c r="M4200">
        <v>121.84650000000001</v>
      </c>
      <c r="N4200">
        <v>14.315000000000001</v>
      </c>
      <c r="O4200">
        <v>1713</v>
      </c>
      <c r="P4200">
        <v>818</v>
      </c>
      <c r="Q4200" s="5" t="e">
        <f>IF(AND(#REF!&gt;=table!$C$6,#REF!&lt;= table!$D$6),-1,IF(AND(#REF!&gt;=table!$E$6,#REF!&lt;=table!$F$6),1,0))</f>
        <v>#REF!</v>
      </c>
      <c r="R4200" s="5" t="e">
        <f>IF(AND(#REF!&gt;=table!$C$7,#REF!&lt;= table!$D$7),-1,IF(AND(#REF!&gt;=table!$E$7,#REF!&lt;=table!$F$7),1,0))</f>
        <v>#REF!</v>
      </c>
      <c r="S4200" s="5" t="e">
        <f>IF(AND(#REF!&gt;=table!$C$8,#REF!&lt;= table!$D$8),-1,IF(AND(#REF!&gt;=table!$E$8,#REF!&lt;=table!$F$8),1,0))</f>
        <v>#REF!</v>
      </c>
      <c r="T4200" s="5"/>
      <c r="U4200" s="5" t="e">
        <f>IF(AND(#REF!&gt;=table!$C$10,#REF!&lt;= table!$D$10),-1,IF(AND(#REF!&gt;=table!$E$10,#REF!&lt;=table!$F$10),1,0))</f>
        <v>#REF!</v>
      </c>
      <c r="V4200" s="5" t="e">
        <f>IF(AND(#REF!&gt;=table!$C$11,#REF!&lt;= table!$D$11),-1,IF(AND(#REF!&gt;=table!$E$11,#REF!&lt;=table!$F$11),1,0))</f>
        <v>#REF!</v>
      </c>
      <c r="W4200" s="5" t="e">
        <f>CONCATENATE(dados[[#This Row],[fator1]],dados[[#This Row],[fator5]],dados[[#This Row],[fator6]])</f>
        <v>#REF!</v>
      </c>
    </row>
    <row r="4201" spans="1:23">
      <c r="A4201" t="s">
        <v>16</v>
      </c>
      <c r="B4201">
        <v>589480</v>
      </c>
      <c r="C4201">
        <v>11</v>
      </c>
      <c r="D4201">
        <v>40</v>
      </c>
      <c r="E4201">
        <v>151</v>
      </c>
      <c r="F4201">
        <v>8</v>
      </c>
      <c r="G4201">
        <v>0</v>
      </c>
      <c r="H4201">
        <v>25</v>
      </c>
      <c r="I4201">
        <v>135</v>
      </c>
      <c r="J4201">
        <v>0</v>
      </c>
      <c r="K4201">
        <v>6.9970000000000008</v>
      </c>
      <c r="L4201">
        <v>13.4945</v>
      </c>
      <c r="M4201">
        <v>131.05549999999999</v>
      </c>
      <c r="N4201">
        <v>15.99</v>
      </c>
      <c r="O4201">
        <v>1678</v>
      </c>
      <c r="P4201">
        <v>493</v>
      </c>
      <c r="Q4201" s="5" t="e">
        <f>IF(AND(#REF!&gt;=table!$C$6,#REF!&lt;= table!$D$6),-1,IF(AND(#REF!&gt;=table!$E$6,#REF!&lt;=table!$F$6),1,0))</f>
        <v>#REF!</v>
      </c>
      <c r="R4201" s="5" t="e">
        <f>IF(AND(#REF!&gt;=table!$C$7,#REF!&lt;= table!$D$7),-1,IF(AND(#REF!&gt;=table!$E$7,#REF!&lt;=table!$F$7),1,0))</f>
        <v>#REF!</v>
      </c>
      <c r="S4201" s="5" t="e">
        <f>IF(AND(#REF!&gt;=table!$C$8,#REF!&lt;= table!$D$8),-1,IF(AND(#REF!&gt;=table!$E$8,#REF!&lt;=table!$F$8),1,0))</f>
        <v>#REF!</v>
      </c>
      <c r="T4201" s="5"/>
      <c r="U4201" s="5" t="e">
        <f>IF(AND(#REF!&gt;=table!$C$10,#REF!&lt;= table!$D$10),-1,IF(AND(#REF!&gt;=table!$E$10,#REF!&lt;=table!$F$10),1,0))</f>
        <v>#REF!</v>
      </c>
      <c r="V4201" s="5" t="e">
        <f>IF(AND(#REF!&gt;=table!$C$11,#REF!&lt;= table!$D$11),-1,IF(AND(#REF!&gt;=table!$E$11,#REF!&lt;=table!$F$11),1,0))</f>
        <v>#REF!</v>
      </c>
      <c r="W4201" s="5" t="e">
        <f>CONCATENATE(dados[[#This Row],[fator1]],dados[[#This Row],[fator5]],dados[[#This Row],[fator6]])</f>
        <v>#REF!</v>
      </c>
    </row>
    <row r="4202" spans="1:23">
      <c r="A4202" t="s">
        <v>16</v>
      </c>
      <c r="B4202">
        <v>589483</v>
      </c>
      <c r="C4202">
        <v>0.15</v>
      </c>
      <c r="D4202">
        <v>35</v>
      </c>
      <c r="E4202">
        <v>15</v>
      </c>
      <c r="F4202">
        <v>10</v>
      </c>
      <c r="G4202">
        <v>0</v>
      </c>
      <c r="H4202">
        <v>12</v>
      </c>
      <c r="I4202">
        <v>1197</v>
      </c>
      <c r="J4202">
        <v>860</v>
      </c>
      <c r="K4202">
        <v>5.5365000000000002</v>
      </c>
      <c r="L4202">
        <v>7.8875000000000002</v>
      </c>
      <c r="M4202">
        <v>5.1560000000000006</v>
      </c>
      <c r="N4202">
        <v>8.4600000000000009</v>
      </c>
      <c r="O4202">
        <v>1615</v>
      </c>
      <c r="P4202">
        <v>617</v>
      </c>
      <c r="Q4202" s="5" t="e">
        <f>IF(AND(#REF!&gt;=table!$C$6,#REF!&lt;= table!$D$6),-1,IF(AND(#REF!&gt;=table!$E$6,#REF!&lt;=table!$F$6),1,0))</f>
        <v>#REF!</v>
      </c>
      <c r="R4202" s="5" t="e">
        <f>IF(AND(#REF!&gt;=table!$C$7,#REF!&lt;= table!$D$7),-1,IF(AND(#REF!&gt;=table!$E$7,#REF!&lt;=table!$F$7),1,0))</f>
        <v>#REF!</v>
      </c>
      <c r="S4202" s="5" t="e">
        <f>IF(AND(#REF!&gt;=table!$C$8,#REF!&lt;= table!$D$8),-1,IF(AND(#REF!&gt;=table!$E$8,#REF!&lt;=table!$F$8),1,0))</f>
        <v>#REF!</v>
      </c>
      <c r="T4202" s="5"/>
      <c r="U4202" s="5" t="e">
        <f>IF(AND(#REF!&gt;=table!$C$10,#REF!&lt;= table!$D$10),-1,IF(AND(#REF!&gt;=table!$E$10,#REF!&lt;=table!$F$10),1,0))</f>
        <v>#REF!</v>
      </c>
      <c r="V4202" s="5" t="e">
        <f>IF(AND(#REF!&gt;=table!$C$11,#REF!&lt;= table!$D$11),-1,IF(AND(#REF!&gt;=table!$E$11,#REF!&lt;=table!$F$11),1,0))</f>
        <v>#REF!</v>
      </c>
      <c r="W4202" s="5" t="e">
        <f>CONCATENATE(dados[[#This Row],[fator1]],dados[[#This Row],[fator5]],dados[[#This Row],[fator6]])</f>
        <v>#REF!</v>
      </c>
    </row>
    <row r="4203" spans="1:23">
      <c r="A4203" t="s">
        <v>16</v>
      </c>
      <c r="B4203">
        <v>589485</v>
      </c>
      <c r="C4203">
        <v>0.15</v>
      </c>
      <c r="D4203">
        <v>35</v>
      </c>
      <c r="E4203">
        <v>15</v>
      </c>
      <c r="F4203">
        <v>10</v>
      </c>
      <c r="G4203">
        <v>0</v>
      </c>
      <c r="H4203">
        <v>12</v>
      </c>
      <c r="I4203">
        <v>1371</v>
      </c>
      <c r="J4203">
        <v>0</v>
      </c>
      <c r="K4203">
        <v>7.3835000000000006</v>
      </c>
      <c r="L4203">
        <v>10.874500000000001</v>
      </c>
      <c r="M4203">
        <v>10.102500000000001</v>
      </c>
      <c r="N4203">
        <v>11.3</v>
      </c>
      <c r="O4203">
        <v>1677</v>
      </c>
      <c r="P4203">
        <v>0</v>
      </c>
      <c r="Q4203" s="5" t="e">
        <f>IF(AND(#REF!&gt;=table!$C$6,#REF!&lt;= table!$D$6),-1,IF(AND(#REF!&gt;=table!$E$6,#REF!&lt;=table!$F$6),1,0))</f>
        <v>#REF!</v>
      </c>
      <c r="R4203" s="5" t="e">
        <f>IF(AND(#REF!&gt;=table!$C$7,#REF!&lt;= table!$D$7),-1,IF(AND(#REF!&gt;=table!$E$7,#REF!&lt;=table!$F$7),1,0))</f>
        <v>#REF!</v>
      </c>
      <c r="S4203" s="5" t="e">
        <f>IF(AND(#REF!&gt;=table!$C$8,#REF!&lt;= table!$D$8),-1,IF(AND(#REF!&gt;=table!$E$8,#REF!&lt;=table!$F$8),1,0))</f>
        <v>#REF!</v>
      </c>
      <c r="T4203" s="5"/>
      <c r="U4203" s="5" t="e">
        <f>IF(AND(#REF!&gt;=table!$C$10,#REF!&lt;= table!$D$10),-1,IF(AND(#REF!&gt;=table!$E$10,#REF!&lt;=table!$F$10),1,0))</f>
        <v>#REF!</v>
      </c>
      <c r="V4203" s="5" t="e">
        <f>IF(AND(#REF!&gt;=table!$C$11,#REF!&lt;= table!$D$11),-1,IF(AND(#REF!&gt;=table!$E$11,#REF!&lt;=table!$F$11),1,0))</f>
        <v>#REF!</v>
      </c>
      <c r="W4203" s="5" t="e">
        <f>CONCATENATE(dados[[#This Row],[fator1]],dados[[#This Row],[fator5]],dados[[#This Row],[fator6]])</f>
        <v>#REF!</v>
      </c>
    </row>
    <row r="4204" spans="1:23">
      <c r="A4204" t="s">
        <v>16</v>
      </c>
      <c r="B4204">
        <v>589486</v>
      </c>
      <c r="C4204">
        <v>0.15</v>
      </c>
      <c r="D4204">
        <v>35</v>
      </c>
      <c r="E4204">
        <v>15</v>
      </c>
      <c r="F4204">
        <v>10</v>
      </c>
      <c r="G4204">
        <v>0</v>
      </c>
      <c r="H4204">
        <v>12</v>
      </c>
      <c r="I4204">
        <v>811</v>
      </c>
      <c r="J4204">
        <v>0</v>
      </c>
      <c r="K4204">
        <v>6.7613000000000003</v>
      </c>
      <c r="L4204">
        <v>11.715</v>
      </c>
      <c r="M4204">
        <v>10.540000000000001</v>
      </c>
      <c r="N4204">
        <v>14.075000000000001</v>
      </c>
      <c r="O4204">
        <v>1672</v>
      </c>
      <c r="P4204">
        <v>341</v>
      </c>
      <c r="Q4204" s="5" t="e">
        <f>IF(AND(#REF!&gt;=table!$C$6,#REF!&lt;= table!$D$6),-1,IF(AND(#REF!&gt;=table!$E$6,#REF!&lt;=table!$F$6),1,0))</f>
        <v>#REF!</v>
      </c>
      <c r="R4204" s="5" t="e">
        <f>IF(AND(#REF!&gt;=table!$C$7,#REF!&lt;= table!$D$7),-1,IF(AND(#REF!&gt;=table!$E$7,#REF!&lt;=table!$F$7),1,0))</f>
        <v>#REF!</v>
      </c>
      <c r="S4204" s="5" t="e">
        <f>IF(AND(#REF!&gt;=table!$C$8,#REF!&lt;= table!$D$8),-1,IF(AND(#REF!&gt;=table!$E$8,#REF!&lt;=table!$F$8),1,0))</f>
        <v>#REF!</v>
      </c>
      <c r="T4204" s="5"/>
      <c r="U4204" s="5" t="e">
        <f>IF(AND(#REF!&gt;=table!$C$10,#REF!&lt;= table!$D$10),-1,IF(AND(#REF!&gt;=table!$E$10,#REF!&lt;=table!$F$10),1,0))</f>
        <v>#REF!</v>
      </c>
      <c r="V4204" s="5" t="e">
        <f>IF(AND(#REF!&gt;=table!$C$11,#REF!&lt;= table!$D$11),-1,IF(AND(#REF!&gt;=table!$E$11,#REF!&lt;=table!$F$11),1,0))</f>
        <v>#REF!</v>
      </c>
      <c r="W4204" s="5" t="e">
        <f>CONCATENATE(dados[[#This Row],[fator1]],dados[[#This Row],[fator5]],dados[[#This Row],[fator6]])</f>
        <v>#REF!</v>
      </c>
    </row>
    <row r="4205" spans="1:23">
      <c r="A4205" t="s">
        <v>16</v>
      </c>
      <c r="B4205">
        <v>589488</v>
      </c>
      <c r="C4205">
        <v>0.15</v>
      </c>
      <c r="D4205">
        <v>35</v>
      </c>
      <c r="E4205">
        <v>15</v>
      </c>
      <c r="F4205">
        <v>10</v>
      </c>
      <c r="G4205">
        <v>0</v>
      </c>
      <c r="H4205">
        <v>12</v>
      </c>
      <c r="I4205">
        <v>1074</v>
      </c>
      <c r="J4205">
        <v>630</v>
      </c>
      <c r="K4205">
        <v>4.6820000000000004</v>
      </c>
      <c r="L4205">
        <v>5.8860000000000001</v>
      </c>
      <c r="M4205">
        <v>4.859</v>
      </c>
      <c r="N4205">
        <v>10.055</v>
      </c>
      <c r="O4205">
        <v>1633</v>
      </c>
      <c r="P4205">
        <v>797</v>
      </c>
      <c r="Q4205" s="5" t="e">
        <f>IF(AND(#REF!&gt;=table!$C$6,#REF!&lt;= table!$D$6),-1,IF(AND(#REF!&gt;=table!$E$6,#REF!&lt;=table!$F$6),1,0))</f>
        <v>#REF!</v>
      </c>
      <c r="R4205" s="5" t="e">
        <f>IF(AND(#REF!&gt;=table!$C$7,#REF!&lt;= table!$D$7),-1,IF(AND(#REF!&gt;=table!$E$7,#REF!&lt;=table!$F$7),1,0))</f>
        <v>#REF!</v>
      </c>
      <c r="S4205" s="5" t="e">
        <f>IF(AND(#REF!&gt;=table!$C$8,#REF!&lt;= table!$D$8),-1,IF(AND(#REF!&gt;=table!$E$8,#REF!&lt;=table!$F$8),1,0))</f>
        <v>#REF!</v>
      </c>
      <c r="T4205" s="5"/>
      <c r="U4205" s="5" t="e">
        <f>IF(AND(#REF!&gt;=table!$C$10,#REF!&lt;= table!$D$10),-1,IF(AND(#REF!&gt;=table!$E$10,#REF!&lt;=table!$F$10),1,0))</f>
        <v>#REF!</v>
      </c>
      <c r="V4205" s="5" t="e">
        <f>IF(AND(#REF!&gt;=table!$C$11,#REF!&lt;= table!$D$11),-1,IF(AND(#REF!&gt;=table!$E$11,#REF!&lt;=table!$F$11),1,0))</f>
        <v>#REF!</v>
      </c>
      <c r="W4205" s="5" t="e">
        <f>CONCATENATE(dados[[#This Row],[fator1]],dados[[#This Row],[fator5]],dados[[#This Row],[fator6]])</f>
        <v>#REF!</v>
      </c>
    </row>
    <row r="4206" spans="1:23">
      <c r="A4206" t="s">
        <v>16</v>
      </c>
      <c r="B4206">
        <v>589491</v>
      </c>
      <c r="C4206">
        <v>10</v>
      </c>
      <c r="D4206">
        <v>40</v>
      </c>
      <c r="E4206">
        <v>136</v>
      </c>
      <c r="F4206">
        <v>6</v>
      </c>
      <c r="G4206">
        <v>0</v>
      </c>
      <c r="H4206">
        <v>25</v>
      </c>
      <c r="I4206">
        <v>384</v>
      </c>
      <c r="J4206">
        <v>0</v>
      </c>
      <c r="K4206">
        <v>4.0999999999999996</v>
      </c>
      <c r="L4206">
        <v>6.4595000000000002</v>
      </c>
      <c r="M4206">
        <v>79.573999999999998</v>
      </c>
      <c r="N4206">
        <v>12.475000000000001</v>
      </c>
      <c r="O4206">
        <v>1672</v>
      </c>
      <c r="P4206">
        <v>1164</v>
      </c>
      <c r="Q4206" s="5" t="e">
        <f>IF(AND(#REF!&gt;=table!$C$6,#REF!&lt;= table!$D$6),-1,IF(AND(#REF!&gt;=table!$E$6,#REF!&lt;=table!$F$6),1,0))</f>
        <v>#REF!</v>
      </c>
      <c r="R4206" s="5" t="e">
        <f>IF(AND(#REF!&gt;=table!$C$7,#REF!&lt;= table!$D$7),-1,IF(AND(#REF!&gt;=table!$E$7,#REF!&lt;=table!$F$7),1,0))</f>
        <v>#REF!</v>
      </c>
      <c r="S4206" s="5" t="e">
        <f>IF(AND(#REF!&gt;=table!$C$8,#REF!&lt;= table!$D$8),-1,IF(AND(#REF!&gt;=table!$E$8,#REF!&lt;=table!$F$8),1,0))</f>
        <v>#REF!</v>
      </c>
      <c r="T4206" s="5"/>
      <c r="U4206" s="5" t="e">
        <f>IF(AND(#REF!&gt;=table!$C$10,#REF!&lt;= table!$D$10),-1,IF(AND(#REF!&gt;=table!$E$10,#REF!&lt;=table!$F$10),1,0))</f>
        <v>#REF!</v>
      </c>
      <c r="V4206" s="5" t="e">
        <f>IF(AND(#REF!&gt;=table!$C$11,#REF!&lt;= table!$D$11),-1,IF(AND(#REF!&gt;=table!$E$11,#REF!&lt;=table!$F$11),1,0))</f>
        <v>#REF!</v>
      </c>
      <c r="W4206" s="5" t="e">
        <f>CONCATENATE(dados[[#This Row],[fator1]],dados[[#This Row],[fator5]],dados[[#This Row],[fator6]])</f>
        <v>#REF!</v>
      </c>
    </row>
    <row r="4207" spans="1:23">
      <c r="A4207" t="s">
        <v>16</v>
      </c>
      <c r="B4207">
        <v>589493</v>
      </c>
      <c r="C4207">
        <v>0.1</v>
      </c>
      <c r="D4207">
        <v>40</v>
      </c>
      <c r="E4207">
        <v>10</v>
      </c>
      <c r="F4207">
        <v>8</v>
      </c>
      <c r="G4207">
        <v>0</v>
      </c>
      <c r="H4207">
        <v>10</v>
      </c>
      <c r="I4207">
        <v>505</v>
      </c>
      <c r="J4207">
        <v>0</v>
      </c>
      <c r="K4207">
        <v>3.0875000000000004</v>
      </c>
      <c r="L4207">
        <v>4.1924999999999999</v>
      </c>
      <c r="M4207">
        <v>3.4140000000000001</v>
      </c>
      <c r="N4207">
        <v>10.235000000000001</v>
      </c>
      <c r="O4207">
        <v>1705</v>
      </c>
      <c r="P4207">
        <v>0</v>
      </c>
      <c r="Q4207" s="5" t="e">
        <f>IF(AND(#REF!&gt;=table!$C$6,#REF!&lt;= table!$D$6),-1,IF(AND(#REF!&gt;=table!$E$6,#REF!&lt;=table!$F$6),1,0))</f>
        <v>#REF!</v>
      </c>
      <c r="R4207" s="5" t="e">
        <f>IF(AND(#REF!&gt;=table!$C$7,#REF!&lt;= table!$D$7),-1,IF(AND(#REF!&gt;=table!$E$7,#REF!&lt;=table!$F$7),1,0))</f>
        <v>#REF!</v>
      </c>
      <c r="S4207" s="5" t="e">
        <f>IF(AND(#REF!&gt;=table!$C$8,#REF!&lt;= table!$D$8),-1,IF(AND(#REF!&gt;=table!$E$8,#REF!&lt;=table!$F$8),1,0))</f>
        <v>#REF!</v>
      </c>
      <c r="T4207" s="5"/>
      <c r="U4207" s="5" t="e">
        <f>IF(AND(#REF!&gt;=table!$C$10,#REF!&lt;= table!$D$10),-1,IF(AND(#REF!&gt;=table!$E$10,#REF!&lt;=table!$F$10),1,0))</f>
        <v>#REF!</v>
      </c>
      <c r="V4207" s="5" t="e">
        <f>IF(AND(#REF!&gt;=table!$C$11,#REF!&lt;= table!$D$11),-1,IF(AND(#REF!&gt;=table!$E$11,#REF!&lt;=table!$F$11),1,0))</f>
        <v>#REF!</v>
      </c>
      <c r="W4207" s="5" t="e">
        <f>CONCATENATE(dados[[#This Row],[fator1]],dados[[#This Row],[fator5]],dados[[#This Row],[fator6]])</f>
        <v>#REF!</v>
      </c>
    </row>
    <row r="4208" spans="1:23">
      <c r="A4208" t="s">
        <v>17</v>
      </c>
      <c r="B4208">
        <v>589499</v>
      </c>
      <c r="C4208">
        <v>14</v>
      </c>
      <c r="D4208">
        <v>30</v>
      </c>
      <c r="E4208">
        <v>110</v>
      </c>
      <c r="F4208">
        <v>3</v>
      </c>
      <c r="G4208">
        <v>20</v>
      </c>
      <c r="H4208">
        <v>22</v>
      </c>
      <c r="I4208">
        <v>1183</v>
      </c>
      <c r="J4208">
        <v>0</v>
      </c>
      <c r="K4208">
        <v>10.67</v>
      </c>
      <c r="L4208">
        <v>12.719000000000001</v>
      </c>
      <c r="M4208">
        <v>87.124499999999998</v>
      </c>
      <c r="N4208">
        <v>14.505000000000001</v>
      </c>
      <c r="O4208">
        <v>1680</v>
      </c>
      <c r="P4208">
        <v>365</v>
      </c>
      <c r="Q4208" s="5" t="e">
        <f>IF(AND(#REF!&gt;=table!$C$6,#REF!&lt;= table!$D$6),-1,IF(AND(#REF!&gt;=table!$E$6,#REF!&lt;=table!$F$6),1,0))</f>
        <v>#REF!</v>
      </c>
      <c r="R4208" s="5" t="e">
        <f>IF(AND(#REF!&gt;=table!$C$7,#REF!&lt;= table!$D$7),-1,IF(AND(#REF!&gt;=table!$E$7,#REF!&lt;=table!$F$7),1,0))</f>
        <v>#REF!</v>
      </c>
      <c r="S4208" s="5" t="e">
        <f>IF(AND(#REF!&gt;=table!$C$8,#REF!&lt;= table!$D$8),-1,IF(AND(#REF!&gt;=table!$E$8,#REF!&lt;=table!$F$8),1,0))</f>
        <v>#REF!</v>
      </c>
      <c r="T4208" s="5"/>
      <c r="U4208" s="5" t="e">
        <f>IF(AND(#REF!&gt;=table!$C$10,#REF!&lt;= table!$D$10),-1,IF(AND(#REF!&gt;=table!$E$10,#REF!&lt;=table!$F$10),1,0))</f>
        <v>#REF!</v>
      </c>
      <c r="V4208" s="5" t="e">
        <f>IF(AND(#REF!&gt;=table!$C$11,#REF!&lt;= table!$D$11),-1,IF(AND(#REF!&gt;=table!$E$11,#REF!&lt;=table!$F$11),1,0))</f>
        <v>#REF!</v>
      </c>
      <c r="W4208" s="5" t="e">
        <f>CONCATENATE(dados[[#This Row],[fator1]],dados[[#This Row],[fator5]],dados[[#This Row],[fator6]])</f>
        <v>#REF!</v>
      </c>
    </row>
    <row r="4209" spans="1:23">
      <c r="A4209" t="s">
        <v>16</v>
      </c>
      <c r="B4209">
        <v>589500</v>
      </c>
      <c r="C4209">
        <v>13</v>
      </c>
      <c r="D4209">
        <v>35</v>
      </c>
      <c r="E4209">
        <v>120</v>
      </c>
      <c r="F4209">
        <v>10</v>
      </c>
      <c r="G4209">
        <v>0</v>
      </c>
      <c r="H4209">
        <v>25</v>
      </c>
      <c r="I4209">
        <v>1049</v>
      </c>
      <c r="J4209">
        <v>0</v>
      </c>
      <c r="K4209">
        <v>3.3620000000000001</v>
      </c>
      <c r="L4209">
        <v>7.3085000000000004</v>
      </c>
      <c r="M4209">
        <v>107.605</v>
      </c>
      <c r="N4209">
        <v>16.324999999999999</v>
      </c>
      <c r="O4209">
        <v>1695</v>
      </c>
      <c r="P4209">
        <v>1277</v>
      </c>
      <c r="Q4209" s="5" t="e">
        <f>IF(AND(#REF!&gt;=table!$C$6,#REF!&lt;= table!$D$6),-1,IF(AND(#REF!&gt;=table!$E$6,#REF!&lt;=table!$F$6),1,0))</f>
        <v>#REF!</v>
      </c>
      <c r="R4209" s="5" t="e">
        <f>IF(AND(#REF!&gt;=table!$C$7,#REF!&lt;= table!$D$7),-1,IF(AND(#REF!&gt;=table!$E$7,#REF!&lt;=table!$F$7),1,0))</f>
        <v>#REF!</v>
      </c>
      <c r="S4209" s="5" t="e">
        <f>IF(AND(#REF!&gt;=table!$C$8,#REF!&lt;= table!$D$8),-1,IF(AND(#REF!&gt;=table!$E$8,#REF!&lt;=table!$F$8),1,0))</f>
        <v>#REF!</v>
      </c>
      <c r="T4209" s="5"/>
      <c r="U4209" s="5" t="e">
        <f>IF(AND(#REF!&gt;=table!$C$10,#REF!&lt;= table!$D$10),-1,IF(AND(#REF!&gt;=table!$E$10,#REF!&lt;=table!$F$10),1,0))</f>
        <v>#REF!</v>
      </c>
      <c r="V4209" s="5" t="e">
        <f>IF(AND(#REF!&gt;=table!$C$11,#REF!&lt;= table!$D$11),-1,IF(AND(#REF!&gt;=table!$E$11,#REF!&lt;=table!$F$11),1,0))</f>
        <v>#REF!</v>
      </c>
      <c r="W4209" s="5" t="e">
        <f>CONCATENATE(dados[[#This Row],[fator1]],dados[[#This Row],[fator5]],dados[[#This Row],[fator6]])</f>
        <v>#REF!</v>
      </c>
    </row>
    <row r="4210" spans="1:23">
      <c r="A4210" t="s">
        <v>17</v>
      </c>
      <c r="B4210">
        <v>589504</v>
      </c>
      <c r="C4210">
        <v>14</v>
      </c>
      <c r="D4210">
        <v>25</v>
      </c>
      <c r="E4210">
        <v>130</v>
      </c>
      <c r="F4210">
        <v>9</v>
      </c>
      <c r="G4210">
        <v>110</v>
      </c>
      <c r="H4210">
        <v>50</v>
      </c>
      <c r="I4210">
        <v>607</v>
      </c>
      <c r="J4210">
        <v>0</v>
      </c>
      <c r="K4210">
        <v>3.3585000000000003</v>
      </c>
      <c r="L4210">
        <v>8.572000000000001</v>
      </c>
      <c r="M4210">
        <v>116.1405</v>
      </c>
      <c r="N4210">
        <v>33.855000000000004</v>
      </c>
      <c r="O4210">
        <v>1683</v>
      </c>
      <c r="P4210">
        <v>1265</v>
      </c>
      <c r="Q4210" s="5" t="e">
        <f>IF(AND(#REF!&gt;=table!$C$6,#REF!&lt;= table!$D$6),-1,IF(AND(#REF!&gt;=table!$E$6,#REF!&lt;=table!$F$6),1,0))</f>
        <v>#REF!</v>
      </c>
      <c r="R4210" s="5" t="e">
        <f>IF(AND(#REF!&gt;=table!$C$7,#REF!&lt;= table!$D$7),-1,IF(AND(#REF!&gt;=table!$E$7,#REF!&lt;=table!$F$7),1,0))</f>
        <v>#REF!</v>
      </c>
      <c r="S4210" s="5" t="e">
        <f>IF(AND(#REF!&gt;=table!$C$8,#REF!&lt;= table!$D$8),-1,IF(AND(#REF!&gt;=table!$E$8,#REF!&lt;=table!$F$8),1,0))</f>
        <v>#REF!</v>
      </c>
      <c r="T4210" s="5"/>
      <c r="U4210" s="5" t="e">
        <f>IF(AND(#REF!&gt;=table!$C$10,#REF!&lt;= table!$D$10),-1,IF(AND(#REF!&gt;=table!$E$10,#REF!&lt;=table!$F$10),1,0))</f>
        <v>#REF!</v>
      </c>
      <c r="V4210" s="5" t="e">
        <f>IF(AND(#REF!&gt;=table!$C$11,#REF!&lt;= table!$D$11),-1,IF(AND(#REF!&gt;=table!$E$11,#REF!&lt;=table!$F$11),1,0))</f>
        <v>#REF!</v>
      </c>
      <c r="W4210" s="5" t="e">
        <f>CONCATENATE(dados[[#This Row],[fator1]],dados[[#This Row],[fator5]],dados[[#This Row],[fator6]])</f>
        <v>#REF!</v>
      </c>
    </row>
    <row r="4211" spans="1:23">
      <c r="A4211" t="s">
        <v>17</v>
      </c>
      <c r="B4211">
        <v>589505</v>
      </c>
      <c r="C4211">
        <v>14</v>
      </c>
      <c r="D4211">
        <v>25</v>
      </c>
      <c r="E4211">
        <v>130</v>
      </c>
      <c r="F4211">
        <v>9</v>
      </c>
      <c r="G4211">
        <v>110</v>
      </c>
      <c r="H4211">
        <v>50</v>
      </c>
      <c r="I4211">
        <v>227</v>
      </c>
      <c r="J4211">
        <v>0</v>
      </c>
      <c r="K4211">
        <v>3.1325000000000003</v>
      </c>
      <c r="L4211">
        <v>7.1240000000000006</v>
      </c>
      <c r="M4211">
        <v>106.4645</v>
      </c>
      <c r="N4211">
        <v>24.09</v>
      </c>
      <c r="O4211">
        <v>1686</v>
      </c>
      <c r="P4211">
        <v>0</v>
      </c>
      <c r="Q4211" s="5" t="e">
        <f>IF(AND(#REF!&gt;=table!$C$6,#REF!&lt;= table!$D$6),-1,IF(AND(#REF!&gt;=table!$E$6,#REF!&lt;=table!$F$6),1,0))</f>
        <v>#REF!</v>
      </c>
      <c r="R4211" s="5" t="e">
        <f>IF(AND(#REF!&gt;=table!$C$7,#REF!&lt;= table!$D$7),-1,IF(AND(#REF!&gt;=table!$E$7,#REF!&lt;=table!$F$7),1,0))</f>
        <v>#REF!</v>
      </c>
      <c r="S4211" s="5" t="e">
        <f>IF(AND(#REF!&gt;=table!$C$8,#REF!&lt;= table!$D$8),-1,IF(AND(#REF!&gt;=table!$E$8,#REF!&lt;=table!$F$8),1,0))</f>
        <v>#REF!</v>
      </c>
      <c r="T4211" s="5"/>
      <c r="U4211" s="5" t="e">
        <f>IF(AND(#REF!&gt;=table!$C$10,#REF!&lt;= table!$D$10),-1,IF(AND(#REF!&gt;=table!$E$10,#REF!&lt;=table!$F$10),1,0))</f>
        <v>#REF!</v>
      </c>
      <c r="V4211" s="5" t="e">
        <f>IF(AND(#REF!&gt;=table!$C$11,#REF!&lt;= table!$D$11),-1,IF(AND(#REF!&gt;=table!$E$11,#REF!&lt;=table!$F$11),1,0))</f>
        <v>#REF!</v>
      </c>
      <c r="W4211" s="5" t="e">
        <f>CONCATENATE(dados[[#This Row],[fator1]],dados[[#This Row],[fator5]],dados[[#This Row],[fator6]])</f>
        <v>#REF!</v>
      </c>
    </row>
    <row r="4212" spans="1:23">
      <c r="A4212" t="s">
        <v>17</v>
      </c>
      <c r="B4212">
        <v>589509</v>
      </c>
      <c r="C4212">
        <v>8</v>
      </c>
      <c r="D4212">
        <v>30</v>
      </c>
      <c r="E4212">
        <v>153</v>
      </c>
      <c r="F4212">
        <v>2</v>
      </c>
      <c r="G4212">
        <v>20</v>
      </c>
      <c r="H4212">
        <v>18</v>
      </c>
      <c r="I4212">
        <v>144</v>
      </c>
      <c r="J4212">
        <v>0</v>
      </c>
      <c r="K4212">
        <v>3.1870000000000003</v>
      </c>
      <c r="L4212">
        <v>5.8930000000000007</v>
      </c>
      <c r="M4212">
        <v>140.42350000000002</v>
      </c>
      <c r="N4212">
        <v>15.345000000000001</v>
      </c>
      <c r="O4212">
        <v>1677</v>
      </c>
      <c r="P4212">
        <v>0</v>
      </c>
      <c r="Q4212" s="5" t="e">
        <f>IF(AND(#REF!&gt;=table!$C$6,#REF!&lt;= table!$D$6),-1,IF(AND(#REF!&gt;=table!$E$6,#REF!&lt;=table!$F$6),1,0))</f>
        <v>#REF!</v>
      </c>
      <c r="R4212" s="5" t="e">
        <f>IF(AND(#REF!&gt;=table!$C$7,#REF!&lt;= table!$D$7),-1,IF(AND(#REF!&gt;=table!$E$7,#REF!&lt;=table!$F$7),1,0))</f>
        <v>#REF!</v>
      </c>
      <c r="S4212" s="5" t="e">
        <f>IF(AND(#REF!&gt;=table!$C$8,#REF!&lt;= table!$D$8),-1,IF(AND(#REF!&gt;=table!$E$8,#REF!&lt;=table!$F$8),1,0))</f>
        <v>#REF!</v>
      </c>
      <c r="T4212" s="5"/>
      <c r="U4212" s="5" t="e">
        <f>IF(AND(#REF!&gt;=table!$C$10,#REF!&lt;= table!$D$10),-1,IF(AND(#REF!&gt;=table!$E$10,#REF!&lt;=table!$F$10),1,0))</f>
        <v>#REF!</v>
      </c>
      <c r="V4212" s="5" t="e">
        <f>IF(AND(#REF!&gt;=table!$C$11,#REF!&lt;= table!$D$11),-1,IF(AND(#REF!&gt;=table!$E$11,#REF!&lt;=table!$F$11),1,0))</f>
        <v>#REF!</v>
      </c>
      <c r="W4212" s="5" t="e">
        <f>CONCATENATE(dados[[#This Row],[fator1]],dados[[#This Row],[fator5]],dados[[#This Row],[fator6]])</f>
        <v>#REF!</v>
      </c>
    </row>
    <row r="4213" spans="1:23">
      <c r="A4213" t="s">
        <v>16</v>
      </c>
      <c r="B4213">
        <v>589510</v>
      </c>
      <c r="C4213">
        <v>16</v>
      </c>
      <c r="D4213">
        <v>30</v>
      </c>
      <c r="E4213">
        <v>36</v>
      </c>
      <c r="F4213">
        <v>3</v>
      </c>
      <c r="G4213">
        <v>0</v>
      </c>
      <c r="H4213">
        <v>25</v>
      </c>
      <c r="I4213">
        <v>846</v>
      </c>
      <c r="J4213">
        <v>0</v>
      </c>
      <c r="K4213">
        <v>15.963000000000001</v>
      </c>
      <c r="L4213">
        <v>14.938500000000001</v>
      </c>
      <c r="M4213">
        <v>31.3185</v>
      </c>
      <c r="N4213">
        <v>18.345000000000002</v>
      </c>
      <c r="O4213">
        <v>1691</v>
      </c>
      <c r="P4213">
        <v>1301</v>
      </c>
      <c r="Q4213" s="5" t="e">
        <f>IF(AND(#REF!&gt;=table!$C$6,#REF!&lt;= table!$D$6),-1,IF(AND(#REF!&gt;=table!$E$6,#REF!&lt;=table!$F$6),1,0))</f>
        <v>#REF!</v>
      </c>
      <c r="R4213" s="5" t="e">
        <f>IF(AND(#REF!&gt;=table!$C$7,#REF!&lt;= table!$D$7),-1,IF(AND(#REF!&gt;=table!$E$7,#REF!&lt;=table!$F$7),1,0))</f>
        <v>#REF!</v>
      </c>
      <c r="S4213" s="5" t="e">
        <f>IF(AND(#REF!&gt;=table!$C$8,#REF!&lt;= table!$D$8),-1,IF(AND(#REF!&gt;=table!$E$8,#REF!&lt;=table!$F$8),1,0))</f>
        <v>#REF!</v>
      </c>
      <c r="T4213" s="5"/>
      <c r="U4213" s="5" t="e">
        <f>IF(AND(#REF!&gt;=table!$C$10,#REF!&lt;= table!$D$10),-1,IF(AND(#REF!&gt;=table!$E$10,#REF!&lt;=table!$F$10),1,0))</f>
        <v>#REF!</v>
      </c>
      <c r="V4213" s="5" t="e">
        <f>IF(AND(#REF!&gt;=table!$C$11,#REF!&lt;= table!$D$11),-1,IF(AND(#REF!&gt;=table!$E$11,#REF!&lt;=table!$F$11),1,0))</f>
        <v>#REF!</v>
      </c>
      <c r="W4213" s="5" t="e">
        <f>CONCATENATE(dados[[#This Row],[fator1]],dados[[#This Row],[fator5]],dados[[#This Row],[fator6]])</f>
        <v>#REF!</v>
      </c>
    </row>
    <row r="4214" spans="1:23">
      <c r="A4214" t="s">
        <v>16</v>
      </c>
      <c r="B4214">
        <v>589511</v>
      </c>
      <c r="C4214">
        <v>16</v>
      </c>
      <c r="D4214">
        <v>30</v>
      </c>
      <c r="E4214">
        <v>36</v>
      </c>
      <c r="F4214">
        <v>3</v>
      </c>
      <c r="G4214">
        <v>0</v>
      </c>
      <c r="H4214">
        <v>25</v>
      </c>
      <c r="I4214">
        <v>140</v>
      </c>
      <c r="J4214">
        <v>0</v>
      </c>
      <c r="K4214">
        <v>5.1705000000000005</v>
      </c>
      <c r="L4214">
        <v>10.43</v>
      </c>
      <c r="M4214">
        <v>31.706500000000002</v>
      </c>
      <c r="N4214">
        <v>15.125</v>
      </c>
      <c r="O4214">
        <v>1688</v>
      </c>
      <c r="P4214">
        <v>0</v>
      </c>
      <c r="Q4214" s="5" t="e">
        <f>IF(AND(#REF!&gt;=table!$C$6,#REF!&lt;= table!$D$6),-1,IF(AND(#REF!&gt;=table!$E$6,#REF!&lt;=table!$F$6),1,0))</f>
        <v>#REF!</v>
      </c>
      <c r="R4214" s="5" t="e">
        <f>IF(AND(#REF!&gt;=table!$C$7,#REF!&lt;= table!$D$7),-1,IF(AND(#REF!&gt;=table!$E$7,#REF!&lt;=table!$F$7),1,0))</f>
        <v>#REF!</v>
      </c>
      <c r="S4214" s="5" t="e">
        <f>IF(AND(#REF!&gt;=table!$C$8,#REF!&lt;= table!$D$8),-1,IF(AND(#REF!&gt;=table!$E$8,#REF!&lt;=table!$F$8),1,0))</f>
        <v>#REF!</v>
      </c>
      <c r="T4214" s="5"/>
      <c r="U4214" s="5" t="e">
        <f>IF(AND(#REF!&gt;=table!$C$10,#REF!&lt;= table!$D$10),-1,IF(AND(#REF!&gt;=table!$E$10,#REF!&lt;=table!$F$10),1,0))</f>
        <v>#REF!</v>
      </c>
      <c r="V4214" s="5" t="e">
        <f>IF(AND(#REF!&gt;=table!$C$11,#REF!&lt;= table!$D$11),-1,IF(AND(#REF!&gt;=table!$E$11,#REF!&lt;=table!$F$11),1,0))</f>
        <v>#REF!</v>
      </c>
      <c r="W4214" s="5" t="e">
        <f>CONCATENATE(dados[[#This Row],[fator1]],dados[[#This Row],[fator5]],dados[[#This Row],[fator6]])</f>
        <v>#REF!</v>
      </c>
    </row>
    <row r="4215" spans="1:23">
      <c r="A4215" t="s">
        <v>16</v>
      </c>
      <c r="B4215">
        <v>589512</v>
      </c>
      <c r="C4215">
        <v>16</v>
      </c>
      <c r="D4215">
        <v>35</v>
      </c>
      <c r="E4215">
        <v>36</v>
      </c>
      <c r="F4215">
        <v>10</v>
      </c>
      <c r="G4215">
        <v>0</v>
      </c>
      <c r="H4215">
        <v>25</v>
      </c>
      <c r="I4215">
        <v>821</v>
      </c>
      <c r="J4215">
        <v>0</v>
      </c>
      <c r="K4215">
        <v>5.1565000000000003</v>
      </c>
      <c r="L4215">
        <v>8.354000000000001</v>
      </c>
      <c r="M4215">
        <v>28.1005</v>
      </c>
      <c r="N4215">
        <v>14.14</v>
      </c>
      <c r="O4215">
        <v>1676</v>
      </c>
      <c r="P4215">
        <v>0</v>
      </c>
      <c r="Q4215" s="5" t="e">
        <f>IF(AND(#REF!&gt;=table!$C$6,#REF!&lt;= table!$D$6),-1,IF(AND(#REF!&gt;=table!$E$6,#REF!&lt;=table!$F$6),1,0))</f>
        <v>#REF!</v>
      </c>
      <c r="R4215" s="5" t="e">
        <f>IF(AND(#REF!&gt;=table!$C$7,#REF!&lt;= table!$D$7),-1,IF(AND(#REF!&gt;=table!$E$7,#REF!&lt;=table!$F$7),1,0))</f>
        <v>#REF!</v>
      </c>
      <c r="S4215" s="5" t="e">
        <f>IF(AND(#REF!&gt;=table!$C$8,#REF!&lt;= table!$D$8),-1,IF(AND(#REF!&gt;=table!$E$8,#REF!&lt;=table!$F$8),1,0))</f>
        <v>#REF!</v>
      </c>
      <c r="T4215" s="5"/>
      <c r="U4215" s="5" t="e">
        <f>IF(AND(#REF!&gt;=table!$C$10,#REF!&lt;= table!$D$10),-1,IF(AND(#REF!&gt;=table!$E$10,#REF!&lt;=table!$F$10),1,0))</f>
        <v>#REF!</v>
      </c>
      <c r="V4215" s="5" t="e">
        <f>IF(AND(#REF!&gt;=table!$C$11,#REF!&lt;= table!$D$11),-1,IF(AND(#REF!&gt;=table!$E$11,#REF!&lt;=table!$F$11),1,0))</f>
        <v>#REF!</v>
      </c>
      <c r="W4215" s="5" t="e">
        <f>CONCATENATE(dados[[#This Row],[fator1]],dados[[#This Row],[fator5]],dados[[#This Row],[fator6]])</f>
        <v>#REF!</v>
      </c>
    </row>
    <row r="4216" spans="1:23">
      <c r="A4216" t="s">
        <v>16</v>
      </c>
      <c r="B4216">
        <v>589514</v>
      </c>
      <c r="C4216">
        <v>16</v>
      </c>
      <c r="D4216">
        <v>30</v>
      </c>
      <c r="E4216">
        <v>36</v>
      </c>
      <c r="F4216">
        <v>3</v>
      </c>
      <c r="G4216">
        <v>0</v>
      </c>
      <c r="H4216">
        <v>25</v>
      </c>
      <c r="I4216">
        <v>278</v>
      </c>
      <c r="J4216">
        <v>0</v>
      </c>
      <c r="K4216">
        <v>3.976</v>
      </c>
      <c r="L4216">
        <v>4.7910000000000004</v>
      </c>
      <c r="M4216">
        <v>33.122500000000002</v>
      </c>
      <c r="N4216">
        <v>14.985000000000001</v>
      </c>
      <c r="O4216">
        <v>1666</v>
      </c>
      <c r="P4216">
        <v>0</v>
      </c>
      <c r="Q4216" s="5" t="e">
        <f>IF(AND(#REF!&gt;=table!$C$6,#REF!&lt;= table!$D$6),-1,IF(AND(#REF!&gt;=table!$E$6,#REF!&lt;=table!$F$6),1,0))</f>
        <v>#REF!</v>
      </c>
      <c r="R4216" s="5" t="e">
        <f>IF(AND(#REF!&gt;=table!$C$7,#REF!&lt;= table!$D$7),-1,IF(AND(#REF!&gt;=table!$E$7,#REF!&lt;=table!$F$7),1,0))</f>
        <v>#REF!</v>
      </c>
      <c r="S4216" s="5" t="e">
        <f>IF(AND(#REF!&gt;=table!$C$8,#REF!&lt;= table!$D$8),-1,IF(AND(#REF!&gt;=table!$E$8,#REF!&lt;=table!$F$8),1,0))</f>
        <v>#REF!</v>
      </c>
      <c r="T4216" s="5"/>
      <c r="U4216" s="5" t="e">
        <f>IF(AND(#REF!&gt;=table!$C$10,#REF!&lt;= table!$D$10),-1,IF(AND(#REF!&gt;=table!$E$10,#REF!&lt;=table!$F$10),1,0))</f>
        <v>#REF!</v>
      </c>
      <c r="V4216" s="5" t="e">
        <f>IF(AND(#REF!&gt;=table!$C$11,#REF!&lt;= table!$D$11),-1,IF(AND(#REF!&gt;=table!$E$11,#REF!&lt;=table!$F$11),1,0))</f>
        <v>#REF!</v>
      </c>
      <c r="W4216" s="5" t="e">
        <f>CONCATENATE(dados[[#This Row],[fator1]],dados[[#This Row],[fator5]],dados[[#This Row],[fator6]])</f>
        <v>#REF!</v>
      </c>
    </row>
    <row r="4217" spans="1:23">
      <c r="A4217" t="s">
        <v>16</v>
      </c>
      <c r="B4217">
        <v>589515</v>
      </c>
      <c r="C4217">
        <v>16</v>
      </c>
      <c r="D4217">
        <v>35</v>
      </c>
      <c r="E4217">
        <v>36</v>
      </c>
      <c r="F4217">
        <v>10</v>
      </c>
      <c r="G4217">
        <v>0</v>
      </c>
      <c r="H4217">
        <v>25</v>
      </c>
      <c r="I4217">
        <v>0</v>
      </c>
      <c r="J4217">
        <v>0</v>
      </c>
      <c r="K4217">
        <v>3.9930000000000003</v>
      </c>
      <c r="L4217">
        <v>8.9290000000000003</v>
      </c>
      <c r="M4217">
        <v>25.212500000000002</v>
      </c>
      <c r="N4217">
        <v>17.365000000000002</v>
      </c>
      <c r="O4217">
        <v>1672</v>
      </c>
      <c r="P4217">
        <v>0</v>
      </c>
      <c r="Q4217" s="5" t="e">
        <f>IF(AND(#REF!&gt;=table!$C$6,#REF!&lt;= table!$D$6),-1,IF(AND(#REF!&gt;=table!$E$6,#REF!&lt;=table!$F$6),1,0))</f>
        <v>#REF!</v>
      </c>
      <c r="R4217" s="5" t="e">
        <f>IF(AND(#REF!&gt;=table!$C$7,#REF!&lt;= table!$D$7),-1,IF(AND(#REF!&gt;=table!$E$7,#REF!&lt;=table!$F$7),1,0))</f>
        <v>#REF!</v>
      </c>
      <c r="S4217" s="5" t="e">
        <f>IF(AND(#REF!&gt;=table!$C$8,#REF!&lt;= table!$D$8),-1,IF(AND(#REF!&gt;=table!$E$8,#REF!&lt;=table!$F$8),1,0))</f>
        <v>#REF!</v>
      </c>
      <c r="T4217" s="5"/>
      <c r="U4217" s="5" t="e">
        <f>IF(AND(#REF!&gt;=table!$C$10,#REF!&lt;= table!$D$10),-1,IF(AND(#REF!&gt;=table!$E$10,#REF!&lt;=table!$F$10),1,0))</f>
        <v>#REF!</v>
      </c>
      <c r="V4217" s="5" t="e">
        <f>IF(AND(#REF!&gt;=table!$C$11,#REF!&lt;= table!$D$11),-1,IF(AND(#REF!&gt;=table!$E$11,#REF!&lt;=table!$F$11),1,0))</f>
        <v>#REF!</v>
      </c>
      <c r="W4217" s="5" t="e">
        <f>CONCATENATE(dados[[#This Row],[fator1]],dados[[#This Row],[fator5]],dados[[#This Row],[fator6]])</f>
        <v>#REF!</v>
      </c>
    </row>
    <row r="4218" spans="1:23">
      <c r="A4218" t="s">
        <v>16</v>
      </c>
      <c r="B4218">
        <v>589516</v>
      </c>
      <c r="C4218">
        <v>16</v>
      </c>
      <c r="D4218">
        <v>30</v>
      </c>
      <c r="E4218">
        <v>36</v>
      </c>
      <c r="F4218">
        <v>3</v>
      </c>
      <c r="G4218">
        <v>0</v>
      </c>
      <c r="H4218">
        <v>25</v>
      </c>
      <c r="I4218">
        <v>431</v>
      </c>
      <c r="J4218">
        <v>0</v>
      </c>
      <c r="K4218">
        <v>6.5460000000000003</v>
      </c>
      <c r="L4218">
        <v>12.639000000000001</v>
      </c>
      <c r="M4218">
        <v>33.566500000000005</v>
      </c>
      <c r="N4218">
        <v>16.795000000000002</v>
      </c>
      <c r="O4218">
        <v>1683</v>
      </c>
      <c r="P4218">
        <v>486</v>
      </c>
      <c r="Q4218" s="5" t="e">
        <f>IF(AND(#REF!&gt;=table!$C$6,#REF!&lt;= table!$D$6),-1,IF(AND(#REF!&gt;=table!$E$6,#REF!&lt;=table!$F$6),1,0))</f>
        <v>#REF!</v>
      </c>
      <c r="R4218" s="5" t="e">
        <f>IF(AND(#REF!&gt;=table!$C$7,#REF!&lt;= table!$D$7),-1,IF(AND(#REF!&gt;=table!$E$7,#REF!&lt;=table!$F$7),1,0))</f>
        <v>#REF!</v>
      </c>
      <c r="S4218" s="5" t="e">
        <f>IF(AND(#REF!&gt;=table!$C$8,#REF!&lt;= table!$D$8),-1,IF(AND(#REF!&gt;=table!$E$8,#REF!&lt;=table!$F$8),1,0))</f>
        <v>#REF!</v>
      </c>
      <c r="T4218" s="5"/>
      <c r="U4218" s="5" t="e">
        <f>IF(AND(#REF!&gt;=table!$C$10,#REF!&lt;= table!$D$10),-1,IF(AND(#REF!&gt;=table!$E$10,#REF!&lt;=table!$F$10),1,0))</f>
        <v>#REF!</v>
      </c>
      <c r="V4218" s="5" t="e">
        <f>IF(AND(#REF!&gt;=table!$C$11,#REF!&lt;= table!$D$11),-1,IF(AND(#REF!&gt;=table!$E$11,#REF!&lt;=table!$F$11),1,0))</f>
        <v>#REF!</v>
      </c>
      <c r="W4218" s="5" t="e">
        <f>CONCATENATE(dados[[#This Row],[fator1]],dados[[#This Row],[fator5]],dados[[#This Row],[fator6]])</f>
        <v>#REF!</v>
      </c>
    </row>
    <row r="4219" spans="1:23">
      <c r="A4219" t="s">
        <v>16</v>
      </c>
      <c r="B4219">
        <v>589520</v>
      </c>
      <c r="C4219">
        <v>0.19</v>
      </c>
      <c r="D4219">
        <v>50</v>
      </c>
      <c r="E4219">
        <v>56</v>
      </c>
      <c r="F4219">
        <v>15</v>
      </c>
      <c r="G4219">
        <v>0</v>
      </c>
      <c r="H4219">
        <v>50</v>
      </c>
      <c r="I4219">
        <v>1312</v>
      </c>
      <c r="J4219">
        <v>0</v>
      </c>
      <c r="K4219">
        <v>4.5644999999999998</v>
      </c>
      <c r="L4219">
        <v>9.73</v>
      </c>
      <c r="M4219">
        <v>9.3280000000000012</v>
      </c>
      <c r="N4219">
        <v>13.870000000000001</v>
      </c>
      <c r="O4219">
        <v>1691</v>
      </c>
      <c r="P4219">
        <v>914</v>
      </c>
      <c r="Q4219" s="5" t="e">
        <f>IF(AND(#REF!&gt;=table!$C$6,#REF!&lt;= table!$D$6),-1,IF(AND(#REF!&gt;=table!$E$6,#REF!&lt;=table!$F$6),1,0))</f>
        <v>#REF!</v>
      </c>
      <c r="R4219" s="5" t="e">
        <f>IF(AND(#REF!&gt;=table!$C$7,#REF!&lt;= table!$D$7),-1,IF(AND(#REF!&gt;=table!$E$7,#REF!&lt;=table!$F$7),1,0))</f>
        <v>#REF!</v>
      </c>
      <c r="S4219" s="5" t="e">
        <f>IF(AND(#REF!&gt;=table!$C$8,#REF!&lt;= table!$D$8),-1,IF(AND(#REF!&gt;=table!$E$8,#REF!&lt;=table!$F$8),1,0))</f>
        <v>#REF!</v>
      </c>
      <c r="T4219" s="5"/>
      <c r="U4219" s="5" t="e">
        <f>IF(AND(#REF!&gt;=table!$C$10,#REF!&lt;= table!$D$10),-1,IF(AND(#REF!&gt;=table!$E$10,#REF!&lt;=table!$F$10),1,0))</f>
        <v>#REF!</v>
      </c>
      <c r="V4219" s="5" t="e">
        <f>IF(AND(#REF!&gt;=table!$C$11,#REF!&lt;= table!$D$11),-1,IF(AND(#REF!&gt;=table!$E$11,#REF!&lt;=table!$F$11),1,0))</f>
        <v>#REF!</v>
      </c>
      <c r="W4219" s="5" t="e">
        <f>CONCATENATE(dados[[#This Row],[fator1]],dados[[#This Row],[fator5]],dados[[#This Row],[fator6]])</f>
        <v>#REF!</v>
      </c>
    </row>
    <row r="4220" spans="1:23">
      <c r="A4220" t="s">
        <v>17</v>
      </c>
      <c r="B4220">
        <v>589523</v>
      </c>
      <c r="C4220">
        <v>16</v>
      </c>
      <c r="D4220">
        <v>25</v>
      </c>
      <c r="E4220">
        <v>56</v>
      </c>
      <c r="F4220">
        <v>10</v>
      </c>
      <c r="G4220">
        <v>13</v>
      </c>
      <c r="H4220">
        <v>25</v>
      </c>
      <c r="I4220">
        <v>0</v>
      </c>
      <c r="J4220">
        <v>0</v>
      </c>
      <c r="K4220">
        <v>5.4030000000000005</v>
      </c>
      <c r="L4220">
        <v>16.224</v>
      </c>
      <c r="M4220">
        <v>57.890500000000003</v>
      </c>
      <c r="N4220">
        <v>22.445</v>
      </c>
      <c r="O4220">
        <v>1702</v>
      </c>
      <c r="P4220">
        <v>732</v>
      </c>
      <c r="Q4220" s="5" t="e">
        <f>IF(AND(#REF!&gt;=table!$C$6,#REF!&lt;= table!$D$6),-1,IF(AND(#REF!&gt;=table!$E$6,#REF!&lt;=table!$F$6),1,0))</f>
        <v>#REF!</v>
      </c>
      <c r="R4220" s="5" t="e">
        <f>IF(AND(#REF!&gt;=table!$C$7,#REF!&lt;= table!$D$7),-1,IF(AND(#REF!&gt;=table!$E$7,#REF!&lt;=table!$F$7),1,0))</f>
        <v>#REF!</v>
      </c>
      <c r="S4220" s="5" t="e">
        <f>IF(AND(#REF!&gt;=table!$C$8,#REF!&lt;= table!$D$8),-1,IF(AND(#REF!&gt;=table!$E$8,#REF!&lt;=table!$F$8),1,0))</f>
        <v>#REF!</v>
      </c>
      <c r="T4220" s="5"/>
      <c r="U4220" s="5" t="e">
        <f>IF(AND(#REF!&gt;=table!$C$10,#REF!&lt;= table!$D$10),-1,IF(AND(#REF!&gt;=table!$E$10,#REF!&lt;=table!$F$10),1,0))</f>
        <v>#REF!</v>
      </c>
      <c r="V4220" s="5" t="e">
        <f>IF(AND(#REF!&gt;=table!$C$11,#REF!&lt;= table!$D$11),-1,IF(AND(#REF!&gt;=table!$E$11,#REF!&lt;=table!$F$11),1,0))</f>
        <v>#REF!</v>
      </c>
      <c r="W4220" s="5" t="e">
        <f>CONCATENATE(dados[[#This Row],[fator1]],dados[[#This Row],[fator5]],dados[[#This Row],[fator6]])</f>
        <v>#REF!</v>
      </c>
    </row>
    <row r="4221" spans="1:23">
      <c r="A4221" t="s">
        <v>16</v>
      </c>
      <c r="B4221">
        <v>589525</v>
      </c>
      <c r="C4221">
        <v>0.18</v>
      </c>
      <c r="D4221">
        <v>50</v>
      </c>
      <c r="E4221">
        <v>56</v>
      </c>
      <c r="F4221">
        <v>15</v>
      </c>
      <c r="G4221">
        <v>0</v>
      </c>
      <c r="H4221">
        <v>50</v>
      </c>
      <c r="I4221">
        <v>15</v>
      </c>
      <c r="J4221">
        <v>0</v>
      </c>
      <c r="K4221">
        <v>5.0910000000000002</v>
      </c>
      <c r="L4221">
        <v>11.7315</v>
      </c>
      <c r="M4221">
        <v>10.104000000000001</v>
      </c>
      <c r="N4221">
        <v>18.595000000000002</v>
      </c>
      <c r="O4221">
        <v>1675</v>
      </c>
      <c r="P4221">
        <v>685</v>
      </c>
      <c r="Q4221" s="5" t="e">
        <f>IF(AND(#REF!&gt;=table!$C$6,#REF!&lt;= table!$D$6),-1,IF(AND(#REF!&gt;=table!$E$6,#REF!&lt;=table!$F$6),1,0))</f>
        <v>#REF!</v>
      </c>
      <c r="R4221" s="5" t="e">
        <f>IF(AND(#REF!&gt;=table!$C$7,#REF!&lt;= table!$D$7),-1,IF(AND(#REF!&gt;=table!$E$7,#REF!&lt;=table!$F$7),1,0))</f>
        <v>#REF!</v>
      </c>
      <c r="S4221" s="5" t="e">
        <f>IF(AND(#REF!&gt;=table!$C$8,#REF!&lt;= table!$D$8),-1,IF(AND(#REF!&gt;=table!$E$8,#REF!&lt;=table!$F$8),1,0))</f>
        <v>#REF!</v>
      </c>
      <c r="T4221" s="5"/>
      <c r="U4221" s="5" t="e">
        <f>IF(AND(#REF!&gt;=table!$C$10,#REF!&lt;= table!$D$10),-1,IF(AND(#REF!&gt;=table!$E$10,#REF!&lt;=table!$F$10),1,0))</f>
        <v>#REF!</v>
      </c>
      <c r="V4221" s="5" t="e">
        <f>IF(AND(#REF!&gt;=table!$C$11,#REF!&lt;= table!$D$11),-1,IF(AND(#REF!&gt;=table!$E$11,#REF!&lt;=table!$F$11),1,0))</f>
        <v>#REF!</v>
      </c>
      <c r="W4221" s="5" t="e">
        <f>CONCATENATE(dados[[#This Row],[fator1]],dados[[#This Row],[fator5]],dados[[#This Row],[fator6]])</f>
        <v>#REF!</v>
      </c>
    </row>
    <row r="4222" spans="1:23">
      <c r="A4222" t="s">
        <v>17</v>
      </c>
      <c r="B4222">
        <v>589529</v>
      </c>
      <c r="C4222">
        <v>8</v>
      </c>
      <c r="D4222">
        <v>30</v>
      </c>
      <c r="E4222">
        <v>153</v>
      </c>
      <c r="F4222">
        <v>2</v>
      </c>
      <c r="G4222">
        <v>20</v>
      </c>
      <c r="H4222">
        <v>18</v>
      </c>
      <c r="I4222">
        <v>604</v>
      </c>
      <c r="J4222">
        <v>0</v>
      </c>
      <c r="K4222">
        <v>5.8479999999999999</v>
      </c>
      <c r="L4222">
        <v>9.39</v>
      </c>
      <c r="M4222">
        <v>138.6705</v>
      </c>
      <c r="N4222">
        <v>15.485000000000001</v>
      </c>
      <c r="O4222">
        <v>1684</v>
      </c>
      <c r="P4222">
        <v>628</v>
      </c>
      <c r="Q4222" s="5" t="e">
        <f>IF(AND(#REF!&gt;=table!$C$6,#REF!&lt;= table!$D$6),-1,IF(AND(#REF!&gt;=table!$E$6,#REF!&lt;=table!$F$6),1,0))</f>
        <v>#REF!</v>
      </c>
      <c r="R4222" s="5" t="e">
        <f>IF(AND(#REF!&gt;=table!$C$7,#REF!&lt;= table!$D$7),-1,IF(AND(#REF!&gt;=table!$E$7,#REF!&lt;=table!$F$7),1,0))</f>
        <v>#REF!</v>
      </c>
      <c r="S4222" s="5" t="e">
        <f>IF(AND(#REF!&gt;=table!$C$8,#REF!&lt;= table!$D$8),-1,IF(AND(#REF!&gt;=table!$E$8,#REF!&lt;=table!$F$8),1,0))</f>
        <v>#REF!</v>
      </c>
      <c r="T4222" s="5"/>
      <c r="U4222" s="5" t="e">
        <f>IF(AND(#REF!&gt;=table!$C$10,#REF!&lt;= table!$D$10),-1,IF(AND(#REF!&gt;=table!$E$10,#REF!&lt;=table!$F$10),1,0))</f>
        <v>#REF!</v>
      </c>
      <c r="V4222" s="5" t="e">
        <f>IF(AND(#REF!&gt;=table!$C$11,#REF!&lt;= table!$D$11),-1,IF(AND(#REF!&gt;=table!$E$11,#REF!&lt;=table!$F$11),1,0))</f>
        <v>#REF!</v>
      </c>
      <c r="W4222" s="5" t="e">
        <f>CONCATENATE(dados[[#This Row],[fator1]],dados[[#This Row],[fator5]],dados[[#This Row],[fator6]])</f>
        <v>#REF!</v>
      </c>
    </row>
    <row r="4223" spans="1:23">
      <c r="A4223" t="s">
        <v>17</v>
      </c>
      <c r="B4223">
        <v>589531</v>
      </c>
      <c r="C4223">
        <v>8</v>
      </c>
      <c r="D4223">
        <v>30</v>
      </c>
      <c r="E4223">
        <v>153</v>
      </c>
      <c r="F4223">
        <v>2</v>
      </c>
      <c r="G4223">
        <v>20</v>
      </c>
      <c r="H4223">
        <v>18</v>
      </c>
      <c r="I4223">
        <v>1</v>
      </c>
      <c r="J4223">
        <v>0</v>
      </c>
      <c r="K4223">
        <v>5.7195</v>
      </c>
      <c r="L4223">
        <v>7.9905000000000008</v>
      </c>
      <c r="M4223">
        <v>138.63200000000001</v>
      </c>
      <c r="N4223">
        <v>10.925000000000001</v>
      </c>
      <c r="O4223">
        <v>1664</v>
      </c>
      <c r="P4223">
        <v>666</v>
      </c>
      <c r="Q4223" s="5" t="e">
        <f>IF(AND(#REF!&gt;=table!$C$6,#REF!&lt;= table!$D$6),-1,IF(AND(#REF!&gt;=table!$E$6,#REF!&lt;=table!$F$6),1,0))</f>
        <v>#REF!</v>
      </c>
      <c r="R4223" s="5" t="e">
        <f>IF(AND(#REF!&gt;=table!$C$7,#REF!&lt;= table!$D$7),-1,IF(AND(#REF!&gt;=table!$E$7,#REF!&lt;=table!$F$7),1,0))</f>
        <v>#REF!</v>
      </c>
      <c r="S4223" s="5" t="e">
        <f>IF(AND(#REF!&gt;=table!$C$8,#REF!&lt;= table!$D$8),-1,IF(AND(#REF!&gt;=table!$E$8,#REF!&lt;=table!$F$8),1,0))</f>
        <v>#REF!</v>
      </c>
      <c r="T4223" s="5"/>
      <c r="U4223" s="5" t="e">
        <f>IF(AND(#REF!&gt;=table!$C$10,#REF!&lt;= table!$D$10),-1,IF(AND(#REF!&gt;=table!$E$10,#REF!&lt;=table!$F$10),1,0))</f>
        <v>#REF!</v>
      </c>
      <c r="V4223" s="5" t="e">
        <f>IF(AND(#REF!&gt;=table!$C$11,#REF!&lt;= table!$D$11),-1,IF(AND(#REF!&gt;=table!$E$11,#REF!&lt;=table!$F$11),1,0))</f>
        <v>#REF!</v>
      </c>
      <c r="W4223" s="5" t="e">
        <f>CONCATENATE(dados[[#This Row],[fator1]],dados[[#This Row],[fator5]],dados[[#This Row],[fator6]])</f>
        <v>#REF!</v>
      </c>
    </row>
    <row r="4224" spans="1:23">
      <c r="A4224" t="s">
        <v>17</v>
      </c>
      <c r="B4224">
        <v>589532</v>
      </c>
      <c r="C4224">
        <v>14</v>
      </c>
      <c r="D4224">
        <v>30</v>
      </c>
      <c r="E4224">
        <v>110</v>
      </c>
      <c r="F4224">
        <v>3</v>
      </c>
      <c r="G4224">
        <v>20</v>
      </c>
      <c r="H4224">
        <v>22</v>
      </c>
      <c r="I4224">
        <v>1595</v>
      </c>
      <c r="J4224">
        <v>370</v>
      </c>
      <c r="K4224">
        <v>5.0670000000000002</v>
      </c>
      <c r="L4224">
        <v>7.1430000000000007</v>
      </c>
      <c r="M4224">
        <v>73.734999999999999</v>
      </c>
      <c r="N4224">
        <v>9.98</v>
      </c>
      <c r="O4224">
        <v>1663</v>
      </c>
      <c r="P4224">
        <v>773</v>
      </c>
      <c r="Q4224" s="5" t="e">
        <f>IF(AND(#REF!&gt;=table!$C$6,#REF!&lt;= table!$D$6),-1,IF(AND(#REF!&gt;=table!$E$6,#REF!&lt;=table!$F$6),1,0))</f>
        <v>#REF!</v>
      </c>
      <c r="R4224" s="5" t="e">
        <f>IF(AND(#REF!&gt;=table!$C$7,#REF!&lt;= table!$D$7),-1,IF(AND(#REF!&gt;=table!$E$7,#REF!&lt;=table!$F$7),1,0))</f>
        <v>#REF!</v>
      </c>
      <c r="S4224" s="5" t="e">
        <f>IF(AND(#REF!&gt;=table!$C$8,#REF!&lt;= table!$D$8),-1,IF(AND(#REF!&gt;=table!$E$8,#REF!&lt;=table!$F$8),1,0))</f>
        <v>#REF!</v>
      </c>
      <c r="T4224" s="5"/>
      <c r="U4224" s="5" t="e">
        <f>IF(AND(#REF!&gt;=table!$C$10,#REF!&lt;= table!$D$10),-1,IF(AND(#REF!&gt;=table!$E$10,#REF!&lt;=table!$F$10),1,0))</f>
        <v>#REF!</v>
      </c>
      <c r="V4224" s="5" t="e">
        <f>IF(AND(#REF!&gt;=table!$C$11,#REF!&lt;= table!$D$11),-1,IF(AND(#REF!&gt;=table!$E$11,#REF!&lt;=table!$F$11),1,0))</f>
        <v>#REF!</v>
      </c>
      <c r="W4224" s="5" t="e">
        <f>CONCATENATE(dados[[#This Row],[fator1]],dados[[#This Row],[fator5]],dados[[#This Row],[fator6]])</f>
        <v>#REF!</v>
      </c>
    </row>
    <row r="4225" spans="1:23">
      <c r="A4225" t="s">
        <v>17</v>
      </c>
      <c r="B4225">
        <v>589535</v>
      </c>
      <c r="C4225">
        <v>18</v>
      </c>
      <c r="D4225">
        <v>23</v>
      </c>
      <c r="E4225">
        <v>145</v>
      </c>
      <c r="F4225">
        <v>9</v>
      </c>
      <c r="G4225">
        <v>30</v>
      </c>
      <c r="H4225">
        <v>25</v>
      </c>
      <c r="I4225">
        <v>88</v>
      </c>
      <c r="J4225">
        <v>0</v>
      </c>
      <c r="K4225">
        <v>3.1335000000000002</v>
      </c>
      <c r="L4225">
        <v>9.7155000000000005</v>
      </c>
      <c r="M4225">
        <v>96.82350000000001</v>
      </c>
      <c r="N4225">
        <v>20.574999999999999</v>
      </c>
      <c r="O4225">
        <v>1674</v>
      </c>
      <c r="P4225">
        <v>0</v>
      </c>
      <c r="Q4225" s="5" t="e">
        <f>IF(AND(#REF!&gt;=table!$C$6,#REF!&lt;= table!$D$6),-1,IF(AND(#REF!&gt;=table!$E$6,#REF!&lt;=table!$F$6),1,0))</f>
        <v>#REF!</v>
      </c>
      <c r="R4225" s="5" t="e">
        <f>IF(AND(#REF!&gt;=table!$C$7,#REF!&lt;= table!$D$7),-1,IF(AND(#REF!&gt;=table!$E$7,#REF!&lt;=table!$F$7),1,0))</f>
        <v>#REF!</v>
      </c>
      <c r="S4225" s="5" t="e">
        <f>IF(AND(#REF!&gt;=table!$C$8,#REF!&lt;= table!$D$8),-1,IF(AND(#REF!&gt;=table!$E$8,#REF!&lt;=table!$F$8),1,0))</f>
        <v>#REF!</v>
      </c>
      <c r="T4225" s="5"/>
      <c r="U4225" s="5" t="e">
        <f>IF(AND(#REF!&gt;=table!$C$10,#REF!&lt;= table!$D$10),-1,IF(AND(#REF!&gt;=table!$E$10,#REF!&lt;=table!$F$10),1,0))</f>
        <v>#REF!</v>
      </c>
      <c r="V4225" s="5" t="e">
        <f>IF(AND(#REF!&gt;=table!$C$11,#REF!&lt;= table!$D$11),-1,IF(AND(#REF!&gt;=table!$E$11,#REF!&lt;=table!$F$11),1,0))</f>
        <v>#REF!</v>
      </c>
      <c r="W4225" s="5" t="e">
        <f>CONCATENATE(dados[[#This Row],[fator1]],dados[[#This Row],[fator5]],dados[[#This Row],[fator6]])</f>
        <v>#REF!</v>
      </c>
    </row>
    <row r="4226" spans="1:23">
      <c r="A4226" t="s">
        <v>16</v>
      </c>
      <c r="B4226">
        <v>589540</v>
      </c>
      <c r="C4226">
        <v>12</v>
      </c>
      <c r="D4226">
        <v>35</v>
      </c>
      <c r="E4226">
        <v>86</v>
      </c>
      <c r="F4226">
        <v>10</v>
      </c>
      <c r="G4226">
        <v>0</v>
      </c>
      <c r="H4226">
        <v>25</v>
      </c>
      <c r="I4226">
        <v>410</v>
      </c>
      <c r="J4226">
        <v>0</v>
      </c>
      <c r="K4226">
        <v>4.758</v>
      </c>
      <c r="L4226">
        <v>9.2275000000000009</v>
      </c>
      <c r="M4226">
        <v>74.778000000000006</v>
      </c>
      <c r="N4226">
        <v>16.535</v>
      </c>
      <c r="O4226">
        <v>1693</v>
      </c>
      <c r="P4226">
        <v>775</v>
      </c>
      <c r="Q4226" s="5" t="e">
        <f>IF(AND(#REF!&gt;=table!$C$6,#REF!&lt;= table!$D$6),-1,IF(AND(#REF!&gt;=table!$E$6,#REF!&lt;=table!$F$6),1,0))</f>
        <v>#REF!</v>
      </c>
      <c r="R4226" s="5" t="e">
        <f>IF(AND(#REF!&gt;=table!$C$7,#REF!&lt;= table!$D$7),-1,IF(AND(#REF!&gt;=table!$E$7,#REF!&lt;=table!$F$7),1,0))</f>
        <v>#REF!</v>
      </c>
      <c r="S4226" s="5" t="e">
        <f>IF(AND(#REF!&gt;=table!$C$8,#REF!&lt;= table!$D$8),-1,IF(AND(#REF!&gt;=table!$E$8,#REF!&lt;=table!$F$8),1,0))</f>
        <v>#REF!</v>
      </c>
      <c r="T4226" s="5"/>
      <c r="U4226" s="5" t="e">
        <f>IF(AND(#REF!&gt;=table!$C$10,#REF!&lt;= table!$D$10),-1,IF(AND(#REF!&gt;=table!$E$10,#REF!&lt;=table!$F$10),1,0))</f>
        <v>#REF!</v>
      </c>
      <c r="V4226" s="5" t="e">
        <f>IF(AND(#REF!&gt;=table!$C$11,#REF!&lt;= table!$D$11),-1,IF(AND(#REF!&gt;=table!$E$11,#REF!&lt;=table!$F$11),1,0))</f>
        <v>#REF!</v>
      </c>
      <c r="W4226" s="5" t="e">
        <f>CONCATENATE(dados[[#This Row],[fator1]],dados[[#This Row],[fator5]],dados[[#This Row],[fator6]])</f>
        <v>#REF!</v>
      </c>
    </row>
    <row r="4227" spans="1:23">
      <c r="A4227" t="s">
        <v>16</v>
      </c>
      <c r="B4227">
        <v>589542</v>
      </c>
      <c r="C4227">
        <v>12</v>
      </c>
      <c r="D4227">
        <v>35</v>
      </c>
      <c r="E4227">
        <v>86</v>
      </c>
      <c r="F4227">
        <v>8</v>
      </c>
      <c r="G4227">
        <v>0</v>
      </c>
      <c r="H4227">
        <v>25</v>
      </c>
      <c r="I4227">
        <v>1697</v>
      </c>
      <c r="J4227">
        <v>0</v>
      </c>
      <c r="K4227">
        <v>3.9355000000000002</v>
      </c>
      <c r="L4227">
        <v>9.8490000000000002</v>
      </c>
      <c r="M4227">
        <v>68.195999999999998</v>
      </c>
      <c r="N4227">
        <v>16.64</v>
      </c>
      <c r="O4227">
        <v>1683</v>
      </c>
      <c r="P4227">
        <v>1167</v>
      </c>
      <c r="Q4227" s="5" t="e">
        <f>IF(AND(#REF!&gt;=table!$C$6,#REF!&lt;= table!$D$6),-1,IF(AND(#REF!&gt;=table!$E$6,#REF!&lt;=table!$F$6),1,0))</f>
        <v>#REF!</v>
      </c>
      <c r="R4227" s="5" t="e">
        <f>IF(AND(#REF!&gt;=table!$C$7,#REF!&lt;= table!$D$7),-1,IF(AND(#REF!&gt;=table!$E$7,#REF!&lt;=table!$F$7),1,0))</f>
        <v>#REF!</v>
      </c>
      <c r="S4227" s="5" t="e">
        <f>IF(AND(#REF!&gt;=table!$C$8,#REF!&lt;= table!$D$8),-1,IF(AND(#REF!&gt;=table!$E$8,#REF!&lt;=table!$F$8),1,0))</f>
        <v>#REF!</v>
      </c>
      <c r="T4227" s="5"/>
      <c r="U4227" s="5" t="e">
        <f>IF(AND(#REF!&gt;=table!$C$10,#REF!&lt;= table!$D$10),-1,IF(AND(#REF!&gt;=table!$E$10,#REF!&lt;=table!$F$10),1,0))</f>
        <v>#REF!</v>
      </c>
      <c r="V4227" s="5" t="e">
        <f>IF(AND(#REF!&gt;=table!$C$11,#REF!&lt;= table!$D$11),-1,IF(AND(#REF!&gt;=table!$E$11,#REF!&lt;=table!$F$11),1,0))</f>
        <v>#REF!</v>
      </c>
      <c r="W4227" s="5" t="e">
        <f>CONCATENATE(dados[[#This Row],[fator1]],dados[[#This Row],[fator5]],dados[[#This Row],[fator6]])</f>
        <v>#REF!</v>
      </c>
    </row>
    <row r="4228" spans="1:23">
      <c r="A4228" t="s">
        <v>16</v>
      </c>
      <c r="B4228">
        <v>589543</v>
      </c>
      <c r="C4228">
        <v>8</v>
      </c>
      <c r="D4228">
        <v>30</v>
      </c>
      <c r="E4228">
        <v>61</v>
      </c>
      <c r="F4228">
        <v>8</v>
      </c>
      <c r="G4228">
        <v>0</v>
      </c>
      <c r="H4228">
        <v>25</v>
      </c>
      <c r="I4228">
        <v>418</v>
      </c>
      <c r="J4228">
        <v>790</v>
      </c>
      <c r="K4228">
        <v>4.0955000000000004</v>
      </c>
      <c r="L4228">
        <v>12.755500000000001</v>
      </c>
      <c r="M4228">
        <v>52.45</v>
      </c>
      <c r="N4228">
        <v>21.490000000000002</v>
      </c>
      <c r="O4228">
        <v>1688</v>
      </c>
      <c r="P4228">
        <v>0</v>
      </c>
      <c r="Q4228" s="5" t="e">
        <f>IF(AND(#REF!&gt;=table!$C$6,#REF!&lt;= table!$D$6),-1,IF(AND(#REF!&gt;=table!$E$6,#REF!&lt;=table!$F$6),1,0))</f>
        <v>#REF!</v>
      </c>
      <c r="R4228" s="5" t="e">
        <f>IF(AND(#REF!&gt;=table!$C$7,#REF!&lt;= table!$D$7),-1,IF(AND(#REF!&gt;=table!$E$7,#REF!&lt;=table!$F$7),1,0))</f>
        <v>#REF!</v>
      </c>
      <c r="S4228" s="5" t="e">
        <f>IF(AND(#REF!&gt;=table!$C$8,#REF!&lt;= table!$D$8),-1,IF(AND(#REF!&gt;=table!$E$8,#REF!&lt;=table!$F$8),1,0))</f>
        <v>#REF!</v>
      </c>
      <c r="T4228" s="5"/>
      <c r="U4228" s="5" t="e">
        <f>IF(AND(#REF!&gt;=table!$C$10,#REF!&lt;= table!$D$10),-1,IF(AND(#REF!&gt;=table!$E$10,#REF!&lt;=table!$F$10),1,0))</f>
        <v>#REF!</v>
      </c>
      <c r="V4228" s="5" t="e">
        <f>IF(AND(#REF!&gt;=table!$C$11,#REF!&lt;= table!$D$11),-1,IF(AND(#REF!&gt;=table!$E$11,#REF!&lt;=table!$F$11),1,0))</f>
        <v>#REF!</v>
      </c>
      <c r="W4228" s="5" t="e">
        <f>CONCATENATE(dados[[#This Row],[fator1]],dados[[#This Row],[fator5]],dados[[#This Row],[fator6]])</f>
        <v>#REF!</v>
      </c>
    </row>
    <row r="4229" spans="1:23">
      <c r="A4229" t="s">
        <v>16</v>
      </c>
      <c r="B4229">
        <v>589545</v>
      </c>
      <c r="C4229">
        <v>0.15</v>
      </c>
      <c r="D4229">
        <v>35</v>
      </c>
      <c r="E4229">
        <v>15</v>
      </c>
      <c r="F4229">
        <v>10</v>
      </c>
      <c r="G4229">
        <v>0</v>
      </c>
      <c r="H4229">
        <v>12</v>
      </c>
      <c r="I4229">
        <v>627</v>
      </c>
      <c r="J4229">
        <v>0</v>
      </c>
      <c r="K4229">
        <v>3.9895</v>
      </c>
      <c r="L4229">
        <v>7.0830000000000002</v>
      </c>
      <c r="M4229">
        <v>6.6745000000000001</v>
      </c>
      <c r="N4229">
        <v>10.34</v>
      </c>
      <c r="O4229">
        <v>1677</v>
      </c>
      <c r="P4229">
        <v>0</v>
      </c>
      <c r="Q4229" s="5" t="e">
        <f>IF(AND(#REF!&gt;=table!$C$6,#REF!&lt;= table!$D$6),-1,IF(AND(#REF!&gt;=table!$E$6,#REF!&lt;=table!$F$6),1,0))</f>
        <v>#REF!</v>
      </c>
      <c r="R4229" s="5" t="e">
        <f>IF(AND(#REF!&gt;=table!$C$7,#REF!&lt;= table!$D$7),-1,IF(AND(#REF!&gt;=table!$E$7,#REF!&lt;=table!$F$7),1,0))</f>
        <v>#REF!</v>
      </c>
      <c r="S4229" s="5" t="e">
        <f>IF(AND(#REF!&gt;=table!$C$8,#REF!&lt;= table!$D$8),-1,IF(AND(#REF!&gt;=table!$E$8,#REF!&lt;=table!$F$8),1,0))</f>
        <v>#REF!</v>
      </c>
      <c r="T4229" s="5"/>
      <c r="U4229" s="5" t="e">
        <f>IF(AND(#REF!&gt;=table!$C$10,#REF!&lt;= table!$D$10),-1,IF(AND(#REF!&gt;=table!$E$10,#REF!&lt;=table!$F$10),1,0))</f>
        <v>#REF!</v>
      </c>
      <c r="V4229" s="5" t="e">
        <f>IF(AND(#REF!&gt;=table!$C$11,#REF!&lt;= table!$D$11),-1,IF(AND(#REF!&gt;=table!$E$11,#REF!&lt;=table!$F$11),1,0))</f>
        <v>#REF!</v>
      </c>
      <c r="W4229" s="5" t="e">
        <f>CONCATENATE(dados[[#This Row],[fator1]],dados[[#This Row],[fator5]],dados[[#This Row],[fator6]])</f>
        <v>#REF!</v>
      </c>
    </row>
    <row r="4230" spans="1:23">
      <c r="A4230" t="s">
        <v>16</v>
      </c>
      <c r="B4230">
        <v>589547</v>
      </c>
      <c r="C4230">
        <v>0.15</v>
      </c>
      <c r="D4230">
        <v>35</v>
      </c>
      <c r="E4230">
        <v>15</v>
      </c>
      <c r="F4230">
        <v>10</v>
      </c>
      <c r="G4230">
        <v>0</v>
      </c>
      <c r="H4230">
        <v>12</v>
      </c>
      <c r="I4230">
        <v>2</v>
      </c>
      <c r="J4230">
        <v>0</v>
      </c>
      <c r="K4230">
        <v>4.7110000000000003</v>
      </c>
      <c r="L4230">
        <v>9.9329999999999998</v>
      </c>
      <c r="M4230">
        <v>7.1795</v>
      </c>
      <c r="N4230">
        <v>6.71</v>
      </c>
      <c r="O4230">
        <v>1687</v>
      </c>
      <c r="P4230">
        <v>976</v>
      </c>
      <c r="Q4230" s="5" t="e">
        <f>IF(AND(#REF!&gt;=table!$C$6,#REF!&lt;= table!$D$6),-1,IF(AND(#REF!&gt;=table!$E$6,#REF!&lt;=table!$F$6),1,0))</f>
        <v>#REF!</v>
      </c>
      <c r="R4230" s="5" t="e">
        <f>IF(AND(#REF!&gt;=table!$C$7,#REF!&lt;= table!$D$7),-1,IF(AND(#REF!&gt;=table!$E$7,#REF!&lt;=table!$F$7),1,0))</f>
        <v>#REF!</v>
      </c>
      <c r="S4230" s="5" t="e">
        <f>IF(AND(#REF!&gt;=table!$C$8,#REF!&lt;= table!$D$8),-1,IF(AND(#REF!&gt;=table!$E$8,#REF!&lt;=table!$F$8),1,0))</f>
        <v>#REF!</v>
      </c>
      <c r="T4230" s="5"/>
      <c r="U4230" s="5" t="e">
        <f>IF(AND(#REF!&gt;=table!$C$10,#REF!&lt;= table!$D$10),-1,IF(AND(#REF!&gt;=table!$E$10,#REF!&lt;=table!$F$10),1,0))</f>
        <v>#REF!</v>
      </c>
      <c r="V4230" s="5" t="e">
        <f>IF(AND(#REF!&gt;=table!$C$11,#REF!&lt;= table!$D$11),-1,IF(AND(#REF!&gt;=table!$E$11,#REF!&lt;=table!$F$11),1,0))</f>
        <v>#REF!</v>
      </c>
      <c r="W4230" s="5" t="e">
        <f>CONCATENATE(dados[[#This Row],[fator1]],dados[[#This Row],[fator5]],dados[[#This Row],[fator6]])</f>
        <v>#REF!</v>
      </c>
    </row>
    <row r="4231" spans="1:23">
      <c r="A4231" t="s">
        <v>16</v>
      </c>
      <c r="B4231">
        <v>589548</v>
      </c>
      <c r="C4231">
        <v>0.15</v>
      </c>
      <c r="D4231">
        <v>35</v>
      </c>
      <c r="E4231">
        <v>15</v>
      </c>
      <c r="F4231">
        <v>10</v>
      </c>
      <c r="G4231">
        <v>0</v>
      </c>
      <c r="H4231">
        <v>12</v>
      </c>
      <c r="I4231">
        <v>0</v>
      </c>
      <c r="J4231">
        <v>0</v>
      </c>
      <c r="K4231">
        <v>4.7355</v>
      </c>
      <c r="L4231">
        <v>9.5325000000000006</v>
      </c>
      <c r="M4231">
        <v>9.3990000000000009</v>
      </c>
      <c r="N4231">
        <v>10.3</v>
      </c>
      <c r="O4231">
        <v>1682</v>
      </c>
      <c r="P4231">
        <v>845</v>
      </c>
      <c r="Q4231" s="5" t="e">
        <f>IF(AND(#REF!&gt;=table!$C$6,#REF!&lt;= table!$D$6),-1,IF(AND(#REF!&gt;=table!$E$6,#REF!&lt;=table!$F$6),1,0))</f>
        <v>#REF!</v>
      </c>
      <c r="R4231" s="5" t="e">
        <f>IF(AND(#REF!&gt;=table!$C$7,#REF!&lt;= table!$D$7),-1,IF(AND(#REF!&gt;=table!$E$7,#REF!&lt;=table!$F$7),1,0))</f>
        <v>#REF!</v>
      </c>
      <c r="S4231" s="5" t="e">
        <f>IF(AND(#REF!&gt;=table!$C$8,#REF!&lt;= table!$D$8),-1,IF(AND(#REF!&gt;=table!$E$8,#REF!&lt;=table!$F$8),1,0))</f>
        <v>#REF!</v>
      </c>
      <c r="T4231" s="5"/>
      <c r="U4231" s="5" t="e">
        <f>IF(AND(#REF!&gt;=table!$C$10,#REF!&lt;= table!$D$10),-1,IF(AND(#REF!&gt;=table!$E$10,#REF!&lt;=table!$F$10),1,0))</f>
        <v>#REF!</v>
      </c>
      <c r="V4231" s="5" t="e">
        <f>IF(AND(#REF!&gt;=table!$C$11,#REF!&lt;= table!$D$11),-1,IF(AND(#REF!&gt;=table!$E$11,#REF!&lt;=table!$F$11),1,0))</f>
        <v>#REF!</v>
      </c>
      <c r="W4231" s="5" t="e">
        <f>CONCATENATE(dados[[#This Row],[fator1]],dados[[#This Row],[fator5]],dados[[#This Row],[fator6]])</f>
        <v>#REF!</v>
      </c>
    </row>
    <row r="4232" spans="1:23">
      <c r="A4232" t="s">
        <v>16</v>
      </c>
      <c r="B4232">
        <v>589556</v>
      </c>
      <c r="C4232">
        <v>0.15</v>
      </c>
      <c r="D4232">
        <v>35</v>
      </c>
      <c r="E4232">
        <v>15</v>
      </c>
      <c r="F4232">
        <v>10</v>
      </c>
      <c r="G4232">
        <v>0</v>
      </c>
      <c r="H4232">
        <v>12</v>
      </c>
      <c r="I4232">
        <v>83</v>
      </c>
      <c r="J4232">
        <v>0</v>
      </c>
      <c r="K4232">
        <v>6.3905000000000003</v>
      </c>
      <c r="L4232">
        <v>13.191500000000001</v>
      </c>
      <c r="M4232">
        <v>12.0875</v>
      </c>
      <c r="N4232">
        <v>15.780000000000001</v>
      </c>
      <c r="O4232">
        <v>1686</v>
      </c>
      <c r="P4232">
        <v>0</v>
      </c>
      <c r="Q4232" s="5" t="e">
        <f>IF(AND(#REF!&gt;=table!$C$6,#REF!&lt;= table!$D$6),-1,IF(AND(#REF!&gt;=table!$E$6,#REF!&lt;=table!$F$6),1,0))</f>
        <v>#REF!</v>
      </c>
      <c r="R4232" s="5" t="e">
        <f>IF(AND(#REF!&gt;=table!$C$7,#REF!&lt;= table!$D$7),-1,IF(AND(#REF!&gt;=table!$E$7,#REF!&lt;=table!$F$7),1,0))</f>
        <v>#REF!</v>
      </c>
      <c r="S4232" s="5" t="e">
        <f>IF(AND(#REF!&gt;=table!$C$8,#REF!&lt;= table!$D$8),-1,IF(AND(#REF!&gt;=table!$E$8,#REF!&lt;=table!$F$8),1,0))</f>
        <v>#REF!</v>
      </c>
      <c r="T4232" s="5"/>
      <c r="U4232" s="5" t="e">
        <f>IF(AND(#REF!&gt;=table!$C$10,#REF!&lt;= table!$D$10),-1,IF(AND(#REF!&gt;=table!$E$10,#REF!&lt;=table!$F$10),1,0))</f>
        <v>#REF!</v>
      </c>
      <c r="V4232" s="5" t="e">
        <f>IF(AND(#REF!&gt;=table!$C$11,#REF!&lt;= table!$D$11),-1,IF(AND(#REF!&gt;=table!$E$11,#REF!&lt;=table!$F$11),1,0))</f>
        <v>#REF!</v>
      </c>
      <c r="W4232" s="5" t="e">
        <f>CONCATENATE(dados[[#This Row],[fator1]],dados[[#This Row],[fator5]],dados[[#This Row],[fator6]])</f>
        <v>#REF!</v>
      </c>
    </row>
    <row r="4233" spans="1:23">
      <c r="A4233" t="s">
        <v>16</v>
      </c>
      <c r="B4233">
        <v>589560</v>
      </c>
      <c r="C4233">
        <v>0.15</v>
      </c>
      <c r="D4233">
        <v>40</v>
      </c>
      <c r="E4233">
        <v>64</v>
      </c>
      <c r="F4233">
        <v>10</v>
      </c>
      <c r="G4233">
        <v>0</v>
      </c>
      <c r="H4233">
        <v>35</v>
      </c>
      <c r="I4233">
        <v>897</v>
      </c>
      <c r="J4233">
        <v>0</v>
      </c>
      <c r="K4233">
        <v>5.2629999999999999</v>
      </c>
      <c r="L4233">
        <v>14.810500000000001</v>
      </c>
      <c r="M4233">
        <v>12.3795</v>
      </c>
      <c r="N4233">
        <v>21.805</v>
      </c>
      <c r="O4233">
        <v>1676</v>
      </c>
      <c r="P4233">
        <v>0</v>
      </c>
      <c r="Q4233" s="5" t="e">
        <f>IF(AND(#REF!&gt;=table!$C$6,#REF!&lt;= table!$D$6),-1,IF(AND(#REF!&gt;=table!$E$6,#REF!&lt;=table!$F$6),1,0))</f>
        <v>#REF!</v>
      </c>
      <c r="R4233" s="5" t="e">
        <f>IF(AND(#REF!&gt;=table!$C$7,#REF!&lt;= table!$D$7),-1,IF(AND(#REF!&gt;=table!$E$7,#REF!&lt;=table!$F$7),1,0))</f>
        <v>#REF!</v>
      </c>
      <c r="S4233" s="5" t="e">
        <f>IF(AND(#REF!&gt;=table!$C$8,#REF!&lt;= table!$D$8),-1,IF(AND(#REF!&gt;=table!$E$8,#REF!&lt;=table!$F$8),1,0))</f>
        <v>#REF!</v>
      </c>
      <c r="T4233" s="5"/>
      <c r="U4233" s="5" t="e">
        <f>IF(AND(#REF!&gt;=table!$C$10,#REF!&lt;= table!$D$10),-1,IF(AND(#REF!&gt;=table!$E$10,#REF!&lt;=table!$F$10),1,0))</f>
        <v>#REF!</v>
      </c>
      <c r="V4233" s="5" t="e">
        <f>IF(AND(#REF!&gt;=table!$C$11,#REF!&lt;= table!$D$11),-1,IF(AND(#REF!&gt;=table!$E$11,#REF!&lt;=table!$F$11),1,0))</f>
        <v>#REF!</v>
      </c>
      <c r="W4233" s="5" t="e">
        <f>CONCATENATE(dados[[#This Row],[fator1]],dados[[#This Row],[fator5]],dados[[#This Row],[fator6]])</f>
        <v>#REF!</v>
      </c>
    </row>
    <row r="4234" spans="1:23">
      <c r="A4234" t="s">
        <v>16</v>
      </c>
      <c r="B4234">
        <v>589561</v>
      </c>
      <c r="C4234">
        <v>0.15</v>
      </c>
      <c r="D4234">
        <v>40</v>
      </c>
      <c r="E4234">
        <v>64</v>
      </c>
      <c r="F4234">
        <v>10</v>
      </c>
      <c r="G4234">
        <v>0</v>
      </c>
      <c r="H4234">
        <v>35</v>
      </c>
      <c r="I4234">
        <v>1188</v>
      </c>
      <c r="J4234">
        <v>0</v>
      </c>
      <c r="K4234">
        <v>7.5493000000000006</v>
      </c>
      <c r="L4234">
        <v>12.8955</v>
      </c>
      <c r="M4234">
        <v>12.461</v>
      </c>
      <c r="N4234">
        <v>16.525000000000002</v>
      </c>
      <c r="O4234">
        <v>1657</v>
      </c>
      <c r="P4234">
        <v>396</v>
      </c>
      <c r="Q4234" s="5" t="e">
        <f>IF(AND(#REF!&gt;=table!$C$6,#REF!&lt;= table!$D$6),-1,IF(AND(#REF!&gt;=table!$E$6,#REF!&lt;=table!$F$6),1,0))</f>
        <v>#REF!</v>
      </c>
      <c r="R4234" s="5" t="e">
        <f>IF(AND(#REF!&gt;=table!$C$7,#REF!&lt;= table!$D$7),-1,IF(AND(#REF!&gt;=table!$E$7,#REF!&lt;=table!$F$7),1,0))</f>
        <v>#REF!</v>
      </c>
      <c r="S4234" s="5" t="e">
        <f>IF(AND(#REF!&gt;=table!$C$8,#REF!&lt;= table!$D$8),-1,IF(AND(#REF!&gt;=table!$E$8,#REF!&lt;=table!$F$8),1,0))</f>
        <v>#REF!</v>
      </c>
      <c r="T4234" s="5"/>
      <c r="U4234" s="5" t="e">
        <f>IF(AND(#REF!&gt;=table!$C$10,#REF!&lt;= table!$D$10),-1,IF(AND(#REF!&gt;=table!$E$10,#REF!&lt;=table!$F$10),1,0))</f>
        <v>#REF!</v>
      </c>
      <c r="V4234" s="5" t="e">
        <f>IF(AND(#REF!&gt;=table!$C$11,#REF!&lt;= table!$D$11),-1,IF(AND(#REF!&gt;=table!$E$11,#REF!&lt;=table!$F$11),1,0))</f>
        <v>#REF!</v>
      </c>
      <c r="W4234" s="5" t="e">
        <f>CONCATENATE(dados[[#This Row],[fator1]],dados[[#This Row],[fator5]],dados[[#This Row],[fator6]])</f>
        <v>#REF!</v>
      </c>
    </row>
    <row r="4235" spans="1:23">
      <c r="A4235" t="s">
        <v>16</v>
      </c>
      <c r="B4235">
        <v>589562</v>
      </c>
      <c r="C4235">
        <v>0.15</v>
      </c>
      <c r="D4235">
        <v>40</v>
      </c>
      <c r="E4235">
        <v>64</v>
      </c>
      <c r="F4235">
        <v>10</v>
      </c>
      <c r="G4235">
        <v>0</v>
      </c>
      <c r="H4235">
        <v>35</v>
      </c>
      <c r="I4235">
        <v>1143</v>
      </c>
      <c r="J4235">
        <v>0</v>
      </c>
      <c r="K4235">
        <v>2.7610000000000001</v>
      </c>
      <c r="L4235">
        <v>7.22</v>
      </c>
      <c r="M4235">
        <v>6.9220000000000006</v>
      </c>
      <c r="N4235">
        <v>16.399999999999999</v>
      </c>
      <c r="O4235">
        <v>1657</v>
      </c>
      <c r="P4235">
        <v>0</v>
      </c>
      <c r="Q4235" s="5" t="e">
        <f>IF(AND(#REF!&gt;=table!$C$6,#REF!&lt;= table!$D$6),-1,IF(AND(#REF!&gt;=table!$E$6,#REF!&lt;=table!$F$6),1,0))</f>
        <v>#REF!</v>
      </c>
      <c r="R4235" s="5" t="e">
        <f>IF(AND(#REF!&gt;=table!$C$7,#REF!&lt;= table!$D$7),-1,IF(AND(#REF!&gt;=table!$E$7,#REF!&lt;=table!$F$7),1,0))</f>
        <v>#REF!</v>
      </c>
      <c r="S4235" s="5" t="e">
        <f>IF(AND(#REF!&gt;=table!$C$8,#REF!&lt;= table!$D$8),-1,IF(AND(#REF!&gt;=table!$E$8,#REF!&lt;=table!$F$8),1,0))</f>
        <v>#REF!</v>
      </c>
      <c r="T4235" s="5"/>
      <c r="U4235" s="5" t="e">
        <f>IF(AND(#REF!&gt;=table!$C$10,#REF!&lt;= table!$D$10),-1,IF(AND(#REF!&gt;=table!$E$10,#REF!&lt;=table!$F$10),1,0))</f>
        <v>#REF!</v>
      </c>
      <c r="V4235" s="5" t="e">
        <f>IF(AND(#REF!&gt;=table!$C$11,#REF!&lt;= table!$D$11),-1,IF(AND(#REF!&gt;=table!$E$11,#REF!&lt;=table!$F$11),1,0))</f>
        <v>#REF!</v>
      </c>
      <c r="W4235" s="5" t="e">
        <f>CONCATENATE(dados[[#This Row],[fator1]],dados[[#This Row],[fator5]],dados[[#This Row],[fator6]])</f>
        <v>#REF!</v>
      </c>
    </row>
    <row r="4236" spans="1:23">
      <c r="A4236" t="s">
        <v>16</v>
      </c>
      <c r="B4236">
        <v>589569</v>
      </c>
      <c r="C4236">
        <v>4</v>
      </c>
      <c r="D4236">
        <v>40</v>
      </c>
      <c r="E4236">
        <v>21</v>
      </c>
      <c r="F4236">
        <v>10</v>
      </c>
      <c r="G4236">
        <v>0</v>
      </c>
      <c r="H4236">
        <v>25</v>
      </c>
      <c r="I4236">
        <v>275</v>
      </c>
      <c r="J4236">
        <v>0</v>
      </c>
      <c r="K4236">
        <v>4.8475000000000001</v>
      </c>
      <c r="L4236">
        <v>7.5415000000000001</v>
      </c>
      <c r="M4236">
        <v>7.2510000000000003</v>
      </c>
      <c r="N4236">
        <v>10.175000000000001</v>
      </c>
      <c r="O4236">
        <v>1656</v>
      </c>
      <c r="P4236">
        <v>684</v>
      </c>
      <c r="Q4236" s="5" t="e">
        <f>IF(AND(#REF!&gt;=table!$C$6,#REF!&lt;= table!$D$6),-1,IF(AND(#REF!&gt;=table!$E$6,#REF!&lt;=table!$F$6),1,0))</f>
        <v>#REF!</v>
      </c>
      <c r="R4236" s="5" t="e">
        <f>IF(AND(#REF!&gt;=table!$C$7,#REF!&lt;= table!$D$7),-1,IF(AND(#REF!&gt;=table!$E$7,#REF!&lt;=table!$F$7),1,0))</f>
        <v>#REF!</v>
      </c>
      <c r="S4236" s="5" t="e">
        <f>IF(AND(#REF!&gt;=table!$C$8,#REF!&lt;= table!$D$8),-1,IF(AND(#REF!&gt;=table!$E$8,#REF!&lt;=table!$F$8),1,0))</f>
        <v>#REF!</v>
      </c>
      <c r="T4236" s="5"/>
      <c r="U4236" s="5" t="e">
        <f>IF(AND(#REF!&gt;=table!$C$10,#REF!&lt;= table!$D$10),-1,IF(AND(#REF!&gt;=table!$E$10,#REF!&lt;=table!$F$10),1,0))</f>
        <v>#REF!</v>
      </c>
      <c r="V4236" s="5" t="e">
        <f>IF(AND(#REF!&gt;=table!$C$11,#REF!&lt;= table!$D$11),-1,IF(AND(#REF!&gt;=table!$E$11,#REF!&lt;=table!$F$11),1,0))</f>
        <v>#REF!</v>
      </c>
      <c r="W4236" s="5" t="e">
        <f>CONCATENATE(dados[[#This Row],[fator1]],dados[[#This Row],[fator5]],dados[[#This Row],[fator6]])</f>
        <v>#REF!</v>
      </c>
    </row>
    <row r="4237" spans="1:23">
      <c r="A4237" t="s">
        <v>17</v>
      </c>
      <c r="B4237">
        <v>589570</v>
      </c>
      <c r="C4237">
        <v>16</v>
      </c>
      <c r="D4237">
        <v>23</v>
      </c>
      <c r="E4237">
        <v>145</v>
      </c>
      <c r="F4237">
        <v>9</v>
      </c>
      <c r="G4237">
        <v>30</v>
      </c>
      <c r="H4237">
        <v>25</v>
      </c>
      <c r="I4237">
        <v>55</v>
      </c>
      <c r="J4237">
        <v>0</v>
      </c>
      <c r="K4237">
        <v>8.4734999999999996</v>
      </c>
      <c r="L4237">
        <v>14.7545</v>
      </c>
      <c r="M4237">
        <v>124.99300000000001</v>
      </c>
      <c r="N4237">
        <v>19.815000000000001</v>
      </c>
      <c r="O4237">
        <v>1661</v>
      </c>
      <c r="P4237">
        <v>348</v>
      </c>
      <c r="Q4237" s="5" t="e">
        <f>IF(AND(#REF!&gt;=table!$C$6,#REF!&lt;= table!$D$6),-1,IF(AND(#REF!&gt;=table!$E$6,#REF!&lt;=table!$F$6),1,0))</f>
        <v>#REF!</v>
      </c>
      <c r="R4237" s="5" t="e">
        <f>IF(AND(#REF!&gt;=table!$C$7,#REF!&lt;= table!$D$7),-1,IF(AND(#REF!&gt;=table!$E$7,#REF!&lt;=table!$F$7),1,0))</f>
        <v>#REF!</v>
      </c>
      <c r="S4237" s="5" t="e">
        <f>IF(AND(#REF!&gt;=table!$C$8,#REF!&lt;= table!$D$8),-1,IF(AND(#REF!&gt;=table!$E$8,#REF!&lt;=table!$F$8),1,0))</f>
        <v>#REF!</v>
      </c>
      <c r="T4237" s="5"/>
      <c r="U4237" s="5" t="e">
        <f>IF(AND(#REF!&gt;=table!$C$10,#REF!&lt;= table!$D$10),-1,IF(AND(#REF!&gt;=table!$E$10,#REF!&lt;=table!$F$10),1,0))</f>
        <v>#REF!</v>
      </c>
      <c r="V4237" s="5" t="e">
        <f>IF(AND(#REF!&gt;=table!$C$11,#REF!&lt;= table!$D$11),-1,IF(AND(#REF!&gt;=table!$E$11,#REF!&lt;=table!$F$11),1,0))</f>
        <v>#REF!</v>
      </c>
      <c r="W4237" s="5" t="e">
        <f>CONCATENATE(dados[[#This Row],[fator1]],dados[[#This Row],[fator5]],dados[[#This Row],[fator6]])</f>
        <v>#REF!</v>
      </c>
    </row>
    <row r="4238" spans="1:23">
      <c r="A4238" t="s">
        <v>17</v>
      </c>
      <c r="B4238">
        <v>589571</v>
      </c>
      <c r="C4238">
        <v>14</v>
      </c>
      <c r="D4238">
        <v>25</v>
      </c>
      <c r="E4238">
        <v>130</v>
      </c>
      <c r="F4238">
        <v>9</v>
      </c>
      <c r="G4238">
        <v>110</v>
      </c>
      <c r="H4238">
        <v>50</v>
      </c>
      <c r="I4238">
        <v>4</v>
      </c>
      <c r="J4238">
        <v>0</v>
      </c>
      <c r="K4238">
        <v>9.152000000000001</v>
      </c>
      <c r="L4238">
        <v>12.847000000000001</v>
      </c>
      <c r="M4238">
        <v>155.309</v>
      </c>
      <c r="N4238">
        <v>29.155000000000001</v>
      </c>
      <c r="O4238">
        <v>1659</v>
      </c>
      <c r="P4238">
        <v>350</v>
      </c>
      <c r="Q4238" s="5" t="e">
        <f>IF(AND(#REF!&gt;=table!$C$6,#REF!&lt;= table!$D$6),-1,IF(AND(#REF!&gt;=table!$E$6,#REF!&lt;=table!$F$6),1,0))</f>
        <v>#REF!</v>
      </c>
      <c r="R4238" s="5" t="e">
        <f>IF(AND(#REF!&gt;=table!$C$7,#REF!&lt;= table!$D$7),-1,IF(AND(#REF!&gt;=table!$E$7,#REF!&lt;=table!$F$7),1,0))</f>
        <v>#REF!</v>
      </c>
      <c r="S4238" s="5" t="e">
        <f>IF(AND(#REF!&gt;=table!$C$8,#REF!&lt;= table!$D$8),-1,IF(AND(#REF!&gt;=table!$E$8,#REF!&lt;=table!$F$8),1,0))</f>
        <v>#REF!</v>
      </c>
      <c r="T4238" s="5"/>
      <c r="U4238" s="5" t="e">
        <f>IF(AND(#REF!&gt;=table!$C$10,#REF!&lt;= table!$D$10),-1,IF(AND(#REF!&gt;=table!$E$10,#REF!&lt;=table!$F$10),1,0))</f>
        <v>#REF!</v>
      </c>
      <c r="V4238" s="5" t="e">
        <f>IF(AND(#REF!&gt;=table!$C$11,#REF!&lt;= table!$D$11),-1,IF(AND(#REF!&gt;=table!$E$11,#REF!&lt;=table!$F$11),1,0))</f>
        <v>#REF!</v>
      </c>
      <c r="W4238" s="5" t="e">
        <f>CONCATENATE(dados[[#This Row],[fator1]],dados[[#This Row],[fator5]],dados[[#This Row],[fator6]])</f>
        <v>#REF!</v>
      </c>
    </row>
    <row r="4239" spans="1:23">
      <c r="A4239" t="s">
        <v>17</v>
      </c>
      <c r="B4239">
        <v>589575</v>
      </c>
      <c r="C4239">
        <v>14</v>
      </c>
      <c r="D4239">
        <v>30</v>
      </c>
      <c r="E4239">
        <v>86</v>
      </c>
      <c r="F4239">
        <v>9</v>
      </c>
      <c r="G4239">
        <v>20</v>
      </c>
      <c r="H4239">
        <v>25</v>
      </c>
      <c r="I4239">
        <v>1407</v>
      </c>
      <c r="J4239">
        <v>0</v>
      </c>
      <c r="K4239">
        <v>4.2530000000000001</v>
      </c>
      <c r="L4239">
        <v>6.0880000000000001</v>
      </c>
      <c r="M4239">
        <v>65.45150000000001</v>
      </c>
      <c r="N4239">
        <v>17.025000000000002</v>
      </c>
      <c r="O4239">
        <v>1679</v>
      </c>
      <c r="P4239">
        <v>0</v>
      </c>
      <c r="Q4239" s="5" t="e">
        <f>IF(AND(#REF!&gt;=table!$C$6,#REF!&lt;= table!$D$6),-1,IF(AND(#REF!&gt;=table!$E$6,#REF!&lt;=table!$F$6),1,0))</f>
        <v>#REF!</v>
      </c>
      <c r="R4239" s="5" t="e">
        <f>IF(AND(#REF!&gt;=table!$C$7,#REF!&lt;= table!$D$7),-1,IF(AND(#REF!&gt;=table!$E$7,#REF!&lt;=table!$F$7),1,0))</f>
        <v>#REF!</v>
      </c>
      <c r="S4239" s="5" t="e">
        <f>IF(AND(#REF!&gt;=table!$C$8,#REF!&lt;= table!$D$8),-1,IF(AND(#REF!&gt;=table!$E$8,#REF!&lt;=table!$F$8),1,0))</f>
        <v>#REF!</v>
      </c>
      <c r="T4239" s="5"/>
      <c r="U4239" s="5" t="e">
        <f>IF(AND(#REF!&gt;=table!$C$10,#REF!&lt;= table!$D$10),-1,IF(AND(#REF!&gt;=table!$E$10,#REF!&lt;=table!$F$10),1,0))</f>
        <v>#REF!</v>
      </c>
      <c r="V4239" s="5" t="e">
        <f>IF(AND(#REF!&gt;=table!$C$11,#REF!&lt;= table!$D$11),-1,IF(AND(#REF!&gt;=table!$E$11,#REF!&lt;=table!$F$11),1,0))</f>
        <v>#REF!</v>
      </c>
      <c r="W4239" s="5" t="e">
        <f>CONCATENATE(dados[[#This Row],[fator1]],dados[[#This Row],[fator5]],dados[[#This Row],[fator6]])</f>
        <v>#REF!</v>
      </c>
    </row>
    <row r="4240" spans="1:23">
      <c r="A4240" t="s">
        <v>17</v>
      </c>
      <c r="B4240">
        <v>589576</v>
      </c>
      <c r="C4240">
        <v>14</v>
      </c>
      <c r="D4240">
        <v>30</v>
      </c>
      <c r="E4240">
        <v>86</v>
      </c>
      <c r="F4240">
        <v>9</v>
      </c>
      <c r="G4240">
        <v>20</v>
      </c>
      <c r="H4240">
        <v>25</v>
      </c>
      <c r="I4240">
        <v>992</v>
      </c>
      <c r="J4240">
        <v>0</v>
      </c>
      <c r="K4240">
        <v>3.8505000000000003</v>
      </c>
      <c r="L4240">
        <v>9.6650000000000009</v>
      </c>
      <c r="M4240">
        <v>77.527000000000001</v>
      </c>
      <c r="N4240">
        <v>24.13</v>
      </c>
      <c r="O4240">
        <v>1694</v>
      </c>
      <c r="P4240">
        <v>1272</v>
      </c>
      <c r="Q4240" s="5" t="e">
        <f>IF(AND(#REF!&gt;=table!$C$6,#REF!&lt;= table!$D$6),-1,IF(AND(#REF!&gt;=table!$E$6,#REF!&lt;=table!$F$6),1,0))</f>
        <v>#REF!</v>
      </c>
      <c r="R4240" s="5" t="e">
        <f>IF(AND(#REF!&gt;=table!$C$7,#REF!&lt;= table!$D$7),-1,IF(AND(#REF!&gt;=table!$E$7,#REF!&lt;=table!$F$7),1,0))</f>
        <v>#REF!</v>
      </c>
      <c r="S4240" s="5" t="e">
        <f>IF(AND(#REF!&gt;=table!$C$8,#REF!&lt;= table!$D$8),-1,IF(AND(#REF!&gt;=table!$E$8,#REF!&lt;=table!$F$8),1,0))</f>
        <v>#REF!</v>
      </c>
      <c r="T4240" s="5"/>
      <c r="U4240" s="5" t="e">
        <f>IF(AND(#REF!&gt;=table!$C$10,#REF!&lt;= table!$D$10),-1,IF(AND(#REF!&gt;=table!$E$10,#REF!&lt;=table!$F$10),1,0))</f>
        <v>#REF!</v>
      </c>
      <c r="V4240" s="5" t="e">
        <f>IF(AND(#REF!&gt;=table!$C$11,#REF!&lt;= table!$D$11),-1,IF(AND(#REF!&gt;=table!$E$11,#REF!&lt;=table!$F$11),1,0))</f>
        <v>#REF!</v>
      </c>
      <c r="W4240" s="5" t="e">
        <f>CONCATENATE(dados[[#This Row],[fator1]],dados[[#This Row],[fator5]],dados[[#This Row],[fator6]])</f>
        <v>#REF!</v>
      </c>
    </row>
    <row r="4241" spans="1:23">
      <c r="A4241" t="s">
        <v>16</v>
      </c>
      <c r="B4241">
        <v>589578</v>
      </c>
      <c r="C4241">
        <v>7</v>
      </c>
      <c r="D4241">
        <v>35</v>
      </c>
      <c r="E4241">
        <v>170</v>
      </c>
      <c r="F4241">
        <v>6</v>
      </c>
      <c r="G4241">
        <v>0</v>
      </c>
      <c r="H4241">
        <v>20</v>
      </c>
      <c r="I4241">
        <v>123</v>
      </c>
      <c r="J4241">
        <v>570</v>
      </c>
      <c r="K4241">
        <v>3.363</v>
      </c>
      <c r="L4241">
        <v>5.6985000000000001</v>
      </c>
      <c r="M4241">
        <v>135.346</v>
      </c>
      <c r="N4241">
        <v>14.89</v>
      </c>
      <c r="O4241">
        <v>1653</v>
      </c>
      <c r="P4241">
        <v>1191</v>
      </c>
      <c r="Q4241" s="5" t="e">
        <f>IF(AND(#REF!&gt;=table!$C$6,#REF!&lt;= table!$D$6),-1,IF(AND(#REF!&gt;=table!$E$6,#REF!&lt;=table!$F$6),1,0))</f>
        <v>#REF!</v>
      </c>
      <c r="R4241" s="5" t="e">
        <f>IF(AND(#REF!&gt;=table!$C$7,#REF!&lt;= table!$D$7),-1,IF(AND(#REF!&gt;=table!$E$7,#REF!&lt;=table!$F$7),1,0))</f>
        <v>#REF!</v>
      </c>
      <c r="S4241" s="5" t="e">
        <f>IF(AND(#REF!&gt;=table!$C$8,#REF!&lt;= table!$D$8),-1,IF(AND(#REF!&gt;=table!$E$8,#REF!&lt;=table!$F$8),1,0))</f>
        <v>#REF!</v>
      </c>
      <c r="T4241" s="5"/>
      <c r="U4241" s="5" t="e">
        <f>IF(AND(#REF!&gt;=table!$C$10,#REF!&lt;= table!$D$10),-1,IF(AND(#REF!&gt;=table!$E$10,#REF!&lt;=table!$F$10),1,0))</f>
        <v>#REF!</v>
      </c>
      <c r="V4241" s="5" t="e">
        <f>IF(AND(#REF!&gt;=table!$C$11,#REF!&lt;= table!$D$11),-1,IF(AND(#REF!&gt;=table!$E$11,#REF!&lt;=table!$F$11),1,0))</f>
        <v>#REF!</v>
      </c>
      <c r="W4241" s="5" t="e">
        <f>CONCATENATE(dados[[#This Row],[fator1]],dados[[#This Row],[fator5]],dados[[#This Row],[fator6]])</f>
        <v>#REF!</v>
      </c>
    </row>
    <row r="4242" spans="1:23">
      <c r="A4242" t="s">
        <v>16</v>
      </c>
      <c r="B4242">
        <v>589579</v>
      </c>
      <c r="C4242">
        <v>12</v>
      </c>
      <c r="D4242">
        <v>35</v>
      </c>
      <c r="E4242">
        <v>180</v>
      </c>
      <c r="F4242">
        <v>6</v>
      </c>
      <c r="G4242">
        <v>0</v>
      </c>
      <c r="H4242">
        <v>20</v>
      </c>
      <c r="I4242">
        <v>1</v>
      </c>
      <c r="J4242">
        <v>680</v>
      </c>
      <c r="K4242">
        <v>3.3005</v>
      </c>
      <c r="L4242">
        <v>6.7620000000000005</v>
      </c>
      <c r="M4242">
        <v>165.3125</v>
      </c>
      <c r="N4242">
        <v>15.125</v>
      </c>
      <c r="O4242">
        <v>1695</v>
      </c>
      <c r="P4242">
        <v>1216</v>
      </c>
      <c r="Q4242" s="5" t="e">
        <f>IF(AND(#REF!&gt;=table!$C$6,#REF!&lt;= table!$D$6),-1,IF(AND(#REF!&gt;=table!$E$6,#REF!&lt;=table!$F$6),1,0))</f>
        <v>#REF!</v>
      </c>
      <c r="R4242" s="5" t="e">
        <f>IF(AND(#REF!&gt;=table!$C$7,#REF!&lt;= table!$D$7),-1,IF(AND(#REF!&gt;=table!$E$7,#REF!&lt;=table!$F$7),1,0))</f>
        <v>#REF!</v>
      </c>
      <c r="S4242" s="5" t="e">
        <f>IF(AND(#REF!&gt;=table!$C$8,#REF!&lt;= table!$D$8),-1,IF(AND(#REF!&gt;=table!$E$8,#REF!&lt;=table!$F$8),1,0))</f>
        <v>#REF!</v>
      </c>
      <c r="T4242" s="5"/>
      <c r="U4242" s="5" t="e">
        <f>IF(AND(#REF!&gt;=table!$C$10,#REF!&lt;= table!$D$10),-1,IF(AND(#REF!&gt;=table!$E$10,#REF!&lt;=table!$F$10),1,0))</f>
        <v>#REF!</v>
      </c>
      <c r="V4242" s="5" t="e">
        <f>IF(AND(#REF!&gt;=table!$C$11,#REF!&lt;= table!$D$11),-1,IF(AND(#REF!&gt;=table!$E$11,#REF!&lt;=table!$F$11),1,0))</f>
        <v>#REF!</v>
      </c>
      <c r="W4242" s="5" t="e">
        <f>CONCATENATE(dados[[#This Row],[fator1]],dados[[#This Row],[fator5]],dados[[#This Row],[fator6]])</f>
        <v>#REF!</v>
      </c>
    </row>
    <row r="4243" spans="1:23">
      <c r="A4243" t="s">
        <v>16</v>
      </c>
      <c r="B4243">
        <v>589585</v>
      </c>
      <c r="C4243">
        <v>7</v>
      </c>
      <c r="D4243">
        <v>33</v>
      </c>
      <c r="E4243">
        <v>153</v>
      </c>
      <c r="F4243">
        <v>4</v>
      </c>
      <c r="G4243">
        <v>0</v>
      </c>
      <c r="H4243">
        <v>25</v>
      </c>
      <c r="I4243">
        <v>496</v>
      </c>
      <c r="J4243">
        <v>0</v>
      </c>
      <c r="K4243">
        <v>3.972</v>
      </c>
      <c r="L4243">
        <v>8.447000000000001</v>
      </c>
      <c r="M4243">
        <v>84.301000000000002</v>
      </c>
      <c r="N4243">
        <v>12.08</v>
      </c>
      <c r="O4243">
        <v>1637</v>
      </c>
      <c r="P4243">
        <v>846</v>
      </c>
      <c r="Q4243" s="5" t="e">
        <f>IF(AND(#REF!&gt;=table!$C$6,#REF!&lt;= table!$D$6),-1,IF(AND(#REF!&gt;=table!$E$6,#REF!&lt;=table!$F$6),1,0))</f>
        <v>#REF!</v>
      </c>
      <c r="R4243" s="5" t="e">
        <f>IF(AND(#REF!&gt;=table!$C$7,#REF!&lt;= table!$D$7),-1,IF(AND(#REF!&gt;=table!$E$7,#REF!&lt;=table!$F$7),1,0))</f>
        <v>#REF!</v>
      </c>
      <c r="S4243" s="5" t="e">
        <f>IF(AND(#REF!&gt;=table!$C$8,#REF!&lt;= table!$D$8),-1,IF(AND(#REF!&gt;=table!$E$8,#REF!&lt;=table!$F$8),1,0))</f>
        <v>#REF!</v>
      </c>
      <c r="T4243" s="5"/>
      <c r="U4243" s="5" t="e">
        <f>IF(AND(#REF!&gt;=table!$C$10,#REF!&lt;= table!$D$10),-1,IF(AND(#REF!&gt;=table!$E$10,#REF!&lt;=table!$F$10),1,0))</f>
        <v>#REF!</v>
      </c>
      <c r="V4243" s="5" t="e">
        <f>IF(AND(#REF!&gt;=table!$C$11,#REF!&lt;= table!$D$11),-1,IF(AND(#REF!&gt;=table!$E$11,#REF!&lt;=table!$F$11),1,0))</f>
        <v>#REF!</v>
      </c>
      <c r="W4243" s="5" t="e">
        <f>CONCATENATE(dados[[#This Row],[fator1]],dados[[#This Row],[fator5]],dados[[#This Row],[fator6]])</f>
        <v>#REF!</v>
      </c>
    </row>
    <row r="4244" spans="1:23">
      <c r="A4244" t="s">
        <v>16</v>
      </c>
      <c r="B4244">
        <v>589591</v>
      </c>
      <c r="C4244">
        <v>0.15</v>
      </c>
      <c r="D4244">
        <v>40</v>
      </c>
      <c r="E4244">
        <v>10</v>
      </c>
      <c r="F4244">
        <v>15</v>
      </c>
      <c r="G4244">
        <v>0</v>
      </c>
      <c r="H4244">
        <v>15</v>
      </c>
      <c r="I4244">
        <v>7</v>
      </c>
      <c r="J4244">
        <v>0</v>
      </c>
      <c r="K4244">
        <v>3.3770000000000002</v>
      </c>
      <c r="L4244">
        <v>10.471500000000001</v>
      </c>
      <c r="M4244">
        <v>7.4</v>
      </c>
      <c r="N4244">
        <v>15.32</v>
      </c>
      <c r="O4244">
        <v>1687</v>
      </c>
      <c r="P4244">
        <v>952</v>
      </c>
      <c r="Q4244" s="5" t="e">
        <f>IF(AND(#REF!&gt;=table!$C$6,#REF!&lt;= table!$D$6),-1,IF(AND(#REF!&gt;=table!$E$6,#REF!&lt;=table!$F$6),1,0))</f>
        <v>#REF!</v>
      </c>
      <c r="R4244" s="5" t="e">
        <f>IF(AND(#REF!&gt;=table!$C$7,#REF!&lt;= table!$D$7),-1,IF(AND(#REF!&gt;=table!$E$7,#REF!&lt;=table!$F$7),1,0))</f>
        <v>#REF!</v>
      </c>
      <c r="S4244" s="5" t="e">
        <f>IF(AND(#REF!&gt;=table!$C$8,#REF!&lt;= table!$D$8),-1,IF(AND(#REF!&gt;=table!$E$8,#REF!&lt;=table!$F$8),1,0))</f>
        <v>#REF!</v>
      </c>
      <c r="T4244" s="5"/>
      <c r="U4244" s="5" t="e">
        <f>IF(AND(#REF!&gt;=table!$C$10,#REF!&lt;= table!$D$10),-1,IF(AND(#REF!&gt;=table!$E$10,#REF!&lt;=table!$F$10),1,0))</f>
        <v>#REF!</v>
      </c>
      <c r="V4244" s="5" t="e">
        <f>IF(AND(#REF!&gt;=table!$C$11,#REF!&lt;= table!$D$11),-1,IF(AND(#REF!&gt;=table!$E$11,#REF!&lt;=table!$F$11),1,0))</f>
        <v>#REF!</v>
      </c>
      <c r="W4244" s="5" t="e">
        <f>CONCATENATE(dados[[#This Row],[fator1]],dados[[#This Row],[fator5]],dados[[#This Row],[fator6]])</f>
        <v>#REF!</v>
      </c>
    </row>
    <row r="4245" spans="1:23">
      <c r="A4245" t="s">
        <v>17</v>
      </c>
      <c r="B4245">
        <v>589600</v>
      </c>
      <c r="C4245">
        <v>16</v>
      </c>
      <c r="D4245">
        <v>35</v>
      </c>
      <c r="E4245">
        <v>136</v>
      </c>
      <c r="F4245">
        <v>4</v>
      </c>
      <c r="G4245">
        <v>30</v>
      </c>
      <c r="H4245">
        <v>25</v>
      </c>
      <c r="I4245">
        <v>0</v>
      </c>
      <c r="J4245">
        <v>1430</v>
      </c>
      <c r="K4245">
        <v>6.7995000000000001</v>
      </c>
      <c r="L4245">
        <v>14.5625</v>
      </c>
      <c r="M4245">
        <v>130.9725</v>
      </c>
      <c r="N4245">
        <v>16.190000000000001</v>
      </c>
      <c r="O4245">
        <v>1673</v>
      </c>
      <c r="P4245">
        <v>533</v>
      </c>
      <c r="Q4245" s="5" t="e">
        <f>IF(AND(#REF!&gt;=table!$C$6,#REF!&lt;= table!$D$6),-1,IF(AND(#REF!&gt;=table!$E$6,#REF!&lt;=table!$F$6),1,0))</f>
        <v>#REF!</v>
      </c>
      <c r="R4245" s="5" t="e">
        <f>IF(AND(#REF!&gt;=table!$C$7,#REF!&lt;= table!$D$7),-1,IF(AND(#REF!&gt;=table!$E$7,#REF!&lt;=table!$F$7),1,0))</f>
        <v>#REF!</v>
      </c>
      <c r="S4245" s="5" t="e">
        <f>IF(AND(#REF!&gt;=table!$C$8,#REF!&lt;= table!$D$8),-1,IF(AND(#REF!&gt;=table!$E$8,#REF!&lt;=table!$F$8),1,0))</f>
        <v>#REF!</v>
      </c>
      <c r="T4245" s="5"/>
      <c r="U4245" s="5" t="e">
        <f>IF(AND(#REF!&gt;=table!$C$10,#REF!&lt;= table!$D$10),-1,IF(AND(#REF!&gt;=table!$E$10,#REF!&lt;=table!$F$10),1,0))</f>
        <v>#REF!</v>
      </c>
      <c r="V4245" s="5" t="e">
        <f>IF(AND(#REF!&gt;=table!$C$11,#REF!&lt;= table!$D$11),-1,IF(AND(#REF!&gt;=table!$E$11,#REF!&lt;=table!$F$11),1,0))</f>
        <v>#REF!</v>
      </c>
      <c r="W4245" s="5" t="e">
        <f>CONCATENATE(dados[[#This Row],[fator1]],dados[[#This Row],[fator5]],dados[[#This Row],[fator6]])</f>
        <v>#REF!</v>
      </c>
    </row>
    <row r="4246" spans="1:23">
      <c r="A4246" t="s">
        <v>16</v>
      </c>
      <c r="B4246">
        <v>589601</v>
      </c>
      <c r="C4246">
        <v>8</v>
      </c>
      <c r="D4246">
        <v>30</v>
      </c>
      <c r="E4246">
        <v>61</v>
      </c>
      <c r="F4246">
        <v>9</v>
      </c>
      <c r="G4246">
        <v>0</v>
      </c>
      <c r="H4246">
        <v>25</v>
      </c>
      <c r="I4246">
        <v>432</v>
      </c>
      <c r="J4246">
        <v>0</v>
      </c>
      <c r="K4246">
        <v>3.395</v>
      </c>
      <c r="L4246">
        <v>3.3565</v>
      </c>
      <c r="M4246">
        <v>51.9955</v>
      </c>
      <c r="N4246">
        <v>15.525</v>
      </c>
      <c r="O4246">
        <v>1696</v>
      </c>
      <c r="P4246">
        <v>0</v>
      </c>
      <c r="Q4246" s="5" t="e">
        <f>IF(AND(#REF!&gt;=table!$C$6,#REF!&lt;= table!$D$6),-1,IF(AND(#REF!&gt;=table!$E$6,#REF!&lt;=table!$F$6),1,0))</f>
        <v>#REF!</v>
      </c>
      <c r="R4246" s="5" t="e">
        <f>IF(AND(#REF!&gt;=table!$C$7,#REF!&lt;= table!$D$7),-1,IF(AND(#REF!&gt;=table!$E$7,#REF!&lt;=table!$F$7),1,0))</f>
        <v>#REF!</v>
      </c>
      <c r="S4246" s="5" t="e">
        <f>IF(AND(#REF!&gt;=table!$C$8,#REF!&lt;= table!$D$8),-1,IF(AND(#REF!&gt;=table!$E$8,#REF!&lt;=table!$F$8),1,0))</f>
        <v>#REF!</v>
      </c>
      <c r="T4246" s="5"/>
      <c r="U4246" s="5" t="e">
        <f>IF(AND(#REF!&gt;=table!$C$10,#REF!&lt;= table!$D$10),-1,IF(AND(#REF!&gt;=table!$E$10,#REF!&lt;=table!$F$10),1,0))</f>
        <v>#REF!</v>
      </c>
      <c r="V4246" s="5" t="e">
        <f>IF(AND(#REF!&gt;=table!$C$11,#REF!&lt;= table!$D$11),-1,IF(AND(#REF!&gt;=table!$E$11,#REF!&lt;=table!$F$11),1,0))</f>
        <v>#REF!</v>
      </c>
      <c r="W4246" s="5" t="e">
        <f>CONCATENATE(dados[[#This Row],[fator1]],dados[[#This Row],[fator5]],dados[[#This Row],[fator6]])</f>
        <v>#REF!</v>
      </c>
    </row>
    <row r="4247" spans="1:23">
      <c r="A4247" t="s">
        <v>17</v>
      </c>
      <c r="B4247">
        <v>589603</v>
      </c>
      <c r="C4247">
        <v>7</v>
      </c>
      <c r="D4247">
        <v>35</v>
      </c>
      <c r="E4247">
        <v>200</v>
      </c>
      <c r="F4247">
        <v>8</v>
      </c>
      <c r="G4247">
        <v>50</v>
      </c>
      <c r="H4247">
        <v>25</v>
      </c>
      <c r="I4247">
        <v>293</v>
      </c>
      <c r="J4247">
        <v>1130</v>
      </c>
      <c r="K4247">
        <v>3.4845000000000002</v>
      </c>
      <c r="L4247">
        <v>10.947000000000001</v>
      </c>
      <c r="M4247">
        <v>156.58150000000001</v>
      </c>
      <c r="N4247">
        <v>13.280000000000001</v>
      </c>
      <c r="O4247">
        <v>1562</v>
      </c>
      <c r="P4247">
        <v>525</v>
      </c>
      <c r="Q4247" s="5" t="e">
        <f>IF(AND(#REF!&gt;=table!$C$6,#REF!&lt;= table!$D$6),-1,IF(AND(#REF!&gt;=table!$E$6,#REF!&lt;=table!$F$6),1,0))</f>
        <v>#REF!</v>
      </c>
      <c r="R4247" s="5" t="e">
        <f>IF(AND(#REF!&gt;=table!$C$7,#REF!&lt;= table!$D$7),-1,IF(AND(#REF!&gt;=table!$E$7,#REF!&lt;=table!$F$7),1,0))</f>
        <v>#REF!</v>
      </c>
      <c r="S4247" s="5" t="e">
        <f>IF(AND(#REF!&gt;=table!$C$8,#REF!&lt;= table!$D$8),-1,IF(AND(#REF!&gt;=table!$E$8,#REF!&lt;=table!$F$8),1,0))</f>
        <v>#REF!</v>
      </c>
      <c r="T4247" s="5"/>
      <c r="U4247" s="5" t="e">
        <f>IF(AND(#REF!&gt;=table!$C$10,#REF!&lt;= table!$D$10),-1,IF(AND(#REF!&gt;=table!$E$10,#REF!&lt;=table!$F$10),1,0))</f>
        <v>#REF!</v>
      </c>
      <c r="V4247" s="5" t="e">
        <f>IF(AND(#REF!&gt;=table!$C$11,#REF!&lt;= table!$D$11),-1,IF(AND(#REF!&gt;=table!$E$11,#REF!&lt;=table!$F$11),1,0))</f>
        <v>#REF!</v>
      </c>
      <c r="W4247" s="5" t="e">
        <f>CONCATENATE(dados[[#This Row],[fator1]],dados[[#This Row],[fator5]],dados[[#This Row],[fator6]])</f>
        <v>#REF!</v>
      </c>
    </row>
    <row r="4248" spans="1:23">
      <c r="A4248" t="s">
        <v>16</v>
      </c>
      <c r="B4248">
        <v>589609</v>
      </c>
      <c r="C4248">
        <v>4</v>
      </c>
      <c r="D4248">
        <v>40</v>
      </c>
      <c r="E4248">
        <v>21</v>
      </c>
      <c r="F4248">
        <v>10</v>
      </c>
      <c r="G4248">
        <v>0</v>
      </c>
      <c r="H4248">
        <v>25</v>
      </c>
      <c r="I4248">
        <v>179</v>
      </c>
      <c r="J4248">
        <v>0</v>
      </c>
      <c r="K4248">
        <v>4.8574999999999999</v>
      </c>
      <c r="L4248">
        <v>8.5054999999999996</v>
      </c>
      <c r="M4248">
        <v>8.6895000000000007</v>
      </c>
      <c r="N4248">
        <v>9.0299999999999994</v>
      </c>
      <c r="O4248">
        <v>1641</v>
      </c>
      <c r="P4248">
        <v>627</v>
      </c>
      <c r="Q4248" s="5" t="e">
        <f>IF(AND(#REF!&gt;=table!$C$6,#REF!&lt;= table!$D$6),-1,IF(AND(#REF!&gt;=table!$E$6,#REF!&lt;=table!$F$6),1,0))</f>
        <v>#REF!</v>
      </c>
      <c r="R4248" s="5" t="e">
        <f>IF(AND(#REF!&gt;=table!$C$7,#REF!&lt;= table!$D$7),-1,IF(AND(#REF!&gt;=table!$E$7,#REF!&lt;=table!$F$7),1,0))</f>
        <v>#REF!</v>
      </c>
      <c r="S4248" s="5" t="e">
        <f>IF(AND(#REF!&gt;=table!$C$8,#REF!&lt;= table!$D$8),-1,IF(AND(#REF!&gt;=table!$E$8,#REF!&lt;=table!$F$8),1,0))</f>
        <v>#REF!</v>
      </c>
      <c r="T4248" s="5"/>
      <c r="U4248" s="5" t="e">
        <f>IF(AND(#REF!&gt;=table!$C$10,#REF!&lt;= table!$D$10),-1,IF(AND(#REF!&gt;=table!$E$10,#REF!&lt;=table!$F$10),1,0))</f>
        <v>#REF!</v>
      </c>
      <c r="V4248" s="5" t="e">
        <f>IF(AND(#REF!&gt;=table!$C$11,#REF!&lt;= table!$D$11),-1,IF(AND(#REF!&gt;=table!$E$11,#REF!&lt;=table!$F$11),1,0))</f>
        <v>#REF!</v>
      </c>
      <c r="W4248" s="5" t="e">
        <f>CONCATENATE(dados[[#This Row],[fator1]],dados[[#This Row],[fator5]],dados[[#This Row],[fator6]])</f>
        <v>#REF!</v>
      </c>
    </row>
    <row r="4249" spans="1:23">
      <c r="A4249" t="s">
        <v>16</v>
      </c>
      <c r="B4249">
        <v>589611</v>
      </c>
      <c r="C4249">
        <v>4</v>
      </c>
      <c r="D4249">
        <v>40</v>
      </c>
      <c r="E4249">
        <v>21</v>
      </c>
      <c r="F4249">
        <v>10</v>
      </c>
      <c r="G4249">
        <v>0</v>
      </c>
      <c r="H4249">
        <v>25</v>
      </c>
      <c r="I4249">
        <v>55</v>
      </c>
      <c r="J4249">
        <v>0</v>
      </c>
      <c r="K4249">
        <v>2.4565000000000001</v>
      </c>
      <c r="L4249">
        <v>3.1460000000000004</v>
      </c>
      <c r="M4249">
        <v>17.637</v>
      </c>
      <c r="N4249">
        <v>19.18</v>
      </c>
      <c r="O4249">
        <v>1691</v>
      </c>
      <c r="P4249">
        <v>1730</v>
      </c>
      <c r="Q4249" s="5" t="e">
        <f>IF(AND(#REF!&gt;=table!$C$6,#REF!&lt;= table!$D$6),-1,IF(AND(#REF!&gt;=table!$E$6,#REF!&lt;=table!$F$6),1,0))</f>
        <v>#REF!</v>
      </c>
      <c r="R4249" s="5" t="e">
        <f>IF(AND(#REF!&gt;=table!$C$7,#REF!&lt;= table!$D$7),-1,IF(AND(#REF!&gt;=table!$E$7,#REF!&lt;=table!$F$7),1,0))</f>
        <v>#REF!</v>
      </c>
      <c r="S4249" s="5" t="e">
        <f>IF(AND(#REF!&gt;=table!$C$8,#REF!&lt;= table!$D$8),-1,IF(AND(#REF!&gt;=table!$E$8,#REF!&lt;=table!$F$8),1,0))</f>
        <v>#REF!</v>
      </c>
      <c r="T4249" s="5"/>
      <c r="U4249" s="5" t="e">
        <f>IF(AND(#REF!&gt;=table!$C$10,#REF!&lt;= table!$D$10),-1,IF(AND(#REF!&gt;=table!$E$10,#REF!&lt;=table!$F$10),1,0))</f>
        <v>#REF!</v>
      </c>
      <c r="V4249" s="5" t="e">
        <f>IF(AND(#REF!&gt;=table!$C$11,#REF!&lt;= table!$D$11),-1,IF(AND(#REF!&gt;=table!$E$11,#REF!&lt;=table!$F$11),1,0))</f>
        <v>#REF!</v>
      </c>
      <c r="W4249" s="5" t="e">
        <f>CONCATENATE(dados[[#This Row],[fator1]],dados[[#This Row],[fator5]],dados[[#This Row],[fator6]])</f>
        <v>#REF!</v>
      </c>
    </row>
    <row r="4250" spans="1:23">
      <c r="A4250" t="s">
        <v>16</v>
      </c>
      <c r="B4250">
        <v>589612</v>
      </c>
      <c r="C4250">
        <v>10</v>
      </c>
      <c r="D4250">
        <v>40</v>
      </c>
      <c r="E4250">
        <v>136</v>
      </c>
      <c r="F4250">
        <v>6</v>
      </c>
      <c r="G4250">
        <v>0</v>
      </c>
      <c r="H4250">
        <v>25</v>
      </c>
      <c r="I4250">
        <v>18</v>
      </c>
      <c r="J4250">
        <v>630</v>
      </c>
      <c r="K4250">
        <v>2.1995</v>
      </c>
      <c r="L4250">
        <v>7.9240000000000004</v>
      </c>
      <c r="M4250">
        <v>114.08800000000001</v>
      </c>
      <c r="N4250">
        <v>18.64</v>
      </c>
      <c r="O4250">
        <v>1704</v>
      </c>
      <c r="P4250">
        <v>1508</v>
      </c>
      <c r="Q4250" s="5" t="e">
        <f>IF(AND(#REF!&gt;=table!$C$6,#REF!&lt;= table!$D$6),-1,IF(AND(#REF!&gt;=table!$E$6,#REF!&lt;=table!$F$6),1,0))</f>
        <v>#REF!</v>
      </c>
      <c r="R4250" s="5" t="e">
        <f>IF(AND(#REF!&gt;=table!$C$7,#REF!&lt;= table!$D$7),-1,IF(AND(#REF!&gt;=table!$E$7,#REF!&lt;=table!$F$7),1,0))</f>
        <v>#REF!</v>
      </c>
      <c r="S4250" s="5" t="e">
        <f>IF(AND(#REF!&gt;=table!$C$8,#REF!&lt;= table!$D$8),-1,IF(AND(#REF!&gt;=table!$E$8,#REF!&lt;=table!$F$8),1,0))</f>
        <v>#REF!</v>
      </c>
      <c r="T4250" s="5"/>
      <c r="U4250" s="5" t="e">
        <f>IF(AND(#REF!&gt;=table!$C$10,#REF!&lt;= table!$D$10),-1,IF(AND(#REF!&gt;=table!$E$10,#REF!&lt;=table!$F$10),1,0))</f>
        <v>#REF!</v>
      </c>
      <c r="V4250" s="5" t="e">
        <f>IF(AND(#REF!&gt;=table!$C$11,#REF!&lt;= table!$D$11),-1,IF(AND(#REF!&gt;=table!$E$11,#REF!&lt;=table!$F$11),1,0))</f>
        <v>#REF!</v>
      </c>
      <c r="W4250" s="5" t="e">
        <f>CONCATENATE(dados[[#This Row],[fator1]],dados[[#This Row],[fator5]],dados[[#This Row],[fator6]])</f>
        <v>#REF!</v>
      </c>
    </row>
    <row r="4251" spans="1:23">
      <c r="A4251" t="s">
        <v>16</v>
      </c>
      <c r="B4251">
        <v>589617</v>
      </c>
      <c r="C4251">
        <v>11</v>
      </c>
      <c r="D4251">
        <v>40</v>
      </c>
      <c r="E4251">
        <v>151</v>
      </c>
      <c r="F4251">
        <v>8</v>
      </c>
      <c r="G4251">
        <v>0</v>
      </c>
      <c r="H4251">
        <v>25</v>
      </c>
      <c r="I4251">
        <v>1214</v>
      </c>
      <c r="J4251">
        <v>960</v>
      </c>
      <c r="K4251">
        <v>2.9410000000000003</v>
      </c>
      <c r="L4251">
        <v>9.4465000000000003</v>
      </c>
      <c r="M4251">
        <v>122.64850000000001</v>
      </c>
      <c r="N4251">
        <v>18.07</v>
      </c>
      <c r="O4251">
        <v>1708</v>
      </c>
      <c r="P4251">
        <v>0</v>
      </c>
      <c r="Q4251" s="5" t="e">
        <f>IF(AND(#REF!&gt;=table!$C$6,#REF!&lt;= table!$D$6),-1,IF(AND(#REF!&gt;=table!$E$6,#REF!&lt;=table!$F$6),1,0))</f>
        <v>#REF!</v>
      </c>
      <c r="R4251" s="5" t="e">
        <f>IF(AND(#REF!&gt;=table!$C$7,#REF!&lt;= table!$D$7),-1,IF(AND(#REF!&gt;=table!$E$7,#REF!&lt;=table!$F$7),1,0))</f>
        <v>#REF!</v>
      </c>
      <c r="S4251" s="5" t="e">
        <f>IF(AND(#REF!&gt;=table!$C$8,#REF!&lt;= table!$D$8),-1,IF(AND(#REF!&gt;=table!$E$8,#REF!&lt;=table!$F$8),1,0))</f>
        <v>#REF!</v>
      </c>
      <c r="T4251" s="5"/>
      <c r="U4251" s="5" t="e">
        <f>IF(AND(#REF!&gt;=table!$C$10,#REF!&lt;= table!$D$10),-1,IF(AND(#REF!&gt;=table!$E$10,#REF!&lt;=table!$F$10),1,0))</f>
        <v>#REF!</v>
      </c>
      <c r="V4251" s="5" t="e">
        <f>IF(AND(#REF!&gt;=table!$C$11,#REF!&lt;= table!$D$11),-1,IF(AND(#REF!&gt;=table!$E$11,#REF!&lt;=table!$F$11),1,0))</f>
        <v>#REF!</v>
      </c>
      <c r="W4251" s="5" t="e">
        <f>CONCATENATE(dados[[#This Row],[fator1]],dados[[#This Row],[fator5]],dados[[#This Row],[fator6]])</f>
        <v>#REF!</v>
      </c>
    </row>
    <row r="4252" spans="1:23">
      <c r="A4252" t="s">
        <v>16</v>
      </c>
      <c r="B4252">
        <v>589619</v>
      </c>
      <c r="C4252">
        <v>7</v>
      </c>
      <c r="D4252">
        <v>33</v>
      </c>
      <c r="E4252">
        <v>153</v>
      </c>
      <c r="F4252">
        <v>4</v>
      </c>
      <c r="G4252">
        <v>0</v>
      </c>
      <c r="H4252">
        <v>25</v>
      </c>
      <c r="I4252">
        <v>1293</v>
      </c>
      <c r="J4252">
        <v>870</v>
      </c>
      <c r="K4252">
        <v>3.7290000000000001</v>
      </c>
      <c r="L4252">
        <v>10.304500000000001</v>
      </c>
      <c r="M4252">
        <v>128.0805</v>
      </c>
      <c r="N4252">
        <v>17.170000000000002</v>
      </c>
      <c r="O4252">
        <v>1692</v>
      </c>
      <c r="P4252">
        <v>1071</v>
      </c>
      <c r="Q4252" s="5" t="e">
        <f>IF(AND(#REF!&gt;=table!$C$6,#REF!&lt;= table!$D$6),-1,IF(AND(#REF!&gt;=table!$E$6,#REF!&lt;=table!$F$6),1,0))</f>
        <v>#REF!</v>
      </c>
      <c r="R4252" s="5" t="e">
        <f>IF(AND(#REF!&gt;=table!$C$7,#REF!&lt;= table!$D$7),-1,IF(AND(#REF!&gt;=table!$E$7,#REF!&lt;=table!$F$7),1,0))</f>
        <v>#REF!</v>
      </c>
      <c r="S4252" s="5" t="e">
        <f>IF(AND(#REF!&gt;=table!$C$8,#REF!&lt;= table!$D$8),-1,IF(AND(#REF!&gt;=table!$E$8,#REF!&lt;=table!$F$8),1,0))</f>
        <v>#REF!</v>
      </c>
      <c r="T4252" s="5"/>
      <c r="U4252" s="5" t="e">
        <f>IF(AND(#REF!&gt;=table!$C$10,#REF!&lt;= table!$D$10),-1,IF(AND(#REF!&gt;=table!$E$10,#REF!&lt;=table!$F$10),1,0))</f>
        <v>#REF!</v>
      </c>
      <c r="V4252" s="5" t="e">
        <f>IF(AND(#REF!&gt;=table!$C$11,#REF!&lt;= table!$D$11),-1,IF(AND(#REF!&gt;=table!$E$11,#REF!&lt;=table!$F$11),1,0))</f>
        <v>#REF!</v>
      </c>
      <c r="W4252" s="5" t="e">
        <f>CONCATENATE(dados[[#This Row],[fator1]],dados[[#This Row],[fator5]],dados[[#This Row],[fator6]])</f>
        <v>#REF!</v>
      </c>
    </row>
    <row r="4253" spans="1:23">
      <c r="A4253" t="s">
        <v>17</v>
      </c>
      <c r="B4253">
        <v>589622</v>
      </c>
      <c r="C4253">
        <v>16</v>
      </c>
      <c r="D4253">
        <v>23</v>
      </c>
      <c r="E4253">
        <v>145</v>
      </c>
      <c r="F4253">
        <v>9</v>
      </c>
      <c r="G4253">
        <v>30</v>
      </c>
      <c r="H4253">
        <v>25</v>
      </c>
      <c r="I4253">
        <v>340</v>
      </c>
      <c r="J4253">
        <v>960</v>
      </c>
      <c r="K4253">
        <v>5.2305000000000001</v>
      </c>
      <c r="L4253">
        <v>18.077000000000002</v>
      </c>
      <c r="M4253">
        <v>133.429</v>
      </c>
      <c r="N4253">
        <v>24.89</v>
      </c>
      <c r="O4253">
        <v>1693</v>
      </c>
      <c r="P4253">
        <v>712</v>
      </c>
      <c r="Q4253" s="5" t="e">
        <f>IF(AND(#REF!&gt;=table!$C$6,#REF!&lt;= table!$D$6),-1,IF(AND(#REF!&gt;=table!$E$6,#REF!&lt;=table!$F$6),1,0))</f>
        <v>#REF!</v>
      </c>
      <c r="R4253" s="5" t="e">
        <f>IF(AND(#REF!&gt;=table!$C$7,#REF!&lt;= table!$D$7),-1,IF(AND(#REF!&gt;=table!$E$7,#REF!&lt;=table!$F$7),1,0))</f>
        <v>#REF!</v>
      </c>
      <c r="S4253" s="5" t="e">
        <f>IF(AND(#REF!&gt;=table!$C$8,#REF!&lt;= table!$D$8),-1,IF(AND(#REF!&gt;=table!$E$8,#REF!&lt;=table!$F$8),1,0))</f>
        <v>#REF!</v>
      </c>
      <c r="T4253" s="5"/>
      <c r="U4253" s="5" t="e">
        <f>IF(AND(#REF!&gt;=table!$C$10,#REF!&lt;= table!$D$10),-1,IF(AND(#REF!&gt;=table!$E$10,#REF!&lt;=table!$F$10),1,0))</f>
        <v>#REF!</v>
      </c>
      <c r="V4253" s="5" t="e">
        <f>IF(AND(#REF!&gt;=table!$C$11,#REF!&lt;= table!$D$11),-1,IF(AND(#REF!&gt;=table!$E$11,#REF!&lt;=table!$F$11),1,0))</f>
        <v>#REF!</v>
      </c>
      <c r="W4253" s="5" t="e">
        <f>CONCATENATE(dados[[#This Row],[fator1]],dados[[#This Row],[fator5]],dados[[#This Row],[fator6]])</f>
        <v>#REF!</v>
      </c>
    </row>
    <row r="4254" spans="1:23">
      <c r="A4254" t="s">
        <v>16</v>
      </c>
      <c r="B4254">
        <v>589623</v>
      </c>
      <c r="C4254">
        <v>4</v>
      </c>
      <c r="D4254">
        <v>40</v>
      </c>
      <c r="E4254">
        <v>21</v>
      </c>
      <c r="F4254">
        <v>10</v>
      </c>
      <c r="G4254">
        <v>0</v>
      </c>
      <c r="H4254">
        <v>25</v>
      </c>
      <c r="I4254">
        <v>1273</v>
      </c>
      <c r="J4254">
        <v>0</v>
      </c>
      <c r="K4254">
        <v>4.6335000000000006</v>
      </c>
      <c r="L4254">
        <v>11.804500000000001</v>
      </c>
      <c r="M4254">
        <v>21.686</v>
      </c>
      <c r="N4254">
        <v>17.595000000000002</v>
      </c>
      <c r="O4254">
        <v>1666</v>
      </c>
      <c r="P4254">
        <v>654</v>
      </c>
      <c r="Q4254" s="5" t="e">
        <f>IF(AND(#REF!&gt;=table!$C$6,#REF!&lt;= table!$D$6),-1,IF(AND(#REF!&gt;=table!$E$6,#REF!&lt;=table!$F$6),1,0))</f>
        <v>#REF!</v>
      </c>
      <c r="R4254" s="5" t="e">
        <f>IF(AND(#REF!&gt;=table!$C$7,#REF!&lt;= table!$D$7),-1,IF(AND(#REF!&gt;=table!$E$7,#REF!&lt;=table!$F$7),1,0))</f>
        <v>#REF!</v>
      </c>
      <c r="S4254" s="5" t="e">
        <f>IF(AND(#REF!&gt;=table!$C$8,#REF!&lt;= table!$D$8),-1,IF(AND(#REF!&gt;=table!$E$8,#REF!&lt;=table!$F$8),1,0))</f>
        <v>#REF!</v>
      </c>
      <c r="T4254" s="5"/>
      <c r="U4254" s="5" t="e">
        <f>IF(AND(#REF!&gt;=table!$C$10,#REF!&lt;= table!$D$10),-1,IF(AND(#REF!&gt;=table!$E$10,#REF!&lt;=table!$F$10),1,0))</f>
        <v>#REF!</v>
      </c>
      <c r="V4254" s="5" t="e">
        <f>IF(AND(#REF!&gt;=table!$C$11,#REF!&lt;= table!$D$11),-1,IF(AND(#REF!&gt;=table!$E$11,#REF!&lt;=table!$F$11),1,0))</f>
        <v>#REF!</v>
      </c>
      <c r="W4254" s="5" t="e">
        <f>CONCATENATE(dados[[#This Row],[fator1]],dados[[#This Row],[fator5]],dados[[#This Row],[fator6]])</f>
        <v>#REF!</v>
      </c>
    </row>
    <row r="4255" spans="1:23">
      <c r="A4255" t="s">
        <v>17</v>
      </c>
      <c r="B4255">
        <v>589625</v>
      </c>
      <c r="C4255">
        <v>16</v>
      </c>
      <c r="D4255">
        <v>23</v>
      </c>
      <c r="E4255">
        <v>145</v>
      </c>
      <c r="F4255">
        <v>9</v>
      </c>
      <c r="G4255">
        <v>30</v>
      </c>
      <c r="H4255">
        <v>25</v>
      </c>
      <c r="I4255">
        <v>2289</v>
      </c>
      <c r="J4255">
        <v>0</v>
      </c>
      <c r="K4255">
        <v>4.6684999999999999</v>
      </c>
      <c r="L4255">
        <v>8.3239999999999998</v>
      </c>
      <c r="M4255">
        <v>112.15100000000001</v>
      </c>
      <c r="N4255">
        <v>18.275000000000002</v>
      </c>
      <c r="O4255">
        <v>1679</v>
      </c>
      <c r="P4255">
        <v>802</v>
      </c>
      <c r="Q4255" s="5" t="e">
        <f>IF(AND(#REF!&gt;=table!$C$6,#REF!&lt;= table!$D$6),-1,IF(AND(#REF!&gt;=table!$E$6,#REF!&lt;=table!$F$6),1,0))</f>
        <v>#REF!</v>
      </c>
      <c r="R4255" s="5" t="e">
        <f>IF(AND(#REF!&gt;=table!$C$7,#REF!&lt;= table!$D$7),-1,IF(AND(#REF!&gt;=table!$E$7,#REF!&lt;=table!$F$7),1,0))</f>
        <v>#REF!</v>
      </c>
      <c r="S4255" s="5" t="e">
        <f>IF(AND(#REF!&gt;=table!$C$8,#REF!&lt;= table!$D$8),-1,IF(AND(#REF!&gt;=table!$E$8,#REF!&lt;=table!$F$8),1,0))</f>
        <v>#REF!</v>
      </c>
      <c r="T4255" s="5"/>
      <c r="U4255" s="5" t="e">
        <f>IF(AND(#REF!&gt;=table!$C$10,#REF!&lt;= table!$D$10),-1,IF(AND(#REF!&gt;=table!$E$10,#REF!&lt;=table!$F$10),1,0))</f>
        <v>#REF!</v>
      </c>
      <c r="V4255" s="5" t="e">
        <f>IF(AND(#REF!&gt;=table!$C$11,#REF!&lt;= table!$D$11),-1,IF(AND(#REF!&gt;=table!$E$11,#REF!&lt;=table!$F$11),1,0))</f>
        <v>#REF!</v>
      </c>
      <c r="W4255" s="5" t="e">
        <f>CONCATENATE(dados[[#This Row],[fator1]],dados[[#This Row],[fator5]],dados[[#This Row],[fator6]])</f>
        <v>#REF!</v>
      </c>
    </row>
    <row r="4256" spans="1:23">
      <c r="A4256" t="s">
        <v>16</v>
      </c>
      <c r="B4256">
        <v>589626</v>
      </c>
      <c r="C4256">
        <v>4</v>
      </c>
      <c r="D4256">
        <v>40</v>
      </c>
      <c r="E4256">
        <v>21</v>
      </c>
      <c r="F4256">
        <v>10</v>
      </c>
      <c r="G4256">
        <v>0</v>
      </c>
      <c r="H4256">
        <v>25</v>
      </c>
      <c r="I4256">
        <v>469</v>
      </c>
      <c r="J4256">
        <v>0</v>
      </c>
      <c r="K4256">
        <v>4.7190000000000003</v>
      </c>
      <c r="L4256">
        <v>6.6130000000000004</v>
      </c>
      <c r="M4256">
        <v>13.8955</v>
      </c>
      <c r="N4256">
        <v>10.535</v>
      </c>
      <c r="O4256">
        <v>1631</v>
      </c>
      <c r="P4256">
        <v>753</v>
      </c>
      <c r="Q4256" s="5" t="e">
        <f>IF(AND(#REF!&gt;=table!$C$6,#REF!&lt;= table!$D$6),-1,IF(AND(#REF!&gt;=table!$E$6,#REF!&lt;=table!$F$6),1,0))</f>
        <v>#REF!</v>
      </c>
      <c r="R4256" s="5" t="e">
        <f>IF(AND(#REF!&gt;=table!$C$7,#REF!&lt;= table!$D$7),-1,IF(AND(#REF!&gt;=table!$E$7,#REF!&lt;=table!$F$7),1,0))</f>
        <v>#REF!</v>
      </c>
      <c r="S4256" s="5" t="e">
        <f>IF(AND(#REF!&gt;=table!$C$8,#REF!&lt;= table!$D$8),-1,IF(AND(#REF!&gt;=table!$E$8,#REF!&lt;=table!$F$8),1,0))</f>
        <v>#REF!</v>
      </c>
      <c r="T4256" s="5"/>
      <c r="U4256" s="5" t="e">
        <f>IF(AND(#REF!&gt;=table!$C$10,#REF!&lt;= table!$D$10),-1,IF(AND(#REF!&gt;=table!$E$10,#REF!&lt;=table!$F$10),1,0))</f>
        <v>#REF!</v>
      </c>
      <c r="V4256" s="5" t="e">
        <f>IF(AND(#REF!&gt;=table!$C$11,#REF!&lt;= table!$D$11),-1,IF(AND(#REF!&gt;=table!$E$11,#REF!&lt;=table!$F$11),1,0))</f>
        <v>#REF!</v>
      </c>
      <c r="W4256" s="5" t="e">
        <f>CONCATENATE(dados[[#This Row],[fator1]],dados[[#This Row],[fator5]],dados[[#This Row],[fator6]])</f>
        <v>#REF!</v>
      </c>
    </row>
    <row r="4257" spans="1:23">
      <c r="A4257" t="s">
        <v>16</v>
      </c>
      <c r="B4257">
        <v>589639</v>
      </c>
      <c r="C4257">
        <v>0.15</v>
      </c>
      <c r="D4257">
        <v>40</v>
      </c>
      <c r="E4257">
        <v>10</v>
      </c>
      <c r="F4257">
        <v>15</v>
      </c>
      <c r="G4257">
        <v>0</v>
      </c>
      <c r="H4257">
        <v>15</v>
      </c>
      <c r="I4257">
        <v>912</v>
      </c>
      <c r="J4257">
        <v>920</v>
      </c>
      <c r="K4257">
        <v>6.5495000000000001</v>
      </c>
      <c r="L4257">
        <v>15.069000000000001</v>
      </c>
      <c r="M4257">
        <v>8.1509999999999998</v>
      </c>
      <c r="N4257">
        <v>12.065000000000001</v>
      </c>
      <c r="O4257">
        <v>1690</v>
      </c>
      <c r="P4257">
        <v>550</v>
      </c>
      <c r="Q4257" s="5" t="e">
        <f>IF(AND(#REF!&gt;=table!$C$6,#REF!&lt;= table!$D$6),-1,IF(AND(#REF!&gt;=table!$E$6,#REF!&lt;=table!$F$6),1,0))</f>
        <v>#REF!</v>
      </c>
      <c r="R4257" s="5" t="e">
        <f>IF(AND(#REF!&gt;=table!$C$7,#REF!&lt;= table!$D$7),-1,IF(AND(#REF!&gt;=table!$E$7,#REF!&lt;=table!$F$7),1,0))</f>
        <v>#REF!</v>
      </c>
      <c r="S4257" s="5" t="e">
        <f>IF(AND(#REF!&gt;=table!$C$8,#REF!&lt;= table!$D$8),-1,IF(AND(#REF!&gt;=table!$E$8,#REF!&lt;=table!$F$8),1,0))</f>
        <v>#REF!</v>
      </c>
      <c r="T4257" s="5"/>
      <c r="U4257" s="5" t="e">
        <f>IF(AND(#REF!&gt;=table!$C$10,#REF!&lt;= table!$D$10),-1,IF(AND(#REF!&gt;=table!$E$10,#REF!&lt;=table!$F$10),1,0))</f>
        <v>#REF!</v>
      </c>
      <c r="V4257" s="5" t="e">
        <f>IF(AND(#REF!&gt;=table!$C$11,#REF!&lt;= table!$D$11),-1,IF(AND(#REF!&gt;=table!$E$11,#REF!&lt;=table!$F$11),1,0))</f>
        <v>#REF!</v>
      </c>
      <c r="W4257" s="5" t="e">
        <f>CONCATENATE(dados[[#This Row],[fator1]],dados[[#This Row],[fator5]],dados[[#This Row],[fator6]])</f>
        <v>#REF!</v>
      </c>
    </row>
    <row r="4258" spans="1:23">
      <c r="A4258" t="s">
        <v>16</v>
      </c>
      <c r="B4258">
        <v>589640</v>
      </c>
      <c r="C4258">
        <v>7</v>
      </c>
      <c r="D4258">
        <v>33</v>
      </c>
      <c r="E4258">
        <v>153</v>
      </c>
      <c r="F4258">
        <v>4</v>
      </c>
      <c r="G4258">
        <v>0</v>
      </c>
      <c r="H4258">
        <v>25</v>
      </c>
      <c r="I4258">
        <v>4</v>
      </c>
      <c r="J4258">
        <v>0</v>
      </c>
      <c r="K4258">
        <v>6.0880000000000001</v>
      </c>
      <c r="L4258">
        <v>11.880500000000001</v>
      </c>
      <c r="M4258">
        <v>53.233499999999999</v>
      </c>
      <c r="N4258">
        <v>16.095000000000002</v>
      </c>
      <c r="O4258">
        <v>1671</v>
      </c>
      <c r="P4258">
        <v>602</v>
      </c>
      <c r="Q4258" s="5" t="e">
        <f>IF(AND(#REF!&gt;=table!$C$6,#REF!&lt;= table!$D$6),-1,IF(AND(#REF!&gt;=table!$E$6,#REF!&lt;=table!$F$6),1,0))</f>
        <v>#REF!</v>
      </c>
      <c r="R4258" s="5" t="e">
        <f>IF(AND(#REF!&gt;=table!$C$7,#REF!&lt;= table!$D$7),-1,IF(AND(#REF!&gt;=table!$E$7,#REF!&lt;=table!$F$7),1,0))</f>
        <v>#REF!</v>
      </c>
      <c r="S4258" s="5" t="e">
        <f>IF(AND(#REF!&gt;=table!$C$8,#REF!&lt;= table!$D$8),-1,IF(AND(#REF!&gt;=table!$E$8,#REF!&lt;=table!$F$8),1,0))</f>
        <v>#REF!</v>
      </c>
      <c r="T4258" s="5"/>
      <c r="U4258" s="5" t="e">
        <f>IF(AND(#REF!&gt;=table!$C$10,#REF!&lt;= table!$D$10),-1,IF(AND(#REF!&gt;=table!$E$10,#REF!&lt;=table!$F$10),1,0))</f>
        <v>#REF!</v>
      </c>
      <c r="V4258" s="5" t="e">
        <f>IF(AND(#REF!&gt;=table!$C$11,#REF!&lt;= table!$D$11),-1,IF(AND(#REF!&gt;=table!$E$11,#REF!&lt;=table!$F$11),1,0))</f>
        <v>#REF!</v>
      </c>
      <c r="W4258" s="5" t="e">
        <f>CONCATENATE(dados[[#This Row],[fator1]],dados[[#This Row],[fator5]],dados[[#This Row],[fator6]])</f>
        <v>#REF!</v>
      </c>
    </row>
    <row r="4259" spans="1:23">
      <c r="A4259" t="s">
        <v>16</v>
      </c>
      <c r="B4259">
        <v>589645</v>
      </c>
      <c r="C4259">
        <v>0.15</v>
      </c>
      <c r="D4259">
        <v>40</v>
      </c>
      <c r="E4259">
        <v>10</v>
      </c>
      <c r="F4259">
        <v>15</v>
      </c>
      <c r="G4259">
        <v>0</v>
      </c>
      <c r="H4259">
        <v>15</v>
      </c>
      <c r="I4259">
        <v>742</v>
      </c>
      <c r="J4259">
        <v>0</v>
      </c>
      <c r="K4259">
        <v>5.6290000000000004</v>
      </c>
      <c r="L4259">
        <v>8.1330000000000009</v>
      </c>
      <c r="M4259">
        <v>7.2555000000000005</v>
      </c>
      <c r="N4259">
        <v>9.3350000000000009</v>
      </c>
      <c r="O4259">
        <v>1664</v>
      </c>
      <c r="P4259">
        <v>696</v>
      </c>
      <c r="Q4259" s="5" t="e">
        <f>IF(AND(#REF!&gt;=table!$C$6,#REF!&lt;= table!$D$6),-1,IF(AND(#REF!&gt;=table!$E$6,#REF!&lt;=table!$F$6),1,0))</f>
        <v>#REF!</v>
      </c>
      <c r="R4259" s="5" t="e">
        <f>IF(AND(#REF!&gt;=table!$C$7,#REF!&lt;= table!$D$7),-1,IF(AND(#REF!&gt;=table!$E$7,#REF!&lt;=table!$F$7),1,0))</f>
        <v>#REF!</v>
      </c>
      <c r="S4259" s="5" t="e">
        <f>IF(AND(#REF!&gt;=table!$C$8,#REF!&lt;= table!$D$8),-1,IF(AND(#REF!&gt;=table!$E$8,#REF!&lt;=table!$F$8),1,0))</f>
        <v>#REF!</v>
      </c>
      <c r="T4259" s="5"/>
      <c r="U4259" s="5" t="e">
        <f>IF(AND(#REF!&gt;=table!$C$10,#REF!&lt;= table!$D$10),-1,IF(AND(#REF!&gt;=table!$E$10,#REF!&lt;=table!$F$10),1,0))</f>
        <v>#REF!</v>
      </c>
      <c r="V4259" s="5" t="e">
        <f>IF(AND(#REF!&gt;=table!$C$11,#REF!&lt;= table!$D$11),-1,IF(AND(#REF!&gt;=table!$E$11,#REF!&lt;=table!$F$11),1,0))</f>
        <v>#REF!</v>
      </c>
      <c r="W4259" s="5" t="e">
        <f>CONCATENATE(dados[[#This Row],[fator1]],dados[[#This Row],[fator5]],dados[[#This Row],[fator6]])</f>
        <v>#REF!</v>
      </c>
    </row>
    <row r="4260" spans="1:23">
      <c r="A4260" t="s">
        <v>17</v>
      </c>
      <c r="B4260">
        <v>589652</v>
      </c>
      <c r="C4260">
        <v>16</v>
      </c>
      <c r="D4260">
        <v>30</v>
      </c>
      <c r="E4260">
        <v>106</v>
      </c>
      <c r="F4260">
        <v>6</v>
      </c>
      <c r="G4260">
        <v>20</v>
      </c>
      <c r="H4260">
        <v>25</v>
      </c>
      <c r="I4260">
        <v>72</v>
      </c>
      <c r="J4260">
        <v>0</v>
      </c>
      <c r="K4260">
        <v>7.9915000000000003</v>
      </c>
      <c r="L4260">
        <v>13.9115</v>
      </c>
      <c r="M4260">
        <v>94.566500000000005</v>
      </c>
      <c r="N4260">
        <v>15.81</v>
      </c>
      <c r="O4260">
        <v>1679</v>
      </c>
      <c r="P4260">
        <v>427</v>
      </c>
      <c r="Q4260" s="5" t="e">
        <f>IF(AND(#REF!&gt;=table!$C$6,#REF!&lt;= table!$D$6),-1,IF(AND(#REF!&gt;=table!$E$6,#REF!&lt;=table!$F$6),1,0))</f>
        <v>#REF!</v>
      </c>
      <c r="R4260" s="5" t="e">
        <f>IF(AND(#REF!&gt;=table!$C$7,#REF!&lt;= table!$D$7),-1,IF(AND(#REF!&gt;=table!$E$7,#REF!&lt;=table!$F$7),1,0))</f>
        <v>#REF!</v>
      </c>
      <c r="S4260" s="5" t="e">
        <f>IF(AND(#REF!&gt;=table!$C$8,#REF!&lt;= table!$D$8),-1,IF(AND(#REF!&gt;=table!$E$8,#REF!&lt;=table!$F$8),1,0))</f>
        <v>#REF!</v>
      </c>
      <c r="T4260" s="5"/>
      <c r="U4260" s="5" t="e">
        <f>IF(AND(#REF!&gt;=table!$C$10,#REF!&lt;= table!$D$10),-1,IF(AND(#REF!&gt;=table!$E$10,#REF!&lt;=table!$F$10),1,0))</f>
        <v>#REF!</v>
      </c>
      <c r="V4260" s="5" t="e">
        <f>IF(AND(#REF!&gt;=table!$C$11,#REF!&lt;= table!$D$11),-1,IF(AND(#REF!&gt;=table!$E$11,#REF!&lt;=table!$F$11),1,0))</f>
        <v>#REF!</v>
      </c>
      <c r="W4260" s="5" t="e">
        <f>CONCATENATE(dados[[#This Row],[fator1]],dados[[#This Row],[fator5]],dados[[#This Row],[fator6]])</f>
        <v>#REF!</v>
      </c>
    </row>
    <row r="4261" spans="1:23">
      <c r="A4261" t="s">
        <v>17</v>
      </c>
      <c r="B4261">
        <v>589653</v>
      </c>
      <c r="C4261">
        <v>16</v>
      </c>
      <c r="D4261">
        <v>30</v>
      </c>
      <c r="E4261">
        <v>106</v>
      </c>
      <c r="F4261">
        <v>9</v>
      </c>
      <c r="G4261">
        <v>20</v>
      </c>
      <c r="H4261">
        <v>25</v>
      </c>
      <c r="I4261">
        <v>112</v>
      </c>
      <c r="J4261">
        <v>0</v>
      </c>
      <c r="K4261">
        <v>3.476</v>
      </c>
      <c r="L4261">
        <v>8.952</v>
      </c>
      <c r="M4261">
        <v>76.960000000000008</v>
      </c>
      <c r="N4261">
        <v>16.43</v>
      </c>
      <c r="O4261">
        <v>1694</v>
      </c>
      <c r="P4261">
        <v>1246</v>
      </c>
      <c r="Q4261" s="5" t="e">
        <f>IF(AND(#REF!&gt;=table!$C$6,#REF!&lt;= table!$D$6),-1,IF(AND(#REF!&gt;=table!$E$6,#REF!&lt;=table!$F$6),1,0))</f>
        <v>#REF!</v>
      </c>
      <c r="R4261" s="5" t="e">
        <f>IF(AND(#REF!&gt;=table!$C$7,#REF!&lt;= table!$D$7),-1,IF(AND(#REF!&gt;=table!$E$7,#REF!&lt;=table!$F$7),1,0))</f>
        <v>#REF!</v>
      </c>
      <c r="S4261" s="5" t="e">
        <f>IF(AND(#REF!&gt;=table!$C$8,#REF!&lt;= table!$D$8),-1,IF(AND(#REF!&gt;=table!$E$8,#REF!&lt;=table!$F$8),1,0))</f>
        <v>#REF!</v>
      </c>
      <c r="T4261" s="5"/>
      <c r="U4261" s="5" t="e">
        <f>IF(AND(#REF!&gt;=table!$C$10,#REF!&lt;= table!$D$10),-1,IF(AND(#REF!&gt;=table!$E$10,#REF!&lt;=table!$F$10),1,0))</f>
        <v>#REF!</v>
      </c>
      <c r="V4261" s="5" t="e">
        <f>IF(AND(#REF!&gt;=table!$C$11,#REF!&lt;= table!$D$11),-1,IF(AND(#REF!&gt;=table!$E$11,#REF!&lt;=table!$F$11),1,0))</f>
        <v>#REF!</v>
      </c>
      <c r="W4261" s="5" t="e">
        <f>CONCATENATE(dados[[#This Row],[fator1]],dados[[#This Row],[fator5]],dados[[#This Row],[fator6]])</f>
        <v>#REF!</v>
      </c>
    </row>
    <row r="4262" spans="1:23">
      <c r="A4262" t="s">
        <v>16</v>
      </c>
      <c r="B4262">
        <v>589654</v>
      </c>
      <c r="C4262">
        <v>9</v>
      </c>
      <c r="D4262">
        <v>40</v>
      </c>
      <c r="E4262">
        <v>130</v>
      </c>
      <c r="F4262">
        <v>3</v>
      </c>
      <c r="G4262">
        <v>0</v>
      </c>
      <c r="H4262">
        <v>25</v>
      </c>
      <c r="I4262">
        <v>1073</v>
      </c>
      <c r="J4262">
        <v>0</v>
      </c>
      <c r="K4262">
        <v>3.8150000000000004</v>
      </c>
      <c r="L4262">
        <v>6.9895000000000005</v>
      </c>
      <c r="M4262">
        <v>109.84350000000001</v>
      </c>
      <c r="N4262">
        <v>16.37</v>
      </c>
      <c r="O4262">
        <v>1677</v>
      </c>
      <c r="P4262">
        <v>0</v>
      </c>
      <c r="Q4262" s="5" t="e">
        <f>IF(AND(#REF!&gt;=table!$C$6,#REF!&lt;= table!$D$6),-1,IF(AND(#REF!&gt;=table!$E$6,#REF!&lt;=table!$F$6),1,0))</f>
        <v>#REF!</v>
      </c>
      <c r="R4262" s="5" t="e">
        <f>IF(AND(#REF!&gt;=table!$C$7,#REF!&lt;= table!$D$7),-1,IF(AND(#REF!&gt;=table!$E$7,#REF!&lt;=table!$F$7),1,0))</f>
        <v>#REF!</v>
      </c>
      <c r="S4262" s="5" t="e">
        <f>IF(AND(#REF!&gt;=table!$C$8,#REF!&lt;= table!$D$8),-1,IF(AND(#REF!&gt;=table!$E$8,#REF!&lt;=table!$F$8),1,0))</f>
        <v>#REF!</v>
      </c>
      <c r="T4262" s="5"/>
      <c r="U4262" s="5" t="e">
        <f>IF(AND(#REF!&gt;=table!$C$10,#REF!&lt;= table!$D$10),-1,IF(AND(#REF!&gt;=table!$E$10,#REF!&lt;=table!$F$10),1,0))</f>
        <v>#REF!</v>
      </c>
      <c r="V4262" s="5" t="e">
        <f>IF(AND(#REF!&gt;=table!$C$11,#REF!&lt;= table!$D$11),-1,IF(AND(#REF!&gt;=table!$E$11,#REF!&lt;=table!$F$11),1,0))</f>
        <v>#REF!</v>
      </c>
      <c r="W4262" s="5" t="e">
        <f>CONCATENATE(dados[[#This Row],[fator1]],dados[[#This Row],[fator5]],dados[[#This Row],[fator6]])</f>
        <v>#REF!</v>
      </c>
    </row>
    <row r="4263" spans="1:23">
      <c r="A4263" t="s">
        <v>16</v>
      </c>
      <c r="B4263">
        <v>589655</v>
      </c>
      <c r="C4263">
        <v>9</v>
      </c>
      <c r="D4263">
        <v>40</v>
      </c>
      <c r="E4263">
        <v>130</v>
      </c>
      <c r="F4263">
        <v>6</v>
      </c>
      <c r="G4263">
        <v>0</v>
      </c>
      <c r="H4263">
        <v>25</v>
      </c>
      <c r="I4263">
        <v>555</v>
      </c>
      <c r="J4263">
        <v>0</v>
      </c>
      <c r="K4263">
        <v>5.8635000000000002</v>
      </c>
      <c r="L4263">
        <v>13.3095</v>
      </c>
      <c r="M4263">
        <v>123.504</v>
      </c>
      <c r="N4263">
        <v>15.540000000000001</v>
      </c>
      <c r="O4263">
        <v>1696</v>
      </c>
      <c r="P4263">
        <v>0</v>
      </c>
      <c r="Q4263" s="5" t="e">
        <f>IF(AND(#REF!&gt;=table!$C$6,#REF!&lt;= table!$D$6),-1,IF(AND(#REF!&gt;=table!$E$6,#REF!&lt;=table!$F$6),1,0))</f>
        <v>#REF!</v>
      </c>
      <c r="R4263" s="5" t="e">
        <f>IF(AND(#REF!&gt;=table!$C$7,#REF!&lt;= table!$D$7),-1,IF(AND(#REF!&gt;=table!$E$7,#REF!&lt;=table!$F$7),1,0))</f>
        <v>#REF!</v>
      </c>
      <c r="S4263" s="5" t="e">
        <f>IF(AND(#REF!&gt;=table!$C$8,#REF!&lt;= table!$D$8),-1,IF(AND(#REF!&gt;=table!$E$8,#REF!&lt;=table!$F$8),1,0))</f>
        <v>#REF!</v>
      </c>
      <c r="T4263" s="5"/>
      <c r="U4263" s="5" t="e">
        <f>IF(AND(#REF!&gt;=table!$C$10,#REF!&lt;= table!$D$10),-1,IF(AND(#REF!&gt;=table!$E$10,#REF!&lt;=table!$F$10),1,0))</f>
        <v>#REF!</v>
      </c>
      <c r="V4263" s="5" t="e">
        <f>IF(AND(#REF!&gt;=table!$C$11,#REF!&lt;= table!$D$11),-1,IF(AND(#REF!&gt;=table!$E$11,#REF!&lt;=table!$F$11),1,0))</f>
        <v>#REF!</v>
      </c>
      <c r="W4263" s="5" t="e">
        <f>CONCATENATE(dados[[#This Row],[fator1]],dados[[#This Row],[fator5]],dados[[#This Row],[fator6]])</f>
        <v>#REF!</v>
      </c>
    </row>
    <row r="4264" spans="1:23">
      <c r="A4264" t="s">
        <v>16</v>
      </c>
      <c r="B4264">
        <v>589663</v>
      </c>
      <c r="C4264">
        <v>0.15</v>
      </c>
      <c r="D4264">
        <v>35</v>
      </c>
      <c r="E4264">
        <v>15</v>
      </c>
      <c r="F4264">
        <v>10</v>
      </c>
      <c r="G4264">
        <v>0</v>
      </c>
      <c r="H4264">
        <v>12</v>
      </c>
      <c r="I4264">
        <v>423</v>
      </c>
      <c r="J4264">
        <v>620</v>
      </c>
      <c r="K4264">
        <v>4.9525000000000006</v>
      </c>
      <c r="L4264">
        <v>12.1015</v>
      </c>
      <c r="M4264">
        <v>8.1255000000000006</v>
      </c>
      <c r="N4264">
        <v>10.99</v>
      </c>
      <c r="O4264">
        <v>1683</v>
      </c>
      <c r="P4264">
        <v>0</v>
      </c>
      <c r="Q4264" s="5" t="e">
        <f>IF(AND(#REF!&gt;=table!$C$6,#REF!&lt;= table!$D$6),-1,IF(AND(#REF!&gt;=table!$E$6,#REF!&lt;=table!$F$6),1,0))</f>
        <v>#REF!</v>
      </c>
      <c r="R4264" s="5" t="e">
        <f>IF(AND(#REF!&gt;=table!$C$7,#REF!&lt;= table!$D$7),-1,IF(AND(#REF!&gt;=table!$E$7,#REF!&lt;=table!$F$7),1,0))</f>
        <v>#REF!</v>
      </c>
      <c r="S4264" s="5" t="e">
        <f>IF(AND(#REF!&gt;=table!$C$8,#REF!&lt;= table!$D$8),-1,IF(AND(#REF!&gt;=table!$E$8,#REF!&lt;=table!$F$8),1,0))</f>
        <v>#REF!</v>
      </c>
      <c r="T4264" s="5"/>
      <c r="U4264" s="5" t="e">
        <f>IF(AND(#REF!&gt;=table!$C$10,#REF!&lt;= table!$D$10),-1,IF(AND(#REF!&gt;=table!$E$10,#REF!&lt;=table!$F$10),1,0))</f>
        <v>#REF!</v>
      </c>
      <c r="V4264" s="5" t="e">
        <f>IF(AND(#REF!&gt;=table!$C$11,#REF!&lt;= table!$D$11),-1,IF(AND(#REF!&gt;=table!$E$11,#REF!&lt;=table!$F$11),1,0))</f>
        <v>#REF!</v>
      </c>
      <c r="W4264" s="5" t="e">
        <f>CONCATENATE(dados[[#This Row],[fator1]],dados[[#This Row],[fator5]],dados[[#This Row],[fator6]])</f>
        <v>#REF!</v>
      </c>
    </row>
    <row r="4265" spans="1:23">
      <c r="A4265" t="s">
        <v>16</v>
      </c>
      <c r="B4265">
        <v>589664</v>
      </c>
      <c r="C4265">
        <v>0.1</v>
      </c>
      <c r="D4265">
        <v>40</v>
      </c>
      <c r="E4265">
        <v>10</v>
      </c>
      <c r="F4265">
        <v>8</v>
      </c>
      <c r="G4265">
        <v>0</v>
      </c>
      <c r="H4265">
        <v>10</v>
      </c>
      <c r="I4265">
        <v>1459</v>
      </c>
      <c r="J4265">
        <v>0</v>
      </c>
      <c r="K4265">
        <v>4.5125000000000002</v>
      </c>
      <c r="L4265">
        <v>8.4320000000000004</v>
      </c>
      <c r="M4265">
        <v>7.3720000000000008</v>
      </c>
      <c r="N4265">
        <v>7.9850000000000003</v>
      </c>
      <c r="O4265">
        <v>1670</v>
      </c>
      <c r="P4265">
        <v>0</v>
      </c>
      <c r="Q4265" s="5" t="e">
        <f>IF(AND(#REF!&gt;=table!$C$6,#REF!&lt;= table!$D$6),-1,IF(AND(#REF!&gt;=table!$E$6,#REF!&lt;=table!$F$6),1,0))</f>
        <v>#REF!</v>
      </c>
      <c r="R4265" s="5" t="e">
        <f>IF(AND(#REF!&gt;=table!$C$7,#REF!&lt;= table!$D$7),-1,IF(AND(#REF!&gt;=table!$E$7,#REF!&lt;=table!$F$7),1,0))</f>
        <v>#REF!</v>
      </c>
      <c r="S4265" s="5" t="e">
        <f>IF(AND(#REF!&gt;=table!$C$8,#REF!&lt;= table!$D$8),-1,IF(AND(#REF!&gt;=table!$E$8,#REF!&lt;=table!$F$8),1,0))</f>
        <v>#REF!</v>
      </c>
      <c r="T4265" s="5"/>
      <c r="U4265" s="5" t="e">
        <f>IF(AND(#REF!&gt;=table!$C$10,#REF!&lt;= table!$D$10),-1,IF(AND(#REF!&gt;=table!$E$10,#REF!&lt;=table!$F$10),1,0))</f>
        <v>#REF!</v>
      </c>
      <c r="V4265" s="5" t="e">
        <f>IF(AND(#REF!&gt;=table!$C$11,#REF!&lt;= table!$D$11),-1,IF(AND(#REF!&gt;=table!$E$11,#REF!&lt;=table!$F$11),1,0))</f>
        <v>#REF!</v>
      </c>
      <c r="W4265" s="5" t="e">
        <f>CONCATENATE(dados[[#This Row],[fator1]],dados[[#This Row],[fator5]],dados[[#This Row],[fator6]])</f>
        <v>#REF!</v>
      </c>
    </row>
    <row r="4266" spans="1:23">
      <c r="A4266" t="s">
        <v>16</v>
      </c>
      <c r="B4266">
        <v>589665</v>
      </c>
      <c r="C4266">
        <v>0.1</v>
      </c>
      <c r="D4266">
        <v>40</v>
      </c>
      <c r="E4266">
        <v>10</v>
      </c>
      <c r="F4266">
        <v>8</v>
      </c>
      <c r="G4266">
        <v>0</v>
      </c>
      <c r="H4266">
        <v>10</v>
      </c>
      <c r="I4266">
        <v>504</v>
      </c>
      <c r="J4266">
        <v>0</v>
      </c>
      <c r="K4266">
        <v>3.0795000000000003</v>
      </c>
      <c r="L4266">
        <v>11.115500000000001</v>
      </c>
      <c r="M4266">
        <v>9.2515000000000001</v>
      </c>
      <c r="N4266">
        <v>15.25</v>
      </c>
      <c r="O4266">
        <v>1693</v>
      </c>
      <c r="P4266">
        <v>1132</v>
      </c>
      <c r="Q4266" s="5" t="e">
        <f>IF(AND(#REF!&gt;=table!$C$6,#REF!&lt;= table!$D$6),-1,IF(AND(#REF!&gt;=table!$E$6,#REF!&lt;=table!$F$6),1,0))</f>
        <v>#REF!</v>
      </c>
      <c r="R4266" s="5" t="e">
        <f>IF(AND(#REF!&gt;=table!$C$7,#REF!&lt;= table!$D$7),-1,IF(AND(#REF!&gt;=table!$E$7,#REF!&lt;=table!$F$7),1,0))</f>
        <v>#REF!</v>
      </c>
      <c r="S4266" s="5" t="e">
        <f>IF(AND(#REF!&gt;=table!$C$8,#REF!&lt;= table!$D$8),-1,IF(AND(#REF!&gt;=table!$E$8,#REF!&lt;=table!$F$8),1,0))</f>
        <v>#REF!</v>
      </c>
      <c r="T4266" s="5"/>
      <c r="U4266" s="5" t="e">
        <f>IF(AND(#REF!&gt;=table!$C$10,#REF!&lt;= table!$D$10),-1,IF(AND(#REF!&gt;=table!$E$10,#REF!&lt;=table!$F$10),1,0))</f>
        <v>#REF!</v>
      </c>
      <c r="V4266" s="5" t="e">
        <f>IF(AND(#REF!&gt;=table!$C$11,#REF!&lt;= table!$D$11),-1,IF(AND(#REF!&gt;=table!$E$11,#REF!&lt;=table!$F$11),1,0))</f>
        <v>#REF!</v>
      </c>
      <c r="W4266" s="5" t="e">
        <f>CONCATENATE(dados[[#This Row],[fator1]],dados[[#This Row],[fator5]],dados[[#This Row],[fator6]])</f>
        <v>#REF!</v>
      </c>
    </row>
    <row r="4267" spans="1:23">
      <c r="A4267" t="s">
        <v>17</v>
      </c>
      <c r="B4267">
        <v>589666</v>
      </c>
      <c r="C4267">
        <v>12</v>
      </c>
      <c r="D4267">
        <v>25</v>
      </c>
      <c r="E4267">
        <v>120</v>
      </c>
      <c r="F4267">
        <v>9</v>
      </c>
      <c r="G4267">
        <v>110</v>
      </c>
      <c r="H4267">
        <v>50</v>
      </c>
      <c r="I4267">
        <v>575</v>
      </c>
      <c r="J4267">
        <v>0</v>
      </c>
      <c r="K4267">
        <v>3.7065000000000001</v>
      </c>
      <c r="L4267">
        <v>6.0180000000000007</v>
      </c>
      <c r="M4267">
        <v>48.925000000000004</v>
      </c>
      <c r="N4267">
        <v>31.335000000000001</v>
      </c>
      <c r="O4267">
        <v>1714</v>
      </c>
      <c r="P4267">
        <v>1343</v>
      </c>
      <c r="Q4267" s="5" t="e">
        <f>IF(AND(#REF!&gt;=table!$C$6,#REF!&lt;= table!$D$6),-1,IF(AND(#REF!&gt;=table!$E$6,#REF!&lt;=table!$F$6),1,0))</f>
        <v>#REF!</v>
      </c>
      <c r="R4267" s="5" t="e">
        <f>IF(AND(#REF!&gt;=table!$C$7,#REF!&lt;= table!$D$7),-1,IF(AND(#REF!&gt;=table!$E$7,#REF!&lt;=table!$F$7),1,0))</f>
        <v>#REF!</v>
      </c>
      <c r="S4267" s="5" t="e">
        <f>IF(AND(#REF!&gt;=table!$C$8,#REF!&lt;= table!$D$8),-1,IF(AND(#REF!&gt;=table!$E$8,#REF!&lt;=table!$F$8),1,0))</f>
        <v>#REF!</v>
      </c>
      <c r="T4267" s="5"/>
      <c r="U4267" s="5" t="e">
        <f>IF(AND(#REF!&gt;=table!$C$10,#REF!&lt;= table!$D$10),-1,IF(AND(#REF!&gt;=table!$E$10,#REF!&lt;=table!$F$10),1,0))</f>
        <v>#REF!</v>
      </c>
      <c r="V4267" s="5" t="e">
        <f>IF(AND(#REF!&gt;=table!$C$11,#REF!&lt;= table!$D$11),-1,IF(AND(#REF!&gt;=table!$E$11,#REF!&lt;=table!$F$11),1,0))</f>
        <v>#REF!</v>
      </c>
      <c r="W4267" s="5" t="e">
        <f>CONCATENATE(dados[[#This Row],[fator1]],dados[[#This Row],[fator5]],dados[[#This Row],[fator6]])</f>
        <v>#REF!</v>
      </c>
    </row>
    <row r="4268" spans="1:23">
      <c r="A4268" t="s">
        <v>16</v>
      </c>
      <c r="B4268">
        <v>589673</v>
      </c>
      <c r="C4268">
        <v>0.15</v>
      </c>
      <c r="D4268">
        <v>40</v>
      </c>
      <c r="E4268">
        <v>10</v>
      </c>
      <c r="F4268">
        <v>15</v>
      </c>
      <c r="G4268">
        <v>0</v>
      </c>
      <c r="H4268">
        <v>15</v>
      </c>
      <c r="I4268">
        <v>1340</v>
      </c>
      <c r="J4268">
        <v>0</v>
      </c>
      <c r="K4268">
        <v>3.7110000000000003</v>
      </c>
      <c r="L4268">
        <v>7.1305000000000005</v>
      </c>
      <c r="M4268">
        <v>6.1535000000000002</v>
      </c>
      <c r="N4268">
        <v>17.55</v>
      </c>
      <c r="O4268">
        <v>1702</v>
      </c>
      <c r="P4268">
        <v>1184</v>
      </c>
      <c r="Q4268" s="5" t="e">
        <f>IF(AND(#REF!&gt;=table!$C$6,#REF!&lt;= table!$D$6),-1,IF(AND(#REF!&gt;=table!$E$6,#REF!&lt;=table!$F$6),1,0))</f>
        <v>#REF!</v>
      </c>
      <c r="R4268" s="5" t="e">
        <f>IF(AND(#REF!&gt;=table!$C$7,#REF!&lt;= table!$D$7),-1,IF(AND(#REF!&gt;=table!$E$7,#REF!&lt;=table!$F$7),1,0))</f>
        <v>#REF!</v>
      </c>
      <c r="S4268" s="5" t="e">
        <f>IF(AND(#REF!&gt;=table!$C$8,#REF!&lt;= table!$D$8),-1,IF(AND(#REF!&gt;=table!$E$8,#REF!&lt;=table!$F$8),1,0))</f>
        <v>#REF!</v>
      </c>
      <c r="T4268" s="5"/>
      <c r="U4268" s="5" t="e">
        <f>IF(AND(#REF!&gt;=table!$C$10,#REF!&lt;= table!$D$10),-1,IF(AND(#REF!&gt;=table!$E$10,#REF!&lt;=table!$F$10),1,0))</f>
        <v>#REF!</v>
      </c>
      <c r="V4268" s="5" t="e">
        <f>IF(AND(#REF!&gt;=table!$C$11,#REF!&lt;= table!$D$11),-1,IF(AND(#REF!&gt;=table!$E$11,#REF!&lt;=table!$F$11),1,0))</f>
        <v>#REF!</v>
      </c>
      <c r="W4268" s="5" t="e">
        <f>CONCATENATE(dados[[#This Row],[fator1]],dados[[#This Row],[fator5]],dados[[#This Row],[fator6]])</f>
        <v>#REF!</v>
      </c>
    </row>
    <row r="4269" spans="1:23">
      <c r="A4269" t="s">
        <v>16</v>
      </c>
      <c r="B4269">
        <v>589679</v>
      </c>
      <c r="C4269">
        <v>0.15</v>
      </c>
      <c r="D4269">
        <v>40</v>
      </c>
      <c r="E4269">
        <v>10</v>
      </c>
      <c r="F4269">
        <v>15</v>
      </c>
      <c r="G4269">
        <v>0</v>
      </c>
      <c r="H4269">
        <v>15</v>
      </c>
      <c r="I4269">
        <v>1693</v>
      </c>
      <c r="J4269">
        <v>0</v>
      </c>
      <c r="K4269">
        <v>4.8464999999999998</v>
      </c>
      <c r="L4269">
        <v>8.0995000000000008</v>
      </c>
      <c r="M4269">
        <v>7.0840000000000005</v>
      </c>
      <c r="N4269">
        <v>13.17</v>
      </c>
      <c r="O4269">
        <v>1677</v>
      </c>
      <c r="P4269">
        <v>0</v>
      </c>
      <c r="Q4269" s="5" t="e">
        <f>IF(AND(#REF!&gt;=table!$C$6,#REF!&lt;= table!$D$6),-1,IF(AND(#REF!&gt;=table!$E$6,#REF!&lt;=table!$F$6),1,0))</f>
        <v>#REF!</v>
      </c>
      <c r="R4269" s="5" t="e">
        <f>IF(AND(#REF!&gt;=table!$C$7,#REF!&lt;= table!$D$7),-1,IF(AND(#REF!&gt;=table!$E$7,#REF!&lt;=table!$F$7),1,0))</f>
        <v>#REF!</v>
      </c>
      <c r="S4269" s="5" t="e">
        <f>IF(AND(#REF!&gt;=table!$C$8,#REF!&lt;= table!$D$8),-1,IF(AND(#REF!&gt;=table!$E$8,#REF!&lt;=table!$F$8),1,0))</f>
        <v>#REF!</v>
      </c>
      <c r="T4269" s="5"/>
      <c r="U4269" s="5" t="e">
        <f>IF(AND(#REF!&gt;=table!$C$10,#REF!&lt;= table!$D$10),-1,IF(AND(#REF!&gt;=table!$E$10,#REF!&lt;=table!$F$10),1,0))</f>
        <v>#REF!</v>
      </c>
      <c r="V4269" s="5" t="e">
        <f>IF(AND(#REF!&gt;=table!$C$11,#REF!&lt;= table!$D$11),-1,IF(AND(#REF!&gt;=table!$E$11,#REF!&lt;=table!$F$11),1,0))</f>
        <v>#REF!</v>
      </c>
      <c r="W4269" s="5" t="e">
        <f>CONCATENATE(dados[[#This Row],[fator1]],dados[[#This Row],[fator5]],dados[[#This Row],[fator6]])</f>
        <v>#REF!</v>
      </c>
    </row>
    <row r="4270" spans="1:23">
      <c r="A4270" t="s">
        <v>16</v>
      </c>
      <c r="B4270">
        <v>589682</v>
      </c>
      <c r="C4270">
        <v>4</v>
      </c>
      <c r="D4270">
        <v>40</v>
      </c>
      <c r="E4270">
        <v>21</v>
      </c>
      <c r="F4270">
        <v>20</v>
      </c>
      <c r="G4270">
        <v>0</v>
      </c>
      <c r="H4270">
        <v>25</v>
      </c>
      <c r="I4270">
        <v>117</v>
      </c>
      <c r="J4270">
        <v>0</v>
      </c>
      <c r="K4270">
        <v>4</v>
      </c>
      <c r="L4270">
        <v>7.5075000000000003</v>
      </c>
      <c r="M4270">
        <v>6.1074999999999999</v>
      </c>
      <c r="N4270">
        <v>12.030000000000001</v>
      </c>
      <c r="O4270">
        <v>1714</v>
      </c>
      <c r="P4270">
        <v>0</v>
      </c>
      <c r="Q4270" s="5" t="e">
        <f>IF(AND(#REF!&gt;=table!$C$6,#REF!&lt;= table!$D$6),-1,IF(AND(#REF!&gt;=table!$E$6,#REF!&lt;=table!$F$6),1,0))</f>
        <v>#REF!</v>
      </c>
      <c r="R4270" s="5" t="e">
        <f>IF(AND(#REF!&gt;=table!$C$7,#REF!&lt;= table!$D$7),-1,IF(AND(#REF!&gt;=table!$E$7,#REF!&lt;=table!$F$7),1,0))</f>
        <v>#REF!</v>
      </c>
      <c r="S4270" s="5" t="e">
        <f>IF(AND(#REF!&gt;=table!$C$8,#REF!&lt;= table!$D$8),-1,IF(AND(#REF!&gt;=table!$E$8,#REF!&lt;=table!$F$8),1,0))</f>
        <v>#REF!</v>
      </c>
      <c r="T4270" s="5"/>
      <c r="U4270" s="5" t="e">
        <f>IF(AND(#REF!&gt;=table!$C$10,#REF!&lt;= table!$D$10),-1,IF(AND(#REF!&gt;=table!$E$10,#REF!&lt;=table!$F$10),1,0))</f>
        <v>#REF!</v>
      </c>
      <c r="V4270" s="5" t="e">
        <f>IF(AND(#REF!&gt;=table!$C$11,#REF!&lt;= table!$D$11),-1,IF(AND(#REF!&gt;=table!$E$11,#REF!&lt;=table!$F$11),1,0))</f>
        <v>#REF!</v>
      </c>
      <c r="W4270" s="5" t="e">
        <f>CONCATENATE(dados[[#This Row],[fator1]],dados[[#This Row],[fator5]],dados[[#This Row],[fator6]])</f>
        <v>#REF!</v>
      </c>
    </row>
    <row r="4271" spans="1:23">
      <c r="A4271" t="s">
        <v>16</v>
      </c>
      <c r="B4271">
        <v>589683</v>
      </c>
      <c r="C4271">
        <v>4</v>
      </c>
      <c r="D4271">
        <v>40</v>
      </c>
      <c r="E4271">
        <v>21</v>
      </c>
      <c r="F4271">
        <v>20</v>
      </c>
      <c r="G4271">
        <v>0</v>
      </c>
      <c r="H4271">
        <v>25</v>
      </c>
      <c r="I4271">
        <v>315</v>
      </c>
      <c r="J4271">
        <v>0</v>
      </c>
      <c r="K4271">
        <v>5.6395</v>
      </c>
      <c r="L4271">
        <v>11.9015</v>
      </c>
      <c r="M4271">
        <v>9.6074999999999999</v>
      </c>
      <c r="N4271">
        <v>14.755000000000001</v>
      </c>
      <c r="O4271">
        <v>1661</v>
      </c>
      <c r="P4271">
        <v>676</v>
      </c>
      <c r="Q4271" s="5" t="e">
        <f>IF(AND(#REF!&gt;=table!$C$6,#REF!&lt;= table!$D$6),-1,IF(AND(#REF!&gt;=table!$E$6,#REF!&lt;=table!$F$6),1,0))</f>
        <v>#REF!</v>
      </c>
      <c r="R4271" s="5" t="e">
        <f>IF(AND(#REF!&gt;=table!$C$7,#REF!&lt;= table!$D$7),-1,IF(AND(#REF!&gt;=table!$E$7,#REF!&lt;=table!$F$7),1,0))</f>
        <v>#REF!</v>
      </c>
      <c r="S4271" s="5" t="e">
        <f>IF(AND(#REF!&gt;=table!$C$8,#REF!&lt;= table!$D$8),-1,IF(AND(#REF!&gt;=table!$E$8,#REF!&lt;=table!$F$8),1,0))</f>
        <v>#REF!</v>
      </c>
      <c r="T4271" s="5"/>
      <c r="U4271" s="5" t="e">
        <f>IF(AND(#REF!&gt;=table!$C$10,#REF!&lt;= table!$D$10),-1,IF(AND(#REF!&gt;=table!$E$10,#REF!&lt;=table!$F$10),1,0))</f>
        <v>#REF!</v>
      </c>
      <c r="V4271" s="5" t="e">
        <f>IF(AND(#REF!&gt;=table!$C$11,#REF!&lt;= table!$D$11),-1,IF(AND(#REF!&gt;=table!$E$11,#REF!&lt;=table!$F$11),1,0))</f>
        <v>#REF!</v>
      </c>
      <c r="W4271" s="5" t="e">
        <f>CONCATENATE(dados[[#This Row],[fator1]],dados[[#This Row],[fator5]],dados[[#This Row],[fator6]])</f>
        <v>#REF!</v>
      </c>
    </row>
    <row r="4272" spans="1:23">
      <c r="A4272" t="s">
        <v>18</v>
      </c>
      <c r="B4272">
        <v>589686</v>
      </c>
      <c r="C4272">
        <v>17</v>
      </c>
      <c r="D4272">
        <v>2.5</v>
      </c>
      <c r="E4272">
        <v>66</v>
      </c>
      <c r="F4272">
        <v>10</v>
      </c>
      <c r="G4272">
        <v>28</v>
      </c>
      <c r="H4272">
        <v>25</v>
      </c>
      <c r="I4272">
        <v>401</v>
      </c>
      <c r="J4272">
        <v>0</v>
      </c>
      <c r="K4272">
        <v>5.3930000000000007</v>
      </c>
      <c r="L4272">
        <v>10.450000000000001</v>
      </c>
      <c r="M4272">
        <v>66.000500000000002</v>
      </c>
      <c r="N4272">
        <v>18.074999999999999</v>
      </c>
      <c r="O4272">
        <v>1674</v>
      </c>
      <c r="P4272">
        <v>725</v>
      </c>
      <c r="Q4272" s="5" t="e">
        <f>IF(AND(#REF!&gt;=table!$C$6,#REF!&lt;= table!$D$6),-1,IF(AND(#REF!&gt;=table!$E$6,#REF!&lt;=table!$F$6),1,0))</f>
        <v>#REF!</v>
      </c>
      <c r="R4272" s="5" t="e">
        <f>IF(AND(#REF!&gt;=table!$C$7,#REF!&lt;= table!$D$7),-1,IF(AND(#REF!&gt;=table!$E$7,#REF!&lt;=table!$F$7),1,0))</f>
        <v>#REF!</v>
      </c>
      <c r="S4272" s="5" t="e">
        <f>IF(AND(#REF!&gt;=table!$C$8,#REF!&lt;= table!$D$8),-1,IF(AND(#REF!&gt;=table!$E$8,#REF!&lt;=table!$F$8),1,0))</f>
        <v>#REF!</v>
      </c>
      <c r="T4272" s="5"/>
      <c r="U4272" s="5" t="e">
        <f>IF(AND(#REF!&gt;=table!$C$10,#REF!&lt;= table!$D$10),-1,IF(AND(#REF!&gt;=table!$E$10,#REF!&lt;=table!$F$10),1,0))</f>
        <v>#REF!</v>
      </c>
      <c r="V4272" s="5" t="e">
        <f>IF(AND(#REF!&gt;=table!$C$11,#REF!&lt;= table!$D$11),-1,IF(AND(#REF!&gt;=table!$E$11,#REF!&lt;=table!$F$11),1,0))</f>
        <v>#REF!</v>
      </c>
      <c r="W4272" s="5" t="e">
        <f>CONCATENATE(dados[[#This Row],[fator1]],dados[[#This Row],[fator5]],dados[[#This Row],[fator6]])</f>
        <v>#REF!</v>
      </c>
    </row>
    <row r="4273" spans="1:23">
      <c r="A4273" t="s">
        <v>17</v>
      </c>
      <c r="B4273">
        <v>589689</v>
      </c>
      <c r="C4273">
        <v>14</v>
      </c>
      <c r="D4273">
        <v>30</v>
      </c>
      <c r="E4273">
        <v>86</v>
      </c>
      <c r="F4273">
        <v>9</v>
      </c>
      <c r="G4273">
        <v>20</v>
      </c>
      <c r="H4273">
        <v>25</v>
      </c>
      <c r="I4273">
        <v>4</v>
      </c>
      <c r="J4273">
        <v>0</v>
      </c>
      <c r="K4273">
        <v>10.053000000000001</v>
      </c>
      <c r="L4273">
        <v>17.061</v>
      </c>
      <c r="M4273">
        <v>88.008499999999998</v>
      </c>
      <c r="N4273">
        <v>24.115000000000002</v>
      </c>
      <c r="O4273">
        <v>1661</v>
      </c>
      <c r="P4273">
        <v>330</v>
      </c>
      <c r="Q4273" s="5" t="e">
        <f>IF(AND(#REF!&gt;=table!$C$6,#REF!&lt;= table!$D$6),-1,IF(AND(#REF!&gt;=table!$E$6,#REF!&lt;=table!$F$6),1,0))</f>
        <v>#REF!</v>
      </c>
      <c r="R4273" s="5" t="e">
        <f>IF(AND(#REF!&gt;=table!$C$7,#REF!&lt;= table!$D$7),-1,IF(AND(#REF!&gt;=table!$E$7,#REF!&lt;=table!$F$7),1,0))</f>
        <v>#REF!</v>
      </c>
      <c r="S4273" s="5" t="e">
        <f>IF(AND(#REF!&gt;=table!$C$8,#REF!&lt;= table!$D$8),-1,IF(AND(#REF!&gt;=table!$E$8,#REF!&lt;=table!$F$8),1,0))</f>
        <v>#REF!</v>
      </c>
      <c r="T4273" s="5"/>
      <c r="U4273" s="5" t="e">
        <f>IF(AND(#REF!&gt;=table!$C$10,#REF!&lt;= table!$D$10),-1,IF(AND(#REF!&gt;=table!$E$10,#REF!&lt;=table!$F$10),1,0))</f>
        <v>#REF!</v>
      </c>
      <c r="V4273" s="5" t="e">
        <f>IF(AND(#REF!&gt;=table!$C$11,#REF!&lt;= table!$D$11),-1,IF(AND(#REF!&gt;=table!$E$11,#REF!&lt;=table!$F$11),1,0))</f>
        <v>#REF!</v>
      </c>
      <c r="W4273" s="5" t="e">
        <f>CONCATENATE(dados[[#This Row],[fator1]],dados[[#This Row],[fator5]],dados[[#This Row],[fator6]])</f>
        <v>#REF!</v>
      </c>
    </row>
    <row r="4274" spans="1:23">
      <c r="A4274" t="s">
        <v>16</v>
      </c>
      <c r="B4274">
        <v>589694</v>
      </c>
      <c r="C4274">
        <v>0.15</v>
      </c>
      <c r="D4274">
        <v>40</v>
      </c>
      <c r="E4274">
        <v>10</v>
      </c>
      <c r="F4274">
        <v>15</v>
      </c>
      <c r="G4274">
        <v>0</v>
      </c>
      <c r="H4274">
        <v>15</v>
      </c>
      <c r="I4274">
        <v>812</v>
      </c>
      <c r="J4274">
        <v>0</v>
      </c>
      <c r="K4274">
        <v>3.0580000000000003</v>
      </c>
      <c r="L4274">
        <v>4.968</v>
      </c>
      <c r="M4274">
        <v>4.2860000000000005</v>
      </c>
      <c r="N4274">
        <v>11.035</v>
      </c>
      <c r="O4274">
        <v>1676</v>
      </c>
      <c r="P4274">
        <v>1394</v>
      </c>
      <c r="Q4274" s="5" t="e">
        <f>IF(AND(#REF!&gt;=table!$C$6,#REF!&lt;= table!$D$6),-1,IF(AND(#REF!&gt;=table!$E$6,#REF!&lt;=table!$F$6),1,0))</f>
        <v>#REF!</v>
      </c>
      <c r="R4274" s="5" t="e">
        <f>IF(AND(#REF!&gt;=table!$C$7,#REF!&lt;= table!$D$7),-1,IF(AND(#REF!&gt;=table!$E$7,#REF!&lt;=table!$F$7),1,0))</f>
        <v>#REF!</v>
      </c>
      <c r="S4274" s="5" t="e">
        <f>IF(AND(#REF!&gt;=table!$C$8,#REF!&lt;= table!$D$8),-1,IF(AND(#REF!&gt;=table!$E$8,#REF!&lt;=table!$F$8),1,0))</f>
        <v>#REF!</v>
      </c>
      <c r="T4274" s="5"/>
      <c r="U4274" s="5" t="e">
        <f>IF(AND(#REF!&gt;=table!$C$10,#REF!&lt;= table!$D$10),-1,IF(AND(#REF!&gt;=table!$E$10,#REF!&lt;=table!$F$10),1,0))</f>
        <v>#REF!</v>
      </c>
      <c r="V4274" s="5" t="e">
        <f>IF(AND(#REF!&gt;=table!$C$11,#REF!&lt;= table!$D$11),-1,IF(AND(#REF!&gt;=table!$E$11,#REF!&lt;=table!$F$11),1,0))</f>
        <v>#REF!</v>
      </c>
      <c r="W4274" s="5" t="e">
        <f>CONCATENATE(dados[[#This Row],[fator1]],dados[[#This Row],[fator5]],dados[[#This Row],[fator6]])</f>
        <v>#REF!</v>
      </c>
    </row>
    <row r="4275" spans="1:23">
      <c r="A4275" t="s">
        <v>16</v>
      </c>
      <c r="B4275">
        <v>589696</v>
      </c>
      <c r="C4275">
        <v>0.15</v>
      </c>
      <c r="D4275">
        <v>40</v>
      </c>
      <c r="E4275">
        <v>10</v>
      </c>
      <c r="F4275">
        <v>15</v>
      </c>
      <c r="G4275">
        <v>0</v>
      </c>
      <c r="H4275">
        <v>15</v>
      </c>
      <c r="I4275">
        <v>0</v>
      </c>
      <c r="J4275">
        <v>0</v>
      </c>
      <c r="K4275">
        <v>3.4420000000000002</v>
      </c>
      <c r="L4275">
        <v>6.907</v>
      </c>
      <c r="M4275">
        <v>6.2130000000000001</v>
      </c>
      <c r="N4275">
        <v>12.735000000000001</v>
      </c>
      <c r="O4275">
        <v>1686</v>
      </c>
      <c r="P4275">
        <v>0</v>
      </c>
      <c r="Q4275" s="5" t="e">
        <f>IF(AND(#REF!&gt;=table!$C$6,#REF!&lt;= table!$D$6),-1,IF(AND(#REF!&gt;=table!$E$6,#REF!&lt;=table!$F$6),1,0))</f>
        <v>#REF!</v>
      </c>
      <c r="R4275" s="5" t="e">
        <f>IF(AND(#REF!&gt;=table!$C$7,#REF!&lt;= table!$D$7),-1,IF(AND(#REF!&gt;=table!$E$7,#REF!&lt;=table!$F$7),1,0))</f>
        <v>#REF!</v>
      </c>
      <c r="S4275" s="5" t="e">
        <f>IF(AND(#REF!&gt;=table!$C$8,#REF!&lt;= table!$D$8),-1,IF(AND(#REF!&gt;=table!$E$8,#REF!&lt;=table!$F$8),1,0))</f>
        <v>#REF!</v>
      </c>
      <c r="T4275" s="5"/>
      <c r="U4275" s="5" t="e">
        <f>IF(AND(#REF!&gt;=table!$C$10,#REF!&lt;= table!$D$10),-1,IF(AND(#REF!&gt;=table!$E$10,#REF!&lt;=table!$F$10),1,0))</f>
        <v>#REF!</v>
      </c>
      <c r="V4275" s="5" t="e">
        <f>IF(AND(#REF!&gt;=table!$C$11,#REF!&lt;= table!$D$11),-1,IF(AND(#REF!&gt;=table!$E$11,#REF!&lt;=table!$F$11),1,0))</f>
        <v>#REF!</v>
      </c>
      <c r="W4275" s="5" t="e">
        <f>CONCATENATE(dados[[#This Row],[fator1]],dados[[#This Row],[fator5]],dados[[#This Row],[fator6]])</f>
        <v>#REF!</v>
      </c>
    </row>
    <row r="4276" spans="1:23">
      <c r="A4276" t="s">
        <v>17</v>
      </c>
      <c r="B4276">
        <v>589697</v>
      </c>
      <c r="C4276">
        <v>14</v>
      </c>
      <c r="D4276">
        <v>30</v>
      </c>
      <c r="E4276">
        <v>110</v>
      </c>
      <c r="F4276">
        <v>3</v>
      </c>
      <c r="G4276">
        <v>20</v>
      </c>
      <c r="H4276">
        <v>22</v>
      </c>
      <c r="I4276">
        <v>71</v>
      </c>
      <c r="J4276">
        <v>0</v>
      </c>
      <c r="K4276">
        <v>3.806</v>
      </c>
      <c r="L4276">
        <v>6.0270000000000001</v>
      </c>
      <c r="M4276">
        <v>73.847499999999997</v>
      </c>
      <c r="N4276">
        <v>12.865</v>
      </c>
      <c r="O4276">
        <v>1657</v>
      </c>
      <c r="P4276">
        <v>747</v>
      </c>
      <c r="Q4276" s="5" t="e">
        <f>IF(AND(#REF!&gt;=table!$C$6,#REF!&lt;= table!$D$6),-1,IF(AND(#REF!&gt;=table!$E$6,#REF!&lt;=table!$F$6),1,0))</f>
        <v>#REF!</v>
      </c>
      <c r="R4276" s="5" t="e">
        <f>IF(AND(#REF!&gt;=table!$C$7,#REF!&lt;= table!$D$7),-1,IF(AND(#REF!&gt;=table!$E$7,#REF!&lt;=table!$F$7),1,0))</f>
        <v>#REF!</v>
      </c>
      <c r="S4276" s="5" t="e">
        <f>IF(AND(#REF!&gt;=table!$C$8,#REF!&lt;= table!$D$8),-1,IF(AND(#REF!&gt;=table!$E$8,#REF!&lt;=table!$F$8),1,0))</f>
        <v>#REF!</v>
      </c>
      <c r="T4276" s="5"/>
      <c r="U4276" s="5" t="e">
        <f>IF(AND(#REF!&gt;=table!$C$10,#REF!&lt;= table!$D$10),-1,IF(AND(#REF!&gt;=table!$E$10,#REF!&lt;=table!$F$10),1,0))</f>
        <v>#REF!</v>
      </c>
      <c r="V4276" s="5" t="e">
        <f>IF(AND(#REF!&gt;=table!$C$11,#REF!&lt;= table!$D$11),-1,IF(AND(#REF!&gt;=table!$E$11,#REF!&lt;=table!$F$11),1,0))</f>
        <v>#REF!</v>
      </c>
      <c r="W4276" s="5" t="e">
        <f>CONCATENATE(dados[[#This Row],[fator1]],dados[[#This Row],[fator5]],dados[[#This Row],[fator6]])</f>
        <v>#REF!</v>
      </c>
    </row>
    <row r="4277" spans="1:23">
      <c r="A4277" t="s">
        <v>17</v>
      </c>
      <c r="B4277">
        <v>589698</v>
      </c>
      <c r="C4277">
        <v>14</v>
      </c>
      <c r="D4277">
        <v>30</v>
      </c>
      <c r="E4277">
        <v>110</v>
      </c>
      <c r="F4277">
        <v>3</v>
      </c>
      <c r="G4277">
        <v>20</v>
      </c>
      <c r="H4277">
        <v>22</v>
      </c>
      <c r="I4277">
        <v>282</v>
      </c>
      <c r="J4277">
        <v>1040</v>
      </c>
      <c r="K4277">
        <v>6.7949999999999999</v>
      </c>
      <c r="L4277">
        <v>10.7195</v>
      </c>
      <c r="M4277">
        <v>104.54400000000001</v>
      </c>
      <c r="N4277">
        <v>17.61</v>
      </c>
      <c r="O4277">
        <v>1685</v>
      </c>
      <c r="P4277">
        <v>556</v>
      </c>
      <c r="Q4277" s="5" t="e">
        <f>IF(AND(#REF!&gt;=table!$C$6,#REF!&lt;= table!$D$6),-1,IF(AND(#REF!&gt;=table!$E$6,#REF!&lt;=table!$F$6),1,0))</f>
        <v>#REF!</v>
      </c>
      <c r="R4277" s="5" t="e">
        <f>IF(AND(#REF!&gt;=table!$C$7,#REF!&lt;= table!$D$7),-1,IF(AND(#REF!&gt;=table!$E$7,#REF!&lt;=table!$F$7),1,0))</f>
        <v>#REF!</v>
      </c>
      <c r="S4277" s="5" t="e">
        <f>IF(AND(#REF!&gt;=table!$C$8,#REF!&lt;= table!$D$8),-1,IF(AND(#REF!&gt;=table!$E$8,#REF!&lt;=table!$F$8),1,0))</f>
        <v>#REF!</v>
      </c>
      <c r="T4277" s="5"/>
      <c r="U4277" s="5" t="e">
        <f>IF(AND(#REF!&gt;=table!$C$10,#REF!&lt;= table!$D$10),-1,IF(AND(#REF!&gt;=table!$E$10,#REF!&lt;=table!$F$10),1,0))</f>
        <v>#REF!</v>
      </c>
      <c r="V4277" s="5" t="e">
        <f>IF(AND(#REF!&gt;=table!$C$11,#REF!&lt;= table!$D$11),-1,IF(AND(#REF!&gt;=table!$E$11,#REF!&lt;=table!$F$11),1,0))</f>
        <v>#REF!</v>
      </c>
      <c r="W4277" s="5" t="e">
        <f>CONCATENATE(dados[[#This Row],[fator1]],dados[[#This Row],[fator5]],dados[[#This Row],[fator6]])</f>
        <v>#REF!</v>
      </c>
    </row>
    <row r="4278" spans="1:23">
      <c r="A4278" t="s">
        <v>17</v>
      </c>
      <c r="B4278">
        <v>589703</v>
      </c>
      <c r="C4278">
        <v>46</v>
      </c>
      <c r="D4278">
        <v>18</v>
      </c>
      <c r="E4278">
        <v>66</v>
      </c>
      <c r="F4278">
        <v>10</v>
      </c>
      <c r="G4278">
        <v>20</v>
      </c>
      <c r="H4278">
        <v>23</v>
      </c>
      <c r="I4278">
        <v>5</v>
      </c>
      <c r="J4278">
        <v>0</v>
      </c>
      <c r="K4278">
        <v>4.2229999999999999</v>
      </c>
      <c r="L4278">
        <v>9.9595000000000002</v>
      </c>
      <c r="M4278">
        <v>54.779500000000006</v>
      </c>
      <c r="N4278">
        <v>21.455000000000002</v>
      </c>
      <c r="O4278">
        <v>1676</v>
      </c>
      <c r="P4278">
        <v>883</v>
      </c>
      <c r="Q4278" s="5" t="e">
        <f>IF(AND(#REF!&gt;=table!$C$6,#REF!&lt;= table!$D$6),-1,IF(AND(#REF!&gt;=table!$E$6,#REF!&lt;=table!$F$6),1,0))</f>
        <v>#REF!</v>
      </c>
      <c r="R4278" s="5" t="e">
        <f>IF(AND(#REF!&gt;=table!$C$7,#REF!&lt;= table!$D$7),-1,IF(AND(#REF!&gt;=table!$E$7,#REF!&lt;=table!$F$7),1,0))</f>
        <v>#REF!</v>
      </c>
      <c r="S4278" s="5" t="e">
        <f>IF(AND(#REF!&gt;=table!$C$8,#REF!&lt;= table!$D$8),-1,IF(AND(#REF!&gt;=table!$E$8,#REF!&lt;=table!$F$8),1,0))</f>
        <v>#REF!</v>
      </c>
      <c r="T4278" s="5"/>
      <c r="U4278" s="5" t="e">
        <f>IF(AND(#REF!&gt;=table!$C$10,#REF!&lt;= table!$D$10),-1,IF(AND(#REF!&gt;=table!$E$10,#REF!&lt;=table!$F$10),1,0))</f>
        <v>#REF!</v>
      </c>
      <c r="V4278" s="5" t="e">
        <f>IF(AND(#REF!&gt;=table!$C$11,#REF!&lt;= table!$D$11),-1,IF(AND(#REF!&gt;=table!$E$11,#REF!&lt;=table!$F$11),1,0))</f>
        <v>#REF!</v>
      </c>
      <c r="W4278" s="5" t="e">
        <f>CONCATENATE(dados[[#This Row],[fator1]],dados[[#This Row],[fator5]],dados[[#This Row],[fator6]])</f>
        <v>#REF!</v>
      </c>
    </row>
    <row r="4279" spans="1:23">
      <c r="A4279" t="s">
        <v>16</v>
      </c>
      <c r="B4279">
        <v>589704</v>
      </c>
      <c r="C4279">
        <v>12</v>
      </c>
      <c r="D4279">
        <v>40</v>
      </c>
      <c r="E4279">
        <v>36</v>
      </c>
      <c r="F4279">
        <v>9</v>
      </c>
      <c r="G4279">
        <v>0</v>
      </c>
      <c r="H4279">
        <v>25</v>
      </c>
      <c r="I4279">
        <v>34</v>
      </c>
      <c r="J4279">
        <v>0</v>
      </c>
      <c r="K4279">
        <v>6.9320000000000004</v>
      </c>
      <c r="L4279">
        <v>9.995000000000001</v>
      </c>
      <c r="M4279">
        <v>31.554500000000001</v>
      </c>
      <c r="N4279">
        <v>16.855</v>
      </c>
      <c r="O4279">
        <v>1661</v>
      </c>
      <c r="P4279">
        <v>485</v>
      </c>
      <c r="Q4279" s="5" t="e">
        <f>IF(AND(#REF!&gt;=table!$C$6,#REF!&lt;= table!$D$6),-1,IF(AND(#REF!&gt;=table!$E$6,#REF!&lt;=table!$F$6),1,0))</f>
        <v>#REF!</v>
      </c>
      <c r="R4279" s="5" t="e">
        <f>IF(AND(#REF!&gt;=table!$C$7,#REF!&lt;= table!$D$7),-1,IF(AND(#REF!&gt;=table!$E$7,#REF!&lt;=table!$F$7),1,0))</f>
        <v>#REF!</v>
      </c>
      <c r="S4279" s="5" t="e">
        <f>IF(AND(#REF!&gt;=table!$C$8,#REF!&lt;= table!$D$8),-1,IF(AND(#REF!&gt;=table!$E$8,#REF!&lt;=table!$F$8),1,0))</f>
        <v>#REF!</v>
      </c>
      <c r="T4279" s="5"/>
      <c r="U4279" s="5" t="e">
        <f>IF(AND(#REF!&gt;=table!$C$10,#REF!&lt;= table!$D$10),-1,IF(AND(#REF!&gt;=table!$E$10,#REF!&lt;=table!$F$10),1,0))</f>
        <v>#REF!</v>
      </c>
      <c r="V4279" s="5" t="e">
        <f>IF(AND(#REF!&gt;=table!$C$11,#REF!&lt;= table!$D$11),-1,IF(AND(#REF!&gt;=table!$E$11,#REF!&lt;=table!$F$11),1,0))</f>
        <v>#REF!</v>
      </c>
      <c r="W4279" s="5" t="e">
        <f>CONCATENATE(dados[[#This Row],[fator1]],dados[[#This Row],[fator5]],dados[[#This Row],[fator6]])</f>
        <v>#REF!</v>
      </c>
    </row>
    <row r="4280" spans="1:23">
      <c r="A4280" t="s">
        <v>17</v>
      </c>
      <c r="B4280">
        <v>589708</v>
      </c>
      <c r="C4280">
        <v>16</v>
      </c>
      <c r="D4280">
        <v>30</v>
      </c>
      <c r="E4280">
        <v>150</v>
      </c>
      <c r="F4280">
        <v>8</v>
      </c>
      <c r="G4280">
        <v>28</v>
      </c>
      <c r="H4280">
        <v>25</v>
      </c>
      <c r="I4280">
        <v>0</v>
      </c>
      <c r="J4280">
        <v>0</v>
      </c>
      <c r="K4280">
        <v>8.964500000000001</v>
      </c>
      <c r="L4280">
        <v>11.93</v>
      </c>
      <c r="M4280">
        <v>133.14100000000002</v>
      </c>
      <c r="N4280">
        <v>18.775000000000002</v>
      </c>
      <c r="O4280">
        <v>1675</v>
      </c>
      <c r="P4280">
        <v>329</v>
      </c>
      <c r="Q4280" s="5" t="e">
        <f>IF(AND(#REF!&gt;=table!$C$6,#REF!&lt;= table!$D$6),-1,IF(AND(#REF!&gt;=table!$E$6,#REF!&lt;=table!$F$6),1,0))</f>
        <v>#REF!</v>
      </c>
      <c r="R4280" s="5" t="e">
        <f>IF(AND(#REF!&gt;=table!$C$7,#REF!&lt;= table!$D$7),-1,IF(AND(#REF!&gt;=table!$E$7,#REF!&lt;=table!$F$7),1,0))</f>
        <v>#REF!</v>
      </c>
      <c r="S4280" s="5" t="e">
        <f>IF(AND(#REF!&gt;=table!$C$8,#REF!&lt;= table!$D$8),-1,IF(AND(#REF!&gt;=table!$E$8,#REF!&lt;=table!$F$8),1,0))</f>
        <v>#REF!</v>
      </c>
      <c r="T4280" s="5"/>
      <c r="U4280" s="5" t="e">
        <f>IF(AND(#REF!&gt;=table!$C$10,#REF!&lt;= table!$D$10),-1,IF(AND(#REF!&gt;=table!$E$10,#REF!&lt;=table!$F$10),1,0))</f>
        <v>#REF!</v>
      </c>
      <c r="V4280" s="5" t="e">
        <f>IF(AND(#REF!&gt;=table!$C$11,#REF!&lt;= table!$D$11),-1,IF(AND(#REF!&gt;=table!$E$11,#REF!&lt;=table!$F$11),1,0))</f>
        <v>#REF!</v>
      </c>
      <c r="W4280" s="5" t="e">
        <f>CONCATENATE(dados[[#This Row],[fator1]],dados[[#This Row],[fator5]],dados[[#This Row],[fator6]])</f>
        <v>#REF!</v>
      </c>
    </row>
    <row r="4281" spans="1:23">
      <c r="A4281" t="s">
        <v>16</v>
      </c>
      <c r="B4281">
        <v>589709</v>
      </c>
      <c r="C4281">
        <v>9</v>
      </c>
      <c r="D4281">
        <v>35</v>
      </c>
      <c r="E4281">
        <v>50</v>
      </c>
      <c r="F4281">
        <v>9</v>
      </c>
      <c r="G4281">
        <v>0</v>
      </c>
      <c r="H4281">
        <v>25</v>
      </c>
      <c r="I4281">
        <v>653</v>
      </c>
      <c r="J4281">
        <v>0</v>
      </c>
      <c r="K4281">
        <v>10.894</v>
      </c>
      <c r="L4281">
        <v>8.5525000000000002</v>
      </c>
      <c r="M4281">
        <v>32.283999999999999</v>
      </c>
      <c r="N4281">
        <v>12.64</v>
      </c>
      <c r="O4281">
        <v>1664</v>
      </c>
      <c r="P4281">
        <v>359</v>
      </c>
      <c r="Q4281" s="5" t="e">
        <f>IF(AND(#REF!&gt;=table!$C$6,#REF!&lt;= table!$D$6),-1,IF(AND(#REF!&gt;=table!$E$6,#REF!&lt;=table!$F$6),1,0))</f>
        <v>#REF!</v>
      </c>
      <c r="R4281" s="5" t="e">
        <f>IF(AND(#REF!&gt;=table!$C$7,#REF!&lt;= table!$D$7),-1,IF(AND(#REF!&gt;=table!$E$7,#REF!&lt;=table!$F$7),1,0))</f>
        <v>#REF!</v>
      </c>
      <c r="S4281" s="5" t="e">
        <f>IF(AND(#REF!&gt;=table!$C$8,#REF!&lt;= table!$D$8),-1,IF(AND(#REF!&gt;=table!$E$8,#REF!&lt;=table!$F$8),1,0))</f>
        <v>#REF!</v>
      </c>
      <c r="T4281" s="5"/>
      <c r="U4281" s="5" t="e">
        <f>IF(AND(#REF!&gt;=table!$C$10,#REF!&lt;= table!$D$10),-1,IF(AND(#REF!&gt;=table!$E$10,#REF!&lt;=table!$F$10),1,0))</f>
        <v>#REF!</v>
      </c>
      <c r="V4281" s="5" t="e">
        <f>IF(AND(#REF!&gt;=table!$C$11,#REF!&lt;= table!$D$11),-1,IF(AND(#REF!&gt;=table!$E$11,#REF!&lt;=table!$F$11),1,0))</f>
        <v>#REF!</v>
      </c>
      <c r="W4281" s="5" t="e">
        <f>CONCATENATE(dados[[#This Row],[fator1]],dados[[#This Row],[fator5]],dados[[#This Row],[fator6]])</f>
        <v>#REF!</v>
      </c>
    </row>
    <row r="4282" spans="1:23">
      <c r="A4282" t="s">
        <v>17</v>
      </c>
      <c r="B4282">
        <v>589710</v>
      </c>
      <c r="C4282">
        <v>13</v>
      </c>
      <c r="D4282">
        <v>35</v>
      </c>
      <c r="E4282">
        <v>135</v>
      </c>
      <c r="F4282">
        <v>1</v>
      </c>
      <c r="G4282">
        <v>40</v>
      </c>
      <c r="H4282">
        <v>20</v>
      </c>
      <c r="I4282">
        <v>1</v>
      </c>
      <c r="J4282">
        <v>0</v>
      </c>
      <c r="K4282">
        <v>2.9660000000000002</v>
      </c>
      <c r="L4282">
        <v>3.74</v>
      </c>
      <c r="M4282">
        <v>88.52</v>
      </c>
      <c r="N4282">
        <v>9.9</v>
      </c>
      <c r="O4282">
        <v>1675</v>
      </c>
      <c r="P4282">
        <v>1297</v>
      </c>
      <c r="Q4282" s="5" t="e">
        <f>IF(AND(#REF!&gt;=table!$C$6,#REF!&lt;= table!$D$6),-1,IF(AND(#REF!&gt;=table!$E$6,#REF!&lt;=table!$F$6),1,0))</f>
        <v>#REF!</v>
      </c>
      <c r="R4282" s="5" t="e">
        <f>IF(AND(#REF!&gt;=table!$C$7,#REF!&lt;= table!$D$7),-1,IF(AND(#REF!&gt;=table!$E$7,#REF!&lt;=table!$F$7),1,0))</f>
        <v>#REF!</v>
      </c>
      <c r="S4282" s="5" t="e">
        <f>IF(AND(#REF!&gt;=table!$C$8,#REF!&lt;= table!$D$8),-1,IF(AND(#REF!&gt;=table!$E$8,#REF!&lt;=table!$F$8),1,0))</f>
        <v>#REF!</v>
      </c>
      <c r="T4282" s="5"/>
      <c r="U4282" s="5" t="e">
        <f>IF(AND(#REF!&gt;=table!$C$10,#REF!&lt;= table!$D$10),-1,IF(AND(#REF!&gt;=table!$E$10,#REF!&lt;=table!$F$10),1,0))</f>
        <v>#REF!</v>
      </c>
      <c r="V4282" s="5" t="e">
        <f>IF(AND(#REF!&gt;=table!$C$11,#REF!&lt;= table!$D$11),-1,IF(AND(#REF!&gt;=table!$E$11,#REF!&lt;=table!$F$11),1,0))</f>
        <v>#REF!</v>
      </c>
      <c r="W4282" s="5" t="e">
        <f>CONCATENATE(dados[[#This Row],[fator1]],dados[[#This Row],[fator5]],dados[[#This Row],[fator6]])</f>
        <v>#REF!</v>
      </c>
    </row>
    <row r="4283" spans="1:23">
      <c r="A4283" t="s">
        <v>17</v>
      </c>
      <c r="B4283">
        <v>589711</v>
      </c>
      <c r="C4283">
        <v>13</v>
      </c>
      <c r="D4283">
        <v>35</v>
      </c>
      <c r="E4283">
        <v>135</v>
      </c>
      <c r="F4283">
        <v>1</v>
      </c>
      <c r="G4283">
        <v>40</v>
      </c>
      <c r="H4283">
        <v>20</v>
      </c>
      <c r="I4283">
        <v>296</v>
      </c>
      <c r="J4283">
        <v>0</v>
      </c>
      <c r="K4283">
        <v>4.6684999999999999</v>
      </c>
      <c r="L4283">
        <v>5.7760000000000007</v>
      </c>
      <c r="M4283">
        <v>125.04950000000001</v>
      </c>
      <c r="N4283">
        <v>10.55</v>
      </c>
      <c r="O4283">
        <v>1673</v>
      </c>
      <c r="P4283">
        <v>853</v>
      </c>
      <c r="Q4283" s="5" t="e">
        <f>IF(AND(#REF!&gt;=table!$C$6,#REF!&lt;= table!$D$6),-1,IF(AND(#REF!&gt;=table!$E$6,#REF!&lt;=table!$F$6),1,0))</f>
        <v>#REF!</v>
      </c>
      <c r="R4283" s="5" t="e">
        <f>IF(AND(#REF!&gt;=table!$C$7,#REF!&lt;= table!$D$7),-1,IF(AND(#REF!&gt;=table!$E$7,#REF!&lt;=table!$F$7),1,0))</f>
        <v>#REF!</v>
      </c>
      <c r="S4283" s="5" t="e">
        <f>IF(AND(#REF!&gt;=table!$C$8,#REF!&lt;= table!$D$8),-1,IF(AND(#REF!&gt;=table!$E$8,#REF!&lt;=table!$F$8),1,0))</f>
        <v>#REF!</v>
      </c>
      <c r="T4283" s="5"/>
      <c r="U4283" s="5" t="e">
        <f>IF(AND(#REF!&gt;=table!$C$10,#REF!&lt;= table!$D$10),-1,IF(AND(#REF!&gt;=table!$E$10,#REF!&lt;=table!$F$10),1,0))</f>
        <v>#REF!</v>
      </c>
      <c r="V4283" s="5" t="e">
        <f>IF(AND(#REF!&gt;=table!$C$11,#REF!&lt;= table!$D$11),-1,IF(AND(#REF!&gt;=table!$E$11,#REF!&lt;=table!$F$11),1,0))</f>
        <v>#REF!</v>
      </c>
      <c r="W4283" s="5" t="e">
        <f>CONCATENATE(dados[[#This Row],[fator1]],dados[[#This Row],[fator5]],dados[[#This Row],[fator6]])</f>
        <v>#REF!</v>
      </c>
    </row>
    <row r="4284" spans="1:23">
      <c r="A4284" t="s">
        <v>17</v>
      </c>
      <c r="B4284">
        <v>589712</v>
      </c>
      <c r="C4284">
        <v>13</v>
      </c>
      <c r="D4284">
        <v>35</v>
      </c>
      <c r="E4284">
        <v>135</v>
      </c>
      <c r="F4284">
        <v>1</v>
      </c>
      <c r="G4284">
        <v>40</v>
      </c>
      <c r="H4284">
        <v>20</v>
      </c>
      <c r="I4284">
        <v>1885</v>
      </c>
      <c r="J4284">
        <v>0</v>
      </c>
      <c r="K4284">
        <v>3.8385000000000002</v>
      </c>
      <c r="L4284">
        <v>5.0695000000000006</v>
      </c>
      <c r="M4284">
        <v>120.1935</v>
      </c>
      <c r="N4284">
        <v>11.450000000000001</v>
      </c>
      <c r="O4284">
        <v>1655</v>
      </c>
      <c r="P4284">
        <v>810</v>
      </c>
      <c r="Q4284" s="5" t="e">
        <f>IF(AND(#REF!&gt;=table!$C$6,#REF!&lt;= table!$D$6),-1,IF(AND(#REF!&gt;=table!$E$6,#REF!&lt;=table!$F$6),1,0))</f>
        <v>#REF!</v>
      </c>
      <c r="R4284" s="5" t="e">
        <f>IF(AND(#REF!&gt;=table!$C$7,#REF!&lt;= table!$D$7),-1,IF(AND(#REF!&gt;=table!$E$7,#REF!&lt;=table!$F$7),1,0))</f>
        <v>#REF!</v>
      </c>
      <c r="S4284" s="5" t="e">
        <f>IF(AND(#REF!&gt;=table!$C$8,#REF!&lt;= table!$D$8),-1,IF(AND(#REF!&gt;=table!$E$8,#REF!&lt;=table!$F$8),1,0))</f>
        <v>#REF!</v>
      </c>
      <c r="T4284" s="5"/>
      <c r="U4284" s="5" t="e">
        <f>IF(AND(#REF!&gt;=table!$C$10,#REF!&lt;= table!$D$10),-1,IF(AND(#REF!&gt;=table!$E$10,#REF!&lt;=table!$F$10),1,0))</f>
        <v>#REF!</v>
      </c>
      <c r="V4284" s="5" t="e">
        <f>IF(AND(#REF!&gt;=table!$C$11,#REF!&lt;= table!$D$11),-1,IF(AND(#REF!&gt;=table!$E$11,#REF!&lt;=table!$F$11),1,0))</f>
        <v>#REF!</v>
      </c>
      <c r="W4284" s="5" t="e">
        <f>CONCATENATE(dados[[#This Row],[fator1]],dados[[#This Row],[fator5]],dados[[#This Row],[fator6]])</f>
        <v>#REF!</v>
      </c>
    </row>
    <row r="4285" spans="1:23">
      <c r="A4285" t="s">
        <v>17</v>
      </c>
      <c r="B4285">
        <v>589713</v>
      </c>
      <c r="C4285">
        <v>18</v>
      </c>
      <c r="D4285">
        <v>23</v>
      </c>
      <c r="E4285">
        <v>145</v>
      </c>
      <c r="F4285">
        <v>9</v>
      </c>
      <c r="G4285">
        <v>30</v>
      </c>
      <c r="H4285">
        <v>25</v>
      </c>
      <c r="I4285">
        <v>38</v>
      </c>
      <c r="J4285">
        <v>0</v>
      </c>
      <c r="K4285">
        <v>3.2730000000000001</v>
      </c>
      <c r="L4285">
        <v>4.9530000000000003</v>
      </c>
      <c r="M4285">
        <v>89.33850000000001</v>
      </c>
      <c r="N4285">
        <v>14.99</v>
      </c>
      <c r="O4285">
        <v>1678</v>
      </c>
      <c r="P4285">
        <v>994</v>
      </c>
      <c r="Q4285" s="5" t="e">
        <f>IF(AND(#REF!&gt;=table!$C$6,#REF!&lt;= table!$D$6),-1,IF(AND(#REF!&gt;=table!$E$6,#REF!&lt;=table!$F$6),1,0))</f>
        <v>#REF!</v>
      </c>
      <c r="R4285" s="5" t="e">
        <f>IF(AND(#REF!&gt;=table!$C$7,#REF!&lt;= table!$D$7),-1,IF(AND(#REF!&gt;=table!$E$7,#REF!&lt;=table!$F$7),1,0))</f>
        <v>#REF!</v>
      </c>
      <c r="S4285" s="5" t="e">
        <f>IF(AND(#REF!&gt;=table!$C$8,#REF!&lt;= table!$D$8),-1,IF(AND(#REF!&gt;=table!$E$8,#REF!&lt;=table!$F$8),1,0))</f>
        <v>#REF!</v>
      </c>
      <c r="T4285" s="5"/>
      <c r="U4285" s="5" t="e">
        <f>IF(AND(#REF!&gt;=table!$C$10,#REF!&lt;= table!$D$10),-1,IF(AND(#REF!&gt;=table!$E$10,#REF!&lt;=table!$F$10),1,0))</f>
        <v>#REF!</v>
      </c>
      <c r="V4285" s="5" t="e">
        <f>IF(AND(#REF!&gt;=table!$C$11,#REF!&lt;= table!$D$11),-1,IF(AND(#REF!&gt;=table!$E$11,#REF!&lt;=table!$F$11),1,0))</f>
        <v>#REF!</v>
      </c>
      <c r="W4285" s="5" t="e">
        <f>CONCATENATE(dados[[#This Row],[fator1]],dados[[#This Row],[fator5]],dados[[#This Row],[fator6]])</f>
        <v>#REF!</v>
      </c>
    </row>
    <row r="4286" spans="1:23">
      <c r="A4286" t="s">
        <v>17</v>
      </c>
      <c r="B4286">
        <v>589715</v>
      </c>
      <c r="C4286">
        <v>16</v>
      </c>
      <c r="D4286">
        <v>30</v>
      </c>
      <c r="E4286">
        <v>126</v>
      </c>
      <c r="F4286">
        <v>9</v>
      </c>
      <c r="G4286">
        <v>20</v>
      </c>
      <c r="H4286">
        <v>25</v>
      </c>
      <c r="I4286">
        <v>840</v>
      </c>
      <c r="J4286">
        <v>0</v>
      </c>
      <c r="K4286">
        <v>4.4489999999999998</v>
      </c>
      <c r="L4286">
        <v>7.077</v>
      </c>
      <c r="M4286">
        <v>176.2295</v>
      </c>
      <c r="N4286">
        <v>16.984999999999999</v>
      </c>
      <c r="O4286">
        <v>1662</v>
      </c>
      <c r="P4286">
        <v>905</v>
      </c>
      <c r="Q4286" s="5" t="e">
        <f>IF(AND(#REF!&gt;=table!$C$6,#REF!&lt;= table!$D$6),-1,IF(AND(#REF!&gt;=table!$E$6,#REF!&lt;=table!$F$6),1,0))</f>
        <v>#REF!</v>
      </c>
      <c r="R4286" s="5" t="e">
        <f>IF(AND(#REF!&gt;=table!$C$7,#REF!&lt;= table!$D$7),-1,IF(AND(#REF!&gt;=table!$E$7,#REF!&lt;=table!$F$7),1,0))</f>
        <v>#REF!</v>
      </c>
      <c r="S4286" s="5" t="e">
        <f>IF(AND(#REF!&gt;=table!$C$8,#REF!&lt;= table!$D$8),-1,IF(AND(#REF!&gt;=table!$E$8,#REF!&lt;=table!$F$8),1,0))</f>
        <v>#REF!</v>
      </c>
      <c r="T4286" s="5"/>
      <c r="U4286" s="5" t="e">
        <f>IF(AND(#REF!&gt;=table!$C$10,#REF!&lt;= table!$D$10),-1,IF(AND(#REF!&gt;=table!$E$10,#REF!&lt;=table!$F$10),1,0))</f>
        <v>#REF!</v>
      </c>
      <c r="V4286" s="5" t="e">
        <f>IF(AND(#REF!&gt;=table!$C$11,#REF!&lt;= table!$D$11),-1,IF(AND(#REF!&gt;=table!$E$11,#REF!&lt;=table!$F$11),1,0))</f>
        <v>#REF!</v>
      </c>
      <c r="W4286" s="5" t="e">
        <f>CONCATENATE(dados[[#This Row],[fator1]],dados[[#This Row],[fator5]],dados[[#This Row],[fator6]])</f>
        <v>#REF!</v>
      </c>
    </row>
    <row r="4287" spans="1:23">
      <c r="A4287" t="s">
        <v>17</v>
      </c>
      <c r="B4287">
        <v>589716</v>
      </c>
      <c r="C4287">
        <v>16</v>
      </c>
      <c r="D4287">
        <v>30</v>
      </c>
      <c r="E4287">
        <v>126</v>
      </c>
      <c r="F4287">
        <v>9</v>
      </c>
      <c r="G4287">
        <v>20</v>
      </c>
      <c r="H4287">
        <v>25</v>
      </c>
      <c r="I4287">
        <v>1836</v>
      </c>
      <c r="J4287">
        <v>0</v>
      </c>
      <c r="K4287">
        <v>4.6965000000000003</v>
      </c>
      <c r="L4287">
        <v>6.6480000000000006</v>
      </c>
      <c r="M4287">
        <v>115.12400000000001</v>
      </c>
      <c r="N4287">
        <v>17.78</v>
      </c>
      <c r="O4287">
        <v>1679</v>
      </c>
      <c r="P4287">
        <v>924</v>
      </c>
      <c r="Q4287" s="5" t="e">
        <f>IF(AND(#REF!&gt;=table!$C$6,#REF!&lt;= table!$D$6),-1,IF(AND(#REF!&gt;=table!$E$6,#REF!&lt;=table!$F$6),1,0))</f>
        <v>#REF!</v>
      </c>
      <c r="R4287" s="5" t="e">
        <f>IF(AND(#REF!&gt;=table!$C$7,#REF!&lt;= table!$D$7),-1,IF(AND(#REF!&gt;=table!$E$7,#REF!&lt;=table!$F$7),1,0))</f>
        <v>#REF!</v>
      </c>
      <c r="S4287" s="5" t="e">
        <f>IF(AND(#REF!&gt;=table!$C$8,#REF!&lt;= table!$D$8),-1,IF(AND(#REF!&gt;=table!$E$8,#REF!&lt;=table!$F$8),1,0))</f>
        <v>#REF!</v>
      </c>
      <c r="T4287" s="5"/>
      <c r="U4287" s="5" t="e">
        <f>IF(AND(#REF!&gt;=table!$C$10,#REF!&lt;= table!$D$10),-1,IF(AND(#REF!&gt;=table!$E$10,#REF!&lt;=table!$F$10),1,0))</f>
        <v>#REF!</v>
      </c>
      <c r="V4287" s="5" t="e">
        <f>IF(AND(#REF!&gt;=table!$C$11,#REF!&lt;= table!$D$11),-1,IF(AND(#REF!&gt;=table!$E$11,#REF!&lt;=table!$F$11),1,0))</f>
        <v>#REF!</v>
      </c>
      <c r="W4287" s="5" t="e">
        <f>CONCATENATE(dados[[#This Row],[fator1]],dados[[#This Row],[fator5]],dados[[#This Row],[fator6]])</f>
        <v>#REF!</v>
      </c>
    </row>
    <row r="4288" spans="1:23">
      <c r="A4288" t="s">
        <v>17</v>
      </c>
      <c r="B4288">
        <v>589717</v>
      </c>
      <c r="C4288">
        <v>16</v>
      </c>
      <c r="D4288">
        <v>30</v>
      </c>
      <c r="E4288">
        <v>116</v>
      </c>
      <c r="F4288">
        <v>6</v>
      </c>
      <c r="G4288">
        <v>20</v>
      </c>
      <c r="H4288">
        <v>25</v>
      </c>
      <c r="I4288">
        <v>505</v>
      </c>
      <c r="J4288">
        <v>0</v>
      </c>
      <c r="K4288">
        <v>7.1915000000000004</v>
      </c>
      <c r="L4288">
        <v>11.138500000000001</v>
      </c>
      <c r="M4288">
        <v>96.40100000000001</v>
      </c>
      <c r="N4288">
        <v>16.490000000000002</v>
      </c>
      <c r="O4288">
        <v>1671</v>
      </c>
      <c r="P4288">
        <v>576</v>
      </c>
      <c r="Q4288" s="5" t="e">
        <f>IF(AND(#REF!&gt;=table!$C$6,#REF!&lt;= table!$D$6),-1,IF(AND(#REF!&gt;=table!$E$6,#REF!&lt;=table!$F$6),1,0))</f>
        <v>#REF!</v>
      </c>
      <c r="R4288" s="5" t="e">
        <f>IF(AND(#REF!&gt;=table!$C$7,#REF!&lt;= table!$D$7),-1,IF(AND(#REF!&gt;=table!$E$7,#REF!&lt;=table!$F$7),1,0))</f>
        <v>#REF!</v>
      </c>
      <c r="S4288" s="5" t="e">
        <f>IF(AND(#REF!&gt;=table!$C$8,#REF!&lt;= table!$D$8),-1,IF(AND(#REF!&gt;=table!$E$8,#REF!&lt;=table!$F$8),1,0))</f>
        <v>#REF!</v>
      </c>
      <c r="T4288" s="5"/>
      <c r="U4288" s="5" t="e">
        <f>IF(AND(#REF!&gt;=table!$C$10,#REF!&lt;= table!$D$10),-1,IF(AND(#REF!&gt;=table!$E$10,#REF!&lt;=table!$F$10),1,0))</f>
        <v>#REF!</v>
      </c>
      <c r="V4288" s="5" t="e">
        <f>IF(AND(#REF!&gt;=table!$C$11,#REF!&lt;= table!$D$11),-1,IF(AND(#REF!&gt;=table!$E$11,#REF!&lt;=table!$F$11),1,0))</f>
        <v>#REF!</v>
      </c>
      <c r="W4288" s="5" t="e">
        <f>CONCATENATE(dados[[#This Row],[fator1]],dados[[#This Row],[fator5]],dados[[#This Row],[fator6]])</f>
        <v>#REF!</v>
      </c>
    </row>
    <row r="4289" spans="1:23">
      <c r="A4289" t="s">
        <v>17</v>
      </c>
      <c r="B4289">
        <v>589718</v>
      </c>
      <c r="C4289">
        <v>16</v>
      </c>
      <c r="D4289">
        <v>30</v>
      </c>
      <c r="E4289">
        <v>106</v>
      </c>
      <c r="F4289">
        <v>9</v>
      </c>
      <c r="G4289">
        <v>20</v>
      </c>
      <c r="H4289">
        <v>25</v>
      </c>
      <c r="I4289">
        <v>0</v>
      </c>
      <c r="J4289">
        <v>0</v>
      </c>
      <c r="K4289">
        <v>5.9630000000000001</v>
      </c>
      <c r="L4289">
        <v>10.573</v>
      </c>
      <c r="M4289">
        <v>96.811500000000009</v>
      </c>
      <c r="N4289">
        <v>19.59</v>
      </c>
      <c r="O4289">
        <v>1668</v>
      </c>
      <c r="P4289">
        <v>640</v>
      </c>
      <c r="Q4289" s="5" t="e">
        <f>IF(AND(#REF!&gt;=table!$C$6,#REF!&lt;= table!$D$6),-1,IF(AND(#REF!&gt;=table!$E$6,#REF!&lt;=table!$F$6),1,0))</f>
        <v>#REF!</v>
      </c>
      <c r="R4289" s="5" t="e">
        <f>IF(AND(#REF!&gt;=table!$C$7,#REF!&lt;= table!$D$7),-1,IF(AND(#REF!&gt;=table!$E$7,#REF!&lt;=table!$F$7),1,0))</f>
        <v>#REF!</v>
      </c>
      <c r="S4289" s="5" t="e">
        <f>IF(AND(#REF!&gt;=table!$C$8,#REF!&lt;= table!$D$8),-1,IF(AND(#REF!&gt;=table!$E$8,#REF!&lt;=table!$F$8),1,0))</f>
        <v>#REF!</v>
      </c>
      <c r="T4289" s="5"/>
      <c r="U4289" s="5" t="e">
        <f>IF(AND(#REF!&gt;=table!$C$10,#REF!&lt;= table!$D$10),-1,IF(AND(#REF!&gt;=table!$E$10,#REF!&lt;=table!$F$10),1,0))</f>
        <v>#REF!</v>
      </c>
      <c r="V4289" s="5" t="e">
        <f>IF(AND(#REF!&gt;=table!$C$11,#REF!&lt;= table!$D$11),-1,IF(AND(#REF!&gt;=table!$E$11,#REF!&lt;=table!$F$11),1,0))</f>
        <v>#REF!</v>
      </c>
      <c r="W4289" s="5" t="e">
        <f>CONCATENATE(dados[[#This Row],[fator1]],dados[[#This Row],[fator5]],dados[[#This Row],[fator6]])</f>
        <v>#REF!</v>
      </c>
    </row>
    <row r="4290" spans="1:23">
      <c r="A4290" t="s">
        <v>17</v>
      </c>
      <c r="B4290">
        <v>589719</v>
      </c>
      <c r="C4290">
        <v>18</v>
      </c>
      <c r="D4290">
        <v>23</v>
      </c>
      <c r="E4290">
        <v>145</v>
      </c>
      <c r="F4290">
        <v>9</v>
      </c>
      <c r="G4290">
        <v>30</v>
      </c>
      <c r="H4290">
        <v>25</v>
      </c>
      <c r="I4290">
        <v>6</v>
      </c>
      <c r="J4290">
        <v>0</v>
      </c>
      <c r="K4290">
        <v>4.9155000000000006</v>
      </c>
      <c r="L4290">
        <v>9.0760000000000005</v>
      </c>
      <c r="M4290">
        <v>124.248</v>
      </c>
      <c r="N4290">
        <v>12.950000000000001</v>
      </c>
      <c r="O4290">
        <v>1657</v>
      </c>
      <c r="P4290">
        <v>694</v>
      </c>
      <c r="Q4290" s="5" t="e">
        <f>IF(AND(#REF!&gt;=table!$C$6,#REF!&lt;= table!$D$6),-1,IF(AND(#REF!&gt;=table!$E$6,#REF!&lt;=table!$F$6),1,0))</f>
        <v>#REF!</v>
      </c>
      <c r="R4290" s="5" t="e">
        <f>IF(AND(#REF!&gt;=table!$C$7,#REF!&lt;= table!$D$7),-1,IF(AND(#REF!&gt;=table!$E$7,#REF!&lt;=table!$F$7),1,0))</f>
        <v>#REF!</v>
      </c>
      <c r="S4290" s="5" t="e">
        <f>IF(AND(#REF!&gt;=table!$C$8,#REF!&lt;= table!$D$8),-1,IF(AND(#REF!&gt;=table!$E$8,#REF!&lt;=table!$F$8),1,0))</f>
        <v>#REF!</v>
      </c>
      <c r="T4290" s="5"/>
      <c r="U4290" s="5" t="e">
        <f>IF(AND(#REF!&gt;=table!$C$10,#REF!&lt;= table!$D$10),-1,IF(AND(#REF!&gt;=table!$E$10,#REF!&lt;=table!$F$10),1,0))</f>
        <v>#REF!</v>
      </c>
      <c r="V4290" s="5" t="e">
        <f>IF(AND(#REF!&gt;=table!$C$11,#REF!&lt;= table!$D$11),-1,IF(AND(#REF!&gt;=table!$E$11,#REF!&lt;=table!$F$11),1,0))</f>
        <v>#REF!</v>
      </c>
      <c r="W4290" s="5" t="e">
        <f>CONCATENATE(dados[[#This Row],[fator1]],dados[[#This Row],[fator5]],dados[[#This Row],[fator6]])</f>
        <v>#REF!</v>
      </c>
    </row>
    <row r="4291" spans="1:23">
      <c r="A4291" t="s">
        <v>17</v>
      </c>
      <c r="B4291">
        <v>589722</v>
      </c>
      <c r="C4291">
        <v>4</v>
      </c>
      <c r="D4291">
        <v>25</v>
      </c>
      <c r="E4291">
        <v>21</v>
      </c>
      <c r="F4291">
        <v>10</v>
      </c>
      <c r="G4291">
        <v>110</v>
      </c>
      <c r="H4291">
        <v>50</v>
      </c>
      <c r="I4291">
        <v>7</v>
      </c>
      <c r="J4291">
        <v>0</v>
      </c>
      <c r="K4291">
        <v>3.6440000000000001</v>
      </c>
      <c r="L4291">
        <v>5.657</v>
      </c>
      <c r="M4291">
        <v>15.0685</v>
      </c>
      <c r="N4291">
        <v>26.37</v>
      </c>
      <c r="O4291">
        <v>1669</v>
      </c>
      <c r="P4291">
        <v>0</v>
      </c>
      <c r="Q4291" s="5" t="e">
        <f>IF(AND(#REF!&gt;=table!$C$6,#REF!&lt;= table!$D$6),-1,IF(AND(#REF!&gt;=table!$E$6,#REF!&lt;=table!$F$6),1,0))</f>
        <v>#REF!</v>
      </c>
      <c r="R4291" s="5" t="e">
        <f>IF(AND(#REF!&gt;=table!$C$7,#REF!&lt;= table!$D$7),-1,IF(AND(#REF!&gt;=table!$E$7,#REF!&lt;=table!$F$7),1,0))</f>
        <v>#REF!</v>
      </c>
      <c r="S4291" s="5" t="e">
        <f>IF(AND(#REF!&gt;=table!$C$8,#REF!&lt;= table!$D$8),-1,IF(AND(#REF!&gt;=table!$E$8,#REF!&lt;=table!$F$8),1,0))</f>
        <v>#REF!</v>
      </c>
      <c r="T4291" s="5"/>
      <c r="U4291" s="5" t="e">
        <f>IF(AND(#REF!&gt;=table!$C$10,#REF!&lt;= table!$D$10),-1,IF(AND(#REF!&gt;=table!$E$10,#REF!&lt;=table!$F$10),1,0))</f>
        <v>#REF!</v>
      </c>
      <c r="V4291" s="5" t="e">
        <f>IF(AND(#REF!&gt;=table!$C$11,#REF!&lt;= table!$D$11),-1,IF(AND(#REF!&gt;=table!$E$11,#REF!&lt;=table!$F$11),1,0))</f>
        <v>#REF!</v>
      </c>
      <c r="W4291" s="5" t="e">
        <f>CONCATENATE(dados[[#This Row],[fator1]],dados[[#This Row],[fator5]],dados[[#This Row],[fator6]])</f>
        <v>#REF!</v>
      </c>
    </row>
    <row r="4292" spans="1:23">
      <c r="A4292" t="s">
        <v>17</v>
      </c>
      <c r="B4292">
        <v>589724</v>
      </c>
      <c r="C4292">
        <v>4</v>
      </c>
      <c r="D4292">
        <v>25</v>
      </c>
      <c r="E4292">
        <v>21</v>
      </c>
      <c r="F4292">
        <v>10</v>
      </c>
      <c r="G4292">
        <v>110</v>
      </c>
      <c r="H4292">
        <v>50</v>
      </c>
      <c r="I4292">
        <v>277</v>
      </c>
      <c r="J4292">
        <v>0</v>
      </c>
      <c r="K4292">
        <v>5.7755000000000001</v>
      </c>
      <c r="L4292">
        <v>8.2085000000000008</v>
      </c>
      <c r="M4292">
        <v>16.760000000000002</v>
      </c>
      <c r="N4292">
        <v>25.32</v>
      </c>
      <c r="O4292">
        <v>1656</v>
      </c>
      <c r="P4292">
        <v>705</v>
      </c>
      <c r="Q4292" s="5" t="e">
        <f>IF(AND(#REF!&gt;=table!$C$6,#REF!&lt;= table!$D$6),-1,IF(AND(#REF!&gt;=table!$E$6,#REF!&lt;=table!$F$6),1,0))</f>
        <v>#REF!</v>
      </c>
      <c r="R4292" s="5" t="e">
        <f>IF(AND(#REF!&gt;=table!$C$7,#REF!&lt;= table!$D$7),-1,IF(AND(#REF!&gt;=table!$E$7,#REF!&lt;=table!$F$7),1,0))</f>
        <v>#REF!</v>
      </c>
      <c r="S4292" s="5" t="e">
        <f>IF(AND(#REF!&gt;=table!$C$8,#REF!&lt;= table!$D$8),-1,IF(AND(#REF!&gt;=table!$E$8,#REF!&lt;=table!$F$8),1,0))</f>
        <v>#REF!</v>
      </c>
      <c r="T4292" s="5"/>
      <c r="U4292" s="5" t="e">
        <f>IF(AND(#REF!&gt;=table!$C$10,#REF!&lt;= table!$D$10),-1,IF(AND(#REF!&gt;=table!$E$10,#REF!&lt;=table!$F$10),1,0))</f>
        <v>#REF!</v>
      </c>
      <c r="V4292" s="5" t="e">
        <f>IF(AND(#REF!&gt;=table!$C$11,#REF!&lt;= table!$D$11),-1,IF(AND(#REF!&gt;=table!$E$11,#REF!&lt;=table!$F$11),1,0))</f>
        <v>#REF!</v>
      </c>
      <c r="W4292" s="5" t="e">
        <f>CONCATENATE(dados[[#This Row],[fator1]],dados[[#This Row],[fator5]],dados[[#This Row],[fator6]])</f>
        <v>#REF!</v>
      </c>
    </row>
    <row r="4293" spans="1:23">
      <c r="A4293" t="s">
        <v>17</v>
      </c>
      <c r="B4293">
        <v>589727</v>
      </c>
      <c r="C4293">
        <v>46</v>
      </c>
      <c r="D4293">
        <v>18</v>
      </c>
      <c r="E4293">
        <v>66</v>
      </c>
      <c r="F4293">
        <v>10</v>
      </c>
      <c r="G4293">
        <v>20</v>
      </c>
      <c r="H4293">
        <v>23</v>
      </c>
      <c r="I4293">
        <v>625</v>
      </c>
      <c r="J4293">
        <v>0</v>
      </c>
      <c r="K4293">
        <v>4.1123000000000003</v>
      </c>
      <c r="L4293">
        <v>9.91</v>
      </c>
      <c r="M4293">
        <v>59.308</v>
      </c>
      <c r="N4293">
        <v>21.795000000000002</v>
      </c>
      <c r="O4293">
        <v>1679</v>
      </c>
      <c r="P4293">
        <v>940</v>
      </c>
      <c r="Q4293" s="5" t="e">
        <f>IF(AND(#REF!&gt;=table!$C$6,#REF!&lt;= table!$D$6),-1,IF(AND(#REF!&gt;=table!$E$6,#REF!&lt;=table!$F$6),1,0))</f>
        <v>#REF!</v>
      </c>
      <c r="R4293" s="5" t="e">
        <f>IF(AND(#REF!&gt;=table!$C$7,#REF!&lt;= table!$D$7),-1,IF(AND(#REF!&gt;=table!$E$7,#REF!&lt;=table!$F$7),1,0))</f>
        <v>#REF!</v>
      </c>
      <c r="S4293" s="5" t="e">
        <f>IF(AND(#REF!&gt;=table!$C$8,#REF!&lt;= table!$D$8),-1,IF(AND(#REF!&gt;=table!$E$8,#REF!&lt;=table!$F$8),1,0))</f>
        <v>#REF!</v>
      </c>
      <c r="T4293" s="5"/>
      <c r="U4293" s="5" t="e">
        <f>IF(AND(#REF!&gt;=table!$C$10,#REF!&lt;= table!$D$10),-1,IF(AND(#REF!&gt;=table!$E$10,#REF!&lt;=table!$F$10),1,0))</f>
        <v>#REF!</v>
      </c>
      <c r="V4293" s="5" t="e">
        <f>IF(AND(#REF!&gt;=table!$C$11,#REF!&lt;= table!$D$11),-1,IF(AND(#REF!&gt;=table!$E$11,#REF!&lt;=table!$F$11),1,0))</f>
        <v>#REF!</v>
      </c>
      <c r="W4293" s="5" t="e">
        <f>CONCATENATE(dados[[#This Row],[fator1]],dados[[#This Row],[fator5]],dados[[#This Row],[fator6]])</f>
        <v>#REF!</v>
      </c>
    </row>
    <row r="4294" spans="1:23">
      <c r="A4294" t="s">
        <v>16</v>
      </c>
      <c r="B4294">
        <v>589730</v>
      </c>
      <c r="C4294">
        <v>0.15</v>
      </c>
      <c r="D4294">
        <v>40</v>
      </c>
      <c r="E4294">
        <v>10</v>
      </c>
      <c r="F4294">
        <v>15</v>
      </c>
      <c r="G4294">
        <v>0</v>
      </c>
      <c r="H4294">
        <v>15</v>
      </c>
      <c r="I4294">
        <v>690</v>
      </c>
      <c r="J4294">
        <v>0</v>
      </c>
      <c r="K4294">
        <v>6.4210000000000003</v>
      </c>
      <c r="L4294">
        <v>8.8484999999999996</v>
      </c>
      <c r="M4294">
        <v>8.23</v>
      </c>
      <c r="N4294">
        <v>9.3650000000000002</v>
      </c>
      <c r="O4294">
        <v>1671</v>
      </c>
      <c r="P4294">
        <v>0</v>
      </c>
      <c r="Q4294" s="5" t="e">
        <f>IF(AND(#REF!&gt;=table!$C$6,#REF!&lt;= table!$D$6),-1,IF(AND(#REF!&gt;=table!$E$6,#REF!&lt;=table!$F$6),1,0))</f>
        <v>#REF!</v>
      </c>
      <c r="R4294" s="5" t="e">
        <f>IF(AND(#REF!&gt;=table!$C$7,#REF!&lt;= table!$D$7),-1,IF(AND(#REF!&gt;=table!$E$7,#REF!&lt;=table!$F$7),1,0))</f>
        <v>#REF!</v>
      </c>
      <c r="S4294" s="5" t="e">
        <f>IF(AND(#REF!&gt;=table!$C$8,#REF!&lt;= table!$D$8),-1,IF(AND(#REF!&gt;=table!$E$8,#REF!&lt;=table!$F$8),1,0))</f>
        <v>#REF!</v>
      </c>
      <c r="T4294" s="5"/>
      <c r="U4294" s="5" t="e">
        <f>IF(AND(#REF!&gt;=table!$C$10,#REF!&lt;= table!$D$10),-1,IF(AND(#REF!&gt;=table!$E$10,#REF!&lt;=table!$F$10),1,0))</f>
        <v>#REF!</v>
      </c>
      <c r="V4294" s="5" t="e">
        <f>IF(AND(#REF!&gt;=table!$C$11,#REF!&lt;= table!$D$11),-1,IF(AND(#REF!&gt;=table!$E$11,#REF!&lt;=table!$F$11),1,0))</f>
        <v>#REF!</v>
      </c>
      <c r="W4294" s="5" t="e">
        <f>CONCATENATE(dados[[#This Row],[fator1]],dados[[#This Row],[fator5]],dados[[#This Row],[fator6]])</f>
        <v>#REF!</v>
      </c>
    </row>
    <row r="4295" spans="1:23">
      <c r="A4295" t="s">
        <v>17</v>
      </c>
      <c r="B4295">
        <v>589733</v>
      </c>
      <c r="C4295">
        <v>30</v>
      </c>
      <c r="D4295">
        <v>18</v>
      </c>
      <c r="E4295">
        <v>66</v>
      </c>
      <c r="F4295">
        <v>6</v>
      </c>
      <c r="G4295">
        <v>20</v>
      </c>
      <c r="H4295">
        <v>25</v>
      </c>
      <c r="I4295">
        <v>40</v>
      </c>
      <c r="J4295">
        <v>0</v>
      </c>
      <c r="K4295">
        <v>9.9039999999999999</v>
      </c>
      <c r="L4295">
        <v>11.278</v>
      </c>
      <c r="M4295">
        <v>56.641000000000005</v>
      </c>
      <c r="N4295">
        <v>16.440000000000001</v>
      </c>
      <c r="O4295">
        <v>1657</v>
      </c>
      <c r="P4295">
        <v>0</v>
      </c>
      <c r="Q4295" s="5" t="e">
        <f>IF(AND(#REF!&gt;=table!$C$6,#REF!&lt;= table!$D$6),-1,IF(AND(#REF!&gt;=table!$E$6,#REF!&lt;=table!$F$6),1,0))</f>
        <v>#REF!</v>
      </c>
      <c r="R4295" s="5" t="e">
        <f>IF(AND(#REF!&gt;=table!$C$7,#REF!&lt;= table!$D$7),-1,IF(AND(#REF!&gt;=table!$E$7,#REF!&lt;=table!$F$7),1,0))</f>
        <v>#REF!</v>
      </c>
      <c r="S4295" s="5" t="e">
        <f>IF(AND(#REF!&gt;=table!$C$8,#REF!&lt;= table!$D$8),-1,IF(AND(#REF!&gt;=table!$E$8,#REF!&lt;=table!$F$8),1,0))</f>
        <v>#REF!</v>
      </c>
      <c r="T4295" s="5"/>
      <c r="U4295" s="5" t="e">
        <f>IF(AND(#REF!&gt;=table!$C$10,#REF!&lt;= table!$D$10),-1,IF(AND(#REF!&gt;=table!$E$10,#REF!&lt;=table!$F$10),1,0))</f>
        <v>#REF!</v>
      </c>
      <c r="V4295" s="5" t="e">
        <f>IF(AND(#REF!&gt;=table!$C$11,#REF!&lt;= table!$D$11),-1,IF(AND(#REF!&gt;=table!$E$11,#REF!&lt;=table!$F$11),1,0))</f>
        <v>#REF!</v>
      </c>
      <c r="W4295" s="5" t="e">
        <f>CONCATENATE(dados[[#This Row],[fator1]],dados[[#This Row],[fator5]],dados[[#This Row],[fator6]])</f>
        <v>#REF!</v>
      </c>
    </row>
    <row r="4296" spans="1:23">
      <c r="A4296" t="s">
        <v>16</v>
      </c>
      <c r="B4296">
        <v>589735</v>
      </c>
      <c r="C4296">
        <v>0.15</v>
      </c>
      <c r="D4296">
        <v>40</v>
      </c>
      <c r="E4296">
        <v>10</v>
      </c>
      <c r="F4296">
        <v>15</v>
      </c>
      <c r="G4296">
        <v>0</v>
      </c>
      <c r="H4296">
        <v>15</v>
      </c>
      <c r="I4296">
        <v>787</v>
      </c>
      <c r="J4296">
        <v>0</v>
      </c>
      <c r="K4296">
        <v>5.3425000000000002</v>
      </c>
      <c r="L4296">
        <v>8.7780000000000005</v>
      </c>
      <c r="M4296">
        <v>7.9980000000000002</v>
      </c>
      <c r="N4296">
        <v>11.405000000000001</v>
      </c>
      <c r="O4296">
        <v>1681</v>
      </c>
      <c r="P4296">
        <v>0</v>
      </c>
      <c r="Q4296" s="5" t="e">
        <f>IF(AND(#REF!&gt;=table!$C$6,#REF!&lt;= table!$D$6),-1,IF(AND(#REF!&gt;=table!$E$6,#REF!&lt;=table!$F$6),1,0))</f>
        <v>#REF!</v>
      </c>
      <c r="R4296" s="5" t="e">
        <f>IF(AND(#REF!&gt;=table!$C$7,#REF!&lt;= table!$D$7),-1,IF(AND(#REF!&gt;=table!$E$7,#REF!&lt;=table!$F$7),1,0))</f>
        <v>#REF!</v>
      </c>
      <c r="S4296" s="5" t="e">
        <f>IF(AND(#REF!&gt;=table!$C$8,#REF!&lt;= table!$D$8),-1,IF(AND(#REF!&gt;=table!$E$8,#REF!&lt;=table!$F$8),1,0))</f>
        <v>#REF!</v>
      </c>
      <c r="T4296" s="5"/>
      <c r="U4296" s="5" t="e">
        <f>IF(AND(#REF!&gt;=table!$C$10,#REF!&lt;= table!$D$10),-1,IF(AND(#REF!&gt;=table!$E$10,#REF!&lt;=table!$F$10),1,0))</f>
        <v>#REF!</v>
      </c>
      <c r="V4296" s="5" t="e">
        <f>IF(AND(#REF!&gt;=table!$C$11,#REF!&lt;= table!$D$11),-1,IF(AND(#REF!&gt;=table!$E$11,#REF!&lt;=table!$F$11),1,0))</f>
        <v>#REF!</v>
      </c>
      <c r="W4296" s="5" t="e">
        <f>CONCATENATE(dados[[#This Row],[fator1]],dados[[#This Row],[fator5]],dados[[#This Row],[fator6]])</f>
        <v>#REF!</v>
      </c>
    </row>
    <row r="4297" spans="1:23">
      <c r="A4297" t="s">
        <v>16</v>
      </c>
      <c r="B4297">
        <v>589738</v>
      </c>
      <c r="C4297">
        <v>0.15</v>
      </c>
      <c r="D4297">
        <v>40</v>
      </c>
      <c r="E4297">
        <v>10</v>
      </c>
      <c r="F4297">
        <v>15</v>
      </c>
      <c r="G4297">
        <v>0</v>
      </c>
      <c r="H4297">
        <v>15</v>
      </c>
      <c r="I4297">
        <v>1026</v>
      </c>
      <c r="J4297">
        <v>0</v>
      </c>
      <c r="K4297">
        <v>3.7915000000000001</v>
      </c>
      <c r="L4297">
        <v>10.47</v>
      </c>
      <c r="M4297">
        <v>7.5190000000000001</v>
      </c>
      <c r="N4297">
        <v>15.685</v>
      </c>
      <c r="O4297">
        <v>1726</v>
      </c>
      <c r="P4297">
        <v>1172</v>
      </c>
      <c r="Q4297" s="5" t="e">
        <f>IF(AND(#REF!&gt;=table!$C$6,#REF!&lt;= table!$D$6),-1,IF(AND(#REF!&gt;=table!$E$6,#REF!&lt;=table!$F$6),1,0))</f>
        <v>#REF!</v>
      </c>
      <c r="R4297" s="5" t="e">
        <f>IF(AND(#REF!&gt;=table!$C$7,#REF!&lt;= table!$D$7),-1,IF(AND(#REF!&gt;=table!$E$7,#REF!&lt;=table!$F$7),1,0))</f>
        <v>#REF!</v>
      </c>
      <c r="S4297" s="5" t="e">
        <f>IF(AND(#REF!&gt;=table!$C$8,#REF!&lt;= table!$D$8),-1,IF(AND(#REF!&gt;=table!$E$8,#REF!&lt;=table!$F$8),1,0))</f>
        <v>#REF!</v>
      </c>
      <c r="T4297" s="5"/>
      <c r="U4297" s="5" t="e">
        <f>IF(AND(#REF!&gt;=table!$C$10,#REF!&lt;= table!$D$10),-1,IF(AND(#REF!&gt;=table!$E$10,#REF!&lt;=table!$F$10),1,0))</f>
        <v>#REF!</v>
      </c>
      <c r="V4297" s="5" t="e">
        <f>IF(AND(#REF!&gt;=table!$C$11,#REF!&lt;= table!$D$11),-1,IF(AND(#REF!&gt;=table!$E$11,#REF!&lt;=table!$F$11),1,0))</f>
        <v>#REF!</v>
      </c>
      <c r="W4297" s="5" t="e">
        <f>CONCATENATE(dados[[#This Row],[fator1]],dados[[#This Row],[fator5]],dados[[#This Row],[fator6]])</f>
        <v>#REF!</v>
      </c>
    </row>
    <row r="4298" spans="1:23">
      <c r="A4298" t="s">
        <v>17</v>
      </c>
      <c r="B4298">
        <v>589741</v>
      </c>
      <c r="C4298">
        <v>10</v>
      </c>
      <c r="D4298">
        <v>25</v>
      </c>
      <c r="E4298">
        <v>40</v>
      </c>
      <c r="F4298">
        <v>10</v>
      </c>
      <c r="G4298">
        <v>110</v>
      </c>
      <c r="H4298">
        <v>50</v>
      </c>
      <c r="I4298">
        <v>29</v>
      </c>
      <c r="J4298">
        <v>0</v>
      </c>
      <c r="K4298">
        <v>4.3250000000000002</v>
      </c>
      <c r="L4298">
        <v>8.5470000000000006</v>
      </c>
      <c r="M4298">
        <v>37.802</v>
      </c>
      <c r="N4298">
        <v>28.900000000000002</v>
      </c>
      <c r="O4298">
        <v>1664</v>
      </c>
      <c r="P4298">
        <v>885</v>
      </c>
      <c r="Q4298" s="5" t="e">
        <f>IF(AND(#REF!&gt;=table!$C$6,#REF!&lt;= table!$D$6),-1,IF(AND(#REF!&gt;=table!$E$6,#REF!&lt;=table!$F$6),1,0))</f>
        <v>#REF!</v>
      </c>
      <c r="R4298" s="5" t="e">
        <f>IF(AND(#REF!&gt;=table!$C$7,#REF!&lt;= table!$D$7),-1,IF(AND(#REF!&gt;=table!$E$7,#REF!&lt;=table!$F$7),1,0))</f>
        <v>#REF!</v>
      </c>
      <c r="S4298" s="5" t="e">
        <f>IF(AND(#REF!&gt;=table!$C$8,#REF!&lt;= table!$D$8),-1,IF(AND(#REF!&gt;=table!$E$8,#REF!&lt;=table!$F$8),1,0))</f>
        <v>#REF!</v>
      </c>
      <c r="T4298" s="5"/>
      <c r="U4298" s="5" t="e">
        <f>IF(AND(#REF!&gt;=table!$C$10,#REF!&lt;= table!$D$10),-1,IF(AND(#REF!&gt;=table!$E$10,#REF!&lt;=table!$F$10),1,0))</f>
        <v>#REF!</v>
      </c>
      <c r="V4298" s="5" t="e">
        <f>IF(AND(#REF!&gt;=table!$C$11,#REF!&lt;= table!$D$11),-1,IF(AND(#REF!&gt;=table!$E$11,#REF!&lt;=table!$F$11),1,0))</f>
        <v>#REF!</v>
      </c>
      <c r="W4298" s="5" t="e">
        <f>CONCATENATE(dados[[#This Row],[fator1]],dados[[#This Row],[fator5]],dados[[#This Row],[fator6]])</f>
        <v>#REF!</v>
      </c>
    </row>
    <row r="4299" spans="1:23">
      <c r="A4299" t="s">
        <v>17</v>
      </c>
      <c r="B4299">
        <v>589742</v>
      </c>
      <c r="C4299">
        <v>6</v>
      </c>
      <c r="D4299">
        <v>25</v>
      </c>
      <c r="E4299">
        <v>36</v>
      </c>
      <c r="F4299">
        <v>10</v>
      </c>
      <c r="G4299">
        <v>110</v>
      </c>
      <c r="H4299">
        <v>50</v>
      </c>
      <c r="I4299">
        <v>0</v>
      </c>
      <c r="J4299">
        <v>0</v>
      </c>
      <c r="K4299">
        <v>5.6545000000000005</v>
      </c>
      <c r="L4299">
        <v>6.7505000000000006</v>
      </c>
      <c r="M4299">
        <v>19.080000000000002</v>
      </c>
      <c r="N4299">
        <v>14.365</v>
      </c>
      <c r="O4299">
        <v>1690</v>
      </c>
      <c r="P4299">
        <v>0</v>
      </c>
      <c r="Q4299" s="5" t="e">
        <f>IF(AND(#REF!&gt;=table!$C$6,#REF!&lt;= table!$D$6),-1,IF(AND(#REF!&gt;=table!$E$6,#REF!&lt;=table!$F$6),1,0))</f>
        <v>#REF!</v>
      </c>
      <c r="R4299" s="5" t="e">
        <f>IF(AND(#REF!&gt;=table!$C$7,#REF!&lt;= table!$D$7),-1,IF(AND(#REF!&gt;=table!$E$7,#REF!&lt;=table!$F$7),1,0))</f>
        <v>#REF!</v>
      </c>
      <c r="S4299" s="5" t="e">
        <f>IF(AND(#REF!&gt;=table!$C$8,#REF!&lt;= table!$D$8),-1,IF(AND(#REF!&gt;=table!$E$8,#REF!&lt;=table!$F$8),1,0))</f>
        <v>#REF!</v>
      </c>
      <c r="T4299" s="5"/>
      <c r="U4299" s="5" t="e">
        <f>IF(AND(#REF!&gt;=table!$C$10,#REF!&lt;= table!$D$10),-1,IF(AND(#REF!&gt;=table!$E$10,#REF!&lt;=table!$F$10),1,0))</f>
        <v>#REF!</v>
      </c>
      <c r="V4299" s="5" t="e">
        <f>IF(AND(#REF!&gt;=table!$C$11,#REF!&lt;= table!$D$11),-1,IF(AND(#REF!&gt;=table!$E$11,#REF!&lt;=table!$F$11),1,0))</f>
        <v>#REF!</v>
      </c>
      <c r="W4299" s="5" t="e">
        <f>CONCATENATE(dados[[#This Row],[fator1]],dados[[#This Row],[fator5]],dados[[#This Row],[fator6]])</f>
        <v>#REF!</v>
      </c>
    </row>
    <row r="4300" spans="1:23">
      <c r="A4300" t="s">
        <v>16</v>
      </c>
      <c r="B4300">
        <v>589743</v>
      </c>
      <c r="C4300">
        <v>6</v>
      </c>
      <c r="D4300">
        <v>25</v>
      </c>
      <c r="E4300">
        <v>120</v>
      </c>
      <c r="F4300">
        <v>4</v>
      </c>
      <c r="G4300">
        <v>0</v>
      </c>
      <c r="H4300">
        <v>55</v>
      </c>
      <c r="I4300">
        <v>1094</v>
      </c>
      <c r="J4300">
        <v>0</v>
      </c>
      <c r="K4300">
        <v>3.1855000000000002</v>
      </c>
      <c r="L4300">
        <v>5.0455000000000005</v>
      </c>
      <c r="M4300">
        <v>65.849999999999994</v>
      </c>
      <c r="N4300">
        <v>31.220000000000002</v>
      </c>
      <c r="O4300">
        <v>1713</v>
      </c>
      <c r="P4300">
        <v>1249</v>
      </c>
      <c r="Q4300" s="5" t="e">
        <f>IF(AND(#REF!&gt;=table!$C$6,#REF!&lt;= table!$D$6),-1,IF(AND(#REF!&gt;=table!$E$6,#REF!&lt;=table!$F$6),1,0))</f>
        <v>#REF!</v>
      </c>
      <c r="R4300" s="5" t="e">
        <f>IF(AND(#REF!&gt;=table!$C$7,#REF!&lt;= table!$D$7),-1,IF(AND(#REF!&gt;=table!$E$7,#REF!&lt;=table!$F$7),1,0))</f>
        <v>#REF!</v>
      </c>
      <c r="S4300" s="5" t="e">
        <f>IF(AND(#REF!&gt;=table!$C$8,#REF!&lt;= table!$D$8),-1,IF(AND(#REF!&gt;=table!$E$8,#REF!&lt;=table!$F$8),1,0))</f>
        <v>#REF!</v>
      </c>
      <c r="T4300" s="5"/>
      <c r="U4300" s="5" t="e">
        <f>IF(AND(#REF!&gt;=table!$C$10,#REF!&lt;= table!$D$10),-1,IF(AND(#REF!&gt;=table!$E$10,#REF!&lt;=table!$F$10),1,0))</f>
        <v>#REF!</v>
      </c>
      <c r="V4300" s="5" t="e">
        <f>IF(AND(#REF!&gt;=table!$C$11,#REF!&lt;= table!$D$11),-1,IF(AND(#REF!&gt;=table!$E$11,#REF!&lt;=table!$F$11),1,0))</f>
        <v>#REF!</v>
      </c>
      <c r="W4300" s="5" t="e">
        <f>CONCATENATE(dados[[#This Row],[fator1]],dados[[#This Row],[fator5]],dados[[#This Row],[fator6]])</f>
        <v>#REF!</v>
      </c>
    </row>
    <row r="4301" spans="1:23">
      <c r="A4301" t="s">
        <v>16</v>
      </c>
      <c r="B4301">
        <v>589756</v>
      </c>
      <c r="C4301">
        <v>12</v>
      </c>
      <c r="D4301">
        <v>35</v>
      </c>
      <c r="E4301">
        <v>86</v>
      </c>
      <c r="F4301">
        <v>10</v>
      </c>
      <c r="G4301">
        <v>0</v>
      </c>
      <c r="H4301">
        <v>25</v>
      </c>
      <c r="I4301">
        <v>716</v>
      </c>
      <c r="J4301">
        <v>0</v>
      </c>
      <c r="K4301">
        <v>3.3440000000000003</v>
      </c>
      <c r="L4301">
        <v>6.2395000000000005</v>
      </c>
      <c r="M4301">
        <v>64.494500000000002</v>
      </c>
      <c r="N4301">
        <v>14.345000000000001</v>
      </c>
      <c r="O4301">
        <v>1669</v>
      </c>
      <c r="P4301">
        <v>1216</v>
      </c>
      <c r="Q4301" s="5" t="e">
        <f>IF(AND(#REF!&gt;=table!$C$6,#REF!&lt;= table!$D$6),-1,IF(AND(#REF!&gt;=table!$E$6,#REF!&lt;=table!$F$6),1,0))</f>
        <v>#REF!</v>
      </c>
      <c r="R4301" s="5" t="e">
        <f>IF(AND(#REF!&gt;=table!$C$7,#REF!&lt;= table!$D$7),-1,IF(AND(#REF!&gt;=table!$E$7,#REF!&lt;=table!$F$7),1,0))</f>
        <v>#REF!</v>
      </c>
      <c r="S4301" s="5" t="e">
        <f>IF(AND(#REF!&gt;=table!$C$8,#REF!&lt;= table!$D$8),-1,IF(AND(#REF!&gt;=table!$E$8,#REF!&lt;=table!$F$8),1,0))</f>
        <v>#REF!</v>
      </c>
      <c r="T4301" s="5"/>
      <c r="U4301" s="5" t="e">
        <f>IF(AND(#REF!&gt;=table!$C$10,#REF!&lt;= table!$D$10),-1,IF(AND(#REF!&gt;=table!$E$10,#REF!&lt;=table!$F$10),1,0))</f>
        <v>#REF!</v>
      </c>
      <c r="V4301" s="5" t="e">
        <f>IF(AND(#REF!&gt;=table!$C$11,#REF!&lt;= table!$D$11),-1,IF(AND(#REF!&gt;=table!$E$11,#REF!&lt;=table!$F$11),1,0))</f>
        <v>#REF!</v>
      </c>
      <c r="W4301" s="5" t="e">
        <f>CONCATENATE(dados[[#This Row],[fator1]],dados[[#This Row],[fator5]],dados[[#This Row],[fator6]])</f>
        <v>#REF!</v>
      </c>
    </row>
    <row r="4302" spans="1:23">
      <c r="A4302" t="s">
        <v>16</v>
      </c>
      <c r="B4302">
        <v>589757</v>
      </c>
      <c r="C4302">
        <v>12</v>
      </c>
      <c r="D4302">
        <v>35</v>
      </c>
      <c r="E4302">
        <v>180</v>
      </c>
      <c r="F4302">
        <v>6</v>
      </c>
      <c r="G4302">
        <v>0</v>
      </c>
      <c r="H4302">
        <v>20</v>
      </c>
      <c r="I4302">
        <v>15</v>
      </c>
      <c r="J4302">
        <v>760</v>
      </c>
      <c r="K4302">
        <v>6.8730000000000002</v>
      </c>
      <c r="L4302">
        <v>10.053000000000001</v>
      </c>
      <c r="M4302">
        <v>130.76150000000001</v>
      </c>
      <c r="N4302">
        <v>13.205</v>
      </c>
      <c r="O4302">
        <v>1691</v>
      </c>
      <c r="P4302">
        <v>612</v>
      </c>
      <c r="Q4302" s="5" t="e">
        <f>IF(AND(#REF!&gt;=table!$C$6,#REF!&lt;= table!$D$6),-1,IF(AND(#REF!&gt;=table!$E$6,#REF!&lt;=table!$F$6),1,0))</f>
        <v>#REF!</v>
      </c>
      <c r="R4302" s="5" t="e">
        <f>IF(AND(#REF!&gt;=table!$C$7,#REF!&lt;= table!$D$7),-1,IF(AND(#REF!&gt;=table!$E$7,#REF!&lt;=table!$F$7),1,0))</f>
        <v>#REF!</v>
      </c>
      <c r="S4302" s="5" t="e">
        <f>IF(AND(#REF!&gt;=table!$C$8,#REF!&lt;= table!$D$8),-1,IF(AND(#REF!&gt;=table!$E$8,#REF!&lt;=table!$F$8),1,0))</f>
        <v>#REF!</v>
      </c>
      <c r="T4302" s="5"/>
      <c r="U4302" s="5" t="e">
        <f>IF(AND(#REF!&gt;=table!$C$10,#REF!&lt;= table!$D$10),-1,IF(AND(#REF!&gt;=table!$E$10,#REF!&lt;=table!$F$10),1,0))</f>
        <v>#REF!</v>
      </c>
      <c r="V4302" s="5" t="e">
        <f>IF(AND(#REF!&gt;=table!$C$11,#REF!&lt;= table!$D$11),-1,IF(AND(#REF!&gt;=table!$E$11,#REF!&lt;=table!$F$11),1,0))</f>
        <v>#REF!</v>
      </c>
      <c r="W4302" s="5" t="e">
        <f>CONCATENATE(dados[[#This Row],[fator1]],dados[[#This Row],[fator5]],dados[[#This Row],[fator6]])</f>
        <v>#REF!</v>
      </c>
    </row>
    <row r="4303" spans="1:23">
      <c r="A4303" t="s">
        <v>16</v>
      </c>
      <c r="B4303">
        <v>589758</v>
      </c>
      <c r="C4303">
        <v>12</v>
      </c>
      <c r="D4303">
        <v>35</v>
      </c>
      <c r="E4303">
        <v>180</v>
      </c>
      <c r="F4303">
        <v>6</v>
      </c>
      <c r="G4303">
        <v>0</v>
      </c>
      <c r="H4303">
        <v>20</v>
      </c>
      <c r="I4303">
        <v>0</v>
      </c>
      <c r="J4303">
        <v>1000</v>
      </c>
      <c r="K4303">
        <v>5.609</v>
      </c>
      <c r="L4303">
        <v>6.2750000000000004</v>
      </c>
      <c r="M4303">
        <v>90.24</v>
      </c>
      <c r="N4303">
        <v>8.0750000000000011</v>
      </c>
      <c r="O4303">
        <v>1623</v>
      </c>
      <c r="P4303">
        <v>0</v>
      </c>
      <c r="Q4303" s="5" t="e">
        <f>IF(AND(#REF!&gt;=table!$C$6,#REF!&lt;= table!$D$6),-1,IF(AND(#REF!&gt;=table!$E$6,#REF!&lt;=table!$F$6),1,0))</f>
        <v>#REF!</v>
      </c>
      <c r="R4303" s="5" t="e">
        <f>IF(AND(#REF!&gt;=table!$C$7,#REF!&lt;= table!$D$7),-1,IF(AND(#REF!&gt;=table!$E$7,#REF!&lt;=table!$F$7),1,0))</f>
        <v>#REF!</v>
      </c>
      <c r="S4303" s="5" t="e">
        <f>IF(AND(#REF!&gt;=table!$C$8,#REF!&lt;= table!$D$8),-1,IF(AND(#REF!&gt;=table!$E$8,#REF!&lt;=table!$F$8),1,0))</f>
        <v>#REF!</v>
      </c>
      <c r="T4303" s="5"/>
      <c r="U4303" s="5" t="e">
        <f>IF(AND(#REF!&gt;=table!$C$10,#REF!&lt;= table!$D$10),-1,IF(AND(#REF!&gt;=table!$E$10,#REF!&lt;=table!$F$10),1,0))</f>
        <v>#REF!</v>
      </c>
      <c r="V4303" s="5" t="e">
        <f>IF(AND(#REF!&gt;=table!$C$11,#REF!&lt;= table!$D$11),-1,IF(AND(#REF!&gt;=table!$E$11,#REF!&lt;=table!$F$11),1,0))</f>
        <v>#REF!</v>
      </c>
      <c r="W4303" s="5" t="e">
        <f>CONCATENATE(dados[[#This Row],[fator1]],dados[[#This Row],[fator5]],dados[[#This Row],[fator6]])</f>
        <v>#REF!</v>
      </c>
    </row>
    <row r="4304" spans="1:23">
      <c r="A4304" t="s">
        <v>16</v>
      </c>
      <c r="B4304">
        <v>589760</v>
      </c>
      <c r="C4304">
        <v>9</v>
      </c>
      <c r="D4304">
        <v>35</v>
      </c>
      <c r="E4304">
        <v>36</v>
      </c>
      <c r="F4304">
        <v>9</v>
      </c>
      <c r="G4304">
        <v>0</v>
      </c>
      <c r="H4304">
        <v>25</v>
      </c>
      <c r="I4304">
        <v>773</v>
      </c>
      <c r="J4304">
        <v>0</v>
      </c>
      <c r="K4304">
        <v>3.3540000000000001</v>
      </c>
      <c r="L4304">
        <v>6.8950000000000005</v>
      </c>
      <c r="M4304">
        <v>29.149000000000001</v>
      </c>
      <c r="N4304">
        <v>11.81</v>
      </c>
      <c r="O4304">
        <v>1676</v>
      </c>
      <c r="P4304">
        <v>0</v>
      </c>
      <c r="Q4304" s="5" t="e">
        <f>IF(AND(#REF!&gt;=table!$C$6,#REF!&lt;= table!$D$6),-1,IF(AND(#REF!&gt;=table!$E$6,#REF!&lt;=table!$F$6),1,0))</f>
        <v>#REF!</v>
      </c>
      <c r="R4304" s="5" t="e">
        <f>IF(AND(#REF!&gt;=table!$C$7,#REF!&lt;= table!$D$7),-1,IF(AND(#REF!&gt;=table!$E$7,#REF!&lt;=table!$F$7),1,0))</f>
        <v>#REF!</v>
      </c>
      <c r="S4304" s="5" t="e">
        <f>IF(AND(#REF!&gt;=table!$C$8,#REF!&lt;= table!$D$8),-1,IF(AND(#REF!&gt;=table!$E$8,#REF!&lt;=table!$F$8),1,0))</f>
        <v>#REF!</v>
      </c>
      <c r="T4304" s="5"/>
      <c r="U4304" s="5" t="e">
        <f>IF(AND(#REF!&gt;=table!$C$10,#REF!&lt;= table!$D$10),-1,IF(AND(#REF!&gt;=table!$E$10,#REF!&lt;=table!$F$10),1,0))</f>
        <v>#REF!</v>
      </c>
      <c r="V4304" s="5" t="e">
        <f>IF(AND(#REF!&gt;=table!$C$11,#REF!&lt;= table!$D$11),-1,IF(AND(#REF!&gt;=table!$E$11,#REF!&lt;=table!$F$11),1,0))</f>
        <v>#REF!</v>
      </c>
      <c r="W4304" s="5" t="e">
        <f>CONCATENATE(dados[[#This Row],[fator1]],dados[[#This Row],[fator5]],dados[[#This Row],[fator6]])</f>
        <v>#REF!</v>
      </c>
    </row>
    <row r="4305" spans="1:23">
      <c r="A4305" t="s">
        <v>17</v>
      </c>
      <c r="B4305">
        <v>589763</v>
      </c>
      <c r="C4305">
        <v>14</v>
      </c>
      <c r="D4305">
        <v>30</v>
      </c>
      <c r="E4305">
        <v>110</v>
      </c>
      <c r="F4305">
        <v>3</v>
      </c>
      <c r="G4305">
        <v>20</v>
      </c>
      <c r="H4305">
        <v>22</v>
      </c>
      <c r="I4305">
        <v>888</v>
      </c>
      <c r="J4305">
        <v>530</v>
      </c>
      <c r="K4305">
        <v>7.4270000000000005</v>
      </c>
      <c r="L4305">
        <v>6.4460000000000006</v>
      </c>
      <c r="M4305">
        <v>99.414000000000001</v>
      </c>
      <c r="N4305">
        <v>7.28</v>
      </c>
      <c r="O4305">
        <v>1619</v>
      </c>
      <c r="P4305">
        <v>529</v>
      </c>
      <c r="Q4305" s="5" t="e">
        <f>IF(AND(#REF!&gt;=table!$C$6,#REF!&lt;= table!$D$6),-1,IF(AND(#REF!&gt;=table!$E$6,#REF!&lt;=table!$F$6),1,0))</f>
        <v>#REF!</v>
      </c>
      <c r="R4305" s="5" t="e">
        <f>IF(AND(#REF!&gt;=table!$C$7,#REF!&lt;= table!$D$7),-1,IF(AND(#REF!&gt;=table!$E$7,#REF!&lt;=table!$F$7),1,0))</f>
        <v>#REF!</v>
      </c>
      <c r="S4305" s="5" t="e">
        <f>IF(AND(#REF!&gt;=table!$C$8,#REF!&lt;= table!$D$8),-1,IF(AND(#REF!&gt;=table!$E$8,#REF!&lt;=table!$F$8),1,0))</f>
        <v>#REF!</v>
      </c>
      <c r="T4305" s="5"/>
      <c r="U4305" s="5" t="e">
        <f>IF(AND(#REF!&gt;=table!$C$10,#REF!&lt;= table!$D$10),-1,IF(AND(#REF!&gt;=table!$E$10,#REF!&lt;=table!$F$10),1,0))</f>
        <v>#REF!</v>
      </c>
      <c r="V4305" s="5" t="e">
        <f>IF(AND(#REF!&gt;=table!$C$11,#REF!&lt;= table!$D$11),-1,IF(AND(#REF!&gt;=table!$E$11,#REF!&lt;=table!$F$11),1,0))</f>
        <v>#REF!</v>
      </c>
      <c r="W4305" s="5" t="e">
        <f>CONCATENATE(dados[[#This Row],[fator1]],dados[[#This Row],[fator5]],dados[[#This Row],[fator6]])</f>
        <v>#REF!</v>
      </c>
    </row>
    <row r="4306" spans="1:23">
      <c r="A4306" t="s">
        <v>17</v>
      </c>
      <c r="B4306">
        <v>589764</v>
      </c>
      <c r="C4306">
        <v>8</v>
      </c>
      <c r="D4306">
        <v>30</v>
      </c>
      <c r="E4306">
        <v>153</v>
      </c>
      <c r="F4306">
        <v>2</v>
      </c>
      <c r="G4306">
        <v>20</v>
      </c>
      <c r="H4306">
        <v>18</v>
      </c>
      <c r="I4306">
        <v>824</v>
      </c>
      <c r="J4306">
        <v>0</v>
      </c>
      <c r="K4306">
        <v>4.3505000000000003</v>
      </c>
      <c r="L4306">
        <v>7.0595000000000008</v>
      </c>
      <c r="M4306">
        <v>132.70099999999999</v>
      </c>
      <c r="N4306">
        <v>9.3849999999999998</v>
      </c>
      <c r="O4306">
        <v>1663</v>
      </c>
      <c r="P4306">
        <v>670</v>
      </c>
      <c r="Q4306" s="5" t="e">
        <f>IF(AND(#REF!&gt;=table!$C$6,#REF!&lt;= table!$D$6),-1,IF(AND(#REF!&gt;=table!$E$6,#REF!&lt;=table!$F$6),1,0))</f>
        <v>#REF!</v>
      </c>
      <c r="R4306" s="5" t="e">
        <f>IF(AND(#REF!&gt;=table!$C$7,#REF!&lt;= table!$D$7),-1,IF(AND(#REF!&gt;=table!$E$7,#REF!&lt;=table!$F$7),1,0))</f>
        <v>#REF!</v>
      </c>
      <c r="S4306" s="5" t="e">
        <f>IF(AND(#REF!&gt;=table!$C$8,#REF!&lt;= table!$D$8),-1,IF(AND(#REF!&gt;=table!$E$8,#REF!&lt;=table!$F$8),1,0))</f>
        <v>#REF!</v>
      </c>
      <c r="T4306" s="5"/>
      <c r="U4306" s="5" t="e">
        <f>IF(AND(#REF!&gt;=table!$C$10,#REF!&lt;= table!$D$10),-1,IF(AND(#REF!&gt;=table!$E$10,#REF!&lt;=table!$F$10),1,0))</f>
        <v>#REF!</v>
      </c>
      <c r="V4306" s="5" t="e">
        <f>IF(AND(#REF!&gt;=table!$C$11,#REF!&lt;= table!$D$11),-1,IF(AND(#REF!&gt;=table!$E$11,#REF!&lt;=table!$F$11),1,0))</f>
        <v>#REF!</v>
      </c>
      <c r="W4306" s="5" t="e">
        <f>CONCATENATE(dados[[#This Row],[fator1]],dados[[#This Row],[fator5]],dados[[#This Row],[fator6]])</f>
        <v>#REF!</v>
      </c>
    </row>
    <row r="4307" spans="1:23">
      <c r="A4307" t="s">
        <v>16</v>
      </c>
      <c r="B4307">
        <v>589765</v>
      </c>
      <c r="C4307">
        <v>3</v>
      </c>
      <c r="D4307">
        <v>30</v>
      </c>
      <c r="E4307">
        <v>21</v>
      </c>
      <c r="F4307">
        <v>15</v>
      </c>
      <c r="G4307">
        <v>0</v>
      </c>
      <c r="H4307">
        <v>25</v>
      </c>
      <c r="I4307">
        <v>2610</v>
      </c>
      <c r="J4307">
        <v>0</v>
      </c>
      <c r="K4307">
        <v>5.6225000000000005</v>
      </c>
      <c r="L4307">
        <v>9.7645</v>
      </c>
      <c r="M4307">
        <v>17.4315</v>
      </c>
      <c r="N4307">
        <v>13.93</v>
      </c>
      <c r="O4307">
        <v>1686</v>
      </c>
      <c r="P4307">
        <v>0</v>
      </c>
      <c r="Q4307" s="5" t="e">
        <f>IF(AND(#REF!&gt;=table!$C$6,#REF!&lt;= table!$D$6),-1,IF(AND(#REF!&gt;=table!$E$6,#REF!&lt;=table!$F$6),1,0))</f>
        <v>#REF!</v>
      </c>
      <c r="R4307" s="5" t="e">
        <f>IF(AND(#REF!&gt;=table!$C$7,#REF!&lt;= table!$D$7),-1,IF(AND(#REF!&gt;=table!$E$7,#REF!&lt;=table!$F$7),1,0))</f>
        <v>#REF!</v>
      </c>
      <c r="S4307" s="5" t="e">
        <f>IF(AND(#REF!&gt;=table!$C$8,#REF!&lt;= table!$D$8),-1,IF(AND(#REF!&gt;=table!$E$8,#REF!&lt;=table!$F$8),1,0))</f>
        <v>#REF!</v>
      </c>
      <c r="T4307" s="5"/>
      <c r="U4307" s="5" t="e">
        <f>IF(AND(#REF!&gt;=table!$C$10,#REF!&lt;= table!$D$10),-1,IF(AND(#REF!&gt;=table!$E$10,#REF!&lt;=table!$F$10),1,0))</f>
        <v>#REF!</v>
      </c>
      <c r="V4307" s="5" t="e">
        <f>IF(AND(#REF!&gt;=table!$C$11,#REF!&lt;= table!$D$11),-1,IF(AND(#REF!&gt;=table!$E$11,#REF!&lt;=table!$F$11),1,0))</f>
        <v>#REF!</v>
      </c>
      <c r="W4307" s="5" t="e">
        <f>CONCATENATE(dados[[#This Row],[fator1]],dados[[#This Row],[fator5]],dados[[#This Row],[fator6]])</f>
        <v>#REF!</v>
      </c>
    </row>
    <row r="4308" spans="1:23">
      <c r="A4308" t="s">
        <v>17</v>
      </c>
      <c r="B4308">
        <v>589766</v>
      </c>
      <c r="C4308">
        <v>18</v>
      </c>
      <c r="D4308">
        <v>23</v>
      </c>
      <c r="E4308">
        <v>145</v>
      </c>
      <c r="F4308">
        <v>9</v>
      </c>
      <c r="G4308">
        <v>30</v>
      </c>
      <c r="H4308">
        <v>25</v>
      </c>
      <c r="I4308">
        <v>936</v>
      </c>
      <c r="J4308">
        <v>0</v>
      </c>
      <c r="K4308">
        <v>4.7225000000000001</v>
      </c>
      <c r="L4308">
        <v>5.3479999999999999</v>
      </c>
      <c r="M4308">
        <v>113.29050000000001</v>
      </c>
      <c r="N4308">
        <v>13.4</v>
      </c>
      <c r="O4308">
        <v>1668</v>
      </c>
      <c r="P4308">
        <v>955</v>
      </c>
      <c r="Q4308" s="5" t="e">
        <f>IF(AND(#REF!&gt;=table!$C$6,#REF!&lt;= table!$D$6),-1,IF(AND(#REF!&gt;=table!$E$6,#REF!&lt;=table!$F$6),1,0))</f>
        <v>#REF!</v>
      </c>
      <c r="R4308" s="5" t="e">
        <f>IF(AND(#REF!&gt;=table!$C$7,#REF!&lt;= table!$D$7),-1,IF(AND(#REF!&gt;=table!$E$7,#REF!&lt;=table!$F$7),1,0))</f>
        <v>#REF!</v>
      </c>
      <c r="S4308" s="5" t="e">
        <f>IF(AND(#REF!&gt;=table!$C$8,#REF!&lt;= table!$D$8),-1,IF(AND(#REF!&gt;=table!$E$8,#REF!&lt;=table!$F$8),1,0))</f>
        <v>#REF!</v>
      </c>
      <c r="T4308" s="5"/>
      <c r="U4308" s="5" t="e">
        <f>IF(AND(#REF!&gt;=table!$C$10,#REF!&lt;= table!$D$10),-1,IF(AND(#REF!&gt;=table!$E$10,#REF!&lt;=table!$F$10),1,0))</f>
        <v>#REF!</v>
      </c>
      <c r="V4308" s="5" t="e">
        <f>IF(AND(#REF!&gt;=table!$C$11,#REF!&lt;= table!$D$11),-1,IF(AND(#REF!&gt;=table!$E$11,#REF!&lt;=table!$F$11),1,0))</f>
        <v>#REF!</v>
      </c>
      <c r="W4308" s="5" t="e">
        <f>CONCATENATE(dados[[#This Row],[fator1]],dados[[#This Row],[fator5]],dados[[#This Row],[fator6]])</f>
        <v>#REF!</v>
      </c>
    </row>
    <row r="4309" spans="1:23">
      <c r="A4309" t="s">
        <v>16</v>
      </c>
      <c r="B4309">
        <v>589767</v>
      </c>
      <c r="C4309">
        <v>3</v>
      </c>
      <c r="D4309">
        <v>30</v>
      </c>
      <c r="E4309">
        <v>21</v>
      </c>
      <c r="F4309">
        <v>15</v>
      </c>
      <c r="G4309">
        <v>0</v>
      </c>
      <c r="H4309">
        <v>25</v>
      </c>
      <c r="I4309">
        <v>537</v>
      </c>
      <c r="J4309">
        <v>0</v>
      </c>
      <c r="K4309">
        <v>3.3465000000000003</v>
      </c>
      <c r="L4309">
        <v>7.2190000000000003</v>
      </c>
      <c r="M4309">
        <v>5.9480000000000004</v>
      </c>
      <c r="N4309">
        <v>11.75</v>
      </c>
      <c r="O4309">
        <v>1710</v>
      </c>
      <c r="P4309">
        <v>0</v>
      </c>
      <c r="Q4309" s="5" t="e">
        <f>IF(AND(#REF!&gt;=table!$C$6,#REF!&lt;= table!$D$6),-1,IF(AND(#REF!&gt;=table!$E$6,#REF!&lt;=table!$F$6),1,0))</f>
        <v>#REF!</v>
      </c>
      <c r="R4309" s="5" t="e">
        <f>IF(AND(#REF!&gt;=table!$C$7,#REF!&lt;= table!$D$7),-1,IF(AND(#REF!&gt;=table!$E$7,#REF!&lt;=table!$F$7),1,0))</f>
        <v>#REF!</v>
      </c>
      <c r="S4309" s="5" t="e">
        <f>IF(AND(#REF!&gt;=table!$C$8,#REF!&lt;= table!$D$8),-1,IF(AND(#REF!&gt;=table!$E$8,#REF!&lt;=table!$F$8),1,0))</f>
        <v>#REF!</v>
      </c>
      <c r="T4309" s="5"/>
      <c r="U4309" s="5" t="e">
        <f>IF(AND(#REF!&gt;=table!$C$10,#REF!&lt;= table!$D$10),-1,IF(AND(#REF!&gt;=table!$E$10,#REF!&lt;=table!$F$10),1,0))</f>
        <v>#REF!</v>
      </c>
      <c r="V4309" s="5" t="e">
        <f>IF(AND(#REF!&gt;=table!$C$11,#REF!&lt;= table!$D$11),-1,IF(AND(#REF!&gt;=table!$E$11,#REF!&lt;=table!$F$11),1,0))</f>
        <v>#REF!</v>
      </c>
      <c r="W4309" s="5" t="e">
        <f>CONCATENATE(dados[[#This Row],[fator1]],dados[[#This Row],[fator5]],dados[[#This Row],[fator6]])</f>
        <v>#REF!</v>
      </c>
    </row>
    <row r="4310" spans="1:23">
      <c r="A4310" t="s">
        <v>16</v>
      </c>
      <c r="B4310">
        <v>589770</v>
      </c>
      <c r="C4310">
        <v>3</v>
      </c>
      <c r="D4310">
        <v>30</v>
      </c>
      <c r="E4310">
        <v>23</v>
      </c>
      <c r="F4310">
        <v>15</v>
      </c>
      <c r="G4310">
        <v>0</v>
      </c>
      <c r="H4310">
        <v>25</v>
      </c>
      <c r="I4310">
        <v>912</v>
      </c>
      <c r="J4310">
        <v>0</v>
      </c>
      <c r="K4310">
        <v>3.8780000000000001</v>
      </c>
      <c r="L4310">
        <v>7.3870000000000005</v>
      </c>
      <c r="M4310">
        <v>15.164000000000001</v>
      </c>
      <c r="N4310">
        <v>14.950000000000001</v>
      </c>
      <c r="O4310">
        <v>1672</v>
      </c>
      <c r="P4310">
        <v>888</v>
      </c>
      <c r="Q4310" s="5" t="e">
        <f>IF(AND(#REF!&gt;=table!$C$6,#REF!&lt;= table!$D$6),-1,IF(AND(#REF!&gt;=table!$E$6,#REF!&lt;=table!$F$6),1,0))</f>
        <v>#REF!</v>
      </c>
      <c r="R4310" s="5" t="e">
        <f>IF(AND(#REF!&gt;=table!$C$7,#REF!&lt;= table!$D$7),-1,IF(AND(#REF!&gt;=table!$E$7,#REF!&lt;=table!$F$7),1,0))</f>
        <v>#REF!</v>
      </c>
      <c r="S4310" s="5" t="e">
        <f>IF(AND(#REF!&gt;=table!$C$8,#REF!&lt;= table!$D$8),-1,IF(AND(#REF!&gt;=table!$E$8,#REF!&lt;=table!$F$8),1,0))</f>
        <v>#REF!</v>
      </c>
      <c r="T4310" s="5"/>
      <c r="U4310" s="5" t="e">
        <f>IF(AND(#REF!&gt;=table!$C$10,#REF!&lt;= table!$D$10),-1,IF(AND(#REF!&gt;=table!$E$10,#REF!&lt;=table!$F$10),1,0))</f>
        <v>#REF!</v>
      </c>
      <c r="V4310" s="5" t="e">
        <f>IF(AND(#REF!&gt;=table!$C$11,#REF!&lt;= table!$D$11),-1,IF(AND(#REF!&gt;=table!$E$11,#REF!&lt;=table!$F$11),1,0))</f>
        <v>#REF!</v>
      </c>
      <c r="W4310" s="5" t="e">
        <f>CONCATENATE(dados[[#This Row],[fator1]],dados[[#This Row],[fator5]],dados[[#This Row],[fator6]])</f>
        <v>#REF!</v>
      </c>
    </row>
    <row r="4311" spans="1:23">
      <c r="A4311" t="s">
        <v>16</v>
      </c>
      <c r="B4311">
        <v>589779</v>
      </c>
      <c r="C4311">
        <v>4</v>
      </c>
      <c r="D4311">
        <v>40</v>
      </c>
      <c r="E4311">
        <v>21</v>
      </c>
      <c r="F4311">
        <v>10</v>
      </c>
      <c r="G4311">
        <v>0</v>
      </c>
      <c r="H4311">
        <v>25</v>
      </c>
      <c r="I4311">
        <v>14</v>
      </c>
      <c r="J4311">
        <v>0</v>
      </c>
      <c r="K4311">
        <v>2.6859999999999999</v>
      </c>
      <c r="L4311">
        <v>4.4460000000000006</v>
      </c>
      <c r="M4311">
        <v>3.8880000000000003</v>
      </c>
      <c r="N4311">
        <v>14.405000000000001</v>
      </c>
      <c r="O4311">
        <v>1672</v>
      </c>
      <c r="P4311">
        <v>1472</v>
      </c>
      <c r="Q4311" s="5" t="e">
        <f>IF(AND(#REF!&gt;=table!$C$6,#REF!&lt;= table!$D$6),-1,IF(AND(#REF!&gt;=table!$E$6,#REF!&lt;=table!$F$6),1,0))</f>
        <v>#REF!</v>
      </c>
      <c r="R4311" s="5" t="e">
        <f>IF(AND(#REF!&gt;=table!$C$7,#REF!&lt;= table!$D$7),-1,IF(AND(#REF!&gt;=table!$E$7,#REF!&lt;=table!$F$7),1,0))</f>
        <v>#REF!</v>
      </c>
      <c r="S4311" s="5" t="e">
        <f>IF(AND(#REF!&gt;=table!$C$8,#REF!&lt;= table!$D$8),-1,IF(AND(#REF!&gt;=table!$E$8,#REF!&lt;=table!$F$8),1,0))</f>
        <v>#REF!</v>
      </c>
      <c r="T4311" s="5"/>
      <c r="U4311" s="5" t="e">
        <f>IF(AND(#REF!&gt;=table!$C$10,#REF!&lt;= table!$D$10),-1,IF(AND(#REF!&gt;=table!$E$10,#REF!&lt;=table!$F$10),1,0))</f>
        <v>#REF!</v>
      </c>
      <c r="V4311" s="5" t="e">
        <f>IF(AND(#REF!&gt;=table!$C$11,#REF!&lt;= table!$D$11),-1,IF(AND(#REF!&gt;=table!$E$11,#REF!&lt;=table!$F$11),1,0))</f>
        <v>#REF!</v>
      </c>
      <c r="W4311" s="5" t="e">
        <f>CONCATENATE(dados[[#This Row],[fator1]],dados[[#This Row],[fator5]],dados[[#This Row],[fator6]])</f>
        <v>#REF!</v>
      </c>
    </row>
    <row r="4312" spans="1:23">
      <c r="A4312" t="s">
        <v>16</v>
      </c>
      <c r="B4312">
        <v>589788</v>
      </c>
      <c r="C4312">
        <v>7</v>
      </c>
      <c r="D4312">
        <v>33</v>
      </c>
      <c r="E4312">
        <v>153</v>
      </c>
      <c r="F4312">
        <v>4</v>
      </c>
      <c r="G4312">
        <v>0</v>
      </c>
      <c r="H4312">
        <v>25</v>
      </c>
      <c r="I4312">
        <v>0</v>
      </c>
      <c r="J4312">
        <v>0</v>
      </c>
      <c r="K4312">
        <v>2.5024999999999999</v>
      </c>
      <c r="L4312">
        <v>3.5830000000000002</v>
      </c>
      <c r="M4312">
        <v>67.354500000000002</v>
      </c>
      <c r="N4312">
        <v>11.535</v>
      </c>
      <c r="O4312">
        <v>1680</v>
      </c>
      <c r="P4312">
        <v>0</v>
      </c>
      <c r="Q4312" s="5" t="e">
        <f>IF(AND(#REF!&gt;=table!$C$6,#REF!&lt;= table!$D$6),-1,IF(AND(#REF!&gt;=table!$E$6,#REF!&lt;=table!$F$6),1,0))</f>
        <v>#REF!</v>
      </c>
      <c r="R4312" s="5" t="e">
        <f>IF(AND(#REF!&gt;=table!$C$7,#REF!&lt;= table!$D$7),-1,IF(AND(#REF!&gt;=table!$E$7,#REF!&lt;=table!$F$7),1,0))</f>
        <v>#REF!</v>
      </c>
      <c r="S4312" s="5" t="e">
        <f>IF(AND(#REF!&gt;=table!$C$8,#REF!&lt;= table!$D$8),-1,IF(AND(#REF!&gt;=table!$E$8,#REF!&lt;=table!$F$8),1,0))</f>
        <v>#REF!</v>
      </c>
      <c r="T4312" s="5"/>
      <c r="U4312" s="5" t="e">
        <f>IF(AND(#REF!&gt;=table!$C$10,#REF!&lt;= table!$D$10),-1,IF(AND(#REF!&gt;=table!$E$10,#REF!&lt;=table!$F$10),1,0))</f>
        <v>#REF!</v>
      </c>
      <c r="V4312" s="5" t="e">
        <f>IF(AND(#REF!&gt;=table!$C$11,#REF!&lt;= table!$D$11),-1,IF(AND(#REF!&gt;=table!$E$11,#REF!&lt;=table!$F$11),1,0))</f>
        <v>#REF!</v>
      </c>
      <c r="W4312" s="5" t="e">
        <f>CONCATENATE(dados[[#This Row],[fator1]],dados[[#This Row],[fator5]],dados[[#This Row],[fator6]])</f>
        <v>#REF!</v>
      </c>
    </row>
    <row r="4313" spans="1:23">
      <c r="A4313" t="s">
        <v>16</v>
      </c>
      <c r="B4313">
        <v>589789</v>
      </c>
      <c r="C4313">
        <v>0.15</v>
      </c>
      <c r="D4313">
        <v>35</v>
      </c>
      <c r="E4313">
        <v>15</v>
      </c>
      <c r="F4313">
        <v>10</v>
      </c>
      <c r="G4313">
        <v>0</v>
      </c>
      <c r="H4313">
        <v>12</v>
      </c>
      <c r="I4313">
        <v>1</v>
      </c>
      <c r="J4313">
        <v>0</v>
      </c>
      <c r="K4313">
        <v>4.5760000000000005</v>
      </c>
      <c r="L4313">
        <v>9.0875000000000004</v>
      </c>
      <c r="M4313">
        <v>7.835</v>
      </c>
      <c r="N4313">
        <v>13.790000000000001</v>
      </c>
      <c r="O4313">
        <v>1669</v>
      </c>
      <c r="P4313">
        <v>901</v>
      </c>
      <c r="Q4313" s="5" t="e">
        <f>IF(AND(#REF!&gt;=table!$C$6,#REF!&lt;= table!$D$6),-1,IF(AND(#REF!&gt;=table!$E$6,#REF!&lt;=table!$F$6),1,0))</f>
        <v>#REF!</v>
      </c>
      <c r="R4313" s="5" t="e">
        <f>IF(AND(#REF!&gt;=table!$C$7,#REF!&lt;= table!$D$7),-1,IF(AND(#REF!&gt;=table!$E$7,#REF!&lt;=table!$F$7),1,0))</f>
        <v>#REF!</v>
      </c>
      <c r="S4313" s="5" t="e">
        <f>IF(AND(#REF!&gt;=table!$C$8,#REF!&lt;= table!$D$8),-1,IF(AND(#REF!&gt;=table!$E$8,#REF!&lt;=table!$F$8),1,0))</f>
        <v>#REF!</v>
      </c>
      <c r="T4313" s="5"/>
      <c r="U4313" s="5" t="e">
        <f>IF(AND(#REF!&gt;=table!$C$10,#REF!&lt;= table!$D$10),-1,IF(AND(#REF!&gt;=table!$E$10,#REF!&lt;=table!$F$10),1,0))</f>
        <v>#REF!</v>
      </c>
      <c r="V4313" s="5" t="e">
        <f>IF(AND(#REF!&gt;=table!$C$11,#REF!&lt;= table!$D$11),-1,IF(AND(#REF!&gt;=table!$E$11,#REF!&lt;=table!$F$11),1,0))</f>
        <v>#REF!</v>
      </c>
      <c r="W4313" s="5" t="e">
        <f>CONCATENATE(dados[[#This Row],[fator1]],dados[[#This Row],[fator5]],dados[[#This Row],[fator6]])</f>
        <v>#REF!</v>
      </c>
    </row>
    <row r="4314" spans="1:23">
      <c r="A4314" t="s">
        <v>16</v>
      </c>
      <c r="B4314">
        <v>589790</v>
      </c>
      <c r="C4314">
        <v>0.15</v>
      </c>
      <c r="D4314">
        <v>35</v>
      </c>
      <c r="E4314">
        <v>15</v>
      </c>
      <c r="F4314">
        <v>10</v>
      </c>
      <c r="G4314">
        <v>0</v>
      </c>
      <c r="H4314">
        <v>12</v>
      </c>
      <c r="I4314">
        <v>224</v>
      </c>
      <c r="J4314">
        <v>0</v>
      </c>
      <c r="K4314">
        <v>3.7945000000000002</v>
      </c>
      <c r="L4314">
        <v>7.0245000000000006</v>
      </c>
      <c r="M4314">
        <v>5.9915000000000003</v>
      </c>
      <c r="N4314">
        <v>12.530000000000001</v>
      </c>
      <c r="O4314">
        <v>1661</v>
      </c>
      <c r="P4314">
        <v>843</v>
      </c>
      <c r="Q4314" s="5" t="e">
        <f>IF(AND(#REF!&gt;=table!$C$6,#REF!&lt;= table!$D$6),-1,IF(AND(#REF!&gt;=table!$E$6,#REF!&lt;=table!$F$6),1,0))</f>
        <v>#REF!</v>
      </c>
      <c r="R4314" s="5" t="e">
        <f>IF(AND(#REF!&gt;=table!$C$7,#REF!&lt;= table!$D$7),-1,IF(AND(#REF!&gt;=table!$E$7,#REF!&lt;=table!$F$7),1,0))</f>
        <v>#REF!</v>
      </c>
      <c r="S4314" s="5" t="e">
        <f>IF(AND(#REF!&gt;=table!$C$8,#REF!&lt;= table!$D$8),-1,IF(AND(#REF!&gt;=table!$E$8,#REF!&lt;=table!$F$8),1,0))</f>
        <v>#REF!</v>
      </c>
      <c r="T4314" s="5"/>
      <c r="U4314" s="5" t="e">
        <f>IF(AND(#REF!&gt;=table!$C$10,#REF!&lt;= table!$D$10),-1,IF(AND(#REF!&gt;=table!$E$10,#REF!&lt;=table!$F$10),1,0))</f>
        <v>#REF!</v>
      </c>
      <c r="V4314" s="5" t="e">
        <f>IF(AND(#REF!&gt;=table!$C$11,#REF!&lt;= table!$D$11),-1,IF(AND(#REF!&gt;=table!$E$11,#REF!&lt;=table!$F$11),1,0))</f>
        <v>#REF!</v>
      </c>
      <c r="W4314" s="5" t="e">
        <f>CONCATENATE(dados[[#This Row],[fator1]],dados[[#This Row],[fator5]],dados[[#This Row],[fator6]])</f>
        <v>#REF!</v>
      </c>
    </row>
    <row r="4315" spans="1:23">
      <c r="A4315" t="s">
        <v>16</v>
      </c>
      <c r="B4315">
        <v>589791</v>
      </c>
      <c r="C4315">
        <v>0.15</v>
      </c>
      <c r="D4315">
        <v>35</v>
      </c>
      <c r="E4315">
        <v>15</v>
      </c>
      <c r="F4315">
        <v>10</v>
      </c>
      <c r="G4315">
        <v>0</v>
      </c>
      <c r="H4315">
        <v>12</v>
      </c>
      <c r="I4315">
        <v>654</v>
      </c>
      <c r="J4315">
        <v>0</v>
      </c>
      <c r="K4315">
        <v>6.0265000000000004</v>
      </c>
      <c r="L4315">
        <v>6.5590000000000002</v>
      </c>
      <c r="M4315">
        <v>6.7585000000000006</v>
      </c>
      <c r="N4315">
        <v>9.6150000000000002</v>
      </c>
      <c r="O4315">
        <v>1659</v>
      </c>
      <c r="P4315">
        <v>689</v>
      </c>
      <c r="Q4315" s="5" t="e">
        <f>IF(AND(#REF!&gt;=table!$C$6,#REF!&lt;= table!$D$6),-1,IF(AND(#REF!&gt;=table!$E$6,#REF!&lt;=table!$F$6),1,0))</f>
        <v>#REF!</v>
      </c>
      <c r="R4315" s="5" t="e">
        <f>IF(AND(#REF!&gt;=table!$C$7,#REF!&lt;= table!$D$7),-1,IF(AND(#REF!&gt;=table!$E$7,#REF!&lt;=table!$F$7),1,0))</f>
        <v>#REF!</v>
      </c>
      <c r="S4315" s="5" t="e">
        <f>IF(AND(#REF!&gt;=table!$C$8,#REF!&lt;= table!$D$8),-1,IF(AND(#REF!&gt;=table!$E$8,#REF!&lt;=table!$F$8),1,0))</f>
        <v>#REF!</v>
      </c>
      <c r="T4315" s="5"/>
      <c r="U4315" s="5" t="e">
        <f>IF(AND(#REF!&gt;=table!$C$10,#REF!&lt;= table!$D$10),-1,IF(AND(#REF!&gt;=table!$E$10,#REF!&lt;=table!$F$10),1,0))</f>
        <v>#REF!</v>
      </c>
      <c r="V4315" s="5" t="e">
        <f>IF(AND(#REF!&gt;=table!$C$11,#REF!&lt;= table!$D$11),-1,IF(AND(#REF!&gt;=table!$E$11,#REF!&lt;=table!$F$11),1,0))</f>
        <v>#REF!</v>
      </c>
      <c r="W4315" s="5" t="e">
        <f>CONCATENATE(dados[[#This Row],[fator1]],dados[[#This Row],[fator5]],dados[[#This Row],[fator6]])</f>
        <v>#REF!</v>
      </c>
    </row>
    <row r="4316" spans="1:23">
      <c r="A4316" t="s">
        <v>16</v>
      </c>
      <c r="B4316">
        <v>589792</v>
      </c>
      <c r="C4316">
        <v>0.15</v>
      </c>
      <c r="D4316">
        <v>35</v>
      </c>
      <c r="E4316">
        <v>15</v>
      </c>
      <c r="F4316">
        <v>10</v>
      </c>
      <c r="G4316">
        <v>0</v>
      </c>
      <c r="H4316">
        <v>12</v>
      </c>
      <c r="I4316">
        <v>139</v>
      </c>
      <c r="J4316">
        <v>0</v>
      </c>
      <c r="K4316">
        <v>4.1844999999999999</v>
      </c>
      <c r="L4316">
        <v>3.9475000000000002</v>
      </c>
      <c r="M4316">
        <v>66.155000000000001</v>
      </c>
      <c r="N4316">
        <v>7.79</v>
      </c>
      <c r="O4316">
        <v>1684</v>
      </c>
      <c r="P4316">
        <v>1069</v>
      </c>
      <c r="Q4316" s="5" t="e">
        <f>IF(AND(#REF!&gt;=table!$C$6,#REF!&lt;= table!$D$6),-1,IF(AND(#REF!&gt;=table!$E$6,#REF!&lt;=table!$F$6),1,0))</f>
        <v>#REF!</v>
      </c>
      <c r="R4316" s="5" t="e">
        <f>IF(AND(#REF!&gt;=table!$C$7,#REF!&lt;= table!$D$7),-1,IF(AND(#REF!&gt;=table!$E$7,#REF!&lt;=table!$F$7),1,0))</f>
        <v>#REF!</v>
      </c>
      <c r="S4316" s="5" t="e">
        <f>IF(AND(#REF!&gt;=table!$C$8,#REF!&lt;= table!$D$8),-1,IF(AND(#REF!&gt;=table!$E$8,#REF!&lt;=table!$F$8),1,0))</f>
        <v>#REF!</v>
      </c>
      <c r="T4316" s="5"/>
      <c r="U4316" s="5" t="e">
        <f>IF(AND(#REF!&gt;=table!$C$10,#REF!&lt;= table!$D$10),-1,IF(AND(#REF!&gt;=table!$E$10,#REF!&lt;=table!$F$10),1,0))</f>
        <v>#REF!</v>
      </c>
      <c r="V4316" s="5" t="e">
        <f>IF(AND(#REF!&gt;=table!$C$11,#REF!&lt;= table!$D$11),-1,IF(AND(#REF!&gt;=table!$E$11,#REF!&lt;=table!$F$11),1,0))</f>
        <v>#REF!</v>
      </c>
      <c r="W4316" s="5" t="e">
        <f>CONCATENATE(dados[[#This Row],[fator1]],dados[[#This Row],[fator5]],dados[[#This Row],[fator6]])</f>
        <v>#REF!</v>
      </c>
    </row>
    <row r="4317" spans="1:23">
      <c r="A4317" t="s">
        <v>16</v>
      </c>
      <c r="B4317">
        <v>589793</v>
      </c>
      <c r="C4317">
        <v>9</v>
      </c>
      <c r="D4317">
        <v>30</v>
      </c>
      <c r="E4317">
        <v>146</v>
      </c>
      <c r="F4317">
        <v>4</v>
      </c>
      <c r="G4317">
        <v>0</v>
      </c>
      <c r="H4317">
        <v>25</v>
      </c>
      <c r="I4317">
        <v>659</v>
      </c>
      <c r="J4317">
        <v>0</v>
      </c>
      <c r="K4317">
        <v>4.1844999999999999</v>
      </c>
      <c r="L4317">
        <v>3.9475000000000002</v>
      </c>
      <c r="M4317">
        <v>66.155000000000001</v>
      </c>
      <c r="N4317">
        <v>7.79</v>
      </c>
      <c r="O4317">
        <v>1663</v>
      </c>
      <c r="P4317">
        <v>1063</v>
      </c>
      <c r="Q4317" s="5" t="e">
        <f>IF(AND(#REF!&gt;=table!$C$6,#REF!&lt;= table!$D$6),-1,IF(AND(#REF!&gt;=table!$E$6,#REF!&lt;=table!$F$6),1,0))</f>
        <v>#REF!</v>
      </c>
      <c r="R4317" s="5" t="e">
        <f>IF(AND(#REF!&gt;=table!$C$7,#REF!&lt;= table!$D$7),-1,IF(AND(#REF!&gt;=table!$E$7,#REF!&lt;=table!$F$7),1,0))</f>
        <v>#REF!</v>
      </c>
      <c r="S4317" s="5" t="e">
        <f>IF(AND(#REF!&gt;=table!$C$8,#REF!&lt;= table!$D$8),-1,IF(AND(#REF!&gt;=table!$E$8,#REF!&lt;=table!$F$8),1,0))</f>
        <v>#REF!</v>
      </c>
      <c r="T4317" s="5"/>
      <c r="U4317" s="5" t="e">
        <f>IF(AND(#REF!&gt;=table!$C$10,#REF!&lt;= table!$D$10),-1,IF(AND(#REF!&gt;=table!$E$10,#REF!&lt;=table!$F$10),1,0))</f>
        <v>#REF!</v>
      </c>
      <c r="V4317" s="5" t="e">
        <f>IF(AND(#REF!&gt;=table!$C$11,#REF!&lt;= table!$D$11),-1,IF(AND(#REF!&gt;=table!$E$11,#REF!&lt;=table!$F$11),1,0))</f>
        <v>#REF!</v>
      </c>
      <c r="W4317" s="5" t="e">
        <f>CONCATENATE(dados[[#This Row],[fator1]],dados[[#This Row],[fator5]],dados[[#This Row],[fator6]])</f>
        <v>#REF!</v>
      </c>
    </row>
    <row r="4318" spans="1:23">
      <c r="A4318" t="s">
        <v>16</v>
      </c>
      <c r="B4318">
        <v>589796</v>
      </c>
      <c r="C4318">
        <v>0.15</v>
      </c>
      <c r="D4318">
        <v>35</v>
      </c>
      <c r="E4318">
        <v>15</v>
      </c>
      <c r="F4318">
        <v>10</v>
      </c>
      <c r="G4318">
        <v>0</v>
      </c>
      <c r="H4318">
        <v>12</v>
      </c>
      <c r="I4318">
        <v>762</v>
      </c>
      <c r="J4318">
        <v>0</v>
      </c>
      <c r="K4318">
        <v>2.681</v>
      </c>
      <c r="L4318">
        <v>4.2789999999999999</v>
      </c>
      <c r="M4318">
        <v>3.8335000000000004</v>
      </c>
      <c r="N4318">
        <v>11.31</v>
      </c>
      <c r="O4318">
        <v>1682</v>
      </c>
      <c r="P4318">
        <v>0</v>
      </c>
      <c r="Q4318" s="5" t="e">
        <f>IF(AND(#REF!&gt;=table!$C$6,#REF!&lt;= table!$D$6),-1,IF(AND(#REF!&gt;=table!$E$6,#REF!&lt;=table!$F$6),1,0))</f>
        <v>#REF!</v>
      </c>
      <c r="R4318" s="5" t="e">
        <f>IF(AND(#REF!&gt;=table!$C$7,#REF!&lt;= table!$D$7),-1,IF(AND(#REF!&gt;=table!$E$7,#REF!&lt;=table!$F$7),1,0))</f>
        <v>#REF!</v>
      </c>
      <c r="S4318" s="5" t="e">
        <f>IF(AND(#REF!&gt;=table!$C$8,#REF!&lt;= table!$D$8),-1,IF(AND(#REF!&gt;=table!$E$8,#REF!&lt;=table!$F$8),1,0))</f>
        <v>#REF!</v>
      </c>
      <c r="T4318" s="5"/>
      <c r="U4318" s="5" t="e">
        <f>IF(AND(#REF!&gt;=table!$C$10,#REF!&lt;= table!$D$10),-1,IF(AND(#REF!&gt;=table!$E$10,#REF!&lt;=table!$F$10),1,0))</f>
        <v>#REF!</v>
      </c>
      <c r="V4318" s="5" t="e">
        <f>IF(AND(#REF!&gt;=table!$C$11,#REF!&lt;= table!$D$11),-1,IF(AND(#REF!&gt;=table!$E$11,#REF!&lt;=table!$F$11),1,0))</f>
        <v>#REF!</v>
      </c>
      <c r="W4318" s="5" t="e">
        <f>CONCATENATE(dados[[#This Row],[fator1]],dados[[#This Row],[fator5]],dados[[#This Row],[fator6]])</f>
        <v>#REF!</v>
      </c>
    </row>
    <row r="4319" spans="1:23">
      <c r="A4319" t="s">
        <v>16</v>
      </c>
      <c r="B4319">
        <v>589797</v>
      </c>
      <c r="C4319">
        <v>0.15</v>
      </c>
      <c r="D4319">
        <v>35</v>
      </c>
      <c r="E4319">
        <v>15</v>
      </c>
      <c r="F4319">
        <v>10</v>
      </c>
      <c r="G4319">
        <v>0</v>
      </c>
      <c r="H4319">
        <v>12</v>
      </c>
      <c r="I4319">
        <v>919</v>
      </c>
      <c r="J4319">
        <v>0</v>
      </c>
      <c r="K4319">
        <v>6.01</v>
      </c>
      <c r="L4319">
        <v>9.8975000000000009</v>
      </c>
      <c r="M4319">
        <v>8.6035000000000004</v>
      </c>
      <c r="N4319">
        <v>10.42</v>
      </c>
      <c r="O4319">
        <v>1688</v>
      </c>
      <c r="P4319">
        <v>592</v>
      </c>
      <c r="Q4319" s="5" t="e">
        <f>IF(AND(#REF!&gt;=table!$C$6,#REF!&lt;= table!$D$6),-1,IF(AND(#REF!&gt;=table!$E$6,#REF!&lt;=table!$F$6),1,0))</f>
        <v>#REF!</v>
      </c>
      <c r="R4319" s="5" t="e">
        <f>IF(AND(#REF!&gt;=table!$C$7,#REF!&lt;= table!$D$7),-1,IF(AND(#REF!&gt;=table!$E$7,#REF!&lt;=table!$F$7),1,0))</f>
        <v>#REF!</v>
      </c>
      <c r="S4319" s="5" t="e">
        <f>IF(AND(#REF!&gt;=table!$C$8,#REF!&lt;= table!$D$8),-1,IF(AND(#REF!&gt;=table!$E$8,#REF!&lt;=table!$F$8),1,0))</f>
        <v>#REF!</v>
      </c>
      <c r="T4319" s="5"/>
      <c r="U4319" s="5" t="e">
        <f>IF(AND(#REF!&gt;=table!$C$10,#REF!&lt;= table!$D$10),-1,IF(AND(#REF!&gt;=table!$E$10,#REF!&lt;=table!$F$10),1,0))</f>
        <v>#REF!</v>
      </c>
      <c r="V4319" s="5" t="e">
        <f>IF(AND(#REF!&gt;=table!$C$11,#REF!&lt;= table!$D$11),-1,IF(AND(#REF!&gt;=table!$E$11,#REF!&lt;=table!$F$11),1,0))</f>
        <v>#REF!</v>
      </c>
      <c r="W4319" s="5" t="e">
        <f>CONCATENATE(dados[[#This Row],[fator1]],dados[[#This Row],[fator5]],dados[[#This Row],[fator6]])</f>
        <v>#REF!</v>
      </c>
    </row>
    <row r="4320" spans="1:23">
      <c r="A4320" t="s">
        <v>17</v>
      </c>
      <c r="B4320">
        <v>589806</v>
      </c>
      <c r="C4320">
        <v>18</v>
      </c>
      <c r="D4320">
        <v>23</v>
      </c>
      <c r="E4320">
        <v>145</v>
      </c>
      <c r="F4320">
        <v>9</v>
      </c>
      <c r="G4320">
        <v>30</v>
      </c>
      <c r="H4320">
        <v>25</v>
      </c>
      <c r="I4320">
        <v>313</v>
      </c>
      <c r="J4320">
        <v>0</v>
      </c>
      <c r="K4320">
        <v>6.2885</v>
      </c>
      <c r="L4320">
        <v>15.282</v>
      </c>
      <c r="M4320">
        <v>88.596000000000004</v>
      </c>
      <c r="N4320">
        <v>22.38</v>
      </c>
      <c r="O4320">
        <v>1680</v>
      </c>
      <c r="P4320">
        <v>0</v>
      </c>
      <c r="Q4320" s="5" t="e">
        <f>IF(AND(#REF!&gt;=table!$C$6,#REF!&lt;= table!$D$6),-1,IF(AND(#REF!&gt;=table!$E$6,#REF!&lt;=table!$F$6),1,0))</f>
        <v>#REF!</v>
      </c>
      <c r="R4320" s="5" t="e">
        <f>IF(AND(#REF!&gt;=table!$C$7,#REF!&lt;= table!$D$7),-1,IF(AND(#REF!&gt;=table!$E$7,#REF!&lt;=table!$F$7),1,0))</f>
        <v>#REF!</v>
      </c>
      <c r="S4320" s="5" t="e">
        <f>IF(AND(#REF!&gt;=table!$C$8,#REF!&lt;= table!$D$8),-1,IF(AND(#REF!&gt;=table!$E$8,#REF!&lt;=table!$F$8),1,0))</f>
        <v>#REF!</v>
      </c>
      <c r="T4320" s="5"/>
      <c r="U4320" s="5" t="e">
        <f>IF(AND(#REF!&gt;=table!$C$10,#REF!&lt;= table!$D$10),-1,IF(AND(#REF!&gt;=table!$E$10,#REF!&lt;=table!$F$10),1,0))</f>
        <v>#REF!</v>
      </c>
      <c r="V4320" s="5" t="e">
        <f>IF(AND(#REF!&gt;=table!$C$11,#REF!&lt;= table!$D$11),-1,IF(AND(#REF!&gt;=table!$E$11,#REF!&lt;=table!$F$11),1,0))</f>
        <v>#REF!</v>
      </c>
      <c r="W4320" s="5" t="e">
        <f>CONCATENATE(dados[[#This Row],[fator1]],dados[[#This Row],[fator5]],dados[[#This Row],[fator6]])</f>
        <v>#REF!</v>
      </c>
    </row>
    <row r="4321" spans="1:23">
      <c r="A4321" t="s">
        <v>17</v>
      </c>
      <c r="B4321">
        <v>589808</v>
      </c>
      <c r="C4321">
        <v>18</v>
      </c>
      <c r="D4321">
        <v>23</v>
      </c>
      <c r="E4321">
        <v>145</v>
      </c>
      <c r="F4321">
        <v>9</v>
      </c>
      <c r="G4321">
        <v>30</v>
      </c>
      <c r="H4321">
        <v>25</v>
      </c>
      <c r="I4321">
        <v>0</v>
      </c>
      <c r="J4321">
        <v>0</v>
      </c>
      <c r="K4321">
        <v>5.6645000000000003</v>
      </c>
      <c r="L4321">
        <v>11.380500000000001</v>
      </c>
      <c r="M4321">
        <v>134.40700000000001</v>
      </c>
      <c r="N4321">
        <v>17.78</v>
      </c>
      <c r="O4321">
        <v>1681</v>
      </c>
      <c r="P4321">
        <v>588</v>
      </c>
      <c r="Q4321" s="5" t="e">
        <f>IF(AND(#REF!&gt;=table!$C$6,#REF!&lt;= table!$D$6),-1,IF(AND(#REF!&gt;=table!$E$6,#REF!&lt;=table!$F$6),1,0))</f>
        <v>#REF!</v>
      </c>
      <c r="R4321" s="5" t="e">
        <f>IF(AND(#REF!&gt;=table!$C$7,#REF!&lt;= table!$D$7),-1,IF(AND(#REF!&gt;=table!$E$7,#REF!&lt;=table!$F$7),1,0))</f>
        <v>#REF!</v>
      </c>
      <c r="S4321" s="5" t="e">
        <f>IF(AND(#REF!&gt;=table!$C$8,#REF!&lt;= table!$D$8),-1,IF(AND(#REF!&gt;=table!$E$8,#REF!&lt;=table!$F$8),1,0))</f>
        <v>#REF!</v>
      </c>
      <c r="T4321" s="5"/>
      <c r="U4321" s="5" t="e">
        <f>IF(AND(#REF!&gt;=table!$C$10,#REF!&lt;= table!$D$10),-1,IF(AND(#REF!&gt;=table!$E$10,#REF!&lt;=table!$F$10),1,0))</f>
        <v>#REF!</v>
      </c>
      <c r="V4321" s="5" t="e">
        <f>IF(AND(#REF!&gt;=table!$C$11,#REF!&lt;= table!$D$11),-1,IF(AND(#REF!&gt;=table!$E$11,#REF!&lt;=table!$F$11),1,0))</f>
        <v>#REF!</v>
      </c>
      <c r="W4321" s="5" t="e">
        <f>CONCATENATE(dados[[#This Row],[fator1]],dados[[#This Row],[fator5]],dados[[#This Row],[fator6]])</f>
        <v>#REF!</v>
      </c>
    </row>
    <row r="4322" spans="1:23">
      <c r="A4322" t="s">
        <v>17</v>
      </c>
      <c r="B4322">
        <v>589809</v>
      </c>
      <c r="C4322">
        <v>18</v>
      </c>
      <c r="D4322">
        <v>23</v>
      </c>
      <c r="E4322">
        <v>145</v>
      </c>
      <c r="F4322">
        <v>9</v>
      </c>
      <c r="G4322">
        <v>30</v>
      </c>
      <c r="H4322">
        <v>25</v>
      </c>
      <c r="I4322">
        <v>6</v>
      </c>
      <c r="J4322">
        <v>0</v>
      </c>
      <c r="K4322">
        <v>5.1850000000000005</v>
      </c>
      <c r="L4322">
        <v>16.851500000000001</v>
      </c>
      <c r="M4322">
        <v>112.39150000000001</v>
      </c>
      <c r="N4322">
        <v>24.355</v>
      </c>
      <c r="O4322">
        <v>1687</v>
      </c>
      <c r="P4322">
        <v>703</v>
      </c>
      <c r="Q4322" s="5" t="e">
        <f>IF(AND(#REF!&gt;=table!$C$6,#REF!&lt;= table!$D$6),-1,IF(AND(#REF!&gt;=table!$E$6,#REF!&lt;=table!$F$6),1,0))</f>
        <v>#REF!</v>
      </c>
      <c r="R4322" s="5" t="e">
        <f>IF(AND(#REF!&gt;=table!$C$7,#REF!&lt;= table!$D$7),-1,IF(AND(#REF!&gt;=table!$E$7,#REF!&lt;=table!$F$7),1,0))</f>
        <v>#REF!</v>
      </c>
      <c r="S4322" s="5" t="e">
        <f>IF(AND(#REF!&gt;=table!$C$8,#REF!&lt;= table!$D$8),-1,IF(AND(#REF!&gt;=table!$E$8,#REF!&lt;=table!$F$8),1,0))</f>
        <v>#REF!</v>
      </c>
      <c r="T4322" s="5"/>
      <c r="U4322" s="5" t="e">
        <f>IF(AND(#REF!&gt;=table!$C$10,#REF!&lt;= table!$D$10),-1,IF(AND(#REF!&gt;=table!$E$10,#REF!&lt;=table!$F$10),1,0))</f>
        <v>#REF!</v>
      </c>
      <c r="V4322" s="5" t="e">
        <f>IF(AND(#REF!&gt;=table!$C$11,#REF!&lt;= table!$D$11),-1,IF(AND(#REF!&gt;=table!$E$11,#REF!&lt;=table!$F$11),1,0))</f>
        <v>#REF!</v>
      </c>
      <c r="W4322" s="5" t="e">
        <f>CONCATENATE(dados[[#This Row],[fator1]],dados[[#This Row],[fator5]],dados[[#This Row],[fator6]])</f>
        <v>#REF!</v>
      </c>
    </row>
    <row r="4323" spans="1:23">
      <c r="A4323" t="s">
        <v>17</v>
      </c>
      <c r="B4323">
        <v>589810</v>
      </c>
      <c r="C4323">
        <v>10</v>
      </c>
      <c r="D4323">
        <v>25</v>
      </c>
      <c r="E4323">
        <v>156</v>
      </c>
      <c r="F4323">
        <v>8</v>
      </c>
      <c r="G4323">
        <v>20</v>
      </c>
      <c r="H4323">
        <v>25</v>
      </c>
      <c r="I4323">
        <v>5</v>
      </c>
      <c r="J4323">
        <v>0</v>
      </c>
      <c r="K4323">
        <v>5.4175000000000004</v>
      </c>
      <c r="L4323">
        <v>11.0855</v>
      </c>
      <c r="M4323">
        <v>140.37550000000002</v>
      </c>
      <c r="N4323">
        <v>17.309999999999999</v>
      </c>
      <c r="O4323">
        <v>1673</v>
      </c>
      <c r="P4323">
        <v>759</v>
      </c>
      <c r="Q4323" s="5" t="e">
        <f>IF(AND(#REF!&gt;=table!$C$6,#REF!&lt;= table!$D$6),-1,IF(AND(#REF!&gt;=table!$E$6,#REF!&lt;=table!$F$6),1,0))</f>
        <v>#REF!</v>
      </c>
      <c r="R4323" s="5" t="e">
        <f>IF(AND(#REF!&gt;=table!$C$7,#REF!&lt;= table!$D$7),-1,IF(AND(#REF!&gt;=table!$E$7,#REF!&lt;=table!$F$7),1,0))</f>
        <v>#REF!</v>
      </c>
      <c r="S4323" s="5" t="e">
        <f>IF(AND(#REF!&gt;=table!$C$8,#REF!&lt;= table!$D$8),-1,IF(AND(#REF!&gt;=table!$E$8,#REF!&lt;=table!$F$8),1,0))</f>
        <v>#REF!</v>
      </c>
      <c r="T4323" s="5"/>
      <c r="U4323" s="5" t="e">
        <f>IF(AND(#REF!&gt;=table!$C$10,#REF!&lt;= table!$D$10),-1,IF(AND(#REF!&gt;=table!$E$10,#REF!&lt;=table!$F$10),1,0))</f>
        <v>#REF!</v>
      </c>
      <c r="V4323" s="5" t="e">
        <f>IF(AND(#REF!&gt;=table!$C$11,#REF!&lt;= table!$D$11),-1,IF(AND(#REF!&gt;=table!$E$11,#REF!&lt;=table!$F$11),1,0))</f>
        <v>#REF!</v>
      </c>
      <c r="W4323" s="5" t="e">
        <f>CONCATENATE(dados[[#This Row],[fator1]],dados[[#This Row],[fator5]],dados[[#This Row],[fator6]])</f>
        <v>#REF!</v>
      </c>
    </row>
    <row r="4324" spans="1:23">
      <c r="A4324" t="s">
        <v>17</v>
      </c>
      <c r="B4324">
        <v>589811</v>
      </c>
      <c r="C4324">
        <v>16</v>
      </c>
      <c r="D4324">
        <v>23</v>
      </c>
      <c r="E4324">
        <v>145</v>
      </c>
      <c r="F4324">
        <v>9</v>
      </c>
      <c r="G4324">
        <v>30</v>
      </c>
      <c r="H4324">
        <v>25</v>
      </c>
      <c r="I4324">
        <v>214</v>
      </c>
      <c r="J4324">
        <v>0</v>
      </c>
      <c r="K4324">
        <v>7.4510000000000005</v>
      </c>
      <c r="L4324">
        <v>20.488500000000002</v>
      </c>
      <c r="M4324">
        <v>118.49350000000001</v>
      </c>
      <c r="N4324">
        <v>22.94</v>
      </c>
      <c r="O4324">
        <v>1691</v>
      </c>
      <c r="P4324">
        <v>400</v>
      </c>
      <c r="Q4324" s="5" t="e">
        <f>IF(AND(#REF!&gt;=table!$C$6,#REF!&lt;= table!$D$6),-1,IF(AND(#REF!&gt;=table!$E$6,#REF!&lt;=table!$F$6),1,0))</f>
        <v>#REF!</v>
      </c>
      <c r="R4324" s="5" t="e">
        <f>IF(AND(#REF!&gt;=table!$C$7,#REF!&lt;= table!$D$7),-1,IF(AND(#REF!&gt;=table!$E$7,#REF!&lt;=table!$F$7),1,0))</f>
        <v>#REF!</v>
      </c>
      <c r="S4324" s="5" t="e">
        <f>IF(AND(#REF!&gt;=table!$C$8,#REF!&lt;= table!$D$8),-1,IF(AND(#REF!&gt;=table!$E$8,#REF!&lt;=table!$F$8),1,0))</f>
        <v>#REF!</v>
      </c>
      <c r="T4324" s="5"/>
      <c r="U4324" s="5" t="e">
        <f>IF(AND(#REF!&gt;=table!$C$10,#REF!&lt;= table!$D$10),-1,IF(AND(#REF!&gt;=table!$E$10,#REF!&lt;=table!$F$10),1,0))</f>
        <v>#REF!</v>
      </c>
      <c r="V4324" s="5" t="e">
        <f>IF(AND(#REF!&gt;=table!$C$11,#REF!&lt;= table!$D$11),-1,IF(AND(#REF!&gt;=table!$E$11,#REF!&lt;=table!$F$11),1,0))</f>
        <v>#REF!</v>
      </c>
      <c r="W4324" s="5" t="e">
        <f>CONCATENATE(dados[[#This Row],[fator1]],dados[[#This Row],[fator5]],dados[[#This Row],[fator6]])</f>
        <v>#REF!</v>
      </c>
    </row>
    <row r="4325" spans="1:23">
      <c r="A4325" t="s">
        <v>16</v>
      </c>
      <c r="B4325">
        <v>589818</v>
      </c>
      <c r="C4325">
        <v>3</v>
      </c>
      <c r="D4325">
        <v>30</v>
      </c>
      <c r="E4325">
        <v>21</v>
      </c>
      <c r="F4325">
        <v>15</v>
      </c>
      <c r="G4325">
        <v>0</v>
      </c>
      <c r="H4325">
        <v>25</v>
      </c>
      <c r="I4325">
        <v>64</v>
      </c>
      <c r="J4325">
        <v>0</v>
      </c>
      <c r="K4325">
        <v>12.278</v>
      </c>
      <c r="L4325">
        <v>17.012499999999999</v>
      </c>
      <c r="M4325">
        <v>7.8605</v>
      </c>
      <c r="N4325">
        <v>8.9749999999999996</v>
      </c>
      <c r="O4325">
        <v>1671</v>
      </c>
      <c r="P4325">
        <v>1126</v>
      </c>
      <c r="Q4325" s="5" t="e">
        <f>IF(AND(#REF!&gt;=table!$C$6,#REF!&lt;= table!$D$6),-1,IF(AND(#REF!&gt;=table!$E$6,#REF!&lt;=table!$F$6),1,0))</f>
        <v>#REF!</v>
      </c>
      <c r="R4325" s="5" t="e">
        <f>IF(AND(#REF!&gt;=table!$C$7,#REF!&lt;= table!$D$7),-1,IF(AND(#REF!&gt;=table!$E$7,#REF!&lt;=table!$F$7),1,0))</f>
        <v>#REF!</v>
      </c>
      <c r="S4325" s="5" t="e">
        <f>IF(AND(#REF!&gt;=table!$C$8,#REF!&lt;= table!$D$8),-1,IF(AND(#REF!&gt;=table!$E$8,#REF!&lt;=table!$F$8),1,0))</f>
        <v>#REF!</v>
      </c>
      <c r="T4325" s="5"/>
      <c r="U4325" s="5" t="e">
        <f>IF(AND(#REF!&gt;=table!$C$10,#REF!&lt;= table!$D$10),-1,IF(AND(#REF!&gt;=table!$E$10,#REF!&lt;=table!$F$10),1,0))</f>
        <v>#REF!</v>
      </c>
      <c r="V4325" s="5" t="e">
        <f>IF(AND(#REF!&gt;=table!$C$11,#REF!&lt;= table!$D$11),-1,IF(AND(#REF!&gt;=table!$E$11,#REF!&lt;=table!$F$11),1,0))</f>
        <v>#REF!</v>
      </c>
      <c r="W4325" s="5" t="e">
        <f>CONCATENATE(dados[[#This Row],[fator1]],dados[[#This Row],[fator5]],dados[[#This Row],[fator6]])</f>
        <v>#REF!</v>
      </c>
    </row>
    <row r="4326" spans="1:23">
      <c r="A4326" t="s">
        <v>16</v>
      </c>
      <c r="B4326">
        <v>589819</v>
      </c>
      <c r="C4326">
        <v>3</v>
      </c>
      <c r="D4326">
        <v>30</v>
      </c>
      <c r="E4326">
        <v>21</v>
      </c>
      <c r="F4326">
        <v>15</v>
      </c>
      <c r="G4326">
        <v>0</v>
      </c>
      <c r="H4326">
        <v>25</v>
      </c>
      <c r="I4326">
        <v>508</v>
      </c>
      <c r="J4326">
        <v>0</v>
      </c>
      <c r="K4326">
        <v>4.7385000000000002</v>
      </c>
      <c r="L4326">
        <v>13.724</v>
      </c>
      <c r="M4326">
        <v>23.310500000000001</v>
      </c>
      <c r="N4326">
        <v>10.485000000000001</v>
      </c>
      <c r="O4326">
        <v>1665</v>
      </c>
      <c r="P4326">
        <v>806</v>
      </c>
      <c r="Q4326" s="5" t="e">
        <f>IF(AND(#REF!&gt;=table!$C$6,#REF!&lt;= table!$D$6),-1,IF(AND(#REF!&gt;=table!$E$6,#REF!&lt;=table!$F$6),1,0))</f>
        <v>#REF!</v>
      </c>
      <c r="R4326" s="5" t="e">
        <f>IF(AND(#REF!&gt;=table!$C$7,#REF!&lt;= table!$D$7),-1,IF(AND(#REF!&gt;=table!$E$7,#REF!&lt;=table!$F$7),1,0))</f>
        <v>#REF!</v>
      </c>
      <c r="S4326" s="5" t="e">
        <f>IF(AND(#REF!&gt;=table!$C$8,#REF!&lt;= table!$D$8),-1,IF(AND(#REF!&gt;=table!$E$8,#REF!&lt;=table!$F$8),1,0))</f>
        <v>#REF!</v>
      </c>
      <c r="T4326" s="5"/>
      <c r="U4326" s="5" t="e">
        <f>IF(AND(#REF!&gt;=table!$C$10,#REF!&lt;= table!$D$10),-1,IF(AND(#REF!&gt;=table!$E$10,#REF!&lt;=table!$F$10),1,0))</f>
        <v>#REF!</v>
      </c>
      <c r="V4326" s="5" t="e">
        <f>IF(AND(#REF!&gt;=table!$C$11,#REF!&lt;= table!$D$11),-1,IF(AND(#REF!&gt;=table!$E$11,#REF!&lt;=table!$F$11),1,0))</f>
        <v>#REF!</v>
      </c>
      <c r="W4326" s="5" t="e">
        <f>CONCATENATE(dados[[#This Row],[fator1]],dados[[#This Row],[fator5]],dados[[#This Row],[fator6]])</f>
        <v>#REF!</v>
      </c>
    </row>
    <row r="4327" spans="1:23">
      <c r="A4327" t="s">
        <v>17</v>
      </c>
      <c r="B4327">
        <v>589823</v>
      </c>
      <c r="C4327">
        <v>30</v>
      </c>
      <c r="D4327">
        <v>25</v>
      </c>
      <c r="E4327">
        <v>135</v>
      </c>
      <c r="F4327">
        <v>8</v>
      </c>
      <c r="G4327">
        <v>13</v>
      </c>
      <c r="H4327">
        <v>25</v>
      </c>
      <c r="I4327">
        <v>0</v>
      </c>
      <c r="J4327">
        <v>0</v>
      </c>
      <c r="K4327">
        <v>8.6910000000000007</v>
      </c>
      <c r="L4327">
        <v>13.678000000000001</v>
      </c>
      <c r="M4327">
        <v>105.48400000000001</v>
      </c>
      <c r="N4327">
        <v>11.65</v>
      </c>
      <c r="O4327">
        <v>1671</v>
      </c>
      <c r="P4327">
        <v>767</v>
      </c>
      <c r="Q4327" s="5" t="e">
        <f>IF(AND(#REF!&gt;=table!$C$6,#REF!&lt;= table!$D$6),-1,IF(AND(#REF!&gt;=table!$E$6,#REF!&lt;=table!$F$6),1,0))</f>
        <v>#REF!</v>
      </c>
      <c r="R4327" s="5" t="e">
        <f>IF(AND(#REF!&gt;=table!$C$7,#REF!&lt;= table!$D$7),-1,IF(AND(#REF!&gt;=table!$E$7,#REF!&lt;=table!$F$7),1,0))</f>
        <v>#REF!</v>
      </c>
      <c r="S4327" s="5" t="e">
        <f>IF(AND(#REF!&gt;=table!$C$8,#REF!&lt;= table!$D$8),-1,IF(AND(#REF!&gt;=table!$E$8,#REF!&lt;=table!$F$8),1,0))</f>
        <v>#REF!</v>
      </c>
      <c r="T4327" s="5"/>
      <c r="U4327" s="5" t="e">
        <f>IF(AND(#REF!&gt;=table!$C$10,#REF!&lt;= table!$D$10),-1,IF(AND(#REF!&gt;=table!$E$10,#REF!&lt;=table!$F$10),1,0))</f>
        <v>#REF!</v>
      </c>
      <c r="V4327" s="5" t="e">
        <f>IF(AND(#REF!&gt;=table!$C$11,#REF!&lt;= table!$D$11),-1,IF(AND(#REF!&gt;=table!$E$11,#REF!&lt;=table!$F$11),1,0))</f>
        <v>#REF!</v>
      </c>
      <c r="W4327" s="5" t="e">
        <f>CONCATENATE(dados[[#This Row],[fator1]],dados[[#This Row],[fator5]],dados[[#This Row],[fator6]])</f>
        <v>#REF!</v>
      </c>
    </row>
    <row r="4328" spans="1:23">
      <c r="A4328" t="s">
        <v>17</v>
      </c>
      <c r="B4328">
        <v>589824</v>
      </c>
      <c r="C4328">
        <v>30</v>
      </c>
      <c r="D4328">
        <v>25</v>
      </c>
      <c r="E4328">
        <v>135</v>
      </c>
      <c r="F4328">
        <v>8</v>
      </c>
      <c r="G4328">
        <v>13</v>
      </c>
      <c r="H4328">
        <v>25</v>
      </c>
      <c r="I4328">
        <v>513</v>
      </c>
      <c r="J4328">
        <v>0</v>
      </c>
      <c r="K4328">
        <v>8.6910000000000007</v>
      </c>
      <c r="L4328">
        <v>13.678000000000001</v>
      </c>
      <c r="M4328">
        <v>94.853000000000009</v>
      </c>
      <c r="N4328">
        <v>17.72</v>
      </c>
      <c r="O4328">
        <v>1689</v>
      </c>
      <c r="P4328">
        <v>448</v>
      </c>
      <c r="Q4328" s="5" t="e">
        <f>IF(AND(#REF!&gt;=table!$C$6,#REF!&lt;= table!$D$6),-1,IF(AND(#REF!&gt;=table!$E$6,#REF!&lt;=table!$F$6),1,0))</f>
        <v>#REF!</v>
      </c>
      <c r="R4328" s="5" t="e">
        <f>IF(AND(#REF!&gt;=table!$C$7,#REF!&lt;= table!$D$7),-1,IF(AND(#REF!&gt;=table!$E$7,#REF!&lt;=table!$F$7),1,0))</f>
        <v>#REF!</v>
      </c>
      <c r="S4328" s="5" t="e">
        <f>IF(AND(#REF!&gt;=table!$C$8,#REF!&lt;= table!$D$8),-1,IF(AND(#REF!&gt;=table!$E$8,#REF!&lt;=table!$F$8),1,0))</f>
        <v>#REF!</v>
      </c>
      <c r="T4328" s="5"/>
      <c r="U4328" s="5" t="e">
        <f>IF(AND(#REF!&gt;=table!$C$10,#REF!&lt;= table!$D$10),-1,IF(AND(#REF!&gt;=table!$E$10,#REF!&lt;=table!$F$10),1,0))</f>
        <v>#REF!</v>
      </c>
      <c r="V4328" s="5" t="e">
        <f>IF(AND(#REF!&gt;=table!$C$11,#REF!&lt;= table!$D$11),-1,IF(AND(#REF!&gt;=table!$E$11,#REF!&lt;=table!$F$11),1,0))</f>
        <v>#REF!</v>
      </c>
      <c r="W4328" s="5" t="e">
        <f>CONCATENATE(dados[[#This Row],[fator1]],dados[[#This Row],[fator5]],dados[[#This Row],[fator6]])</f>
        <v>#REF!</v>
      </c>
    </row>
    <row r="4329" spans="1:23">
      <c r="A4329" t="s">
        <v>17</v>
      </c>
      <c r="B4329">
        <v>589825</v>
      </c>
      <c r="C4329">
        <v>30</v>
      </c>
      <c r="D4329">
        <v>25</v>
      </c>
      <c r="E4329">
        <v>135</v>
      </c>
      <c r="F4329">
        <v>8</v>
      </c>
      <c r="G4329">
        <v>13</v>
      </c>
      <c r="H4329">
        <v>25</v>
      </c>
      <c r="I4329">
        <v>741</v>
      </c>
      <c r="J4329">
        <v>0</v>
      </c>
      <c r="K4329">
        <v>9.6230000000000011</v>
      </c>
      <c r="L4329">
        <v>17.350999999999999</v>
      </c>
      <c r="M4329">
        <v>110.09700000000001</v>
      </c>
      <c r="N4329">
        <v>19.13</v>
      </c>
      <c r="O4329">
        <v>1701</v>
      </c>
      <c r="P4329">
        <v>728</v>
      </c>
      <c r="Q4329" s="5" t="e">
        <f>IF(AND(#REF!&gt;=table!$C$6,#REF!&lt;= table!$D$6),-1,IF(AND(#REF!&gt;=table!$E$6,#REF!&lt;=table!$F$6),1,0))</f>
        <v>#REF!</v>
      </c>
      <c r="R4329" s="5" t="e">
        <f>IF(AND(#REF!&gt;=table!$C$7,#REF!&lt;= table!$D$7),-1,IF(AND(#REF!&gt;=table!$E$7,#REF!&lt;=table!$F$7),1,0))</f>
        <v>#REF!</v>
      </c>
      <c r="S4329" s="5" t="e">
        <f>IF(AND(#REF!&gt;=table!$C$8,#REF!&lt;= table!$D$8),-1,IF(AND(#REF!&gt;=table!$E$8,#REF!&lt;=table!$F$8),1,0))</f>
        <v>#REF!</v>
      </c>
      <c r="T4329" s="5"/>
      <c r="U4329" s="5" t="e">
        <f>IF(AND(#REF!&gt;=table!$C$10,#REF!&lt;= table!$D$10),-1,IF(AND(#REF!&gt;=table!$E$10,#REF!&lt;=table!$F$10),1,0))</f>
        <v>#REF!</v>
      </c>
      <c r="V4329" s="5" t="e">
        <f>IF(AND(#REF!&gt;=table!$C$11,#REF!&lt;= table!$D$11),-1,IF(AND(#REF!&gt;=table!$E$11,#REF!&lt;=table!$F$11),1,0))</f>
        <v>#REF!</v>
      </c>
      <c r="W4329" s="5" t="e">
        <f>CONCATENATE(dados[[#This Row],[fator1]],dados[[#This Row],[fator5]],dados[[#This Row],[fator6]])</f>
        <v>#REF!</v>
      </c>
    </row>
    <row r="4330" spans="1:23">
      <c r="A4330" t="s">
        <v>17</v>
      </c>
      <c r="B4330">
        <v>589826</v>
      </c>
      <c r="C4330">
        <v>30</v>
      </c>
      <c r="D4330">
        <v>25</v>
      </c>
      <c r="E4330">
        <v>135</v>
      </c>
      <c r="F4330">
        <v>8</v>
      </c>
      <c r="G4330">
        <v>13</v>
      </c>
      <c r="H4330">
        <v>25</v>
      </c>
      <c r="I4330">
        <v>282</v>
      </c>
      <c r="J4330">
        <v>0</v>
      </c>
      <c r="K4330">
        <v>9.6230000000000011</v>
      </c>
      <c r="L4330">
        <v>17.350999999999999</v>
      </c>
      <c r="M4330">
        <v>121.88950000000001</v>
      </c>
      <c r="N4330">
        <v>19.16</v>
      </c>
      <c r="O4330">
        <v>1663</v>
      </c>
      <c r="P4330">
        <v>372</v>
      </c>
      <c r="Q4330" s="5" t="e">
        <f>IF(AND(#REF!&gt;=table!$C$6,#REF!&lt;= table!$D$6),-1,IF(AND(#REF!&gt;=table!$E$6,#REF!&lt;=table!$F$6),1,0))</f>
        <v>#REF!</v>
      </c>
      <c r="R4330" s="5" t="e">
        <f>IF(AND(#REF!&gt;=table!$C$7,#REF!&lt;= table!$D$7),-1,IF(AND(#REF!&gt;=table!$E$7,#REF!&lt;=table!$F$7),1,0))</f>
        <v>#REF!</v>
      </c>
      <c r="S4330" s="5" t="e">
        <f>IF(AND(#REF!&gt;=table!$C$8,#REF!&lt;= table!$D$8),-1,IF(AND(#REF!&gt;=table!$E$8,#REF!&lt;=table!$F$8),1,0))</f>
        <v>#REF!</v>
      </c>
      <c r="T4330" s="5"/>
      <c r="U4330" s="5" t="e">
        <f>IF(AND(#REF!&gt;=table!$C$10,#REF!&lt;= table!$D$10),-1,IF(AND(#REF!&gt;=table!$E$10,#REF!&lt;=table!$F$10),1,0))</f>
        <v>#REF!</v>
      </c>
      <c r="V4330" s="5" t="e">
        <f>IF(AND(#REF!&gt;=table!$C$11,#REF!&lt;= table!$D$11),-1,IF(AND(#REF!&gt;=table!$E$11,#REF!&lt;=table!$F$11),1,0))</f>
        <v>#REF!</v>
      </c>
      <c r="W4330" s="5" t="e">
        <f>CONCATENATE(dados[[#This Row],[fator1]],dados[[#This Row],[fator5]],dados[[#This Row],[fator6]])</f>
        <v>#REF!</v>
      </c>
    </row>
    <row r="4331" spans="1:23">
      <c r="A4331" t="s">
        <v>17</v>
      </c>
      <c r="B4331">
        <v>589827</v>
      </c>
      <c r="C4331">
        <v>20</v>
      </c>
      <c r="D4331">
        <v>33</v>
      </c>
      <c r="E4331">
        <v>40</v>
      </c>
      <c r="F4331">
        <v>5</v>
      </c>
      <c r="G4331">
        <v>20</v>
      </c>
      <c r="H4331">
        <v>25</v>
      </c>
      <c r="I4331">
        <v>0</v>
      </c>
      <c r="J4331">
        <v>0</v>
      </c>
      <c r="K4331">
        <v>6.0060000000000002</v>
      </c>
      <c r="L4331">
        <v>14.896500000000001</v>
      </c>
      <c r="M4331">
        <v>42.131</v>
      </c>
      <c r="N4331">
        <v>20.95</v>
      </c>
      <c r="O4331">
        <v>1714</v>
      </c>
      <c r="P4331">
        <v>743</v>
      </c>
      <c r="Q4331" s="5" t="e">
        <f>IF(AND(#REF!&gt;=table!$C$6,#REF!&lt;= table!$D$6),-1,IF(AND(#REF!&gt;=table!$E$6,#REF!&lt;=table!$F$6),1,0))</f>
        <v>#REF!</v>
      </c>
      <c r="R4331" s="5" t="e">
        <f>IF(AND(#REF!&gt;=table!$C$7,#REF!&lt;= table!$D$7),-1,IF(AND(#REF!&gt;=table!$E$7,#REF!&lt;=table!$F$7),1,0))</f>
        <v>#REF!</v>
      </c>
      <c r="S4331" s="5" t="e">
        <f>IF(AND(#REF!&gt;=table!$C$8,#REF!&lt;= table!$D$8),-1,IF(AND(#REF!&gt;=table!$E$8,#REF!&lt;=table!$F$8),1,0))</f>
        <v>#REF!</v>
      </c>
      <c r="T4331" s="5"/>
      <c r="U4331" s="5" t="e">
        <f>IF(AND(#REF!&gt;=table!$C$10,#REF!&lt;= table!$D$10),-1,IF(AND(#REF!&gt;=table!$E$10,#REF!&lt;=table!$F$10),1,0))</f>
        <v>#REF!</v>
      </c>
      <c r="V4331" s="5" t="e">
        <f>IF(AND(#REF!&gt;=table!$C$11,#REF!&lt;= table!$D$11),-1,IF(AND(#REF!&gt;=table!$E$11,#REF!&lt;=table!$F$11),1,0))</f>
        <v>#REF!</v>
      </c>
      <c r="W4331" s="5" t="e">
        <f>CONCATENATE(dados[[#This Row],[fator1]],dados[[#This Row],[fator5]],dados[[#This Row],[fator6]])</f>
        <v>#REF!</v>
      </c>
    </row>
    <row r="4332" spans="1:23">
      <c r="A4332" t="s">
        <v>16</v>
      </c>
      <c r="B4332">
        <v>589833</v>
      </c>
      <c r="C4332">
        <v>16</v>
      </c>
      <c r="D4332">
        <v>30</v>
      </c>
      <c r="E4332">
        <v>56</v>
      </c>
      <c r="F4332">
        <v>3</v>
      </c>
      <c r="G4332">
        <v>0</v>
      </c>
      <c r="H4332">
        <v>25</v>
      </c>
      <c r="I4332">
        <v>918</v>
      </c>
      <c r="J4332">
        <v>0</v>
      </c>
      <c r="K4332">
        <v>13.379300000000001</v>
      </c>
      <c r="L4332">
        <v>22.8415</v>
      </c>
      <c r="M4332">
        <v>62.172000000000004</v>
      </c>
      <c r="N4332">
        <v>21.565000000000001</v>
      </c>
      <c r="O4332">
        <v>1657</v>
      </c>
      <c r="P4332">
        <v>281</v>
      </c>
      <c r="Q4332" s="5" t="e">
        <f>IF(AND(#REF!&gt;=table!$C$6,#REF!&lt;= table!$D$6),-1,IF(AND(#REF!&gt;=table!$E$6,#REF!&lt;=table!$F$6),1,0))</f>
        <v>#REF!</v>
      </c>
      <c r="R4332" s="5" t="e">
        <f>IF(AND(#REF!&gt;=table!$C$7,#REF!&lt;= table!$D$7),-1,IF(AND(#REF!&gt;=table!$E$7,#REF!&lt;=table!$F$7),1,0))</f>
        <v>#REF!</v>
      </c>
      <c r="S4332" s="5" t="e">
        <f>IF(AND(#REF!&gt;=table!$C$8,#REF!&lt;= table!$D$8),-1,IF(AND(#REF!&gt;=table!$E$8,#REF!&lt;=table!$F$8),1,0))</f>
        <v>#REF!</v>
      </c>
      <c r="T4332" s="5"/>
      <c r="U4332" s="5" t="e">
        <f>IF(AND(#REF!&gt;=table!$C$10,#REF!&lt;= table!$D$10),-1,IF(AND(#REF!&gt;=table!$E$10,#REF!&lt;=table!$F$10),1,0))</f>
        <v>#REF!</v>
      </c>
      <c r="V4332" s="5" t="e">
        <f>IF(AND(#REF!&gt;=table!$C$11,#REF!&lt;= table!$D$11),-1,IF(AND(#REF!&gt;=table!$E$11,#REF!&lt;=table!$F$11),1,0))</f>
        <v>#REF!</v>
      </c>
      <c r="W4332" s="5" t="e">
        <f>CONCATENATE(dados[[#This Row],[fator1]],dados[[#This Row],[fator5]],dados[[#This Row],[fator6]])</f>
        <v>#REF!</v>
      </c>
    </row>
    <row r="4333" spans="1:23">
      <c r="A4333" t="s">
        <v>16</v>
      </c>
      <c r="B4333">
        <v>589834</v>
      </c>
      <c r="C4333">
        <v>16</v>
      </c>
      <c r="D4333">
        <v>30</v>
      </c>
      <c r="E4333">
        <v>56</v>
      </c>
      <c r="F4333">
        <v>3</v>
      </c>
      <c r="G4333">
        <v>0</v>
      </c>
      <c r="H4333">
        <v>25</v>
      </c>
      <c r="I4333">
        <v>894</v>
      </c>
      <c r="J4333">
        <v>0</v>
      </c>
      <c r="K4333">
        <v>6.375</v>
      </c>
      <c r="L4333">
        <v>18.525000000000002</v>
      </c>
      <c r="M4333">
        <v>54.967500000000001</v>
      </c>
      <c r="N4333">
        <v>23.315000000000001</v>
      </c>
      <c r="O4333">
        <v>1692</v>
      </c>
      <c r="P4333">
        <v>620</v>
      </c>
      <c r="Q4333" s="5" t="e">
        <f>IF(AND(#REF!&gt;=table!$C$6,#REF!&lt;= table!$D$6),-1,IF(AND(#REF!&gt;=table!$E$6,#REF!&lt;=table!$F$6),1,0))</f>
        <v>#REF!</v>
      </c>
      <c r="R4333" s="5" t="e">
        <f>IF(AND(#REF!&gt;=table!$C$7,#REF!&lt;= table!$D$7),-1,IF(AND(#REF!&gt;=table!$E$7,#REF!&lt;=table!$F$7),1,0))</f>
        <v>#REF!</v>
      </c>
      <c r="S4333" s="5" t="e">
        <f>IF(AND(#REF!&gt;=table!$C$8,#REF!&lt;= table!$D$8),-1,IF(AND(#REF!&gt;=table!$E$8,#REF!&lt;=table!$F$8),1,0))</f>
        <v>#REF!</v>
      </c>
      <c r="T4333" s="5"/>
      <c r="U4333" s="5" t="e">
        <f>IF(AND(#REF!&gt;=table!$C$10,#REF!&lt;= table!$D$10),-1,IF(AND(#REF!&gt;=table!$E$10,#REF!&lt;=table!$F$10),1,0))</f>
        <v>#REF!</v>
      </c>
      <c r="V4333" s="5" t="e">
        <f>IF(AND(#REF!&gt;=table!$C$11,#REF!&lt;= table!$D$11),-1,IF(AND(#REF!&gt;=table!$E$11,#REF!&lt;=table!$F$11),1,0))</f>
        <v>#REF!</v>
      </c>
      <c r="W4333" s="5" t="e">
        <f>CONCATENATE(dados[[#This Row],[fator1]],dados[[#This Row],[fator5]],dados[[#This Row],[fator6]])</f>
        <v>#REF!</v>
      </c>
    </row>
    <row r="4334" spans="1:23">
      <c r="A4334" t="s">
        <v>16</v>
      </c>
      <c r="B4334">
        <v>589836</v>
      </c>
      <c r="C4334">
        <v>0.15</v>
      </c>
      <c r="D4334">
        <v>40</v>
      </c>
      <c r="E4334">
        <v>10</v>
      </c>
      <c r="F4334">
        <v>15</v>
      </c>
      <c r="G4334">
        <v>0</v>
      </c>
      <c r="H4334">
        <v>15</v>
      </c>
      <c r="I4334">
        <v>853</v>
      </c>
      <c r="J4334">
        <v>920</v>
      </c>
      <c r="K4334">
        <v>5.9755000000000003</v>
      </c>
      <c r="L4334">
        <v>14.114500000000001</v>
      </c>
      <c r="M4334">
        <v>8.2855000000000008</v>
      </c>
      <c r="N4334">
        <v>16.115000000000002</v>
      </c>
      <c r="O4334">
        <v>1690</v>
      </c>
      <c r="P4334">
        <v>682</v>
      </c>
      <c r="Q4334" s="5" t="e">
        <f>IF(AND(#REF!&gt;=table!$C$6,#REF!&lt;= table!$D$6),-1,IF(AND(#REF!&gt;=table!$E$6,#REF!&lt;=table!$F$6),1,0))</f>
        <v>#REF!</v>
      </c>
      <c r="R4334" s="5" t="e">
        <f>IF(AND(#REF!&gt;=table!$C$7,#REF!&lt;= table!$D$7),-1,IF(AND(#REF!&gt;=table!$E$7,#REF!&lt;=table!$F$7),1,0))</f>
        <v>#REF!</v>
      </c>
      <c r="S4334" s="5" t="e">
        <f>IF(AND(#REF!&gt;=table!$C$8,#REF!&lt;= table!$D$8),-1,IF(AND(#REF!&gt;=table!$E$8,#REF!&lt;=table!$F$8),1,0))</f>
        <v>#REF!</v>
      </c>
      <c r="T4334" s="5"/>
      <c r="U4334" s="5" t="e">
        <f>IF(AND(#REF!&gt;=table!$C$10,#REF!&lt;= table!$D$10),-1,IF(AND(#REF!&gt;=table!$E$10,#REF!&lt;=table!$F$10),1,0))</f>
        <v>#REF!</v>
      </c>
      <c r="V4334" s="5" t="e">
        <f>IF(AND(#REF!&gt;=table!$C$11,#REF!&lt;= table!$D$11),-1,IF(AND(#REF!&gt;=table!$E$11,#REF!&lt;=table!$F$11),1,0))</f>
        <v>#REF!</v>
      </c>
      <c r="W4334" s="5" t="e">
        <f>CONCATENATE(dados[[#This Row],[fator1]],dados[[#This Row],[fator5]],dados[[#This Row],[fator6]])</f>
        <v>#REF!</v>
      </c>
    </row>
    <row r="4335" spans="1:23">
      <c r="A4335" t="s">
        <v>17</v>
      </c>
      <c r="B4335">
        <v>589840</v>
      </c>
      <c r="C4335">
        <v>26</v>
      </c>
      <c r="D4335">
        <v>75</v>
      </c>
      <c r="E4335">
        <v>90</v>
      </c>
      <c r="F4335">
        <v>3</v>
      </c>
      <c r="G4335">
        <v>30</v>
      </c>
      <c r="H4335">
        <v>20</v>
      </c>
      <c r="I4335">
        <v>1937</v>
      </c>
      <c r="J4335">
        <v>1030</v>
      </c>
      <c r="K4335">
        <v>7.1275000000000004</v>
      </c>
      <c r="L4335">
        <v>16.2925</v>
      </c>
      <c r="M4335">
        <v>75.279000000000011</v>
      </c>
      <c r="N4335">
        <v>14.535</v>
      </c>
      <c r="O4335">
        <v>1690</v>
      </c>
      <c r="P4335">
        <v>544</v>
      </c>
      <c r="Q4335" s="5" t="e">
        <f>IF(AND(#REF!&gt;=table!$C$6,#REF!&lt;= table!$D$6),-1,IF(AND(#REF!&gt;=table!$E$6,#REF!&lt;=table!$F$6),1,0))</f>
        <v>#REF!</v>
      </c>
      <c r="R4335" s="5" t="e">
        <f>IF(AND(#REF!&gt;=table!$C$7,#REF!&lt;= table!$D$7),-1,IF(AND(#REF!&gt;=table!$E$7,#REF!&lt;=table!$F$7),1,0))</f>
        <v>#REF!</v>
      </c>
      <c r="S4335" s="5" t="e">
        <f>IF(AND(#REF!&gt;=table!$C$8,#REF!&lt;= table!$D$8),-1,IF(AND(#REF!&gt;=table!$E$8,#REF!&lt;=table!$F$8),1,0))</f>
        <v>#REF!</v>
      </c>
      <c r="T4335" s="5"/>
      <c r="U4335" s="5" t="e">
        <f>IF(AND(#REF!&gt;=table!$C$10,#REF!&lt;= table!$D$10),-1,IF(AND(#REF!&gt;=table!$E$10,#REF!&lt;=table!$F$10),1,0))</f>
        <v>#REF!</v>
      </c>
      <c r="V4335" s="5" t="e">
        <f>IF(AND(#REF!&gt;=table!$C$11,#REF!&lt;= table!$D$11),-1,IF(AND(#REF!&gt;=table!$E$11,#REF!&lt;=table!$F$11),1,0))</f>
        <v>#REF!</v>
      </c>
      <c r="W4335" s="5" t="e">
        <f>CONCATENATE(dados[[#This Row],[fator1]],dados[[#This Row],[fator5]],dados[[#This Row],[fator6]])</f>
        <v>#REF!</v>
      </c>
    </row>
    <row r="4336" spans="1:23">
      <c r="A4336" t="s">
        <v>17</v>
      </c>
      <c r="B4336">
        <v>589843</v>
      </c>
      <c r="C4336">
        <v>19</v>
      </c>
      <c r="D4336">
        <v>33</v>
      </c>
      <c r="E4336">
        <v>101</v>
      </c>
      <c r="F4336">
        <v>6</v>
      </c>
      <c r="G4336">
        <v>28</v>
      </c>
      <c r="H4336">
        <v>25</v>
      </c>
      <c r="I4336">
        <v>10</v>
      </c>
      <c r="J4336">
        <v>0</v>
      </c>
      <c r="K4336">
        <v>4.8505000000000003</v>
      </c>
      <c r="L4336">
        <v>12.767000000000001</v>
      </c>
      <c r="M4336">
        <v>96.490500000000011</v>
      </c>
      <c r="N4336">
        <v>17.795000000000002</v>
      </c>
      <c r="O4336">
        <v>1702</v>
      </c>
      <c r="P4336">
        <v>0</v>
      </c>
      <c r="Q4336" s="5" t="e">
        <f>IF(AND(#REF!&gt;=table!$C$6,#REF!&lt;= table!$D$6),-1,IF(AND(#REF!&gt;=table!$E$6,#REF!&lt;=table!$F$6),1,0))</f>
        <v>#REF!</v>
      </c>
      <c r="R4336" s="5" t="e">
        <f>IF(AND(#REF!&gt;=table!$C$7,#REF!&lt;= table!$D$7),-1,IF(AND(#REF!&gt;=table!$E$7,#REF!&lt;=table!$F$7),1,0))</f>
        <v>#REF!</v>
      </c>
      <c r="S4336" s="5" t="e">
        <f>IF(AND(#REF!&gt;=table!$C$8,#REF!&lt;= table!$D$8),-1,IF(AND(#REF!&gt;=table!$E$8,#REF!&lt;=table!$F$8),1,0))</f>
        <v>#REF!</v>
      </c>
      <c r="T4336" s="5"/>
      <c r="U4336" s="5" t="e">
        <f>IF(AND(#REF!&gt;=table!$C$10,#REF!&lt;= table!$D$10),-1,IF(AND(#REF!&gt;=table!$E$10,#REF!&lt;=table!$F$10),1,0))</f>
        <v>#REF!</v>
      </c>
      <c r="V4336" s="5" t="e">
        <f>IF(AND(#REF!&gt;=table!$C$11,#REF!&lt;= table!$D$11),-1,IF(AND(#REF!&gt;=table!$E$11,#REF!&lt;=table!$F$11),1,0))</f>
        <v>#REF!</v>
      </c>
      <c r="W4336" s="5" t="e">
        <f>CONCATENATE(dados[[#This Row],[fator1]],dados[[#This Row],[fator5]],dados[[#This Row],[fator6]])</f>
        <v>#REF!</v>
      </c>
    </row>
    <row r="4337" spans="1:23">
      <c r="A4337" t="s">
        <v>16</v>
      </c>
      <c r="B4337">
        <v>589846</v>
      </c>
      <c r="C4337">
        <v>0.15</v>
      </c>
      <c r="D4337">
        <v>40</v>
      </c>
      <c r="E4337">
        <v>10</v>
      </c>
      <c r="F4337">
        <v>15</v>
      </c>
      <c r="G4337">
        <v>0</v>
      </c>
      <c r="H4337">
        <v>15</v>
      </c>
      <c r="I4337">
        <v>751</v>
      </c>
      <c r="J4337">
        <v>1050</v>
      </c>
      <c r="K4337">
        <v>6.5575000000000001</v>
      </c>
      <c r="L4337">
        <v>19.310500000000001</v>
      </c>
      <c r="M4337">
        <v>9.2210000000000001</v>
      </c>
      <c r="N4337">
        <v>13.725000000000001</v>
      </c>
      <c r="O4337">
        <v>1726</v>
      </c>
      <c r="P4337">
        <v>690</v>
      </c>
      <c r="Q4337" s="5" t="e">
        <f>IF(AND(#REF!&gt;=table!$C$6,#REF!&lt;= table!$D$6),-1,IF(AND(#REF!&gt;=table!$E$6,#REF!&lt;=table!$F$6),1,0))</f>
        <v>#REF!</v>
      </c>
      <c r="R4337" s="5" t="e">
        <f>IF(AND(#REF!&gt;=table!$C$7,#REF!&lt;= table!$D$7),-1,IF(AND(#REF!&gt;=table!$E$7,#REF!&lt;=table!$F$7),1,0))</f>
        <v>#REF!</v>
      </c>
      <c r="S4337" s="5" t="e">
        <f>IF(AND(#REF!&gt;=table!$C$8,#REF!&lt;= table!$D$8),-1,IF(AND(#REF!&gt;=table!$E$8,#REF!&lt;=table!$F$8),1,0))</f>
        <v>#REF!</v>
      </c>
      <c r="T4337" s="5"/>
      <c r="U4337" s="5" t="e">
        <f>IF(AND(#REF!&gt;=table!$C$10,#REF!&lt;= table!$D$10),-1,IF(AND(#REF!&gt;=table!$E$10,#REF!&lt;=table!$F$10),1,0))</f>
        <v>#REF!</v>
      </c>
      <c r="V4337" s="5" t="e">
        <f>IF(AND(#REF!&gt;=table!$C$11,#REF!&lt;= table!$D$11),-1,IF(AND(#REF!&gt;=table!$E$11,#REF!&lt;=table!$F$11),1,0))</f>
        <v>#REF!</v>
      </c>
      <c r="W4337" s="5" t="e">
        <f>CONCATENATE(dados[[#This Row],[fator1]],dados[[#This Row],[fator5]],dados[[#This Row],[fator6]])</f>
        <v>#REF!</v>
      </c>
    </row>
    <row r="4338" spans="1:23">
      <c r="A4338" t="s">
        <v>17</v>
      </c>
      <c r="B4338">
        <v>589855</v>
      </c>
      <c r="C4338">
        <v>9</v>
      </c>
      <c r="D4338">
        <v>25</v>
      </c>
      <c r="E4338">
        <v>150</v>
      </c>
      <c r="F4338">
        <v>4</v>
      </c>
      <c r="G4338">
        <v>20</v>
      </c>
      <c r="H4338">
        <v>25</v>
      </c>
      <c r="I4338">
        <v>1770</v>
      </c>
      <c r="J4338">
        <v>0</v>
      </c>
      <c r="K4338">
        <v>5.9550000000000001</v>
      </c>
      <c r="L4338">
        <v>14.827500000000001</v>
      </c>
      <c r="M4338">
        <v>130.21350000000001</v>
      </c>
      <c r="N4338">
        <v>19.09</v>
      </c>
      <c r="O4338">
        <v>1679</v>
      </c>
      <c r="P4338">
        <v>558</v>
      </c>
      <c r="Q4338" s="5" t="e">
        <f>IF(AND(#REF!&gt;=table!$C$6,#REF!&lt;= table!$D$6),-1,IF(AND(#REF!&gt;=table!$E$6,#REF!&lt;=table!$F$6),1,0))</f>
        <v>#REF!</v>
      </c>
      <c r="R4338" s="5" t="e">
        <f>IF(AND(#REF!&gt;=table!$C$7,#REF!&lt;= table!$D$7),-1,IF(AND(#REF!&gt;=table!$E$7,#REF!&lt;=table!$F$7),1,0))</f>
        <v>#REF!</v>
      </c>
      <c r="S4338" s="5" t="e">
        <f>IF(AND(#REF!&gt;=table!$C$8,#REF!&lt;= table!$D$8),-1,IF(AND(#REF!&gt;=table!$E$8,#REF!&lt;=table!$F$8),1,0))</f>
        <v>#REF!</v>
      </c>
      <c r="T4338" s="5"/>
      <c r="U4338" s="5" t="e">
        <f>IF(AND(#REF!&gt;=table!$C$10,#REF!&lt;= table!$D$10),-1,IF(AND(#REF!&gt;=table!$E$10,#REF!&lt;=table!$F$10),1,0))</f>
        <v>#REF!</v>
      </c>
      <c r="V4338" s="5" t="e">
        <f>IF(AND(#REF!&gt;=table!$C$11,#REF!&lt;= table!$D$11),-1,IF(AND(#REF!&gt;=table!$E$11,#REF!&lt;=table!$F$11),1,0))</f>
        <v>#REF!</v>
      </c>
      <c r="W4338" s="5" t="e">
        <f>CONCATENATE(dados[[#This Row],[fator1]],dados[[#This Row],[fator5]],dados[[#This Row],[fator6]])</f>
        <v>#REF!</v>
      </c>
    </row>
    <row r="4339" spans="1:23">
      <c r="A4339" t="s">
        <v>17</v>
      </c>
      <c r="B4339">
        <v>589857</v>
      </c>
      <c r="C4339">
        <v>18</v>
      </c>
      <c r="D4339">
        <v>23</v>
      </c>
      <c r="E4339">
        <v>145</v>
      </c>
      <c r="F4339">
        <v>9</v>
      </c>
      <c r="G4339">
        <v>30</v>
      </c>
      <c r="H4339">
        <v>25</v>
      </c>
      <c r="I4339">
        <v>1804</v>
      </c>
      <c r="J4339">
        <v>0</v>
      </c>
      <c r="K4339">
        <v>8.7740000000000009</v>
      </c>
      <c r="L4339">
        <v>10.0175</v>
      </c>
      <c r="M4339">
        <v>124.33550000000001</v>
      </c>
      <c r="N4339">
        <v>10.155000000000001</v>
      </c>
      <c r="O4339">
        <v>1650</v>
      </c>
      <c r="P4339">
        <v>438</v>
      </c>
      <c r="Q4339" s="5" t="e">
        <f>IF(AND(#REF!&gt;=table!$C$6,#REF!&lt;= table!$D$6),-1,IF(AND(#REF!&gt;=table!$E$6,#REF!&lt;=table!$F$6),1,0))</f>
        <v>#REF!</v>
      </c>
      <c r="R4339" s="5" t="e">
        <f>IF(AND(#REF!&gt;=table!$C$7,#REF!&lt;= table!$D$7),-1,IF(AND(#REF!&gt;=table!$E$7,#REF!&lt;=table!$F$7),1,0))</f>
        <v>#REF!</v>
      </c>
      <c r="S4339" s="5" t="e">
        <f>IF(AND(#REF!&gt;=table!$C$8,#REF!&lt;= table!$D$8),-1,IF(AND(#REF!&gt;=table!$E$8,#REF!&lt;=table!$F$8),1,0))</f>
        <v>#REF!</v>
      </c>
      <c r="T4339" s="5"/>
      <c r="U4339" s="5" t="e">
        <f>IF(AND(#REF!&gt;=table!$C$10,#REF!&lt;= table!$D$10),-1,IF(AND(#REF!&gt;=table!$E$10,#REF!&lt;=table!$F$10),1,0))</f>
        <v>#REF!</v>
      </c>
      <c r="V4339" s="5" t="e">
        <f>IF(AND(#REF!&gt;=table!$C$11,#REF!&lt;= table!$D$11),-1,IF(AND(#REF!&gt;=table!$E$11,#REF!&lt;=table!$F$11),1,0))</f>
        <v>#REF!</v>
      </c>
      <c r="W4339" s="5" t="e">
        <f>CONCATENATE(dados[[#This Row],[fator1]],dados[[#This Row],[fator5]],dados[[#This Row],[fator6]])</f>
        <v>#REF!</v>
      </c>
    </row>
    <row r="4340" spans="1:23">
      <c r="A4340" t="s">
        <v>16</v>
      </c>
      <c r="B4340">
        <v>589860</v>
      </c>
      <c r="C4340">
        <v>0.15</v>
      </c>
      <c r="D4340">
        <v>40</v>
      </c>
      <c r="E4340">
        <v>10</v>
      </c>
      <c r="F4340">
        <v>15</v>
      </c>
      <c r="G4340">
        <v>0</v>
      </c>
      <c r="H4340">
        <v>15</v>
      </c>
      <c r="I4340">
        <v>1258</v>
      </c>
      <c r="J4340">
        <v>0</v>
      </c>
      <c r="K4340">
        <v>4.2004999999999999</v>
      </c>
      <c r="L4340">
        <v>5.5680000000000005</v>
      </c>
      <c r="M4340">
        <v>5.3120000000000003</v>
      </c>
      <c r="N4340">
        <v>10.345000000000001</v>
      </c>
      <c r="O4340">
        <v>1686</v>
      </c>
      <c r="P4340">
        <v>0</v>
      </c>
      <c r="Q4340" s="5" t="e">
        <f>IF(AND(#REF!&gt;=table!$C$6,#REF!&lt;= table!$D$6),-1,IF(AND(#REF!&gt;=table!$E$6,#REF!&lt;=table!$F$6),1,0))</f>
        <v>#REF!</v>
      </c>
      <c r="R4340" s="5" t="e">
        <f>IF(AND(#REF!&gt;=table!$C$7,#REF!&lt;= table!$D$7),-1,IF(AND(#REF!&gt;=table!$E$7,#REF!&lt;=table!$F$7),1,0))</f>
        <v>#REF!</v>
      </c>
      <c r="S4340" s="5" t="e">
        <f>IF(AND(#REF!&gt;=table!$C$8,#REF!&lt;= table!$D$8),-1,IF(AND(#REF!&gt;=table!$E$8,#REF!&lt;=table!$F$8),1,0))</f>
        <v>#REF!</v>
      </c>
      <c r="T4340" s="5"/>
      <c r="U4340" s="5" t="e">
        <f>IF(AND(#REF!&gt;=table!$C$10,#REF!&lt;= table!$D$10),-1,IF(AND(#REF!&gt;=table!$E$10,#REF!&lt;=table!$F$10),1,0))</f>
        <v>#REF!</v>
      </c>
      <c r="V4340" s="5" t="e">
        <f>IF(AND(#REF!&gt;=table!$C$11,#REF!&lt;= table!$D$11),-1,IF(AND(#REF!&gt;=table!$E$11,#REF!&lt;=table!$F$11),1,0))</f>
        <v>#REF!</v>
      </c>
      <c r="W4340" s="5" t="e">
        <f>CONCATENATE(dados[[#This Row],[fator1]],dados[[#This Row],[fator5]],dados[[#This Row],[fator6]])</f>
        <v>#REF!</v>
      </c>
    </row>
    <row r="4341" spans="1:23">
      <c r="A4341" t="s">
        <v>16</v>
      </c>
      <c r="B4341">
        <v>589863</v>
      </c>
      <c r="C4341">
        <v>9</v>
      </c>
      <c r="D4341">
        <v>35</v>
      </c>
      <c r="E4341">
        <v>36</v>
      </c>
      <c r="F4341">
        <v>9</v>
      </c>
      <c r="G4341">
        <v>0</v>
      </c>
      <c r="H4341">
        <v>25</v>
      </c>
      <c r="I4341">
        <v>943</v>
      </c>
      <c r="J4341">
        <v>0</v>
      </c>
      <c r="K4341">
        <v>4.3490000000000002</v>
      </c>
      <c r="L4341">
        <v>12.079000000000001</v>
      </c>
      <c r="M4341">
        <v>39.3825</v>
      </c>
      <c r="N4341">
        <v>14.275</v>
      </c>
      <c r="O4341">
        <v>1675</v>
      </c>
      <c r="P4341">
        <v>655</v>
      </c>
      <c r="Q4341" s="5" t="e">
        <f>IF(AND(#REF!&gt;=table!$C$6,#REF!&lt;= table!$D$6),-1,IF(AND(#REF!&gt;=table!$E$6,#REF!&lt;=table!$F$6),1,0))</f>
        <v>#REF!</v>
      </c>
      <c r="R4341" s="5" t="e">
        <f>IF(AND(#REF!&gt;=table!$C$7,#REF!&lt;= table!$D$7),-1,IF(AND(#REF!&gt;=table!$E$7,#REF!&lt;=table!$F$7),1,0))</f>
        <v>#REF!</v>
      </c>
      <c r="S4341" s="5" t="e">
        <f>IF(AND(#REF!&gt;=table!$C$8,#REF!&lt;= table!$D$8),-1,IF(AND(#REF!&gt;=table!$E$8,#REF!&lt;=table!$F$8),1,0))</f>
        <v>#REF!</v>
      </c>
      <c r="T4341" s="5"/>
      <c r="U4341" s="5" t="e">
        <f>IF(AND(#REF!&gt;=table!$C$10,#REF!&lt;= table!$D$10),-1,IF(AND(#REF!&gt;=table!$E$10,#REF!&lt;=table!$F$10),1,0))</f>
        <v>#REF!</v>
      </c>
      <c r="V4341" s="5" t="e">
        <f>IF(AND(#REF!&gt;=table!$C$11,#REF!&lt;= table!$D$11),-1,IF(AND(#REF!&gt;=table!$E$11,#REF!&lt;=table!$F$11),1,0))</f>
        <v>#REF!</v>
      </c>
      <c r="W4341" s="5" t="e">
        <f>CONCATENATE(dados[[#This Row],[fator1]],dados[[#This Row],[fator5]],dados[[#This Row],[fator6]])</f>
        <v>#REF!</v>
      </c>
    </row>
    <row r="4342" spans="1:23">
      <c r="A4342" t="s">
        <v>16</v>
      </c>
      <c r="B4342">
        <v>589866</v>
      </c>
      <c r="C4342">
        <v>9</v>
      </c>
      <c r="D4342">
        <v>27</v>
      </c>
      <c r="E4342">
        <v>36</v>
      </c>
      <c r="F4342">
        <v>8</v>
      </c>
      <c r="G4342">
        <v>0</v>
      </c>
      <c r="H4342">
        <v>25</v>
      </c>
      <c r="I4342">
        <v>1569</v>
      </c>
      <c r="J4342">
        <v>0</v>
      </c>
      <c r="K4342">
        <v>5.2805</v>
      </c>
      <c r="L4342">
        <v>9.5875000000000004</v>
      </c>
      <c r="M4342">
        <v>37.747</v>
      </c>
      <c r="N4342">
        <v>13.05</v>
      </c>
      <c r="O4342">
        <v>1670</v>
      </c>
      <c r="P4342">
        <v>555</v>
      </c>
      <c r="Q4342" s="5" t="e">
        <f>IF(AND(#REF!&gt;=table!$C$6,#REF!&lt;= table!$D$6),-1,IF(AND(#REF!&gt;=table!$E$6,#REF!&lt;=table!$F$6),1,0))</f>
        <v>#REF!</v>
      </c>
      <c r="R4342" s="5" t="e">
        <f>IF(AND(#REF!&gt;=table!$C$7,#REF!&lt;= table!$D$7),-1,IF(AND(#REF!&gt;=table!$E$7,#REF!&lt;=table!$F$7),1,0))</f>
        <v>#REF!</v>
      </c>
      <c r="S4342" s="5" t="e">
        <f>IF(AND(#REF!&gt;=table!$C$8,#REF!&lt;= table!$D$8),-1,IF(AND(#REF!&gt;=table!$E$8,#REF!&lt;=table!$F$8),1,0))</f>
        <v>#REF!</v>
      </c>
      <c r="T4342" s="5"/>
      <c r="U4342" s="5" t="e">
        <f>IF(AND(#REF!&gt;=table!$C$10,#REF!&lt;= table!$D$10),-1,IF(AND(#REF!&gt;=table!$E$10,#REF!&lt;=table!$F$10),1,0))</f>
        <v>#REF!</v>
      </c>
      <c r="V4342" s="5" t="e">
        <f>IF(AND(#REF!&gt;=table!$C$11,#REF!&lt;= table!$D$11),-1,IF(AND(#REF!&gt;=table!$E$11,#REF!&lt;=table!$F$11),1,0))</f>
        <v>#REF!</v>
      </c>
      <c r="W4342" s="5" t="e">
        <f>CONCATENATE(dados[[#This Row],[fator1]],dados[[#This Row],[fator5]],dados[[#This Row],[fator6]])</f>
        <v>#REF!</v>
      </c>
    </row>
    <row r="4343" spans="1:23">
      <c r="A4343" t="s">
        <v>16</v>
      </c>
      <c r="B4343">
        <v>589867</v>
      </c>
      <c r="C4343">
        <v>9</v>
      </c>
      <c r="D4343">
        <v>35</v>
      </c>
      <c r="E4343">
        <v>36</v>
      </c>
      <c r="F4343">
        <v>9</v>
      </c>
      <c r="G4343">
        <v>0</v>
      </c>
      <c r="H4343">
        <v>25</v>
      </c>
      <c r="I4343">
        <v>1338</v>
      </c>
      <c r="J4343">
        <v>0</v>
      </c>
      <c r="K4343">
        <v>6.702</v>
      </c>
      <c r="L4343">
        <v>12.003500000000001</v>
      </c>
      <c r="M4343">
        <v>41.358000000000004</v>
      </c>
      <c r="N4343">
        <v>15.755000000000001</v>
      </c>
      <c r="O4343">
        <v>1666</v>
      </c>
      <c r="P4343">
        <v>423</v>
      </c>
      <c r="Q4343" s="5" t="e">
        <f>IF(AND(#REF!&gt;=table!$C$6,#REF!&lt;= table!$D$6),-1,IF(AND(#REF!&gt;=table!$E$6,#REF!&lt;=table!$F$6),1,0))</f>
        <v>#REF!</v>
      </c>
      <c r="R4343" s="5" t="e">
        <f>IF(AND(#REF!&gt;=table!$C$7,#REF!&lt;= table!$D$7),-1,IF(AND(#REF!&gt;=table!$E$7,#REF!&lt;=table!$F$7),1,0))</f>
        <v>#REF!</v>
      </c>
      <c r="S4343" s="5" t="e">
        <f>IF(AND(#REF!&gt;=table!$C$8,#REF!&lt;= table!$D$8),-1,IF(AND(#REF!&gt;=table!$E$8,#REF!&lt;=table!$F$8),1,0))</f>
        <v>#REF!</v>
      </c>
      <c r="T4343" s="5"/>
      <c r="U4343" s="5" t="e">
        <f>IF(AND(#REF!&gt;=table!$C$10,#REF!&lt;= table!$D$10),-1,IF(AND(#REF!&gt;=table!$E$10,#REF!&lt;=table!$F$10),1,0))</f>
        <v>#REF!</v>
      </c>
      <c r="V4343" s="5" t="e">
        <f>IF(AND(#REF!&gt;=table!$C$11,#REF!&lt;= table!$D$11),-1,IF(AND(#REF!&gt;=table!$E$11,#REF!&lt;=table!$F$11),1,0))</f>
        <v>#REF!</v>
      </c>
      <c r="W4343" s="5" t="e">
        <f>CONCATENATE(dados[[#This Row],[fator1]],dados[[#This Row],[fator5]],dados[[#This Row],[fator6]])</f>
        <v>#REF!</v>
      </c>
    </row>
    <row r="4344" spans="1:23">
      <c r="A4344" t="s">
        <v>16</v>
      </c>
      <c r="B4344">
        <v>589868</v>
      </c>
      <c r="C4344">
        <v>9</v>
      </c>
      <c r="D4344">
        <v>35</v>
      </c>
      <c r="E4344">
        <v>36</v>
      </c>
      <c r="F4344">
        <v>9</v>
      </c>
      <c r="G4344">
        <v>0</v>
      </c>
      <c r="H4344">
        <v>25</v>
      </c>
      <c r="I4344">
        <v>1858</v>
      </c>
      <c r="J4344">
        <v>0</v>
      </c>
      <c r="K4344">
        <v>9.214500000000001</v>
      </c>
      <c r="L4344">
        <v>10.1235</v>
      </c>
      <c r="M4344">
        <v>41.221000000000004</v>
      </c>
      <c r="N4344">
        <v>13.56</v>
      </c>
      <c r="O4344">
        <v>1666</v>
      </c>
      <c r="P4344">
        <v>431</v>
      </c>
      <c r="Q4344" s="5" t="e">
        <f>IF(AND(#REF!&gt;=table!$C$6,#REF!&lt;= table!$D$6),-1,IF(AND(#REF!&gt;=table!$E$6,#REF!&lt;=table!$F$6),1,0))</f>
        <v>#REF!</v>
      </c>
      <c r="R4344" s="5" t="e">
        <f>IF(AND(#REF!&gt;=table!$C$7,#REF!&lt;= table!$D$7),-1,IF(AND(#REF!&gt;=table!$E$7,#REF!&lt;=table!$F$7),1,0))</f>
        <v>#REF!</v>
      </c>
      <c r="S4344" s="5" t="e">
        <f>IF(AND(#REF!&gt;=table!$C$8,#REF!&lt;= table!$D$8),-1,IF(AND(#REF!&gt;=table!$E$8,#REF!&lt;=table!$F$8),1,0))</f>
        <v>#REF!</v>
      </c>
      <c r="T4344" s="5"/>
      <c r="U4344" s="5" t="e">
        <f>IF(AND(#REF!&gt;=table!$C$10,#REF!&lt;= table!$D$10),-1,IF(AND(#REF!&gt;=table!$E$10,#REF!&lt;=table!$F$10),1,0))</f>
        <v>#REF!</v>
      </c>
      <c r="V4344" s="5" t="e">
        <f>IF(AND(#REF!&gt;=table!$C$11,#REF!&lt;= table!$D$11),-1,IF(AND(#REF!&gt;=table!$E$11,#REF!&lt;=table!$F$11),1,0))</f>
        <v>#REF!</v>
      </c>
      <c r="W4344" s="5" t="e">
        <f>CONCATENATE(dados[[#This Row],[fator1]],dados[[#This Row],[fator5]],dados[[#This Row],[fator6]])</f>
        <v>#REF!</v>
      </c>
    </row>
    <row r="4345" spans="1:23">
      <c r="A4345" t="s">
        <v>16</v>
      </c>
      <c r="B4345">
        <v>589870</v>
      </c>
      <c r="C4345">
        <v>9</v>
      </c>
      <c r="D4345">
        <v>35</v>
      </c>
      <c r="E4345">
        <v>50</v>
      </c>
      <c r="F4345">
        <v>9</v>
      </c>
      <c r="G4345">
        <v>0</v>
      </c>
      <c r="H4345">
        <v>25</v>
      </c>
      <c r="I4345">
        <v>1244</v>
      </c>
      <c r="J4345">
        <v>0</v>
      </c>
      <c r="K4345">
        <v>6.7795000000000005</v>
      </c>
      <c r="L4345">
        <v>13.891500000000001</v>
      </c>
      <c r="M4345">
        <v>41.821000000000005</v>
      </c>
      <c r="N4345">
        <v>19.965</v>
      </c>
      <c r="O4345">
        <v>1682</v>
      </c>
      <c r="P4345">
        <v>473</v>
      </c>
      <c r="Q4345" s="5" t="e">
        <f>IF(AND(#REF!&gt;=table!$C$6,#REF!&lt;= table!$D$6),-1,IF(AND(#REF!&gt;=table!$E$6,#REF!&lt;=table!$F$6),1,0))</f>
        <v>#REF!</v>
      </c>
      <c r="R4345" s="5" t="e">
        <f>IF(AND(#REF!&gt;=table!$C$7,#REF!&lt;= table!$D$7),-1,IF(AND(#REF!&gt;=table!$E$7,#REF!&lt;=table!$F$7),1,0))</f>
        <v>#REF!</v>
      </c>
      <c r="S4345" s="5" t="e">
        <f>IF(AND(#REF!&gt;=table!$C$8,#REF!&lt;= table!$D$8),-1,IF(AND(#REF!&gt;=table!$E$8,#REF!&lt;=table!$F$8),1,0))</f>
        <v>#REF!</v>
      </c>
      <c r="T4345" s="5"/>
      <c r="U4345" s="5" t="e">
        <f>IF(AND(#REF!&gt;=table!$C$10,#REF!&lt;= table!$D$10),-1,IF(AND(#REF!&gt;=table!$E$10,#REF!&lt;=table!$F$10),1,0))</f>
        <v>#REF!</v>
      </c>
      <c r="V4345" s="5" t="e">
        <f>IF(AND(#REF!&gt;=table!$C$11,#REF!&lt;= table!$D$11),-1,IF(AND(#REF!&gt;=table!$E$11,#REF!&lt;=table!$F$11),1,0))</f>
        <v>#REF!</v>
      </c>
      <c r="W4345" s="5" t="e">
        <f>CONCATENATE(dados[[#This Row],[fator1]],dados[[#This Row],[fator5]],dados[[#This Row],[fator6]])</f>
        <v>#REF!</v>
      </c>
    </row>
    <row r="4346" spans="1:23">
      <c r="A4346" t="s">
        <v>17</v>
      </c>
      <c r="B4346">
        <v>589874</v>
      </c>
      <c r="C4346">
        <v>14</v>
      </c>
      <c r="D4346">
        <v>30</v>
      </c>
      <c r="E4346">
        <v>86</v>
      </c>
      <c r="F4346">
        <v>9</v>
      </c>
      <c r="G4346">
        <v>20</v>
      </c>
      <c r="H4346">
        <v>25</v>
      </c>
      <c r="I4346">
        <v>742</v>
      </c>
      <c r="J4346">
        <v>0</v>
      </c>
      <c r="K4346">
        <v>6.1505000000000001</v>
      </c>
      <c r="L4346">
        <v>11.045</v>
      </c>
      <c r="M4346">
        <v>78.386499999999998</v>
      </c>
      <c r="N4346">
        <v>18.48</v>
      </c>
      <c r="O4346">
        <v>1682</v>
      </c>
      <c r="P4346">
        <v>539</v>
      </c>
      <c r="Q4346" s="5" t="e">
        <f>IF(AND(#REF!&gt;=table!$C$6,#REF!&lt;= table!$D$6),-1,IF(AND(#REF!&gt;=table!$E$6,#REF!&lt;=table!$F$6),1,0))</f>
        <v>#REF!</v>
      </c>
      <c r="R4346" s="5" t="e">
        <f>IF(AND(#REF!&gt;=table!$C$7,#REF!&lt;= table!$D$7),-1,IF(AND(#REF!&gt;=table!$E$7,#REF!&lt;=table!$F$7),1,0))</f>
        <v>#REF!</v>
      </c>
      <c r="S4346" s="5" t="e">
        <f>IF(AND(#REF!&gt;=table!$C$8,#REF!&lt;= table!$D$8),-1,IF(AND(#REF!&gt;=table!$E$8,#REF!&lt;=table!$F$8),1,0))</f>
        <v>#REF!</v>
      </c>
      <c r="T4346" s="5"/>
      <c r="U4346" s="5" t="e">
        <f>IF(AND(#REF!&gt;=table!$C$10,#REF!&lt;= table!$D$10),-1,IF(AND(#REF!&gt;=table!$E$10,#REF!&lt;=table!$F$10),1,0))</f>
        <v>#REF!</v>
      </c>
      <c r="V4346" s="5" t="e">
        <f>IF(AND(#REF!&gt;=table!$C$11,#REF!&lt;= table!$D$11),-1,IF(AND(#REF!&gt;=table!$E$11,#REF!&lt;=table!$F$11),1,0))</f>
        <v>#REF!</v>
      </c>
      <c r="W4346" s="5" t="e">
        <f>CONCATENATE(dados[[#This Row],[fator1]],dados[[#This Row],[fator5]],dados[[#This Row],[fator6]])</f>
        <v>#REF!</v>
      </c>
    </row>
    <row r="4347" spans="1:23">
      <c r="A4347" t="s">
        <v>16</v>
      </c>
      <c r="B4347">
        <v>589875</v>
      </c>
      <c r="C4347">
        <v>0.15</v>
      </c>
      <c r="D4347">
        <v>40</v>
      </c>
      <c r="E4347">
        <v>10</v>
      </c>
      <c r="F4347">
        <v>15</v>
      </c>
      <c r="G4347">
        <v>0</v>
      </c>
      <c r="H4347">
        <v>15</v>
      </c>
      <c r="I4347">
        <v>1041</v>
      </c>
      <c r="J4347">
        <v>0</v>
      </c>
      <c r="K4347">
        <v>4.7890000000000006</v>
      </c>
      <c r="L4347">
        <v>7.7830000000000004</v>
      </c>
      <c r="M4347">
        <v>6.7415000000000003</v>
      </c>
      <c r="N4347">
        <v>12.605</v>
      </c>
      <c r="O4347">
        <v>1677</v>
      </c>
      <c r="P4347">
        <v>0</v>
      </c>
      <c r="Q4347" s="5" t="e">
        <f>IF(AND(#REF!&gt;=table!$C$6,#REF!&lt;= table!$D$6),-1,IF(AND(#REF!&gt;=table!$E$6,#REF!&lt;=table!$F$6),1,0))</f>
        <v>#REF!</v>
      </c>
      <c r="R4347" s="5" t="e">
        <f>IF(AND(#REF!&gt;=table!$C$7,#REF!&lt;= table!$D$7),-1,IF(AND(#REF!&gt;=table!$E$7,#REF!&lt;=table!$F$7),1,0))</f>
        <v>#REF!</v>
      </c>
      <c r="S4347" s="5" t="e">
        <f>IF(AND(#REF!&gt;=table!$C$8,#REF!&lt;= table!$D$8),-1,IF(AND(#REF!&gt;=table!$E$8,#REF!&lt;=table!$F$8),1,0))</f>
        <v>#REF!</v>
      </c>
      <c r="T4347" s="5"/>
      <c r="U4347" s="5" t="e">
        <f>IF(AND(#REF!&gt;=table!$C$10,#REF!&lt;= table!$D$10),-1,IF(AND(#REF!&gt;=table!$E$10,#REF!&lt;=table!$F$10),1,0))</f>
        <v>#REF!</v>
      </c>
      <c r="V4347" s="5" t="e">
        <f>IF(AND(#REF!&gt;=table!$C$11,#REF!&lt;= table!$D$11),-1,IF(AND(#REF!&gt;=table!$E$11,#REF!&lt;=table!$F$11),1,0))</f>
        <v>#REF!</v>
      </c>
      <c r="W4347" s="5" t="e">
        <f>CONCATENATE(dados[[#This Row],[fator1]],dados[[#This Row],[fator5]],dados[[#This Row],[fator6]])</f>
        <v>#REF!</v>
      </c>
    </row>
    <row r="4348" spans="1:23">
      <c r="A4348" t="s">
        <v>16</v>
      </c>
      <c r="B4348">
        <v>589885</v>
      </c>
      <c r="C4348">
        <v>0.15</v>
      </c>
      <c r="D4348">
        <v>35</v>
      </c>
      <c r="E4348">
        <v>15</v>
      </c>
      <c r="F4348">
        <v>10</v>
      </c>
      <c r="G4348">
        <v>0</v>
      </c>
      <c r="H4348">
        <v>12</v>
      </c>
      <c r="I4348">
        <v>709</v>
      </c>
      <c r="J4348">
        <v>0</v>
      </c>
      <c r="K4348">
        <v>6.1030000000000006</v>
      </c>
      <c r="L4348">
        <v>15.860000000000001</v>
      </c>
      <c r="M4348">
        <v>11.925000000000001</v>
      </c>
      <c r="N4348">
        <v>13.625</v>
      </c>
      <c r="O4348">
        <v>1694</v>
      </c>
      <c r="P4348">
        <v>703</v>
      </c>
      <c r="Q4348" s="5" t="e">
        <f>IF(AND(#REF!&gt;=table!$C$6,#REF!&lt;= table!$D$6),-1,IF(AND(#REF!&gt;=table!$E$6,#REF!&lt;=table!$F$6),1,0))</f>
        <v>#REF!</v>
      </c>
      <c r="R4348" s="5" t="e">
        <f>IF(AND(#REF!&gt;=table!$C$7,#REF!&lt;= table!$D$7),-1,IF(AND(#REF!&gt;=table!$E$7,#REF!&lt;=table!$F$7),1,0))</f>
        <v>#REF!</v>
      </c>
      <c r="S4348" s="5" t="e">
        <f>IF(AND(#REF!&gt;=table!$C$8,#REF!&lt;= table!$D$8),-1,IF(AND(#REF!&gt;=table!$E$8,#REF!&lt;=table!$F$8),1,0))</f>
        <v>#REF!</v>
      </c>
      <c r="T4348" s="5"/>
      <c r="U4348" s="5" t="e">
        <f>IF(AND(#REF!&gt;=table!$C$10,#REF!&lt;= table!$D$10),-1,IF(AND(#REF!&gt;=table!$E$10,#REF!&lt;=table!$F$10),1,0))</f>
        <v>#REF!</v>
      </c>
      <c r="V4348" s="5" t="e">
        <f>IF(AND(#REF!&gt;=table!$C$11,#REF!&lt;= table!$D$11),-1,IF(AND(#REF!&gt;=table!$E$11,#REF!&lt;=table!$F$11),1,0))</f>
        <v>#REF!</v>
      </c>
      <c r="W4348" s="5" t="e">
        <f>CONCATENATE(dados[[#This Row],[fator1]],dados[[#This Row],[fator5]],dados[[#This Row],[fator6]])</f>
        <v>#REF!</v>
      </c>
    </row>
    <row r="4349" spans="1:23">
      <c r="A4349" t="s">
        <v>16</v>
      </c>
      <c r="B4349">
        <v>589891</v>
      </c>
      <c r="C4349">
        <v>0.23</v>
      </c>
      <c r="D4349">
        <v>65</v>
      </c>
      <c r="E4349">
        <v>26</v>
      </c>
      <c r="F4349">
        <v>15</v>
      </c>
      <c r="G4349">
        <v>0</v>
      </c>
      <c r="H4349">
        <v>35</v>
      </c>
      <c r="I4349">
        <v>1799</v>
      </c>
      <c r="J4349">
        <v>0</v>
      </c>
      <c r="K4349">
        <v>5.1355000000000004</v>
      </c>
      <c r="L4349">
        <v>6.7890000000000006</v>
      </c>
      <c r="M4349">
        <v>6.05</v>
      </c>
      <c r="N4349">
        <v>10.745000000000001</v>
      </c>
      <c r="O4349">
        <v>1688</v>
      </c>
      <c r="P4349">
        <v>821</v>
      </c>
      <c r="Q4349" s="5" t="e">
        <f>IF(AND(#REF!&gt;=table!$C$6,#REF!&lt;= table!$D$6),-1,IF(AND(#REF!&gt;=table!$E$6,#REF!&lt;=table!$F$6),1,0))</f>
        <v>#REF!</v>
      </c>
      <c r="R4349" s="5" t="e">
        <f>IF(AND(#REF!&gt;=table!$C$7,#REF!&lt;= table!$D$7),-1,IF(AND(#REF!&gt;=table!$E$7,#REF!&lt;=table!$F$7),1,0))</f>
        <v>#REF!</v>
      </c>
      <c r="S4349" s="5" t="e">
        <f>IF(AND(#REF!&gt;=table!$C$8,#REF!&lt;= table!$D$8),-1,IF(AND(#REF!&gt;=table!$E$8,#REF!&lt;=table!$F$8),1,0))</f>
        <v>#REF!</v>
      </c>
      <c r="T4349" s="5"/>
      <c r="U4349" s="5" t="e">
        <f>IF(AND(#REF!&gt;=table!$C$10,#REF!&lt;= table!$D$10),-1,IF(AND(#REF!&gt;=table!$E$10,#REF!&lt;=table!$F$10),1,0))</f>
        <v>#REF!</v>
      </c>
      <c r="V4349" s="5" t="e">
        <f>IF(AND(#REF!&gt;=table!$C$11,#REF!&lt;= table!$D$11),-1,IF(AND(#REF!&gt;=table!$E$11,#REF!&lt;=table!$F$11),1,0))</f>
        <v>#REF!</v>
      </c>
      <c r="W4349" s="5" t="e">
        <f>CONCATENATE(dados[[#This Row],[fator1]],dados[[#This Row],[fator5]],dados[[#This Row],[fator6]])</f>
        <v>#REF!</v>
      </c>
    </row>
    <row r="4350" spans="1:23">
      <c r="A4350" t="s">
        <v>16</v>
      </c>
      <c r="B4350">
        <v>589895</v>
      </c>
      <c r="C4350">
        <v>0.18</v>
      </c>
      <c r="D4350">
        <v>50</v>
      </c>
      <c r="E4350">
        <v>56</v>
      </c>
      <c r="F4350">
        <v>15</v>
      </c>
      <c r="G4350">
        <v>0</v>
      </c>
      <c r="H4350">
        <v>50</v>
      </c>
      <c r="I4350">
        <v>1325</v>
      </c>
      <c r="J4350">
        <v>0</v>
      </c>
      <c r="K4350">
        <v>5.9775</v>
      </c>
      <c r="L4350">
        <v>10.625</v>
      </c>
      <c r="M4350">
        <v>10.210000000000001</v>
      </c>
      <c r="N4350">
        <v>15.5</v>
      </c>
      <c r="O4350">
        <v>1673</v>
      </c>
      <c r="P4350">
        <v>657</v>
      </c>
      <c r="Q4350" s="5" t="e">
        <f>IF(AND(#REF!&gt;=table!$C$6,#REF!&lt;= table!$D$6),-1,IF(AND(#REF!&gt;=table!$E$6,#REF!&lt;=table!$F$6),1,0))</f>
        <v>#REF!</v>
      </c>
      <c r="R4350" s="5" t="e">
        <f>IF(AND(#REF!&gt;=table!$C$7,#REF!&lt;= table!$D$7),-1,IF(AND(#REF!&gt;=table!$E$7,#REF!&lt;=table!$F$7),1,0))</f>
        <v>#REF!</v>
      </c>
      <c r="S4350" s="5" t="e">
        <f>IF(AND(#REF!&gt;=table!$C$8,#REF!&lt;= table!$D$8),-1,IF(AND(#REF!&gt;=table!$E$8,#REF!&lt;=table!$F$8),1,0))</f>
        <v>#REF!</v>
      </c>
      <c r="T4350" s="5"/>
      <c r="U4350" s="5" t="e">
        <f>IF(AND(#REF!&gt;=table!$C$10,#REF!&lt;= table!$D$10),-1,IF(AND(#REF!&gt;=table!$E$10,#REF!&lt;=table!$F$10),1,0))</f>
        <v>#REF!</v>
      </c>
      <c r="V4350" s="5" t="e">
        <f>IF(AND(#REF!&gt;=table!$C$11,#REF!&lt;= table!$D$11),-1,IF(AND(#REF!&gt;=table!$E$11,#REF!&lt;=table!$F$11),1,0))</f>
        <v>#REF!</v>
      </c>
      <c r="W4350" s="5" t="e">
        <f>CONCATENATE(dados[[#This Row],[fator1]],dados[[#This Row],[fator5]],dados[[#This Row],[fator6]])</f>
        <v>#REF!</v>
      </c>
    </row>
    <row r="4351" spans="1:23">
      <c r="A4351" t="s">
        <v>16</v>
      </c>
      <c r="B4351">
        <v>589897</v>
      </c>
      <c r="C4351">
        <v>0.18</v>
      </c>
      <c r="D4351">
        <v>50</v>
      </c>
      <c r="E4351">
        <v>56</v>
      </c>
      <c r="F4351">
        <v>15</v>
      </c>
      <c r="G4351">
        <v>0</v>
      </c>
      <c r="H4351">
        <v>50</v>
      </c>
      <c r="I4351">
        <v>65</v>
      </c>
      <c r="J4351">
        <v>0</v>
      </c>
      <c r="K4351">
        <v>2.9824999999999999</v>
      </c>
      <c r="L4351">
        <v>10.336</v>
      </c>
      <c r="M4351">
        <v>7.9085000000000001</v>
      </c>
      <c r="N4351">
        <v>18.315000000000001</v>
      </c>
      <c r="O4351">
        <v>1724</v>
      </c>
      <c r="P4351">
        <v>1477</v>
      </c>
      <c r="Q4351" s="5" t="e">
        <f>IF(AND(#REF!&gt;=table!$C$6,#REF!&lt;= table!$D$6),-1,IF(AND(#REF!&gt;=table!$E$6,#REF!&lt;=table!$F$6),1,0))</f>
        <v>#REF!</v>
      </c>
      <c r="R4351" s="5" t="e">
        <f>IF(AND(#REF!&gt;=table!$C$7,#REF!&lt;= table!$D$7),-1,IF(AND(#REF!&gt;=table!$E$7,#REF!&lt;=table!$F$7),1,0))</f>
        <v>#REF!</v>
      </c>
      <c r="S4351" s="5" t="e">
        <f>IF(AND(#REF!&gt;=table!$C$8,#REF!&lt;= table!$D$8),-1,IF(AND(#REF!&gt;=table!$E$8,#REF!&lt;=table!$F$8),1,0))</f>
        <v>#REF!</v>
      </c>
      <c r="T4351" s="5"/>
      <c r="U4351" s="5" t="e">
        <f>IF(AND(#REF!&gt;=table!$C$10,#REF!&lt;= table!$D$10),-1,IF(AND(#REF!&gt;=table!$E$10,#REF!&lt;=table!$F$10),1,0))</f>
        <v>#REF!</v>
      </c>
      <c r="V4351" s="5" t="e">
        <f>IF(AND(#REF!&gt;=table!$C$11,#REF!&lt;= table!$D$11),-1,IF(AND(#REF!&gt;=table!$E$11,#REF!&lt;=table!$F$11),1,0))</f>
        <v>#REF!</v>
      </c>
      <c r="W4351" s="5" t="e">
        <f>CONCATENATE(dados[[#This Row],[fator1]],dados[[#This Row],[fator5]],dados[[#This Row],[fator6]])</f>
        <v>#REF!</v>
      </c>
    </row>
    <row r="4352" spans="1:23">
      <c r="A4352" t="s">
        <v>16</v>
      </c>
      <c r="B4352">
        <v>589898</v>
      </c>
      <c r="C4352">
        <v>0.18</v>
      </c>
      <c r="D4352">
        <v>40</v>
      </c>
      <c r="E4352">
        <v>70</v>
      </c>
      <c r="F4352">
        <v>15</v>
      </c>
      <c r="G4352">
        <v>0</v>
      </c>
      <c r="H4352">
        <v>80</v>
      </c>
      <c r="I4352">
        <v>492</v>
      </c>
      <c r="J4352">
        <v>0</v>
      </c>
      <c r="K4352">
        <v>4.5695000000000006</v>
      </c>
      <c r="L4352">
        <v>5.8970000000000002</v>
      </c>
      <c r="M4352">
        <v>5.38</v>
      </c>
      <c r="N4352">
        <v>10.535</v>
      </c>
      <c r="O4352">
        <v>1680</v>
      </c>
      <c r="P4352">
        <v>963</v>
      </c>
      <c r="Q4352" s="5" t="e">
        <f>IF(AND(#REF!&gt;=table!$C$6,#REF!&lt;= table!$D$6),-1,IF(AND(#REF!&gt;=table!$E$6,#REF!&lt;=table!$F$6),1,0))</f>
        <v>#REF!</v>
      </c>
      <c r="R4352" s="5" t="e">
        <f>IF(AND(#REF!&gt;=table!$C$7,#REF!&lt;= table!$D$7),-1,IF(AND(#REF!&gt;=table!$E$7,#REF!&lt;=table!$F$7),1,0))</f>
        <v>#REF!</v>
      </c>
      <c r="S4352" s="5" t="e">
        <f>IF(AND(#REF!&gt;=table!$C$8,#REF!&lt;= table!$D$8),-1,IF(AND(#REF!&gt;=table!$E$8,#REF!&lt;=table!$F$8),1,0))</f>
        <v>#REF!</v>
      </c>
      <c r="T4352" s="5"/>
      <c r="U4352" s="5" t="e">
        <f>IF(AND(#REF!&gt;=table!$C$10,#REF!&lt;= table!$D$10),-1,IF(AND(#REF!&gt;=table!$E$10,#REF!&lt;=table!$F$10),1,0))</f>
        <v>#REF!</v>
      </c>
      <c r="V4352" s="5" t="e">
        <f>IF(AND(#REF!&gt;=table!$C$11,#REF!&lt;= table!$D$11),-1,IF(AND(#REF!&gt;=table!$E$11,#REF!&lt;=table!$F$11),1,0))</f>
        <v>#REF!</v>
      </c>
      <c r="W4352" s="5" t="e">
        <f>CONCATENATE(dados[[#This Row],[fator1]],dados[[#This Row],[fator5]],dados[[#This Row],[fator6]])</f>
        <v>#REF!</v>
      </c>
    </row>
    <row r="4353" spans="1:23">
      <c r="A4353" t="s">
        <v>16</v>
      </c>
      <c r="B4353">
        <v>589901</v>
      </c>
      <c r="C4353">
        <v>0.18</v>
      </c>
      <c r="D4353">
        <v>50</v>
      </c>
      <c r="E4353">
        <v>56</v>
      </c>
      <c r="F4353">
        <v>15</v>
      </c>
      <c r="G4353">
        <v>0</v>
      </c>
      <c r="H4353">
        <v>50</v>
      </c>
      <c r="I4353">
        <v>8</v>
      </c>
      <c r="J4353">
        <v>0</v>
      </c>
      <c r="K4353">
        <v>3.2910000000000004</v>
      </c>
      <c r="L4353">
        <v>4.9424999999999999</v>
      </c>
      <c r="M4353">
        <v>4.6425000000000001</v>
      </c>
      <c r="N4353">
        <v>14.475000000000001</v>
      </c>
      <c r="O4353">
        <v>1673</v>
      </c>
      <c r="P4353">
        <v>0</v>
      </c>
      <c r="Q4353" s="5" t="e">
        <f>IF(AND(#REF!&gt;=table!$C$6,#REF!&lt;= table!$D$6),-1,IF(AND(#REF!&gt;=table!$E$6,#REF!&lt;=table!$F$6),1,0))</f>
        <v>#REF!</v>
      </c>
      <c r="R4353" s="5" t="e">
        <f>IF(AND(#REF!&gt;=table!$C$7,#REF!&lt;= table!$D$7),-1,IF(AND(#REF!&gt;=table!$E$7,#REF!&lt;=table!$F$7),1,0))</f>
        <v>#REF!</v>
      </c>
      <c r="S4353" s="5" t="e">
        <f>IF(AND(#REF!&gt;=table!$C$8,#REF!&lt;= table!$D$8),-1,IF(AND(#REF!&gt;=table!$E$8,#REF!&lt;=table!$F$8),1,0))</f>
        <v>#REF!</v>
      </c>
      <c r="T4353" s="5"/>
      <c r="U4353" s="5" t="e">
        <f>IF(AND(#REF!&gt;=table!$C$10,#REF!&lt;= table!$D$10),-1,IF(AND(#REF!&gt;=table!$E$10,#REF!&lt;=table!$F$10),1,0))</f>
        <v>#REF!</v>
      </c>
      <c r="V4353" s="5" t="e">
        <f>IF(AND(#REF!&gt;=table!$C$11,#REF!&lt;= table!$D$11),-1,IF(AND(#REF!&gt;=table!$E$11,#REF!&lt;=table!$F$11),1,0))</f>
        <v>#REF!</v>
      </c>
      <c r="W4353" s="5" t="e">
        <f>CONCATENATE(dados[[#This Row],[fator1]],dados[[#This Row],[fator5]],dados[[#This Row],[fator6]])</f>
        <v>#REF!</v>
      </c>
    </row>
    <row r="4354" spans="1:23">
      <c r="A4354" t="s">
        <v>16</v>
      </c>
      <c r="B4354">
        <v>589902</v>
      </c>
      <c r="C4354">
        <v>0.19</v>
      </c>
      <c r="D4354">
        <v>50</v>
      </c>
      <c r="E4354">
        <v>56</v>
      </c>
      <c r="F4354">
        <v>15</v>
      </c>
      <c r="G4354">
        <v>0</v>
      </c>
      <c r="H4354">
        <v>50</v>
      </c>
      <c r="I4354">
        <v>40</v>
      </c>
      <c r="J4354">
        <v>0</v>
      </c>
      <c r="K4354">
        <v>5.3295000000000003</v>
      </c>
      <c r="L4354">
        <v>8.9414999999999996</v>
      </c>
      <c r="M4354">
        <v>8.3010000000000002</v>
      </c>
      <c r="N4354">
        <v>11.64</v>
      </c>
      <c r="O4354">
        <v>1638</v>
      </c>
      <c r="P4354">
        <v>741</v>
      </c>
      <c r="Q4354" s="5" t="e">
        <f>IF(AND(#REF!&gt;=table!$C$6,#REF!&lt;= table!$D$6),-1,IF(AND(#REF!&gt;=table!$E$6,#REF!&lt;=table!$F$6),1,0))</f>
        <v>#REF!</v>
      </c>
      <c r="R4354" s="5" t="e">
        <f>IF(AND(#REF!&gt;=table!$C$7,#REF!&lt;= table!$D$7),-1,IF(AND(#REF!&gt;=table!$E$7,#REF!&lt;=table!$F$7),1,0))</f>
        <v>#REF!</v>
      </c>
      <c r="S4354" s="5" t="e">
        <f>IF(AND(#REF!&gt;=table!$C$8,#REF!&lt;= table!$D$8),-1,IF(AND(#REF!&gt;=table!$E$8,#REF!&lt;=table!$F$8),1,0))</f>
        <v>#REF!</v>
      </c>
      <c r="T4354" s="5"/>
      <c r="U4354" s="5" t="e">
        <f>IF(AND(#REF!&gt;=table!$C$10,#REF!&lt;= table!$D$10),-1,IF(AND(#REF!&gt;=table!$E$10,#REF!&lt;=table!$F$10),1,0))</f>
        <v>#REF!</v>
      </c>
      <c r="V4354" s="5" t="e">
        <f>IF(AND(#REF!&gt;=table!$C$11,#REF!&lt;= table!$D$11),-1,IF(AND(#REF!&gt;=table!$E$11,#REF!&lt;=table!$F$11),1,0))</f>
        <v>#REF!</v>
      </c>
      <c r="W4354" s="5" t="e">
        <f>CONCATENATE(dados[[#This Row],[fator1]],dados[[#This Row],[fator5]],dados[[#This Row],[fator6]])</f>
        <v>#REF!</v>
      </c>
    </row>
    <row r="4355" spans="1:23">
      <c r="A4355" t="s">
        <v>16</v>
      </c>
      <c r="B4355">
        <v>589904</v>
      </c>
      <c r="C4355">
        <v>0.19</v>
      </c>
      <c r="D4355">
        <v>50</v>
      </c>
      <c r="E4355">
        <v>56</v>
      </c>
      <c r="F4355">
        <v>15</v>
      </c>
      <c r="G4355">
        <v>0</v>
      </c>
      <c r="H4355">
        <v>50</v>
      </c>
      <c r="I4355">
        <v>1619</v>
      </c>
      <c r="J4355">
        <v>0</v>
      </c>
      <c r="K4355">
        <v>3.8150000000000004</v>
      </c>
      <c r="L4355">
        <v>9.657</v>
      </c>
      <c r="M4355">
        <v>8.9075000000000006</v>
      </c>
      <c r="N4355">
        <v>11.695</v>
      </c>
      <c r="O4355">
        <v>1666</v>
      </c>
      <c r="P4355">
        <v>0</v>
      </c>
      <c r="Q4355" s="5" t="e">
        <f>IF(AND(#REF!&gt;=table!$C$6,#REF!&lt;= table!$D$6),-1,IF(AND(#REF!&gt;=table!$E$6,#REF!&lt;=table!$F$6),1,0))</f>
        <v>#REF!</v>
      </c>
      <c r="R4355" s="5" t="e">
        <f>IF(AND(#REF!&gt;=table!$C$7,#REF!&lt;= table!$D$7),-1,IF(AND(#REF!&gt;=table!$E$7,#REF!&lt;=table!$F$7),1,0))</f>
        <v>#REF!</v>
      </c>
      <c r="S4355" s="5" t="e">
        <f>IF(AND(#REF!&gt;=table!$C$8,#REF!&lt;= table!$D$8),-1,IF(AND(#REF!&gt;=table!$E$8,#REF!&lt;=table!$F$8),1,0))</f>
        <v>#REF!</v>
      </c>
      <c r="T4355" s="5"/>
      <c r="U4355" s="5" t="e">
        <f>IF(AND(#REF!&gt;=table!$C$10,#REF!&lt;= table!$D$10),-1,IF(AND(#REF!&gt;=table!$E$10,#REF!&lt;=table!$F$10),1,0))</f>
        <v>#REF!</v>
      </c>
      <c r="V4355" s="5" t="e">
        <f>IF(AND(#REF!&gt;=table!$C$11,#REF!&lt;= table!$D$11),-1,IF(AND(#REF!&gt;=table!$E$11,#REF!&lt;=table!$F$11),1,0))</f>
        <v>#REF!</v>
      </c>
      <c r="W4355" s="5" t="e">
        <f>CONCATENATE(dados[[#This Row],[fator1]],dados[[#This Row],[fator5]],dados[[#This Row],[fator6]])</f>
        <v>#REF!</v>
      </c>
    </row>
    <row r="4356" spans="1:23">
      <c r="A4356" t="s">
        <v>16</v>
      </c>
      <c r="B4356">
        <v>589906</v>
      </c>
      <c r="C4356">
        <v>13</v>
      </c>
      <c r="D4356">
        <v>35</v>
      </c>
      <c r="E4356">
        <v>120</v>
      </c>
      <c r="F4356">
        <v>10</v>
      </c>
      <c r="G4356">
        <v>0</v>
      </c>
      <c r="H4356">
        <v>25</v>
      </c>
      <c r="I4356">
        <v>615</v>
      </c>
      <c r="J4356">
        <v>0</v>
      </c>
      <c r="K4356">
        <v>6.3310000000000004</v>
      </c>
      <c r="L4356">
        <v>17.961000000000002</v>
      </c>
      <c r="M4356">
        <v>100.51700000000001</v>
      </c>
      <c r="N4356">
        <v>24.62</v>
      </c>
      <c r="O4356">
        <v>1675</v>
      </c>
      <c r="P4356">
        <v>0</v>
      </c>
      <c r="Q4356" s="5" t="e">
        <f>IF(AND(#REF!&gt;=table!$C$6,#REF!&lt;= table!$D$6),-1,IF(AND(#REF!&gt;=table!$E$6,#REF!&lt;=table!$F$6),1,0))</f>
        <v>#REF!</v>
      </c>
      <c r="R4356" s="5" t="e">
        <f>IF(AND(#REF!&gt;=table!$C$7,#REF!&lt;= table!$D$7),-1,IF(AND(#REF!&gt;=table!$E$7,#REF!&lt;=table!$F$7),1,0))</f>
        <v>#REF!</v>
      </c>
      <c r="S4356" s="5" t="e">
        <f>IF(AND(#REF!&gt;=table!$C$8,#REF!&lt;= table!$D$8),-1,IF(AND(#REF!&gt;=table!$E$8,#REF!&lt;=table!$F$8),1,0))</f>
        <v>#REF!</v>
      </c>
      <c r="T4356" s="5"/>
      <c r="U4356" s="5" t="e">
        <f>IF(AND(#REF!&gt;=table!$C$10,#REF!&lt;= table!$D$10),-1,IF(AND(#REF!&gt;=table!$E$10,#REF!&lt;=table!$F$10),1,0))</f>
        <v>#REF!</v>
      </c>
      <c r="V4356" s="5" t="e">
        <f>IF(AND(#REF!&gt;=table!$C$11,#REF!&lt;= table!$D$11),-1,IF(AND(#REF!&gt;=table!$E$11,#REF!&lt;=table!$F$11),1,0))</f>
        <v>#REF!</v>
      </c>
      <c r="W4356" s="5" t="e">
        <f>CONCATENATE(dados[[#This Row],[fator1]],dados[[#This Row],[fator5]],dados[[#This Row],[fator6]])</f>
        <v>#REF!</v>
      </c>
    </row>
    <row r="4357" spans="1:23">
      <c r="A4357" t="s">
        <v>16</v>
      </c>
      <c r="B4357">
        <v>589907</v>
      </c>
      <c r="C4357">
        <v>13</v>
      </c>
      <c r="D4357">
        <v>35</v>
      </c>
      <c r="E4357">
        <v>120</v>
      </c>
      <c r="F4357">
        <v>10</v>
      </c>
      <c r="G4357">
        <v>0</v>
      </c>
      <c r="H4357">
        <v>25</v>
      </c>
      <c r="I4357">
        <v>1846</v>
      </c>
      <c r="J4357">
        <v>0</v>
      </c>
      <c r="K4357">
        <v>6.9625000000000004</v>
      </c>
      <c r="L4357">
        <v>13.513</v>
      </c>
      <c r="M4357">
        <v>71.079000000000008</v>
      </c>
      <c r="N4357">
        <v>16.39</v>
      </c>
      <c r="O4357">
        <v>1689</v>
      </c>
      <c r="P4357">
        <v>571</v>
      </c>
      <c r="Q4357" s="5" t="e">
        <f>IF(AND(#REF!&gt;=table!$C$6,#REF!&lt;= table!$D$6),-1,IF(AND(#REF!&gt;=table!$E$6,#REF!&lt;=table!$F$6),1,0))</f>
        <v>#REF!</v>
      </c>
      <c r="R4357" s="5" t="e">
        <f>IF(AND(#REF!&gt;=table!$C$7,#REF!&lt;= table!$D$7),-1,IF(AND(#REF!&gt;=table!$E$7,#REF!&lt;=table!$F$7),1,0))</f>
        <v>#REF!</v>
      </c>
      <c r="S4357" s="5" t="e">
        <f>IF(AND(#REF!&gt;=table!$C$8,#REF!&lt;= table!$D$8),-1,IF(AND(#REF!&gt;=table!$E$8,#REF!&lt;=table!$F$8),1,0))</f>
        <v>#REF!</v>
      </c>
      <c r="T4357" s="5"/>
      <c r="U4357" s="5" t="e">
        <f>IF(AND(#REF!&gt;=table!$C$10,#REF!&lt;= table!$D$10),-1,IF(AND(#REF!&gt;=table!$E$10,#REF!&lt;=table!$F$10),1,0))</f>
        <v>#REF!</v>
      </c>
      <c r="V4357" s="5" t="e">
        <f>IF(AND(#REF!&gt;=table!$C$11,#REF!&lt;= table!$D$11),-1,IF(AND(#REF!&gt;=table!$E$11,#REF!&lt;=table!$F$11),1,0))</f>
        <v>#REF!</v>
      </c>
      <c r="W4357" s="5" t="e">
        <f>CONCATENATE(dados[[#This Row],[fator1]],dados[[#This Row],[fator5]],dados[[#This Row],[fator6]])</f>
        <v>#REF!</v>
      </c>
    </row>
    <row r="4358" spans="1:23">
      <c r="A4358" t="s">
        <v>16</v>
      </c>
      <c r="B4358">
        <v>589908</v>
      </c>
      <c r="C4358">
        <v>13</v>
      </c>
      <c r="D4358">
        <v>35</v>
      </c>
      <c r="E4358">
        <v>120</v>
      </c>
      <c r="F4358">
        <v>10</v>
      </c>
      <c r="G4358">
        <v>0</v>
      </c>
      <c r="H4358">
        <v>25</v>
      </c>
      <c r="I4358">
        <v>327</v>
      </c>
      <c r="J4358">
        <v>0</v>
      </c>
      <c r="K4358">
        <v>7.7550000000000008</v>
      </c>
      <c r="L4358">
        <v>21.577999999999999</v>
      </c>
      <c r="M4358">
        <v>127.95200000000001</v>
      </c>
      <c r="N4358">
        <v>23.82</v>
      </c>
      <c r="O4358">
        <v>1678</v>
      </c>
      <c r="P4358">
        <v>448</v>
      </c>
      <c r="Q4358" s="5" t="e">
        <f>IF(AND(#REF!&gt;=table!$C$6,#REF!&lt;= table!$D$6),-1,IF(AND(#REF!&gt;=table!$E$6,#REF!&lt;=table!$F$6),1,0))</f>
        <v>#REF!</v>
      </c>
      <c r="R4358" s="5" t="e">
        <f>IF(AND(#REF!&gt;=table!$C$7,#REF!&lt;= table!$D$7),-1,IF(AND(#REF!&gt;=table!$E$7,#REF!&lt;=table!$F$7),1,0))</f>
        <v>#REF!</v>
      </c>
      <c r="S4358" s="5" t="e">
        <f>IF(AND(#REF!&gt;=table!$C$8,#REF!&lt;= table!$D$8),-1,IF(AND(#REF!&gt;=table!$E$8,#REF!&lt;=table!$F$8),1,0))</f>
        <v>#REF!</v>
      </c>
      <c r="T4358" s="5"/>
      <c r="U4358" s="5" t="e">
        <f>IF(AND(#REF!&gt;=table!$C$10,#REF!&lt;= table!$D$10),-1,IF(AND(#REF!&gt;=table!$E$10,#REF!&lt;=table!$F$10),1,0))</f>
        <v>#REF!</v>
      </c>
      <c r="V4358" s="5" t="e">
        <f>IF(AND(#REF!&gt;=table!$C$11,#REF!&lt;= table!$D$11),-1,IF(AND(#REF!&gt;=table!$E$11,#REF!&lt;=table!$F$11),1,0))</f>
        <v>#REF!</v>
      </c>
      <c r="W4358" s="5" t="e">
        <f>CONCATENATE(dados[[#This Row],[fator1]],dados[[#This Row],[fator5]],dados[[#This Row],[fator6]])</f>
        <v>#REF!</v>
      </c>
    </row>
    <row r="4359" spans="1:23">
      <c r="A4359" t="s">
        <v>16</v>
      </c>
      <c r="B4359">
        <v>589910</v>
      </c>
      <c r="C4359">
        <v>13</v>
      </c>
      <c r="D4359">
        <v>35</v>
      </c>
      <c r="E4359">
        <v>120</v>
      </c>
      <c r="F4359">
        <v>10</v>
      </c>
      <c r="G4359">
        <v>0</v>
      </c>
      <c r="H4359">
        <v>25</v>
      </c>
      <c r="I4359">
        <v>719</v>
      </c>
      <c r="J4359">
        <v>0</v>
      </c>
      <c r="K4359">
        <v>3.2330000000000001</v>
      </c>
      <c r="L4359">
        <v>5.09</v>
      </c>
      <c r="M4359">
        <v>106.44750000000001</v>
      </c>
      <c r="N4359">
        <v>11.095000000000001</v>
      </c>
      <c r="O4359">
        <v>1667</v>
      </c>
      <c r="P4359">
        <v>0</v>
      </c>
      <c r="Q4359" s="5" t="e">
        <f>IF(AND(#REF!&gt;=table!$C$6,#REF!&lt;= table!$D$6),-1,IF(AND(#REF!&gt;=table!$E$6,#REF!&lt;=table!$F$6),1,0))</f>
        <v>#REF!</v>
      </c>
      <c r="R4359" s="5" t="e">
        <f>IF(AND(#REF!&gt;=table!$C$7,#REF!&lt;= table!$D$7),-1,IF(AND(#REF!&gt;=table!$E$7,#REF!&lt;=table!$F$7),1,0))</f>
        <v>#REF!</v>
      </c>
      <c r="S4359" s="5" t="e">
        <f>IF(AND(#REF!&gt;=table!$C$8,#REF!&lt;= table!$D$8),-1,IF(AND(#REF!&gt;=table!$E$8,#REF!&lt;=table!$F$8),1,0))</f>
        <v>#REF!</v>
      </c>
      <c r="T4359" s="5"/>
      <c r="U4359" s="5" t="e">
        <f>IF(AND(#REF!&gt;=table!$C$10,#REF!&lt;= table!$D$10),-1,IF(AND(#REF!&gt;=table!$E$10,#REF!&lt;=table!$F$10),1,0))</f>
        <v>#REF!</v>
      </c>
      <c r="V4359" s="5" t="e">
        <f>IF(AND(#REF!&gt;=table!$C$11,#REF!&lt;= table!$D$11),-1,IF(AND(#REF!&gt;=table!$E$11,#REF!&lt;=table!$F$11),1,0))</f>
        <v>#REF!</v>
      </c>
      <c r="W4359" s="5" t="e">
        <f>CONCATENATE(dados[[#This Row],[fator1]],dados[[#This Row],[fator5]],dados[[#This Row],[fator6]])</f>
        <v>#REF!</v>
      </c>
    </row>
    <row r="4360" spans="1:23">
      <c r="A4360" t="s">
        <v>17</v>
      </c>
      <c r="B4360">
        <v>589912</v>
      </c>
      <c r="C4360">
        <v>7</v>
      </c>
      <c r="D4360">
        <v>20</v>
      </c>
      <c r="E4360">
        <v>120</v>
      </c>
      <c r="F4360">
        <v>4</v>
      </c>
      <c r="G4360">
        <v>105</v>
      </c>
      <c r="H4360">
        <v>25</v>
      </c>
      <c r="I4360">
        <v>2</v>
      </c>
      <c r="J4360">
        <v>630</v>
      </c>
      <c r="K4360">
        <v>3.8620000000000001</v>
      </c>
      <c r="L4360">
        <v>12.622</v>
      </c>
      <c r="M4360">
        <v>114.07050000000001</v>
      </c>
      <c r="N4360">
        <v>19.925000000000001</v>
      </c>
      <c r="O4360">
        <v>1676</v>
      </c>
      <c r="P4360">
        <v>0</v>
      </c>
      <c r="Q4360" s="5" t="e">
        <f>IF(AND(#REF!&gt;=table!$C$6,#REF!&lt;= table!$D$6),-1,IF(AND(#REF!&gt;=table!$E$6,#REF!&lt;=table!$F$6),1,0))</f>
        <v>#REF!</v>
      </c>
      <c r="R4360" s="5" t="e">
        <f>IF(AND(#REF!&gt;=table!$C$7,#REF!&lt;= table!$D$7),-1,IF(AND(#REF!&gt;=table!$E$7,#REF!&lt;=table!$F$7),1,0))</f>
        <v>#REF!</v>
      </c>
      <c r="S4360" s="5" t="e">
        <f>IF(AND(#REF!&gt;=table!$C$8,#REF!&lt;= table!$D$8),-1,IF(AND(#REF!&gt;=table!$E$8,#REF!&lt;=table!$F$8),1,0))</f>
        <v>#REF!</v>
      </c>
      <c r="T4360" s="5"/>
      <c r="U4360" s="5" t="e">
        <f>IF(AND(#REF!&gt;=table!$C$10,#REF!&lt;= table!$D$10),-1,IF(AND(#REF!&gt;=table!$E$10,#REF!&lt;=table!$F$10),1,0))</f>
        <v>#REF!</v>
      </c>
      <c r="V4360" s="5" t="e">
        <f>IF(AND(#REF!&gt;=table!$C$11,#REF!&lt;= table!$D$11),-1,IF(AND(#REF!&gt;=table!$E$11,#REF!&lt;=table!$F$11),1,0))</f>
        <v>#REF!</v>
      </c>
      <c r="W4360" s="5" t="e">
        <f>CONCATENATE(dados[[#This Row],[fator1]],dados[[#This Row],[fator5]],dados[[#This Row],[fator6]])</f>
        <v>#REF!</v>
      </c>
    </row>
    <row r="4361" spans="1:23">
      <c r="A4361" t="s">
        <v>16</v>
      </c>
      <c r="B4361">
        <v>589914</v>
      </c>
      <c r="C4361">
        <v>10</v>
      </c>
      <c r="D4361">
        <v>38</v>
      </c>
      <c r="E4361">
        <v>150</v>
      </c>
      <c r="F4361">
        <v>4</v>
      </c>
      <c r="G4361">
        <v>0</v>
      </c>
      <c r="H4361">
        <v>25</v>
      </c>
      <c r="I4361">
        <v>1</v>
      </c>
      <c r="J4361">
        <v>0</v>
      </c>
      <c r="K4361">
        <v>5.2330000000000005</v>
      </c>
      <c r="L4361">
        <v>13.015500000000001</v>
      </c>
      <c r="M4361">
        <v>104.18950000000001</v>
      </c>
      <c r="N4361">
        <v>15.64</v>
      </c>
      <c r="O4361">
        <v>1678</v>
      </c>
      <c r="P4361">
        <v>0</v>
      </c>
      <c r="Q4361" s="5" t="e">
        <f>IF(AND(#REF!&gt;=table!$C$6,#REF!&lt;= table!$D$6),-1,IF(AND(#REF!&gt;=table!$E$6,#REF!&lt;=table!$F$6),1,0))</f>
        <v>#REF!</v>
      </c>
      <c r="R4361" s="5" t="e">
        <f>IF(AND(#REF!&gt;=table!$C$7,#REF!&lt;= table!$D$7),-1,IF(AND(#REF!&gt;=table!$E$7,#REF!&lt;=table!$F$7),1,0))</f>
        <v>#REF!</v>
      </c>
      <c r="S4361" s="5" t="e">
        <f>IF(AND(#REF!&gt;=table!$C$8,#REF!&lt;= table!$D$8),-1,IF(AND(#REF!&gt;=table!$E$8,#REF!&lt;=table!$F$8),1,0))</f>
        <v>#REF!</v>
      </c>
      <c r="T4361" s="5"/>
      <c r="U4361" s="5" t="e">
        <f>IF(AND(#REF!&gt;=table!$C$10,#REF!&lt;= table!$D$10),-1,IF(AND(#REF!&gt;=table!$E$10,#REF!&lt;=table!$F$10),1,0))</f>
        <v>#REF!</v>
      </c>
      <c r="V4361" s="5" t="e">
        <f>IF(AND(#REF!&gt;=table!$C$11,#REF!&lt;= table!$D$11),-1,IF(AND(#REF!&gt;=table!$E$11,#REF!&lt;=table!$F$11),1,0))</f>
        <v>#REF!</v>
      </c>
      <c r="W4361" s="5" t="e">
        <f>CONCATENATE(dados[[#This Row],[fator1]],dados[[#This Row],[fator5]],dados[[#This Row],[fator6]])</f>
        <v>#REF!</v>
      </c>
    </row>
    <row r="4362" spans="1:23">
      <c r="A4362" t="s">
        <v>16</v>
      </c>
      <c r="B4362">
        <v>589915</v>
      </c>
      <c r="C4362">
        <v>10</v>
      </c>
      <c r="D4362">
        <v>38</v>
      </c>
      <c r="E4362">
        <v>150</v>
      </c>
      <c r="F4362">
        <v>4</v>
      </c>
      <c r="G4362">
        <v>0</v>
      </c>
      <c r="H4362">
        <v>25</v>
      </c>
      <c r="I4362">
        <v>246</v>
      </c>
      <c r="J4362">
        <v>0</v>
      </c>
      <c r="K4362">
        <v>5.7945000000000002</v>
      </c>
      <c r="L4362">
        <v>8.9975000000000005</v>
      </c>
      <c r="M4362">
        <v>91.785000000000011</v>
      </c>
      <c r="N4362">
        <v>11.18</v>
      </c>
      <c r="O4362">
        <v>1682</v>
      </c>
      <c r="P4362">
        <v>0</v>
      </c>
      <c r="Q4362" s="5" t="e">
        <f>IF(AND(#REF!&gt;=table!$C$6,#REF!&lt;= table!$D$6),-1,IF(AND(#REF!&gt;=table!$E$6,#REF!&lt;=table!$F$6),1,0))</f>
        <v>#REF!</v>
      </c>
      <c r="R4362" s="5" t="e">
        <f>IF(AND(#REF!&gt;=table!$C$7,#REF!&lt;= table!$D$7),-1,IF(AND(#REF!&gt;=table!$E$7,#REF!&lt;=table!$F$7),1,0))</f>
        <v>#REF!</v>
      </c>
      <c r="S4362" s="5" t="e">
        <f>IF(AND(#REF!&gt;=table!$C$8,#REF!&lt;= table!$D$8),-1,IF(AND(#REF!&gt;=table!$E$8,#REF!&lt;=table!$F$8),1,0))</f>
        <v>#REF!</v>
      </c>
      <c r="T4362" s="5"/>
      <c r="U4362" s="5" t="e">
        <f>IF(AND(#REF!&gt;=table!$C$10,#REF!&lt;= table!$D$10),-1,IF(AND(#REF!&gt;=table!$E$10,#REF!&lt;=table!$F$10),1,0))</f>
        <v>#REF!</v>
      </c>
      <c r="V4362" s="5" t="e">
        <f>IF(AND(#REF!&gt;=table!$C$11,#REF!&lt;= table!$D$11),-1,IF(AND(#REF!&gt;=table!$E$11,#REF!&lt;=table!$F$11),1,0))</f>
        <v>#REF!</v>
      </c>
      <c r="W4362" s="5" t="e">
        <f>CONCATENATE(dados[[#This Row],[fator1]],dados[[#This Row],[fator5]],dados[[#This Row],[fator6]])</f>
        <v>#REF!</v>
      </c>
    </row>
    <row r="4363" spans="1:23">
      <c r="A4363" t="s">
        <v>16</v>
      </c>
      <c r="B4363">
        <v>589918</v>
      </c>
      <c r="C4363">
        <v>10</v>
      </c>
      <c r="D4363">
        <v>38</v>
      </c>
      <c r="E4363">
        <v>150</v>
      </c>
      <c r="F4363">
        <v>4</v>
      </c>
      <c r="G4363">
        <v>0</v>
      </c>
      <c r="H4363">
        <v>25</v>
      </c>
      <c r="I4363">
        <v>39</v>
      </c>
      <c r="J4363">
        <v>0</v>
      </c>
      <c r="K4363">
        <v>6.7135000000000007</v>
      </c>
      <c r="L4363">
        <v>15.538500000000001</v>
      </c>
      <c r="M4363">
        <v>125.34350000000001</v>
      </c>
      <c r="N4363">
        <v>16.52</v>
      </c>
      <c r="O4363">
        <v>1700</v>
      </c>
      <c r="P4363">
        <v>0</v>
      </c>
      <c r="Q4363" s="5" t="e">
        <f>IF(AND(#REF!&gt;=table!$C$6,#REF!&lt;= table!$D$6),-1,IF(AND(#REF!&gt;=table!$E$6,#REF!&lt;=table!$F$6),1,0))</f>
        <v>#REF!</v>
      </c>
      <c r="R4363" s="5" t="e">
        <f>IF(AND(#REF!&gt;=table!$C$7,#REF!&lt;= table!$D$7),-1,IF(AND(#REF!&gt;=table!$E$7,#REF!&lt;=table!$F$7),1,0))</f>
        <v>#REF!</v>
      </c>
      <c r="S4363" s="5" t="e">
        <f>IF(AND(#REF!&gt;=table!$C$8,#REF!&lt;= table!$D$8),-1,IF(AND(#REF!&gt;=table!$E$8,#REF!&lt;=table!$F$8),1,0))</f>
        <v>#REF!</v>
      </c>
      <c r="T4363" s="5"/>
      <c r="U4363" s="5" t="e">
        <f>IF(AND(#REF!&gt;=table!$C$10,#REF!&lt;= table!$D$10),-1,IF(AND(#REF!&gt;=table!$E$10,#REF!&lt;=table!$F$10),1,0))</f>
        <v>#REF!</v>
      </c>
      <c r="V4363" s="5" t="e">
        <f>IF(AND(#REF!&gt;=table!$C$11,#REF!&lt;= table!$D$11),-1,IF(AND(#REF!&gt;=table!$E$11,#REF!&lt;=table!$F$11),1,0))</f>
        <v>#REF!</v>
      </c>
      <c r="W4363" s="5" t="e">
        <f>CONCATENATE(dados[[#This Row],[fator1]],dados[[#This Row],[fator5]],dados[[#This Row],[fator6]])</f>
        <v>#REF!</v>
      </c>
    </row>
    <row r="4364" spans="1:23">
      <c r="A4364" t="s">
        <v>17</v>
      </c>
      <c r="B4364">
        <v>589922</v>
      </c>
      <c r="C4364">
        <v>14</v>
      </c>
      <c r="D4364">
        <v>30</v>
      </c>
      <c r="E4364">
        <v>210</v>
      </c>
      <c r="F4364">
        <v>3</v>
      </c>
      <c r="G4364">
        <v>40</v>
      </c>
      <c r="H4364">
        <v>25</v>
      </c>
      <c r="I4364">
        <v>910</v>
      </c>
      <c r="J4364">
        <v>0</v>
      </c>
      <c r="K4364">
        <v>4.9329999999999998</v>
      </c>
      <c r="L4364">
        <v>9.636000000000001</v>
      </c>
      <c r="M4364">
        <v>167.06200000000001</v>
      </c>
      <c r="N4364">
        <v>17.835000000000001</v>
      </c>
      <c r="O4364">
        <v>1689</v>
      </c>
      <c r="P4364">
        <v>902</v>
      </c>
      <c r="Q4364" s="5" t="e">
        <f>IF(AND(#REF!&gt;=table!$C$6,#REF!&lt;= table!$D$6),-1,IF(AND(#REF!&gt;=table!$E$6,#REF!&lt;=table!$F$6),1,0))</f>
        <v>#REF!</v>
      </c>
      <c r="R4364" s="5" t="e">
        <f>IF(AND(#REF!&gt;=table!$C$7,#REF!&lt;= table!$D$7),-1,IF(AND(#REF!&gt;=table!$E$7,#REF!&lt;=table!$F$7),1,0))</f>
        <v>#REF!</v>
      </c>
      <c r="S4364" s="5" t="e">
        <f>IF(AND(#REF!&gt;=table!$C$8,#REF!&lt;= table!$D$8),-1,IF(AND(#REF!&gt;=table!$E$8,#REF!&lt;=table!$F$8),1,0))</f>
        <v>#REF!</v>
      </c>
      <c r="T4364" s="5"/>
      <c r="U4364" s="5" t="e">
        <f>IF(AND(#REF!&gt;=table!$C$10,#REF!&lt;= table!$D$10),-1,IF(AND(#REF!&gt;=table!$E$10,#REF!&lt;=table!$F$10),1,0))</f>
        <v>#REF!</v>
      </c>
      <c r="V4364" s="5" t="e">
        <f>IF(AND(#REF!&gt;=table!$C$11,#REF!&lt;= table!$D$11),-1,IF(AND(#REF!&gt;=table!$E$11,#REF!&lt;=table!$F$11),1,0))</f>
        <v>#REF!</v>
      </c>
      <c r="W4364" s="5" t="e">
        <f>CONCATENATE(dados[[#This Row],[fator1]],dados[[#This Row],[fator5]],dados[[#This Row],[fator6]])</f>
        <v>#REF!</v>
      </c>
    </row>
    <row r="4365" spans="1:23">
      <c r="A4365" t="s">
        <v>17</v>
      </c>
      <c r="B4365">
        <v>589923</v>
      </c>
      <c r="C4365">
        <v>6</v>
      </c>
      <c r="D4365">
        <v>30</v>
      </c>
      <c r="E4365">
        <v>110</v>
      </c>
      <c r="F4365">
        <v>10</v>
      </c>
      <c r="G4365">
        <v>21</v>
      </c>
      <c r="H4365">
        <v>25</v>
      </c>
      <c r="I4365">
        <v>909</v>
      </c>
      <c r="J4365">
        <v>0</v>
      </c>
      <c r="K4365">
        <v>3.8360000000000003</v>
      </c>
      <c r="L4365">
        <v>8.0280000000000005</v>
      </c>
      <c r="M4365">
        <v>91.876000000000005</v>
      </c>
      <c r="N4365">
        <v>17.670000000000002</v>
      </c>
      <c r="O4365">
        <v>1656</v>
      </c>
      <c r="P4365">
        <v>848</v>
      </c>
      <c r="Q4365" s="5" t="e">
        <f>IF(AND(#REF!&gt;=table!$C$6,#REF!&lt;= table!$D$6),-1,IF(AND(#REF!&gt;=table!$E$6,#REF!&lt;=table!$F$6),1,0))</f>
        <v>#REF!</v>
      </c>
      <c r="R4365" s="5" t="e">
        <f>IF(AND(#REF!&gt;=table!$C$7,#REF!&lt;= table!$D$7),-1,IF(AND(#REF!&gt;=table!$E$7,#REF!&lt;=table!$F$7),1,0))</f>
        <v>#REF!</v>
      </c>
      <c r="S4365" s="5" t="e">
        <f>IF(AND(#REF!&gt;=table!$C$8,#REF!&lt;= table!$D$8),-1,IF(AND(#REF!&gt;=table!$E$8,#REF!&lt;=table!$F$8),1,0))</f>
        <v>#REF!</v>
      </c>
      <c r="T4365" s="5"/>
      <c r="U4365" s="5" t="e">
        <f>IF(AND(#REF!&gt;=table!$C$10,#REF!&lt;= table!$D$10),-1,IF(AND(#REF!&gt;=table!$E$10,#REF!&lt;=table!$F$10),1,0))</f>
        <v>#REF!</v>
      </c>
      <c r="V4365" s="5" t="e">
        <f>IF(AND(#REF!&gt;=table!$C$11,#REF!&lt;= table!$D$11),-1,IF(AND(#REF!&gt;=table!$E$11,#REF!&lt;=table!$F$11),1,0))</f>
        <v>#REF!</v>
      </c>
      <c r="W4365" s="5" t="e">
        <f>CONCATENATE(dados[[#This Row],[fator1]],dados[[#This Row],[fator5]],dados[[#This Row],[fator6]])</f>
        <v>#REF!</v>
      </c>
    </row>
    <row r="4366" spans="1:23">
      <c r="A4366" t="s">
        <v>17</v>
      </c>
      <c r="B4366">
        <v>589924</v>
      </c>
      <c r="C4366">
        <v>6</v>
      </c>
      <c r="D4366">
        <v>30</v>
      </c>
      <c r="E4366">
        <v>110</v>
      </c>
      <c r="F4366">
        <v>10</v>
      </c>
      <c r="G4366">
        <v>21</v>
      </c>
      <c r="H4366">
        <v>25</v>
      </c>
      <c r="I4366">
        <v>441</v>
      </c>
      <c r="J4366">
        <v>0</v>
      </c>
      <c r="K4366">
        <v>4.4765000000000006</v>
      </c>
      <c r="L4366">
        <v>13.013500000000001</v>
      </c>
      <c r="M4366">
        <v>98.573000000000008</v>
      </c>
      <c r="N4366">
        <v>15.09</v>
      </c>
      <c r="O4366">
        <v>1644</v>
      </c>
      <c r="P4366">
        <v>650</v>
      </c>
      <c r="Q4366" s="5" t="e">
        <f>IF(AND(#REF!&gt;=table!$C$6,#REF!&lt;= table!$D$6),-1,IF(AND(#REF!&gt;=table!$E$6,#REF!&lt;=table!$F$6),1,0))</f>
        <v>#REF!</v>
      </c>
      <c r="R4366" s="5" t="e">
        <f>IF(AND(#REF!&gt;=table!$C$7,#REF!&lt;= table!$D$7),-1,IF(AND(#REF!&gt;=table!$E$7,#REF!&lt;=table!$F$7),1,0))</f>
        <v>#REF!</v>
      </c>
      <c r="S4366" s="5" t="e">
        <f>IF(AND(#REF!&gt;=table!$C$8,#REF!&lt;= table!$D$8),-1,IF(AND(#REF!&gt;=table!$E$8,#REF!&lt;=table!$F$8),1,0))</f>
        <v>#REF!</v>
      </c>
      <c r="T4366" s="5"/>
      <c r="U4366" s="5" t="e">
        <f>IF(AND(#REF!&gt;=table!$C$10,#REF!&lt;= table!$D$10),-1,IF(AND(#REF!&gt;=table!$E$10,#REF!&lt;=table!$F$10),1,0))</f>
        <v>#REF!</v>
      </c>
      <c r="V4366" s="5" t="e">
        <f>IF(AND(#REF!&gt;=table!$C$11,#REF!&lt;= table!$D$11),-1,IF(AND(#REF!&gt;=table!$E$11,#REF!&lt;=table!$F$11),1,0))</f>
        <v>#REF!</v>
      </c>
      <c r="W4366" s="5" t="e">
        <f>CONCATENATE(dados[[#This Row],[fator1]],dados[[#This Row],[fator5]],dados[[#This Row],[fator6]])</f>
        <v>#REF!</v>
      </c>
    </row>
    <row r="4367" spans="1:23">
      <c r="A4367" t="s">
        <v>16</v>
      </c>
      <c r="B4367">
        <v>589928</v>
      </c>
      <c r="C4367">
        <v>0.15</v>
      </c>
      <c r="D4367">
        <v>35</v>
      </c>
      <c r="E4367">
        <v>15</v>
      </c>
      <c r="F4367">
        <v>10</v>
      </c>
      <c r="G4367">
        <v>0</v>
      </c>
      <c r="H4367">
        <v>12</v>
      </c>
      <c r="I4367">
        <v>3</v>
      </c>
      <c r="J4367">
        <v>0</v>
      </c>
      <c r="K4367">
        <v>6.2149999999999999</v>
      </c>
      <c r="L4367">
        <v>9.2085000000000008</v>
      </c>
      <c r="M4367">
        <v>7.718</v>
      </c>
      <c r="N4367">
        <v>10.38</v>
      </c>
      <c r="O4367">
        <v>1685</v>
      </c>
      <c r="P4367">
        <v>719</v>
      </c>
      <c r="Q4367" s="5" t="e">
        <f>IF(AND(#REF!&gt;=table!$C$6,#REF!&lt;= table!$D$6),-1,IF(AND(#REF!&gt;=table!$E$6,#REF!&lt;=table!$F$6),1,0))</f>
        <v>#REF!</v>
      </c>
      <c r="R4367" s="5" t="e">
        <f>IF(AND(#REF!&gt;=table!$C$7,#REF!&lt;= table!$D$7),-1,IF(AND(#REF!&gt;=table!$E$7,#REF!&lt;=table!$F$7),1,0))</f>
        <v>#REF!</v>
      </c>
      <c r="S4367" s="5" t="e">
        <f>IF(AND(#REF!&gt;=table!$C$8,#REF!&lt;= table!$D$8),-1,IF(AND(#REF!&gt;=table!$E$8,#REF!&lt;=table!$F$8),1,0))</f>
        <v>#REF!</v>
      </c>
      <c r="T4367" s="5"/>
      <c r="U4367" s="5" t="e">
        <f>IF(AND(#REF!&gt;=table!$C$10,#REF!&lt;= table!$D$10),-1,IF(AND(#REF!&gt;=table!$E$10,#REF!&lt;=table!$F$10),1,0))</f>
        <v>#REF!</v>
      </c>
      <c r="V4367" s="5" t="e">
        <f>IF(AND(#REF!&gt;=table!$C$11,#REF!&lt;= table!$D$11),-1,IF(AND(#REF!&gt;=table!$E$11,#REF!&lt;=table!$F$11),1,0))</f>
        <v>#REF!</v>
      </c>
      <c r="W4367" s="5" t="e">
        <f>CONCATENATE(dados[[#This Row],[fator1]],dados[[#This Row],[fator5]],dados[[#This Row],[fator6]])</f>
        <v>#REF!</v>
      </c>
    </row>
    <row r="4368" spans="1:23">
      <c r="A4368" t="s">
        <v>16</v>
      </c>
      <c r="B4368">
        <v>589929</v>
      </c>
      <c r="C4368">
        <v>0.15</v>
      </c>
      <c r="D4368">
        <v>35</v>
      </c>
      <c r="E4368">
        <v>15</v>
      </c>
      <c r="F4368">
        <v>10</v>
      </c>
      <c r="G4368">
        <v>0</v>
      </c>
      <c r="H4368">
        <v>12</v>
      </c>
      <c r="I4368">
        <v>2060</v>
      </c>
      <c r="J4368">
        <v>0</v>
      </c>
      <c r="K4368">
        <v>5.6829999999999998</v>
      </c>
      <c r="L4368">
        <v>8.4619999999999997</v>
      </c>
      <c r="M4368">
        <v>7.8870000000000005</v>
      </c>
      <c r="N4368">
        <v>10.450000000000001</v>
      </c>
      <c r="O4368">
        <v>1679</v>
      </c>
      <c r="P4368">
        <v>663</v>
      </c>
      <c r="Q4368" s="5" t="e">
        <f>IF(AND(#REF!&gt;=table!$C$6,#REF!&lt;= table!$D$6),-1,IF(AND(#REF!&gt;=table!$E$6,#REF!&lt;=table!$F$6),1,0))</f>
        <v>#REF!</v>
      </c>
      <c r="R4368" s="5" t="e">
        <f>IF(AND(#REF!&gt;=table!$C$7,#REF!&lt;= table!$D$7),-1,IF(AND(#REF!&gt;=table!$E$7,#REF!&lt;=table!$F$7),1,0))</f>
        <v>#REF!</v>
      </c>
      <c r="S4368" s="5" t="e">
        <f>IF(AND(#REF!&gt;=table!$C$8,#REF!&lt;= table!$D$8),-1,IF(AND(#REF!&gt;=table!$E$8,#REF!&lt;=table!$F$8),1,0))</f>
        <v>#REF!</v>
      </c>
      <c r="T4368" s="5"/>
      <c r="U4368" s="5" t="e">
        <f>IF(AND(#REF!&gt;=table!$C$10,#REF!&lt;= table!$D$10),-1,IF(AND(#REF!&gt;=table!$E$10,#REF!&lt;=table!$F$10),1,0))</f>
        <v>#REF!</v>
      </c>
      <c r="V4368" s="5" t="e">
        <f>IF(AND(#REF!&gt;=table!$C$11,#REF!&lt;= table!$D$11),-1,IF(AND(#REF!&gt;=table!$E$11,#REF!&lt;=table!$F$11),1,0))</f>
        <v>#REF!</v>
      </c>
      <c r="W4368" s="5" t="e">
        <f>CONCATENATE(dados[[#This Row],[fator1]],dados[[#This Row],[fator5]],dados[[#This Row],[fator6]])</f>
        <v>#REF!</v>
      </c>
    </row>
    <row r="4369" spans="1:23">
      <c r="A4369" t="s">
        <v>16</v>
      </c>
      <c r="B4369">
        <v>589932</v>
      </c>
      <c r="C4369">
        <v>0.15</v>
      </c>
      <c r="D4369">
        <v>35</v>
      </c>
      <c r="E4369">
        <v>15</v>
      </c>
      <c r="F4369">
        <v>10</v>
      </c>
      <c r="G4369">
        <v>0</v>
      </c>
      <c r="H4369">
        <v>12</v>
      </c>
      <c r="I4369">
        <v>2172</v>
      </c>
      <c r="J4369">
        <v>0</v>
      </c>
      <c r="K4369">
        <v>6.2890000000000006</v>
      </c>
      <c r="L4369">
        <v>6.2949999999999999</v>
      </c>
      <c r="M4369">
        <v>6.867</v>
      </c>
      <c r="N4369">
        <v>8.6150000000000002</v>
      </c>
      <c r="O4369">
        <v>1675</v>
      </c>
      <c r="P4369">
        <v>673</v>
      </c>
      <c r="Q4369" s="5" t="e">
        <f>IF(AND(#REF!&gt;=table!$C$6,#REF!&lt;= table!$D$6),-1,IF(AND(#REF!&gt;=table!$E$6,#REF!&lt;=table!$F$6),1,0))</f>
        <v>#REF!</v>
      </c>
      <c r="R4369" s="5" t="e">
        <f>IF(AND(#REF!&gt;=table!$C$7,#REF!&lt;= table!$D$7),-1,IF(AND(#REF!&gt;=table!$E$7,#REF!&lt;=table!$F$7),1,0))</f>
        <v>#REF!</v>
      </c>
      <c r="S4369" s="5" t="e">
        <f>IF(AND(#REF!&gt;=table!$C$8,#REF!&lt;= table!$D$8),-1,IF(AND(#REF!&gt;=table!$E$8,#REF!&lt;=table!$F$8),1,0))</f>
        <v>#REF!</v>
      </c>
      <c r="T4369" s="5"/>
      <c r="U4369" s="5" t="e">
        <f>IF(AND(#REF!&gt;=table!$C$10,#REF!&lt;= table!$D$10),-1,IF(AND(#REF!&gt;=table!$E$10,#REF!&lt;=table!$F$10),1,0))</f>
        <v>#REF!</v>
      </c>
      <c r="V4369" s="5" t="e">
        <f>IF(AND(#REF!&gt;=table!$C$11,#REF!&lt;= table!$D$11),-1,IF(AND(#REF!&gt;=table!$E$11,#REF!&lt;=table!$F$11),1,0))</f>
        <v>#REF!</v>
      </c>
      <c r="W4369" s="5" t="e">
        <f>CONCATENATE(dados[[#This Row],[fator1]],dados[[#This Row],[fator5]],dados[[#This Row],[fator6]])</f>
        <v>#REF!</v>
      </c>
    </row>
    <row r="4370" spans="1:23">
      <c r="A4370" t="s">
        <v>16</v>
      </c>
      <c r="B4370">
        <v>589935</v>
      </c>
      <c r="C4370">
        <v>0.1</v>
      </c>
      <c r="D4370">
        <v>35</v>
      </c>
      <c r="E4370">
        <v>10</v>
      </c>
      <c r="F4370">
        <v>10</v>
      </c>
      <c r="G4370">
        <v>0</v>
      </c>
      <c r="H4370">
        <v>12</v>
      </c>
      <c r="I4370">
        <v>399</v>
      </c>
      <c r="J4370">
        <v>0</v>
      </c>
      <c r="K4370">
        <v>4.6589999999999998</v>
      </c>
      <c r="L4370">
        <v>6.3545000000000007</v>
      </c>
      <c r="M4370">
        <v>6.1760000000000002</v>
      </c>
      <c r="N4370">
        <v>8.8049999999999997</v>
      </c>
      <c r="O4370">
        <v>1656</v>
      </c>
      <c r="P4370">
        <v>814</v>
      </c>
      <c r="Q4370" s="5" t="e">
        <f>IF(AND(#REF!&gt;=table!$C$6,#REF!&lt;= table!$D$6),-1,IF(AND(#REF!&gt;=table!$E$6,#REF!&lt;=table!$F$6),1,0))</f>
        <v>#REF!</v>
      </c>
      <c r="R4370" s="5" t="e">
        <f>IF(AND(#REF!&gt;=table!$C$7,#REF!&lt;= table!$D$7),-1,IF(AND(#REF!&gt;=table!$E$7,#REF!&lt;=table!$F$7),1,0))</f>
        <v>#REF!</v>
      </c>
      <c r="S4370" s="5" t="e">
        <f>IF(AND(#REF!&gt;=table!$C$8,#REF!&lt;= table!$D$8),-1,IF(AND(#REF!&gt;=table!$E$8,#REF!&lt;=table!$F$8),1,0))</f>
        <v>#REF!</v>
      </c>
      <c r="T4370" s="5"/>
      <c r="U4370" s="5" t="e">
        <f>IF(AND(#REF!&gt;=table!$C$10,#REF!&lt;= table!$D$10),-1,IF(AND(#REF!&gt;=table!$E$10,#REF!&lt;=table!$F$10),1,0))</f>
        <v>#REF!</v>
      </c>
      <c r="V4370" s="5" t="e">
        <f>IF(AND(#REF!&gt;=table!$C$11,#REF!&lt;= table!$D$11),-1,IF(AND(#REF!&gt;=table!$E$11,#REF!&lt;=table!$F$11),1,0))</f>
        <v>#REF!</v>
      </c>
      <c r="W4370" s="5" t="e">
        <f>CONCATENATE(dados[[#This Row],[fator1]],dados[[#This Row],[fator5]],dados[[#This Row],[fator6]])</f>
        <v>#REF!</v>
      </c>
    </row>
    <row r="4371" spans="1:23">
      <c r="A4371" t="s">
        <v>16</v>
      </c>
      <c r="B4371">
        <v>589937</v>
      </c>
      <c r="C4371">
        <v>0.1</v>
      </c>
      <c r="D4371">
        <v>35</v>
      </c>
      <c r="E4371">
        <v>10</v>
      </c>
      <c r="F4371">
        <v>10</v>
      </c>
      <c r="G4371">
        <v>0</v>
      </c>
      <c r="H4371">
        <v>12</v>
      </c>
      <c r="I4371">
        <v>0</v>
      </c>
      <c r="J4371">
        <v>0</v>
      </c>
      <c r="K4371">
        <v>5.782</v>
      </c>
      <c r="L4371">
        <v>15.412500000000001</v>
      </c>
      <c r="M4371">
        <v>11.657500000000001</v>
      </c>
      <c r="N4371">
        <v>14.81</v>
      </c>
      <c r="O4371">
        <v>1680</v>
      </c>
      <c r="P4371">
        <v>0</v>
      </c>
      <c r="Q4371" s="5" t="e">
        <f>IF(AND(#REF!&gt;=table!$C$6,#REF!&lt;= table!$D$6),-1,IF(AND(#REF!&gt;=table!$E$6,#REF!&lt;=table!$F$6),1,0))</f>
        <v>#REF!</v>
      </c>
      <c r="R4371" s="5" t="e">
        <f>IF(AND(#REF!&gt;=table!$C$7,#REF!&lt;= table!$D$7),-1,IF(AND(#REF!&gt;=table!$E$7,#REF!&lt;=table!$F$7),1,0))</f>
        <v>#REF!</v>
      </c>
      <c r="S4371" s="5" t="e">
        <f>IF(AND(#REF!&gt;=table!$C$8,#REF!&lt;= table!$D$8),-1,IF(AND(#REF!&gt;=table!$E$8,#REF!&lt;=table!$F$8),1,0))</f>
        <v>#REF!</v>
      </c>
      <c r="T4371" s="5"/>
      <c r="U4371" s="5" t="e">
        <f>IF(AND(#REF!&gt;=table!$C$10,#REF!&lt;= table!$D$10),-1,IF(AND(#REF!&gt;=table!$E$10,#REF!&lt;=table!$F$10),1,0))</f>
        <v>#REF!</v>
      </c>
      <c r="V4371" s="5" t="e">
        <f>IF(AND(#REF!&gt;=table!$C$11,#REF!&lt;= table!$D$11),-1,IF(AND(#REF!&gt;=table!$E$11,#REF!&lt;=table!$F$11),1,0))</f>
        <v>#REF!</v>
      </c>
      <c r="W4371" s="5" t="e">
        <f>CONCATENATE(dados[[#This Row],[fator1]],dados[[#This Row],[fator5]],dados[[#This Row],[fator6]])</f>
        <v>#REF!</v>
      </c>
    </row>
    <row r="4372" spans="1:23">
      <c r="A4372" t="s">
        <v>16</v>
      </c>
      <c r="B4372">
        <v>589941</v>
      </c>
      <c r="C4372">
        <v>0.1</v>
      </c>
      <c r="D4372">
        <v>40</v>
      </c>
      <c r="E4372">
        <v>10</v>
      </c>
      <c r="F4372">
        <v>8</v>
      </c>
      <c r="G4372">
        <v>0</v>
      </c>
      <c r="H4372">
        <v>10</v>
      </c>
      <c r="I4372">
        <v>878</v>
      </c>
      <c r="J4372">
        <v>0</v>
      </c>
      <c r="K4372">
        <v>2.996</v>
      </c>
      <c r="L4372">
        <v>5.8905000000000003</v>
      </c>
      <c r="M4372">
        <v>5.2454999999999998</v>
      </c>
      <c r="N4372">
        <v>9.0850000000000009</v>
      </c>
      <c r="O4372">
        <v>1683</v>
      </c>
      <c r="P4372">
        <v>1613</v>
      </c>
      <c r="Q4372" s="5" t="e">
        <f>IF(AND(#REF!&gt;=table!$C$6,#REF!&lt;= table!$D$6),-1,IF(AND(#REF!&gt;=table!$E$6,#REF!&lt;=table!$F$6),1,0))</f>
        <v>#REF!</v>
      </c>
      <c r="R4372" s="5" t="e">
        <f>IF(AND(#REF!&gt;=table!$C$7,#REF!&lt;= table!$D$7),-1,IF(AND(#REF!&gt;=table!$E$7,#REF!&lt;=table!$F$7),1,0))</f>
        <v>#REF!</v>
      </c>
      <c r="S4372" s="5" t="e">
        <f>IF(AND(#REF!&gt;=table!$C$8,#REF!&lt;= table!$D$8),-1,IF(AND(#REF!&gt;=table!$E$8,#REF!&lt;=table!$F$8),1,0))</f>
        <v>#REF!</v>
      </c>
      <c r="T4372" s="5"/>
      <c r="U4372" s="5" t="e">
        <f>IF(AND(#REF!&gt;=table!$C$10,#REF!&lt;= table!$D$10),-1,IF(AND(#REF!&gt;=table!$E$10,#REF!&lt;=table!$F$10),1,0))</f>
        <v>#REF!</v>
      </c>
      <c r="V4372" s="5" t="e">
        <f>IF(AND(#REF!&gt;=table!$C$11,#REF!&lt;= table!$D$11),-1,IF(AND(#REF!&gt;=table!$E$11,#REF!&lt;=table!$F$11),1,0))</f>
        <v>#REF!</v>
      </c>
      <c r="W4372" s="5" t="e">
        <f>CONCATENATE(dados[[#This Row],[fator1]],dados[[#This Row],[fator5]],dados[[#This Row],[fator6]])</f>
        <v>#REF!</v>
      </c>
    </row>
    <row r="4373" spans="1:23">
      <c r="A4373" t="s">
        <v>16</v>
      </c>
      <c r="B4373">
        <v>589942</v>
      </c>
      <c r="C4373">
        <v>0.1</v>
      </c>
      <c r="D4373">
        <v>40</v>
      </c>
      <c r="E4373">
        <v>10</v>
      </c>
      <c r="F4373">
        <v>8</v>
      </c>
      <c r="G4373">
        <v>0</v>
      </c>
      <c r="H4373">
        <v>10</v>
      </c>
      <c r="I4373">
        <v>20</v>
      </c>
      <c r="J4373">
        <v>490</v>
      </c>
      <c r="K4373">
        <v>2.9255</v>
      </c>
      <c r="L4373">
        <v>12.660500000000001</v>
      </c>
      <c r="M4373">
        <v>7.2170000000000005</v>
      </c>
      <c r="N4373">
        <v>13.23</v>
      </c>
      <c r="O4373">
        <v>1679</v>
      </c>
      <c r="P4373">
        <v>1296</v>
      </c>
      <c r="Q4373" s="5" t="e">
        <f>IF(AND(#REF!&gt;=table!$C$6,#REF!&lt;= table!$D$6),-1,IF(AND(#REF!&gt;=table!$E$6,#REF!&lt;=table!$F$6),1,0))</f>
        <v>#REF!</v>
      </c>
      <c r="R4373" s="5" t="e">
        <f>IF(AND(#REF!&gt;=table!$C$7,#REF!&lt;= table!$D$7),-1,IF(AND(#REF!&gt;=table!$E$7,#REF!&lt;=table!$F$7),1,0))</f>
        <v>#REF!</v>
      </c>
      <c r="S4373" s="5" t="e">
        <f>IF(AND(#REF!&gt;=table!$C$8,#REF!&lt;= table!$D$8),-1,IF(AND(#REF!&gt;=table!$E$8,#REF!&lt;=table!$F$8),1,0))</f>
        <v>#REF!</v>
      </c>
      <c r="T4373" s="5"/>
      <c r="U4373" s="5" t="e">
        <f>IF(AND(#REF!&gt;=table!$C$10,#REF!&lt;= table!$D$10),-1,IF(AND(#REF!&gt;=table!$E$10,#REF!&lt;=table!$F$10),1,0))</f>
        <v>#REF!</v>
      </c>
      <c r="V4373" s="5" t="e">
        <f>IF(AND(#REF!&gt;=table!$C$11,#REF!&lt;= table!$D$11),-1,IF(AND(#REF!&gt;=table!$E$11,#REF!&lt;=table!$F$11),1,0))</f>
        <v>#REF!</v>
      </c>
      <c r="W4373" s="5" t="e">
        <f>CONCATENATE(dados[[#This Row],[fator1]],dados[[#This Row],[fator5]],dados[[#This Row],[fator6]])</f>
        <v>#REF!</v>
      </c>
    </row>
    <row r="4374" spans="1:23">
      <c r="A4374" t="s">
        <v>16</v>
      </c>
      <c r="B4374">
        <v>589944</v>
      </c>
      <c r="C4374">
        <v>0.15</v>
      </c>
      <c r="D4374">
        <v>40</v>
      </c>
      <c r="E4374">
        <v>10</v>
      </c>
      <c r="F4374">
        <v>15</v>
      </c>
      <c r="G4374">
        <v>0</v>
      </c>
      <c r="H4374">
        <v>15</v>
      </c>
      <c r="I4374">
        <v>351</v>
      </c>
      <c r="J4374">
        <v>0</v>
      </c>
      <c r="K4374">
        <v>5.8825000000000003</v>
      </c>
      <c r="L4374">
        <v>7.7050000000000001</v>
      </c>
      <c r="M4374">
        <v>7.4015000000000004</v>
      </c>
      <c r="N4374">
        <v>9.1150000000000002</v>
      </c>
      <c r="O4374">
        <v>1643</v>
      </c>
      <c r="P4374">
        <v>0</v>
      </c>
      <c r="Q4374" s="5" t="e">
        <f>IF(AND(#REF!&gt;=table!$C$6,#REF!&lt;= table!$D$6),-1,IF(AND(#REF!&gt;=table!$E$6,#REF!&lt;=table!$F$6),1,0))</f>
        <v>#REF!</v>
      </c>
      <c r="R4374" s="5" t="e">
        <f>IF(AND(#REF!&gt;=table!$C$7,#REF!&lt;= table!$D$7),-1,IF(AND(#REF!&gt;=table!$E$7,#REF!&lt;=table!$F$7),1,0))</f>
        <v>#REF!</v>
      </c>
      <c r="S4374" s="5" t="e">
        <f>IF(AND(#REF!&gt;=table!$C$8,#REF!&lt;= table!$D$8),-1,IF(AND(#REF!&gt;=table!$E$8,#REF!&lt;=table!$F$8),1,0))</f>
        <v>#REF!</v>
      </c>
      <c r="T4374" s="5"/>
      <c r="U4374" s="5" t="e">
        <f>IF(AND(#REF!&gt;=table!$C$10,#REF!&lt;= table!$D$10),-1,IF(AND(#REF!&gt;=table!$E$10,#REF!&lt;=table!$F$10),1,0))</f>
        <v>#REF!</v>
      </c>
      <c r="V4374" s="5" t="e">
        <f>IF(AND(#REF!&gt;=table!$C$11,#REF!&lt;= table!$D$11),-1,IF(AND(#REF!&gt;=table!$E$11,#REF!&lt;=table!$F$11),1,0))</f>
        <v>#REF!</v>
      </c>
      <c r="W4374" s="5" t="e">
        <f>CONCATENATE(dados[[#This Row],[fator1]],dados[[#This Row],[fator5]],dados[[#This Row],[fator6]])</f>
        <v>#REF!</v>
      </c>
    </row>
    <row r="4375" spans="1:23">
      <c r="A4375" t="s">
        <v>17</v>
      </c>
      <c r="B4375">
        <v>589946</v>
      </c>
      <c r="C4375">
        <v>22</v>
      </c>
      <c r="D4375">
        <v>30</v>
      </c>
      <c r="E4375">
        <v>101</v>
      </c>
      <c r="F4375">
        <v>9</v>
      </c>
      <c r="G4375">
        <v>20</v>
      </c>
      <c r="H4375">
        <v>25</v>
      </c>
      <c r="I4375">
        <v>0</v>
      </c>
      <c r="J4375">
        <v>0</v>
      </c>
      <c r="K4375">
        <v>6.0505000000000004</v>
      </c>
      <c r="L4375">
        <v>15.0625</v>
      </c>
      <c r="M4375">
        <v>97.77</v>
      </c>
      <c r="N4375">
        <v>21.015000000000001</v>
      </c>
      <c r="O4375">
        <v>1690</v>
      </c>
      <c r="P4375">
        <v>0</v>
      </c>
      <c r="Q4375" s="5" t="e">
        <f>IF(AND(#REF!&gt;=table!$C$6,#REF!&lt;= table!$D$6),-1,IF(AND(#REF!&gt;=table!$E$6,#REF!&lt;=table!$F$6),1,0))</f>
        <v>#REF!</v>
      </c>
      <c r="R4375" s="5" t="e">
        <f>IF(AND(#REF!&gt;=table!$C$7,#REF!&lt;= table!$D$7),-1,IF(AND(#REF!&gt;=table!$E$7,#REF!&lt;=table!$F$7),1,0))</f>
        <v>#REF!</v>
      </c>
      <c r="S4375" s="5" t="e">
        <f>IF(AND(#REF!&gt;=table!$C$8,#REF!&lt;= table!$D$8),-1,IF(AND(#REF!&gt;=table!$E$8,#REF!&lt;=table!$F$8),1,0))</f>
        <v>#REF!</v>
      </c>
      <c r="T4375" s="5"/>
      <c r="U4375" s="5" t="e">
        <f>IF(AND(#REF!&gt;=table!$C$10,#REF!&lt;= table!$D$10),-1,IF(AND(#REF!&gt;=table!$E$10,#REF!&lt;=table!$F$10),1,0))</f>
        <v>#REF!</v>
      </c>
      <c r="V4375" s="5" t="e">
        <f>IF(AND(#REF!&gt;=table!$C$11,#REF!&lt;= table!$D$11),-1,IF(AND(#REF!&gt;=table!$E$11,#REF!&lt;=table!$F$11),1,0))</f>
        <v>#REF!</v>
      </c>
      <c r="W4375" s="5" t="e">
        <f>CONCATENATE(dados[[#This Row],[fator1]],dados[[#This Row],[fator5]],dados[[#This Row],[fator6]])</f>
        <v>#REF!</v>
      </c>
    </row>
    <row r="4376" spans="1:23">
      <c r="A4376" t="s">
        <v>17</v>
      </c>
      <c r="B4376">
        <v>589949</v>
      </c>
      <c r="C4376">
        <v>30</v>
      </c>
      <c r="D4376">
        <v>18</v>
      </c>
      <c r="E4376">
        <v>66</v>
      </c>
      <c r="F4376">
        <v>6</v>
      </c>
      <c r="G4376">
        <v>20</v>
      </c>
      <c r="H4376">
        <v>25</v>
      </c>
      <c r="I4376">
        <v>0</v>
      </c>
      <c r="J4376">
        <v>0</v>
      </c>
      <c r="K4376">
        <v>2.9875000000000003</v>
      </c>
      <c r="L4376">
        <v>6.6815000000000007</v>
      </c>
      <c r="M4376">
        <v>47.0745</v>
      </c>
      <c r="N4376">
        <v>12.290000000000001</v>
      </c>
      <c r="O4376">
        <v>1676</v>
      </c>
      <c r="P4376">
        <v>1253</v>
      </c>
      <c r="Q4376" s="5" t="e">
        <f>IF(AND(#REF!&gt;=table!$C$6,#REF!&lt;= table!$D$6),-1,IF(AND(#REF!&gt;=table!$E$6,#REF!&lt;=table!$F$6),1,0))</f>
        <v>#REF!</v>
      </c>
      <c r="R4376" s="5" t="e">
        <f>IF(AND(#REF!&gt;=table!$C$7,#REF!&lt;= table!$D$7),-1,IF(AND(#REF!&gt;=table!$E$7,#REF!&lt;=table!$F$7),1,0))</f>
        <v>#REF!</v>
      </c>
      <c r="S4376" s="5" t="e">
        <f>IF(AND(#REF!&gt;=table!$C$8,#REF!&lt;= table!$D$8),-1,IF(AND(#REF!&gt;=table!$E$8,#REF!&lt;=table!$F$8),1,0))</f>
        <v>#REF!</v>
      </c>
      <c r="T4376" s="5"/>
      <c r="U4376" s="5" t="e">
        <f>IF(AND(#REF!&gt;=table!$C$10,#REF!&lt;= table!$D$10),-1,IF(AND(#REF!&gt;=table!$E$10,#REF!&lt;=table!$F$10),1,0))</f>
        <v>#REF!</v>
      </c>
      <c r="V4376" s="5" t="e">
        <f>IF(AND(#REF!&gt;=table!$C$11,#REF!&lt;= table!$D$11),-1,IF(AND(#REF!&gt;=table!$E$11,#REF!&lt;=table!$F$11),1,0))</f>
        <v>#REF!</v>
      </c>
      <c r="W4376" s="5" t="e">
        <f>CONCATENATE(dados[[#This Row],[fator1]],dados[[#This Row],[fator5]],dados[[#This Row],[fator6]])</f>
        <v>#REF!</v>
      </c>
    </row>
    <row r="4377" spans="1:23">
      <c r="A4377" t="s">
        <v>17</v>
      </c>
      <c r="B4377">
        <v>589952</v>
      </c>
      <c r="C4377">
        <v>45</v>
      </c>
      <c r="D4377">
        <v>30</v>
      </c>
      <c r="E4377">
        <v>175</v>
      </c>
      <c r="F4377">
        <v>15</v>
      </c>
      <c r="G4377">
        <v>20</v>
      </c>
      <c r="H4377">
        <v>25</v>
      </c>
      <c r="I4377">
        <v>28</v>
      </c>
      <c r="J4377">
        <v>880</v>
      </c>
      <c r="K4377">
        <v>8.9670000000000005</v>
      </c>
      <c r="L4377">
        <v>24.794</v>
      </c>
      <c r="M4377">
        <v>146.0215</v>
      </c>
      <c r="N4377">
        <v>16.805</v>
      </c>
      <c r="O4377">
        <v>1685</v>
      </c>
      <c r="P4377">
        <v>413</v>
      </c>
      <c r="Q4377" s="5" t="e">
        <f>IF(AND(#REF!&gt;=table!$C$6,#REF!&lt;= table!$D$6),-1,IF(AND(#REF!&gt;=table!$E$6,#REF!&lt;=table!$F$6),1,0))</f>
        <v>#REF!</v>
      </c>
      <c r="R4377" s="5" t="e">
        <f>IF(AND(#REF!&gt;=table!$C$7,#REF!&lt;= table!$D$7),-1,IF(AND(#REF!&gt;=table!$E$7,#REF!&lt;=table!$F$7),1,0))</f>
        <v>#REF!</v>
      </c>
      <c r="S4377" s="5" t="e">
        <f>IF(AND(#REF!&gt;=table!$C$8,#REF!&lt;= table!$D$8),-1,IF(AND(#REF!&gt;=table!$E$8,#REF!&lt;=table!$F$8),1,0))</f>
        <v>#REF!</v>
      </c>
      <c r="T4377" s="5"/>
      <c r="U4377" s="5" t="e">
        <f>IF(AND(#REF!&gt;=table!$C$10,#REF!&lt;= table!$D$10),-1,IF(AND(#REF!&gt;=table!$E$10,#REF!&lt;=table!$F$10),1,0))</f>
        <v>#REF!</v>
      </c>
      <c r="V4377" s="5" t="e">
        <f>IF(AND(#REF!&gt;=table!$C$11,#REF!&lt;= table!$D$11),-1,IF(AND(#REF!&gt;=table!$E$11,#REF!&lt;=table!$F$11),1,0))</f>
        <v>#REF!</v>
      </c>
      <c r="W4377" s="5" t="e">
        <f>CONCATENATE(dados[[#This Row],[fator1]],dados[[#This Row],[fator5]],dados[[#This Row],[fator6]])</f>
        <v>#REF!</v>
      </c>
    </row>
    <row r="4378" spans="1:23">
      <c r="A4378" t="s">
        <v>17</v>
      </c>
      <c r="B4378">
        <v>589953</v>
      </c>
      <c r="C4378">
        <v>13</v>
      </c>
      <c r="D4378">
        <v>30</v>
      </c>
      <c r="E4378">
        <v>150</v>
      </c>
      <c r="F4378">
        <v>4</v>
      </c>
      <c r="G4378">
        <v>20</v>
      </c>
      <c r="H4378">
        <v>25</v>
      </c>
      <c r="I4378">
        <v>47</v>
      </c>
      <c r="J4378">
        <v>0</v>
      </c>
      <c r="K4378">
        <v>5.7675000000000001</v>
      </c>
      <c r="L4378">
        <v>9.0010000000000012</v>
      </c>
      <c r="M4378">
        <v>52.776500000000006</v>
      </c>
      <c r="N4378">
        <v>10.385</v>
      </c>
      <c r="O4378">
        <v>1659</v>
      </c>
      <c r="P4378">
        <v>631</v>
      </c>
      <c r="Q4378" s="5" t="e">
        <f>IF(AND(#REF!&gt;=table!$C$6,#REF!&lt;= table!$D$6),-1,IF(AND(#REF!&gt;=table!$E$6,#REF!&lt;=table!$F$6),1,0))</f>
        <v>#REF!</v>
      </c>
      <c r="R4378" s="5" t="e">
        <f>IF(AND(#REF!&gt;=table!$C$7,#REF!&lt;= table!$D$7),-1,IF(AND(#REF!&gt;=table!$E$7,#REF!&lt;=table!$F$7),1,0))</f>
        <v>#REF!</v>
      </c>
      <c r="S4378" s="5" t="e">
        <f>IF(AND(#REF!&gt;=table!$C$8,#REF!&lt;= table!$D$8),-1,IF(AND(#REF!&gt;=table!$E$8,#REF!&lt;=table!$F$8),1,0))</f>
        <v>#REF!</v>
      </c>
      <c r="T4378" s="5"/>
      <c r="U4378" s="5" t="e">
        <f>IF(AND(#REF!&gt;=table!$C$10,#REF!&lt;= table!$D$10),-1,IF(AND(#REF!&gt;=table!$E$10,#REF!&lt;=table!$F$10),1,0))</f>
        <v>#REF!</v>
      </c>
      <c r="V4378" s="5" t="e">
        <f>IF(AND(#REF!&gt;=table!$C$11,#REF!&lt;= table!$D$11),-1,IF(AND(#REF!&gt;=table!$E$11,#REF!&lt;=table!$F$11),1,0))</f>
        <v>#REF!</v>
      </c>
      <c r="W4378" s="5" t="e">
        <f>CONCATENATE(dados[[#This Row],[fator1]],dados[[#This Row],[fator5]],dados[[#This Row],[fator6]])</f>
        <v>#REF!</v>
      </c>
    </row>
    <row r="4379" spans="1:23">
      <c r="A4379" t="s">
        <v>17</v>
      </c>
      <c r="B4379">
        <v>589957</v>
      </c>
      <c r="C4379">
        <v>10</v>
      </c>
      <c r="D4379">
        <v>25</v>
      </c>
      <c r="E4379">
        <v>156</v>
      </c>
      <c r="F4379">
        <v>8</v>
      </c>
      <c r="G4379">
        <v>20</v>
      </c>
      <c r="H4379">
        <v>25</v>
      </c>
      <c r="I4379">
        <v>380</v>
      </c>
      <c r="J4379">
        <v>0</v>
      </c>
      <c r="K4379">
        <v>4.8355000000000006</v>
      </c>
      <c r="L4379">
        <v>11.225000000000001</v>
      </c>
      <c r="M4379">
        <v>145.5515</v>
      </c>
      <c r="N4379">
        <v>14.735000000000001</v>
      </c>
      <c r="O4379">
        <v>1685</v>
      </c>
      <c r="P4379">
        <v>1181</v>
      </c>
      <c r="Q4379" s="5" t="e">
        <f>IF(AND(#REF!&gt;=table!$C$6,#REF!&lt;= table!$D$6),-1,IF(AND(#REF!&gt;=table!$E$6,#REF!&lt;=table!$F$6),1,0))</f>
        <v>#REF!</v>
      </c>
      <c r="R4379" s="5" t="e">
        <f>IF(AND(#REF!&gt;=table!$C$7,#REF!&lt;= table!$D$7),-1,IF(AND(#REF!&gt;=table!$E$7,#REF!&lt;=table!$F$7),1,0))</f>
        <v>#REF!</v>
      </c>
      <c r="S4379" s="5" t="e">
        <f>IF(AND(#REF!&gt;=table!$C$8,#REF!&lt;= table!$D$8),-1,IF(AND(#REF!&gt;=table!$E$8,#REF!&lt;=table!$F$8),1,0))</f>
        <v>#REF!</v>
      </c>
      <c r="T4379" s="5"/>
      <c r="U4379" s="5" t="e">
        <f>IF(AND(#REF!&gt;=table!$C$10,#REF!&lt;= table!$D$10),-1,IF(AND(#REF!&gt;=table!$E$10,#REF!&lt;=table!$F$10),1,0))</f>
        <v>#REF!</v>
      </c>
      <c r="V4379" s="5" t="e">
        <f>IF(AND(#REF!&gt;=table!$C$11,#REF!&lt;= table!$D$11),-1,IF(AND(#REF!&gt;=table!$E$11,#REF!&lt;=table!$F$11),1,0))</f>
        <v>#REF!</v>
      </c>
      <c r="W4379" s="5" t="e">
        <f>CONCATENATE(dados[[#This Row],[fator1]],dados[[#This Row],[fator5]],dados[[#This Row],[fator6]])</f>
        <v>#REF!</v>
      </c>
    </row>
    <row r="4380" spans="1:23">
      <c r="A4380" t="s">
        <v>16</v>
      </c>
      <c r="B4380">
        <v>589961</v>
      </c>
      <c r="C4380">
        <v>0.15</v>
      </c>
      <c r="D4380">
        <v>40</v>
      </c>
      <c r="E4380">
        <v>10</v>
      </c>
      <c r="F4380">
        <v>15</v>
      </c>
      <c r="G4380">
        <v>0</v>
      </c>
      <c r="H4380">
        <v>15</v>
      </c>
      <c r="I4380">
        <v>676</v>
      </c>
      <c r="J4380">
        <v>0</v>
      </c>
      <c r="K4380">
        <v>5.5950000000000006</v>
      </c>
      <c r="L4380">
        <v>8.3105000000000011</v>
      </c>
      <c r="M4380">
        <v>8.8780000000000001</v>
      </c>
      <c r="N4380">
        <v>9.8150000000000013</v>
      </c>
      <c r="O4380">
        <v>1678</v>
      </c>
      <c r="P4380">
        <v>795</v>
      </c>
      <c r="Q4380" s="5" t="e">
        <f>IF(AND(#REF!&gt;=table!$C$6,#REF!&lt;= table!$D$6),-1,IF(AND(#REF!&gt;=table!$E$6,#REF!&lt;=table!$F$6),1,0))</f>
        <v>#REF!</v>
      </c>
      <c r="R4380" s="5" t="e">
        <f>IF(AND(#REF!&gt;=table!$C$7,#REF!&lt;= table!$D$7),-1,IF(AND(#REF!&gt;=table!$E$7,#REF!&lt;=table!$F$7),1,0))</f>
        <v>#REF!</v>
      </c>
      <c r="S4380" s="5" t="e">
        <f>IF(AND(#REF!&gt;=table!$C$8,#REF!&lt;= table!$D$8),-1,IF(AND(#REF!&gt;=table!$E$8,#REF!&lt;=table!$F$8),1,0))</f>
        <v>#REF!</v>
      </c>
      <c r="T4380" s="5"/>
      <c r="U4380" s="5" t="e">
        <f>IF(AND(#REF!&gt;=table!$C$10,#REF!&lt;= table!$D$10),-1,IF(AND(#REF!&gt;=table!$E$10,#REF!&lt;=table!$F$10),1,0))</f>
        <v>#REF!</v>
      </c>
      <c r="V4380" s="5" t="e">
        <f>IF(AND(#REF!&gt;=table!$C$11,#REF!&lt;= table!$D$11),-1,IF(AND(#REF!&gt;=table!$E$11,#REF!&lt;=table!$F$11),1,0))</f>
        <v>#REF!</v>
      </c>
      <c r="W4380" s="5" t="e">
        <f>CONCATENATE(dados[[#This Row],[fator1]],dados[[#This Row],[fator5]],dados[[#This Row],[fator6]])</f>
        <v>#REF!</v>
      </c>
    </row>
    <row r="4381" spans="1:23">
      <c r="A4381" t="s">
        <v>16</v>
      </c>
      <c r="B4381">
        <v>589968</v>
      </c>
      <c r="C4381">
        <v>0.15</v>
      </c>
      <c r="D4381">
        <v>40</v>
      </c>
      <c r="E4381">
        <v>10</v>
      </c>
      <c r="F4381">
        <v>15</v>
      </c>
      <c r="G4381">
        <v>0</v>
      </c>
      <c r="H4381">
        <v>15</v>
      </c>
      <c r="I4381">
        <v>743</v>
      </c>
      <c r="J4381">
        <v>0</v>
      </c>
      <c r="K4381">
        <v>2.8835000000000002</v>
      </c>
      <c r="L4381">
        <v>5.4605000000000006</v>
      </c>
      <c r="M4381">
        <v>4.5540000000000003</v>
      </c>
      <c r="N4381">
        <v>13.33</v>
      </c>
      <c r="O4381">
        <v>1699</v>
      </c>
      <c r="P4381">
        <v>0</v>
      </c>
      <c r="Q4381" s="5" t="e">
        <f>IF(AND(#REF!&gt;=table!$C$6,#REF!&lt;= table!$D$6),-1,IF(AND(#REF!&gt;=table!$E$6,#REF!&lt;=table!$F$6),1,0))</f>
        <v>#REF!</v>
      </c>
      <c r="R4381" s="5" t="e">
        <f>IF(AND(#REF!&gt;=table!$C$7,#REF!&lt;= table!$D$7),-1,IF(AND(#REF!&gt;=table!$E$7,#REF!&lt;=table!$F$7),1,0))</f>
        <v>#REF!</v>
      </c>
      <c r="S4381" s="5" t="e">
        <f>IF(AND(#REF!&gt;=table!$C$8,#REF!&lt;= table!$D$8),-1,IF(AND(#REF!&gt;=table!$E$8,#REF!&lt;=table!$F$8),1,0))</f>
        <v>#REF!</v>
      </c>
      <c r="T4381" s="5"/>
      <c r="U4381" s="5" t="e">
        <f>IF(AND(#REF!&gt;=table!$C$10,#REF!&lt;= table!$D$10),-1,IF(AND(#REF!&gt;=table!$E$10,#REF!&lt;=table!$F$10),1,0))</f>
        <v>#REF!</v>
      </c>
      <c r="V4381" s="5" t="e">
        <f>IF(AND(#REF!&gt;=table!$C$11,#REF!&lt;= table!$D$11),-1,IF(AND(#REF!&gt;=table!$E$11,#REF!&lt;=table!$F$11),1,0))</f>
        <v>#REF!</v>
      </c>
      <c r="W4381" s="5" t="e">
        <f>CONCATENATE(dados[[#This Row],[fator1]],dados[[#This Row],[fator5]],dados[[#This Row],[fator6]])</f>
        <v>#REF!</v>
      </c>
    </row>
    <row r="4382" spans="1:23">
      <c r="A4382" t="s">
        <v>16</v>
      </c>
      <c r="B4382">
        <v>589970</v>
      </c>
      <c r="C4382">
        <v>12</v>
      </c>
      <c r="D4382">
        <v>40</v>
      </c>
      <c r="E4382">
        <v>36</v>
      </c>
      <c r="F4382">
        <v>9</v>
      </c>
      <c r="G4382">
        <v>0</v>
      </c>
      <c r="H4382">
        <v>25</v>
      </c>
      <c r="I4382">
        <v>1310</v>
      </c>
      <c r="J4382">
        <v>0</v>
      </c>
      <c r="K4382">
        <v>4.2705000000000002</v>
      </c>
      <c r="L4382">
        <v>6.8770000000000007</v>
      </c>
      <c r="M4382">
        <v>22.874000000000002</v>
      </c>
      <c r="N4382">
        <v>13.15</v>
      </c>
      <c r="O4382">
        <v>1677</v>
      </c>
      <c r="P4382">
        <v>0</v>
      </c>
      <c r="Q4382" s="5" t="e">
        <f>IF(AND(#REF!&gt;=table!$C$6,#REF!&lt;= table!$D$6),-1,IF(AND(#REF!&gt;=table!$E$6,#REF!&lt;=table!$F$6),1,0))</f>
        <v>#REF!</v>
      </c>
      <c r="R4382" s="5" t="e">
        <f>IF(AND(#REF!&gt;=table!$C$7,#REF!&lt;= table!$D$7),-1,IF(AND(#REF!&gt;=table!$E$7,#REF!&lt;=table!$F$7),1,0))</f>
        <v>#REF!</v>
      </c>
      <c r="S4382" s="5" t="e">
        <f>IF(AND(#REF!&gt;=table!$C$8,#REF!&lt;= table!$D$8),-1,IF(AND(#REF!&gt;=table!$E$8,#REF!&lt;=table!$F$8),1,0))</f>
        <v>#REF!</v>
      </c>
      <c r="T4382" s="5"/>
      <c r="U4382" s="5" t="e">
        <f>IF(AND(#REF!&gt;=table!$C$10,#REF!&lt;= table!$D$10),-1,IF(AND(#REF!&gt;=table!$E$10,#REF!&lt;=table!$F$10),1,0))</f>
        <v>#REF!</v>
      </c>
      <c r="V4382" s="5" t="e">
        <f>IF(AND(#REF!&gt;=table!$C$11,#REF!&lt;= table!$D$11),-1,IF(AND(#REF!&gt;=table!$E$11,#REF!&lt;=table!$F$11),1,0))</f>
        <v>#REF!</v>
      </c>
      <c r="W4382" s="5" t="e">
        <f>CONCATENATE(dados[[#This Row],[fator1]],dados[[#This Row],[fator5]],dados[[#This Row],[fator6]])</f>
        <v>#REF!</v>
      </c>
    </row>
    <row r="4383" spans="1:23">
      <c r="A4383" t="s">
        <v>16</v>
      </c>
      <c r="B4383">
        <v>589973</v>
      </c>
      <c r="C4383">
        <v>12</v>
      </c>
      <c r="D4383">
        <v>40</v>
      </c>
      <c r="E4383">
        <v>36</v>
      </c>
      <c r="F4383">
        <v>9</v>
      </c>
      <c r="G4383">
        <v>0</v>
      </c>
      <c r="H4383">
        <v>25</v>
      </c>
      <c r="I4383">
        <v>1029</v>
      </c>
      <c r="J4383">
        <v>0</v>
      </c>
      <c r="K4383">
        <v>7.3900000000000006</v>
      </c>
      <c r="L4383">
        <v>14.196000000000002</v>
      </c>
      <c r="M4383">
        <v>43.941500000000005</v>
      </c>
      <c r="N4383">
        <v>16.89</v>
      </c>
      <c r="O4383">
        <v>1667</v>
      </c>
      <c r="P4383">
        <v>577</v>
      </c>
      <c r="Q4383" s="5" t="e">
        <f>IF(AND(#REF!&gt;=table!$C$6,#REF!&lt;= table!$D$6),-1,IF(AND(#REF!&gt;=table!$E$6,#REF!&lt;=table!$F$6),1,0))</f>
        <v>#REF!</v>
      </c>
      <c r="R4383" s="5" t="e">
        <f>IF(AND(#REF!&gt;=table!$C$7,#REF!&lt;= table!$D$7),-1,IF(AND(#REF!&gt;=table!$E$7,#REF!&lt;=table!$F$7),1,0))</f>
        <v>#REF!</v>
      </c>
      <c r="S4383" s="5" t="e">
        <f>IF(AND(#REF!&gt;=table!$C$8,#REF!&lt;= table!$D$8),-1,IF(AND(#REF!&gt;=table!$E$8,#REF!&lt;=table!$F$8),1,0))</f>
        <v>#REF!</v>
      </c>
      <c r="T4383" s="5"/>
      <c r="U4383" s="5" t="e">
        <f>IF(AND(#REF!&gt;=table!$C$10,#REF!&lt;= table!$D$10),-1,IF(AND(#REF!&gt;=table!$E$10,#REF!&lt;=table!$F$10),1,0))</f>
        <v>#REF!</v>
      </c>
      <c r="V4383" s="5" t="e">
        <f>IF(AND(#REF!&gt;=table!$C$11,#REF!&lt;= table!$D$11),-1,IF(AND(#REF!&gt;=table!$E$11,#REF!&lt;=table!$F$11),1,0))</f>
        <v>#REF!</v>
      </c>
      <c r="W4383" s="5" t="e">
        <f>CONCATENATE(dados[[#This Row],[fator1]],dados[[#This Row],[fator5]],dados[[#This Row],[fator6]])</f>
        <v>#REF!</v>
      </c>
    </row>
    <row r="4384" spans="1:23">
      <c r="A4384" t="s">
        <v>16</v>
      </c>
      <c r="B4384">
        <v>589974</v>
      </c>
      <c r="C4384">
        <v>12</v>
      </c>
      <c r="D4384">
        <v>40</v>
      </c>
      <c r="E4384">
        <v>36</v>
      </c>
      <c r="F4384">
        <v>9</v>
      </c>
      <c r="G4384">
        <v>0</v>
      </c>
      <c r="H4384">
        <v>25</v>
      </c>
      <c r="I4384">
        <v>2306</v>
      </c>
      <c r="J4384">
        <v>0</v>
      </c>
      <c r="K4384">
        <v>6.1580000000000004</v>
      </c>
      <c r="L4384">
        <v>12.444500000000001</v>
      </c>
      <c r="M4384">
        <v>41.687000000000005</v>
      </c>
      <c r="N4384">
        <v>15.84</v>
      </c>
      <c r="O4384">
        <v>1671</v>
      </c>
      <c r="P4384">
        <v>618</v>
      </c>
      <c r="Q4384" s="5" t="e">
        <f>IF(AND(#REF!&gt;=table!$C$6,#REF!&lt;= table!$D$6),-1,IF(AND(#REF!&gt;=table!$E$6,#REF!&lt;=table!$F$6),1,0))</f>
        <v>#REF!</v>
      </c>
      <c r="R4384" s="5" t="e">
        <f>IF(AND(#REF!&gt;=table!$C$7,#REF!&lt;= table!$D$7),-1,IF(AND(#REF!&gt;=table!$E$7,#REF!&lt;=table!$F$7),1,0))</f>
        <v>#REF!</v>
      </c>
      <c r="S4384" s="5" t="e">
        <f>IF(AND(#REF!&gt;=table!$C$8,#REF!&lt;= table!$D$8),-1,IF(AND(#REF!&gt;=table!$E$8,#REF!&lt;=table!$F$8),1,0))</f>
        <v>#REF!</v>
      </c>
      <c r="T4384" s="5"/>
      <c r="U4384" s="5" t="e">
        <f>IF(AND(#REF!&gt;=table!$C$10,#REF!&lt;= table!$D$10),-1,IF(AND(#REF!&gt;=table!$E$10,#REF!&lt;=table!$F$10),1,0))</f>
        <v>#REF!</v>
      </c>
      <c r="V4384" s="5" t="e">
        <f>IF(AND(#REF!&gt;=table!$C$11,#REF!&lt;= table!$D$11),-1,IF(AND(#REF!&gt;=table!$E$11,#REF!&lt;=table!$F$11),1,0))</f>
        <v>#REF!</v>
      </c>
      <c r="W4384" s="5" t="e">
        <f>CONCATENATE(dados[[#This Row],[fator1]],dados[[#This Row],[fator5]],dados[[#This Row],[fator6]])</f>
        <v>#REF!</v>
      </c>
    </row>
    <row r="4385" spans="1:23">
      <c r="A4385" t="s">
        <v>16</v>
      </c>
      <c r="B4385">
        <v>589975</v>
      </c>
      <c r="C4385">
        <v>12</v>
      </c>
      <c r="D4385">
        <v>40</v>
      </c>
      <c r="E4385">
        <v>36</v>
      </c>
      <c r="F4385">
        <v>9</v>
      </c>
      <c r="G4385">
        <v>0</v>
      </c>
      <c r="H4385">
        <v>25</v>
      </c>
      <c r="I4385">
        <v>1478</v>
      </c>
      <c r="J4385">
        <v>0</v>
      </c>
      <c r="K4385">
        <v>8.6850000000000005</v>
      </c>
      <c r="L4385">
        <v>8.5225000000000009</v>
      </c>
      <c r="M4385">
        <v>41.755500000000005</v>
      </c>
      <c r="N4385">
        <v>10.3</v>
      </c>
      <c r="O4385">
        <v>1649</v>
      </c>
      <c r="P4385">
        <v>492</v>
      </c>
      <c r="Q4385" s="5" t="e">
        <f>IF(AND(#REF!&gt;=table!$C$6,#REF!&lt;= table!$D$6),-1,IF(AND(#REF!&gt;=table!$E$6,#REF!&lt;=table!$F$6),1,0))</f>
        <v>#REF!</v>
      </c>
      <c r="R4385" s="5" t="e">
        <f>IF(AND(#REF!&gt;=table!$C$7,#REF!&lt;= table!$D$7),-1,IF(AND(#REF!&gt;=table!$E$7,#REF!&lt;=table!$F$7),1,0))</f>
        <v>#REF!</v>
      </c>
      <c r="S4385" s="5" t="e">
        <f>IF(AND(#REF!&gt;=table!$C$8,#REF!&lt;= table!$D$8),-1,IF(AND(#REF!&gt;=table!$E$8,#REF!&lt;=table!$F$8),1,0))</f>
        <v>#REF!</v>
      </c>
      <c r="T4385" s="5"/>
      <c r="U4385" s="5" t="e">
        <f>IF(AND(#REF!&gt;=table!$C$10,#REF!&lt;= table!$D$10),-1,IF(AND(#REF!&gt;=table!$E$10,#REF!&lt;=table!$F$10),1,0))</f>
        <v>#REF!</v>
      </c>
      <c r="V4385" s="5" t="e">
        <f>IF(AND(#REF!&gt;=table!$C$11,#REF!&lt;= table!$D$11),-1,IF(AND(#REF!&gt;=table!$E$11,#REF!&lt;=table!$F$11),1,0))</f>
        <v>#REF!</v>
      </c>
      <c r="W4385" s="5" t="e">
        <f>CONCATENATE(dados[[#This Row],[fator1]],dados[[#This Row],[fator5]],dados[[#This Row],[fator6]])</f>
        <v>#REF!</v>
      </c>
    </row>
    <row r="4386" spans="1:23">
      <c r="A4386" t="s">
        <v>16</v>
      </c>
      <c r="B4386">
        <v>589985</v>
      </c>
      <c r="C4386">
        <v>7</v>
      </c>
      <c r="D4386">
        <v>33</v>
      </c>
      <c r="E4386">
        <v>153</v>
      </c>
      <c r="F4386">
        <v>4</v>
      </c>
      <c r="G4386">
        <v>0</v>
      </c>
      <c r="H4386">
        <v>25</v>
      </c>
      <c r="I4386">
        <v>15</v>
      </c>
      <c r="J4386">
        <v>0</v>
      </c>
      <c r="K4386">
        <v>4.6675000000000004</v>
      </c>
      <c r="L4386">
        <v>10.320500000000001</v>
      </c>
      <c r="M4386">
        <v>112.0625</v>
      </c>
      <c r="N4386">
        <v>15.455</v>
      </c>
      <c r="O4386">
        <v>1671</v>
      </c>
      <c r="P4386">
        <v>0</v>
      </c>
      <c r="Q4386" s="5" t="e">
        <f>IF(AND(#REF!&gt;=table!$C$6,#REF!&lt;= table!$D$6),-1,IF(AND(#REF!&gt;=table!$E$6,#REF!&lt;=table!$F$6),1,0))</f>
        <v>#REF!</v>
      </c>
      <c r="R4386" s="5" t="e">
        <f>IF(AND(#REF!&gt;=table!$C$7,#REF!&lt;= table!$D$7),-1,IF(AND(#REF!&gt;=table!$E$7,#REF!&lt;=table!$F$7),1,0))</f>
        <v>#REF!</v>
      </c>
      <c r="S4386" s="5" t="e">
        <f>IF(AND(#REF!&gt;=table!$C$8,#REF!&lt;= table!$D$8),-1,IF(AND(#REF!&gt;=table!$E$8,#REF!&lt;=table!$F$8),1,0))</f>
        <v>#REF!</v>
      </c>
      <c r="T4386" s="5"/>
      <c r="U4386" s="5" t="e">
        <f>IF(AND(#REF!&gt;=table!$C$10,#REF!&lt;= table!$D$10),-1,IF(AND(#REF!&gt;=table!$E$10,#REF!&lt;=table!$F$10),1,0))</f>
        <v>#REF!</v>
      </c>
      <c r="V4386" s="5" t="e">
        <f>IF(AND(#REF!&gt;=table!$C$11,#REF!&lt;= table!$D$11),-1,IF(AND(#REF!&gt;=table!$E$11,#REF!&lt;=table!$F$11),1,0))</f>
        <v>#REF!</v>
      </c>
      <c r="W4386" s="5" t="e">
        <f>CONCATENATE(dados[[#This Row],[fator1]],dados[[#This Row],[fator5]],dados[[#This Row],[fator6]])</f>
        <v>#REF!</v>
      </c>
    </row>
    <row r="4387" spans="1:23">
      <c r="A4387" t="s">
        <v>16</v>
      </c>
      <c r="B4387">
        <v>589986</v>
      </c>
      <c r="C4387">
        <v>0.15</v>
      </c>
      <c r="D4387">
        <v>40</v>
      </c>
      <c r="E4387">
        <v>10</v>
      </c>
      <c r="F4387">
        <v>15</v>
      </c>
      <c r="G4387">
        <v>0</v>
      </c>
      <c r="H4387">
        <v>15</v>
      </c>
      <c r="I4387">
        <v>586</v>
      </c>
      <c r="J4387">
        <v>0</v>
      </c>
      <c r="K4387">
        <v>5.4925000000000006</v>
      </c>
      <c r="L4387">
        <v>10.675000000000001</v>
      </c>
      <c r="M4387">
        <v>9.99</v>
      </c>
      <c r="N4387">
        <v>11.615</v>
      </c>
      <c r="O4387">
        <v>1666</v>
      </c>
      <c r="P4387">
        <v>0</v>
      </c>
      <c r="Q4387" s="5" t="e">
        <f>IF(AND(#REF!&gt;=table!$C$6,#REF!&lt;= table!$D$6),-1,IF(AND(#REF!&gt;=table!$E$6,#REF!&lt;=table!$F$6),1,0))</f>
        <v>#REF!</v>
      </c>
      <c r="R4387" s="5" t="e">
        <f>IF(AND(#REF!&gt;=table!$C$7,#REF!&lt;= table!$D$7),-1,IF(AND(#REF!&gt;=table!$E$7,#REF!&lt;=table!$F$7),1,0))</f>
        <v>#REF!</v>
      </c>
      <c r="S4387" s="5" t="e">
        <f>IF(AND(#REF!&gt;=table!$C$8,#REF!&lt;= table!$D$8),-1,IF(AND(#REF!&gt;=table!$E$8,#REF!&lt;=table!$F$8),1,0))</f>
        <v>#REF!</v>
      </c>
      <c r="T4387" s="5"/>
      <c r="U4387" s="5" t="e">
        <f>IF(AND(#REF!&gt;=table!$C$10,#REF!&lt;= table!$D$10),-1,IF(AND(#REF!&gt;=table!$E$10,#REF!&lt;=table!$F$10),1,0))</f>
        <v>#REF!</v>
      </c>
      <c r="V4387" s="5" t="e">
        <f>IF(AND(#REF!&gt;=table!$C$11,#REF!&lt;= table!$D$11),-1,IF(AND(#REF!&gt;=table!$E$11,#REF!&lt;=table!$F$11),1,0))</f>
        <v>#REF!</v>
      </c>
      <c r="W4387" s="5" t="e">
        <f>CONCATENATE(dados[[#This Row],[fator1]],dados[[#This Row],[fator5]],dados[[#This Row],[fator6]])</f>
        <v>#REF!</v>
      </c>
    </row>
    <row r="4388" spans="1:23">
      <c r="A4388" t="s">
        <v>16</v>
      </c>
      <c r="B4388">
        <v>589994</v>
      </c>
      <c r="C4388">
        <v>0.2</v>
      </c>
      <c r="D4388">
        <v>65</v>
      </c>
      <c r="E4388">
        <v>26</v>
      </c>
      <c r="F4388">
        <v>15</v>
      </c>
      <c r="G4388">
        <v>0</v>
      </c>
      <c r="H4388">
        <v>30</v>
      </c>
      <c r="I4388">
        <v>708</v>
      </c>
      <c r="J4388">
        <v>0</v>
      </c>
      <c r="K4388">
        <v>4.3615000000000004</v>
      </c>
      <c r="L4388">
        <v>7.1905000000000001</v>
      </c>
      <c r="M4388">
        <v>6.2305000000000001</v>
      </c>
      <c r="N4388">
        <v>14.32</v>
      </c>
      <c r="O4388">
        <v>1647</v>
      </c>
      <c r="P4388">
        <v>840</v>
      </c>
      <c r="Q4388" s="5" t="e">
        <f>IF(AND(#REF!&gt;=table!$C$6,#REF!&lt;= table!$D$6),-1,IF(AND(#REF!&gt;=table!$E$6,#REF!&lt;=table!$F$6),1,0))</f>
        <v>#REF!</v>
      </c>
      <c r="R4388" s="5" t="e">
        <f>IF(AND(#REF!&gt;=table!$C$7,#REF!&lt;= table!$D$7),-1,IF(AND(#REF!&gt;=table!$E$7,#REF!&lt;=table!$F$7),1,0))</f>
        <v>#REF!</v>
      </c>
      <c r="S4388" s="5" t="e">
        <f>IF(AND(#REF!&gt;=table!$C$8,#REF!&lt;= table!$D$8),-1,IF(AND(#REF!&gt;=table!$E$8,#REF!&lt;=table!$F$8),1,0))</f>
        <v>#REF!</v>
      </c>
      <c r="T4388" s="5"/>
      <c r="U4388" s="5" t="e">
        <f>IF(AND(#REF!&gt;=table!$C$10,#REF!&lt;= table!$D$10),-1,IF(AND(#REF!&gt;=table!$E$10,#REF!&lt;=table!$F$10),1,0))</f>
        <v>#REF!</v>
      </c>
      <c r="V4388" s="5" t="e">
        <f>IF(AND(#REF!&gt;=table!$C$11,#REF!&lt;= table!$D$11),-1,IF(AND(#REF!&gt;=table!$E$11,#REF!&lt;=table!$F$11),1,0))</f>
        <v>#REF!</v>
      </c>
      <c r="W4388" s="5" t="e">
        <f>CONCATENATE(dados[[#This Row],[fator1]],dados[[#This Row],[fator5]],dados[[#This Row],[fator6]])</f>
        <v>#REF!</v>
      </c>
    </row>
    <row r="4389" spans="1:23">
      <c r="A4389" t="s">
        <v>16</v>
      </c>
      <c r="B4389">
        <v>589996</v>
      </c>
      <c r="C4389">
        <v>0.15</v>
      </c>
      <c r="D4389">
        <v>40</v>
      </c>
      <c r="E4389">
        <v>64</v>
      </c>
      <c r="F4389">
        <v>10</v>
      </c>
      <c r="G4389">
        <v>0</v>
      </c>
      <c r="H4389">
        <v>35</v>
      </c>
      <c r="I4389">
        <v>1133</v>
      </c>
      <c r="J4389">
        <v>0</v>
      </c>
      <c r="K4389">
        <v>3.802</v>
      </c>
      <c r="L4389">
        <v>6.9855</v>
      </c>
      <c r="M4389">
        <v>5.3505000000000003</v>
      </c>
      <c r="N4389">
        <v>9.4700000000000006</v>
      </c>
      <c r="O4389">
        <v>1683</v>
      </c>
      <c r="P4389">
        <v>1059</v>
      </c>
      <c r="Q4389" s="5" t="e">
        <f>IF(AND(#REF!&gt;=table!$C$6,#REF!&lt;= table!$D$6),-1,IF(AND(#REF!&gt;=table!$E$6,#REF!&lt;=table!$F$6),1,0))</f>
        <v>#REF!</v>
      </c>
      <c r="R4389" s="5" t="e">
        <f>IF(AND(#REF!&gt;=table!$C$7,#REF!&lt;= table!$D$7),-1,IF(AND(#REF!&gt;=table!$E$7,#REF!&lt;=table!$F$7),1,0))</f>
        <v>#REF!</v>
      </c>
      <c r="S4389" s="5" t="e">
        <f>IF(AND(#REF!&gt;=table!$C$8,#REF!&lt;= table!$D$8),-1,IF(AND(#REF!&gt;=table!$E$8,#REF!&lt;=table!$F$8),1,0))</f>
        <v>#REF!</v>
      </c>
      <c r="T4389" s="5"/>
      <c r="U4389" s="5" t="e">
        <f>IF(AND(#REF!&gt;=table!$C$10,#REF!&lt;= table!$D$10),-1,IF(AND(#REF!&gt;=table!$E$10,#REF!&lt;=table!$F$10),1,0))</f>
        <v>#REF!</v>
      </c>
      <c r="V4389" s="5" t="e">
        <f>IF(AND(#REF!&gt;=table!$C$11,#REF!&lt;= table!$D$11),-1,IF(AND(#REF!&gt;=table!$E$11,#REF!&lt;=table!$F$11),1,0))</f>
        <v>#REF!</v>
      </c>
      <c r="W4389" s="5" t="e">
        <f>CONCATENATE(dados[[#This Row],[fator1]],dados[[#This Row],[fator5]],dados[[#This Row],[fator6]])</f>
        <v>#REF!</v>
      </c>
    </row>
    <row r="4390" spans="1:23">
      <c r="A4390" t="s">
        <v>16</v>
      </c>
      <c r="B4390">
        <v>589998</v>
      </c>
      <c r="C4390">
        <v>0.1</v>
      </c>
      <c r="D4390">
        <v>40</v>
      </c>
      <c r="E4390">
        <v>10</v>
      </c>
      <c r="F4390">
        <v>8</v>
      </c>
      <c r="G4390">
        <v>0</v>
      </c>
      <c r="H4390">
        <v>10</v>
      </c>
      <c r="I4390">
        <v>1429</v>
      </c>
      <c r="J4390">
        <v>0</v>
      </c>
      <c r="K4390">
        <v>4.1485000000000003</v>
      </c>
      <c r="L4390">
        <v>5.3685</v>
      </c>
      <c r="M4390">
        <v>4.952</v>
      </c>
      <c r="N4390">
        <v>13.35</v>
      </c>
      <c r="O4390">
        <v>1657</v>
      </c>
      <c r="P4390">
        <v>1079</v>
      </c>
      <c r="Q4390" s="5" t="e">
        <f>IF(AND(#REF!&gt;=table!$C$6,#REF!&lt;= table!$D$6),-1,IF(AND(#REF!&gt;=table!$E$6,#REF!&lt;=table!$F$6),1,0))</f>
        <v>#REF!</v>
      </c>
      <c r="R4390" s="5" t="e">
        <f>IF(AND(#REF!&gt;=table!$C$7,#REF!&lt;= table!$D$7),-1,IF(AND(#REF!&gt;=table!$E$7,#REF!&lt;=table!$F$7),1,0))</f>
        <v>#REF!</v>
      </c>
      <c r="S4390" s="5" t="e">
        <f>IF(AND(#REF!&gt;=table!$C$8,#REF!&lt;= table!$D$8),-1,IF(AND(#REF!&gt;=table!$E$8,#REF!&lt;=table!$F$8),1,0))</f>
        <v>#REF!</v>
      </c>
      <c r="T4390" s="5"/>
      <c r="U4390" s="5" t="e">
        <f>IF(AND(#REF!&gt;=table!$C$10,#REF!&lt;= table!$D$10),-1,IF(AND(#REF!&gt;=table!$E$10,#REF!&lt;=table!$F$10),1,0))</f>
        <v>#REF!</v>
      </c>
      <c r="V4390" s="5" t="e">
        <f>IF(AND(#REF!&gt;=table!$C$11,#REF!&lt;= table!$D$11),-1,IF(AND(#REF!&gt;=table!$E$11,#REF!&lt;=table!$F$11),1,0))</f>
        <v>#REF!</v>
      </c>
      <c r="W4390" s="5" t="e">
        <f>CONCATENATE(dados[[#This Row],[fator1]],dados[[#This Row],[fator5]],dados[[#This Row],[fator6]])</f>
        <v>#REF!</v>
      </c>
    </row>
    <row r="4391" spans="1:23">
      <c r="A4391" t="s">
        <v>16</v>
      </c>
      <c r="B4391">
        <v>589999</v>
      </c>
      <c r="C4391">
        <v>0.1</v>
      </c>
      <c r="D4391">
        <v>40</v>
      </c>
      <c r="E4391">
        <v>10</v>
      </c>
      <c r="F4391">
        <v>8</v>
      </c>
      <c r="G4391">
        <v>0</v>
      </c>
      <c r="H4391">
        <v>10</v>
      </c>
      <c r="I4391">
        <v>1174</v>
      </c>
      <c r="J4391">
        <v>550</v>
      </c>
      <c r="K4391">
        <v>2.1335000000000002</v>
      </c>
      <c r="L4391">
        <v>4.6470000000000002</v>
      </c>
      <c r="M4391">
        <v>3.7170000000000001</v>
      </c>
      <c r="N4391">
        <v>10.875</v>
      </c>
      <c r="O4391">
        <v>1657</v>
      </c>
      <c r="P4391">
        <v>0</v>
      </c>
      <c r="Q4391" s="5" t="e">
        <f>IF(AND(#REF!&gt;=table!$C$6,#REF!&lt;= table!$D$6),-1,IF(AND(#REF!&gt;=table!$E$6,#REF!&lt;=table!$F$6),1,0))</f>
        <v>#REF!</v>
      </c>
      <c r="R4391" s="5" t="e">
        <f>IF(AND(#REF!&gt;=table!$C$7,#REF!&lt;= table!$D$7),-1,IF(AND(#REF!&gt;=table!$E$7,#REF!&lt;=table!$F$7),1,0))</f>
        <v>#REF!</v>
      </c>
      <c r="S4391" s="5" t="e">
        <f>IF(AND(#REF!&gt;=table!$C$8,#REF!&lt;= table!$D$8),-1,IF(AND(#REF!&gt;=table!$E$8,#REF!&lt;=table!$F$8),1,0))</f>
        <v>#REF!</v>
      </c>
      <c r="T4391" s="5"/>
      <c r="U4391" s="5" t="e">
        <f>IF(AND(#REF!&gt;=table!$C$10,#REF!&lt;= table!$D$10),-1,IF(AND(#REF!&gt;=table!$E$10,#REF!&lt;=table!$F$10),1,0))</f>
        <v>#REF!</v>
      </c>
      <c r="V4391" s="5" t="e">
        <f>IF(AND(#REF!&gt;=table!$C$11,#REF!&lt;= table!$D$11),-1,IF(AND(#REF!&gt;=table!$E$11,#REF!&lt;=table!$F$11),1,0))</f>
        <v>#REF!</v>
      </c>
      <c r="W4391" s="5" t="e">
        <f>CONCATENATE(dados[[#This Row],[fator1]],dados[[#This Row],[fator5]],dados[[#This Row],[fator6]])</f>
        <v>#REF!</v>
      </c>
    </row>
    <row r="4392" spans="1:23">
      <c r="A4392" t="s">
        <v>16</v>
      </c>
      <c r="B4392">
        <v>590011</v>
      </c>
      <c r="C4392">
        <v>11</v>
      </c>
      <c r="D4392">
        <v>40</v>
      </c>
      <c r="E4392">
        <v>151</v>
      </c>
      <c r="F4392">
        <v>8</v>
      </c>
      <c r="G4392">
        <v>0</v>
      </c>
      <c r="H4392">
        <v>25</v>
      </c>
      <c r="I4392">
        <v>441</v>
      </c>
      <c r="J4392">
        <v>800</v>
      </c>
      <c r="K4392">
        <v>4.3835000000000006</v>
      </c>
      <c r="L4392">
        <v>11.11</v>
      </c>
      <c r="M4392">
        <v>145.864</v>
      </c>
      <c r="N4392">
        <v>17.215</v>
      </c>
      <c r="O4392">
        <v>1692</v>
      </c>
      <c r="P4392">
        <v>1088</v>
      </c>
      <c r="Q4392" s="5" t="e">
        <f>IF(AND(#REF!&gt;=table!$C$6,#REF!&lt;= table!$D$6),-1,IF(AND(#REF!&gt;=table!$E$6,#REF!&lt;=table!$F$6),1,0))</f>
        <v>#REF!</v>
      </c>
      <c r="R4392" s="5" t="e">
        <f>IF(AND(#REF!&gt;=table!$C$7,#REF!&lt;= table!$D$7),-1,IF(AND(#REF!&gt;=table!$E$7,#REF!&lt;=table!$F$7),1,0))</f>
        <v>#REF!</v>
      </c>
      <c r="S4392" s="5" t="e">
        <f>IF(AND(#REF!&gt;=table!$C$8,#REF!&lt;= table!$D$8),-1,IF(AND(#REF!&gt;=table!$E$8,#REF!&lt;=table!$F$8),1,0))</f>
        <v>#REF!</v>
      </c>
      <c r="T4392" s="5"/>
      <c r="U4392" s="5" t="e">
        <f>IF(AND(#REF!&gt;=table!$C$10,#REF!&lt;= table!$D$10),-1,IF(AND(#REF!&gt;=table!$E$10,#REF!&lt;=table!$F$10),1,0))</f>
        <v>#REF!</v>
      </c>
      <c r="V4392" s="5" t="e">
        <f>IF(AND(#REF!&gt;=table!$C$11,#REF!&lt;= table!$D$11),-1,IF(AND(#REF!&gt;=table!$E$11,#REF!&lt;=table!$F$11),1,0))</f>
        <v>#REF!</v>
      </c>
      <c r="W4392" s="5" t="e">
        <f>CONCATENATE(dados[[#This Row],[fator1]],dados[[#This Row],[fator5]],dados[[#This Row],[fator6]])</f>
        <v>#REF!</v>
      </c>
    </row>
    <row r="4393" spans="1:23">
      <c r="A4393" t="s">
        <v>16</v>
      </c>
      <c r="B4393">
        <v>590012</v>
      </c>
      <c r="C4393">
        <v>10</v>
      </c>
      <c r="D4393">
        <v>35</v>
      </c>
      <c r="E4393">
        <v>170</v>
      </c>
      <c r="F4393">
        <v>4</v>
      </c>
      <c r="G4393">
        <v>0</v>
      </c>
      <c r="H4393">
        <v>25</v>
      </c>
      <c r="I4393">
        <v>280</v>
      </c>
      <c r="J4393">
        <v>0</v>
      </c>
      <c r="K4393">
        <v>4.827</v>
      </c>
      <c r="L4393">
        <v>6.335</v>
      </c>
      <c r="M4393">
        <v>137.72800000000001</v>
      </c>
      <c r="N4393">
        <v>10.825000000000001</v>
      </c>
      <c r="O4393">
        <v>1679</v>
      </c>
      <c r="P4393">
        <v>858</v>
      </c>
      <c r="Q4393" s="5" t="e">
        <f>IF(AND(#REF!&gt;=table!$C$6,#REF!&lt;= table!$D$6),-1,IF(AND(#REF!&gt;=table!$E$6,#REF!&lt;=table!$F$6),1,0))</f>
        <v>#REF!</v>
      </c>
      <c r="R4393" s="5" t="e">
        <f>IF(AND(#REF!&gt;=table!$C$7,#REF!&lt;= table!$D$7),-1,IF(AND(#REF!&gt;=table!$E$7,#REF!&lt;=table!$F$7),1,0))</f>
        <v>#REF!</v>
      </c>
      <c r="S4393" s="5" t="e">
        <f>IF(AND(#REF!&gt;=table!$C$8,#REF!&lt;= table!$D$8),-1,IF(AND(#REF!&gt;=table!$E$8,#REF!&lt;=table!$F$8),1,0))</f>
        <v>#REF!</v>
      </c>
      <c r="T4393" s="5"/>
      <c r="U4393" s="5" t="e">
        <f>IF(AND(#REF!&gt;=table!$C$10,#REF!&lt;= table!$D$10),-1,IF(AND(#REF!&gt;=table!$E$10,#REF!&lt;=table!$F$10),1,0))</f>
        <v>#REF!</v>
      </c>
      <c r="V4393" s="5" t="e">
        <f>IF(AND(#REF!&gt;=table!$C$11,#REF!&lt;= table!$D$11),-1,IF(AND(#REF!&gt;=table!$E$11,#REF!&lt;=table!$F$11),1,0))</f>
        <v>#REF!</v>
      </c>
      <c r="W4393" s="5" t="e">
        <f>CONCATENATE(dados[[#This Row],[fator1]],dados[[#This Row],[fator5]],dados[[#This Row],[fator6]])</f>
        <v>#REF!</v>
      </c>
    </row>
    <row r="4394" spans="1:23">
      <c r="A4394" t="s">
        <v>16</v>
      </c>
      <c r="B4394">
        <v>590013</v>
      </c>
      <c r="C4394">
        <v>10</v>
      </c>
      <c r="D4394">
        <v>35</v>
      </c>
      <c r="E4394">
        <v>170</v>
      </c>
      <c r="F4394">
        <v>4</v>
      </c>
      <c r="G4394">
        <v>0</v>
      </c>
      <c r="H4394">
        <v>25</v>
      </c>
      <c r="I4394">
        <v>641</v>
      </c>
      <c r="J4394">
        <v>0</v>
      </c>
      <c r="K4394">
        <v>4.8620000000000001</v>
      </c>
      <c r="L4394">
        <v>9.2149999999999999</v>
      </c>
      <c r="M4394">
        <v>114.64200000000001</v>
      </c>
      <c r="N4394">
        <v>13.200000000000001</v>
      </c>
      <c r="O4394">
        <v>1689</v>
      </c>
      <c r="P4394">
        <v>789</v>
      </c>
      <c r="Q4394" s="5" t="e">
        <f>IF(AND(#REF!&gt;=table!$C$6,#REF!&lt;= table!$D$6),-1,IF(AND(#REF!&gt;=table!$E$6,#REF!&lt;=table!$F$6),1,0))</f>
        <v>#REF!</v>
      </c>
      <c r="R4394" s="5" t="e">
        <f>IF(AND(#REF!&gt;=table!$C$7,#REF!&lt;= table!$D$7),-1,IF(AND(#REF!&gt;=table!$E$7,#REF!&lt;=table!$F$7),1,0))</f>
        <v>#REF!</v>
      </c>
      <c r="S4394" s="5" t="e">
        <f>IF(AND(#REF!&gt;=table!$C$8,#REF!&lt;= table!$D$8),-1,IF(AND(#REF!&gt;=table!$E$8,#REF!&lt;=table!$F$8),1,0))</f>
        <v>#REF!</v>
      </c>
      <c r="T4394" s="5"/>
      <c r="U4394" s="5" t="e">
        <f>IF(AND(#REF!&gt;=table!$C$10,#REF!&lt;= table!$D$10),-1,IF(AND(#REF!&gt;=table!$E$10,#REF!&lt;=table!$F$10),1,0))</f>
        <v>#REF!</v>
      </c>
      <c r="V4394" s="5" t="e">
        <f>IF(AND(#REF!&gt;=table!$C$11,#REF!&lt;= table!$D$11),-1,IF(AND(#REF!&gt;=table!$E$11,#REF!&lt;=table!$F$11),1,0))</f>
        <v>#REF!</v>
      </c>
      <c r="W4394" s="5" t="e">
        <f>CONCATENATE(dados[[#This Row],[fator1]],dados[[#This Row],[fator5]],dados[[#This Row],[fator6]])</f>
        <v>#REF!</v>
      </c>
    </row>
    <row r="4395" spans="1:23">
      <c r="A4395" t="s">
        <v>16</v>
      </c>
      <c r="B4395">
        <v>590014</v>
      </c>
      <c r="C4395">
        <v>10</v>
      </c>
      <c r="D4395">
        <v>38</v>
      </c>
      <c r="E4395">
        <v>150</v>
      </c>
      <c r="F4395">
        <v>4</v>
      </c>
      <c r="G4395">
        <v>0</v>
      </c>
      <c r="H4395">
        <v>25</v>
      </c>
      <c r="I4395">
        <v>21</v>
      </c>
      <c r="J4395">
        <v>0</v>
      </c>
      <c r="K4395">
        <v>3.6930000000000001</v>
      </c>
      <c r="L4395">
        <v>9.6044999999999998</v>
      </c>
      <c r="M4395">
        <v>109.67400000000001</v>
      </c>
      <c r="N4395">
        <v>20.03</v>
      </c>
      <c r="O4395">
        <v>1699</v>
      </c>
      <c r="P4395">
        <v>1172</v>
      </c>
      <c r="Q4395" s="5" t="e">
        <f>IF(AND(#REF!&gt;=table!$C$6,#REF!&lt;= table!$D$6),-1,IF(AND(#REF!&gt;=table!$E$6,#REF!&lt;=table!$F$6),1,0))</f>
        <v>#REF!</v>
      </c>
      <c r="R4395" s="5" t="e">
        <f>IF(AND(#REF!&gt;=table!$C$7,#REF!&lt;= table!$D$7),-1,IF(AND(#REF!&gt;=table!$E$7,#REF!&lt;=table!$F$7),1,0))</f>
        <v>#REF!</v>
      </c>
      <c r="S4395" s="5" t="e">
        <f>IF(AND(#REF!&gt;=table!$C$8,#REF!&lt;= table!$D$8),-1,IF(AND(#REF!&gt;=table!$E$8,#REF!&lt;=table!$F$8),1,0))</f>
        <v>#REF!</v>
      </c>
      <c r="T4395" s="5"/>
      <c r="U4395" s="5" t="e">
        <f>IF(AND(#REF!&gt;=table!$C$10,#REF!&lt;= table!$D$10),-1,IF(AND(#REF!&gt;=table!$E$10,#REF!&lt;=table!$F$10),1,0))</f>
        <v>#REF!</v>
      </c>
      <c r="V4395" s="5" t="e">
        <f>IF(AND(#REF!&gt;=table!$C$11,#REF!&lt;= table!$D$11),-1,IF(AND(#REF!&gt;=table!$E$11,#REF!&lt;=table!$F$11),1,0))</f>
        <v>#REF!</v>
      </c>
      <c r="W4395" s="5" t="e">
        <f>CONCATENATE(dados[[#This Row],[fator1]],dados[[#This Row],[fator5]],dados[[#This Row],[fator6]])</f>
        <v>#REF!</v>
      </c>
    </row>
    <row r="4396" spans="1:23">
      <c r="A4396" t="s">
        <v>16</v>
      </c>
      <c r="B4396">
        <v>590016</v>
      </c>
      <c r="C4396">
        <v>10</v>
      </c>
      <c r="D4396">
        <v>40</v>
      </c>
      <c r="E4396">
        <v>136</v>
      </c>
      <c r="F4396">
        <v>6</v>
      </c>
      <c r="G4396">
        <v>0</v>
      </c>
      <c r="H4396">
        <v>25</v>
      </c>
      <c r="I4396">
        <v>670</v>
      </c>
      <c r="J4396">
        <v>0</v>
      </c>
      <c r="K4396">
        <v>2.5965000000000003</v>
      </c>
      <c r="L4396">
        <v>5.05</v>
      </c>
      <c r="M4396">
        <v>95.397500000000008</v>
      </c>
      <c r="N4396">
        <v>12.46</v>
      </c>
      <c r="O4396">
        <v>1674</v>
      </c>
      <c r="P4396">
        <v>1346</v>
      </c>
      <c r="Q4396" s="5" t="e">
        <f>IF(AND(#REF!&gt;=table!$C$6,#REF!&lt;= table!$D$6),-1,IF(AND(#REF!&gt;=table!$E$6,#REF!&lt;=table!$F$6),1,0))</f>
        <v>#REF!</v>
      </c>
      <c r="R4396" s="5" t="e">
        <f>IF(AND(#REF!&gt;=table!$C$7,#REF!&lt;= table!$D$7),-1,IF(AND(#REF!&gt;=table!$E$7,#REF!&lt;=table!$F$7),1,0))</f>
        <v>#REF!</v>
      </c>
      <c r="S4396" s="5" t="e">
        <f>IF(AND(#REF!&gt;=table!$C$8,#REF!&lt;= table!$D$8),-1,IF(AND(#REF!&gt;=table!$E$8,#REF!&lt;=table!$F$8),1,0))</f>
        <v>#REF!</v>
      </c>
      <c r="T4396" s="5"/>
      <c r="U4396" s="5" t="e">
        <f>IF(AND(#REF!&gt;=table!$C$10,#REF!&lt;= table!$D$10),-1,IF(AND(#REF!&gt;=table!$E$10,#REF!&lt;=table!$F$10),1,0))</f>
        <v>#REF!</v>
      </c>
      <c r="V4396" s="5" t="e">
        <f>IF(AND(#REF!&gt;=table!$C$11,#REF!&lt;= table!$D$11),-1,IF(AND(#REF!&gt;=table!$E$11,#REF!&lt;=table!$F$11),1,0))</f>
        <v>#REF!</v>
      </c>
      <c r="W4396" s="5" t="e">
        <f>CONCATENATE(dados[[#This Row],[fator1]],dados[[#This Row],[fator5]],dados[[#This Row],[fator6]])</f>
        <v>#REF!</v>
      </c>
    </row>
    <row r="4397" spans="1:23">
      <c r="A4397" t="s">
        <v>16</v>
      </c>
      <c r="B4397">
        <v>590018</v>
      </c>
      <c r="C4397">
        <v>16</v>
      </c>
      <c r="D4397">
        <v>35</v>
      </c>
      <c r="E4397">
        <v>40</v>
      </c>
      <c r="F4397">
        <v>10</v>
      </c>
      <c r="G4397">
        <v>0</v>
      </c>
      <c r="H4397">
        <v>25</v>
      </c>
      <c r="I4397">
        <v>788</v>
      </c>
      <c r="J4397">
        <v>0</v>
      </c>
      <c r="K4397">
        <v>3.3215000000000003</v>
      </c>
      <c r="L4397">
        <v>7.9425000000000008</v>
      </c>
      <c r="M4397">
        <v>31.982000000000003</v>
      </c>
      <c r="N4397">
        <v>14.165000000000001</v>
      </c>
      <c r="O4397">
        <v>1688</v>
      </c>
      <c r="P4397">
        <v>0</v>
      </c>
      <c r="Q4397" s="5" t="e">
        <f>IF(AND(#REF!&gt;=table!$C$6,#REF!&lt;= table!$D$6),-1,IF(AND(#REF!&gt;=table!$E$6,#REF!&lt;=table!$F$6),1,0))</f>
        <v>#REF!</v>
      </c>
      <c r="R4397" s="5" t="e">
        <f>IF(AND(#REF!&gt;=table!$C$7,#REF!&lt;= table!$D$7),-1,IF(AND(#REF!&gt;=table!$E$7,#REF!&lt;=table!$F$7),1,0))</f>
        <v>#REF!</v>
      </c>
      <c r="S4397" s="5" t="e">
        <f>IF(AND(#REF!&gt;=table!$C$8,#REF!&lt;= table!$D$8),-1,IF(AND(#REF!&gt;=table!$E$8,#REF!&lt;=table!$F$8),1,0))</f>
        <v>#REF!</v>
      </c>
      <c r="T4397" s="5"/>
      <c r="U4397" s="5" t="e">
        <f>IF(AND(#REF!&gt;=table!$C$10,#REF!&lt;= table!$D$10),-1,IF(AND(#REF!&gt;=table!$E$10,#REF!&lt;=table!$F$10),1,0))</f>
        <v>#REF!</v>
      </c>
      <c r="V4397" s="5" t="e">
        <f>IF(AND(#REF!&gt;=table!$C$11,#REF!&lt;= table!$D$11),-1,IF(AND(#REF!&gt;=table!$E$11,#REF!&lt;=table!$F$11),1,0))</f>
        <v>#REF!</v>
      </c>
      <c r="W4397" s="5" t="e">
        <f>CONCATENATE(dados[[#This Row],[fator1]],dados[[#This Row],[fator5]],dados[[#This Row],[fator6]])</f>
        <v>#REF!</v>
      </c>
    </row>
    <row r="4398" spans="1:23">
      <c r="A4398" t="s">
        <v>16</v>
      </c>
      <c r="B4398">
        <v>590020</v>
      </c>
      <c r="C4398">
        <v>16</v>
      </c>
      <c r="D4398">
        <v>35</v>
      </c>
      <c r="E4398">
        <v>40</v>
      </c>
      <c r="F4398">
        <v>10</v>
      </c>
      <c r="G4398">
        <v>0</v>
      </c>
      <c r="H4398">
        <v>25</v>
      </c>
      <c r="I4398">
        <v>4</v>
      </c>
      <c r="J4398">
        <v>0</v>
      </c>
      <c r="K4398">
        <v>7.6785000000000005</v>
      </c>
      <c r="L4398">
        <v>15.189500000000001</v>
      </c>
      <c r="M4398">
        <v>33.099499999999999</v>
      </c>
      <c r="N4398">
        <v>19.705000000000002</v>
      </c>
      <c r="O4398">
        <v>1680</v>
      </c>
      <c r="P4398">
        <v>437</v>
      </c>
      <c r="Q4398" s="5" t="e">
        <f>IF(AND(#REF!&gt;=table!$C$6,#REF!&lt;= table!$D$6),-1,IF(AND(#REF!&gt;=table!$E$6,#REF!&lt;=table!$F$6),1,0))</f>
        <v>#REF!</v>
      </c>
      <c r="R4398" s="5" t="e">
        <f>IF(AND(#REF!&gt;=table!$C$7,#REF!&lt;= table!$D$7),-1,IF(AND(#REF!&gt;=table!$E$7,#REF!&lt;=table!$F$7),1,0))</f>
        <v>#REF!</v>
      </c>
      <c r="S4398" s="5" t="e">
        <f>IF(AND(#REF!&gt;=table!$C$8,#REF!&lt;= table!$D$8),-1,IF(AND(#REF!&gt;=table!$E$8,#REF!&lt;=table!$F$8),1,0))</f>
        <v>#REF!</v>
      </c>
      <c r="T4398" s="5"/>
      <c r="U4398" s="5" t="e">
        <f>IF(AND(#REF!&gt;=table!$C$10,#REF!&lt;= table!$D$10),-1,IF(AND(#REF!&gt;=table!$E$10,#REF!&lt;=table!$F$10),1,0))</f>
        <v>#REF!</v>
      </c>
      <c r="V4398" s="5" t="e">
        <f>IF(AND(#REF!&gt;=table!$C$11,#REF!&lt;= table!$D$11),-1,IF(AND(#REF!&gt;=table!$E$11,#REF!&lt;=table!$F$11),1,0))</f>
        <v>#REF!</v>
      </c>
      <c r="W4398" s="5" t="e">
        <f>CONCATENATE(dados[[#This Row],[fator1]],dados[[#This Row],[fator5]],dados[[#This Row],[fator6]])</f>
        <v>#REF!</v>
      </c>
    </row>
    <row r="4399" spans="1:23">
      <c r="A4399" t="s">
        <v>16</v>
      </c>
      <c r="B4399">
        <v>590021</v>
      </c>
      <c r="C4399">
        <v>16</v>
      </c>
      <c r="D4399">
        <v>35</v>
      </c>
      <c r="E4399">
        <v>56</v>
      </c>
      <c r="F4399">
        <v>10</v>
      </c>
      <c r="G4399">
        <v>0</v>
      </c>
      <c r="H4399">
        <v>25</v>
      </c>
      <c r="I4399">
        <v>2</v>
      </c>
      <c r="J4399">
        <v>0</v>
      </c>
      <c r="K4399">
        <v>5.9940000000000007</v>
      </c>
      <c r="L4399">
        <v>7.2825000000000006</v>
      </c>
      <c r="M4399">
        <v>48.397000000000006</v>
      </c>
      <c r="N4399">
        <v>14.14</v>
      </c>
      <c r="O4399">
        <v>1672</v>
      </c>
      <c r="P4399">
        <v>840</v>
      </c>
      <c r="Q4399" s="5" t="e">
        <f>IF(AND(#REF!&gt;=table!$C$6,#REF!&lt;= table!$D$6),-1,IF(AND(#REF!&gt;=table!$E$6,#REF!&lt;=table!$F$6),1,0))</f>
        <v>#REF!</v>
      </c>
      <c r="R4399" s="5" t="e">
        <f>IF(AND(#REF!&gt;=table!$C$7,#REF!&lt;= table!$D$7),-1,IF(AND(#REF!&gt;=table!$E$7,#REF!&lt;=table!$F$7),1,0))</f>
        <v>#REF!</v>
      </c>
      <c r="S4399" s="5" t="e">
        <f>IF(AND(#REF!&gt;=table!$C$8,#REF!&lt;= table!$D$8),-1,IF(AND(#REF!&gt;=table!$E$8,#REF!&lt;=table!$F$8),1,0))</f>
        <v>#REF!</v>
      </c>
      <c r="T4399" s="5"/>
      <c r="U4399" s="5" t="e">
        <f>IF(AND(#REF!&gt;=table!$C$10,#REF!&lt;= table!$D$10),-1,IF(AND(#REF!&gt;=table!$E$10,#REF!&lt;=table!$F$10),1,0))</f>
        <v>#REF!</v>
      </c>
      <c r="V4399" s="5" t="e">
        <f>IF(AND(#REF!&gt;=table!$C$11,#REF!&lt;= table!$D$11),-1,IF(AND(#REF!&gt;=table!$E$11,#REF!&lt;=table!$F$11),1,0))</f>
        <v>#REF!</v>
      </c>
      <c r="W4399" s="5" t="e">
        <f>CONCATENATE(dados[[#This Row],[fator1]],dados[[#This Row],[fator5]],dados[[#This Row],[fator6]])</f>
        <v>#REF!</v>
      </c>
    </row>
    <row r="4400" spans="1:23">
      <c r="A4400" t="s">
        <v>18</v>
      </c>
      <c r="B4400">
        <v>590023</v>
      </c>
      <c r="C4400">
        <v>3</v>
      </c>
      <c r="D4400">
        <v>5</v>
      </c>
      <c r="E4400">
        <v>26</v>
      </c>
      <c r="F4400">
        <v>15</v>
      </c>
      <c r="G4400">
        <v>42</v>
      </c>
      <c r="H4400">
        <v>30</v>
      </c>
      <c r="I4400">
        <v>11</v>
      </c>
      <c r="J4400">
        <v>0</v>
      </c>
      <c r="K4400">
        <v>4.5005000000000006</v>
      </c>
      <c r="L4400">
        <v>13.225000000000001</v>
      </c>
      <c r="M4400">
        <v>23.055500000000002</v>
      </c>
      <c r="N4400">
        <v>27.18</v>
      </c>
      <c r="O4400">
        <v>1649</v>
      </c>
      <c r="P4400">
        <v>719</v>
      </c>
      <c r="Q4400" s="5" t="e">
        <f>IF(AND(#REF!&gt;=table!$C$6,#REF!&lt;= table!$D$6),-1,IF(AND(#REF!&gt;=table!$E$6,#REF!&lt;=table!$F$6),1,0))</f>
        <v>#REF!</v>
      </c>
      <c r="R4400" s="5" t="e">
        <f>IF(AND(#REF!&gt;=table!$C$7,#REF!&lt;= table!$D$7),-1,IF(AND(#REF!&gt;=table!$E$7,#REF!&lt;=table!$F$7),1,0))</f>
        <v>#REF!</v>
      </c>
      <c r="S4400" s="5" t="e">
        <f>IF(AND(#REF!&gt;=table!$C$8,#REF!&lt;= table!$D$8),-1,IF(AND(#REF!&gt;=table!$E$8,#REF!&lt;=table!$F$8),1,0))</f>
        <v>#REF!</v>
      </c>
      <c r="T4400" s="5"/>
      <c r="U4400" s="5" t="e">
        <f>IF(AND(#REF!&gt;=table!$C$10,#REF!&lt;= table!$D$10),-1,IF(AND(#REF!&gt;=table!$E$10,#REF!&lt;=table!$F$10),1,0))</f>
        <v>#REF!</v>
      </c>
      <c r="V4400" s="5" t="e">
        <f>IF(AND(#REF!&gt;=table!$C$11,#REF!&lt;= table!$D$11),-1,IF(AND(#REF!&gt;=table!$E$11,#REF!&lt;=table!$F$11),1,0))</f>
        <v>#REF!</v>
      </c>
      <c r="W4400" s="5" t="e">
        <f>CONCATENATE(dados[[#This Row],[fator1]],dados[[#This Row],[fator5]],dados[[#This Row],[fator6]])</f>
        <v>#REF!</v>
      </c>
    </row>
    <row r="4401" spans="1:23">
      <c r="A4401" t="s">
        <v>17</v>
      </c>
      <c r="B4401">
        <v>590036</v>
      </c>
      <c r="C4401">
        <v>16</v>
      </c>
      <c r="D4401">
        <v>25</v>
      </c>
      <c r="E4401">
        <v>56</v>
      </c>
      <c r="F4401">
        <v>10</v>
      </c>
      <c r="G4401">
        <v>13</v>
      </c>
      <c r="H4401">
        <v>25</v>
      </c>
      <c r="I4401">
        <v>0</v>
      </c>
      <c r="J4401">
        <v>0</v>
      </c>
      <c r="K4401">
        <v>6.6764999999999999</v>
      </c>
      <c r="L4401">
        <v>12.4185</v>
      </c>
      <c r="M4401">
        <v>59.639500000000005</v>
      </c>
      <c r="N4401">
        <v>23.955000000000002</v>
      </c>
      <c r="O4401">
        <v>1696</v>
      </c>
      <c r="P4401">
        <v>532</v>
      </c>
      <c r="Q4401" s="5" t="e">
        <f>IF(AND(#REF!&gt;=table!$C$6,#REF!&lt;= table!$D$6),-1,IF(AND(#REF!&gt;=table!$E$6,#REF!&lt;=table!$F$6),1,0))</f>
        <v>#REF!</v>
      </c>
      <c r="R4401" s="5" t="e">
        <f>IF(AND(#REF!&gt;=table!$C$7,#REF!&lt;= table!$D$7),-1,IF(AND(#REF!&gt;=table!$E$7,#REF!&lt;=table!$F$7),1,0))</f>
        <v>#REF!</v>
      </c>
      <c r="S4401" s="5" t="e">
        <f>IF(AND(#REF!&gt;=table!$C$8,#REF!&lt;= table!$D$8),-1,IF(AND(#REF!&gt;=table!$E$8,#REF!&lt;=table!$F$8),1,0))</f>
        <v>#REF!</v>
      </c>
      <c r="T4401" s="5"/>
      <c r="U4401" s="5" t="e">
        <f>IF(AND(#REF!&gt;=table!$C$10,#REF!&lt;= table!$D$10),-1,IF(AND(#REF!&gt;=table!$E$10,#REF!&lt;=table!$F$10),1,0))</f>
        <v>#REF!</v>
      </c>
      <c r="V4401" s="5" t="e">
        <f>IF(AND(#REF!&gt;=table!$C$11,#REF!&lt;= table!$D$11),-1,IF(AND(#REF!&gt;=table!$E$11,#REF!&lt;=table!$F$11),1,0))</f>
        <v>#REF!</v>
      </c>
      <c r="W4401" s="5" t="e">
        <f>CONCATENATE(dados[[#This Row],[fator1]],dados[[#This Row],[fator5]],dados[[#This Row],[fator6]])</f>
        <v>#REF!</v>
      </c>
    </row>
    <row r="4402" spans="1:23">
      <c r="A4402" t="s">
        <v>17</v>
      </c>
      <c r="B4402">
        <v>590037</v>
      </c>
      <c r="C4402">
        <v>16</v>
      </c>
      <c r="D4402">
        <v>25</v>
      </c>
      <c r="E4402">
        <v>56</v>
      </c>
      <c r="F4402">
        <v>10</v>
      </c>
      <c r="G4402">
        <v>13</v>
      </c>
      <c r="H4402">
        <v>25</v>
      </c>
      <c r="I4402">
        <v>550</v>
      </c>
      <c r="J4402">
        <v>0</v>
      </c>
      <c r="K4402">
        <v>3.2815000000000003</v>
      </c>
      <c r="L4402">
        <v>5.6310000000000002</v>
      </c>
      <c r="M4402">
        <v>50.790500000000002</v>
      </c>
      <c r="N4402">
        <v>13.005000000000001</v>
      </c>
      <c r="O4402">
        <v>1676</v>
      </c>
      <c r="P4402">
        <v>0</v>
      </c>
      <c r="Q4402" s="5" t="e">
        <f>IF(AND(#REF!&gt;=table!$C$6,#REF!&lt;= table!$D$6),-1,IF(AND(#REF!&gt;=table!$E$6,#REF!&lt;=table!$F$6),1,0))</f>
        <v>#REF!</v>
      </c>
      <c r="R4402" s="5" t="e">
        <f>IF(AND(#REF!&gt;=table!$C$7,#REF!&lt;= table!$D$7),-1,IF(AND(#REF!&gt;=table!$E$7,#REF!&lt;=table!$F$7),1,0))</f>
        <v>#REF!</v>
      </c>
      <c r="S4402" s="5" t="e">
        <f>IF(AND(#REF!&gt;=table!$C$8,#REF!&lt;= table!$D$8),-1,IF(AND(#REF!&gt;=table!$E$8,#REF!&lt;=table!$F$8),1,0))</f>
        <v>#REF!</v>
      </c>
      <c r="T4402" s="5"/>
      <c r="U4402" s="5" t="e">
        <f>IF(AND(#REF!&gt;=table!$C$10,#REF!&lt;= table!$D$10),-1,IF(AND(#REF!&gt;=table!$E$10,#REF!&lt;=table!$F$10),1,0))</f>
        <v>#REF!</v>
      </c>
      <c r="V4402" s="5" t="e">
        <f>IF(AND(#REF!&gt;=table!$C$11,#REF!&lt;= table!$D$11),-1,IF(AND(#REF!&gt;=table!$E$11,#REF!&lt;=table!$F$11),1,0))</f>
        <v>#REF!</v>
      </c>
      <c r="W4402" s="5" t="e">
        <f>CONCATENATE(dados[[#This Row],[fator1]],dados[[#This Row],[fator5]],dados[[#This Row],[fator6]])</f>
        <v>#REF!</v>
      </c>
    </row>
    <row r="4403" spans="1:23">
      <c r="A4403" t="s">
        <v>17</v>
      </c>
      <c r="B4403">
        <v>590040</v>
      </c>
      <c r="C4403">
        <v>14</v>
      </c>
      <c r="D4403">
        <v>30</v>
      </c>
      <c r="E4403">
        <v>66</v>
      </c>
      <c r="F4403">
        <v>9</v>
      </c>
      <c r="G4403">
        <v>20</v>
      </c>
      <c r="H4403">
        <v>25</v>
      </c>
      <c r="I4403">
        <v>1535</v>
      </c>
      <c r="J4403">
        <v>0</v>
      </c>
      <c r="K4403">
        <v>6.2895000000000003</v>
      </c>
      <c r="L4403">
        <v>8.7000000000000011</v>
      </c>
      <c r="M4403">
        <v>51.901500000000006</v>
      </c>
      <c r="N4403">
        <v>17.074999999999999</v>
      </c>
      <c r="O4403">
        <v>1676</v>
      </c>
      <c r="P4403">
        <v>547</v>
      </c>
      <c r="Q4403" s="5" t="e">
        <f>IF(AND(#REF!&gt;=table!$C$6,#REF!&lt;= table!$D$6),-1,IF(AND(#REF!&gt;=table!$E$6,#REF!&lt;=table!$F$6),1,0))</f>
        <v>#REF!</v>
      </c>
      <c r="R4403" s="5" t="e">
        <f>IF(AND(#REF!&gt;=table!$C$7,#REF!&lt;= table!$D$7),-1,IF(AND(#REF!&gt;=table!$E$7,#REF!&lt;=table!$F$7),1,0))</f>
        <v>#REF!</v>
      </c>
      <c r="S4403" s="5" t="e">
        <f>IF(AND(#REF!&gt;=table!$C$8,#REF!&lt;= table!$D$8),-1,IF(AND(#REF!&gt;=table!$E$8,#REF!&lt;=table!$F$8),1,0))</f>
        <v>#REF!</v>
      </c>
      <c r="T4403" s="5"/>
      <c r="U4403" s="5" t="e">
        <f>IF(AND(#REF!&gt;=table!$C$10,#REF!&lt;= table!$D$10),-1,IF(AND(#REF!&gt;=table!$E$10,#REF!&lt;=table!$F$10),1,0))</f>
        <v>#REF!</v>
      </c>
      <c r="V4403" s="5" t="e">
        <f>IF(AND(#REF!&gt;=table!$C$11,#REF!&lt;= table!$D$11),-1,IF(AND(#REF!&gt;=table!$E$11,#REF!&lt;=table!$F$11),1,0))</f>
        <v>#REF!</v>
      </c>
      <c r="W4403" s="5" t="e">
        <f>CONCATENATE(dados[[#This Row],[fator1]],dados[[#This Row],[fator5]],dados[[#This Row],[fator6]])</f>
        <v>#REF!</v>
      </c>
    </row>
    <row r="4404" spans="1:23">
      <c r="A4404" t="s">
        <v>17</v>
      </c>
      <c r="B4404">
        <v>590041</v>
      </c>
      <c r="C4404">
        <v>14</v>
      </c>
      <c r="D4404">
        <v>30</v>
      </c>
      <c r="E4404">
        <v>66</v>
      </c>
      <c r="F4404">
        <v>9</v>
      </c>
      <c r="G4404">
        <v>20</v>
      </c>
      <c r="H4404">
        <v>25</v>
      </c>
      <c r="I4404">
        <v>8</v>
      </c>
      <c r="J4404">
        <v>0</v>
      </c>
      <c r="K4404">
        <v>6.5125000000000002</v>
      </c>
      <c r="L4404">
        <v>13.425000000000001</v>
      </c>
      <c r="M4404">
        <v>52.052500000000002</v>
      </c>
      <c r="N4404">
        <v>24.205000000000002</v>
      </c>
      <c r="O4404">
        <v>1662</v>
      </c>
      <c r="P4404">
        <v>457</v>
      </c>
      <c r="Q4404" s="5" t="e">
        <f>IF(AND(#REF!&gt;=table!$C$6,#REF!&lt;= table!$D$6),-1,IF(AND(#REF!&gt;=table!$E$6,#REF!&lt;=table!$F$6),1,0))</f>
        <v>#REF!</v>
      </c>
      <c r="R4404" s="5" t="e">
        <f>IF(AND(#REF!&gt;=table!$C$7,#REF!&lt;= table!$D$7),-1,IF(AND(#REF!&gt;=table!$E$7,#REF!&lt;=table!$F$7),1,0))</f>
        <v>#REF!</v>
      </c>
      <c r="S4404" s="5" t="e">
        <f>IF(AND(#REF!&gt;=table!$C$8,#REF!&lt;= table!$D$8),-1,IF(AND(#REF!&gt;=table!$E$8,#REF!&lt;=table!$F$8),1,0))</f>
        <v>#REF!</v>
      </c>
      <c r="T4404" s="5"/>
      <c r="U4404" s="5" t="e">
        <f>IF(AND(#REF!&gt;=table!$C$10,#REF!&lt;= table!$D$10),-1,IF(AND(#REF!&gt;=table!$E$10,#REF!&lt;=table!$F$10),1,0))</f>
        <v>#REF!</v>
      </c>
      <c r="V4404" s="5" t="e">
        <f>IF(AND(#REF!&gt;=table!$C$11,#REF!&lt;= table!$D$11),-1,IF(AND(#REF!&gt;=table!$E$11,#REF!&lt;=table!$F$11),1,0))</f>
        <v>#REF!</v>
      </c>
      <c r="W4404" s="5" t="e">
        <f>CONCATENATE(dados[[#This Row],[fator1]],dados[[#This Row],[fator5]],dados[[#This Row],[fator6]])</f>
        <v>#REF!</v>
      </c>
    </row>
    <row r="4405" spans="1:23">
      <c r="A4405" t="s">
        <v>17</v>
      </c>
      <c r="B4405">
        <v>590043</v>
      </c>
      <c r="C4405">
        <v>0.15</v>
      </c>
      <c r="D4405">
        <v>40</v>
      </c>
      <c r="E4405">
        <v>105</v>
      </c>
      <c r="F4405">
        <v>10</v>
      </c>
      <c r="G4405">
        <v>10</v>
      </c>
      <c r="H4405">
        <v>80</v>
      </c>
      <c r="I4405">
        <v>649</v>
      </c>
      <c r="J4405">
        <v>0</v>
      </c>
      <c r="K4405">
        <v>3.5675000000000003</v>
      </c>
      <c r="L4405">
        <v>9.2765000000000004</v>
      </c>
      <c r="M4405">
        <v>7.9585000000000008</v>
      </c>
      <c r="N4405">
        <v>19.984999999999999</v>
      </c>
      <c r="O4405">
        <v>1684</v>
      </c>
      <c r="P4405">
        <v>1188</v>
      </c>
      <c r="Q4405" s="5" t="e">
        <f>IF(AND(#REF!&gt;=table!$C$6,#REF!&lt;= table!$D$6),-1,IF(AND(#REF!&gt;=table!$E$6,#REF!&lt;=table!$F$6),1,0))</f>
        <v>#REF!</v>
      </c>
      <c r="R4405" s="5" t="e">
        <f>IF(AND(#REF!&gt;=table!$C$7,#REF!&lt;= table!$D$7),-1,IF(AND(#REF!&gt;=table!$E$7,#REF!&lt;=table!$F$7),1,0))</f>
        <v>#REF!</v>
      </c>
      <c r="S4405" s="5" t="e">
        <f>IF(AND(#REF!&gt;=table!$C$8,#REF!&lt;= table!$D$8),-1,IF(AND(#REF!&gt;=table!$E$8,#REF!&lt;=table!$F$8),1,0))</f>
        <v>#REF!</v>
      </c>
      <c r="T4405" s="5"/>
      <c r="U4405" s="5" t="e">
        <f>IF(AND(#REF!&gt;=table!$C$10,#REF!&lt;= table!$D$10),-1,IF(AND(#REF!&gt;=table!$E$10,#REF!&lt;=table!$F$10),1,0))</f>
        <v>#REF!</v>
      </c>
      <c r="V4405" s="5" t="e">
        <f>IF(AND(#REF!&gt;=table!$C$11,#REF!&lt;= table!$D$11),-1,IF(AND(#REF!&gt;=table!$E$11,#REF!&lt;=table!$F$11),1,0))</f>
        <v>#REF!</v>
      </c>
      <c r="W4405" s="5" t="e">
        <f>CONCATENATE(dados[[#This Row],[fator1]],dados[[#This Row],[fator5]],dados[[#This Row],[fator6]])</f>
        <v>#REF!</v>
      </c>
    </row>
    <row r="4406" spans="1:23">
      <c r="A4406" t="s">
        <v>16</v>
      </c>
      <c r="B4406">
        <v>590045</v>
      </c>
      <c r="C4406">
        <v>6</v>
      </c>
      <c r="D4406">
        <v>25</v>
      </c>
      <c r="E4406">
        <v>120</v>
      </c>
      <c r="F4406">
        <v>4</v>
      </c>
      <c r="G4406">
        <v>0</v>
      </c>
      <c r="H4406">
        <v>55</v>
      </c>
      <c r="I4406">
        <v>251</v>
      </c>
      <c r="J4406">
        <v>0</v>
      </c>
      <c r="K4406">
        <v>2.35</v>
      </c>
      <c r="L4406">
        <v>8.6170000000000009</v>
      </c>
      <c r="M4406">
        <v>83.997500000000002</v>
      </c>
      <c r="N4406">
        <v>22.740000000000002</v>
      </c>
      <c r="O4406">
        <v>1696</v>
      </c>
      <c r="P4406">
        <v>0</v>
      </c>
      <c r="Q4406" s="5" t="e">
        <f>IF(AND(#REF!&gt;=table!$C$6,#REF!&lt;= table!$D$6),-1,IF(AND(#REF!&gt;=table!$E$6,#REF!&lt;=table!$F$6),1,0))</f>
        <v>#REF!</v>
      </c>
      <c r="R4406" s="5" t="e">
        <f>IF(AND(#REF!&gt;=table!$C$7,#REF!&lt;= table!$D$7),-1,IF(AND(#REF!&gt;=table!$E$7,#REF!&lt;=table!$F$7),1,0))</f>
        <v>#REF!</v>
      </c>
      <c r="S4406" s="5" t="e">
        <f>IF(AND(#REF!&gt;=table!$C$8,#REF!&lt;= table!$D$8),-1,IF(AND(#REF!&gt;=table!$E$8,#REF!&lt;=table!$F$8),1,0))</f>
        <v>#REF!</v>
      </c>
      <c r="T4406" s="5"/>
      <c r="U4406" s="5" t="e">
        <f>IF(AND(#REF!&gt;=table!$C$10,#REF!&lt;= table!$D$10),-1,IF(AND(#REF!&gt;=table!$E$10,#REF!&lt;=table!$F$10),1,0))</f>
        <v>#REF!</v>
      </c>
      <c r="V4406" s="5" t="e">
        <f>IF(AND(#REF!&gt;=table!$C$11,#REF!&lt;= table!$D$11),-1,IF(AND(#REF!&gt;=table!$E$11,#REF!&lt;=table!$F$11),1,0))</f>
        <v>#REF!</v>
      </c>
      <c r="W4406" s="5" t="e">
        <f>CONCATENATE(dados[[#This Row],[fator1]],dados[[#This Row],[fator5]],dados[[#This Row],[fator6]])</f>
        <v>#REF!</v>
      </c>
    </row>
    <row r="4407" spans="1:23">
      <c r="A4407" t="s">
        <v>16</v>
      </c>
      <c r="B4407">
        <v>590046</v>
      </c>
      <c r="C4407">
        <v>6</v>
      </c>
      <c r="D4407">
        <v>25</v>
      </c>
      <c r="E4407">
        <v>120</v>
      </c>
      <c r="F4407">
        <v>4</v>
      </c>
      <c r="G4407">
        <v>0</v>
      </c>
      <c r="H4407">
        <v>55</v>
      </c>
      <c r="I4407">
        <v>612</v>
      </c>
      <c r="J4407">
        <v>0</v>
      </c>
      <c r="K4407">
        <v>4.1124999999999998</v>
      </c>
      <c r="L4407">
        <v>7.9125000000000005</v>
      </c>
      <c r="M4407">
        <v>93.6965</v>
      </c>
      <c r="N4407">
        <v>34.54</v>
      </c>
      <c r="O4407">
        <v>1699</v>
      </c>
      <c r="P4407">
        <v>1024</v>
      </c>
      <c r="Q4407" s="5" t="e">
        <f>IF(AND(#REF!&gt;=table!$C$6,#REF!&lt;= table!$D$6),-1,IF(AND(#REF!&gt;=table!$E$6,#REF!&lt;=table!$F$6),1,0))</f>
        <v>#REF!</v>
      </c>
      <c r="R4407" s="5" t="e">
        <f>IF(AND(#REF!&gt;=table!$C$7,#REF!&lt;= table!$D$7),-1,IF(AND(#REF!&gt;=table!$E$7,#REF!&lt;=table!$F$7),1,0))</f>
        <v>#REF!</v>
      </c>
      <c r="S4407" s="5" t="e">
        <f>IF(AND(#REF!&gt;=table!$C$8,#REF!&lt;= table!$D$8),-1,IF(AND(#REF!&gt;=table!$E$8,#REF!&lt;=table!$F$8),1,0))</f>
        <v>#REF!</v>
      </c>
      <c r="T4407" s="5"/>
      <c r="U4407" s="5" t="e">
        <f>IF(AND(#REF!&gt;=table!$C$10,#REF!&lt;= table!$D$10),-1,IF(AND(#REF!&gt;=table!$E$10,#REF!&lt;=table!$F$10),1,0))</f>
        <v>#REF!</v>
      </c>
      <c r="V4407" s="5" t="e">
        <f>IF(AND(#REF!&gt;=table!$C$11,#REF!&lt;= table!$D$11),-1,IF(AND(#REF!&gt;=table!$E$11,#REF!&lt;=table!$F$11),1,0))</f>
        <v>#REF!</v>
      </c>
      <c r="W4407" s="5" t="e">
        <f>CONCATENATE(dados[[#This Row],[fator1]],dados[[#This Row],[fator5]],dados[[#This Row],[fator6]])</f>
        <v>#REF!</v>
      </c>
    </row>
    <row r="4408" spans="1:23">
      <c r="A4408" t="s">
        <v>16</v>
      </c>
      <c r="B4408">
        <v>590047</v>
      </c>
      <c r="C4408">
        <v>6</v>
      </c>
      <c r="D4408">
        <v>25</v>
      </c>
      <c r="E4408">
        <v>120</v>
      </c>
      <c r="F4408">
        <v>4</v>
      </c>
      <c r="G4408">
        <v>0</v>
      </c>
      <c r="H4408">
        <v>55</v>
      </c>
      <c r="I4408">
        <v>1</v>
      </c>
      <c r="J4408">
        <v>0</v>
      </c>
      <c r="K4408">
        <v>2.73</v>
      </c>
      <c r="L4408">
        <v>6.5594999999999999</v>
      </c>
      <c r="M4408">
        <v>85.533500000000004</v>
      </c>
      <c r="N4408">
        <v>26.09</v>
      </c>
      <c r="O4408">
        <v>1695</v>
      </c>
      <c r="P4408">
        <v>1440</v>
      </c>
      <c r="Q4408" s="5" t="e">
        <f>IF(AND(#REF!&gt;=table!$C$6,#REF!&lt;= table!$D$6),-1,IF(AND(#REF!&gt;=table!$E$6,#REF!&lt;=table!$F$6),1,0))</f>
        <v>#REF!</v>
      </c>
      <c r="R4408" s="5" t="e">
        <f>IF(AND(#REF!&gt;=table!$C$7,#REF!&lt;= table!$D$7),-1,IF(AND(#REF!&gt;=table!$E$7,#REF!&lt;=table!$F$7),1,0))</f>
        <v>#REF!</v>
      </c>
      <c r="S4408" s="5" t="e">
        <f>IF(AND(#REF!&gt;=table!$C$8,#REF!&lt;= table!$D$8),-1,IF(AND(#REF!&gt;=table!$E$8,#REF!&lt;=table!$F$8),1,0))</f>
        <v>#REF!</v>
      </c>
      <c r="T4408" s="5"/>
      <c r="U4408" s="5" t="e">
        <f>IF(AND(#REF!&gt;=table!$C$10,#REF!&lt;= table!$D$10),-1,IF(AND(#REF!&gt;=table!$E$10,#REF!&lt;=table!$F$10),1,0))</f>
        <v>#REF!</v>
      </c>
      <c r="V4408" s="5" t="e">
        <f>IF(AND(#REF!&gt;=table!$C$11,#REF!&lt;= table!$D$11),-1,IF(AND(#REF!&gt;=table!$E$11,#REF!&lt;=table!$F$11),1,0))</f>
        <v>#REF!</v>
      </c>
      <c r="W4408" s="5" t="e">
        <f>CONCATENATE(dados[[#This Row],[fator1]],dados[[#This Row],[fator5]],dados[[#This Row],[fator6]])</f>
        <v>#REF!</v>
      </c>
    </row>
    <row r="4409" spans="1:23">
      <c r="A4409" t="s">
        <v>16</v>
      </c>
      <c r="B4409">
        <v>590048</v>
      </c>
      <c r="C4409">
        <v>6</v>
      </c>
      <c r="D4409">
        <v>25</v>
      </c>
      <c r="E4409">
        <v>120</v>
      </c>
      <c r="F4409">
        <v>4</v>
      </c>
      <c r="G4409">
        <v>0</v>
      </c>
      <c r="H4409">
        <v>55</v>
      </c>
      <c r="I4409">
        <v>1555</v>
      </c>
      <c r="J4409">
        <v>0</v>
      </c>
      <c r="K4409">
        <v>5.0419999999999998</v>
      </c>
      <c r="L4409">
        <v>11.220500000000001</v>
      </c>
      <c r="M4409">
        <v>94.438000000000002</v>
      </c>
      <c r="N4409">
        <v>41.37</v>
      </c>
      <c r="O4409">
        <v>1678</v>
      </c>
      <c r="P4409">
        <v>790</v>
      </c>
      <c r="Q4409" s="5" t="e">
        <f>IF(AND(#REF!&gt;=table!$C$6,#REF!&lt;= table!$D$6),-1,IF(AND(#REF!&gt;=table!$E$6,#REF!&lt;=table!$F$6),1,0))</f>
        <v>#REF!</v>
      </c>
      <c r="R4409" s="5" t="e">
        <f>IF(AND(#REF!&gt;=table!$C$7,#REF!&lt;= table!$D$7),-1,IF(AND(#REF!&gt;=table!$E$7,#REF!&lt;=table!$F$7),1,0))</f>
        <v>#REF!</v>
      </c>
      <c r="S4409" s="5" t="e">
        <f>IF(AND(#REF!&gt;=table!$C$8,#REF!&lt;= table!$D$8),-1,IF(AND(#REF!&gt;=table!$E$8,#REF!&lt;=table!$F$8),1,0))</f>
        <v>#REF!</v>
      </c>
      <c r="T4409" s="5"/>
      <c r="U4409" s="5" t="e">
        <f>IF(AND(#REF!&gt;=table!$C$10,#REF!&lt;= table!$D$10),-1,IF(AND(#REF!&gt;=table!$E$10,#REF!&lt;=table!$F$10),1,0))</f>
        <v>#REF!</v>
      </c>
      <c r="V4409" s="5" t="e">
        <f>IF(AND(#REF!&gt;=table!$C$11,#REF!&lt;= table!$D$11),-1,IF(AND(#REF!&gt;=table!$E$11,#REF!&lt;=table!$F$11),1,0))</f>
        <v>#REF!</v>
      </c>
      <c r="W4409" s="5" t="e">
        <f>CONCATENATE(dados[[#This Row],[fator1]],dados[[#This Row],[fator5]],dados[[#This Row],[fator6]])</f>
        <v>#REF!</v>
      </c>
    </row>
    <row r="4410" spans="1:23">
      <c r="A4410" t="s">
        <v>16</v>
      </c>
      <c r="B4410">
        <v>590049</v>
      </c>
      <c r="C4410">
        <v>12</v>
      </c>
      <c r="D4410">
        <v>40</v>
      </c>
      <c r="E4410">
        <v>36</v>
      </c>
      <c r="F4410">
        <v>9</v>
      </c>
      <c r="G4410">
        <v>0</v>
      </c>
      <c r="H4410">
        <v>25</v>
      </c>
      <c r="I4410">
        <v>276</v>
      </c>
      <c r="J4410">
        <v>0</v>
      </c>
      <c r="K4410">
        <v>9.4570000000000007</v>
      </c>
      <c r="L4410">
        <v>15.488000000000001</v>
      </c>
      <c r="M4410">
        <v>36.152999999999999</v>
      </c>
      <c r="N4410">
        <v>22.865000000000002</v>
      </c>
      <c r="O4410">
        <v>1675</v>
      </c>
      <c r="P4410">
        <v>357</v>
      </c>
      <c r="Q4410" s="5" t="e">
        <f>IF(AND(#REF!&gt;=table!$C$6,#REF!&lt;= table!$D$6),-1,IF(AND(#REF!&gt;=table!$E$6,#REF!&lt;=table!$F$6),1,0))</f>
        <v>#REF!</v>
      </c>
      <c r="R4410" s="5" t="e">
        <f>IF(AND(#REF!&gt;=table!$C$7,#REF!&lt;= table!$D$7),-1,IF(AND(#REF!&gt;=table!$E$7,#REF!&lt;=table!$F$7),1,0))</f>
        <v>#REF!</v>
      </c>
      <c r="S4410" s="5" t="e">
        <f>IF(AND(#REF!&gt;=table!$C$8,#REF!&lt;= table!$D$8),-1,IF(AND(#REF!&gt;=table!$E$8,#REF!&lt;=table!$F$8),1,0))</f>
        <v>#REF!</v>
      </c>
      <c r="T4410" s="5"/>
      <c r="U4410" s="5" t="e">
        <f>IF(AND(#REF!&gt;=table!$C$10,#REF!&lt;= table!$D$10),-1,IF(AND(#REF!&gt;=table!$E$10,#REF!&lt;=table!$F$10),1,0))</f>
        <v>#REF!</v>
      </c>
      <c r="V4410" s="5" t="e">
        <f>IF(AND(#REF!&gt;=table!$C$11,#REF!&lt;= table!$D$11),-1,IF(AND(#REF!&gt;=table!$E$11,#REF!&lt;=table!$F$11),1,0))</f>
        <v>#REF!</v>
      </c>
      <c r="W4410" s="5" t="e">
        <f>CONCATENATE(dados[[#This Row],[fator1]],dados[[#This Row],[fator5]],dados[[#This Row],[fator6]])</f>
        <v>#REF!</v>
      </c>
    </row>
    <row r="4411" spans="1:23">
      <c r="A4411" t="s">
        <v>16</v>
      </c>
      <c r="B4411">
        <v>590050</v>
      </c>
      <c r="C4411">
        <v>12</v>
      </c>
      <c r="D4411">
        <v>40</v>
      </c>
      <c r="E4411">
        <v>36</v>
      </c>
      <c r="F4411">
        <v>9</v>
      </c>
      <c r="G4411">
        <v>0</v>
      </c>
      <c r="H4411">
        <v>25</v>
      </c>
      <c r="I4411">
        <v>1149</v>
      </c>
      <c r="J4411">
        <v>0</v>
      </c>
      <c r="K4411">
        <v>3.883</v>
      </c>
      <c r="L4411">
        <v>9.1914999999999996</v>
      </c>
      <c r="M4411">
        <v>36.774000000000001</v>
      </c>
      <c r="N4411">
        <v>10.56</v>
      </c>
      <c r="O4411">
        <v>1645</v>
      </c>
      <c r="P4411">
        <v>896</v>
      </c>
      <c r="Q4411" s="5" t="e">
        <f>IF(AND(#REF!&gt;=table!$C$6,#REF!&lt;= table!$D$6),-1,IF(AND(#REF!&gt;=table!$E$6,#REF!&lt;=table!$F$6),1,0))</f>
        <v>#REF!</v>
      </c>
      <c r="R4411" s="5" t="e">
        <f>IF(AND(#REF!&gt;=table!$C$7,#REF!&lt;= table!$D$7),-1,IF(AND(#REF!&gt;=table!$E$7,#REF!&lt;=table!$F$7),1,0))</f>
        <v>#REF!</v>
      </c>
      <c r="S4411" s="5" t="e">
        <f>IF(AND(#REF!&gt;=table!$C$8,#REF!&lt;= table!$D$8),-1,IF(AND(#REF!&gt;=table!$E$8,#REF!&lt;=table!$F$8),1,0))</f>
        <v>#REF!</v>
      </c>
      <c r="T4411" s="5"/>
      <c r="U4411" s="5" t="e">
        <f>IF(AND(#REF!&gt;=table!$C$10,#REF!&lt;= table!$D$10),-1,IF(AND(#REF!&gt;=table!$E$10,#REF!&lt;=table!$F$10),1,0))</f>
        <v>#REF!</v>
      </c>
      <c r="V4411" s="5" t="e">
        <f>IF(AND(#REF!&gt;=table!$C$11,#REF!&lt;= table!$D$11),-1,IF(AND(#REF!&gt;=table!$E$11,#REF!&lt;=table!$F$11),1,0))</f>
        <v>#REF!</v>
      </c>
      <c r="W4411" s="5" t="e">
        <f>CONCATENATE(dados[[#This Row],[fator1]],dados[[#This Row],[fator5]],dados[[#This Row],[fator6]])</f>
        <v>#REF!</v>
      </c>
    </row>
    <row r="4412" spans="1:23">
      <c r="A4412" t="s">
        <v>16</v>
      </c>
      <c r="B4412">
        <v>590052</v>
      </c>
      <c r="C4412">
        <v>12</v>
      </c>
      <c r="D4412">
        <v>40</v>
      </c>
      <c r="E4412">
        <v>36</v>
      </c>
      <c r="F4412">
        <v>9</v>
      </c>
      <c r="G4412">
        <v>0</v>
      </c>
      <c r="H4412">
        <v>25</v>
      </c>
      <c r="I4412">
        <v>224</v>
      </c>
      <c r="J4412">
        <v>0</v>
      </c>
      <c r="K4412">
        <v>9.8295000000000012</v>
      </c>
      <c r="L4412">
        <v>18.059999999999999</v>
      </c>
      <c r="M4412">
        <v>36.397500000000001</v>
      </c>
      <c r="N4412">
        <v>18.02</v>
      </c>
      <c r="O4412">
        <v>1661</v>
      </c>
      <c r="P4412">
        <v>0</v>
      </c>
      <c r="Q4412" s="5" t="e">
        <f>IF(AND(#REF!&gt;=table!$C$6,#REF!&lt;= table!$D$6),-1,IF(AND(#REF!&gt;=table!$E$6,#REF!&lt;=table!$F$6),1,0))</f>
        <v>#REF!</v>
      </c>
      <c r="R4412" s="5" t="e">
        <f>IF(AND(#REF!&gt;=table!$C$7,#REF!&lt;= table!$D$7),-1,IF(AND(#REF!&gt;=table!$E$7,#REF!&lt;=table!$F$7),1,0))</f>
        <v>#REF!</v>
      </c>
      <c r="S4412" s="5" t="e">
        <f>IF(AND(#REF!&gt;=table!$C$8,#REF!&lt;= table!$D$8),-1,IF(AND(#REF!&gt;=table!$E$8,#REF!&lt;=table!$F$8),1,0))</f>
        <v>#REF!</v>
      </c>
      <c r="T4412" s="5"/>
      <c r="U4412" s="5" t="e">
        <f>IF(AND(#REF!&gt;=table!$C$10,#REF!&lt;= table!$D$10),-1,IF(AND(#REF!&gt;=table!$E$10,#REF!&lt;=table!$F$10),1,0))</f>
        <v>#REF!</v>
      </c>
      <c r="V4412" s="5" t="e">
        <f>IF(AND(#REF!&gt;=table!$C$11,#REF!&lt;= table!$D$11),-1,IF(AND(#REF!&gt;=table!$E$11,#REF!&lt;=table!$F$11),1,0))</f>
        <v>#REF!</v>
      </c>
      <c r="W4412" s="5" t="e">
        <f>CONCATENATE(dados[[#This Row],[fator1]],dados[[#This Row],[fator5]],dados[[#This Row],[fator6]])</f>
        <v>#REF!</v>
      </c>
    </row>
    <row r="4413" spans="1:23">
      <c r="A4413" t="s">
        <v>16</v>
      </c>
      <c r="B4413">
        <v>590053</v>
      </c>
      <c r="C4413">
        <v>12</v>
      </c>
      <c r="D4413">
        <v>40</v>
      </c>
      <c r="E4413">
        <v>36</v>
      </c>
      <c r="F4413">
        <v>9</v>
      </c>
      <c r="G4413">
        <v>0</v>
      </c>
      <c r="H4413">
        <v>25</v>
      </c>
      <c r="I4413">
        <v>1</v>
      </c>
      <c r="J4413">
        <v>0</v>
      </c>
      <c r="K4413">
        <v>9.3525000000000009</v>
      </c>
      <c r="L4413">
        <v>16.932500000000001</v>
      </c>
      <c r="M4413">
        <v>33.389000000000003</v>
      </c>
      <c r="N4413">
        <v>21.29</v>
      </c>
      <c r="O4413">
        <v>1674</v>
      </c>
      <c r="P4413">
        <v>327</v>
      </c>
      <c r="Q4413" s="5" t="e">
        <f>IF(AND(#REF!&gt;=table!$C$6,#REF!&lt;= table!$D$6),-1,IF(AND(#REF!&gt;=table!$E$6,#REF!&lt;=table!$F$6),1,0))</f>
        <v>#REF!</v>
      </c>
      <c r="R4413" s="5" t="e">
        <f>IF(AND(#REF!&gt;=table!$C$7,#REF!&lt;= table!$D$7),-1,IF(AND(#REF!&gt;=table!$E$7,#REF!&lt;=table!$F$7),1,0))</f>
        <v>#REF!</v>
      </c>
      <c r="S4413" s="5" t="e">
        <f>IF(AND(#REF!&gt;=table!$C$8,#REF!&lt;= table!$D$8),-1,IF(AND(#REF!&gt;=table!$E$8,#REF!&lt;=table!$F$8),1,0))</f>
        <v>#REF!</v>
      </c>
      <c r="T4413" s="5"/>
      <c r="U4413" s="5" t="e">
        <f>IF(AND(#REF!&gt;=table!$C$10,#REF!&lt;= table!$D$10),-1,IF(AND(#REF!&gt;=table!$E$10,#REF!&lt;=table!$F$10),1,0))</f>
        <v>#REF!</v>
      </c>
      <c r="V4413" s="5" t="e">
        <f>IF(AND(#REF!&gt;=table!$C$11,#REF!&lt;= table!$D$11),-1,IF(AND(#REF!&gt;=table!$E$11,#REF!&lt;=table!$F$11),1,0))</f>
        <v>#REF!</v>
      </c>
      <c r="W4413" s="5" t="e">
        <f>CONCATENATE(dados[[#This Row],[fator1]],dados[[#This Row],[fator5]],dados[[#This Row],[fator6]])</f>
        <v>#REF!</v>
      </c>
    </row>
    <row r="4414" spans="1:23">
      <c r="A4414" t="s">
        <v>16</v>
      </c>
      <c r="B4414">
        <v>590054</v>
      </c>
      <c r="C4414">
        <v>12</v>
      </c>
      <c r="D4414">
        <v>40</v>
      </c>
      <c r="E4414">
        <v>36</v>
      </c>
      <c r="F4414">
        <v>9</v>
      </c>
      <c r="G4414">
        <v>0</v>
      </c>
      <c r="H4414">
        <v>25</v>
      </c>
      <c r="I4414">
        <v>0</v>
      </c>
      <c r="J4414">
        <v>0</v>
      </c>
      <c r="K4414">
        <v>12.0625</v>
      </c>
      <c r="L4414">
        <v>16.924500000000002</v>
      </c>
      <c r="M4414">
        <v>34.877500000000005</v>
      </c>
      <c r="N4414">
        <v>22.605</v>
      </c>
      <c r="O4414">
        <v>1690</v>
      </c>
      <c r="P4414">
        <v>332</v>
      </c>
      <c r="Q4414" s="5" t="e">
        <f>IF(AND(#REF!&gt;=table!$C$6,#REF!&lt;= table!$D$6),-1,IF(AND(#REF!&gt;=table!$E$6,#REF!&lt;=table!$F$6),1,0))</f>
        <v>#REF!</v>
      </c>
      <c r="R4414" s="5" t="e">
        <f>IF(AND(#REF!&gt;=table!$C$7,#REF!&lt;= table!$D$7),-1,IF(AND(#REF!&gt;=table!$E$7,#REF!&lt;=table!$F$7),1,0))</f>
        <v>#REF!</v>
      </c>
      <c r="S4414" s="5" t="e">
        <f>IF(AND(#REF!&gt;=table!$C$8,#REF!&lt;= table!$D$8),-1,IF(AND(#REF!&gt;=table!$E$8,#REF!&lt;=table!$F$8),1,0))</f>
        <v>#REF!</v>
      </c>
      <c r="T4414" s="5"/>
      <c r="U4414" s="5" t="e">
        <f>IF(AND(#REF!&gt;=table!$C$10,#REF!&lt;= table!$D$10),-1,IF(AND(#REF!&gt;=table!$E$10,#REF!&lt;=table!$F$10),1,0))</f>
        <v>#REF!</v>
      </c>
      <c r="V4414" s="5" t="e">
        <f>IF(AND(#REF!&gt;=table!$C$11,#REF!&lt;= table!$D$11),-1,IF(AND(#REF!&gt;=table!$E$11,#REF!&lt;=table!$F$11),1,0))</f>
        <v>#REF!</v>
      </c>
      <c r="W4414" s="5" t="e">
        <f>CONCATENATE(dados[[#This Row],[fator1]],dados[[#This Row],[fator5]],dados[[#This Row],[fator6]])</f>
        <v>#REF!</v>
      </c>
    </row>
    <row r="4415" spans="1:23">
      <c r="A4415" t="s">
        <v>16</v>
      </c>
      <c r="B4415">
        <v>590055</v>
      </c>
      <c r="C4415">
        <v>12</v>
      </c>
      <c r="D4415">
        <v>40</v>
      </c>
      <c r="E4415">
        <v>36</v>
      </c>
      <c r="F4415">
        <v>9</v>
      </c>
      <c r="G4415">
        <v>0</v>
      </c>
      <c r="H4415">
        <v>25</v>
      </c>
      <c r="I4415">
        <v>786</v>
      </c>
      <c r="J4415">
        <v>0</v>
      </c>
      <c r="K4415">
        <v>8.3994999999999997</v>
      </c>
      <c r="L4415">
        <v>14.044500000000001</v>
      </c>
      <c r="M4415">
        <v>35.752500000000005</v>
      </c>
      <c r="N4415">
        <v>18.13</v>
      </c>
      <c r="O4415">
        <v>1657</v>
      </c>
      <c r="P4415">
        <v>0</v>
      </c>
      <c r="Q4415" s="5" t="e">
        <f>IF(AND(#REF!&gt;=table!$C$6,#REF!&lt;= table!$D$6),-1,IF(AND(#REF!&gt;=table!$E$6,#REF!&lt;=table!$F$6),1,0))</f>
        <v>#REF!</v>
      </c>
      <c r="R4415" s="5" t="e">
        <f>IF(AND(#REF!&gt;=table!$C$7,#REF!&lt;= table!$D$7),-1,IF(AND(#REF!&gt;=table!$E$7,#REF!&lt;=table!$F$7),1,0))</f>
        <v>#REF!</v>
      </c>
      <c r="S4415" s="5" t="e">
        <f>IF(AND(#REF!&gt;=table!$C$8,#REF!&lt;= table!$D$8),-1,IF(AND(#REF!&gt;=table!$E$8,#REF!&lt;=table!$F$8),1,0))</f>
        <v>#REF!</v>
      </c>
      <c r="T4415" s="5"/>
      <c r="U4415" s="5" t="e">
        <f>IF(AND(#REF!&gt;=table!$C$10,#REF!&lt;= table!$D$10),-1,IF(AND(#REF!&gt;=table!$E$10,#REF!&lt;=table!$F$10),1,0))</f>
        <v>#REF!</v>
      </c>
      <c r="V4415" s="5" t="e">
        <f>IF(AND(#REF!&gt;=table!$C$11,#REF!&lt;= table!$D$11),-1,IF(AND(#REF!&gt;=table!$E$11,#REF!&lt;=table!$F$11),1,0))</f>
        <v>#REF!</v>
      </c>
      <c r="W4415" s="5" t="e">
        <f>CONCATENATE(dados[[#This Row],[fator1]],dados[[#This Row],[fator5]],dados[[#This Row],[fator6]])</f>
        <v>#REF!</v>
      </c>
    </row>
    <row r="4416" spans="1:23">
      <c r="A4416" t="s">
        <v>16</v>
      </c>
      <c r="B4416">
        <v>590058</v>
      </c>
      <c r="C4416">
        <v>0.15</v>
      </c>
      <c r="D4416">
        <v>40</v>
      </c>
      <c r="E4416">
        <v>10</v>
      </c>
      <c r="F4416">
        <v>15</v>
      </c>
      <c r="G4416">
        <v>0</v>
      </c>
      <c r="H4416">
        <v>15</v>
      </c>
      <c r="I4416">
        <v>772</v>
      </c>
      <c r="J4416">
        <v>0</v>
      </c>
      <c r="K4416">
        <v>2.9005000000000001</v>
      </c>
      <c r="L4416">
        <v>5.8944999999999999</v>
      </c>
      <c r="M4416">
        <v>6.4445000000000006</v>
      </c>
      <c r="N4416">
        <v>8.8150000000000013</v>
      </c>
      <c r="O4416">
        <v>1685</v>
      </c>
      <c r="P4416">
        <v>0</v>
      </c>
      <c r="Q4416" s="5" t="e">
        <f>IF(AND(#REF!&gt;=table!$C$6,#REF!&lt;= table!$D$6),-1,IF(AND(#REF!&gt;=table!$E$6,#REF!&lt;=table!$F$6),1,0))</f>
        <v>#REF!</v>
      </c>
      <c r="R4416" s="5" t="e">
        <f>IF(AND(#REF!&gt;=table!$C$7,#REF!&lt;= table!$D$7),-1,IF(AND(#REF!&gt;=table!$E$7,#REF!&lt;=table!$F$7),1,0))</f>
        <v>#REF!</v>
      </c>
      <c r="S4416" s="5" t="e">
        <f>IF(AND(#REF!&gt;=table!$C$8,#REF!&lt;= table!$D$8),-1,IF(AND(#REF!&gt;=table!$E$8,#REF!&lt;=table!$F$8),1,0))</f>
        <v>#REF!</v>
      </c>
      <c r="T4416" s="5"/>
      <c r="U4416" s="5" t="e">
        <f>IF(AND(#REF!&gt;=table!$C$10,#REF!&lt;= table!$D$10),-1,IF(AND(#REF!&gt;=table!$E$10,#REF!&lt;=table!$F$10),1,0))</f>
        <v>#REF!</v>
      </c>
      <c r="V4416" s="5" t="e">
        <f>IF(AND(#REF!&gt;=table!$C$11,#REF!&lt;= table!$D$11),-1,IF(AND(#REF!&gt;=table!$E$11,#REF!&lt;=table!$F$11),1,0))</f>
        <v>#REF!</v>
      </c>
      <c r="W4416" s="5" t="e">
        <f>CONCATENATE(dados[[#This Row],[fator1]],dados[[#This Row],[fator5]],dados[[#This Row],[fator6]])</f>
        <v>#REF!</v>
      </c>
    </row>
    <row r="4417" spans="1:23">
      <c r="A4417" t="s">
        <v>16</v>
      </c>
      <c r="B4417">
        <v>590059</v>
      </c>
      <c r="C4417">
        <v>0.15</v>
      </c>
      <c r="D4417">
        <v>40</v>
      </c>
      <c r="E4417">
        <v>10</v>
      </c>
      <c r="F4417">
        <v>15</v>
      </c>
      <c r="G4417">
        <v>0</v>
      </c>
      <c r="H4417">
        <v>15</v>
      </c>
      <c r="I4417">
        <v>482</v>
      </c>
      <c r="J4417">
        <v>630</v>
      </c>
      <c r="K4417">
        <v>5.1680000000000001</v>
      </c>
      <c r="L4417">
        <v>8.4894999999999996</v>
      </c>
      <c r="M4417">
        <v>6.0605000000000002</v>
      </c>
      <c r="N4417">
        <v>8.9150000000000009</v>
      </c>
      <c r="O4417">
        <v>1637</v>
      </c>
      <c r="P4417">
        <v>453</v>
      </c>
      <c r="Q4417" s="5" t="e">
        <f>IF(AND(#REF!&gt;=table!$C$6,#REF!&lt;= table!$D$6),-1,IF(AND(#REF!&gt;=table!$E$6,#REF!&lt;=table!$F$6),1,0))</f>
        <v>#REF!</v>
      </c>
      <c r="R4417" s="5" t="e">
        <f>IF(AND(#REF!&gt;=table!$C$7,#REF!&lt;= table!$D$7),-1,IF(AND(#REF!&gt;=table!$E$7,#REF!&lt;=table!$F$7),1,0))</f>
        <v>#REF!</v>
      </c>
      <c r="S4417" s="5" t="e">
        <f>IF(AND(#REF!&gt;=table!$C$8,#REF!&lt;= table!$D$8),-1,IF(AND(#REF!&gt;=table!$E$8,#REF!&lt;=table!$F$8),1,0))</f>
        <v>#REF!</v>
      </c>
      <c r="T4417" s="5"/>
      <c r="U4417" s="5" t="e">
        <f>IF(AND(#REF!&gt;=table!$C$10,#REF!&lt;= table!$D$10),-1,IF(AND(#REF!&gt;=table!$E$10,#REF!&lt;=table!$F$10),1,0))</f>
        <v>#REF!</v>
      </c>
      <c r="V4417" s="5" t="e">
        <f>IF(AND(#REF!&gt;=table!$C$11,#REF!&lt;= table!$D$11),-1,IF(AND(#REF!&gt;=table!$E$11,#REF!&lt;=table!$F$11),1,0))</f>
        <v>#REF!</v>
      </c>
      <c r="W4417" s="5" t="e">
        <f>CONCATENATE(dados[[#This Row],[fator1]],dados[[#This Row],[fator5]],dados[[#This Row],[fator6]])</f>
        <v>#REF!</v>
      </c>
    </row>
    <row r="4418" spans="1:23">
      <c r="A4418" t="s">
        <v>16</v>
      </c>
      <c r="B4418">
        <v>590063</v>
      </c>
      <c r="C4418">
        <v>16</v>
      </c>
      <c r="D4418">
        <v>30</v>
      </c>
      <c r="E4418">
        <v>36</v>
      </c>
      <c r="F4418">
        <v>3</v>
      </c>
      <c r="G4418">
        <v>0</v>
      </c>
      <c r="H4418">
        <v>25</v>
      </c>
      <c r="I4418">
        <v>36</v>
      </c>
      <c r="J4418">
        <v>0</v>
      </c>
      <c r="K4418">
        <v>8.7394999999999996</v>
      </c>
      <c r="L4418">
        <v>14.5525</v>
      </c>
      <c r="M4418">
        <v>34.429500000000004</v>
      </c>
      <c r="N4418">
        <v>17.59</v>
      </c>
      <c r="O4418">
        <v>1675</v>
      </c>
      <c r="P4418">
        <v>423</v>
      </c>
      <c r="Q4418" s="5" t="e">
        <f>IF(AND(#REF!&gt;=table!$C$6,#REF!&lt;= table!$D$6),-1,IF(AND(#REF!&gt;=table!$E$6,#REF!&lt;=table!$F$6),1,0))</f>
        <v>#REF!</v>
      </c>
      <c r="R4418" s="5" t="e">
        <f>IF(AND(#REF!&gt;=table!$C$7,#REF!&lt;= table!$D$7),-1,IF(AND(#REF!&gt;=table!$E$7,#REF!&lt;=table!$F$7),1,0))</f>
        <v>#REF!</v>
      </c>
      <c r="S4418" s="5" t="e">
        <f>IF(AND(#REF!&gt;=table!$C$8,#REF!&lt;= table!$D$8),-1,IF(AND(#REF!&gt;=table!$E$8,#REF!&lt;=table!$F$8),1,0))</f>
        <v>#REF!</v>
      </c>
      <c r="T4418" s="5"/>
      <c r="U4418" s="5" t="e">
        <f>IF(AND(#REF!&gt;=table!$C$10,#REF!&lt;= table!$D$10),-1,IF(AND(#REF!&gt;=table!$E$10,#REF!&lt;=table!$F$10),1,0))</f>
        <v>#REF!</v>
      </c>
      <c r="V4418" s="5" t="e">
        <f>IF(AND(#REF!&gt;=table!$C$11,#REF!&lt;= table!$D$11),-1,IF(AND(#REF!&gt;=table!$E$11,#REF!&lt;=table!$F$11),1,0))</f>
        <v>#REF!</v>
      </c>
      <c r="W4418" s="5" t="e">
        <f>CONCATENATE(dados[[#This Row],[fator1]],dados[[#This Row],[fator5]],dados[[#This Row],[fator6]])</f>
        <v>#REF!</v>
      </c>
    </row>
    <row r="4419" spans="1:23">
      <c r="A4419" t="s">
        <v>16</v>
      </c>
      <c r="B4419">
        <v>590064</v>
      </c>
      <c r="C4419">
        <v>16</v>
      </c>
      <c r="D4419">
        <v>35</v>
      </c>
      <c r="E4419">
        <v>36</v>
      </c>
      <c r="F4419">
        <v>10</v>
      </c>
      <c r="G4419">
        <v>0</v>
      </c>
      <c r="H4419">
        <v>25</v>
      </c>
      <c r="I4419">
        <v>60</v>
      </c>
      <c r="J4419">
        <v>0</v>
      </c>
      <c r="K4419">
        <v>9.1270000000000007</v>
      </c>
      <c r="L4419">
        <v>17.4115</v>
      </c>
      <c r="M4419">
        <v>28.477</v>
      </c>
      <c r="N4419">
        <v>20.125</v>
      </c>
      <c r="O4419">
        <v>1701</v>
      </c>
      <c r="P4419">
        <v>427</v>
      </c>
      <c r="Q4419" s="5" t="e">
        <f>IF(AND(#REF!&gt;=table!$C$6,#REF!&lt;= table!$D$6),-1,IF(AND(#REF!&gt;=table!$E$6,#REF!&lt;=table!$F$6),1,0))</f>
        <v>#REF!</v>
      </c>
      <c r="R4419" s="5" t="e">
        <f>IF(AND(#REF!&gt;=table!$C$7,#REF!&lt;= table!$D$7),-1,IF(AND(#REF!&gt;=table!$E$7,#REF!&lt;=table!$F$7),1,0))</f>
        <v>#REF!</v>
      </c>
      <c r="S4419" s="5" t="e">
        <f>IF(AND(#REF!&gt;=table!$C$8,#REF!&lt;= table!$D$8),-1,IF(AND(#REF!&gt;=table!$E$8,#REF!&lt;=table!$F$8),1,0))</f>
        <v>#REF!</v>
      </c>
      <c r="T4419" s="5"/>
      <c r="U4419" s="5" t="e">
        <f>IF(AND(#REF!&gt;=table!$C$10,#REF!&lt;= table!$D$10),-1,IF(AND(#REF!&gt;=table!$E$10,#REF!&lt;=table!$F$10),1,0))</f>
        <v>#REF!</v>
      </c>
      <c r="V4419" s="5" t="e">
        <f>IF(AND(#REF!&gt;=table!$C$11,#REF!&lt;= table!$D$11),-1,IF(AND(#REF!&gt;=table!$E$11,#REF!&lt;=table!$F$11),1,0))</f>
        <v>#REF!</v>
      </c>
      <c r="W4419" s="5" t="e">
        <f>CONCATENATE(dados[[#This Row],[fator1]],dados[[#This Row],[fator5]],dados[[#This Row],[fator6]])</f>
        <v>#REF!</v>
      </c>
    </row>
    <row r="4420" spans="1:23">
      <c r="A4420" t="s">
        <v>16</v>
      </c>
      <c r="B4420">
        <v>590066</v>
      </c>
      <c r="C4420">
        <v>16</v>
      </c>
      <c r="D4420">
        <v>35</v>
      </c>
      <c r="E4420">
        <v>36</v>
      </c>
      <c r="F4420">
        <v>10</v>
      </c>
      <c r="G4420">
        <v>0</v>
      </c>
      <c r="H4420">
        <v>25</v>
      </c>
      <c r="I4420">
        <v>2</v>
      </c>
      <c r="J4420">
        <v>0</v>
      </c>
      <c r="K4420">
        <v>7.9265000000000008</v>
      </c>
      <c r="L4420">
        <v>15.688500000000001</v>
      </c>
      <c r="M4420">
        <v>30.060500000000001</v>
      </c>
      <c r="N4420">
        <v>23.005000000000003</v>
      </c>
      <c r="O4420">
        <v>1676</v>
      </c>
      <c r="P4420">
        <v>0</v>
      </c>
      <c r="Q4420" s="5" t="e">
        <f>IF(AND(#REF!&gt;=table!$C$6,#REF!&lt;= table!$D$6),-1,IF(AND(#REF!&gt;=table!$E$6,#REF!&lt;=table!$F$6),1,0))</f>
        <v>#REF!</v>
      </c>
      <c r="R4420" s="5" t="e">
        <f>IF(AND(#REF!&gt;=table!$C$7,#REF!&lt;= table!$D$7),-1,IF(AND(#REF!&gt;=table!$E$7,#REF!&lt;=table!$F$7),1,0))</f>
        <v>#REF!</v>
      </c>
      <c r="S4420" s="5" t="e">
        <f>IF(AND(#REF!&gt;=table!$C$8,#REF!&lt;= table!$D$8),-1,IF(AND(#REF!&gt;=table!$E$8,#REF!&lt;=table!$F$8),1,0))</f>
        <v>#REF!</v>
      </c>
      <c r="T4420" s="5"/>
      <c r="U4420" s="5" t="e">
        <f>IF(AND(#REF!&gt;=table!$C$10,#REF!&lt;= table!$D$10),-1,IF(AND(#REF!&gt;=table!$E$10,#REF!&lt;=table!$F$10),1,0))</f>
        <v>#REF!</v>
      </c>
      <c r="V4420" s="5" t="e">
        <f>IF(AND(#REF!&gt;=table!$C$11,#REF!&lt;= table!$D$11),-1,IF(AND(#REF!&gt;=table!$E$11,#REF!&lt;=table!$F$11),1,0))</f>
        <v>#REF!</v>
      </c>
      <c r="W4420" s="5" t="e">
        <f>CONCATENATE(dados[[#This Row],[fator1]],dados[[#This Row],[fator5]],dados[[#This Row],[fator6]])</f>
        <v>#REF!</v>
      </c>
    </row>
    <row r="4421" spans="1:23">
      <c r="A4421" t="s">
        <v>16</v>
      </c>
      <c r="B4421">
        <v>590073</v>
      </c>
      <c r="C4421">
        <v>4</v>
      </c>
      <c r="D4421">
        <v>40</v>
      </c>
      <c r="E4421">
        <v>21</v>
      </c>
      <c r="F4421">
        <v>10</v>
      </c>
      <c r="G4421">
        <v>0</v>
      </c>
      <c r="H4421">
        <v>25</v>
      </c>
      <c r="I4421">
        <v>1474</v>
      </c>
      <c r="J4421">
        <v>0</v>
      </c>
      <c r="K4421">
        <v>2.1855000000000002</v>
      </c>
      <c r="L4421">
        <v>5.4775</v>
      </c>
      <c r="M4421">
        <v>5.4660000000000002</v>
      </c>
      <c r="N4421">
        <v>5.5350000000000001</v>
      </c>
      <c r="O4421">
        <v>1653</v>
      </c>
      <c r="P4421">
        <v>785</v>
      </c>
      <c r="Q4421" s="5" t="e">
        <f>IF(AND(#REF!&gt;=table!$C$6,#REF!&lt;= table!$D$6),-1,IF(AND(#REF!&gt;=table!$E$6,#REF!&lt;=table!$F$6),1,0))</f>
        <v>#REF!</v>
      </c>
      <c r="R4421" s="5" t="e">
        <f>IF(AND(#REF!&gt;=table!$C$7,#REF!&lt;= table!$D$7),-1,IF(AND(#REF!&gt;=table!$E$7,#REF!&lt;=table!$F$7),1,0))</f>
        <v>#REF!</v>
      </c>
      <c r="S4421" s="5" t="e">
        <f>IF(AND(#REF!&gt;=table!$C$8,#REF!&lt;= table!$D$8),-1,IF(AND(#REF!&gt;=table!$E$8,#REF!&lt;=table!$F$8),1,0))</f>
        <v>#REF!</v>
      </c>
      <c r="T4421" s="5"/>
      <c r="U4421" s="5" t="e">
        <f>IF(AND(#REF!&gt;=table!$C$10,#REF!&lt;= table!$D$10),-1,IF(AND(#REF!&gt;=table!$E$10,#REF!&lt;=table!$F$10),1,0))</f>
        <v>#REF!</v>
      </c>
      <c r="V4421" s="5" t="e">
        <f>IF(AND(#REF!&gt;=table!$C$11,#REF!&lt;= table!$D$11),-1,IF(AND(#REF!&gt;=table!$E$11,#REF!&lt;=table!$F$11),1,0))</f>
        <v>#REF!</v>
      </c>
      <c r="W4421" s="5" t="e">
        <f>CONCATENATE(dados[[#This Row],[fator1]],dados[[#This Row],[fator5]],dados[[#This Row],[fator6]])</f>
        <v>#REF!</v>
      </c>
    </row>
    <row r="4422" spans="1:23">
      <c r="A4422" t="s">
        <v>16</v>
      </c>
      <c r="B4422">
        <v>590076</v>
      </c>
      <c r="C4422">
        <v>6</v>
      </c>
      <c r="D4422">
        <v>25</v>
      </c>
      <c r="E4422">
        <v>120</v>
      </c>
      <c r="F4422">
        <v>4</v>
      </c>
      <c r="G4422">
        <v>0</v>
      </c>
      <c r="H4422">
        <v>55</v>
      </c>
      <c r="I4422">
        <v>505</v>
      </c>
      <c r="J4422">
        <v>0</v>
      </c>
      <c r="K4422">
        <v>6.5510000000000002</v>
      </c>
      <c r="L4422">
        <v>13.91</v>
      </c>
      <c r="M4422">
        <v>96.916499999999999</v>
      </c>
      <c r="N4422">
        <v>27.805</v>
      </c>
      <c r="O4422">
        <v>1659</v>
      </c>
      <c r="P4422">
        <v>615</v>
      </c>
      <c r="Q4422" s="5" t="e">
        <f>IF(AND(#REF!&gt;=table!$C$6,#REF!&lt;= table!$D$6),-1,IF(AND(#REF!&gt;=table!$E$6,#REF!&lt;=table!$F$6),1,0))</f>
        <v>#REF!</v>
      </c>
      <c r="R4422" s="5" t="e">
        <f>IF(AND(#REF!&gt;=table!$C$7,#REF!&lt;= table!$D$7),-1,IF(AND(#REF!&gt;=table!$E$7,#REF!&lt;=table!$F$7),1,0))</f>
        <v>#REF!</v>
      </c>
      <c r="S4422" s="5" t="e">
        <f>IF(AND(#REF!&gt;=table!$C$8,#REF!&lt;= table!$D$8),-1,IF(AND(#REF!&gt;=table!$E$8,#REF!&lt;=table!$F$8),1,0))</f>
        <v>#REF!</v>
      </c>
      <c r="T4422" s="5"/>
      <c r="U4422" s="5" t="e">
        <f>IF(AND(#REF!&gt;=table!$C$10,#REF!&lt;= table!$D$10),-1,IF(AND(#REF!&gt;=table!$E$10,#REF!&lt;=table!$F$10),1,0))</f>
        <v>#REF!</v>
      </c>
      <c r="V4422" s="5" t="e">
        <f>IF(AND(#REF!&gt;=table!$C$11,#REF!&lt;= table!$D$11),-1,IF(AND(#REF!&gt;=table!$E$11,#REF!&lt;=table!$F$11),1,0))</f>
        <v>#REF!</v>
      </c>
      <c r="W4422" s="5" t="e">
        <f>CONCATENATE(dados[[#This Row],[fator1]],dados[[#This Row],[fator5]],dados[[#This Row],[fator6]])</f>
        <v>#REF!</v>
      </c>
    </row>
    <row r="4423" spans="1:23">
      <c r="A4423" t="s">
        <v>16</v>
      </c>
      <c r="B4423">
        <v>590077</v>
      </c>
      <c r="C4423">
        <v>0.15</v>
      </c>
      <c r="D4423">
        <v>40</v>
      </c>
      <c r="E4423">
        <v>10</v>
      </c>
      <c r="F4423">
        <v>15</v>
      </c>
      <c r="G4423">
        <v>0</v>
      </c>
      <c r="H4423">
        <v>15</v>
      </c>
      <c r="I4423">
        <v>527</v>
      </c>
      <c r="J4423">
        <v>0</v>
      </c>
      <c r="K4423">
        <v>4.6890000000000001</v>
      </c>
      <c r="L4423">
        <v>10.719000000000001</v>
      </c>
      <c r="M4423">
        <v>9.7825000000000006</v>
      </c>
      <c r="N4423">
        <v>15.025</v>
      </c>
      <c r="O4423">
        <v>1684</v>
      </c>
      <c r="P4423">
        <v>1060</v>
      </c>
      <c r="Q4423" s="5" t="e">
        <f>IF(AND(#REF!&gt;=table!$C$6,#REF!&lt;= table!$D$6),-1,IF(AND(#REF!&gt;=table!$E$6,#REF!&lt;=table!$F$6),1,0))</f>
        <v>#REF!</v>
      </c>
      <c r="R4423" s="5" t="e">
        <f>IF(AND(#REF!&gt;=table!$C$7,#REF!&lt;= table!$D$7),-1,IF(AND(#REF!&gt;=table!$E$7,#REF!&lt;=table!$F$7),1,0))</f>
        <v>#REF!</v>
      </c>
      <c r="S4423" s="5" t="e">
        <f>IF(AND(#REF!&gt;=table!$C$8,#REF!&lt;= table!$D$8),-1,IF(AND(#REF!&gt;=table!$E$8,#REF!&lt;=table!$F$8),1,0))</f>
        <v>#REF!</v>
      </c>
      <c r="T4423" s="5"/>
      <c r="U4423" s="5" t="e">
        <f>IF(AND(#REF!&gt;=table!$C$10,#REF!&lt;= table!$D$10),-1,IF(AND(#REF!&gt;=table!$E$10,#REF!&lt;=table!$F$10),1,0))</f>
        <v>#REF!</v>
      </c>
      <c r="V4423" s="5" t="e">
        <f>IF(AND(#REF!&gt;=table!$C$11,#REF!&lt;= table!$D$11),-1,IF(AND(#REF!&gt;=table!$E$11,#REF!&lt;=table!$F$11),1,0))</f>
        <v>#REF!</v>
      </c>
      <c r="W4423" s="5" t="e">
        <f>CONCATENATE(dados[[#This Row],[fator1]],dados[[#This Row],[fator5]],dados[[#This Row],[fator6]])</f>
        <v>#REF!</v>
      </c>
    </row>
    <row r="4424" spans="1:23">
      <c r="A4424" t="s">
        <v>16</v>
      </c>
      <c r="B4424">
        <v>590078</v>
      </c>
      <c r="C4424">
        <v>0.15</v>
      </c>
      <c r="D4424">
        <v>40</v>
      </c>
      <c r="E4424">
        <v>10</v>
      </c>
      <c r="F4424">
        <v>15</v>
      </c>
      <c r="G4424">
        <v>0</v>
      </c>
      <c r="H4424">
        <v>15</v>
      </c>
      <c r="I4424">
        <v>1060</v>
      </c>
      <c r="J4424">
        <v>0</v>
      </c>
      <c r="K4424">
        <v>5.7063000000000006</v>
      </c>
      <c r="L4424">
        <v>8.5605000000000011</v>
      </c>
      <c r="M4424">
        <v>7.9425000000000008</v>
      </c>
      <c r="N4424">
        <v>8.4</v>
      </c>
      <c r="O4424">
        <v>1658</v>
      </c>
      <c r="P4424">
        <v>777</v>
      </c>
      <c r="Q4424" s="5" t="e">
        <f>IF(AND(#REF!&gt;=table!$C$6,#REF!&lt;= table!$D$6),-1,IF(AND(#REF!&gt;=table!$E$6,#REF!&lt;=table!$F$6),1,0))</f>
        <v>#REF!</v>
      </c>
      <c r="R4424" s="5" t="e">
        <f>IF(AND(#REF!&gt;=table!$C$7,#REF!&lt;= table!$D$7),-1,IF(AND(#REF!&gt;=table!$E$7,#REF!&lt;=table!$F$7),1,0))</f>
        <v>#REF!</v>
      </c>
      <c r="S4424" s="5" t="e">
        <f>IF(AND(#REF!&gt;=table!$C$8,#REF!&lt;= table!$D$8),-1,IF(AND(#REF!&gt;=table!$E$8,#REF!&lt;=table!$F$8),1,0))</f>
        <v>#REF!</v>
      </c>
      <c r="T4424" s="5"/>
      <c r="U4424" s="5" t="e">
        <f>IF(AND(#REF!&gt;=table!$C$10,#REF!&lt;= table!$D$10),-1,IF(AND(#REF!&gt;=table!$E$10,#REF!&lt;=table!$F$10),1,0))</f>
        <v>#REF!</v>
      </c>
      <c r="V4424" s="5" t="e">
        <f>IF(AND(#REF!&gt;=table!$C$11,#REF!&lt;= table!$D$11),-1,IF(AND(#REF!&gt;=table!$E$11,#REF!&lt;=table!$F$11),1,0))</f>
        <v>#REF!</v>
      </c>
      <c r="W4424" s="5" t="e">
        <f>CONCATENATE(dados[[#This Row],[fator1]],dados[[#This Row],[fator5]],dados[[#This Row],[fator6]])</f>
        <v>#REF!</v>
      </c>
    </row>
    <row r="4425" spans="1:23">
      <c r="A4425" t="s">
        <v>17</v>
      </c>
      <c r="B4425">
        <v>590080</v>
      </c>
      <c r="C4425">
        <v>6</v>
      </c>
      <c r="D4425">
        <v>30</v>
      </c>
      <c r="E4425">
        <v>110</v>
      </c>
      <c r="F4425">
        <v>10</v>
      </c>
      <c r="G4425">
        <v>21</v>
      </c>
      <c r="H4425">
        <v>25</v>
      </c>
      <c r="I4425">
        <v>1134</v>
      </c>
      <c r="J4425">
        <v>0</v>
      </c>
      <c r="K4425">
        <v>3.6420000000000003</v>
      </c>
      <c r="L4425">
        <v>7.6670000000000007</v>
      </c>
      <c r="M4425">
        <v>92.369500000000002</v>
      </c>
      <c r="N4425">
        <v>19.375</v>
      </c>
      <c r="O4425">
        <v>1680</v>
      </c>
      <c r="P4425">
        <v>1171</v>
      </c>
      <c r="Q4425" s="5" t="e">
        <f>IF(AND(#REF!&gt;=table!$C$6,#REF!&lt;= table!$D$6),-1,IF(AND(#REF!&gt;=table!$E$6,#REF!&lt;=table!$F$6),1,0))</f>
        <v>#REF!</v>
      </c>
      <c r="R4425" s="5" t="e">
        <f>IF(AND(#REF!&gt;=table!$C$7,#REF!&lt;= table!$D$7),-1,IF(AND(#REF!&gt;=table!$E$7,#REF!&lt;=table!$F$7),1,0))</f>
        <v>#REF!</v>
      </c>
      <c r="S4425" s="5" t="e">
        <f>IF(AND(#REF!&gt;=table!$C$8,#REF!&lt;= table!$D$8),-1,IF(AND(#REF!&gt;=table!$E$8,#REF!&lt;=table!$F$8),1,0))</f>
        <v>#REF!</v>
      </c>
      <c r="T4425" s="5"/>
      <c r="U4425" s="5" t="e">
        <f>IF(AND(#REF!&gt;=table!$C$10,#REF!&lt;= table!$D$10),-1,IF(AND(#REF!&gt;=table!$E$10,#REF!&lt;=table!$F$10),1,0))</f>
        <v>#REF!</v>
      </c>
      <c r="V4425" s="5" t="e">
        <f>IF(AND(#REF!&gt;=table!$C$11,#REF!&lt;= table!$D$11),-1,IF(AND(#REF!&gt;=table!$E$11,#REF!&lt;=table!$F$11),1,0))</f>
        <v>#REF!</v>
      </c>
      <c r="W4425" s="5" t="e">
        <f>CONCATENATE(dados[[#This Row],[fator1]],dados[[#This Row],[fator5]],dados[[#This Row],[fator6]])</f>
        <v>#REF!</v>
      </c>
    </row>
    <row r="4426" spans="1:23">
      <c r="A4426" t="s">
        <v>16</v>
      </c>
      <c r="B4426">
        <v>590081</v>
      </c>
      <c r="C4426">
        <v>0.15</v>
      </c>
      <c r="D4426">
        <v>40</v>
      </c>
      <c r="E4426">
        <v>10</v>
      </c>
      <c r="F4426">
        <v>15</v>
      </c>
      <c r="G4426">
        <v>0</v>
      </c>
      <c r="H4426">
        <v>15</v>
      </c>
      <c r="I4426">
        <v>1137</v>
      </c>
      <c r="J4426">
        <v>0</v>
      </c>
      <c r="K4426">
        <v>3.1925000000000003</v>
      </c>
      <c r="L4426">
        <v>9.5564999999999998</v>
      </c>
      <c r="M4426">
        <v>8.3819999999999997</v>
      </c>
      <c r="N4426">
        <v>15.13</v>
      </c>
      <c r="O4426">
        <v>1673</v>
      </c>
      <c r="P4426">
        <v>1098</v>
      </c>
      <c r="Q4426" s="5" t="e">
        <f>IF(AND(#REF!&gt;=table!$C$6,#REF!&lt;= table!$D$6),-1,IF(AND(#REF!&gt;=table!$E$6,#REF!&lt;=table!$F$6),1,0))</f>
        <v>#REF!</v>
      </c>
      <c r="R4426" s="5" t="e">
        <f>IF(AND(#REF!&gt;=table!$C$7,#REF!&lt;= table!$D$7),-1,IF(AND(#REF!&gt;=table!$E$7,#REF!&lt;=table!$F$7),1,0))</f>
        <v>#REF!</v>
      </c>
      <c r="S4426" s="5" t="e">
        <f>IF(AND(#REF!&gt;=table!$C$8,#REF!&lt;= table!$D$8),-1,IF(AND(#REF!&gt;=table!$E$8,#REF!&lt;=table!$F$8),1,0))</f>
        <v>#REF!</v>
      </c>
      <c r="T4426" s="5"/>
      <c r="U4426" s="5" t="e">
        <f>IF(AND(#REF!&gt;=table!$C$10,#REF!&lt;= table!$D$10),-1,IF(AND(#REF!&gt;=table!$E$10,#REF!&lt;=table!$F$10),1,0))</f>
        <v>#REF!</v>
      </c>
      <c r="V4426" s="5" t="e">
        <f>IF(AND(#REF!&gt;=table!$C$11,#REF!&lt;= table!$D$11),-1,IF(AND(#REF!&gt;=table!$E$11,#REF!&lt;=table!$F$11),1,0))</f>
        <v>#REF!</v>
      </c>
      <c r="W4426" s="5" t="e">
        <f>CONCATENATE(dados[[#This Row],[fator1]],dados[[#This Row],[fator5]],dados[[#This Row],[fator6]])</f>
        <v>#REF!</v>
      </c>
    </row>
    <row r="4427" spans="1:23">
      <c r="A4427" t="s">
        <v>17</v>
      </c>
      <c r="B4427">
        <v>590084</v>
      </c>
      <c r="C4427">
        <v>6</v>
      </c>
      <c r="D4427">
        <v>30</v>
      </c>
      <c r="E4427">
        <v>110</v>
      </c>
      <c r="F4427">
        <v>10</v>
      </c>
      <c r="G4427">
        <v>21</v>
      </c>
      <c r="H4427">
        <v>25</v>
      </c>
      <c r="I4427">
        <v>0</v>
      </c>
      <c r="J4427">
        <v>0</v>
      </c>
      <c r="K4427">
        <v>4.5795000000000003</v>
      </c>
      <c r="L4427">
        <v>14.243500000000001</v>
      </c>
      <c r="M4427">
        <v>90.314999999999998</v>
      </c>
      <c r="N4427">
        <v>20.935000000000002</v>
      </c>
      <c r="O4427">
        <v>1696</v>
      </c>
      <c r="P4427">
        <v>934</v>
      </c>
      <c r="Q4427" s="5" t="e">
        <f>IF(AND(#REF!&gt;=table!$C$6,#REF!&lt;= table!$D$6),-1,IF(AND(#REF!&gt;=table!$E$6,#REF!&lt;=table!$F$6),1,0))</f>
        <v>#REF!</v>
      </c>
      <c r="R4427" s="5" t="e">
        <f>IF(AND(#REF!&gt;=table!$C$7,#REF!&lt;= table!$D$7),-1,IF(AND(#REF!&gt;=table!$E$7,#REF!&lt;=table!$F$7),1,0))</f>
        <v>#REF!</v>
      </c>
      <c r="S4427" s="5" t="e">
        <f>IF(AND(#REF!&gt;=table!$C$8,#REF!&lt;= table!$D$8),-1,IF(AND(#REF!&gt;=table!$E$8,#REF!&lt;=table!$F$8),1,0))</f>
        <v>#REF!</v>
      </c>
      <c r="T4427" s="5"/>
      <c r="U4427" s="5" t="e">
        <f>IF(AND(#REF!&gt;=table!$C$10,#REF!&lt;= table!$D$10),-1,IF(AND(#REF!&gt;=table!$E$10,#REF!&lt;=table!$F$10),1,0))</f>
        <v>#REF!</v>
      </c>
      <c r="V4427" s="5" t="e">
        <f>IF(AND(#REF!&gt;=table!$C$11,#REF!&lt;= table!$D$11),-1,IF(AND(#REF!&gt;=table!$E$11,#REF!&lt;=table!$F$11),1,0))</f>
        <v>#REF!</v>
      </c>
      <c r="W4427" s="5" t="e">
        <f>CONCATENATE(dados[[#This Row],[fator1]],dados[[#This Row],[fator5]],dados[[#This Row],[fator6]])</f>
        <v>#REF!</v>
      </c>
    </row>
    <row r="4428" spans="1:23">
      <c r="A4428" t="s">
        <v>17</v>
      </c>
      <c r="B4428">
        <v>590085</v>
      </c>
      <c r="C4428">
        <v>6</v>
      </c>
      <c r="D4428">
        <v>30</v>
      </c>
      <c r="E4428">
        <v>110</v>
      </c>
      <c r="F4428">
        <v>10</v>
      </c>
      <c r="G4428">
        <v>21</v>
      </c>
      <c r="H4428">
        <v>25</v>
      </c>
      <c r="I4428">
        <v>0</v>
      </c>
      <c r="J4428">
        <v>1050</v>
      </c>
      <c r="K4428">
        <v>4.0550000000000006</v>
      </c>
      <c r="L4428">
        <v>14.640500000000001</v>
      </c>
      <c r="M4428">
        <v>93.893000000000001</v>
      </c>
      <c r="N4428">
        <v>19.170000000000002</v>
      </c>
      <c r="O4428">
        <v>1689</v>
      </c>
      <c r="P4428">
        <v>0</v>
      </c>
      <c r="Q4428" s="5" t="e">
        <f>IF(AND(#REF!&gt;=table!$C$6,#REF!&lt;= table!$D$6),-1,IF(AND(#REF!&gt;=table!$E$6,#REF!&lt;=table!$F$6),1,0))</f>
        <v>#REF!</v>
      </c>
      <c r="R4428" s="5" t="e">
        <f>IF(AND(#REF!&gt;=table!$C$7,#REF!&lt;= table!$D$7),-1,IF(AND(#REF!&gt;=table!$E$7,#REF!&lt;=table!$F$7),1,0))</f>
        <v>#REF!</v>
      </c>
      <c r="S4428" s="5" t="e">
        <f>IF(AND(#REF!&gt;=table!$C$8,#REF!&lt;= table!$D$8),-1,IF(AND(#REF!&gt;=table!$E$8,#REF!&lt;=table!$F$8),1,0))</f>
        <v>#REF!</v>
      </c>
      <c r="T4428" s="5"/>
      <c r="U4428" s="5" t="e">
        <f>IF(AND(#REF!&gt;=table!$C$10,#REF!&lt;= table!$D$10),-1,IF(AND(#REF!&gt;=table!$E$10,#REF!&lt;=table!$F$10),1,0))</f>
        <v>#REF!</v>
      </c>
      <c r="V4428" s="5" t="e">
        <f>IF(AND(#REF!&gt;=table!$C$11,#REF!&lt;= table!$D$11),-1,IF(AND(#REF!&gt;=table!$E$11,#REF!&lt;=table!$F$11),1,0))</f>
        <v>#REF!</v>
      </c>
      <c r="W4428" s="5" t="e">
        <f>CONCATENATE(dados[[#This Row],[fator1]],dados[[#This Row],[fator5]],dados[[#This Row],[fator6]])</f>
        <v>#REF!</v>
      </c>
    </row>
    <row r="4429" spans="1:23">
      <c r="A4429" t="s">
        <v>16</v>
      </c>
      <c r="B4429">
        <v>590088</v>
      </c>
      <c r="C4429">
        <v>12</v>
      </c>
      <c r="D4429">
        <v>40</v>
      </c>
      <c r="E4429">
        <v>36</v>
      </c>
      <c r="F4429">
        <v>9</v>
      </c>
      <c r="G4429">
        <v>0</v>
      </c>
      <c r="H4429">
        <v>25</v>
      </c>
      <c r="I4429">
        <v>702</v>
      </c>
      <c r="J4429">
        <v>0</v>
      </c>
      <c r="K4429">
        <v>6.0385</v>
      </c>
      <c r="L4429">
        <v>11.8505</v>
      </c>
      <c r="M4429">
        <v>33.585000000000001</v>
      </c>
      <c r="N4429">
        <v>12.01</v>
      </c>
      <c r="O4429">
        <v>1653</v>
      </c>
      <c r="P4429">
        <v>558</v>
      </c>
      <c r="Q4429" s="5" t="e">
        <f>IF(AND(#REF!&gt;=table!$C$6,#REF!&lt;= table!$D$6),-1,IF(AND(#REF!&gt;=table!$E$6,#REF!&lt;=table!$F$6),1,0))</f>
        <v>#REF!</v>
      </c>
      <c r="R4429" s="5" t="e">
        <f>IF(AND(#REF!&gt;=table!$C$7,#REF!&lt;= table!$D$7),-1,IF(AND(#REF!&gt;=table!$E$7,#REF!&lt;=table!$F$7),1,0))</f>
        <v>#REF!</v>
      </c>
      <c r="S4429" s="5" t="e">
        <f>IF(AND(#REF!&gt;=table!$C$8,#REF!&lt;= table!$D$8),-1,IF(AND(#REF!&gt;=table!$E$8,#REF!&lt;=table!$F$8),1,0))</f>
        <v>#REF!</v>
      </c>
      <c r="T4429" s="5"/>
      <c r="U4429" s="5" t="e">
        <f>IF(AND(#REF!&gt;=table!$C$10,#REF!&lt;= table!$D$10),-1,IF(AND(#REF!&gt;=table!$E$10,#REF!&lt;=table!$F$10),1,0))</f>
        <v>#REF!</v>
      </c>
      <c r="V4429" s="5" t="e">
        <f>IF(AND(#REF!&gt;=table!$C$11,#REF!&lt;= table!$D$11),-1,IF(AND(#REF!&gt;=table!$E$11,#REF!&lt;=table!$F$11),1,0))</f>
        <v>#REF!</v>
      </c>
      <c r="W4429" s="5" t="e">
        <f>CONCATENATE(dados[[#This Row],[fator1]],dados[[#This Row],[fator5]],dados[[#This Row],[fator6]])</f>
        <v>#REF!</v>
      </c>
    </row>
    <row r="4430" spans="1:23">
      <c r="A4430" t="s">
        <v>16</v>
      </c>
      <c r="B4430">
        <v>590092</v>
      </c>
      <c r="C4430">
        <v>12</v>
      </c>
      <c r="D4430">
        <v>40</v>
      </c>
      <c r="E4430">
        <v>36</v>
      </c>
      <c r="F4430">
        <v>9</v>
      </c>
      <c r="G4430">
        <v>0</v>
      </c>
      <c r="H4430">
        <v>25</v>
      </c>
      <c r="I4430">
        <v>22</v>
      </c>
      <c r="J4430">
        <v>0</v>
      </c>
      <c r="K4430">
        <v>5.2270000000000003</v>
      </c>
      <c r="L4430">
        <v>14.602</v>
      </c>
      <c r="M4430">
        <v>32.626000000000005</v>
      </c>
      <c r="N4430">
        <v>21.11</v>
      </c>
      <c r="O4430">
        <v>1664</v>
      </c>
      <c r="P4430">
        <v>767</v>
      </c>
      <c r="Q4430" s="5" t="e">
        <f>IF(AND(#REF!&gt;=table!$C$6,#REF!&lt;= table!$D$6),-1,IF(AND(#REF!&gt;=table!$E$6,#REF!&lt;=table!$F$6),1,0))</f>
        <v>#REF!</v>
      </c>
      <c r="R4430" s="5" t="e">
        <f>IF(AND(#REF!&gt;=table!$C$7,#REF!&lt;= table!$D$7),-1,IF(AND(#REF!&gt;=table!$E$7,#REF!&lt;=table!$F$7),1,0))</f>
        <v>#REF!</v>
      </c>
      <c r="S4430" s="5" t="e">
        <f>IF(AND(#REF!&gt;=table!$C$8,#REF!&lt;= table!$D$8),-1,IF(AND(#REF!&gt;=table!$E$8,#REF!&lt;=table!$F$8),1,0))</f>
        <v>#REF!</v>
      </c>
      <c r="T4430" s="5"/>
      <c r="U4430" s="5" t="e">
        <f>IF(AND(#REF!&gt;=table!$C$10,#REF!&lt;= table!$D$10),-1,IF(AND(#REF!&gt;=table!$E$10,#REF!&lt;=table!$F$10),1,0))</f>
        <v>#REF!</v>
      </c>
      <c r="V4430" s="5" t="e">
        <f>IF(AND(#REF!&gt;=table!$C$11,#REF!&lt;= table!$D$11),-1,IF(AND(#REF!&gt;=table!$E$11,#REF!&lt;=table!$F$11),1,0))</f>
        <v>#REF!</v>
      </c>
      <c r="W4430" s="5" t="e">
        <f>CONCATENATE(dados[[#This Row],[fator1]],dados[[#This Row],[fator5]],dados[[#This Row],[fator6]])</f>
        <v>#REF!</v>
      </c>
    </row>
    <row r="4431" spans="1:23">
      <c r="A4431" t="s">
        <v>16</v>
      </c>
      <c r="B4431">
        <v>590093</v>
      </c>
      <c r="C4431">
        <v>12</v>
      </c>
      <c r="D4431">
        <v>40</v>
      </c>
      <c r="E4431">
        <v>36</v>
      </c>
      <c r="F4431">
        <v>9</v>
      </c>
      <c r="G4431">
        <v>0</v>
      </c>
      <c r="H4431">
        <v>25</v>
      </c>
      <c r="I4431">
        <v>247</v>
      </c>
      <c r="J4431">
        <v>0</v>
      </c>
      <c r="K4431">
        <v>6.0135000000000005</v>
      </c>
      <c r="L4431">
        <v>12.652000000000001</v>
      </c>
      <c r="M4431">
        <v>26.983500000000003</v>
      </c>
      <c r="N4431">
        <v>11.16</v>
      </c>
      <c r="O4431">
        <v>1624</v>
      </c>
      <c r="P4431">
        <v>0</v>
      </c>
      <c r="Q4431" s="5" t="e">
        <f>IF(AND(#REF!&gt;=table!$C$6,#REF!&lt;= table!$D$6),-1,IF(AND(#REF!&gt;=table!$E$6,#REF!&lt;=table!$F$6),1,0))</f>
        <v>#REF!</v>
      </c>
      <c r="R4431" s="5" t="e">
        <f>IF(AND(#REF!&gt;=table!$C$7,#REF!&lt;= table!$D$7),-1,IF(AND(#REF!&gt;=table!$E$7,#REF!&lt;=table!$F$7),1,0))</f>
        <v>#REF!</v>
      </c>
      <c r="S4431" s="5" t="e">
        <f>IF(AND(#REF!&gt;=table!$C$8,#REF!&lt;= table!$D$8),-1,IF(AND(#REF!&gt;=table!$E$8,#REF!&lt;=table!$F$8),1,0))</f>
        <v>#REF!</v>
      </c>
      <c r="T4431" s="5"/>
      <c r="U4431" s="5" t="e">
        <f>IF(AND(#REF!&gt;=table!$C$10,#REF!&lt;= table!$D$10),-1,IF(AND(#REF!&gt;=table!$E$10,#REF!&lt;=table!$F$10),1,0))</f>
        <v>#REF!</v>
      </c>
      <c r="V4431" s="5" t="e">
        <f>IF(AND(#REF!&gt;=table!$C$11,#REF!&lt;= table!$D$11),-1,IF(AND(#REF!&gt;=table!$E$11,#REF!&lt;=table!$F$11),1,0))</f>
        <v>#REF!</v>
      </c>
      <c r="W4431" s="5" t="e">
        <f>CONCATENATE(dados[[#This Row],[fator1]],dados[[#This Row],[fator5]],dados[[#This Row],[fator6]])</f>
        <v>#REF!</v>
      </c>
    </row>
    <row r="4432" spans="1:23">
      <c r="A4432" t="s">
        <v>16</v>
      </c>
      <c r="B4432">
        <v>590096</v>
      </c>
      <c r="C4432">
        <v>12</v>
      </c>
      <c r="D4432">
        <v>40</v>
      </c>
      <c r="E4432">
        <v>36</v>
      </c>
      <c r="F4432">
        <v>9</v>
      </c>
      <c r="G4432">
        <v>0</v>
      </c>
      <c r="H4432">
        <v>25</v>
      </c>
      <c r="I4432">
        <v>19</v>
      </c>
      <c r="J4432">
        <v>0</v>
      </c>
      <c r="K4432">
        <v>8.57</v>
      </c>
      <c r="L4432">
        <v>19.907</v>
      </c>
      <c r="M4432">
        <v>28.772000000000002</v>
      </c>
      <c r="N4432">
        <v>21.05</v>
      </c>
      <c r="O4432">
        <v>1679</v>
      </c>
      <c r="P4432">
        <v>0</v>
      </c>
      <c r="Q4432" s="5" t="e">
        <f>IF(AND(#REF!&gt;=table!$C$6,#REF!&lt;= table!$D$6),-1,IF(AND(#REF!&gt;=table!$E$6,#REF!&lt;=table!$F$6),1,0))</f>
        <v>#REF!</v>
      </c>
      <c r="R4432" s="5" t="e">
        <f>IF(AND(#REF!&gt;=table!$C$7,#REF!&lt;= table!$D$7),-1,IF(AND(#REF!&gt;=table!$E$7,#REF!&lt;=table!$F$7),1,0))</f>
        <v>#REF!</v>
      </c>
      <c r="S4432" s="5" t="e">
        <f>IF(AND(#REF!&gt;=table!$C$8,#REF!&lt;= table!$D$8),-1,IF(AND(#REF!&gt;=table!$E$8,#REF!&lt;=table!$F$8),1,0))</f>
        <v>#REF!</v>
      </c>
      <c r="T4432" s="5"/>
      <c r="U4432" s="5" t="e">
        <f>IF(AND(#REF!&gt;=table!$C$10,#REF!&lt;= table!$D$10),-1,IF(AND(#REF!&gt;=table!$E$10,#REF!&lt;=table!$F$10),1,0))</f>
        <v>#REF!</v>
      </c>
      <c r="V4432" s="5" t="e">
        <f>IF(AND(#REF!&gt;=table!$C$11,#REF!&lt;= table!$D$11),-1,IF(AND(#REF!&gt;=table!$E$11,#REF!&lt;=table!$F$11),1,0))</f>
        <v>#REF!</v>
      </c>
      <c r="W4432" s="5" t="e">
        <f>CONCATENATE(dados[[#This Row],[fator1]],dados[[#This Row],[fator5]],dados[[#This Row],[fator6]])</f>
        <v>#REF!</v>
      </c>
    </row>
    <row r="4433" spans="1:23">
      <c r="A4433" t="s">
        <v>16</v>
      </c>
      <c r="B4433">
        <v>590097</v>
      </c>
      <c r="C4433">
        <v>12</v>
      </c>
      <c r="D4433">
        <v>40</v>
      </c>
      <c r="E4433">
        <v>36</v>
      </c>
      <c r="F4433">
        <v>9</v>
      </c>
      <c r="G4433">
        <v>0</v>
      </c>
      <c r="H4433">
        <v>25</v>
      </c>
      <c r="I4433">
        <v>0</v>
      </c>
      <c r="J4433">
        <v>0</v>
      </c>
      <c r="K4433">
        <v>4.8624999999999998</v>
      </c>
      <c r="L4433">
        <v>14.660500000000001</v>
      </c>
      <c r="M4433">
        <v>25.318000000000001</v>
      </c>
      <c r="N4433">
        <v>19.965</v>
      </c>
      <c r="O4433">
        <v>1670</v>
      </c>
      <c r="P4433">
        <v>0</v>
      </c>
      <c r="Q4433" s="5" t="e">
        <f>IF(AND(#REF!&gt;=table!$C$6,#REF!&lt;= table!$D$6),-1,IF(AND(#REF!&gt;=table!$E$6,#REF!&lt;=table!$F$6),1,0))</f>
        <v>#REF!</v>
      </c>
      <c r="R4433" s="5" t="e">
        <f>IF(AND(#REF!&gt;=table!$C$7,#REF!&lt;= table!$D$7),-1,IF(AND(#REF!&gt;=table!$E$7,#REF!&lt;=table!$F$7),1,0))</f>
        <v>#REF!</v>
      </c>
      <c r="S4433" s="5" t="e">
        <f>IF(AND(#REF!&gt;=table!$C$8,#REF!&lt;= table!$D$8),-1,IF(AND(#REF!&gt;=table!$E$8,#REF!&lt;=table!$F$8),1,0))</f>
        <v>#REF!</v>
      </c>
      <c r="T4433" s="5"/>
      <c r="U4433" s="5" t="e">
        <f>IF(AND(#REF!&gt;=table!$C$10,#REF!&lt;= table!$D$10),-1,IF(AND(#REF!&gt;=table!$E$10,#REF!&lt;=table!$F$10),1,0))</f>
        <v>#REF!</v>
      </c>
      <c r="V4433" s="5" t="e">
        <f>IF(AND(#REF!&gt;=table!$C$11,#REF!&lt;= table!$D$11),-1,IF(AND(#REF!&gt;=table!$E$11,#REF!&lt;=table!$F$11),1,0))</f>
        <v>#REF!</v>
      </c>
      <c r="W4433" s="5" t="e">
        <f>CONCATENATE(dados[[#This Row],[fator1]],dados[[#This Row],[fator5]],dados[[#This Row],[fator6]])</f>
        <v>#REF!</v>
      </c>
    </row>
    <row r="4434" spans="1:23">
      <c r="A4434" t="s">
        <v>17</v>
      </c>
      <c r="B4434">
        <v>590101</v>
      </c>
      <c r="C4434">
        <v>7</v>
      </c>
      <c r="D4434">
        <v>20</v>
      </c>
      <c r="E4434">
        <v>120</v>
      </c>
      <c r="F4434">
        <v>4</v>
      </c>
      <c r="G4434">
        <v>105</v>
      </c>
      <c r="H4434">
        <v>25</v>
      </c>
      <c r="I4434">
        <v>1506</v>
      </c>
      <c r="J4434">
        <v>0</v>
      </c>
      <c r="K4434">
        <v>5.141</v>
      </c>
      <c r="L4434">
        <v>7.8005000000000004</v>
      </c>
      <c r="M4434">
        <v>105.8095</v>
      </c>
      <c r="N4434">
        <v>12.685</v>
      </c>
      <c r="O4434">
        <v>1672</v>
      </c>
      <c r="P4434">
        <v>820</v>
      </c>
      <c r="Q4434" s="5" t="e">
        <f>IF(AND(#REF!&gt;=table!$C$6,#REF!&lt;= table!$D$6),-1,IF(AND(#REF!&gt;=table!$E$6,#REF!&lt;=table!$F$6),1,0))</f>
        <v>#REF!</v>
      </c>
      <c r="R4434" s="5" t="e">
        <f>IF(AND(#REF!&gt;=table!$C$7,#REF!&lt;= table!$D$7),-1,IF(AND(#REF!&gt;=table!$E$7,#REF!&lt;=table!$F$7),1,0))</f>
        <v>#REF!</v>
      </c>
      <c r="S4434" s="5" t="e">
        <f>IF(AND(#REF!&gt;=table!$C$8,#REF!&lt;= table!$D$8),-1,IF(AND(#REF!&gt;=table!$E$8,#REF!&lt;=table!$F$8),1,0))</f>
        <v>#REF!</v>
      </c>
      <c r="T4434" s="5"/>
      <c r="U4434" s="5" t="e">
        <f>IF(AND(#REF!&gt;=table!$C$10,#REF!&lt;= table!$D$10),-1,IF(AND(#REF!&gt;=table!$E$10,#REF!&lt;=table!$F$10),1,0))</f>
        <v>#REF!</v>
      </c>
      <c r="V4434" s="5" t="e">
        <f>IF(AND(#REF!&gt;=table!$C$11,#REF!&lt;= table!$D$11),-1,IF(AND(#REF!&gt;=table!$E$11,#REF!&lt;=table!$F$11),1,0))</f>
        <v>#REF!</v>
      </c>
      <c r="W4434" s="5" t="e">
        <f>CONCATENATE(dados[[#This Row],[fator1]],dados[[#This Row],[fator5]],dados[[#This Row],[fator6]])</f>
        <v>#REF!</v>
      </c>
    </row>
    <row r="4435" spans="1:23">
      <c r="A4435" t="s">
        <v>17</v>
      </c>
      <c r="B4435">
        <v>590102</v>
      </c>
      <c r="C4435">
        <v>7</v>
      </c>
      <c r="D4435">
        <v>35</v>
      </c>
      <c r="E4435">
        <v>200</v>
      </c>
      <c r="F4435">
        <v>8</v>
      </c>
      <c r="G4435">
        <v>50</v>
      </c>
      <c r="H4435">
        <v>25</v>
      </c>
      <c r="I4435">
        <v>2</v>
      </c>
      <c r="J4435">
        <v>0</v>
      </c>
      <c r="K4435">
        <v>3.2770000000000001</v>
      </c>
      <c r="L4435">
        <v>7.117</v>
      </c>
      <c r="M4435">
        <v>183.721</v>
      </c>
      <c r="N4435">
        <v>14.495000000000001</v>
      </c>
      <c r="O4435">
        <v>1672</v>
      </c>
      <c r="P4435">
        <v>1326</v>
      </c>
      <c r="Q4435" s="5" t="e">
        <f>IF(AND(#REF!&gt;=table!$C$6,#REF!&lt;= table!$D$6),-1,IF(AND(#REF!&gt;=table!$E$6,#REF!&lt;=table!$F$6),1,0))</f>
        <v>#REF!</v>
      </c>
      <c r="R4435" s="5" t="e">
        <f>IF(AND(#REF!&gt;=table!$C$7,#REF!&lt;= table!$D$7),-1,IF(AND(#REF!&gt;=table!$E$7,#REF!&lt;=table!$F$7),1,0))</f>
        <v>#REF!</v>
      </c>
      <c r="S4435" s="5" t="e">
        <f>IF(AND(#REF!&gt;=table!$C$8,#REF!&lt;= table!$D$8),-1,IF(AND(#REF!&gt;=table!$E$8,#REF!&lt;=table!$F$8),1,0))</f>
        <v>#REF!</v>
      </c>
      <c r="T4435" s="5"/>
      <c r="U4435" s="5" t="e">
        <f>IF(AND(#REF!&gt;=table!$C$10,#REF!&lt;= table!$D$10),-1,IF(AND(#REF!&gt;=table!$E$10,#REF!&lt;=table!$F$10),1,0))</f>
        <v>#REF!</v>
      </c>
      <c r="V4435" s="5" t="e">
        <f>IF(AND(#REF!&gt;=table!$C$11,#REF!&lt;= table!$D$11),-1,IF(AND(#REF!&gt;=table!$E$11,#REF!&lt;=table!$F$11),1,0))</f>
        <v>#REF!</v>
      </c>
      <c r="W4435" s="5" t="e">
        <f>CONCATENATE(dados[[#This Row],[fator1]],dados[[#This Row],[fator5]],dados[[#This Row],[fator6]])</f>
        <v>#REF!</v>
      </c>
    </row>
    <row r="4436" spans="1:23">
      <c r="A4436" t="s">
        <v>17</v>
      </c>
      <c r="B4436">
        <v>590104</v>
      </c>
      <c r="C4436">
        <v>14</v>
      </c>
      <c r="D4436">
        <v>30</v>
      </c>
      <c r="E4436">
        <v>86</v>
      </c>
      <c r="F4436">
        <v>9</v>
      </c>
      <c r="G4436">
        <v>20</v>
      </c>
      <c r="H4436">
        <v>25</v>
      </c>
      <c r="I4436">
        <v>42</v>
      </c>
      <c r="J4436">
        <v>0</v>
      </c>
      <c r="K4436">
        <v>6.9980000000000002</v>
      </c>
      <c r="L4436">
        <v>11.015000000000001</v>
      </c>
      <c r="M4436">
        <v>79.885500000000008</v>
      </c>
      <c r="N4436">
        <v>16.440000000000001</v>
      </c>
      <c r="O4436">
        <v>1680</v>
      </c>
      <c r="P4436">
        <v>623</v>
      </c>
      <c r="Q4436" s="5" t="e">
        <f>IF(AND(#REF!&gt;=table!$C$6,#REF!&lt;= table!$D$6),-1,IF(AND(#REF!&gt;=table!$E$6,#REF!&lt;=table!$F$6),1,0))</f>
        <v>#REF!</v>
      </c>
      <c r="R4436" s="5" t="e">
        <f>IF(AND(#REF!&gt;=table!$C$7,#REF!&lt;= table!$D$7),-1,IF(AND(#REF!&gt;=table!$E$7,#REF!&lt;=table!$F$7),1,0))</f>
        <v>#REF!</v>
      </c>
      <c r="S4436" s="5" t="e">
        <f>IF(AND(#REF!&gt;=table!$C$8,#REF!&lt;= table!$D$8),-1,IF(AND(#REF!&gt;=table!$E$8,#REF!&lt;=table!$F$8),1,0))</f>
        <v>#REF!</v>
      </c>
      <c r="T4436" s="5"/>
      <c r="U4436" s="5" t="e">
        <f>IF(AND(#REF!&gt;=table!$C$10,#REF!&lt;= table!$D$10),-1,IF(AND(#REF!&gt;=table!$E$10,#REF!&lt;=table!$F$10),1,0))</f>
        <v>#REF!</v>
      </c>
      <c r="V4436" s="5" t="e">
        <f>IF(AND(#REF!&gt;=table!$C$11,#REF!&lt;= table!$D$11),-1,IF(AND(#REF!&gt;=table!$E$11,#REF!&lt;=table!$F$11),1,0))</f>
        <v>#REF!</v>
      </c>
      <c r="W4436" s="5" t="e">
        <f>CONCATENATE(dados[[#This Row],[fator1]],dados[[#This Row],[fator5]],dados[[#This Row],[fator6]])</f>
        <v>#REF!</v>
      </c>
    </row>
    <row r="4437" spans="1:23">
      <c r="A4437" t="s">
        <v>17</v>
      </c>
      <c r="B4437">
        <v>590105</v>
      </c>
      <c r="C4437">
        <v>14</v>
      </c>
      <c r="D4437">
        <v>30</v>
      </c>
      <c r="E4437">
        <v>86</v>
      </c>
      <c r="F4437">
        <v>9</v>
      </c>
      <c r="G4437">
        <v>20</v>
      </c>
      <c r="H4437">
        <v>25</v>
      </c>
      <c r="I4437">
        <v>5</v>
      </c>
      <c r="J4437">
        <v>0</v>
      </c>
      <c r="K4437">
        <v>4.194</v>
      </c>
      <c r="L4437">
        <v>12.027000000000001</v>
      </c>
      <c r="M4437">
        <v>80.945000000000007</v>
      </c>
      <c r="N4437">
        <v>18.45</v>
      </c>
      <c r="O4437">
        <v>1685</v>
      </c>
      <c r="P4437">
        <v>860</v>
      </c>
      <c r="Q4437" s="5" t="e">
        <f>IF(AND(#REF!&gt;=table!$C$6,#REF!&lt;= table!$D$6),-1,IF(AND(#REF!&gt;=table!$E$6,#REF!&lt;=table!$F$6),1,0))</f>
        <v>#REF!</v>
      </c>
      <c r="R4437" s="5" t="e">
        <f>IF(AND(#REF!&gt;=table!$C$7,#REF!&lt;= table!$D$7),-1,IF(AND(#REF!&gt;=table!$E$7,#REF!&lt;=table!$F$7),1,0))</f>
        <v>#REF!</v>
      </c>
      <c r="S4437" s="5" t="e">
        <f>IF(AND(#REF!&gt;=table!$C$8,#REF!&lt;= table!$D$8),-1,IF(AND(#REF!&gt;=table!$E$8,#REF!&lt;=table!$F$8),1,0))</f>
        <v>#REF!</v>
      </c>
      <c r="T4437" s="5"/>
      <c r="U4437" s="5" t="e">
        <f>IF(AND(#REF!&gt;=table!$C$10,#REF!&lt;= table!$D$10),-1,IF(AND(#REF!&gt;=table!$E$10,#REF!&lt;=table!$F$10),1,0))</f>
        <v>#REF!</v>
      </c>
      <c r="V4437" s="5" t="e">
        <f>IF(AND(#REF!&gt;=table!$C$11,#REF!&lt;= table!$D$11),-1,IF(AND(#REF!&gt;=table!$E$11,#REF!&lt;=table!$F$11),1,0))</f>
        <v>#REF!</v>
      </c>
      <c r="W4437" s="5" t="e">
        <f>CONCATENATE(dados[[#This Row],[fator1]],dados[[#This Row],[fator5]],dados[[#This Row],[fator6]])</f>
        <v>#REF!</v>
      </c>
    </row>
    <row r="4438" spans="1:23">
      <c r="A4438" t="s">
        <v>17</v>
      </c>
      <c r="B4438">
        <v>590106</v>
      </c>
      <c r="C4438">
        <v>10</v>
      </c>
      <c r="D4438">
        <v>25</v>
      </c>
      <c r="E4438">
        <v>156</v>
      </c>
      <c r="F4438">
        <v>8</v>
      </c>
      <c r="G4438">
        <v>20</v>
      </c>
      <c r="H4438">
        <v>25</v>
      </c>
      <c r="I4438">
        <v>0</v>
      </c>
      <c r="J4438">
        <v>0</v>
      </c>
      <c r="K4438">
        <v>3.1154999999999999</v>
      </c>
      <c r="L4438">
        <v>10.945</v>
      </c>
      <c r="M4438">
        <v>149.97300000000001</v>
      </c>
      <c r="N4438">
        <v>17.54</v>
      </c>
      <c r="O4438">
        <v>1699</v>
      </c>
      <c r="P4438">
        <v>0</v>
      </c>
      <c r="Q4438" s="5" t="e">
        <f>IF(AND(#REF!&gt;=table!$C$6,#REF!&lt;= table!$D$6),-1,IF(AND(#REF!&gt;=table!$E$6,#REF!&lt;=table!$F$6),1,0))</f>
        <v>#REF!</v>
      </c>
      <c r="R4438" s="5" t="e">
        <f>IF(AND(#REF!&gt;=table!$C$7,#REF!&lt;= table!$D$7),-1,IF(AND(#REF!&gt;=table!$E$7,#REF!&lt;=table!$F$7),1,0))</f>
        <v>#REF!</v>
      </c>
      <c r="S4438" s="5" t="e">
        <f>IF(AND(#REF!&gt;=table!$C$8,#REF!&lt;= table!$D$8),-1,IF(AND(#REF!&gt;=table!$E$8,#REF!&lt;=table!$F$8),1,0))</f>
        <v>#REF!</v>
      </c>
      <c r="T4438" s="5"/>
      <c r="U4438" s="5" t="e">
        <f>IF(AND(#REF!&gt;=table!$C$10,#REF!&lt;= table!$D$10),-1,IF(AND(#REF!&gt;=table!$E$10,#REF!&lt;=table!$F$10),1,0))</f>
        <v>#REF!</v>
      </c>
      <c r="V4438" s="5" t="e">
        <f>IF(AND(#REF!&gt;=table!$C$11,#REF!&lt;= table!$D$11),-1,IF(AND(#REF!&gt;=table!$E$11,#REF!&lt;=table!$F$11),1,0))</f>
        <v>#REF!</v>
      </c>
      <c r="W4438" s="5" t="e">
        <f>CONCATENATE(dados[[#This Row],[fator1]],dados[[#This Row],[fator5]],dados[[#This Row],[fator6]])</f>
        <v>#REF!</v>
      </c>
    </row>
    <row r="4439" spans="1:23">
      <c r="A4439" t="s">
        <v>17</v>
      </c>
      <c r="B4439">
        <v>590107</v>
      </c>
      <c r="C4439">
        <v>10</v>
      </c>
      <c r="D4439">
        <v>25</v>
      </c>
      <c r="E4439">
        <v>156</v>
      </c>
      <c r="F4439">
        <v>8</v>
      </c>
      <c r="G4439">
        <v>20</v>
      </c>
      <c r="H4439">
        <v>25</v>
      </c>
      <c r="I4439">
        <v>6</v>
      </c>
      <c r="J4439">
        <v>860</v>
      </c>
      <c r="K4439">
        <v>2.6025</v>
      </c>
      <c r="L4439">
        <v>8.8949999999999996</v>
      </c>
      <c r="M4439">
        <v>137.761</v>
      </c>
      <c r="N4439">
        <v>15.540000000000001</v>
      </c>
      <c r="O4439">
        <v>1657</v>
      </c>
      <c r="P4439">
        <v>827</v>
      </c>
      <c r="Q4439" s="5" t="e">
        <f>IF(AND(#REF!&gt;=table!$C$6,#REF!&lt;= table!$D$6),-1,IF(AND(#REF!&gt;=table!$E$6,#REF!&lt;=table!$F$6),1,0))</f>
        <v>#REF!</v>
      </c>
      <c r="R4439" s="5" t="e">
        <f>IF(AND(#REF!&gt;=table!$C$7,#REF!&lt;= table!$D$7),-1,IF(AND(#REF!&gt;=table!$E$7,#REF!&lt;=table!$F$7),1,0))</f>
        <v>#REF!</v>
      </c>
      <c r="S4439" s="5" t="e">
        <f>IF(AND(#REF!&gt;=table!$C$8,#REF!&lt;= table!$D$8),-1,IF(AND(#REF!&gt;=table!$E$8,#REF!&lt;=table!$F$8),1,0))</f>
        <v>#REF!</v>
      </c>
      <c r="T4439" s="5"/>
      <c r="U4439" s="5" t="e">
        <f>IF(AND(#REF!&gt;=table!$C$10,#REF!&lt;= table!$D$10),-1,IF(AND(#REF!&gt;=table!$E$10,#REF!&lt;=table!$F$10),1,0))</f>
        <v>#REF!</v>
      </c>
      <c r="V4439" s="5" t="e">
        <f>IF(AND(#REF!&gt;=table!$C$11,#REF!&lt;= table!$D$11),-1,IF(AND(#REF!&gt;=table!$E$11,#REF!&lt;=table!$F$11),1,0))</f>
        <v>#REF!</v>
      </c>
      <c r="W4439" s="5" t="e">
        <f>CONCATENATE(dados[[#This Row],[fator1]],dados[[#This Row],[fator5]],dados[[#This Row],[fator6]])</f>
        <v>#REF!</v>
      </c>
    </row>
    <row r="4440" spans="1:23">
      <c r="A4440" t="s">
        <v>17</v>
      </c>
      <c r="B4440">
        <v>590108</v>
      </c>
      <c r="C4440">
        <v>46</v>
      </c>
      <c r="D4440">
        <v>18</v>
      </c>
      <c r="E4440">
        <v>66</v>
      </c>
      <c r="F4440">
        <v>6</v>
      </c>
      <c r="G4440">
        <v>20</v>
      </c>
      <c r="H4440">
        <v>23</v>
      </c>
      <c r="I4440">
        <v>3</v>
      </c>
      <c r="J4440">
        <v>970</v>
      </c>
      <c r="K4440">
        <v>8.0470000000000006</v>
      </c>
      <c r="L4440">
        <v>24.6815</v>
      </c>
      <c r="M4440">
        <v>68.630499999999998</v>
      </c>
      <c r="N4440">
        <v>20.88</v>
      </c>
      <c r="O4440">
        <v>1671</v>
      </c>
      <c r="P4440">
        <v>413</v>
      </c>
      <c r="Q4440" s="5" t="e">
        <f>IF(AND(#REF!&gt;=table!$C$6,#REF!&lt;= table!$D$6),-1,IF(AND(#REF!&gt;=table!$E$6,#REF!&lt;=table!$F$6),1,0))</f>
        <v>#REF!</v>
      </c>
      <c r="R4440" s="5" t="e">
        <f>IF(AND(#REF!&gt;=table!$C$7,#REF!&lt;= table!$D$7),-1,IF(AND(#REF!&gt;=table!$E$7,#REF!&lt;=table!$F$7),1,0))</f>
        <v>#REF!</v>
      </c>
      <c r="S4440" s="5" t="e">
        <f>IF(AND(#REF!&gt;=table!$C$8,#REF!&lt;= table!$D$8),-1,IF(AND(#REF!&gt;=table!$E$8,#REF!&lt;=table!$F$8),1,0))</f>
        <v>#REF!</v>
      </c>
      <c r="T4440" s="5"/>
      <c r="U4440" s="5" t="e">
        <f>IF(AND(#REF!&gt;=table!$C$10,#REF!&lt;= table!$D$10),-1,IF(AND(#REF!&gt;=table!$E$10,#REF!&lt;=table!$F$10),1,0))</f>
        <v>#REF!</v>
      </c>
      <c r="V4440" s="5" t="e">
        <f>IF(AND(#REF!&gt;=table!$C$11,#REF!&lt;= table!$D$11),-1,IF(AND(#REF!&gt;=table!$E$11,#REF!&lt;=table!$F$11),1,0))</f>
        <v>#REF!</v>
      </c>
      <c r="W4440" s="5" t="e">
        <f>CONCATENATE(dados[[#This Row],[fator1]],dados[[#This Row],[fator5]],dados[[#This Row],[fator6]])</f>
        <v>#REF!</v>
      </c>
    </row>
    <row r="4441" spans="1:23">
      <c r="A4441" t="s">
        <v>17</v>
      </c>
      <c r="B4441">
        <v>590109</v>
      </c>
      <c r="C4441">
        <v>46</v>
      </c>
      <c r="D4441">
        <v>18</v>
      </c>
      <c r="E4441">
        <v>66</v>
      </c>
      <c r="F4441">
        <v>10</v>
      </c>
      <c r="G4441">
        <v>20</v>
      </c>
      <c r="H4441">
        <v>23</v>
      </c>
      <c r="I4441">
        <v>785</v>
      </c>
      <c r="J4441">
        <v>0</v>
      </c>
      <c r="K4441">
        <v>6.47</v>
      </c>
      <c r="L4441">
        <v>10.236000000000001</v>
      </c>
      <c r="M4441">
        <v>83.600500000000011</v>
      </c>
      <c r="N4441">
        <v>10.72</v>
      </c>
      <c r="O4441">
        <v>1647</v>
      </c>
      <c r="P4441">
        <v>541</v>
      </c>
      <c r="Q4441" s="5" t="e">
        <f>IF(AND(#REF!&gt;=table!$C$6,#REF!&lt;= table!$D$6),-1,IF(AND(#REF!&gt;=table!$E$6,#REF!&lt;=table!$F$6),1,0))</f>
        <v>#REF!</v>
      </c>
      <c r="R4441" s="5" t="e">
        <f>IF(AND(#REF!&gt;=table!$C$7,#REF!&lt;= table!$D$7),-1,IF(AND(#REF!&gt;=table!$E$7,#REF!&lt;=table!$F$7),1,0))</f>
        <v>#REF!</v>
      </c>
      <c r="S4441" s="5" t="e">
        <f>IF(AND(#REF!&gt;=table!$C$8,#REF!&lt;= table!$D$8),-1,IF(AND(#REF!&gt;=table!$E$8,#REF!&lt;=table!$F$8),1,0))</f>
        <v>#REF!</v>
      </c>
      <c r="T4441" s="5"/>
      <c r="U4441" s="5" t="e">
        <f>IF(AND(#REF!&gt;=table!$C$10,#REF!&lt;= table!$D$10),-1,IF(AND(#REF!&gt;=table!$E$10,#REF!&lt;=table!$F$10),1,0))</f>
        <v>#REF!</v>
      </c>
      <c r="V4441" s="5" t="e">
        <f>IF(AND(#REF!&gt;=table!$C$11,#REF!&lt;= table!$D$11),-1,IF(AND(#REF!&gt;=table!$E$11,#REF!&lt;=table!$F$11),1,0))</f>
        <v>#REF!</v>
      </c>
      <c r="W4441" s="5" t="e">
        <f>CONCATENATE(dados[[#This Row],[fator1]],dados[[#This Row],[fator5]],dados[[#This Row],[fator6]])</f>
        <v>#REF!</v>
      </c>
    </row>
    <row r="4442" spans="1:23">
      <c r="A4442" t="s">
        <v>16</v>
      </c>
      <c r="B4442">
        <v>590116</v>
      </c>
      <c r="C4442">
        <v>0.15</v>
      </c>
      <c r="D4442">
        <v>40</v>
      </c>
      <c r="E4442">
        <v>10</v>
      </c>
      <c r="F4442">
        <v>15</v>
      </c>
      <c r="G4442">
        <v>0</v>
      </c>
      <c r="H4442">
        <v>15</v>
      </c>
      <c r="I4442">
        <v>441</v>
      </c>
      <c r="J4442">
        <v>840</v>
      </c>
      <c r="K4442">
        <v>6.2265000000000006</v>
      </c>
      <c r="L4442">
        <v>18.648500000000002</v>
      </c>
      <c r="M4442">
        <v>10.998000000000001</v>
      </c>
      <c r="N4442">
        <v>16.145</v>
      </c>
      <c r="O4442">
        <v>1682</v>
      </c>
      <c r="P4442">
        <v>0</v>
      </c>
      <c r="Q4442" s="5" t="e">
        <f>IF(AND(#REF!&gt;=table!$C$6,#REF!&lt;= table!$D$6),-1,IF(AND(#REF!&gt;=table!$E$6,#REF!&lt;=table!$F$6),1,0))</f>
        <v>#REF!</v>
      </c>
      <c r="R4442" s="5" t="e">
        <f>IF(AND(#REF!&gt;=table!$C$7,#REF!&lt;= table!$D$7),-1,IF(AND(#REF!&gt;=table!$E$7,#REF!&lt;=table!$F$7),1,0))</f>
        <v>#REF!</v>
      </c>
      <c r="S4442" s="5" t="e">
        <f>IF(AND(#REF!&gt;=table!$C$8,#REF!&lt;= table!$D$8),-1,IF(AND(#REF!&gt;=table!$E$8,#REF!&lt;=table!$F$8),1,0))</f>
        <v>#REF!</v>
      </c>
      <c r="T4442" s="5"/>
      <c r="U4442" s="5" t="e">
        <f>IF(AND(#REF!&gt;=table!$C$10,#REF!&lt;= table!$D$10),-1,IF(AND(#REF!&gt;=table!$E$10,#REF!&lt;=table!$F$10),1,0))</f>
        <v>#REF!</v>
      </c>
      <c r="V4442" s="5" t="e">
        <f>IF(AND(#REF!&gt;=table!$C$11,#REF!&lt;= table!$D$11),-1,IF(AND(#REF!&gt;=table!$E$11,#REF!&lt;=table!$F$11),1,0))</f>
        <v>#REF!</v>
      </c>
      <c r="W4442" s="5" t="e">
        <f>CONCATENATE(dados[[#This Row],[fator1]],dados[[#This Row],[fator5]],dados[[#This Row],[fator6]])</f>
        <v>#REF!</v>
      </c>
    </row>
    <row r="4443" spans="1:23">
      <c r="A4443" t="s">
        <v>16</v>
      </c>
      <c r="B4443">
        <v>590117</v>
      </c>
      <c r="C4443">
        <v>4</v>
      </c>
      <c r="D4443">
        <v>40</v>
      </c>
      <c r="E4443">
        <v>21</v>
      </c>
      <c r="F4443">
        <v>20</v>
      </c>
      <c r="G4443">
        <v>0</v>
      </c>
      <c r="H4443">
        <v>25</v>
      </c>
      <c r="I4443">
        <v>93</v>
      </c>
      <c r="J4443">
        <v>0</v>
      </c>
      <c r="K4443">
        <v>6.3840000000000003</v>
      </c>
      <c r="L4443">
        <v>12.969000000000001</v>
      </c>
      <c r="M4443">
        <v>11.6995</v>
      </c>
      <c r="N4443">
        <v>13.975000000000001</v>
      </c>
      <c r="O4443">
        <v>1680</v>
      </c>
      <c r="P4443">
        <v>644</v>
      </c>
      <c r="Q4443" s="5" t="e">
        <f>IF(AND(#REF!&gt;=table!$C$6,#REF!&lt;= table!$D$6),-1,IF(AND(#REF!&gt;=table!$E$6,#REF!&lt;=table!$F$6),1,0))</f>
        <v>#REF!</v>
      </c>
      <c r="R4443" s="5" t="e">
        <f>IF(AND(#REF!&gt;=table!$C$7,#REF!&lt;= table!$D$7),-1,IF(AND(#REF!&gt;=table!$E$7,#REF!&lt;=table!$F$7),1,0))</f>
        <v>#REF!</v>
      </c>
      <c r="S4443" s="5" t="e">
        <f>IF(AND(#REF!&gt;=table!$C$8,#REF!&lt;= table!$D$8),-1,IF(AND(#REF!&gt;=table!$E$8,#REF!&lt;=table!$F$8),1,0))</f>
        <v>#REF!</v>
      </c>
      <c r="T4443" s="5"/>
      <c r="U4443" s="5" t="e">
        <f>IF(AND(#REF!&gt;=table!$C$10,#REF!&lt;= table!$D$10),-1,IF(AND(#REF!&gt;=table!$E$10,#REF!&lt;=table!$F$10),1,0))</f>
        <v>#REF!</v>
      </c>
      <c r="V4443" s="5" t="e">
        <f>IF(AND(#REF!&gt;=table!$C$11,#REF!&lt;= table!$D$11),-1,IF(AND(#REF!&gt;=table!$E$11,#REF!&lt;=table!$F$11),1,0))</f>
        <v>#REF!</v>
      </c>
      <c r="W4443" s="5" t="e">
        <f>CONCATENATE(dados[[#This Row],[fator1]],dados[[#This Row],[fator5]],dados[[#This Row],[fator6]])</f>
        <v>#REF!</v>
      </c>
    </row>
    <row r="4444" spans="1:23">
      <c r="A4444" t="s">
        <v>16</v>
      </c>
      <c r="B4444">
        <v>590124</v>
      </c>
      <c r="C4444">
        <v>0.1</v>
      </c>
      <c r="D4444">
        <v>40</v>
      </c>
      <c r="E4444">
        <v>10</v>
      </c>
      <c r="F4444">
        <v>8</v>
      </c>
      <c r="G4444">
        <v>0</v>
      </c>
      <c r="H4444">
        <v>10</v>
      </c>
      <c r="I4444">
        <v>604</v>
      </c>
      <c r="J4444">
        <v>0</v>
      </c>
      <c r="K4444">
        <v>5.117</v>
      </c>
      <c r="L4444">
        <v>11.537500000000001</v>
      </c>
      <c r="M4444">
        <v>10.1555</v>
      </c>
      <c r="N4444">
        <v>11.545</v>
      </c>
      <c r="O4444">
        <v>1683</v>
      </c>
      <c r="P4444">
        <v>737</v>
      </c>
      <c r="Q4444" s="5" t="e">
        <f>IF(AND(#REF!&gt;=table!$C$6,#REF!&lt;= table!$D$6),-1,IF(AND(#REF!&gt;=table!$E$6,#REF!&lt;=table!$F$6),1,0))</f>
        <v>#REF!</v>
      </c>
      <c r="R4444" s="5" t="e">
        <f>IF(AND(#REF!&gt;=table!$C$7,#REF!&lt;= table!$D$7),-1,IF(AND(#REF!&gt;=table!$E$7,#REF!&lt;=table!$F$7),1,0))</f>
        <v>#REF!</v>
      </c>
      <c r="S4444" s="5" t="e">
        <f>IF(AND(#REF!&gt;=table!$C$8,#REF!&lt;= table!$D$8),-1,IF(AND(#REF!&gt;=table!$E$8,#REF!&lt;=table!$F$8),1,0))</f>
        <v>#REF!</v>
      </c>
      <c r="T4444" s="5"/>
      <c r="U4444" s="5" t="e">
        <f>IF(AND(#REF!&gt;=table!$C$10,#REF!&lt;= table!$D$10),-1,IF(AND(#REF!&gt;=table!$E$10,#REF!&lt;=table!$F$10),1,0))</f>
        <v>#REF!</v>
      </c>
      <c r="V4444" s="5" t="e">
        <f>IF(AND(#REF!&gt;=table!$C$11,#REF!&lt;= table!$D$11),-1,IF(AND(#REF!&gt;=table!$E$11,#REF!&lt;=table!$F$11),1,0))</f>
        <v>#REF!</v>
      </c>
      <c r="W4444" s="5" t="e">
        <f>CONCATENATE(dados[[#This Row],[fator1]],dados[[#This Row],[fator5]],dados[[#This Row],[fator6]])</f>
        <v>#REF!</v>
      </c>
    </row>
    <row r="4445" spans="1:23">
      <c r="A4445" t="s">
        <v>17</v>
      </c>
      <c r="B4445">
        <v>590132</v>
      </c>
      <c r="C4445">
        <v>14</v>
      </c>
      <c r="D4445">
        <v>30</v>
      </c>
      <c r="E4445">
        <v>66</v>
      </c>
      <c r="F4445">
        <v>9</v>
      </c>
      <c r="G4445">
        <v>20</v>
      </c>
      <c r="H4445">
        <v>25</v>
      </c>
      <c r="I4445">
        <v>74</v>
      </c>
      <c r="J4445">
        <v>0</v>
      </c>
      <c r="K4445">
        <v>15.311</v>
      </c>
      <c r="L4445">
        <v>20.798999999999999</v>
      </c>
      <c r="M4445">
        <v>50.147500000000001</v>
      </c>
      <c r="N4445">
        <v>23.46</v>
      </c>
      <c r="O4445">
        <v>1682</v>
      </c>
      <c r="P4445">
        <v>0</v>
      </c>
      <c r="Q4445" s="5" t="e">
        <f>IF(AND(#REF!&gt;=table!$C$6,#REF!&lt;= table!$D$6),-1,IF(AND(#REF!&gt;=table!$E$6,#REF!&lt;=table!$F$6),1,0))</f>
        <v>#REF!</v>
      </c>
      <c r="R4445" s="5" t="e">
        <f>IF(AND(#REF!&gt;=table!$C$7,#REF!&lt;= table!$D$7),-1,IF(AND(#REF!&gt;=table!$E$7,#REF!&lt;=table!$F$7),1,0))</f>
        <v>#REF!</v>
      </c>
      <c r="S4445" s="5" t="e">
        <f>IF(AND(#REF!&gt;=table!$C$8,#REF!&lt;= table!$D$8),-1,IF(AND(#REF!&gt;=table!$E$8,#REF!&lt;=table!$F$8),1,0))</f>
        <v>#REF!</v>
      </c>
      <c r="T4445" s="5"/>
      <c r="U4445" s="5" t="e">
        <f>IF(AND(#REF!&gt;=table!$C$10,#REF!&lt;= table!$D$10),-1,IF(AND(#REF!&gt;=table!$E$10,#REF!&lt;=table!$F$10),1,0))</f>
        <v>#REF!</v>
      </c>
      <c r="V4445" s="5" t="e">
        <f>IF(AND(#REF!&gt;=table!$C$11,#REF!&lt;= table!$D$11),-1,IF(AND(#REF!&gt;=table!$E$11,#REF!&lt;=table!$F$11),1,0))</f>
        <v>#REF!</v>
      </c>
      <c r="W4445" s="5" t="e">
        <f>CONCATENATE(dados[[#This Row],[fator1]],dados[[#This Row],[fator5]],dados[[#This Row],[fator6]])</f>
        <v>#REF!</v>
      </c>
    </row>
    <row r="4446" spans="1:23">
      <c r="A4446" t="s">
        <v>16</v>
      </c>
      <c r="B4446">
        <v>590133</v>
      </c>
      <c r="C4446">
        <v>0.15</v>
      </c>
      <c r="D4446">
        <v>35</v>
      </c>
      <c r="E4446">
        <v>15</v>
      </c>
      <c r="F4446">
        <v>10</v>
      </c>
      <c r="G4446">
        <v>0</v>
      </c>
      <c r="H4446">
        <v>12</v>
      </c>
      <c r="I4446">
        <v>181</v>
      </c>
      <c r="J4446">
        <v>0</v>
      </c>
      <c r="K4446">
        <v>5.8035000000000005</v>
      </c>
      <c r="L4446">
        <v>12.652000000000001</v>
      </c>
      <c r="M4446">
        <v>10.4825</v>
      </c>
      <c r="N4446">
        <v>15.14</v>
      </c>
      <c r="O4446">
        <v>1693</v>
      </c>
      <c r="P4446">
        <v>868</v>
      </c>
      <c r="Q4446" s="5" t="e">
        <f>IF(AND(#REF!&gt;=table!$C$6,#REF!&lt;= table!$D$6),-1,IF(AND(#REF!&gt;=table!$E$6,#REF!&lt;=table!$F$6),1,0))</f>
        <v>#REF!</v>
      </c>
      <c r="R4446" s="5" t="e">
        <f>IF(AND(#REF!&gt;=table!$C$7,#REF!&lt;= table!$D$7),-1,IF(AND(#REF!&gt;=table!$E$7,#REF!&lt;=table!$F$7),1,0))</f>
        <v>#REF!</v>
      </c>
      <c r="S4446" s="5" t="e">
        <f>IF(AND(#REF!&gt;=table!$C$8,#REF!&lt;= table!$D$8),-1,IF(AND(#REF!&gt;=table!$E$8,#REF!&lt;=table!$F$8),1,0))</f>
        <v>#REF!</v>
      </c>
      <c r="T4446" s="5"/>
      <c r="U4446" s="5" t="e">
        <f>IF(AND(#REF!&gt;=table!$C$10,#REF!&lt;= table!$D$10),-1,IF(AND(#REF!&gt;=table!$E$10,#REF!&lt;=table!$F$10),1,0))</f>
        <v>#REF!</v>
      </c>
      <c r="V4446" s="5" t="e">
        <f>IF(AND(#REF!&gt;=table!$C$11,#REF!&lt;= table!$D$11),-1,IF(AND(#REF!&gt;=table!$E$11,#REF!&lt;=table!$F$11),1,0))</f>
        <v>#REF!</v>
      </c>
      <c r="W4446" s="5" t="e">
        <f>CONCATENATE(dados[[#This Row],[fator1]],dados[[#This Row],[fator5]],dados[[#This Row],[fator6]])</f>
        <v>#REF!</v>
      </c>
    </row>
    <row r="4447" spans="1:23">
      <c r="A4447" t="s">
        <v>16</v>
      </c>
      <c r="B4447">
        <v>590134</v>
      </c>
      <c r="C4447">
        <v>0.1</v>
      </c>
      <c r="D4447">
        <v>35</v>
      </c>
      <c r="E4447">
        <v>10</v>
      </c>
      <c r="F4447">
        <v>10</v>
      </c>
      <c r="G4447">
        <v>0</v>
      </c>
      <c r="H4447">
        <v>12</v>
      </c>
      <c r="I4447">
        <v>264</v>
      </c>
      <c r="J4447">
        <v>0</v>
      </c>
      <c r="K4447">
        <v>5.8555000000000001</v>
      </c>
      <c r="L4447">
        <v>7.8815</v>
      </c>
      <c r="M4447">
        <v>7.5420000000000007</v>
      </c>
      <c r="N4447">
        <v>8.52</v>
      </c>
      <c r="O4447">
        <v>1652</v>
      </c>
      <c r="P4447">
        <v>585</v>
      </c>
      <c r="Q4447" s="5" t="e">
        <f>IF(AND(#REF!&gt;=table!$C$6,#REF!&lt;= table!$D$6),-1,IF(AND(#REF!&gt;=table!$E$6,#REF!&lt;=table!$F$6),1,0))</f>
        <v>#REF!</v>
      </c>
      <c r="R4447" s="5" t="e">
        <f>IF(AND(#REF!&gt;=table!$C$7,#REF!&lt;= table!$D$7),-1,IF(AND(#REF!&gt;=table!$E$7,#REF!&lt;=table!$F$7),1,0))</f>
        <v>#REF!</v>
      </c>
      <c r="S4447" s="5" t="e">
        <f>IF(AND(#REF!&gt;=table!$C$8,#REF!&lt;= table!$D$8),-1,IF(AND(#REF!&gt;=table!$E$8,#REF!&lt;=table!$F$8),1,0))</f>
        <v>#REF!</v>
      </c>
      <c r="T4447" s="5"/>
      <c r="U4447" s="5" t="e">
        <f>IF(AND(#REF!&gt;=table!$C$10,#REF!&lt;= table!$D$10),-1,IF(AND(#REF!&gt;=table!$E$10,#REF!&lt;=table!$F$10),1,0))</f>
        <v>#REF!</v>
      </c>
      <c r="V4447" s="5" t="e">
        <f>IF(AND(#REF!&gt;=table!$C$11,#REF!&lt;= table!$D$11),-1,IF(AND(#REF!&gt;=table!$E$11,#REF!&lt;=table!$F$11),1,0))</f>
        <v>#REF!</v>
      </c>
      <c r="W4447" s="5" t="e">
        <f>CONCATENATE(dados[[#This Row],[fator1]],dados[[#This Row],[fator5]],dados[[#This Row],[fator6]])</f>
        <v>#REF!</v>
      </c>
    </row>
    <row r="4448" spans="1:23">
      <c r="A4448" t="s">
        <v>16</v>
      </c>
      <c r="B4448">
        <v>590135</v>
      </c>
      <c r="C4448">
        <v>0.15</v>
      </c>
      <c r="D4448">
        <v>35</v>
      </c>
      <c r="E4448">
        <v>15</v>
      </c>
      <c r="F4448">
        <v>10</v>
      </c>
      <c r="G4448">
        <v>0</v>
      </c>
      <c r="H4448">
        <v>12</v>
      </c>
      <c r="I4448">
        <v>35</v>
      </c>
      <c r="J4448">
        <v>0</v>
      </c>
      <c r="K4448">
        <v>5.7780000000000005</v>
      </c>
      <c r="L4448">
        <v>7.0220000000000002</v>
      </c>
      <c r="M4448">
        <v>6.3485000000000005</v>
      </c>
      <c r="N4448">
        <v>11.4</v>
      </c>
      <c r="O4448">
        <v>1685</v>
      </c>
      <c r="P4448">
        <v>0</v>
      </c>
      <c r="Q4448" s="5" t="e">
        <f>IF(AND(#REF!&gt;=table!$C$6,#REF!&lt;= table!$D$6),-1,IF(AND(#REF!&gt;=table!$E$6,#REF!&lt;=table!$F$6),1,0))</f>
        <v>#REF!</v>
      </c>
      <c r="R4448" s="5" t="e">
        <f>IF(AND(#REF!&gt;=table!$C$7,#REF!&lt;= table!$D$7),-1,IF(AND(#REF!&gt;=table!$E$7,#REF!&lt;=table!$F$7),1,0))</f>
        <v>#REF!</v>
      </c>
      <c r="S4448" s="5" t="e">
        <f>IF(AND(#REF!&gt;=table!$C$8,#REF!&lt;= table!$D$8),-1,IF(AND(#REF!&gt;=table!$E$8,#REF!&lt;=table!$F$8),1,0))</f>
        <v>#REF!</v>
      </c>
      <c r="T4448" s="5"/>
      <c r="U4448" s="5" t="e">
        <f>IF(AND(#REF!&gt;=table!$C$10,#REF!&lt;= table!$D$10),-1,IF(AND(#REF!&gt;=table!$E$10,#REF!&lt;=table!$F$10),1,0))</f>
        <v>#REF!</v>
      </c>
      <c r="V4448" s="5" t="e">
        <f>IF(AND(#REF!&gt;=table!$C$11,#REF!&lt;= table!$D$11),-1,IF(AND(#REF!&gt;=table!$E$11,#REF!&lt;=table!$F$11),1,0))</f>
        <v>#REF!</v>
      </c>
      <c r="W4448" s="5" t="e">
        <f>CONCATENATE(dados[[#This Row],[fator1]],dados[[#This Row],[fator5]],dados[[#This Row],[fator6]])</f>
        <v>#REF!</v>
      </c>
    </row>
    <row r="4449" spans="1:23">
      <c r="A4449" t="s">
        <v>16</v>
      </c>
      <c r="B4449">
        <v>590136</v>
      </c>
      <c r="C4449">
        <v>0.15</v>
      </c>
      <c r="D4449">
        <v>35</v>
      </c>
      <c r="E4449">
        <v>15</v>
      </c>
      <c r="F4449">
        <v>10</v>
      </c>
      <c r="G4449">
        <v>0</v>
      </c>
      <c r="H4449">
        <v>12</v>
      </c>
      <c r="I4449">
        <v>1211</v>
      </c>
      <c r="J4449">
        <v>0</v>
      </c>
      <c r="K4449">
        <v>4.2305000000000001</v>
      </c>
      <c r="L4449">
        <v>9.4495000000000005</v>
      </c>
      <c r="M4449">
        <v>8.6159999999999997</v>
      </c>
      <c r="N4449">
        <v>10.64</v>
      </c>
      <c r="O4449">
        <v>1667</v>
      </c>
      <c r="P4449">
        <v>672</v>
      </c>
      <c r="Q4449" s="5" t="e">
        <f>IF(AND(#REF!&gt;=table!$C$6,#REF!&lt;= table!$D$6),-1,IF(AND(#REF!&gt;=table!$E$6,#REF!&lt;=table!$F$6),1,0))</f>
        <v>#REF!</v>
      </c>
      <c r="R4449" s="5" t="e">
        <f>IF(AND(#REF!&gt;=table!$C$7,#REF!&lt;= table!$D$7),-1,IF(AND(#REF!&gt;=table!$E$7,#REF!&lt;=table!$F$7),1,0))</f>
        <v>#REF!</v>
      </c>
      <c r="S4449" s="5" t="e">
        <f>IF(AND(#REF!&gt;=table!$C$8,#REF!&lt;= table!$D$8),-1,IF(AND(#REF!&gt;=table!$E$8,#REF!&lt;=table!$F$8),1,0))</f>
        <v>#REF!</v>
      </c>
      <c r="T4449" s="5"/>
      <c r="U4449" s="5" t="e">
        <f>IF(AND(#REF!&gt;=table!$C$10,#REF!&lt;= table!$D$10),-1,IF(AND(#REF!&gt;=table!$E$10,#REF!&lt;=table!$F$10),1,0))</f>
        <v>#REF!</v>
      </c>
      <c r="V4449" s="5" t="e">
        <f>IF(AND(#REF!&gt;=table!$C$11,#REF!&lt;= table!$D$11),-1,IF(AND(#REF!&gt;=table!$E$11,#REF!&lt;=table!$F$11),1,0))</f>
        <v>#REF!</v>
      </c>
      <c r="W4449" s="5" t="e">
        <f>CONCATENATE(dados[[#This Row],[fator1]],dados[[#This Row],[fator5]],dados[[#This Row],[fator6]])</f>
        <v>#REF!</v>
      </c>
    </row>
    <row r="4450" spans="1:23">
      <c r="A4450" t="s">
        <v>16</v>
      </c>
      <c r="B4450">
        <v>590138</v>
      </c>
      <c r="C4450">
        <v>0.15</v>
      </c>
      <c r="D4450">
        <v>35</v>
      </c>
      <c r="E4450">
        <v>15</v>
      </c>
      <c r="F4450">
        <v>10</v>
      </c>
      <c r="G4450">
        <v>0</v>
      </c>
      <c r="H4450">
        <v>12</v>
      </c>
      <c r="I4450">
        <v>1</v>
      </c>
      <c r="J4450">
        <v>0</v>
      </c>
      <c r="K4450">
        <v>4.6524999999999999</v>
      </c>
      <c r="L4450">
        <v>12.028</v>
      </c>
      <c r="M4450">
        <v>10.332500000000001</v>
      </c>
      <c r="N4450">
        <v>15.935</v>
      </c>
      <c r="O4450">
        <v>1673</v>
      </c>
      <c r="P4450">
        <v>837</v>
      </c>
      <c r="Q4450" s="5" t="e">
        <f>IF(AND(#REF!&gt;=table!$C$6,#REF!&lt;= table!$D$6),-1,IF(AND(#REF!&gt;=table!$E$6,#REF!&lt;=table!$F$6),1,0))</f>
        <v>#REF!</v>
      </c>
      <c r="R4450" s="5" t="e">
        <f>IF(AND(#REF!&gt;=table!$C$7,#REF!&lt;= table!$D$7),-1,IF(AND(#REF!&gt;=table!$E$7,#REF!&lt;=table!$F$7),1,0))</f>
        <v>#REF!</v>
      </c>
      <c r="S4450" s="5" t="e">
        <f>IF(AND(#REF!&gt;=table!$C$8,#REF!&lt;= table!$D$8),-1,IF(AND(#REF!&gt;=table!$E$8,#REF!&lt;=table!$F$8),1,0))</f>
        <v>#REF!</v>
      </c>
      <c r="T4450" s="5"/>
      <c r="U4450" s="5" t="e">
        <f>IF(AND(#REF!&gt;=table!$C$10,#REF!&lt;= table!$D$10),-1,IF(AND(#REF!&gt;=table!$E$10,#REF!&lt;=table!$F$10),1,0))</f>
        <v>#REF!</v>
      </c>
      <c r="V4450" s="5" t="e">
        <f>IF(AND(#REF!&gt;=table!$C$11,#REF!&lt;= table!$D$11),-1,IF(AND(#REF!&gt;=table!$E$11,#REF!&lt;=table!$F$11),1,0))</f>
        <v>#REF!</v>
      </c>
      <c r="W4450" s="5" t="e">
        <f>CONCATENATE(dados[[#This Row],[fator1]],dados[[#This Row],[fator5]],dados[[#This Row],[fator6]])</f>
        <v>#REF!</v>
      </c>
    </row>
    <row r="4451" spans="1:23">
      <c r="A4451" t="s">
        <v>16</v>
      </c>
      <c r="B4451">
        <v>590139</v>
      </c>
      <c r="C4451">
        <v>0.15</v>
      </c>
      <c r="D4451">
        <v>35</v>
      </c>
      <c r="E4451">
        <v>15</v>
      </c>
      <c r="F4451">
        <v>10</v>
      </c>
      <c r="G4451">
        <v>0</v>
      </c>
      <c r="H4451">
        <v>12</v>
      </c>
      <c r="I4451">
        <v>1057</v>
      </c>
      <c r="J4451">
        <v>0</v>
      </c>
      <c r="K4451">
        <v>7.0830000000000002</v>
      </c>
      <c r="L4451">
        <v>8.152000000000001</v>
      </c>
      <c r="M4451">
        <v>7.4960000000000004</v>
      </c>
      <c r="N4451">
        <v>7.2250000000000005</v>
      </c>
      <c r="O4451">
        <v>1637</v>
      </c>
      <c r="P4451">
        <v>507</v>
      </c>
      <c r="Q4451" s="5" t="e">
        <f>IF(AND(#REF!&gt;=table!$C$6,#REF!&lt;= table!$D$6),-1,IF(AND(#REF!&gt;=table!$E$6,#REF!&lt;=table!$F$6),1,0))</f>
        <v>#REF!</v>
      </c>
      <c r="R4451" s="5" t="e">
        <f>IF(AND(#REF!&gt;=table!$C$7,#REF!&lt;= table!$D$7),-1,IF(AND(#REF!&gt;=table!$E$7,#REF!&lt;=table!$F$7),1,0))</f>
        <v>#REF!</v>
      </c>
      <c r="S4451" s="5" t="e">
        <f>IF(AND(#REF!&gt;=table!$C$8,#REF!&lt;= table!$D$8),-1,IF(AND(#REF!&gt;=table!$E$8,#REF!&lt;=table!$F$8),1,0))</f>
        <v>#REF!</v>
      </c>
      <c r="T4451" s="5"/>
      <c r="U4451" s="5" t="e">
        <f>IF(AND(#REF!&gt;=table!$C$10,#REF!&lt;= table!$D$10),-1,IF(AND(#REF!&gt;=table!$E$10,#REF!&lt;=table!$F$10),1,0))</f>
        <v>#REF!</v>
      </c>
      <c r="V4451" s="5" t="e">
        <f>IF(AND(#REF!&gt;=table!$C$11,#REF!&lt;= table!$D$11),-1,IF(AND(#REF!&gt;=table!$E$11,#REF!&lt;=table!$F$11),1,0))</f>
        <v>#REF!</v>
      </c>
      <c r="W4451" s="5" t="e">
        <f>CONCATENATE(dados[[#This Row],[fator1]],dados[[#This Row],[fator5]],dados[[#This Row],[fator6]])</f>
        <v>#REF!</v>
      </c>
    </row>
    <row r="4452" spans="1:23">
      <c r="A4452" t="s">
        <v>17</v>
      </c>
      <c r="B4452">
        <v>590145</v>
      </c>
      <c r="C4452">
        <v>3</v>
      </c>
      <c r="D4452">
        <v>25</v>
      </c>
      <c r="E4452">
        <v>120</v>
      </c>
      <c r="F4452">
        <v>1</v>
      </c>
      <c r="G4452">
        <v>25</v>
      </c>
      <c r="H4452">
        <v>10</v>
      </c>
      <c r="I4452">
        <v>0</v>
      </c>
      <c r="J4452">
        <v>640</v>
      </c>
      <c r="K4452">
        <v>2.4645000000000001</v>
      </c>
      <c r="L4452">
        <v>4.8079999999999998</v>
      </c>
      <c r="M4452">
        <v>83.23</v>
      </c>
      <c r="N4452">
        <v>5.7650000000000006</v>
      </c>
      <c r="O4452">
        <v>1695</v>
      </c>
      <c r="P4452">
        <v>912</v>
      </c>
      <c r="Q4452" s="5" t="e">
        <f>IF(AND(#REF!&gt;=table!$C$6,#REF!&lt;= table!$D$6),-1,IF(AND(#REF!&gt;=table!$E$6,#REF!&lt;=table!$F$6),1,0))</f>
        <v>#REF!</v>
      </c>
      <c r="R4452" s="5" t="e">
        <f>IF(AND(#REF!&gt;=table!$C$7,#REF!&lt;= table!$D$7),-1,IF(AND(#REF!&gt;=table!$E$7,#REF!&lt;=table!$F$7),1,0))</f>
        <v>#REF!</v>
      </c>
      <c r="S4452" s="5" t="e">
        <f>IF(AND(#REF!&gt;=table!$C$8,#REF!&lt;= table!$D$8),-1,IF(AND(#REF!&gt;=table!$E$8,#REF!&lt;=table!$F$8),1,0))</f>
        <v>#REF!</v>
      </c>
      <c r="T4452" s="5"/>
      <c r="U4452" s="5" t="e">
        <f>IF(AND(#REF!&gt;=table!$C$10,#REF!&lt;= table!$D$10),-1,IF(AND(#REF!&gt;=table!$E$10,#REF!&lt;=table!$F$10),1,0))</f>
        <v>#REF!</v>
      </c>
      <c r="V4452" s="5" t="e">
        <f>IF(AND(#REF!&gt;=table!$C$11,#REF!&lt;= table!$D$11),-1,IF(AND(#REF!&gt;=table!$E$11,#REF!&lt;=table!$F$11),1,0))</f>
        <v>#REF!</v>
      </c>
      <c r="W4452" s="5" t="e">
        <f>CONCATENATE(dados[[#This Row],[fator1]],dados[[#This Row],[fator5]],dados[[#This Row],[fator6]])</f>
        <v>#REF!</v>
      </c>
    </row>
    <row r="4453" spans="1:23">
      <c r="A4453" t="s">
        <v>17</v>
      </c>
      <c r="B4453">
        <v>590146</v>
      </c>
      <c r="C4453">
        <v>15</v>
      </c>
      <c r="D4453">
        <v>35</v>
      </c>
      <c r="E4453">
        <v>120</v>
      </c>
      <c r="F4453">
        <v>4</v>
      </c>
      <c r="G4453">
        <v>15</v>
      </c>
      <c r="H4453">
        <v>20</v>
      </c>
      <c r="I4453">
        <v>3</v>
      </c>
      <c r="J4453">
        <v>0</v>
      </c>
      <c r="K4453">
        <v>3.3450000000000002</v>
      </c>
      <c r="L4453">
        <v>6.3940000000000001</v>
      </c>
      <c r="M4453">
        <v>86.1815</v>
      </c>
      <c r="N4453">
        <v>8.1300000000000008</v>
      </c>
      <c r="O4453">
        <v>1670</v>
      </c>
      <c r="P4453">
        <v>936</v>
      </c>
      <c r="Q4453" s="5" t="e">
        <f>IF(AND(#REF!&gt;=table!$C$6,#REF!&lt;= table!$D$6),-1,IF(AND(#REF!&gt;=table!$E$6,#REF!&lt;=table!$F$6),1,0))</f>
        <v>#REF!</v>
      </c>
      <c r="R4453" s="5" t="e">
        <f>IF(AND(#REF!&gt;=table!$C$7,#REF!&lt;= table!$D$7),-1,IF(AND(#REF!&gt;=table!$E$7,#REF!&lt;=table!$F$7),1,0))</f>
        <v>#REF!</v>
      </c>
      <c r="S4453" s="5" t="e">
        <f>IF(AND(#REF!&gt;=table!$C$8,#REF!&lt;= table!$D$8),-1,IF(AND(#REF!&gt;=table!$E$8,#REF!&lt;=table!$F$8),1,0))</f>
        <v>#REF!</v>
      </c>
      <c r="T4453" s="5"/>
      <c r="U4453" s="5" t="e">
        <f>IF(AND(#REF!&gt;=table!$C$10,#REF!&lt;= table!$D$10),-1,IF(AND(#REF!&gt;=table!$E$10,#REF!&lt;=table!$F$10),1,0))</f>
        <v>#REF!</v>
      </c>
      <c r="V4453" s="5" t="e">
        <f>IF(AND(#REF!&gt;=table!$C$11,#REF!&lt;= table!$D$11),-1,IF(AND(#REF!&gt;=table!$E$11,#REF!&lt;=table!$F$11),1,0))</f>
        <v>#REF!</v>
      </c>
      <c r="W4453" s="5" t="e">
        <f>CONCATENATE(dados[[#This Row],[fator1]],dados[[#This Row],[fator5]],dados[[#This Row],[fator6]])</f>
        <v>#REF!</v>
      </c>
    </row>
    <row r="4454" spans="1:23">
      <c r="A4454" t="s">
        <v>17</v>
      </c>
      <c r="B4454">
        <v>590148</v>
      </c>
      <c r="C4454">
        <v>18</v>
      </c>
      <c r="D4454">
        <v>33</v>
      </c>
      <c r="E4454">
        <v>85</v>
      </c>
      <c r="F4454">
        <v>5</v>
      </c>
      <c r="G4454">
        <v>28</v>
      </c>
      <c r="H4454">
        <v>25</v>
      </c>
      <c r="I4454">
        <v>374</v>
      </c>
      <c r="J4454">
        <v>0</v>
      </c>
      <c r="K4454">
        <v>9.307500000000001</v>
      </c>
      <c r="L4454">
        <v>18.610500000000002</v>
      </c>
      <c r="M4454">
        <v>68.112499999999997</v>
      </c>
      <c r="N4454">
        <v>14.925000000000001</v>
      </c>
      <c r="O4454">
        <v>1668</v>
      </c>
      <c r="P4454">
        <v>376</v>
      </c>
      <c r="Q4454" s="5" t="e">
        <f>IF(AND(#REF!&gt;=table!$C$6,#REF!&lt;= table!$D$6),-1,IF(AND(#REF!&gt;=table!$E$6,#REF!&lt;=table!$F$6),1,0))</f>
        <v>#REF!</v>
      </c>
      <c r="R4454" s="5" t="e">
        <f>IF(AND(#REF!&gt;=table!$C$7,#REF!&lt;= table!$D$7),-1,IF(AND(#REF!&gt;=table!$E$7,#REF!&lt;=table!$F$7),1,0))</f>
        <v>#REF!</v>
      </c>
      <c r="S4454" s="5" t="e">
        <f>IF(AND(#REF!&gt;=table!$C$8,#REF!&lt;= table!$D$8),-1,IF(AND(#REF!&gt;=table!$E$8,#REF!&lt;=table!$F$8),1,0))</f>
        <v>#REF!</v>
      </c>
      <c r="T4454" s="5"/>
      <c r="U4454" s="5" t="e">
        <f>IF(AND(#REF!&gt;=table!$C$10,#REF!&lt;= table!$D$10),-1,IF(AND(#REF!&gt;=table!$E$10,#REF!&lt;=table!$F$10),1,0))</f>
        <v>#REF!</v>
      </c>
      <c r="V4454" s="5" t="e">
        <f>IF(AND(#REF!&gt;=table!$C$11,#REF!&lt;= table!$D$11),-1,IF(AND(#REF!&gt;=table!$E$11,#REF!&lt;=table!$F$11),1,0))</f>
        <v>#REF!</v>
      </c>
      <c r="W4454" s="5" t="e">
        <f>CONCATENATE(dados[[#This Row],[fator1]],dados[[#This Row],[fator5]],dados[[#This Row],[fator6]])</f>
        <v>#REF!</v>
      </c>
    </row>
    <row r="4455" spans="1:23">
      <c r="A4455" t="s">
        <v>16</v>
      </c>
      <c r="B4455">
        <v>590149</v>
      </c>
      <c r="C4455">
        <v>9</v>
      </c>
      <c r="D4455">
        <v>27</v>
      </c>
      <c r="E4455">
        <v>36</v>
      </c>
      <c r="F4455">
        <v>8</v>
      </c>
      <c r="G4455">
        <v>0</v>
      </c>
      <c r="H4455">
        <v>25</v>
      </c>
      <c r="I4455">
        <v>125</v>
      </c>
      <c r="J4455">
        <v>0</v>
      </c>
      <c r="K4455">
        <v>6.6180000000000003</v>
      </c>
      <c r="L4455">
        <v>16.216000000000001</v>
      </c>
      <c r="M4455">
        <v>35.524500000000003</v>
      </c>
      <c r="N4455">
        <v>17.05</v>
      </c>
      <c r="O4455">
        <v>1663</v>
      </c>
      <c r="P4455">
        <v>0</v>
      </c>
      <c r="Q4455" s="5" t="e">
        <f>IF(AND(#REF!&gt;=table!$C$6,#REF!&lt;= table!$D$6),-1,IF(AND(#REF!&gt;=table!$E$6,#REF!&lt;=table!$F$6),1,0))</f>
        <v>#REF!</v>
      </c>
      <c r="R4455" s="5" t="e">
        <f>IF(AND(#REF!&gt;=table!$C$7,#REF!&lt;= table!$D$7),-1,IF(AND(#REF!&gt;=table!$E$7,#REF!&lt;=table!$F$7),1,0))</f>
        <v>#REF!</v>
      </c>
      <c r="S4455" s="5" t="e">
        <f>IF(AND(#REF!&gt;=table!$C$8,#REF!&lt;= table!$D$8),-1,IF(AND(#REF!&gt;=table!$E$8,#REF!&lt;=table!$F$8),1,0))</f>
        <v>#REF!</v>
      </c>
      <c r="T4455" s="5"/>
      <c r="U4455" s="5" t="e">
        <f>IF(AND(#REF!&gt;=table!$C$10,#REF!&lt;= table!$D$10),-1,IF(AND(#REF!&gt;=table!$E$10,#REF!&lt;=table!$F$10),1,0))</f>
        <v>#REF!</v>
      </c>
      <c r="V4455" s="5" t="e">
        <f>IF(AND(#REF!&gt;=table!$C$11,#REF!&lt;= table!$D$11),-1,IF(AND(#REF!&gt;=table!$E$11,#REF!&lt;=table!$F$11),1,0))</f>
        <v>#REF!</v>
      </c>
      <c r="W4455" s="5" t="e">
        <f>CONCATENATE(dados[[#This Row],[fator1]],dados[[#This Row],[fator5]],dados[[#This Row],[fator6]])</f>
        <v>#REF!</v>
      </c>
    </row>
    <row r="4456" spans="1:23">
      <c r="A4456" t="s">
        <v>16</v>
      </c>
      <c r="B4456">
        <v>590151</v>
      </c>
      <c r="C4456">
        <v>12</v>
      </c>
      <c r="D4456">
        <v>40</v>
      </c>
      <c r="E4456">
        <v>36</v>
      </c>
      <c r="F4456">
        <v>9</v>
      </c>
      <c r="G4456">
        <v>0</v>
      </c>
      <c r="H4456">
        <v>25</v>
      </c>
      <c r="I4456">
        <v>119</v>
      </c>
      <c r="J4456">
        <v>0</v>
      </c>
      <c r="K4456">
        <v>6.1295000000000002</v>
      </c>
      <c r="L4456">
        <v>14.514000000000001</v>
      </c>
      <c r="M4456">
        <v>38.414000000000001</v>
      </c>
      <c r="N4456">
        <v>17.23</v>
      </c>
      <c r="O4456">
        <v>1683</v>
      </c>
      <c r="P4456">
        <v>657</v>
      </c>
      <c r="Q4456" s="5" t="e">
        <f>IF(AND(#REF!&gt;=table!$C$6,#REF!&lt;= table!$D$6),-1,IF(AND(#REF!&gt;=table!$E$6,#REF!&lt;=table!$F$6),1,0))</f>
        <v>#REF!</v>
      </c>
      <c r="R4456" s="5" t="e">
        <f>IF(AND(#REF!&gt;=table!$C$7,#REF!&lt;= table!$D$7),-1,IF(AND(#REF!&gt;=table!$E$7,#REF!&lt;=table!$F$7),1,0))</f>
        <v>#REF!</v>
      </c>
      <c r="S4456" s="5" t="e">
        <f>IF(AND(#REF!&gt;=table!$C$8,#REF!&lt;= table!$D$8),-1,IF(AND(#REF!&gt;=table!$E$8,#REF!&lt;=table!$F$8),1,0))</f>
        <v>#REF!</v>
      </c>
      <c r="T4456" s="5"/>
      <c r="U4456" s="5" t="e">
        <f>IF(AND(#REF!&gt;=table!$C$10,#REF!&lt;= table!$D$10),-1,IF(AND(#REF!&gt;=table!$E$10,#REF!&lt;=table!$F$10),1,0))</f>
        <v>#REF!</v>
      </c>
      <c r="V4456" s="5" t="e">
        <f>IF(AND(#REF!&gt;=table!$C$11,#REF!&lt;= table!$D$11),-1,IF(AND(#REF!&gt;=table!$E$11,#REF!&lt;=table!$F$11),1,0))</f>
        <v>#REF!</v>
      </c>
      <c r="W4456" s="5" t="e">
        <f>CONCATENATE(dados[[#This Row],[fator1]],dados[[#This Row],[fator5]],dados[[#This Row],[fator6]])</f>
        <v>#REF!</v>
      </c>
    </row>
    <row r="4457" spans="1:23">
      <c r="A4457" t="s">
        <v>16</v>
      </c>
      <c r="B4457">
        <v>590153</v>
      </c>
      <c r="C4457">
        <v>10</v>
      </c>
      <c r="D4457">
        <v>40</v>
      </c>
      <c r="E4457">
        <v>96</v>
      </c>
      <c r="F4457">
        <v>8</v>
      </c>
      <c r="G4457">
        <v>0</v>
      </c>
      <c r="H4457">
        <v>25</v>
      </c>
      <c r="I4457">
        <v>951</v>
      </c>
      <c r="J4457">
        <v>0</v>
      </c>
      <c r="K4457">
        <v>3.3210000000000002</v>
      </c>
      <c r="L4457">
        <v>15.589</v>
      </c>
      <c r="M4457">
        <v>84.628500000000003</v>
      </c>
      <c r="N4457">
        <v>18.22</v>
      </c>
      <c r="O4457">
        <v>1693</v>
      </c>
      <c r="P4457">
        <v>0</v>
      </c>
      <c r="Q4457" s="5" t="e">
        <f>IF(AND(#REF!&gt;=table!$C$6,#REF!&lt;= table!$D$6),-1,IF(AND(#REF!&gt;=table!$E$6,#REF!&lt;=table!$F$6),1,0))</f>
        <v>#REF!</v>
      </c>
      <c r="R4457" s="5" t="e">
        <f>IF(AND(#REF!&gt;=table!$C$7,#REF!&lt;= table!$D$7),-1,IF(AND(#REF!&gt;=table!$E$7,#REF!&lt;=table!$F$7),1,0))</f>
        <v>#REF!</v>
      </c>
      <c r="S4457" s="5" t="e">
        <f>IF(AND(#REF!&gt;=table!$C$8,#REF!&lt;= table!$D$8),-1,IF(AND(#REF!&gt;=table!$E$8,#REF!&lt;=table!$F$8),1,0))</f>
        <v>#REF!</v>
      </c>
      <c r="T4457" s="5"/>
      <c r="U4457" s="5" t="e">
        <f>IF(AND(#REF!&gt;=table!$C$10,#REF!&lt;= table!$D$10),-1,IF(AND(#REF!&gt;=table!$E$10,#REF!&lt;=table!$F$10),1,0))</f>
        <v>#REF!</v>
      </c>
      <c r="V4457" s="5" t="e">
        <f>IF(AND(#REF!&gt;=table!$C$11,#REF!&lt;= table!$D$11),-1,IF(AND(#REF!&gt;=table!$E$11,#REF!&lt;=table!$F$11),1,0))</f>
        <v>#REF!</v>
      </c>
      <c r="W4457" s="5" t="e">
        <f>CONCATENATE(dados[[#This Row],[fator1]],dados[[#This Row],[fator5]],dados[[#This Row],[fator6]])</f>
        <v>#REF!</v>
      </c>
    </row>
    <row r="4458" spans="1:23">
      <c r="A4458" t="s">
        <v>16</v>
      </c>
      <c r="B4458">
        <v>590159</v>
      </c>
      <c r="C4458">
        <v>0.15</v>
      </c>
      <c r="D4458">
        <v>35</v>
      </c>
      <c r="E4458">
        <v>15</v>
      </c>
      <c r="F4458">
        <v>10</v>
      </c>
      <c r="G4458">
        <v>0</v>
      </c>
      <c r="H4458">
        <v>12</v>
      </c>
      <c r="I4458">
        <v>0</v>
      </c>
      <c r="J4458">
        <v>0</v>
      </c>
      <c r="K4458">
        <v>3.3535000000000004</v>
      </c>
      <c r="L4458">
        <v>6.7440000000000007</v>
      </c>
      <c r="M4458">
        <v>6.3370000000000006</v>
      </c>
      <c r="N4458">
        <v>7.7750000000000004</v>
      </c>
      <c r="O4458">
        <v>1676</v>
      </c>
      <c r="P4458">
        <v>0</v>
      </c>
      <c r="Q4458" s="5" t="e">
        <f>IF(AND(#REF!&gt;=table!$C$6,#REF!&lt;= table!$D$6),-1,IF(AND(#REF!&gt;=table!$E$6,#REF!&lt;=table!$F$6),1,0))</f>
        <v>#REF!</v>
      </c>
      <c r="R4458" s="5" t="e">
        <f>IF(AND(#REF!&gt;=table!$C$7,#REF!&lt;= table!$D$7),-1,IF(AND(#REF!&gt;=table!$E$7,#REF!&lt;=table!$F$7),1,0))</f>
        <v>#REF!</v>
      </c>
      <c r="S4458" s="5" t="e">
        <f>IF(AND(#REF!&gt;=table!$C$8,#REF!&lt;= table!$D$8),-1,IF(AND(#REF!&gt;=table!$E$8,#REF!&lt;=table!$F$8),1,0))</f>
        <v>#REF!</v>
      </c>
      <c r="T4458" s="5"/>
      <c r="U4458" s="5" t="e">
        <f>IF(AND(#REF!&gt;=table!$C$10,#REF!&lt;= table!$D$10),-1,IF(AND(#REF!&gt;=table!$E$10,#REF!&lt;=table!$F$10),1,0))</f>
        <v>#REF!</v>
      </c>
      <c r="V4458" s="5" t="e">
        <f>IF(AND(#REF!&gt;=table!$C$11,#REF!&lt;= table!$D$11),-1,IF(AND(#REF!&gt;=table!$E$11,#REF!&lt;=table!$F$11),1,0))</f>
        <v>#REF!</v>
      </c>
      <c r="W4458" s="5" t="e">
        <f>CONCATENATE(dados[[#This Row],[fator1]],dados[[#This Row],[fator5]],dados[[#This Row],[fator6]])</f>
        <v>#REF!</v>
      </c>
    </row>
    <row r="4459" spans="1:23">
      <c r="A4459" t="s">
        <v>16</v>
      </c>
      <c r="B4459">
        <v>590161</v>
      </c>
      <c r="C4459">
        <v>0.1</v>
      </c>
      <c r="D4459">
        <v>35</v>
      </c>
      <c r="E4459">
        <v>10</v>
      </c>
      <c r="F4459">
        <v>10</v>
      </c>
      <c r="G4459">
        <v>0</v>
      </c>
      <c r="H4459">
        <v>12</v>
      </c>
      <c r="I4459">
        <v>637</v>
      </c>
      <c r="J4459">
        <v>590</v>
      </c>
      <c r="K4459">
        <v>3.6590000000000003</v>
      </c>
      <c r="L4459">
        <v>4.7585000000000006</v>
      </c>
      <c r="M4459">
        <v>4.1375000000000002</v>
      </c>
      <c r="N4459">
        <v>8.4350000000000005</v>
      </c>
      <c r="O4459">
        <v>1659</v>
      </c>
      <c r="P4459">
        <v>877</v>
      </c>
      <c r="Q4459" s="5" t="e">
        <f>IF(AND(#REF!&gt;=table!$C$6,#REF!&lt;= table!$D$6),-1,IF(AND(#REF!&gt;=table!$E$6,#REF!&lt;=table!$F$6),1,0))</f>
        <v>#REF!</v>
      </c>
      <c r="R4459" s="5" t="e">
        <f>IF(AND(#REF!&gt;=table!$C$7,#REF!&lt;= table!$D$7),-1,IF(AND(#REF!&gt;=table!$E$7,#REF!&lt;=table!$F$7),1,0))</f>
        <v>#REF!</v>
      </c>
      <c r="S4459" s="5" t="e">
        <f>IF(AND(#REF!&gt;=table!$C$8,#REF!&lt;= table!$D$8),-1,IF(AND(#REF!&gt;=table!$E$8,#REF!&lt;=table!$F$8),1,0))</f>
        <v>#REF!</v>
      </c>
      <c r="T4459" s="5"/>
      <c r="U4459" s="5" t="e">
        <f>IF(AND(#REF!&gt;=table!$C$10,#REF!&lt;= table!$D$10),-1,IF(AND(#REF!&gt;=table!$E$10,#REF!&lt;=table!$F$10),1,0))</f>
        <v>#REF!</v>
      </c>
      <c r="V4459" s="5" t="e">
        <f>IF(AND(#REF!&gt;=table!$C$11,#REF!&lt;= table!$D$11),-1,IF(AND(#REF!&gt;=table!$E$11,#REF!&lt;=table!$F$11),1,0))</f>
        <v>#REF!</v>
      </c>
      <c r="W4459" s="5" t="e">
        <f>CONCATENATE(dados[[#This Row],[fator1]],dados[[#This Row],[fator5]],dados[[#This Row],[fator6]])</f>
        <v>#REF!</v>
      </c>
    </row>
    <row r="4460" spans="1:23">
      <c r="A4460" t="s">
        <v>16</v>
      </c>
      <c r="B4460">
        <v>590162</v>
      </c>
      <c r="C4460">
        <v>10</v>
      </c>
      <c r="D4460">
        <v>38</v>
      </c>
      <c r="E4460">
        <v>150</v>
      </c>
      <c r="F4460">
        <v>4</v>
      </c>
      <c r="G4460">
        <v>0</v>
      </c>
      <c r="H4460">
        <v>25</v>
      </c>
      <c r="I4460">
        <v>639</v>
      </c>
      <c r="J4460">
        <v>0</v>
      </c>
      <c r="K4460">
        <v>3.44</v>
      </c>
      <c r="L4460">
        <v>10.1615</v>
      </c>
      <c r="M4460">
        <v>111.3185</v>
      </c>
      <c r="N4460">
        <v>14.285</v>
      </c>
      <c r="O4460">
        <v>1673</v>
      </c>
      <c r="P4460">
        <v>0</v>
      </c>
      <c r="Q4460" s="5" t="e">
        <f>IF(AND(#REF!&gt;=table!$C$6,#REF!&lt;= table!$D$6),-1,IF(AND(#REF!&gt;=table!$E$6,#REF!&lt;=table!$F$6),1,0))</f>
        <v>#REF!</v>
      </c>
      <c r="R4460" s="5" t="e">
        <f>IF(AND(#REF!&gt;=table!$C$7,#REF!&lt;= table!$D$7),-1,IF(AND(#REF!&gt;=table!$E$7,#REF!&lt;=table!$F$7),1,0))</f>
        <v>#REF!</v>
      </c>
      <c r="S4460" s="5" t="e">
        <f>IF(AND(#REF!&gt;=table!$C$8,#REF!&lt;= table!$D$8),-1,IF(AND(#REF!&gt;=table!$E$8,#REF!&lt;=table!$F$8),1,0))</f>
        <v>#REF!</v>
      </c>
      <c r="T4460" s="5"/>
      <c r="U4460" s="5" t="e">
        <f>IF(AND(#REF!&gt;=table!$C$10,#REF!&lt;= table!$D$10),-1,IF(AND(#REF!&gt;=table!$E$10,#REF!&lt;=table!$F$10),1,0))</f>
        <v>#REF!</v>
      </c>
      <c r="V4460" s="5" t="e">
        <f>IF(AND(#REF!&gt;=table!$C$11,#REF!&lt;= table!$D$11),-1,IF(AND(#REF!&gt;=table!$E$11,#REF!&lt;=table!$F$11),1,0))</f>
        <v>#REF!</v>
      </c>
      <c r="W4460" s="5" t="e">
        <f>CONCATENATE(dados[[#This Row],[fator1]],dados[[#This Row],[fator5]],dados[[#This Row],[fator6]])</f>
        <v>#REF!</v>
      </c>
    </row>
    <row r="4461" spans="1:23">
      <c r="A4461" t="s">
        <v>16</v>
      </c>
      <c r="B4461">
        <v>590163</v>
      </c>
      <c r="C4461">
        <v>10</v>
      </c>
      <c r="D4461">
        <v>30</v>
      </c>
      <c r="E4461">
        <v>150</v>
      </c>
      <c r="F4461">
        <v>4</v>
      </c>
      <c r="G4461">
        <v>0</v>
      </c>
      <c r="H4461">
        <v>25</v>
      </c>
      <c r="I4461">
        <v>1141</v>
      </c>
      <c r="J4461">
        <v>0</v>
      </c>
      <c r="K4461">
        <v>3.0555000000000003</v>
      </c>
      <c r="L4461">
        <v>10.0055</v>
      </c>
      <c r="M4461">
        <v>113.444</v>
      </c>
      <c r="N4461">
        <v>17.445</v>
      </c>
      <c r="O4461">
        <v>1678</v>
      </c>
      <c r="P4461">
        <v>959</v>
      </c>
      <c r="Q4461" s="5" t="e">
        <f>IF(AND(#REF!&gt;=table!$C$6,#REF!&lt;= table!$D$6),-1,IF(AND(#REF!&gt;=table!$E$6,#REF!&lt;=table!$F$6),1,0))</f>
        <v>#REF!</v>
      </c>
      <c r="R4461" s="5" t="e">
        <f>IF(AND(#REF!&gt;=table!$C$7,#REF!&lt;= table!$D$7),-1,IF(AND(#REF!&gt;=table!$E$7,#REF!&lt;=table!$F$7),1,0))</f>
        <v>#REF!</v>
      </c>
      <c r="S4461" s="5" t="e">
        <f>IF(AND(#REF!&gt;=table!$C$8,#REF!&lt;= table!$D$8),-1,IF(AND(#REF!&gt;=table!$E$8,#REF!&lt;=table!$F$8),1,0))</f>
        <v>#REF!</v>
      </c>
      <c r="T4461" s="5"/>
      <c r="U4461" s="5" t="e">
        <f>IF(AND(#REF!&gt;=table!$C$10,#REF!&lt;= table!$D$10),-1,IF(AND(#REF!&gt;=table!$E$10,#REF!&lt;=table!$F$10),1,0))</f>
        <v>#REF!</v>
      </c>
      <c r="V4461" s="5" t="e">
        <f>IF(AND(#REF!&gt;=table!$C$11,#REF!&lt;= table!$D$11),-1,IF(AND(#REF!&gt;=table!$E$11,#REF!&lt;=table!$F$11),1,0))</f>
        <v>#REF!</v>
      </c>
      <c r="W4461" s="5" t="e">
        <f>CONCATENATE(dados[[#This Row],[fator1]],dados[[#This Row],[fator5]],dados[[#This Row],[fator6]])</f>
        <v>#REF!</v>
      </c>
    </row>
    <row r="4462" spans="1:23">
      <c r="A4462" t="s">
        <v>16</v>
      </c>
      <c r="B4462">
        <v>590166</v>
      </c>
      <c r="C4462">
        <v>8</v>
      </c>
      <c r="D4462">
        <v>30</v>
      </c>
      <c r="E4462">
        <v>86</v>
      </c>
      <c r="F4462">
        <v>9</v>
      </c>
      <c r="G4462">
        <v>0</v>
      </c>
      <c r="H4462">
        <v>25</v>
      </c>
      <c r="I4462">
        <v>778</v>
      </c>
      <c r="J4462">
        <v>0</v>
      </c>
      <c r="K4462">
        <v>4.2555000000000005</v>
      </c>
      <c r="L4462">
        <v>7.0985000000000005</v>
      </c>
      <c r="M4462">
        <v>57.076000000000001</v>
      </c>
      <c r="N4462">
        <v>13.32</v>
      </c>
      <c r="O4462">
        <v>1669</v>
      </c>
      <c r="P4462">
        <v>931</v>
      </c>
      <c r="Q4462" s="5" t="e">
        <f>IF(AND(#REF!&gt;=table!$C$6,#REF!&lt;= table!$D$6),-1,IF(AND(#REF!&gt;=table!$E$6,#REF!&lt;=table!$F$6),1,0))</f>
        <v>#REF!</v>
      </c>
      <c r="R4462" s="5" t="e">
        <f>IF(AND(#REF!&gt;=table!$C$7,#REF!&lt;= table!$D$7),-1,IF(AND(#REF!&gt;=table!$E$7,#REF!&lt;=table!$F$7),1,0))</f>
        <v>#REF!</v>
      </c>
      <c r="S4462" s="5" t="e">
        <f>IF(AND(#REF!&gt;=table!$C$8,#REF!&lt;= table!$D$8),-1,IF(AND(#REF!&gt;=table!$E$8,#REF!&lt;=table!$F$8),1,0))</f>
        <v>#REF!</v>
      </c>
      <c r="T4462" s="5"/>
      <c r="U4462" s="5" t="e">
        <f>IF(AND(#REF!&gt;=table!$C$10,#REF!&lt;= table!$D$10),-1,IF(AND(#REF!&gt;=table!$E$10,#REF!&lt;=table!$F$10),1,0))</f>
        <v>#REF!</v>
      </c>
      <c r="V4462" s="5" t="e">
        <f>IF(AND(#REF!&gt;=table!$C$11,#REF!&lt;= table!$D$11),-1,IF(AND(#REF!&gt;=table!$E$11,#REF!&lt;=table!$F$11),1,0))</f>
        <v>#REF!</v>
      </c>
      <c r="W4462" s="5" t="e">
        <f>CONCATENATE(dados[[#This Row],[fator1]],dados[[#This Row],[fator5]],dados[[#This Row],[fator6]])</f>
        <v>#REF!</v>
      </c>
    </row>
    <row r="4463" spans="1:23">
      <c r="A4463" t="s">
        <v>17</v>
      </c>
      <c r="B4463">
        <v>590169</v>
      </c>
      <c r="C4463">
        <v>9</v>
      </c>
      <c r="D4463">
        <v>25</v>
      </c>
      <c r="E4463">
        <v>130</v>
      </c>
      <c r="F4463">
        <v>3</v>
      </c>
      <c r="G4463">
        <v>20</v>
      </c>
      <c r="H4463">
        <v>21</v>
      </c>
      <c r="I4463">
        <v>1354</v>
      </c>
      <c r="J4463">
        <v>0</v>
      </c>
      <c r="K4463">
        <v>3.0780000000000003</v>
      </c>
      <c r="L4463">
        <v>8.7355</v>
      </c>
      <c r="M4463">
        <v>130.60150000000002</v>
      </c>
      <c r="N4463">
        <v>12.38</v>
      </c>
      <c r="O4463">
        <v>1671</v>
      </c>
      <c r="P4463">
        <v>0</v>
      </c>
      <c r="Q4463" s="5" t="e">
        <f>IF(AND(#REF!&gt;=table!$C$6,#REF!&lt;= table!$D$6),-1,IF(AND(#REF!&gt;=table!$E$6,#REF!&lt;=table!$F$6),1,0))</f>
        <v>#REF!</v>
      </c>
      <c r="R4463" s="5" t="e">
        <f>IF(AND(#REF!&gt;=table!$C$7,#REF!&lt;= table!$D$7),-1,IF(AND(#REF!&gt;=table!$E$7,#REF!&lt;=table!$F$7),1,0))</f>
        <v>#REF!</v>
      </c>
      <c r="S4463" s="5" t="e">
        <f>IF(AND(#REF!&gt;=table!$C$8,#REF!&lt;= table!$D$8),-1,IF(AND(#REF!&gt;=table!$E$8,#REF!&lt;=table!$F$8),1,0))</f>
        <v>#REF!</v>
      </c>
      <c r="T4463" s="5"/>
      <c r="U4463" s="5" t="e">
        <f>IF(AND(#REF!&gt;=table!$C$10,#REF!&lt;= table!$D$10),-1,IF(AND(#REF!&gt;=table!$E$10,#REF!&lt;=table!$F$10),1,0))</f>
        <v>#REF!</v>
      </c>
      <c r="V4463" s="5" t="e">
        <f>IF(AND(#REF!&gt;=table!$C$11,#REF!&lt;= table!$D$11),-1,IF(AND(#REF!&gt;=table!$E$11,#REF!&lt;=table!$F$11),1,0))</f>
        <v>#REF!</v>
      </c>
      <c r="W4463" s="5" t="e">
        <f>CONCATENATE(dados[[#This Row],[fator1]],dados[[#This Row],[fator5]],dados[[#This Row],[fator6]])</f>
        <v>#REF!</v>
      </c>
    </row>
    <row r="4464" spans="1:23">
      <c r="A4464" t="s">
        <v>16</v>
      </c>
      <c r="B4464">
        <v>590177</v>
      </c>
      <c r="C4464">
        <v>4</v>
      </c>
      <c r="D4464">
        <v>40</v>
      </c>
      <c r="E4464">
        <v>21</v>
      </c>
      <c r="F4464">
        <v>10</v>
      </c>
      <c r="G4464">
        <v>0</v>
      </c>
      <c r="H4464">
        <v>25</v>
      </c>
      <c r="I4464">
        <v>731</v>
      </c>
      <c r="J4464">
        <v>0</v>
      </c>
      <c r="K4464">
        <v>9.8945000000000007</v>
      </c>
      <c r="L4464">
        <v>15.830500000000001</v>
      </c>
      <c r="M4464">
        <v>14.1295</v>
      </c>
      <c r="N4464">
        <v>13.555000000000001</v>
      </c>
      <c r="O4464">
        <v>1667</v>
      </c>
      <c r="P4464">
        <v>328</v>
      </c>
      <c r="Q4464" s="5" t="e">
        <f>IF(AND(#REF!&gt;=table!$C$6,#REF!&lt;= table!$D$6),-1,IF(AND(#REF!&gt;=table!$E$6,#REF!&lt;=table!$F$6),1,0))</f>
        <v>#REF!</v>
      </c>
      <c r="R4464" s="5" t="e">
        <f>IF(AND(#REF!&gt;=table!$C$7,#REF!&lt;= table!$D$7),-1,IF(AND(#REF!&gt;=table!$E$7,#REF!&lt;=table!$F$7),1,0))</f>
        <v>#REF!</v>
      </c>
      <c r="S4464" s="5" t="e">
        <f>IF(AND(#REF!&gt;=table!$C$8,#REF!&lt;= table!$D$8),-1,IF(AND(#REF!&gt;=table!$E$8,#REF!&lt;=table!$F$8),1,0))</f>
        <v>#REF!</v>
      </c>
      <c r="T4464" s="5"/>
      <c r="U4464" s="5" t="e">
        <f>IF(AND(#REF!&gt;=table!$C$10,#REF!&lt;= table!$D$10),-1,IF(AND(#REF!&gt;=table!$E$10,#REF!&lt;=table!$F$10),1,0))</f>
        <v>#REF!</v>
      </c>
      <c r="V4464" s="5" t="e">
        <f>IF(AND(#REF!&gt;=table!$C$11,#REF!&lt;= table!$D$11),-1,IF(AND(#REF!&gt;=table!$E$11,#REF!&lt;=table!$F$11),1,0))</f>
        <v>#REF!</v>
      </c>
      <c r="W4464" s="5" t="e">
        <f>CONCATENATE(dados[[#This Row],[fator1]],dados[[#This Row],[fator5]],dados[[#This Row],[fator6]])</f>
        <v>#REF!</v>
      </c>
    </row>
    <row r="4465" spans="1:23">
      <c r="A4465" t="s">
        <v>16</v>
      </c>
      <c r="B4465">
        <v>590178</v>
      </c>
      <c r="C4465">
        <v>4</v>
      </c>
      <c r="D4465">
        <v>40</v>
      </c>
      <c r="E4465">
        <v>21</v>
      </c>
      <c r="F4465">
        <v>10</v>
      </c>
      <c r="G4465">
        <v>0</v>
      </c>
      <c r="H4465">
        <v>25</v>
      </c>
      <c r="I4465">
        <v>867</v>
      </c>
      <c r="J4465">
        <v>0</v>
      </c>
      <c r="K4465">
        <v>4.1805000000000003</v>
      </c>
      <c r="L4465">
        <v>12.8375</v>
      </c>
      <c r="M4465">
        <v>11.46</v>
      </c>
      <c r="N4465">
        <v>18.025000000000002</v>
      </c>
      <c r="O4465">
        <v>1683</v>
      </c>
      <c r="P4465">
        <v>0</v>
      </c>
      <c r="Q4465" s="5" t="e">
        <f>IF(AND(#REF!&gt;=table!$C$6,#REF!&lt;= table!$D$6),-1,IF(AND(#REF!&gt;=table!$E$6,#REF!&lt;=table!$F$6),1,0))</f>
        <v>#REF!</v>
      </c>
      <c r="R4465" s="5" t="e">
        <f>IF(AND(#REF!&gt;=table!$C$7,#REF!&lt;= table!$D$7),-1,IF(AND(#REF!&gt;=table!$E$7,#REF!&lt;=table!$F$7),1,0))</f>
        <v>#REF!</v>
      </c>
      <c r="S4465" s="5" t="e">
        <f>IF(AND(#REF!&gt;=table!$C$8,#REF!&lt;= table!$D$8),-1,IF(AND(#REF!&gt;=table!$E$8,#REF!&lt;=table!$F$8),1,0))</f>
        <v>#REF!</v>
      </c>
      <c r="T4465" s="5"/>
      <c r="U4465" s="5" t="e">
        <f>IF(AND(#REF!&gt;=table!$C$10,#REF!&lt;= table!$D$10),-1,IF(AND(#REF!&gt;=table!$E$10,#REF!&lt;=table!$F$10),1,0))</f>
        <v>#REF!</v>
      </c>
      <c r="V4465" s="5" t="e">
        <f>IF(AND(#REF!&gt;=table!$C$11,#REF!&lt;= table!$D$11),-1,IF(AND(#REF!&gt;=table!$E$11,#REF!&lt;=table!$F$11),1,0))</f>
        <v>#REF!</v>
      </c>
      <c r="W4465" s="5" t="e">
        <f>CONCATENATE(dados[[#This Row],[fator1]],dados[[#This Row],[fator5]],dados[[#This Row],[fator6]])</f>
        <v>#REF!</v>
      </c>
    </row>
    <row r="4466" spans="1:23">
      <c r="A4466" t="s">
        <v>16</v>
      </c>
      <c r="B4466">
        <v>590182</v>
      </c>
      <c r="C4466">
        <v>12</v>
      </c>
      <c r="D4466">
        <v>35</v>
      </c>
      <c r="E4466">
        <v>86</v>
      </c>
      <c r="F4466">
        <v>10</v>
      </c>
      <c r="G4466">
        <v>0</v>
      </c>
      <c r="H4466">
        <v>25</v>
      </c>
      <c r="I4466">
        <v>0</v>
      </c>
      <c r="J4466">
        <v>520</v>
      </c>
      <c r="K4466">
        <v>5.7570000000000006</v>
      </c>
      <c r="L4466">
        <v>15.4435</v>
      </c>
      <c r="M4466">
        <v>90.561999999999998</v>
      </c>
      <c r="N4466">
        <v>19.13</v>
      </c>
      <c r="O4466">
        <v>1670</v>
      </c>
      <c r="P4466">
        <v>834</v>
      </c>
      <c r="Q4466" s="5" t="e">
        <f>IF(AND(#REF!&gt;=table!$C$6,#REF!&lt;= table!$D$6),-1,IF(AND(#REF!&gt;=table!$E$6,#REF!&lt;=table!$F$6),1,0))</f>
        <v>#REF!</v>
      </c>
      <c r="R4466" s="5" t="e">
        <f>IF(AND(#REF!&gt;=table!$C$7,#REF!&lt;= table!$D$7),-1,IF(AND(#REF!&gt;=table!$E$7,#REF!&lt;=table!$F$7),1,0))</f>
        <v>#REF!</v>
      </c>
      <c r="S4466" s="5" t="e">
        <f>IF(AND(#REF!&gt;=table!$C$8,#REF!&lt;= table!$D$8),-1,IF(AND(#REF!&gt;=table!$E$8,#REF!&lt;=table!$F$8),1,0))</f>
        <v>#REF!</v>
      </c>
      <c r="T4466" s="5"/>
      <c r="U4466" s="5" t="e">
        <f>IF(AND(#REF!&gt;=table!$C$10,#REF!&lt;= table!$D$10),-1,IF(AND(#REF!&gt;=table!$E$10,#REF!&lt;=table!$F$10),1,0))</f>
        <v>#REF!</v>
      </c>
      <c r="V4466" s="5" t="e">
        <f>IF(AND(#REF!&gt;=table!$C$11,#REF!&lt;= table!$D$11),-1,IF(AND(#REF!&gt;=table!$E$11,#REF!&lt;=table!$F$11),1,0))</f>
        <v>#REF!</v>
      </c>
      <c r="W4466" s="5" t="e">
        <f>CONCATENATE(dados[[#This Row],[fator1]],dados[[#This Row],[fator5]],dados[[#This Row],[fator6]])</f>
        <v>#REF!</v>
      </c>
    </row>
    <row r="4467" spans="1:23">
      <c r="A4467" t="s">
        <v>16</v>
      </c>
      <c r="B4467">
        <v>590185</v>
      </c>
      <c r="C4467">
        <v>13</v>
      </c>
      <c r="D4467">
        <v>35</v>
      </c>
      <c r="E4467">
        <v>120</v>
      </c>
      <c r="F4467">
        <v>10</v>
      </c>
      <c r="G4467">
        <v>0</v>
      </c>
      <c r="H4467">
        <v>25</v>
      </c>
      <c r="I4467">
        <v>18</v>
      </c>
      <c r="J4467">
        <v>0</v>
      </c>
      <c r="K4467">
        <v>2.5780000000000003</v>
      </c>
      <c r="L4467">
        <v>13.7965</v>
      </c>
      <c r="M4467">
        <v>111.1785</v>
      </c>
      <c r="N4467">
        <v>18.600000000000001</v>
      </c>
      <c r="O4467">
        <v>1706</v>
      </c>
      <c r="P4467">
        <v>0</v>
      </c>
      <c r="Q4467" s="5" t="e">
        <f>IF(AND(#REF!&gt;=table!$C$6,#REF!&lt;= table!$D$6),-1,IF(AND(#REF!&gt;=table!$E$6,#REF!&lt;=table!$F$6),1,0))</f>
        <v>#REF!</v>
      </c>
      <c r="R4467" s="5" t="e">
        <f>IF(AND(#REF!&gt;=table!$C$7,#REF!&lt;= table!$D$7),-1,IF(AND(#REF!&gt;=table!$E$7,#REF!&lt;=table!$F$7),1,0))</f>
        <v>#REF!</v>
      </c>
      <c r="S4467" s="5" t="e">
        <f>IF(AND(#REF!&gt;=table!$C$8,#REF!&lt;= table!$D$8),-1,IF(AND(#REF!&gt;=table!$E$8,#REF!&lt;=table!$F$8),1,0))</f>
        <v>#REF!</v>
      </c>
      <c r="T4467" s="5"/>
      <c r="U4467" s="5" t="e">
        <f>IF(AND(#REF!&gt;=table!$C$10,#REF!&lt;= table!$D$10),-1,IF(AND(#REF!&gt;=table!$E$10,#REF!&lt;=table!$F$10),1,0))</f>
        <v>#REF!</v>
      </c>
      <c r="V4467" s="5" t="e">
        <f>IF(AND(#REF!&gt;=table!$C$11,#REF!&lt;= table!$D$11),-1,IF(AND(#REF!&gt;=table!$E$11,#REF!&lt;=table!$F$11),1,0))</f>
        <v>#REF!</v>
      </c>
      <c r="W4467" s="5" t="e">
        <f>CONCATENATE(dados[[#This Row],[fator1]],dados[[#This Row],[fator5]],dados[[#This Row],[fator6]])</f>
        <v>#REF!</v>
      </c>
    </row>
    <row r="4468" spans="1:23">
      <c r="A4468" t="s">
        <v>16</v>
      </c>
      <c r="B4468">
        <v>590188</v>
      </c>
      <c r="C4468">
        <v>13</v>
      </c>
      <c r="D4468">
        <v>35</v>
      </c>
      <c r="E4468">
        <v>120</v>
      </c>
      <c r="F4468">
        <v>10</v>
      </c>
      <c r="G4468">
        <v>0</v>
      </c>
      <c r="H4468">
        <v>25</v>
      </c>
      <c r="I4468">
        <v>813</v>
      </c>
      <c r="J4468">
        <v>0</v>
      </c>
      <c r="K4468">
        <v>3.649</v>
      </c>
      <c r="L4468">
        <v>12.724500000000001</v>
      </c>
      <c r="M4468">
        <v>86.463999999999999</v>
      </c>
      <c r="N4468">
        <v>20.135000000000002</v>
      </c>
      <c r="O4468">
        <v>1673</v>
      </c>
      <c r="P4468">
        <v>897</v>
      </c>
      <c r="Q4468" s="5" t="e">
        <f>IF(AND(#REF!&gt;=table!$C$6,#REF!&lt;= table!$D$6),-1,IF(AND(#REF!&gt;=table!$E$6,#REF!&lt;=table!$F$6),1,0))</f>
        <v>#REF!</v>
      </c>
      <c r="R4468" s="5" t="e">
        <f>IF(AND(#REF!&gt;=table!$C$7,#REF!&lt;= table!$D$7),-1,IF(AND(#REF!&gt;=table!$E$7,#REF!&lt;=table!$F$7),1,0))</f>
        <v>#REF!</v>
      </c>
      <c r="S4468" s="5" t="e">
        <f>IF(AND(#REF!&gt;=table!$C$8,#REF!&lt;= table!$D$8),-1,IF(AND(#REF!&gt;=table!$E$8,#REF!&lt;=table!$F$8),1,0))</f>
        <v>#REF!</v>
      </c>
      <c r="T4468" s="5"/>
      <c r="U4468" s="5" t="e">
        <f>IF(AND(#REF!&gt;=table!$C$10,#REF!&lt;= table!$D$10),-1,IF(AND(#REF!&gt;=table!$E$10,#REF!&lt;=table!$F$10),1,0))</f>
        <v>#REF!</v>
      </c>
      <c r="V4468" s="5" t="e">
        <f>IF(AND(#REF!&gt;=table!$C$11,#REF!&lt;= table!$D$11),-1,IF(AND(#REF!&gt;=table!$E$11,#REF!&lt;=table!$F$11),1,0))</f>
        <v>#REF!</v>
      </c>
      <c r="W4468" s="5" t="e">
        <f>CONCATENATE(dados[[#This Row],[fator1]],dados[[#This Row],[fator5]],dados[[#This Row],[fator6]])</f>
        <v>#REF!</v>
      </c>
    </row>
    <row r="4469" spans="1:23">
      <c r="A4469" t="s">
        <v>17</v>
      </c>
      <c r="B4469">
        <v>590190</v>
      </c>
      <c r="C4469">
        <v>8</v>
      </c>
      <c r="D4469">
        <v>25</v>
      </c>
      <c r="E4469">
        <v>136</v>
      </c>
      <c r="F4469">
        <v>6</v>
      </c>
      <c r="G4469">
        <v>8</v>
      </c>
      <c r="H4469">
        <v>25</v>
      </c>
      <c r="I4469">
        <v>581</v>
      </c>
      <c r="J4469">
        <v>560</v>
      </c>
      <c r="K4469">
        <v>3.8135000000000003</v>
      </c>
      <c r="L4469">
        <v>7.1445000000000007</v>
      </c>
      <c r="M4469">
        <v>91.392499999999998</v>
      </c>
      <c r="N4469">
        <v>7.88</v>
      </c>
      <c r="O4469">
        <v>1667</v>
      </c>
      <c r="P4469">
        <v>0</v>
      </c>
      <c r="Q4469" s="5" t="e">
        <f>IF(AND(#REF!&gt;=table!$C$6,#REF!&lt;= table!$D$6),-1,IF(AND(#REF!&gt;=table!$E$6,#REF!&lt;=table!$F$6),1,0))</f>
        <v>#REF!</v>
      </c>
      <c r="R4469" s="5" t="e">
        <f>IF(AND(#REF!&gt;=table!$C$7,#REF!&lt;= table!$D$7),-1,IF(AND(#REF!&gt;=table!$E$7,#REF!&lt;=table!$F$7),1,0))</f>
        <v>#REF!</v>
      </c>
      <c r="S4469" s="5" t="e">
        <f>IF(AND(#REF!&gt;=table!$C$8,#REF!&lt;= table!$D$8),-1,IF(AND(#REF!&gt;=table!$E$8,#REF!&lt;=table!$F$8),1,0))</f>
        <v>#REF!</v>
      </c>
      <c r="T4469" s="5"/>
      <c r="U4469" s="5" t="e">
        <f>IF(AND(#REF!&gt;=table!$C$10,#REF!&lt;= table!$D$10),-1,IF(AND(#REF!&gt;=table!$E$10,#REF!&lt;=table!$F$10),1,0))</f>
        <v>#REF!</v>
      </c>
      <c r="V4469" s="5" t="e">
        <f>IF(AND(#REF!&gt;=table!$C$11,#REF!&lt;= table!$D$11),-1,IF(AND(#REF!&gt;=table!$E$11,#REF!&lt;=table!$F$11),1,0))</f>
        <v>#REF!</v>
      </c>
      <c r="W4469" s="5" t="e">
        <f>CONCATENATE(dados[[#This Row],[fator1]],dados[[#This Row],[fator5]],dados[[#This Row],[fator6]])</f>
        <v>#REF!</v>
      </c>
    </row>
    <row r="4470" spans="1:23">
      <c r="A4470" t="s">
        <v>17</v>
      </c>
      <c r="B4470">
        <v>590191</v>
      </c>
      <c r="C4470">
        <v>8</v>
      </c>
      <c r="D4470">
        <v>25</v>
      </c>
      <c r="E4470">
        <v>136</v>
      </c>
      <c r="F4470">
        <v>6</v>
      </c>
      <c r="G4470">
        <v>8</v>
      </c>
      <c r="H4470">
        <v>25</v>
      </c>
      <c r="I4470">
        <v>713</v>
      </c>
      <c r="J4470">
        <v>0</v>
      </c>
      <c r="K4470">
        <v>5.3440000000000003</v>
      </c>
      <c r="L4470">
        <v>18.481999999999999</v>
      </c>
      <c r="M4470">
        <v>83.692999999999998</v>
      </c>
      <c r="N4470">
        <v>20.734999999999999</v>
      </c>
      <c r="O4470">
        <v>1676</v>
      </c>
      <c r="P4470">
        <v>0</v>
      </c>
      <c r="Q4470" s="5" t="e">
        <f>IF(AND(#REF!&gt;=table!$C$6,#REF!&lt;= table!$D$6),-1,IF(AND(#REF!&gt;=table!$E$6,#REF!&lt;=table!$F$6),1,0))</f>
        <v>#REF!</v>
      </c>
      <c r="R4470" s="5" t="e">
        <f>IF(AND(#REF!&gt;=table!$C$7,#REF!&lt;= table!$D$7),-1,IF(AND(#REF!&gt;=table!$E$7,#REF!&lt;=table!$F$7),1,0))</f>
        <v>#REF!</v>
      </c>
      <c r="S4470" s="5" t="e">
        <f>IF(AND(#REF!&gt;=table!$C$8,#REF!&lt;= table!$D$8),-1,IF(AND(#REF!&gt;=table!$E$8,#REF!&lt;=table!$F$8),1,0))</f>
        <v>#REF!</v>
      </c>
      <c r="T4470" s="5"/>
      <c r="U4470" s="5" t="e">
        <f>IF(AND(#REF!&gt;=table!$C$10,#REF!&lt;= table!$D$10),-1,IF(AND(#REF!&gt;=table!$E$10,#REF!&lt;=table!$F$10),1,0))</f>
        <v>#REF!</v>
      </c>
      <c r="V4470" s="5" t="e">
        <f>IF(AND(#REF!&gt;=table!$C$11,#REF!&lt;= table!$D$11),-1,IF(AND(#REF!&gt;=table!$E$11,#REF!&lt;=table!$F$11),1,0))</f>
        <v>#REF!</v>
      </c>
      <c r="W4470" s="5" t="e">
        <f>CONCATENATE(dados[[#This Row],[fator1]],dados[[#This Row],[fator5]],dados[[#This Row],[fator6]])</f>
        <v>#REF!</v>
      </c>
    </row>
    <row r="4471" spans="1:23">
      <c r="A4471" t="s">
        <v>17</v>
      </c>
      <c r="B4471">
        <v>590192</v>
      </c>
      <c r="C4471">
        <v>8</v>
      </c>
      <c r="D4471">
        <v>25</v>
      </c>
      <c r="E4471">
        <v>136</v>
      </c>
      <c r="F4471">
        <v>6</v>
      </c>
      <c r="G4471">
        <v>8</v>
      </c>
      <c r="H4471">
        <v>25</v>
      </c>
      <c r="I4471">
        <v>408</v>
      </c>
      <c r="J4471">
        <v>960</v>
      </c>
      <c r="K4471">
        <v>4.7759999999999998</v>
      </c>
      <c r="L4471">
        <v>14.204500000000001</v>
      </c>
      <c r="M4471">
        <v>108.44250000000001</v>
      </c>
      <c r="N4471">
        <v>15.94</v>
      </c>
      <c r="O4471">
        <v>1684</v>
      </c>
      <c r="P4471">
        <v>0</v>
      </c>
      <c r="Q4471" s="5" t="e">
        <f>IF(AND(#REF!&gt;=table!$C$6,#REF!&lt;= table!$D$6),-1,IF(AND(#REF!&gt;=table!$E$6,#REF!&lt;=table!$F$6),1,0))</f>
        <v>#REF!</v>
      </c>
      <c r="R4471" s="5" t="e">
        <f>IF(AND(#REF!&gt;=table!$C$7,#REF!&lt;= table!$D$7),-1,IF(AND(#REF!&gt;=table!$E$7,#REF!&lt;=table!$F$7),1,0))</f>
        <v>#REF!</v>
      </c>
      <c r="S4471" s="5" t="e">
        <f>IF(AND(#REF!&gt;=table!$C$8,#REF!&lt;= table!$D$8),-1,IF(AND(#REF!&gt;=table!$E$8,#REF!&lt;=table!$F$8),1,0))</f>
        <v>#REF!</v>
      </c>
      <c r="T4471" s="5"/>
      <c r="U4471" s="5" t="e">
        <f>IF(AND(#REF!&gt;=table!$C$10,#REF!&lt;= table!$D$10),-1,IF(AND(#REF!&gt;=table!$E$10,#REF!&lt;=table!$F$10),1,0))</f>
        <v>#REF!</v>
      </c>
      <c r="V4471" s="5" t="e">
        <f>IF(AND(#REF!&gt;=table!$C$11,#REF!&lt;= table!$D$11),-1,IF(AND(#REF!&gt;=table!$E$11,#REF!&lt;=table!$F$11),1,0))</f>
        <v>#REF!</v>
      </c>
      <c r="W4471" s="5" t="e">
        <f>CONCATENATE(dados[[#This Row],[fator1]],dados[[#This Row],[fator5]],dados[[#This Row],[fator6]])</f>
        <v>#REF!</v>
      </c>
    </row>
    <row r="4472" spans="1:23">
      <c r="A4472" t="s">
        <v>16</v>
      </c>
      <c r="B4472">
        <v>590196</v>
      </c>
      <c r="C4472">
        <v>6</v>
      </c>
      <c r="D4472">
        <v>25</v>
      </c>
      <c r="E4472">
        <v>120</v>
      </c>
      <c r="F4472">
        <v>4</v>
      </c>
      <c r="G4472">
        <v>0</v>
      </c>
      <c r="H4472">
        <v>55</v>
      </c>
      <c r="I4472">
        <v>4</v>
      </c>
      <c r="J4472">
        <v>0</v>
      </c>
      <c r="K4472">
        <v>4.2854999999999999</v>
      </c>
      <c r="L4472">
        <v>18.060500000000001</v>
      </c>
      <c r="M4472">
        <v>114.93650000000001</v>
      </c>
      <c r="N4472">
        <v>30.64</v>
      </c>
      <c r="O4472">
        <v>1708</v>
      </c>
      <c r="P4472">
        <v>1091</v>
      </c>
      <c r="Q4472" s="5" t="e">
        <f>IF(AND(#REF!&gt;=table!$C$6,#REF!&lt;= table!$D$6),-1,IF(AND(#REF!&gt;=table!$E$6,#REF!&lt;=table!$F$6),1,0))</f>
        <v>#REF!</v>
      </c>
      <c r="R4472" s="5" t="e">
        <f>IF(AND(#REF!&gt;=table!$C$7,#REF!&lt;= table!$D$7),-1,IF(AND(#REF!&gt;=table!$E$7,#REF!&lt;=table!$F$7),1,0))</f>
        <v>#REF!</v>
      </c>
      <c r="S4472" s="5" t="e">
        <f>IF(AND(#REF!&gt;=table!$C$8,#REF!&lt;= table!$D$8),-1,IF(AND(#REF!&gt;=table!$E$8,#REF!&lt;=table!$F$8),1,0))</f>
        <v>#REF!</v>
      </c>
      <c r="T4472" s="5"/>
      <c r="U4472" s="5" t="e">
        <f>IF(AND(#REF!&gt;=table!$C$10,#REF!&lt;= table!$D$10),-1,IF(AND(#REF!&gt;=table!$E$10,#REF!&lt;=table!$F$10),1,0))</f>
        <v>#REF!</v>
      </c>
      <c r="V4472" s="5" t="e">
        <f>IF(AND(#REF!&gt;=table!$C$11,#REF!&lt;= table!$D$11),-1,IF(AND(#REF!&gt;=table!$E$11,#REF!&lt;=table!$F$11),1,0))</f>
        <v>#REF!</v>
      </c>
      <c r="W4472" s="5" t="e">
        <f>CONCATENATE(dados[[#This Row],[fator1]],dados[[#This Row],[fator5]],dados[[#This Row],[fator6]])</f>
        <v>#REF!</v>
      </c>
    </row>
    <row r="4473" spans="1:23">
      <c r="A4473" t="s">
        <v>16</v>
      </c>
      <c r="B4473">
        <v>590197</v>
      </c>
      <c r="C4473">
        <v>6</v>
      </c>
      <c r="D4473">
        <v>25</v>
      </c>
      <c r="E4473">
        <v>120</v>
      </c>
      <c r="F4473">
        <v>4</v>
      </c>
      <c r="G4473">
        <v>0</v>
      </c>
      <c r="H4473">
        <v>55</v>
      </c>
      <c r="I4473">
        <v>178</v>
      </c>
      <c r="J4473">
        <v>0</v>
      </c>
      <c r="K4473">
        <v>3.306</v>
      </c>
      <c r="L4473">
        <v>17.067500000000003</v>
      </c>
      <c r="M4473">
        <v>104.38500000000001</v>
      </c>
      <c r="N4473">
        <v>39.815000000000005</v>
      </c>
      <c r="O4473">
        <v>1704</v>
      </c>
      <c r="P4473">
        <v>901</v>
      </c>
      <c r="Q4473" s="5" t="e">
        <f>IF(AND(#REF!&gt;=table!$C$6,#REF!&lt;= table!$D$6),-1,IF(AND(#REF!&gt;=table!$E$6,#REF!&lt;=table!$F$6),1,0))</f>
        <v>#REF!</v>
      </c>
      <c r="R4473" s="5" t="e">
        <f>IF(AND(#REF!&gt;=table!$C$7,#REF!&lt;= table!$D$7),-1,IF(AND(#REF!&gt;=table!$E$7,#REF!&lt;=table!$F$7),1,0))</f>
        <v>#REF!</v>
      </c>
      <c r="S4473" s="5" t="e">
        <f>IF(AND(#REF!&gt;=table!$C$8,#REF!&lt;= table!$D$8),-1,IF(AND(#REF!&gt;=table!$E$8,#REF!&lt;=table!$F$8),1,0))</f>
        <v>#REF!</v>
      </c>
      <c r="T4473" s="5"/>
      <c r="U4473" s="5" t="e">
        <f>IF(AND(#REF!&gt;=table!$C$10,#REF!&lt;= table!$D$10),-1,IF(AND(#REF!&gt;=table!$E$10,#REF!&lt;=table!$F$10),1,0))</f>
        <v>#REF!</v>
      </c>
      <c r="V4473" s="5" t="e">
        <f>IF(AND(#REF!&gt;=table!$C$11,#REF!&lt;= table!$D$11),-1,IF(AND(#REF!&gt;=table!$E$11,#REF!&lt;=table!$F$11),1,0))</f>
        <v>#REF!</v>
      </c>
      <c r="W4473" s="5" t="e">
        <f>CONCATENATE(dados[[#This Row],[fator1]],dados[[#This Row],[fator5]],dados[[#This Row],[fator6]])</f>
        <v>#REF!</v>
      </c>
    </row>
    <row r="4474" spans="1:23">
      <c r="A4474" t="s">
        <v>16</v>
      </c>
      <c r="B4474">
        <v>590200</v>
      </c>
      <c r="C4474">
        <v>12</v>
      </c>
      <c r="D4474">
        <v>35</v>
      </c>
      <c r="E4474">
        <v>180</v>
      </c>
      <c r="F4474">
        <v>6</v>
      </c>
      <c r="G4474">
        <v>0</v>
      </c>
      <c r="H4474">
        <v>20</v>
      </c>
      <c r="I4474">
        <v>810</v>
      </c>
      <c r="J4474">
        <v>920</v>
      </c>
      <c r="K4474">
        <v>3.4065000000000003</v>
      </c>
      <c r="L4474">
        <v>11.413</v>
      </c>
      <c r="M4474">
        <v>105.4885</v>
      </c>
      <c r="N4474">
        <v>9.8849999999999998</v>
      </c>
      <c r="O4474">
        <v>1686</v>
      </c>
      <c r="P4474">
        <v>1035</v>
      </c>
      <c r="Q4474" s="5" t="e">
        <f>IF(AND(#REF!&gt;=table!$C$6,#REF!&lt;= table!$D$6),-1,IF(AND(#REF!&gt;=table!$E$6,#REF!&lt;=table!$F$6),1,0))</f>
        <v>#REF!</v>
      </c>
      <c r="R4474" s="5" t="e">
        <f>IF(AND(#REF!&gt;=table!$C$7,#REF!&lt;= table!$D$7),-1,IF(AND(#REF!&gt;=table!$E$7,#REF!&lt;=table!$F$7),1,0))</f>
        <v>#REF!</v>
      </c>
      <c r="S4474" s="5" t="e">
        <f>IF(AND(#REF!&gt;=table!$C$8,#REF!&lt;= table!$D$8),-1,IF(AND(#REF!&gt;=table!$E$8,#REF!&lt;=table!$F$8),1,0))</f>
        <v>#REF!</v>
      </c>
      <c r="T4474" s="5"/>
      <c r="U4474" s="5" t="e">
        <f>IF(AND(#REF!&gt;=table!$C$10,#REF!&lt;= table!$D$10),-1,IF(AND(#REF!&gt;=table!$E$10,#REF!&lt;=table!$F$10),1,0))</f>
        <v>#REF!</v>
      </c>
      <c r="V4474" s="5" t="e">
        <f>IF(AND(#REF!&gt;=table!$C$11,#REF!&lt;= table!$D$11),-1,IF(AND(#REF!&gt;=table!$E$11,#REF!&lt;=table!$F$11),1,0))</f>
        <v>#REF!</v>
      </c>
      <c r="W4474" s="5" t="e">
        <f>CONCATENATE(dados[[#This Row],[fator1]],dados[[#This Row],[fator5]],dados[[#This Row],[fator6]])</f>
        <v>#REF!</v>
      </c>
    </row>
    <row r="4475" spans="1:23">
      <c r="A4475" t="s">
        <v>16</v>
      </c>
      <c r="B4475">
        <v>590202</v>
      </c>
      <c r="C4475">
        <v>0.15</v>
      </c>
      <c r="D4475">
        <v>40</v>
      </c>
      <c r="E4475">
        <v>10</v>
      </c>
      <c r="F4475">
        <v>15</v>
      </c>
      <c r="G4475">
        <v>0</v>
      </c>
      <c r="H4475">
        <v>15</v>
      </c>
      <c r="I4475">
        <v>10</v>
      </c>
      <c r="J4475">
        <v>0</v>
      </c>
      <c r="K4475">
        <v>4.0540000000000003</v>
      </c>
      <c r="L4475">
        <v>10.378</v>
      </c>
      <c r="M4475">
        <v>9.6539999999999999</v>
      </c>
      <c r="N4475">
        <v>8.81</v>
      </c>
      <c r="O4475">
        <v>1665</v>
      </c>
      <c r="P4475">
        <v>613</v>
      </c>
      <c r="Q4475" s="5" t="e">
        <f>IF(AND(#REF!&gt;=table!$C$6,#REF!&lt;= table!$D$6),-1,IF(AND(#REF!&gt;=table!$E$6,#REF!&lt;=table!$F$6),1,0))</f>
        <v>#REF!</v>
      </c>
      <c r="R4475" s="5" t="e">
        <f>IF(AND(#REF!&gt;=table!$C$7,#REF!&lt;= table!$D$7),-1,IF(AND(#REF!&gt;=table!$E$7,#REF!&lt;=table!$F$7),1,0))</f>
        <v>#REF!</v>
      </c>
      <c r="S4475" s="5" t="e">
        <f>IF(AND(#REF!&gt;=table!$C$8,#REF!&lt;= table!$D$8),-1,IF(AND(#REF!&gt;=table!$E$8,#REF!&lt;=table!$F$8),1,0))</f>
        <v>#REF!</v>
      </c>
      <c r="T4475" s="5"/>
      <c r="U4475" s="5" t="e">
        <f>IF(AND(#REF!&gt;=table!$C$10,#REF!&lt;= table!$D$10),-1,IF(AND(#REF!&gt;=table!$E$10,#REF!&lt;=table!$F$10),1,0))</f>
        <v>#REF!</v>
      </c>
      <c r="V4475" s="5" t="e">
        <f>IF(AND(#REF!&gt;=table!$C$11,#REF!&lt;= table!$D$11),-1,IF(AND(#REF!&gt;=table!$E$11,#REF!&lt;=table!$F$11),1,0))</f>
        <v>#REF!</v>
      </c>
      <c r="W4475" s="5" t="e">
        <f>CONCATENATE(dados[[#This Row],[fator1]],dados[[#This Row],[fator5]],dados[[#This Row],[fator6]])</f>
        <v>#REF!</v>
      </c>
    </row>
    <row r="4476" spans="1:23">
      <c r="A4476" t="s">
        <v>16</v>
      </c>
      <c r="B4476">
        <v>590205</v>
      </c>
      <c r="C4476">
        <v>12</v>
      </c>
      <c r="D4476">
        <v>35</v>
      </c>
      <c r="E4476">
        <v>180</v>
      </c>
      <c r="F4476">
        <v>6</v>
      </c>
      <c r="G4476">
        <v>0</v>
      </c>
      <c r="H4476">
        <v>20</v>
      </c>
      <c r="I4476">
        <v>1</v>
      </c>
      <c r="J4476">
        <v>0</v>
      </c>
      <c r="K4476">
        <v>7.0155000000000003</v>
      </c>
      <c r="L4476">
        <v>18.784500000000001</v>
      </c>
      <c r="M4476">
        <v>152.8245</v>
      </c>
      <c r="N4476">
        <v>16.074999999999999</v>
      </c>
      <c r="O4476">
        <v>1686</v>
      </c>
      <c r="P4476">
        <v>533</v>
      </c>
      <c r="Q4476" s="5" t="e">
        <f>IF(AND(#REF!&gt;=table!$C$6,#REF!&lt;= table!$D$6),-1,IF(AND(#REF!&gt;=table!$E$6,#REF!&lt;=table!$F$6),1,0))</f>
        <v>#REF!</v>
      </c>
      <c r="R4476" s="5" t="e">
        <f>IF(AND(#REF!&gt;=table!$C$7,#REF!&lt;= table!$D$7),-1,IF(AND(#REF!&gt;=table!$E$7,#REF!&lt;=table!$F$7),1,0))</f>
        <v>#REF!</v>
      </c>
      <c r="S4476" s="5" t="e">
        <f>IF(AND(#REF!&gt;=table!$C$8,#REF!&lt;= table!$D$8),-1,IF(AND(#REF!&gt;=table!$E$8,#REF!&lt;=table!$F$8),1,0))</f>
        <v>#REF!</v>
      </c>
      <c r="T4476" s="5"/>
      <c r="U4476" s="5" t="e">
        <f>IF(AND(#REF!&gt;=table!$C$10,#REF!&lt;= table!$D$10),-1,IF(AND(#REF!&gt;=table!$E$10,#REF!&lt;=table!$F$10),1,0))</f>
        <v>#REF!</v>
      </c>
      <c r="V4476" s="5" t="e">
        <f>IF(AND(#REF!&gt;=table!$C$11,#REF!&lt;= table!$D$11),-1,IF(AND(#REF!&gt;=table!$E$11,#REF!&lt;=table!$F$11),1,0))</f>
        <v>#REF!</v>
      </c>
      <c r="W4476" s="5" t="e">
        <f>CONCATENATE(dados[[#This Row],[fator1]],dados[[#This Row],[fator5]],dados[[#This Row],[fator6]])</f>
        <v>#REF!</v>
      </c>
    </row>
    <row r="4477" spans="1:23">
      <c r="A4477" t="s">
        <v>16</v>
      </c>
      <c r="B4477">
        <v>590206</v>
      </c>
      <c r="C4477">
        <v>12</v>
      </c>
      <c r="D4477">
        <v>35</v>
      </c>
      <c r="E4477">
        <v>180</v>
      </c>
      <c r="F4477">
        <v>6</v>
      </c>
      <c r="G4477">
        <v>0</v>
      </c>
      <c r="H4477">
        <v>20</v>
      </c>
      <c r="I4477">
        <v>447</v>
      </c>
      <c r="J4477">
        <v>0</v>
      </c>
      <c r="K4477">
        <v>6.7985000000000007</v>
      </c>
      <c r="L4477">
        <v>14.639000000000001</v>
      </c>
      <c r="M4477">
        <v>137.38800000000001</v>
      </c>
      <c r="N4477">
        <v>11.74</v>
      </c>
      <c r="O4477">
        <v>1668</v>
      </c>
      <c r="P4477">
        <v>504</v>
      </c>
      <c r="Q4477" s="5" t="e">
        <f>IF(AND(#REF!&gt;=table!$C$6,#REF!&lt;= table!$D$6),-1,IF(AND(#REF!&gt;=table!$E$6,#REF!&lt;=table!$F$6),1,0))</f>
        <v>#REF!</v>
      </c>
      <c r="R4477" s="5" t="e">
        <f>IF(AND(#REF!&gt;=table!$C$7,#REF!&lt;= table!$D$7),-1,IF(AND(#REF!&gt;=table!$E$7,#REF!&lt;=table!$F$7),1,0))</f>
        <v>#REF!</v>
      </c>
      <c r="S4477" s="5" t="e">
        <f>IF(AND(#REF!&gt;=table!$C$8,#REF!&lt;= table!$D$8),-1,IF(AND(#REF!&gt;=table!$E$8,#REF!&lt;=table!$F$8),1,0))</f>
        <v>#REF!</v>
      </c>
      <c r="T4477" s="5"/>
      <c r="U4477" s="5" t="e">
        <f>IF(AND(#REF!&gt;=table!$C$10,#REF!&lt;= table!$D$10),-1,IF(AND(#REF!&gt;=table!$E$10,#REF!&lt;=table!$F$10),1,0))</f>
        <v>#REF!</v>
      </c>
      <c r="V4477" s="5" t="e">
        <f>IF(AND(#REF!&gt;=table!$C$11,#REF!&lt;= table!$D$11),-1,IF(AND(#REF!&gt;=table!$E$11,#REF!&lt;=table!$F$11),1,0))</f>
        <v>#REF!</v>
      </c>
      <c r="W4477" s="5" t="e">
        <f>CONCATENATE(dados[[#This Row],[fator1]],dados[[#This Row],[fator5]],dados[[#This Row],[fator6]])</f>
        <v>#REF!</v>
      </c>
    </row>
    <row r="4478" spans="1:23">
      <c r="A4478" t="s">
        <v>16</v>
      </c>
      <c r="B4478">
        <v>590207</v>
      </c>
      <c r="C4478">
        <v>10</v>
      </c>
      <c r="D4478">
        <v>45</v>
      </c>
      <c r="E4478">
        <v>156</v>
      </c>
      <c r="F4478">
        <v>8</v>
      </c>
      <c r="G4478">
        <v>0</v>
      </c>
      <c r="H4478">
        <v>25</v>
      </c>
      <c r="I4478">
        <v>1492</v>
      </c>
      <c r="J4478">
        <v>600</v>
      </c>
      <c r="K4478">
        <v>6.8970000000000002</v>
      </c>
      <c r="L4478">
        <v>20.528000000000002</v>
      </c>
      <c r="M4478">
        <v>87.950500000000005</v>
      </c>
      <c r="N4478">
        <v>17.574999999999999</v>
      </c>
      <c r="O4478">
        <v>1688</v>
      </c>
      <c r="P4478">
        <v>0</v>
      </c>
      <c r="Q4478" s="5" t="e">
        <f>IF(AND(#REF!&gt;=table!$C$6,#REF!&lt;= table!$D$6),-1,IF(AND(#REF!&gt;=table!$E$6,#REF!&lt;=table!$F$6),1,0))</f>
        <v>#REF!</v>
      </c>
      <c r="R4478" s="5" t="e">
        <f>IF(AND(#REF!&gt;=table!$C$7,#REF!&lt;= table!$D$7),-1,IF(AND(#REF!&gt;=table!$E$7,#REF!&lt;=table!$F$7),1,0))</f>
        <v>#REF!</v>
      </c>
      <c r="S4478" s="5" t="e">
        <f>IF(AND(#REF!&gt;=table!$C$8,#REF!&lt;= table!$D$8),-1,IF(AND(#REF!&gt;=table!$E$8,#REF!&lt;=table!$F$8),1,0))</f>
        <v>#REF!</v>
      </c>
      <c r="T4478" s="5"/>
      <c r="U4478" s="5" t="e">
        <f>IF(AND(#REF!&gt;=table!$C$10,#REF!&lt;= table!$D$10),-1,IF(AND(#REF!&gt;=table!$E$10,#REF!&lt;=table!$F$10),1,0))</f>
        <v>#REF!</v>
      </c>
      <c r="V4478" s="5" t="e">
        <f>IF(AND(#REF!&gt;=table!$C$11,#REF!&lt;= table!$D$11),-1,IF(AND(#REF!&gt;=table!$E$11,#REF!&lt;=table!$F$11),1,0))</f>
        <v>#REF!</v>
      </c>
      <c r="W4478" s="5" t="e">
        <f>CONCATENATE(dados[[#This Row],[fator1]],dados[[#This Row],[fator5]],dados[[#This Row],[fator6]])</f>
        <v>#REF!</v>
      </c>
    </row>
    <row r="4479" spans="1:23">
      <c r="A4479" t="s">
        <v>16</v>
      </c>
      <c r="B4479">
        <v>590209</v>
      </c>
      <c r="C4479">
        <v>0.15</v>
      </c>
      <c r="D4479">
        <v>40</v>
      </c>
      <c r="E4479">
        <v>64</v>
      </c>
      <c r="F4479">
        <v>10</v>
      </c>
      <c r="G4479">
        <v>0</v>
      </c>
      <c r="H4479">
        <v>35</v>
      </c>
      <c r="I4479">
        <v>553</v>
      </c>
      <c r="J4479">
        <v>0</v>
      </c>
      <c r="K4479">
        <v>6.2640000000000002</v>
      </c>
      <c r="L4479">
        <v>18.657500000000002</v>
      </c>
      <c r="M4479">
        <v>15.855</v>
      </c>
      <c r="N4479">
        <v>17.705000000000002</v>
      </c>
      <c r="O4479">
        <v>1668</v>
      </c>
      <c r="P4479">
        <v>651</v>
      </c>
      <c r="Q4479" s="5" t="e">
        <f>IF(AND(#REF!&gt;=table!$C$6,#REF!&lt;= table!$D$6),-1,IF(AND(#REF!&gt;=table!$E$6,#REF!&lt;=table!$F$6),1,0))</f>
        <v>#REF!</v>
      </c>
      <c r="R4479" s="5" t="e">
        <f>IF(AND(#REF!&gt;=table!$C$7,#REF!&lt;= table!$D$7),-1,IF(AND(#REF!&gt;=table!$E$7,#REF!&lt;=table!$F$7),1,0))</f>
        <v>#REF!</v>
      </c>
      <c r="S4479" s="5" t="e">
        <f>IF(AND(#REF!&gt;=table!$C$8,#REF!&lt;= table!$D$8),-1,IF(AND(#REF!&gt;=table!$E$8,#REF!&lt;=table!$F$8),1,0))</f>
        <v>#REF!</v>
      </c>
      <c r="T4479" s="5"/>
      <c r="U4479" s="5" t="e">
        <f>IF(AND(#REF!&gt;=table!$C$10,#REF!&lt;= table!$D$10),-1,IF(AND(#REF!&gt;=table!$E$10,#REF!&lt;=table!$F$10),1,0))</f>
        <v>#REF!</v>
      </c>
      <c r="V4479" s="5" t="e">
        <f>IF(AND(#REF!&gt;=table!$C$11,#REF!&lt;= table!$D$11),-1,IF(AND(#REF!&gt;=table!$E$11,#REF!&lt;=table!$F$11),1,0))</f>
        <v>#REF!</v>
      </c>
      <c r="W4479" s="5" t="e">
        <f>CONCATENATE(dados[[#This Row],[fator1]],dados[[#This Row],[fator5]],dados[[#This Row],[fator6]])</f>
        <v>#REF!</v>
      </c>
    </row>
    <row r="4480" spans="1:23">
      <c r="A4480" t="s">
        <v>17</v>
      </c>
      <c r="B4480">
        <v>590214</v>
      </c>
      <c r="C4480">
        <v>9</v>
      </c>
      <c r="D4480">
        <v>25</v>
      </c>
      <c r="E4480">
        <v>130</v>
      </c>
      <c r="F4480">
        <v>3</v>
      </c>
      <c r="G4480">
        <v>20</v>
      </c>
      <c r="H4480">
        <v>21</v>
      </c>
      <c r="I4480">
        <v>0</v>
      </c>
      <c r="J4480">
        <v>0</v>
      </c>
      <c r="K4480">
        <v>5.7915000000000001</v>
      </c>
      <c r="L4480">
        <v>16.647500000000001</v>
      </c>
      <c r="M4480">
        <v>118.247</v>
      </c>
      <c r="N4480">
        <v>19.845000000000002</v>
      </c>
      <c r="O4480">
        <v>1682</v>
      </c>
      <c r="P4480">
        <v>557</v>
      </c>
      <c r="Q4480" s="5" t="e">
        <f>IF(AND(#REF!&gt;=table!$C$6,#REF!&lt;= table!$D$6),-1,IF(AND(#REF!&gt;=table!$E$6,#REF!&lt;=table!$F$6),1,0))</f>
        <v>#REF!</v>
      </c>
      <c r="R4480" s="5" t="e">
        <f>IF(AND(#REF!&gt;=table!$C$7,#REF!&lt;= table!$D$7),-1,IF(AND(#REF!&gt;=table!$E$7,#REF!&lt;=table!$F$7),1,0))</f>
        <v>#REF!</v>
      </c>
      <c r="S4480" s="5" t="e">
        <f>IF(AND(#REF!&gt;=table!$C$8,#REF!&lt;= table!$D$8),-1,IF(AND(#REF!&gt;=table!$E$8,#REF!&lt;=table!$F$8),1,0))</f>
        <v>#REF!</v>
      </c>
      <c r="T4480" s="5"/>
      <c r="U4480" s="5" t="e">
        <f>IF(AND(#REF!&gt;=table!$C$10,#REF!&lt;= table!$D$10),-1,IF(AND(#REF!&gt;=table!$E$10,#REF!&lt;=table!$F$10),1,0))</f>
        <v>#REF!</v>
      </c>
      <c r="V4480" s="5" t="e">
        <f>IF(AND(#REF!&gt;=table!$C$11,#REF!&lt;= table!$D$11),-1,IF(AND(#REF!&gt;=table!$E$11,#REF!&lt;=table!$F$11),1,0))</f>
        <v>#REF!</v>
      </c>
      <c r="W4480" s="5" t="e">
        <f>CONCATENATE(dados[[#This Row],[fator1]],dados[[#This Row],[fator5]],dados[[#This Row],[fator6]])</f>
        <v>#REF!</v>
      </c>
    </row>
    <row r="4481" spans="1:23">
      <c r="A4481" t="s">
        <v>17</v>
      </c>
      <c r="B4481">
        <v>590215</v>
      </c>
      <c r="C4481">
        <v>9</v>
      </c>
      <c r="D4481">
        <v>25</v>
      </c>
      <c r="E4481">
        <v>130</v>
      </c>
      <c r="F4481">
        <v>3</v>
      </c>
      <c r="G4481">
        <v>20</v>
      </c>
      <c r="H4481">
        <v>21</v>
      </c>
      <c r="I4481">
        <v>558</v>
      </c>
      <c r="J4481">
        <v>0</v>
      </c>
      <c r="K4481">
        <v>8.99</v>
      </c>
      <c r="L4481">
        <v>17.808500000000002</v>
      </c>
      <c r="M4481">
        <v>107.94500000000001</v>
      </c>
      <c r="N4481">
        <v>14.885000000000002</v>
      </c>
      <c r="O4481">
        <v>1675</v>
      </c>
      <c r="P4481">
        <v>395</v>
      </c>
      <c r="Q4481" s="5" t="e">
        <f>IF(AND(#REF!&gt;=table!$C$6,#REF!&lt;= table!$D$6),-1,IF(AND(#REF!&gt;=table!$E$6,#REF!&lt;=table!$F$6),1,0))</f>
        <v>#REF!</v>
      </c>
      <c r="R4481" s="5" t="e">
        <f>IF(AND(#REF!&gt;=table!$C$7,#REF!&lt;= table!$D$7),-1,IF(AND(#REF!&gt;=table!$E$7,#REF!&lt;=table!$F$7),1,0))</f>
        <v>#REF!</v>
      </c>
      <c r="S4481" s="5" t="e">
        <f>IF(AND(#REF!&gt;=table!$C$8,#REF!&lt;= table!$D$8),-1,IF(AND(#REF!&gt;=table!$E$8,#REF!&lt;=table!$F$8),1,0))</f>
        <v>#REF!</v>
      </c>
      <c r="T4481" s="5"/>
      <c r="U4481" s="5" t="e">
        <f>IF(AND(#REF!&gt;=table!$C$10,#REF!&lt;= table!$D$10),-1,IF(AND(#REF!&gt;=table!$E$10,#REF!&lt;=table!$F$10),1,0))</f>
        <v>#REF!</v>
      </c>
      <c r="V4481" s="5" t="e">
        <f>IF(AND(#REF!&gt;=table!$C$11,#REF!&lt;= table!$D$11),-1,IF(AND(#REF!&gt;=table!$E$11,#REF!&lt;=table!$F$11),1,0))</f>
        <v>#REF!</v>
      </c>
      <c r="W4481" s="5" t="e">
        <f>CONCATENATE(dados[[#This Row],[fator1]],dados[[#This Row],[fator5]],dados[[#This Row],[fator6]])</f>
        <v>#REF!</v>
      </c>
    </row>
    <row r="4482" spans="1:23">
      <c r="A4482" t="s">
        <v>17</v>
      </c>
      <c r="B4482">
        <v>590216</v>
      </c>
      <c r="C4482">
        <v>9</v>
      </c>
      <c r="D4482">
        <v>25</v>
      </c>
      <c r="E4482">
        <v>130</v>
      </c>
      <c r="F4482">
        <v>3</v>
      </c>
      <c r="G4482">
        <v>20</v>
      </c>
      <c r="H4482">
        <v>21</v>
      </c>
      <c r="I4482">
        <v>188</v>
      </c>
      <c r="J4482">
        <v>0</v>
      </c>
      <c r="K4482">
        <v>5.133</v>
      </c>
      <c r="L4482">
        <v>17.218500000000002</v>
      </c>
      <c r="M4482">
        <v>104.4045</v>
      </c>
      <c r="N4482">
        <v>17.23</v>
      </c>
      <c r="O4482">
        <v>1675</v>
      </c>
      <c r="P4482">
        <v>580</v>
      </c>
      <c r="Q4482" s="5" t="e">
        <f>IF(AND(#REF!&gt;=table!$C$6,#REF!&lt;= table!$D$6),-1,IF(AND(#REF!&gt;=table!$E$6,#REF!&lt;=table!$F$6),1,0))</f>
        <v>#REF!</v>
      </c>
      <c r="R4482" s="5" t="e">
        <f>IF(AND(#REF!&gt;=table!$C$7,#REF!&lt;= table!$D$7),-1,IF(AND(#REF!&gt;=table!$E$7,#REF!&lt;=table!$F$7),1,0))</f>
        <v>#REF!</v>
      </c>
      <c r="S4482" s="5" t="e">
        <f>IF(AND(#REF!&gt;=table!$C$8,#REF!&lt;= table!$D$8),-1,IF(AND(#REF!&gt;=table!$E$8,#REF!&lt;=table!$F$8),1,0))</f>
        <v>#REF!</v>
      </c>
      <c r="T4482" s="5"/>
      <c r="U4482" s="5" t="e">
        <f>IF(AND(#REF!&gt;=table!$C$10,#REF!&lt;= table!$D$10),-1,IF(AND(#REF!&gt;=table!$E$10,#REF!&lt;=table!$F$10),1,0))</f>
        <v>#REF!</v>
      </c>
      <c r="V4482" s="5" t="e">
        <f>IF(AND(#REF!&gt;=table!$C$11,#REF!&lt;= table!$D$11),-1,IF(AND(#REF!&gt;=table!$E$11,#REF!&lt;=table!$F$11),1,0))</f>
        <v>#REF!</v>
      </c>
      <c r="W4482" s="5" t="e">
        <f>CONCATENATE(dados[[#This Row],[fator1]],dados[[#This Row],[fator5]],dados[[#This Row],[fator6]])</f>
        <v>#REF!</v>
      </c>
    </row>
    <row r="4483" spans="1:23">
      <c r="A4483" t="s">
        <v>17</v>
      </c>
      <c r="B4483">
        <v>590217</v>
      </c>
      <c r="C4483">
        <v>9</v>
      </c>
      <c r="D4483">
        <v>25</v>
      </c>
      <c r="E4483">
        <v>130</v>
      </c>
      <c r="F4483">
        <v>3</v>
      </c>
      <c r="G4483">
        <v>20</v>
      </c>
      <c r="H4483">
        <v>21</v>
      </c>
      <c r="I4483">
        <v>889</v>
      </c>
      <c r="J4483">
        <v>0</v>
      </c>
      <c r="K4483">
        <v>6.0375000000000005</v>
      </c>
      <c r="L4483">
        <v>13.984500000000001</v>
      </c>
      <c r="M4483">
        <v>105.8845</v>
      </c>
      <c r="N4483">
        <v>15.38</v>
      </c>
      <c r="O4483">
        <v>1663</v>
      </c>
      <c r="P4483">
        <v>541</v>
      </c>
      <c r="Q4483" s="5" t="e">
        <f>IF(AND(#REF!&gt;=table!$C$6,#REF!&lt;= table!$D$6),-1,IF(AND(#REF!&gt;=table!$E$6,#REF!&lt;=table!$F$6),1,0))</f>
        <v>#REF!</v>
      </c>
      <c r="R4483" s="5" t="e">
        <f>IF(AND(#REF!&gt;=table!$C$7,#REF!&lt;= table!$D$7),-1,IF(AND(#REF!&gt;=table!$E$7,#REF!&lt;=table!$F$7),1,0))</f>
        <v>#REF!</v>
      </c>
      <c r="S4483" s="5" t="e">
        <f>IF(AND(#REF!&gt;=table!$C$8,#REF!&lt;= table!$D$8),-1,IF(AND(#REF!&gt;=table!$E$8,#REF!&lt;=table!$F$8),1,0))</f>
        <v>#REF!</v>
      </c>
      <c r="T4483" s="5"/>
      <c r="U4483" s="5" t="e">
        <f>IF(AND(#REF!&gt;=table!$C$10,#REF!&lt;= table!$D$10),-1,IF(AND(#REF!&gt;=table!$E$10,#REF!&lt;=table!$F$10),1,0))</f>
        <v>#REF!</v>
      </c>
      <c r="V4483" s="5" t="e">
        <f>IF(AND(#REF!&gt;=table!$C$11,#REF!&lt;= table!$D$11),-1,IF(AND(#REF!&gt;=table!$E$11,#REF!&lt;=table!$F$11),1,0))</f>
        <v>#REF!</v>
      </c>
      <c r="W4483" s="5" t="e">
        <f>CONCATENATE(dados[[#This Row],[fator1]],dados[[#This Row],[fator5]],dados[[#This Row],[fator6]])</f>
        <v>#REF!</v>
      </c>
    </row>
    <row r="4484" spans="1:23">
      <c r="A4484" t="s">
        <v>16</v>
      </c>
      <c r="B4484">
        <v>590220</v>
      </c>
      <c r="C4484">
        <v>0.15</v>
      </c>
      <c r="D4484">
        <v>35</v>
      </c>
      <c r="E4484">
        <v>15</v>
      </c>
      <c r="F4484">
        <v>10</v>
      </c>
      <c r="G4484">
        <v>0</v>
      </c>
      <c r="H4484">
        <v>12</v>
      </c>
      <c r="I4484">
        <v>437</v>
      </c>
      <c r="J4484">
        <v>0</v>
      </c>
      <c r="K4484">
        <v>4.7830000000000004</v>
      </c>
      <c r="L4484">
        <v>11.0175</v>
      </c>
      <c r="M4484">
        <v>10.6075</v>
      </c>
      <c r="N4484">
        <v>12.435</v>
      </c>
      <c r="O4484">
        <v>1665</v>
      </c>
      <c r="P4484">
        <v>806</v>
      </c>
      <c r="Q4484" s="5" t="e">
        <f>IF(AND(#REF!&gt;=table!$C$6,#REF!&lt;= table!$D$6),-1,IF(AND(#REF!&gt;=table!$E$6,#REF!&lt;=table!$F$6),1,0))</f>
        <v>#REF!</v>
      </c>
      <c r="R4484" s="5" t="e">
        <f>IF(AND(#REF!&gt;=table!$C$7,#REF!&lt;= table!$D$7),-1,IF(AND(#REF!&gt;=table!$E$7,#REF!&lt;=table!$F$7),1,0))</f>
        <v>#REF!</v>
      </c>
      <c r="S4484" s="5" t="e">
        <f>IF(AND(#REF!&gt;=table!$C$8,#REF!&lt;= table!$D$8),-1,IF(AND(#REF!&gt;=table!$E$8,#REF!&lt;=table!$F$8),1,0))</f>
        <v>#REF!</v>
      </c>
      <c r="T4484" s="5"/>
      <c r="U4484" s="5" t="e">
        <f>IF(AND(#REF!&gt;=table!$C$10,#REF!&lt;= table!$D$10),-1,IF(AND(#REF!&gt;=table!$E$10,#REF!&lt;=table!$F$10),1,0))</f>
        <v>#REF!</v>
      </c>
      <c r="V4484" s="5" t="e">
        <f>IF(AND(#REF!&gt;=table!$C$11,#REF!&lt;= table!$D$11),-1,IF(AND(#REF!&gt;=table!$E$11,#REF!&lt;=table!$F$11),1,0))</f>
        <v>#REF!</v>
      </c>
      <c r="W4484" s="5" t="e">
        <f>CONCATENATE(dados[[#This Row],[fator1]],dados[[#This Row],[fator5]],dados[[#This Row],[fator6]])</f>
        <v>#REF!</v>
      </c>
    </row>
    <row r="4485" spans="1:23">
      <c r="A4485" t="s">
        <v>17</v>
      </c>
      <c r="B4485">
        <v>590221</v>
      </c>
      <c r="C4485">
        <v>9</v>
      </c>
      <c r="D4485">
        <v>25</v>
      </c>
      <c r="E4485">
        <v>130</v>
      </c>
      <c r="F4485">
        <v>3</v>
      </c>
      <c r="G4485">
        <v>20</v>
      </c>
      <c r="H4485">
        <v>21</v>
      </c>
      <c r="I4485">
        <v>334</v>
      </c>
      <c r="J4485">
        <v>0</v>
      </c>
      <c r="K4485">
        <v>7.5725000000000007</v>
      </c>
      <c r="L4485">
        <v>12.031000000000001</v>
      </c>
      <c r="M4485">
        <v>69.613500000000002</v>
      </c>
      <c r="N4485">
        <v>13.275</v>
      </c>
      <c r="O4485">
        <v>1674</v>
      </c>
      <c r="P4485">
        <v>426</v>
      </c>
      <c r="Q4485" s="5" t="e">
        <f>IF(AND(#REF!&gt;=table!$C$6,#REF!&lt;= table!$D$6),-1,IF(AND(#REF!&gt;=table!$E$6,#REF!&lt;=table!$F$6),1,0))</f>
        <v>#REF!</v>
      </c>
      <c r="R4485" s="5" t="e">
        <f>IF(AND(#REF!&gt;=table!$C$7,#REF!&lt;= table!$D$7),-1,IF(AND(#REF!&gt;=table!$E$7,#REF!&lt;=table!$F$7),1,0))</f>
        <v>#REF!</v>
      </c>
      <c r="S4485" s="5" t="e">
        <f>IF(AND(#REF!&gt;=table!$C$8,#REF!&lt;= table!$D$8),-1,IF(AND(#REF!&gt;=table!$E$8,#REF!&lt;=table!$F$8),1,0))</f>
        <v>#REF!</v>
      </c>
      <c r="T4485" s="5"/>
      <c r="U4485" s="5" t="e">
        <f>IF(AND(#REF!&gt;=table!$C$10,#REF!&lt;= table!$D$10),-1,IF(AND(#REF!&gt;=table!$E$10,#REF!&lt;=table!$F$10),1,0))</f>
        <v>#REF!</v>
      </c>
      <c r="V4485" s="5" t="e">
        <f>IF(AND(#REF!&gt;=table!$C$11,#REF!&lt;= table!$D$11),-1,IF(AND(#REF!&gt;=table!$E$11,#REF!&lt;=table!$F$11),1,0))</f>
        <v>#REF!</v>
      </c>
      <c r="W4485" s="5" t="e">
        <f>CONCATENATE(dados[[#This Row],[fator1]],dados[[#This Row],[fator5]],dados[[#This Row],[fator6]])</f>
        <v>#REF!</v>
      </c>
    </row>
    <row r="4486" spans="1:23">
      <c r="A4486" t="s">
        <v>17</v>
      </c>
      <c r="B4486">
        <v>590222</v>
      </c>
      <c r="C4486">
        <v>16</v>
      </c>
      <c r="D4486">
        <v>23</v>
      </c>
      <c r="E4486">
        <v>145</v>
      </c>
      <c r="F4486">
        <v>9</v>
      </c>
      <c r="G4486">
        <v>30</v>
      </c>
      <c r="H4486">
        <v>25</v>
      </c>
      <c r="I4486">
        <v>534</v>
      </c>
      <c r="J4486">
        <v>0</v>
      </c>
      <c r="K4486">
        <v>5.2220000000000004</v>
      </c>
      <c r="L4486">
        <v>14.3665</v>
      </c>
      <c r="M4486">
        <v>94.965000000000003</v>
      </c>
      <c r="N4486">
        <v>16.059999999999999</v>
      </c>
      <c r="O4486">
        <v>1700</v>
      </c>
      <c r="P4486">
        <v>803</v>
      </c>
      <c r="Q4486" s="5" t="e">
        <f>IF(AND(#REF!&gt;=table!$C$6,#REF!&lt;= table!$D$6),-1,IF(AND(#REF!&gt;=table!$E$6,#REF!&lt;=table!$F$6),1,0))</f>
        <v>#REF!</v>
      </c>
      <c r="R4486" s="5" t="e">
        <f>IF(AND(#REF!&gt;=table!$C$7,#REF!&lt;= table!$D$7),-1,IF(AND(#REF!&gt;=table!$E$7,#REF!&lt;=table!$F$7),1,0))</f>
        <v>#REF!</v>
      </c>
      <c r="S4486" s="5" t="e">
        <f>IF(AND(#REF!&gt;=table!$C$8,#REF!&lt;= table!$D$8),-1,IF(AND(#REF!&gt;=table!$E$8,#REF!&lt;=table!$F$8),1,0))</f>
        <v>#REF!</v>
      </c>
      <c r="T4486" s="5"/>
      <c r="U4486" s="5" t="e">
        <f>IF(AND(#REF!&gt;=table!$C$10,#REF!&lt;= table!$D$10),-1,IF(AND(#REF!&gt;=table!$E$10,#REF!&lt;=table!$F$10),1,0))</f>
        <v>#REF!</v>
      </c>
      <c r="V4486" s="5" t="e">
        <f>IF(AND(#REF!&gt;=table!$C$11,#REF!&lt;= table!$D$11),-1,IF(AND(#REF!&gt;=table!$E$11,#REF!&lt;=table!$F$11),1,0))</f>
        <v>#REF!</v>
      </c>
      <c r="W4486" s="5" t="e">
        <f>CONCATENATE(dados[[#This Row],[fator1]],dados[[#This Row],[fator5]],dados[[#This Row],[fator6]])</f>
        <v>#REF!</v>
      </c>
    </row>
    <row r="4487" spans="1:23">
      <c r="A4487" t="s">
        <v>17</v>
      </c>
      <c r="B4487">
        <v>590223</v>
      </c>
      <c r="C4487">
        <v>9</v>
      </c>
      <c r="D4487">
        <v>25</v>
      </c>
      <c r="E4487">
        <v>130</v>
      </c>
      <c r="F4487">
        <v>3</v>
      </c>
      <c r="G4487">
        <v>20</v>
      </c>
      <c r="H4487">
        <v>21</v>
      </c>
      <c r="I4487">
        <v>50</v>
      </c>
      <c r="J4487">
        <v>0</v>
      </c>
      <c r="K4487">
        <v>6.2560000000000002</v>
      </c>
      <c r="L4487">
        <v>14.853000000000002</v>
      </c>
      <c r="M4487">
        <v>83.265000000000001</v>
      </c>
      <c r="N4487">
        <v>15.585000000000001</v>
      </c>
      <c r="O4487">
        <v>1678</v>
      </c>
      <c r="P4487">
        <v>771</v>
      </c>
      <c r="Q4487" s="5" t="e">
        <f>IF(AND(#REF!&gt;=table!$C$6,#REF!&lt;= table!$D$6),-1,IF(AND(#REF!&gt;=table!$E$6,#REF!&lt;=table!$F$6),1,0))</f>
        <v>#REF!</v>
      </c>
      <c r="R4487" s="5" t="e">
        <f>IF(AND(#REF!&gt;=table!$C$7,#REF!&lt;= table!$D$7),-1,IF(AND(#REF!&gt;=table!$E$7,#REF!&lt;=table!$F$7),1,0))</f>
        <v>#REF!</v>
      </c>
      <c r="S4487" s="5" t="e">
        <f>IF(AND(#REF!&gt;=table!$C$8,#REF!&lt;= table!$D$8),-1,IF(AND(#REF!&gt;=table!$E$8,#REF!&lt;=table!$F$8),1,0))</f>
        <v>#REF!</v>
      </c>
      <c r="T4487" s="5"/>
      <c r="U4487" s="5" t="e">
        <f>IF(AND(#REF!&gt;=table!$C$10,#REF!&lt;= table!$D$10),-1,IF(AND(#REF!&gt;=table!$E$10,#REF!&lt;=table!$F$10),1,0))</f>
        <v>#REF!</v>
      </c>
      <c r="V4487" s="5" t="e">
        <f>IF(AND(#REF!&gt;=table!$C$11,#REF!&lt;= table!$D$11),-1,IF(AND(#REF!&gt;=table!$E$11,#REF!&lt;=table!$F$11),1,0))</f>
        <v>#REF!</v>
      </c>
      <c r="W4487" s="5" t="e">
        <f>CONCATENATE(dados[[#This Row],[fator1]],dados[[#This Row],[fator5]],dados[[#This Row],[fator6]])</f>
        <v>#REF!</v>
      </c>
    </row>
    <row r="4488" spans="1:23">
      <c r="A4488" t="s">
        <v>17</v>
      </c>
      <c r="B4488">
        <v>590224</v>
      </c>
      <c r="C4488">
        <v>9</v>
      </c>
      <c r="D4488">
        <v>25</v>
      </c>
      <c r="E4488">
        <v>130</v>
      </c>
      <c r="F4488">
        <v>3</v>
      </c>
      <c r="G4488">
        <v>20</v>
      </c>
      <c r="H4488">
        <v>21</v>
      </c>
      <c r="I4488">
        <v>6</v>
      </c>
      <c r="J4488">
        <v>0</v>
      </c>
      <c r="K4488">
        <v>3.3215000000000003</v>
      </c>
      <c r="L4488">
        <v>10.681000000000001</v>
      </c>
      <c r="M4488">
        <v>117.30850000000001</v>
      </c>
      <c r="N4488">
        <v>12.42</v>
      </c>
      <c r="O4488">
        <v>1663</v>
      </c>
      <c r="P4488">
        <v>416</v>
      </c>
      <c r="Q4488" s="5" t="e">
        <f>IF(AND(#REF!&gt;=table!$C$6,#REF!&lt;= table!$D$6),-1,IF(AND(#REF!&gt;=table!$E$6,#REF!&lt;=table!$F$6),1,0))</f>
        <v>#REF!</v>
      </c>
      <c r="R4488" s="5" t="e">
        <f>IF(AND(#REF!&gt;=table!$C$7,#REF!&lt;= table!$D$7),-1,IF(AND(#REF!&gt;=table!$E$7,#REF!&lt;=table!$F$7),1,0))</f>
        <v>#REF!</v>
      </c>
      <c r="S4488" s="5" t="e">
        <f>IF(AND(#REF!&gt;=table!$C$8,#REF!&lt;= table!$D$8),-1,IF(AND(#REF!&gt;=table!$E$8,#REF!&lt;=table!$F$8),1,0))</f>
        <v>#REF!</v>
      </c>
      <c r="T4488" s="5"/>
      <c r="U4488" s="5" t="e">
        <f>IF(AND(#REF!&gt;=table!$C$10,#REF!&lt;= table!$D$10),-1,IF(AND(#REF!&gt;=table!$E$10,#REF!&lt;=table!$F$10),1,0))</f>
        <v>#REF!</v>
      </c>
      <c r="V4488" s="5" t="e">
        <f>IF(AND(#REF!&gt;=table!$C$11,#REF!&lt;= table!$D$11),-1,IF(AND(#REF!&gt;=table!$E$11,#REF!&lt;=table!$F$11),1,0))</f>
        <v>#REF!</v>
      </c>
      <c r="W4488" s="5" t="e">
        <f>CONCATENATE(dados[[#This Row],[fator1]],dados[[#This Row],[fator5]],dados[[#This Row],[fator6]])</f>
        <v>#REF!</v>
      </c>
    </row>
    <row r="4489" spans="1:23">
      <c r="A4489" t="s">
        <v>17</v>
      </c>
      <c r="B4489">
        <v>590225</v>
      </c>
      <c r="C4489">
        <v>9</v>
      </c>
      <c r="D4489">
        <v>25</v>
      </c>
      <c r="E4489">
        <v>130</v>
      </c>
      <c r="F4489">
        <v>3</v>
      </c>
      <c r="G4489">
        <v>20</v>
      </c>
      <c r="H4489">
        <v>21</v>
      </c>
      <c r="I4489">
        <v>1881</v>
      </c>
      <c r="J4489">
        <v>0</v>
      </c>
      <c r="K4489">
        <v>8.2795000000000005</v>
      </c>
      <c r="L4489">
        <v>11.7935</v>
      </c>
      <c r="M4489">
        <v>115.12650000000001</v>
      </c>
      <c r="N4489">
        <v>12.705</v>
      </c>
      <c r="O4489">
        <v>1676</v>
      </c>
      <c r="P4489">
        <v>459</v>
      </c>
      <c r="Q4489" s="5" t="e">
        <f>IF(AND(#REF!&gt;=table!$C$6,#REF!&lt;= table!$D$6),-1,IF(AND(#REF!&gt;=table!$E$6,#REF!&lt;=table!$F$6),1,0))</f>
        <v>#REF!</v>
      </c>
      <c r="R4489" s="5" t="e">
        <f>IF(AND(#REF!&gt;=table!$C$7,#REF!&lt;= table!$D$7),-1,IF(AND(#REF!&gt;=table!$E$7,#REF!&lt;=table!$F$7),1,0))</f>
        <v>#REF!</v>
      </c>
      <c r="S4489" s="5" t="e">
        <f>IF(AND(#REF!&gt;=table!$C$8,#REF!&lt;= table!$D$8),-1,IF(AND(#REF!&gt;=table!$E$8,#REF!&lt;=table!$F$8),1,0))</f>
        <v>#REF!</v>
      </c>
      <c r="T4489" s="5"/>
      <c r="U4489" s="5" t="e">
        <f>IF(AND(#REF!&gt;=table!$C$10,#REF!&lt;= table!$D$10),-1,IF(AND(#REF!&gt;=table!$E$10,#REF!&lt;=table!$F$10),1,0))</f>
        <v>#REF!</v>
      </c>
      <c r="V4489" s="5" t="e">
        <f>IF(AND(#REF!&gt;=table!$C$11,#REF!&lt;= table!$D$11),-1,IF(AND(#REF!&gt;=table!$E$11,#REF!&lt;=table!$F$11),1,0))</f>
        <v>#REF!</v>
      </c>
      <c r="W4489" s="5" t="e">
        <f>CONCATENATE(dados[[#This Row],[fator1]],dados[[#This Row],[fator5]],dados[[#This Row],[fator6]])</f>
        <v>#REF!</v>
      </c>
    </row>
    <row r="4490" spans="1:23">
      <c r="A4490" t="s">
        <v>17</v>
      </c>
      <c r="B4490">
        <v>590233</v>
      </c>
      <c r="C4490">
        <v>14</v>
      </c>
      <c r="D4490">
        <v>30</v>
      </c>
      <c r="E4490">
        <v>86</v>
      </c>
      <c r="F4490">
        <v>9</v>
      </c>
      <c r="G4490">
        <v>20</v>
      </c>
      <c r="H4490">
        <v>25</v>
      </c>
      <c r="I4490">
        <v>0</v>
      </c>
      <c r="J4490">
        <v>0</v>
      </c>
      <c r="K4490">
        <v>3.8210000000000002</v>
      </c>
      <c r="L4490">
        <v>6.548</v>
      </c>
      <c r="M4490">
        <v>73.921500000000009</v>
      </c>
      <c r="N4490">
        <v>14.9</v>
      </c>
      <c r="O4490">
        <v>1665</v>
      </c>
      <c r="P4490">
        <v>0</v>
      </c>
      <c r="Q4490" s="5" t="e">
        <f>IF(AND(#REF!&gt;=table!$C$6,#REF!&lt;= table!$D$6),-1,IF(AND(#REF!&gt;=table!$E$6,#REF!&lt;=table!$F$6),1,0))</f>
        <v>#REF!</v>
      </c>
      <c r="R4490" s="5" t="e">
        <f>IF(AND(#REF!&gt;=table!$C$7,#REF!&lt;= table!$D$7),-1,IF(AND(#REF!&gt;=table!$E$7,#REF!&lt;=table!$F$7),1,0))</f>
        <v>#REF!</v>
      </c>
      <c r="S4490" s="5" t="e">
        <f>IF(AND(#REF!&gt;=table!$C$8,#REF!&lt;= table!$D$8),-1,IF(AND(#REF!&gt;=table!$E$8,#REF!&lt;=table!$F$8),1,0))</f>
        <v>#REF!</v>
      </c>
      <c r="T4490" s="5"/>
      <c r="U4490" s="5" t="e">
        <f>IF(AND(#REF!&gt;=table!$C$10,#REF!&lt;= table!$D$10),-1,IF(AND(#REF!&gt;=table!$E$10,#REF!&lt;=table!$F$10),1,0))</f>
        <v>#REF!</v>
      </c>
      <c r="V4490" s="5" t="e">
        <f>IF(AND(#REF!&gt;=table!$C$11,#REF!&lt;= table!$D$11),-1,IF(AND(#REF!&gt;=table!$E$11,#REF!&lt;=table!$F$11),1,0))</f>
        <v>#REF!</v>
      </c>
      <c r="W4490" s="5" t="e">
        <f>CONCATENATE(dados[[#This Row],[fator1]],dados[[#This Row],[fator5]],dados[[#This Row],[fator6]])</f>
        <v>#REF!</v>
      </c>
    </row>
    <row r="4491" spans="1:23">
      <c r="A4491" t="s">
        <v>17</v>
      </c>
      <c r="B4491">
        <v>590234</v>
      </c>
      <c r="C4491">
        <v>16</v>
      </c>
      <c r="D4491">
        <v>30</v>
      </c>
      <c r="E4491">
        <v>76</v>
      </c>
      <c r="F4491">
        <v>9</v>
      </c>
      <c r="G4491">
        <v>20</v>
      </c>
      <c r="H4491">
        <v>25</v>
      </c>
      <c r="I4491">
        <v>1588</v>
      </c>
      <c r="J4491">
        <v>0</v>
      </c>
      <c r="K4491">
        <v>3.6075000000000004</v>
      </c>
      <c r="L4491">
        <v>4.9160000000000004</v>
      </c>
      <c r="M4491">
        <v>79.38900000000001</v>
      </c>
      <c r="N4491">
        <v>14.785</v>
      </c>
      <c r="O4491">
        <v>1676</v>
      </c>
      <c r="P4491">
        <v>0</v>
      </c>
      <c r="Q4491" s="5" t="e">
        <f>IF(AND(#REF!&gt;=table!$C$6,#REF!&lt;= table!$D$6),-1,IF(AND(#REF!&gt;=table!$E$6,#REF!&lt;=table!$F$6),1,0))</f>
        <v>#REF!</v>
      </c>
      <c r="R4491" s="5" t="e">
        <f>IF(AND(#REF!&gt;=table!$C$7,#REF!&lt;= table!$D$7),-1,IF(AND(#REF!&gt;=table!$E$7,#REF!&lt;=table!$F$7),1,0))</f>
        <v>#REF!</v>
      </c>
      <c r="S4491" s="5" t="e">
        <f>IF(AND(#REF!&gt;=table!$C$8,#REF!&lt;= table!$D$8),-1,IF(AND(#REF!&gt;=table!$E$8,#REF!&lt;=table!$F$8),1,0))</f>
        <v>#REF!</v>
      </c>
      <c r="T4491" s="5"/>
      <c r="U4491" s="5" t="e">
        <f>IF(AND(#REF!&gt;=table!$C$10,#REF!&lt;= table!$D$10),-1,IF(AND(#REF!&gt;=table!$E$10,#REF!&lt;=table!$F$10),1,0))</f>
        <v>#REF!</v>
      </c>
      <c r="V4491" s="5" t="e">
        <f>IF(AND(#REF!&gt;=table!$C$11,#REF!&lt;= table!$D$11),-1,IF(AND(#REF!&gt;=table!$E$11,#REF!&lt;=table!$F$11),1,0))</f>
        <v>#REF!</v>
      </c>
      <c r="W4491" s="5" t="e">
        <f>CONCATENATE(dados[[#This Row],[fator1]],dados[[#This Row],[fator5]],dados[[#This Row],[fator6]])</f>
        <v>#REF!</v>
      </c>
    </row>
    <row r="4492" spans="1:23">
      <c r="A4492" t="s">
        <v>17</v>
      </c>
      <c r="B4492">
        <v>590237</v>
      </c>
      <c r="C4492">
        <v>8</v>
      </c>
      <c r="D4492">
        <v>30</v>
      </c>
      <c r="E4492">
        <v>153</v>
      </c>
      <c r="F4492">
        <v>2</v>
      </c>
      <c r="G4492">
        <v>20</v>
      </c>
      <c r="H4492">
        <v>18</v>
      </c>
      <c r="I4492">
        <v>11</v>
      </c>
      <c r="J4492">
        <v>0</v>
      </c>
      <c r="K4492">
        <v>6.0740000000000007</v>
      </c>
      <c r="L4492">
        <v>11.187000000000001</v>
      </c>
      <c r="M4492">
        <v>132.88150000000002</v>
      </c>
      <c r="N4492">
        <v>13.265000000000001</v>
      </c>
      <c r="O4492">
        <v>1667</v>
      </c>
      <c r="P4492">
        <v>627</v>
      </c>
      <c r="Q4492" s="5" t="e">
        <f>IF(AND(#REF!&gt;=table!$C$6,#REF!&lt;= table!$D$6),-1,IF(AND(#REF!&gt;=table!$E$6,#REF!&lt;=table!$F$6),1,0))</f>
        <v>#REF!</v>
      </c>
      <c r="R4492" s="5" t="e">
        <f>IF(AND(#REF!&gt;=table!$C$7,#REF!&lt;= table!$D$7),-1,IF(AND(#REF!&gt;=table!$E$7,#REF!&lt;=table!$F$7),1,0))</f>
        <v>#REF!</v>
      </c>
      <c r="S4492" s="5" t="e">
        <f>IF(AND(#REF!&gt;=table!$C$8,#REF!&lt;= table!$D$8),-1,IF(AND(#REF!&gt;=table!$E$8,#REF!&lt;=table!$F$8),1,0))</f>
        <v>#REF!</v>
      </c>
      <c r="T4492" s="5"/>
      <c r="U4492" s="5" t="e">
        <f>IF(AND(#REF!&gt;=table!$C$10,#REF!&lt;= table!$D$10),-1,IF(AND(#REF!&gt;=table!$E$10,#REF!&lt;=table!$F$10),1,0))</f>
        <v>#REF!</v>
      </c>
      <c r="V4492" s="5" t="e">
        <f>IF(AND(#REF!&gt;=table!$C$11,#REF!&lt;= table!$D$11),-1,IF(AND(#REF!&gt;=table!$E$11,#REF!&lt;=table!$F$11),1,0))</f>
        <v>#REF!</v>
      </c>
      <c r="W4492" s="5" t="e">
        <f>CONCATENATE(dados[[#This Row],[fator1]],dados[[#This Row],[fator5]],dados[[#This Row],[fator6]])</f>
        <v>#REF!</v>
      </c>
    </row>
    <row r="4493" spans="1:23">
      <c r="A4493" t="s">
        <v>16</v>
      </c>
      <c r="B4493">
        <v>590240</v>
      </c>
      <c r="C4493">
        <v>0.15</v>
      </c>
      <c r="D4493">
        <v>35</v>
      </c>
      <c r="E4493">
        <v>15</v>
      </c>
      <c r="F4493">
        <v>10</v>
      </c>
      <c r="G4493">
        <v>0</v>
      </c>
      <c r="H4493">
        <v>12</v>
      </c>
      <c r="I4493">
        <v>442</v>
      </c>
      <c r="J4493">
        <v>540</v>
      </c>
      <c r="K4493">
        <v>4.7605000000000004</v>
      </c>
      <c r="L4493">
        <v>13.9</v>
      </c>
      <c r="M4493">
        <v>8.9269999999999996</v>
      </c>
      <c r="N4493">
        <v>15.88</v>
      </c>
      <c r="O4493">
        <v>1692</v>
      </c>
      <c r="P4493">
        <v>949</v>
      </c>
      <c r="Q4493" s="5" t="e">
        <f>IF(AND(#REF!&gt;=table!$C$6,#REF!&lt;= table!$D$6),-1,IF(AND(#REF!&gt;=table!$E$6,#REF!&lt;=table!$F$6),1,0))</f>
        <v>#REF!</v>
      </c>
      <c r="R4493" s="5" t="e">
        <f>IF(AND(#REF!&gt;=table!$C$7,#REF!&lt;= table!$D$7),-1,IF(AND(#REF!&gt;=table!$E$7,#REF!&lt;=table!$F$7),1,0))</f>
        <v>#REF!</v>
      </c>
      <c r="S4493" s="5" t="e">
        <f>IF(AND(#REF!&gt;=table!$C$8,#REF!&lt;= table!$D$8),-1,IF(AND(#REF!&gt;=table!$E$8,#REF!&lt;=table!$F$8),1,0))</f>
        <v>#REF!</v>
      </c>
      <c r="T4493" s="5"/>
      <c r="U4493" s="5" t="e">
        <f>IF(AND(#REF!&gt;=table!$C$10,#REF!&lt;= table!$D$10),-1,IF(AND(#REF!&gt;=table!$E$10,#REF!&lt;=table!$F$10),1,0))</f>
        <v>#REF!</v>
      </c>
      <c r="V4493" s="5" t="e">
        <f>IF(AND(#REF!&gt;=table!$C$11,#REF!&lt;= table!$D$11),-1,IF(AND(#REF!&gt;=table!$E$11,#REF!&lt;=table!$F$11),1,0))</f>
        <v>#REF!</v>
      </c>
      <c r="W4493" s="5" t="e">
        <f>CONCATENATE(dados[[#This Row],[fator1]],dados[[#This Row],[fator5]],dados[[#This Row],[fator6]])</f>
        <v>#REF!</v>
      </c>
    </row>
    <row r="4494" spans="1:23">
      <c r="A4494" t="s">
        <v>16</v>
      </c>
      <c r="B4494">
        <v>590241</v>
      </c>
      <c r="C4494">
        <v>0.15</v>
      </c>
      <c r="D4494">
        <v>35</v>
      </c>
      <c r="E4494">
        <v>15</v>
      </c>
      <c r="F4494">
        <v>10</v>
      </c>
      <c r="G4494">
        <v>0</v>
      </c>
      <c r="H4494">
        <v>12</v>
      </c>
      <c r="I4494">
        <v>242</v>
      </c>
      <c r="J4494">
        <v>0</v>
      </c>
      <c r="K4494">
        <v>6.9205000000000005</v>
      </c>
      <c r="L4494">
        <v>12.323</v>
      </c>
      <c r="M4494">
        <v>9.57</v>
      </c>
      <c r="N4494">
        <v>11.855</v>
      </c>
      <c r="O4494">
        <v>1671</v>
      </c>
      <c r="P4494">
        <v>643</v>
      </c>
      <c r="Q4494" s="5" t="e">
        <f>IF(AND(#REF!&gt;=table!$C$6,#REF!&lt;= table!$D$6),-1,IF(AND(#REF!&gt;=table!$E$6,#REF!&lt;=table!$F$6),1,0))</f>
        <v>#REF!</v>
      </c>
      <c r="R4494" s="5" t="e">
        <f>IF(AND(#REF!&gt;=table!$C$7,#REF!&lt;= table!$D$7),-1,IF(AND(#REF!&gt;=table!$E$7,#REF!&lt;=table!$F$7),1,0))</f>
        <v>#REF!</v>
      </c>
      <c r="S4494" s="5" t="e">
        <f>IF(AND(#REF!&gt;=table!$C$8,#REF!&lt;= table!$D$8),-1,IF(AND(#REF!&gt;=table!$E$8,#REF!&lt;=table!$F$8),1,0))</f>
        <v>#REF!</v>
      </c>
      <c r="T4494" s="5"/>
      <c r="U4494" s="5" t="e">
        <f>IF(AND(#REF!&gt;=table!$C$10,#REF!&lt;= table!$D$10),-1,IF(AND(#REF!&gt;=table!$E$10,#REF!&lt;=table!$F$10),1,0))</f>
        <v>#REF!</v>
      </c>
      <c r="V4494" s="5" t="e">
        <f>IF(AND(#REF!&gt;=table!$C$11,#REF!&lt;= table!$D$11),-1,IF(AND(#REF!&gt;=table!$E$11,#REF!&lt;=table!$F$11),1,0))</f>
        <v>#REF!</v>
      </c>
      <c r="W4494" s="5" t="e">
        <f>CONCATENATE(dados[[#This Row],[fator1]],dados[[#This Row],[fator5]],dados[[#This Row],[fator6]])</f>
        <v>#REF!</v>
      </c>
    </row>
    <row r="4495" spans="1:23">
      <c r="A4495" t="s">
        <v>16</v>
      </c>
      <c r="B4495">
        <v>590243</v>
      </c>
      <c r="C4495">
        <v>10</v>
      </c>
      <c r="D4495">
        <v>38</v>
      </c>
      <c r="E4495">
        <v>150</v>
      </c>
      <c r="F4495">
        <v>4</v>
      </c>
      <c r="G4495">
        <v>0</v>
      </c>
      <c r="H4495">
        <v>25</v>
      </c>
      <c r="I4495">
        <v>501</v>
      </c>
      <c r="J4495">
        <v>0</v>
      </c>
      <c r="K4495">
        <v>4.6370000000000005</v>
      </c>
      <c r="L4495">
        <v>10.9985</v>
      </c>
      <c r="M4495">
        <v>9.58</v>
      </c>
      <c r="N4495">
        <v>9.5950000000000006</v>
      </c>
      <c r="O4495">
        <v>1673</v>
      </c>
      <c r="P4495">
        <v>1007</v>
      </c>
      <c r="Q4495" s="5" t="e">
        <f>IF(AND(#REF!&gt;=table!$C$6,#REF!&lt;= table!$D$6),-1,IF(AND(#REF!&gt;=table!$E$6,#REF!&lt;=table!$F$6),1,0))</f>
        <v>#REF!</v>
      </c>
      <c r="R4495" s="5" t="e">
        <f>IF(AND(#REF!&gt;=table!$C$7,#REF!&lt;= table!$D$7),-1,IF(AND(#REF!&gt;=table!$E$7,#REF!&lt;=table!$F$7),1,0))</f>
        <v>#REF!</v>
      </c>
      <c r="S4495" s="5" t="e">
        <f>IF(AND(#REF!&gt;=table!$C$8,#REF!&lt;= table!$D$8),-1,IF(AND(#REF!&gt;=table!$E$8,#REF!&lt;=table!$F$8),1,0))</f>
        <v>#REF!</v>
      </c>
      <c r="T4495" s="5"/>
      <c r="U4495" s="5" t="e">
        <f>IF(AND(#REF!&gt;=table!$C$10,#REF!&lt;= table!$D$10),-1,IF(AND(#REF!&gt;=table!$E$10,#REF!&lt;=table!$F$10),1,0))</f>
        <v>#REF!</v>
      </c>
      <c r="V4495" s="5" t="e">
        <f>IF(AND(#REF!&gt;=table!$C$11,#REF!&lt;= table!$D$11),-1,IF(AND(#REF!&gt;=table!$E$11,#REF!&lt;=table!$F$11),1,0))</f>
        <v>#REF!</v>
      </c>
      <c r="W4495" s="5" t="e">
        <f>CONCATENATE(dados[[#This Row],[fator1]],dados[[#This Row],[fator5]],dados[[#This Row],[fator6]])</f>
        <v>#REF!</v>
      </c>
    </row>
    <row r="4496" spans="1:23">
      <c r="A4496" t="s">
        <v>16</v>
      </c>
      <c r="B4496">
        <v>590244</v>
      </c>
      <c r="C4496">
        <v>10</v>
      </c>
      <c r="D4496">
        <v>38</v>
      </c>
      <c r="E4496">
        <v>150</v>
      </c>
      <c r="F4496">
        <v>4</v>
      </c>
      <c r="G4496">
        <v>0</v>
      </c>
      <c r="H4496">
        <v>25</v>
      </c>
      <c r="I4496">
        <v>7</v>
      </c>
      <c r="J4496">
        <v>440</v>
      </c>
      <c r="K4496">
        <v>5.1575000000000006</v>
      </c>
      <c r="L4496">
        <v>16.650500000000001</v>
      </c>
      <c r="M4496">
        <v>140.042</v>
      </c>
      <c r="N4496">
        <v>18.38</v>
      </c>
      <c r="O4496">
        <v>1685</v>
      </c>
      <c r="P4496">
        <v>967</v>
      </c>
      <c r="Q4496" s="5" t="e">
        <f>IF(AND(#REF!&gt;=table!$C$6,#REF!&lt;= table!$D$6),-1,IF(AND(#REF!&gt;=table!$E$6,#REF!&lt;=table!$F$6),1,0))</f>
        <v>#REF!</v>
      </c>
      <c r="R4496" s="5" t="e">
        <f>IF(AND(#REF!&gt;=table!$C$7,#REF!&lt;= table!$D$7),-1,IF(AND(#REF!&gt;=table!$E$7,#REF!&lt;=table!$F$7),1,0))</f>
        <v>#REF!</v>
      </c>
      <c r="S4496" s="5" t="e">
        <f>IF(AND(#REF!&gt;=table!$C$8,#REF!&lt;= table!$D$8),-1,IF(AND(#REF!&gt;=table!$E$8,#REF!&lt;=table!$F$8),1,0))</f>
        <v>#REF!</v>
      </c>
      <c r="T4496" s="5"/>
      <c r="U4496" s="5" t="e">
        <f>IF(AND(#REF!&gt;=table!$C$10,#REF!&lt;= table!$D$10),-1,IF(AND(#REF!&gt;=table!$E$10,#REF!&lt;=table!$F$10),1,0))</f>
        <v>#REF!</v>
      </c>
      <c r="V4496" s="5" t="e">
        <f>IF(AND(#REF!&gt;=table!$C$11,#REF!&lt;= table!$D$11),-1,IF(AND(#REF!&gt;=table!$E$11,#REF!&lt;=table!$F$11),1,0))</f>
        <v>#REF!</v>
      </c>
      <c r="W4496" s="5" t="e">
        <f>CONCATENATE(dados[[#This Row],[fator1]],dados[[#This Row],[fator5]],dados[[#This Row],[fator6]])</f>
        <v>#REF!</v>
      </c>
    </row>
    <row r="4497" spans="1:23">
      <c r="A4497" t="s">
        <v>16</v>
      </c>
      <c r="B4497">
        <v>590245</v>
      </c>
      <c r="C4497">
        <v>10</v>
      </c>
      <c r="D4497">
        <v>38</v>
      </c>
      <c r="E4497">
        <v>150</v>
      </c>
      <c r="F4497">
        <v>4</v>
      </c>
      <c r="G4497">
        <v>0</v>
      </c>
      <c r="H4497">
        <v>25</v>
      </c>
      <c r="I4497">
        <v>3</v>
      </c>
      <c r="J4497">
        <v>790</v>
      </c>
      <c r="K4497">
        <v>6.2797000000000001</v>
      </c>
      <c r="L4497">
        <v>23.413</v>
      </c>
      <c r="M4497">
        <v>136.46899999999999</v>
      </c>
      <c r="N4497">
        <v>18.425000000000001</v>
      </c>
      <c r="O4497">
        <v>1669</v>
      </c>
      <c r="P4497">
        <v>586</v>
      </c>
      <c r="Q4497" s="5" t="e">
        <f>IF(AND(#REF!&gt;=table!$C$6,#REF!&lt;= table!$D$6),-1,IF(AND(#REF!&gt;=table!$E$6,#REF!&lt;=table!$F$6),1,0))</f>
        <v>#REF!</v>
      </c>
      <c r="R4497" s="5" t="e">
        <f>IF(AND(#REF!&gt;=table!$C$7,#REF!&lt;= table!$D$7),-1,IF(AND(#REF!&gt;=table!$E$7,#REF!&lt;=table!$F$7),1,0))</f>
        <v>#REF!</v>
      </c>
      <c r="S4497" s="5" t="e">
        <f>IF(AND(#REF!&gt;=table!$C$8,#REF!&lt;= table!$D$8),-1,IF(AND(#REF!&gt;=table!$E$8,#REF!&lt;=table!$F$8),1,0))</f>
        <v>#REF!</v>
      </c>
      <c r="T4497" s="5"/>
      <c r="U4497" s="5" t="e">
        <f>IF(AND(#REF!&gt;=table!$C$10,#REF!&lt;= table!$D$10),-1,IF(AND(#REF!&gt;=table!$E$10,#REF!&lt;=table!$F$10),1,0))</f>
        <v>#REF!</v>
      </c>
      <c r="V4497" s="5" t="e">
        <f>IF(AND(#REF!&gt;=table!$C$11,#REF!&lt;= table!$D$11),-1,IF(AND(#REF!&gt;=table!$E$11,#REF!&lt;=table!$F$11),1,0))</f>
        <v>#REF!</v>
      </c>
      <c r="W4497" s="5" t="e">
        <f>CONCATENATE(dados[[#This Row],[fator1]],dados[[#This Row],[fator5]],dados[[#This Row],[fator6]])</f>
        <v>#REF!</v>
      </c>
    </row>
    <row r="4498" spans="1:23">
      <c r="A4498" t="s">
        <v>16</v>
      </c>
      <c r="B4498">
        <v>590246</v>
      </c>
      <c r="C4498">
        <v>10</v>
      </c>
      <c r="D4498">
        <v>40</v>
      </c>
      <c r="E4498">
        <v>160</v>
      </c>
      <c r="F4498">
        <v>6</v>
      </c>
      <c r="G4498">
        <v>0</v>
      </c>
      <c r="H4498">
        <v>25</v>
      </c>
      <c r="I4498">
        <v>592</v>
      </c>
      <c r="J4498">
        <v>0</v>
      </c>
      <c r="K4498">
        <v>6.5230000000000006</v>
      </c>
      <c r="L4498">
        <v>12.638500000000001</v>
      </c>
      <c r="M4498">
        <v>97.119</v>
      </c>
      <c r="N4498">
        <v>11.19</v>
      </c>
      <c r="O4498">
        <v>1647</v>
      </c>
      <c r="P4498">
        <v>532</v>
      </c>
      <c r="Q4498" s="5" t="e">
        <f>IF(AND(#REF!&gt;=table!$C$6,#REF!&lt;= table!$D$6),-1,IF(AND(#REF!&gt;=table!$E$6,#REF!&lt;=table!$F$6),1,0))</f>
        <v>#REF!</v>
      </c>
      <c r="R4498" s="5" t="e">
        <f>IF(AND(#REF!&gt;=table!$C$7,#REF!&lt;= table!$D$7),-1,IF(AND(#REF!&gt;=table!$E$7,#REF!&lt;=table!$F$7),1,0))</f>
        <v>#REF!</v>
      </c>
      <c r="S4498" s="5" t="e">
        <f>IF(AND(#REF!&gt;=table!$C$8,#REF!&lt;= table!$D$8),-1,IF(AND(#REF!&gt;=table!$E$8,#REF!&lt;=table!$F$8),1,0))</f>
        <v>#REF!</v>
      </c>
      <c r="T4498" s="5"/>
      <c r="U4498" s="5" t="e">
        <f>IF(AND(#REF!&gt;=table!$C$10,#REF!&lt;= table!$D$10),-1,IF(AND(#REF!&gt;=table!$E$10,#REF!&lt;=table!$F$10),1,0))</f>
        <v>#REF!</v>
      </c>
      <c r="V4498" s="5" t="e">
        <f>IF(AND(#REF!&gt;=table!$C$11,#REF!&lt;= table!$D$11),-1,IF(AND(#REF!&gt;=table!$E$11,#REF!&lt;=table!$F$11),1,0))</f>
        <v>#REF!</v>
      </c>
      <c r="W4498" s="5" t="e">
        <f>CONCATENATE(dados[[#This Row],[fator1]],dados[[#This Row],[fator5]],dados[[#This Row],[fator6]])</f>
        <v>#REF!</v>
      </c>
    </row>
    <row r="4499" spans="1:23">
      <c r="A4499" t="s">
        <v>17</v>
      </c>
      <c r="B4499">
        <v>590248</v>
      </c>
      <c r="C4499">
        <v>16</v>
      </c>
      <c r="D4499">
        <v>30</v>
      </c>
      <c r="E4499">
        <v>116</v>
      </c>
      <c r="F4499">
        <v>6</v>
      </c>
      <c r="G4499">
        <v>20</v>
      </c>
      <c r="H4499">
        <v>25</v>
      </c>
      <c r="I4499">
        <v>227</v>
      </c>
      <c r="J4499">
        <v>560</v>
      </c>
      <c r="K4499">
        <v>4.3864999999999998</v>
      </c>
      <c r="L4499">
        <v>9.0730000000000004</v>
      </c>
      <c r="M4499">
        <v>85.121000000000009</v>
      </c>
      <c r="N4499">
        <v>14.780000000000001</v>
      </c>
      <c r="O4499">
        <v>1662</v>
      </c>
      <c r="P4499">
        <v>974</v>
      </c>
      <c r="Q4499" s="5" t="e">
        <f>IF(AND(#REF!&gt;=table!$C$6,#REF!&lt;= table!$D$6),-1,IF(AND(#REF!&gt;=table!$E$6,#REF!&lt;=table!$F$6),1,0))</f>
        <v>#REF!</v>
      </c>
      <c r="R4499" s="5" t="e">
        <f>IF(AND(#REF!&gt;=table!$C$7,#REF!&lt;= table!$D$7),-1,IF(AND(#REF!&gt;=table!$E$7,#REF!&lt;=table!$F$7),1,0))</f>
        <v>#REF!</v>
      </c>
      <c r="S4499" s="5" t="e">
        <f>IF(AND(#REF!&gt;=table!$C$8,#REF!&lt;= table!$D$8),-1,IF(AND(#REF!&gt;=table!$E$8,#REF!&lt;=table!$F$8),1,0))</f>
        <v>#REF!</v>
      </c>
      <c r="T4499" s="5"/>
      <c r="U4499" s="5" t="e">
        <f>IF(AND(#REF!&gt;=table!$C$10,#REF!&lt;= table!$D$10),-1,IF(AND(#REF!&gt;=table!$E$10,#REF!&lt;=table!$F$10),1,0))</f>
        <v>#REF!</v>
      </c>
      <c r="V4499" s="5" t="e">
        <f>IF(AND(#REF!&gt;=table!$C$11,#REF!&lt;= table!$D$11),-1,IF(AND(#REF!&gt;=table!$E$11,#REF!&lt;=table!$F$11),1,0))</f>
        <v>#REF!</v>
      </c>
      <c r="W4499" s="5" t="e">
        <f>CONCATENATE(dados[[#This Row],[fator1]],dados[[#This Row],[fator5]],dados[[#This Row],[fator6]])</f>
        <v>#REF!</v>
      </c>
    </row>
    <row r="4500" spans="1:23">
      <c r="A4500" t="s">
        <v>17</v>
      </c>
      <c r="B4500">
        <v>590249</v>
      </c>
      <c r="C4500">
        <v>16</v>
      </c>
      <c r="D4500">
        <v>30</v>
      </c>
      <c r="E4500">
        <v>106</v>
      </c>
      <c r="F4500">
        <v>9</v>
      </c>
      <c r="G4500">
        <v>20</v>
      </c>
      <c r="H4500">
        <v>25</v>
      </c>
      <c r="I4500">
        <v>624</v>
      </c>
      <c r="J4500">
        <v>0</v>
      </c>
      <c r="K4500">
        <v>5.6890000000000001</v>
      </c>
      <c r="L4500">
        <v>12.851000000000001</v>
      </c>
      <c r="M4500">
        <v>84.627499999999998</v>
      </c>
      <c r="N4500">
        <v>17.16</v>
      </c>
      <c r="O4500">
        <v>1688</v>
      </c>
      <c r="P4500">
        <v>720</v>
      </c>
      <c r="Q4500" s="5" t="e">
        <f>IF(AND(#REF!&gt;=table!$C$6,#REF!&lt;= table!$D$6),-1,IF(AND(#REF!&gt;=table!$E$6,#REF!&lt;=table!$F$6),1,0))</f>
        <v>#REF!</v>
      </c>
      <c r="R4500" s="5" t="e">
        <f>IF(AND(#REF!&gt;=table!$C$7,#REF!&lt;= table!$D$7),-1,IF(AND(#REF!&gt;=table!$E$7,#REF!&lt;=table!$F$7),1,0))</f>
        <v>#REF!</v>
      </c>
      <c r="S4500" s="5" t="e">
        <f>IF(AND(#REF!&gt;=table!$C$8,#REF!&lt;= table!$D$8),-1,IF(AND(#REF!&gt;=table!$E$8,#REF!&lt;=table!$F$8),1,0))</f>
        <v>#REF!</v>
      </c>
      <c r="T4500" s="5"/>
      <c r="U4500" s="5" t="e">
        <f>IF(AND(#REF!&gt;=table!$C$10,#REF!&lt;= table!$D$10),-1,IF(AND(#REF!&gt;=table!$E$10,#REF!&lt;=table!$F$10),1,0))</f>
        <v>#REF!</v>
      </c>
      <c r="V4500" s="5" t="e">
        <f>IF(AND(#REF!&gt;=table!$C$11,#REF!&lt;= table!$D$11),-1,IF(AND(#REF!&gt;=table!$E$11,#REF!&lt;=table!$F$11),1,0))</f>
        <v>#REF!</v>
      </c>
      <c r="W4500" s="5" t="e">
        <f>CONCATENATE(dados[[#This Row],[fator1]],dados[[#This Row],[fator5]],dados[[#This Row],[fator6]])</f>
        <v>#REF!</v>
      </c>
    </row>
    <row r="4501" spans="1:23">
      <c r="A4501" t="s">
        <v>17</v>
      </c>
      <c r="B4501">
        <v>590250</v>
      </c>
      <c r="C4501">
        <v>15</v>
      </c>
      <c r="D4501">
        <v>23</v>
      </c>
      <c r="E4501">
        <v>155</v>
      </c>
      <c r="F4501">
        <v>4</v>
      </c>
      <c r="G4501">
        <v>30</v>
      </c>
      <c r="H4501">
        <v>25</v>
      </c>
      <c r="I4501">
        <v>3</v>
      </c>
      <c r="J4501">
        <v>0</v>
      </c>
      <c r="K4501">
        <v>3.5545</v>
      </c>
      <c r="L4501">
        <v>9.9190000000000005</v>
      </c>
      <c r="M4501">
        <v>123.789</v>
      </c>
      <c r="N4501">
        <v>15.98</v>
      </c>
      <c r="O4501">
        <v>1677</v>
      </c>
      <c r="P4501">
        <v>1086</v>
      </c>
      <c r="Q4501" s="5" t="e">
        <f>IF(AND(#REF!&gt;=table!$C$6,#REF!&lt;= table!$D$6),-1,IF(AND(#REF!&gt;=table!$E$6,#REF!&lt;=table!$F$6),1,0))</f>
        <v>#REF!</v>
      </c>
      <c r="R4501" s="5" t="e">
        <f>IF(AND(#REF!&gt;=table!$C$7,#REF!&lt;= table!$D$7),-1,IF(AND(#REF!&gt;=table!$E$7,#REF!&lt;=table!$F$7),1,0))</f>
        <v>#REF!</v>
      </c>
      <c r="S4501" s="5" t="e">
        <f>IF(AND(#REF!&gt;=table!$C$8,#REF!&lt;= table!$D$8),-1,IF(AND(#REF!&gt;=table!$E$8,#REF!&lt;=table!$F$8),1,0))</f>
        <v>#REF!</v>
      </c>
      <c r="T4501" s="5"/>
      <c r="U4501" s="5" t="e">
        <f>IF(AND(#REF!&gt;=table!$C$10,#REF!&lt;= table!$D$10),-1,IF(AND(#REF!&gt;=table!$E$10,#REF!&lt;=table!$F$10),1,0))</f>
        <v>#REF!</v>
      </c>
      <c r="V4501" s="5" t="e">
        <f>IF(AND(#REF!&gt;=table!$C$11,#REF!&lt;= table!$D$11),-1,IF(AND(#REF!&gt;=table!$E$11,#REF!&lt;=table!$F$11),1,0))</f>
        <v>#REF!</v>
      </c>
      <c r="W4501" s="5" t="e">
        <f>CONCATENATE(dados[[#This Row],[fator1]],dados[[#This Row],[fator5]],dados[[#This Row],[fator6]])</f>
        <v>#REF!</v>
      </c>
    </row>
    <row r="4502" spans="1:23">
      <c r="A4502" t="s">
        <v>17</v>
      </c>
      <c r="B4502">
        <v>590252</v>
      </c>
      <c r="C4502">
        <v>16</v>
      </c>
      <c r="D4502">
        <v>23</v>
      </c>
      <c r="E4502">
        <v>145</v>
      </c>
      <c r="F4502">
        <v>9</v>
      </c>
      <c r="G4502">
        <v>30</v>
      </c>
      <c r="H4502">
        <v>25</v>
      </c>
      <c r="I4502">
        <v>0</v>
      </c>
      <c r="J4502">
        <v>0</v>
      </c>
      <c r="K4502">
        <v>7.28</v>
      </c>
      <c r="L4502">
        <v>21.624500000000001</v>
      </c>
      <c r="M4502">
        <v>123.979</v>
      </c>
      <c r="N4502">
        <v>26.035</v>
      </c>
      <c r="O4502">
        <v>1656</v>
      </c>
      <c r="P4502">
        <v>456</v>
      </c>
      <c r="Q4502" s="5" t="e">
        <f>IF(AND(#REF!&gt;=table!$C$6,#REF!&lt;= table!$D$6),-1,IF(AND(#REF!&gt;=table!$E$6,#REF!&lt;=table!$F$6),1,0))</f>
        <v>#REF!</v>
      </c>
      <c r="R4502" s="5" t="e">
        <f>IF(AND(#REF!&gt;=table!$C$7,#REF!&lt;= table!$D$7),-1,IF(AND(#REF!&gt;=table!$E$7,#REF!&lt;=table!$F$7),1,0))</f>
        <v>#REF!</v>
      </c>
      <c r="S4502" s="5" t="e">
        <f>IF(AND(#REF!&gt;=table!$C$8,#REF!&lt;= table!$D$8),-1,IF(AND(#REF!&gt;=table!$E$8,#REF!&lt;=table!$F$8),1,0))</f>
        <v>#REF!</v>
      </c>
      <c r="T4502" s="5"/>
      <c r="U4502" s="5" t="e">
        <f>IF(AND(#REF!&gt;=table!$C$10,#REF!&lt;= table!$D$10),-1,IF(AND(#REF!&gt;=table!$E$10,#REF!&lt;=table!$F$10),1,0))</f>
        <v>#REF!</v>
      </c>
      <c r="V4502" s="5" t="e">
        <f>IF(AND(#REF!&gt;=table!$C$11,#REF!&lt;= table!$D$11),-1,IF(AND(#REF!&gt;=table!$E$11,#REF!&lt;=table!$F$11),1,0))</f>
        <v>#REF!</v>
      </c>
      <c r="W4502" s="5" t="e">
        <f>CONCATENATE(dados[[#This Row],[fator1]],dados[[#This Row],[fator5]],dados[[#This Row],[fator6]])</f>
        <v>#REF!</v>
      </c>
    </row>
    <row r="4503" spans="1:23">
      <c r="A4503" t="s">
        <v>17</v>
      </c>
      <c r="B4503">
        <v>590253</v>
      </c>
      <c r="C4503">
        <v>16</v>
      </c>
      <c r="D4503">
        <v>23</v>
      </c>
      <c r="E4503">
        <v>145</v>
      </c>
      <c r="F4503">
        <v>9</v>
      </c>
      <c r="G4503">
        <v>30</v>
      </c>
      <c r="H4503">
        <v>25</v>
      </c>
      <c r="I4503">
        <v>14</v>
      </c>
      <c r="J4503">
        <v>0</v>
      </c>
      <c r="K4503">
        <v>6.8220000000000001</v>
      </c>
      <c r="L4503">
        <v>16.635000000000002</v>
      </c>
      <c r="M4503">
        <v>56.089000000000006</v>
      </c>
      <c r="N4503">
        <v>20.87</v>
      </c>
      <c r="O4503">
        <v>1679</v>
      </c>
      <c r="P4503">
        <v>503</v>
      </c>
      <c r="Q4503" s="5" t="e">
        <f>IF(AND(#REF!&gt;=table!$C$6,#REF!&lt;= table!$D$6),-1,IF(AND(#REF!&gt;=table!$E$6,#REF!&lt;=table!$F$6),1,0))</f>
        <v>#REF!</v>
      </c>
      <c r="R4503" s="5" t="e">
        <f>IF(AND(#REF!&gt;=table!$C$7,#REF!&lt;= table!$D$7),-1,IF(AND(#REF!&gt;=table!$E$7,#REF!&lt;=table!$F$7),1,0))</f>
        <v>#REF!</v>
      </c>
      <c r="S4503" s="5" t="e">
        <f>IF(AND(#REF!&gt;=table!$C$8,#REF!&lt;= table!$D$8),-1,IF(AND(#REF!&gt;=table!$E$8,#REF!&lt;=table!$F$8),1,0))</f>
        <v>#REF!</v>
      </c>
      <c r="T4503" s="5"/>
      <c r="U4503" s="5" t="e">
        <f>IF(AND(#REF!&gt;=table!$C$10,#REF!&lt;= table!$D$10),-1,IF(AND(#REF!&gt;=table!$E$10,#REF!&lt;=table!$F$10),1,0))</f>
        <v>#REF!</v>
      </c>
      <c r="V4503" s="5" t="e">
        <f>IF(AND(#REF!&gt;=table!$C$11,#REF!&lt;= table!$D$11),-1,IF(AND(#REF!&gt;=table!$E$11,#REF!&lt;=table!$F$11),1,0))</f>
        <v>#REF!</v>
      </c>
      <c r="W4503" s="5" t="e">
        <f>CONCATENATE(dados[[#This Row],[fator1]],dados[[#This Row],[fator5]],dados[[#This Row],[fator6]])</f>
        <v>#REF!</v>
      </c>
    </row>
    <row r="4504" spans="1:23">
      <c r="A4504" t="s">
        <v>18</v>
      </c>
      <c r="B4504">
        <v>590255</v>
      </c>
      <c r="C4504">
        <v>3</v>
      </c>
      <c r="D4504">
        <v>5</v>
      </c>
      <c r="E4504">
        <v>26</v>
      </c>
      <c r="F4504">
        <v>15</v>
      </c>
      <c r="G4504">
        <v>42</v>
      </c>
      <c r="H4504">
        <v>30</v>
      </c>
      <c r="I4504">
        <v>0</v>
      </c>
      <c r="J4504">
        <v>0</v>
      </c>
      <c r="K4504">
        <v>5.1275000000000004</v>
      </c>
      <c r="L4504">
        <v>12.967500000000001</v>
      </c>
      <c r="M4504">
        <v>22.752500000000001</v>
      </c>
      <c r="N4504">
        <v>14.76</v>
      </c>
      <c r="O4504">
        <v>1661</v>
      </c>
      <c r="P4504">
        <v>597</v>
      </c>
      <c r="Q4504" s="5" t="e">
        <f>IF(AND(#REF!&gt;=table!$C$6,#REF!&lt;= table!$D$6),-1,IF(AND(#REF!&gt;=table!$E$6,#REF!&lt;=table!$F$6),1,0))</f>
        <v>#REF!</v>
      </c>
      <c r="R4504" s="5" t="e">
        <f>IF(AND(#REF!&gt;=table!$C$7,#REF!&lt;= table!$D$7),-1,IF(AND(#REF!&gt;=table!$E$7,#REF!&lt;=table!$F$7),1,0))</f>
        <v>#REF!</v>
      </c>
      <c r="S4504" s="5" t="e">
        <f>IF(AND(#REF!&gt;=table!$C$8,#REF!&lt;= table!$D$8),-1,IF(AND(#REF!&gt;=table!$E$8,#REF!&lt;=table!$F$8),1,0))</f>
        <v>#REF!</v>
      </c>
      <c r="T4504" s="5"/>
      <c r="U4504" s="5" t="e">
        <f>IF(AND(#REF!&gt;=table!$C$10,#REF!&lt;= table!$D$10),-1,IF(AND(#REF!&gt;=table!$E$10,#REF!&lt;=table!$F$10),1,0))</f>
        <v>#REF!</v>
      </c>
      <c r="V4504" s="5" t="e">
        <f>IF(AND(#REF!&gt;=table!$C$11,#REF!&lt;= table!$D$11),-1,IF(AND(#REF!&gt;=table!$E$11,#REF!&lt;=table!$F$11),1,0))</f>
        <v>#REF!</v>
      </c>
      <c r="W4504" s="5" t="e">
        <f>CONCATENATE(dados[[#This Row],[fator1]],dados[[#This Row],[fator5]],dados[[#This Row],[fator6]])</f>
        <v>#REF!</v>
      </c>
    </row>
    <row r="4505" spans="1:23">
      <c r="A4505" t="s">
        <v>17</v>
      </c>
      <c r="B4505">
        <v>590258</v>
      </c>
      <c r="C4505">
        <v>0.15</v>
      </c>
      <c r="D4505">
        <v>500</v>
      </c>
      <c r="E4505">
        <v>50</v>
      </c>
      <c r="F4505">
        <v>10</v>
      </c>
      <c r="G4505">
        <v>80</v>
      </c>
      <c r="H4505">
        <v>30</v>
      </c>
      <c r="I4505">
        <v>757</v>
      </c>
      <c r="J4505">
        <v>0</v>
      </c>
      <c r="K4505">
        <v>2.6619999999999999</v>
      </c>
      <c r="L4505">
        <v>14.122</v>
      </c>
      <c r="M4505">
        <v>11.685</v>
      </c>
      <c r="N4505">
        <v>24.34</v>
      </c>
      <c r="O4505">
        <v>1703</v>
      </c>
      <c r="P4505">
        <v>1170</v>
      </c>
      <c r="Q4505" s="5" t="e">
        <f>IF(AND(#REF!&gt;=table!$C$6,#REF!&lt;= table!$D$6),-1,IF(AND(#REF!&gt;=table!$E$6,#REF!&lt;=table!$F$6),1,0))</f>
        <v>#REF!</v>
      </c>
      <c r="R4505" s="5" t="e">
        <f>IF(AND(#REF!&gt;=table!$C$7,#REF!&lt;= table!$D$7),-1,IF(AND(#REF!&gt;=table!$E$7,#REF!&lt;=table!$F$7),1,0))</f>
        <v>#REF!</v>
      </c>
      <c r="S4505" s="5" t="e">
        <f>IF(AND(#REF!&gt;=table!$C$8,#REF!&lt;= table!$D$8),-1,IF(AND(#REF!&gt;=table!$E$8,#REF!&lt;=table!$F$8),1,0))</f>
        <v>#REF!</v>
      </c>
      <c r="T4505" s="5"/>
      <c r="U4505" s="5" t="e">
        <f>IF(AND(#REF!&gt;=table!$C$10,#REF!&lt;= table!$D$10),-1,IF(AND(#REF!&gt;=table!$E$10,#REF!&lt;=table!$F$10),1,0))</f>
        <v>#REF!</v>
      </c>
      <c r="V4505" s="5" t="e">
        <f>IF(AND(#REF!&gt;=table!$C$11,#REF!&lt;= table!$D$11),-1,IF(AND(#REF!&gt;=table!$E$11,#REF!&lt;=table!$F$11),1,0))</f>
        <v>#REF!</v>
      </c>
      <c r="W4505" s="5" t="e">
        <f>CONCATENATE(dados[[#This Row],[fator1]],dados[[#This Row],[fator5]],dados[[#This Row],[fator6]])</f>
        <v>#REF!</v>
      </c>
    </row>
    <row r="4506" spans="1:23">
      <c r="A4506" t="s">
        <v>17</v>
      </c>
      <c r="B4506">
        <v>590263</v>
      </c>
      <c r="C4506">
        <v>22</v>
      </c>
      <c r="D4506">
        <v>30</v>
      </c>
      <c r="E4506">
        <v>101</v>
      </c>
      <c r="F4506">
        <v>9</v>
      </c>
      <c r="G4506">
        <v>20</v>
      </c>
      <c r="H4506">
        <v>25</v>
      </c>
      <c r="I4506">
        <v>0</v>
      </c>
      <c r="J4506">
        <v>0</v>
      </c>
      <c r="K4506">
        <v>2.6105</v>
      </c>
      <c r="L4506">
        <v>7.6910000000000007</v>
      </c>
      <c r="M4506">
        <v>87.816500000000005</v>
      </c>
      <c r="N4506">
        <v>16.535</v>
      </c>
      <c r="O4506">
        <v>1693</v>
      </c>
      <c r="P4506">
        <v>1490</v>
      </c>
      <c r="Q4506" s="5" t="e">
        <f>IF(AND(#REF!&gt;=table!$C$6,#REF!&lt;= table!$D$6),-1,IF(AND(#REF!&gt;=table!$E$6,#REF!&lt;=table!$F$6),1,0))</f>
        <v>#REF!</v>
      </c>
      <c r="R4506" s="5" t="e">
        <f>IF(AND(#REF!&gt;=table!$C$7,#REF!&lt;= table!$D$7),-1,IF(AND(#REF!&gt;=table!$E$7,#REF!&lt;=table!$F$7),1,0))</f>
        <v>#REF!</v>
      </c>
      <c r="S4506" s="5" t="e">
        <f>IF(AND(#REF!&gt;=table!$C$8,#REF!&lt;= table!$D$8),-1,IF(AND(#REF!&gt;=table!$E$8,#REF!&lt;=table!$F$8),1,0))</f>
        <v>#REF!</v>
      </c>
      <c r="T4506" s="5"/>
      <c r="U4506" s="5" t="e">
        <f>IF(AND(#REF!&gt;=table!$C$10,#REF!&lt;= table!$D$10),-1,IF(AND(#REF!&gt;=table!$E$10,#REF!&lt;=table!$F$10),1,0))</f>
        <v>#REF!</v>
      </c>
      <c r="V4506" s="5" t="e">
        <f>IF(AND(#REF!&gt;=table!$C$11,#REF!&lt;= table!$D$11),-1,IF(AND(#REF!&gt;=table!$E$11,#REF!&lt;=table!$F$11),1,0))</f>
        <v>#REF!</v>
      </c>
      <c r="W4506" s="5" t="e">
        <f>CONCATENATE(dados[[#This Row],[fator1]],dados[[#This Row],[fator5]],dados[[#This Row],[fator6]])</f>
        <v>#REF!</v>
      </c>
    </row>
    <row r="4507" spans="1:23">
      <c r="A4507" t="s">
        <v>17</v>
      </c>
      <c r="B4507">
        <v>590267</v>
      </c>
      <c r="C4507">
        <v>22</v>
      </c>
      <c r="D4507">
        <v>30</v>
      </c>
      <c r="E4507">
        <v>101</v>
      </c>
      <c r="F4507">
        <v>9</v>
      </c>
      <c r="G4507">
        <v>20</v>
      </c>
      <c r="H4507">
        <v>25</v>
      </c>
      <c r="I4507">
        <v>0</v>
      </c>
      <c r="J4507">
        <v>0</v>
      </c>
      <c r="K4507">
        <v>6.3325000000000005</v>
      </c>
      <c r="L4507">
        <v>17.848000000000003</v>
      </c>
      <c r="M4507">
        <v>92.370500000000007</v>
      </c>
      <c r="N4507">
        <v>21.69</v>
      </c>
      <c r="O4507">
        <v>1685</v>
      </c>
      <c r="P4507">
        <v>0</v>
      </c>
      <c r="Q4507" s="5" t="e">
        <f>IF(AND(#REF!&gt;=table!$C$6,#REF!&lt;= table!$D$6),-1,IF(AND(#REF!&gt;=table!$E$6,#REF!&lt;=table!$F$6),1,0))</f>
        <v>#REF!</v>
      </c>
      <c r="R4507" s="5" t="e">
        <f>IF(AND(#REF!&gt;=table!$C$7,#REF!&lt;= table!$D$7),-1,IF(AND(#REF!&gt;=table!$E$7,#REF!&lt;=table!$F$7),1,0))</f>
        <v>#REF!</v>
      </c>
      <c r="S4507" s="5" t="e">
        <f>IF(AND(#REF!&gt;=table!$C$8,#REF!&lt;= table!$D$8),-1,IF(AND(#REF!&gt;=table!$E$8,#REF!&lt;=table!$F$8),1,0))</f>
        <v>#REF!</v>
      </c>
      <c r="T4507" s="5"/>
      <c r="U4507" s="5" t="e">
        <f>IF(AND(#REF!&gt;=table!$C$10,#REF!&lt;= table!$D$10),-1,IF(AND(#REF!&gt;=table!$E$10,#REF!&lt;=table!$F$10),1,0))</f>
        <v>#REF!</v>
      </c>
      <c r="V4507" s="5" t="e">
        <f>IF(AND(#REF!&gt;=table!$C$11,#REF!&lt;= table!$D$11),-1,IF(AND(#REF!&gt;=table!$E$11,#REF!&lt;=table!$F$11),1,0))</f>
        <v>#REF!</v>
      </c>
      <c r="W4507" s="5" t="e">
        <f>CONCATENATE(dados[[#This Row],[fator1]],dados[[#This Row],[fator5]],dados[[#This Row],[fator6]])</f>
        <v>#REF!</v>
      </c>
    </row>
    <row r="4508" spans="1:23">
      <c r="A4508" t="s">
        <v>17</v>
      </c>
      <c r="B4508">
        <v>590268</v>
      </c>
      <c r="C4508">
        <v>22</v>
      </c>
      <c r="D4508">
        <v>30</v>
      </c>
      <c r="E4508">
        <v>101</v>
      </c>
      <c r="F4508">
        <v>9</v>
      </c>
      <c r="G4508">
        <v>20</v>
      </c>
      <c r="H4508">
        <v>25</v>
      </c>
      <c r="I4508">
        <v>83</v>
      </c>
      <c r="J4508">
        <v>1360</v>
      </c>
      <c r="K4508">
        <v>17.009</v>
      </c>
      <c r="L4508">
        <v>26.488500000000002</v>
      </c>
      <c r="M4508">
        <v>92.887500000000003</v>
      </c>
      <c r="N4508">
        <v>13.235000000000001</v>
      </c>
      <c r="O4508">
        <v>1682</v>
      </c>
      <c r="P4508">
        <v>0</v>
      </c>
      <c r="Q4508" s="5" t="e">
        <f>IF(AND(#REF!&gt;=table!$C$6,#REF!&lt;= table!$D$6),-1,IF(AND(#REF!&gt;=table!$E$6,#REF!&lt;=table!$F$6),1,0))</f>
        <v>#REF!</v>
      </c>
      <c r="R4508" s="5" t="e">
        <f>IF(AND(#REF!&gt;=table!$C$7,#REF!&lt;= table!$D$7),-1,IF(AND(#REF!&gt;=table!$E$7,#REF!&lt;=table!$F$7),1,0))</f>
        <v>#REF!</v>
      </c>
      <c r="S4508" s="5" t="e">
        <f>IF(AND(#REF!&gt;=table!$C$8,#REF!&lt;= table!$D$8),-1,IF(AND(#REF!&gt;=table!$E$8,#REF!&lt;=table!$F$8),1,0))</f>
        <v>#REF!</v>
      </c>
      <c r="T4508" s="5"/>
      <c r="U4508" s="5" t="e">
        <f>IF(AND(#REF!&gt;=table!$C$10,#REF!&lt;= table!$D$10),-1,IF(AND(#REF!&gt;=table!$E$10,#REF!&lt;=table!$F$10),1,0))</f>
        <v>#REF!</v>
      </c>
      <c r="V4508" s="5" t="e">
        <f>IF(AND(#REF!&gt;=table!$C$11,#REF!&lt;= table!$D$11),-1,IF(AND(#REF!&gt;=table!$E$11,#REF!&lt;=table!$F$11),1,0))</f>
        <v>#REF!</v>
      </c>
      <c r="W4508" s="5" t="e">
        <f>CONCATENATE(dados[[#This Row],[fator1]],dados[[#This Row],[fator5]],dados[[#This Row],[fator6]])</f>
        <v>#REF!</v>
      </c>
    </row>
    <row r="4509" spans="1:23">
      <c r="A4509" t="s">
        <v>18</v>
      </c>
      <c r="B4509">
        <v>590269</v>
      </c>
      <c r="C4509">
        <v>3</v>
      </c>
      <c r="D4509">
        <v>5</v>
      </c>
      <c r="E4509">
        <v>26</v>
      </c>
      <c r="F4509">
        <v>15</v>
      </c>
      <c r="G4509">
        <v>42</v>
      </c>
      <c r="H4509">
        <v>30</v>
      </c>
      <c r="I4509">
        <v>393</v>
      </c>
      <c r="J4509">
        <v>0</v>
      </c>
      <c r="K4509">
        <v>3.0590000000000002</v>
      </c>
      <c r="L4509">
        <v>12.775500000000001</v>
      </c>
      <c r="M4509">
        <v>20.868500000000001</v>
      </c>
      <c r="N4509">
        <v>21.775000000000002</v>
      </c>
      <c r="O4509">
        <v>1687</v>
      </c>
      <c r="P4509">
        <v>1233</v>
      </c>
      <c r="Q4509" s="5" t="e">
        <f>IF(AND(#REF!&gt;=table!$C$6,#REF!&lt;= table!$D$6),-1,IF(AND(#REF!&gt;=table!$E$6,#REF!&lt;=table!$F$6),1,0))</f>
        <v>#REF!</v>
      </c>
      <c r="R4509" s="5" t="e">
        <f>IF(AND(#REF!&gt;=table!$C$7,#REF!&lt;= table!$D$7),-1,IF(AND(#REF!&gt;=table!$E$7,#REF!&lt;=table!$F$7),1,0))</f>
        <v>#REF!</v>
      </c>
      <c r="S4509" s="5" t="e">
        <f>IF(AND(#REF!&gt;=table!$C$8,#REF!&lt;= table!$D$8),-1,IF(AND(#REF!&gt;=table!$E$8,#REF!&lt;=table!$F$8),1,0))</f>
        <v>#REF!</v>
      </c>
      <c r="T4509" s="5"/>
      <c r="U4509" s="5" t="e">
        <f>IF(AND(#REF!&gt;=table!$C$10,#REF!&lt;= table!$D$10),-1,IF(AND(#REF!&gt;=table!$E$10,#REF!&lt;=table!$F$10),1,0))</f>
        <v>#REF!</v>
      </c>
      <c r="V4509" s="5" t="e">
        <f>IF(AND(#REF!&gt;=table!$C$11,#REF!&lt;= table!$D$11),-1,IF(AND(#REF!&gt;=table!$E$11,#REF!&lt;=table!$F$11),1,0))</f>
        <v>#REF!</v>
      </c>
      <c r="W4509" s="5" t="e">
        <f>CONCATENATE(dados[[#This Row],[fator1]],dados[[#This Row],[fator5]],dados[[#This Row],[fator6]])</f>
        <v>#REF!</v>
      </c>
    </row>
    <row r="4510" spans="1:23">
      <c r="A4510" t="s">
        <v>16</v>
      </c>
      <c r="B4510">
        <v>590274</v>
      </c>
      <c r="C4510">
        <v>0.15</v>
      </c>
      <c r="D4510">
        <v>40</v>
      </c>
      <c r="E4510">
        <v>10</v>
      </c>
      <c r="F4510">
        <v>15</v>
      </c>
      <c r="G4510">
        <v>0</v>
      </c>
      <c r="H4510">
        <v>15</v>
      </c>
      <c r="I4510">
        <v>2</v>
      </c>
      <c r="J4510">
        <v>0</v>
      </c>
      <c r="K4510">
        <v>3.7905000000000002</v>
      </c>
      <c r="L4510">
        <v>12.1585</v>
      </c>
      <c r="M4510">
        <v>10.083</v>
      </c>
      <c r="N4510">
        <v>13.705</v>
      </c>
      <c r="O4510">
        <v>1688</v>
      </c>
      <c r="P4510">
        <v>1112</v>
      </c>
      <c r="Q4510" s="5" t="e">
        <f>IF(AND(#REF!&gt;=table!$C$6,#REF!&lt;= table!$D$6),-1,IF(AND(#REF!&gt;=table!$E$6,#REF!&lt;=table!$F$6),1,0))</f>
        <v>#REF!</v>
      </c>
      <c r="R4510" s="5" t="e">
        <f>IF(AND(#REF!&gt;=table!$C$7,#REF!&lt;= table!$D$7),-1,IF(AND(#REF!&gt;=table!$E$7,#REF!&lt;=table!$F$7),1,0))</f>
        <v>#REF!</v>
      </c>
      <c r="S4510" s="5" t="e">
        <f>IF(AND(#REF!&gt;=table!$C$8,#REF!&lt;= table!$D$8),-1,IF(AND(#REF!&gt;=table!$E$8,#REF!&lt;=table!$F$8),1,0))</f>
        <v>#REF!</v>
      </c>
      <c r="T4510" s="5"/>
      <c r="U4510" s="5" t="e">
        <f>IF(AND(#REF!&gt;=table!$C$10,#REF!&lt;= table!$D$10),-1,IF(AND(#REF!&gt;=table!$E$10,#REF!&lt;=table!$F$10),1,0))</f>
        <v>#REF!</v>
      </c>
      <c r="V4510" s="5" t="e">
        <f>IF(AND(#REF!&gt;=table!$C$11,#REF!&lt;= table!$D$11),-1,IF(AND(#REF!&gt;=table!$E$11,#REF!&lt;=table!$F$11),1,0))</f>
        <v>#REF!</v>
      </c>
      <c r="W4510" s="5" t="e">
        <f>CONCATENATE(dados[[#This Row],[fator1]],dados[[#This Row],[fator5]],dados[[#This Row],[fator6]])</f>
        <v>#REF!</v>
      </c>
    </row>
    <row r="4511" spans="1:23">
      <c r="A4511" t="s">
        <v>17</v>
      </c>
      <c r="B4511">
        <v>590279</v>
      </c>
      <c r="C4511">
        <v>18</v>
      </c>
      <c r="D4511">
        <v>30</v>
      </c>
      <c r="E4511">
        <v>96</v>
      </c>
      <c r="F4511">
        <v>9</v>
      </c>
      <c r="G4511">
        <v>20</v>
      </c>
      <c r="H4511">
        <v>25</v>
      </c>
      <c r="I4511">
        <v>442</v>
      </c>
      <c r="J4511">
        <v>0</v>
      </c>
      <c r="K4511">
        <v>5.8050000000000006</v>
      </c>
      <c r="L4511">
        <v>13.879000000000001</v>
      </c>
      <c r="M4511">
        <v>35.889000000000003</v>
      </c>
      <c r="N4511">
        <v>12.985000000000001</v>
      </c>
      <c r="O4511">
        <v>1668</v>
      </c>
      <c r="P4511">
        <v>594</v>
      </c>
      <c r="Q4511" s="5" t="e">
        <f>IF(AND(#REF!&gt;=table!$C$6,#REF!&lt;= table!$D$6),-1,IF(AND(#REF!&gt;=table!$E$6,#REF!&lt;=table!$F$6),1,0))</f>
        <v>#REF!</v>
      </c>
      <c r="R4511" s="5" t="e">
        <f>IF(AND(#REF!&gt;=table!$C$7,#REF!&lt;= table!$D$7),-1,IF(AND(#REF!&gt;=table!$E$7,#REF!&lt;=table!$F$7),1,0))</f>
        <v>#REF!</v>
      </c>
      <c r="S4511" s="5" t="e">
        <f>IF(AND(#REF!&gt;=table!$C$8,#REF!&lt;= table!$D$8),-1,IF(AND(#REF!&gt;=table!$E$8,#REF!&lt;=table!$F$8),1,0))</f>
        <v>#REF!</v>
      </c>
      <c r="T4511" s="5"/>
      <c r="U4511" s="5" t="e">
        <f>IF(AND(#REF!&gt;=table!$C$10,#REF!&lt;= table!$D$10),-1,IF(AND(#REF!&gt;=table!$E$10,#REF!&lt;=table!$F$10),1,0))</f>
        <v>#REF!</v>
      </c>
      <c r="V4511" s="5" t="e">
        <f>IF(AND(#REF!&gt;=table!$C$11,#REF!&lt;= table!$D$11),-1,IF(AND(#REF!&gt;=table!$E$11,#REF!&lt;=table!$F$11),1,0))</f>
        <v>#REF!</v>
      </c>
      <c r="W4511" s="5" t="e">
        <f>CONCATENATE(dados[[#This Row],[fator1]],dados[[#This Row],[fator5]],dados[[#This Row],[fator6]])</f>
        <v>#REF!</v>
      </c>
    </row>
    <row r="4512" spans="1:23">
      <c r="A4512" t="s">
        <v>17</v>
      </c>
      <c r="B4512">
        <v>590283</v>
      </c>
      <c r="C4512">
        <v>16</v>
      </c>
      <c r="D4512">
        <v>30</v>
      </c>
      <c r="E4512">
        <v>106</v>
      </c>
      <c r="F4512">
        <v>9</v>
      </c>
      <c r="G4512">
        <v>20</v>
      </c>
      <c r="H4512">
        <v>25</v>
      </c>
      <c r="I4512">
        <v>374</v>
      </c>
      <c r="J4512">
        <v>0</v>
      </c>
      <c r="K4512">
        <v>4.2050000000000001</v>
      </c>
      <c r="L4512">
        <v>15.686500000000001</v>
      </c>
      <c r="M4512">
        <v>95.876500000000007</v>
      </c>
      <c r="N4512">
        <v>20.885000000000002</v>
      </c>
      <c r="O4512">
        <v>1669</v>
      </c>
      <c r="P4512">
        <v>981</v>
      </c>
      <c r="Q4512" s="5" t="e">
        <f>IF(AND(#REF!&gt;=table!$C$6,#REF!&lt;= table!$D$6),-1,IF(AND(#REF!&gt;=table!$E$6,#REF!&lt;=table!$F$6),1,0))</f>
        <v>#REF!</v>
      </c>
      <c r="R4512" s="5" t="e">
        <f>IF(AND(#REF!&gt;=table!$C$7,#REF!&lt;= table!$D$7),-1,IF(AND(#REF!&gt;=table!$E$7,#REF!&lt;=table!$F$7),1,0))</f>
        <v>#REF!</v>
      </c>
      <c r="S4512" s="5" t="e">
        <f>IF(AND(#REF!&gt;=table!$C$8,#REF!&lt;= table!$D$8),-1,IF(AND(#REF!&gt;=table!$E$8,#REF!&lt;=table!$F$8),1,0))</f>
        <v>#REF!</v>
      </c>
      <c r="T4512" s="5"/>
      <c r="U4512" s="5" t="e">
        <f>IF(AND(#REF!&gt;=table!$C$10,#REF!&lt;= table!$D$10),-1,IF(AND(#REF!&gt;=table!$E$10,#REF!&lt;=table!$F$10),1,0))</f>
        <v>#REF!</v>
      </c>
      <c r="V4512" s="5" t="e">
        <f>IF(AND(#REF!&gt;=table!$C$11,#REF!&lt;= table!$D$11),-1,IF(AND(#REF!&gt;=table!$E$11,#REF!&lt;=table!$F$11),1,0))</f>
        <v>#REF!</v>
      </c>
      <c r="W4512" s="5" t="e">
        <f>CONCATENATE(dados[[#This Row],[fator1]],dados[[#This Row],[fator5]],dados[[#This Row],[fator6]])</f>
        <v>#REF!</v>
      </c>
    </row>
    <row r="4513" spans="1:23">
      <c r="A4513" t="s">
        <v>16</v>
      </c>
      <c r="B4513">
        <v>590285</v>
      </c>
      <c r="C4513">
        <v>0.15</v>
      </c>
      <c r="D4513">
        <v>35</v>
      </c>
      <c r="E4513">
        <v>15</v>
      </c>
      <c r="F4513">
        <v>10</v>
      </c>
      <c r="G4513">
        <v>0</v>
      </c>
      <c r="H4513">
        <v>12</v>
      </c>
      <c r="I4513">
        <v>365</v>
      </c>
      <c r="J4513">
        <v>0</v>
      </c>
      <c r="K4513">
        <v>4.7995000000000001</v>
      </c>
      <c r="L4513">
        <v>11.86</v>
      </c>
      <c r="M4513">
        <v>10.078000000000001</v>
      </c>
      <c r="N4513">
        <v>15.05</v>
      </c>
      <c r="O4513">
        <v>1666</v>
      </c>
      <c r="P4513">
        <v>824</v>
      </c>
      <c r="Q4513" s="5" t="e">
        <f>IF(AND(#REF!&gt;=table!$C$6,#REF!&lt;= table!$D$6),-1,IF(AND(#REF!&gt;=table!$E$6,#REF!&lt;=table!$F$6),1,0))</f>
        <v>#REF!</v>
      </c>
      <c r="R4513" s="5" t="e">
        <f>IF(AND(#REF!&gt;=table!$C$7,#REF!&lt;= table!$D$7),-1,IF(AND(#REF!&gt;=table!$E$7,#REF!&lt;=table!$F$7),1,0))</f>
        <v>#REF!</v>
      </c>
      <c r="S4513" s="5" t="e">
        <f>IF(AND(#REF!&gt;=table!$C$8,#REF!&lt;= table!$D$8),-1,IF(AND(#REF!&gt;=table!$E$8,#REF!&lt;=table!$F$8),1,0))</f>
        <v>#REF!</v>
      </c>
      <c r="T4513" s="5"/>
      <c r="U4513" s="5" t="e">
        <f>IF(AND(#REF!&gt;=table!$C$10,#REF!&lt;= table!$D$10),-1,IF(AND(#REF!&gt;=table!$E$10,#REF!&lt;=table!$F$10),1,0))</f>
        <v>#REF!</v>
      </c>
      <c r="V4513" s="5" t="e">
        <f>IF(AND(#REF!&gt;=table!$C$11,#REF!&lt;= table!$D$11),-1,IF(AND(#REF!&gt;=table!$E$11,#REF!&lt;=table!$F$11),1,0))</f>
        <v>#REF!</v>
      </c>
      <c r="W4513" s="5" t="e">
        <f>CONCATENATE(dados[[#This Row],[fator1]],dados[[#This Row],[fator5]],dados[[#This Row],[fator6]])</f>
        <v>#REF!</v>
      </c>
    </row>
    <row r="4514" spans="1:23">
      <c r="A4514" t="s">
        <v>16</v>
      </c>
      <c r="B4514">
        <v>590286</v>
      </c>
      <c r="C4514">
        <v>0.15</v>
      </c>
      <c r="D4514">
        <v>35</v>
      </c>
      <c r="E4514">
        <v>15</v>
      </c>
      <c r="F4514">
        <v>10</v>
      </c>
      <c r="G4514">
        <v>0</v>
      </c>
      <c r="H4514">
        <v>12</v>
      </c>
      <c r="I4514">
        <v>867</v>
      </c>
      <c r="J4514">
        <v>0</v>
      </c>
      <c r="K4514">
        <v>3.2725</v>
      </c>
      <c r="L4514">
        <v>8.4115000000000002</v>
      </c>
      <c r="M4514">
        <v>7.3840000000000003</v>
      </c>
      <c r="N4514">
        <v>11.645000000000001</v>
      </c>
      <c r="O4514">
        <v>1681</v>
      </c>
      <c r="P4514">
        <v>947</v>
      </c>
      <c r="Q4514" s="5" t="e">
        <f>IF(AND(#REF!&gt;=table!$C$6,#REF!&lt;= table!$D$6),-1,IF(AND(#REF!&gt;=table!$E$6,#REF!&lt;=table!$F$6),1,0))</f>
        <v>#REF!</v>
      </c>
      <c r="R4514" s="5" t="e">
        <f>IF(AND(#REF!&gt;=table!$C$7,#REF!&lt;= table!$D$7),-1,IF(AND(#REF!&gt;=table!$E$7,#REF!&lt;=table!$F$7),1,0))</f>
        <v>#REF!</v>
      </c>
      <c r="S4514" s="5" t="e">
        <f>IF(AND(#REF!&gt;=table!$C$8,#REF!&lt;= table!$D$8),-1,IF(AND(#REF!&gt;=table!$E$8,#REF!&lt;=table!$F$8),1,0))</f>
        <v>#REF!</v>
      </c>
      <c r="T4514" s="5"/>
      <c r="U4514" s="5" t="e">
        <f>IF(AND(#REF!&gt;=table!$C$10,#REF!&lt;= table!$D$10),-1,IF(AND(#REF!&gt;=table!$E$10,#REF!&lt;=table!$F$10),1,0))</f>
        <v>#REF!</v>
      </c>
      <c r="V4514" s="5" t="e">
        <f>IF(AND(#REF!&gt;=table!$C$11,#REF!&lt;= table!$D$11),-1,IF(AND(#REF!&gt;=table!$E$11,#REF!&lt;=table!$F$11),1,0))</f>
        <v>#REF!</v>
      </c>
      <c r="W4514" s="5" t="e">
        <f>CONCATENATE(dados[[#This Row],[fator1]],dados[[#This Row],[fator5]],dados[[#This Row],[fator6]])</f>
        <v>#REF!</v>
      </c>
    </row>
    <row r="4515" spans="1:23">
      <c r="A4515" t="s">
        <v>17</v>
      </c>
      <c r="B4515">
        <v>590288</v>
      </c>
      <c r="C4515">
        <v>20</v>
      </c>
      <c r="D4515">
        <v>18</v>
      </c>
      <c r="E4515">
        <v>36</v>
      </c>
      <c r="F4515">
        <v>6</v>
      </c>
      <c r="G4515">
        <v>20</v>
      </c>
      <c r="H4515">
        <v>25</v>
      </c>
      <c r="I4515">
        <v>642</v>
      </c>
      <c r="J4515">
        <v>0</v>
      </c>
      <c r="K4515">
        <v>6.7324999999999999</v>
      </c>
      <c r="L4515">
        <v>11.142000000000001</v>
      </c>
      <c r="M4515">
        <v>33.51</v>
      </c>
      <c r="N4515">
        <v>15.195</v>
      </c>
      <c r="O4515">
        <v>1674</v>
      </c>
      <c r="P4515">
        <v>543</v>
      </c>
      <c r="Q4515" s="5" t="e">
        <f>IF(AND(#REF!&gt;=table!$C$6,#REF!&lt;= table!$D$6),-1,IF(AND(#REF!&gt;=table!$E$6,#REF!&lt;=table!$F$6),1,0))</f>
        <v>#REF!</v>
      </c>
      <c r="R4515" s="5" t="e">
        <f>IF(AND(#REF!&gt;=table!$C$7,#REF!&lt;= table!$D$7),-1,IF(AND(#REF!&gt;=table!$E$7,#REF!&lt;=table!$F$7),1,0))</f>
        <v>#REF!</v>
      </c>
      <c r="S4515" s="5" t="e">
        <f>IF(AND(#REF!&gt;=table!$C$8,#REF!&lt;= table!$D$8),-1,IF(AND(#REF!&gt;=table!$E$8,#REF!&lt;=table!$F$8),1,0))</f>
        <v>#REF!</v>
      </c>
      <c r="T4515" s="5"/>
      <c r="U4515" s="5" t="e">
        <f>IF(AND(#REF!&gt;=table!$C$10,#REF!&lt;= table!$D$10),-1,IF(AND(#REF!&gt;=table!$E$10,#REF!&lt;=table!$F$10),1,0))</f>
        <v>#REF!</v>
      </c>
      <c r="V4515" s="5" t="e">
        <f>IF(AND(#REF!&gt;=table!$C$11,#REF!&lt;= table!$D$11),-1,IF(AND(#REF!&gt;=table!$E$11,#REF!&lt;=table!$F$11),1,0))</f>
        <v>#REF!</v>
      </c>
      <c r="W4515" s="5" t="e">
        <f>CONCATENATE(dados[[#This Row],[fator1]],dados[[#This Row],[fator5]],dados[[#This Row],[fator6]])</f>
        <v>#REF!</v>
      </c>
    </row>
    <row r="4516" spans="1:23">
      <c r="A4516" t="s">
        <v>17</v>
      </c>
      <c r="B4516">
        <v>590290</v>
      </c>
      <c r="C4516">
        <v>20</v>
      </c>
      <c r="D4516">
        <v>33</v>
      </c>
      <c r="E4516">
        <v>66</v>
      </c>
      <c r="F4516">
        <v>4</v>
      </c>
      <c r="G4516">
        <v>20</v>
      </c>
      <c r="H4516">
        <v>25</v>
      </c>
      <c r="I4516">
        <v>111</v>
      </c>
      <c r="J4516">
        <v>0</v>
      </c>
      <c r="K4516">
        <v>10.705500000000001</v>
      </c>
      <c r="L4516">
        <v>18.812000000000001</v>
      </c>
      <c r="M4516">
        <v>55.448500000000003</v>
      </c>
      <c r="N4516">
        <v>20.455000000000002</v>
      </c>
      <c r="O4516">
        <v>1676</v>
      </c>
      <c r="P4516">
        <v>0</v>
      </c>
      <c r="Q4516" s="5" t="e">
        <f>IF(AND(#REF!&gt;=table!$C$6,#REF!&lt;= table!$D$6),-1,IF(AND(#REF!&gt;=table!$E$6,#REF!&lt;=table!$F$6),1,0))</f>
        <v>#REF!</v>
      </c>
      <c r="R4516" s="5" t="e">
        <f>IF(AND(#REF!&gt;=table!$C$7,#REF!&lt;= table!$D$7),-1,IF(AND(#REF!&gt;=table!$E$7,#REF!&lt;=table!$F$7),1,0))</f>
        <v>#REF!</v>
      </c>
      <c r="S4516" s="5" t="e">
        <f>IF(AND(#REF!&gt;=table!$C$8,#REF!&lt;= table!$D$8),-1,IF(AND(#REF!&gt;=table!$E$8,#REF!&lt;=table!$F$8),1,0))</f>
        <v>#REF!</v>
      </c>
      <c r="T4516" s="5"/>
      <c r="U4516" s="5" t="e">
        <f>IF(AND(#REF!&gt;=table!$C$10,#REF!&lt;= table!$D$10),-1,IF(AND(#REF!&gt;=table!$E$10,#REF!&lt;=table!$F$10),1,0))</f>
        <v>#REF!</v>
      </c>
      <c r="V4516" s="5" t="e">
        <f>IF(AND(#REF!&gt;=table!$C$11,#REF!&lt;= table!$D$11),-1,IF(AND(#REF!&gt;=table!$E$11,#REF!&lt;=table!$F$11),1,0))</f>
        <v>#REF!</v>
      </c>
      <c r="W4516" s="5" t="e">
        <f>CONCATENATE(dados[[#This Row],[fator1]],dados[[#This Row],[fator5]],dados[[#This Row],[fator6]])</f>
        <v>#REF!</v>
      </c>
    </row>
    <row r="4517" spans="1:23">
      <c r="A4517" t="s">
        <v>16</v>
      </c>
      <c r="B4517">
        <v>590291</v>
      </c>
      <c r="C4517">
        <v>0.15</v>
      </c>
      <c r="D4517">
        <v>35</v>
      </c>
      <c r="E4517">
        <v>15</v>
      </c>
      <c r="F4517">
        <v>10</v>
      </c>
      <c r="G4517">
        <v>0</v>
      </c>
      <c r="H4517">
        <v>12</v>
      </c>
      <c r="I4517">
        <v>407</v>
      </c>
      <c r="J4517">
        <v>0</v>
      </c>
      <c r="K4517">
        <v>5.7280000000000006</v>
      </c>
      <c r="L4517">
        <v>10.928000000000001</v>
      </c>
      <c r="M4517">
        <v>10.119</v>
      </c>
      <c r="N4517">
        <v>16.175000000000001</v>
      </c>
      <c r="O4517">
        <v>1694</v>
      </c>
      <c r="P4517">
        <v>727</v>
      </c>
      <c r="Q4517" s="5" t="e">
        <f>IF(AND(#REF!&gt;=table!$C$6,#REF!&lt;= table!$D$6),-1,IF(AND(#REF!&gt;=table!$E$6,#REF!&lt;=table!$F$6),1,0))</f>
        <v>#REF!</v>
      </c>
      <c r="R4517" s="5" t="e">
        <f>IF(AND(#REF!&gt;=table!$C$7,#REF!&lt;= table!$D$7),-1,IF(AND(#REF!&gt;=table!$E$7,#REF!&lt;=table!$F$7),1,0))</f>
        <v>#REF!</v>
      </c>
      <c r="S4517" s="5" t="e">
        <f>IF(AND(#REF!&gt;=table!$C$8,#REF!&lt;= table!$D$8),-1,IF(AND(#REF!&gt;=table!$E$8,#REF!&lt;=table!$F$8),1,0))</f>
        <v>#REF!</v>
      </c>
      <c r="T4517" s="5"/>
      <c r="U4517" s="5" t="e">
        <f>IF(AND(#REF!&gt;=table!$C$10,#REF!&lt;= table!$D$10),-1,IF(AND(#REF!&gt;=table!$E$10,#REF!&lt;=table!$F$10),1,0))</f>
        <v>#REF!</v>
      </c>
      <c r="V4517" s="5" t="e">
        <f>IF(AND(#REF!&gt;=table!$C$11,#REF!&lt;= table!$D$11),-1,IF(AND(#REF!&gt;=table!$E$11,#REF!&lt;=table!$F$11),1,0))</f>
        <v>#REF!</v>
      </c>
      <c r="W4517" s="5" t="e">
        <f>CONCATENATE(dados[[#This Row],[fator1]],dados[[#This Row],[fator5]],dados[[#This Row],[fator6]])</f>
        <v>#REF!</v>
      </c>
    </row>
    <row r="4518" spans="1:23">
      <c r="A4518" t="s">
        <v>16</v>
      </c>
      <c r="B4518">
        <v>590292</v>
      </c>
      <c r="C4518">
        <v>0.15</v>
      </c>
      <c r="D4518">
        <v>35</v>
      </c>
      <c r="E4518">
        <v>15</v>
      </c>
      <c r="F4518">
        <v>10</v>
      </c>
      <c r="G4518">
        <v>0</v>
      </c>
      <c r="H4518">
        <v>12</v>
      </c>
      <c r="I4518">
        <v>0</v>
      </c>
      <c r="J4518">
        <v>0</v>
      </c>
      <c r="K4518">
        <v>4.1935000000000002</v>
      </c>
      <c r="L4518">
        <v>8.3049999999999997</v>
      </c>
      <c r="M4518">
        <v>7.4020000000000001</v>
      </c>
      <c r="N4518">
        <v>16.275000000000002</v>
      </c>
      <c r="O4518">
        <v>1680</v>
      </c>
      <c r="P4518">
        <v>1103</v>
      </c>
      <c r="Q4518" s="5" t="e">
        <f>IF(AND(#REF!&gt;=table!$C$6,#REF!&lt;= table!$D$6),-1,IF(AND(#REF!&gt;=table!$E$6,#REF!&lt;=table!$F$6),1,0))</f>
        <v>#REF!</v>
      </c>
      <c r="R4518" s="5" t="e">
        <f>IF(AND(#REF!&gt;=table!$C$7,#REF!&lt;= table!$D$7),-1,IF(AND(#REF!&gt;=table!$E$7,#REF!&lt;=table!$F$7),1,0))</f>
        <v>#REF!</v>
      </c>
      <c r="S4518" s="5" t="e">
        <f>IF(AND(#REF!&gt;=table!$C$8,#REF!&lt;= table!$D$8),-1,IF(AND(#REF!&gt;=table!$E$8,#REF!&lt;=table!$F$8),1,0))</f>
        <v>#REF!</v>
      </c>
      <c r="T4518" s="5"/>
      <c r="U4518" s="5" t="e">
        <f>IF(AND(#REF!&gt;=table!$C$10,#REF!&lt;= table!$D$10),-1,IF(AND(#REF!&gt;=table!$E$10,#REF!&lt;=table!$F$10),1,0))</f>
        <v>#REF!</v>
      </c>
      <c r="V4518" s="5" t="e">
        <f>IF(AND(#REF!&gt;=table!$C$11,#REF!&lt;= table!$D$11),-1,IF(AND(#REF!&gt;=table!$E$11,#REF!&lt;=table!$F$11),1,0))</f>
        <v>#REF!</v>
      </c>
      <c r="W4518" s="5" t="e">
        <f>CONCATENATE(dados[[#This Row],[fator1]],dados[[#This Row],[fator5]],dados[[#This Row],[fator6]])</f>
        <v>#REF!</v>
      </c>
    </row>
    <row r="4519" spans="1:23">
      <c r="A4519" t="s">
        <v>16</v>
      </c>
      <c r="B4519">
        <v>590293</v>
      </c>
      <c r="C4519">
        <v>0.15</v>
      </c>
      <c r="D4519">
        <v>35</v>
      </c>
      <c r="E4519">
        <v>15</v>
      </c>
      <c r="F4519">
        <v>10</v>
      </c>
      <c r="G4519">
        <v>0</v>
      </c>
      <c r="H4519">
        <v>12</v>
      </c>
      <c r="I4519">
        <v>0</v>
      </c>
      <c r="J4519">
        <v>0</v>
      </c>
      <c r="K4519">
        <v>3.4540000000000002</v>
      </c>
      <c r="L4519">
        <v>7.7045000000000003</v>
      </c>
      <c r="M4519">
        <v>6.3340000000000005</v>
      </c>
      <c r="N4519">
        <v>10.805</v>
      </c>
      <c r="O4519">
        <v>1668</v>
      </c>
      <c r="P4519">
        <v>1019</v>
      </c>
      <c r="Q4519" s="5" t="e">
        <f>IF(AND(#REF!&gt;=table!$C$6,#REF!&lt;= table!$D$6),-1,IF(AND(#REF!&gt;=table!$E$6,#REF!&lt;=table!$F$6),1,0))</f>
        <v>#REF!</v>
      </c>
      <c r="R4519" s="5" t="e">
        <f>IF(AND(#REF!&gt;=table!$C$7,#REF!&lt;= table!$D$7),-1,IF(AND(#REF!&gt;=table!$E$7,#REF!&lt;=table!$F$7),1,0))</f>
        <v>#REF!</v>
      </c>
      <c r="S4519" s="5" t="e">
        <f>IF(AND(#REF!&gt;=table!$C$8,#REF!&lt;= table!$D$8),-1,IF(AND(#REF!&gt;=table!$E$8,#REF!&lt;=table!$F$8),1,0))</f>
        <v>#REF!</v>
      </c>
      <c r="T4519" s="5"/>
      <c r="U4519" s="5" t="e">
        <f>IF(AND(#REF!&gt;=table!$C$10,#REF!&lt;= table!$D$10),-1,IF(AND(#REF!&gt;=table!$E$10,#REF!&lt;=table!$F$10),1,0))</f>
        <v>#REF!</v>
      </c>
      <c r="V4519" s="5" t="e">
        <f>IF(AND(#REF!&gt;=table!$C$11,#REF!&lt;= table!$D$11),-1,IF(AND(#REF!&gt;=table!$E$11,#REF!&lt;=table!$F$11),1,0))</f>
        <v>#REF!</v>
      </c>
      <c r="W4519" s="5" t="e">
        <f>CONCATENATE(dados[[#This Row],[fator1]],dados[[#This Row],[fator5]],dados[[#This Row],[fator6]])</f>
        <v>#REF!</v>
      </c>
    </row>
    <row r="4520" spans="1:23">
      <c r="A4520" t="s">
        <v>16</v>
      </c>
      <c r="B4520">
        <v>590294</v>
      </c>
      <c r="C4520">
        <v>16</v>
      </c>
      <c r="D4520">
        <v>35</v>
      </c>
      <c r="E4520">
        <v>36</v>
      </c>
      <c r="F4520">
        <v>10</v>
      </c>
      <c r="G4520">
        <v>0</v>
      </c>
      <c r="H4520">
        <v>25</v>
      </c>
      <c r="I4520">
        <v>57</v>
      </c>
      <c r="J4520">
        <v>970</v>
      </c>
      <c r="K4520">
        <v>14.931500000000002</v>
      </c>
      <c r="L4520">
        <v>26.222000000000001</v>
      </c>
      <c r="M4520">
        <v>35.522500000000001</v>
      </c>
      <c r="N4520">
        <v>19.55</v>
      </c>
      <c r="O4520">
        <v>1667</v>
      </c>
      <c r="P4520">
        <v>242</v>
      </c>
      <c r="Q4520" s="5" t="e">
        <f>IF(AND(#REF!&gt;=table!$C$6,#REF!&lt;= table!$D$6),-1,IF(AND(#REF!&gt;=table!$E$6,#REF!&lt;=table!$F$6),1,0))</f>
        <v>#REF!</v>
      </c>
      <c r="R4520" s="5" t="e">
        <f>IF(AND(#REF!&gt;=table!$C$7,#REF!&lt;= table!$D$7),-1,IF(AND(#REF!&gt;=table!$E$7,#REF!&lt;=table!$F$7),1,0))</f>
        <v>#REF!</v>
      </c>
      <c r="S4520" s="5" t="e">
        <f>IF(AND(#REF!&gt;=table!$C$8,#REF!&lt;= table!$D$8),-1,IF(AND(#REF!&gt;=table!$E$8,#REF!&lt;=table!$F$8),1,0))</f>
        <v>#REF!</v>
      </c>
      <c r="T4520" s="5"/>
      <c r="U4520" s="5" t="e">
        <f>IF(AND(#REF!&gt;=table!$C$10,#REF!&lt;= table!$D$10),-1,IF(AND(#REF!&gt;=table!$E$10,#REF!&lt;=table!$F$10),1,0))</f>
        <v>#REF!</v>
      </c>
      <c r="V4520" s="5" t="e">
        <f>IF(AND(#REF!&gt;=table!$C$11,#REF!&lt;= table!$D$11),-1,IF(AND(#REF!&gt;=table!$E$11,#REF!&lt;=table!$F$11),1,0))</f>
        <v>#REF!</v>
      </c>
      <c r="W4520" s="5" t="e">
        <f>CONCATENATE(dados[[#This Row],[fator1]],dados[[#This Row],[fator5]],dados[[#This Row],[fator6]])</f>
        <v>#REF!</v>
      </c>
    </row>
    <row r="4521" spans="1:23">
      <c r="A4521" t="s">
        <v>16</v>
      </c>
      <c r="B4521">
        <v>590295</v>
      </c>
      <c r="C4521">
        <v>16</v>
      </c>
      <c r="D4521">
        <v>35</v>
      </c>
      <c r="E4521">
        <v>36</v>
      </c>
      <c r="F4521">
        <v>10</v>
      </c>
      <c r="G4521">
        <v>0</v>
      </c>
      <c r="H4521">
        <v>25</v>
      </c>
      <c r="I4521">
        <v>563</v>
      </c>
      <c r="J4521">
        <v>0</v>
      </c>
      <c r="K4521">
        <v>7.556</v>
      </c>
      <c r="L4521">
        <v>13.059000000000001</v>
      </c>
      <c r="M4521">
        <v>32.459499999999998</v>
      </c>
      <c r="N4521">
        <v>13.275</v>
      </c>
      <c r="O4521">
        <v>1669</v>
      </c>
      <c r="P4521">
        <v>482</v>
      </c>
      <c r="Q4521" s="5" t="e">
        <f>IF(AND(#REF!&gt;=table!$C$6,#REF!&lt;= table!$D$6),-1,IF(AND(#REF!&gt;=table!$E$6,#REF!&lt;=table!$F$6),1,0))</f>
        <v>#REF!</v>
      </c>
      <c r="R4521" s="5" t="e">
        <f>IF(AND(#REF!&gt;=table!$C$7,#REF!&lt;= table!$D$7),-1,IF(AND(#REF!&gt;=table!$E$7,#REF!&lt;=table!$F$7),1,0))</f>
        <v>#REF!</v>
      </c>
      <c r="S4521" s="5" t="e">
        <f>IF(AND(#REF!&gt;=table!$C$8,#REF!&lt;= table!$D$8),-1,IF(AND(#REF!&gt;=table!$E$8,#REF!&lt;=table!$F$8),1,0))</f>
        <v>#REF!</v>
      </c>
      <c r="T4521" s="5"/>
      <c r="U4521" s="5" t="e">
        <f>IF(AND(#REF!&gt;=table!$C$10,#REF!&lt;= table!$D$10),-1,IF(AND(#REF!&gt;=table!$E$10,#REF!&lt;=table!$F$10),1,0))</f>
        <v>#REF!</v>
      </c>
      <c r="V4521" s="5" t="e">
        <f>IF(AND(#REF!&gt;=table!$C$11,#REF!&lt;= table!$D$11),-1,IF(AND(#REF!&gt;=table!$E$11,#REF!&lt;=table!$F$11),1,0))</f>
        <v>#REF!</v>
      </c>
      <c r="W4521" s="5" t="e">
        <f>CONCATENATE(dados[[#This Row],[fator1]],dados[[#This Row],[fator5]],dados[[#This Row],[fator6]])</f>
        <v>#REF!</v>
      </c>
    </row>
    <row r="4522" spans="1:23">
      <c r="A4522" t="s">
        <v>16</v>
      </c>
      <c r="B4522">
        <v>590296</v>
      </c>
      <c r="C4522">
        <v>16</v>
      </c>
      <c r="D4522">
        <v>35</v>
      </c>
      <c r="E4522">
        <v>36</v>
      </c>
      <c r="F4522">
        <v>10</v>
      </c>
      <c r="G4522">
        <v>0</v>
      </c>
      <c r="H4522">
        <v>25</v>
      </c>
      <c r="I4522">
        <v>404</v>
      </c>
      <c r="J4522">
        <v>0</v>
      </c>
      <c r="K4522">
        <v>8.6174999999999997</v>
      </c>
      <c r="L4522">
        <v>15.176</v>
      </c>
      <c r="M4522">
        <v>34.316000000000003</v>
      </c>
      <c r="N4522">
        <v>16.555</v>
      </c>
      <c r="O4522">
        <v>1668</v>
      </c>
      <c r="P4522">
        <v>372</v>
      </c>
      <c r="Q4522" s="5" t="e">
        <f>IF(AND(#REF!&gt;=table!$C$6,#REF!&lt;= table!$D$6),-1,IF(AND(#REF!&gt;=table!$E$6,#REF!&lt;=table!$F$6),1,0))</f>
        <v>#REF!</v>
      </c>
      <c r="R4522" s="5" t="e">
        <f>IF(AND(#REF!&gt;=table!$C$7,#REF!&lt;= table!$D$7),-1,IF(AND(#REF!&gt;=table!$E$7,#REF!&lt;=table!$F$7),1,0))</f>
        <v>#REF!</v>
      </c>
      <c r="S4522" s="5" t="e">
        <f>IF(AND(#REF!&gt;=table!$C$8,#REF!&lt;= table!$D$8),-1,IF(AND(#REF!&gt;=table!$E$8,#REF!&lt;=table!$F$8),1,0))</f>
        <v>#REF!</v>
      </c>
      <c r="T4522" s="5"/>
      <c r="U4522" s="5" t="e">
        <f>IF(AND(#REF!&gt;=table!$C$10,#REF!&lt;= table!$D$10),-1,IF(AND(#REF!&gt;=table!$E$10,#REF!&lt;=table!$F$10),1,0))</f>
        <v>#REF!</v>
      </c>
      <c r="V4522" s="5" t="e">
        <f>IF(AND(#REF!&gt;=table!$C$11,#REF!&lt;= table!$D$11),-1,IF(AND(#REF!&gt;=table!$E$11,#REF!&lt;=table!$F$11),1,0))</f>
        <v>#REF!</v>
      </c>
      <c r="W4522" s="5" t="e">
        <f>CONCATENATE(dados[[#This Row],[fator1]],dados[[#This Row],[fator5]],dados[[#This Row],[fator6]])</f>
        <v>#REF!</v>
      </c>
    </row>
    <row r="4523" spans="1:23">
      <c r="A4523" t="s">
        <v>16</v>
      </c>
      <c r="B4523">
        <v>590297</v>
      </c>
      <c r="C4523">
        <v>16</v>
      </c>
      <c r="D4523">
        <v>35</v>
      </c>
      <c r="E4523">
        <v>36</v>
      </c>
      <c r="F4523">
        <v>10</v>
      </c>
      <c r="G4523">
        <v>0</v>
      </c>
      <c r="H4523">
        <v>25</v>
      </c>
      <c r="I4523">
        <v>146</v>
      </c>
      <c r="J4523">
        <v>0</v>
      </c>
      <c r="K4523">
        <v>12.2895</v>
      </c>
      <c r="L4523">
        <v>16.806000000000001</v>
      </c>
      <c r="M4523">
        <v>30.616500000000002</v>
      </c>
      <c r="N4523">
        <v>17.47</v>
      </c>
      <c r="O4523">
        <v>1663</v>
      </c>
      <c r="P4523">
        <v>310</v>
      </c>
      <c r="Q4523" s="5" t="e">
        <f>IF(AND(#REF!&gt;=table!$C$6,#REF!&lt;= table!$D$6),-1,IF(AND(#REF!&gt;=table!$E$6,#REF!&lt;=table!$F$6),1,0))</f>
        <v>#REF!</v>
      </c>
      <c r="R4523" s="5" t="e">
        <f>IF(AND(#REF!&gt;=table!$C$7,#REF!&lt;= table!$D$7),-1,IF(AND(#REF!&gt;=table!$E$7,#REF!&lt;=table!$F$7),1,0))</f>
        <v>#REF!</v>
      </c>
      <c r="S4523" s="5" t="e">
        <f>IF(AND(#REF!&gt;=table!$C$8,#REF!&lt;= table!$D$8),-1,IF(AND(#REF!&gt;=table!$E$8,#REF!&lt;=table!$F$8),1,0))</f>
        <v>#REF!</v>
      </c>
      <c r="T4523" s="5"/>
      <c r="U4523" s="5" t="e">
        <f>IF(AND(#REF!&gt;=table!$C$10,#REF!&lt;= table!$D$10),-1,IF(AND(#REF!&gt;=table!$E$10,#REF!&lt;=table!$F$10),1,0))</f>
        <v>#REF!</v>
      </c>
      <c r="V4523" s="5" t="e">
        <f>IF(AND(#REF!&gt;=table!$C$11,#REF!&lt;= table!$D$11),-1,IF(AND(#REF!&gt;=table!$E$11,#REF!&lt;=table!$F$11),1,0))</f>
        <v>#REF!</v>
      </c>
      <c r="W4523" s="5" t="e">
        <f>CONCATENATE(dados[[#This Row],[fator1]],dados[[#This Row],[fator5]],dados[[#This Row],[fator6]])</f>
        <v>#REF!</v>
      </c>
    </row>
    <row r="4524" spans="1:23">
      <c r="A4524" t="s">
        <v>17</v>
      </c>
      <c r="B4524">
        <v>590299</v>
      </c>
      <c r="C4524">
        <v>10</v>
      </c>
      <c r="D4524">
        <v>25</v>
      </c>
      <c r="E4524">
        <v>156</v>
      </c>
      <c r="F4524">
        <v>8</v>
      </c>
      <c r="G4524">
        <v>20</v>
      </c>
      <c r="H4524">
        <v>25</v>
      </c>
      <c r="I4524">
        <v>118</v>
      </c>
      <c r="J4524">
        <v>0</v>
      </c>
      <c r="K4524">
        <v>3.4115000000000002</v>
      </c>
      <c r="L4524">
        <v>11.126000000000001</v>
      </c>
      <c r="M4524">
        <v>114.05500000000001</v>
      </c>
      <c r="N4524">
        <v>16.309999999999999</v>
      </c>
      <c r="O4524">
        <v>1693</v>
      </c>
      <c r="P4524">
        <v>874</v>
      </c>
      <c r="Q4524" s="5" t="e">
        <f>IF(AND(#REF!&gt;=table!$C$6,#REF!&lt;= table!$D$6),-1,IF(AND(#REF!&gt;=table!$E$6,#REF!&lt;=table!$F$6),1,0))</f>
        <v>#REF!</v>
      </c>
      <c r="R4524" s="5" t="e">
        <f>IF(AND(#REF!&gt;=table!$C$7,#REF!&lt;= table!$D$7),-1,IF(AND(#REF!&gt;=table!$E$7,#REF!&lt;=table!$F$7),1,0))</f>
        <v>#REF!</v>
      </c>
      <c r="S4524" s="5" t="e">
        <f>IF(AND(#REF!&gt;=table!$C$8,#REF!&lt;= table!$D$8),-1,IF(AND(#REF!&gt;=table!$E$8,#REF!&lt;=table!$F$8),1,0))</f>
        <v>#REF!</v>
      </c>
      <c r="T4524" s="5"/>
      <c r="U4524" s="5" t="e">
        <f>IF(AND(#REF!&gt;=table!$C$10,#REF!&lt;= table!$D$10),-1,IF(AND(#REF!&gt;=table!$E$10,#REF!&lt;=table!$F$10),1,0))</f>
        <v>#REF!</v>
      </c>
      <c r="V4524" s="5" t="e">
        <f>IF(AND(#REF!&gt;=table!$C$11,#REF!&lt;= table!$D$11),-1,IF(AND(#REF!&gt;=table!$E$11,#REF!&lt;=table!$F$11),1,0))</f>
        <v>#REF!</v>
      </c>
      <c r="W4524" s="5" t="e">
        <f>CONCATENATE(dados[[#This Row],[fator1]],dados[[#This Row],[fator5]],dados[[#This Row],[fator6]])</f>
        <v>#REF!</v>
      </c>
    </row>
    <row r="4525" spans="1:23">
      <c r="A4525" t="s">
        <v>17</v>
      </c>
      <c r="B4525">
        <v>590300</v>
      </c>
      <c r="C4525">
        <v>14</v>
      </c>
      <c r="D4525">
        <v>35</v>
      </c>
      <c r="E4525">
        <v>220</v>
      </c>
      <c r="F4525">
        <v>6</v>
      </c>
      <c r="G4525">
        <v>40</v>
      </c>
      <c r="H4525">
        <v>25</v>
      </c>
      <c r="I4525">
        <v>338</v>
      </c>
      <c r="J4525">
        <v>0</v>
      </c>
      <c r="K4525">
        <v>4.0875000000000004</v>
      </c>
      <c r="L4525">
        <v>7.843</v>
      </c>
      <c r="M4525">
        <v>151.11250000000001</v>
      </c>
      <c r="N4525">
        <v>11.085000000000001</v>
      </c>
      <c r="O4525">
        <v>1665</v>
      </c>
      <c r="P4525">
        <v>0</v>
      </c>
      <c r="Q4525" s="5" t="e">
        <f>IF(AND(#REF!&gt;=table!$C$6,#REF!&lt;= table!$D$6),-1,IF(AND(#REF!&gt;=table!$E$6,#REF!&lt;=table!$F$6),1,0))</f>
        <v>#REF!</v>
      </c>
      <c r="R4525" s="5" t="e">
        <f>IF(AND(#REF!&gt;=table!$C$7,#REF!&lt;= table!$D$7),-1,IF(AND(#REF!&gt;=table!$E$7,#REF!&lt;=table!$F$7),1,0))</f>
        <v>#REF!</v>
      </c>
      <c r="S4525" s="5" t="e">
        <f>IF(AND(#REF!&gt;=table!$C$8,#REF!&lt;= table!$D$8),-1,IF(AND(#REF!&gt;=table!$E$8,#REF!&lt;=table!$F$8),1,0))</f>
        <v>#REF!</v>
      </c>
      <c r="T4525" s="5"/>
      <c r="U4525" s="5" t="e">
        <f>IF(AND(#REF!&gt;=table!$C$10,#REF!&lt;= table!$D$10),-1,IF(AND(#REF!&gt;=table!$E$10,#REF!&lt;=table!$F$10),1,0))</f>
        <v>#REF!</v>
      </c>
      <c r="V4525" s="5" t="e">
        <f>IF(AND(#REF!&gt;=table!$C$11,#REF!&lt;= table!$D$11),-1,IF(AND(#REF!&gt;=table!$E$11,#REF!&lt;=table!$F$11),1,0))</f>
        <v>#REF!</v>
      </c>
      <c r="W4525" s="5" t="e">
        <f>CONCATENATE(dados[[#This Row],[fator1]],dados[[#This Row],[fator5]],dados[[#This Row],[fator6]])</f>
        <v>#REF!</v>
      </c>
    </row>
    <row r="4526" spans="1:23">
      <c r="A4526" t="s">
        <v>17</v>
      </c>
      <c r="B4526">
        <v>590303</v>
      </c>
      <c r="C4526">
        <v>6</v>
      </c>
      <c r="D4526">
        <v>30</v>
      </c>
      <c r="E4526">
        <v>110</v>
      </c>
      <c r="F4526">
        <v>10</v>
      </c>
      <c r="G4526">
        <v>21</v>
      </c>
      <c r="H4526">
        <v>25</v>
      </c>
      <c r="I4526">
        <v>1196</v>
      </c>
      <c r="J4526">
        <v>550</v>
      </c>
      <c r="K4526">
        <v>4.032</v>
      </c>
      <c r="L4526">
        <v>6.6355000000000004</v>
      </c>
      <c r="M4526">
        <v>76.057000000000002</v>
      </c>
      <c r="N4526">
        <v>11.32</v>
      </c>
      <c r="O4526">
        <v>1654</v>
      </c>
      <c r="P4526">
        <v>641</v>
      </c>
      <c r="Q4526" s="5" t="e">
        <f>IF(AND(#REF!&gt;=table!$C$6,#REF!&lt;= table!$D$6),-1,IF(AND(#REF!&gt;=table!$E$6,#REF!&lt;=table!$F$6),1,0))</f>
        <v>#REF!</v>
      </c>
      <c r="R4526" s="5" t="e">
        <f>IF(AND(#REF!&gt;=table!$C$7,#REF!&lt;= table!$D$7),-1,IF(AND(#REF!&gt;=table!$E$7,#REF!&lt;=table!$F$7),1,0))</f>
        <v>#REF!</v>
      </c>
      <c r="S4526" s="5" t="e">
        <f>IF(AND(#REF!&gt;=table!$C$8,#REF!&lt;= table!$D$8),-1,IF(AND(#REF!&gt;=table!$E$8,#REF!&lt;=table!$F$8),1,0))</f>
        <v>#REF!</v>
      </c>
      <c r="T4526" s="5"/>
      <c r="U4526" s="5" t="e">
        <f>IF(AND(#REF!&gt;=table!$C$10,#REF!&lt;= table!$D$10),-1,IF(AND(#REF!&gt;=table!$E$10,#REF!&lt;=table!$F$10),1,0))</f>
        <v>#REF!</v>
      </c>
      <c r="V4526" s="5" t="e">
        <f>IF(AND(#REF!&gt;=table!$C$11,#REF!&lt;= table!$D$11),-1,IF(AND(#REF!&gt;=table!$E$11,#REF!&lt;=table!$F$11),1,0))</f>
        <v>#REF!</v>
      </c>
      <c r="W4526" s="5" t="e">
        <f>CONCATENATE(dados[[#This Row],[fator1]],dados[[#This Row],[fator5]],dados[[#This Row],[fator6]])</f>
        <v>#REF!</v>
      </c>
    </row>
    <row r="4527" spans="1:23">
      <c r="A4527" t="s">
        <v>16</v>
      </c>
      <c r="B4527">
        <v>590304</v>
      </c>
      <c r="C4527">
        <v>0.15</v>
      </c>
      <c r="D4527">
        <v>40</v>
      </c>
      <c r="E4527">
        <v>10</v>
      </c>
      <c r="F4527">
        <v>15</v>
      </c>
      <c r="G4527">
        <v>0</v>
      </c>
      <c r="H4527">
        <v>15</v>
      </c>
      <c r="I4527">
        <v>1341</v>
      </c>
      <c r="J4527">
        <v>0</v>
      </c>
      <c r="K4527">
        <v>3.3220000000000001</v>
      </c>
      <c r="L4527">
        <v>7.0820000000000007</v>
      </c>
      <c r="M4527">
        <v>6.0274999999999999</v>
      </c>
      <c r="N4527">
        <v>7.5050000000000008</v>
      </c>
      <c r="O4527">
        <v>1684</v>
      </c>
      <c r="P4527">
        <v>0</v>
      </c>
      <c r="Q4527" s="5" t="e">
        <f>IF(AND(#REF!&gt;=table!$C$6,#REF!&lt;= table!$D$6),-1,IF(AND(#REF!&gt;=table!$E$6,#REF!&lt;=table!$F$6),1,0))</f>
        <v>#REF!</v>
      </c>
      <c r="R4527" s="5" t="e">
        <f>IF(AND(#REF!&gt;=table!$C$7,#REF!&lt;= table!$D$7),-1,IF(AND(#REF!&gt;=table!$E$7,#REF!&lt;=table!$F$7),1,0))</f>
        <v>#REF!</v>
      </c>
      <c r="S4527" s="5" t="e">
        <f>IF(AND(#REF!&gt;=table!$C$8,#REF!&lt;= table!$D$8),-1,IF(AND(#REF!&gt;=table!$E$8,#REF!&lt;=table!$F$8),1,0))</f>
        <v>#REF!</v>
      </c>
      <c r="T4527" s="5"/>
      <c r="U4527" s="5" t="e">
        <f>IF(AND(#REF!&gt;=table!$C$10,#REF!&lt;= table!$D$10),-1,IF(AND(#REF!&gt;=table!$E$10,#REF!&lt;=table!$F$10),1,0))</f>
        <v>#REF!</v>
      </c>
      <c r="V4527" s="5" t="e">
        <f>IF(AND(#REF!&gt;=table!$C$11,#REF!&lt;= table!$D$11),-1,IF(AND(#REF!&gt;=table!$E$11,#REF!&lt;=table!$F$11),1,0))</f>
        <v>#REF!</v>
      </c>
      <c r="W4527" s="5" t="e">
        <f>CONCATENATE(dados[[#This Row],[fator1]],dados[[#This Row],[fator5]],dados[[#This Row],[fator6]])</f>
        <v>#REF!</v>
      </c>
    </row>
    <row r="4528" spans="1:23">
      <c r="A4528" t="s">
        <v>16</v>
      </c>
      <c r="B4528">
        <v>590308</v>
      </c>
      <c r="C4528">
        <v>0.15</v>
      </c>
      <c r="D4528">
        <v>40</v>
      </c>
      <c r="E4528">
        <v>10</v>
      </c>
      <c r="F4528">
        <v>15</v>
      </c>
      <c r="G4528">
        <v>0</v>
      </c>
      <c r="H4528">
        <v>15</v>
      </c>
      <c r="I4528">
        <v>1507</v>
      </c>
      <c r="J4528">
        <v>0</v>
      </c>
      <c r="K4528">
        <v>3.0430000000000001</v>
      </c>
      <c r="L4528">
        <v>7.32</v>
      </c>
      <c r="M4528">
        <v>6.8905000000000003</v>
      </c>
      <c r="N4528">
        <v>9.4</v>
      </c>
      <c r="O4528">
        <v>1656</v>
      </c>
      <c r="P4528">
        <v>815</v>
      </c>
      <c r="Q4528" s="5" t="e">
        <f>IF(AND(#REF!&gt;=table!$C$6,#REF!&lt;= table!$D$6),-1,IF(AND(#REF!&gt;=table!$E$6,#REF!&lt;=table!$F$6),1,0))</f>
        <v>#REF!</v>
      </c>
      <c r="R4528" s="5" t="e">
        <f>IF(AND(#REF!&gt;=table!$C$7,#REF!&lt;= table!$D$7),-1,IF(AND(#REF!&gt;=table!$E$7,#REF!&lt;=table!$F$7),1,0))</f>
        <v>#REF!</v>
      </c>
      <c r="S4528" s="5" t="e">
        <f>IF(AND(#REF!&gt;=table!$C$8,#REF!&lt;= table!$D$8),-1,IF(AND(#REF!&gt;=table!$E$8,#REF!&lt;=table!$F$8),1,0))</f>
        <v>#REF!</v>
      </c>
      <c r="T4528" s="5"/>
      <c r="U4528" s="5" t="e">
        <f>IF(AND(#REF!&gt;=table!$C$10,#REF!&lt;= table!$D$10),-1,IF(AND(#REF!&gt;=table!$E$10,#REF!&lt;=table!$F$10),1,0))</f>
        <v>#REF!</v>
      </c>
      <c r="V4528" s="5" t="e">
        <f>IF(AND(#REF!&gt;=table!$C$11,#REF!&lt;= table!$D$11),-1,IF(AND(#REF!&gt;=table!$E$11,#REF!&lt;=table!$F$11),1,0))</f>
        <v>#REF!</v>
      </c>
      <c r="W4528" s="5" t="e">
        <f>CONCATENATE(dados[[#This Row],[fator1]],dados[[#This Row],[fator5]],dados[[#This Row],[fator6]])</f>
        <v>#REF!</v>
      </c>
    </row>
    <row r="4529" spans="1:23">
      <c r="A4529" t="s">
        <v>16</v>
      </c>
      <c r="B4529">
        <v>590310</v>
      </c>
      <c r="C4529">
        <v>0.15</v>
      </c>
      <c r="D4529">
        <v>40</v>
      </c>
      <c r="E4529">
        <v>10</v>
      </c>
      <c r="F4529">
        <v>15</v>
      </c>
      <c r="G4529">
        <v>0</v>
      </c>
      <c r="H4529">
        <v>15</v>
      </c>
      <c r="I4529">
        <v>419</v>
      </c>
      <c r="J4529">
        <v>0</v>
      </c>
      <c r="K4529">
        <v>4.633</v>
      </c>
      <c r="L4529">
        <v>7.4730000000000008</v>
      </c>
      <c r="M4529">
        <v>6.8535000000000004</v>
      </c>
      <c r="N4529">
        <v>10.365</v>
      </c>
      <c r="O4529">
        <v>1681</v>
      </c>
      <c r="P4529">
        <v>815</v>
      </c>
      <c r="Q4529" s="5" t="e">
        <f>IF(AND(#REF!&gt;=table!$C$6,#REF!&lt;= table!$D$6),-1,IF(AND(#REF!&gt;=table!$E$6,#REF!&lt;=table!$F$6),1,0))</f>
        <v>#REF!</v>
      </c>
      <c r="R4529" s="5" t="e">
        <f>IF(AND(#REF!&gt;=table!$C$7,#REF!&lt;= table!$D$7),-1,IF(AND(#REF!&gt;=table!$E$7,#REF!&lt;=table!$F$7),1,0))</f>
        <v>#REF!</v>
      </c>
      <c r="S4529" s="5" t="e">
        <f>IF(AND(#REF!&gt;=table!$C$8,#REF!&lt;= table!$D$8),-1,IF(AND(#REF!&gt;=table!$E$8,#REF!&lt;=table!$F$8),1,0))</f>
        <v>#REF!</v>
      </c>
      <c r="T4529" s="5"/>
      <c r="U4529" s="5" t="e">
        <f>IF(AND(#REF!&gt;=table!$C$10,#REF!&lt;= table!$D$10),-1,IF(AND(#REF!&gt;=table!$E$10,#REF!&lt;=table!$F$10),1,0))</f>
        <v>#REF!</v>
      </c>
      <c r="V4529" s="5" t="e">
        <f>IF(AND(#REF!&gt;=table!$C$11,#REF!&lt;= table!$D$11),-1,IF(AND(#REF!&gt;=table!$E$11,#REF!&lt;=table!$F$11),1,0))</f>
        <v>#REF!</v>
      </c>
      <c r="W4529" s="5" t="e">
        <f>CONCATENATE(dados[[#This Row],[fator1]],dados[[#This Row],[fator5]],dados[[#This Row],[fator6]])</f>
        <v>#REF!</v>
      </c>
    </row>
    <row r="4530" spans="1:23">
      <c r="A4530" t="s">
        <v>16</v>
      </c>
      <c r="B4530">
        <v>590312</v>
      </c>
      <c r="C4530">
        <v>7</v>
      </c>
      <c r="D4530">
        <v>35</v>
      </c>
      <c r="E4530">
        <v>170</v>
      </c>
      <c r="F4530">
        <v>6</v>
      </c>
      <c r="G4530">
        <v>0</v>
      </c>
      <c r="H4530">
        <v>20</v>
      </c>
      <c r="I4530">
        <v>305</v>
      </c>
      <c r="J4530">
        <v>1210</v>
      </c>
      <c r="K4530">
        <v>2.3435000000000001</v>
      </c>
      <c r="L4530">
        <v>11.89</v>
      </c>
      <c r="M4530">
        <v>151.41849999999999</v>
      </c>
      <c r="N4530">
        <v>16.91</v>
      </c>
      <c r="O4530">
        <v>1707</v>
      </c>
      <c r="P4530">
        <v>1338</v>
      </c>
      <c r="Q4530" s="5" t="e">
        <f>IF(AND(#REF!&gt;=table!$C$6,#REF!&lt;= table!$D$6),-1,IF(AND(#REF!&gt;=table!$E$6,#REF!&lt;=table!$F$6),1,0))</f>
        <v>#REF!</v>
      </c>
      <c r="R4530" s="5" t="e">
        <f>IF(AND(#REF!&gt;=table!$C$7,#REF!&lt;= table!$D$7),-1,IF(AND(#REF!&gt;=table!$E$7,#REF!&lt;=table!$F$7),1,0))</f>
        <v>#REF!</v>
      </c>
      <c r="S4530" s="5" t="e">
        <f>IF(AND(#REF!&gt;=table!$C$8,#REF!&lt;= table!$D$8),-1,IF(AND(#REF!&gt;=table!$E$8,#REF!&lt;=table!$F$8),1,0))</f>
        <v>#REF!</v>
      </c>
      <c r="T4530" s="5"/>
      <c r="U4530" s="5" t="e">
        <f>IF(AND(#REF!&gt;=table!$C$10,#REF!&lt;= table!$D$10),-1,IF(AND(#REF!&gt;=table!$E$10,#REF!&lt;=table!$F$10),1,0))</f>
        <v>#REF!</v>
      </c>
      <c r="V4530" s="5" t="e">
        <f>IF(AND(#REF!&gt;=table!$C$11,#REF!&lt;= table!$D$11),-1,IF(AND(#REF!&gt;=table!$E$11,#REF!&lt;=table!$F$11),1,0))</f>
        <v>#REF!</v>
      </c>
      <c r="W4530" s="5" t="e">
        <f>CONCATENATE(dados[[#This Row],[fator1]],dados[[#This Row],[fator5]],dados[[#This Row],[fator6]])</f>
        <v>#REF!</v>
      </c>
    </row>
    <row r="4531" spans="1:23">
      <c r="A4531" t="s">
        <v>16</v>
      </c>
      <c r="B4531">
        <v>590313</v>
      </c>
      <c r="C4531">
        <v>12</v>
      </c>
      <c r="D4531">
        <v>35</v>
      </c>
      <c r="E4531">
        <v>180</v>
      </c>
      <c r="F4531">
        <v>6</v>
      </c>
      <c r="G4531">
        <v>0</v>
      </c>
      <c r="H4531">
        <v>20</v>
      </c>
      <c r="I4531">
        <v>16</v>
      </c>
      <c r="J4531">
        <v>0</v>
      </c>
      <c r="K4531">
        <v>2.3185000000000002</v>
      </c>
      <c r="L4531">
        <v>8.3090000000000011</v>
      </c>
      <c r="M4531">
        <v>117.6435</v>
      </c>
      <c r="N4531">
        <v>13.115</v>
      </c>
      <c r="O4531">
        <v>1707</v>
      </c>
      <c r="P4531">
        <v>0</v>
      </c>
      <c r="Q4531" s="5" t="e">
        <f>IF(AND(#REF!&gt;=table!$C$6,#REF!&lt;= table!$D$6),-1,IF(AND(#REF!&gt;=table!$E$6,#REF!&lt;=table!$F$6),1,0))</f>
        <v>#REF!</v>
      </c>
      <c r="R4531" s="5" t="e">
        <f>IF(AND(#REF!&gt;=table!$C$7,#REF!&lt;= table!$D$7),-1,IF(AND(#REF!&gt;=table!$E$7,#REF!&lt;=table!$F$7),1,0))</f>
        <v>#REF!</v>
      </c>
      <c r="S4531" s="5" t="e">
        <f>IF(AND(#REF!&gt;=table!$C$8,#REF!&lt;= table!$D$8),-1,IF(AND(#REF!&gt;=table!$E$8,#REF!&lt;=table!$F$8),1,0))</f>
        <v>#REF!</v>
      </c>
      <c r="T4531" s="5"/>
      <c r="U4531" s="5" t="e">
        <f>IF(AND(#REF!&gt;=table!$C$10,#REF!&lt;= table!$D$10),-1,IF(AND(#REF!&gt;=table!$E$10,#REF!&lt;=table!$F$10),1,0))</f>
        <v>#REF!</v>
      </c>
      <c r="V4531" s="5" t="e">
        <f>IF(AND(#REF!&gt;=table!$C$11,#REF!&lt;= table!$D$11),-1,IF(AND(#REF!&gt;=table!$E$11,#REF!&lt;=table!$F$11),1,0))</f>
        <v>#REF!</v>
      </c>
      <c r="W4531" s="5" t="e">
        <f>CONCATENATE(dados[[#This Row],[fator1]],dados[[#This Row],[fator5]],dados[[#This Row],[fator6]])</f>
        <v>#REF!</v>
      </c>
    </row>
    <row r="4532" spans="1:23">
      <c r="A4532" t="s">
        <v>16</v>
      </c>
      <c r="B4532">
        <v>590315</v>
      </c>
      <c r="C4532">
        <v>12</v>
      </c>
      <c r="D4532">
        <v>35</v>
      </c>
      <c r="E4532">
        <v>180</v>
      </c>
      <c r="F4532">
        <v>6</v>
      </c>
      <c r="G4532">
        <v>0</v>
      </c>
      <c r="H4532">
        <v>20</v>
      </c>
      <c r="I4532">
        <v>265</v>
      </c>
      <c r="J4532">
        <v>0</v>
      </c>
      <c r="K4532">
        <v>7.4270000000000005</v>
      </c>
      <c r="L4532">
        <v>12.7315</v>
      </c>
      <c r="M4532">
        <v>156.291</v>
      </c>
      <c r="N4532">
        <v>11.235000000000001</v>
      </c>
      <c r="O4532">
        <v>1682</v>
      </c>
      <c r="P4532">
        <v>406</v>
      </c>
      <c r="Q4532" s="5" t="e">
        <f>IF(AND(#REF!&gt;=table!$C$6,#REF!&lt;= table!$D$6),-1,IF(AND(#REF!&gt;=table!$E$6,#REF!&lt;=table!$F$6),1,0))</f>
        <v>#REF!</v>
      </c>
      <c r="R4532" s="5" t="e">
        <f>IF(AND(#REF!&gt;=table!$C$7,#REF!&lt;= table!$D$7),-1,IF(AND(#REF!&gt;=table!$E$7,#REF!&lt;=table!$F$7),1,0))</f>
        <v>#REF!</v>
      </c>
      <c r="S4532" s="5" t="e">
        <f>IF(AND(#REF!&gt;=table!$C$8,#REF!&lt;= table!$D$8),-1,IF(AND(#REF!&gt;=table!$E$8,#REF!&lt;=table!$F$8),1,0))</f>
        <v>#REF!</v>
      </c>
      <c r="T4532" s="5"/>
      <c r="U4532" s="5" t="e">
        <f>IF(AND(#REF!&gt;=table!$C$10,#REF!&lt;= table!$D$10),-1,IF(AND(#REF!&gt;=table!$E$10,#REF!&lt;=table!$F$10),1,0))</f>
        <v>#REF!</v>
      </c>
      <c r="V4532" s="5" t="e">
        <f>IF(AND(#REF!&gt;=table!$C$11,#REF!&lt;= table!$D$11),-1,IF(AND(#REF!&gt;=table!$E$11,#REF!&lt;=table!$F$11),1,0))</f>
        <v>#REF!</v>
      </c>
      <c r="W4532" s="5" t="e">
        <f>CONCATENATE(dados[[#This Row],[fator1]],dados[[#This Row],[fator5]],dados[[#This Row],[fator6]])</f>
        <v>#REF!</v>
      </c>
    </row>
    <row r="4533" spans="1:23">
      <c r="A4533" t="s">
        <v>16</v>
      </c>
      <c r="B4533">
        <v>590316</v>
      </c>
      <c r="C4533">
        <v>7</v>
      </c>
      <c r="D4533">
        <v>35</v>
      </c>
      <c r="E4533">
        <v>170</v>
      </c>
      <c r="F4533">
        <v>6</v>
      </c>
      <c r="G4533">
        <v>0</v>
      </c>
      <c r="H4533">
        <v>20</v>
      </c>
      <c r="I4533">
        <v>80</v>
      </c>
      <c r="J4533">
        <v>550</v>
      </c>
      <c r="K4533">
        <v>4.3464999999999998</v>
      </c>
      <c r="L4533">
        <v>12.478</v>
      </c>
      <c r="M4533">
        <v>135.03800000000001</v>
      </c>
      <c r="N4533">
        <v>15.26</v>
      </c>
      <c r="O4533">
        <v>1688</v>
      </c>
      <c r="P4533">
        <v>741</v>
      </c>
      <c r="Q4533" s="5" t="e">
        <f>IF(AND(#REF!&gt;=table!$C$6,#REF!&lt;= table!$D$6),-1,IF(AND(#REF!&gt;=table!$E$6,#REF!&lt;=table!$F$6),1,0))</f>
        <v>#REF!</v>
      </c>
      <c r="R4533" s="5" t="e">
        <f>IF(AND(#REF!&gt;=table!$C$7,#REF!&lt;= table!$D$7),-1,IF(AND(#REF!&gt;=table!$E$7,#REF!&lt;=table!$F$7),1,0))</f>
        <v>#REF!</v>
      </c>
      <c r="S4533" s="5" t="e">
        <f>IF(AND(#REF!&gt;=table!$C$8,#REF!&lt;= table!$D$8),-1,IF(AND(#REF!&gt;=table!$E$8,#REF!&lt;=table!$F$8),1,0))</f>
        <v>#REF!</v>
      </c>
      <c r="T4533" s="5"/>
      <c r="U4533" s="5" t="e">
        <f>IF(AND(#REF!&gt;=table!$C$10,#REF!&lt;= table!$D$10),-1,IF(AND(#REF!&gt;=table!$E$10,#REF!&lt;=table!$F$10),1,0))</f>
        <v>#REF!</v>
      </c>
      <c r="V4533" s="5" t="e">
        <f>IF(AND(#REF!&gt;=table!$C$11,#REF!&lt;= table!$D$11),-1,IF(AND(#REF!&gt;=table!$E$11,#REF!&lt;=table!$F$11),1,0))</f>
        <v>#REF!</v>
      </c>
      <c r="W4533" s="5" t="e">
        <f>CONCATENATE(dados[[#This Row],[fator1]],dados[[#This Row],[fator5]],dados[[#This Row],[fator6]])</f>
        <v>#REF!</v>
      </c>
    </row>
    <row r="4534" spans="1:23">
      <c r="A4534" t="s">
        <v>17</v>
      </c>
      <c r="B4534">
        <v>590317</v>
      </c>
      <c r="C4534">
        <v>8</v>
      </c>
      <c r="D4534">
        <v>30</v>
      </c>
      <c r="E4534">
        <v>153</v>
      </c>
      <c r="F4534">
        <v>2</v>
      </c>
      <c r="G4534">
        <v>20</v>
      </c>
      <c r="H4534">
        <v>18</v>
      </c>
      <c r="I4534">
        <v>572</v>
      </c>
      <c r="J4534">
        <v>700</v>
      </c>
      <c r="K4534">
        <v>5.0165000000000006</v>
      </c>
      <c r="L4534">
        <v>6.2170000000000005</v>
      </c>
      <c r="M4534">
        <v>106.986</v>
      </c>
      <c r="N4534">
        <v>7.23</v>
      </c>
      <c r="O4534">
        <v>1628</v>
      </c>
      <c r="P4534">
        <v>608</v>
      </c>
      <c r="Q4534" s="5" t="e">
        <f>IF(AND(#REF!&gt;=table!$C$6,#REF!&lt;= table!$D$6),-1,IF(AND(#REF!&gt;=table!$E$6,#REF!&lt;=table!$F$6),1,0))</f>
        <v>#REF!</v>
      </c>
      <c r="R4534" s="5" t="e">
        <f>IF(AND(#REF!&gt;=table!$C$7,#REF!&lt;= table!$D$7),-1,IF(AND(#REF!&gt;=table!$E$7,#REF!&lt;=table!$F$7),1,0))</f>
        <v>#REF!</v>
      </c>
      <c r="S4534" s="5" t="e">
        <f>IF(AND(#REF!&gt;=table!$C$8,#REF!&lt;= table!$D$8),-1,IF(AND(#REF!&gt;=table!$E$8,#REF!&lt;=table!$F$8),1,0))</f>
        <v>#REF!</v>
      </c>
      <c r="T4534" s="5"/>
      <c r="U4534" s="5" t="e">
        <f>IF(AND(#REF!&gt;=table!$C$10,#REF!&lt;= table!$D$10),-1,IF(AND(#REF!&gt;=table!$E$10,#REF!&lt;=table!$F$10),1,0))</f>
        <v>#REF!</v>
      </c>
      <c r="V4534" s="5" t="e">
        <f>IF(AND(#REF!&gt;=table!$C$11,#REF!&lt;= table!$D$11),-1,IF(AND(#REF!&gt;=table!$E$11,#REF!&lt;=table!$F$11),1,0))</f>
        <v>#REF!</v>
      </c>
      <c r="W4534" s="5" t="e">
        <f>CONCATENATE(dados[[#This Row],[fator1]],dados[[#This Row],[fator5]],dados[[#This Row],[fator6]])</f>
        <v>#REF!</v>
      </c>
    </row>
    <row r="4535" spans="1:23">
      <c r="A4535" t="s">
        <v>17</v>
      </c>
      <c r="B4535">
        <v>590320</v>
      </c>
      <c r="C4535">
        <v>18</v>
      </c>
      <c r="D4535">
        <v>23</v>
      </c>
      <c r="E4535">
        <v>145</v>
      </c>
      <c r="F4535">
        <v>4</v>
      </c>
      <c r="G4535">
        <v>30</v>
      </c>
      <c r="H4535">
        <v>25</v>
      </c>
      <c r="I4535">
        <v>25</v>
      </c>
      <c r="J4535">
        <v>0</v>
      </c>
      <c r="K4535">
        <v>2.9359999999999999</v>
      </c>
      <c r="L4535">
        <v>13.215</v>
      </c>
      <c r="M4535">
        <v>103.37</v>
      </c>
      <c r="N4535">
        <v>17</v>
      </c>
      <c r="O4535">
        <v>1653</v>
      </c>
      <c r="P4535">
        <v>797</v>
      </c>
      <c r="Q4535" s="5" t="e">
        <f>IF(AND(#REF!&gt;=table!$C$6,#REF!&lt;= table!$D$6),-1,IF(AND(#REF!&gt;=table!$E$6,#REF!&lt;=table!$F$6),1,0))</f>
        <v>#REF!</v>
      </c>
      <c r="R4535" s="5" t="e">
        <f>IF(AND(#REF!&gt;=table!$C$7,#REF!&lt;= table!$D$7),-1,IF(AND(#REF!&gt;=table!$E$7,#REF!&lt;=table!$F$7),1,0))</f>
        <v>#REF!</v>
      </c>
      <c r="S4535" s="5" t="e">
        <f>IF(AND(#REF!&gt;=table!$C$8,#REF!&lt;= table!$D$8),-1,IF(AND(#REF!&gt;=table!$E$8,#REF!&lt;=table!$F$8),1,0))</f>
        <v>#REF!</v>
      </c>
      <c r="T4535" s="5"/>
      <c r="U4535" s="5" t="e">
        <f>IF(AND(#REF!&gt;=table!$C$10,#REF!&lt;= table!$D$10),-1,IF(AND(#REF!&gt;=table!$E$10,#REF!&lt;=table!$F$10),1,0))</f>
        <v>#REF!</v>
      </c>
      <c r="V4535" s="5" t="e">
        <f>IF(AND(#REF!&gt;=table!$C$11,#REF!&lt;= table!$D$11),-1,IF(AND(#REF!&gt;=table!$E$11,#REF!&lt;=table!$F$11),1,0))</f>
        <v>#REF!</v>
      </c>
      <c r="W4535" s="5" t="e">
        <f>CONCATENATE(dados[[#This Row],[fator1]],dados[[#This Row],[fator5]],dados[[#This Row],[fator6]])</f>
        <v>#REF!</v>
      </c>
    </row>
    <row r="4536" spans="1:23">
      <c r="A4536" t="s">
        <v>17</v>
      </c>
      <c r="B4536">
        <v>590323</v>
      </c>
      <c r="C4536">
        <v>13</v>
      </c>
      <c r="D4536">
        <v>35</v>
      </c>
      <c r="E4536">
        <v>135</v>
      </c>
      <c r="F4536">
        <v>1</v>
      </c>
      <c r="G4536">
        <v>40</v>
      </c>
      <c r="H4536">
        <v>20</v>
      </c>
      <c r="I4536">
        <v>9</v>
      </c>
      <c r="J4536">
        <v>0</v>
      </c>
      <c r="K4536">
        <v>3.9220000000000002</v>
      </c>
      <c r="L4536">
        <v>7.2080000000000002</v>
      </c>
      <c r="M4536">
        <v>117.40600000000001</v>
      </c>
      <c r="N4536">
        <v>12.790000000000001</v>
      </c>
      <c r="O4536">
        <v>1681</v>
      </c>
      <c r="P4536">
        <v>0</v>
      </c>
      <c r="Q4536" s="5" t="e">
        <f>IF(AND(#REF!&gt;=table!$C$6,#REF!&lt;= table!$D$6),-1,IF(AND(#REF!&gt;=table!$E$6,#REF!&lt;=table!$F$6),1,0))</f>
        <v>#REF!</v>
      </c>
      <c r="R4536" s="5" t="e">
        <f>IF(AND(#REF!&gt;=table!$C$7,#REF!&lt;= table!$D$7),-1,IF(AND(#REF!&gt;=table!$E$7,#REF!&lt;=table!$F$7),1,0))</f>
        <v>#REF!</v>
      </c>
      <c r="S4536" s="5" t="e">
        <f>IF(AND(#REF!&gt;=table!$C$8,#REF!&lt;= table!$D$8),-1,IF(AND(#REF!&gt;=table!$E$8,#REF!&lt;=table!$F$8),1,0))</f>
        <v>#REF!</v>
      </c>
      <c r="T4536" s="5"/>
      <c r="U4536" s="5" t="e">
        <f>IF(AND(#REF!&gt;=table!$C$10,#REF!&lt;= table!$D$10),-1,IF(AND(#REF!&gt;=table!$E$10,#REF!&lt;=table!$F$10),1,0))</f>
        <v>#REF!</v>
      </c>
      <c r="V4536" s="5" t="e">
        <f>IF(AND(#REF!&gt;=table!$C$11,#REF!&lt;= table!$D$11),-1,IF(AND(#REF!&gt;=table!$E$11,#REF!&lt;=table!$F$11),1,0))</f>
        <v>#REF!</v>
      </c>
      <c r="W4536" s="5" t="e">
        <f>CONCATENATE(dados[[#This Row],[fator1]],dados[[#This Row],[fator5]],dados[[#This Row],[fator6]])</f>
        <v>#REF!</v>
      </c>
    </row>
    <row r="4537" spans="1:23">
      <c r="A4537" t="s">
        <v>17</v>
      </c>
      <c r="B4537">
        <v>590324</v>
      </c>
      <c r="C4537">
        <v>11</v>
      </c>
      <c r="D4537">
        <v>30</v>
      </c>
      <c r="E4537">
        <v>125</v>
      </c>
      <c r="F4537">
        <v>4</v>
      </c>
      <c r="G4537">
        <v>25</v>
      </c>
      <c r="H4537">
        <v>20</v>
      </c>
      <c r="I4537">
        <v>0</v>
      </c>
      <c r="J4537">
        <v>0</v>
      </c>
      <c r="K4537">
        <v>2.9670000000000001</v>
      </c>
      <c r="L4537">
        <v>6.1645000000000003</v>
      </c>
      <c r="M4537">
        <v>117.07600000000001</v>
      </c>
      <c r="N4537">
        <v>13.61</v>
      </c>
      <c r="O4537">
        <v>1664</v>
      </c>
      <c r="P4537">
        <v>1040</v>
      </c>
      <c r="Q4537" s="5" t="e">
        <f>IF(AND(#REF!&gt;=table!$C$6,#REF!&lt;= table!$D$6),-1,IF(AND(#REF!&gt;=table!$E$6,#REF!&lt;=table!$F$6),1,0))</f>
        <v>#REF!</v>
      </c>
      <c r="R4537" s="5" t="e">
        <f>IF(AND(#REF!&gt;=table!$C$7,#REF!&lt;= table!$D$7),-1,IF(AND(#REF!&gt;=table!$E$7,#REF!&lt;=table!$F$7),1,0))</f>
        <v>#REF!</v>
      </c>
      <c r="S4537" s="5" t="e">
        <f>IF(AND(#REF!&gt;=table!$C$8,#REF!&lt;= table!$D$8),-1,IF(AND(#REF!&gt;=table!$E$8,#REF!&lt;=table!$F$8),1,0))</f>
        <v>#REF!</v>
      </c>
      <c r="T4537" s="5"/>
      <c r="U4537" s="5" t="e">
        <f>IF(AND(#REF!&gt;=table!$C$10,#REF!&lt;= table!$D$10),-1,IF(AND(#REF!&gt;=table!$E$10,#REF!&lt;=table!$F$10),1,0))</f>
        <v>#REF!</v>
      </c>
      <c r="V4537" s="5" t="e">
        <f>IF(AND(#REF!&gt;=table!$C$11,#REF!&lt;= table!$D$11),-1,IF(AND(#REF!&gt;=table!$E$11,#REF!&lt;=table!$F$11),1,0))</f>
        <v>#REF!</v>
      </c>
      <c r="W4537" s="5" t="e">
        <f>CONCATENATE(dados[[#This Row],[fator1]],dados[[#This Row],[fator5]],dados[[#This Row],[fator6]])</f>
        <v>#REF!</v>
      </c>
    </row>
    <row r="4538" spans="1:23">
      <c r="A4538" t="s">
        <v>16</v>
      </c>
      <c r="B4538">
        <v>590326</v>
      </c>
      <c r="C4538">
        <v>11</v>
      </c>
      <c r="D4538">
        <v>35</v>
      </c>
      <c r="E4538">
        <v>36</v>
      </c>
      <c r="F4538">
        <v>9</v>
      </c>
      <c r="G4538">
        <v>0</v>
      </c>
      <c r="H4538">
        <v>25</v>
      </c>
      <c r="I4538">
        <v>2</v>
      </c>
      <c r="J4538">
        <v>0</v>
      </c>
      <c r="K4538">
        <v>7.2709999999999999</v>
      </c>
      <c r="L4538">
        <v>12.048500000000001</v>
      </c>
      <c r="M4538">
        <v>32.774999999999999</v>
      </c>
      <c r="N4538">
        <v>12.02</v>
      </c>
      <c r="O4538">
        <v>1667</v>
      </c>
      <c r="P4538">
        <v>0</v>
      </c>
      <c r="Q4538" s="5" t="e">
        <f>IF(AND(#REF!&gt;=table!$C$6,#REF!&lt;= table!$D$6),-1,IF(AND(#REF!&gt;=table!$E$6,#REF!&lt;=table!$F$6),1,0))</f>
        <v>#REF!</v>
      </c>
      <c r="R4538" s="5" t="e">
        <f>IF(AND(#REF!&gt;=table!$C$7,#REF!&lt;= table!$D$7),-1,IF(AND(#REF!&gt;=table!$E$7,#REF!&lt;=table!$F$7),1,0))</f>
        <v>#REF!</v>
      </c>
      <c r="S4538" s="5" t="e">
        <f>IF(AND(#REF!&gt;=table!$C$8,#REF!&lt;= table!$D$8),-1,IF(AND(#REF!&gt;=table!$E$8,#REF!&lt;=table!$F$8),1,0))</f>
        <v>#REF!</v>
      </c>
      <c r="T4538" s="5"/>
      <c r="U4538" s="5" t="e">
        <f>IF(AND(#REF!&gt;=table!$C$10,#REF!&lt;= table!$D$10),-1,IF(AND(#REF!&gt;=table!$E$10,#REF!&lt;=table!$F$10),1,0))</f>
        <v>#REF!</v>
      </c>
      <c r="V4538" s="5" t="e">
        <f>IF(AND(#REF!&gt;=table!$C$11,#REF!&lt;= table!$D$11),-1,IF(AND(#REF!&gt;=table!$E$11,#REF!&lt;=table!$F$11),1,0))</f>
        <v>#REF!</v>
      </c>
      <c r="W4538" s="5" t="e">
        <f>CONCATENATE(dados[[#This Row],[fator1]],dados[[#This Row],[fator5]],dados[[#This Row],[fator6]])</f>
        <v>#REF!</v>
      </c>
    </row>
    <row r="4539" spans="1:23">
      <c r="A4539" t="s">
        <v>16</v>
      </c>
      <c r="B4539">
        <v>590329</v>
      </c>
      <c r="C4539">
        <v>12</v>
      </c>
      <c r="D4539">
        <v>35</v>
      </c>
      <c r="E4539">
        <v>86</v>
      </c>
      <c r="F4539">
        <v>10</v>
      </c>
      <c r="G4539">
        <v>0</v>
      </c>
      <c r="H4539">
        <v>25</v>
      </c>
      <c r="I4539">
        <v>27</v>
      </c>
      <c r="J4539">
        <v>0</v>
      </c>
      <c r="K4539">
        <v>6.4625000000000004</v>
      </c>
      <c r="L4539">
        <v>13.451000000000001</v>
      </c>
      <c r="M4539">
        <v>76.537500000000009</v>
      </c>
      <c r="N4539">
        <v>16.61</v>
      </c>
      <c r="O4539">
        <v>1670</v>
      </c>
      <c r="P4539">
        <v>558</v>
      </c>
      <c r="Q4539" s="5" t="e">
        <f>IF(AND(#REF!&gt;=table!$C$6,#REF!&lt;= table!$D$6),-1,IF(AND(#REF!&gt;=table!$E$6,#REF!&lt;=table!$F$6),1,0))</f>
        <v>#REF!</v>
      </c>
      <c r="R4539" s="5" t="e">
        <f>IF(AND(#REF!&gt;=table!$C$7,#REF!&lt;= table!$D$7),-1,IF(AND(#REF!&gt;=table!$E$7,#REF!&lt;=table!$F$7),1,0))</f>
        <v>#REF!</v>
      </c>
      <c r="S4539" s="5" t="e">
        <f>IF(AND(#REF!&gt;=table!$C$8,#REF!&lt;= table!$D$8),-1,IF(AND(#REF!&gt;=table!$E$8,#REF!&lt;=table!$F$8),1,0))</f>
        <v>#REF!</v>
      </c>
      <c r="T4539" s="5"/>
      <c r="U4539" s="5" t="e">
        <f>IF(AND(#REF!&gt;=table!$C$10,#REF!&lt;= table!$D$10),-1,IF(AND(#REF!&gt;=table!$E$10,#REF!&lt;=table!$F$10),1,0))</f>
        <v>#REF!</v>
      </c>
      <c r="V4539" s="5" t="e">
        <f>IF(AND(#REF!&gt;=table!$C$11,#REF!&lt;= table!$D$11),-1,IF(AND(#REF!&gt;=table!$E$11,#REF!&lt;=table!$F$11),1,0))</f>
        <v>#REF!</v>
      </c>
      <c r="W4539" s="5" t="e">
        <f>CONCATENATE(dados[[#This Row],[fator1]],dados[[#This Row],[fator5]],dados[[#This Row],[fator6]])</f>
        <v>#REF!</v>
      </c>
    </row>
    <row r="4540" spans="1:23">
      <c r="A4540" t="s">
        <v>17</v>
      </c>
      <c r="B4540">
        <v>590331</v>
      </c>
      <c r="C4540">
        <v>18</v>
      </c>
      <c r="D4540">
        <v>23</v>
      </c>
      <c r="E4540">
        <v>145</v>
      </c>
      <c r="F4540">
        <v>4</v>
      </c>
      <c r="G4540">
        <v>30</v>
      </c>
      <c r="H4540">
        <v>25</v>
      </c>
      <c r="I4540">
        <v>198</v>
      </c>
      <c r="J4540">
        <v>0</v>
      </c>
      <c r="K4540">
        <v>9.2330000000000005</v>
      </c>
      <c r="L4540">
        <v>11.707000000000001</v>
      </c>
      <c r="M4540">
        <v>113.65600000000001</v>
      </c>
      <c r="N4540">
        <v>14.615</v>
      </c>
      <c r="O4540">
        <v>1674</v>
      </c>
      <c r="P4540">
        <v>356</v>
      </c>
      <c r="Q4540" s="5" t="e">
        <f>IF(AND(#REF!&gt;=table!$C$6,#REF!&lt;= table!$D$6),-1,IF(AND(#REF!&gt;=table!$E$6,#REF!&lt;=table!$F$6),1,0))</f>
        <v>#REF!</v>
      </c>
      <c r="R4540" s="5" t="e">
        <f>IF(AND(#REF!&gt;=table!$C$7,#REF!&lt;= table!$D$7),-1,IF(AND(#REF!&gt;=table!$E$7,#REF!&lt;=table!$F$7),1,0))</f>
        <v>#REF!</v>
      </c>
      <c r="S4540" s="5" t="e">
        <f>IF(AND(#REF!&gt;=table!$C$8,#REF!&lt;= table!$D$8),-1,IF(AND(#REF!&gt;=table!$E$8,#REF!&lt;=table!$F$8),1,0))</f>
        <v>#REF!</v>
      </c>
      <c r="T4540" s="5"/>
      <c r="U4540" s="5" t="e">
        <f>IF(AND(#REF!&gt;=table!$C$10,#REF!&lt;= table!$D$10),-1,IF(AND(#REF!&gt;=table!$E$10,#REF!&lt;=table!$F$10),1,0))</f>
        <v>#REF!</v>
      </c>
      <c r="V4540" s="5" t="e">
        <f>IF(AND(#REF!&gt;=table!$C$11,#REF!&lt;= table!$D$11),-1,IF(AND(#REF!&gt;=table!$E$11,#REF!&lt;=table!$F$11),1,0))</f>
        <v>#REF!</v>
      </c>
      <c r="W4540" s="5" t="e">
        <f>CONCATENATE(dados[[#This Row],[fator1]],dados[[#This Row],[fator5]],dados[[#This Row],[fator6]])</f>
        <v>#REF!</v>
      </c>
    </row>
    <row r="4541" spans="1:23">
      <c r="A4541" t="s">
        <v>17</v>
      </c>
      <c r="B4541">
        <v>590333</v>
      </c>
      <c r="C4541">
        <v>16</v>
      </c>
      <c r="D4541">
        <v>23</v>
      </c>
      <c r="E4541">
        <v>145</v>
      </c>
      <c r="F4541">
        <v>9</v>
      </c>
      <c r="G4541">
        <v>30</v>
      </c>
      <c r="H4541">
        <v>25</v>
      </c>
      <c r="I4541">
        <v>368</v>
      </c>
      <c r="J4541">
        <v>0</v>
      </c>
      <c r="K4541">
        <v>3.58</v>
      </c>
      <c r="L4541">
        <v>8.963000000000001</v>
      </c>
      <c r="M4541">
        <v>102.32650000000001</v>
      </c>
      <c r="N4541">
        <v>16.555</v>
      </c>
      <c r="O4541">
        <v>1683</v>
      </c>
      <c r="P4541">
        <v>1120</v>
      </c>
      <c r="Q4541" s="5" t="e">
        <f>IF(AND(#REF!&gt;=table!$C$6,#REF!&lt;= table!$D$6),-1,IF(AND(#REF!&gt;=table!$E$6,#REF!&lt;=table!$F$6),1,0))</f>
        <v>#REF!</v>
      </c>
      <c r="R4541" s="5" t="e">
        <f>IF(AND(#REF!&gt;=table!$C$7,#REF!&lt;= table!$D$7),-1,IF(AND(#REF!&gt;=table!$E$7,#REF!&lt;=table!$F$7),1,0))</f>
        <v>#REF!</v>
      </c>
      <c r="S4541" s="5" t="e">
        <f>IF(AND(#REF!&gt;=table!$C$8,#REF!&lt;= table!$D$8),-1,IF(AND(#REF!&gt;=table!$E$8,#REF!&lt;=table!$F$8),1,0))</f>
        <v>#REF!</v>
      </c>
      <c r="T4541" s="5"/>
      <c r="U4541" s="5" t="e">
        <f>IF(AND(#REF!&gt;=table!$C$10,#REF!&lt;= table!$D$10),-1,IF(AND(#REF!&gt;=table!$E$10,#REF!&lt;=table!$F$10),1,0))</f>
        <v>#REF!</v>
      </c>
      <c r="V4541" s="5" t="e">
        <f>IF(AND(#REF!&gt;=table!$C$11,#REF!&lt;= table!$D$11),-1,IF(AND(#REF!&gt;=table!$E$11,#REF!&lt;=table!$F$11),1,0))</f>
        <v>#REF!</v>
      </c>
      <c r="W4541" s="5" t="e">
        <f>CONCATENATE(dados[[#This Row],[fator1]],dados[[#This Row],[fator5]],dados[[#This Row],[fator6]])</f>
        <v>#REF!</v>
      </c>
    </row>
    <row r="4542" spans="1:23">
      <c r="A4542" t="s">
        <v>16</v>
      </c>
      <c r="B4542">
        <v>590336</v>
      </c>
      <c r="C4542">
        <v>11</v>
      </c>
      <c r="D4542">
        <v>40</v>
      </c>
      <c r="E4542">
        <v>151</v>
      </c>
      <c r="F4542">
        <v>8</v>
      </c>
      <c r="G4542">
        <v>0</v>
      </c>
      <c r="H4542">
        <v>25</v>
      </c>
      <c r="I4542">
        <v>1046</v>
      </c>
      <c r="J4542">
        <v>0</v>
      </c>
      <c r="K4542">
        <v>5.6870000000000003</v>
      </c>
      <c r="L4542">
        <v>14.871500000000001</v>
      </c>
      <c r="M4542">
        <v>133.81550000000001</v>
      </c>
      <c r="N4542">
        <v>18.805</v>
      </c>
      <c r="O4542">
        <v>1675</v>
      </c>
      <c r="P4542">
        <v>628</v>
      </c>
      <c r="Q4542" s="5" t="e">
        <f>IF(AND(#REF!&gt;=table!$C$6,#REF!&lt;= table!$D$6),-1,IF(AND(#REF!&gt;=table!$E$6,#REF!&lt;=table!$F$6),1,0))</f>
        <v>#REF!</v>
      </c>
      <c r="R4542" s="5" t="e">
        <f>IF(AND(#REF!&gt;=table!$C$7,#REF!&lt;= table!$D$7),-1,IF(AND(#REF!&gt;=table!$E$7,#REF!&lt;=table!$F$7),1,0))</f>
        <v>#REF!</v>
      </c>
      <c r="S4542" s="5" t="e">
        <f>IF(AND(#REF!&gt;=table!$C$8,#REF!&lt;= table!$D$8),-1,IF(AND(#REF!&gt;=table!$E$8,#REF!&lt;=table!$F$8),1,0))</f>
        <v>#REF!</v>
      </c>
      <c r="T4542" s="5"/>
      <c r="U4542" s="5" t="e">
        <f>IF(AND(#REF!&gt;=table!$C$10,#REF!&lt;= table!$D$10),-1,IF(AND(#REF!&gt;=table!$E$10,#REF!&lt;=table!$F$10),1,0))</f>
        <v>#REF!</v>
      </c>
      <c r="V4542" s="5" t="e">
        <f>IF(AND(#REF!&gt;=table!$C$11,#REF!&lt;= table!$D$11),-1,IF(AND(#REF!&gt;=table!$E$11,#REF!&lt;=table!$F$11),1,0))</f>
        <v>#REF!</v>
      </c>
      <c r="W4542" s="5" t="e">
        <f>CONCATENATE(dados[[#This Row],[fator1]],dados[[#This Row],[fator5]],dados[[#This Row],[fator6]])</f>
        <v>#REF!</v>
      </c>
    </row>
    <row r="4543" spans="1:23">
      <c r="A4543" t="s">
        <v>17</v>
      </c>
      <c r="B4543">
        <v>590338</v>
      </c>
      <c r="C4543">
        <v>8</v>
      </c>
      <c r="D4543">
        <v>30</v>
      </c>
      <c r="E4543">
        <v>153</v>
      </c>
      <c r="F4543">
        <v>2</v>
      </c>
      <c r="G4543">
        <v>20</v>
      </c>
      <c r="H4543">
        <v>18</v>
      </c>
      <c r="I4543">
        <v>0</v>
      </c>
      <c r="J4543">
        <v>0</v>
      </c>
      <c r="K4543">
        <v>3.6405000000000003</v>
      </c>
      <c r="L4543">
        <v>5.6665000000000001</v>
      </c>
      <c r="M4543">
        <v>132.2415</v>
      </c>
      <c r="N4543">
        <v>9.33</v>
      </c>
      <c r="O4543">
        <v>1684</v>
      </c>
      <c r="P4543">
        <v>1144</v>
      </c>
      <c r="Q4543" s="5" t="e">
        <f>IF(AND(#REF!&gt;=table!$C$6,#REF!&lt;= table!$D$6),-1,IF(AND(#REF!&gt;=table!$E$6,#REF!&lt;=table!$F$6),1,0))</f>
        <v>#REF!</v>
      </c>
      <c r="R4543" s="5" t="e">
        <f>IF(AND(#REF!&gt;=table!$C$7,#REF!&lt;= table!$D$7),-1,IF(AND(#REF!&gt;=table!$E$7,#REF!&lt;=table!$F$7),1,0))</f>
        <v>#REF!</v>
      </c>
      <c r="S4543" s="5" t="e">
        <f>IF(AND(#REF!&gt;=table!$C$8,#REF!&lt;= table!$D$8),-1,IF(AND(#REF!&gt;=table!$E$8,#REF!&lt;=table!$F$8),1,0))</f>
        <v>#REF!</v>
      </c>
      <c r="T4543" s="5"/>
      <c r="U4543" s="5" t="e">
        <f>IF(AND(#REF!&gt;=table!$C$10,#REF!&lt;= table!$D$10),-1,IF(AND(#REF!&gt;=table!$E$10,#REF!&lt;=table!$F$10),1,0))</f>
        <v>#REF!</v>
      </c>
      <c r="V4543" s="5" t="e">
        <f>IF(AND(#REF!&gt;=table!$C$11,#REF!&lt;= table!$D$11),-1,IF(AND(#REF!&gt;=table!$E$11,#REF!&lt;=table!$F$11),1,0))</f>
        <v>#REF!</v>
      </c>
      <c r="W4543" s="5" t="e">
        <f>CONCATENATE(dados[[#This Row],[fator1]],dados[[#This Row],[fator5]],dados[[#This Row],[fator6]])</f>
        <v>#REF!</v>
      </c>
    </row>
    <row r="4544" spans="1:23">
      <c r="A4544" t="s">
        <v>17</v>
      </c>
      <c r="B4544">
        <v>590339</v>
      </c>
      <c r="C4544">
        <v>8</v>
      </c>
      <c r="D4544">
        <v>30</v>
      </c>
      <c r="E4544">
        <v>153</v>
      </c>
      <c r="F4544">
        <v>2</v>
      </c>
      <c r="G4544">
        <v>20</v>
      </c>
      <c r="H4544">
        <v>18</v>
      </c>
      <c r="I4544">
        <v>0</v>
      </c>
      <c r="J4544">
        <v>0</v>
      </c>
      <c r="K4544">
        <v>3.117</v>
      </c>
      <c r="L4544">
        <v>4.2220000000000004</v>
      </c>
      <c r="M4544">
        <v>120.1815</v>
      </c>
      <c r="N4544">
        <v>11.335000000000001</v>
      </c>
      <c r="O4544">
        <v>1683</v>
      </c>
      <c r="P4544">
        <v>1497</v>
      </c>
      <c r="Q4544" s="5" t="e">
        <f>IF(AND(#REF!&gt;=table!$C$6,#REF!&lt;= table!$D$6),-1,IF(AND(#REF!&gt;=table!$E$6,#REF!&lt;=table!$F$6),1,0))</f>
        <v>#REF!</v>
      </c>
      <c r="R4544" s="5" t="e">
        <f>IF(AND(#REF!&gt;=table!$C$7,#REF!&lt;= table!$D$7),-1,IF(AND(#REF!&gt;=table!$E$7,#REF!&lt;=table!$F$7),1,0))</f>
        <v>#REF!</v>
      </c>
      <c r="S4544" s="5" t="e">
        <f>IF(AND(#REF!&gt;=table!$C$8,#REF!&lt;= table!$D$8),-1,IF(AND(#REF!&gt;=table!$E$8,#REF!&lt;=table!$F$8),1,0))</f>
        <v>#REF!</v>
      </c>
      <c r="T4544" s="5"/>
      <c r="U4544" s="5" t="e">
        <f>IF(AND(#REF!&gt;=table!$C$10,#REF!&lt;= table!$D$10),-1,IF(AND(#REF!&gt;=table!$E$10,#REF!&lt;=table!$F$10),1,0))</f>
        <v>#REF!</v>
      </c>
      <c r="V4544" s="5" t="e">
        <f>IF(AND(#REF!&gt;=table!$C$11,#REF!&lt;= table!$D$11),-1,IF(AND(#REF!&gt;=table!$E$11,#REF!&lt;=table!$F$11),1,0))</f>
        <v>#REF!</v>
      </c>
      <c r="W4544" s="5" t="e">
        <f>CONCATENATE(dados[[#This Row],[fator1]],dados[[#This Row],[fator5]],dados[[#This Row],[fator6]])</f>
        <v>#REF!</v>
      </c>
    </row>
    <row r="4545" spans="1:23">
      <c r="A4545" t="s">
        <v>16</v>
      </c>
      <c r="B4545">
        <v>590341</v>
      </c>
      <c r="C4545">
        <v>11</v>
      </c>
      <c r="D4545">
        <v>40</v>
      </c>
      <c r="E4545">
        <v>151</v>
      </c>
      <c r="F4545">
        <v>8</v>
      </c>
      <c r="G4545">
        <v>0</v>
      </c>
      <c r="H4545">
        <v>25</v>
      </c>
      <c r="I4545">
        <v>1400</v>
      </c>
      <c r="J4545">
        <v>0</v>
      </c>
      <c r="K4545">
        <v>7.2140000000000004</v>
      </c>
      <c r="L4545">
        <v>16.039000000000001</v>
      </c>
      <c r="M4545">
        <v>136.20500000000001</v>
      </c>
      <c r="N4545">
        <v>16.68</v>
      </c>
      <c r="O4545">
        <v>1673</v>
      </c>
      <c r="P4545">
        <v>427</v>
      </c>
      <c r="Q4545" s="5" t="e">
        <f>IF(AND(#REF!&gt;=table!$C$6,#REF!&lt;= table!$D$6),-1,IF(AND(#REF!&gt;=table!$E$6,#REF!&lt;=table!$F$6),1,0))</f>
        <v>#REF!</v>
      </c>
      <c r="R4545" s="5" t="e">
        <f>IF(AND(#REF!&gt;=table!$C$7,#REF!&lt;= table!$D$7),-1,IF(AND(#REF!&gt;=table!$E$7,#REF!&lt;=table!$F$7),1,0))</f>
        <v>#REF!</v>
      </c>
      <c r="S4545" s="5" t="e">
        <f>IF(AND(#REF!&gt;=table!$C$8,#REF!&lt;= table!$D$8),-1,IF(AND(#REF!&gt;=table!$E$8,#REF!&lt;=table!$F$8),1,0))</f>
        <v>#REF!</v>
      </c>
      <c r="T4545" s="5"/>
      <c r="U4545" s="5" t="e">
        <f>IF(AND(#REF!&gt;=table!$C$10,#REF!&lt;= table!$D$10),-1,IF(AND(#REF!&gt;=table!$E$10,#REF!&lt;=table!$F$10),1,0))</f>
        <v>#REF!</v>
      </c>
      <c r="V4545" s="5" t="e">
        <f>IF(AND(#REF!&gt;=table!$C$11,#REF!&lt;= table!$D$11),-1,IF(AND(#REF!&gt;=table!$E$11,#REF!&lt;=table!$F$11),1,0))</f>
        <v>#REF!</v>
      </c>
      <c r="W4545" s="5" t="e">
        <f>CONCATENATE(dados[[#This Row],[fator1]],dados[[#This Row],[fator5]],dados[[#This Row],[fator6]])</f>
        <v>#REF!</v>
      </c>
    </row>
    <row r="4546" spans="1:23">
      <c r="A4546" t="s">
        <v>17</v>
      </c>
      <c r="B4546">
        <v>590343</v>
      </c>
      <c r="C4546">
        <v>18</v>
      </c>
      <c r="D4546">
        <v>23</v>
      </c>
      <c r="E4546">
        <v>145</v>
      </c>
      <c r="F4546">
        <v>9</v>
      </c>
      <c r="G4546">
        <v>30</v>
      </c>
      <c r="H4546">
        <v>25</v>
      </c>
      <c r="I4546">
        <v>68</v>
      </c>
      <c r="J4546">
        <v>0</v>
      </c>
      <c r="K4546">
        <v>5.7975000000000003</v>
      </c>
      <c r="L4546">
        <v>10.979000000000001</v>
      </c>
      <c r="M4546">
        <v>139.00749999999999</v>
      </c>
      <c r="N4546">
        <v>14.295</v>
      </c>
      <c r="O4546">
        <v>1690</v>
      </c>
      <c r="P4546">
        <v>731</v>
      </c>
      <c r="Q4546" s="5" t="e">
        <f>IF(AND(#REF!&gt;=table!$C$6,#REF!&lt;= table!$D$6),-1,IF(AND(#REF!&gt;=table!$E$6,#REF!&lt;=table!$F$6),1,0))</f>
        <v>#REF!</v>
      </c>
      <c r="R4546" s="5" t="e">
        <f>IF(AND(#REF!&gt;=table!$C$7,#REF!&lt;= table!$D$7),-1,IF(AND(#REF!&gt;=table!$E$7,#REF!&lt;=table!$F$7),1,0))</f>
        <v>#REF!</v>
      </c>
      <c r="S4546" s="5" t="e">
        <f>IF(AND(#REF!&gt;=table!$C$8,#REF!&lt;= table!$D$8),-1,IF(AND(#REF!&gt;=table!$E$8,#REF!&lt;=table!$F$8),1,0))</f>
        <v>#REF!</v>
      </c>
      <c r="T4546" s="5"/>
      <c r="U4546" s="5" t="e">
        <f>IF(AND(#REF!&gt;=table!$C$10,#REF!&lt;= table!$D$10),-1,IF(AND(#REF!&gt;=table!$E$10,#REF!&lt;=table!$F$10),1,0))</f>
        <v>#REF!</v>
      </c>
      <c r="V4546" s="5" t="e">
        <f>IF(AND(#REF!&gt;=table!$C$11,#REF!&lt;= table!$D$11),-1,IF(AND(#REF!&gt;=table!$E$11,#REF!&lt;=table!$F$11),1,0))</f>
        <v>#REF!</v>
      </c>
      <c r="W4546" s="5" t="e">
        <f>CONCATENATE(dados[[#This Row],[fator1]],dados[[#This Row],[fator5]],dados[[#This Row],[fator6]])</f>
        <v>#REF!</v>
      </c>
    </row>
    <row r="4547" spans="1:23">
      <c r="A4547" t="s">
        <v>16</v>
      </c>
      <c r="B4547">
        <v>590345</v>
      </c>
      <c r="C4547">
        <v>0.15</v>
      </c>
      <c r="D4547">
        <v>35</v>
      </c>
      <c r="E4547">
        <v>15</v>
      </c>
      <c r="F4547">
        <v>10</v>
      </c>
      <c r="G4547">
        <v>0</v>
      </c>
      <c r="H4547">
        <v>12</v>
      </c>
      <c r="I4547">
        <v>1209</v>
      </c>
      <c r="J4547">
        <v>0</v>
      </c>
      <c r="K4547">
        <v>2.8055000000000003</v>
      </c>
      <c r="L4547">
        <v>7.0965000000000007</v>
      </c>
      <c r="M4547">
        <v>6.65</v>
      </c>
      <c r="N4547">
        <v>9.4500000000000011</v>
      </c>
      <c r="O4547">
        <v>1680</v>
      </c>
      <c r="P4547">
        <v>0</v>
      </c>
      <c r="Q4547" s="5" t="e">
        <f>IF(AND(#REF!&gt;=table!$C$6,#REF!&lt;= table!$D$6),-1,IF(AND(#REF!&gt;=table!$E$6,#REF!&lt;=table!$F$6),1,0))</f>
        <v>#REF!</v>
      </c>
      <c r="R4547" s="5" t="e">
        <f>IF(AND(#REF!&gt;=table!$C$7,#REF!&lt;= table!$D$7),-1,IF(AND(#REF!&gt;=table!$E$7,#REF!&lt;=table!$F$7),1,0))</f>
        <v>#REF!</v>
      </c>
      <c r="S4547" s="5" t="e">
        <f>IF(AND(#REF!&gt;=table!$C$8,#REF!&lt;= table!$D$8),-1,IF(AND(#REF!&gt;=table!$E$8,#REF!&lt;=table!$F$8),1,0))</f>
        <v>#REF!</v>
      </c>
      <c r="T4547" s="5"/>
      <c r="U4547" s="5" t="e">
        <f>IF(AND(#REF!&gt;=table!$C$10,#REF!&lt;= table!$D$10),-1,IF(AND(#REF!&gt;=table!$E$10,#REF!&lt;=table!$F$10),1,0))</f>
        <v>#REF!</v>
      </c>
      <c r="V4547" s="5" t="e">
        <f>IF(AND(#REF!&gt;=table!$C$11,#REF!&lt;= table!$D$11),-1,IF(AND(#REF!&gt;=table!$E$11,#REF!&lt;=table!$F$11),1,0))</f>
        <v>#REF!</v>
      </c>
      <c r="W4547" s="5" t="e">
        <f>CONCATENATE(dados[[#This Row],[fator1]],dados[[#This Row],[fator5]],dados[[#This Row],[fator6]])</f>
        <v>#REF!</v>
      </c>
    </row>
    <row r="4548" spans="1:23">
      <c r="A4548" t="s">
        <v>16</v>
      </c>
      <c r="B4548">
        <v>590351</v>
      </c>
      <c r="C4548">
        <v>0.15</v>
      </c>
      <c r="D4548">
        <v>35</v>
      </c>
      <c r="E4548">
        <v>15</v>
      </c>
      <c r="F4548">
        <v>10</v>
      </c>
      <c r="G4548">
        <v>0</v>
      </c>
      <c r="H4548">
        <v>12</v>
      </c>
      <c r="I4548">
        <v>780</v>
      </c>
      <c r="J4548">
        <v>0</v>
      </c>
      <c r="K4548">
        <v>8.2070000000000007</v>
      </c>
      <c r="L4548">
        <v>9.8920000000000012</v>
      </c>
      <c r="M4548">
        <v>9.3890000000000011</v>
      </c>
      <c r="N4548">
        <v>7.0600000000000005</v>
      </c>
      <c r="O4548">
        <v>1629</v>
      </c>
      <c r="P4548">
        <v>401</v>
      </c>
      <c r="Q4548" s="5" t="e">
        <f>IF(AND(#REF!&gt;=table!$C$6,#REF!&lt;= table!$D$6),-1,IF(AND(#REF!&gt;=table!$E$6,#REF!&lt;=table!$F$6),1,0))</f>
        <v>#REF!</v>
      </c>
      <c r="R4548" s="5" t="e">
        <f>IF(AND(#REF!&gt;=table!$C$7,#REF!&lt;= table!$D$7),-1,IF(AND(#REF!&gt;=table!$E$7,#REF!&lt;=table!$F$7),1,0))</f>
        <v>#REF!</v>
      </c>
      <c r="S4548" s="5" t="e">
        <f>IF(AND(#REF!&gt;=table!$C$8,#REF!&lt;= table!$D$8),-1,IF(AND(#REF!&gt;=table!$E$8,#REF!&lt;=table!$F$8),1,0))</f>
        <v>#REF!</v>
      </c>
      <c r="T4548" s="5"/>
      <c r="U4548" s="5" t="e">
        <f>IF(AND(#REF!&gt;=table!$C$10,#REF!&lt;= table!$D$10),-1,IF(AND(#REF!&gt;=table!$E$10,#REF!&lt;=table!$F$10),1,0))</f>
        <v>#REF!</v>
      </c>
      <c r="V4548" s="5" t="e">
        <f>IF(AND(#REF!&gt;=table!$C$11,#REF!&lt;= table!$D$11),-1,IF(AND(#REF!&gt;=table!$E$11,#REF!&lt;=table!$F$11),1,0))</f>
        <v>#REF!</v>
      </c>
      <c r="W4548" s="5" t="e">
        <f>CONCATENATE(dados[[#This Row],[fator1]],dados[[#This Row],[fator5]],dados[[#This Row],[fator6]])</f>
        <v>#REF!</v>
      </c>
    </row>
    <row r="4549" spans="1:23">
      <c r="A4549" t="s">
        <v>16</v>
      </c>
      <c r="B4549">
        <v>590355</v>
      </c>
      <c r="C4549">
        <v>10</v>
      </c>
      <c r="D4549">
        <v>38</v>
      </c>
      <c r="E4549">
        <v>150</v>
      </c>
      <c r="F4549">
        <v>4</v>
      </c>
      <c r="G4549">
        <v>0</v>
      </c>
      <c r="H4549">
        <v>25</v>
      </c>
      <c r="I4549">
        <v>747</v>
      </c>
      <c r="J4549">
        <v>0</v>
      </c>
      <c r="K4549">
        <v>4.7145000000000001</v>
      </c>
      <c r="L4549">
        <v>13.045500000000001</v>
      </c>
      <c r="M4549">
        <v>105.149</v>
      </c>
      <c r="N4549">
        <v>15.040000000000001</v>
      </c>
      <c r="O4549">
        <v>1675</v>
      </c>
      <c r="P4549">
        <v>642</v>
      </c>
      <c r="Q4549" s="5" t="e">
        <f>IF(AND(#REF!&gt;=table!$C$6,#REF!&lt;= table!$D$6),-1,IF(AND(#REF!&gt;=table!$E$6,#REF!&lt;=table!$F$6),1,0))</f>
        <v>#REF!</v>
      </c>
      <c r="R4549" s="5" t="e">
        <f>IF(AND(#REF!&gt;=table!$C$7,#REF!&lt;= table!$D$7),-1,IF(AND(#REF!&gt;=table!$E$7,#REF!&lt;=table!$F$7),1,0))</f>
        <v>#REF!</v>
      </c>
      <c r="S4549" s="5" t="e">
        <f>IF(AND(#REF!&gt;=table!$C$8,#REF!&lt;= table!$D$8),-1,IF(AND(#REF!&gt;=table!$E$8,#REF!&lt;=table!$F$8),1,0))</f>
        <v>#REF!</v>
      </c>
      <c r="T4549" s="5"/>
      <c r="U4549" s="5" t="e">
        <f>IF(AND(#REF!&gt;=table!$C$10,#REF!&lt;= table!$D$10),-1,IF(AND(#REF!&gt;=table!$E$10,#REF!&lt;=table!$F$10),1,0))</f>
        <v>#REF!</v>
      </c>
      <c r="V4549" s="5" t="e">
        <f>IF(AND(#REF!&gt;=table!$C$11,#REF!&lt;= table!$D$11),-1,IF(AND(#REF!&gt;=table!$E$11,#REF!&lt;=table!$F$11),1,0))</f>
        <v>#REF!</v>
      </c>
      <c r="W4549" s="5" t="e">
        <f>CONCATENATE(dados[[#This Row],[fator1]],dados[[#This Row],[fator5]],dados[[#This Row],[fator6]])</f>
        <v>#REF!</v>
      </c>
    </row>
    <row r="4550" spans="1:23">
      <c r="A4550" t="s">
        <v>16</v>
      </c>
      <c r="B4550">
        <v>590356</v>
      </c>
      <c r="C4550">
        <v>7</v>
      </c>
      <c r="D4550">
        <v>35</v>
      </c>
      <c r="E4550">
        <v>170</v>
      </c>
      <c r="F4550">
        <v>6</v>
      </c>
      <c r="G4550">
        <v>0</v>
      </c>
      <c r="H4550">
        <v>20</v>
      </c>
      <c r="I4550">
        <v>1</v>
      </c>
      <c r="J4550">
        <v>0</v>
      </c>
      <c r="K4550">
        <v>5.1909999999999998</v>
      </c>
      <c r="L4550">
        <v>10.5815</v>
      </c>
      <c r="M4550">
        <v>129.756</v>
      </c>
      <c r="N4550">
        <v>11.14</v>
      </c>
      <c r="O4550">
        <v>1691</v>
      </c>
      <c r="P4550">
        <v>0</v>
      </c>
      <c r="Q4550" s="5" t="e">
        <f>IF(AND(#REF!&gt;=table!$C$6,#REF!&lt;= table!$D$6),-1,IF(AND(#REF!&gt;=table!$E$6,#REF!&lt;=table!$F$6),1,0))</f>
        <v>#REF!</v>
      </c>
      <c r="R4550" s="5" t="e">
        <f>IF(AND(#REF!&gt;=table!$C$7,#REF!&lt;= table!$D$7),-1,IF(AND(#REF!&gt;=table!$E$7,#REF!&lt;=table!$F$7),1,0))</f>
        <v>#REF!</v>
      </c>
      <c r="S4550" s="5" t="e">
        <f>IF(AND(#REF!&gt;=table!$C$8,#REF!&lt;= table!$D$8),-1,IF(AND(#REF!&gt;=table!$E$8,#REF!&lt;=table!$F$8),1,0))</f>
        <v>#REF!</v>
      </c>
      <c r="T4550" s="5"/>
      <c r="U4550" s="5" t="e">
        <f>IF(AND(#REF!&gt;=table!$C$10,#REF!&lt;= table!$D$10),-1,IF(AND(#REF!&gt;=table!$E$10,#REF!&lt;=table!$F$10),1,0))</f>
        <v>#REF!</v>
      </c>
      <c r="V4550" s="5" t="e">
        <f>IF(AND(#REF!&gt;=table!$C$11,#REF!&lt;= table!$D$11),-1,IF(AND(#REF!&gt;=table!$E$11,#REF!&lt;=table!$F$11),1,0))</f>
        <v>#REF!</v>
      </c>
      <c r="W4550" s="5" t="e">
        <f>CONCATENATE(dados[[#This Row],[fator1]],dados[[#This Row],[fator5]],dados[[#This Row],[fator6]])</f>
        <v>#REF!</v>
      </c>
    </row>
    <row r="4551" spans="1:23">
      <c r="A4551" t="s">
        <v>16</v>
      </c>
      <c r="B4551">
        <v>590357</v>
      </c>
      <c r="C4551">
        <v>0.2</v>
      </c>
      <c r="D4551">
        <v>65</v>
      </c>
      <c r="E4551">
        <v>26</v>
      </c>
      <c r="F4551">
        <v>15</v>
      </c>
      <c r="G4551">
        <v>0</v>
      </c>
      <c r="H4551">
        <v>30</v>
      </c>
      <c r="I4551">
        <v>1089</v>
      </c>
      <c r="J4551">
        <v>0</v>
      </c>
      <c r="K4551">
        <v>6.1720000000000006</v>
      </c>
      <c r="L4551">
        <v>10.471</v>
      </c>
      <c r="M4551">
        <v>9.7270000000000003</v>
      </c>
      <c r="N4551">
        <v>11.605</v>
      </c>
      <c r="O4551">
        <v>1689</v>
      </c>
      <c r="P4551">
        <v>639</v>
      </c>
      <c r="Q4551" s="5" t="e">
        <f>IF(AND(#REF!&gt;=table!$C$6,#REF!&lt;= table!$D$6),-1,IF(AND(#REF!&gt;=table!$E$6,#REF!&lt;=table!$F$6),1,0))</f>
        <v>#REF!</v>
      </c>
      <c r="R4551" s="5" t="e">
        <f>IF(AND(#REF!&gt;=table!$C$7,#REF!&lt;= table!$D$7),-1,IF(AND(#REF!&gt;=table!$E$7,#REF!&lt;=table!$F$7),1,0))</f>
        <v>#REF!</v>
      </c>
      <c r="S4551" s="5" t="e">
        <f>IF(AND(#REF!&gt;=table!$C$8,#REF!&lt;= table!$D$8),-1,IF(AND(#REF!&gt;=table!$E$8,#REF!&lt;=table!$F$8),1,0))</f>
        <v>#REF!</v>
      </c>
      <c r="T4551" s="5"/>
      <c r="U4551" s="5" t="e">
        <f>IF(AND(#REF!&gt;=table!$C$10,#REF!&lt;= table!$D$10),-1,IF(AND(#REF!&gt;=table!$E$10,#REF!&lt;=table!$F$10),1,0))</f>
        <v>#REF!</v>
      </c>
      <c r="V4551" s="5" t="e">
        <f>IF(AND(#REF!&gt;=table!$C$11,#REF!&lt;= table!$D$11),-1,IF(AND(#REF!&gt;=table!$E$11,#REF!&lt;=table!$F$11),1,0))</f>
        <v>#REF!</v>
      </c>
      <c r="W4551" s="5" t="e">
        <f>CONCATENATE(dados[[#This Row],[fator1]],dados[[#This Row],[fator5]],dados[[#This Row],[fator6]])</f>
        <v>#REF!</v>
      </c>
    </row>
    <row r="4552" spans="1:23">
      <c r="A4552" t="s">
        <v>16</v>
      </c>
      <c r="B4552">
        <v>590363</v>
      </c>
      <c r="C4552">
        <v>0.23</v>
      </c>
      <c r="D4552">
        <v>65</v>
      </c>
      <c r="E4552">
        <v>26</v>
      </c>
      <c r="F4552">
        <v>15</v>
      </c>
      <c r="G4552">
        <v>0</v>
      </c>
      <c r="H4552">
        <v>35</v>
      </c>
      <c r="I4552">
        <v>837</v>
      </c>
      <c r="J4552">
        <v>0</v>
      </c>
      <c r="K4552">
        <v>8.0434999999999999</v>
      </c>
      <c r="L4552">
        <v>9.1929999999999996</v>
      </c>
      <c r="M4552">
        <v>8.7430000000000003</v>
      </c>
      <c r="N4552">
        <v>10.71</v>
      </c>
      <c r="O4552">
        <v>1675</v>
      </c>
      <c r="P4552">
        <v>0</v>
      </c>
      <c r="Q4552" s="5" t="e">
        <f>IF(AND(#REF!&gt;=table!$C$6,#REF!&lt;= table!$D$6),-1,IF(AND(#REF!&gt;=table!$E$6,#REF!&lt;=table!$F$6),1,0))</f>
        <v>#REF!</v>
      </c>
      <c r="R4552" s="5" t="e">
        <f>IF(AND(#REF!&gt;=table!$C$7,#REF!&lt;= table!$D$7),-1,IF(AND(#REF!&gt;=table!$E$7,#REF!&lt;=table!$F$7),1,0))</f>
        <v>#REF!</v>
      </c>
      <c r="S4552" s="5" t="e">
        <f>IF(AND(#REF!&gt;=table!$C$8,#REF!&lt;= table!$D$8),-1,IF(AND(#REF!&gt;=table!$E$8,#REF!&lt;=table!$F$8),1,0))</f>
        <v>#REF!</v>
      </c>
      <c r="T4552" s="5"/>
      <c r="U4552" s="5" t="e">
        <f>IF(AND(#REF!&gt;=table!$C$10,#REF!&lt;= table!$D$10),-1,IF(AND(#REF!&gt;=table!$E$10,#REF!&lt;=table!$F$10),1,0))</f>
        <v>#REF!</v>
      </c>
      <c r="V4552" s="5" t="e">
        <f>IF(AND(#REF!&gt;=table!$C$11,#REF!&lt;= table!$D$11),-1,IF(AND(#REF!&gt;=table!$E$11,#REF!&lt;=table!$F$11),1,0))</f>
        <v>#REF!</v>
      </c>
      <c r="W4552" s="5" t="e">
        <f>CONCATENATE(dados[[#This Row],[fator1]],dados[[#This Row],[fator5]],dados[[#This Row],[fator6]])</f>
        <v>#REF!</v>
      </c>
    </row>
    <row r="4553" spans="1:23">
      <c r="A4553" t="s">
        <v>16</v>
      </c>
      <c r="B4553">
        <v>590364</v>
      </c>
      <c r="C4553">
        <v>0.2</v>
      </c>
      <c r="D4553">
        <v>65</v>
      </c>
      <c r="E4553">
        <v>26</v>
      </c>
      <c r="F4553">
        <v>15</v>
      </c>
      <c r="G4553">
        <v>0</v>
      </c>
      <c r="H4553">
        <v>30</v>
      </c>
      <c r="I4553">
        <v>1206</v>
      </c>
      <c r="J4553">
        <v>0</v>
      </c>
      <c r="K4553">
        <v>5.8785000000000007</v>
      </c>
      <c r="L4553">
        <v>9.468</v>
      </c>
      <c r="M4553">
        <v>7.6795</v>
      </c>
      <c r="N4553">
        <v>11.725000000000001</v>
      </c>
      <c r="O4553">
        <v>1673</v>
      </c>
      <c r="P4553">
        <v>714</v>
      </c>
      <c r="Q4553" s="5" t="e">
        <f>IF(AND(#REF!&gt;=table!$C$6,#REF!&lt;= table!$D$6),-1,IF(AND(#REF!&gt;=table!$E$6,#REF!&lt;=table!$F$6),1,0))</f>
        <v>#REF!</v>
      </c>
      <c r="R4553" s="5" t="e">
        <f>IF(AND(#REF!&gt;=table!$C$7,#REF!&lt;= table!$D$7),-1,IF(AND(#REF!&gt;=table!$E$7,#REF!&lt;=table!$F$7),1,0))</f>
        <v>#REF!</v>
      </c>
      <c r="S4553" s="5" t="e">
        <f>IF(AND(#REF!&gt;=table!$C$8,#REF!&lt;= table!$D$8),-1,IF(AND(#REF!&gt;=table!$E$8,#REF!&lt;=table!$F$8),1,0))</f>
        <v>#REF!</v>
      </c>
      <c r="T4553" s="5"/>
      <c r="U4553" s="5" t="e">
        <f>IF(AND(#REF!&gt;=table!$C$10,#REF!&lt;= table!$D$10),-1,IF(AND(#REF!&gt;=table!$E$10,#REF!&lt;=table!$F$10),1,0))</f>
        <v>#REF!</v>
      </c>
      <c r="V4553" s="5" t="e">
        <f>IF(AND(#REF!&gt;=table!$C$11,#REF!&lt;= table!$D$11),-1,IF(AND(#REF!&gt;=table!$E$11,#REF!&lt;=table!$F$11),1,0))</f>
        <v>#REF!</v>
      </c>
      <c r="W4553" s="5" t="e">
        <f>CONCATENATE(dados[[#This Row],[fator1]],dados[[#This Row],[fator5]],dados[[#This Row],[fator6]])</f>
        <v>#REF!</v>
      </c>
    </row>
    <row r="4554" spans="1:23">
      <c r="A4554" t="s">
        <v>17</v>
      </c>
      <c r="B4554">
        <v>590367</v>
      </c>
      <c r="C4554">
        <v>16</v>
      </c>
      <c r="D4554">
        <v>35</v>
      </c>
      <c r="E4554">
        <v>120</v>
      </c>
      <c r="F4554">
        <v>4</v>
      </c>
      <c r="G4554">
        <v>30</v>
      </c>
      <c r="H4554">
        <v>20</v>
      </c>
      <c r="I4554">
        <v>1478</v>
      </c>
      <c r="J4554">
        <v>0</v>
      </c>
      <c r="K4554">
        <v>7.1040000000000001</v>
      </c>
      <c r="L4554">
        <v>11.229000000000001</v>
      </c>
      <c r="M4554">
        <v>102.46250000000001</v>
      </c>
      <c r="N4554">
        <v>13.635</v>
      </c>
      <c r="O4554">
        <v>1674</v>
      </c>
      <c r="P4554">
        <v>425</v>
      </c>
      <c r="Q4554" s="5" t="e">
        <f>IF(AND(#REF!&gt;=table!$C$6,#REF!&lt;= table!$D$6),-1,IF(AND(#REF!&gt;=table!$E$6,#REF!&lt;=table!$F$6),1,0))</f>
        <v>#REF!</v>
      </c>
      <c r="R4554" s="5" t="e">
        <f>IF(AND(#REF!&gt;=table!$C$7,#REF!&lt;= table!$D$7),-1,IF(AND(#REF!&gt;=table!$E$7,#REF!&lt;=table!$F$7),1,0))</f>
        <v>#REF!</v>
      </c>
      <c r="S4554" s="5" t="e">
        <f>IF(AND(#REF!&gt;=table!$C$8,#REF!&lt;= table!$D$8),-1,IF(AND(#REF!&gt;=table!$E$8,#REF!&lt;=table!$F$8),1,0))</f>
        <v>#REF!</v>
      </c>
      <c r="T4554" s="5"/>
      <c r="U4554" s="5" t="e">
        <f>IF(AND(#REF!&gt;=table!$C$10,#REF!&lt;= table!$D$10),-1,IF(AND(#REF!&gt;=table!$E$10,#REF!&lt;=table!$F$10),1,0))</f>
        <v>#REF!</v>
      </c>
      <c r="V4554" s="5" t="e">
        <f>IF(AND(#REF!&gt;=table!$C$11,#REF!&lt;= table!$D$11),-1,IF(AND(#REF!&gt;=table!$E$11,#REF!&lt;=table!$F$11),1,0))</f>
        <v>#REF!</v>
      </c>
      <c r="W4554" s="5" t="e">
        <f>CONCATENATE(dados[[#This Row],[fator1]],dados[[#This Row],[fator5]],dados[[#This Row],[fator6]])</f>
        <v>#REF!</v>
      </c>
    </row>
    <row r="4555" spans="1:23">
      <c r="A4555" t="s">
        <v>17</v>
      </c>
      <c r="B4555">
        <v>590368</v>
      </c>
      <c r="C4555">
        <v>14</v>
      </c>
      <c r="D4555">
        <v>30</v>
      </c>
      <c r="E4555">
        <v>110</v>
      </c>
      <c r="F4555">
        <v>3</v>
      </c>
      <c r="G4555">
        <v>20</v>
      </c>
      <c r="H4555">
        <v>22</v>
      </c>
      <c r="I4555">
        <v>0</v>
      </c>
      <c r="J4555">
        <v>0</v>
      </c>
      <c r="K4555">
        <v>8.0229999999999997</v>
      </c>
      <c r="L4555">
        <v>10.5085</v>
      </c>
      <c r="M4555">
        <v>56.484999999999999</v>
      </c>
      <c r="N4555">
        <v>14.030000000000001</v>
      </c>
      <c r="O4555">
        <v>1681</v>
      </c>
      <c r="P4555">
        <v>564</v>
      </c>
      <c r="Q4555" s="5" t="e">
        <f>IF(AND(#REF!&gt;=table!$C$6,#REF!&lt;= table!$D$6),-1,IF(AND(#REF!&gt;=table!$E$6,#REF!&lt;=table!$F$6),1,0))</f>
        <v>#REF!</v>
      </c>
      <c r="R4555" s="5" t="e">
        <f>IF(AND(#REF!&gt;=table!$C$7,#REF!&lt;= table!$D$7),-1,IF(AND(#REF!&gt;=table!$E$7,#REF!&lt;=table!$F$7),1,0))</f>
        <v>#REF!</v>
      </c>
      <c r="S4555" s="5" t="e">
        <f>IF(AND(#REF!&gt;=table!$C$8,#REF!&lt;= table!$D$8),-1,IF(AND(#REF!&gt;=table!$E$8,#REF!&lt;=table!$F$8),1,0))</f>
        <v>#REF!</v>
      </c>
      <c r="T4555" s="5"/>
      <c r="U4555" s="5" t="e">
        <f>IF(AND(#REF!&gt;=table!$C$10,#REF!&lt;= table!$D$10),-1,IF(AND(#REF!&gt;=table!$E$10,#REF!&lt;=table!$F$10),1,0))</f>
        <v>#REF!</v>
      </c>
      <c r="V4555" s="5" t="e">
        <f>IF(AND(#REF!&gt;=table!$C$11,#REF!&lt;= table!$D$11),-1,IF(AND(#REF!&gt;=table!$E$11,#REF!&lt;=table!$F$11),1,0))</f>
        <v>#REF!</v>
      </c>
      <c r="W4555" s="5" t="e">
        <f>CONCATENATE(dados[[#This Row],[fator1]],dados[[#This Row],[fator5]],dados[[#This Row],[fator6]])</f>
        <v>#REF!</v>
      </c>
    </row>
    <row r="4556" spans="1:23">
      <c r="A4556" t="s">
        <v>17</v>
      </c>
      <c r="B4556">
        <v>590370</v>
      </c>
      <c r="C4556">
        <v>4</v>
      </c>
      <c r="D4556">
        <v>25</v>
      </c>
      <c r="E4556">
        <v>21</v>
      </c>
      <c r="F4556">
        <v>10</v>
      </c>
      <c r="G4556">
        <v>110</v>
      </c>
      <c r="H4556">
        <v>50</v>
      </c>
      <c r="I4556">
        <v>701</v>
      </c>
      <c r="J4556">
        <v>0</v>
      </c>
      <c r="K4556">
        <v>4.2445000000000004</v>
      </c>
      <c r="L4556">
        <v>7.6775000000000002</v>
      </c>
      <c r="M4556">
        <v>15.476500000000001</v>
      </c>
      <c r="N4556">
        <v>30.325000000000003</v>
      </c>
      <c r="O4556">
        <v>1671</v>
      </c>
      <c r="P4556">
        <v>902</v>
      </c>
      <c r="Q4556" s="5" t="e">
        <f>IF(AND(#REF!&gt;=table!$C$6,#REF!&lt;= table!$D$6),-1,IF(AND(#REF!&gt;=table!$E$6,#REF!&lt;=table!$F$6),1,0))</f>
        <v>#REF!</v>
      </c>
      <c r="R4556" s="5" t="e">
        <f>IF(AND(#REF!&gt;=table!$C$7,#REF!&lt;= table!$D$7),-1,IF(AND(#REF!&gt;=table!$E$7,#REF!&lt;=table!$F$7),1,0))</f>
        <v>#REF!</v>
      </c>
      <c r="S4556" s="5" t="e">
        <f>IF(AND(#REF!&gt;=table!$C$8,#REF!&lt;= table!$D$8),-1,IF(AND(#REF!&gt;=table!$E$8,#REF!&lt;=table!$F$8),1,0))</f>
        <v>#REF!</v>
      </c>
      <c r="T4556" s="5"/>
      <c r="U4556" s="5" t="e">
        <f>IF(AND(#REF!&gt;=table!$C$10,#REF!&lt;= table!$D$10),-1,IF(AND(#REF!&gt;=table!$E$10,#REF!&lt;=table!$F$10),1,0))</f>
        <v>#REF!</v>
      </c>
      <c r="V4556" s="5" t="e">
        <f>IF(AND(#REF!&gt;=table!$C$11,#REF!&lt;= table!$D$11),-1,IF(AND(#REF!&gt;=table!$E$11,#REF!&lt;=table!$F$11),1,0))</f>
        <v>#REF!</v>
      </c>
      <c r="W4556" s="5" t="e">
        <f>CONCATENATE(dados[[#This Row],[fator1]],dados[[#This Row],[fator5]],dados[[#This Row],[fator6]])</f>
        <v>#REF!</v>
      </c>
    </row>
    <row r="4557" spans="1:23">
      <c r="A4557" t="s">
        <v>16</v>
      </c>
      <c r="B4557">
        <v>590378</v>
      </c>
      <c r="C4557">
        <v>0.2</v>
      </c>
      <c r="D4557">
        <v>65</v>
      </c>
      <c r="E4557">
        <v>26</v>
      </c>
      <c r="F4557">
        <v>15</v>
      </c>
      <c r="G4557">
        <v>0</v>
      </c>
      <c r="H4557">
        <v>30</v>
      </c>
      <c r="I4557">
        <v>1593</v>
      </c>
      <c r="J4557">
        <v>0</v>
      </c>
      <c r="K4557">
        <v>3.351</v>
      </c>
      <c r="L4557">
        <v>8.4015000000000004</v>
      </c>
      <c r="M4557">
        <v>7.6510000000000007</v>
      </c>
      <c r="N4557">
        <v>16.035</v>
      </c>
      <c r="O4557">
        <v>1650</v>
      </c>
      <c r="P4557">
        <v>730</v>
      </c>
      <c r="Q4557" s="5" t="e">
        <f>IF(AND(#REF!&gt;=table!$C$6,#REF!&lt;= table!$D$6),-1,IF(AND(#REF!&gt;=table!$E$6,#REF!&lt;=table!$F$6),1,0))</f>
        <v>#REF!</v>
      </c>
      <c r="R4557" s="5" t="e">
        <f>IF(AND(#REF!&gt;=table!$C$7,#REF!&lt;= table!$D$7),-1,IF(AND(#REF!&gt;=table!$E$7,#REF!&lt;=table!$F$7),1,0))</f>
        <v>#REF!</v>
      </c>
      <c r="S4557" s="5" t="e">
        <f>IF(AND(#REF!&gt;=table!$C$8,#REF!&lt;= table!$D$8),-1,IF(AND(#REF!&gt;=table!$E$8,#REF!&lt;=table!$F$8),1,0))</f>
        <v>#REF!</v>
      </c>
      <c r="T4557" s="5"/>
      <c r="U4557" s="5" t="e">
        <f>IF(AND(#REF!&gt;=table!$C$10,#REF!&lt;= table!$D$10),-1,IF(AND(#REF!&gt;=table!$E$10,#REF!&lt;=table!$F$10),1,0))</f>
        <v>#REF!</v>
      </c>
      <c r="V4557" s="5" t="e">
        <f>IF(AND(#REF!&gt;=table!$C$11,#REF!&lt;= table!$D$11),-1,IF(AND(#REF!&gt;=table!$E$11,#REF!&lt;=table!$F$11),1,0))</f>
        <v>#REF!</v>
      </c>
      <c r="W4557" s="5" t="e">
        <f>CONCATENATE(dados[[#This Row],[fator1]],dados[[#This Row],[fator5]],dados[[#This Row],[fator6]])</f>
        <v>#REF!</v>
      </c>
    </row>
    <row r="4558" spans="1:23">
      <c r="A4558" t="s">
        <v>16</v>
      </c>
      <c r="B4558">
        <v>590379</v>
      </c>
      <c r="C4558">
        <v>4</v>
      </c>
      <c r="D4558">
        <v>40</v>
      </c>
      <c r="E4558">
        <v>22</v>
      </c>
      <c r="F4558">
        <v>20</v>
      </c>
      <c r="G4558">
        <v>0</v>
      </c>
      <c r="H4558">
        <v>25</v>
      </c>
      <c r="I4558">
        <v>1646</v>
      </c>
      <c r="J4558">
        <v>0</v>
      </c>
      <c r="K4558">
        <v>5.5485000000000007</v>
      </c>
      <c r="L4558">
        <v>10.2645</v>
      </c>
      <c r="M4558">
        <v>39.581499999999998</v>
      </c>
      <c r="N4558">
        <v>16.295000000000002</v>
      </c>
      <c r="O4558">
        <v>1646</v>
      </c>
      <c r="P4558">
        <v>558</v>
      </c>
      <c r="Q4558" s="5" t="e">
        <f>IF(AND(#REF!&gt;=table!$C$6,#REF!&lt;= table!$D$6),-1,IF(AND(#REF!&gt;=table!$E$6,#REF!&lt;=table!$F$6),1,0))</f>
        <v>#REF!</v>
      </c>
      <c r="R4558" s="5" t="e">
        <f>IF(AND(#REF!&gt;=table!$C$7,#REF!&lt;= table!$D$7),-1,IF(AND(#REF!&gt;=table!$E$7,#REF!&lt;=table!$F$7),1,0))</f>
        <v>#REF!</v>
      </c>
      <c r="S4558" s="5" t="e">
        <f>IF(AND(#REF!&gt;=table!$C$8,#REF!&lt;= table!$D$8),-1,IF(AND(#REF!&gt;=table!$E$8,#REF!&lt;=table!$F$8),1,0))</f>
        <v>#REF!</v>
      </c>
      <c r="T4558" s="5"/>
      <c r="U4558" s="5" t="e">
        <f>IF(AND(#REF!&gt;=table!$C$10,#REF!&lt;= table!$D$10),-1,IF(AND(#REF!&gt;=table!$E$10,#REF!&lt;=table!$F$10),1,0))</f>
        <v>#REF!</v>
      </c>
      <c r="V4558" s="5" t="e">
        <f>IF(AND(#REF!&gt;=table!$C$11,#REF!&lt;= table!$D$11),-1,IF(AND(#REF!&gt;=table!$E$11,#REF!&lt;=table!$F$11),1,0))</f>
        <v>#REF!</v>
      </c>
      <c r="W4558" s="5" t="e">
        <f>CONCATENATE(dados[[#This Row],[fator1]],dados[[#This Row],[fator5]],dados[[#This Row],[fator6]])</f>
        <v>#REF!</v>
      </c>
    </row>
    <row r="4559" spans="1:23">
      <c r="A4559" t="s">
        <v>16</v>
      </c>
      <c r="B4559">
        <v>590385</v>
      </c>
      <c r="C4559">
        <v>0.15</v>
      </c>
      <c r="D4559">
        <v>35</v>
      </c>
      <c r="E4559">
        <v>15</v>
      </c>
      <c r="F4559">
        <v>10</v>
      </c>
      <c r="G4559">
        <v>0</v>
      </c>
      <c r="H4559">
        <v>12</v>
      </c>
      <c r="I4559">
        <v>0</v>
      </c>
      <c r="J4559">
        <v>0</v>
      </c>
      <c r="K4559">
        <v>4.351</v>
      </c>
      <c r="L4559">
        <v>7.6965000000000003</v>
      </c>
      <c r="M4559">
        <v>6.5905000000000005</v>
      </c>
      <c r="N4559">
        <v>8.49</v>
      </c>
      <c r="O4559">
        <v>1670</v>
      </c>
      <c r="P4559">
        <v>929</v>
      </c>
      <c r="Q4559" s="5" t="e">
        <f>IF(AND(#REF!&gt;=table!$C$6,#REF!&lt;= table!$D$6),-1,IF(AND(#REF!&gt;=table!$E$6,#REF!&lt;=table!$F$6),1,0))</f>
        <v>#REF!</v>
      </c>
      <c r="R4559" s="5" t="e">
        <f>IF(AND(#REF!&gt;=table!$C$7,#REF!&lt;= table!$D$7),-1,IF(AND(#REF!&gt;=table!$E$7,#REF!&lt;=table!$F$7),1,0))</f>
        <v>#REF!</v>
      </c>
      <c r="S4559" s="5" t="e">
        <f>IF(AND(#REF!&gt;=table!$C$8,#REF!&lt;= table!$D$8),-1,IF(AND(#REF!&gt;=table!$E$8,#REF!&lt;=table!$F$8),1,0))</f>
        <v>#REF!</v>
      </c>
      <c r="T4559" s="5"/>
      <c r="U4559" s="5" t="e">
        <f>IF(AND(#REF!&gt;=table!$C$10,#REF!&lt;= table!$D$10),-1,IF(AND(#REF!&gt;=table!$E$10,#REF!&lt;=table!$F$10),1,0))</f>
        <v>#REF!</v>
      </c>
      <c r="V4559" s="5" t="e">
        <f>IF(AND(#REF!&gt;=table!$C$11,#REF!&lt;= table!$D$11),-1,IF(AND(#REF!&gt;=table!$E$11,#REF!&lt;=table!$F$11),1,0))</f>
        <v>#REF!</v>
      </c>
      <c r="W4559" s="5" t="e">
        <f>CONCATENATE(dados[[#This Row],[fator1]],dados[[#This Row],[fator5]],dados[[#This Row],[fator6]])</f>
        <v>#REF!</v>
      </c>
    </row>
    <row r="4560" spans="1:23">
      <c r="A4560" t="s">
        <v>16</v>
      </c>
      <c r="B4560">
        <v>590386</v>
      </c>
      <c r="C4560">
        <v>0.15</v>
      </c>
      <c r="D4560">
        <v>35</v>
      </c>
      <c r="E4560">
        <v>15</v>
      </c>
      <c r="F4560">
        <v>10</v>
      </c>
      <c r="G4560">
        <v>0</v>
      </c>
      <c r="H4560">
        <v>12</v>
      </c>
      <c r="I4560">
        <v>922</v>
      </c>
      <c r="J4560">
        <v>0</v>
      </c>
      <c r="K4560">
        <v>3.6520000000000001</v>
      </c>
      <c r="L4560">
        <v>6.6260000000000003</v>
      </c>
      <c r="M4560">
        <v>5.5659999999999998</v>
      </c>
      <c r="N4560">
        <v>11.09</v>
      </c>
      <c r="O4560">
        <v>1684</v>
      </c>
      <c r="P4560">
        <v>1056</v>
      </c>
      <c r="Q4560" s="5" t="e">
        <f>IF(AND(#REF!&gt;=table!$C$6,#REF!&lt;= table!$D$6),-1,IF(AND(#REF!&gt;=table!$E$6,#REF!&lt;=table!$F$6),1,0))</f>
        <v>#REF!</v>
      </c>
      <c r="R4560" s="5" t="e">
        <f>IF(AND(#REF!&gt;=table!$C$7,#REF!&lt;= table!$D$7),-1,IF(AND(#REF!&gt;=table!$E$7,#REF!&lt;=table!$F$7),1,0))</f>
        <v>#REF!</v>
      </c>
      <c r="S4560" s="5" t="e">
        <f>IF(AND(#REF!&gt;=table!$C$8,#REF!&lt;= table!$D$8),-1,IF(AND(#REF!&gt;=table!$E$8,#REF!&lt;=table!$F$8),1,0))</f>
        <v>#REF!</v>
      </c>
      <c r="T4560" s="5"/>
      <c r="U4560" s="5" t="e">
        <f>IF(AND(#REF!&gt;=table!$C$10,#REF!&lt;= table!$D$10),-1,IF(AND(#REF!&gt;=table!$E$10,#REF!&lt;=table!$F$10),1,0))</f>
        <v>#REF!</v>
      </c>
      <c r="V4560" s="5" t="e">
        <f>IF(AND(#REF!&gt;=table!$C$11,#REF!&lt;= table!$D$11),-1,IF(AND(#REF!&gt;=table!$E$11,#REF!&lt;=table!$F$11),1,0))</f>
        <v>#REF!</v>
      </c>
      <c r="W4560" s="5" t="e">
        <f>CONCATENATE(dados[[#This Row],[fator1]],dados[[#This Row],[fator5]],dados[[#This Row],[fator6]])</f>
        <v>#REF!</v>
      </c>
    </row>
    <row r="4561" spans="1:23">
      <c r="A4561" t="s">
        <v>16</v>
      </c>
      <c r="B4561">
        <v>590389</v>
      </c>
      <c r="C4561">
        <v>4</v>
      </c>
      <c r="D4561">
        <v>40</v>
      </c>
      <c r="E4561">
        <v>21</v>
      </c>
      <c r="F4561">
        <v>10</v>
      </c>
      <c r="G4561">
        <v>0</v>
      </c>
      <c r="H4561">
        <v>25</v>
      </c>
      <c r="I4561">
        <v>15</v>
      </c>
      <c r="J4561">
        <v>0</v>
      </c>
      <c r="K4561">
        <v>6.5905000000000005</v>
      </c>
      <c r="L4561">
        <v>9.8275000000000006</v>
      </c>
      <c r="M4561">
        <v>20.3355</v>
      </c>
      <c r="N4561">
        <v>12.22</v>
      </c>
      <c r="O4561">
        <v>1668</v>
      </c>
      <c r="P4561">
        <v>595</v>
      </c>
      <c r="Q4561" s="5" t="e">
        <f>IF(AND(#REF!&gt;=table!$C$6,#REF!&lt;= table!$D$6),-1,IF(AND(#REF!&gt;=table!$E$6,#REF!&lt;=table!$F$6),1,0))</f>
        <v>#REF!</v>
      </c>
      <c r="R4561" s="5" t="e">
        <f>IF(AND(#REF!&gt;=table!$C$7,#REF!&lt;= table!$D$7),-1,IF(AND(#REF!&gt;=table!$E$7,#REF!&lt;=table!$F$7),1,0))</f>
        <v>#REF!</v>
      </c>
      <c r="S4561" s="5" t="e">
        <f>IF(AND(#REF!&gt;=table!$C$8,#REF!&lt;= table!$D$8),-1,IF(AND(#REF!&gt;=table!$E$8,#REF!&lt;=table!$F$8),1,0))</f>
        <v>#REF!</v>
      </c>
      <c r="T4561" s="5"/>
      <c r="U4561" s="5" t="e">
        <f>IF(AND(#REF!&gt;=table!$C$10,#REF!&lt;= table!$D$10),-1,IF(AND(#REF!&gt;=table!$E$10,#REF!&lt;=table!$F$10),1,0))</f>
        <v>#REF!</v>
      </c>
      <c r="V4561" s="5" t="e">
        <f>IF(AND(#REF!&gt;=table!$C$11,#REF!&lt;= table!$D$11),-1,IF(AND(#REF!&gt;=table!$E$11,#REF!&lt;=table!$F$11),1,0))</f>
        <v>#REF!</v>
      </c>
      <c r="W4561" s="5" t="e">
        <f>CONCATENATE(dados[[#This Row],[fator1]],dados[[#This Row],[fator5]],dados[[#This Row],[fator6]])</f>
        <v>#REF!</v>
      </c>
    </row>
    <row r="4562" spans="1:23">
      <c r="A4562" t="s">
        <v>16</v>
      </c>
      <c r="B4562">
        <v>590393</v>
      </c>
      <c r="C4562">
        <v>0.15</v>
      </c>
      <c r="D4562">
        <v>40</v>
      </c>
      <c r="E4562">
        <v>10</v>
      </c>
      <c r="F4562">
        <v>15</v>
      </c>
      <c r="G4562">
        <v>0</v>
      </c>
      <c r="H4562">
        <v>15</v>
      </c>
      <c r="I4562">
        <v>205</v>
      </c>
      <c r="J4562">
        <v>0</v>
      </c>
      <c r="K4562">
        <v>4.6844999999999999</v>
      </c>
      <c r="L4562">
        <v>7.7080000000000002</v>
      </c>
      <c r="M4562">
        <v>6.6180000000000003</v>
      </c>
      <c r="N4562">
        <v>10.94</v>
      </c>
      <c r="O4562">
        <v>1670</v>
      </c>
      <c r="P4562">
        <v>0</v>
      </c>
      <c r="Q4562" s="5" t="e">
        <f>IF(AND(#REF!&gt;=table!$C$6,#REF!&lt;= table!$D$6),-1,IF(AND(#REF!&gt;=table!$E$6,#REF!&lt;=table!$F$6),1,0))</f>
        <v>#REF!</v>
      </c>
      <c r="R4562" s="5" t="e">
        <f>IF(AND(#REF!&gt;=table!$C$7,#REF!&lt;= table!$D$7),-1,IF(AND(#REF!&gt;=table!$E$7,#REF!&lt;=table!$F$7),1,0))</f>
        <v>#REF!</v>
      </c>
      <c r="S4562" s="5" t="e">
        <f>IF(AND(#REF!&gt;=table!$C$8,#REF!&lt;= table!$D$8),-1,IF(AND(#REF!&gt;=table!$E$8,#REF!&lt;=table!$F$8),1,0))</f>
        <v>#REF!</v>
      </c>
      <c r="T4562" s="5"/>
      <c r="U4562" s="5" t="e">
        <f>IF(AND(#REF!&gt;=table!$C$10,#REF!&lt;= table!$D$10),-1,IF(AND(#REF!&gt;=table!$E$10,#REF!&lt;=table!$F$10),1,0))</f>
        <v>#REF!</v>
      </c>
      <c r="V4562" s="5" t="e">
        <f>IF(AND(#REF!&gt;=table!$C$11,#REF!&lt;= table!$D$11),-1,IF(AND(#REF!&gt;=table!$E$11,#REF!&lt;=table!$F$11),1,0))</f>
        <v>#REF!</v>
      </c>
      <c r="W4562" s="5" t="e">
        <f>CONCATENATE(dados[[#This Row],[fator1]],dados[[#This Row],[fator5]],dados[[#This Row],[fator6]])</f>
        <v>#REF!</v>
      </c>
    </row>
    <row r="4563" spans="1:23">
      <c r="A4563" t="s">
        <v>16</v>
      </c>
      <c r="B4563">
        <v>590395</v>
      </c>
      <c r="C4563">
        <v>0.15</v>
      </c>
      <c r="D4563">
        <v>40</v>
      </c>
      <c r="E4563">
        <v>10</v>
      </c>
      <c r="F4563">
        <v>15</v>
      </c>
      <c r="G4563">
        <v>0</v>
      </c>
      <c r="H4563">
        <v>15</v>
      </c>
      <c r="I4563">
        <v>47</v>
      </c>
      <c r="J4563">
        <v>0</v>
      </c>
      <c r="K4563">
        <v>4.8965000000000005</v>
      </c>
      <c r="L4563">
        <v>11.7835</v>
      </c>
      <c r="M4563">
        <v>9.9515000000000011</v>
      </c>
      <c r="N4563">
        <v>17.03</v>
      </c>
      <c r="O4563">
        <v>1676</v>
      </c>
      <c r="P4563">
        <v>756</v>
      </c>
      <c r="Q4563" s="5" t="e">
        <f>IF(AND(#REF!&gt;=table!$C$6,#REF!&lt;= table!$D$6),-1,IF(AND(#REF!&gt;=table!$E$6,#REF!&lt;=table!$F$6),1,0))</f>
        <v>#REF!</v>
      </c>
      <c r="R4563" s="5" t="e">
        <f>IF(AND(#REF!&gt;=table!$C$7,#REF!&lt;= table!$D$7),-1,IF(AND(#REF!&gt;=table!$E$7,#REF!&lt;=table!$F$7),1,0))</f>
        <v>#REF!</v>
      </c>
      <c r="S4563" s="5" t="e">
        <f>IF(AND(#REF!&gt;=table!$C$8,#REF!&lt;= table!$D$8),-1,IF(AND(#REF!&gt;=table!$E$8,#REF!&lt;=table!$F$8),1,0))</f>
        <v>#REF!</v>
      </c>
      <c r="T4563" s="5"/>
      <c r="U4563" s="5" t="e">
        <f>IF(AND(#REF!&gt;=table!$C$10,#REF!&lt;= table!$D$10),-1,IF(AND(#REF!&gt;=table!$E$10,#REF!&lt;=table!$F$10),1,0))</f>
        <v>#REF!</v>
      </c>
      <c r="V4563" s="5" t="e">
        <f>IF(AND(#REF!&gt;=table!$C$11,#REF!&lt;= table!$D$11),-1,IF(AND(#REF!&gt;=table!$E$11,#REF!&lt;=table!$F$11),1,0))</f>
        <v>#REF!</v>
      </c>
      <c r="W4563" s="5" t="e">
        <f>CONCATENATE(dados[[#This Row],[fator1]],dados[[#This Row],[fator5]],dados[[#This Row],[fator6]])</f>
        <v>#REF!</v>
      </c>
    </row>
    <row r="4564" spans="1:23">
      <c r="A4564" t="s">
        <v>17</v>
      </c>
      <c r="B4564">
        <v>590398</v>
      </c>
      <c r="C4564">
        <v>9</v>
      </c>
      <c r="D4564">
        <v>25</v>
      </c>
      <c r="E4564">
        <v>130</v>
      </c>
      <c r="F4564">
        <v>3</v>
      </c>
      <c r="G4564">
        <v>20</v>
      </c>
      <c r="H4564">
        <v>21</v>
      </c>
      <c r="I4564">
        <v>206</v>
      </c>
      <c r="J4564">
        <v>0</v>
      </c>
      <c r="K4564">
        <v>4.3935000000000004</v>
      </c>
      <c r="L4564">
        <v>9.8105000000000011</v>
      </c>
      <c r="M4564">
        <v>117.9315</v>
      </c>
      <c r="N4564">
        <v>14.89</v>
      </c>
      <c r="O4564">
        <v>1680</v>
      </c>
      <c r="P4564">
        <v>0</v>
      </c>
      <c r="Q4564" s="5" t="e">
        <f>IF(AND(#REF!&gt;=table!$C$6,#REF!&lt;= table!$D$6),-1,IF(AND(#REF!&gt;=table!$E$6,#REF!&lt;=table!$F$6),1,0))</f>
        <v>#REF!</v>
      </c>
      <c r="R4564" s="5" t="e">
        <f>IF(AND(#REF!&gt;=table!$C$7,#REF!&lt;= table!$D$7),-1,IF(AND(#REF!&gt;=table!$E$7,#REF!&lt;=table!$F$7),1,0))</f>
        <v>#REF!</v>
      </c>
      <c r="S4564" s="5" t="e">
        <f>IF(AND(#REF!&gt;=table!$C$8,#REF!&lt;= table!$D$8),-1,IF(AND(#REF!&gt;=table!$E$8,#REF!&lt;=table!$F$8),1,0))</f>
        <v>#REF!</v>
      </c>
      <c r="T4564" s="5"/>
      <c r="U4564" s="5" t="e">
        <f>IF(AND(#REF!&gt;=table!$C$10,#REF!&lt;= table!$D$10),-1,IF(AND(#REF!&gt;=table!$E$10,#REF!&lt;=table!$F$10),1,0))</f>
        <v>#REF!</v>
      </c>
      <c r="V4564" s="5" t="e">
        <f>IF(AND(#REF!&gt;=table!$C$11,#REF!&lt;= table!$D$11),-1,IF(AND(#REF!&gt;=table!$E$11,#REF!&lt;=table!$F$11),1,0))</f>
        <v>#REF!</v>
      </c>
      <c r="W4564" s="5" t="e">
        <f>CONCATENATE(dados[[#This Row],[fator1]],dados[[#This Row],[fator5]],dados[[#This Row],[fator6]])</f>
        <v>#REF!</v>
      </c>
    </row>
    <row r="4565" spans="1:23">
      <c r="A4565" t="s">
        <v>17</v>
      </c>
      <c r="B4565">
        <v>590399</v>
      </c>
      <c r="C4565">
        <v>9</v>
      </c>
      <c r="D4565">
        <v>25</v>
      </c>
      <c r="E4565">
        <v>130</v>
      </c>
      <c r="F4565">
        <v>3</v>
      </c>
      <c r="G4565">
        <v>20</v>
      </c>
      <c r="H4565">
        <v>21</v>
      </c>
      <c r="I4565">
        <v>1350</v>
      </c>
      <c r="J4565">
        <v>0</v>
      </c>
      <c r="K4565">
        <v>8.7970000000000006</v>
      </c>
      <c r="L4565">
        <v>9.027000000000001</v>
      </c>
      <c r="M4565">
        <v>122.917</v>
      </c>
      <c r="N4565">
        <v>13.11</v>
      </c>
      <c r="O4565">
        <v>1679</v>
      </c>
      <c r="P4565">
        <v>0</v>
      </c>
      <c r="Q4565" s="5" t="e">
        <f>IF(AND(#REF!&gt;=table!$C$6,#REF!&lt;= table!$D$6),-1,IF(AND(#REF!&gt;=table!$E$6,#REF!&lt;=table!$F$6),1,0))</f>
        <v>#REF!</v>
      </c>
      <c r="R4565" s="5" t="e">
        <f>IF(AND(#REF!&gt;=table!$C$7,#REF!&lt;= table!$D$7),-1,IF(AND(#REF!&gt;=table!$E$7,#REF!&lt;=table!$F$7),1,0))</f>
        <v>#REF!</v>
      </c>
      <c r="S4565" s="5" t="e">
        <f>IF(AND(#REF!&gt;=table!$C$8,#REF!&lt;= table!$D$8),-1,IF(AND(#REF!&gt;=table!$E$8,#REF!&lt;=table!$F$8),1,0))</f>
        <v>#REF!</v>
      </c>
      <c r="T4565" s="5"/>
      <c r="U4565" s="5" t="e">
        <f>IF(AND(#REF!&gt;=table!$C$10,#REF!&lt;= table!$D$10),-1,IF(AND(#REF!&gt;=table!$E$10,#REF!&lt;=table!$F$10),1,0))</f>
        <v>#REF!</v>
      </c>
      <c r="V4565" s="5" t="e">
        <f>IF(AND(#REF!&gt;=table!$C$11,#REF!&lt;= table!$D$11),-1,IF(AND(#REF!&gt;=table!$E$11,#REF!&lt;=table!$F$11),1,0))</f>
        <v>#REF!</v>
      </c>
      <c r="W4565" s="5" t="e">
        <f>CONCATENATE(dados[[#This Row],[fator1]],dados[[#This Row],[fator5]],dados[[#This Row],[fator6]])</f>
        <v>#REF!</v>
      </c>
    </row>
    <row r="4566" spans="1:23">
      <c r="A4566" t="s">
        <v>17</v>
      </c>
      <c r="B4566">
        <v>590401</v>
      </c>
      <c r="C4566">
        <v>9</v>
      </c>
      <c r="D4566">
        <v>25</v>
      </c>
      <c r="E4566">
        <v>130</v>
      </c>
      <c r="F4566">
        <v>3</v>
      </c>
      <c r="G4566">
        <v>20</v>
      </c>
      <c r="H4566">
        <v>21</v>
      </c>
      <c r="I4566">
        <v>1815</v>
      </c>
      <c r="J4566">
        <v>0</v>
      </c>
      <c r="K4566">
        <v>8.7149999999999999</v>
      </c>
      <c r="L4566">
        <v>11.191000000000001</v>
      </c>
      <c r="M4566">
        <v>103.045</v>
      </c>
      <c r="N4566">
        <v>13.450000000000001</v>
      </c>
      <c r="O4566">
        <v>1677</v>
      </c>
      <c r="P4566">
        <v>445</v>
      </c>
      <c r="Q4566" s="5" t="e">
        <f>IF(AND(#REF!&gt;=table!$C$6,#REF!&lt;= table!$D$6),-1,IF(AND(#REF!&gt;=table!$E$6,#REF!&lt;=table!$F$6),1,0))</f>
        <v>#REF!</v>
      </c>
      <c r="R4566" s="5" t="e">
        <f>IF(AND(#REF!&gt;=table!$C$7,#REF!&lt;= table!$D$7),-1,IF(AND(#REF!&gt;=table!$E$7,#REF!&lt;=table!$F$7),1,0))</f>
        <v>#REF!</v>
      </c>
      <c r="S4566" s="5" t="e">
        <f>IF(AND(#REF!&gt;=table!$C$8,#REF!&lt;= table!$D$8),-1,IF(AND(#REF!&gt;=table!$E$8,#REF!&lt;=table!$F$8),1,0))</f>
        <v>#REF!</v>
      </c>
      <c r="T4566" s="5"/>
      <c r="U4566" s="5" t="e">
        <f>IF(AND(#REF!&gt;=table!$C$10,#REF!&lt;= table!$D$10),-1,IF(AND(#REF!&gt;=table!$E$10,#REF!&lt;=table!$F$10),1,0))</f>
        <v>#REF!</v>
      </c>
      <c r="V4566" s="5" t="e">
        <f>IF(AND(#REF!&gt;=table!$C$11,#REF!&lt;= table!$D$11),-1,IF(AND(#REF!&gt;=table!$E$11,#REF!&lt;=table!$F$11),1,0))</f>
        <v>#REF!</v>
      </c>
      <c r="W4566" s="5" t="e">
        <f>CONCATENATE(dados[[#This Row],[fator1]],dados[[#This Row],[fator5]],dados[[#This Row],[fator6]])</f>
        <v>#REF!</v>
      </c>
    </row>
    <row r="4567" spans="1:23">
      <c r="A4567" t="s">
        <v>17</v>
      </c>
      <c r="B4567">
        <v>590402</v>
      </c>
      <c r="C4567">
        <v>9</v>
      </c>
      <c r="D4567">
        <v>25</v>
      </c>
      <c r="E4567">
        <v>130</v>
      </c>
      <c r="F4567">
        <v>3</v>
      </c>
      <c r="G4567">
        <v>20</v>
      </c>
      <c r="H4567">
        <v>21</v>
      </c>
      <c r="I4567">
        <v>231</v>
      </c>
      <c r="J4567">
        <v>0</v>
      </c>
      <c r="K4567">
        <v>6.3210000000000006</v>
      </c>
      <c r="L4567">
        <v>9.4515000000000011</v>
      </c>
      <c r="M4567">
        <v>128.30350000000001</v>
      </c>
      <c r="N4567">
        <v>14.22</v>
      </c>
      <c r="O4567">
        <v>1692</v>
      </c>
      <c r="P4567">
        <v>0</v>
      </c>
      <c r="Q4567" s="5" t="e">
        <f>IF(AND(#REF!&gt;=table!$C$6,#REF!&lt;= table!$D$6),-1,IF(AND(#REF!&gt;=table!$E$6,#REF!&lt;=table!$F$6),1,0))</f>
        <v>#REF!</v>
      </c>
      <c r="R4567" s="5" t="e">
        <f>IF(AND(#REF!&gt;=table!$C$7,#REF!&lt;= table!$D$7),-1,IF(AND(#REF!&gt;=table!$E$7,#REF!&lt;=table!$F$7),1,0))</f>
        <v>#REF!</v>
      </c>
      <c r="S4567" s="5" t="e">
        <f>IF(AND(#REF!&gt;=table!$C$8,#REF!&lt;= table!$D$8),-1,IF(AND(#REF!&gt;=table!$E$8,#REF!&lt;=table!$F$8),1,0))</f>
        <v>#REF!</v>
      </c>
      <c r="T4567" s="5"/>
      <c r="U4567" s="5" t="e">
        <f>IF(AND(#REF!&gt;=table!$C$10,#REF!&lt;= table!$D$10),-1,IF(AND(#REF!&gt;=table!$E$10,#REF!&lt;=table!$F$10),1,0))</f>
        <v>#REF!</v>
      </c>
      <c r="V4567" s="5" t="e">
        <f>IF(AND(#REF!&gt;=table!$C$11,#REF!&lt;= table!$D$11),-1,IF(AND(#REF!&gt;=table!$E$11,#REF!&lt;=table!$F$11),1,0))</f>
        <v>#REF!</v>
      </c>
      <c r="W4567" s="5" t="e">
        <f>CONCATENATE(dados[[#This Row],[fator1]],dados[[#This Row],[fator5]],dados[[#This Row],[fator6]])</f>
        <v>#REF!</v>
      </c>
    </row>
    <row r="4568" spans="1:23">
      <c r="A4568" t="s">
        <v>16</v>
      </c>
      <c r="B4568">
        <v>590408</v>
      </c>
      <c r="C4568">
        <v>9</v>
      </c>
      <c r="D4568">
        <v>35</v>
      </c>
      <c r="E4568">
        <v>36</v>
      </c>
      <c r="F4568">
        <v>9</v>
      </c>
      <c r="G4568">
        <v>0</v>
      </c>
      <c r="H4568">
        <v>25</v>
      </c>
      <c r="I4568">
        <v>89</v>
      </c>
      <c r="J4568">
        <v>0</v>
      </c>
      <c r="K4568">
        <v>6.1630000000000003</v>
      </c>
      <c r="L4568">
        <v>10.456000000000001</v>
      </c>
      <c r="M4568">
        <v>15.265000000000001</v>
      </c>
      <c r="N4568">
        <v>16.085000000000001</v>
      </c>
      <c r="O4568">
        <v>1688</v>
      </c>
      <c r="P4568">
        <v>692</v>
      </c>
      <c r="Q4568" s="5" t="e">
        <f>IF(AND(#REF!&gt;=table!$C$6,#REF!&lt;= table!$D$6),-1,IF(AND(#REF!&gt;=table!$E$6,#REF!&lt;=table!$F$6),1,0))</f>
        <v>#REF!</v>
      </c>
      <c r="R4568" s="5" t="e">
        <f>IF(AND(#REF!&gt;=table!$C$7,#REF!&lt;= table!$D$7),-1,IF(AND(#REF!&gt;=table!$E$7,#REF!&lt;=table!$F$7),1,0))</f>
        <v>#REF!</v>
      </c>
      <c r="S4568" s="5" t="e">
        <f>IF(AND(#REF!&gt;=table!$C$8,#REF!&lt;= table!$D$8),-1,IF(AND(#REF!&gt;=table!$E$8,#REF!&lt;=table!$F$8),1,0))</f>
        <v>#REF!</v>
      </c>
      <c r="T4568" s="5"/>
      <c r="U4568" s="5" t="e">
        <f>IF(AND(#REF!&gt;=table!$C$10,#REF!&lt;= table!$D$10),-1,IF(AND(#REF!&gt;=table!$E$10,#REF!&lt;=table!$F$10),1,0))</f>
        <v>#REF!</v>
      </c>
      <c r="V4568" s="5" t="e">
        <f>IF(AND(#REF!&gt;=table!$C$11,#REF!&lt;= table!$D$11),-1,IF(AND(#REF!&gt;=table!$E$11,#REF!&lt;=table!$F$11),1,0))</f>
        <v>#REF!</v>
      </c>
      <c r="W4568" s="5" t="e">
        <f>CONCATENATE(dados[[#This Row],[fator1]],dados[[#This Row],[fator5]],dados[[#This Row],[fator6]])</f>
        <v>#REF!</v>
      </c>
    </row>
    <row r="4569" spans="1:23">
      <c r="A4569" t="s">
        <v>16</v>
      </c>
      <c r="B4569">
        <v>590414</v>
      </c>
      <c r="C4569">
        <v>9</v>
      </c>
      <c r="D4569">
        <v>27</v>
      </c>
      <c r="E4569">
        <v>36</v>
      </c>
      <c r="F4569">
        <v>8</v>
      </c>
      <c r="G4569">
        <v>0</v>
      </c>
      <c r="H4569">
        <v>25</v>
      </c>
      <c r="I4569">
        <v>832</v>
      </c>
      <c r="J4569">
        <v>0</v>
      </c>
      <c r="K4569">
        <v>6.5635000000000003</v>
      </c>
      <c r="L4569">
        <v>8.5190000000000001</v>
      </c>
      <c r="M4569">
        <v>30.897000000000002</v>
      </c>
      <c r="N4569">
        <v>13.475000000000001</v>
      </c>
      <c r="O4569">
        <v>1676</v>
      </c>
      <c r="P4569">
        <v>595</v>
      </c>
      <c r="Q4569" s="5" t="e">
        <f>IF(AND(#REF!&gt;=table!$C$6,#REF!&lt;= table!$D$6),-1,IF(AND(#REF!&gt;=table!$E$6,#REF!&lt;=table!$F$6),1,0))</f>
        <v>#REF!</v>
      </c>
      <c r="R4569" s="5" t="e">
        <f>IF(AND(#REF!&gt;=table!$C$7,#REF!&lt;= table!$D$7),-1,IF(AND(#REF!&gt;=table!$E$7,#REF!&lt;=table!$F$7),1,0))</f>
        <v>#REF!</v>
      </c>
      <c r="S4569" s="5" t="e">
        <f>IF(AND(#REF!&gt;=table!$C$8,#REF!&lt;= table!$D$8),-1,IF(AND(#REF!&gt;=table!$E$8,#REF!&lt;=table!$F$8),1,0))</f>
        <v>#REF!</v>
      </c>
      <c r="T4569" s="5"/>
      <c r="U4569" s="5" t="e">
        <f>IF(AND(#REF!&gt;=table!$C$10,#REF!&lt;= table!$D$10),-1,IF(AND(#REF!&gt;=table!$E$10,#REF!&lt;=table!$F$10),1,0))</f>
        <v>#REF!</v>
      </c>
      <c r="V4569" s="5" t="e">
        <f>IF(AND(#REF!&gt;=table!$C$11,#REF!&lt;= table!$D$11),-1,IF(AND(#REF!&gt;=table!$E$11,#REF!&lt;=table!$F$11),1,0))</f>
        <v>#REF!</v>
      </c>
      <c r="W4569" s="5" t="e">
        <f>CONCATENATE(dados[[#This Row],[fator1]],dados[[#This Row],[fator5]],dados[[#This Row],[fator6]])</f>
        <v>#REF!</v>
      </c>
    </row>
    <row r="4570" spans="1:23">
      <c r="A4570" t="s">
        <v>16</v>
      </c>
      <c r="B4570">
        <v>590416</v>
      </c>
      <c r="C4570">
        <v>3</v>
      </c>
      <c r="D4570">
        <v>30</v>
      </c>
      <c r="E4570">
        <v>21</v>
      </c>
      <c r="F4570">
        <v>15</v>
      </c>
      <c r="G4570">
        <v>0</v>
      </c>
      <c r="H4570">
        <v>25</v>
      </c>
      <c r="I4570">
        <v>604</v>
      </c>
      <c r="J4570">
        <v>0</v>
      </c>
      <c r="K4570">
        <v>4.3860000000000001</v>
      </c>
      <c r="L4570">
        <v>6.6139999999999999</v>
      </c>
      <c r="M4570">
        <v>5.3940000000000001</v>
      </c>
      <c r="N4570">
        <v>8.1150000000000002</v>
      </c>
      <c r="O4570">
        <v>1679</v>
      </c>
      <c r="P4570">
        <v>1038</v>
      </c>
      <c r="Q4570" s="5" t="e">
        <f>IF(AND(#REF!&gt;=table!$C$6,#REF!&lt;= table!$D$6),-1,IF(AND(#REF!&gt;=table!$E$6,#REF!&lt;=table!$F$6),1,0))</f>
        <v>#REF!</v>
      </c>
      <c r="R4570" s="5" t="e">
        <f>IF(AND(#REF!&gt;=table!$C$7,#REF!&lt;= table!$D$7),-1,IF(AND(#REF!&gt;=table!$E$7,#REF!&lt;=table!$F$7),1,0))</f>
        <v>#REF!</v>
      </c>
      <c r="S4570" s="5" t="e">
        <f>IF(AND(#REF!&gt;=table!$C$8,#REF!&lt;= table!$D$8),-1,IF(AND(#REF!&gt;=table!$E$8,#REF!&lt;=table!$F$8),1,0))</f>
        <v>#REF!</v>
      </c>
      <c r="T4570" s="5"/>
      <c r="U4570" s="5" t="e">
        <f>IF(AND(#REF!&gt;=table!$C$10,#REF!&lt;= table!$D$10),-1,IF(AND(#REF!&gt;=table!$E$10,#REF!&lt;=table!$F$10),1,0))</f>
        <v>#REF!</v>
      </c>
      <c r="V4570" s="5" t="e">
        <f>IF(AND(#REF!&gt;=table!$C$11,#REF!&lt;= table!$D$11),-1,IF(AND(#REF!&gt;=table!$E$11,#REF!&lt;=table!$F$11),1,0))</f>
        <v>#REF!</v>
      </c>
      <c r="W4570" s="5" t="e">
        <f>CONCATENATE(dados[[#This Row],[fator1]],dados[[#This Row],[fator5]],dados[[#This Row],[fator6]])</f>
        <v>#REF!</v>
      </c>
    </row>
    <row r="4571" spans="1:23">
      <c r="A4571" t="s">
        <v>17</v>
      </c>
      <c r="B4571">
        <v>590417</v>
      </c>
      <c r="C4571">
        <v>10</v>
      </c>
      <c r="D4571">
        <v>30</v>
      </c>
      <c r="E4571">
        <v>135</v>
      </c>
      <c r="F4571">
        <v>3</v>
      </c>
      <c r="G4571">
        <v>20</v>
      </c>
      <c r="H4571">
        <v>20</v>
      </c>
      <c r="I4571">
        <v>267</v>
      </c>
      <c r="J4571">
        <v>0</v>
      </c>
      <c r="K4571">
        <v>5.4857000000000005</v>
      </c>
      <c r="L4571">
        <v>5.8500000000000005</v>
      </c>
      <c r="M4571">
        <v>110.59650000000001</v>
      </c>
      <c r="N4571">
        <v>10.965</v>
      </c>
      <c r="O4571">
        <v>1658</v>
      </c>
      <c r="P4571">
        <v>718</v>
      </c>
      <c r="Q4571" s="5" t="e">
        <f>IF(AND(#REF!&gt;=table!$C$6,#REF!&lt;= table!$D$6),-1,IF(AND(#REF!&gt;=table!$E$6,#REF!&lt;=table!$F$6),1,0))</f>
        <v>#REF!</v>
      </c>
      <c r="R4571" s="5" t="e">
        <f>IF(AND(#REF!&gt;=table!$C$7,#REF!&lt;= table!$D$7),-1,IF(AND(#REF!&gt;=table!$E$7,#REF!&lt;=table!$F$7),1,0))</f>
        <v>#REF!</v>
      </c>
      <c r="S4571" s="5" t="e">
        <f>IF(AND(#REF!&gt;=table!$C$8,#REF!&lt;= table!$D$8),-1,IF(AND(#REF!&gt;=table!$E$8,#REF!&lt;=table!$F$8),1,0))</f>
        <v>#REF!</v>
      </c>
      <c r="T4571" s="5"/>
      <c r="U4571" s="5" t="e">
        <f>IF(AND(#REF!&gt;=table!$C$10,#REF!&lt;= table!$D$10),-1,IF(AND(#REF!&gt;=table!$E$10,#REF!&lt;=table!$F$10),1,0))</f>
        <v>#REF!</v>
      </c>
      <c r="V4571" s="5" t="e">
        <f>IF(AND(#REF!&gt;=table!$C$11,#REF!&lt;= table!$D$11),-1,IF(AND(#REF!&gt;=table!$E$11,#REF!&lt;=table!$F$11),1,0))</f>
        <v>#REF!</v>
      </c>
      <c r="W4571" s="5" t="e">
        <f>CONCATENATE(dados[[#This Row],[fator1]],dados[[#This Row],[fator5]],dados[[#This Row],[fator6]])</f>
        <v>#REF!</v>
      </c>
    </row>
    <row r="4572" spans="1:23">
      <c r="A4572" t="s">
        <v>17</v>
      </c>
      <c r="B4572">
        <v>590419</v>
      </c>
      <c r="C4572">
        <v>15</v>
      </c>
      <c r="D4572">
        <v>30</v>
      </c>
      <c r="E4572">
        <v>100</v>
      </c>
      <c r="F4572">
        <v>4</v>
      </c>
      <c r="G4572">
        <v>20</v>
      </c>
      <c r="H4572">
        <v>20</v>
      </c>
      <c r="I4572">
        <v>95</v>
      </c>
      <c r="J4572">
        <v>0</v>
      </c>
      <c r="K4572">
        <v>3.7415000000000003</v>
      </c>
      <c r="L4572">
        <v>6.0150000000000006</v>
      </c>
      <c r="M4572">
        <v>76.742000000000004</v>
      </c>
      <c r="N4572">
        <v>12.36</v>
      </c>
      <c r="O4572">
        <v>1684</v>
      </c>
      <c r="P4572">
        <v>1102</v>
      </c>
      <c r="Q4572" s="5" t="e">
        <f>IF(AND(#REF!&gt;=table!$C$6,#REF!&lt;= table!$D$6),-1,IF(AND(#REF!&gt;=table!$E$6,#REF!&lt;=table!$F$6),1,0))</f>
        <v>#REF!</v>
      </c>
      <c r="R4572" s="5" t="e">
        <f>IF(AND(#REF!&gt;=table!$C$7,#REF!&lt;= table!$D$7),-1,IF(AND(#REF!&gt;=table!$E$7,#REF!&lt;=table!$F$7),1,0))</f>
        <v>#REF!</v>
      </c>
      <c r="S4572" s="5" t="e">
        <f>IF(AND(#REF!&gt;=table!$C$8,#REF!&lt;= table!$D$8),-1,IF(AND(#REF!&gt;=table!$E$8,#REF!&lt;=table!$F$8),1,0))</f>
        <v>#REF!</v>
      </c>
      <c r="T4572" s="5"/>
      <c r="U4572" s="5" t="e">
        <f>IF(AND(#REF!&gt;=table!$C$10,#REF!&lt;= table!$D$10),-1,IF(AND(#REF!&gt;=table!$E$10,#REF!&lt;=table!$F$10),1,0))</f>
        <v>#REF!</v>
      </c>
      <c r="V4572" s="5" t="e">
        <f>IF(AND(#REF!&gt;=table!$C$11,#REF!&lt;= table!$D$11),-1,IF(AND(#REF!&gt;=table!$E$11,#REF!&lt;=table!$F$11),1,0))</f>
        <v>#REF!</v>
      </c>
      <c r="W4572" s="5" t="e">
        <f>CONCATENATE(dados[[#This Row],[fator1]],dados[[#This Row],[fator5]],dados[[#This Row],[fator6]])</f>
        <v>#REF!</v>
      </c>
    </row>
    <row r="4573" spans="1:23">
      <c r="A4573" t="s">
        <v>17</v>
      </c>
      <c r="B4573">
        <v>590420</v>
      </c>
      <c r="C4573">
        <v>15</v>
      </c>
      <c r="D4573">
        <v>30</v>
      </c>
      <c r="E4573">
        <v>100</v>
      </c>
      <c r="F4573">
        <v>4</v>
      </c>
      <c r="G4573">
        <v>20</v>
      </c>
      <c r="H4573">
        <v>20</v>
      </c>
      <c r="I4573">
        <v>0</v>
      </c>
      <c r="J4573">
        <v>0</v>
      </c>
      <c r="K4573">
        <v>3.4045000000000001</v>
      </c>
      <c r="L4573">
        <v>3.8640000000000003</v>
      </c>
      <c r="M4573">
        <v>59.608000000000004</v>
      </c>
      <c r="N4573">
        <v>10.450000000000001</v>
      </c>
      <c r="O4573">
        <v>1681</v>
      </c>
      <c r="P4573">
        <v>0</v>
      </c>
      <c r="Q4573" s="5" t="e">
        <f>IF(AND(#REF!&gt;=table!$C$6,#REF!&lt;= table!$D$6),-1,IF(AND(#REF!&gt;=table!$E$6,#REF!&lt;=table!$F$6),1,0))</f>
        <v>#REF!</v>
      </c>
      <c r="R4573" s="5" t="e">
        <f>IF(AND(#REF!&gt;=table!$C$7,#REF!&lt;= table!$D$7),-1,IF(AND(#REF!&gt;=table!$E$7,#REF!&lt;=table!$F$7),1,0))</f>
        <v>#REF!</v>
      </c>
      <c r="S4573" s="5" t="e">
        <f>IF(AND(#REF!&gt;=table!$C$8,#REF!&lt;= table!$D$8),-1,IF(AND(#REF!&gt;=table!$E$8,#REF!&lt;=table!$F$8),1,0))</f>
        <v>#REF!</v>
      </c>
      <c r="T4573" s="5"/>
      <c r="U4573" s="5" t="e">
        <f>IF(AND(#REF!&gt;=table!$C$10,#REF!&lt;= table!$D$10),-1,IF(AND(#REF!&gt;=table!$E$10,#REF!&lt;=table!$F$10),1,0))</f>
        <v>#REF!</v>
      </c>
      <c r="V4573" s="5" t="e">
        <f>IF(AND(#REF!&gt;=table!$C$11,#REF!&lt;= table!$D$11),-1,IF(AND(#REF!&gt;=table!$E$11,#REF!&lt;=table!$F$11),1,0))</f>
        <v>#REF!</v>
      </c>
      <c r="W4573" s="5" t="e">
        <f>CONCATENATE(dados[[#This Row],[fator1]],dados[[#This Row],[fator5]],dados[[#This Row],[fator6]])</f>
        <v>#REF!</v>
      </c>
    </row>
    <row r="4574" spans="1:23">
      <c r="A4574" t="s">
        <v>16</v>
      </c>
      <c r="B4574">
        <v>590427</v>
      </c>
      <c r="C4574">
        <v>0.15</v>
      </c>
      <c r="D4574">
        <v>40</v>
      </c>
      <c r="E4574">
        <v>10</v>
      </c>
      <c r="F4574">
        <v>15</v>
      </c>
      <c r="G4574">
        <v>0</v>
      </c>
      <c r="H4574">
        <v>15</v>
      </c>
      <c r="I4574">
        <v>613</v>
      </c>
      <c r="J4574">
        <v>0</v>
      </c>
      <c r="K4574">
        <v>3.1285000000000003</v>
      </c>
      <c r="L4574">
        <v>7.4805000000000001</v>
      </c>
      <c r="M4574">
        <v>9.009500000000001</v>
      </c>
      <c r="N4574">
        <v>12.685</v>
      </c>
      <c r="O4574">
        <v>1663</v>
      </c>
      <c r="P4574">
        <v>0</v>
      </c>
      <c r="Q4574" s="5" t="e">
        <f>IF(AND(#REF!&gt;=table!$C$6,#REF!&lt;= table!$D$6),-1,IF(AND(#REF!&gt;=table!$E$6,#REF!&lt;=table!$F$6),1,0))</f>
        <v>#REF!</v>
      </c>
      <c r="R4574" s="5" t="e">
        <f>IF(AND(#REF!&gt;=table!$C$7,#REF!&lt;= table!$D$7),-1,IF(AND(#REF!&gt;=table!$E$7,#REF!&lt;=table!$F$7),1,0))</f>
        <v>#REF!</v>
      </c>
      <c r="S4574" s="5" t="e">
        <f>IF(AND(#REF!&gt;=table!$C$8,#REF!&lt;= table!$D$8),-1,IF(AND(#REF!&gt;=table!$E$8,#REF!&lt;=table!$F$8),1,0))</f>
        <v>#REF!</v>
      </c>
      <c r="T4574" s="5"/>
      <c r="U4574" s="5" t="e">
        <f>IF(AND(#REF!&gt;=table!$C$10,#REF!&lt;= table!$D$10),-1,IF(AND(#REF!&gt;=table!$E$10,#REF!&lt;=table!$F$10),1,0))</f>
        <v>#REF!</v>
      </c>
      <c r="V4574" s="5" t="e">
        <f>IF(AND(#REF!&gt;=table!$C$11,#REF!&lt;= table!$D$11),-1,IF(AND(#REF!&gt;=table!$E$11,#REF!&lt;=table!$F$11),1,0))</f>
        <v>#REF!</v>
      </c>
      <c r="W4574" s="5" t="e">
        <f>CONCATENATE(dados[[#This Row],[fator1]],dados[[#This Row],[fator5]],dados[[#This Row],[fator6]])</f>
        <v>#REF!</v>
      </c>
    </row>
    <row r="4575" spans="1:23">
      <c r="A4575" t="s">
        <v>16</v>
      </c>
      <c r="B4575">
        <v>590431</v>
      </c>
      <c r="C4575">
        <v>9</v>
      </c>
      <c r="D4575">
        <v>27</v>
      </c>
      <c r="E4575">
        <v>36</v>
      </c>
      <c r="F4575">
        <v>8</v>
      </c>
      <c r="G4575">
        <v>0</v>
      </c>
      <c r="H4575">
        <v>25</v>
      </c>
      <c r="I4575">
        <v>0</v>
      </c>
      <c r="J4575">
        <v>0</v>
      </c>
      <c r="K4575">
        <v>5.532</v>
      </c>
      <c r="L4575">
        <v>14.326000000000001</v>
      </c>
      <c r="M4575">
        <v>33.047000000000004</v>
      </c>
      <c r="N4575">
        <v>14.995000000000001</v>
      </c>
      <c r="O4575">
        <v>1672</v>
      </c>
      <c r="P4575">
        <v>533</v>
      </c>
      <c r="Q4575" s="5" t="e">
        <f>IF(AND(#REF!&gt;=table!$C$6,#REF!&lt;= table!$D$6),-1,IF(AND(#REF!&gt;=table!$E$6,#REF!&lt;=table!$F$6),1,0))</f>
        <v>#REF!</v>
      </c>
      <c r="R4575" s="5" t="e">
        <f>IF(AND(#REF!&gt;=table!$C$7,#REF!&lt;= table!$D$7),-1,IF(AND(#REF!&gt;=table!$E$7,#REF!&lt;=table!$F$7),1,0))</f>
        <v>#REF!</v>
      </c>
      <c r="S4575" s="5" t="e">
        <f>IF(AND(#REF!&gt;=table!$C$8,#REF!&lt;= table!$D$8),-1,IF(AND(#REF!&gt;=table!$E$8,#REF!&lt;=table!$F$8),1,0))</f>
        <v>#REF!</v>
      </c>
      <c r="T4575" s="5"/>
      <c r="U4575" s="5" t="e">
        <f>IF(AND(#REF!&gt;=table!$C$10,#REF!&lt;= table!$D$10),-1,IF(AND(#REF!&gt;=table!$E$10,#REF!&lt;=table!$F$10),1,0))</f>
        <v>#REF!</v>
      </c>
      <c r="V4575" s="5" t="e">
        <f>IF(AND(#REF!&gt;=table!$C$11,#REF!&lt;= table!$D$11),-1,IF(AND(#REF!&gt;=table!$E$11,#REF!&lt;=table!$F$11),1,0))</f>
        <v>#REF!</v>
      </c>
      <c r="W4575" s="5" t="e">
        <f>CONCATENATE(dados[[#This Row],[fator1]],dados[[#This Row],[fator5]],dados[[#This Row],[fator6]])</f>
        <v>#REF!</v>
      </c>
    </row>
    <row r="4576" spans="1:23">
      <c r="A4576" t="s">
        <v>17</v>
      </c>
      <c r="B4576">
        <v>590432</v>
      </c>
      <c r="C4576">
        <v>9</v>
      </c>
      <c r="D4576">
        <v>25</v>
      </c>
      <c r="E4576">
        <v>130</v>
      </c>
      <c r="F4576">
        <v>3</v>
      </c>
      <c r="G4576">
        <v>20</v>
      </c>
      <c r="H4576">
        <v>21</v>
      </c>
      <c r="I4576">
        <v>415</v>
      </c>
      <c r="J4576">
        <v>0</v>
      </c>
      <c r="K4576">
        <v>5.9590000000000005</v>
      </c>
      <c r="L4576">
        <v>8.0299999999999994</v>
      </c>
      <c r="M4576">
        <v>102.89450000000001</v>
      </c>
      <c r="N4576">
        <v>12.1</v>
      </c>
      <c r="O4576">
        <v>1677</v>
      </c>
      <c r="P4576">
        <v>0</v>
      </c>
      <c r="Q4576" s="5" t="e">
        <f>IF(AND(#REF!&gt;=table!$C$6,#REF!&lt;= table!$D$6),-1,IF(AND(#REF!&gt;=table!$E$6,#REF!&lt;=table!$F$6),1,0))</f>
        <v>#REF!</v>
      </c>
      <c r="R4576" s="5" t="e">
        <f>IF(AND(#REF!&gt;=table!$C$7,#REF!&lt;= table!$D$7),-1,IF(AND(#REF!&gt;=table!$E$7,#REF!&lt;=table!$F$7),1,0))</f>
        <v>#REF!</v>
      </c>
      <c r="S4576" s="5" t="e">
        <f>IF(AND(#REF!&gt;=table!$C$8,#REF!&lt;= table!$D$8),-1,IF(AND(#REF!&gt;=table!$E$8,#REF!&lt;=table!$F$8),1,0))</f>
        <v>#REF!</v>
      </c>
      <c r="T4576" s="5"/>
      <c r="U4576" s="5" t="e">
        <f>IF(AND(#REF!&gt;=table!$C$10,#REF!&lt;= table!$D$10),-1,IF(AND(#REF!&gt;=table!$E$10,#REF!&lt;=table!$F$10),1,0))</f>
        <v>#REF!</v>
      </c>
      <c r="V4576" s="5" t="e">
        <f>IF(AND(#REF!&gt;=table!$C$11,#REF!&lt;= table!$D$11),-1,IF(AND(#REF!&gt;=table!$E$11,#REF!&lt;=table!$F$11),1,0))</f>
        <v>#REF!</v>
      </c>
      <c r="W4576" s="5" t="e">
        <f>CONCATENATE(dados[[#This Row],[fator1]],dados[[#This Row],[fator5]],dados[[#This Row],[fator6]])</f>
        <v>#REF!</v>
      </c>
    </row>
    <row r="4577" spans="1:23">
      <c r="A4577" t="s">
        <v>16</v>
      </c>
      <c r="B4577">
        <v>590433</v>
      </c>
      <c r="C4577">
        <v>0.15</v>
      </c>
      <c r="D4577">
        <v>40</v>
      </c>
      <c r="E4577">
        <v>10</v>
      </c>
      <c r="F4577">
        <v>15</v>
      </c>
      <c r="G4577">
        <v>0</v>
      </c>
      <c r="H4577">
        <v>15</v>
      </c>
      <c r="I4577">
        <v>516</v>
      </c>
      <c r="J4577">
        <v>0</v>
      </c>
      <c r="K4577">
        <v>5.8235000000000001</v>
      </c>
      <c r="L4577">
        <v>6.7825000000000006</v>
      </c>
      <c r="M4577">
        <v>4.7845000000000004</v>
      </c>
      <c r="N4577">
        <v>8.2100000000000009</v>
      </c>
      <c r="O4577">
        <v>1655</v>
      </c>
      <c r="P4577">
        <v>766</v>
      </c>
      <c r="Q4577" s="5" t="e">
        <f>IF(AND(#REF!&gt;=table!$C$6,#REF!&lt;= table!$D$6),-1,IF(AND(#REF!&gt;=table!$E$6,#REF!&lt;=table!$F$6),1,0))</f>
        <v>#REF!</v>
      </c>
      <c r="R4577" s="5" t="e">
        <f>IF(AND(#REF!&gt;=table!$C$7,#REF!&lt;= table!$D$7),-1,IF(AND(#REF!&gt;=table!$E$7,#REF!&lt;=table!$F$7),1,0))</f>
        <v>#REF!</v>
      </c>
      <c r="S4577" s="5" t="e">
        <f>IF(AND(#REF!&gt;=table!$C$8,#REF!&lt;= table!$D$8),-1,IF(AND(#REF!&gt;=table!$E$8,#REF!&lt;=table!$F$8),1,0))</f>
        <v>#REF!</v>
      </c>
      <c r="T4577" s="5"/>
      <c r="U4577" s="5" t="e">
        <f>IF(AND(#REF!&gt;=table!$C$10,#REF!&lt;= table!$D$10),-1,IF(AND(#REF!&gt;=table!$E$10,#REF!&lt;=table!$F$10),1,0))</f>
        <v>#REF!</v>
      </c>
      <c r="V4577" s="5" t="e">
        <f>IF(AND(#REF!&gt;=table!$C$11,#REF!&lt;= table!$D$11),-1,IF(AND(#REF!&gt;=table!$E$11,#REF!&lt;=table!$F$11),1,0))</f>
        <v>#REF!</v>
      </c>
      <c r="W4577" s="5" t="e">
        <f>CONCATENATE(dados[[#This Row],[fator1]],dados[[#This Row],[fator5]],dados[[#This Row],[fator6]])</f>
        <v>#REF!</v>
      </c>
    </row>
    <row r="4578" spans="1:23">
      <c r="A4578" t="s">
        <v>16</v>
      </c>
      <c r="B4578">
        <v>590434</v>
      </c>
      <c r="C4578">
        <v>0.15</v>
      </c>
      <c r="D4578">
        <v>40</v>
      </c>
      <c r="E4578">
        <v>10</v>
      </c>
      <c r="F4578">
        <v>15</v>
      </c>
      <c r="G4578">
        <v>0</v>
      </c>
      <c r="H4578">
        <v>15</v>
      </c>
      <c r="I4578">
        <v>561</v>
      </c>
      <c r="J4578">
        <v>0</v>
      </c>
      <c r="K4578">
        <v>7.3210000000000006</v>
      </c>
      <c r="L4578">
        <v>8.5240000000000009</v>
      </c>
      <c r="M4578">
        <v>7.5315000000000003</v>
      </c>
      <c r="N4578">
        <v>9.6050000000000004</v>
      </c>
      <c r="O4578">
        <v>1666</v>
      </c>
      <c r="P4578">
        <v>568</v>
      </c>
      <c r="Q4578" s="5" t="e">
        <f>IF(AND(#REF!&gt;=table!$C$6,#REF!&lt;= table!$D$6),-1,IF(AND(#REF!&gt;=table!$E$6,#REF!&lt;=table!$F$6),1,0))</f>
        <v>#REF!</v>
      </c>
      <c r="R4578" s="5" t="e">
        <f>IF(AND(#REF!&gt;=table!$C$7,#REF!&lt;= table!$D$7),-1,IF(AND(#REF!&gt;=table!$E$7,#REF!&lt;=table!$F$7),1,0))</f>
        <v>#REF!</v>
      </c>
      <c r="S4578" s="5" t="e">
        <f>IF(AND(#REF!&gt;=table!$C$8,#REF!&lt;= table!$D$8),-1,IF(AND(#REF!&gt;=table!$E$8,#REF!&lt;=table!$F$8),1,0))</f>
        <v>#REF!</v>
      </c>
      <c r="T4578" s="5"/>
      <c r="U4578" s="5" t="e">
        <f>IF(AND(#REF!&gt;=table!$C$10,#REF!&lt;= table!$D$10),-1,IF(AND(#REF!&gt;=table!$E$10,#REF!&lt;=table!$F$10),1,0))</f>
        <v>#REF!</v>
      </c>
      <c r="V4578" s="5" t="e">
        <f>IF(AND(#REF!&gt;=table!$C$11,#REF!&lt;= table!$D$11),-1,IF(AND(#REF!&gt;=table!$E$11,#REF!&lt;=table!$F$11),1,0))</f>
        <v>#REF!</v>
      </c>
      <c r="W4578" s="5" t="e">
        <f>CONCATENATE(dados[[#This Row],[fator1]],dados[[#This Row],[fator5]],dados[[#This Row],[fator6]])</f>
        <v>#REF!</v>
      </c>
    </row>
    <row r="4579" spans="1:23">
      <c r="A4579" t="s">
        <v>16</v>
      </c>
      <c r="B4579">
        <v>590443</v>
      </c>
      <c r="C4579">
        <v>0.15</v>
      </c>
      <c r="D4579">
        <v>40</v>
      </c>
      <c r="E4579">
        <v>10</v>
      </c>
      <c r="F4579">
        <v>15</v>
      </c>
      <c r="G4579">
        <v>0</v>
      </c>
      <c r="H4579">
        <v>15</v>
      </c>
      <c r="I4579">
        <v>455</v>
      </c>
      <c r="J4579">
        <v>700</v>
      </c>
      <c r="K4579">
        <v>3.4595000000000002</v>
      </c>
      <c r="L4579">
        <v>8.668000000000001</v>
      </c>
      <c r="M4579">
        <v>5.7244999999999999</v>
      </c>
      <c r="N4579">
        <v>9.5400000000000009</v>
      </c>
      <c r="O4579">
        <v>1646</v>
      </c>
      <c r="P4579">
        <v>0</v>
      </c>
      <c r="Q4579" s="5" t="e">
        <f>IF(AND(#REF!&gt;=table!$C$6,#REF!&lt;= table!$D$6),-1,IF(AND(#REF!&gt;=table!$E$6,#REF!&lt;=table!$F$6),1,0))</f>
        <v>#REF!</v>
      </c>
      <c r="R4579" s="5" t="e">
        <f>IF(AND(#REF!&gt;=table!$C$7,#REF!&lt;= table!$D$7),-1,IF(AND(#REF!&gt;=table!$E$7,#REF!&lt;=table!$F$7),1,0))</f>
        <v>#REF!</v>
      </c>
      <c r="S4579" s="5" t="e">
        <f>IF(AND(#REF!&gt;=table!$C$8,#REF!&lt;= table!$D$8),-1,IF(AND(#REF!&gt;=table!$E$8,#REF!&lt;=table!$F$8),1,0))</f>
        <v>#REF!</v>
      </c>
      <c r="T4579" s="5"/>
      <c r="U4579" s="5" t="e">
        <f>IF(AND(#REF!&gt;=table!$C$10,#REF!&lt;= table!$D$10),-1,IF(AND(#REF!&gt;=table!$E$10,#REF!&lt;=table!$F$10),1,0))</f>
        <v>#REF!</v>
      </c>
      <c r="V4579" s="5" t="e">
        <f>IF(AND(#REF!&gt;=table!$C$11,#REF!&lt;= table!$D$11),-1,IF(AND(#REF!&gt;=table!$E$11,#REF!&lt;=table!$F$11),1,0))</f>
        <v>#REF!</v>
      </c>
      <c r="W4579" s="5" t="e">
        <f>CONCATENATE(dados[[#This Row],[fator1]],dados[[#This Row],[fator5]],dados[[#This Row],[fator6]])</f>
        <v>#REF!</v>
      </c>
    </row>
    <row r="4580" spans="1:23">
      <c r="A4580" t="s">
        <v>16</v>
      </c>
      <c r="B4580">
        <v>590445</v>
      </c>
      <c r="C4580">
        <v>12</v>
      </c>
      <c r="D4580">
        <v>35</v>
      </c>
      <c r="E4580">
        <v>180</v>
      </c>
      <c r="F4580">
        <v>6</v>
      </c>
      <c r="G4580">
        <v>0</v>
      </c>
      <c r="H4580">
        <v>20</v>
      </c>
      <c r="I4580">
        <v>0</v>
      </c>
      <c r="J4580">
        <v>0</v>
      </c>
      <c r="K4580">
        <v>5.3105000000000002</v>
      </c>
      <c r="L4580">
        <v>7.2320000000000002</v>
      </c>
      <c r="M4580">
        <v>149.422</v>
      </c>
      <c r="N4580">
        <v>13.295</v>
      </c>
      <c r="O4580">
        <v>1697</v>
      </c>
      <c r="P4580">
        <v>1088</v>
      </c>
      <c r="Q4580" s="5" t="e">
        <f>IF(AND(#REF!&gt;=table!$C$6,#REF!&lt;= table!$D$6),-1,IF(AND(#REF!&gt;=table!$E$6,#REF!&lt;=table!$F$6),1,0))</f>
        <v>#REF!</v>
      </c>
      <c r="R4580" s="5" t="e">
        <f>IF(AND(#REF!&gt;=table!$C$7,#REF!&lt;= table!$D$7),-1,IF(AND(#REF!&gt;=table!$E$7,#REF!&lt;=table!$F$7),1,0))</f>
        <v>#REF!</v>
      </c>
      <c r="S4580" s="5" t="e">
        <f>IF(AND(#REF!&gt;=table!$C$8,#REF!&lt;= table!$D$8),-1,IF(AND(#REF!&gt;=table!$E$8,#REF!&lt;=table!$F$8),1,0))</f>
        <v>#REF!</v>
      </c>
      <c r="T4580" s="5"/>
      <c r="U4580" s="5" t="e">
        <f>IF(AND(#REF!&gt;=table!$C$10,#REF!&lt;= table!$D$10),-1,IF(AND(#REF!&gt;=table!$E$10,#REF!&lt;=table!$F$10),1,0))</f>
        <v>#REF!</v>
      </c>
      <c r="V4580" s="5" t="e">
        <f>IF(AND(#REF!&gt;=table!$C$11,#REF!&lt;= table!$D$11),-1,IF(AND(#REF!&gt;=table!$E$11,#REF!&lt;=table!$F$11),1,0))</f>
        <v>#REF!</v>
      </c>
      <c r="W4580" s="5" t="e">
        <f>CONCATENATE(dados[[#This Row],[fator1]],dados[[#This Row],[fator5]],dados[[#This Row],[fator6]])</f>
        <v>#REF!</v>
      </c>
    </row>
    <row r="4581" spans="1:23">
      <c r="A4581" t="s">
        <v>16</v>
      </c>
      <c r="B4581">
        <v>590448</v>
      </c>
      <c r="C4581">
        <v>0.15</v>
      </c>
      <c r="D4581">
        <v>40</v>
      </c>
      <c r="E4581">
        <v>10</v>
      </c>
      <c r="F4581">
        <v>15</v>
      </c>
      <c r="G4581">
        <v>0</v>
      </c>
      <c r="H4581">
        <v>15</v>
      </c>
      <c r="I4581">
        <v>887</v>
      </c>
      <c r="J4581">
        <v>0</v>
      </c>
      <c r="K4581">
        <v>6.6185</v>
      </c>
      <c r="L4581">
        <v>8.4634999999999998</v>
      </c>
      <c r="M4581">
        <v>7.5680000000000005</v>
      </c>
      <c r="N4581">
        <v>10.395000000000001</v>
      </c>
      <c r="O4581">
        <v>1651</v>
      </c>
      <c r="P4581">
        <v>591</v>
      </c>
      <c r="Q4581" s="5" t="e">
        <f>IF(AND(#REF!&gt;=table!$C$6,#REF!&lt;= table!$D$6),-1,IF(AND(#REF!&gt;=table!$E$6,#REF!&lt;=table!$F$6),1,0))</f>
        <v>#REF!</v>
      </c>
      <c r="R4581" s="5" t="e">
        <f>IF(AND(#REF!&gt;=table!$C$7,#REF!&lt;= table!$D$7),-1,IF(AND(#REF!&gt;=table!$E$7,#REF!&lt;=table!$F$7),1,0))</f>
        <v>#REF!</v>
      </c>
      <c r="S4581" s="5" t="e">
        <f>IF(AND(#REF!&gt;=table!$C$8,#REF!&lt;= table!$D$8),-1,IF(AND(#REF!&gt;=table!$E$8,#REF!&lt;=table!$F$8),1,0))</f>
        <v>#REF!</v>
      </c>
      <c r="T4581" s="5"/>
      <c r="U4581" s="5" t="e">
        <f>IF(AND(#REF!&gt;=table!$C$10,#REF!&lt;= table!$D$10),-1,IF(AND(#REF!&gt;=table!$E$10,#REF!&lt;=table!$F$10),1,0))</f>
        <v>#REF!</v>
      </c>
      <c r="V4581" s="5" t="e">
        <f>IF(AND(#REF!&gt;=table!$C$11,#REF!&lt;= table!$D$11),-1,IF(AND(#REF!&gt;=table!$E$11,#REF!&lt;=table!$F$11),1,0))</f>
        <v>#REF!</v>
      </c>
      <c r="W4581" s="5" t="e">
        <f>CONCATENATE(dados[[#This Row],[fator1]],dados[[#This Row],[fator5]],dados[[#This Row],[fator6]])</f>
        <v>#REF!</v>
      </c>
    </row>
    <row r="4582" spans="1:23">
      <c r="A4582" t="s">
        <v>16</v>
      </c>
      <c r="B4582">
        <v>590449</v>
      </c>
      <c r="C4582">
        <v>0.23</v>
      </c>
      <c r="D4582">
        <v>65</v>
      </c>
      <c r="E4582">
        <v>26</v>
      </c>
      <c r="F4582">
        <v>15</v>
      </c>
      <c r="G4582">
        <v>0</v>
      </c>
      <c r="H4582">
        <v>35</v>
      </c>
      <c r="I4582">
        <v>511</v>
      </c>
      <c r="J4582">
        <v>0</v>
      </c>
      <c r="K4582">
        <v>5.1539999999999999</v>
      </c>
      <c r="L4582">
        <v>5.782</v>
      </c>
      <c r="M4582">
        <v>5.89</v>
      </c>
      <c r="N4582">
        <v>17.920000000000002</v>
      </c>
      <c r="O4582">
        <v>1698</v>
      </c>
      <c r="P4582">
        <v>0</v>
      </c>
      <c r="Q4582" s="5" t="e">
        <f>IF(AND(#REF!&gt;=table!$C$6,#REF!&lt;= table!$D$6),-1,IF(AND(#REF!&gt;=table!$E$6,#REF!&lt;=table!$F$6),1,0))</f>
        <v>#REF!</v>
      </c>
      <c r="R4582" s="5" t="e">
        <f>IF(AND(#REF!&gt;=table!$C$7,#REF!&lt;= table!$D$7),-1,IF(AND(#REF!&gt;=table!$E$7,#REF!&lt;=table!$F$7),1,0))</f>
        <v>#REF!</v>
      </c>
      <c r="S4582" s="5" t="e">
        <f>IF(AND(#REF!&gt;=table!$C$8,#REF!&lt;= table!$D$8),-1,IF(AND(#REF!&gt;=table!$E$8,#REF!&lt;=table!$F$8),1,0))</f>
        <v>#REF!</v>
      </c>
      <c r="T4582" s="5"/>
      <c r="U4582" s="5" t="e">
        <f>IF(AND(#REF!&gt;=table!$C$10,#REF!&lt;= table!$D$10),-1,IF(AND(#REF!&gt;=table!$E$10,#REF!&lt;=table!$F$10),1,0))</f>
        <v>#REF!</v>
      </c>
      <c r="V4582" s="5" t="e">
        <f>IF(AND(#REF!&gt;=table!$C$11,#REF!&lt;= table!$D$11),-1,IF(AND(#REF!&gt;=table!$E$11,#REF!&lt;=table!$F$11),1,0))</f>
        <v>#REF!</v>
      </c>
      <c r="W4582" s="5" t="e">
        <f>CONCATENATE(dados[[#This Row],[fator1]],dados[[#This Row],[fator5]],dados[[#This Row],[fator6]])</f>
        <v>#REF!</v>
      </c>
    </row>
    <row r="4583" spans="1:23">
      <c r="A4583" t="s">
        <v>16</v>
      </c>
      <c r="B4583">
        <v>590451</v>
      </c>
      <c r="C4583">
        <v>0.19</v>
      </c>
      <c r="D4583">
        <v>50</v>
      </c>
      <c r="E4583">
        <v>56</v>
      </c>
      <c r="F4583">
        <v>15</v>
      </c>
      <c r="G4583">
        <v>0</v>
      </c>
      <c r="H4583">
        <v>50</v>
      </c>
      <c r="I4583">
        <v>480</v>
      </c>
      <c r="J4583">
        <v>0</v>
      </c>
      <c r="K4583">
        <v>2.867</v>
      </c>
      <c r="L4583">
        <v>7.6885000000000003</v>
      </c>
      <c r="M4583">
        <v>5.89</v>
      </c>
      <c r="N4583">
        <v>17.920000000000002</v>
      </c>
      <c r="O4583">
        <v>1709</v>
      </c>
      <c r="P4583">
        <v>1489</v>
      </c>
      <c r="Q4583" s="5" t="e">
        <f>IF(AND(#REF!&gt;=table!$C$6,#REF!&lt;= table!$D$6),-1,IF(AND(#REF!&gt;=table!$E$6,#REF!&lt;=table!$F$6),1,0))</f>
        <v>#REF!</v>
      </c>
      <c r="R4583" s="5" t="e">
        <f>IF(AND(#REF!&gt;=table!$C$7,#REF!&lt;= table!$D$7),-1,IF(AND(#REF!&gt;=table!$E$7,#REF!&lt;=table!$F$7),1,0))</f>
        <v>#REF!</v>
      </c>
      <c r="S4583" s="5" t="e">
        <f>IF(AND(#REF!&gt;=table!$C$8,#REF!&lt;= table!$D$8),-1,IF(AND(#REF!&gt;=table!$E$8,#REF!&lt;=table!$F$8),1,0))</f>
        <v>#REF!</v>
      </c>
      <c r="T4583" s="5"/>
      <c r="U4583" s="5" t="e">
        <f>IF(AND(#REF!&gt;=table!$C$10,#REF!&lt;= table!$D$10),-1,IF(AND(#REF!&gt;=table!$E$10,#REF!&lt;=table!$F$10),1,0))</f>
        <v>#REF!</v>
      </c>
      <c r="V4583" s="5" t="e">
        <f>IF(AND(#REF!&gt;=table!$C$11,#REF!&lt;= table!$D$11),-1,IF(AND(#REF!&gt;=table!$E$11,#REF!&lt;=table!$F$11),1,0))</f>
        <v>#REF!</v>
      </c>
      <c r="W4583" s="5" t="e">
        <f>CONCATENATE(dados[[#This Row],[fator1]],dados[[#This Row],[fator5]],dados[[#This Row],[fator6]])</f>
        <v>#REF!</v>
      </c>
    </row>
    <row r="4584" spans="1:23">
      <c r="A4584" t="s">
        <v>16</v>
      </c>
      <c r="B4584">
        <v>590452</v>
      </c>
      <c r="C4584">
        <v>0.2</v>
      </c>
      <c r="D4584">
        <v>65</v>
      </c>
      <c r="E4584">
        <v>26</v>
      </c>
      <c r="F4584">
        <v>15</v>
      </c>
      <c r="G4584">
        <v>0</v>
      </c>
      <c r="H4584">
        <v>30</v>
      </c>
      <c r="I4584">
        <v>636</v>
      </c>
      <c r="J4584">
        <v>0</v>
      </c>
      <c r="K4584">
        <v>2.9295</v>
      </c>
      <c r="L4584">
        <v>7.8065000000000007</v>
      </c>
      <c r="M4584">
        <v>6.5935000000000006</v>
      </c>
      <c r="N4584">
        <v>18.89</v>
      </c>
      <c r="O4584">
        <v>1672</v>
      </c>
      <c r="P4584">
        <v>1251</v>
      </c>
      <c r="Q4584" s="5" t="e">
        <f>IF(AND(#REF!&gt;=table!$C$6,#REF!&lt;= table!$D$6),-1,IF(AND(#REF!&gt;=table!$E$6,#REF!&lt;=table!$F$6),1,0))</f>
        <v>#REF!</v>
      </c>
      <c r="R4584" s="5" t="e">
        <f>IF(AND(#REF!&gt;=table!$C$7,#REF!&lt;= table!$D$7),-1,IF(AND(#REF!&gt;=table!$E$7,#REF!&lt;=table!$F$7),1,0))</f>
        <v>#REF!</v>
      </c>
      <c r="S4584" s="5" t="e">
        <f>IF(AND(#REF!&gt;=table!$C$8,#REF!&lt;= table!$D$8),-1,IF(AND(#REF!&gt;=table!$E$8,#REF!&lt;=table!$F$8),1,0))</f>
        <v>#REF!</v>
      </c>
      <c r="T4584" s="5"/>
      <c r="U4584" s="5" t="e">
        <f>IF(AND(#REF!&gt;=table!$C$10,#REF!&lt;= table!$D$10),-1,IF(AND(#REF!&gt;=table!$E$10,#REF!&lt;=table!$F$10),1,0))</f>
        <v>#REF!</v>
      </c>
      <c r="V4584" s="5" t="e">
        <f>IF(AND(#REF!&gt;=table!$C$11,#REF!&lt;= table!$D$11),-1,IF(AND(#REF!&gt;=table!$E$11,#REF!&lt;=table!$F$11),1,0))</f>
        <v>#REF!</v>
      </c>
      <c r="W4584" s="5" t="e">
        <f>CONCATENATE(dados[[#This Row],[fator1]],dados[[#This Row],[fator5]],dados[[#This Row],[fator6]])</f>
        <v>#REF!</v>
      </c>
    </row>
    <row r="4585" spans="1:23">
      <c r="A4585" t="s">
        <v>16</v>
      </c>
      <c r="B4585">
        <v>590453</v>
      </c>
      <c r="C4585">
        <v>0.19</v>
      </c>
      <c r="D4585">
        <v>50</v>
      </c>
      <c r="E4585">
        <v>56</v>
      </c>
      <c r="F4585">
        <v>15</v>
      </c>
      <c r="G4585">
        <v>0</v>
      </c>
      <c r="H4585">
        <v>50</v>
      </c>
      <c r="I4585">
        <v>389</v>
      </c>
      <c r="J4585">
        <v>0</v>
      </c>
      <c r="K4585">
        <v>3.6865000000000001</v>
      </c>
      <c r="L4585">
        <v>8.6005000000000003</v>
      </c>
      <c r="M4585">
        <v>7.306</v>
      </c>
      <c r="N4585">
        <v>15.870000000000001</v>
      </c>
      <c r="O4585">
        <v>1674</v>
      </c>
      <c r="P4585">
        <v>1140</v>
      </c>
      <c r="Q4585" s="5" t="e">
        <f>IF(AND(#REF!&gt;=table!$C$6,#REF!&lt;= table!$D$6),-1,IF(AND(#REF!&gt;=table!$E$6,#REF!&lt;=table!$F$6),1,0))</f>
        <v>#REF!</v>
      </c>
      <c r="R4585" s="5" t="e">
        <f>IF(AND(#REF!&gt;=table!$C$7,#REF!&lt;= table!$D$7),-1,IF(AND(#REF!&gt;=table!$E$7,#REF!&lt;=table!$F$7),1,0))</f>
        <v>#REF!</v>
      </c>
      <c r="S4585" s="5" t="e">
        <f>IF(AND(#REF!&gt;=table!$C$8,#REF!&lt;= table!$D$8),-1,IF(AND(#REF!&gt;=table!$E$8,#REF!&lt;=table!$F$8),1,0))</f>
        <v>#REF!</v>
      </c>
      <c r="T4585" s="5"/>
      <c r="U4585" s="5" t="e">
        <f>IF(AND(#REF!&gt;=table!$C$10,#REF!&lt;= table!$D$10),-1,IF(AND(#REF!&gt;=table!$E$10,#REF!&lt;=table!$F$10),1,0))</f>
        <v>#REF!</v>
      </c>
      <c r="V4585" s="5" t="e">
        <f>IF(AND(#REF!&gt;=table!$C$11,#REF!&lt;= table!$D$11),-1,IF(AND(#REF!&gt;=table!$E$11,#REF!&lt;=table!$F$11),1,0))</f>
        <v>#REF!</v>
      </c>
      <c r="W4585" s="5" t="e">
        <f>CONCATENATE(dados[[#This Row],[fator1]],dados[[#This Row],[fator5]],dados[[#This Row],[fator6]])</f>
        <v>#REF!</v>
      </c>
    </row>
    <row r="4586" spans="1:23">
      <c r="A4586" t="s">
        <v>16</v>
      </c>
      <c r="B4586">
        <v>590455</v>
      </c>
      <c r="C4586">
        <v>16</v>
      </c>
      <c r="D4586">
        <v>30</v>
      </c>
      <c r="E4586">
        <v>36</v>
      </c>
      <c r="F4586">
        <v>3</v>
      </c>
      <c r="G4586">
        <v>0</v>
      </c>
      <c r="H4586">
        <v>25</v>
      </c>
      <c r="I4586">
        <v>679</v>
      </c>
      <c r="J4586">
        <v>0</v>
      </c>
      <c r="K4586">
        <v>9.8715000000000011</v>
      </c>
      <c r="L4586">
        <v>14.906000000000001</v>
      </c>
      <c r="M4586">
        <v>40.800000000000004</v>
      </c>
      <c r="N4586">
        <v>18.809999999999999</v>
      </c>
      <c r="O4586">
        <v>1680</v>
      </c>
      <c r="P4586">
        <v>406</v>
      </c>
      <c r="Q4586" s="5" t="e">
        <f>IF(AND(#REF!&gt;=table!$C$6,#REF!&lt;= table!$D$6),-1,IF(AND(#REF!&gt;=table!$E$6,#REF!&lt;=table!$F$6),1,0))</f>
        <v>#REF!</v>
      </c>
      <c r="R4586" s="5" t="e">
        <f>IF(AND(#REF!&gt;=table!$C$7,#REF!&lt;= table!$D$7),-1,IF(AND(#REF!&gt;=table!$E$7,#REF!&lt;=table!$F$7),1,0))</f>
        <v>#REF!</v>
      </c>
      <c r="S4586" s="5" t="e">
        <f>IF(AND(#REF!&gt;=table!$C$8,#REF!&lt;= table!$D$8),-1,IF(AND(#REF!&gt;=table!$E$8,#REF!&lt;=table!$F$8),1,0))</f>
        <v>#REF!</v>
      </c>
      <c r="T4586" s="5"/>
      <c r="U4586" s="5" t="e">
        <f>IF(AND(#REF!&gt;=table!$C$10,#REF!&lt;= table!$D$10),-1,IF(AND(#REF!&gt;=table!$E$10,#REF!&lt;=table!$F$10),1,0))</f>
        <v>#REF!</v>
      </c>
      <c r="V4586" s="5" t="e">
        <f>IF(AND(#REF!&gt;=table!$C$11,#REF!&lt;= table!$D$11),-1,IF(AND(#REF!&gt;=table!$E$11,#REF!&lt;=table!$F$11),1,0))</f>
        <v>#REF!</v>
      </c>
      <c r="W4586" s="5" t="e">
        <f>CONCATENATE(dados[[#This Row],[fator1]],dados[[#This Row],[fator5]],dados[[#This Row],[fator6]])</f>
        <v>#REF!</v>
      </c>
    </row>
    <row r="4587" spans="1:23">
      <c r="A4587" t="s">
        <v>16</v>
      </c>
      <c r="B4587">
        <v>590456</v>
      </c>
      <c r="C4587">
        <v>16</v>
      </c>
      <c r="D4587">
        <v>35</v>
      </c>
      <c r="E4587">
        <v>36</v>
      </c>
      <c r="F4587">
        <v>10</v>
      </c>
      <c r="G4587">
        <v>0</v>
      </c>
      <c r="H4587">
        <v>25</v>
      </c>
      <c r="I4587">
        <v>1351</v>
      </c>
      <c r="J4587">
        <v>0</v>
      </c>
      <c r="K4587">
        <v>8.2975000000000012</v>
      </c>
      <c r="L4587">
        <v>10.085000000000001</v>
      </c>
      <c r="M4587">
        <v>35.562000000000005</v>
      </c>
      <c r="N4587">
        <v>13.86</v>
      </c>
      <c r="O4587">
        <v>1675</v>
      </c>
      <c r="P4587">
        <v>432</v>
      </c>
      <c r="Q4587" s="5" t="e">
        <f>IF(AND(#REF!&gt;=table!$C$6,#REF!&lt;= table!$D$6),-1,IF(AND(#REF!&gt;=table!$E$6,#REF!&lt;=table!$F$6),1,0))</f>
        <v>#REF!</v>
      </c>
      <c r="R4587" s="5" t="e">
        <f>IF(AND(#REF!&gt;=table!$C$7,#REF!&lt;= table!$D$7),-1,IF(AND(#REF!&gt;=table!$E$7,#REF!&lt;=table!$F$7),1,0))</f>
        <v>#REF!</v>
      </c>
      <c r="S4587" s="5" t="e">
        <f>IF(AND(#REF!&gt;=table!$C$8,#REF!&lt;= table!$D$8),-1,IF(AND(#REF!&gt;=table!$E$8,#REF!&lt;=table!$F$8),1,0))</f>
        <v>#REF!</v>
      </c>
      <c r="T4587" s="5"/>
      <c r="U4587" s="5" t="e">
        <f>IF(AND(#REF!&gt;=table!$C$10,#REF!&lt;= table!$D$10),-1,IF(AND(#REF!&gt;=table!$E$10,#REF!&lt;=table!$F$10),1,0))</f>
        <v>#REF!</v>
      </c>
      <c r="V4587" s="5" t="e">
        <f>IF(AND(#REF!&gt;=table!$C$11,#REF!&lt;= table!$D$11),-1,IF(AND(#REF!&gt;=table!$E$11,#REF!&lt;=table!$F$11),1,0))</f>
        <v>#REF!</v>
      </c>
      <c r="W4587" s="5" t="e">
        <f>CONCATENATE(dados[[#This Row],[fator1]],dados[[#This Row],[fator5]],dados[[#This Row],[fator6]])</f>
        <v>#REF!</v>
      </c>
    </row>
    <row r="4588" spans="1:23">
      <c r="A4588" t="s">
        <v>16</v>
      </c>
      <c r="B4588">
        <v>590457</v>
      </c>
      <c r="C4588">
        <v>16</v>
      </c>
      <c r="D4588">
        <v>30</v>
      </c>
      <c r="E4588">
        <v>36</v>
      </c>
      <c r="F4588">
        <v>3</v>
      </c>
      <c r="G4588">
        <v>0</v>
      </c>
      <c r="H4588">
        <v>25</v>
      </c>
      <c r="I4588">
        <v>1898</v>
      </c>
      <c r="J4588">
        <v>0</v>
      </c>
      <c r="K4588">
        <v>9.0465</v>
      </c>
      <c r="L4588">
        <v>11.0975</v>
      </c>
      <c r="M4588">
        <v>34.602499999999999</v>
      </c>
      <c r="N4588">
        <v>13.735000000000001</v>
      </c>
      <c r="O4588">
        <v>1679</v>
      </c>
      <c r="P4588">
        <v>422</v>
      </c>
      <c r="Q4588" s="5" t="e">
        <f>IF(AND(#REF!&gt;=table!$C$6,#REF!&lt;= table!$D$6),-1,IF(AND(#REF!&gt;=table!$E$6,#REF!&lt;=table!$F$6),1,0))</f>
        <v>#REF!</v>
      </c>
      <c r="R4588" s="5" t="e">
        <f>IF(AND(#REF!&gt;=table!$C$7,#REF!&lt;= table!$D$7),-1,IF(AND(#REF!&gt;=table!$E$7,#REF!&lt;=table!$F$7),1,0))</f>
        <v>#REF!</v>
      </c>
      <c r="S4588" s="5" t="e">
        <f>IF(AND(#REF!&gt;=table!$C$8,#REF!&lt;= table!$D$8),-1,IF(AND(#REF!&gt;=table!$E$8,#REF!&lt;=table!$F$8),1,0))</f>
        <v>#REF!</v>
      </c>
      <c r="T4588" s="5"/>
      <c r="U4588" s="5" t="e">
        <f>IF(AND(#REF!&gt;=table!$C$10,#REF!&lt;= table!$D$10),-1,IF(AND(#REF!&gt;=table!$E$10,#REF!&lt;=table!$F$10),1,0))</f>
        <v>#REF!</v>
      </c>
      <c r="V4588" s="5" t="e">
        <f>IF(AND(#REF!&gt;=table!$C$11,#REF!&lt;= table!$D$11),-1,IF(AND(#REF!&gt;=table!$E$11,#REF!&lt;=table!$F$11),1,0))</f>
        <v>#REF!</v>
      </c>
      <c r="W4588" s="5" t="e">
        <f>CONCATENATE(dados[[#This Row],[fator1]],dados[[#This Row],[fator5]],dados[[#This Row],[fator6]])</f>
        <v>#REF!</v>
      </c>
    </row>
    <row r="4589" spans="1:23">
      <c r="A4589" t="s">
        <v>16</v>
      </c>
      <c r="B4589">
        <v>590458</v>
      </c>
      <c r="C4589">
        <v>16</v>
      </c>
      <c r="D4589">
        <v>30</v>
      </c>
      <c r="E4589">
        <v>36</v>
      </c>
      <c r="F4589">
        <v>3</v>
      </c>
      <c r="G4589">
        <v>0</v>
      </c>
      <c r="H4589">
        <v>25</v>
      </c>
      <c r="I4589">
        <v>1480</v>
      </c>
      <c r="J4589">
        <v>0</v>
      </c>
      <c r="K4589">
        <v>4.9350000000000005</v>
      </c>
      <c r="L4589">
        <v>11.385</v>
      </c>
      <c r="M4589">
        <v>34.001000000000005</v>
      </c>
      <c r="N4589">
        <v>17.195</v>
      </c>
      <c r="O4589">
        <v>1696</v>
      </c>
      <c r="P4589">
        <v>725</v>
      </c>
      <c r="Q4589" s="5" t="e">
        <f>IF(AND(#REF!&gt;=table!$C$6,#REF!&lt;= table!$D$6),-1,IF(AND(#REF!&gt;=table!$E$6,#REF!&lt;=table!$F$6),1,0))</f>
        <v>#REF!</v>
      </c>
      <c r="R4589" s="5" t="e">
        <f>IF(AND(#REF!&gt;=table!$C$7,#REF!&lt;= table!$D$7),-1,IF(AND(#REF!&gt;=table!$E$7,#REF!&lt;=table!$F$7),1,0))</f>
        <v>#REF!</v>
      </c>
      <c r="S4589" s="5" t="e">
        <f>IF(AND(#REF!&gt;=table!$C$8,#REF!&lt;= table!$D$8),-1,IF(AND(#REF!&gt;=table!$E$8,#REF!&lt;=table!$F$8),1,0))</f>
        <v>#REF!</v>
      </c>
      <c r="T4589" s="5"/>
      <c r="U4589" s="5" t="e">
        <f>IF(AND(#REF!&gt;=table!$C$10,#REF!&lt;= table!$D$10),-1,IF(AND(#REF!&gt;=table!$E$10,#REF!&lt;=table!$F$10),1,0))</f>
        <v>#REF!</v>
      </c>
      <c r="V4589" s="5" t="e">
        <f>IF(AND(#REF!&gt;=table!$C$11,#REF!&lt;= table!$D$11),-1,IF(AND(#REF!&gt;=table!$E$11,#REF!&lt;=table!$F$11),1,0))</f>
        <v>#REF!</v>
      </c>
      <c r="W4589" s="5" t="e">
        <f>CONCATENATE(dados[[#This Row],[fator1]],dados[[#This Row],[fator5]],dados[[#This Row],[fator6]])</f>
        <v>#REF!</v>
      </c>
    </row>
    <row r="4590" spans="1:23">
      <c r="A4590" t="s">
        <v>16</v>
      </c>
      <c r="B4590">
        <v>590459</v>
      </c>
      <c r="C4590">
        <v>16</v>
      </c>
      <c r="D4590">
        <v>30</v>
      </c>
      <c r="E4590">
        <v>36</v>
      </c>
      <c r="F4590">
        <v>3</v>
      </c>
      <c r="G4590">
        <v>0</v>
      </c>
      <c r="H4590">
        <v>25</v>
      </c>
      <c r="I4590">
        <v>1137</v>
      </c>
      <c r="J4590">
        <v>0</v>
      </c>
      <c r="K4590">
        <v>2.9025000000000003</v>
      </c>
      <c r="L4590">
        <v>5.8135000000000003</v>
      </c>
      <c r="M4590">
        <v>34.397500000000001</v>
      </c>
      <c r="N4590">
        <v>14.185</v>
      </c>
      <c r="O4590">
        <v>1680</v>
      </c>
      <c r="P4590">
        <v>1023</v>
      </c>
      <c r="Q4590" s="5" t="e">
        <f>IF(AND(#REF!&gt;=table!$C$6,#REF!&lt;= table!$D$6),-1,IF(AND(#REF!&gt;=table!$E$6,#REF!&lt;=table!$F$6),1,0))</f>
        <v>#REF!</v>
      </c>
      <c r="R4590" s="5" t="e">
        <f>IF(AND(#REF!&gt;=table!$C$7,#REF!&lt;= table!$D$7),-1,IF(AND(#REF!&gt;=table!$E$7,#REF!&lt;=table!$F$7),1,0))</f>
        <v>#REF!</v>
      </c>
      <c r="S4590" s="5" t="e">
        <f>IF(AND(#REF!&gt;=table!$C$8,#REF!&lt;= table!$D$8),-1,IF(AND(#REF!&gt;=table!$E$8,#REF!&lt;=table!$F$8),1,0))</f>
        <v>#REF!</v>
      </c>
      <c r="T4590" s="5"/>
      <c r="U4590" s="5" t="e">
        <f>IF(AND(#REF!&gt;=table!$C$10,#REF!&lt;= table!$D$10),-1,IF(AND(#REF!&gt;=table!$E$10,#REF!&lt;=table!$F$10),1,0))</f>
        <v>#REF!</v>
      </c>
      <c r="V4590" s="5" t="e">
        <f>IF(AND(#REF!&gt;=table!$C$11,#REF!&lt;= table!$D$11),-1,IF(AND(#REF!&gt;=table!$E$11,#REF!&lt;=table!$F$11),1,0))</f>
        <v>#REF!</v>
      </c>
      <c r="W4590" s="5" t="e">
        <f>CONCATENATE(dados[[#This Row],[fator1]],dados[[#This Row],[fator5]],dados[[#This Row],[fator6]])</f>
        <v>#REF!</v>
      </c>
    </row>
    <row r="4591" spans="1:23">
      <c r="A4591" t="s">
        <v>16</v>
      </c>
      <c r="B4591">
        <v>590460</v>
      </c>
      <c r="C4591">
        <v>0.1</v>
      </c>
      <c r="D4591">
        <v>35</v>
      </c>
      <c r="E4591">
        <v>10</v>
      </c>
      <c r="F4591">
        <v>10</v>
      </c>
      <c r="G4591">
        <v>0</v>
      </c>
      <c r="H4591">
        <v>12</v>
      </c>
      <c r="I4591">
        <v>1040</v>
      </c>
      <c r="J4591">
        <v>0</v>
      </c>
      <c r="K4591">
        <v>5.1945000000000006</v>
      </c>
      <c r="L4591">
        <v>9.9175000000000004</v>
      </c>
      <c r="M4591">
        <v>8.8280000000000012</v>
      </c>
      <c r="N4591">
        <v>12.035</v>
      </c>
      <c r="O4591">
        <v>1664</v>
      </c>
      <c r="P4591">
        <v>0</v>
      </c>
      <c r="Q4591" s="5" t="e">
        <f>IF(AND(#REF!&gt;=table!$C$6,#REF!&lt;= table!$D$6),-1,IF(AND(#REF!&gt;=table!$E$6,#REF!&lt;=table!$F$6),1,0))</f>
        <v>#REF!</v>
      </c>
      <c r="R4591" s="5" t="e">
        <f>IF(AND(#REF!&gt;=table!$C$7,#REF!&lt;= table!$D$7),-1,IF(AND(#REF!&gt;=table!$E$7,#REF!&lt;=table!$F$7),1,0))</f>
        <v>#REF!</v>
      </c>
      <c r="S4591" s="5" t="e">
        <f>IF(AND(#REF!&gt;=table!$C$8,#REF!&lt;= table!$D$8),-1,IF(AND(#REF!&gt;=table!$E$8,#REF!&lt;=table!$F$8),1,0))</f>
        <v>#REF!</v>
      </c>
      <c r="T4591" s="5"/>
      <c r="U4591" s="5" t="e">
        <f>IF(AND(#REF!&gt;=table!$C$10,#REF!&lt;= table!$D$10),-1,IF(AND(#REF!&gt;=table!$E$10,#REF!&lt;=table!$F$10),1,0))</f>
        <v>#REF!</v>
      </c>
      <c r="V4591" s="5" t="e">
        <f>IF(AND(#REF!&gt;=table!$C$11,#REF!&lt;= table!$D$11),-1,IF(AND(#REF!&gt;=table!$E$11,#REF!&lt;=table!$F$11),1,0))</f>
        <v>#REF!</v>
      </c>
      <c r="W4591" s="5" t="e">
        <f>CONCATENATE(dados[[#This Row],[fator1]],dados[[#This Row],[fator5]],dados[[#This Row],[fator6]])</f>
        <v>#REF!</v>
      </c>
    </row>
    <row r="4592" spans="1:23">
      <c r="A4592" t="s">
        <v>16</v>
      </c>
      <c r="B4592">
        <v>590461</v>
      </c>
      <c r="C4592">
        <v>0.15</v>
      </c>
      <c r="D4592">
        <v>35</v>
      </c>
      <c r="E4592">
        <v>15</v>
      </c>
      <c r="F4592">
        <v>10</v>
      </c>
      <c r="G4592">
        <v>0</v>
      </c>
      <c r="H4592">
        <v>12</v>
      </c>
      <c r="I4592">
        <v>830</v>
      </c>
      <c r="J4592">
        <v>0</v>
      </c>
      <c r="K4592">
        <v>5.8525</v>
      </c>
      <c r="L4592">
        <v>11.313500000000001</v>
      </c>
      <c r="M4592">
        <v>9.791500000000001</v>
      </c>
      <c r="N4592">
        <v>15.485000000000001</v>
      </c>
      <c r="O4592">
        <v>1667</v>
      </c>
      <c r="P4592">
        <v>0</v>
      </c>
      <c r="Q4592" s="5" t="e">
        <f>IF(AND(#REF!&gt;=table!$C$6,#REF!&lt;= table!$D$6),-1,IF(AND(#REF!&gt;=table!$E$6,#REF!&lt;=table!$F$6),1,0))</f>
        <v>#REF!</v>
      </c>
      <c r="R4592" s="5" t="e">
        <f>IF(AND(#REF!&gt;=table!$C$7,#REF!&lt;= table!$D$7),-1,IF(AND(#REF!&gt;=table!$E$7,#REF!&lt;=table!$F$7),1,0))</f>
        <v>#REF!</v>
      </c>
      <c r="S4592" s="5" t="e">
        <f>IF(AND(#REF!&gt;=table!$C$8,#REF!&lt;= table!$D$8),-1,IF(AND(#REF!&gt;=table!$E$8,#REF!&lt;=table!$F$8),1,0))</f>
        <v>#REF!</v>
      </c>
      <c r="T4592" s="5"/>
      <c r="U4592" s="5" t="e">
        <f>IF(AND(#REF!&gt;=table!$C$10,#REF!&lt;= table!$D$10),-1,IF(AND(#REF!&gt;=table!$E$10,#REF!&lt;=table!$F$10),1,0))</f>
        <v>#REF!</v>
      </c>
      <c r="V4592" s="5" t="e">
        <f>IF(AND(#REF!&gt;=table!$C$11,#REF!&lt;= table!$D$11),-1,IF(AND(#REF!&gt;=table!$E$11,#REF!&lt;=table!$F$11),1,0))</f>
        <v>#REF!</v>
      </c>
      <c r="W4592" s="5" t="e">
        <f>CONCATENATE(dados[[#This Row],[fator1]],dados[[#This Row],[fator5]],dados[[#This Row],[fator6]])</f>
        <v>#REF!</v>
      </c>
    </row>
    <row r="4593" spans="1:23">
      <c r="A4593" t="s">
        <v>17</v>
      </c>
      <c r="B4593">
        <v>590463</v>
      </c>
      <c r="C4593">
        <v>24</v>
      </c>
      <c r="D4593">
        <v>30</v>
      </c>
      <c r="E4593">
        <v>106</v>
      </c>
      <c r="F4593">
        <v>9</v>
      </c>
      <c r="G4593">
        <v>20</v>
      </c>
      <c r="H4593">
        <v>25</v>
      </c>
      <c r="I4593">
        <v>289</v>
      </c>
      <c r="J4593">
        <v>700</v>
      </c>
      <c r="K4593">
        <v>5.3704999999999998</v>
      </c>
      <c r="L4593">
        <v>15.457000000000001</v>
      </c>
      <c r="M4593">
        <v>97.271000000000001</v>
      </c>
      <c r="N4593">
        <v>16.965</v>
      </c>
      <c r="O4593">
        <v>1671</v>
      </c>
      <c r="P4593">
        <v>0</v>
      </c>
      <c r="Q4593" s="5" t="e">
        <f>IF(AND(#REF!&gt;=table!$C$6,#REF!&lt;= table!$D$6),-1,IF(AND(#REF!&gt;=table!$E$6,#REF!&lt;=table!$F$6),1,0))</f>
        <v>#REF!</v>
      </c>
      <c r="R4593" s="5" t="e">
        <f>IF(AND(#REF!&gt;=table!$C$7,#REF!&lt;= table!$D$7),-1,IF(AND(#REF!&gt;=table!$E$7,#REF!&lt;=table!$F$7),1,0))</f>
        <v>#REF!</v>
      </c>
      <c r="S4593" s="5" t="e">
        <f>IF(AND(#REF!&gt;=table!$C$8,#REF!&lt;= table!$D$8),-1,IF(AND(#REF!&gt;=table!$E$8,#REF!&lt;=table!$F$8),1,0))</f>
        <v>#REF!</v>
      </c>
      <c r="T4593" s="5"/>
      <c r="U4593" s="5" t="e">
        <f>IF(AND(#REF!&gt;=table!$C$10,#REF!&lt;= table!$D$10),-1,IF(AND(#REF!&gt;=table!$E$10,#REF!&lt;=table!$F$10),1,0))</f>
        <v>#REF!</v>
      </c>
      <c r="V4593" s="5" t="e">
        <f>IF(AND(#REF!&gt;=table!$C$11,#REF!&lt;= table!$D$11),-1,IF(AND(#REF!&gt;=table!$E$11,#REF!&lt;=table!$F$11),1,0))</f>
        <v>#REF!</v>
      </c>
      <c r="W4593" s="5" t="e">
        <f>CONCATENATE(dados[[#This Row],[fator1]],dados[[#This Row],[fator5]],dados[[#This Row],[fator6]])</f>
        <v>#REF!</v>
      </c>
    </row>
    <row r="4594" spans="1:23">
      <c r="A4594" t="s">
        <v>17</v>
      </c>
      <c r="B4594">
        <v>590464</v>
      </c>
      <c r="C4594">
        <v>18</v>
      </c>
      <c r="D4594">
        <v>23</v>
      </c>
      <c r="E4594">
        <v>145</v>
      </c>
      <c r="F4594">
        <v>9</v>
      </c>
      <c r="G4594">
        <v>30</v>
      </c>
      <c r="H4594">
        <v>25</v>
      </c>
      <c r="I4594">
        <v>465</v>
      </c>
      <c r="J4594">
        <v>0</v>
      </c>
      <c r="K4594">
        <v>4.7495000000000003</v>
      </c>
      <c r="L4594">
        <v>8.1340000000000003</v>
      </c>
      <c r="M4594">
        <v>153.81400000000002</v>
      </c>
      <c r="N4594">
        <v>13.705</v>
      </c>
      <c r="O4594">
        <v>1660</v>
      </c>
      <c r="P4594">
        <v>0</v>
      </c>
      <c r="Q4594" s="5" t="e">
        <f>IF(AND(#REF!&gt;=table!$C$6,#REF!&lt;= table!$D$6),-1,IF(AND(#REF!&gt;=table!$E$6,#REF!&lt;=table!$F$6),1,0))</f>
        <v>#REF!</v>
      </c>
      <c r="R4594" s="5" t="e">
        <f>IF(AND(#REF!&gt;=table!$C$7,#REF!&lt;= table!$D$7),-1,IF(AND(#REF!&gt;=table!$E$7,#REF!&lt;=table!$F$7),1,0))</f>
        <v>#REF!</v>
      </c>
      <c r="S4594" s="5" t="e">
        <f>IF(AND(#REF!&gt;=table!$C$8,#REF!&lt;= table!$D$8),-1,IF(AND(#REF!&gt;=table!$E$8,#REF!&lt;=table!$F$8),1,0))</f>
        <v>#REF!</v>
      </c>
      <c r="T4594" s="5"/>
      <c r="U4594" s="5" t="e">
        <f>IF(AND(#REF!&gt;=table!$C$10,#REF!&lt;= table!$D$10),-1,IF(AND(#REF!&gt;=table!$E$10,#REF!&lt;=table!$F$10),1,0))</f>
        <v>#REF!</v>
      </c>
      <c r="V4594" s="5" t="e">
        <f>IF(AND(#REF!&gt;=table!$C$11,#REF!&lt;= table!$D$11),-1,IF(AND(#REF!&gt;=table!$E$11,#REF!&lt;=table!$F$11),1,0))</f>
        <v>#REF!</v>
      </c>
      <c r="W4594" s="5" t="e">
        <f>CONCATENATE(dados[[#This Row],[fator1]],dados[[#This Row],[fator5]],dados[[#This Row],[fator6]])</f>
        <v>#REF!</v>
      </c>
    </row>
    <row r="4595" spans="1:23">
      <c r="A4595" t="s">
        <v>17</v>
      </c>
      <c r="B4595">
        <v>590466</v>
      </c>
      <c r="C4595">
        <v>6</v>
      </c>
      <c r="D4595">
        <v>30</v>
      </c>
      <c r="E4595">
        <v>110</v>
      </c>
      <c r="F4595">
        <v>10</v>
      </c>
      <c r="G4595">
        <v>21</v>
      </c>
      <c r="H4595">
        <v>25</v>
      </c>
      <c r="I4595">
        <v>32</v>
      </c>
      <c r="J4595">
        <v>0</v>
      </c>
      <c r="K4595">
        <v>2.9340000000000002</v>
      </c>
      <c r="L4595">
        <v>8.0795000000000012</v>
      </c>
      <c r="M4595">
        <v>95.544000000000011</v>
      </c>
      <c r="N4595">
        <v>16.920000000000002</v>
      </c>
      <c r="O4595">
        <v>1679</v>
      </c>
      <c r="P4595">
        <v>1037</v>
      </c>
      <c r="Q4595" s="5" t="e">
        <f>IF(AND(#REF!&gt;=table!$C$6,#REF!&lt;= table!$D$6),-1,IF(AND(#REF!&gt;=table!$E$6,#REF!&lt;=table!$F$6),1,0))</f>
        <v>#REF!</v>
      </c>
      <c r="R4595" s="5" t="e">
        <f>IF(AND(#REF!&gt;=table!$C$7,#REF!&lt;= table!$D$7),-1,IF(AND(#REF!&gt;=table!$E$7,#REF!&lt;=table!$F$7),1,0))</f>
        <v>#REF!</v>
      </c>
      <c r="S4595" s="5" t="e">
        <f>IF(AND(#REF!&gt;=table!$C$8,#REF!&lt;= table!$D$8),-1,IF(AND(#REF!&gt;=table!$E$8,#REF!&lt;=table!$F$8),1,0))</f>
        <v>#REF!</v>
      </c>
      <c r="T4595" s="5"/>
      <c r="U4595" s="5" t="e">
        <f>IF(AND(#REF!&gt;=table!$C$10,#REF!&lt;= table!$D$10),-1,IF(AND(#REF!&gt;=table!$E$10,#REF!&lt;=table!$F$10),1,0))</f>
        <v>#REF!</v>
      </c>
      <c r="V4595" s="5" t="e">
        <f>IF(AND(#REF!&gt;=table!$C$11,#REF!&lt;= table!$D$11),-1,IF(AND(#REF!&gt;=table!$E$11,#REF!&lt;=table!$F$11),1,0))</f>
        <v>#REF!</v>
      </c>
      <c r="W4595" s="5" t="e">
        <f>CONCATENATE(dados[[#This Row],[fator1]],dados[[#This Row],[fator5]],dados[[#This Row],[fator6]])</f>
        <v>#REF!</v>
      </c>
    </row>
    <row r="4596" spans="1:23">
      <c r="A4596" t="s">
        <v>17</v>
      </c>
      <c r="B4596">
        <v>590470</v>
      </c>
      <c r="C4596">
        <v>14</v>
      </c>
      <c r="D4596">
        <v>30</v>
      </c>
      <c r="E4596">
        <v>126</v>
      </c>
      <c r="F4596">
        <v>9</v>
      </c>
      <c r="G4596">
        <v>20</v>
      </c>
      <c r="H4596">
        <v>25</v>
      </c>
      <c r="I4596">
        <v>664</v>
      </c>
      <c r="J4596">
        <v>0</v>
      </c>
      <c r="K4596">
        <v>5.9560000000000004</v>
      </c>
      <c r="L4596">
        <v>12.921000000000001</v>
      </c>
      <c r="M4596">
        <v>94.06750000000001</v>
      </c>
      <c r="N4596">
        <v>21.830000000000002</v>
      </c>
      <c r="O4596">
        <v>1668</v>
      </c>
      <c r="P4596">
        <v>661</v>
      </c>
      <c r="Q4596" s="5" t="e">
        <f>IF(AND(#REF!&gt;=table!$C$6,#REF!&lt;= table!$D$6),-1,IF(AND(#REF!&gt;=table!$E$6,#REF!&lt;=table!$F$6),1,0))</f>
        <v>#REF!</v>
      </c>
      <c r="R4596" s="5" t="e">
        <f>IF(AND(#REF!&gt;=table!$C$7,#REF!&lt;= table!$D$7),-1,IF(AND(#REF!&gt;=table!$E$7,#REF!&lt;=table!$F$7),1,0))</f>
        <v>#REF!</v>
      </c>
      <c r="S4596" s="5" t="e">
        <f>IF(AND(#REF!&gt;=table!$C$8,#REF!&lt;= table!$D$8),-1,IF(AND(#REF!&gt;=table!$E$8,#REF!&lt;=table!$F$8),1,0))</f>
        <v>#REF!</v>
      </c>
      <c r="T4596" s="5"/>
      <c r="U4596" s="5" t="e">
        <f>IF(AND(#REF!&gt;=table!$C$10,#REF!&lt;= table!$D$10),-1,IF(AND(#REF!&gt;=table!$E$10,#REF!&lt;=table!$F$10),1,0))</f>
        <v>#REF!</v>
      </c>
      <c r="V4596" s="5" t="e">
        <f>IF(AND(#REF!&gt;=table!$C$11,#REF!&lt;= table!$D$11),-1,IF(AND(#REF!&gt;=table!$E$11,#REF!&lt;=table!$F$11),1,0))</f>
        <v>#REF!</v>
      </c>
      <c r="W4596" s="5" t="e">
        <f>CONCATENATE(dados[[#This Row],[fator1]],dados[[#This Row],[fator5]],dados[[#This Row],[fator6]])</f>
        <v>#REF!</v>
      </c>
    </row>
    <row r="4597" spans="1:23">
      <c r="A4597" t="s">
        <v>17</v>
      </c>
      <c r="B4597">
        <v>590473</v>
      </c>
      <c r="C4597">
        <v>0.15</v>
      </c>
      <c r="D4597">
        <v>500</v>
      </c>
      <c r="E4597">
        <v>50</v>
      </c>
      <c r="F4597">
        <v>10</v>
      </c>
      <c r="G4597">
        <v>80</v>
      </c>
      <c r="H4597">
        <v>30</v>
      </c>
      <c r="I4597">
        <v>992</v>
      </c>
      <c r="J4597">
        <v>0</v>
      </c>
      <c r="K4597">
        <v>4.0865</v>
      </c>
      <c r="L4597">
        <v>7.3935000000000004</v>
      </c>
      <c r="M4597">
        <v>6.7560000000000002</v>
      </c>
      <c r="N4597">
        <v>12.465</v>
      </c>
      <c r="O4597">
        <v>1668</v>
      </c>
      <c r="P4597">
        <v>896</v>
      </c>
      <c r="Q4597" s="5" t="e">
        <f>IF(AND(#REF!&gt;=table!$C$6,#REF!&lt;= table!$D$6),-1,IF(AND(#REF!&gt;=table!$E$6,#REF!&lt;=table!$F$6),1,0))</f>
        <v>#REF!</v>
      </c>
      <c r="R4597" s="5" t="e">
        <f>IF(AND(#REF!&gt;=table!$C$7,#REF!&lt;= table!$D$7),-1,IF(AND(#REF!&gt;=table!$E$7,#REF!&lt;=table!$F$7),1,0))</f>
        <v>#REF!</v>
      </c>
      <c r="S4597" s="5" t="e">
        <f>IF(AND(#REF!&gt;=table!$C$8,#REF!&lt;= table!$D$8),-1,IF(AND(#REF!&gt;=table!$E$8,#REF!&lt;=table!$F$8),1,0))</f>
        <v>#REF!</v>
      </c>
      <c r="T4597" s="5"/>
      <c r="U4597" s="5" t="e">
        <f>IF(AND(#REF!&gt;=table!$C$10,#REF!&lt;= table!$D$10),-1,IF(AND(#REF!&gt;=table!$E$10,#REF!&lt;=table!$F$10),1,0))</f>
        <v>#REF!</v>
      </c>
      <c r="V4597" s="5" t="e">
        <f>IF(AND(#REF!&gt;=table!$C$11,#REF!&lt;= table!$D$11),-1,IF(AND(#REF!&gt;=table!$E$11,#REF!&lt;=table!$F$11),1,0))</f>
        <v>#REF!</v>
      </c>
      <c r="W4597" s="5" t="e">
        <f>CONCATENATE(dados[[#This Row],[fator1]],dados[[#This Row],[fator5]],dados[[#This Row],[fator6]])</f>
        <v>#REF!</v>
      </c>
    </row>
    <row r="4598" spans="1:23">
      <c r="A4598" t="s">
        <v>17</v>
      </c>
      <c r="B4598">
        <v>590474</v>
      </c>
      <c r="C4598">
        <v>0.15</v>
      </c>
      <c r="D4598">
        <v>500</v>
      </c>
      <c r="E4598">
        <v>50</v>
      </c>
      <c r="F4598">
        <v>10</v>
      </c>
      <c r="G4598">
        <v>80</v>
      </c>
      <c r="H4598">
        <v>30</v>
      </c>
      <c r="I4598">
        <v>811</v>
      </c>
      <c r="J4598">
        <v>0</v>
      </c>
      <c r="K4598">
        <v>3.3195000000000001</v>
      </c>
      <c r="L4598">
        <v>6.9060000000000006</v>
      </c>
      <c r="M4598">
        <v>5.4785000000000004</v>
      </c>
      <c r="N4598">
        <v>9.6750000000000007</v>
      </c>
      <c r="O4598">
        <v>1657</v>
      </c>
      <c r="P4598">
        <v>1061</v>
      </c>
      <c r="Q4598" s="5" t="e">
        <f>IF(AND(#REF!&gt;=table!$C$6,#REF!&lt;= table!$D$6),-1,IF(AND(#REF!&gt;=table!$E$6,#REF!&lt;=table!$F$6),1,0))</f>
        <v>#REF!</v>
      </c>
      <c r="R4598" s="5" t="e">
        <f>IF(AND(#REF!&gt;=table!$C$7,#REF!&lt;= table!$D$7),-1,IF(AND(#REF!&gt;=table!$E$7,#REF!&lt;=table!$F$7),1,0))</f>
        <v>#REF!</v>
      </c>
      <c r="S4598" s="5" t="e">
        <f>IF(AND(#REF!&gt;=table!$C$8,#REF!&lt;= table!$D$8),-1,IF(AND(#REF!&gt;=table!$E$8,#REF!&lt;=table!$F$8),1,0))</f>
        <v>#REF!</v>
      </c>
      <c r="T4598" s="5"/>
      <c r="U4598" s="5" t="e">
        <f>IF(AND(#REF!&gt;=table!$C$10,#REF!&lt;= table!$D$10),-1,IF(AND(#REF!&gt;=table!$E$10,#REF!&lt;=table!$F$10),1,0))</f>
        <v>#REF!</v>
      </c>
      <c r="V4598" s="5" t="e">
        <f>IF(AND(#REF!&gt;=table!$C$11,#REF!&lt;= table!$D$11),-1,IF(AND(#REF!&gt;=table!$E$11,#REF!&lt;=table!$F$11),1,0))</f>
        <v>#REF!</v>
      </c>
      <c r="W4598" s="5" t="e">
        <f>CONCATENATE(dados[[#This Row],[fator1]],dados[[#This Row],[fator5]],dados[[#This Row],[fator6]])</f>
        <v>#REF!</v>
      </c>
    </row>
    <row r="4599" spans="1:23">
      <c r="A4599" t="s">
        <v>17</v>
      </c>
      <c r="B4599">
        <v>590475</v>
      </c>
      <c r="C4599">
        <v>0.15</v>
      </c>
      <c r="D4599">
        <v>500</v>
      </c>
      <c r="E4599">
        <v>50</v>
      </c>
      <c r="F4599">
        <v>10</v>
      </c>
      <c r="G4599">
        <v>80</v>
      </c>
      <c r="H4599">
        <v>30</v>
      </c>
      <c r="I4599">
        <v>1132</v>
      </c>
      <c r="J4599">
        <v>0</v>
      </c>
      <c r="K4599">
        <v>4.9960000000000004</v>
      </c>
      <c r="L4599">
        <v>10.81</v>
      </c>
      <c r="M4599">
        <v>9.8205000000000009</v>
      </c>
      <c r="N4599">
        <v>16.685000000000002</v>
      </c>
      <c r="O4599">
        <v>1674</v>
      </c>
      <c r="P4599">
        <v>0</v>
      </c>
      <c r="Q4599" s="5" t="e">
        <f>IF(AND(#REF!&gt;=table!$C$6,#REF!&lt;= table!$D$6),-1,IF(AND(#REF!&gt;=table!$E$6,#REF!&lt;=table!$F$6),1,0))</f>
        <v>#REF!</v>
      </c>
      <c r="R4599" s="5" t="e">
        <f>IF(AND(#REF!&gt;=table!$C$7,#REF!&lt;= table!$D$7),-1,IF(AND(#REF!&gt;=table!$E$7,#REF!&lt;=table!$F$7),1,0))</f>
        <v>#REF!</v>
      </c>
      <c r="S4599" s="5" t="e">
        <f>IF(AND(#REF!&gt;=table!$C$8,#REF!&lt;= table!$D$8),-1,IF(AND(#REF!&gt;=table!$E$8,#REF!&lt;=table!$F$8),1,0))</f>
        <v>#REF!</v>
      </c>
      <c r="T4599" s="5"/>
      <c r="U4599" s="5" t="e">
        <f>IF(AND(#REF!&gt;=table!$C$10,#REF!&lt;= table!$D$10),-1,IF(AND(#REF!&gt;=table!$E$10,#REF!&lt;=table!$F$10),1,0))</f>
        <v>#REF!</v>
      </c>
      <c r="V4599" s="5" t="e">
        <f>IF(AND(#REF!&gt;=table!$C$11,#REF!&lt;= table!$D$11),-1,IF(AND(#REF!&gt;=table!$E$11,#REF!&lt;=table!$F$11),1,0))</f>
        <v>#REF!</v>
      </c>
      <c r="W4599" s="5" t="e">
        <f>CONCATENATE(dados[[#This Row],[fator1]],dados[[#This Row],[fator5]],dados[[#This Row],[fator6]])</f>
        <v>#REF!</v>
      </c>
    </row>
    <row r="4600" spans="1:23">
      <c r="A4600" t="s">
        <v>17</v>
      </c>
      <c r="B4600">
        <v>590477</v>
      </c>
      <c r="C4600">
        <v>15</v>
      </c>
      <c r="D4600">
        <v>35</v>
      </c>
      <c r="E4600">
        <v>120</v>
      </c>
      <c r="F4600">
        <v>4</v>
      </c>
      <c r="G4600">
        <v>15</v>
      </c>
      <c r="H4600">
        <v>20</v>
      </c>
      <c r="I4600">
        <v>0</v>
      </c>
      <c r="J4600">
        <v>0</v>
      </c>
      <c r="K4600">
        <v>4.2850000000000001</v>
      </c>
      <c r="L4600">
        <v>7.5609999999999999</v>
      </c>
      <c r="M4600">
        <v>95.813000000000002</v>
      </c>
      <c r="N4600">
        <v>14.615</v>
      </c>
      <c r="O4600">
        <v>1687</v>
      </c>
      <c r="P4600">
        <v>1129</v>
      </c>
      <c r="Q4600" s="5" t="e">
        <f>IF(AND(#REF!&gt;=table!$C$6,#REF!&lt;= table!$D$6),-1,IF(AND(#REF!&gt;=table!$E$6,#REF!&lt;=table!$F$6),1,0))</f>
        <v>#REF!</v>
      </c>
      <c r="R4600" s="5" t="e">
        <f>IF(AND(#REF!&gt;=table!$C$7,#REF!&lt;= table!$D$7),-1,IF(AND(#REF!&gt;=table!$E$7,#REF!&lt;=table!$F$7),1,0))</f>
        <v>#REF!</v>
      </c>
      <c r="S4600" s="5" t="e">
        <f>IF(AND(#REF!&gt;=table!$C$8,#REF!&lt;= table!$D$8),-1,IF(AND(#REF!&gt;=table!$E$8,#REF!&lt;=table!$F$8),1,0))</f>
        <v>#REF!</v>
      </c>
      <c r="T4600" s="5"/>
      <c r="U4600" s="5" t="e">
        <f>IF(AND(#REF!&gt;=table!$C$10,#REF!&lt;= table!$D$10),-1,IF(AND(#REF!&gt;=table!$E$10,#REF!&lt;=table!$F$10),1,0))</f>
        <v>#REF!</v>
      </c>
      <c r="V4600" s="5" t="e">
        <f>IF(AND(#REF!&gt;=table!$C$11,#REF!&lt;= table!$D$11),-1,IF(AND(#REF!&gt;=table!$E$11,#REF!&lt;=table!$F$11),1,0))</f>
        <v>#REF!</v>
      </c>
      <c r="W4600" s="5" t="e">
        <f>CONCATENATE(dados[[#This Row],[fator1]],dados[[#This Row],[fator5]],dados[[#This Row],[fator6]])</f>
        <v>#REF!</v>
      </c>
    </row>
    <row r="4601" spans="1:23">
      <c r="A4601" t="s">
        <v>17</v>
      </c>
      <c r="B4601">
        <v>590479</v>
      </c>
      <c r="C4601">
        <v>7</v>
      </c>
      <c r="D4601">
        <v>20</v>
      </c>
      <c r="E4601">
        <v>120</v>
      </c>
      <c r="F4601">
        <v>4</v>
      </c>
      <c r="G4601">
        <v>105</v>
      </c>
      <c r="H4601">
        <v>25</v>
      </c>
      <c r="I4601">
        <v>542</v>
      </c>
      <c r="J4601">
        <v>0</v>
      </c>
      <c r="K4601">
        <v>4.4729999999999999</v>
      </c>
      <c r="L4601">
        <v>11.485000000000001</v>
      </c>
      <c r="M4601">
        <v>100.706</v>
      </c>
      <c r="N4601">
        <v>20.495000000000001</v>
      </c>
      <c r="O4601">
        <v>1685</v>
      </c>
      <c r="P4601">
        <v>950</v>
      </c>
      <c r="Q4601" s="5" t="e">
        <f>IF(AND(#REF!&gt;=table!$C$6,#REF!&lt;= table!$D$6),-1,IF(AND(#REF!&gt;=table!$E$6,#REF!&lt;=table!$F$6),1,0))</f>
        <v>#REF!</v>
      </c>
      <c r="R4601" s="5" t="e">
        <f>IF(AND(#REF!&gt;=table!$C$7,#REF!&lt;= table!$D$7),-1,IF(AND(#REF!&gt;=table!$E$7,#REF!&lt;=table!$F$7),1,0))</f>
        <v>#REF!</v>
      </c>
      <c r="S4601" s="5" t="e">
        <f>IF(AND(#REF!&gt;=table!$C$8,#REF!&lt;= table!$D$8),-1,IF(AND(#REF!&gt;=table!$E$8,#REF!&lt;=table!$F$8),1,0))</f>
        <v>#REF!</v>
      </c>
      <c r="T4601" s="5"/>
      <c r="U4601" s="5" t="e">
        <f>IF(AND(#REF!&gt;=table!$C$10,#REF!&lt;= table!$D$10),-1,IF(AND(#REF!&gt;=table!$E$10,#REF!&lt;=table!$F$10),1,0))</f>
        <v>#REF!</v>
      </c>
      <c r="V4601" s="5" t="e">
        <f>IF(AND(#REF!&gt;=table!$C$11,#REF!&lt;= table!$D$11),-1,IF(AND(#REF!&gt;=table!$E$11,#REF!&lt;=table!$F$11),1,0))</f>
        <v>#REF!</v>
      </c>
      <c r="W4601" s="5" t="e">
        <f>CONCATENATE(dados[[#This Row],[fator1]],dados[[#This Row],[fator5]],dados[[#This Row],[fator6]])</f>
        <v>#REF!</v>
      </c>
    </row>
    <row r="4602" spans="1:23">
      <c r="A4602" t="s">
        <v>17</v>
      </c>
      <c r="B4602">
        <v>590480</v>
      </c>
      <c r="C4602">
        <v>14</v>
      </c>
      <c r="D4602">
        <v>30</v>
      </c>
      <c r="E4602">
        <v>86</v>
      </c>
      <c r="F4602">
        <v>9</v>
      </c>
      <c r="G4602">
        <v>20</v>
      </c>
      <c r="H4602">
        <v>25</v>
      </c>
      <c r="I4602">
        <v>370</v>
      </c>
      <c r="J4602">
        <v>0</v>
      </c>
      <c r="K4602">
        <v>8.4425000000000008</v>
      </c>
      <c r="L4602">
        <v>19.377500000000001</v>
      </c>
      <c r="M4602">
        <v>67.342500000000001</v>
      </c>
      <c r="N4602">
        <v>25.240000000000002</v>
      </c>
      <c r="O4602">
        <v>1676</v>
      </c>
      <c r="P4602">
        <v>0</v>
      </c>
      <c r="Q4602" s="5" t="e">
        <f>IF(AND(#REF!&gt;=table!$C$6,#REF!&lt;= table!$D$6),-1,IF(AND(#REF!&gt;=table!$E$6,#REF!&lt;=table!$F$6),1,0))</f>
        <v>#REF!</v>
      </c>
      <c r="R4602" s="5" t="e">
        <f>IF(AND(#REF!&gt;=table!$C$7,#REF!&lt;= table!$D$7),-1,IF(AND(#REF!&gt;=table!$E$7,#REF!&lt;=table!$F$7),1,0))</f>
        <v>#REF!</v>
      </c>
      <c r="S4602" s="5" t="e">
        <f>IF(AND(#REF!&gt;=table!$C$8,#REF!&lt;= table!$D$8),-1,IF(AND(#REF!&gt;=table!$E$8,#REF!&lt;=table!$F$8),1,0))</f>
        <v>#REF!</v>
      </c>
      <c r="T4602" s="5"/>
      <c r="U4602" s="5" t="e">
        <f>IF(AND(#REF!&gt;=table!$C$10,#REF!&lt;= table!$D$10),-1,IF(AND(#REF!&gt;=table!$E$10,#REF!&lt;=table!$F$10),1,0))</f>
        <v>#REF!</v>
      </c>
      <c r="V4602" s="5" t="e">
        <f>IF(AND(#REF!&gt;=table!$C$11,#REF!&lt;= table!$D$11),-1,IF(AND(#REF!&gt;=table!$E$11,#REF!&lt;=table!$F$11),1,0))</f>
        <v>#REF!</v>
      </c>
      <c r="W4602" s="5" t="e">
        <f>CONCATENATE(dados[[#This Row],[fator1]],dados[[#This Row],[fator5]],dados[[#This Row],[fator6]])</f>
        <v>#REF!</v>
      </c>
    </row>
    <row r="4603" spans="1:23">
      <c r="A4603" t="s">
        <v>17</v>
      </c>
      <c r="B4603">
        <v>590481</v>
      </c>
      <c r="C4603">
        <v>16</v>
      </c>
      <c r="D4603">
        <v>35</v>
      </c>
      <c r="E4603">
        <v>136</v>
      </c>
      <c r="F4603">
        <v>4</v>
      </c>
      <c r="G4603">
        <v>30</v>
      </c>
      <c r="H4603">
        <v>25</v>
      </c>
      <c r="I4603">
        <v>319</v>
      </c>
      <c r="J4603">
        <v>0</v>
      </c>
      <c r="K4603">
        <v>4.1575000000000006</v>
      </c>
      <c r="L4603">
        <v>9.9375</v>
      </c>
      <c r="M4603">
        <v>116.51650000000001</v>
      </c>
      <c r="N4603">
        <v>12.56</v>
      </c>
      <c r="O4603">
        <v>1659</v>
      </c>
      <c r="P4603">
        <v>0</v>
      </c>
      <c r="Q4603" s="5" t="e">
        <f>IF(AND(#REF!&gt;=table!$C$6,#REF!&lt;= table!$D$6),-1,IF(AND(#REF!&gt;=table!$E$6,#REF!&lt;=table!$F$6),1,0))</f>
        <v>#REF!</v>
      </c>
      <c r="R4603" s="5" t="e">
        <f>IF(AND(#REF!&gt;=table!$C$7,#REF!&lt;= table!$D$7),-1,IF(AND(#REF!&gt;=table!$E$7,#REF!&lt;=table!$F$7),1,0))</f>
        <v>#REF!</v>
      </c>
      <c r="S4603" s="5" t="e">
        <f>IF(AND(#REF!&gt;=table!$C$8,#REF!&lt;= table!$D$8),-1,IF(AND(#REF!&gt;=table!$E$8,#REF!&lt;=table!$F$8),1,0))</f>
        <v>#REF!</v>
      </c>
      <c r="T4603" s="5"/>
      <c r="U4603" s="5" t="e">
        <f>IF(AND(#REF!&gt;=table!$C$10,#REF!&lt;= table!$D$10),-1,IF(AND(#REF!&gt;=table!$E$10,#REF!&lt;=table!$F$10),1,0))</f>
        <v>#REF!</v>
      </c>
      <c r="V4603" s="5" t="e">
        <f>IF(AND(#REF!&gt;=table!$C$11,#REF!&lt;= table!$D$11),-1,IF(AND(#REF!&gt;=table!$E$11,#REF!&lt;=table!$F$11),1,0))</f>
        <v>#REF!</v>
      </c>
      <c r="W4603" s="5" t="e">
        <f>CONCATENATE(dados[[#This Row],[fator1]],dados[[#This Row],[fator5]],dados[[#This Row],[fator6]])</f>
        <v>#REF!</v>
      </c>
    </row>
    <row r="4604" spans="1:23">
      <c r="A4604" t="s">
        <v>17</v>
      </c>
      <c r="B4604">
        <v>590482</v>
      </c>
      <c r="C4604">
        <v>16</v>
      </c>
      <c r="D4604">
        <v>35</v>
      </c>
      <c r="E4604">
        <v>136</v>
      </c>
      <c r="F4604">
        <v>4</v>
      </c>
      <c r="G4604">
        <v>30</v>
      </c>
      <c r="H4604">
        <v>25</v>
      </c>
      <c r="I4604">
        <v>706</v>
      </c>
      <c r="J4604">
        <v>0</v>
      </c>
      <c r="K4604">
        <v>9.3335000000000008</v>
      </c>
      <c r="L4604">
        <v>16.868500000000001</v>
      </c>
      <c r="M4604">
        <v>124.6935</v>
      </c>
      <c r="N4604">
        <v>20.56</v>
      </c>
      <c r="O4604">
        <v>1691</v>
      </c>
      <c r="P4604">
        <v>0</v>
      </c>
      <c r="Q4604" s="5" t="e">
        <f>IF(AND(#REF!&gt;=table!$C$6,#REF!&lt;= table!$D$6),-1,IF(AND(#REF!&gt;=table!$E$6,#REF!&lt;=table!$F$6),1,0))</f>
        <v>#REF!</v>
      </c>
      <c r="R4604" s="5" t="e">
        <f>IF(AND(#REF!&gt;=table!$C$7,#REF!&lt;= table!$D$7),-1,IF(AND(#REF!&gt;=table!$E$7,#REF!&lt;=table!$F$7),1,0))</f>
        <v>#REF!</v>
      </c>
      <c r="S4604" s="5" t="e">
        <f>IF(AND(#REF!&gt;=table!$C$8,#REF!&lt;= table!$D$8),-1,IF(AND(#REF!&gt;=table!$E$8,#REF!&lt;=table!$F$8),1,0))</f>
        <v>#REF!</v>
      </c>
      <c r="T4604" s="5"/>
      <c r="U4604" s="5" t="e">
        <f>IF(AND(#REF!&gt;=table!$C$10,#REF!&lt;= table!$D$10),-1,IF(AND(#REF!&gt;=table!$E$10,#REF!&lt;=table!$F$10),1,0))</f>
        <v>#REF!</v>
      </c>
      <c r="V4604" s="5" t="e">
        <f>IF(AND(#REF!&gt;=table!$C$11,#REF!&lt;= table!$D$11),-1,IF(AND(#REF!&gt;=table!$E$11,#REF!&lt;=table!$F$11),1,0))</f>
        <v>#REF!</v>
      </c>
      <c r="W4604" s="5" t="e">
        <f>CONCATENATE(dados[[#This Row],[fator1]],dados[[#This Row],[fator5]],dados[[#This Row],[fator6]])</f>
        <v>#REF!</v>
      </c>
    </row>
    <row r="4605" spans="1:23">
      <c r="A4605" t="s">
        <v>17</v>
      </c>
      <c r="B4605">
        <v>590484</v>
      </c>
      <c r="C4605">
        <v>16</v>
      </c>
      <c r="D4605">
        <v>35</v>
      </c>
      <c r="E4605">
        <v>136</v>
      </c>
      <c r="F4605">
        <v>4</v>
      </c>
      <c r="G4605">
        <v>30</v>
      </c>
      <c r="H4605">
        <v>25</v>
      </c>
      <c r="I4605">
        <v>1473</v>
      </c>
      <c r="J4605">
        <v>0</v>
      </c>
      <c r="K4605">
        <v>6.4504999999999999</v>
      </c>
      <c r="L4605">
        <v>8.2569999999999997</v>
      </c>
      <c r="M4605">
        <v>98.3215</v>
      </c>
      <c r="N4605">
        <v>10.91</v>
      </c>
      <c r="O4605">
        <v>1667</v>
      </c>
      <c r="P4605">
        <v>543</v>
      </c>
      <c r="Q4605" s="5" t="e">
        <f>IF(AND(#REF!&gt;=table!$C$6,#REF!&lt;= table!$D$6),-1,IF(AND(#REF!&gt;=table!$E$6,#REF!&lt;=table!$F$6),1,0))</f>
        <v>#REF!</v>
      </c>
      <c r="R4605" s="5" t="e">
        <f>IF(AND(#REF!&gt;=table!$C$7,#REF!&lt;= table!$D$7),-1,IF(AND(#REF!&gt;=table!$E$7,#REF!&lt;=table!$F$7),1,0))</f>
        <v>#REF!</v>
      </c>
      <c r="S4605" s="5" t="e">
        <f>IF(AND(#REF!&gt;=table!$C$8,#REF!&lt;= table!$D$8),-1,IF(AND(#REF!&gt;=table!$E$8,#REF!&lt;=table!$F$8),1,0))</f>
        <v>#REF!</v>
      </c>
      <c r="T4605" s="5"/>
      <c r="U4605" s="5" t="e">
        <f>IF(AND(#REF!&gt;=table!$C$10,#REF!&lt;= table!$D$10),-1,IF(AND(#REF!&gt;=table!$E$10,#REF!&lt;=table!$F$10),1,0))</f>
        <v>#REF!</v>
      </c>
      <c r="V4605" s="5" t="e">
        <f>IF(AND(#REF!&gt;=table!$C$11,#REF!&lt;= table!$D$11),-1,IF(AND(#REF!&gt;=table!$E$11,#REF!&lt;=table!$F$11),1,0))</f>
        <v>#REF!</v>
      </c>
      <c r="W4605" s="5" t="e">
        <f>CONCATENATE(dados[[#This Row],[fator1]],dados[[#This Row],[fator5]],dados[[#This Row],[fator6]])</f>
        <v>#REF!</v>
      </c>
    </row>
    <row r="4606" spans="1:23">
      <c r="A4606" t="s">
        <v>17</v>
      </c>
      <c r="B4606">
        <v>590485</v>
      </c>
      <c r="C4606">
        <v>16</v>
      </c>
      <c r="D4606">
        <v>35</v>
      </c>
      <c r="E4606">
        <v>136</v>
      </c>
      <c r="F4606">
        <v>4</v>
      </c>
      <c r="G4606">
        <v>30</v>
      </c>
      <c r="H4606">
        <v>25</v>
      </c>
      <c r="I4606">
        <v>684</v>
      </c>
      <c r="J4606">
        <v>0</v>
      </c>
      <c r="K4606">
        <v>7.5820000000000007</v>
      </c>
      <c r="L4606">
        <v>12.401</v>
      </c>
      <c r="M4606">
        <v>123.47500000000001</v>
      </c>
      <c r="N4606">
        <v>12.745000000000001</v>
      </c>
      <c r="O4606">
        <v>1674</v>
      </c>
      <c r="P4606">
        <v>398</v>
      </c>
      <c r="Q4606" s="5" t="e">
        <f>IF(AND(#REF!&gt;=table!$C$6,#REF!&lt;= table!$D$6),-1,IF(AND(#REF!&gt;=table!$E$6,#REF!&lt;=table!$F$6),1,0))</f>
        <v>#REF!</v>
      </c>
      <c r="R4606" s="5" t="e">
        <f>IF(AND(#REF!&gt;=table!$C$7,#REF!&lt;= table!$D$7),-1,IF(AND(#REF!&gt;=table!$E$7,#REF!&lt;=table!$F$7),1,0))</f>
        <v>#REF!</v>
      </c>
      <c r="S4606" s="5" t="e">
        <f>IF(AND(#REF!&gt;=table!$C$8,#REF!&lt;= table!$D$8),-1,IF(AND(#REF!&gt;=table!$E$8,#REF!&lt;=table!$F$8),1,0))</f>
        <v>#REF!</v>
      </c>
      <c r="T4606" s="5"/>
      <c r="U4606" s="5" t="e">
        <f>IF(AND(#REF!&gt;=table!$C$10,#REF!&lt;= table!$D$10),-1,IF(AND(#REF!&gt;=table!$E$10,#REF!&lt;=table!$F$10),1,0))</f>
        <v>#REF!</v>
      </c>
      <c r="V4606" s="5" t="e">
        <f>IF(AND(#REF!&gt;=table!$C$11,#REF!&lt;= table!$D$11),-1,IF(AND(#REF!&gt;=table!$E$11,#REF!&lt;=table!$F$11),1,0))</f>
        <v>#REF!</v>
      </c>
      <c r="W4606" s="5" t="e">
        <f>CONCATENATE(dados[[#This Row],[fator1]],dados[[#This Row],[fator5]],dados[[#This Row],[fator6]])</f>
        <v>#REF!</v>
      </c>
    </row>
    <row r="4607" spans="1:23">
      <c r="A4607" t="s">
        <v>17</v>
      </c>
      <c r="B4607">
        <v>590486</v>
      </c>
      <c r="C4607">
        <v>16</v>
      </c>
      <c r="D4607">
        <v>35</v>
      </c>
      <c r="E4607">
        <v>136</v>
      </c>
      <c r="F4607">
        <v>4</v>
      </c>
      <c r="G4607">
        <v>30</v>
      </c>
      <c r="H4607">
        <v>25</v>
      </c>
      <c r="I4607">
        <v>3</v>
      </c>
      <c r="J4607">
        <v>0</v>
      </c>
      <c r="K4607">
        <v>8.7520000000000007</v>
      </c>
      <c r="L4607">
        <v>16.5015</v>
      </c>
      <c r="M4607">
        <v>124.4645</v>
      </c>
      <c r="N4607">
        <v>19.39</v>
      </c>
      <c r="O4607">
        <v>1672</v>
      </c>
      <c r="P4607">
        <v>401</v>
      </c>
      <c r="Q4607" s="5" t="e">
        <f>IF(AND(#REF!&gt;=table!$C$6,#REF!&lt;= table!$D$6),-1,IF(AND(#REF!&gt;=table!$E$6,#REF!&lt;=table!$F$6),1,0))</f>
        <v>#REF!</v>
      </c>
      <c r="R4607" s="5" t="e">
        <f>IF(AND(#REF!&gt;=table!$C$7,#REF!&lt;= table!$D$7),-1,IF(AND(#REF!&gt;=table!$E$7,#REF!&lt;=table!$F$7),1,0))</f>
        <v>#REF!</v>
      </c>
      <c r="S4607" s="5" t="e">
        <f>IF(AND(#REF!&gt;=table!$C$8,#REF!&lt;= table!$D$8),-1,IF(AND(#REF!&gt;=table!$E$8,#REF!&lt;=table!$F$8),1,0))</f>
        <v>#REF!</v>
      </c>
      <c r="T4607" s="5"/>
      <c r="U4607" s="5" t="e">
        <f>IF(AND(#REF!&gt;=table!$C$10,#REF!&lt;= table!$D$10),-1,IF(AND(#REF!&gt;=table!$E$10,#REF!&lt;=table!$F$10),1,0))</f>
        <v>#REF!</v>
      </c>
      <c r="V4607" s="5" t="e">
        <f>IF(AND(#REF!&gt;=table!$C$11,#REF!&lt;= table!$D$11),-1,IF(AND(#REF!&gt;=table!$E$11,#REF!&lt;=table!$F$11),1,0))</f>
        <v>#REF!</v>
      </c>
      <c r="W4607" s="5" t="e">
        <f>CONCATENATE(dados[[#This Row],[fator1]],dados[[#This Row],[fator5]],dados[[#This Row],[fator6]])</f>
        <v>#REF!</v>
      </c>
    </row>
    <row r="4608" spans="1:23">
      <c r="A4608" t="s">
        <v>17</v>
      </c>
      <c r="B4608">
        <v>590487</v>
      </c>
      <c r="C4608">
        <v>16</v>
      </c>
      <c r="D4608">
        <v>35</v>
      </c>
      <c r="E4608">
        <v>136</v>
      </c>
      <c r="F4608">
        <v>4</v>
      </c>
      <c r="G4608">
        <v>30</v>
      </c>
      <c r="H4608">
        <v>25</v>
      </c>
      <c r="I4608">
        <v>5</v>
      </c>
      <c r="J4608">
        <v>0</v>
      </c>
      <c r="K4608">
        <v>7.1390000000000002</v>
      </c>
      <c r="L4608">
        <v>12.842000000000001</v>
      </c>
      <c r="M4608">
        <v>86.909000000000006</v>
      </c>
      <c r="N4608">
        <v>15.63</v>
      </c>
      <c r="O4608">
        <v>1692</v>
      </c>
      <c r="P4608">
        <v>495</v>
      </c>
      <c r="Q4608" s="5" t="e">
        <f>IF(AND(#REF!&gt;=table!$C$6,#REF!&lt;= table!$D$6),-1,IF(AND(#REF!&gt;=table!$E$6,#REF!&lt;=table!$F$6),1,0))</f>
        <v>#REF!</v>
      </c>
      <c r="R4608" s="5" t="e">
        <f>IF(AND(#REF!&gt;=table!$C$7,#REF!&lt;= table!$D$7),-1,IF(AND(#REF!&gt;=table!$E$7,#REF!&lt;=table!$F$7),1,0))</f>
        <v>#REF!</v>
      </c>
      <c r="S4608" s="5" t="e">
        <f>IF(AND(#REF!&gt;=table!$C$8,#REF!&lt;= table!$D$8),-1,IF(AND(#REF!&gt;=table!$E$8,#REF!&lt;=table!$F$8),1,0))</f>
        <v>#REF!</v>
      </c>
      <c r="T4608" s="5"/>
      <c r="U4608" s="5" t="e">
        <f>IF(AND(#REF!&gt;=table!$C$10,#REF!&lt;= table!$D$10),-1,IF(AND(#REF!&gt;=table!$E$10,#REF!&lt;=table!$F$10),1,0))</f>
        <v>#REF!</v>
      </c>
      <c r="V4608" s="5" t="e">
        <f>IF(AND(#REF!&gt;=table!$C$11,#REF!&lt;= table!$D$11),-1,IF(AND(#REF!&gt;=table!$E$11,#REF!&lt;=table!$F$11),1,0))</f>
        <v>#REF!</v>
      </c>
      <c r="W4608" s="5" t="e">
        <f>CONCATENATE(dados[[#This Row],[fator1]],dados[[#This Row],[fator5]],dados[[#This Row],[fator6]])</f>
        <v>#REF!</v>
      </c>
    </row>
    <row r="4609" spans="1:23">
      <c r="A4609" t="s">
        <v>17</v>
      </c>
      <c r="B4609">
        <v>590489</v>
      </c>
      <c r="C4609">
        <v>20</v>
      </c>
      <c r="D4609">
        <v>18</v>
      </c>
      <c r="E4609">
        <v>36</v>
      </c>
      <c r="F4609">
        <v>6</v>
      </c>
      <c r="G4609">
        <v>20</v>
      </c>
      <c r="H4609">
        <v>25</v>
      </c>
      <c r="I4609">
        <v>25</v>
      </c>
      <c r="J4609">
        <v>890</v>
      </c>
      <c r="K4609">
        <v>10.0405</v>
      </c>
      <c r="L4609">
        <v>21.342500000000001</v>
      </c>
      <c r="M4609">
        <v>13.182500000000001</v>
      </c>
      <c r="N4609">
        <v>15.530000000000001</v>
      </c>
      <c r="O4609">
        <v>1675</v>
      </c>
      <c r="P4609">
        <v>276</v>
      </c>
      <c r="Q4609" s="5" t="e">
        <f>IF(AND(#REF!&gt;=table!$C$6,#REF!&lt;= table!$D$6),-1,IF(AND(#REF!&gt;=table!$E$6,#REF!&lt;=table!$F$6),1,0))</f>
        <v>#REF!</v>
      </c>
      <c r="R4609" s="5" t="e">
        <f>IF(AND(#REF!&gt;=table!$C$7,#REF!&lt;= table!$D$7),-1,IF(AND(#REF!&gt;=table!$E$7,#REF!&lt;=table!$F$7),1,0))</f>
        <v>#REF!</v>
      </c>
      <c r="S4609" s="5" t="e">
        <f>IF(AND(#REF!&gt;=table!$C$8,#REF!&lt;= table!$D$8),-1,IF(AND(#REF!&gt;=table!$E$8,#REF!&lt;=table!$F$8),1,0))</f>
        <v>#REF!</v>
      </c>
      <c r="T4609" s="5"/>
      <c r="U4609" s="5" t="e">
        <f>IF(AND(#REF!&gt;=table!$C$10,#REF!&lt;= table!$D$10),-1,IF(AND(#REF!&gt;=table!$E$10,#REF!&lt;=table!$F$10),1,0))</f>
        <v>#REF!</v>
      </c>
      <c r="V4609" s="5" t="e">
        <f>IF(AND(#REF!&gt;=table!$C$11,#REF!&lt;= table!$D$11),-1,IF(AND(#REF!&gt;=table!$E$11,#REF!&lt;=table!$F$11),1,0))</f>
        <v>#REF!</v>
      </c>
      <c r="W4609" s="5" t="e">
        <f>CONCATENATE(dados[[#This Row],[fator1]],dados[[#This Row],[fator5]],dados[[#This Row],[fator6]])</f>
        <v>#REF!</v>
      </c>
    </row>
    <row r="4610" spans="1:23">
      <c r="A4610" t="s">
        <v>17</v>
      </c>
      <c r="B4610">
        <v>590490</v>
      </c>
      <c r="C4610">
        <v>20</v>
      </c>
      <c r="D4610">
        <v>33</v>
      </c>
      <c r="E4610">
        <v>40</v>
      </c>
      <c r="F4610">
        <v>5</v>
      </c>
      <c r="G4610">
        <v>20</v>
      </c>
      <c r="H4610">
        <v>25</v>
      </c>
      <c r="I4610">
        <v>56</v>
      </c>
      <c r="J4610">
        <v>490</v>
      </c>
      <c r="K4610">
        <v>6.4710000000000001</v>
      </c>
      <c r="L4610">
        <v>18.218</v>
      </c>
      <c r="M4610">
        <v>39.372500000000002</v>
      </c>
      <c r="N4610">
        <v>21.09</v>
      </c>
      <c r="O4610">
        <v>1681</v>
      </c>
      <c r="P4610">
        <v>0</v>
      </c>
      <c r="Q4610" s="5" t="e">
        <f>IF(AND(#REF!&gt;=table!$C$6,#REF!&lt;= table!$D$6),-1,IF(AND(#REF!&gt;=table!$E$6,#REF!&lt;=table!$F$6),1,0))</f>
        <v>#REF!</v>
      </c>
      <c r="R4610" s="5" t="e">
        <f>IF(AND(#REF!&gt;=table!$C$7,#REF!&lt;= table!$D$7),-1,IF(AND(#REF!&gt;=table!$E$7,#REF!&lt;=table!$F$7),1,0))</f>
        <v>#REF!</v>
      </c>
      <c r="S4610" s="5" t="e">
        <f>IF(AND(#REF!&gt;=table!$C$8,#REF!&lt;= table!$D$8),-1,IF(AND(#REF!&gt;=table!$E$8,#REF!&lt;=table!$F$8),1,0))</f>
        <v>#REF!</v>
      </c>
      <c r="T4610" s="5"/>
      <c r="U4610" s="5" t="e">
        <f>IF(AND(#REF!&gt;=table!$C$10,#REF!&lt;= table!$D$10),-1,IF(AND(#REF!&gt;=table!$E$10,#REF!&lt;=table!$F$10),1,0))</f>
        <v>#REF!</v>
      </c>
      <c r="V4610" s="5" t="e">
        <f>IF(AND(#REF!&gt;=table!$C$11,#REF!&lt;= table!$D$11),-1,IF(AND(#REF!&gt;=table!$E$11,#REF!&lt;=table!$F$11),1,0))</f>
        <v>#REF!</v>
      </c>
      <c r="W4610" s="5" t="e">
        <f>CONCATENATE(dados[[#This Row],[fator1]],dados[[#This Row],[fator5]],dados[[#This Row],[fator6]])</f>
        <v>#REF!</v>
      </c>
    </row>
    <row r="4611" spans="1:23">
      <c r="A4611" t="s">
        <v>17</v>
      </c>
      <c r="B4611">
        <v>590491</v>
      </c>
      <c r="C4611">
        <v>20</v>
      </c>
      <c r="D4611">
        <v>33</v>
      </c>
      <c r="E4611">
        <v>40</v>
      </c>
      <c r="F4611">
        <v>5</v>
      </c>
      <c r="G4611">
        <v>20</v>
      </c>
      <c r="H4611">
        <v>25</v>
      </c>
      <c r="I4611">
        <v>755</v>
      </c>
      <c r="J4611">
        <v>670</v>
      </c>
      <c r="K4611">
        <v>7.3570000000000002</v>
      </c>
      <c r="L4611">
        <v>10.2765</v>
      </c>
      <c r="M4611">
        <v>32.391500000000001</v>
      </c>
      <c r="N4611">
        <v>11.405000000000001</v>
      </c>
      <c r="O4611">
        <v>1633</v>
      </c>
      <c r="P4611">
        <v>452</v>
      </c>
      <c r="Q4611" s="5" t="e">
        <f>IF(AND(#REF!&gt;=table!$C$6,#REF!&lt;= table!$D$6),-1,IF(AND(#REF!&gt;=table!$E$6,#REF!&lt;=table!$F$6),1,0))</f>
        <v>#REF!</v>
      </c>
      <c r="R4611" s="5" t="e">
        <f>IF(AND(#REF!&gt;=table!$C$7,#REF!&lt;= table!$D$7),-1,IF(AND(#REF!&gt;=table!$E$7,#REF!&lt;=table!$F$7),1,0))</f>
        <v>#REF!</v>
      </c>
      <c r="S4611" s="5" t="e">
        <f>IF(AND(#REF!&gt;=table!$C$8,#REF!&lt;= table!$D$8),-1,IF(AND(#REF!&gt;=table!$E$8,#REF!&lt;=table!$F$8),1,0))</f>
        <v>#REF!</v>
      </c>
      <c r="T4611" s="5"/>
      <c r="U4611" s="5" t="e">
        <f>IF(AND(#REF!&gt;=table!$C$10,#REF!&lt;= table!$D$10),-1,IF(AND(#REF!&gt;=table!$E$10,#REF!&lt;=table!$F$10),1,0))</f>
        <v>#REF!</v>
      </c>
      <c r="V4611" s="5" t="e">
        <f>IF(AND(#REF!&gt;=table!$C$11,#REF!&lt;= table!$D$11),-1,IF(AND(#REF!&gt;=table!$E$11,#REF!&lt;=table!$F$11),1,0))</f>
        <v>#REF!</v>
      </c>
      <c r="W4611" s="5" t="e">
        <f>CONCATENATE(dados[[#This Row],[fator1]],dados[[#This Row],[fator5]],dados[[#This Row],[fator6]])</f>
        <v>#REF!</v>
      </c>
    </row>
    <row r="4612" spans="1:23">
      <c r="A4612" t="s">
        <v>17</v>
      </c>
      <c r="B4612">
        <v>590493</v>
      </c>
      <c r="C4612">
        <v>20</v>
      </c>
      <c r="D4612">
        <v>33</v>
      </c>
      <c r="E4612">
        <v>66</v>
      </c>
      <c r="F4612">
        <v>4</v>
      </c>
      <c r="G4612">
        <v>20</v>
      </c>
      <c r="H4612">
        <v>25</v>
      </c>
      <c r="I4612">
        <v>38</v>
      </c>
      <c r="J4612">
        <v>580</v>
      </c>
      <c r="K4612">
        <v>3.8395000000000001</v>
      </c>
      <c r="L4612">
        <v>12.616000000000001</v>
      </c>
      <c r="M4612">
        <v>58.583000000000006</v>
      </c>
      <c r="N4612">
        <v>18.914999999999999</v>
      </c>
      <c r="O4612">
        <v>1714</v>
      </c>
      <c r="P4612">
        <v>1125</v>
      </c>
      <c r="Q4612" s="5" t="e">
        <f>IF(AND(#REF!&gt;=table!$C$6,#REF!&lt;= table!$D$6),-1,IF(AND(#REF!&gt;=table!$E$6,#REF!&lt;=table!$F$6),1,0))</f>
        <v>#REF!</v>
      </c>
      <c r="R4612" s="5" t="e">
        <f>IF(AND(#REF!&gt;=table!$C$7,#REF!&lt;= table!$D$7),-1,IF(AND(#REF!&gt;=table!$E$7,#REF!&lt;=table!$F$7),1,0))</f>
        <v>#REF!</v>
      </c>
      <c r="S4612" s="5" t="e">
        <f>IF(AND(#REF!&gt;=table!$C$8,#REF!&lt;= table!$D$8),-1,IF(AND(#REF!&gt;=table!$E$8,#REF!&lt;=table!$F$8),1,0))</f>
        <v>#REF!</v>
      </c>
      <c r="T4612" s="5"/>
      <c r="U4612" s="5" t="e">
        <f>IF(AND(#REF!&gt;=table!$C$10,#REF!&lt;= table!$D$10),-1,IF(AND(#REF!&gt;=table!$E$10,#REF!&lt;=table!$F$10),1,0))</f>
        <v>#REF!</v>
      </c>
      <c r="V4612" s="5" t="e">
        <f>IF(AND(#REF!&gt;=table!$C$11,#REF!&lt;= table!$D$11),-1,IF(AND(#REF!&gt;=table!$E$11,#REF!&lt;=table!$F$11),1,0))</f>
        <v>#REF!</v>
      </c>
      <c r="W4612" s="5" t="e">
        <f>CONCATENATE(dados[[#This Row],[fator1]],dados[[#This Row],[fator5]],dados[[#This Row],[fator6]])</f>
        <v>#REF!</v>
      </c>
    </row>
    <row r="4613" spans="1:23">
      <c r="A4613" t="s">
        <v>17</v>
      </c>
      <c r="B4613">
        <v>590495</v>
      </c>
      <c r="C4613">
        <v>20</v>
      </c>
      <c r="D4613">
        <v>33</v>
      </c>
      <c r="E4613">
        <v>66</v>
      </c>
      <c r="F4613">
        <v>4</v>
      </c>
      <c r="G4613">
        <v>20</v>
      </c>
      <c r="H4613">
        <v>25</v>
      </c>
      <c r="I4613">
        <v>76</v>
      </c>
      <c r="J4613">
        <v>0</v>
      </c>
      <c r="K4613">
        <v>6.3450000000000006</v>
      </c>
      <c r="L4613">
        <v>13.820500000000001</v>
      </c>
      <c r="M4613">
        <v>41.235500000000002</v>
      </c>
      <c r="N4613">
        <v>17.085000000000001</v>
      </c>
      <c r="O4613">
        <v>1685</v>
      </c>
      <c r="P4613">
        <v>0</v>
      </c>
      <c r="Q4613" s="5" t="e">
        <f>IF(AND(#REF!&gt;=table!$C$6,#REF!&lt;= table!$D$6),-1,IF(AND(#REF!&gt;=table!$E$6,#REF!&lt;=table!$F$6),1,0))</f>
        <v>#REF!</v>
      </c>
      <c r="R4613" s="5" t="e">
        <f>IF(AND(#REF!&gt;=table!$C$7,#REF!&lt;= table!$D$7),-1,IF(AND(#REF!&gt;=table!$E$7,#REF!&lt;=table!$F$7),1,0))</f>
        <v>#REF!</v>
      </c>
      <c r="S4613" s="5" t="e">
        <f>IF(AND(#REF!&gt;=table!$C$8,#REF!&lt;= table!$D$8),-1,IF(AND(#REF!&gt;=table!$E$8,#REF!&lt;=table!$F$8),1,0))</f>
        <v>#REF!</v>
      </c>
      <c r="T4613" s="5"/>
      <c r="U4613" s="5" t="e">
        <f>IF(AND(#REF!&gt;=table!$C$10,#REF!&lt;= table!$D$10),-1,IF(AND(#REF!&gt;=table!$E$10,#REF!&lt;=table!$F$10),1,0))</f>
        <v>#REF!</v>
      </c>
      <c r="V4613" s="5" t="e">
        <f>IF(AND(#REF!&gt;=table!$C$11,#REF!&lt;= table!$D$11),-1,IF(AND(#REF!&gt;=table!$E$11,#REF!&lt;=table!$F$11),1,0))</f>
        <v>#REF!</v>
      </c>
      <c r="W4613" s="5" t="e">
        <f>CONCATENATE(dados[[#This Row],[fator1]],dados[[#This Row],[fator5]],dados[[#This Row],[fator6]])</f>
        <v>#REF!</v>
      </c>
    </row>
    <row r="4614" spans="1:23">
      <c r="A4614" t="s">
        <v>16</v>
      </c>
      <c r="B4614">
        <v>590499</v>
      </c>
      <c r="C4614">
        <v>6</v>
      </c>
      <c r="D4614">
        <v>30</v>
      </c>
      <c r="E4614">
        <v>40</v>
      </c>
      <c r="F4614">
        <v>15</v>
      </c>
      <c r="G4614">
        <v>0</v>
      </c>
      <c r="H4614">
        <v>25</v>
      </c>
      <c r="I4614">
        <v>280</v>
      </c>
      <c r="J4614">
        <v>0</v>
      </c>
      <c r="K4614">
        <v>11.136000000000001</v>
      </c>
      <c r="L4614">
        <v>17.168500000000002</v>
      </c>
      <c r="M4614">
        <v>15.529500000000001</v>
      </c>
      <c r="N4614">
        <v>14.365</v>
      </c>
      <c r="O4614">
        <v>1672</v>
      </c>
      <c r="P4614">
        <v>372</v>
      </c>
      <c r="Q4614" s="5" t="e">
        <f>IF(AND(#REF!&gt;=table!$C$6,#REF!&lt;= table!$D$6),-1,IF(AND(#REF!&gt;=table!$E$6,#REF!&lt;=table!$F$6),1,0))</f>
        <v>#REF!</v>
      </c>
      <c r="R4614" s="5" t="e">
        <f>IF(AND(#REF!&gt;=table!$C$7,#REF!&lt;= table!$D$7),-1,IF(AND(#REF!&gt;=table!$E$7,#REF!&lt;=table!$F$7),1,0))</f>
        <v>#REF!</v>
      </c>
      <c r="S4614" s="5" t="e">
        <f>IF(AND(#REF!&gt;=table!$C$8,#REF!&lt;= table!$D$8),-1,IF(AND(#REF!&gt;=table!$E$8,#REF!&lt;=table!$F$8),1,0))</f>
        <v>#REF!</v>
      </c>
      <c r="T4614" s="5"/>
      <c r="U4614" s="5" t="e">
        <f>IF(AND(#REF!&gt;=table!$C$10,#REF!&lt;= table!$D$10),-1,IF(AND(#REF!&gt;=table!$E$10,#REF!&lt;=table!$F$10),1,0))</f>
        <v>#REF!</v>
      </c>
      <c r="V4614" s="5" t="e">
        <f>IF(AND(#REF!&gt;=table!$C$11,#REF!&lt;= table!$D$11),-1,IF(AND(#REF!&gt;=table!$E$11,#REF!&lt;=table!$F$11),1,0))</f>
        <v>#REF!</v>
      </c>
      <c r="W4614" s="5" t="e">
        <f>CONCATENATE(dados[[#This Row],[fator1]],dados[[#This Row],[fator5]],dados[[#This Row],[fator6]])</f>
        <v>#REF!</v>
      </c>
    </row>
    <row r="4615" spans="1:23">
      <c r="A4615" t="s">
        <v>16</v>
      </c>
      <c r="B4615">
        <v>590503</v>
      </c>
      <c r="C4615">
        <v>9</v>
      </c>
      <c r="D4615">
        <v>27</v>
      </c>
      <c r="E4615">
        <v>36</v>
      </c>
      <c r="F4615">
        <v>8</v>
      </c>
      <c r="G4615">
        <v>0</v>
      </c>
      <c r="H4615">
        <v>25</v>
      </c>
      <c r="I4615">
        <v>1</v>
      </c>
      <c r="J4615">
        <v>0</v>
      </c>
      <c r="K4615">
        <v>7.9810000000000008</v>
      </c>
      <c r="L4615">
        <v>15.987500000000001</v>
      </c>
      <c r="M4615">
        <v>35.558</v>
      </c>
      <c r="N4615">
        <v>18.75</v>
      </c>
      <c r="O4615">
        <v>1676</v>
      </c>
      <c r="P4615">
        <v>504</v>
      </c>
      <c r="Q4615" s="5" t="e">
        <f>IF(AND(#REF!&gt;=table!$C$6,#REF!&lt;= table!$D$6),-1,IF(AND(#REF!&gt;=table!$E$6,#REF!&lt;=table!$F$6),1,0))</f>
        <v>#REF!</v>
      </c>
      <c r="R4615" s="5" t="e">
        <f>IF(AND(#REF!&gt;=table!$C$7,#REF!&lt;= table!$D$7),-1,IF(AND(#REF!&gt;=table!$E$7,#REF!&lt;=table!$F$7),1,0))</f>
        <v>#REF!</v>
      </c>
      <c r="S4615" s="5" t="e">
        <f>IF(AND(#REF!&gt;=table!$C$8,#REF!&lt;= table!$D$8),-1,IF(AND(#REF!&gt;=table!$E$8,#REF!&lt;=table!$F$8),1,0))</f>
        <v>#REF!</v>
      </c>
      <c r="T4615" s="5"/>
      <c r="U4615" s="5" t="e">
        <f>IF(AND(#REF!&gt;=table!$C$10,#REF!&lt;= table!$D$10),-1,IF(AND(#REF!&gt;=table!$E$10,#REF!&lt;=table!$F$10),1,0))</f>
        <v>#REF!</v>
      </c>
      <c r="V4615" s="5" t="e">
        <f>IF(AND(#REF!&gt;=table!$C$11,#REF!&lt;= table!$D$11),-1,IF(AND(#REF!&gt;=table!$E$11,#REF!&lt;=table!$F$11),1,0))</f>
        <v>#REF!</v>
      </c>
      <c r="W4615" s="5" t="e">
        <f>CONCATENATE(dados[[#This Row],[fator1]],dados[[#This Row],[fator5]],dados[[#This Row],[fator6]])</f>
        <v>#REF!</v>
      </c>
    </row>
    <row r="4616" spans="1:23">
      <c r="A4616" t="s">
        <v>16</v>
      </c>
      <c r="B4616">
        <v>590507</v>
      </c>
      <c r="C4616">
        <v>8</v>
      </c>
      <c r="D4616">
        <v>30</v>
      </c>
      <c r="E4616">
        <v>61</v>
      </c>
      <c r="F4616">
        <v>9</v>
      </c>
      <c r="G4616">
        <v>0</v>
      </c>
      <c r="H4616">
        <v>25</v>
      </c>
      <c r="I4616">
        <v>541</v>
      </c>
      <c r="J4616">
        <v>0</v>
      </c>
      <c r="K4616">
        <v>6.6120000000000001</v>
      </c>
      <c r="L4616">
        <v>10.4975</v>
      </c>
      <c r="M4616">
        <v>35.968499999999999</v>
      </c>
      <c r="N4616">
        <v>15.19</v>
      </c>
      <c r="O4616">
        <v>1683</v>
      </c>
      <c r="P4616">
        <v>578</v>
      </c>
      <c r="Q4616" s="5" t="e">
        <f>IF(AND(#REF!&gt;=table!$C$6,#REF!&lt;= table!$D$6),-1,IF(AND(#REF!&gt;=table!$E$6,#REF!&lt;=table!$F$6),1,0))</f>
        <v>#REF!</v>
      </c>
      <c r="R4616" s="5" t="e">
        <f>IF(AND(#REF!&gt;=table!$C$7,#REF!&lt;= table!$D$7),-1,IF(AND(#REF!&gt;=table!$E$7,#REF!&lt;=table!$F$7),1,0))</f>
        <v>#REF!</v>
      </c>
      <c r="S4616" s="5" t="e">
        <f>IF(AND(#REF!&gt;=table!$C$8,#REF!&lt;= table!$D$8),-1,IF(AND(#REF!&gt;=table!$E$8,#REF!&lt;=table!$F$8),1,0))</f>
        <v>#REF!</v>
      </c>
      <c r="T4616" s="5"/>
      <c r="U4616" s="5" t="e">
        <f>IF(AND(#REF!&gt;=table!$C$10,#REF!&lt;= table!$D$10),-1,IF(AND(#REF!&gt;=table!$E$10,#REF!&lt;=table!$F$10),1,0))</f>
        <v>#REF!</v>
      </c>
      <c r="V4616" s="5" t="e">
        <f>IF(AND(#REF!&gt;=table!$C$11,#REF!&lt;= table!$D$11),-1,IF(AND(#REF!&gt;=table!$E$11,#REF!&lt;=table!$F$11),1,0))</f>
        <v>#REF!</v>
      </c>
      <c r="W4616" s="5" t="e">
        <f>CONCATENATE(dados[[#This Row],[fator1]],dados[[#This Row],[fator5]],dados[[#This Row],[fator6]])</f>
        <v>#REF!</v>
      </c>
    </row>
    <row r="4617" spans="1:23">
      <c r="A4617" t="s">
        <v>16</v>
      </c>
      <c r="B4617">
        <v>590509</v>
      </c>
      <c r="C4617">
        <v>10</v>
      </c>
      <c r="D4617">
        <v>38</v>
      </c>
      <c r="E4617">
        <v>150</v>
      </c>
      <c r="F4617">
        <v>4</v>
      </c>
      <c r="G4617">
        <v>0</v>
      </c>
      <c r="H4617">
        <v>25</v>
      </c>
      <c r="I4617">
        <v>94</v>
      </c>
      <c r="J4617">
        <v>0</v>
      </c>
      <c r="K4617">
        <v>4.9950000000000001</v>
      </c>
      <c r="L4617">
        <v>7.4315000000000007</v>
      </c>
      <c r="M4617">
        <v>69.739500000000007</v>
      </c>
      <c r="N4617">
        <v>12.47</v>
      </c>
      <c r="O4617">
        <v>1664</v>
      </c>
      <c r="P4617">
        <v>911</v>
      </c>
      <c r="Q4617" s="5" t="e">
        <f>IF(AND(#REF!&gt;=table!$C$6,#REF!&lt;= table!$D$6),-1,IF(AND(#REF!&gt;=table!$E$6,#REF!&lt;=table!$F$6),1,0))</f>
        <v>#REF!</v>
      </c>
      <c r="R4617" s="5" t="e">
        <f>IF(AND(#REF!&gt;=table!$C$7,#REF!&lt;= table!$D$7),-1,IF(AND(#REF!&gt;=table!$E$7,#REF!&lt;=table!$F$7),1,0))</f>
        <v>#REF!</v>
      </c>
      <c r="S4617" s="5" t="e">
        <f>IF(AND(#REF!&gt;=table!$C$8,#REF!&lt;= table!$D$8),-1,IF(AND(#REF!&gt;=table!$E$8,#REF!&lt;=table!$F$8),1,0))</f>
        <v>#REF!</v>
      </c>
      <c r="T4617" s="5"/>
      <c r="U4617" s="5" t="e">
        <f>IF(AND(#REF!&gt;=table!$C$10,#REF!&lt;= table!$D$10),-1,IF(AND(#REF!&gt;=table!$E$10,#REF!&lt;=table!$F$10),1,0))</f>
        <v>#REF!</v>
      </c>
      <c r="V4617" s="5" t="e">
        <f>IF(AND(#REF!&gt;=table!$C$11,#REF!&lt;= table!$D$11),-1,IF(AND(#REF!&gt;=table!$E$11,#REF!&lt;=table!$F$11),1,0))</f>
        <v>#REF!</v>
      </c>
      <c r="W4617" s="5" t="e">
        <f>CONCATENATE(dados[[#This Row],[fator1]],dados[[#This Row],[fator5]],dados[[#This Row],[fator6]])</f>
        <v>#REF!</v>
      </c>
    </row>
    <row r="4618" spans="1:23">
      <c r="A4618" t="s">
        <v>16</v>
      </c>
      <c r="B4618">
        <v>590510</v>
      </c>
      <c r="C4618">
        <v>10</v>
      </c>
      <c r="D4618">
        <v>38</v>
      </c>
      <c r="E4618">
        <v>150</v>
      </c>
      <c r="F4618">
        <v>4</v>
      </c>
      <c r="G4618">
        <v>0</v>
      </c>
      <c r="H4618">
        <v>25</v>
      </c>
      <c r="I4618">
        <v>25</v>
      </c>
      <c r="J4618">
        <v>0</v>
      </c>
      <c r="K4618">
        <v>5.2709999999999999</v>
      </c>
      <c r="L4618">
        <v>13.368500000000001</v>
      </c>
      <c r="M4618">
        <v>132.804</v>
      </c>
      <c r="N4618">
        <v>18.914999999999999</v>
      </c>
      <c r="O4618">
        <v>1682</v>
      </c>
      <c r="P4618">
        <v>0</v>
      </c>
      <c r="Q4618" s="5" t="e">
        <f>IF(AND(#REF!&gt;=table!$C$6,#REF!&lt;= table!$D$6),-1,IF(AND(#REF!&gt;=table!$E$6,#REF!&lt;=table!$F$6),1,0))</f>
        <v>#REF!</v>
      </c>
      <c r="R4618" s="5" t="e">
        <f>IF(AND(#REF!&gt;=table!$C$7,#REF!&lt;= table!$D$7),-1,IF(AND(#REF!&gt;=table!$E$7,#REF!&lt;=table!$F$7),1,0))</f>
        <v>#REF!</v>
      </c>
      <c r="S4618" s="5" t="e">
        <f>IF(AND(#REF!&gt;=table!$C$8,#REF!&lt;= table!$D$8),-1,IF(AND(#REF!&gt;=table!$E$8,#REF!&lt;=table!$F$8),1,0))</f>
        <v>#REF!</v>
      </c>
      <c r="T4618" s="5"/>
      <c r="U4618" s="5" t="e">
        <f>IF(AND(#REF!&gt;=table!$C$10,#REF!&lt;= table!$D$10),-1,IF(AND(#REF!&gt;=table!$E$10,#REF!&lt;=table!$F$10),1,0))</f>
        <v>#REF!</v>
      </c>
      <c r="V4618" s="5" t="e">
        <f>IF(AND(#REF!&gt;=table!$C$11,#REF!&lt;= table!$D$11),-1,IF(AND(#REF!&gt;=table!$E$11,#REF!&lt;=table!$F$11),1,0))</f>
        <v>#REF!</v>
      </c>
      <c r="W4618" s="5" t="e">
        <f>CONCATENATE(dados[[#This Row],[fator1]],dados[[#This Row],[fator5]],dados[[#This Row],[fator6]])</f>
        <v>#REF!</v>
      </c>
    </row>
    <row r="4619" spans="1:23">
      <c r="A4619" t="s">
        <v>16</v>
      </c>
      <c r="B4619">
        <v>590514</v>
      </c>
      <c r="C4619">
        <v>3</v>
      </c>
      <c r="D4619">
        <v>30</v>
      </c>
      <c r="E4619">
        <v>21</v>
      </c>
      <c r="F4619">
        <v>15</v>
      </c>
      <c r="G4619">
        <v>0</v>
      </c>
      <c r="H4619">
        <v>25</v>
      </c>
      <c r="I4619">
        <v>90</v>
      </c>
      <c r="J4619">
        <v>0</v>
      </c>
      <c r="K4619">
        <v>8.3765000000000001</v>
      </c>
      <c r="L4619">
        <v>8.3360000000000003</v>
      </c>
      <c r="M4619">
        <v>7.7355</v>
      </c>
      <c r="N4619">
        <v>7.4450000000000003</v>
      </c>
      <c r="O4619">
        <v>1656</v>
      </c>
      <c r="P4619">
        <v>2478</v>
      </c>
      <c r="Q4619" s="5" t="e">
        <f>IF(AND(#REF!&gt;=table!$C$6,#REF!&lt;= table!$D$6),-1,IF(AND(#REF!&gt;=table!$E$6,#REF!&lt;=table!$F$6),1,0))</f>
        <v>#REF!</v>
      </c>
      <c r="R4619" s="5" t="e">
        <f>IF(AND(#REF!&gt;=table!$C$7,#REF!&lt;= table!$D$7),-1,IF(AND(#REF!&gt;=table!$E$7,#REF!&lt;=table!$F$7),1,0))</f>
        <v>#REF!</v>
      </c>
      <c r="S4619" s="5" t="e">
        <f>IF(AND(#REF!&gt;=table!$C$8,#REF!&lt;= table!$D$8),-1,IF(AND(#REF!&gt;=table!$E$8,#REF!&lt;=table!$F$8),1,0))</f>
        <v>#REF!</v>
      </c>
      <c r="T4619" s="5"/>
      <c r="U4619" s="5" t="e">
        <f>IF(AND(#REF!&gt;=table!$C$10,#REF!&lt;= table!$D$10),-1,IF(AND(#REF!&gt;=table!$E$10,#REF!&lt;=table!$F$10),1,0))</f>
        <v>#REF!</v>
      </c>
      <c r="V4619" s="5" t="e">
        <f>IF(AND(#REF!&gt;=table!$C$11,#REF!&lt;= table!$D$11),-1,IF(AND(#REF!&gt;=table!$E$11,#REF!&lt;=table!$F$11),1,0))</f>
        <v>#REF!</v>
      </c>
      <c r="W4619" s="5" t="e">
        <f>CONCATENATE(dados[[#This Row],[fator1]],dados[[#This Row],[fator5]],dados[[#This Row],[fator6]])</f>
        <v>#REF!</v>
      </c>
    </row>
    <row r="4620" spans="1:23">
      <c r="A4620" t="s">
        <v>16</v>
      </c>
      <c r="B4620">
        <v>590517</v>
      </c>
      <c r="C4620">
        <v>0.15</v>
      </c>
      <c r="D4620">
        <v>40</v>
      </c>
      <c r="E4620">
        <v>10</v>
      </c>
      <c r="F4620">
        <v>15</v>
      </c>
      <c r="G4620">
        <v>0</v>
      </c>
      <c r="H4620">
        <v>15</v>
      </c>
      <c r="I4620">
        <v>632</v>
      </c>
      <c r="J4620">
        <v>0</v>
      </c>
      <c r="K4620">
        <v>5.1074999999999999</v>
      </c>
      <c r="L4620">
        <v>7.0680000000000005</v>
      </c>
      <c r="M4620">
        <v>6.9050000000000002</v>
      </c>
      <c r="N4620">
        <v>10.125</v>
      </c>
      <c r="O4620">
        <v>1654</v>
      </c>
      <c r="P4620">
        <v>721</v>
      </c>
      <c r="Q4620" s="5" t="e">
        <f>IF(AND(#REF!&gt;=table!$C$6,#REF!&lt;= table!$D$6),-1,IF(AND(#REF!&gt;=table!$E$6,#REF!&lt;=table!$F$6),1,0))</f>
        <v>#REF!</v>
      </c>
      <c r="R4620" s="5" t="e">
        <f>IF(AND(#REF!&gt;=table!$C$7,#REF!&lt;= table!$D$7),-1,IF(AND(#REF!&gt;=table!$E$7,#REF!&lt;=table!$F$7),1,0))</f>
        <v>#REF!</v>
      </c>
      <c r="S4620" s="5" t="e">
        <f>IF(AND(#REF!&gt;=table!$C$8,#REF!&lt;= table!$D$8),-1,IF(AND(#REF!&gt;=table!$E$8,#REF!&lt;=table!$F$8),1,0))</f>
        <v>#REF!</v>
      </c>
      <c r="T4620" s="5"/>
      <c r="U4620" s="5" t="e">
        <f>IF(AND(#REF!&gt;=table!$C$10,#REF!&lt;= table!$D$10),-1,IF(AND(#REF!&gt;=table!$E$10,#REF!&lt;=table!$F$10),1,0))</f>
        <v>#REF!</v>
      </c>
      <c r="V4620" s="5" t="e">
        <f>IF(AND(#REF!&gt;=table!$C$11,#REF!&lt;= table!$D$11),-1,IF(AND(#REF!&gt;=table!$E$11,#REF!&lt;=table!$F$11),1,0))</f>
        <v>#REF!</v>
      </c>
      <c r="W4620" s="5" t="e">
        <f>CONCATENATE(dados[[#This Row],[fator1]],dados[[#This Row],[fator5]],dados[[#This Row],[fator6]])</f>
        <v>#REF!</v>
      </c>
    </row>
    <row r="4621" spans="1:23">
      <c r="A4621" t="s">
        <v>16</v>
      </c>
      <c r="B4621">
        <v>590522</v>
      </c>
      <c r="C4621">
        <v>9</v>
      </c>
      <c r="D4621">
        <v>27</v>
      </c>
      <c r="E4621">
        <v>36</v>
      </c>
      <c r="F4621">
        <v>8</v>
      </c>
      <c r="G4621">
        <v>0</v>
      </c>
      <c r="H4621">
        <v>25</v>
      </c>
      <c r="I4621">
        <v>531</v>
      </c>
      <c r="J4621">
        <v>0</v>
      </c>
      <c r="K4621">
        <v>4.4625000000000004</v>
      </c>
      <c r="L4621">
        <v>9.9135000000000009</v>
      </c>
      <c r="M4621">
        <v>32.298999999999999</v>
      </c>
      <c r="N4621">
        <v>14.08</v>
      </c>
      <c r="O4621">
        <v>1680</v>
      </c>
      <c r="P4621">
        <v>986</v>
      </c>
      <c r="Q4621" s="5" t="e">
        <f>IF(AND(#REF!&gt;=table!$C$6,#REF!&lt;= table!$D$6),-1,IF(AND(#REF!&gt;=table!$E$6,#REF!&lt;=table!$F$6),1,0))</f>
        <v>#REF!</v>
      </c>
      <c r="R4621" s="5" t="e">
        <f>IF(AND(#REF!&gt;=table!$C$7,#REF!&lt;= table!$D$7),-1,IF(AND(#REF!&gt;=table!$E$7,#REF!&lt;=table!$F$7),1,0))</f>
        <v>#REF!</v>
      </c>
      <c r="S4621" s="5" t="e">
        <f>IF(AND(#REF!&gt;=table!$C$8,#REF!&lt;= table!$D$8),-1,IF(AND(#REF!&gt;=table!$E$8,#REF!&lt;=table!$F$8),1,0))</f>
        <v>#REF!</v>
      </c>
      <c r="T4621" s="5"/>
      <c r="U4621" s="5" t="e">
        <f>IF(AND(#REF!&gt;=table!$C$10,#REF!&lt;= table!$D$10),-1,IF(AND(#REF!&gt;=table!$E$10,#REF!&lt;=table!$F$10),1,0))</f>
        <v>#REF!</v>
      </c>
      <c r="V4621" s="5" t="e">
        <f>IF(AND(#REF!&gt;=table!$C$11,#REF!&lt;= table!$D$11),-1,IF(AND(#REF!&gt;=table!$E$11,#REF!&lt;=table!$F$11),1,0))</f>
        <v>#REF!</v>
      </c>
      <c r="W4621" s="5" t="e">
        <f>CONCATENATE(dados[[#This Row],[fator1]],dados[[#This Row],[fator5]],dados[[#This Row],[fator6]])</f>
        <v>#REF!</v>
      </c>
    </row>
    <row r="4622" spans="1:23">
      <c r="A4622" t="s">
        <v>16</v>
      </c>
      <c r="B4622">
        <v>590524</v>
      </c>
      <c r="C4622">
        <v>7</v>
      </c>
      <c r="D4622">
        <v>33</v>
      </c>
      <c r="E4622">
        <v>153</v>
      </c>
      <c r="F4622">
        <v>4</v>
      </c>
      <c r="G4622">
        <v>0</v>
      </c>
      <c r="H4622">
        <v>25</v>
      </c>
      <c r="I4622">
        <v>1394</v>
      </c>
      <c r="J4622">
        <v>580</v>
      </c>
      <c r="K4622">
        <v>5.6660000000000004</v>
      </c>
      <c r="L4622">
        <v>15.0115</v>
      </c>
      <c r="M4622">
        <v>86.400500000000008</v>
      </c>
      <c r="N4622">
        <v>19.645</v>
      </c>
      <c r="O4622">
        <v>1685</v>
      </c>
      <c r="P4622">
        <v>0</v>
      </c>
      <c r="Q4622" s="5" t="e">
        <f>IF(AND(#REF!&gt;=table!$C$6,#REF!&lt;= table!$D$6),-1,IF(AND(#REF!&gt;=table!$E$6,#REF!&lt;=table!$F$6),1,0))</f>
        <v>#REF!</v>
      </c>
      <c r="R4622" s="5" t="e">
        <f>IF(AND(#REF!&gt;=table!$C$7,#REF!&lt;= table!$D$7),-1,IF(AND(#REF!&gt;=table!$E$7,#REF!&lt;=table!$F$7),1,0))</f>
        <v>#REF!</v>
      </c>
      <c r="S4622" s="5" t="e">
        <f>IF(AND(#REF!&gt;=table!$C$8,#REF!&lt;= table!$D$8),-1,IF(AND(#REF!&gt;=table!$E$8,#REF!&lt;=table!$F$8),1,0))</f>
        <v>#REF!</v>
      </c>
      <c r="T4622" s="5"/>
      <c r="U4622" s="5" t="e">
        <f>IF(AND(#REF!&gt;=table!$C$10,#REF!&lt;= table!$D$10),-1,IF(AND(#REF!&gt;=table!$E$10,#REF!&lt;=table!$F$10),1,0))</f>
        <v>#REF!</v>
      </c>
      <c r="V4622" s="5" t="e">
        <f>IF(AND(#REF!&gt;=table!$C$11,#REF!&lt;= table!$D$11),-1,IF(AND(#REF!&gt;=table!$E$11,#REF!&lt;=table!$F$11),1,0))</f>
        <v>#REF!</v>
      </c>
      <c r="W4622" s="5" t="e">
        <f>CONCATENATE(dados[[#This Row],[fator1]],dados[[#This Row],[fator5]],dados[[#This Row],[fator6]])</f>
        <v>#REF!</v>
      </c>
    </row>
    <row r="4623" spans="1:23">
      <c r="A4623" t="s">
        <v>16</v>
      </c>
      <c r="B4623">
        <v>590525</v>
      </c>
      <c r="C4623">
        <v>7</v>
      </c>
      <c r="D4623">
        <v>33</v>
      </c>
      <c r="E4623">
        <v>153</v>
      </c>
      <c r="F4623">
        <v>4</v>
      </c>
      <c r="G4623">
        <v>0</v>
      </c>
      <c r="H4623">
        <v>25</v>
      </c>
      <c r="I4623">
        <v>458</v>
      </c>
      <c r="J4623">
        <v>0</v>
      </c>
      <c r="K4623">
        <v>3.4740000000000002</v>
      </c>
      <c r="L4623">
        <v>10.621500000000001</v>
      </c>
      <c r="M4623">
        <v>138.09300000000002</v>
      </c>
      <c r="N4623">
        <v>16.095000000000002</v>
      </c>
      <c r="O4623">
        <v>1683</v>
      </c>
      <c r="P4623">
        <v>1066</v>
      </c>
      <c r="Q4623" s="5" t="e">
        <f>IF(AND(#REF!&gt;=table!$C$6,#REF!&lt;= table!$D$6),-1,IF(AND(#REF!&gt;=table!$E$6,#REF!&lt;=table!$F$6),1,0))</f>
        <v>#REF!</v>
      </c>
      <c r="R4623" s="5" t="e">
        <f>IF(AND(#REF!&gt;=table!$C$7,#REF!&lt;= table!$D$7),-1,IF(AND(#REF!&gt;=table!$E$7,#REF!&lt;=table!$F$7),1,0))</f>
        <v>#REF!</v>
      </c>
      <c r="S4623" s="5" t="e">
        <f>IF(AND(#REF!&gt;=table!$C$8,#REF!&lt;= table!$D$8),-1,IF(AND(#REF!&gt;=table!$E$8,#REF!&lt;=table!$F$8),1,0))</f>
        <v>#REF!</v>
      </c>
      <c r="T4623" s="5"/>
      <c r="U4623" s="5" t="e">
        <f>IF(AND(#REF!&gt;=table!$C$10,#REF!&lt;= table!$D$10),-1,IF(AND(#REF!&gt;=table!$E$10,#REF!&lt;=table!$F$10),1,0))</f>
        <v>#REF!</v>
      </c>
      <c r="V4623" s="5" t="e">
        <f>IF(AND(#REF!&gt;=table!$C$11,#REF!&lt;= table!$D$11),-1,IF(AND(#REF!&gt;=table!$E$11,#REF!&lt;=table!$F$11),1,0))</f>
        <v>#REF!</v>
      </c>
      <c r="W4623" s="5" t="e">
        <f>CONCATENATE(dados[[#This Row],[fator1]],dados[[#This Row],[fator5]],dados[[#This Row],[fator6]])</f>
        <v>#REF!</v>
      </c>
    </row>
    <row r="4624" spans="1:23">
      <c r="A4624" t="s">
        <v>16</v>
      </c>
      <c r="B4624">
        <v>590530</v>
      </c>
      <c r="C4624">
        <v>9</v>
      </c>
      <c r="D4624">
        <v>40</v>
      </c>
      <c r="E4624">
        <v>125</v>
      </c>
      <c r="F4624">
        <v>6</v>
      </c>
      <c r="G4624">
        <v>0</v>
      </c>
      <c r="H4624">
        <v>25</v>
      </c>
      <c r="I4624">
        <v>870</v>
      </c>
      <c r="J4624">
        <v>0</v>
      </c>
      <c r="K4624">
        <v>4.4474999999999998</v>
      </c>
      <c r="L4624">
        <v>10.1165</v>
      </c>
      <c r="M4624">
        <v>104.13050000000001</v>
      </c>
      <c r="N4624">
        <v>16.600000000000001</v>
      </c>
      <c r="O4624">
        <v>1678</v>
      </c>
      <c r="P4624">
        <v>0</v>
      </c>
      <c r="Q4624" s="5" t="e">
        <f>IF(AND(#REF!&gt;=table!$C$6,#REF!&lt;= table!$D$6),-1,IF(AND(#REF!&gt;=table!$E$6,#REF!&lt;=table!$F$6),1,0))</f>
        <v>#REF!</v>
      </c>
      <c r="R4624" s="5" t="e">
        <f>IF(AND(#REF!&gt;=table!$C$7,#REF!&lt;= table!$D$7),-1,IF(AND(#REF!&gt;=table!$E$7,#REF!&lt;=table!$F$7),1,0))</f>
        <v>#REF!</v>
      </c>
      <c r="S4624" s="5" t="e">
        <f>IF(AND(#REF!&gt;=table!$C$8,#REF!&lt;= table!$D$8),-1,IF(AND(#REF!&gt;=table!$E$8,#REF!&lt;=table!$F$8),1,0))</f>
        <v>#REF!</v>
      </c>
      <c r="T4624" s="5"/>
      <c r="U4624" s="5" t="e">
        <f>IF(AND(#REF!&gt;=table!$C$10,#REF!&lt;= table!$D$10),-1,IF(AND(#REF!&gt;=table!$E$10,#REF!&lt;=table!$F$10),1,0))</f>
        <v>#REF!</v>
      </c>
      <c r="V4624" s="5" t="e">
        <f>IF(AND(#REF!&gt;=table!$C$11,#REF!&lt;= table!$D$11),-1,IF(AND(#REF!&gt;=table!$E$11,#REF!&lt;=table!$F$11),1,0))</f>
        <v>#REF!</v>
      </c>
      <c r="W4624" s="5" t="e">
        <f>CONCATENATE(dados[[#This Row],[fator1]],dados[[#This Row],[fator5]],dados[[#This Row],[fator6]])</f>
        <v>#REF!</v>
      </c>
    </row>
    <row r="4625" spans="1:23">
      <c r="A4625" t="s">
        <v>16</v>
      </c>
      <c r="B4625">
        <v>590533</v>
      </c>
      <c r="C4625">
        <v>0.1</v>
      </c>
      <c r="D4625">
        <v>40</v>
      </c>
      <c r="E4625">
        <v>10</v>
      </c>
      <c r="F4625">
        <v>8</v>
      </c>
      <c r="G4625">
        <v>0</v>
      </c>
      <c r="H4625">
        <v>10</v>
      </c>
      <c r="I4625">
        <v>935</v>
      </c>
      <c r="J4625">
        <v>0</v>
      </c>
      <c r="K4625">
        <v>4.9275000000000002</v>
      </c>
      <c r="L4625">
        <v>8.7560000000000002</v>
      </c>
      <c r="M4625">
        <v>7.9455</v>
      </c>
      <c r="N4625">
        <v>12.885</v>
      </c>
      <c r="O4625">
        <v>1691</v>
      </c>
      <c r="P4625">
        <v>861</v>
      </c>
      <c r="Q4625" s="5" t="e">
        <f>IF(AND(#REF!&gt;=table!$C$6,#REF!&lt;= table!$D$6),-1,IF(AND(#REF!&gt;=table!$E$6,#REF!&lt;=table!$F$6),1,0))</f>
        <v>#REF!</v>
      </c>
      <c r="R4625" s="5" t="e">
        <f>IF(AND(#REF!&gt;=table!$C$7,#REF!&lt;= table!$D$7),-1,IF(AND(#REF!&gt;=table!$E$7,#REF!&lt;=table!$F$7),1,0))</f>
        <v>#REF!</v>
      </c>
      <c r="S4625" s="5" t="e">
        <f>IF(AND(#REF!&gt;=table!$C$8,#REF!&lt;= table!$D$8),-1,IF(AND(#REF!&gt;=table!$E$8,#REF!&lt;=table!$F$8),1,0))</f>
        <v>#REF!</v>
      </c>
      <c r="T4625" s="5"/>
      <c r="U4625" s="5" t="e">
        <f>IF(AND(#REF!&gt;=table!$C$10,#REF!&lt;= table!$D$10),-1,IF(AND(#REF!&gt;=table!$E$10,#REF!&lt;=table!$F$10),1,0))</f>
        <v>#REF!</v>
      </c>
      <c r="V4625" s="5" t="e">
        <f>IF(AND(#REF!&gt;=table!$C$11,#REF!&lt;= table!$D$11),-1,IF(AND(#REF!&gt;=table!$E$11,#REF!&lt;=table!$F$11),1,0))</f>
        <v>#REF!</v>
      </c>
      <c r="W4625" s="5" t="e">
        <f>CONCATENATE(dados[[#This Row],[fator1]],dados[[#This Row],[fator5]],dados[[#This Row],[fator6]])</f>
        <v>#REF!</v>
      </c>
    </row>
    <row r="4626" spans="1:23">
      <c r="A4626" t="s">
        <v>17</v>
      </c>
      <c r="B4626">
        <v>590534</v>
      </c>
      <c r="C4626">
        <v>9</v>
      </c>
      <c r="D4626">
        <v>30</v>
      </c>
      <c r="E4626">
        <v>160</v>
      </c>
      <c r="F4626">
        <v>3</v>
      </c>
      <c r="G4626">
        <v>30</v>
      </c>
      <c r="H4626">
        <v>18</v>
      </c>
      <c r="I4626">
        <v>856</v>
      </c>
      <c r="J4626">
        <v>680</v>
      </c>
      <c r="K4626">
        <v>5.1485000000000003</v>
      </c>
      <c r="L4626">
        <v>10.3445</v>
      </c>
      <c r="M4626">
        <v>141.56900000000002</v>
      </c>
      <c r="N4626">
        <v>15.485000000000001</v>
      </c>
      <c r="O4626">
        <v>1683</v>
      </c>
      <c r="P4626">
        <v>806</v>
      </c>
      <c r="Q4626" s="5" t="e">
        <f>IF(AND(#REF!&gt;=table!$C$6,#REF!&lt;= table!$D$6),-1,IF(AND(#REF!&gt;=table!$E$6,#REF!&lt;=table!$F$6),1,0))</f>
        <v>#REF!</v>
      </c>
      <c r="R4626" s="5" t="e">
        <f>IF(AND(#REF!&gt;=table!$C$7,#REF!&lt;= table!$D$7),-1,IF(AND(#REF!&gt;=table!$E$7,#REF!&lt;=table!$F$7),1,0))</f>
        <v>#REF!</v>
      </c>
      <c r="S4626" s="5" t="e">
        <f>IF(AND(#REF!&gt;=table!$C$8,#REF!&lt;= table!$D$8),-1,IF(AND(#REF!&gt;=table!$E$8,#REF!&lt;=table!$F$8),1,0))</f>
        <v>#REF!</v>
      </c>
      <c r="T4626" s="5"/>
      <c r="U4626" s="5" t="e">
        <f>IF(AND(#REF!&gt;=table!$C$10,#REF!&lt;= table!$D$10),-1,IF(AND(#REF!&gt;=table!$E$10,#REF!&lt;=table!$F$10),1,0))</f>
        <v>#REF!</v>
      </c>
      <c r="V4626" s="5" t="e">
        <f>IF(AND(#REF!&gt;=table!$C$11,#REF!&lt;= table!$D$11),-1,IF(AND(#REF!&gt;=table!$E$11,#REF!&lt;=table!$F$11),1,0))</f>
        <v>#REF!</v>
      </c>
      <c r="W4626" s="5" t="e">
        <f>CONCATENATE(dados[[#This Row],[fator1]],dados[[#This Row],[fator5]],dados[[#This Row],[fator6]])</f>
        <v>#REF!</v>
      </c>
    </row>
    <row r="4627" spans="1:23">
      <c r="A4627" t="s">
        <v>16</v>
      </c>
      <c r="B4627">
        <v>590537</v>
      </c>
      <c r="C4627">
        <v>16</v>
      </c>
      <c r="D4627">
        <v>35</v>
      </c>
      <c r="E4627">
        <v>36</v>
      </c>
      <c r="F4627">
        <v>10</v>
      </c>
      <c r="G4627">
        <v>0</v>
      </c>
      <c r="H4627">
        <v>25</v>
      </c>
      <c r="I4627">
        <v>253</v>
      </c>
      <c r="J4627">
        <v>620</v>
      </c>
      <c r="K4627">
        <v>5.1735000000000007</v>
      </c>
      <c r="L4627">
        <v>6.048</v>
      </c>
      <c r="M4627">
        <v>30.608000000000001</v>
      </c>
      <c r="N4627">
        <v>9.1650000000000009</v>
      </c>
      <c r="O4627">
        <v>1651</v>
      </c>
      <c r="P4627">
        <v>0</v>
      </c>
      <c r="Q4627" s="5" t="e">
        <f>IF(AND(#REF!&gt;=table!$C$6,#REF!&lt;= table!$D$6),-1,IF(AND(#REF!&gt;=table!$E$6,#REF!&lt;=table!$F$6),1,0))</f>
        <v>#REF!</v>
      </c>
      <c r="R4627" s="5" t="e">
        <f>IF(AND(#REF!&gt;=table!$C$7,#REF!&lt;= table!$D$7),-1,IF(AND(#REF!&gt;=table!$E$7,#REF!&lt;=table!$F$7),1,0))</f>
        <v>#REF!</v>
      </c>
      <c r="S4627" s="5" t="e">
        <f>IF(AND(#REF!&gt;=table!$C$8,#REF!&lt;= table!$D$8),-1,IF(AND(#REF!&gt;=table!$E$8,#REF!&lt;=table!$F$8),1,0))</f>
        <v>#REF!</v>
      </c>
      <c r="T4627" s="5"/>
      <c r="U4627" s="5" t="e">
        <f>IF(AND(#REF!&gt;=table!$C$10,#REF!&lt;= table!$D$10),-1,IF(AND(#REF!&gt;=table!$E$10,#REF!&lt;=table!$F$10),1,0))</f>
        <v>#REF!</v>
      </c>
      <c r="V4627" s="5" t="e">
        <f>IF(AND(#REF!&gt;=table!$C$11,#REF!&lt;= table!$D$11),-1,IF(AND(#REF!&gt;=table!$E$11,#REF!&lt;=table!$F$11),1,0))</f>
        <v>#REF!</v>
      </c>
      <c r="W4627" s="5" t="e">
        <f>CONCATENATE(dados[[#This Row],[fator1]],dados[[#This Row],[fator5]],dados[[#This Row],[fator6]])</f>
        <v>#REF!</v>
      </c>
    </row>
    <row r="4628" spans="1:23">
      <c r="A4628" t="s">
        <v>16</v>
      </c>
      <c r="B4628">
        <v>590544</v>
      </c>
      <c r="C4628">
        <v>11</v>
      </c>
      <c r="D4628">
        <v>35</v>
      </c>
      <c r="E4628">
        <v>36</v>
      </c>
      <c r="F4628">
        <v>9</v>
      </c>
      <c r="G4628">
        <v>0</v>
      </c>
      <c r="H4628">
        <v>25</v>
      </c>
      <c r="I4628">
        <v>973</v>
      </c>
      <c r="J4628">
        <v>0</v>
      </c>
      <c r="K4628">
        <v>6.4095000000000004</v>
      </c>
      <c r="L4628">
        <v>14.647</v>
      </c>
      <c r="M4628">
        <v>34.445500000000003</v>
      </c>
      <c r="N4628">
        <v>20.97</v>
      </c>
      <c r="O4628">
        <v>1656</v>
      </c>
      <c r="P4628">
        <v>356</v>
      </c>
      <c r="Q4628" s="5" t="e">
        <f>IF(AND(#REF!&gt;=table!$C$6,#REF!&lt;= table!$D$6),-1,IF(AND(#REF!&gt;=table!$E$6,#REF!&lt;=table!$F$6),1,0))</f>
        <v>#REF!</v>
      </c>
      <c r="R4628" s="5" t="e">
        <f>IF(AND(#REF!&gt;=table!$C$7,#REF!&lt;= table!$D$7),-1,IF(AND(#REF!&gt;=table!$E$7,#REF!&lt;=table!$F$7),1,0))</f>
        <v>#REF!</v>
      </c>
      <c r="S4628" s="5" t="e">
        <f>IF(AND(#REF!&gt;=table!$C$8,#REF!&lt;= table!$D$8),-1,IF(AND(#REF!&gt;=table!$E$8,#REF!&lt;=table!$F$8),1,0))</f>
        <v>#REF!</v>
      </c>
      <c r="T4628" s="5"/>
      <c r="U4628" s="5" t="e">
        <f>IF(AND(#REF!&gt;=table!$C$10,#REF!&lt;= table!$D$10),-1,IF(AND(#REF!&gt;=table!$E$10,#REF!&lt;=table!$F$10),1,0))</f>
        <v>#REF!</v>
      </c>
      <c r="V4628" s="5" t="e">
        <f>IF(AND(#REF!&gt;=table!$C$11,#REF!&lt;= table!$D$11),-1,IF(AND(#REF!&gt;=table!$E$11,#REF!&lt;=table!$F$11),1,0))</f>
        <v>#REF!</v>
      </c>
      <c r="W4628" s="5" t="e">
        <f>CONCATENATE(dados[[#This Row],[fator1]],dados[[#This Row],[fator5]],dados[[#This Row],[fator6]])</f>
        <v>#REF!</v>
      </c>
    </row>
    <row r="4629" spans="1:23">
      <c r="A4629" t="s">
        <v>16</v>
      </c>
      <c r="B4629">
        <v>590549</v>
      </c>
      <c r="C4629">
        <v>8</v>
      </c>
      <c r="D4629">
        <v>30</v>
      </c>
      <c r="E4629">
        <v>61</v>
      </c>
      <c r="F4629">
        <v>8</v>
      </c>
      <c r="G4629">
        <v>0</v>
      </c>
      <c r="H4629">
        <v>25</v>
      </c>
      <c r="I4629">
        <v>976</v>
      </c>
      <c r="J4629">
        <v>0</v>
      </c>
      <c r="K4629">
        <v>4.96</v>
      </c>
      <c r="L4629">
        <v>6.9435000000000002</v>
      </c>
      <c r="M4629">
        <v>49.261500000000005</v>
      </c>
      <c r="N4629">
        <v>12.32</v>
      </c>
      <c r="O4629">
        <v>1661</v>
      </c>
      <c r="P4629">
        <v>0</v>
      </c>
      <c r="Q4629" s="5" t="e">
        <f>IF(AND(#REF!&gt;=table!$C$6,#REF!&lt;= table!$D$6),-1,IF(AND(#REF!&gt;=table!$E$6,#REF!&lt;=table!$F$6),1,0))</f>
        <v>#REF!</v>
      </c>
      <c r="R4629" s="5" t="e">
        <f>IF(AND(#REF!&gt;=table!$C$7,#REF!&lt;= table!$D$7),-1,IF(AND(#REF!&gt;=table!$E$7,#REF!&lt;=table!$F$7),1,0))</f>
        <v>#REF!</v>
      </c>
      <c r="S4629" s="5" t="e">
        <f>IF(AND(#REF!&gt;=table!$C$8,#REF!&lt;= table!$D$8),-1,IF(AND(#REF!&gt;=table!$E$8,#REF!&lt;=table!$F$8),1,0))</f>
        <v>#REF!</v>
      </c>
      <c r="T4629" s="5"/>
      <c r="U4629" s="5" t="e">
        <f>IF(AND(#REF!&gt;=table!$C$10,#REF!&lt;= table!$D$10),-1,IF(AND(#REF!&gt;=table!$E$10,#REF!&lt;=table!$F$10),1,0))</f>
        <v>#REF!</v>
      </c>
      <c r="V4629" s="5" t="e">
        <f>IF(AND(#REF!&gt;=table!$C$11,#REF!&lt;= table!$D$11),-1,IF(AND(#REF!&gt;=table!$E$11,#REF!&lt;=table!$F$11),1,0))</f>
        <v>#REF!</v>
      </c>
      <c r="W4629" s="5" t="e">
        <f>CONCATENATE(dados[[#This Row],[fator1]],dados[[#This Row],[fator5]],dados[[#This Row],[fator6]])</f>
        <v>#REF!</v>
      </c>
    </row>
    <row r="4630" spans="1:23">
      <c r="A4630" t="s">
        <v>16</v>
      </c>
      <c r="B4630">
        <v>590554</v>
      </c>
      <c r="C4630">
        <v>8</v>
      </c>
      <c r="D4630">
        <v>30</v>
      </c>
      <c r="E4630">
        <v>61</v>
      </c>
      <c r="F4630">
        <v>8</v>
      </c>
      <c r="G4630">
        <v>0</v>
      </c>
      <c r="H4630">
        <v>25</v>
      </c>
      <c r="I4630">
        <v>1561</v>
      </c>
      <c r="J4630">
        <v>0</v>
      </c>
      <c r="K4630">
        <v>4.0834999999999999</v>
      </c>
      <c r="L4630">
        <v>6.68</v>
      </c>
      <c r="M4630">
        <v>56.377500000000005</v>
      </c>
      <c r="N4630">
        <v>12.085000000000001</v>
      </c>
      <c r="O4630">
        <v>1699</v>
      </c>
      <c r="P4630">
        <v>1069</v>
      </c>
      <c r="Q4630" s="5" t="e">
        <f>IF(AND(#REF!&gt;=table!$C$6,#REF!&lt;= table!$D$6),-1,IF(AND(#REF!&gt;=table!$E$6,#REF!&lt;=table!$F$6),1,0))</f>
        <v>#REF!</v>
      </c>
      <c r="R4630" s="5" t="e">
        <f>IF(AND(#REF!&gt;=table!$C$7,#REF!&lt;= table!$D$7),-1,IF(AND(#REF!&gt;=table!$E$7,#REF!&lt;=table!$F$7),1,0))</f>
        <v>#REF!</v>
      </c>
      <c r="S4630" s="5" t="e">
        <f>IF(AND(#REF!&gt;=table!$C$8,#REF!&lt;= table!$D$8),-1,IF(AND(#REF!&gt;=table!$E$8,#REF!&lt;=table!$F$8),1,0))</f>
        <v>#REF!</v>
      </c>
      <c r="T4630" s="5"/>
      <c r="U4630" s="5" t="e">
        <f>IF(AND(#REF!&gt;=table!$C$10,#REF!&lt;= table!$D$10),-1,IF(AND(#REF!&gt;=table!$E$10,#REF!&lt;=table!$F$10),1,0))</f>
        <v>#REF!</v>
      </c>
      <c r="V4630" s="5" t="e">
        <f>IF(AND(#REF!&gt;=table!$C$11,#REF!&lt;= table!$D$11),-1,IF(AND(#REF!&gt;=table!$E$11,#REF!&lt;=table!$F$11),1,0))</f>
        <v>#REF!</v>
      </c>
      <c r="W4630" s="5" t="e">
        <f>CONCATENATE(dados[[#This Row],[fator1]],dados[[#This Row],[fator5]],dados[[#This Row],[fator6]])</f>
        <v>#REF!</v>
      </c>
    </row>
    <row r="4631" spans="1:23">
      <c r="A4631" t="s">
        <v>16</v>
      </c>
      <c r="B4631">
        <v>590557</v>
      </c>
      <c r="C4631">
        <v>12</v>
      </c>
      <c r="D4631">
        <v>35</v>
      </c>
      <c r="E4631">
        <v>86</v>
      </c>
      <c r="F4631">
        <v>10</v>
      </c>
      <c r="G4631">
        <v>0</v>
      </c>
      <c r="H4631">
        <v>25</v>
      </c>
      <c r="I4631">
        <v>1014</v>
      </c>
      <c r="J4631">
        <v>0</v>
      </c>
      <c r="K4631">
        <v>8.9870000000000001</v>
      </c>
      <c r="L4631">
        <v>13.5435</v>
      </c>
      <c r="M4631">
        <v>71.13600000000001</v>
      </c>
      <c r="N4631">
        <v>19.065000000000001</v>
      </c>
      <c r="O4631">
        <v>1683</v>
      </c>
      <c r="P4631">
        <v>472</v>
      </c>
      <c r="Q4631" s="5" t="e">
        <f>IF(AND(#REF!&gt;=table!$C$6,#REF!&lt;= table!$D$6),-1,IF(AND(#REF!&gt;=table!$E$6,#REF!&lt;=table!$F$6),1,0))</f>
        <v>#REF!</v>
      </c>
      <c r="R4631" s="5" t="e">
        <f>IF(AND(#REF!&gt;=table!$C$7,#REF!&lt;= table!$D$7),-1,IF(AND(#REF!&gt;=table!$E$7,#REF!&lt;=table!$F$7),1,0))</f>
        <v>#REF!</v>
      </c>
      <c r="S4631" s="5" t="e">
        <f>IF(AND(#REF!&gt;=table!$C$8,#REF!&lt;= table!$D$8),-1,IF(AND(#REF!&gt;=table!$E$8,#REF!&lt;=table!$F$8),1,0))</f>
        <v>#REF!</v>
      </c>
      <c r="T4631" s="5"/>
      <c r="U4631" s="5" t="e">
        <f>IF(AND(#REF!&gt;=table!$C$10,#REF!&lt;= table!$D$10),-1,IF(AND(#REF!&gt;=table!$E$10,#REF!&lt;=table!$F$10),1,0))</f>
        <v>#REF!</v>
      </c>
      <c r="V4631" s="5" t="e">
        <f>IF(AND(#REF!&gt;=table!$C$11,#REF!&lt;= table!$D$11),-1,IF(AND(#REF!&gt;=table!$E$11,#REF!&lt;=table!$F$11),1,0))</f>
        <v>#REF!</v>
      </c>
      <c r="W4631" s="5" t="e">
        <f>CONCATENATE(dados[[#This Row],[fator1]],dados[[#This Row],[fator5]],dados[[#This Row],[fator6]])</f>
        <v>#REF!</v>
      </c>
    </row>
    <row r="4632" spans="1:23">
      <c r="A4632" t="s">
        <v>16</v>
      </c>
      <c r="B4632">
        <v>590558</v>
      </c>
      <c r="C4632">
        <v>12</v>
      </c>
      <c r="D4632">
        <v>35</v>
      </c>
      <c r="E4632">
        <v>86</v>
      </c>
      <c r="F4632">
        <v>10</v>
      </c>
      <c r="G4632">
        <v>0</v>
      </c>
      <c r="H4632">
        <v>25</v>
      </c>
      <c r="I4632">
        <v>0</v>
      </c>
      <c r="J4632">
        <v>0</v>
      </c>
      <c r="K4632">
        <v>4.8220000000000001</v>
      </c>
      <c r="L4632">
        <v>12.304500000000001</v>
      </c>
      <c r="M4632">
        <v>74.979500000000002</v>
      </c>
      <c r="N4632">
        <v>19.28</v>
      </c>
      <c r="O4632">
        <v>1673</v>
      </c>
      <c r="P4632">
        <v>755</v>
      </c>
      <c r="Q4632" s="5" t="e">
        <f>IF(AND(#REF!&gt;=table!$C$6,#REF!&lt;= table!$D$6),-1,IF(AND(#REF!&gt;=table!$E$6,#REF!&lt;=table!$F$6),1,0))</f>
        <v>#REF!</v>
      </c>
      <c r="R4632" s="5" t="e">
        <f>IF(AND(#REF!&gt;=table!$C$7,#REF!&lt;= table!$D$7),-1,IF(AND(#REF!&gt;=table!$E$7,#REF!&lt;=table!$F$7),1,0))</f>
        <v>#REF!</v>
      </c>
      <c r="S4632" s="5" t="e">
        <f>IF(AND(#REF!&gt;=table!$C$8,#REF!&lt;= table!$D$8),-1,IF(AND(#REF!&gt;=table!$E$8,#REF!&lt;=table!$F$8),1,0))</f>
        <v>#REF!</v>
      </c>
      <c r="T4632" s="5"/>
      <c r="U4632" s="5" t="e">
        <f>IF(AND(#REF!&gt;=table!$C$10,#REF!&lt;= table!$D$10),-1,IF(AND(#REF!&gt;=table!$E$10,#REF!&lt;=table!$F$10),1,0))</f>
        <v>#REF!</v>
      </c>
      <c r="V4632" s="5" t="e">
        <f>IF(AND(#REF!&gt;=table!$C$11,#REF!&lt;= table!$D$11),-1,IF(AND(#REF!&gt;=table!$E$11,#REF!&lt;=table!$F$11),1,0))</f>
        <v>#REF!</v>
      </c>
      <c r="W4632" s="5" t="e">
        <f>CONCATENATE(dados[[#This Row],[fator1]],dados[[#This Row],[fator5]],dados[[#This Row],[fator6]])</f>
        <v>#REF!</v>
      </c>
    </row>
    <row r="4633" spans="1:23">
      <c r="A4633" t="s">
        <v>17</v>
      </c>
      <c r="B4633">
        <v>590564</v>
      </c>
      <c r="C4633">
        <v>10</v>
      </c>
      <c r="D4633">
        <v>25</v>
      </c>
      <c r="E4633">
        <v>156</v>
      </c>
      <c r="F4633">
        <v>8</v>
      </c>
      <c r="G4633">
        <v>20</v>
      </c>
      <c r="H4633">
        <v>25</v>
      </c>
      <c r="I4633">
        <v>913</v>
      </c>
      <c r="J4633">
        <v>0</v>
      </c>
      <c r="K4633">
        <v>4.6785000000000005</v>
      </c>
      <c r="L4633">
        <v>13.9305</v>
      </c>
      <c r="M4633">
        <v>112.697</v>
      </c>
      <c r="N4633">
        <v>19.475000000000001</v>
      </c>
      <c r="O4633">
        <v>1673</v>
      </c>
      <c r="P4633">
        <v>583</v>
      </c>
      <c r="Q4633" s="5" t="e">
        <f>IF(AND(#REF!&gt;=table!$C$6,#REF!&lt;= table!$D$6),-1,IF(AND(#REF!&gt;=table!$E$6,#REF!&lt;=table!$F$6),1,0))</f>
        <v>#REF!</v>
      </c>
      <c r="R4633" s="5" t="e">
        <f>IF(AND(#REF!&gt;=table!$C$7,#REF!&lt;= table!$D$7),-1,IF(AND(#REF!&gt;=table!$E$7,#REF!&lt;=table!$F$7),1,0))</f>
        <v>#REF!</v>
      </c>
      <c r="S4633" s="5" t="e">
        <f>IF(AND(#REF!&gt;=table!$C$8,#REF!&lt;= table!$D$8),-1,IF(AND(#REF!&gt;=table!$E$8,#REF!&lt;=table!$F$8),1,0))</f>
        <v>#REF!</v>
      </c>
      <c r="T4633" s="5"/>
      <c r="U4633" s="5" t="e">
        <f>IF(AND(#REF!&gt;=table!$C$10,#REF!&lt;= table!$D$10),-1,IF(AND(#REF!&gt;=table!$E$10,#REF!&lt;=table!$F$10),1,0))</f>
        <v>#REF!</v>
      </c>
      <c r="V4633" s="5" t="e">
        <f>IF(AND(#REF!&gt;=table!$C$11,#REF!&lt;= table!$D$11),-1,IF(AND(#REF!&gt;=table!$E$11,#REF!&lt;=table!$F$11),1,0))</f>
        <v>#REF!</v>
      </c>
      <c r="W4633" s="5" t="e">
        <f>CONCATENATE(dados[[#This Row],[fator1]],dados[[#This Row],[fator5]],dados[[#This Row],[fator6]])</f>
        <v>#REF!</v>
      </c>
    </row>
    <row r="4634" spans="1:23">
      <c r="A4634" t="s">
        <v>17</v>
      </c>
      <c r="B4634">
        <v>590571</v>
      </c>
      <c r="C4634">
        <v>29</v>
      </c>
      <c r="D4634">
        <v>25</v>
      </c>
      <c r="E4634">
        <v>131</v>
      </c>
      <c r="F4634">
        <v>6</v>
      </c>
      <c r="G4634">
        <v>21</v>
      </c>
      <c r="H4634">
        <v>25</v>
      </c>
      <c r="I4634">
        <v>10</v>
      </c>
      <c r="J4634">
        <v>0</v>
      </c>
      <c r="K4634">
        <v>8.06</v>
      </c>
      <c r="L4634">
        <v>15.733000000000001</v>
      </c>
      <c r="M4634">
        <v>78.668500000000009</v>
      </c>
      <c r="N4634">
        <v>18.93</v>
      </c>
      <c r="O4634">
        <v>1659</v>
      </c>
      <c r="P4634">
        <v>414</v>
      </c>
      <c r="Q4634" s="5" t="e">
        <f>IF(AND(#REF!&gt;=table!$C$6,#REF!&lt;= table!$D$6),-1,IF(AND(#REF!&gt;=table!$E$6,#REF!&lt;=table!$F$6),1,0))</f>
        <v>#REF!</v>
      </c>
      <c r="R4634" s="5" t="e">
        <f>IF(AND(#REF!&gt;=table!$C$7,#REF!&lt;= table!$D$7),-1,IF(AND(#REF!&gt;=table!$E$7,#REF!&lt;=table!$F$7),1,0))</f>
        <v>#REF!</v>
      </c>
      <c r="S4634" s="5" t="e">
        <f>IF(AND(#REF!&gt;=table!$C$8,#REF!&lt;= table!$D$8),-1,IF(AND(#REF!&gt;=table!$E$8,#REF!&lt;=table!$F$8),1,0))</f>
        <v>#REF!</v>
      </c>
      <c r="T4634" s="5"/>
      <c r="U4634" s="5" t="e">
        <f>IF(AND(#REF!&gt;=table!$C$10,#REF!&lt;= table!$D$10),-1,IF(AND(#REF!&gt;=table!$E$10,#REF!&lt;=table!$F$10),1,0))</f>
        <v>#REF!</v>
      </c>
      <c r="V4634" s="5" t="e">
        <f>IF(AND(#REF!&gt;=table!$C$11,#REF!&lt;= table!$D$11),-1,IF(AND(#REF!&gt;=table!$E$11,#REF!&lt;=table!$F$11),1,0))</f>
        <v>#REF!</v>
      </c>
      <c r="W4634" s="5" t="e">
        <f>CONCATENATE(dados[[#This Row],[fator1]],dados[[#This Row],[fator5]],dados[[#This Row],[fator6]])</f>
        <v>#REF!</v>
      </c>
    </row>
    <row r="4635" spans="1:23">
      <c r="A4635" t="s">
        <v>16</v>
      </c>
      <c r="B4635">
        <v>590572</v>
      </c>
      <c r="C4635">
        <v>9</v>
      </c>
      <c r="D4635">
        <v>27</v>
      </c>
      <c r="E4635">
        <v>36</v>
      </c>
      <c r="F4635">
        <v>8</v>
      </c>
      <c r="G4635">
        <v>0</v>
      </c>
      <c r="H4635">
        <v>25</v>
      </c>
      <c r="I4635">
        <v>55</v>
      </c>
      <c r="J4635">
        <v>0</v>
      </c>
      <c r="K4635">
        <v>7.5385</v>
      </c>
      <c r="L4635">
        <v>16.286999999999999</v>
      </c>
      <c r="M4635">
        <v>33.694000000000003</v>
      </c>
      <c r="N4635">
        <v>20.75</v>
      </c>
      <c r="O4635">
        <v>1668</v>
      </c>
      <c r="P4635">
        <v>361</v>
      </c>
      <c r="Q4635" s="5" t="e">
        <f>IF(AND(#REF!&gt;=table!$C$6,#REF!&lt;= table!$D$6),-1,IF(AND(#REF!&gt;=table!$E$6,#REF!&lt;=table!$F$6),1,0))</f>
        <v>#REF!</v>
      </c>
      <c r="R4635" s="5" t="e">
        <f>IF(AND(#REF!&gt;=table!$C$7,#REF!&lt;= table!$D$7),-1,IF(AND(#REF!&gt;=table!$E$7,#REF!&lt;=table!$F$7),1,0))</f>
        <v>#REF!</v>
      </c>
      <c r="S4635" s="5" t="e">
        <f>IF(AND(#REF!&gt;=table!$C$8,#REF!&lt;= table!$D$8),-1,IF(AND(#REF!&gt;=table!$E$8,#REF!&lt;=table!$F$8),1,0))</f>
        <v>#REF!</v>
      </c>
      <c r="T4635" s="5"/>
      <c r="U4635" s="5" t="e">
        <f>IF(AND(#REF!&gt;=table!$C$10,#REF!&lt;= table!$D$10),-1,IF(AND(#REF!&gt;=table!$E$10,#REF!&lt;=table!$F$10),1,0))</f>
        <v>#REF!</v>
      </c>
      <c r="V4635" s="5" t="e">
        <f>IF(AND(#REF!&gt;=table!$C$11,#REF!&lt;= table!$D$11),-1,IF(AND(#REF!&gt;=table!$E$11,#REF!&lt;=table!$F$11),1,0))</f>
        <v>#REF!</v>
      </c>
      <c r="W4635" s="5" t="e">
        <f>CONCATENATE(dados[[#This Row],[fator1]],dados[[#This Row],[fator5]],dados[[#This Row],[fator6]])</f>
        <v>#REF!</v>
      </c>
    </row>
    <row r="4636" spans="1:23">
      <c r="A4636" t="s">
        <v>16</v>
      </c>
      <c r="B4636">
        <v>590574</v>
      </c>
      <c r="C4636">
        <v>9</v>
      </c>
      <c r="D4636">
        <v>27</v>
      </c>
      <c r="E4636">
        <v>36</v>
      </c>
      <c r="F4636">
        <v>8</v>
      </c>
      <c r="G4636">
        <v>0</v>
      </c>
      <c r="H4636">
        <v>25</v>
      </c>
      <c r="I4636">
        <v>9</v>
      </c>
      <c r="J4636">
        <v>750</v>
      </c>
      <c r="K4636">
        <v>6.907</v>
      </c>
      <c r="L4636">
        <v>14.319500000000001</v>
      </c>
      <c r="M4636">
        <v>38.692</v>
      </c>
      <c r="N4636">
        <v>18.84</v>
      </c>
      <c r="O4636">
        <v>1695</v>
      </c>
      <c r="P4636">
        <v>0</v>
      </c>
      <c r="Q4636" s="5" t="e">
        <f>IF(AND(#REF!&gt;=table!$C$6,#REF!&lt;= table!$D$6),-1,IF(AND(#REF!&gt;=table!$E$6,#REF!&lt;=table!$F$6),1,0))</f>
        <v>#REF!</v>
      </c>
      <c r="R4636" s="5" t="e">
        <f>IF(AND(#REF!&gt;=table!$C$7,#REF!&lt;= table!$D$7),-1,IF(AND(#REF!&gt;=table!$E$7,#REF!&lt;=table!$F$7),1,0))</f>
        <v>#REF!</v>
      </c>
      <c r="S4636" s="5" t="e">
        <f>IF(AND(#REF!&gt;=table!$C$8,#REF!&lt;= table!$D$8),-1,IF(AND(#REF!&gt;=table!$E$8,#REF!&lt;=table!$F$8),1,0))</f>
        <v>#REF!</v>
      </c>
      <c r="T4636" s="5"/>
      <c r="U4636" s="5" t="e">
        <f>IF(AND(#REF!&gt;=table!$C$10,#REF!&lt;= table!$D$10),-1,IF(AND(#REF!&gt;=table!$E$10,#REF!&lt;=table!$F$10),1,0))</f>
        <v>#REF!</v>
      </c>
      <c r="V4636" s="5" t="e">
        <f>IF(AND(#REF!&gt;=table!$C$11,#REF!&lt;= table!$D$11),-1,IF(AND(#REF!&gt;=table!$E$11,#REF!&lt;=table!$F$11),1,0))</f>
        <v>#REF!</v>
      </c>
      <c r="W4636" s="5" t="e">
        <f>CONCATENATE(dados[[#This Row],[fator1]],dados[[#This Row],[fator5]],dados[[#This Row],[fator6]])</f>
        <v>#REF!</v>
      </c>
    </row>
    <row r="4637" spans="1:23">
      <c r="A4637" t="s">
        <v>16</v>
      </c>
      <c r="B4637">
        <v>590582</v>
      </c>
      <c r="C4637">
        <v>6</v>
      </c>
      <c r="D4637">
        <v>25</v>
      </c>
      <c r="E4637">
        <v>120</v>
      </c>
      <c r="F4637">
        <v>4</v>
      </c>
      <c r="G4637">
        <v>0</v>
      </c>
      <c r="H4637">
        <v>55</v>
      </c>
      <c r="I4637">
        <v>21</v>
      </c>
      <c r="J4637">
        <v>0</v>
      </c>
      <c r="K4637">
        <v>4.4045000000000005</v>
      </c>
      <c r="L4637">
        <v>9.9510000000000005</v>
      </c>
      <c r="M4637">
        <v>106.3695</v>
      </c>
      <c r="N4637">
        <v>37.765000000000001</v>
      </c>
      <c r="O4637">
        <v>1697</v>
      </c>
      <c r="P4637">
        <v>963</v>
      </c>
      <c r="Q4637" s="5" t="e">
        <f>IF(AND(#REF!&gt;=table!$C$6,#REF!&lt;= table!$D$6),-1,IF(AND(#REF!&gt;=table!$E$6,#REF!&lt;=table!$F$6),1,0))</f>
        <v>#REF!</v>
      </c>
      <c r="R4637" s="5" t="e">
        <f>IF(AND(#REF!&gt;=table!$C$7,#REF!&lt;= table!$D$7),-1,IF(AND(#REF!&gt;=table!$E$7,#REF!&lt;=table!$F$7),1,0))</f>
        <v>#REF!</v>
      </c>
      <c r="S4637" s="5" t="e">
        <f>IF(AND(#REF!&gt;=table!$C$8,#REF!&lt;= table!$D$8),-1,IF(AND(#REF!&gt;=table!$E$8,#REF!&lt;=table!$F$8),1,0))</f>
        <v>#REF!</v>
      </c>
      <c r="T4637" s="5"/>
      <c r="U4637" s="5" t="e">
        <f>IF(AND(#REF!&gt;=table!$C$10,#REF!&lt;= table!$D$10),-1,IF(AND(#REF!&gt;=table!$E$10,#REF!&lt;=table!$F$10),1,0))</f>
        <v>#REF!</v>
      </c>
      <c r="V4637" s="5" t="e">
        <f>IF(AND(#REF!&gt;=table!$C$11,#REF!&lt;= table!$D$11),-1,IF(AND(#REF!&gt;=table!$E$11,#REF!&lt;=table!$F$11),1,0))</f>
        <v>#REF!</v>
      </c>
      <c r="W4637" s="5" t="e">
        <f>CONCATENATE(dados[[#This Row],[fator1]],dados[[#This Row],[fator5]],dados[[#This Row],[fator6]])</f>
        <v>#REF!</v>
      </c>
    </row>
    <row r="4638" spans="1:23">
      <c r="A4638" t="s">
        <v>16</v>
      </c>
      <c r="B4638">
        <v>590585</v>
      </c>
      <c r="C4638">
        <v>6</v>
      </c>
      <c r="D4638">
        <v>25</v>
      </c>
      <c r="E4638">
        <v>120</v>
      </c>
      <c r="F4638">
        <v>4</v>
      </c>
      <c r="G4638">
        <v>0</v>
      </c>
      <c r="H4638">
        <v>55</v>
      </c>
      <c r="I4638">
        <v>4</v>
      </c>
      <c r="J4638">
        <v>0</v>
      </c>
      <c r="K4638">
        <v>4.9184999999999999</v>
      </c>
      <c r="L4638">
        <v>8.9160000000000004</v>
      </c>
      <c r="M4638">
        <v>115.19500000000001</v>
      </c>
      <c r="N4638">
        <v>23.14</v>
      </c>
      <c r="O4638">
        <v>1712</v>
      </c>
      <c r="P4638">
        <v>1045</v>
      </c>
      <c r="Q4638" s="5" t="e">
        <f>IF(AND(#REF!&gt;=table!$C$6,#REF!&lt;= table!$D$6),-1,IF(AND(#REF!&gt;=table!$E$6,#REF!&lt;=table!$F$6),1,0))</f>
        <v>#REF!</v>
      </c>
      <c r="R4638" s="5" t="e">
        <f>IF(AND(#REF!&gt;=table!$C$7,#REF!&lt;= table!$D$7),-1,IF(AND(#REF!&gt;=table!$E$7,#REF!&lt;=table!$F$7),1,0))</f>
        <v>#REF!</v>
      </c>
      <c r="S4638" s="5" t="e">
        <f>IF(AND(#REF!&gt;=table!$C$8,#REF!&lt;= table!$D$8),-1,IF(AND(#REF!&gt;=table!$E$8,#REF!&lt;=table!$F$8),1,0))</f>
        <v>#REF!</v>
      </c>
      <c r="T4638" s="5"/>
      <c r="U4638" s="5" t="e">
        <f>IF(AND(#REF!&gt;=table!$C$10,#REF!&lt;= table!$D$10),-1,IF(AND(#REF!&gt;=table!$E$10,#REF!&lt;=table!$F$10),1,0))</f>
        <v>#REF!</v>
      </c>
      <c r="V4638" s="5" t="e">
        <f>IF(AND(#REF!&gt;=table!$C$11,#REF!&lt;= table!$D$11),-1,IF(AND(#REF!&gt;=table!$E$11,#REF!&lt;=table!$F$11),1,0))</f>
        <v>#REF!</v>
      </c>
      <c r="W4638" s="5" t="e">
        <f>CONCATENATE(dados[[#This Row],[fator1]],dados[[#This Row],[fator5]],dados[[#This Row],[fator6]])</f>
        <v>#REF!</v>
      </c>
    </row>
    <row r="4639" spans="1:23">
      <c r="A4639" t="s">
        <v>16</v>
      </c>
      <c r="B4639">
        <v>590587</v>
      </c>
      <c r="C4639">
        <v>3</v>
      </c>
      <c r="D4639">
        <v>30</v>
      </c>
      <c r="E4639">
        <v>21</v>
      </c>
      <c r="F4639">
        <v>15</v>
      </c>
      <c r="G4639">
        <v>0</v>
      </c>
      <c r="H4639">
        <v>25</v>
      </c>
      <c r="I4639">
        <v>1236</v>
      </c>
      <c r="J4639">
        <v>2000</v>
      </c>
      <c r="K4639">
        <v>7.4290000000000003</v>
      </c>
      <c r="L4639">
        <v>5.41</v>
      </c>
      <c r="M4639">
        <v>15.317</v>
      </c>
      <c r="N4639">
        <v>9.8950000000000014</v>
      </c>
      <c r="O4639">
        <v>1577</v>
      </c>
      <c r="P4639">
        <v>383</v>
      </c>
      <c r="Q4639" s="5" t="e">
        <f>IF(AND(#REF!&gt;=table!$C$6,#REF!&lt;= table!$D$6),-1,IF(AND(#REF!&gt;=table!$E$6,#REF!&lt;=table!$F$6),1,0))</f>
        <v>#REF!</v>
      </c>
      <c r="R4639" s="5" t="e">
        <f>IF(AND(#REF!&gt;=table!$C$7,#REF!&lt;= table!$D$7),-1,IF(AND(#REF!&gt;=table!$E$7,#REF!&lt;=table!$F$7),1,0))</f>
        <v>#REF!</v>
      </c>
      <c r="S4639" s="5" t="e">
        <f>IF(AND(#REF!&gt;=table!$C$8,#REF!&lt;= table!$D$8),-1,IF(AND(#REF!&gt;=table!$E$8,#REF!&lt;=table!$F$8),1,0))</f>
        <v>#REF!</v>
      </c>
      <c r="T4639" s="5"/>
      <c r="U4639" s="5" t="e">
        <f>IF(AND(#REF!&gt;=table!$C$10,#REF!&lt;= table!$D$10),-1,IF(AND(#REF!&gt;=table!$E$10,#REF!&lt;=table!$F$10),1,0))</f>
        <v>#REF!</v>
      </c>
      <c r="V4639" s="5" t="e">
        <f>IF(AND(#REF!&gt;=table!$C$11,#REF!&lt;= table!$D$11),-1,IF(AND(#REF!&gt;=table!$E$11,#REF!&lt;=table!$F$11),1,0))</f>
        <v>#REF!</v>
      </c>
      <c r="W4639" s="5" t="e">
        <f>CONCATENATE(dados[[#This Row],[fator1]],dados[[#This Row],[fator5]],dados[[#This Row],[fator6]])</f>
        <v>#REF!</v>
      </c>
    </row>
    <row r="4640" spans="1:23">
      <c r="A4640" t="s">
        <v>16</v>
      </c>
      <c r="B4640">
        <v>590593</v>
      </c>
      <c r="C4640">
        <v>8</v>
      </c>
      <c r="D4640">
        <v>30</v>
      </c>
      <c r="E4640">
        <v>61</v>
      </c>
      <c r="F4640">
        <v>8</v>
      </c>
      <c r="G4640">
        <v>0</v>
      </c>
      <c r="H4640">
        <v>25</v>
      </c>
      <c r="I4640">
        <v>239</v>
      </c>
      <c r="J4640">
        <v>0</v>
      </c>
      <c r="K4640">
        <v>3.9985000000000004</v>
      </c>
      <c r="L4640">
        <v>10.453000000000001</v>
      </c>
      <c r="M4640">
        <v>59.24</v>
      </c>
      <c r="N4640">
        <v>16.5</v>
      </c>
      <c r="O4640">
        <v>1676</v>
      </c>
      <c r="P4640">
        <v>0</v>
      </c>
      <c r="Q4640" s="5" t="e">
        <f>IF(AND(#REF!&gt;=table!$C$6,#REF!&lt;= table!$D$6),-1,IF(AND(#REF!&gt;=table!$E$6,#REF!&lt;=table!$F$6),1,0))</f>
        <v>#REF!</v>
      </c>
      <c r="R4640" s="5" t="e">
        <f>IF(AND(#REF!&gt;=table!$C$7,#REF!&lt;= table!$D$7),-1,IF(AND(#REF!&gt;=table!$E$7,#REF!&lt;=table!$F$7),1,0))</f>
        <v>#REF!</v>
      </c>
      <c r="S4640" s="5" t="e">
        <f>IF(AND(#REF!&gt;=table!$C$8,#REF!&lt;= table!$D$8),-1,IF(AND(#REF!&gt;=table!$E$8,#REF!&lt;=table!$F$8),1,0))</f>
        <v>#REF!</v>
      </c>
      <c r="T4640" s="5"/>
      <c r="U4640" s="5" t="e">
        <f>IF(AND(#REF!&gt;=table!$C$10,#REF!&lt;= table!$D$10),-1,IF(AND(#REF!&gt;=table!$E$10,#REF!&lt;=table!$F$10),1,0))</f>
        <v>#REF!</v>
      </c>
      <c r="V4640" s="5" t="e">
        <f>IF(AND(#REF!&gt;=table!$C$11,#REF!&lt;= table!$D$11),-1,IF(AND(#REF!&gt;=table!$E$11,#REF!&lt;=table!$F$11),1,0))</f>
        <v>#REF!</v>
      </c>
      <c r="W4640" s="5" t="e">
        <f>CONCATENATE(dados[[#This Row],[fator1]],dados[[#This Row],[fator5]],dados[[#This Row],[fator6]])</f>
        <v>#REF!</v>
      </c>
    </row>
    <row r="4641" spans="1:23">
      <c r="A4641" t="s">
        <v>16</v>
      </c>
      <c r="B4641">
        <v>590594</v>
      </c>
      <c r="C4641">
        <v>8</v>
      </c>
      <c r="D4641">
        <v>30</v>
      </c>
      <c r="E4641">
        <v>61</v>
      </c>
      <c r="F4641">
        <v>8</v>
      </c>
      <c r="G4641">
        <v>0</v>
      </c>
      <c r="H4641">
        <v>25</v>
      </c>
      <c r="I4641">
        <v>669</v>
      </c>
      <c r="J4641">
        <v>0</v>
      </c>
      <c r="K4641">
        <v>5.1370000000000005</v>
      </c>
      <c r="L4641">
        <v>11.3185</v>
      </c>
      <c r="M4641">
        <v>58.629000000000005</v>
      </c>
      <c r="N4641">
        <v>18.88</v>
      </c>
      <c r="O4641">
        <v>1677</v>
      </c>
      <c r="P4641">
        <v>0</v>
      </c>
      <c r="Q4641" s="5" t="e">
        <f>IF(AND(#REF!&gt;=table!$C$6,#REF!&lt;= table!$D$6),-1,IF(AND(#REF!&gt;=table!$E$6,#REF!&lt;=table!$F$6),1,0))</f>
        <v>#REF!</v>
      </c>
      <c r="R4641" s="5" t="e">
        <f>IF(AND(#REF!&gt;=table!$C$7,#REF!&lt;= table!$D$7),-1,IF(AND(#REF!&gt;=table!$E$7,#REF!&lt;=table!$F$7),1,0))</f>
        <v>#REF!</v>
      </c>
      <c r="S4641" s="5" t="e">
        <f>IF(AND(#REF!&gt;=table!$C$8,#REF!&lt;= table!$D$8),-1,IF(AND(#REF!&gt;=table!$E$8,#REF!&lt;=table!$F$8),1,0))</f>
        <v>#REF!</v>
      </c>
      <c r="T4641" s="5"/>
      <c r="U4641" s="5" t="e">
        <f>IF(AND(#REF!&gt;=table!$C$10,#REF!&lt;= table!$D$10),-1,IF(AND(#REF!&gt;=table!$E$10,#REF!&lt;=table!$F$10),1,0))</f>
        <v>#REF!</v>
      </c>
      <c r="V4641" s="5" t="e">
        <f>IF(AND(#REF!&gt;=table!$C$11,#REF!&lt;= table!$D$11),-1,IF(AND(#REF!&gt;=table!$E$11,#REF!&lt;=table!$F$11),1,0))</f>
        <v>#REF!</v>
      </c>
      <c r="W4641" s="5" t="e">
        <f>CONCATENATE(dados[[#This Row],[fator1]],dados[[#This Row],[fator5]],dados[[#This Row],[fator6]])</f>
        <v>#REF!</v>
      </c>
    </row>
    <row r="4642" spans="1:23">
      <c r="A4642" t="s">
        <v>16</v>
      </c>
      <c r="B4642">
        <v>590595</v>
      </c>
      <c r="C4642">
        <v>8</v>
      </c>
      <c r="D4642">
        <v>30</v>
      </c>
      <c r="E4642">
        <v>61</v>
      </c>
      <c r="F4642">
        <v>8</v>
      </c>
      <c r="G4642">
        <v>0</v>
      </c>
      <c r="H4642">
        <v>25</v>
      </c>
      <c r="I4642">
        <v>15</v>
      </c>
      <c r="J4642">
        <v>0</v>
      </c>
      <c r="K4642">
        <v>5.4184999999999999</v>
      </c>
      <c r="L4642">
        <v>10.514000000000001</v>
      </c>
      <c r="M4642">
        <v>55.182500000000005</v>
      </c>
      <c r="N4642">
        <v>16.405000000000001</v>
      </c>
      <c r="O4642">
        <v>1672</v>
      </c>
      <c r="P4642">
        <v>701</v>
      </c>
      <c r="Q4642" s="5" t="e">
        <f>IF(AND(#REF!&gt;=table!$C$6,#REF!&lt;= table!$D$6),-1,IF(AND(#REF!&gt;=table!$E$6,#REF!&lt;=table!$F$6),1,0))</f>
        <v>#REF!</v>
      </c>
      <c r="R4642" s="5" t="e">
        <f>IF(AND(#REF!&gt;=table!$C$7,#REF!&lt;= table!$D$7),-1,IF(AND(#REF!&gt;=table!$E$7,#REF!&lt;=table!$F$7),1,0))</f>
        <v>#REF!</v>
      </c>
      <c r="S4642" s="5" t="e">
        <f>IF(AND(#REF!&gt;=table!$C$8,#REF!&lt;= table!$D$8),-1,IF(AND(#REF!&gt;=table!$E$8,#REF!&lt;=table!$F$8),1,0))</f>
        <v>#REF!</v>
      </c>
      <c r="T4642" s="5"/>
      <c r="U4642" s="5" t="e">
        <f>IF(AND(#REF!&gt;=table!$C$10,#REF!&lt;= table!$D$10),-1,IF(AND(#REF!&gt;=table!$E$10,#REF!&lt;=table!$F$10),1,0))</f>
        <v>#REF!</v>
      </c>
      <c r="V4642" s="5" t="e">
        <f>IF(AND(#REF!&gt;=table!$C$11,#REF!&lt;= table!$D$11),-1,IF(AND(#REF!&gt;=table!$E$11,#REF!&lt;=table!$F$11),1,0))</f>
        <v>#REF!</v>
      </c>
      <c r="W4642" s="5" t="e">
        <f>CONCATENATE(dados[[#This Row],[fator1]],dados[[#This Row],[fator5]],dados[[#This Row],[fator6]])</f>
        <v>#REF!</v>
      </c>
    </row>
    <row r="4643" spans="1:23">
      <c r="A4643" t="s">
        <v>16</v>
      </c>
      <c r="B4643">
        <v>590599</v>
      </c>
      <c r="C4643">
        <v>3</v>
      </c>
      <c r="D4643">
        <v>30</v>
      </c>
      <c r="E4643">
        <v>21</v>
      </c>
      <c r="F4643">
        <v>15</v>
      </c>
      <c r="G4643">
        <v>0</v>
      </c>
      <c r="H4643">
        <v>25</v>
      </c>
      <c r="I4643">
        <v>17</v>
      </c>
      <c r="J4643">
        <v>0</v>
      </c>
      <c r="K4643">
        <v>4.5575000000000001</v>
      </c>
      <c r="L4643">
        <v>5.9945000000000004</v>
      </c>
      <c r="M4643">
        <v>5.5880000000000001</v>
      </c>
      <c r="N4643">
        <v>8.995000000000001</v>
      </c>
      <c r="O4643">
        <v>1687</v>
      </c>
      <c r="P4643">
        <v>1058</v>
      </c>
      <c r="Q4643" s="5" t="e">
        <f>IF(AND(#REF!&gt;=table!$C$6,#REF!&lt;= table!$D$6),-1,IF(AND(#REF!&gt;=table!$E$6,#REF!&lt;=table!$F$6),1,0))</f>
        <v>#REF!</v>
      </c>
      <c r="R4643" s="5" t="e">
        <f>IF(AND(#REF!&gt;=table!$C$7,#REF!&lt;= table!$D$7),-1,IF(AND(#REF!&gt;=table!$E$7,#REF!&lt;=table!$F$7),1,0))</f>
        <v>#REF!</v>
      </c>
      <c r="S4643" s="5" t="e">
        <f>IF(AND(#REF!&gt;=table!$C$8,#REF!&lt;= table!$D$8),-1,IF(AND(#REF!&gt;=table!$E$8,#REF!&lt;=table!$F$8),1,0))</f>
        <v>#REF!</v>
      </c>
      <c r="T4643" s="5"/>
      <c r="U4643" s="5" t="e">
        <f>IF(AND(#REF!&gt;=table!$C$10,#REF!&lt;= table!$D$10),-1,IF(AND(#REF!&gt;=table!$E$10,#REF!&lt;=table!$F$10),1,0))</f>
        <v>#REF!</v>
      </c>
      <c r="V4643" s="5" t="e">
        <f>IF(AND(#REF!&gt;=table!$C$11,#REF!&lt;= table!$D$11),-1,IF(AND(#REF!&gt;=table!$E$11,#REF!&lt;=table!$F$11),1,0))</f>
        <v>#REF!</v>
      </c>
      <c r="W4643" s="5" t="e">
        <f>CONCATENATE(dados[[#This Row],[fator1]],dados[[#This Row],[fator5]],dados[[#This Row],[fator6]])</f>
        <v>#REF!</v>
      </c>
    </row>
    <row r="4644" spans="1:23">
      <c r="A4644" t="s">
        <v>17</v>
      </c>
      <c r="B4644">
        <v>590600</v>
      </c>
      <c r="C4644">
        <v>16</v>
      </c>
      <c r="D4644">
        <v>23</v>
      </c>
      <c r="E4644">
        <v>145</v>
      </c>
      <c r="F4644">
        <v>9</v>
      </c>
      <c r="G4644">
        <v>30</v>
      </c>
      <c r="H4644">
        <v>25</v>
      </c>
      <c r="I4644">
        <v>4</v>
      </c>
      <c r="J4644">
        <v>0</v>
      </c>
      <c r="K4644">
        <v>4.7560000000000002</v>
      </c>
      <c r="L4644">
        <v>9.8440000000000012</v>
      </c>
      <c r="M4644">
        <v>110.4945</v>
      </c>
      <c r="N4644">
        <v>16.765000000000001</v>
      </c>
      <c r="O4644">
        <v>1677</v>
      </c>
      <c r="P4644">
        <v>962</v>
      </c>
      <c r="Q4644" s="5" t="e">
        <f>IF(AND(#REF!&gt;=table!$C$6,#REF!&lt;= table!$D$6),-1,IF(AND(#REF!&gt;=table!$E$6,#REF!&lt;=table!$F$6),1,0))</f>
        <v>#REF!</v>
      </c>
      <c r="R4644" s="5" t="e">
        <f>IF(AND(#REF!&gt;=table!$C$7,#REF!&lt;= table!$D$7),-1,IF(AND(#REF!&gt;=table!$E$7,#REF!&lt;=table!$F$7),1,0))</f>
        <v>#REF!</v>
      </c>
      <c r="S4644" s="5" t="e">
        <f>IF(AND(#REF!&gt;=table!$C$8,#REF!&lt;= table!$D$8),-1,IF(AND(#REF!&gt;=table!$E$8,#REF!&lt;=table!$F$8),1,0))</f>
        <v>#REF!</v>
      </c>
      <c r="T4644" s="5"/>
      <c r="U4644" s="5" t="e">
        <f>IF(AND(#REF!&gt;=table!$C$10,#REF!&lt;= table!$D$10),-1,IF(AND(#REF!&gt;=table!$E$10,#REF!&lt;=table!$F$10),1,0))</f>
        <v>#REF!</v>
      </c>
      <c r="V4644" s="5" t="e">
        <f>IF(AND(#REF!&gt;=table!$C$11,#REF!&lt;= table!$D$11),-1,IF(AND(#REF!&gt;=table!$E$11,#REF!&lt;=table!$F$11),1,0))</f>
        <v>#REF!</v>
      </c>
      <c r="W4644" s="5" t="e">
        <f>CONCATENATE(dados[[#This Row],[fator1]],dados[[#This Row],[fator5]],dados[[#This Row],[fator6]])</f>
        <v>#REF!</v>
      </c>
    </row>
    <row r="4645" spans="1:23">
      <c r="A4645" t="s">
        <v>16</v>
      </c>
      <c r="B4645">
        <v>590601</v>
      </c>
      <c r="C4645">
        <v>3</v>
      </c>
      <c r="D4645">
        <v>30</v>
      </c>
      <c r="E4645">
        <v>21</v>
      </c>
      <c r="F4645">
        <v>15</v>
      </c>
      <c r="G4645">
        <v>0</v>
      </c>
      <c r="H4645">
        <v>25</v>
      </c>
      <c r="I4645">
        <v>238</v>
      </c>
      <c r="J4645">
        <v>0</v>
      </c>
      <c r="K4645">
        <v>5.5910000000000002</v>
      </c>
      <c r="L4645">
        <v>13.4595</v>
      </c>
      <c r="M4645">
        <v>11.689500000000001</v>
      </c>
      <c r="N4645">
        <v>15.625</v>
      </c>
      <c r="O4645">
        <v>1691</v>
      </c>
      <c r="P4645">
        <v>733</v>
      </c>
      <c r="Q4645" s="5" t="e">
        <f>IF(AND(#REF!&gt;=table!$C$6,#REF!&lt;= table!$D$6),-1,IF(AND(#REF!&gt;=table!$E$6,#REF!&lt;=table!$F$6),1,0))</f>
        <v>#REF!</v>
      </c>
      <c r="R4645" s="5" t="e">
        <f>IF(AND(#REF!&gt;=table!$C$7,#REF!&lt;= table!$D$7),-1,IF(AND(#REF!&gt;=table!$E$7,#REF!&lt;=table!$F$7),1,0))</f>
        <v>#REF!</v>
      </c>
      <c r="S4645" s="5" t="e">
        <f>IF(AND(#REF!&gt;=table!$C$8,#REF!&lt;= table!$D$8),-1,IF(AND(#REF!&gt;=table!$E$8,#REF!&lt;=table!$F$8),1,0))</f>
        <v>#REF!</v>
      </c>
      <c r="T4645" s="5"/>
      <c r="U4645" s="5" t="e">
        <f>IF(AND(#REF!&gt;=table!$C$10,#REF!&lt;= table!$D$10),-1,IF(AND(#REF!&gt;=table!$E$10,#REF!&lt;=table!$F$10),1,0))</f>
        <v>#REF!</v>
      </c>
      <c r="V4645" s="5" t="e">
        <f>IF(AND(#REF!&gt;=table!$C$11,#REF!&lt;= table!$D$11),-1,IF(AND(#REF!&gt;=table!$E$11,#REF!&lt;=table!$F$11),1,0))</f>
        <v>#REF!</v>
      </c>
      <c r="W4645" s="5" t="e">
        <f>CONCATENATE(dados[[#This Row],[fator1]],dados[[#This Row],[fator5]],dados[[#This Row],[fator6]])</f>
        <v>#REF!</v>
      </c>
    </row>
    <row r="4646" spans="1:23">
      <c r="A4646" t="s">
        <v>17</v>
      </c>
      <c r="B4646">
        <v>590603</v>
      </c>
      <c r="C4646">
        <v>8</v>
      </c>
      <c r="D4646">
        <v>30</v>
      </c>
      <c r="E4646">
        <v>150</v>
      </c>
      <c r="F4646">
        <v>1</v>
      </c>
      <c r="G4646">
        <v>20</v>
      </c>
      <c r="H4646">
        <v>18</v>
      </c>
      <c r="I4646">
        <v>69</v>
      </c>
      <c r="J4646">
        <v>0</v>
      </c>
      <c r="K4646">
        <v>3.45</v>
      </c>
      <c r="L4646">
        <v>8.5330000000000013</v>
      </c>
      <c r="M4646">
        <v>122.07700000000001</v>
      </c>
      <c r="N4646">
        <v>7.9950000000000001</v>
      </c>
      <c r="O4646">
        <v>1688</v>
      </c>
      <c r="P4646">
        <v>797</v>
      </c>
      <c r="Q4646" s="5" t="e">
        <f>IF(AND(#REF!&gt;=table!$C$6,#REF!&lt;= table!$D$6),-1,IF(AND(#REF!&gt;=table!$E$6,#REF!&lt;=table!$F$6),1,0))</f>
        <v>#REF!</v>
      </c>
      <c r="R4646" s="5" t="e">
        <f>IF(AND(#REF!&gt;=table!$C$7,#REF!&lt;= table!$D$7),-1,IF(AND(#REF!&gt;=table!$E$7,#REF!&lt;=table!$F$7),1,0))</f>
        <v>#REF!</v>
      </c>
      <c r="S4646" s="5" t="e">
        <f>IF(AND(#REF!&gt;=table!$C$8,#REF!&lt;= table!$D$8),-1,IF(AND(#REF!&gt;=table!$E$8,#REF!&lt;=table!$F$8),1,0))</f>
        <v>#REF!</v>
      </c>
      <c r="T4646" s="5"/>
      <c r="U4646" s="5" t="e">
        <f>IF(AND(#REF!&gt;=table!$C$10,#REF!&lt;= table!$D$10),-1,IF(AND(#REF!&gt;=table!$E$10,#REF!&lt;=table!$F$10),1,0))</f>
        <v>#REF!</v>
      </c>
      <c r="V4646" s="5" t="e">
        <f>IF(AND(#REF!&gt;=table!$C$11,#REF!&lt;= table!$D$11),-1,IF(AND(#REF!&gt;=table!$E$11,#REF!&lt;=table!$F$11),1,0))</f>
        <v>#REF!</v>
      </c>
      <c r="W4646" s="5" t="e">
        <f>CONCATENATE(dados[[#This Row],[fator1]],dados[[#This Row],[fator5]],dados[[#This Row],[fator6]])</f>
        <v>#REF!</v>
      </c>
    </row>
    <row r="4647" spans="1:23">
      <c r="A4647" t="s">
        <v>17</v>
      </c>
      <c r="B4647">
        <v>590604</v>
      </c>
      <c r="C4647">
        <v>8</v>
      </c>
      <c r="D4647">
        <v>30</v>
      </c>
      <c r="E4647">
        <v>150</v>
      </c>
      <c r="F4647">
        <v>1</v>
      </c>
      <c r="G4647">
        <v>20</v>
      </c>
      <c r="H4647">
        <v>18</v>
      </c>
      <c r="I4647">
        <v>0</v>
      </c>
      <c r="J4647">
        <v>0</v>
      </c>
      <c r="K4647">
        <v>2.5620000000000003</v>
      </c>
      <c r="L4647">
        <v>7.9040000000000008</v>
      </c>
      <c r="M4647">
        <v>122.90400000000001</v>
      </c>
      <c r="N4647">
        <v>7.9750000000000005</v>
      </c>
      <c r="O4647">
        <v>1651</v>
      </c>
      <c r="P4647">
        <v>710</v>
      </c>
      <c r="Q4647" s="5" t="e">
        <f>IF(AND(#REF!&gt;=table!$C$6,#REF!&lt;= table!$D$6),-1,IF(AND(#REF!&gt;=table!$E$6,#REF!&lt;=table!$F$6),1,0))</f>
        <v>#REF!</v>
      </c>
      <c r="R4647" s="5" t="e">
        <f>IF(AND(#REF!&gt;=table!$C$7,#REF!&lt;= table!$D$7),-1,IF(AND(#REF!&gt;=table!$E$7,#REF!&lt;=table!$F$7),1,0))</f>
        <v>#REF!</v>
      </c>
      <c r="S4647" s="5" t="e">
        <f>IF(AND(#REF!&gt;=table!$C$8,#REF!&lt;= table!$D$8),-1,IF(AND(#REF!&gt;=table!$E$8,#REF!&lt;=table!$F$8),1,0))</f>
        <v>#REF!</v>
      </c>
      <c r="T4647" s="5"/>
      <c r="U4647" s="5" t="e">
        <f>IF(AND(#REF!&gt;=table!$C$10,#REF!&lt;= table!$D$10),-1,IF(AND(#REF!&gt;=table!$E$10,#REF!&lt;=table!$F$10),1,0))</f>
        <v>#REF!</v>
      </c>
      <c r="V4647" s="5" t="e">
        <f>IF(AND(#REF!&gt;=table!$C$11,#REF!&lt;= table!$D$11),-1,IF(AND(#REF!&gt;=table!$E$11,#REF!&lt;=table!$F$11),1,0))</f>
        <v>#REF!</v>
      </c>
      <c r="W4647" s="5" t="e">
        <f>CONCATENATE(dados[[#This Row],[fator1]],dados[[#This Row],[fator5]],dados[[#This Row],[fator6]])</f>
        <v>#REF!</v>
      </c>
    </row>
    <row r="4648" spans="1:23">
      <c r="A4648" t="s">
        <v>17</v>
      </c>
      <c r="B4648">
        <v>590605</v>
      </c>
      <c r="C4648">
        <v>8</v>
      </c>
      <c r="D4648">
        <v>30</v>
      </c>
      <c r="E4648">
        <v>150</v>
      </c>
      <c r="F4648">
        <v>1</v>
      </c>
      <c r="G4648">
        <v>20</v>
      </c>
      <c r="H4648">
        <v>18</v>
      </c>
      <c r="I4648">
        <v>0</v>
      </c>
      <c r="J4648">
        <v>700</v>
      </c>
      <c r="K4648">
        <v>5.9060000000000006</v>
      </c>
      <c r="L4648">
        <v>9.3834999999999997</v>
      </c>
      <c r="M4648">
        <v>84.98</v>
      </c>
      <c r="N4648">
        <v>7.51</v>
      </c>
      <c r="O4648">
        <v>1685</v>
      </c>
      <c r="P4648">
        <v>0</v>
      </c>
      <c r="Q4648" s="5" t="e">
        <f>IF(AND(#REF!&gt;=table!$C$6,#REF!&lt;= table!$D$6),-1,IF(AND(#REF!&gt;=table!$E$6,#REF!&lt;=table!$F$6),1,0))</f>
        <v>#REF!</v>
      </c>
      <c r="R4648" s="5" t="e">
        <f>IF(AND(#REF!&gt;=table!$C$7,#REF!&lt;= table!$D$7),-1,IF(AND(#REF!&gt;=table!$E$7,#REF!&lt;=table!$F$7),1,0))</f>
        <v>#REF!</v>
      </c>
      <c r="S4648" s="5" t="e">
        <f>IF(AND(#REF!&gt;=table!$C$8,#REF!&lt;= table!$D$8),-1,IF(AND(#REF!&gt;=table!$E$8,#REF!&lt;=table!$F$8),1,0))</f>
        <v>#REF!</v>
      </c>
      <c r="T4648" s="5"/>
      <c r="U4648" s="5" t="e">
        <f>IF(AND(#REF!&gt;=table!$C$10,#REF!&lt;= table!$D$10),-1,IF(AND(#REF!&gt;=table!$E$10,#REF!&lt;=table!$F$10),1,0))</f>
        <v>#REF!</v>
      </c>
      <c r="V4648" s="5" t="e">
        <f>IF(AND(#REF!&gt;=table!$C$11,#REF!&lt;= table!$D$11),-1,IF(AND(#REF!&gt;=table!$E$11,#REF!&lt;=table!$F$11),1,0))</f>
        <v>#REF!</v>
      </c>
      <c r="W4648" s="5" t="e">
        <f>CONCATENATE(dados[[#This Row],[fator1]],dados[[#This Row],[fator5]],dados[[#This Row],[fator6]])</f>
        <v>#REF!</v>
      </c>
    </row>
    <row r="4649" spans="1:23">
      <c r="A4649" t="s">
        <v>17</v>
      </c>
      <c r="B4649">
        <v>590606</v>
      </c>
      <c r="C4649">
        <v>8</v>
      </c>
      <c r="D4649">
        <v>30</v>
      </c>
      <c r="E4649">
        <v>150</v>
      </c>
      <c r="F4649">
        <v>1</v>
      </c>
      <c r="G4649">
        <v>20</v>
      </c>
      <c r="H4649">
        <v>18</v>
      </c>
      <c r="I4649">
        <v>0</v>
      </c>
      <c r="J4649">
        <v>0</v>
      </c>
      <c r="K4649">
        <v>4.9009999999999998</v>
      </c>
      <c r="L4649">
        <v>8.2955000000000005</v>
      </c>
      <c r="M4649">
        <v>131.017</v>
      </c>
      <c r="N4649">
        <v>10.92</v>
      </c>
      <c r="O4649">
        <v>1691</v>
      </c>
      <c r="P4649">
        <v>0</v>
      </c>
      <c r="Q4649" s="5" t="e">
        <f>IF(AND(#REF!&gt;=table!$C$6,#REF!&lt;= table!$D$6),-1,IF(AND(#REF!&gt;=table!$E$6,#REF!&lt;=table!$F$6),1,0))</f>
        <v>#REF!</v>
      </c>
      <c r="R4649" s="5" t="e">
        <f>IF(AND(#REF!&gt;=table!$C$7,#REF!&lt;= table!$D$7),-1,IF(AND(#REF!&gt;=table!$E$7,#REF!&lt;=table!$F$7),1,0))</f>
        <v>#REF!</v>
      </c>
      <c r="S4649" s="5" t="e">
        <f>IF(AND(#REF!&gt;=table!$C$8,#REF!&lt;= table!$D$8),-1,IF(AND(#REF!&gt;=table!$E$8,#REF!&lt;=table!$F$8),1,0))</f>
        <v>#REF!</v>
      </c>
      <c r="T4649" s="5"/>
      <c r="U4649" s="5" t="e">
        <f>IF(AND(#REF!&gt;=table!$C$10,#REF!&lt;= table!$D$10),-1,IF(AND(#REF!&gt;=table!$E$10,#REF!&lt;=table!$F$10),1,0))</f>
        <v>#REF!</v>
      </c>
      <c r="V4649" s="5" t="e">
        <f>IF(AND(#REF!&gt;=table!$C$11,#REF!&lt;= table!$D$11),-1,IF(AND(#REF!&gt;=table!$E$11,#REF!&lt;=table!$F$11),1,0))</f>
        <v>#REF!</v>
      </c>
      <c r="W4649" s="5" t="e">
        <f>CONCATENATE(dados[[#This Row],[fator1]],dados[[#This Row],[fator5]],dados[[#This Row],[fator6]])</f>
        <v>#REF!</v>
      </c>
    </row>
    <row r="4650" spans="1:23">
      <c r="A4650" t="s">
        <v>16</v>
      </c>
      <c r="B4650">
        <v>590608</v>
      </c>
      <c r="C4650">
        <v>0.15</v>
      </c>
      <c r="D4650">
        <v>40</v>
      </c>
      <c r="E4650">
        <v>10</v>
      </c>
      <c r="F4650">
        <v>15</v>
      </c>
      <c r="G4650">
        <v>0</v>
      </c>
      <c r="H4650">
        <v>15</v>
      </c>
      <c r="I4650">
        <v>1792</v>
      </c>
      <c r="J4650">
        <v>0</v>
      </c>
      <c r="K4650">
        <v>3.7650000000000001</v>
      </c>
      <c r="L4650">
        <v>13.8375</v>
      </c>
      <c r="M4650">
        <v>11.5045</v>
      </c>
      <c r="N4650">
        <v>11.1</v>
      </c>
      <c r="O4650">
        <v>1663</v>
      </c>
      <c r="P4650">
        <v>687</v>
      </c>
      <c r="Q4650" s="5" t="e">
        <f>IF(AND(#REF!&gt;=table!$C$6,#REF!&lt;= table!$D$6),-1,IF(AND(#REF!&gt;=table!$E$6,#REF!&lt;=table!$F$6),1,0))</f>
        <v>#REF!</v>
      </c>
      <c r="R4650" s="5" t="e">
        <f>IF(AND(#REF!&gt;=table!$C$7,#REF!&lt;= table!$D$7),-1,IF(AND(#REF!&gt;=table!$E$7,#REF!&lt;=table!$F$7),1,0))</f>
        <v>#REF!</v>
      </c>
      <c r="S4650" s="5" t="e">
        <f>IF(AND(#REF!&gt;=table!$C$8,#REF!&lt;= table!$D$8),-1,IF(AND(#REF!&gt;=table!$E$8,#REF!&lt;=table!$F$8),1,0))</f>
        <v>#REF!</v>
      </c>
      <c r="T4650" s="5"/>
      <c r="U4650" s="5" t="e">
        <f>IF(AND(#REF!&gt;=table!$C$10,#REF!&lt;= table!$D$10),-1,IF(AND(#REF!&gt;=table!$E$10,#REF!&lt;=table!$F$10),1,0))</f>
        <v>#REF!</v>
      </c>
      <c r="V4650" s="5" t="e">
        <f>IF(AND(#REF!&gt;=table!$C$11,#REF!&lt;= table!$D$11),-1,IF(AND(#REF!&gt;=table!$E$11,#REF!&lt;=table!$F$11),1,0))</f>
        <v>#REF!</v>
      </c>
      <c r="W4650" s="5" t="e">
        <f>CONCATENATE(dados[[#This Row],[fator1]],dados[[#This Row],[fator5]],dados[[#This Row],[fator6]])</f>
        <v>#REF!</v>
      </c>
    </row>
    <row r="4651" spans="1:23">
      <c r="A4651" t="s">
        <v>16</v>
      </c>
      <c r="B4651">
        <v>590612</v>
      </c>
      <c r="C4651">
        <v>4</v>
      </c>
      <c r="D4651">
        <v>40</v>
      </c>
      <c r="E4651">
        <v>21</v>
      </c>
      <c r="F4651">
        <v>10</v>
      </c>
      <c r="G4651">
        <v>0</v>
      </c>
      <c r="H4651">
        <v>25</v>
      </c>
      <c r="I4651">
        <v>1159</v>
      </c>
      <c r="J4651">
        <v>0</v>
      </c>
      <c r="K4651">
        <v>3.7815000000000003</v>
      </c>
      <c r="L4651">
        <v>8.384500000000001</v>
      </c>
      <c r="M4651">
        <v>16.760999999999999</v>
      </c>
      <c r="N4651">
        <v>7.6000000000000005</v>
      </c>
      <c r="O4651">
        <v>1637</v>
      </c>
      <c r="P4651">
        <v>0</v>
      </c>
      <c r="Q4651" s="5" t="e">
        <f>IF(AND(#REF!&gt;=table!$C$6,#REF!&lt;= table!$D$6),-1,IF(AND(#REF!&gt;=table!$E$6,#REF!&lt;=table!$F$6),1,0))</f>
        <v>#REF!</v>
      </c>
      <c r="R4651" s="5" t="e">
        <f>IF(AND(#REF!&gt;=table!$C$7,#REF!&lt;= table!$D$7),-1,IF(AND(#REF!&gt;=table!$E$7,#REF!&lt;=table!$F$7),1,0))</f>
        <v>#REF!</v>
      </c>
      <c r="S4651" s="5" t="e">
        <f>IF(AND(#REF!&gt;=table!$C$8,#REF!&lt;= table!$D$8),-1,IF(AND(#REF!&gt;=table!$E$8,#REF!&lt;=table!$F$8),1,0))</f>
        <v>#REF!</v>
      </c>
      <c r="T4651" s="5"/>
      <c r="U4651" s="5" t="e">
        <f>IF(AND(#REF!&gt;=table!$C$10,#REF!&lt;= table!$D$10),-1,IF(AND(#REF!&gt;=table!$E$10,#REF!&lt;=table!$F$10),1,0))</f>
        <v>#REF!</v>
      </c>
      <c r="V4651" s="5" t="e">
        <f>IF(AND(#REF!&gt;=table!$C$11,#REF!&lt;= table!$D$11),-1,IF(AND(#REF!&gt;=table!$E$11,#REF!&lt;=table!$F$11),1,0))</f>
        <v>#REF!</v>
      </c>
      <c r="W4651" s="5" t="e">
        <f>CONCATENATE(dados[[#This Row],[fator1]],dados[[#This Row],[fator5]],dados[[#This Row],[fator6]])</f>
        <v>#REF!</v>
      </c>
    </row>
    <row r="4652" spans="1:23">
      <c r="A4652" t="s">
        <v>16</v>
      </c>
      <c r="B4652">
        <v>590617</v>
      </c>
      <c r="C4652">
        <v>0.23</v>
      </c>
      <c r="D4652">
        <v>65</v>
      </c>
      <c r="E4652">
        <v>26</v>
      </c>
      <c r="F4652">
        <v>15</v>
      </c>
      <c r="G4652">
        <v>0</v>
      </c>
      <c r="H4652">
        <v>35</v>
      </c>
      <c r="I4652">
        <v>1510</v>
      </c>
      <c r="J4652">
        <v>0</v>
      </c>
      <c r="K4652">
        <v>3.6555</v>
      </c>
      <c r="L4652">
        <v>9.652000000000001</v>
      </c>
      <c r="M4652">
        <v>8.8030000000000008</v>
      </c>
      <c r="N4652">
        <v>16.035</v>
      </c>
      <c r="O4652">
        <v>1695</v>
      </c>
      <c r="P4652">
        <v>1053</v>
      </c>
      <c r="Q4652" s="5" t="e">
        <f>IF(AND(#REF!&gt;=table!$C$6,#REF!&lt;= table!$D$6),-1,IF(AND(#REF!&gt;=table!$E$6,#REF!&lt;=table!$F$6),1,0))</f>
        <v>#REF!</v>
      </c>
      <c r="R4652" s="5" t="e">
        <f>IF(AND(#REF!&gt;=table!$C$7,#REF!&lt;= table!$D$7),-1,IF(AND(#REF!&gt;=table!$E$7,#REF!&lt;=table!$F$7),1,0))</f>
        <v>#REF!</v>
      </c>
      <c r="S4652" s="5" t="e">
        <f>IF(AND(#REF!&gt;=table!$C$8,#REF!&lt;= table!$D$8),-1,IF(AND(#REF!&gt;=table!$E$8,#REF!&lt;=table!$F$8),1,0))</f>
        <v>#REF!</v>
      </c>
      <c r="T4652" s="5"/>
      <c r="U4652" s="5" t="e">
        <f>IF(AND(#REF!&gt;=table!$C$10,#REF!&lt;= table!$D$10),-1,IF(AND(#REF!&gt;=table!$E$10,#REF!&lt;=table!$F$10),1,0))</f>
        <v>#REF!</v>
      </c>
      <c r="V4652" s="5" t="e">
        <f>IF(AND(#REF!&gt;=table!$C$11,#REF!&lt;= table!$D$11),-1,IF(AND(#REF!&gt;=table!$E$11,#REF!&lt;=table!$F$11),1,0))</f>
        <v>#REF!</v>
      </c>
      <c r="W4652" s="5" t="e">
        <f>CONCATENATE(dados[[#This Row],[fator1]],dados[[#This Row],[fator5]],dados[[#This Row],[fator6]])</f>
        <v>#REF!</v>
      </c>
    </row>
    <row r="4653" spans="1:23">
      <c r="A4653" t="s">
        <v>16</v>
      </c>
      <c r="B4653">
        <v>590622</v>
      </c>
      <c r="C4653">
        <v>8</v>
      </c>
      <c r="D4653">
        <v>30</v>
      </c>
      <c r="E4653">
        <v>86</v>
      </c>
      <c r="F4653">
        <v>9</v>
      </c>
      <c r="G4653">
        <v>0</v>
      </c>
      <c r="H4653">
        <v>25</v>
      </c>
      <c r="I4653">
        <v>23</v>
      </c>
      <c r="J4653">
        <v>0</v>
      </c>
      <c r="K4653">
        <v>8.3920000000000012</v>
      </c>
      <c r="L4653">
        <v>15.791</v>
      </c>
      <c r="M4653">
        <v>70.647500000000008</v>
      </c>
      <c r="N4653">
        <v>15.56</v>
      </c>
      <c r="O4653">
        <v>1663</v>
      </c>
      <c r="P4653">
        <v>402</v>
      </c>
      <c r="Q4653" s="5" t="e">
        <f>IF(AND(#REF!&gt;=table!$C$6,#REF!&lt;= table!$D$6),-1,IF(AND(#REF!&gt;=table!$E$6,#REF!&lt;=table!$F$6),1,0))</f>
        <v>#REF!</v>
      </c>
      <c r="R4653" s="5" t="e">
        <f>IF(AND(#REF!&gt;=table!$C$7,#REF!&lt;= table!$D$7),-1,IF(AND(#REF!&gt;=table!$E$7,#REF!&lt;=table!$F$7),1,0))</f>
        <v>#REF!</v>
      </c>
      <c r="S4653" s="5" t="e">
        <f>IF(AND(#REF!&gt;=table!$C$8,#REF!&lt;= table!$D$8),-1,IF(AND(#REF!&gt;=table!$E$8,#REF!&lt;=table!$F$8),1,0))</f>
        <v>#REF!</v>
      </c>
      <c r="T4653" s="5"/>
      <c r="U4653" s="5" t="e">
        <f>IF(AND(#REF!&gt;=table!$C$10,#REF!&lt;= table!$D$10),-1,IF(AND(#REF!&gt;=table!$E$10,#REF!&lt;=table!$F$10),1,0))</f>
        <v>#REF!</v>
      </c>
      <c r="V4653" s="5" t="e">
        <f>IF(AND(#REF!&gt;=table!$C$11,#REF!&lt;= table!$D$11),-1,IF(AND(#REF!&gt;=table!$E$11,#REF!&lt;=table!$F$11),1,0))</f>
        <v>#REF!</v>
      </c>
      <c r="W4653" s="5" t="e">
        <f>CONCATENATE(dados[[#This Row],[fator1]],dados[[#This Row],[fator5]],dados[[#This Row],[fator6]])</f>
        <v>#REF!</v>
      </c>
    </row>
    <row r="4654" spans="1:23">
      <c r="A4654" t="s">
        <v>16</v>
      </c>
      <c r="B4654">
        <v>590624</v>
      </c>
      <c r="C4654">
        <v>10</v>
      </c>
      <c r="D4654">
        <v>40</v>
      </c>
      <c r="E4654">
        <v>96</v>
      </c>
      <c r="F4654">
        <v>8</v>
      </c>
      <c r="G4654">
        <v>0</v>
      </c>
      <c r="H4654">
        <v>25</v>
      </c>
      <c r="I4654">
        <v>885</v>
      </c>
      <c r="J4654">
        <v>0</v>
      </c>
      <c r="K4654">
        <v>5.7860000000000005</v>
      </c>
      <c r="L4654">
        <v>15.054500000000001</v>
      </c>
      <c r="M4654">
        <v>56.106000000000002</v>
      </c>
      <c r="N4654">
        <v>20.715</v>
      </c>
      <c r="O4654">
        <v>1693</v>
      </c>
      <c r="P4654">
        <v>722</v>
      </c>
      <c r="Q4654" s="5" t="e">
        <f>IF(AND(#REF!&gt;=table!$C$6,#REF!&lt;= table!$D$6),-1,IF(AND(#REF!&gt;=table!$E$6,#REF!&lt;=table!$F$6),1,0))</f>
        <v>#REF!</v>
      </c>
      <c r="R4654" s="5" t="e">
        <f>IF(AND(#REF!&gt;=table!$C$7,#REF!&lt;= table!$D$7),-1,IF(AND(#REF!&gt;=table!$E$7,#REF!&lt;=table!$F$7),1,0))</f>
        <v>#REF!</v>
      </c>
      <c r="S4654" s="5" t="e">
        <f>IF(AND(#REF!&gt;=table!$C$8,#REF!&lt;= table!$D$8),-1,IF(AND(#REF!&gt;=table!$E$8,#REF!&lt;=table!$F$8),1,0))</f>
        <v>#REF!</v>
      </c>
      <c r="T4654" s="5"/>
      <c r="U4654" s="5" t="e">
        <f>IF(AND(#REF!&gt;=table!$C$10,#REF!&lt;= table!$D$10),-1,IF(AND(#REF!&gt;=table!$E$10,#REF!&lt;=table!$F$10),1,0))</f>
        <v>#REF!</v>
      </c>
      <c r="V4654" s="5" t="e">
        <f>IF(AND(#REF!&gt;=table!$C$11,#REF!&lt;= table!$D$11),-1,IF(AND(#REF!&gt;=table!$E$11,#REF!&lt;=table!$F$11),1,0))</f>
        <v>#REF!</v>
      </c>
      <c r="W4654" s="5" t="e">
        <f>CONCATENATE(dados[[#This Row],[fator1]],dados[[#This Row],[fator5]],dados[[#This Row],[fator6]])</f>
        <v>#REF!</v>
      </c>
    </row>
    <row r="4655" spans="1:23">
      <c r="A4655" t="s">
        <v>16</v>
      </c>
      <c r="B4655">
        <v>590625</v>
      </c>
      <c r="C4655">
        <v>8</v>
      </c>
      <c r="D4655">
        <v>30</v>
      </c>
      <c r="E4655">
        <v>61</v>
      </c>
      <c r="F4655">
        <v>8</v>
      </c>
      <c r="G4655">
        <v>0</v>
      </c>
      <c r="H4655">
        <v>25</v>
      </c>
      <c r="I4655">
        <v>247</v>
      </c>
      <c r="J4655">
        <v>0</v>
      </c>
      <c r="K4655">
        <v>6.3347000000000007</v>
      </c>
      <c r="L4655">
        <v>11.689500000000001</v>
      </c>
      <c r="M4655">
        <v>63.342500000000001</v>
      </c>
      <c r="N4655">
        <v>17.095000000000002</v>
      </c>
      <c r="O4655">
        <v>1673</v>
      </c>
      <c r="P4655">
        <v>902</v>
      </c>
      <c r="Q4655" s="5" t="e">
        <f>IF(AND(#REF!&gt;=table!$C$6,#REF!&lt;= table!$D$6),-1,IF(AND(#REF!&gt;=table!$E$6,#REF!&lt;=table!$F$6),1,0))</f>
        <v>#REF!</v>
      </c>
      <c r="R4655" s="5" t="e">
        <f>IF(AND(#REF!&gt;=table!$C$7,#REF!&lt;= table!$D$7),-1,IF(AND(#REF!&gt;=table!$E$7,#REF!&lt;=table!$F$7),1,0))</f>
        <v>#REF!</v>
      </c>
      <c r="S4655" s="5" t="e">
        <f>IF(AND(#REF!&gt;=table!$C$8,#REF!&lt;= table!$D$8),-1,IF(AND(#REF!&gt;=table!$E$8,#REF!&lt;=table!$F$8),1,0))</f>
        <v>#REF!</v>
      </c>
      <c r="T4655" s="5"/>
      <c r="U4655" s="5" t="e">
        <f>IF(AND(#REF!&gt;=table!$C$10,#REF!&lt;= table!$D$10),-1,IF(AND(#REF!&gt;=table!$E$10,#REF!&lt;=table!$F$10),1,0))</f>
        <v>#REF!</v>
      </c>
      <c r="V4655" s="5" t="e">
        <f>IF(AND(#REF!&gt;=table!$C$11,#REF!&lt;= table!$D$11),-1,IF(AND(#REF!&gt;=table!$E$11,#REF!&lt;=table!$F$11),1,0))</f>
        <v>#REF!</v>
      </c>
      <c r="W4655" s="5" t="e">
        <f>CONCATENATE(dados[[#This Row],[fator1]],dados[[#This Row],[fator5]],dados[[#This Row],[fator6]])</f>
        <v>#REF!</v>
      </c>
    </row>
    <row r="4656" spans="1:23">
      <c r="A4656" t="s">
        <v>16</v>
      </c>
      <c r="B4656">
        <v>590628</v>
      </c>
      <c r="C4656">
        <v>10</v>
      </c>
      <c r="D4656">
        <v>30</v>
      </c>
      <c r="E4656">
        <v>150</v>
      </c>
      <c r="F4656">
        <v>4</v>
      </c>
      <c r="G4656">
        <v>0</v>
      </c>
      <c r="H4656">
        <v>25</v>
      </c>
      <c r="I4656">
        <v>788</v>
      </c>
      <c r="J4656">
        <v>0</v>
      </c>
      <c r="K4656">
        <v>5.9205000000000005</v>
      </c>
      <c r="L4656">
        <v>14.973000000000001</v>
      </c>
      <c r="M4656">
        <v>122.795</v>
      </c>
      <c r="N4656">
        <v>19.28</v>
      </c>
      <c r="O4656">
        <v>1679</v>
      </c>
      <c r="P4656">
        <v>665</v>
      </c>
      <c r="Q4656" s="5" t="e">
        <f>IF(AND(#REF!&gt;=table!$C$6,#REF!&lt;= table!$D$6),-1,IF(AND(#REF!&gt;=table!$E$6,#REF!&lt;=table!$F$6),1,0))</f>
        <v>#REF!</v>
      </c>
      <c r="R4656" s="5" t="e">
        <f>IF(AND(#REF!&gt;=table!$C$7,#REF!&lt;= table!$D$7),-1,IF(AND(#REF!&gt;=table!$E$7,#REF!&lt;=table!$F$7),1,0))</f>
        <v>#REF!</v>
      </c>
      <c r="S4656" s="5" t="e">
        <f>IF(AND(#REF!&gt;=table!$C$8,#REF!&lt;= table!$D$8),-1,IF(AND(#REF!&gt;=table!$E$8,#REF!&lt;=table!$F$8),1,0))</f>
        <v>#REF!</v>
      </c>
      <c r="T4656" s="5"/>
      <c r="U4656" s="5" t="e">
        <f>IF(AND(#REF!&gt;=table!$C$10,#REF!&lt;= table!$D$10),-1,IF(AND(#REF!&gt;=table!$E$10,#REF!&lt;=table!$F$10),1,0))</f>
        <v>#REF!</v>
      </c>
      <c r="V4656" s="5" t="e">
        <f>IF(AND(#REF!&gt;=table!$C$11,#REF!&lt;= table!$D$11),-1,IF(AND(#REF!&gt;=table!$E$11,#REF!&lt;=table!$F$11),1,0))</f>
        <v>#REF!</v>
      </c>
      <c r="W4656" s="5" t="e">
        <f>CONCATENATE(dados[[#This Row],[fator1]],dados[[#This Row],[fator5]],dados[[#This Row],[fator6]])</f>
        <v>#REF!</v>
      </c>
    </row>
    <row r="4657" spans="1:23">
      <c r="A4657" t="s">
        <v>17</v>
      </c>
      <c r="B4657">
        <v>590634</v>
      </c>
      <c r="C4657">
        <v>15</v>
      </c>
      <c r="D4657">
        <v>35</v>
      </c>
      <c r="E4657">
        <v>120</v>
      </c>
      <c r="F4657">
        <v>4</v>
      </c>
      <c r="G4657">
        <v>15</v>
      </c>
      <c r="H4657">
        <v>20</v>
      </c>
      <c r="I4657">
        <v>416</v>
      </c>
      <c r="J4657">
        <v>0</v>
      </c>
      <c r="K4657">
        <v>3.6725000000000003</v>
      </c>
      <c r="L4657">
        <v>8.245000000000001</v>
      </c>
      <c r="M4657">
        <v>99.585000000000008</v>
      </c>
      <c r="N4657">
        <v>13.125</v>
      </c>
      <c r="O4657">
        <v>1669</v>
      </c>
      <c r="P4657">
        <v>1317</v>
      </c>
      <c r="Q4657" s="5" t="e">
        <f>IF(AND(#REF!&gt;=table!$C$6,#REF!&lt;= table!$D$6),-1,IF(AND(#REF!&gt;=table!$E$6,#REF!&lt;=table!$F$6),1,0))</f>
        <v>#REF!</v>
      </c>
      <c r="R4657" s="5" t="e">
        <f>IF(AND(#REF!&gt;=table!$C$7,#REF!&lt;= table!$D$7),-1,IF(AND(#REF!&gt;=table!$E$7,#REF!&lt;=table!$F$7),1,0))</f>
        <v>#REF!</v>
      </c>
      <c r="S4657" s="5" t="e">
        <f>IF(AND(#REF!&gt;=table!$C$8,#REF!&lt;= table!$D$8),-1,IF(AND(#REF!&gt;=table!$E$8,#REF!&lt;=table!$F$8),1,0))</f>
        <v>#REF!</v>
      </c>
      <c r="T4657" s="5"/>
      <c r="U4657" s="5" t="e">
        <f>IF(AND(#REF!&gt;=table!$C$10,#REF!&lt;= table!$D$10),-1,IF(AND(#REF!&gt;=table!$E$10,#REF!&lt;=table!$F$10),1,0))</f>
        <v>#REF!</v>
      </c>
      <c r="V4657" s="5" t="e">
        <f>IF(AND(#REF!&gt;=table!$C$11,#REF!&lt;= table!$D$11),-1,IF(AND(#REF!&gt;=table!$E$11,#REF!&lt;=table!$F$11),1,0))</f>
        <v>#REF!</v>
      </c>
      <c r="W4657" s="5" t="e">
        <f>CONCATENATE(dados[[#This Row],[fator1]],dados[[#This Row],[fator5]],dados[[#This Row],[fator6]])</f>
        <v>#REF!</v>
      </c>
    </row>
    <row r="4658" spans="1:23">
      <c r="A4658" t="s">
        <v>17</v>
      </c>
      <c r="B4658">
        <v>590635</v>
      </c>
      <c r="C4658">
        <v>8</v>
      </c>
      <c r="D4658">
        <v>25</v>
      </c>
      <c r="E4658">
        <v>136</v>
      </c>
      <c r="F4658">
        <v>6</v>
      </c>
      <c r="G4658">
        <v>8</v>
      </c>
      <c r="H4658">
        <v>25</v>
      </c>
      <c r="I4658">
        <v>464</v>
      </c>
      <c r="J4658">
        <v>0</v>
      </c>
      <c r="K4658">
        <v>4.4435000000000002</v>
      </c>
      <c r="L4658">
        <v>12.182500000000001</v>
      </c>
      <c r="M4658">
        <v>126.572</v>
      </c>
      <c r="N4658">
        <v>16.28</v>
      </c>
      <c r="O4658">
        <v>1674</v>
      </c>
      <c r="P4658">
        <v>929</v>
      </c>
      <c r="Q4658" s="5" t="e">
        <f>IF(AND(#REF!&gt;=table!$C$6,#REF!&lt;= table!$D$6),-1,IF(AND(#REF!&gt;=table!$E$6,#REF!&lt;=table!$F$6),1,0))</f>
        <v>#REF!</v>
      </c>
      <c r="R4658" s="5" t="e">
        <f>IF(AND(#REF!&gt;=table!$C$7,#REF!&lt;= table!$D$7),-1,IF(AND(#REF!&gt;=table!$E$7,#REF!&lt;=table!$F$7),1,0))</f>
        <v>#REF!</v>
      </c>
      <c r="S4658" s="5" t="e">
        <f>IF(AND(#REF!&gt;=table!$C$8,#REF!&lt;= table!$D$8),-1,IF(AND(#REF!&gt;=table!$E$8,#REF!&lt;=table!$F$8),1,0))</f>
        <v>#REF!</v>
      </c>
      <c r="T4658" s="5"/>
      <c r="U4658" s="5" t="e">
        <f>IF(AND(#REF!&gt;=table!$C$10,#REF!&lt;= table!$D$10),-1,IF(AND(#REF!&gt;=table!$E$10,#REF!&lt;=table!$F$10),1,0))</f>
        <v>#REF!</v>
      </c>
      <c r="V4658" s="5" t="e">
        <f>IF(AND(#REF!&gt;=table!$C$11,#REF!&lt;= table!$D$11),-1,IF(AND(#REF!&gt;=table!$E$11,#REF!&lt;=table!$F$11),1,0))</f>
        <v>#REF!</v>
      </c>
      <c r="W4658" s="5" t="e">
        <f>CONCATENATE(dados[[#This Row],[fator1]],dados[[#This Row],[fator5]],dados[[#This Row],[fator6]])</f>
        <v>#REF!</v>
      </c>
    </row>
    <row r="4659" spans="1:23">
      <c r="A4659" t="s">
        <v>17</v>
      </c>
      <c r="B4659">
        <v>590636</v>
      </c>
      <c r="C4659">
        <v>8</v>
      </c>
      <c r="D4659">
        <v>25</v>
      </c>
      <c r="E4659">
        <v>136</v>
      </c>
      <c r="F4659">
        <v>6</v>
      </c>
      <c r="G4659">
        <v>8</v>
      </c>
      <c r="H4659">
        <v>25</v>
      </c>
      <c r="I4659">
        <v>0</v>
      </c>
      <c r="J4659">
        <v>0</v>
      </c>
      <c r="K4659">
        <v>4.8475000000000001</v>
      </c>
      <c r="L4659">
        <v>16.628</v>
      </c>
      <c r="M4659">
        <v>132.4555</v>
      </c>
      <c r="N4659">
        <v>17.865000000000002</v>
      </c>
      <c r="O4659">
        <v>1677</v>
      </c>
      <c r="P4659">
        <v>676</v>
      </c>
      <c r="Q4659" s="5" t="e">
        <f>IF(AND(#REF!&gt;=table!$C$6,#REF!&lt;= table!$D$6),-1,IF(AND(#REF!&gt;=table!$E$6,#REF!&lt;=table!$F$6),1,0))</f>
        <v>#REF!</v>
      </c>
      <c r="R4659" s="5" t="e">
        <f>IF(AND(#REF!&gt;=table!$C$7,#REF!&lt;= table!$D$7),-1,IF(AND(#REF!&gt;=table!$E$7,#REF!&lt;=table!$F$7),1,0))</f>
        <v>#REF!</v>
      </c>
      <c r="S4659" s="5" t="e">
        <f>IF(AND(#REF!&gt;=table!$C$8,#REF!&lt;= table!$D$8),-1,IF(AND(#REF!&gt;=table!$E$8,#REF!&lt;=table!$F$8),1,0))</f>
        <v>#REF!</v>
      </c>
      <c r="T4659" s="5"/>
      <c r="U4659" s="5" t="e">
        <f>IF(AND(#REF!&gt;=table!$C$10,#REF!&lt;= table!$D$10),-1,IF(AND(#REF!&gt;=table!$E$10,#REF!&lt;=table!$F$10),1,0))</f>
        <v>#REF!</v>
      </c>
      <c r="V4659" s="5" t="e">
        <f>IF(AND(#REF!&gt;=table!$C$11,#REF!&lt;= table!$D$11),-1,IF(AND(#REF!&gt;=table!$E$11,#REF!&lt;=table!$F$11),1,0))</f>
        <v>#REF!</v>
      </c>
      <c r="W4659" s="5" t="e">
        <f>CONCATENATE(dados[[#This Row],[fator1]],dados[[#This Row],[fator5]],dados[[#This Row],[fator6]])</f>
        <v>#REF!</v>
      </c>
    </row>
    <row r="4660" spans="1:23">
      <c r="A4660" t="s">
        <v>17</v>
      </c>
      <c r="B4660">
        <v>590637</v>
      </c>
      <c r="C4660">
        <v>8</v>
      </c>
      <c r="D4660">
        <v>25</v>
      </c>
      <c r="E4660">
        <v>136</v>
      </c>
      <c r="F4660">
        <v>6</v>
      </c>
      <c r="G4660">
        <v>8</v>
      </c>
      <c r="H4660">
        <v>25</v>
      </c>
      <c r="I4660">
        <v>470</v>
      </c>
      <c r="J4660">
        <v>0</v>
      </c>
      <c r="K4660">
        <v>5.9955000000000007</v>
      </c>
      <c r="L4660">
        <v>16.839000000000002</v>
      </c>
      <c r="M4660">
        <v>125.5245</v>
      </c>
      <c r="N4660">
        <v>20.135000000000002</v>
      </c>
      <c r="O4660">
        <v>1679</v>
      </c>
      <c r="P4660">
        <v>640</v>
      </c>
      <c r="Q4660" s="5" t="e">
        <f>IF(AND(#REF!&gt;=table!$C$6,#REF!&lt;= table!$D$6),-1,IF(AND(#REF!&gt;=table!$E$6,#REF!&lt;=table!$F$6),1,0))</f>
        <v>#REF!</v>
      </c>
      <c r="R4660" s="5" t="e">
        <f>IF(AND(#REF!&gt;=table!$C$7,#REF!&lt;= table!$D$7),-1,IF(AND(#REF!&gt;=table!$E$7,#REF!&lt;=table!$F$7),1,0))</f>
        <v>#REF!</v>
      </c>
      <c r="S4660" s="5" t="e">
        <f>IF(AND(#REF!&gt;=table!$C$8,#REF!&lt;= table!$D$8),-1,IF(AND(#REF!&gt;=table!$E$8,#REF!&lt;=table!$F$8),1,0))</f>
        <v>#REF!</v>
      </c>
      <c r="T4660" s="5"/>
      <c r="U4660" s="5" t="e">
        <f>IF(AND(#REF!&gt;=table!$C$10,#REF!&lt;= table!$D$10),-1,IF(AND(#REF!&gt;=table!$E$10,#REF!&lt;=table!$F$10),1,0))</f>
        <v>#REF!</v>
      </c>
      <c r="V4660" s="5" t="e">
        <f>IF(AND(#REF!&gt;=table!$C$11,#REF!&lt;= table!$D$11),-1,IF(AND(#REF!&gt;=table!$E$11,#REF!&lt;=table!$F$11),1,0))</f>
        <v>#REF!</v>
      </c>
      <c r="W4660" s="5" t="e">
        <f>CONCATENATE(dados[[#This Row],[fator1]],dados[[#This Row],[fator5]],dados[[#This Row],[fator6]])</f>
        <v>#REF!</v>
      </c>
    </row>
    <row r="4661" spans="1:23">
      <c r="A4661" t="s">
        <v>17</v>
      </c>
      <c r="B4661">
        <v>590638</v>
      </c>
      <c r="C4661">
        <v>8</v>
      </c>
      <c r="D4661">
        <v>25</v>
      </c>
      <c r="E4661">
        <v>136</v>
      </c>
      <c r="F4661">
        <v>6</v>
      </c>
      <c r="G4661">
        <v>8</v>
      </c>
      <c r="H4661">
        <v>25</v>
      </c>
      <c r="I4661">
        <v>805</v>
      </c>
      <c r="J4661">
        <v>0</v>
      </c>
      <c r="K4661">
        <v>8.2684999999999995</v>
      </c>
      <c r="L4661">
        <v>16.931000000000001</v>
      </c>
      <c r="M4661">
        <v>128.16249999999999</v>
      </c>
      <c r="N4661">
        <v>17.745000000000001</v>
      </c>
      <c r="O4661">
        <v>1673</v>
      </c>
      <c r="P4661">
        <v>436</v>
      </c>
      <c r="Q4661" s="5" t="e">
        <f>IF(AND(#REF!&gt;=table!$C$6,#REF!&lt;= table!$D$6),-1,IF(AND(#REF!&gt;=table!$E$6,#REF!&lt;=table!$F$6),1,0))</f>
        <v>#REF!</v>
      </c>
      <c r="R4661" s="5" t="e">
        <f>IF(AND(#REF!&gt;=table!$C$7,#REF!&lt;= table!$D$7),-1,IF(AND(#REF!&gt;=table!$E$7,#REF!&lt;=table!$F$7),1,0))</f>
        <v>#REF!</v>
      </c>
      <c r="S4661" s="5" t="e">
        <f>IF(AND(#REF!&gt;=table!$C$8,#REF!&lt;= table!$D$8),-1,IF(AND(#REF!&gt;=table!$E$8,#REF!&lt;=table!$F$8),1,0))</f>
        <v>#REF!</v>
      </c>
      <c r="T4661" s="5"/>
      <c r="U4661" s="5" t="e">
        <f>IF(AND(#REF!&gt;=table!$C$10,#REF!&lt;= table!$D$10),-1,IF(AND(#REF!&gt;=table!$E$10,#REF!&lt;=table!$F$10),1,0))</f>
        <v>#REF!</v>
      </c>
      <c r="V4661" s="5" t="e">
        <f>IF(AND(#REF!&gt;=table!$C$11,#REF!&lt;= table!$D$11),-1,IF(AND(#REF!&gt;=table!$E$11,#REF!&lt;=table!$F$11),1,0))</f>
        <v>#REF!</v>
      </c>
      <c r="W4661" s="5" t="e">
        <f>CONCATENATE(dados[[#This Row],[fator1]],dados[[#This Row],[fator5]],dados[[#This Row],[fator6]])</f>
        <v>#REF!</v>
      </c>
    </row>
    <row r="4662" spans="1:23">
      <c r="A4662" t="s">
        <v>16</v>
      </c>
      <c r="B4662">
        <v>590641</v>
      </c>
      <c r="C4662">
        <v>11</v>
      </c>
      <c r="D4662">
        <v>40</v>
      </c>
      <c r="E4662">
        <v>151</v>
      </c>
      <c r="F4662">
        <v>8</v>
      </c>
      <c r="G4662">
        <v>0</v>
      </c>
      <c r="H4662">
        <v>25</v>
      </c>
      <c r="I4662">
        <v>0</v>
      </c>
      <c r="J4662">
        <v>0</v>
      </c>
      <c r="K4662">
        <v>6.98</v>
      </c>
      <c r="L4662">
        <v>18.809000000000001</v>
      </c>
      <c r="M4662">
        <v>61.89</v>
      </c>
      <c r="N4662">
        <v>18.475000000000001</v>
      </c>
      <c r="O4662">
        <v>1684</v>
      </c>
      <c r="P4662">
        <v>529</v>
      </c>
      <c r="Q4662" s="5" t="e">
        <f>IF(AND(#REF!&gt;=table!$C$6,#REF!&lt;= table!$D$6),-1,IF(AND(#REF!&gt;=table!$E$6,#REF!&lt;=table!$F$6),1,0))</f>
        <v>#REF!</v>
      </c>
      <c r="R4662" s="5" t="e">
        <f>IF(AND(#REF!&gt;=table!$C$7,#REF!&lt;= table!$D$7),-1,IF(AND(#REF!&gt;=table!$E$7,#REF!&lt;=table!$F$7),1,0))</f>
        <v>#REF!</v>
      </c>
      <c r="S4662" s="5" t="e">
        <f>IF(AND(#REF!&gt;=table!$C$8,#REF!&lt;= table!$D$8),-1,IF(AND(#REF!&gt;=table!$E$8,#REF!&lt;=table!$F$8),1,0))</f>
        <v>#REF!</v>
      </c>
      <c r="T4662" s="5"/>
      <c r="U4662" s="5" t="e">
        <f>IF(AND(#REF!&gt;=table!$C$10,#REF!&lt;= table!$D$10),-1,IF(AND(#REF!&gt;=table!$E$10,#REF!&lt;=table!$F$10),1,0))</f>
        <v>#REF!</v>
      </c>
      <c r="V4662" s="5" t="e">
        <f>IF(AND(#REF!&gt;=table!$C$11,#REF!&lt;= table!$D$11),-1,IF(AND(#REF!&gt;=table!$E$11,#REF!&lt;=table!$F$11),1,0))</f>
        <v>#REF!</v>
      </c>
      <c r="W4662" s="5" t="e">
        <f>CONCATENATE(dados[[#This Row],[fator1]],dados[[#This Row],[fator5]],dados[[#This Row],[fator6]])</f>
        <v>#REF!</v>
      </c>
    </row>
    <row r="4663" spans="1:23">
      <c r="A4663" t="s">
        <v>16</v>
      </c>
      <c r="B4663">
        <v>590651</v>
      </c>
      <c r="C4663">
        <v>0.15</v>
      </c>
      <c r="D4663">
        <v>35</v>
      </c>
      <c r="E4663">
        <v>15</v>
      </c>
      <c r="F4663">
        <v>10</v>
      </c>
      <c r="G4663">
        <v>0</v>
      </c>
      <c r="H4663">
        <v>12</v>
      </c>
      <c r="I4663">
        <v>798</v>
      </c>
      <c r="J4663">
        <v>0</v>
      </c>
      <c r="K4663">
        <v>4.5875000000000004</v>
      </c>
      <c r="L4663">
        <v>9.1810000000000009</v>
      </c>
      <c r="M4663">
        <v>7.0140000000000002</v>
      </c>
      <c r="N4663">
        <v>8.25</v>
      </c>
      <c r="O4663">
        <v>1678</v>
      </c>
      <c r="P4663">
        <v>780</v>
      </c>
      <c r="Q4663" s="5" t="e">
        <f>IF(AND(#REF!&gt;=table!$C$6,#REF!&lt;= table!$D$6),-1,IF(AND(#REF!&gt;=table!$E$6,#REF!&lt;=table!$F$6),1,0))</f>
        <v>#REF!</v>
      </c>
      <c r="R4663" s="5" t="e">
        <f>IF(AND(#REF!&gt;=table!$C$7,#REF!&lt;= table!$D$7),-1,IF(AND(#REF!&gt;=table!$E$7,#REF!&lt;=table!$F$7),1,0))</f>
        <v>#REF!</v>
      </c>
      <c r="S4663" s="5" t="e">
        <f>IF(AND(#REF!&gt;=table!$C$8,#REF!&lt;= table!$D$8),-1,IF(AND(#REF!&gt;=table!$E$8,#REF!&lt;=table!$F$8),1,0))</f>
        <v>#REF!</v>
      </c>
      <c r="T4663" s="5"/>
      <c r="U4663" s="5" t="e">
        <f>IF(AND(#REF!&gt;=table!$C$10,#REF!&lt;= table!$D$10),-1,IF(AND(#REF!&gt;=table!$E$10,#REF!&lt;=table!$F$10),1,0))</f>
        <v>#REF!</v>
      </c>
      <c r="V4663" s="5" t="e">
        <f>IF(AND(#REF!&gt;=table!$C$11,#REF!&lt;= table!$D$11),-1,IF(AND(#REF!&gt;=table!$E$11,#REF!&lt;=table!$F$11),1,0))</f>
        <v>#REF!</v>
      </c>
      <c r="W4663" s="5" t="e">
        <f>CONCATENATE(dados[[#This Row],[fator1]],dados[[#This Row],[fator5]],dados[[#This Row],[fator6]])</f>
        <v>#REF!</v>
      </c>
    </row>
    <row r="4664" spans="1:23">
      <c r="A4664" t="s">
        <v>16</v>
      </c>
      <c r="B4664">
        <v>590652</v>
      </c>
      <c r="C4664">
        <v>0.15</v>
      </c>
      <c r="D4664">
        <v>35</v>
      </c>
      <c r="E4664">
        <v>15</v>
      </c>
      <c r="F4664">
        <v>10</v>
      </c>
      <c r="G4664">
        <v>0</v>
      </c>
      <c r="H4664">
        <v>12</v>
      </c>
      <c r="I4664">
        <v>861</v>
      </c>
      <c r="J4664">
        <v>0</v>
      </c>
      <c r="K4664">
        <v>7.3040000000000003</v>
      </c>
      <c r="L4664">
        <v>11.855</v>
      </c>
      <c r="M4664">
        <v>10.63</v>
      </c>
      <c r="N4664">
        <v>10.19</v>
      </c>
      <c r="O4664">
        <v>1686</v>
      </c>
      <c r="P4664">
        <v>506</v>
      </c>
      <c r="Q4664" s="5" t="e">
        <f>IF(AND(#REF!&gt;=table!$C$6,#REF!&lt;= table!$D$6),-1,IF(AND(#REF!&gt;=table!$E$6,#REF!&lt;=table!$F$6),1,0))</f>
        <v>#REF!</v>
      </c>
      <c r="R4664" s="5" t="e">
        <f>IF(AND(#REF!&gt;=table!$C$7,#REF!&lt;= table!$D$7),-1,IF(AND(#REF!&gt;=table!$E$7,#REF!&lt;=table!$F$7),1,0))</f>
        <v>#REF!</v>
      </c>
      <c r="S4664" s="5" t="e">
        <f>IF(AND(#REF!&gt;=table!$C$8,#REF!&lt;= table!$D$8),-1,IF(AND(#REF!&gt;=table!$E$8,#REF!&lt;=table!$F$8),1,0))</f>
        <v>#REF!</v>
      </c>
      <c r="T4664" s="5"/>
      <c r="U4664" s="5" t="e">
        <f>IF(AND(#REF!&gt;=table!$C$10,#REF!&lt;= table!$D$10),-1,IF(AND(#REF!&gt;=table!$E$10,#REF!&lt;=table!$F$10),1,0))</f>
        <v>#REF!</v>
      </c>
      <c r="V4664" s="5" t="e">
        <f>IF(AND(#REF!&gt;=table!$C$11,#REF!&lt;= table!$D$11),-1,IF(AND(#REF!&gt;=table!$E$11,#REF!&lt;=table!$F$11),1,0))</f>
        <v>#REF!</v>
      </c>
      <c r="W4664" s="5" t="e">
        <f>CONCATENATE(dados[[#This Row],[fator1]],dados[[#This Row],[fator5]],dados[[#This Row],[fator6]])</f>
        <v>#REF!</v>
      </c>
    </row>
    <row r="4665" spans="1:23">
      <c r="A4665" t="s">
        <v>16</v>
      </c>
      <c r="B4665">
        <v>590655</v>
      </c>
      <c r="C4665">
        <v>0.1</v>
      </c>
      <c r="D4665">
        <v>35</v>
      </c>
      <c r="E4665">
        <v>10</v>
      </c>
      <c r="F4665">
        <v>10</v>
      </c>
      <c r="G4665">
        <v>0</v>
      </c>
      <c r="H4665">
        <v>12</v>
      </c>
      <c r="I4665">
        <v>1060</v>
      </c>
      <c r="J4665">
        <v>0</v>
      </c>
      <c r="K4665">
        <v>4.1485000000000003</v>
      </c>
      <c r="L4665">
        <v>10.427000000000001</v>
      </c>
      <c r="M4665">
        <v>9.0020000000000007</v>
      </c>
      <c r="N4665">
        <v>12.135</v>
      </c>
      <c r="O4665">
        <v>1673</v>
      </c>
      <c r="P4665">
        <v>0</v>
      </c>
      <c r="Q4665" s="5" t="e">
        <f>IF(AND(#REF!&gt;=table!$C$6,#REF!&lt;= table!$D$6),-1,IF(AND(#REF!&gt;=table!$E$6,#REF!&lt;=table!$F$6),1,0))</f>
        <v>#REF!</v>
      </c>
      <c r="R4665" s="5" t="e">
        <f>IF(AND(#REF!&gt;=table!$C$7,#REF!&lt;= table!$D$7),-1,IF(AND(#REF!&gt;=table!$E$7,#REF!&lt;=table!$F$7),1,0))</f>
        <v>#REF!</v>
      </c>
      <c r="S4665" s="5" t="e">
        <f>IF(AND(#REF!&gt;=table!$C$8,#REF!&lt;= table!$D$8),-1,IF(AND(#REF!&gt;=table!$E$8,#REF!&lt;=table!$F$8),1,0))</f>
        <v>#REF!</v>
      </c>
      <c r="T4665" s="5"/>
      <c r="U4665" s="5" t="e">
        <f>IF(AND(#REF!&gt;=table!$C$10,#REF!&lt;= table!$D$10),-1,IF(AND(#REF!&gt;=table!$E$10,#REF!&lt;=table!$F$10),1,0))</f>
        <v>#REF!</v>
      </c>
      <c r="V4665" s="5" t="e">
        <f>IF(AND(#REF!&gt;=table!$C$11,#REF!&lt;= table!$D$11),-1,IF(AND(#REF!&gt;=table!$E$11,#REF!&lt;=table!$F$11),1,0))</f>
        <v>#REF!</v>
      </c>
      <c r="W4665" s="5" t="e">
        <f>CONCATENATE(dados[[#This Row],[fator1]],dados[[#This Row],[fator5]],dados[[#This Row],[fator6]])</f>
        <v>#REF!</v>
      </c>
    </row>
    <row r="4666" spans="1:23">
      <c r="A4666" t="s">
        <v>16</v>
      </c>
      <c r="B4666">
        <v>590657</v>
      </c>
      <c r="C4666">
        <v>0.15</v>
      </c>
      <c r="D4666">
        <v>35</v>
      </c>
      <c r="E4666">
        <v>15</v>
      </c>
      <c r="F4666">
        <v>10</v>
      </c>
      <c r="G4666">
        <v>0</v>
      </c>
      <c r="H4666">
        <v>12</v>
      </c>
      <c r="I4666">
        <v>608</v>
      </c>
      <c r="J4666">
        <v>0</v>
      </c>
      <c r="K4666">
        <v>5.4095000000000004</v>
      </c>
      <c r="L4666">
        <v>13.909000000000001</v>
      </c>
      <c r="M4666">
        <v>11.5425</v>
      </c>
      <c r="N4666">
        <v>9.6850000000000005</v>
      </c>
      <c r="O4666">
        <v>1667</v>
      </c>
      <c r="P4666">
        <v>661</v>
      </c>
      <c r="Q4666" s="5" t="e">
        <f>IF(AND(#REF!&gt;=table!$C$6,#REF!&lt;= table!$D$6),-1,IF(AND(#REF!&gt;=table!$E$6,#REF!&lt;=table!$F$6),1,0))</f>
        <v>#REF!</v>
      </c>
      <c r="R4666" s="5" t="e">
        <f>IF(AND(#REF!&gt;=table!$C$7,#REF!&lt;= table!$D$7),-1,IF(AND(#REF!&gt;=table!$E$7,#REF!&lt;=table!$F$7),1,0))</f>
        <v>#REF!</v>
      </c>
      <c r="S4666" s="5" t="e">
        <f>IF(AND(#REF!&gt;=table!$C$8,#REF!&lt;= table!$D$8),-1,IF(AND(#REF!&gt;=table!$E$8,#REF!&lt;=table!$F$8),1,0))</f>
        <v>#REF!</v>
      </c>
      <c r="T4666" s="5"/>
      <c r="U4666" s="5" t="e">
        <f>IF(AND(#REF!&gt;=table!$C$10,#REF!&lt;= table!$D$10),-1,IF(AND(#REF!&gt;=table!$E$10,#REF!&lt;=table!$F$10),1,0))</f>
        <v>#REF!</v>
      </c>
      <c r="V4666" s="5" t="e">
        <f>IF(AND(#REF!&gt;=table!$C$11,#REF!&lt;= table!$D$11),-1,IF(AND(#REF!&gt;=table!$E$11,#REF!&lt;=table!$F$11),1,0))</f>
        <v>#REF!</v>
      </c>
      <c r="W4666" s="5" t="e">
        <f>CONCATENATE(dados[[#This Row],[fator1]],dados[[#This Row],[fator5]],dados[[#This Row],[fator6]])</f>
        <v>#REF!</v>
      </c>
    </row>
    <row r="4667" spans="1:23">
      <c r="A4667" t="s">
        <v>16</v>
      </c>
      <c r="B4667">
        <v>590670</v>
      </c>
      <c r="C4667">
        <v>0.15</v>
      </c>
      <c r="D4667">
        <v>35</v>
      </c>
      <c r="E4667">
        <v>15</v>
      </c>
      <c r="F4667">
        <v>10</v>
      </c>
      <c r="G4667">
        <v>0</v>
      </c>
      <c r="H4667">
        <v>12</v>
      </c>
      <c r="I4667">
        <v>725</v>
      </c>
      <c r="J4667">
        <v>0</v>
      </c>
      <c r="K4667">
        <v>3.9455</v>
      </c>
      <c r="L4667">
        <v>8.2505000000000006</v>
      </c>
      <c r="M4667">
        <v>7.0035000000000007</v>
      </c>
      <c r="N4667">
        <v>9.1750000000000007</v>
      </c>
      <c r="O4667">
        <v>1663</v>
      </c>
      <c r="P4667">
        <v>635</v>
      </c>
      <c r="Q4667" s="5" t="e">
        <f>IF(AND(#REF!&gt;=table!$C$6,#REF!&lt;= table!$D$6),-1,IF(AND(#REF!&gt;=table!$E$6,#REF!&lt;=table!$F$6),1,0))</f>
        <v>#REF!</v>
      </c>
      <c r="R4667" s="5" t="e">
        <f>IF(AND(#REF!&gt;=table!$C$7,#REF!&lt;= table!$D$7),-1,IF(AND(#REF!&gt;=table!$E$7,#REF!&lt;=table!$F$7),1,0))</f>
        <v>#REF!</v>
      </c>
      <c r="S4667" s="5" t="e">
        <f>IF(AND(#REF!&gt;=table!$C$8,#REF!&lt;= table!$D$8),-1,IF(AND(#REF!&gt;=table!$E$8,#REF!&lt;=table!$F$8),1,0))</f>
        <v>#REF!</v>
      </c>
      <c r="T4667" s="5"/>
      <c r="U4667" s="5" t="e">
        <f>IF(AND(#REF!&gt;=table!$C$10,#REF!&lt;= table!$D$10),-1,IF(AND(#REF!&gt;=table!$E$10,#REF!&lt;=table!$F$10),1,0))</f>
        <v>#REF!</v>
      </c>
      <c r="V4667" s="5" t="e">
        <f>IF(AND(#REF!&gt;=table!$C$11,#REF!&lt;= table!$D$11),-1,IF(AND(#REF!&gt;=table!$E$11,#REF!&lt;=table!$F$11),1,0))</f>
        <v>#REF!</v>
      </c>
      <c r="W4667" s="5" t="e">
        <f>CONCATENATE(dados[[#This Row],[fator1]],dados[[#This Row],[fator5]],dados[[#This Row],[fator6]])</f>
        <v>#REF!</v>
      </c>
    </row>
    <row r="4668" spans="1:23">
      <c r="A4668" t="s">
        <v>16</v>
      </c>
      <c r="B4668">
        <v>590675</v>
      </c>
      <c r="C4668">
        <v>0.15</v>
      </c>
      <c r="D4668">
        <v>40</v>
      </c>
      <c r="E4668">
        <v>10</v>
      </c>
      <c r="F4668">
        <v>15</v>
      </c>
      <c r="G4668">
        <v>0</v>
      </c>
      <c r="H4668">
        <v>15</v>
      </c>
      <c r="I4668">
        <v>632</v>
      </c>
      <c r="J4668">
        <v>0</v>
      </c>
      <c r="K4668">
        <v>4.1480000000000006</v>
      </c>
      <c r="L4668">
        <v>4.1850000000000005</v>
      </c>
      <c r="M4668">
        <v>4.1775000000000002</v>
      </c>
      <c r="N4668">
        <v>5.1100000000000003</v>
      </c>
      <c r="O4668">
        <v>1662</v>
      </c>
      <c r="P4668">
        <v>795</v>
      </c>
      <c r="Q4668" s="5" t="e">
        <f>IF(AND(#REF!&gt;=table!$C$6,#REF!&lt;= table!$D$6),-1,IF(AND(#REF!&gt;=table!$E$6,#REF!&lt;=table!$F$6),1,0))</f>
        <v>#REF!</v>
      </c>
      <c r="R4668" s="5" t="e">
        <f>IF(AND(#REF!&gt;=table!$C$7,#REF!&lt;= table!$D$7),-1,IF(AND(#REF!&gt;=table!$E$7,#REF!&lt;=table!$F$7),1,0))</f>
        <v>#REF!</v>
      </c>
      <c r="S4668" s="5" t="e">
        <f>IF(AND(#REF!&gt;=table!$C$8,#REF!&lt;= table!$D$8),-1,IF(AND(#REF!&gt;=table!$E$8,#REF!&lt;=table!$F$8),1,0))</f>
        <v>#REF!</v>
      </c>
      <c r="T4668" s="5"/>
      <c r="U4668" s="5" t="e">
        <f>IF(AND(#REF!&gt;=table!$C$10,#REF!&lt;= table!$D$10),-1,IF(AND(#REF!&gt;=table!$E$10,#REF!&lt;=table!$F$10),1,0))</f>
        <v>#REF!</v>
      </c>
      <c r="V4668" s="5" t="e">
        <f>IF(AND(#REF!&gt;=table!$C$11,#REF!&lt;= table!$D$11),-1,IF(AND(#REF!&gt;=table!$E$11,#REF!&lt;=table!$F$11),1,0))</f>
        <v>#REF!</v>
      </c>
      <c r="W4668" s="5" t="e">
        <f>CONCATENATE(dados[[#This Row],[fator1]],dados[[#This Row],[fator5]],dados[[#This Row],[fator6]])</f>
        <v>#REF!</v>
      </c>
    </row>
    <row r="4669" spans="1:23">
      <c r="A4669" t="s">
        <v>16</v>
      </c>
      <c r="B4669">
        <v>590677</v>
      </c>
      <c r="C4669">
        <v>6</v>
      </c>
      <c r="D4669">
        <v>40</v>
      </c>
      <c r="E4669">
        <v>66</v>
      </c>
      <c r="F4669">
        <v>10</v>
      </c>
      <c r="G4669">
        <v>0</v>
      </c>
      <c r="H4669">
        <v>25</v>
      </c>
      <c r="I4669">
        <v>0</v>
      </c>
      <c r="J4669">
        <v>660</v>
      </c>
      <c r="K4669">
        <v>5.194</v>
      </c>
      <c r="L4669">
        <v>15.858000000000001</v>
      </c>
      <c r="M4669">
        <v>64.722499999999997</v>
      </c>
      <c r="N4669">
        <v>18.115000000000002</v>
      </c>
      <c r="O4669">
        <v>1679</v>
      </c>
      <c r="P4669">
        <v>0</v>
      </c>
      <c r="Q4669" s="5" t="e">
        <f>IF(AND(#REF!&gt;=table!$C$6,#REF!&lt;= table!$D$6),-1,IF(AND(#REF!&gt;=table!$E$6,#REF!&lt;=table!$F$6),1,0))</f>
        <v>#REF!</v>
      </c>
      <c r="R4669" s="5" t="e">
        <f>IF(AND(#REF!&gt;=table!$C$7,#REF!&lt;= table!$D$7),-1,IF(AND(#REF!&gt;=table!$E$7,#REF!&lt;=table!$F$7),1,0))</f>
        <v>#REF!</v>
      </c>
      <c r="S4669" s="5" t="e">
        <f>IF(AND(#REF!&gt;=table!$C$8,#REF!&lt;= table!$D$8),-1,IF(AND(#REF!&gt;=table!$E$8,#REF!&lt;=table!$F$8),1,0))</f>
        <v>#REF!</v>
      </c>
      <c r="T4669" s="5"/>
      <c r="U4669" s="5" t="e">
        <f>IF(AND(#REF!&gt;=table!$C$10,#REF!&lt;= table!$D$10),-1,IF(AND(#REF!&gt;=table!$E$10,#REF!&lt;=table!$F$10),1,0))</f>
        <v>#REF!</v>
      </c>
      <c r="V4669" s="5" t="e">
        <f>IF(AND(#REF!&gt;=table!$C$11,#REF!&lt;= table!$D$11),-1,IF(AND(#REF!&gt;=table!$E$11,#REF!&lt;=table!$F$11),1,0))</f>
        <v>#REF!</v>
      </c>
      <c r="W4669" s="5" t="e">
        <f>CONCATENATE(dados[[#This Row],[fator1]],dados[[#This Row],[fator5]],dados[[#This Row],[fator6]])</f>
        <v>#REF!</v>
      </c>
    </row>
    <row r="4670" spans="1:23">
      <c r="A4670" t="s">
        <v>16</v>
      </c>
      <c r="B4670">
        <v>590678</v>
      </c>
      <c r="C4670">
        <v>0.15</v>
      </c>
      <c r="D4670">
        <v>40</v>
      </c>
      <c r="E4670">
        <v>10</v>
      </c>
      <c r="F4670">
        <v>15</v>
      </c>
      <c r="G4670">
        <v>0</v>
      </c>
      <c r="H4670">
        <v>15</v>
      </c>
      <c r="I4670">
        <v>887</v>
      </c>
      <c r="J4670">
        <v>0</v>
      </c>
      <c r="K4670">
        <v>4.3260000000000005</v>
      </c>
      <c r="L4670">
        <v>11.858000000000001</v>
      </c>
      <c r="M4670">
        <v>10.556000000000001</v>
      </c>
      <c r="N4670">
        <v>11.46</v>
      </c>
      <c r="O4670">
        <v>1680</v>
      </c>
      <c r="P4670">
        <v>0</v>
      </c>
      <c r="Q4670" s="5" t="e">
        <f>IF(AND(#REF!&gt;=table!$C$6,#REF!&lt;= table!$D$6),-1,IF(AND(#REF!&gt;=table!$E$6,#REF!&lt;=table!$F$6),1,0))</f>
        <v>#REF!</v>
      </c>
      <c r="R4670" s="5" t="e">
        <f>IF(AND(#REF!&gt;=table!$C$7,#REF!&lt;= table!$D$7),-1,IF(AND(#REF!&gt;=table!$E$7,#REF!&lt;=table!$F$7),1,0))</f>
        <v>#REF!</v>
      </c>
      <c r="S4670" s="5" t="e">
        <f>IF(AND(#REF!&gt;=table!$C$8,#REF!&lt;= table!$D$8),-1,IF(AND(#REF!&gt;=table!$E$8,#REF!&lt;=table!$F$8),1,0))</f>
        <v>#REF!</v>
      </c>
      <c r="T4670" s="5"/>
      <c r="U4670" s="5" t="e">
        <f>IF(AND(#REF!&gt;=table!$C$10,#REF!&lt;= table!$D$10),-1,IF(AND(#REF!&gt;=table!$E$10,#REF!&lt;=table!$F$10),1,0))</f>
        <v>#REF!</v>
      </c>
      <c r="V4670" s="5" t="e">
        <f>IF(AND(#REF!&gt;=table!$C$11,#REF!&lt;= table!$D$11),-1,IF(AND(#REF!&gt;=table!$E$11,#REF!&lt;=table!$F$11),1,0))</f>
        <v>#REF!</v>
      </c>
      <c r="W4670" s="5" t="e">
        <f>CONCATENATE(dados[[#This Row],[fator1]],dados[[#This Row],[fator5]],dados[[#This Row],[fator6]])</f>
        <v>#REF!</v>
      </c>
    </row>
    <row r="4671" spans="1:23">
      <c r="A4671" t="s">
        <v>16</v>
      </c>
      <c r="B4671">
        <v>590682</v>
      </c>
      <c r="C4671">
        <v>0.15</v>
      </c>
      <c r="D4671">
        <v>40</v>
      </c>
      <c r="E4671">
        <v>10</v>
      </c>
      <c r="F4671">
        <v>15</v>
      </c>
      <c r="G4671">
        <v>0</v>
      </c>
      <c r="H4671">
        <v>15</v>
      </c>
      <c r="I4671">
        <v>353</v>
      </c>
      <c r="J4671">
        <v>0</v>
      </c>
      <c r="K4671">
        <v>5.3855000000000004</v>
      </c>
      <c r="L4671">
        <v>14.041500000000001</v>
      </c>
      <c r="M4671">
        <v>12.032500000000001</v>
      </c>
      <c r="N4671">
        <v>16.98</v>
      </c>
      <c r="O4671">
        <v>1687</v>
      </c>
      <c r="P4671">
        <v>690</v>
      </c>
      <c r="Q4671" s="5" t="e">
        <f>IF(AND(#REF!&gt;=table!$C$6,#REF!&lt;= table!$D$6),-1,IF(AND(#REF!&gt;=table!$E$6,#REF!&lt;=table!$F$6),1,0))</f>
        <v>#REF!</v>
      </c>
      <c r="R4671" s="5" t="e">
        <f>IF(AND(#REF!&gt;=table!$C$7,#REF!&lt;= table!$D$7),-1,IF(AND(#REF!&gt;=table!$E$7,#REF!&lt;=table!$F$7),1,0))</f>
        <v>#REF!</v>
      </c>
      <c r="S4671" s="5" t="e">
        <f>IF(AND(#REF!&gt;=table!$C$8,#REF!&lt;= table!$D$8),-1,IF(AND(#REF!&gt;=table!$E$8,#REF!&lt;=table!$F$8),1,0))</f>
        <v>#REF!</v>
      </c>
      <c r="T4671" s="5"/>
      <c r="U4671" s="5" t="e">
        <f>IF(AND(#REF!&gt;=table!$C$10,#REF!&lt;= table!$D$10),-1,IF(AND(#REF!&gt;=table!$E$10,#REF!&lt;=table!$F$10),1,0))</f>
        <v>#REF!</v>
      </c>
      <c r="V4671" s="5" t="e">
        <f>IF(AND(#REF!&gt;=table!$C$11,#REF!&lt;= table!$D$11),-1,IF(AND(#REF!&gt;=table!$E$11,#REF!&lt;=table!$F$11),1,0))</f>
        <v>#REF!</v>
      </c>
      <c r="W4671" s="5" t="e">
        <f>CONCATENATE(dados[[#This Row],[fator1]],dados[[#This Row],[fator5]],dados[[#This Row],[fator6]])</f>
        <v>#REF!</v>
      </c>
    </row>
    <row r="4672" spans="1:23">
      <c r="A4672" t="s">
        <v>17</v>
      </c>
      <c r="B4672">
        <v>590689</v>
      </c>
      <c r="C4672">
        <v>18</v>
      </c>
      <c r="D4672">
        <v>33</v>
      </c>
      <c r="E4672">
        <v>70</v>
      </c>
      <c r="F4672">
        <v>3</v>
      </c>
      <c r="G4672">
        <v>20</v>
      </c>
      <c r="H4672">
        <v>25</v>
      </c>
      <c r="I4672">
        <v>204</v>
      </c>
      <c r="J4672">
        <v>0</v>
      </c>
      <c r="K4672">
        <v>6.4535</v>
      </c>
      <c r="L4672">
        <v>10.807</v>
      </c>
      <c r="M4672">
        <v>67.44</v>
      </c>
      <c r="N4672">
        <v>16.365000000000002</v>
      </c>
      <c r="O4672">
        <v>1693</v>
      </c>
      <c r="P4672">
        <v>536</v>
      </c>
      <c r="Q4672" s="5" t="e">
        <f>IF(AND(#REF!&gt;=table!$C$6,#REF!&lt;= table!$D$6),-1,IF(AND(#REF!&gt;=table!$E$6,#REF!&lt;=table!$F$6),1,0))</f>
        <v>#REF!</v>
      </c>
      <c r="R4672" s="5" t="e">
        <f>IF(AND(#REF!&gt;=table!$C$7,#REF!&lt;= table!$D$7),-1,IF(AND(#REF!&gt;=table!$E$7,#REF!&lt;=table!$F$7),1,0))</f>
        <v>#REF!</v>
      </c>
      <c r="S4672" s="5" t="e">
        <f>IF(AND(#REF!&gt;=table!$C$8,#REF!&lt;= table!$D$8),-1,IF(AND(#REF!&gt;=table!$E$8,#REF!&lt;=table!$F$8),1,0))</f>
        <v>#REF!</v>
      </c>
      <c r="T4672" s="5"/>
      <c r="U4672" s="5" t="e">
        <f>IF(AND(#REF!&gt;=table!$C$10,#REF!&lt;= table!$D$10),-1,IF(AND(#REF!&gt;=table!$E$10,#REF!&lt;=table!$F$10),1,0))</f>
        <v>#REF!</v>
      </c>
      <c r="V4672" s="5" t="e">
        <f>IF(AND(#REF!&gt;=table!$C$11,#REF!&lt;= table!$D$11),-1,IF(AND(#REF!&gt;=table!$E$11,#REF!&lt;=table!$F$11),1,0))</f>
        <v>#REF!</v>
      </c>
      <c r="W4672" s="5" t="e">
        <f>CONCATENATE(dados[[#This Row],[fator1]],dados[[#This Row],[fator5]],dados[[#This Row],[fator6]])</f>
        <v>#REF!</v>
      </c>
    </row>
    <row r="4673" spans="1:23">
      <c r="A4673" t="s">
        <v>16</v>
      </c>
      <c r="B4673">
        <v>590691</v>
      </c>
      <c r="C4673">
        <v>0.15</v>
      </c>
      <c r="D4673">
        <v>35</v>
      </c>
      <c r="E4673">
        <v>15</v>
      </c>
      <c r="F4673">
        <v>10</v>
      </c>
      <c r="G4673">
        <v>0</v>
      </c>
      <c r="H4673">
        <v>12</v>
      </c>
      <c r="I4673">
        <v>1062</v>
      </c>
      <c r="J4673">
        <v>0</v>
      </c>
      <c r="K4673">
        <v>3.7730000000000001</v>
      </c>
      <c r="L4673">
        <v>12.031000000000001</v>
      </c>
      <c r="M4673">
        <v>10.052</v>
      </c>
      <c r="N4673">
        <v>18.324999999999999</v>
      </c>
      <c r="O4673">
        <v>1677</v>
      </c>
      <c r="P4673">
        <v>0</v>
      </c>
      <c r="Q4673" s="5" t="e">
        <f>IF(AND(#REF!&gt;=table!$C$6,#REF!&lt;= table!$D$6),-1,IF(AND(#REF!&gt;=table!$E$6,#REF!&lt;=table!$F$6),1,0))</f>
        <v>#REF!</v>
      </c>
      <c r="R4673" s="5" t="e">
        <f>IF(AND(#REF!&gt;=table!$C$7,#REF!&lt;= table!$D$7),-1,IF(AND(#REF!&gt;=table!$E$7,#REF!&lt;=table!$F$7),1,0))</f>
        <v>#REF!</v>
      </c>
      <c r="S4673" s="5" t="e">
        <f>IF(AND(#REF!&gt;=table!$C$8,#REF!&lt;= table!$D$8),-1,IF(AND(#REF!&gt;=table!$E$8,#REF!&lt;=table!$F$8),1,0))</f>
        <v>#REF!</v>
      </c>
      <c r="T4673" s="5"/>
      <c r="U4673" s="5" t="e">
        <f>IF(AND(#REF!&gt;=table!$C$10,#REF!&lt;= table!$D$10),-1,IF(AND(#REF!&gt;=table!$E$10,#REF!&lt;=table!$F$10),1,0))</f>
        <v>#REF!</v>
      </c>
      <c r="V4673" s="5" t="e">
        <f>IF(AND(#REF!&gt;=table!$C$11,#REF!&lt;= table!$D$11),-1,IF(AND(#REF!&gt;=table!$E$11,#REF!&lt;=table!$F$11),1,0))</f>
        <v>#REF!</v>
      </c>
      <c r="W4673" s="5" t="e">
        <f>CONCATENATE(dados[[#This Row],[fator1]],dados[[#This Row],[fator5]],dados[[#This Row],[fator6]])</f>
        <v>#REF!</v>
      </c>
    </row>
    <row r="4674" spans="1:23">
      <c r="A4674" t="s">
        <v>16</v>
      </c>
      <c r="B4674">
        <v>590692</v>
      </c>
      <c r="C4674">
        <v>9</v>
      </c>
      <c r="D4674">
        <v>27</v>
      </c>
      <c r="E4674">
        <v>36</v>
      </c>
      <c r="F4674">
        <v>8</v>
      </c>
      <c r="G4674">
        <v>0</v>
      </c>
      <c r="H4674">
        <v>25</v>
      </c>
      <c r="I4674">
        <v>578</v>
      </c>
      <c r="J4674">
        <v>0</v>
      </c>
      <c r="K4674">
        <v>6.8375000000000004</v>
      </c>
      <c r="L4674">
        <v>9.2635000000000005</v>
      </c>
      <c r="M4674">
        <v>34.456000000000003</v>
      </c>
      <c r="N4674">
        <v>10.790000000000001</v>
      </c>
      <c r="O4674">
        <v>1674</v>
      </c>
      <c r="P4674">
        <v>655</v>
      </c>
      <c r="Q4674" s="5" t="e">
        <f>IF(AND(#REF!&gt;=table!$C$6,#REF!&lt;= table!$D$6),-1,IF(AND(#REF!&gt;=table!$E$6,#REF!&lt;=table!$F$6),1,0))</f>
        <v>#REF!</v>
      </c>
      <c r="R4674" s="5" t="e">
        <f>IF(AND(#REF!&gt;=table!$C$7,#REF!&lt;= table!$D$7),-1,IF(AND(#REF!&gt;=table!$E$7,#REF!&lt;=table!$F$7),1,0))</f>
        <v>#REF!</v>
      </c>
      <c r="S4674" s="5" t="e">
        <f>IF(AND(#REF!&gt;=table!$C$8,#REF!&lt;= table!$D$8),-1,IF(AND(#REF!&gt;=table!$E$8,#REF!&lt;=table!$F$8),1,0))</f>
        <v>#REF!</v>
      </c>
      <c r="T4674" s="5"/>
      <c r="U4674" s="5" t="e">
        <f>IF(AND(#REF!&gt;=table!$C$10,#REF!&lt;= table!$D$10),-1,IF(AND(#REF!&gt;=table!$E$10,#REF!&lt;=table!$F$10),1,0))</f>
        <v>#REF!</v>
      </c>
      <c r="V4674" s="5" t="e">
        <f>IF(AND(#REF!&gt;=table!$C$11,#REF!&lt;= table!$D$11),-1,IF(AND(#REF!&gt;=table!$E$11,#REF!&lt;=table!$F$11),1,0))</f>
        <v>#REF!</v>
      </c>
      <c r="W4674" s="5" t="e">
        <f>CONCATENATE(dados[[#This Row],[fator1]],dados[[#This Row],[fator5]],dados[[#This Row],[fator6]])</f>
        <v>#REF!</v>
      </c>
    </row>
    <row r="4675" spans="1:23">
      <c r="A4675" t="s">
        <v>16</v>
      </c>
      <c r="B4675">
        <v>590695</v>
      </c>
      <c r="C4675">
        <v>0.15</v>
      </c>
      <c r="D4675">
        <v>35</v>
      </c>
      <c r="E4675">
        <v>15</v>
      </c>
      <c r="F4675">
        <v>10</v>
      </c>
      <c r="G4675">
        <v>0</v>
      </c>
      <c r="H4675">
        <v>12</v>
      </c>
      <c r="I4675">
        <v>12</v>
      </c>
      <c r="J4675">
        <v>0</v>
      </c>
      <c r="K4675">
        <v>4.9940000000000007</v>
      </c>
      <c r="L4675">
        <v>13.607000000000001</v>
      </c>
      <c r="M4675">
        <v>11.618500000000001</v>
      </c>
      <c r="N4675">
        <v>11.86</v>
      </c>
      <c r="O4675">
        <v>1688</v>
      </c>
      <c r="P4675">
        <v>0</v>
      </c>
      <c r="Q4675" s="5" t="e">
        <f>IF(AND(#REF!&gt;=table!$C$6,#REF!&lt;= table!$D$6),-1,IF(AND(#REF!&gt;=table!$E$6,#REF!&lt;=table!$F$6),1,0))</f>
        <v>#REF!</v>
      </c>
      <c r="R4675" s="5" t="e">
        <f>IF(AND(#REF!&gt;=table!$C$7,#REF!&lt;= table!$D$7),-1,IF(AND(#REF!&gt;=table!$E$7,#REF!&lt;=table!$F$7),1,0))</f>
        <v>#REF!</v>
      </c>
      <c r="S4675" s="5" t="e">
        <f>IF(AND(#REF!&gt;=table!$C$8,#REF!&lt;= table!$D$8),-1,IF(AND(#REF!&gt;=table!$E$8,#REF!&lt;=table!$F$8),1,0))</f>
        <v>#REF!</v>
      </c>
      <c r="T4675" s="5"/>
      <c r="U4675" s="5" t="e">
        <f>IF(AND(#REF!&gt;=table!$C$10,#REF!&lt;= table!$D$10),-1,IF(AND(#REF!&gt;=table!$E$10,#REF!&lt;=table!$F$10),1,0))</f>
        <v>#REF!</v>
      </c>
      <c r="V4675" s="5" t="e">
        <f>IF(AND(#REF!&gt;=table!$C$11,#REF!&lt;= table!$D$11),-1,IF(AND(#REF!&gt;=table!$E$11,#REF!&lt;=table!$F$11),1,0))</f>
        <v>#REF!</v>
      </c>
      <c r="W4675" s="5" t="e">
        <f>CONCATENATE(dados[[#This Row],[fator1]],dados[[#This Row],[fator5]],dados[[#This Row],[fator6]])</f>
        <v>#REF!</v>
      </c>
    </row>
    <row r="4676" spans="1:23">
      <c r="A4676" t="s">
        <v>16</v>
      </c>
      <c r="B4676">
        <v>590699</v>
      </c>
      <c r="C4676">
        <v>9</v>
      </c>
      <c r="D4676">
        <v>27</v>
      </c>
      <c r="E4676">
        <v>36</v>
      </c>
      <c r="F4676">
        <v>8</v>
      </c>
      <c r="G4676">
        <v>0</v>
      </c>
      <c r="H4676">
        <v>25</v>
      </c>
      <c r="I4676">
        <v>401</v>
      </c>
      <c r="J4676">
        <v>0</v>
      </c>
      <c r="K4676">
        <v>8.2119999999999997</v>
      </c>
      <c r="L4676">
        <v>15.984</v>
      </c>
      <c r="M4676">
        <v>32.846000000000004</v>
      </c>
      <c r="N4676">
        <v>16.395</v>
      </c>
      <c r="O4676">
        <v>1690</v>
      </c>
      <c r="P4676">
        <v>481</v>
      </c>
      <c r="Q4676" s="5" t="e">
        <f>IF(AND(#REF!&gt;=table!$C$6,#REF!&lt;= table!$D$6),-1,IF(AND(#REF!&gt;=table!$E$6,#REF!&lt;=table!$F$6),1,0))</f>
        <v>#REF!</v>
      </c>
      <c r="R4676" s="5" t="e">
        <f>IF(AND(#REF!&gt;=table!$C$7,#REF!&lt;= table!$D$7),-1,IF(AND(#REF!&gt;=table!$E$7,#REF!&lt;=table!$F$7),1,0))</f>
        <v>#REF!</v>
      </c>
      <c r="S4676" s="5" t="e">
        <f>IF(AND(#REF!&gt;=table!$C$8,#REF!&lt;= table!$D$8),-1,IF(AND(#REF!&gt;=table!$E$8,#REF!&lt;=table!$F$8),1,0))</f>
        <v>#REF!</v>
      </c>
      <c r="T4676" s="5"/>
      <c r="U4676" s="5" t="e">
        <f>IF(AND(#REF!&gt;=table!$C$10,#REF!&lt;= table!$D$10),-1,IF(AND(#REF!&gt;=table!$E$10,#REF!&lt;=table!$F$10),1,0))</f>
        <v>#REF!</v>
      </c>
      <c r="V4676" s="5" t="e">
        <f>IF(AND(#REF!&gt;=table!$C$11,#REF!&lt;= table!$D$11),-1,IF(AND(#REF!&gt;=table!$E$11,#REF!&lt;=table!$F$11),1,0))</f>
        <v>#REF!</v>
      </c>
      <c r="W4676" s="5" t="e">
        <f>CONCATENATE(dados[[#This Row],[fator1]],dados[[#This Row],[fator5]],dados[[#This Row],[fator6]])</f>
        <v>#REF!</v>
      </c>
    </row>
    <row r="4677" spans="1:23">
      <c r="A4677" t="s">
        <v>17</v>
      </c>
      <c r="B4677">
        <v>590700</v>
      </c>
      <c r="C4677">
        <v>17</v>
      </c>
      <c r="D4677">
        <v>35</v>
      </c>
      <c r="E4677">
        <v>125</v>
      </c>
      <c r="F4677">
        <v>4</v>
      </c>
      <c r="G4677">
        <v>28</v>
      </c>
      <c r="H4677">
        <v>20</v>
      </c>
      <c r="I4677">
        <v>35</v>
      </c>
      <c r="J4677">
        <v>0</v>
      </c>
      <c r="K4677">
        <v>3.16</v>
      </c>
      <c r="L4677">
        <v>7.72</v>
      </c>
      <c r="M4677">
        <v>88.549700000000001</v>
      </c>
      <c r="N4677">
        <v>10.58</v>
      </c>
      <c r="O4677">
        <v>1692</v>
      </c>
      <c r="P4677">
        <v>1274</v>
      </c>
      <c r="Q4677" s="5" t="e">
        <f>IF(AND(#REF!&gt;=table!$C$6,#REF!&lt;= table!$D$6),-1,IF(AND(#REF!&gt;=table!$E$6,#REF!&lt;=table!$F$6),1,0))</f>
        <v>#REF!</v>
      </c>
      <c r="R4677" s="5" t="e">
        <f>IF(AND(#REF!&gt;=table!$C$7,#REF!&lt;= table!$D$7),-1,IF(AND(#REF!&gt;=table!$E$7,#REF!&lt;=table!$F$7),1,0))</f>
        <v>#REF!</v>
      </c>
      <c r="S4677" s="5" t="e">
        <f>IF(AND(#REF!&gt;=table!$C$8,#REF!&lt;= table!$D$8),-1,IF(AND(#REF!&gt;=table!$E$8,#REF!&lt;=table!$F$8),1,0))</f>
        <v>#REF!</v>
      </c>
      <c r="T4677" s="5"/>
      <c r="U4677" s="5" t="e">
        <f>IF(AND(#REF!&gt;=table!$C$10,#REF!&lt;= table!$D$10),-1,IF(AND(#REF!&gt;=table!$E$10,#REF!&lt;=table!$F$10),1,0))</f>
        <v>#REF!</v>
      </c>
      <c r="V4677" s="5" t="e">
        <f>IF(AND(#REF!&gt;=table!$C$11,#REF!&lt;= table!$D$11),-1,IF(AND(#REF!&gt;=table!$E$11,#REF!&lt;=table!$F$11),1,0))</f>
        <v>#REF!</v>
      </c>
      <c r="W4677" s="5" t="e">
        <f>CONCATENATE(dados[[#This Row],[fator1]],dados[[#This Row],[fator5]],dados[[#This Row],[fator6]])</f>
        <v>#REF!</v>
      </c>
    </row>
    <row r="4678" spans="1:23">
      <c r="A4678" t="s">
        <v>17</v>
      </c>
      <c r="B4678">
        <v>590701</v>
      </c>
      <c r="C4678">
        <v>18</v>
      </c>
      <c r="D4678">
        <v>33</v>
      </c>
      <c r="E4678">
        <v>70</v>
      </c>
      <c r="F4678">
        <v>3</v>
      </c>
      <c r="G4678">
        <v>20</v>
      </c>
      <c r="H4678">
        <v>25</v>
      </c>
      <c r="I4678">
        <v>445</v>
      </c>
      <c r="J4678">
        <v>0</v>
      </c>
      <c r="K4678">
        <v>6.8860000000000001</v>
      </c>
      <c r="L4678">
        <v>17.5655</v>
      </c>
      <c r="M4678">
        <v>63.389500000000005</v>
      </c>
      <c r="N4678">
        <v>14.855</v>
      </c>
      <c r="O4678">
        <v>1676</v>
      </c>
      <c r="P4678">
        <v>498</v>
      </c>
      <c r="Q4678" s="5" t="e">
        <f>IF(AND(#REF!&gt;=table!$C$6,#REF!&lt;= table!$D$6),-1,IF(AND(#REF!&gt;=table!$E$6,#REF!&lt;=table!$F$6),1,0))</f>
        <v>#REF!</v>
      </c>
      <c r="R4678" s="5" t="e">
        <f>IF(AND(#REF!&gt;=table!$C$7,#REF!&lt;= table!$D$7),-1,IF(AND(#REF!&gt;=table!$E$7,#REF!&lt;=table!$F$7),1,0))</f>
        <v>#REF!</v>
      </c>
      <c r="S4678" s="5" t="e">
        <f>IF(AND(#REF!&gt;=table!$C$8,#REF!&lt;= table!$D$8),-1,IF(AND(#REF!&gt;=table!$E$8,#REF!&lt;=table!$F$8),1,0))</f>
        <v>#REF!</v>
      </c>
      <c r="T4678" s="5"/>
      <c r="U4678" s="5" t="e">
        <f>IF(AND(#REF!&gt;=table!$C$10,#REF!&lt;= table!$D$10),-1,IF(AND(#REF!&gt;=table!$E$10,#REF!&lt;=table!$F$10),1,0))</f>
        <v>#REF!</v>
      </c>
      <c r="V4678" s="5" t="e">
        <f>IF(AND(#REF!&gt;=table!$C$11,#REF!&lt;= table!$D$11),-1,IF(AND(#REF!&gt;=table!$E$11,#REF!&lt;=table!$F$11),1,0))</f>
        <v>#REF!</v>
      </c>
      <c r="W4678" s="5" t="e">
        <f>CONCATENATE(dados[[#This Row],[fator1]],dados[[#This Row],[fator5]],dados[[#This Row],[fator6]])</f>
        <v>#REF!</v>
      </c>
    </row>
    <row r="4679" spans="1:23">
      <c r="A4679" t="s">
        <v>17</v>
      </c>
      <c r="B4679">
        <v>590702</v>
      </c>
      <c r="C4679">
        <v>18</v>
      </c>
      <c r="D4679">
        <v>23</v>
      </c>
      <c r="E4679">
        <v>145</v>
      </c>
      <c r="F4679">
        <v>9</v>
      </c>
      <c r="G4679">
        <v>30</v>
      </c>
      <c r="H4679">
        <v>25</v>
      </c>
      <c r="I4679">
        <v>54</v>
      </c>
      <c r="J4679">
        <v>0</v>
      </c>
      <c r="K4679">
        <v>8.3469999999999995</v>
      </c>
      <c r="L4679">
        <v>18.454000000000001</v>
      </c>
      <c r="M4679">
        <v>120.13600000000001</v>
      </c>
      <c r="N4679">
        <v>21.495000000000001</v>
      </c>
      <c r="O4679">
        <v>1693</v>
      </c>
      <c r="P4679">
        <v>452</v>
      </c>
      <c r="Q4679" s="5" t="e">
        <f>IF(AND(#REF!&gt;=table!$C$6,#REF!&lt;= table!$D$6),-1,IF(AND(#REF!&gt;=table!$E$6,#REF!&lt;=table!$F$6),1,0))</f>
        <v>#REF!</v>
      </c>
      <c r="R4679" s="5" t="e">
        <f>IF(AND(#REF!&gt;=table!$C$7,#REF!&lt;= table!$D$7),-1,IF(AND(#REF!&gt;=table!$E$7,#REF!&lt;=table!$F$7),1,0))</f>
        <v>#REF!</v>
      </c>
      <c r="S4679" s="5" t="e">
        <f>IF(AND(#REF!&gt;=table!$C$8,#REF!&lt;= table!$D$8),-1,IF(AND(#REF!&gt;=table!$E$8,#REF!&lt;=table!$F$8),1,0))</f>
        <v>#REF!</v>
      </c>
      <c r="T4679" s="5"/>
      <c r="U4679" s="5" t="e">
        <f>IF(AND(#REF!&gt;=table!$C$10,#REF!&lt;= table!$D$10),-1,IF(AND(#REF!&gt;=table!$E$10,#REF!&lt;=table!$F$10),1,0))</f>
        <v>#REF!</v>
      </c>
      <c r="V4679" s="5" t="e">
        <f>IF(AND(#REF!&gt;=table!$C$11,#REF!&lt;= table!$D$11),-1,IF(AND(#REF!&gt;=table!$E$11,#REF!&lt;=table!$F$11),1,0))</f>
        <v>#REF!</v>
      </c>
      <c r="W4679" s="5" t="e">
        <f>CONCATENATE(dados[[#This Row],[fator1]],dados[[#This Row],[fator5]],dados[[#This Row],[fator6]])</f>
        <v>#REF!</v>
      </c>
    </row>
    <row r="4680" spans="1:23">
      <c r="A4680" t="s">
        <v>17</v>
      </c>
      <c r="B4680">
        <v>590703</v>
      </c>
      <c r="C4680">
        <v>18</v>
      </c>
      <c r="D4680">
        <v>23</v>
      </c>
      <c r="E4680">
        <v>145</v>
      </c>
      <c r="F4680">
        <v>6</v>
      </c>
      <c r="G4680">
        <v>30</v>
      </c>
      <c r="H4680">
        <v>25</v>
      </c>
      <c r="I4680">
        <v>92</v>
      </c>
      <c r="J4680">
        <v>0</v>
      </c>
      <c r="K4680">
        <v>6.1870000000000003</v>
      </c>
      <c r="L4680">
        <v>9.6630000000000003</v>
      </c>
      <c r="M4680">
        <v>103.4015</v>
      </c>
      <c r="N4680">
        <v>13.395000000000001</v>
      </c>
      <c r="O4680">
        <v>1676</v>
      </c>
      <c r="P4680">
        <v>621</v>
      </c>
      <c r="Q4680" s="5" t="e">
        <f>IF(AND(#REF!&gt;=table!$C$6,#REF!&lt;= table!$D$6),-1,IF(AND(#REF!&gt;=table!$E$6,#REF!&lt;=table!$F$6),1,0))</f>
        <v>#REF!</v>
      </c>
      <c r="R4680" s="5" t="e">
        <f>IF(AND(#REF!&gt;=table!$C$7,#REF!&lt;= table!$D$7),-1,IF(AND(#REF!&gt;=table!$E$7,#REF!&lt;=table!$F$7),1,0))</f>
        <v>#REF!</v>
      </c>
      <c r="S4680" s="5" t="e">
        <f>IF(AND(#REF!&gt;=table!$C$8,#REF!&lt;= table!$D$8),-1,IF(AND(#REF!&gt;=table!$E$8,#REF!&lt;=table!$F$8),1,0))</f>
        <v>#REF!</v>
      </c>
      <c r="T4680" s="5"/>
      <c r="U4680" s="5" t="e">
        <f>IF(AND(#REF!&gt;=table!$C$10,#REF!&lt;= table!$D$10),-1,IF(AND(#REF!&gt;=table!$E$10,#REF!&lt;=table!$F$10),1,0))</f>
        <v>#REF!</v>
      </c>
      <c r="V4680" s="5" t="e">
        <f>IF(AND(#REF!&gt;=table!$C$11,#REF!&lt;= table!$D$11),-1,IF(AND(#REF!&gt;=table!$E$11,#REF!&lt;=table!$F$11),1,0))</f>
        <v>#REF!</v>
      </c>
      <c r="W4680" s="5" t="e">
        <f>CONCATENATE(dados[[#This Row],[fator1]],dados[[#This Row],[fator5]],dados[[#This Row],[fator6]])</f>
        <v>#REF!</v>
      </c>
    </row>
    <row r="4681" spans="1:23">
      <c r="A4681" t="s">
        <v>16</v>
      </c>
      <c r="B4681">
        <v>590709</v>
      </c>
      <c r="C4681">
        <v>0.15</v>
      </c>
      <c r="D4681">
        <v>40</v>
      </c>
      <c r="E4681">
        <v>64</v>
      </c>
      <c r="F4681">
        <v>10</v>
      </c>
      <c r="G4681">
        <v>0</v>
      </c>
      <c r="H4681">
        <v>35</v>
      </c>
      <c r="I4681">
        <v>1620</v>
      </c>
      <c r="J4681">
        <v>0</v>
      </c>
      <c r="K4681">
        <v>5.8225000000000007</v>
      </c>
      <c r="L4681">
        <v>13.218</v>
      </c>
      <c r="M4681">
        <v>11.9915</v>
      </c>
      <c r="N4681">
        <v>17.015000000000001</v>
      </c>
      <c r="O4681">
        <v>1684</v>
      </c>
      <c r="P4681">
        <v>0</v>
      </c>
      <c r="Q4681" s="5" t="e">
        <f>IF(AND(#REF!&gt;=table!$C$6,#REF!&lt;= table!$D$6),-1,IF(AND(#REF!&gt;=table!$E$6,#REF!&lt;=table!$F$6),1,0))</f>
        <v>#REF!</v>
      </c>
      <c r="R4681" s="5" t="e">
        <f>IF(AND(#REF!&gt;=table!$C$7,#REF!&lt;= table!$D$7),-1,IF(AND(#REF!&gt;=table!$E$7,#REF!&lt;=table!$F$7),1,0))</f>
        <v>#REF!</v>
      </c>
      <c r="S4681" s="5" t="e">
        <f>IF(AND(#REF!&gt;=table!$C$8,#REF!&lt;= table!$D$8),-1,IF(AND(#REF!&gt;=table!$E$8,#REF!&lt;=table!$F$8),1,0))</f>
        <v>#REF!</v>
      </c>
      <c r="T4681" s="5"/>
      <c r="U4681" s="5" t="e">
        <f>IF(AND(#REF!&gt;=table!$C$10,#REF!&lt;= table!$D$10),-1,IF(AND(#REF!&gt;=table!$E$10,#REF!&lt;=table!$F$10),1,0))</f>
        <v>#REF!</v>
      </c>
      <c r="V4681" s="5" t="e">
        <f>IF(AND(#REF!&gt;=table!$C$11,#REF!&lt;= table!$D$11),-1,IF(AND(#REF!&gt;=table!$E$11,#REF!&lt;=table!$F$11),1,0))</f>
        <v>#REF!</v>
      </c>
      <c r="W4681" s="5" t="e">
        <f>CONCATENATE(dados[[#This Row],[fator1]],dados[[#This Row],[fator5]],dados[[#This Row],[fator6]])</f>
        <v>#REF!</v>
      </c>
    </row>
    <row r="4682" spans="1:23">
      <c r="A4682" t="s">
        <v>16</v>
      </c>
      <c r="B4682">
        <v>590711</v>
      </c>
      <c r="C4682">
        <v>12</v>
      </c>
      <c r="D4682">
        <v>40</v>
      </c>
      <c r="E4682">
        <v>36</v>
      </c>
      <c r="F4682">
        <v>9</v>
      </c>
      <c r="G4682">
        <v>0</v>
      </c>
      <c r="H4682">
        <v>25</v>
      </c>
      <c r="I4682">
        <v>0</v>
      </c>
      <c r="J4682">
        <v>0</v>
      </c>
      <c r="K4682">
        <v>5.3615000000000004</v>
      </c>
      <c r="L4682">
        <v>15.192</v>
      </c>
      <c r="M4682">
        <v>34.191000000000003</v>
      </c>
      <c r="N4682">
        <v>21.845000000000002</v>
      </c>
      <c r="O4682">
        <v>1681</v>
      </c>
      <c r="P4682">
        <v>768</v>
      </c>
      <c r="Q4682" s="5" t="e">
        <f>IF(AND(#REF!&gt;=table!$C$6,#REF!&lt;= table!$D$6),-1,IF(AND(#REF!&gt;=table!$E$6,#REF!&lt;=table!$F$6),1,0))</f>
        <v>#REF!</v>
      </c>
      <c r="R4682" s="5" t="e">
        <f>IF(AND(#REF!&gt;=table!$C$7,#REF!&lt;= table!$D$7),-1,IF(AND(#REF!&gt;=table!$E$7,#REF!&lt;=table!$F$7),1,0))</f>
        <v>#REF!</v>
      </c>
      <c r="S4682" s="5" t="e">
        <f>IF(AND(#REF!&gt;=table!$C$8,#REF!&lt;= table!$D$8),-1,IF(AND(#REF!&gt;=table!$E$8,#REF!&lt;=table!$F$8),1,0))</f>
        <v>#REF!</v>
      </c>
      <c r="T4682" s="5"/>
      <c r="U4682" s="5" t="e">
        <f>IF(AND(#REF!&gt;=table!$C$10,#REF!&lt;= table!$D$10),-1,IF(AND(#REF!&gt;=table!$E$10,#REF!&lt;=table!$F$10),1,0))</f>
        <v>#REF!</v>
      </c>
      <c r="V4682" s="5" t="e">
        <f>IF(AND(#REF!&gt;=table!$C$11,#REF!&lt;= table!$D$11),-1,IF(AND(#REF!&gt;=table!$E$11,#REF!&lt;=table!$F$11),1,0))</f>
        <v>#REF!</v>
      </c>
      <c r="W4682" s="5" t="e">
        <f>CONCATENATE(dados[[#This Row],[fator1]],dados[[#This Row],[fator5]],dados[[#This Row],[fator6]])</f>
        <v>#REF!</v>
      </c>
    </row>
    <row r="4683" spans="1:23">
      <c r="A4683" t="s">
        <v>17</v>
      </c>
      <c r="B4683">
        <v>590717</v>
      </c>
      <c r="C4683">
        <v>8</v>
      </c>
      <c r="D4683">
        <v>30</v>
      </c>
      <c r="E4683">
        <v>150</v>
      </c>
      <c r="F4683">
        <v>1</v>
      </c>
      <c r="G4683">
        <v>20</v>
      </c>
      <c r="H4683">
        <v>18</v>
      </c>
      <c r="I4683">
        <v>0</v>
      </c>
      <c r="J4683">
        <v>0</v>
      </c>
      <c r="K4683">
        <v>2.8640000000000003</v>
      </c>
      <c r="L4683">
        <v>4.8040000000000003</v>
      </c>
      <c r="M4683">
        <v>144.26349999999999</v>
      </c>
      <c r="N4683">
        <v>12.8</v>
      </c>
      <c r="O4683">
        <v>1689</v>
      </c>
      <c r="P4683">
        <v>0</v>
      </c>
      <c r="Q4683" s="5" t="e">
        <f>IF(AND(#REF!&gt;=table!$C$6,#REF!&lt;= table!$D$6),-1,IF(AND(#REF!&gt;=table!$E$6,#REF!&lt;=table!$F$6),1,0))</f>
        <v>#REF!</v>
      </c>
      <c r="R4683" s="5" t="e">
        <f>IF(AND(#REF!&gt;=table!$C$7,#REF!&lt;= table!$D$7),-1,IF(AND(#REF!&gt;=table!$E$7,#REF!&lt;=table!$F$7),1,0))</f>
        <v>#REF!</v>
      </c>
      <c r="S4683" s="5" t="e">
        <f>IF(AND(#REF!&gt;=table!$C$8,#REF!&lt;= table!$D$8),-1,IF(AND(#REF!&gt;=table!$E$8,#REF!&lt;=table!$F$8),1,0))</f>
        <v>#REF!</v>
      </c>
      <c r="T4683" s="5"/>
      <c r="U4683" s="5" t="e">
        <f>IF(AND(#REF!&gt;=table!$C$10,#REF!&lt;= table!$D$10),-1,IF(AND(#REF!&gt;=table!$E$10,#REF!&lt;=table!$F$10),1,0))</f>
        <v>#REF!</v>
      </c>
      <c r="V4683" s="5" t="e">
        <f>IF(AND(#REF!&gt;=table!$C$11,#REF!&lt;= table!$D$11),-1,IF(AND(#REF!&gt;=table!$E$11,#REF!&lt;=table!$F$11),1,0))</f>
        <v>#REF!</v>
      </c>
      <c r="W4683" s="5" t="e">
        <f>CONCATENATE(dados[[#This Row],[fator1]],dados[[#This Row],[fator5]],dados[[#This Row],[fator6]])</f>
        <v>#REF!</v>
      </c>
    </row>
    <row r="4684" spans="1:23">
      <c r="A4684" t="s">
        <v>17</v>
      </c>
      <c r="B4684">
        <v>590719</v>
      </c>
      <c r="C4684">
        <v>8</v>
      </c>
      <c r="D4684">
        <v>30</v>
      </c>
      <c r="E4684">
        <v>150</v>
      </c>
      <c r="F4684">
        <v>1</v>
      </c>
      <c r="G4684">
        <v>20</v>
      </c>
      <c r="H4684">
        <v>18</v>
      </c>
      <c r="I4684">
        <v>0</v>
      </c>
      <c r="J4684">
        <v>0</v>
      </c>
      <c r="K4684">
        <v>2.5870000000000002</v>
      </c>
      <c r="L4684">
        <v>6.4190000000000005</v>
      </c>
      <c r="M4684">
        <v>96.614500000000007</v>
      </c>
      <c r="N4684">
        <v>11.61</v>
      </c>
      <c r="O4684">
        <v>1681</v>
      </c>
      <c r="P4684">
        <v>1102</v>
      </c>
      <c r="Q4684" s="5" t="e">
        <f>IF(AND(#REF!&gt;=table!$C$6,#REF!&lt;= table!$D$6),-1,IF(AND(#REF!&gt;=table!$E$6,#REF!&lt;=table!$F$6),1,0))</f>
        <v>#REF!</v>
      </c>
      <c r="R4684" s="5" t="e">
        <f>IF(AND(#REF!&gt;=table!$C$7,#REF!&lt;= table!$D$7),-1,IF(AND(#REF!&gt;=table!$E$7,#REF!&lt;=table!$F$7),1,0))</f>
        <v>#REF!</v>
      </c>
      <c r="S4684" s="5" t="e">
        <f>IF(AND(#REF!&gt;=table!$C$8,#REF!&lt;= table!$D$8),-1,IF(AND(#REF!&gt;=table!$E$8,#REF!&lt;=table!$F$8),1,0))</f>
        <v>#REF!</v>
      </c>
      <c r="T4684" s="5"/>
      <c r="U4684" s="5" t="e">
        <f>IF(AND(#REF!&gt;=table!$C$10,#REF!&lt;= table!$D$10),-1,IF(AND(#REF!&gt;=table!$E$10,#REF!&lt;=table!$F$10),1,0))</f>
        <v>#REF!</v>
      </c>
      <c r="V4684" s="5" t="e">
        <f>IF(AND(#REF!&gt;=table!$C$11,#REF!&lt;= table!$D$11),-1,IF(AND(#REF!&gt;=table!$E$11,#REF!&lt;=table!$F$11),1,0))</f>
        <v>#REF!</v>
      </c>
      <c r="W4684" s="5" t="e">
        <f>CONCATENATE(dados[[#This Row],[fator1]],dados[[#This Row],[fator5]],dados[[#This Row],[fator6]])</f>
        <v>#REF!</v>
      </c>
    </row>
    <row r="4685" spans="1:23">
      <c r="A4685" t="s">
        <v>17</v>
      </c>
      <c r="B4685">
        <v>590720</v>
      </c>
      <c r="C4685">
        <v>8</v>
      </c>
      <c r="D4685">
        <v>30</v>
      </c>
      <c r="E4685">
        <v>150</v>
      </c>
      <c r="F4685">
        <v>1</v>
      </c>
      <c r="G4685">
        <v>20</v>
      </c>
      <c r="H4685">
        <v>18</v>
      </c>
      <c r="I4685">
        <v>488</v>
      </c>
      <c r="J4685">
        <v>0</v>
      </c>
      <c r="K4685">
        <v>5.7620000000000005</v>
      </c>
      <c r="L4685">
        <v>8.5155000000000012</v>
      </c>
      <c r="M4685">
        <v>136.11500000000001</v>
      </c>
      <c r="N4685">
        <v>9.09</v>
      </c>
      <c r="O4685">
        <v>1671</v>
      </c>
      <c r="P4685">
        <v>748</v>
      </c>
      <c r="Q4685" s="5" t="e">
        <f>IF(AND(#REF!&gt;=table!$C$6,#REF!&lt;= table!$D$6),-1,IF(AND(#REF!&gt;=table!$E$6,#REF!&lt;=table!$F$6),1,0))</f>
        <v>#REF!</v>
      </c>
      <c r="R4685" s="5" t="e">
        <f>IF(AND(#REF!&gt;=table!$C$7,#REF!&lt;= table!$D$7),-1,IF(AND(#REF!&gt;=table!$E$7,#REF!&lt;=table!$F$7),1,0))</f>
        <v>#REF!</v>
      </c>
      <c r="S4685" s="5" t="e">
        <f>IF(AND(#REF!&gt;=table!$C$8,#REF!&lt;= table!$D$8),-1,IF(AND(#REF!&gt;=table!$E$8,#REF!&lt;=table!$F$8),1,0))</f>
        <v>#REF!</v>
      </c>
      <c r="T4685" s="5"/>
      <c r="U4685" s="5" t="e">
        <f>IF(AND(#REF!&gt;=table!$C$10,#REF!&lt;= table!$D$10),-1,IF(AND(#REF!&gt;=table!$E$10,#REF!&lt;=table!$F$10),1,0))</f>
        <v>#REF!</v>
      </c>
      <c r="V4685" s="5" t="e">
        <f>IF(AND(#REF!&gt;=table!$C$11,#REF!&lt;= table!$D$11),-1,IF(AND(#REF!&gt;=table!$E$11,#REF!&lt;=table!$F$11),1,0))</f>
        <v>#REF!</v>
      </c>
      <c r="W4685" s="5" t="e">
        <f>CONCATENATE(dados[[#This Row],[fator1]],dados[[#This Row],[fator5]],dados[[#This Row],[fator6]])</f>
        <v>#REF!</v>
      </c>
    </row>
    <row r="4686" spans="1:23">
      <c r="A4686" t="s">
        <v>17</v>
      </c>
      <c r="B4686">
        <v>590721</v>
      </c>
      <c r="C4686">
        <v>8</v>
      </c>
      <c r="D4686">
        <v>30</v>
      </c>
      <c r="E4686">
        <v>150</v>
      </c>
      <c r="F4686">
        <v>1</v>
      </c>
      <c r="G4686">
        <v>20</v>
      </c>
      <c r="H4686">
        <v>18</v>
      </c>
      <c r="I4686">
        <v>1563</v>
      </c>
      <c r="J4686">
        <v>0</v>
      </c>
      <c r="K4686">
        <v>6.8055000000000003</v>
      </c>
      <c r="L4686">
        <v>8.82</v>
      </c>
      <c r="M4686">
        <v>122.01900000000001</v>
      </c>
      <c r="N4686">
        <v>7.49</v>
      </c>
      <c r="O4686">
        <v>1649</v>
      </c>
      <c r="P4686">
        <v>524</v>
      </c>
      <c r="Q4686" s="5" t="e">
        <f>IF(AND(#REF!&gt;=table!$C$6,#REF!&lt;= table!$D$6),-1,IF(AND(#REF!&gt;=table!$E$6,#REF!&lt;=table!$F$6),1,0))</f>
        <v>#REF!</v>
      </c>
      <c r="R4686" s="5" t="e">
        <f>IF(AND(#REF!&gt;=table!$C$7,#REF!&lt;= table!$D$7),-1,IF(AND(#REF!&gt;=table!$E$7,#REF!&lt;=table!$F$7),1,0))</f>
        <v>#REF!</v>
      </c>
      <c r="S4686" s="5" t="e">
        <f>IF(AND(#REF!&gt;=table!$C$8,#REF!&lt;= table!$D$8),-1,IF(AND(#REF!&gt;=table!$E$8,#REF!&lt;=table!$F$8),1,0))</f>
        <v>#REF!</v>
      </c>
      <c r="T4686" s="5"/>
      <c r="U4686" s="5" t="e">
        <f>IF(AND(#REF!&gt;=table!$C$10,#REF!&lt;= table!$D$10),-1,IF(AND(#REF!&gt;=table!$E$10,#REF!&lt;=table!$F$10),1,0))</f>
        <v>#REF!</v>
      </c>
      <c r="V4686" s="5" t="e">
        <f>IF(AND(#REF!&gt;=table!$C$11,#REF!&lt;= table!$D$11),-1,IF(AND(#REF!&gt;=table!$E$11,#REF!&lt;=table!$F$11),1,0))</f>
        <v>#REF!</v>
      </c>
      <c r="W4686" s="5" t="e">
        <f>CONCATENATE(dados[[#This Row],[fator1]],dados[[#This Row],[fator5]],dados[[#This Row],[fator6]])</f>
        <v>#REF!</v>
      </c>
    </row>
    <row r="4687" spans="1:23">
      <c r="A4687" t="s">
        <v>16</v>
      </c>
      <c r="B4687">
        <v>590723</v>
      </c>
      <c r="C4687">
        <v>0.18</v>
      </c>
      <c r="D4687">
        <v>50</v>
      </c>
      <c r="E4687">
        <v>56</v>
      </c>
      <c r="F4687">
        <v>15</v>
      </c>
      <c r="G4687">
        <v>0</v>
      </c>
      <c r="H4687">
        <v>50</v>
      </c>
      <c r="I4687">
        <v>16</v>
      </c>
      <c r="J4687">
        <v>0</v>
      </c>
      <c r="K4687">
        <v>2.7885</v>
      </c>
      <c r="L4687">
        <v>5.7320000000000002</v>
      </c>
      <c r="M4687">
        <v>5.3285</v>
      </c>
      <c r="N4687">
        <v>22.495000000000001</v>
      </c>
      <c r="O4687">
        <v>1683</v>
      </c>
      <c r="P4687">
        <v>1385</v>
      </c>
      <c r="Q4687" s="5" t="e">
        <f>IF(AND(#REF!&gt;=table!$C$6,#REF!&lt;= table!$D$6),-1,IF(AND(#REF!&gt;=table!$E$6,#REF!&lt;=table!$F$6),1,0))</f>
        <v>#REF!</v>
      </c>
      <c r="R4687" s="5" t="e">
        <f>IF(AND(#REF!&gt;=table!$C$7,#REF!&lt;= table!$D$7),-1,IF(AND(#REF!&gt;=table!$E$7,#REF!&lt;=table!$F$7),1,0))</f>
        <v>#REF!</v>
      </c>
      <c r="S4687" s="5" t="e">
        <f>IF(AND(#REF!&gt;=table!$C$8,#REF!&lt;= table!$D$8),-1,IF(AND(#REF!&gt;=table!$E$8,#REF!&lt;=table!$F$8),1,0))</f>
        <v>#REF!</v>
      </c>
      <c r="T4687" s="5"/>
      <c r="U4687" s="5" t="e">
        <f>IF(AND(#REF!&gt;=table!$C$10,#REF!&lt;= table!$D$10),-1,IF(AND(#REF!&gt;=table!$E$10,#REF!&lt;=table!$F$10),1,0))</f>
        <v>#REF!</v>
      </c>
      <c r="V4687" s="5" t="e">
        <f>IF(AND(#REF!&gt;=table!$C$11,#REF!&lt;= table!$D$11),-1,IF(AND(#REF!&gt;=table!$E$11,#REF!&lt;=table!$F$11),1,0))</f>
        <v>#REF!</v>
      </c>
      <c r="W4687" s="5" t="e">
        <f>CONCATENATE(dados[[#This Row],[fator1]],dados[[#This Row],[fator5]],dados[[#This Row],[fator6]])</f>
        <v>#REF!</v>
      </c>
    </row>
    <row r="4688" spans="1:23">
      <c r="A4688" t="s">
        <v>16</v>
      </c>
      <c r="B4688">
        <v>590729</v>
      </c>
      <c r="C4688">
        <v>13</v>
      </c>
      <c r="D4688">
        <v>35</v>
      </c>
      <c r="E4688">
        <v>120</v>
      </c>
      <c r="F4688">
        <v>10</v>
      </c>
      <c r="G4688">
        <v>0</v>
      </c>
      <c r="H4688">
        <v>25</v>
      </c>
      <c r="I4688">
        <v>1167</v>
      </c>
      <c r="J4688">
        <v>0</v>
      </c>
      <c r="K4688">
        <v>4.3755000000000006</v>
      </c>
      <c r="L4688">
        <v>12.508000000000001</v>
      </c>
      <c r="M4688">
        <v>70.691000000000003</v>
      </c>
      <c r="N4688">
        <v>16.12</v>
      </c>
      <c r="O4688">
        <v>1650</v>
      </c>
      <c r="P4688">
        <v>551</v>
      </c>
      <c r="Q4688" s="5" t="e">
        <f>IF(AND(#REF!&gt;=table!$C$6,#REF!&lt;= table!$D$6),-1,IF(AND(#REF!&gt;=table!$E$6,#REF!&lt;=table!$F$6),1,0))</f>
        <v>#REF!</v>
      </c>
      <c r="R4688" s="5" t="e">
        <f>IF(AND(#REF!&gt;=table!$C$7,#REF!&lt;= table!$D$7),-1,IF(AND(#REF!&gt;=table!$E$7,#REF!&lt;=table!$F$7),1,0))</f>
        <v>#REF!</v>
      </c>
      <c r="S4688" s="5" t="e">
        <f>IF(AND(#REF!&gt;=table!$C$8,#REF!&lt;= table!$D$8),-1,IF(AND(#REF!&gt;=table!$E$8,#REF!&lt;=table!$F$8),1,0))</f>
        <v>#REF!</v>
      </c>
      <c r="T4688" s="5"/>
      <c r="U4688" s="5" t="e">
        <f>IF(AND(#REF!&gt;=table!$C$10,#REF!&lt;= table!$D$10),-1,IF(AND(#REF!&gt;=table!$E$10,#REF!&lt;=table!$F$10),1,0))</f>
        <v>#REF!</v>
      </c>
      <c r="V4688" s="5" t="e">
        <f>IF(AND(#REF!&gt;=table!$C$11,#REF!&lt;= table!$D$11),-1,IF(AND(#REF!&gt;=table!$E$11,#REF!&lt;=table!$F$11),1,0))</f>
        <v>#REF!</v>
      </c>
      <c r="W4688" s="5" t="e">
        <f>CONCATENATE(dados[[#This Row],[fator1]],dados[[#This Row],[fator5]],dados[[#This Row],[fator6]])</f>
        <v>#REF!</v>
      </c>
    </row>
    <row r="4689" spans="1:23">
      <c r="A4689" t="s">
        <v>16</v>
      </c>
      <c r="B4689">
        <v>590734</v>
      </c>
      <c r="C4689">
        <v>0.15</v>
      </c>
      <c r="D4689">
        <v>40</v>
      </c>
      <c r="E4689">
        <v>10</v>
      </c>
      <c r="F4689">
        <v>15</v>
      </c>
      <c r="G4689">
        <v>0</v>
      </c>
      <c r="H4689">
        <v>15</v>
      </c>
      <c r="I4689">
        <v>0</v>
      </c>
      <c r="J4689">
        <v>650</v>
      </c>
      <c r="K4689">
        <v>4.4595000000000002</v>
      </c>
      <c r="L4689">
        <v>8.1295000000000002</v>
      </c>
      <c r="M4689">
        <v>5.1230000000000002</v>
      </c>
      <c r="N4689">
        <v>11.255000000000001</v>
      </c>
      <c r="O4689">
        <v>1647</v>
      </c>
      <c r="P4689">
        <v>0</v>
      </c>
      <c r="Q4689" s="5" t="e">
        <f>IF(AND(#REF!&gt;=table!$C$6,#REF!&lt;= table!$D$6),-1,IF(AND(#REF!&gt;=table!$E$6,#REF!&lt;=table!$F$6),1,0))</f>
        <v>#REF!</v>
      </c>
      <c r="R4689" s="5" t="e">
        <f>IF(AND(#REF!&gt;=table!$C$7,#REF!&lt;= table!$D$7),-1,IF(AND(#REF!&gt;=table!$E$7,#REF!&lt;=table!$F$7),1,0))</f>
        <v>#REF!</v>
      </c>
      <c r="S4689" s="5" t="e">
        <f>IF(AND(#REF!&gt;=table!$C$8,#REF!&lt;= table!$D$8),-1,IF(AND(#REF!&gt;=table!$E$8,#REF!&lt;=table!$F$8),1,0))</f>
        <v>#REF!</v>
      </c>
      <c r="T4689" s="5"/>
      <c r="U4689" s="5" t="e">
        <f>IF(AND(#REF!&gt;=table!$C$10,#REF!&lt;= table!$D$10),-1,IF(AND(#REF!&gt;=table!$E$10,#REF!&lt;=table!$F$10),1,0))</f>
        <v>#REF!</v>
      </c>
      <c r="V4689" s="5" t="e">
        <f>IF(AND(#REF!&gt;=table!$C$11,#REF!&lt;= table!$D$11),-1,IF(AND(#REF!&gt;=table!$E$11,#REF!&lt;=table!$F$11),1,0))</f>
        <v>#REF!</v>
      </c>
      <c r="W4689" s="5" t="e">
        <f>CONCATENATE(dados[[#This Row],[fator1]],dados[[#This Row],[fator5]],dados[[#This Row],[fator6]])</f>
        <v>#REF!</v>
      </c>
    </row>
    <row r="4690" spans="1:23">
      <c r="A4690" t="s">
        <v>17</v>
      </c>
      <c r="B4690">
        <v>590735</v>
      </c>
      <c r="C4690">
        <v>16</v>
      </c>
      <c r="D4690">
        <v>23</v>
      </c>
      <c r="E4690">
        <v>145</v>
      </c>
      <c r="F4690">
        <v>9</v>
      </c>
      <c r="G4690">
        <v>30</v>
      </c>
      <c r="H4690">
        <v>25</v>
      </c>
      <c r="I4690">
        <v>24</v>
      </c>
      <c r="J4690">
        <v>0</v>
      </c>
      <c r="K4690">
        <v>3.8685</v>
      </c>
      <c r="L4690">
        <v>5.8559999999999999</v>
      </c>
      <c r="M4690">
        <v>139.63</v>
      </c>
      <c r="N4690">
        <v>19.065000000000001</v>
      </c>
      <c r="O4690">
        <v>1677</v>
      </c>
      <c r="P4690">
        <v>1234</v>
      </c>
      <c r="Q4690" s="5" t="e">
        <f>IF(AND(#REF!&gt;=table!$C$6,#REF!&lt;= table!$D$6),-1,IF(AND(#REF!&gt;=table!$E$6,#REF!&lt;=table!$F$6),1,0))</f>
        <v>#REF!</v>
      </c>
      <c r="R4690" s="5" t="e">
        <f>IF(AND(#REF!&gt;=table!$C$7,#REF!&lt;= table!$D$7),-1,IF(AND(#REF!&gt;=table!$E$7,#REF!&lt;=table!$F$7),1,0))</f>
        <v>#REF!</v>
      </c>
      <c r="S4690" s="5" t="e">
        <f>IF(AND(#REF!&gt;=table!$C$8,#REF!&lt;= table!$D$8),-1,IF(AND(#REF!&gt;=table!$E$8,#REF!&lt;=table!$F$8),1,0))</f>
        <v>#REF!</v>
      </c>
      <c r="T4690" s="5"/>
      <c r="U4690" s="5" t="e">
        <f>IF(AND(#REF!&gt;=table!$C$10,#REF!&lt;= table!$D$10),-1,IF(AND(#REF!&gt;=table!$E$10,#REF!&lt;=table!$F$10),1,0))</f>
        <v>#REF!</v>
      </c>
      <c r="V4690" s="5" t="e">
        <f>IF(AND(#REF!&gt;=table!$C$11,#REF!&lt;= table!$D$11),-1,IF(AND(#REF!&gt;=table!$E$11,#REF!&lt;=table!$F$11),1,0))</f>
        <v>#REF!</v>
      </c>
      <c r="W4690" s="5" t="e">
        <f>CONCATENATE(dados[[#This Row],[fator1]],dados[[#This Row],[fator5]],dados[[#This Row],[fator6]])</f>
        <v>#REF!</v>
      </c>
    </row>
    <row r="4691" spans="1:23">
      <c r="A4691" t="s">
        <v>16</v>
      </c>
      <c r="B4691">
        <v>590741</v>
      </c>
      <c r="C4691">
        <v>9</v>
      </c>
      <c r="D4691">
        <v>40</v>
      </c>
      <c r="E4691">
        <v>46</v>
      </c>
      <c r="F4691">
        <v>15</v>
      </c>
      <c r="G4691">
        <v>0</v>
      </c>
      <c r="H4691">
        <v>25</v>
      </c>
      <c r="I4691">
        <v>0</v>
      </c>
      <c r="J4691">
        <v>560</v>
      </c>
      <c r="K4691">
        <v>4.1589999999999998</v>
      </c>
      <c r="L4691">
        <v>12.588000000000001</v>
      </c>
      <c r="M4691">
        <v>32.659500000000001</v>
      </c>
      <c r="N4691">
        <v>15.015000000000001</v>
      </c>
      <c r="O4691">
        <v>1688</v>
      </c>
      <c r="P4691">
        <v>890</v>
      </c>
      <c r="Q4691" s="5" t="e">
        <f>IF(AND(#REF!&gt;=table!$C$6,#REF!&lt;= table!$D$6),-1,IF(AND(#REF!&gt;=table!$E$6,#REF!&lt;=table!$F$6),1,0))</f>
        <v>#REF!</v>
      </c>
      <c r="R4691" s="5" t="e">
        <f>IF(AND(#REF!&gt;=table!$C$7,#REF!&lt;= table!$D$7),-1,IF(AND(#REF!&gt;=table!$E$7,#REF!&lt;=table!$F$7),1,0))</f>
        <v>#REF!</v>
      </c>
      <c r="S4691" s="5" t="e">
        <f>IF(AND(#REF!&gt;=table!$C$8,#REF!&lt;= table!$D$8),-1,IF(AND(#REF!&gt;=table!$E$8,#REF!&lt;=table!$F$8),1,0))</f>
        <v>#REF!</v>
      </c>
      <c r="T4691" s="5"/>
      <c r="U4691" s="5" t="e">
        <f>IF(AND(#REF!&gt;=table!$C$10,#REF!&lt;= table!$D$10),-1,IF(AND(#REF!&gt;=table!$E$10,#REF!&lt;=table!$F$10),1,0))</f>
        <v>#REF!</v>
      </c>
      <c r="V4691" s="5" t="e">
        <f>IF(AND(#REF!&gt;=table!$C$11,#REF!&lt;= table!$D$11),-1,IF(AND(#REF!&gt;=table!$E$11,#REF!&lt;=table!$F$11),1,0))</f>
        <v>#REF!</v>
      </c>
      <c r="W4691" s="5" t="e">
        <f>CONCATENATE(dados[[#This Row],[fator1]],dados[[#This Row],[fator5]],dados[[#This Row],[fator6]])</f>
        <v>#REF!</v>
      </c>
    </row>
    <row r="4692" spans="1:23">
      <c r="A4692" t="s">
        <v>16</v>
      </c>
      <c r="B4692">
        <v>590744</v>
      </c>
      <c r="C4692">
        <v>12</v>
      </c>
      <c r="D4692">
        <v>40</v>
      </c>
      <c r="E4692">
        <v>36</v>
      </c>
      <c r="F4692">
        <v>9</v>
      </c>
      <c r="G4692">
        <v>0</v>
      </c>
      <c r="H4692">
        <v>25</v>
      </c>
      <c r="I4692">
        <v>59</v>
      </c>
      <c r="J4692">
        <v>520</v>
      </c>
      <c r="K4692">
        <v>3.7355</v>
      </c>
      <c r="L4692">
        <v>11.703000000000001</v>
      </c>
      <c r="M4692">
        <v>32.638500000000001</v>
      </c>
      <c r="N4692">
        <v>12.005000000000001</v>
      </c>
      <c r="O4692">
        <v>1648</v>
      </c>
      <c r="P4692">
        <v>642</v>
      </c>
      <c r="Q4692" s="5" t="e">
        <f>IF(AND(#REF!&gt;=table!$C$6,#REF!&lt;= table!$D$6),-1,IF(AND(#REF!&gt;=table!$E$6,#REF!&lt;=table!$F$6),1,0))</f>
        <v>#REF!</v>
      </c>
      <c r="R4692" s="5" t="e">
        <f>IF(AND(#REF!&gt;=table!$C$7,#REF!&lt;= table!$D$7),-1,IF(AND(#REF!&gt;=table!$E$7,#REF!&lt;=table!$F$7),1,0))</f>
        <v>#REF!</v>
      </c>
      <c r="S4692" s="5" t="e">
        <f>IF(AND(#REF!&gt;=table!$C$8,#REF!&lt;= table!$D$8),-1,IF(AND(#REF!&gt;=table!$E$8,#REF!&lt;=table!$F$8),1,0))</f>
        <v>#REF!</v>
      </c>
      <c r="T4692" s="5"/>
      <c r="U4692" s="5" t="e">
        <f>IF(AND(#REF!&gt;=table!$C$10,#REF!&lt;= table!$D$10),-1,IF(AND(#REF!&gt;=table!$E$10,#REF!&lt;=table!$F$10),1,0))</f>
        <v>#REF!</v>
      </c>
      <c r="V4692" s="5" t="e">
        <f>IF(AND(#REF!&gt;=table!$C$11,#REF!&lt;= table!$D$11),-1,IF(AND(#REF!&gt;=table!$E$11,#REF!&lt;=table!$F$11),1,0))</f>
        <v>#REF!</v>
      </c>
      <c r="W4692" s="5" t="e">
        <f>CONCATENATE(dados[[#This Row],[fator1]],dados[[#This Row],[fator5]],dados[[#This Row],[fator6]])</f>
        <v>#REF!</v>
      </c>
    </row>
    <row r="4693" spans="1:23">
      <c r="A4693" t="s">
        <v>17</v>
      </c>
      <c r="B4693">
        <v>590750</v>
      </c>
      <c r="C4693">
        <v>9</v>
      </c>
      <c r="D4693">
        <v>30</v>
      </c>
      <c r="E4693">
        <v>160</v>
      </c>
      <c r="F4693">
        <v>3</v>
      </c>
      <c r="G4693">
        <v>30</v>
      </c>
      <c r="H4693">
        <v>20</v>
      </c>
      <c r="I4693">
        <v>294</v>
      </c>
      <c r="J4693">
        <v>0</v>
      </c>
      <c r="K4693">
        <v>6.4450000000000003</v>
      </c>
      <c r="L4693">
        <v>10.621500000000001</v>
      </c>
      <c r="M4693">
        <v>144.62300000000002</v>
      </c>
      <c r="N4693">
        <v>13.6</v>
      </c>
      <c r="O4693">
        <v>1685</v>
      </c>
      <c r="P4693">
        <v>504</v>
      </c>
      <c r="Q4693" s="5" t="e">
        <f>IF(AND(#REF!&gt;=table!$C$6,#REF!&lt;= table!$D$6),-1,IF(AND(#REF!&gt;=table!$E$6,#REF!&lt;=table!$F$6),1,0))</f>
        <v>#REF!</v>
      </c>
      <c r="R4693" s="5" t="e">
        <f>IF(AND(#REF!&gt;=table!$C$7,#REF!&lt;= table!$D$7),-1,IF(AND(#REF!&gt;=table!$E$7,#REF!&lt;=table!$F$7),1,0))</f>
        <v>#REF!</v>
      </c>
      <c r="S4693" s="5" t="e">
        <f>IF(AND(#REF!&gt;=table!$C$8,#REF!&lt;= table!$D$8),-1,IF(AND(#REF!&gt;=table!$E$8,#REF!&lt;=table!$F$8),1,0))</f>
        <v>#REF!</v>
      </c>
      <c r="T4693" s="5"/>
      <c r="U4693" s="5" t="e">
        <f>IF(AND(#REF!&gt;=table!$C$10,#REF!&lt;= table!$D$10),-1,IF(AND(#REF!&gt;=table!$E$10,#REF!&lt;=table!$F$10),1,0))</f>
        <v>#REF!</v>
      </c>
      <c r="V4693" s="5" t="e">
        <f>IF(AND(#REF!&gt;=table!$C$11,#REF!&lt;= table!$D$11),-1,IF(AND(#REF!&gt;=table!$E$11,#REF!&lt;=table!$F$11),1,0))</f>
        <v>#REF!</v>
      </c>
      <c r="W4693" s="5" t="e">
        <f>CONCATENATE(dados[[#This Row],[fator1]],dados[[#This Row],[fator5]],dados[[#This Row],[fator6]])</f>
        <v>#REF!</v>
      </c>
    </row>
    <row r="4694" spans="1:23">
      <c r="A4694" t="s">
        <v>17</v>
      </c>
      <c r="B4694">
        <v>590751</v>
      </c>
      <c r="C4694">
        <v>9</v>
      </c>
      <c r="D4694">
        <v>30</v>
      </c>
      <c r="E4694">
        <v>160</v>
      </c>
      <c r="F4694">
        <v>3</v>
      </c>
      <c r="G4694">
        <v>30</v>
      </c>
      <c r="H4694">
        <v>18</v>
      </c>
      <c r="I4694">
        <v>51</v>
      </c>
      <c r="J4694">
        <v>0</v>
      </c>
      <c r="K4694">
        <v>5.1275000000000004</v>
      </c>
      <c r="L4694">
        <v>8.1</v>
      </c>
      <c r="M4694">
        <v>129.86850000000001</v>
      </c>
      <c r="N4694">
        <v>11.245000000000001</v>
      </c>
      <c r="O4694">
        <v>1688</v>
      </c>
      <c r="P4694">
        <v>761</v>
      </c>
      <c r="Q4694" s="5" t="e">
        <f>IF(AND(#REF!&gt;=table!$C$6,#REF!&lt;= table!$D$6),-1,IF(AND(#REF!&gt;=table!$E$6,#REF!&lt;=table!$F$6),1,0))</f>
        <v>#REF!</v>
      </c>
      <c r="R4694" s="5" t="e">
        <f>IF(AND(#REF!&gt;=table!$C$7,#REF!&lt;= table!$D$7),-1,IF(AND(#REF!&gt;=table!$E$7,#REF!&lt;=table!$F$7),1,0))</f>
        <v>#REF!</v>
      </c>
      <c r="S4694" s="5" t="e">
        <f>IF(AND(#REF!&gt;=table!$C$8,#REF!&lt;= table!$D$8),-1,IF(AND(#REF!&gt;=table!$E$8,#REF!&lt;=table!$F$8),1,0))</f>
        <v>#REF!</v>
      </c>
      <c r="T4694" s="5"/>
      <c r="U4694" s="5" t="e">
        <f>IF(AND(#REF!&gt;=table!$C$10,#REF!&lt;= table!$D$10),-1,IF(AND(#REF!&gt;=table!$E$10,#REF!&lt;=table!$F$10),1,0))</f>
        <v>#REF!</v>
      </c>
      <c r="V4694" s="5" t="e">
        <f>IF(AND(#REF!&gt;=table!$C$11,#REF!&lt;= table!$D$11),-1,IF(AND(#REF!&gt;=table!$E$11,#REF!&lt;=table!$F$11),1,0))</f>
        <v>#REF!</v>
      </c>
      <c r="W4694" s="5" t="e">
        <f>CONCATENATE(dados[[#This Row],[fator1]],dados[[#This Row],[fator5]],dados[[#This Row],[fator6]])</f>
        <v>#REF!</v>
      </c>
    </row>
    <row r="4695" spans="1:23">
      <c r="A4695" t="s">
        <v>17</v>
      </c>
      <c r="B4695">
        <v>590752</v>
      </c>
      <c r="C4695">
        <v>9</v>
      </c>
      <c r="D4695">
        <v>30</v>
      </c>
      <c r="E4695">
        <v>160</v>
      </c>
      <c r="F4695">
        <v>3</v>
      </c>
      <c r="G4695">
        <v>30</v>
      </c>
      <c r="H4695">
        <v>18</v>
      </c>
      <c r="I4695">
        <v>0</v>
      </c>
      <c r="J4695">
        <v>950</v>
      </c>
      <c r="K4695">
        <v>4.5034999999999998</v>
      </c>
      <c r="L4695">
        <v>11.749000000000001</v>
      </c>
      <c r="M4695">
        <v>155.75300000000001</v>
      </c>
      <c r="N4695">
        <v>12.99</v>
      </c>
      <c r="O4695">
        <v>1676</v>
      </c>
      <c r="P4695">
        <v>0</v>
      </c>
      <c r="Q4695" s="5" t="e">
        <f>IF(AND(#REF!&gt;=table!$C$6,#REF!&lt;= table!$D$6),-1,IF(AND(#REF!&gt;=table!$E$6,#REF!&lt;=table!$F$6),1,0))</f>
        <v>#REF!</v>
      </c>
      <c r="R4695" s="5" t="e">
        <f>IF(AND(#REF!&gt;=table!$C$7,#REF!&lt;= table!$D$7),-1,IF(AND(#REF!&gt;=table!$E$7,#REF!&lt;=table!$F$7),1,0))</f>
        <v>#REF!</v>
      </c>
      <c r="S4695" s="5" t="e">
        <f>IF(AND(#REF!&gt;=table!$C$8,#REF!&lt;= table!$D$8),-1,IF(AND(#REF!&gt;=table!$E$8,#REF!&lt;=table!$F$8),1,0))</f>
        <v>#REF!</v>
      </c>
      <c r="T4695" s="5"/>
      <c r="U4695" s="5" t="e">
        <f>IF(AND(#REF!&gt;=table!$C$10,#REF!&lt;= table!$D$10),-1,IF(AND(#REF!&gt;=table!$E$10,#REF!&lt;=table!$F$10),1,0))</f>
        <v>#REF!</v>
      </c>
      <c r="V4695" s="5" t="e">
        <f>IF(AND(#REF!&gt;=table!$C$11,#REF!&lt;= table!$D$11),-1,IF(AND(#REF!&gt;=table!$E$11,#REF!&lt;=table!$F$11),1,0))</f>
        <v>#REF!</v>
      </c>
      <c r="W4695" s="5" t="e">
        <f>CONCATENATE(dados[[#This Row],[fator1]],dados[[#This Row],[fator5]],dados[[#This Row],[fator6]])</f>
        <v>#REF!</v>
      </c>
    </row>
    <row r="4696" spans="1:23">
      <c r="A4696" t="s">
        <v>17</v>
      </c>
      <c r="B4696">
        <v>590762</v>
      </c>
      <c r="C4696">
        <v>16</v>
      </c>
      <c r="D4696">
        <v>30</v>
      </c>
      <c r="E4696">
        <v>116</v>
      </c>
      <c r="F4696">
        <v>6</v>
      </c>
      <c r="G4696">
        <v>20</v>
      </c>
      <c r="H4696">
        <v>25</v>
      </c>
      <c r="I4696">
        <v>328</v>
      </c>
      <c r="J4696">
        <v>0</v>
      </c>
      <c r="K4696">
        <v>3.782</v>
      </c>
      <c r="L4696">
        <v>9.0625</v>
      </c>
      <c r="M4696">
        <v>101.78750000000001</v>
      </c>
      <c r="N4696">
        <v>15.27</v>
      </c>
      <c r="O4696">
        <v>1667</v>
      </c>
      <c r="P4696">
        <v>982</v>
      </c>
      <c r="Q4696" s="5" t="e">
        <f>IF(AND(#REF!&gt;=table!$C$6,#REF!&lt;= table!$D$6),-1,IF(AND(#REF!&gt;=table!$E$6,#REF!&lt;=table!$F$6),1,0))</f>
        <v>#REF!</v>
      </c>
      <c r="R4696" s="5" t="e">
        <f>IF(AND(#REF!&gt;=table!$C$7,#REF!&lt;= table!$D$7),-1,IF(AND(#REF!&gt;=table!$E$7,#REF!&lt;=table!$F$7),1,0))</f>
        <v>#REF!</v>
      </c>
      <c r="S4696" s="5" t="e">
        <f>IF(AND(#REF!&gt;=table!$C$8,#REF!&lt;= table!$D$8),-1,IF(AND(#REF!&gt;=table!$E$8,#REF!&lt;=table!$F$8),1,0))</f>
        <v>#REF!</v>
      </c>
      <c r="T4696" s="5"/>
      <c r="U4696" s="5" t="e">
        <f>IF(AND(#REF!&gt;=table!$C$10,#REF!&lt;= table!$D$10),-1,IF(AND(#REF!&gt;=table!$E$10,#REF!&lt;=table!$F$10),1,0))</f>
        <v>#REF!</v>
      </c>
      <c r="V4696" s="5" t="e">
        <f>IF(AND(#REF!&gt;=table!$C$11,#REF!&lt;= table!$D$11),-1,IF(AND(#REF!&gt;=table!$E$11,#REF!&lt;=table!$F$11),1,0))</f>
        <v>#REF!</v>
      </c>
      <c r="W4696" s="5" t="e">
        <f>CONCATENATE(dados[[#This Row],[fator1]],dados[[#This Row],[fator5]],dados[[#This Row],[fator6]])</f>
        <v>#REF!</v>
      </c>
    </row>
    <row r="4697" spans="1:23">
      <c r="A4697" t="s">
        <v>17</v>
      </c>
      <c r="B4697">
        <v>590763</v>
      </c>
      <c r="C4697">
        <v>16</v>
      </c>
      <c r="D4697">
        <v>30</v>
      </c>
      <c r="E4697">
        <v>106</v>
      </c>
      <c r="F4697">
        <v>9</v>
      </c>
      <c r="G4697">
        <v>20</v>
      </c>
      <c r="H4697">
        <v>25</v>
      </c>
      <c r="I4697">
        <v>63</v>
      </c>
      <c r="J4697">
        <v>0</v>
      </c>
      <c r="K4697">
        <v>8.0125000000000011</v>
      </c>
      <c r="L4697">
        <v>14.484500000000001</v>
      </c>
      <c r="M4697">
        <v>86.262500000000003</v>
      </c>
      <c r="N4697">
        <v>19.2</v>
      </c>
      <c r="O4697">
        <v>1669</v>
      </c>
      <c r="P4697">
        <v>450</v>
      </c>
      <c r="Q4697" s="5" t="e">
        <f>IF(AND(#REF!&gt;=table!$C$6,#REF!&lt;= table!$D$6),-1,IF(AND(#REF!&gt;=table!$E$6,#REF!&lt;=table!$F$6),1,0))</f>
        <v>#REF!</v>
      </c>
      <c r="R4697" s="5" t="e">
        <f>IF(AND(#REF!&gt;=table!$C$7,#REF!&lt;= table!$D$7),-1,IF(AND(#REF!&gt;=table!$E$7,#REF!&lt;=table!$F$7),1,0))</f>
        <v>#REF!</v>
      </c>
      <c r="S4697" s="5" t="e">
        <f>IF(AND(#REF!&gt;=table!$C$8,#REF!&lt;= table!$D$8),-1,IF(AND(#REF!&gt;=table!$E$8,#REF!&lt;=table!$F$8),1,0))</f>
        <v>#REF!</v>
      </c>
      <c r="T4697" s="5"/>
      <c r="U4697" s="5" t="e">
        <f>IF(AND(#REF!&gt;=table!$C$10,#REF!&lt;= table!$D$10),-1,IF(AND(#REF!&gt;=table!$E$10,#REF!&lt;=table!$F$10),1,0))</f>
        <v>#REF!</v>
      </c>
      <c r="V4697" s="5" t="e">
        <f>IF(AND(#REF!&gt;=table!$C$11,#REF!&lt;= table!$D$11),-1,IF(AND(#REF!&gt;=table!$E$11,#REF!&lt;=table!$F$11),1,0))</f>
        <v>#REF!</v>
      </c>
      <c r="W4697" s="5" t="e">
        <f>CONCATENATE(dados[[#This Row],[fator1]],dados[[#This Row],[fator5]],dados[[#This Row],[fator6]])</f>
        <v>#REF!</v>
      </c>
    </row>
    <row r="4698" spans="1:23">
      <c r="A4698" t="s">
        <v>17</v>
      </c>
      <c r="B4698">
        <v>590765</v>
      </c>
      <c r="C4698">
        <v>14</v>
      </c>
      <c r="D4698">
        <v>30</v>
      </c>
      <c r="E4698">
        <v>86</v>
      </c>
      <c r="F4698">
        <v>6</v>
      </c>
      <c r="G4698">
        <v>20</v>
      </c>
      <c r="H4698">
        <v>25</v>
      </c>
      <c r="I4698">
        <v>2059</v>
      </c>
      <c r="J4698">
        <v>650</v>
      </c>
      <c r="K4698">
        <v>12.771500000000001</v>
      </c>
      <c r="L4698">
        <v>20.94</v>
      </c>
      <c r="M4698">
        <v>68.903500000000008</v>
      </c>
      <c r="N4698">
        <v>17.935000000000002</v>
      </c>
      <c r="O4698">
        <v>1679</v>
      </c>
      <c r="P4698">
        <v>0</v>
      </c>
      <c r="Q4698" s="5" t="e">
        <f>IF(AND(#REF!&gt;=table!$C$6,#REF!&lt;= table!$D$6),-1,IF(AND(#REF!&gt;=table!$E$6,#REF!&lt;=table!$F$6),1,0))</f>
        <v>#REF!</v>
      </c>
      <c r="R4698" s="5" t="e">
        <f>IF(AND(#REF!&gt;=table!$C$7,#REF!&lt;= table!$D$7),-1,IF(AND(#REF!&gt;=table!$E$7,#REF!&lt;=table!$F$7),1,0))</f>
        <v>#REF!</v>
      </c>
      <c r="S4698" s="5" t="e">
        <f>IF(AND(#REF!&gt;=table!$C$8,#REF!&lt;= table!$D$8),-1,IF(AND(#REF!&gt;=table!$E$8,#REF!&lt;=table!$F$8),1,0))</f>
        <v>#REF!</v>
      </c>
      <c r="T4698" s="5"/>
      <c r="U4698" s="5" t="e">
        <f>IF(AND(#REF!&gt;=table!$C$10,#REF!&lt;= table!$D$10),-1,IF(AND(#REF!&gt;=table!$E$10,#REF!&lt;=table!$F$10),1,0))</f>
        <v>#REF!</v>
      </c>
      <c r="V4698" s="5" t="e">
        <f>IF(AND(#REF!&gt;=table!$C$11,#REF!&lt;= table!$D$11),-1,IF(AND(#REF!&gt;=table!$E$11,#REF!&lt;=table!$F$11),1,0))</f>
        <v>#REF!</v>
      </c>
      <c r="W4698" s="5" t="e">
        <f>CONCATENATE(dados[[#This Row],[fator1]],dados[[#This Row],[fator5]],dados[[#This Row],[fator6]])</f>
        <v>#REF!</v>
      </c>
    </row>
    <row r="4699" spans="1:23">
      <c r="A4699" t="s">
        <v>17</v>
      </c>
      <c r="B4699">
        <v>590766</v>
      </c>
      <c r="C4699">
        <v>16</v>
      </c>
      <c r="D4699">
        <v>30</v>
      </c>
      <c r="E4699">
        <v>106</v>
      </c>
      <c r="F4699">
        <v>9</v>
      </c>
      <c r="G4699">
        <v>20</v>
      </c>
      <c r="H4699">
        <v>25</v>
      </c>
      <c r="I4699">
        <v>33</v>
      </c>
      <c r="J4699">
        <v>0</v>
      </c>
      <c r="K4699">
        <v>7.1205000000000007</v>
      </c>
      <c r="L4699">
        <v>5.4290000000000003</v>
      </c>
      <c r="M4699">
        <v>46.054500000000004</v>
      </c>
      <c r="N4699">
        <v>6.41</v>
      </c>
      <c r="O4699">
        <v>1625</v>
      </c>
      <c r="P4699">
        <v>518</v>
      </c>
      <c r="Q4699" s="5" t="e">
        <f>IF(AND(#REF!&gt;=table!$C$6,#REF!&lt;= table!$D$6),-1,IF(AND(#REF!&gt;=table!$E$6,#REF!&lt;=table!$F$6),1,0))</f>
        <v>#REF!</v>
      </c>
      <c r="R4699" s="5" t="e">
        <f>IF(AND(#REF!&gt;=table!$C$7,#REF!&lt;= table!$D$7),-1,IF(AND(#REF!&gt;=table!$E$7,#REF!&lt;=table!$F$7),1,0))</f>
        <v>#REF!</v>
      </c>
      <c r="S4699" s="5" t="e">
        <f>IF(AND(#REF!&gt;=table!$C$8,#REF!&lt;= table!$D$8),-1,IF(AND(#REF!&gt;=table!$E$8,#REF!&lt;=table!$F$8),1,0))</f>
        <v>#REF!</v>
      </c>
      <c r="T4699" s="5"/>
      <c r="U4699" s="5" t="e">
        <f>IF(AND(#REF!&gt;=table!$C$10,#REF!&lt;= table!$D$10),-1,IF(AND(#REF!&gt;=table!$E$10,#REF!&lt;=table!$F$10),1,0))</f>
        <v>#REF!</v>
      </c>
      <c r="V4699" s="5" t="e">
        <f>IF(AND(#REF!&gt;=table!$C$11,#REF!&lt;= table!$D$11),-1,IF(AND(#REF!&gt;=table!$E$11,#REF!&lt;=table!$F$11),1,0))</f>
        <v>#REF!</v>
      </c>
      <c r="W4699" s="5" t="e">
        <f>CONCATENATE(dados[[#This Row],[fator1]],dados[[#This Row],[fator5]],dados[[#This Row],[fator6]])</f>
        <v>#REF!</v>
      </c>
    </row>
    <row r="4700" spans="1:23">
      <c r="A4700" t="s">
        <v>16</v>
      </c>
      <c r="B4700">
        <v>590776</v>
      </c>
      <c r="C4700">
        <v>4</v>
      </c>
      <c r="D4700">
        <v>40</v>
      </c>
      <c r="E4700">
        <v>21</v>
      </c>
      <c r="F4700">
        <v>20</v>
      </c>
      <c r="G4700">
        <v>0</v>
      </c>
      <c r="H4700">
        <v>25</v>
      </c>
      <c r="I4700">
        <v>1067</v>
      </c>
      <c r="J4700">
        <v>0</v>
      </c>
      <c r="K4700">
        <v>3.9775</v>
      </c>
      <c r="L4700">
        <v>6.82</v>
      </c>
      <c r="M4700">
        <v>6.3559999999999999</v>
      </c>
      <c r="N4700">
        <v>10.385</v>
      </c>
      <c r="O4700">
        <v>1703</v>
      </c>
      <c r="P4700">
        <v>923</v>
      </c>
      <c r="Q4700" s="5" t="e">
        <f>IF(AND(#REF!&gt;=table!$C$6,#REF!&lt;= table!$D$6),-1,IF(AND(#REF!&gt;=table!$E$6,#REF!&lt;=table!$F$6),1,0))</f>
        <v>#REF!</v>
      </c>
      <c r="R4700" s="5" t="e">
        <f>IF(AND(#REF!&gt;=table!$C$7,#REF!&lt;= table!$D$7),-1,IF(AND(#REF!&gt;=table!$E$7,#REF!&lt;=table!$F$7),1,0))</f>
        <v>#REF!</v>
      </c>
      <c r="S4700" s="5" t="e">
        <f>IF(AND(#REF!&gt;=table!$C$8,#REF!&lt;= table!$D$8),-1,IF(AND(#REF!&gt;=table!$E$8,#REF!&lt;=table!$F$8),1,0))</f>
        <v>#REF!</v>
      </c>
      <c r="T4700" s="5"/>
      <c r="U4700" s="5" t="e">
        <f>IF(AND(#REF!&gt;=table!$C$10,#REF!&lt;= table!$D$10),-1,IF(AND(#REF!&gt;=table!$E$10,#REF!&lt;=table!$F$10),1,0))</f>
        <v>#REF!</v>
      </c>
      <c r="V4700" s="5" t="e">
        <f>IF(AND(#REF!&gt;=table!$C$11,#REF!&lt;= table!$D$11),-1,IF(AND(#REF!&gt;=table!$E$11,#REF!&lt;=table!$F$11),1,0))</f>
        <v>#REF!</v>
      </c>
      <c r="W4700" s="5" t="e">
        <f>CONCATENATE(dados[[#This Row],[fator1]],dados[[#This Row],[fator5]],dados[[#This Row],[fator6]])</f>
        <v>#REF!</v>
      </c>
    </row>
    <row r="4701" spans="1:23">
      <c r="A4701" t="s">
        <v>16</v>
      </c>
      <c r="B4701">
        <v>590779</v>
      </c>
      <c r="C4701">
        <v>0.15</v>
      </c>
      <c r="D4701">
        <v>40</v>
      </c>
      <c r="E4701">
        <v>10</v>
      </c>
      <c r="F4701">
        <v>15</v>
      </c>
      <c r="G4701">
        <v>0</v>
      </c>
      <c r="H4701">
        <v>15</v>
      </c>
      <c r="I4701">
        <v>228</v>
      </c>
      <c r="J4701">
        <v>0</v>
      </c>
      <c r="K4701">
        <v>7.29</v>
      </c>
      <c r="L4701">
        <v>9.8115000000000006</v>
      </c>
      <c r="M4701">
        <v>9.0940000000000012</v>
      </c>
      <c r="N4701">
        <v>10.665000000000001</v>
      </c>
      <c r="O4701">
        <v>1679</v>
      </c>
      <c r="P4701">
        <v>512</v>
      </c>
      <c r="Q4701" s="5" t="e">
        <f>IF(AND(#REF!&gt;=table!$C$6,#REF!&lt;= table!$D$6),-1,IF(AND(#REF!&gt;=table!$E$6,#REF!&lt;=table!$F$6),1,0))</f>
        <v>#REF!</v>
      </c>
      <c r="R4701" s="5" t="e">
        <f>IF(AND(#REF!&gt;=table!$C$7,#REF!&lt;= table!$D$7),-1,IF(AND(#REF!&gt;=table!$E$7,#REF!&lt;=table!$F$7),1,0))</f>
        <v>#REF!</v>
      </c>
      <c r="S4701" s="5" t="e">
        <f>IF(AND(#REF!&gt;=table!$C$8,#REF!&lt;= table!$D$8),-1,IF(AND(#REF!&gt;=table!$E$8,#REF!&lt;=table!$F$8),1,0))</f>
        <v>#REF!</v>
      </c>
      <c r="T4701" s="5"/>
      <c r="U4701" s="5" t="e">
        <f>IF(AND(#REF!&gt;=table!$C$10,#REF!&lt;= table!$D$10),-1,IF(AND(#REF!&gt;=table!$E$10,#REF!&lt;=table!$F$10),1,0))</f>
        <v>#REF!</v>
      </c>
      <c r="V4701" s="5" t="e">
        <f>IF(AND(#REF!&gt;=table!$C$11,#REF!&lt;= table!$D$11),-1,IF(AND(#REF!&gt;=table!$E$11,#REF!&lt;=table!$F$11),1,0))</f>
        <v>#REF!</v>
      </c>
      <c r="W4701" s="5" t="e">
        <f>CONCATENATE(dados[[#This Row],[fator1]],dados[[#This Row],[fator5]],dados[[#This Row],[fator6]])</f>
        <v>#REF!</v>
      </c>
    </row>
    <row r="4702" spans="1:23">
      <c r="A4702" t="s">
        <v>16</v>
      </c>
      <c r="B4702">
        <v>590780</v>
      </c>
      <c r="C4702">
        <v>0.15</v>
      </c>
      <c r="D4702">
        <v>40</v>
      </c>
      <c r="E4702">
        <v>10</v>
      </c>
      <c r="F4702">
        <v>15</v>
      </c>
      <c r="G4702">
        <v>0</v>
      </c>
      <c r="H4702">
        <v>15</v>
      </c>
      <c r="I4702">
        <v>259</v>
      </c>
      <c r="J4702">
        <v>0</v>
      </c>
      <c r="K4702">
        <v>7.9075000000000006</v>
      </c>
      <c r="L4702">
        <v>12.844000000000001</v>
      </c>
      <c r="M4702">
        <v>8.7795000000000005</v>
      </c>
      <c r="N4702">
        <v>10.93</v>
      </c>
      <c r="O4702">
        <v>1706</v>
      </c>
      <c r="P4702">
        <v>678</v>
      </c>
      <c r="Q4702" s="5" t="e">
        <f>IF(AND(#REF!&gt;=table!$C$6,#REF!&lt;= table!$D$6),-1,IF(AND(#REF!&gt;=table!$E$6,#REF!&lt;=table!$F$6),1,0))</f>
        <v>#REF!</v>
      </c>
      <c r="R4702" s="5" t="e">
        <f>IF(AND(#REF!&gt;=table!$C$7,#REF!&lt;= table!$D$7),-1,IF(AND(#REF!&gt;=table!$E$7,#REF!&lt;=table!$F$7),1,0))</f>
        <v>#REF!</v>
      </c>
      <c r="S4702" s="5" t="e">
        <f>IF(AND(#REF!&gt;=table!$C$8,#REF!&lt;= table!$D$8),-1,IF(AND(#REF!&gt;=table!$E$8,#REF!&lt;=table!$F$8),1,0))</f>
        <v>#REF!</v>
      </c>
      <c r="T4702" s="5"/>
      <c r="U4702" s="5" t="e">
        <f>IF(AND(#REF!&gt;=table!$C$10,#REF!&lt;= table!$D$10),-1,IF(AND(#REF!&gt;=table!$E$10,#REF!&lt;=table!$F$10),1,0))</f>
        <v>#REF!</v>
      </c>
      <c r="V4702" s="5" t="e">
        <f>IF(AND(#REF!&gt;=table!$C$11,#REF!&lt;= table!$D$11),-1,IF(AND(#REF!&gt;=table!$E$11,#REF!&lt;=table!$F$11),1,0))</f>
        <v>#REF!</v>
      </c>
      <c r="W4702" s="5" t="e">
        <f>CONCATENATE(dados[[#This Row],[fator1]],dados[[#This Row],[fator5]],dados[[#This Row],[fator6]])</f>
        <v>#REF!</v>
      </c>
    </row>
    <row r="4703" spans="1:23">
      <c r="A4703" t="s">
        <v>16</v>
      </c>
      <c r="B4703">
        <v>590782</v>
      </c>
      <c r="C4703">
        <v>0.15</v>
      </c>
      <c r="D4703">
        <v>40</v>
      </c>
      <c r="E4703">
        <v>10</v>
      </c>
      <c r="F4703">
        <v>15</v>
      </c>
      <c r="G4703">
        <v>0</v>
      </c>
      <c r="H4703">
        <v>15</v>
      </c>
      <c r="I4703">
        <v>1</v>
      </c>
      <c r="J4703">
        <v>660</v>
      </c>
      <c r="K4703">
        <v>3.2210000000000001</v>
      </c>
      <c r="L4703">
        <v>6.9450000000000003</v>
      </c>
      <c r="M4703">
        <v>5.4670000000000005</v>
      </c>
      <c r="N4703">
        <v>9.4050000000000011</v>
      </c>
      <c r="O4703">
        <v>1653</v>
      </c>
      <c r="P4703">
        <v>1030</v>
      </c>
      <c r="Q4703" s="5" t="e">
        <f>IF(AND(#REF!&gt;=table!$C$6,#REF!&lt;= table!$D$6),-1,IF(AND(#REF!&gt;=table!$E$6,#REF!&lt;=table!$F$6),1,0))</f>
        <v>#REF!</v>
      </c>
      <c r="R4703" s="5" t="e">
        <f>IF(AND(#REF!&gt;=table!$C$7,#REF!&lt;= table!$D$7),-1,IF(AND(#REF!&gt;=table!$E$7,#REF!&lt;=table!$F$7),1,0))</f>
        <v>#REF!</v>
      </c>
      <c r="S4703" s="5" t="e">
        <f>IF(AND(#REF!&gt;=table!$C$8,#REF!&lt;= table!$D$8),-1,IF(AND(#REF!&gt;=table!$E$8,#REF!&lt;=table!$F$8),1,0))</f>
        <v>#REF!</v>
      </c>
      <c r="T4703" s="5"/>
      <c r="U4703" s="5" t="e">
        <f>IF(AND(#REF!&gt;=table!$C$10,#REF!&lt;= table!$D$10),-1,IF(AND(#REF!&gt;=table!$E$10,#REF!&lt;=table!$F$10),1,0))</f>
        <v>#REF!</v>
      </c>
      <c r="V4703" s="5" t="e">
        <f>IF(AND(#REF!&gt;=table!$C$11,#REF!&lt;= table!$D$11),-1,IF(AND(#REF!&gt;=table!$E$11,#REF!&lt;=table!$F$11),1,0))</f>
        <v>#REF!</v>
      </c>
      <c r="W4703" s="5" t="e">
        <f>CONCATENATE(dados[[#This Row],[fator1]],dados[[#This Row],[fator5]],dados[[#This Row],[fator6]])</f>
        <v>#REF!</v>
      </c>
    </row>
    <row r="4704" spans="1:23">
      <c r="A4704" t="s">
        <v>18</v>
      </c>
      <c r="B4704">
        <v>590787</v>
      </c>
      <c r="C4704">
        <v>3</v>
      </c>
      <c r="D4704">
        <v>5</v>
      </c>
      <c r="E4704">
        <v>26</v>
      </c>
      <c r="F4704">
        <v>15</v>
      </c>
      <c r="G4704">
        <v>42</v>
      </c>
      <c r="H4704">
        <v>30</v>
      </c>
      <c r="I4704">
        <v>811</v>
      </c>
      <c r="J4704">
        <v>0</v>
      </c>
      <c r="K4704">
        <v>3.9415</v>
      </c>
      <c r="L4704">
        <v>11.6205</v>
      </c>
      <c r="M4704">
        <v>27.194000000000003</v>
      </c>
      <c r="N4704">
        <v>14.25</v>
      </c>
      <c r="O4704">
        <v>1666</v>
      </c>
      <c r="P4704">
        <v>837</v>
      </c>
      <c r="Q4704" s="5" t="e">
        <f>IF(AND(#REF!&gt;=table!$C$6,#REF!&lt;= table!$D$6),-1,IF(AND(#REF!&gt;=table!$E$6,#REF!&lt;=table!$F$6),1,0))</f>
        <v>#REF!</v>
      </c>
      <c r="R4704" s="5" t="e">
        <f>IF(AND(#REF!&gt;=table!$C$7,#REF!&lt;= table!$D$7),-1,IF(AND(#REF!&gt;=table!$E$7,#REF!&lt;=table!$F$7),1,0))</f>
        <v>#REF!</v>
      </c>
      <c r="S4704" s="5" t="e">
        <f>IF(AND(#REF!&gt;=table!$C$8,#REF!&lt;= table!$D$8),-1,IF(AND(#REF!&gt;=table!$E$8,#REF!&lt;=table!$F$8),1,0))</f>
        <v>#REF!</v>
      </c>
      <c r="T4704" s="5"/>
      <c r="U4704" s="5" t="e">
        <f>IF(AND(#REF!&gt;=table!$C$10,#REF!&lt;= table!$D$10),-1,IF(AND(#REF!&gt;=table!$E$10,#REF!&lt;=table!$F$10),1,0))</f>
        <v>#REF!</v>
      </c>
      <c r="V4704" s="5" t="e">
        <f>IF(AND(#REF!&gt;=table!$C$11,#REF!&lt;= table!$D$11),-1,IF(AND(#REF!&gt;=table!$E$11,#REF!&lt;=table!$F$11),1,0))</f>
        <v>#REF!</v>
      </c>
      <c r="W4704" s="5" t="e">
        <f>CONCATENATE(dados[[#This Row],[fator1]],dados[[#This Row],[fator5]],dados[[#This Row],[fator6]])</f>
        <v>#REF!</v>
      </c>
    </row>
    <row r="4705" spans="1:23">
      <c r="A4705" t="s">
        <v>16</v>
      </c>
      <c r="B4705">
        <v>590788</v>
      </c>
      <c r="C4705">
        <v>0.15</v>
      </c>
      <c r="D4705">
        <v>40</v>
      </c>
      <c r="E4705">
        <v>10</v>
      </c>
      <c r="F4705">
        <v>15</v>
      </c>
      <c r="G4705">
        <v>0</v>
      </c>
      <c r="H4705">
        <v>15</v>
      </c>
      <c r="I4705">
        <v>1033</v>
      </c>
      <c r="J4705">
        <v>0</v>
      </c>
      <c r="K4705">
        <v>5.3559999999999999</v>
      </c>
      <c r="L4705">
        <v>11.185500000000001</v>
      </c>
      <c r="M4705">
        <v>9.7510000000000012</v>
      </c>
      <c r="N4705">
        <v>14.615</v>
      </c>
      <c r="O4705">
        <v>1712</v>
      </c>
      <c r="P4705">
        <v>0</v>
      </c>
      <c r="Q4705" s="5" t="e">
        <f>IF(AND(#REF!&gt;=table!$C$6,#REF!&lt;= table!$D$6),-1,IF(AND(#REF!&gt;=table!$E$6,#REF!&lt;=table!$F$6),1,0))</f>
        <v>#REF!</v>
      </c>
      <c r="R4705" s="5" t="e">
        <f>IF(AND(#REF!&gt;=table!$C$7,#REF!&lt;= table!$D$7),-1,IF(AND(#REF!&gt;=table!$E$7,#REF!&lt;=table!$F$7),1,0))</f>
        <v>#REF!</v>
      </c>
      <c r="S4705" s="5" t="e">
        <f>IF(AND(#REF!&gt;=table!$C$8,#REF!&lt;= table!$D$8),-1,IF(AND(#REF!&gt;=table!$E$8,#REF!&lt;=table!$F$8),1,0))</f>
        <v>#REF!</v>
      </c>
      <c r="T4705" s="5"/>
      <c r="U4705" s="5" t="e">
        <f>IF(AND(#REF!&gt;=table!$C$10,#REF!&lt;= table!$D$10),-1,IF(AND(#REF!&gt;=table!$E$10,#REF!&lt;=table!$F$10),1,0))</f>
        <v>#REF!</v>
      </c>
      <c r="V4705" s="5" t="e">
        <f>IF(AND(#REF!&gt;=table!$C$11,#REF!&lt;= table!$D$11),-1,IF(AND(#REF!&gt;=table!$E$11,#REF!&lt;=table!$F$11),1,0))</f>
        <v>#REF!</v>
      </c>
      <c r="W4705" s="5" t="e">
        <f>CONCATENATE(dados[[#This Row],[fator1]],dados[[#This Row],[fator5]],dados[[#This Row],[fator6]])</f>
        <v>#REF!</v>
      </c>
    </row>
    <row r="4706" spans="1:23">
      <c r="A4706" t="s">
        <v>18</v>
      </c>
      <c r="B4706">
        <v>590791</v>
      </c>
      <c r="C4706">
        <v>3</v>
      </c>
      <c r="D4706">
        <v>5</v>
      </c>
      <c r="E4706">
        <v>26</v>
      </c>
      <c r="F4706">
        <v>15</v>
      </c>
      <c r="G4706">
        <v>42</v>
      </c>
      <c r="H4706">
        <v>30</v>
      </c>
      <c r="I4706">
        <v>175</v>
      </c>
      <c r="J4706">
        <v>0</v>
      </c>
      <c r="K4706">
        <v>3.8680000000000003</v>
      </c>
      <c r="L4706">
        <v>12.71</v>
      </c>
      <c r="M4706">
        <v>22.922000000000001</v>
      </c>
      <c r="N4706">
        <v>19.215</v>
      </c>
      <c r="O4706">
        <v>1682</v>
      </c>
      <c r="P4706">
        <v>0</v>
      </c>
      <c r="Q4706" s="5" t="e">
        <f>IF(AND(#REF!&gt;=table!$C$6,#REF!&lt;= table!$D$6),-1,IF(AND(#REF!&gt;=table!$E$6,#REF!&lt;=table!$F$6),1,0))</f>
        <v>#REF!</v>
      </c>
      <c r="R4706" s="5" t="e">
        <f>IF(AND(#REF!&gt;=table!$C$7,#REF!&lt;= table!$D$7),-1,IF(AND(#REF!&gt;=table!$E$7,#REF!&lt;=table!$F$7),1,0))</f>
        <v>#REF!</v>
      </c>
      <c r="S4706" s="5" t="e">
        <f>IF(AND(#REF!&gt;=table!$C$8,#REF!&lt;= table!$D$8),-1,IF(AND(#REF!&gt;=table!$E$8,#REF!&lt;=table!$F$8),1,0))</f>
        <v>#REF!</v>
      </c>
      <c r="T4706" s="5"/>
      <c r="U4706" s="5" t="e">
        <f>IF(AND(#REF!&gt;=table!$C$10,#REF!&lt;= table!$D$10),-1,IF(AND(#REF!&gt;=table!$E$10,#REF!&lt;=table!$F$10),1,0))</f>
        <v>#REF!</v>
      </c>
      <c r="V4706" s="5" t="e">
        <f>IF(AND(#REF!&gt;=table!$C$11,#REF!&lt;= table!$D$11),-1,IF(AND(#REF!&gt;=table!$E$11,#REF!&lt;=table!$F$11),1,0))</f>
        <v>#REF!</v>
      </c>
      <c r="W4706" s="5" t="e">
        <f>CONCATENATE(dados[[#This Row],[fator1]],dados[[#This Row],[fator5]],dados[[#This Row],[fator6]])</f>
        <v>#REF!</v>
      </c>
    </row>
    <row r="4707" spans="1:23">
      <c r="A4707" t="s">
        <v>16</v>
      </c>
      <c r="B4707">
        <v>590795</v>
      </c>
      <c r="C4707">
        <v>12</v>
      </c>
      <c r="D4707">
        <v>35</v>
      </c>
      <c r="E4707">
        <v>180</v>
      </c>
      <c r="F4707">
        <v>6</v>
      </c>
      <c r="G4707">
        <v>0</v>
      </c>
      <c r="H4707">
        <v>20</v>
      </c>
      <c r="I4707">
        <v>0</v>
      </c>
      <c r="J4707">
        <v>0</v>
      </c>
      <c r="K4707">
        <v>2.7275</v>
      </c>
      <c r="L4707">
        <v>4.2745000000000006</v>
      </c>
      <c r="M4707">
        <v>152.732</v>
      </c>
      <c r="N4707">
        <v>12.74</v>
      </c>
      <c r="O4707">
        <v>1677</v>
      </c>
      <c r="P4707">
        <v>1531</v>
      </c>
      <c r="Q4707" s="5" t="e">
        <f>IF(AND(#REF!&gt;=table!$C$6,#REF!&lt;= table!$D$6),-1,IF(AND(#REF!&gt;=table!$E$6,#REF!&lt;=table!$F$6),1,0))</f>
        <v>#REF!</v>
      </c>
      <c r="R4707" s="5" t="e">
        <f>IF(AND(#REF!&gt;=table!$C$7,#REF!&lt;= table!$D$7),-1,IF(AND(#REF!&gt;=table!$E$7,#REF!&lt;=table!$F$7),1,0))</f>
        <v>#REF!</v>
      </c>
      <c r="S4707" s="5" t="e">
        <f>IF(AND(#REF!&gt;=table!$C$8,#REF!&lt;= table!$D$8),-1,IF(AND(#REF!&gt;=table!$E$8,#REF!&lt;=table!$F$8),1,0))</f>
        <v>#REF!</v>
      </c>
      <c r="T4707" s="5"/>
      <c r="U4707" s="5" t="e">
        <f>IF(AND(#REF!&gt;=table!$C$10,#REF!&lt;= table!$D$10),-1,IF(AND(#REF!&gt;=table!$E$10,#REF!&lt;=table!$F$10),1,0))</f>
        <v>#REF!</v>
      </c>
      <c r="V4707" s="5" t="e">
        <f>IF(AND(#REF!&gt;=table!$C$11,#REF!&lt;= table!$D$11),-1,IF(AND(#REF!&gt;=table!$E$11,#REF!&lt;=table!$F$11),1,0))</f>
        <v>#REF!</v>
      </c>
      <c r="W4707" s="5" t="e">
        <f>CONCATENATE(dados[[#This Row],[fator1]],dados[[#This Row],[fator5]],dados[[#This Row],[fator6]])</f>
        <v>#REF!</v>
      </c>
    </row>
    <row r="4708" spans="1:23">
      <c r="A4708" t="s">
        <v>16</v>
      </c>
      <c r="B4708">
        <v>590800</v>
      </c>
      <c r="C4708">
        <v>9</v>
      </c>
      <c r="D4708">
        <v>27</v>
      </c>
      <c r="E4708">
        <v>36</v>
      </c>
      <c r="F4708">
        <v>8</v>
      </c>
      <c r="G4708">
        <v>0</v>
      </c>
      <c r="H4708">
        <v>25</v>
      </c>
      <c r="I4708">
        <v>2</v>
      </c>
      <c r="J4708">
        <v>0</v>
      </c>
      <c r="K4708">
        <v>3.9330000000000003</v>
      </c>
      <c r="L4708">
        <v>12.5245</v>
      </c>
      <c r="M4708">
        <v>40.4465</v>
      </c>
      <c r="N4708">
        <v>18.385000000000002</v>
      </c>
      <c r="O4708">
        <v>1681</v>
      </c>
      <c r="P4708">
        <v>977</v>
      </c>
      <c r="Q4708" s="5" t="e">
        <f>IF(AND(#REF!&gt;=table!$C$6,#REF!&lt;= table!$D$6),-1,IF(AND(#REF!&gt;=table!$E$6,#REF!&lt;=table!$F$6),1,0))</f>
        <v>#REF!</v>
      </c>
      <c r="R4708" s="5" t="e">
        <f>IF(AND(#REF!&gt;=table!$C$7,#REF!&lt;= table!$D$7),-1,IF(AND(#REF!&gt;=table!$E$7,#REF!&lt;=table!$F$7),1,0))</f>
        <v>#REF!</v>
      </c>
      <c r="S4708" s="5" t="e">
        <f>IF(AND(#REF!&gt;=table!$C$8,#REF!&lt;= table!$D$8),-1,IF(AND(#REF!&gt;=table!$E$8,#REF!&lt;=table!$F$8),1,0))</f>
        <v>#REF!</v>
      </c>
      <c r="T4708" s="5"/>
      <c r="U4708" s="5" t="e">
        <f>IF(AND(#REF!&gt;=table!$C$10,#REF!&lt;= table!$D$10),-1,IF(AND(#REF!&gt;=table!$E$10,#REF!&lt;=table!$F$10),1,0))</f>
        <v>#REF!</v>
      </c>
      <c r="V4708" s="5" t="e">
        <f>IF(AND(#REF!&gt;=table!$C$11,#REF!&lt;= table!$D$11),-1,IF(AND(#REF!&gt;=table!$E$11,#REF!&lt;=table!$F$11),1,0))</f>
        <v>#REF!</v>
      </c>
      <c r="W4708" s="5" t="e">
        <f>CONCATENATE(dados[[#This Row],[fator1]],dados[[#This Row],[fator5]],dados[[#This Row],[fator6]])</f>
        <v>#REF!</v>
      </c>
    </row>
    <row r="4709" spans="1:23">
      <c r="A4709" t="s">
        <v>16</v>
      </c>
      <c r="B4709">
        <v>590802</v>
      </c>
      <c r="C4709">
        <v>4</v>
      </c>
      <c r="D4709">
        <v>40</v>
      </c>
      <c r="E4709">
        <v>21</v>
      </c>
      <c r="F4709">
        <v>20</v>
      </c>
      <c r="G4709">
        <v>0</v>
      </c>
      <c r="H4709">
        <v>25</v>
      </c>
      <c r="I4709">
        <v>378</v>
      </c>
      <c r="J4709">
        <v>0</v>
      </c>
      <c r="K4709">
        <v>4.6660000000000004</v>
      </c>
      <c r="L4709">
        <v>7.9130000000000003</v>
      </c>
      <c r="M4709">
        <v>16.670999999999999</v>
      </c>
      <c r="N4709">
        <v>14.32</v>
      </c>
      <c r="O4709">
        <v>1687</v>
      </c>
      <c r="P4709">
        <v>823</v>
      </c>
      <c r="Q4709" s="5" t="e">
        <f>IF(AND(#REF!&gt;=table!$C$6,#REF!&lt;= table!$D$6),-1,IF(AND(#REF!&gt;=table!$E$6,#REF!&lt;=table!$F$6),1,0))</f>
        <v>#REF!</v>
      </c>
      <c r="R4709" s="5" t="e">
        <f>IF(AND(#REF!&gt;=table!$C$7,#REF!&lt;= table!$D$7),-1,IF(AND(#REF!&gt;=table!$E$7,#REF!&lt;=table!$F$7),1,0))</f>
        <v>#REF!</v>
      </c>
      <c r="S4709" s="5" t="e">
        <f>IF(AND(#REF!&gt;=table!$C$8,#REF!&lt;= table!$D$8),-1,IF(AND(#REF!&gt;=table!$E$8,#REF!&lt;=table!$F$8),1,0))</f>
        <v>#REF!</v>
      </c>
      <c r="T4709" s="5"/>
      <c r="U4709" s="5" t="e">
        <f>IF(AND(#REF!&gt;=table!$C$10,#REF!&lt;= table!$D$10),-1,IF(AND(#REF!&gt;=table!$E$10,#REF!&lt;=table!$F$10),1,0))</f>
        <v>#REF!</v>
      </c>
      <c r="V4709" s="5" t="e">
        <f>IF(AND(#REF!&gt;=table!$C$11,#REF!&lt;= table!$D$11),-1,IF(AND(#REF!&gt;=table!$E$11,#REF!&lt;=table!$F$11),1,0))</f>
        <v>#REF!</v>
      </c>
      <c r="W4709" s="5" t="e">
        <f>CONCATENATE(dados[[#This Row],[fator1]],dados[[#This Row],[fator5]],dados[[#This Row],[fator6]])</f>
        <v>#REF!</v>
      </c>
    </row>
    <row r="4710" spans="1:23">
      <c r="A4710" t="s">
        <v>16</v>
      </c>
      <c r="B4710">
        <v>590803</v>
      </c>
      <c r="C4710">
        <v>3</v>
      </c>
      <c r="D4710">
        <v>30</v>
      </c>
      <c r="E4710">
        <v>21</v>
      </c>
      <c r="F4710">
        <v>15</v>
      </c>
      <c r="G4710">
        <v>0</v>
      </c>
      <c r="H4710">
        <v>25</v>
      </c>
      <c r="I4710">
        <v>0</v>
      </c>
      <c r="J4710">
        <v>0</v>
      </c>
      <c r="K4710">
        <v>3.4120000000000004</v>
      </c>
      <c r="L4710">
        <v>9.3034999999999997</v>
      </c>
      <c r="M4710">
        <v>20.129000000000001</v>
      </c>
      <c r="N4710">
        <v>9.375</v>
      </c>
      <c r="O4710">
        <v>1641</v>
      </c>
      <c r="P4710">
        <v>0</v>
      </c>
      <c r="Q4710" s="5" t="e">
        <f>IF(AND(#REF!&gt;=table!$C$6,#REF!&lt;= table!$D$6),-1,IF(AND(#REF!&gt;=table!$E$6,#REF!&lt;=table!$F$6),1,0))</f>
        <v>#REF!</v>
      </c>
      <c r="R4710" s="5" t="e">
        <f>IF(AND(#REF!&gt;=table!$C$7,#REF!&lt;= table!$D$7),-1,IF(AND(#REF!&gt;=table!$E$7,#REF!&lt;=table!$F$7),1,0))</f>
        <v>#REF!</v>
      </c>
      <c r="S4710" s="5" t="e">
        <f>IF(AND(#REF!&gt;=table!$C$8,#REF!&lt;= table!$D$8),-1,IF(AND(#REF!&gt;=table!$E$8,#REF!&lt;=table!$F$8),1,0))</f>
        <v>#REF!</v>
      </c>
      <c r="T4710" s="5"/>
      <c r="U4710" s="5" t="e">
        <f>IF(AND(#REF!&gt;=table!$C$10,#REF!&lt;= table!$D$10),-1,IF(AND(#REF!&gt;=table!$E$10,#REF!&lt;=table!$F$10),1,0))</f>
        <v>#REF!</v>
      </c>
      <c r="V4710" s="5" t="e">
        <f>IF(AND(#REF!&gt;=table!$C$11,#REF!&lt;= table!$D$11),-1,IF(AND(#REF!&gt;=table!$E$11,#REF!&lt;=table!$F$11),1,0))</f>
        <v>#REF!</v>
      </c>
      <c r="W4710" s="5" t="e">
        <f>CONCATENATE(dados[[#This Row],[fator1]],dados[[#This Row],[fator5]],dados[[#This Row],[fator6]])</f>
        <v>#REF!</v>
      </c>
    </row>
    <row r="4711" spans="1:23">
      <c r="A4711" t="s">
        <v>16</v>
      </c>
      <c r="B4711">
        <v>590806</v>
      </c>
      <c r="C4711">
        <v>0.15</v>
      </c>
      <c r="D4711">
        <v>40</v>
      </c>
      <c r="E4711">
        <v>10</v>
      </c>
      <c r="F4711">
        <v>15</v>
      </c>
      <c r="G4711">
        <v>0</v>
      </c>
      <c r="H4711">
        <v>15</v>
      </c>
      <c r="I4711">
        <v>864</v>
      </c>
      <c r="J4711">
        <v>0</v>
      </c>
      <c r="K4711">
        <v>4.5330000000000004</v>
      </c>
      <c r="L4711">
        <v>9.66</v>
      </c>
      <c r="M4711">
        <v>8.2620000000000005</v>
      </c>
      <c r="N4711">
        <v>10.23</v>
      </c>
      <c r="O4711">
        <v>1668</v>
      </c>
      <c r="P4711">
        <v>863</v>
      </c>
      <c r="Q4711" s="5" t="e">
        <f>IF(AND(#REF!&gt;=table!$C$6,#REF!&lt;= table!$D$6),-1,IF(AND(#REF!&gt;=table!$E$6,#REF!&lt;=table!$F$6),1,0))</f>
        <v>#REF!</v>
      </c>
      <c r="R4711" s="5" t="e">
        <f>IF(AND(#REF!&gt;=table!$C$7,#REF!&lt;= table!$D$7),-1,IF(AND(#REF!&gt;=table!$E$7,#REF!&lt;=table!$F$7),1,0))</f>
        <v>#REF!</v>
      </c>
      <c r="S4711" s="5" t="e">
        <f>IF(AND(#REF!&gt;=table!$C$8,#REF!&lt;= table!$D$8),-1,IF(AND(#REF!&gt;=table!$E$8,#REF!&lt;=table!$F$8),1,0))</f>
        <v>#REF!</v>
      </c>
      <c r="T4711" s="5"/>
      <c r="U4711" s="5" t="e">
        <f>IF(AND(#REF!&gt;=table!$C$10,#REF!&lt;= table!$D$10),-1,IF(AND(#REF!&gt;=table!$E$10,#REF!&lt;=table!$F$10),1,0))</f>
        <v>#REF!</v>
      </c>
      <c r="V4711" s="5" t="e">
        <f>IF(AND(#REF!&gt;=table!$C$11,#REF!&lt;= table!$D$11),-1,IF(AND(#REF!&gt;=table!$E$11,#REF!&lt;=table!$F$11),1,0))</f>
        <v>#REF!</v>
      </c>
      <c r="W4711" s="5" t="e">
        <f>CONCATENATE(dados[[#This Row],[fator1]],dados[[#This Row],[fator5]],dados[[#This Row],[fator6]])</f>
        <v>#REF!</v>
      </c>
    </row>
    <row r="4712" spans="1:23">
      <c r="A4712" t="s">
        <v>16</v>
      </c>
      <c r="B4712">
        <v>590822</v>
      </c>
      <c r="C4712">
        <v>6</v>
      </c>
      <c r="D4712">
        <v>30</v>
      </c>
      <c r="E4712">
        <v>40</v>
      </c>
      <c r="F4712">
        <v>15</v>
      </c>
      <c r="G4712">
        <v>0</v>
      </c>
      <c r="H4712">
        <v>25</v>
      </c>
      <c r="I4712">
        <v>0</v>
      </c>
      <c r="J4712">
        <v>0</v>
      </c>
      <c r="K4712">
        <v>2.5635000000000003</v>
      </c>
      <c r="L4712">
        <v>5.9870000000000001</v>
      </c>
      <c r="M4712">
        <v>25.5975</v>
      </c>
      <c r="N4712">
        <v>16.345000000000002</v>
      </c>
      <c r="O4712">
        <v>1701</v>
      </c>
      <c r="P4712">
        <v>1382</v>
      </c>
      <c r="Q4712" s="5" t="e">
        <f>IF(AND(#REF!&gt;=table!$C$6,#REF!&lt;= table!$D$6),-1,IF(AND(#REF!&gt;=table!$E$6,#REF!&lt;=table!$F$6),1,0))</f>
        <v>#REF!</v>
      </c>
      <c r="R4712" s="5" t="e">
        <f>IF(AND(#REF!&gt;=table!$C$7,#REF!&lt;= table!$D$7),-1,IF(AND(#REF!&gt;=table!$E$7,#REF!&lt;=table!$F$7),1,0))</f>
        <v>#REF!</v>
      </c>
      <c r="S4712" s="5" t="e">
        <f>IF(AND(#REF!&gt;=table!$C$8,#REF!&lt;= table!$D$8),-1,IF(AND(#REF!&gt;=table!$E$8,#REF!&lt;=table!$F$8),1,0))</f>
        <v>#REF!</v>
      </c>
      <c r="T4712" s="5"/>
      <c r="U4712" s="5" t="e">
        <f>IF(AND(#REF!&gt;=table!$C$10,#REF!&lt;= table!$D$10),-1,IF(AND(#REF!&gt;=table!$E$10,#REF!&lt;=table!$F$10),1,0))</f>
        <v>#REF!</v>
      </c>
      <c r="V4712" s="5" t="e">
        <f>IF(AND(#REF!&gt;=table!$C$11,#REF!&lt;= table!$D$11),-1,IF(AND(#REF!&gt;=table!$E$11,#REF!&lt;=table!$F$11),1,0))</f>
        <v>#REF!</v>
      </c>
      <c r="W4712" s="5" t="e">
        <f>CONCATENATE(dados[[#This Row],[fator1]],dados[[#This Row],[fator5]],dados[[#This Row],[fator6]])</f>
        <v>#REF!</v>
      </c>
    </row>
    <row r="4713" spans="1:23">
      <c r="A4713" t="s">
        <v>16</v>
      </c>
      <c r="B4713">
        <v>590828</v>
      </c>
      <c r="C4713">
        <v>0.18</v>
      </c>
      <c r="D4713">
        <v>50</v>
      </c>
      <c r="E4713">
        <v>56</v>
      </c>
      <c r="F4713">
        <v>15</v>
      </c>
      <c r="G4713">
        <v>0</v>
      </c>
      <c r="H4713">
        <v>50</v>
      </c>
      <c r="I4713">
        <v>769</v>
      </c>
      <c r="J4713">
        <v>0</v>
      </c>
      <c r="K4713">
        <v>2.7440000000000002</v>
      </c>
      <c r="L4713">
        <v>9.9340000000000011</v>
      </c>
      <c r="M4713">
        <v>7.8895</v>
      </c>
      <c r="N4713">
        <v>21.2</v>
      </c>
      <c r="O4713">
        <v>1679</v>
      </c>
      <c r="P4713">
        <v>1229</v>
      </c>
      <c r="Q4713" s="5" t="e">
        <f>IF(AND(#REF!&gt;=table!$C$6,#REF!&lt;= table!$D$6),-1,IF(AND(#REF!&gt;=table!$E$6,#REF!&lt;=table!$F$6),1,0))</f>
        <v>#REF!</v>
      </c>
      <c r="R4713" s="5" t="e">
        <f>IF(AND(#REF!&gt;=table!$C$7,#REF!&lt;= table!$D$7),-1,IF(AND(#REF!&gt;=table!$E$7,#REF!&lt;=table!$F$7),1,0))</f>
        <v>#REF!</v>
      </c>
      <c r="S4713" s="5" t="e">
        <f>IF(AND(#REF!&gt;=table!$C$8,#REF!&lt;= table!$D$8),-1,IF(AND(#REF!&gt;=table!$E$8,#REF!&lt;=table!$F$8),1,0))</f>
        <v>#REF!</v>
      </c>
      <c r="T4713" s="5"/>
      <c r="U4713" s="5" t="e">
        <f>IF(AND(#REF!&gt;=table!$C$10,#REF!&lt;= table!$D$10),-1,IF(AND(#REF!&gt;=table!$E$10,#REF!&lt;=table!$F$10),1,0))</f>
        <v>#REF!</v>
      </c>
      <c r="V4713" s="5" t="e">
        <f>IF(AND(#REF!&gt;=table!$C$11,#REF!&lt;= table!$D$11),-1,IF(AND(#REF!&gt;=table!$E$11,#REF!&lt;=table!$F$11),1,0))</f>
        <v>#REF!</v>
      </c>
      <c r="W4713" s="5" t="e">
        <f>CONCATENATE(dados[[#This Row],[fator1]],dados[[#This Row],[fator5]],dados[[#This Row],[fator6]])</f>
        <v>#REF!</v>
      </c>
    </row>
    <row r="4714" spans="1:23">
      <c r="A4714" t="s">
        <v>16</v>
      </c>
      <c r="B4714">
        <v>590829</v>
      </c>
      <c r="C4714">
        <v>0.18</v>
      </c>
      <c r="D4714">
        <v>50</v>
      </c>
      <c r="E4714">
        <v>56</v>
      </c>
      <c r="F4714">
        <v>15</v>
      </c>
      <c r="G4714">
        <v>0</v>
      </c>
      <c r="H4714">
        <v>50</v>
      </c>
      <c r="I4714">
        <v>1052</v>
      </c>
      <c r="J4714">
        <v>0</v>
      </c>
      <c r="K4714">
        <v>2.4020000000000001</v>
      </c>
      <c r="L4714">
        <v>5.6065000000000005</v>
      </c>
      <c r="M4714">
        <v>5.5225</v>
      </c>
      <c r="N4714">
        <v>13.495000000000001</v>
      </c>
      <c r="O4714">
        <v>1673</v>
      </c>
      <c r="P4714">
        <v>1265</v>
      </c>
      <c r="Q4714" s="5" t="e">
        <f>IF(AND(#REF!&gt;=table!$C$6,#REF!&lt;= table!$D$6),-1,IF(AND(#REF!&gt;=table!$E$6,#REF!&lt;=table!$F$6),1,0))</f>
        <v>#REF!</v>
      </c>
      <c r="R4714" s="5" t="e">
        <f>IF(AND(#REF!&gt;=table!$C$7,#REF!&lt;= table!$D$7),-1,IF(AND(#REF!&gt;=table!$E$7,#REF!&lt;=table!$F$7),1,0))</f>
        <v>#REF!</v>
      </c>
      <c r="S4714" s="5" t="e">
        <f>IF(AND(#REF!&gt;=table!$C$8,#REF!&lt;= table!$D$8),-1,IF(AND(#REF!&gt;=table!$E$8,#REF!&lt;=table!$F$8),1,0))</f>
        <v>#REF!</v>
      </c>
      <c r="T4714" s="5"/>
      <c r="U4714" s="5" t="e">
        <f>IF(AND(#REF!&gt;=table!$C$10,#REF!&lt;= table!$D$10),-1,IF(AND(#REF!&gt;=table!$E$10,#REF!&lt;=table!$F$10),1,0))</f>
        <v>#REF!</v>
      </c>
      <c r="V4714" s="5" t="e">
        <f>IF(AND(#REF!&gt;=table!$C$11,#REF!&lt;= table!$D$11),-1,IF(AND(#REF!&gt;=table!$E$11,#REF!&lt;=table!$F$11),1,0))</f>
        <v>#REF!</v>
      </c>
      <c r="W4714" s="5" t="e">
        <f>CONCATENATE(dados[[#This Row],[fator1]],dados[[#This Row],[fator5]],dados[[#This Row],[fator6]])</f>
        <v>#REF!</v>
      </c>
    </row>
    <row r="4715" spans="1:23">
      <c r="A4715" t="s">
        <v>16</v>
      </c>
      <c r="B4715">
        <v>590832</v>
      </c>
      <c r="C4715">
        <v>6</v>
      </c>
      <c r="D4715">
        <v>30</v>
      </c>
      <c r="E4715">
        <v>40</v>
      </c>
      <c r="F4715">
        <v>15</v>
      </c>
      <c r="G4715">
        <v>0</v>
      </c>
      <c r="H4715">
        <v>25</v>
      </c>
      <c r="I4715">
        <v>974</v>
      </c>
      <c r="J4715">
        <v>0</v>
      </c>
      <c r="K4715">
        <v>3.2695000000000003</v>
      </c>
      <c r="L4715">
        <v>7.2760000000000007</v>
      </c>
      <c r="M4715">
        <v>34.887999999999998</v>
      </c>
      <c r="N4715">
        <v>11.3</v>
      </c>
      <c r="O4715">
        <v>1683</v>
      </c>
      <c r="P4715">
        <v>0</v>
      </c>
      <c r="Q4715" s="5" t="e">
        <f>IF(AND(#REF!&gt;=table!$C$6,#REF!&lt;= table!$D$6),-1,IF(AND(#REF!&gt;=table!$E$6,#REF!&lt;=table!$F$6),1,0))</f>
        <v>#REF!</v>
      </c>
      <c r="R4715" s="5" t="e">
        <f>IF(AND(#REF!&gt;=table!$C$7,#REF!&lt;= table!$D$7),-1,IF(AND(#REF!&gt;=table!$E$7,#REF!&lt;=table!$F$7),1,0))</f>
        <v>#REF!</v>
      </c>
      <c r="S4715" s="5" t="e">
        <f>IF(AND(#REF!&gt;=table!$C$8,#REF!&lt;= table!$D$8),-1,IF(AND(#REF!&gt;=table!$E$8,#REF!&lt;=table!$F$8),1,0))</f>
        <v>#REF!</v>
      </c>
      <c r="T4715" s="5"/>
      <c r="U4715" s="5" t="e">
        <f>IF(AND(#REF!&gt;=table!$C$10,#REF!&lt;= table!$D$10),-1,IF(AND(#REF!&gt;=table!$E$10,#REF!&lt;=table!$F$10),1,0))</f>
        <v>#REF!</v>
      </c>
      <c r="V4715" s="5" t="e">
        <f>IF(AND(#REF!&gt;=table!$C$11,#REF!&lt;= table!$D$11),-1,IF(AND(#REF!&gt;=table!$E$11,#REF!&lt;=table!$F$11),1,0))</f>
        <v>#REF!</v>
      </c>
      <c r="W4715" s="5" t="e">
        <f>CONCATENATE(dados[[#This Row],[fator1]],dados[[#This Row],[fator5]],dados[[#This Row],[fator6]])</f>
        <v>#REF!</v>
      </c>
    </row>
    <row r="4716" spans="1:23">
      <c r="A4716" t="s">
        <v>16</v>
      </c>
      <c r="B4716">
        <v>590835</v>
      </c>
      <c r="C4716">
        <v>6</v>
      </c>
      <c r="D4716">
        <v>30</v>
      </c>
      <c r="E4716">
        <v>40</v>
      </c>
      <c r="F4716">
        <v>15</v>
      </c>
      <c r="G4716">
        <v>0</v>
      </c>
      <c r="H4716">
        <v>25</v>
      </c>
      <c r="I4716">
        <v>627</v>
      </c>
      <c r="J4716">
        <v>0</v>
      </c>
      <c r="K4716">
        <v>4.1690000000000005</v>
      </c>
      <c r="L4716">
        <v>12.3</v>
      </c>
      <c r="M4716">
        <v>32.721499999999999</v>
      </c>
      <c r="N4716">
        <v>18.055</v>
      </c>
      <c r="O4716">
        <v>1673</v>
      </c>
      <c r="P4716">
        <v>869</v>
      </c>
      <c r="Q4716" s="5" t="e">
        <f>IF(AND(#REF!&gt;=table!$C$6,#REF!&lt;= table!$D$6),-1,IF(AND(#REF!&gt;=table!$E$6,#REF!&lt;=table!$F$6),1,0))</f>
        <v>#REF!</v>
      </c>
      <c r="R4716" s="5" t="e">
        <f>IF(AND(#REF!&gt;=table!$C$7,#REF!&lt;= table!$D$7),-1,IF(AND(#REF!&gt;=table!$E$7,#REF!&lt;=table!$F$7),1,0))</f>
        <v>#REF!</v>
      </c>
      <c r="S4716" s="5" t="e">
        <f>IF(AND(#REF!&gt;=table!$C$8,#REF!&lt;= table!$D$8),-1,IF(AND(#REF!&gt;=table!$E$8,#REF!&lt;=table!$F$8),1,0))</f>
        <v>#REF!</v>
      </c>
      <c r="T4716" s="5"/>
      <c r="U4716" s="5" t="e">
        <f>IF(AND(#REF!&gt;=table!$C$10,#REF!&lt;= table!$D$10),-1,IF(AND(#REF!&gt;=table!$E$10,#REF!&lt;=table!$F$10),1,0))</f>
        <v>#REF!</v>
      </c>
      <c r="V4716" s="5" t="e">
        <f>IF(AND(#REF!&gt;=table!$C$11,#REF!&lt;= table!$D$11),-1,IF(AND(#REF!&gt;=table!$E$11,#REF!&lt;=table!$F$11),1,0))</f>
        <v>#REF!</v>
      </c>
      <c r="W4716" s="5" t="e">
        <f>CONCATENATE(dados[[#This Row],[fator1]],dados[[#This Row],[fator5]],dados[[#This Row],[fator6]])</f>
        <v>#REF!</v>
      </c>
    </row>
    <row r="4717" spans="1:23">
      <c r="A4717" t="s">
        <v>16</v>
      </c>
      <c r="B4717">
        <v>590836</v>
      </c>
      <c r="C4717">
        <v>16</v>
      </c>
      <c r="D4717">
        <v>35</v>
      </c>
      <c r="E4717">
        <v>56</v>
      </c>
      <c r="F4717">
        <v>10</v>
      </c>
      <c r="G4717">
        <v>0</v>
      </c>
      <c r="H4717">
        <v>25</v>
      </c>
      <c r="I4717">
        <v>1346</v>
      </c>
      <c r="J4717">
        <v>0</v>
      </c>
      <c r="K4717">
        <v>9.761000000000001</v>
      </c>
      <c r="L4717">
        <v>14.768000000000001</v>
      </c>
      <c r="M4717">
        <v>53.488500000000002</v>
      </c>
      <c r="N4717">
        <v>14.93</v>
      </c>
      <c r="O4717">
        <v>1654</v>
      </c>
      <c r="P4717">
        <v>0</v>
      </c>
      <c r="Q4717" s="5" t="e">
        <f>IF(AND(#REF!&gt;=table!$C$6,#REF!&lt;= table!$D$6),-1,IF(AND(#REF!&gt;=table!$E$6,#REF!&lt;=table!$F$6),1,0))</f>
        <v>#REF!</v>
      </c>
      <c r="R4717" s="5" t="e">
        <f>IF(AND(#REF!&gt;=table!$C$7,#REF!&lt;= table!$D$7),-1,IF(AND(#REF!&gt;=table!$E$7,#REF!&lt;=table!$F$7),1,0))</f>
        <v>#REF!</v>
      </c>
      <c r="S4717" s="5" t="e">
        <f>IF(AND(#REF!&gt;=table!$C$8,#REF!&lt;= table!$D$8),-1,IF(AND(#REF!&gt;=table!$E$8,#REF!&lt;=table!$F$8),1,0))</f>
        <v>#REF!</v>
      </c>
      <c r="T4717" s="5"/>
      <c r="U4717" s="5" t="e">
        <f>IF(AND(#REF!&gt;=table!$C$10,#REF!&lt;= table!$D$10),-1,IF(AND(#REF!&gt;=table!$E$10,#REF!&lt;=table!$F$10),1,0))</f>
        <v>#REF!</v>
      </c>
      <c r="V4717" s="5" t="e">
        <f>IF(AND(#REF!&gt;=table!$C$11,#REF!&lt;= table!$D$11),-1,IF(AND(#REF!&gt;=table!$E$11,#REF!&lt;=table!$F$11),1,0))</f>
        <v>#REF!</v>
      </c>
      <c r="W4717" s="5" t="e">
        <f>CONCATENATE(dados[[#This Row],[fator1]],dados[[#This Row],[fator5]],dados[[#This Row],[fator6]])</f>
        <v>#REF!</v>
      </c>
    </row>
    <row r="4718" spans="1:23">
      <c r="A4718" t="s">
        <v>16</v>
      </c>
      <c r="B4718">
        <v>590837</v>
      </c>
      <c r="C4718">
        <v>16</v>
      </c>
      <c r="D4718">
        <v>35</v>
      </c>
      <c r="E4718">
        <v>56</v>
      </c>
      <c r="F4718">
        <v>10</v>
      </c>
      <c r="G4718">
        <v>0</v>
      </c>
      <c r="H4718">
        <v>25</v>
      </c>
      <c r="I4718">
        <v>0</v>
      </c>
      <c r="J4718">
        <v>710</v>
      </c>
      <c r="K4718">
        <v>8.8615000000000013</v>
      </c>
      <c r="L4718">
        <v>12.147500000000001</v>
      </c>
      <c r="M4718">
        <v>45.703500000000005</v>
      </c>
      <c r="N4718">
        <v>18.16</v>
      </c>
      <c r="O4718">
        <v>1619</v>
      </c>
      <c r="P4718">
        <v>341</v>
      </c>
      <c r="Q4718" s="5" t="e">
        <f>IF(AND(#REF!&gt;=table!$C$6,#REF!&lt;= table!$D$6),-1,IF(AND(#REF!&gt;=table!$E$6,#REF!&lt;=table!$F$6),1,0))</f>
        <v>#REF!</v>
      </c>
      <c r="R4718" s="5" t="e">
        <f>IF(AND(#REF!&gt;=table!$C$7,#REF!&lt;= table!$D$7),-1,IF(AND(#REF!&gt;=table!$E$7,#REF!&lt;=table!$F$7),1,0))</f>
        <v>#REF!</v>
      </c>
      <c r="S4718" s="5" t="e">
        <f>IF(AND(#REF!&gt;=table!$C$8,#REF!&lt;= table!$D$8),-1,IF(AND(#REF!&gt;=table!$E$8,#REF!&lt;=table!$F$8),1,0))</f>
        <v>#REF!</v>
      </c>
      <c r="T4718" s="5"/>
      <c r="U4718" s="5" t="e">
        <f>IF(AND(#REF!&gt;=table!$C$10,#REF!&lt;= table!$D$10),-1,IF(AND(#REF!&gt;=table!$E$10,#REF!&lt;=table!$F$10),1,0))</f>
        <v>#REF!</v>
      </c>
      <c r="V4718" s="5" t="e">
        <f>IF(AND(#REF!&gt;=table!$C$11,#REF!&lt;= table!$D$11),-1,IF(AND(#REF!&gt;=table!$E$11,#REF!&lt;=table!$F$11),1,0))</f>
        <v>#REF!</v>
      </c>
      <c r="W4718" s="5" t="e">
        <f>CONCATENATE(dados[[#This Row],[fator1]],dados[[#This Row],[fator5]],dados[[#This Row],[fator6]])</f>
        <v>#REF!</v>
      </c>
    </row>
    <row r="4719" spans="1:23">
      <c r="A4719" t="s">
        <v>16</v>
      </c>
      <c r="B4719">
        <v>590841</v>
      </c>
      <c r="C4719">
        <v>6</v>
      </c>
      <c r="D4719">
        <v>30</v>
      </c>
      <c r="E4719">
        <v>40</v>
      </c>
      <c r="F4719">
        <v>15</v>
      </c>
      <c r="G4719">
        <v>0</v>
      </c>
      <c r="H4719">
        <v>25</v>
      </c>
      <c r="I4719">
        <v>1018</v>
      </c>
      <c r="J4719">
        <v>0</v>
      </c>
      <c r="K4719">
        <v>3.2600000000000002</v>
      </c>
      <c r="L4719">
        <v>12.171000000000001</v>
      </c>
      <c r="M4719">
        <v>9.532</v>
      </c>
      <c r="N4719">
        <v>14.08</v>
      </c>
      <c r="O4719">
        <v>1656</v>
      </c>
      <c r="P4719">
        <v>0</v>
      </c>
      <c r="Q4719" s="5" t="e">
        <f>IF(AND(#REF!&gt;=table!$C$6,#REF!&lt;= table!$D$6),-1,IF(AND(#REF!&gt;=table!$E$6,#REF!&lt;=table!$F$6),1,0))</f>
        <v>#REF!</v>
      </c>
      <c r="R4719" s="5" t="e">
        <f>IF(AND(#REF!&gt;=table!$C$7,#REF!&lt;= table!$D$7),-1,IF(AND(#REF!&gt;=table!$E$7,#REF!&lt;=table!$F$7),1,0))</f>
        <v>#REF!</v>
      </c>
      <c r="S4719" s="5" t="e">
        <f>IF(AND(#REF!&gt;=table!$C$8,#REF!&lt;= table!$D$8),-1,IF(AND(#REF!&gt;=table!$E$8,#REF!&lt;=table!$F$8),1,0))</f>
        <v>#REF!</v>
      </c>
      <c r="T4719" s="5"/>
      <c r="U4719" s="5" t="e">
        <f>IF(AND(#REF!&gt;=table!$C$10,#REF!&lt;= table!$D$10),-1,IF(AND(#REF!&gt;=table!$E$10,#REF!&lt;=table!$F$10),1,0))</f>
        <v>#REF!</v>
      </c>
      <c r="V4719" s="5" t="e">
        <f>IF(AND(#REF!&gt;=table!$C$11,#REF!&lt;= table!$D$11),-1,IF(AND(#REF!&gt;=table!$E$11,#REF!&lt;=table!$F$11),1,0))</f>
        <v>#REF!</v>
      </c>
      <c r="W4719" s="5" t="e">
        <f>CONCATENATE(dados[[#This Row],[fator1]],dados[[#This Row],[fator5]],dados[[#This Row],[fator6]])</f>
        <v>#REF!</v>
      </c>
    </row>
    <row r="4720" spans="1:23">
      <c r="A4720" t="s">
        <v>16</v>
      </c>
      <c r="B4720">
        <v>590842</v>
      </c>
      <c r="C4720">
        <v>6</v>
      </c>
      <c r="D4720">
        <v>30</v>
      </c>
      <c r="E4720">
        <v>40</v>
      </c>
      <c r="F4720">
        <v>15</v>
      </c>
      <c r="G4720">
        <v>0</v>
      </c>
      <c r="H4720">
        <v>25</v>
      </c>
      <c r="I4720">
        <v>790</v>
      </c>
      <c r="J4720">
        <v>1530</v>
      </c>
      <c r="K4720">
        <v>7.2385000000000002</v>
      </c>
      <c r="L4720">
        <v>20.1465</v>
      </c>
      <c r="M4720">
        <v>7.5235000000000003</v>
      </c>
      <c r="N4720">
        <v>13.700000000000001</v>
      </c>
      <c r="O4720">
        <v>1685</v>
      </c>
      <c r="P4720">
        <v>837</v>
      </c>
      <c r="Q4720" s="5" t="e">
        <f>IF(AND(#REF!&gt;=table!$C$6,#REF!&lt;= table!$D$6),-1,IF(AND(#REF!&gt;=table!$E$6,#REF!&lt;=table!$F$6),1,0))</f>
        <v>#REF!</v>
      </c>
      <c r="R4720" s="5" t="e">
        <f>IF(AND(#REF!&gt;=table!$C$7,#REF!&lt;= table!$D$7),-1,IF(AND(#REF!&gt;=table!$E$7,#REF!&lt;=table!$F$7),1,0))</f>
        <v>#REF!</v>
      </c>
      <c r="S4720" s="5" t="e">
        <f>IF(AND(#REF!&gt;=table!$C$8,#REF!&lt;= table!$D$8),-1,IF(AND(#REF!&gt;=table!$E$8,#REF!&lt;=table!$F$8),1,0))</f>
        <v>#REF!</v>
      </c>
      <c r="T4720" s="5"/>
      <c r="U4720" s="5" t="e">
        <f>IF(AND(#REF!&gt;=table!$C$10,#REF!&lt;= table!$D$10),-1,IF(AND(#REF!&gt;=table!$E$10,#REF!&lt;=table!$F$10),1,0))</f>
        <v>#REF!</v>
      </c>
      <c r="V4720" s="5" t="e">
        <f>IF(AND(#REF!&gt;=table!$C$11,#REF!&lt;= table!$D$11),-1,IF(AND(#REF!&gt;=table!$E$11,#REF!&lt;=table!$F$11),1,0))</f>
        <v>#REF!</v>
      </c>
      <c r="W4720" s="5" t="e">
        <f>CONCATENATE(dados[[#This Row],[fator1]],dados[[#This Row],[fator5]],dados[[#This Row],[fator6]])</f>
        <v>#REF!</v>
      </c>
    </row>
    <row r="4721" spans="1:23">
      <c r="A4721" t="s">
        <v>16</v>
      </c>
      <c r="B4721">
        <v>590845</v>
      </c>
      <c r="C4721">
        <v>0.15</v>
      </c>
      <c r="D4721">
        <v>35</v>
      </c>
      <c r="E4721">
        <v>15</v>
      </c>
      <c r="F4721">
        <v>10</v>
      </c>
      <c r="G4721">
        <v>0</v>
      </c>
      <c r="H4721">
        <v>12</v>
      </c>
      <c r="I4721">
        <v>1</v>
      </c>
      <c r="J4721">
        <v>0</v>
      </c>
      <c r="K4721">
        <v>4.5570000000000004</v>
      </c>
      <c r="L4721">
        <v>16.2425</v>
      </c>
      <c r="M4721">
        <v>11.128500000000001</v>
      </c>
      <c r="N4721">
        <v>14.040000000000001</v>
      </c>
      <c r="O4721">
        <v>1695</v>
      </c>
      <c r="P4721">
        <v>0</v>
      </c>
      <c r="Q4721" s="5" t="e">
        <f>IF(AND(#REF!&gt;=table!$C$6,#REF!&lt;= table!$D$6),-1,IF(AND(#REF!&gt;=table!$E$6,#REF!&lt;=table!$F$6),1,0))</f>
        <v>#REF!</v>
      </c>
      <c r="R4721" s="5" t="e">
        <f>IF(AND(#REF!&gt;=table!$C$7,#REF!&lt;= table!$D$7),-1,IF(AND(#REF!&gt;=table!$E$7,#REF!&lt;=table!$F$7),1,0))</f>
        <v>#REF!</v>
      </c>
      <c r="S4721" s="5" t="e">
        <f>IF(AND(#REF!&gt;=table!$C$8,#REF!&lt;= table!$D$8),-1,IF(AND(#REF!&gt;=table!$E$8,#REF!&lt;=table!$F$8),1,0))</f>
        <v>#REF!</v>
      </c>
      <c r="T4721" s="5"/>
      <c r="U4721" s="5" t="e">
        <f>IF(AND(#REF!&gt;=table!$C$10,#REF!&lt;= table!$D$10),-1,IF(AND(#REF!&gt;=table!$E$10,#REF!&lt;=table!$F$10),1,0))</f>
        <v>#REF!</v>
      </c>
      <c r="V4721" s="5" t="e">
        <f>IF(AND(#REF!&gt;=table!$C$11,#REF!&lt;= table!$D$11),-1,IF(AND(#REF!&gt;=table!$E$11,#REF!&lt;=table!$F$11),1,0))</f>
        <v>#REF!</v>
      </c>
      <c r="W4721" s="5" t="e">
        <f>CONCATENATE(dados[[#This Row],[fator1]],dados[[#This Row],[fator5]],dados[[#This Row],[fator6]])</f>
        <v>#REF!</v>
      </c>
    </row>
    <row r="4722" spans="1:23">
      <c r="A4722" t="s">
        <v>16</v>
      </c>
      <c r="B4722">
        <v>590847</v>
      </c>
      <c r="C4722">
        <v>0.15</v>
      </c>
      <c r="D4722">
        <v>35</v>
      </c>
      <c r="E4722">
        <v>15</v>
      </c>
      <c r="F4722">
        <v>10</v>
      </c>
      <c r="G4722">
        <v>0</v>
      </c>
      <c r="H4722">
        <v>12</v>
      </c>
      <c r="I4722">
        <v>8</v>
      </c>
      <c r="J4722">
        <v>0</v>
      </c>
      <c r="K4722">
        <v>10.629000000000001</v>
      </c>
      <c r="L4722">
        <v>11.766</v>
      </c>
      <c r="M4722">
        <v>11.384</v>
      </c>
      <c r="N4722">
        <v>11.675000000000001</v>
      </c>
      <c r="O4722">
        <v>1674</v>
      </c>
      <c r="P4722">
        <v>403</v>
      </c>
      <c r="Q4722" s="5" t="e">
        <f>IF(AND(#REF!&gt;=table!$C$6,#REF!&lt;= table!$D$6),-1,IF(AND(#REF!&gt;=table!$E$6,#REF!&lt;=table!$F$6),1,0))</f>
        <v>#REF!</v>
      </c>
      <c r="R4722" s="5" t="e">
        <f>IF(AND(#REF!&gt;=table!$C$7,#REF!&lt;= table!$D$7),-1,IF(AND(#REF!&gt;=table!$E$7,#REF!&lt;=table!$F$7),1,0))</f>
        <v>#REF!</v>
      </c>
      <c r="S4722" s="5" t="e">
        <f>IF(AND(#REF!&gt;=table!$C$8,#REF!&lt;= table!$D$8),-1,IF(AND(#REF!&gt;=table!$E$8,#REF!&lt;=table!$F$8),1,0))</f>
        <v>#REF!</v>
      </c>
      <c r="T4722" s="5"/>
      <c r="U4722" s="5" t="e">
        <f>IF(AND(#REF!&gt;=table!$C$10,#REF!&lt;= table!$D$10),-1,IF(AND(#REF!&gt;=table!$E$10,#REF!&lt;=table!$F$10),1,0))</f>
        <v>#REF!</v>
      </c>
      <c r="V4722" s="5" t="e">
        <f>IF(AND(#REF!&gt;=table!$C$11,#REF!&lt;= table!$D$11),-1,IF(AND(#REF!&gt;=table!$E$11,#REF!&lt;=table!$F$11),1,0))</f>
        <v>#REF!</v>
      </c>
      <c r="W4722" s="5" t="e">
        <f>CONCATENATE(dados[[#This Row],[fator1]],dados[[#This Row],[fator5]],dados[[#This Row],[fator6]])</f>
        <v>#REF!</v>
      </c>
    </row>
    <row r="4723" spans="1:23">
      <c r="A4723" t="s">
        <v>16</v>
      </c>
      <c r="B4723">
        <v>590850</v>
      </c>
      <c r="C4723">
        <v>4</v>
      </c>
      <c r="D4723">
        <v>40</v>
      </c>
      <c r="E4723">
        <v>21</v>
      </c>
      <c r="F4723">
        <v>20</v>
      </c>
      <c r="G4723">
        <v>0</v>
      </c>
      <c r="H4723">
        <v>25</v>
      </c>
      <c r="I4723">
        <v>44</v>
      </c>
      <c r="J4723">
        <v>0</v>
      </c>
      <c r="K4723">
        <v>3.3770000000000002</v>
      </c>
      <c r="L4723">
        <v>11.491000000000001</v>
      </c>
      <c r="M4723">
        <v>9.9145000000000003</v>
      </c>
      <c r="N4723">
        <v>15.44</v>
      </c>
      <c r="O4723">
        <v>1640</v>
      </c>
      <c r="P4723">
        <v>879</v>
      </c>
      <c r="Q4723" s="5" t="e">
        <f>IF(AND(#REF!&gt;=table!$C$6,#REF!&lt;= table!$D$6),-1,IF(AND(#REF!&gt;=table!$E$6,#REF!&lt;=table!$F$6),1,0))</f>
        <v>#REF!</v>
      </c>
      <c r="R4723" s="5" t="e">
        <f>IF(AND(#REF!&gt;=table!$C$7,#REF!&lt;= table!$D$7),-1,IF(AND(#REF!&gt;=table!$E$7,#REF!&lt;=table!$F$7),1,0))</f>
        <v>#REF!</v>
      </c>
      <c r="S4723" s="5" t="e">
        <f>IF(AND(#REF!&gt;=table!$C$8,#REF!&lt;= table!$D$8),-1,IF(AND(#REF!&gt;=table!$E$8,#REF!&lt;=table!$F$8),1,0))</f>
        <v>#REF!</v>
      </c>
      <c r="T4723" s="5"/>
      <c r="U4723" s="5" t="e">
        <f>IF(AND(#REF!&gt;=table!$C$10,#REF!&lt;= table!$D$10),-1,IF(AND(#REF!&gt;=table!$E$10,#REF!&lt;=table!$F$10),1,0))</f>
        <v>#REF!</v>
      </c>
      <c r="V4723" s="5" t="e">
        <f>IF(AND(#REF!&gt;=table!$C$11,#REF!&lt;= table!$D$11),-1,IF(AND(#REF!&gt;=table!$E$11,#REF!&lt;=table!$F$11),1,0))</f>
        <v>#REF!</v>
      </c>
      <c r="W4723" s="5" t="e">
        <f>CONCATENATE(dados[[#This Row],[fator1]],dados[[#This Row],[fator5]],dados[[#This Row],[fator6]])</f>
        <v>#REF!</v>
      </c>
    </row>
    <row r="4724" spans="1:23">
      <c r="A4724" t="s">
        <v>16</v>
      </c>
      <c r="B4724">
        <v>590851</v>
      </c>
      <c r="C4724">
        <v>4</v>
      </c>
      <c r="D4724">
        <v>40</v>
      </c>
      <c r="E4724">
        <v>21</v>
      </c>
      <c r="F4724">
        <v>20</v>
      </c>
      <c r="G4724">
        <v>0</v>
      </c>
      <c r="H4724">
        <v>25</v>
      </c>
      <c r="I4724">
        <v>1006</v>
      </c>
      <c r="J4724">
        <v>0</v>
      </c>
      <c r="K4724">
        <v>4.226</v>
      </c>
      <c r="L4724">
        <v>5.6070000000000002</v>
      </c>
      <c r="M4724">
        <v>5.2</v>
      </c>
      <c r="N4724">
        <v>7.63</v>
      </c>
      <c r="O4724">
        <v>1661</v>
      </c>
      <c r="P4724">
        <v>0</v>
      </c>
      <c r="Q4724" s="5" t="e">
        <f>IF(AND(#REF!&gt;=table!$C$6,#REF!&lt;= table!$D$6),-1,IF(AND(#REF!&gt;=table!$E$6,#REF!&lt;=table!$F$6),1,0))</f>
        <v>#REF!</v>
      </c>
      <c r="R4724" s="5" t="e">
        <f>IF(AND(#REF!&gt;=table!$C$7,#REF!&lt;= table!$D$7),-1,IF(AND(#REF!&gt;=table!$E$7,#REF!&lt;=table!$F$7),1,0))</f>
        <v>#REF!</v>
      </c>
      <c r="S4724" s="5" t="e">
        <f>IF(AND(#REF!&gt;=table!$C$8,#REF!&lt;= table!$D$8),-1,IF(AND(#REF!&gt;=table!$E$8,#REF!&lt;=table!$F$8),1,0))</f>
        <v>#REF!</v>
      </c>
      <c r="T4724" s="5"/>
      <c r="U4724" s="5" t="e">
        <f>IF(AND(#REF!&gt;=table!$C$10,#REF!&lt;= table!$D$10),-1,IF(AND(#REF!&gt;=table!$E$10,#REF!&lt;=table!$F$10),1,0))</f>
        <v>#REF!</v>
      </c>
      <c r="V4724" s="5" t="e">
        <f>IF(AND(#REF!&gt;=table!$C$11,#REF!&lt;= table!$D$11),-1,IF(AND(#REF!&gt;=table!$E$11,#REF!&lt;=table!$F$11),1,0))</f>
        <v>#REF!</v>
      </c>
      <c r="W4724" s="5" t="e">
        <f>CONCATENATE(dados[[#This Row],[fator1]],dados[[#This Row],[fator5]],dados[[#This Row],[fator6]])</f>
        <v>#REF!</v>
      </c>
    </row>
    <row r="4725" spans="1:23">
      <c r="A4725" t="s">
        <v>16</v>
      </c>
      <c r="B4725">
        <v>590852</v>
      </c>
      <c r="C4725">
        <v>0.15</v>
      </c>
      <c r="D4725">
        <v>40</v>
      </c>
      <c r="E4725">
        <v>10</v>
      </c>
      <c r="F4725">
        <v>15</v>
      </c>
      <c r="G4725">
        <v>0</v>
      </c>
      <c r="H4725">
        <v>15</v>
      </c>
      <c r="I4725">
        <v>585</v>
      </c>
      <c r="J4725">
        <v>720</v>
      </c>
      <c r="K4725">
        <v>3.7015000000000002</v>
      </c>
      <c r="L4725">
        <v>5.1655000000000006</v>
      </c>
      <c r="M4725">
        <v>4.444</v>
      </c>
      <c r="N4725">
        <v>8.09</v>
      </c>
      <c r="O4725">
        <v>1610</v>
      </c>
      <c r="P4725">
        <v>736</v>
      </c>
      <c r="Q4725" s="5" t="e">
        <f>IF(AND(#REF!&gt;=table!$C$6,#REF!&lt;= table!$D$6),-1,IF(AND(#REF!&gt;=table!$E$6,#REF!&lt;=table!$F$6),1,0))</f>
        <v>#REF!</v>
      </c>
      <c r="R4725" s="5" t="e">
        <f>IF(AND(#REF!&gt;=table!$C$7,#REF!&lt;= table!$D$7),-1,IF(AND(#REF!&gt;=table!$E$7,#REF!&lt;=table!$F$7),1,0))</f>
        <v>#REF!</v>
      </c>
      <c r="S4725" s="5" t="e">
        <f>IF(AND(#REF!&gt;=table!$C$8,#REF!&lt;= table!$D$8),-1,IF(AND(#REF!&gt;=table!$E$8,#REF!&lt;=table!$F$8),1,0))</f>
        <v>#REF!</v>
      </c>
      <c r="T4725" s="5"/>
      <c r="U4725" s="5" t="e">
        <f>IF(AND(#REF!&gt;=table!$C$10,#REF!&lt;= table!$D$10),-1,IF(AND(#REF!&gt;=table!$E$10,#REF!&lt;=table!$F$10),1,0))</f>
        <v>#REF!</v>
      </c>
      <c r="V4725" s="5" t="e">
        <f>IF(AND(#REF!&gt;=table!$C$11,#REF!&lt;= table!$D$11),-1,IF(AND(#REF!&gt;=table!$E$11,#REF!&lt;=table!$F$11),1,0))</f>
        <v>#REF!</v>
      </c>
      <c r="W4725" s="5" t="e">
        <f>CONCATENATE(dados[[#This Row],[fator1]],dados[[#This Row],[fator5]],dados[[#This Row],[fator6]])</f>
        <v>#REF!</v>
      </c>
    </row>
    <row r="4726" spans="1:23">
      <c r="A4726" t="s">
        <v>16</v>
      </c>
      <c r="B4726">
        <v>590855</v>
      </c>
      <c r="C4726">
        <v>0.15</v>
      </c>
      <c r="D4726">
        <v>40</v>
      </c>
      <c r="E4726">
        <v>10</v>
      </c>
      <c r="F4726">
        <v>15</v>
      </c>
      <c r="G4726">
        <v>0</v>
      </c>
      <c r="H4726">
        <v>15</v>
      </c>
      <c r="I4726">
        <v>821</v>
      </c>
      <c r="J4726">
        <v>0</v>
      </c>
      <c r="K4726">
        <v>3.4130000000000003</v>
      </c>
      <c r="L4726">
        <v>5.758</v>
      </c>
      <c r="M4726">
        <v>5.2610000000000001</v>
      </c>
      <c r="N4726">
        <v>13.34</v>
      </c>
      <c r="O4726">
        <v>1685</v>
      </c>
      <c r="P4726">
        <v>1126</v>
      </c>
      <c r="Q4726" s="5" t="e">
        <f>IF(AND(#REF!&gt;=table!$C$6,#REF!&lt;= table!$D$6),-1,IF(AND(#REF!&gt;=table!$E$6,#REF!&lt;=table!$F$6),1,0))</f>
        <v>#REF!</v>
      </c>
      <c r="R4726" s="5" t="e">
        <f>IF(AND(#REF!&gt;=table!$C$7,#REF!&lt;= table!$D$7),-1,IF(AND(#REF!&gt;=table!$E$7,#REF!&lt;=table!$F$7),1,0))</f>
        <v>#REF!</v>
      </c>
      <c r="S4726" s="5" t="e">
        <f>IF(AND(#REF!&gt;=table!$C$8,#REF!&lt;= table!$D$8),-1,IF(AND(#REF!&gt;=table!$E$8,#REF!&lt;=table!$F$8),1,0))</f>
        <v>#REF!</v>
      </c>
      <c r="T4726" s="5"/>
      <c r="U4726" s="5" t="e">
        <f>IF(AND(#REF!&gt;=table!$C$10,#REF!&lt;= table!$D$10),-1,IF(AND(#REF!&gt;=table!$E$10,#REF!&lt;=table!$F$10),1,0))</f>
        <v>#REF!</v>
      </c>
      <c r="V4726" s="5" t="e">
        <f>IF(AND(#REF!&gt;=table!$C$11,#REF!&lt;= table!$D$11),-1,IF(AND(#REF!&gt;=table!$E$11,#REF!&lt;=table!$F$11),1,0))</f>
        <v>#REF!</v>
      </c>
      <c r="W4726" s="5" t="e">
        <f>CONCATENATE(dados[[#This Row],[fator1]],dados[[#This Row],[fator5]],dados[[#This Row],[fator6]])</f>
        <v>#REF!</v>
      </c>
    </row>
    <row r="4727" spans="1:23">
      <c r="A4727" t="s">
        <v>16</v>
      </c>
      <c r="B4727">
        <v>590857</v>
      </c>
      <c r="C4727">
        <v>11</v>
      </c>
      <c r="D4727">
        <v>40</v>
      </c>
      <c r="E4727">
        <v>151</v>
      </c>
      <c r="F4727">
        <v>8</v>
      </c>
      <c r="G4727">
        <v>0</v>
      </c>
      <c r="H4727">
        <v>25</v>
      </c>
      <c r="I4727">
        <v>1</v>
      </c>
      <c r="J4727">
        <v>0</v>
      </c>
      <c r="K4727">
        <v>4.7880000000000003</v>
      </c>
      <c r="L4727">
        <v>17.792000000000002</v>
      </c>
      <c r="M4727">
        <v>142.68299999999999</v>
      </c>
      <c r="N4727">
        <v>26.605</v>
      </c>
      <c r="O4727">
        <v>1677</v>
      </c>
      <c r="P4727">
        <v>717</v>
      </c>
      <c r="Q4727" s="5" t="e">
        <f>IF(AND(#REF!&gt;=table!$C$6,#REF!&lt;= table!$D$6),-1,IF(AND(#REF!&gt;=table!$E$6,#REF!&lt;=table!$F$6),1,0))</f>
        <v>#REF!</v>
      </c>
      <c r="R4727" s="5" t="e">
        <f>IF(AND(#REF!&gt;=table!$C$7,#REF!&lt;= table!$D$7),-1,IF(AND(#REF!&gt;=table!$E$7,#REF!&lt;=table!$F$7),1,0))</f>
        <v>#REF!</v>
      </c>
      <c r="S4727" s="5" t="e">
        <f>IF(AND(#REF!&gt;=table!$C$8,#REF!&lt;= table!$D$8),-1,IF(AND(#REF!&gt;=table!$E$8,#REF!&lt;=table!$F$8),1,0))</f>
        <v>#REF!</v>
      </c>
      <c r="T4727" s="5"/>
      <c r="U4727" s="5" t="e">
        <f>IF(AND(#REF!&gt;=table!$C$10,#REF!&lt;= table!$D$10),-1,IF(AND(#REF!&gt;=table!$E$10,#REF!&lt;=table!$F$10),1,0))</f>
        <v>#REF!</v>
      </c>
      <c r="V4727" s="5" t="e">
        <f>IF(AND(#REF!&gt;=table!$C$11,#REF!&lt;= table!$D$11),-1,IF(AND(#REF!&gt;=table!$E$11,#REF!&lt;=table!$F$11),1,0))</f>
        <v>#REF!</v>
      </c>
      <c r="W4727" s="5" t="e">
        <f>CONCATENATE(dados[[#This Row],[fator1]],dados[[#This Row],[fator5]],dados[[#This Row],[fator6]])</f>
        <v>#REF!</v>
      </c>
    </row>
    <row r="4728" spans="1:23">
      <c r="A4728" t="s">
        <v>16</v>
      </c>
      <c r="B4728">
        <v>590861</v>
      </c>
      <c r="C4728">
        <v>0.15</v>
      </c>
      <c r="D4728">
        <v>40</v>
      </c>
      <c r="E4728">
        <v>10</v>
      </c>
      <c r="F4728">
        <v>15</v>
      </c>
      <c r="G4728">
        <v>0</v>
      </c>
      <c r="H4728">
        <v>15</v>
      </c>
      <c r="I4728">
        <v>697</v>
      </c>
      <c r="J4728">
        <v>0</v>
      </c>
      <c r="K4728">
        <v>3.6620000000000004</v>
      </c>
      <c r="L4728">
        <v>7.4210000000000003</v>
      </c>
      <c r="M4728">
        <v>6.4250000000000007</v>
      </c>
      <c r="N4728">
        <v>9.77</v>
      </c>
      <c r="O4728">
        <v>1682</v>
      </c>
      <c r="P4728">
        <v>0</v>
      </c>
      <c r="Q4728" s="5" t="e">
        <f>IF(AND(#REF!&gt;=table!$C$6,#REF!&lt;= table!$D$6),-1,IF(AND(#REF!&gt;=table!$E$6,#REF!&lt;=table!$F$6),1,0))</f>
        <v>#REF!</v>
      </c>
      <c r="R4728" s="5" t="e">
        <f>IF(AND(#REF!&gt;=table!$C$7,#REF!&lt;= table!$D$7),-1,IF(AND(#REF!&gt;=table!$E$7,#REF!&lt;=table!$F$7),1,0))</f>
        <v>#REF!</v>
      </c>
      <c r="S4728" s="5" t="e">
        <f>IF(AND(#REF!&gt;=table!$C$8,#REF!&lt;= table!$D$8),-1,IF(AND(#REF!&gt;=table!$E$8,#REF!&lt;=table!$F$8),1,0))</f>
        <v>#REF!</v>
      </c>
      <c r="T4728" s="5"/>
      <c r="U4728" s="5" t="e">
        <f>IF(AND(#REF!&gt;=table!$C$10,#REF!&lt;= table!$D$10),-1,IF(AND(#REF!&gt;=table!$E$10,#REF!&lt;=table!$F$10),1,0))</f>
        <v>#REF!</v>
      </c>
      <c r="V4728" s="5" t="e">
        <f>IF(AND(#REF!&gt;=table!$C$11,#REF!&lt;= table!$D$11),-1,IF(AND(#REF!&gt;=table!$E$11,#REF!&lt;=table!$F$11),1,0))</f>
        <v>#REF!</v>
      </c>
      <c r="W4728" s="5" t="e">
        <f>CONCATENATE(dados[[#This Row],[fator1]],dados[[#This Row],[fator5]],dados[[#This Row],[fator6]])</f>
        <v>#REF!</v>
      </c>
    </row>
    <row r="4729" spans="1:23">
      <c r="A4729" t="s">
        <v>16</v>
      </c>
      <c r="B4729">
        <v>590865</v>
      </c>
      <c r="C4729">
        <v>9</v>
      </c>
      <c r="D4729">
        <v>33</v>
      </c>
      <c r="E4729">
        <v>153</v>
      </c>
      <c r="F4729">
        <v>4</v>
      </c>
      <c r="G4729">
        <v>0</v>
      </c>
      <c r="H4729">
        <v>25</v>
      </c>
      <c r="I4729">
        <v>3</v>
      </c>
      <c r="J4729">
        <v>0</v>
      </c>
      <c r="K4729">
        <v>4.2949999999999999</v>
      </c>
      <c r="L4729">
        <v>13.832000000000001</v>
      </c>
      <c r="M4729">
        <v>12.413</v>
      </c>
      <c r="N4729">
        <v>14.465</v>
      </c>
      <c r="O4729">
        <v>1678</v>
      </c>
      <c r="P4729">
        <v>820</v>
      </c>
      <c r="Q4729" s="5" t="e">
        <f>IF(AND(#REF!&gt;=table!$C$6,#REF!&lt;= table!$D$6),-1,IF(AND(#REF!&gt;=table!$E$6,#REF!&lt;=table!$F$6),1,0))</f>
        <v>#REF!</v>
      </c>
      <c r="R4729" s="5" t="e">
        <f>IF(AND(#REF!&gt;=table!$C$7,#REF!&lt;= table!$D$7),-1,IF(AND(#REF!&gt;=table!$E$7,#REF!&lt;=table!$F$7),1,0))</f>
        <v>#REF!</v>
      </c>
      <c r="S4729" s="5" t="e">
        <f>IF(AND(#REF!&gt;=table!$C$8,#REF!&lt;= table!$D$8),-1,IF(AND(#REF!&gt;=table!$E$8,#REF!&lt;=table!$F$8),1,0))</f>
        <v>#REF!</v>
      </c>
      <c r="T4729" s="5"/>
      <c r="U4729" s="5" t="e">
        <f>IF(AND(#REF!&gt;=table!$C$10,#REF!&lt;= table!$D$10),-1,IF(AND(#REF!&gt;=table!$E$10,#REF!&lt;=table!$F$10),1,0))</f>
        <v>#REF!</v>
      </c>
      <c r="V4729" s="5" t="e">
        <f>IF(AND(#REF!&gt;=table!$C$11,#REF!&lt;= table!$D$11),-1,IF(AND(#REF!&gt;=table!$E$11,#REF!&lt;=table!$F$11),1,0))</f>
        <v>#REF!</v>
      </c>
      <c r="W4729" s="5" t="e">
        <f>CONCATENATE(dados[[#This Row],[fator1]],dados[[#This Row],[fator5]],dados[[#This Row],[fator6]])</f>
        <v>#REF!</v>
      </c>
    </row>
    <row r="4730" spans="1:23">
      <c r="A4730" t="s">
        <v>16</v>
      </c>
      <c r="B4730">
        <v>590871</v>
      </c>
      <c r="C4730">
        <v>0.15</v>
      </c>
      <c r="D4730">
        <v>35</v>
      </c>
      <c r="E4730">
        <v>15</v>
      </c>
      <c r="F4730">
        <v>10</v>
      </c>
      <c r="G4730">
        <v>0</v>
      </c>
      <c r="H4730">
        <v>12</v>
      </c>
      <c r="I4730">
        <v>291</v>
      </c>
      <c r="J4730">
        <v>0</v>
      </c>
      <c r="K4730">
        <v>3.48</v>
      </c>
      <c r="L4730">
        <v>11.207000000000001</v>
      </c>
      <c r="M4730">
        <v>9.3015000000000008</v>
      </c>
      <c r="N4730">
        <v>14.255000000000001</v>
      </c>
      <c r="O4730">
        <v>1686</v>
      </c>
      <c r="P4730">
        <v>1016</v>
      </c>
      <c r="Q4730" s="5" t="e">
        <f>IF(AND(#REF!&gt;=table!$C$6,#REF!&lt;= table!$D$6),-1,IF(AND(#REF!&gt;=table!$E$6,#REF!&lt;=table!$F$6),1,0))</f>
        <v>#REF!</v>
      </c>
      <c r="R4730" s="5" t="e">
        <f>IF(AND(#REF!&gt;=table!$C$7,#REF!&lt;= table!$D$7),-1,IF(AND(#REF!&gt;=table!$E$7,#REF!&lt;=table!$F$7),1,0))</f>
        <v>#REF!</v>
      </c>
      <c r="S4730" s="5" t="e">
        <f>IF(AND(#REF!&gt;=table!$C$8,#REF!&lt;= table!$D$8),-1,IF(AND(#REF!&gt;=table!$E$8,#REF!&lt;=table!$F$8),1,0))</f>
        <v>#REF!</v>
      </c>
      <c r="T4730" s="5"/>
      <c r="U4730" s="5" t="e">
        <f>IF(AND(#REF!&gt;=table!$C$10,#REF!&lt;= table!$D$10),-1,IF(AND(#REF!&gt;=table!$E$10,#REF!&lt;=table!$F$10),1,0))</f>
        <v>#REF!</v>
      </c>
      <c r="V4730" s="5" t="e">
        <f>IF(AND(#REF!&gt;=table!$C$11,#REF!&lt;= table!$D$11),-1,IF(AND(#REF!&gt;=table!$E$11,#REF!&lt;=table!$F$11),1,0))</f>
        <v>#REF!</v>
      </c>
      <c r="W4730" s="5" t="e">
        <f>CONCATENATE(dados[[#This Row],[fator1]],dados[[#This Row],[fator5]],dados[[#This Row],[fator6]])</f>
        <v>#REF!</v>
      </c>
    </row>
    <row r="4731" spans="1:23">
      <c r="A4731" t="s">
        <v>17</v>
      </c>
      <c r="B4731">
        <v>590874</v>
      </c>
      <c r="C4731">
        <v>16</v>
      </c>
      <c r="D4731">
        <v>30</v>
      </c>
      <c r="E4731">
        <v>106</v>
      </c>
      <c r="F4731">
        <v>9</v>
      </c>
      <c r="G4731">
        <v>20</v>
      </c>
      <c r="H4731">
        <v>25</v>
      </c>
      <c r="I4731">
        <v>268</v>
      </c>
      <c r="J4731">
        <v>0</v>
      </c>
      <c r="K4731">
        <v>4.8460000000000001</v>
      </c>
      <c r="L4731">
        <v>17.211000000000002</v>
      </c>
      <c r="M4731">
        <v>93.945999999999998</v>
      </c>
      <c r="N4731">
        <v>23.76</v>
      </c>
      <c r="O4731">
        <v>1701</v>
      </c>
      <c r="P4731">
        <v>719</v>
      </c>
      <c r="Q4731" s="5" t="e">
        <f>IF(AND(#REF!&gt;=table!$C$6,#REF!&lt;= table!$D$6),-1,IF(AND(#REF!&gt;=table!$E$6,#REF!&lt;=table!$F$6),1,0))</f>
        <v>#REF!</v>
      </c>
      <c r="R4731" s="5" t="e">
        <f>IF(AND(#REF!&gt;=table!$C$7,#REF!&lt;= table!$D$7),-1,IF(AND(#REF!&gt;=table!$E$7,#REF!&lt;=table!$F$7),1,0))</f>
        <v>#REF!</v>
      </c>
      <c r="S4731" s="5" t="e">
        <f>IF(AND(#REF!&gt;=table!$C$8,#REF!&lt;= table!$D$8),-1,IF(AND(#REF!&gt;=table!$E$8,#REF!&lt;=table!$F$8),1,0))</f>
        <v>#REF!</v>
      </c>
      <c r="T4731" s="5"/>
      <c r="U4731" s="5" t="e">
        <f>IF(AND(#REF!&gt;=table!$C$10,#REF!&lt;= table!$D$10),-1,IF(AND(#REF!&gt;=table!$E$10,#REF!&lt;=table!$F$10),1,0))</f>
        <v>#REF!</v>
      </c>
      <c r="V4731" s="5" t="e">
        <f>IF(AND(#REF!&gt;=table!$C$11,#REF!&lt;= table!$D$11),-1,IF(AND(#REF!&gt;=table!$E$11,#REF!&lt;=table!$F$11),1,0))</f>
        <v>#REF!</v>
      </c>
      <c r="W4731" s="5" t="e">
        <f>CONCATENATE(dados[[#This Row],[fator1]],dados[[#This Row],[fator5]],dados[[#This Row],[fator6]])</f>
        <v>#REF!</v>
      </c>
    </row>
    <row r="4732" spans="1:23">
      <c r="A4732" t="s">
        <v>17</v>
      </c>
      <c r="B4732">
        <v>590875</v>
      </c>
      <c r="C4732">
        <v>16</v>
      </c>
      <c r="D4732">
        <v>30</v>
      </c>
      <c r="E4732">
        <v>106</v>
      </c>
      <c r="F4732">
        <v>9</v>
      </c>
      <c r="G4732">
        <v>20</v>
      </c>
      <c r="H4732">
        <v>25</v>
      </c>
      <c r="I4732">
        <v>20</v>
      </c>
      <c r="J4732">
        <v>0</v>
      </c>
      <c r="K4732">
        <v>6.7635000000000005</v>
      </c>
      <c r="L4732">
        <v>20.621000000000002</v>
      </c>
      <c r="M4732">
        <v>85.253500000000003</v>
      </c>
      <c r="N4732">
        <v>22.715</v>
      </c>
      <c r="O4732">
        <v>1696</v>
      </c>
      <c r="P4732">
        <v>522</v>
      </c>
      <c r="Q4732" s="5" t="e">
        <f>IF(AND(#REF!&gt;=table!$C$6,#REF!&lt;= table!$D$6),-1,IF(AND(#REF!&gt;=table!$E$6,#REF!&lt;=table!$F$6),1,0))</f>
        <v>#REF!</v>
      </c>
      <c r="R4732" s="5" t="e">
        <f>IF(AND(#REF!&gt;=table!$C$7,#REF!&lt;= table!$D$7),-1,IF(AND(#REF!&gt;=table!$E$7,#REF!&lt;=table!$F$7),1,0))</f>
        <v>#REF!</v>
      </c>
      <c r="S4732" s="5" t="e">
        <f>IF(AND(#REF!&gt;=table!$C$8,#REF!&lt;= table!$D$8),-1,IF(AND(#REF!&gt;=table!$E$8,#REF!&lt;=table!$F$8),1,0))</f>
        <v>#REF!</v>
      </c>
      <c r="T4732" s="5"/>
      <c r="U4732" s="5" t="e">
        <f>IF(AND(#REF!&gt;=table!$C$10,#REF!&lt;= table!$D$10),-1,IF(AND(#REF!&gt;=table!$E$10,#REF!&lt;=table!$F$10),1,0))</f>
        <v>#REF!</v>
      </c>
      <c r="V4732" s="5" t="e">
        <f>IF(AND(#REF!&gt;=table!$C$11,#REF!&lt;= table!$D$11),-1,IF(AND(#REF!&gt;=table!$E$11,#REF!&lt;=table!$F$11),1,0))</f>
        <v>#REF!</v>
      </c>
      <c r="W4732" s="5" t="e">
        <f>CONCATENATE(dados[[#This Row],[fator1]],dados[[#This Row],[fator5]],dados[[#This Row],[fator6]])</f>
        <v>#REF!</v>
      </c>
    </row>
    <row r="4733" spans="1:23">
      <c r="A4733" t="s">
        <v>17</v>
      </c>
      <c r="B4733">
        <v>590876</v>
      </c>
      <c r="C4733">
        <v>16</v>
      </c>
      <c r="D4733">
        <v>30</v>
      </c>
      <c r="E4733">
        <v>116</v>
      </c>
      <c r="F4733">
        <v>6</v>
      </c>
      <c r="G4733">
        <v>20</v>
      </c>
      <c r="H4733">
        <v>25</v>
      </c>
      <c r="I4733">
        <v>35</v>
      </c>
      <c r="J4733">
        <v>590</v>
      </c>
      <c r="K4733">
        <v>14.823</v>
      </c>
      <c r="L4733">
        <v>32.835999999999999</v>
      </c>
      <c r="M4733">
        <v>80.243000000000009</v>
      </c>
      <c r="N4733">
        <v>20.36</v>
      </c>
      <c r="O4733">
        <v>1692</v>
      </c>
      <c r="P4733">
        <v>232</v>
      </c>
      <c r="Q4733" s="5" t="e">
        <f>IF(AND(#REF!&gt;=table!$C$6,#REF!&lt;= table!$D$6),-1,IF(AND(#REF!&gt;=table!$E$6,#REF!&lt;=table!$F$6),1,0))</f>
        <v>#REF!</v>
      </c>
      <c r="R4733" s="5" t="e">
        <f>IF(AND(#REF!&gt;=table!$C$7,#REF!&lt;= table!$D$7),-1,IF(AND(#REF!&gt;=table!$E$7,#REF!&lt;=table!$F$7),1,0))</f>
        <v>#REF!</v>
      </c>
      <c r="S4733" s="5" t="e">
        <f>IF(AND(#REF!&gt;=table!$C$8,#REF!&lt;= table!$D$8),-1,IF(AND(#REF!&gt;=table!$E$8,#REF!&lt;=table!$F$8),1,0))</f>
        <v>#REF!</v>
      </c>
      <c r="T4733" s="5"/>
      <c r="U4733" s="5" t="e">
        <f>IF(AND(#REF!&gt;=table!$C$10,#REF!&lt;= table!$D$10),-1,IF(AND(#REF!&gt;=table!$E$10,#REF!&lt;=table!$F$10),1,0))</f>
        <v>#REF!</v>
      </c>
      <c r="V4733" s="5" t="e">
        <f>IF(AND(#REF!&gt;=table!$C$11,#REF!&lt;= table!$D$11),-1,IF(AND(#REF!&gt;=table!$E$11,#REF!&lt;=table!$F$11),1,0))</f>
        <v>#REF!</v>
      </c>
      <c r="W4733" s="5" t="e">
        <f>CONCATENATE(dados[[#This Row],[fator1]],dados[[#This Row],[fator5]],dados[[#This Row],[fator6]])</f>
        <v>#REF!</v>
      </c>
    </row>
    <row r="4734" spans="1:23">
      <c r="A4734" t="s">
        <v>17</v>
      </c>
      <c r="B4734">
        <v>590878</v>
      </c>
      <c r="C4734">
        <v>18</v>
      </c>
      <c r="D4734">
        <v>23</v>
      </c>
      <c r="E4734">
        <v>145</v>
      </c>
      <c r="F4734">
        <v>9</v>
      </c>
      <c r="G4734">
        <v>30</v>
      </c>
      <c r="H4734">
        <v>25</v>
      </c>
      <c r="I4734">
        <v>34</v>
      </c>
      <c r="J4734">
        <v>0</v>
      </c>
      <c r="K4734">
        <v>5.0335000000000001</v>
      </c>
      <c r="L4734">
        <v>15.828000000000001</v>
      </c>
      <c r="M4734">
        <v>100.18350000000001</v>
      </c>
      <c r="N4734">
        <v>21.115000000000002</v>
      </c>
      <c r="O4734">
        <v>1701</v>
      </c>
      <c r="P4734">
        <v>730</v>
      </c>
      <c r="Q4734" s="5" t="e">
        <f>IF(AND(#REF!&gt;=table!$C$6,#REF!&lt;= table!$D$6),-1,IF(AND(#REF!&gt;=table!$E$6,#REF!&lt;=table!$F$6),1,0))</f>
        <v>#REF!</v>
      </c>
      <c r="R4734" s="5" t="e">
        <f>IF(AND(#REF!&gt;=table!$C$7,#REF!&lt;= table!$D$7),-1,IF(AND(#REF!&gt;=table!$E$7,#REF!&lt;=table!$F$7),1,0))</f>
        <v>#REF!</v>
      </c>
      <c r="S4734" s="5" t="e">
        <f>IF(AND(#REF!&gt;=table!$C$8,#REF!&lt;= table!$D$8),-1,IF(AND(#REF!&gt;=table!$E$8,#REF!&lt;=table!$F$8),1,0))</f>
        <v>#REF!</v>
      </c>
      <c r="T4734" s="5"/>
      <c r="U4734" s="5" t="e">
        <f>IF(AND(#REF!&gt;=table!$C$10,#REF!&lt;= table!$D$10),-1,IF(AND(#REF!&gt;=table!$E$10,#REF!&lt;=table!$F$10),1,0))</f>
        <v>#REF!</v>
      </c>
      <c r="V4734" s="5" t="e">
        <f>IF(AND(#REF!&gt;=table!$C$11,#REF!&lt;= table!$D$11),-1,IF(AND(#REF!&gt;=table!$E$11,#REF!&lt;=table!$F$11),1,0))</f>
        <v>#REF!</v>
      </c>
      <c r="W4734" s="5" t="e">
        <f>CONCATENATE(dados[[#This Row],[fator1]],dados[[#This Row],[fator5]],dados[[#This Row],[fator6]])</f>
        <v>#REF!</v>
      </c>
    </row>
    <row r="4735" spans="1:23">
      <c r="A4735" t="s">
        <v>17</v>
      </c>
      <c r="B4735">
        <v>590884</v>
      </c>
      <c r="C4735">
        <v>9</v>
      </c>
      <c r="D4735">
        <v>30</v>
      </c>
      <c r="E4735">
        <v>160</v>
      </c>
      <c r="F4735">
        <v>3</v>
      </c>
      <c r="G4735">
        <v>30</v>
      </c>
      <c r="H4735">
        <v>18</v>
      </c>
      <c r="I4735">
        <v>0</v>
      </c>
      <c r="J4735">
        <v>0</v>
      </c>
      <c r="K4735">
        <v>3.7715000000000001</v>
      </c>
      <c r="L4735">
        <v>9.3650000000000002</v>
      </c>
      <c r="M4735">
        <v>150.75</v>
      </c>
      <c r="N4735">
        <v>15.075000000000001</v>
      </c>
      <c r="O4735">
        <v>1702</v>
      </c>
      <c r="P4735">
        <v>917</v>
      </c>
      <c r="Q4735" s="5" t="e">
        <f>IF(AND(#REF!&gt;=table!$C$6,#REF!&lt;= table!$D$6),-1,IF(AND(#REF!&gt;=table!$E$6,#REF!&lt;=table!$F$6),1,0))</f>
        <v>#REF!</v>
      </c>
      <c r="R4735" s="5" t="e">
        <f>IF(AND(#REF!&gt;=table!$C$7,#REF!&lt;= table!$D$7),-1,IF(AND(#REF!&gt;=table!$E$7,#REF!&lt;=table!$F$7),1,0))</f>
        <v>#REF!</v>
      </c>
      <c r="S4735" s="5" t="e">
        <f>IF(AND(#REF!&gt;=table!$C$8,#REF!&lt;= table!$D$8),-1,IF(AND(#REF!&gt;=table!$E$8,#REF!&lt;=table!$F$8),1,0))</f>
        <v>#REF!</v>
      </c>
      <c r="T4735" s="5"/>
      <c r="U4735" s="5" t="e">
        <f>IF(AND(#REF!&gt;=table!$C$10,#REF!&lt;= table!$D$10),-1,IF(AND(#REF!&gt;=table!$E$10,#REF!&lt;=table!$F$10),1,0))</f>
        <v>#REF!</v>
      </c>
      <c r="V4735" s="5" t="e">
        <f>IF(AND(#REF!&gt;=table!$C$11,#REF!&lt;= table!$D$11),-1,IF(AND(#REF!&gt;=table!$E$11,#REF!&lt;=table!$F$11),1,0))</f>
        <v>#REF!</v>
      </c>
      <c r="W4735" s="5" t="e">
        <f>CONCATENATE(dados[[#This Row],[fator1]],dados[[#This Row],[fator5]],dados[[#This Row],[fator6]])</f>
        <v>#REF!</v>
      </c>
    </row>
    <row r="4736" spans="1:23">
      <c r="A4736" t="s">
        <v>17</v>
      </c>
      <c r="B4736">
        <v>590885</v>
      </c>
      <c r="C4736">
        <v>9</v>
      </c>
      <c r="D4736">
        <v>30</v>
      </c>
      <c r="E4736">
        <v>160</v>
      </c>
      <c r="F4736">
        <v>3</v>
      </c>
      <c r="G4736">
        <v>30</v>
      </c>
      <c r="H4736">
        <v>18</v>
      </c>
      <c r="I4736">
        <v>27</v>
      </c>
      <c r="J4736">
        <v>0</v>
      </c>
      <c r="K4736">
        <v>2.8675000000000002</v>
      </c>
      <c r="L4736">
        <v>7.8654999999999999</v>
      </c>
      <c r="M4736">
        <v>145.30600000000001</v>
      </c>
      <c r="N4736">
        <v>13.055000000000001</v>
      </c>
      <c r="O4736">
        <v>1690</v>
      </c>
      <c r="P4736">
        <v>1294</v>
      </c>
      <c r="Q4736" s="5" t="e">
        <f>IF(AND(#REF!&gt;=table!$C$6,#REF!&lt;= table!$D$6),-1,IF(AND(#REF!&gt;=table!$E$6,#REF!&lt;=table!$F$6),1,0))</f>
        <v>#REF!</v>
      </c>
      <c r="R4736" s="5" t="e">
        <f>IF(AND(#REF!&gt;=table!$C$7,#REF!&lt;= table!$D$7),-1,IF(AND(#REF!&gt;=table!$E$7,#REF!&lt;=table!$F$7),1,0))</f>
        <v>#REF!</v>
      </c>
      <c r="S4736" s="5" t="e">
        <f>IF(AND(#REF!&gt;=table!$C$8,#REF!&lt;= table!$D$8),-1,IF(AND(#REF!&gt;=table!$E$8,#REF!&lt;=table!$F$8),1,0))</f>
        <v>#REF!</v>
      </c>
      <c r="T4736" s="5"/>
      <c r="U4736" s="5" t="e">
        <f>IF(AND(#REF!&gt;=table!$C$10,#REF!&lt;= table!$D$10),-1,IF(AND(#REF!&gt;=table!$E$10,#REF!&lt;=table!$F$10),1,0))</f>
        <v>#REF!</v>
      </c>
      <c r="V4736" s="5" t="e">
        <f>IF(AND(#REF!&gt;=table!$C$11,#REF!&lt;= table!$D$11),-1,IF(AND(#REF!&gt;=table!$E$11,#REF!&lt;=table!$F$11),1,0))</f>
        <v>#REF!</v>
      </c>
      <c r="W4736" s="5" t="e">
        <f>CONCATENATE(dados[[#This Row],[fator1]],dados[[#This Row],[fator5]],dados[[#This Row],[fator6]])</f>
        <v>#REF!</v>
      </c>
    </row>
    <row r="4737" spans="1:23">
      <c r="A4737" t="s">
        <v>17</v>
      </c>
      <c r="B4737">
        <v>590886</v>
      </c>
      <c r="C4737">
        <v>9</v>
      </c>
      <c r="D4737">
        <v>30</v>
      </c>
      <c r="E4737">
        <v>160</v>
      </c>
      <c r="F4737">
        <v>3</v>
      </c>
      <c r="G4737">
        <v>30</v>
      </c>
      <c r="H4737">
        <v>18</v>
      </c>
      <c r="I4737">
        <v>23</v>
      </c>
      <c r="J4737">
        <v>0</v>
      </c>
      <c r="K4737">
        <v>4.5845000000000002</v>
      </c>
      <c r="L4737">
        <v>8.6715</v>
      </c>
      <c r="M4737">
        <v>109.23950000000001</v>
      </c>
      <c r="N4737">
        <v>13.44</v>
      </c>
      <c r="O4737">
        <v>1678</v>
      </c>
      <c r="P4737">
        <v>730</v>
      </c>
      <c r="Q4737" s="5" t="e">
        <f>IF(AND(#REF!&gt;=table!$C$6,#REF!&lt;= table!$D$6),-1,IF(AND(#REF!&gt;=table!$E$6,#REF!&lt;=table!$F$6),1,0))</f>
        <v>#REF!</v>
      </c>
      <c r="R4737" s="5" t="e">
        <f>IF(AND(#REF!&gt;=table!$C$7,#REF!&lt;= table!$D$7),-1,IF(AND(#REF!&gt;=table!$E$7,#REF!&lt;=table!$F$7),1,0))</f>
        <v>#REF!</v>
      </c>
      <c r="S4737" s="5" t="e">
        <f>IF(AND(#REF!&gt;=table!$C$8,#REF!&lt;= table!$D$8),-1,IF(AND(#REF!&gt;=table!$E$8,#REF!&lt;=table!$F$8),1,0))</f>
        <v>#REF!</v>
      </c>
      <c r="T4737" s="5"/>
      <c r="U4737" s="5" t="e">
        <f>IF(AND(#REF!&gt;=table!$C$10,#REF!&lt;= table!$D$10),-1,IF(AND(#REF!&gt;=table!$E$10,#REF!&lt;=table!$F$10),1,0))</f>
        <v>#REF!</v>
      </c>
      <c r="V4737" s="5" t="e">
        <f>IF(AND(#REF!&gt;=table!$C$11,#REF!&lt;= table!$D$11),-1,IF(AND(#REF!&gt;=table!$E$11,#REF!&lt;=table!$F$11),1,0))</f>
        <v>#REF!</v>
      </c>
      <c r="W4737" s="5" t="e">
        <f>CONCATENATE(dados[[#This Row],[fator1]],dados[[#This Row],[fator5]],dados[[#This Row],[fator6]])</f>
        <v>#REF!</v>
      </c>
    </row>
    <row r="4738" spans="1:23">
      <c r="A4738" t="s">
        <v>17</v>
      </c>
      <c r="B4738">
        <v>590887</v>
      </c>
      <c r="C4738">
        <v>9</v>
      </c>
      <c r="D4738">
        <v>30</v>
      </c>
      <c r="E4738">
        <v>160</v>
      </c>
      <c r="F4738">
        <v>3</v>
      </c>
      <c r="G4738">
        <v>30</v>
      </c>
      <c r="H4738">
        <v>18</v>
      </c>
      <c r="I4738">
        <v>507</v>
      </c>
      <c r="J4738">
        <v>0</v>
      </c>
      <c r="K4738">
        <v>3.7165000000000004</v>
      </c>
      <c r="L4738">
        <v>5.8695000000000004</v>
      </c>
      <c r="M4738">
        <v>146.375</v>
      </c>
      <c r="N4738">
        <v>12.85</v>
      </c>
      <c r="O4738">
        <v>1675</v>
      </c>
      <c r="P4738">
        <v>906</v>
      </c>
      <c r="Q4738" s="5" t="e">
        <f>IF(AND(#REF!&gt;=table!$C$6,#REF!&lt;= table!$D$6),-1,IF(AND(#REF!&gt;=table!$E$6,#REF!&lt;=table!$F$6),1,0))</f>
        <v>#REF!</v>
      </c>
      <c r="R4738" s="5" t="e">
        <f>IF(AND(#REF!&gt;=table!$C$7,#REF!&lt;= table!$D$7),-1,IF(AND(#REF!&gt;=table!$E$7,#REF!&lt;=table!$F$7),1,0))</f>
        <v>#REF!</v>
      </c>
      <c r="S4738" s="5" t="e">
        <f>IF(AND(#REF!&gt;=table!$C$8,#REF!&lt;= table!$D$8),-1,IF(AND(#REF!&gt;=table!$E$8,#REF!&lt;=table!$F$8),1,0))</f>
        <v>#REF!</v>
      </c>
      <c r="T4738" s="5"/>
      <c r="U4738" s="5" t="e">
        <f>IF(AND(#REF!&gt;=table!$C$10,#REF!&lt;= table!$D$10),-1,IF(AND(#REF!&gt;=table!$E$10,#REF!&lt;=table!$F$10),1,0))</f>
        <v>#REF!</v>
      </c>
      <c r="V4738" s="5" t="e">
        <f>IF(AND(#REF!&gt;=table!$C$11,#REF!&lt;= table!$D$11),-1,IF(AND(#REF!&gt;=table!$E$11,#REF!&lt;=table!$F$11),1,0))</f>
        <v>#REF!</v>
      </c>
      <c r="W4738" s="5" t="e">
        <f>CONCATENATE(dados[[#This Row],[fator1]],dados[[#This Row],[fator5]],dados[[#This Row],[fator6]])</f>
        <v>#REF!</v>
      </c>
    </row>
    <row r="4739" spans="1:23">
      <c r="A4739" t="s">
        <v>16</v>
      </c>
      <c r="B4739">
        <v>590889</v>
      </c>
      <c r="C4739">
        <v>0.1</v>
      </c>
      <c r="D4739">
        <v>40</v>
      </c>
      <c r="E4739">
        <v>10</v>
      </c>
      <c r="F4739">
        <v>8</v>
      </c>
      <c r="G4739">
        <v>0</v>
      </c>
      <c r="H4739">
        <v>10</v>
      </c>
      <c r="I4739">
        <v>899</v>
      </c>
      <c r="J4739">
        <v>0</v>
      </c>
      <c r="K4739">
        <v>2.9470000000000001</v>
      </c>
      <c r="L4739">
        <v>8.5500000000000007</v>
      </c>
      <c r="M4739">
        <v>6.7445000000000004</v>
      </c>
      <c r="N4739">
        <v>11.015000000000001</v>
      </c>
      <c r="O4739">
        <v>1676</v>
      </c>
      <c r="P4739">
        <v>0</v>
      </c>
      <c r="Q4739" s="5" t="e">
        <f>IF(AND(#REF!&gt;=table!$C$6,#REF!&lt;= table!$D$6),-1,IF(AND(#REF!&gt;=table!$E$6,#REF!&lt;=table!$F$6),1,0))</f>
        <v>#REF!</v>
      </c>
      <c r="R4739" s="5" t="e">
        <f>IF(AND(#REF!&gt;=table!$C$7,#REF!&lt;= table!$D$7),-1,IF(AND(#REF!&gt;=table!$E$7,#REF!&lt;=table!$F$7),1,0))</f>
        <v>#REF!</v>
      </c>
      <c r="S4739" s="5" t="e">
        <f>IF(AND(#REF!&gt;=table!$C$8,#REF!&lt;= table!$D$8),-1,IF(AND(#REF!&gt;=table!$E$8,#REF!&lt;=table!$F$8),1,0))</f>
        <v>#REF!</v>
      </c>
      <c r="T4739" s="5"/>
      <c r="U4739" s="5" t="e">
        <f>IF(AND(#REF!&gt;=table!$C$10,#REF!&lt;= table!$D$10),-1,IF(AND(#REF!&gt;=table!$E$10,#REF!&lt;=table!$F$10),1,0))</f>
        <v>#REF!</v>
      </c>
      <c r="V4739" s="5" t="e">
        <f>IF(AND(#REF!&gt;=table!$C$11,#REF!&lt;= table!$D$11),-1,IF(AND(#REF!&gt;=table!$E$11,#REF!&lt;=table!$F$11),1,0))</f>
        <v>#REF!</v>
      </c>
      <c r="W4739" s="5" t="e">
        <f>CONCATENATE(dados[[#This Row],[fator1]],dados[[#This Row],[fator5]],dados[[#This Row],[fator6]])</f>
        <v>#REF!</v>
      </c>
    </row>
    <row r="4740" spans="1:23">
      <c r="A4740" t="s">
        <v>17</v>
      </c>
      <c r="B4740">
        <v>590894</v>
      </c>
      <c r="C4740">
        <v>9</v>
      </c>
      <c r="D4740">
        <v>30</v>
      </c>
      <c r="E4740">
        <v>160</v>
      </c>
      <c r="F4740">
        <v>3</v>
      </c>
      <c r="G4740">
        <v>30</v>
      </c>
      <c r="H4740">
        <v>18</v>
      </c>
      <c r="I4740">
        <v>0</v>
      </c>
      <c r="J4740">
        <v>0</v>
      </c>
      <c r="K4740">
        <v>7.7650000000000006</v>
      </c>
      <c r="L4740">
        <v>13.893500000000001</v>
      </c>
      <c r="M4740">
        <v>138.4615</v>
      </c>
      <c r="N4740">
        <v>13.425000000000001</v>
      </c>
      <c r="O4740">
        <v>1682</v>
      </c>
      <c r="P4740">
        <v>571</v>
      </c>
      <c r="Q4740" s="5" t="e">
        <f>IF(AND(#REF!&gt;=table!$C$6,#REF!&lt;= table!$D$6),-1,IF(AND(#REF!&gt;=table!$E$6,#REF!&lt;=table!$F$6),1,0))</f>
        <v>#REF!</v>
      </c>
      <c r="R4740" s="5" t="e">
        <f>IF(AND(#REF!&gt;=table!$C$7,#REF!&lt;= table!$D$7),-1,IF(AND(#REF!&gt;=table!$E$7,#REF!&lt;=table!$F$7),1,0))</f>
        <v>#REF!</v>
      </c>
      <c r="S4740" s="5" t="e">
        <f>IF(AND(#REF!&gt;=table!$C$8,#REF!&lt;= table!$D$8),-1,IF(AND(#REF!&gt;=table!$E$8,#REF!&lt;=table!$F$8),1,0))</f>
        <v>#REF!</v>
      </c>
      <c r="T4740" s="5"/>
      <c r="U4740" s="5" t="e">
        <f>IF(AND(#REF!&gt;=table!$C$10,#REF!&lt;= table!$D$10),-1,IF(AND(#REF!&gt;=table!$E$10,#REF!&lt;=table!$F$10),1,0))</f>
        <v>#REF!</v>
      </c>
      <c r="V4740" s="5" t="e">
        <f>IF(AND(#REF!&gt;=table!$C$11,#REF!&lt;= table!$D$11),-1,IF(AND(#REF!&gt;=table!$E$11,#REF!&lt;=table!$F$11),1,0))</f>
        <v>#REF!</v>
      </c>
      <c r="W4740" s="5" t="e">
        <f>CONCATENATE(dados[[#This Row],[fator1]],dados[[#This Row],[fator5]],dados[[#This Row],[fator6]])</f>
        <v>#REF!</v>
      </c>
    </row>
    <row r="4741" spans="1:23">
      <c r="A4741" t="s">
        <v>17</v>
      </c>
      <c r="B4741">
        <v>590895</v>
      </c>
      <c r="C4741">
        <v>9</v>
      </c>
      <c r="D4741">
        <v>30</v>
      </c>
      <c r="E4741">
        <v>160</v>
      </c>
      <c r="F4741">
        <v>3</v>
      </c>
      <c r="G4741">
        <v>30</v>
      </c>
      <c r="H4741">
        <v>18</v>
      </c>
      <c r="I4741">
        <v>0</v>
      </c>
      <c r="J4741">
        <v>0</v>
      </c>
      <c r="K4741">
        <v>3.7965</v>
      </c>
      <c r="L4741">
        <v>10.518000000000001</v>
      </c>
      <c r="M4741">
        <v>128.03</v>
      </c>
      <c r="N4741">
        <v>15.18</v>
      </c>
      <c r="O4741">
        <v>1695</v>
      </c>
      <c r="P4741">
        <v>1073</v>
      </c>
      <c r="Q4741" s="5" t="e">
        <f>IF(AND(#REF!&gt;=table!$C$6,#REF!&lt;= table!$D$6),-1,IF(AND(#REF!&gt;=table!$E$6,#REF!&lt;=table!$F$6),1,0))</f>
        <v>#REF!</v>
      </c>
      <c r="R4741" s="5" t="e">
        <f>IF(AND(#REF!&gt;=table!$C$7,#REF!&lt;= table!$D$7),-1,IF(AND(#REF!&gt;=table!$E$7,#REF!&lt;=table!$F$7),1,0))</f>
        <v>#REF!</v>
      </c>
      <c r="S4741" s="5" t="e">
        <f>IF(AND(#REF!&gt;=table!$C$8,#REF!&lt;= table!$D$8),-1,IF(AND(#REF!&gt;=table!$E$8,#REF!&lt;=table!$F$8),1,0))</f>
        <v>#REF!</v>
      </c>
      <c r="T4741" s="5"/>
      <c r="U4741" s="5" t="e">
        <f>IF(AND(#REF!&gt;=table!$C$10,#REF!&lt;= table!$D$10),-1,IF(AND(#REF!&gt;=table!$E$10,#REF!&lt;=table!$F$10),1,0))</f>
        <v>#REF!</v>
      </c>
      <c r="V4741" s="5" t="e">
        <f>IF(AND(#REF!&gt;=table!$C$11,#REF!&lt;= table!$D$11),-1,IF(AND(#REF!&gt;=table!$E$11,#REF!&lt;=table!$F$11),1,0))</f>
        <v>#REF!</v>
      </c>
      <c r="W4741" s="5" t="e">
        <f>CONCATENATE(dados[[#This Row],[fator1]],dados[[#This Row],[fator5]],dados[[#This Row],[fator6]])</f>
        <v>#REF!</v>
      </c>
    </row>
    <row r="4742" spans="1:23">
      <c r="A4742" t="s">
        <v>17</v>
      </c>
      <c r="B4742">
        <v>590896</v>
      </c>
      <c r="C4742">
        <v>9</v>
      </c>
      <c r="D4742">
        <v>30</v>
      </c>
      <c r="E4742">
        <v>160</v>
      </c>
      <c r="F4742">
        <v>3</v>
      </c>
      <c r="G4742">
        <v>30</v>
      </c>
      <c r="H4742">
        <v>18</v>
      </c>
      <c r="I4742">
        <v>928</v>
      </c>
      <c r="J4742">
        <v>0</v>
      </c>
      <c r="K4742">
        <v>5.5570000000000004</v>
      </c>
      <c r="L4742">
        <v>11.274000000000001</v>
      </c>
      <c r="M4742">
        <v>110.3305</v>
      </c>
      <c r="N4742">
        <v>14.905000000000001</v>
      </c>
      <c r="O4742">
        <v>1696</v>
      </c>
      <c r="P4742">
        <v>0</v>
      </c>
      <c r="Q4742" s="5" t="e">
        <f>IF(AND(#REF!&gt;=table!$C$6,#REF!&lt;= table!$D$6),-1,IF(AND(#REF!&gt;=table!$E$6,#REF!&lt;=table!$F$6),1,0))</f>
        <v>#REF!</v>
      </c>
      <c r="R4742" s="5" t="e">
        <f>IF(AND(#REF!&gt;=table!$C$7,#REF!&lt;= table!$D$7),-1,IF(AND(#REF!&gt;=table!$E$7,#REF!&lt;=table!$F$7),1,0))</f>
        <v>#REF!</v>
      </c>
      <c r="S4742" s="5" t="e">
        <f>IF(AND(#REF!&gt;=table!$C$8,#REF!&lt;= table!$D$8),-1,IF(AND(#REF!&gt;=table!$E$8,#REF!&lt;=table!$F$8),1,0))</f>
        <v>#REF!</v>
      </c>
      <c r="T4742" s="5"/>
      <c r="U4742" s="5" t="e">
        <f>IF(AND(#REF!&gt;=table!$C$10,#REF!&lt;= table!$D$10),-1,IF(AND(#REF!&gt;=table!$E$10,#REF!&lt;=table!$F$10),1,0))</f>
        <v>#REF!</v>
      </c>
      <c r="V4742" s="5" t="e">
        <f>IF(AND(#REF!&gt;=table!$C$11,#REF!&lt;= table!$D$11),-1,IF(AND(#REF!&gt;=table!$E$11,#REF!&lt;=table!$F$11),1,0))</f>
        <v>#REF!</v>
      </c>
      <c r="W4742" s="5" t="e">
        <f>CONCATENATE(dados[[#This Row],[fator1]],dados[[#This Row],[fator5]],dados[[#This Row],[fator6]])</f>
        <v>#REF!</v>
      </c>
    </row>
    <row r="4743" spans="1:23">
      <c r="A4743" t="s">
        <v>17</v>
      </c>
      <c r="B4743">
        <v>590897</v>
      </c>
      <c r="C4743">
        <v>9</v>
      </c>
      <c r="D4743">
        <v>30</v>
      </c>
      <c r="E4743">
        <v>160</v>
      </c>
      <c r="F4743">
        <v>3</v>
      </c>
      <c r="G4743">
        <v>30</v>
      </c>
      <c r="H4743">
        <v>18</v>
      </c>
      <c r="I4743">
        <v>131</v>
      </c>
      <c r="J4743">
        <v>790</v>
      </c>
      <c r="K4743">
        <v>4.0220000000000002</v>
      </c>
      <c r="L4743">
        <v>10.057500000000001</v>
      </c>
      <c r="M4743">
        <v>109.42100000000001</v>
      </c>
      <c r="N4743">
        <v>12.815000000000001</v>
      </c>
      <c r="O4743">
        <v>1683</v>
      </c>
      <c r="P4743">
        <v>982</v>
      </c>
      <c r="Q4743" s="5" t="e">
        <f>IF(AND(#REF!&gt;=table!$C$6,#REF!&lt;= table!$D$6),-1,IF(AND(#REF!&gt;=table!$E$6,#REF!&lt;=table!$F$6),1,0))</f>
        <v>#REF!</v>
      </c>
      <c r="R4743" s="5" t="e">
        <f>IF(AND(#REF!&gt;=table!$C$7,#REF!&lt;= table!$D$7),-1,IF(AND(#REF!&gt;=table!$E$7,#REF!&lt;=table!$F$7),1,0))</f>
        <v>#REF!</v>
      </c>
      <c r="S4743" s="5" t="e">
        <f>IF(AND(#REF!&gt;=table!$C$8,#REF!&lt;= table!$D$8),-1,IF(AND(#REF!&gt;=table!$E$8,#REF!&lt;=table!$F$8),1,0))</f>
        <v>#REF!</v>
      </c>
      <c r="T4743" s="5"/>
      <c r="U4743" s="5" t="e">
        <f>IF(AND(#REF!&gt;=table!$C$10,#REF!&lt;= table!$D$10),-1,IF(AND(#REF!&gt;=table!$E$10,#REF!&lt;=table!$F$10),1,0))</f>
        <v>#REF!</v>
      </c>
      <c r="V4743" s="5" t="e">
        <f>IF(AND(#REF!&gt;=table!$C$11,#REF!&lt;= table!$D$11),-1,IF(AND(#REF!&gt;=table!$E$11,#REF!&lt;=table!$F$11),1,0))</f>
        <v>#REF!</v>
      </c>
      <c r="W4743" s="5" t="e">
        <f>CONCATENATE(dados[[#This Row],[fator1]],dados[[#This Row],[fator5]],dados[[#This Row],[fator6]])</f>
        <v>#REF!</v>
      </c>
    </row>
    <row r="4744" spans="1:23">
      <c r="A4744" t="s">
        <v>16</v>
      </c>
      <c r="B4744">
        <v>590901</v>
      </c>
      <c r="C4744">
        <v>0.15</v>
      </c>
      <c r="D4744">
        <v>40</v>
      </c>
      <c r="E4744">
        <v>10</v>
      </c>
      <c r="F4744">
        <v>15</v>
      </c>
      <c r="G4744">
        <v>0</v>
      </c>
      <c r="H4744">
        <v>15</v>
      </c>
      <c r="I4744">
        <v>817</v>
      </c>
      <c r="J4744">
        <v>0</v>
      </c>
      <c r="K4744">
        <v>3.2990000000000004</v>
      </c>
      <c r="L4744">
        <v>12.334000000000001</v>
      </c>
      <c r="M4744">
        <v>10.1775</v>
      </c>
      <c r="N4744">
        <v>15.870000000000001</v>
      </c>
      <c r="O4744">
        <v>1704</v>
      </c>
      <c r="P4744">
        <v>1283</v>
      </c>
      <c r="Q4744" s="5" t="e">
        <f>IF(AND(#REF!&gt;=table!$C$6,#REF!&lt;= table!$D$6),-1,IF(AND(#REF!&gt;=table!$E$6,#REF!&lt;=table!$F$6),1,0))</f>
        <v>#REF!</v>
      </c>
      <c r="R4744" s="5" t="e">
        <f>IF(AND(#REF!&gt;=table!$C$7,#REF!&lt;= table!$D$7),-1,IF(AND(#REF!&gt;=table!$E$7,#REF!&lt;=table!$F$7),1,0))</f>
        <v>#REF!</v>
      </c>
      <c r="S4744" s="5" t="e">
        <f>IF(AND(#REF!&gt;=table!$C$8,#REF!&lt;= table!$D$8),-1,IF(AND(#REF!&gt;=table!$E$8,#REF!&lt;=table!$F$8),1,0))</f>
        <v>#REF!</v>
      </c>
      <c r="T4744" s="5"/>
      <c r="U4744" s="5" t="e">
        <f>IF(AND(#REF!&gt;=table!$C$10,#REF!&lt;= table!$D$10),-1,IF(AND(#REF!&gt;=table!$E$10,#REF!&lt;=table!$F$10),1,0))</f>
        <v>#REF!</v>
      </c>
      <c r="V4744" s="5" t="e">
        <f>IF(AND(#REF!&gt;=table!$C$11,#REF!&lt;= table!$D$11),-1,IF(AND(#REF!&gt;=table!$E$11,#REF!&lt;=table!$F$11),1,0))</f>
        <v>#REF!</v>
      </c>
      <c r="W4744" s="5" t="e">
        <f>CONCATENATE(dados[[#This Row],[fator1]],dados[[#This Row],[fator5]],dados[[#This Row],[fator6]])</f>
        <v>#REF!</v>
      </c>
    </row>
    <row r="4745" spans="1:23">
      <c r="A4745" t="s">
        <v>16</v>
      </c>
      <c r="B4745">
        <v>590905</v>
      </c>
      <c r="C4745">
        <v>0.1</v>
      </c>
      <c r="D4745">
        <v>35</v>
      </c>
      <c r="E4745">
        <v>10</v>
      </c>
      <c r="F4745">
        <v>10</v>
      </c>
      <c r="G4745">
        <v>0</v>
      </c>
      <c r="H4745">
        <v>12</v>
      </c>
      <c r="I4745">
        <v>691</v>
      </c>
      <c r="J4745">
        <v>0</v>
      </c>
      <c r="K4745">
        <v>4.7410000000000005</v>
      </c>
      <c r="L4745">
        <v>7.4590000000000005</v>
      </c>
      <c r="M4745">
        <v>6.8385000000000007</v>
      </c>
      <c r="N4745">
        <v>8.4700000000000006</v>
      </c>
      <c r="O4745">
        <v>1684</v>
      </c>
      <c r="P4745">
        <v>762</v>
      </c>
      <c r="Q4745" s="5" t="e">
        <f>IF(AND(#REF!&gt;=table!$C$6,#REF!&lt;= table!$D$6),-1,IF(AND(#REF!&gt;=table!$E$6,#REF!&lt;=table!$F$6),1,0))</f>
        <v>#REF!</v>
      </c>
      <c r="R4745" s="5" t="e">
        <f>IF(AND(#REF!&gt;=table!$C$7,#REF!&lt;= table!$D$7),-1,IF(AND(#REF!&gt;=table!$E$7,#REF!&lt;=table!$F$7),1,0))</f>
        <v>#REF!</v>
      </c>
      <c r="S4745" s="5" t="e">
        <f>IF(AND(#REF!&gt;=table!$C$8,#REF!&lt;= table!$D$8),-1,IF(AND(#REF!&gt;=table!$E$8,#REF!&lt;=table!$F$8),1,0))</f>
        <v>#REF!</v>
      </c>
      <c r="T4745" s="5"/>
      <c r="U4745" s="5" t="e">
        <f>IF(AND(#REF!&gt;=table!$C$10,#REF!&lt;= table!$D$10),-1,IF(AND(#REF!&gt;=table!$E$10,#REF!&lt;=table!$F$10),1,0))</f>
        <v>#REF!</v>
      </c>
      <c r="V4745" s="5" t="e">
        <f>IF(AND(#REF!&gt;=table!$C$11,#REF!&lt;= table!$D$11),-1,IF(AND(#REF!&gt;=table!$E$11,#REF!&lt;=table!$F$11),1,0))</f>
        <v>#REF!</v>
      </c>
      <c r="W4745" s="5" t="e">
        <f>CONCATENATE(dados[[#This Row],[fator1]],dados[[#This Row],[fator5]],dados[[#This Row],[fator6]])</f>
        <v>#REF!</v>
      </c>
    </row>
    <row r="4746" spans="1:23">
      <c r="A4746" t="s">
        <v>17</v>
      </c>
      <c r="B4746">
        <v>590907</v>
      </c>
      <c r="C4746">
        <v>9</v>
      </c>
      <c r="D4746">
        <v>25</v>
      </c>
      <c r="E4746">
        <v>130</v>
      </c>
      <c r="F4746">
        <v>3</v>
      </c>
      <c r="G4746">
        <v>20</v>
      </c>
      <c r="H4746">
        <v>21</v>
      </c>
      <c r="I4746">
        <v>362</v>
      </c>
      <c r="J4746">
        <v>0</v>
      </c>
      <c r="K4746">
        <v>4.1420000000000003</v>
      </c>
      <c r="L4746">
        <v>12.534000000000001</v>
      </c>
      <c r="M4746">
        <v>119.158</v>
      </c>
      <c r="N4746">
        <v>15.675000000000001</v>
      </c>
      <c r="O4746">
        <v>1670</v>
      </c>
      <c r="P4746">
        <v>458</v>
      </c>
      <c r="Q4746" s="5" t="e">
        <f>IF(AND(#REF!&gt;=table!$C$6,#REF!&lt;= table!$D$6),-1,IF(AND(#REF!&gt;=table!$E$6,#REF!&lt;=table!$F$6),1,0))</f>
        <v>#REF!</v>
      </c>
      <c r="R4746" s="5" t="e">
        <f>IF(AND(#REF!&gt;=table!$C$7,#REF!&lt;= table!$D$7),-1,IF(AND(#REF!&gt;=table!$E$7,#REF!&lt;=table!$F$7),1,0))</f>
        <v>#REF!</v>
      </c>
      <c r="S4746" s="5" t="e">
        <f>IF(AND(#REF!&gt;=table!$C$8,#REF!&lt;= table!$D$8),-1,IF(AND(#REF!&gt;=table!$E$8,#REF!&lt;=table!$F$8),1,0))</f>
        <v>#REF!</v>
      </c>
      <c r="T4746" s="5"/>
      <c r="U4746" s="5" t="e">
        <f>IF(AND(#REF!&gt;=table!$C$10,#REF!&lt;= table!$D$10),-1,IF(AND(#REF!&gt;=table!$E$10,#REF!&lt;=table!$F$10),1,0))</f>
        <v>#REF!</v>
      </c>
      <c r="V4746" s="5" t="e">
        <f>IF(AND(#REF!&gt;=table!$C$11,#REF!&lt;= table!$D$11),-1,IF(AND(#REF!&gt;=table!$E$11,#REF!&lt;=table!$F$11),1,0))</f>
        <v>#REF!</v>
      </c>
      <c r="W4746" s="5" t="e">
        <f>CONCATENATE(dados[[#This Row],[fator1]],dados[[#This Row],[fator5]],dados[[#This Row],[fator6]])</f>
        <v>#REF!</v>
      </c>
    </row>
    <row r="4747" spans="1:23">
      <c r="A4747" t="s">
        <v>16</v>
      </c>
      <c r="B4747">
        <v>590911</v>
      </c>
      <c r="C4747">
        <v>8</v>
      </c>
      <c r="D4747">
        <v>40</v>
      </c>
      <c r="E4747">
        <v>86</v>
      </c>
      <c r="F4747">
        <v>6</v>
      </c>
      <c r="G4747">
        <v>0</v>
      </c>
      <c r="H4747">
        <v>20</v>
      </c>
      <c r="I4747">
        <v>487</v>
      </c>
      <c r="J4747">
        <v>0</v>
      </c>
      <c r="K4747">
        <v>4.1705000000000005</v>
      </c>
      <c r="L4747">
        <v>6.9039999999999999</v>
      </c>
      <c r="M4747">
        <v>45.234000000000002</v>
      </c>
      <c r="N4747">
        <v>9.0400000000000009</v>
      </c>
      <c r="O4747">
        <v>1676</v>
      </c>
      <c r="P4747">
        <v>0</v>
      </c>
      <c r="Q4747" s="5" t="e">
        <f>IF(AND(#REF!&gt;=table!$C$6,#REF!&lt;= table!$D$6),-1,IF(AND(#REF!&gt;=table!$E$6,#REF!&lt;=table!$F$6),1,0))</f>
        <v>#REF!</v>
      </c>
      <c r="R4747" s="5" t="e">
        <f>IF(AND(#REF!&gt;=table!$C$7,#REF!&lt;= table!$D$7),-1,IF(AND(#REF!&gt;=table!$E$7,#REF!&lt;=table!$F$7),1,0))</f>
        <v>#REF!</v>
      </c>
      <c r="S4747" s="5" t="e">
        <f>IF(AND(#REF!&gt;=table!$C$8,#REF!&lt;= table!$D$8),-1,IF(AND(#REF!&gt;=table!$E$8,#REF!&lt;=table!$F$8),1,0))</f>
        <v>#REF!</v>
      </c>
      <c r="T4747" s="5"/>
      <c r="U4747" s="5" t="e">
        <f>IF(AND(#REF!&gt;=table!$C$10,#REF!&lt;= table!$D$10),-1,IF(AND(#REF!&gt;=table!$E$10,#REF!&lt;=table!$F$10),1,0))</f>
        <v>#REF!</v>
      </c>
      <c r="V4747" s="5" t="e">
        <f>IF(AND(#REF!&gt;=table!$C$11,#REF!&lt;= table!$D$11),-1,IF(AND(#REF!&gt;=table!$E$11,#REF!&lt;=table!$F$11),1,0))</f>
        <v>#REF!</v>
      </c>
      <c r="W4747" s="5" t="e">
        <f>CONCATENATE(dados[[#This Row],[fator1]],dados[[#This Row],[fator5]],dados[[#This Row],[fator6]])</f>
        <v>#REF!</v>
      </c>
    </row>
    <row r="4748" spans="1:23">
      <c r="A4748" t="s">
        <v>16</v>
      </c>
      <c r="B4748">
        <v>590912</v>
      </c>
      <c r="C4748">
        <v>8</v>
      </c>
      <c r="D4748">
        <v>40</v>
      </c>
      <c r="E4748">
        <v>86</v>
      </c>
      <c r="F4748">
        <v>6</v>
      </c>
      <c r="G4748">
        <v>0</v>
      </c>
      <c r="H4748">
        <v>20</v>
      </c>
      <c r="I4748">
        <v>32</v>
      </c>
      <c r="J4748">
        <v>0</v>
      </c>
      <c r="K4748">
        <v>3.4315000000000002</v>
      </c>
      <c r="L4748">
        <v>8.8025000000000002</v>
      </c>
      <c r="M4748">
        <v>54.824000000000005</v>
      </c>
      <c r="N4748">
        <v>11.725000000000001</v>
      </c>
      <c r="O4748">
        <v>1667</v>
      </c>
      <c r="P4748">
        <v>1024</v>
      </c>
      <c r="Q4748" s="5" t="e">
        <f>IF(AND(#REF!&gt;=table!$C$6,#REF!&lt;= table!$D$6),-1,IF(AND(#REF!&gt;=table!$E$6,#REF!&lt;=table!$F$6),1,0))</f>
        <v>#REF!</v>
      </c>
      <c r="R4748" s="5" t="e">
        <f>IF(AND(#REF!&gt;=table!$C$7,#REF!&lt;= table!$D$7),-1,IF(AND(#REF!&gt;=table!$E$7,#REF!&lt;=table!$F$7),1,0))</f>
        <v>#REF!</v>
      </c>
      <c r="S4748" s="5" t="e">
        <f>IF(AND(#REF!&gt;=table!$C$8,#REF!&lt;= table!$D$8),-1,IF(AND(#REF!&gt;=table!$E$8,#REF!&lt;=table!$F$8),1,0))</f>
        <v>#REF!</v>
      </c>
      <c r="T4748" s="5"/>
      <c r="U4748" s="5" t="e">
        <f>IF(AND(#REF!&gt;=table!$C$10,#REF!&lt;= table!$D$10),-1,IF(AND(#REF!&gt;=table!$E$10,#REF!&lt;=table!$F$10),1,0))</f>
        <v>#REF!</v>
      </c>
      <c r="V4748" s="5" t="e">
        <f>IF(AND(#REF!&gt;=table!$C$11,#REF!&lt;= table!$D$11),-1,IF(AND(#REF!&gt;=table!$E$11,#REF!&lt;=table!$F$11),1,0))</f>
        <v>#REF!</v>
      </c>
      <c r="W4748" s="5" t="e">
        <f>CONCATENATE(dados[[#This Row],[fator1]],dados[[#This Row],[fator5]],dados[[#This Row],[fator6]])</f>
        <v>#REF!</v>
      </c>
    </row>
    <row r="4749" spans="1:23">
      <c r="A4749" t="s">
        <v>16</v>
      </c>
      <c r="B4749">
        <v>590913</v>
      </c>
      <c r="C4749">
        <v>8</v>
      </c>
      <c r="D4749">
        <v>40</v>
      </c>
      <c r="E4749">
        <v>86</v>
      </c>
      <c r="F4749">
        <v>6</v>
      </c>
      <c r="G4749">
        <v>0</v>
      </c>
      <c r="H4749">
        <v>20</v>
      </c>
      <c r="I4749">
        <v>64</v>
      </c>
      <c r="J4749">
        <v>570</v>
      </c>
      <c r="K4749">
        <v>4.4119999999999999</v>
      </c>
      <c r="L4749">
        <v>14.063000000000001</v>
      </c>
      <c r="M4749">
        <v>58.546500000000002</v>
      </c>
      <c r="N4749">
        <v>11.745000000000001</v>
      </c>
      <c r="O4749">
        <v>1666</v>
      </c>
      <c r="P4749">
        <v>796</v>
      </c>
      <c r="Q4749" s="5" t="e">
        <f>IF(AND(#REF!&gt;=table!$C$6,#REF!&lt;= table!$D$6),-1,IF(AND(#REF!&gt;=table!$E$6,#REF!&lt;=table!$F$6),1,0))</f>
        <v>#REF!</v>
      </c>
      <c r="R4749" s="5" t="e">
        <f>IF(AND(#REF!&gt;=table!$C$7,#REF!&lt;= table!$D$7),-1,IF(AND(#REF!&gt;=table!$E$7,#REF!&lt;=table!$F$7),1,0))</f>
        <v>#REF!</v>
      </c>
      <c r="S4749" s="5" t="e">
        <f>IF(AND(#REF!&gt;=table!$C$8,#REF!&lt;= table!$D$8),-1,IF(AND(#REF!&gt;=table!$E$8,#REF!&lt;=table!$F$8),1,0))</f>
        <v>#REF!</v>
      </c>
      <c r="T4749" s="5"/>
      <c r="U4749" s="5" t="e">
        <f>IF(AND(#REF!&gt;=table!$C$10,#REF!&lt;= table!$D$10),-1,IF(AND(#REF!&gt;=table!$E$10,#REF!&lt;=table!$F$10),1,0))</f>
        <v>#REF!</v>
      </c>
      <c r="V4749" s="5" t="e">
        <f>IF(AND(#REF!&gt;=table!$C$11,#REF!&lt;= table!$D$11),-1,IF(AND(#REF!&gt;=table!$E$11,#REF!&lt;=table!$F$11),1,0))</f>
        <v>#REF!</v>
      </c>
      <c r="W4749" s="5" t="e">
        <f>CONCATENATE(dados[[#This Row],[fator1]],dados[[#This Row],[fator5]],dados[[#This Row],[fator6]])</f>
        <v>#REF!</v>
      </c>
    </row>
    <row r="4750" spans="1:23">
      <c r="A4750" t="s">
        <v>16</v>
      </c>
      <c r="B4750">
        <v>590917</v>
      </c>
      <c r="C4750">
        <v>12</v>
      </c>
      <c r="D4750">
        <v>35</v>
      </c>
      <c r="E4750">
        <v>86</v>
      </c>
      <c r="F4750">
        <v>10</v>
      </c>
      <c r="G4750">
        <v>0</v>
      </c>
      <c r="H4750">
        <v>25</v>
      </c>
      <c r="I4750">
        <v>1791</v>
      </c>
      <c r="J4750">
        <v>0</v>
      </c>
      <c r="K4750">
        <v>3.7735000000000003</v>
      </c>
      <c r="L4750">
        <v>10.8355</v>
      </c>
      <c r="M4750">
        <v>72.84</v>
      </c>
      <c r="N4750">
        <v>13.31</v>
      </c>
      <c r="O4750">
        <v>1680</v>
      </c>
      <c r="P4750">
        <v>1110</v>
      </c>
      <c r="Q4750" s="5" t="e">
        <f>IF(AND(#REF!&gt;=table!$C$6,#REF!&lt;= table!$D$6),-1,IF(AND(#REF!&gt;=table!$E$6,#REF!&lt;=table!$F$6),1,0))</f>
        <v>#REF!</v>
      </c>
      <c r="R4750" s="5" t="e">
        <f>IF(AND(#REF!&gt;=table!$C$7,#REF!&lt;= table!$D$7),-1,IF(AND(#REF!&gt;=table!$E$7,#REF!&lt;=table!$F$7),1,0))</f>
        <v>#REF!</v>
      </c>
      <c r="S4750" s="5" t="e">
        <f>IF(AND(#REF!&gt;=table!$C$8,#REF!&lt;= table!$D$8),-1,IF(AND(#REF!&gt;=table!$E$8,#REF!&lt;=table!$F$8),1,0))</f>
        <v>#REF!</v>
      </c>
      <c r="T4750" s="5"/>
      <c r="U4750" s="5" t="e">
        <f>IF(AND(#REF!&gt;=table!$C$10,#REF!&lt;= table!$D$10),-1,IF(AND(#REF!&gt;=table!$E$10,#REF!&lt;=table!$F$10),1,0))</f>
        <v>#REF!</v>
      </c>
      <c r="V4750" s="5" t="e">
        <f>IF(AND(#REF!&gt;=table!$C$11,#REF!&lt;= table!$D$11),-1,IF(AND(#REF!&gt;=table!$E$11,#REF!&lt;=table!$F$11),1,0))</f>
        <v>#REF!</v>
      </c>
      <c r="W4750" s="5" t="e">
        <f>CONCATENATE(dados[[#This Row],[fator1]],dados[[#This Row],[fator5]],dados[[#This Row],[fator6]])</f>
        <v>#REF!</v>
      </c>
    </row>
    <row r="4751" spans="1:23">
      <c r="A4751" t="s">
        <v>16</v>
      </c>
      <c r="B4751">
        <v>590918</v>
      </c>
      <c r="C4751">
        <v>12</v>
      </c>
      <c r="D4751">
        <v>35</v>
      </c>
      <c r="E4751">
        <v>86</v>
      </c>
      <c r="F4751">
        <v>10</v>
      </c>
      <c r="G4751">
        <v>0</v>
      </c>
      <c r="H4751">
        <v>25</v>
      </c>
      <c r="I4751">
        <v>1012</v>
      </c>
      <c r="J4751">
        <v>0</v>
      </c>
      <c r="K4751">
        <v>5.6070000000000002</v>
      </c>
      <c r="L4751">
        <v>16.562000000000001</v>
      </c>
      <c r="M4751">
        <v>81.077500000000001</v>
      </c>
      <c r="N4751">
        <v>18.295000000000002</v>
      </c>
      <c r="O4751">
        <v>1682</v>
      </c>
      <c r="P4751">
        <v>602</v>
      </c>
      <c r="Q4751" s="5" t="e">
        <f>IF(AND(#REF!&gt;=table!$C$6,#REF!&lt;= table!$D$6),-1,IF(AND(#REF!&gt;=table!$E$6,#REF!&lt;=table!$F$6),1,0))</f>
        <v>#REF!</v>
      </c>
      <c r="R4751" s="5" t="e">
        <f>IF(AND(#REF!&gt;=table!$C$7,#REF!&lt;= table!$D$7),-1,IF(AND(#REF!&gt;=table!$E$7,#REF!&lt;=table!$F$7),1,0))</f>
        <v>#REF!</v>
      </c>
      <c r="S4751" s="5" t="e">
        <f>IF(AND(#REF!&gt;=table!$C$8,#REF!&lt;= table!$D$8),-1,IF(AND(#REF!&gt;=table!$E$8,#REF!&lt;=table!$F$8),1,0))</f>
        <v>#REF!</v>
      </c>
      <c r="T4751" s="5"/>
      <c r="U4751" s="5" t="e">
        <f>IF(AND(#REF!&gt;=table!$C$10,#REF!&lt;= table!$D$10),-1,IF(AND(#REF!&gt;=table!$E$10,#REF!&lt;=table!$F$10),1,0))</f>
        <v>#REF!</v>
      </c>
      <c r="V4751" s="5" t="e">
        <f>IF(AND(#REF!&gt;=table!$C$11,#REF!&lt;= table!$D$11),-1,IF(AND(#REF!&gt;=table!$E$11,#REF!&lt;=table!$F$11),1,0))</f>
        <v>#REF!</v>
      </c>
      <c r="W4751" s="5" t="e">
        <f>CONCATENATE(dados[[#This Row],[fator1]],dados[[#This Row],[fator5]],dados[[#This Row],[fator6]])</f>
        <v>#REF!</v>
      </c>
    </row>
    <row r="4752" spans="1:23">
      <c r="A4752" t="s">
        <v>17</v>
      </c>
      <c r="B4752">
        <v>590920</v>
      </c>
      <c r="C4752">
        <v>9</v>
      </c>
      <c r="D4752">
        <v>25</v>
      </c>
      <c r="E4752">
        <v>130</v>
      </c>
      <c r="F4752">
        <v>3</v>
      </c>
      <c r="G4752">
        <v>20</v>
      </c>
      <c r="H4752">
        <v>21</v>
      </c>
      <c r="I4752">
        <v>90</v>
      </c>
      <c r="J4752">
        <v>0</v>
      </c>
      <c r="K4752">
        <v>4.01</v>
      </c>
      <c r="L4752">
        <v>14.044500000000001</v>
      </c>
      <c r="M4752">
        <v>114.11250000000001</v>
      </c>
      <c r="N4752">
        <v>16.07</v>
      </c>
      <c r="O4752">
        <v>1710</v>
      </c>
      <c r="P4752">
        <v>0</v>
      </c>
      <c r="Q4752" s="5" t="e">
        <f>IF(AND(#REF!&gt;=table!$C$6,#REF!&lt;= table!$D$6),-1,IF(AND(#REF!&gt;=table!$E$6,#REF!&lt;=table!$F$6),1,0))</f>
        <v>#REF!</v>
      </c>
      <c r="R4752" s="5" t="e">
        <f>IF(AND(#REF!&gt;=table!$C$7,#REF!&lt;= table!$D$7),-1,IF(AND(#REF!&gt;=table!$E$7,#REF!&lt;=table!$F$7),1,0))</f>
        <v>#REF!</v>
      </c>
      <c r="S4752" s="5" t="e">
        <f>IF(AND(#REF!&gt;=table!$C$8,#REF!&lt;= table!$D$8),-1,IF(AND(#REF!&gt;=table!$E$8,#REF!&lt;=table!$F$8),1,0))</f>
        <v>#REF!</v>
      </c>
      <c r="T4752" s="5"/>
      <c r="U4752" s="5" t="e">
        <f>IF(AND(#REF!&gt;=table!$C$10,#REF!&lt;= table!$D$10),-1,IF(AND(#REF!&gt;=table!$E$10,#REF!&lt;=table!$F$10),1,0))</f>
        <v>#REF!</v>
      </c>
      <c r="V4752" s="5" t="e">
        <f>IF(AND(#REF!&gt;=table!$C$11,#REF!&lt;= table!$D$11),-1,IF(AND(#REF!&gt;=table!$E$11,#REF!&lt;=table!$F$11),1,0))</f>
        <v>#REF!</v>
      </c>
      <c r="W4752" s="5" t="e">
        <f>CONCATENATE(dados[[#This Row],[fator1]],dados[[#This Row],[fator5]],dados[[#This Row],[fator6]])</f>
        <v>#REF!</v>
      </c>
    </row>
    <row r="4753" spans="1:23">
      <c r="A4753" t="s">
        <v>17</v>
      </c>
      <c r="B4753">
        <v>590922</v>
      </c>
      <c r="C4753">
        <v>9</v>
      </c>
      <c r="D4753">
        <v>25</v>
      </c>
      <c r="E4753">
        <v>130</v>
      </c>
      <c r="F4753">
        <v>3</v>
      </c>
      <c r="G4753">
        <v>20</v>
      </c>
      <c r="H4753">
        <v>21</v>
      </c>
      <c r="I4753">
        <v>0</v>
      </c>
      <c r="J4753">
        <v>0</v>
      </c>
      <c r="K4753">
        <v>3.5170000000000003</v>
      </c>
      <c r="L4753">
        <v>8.4094999999999995</v>
      </c>
      <c r="M4753">
        <v>124.361</v>
      </c>
      <c r="N4753">
        <v>10.945</v>
      </c>
      <c r="O4753">
        <v>1664</v>
      </c>
      <c r="P4753">
        <v>977</v>
      </c>
      <c r="Q4753" s="5" t="e">
        <f>IF(AND(#REF!&gt;=table!$C$6,#REF!&lt;= table!$D$6),-1,IF(AND(#REF!&gt;=table!$E$6,#REF!&lt;=table!$F$6),1,0))</f>
        <v>#REF!</v>
      </c>
      <c r="R4753" s="5" t="e">
        <f>IF(AND(#REF!&gt;=table!$C$7,#REF!&lt;= table!$D$7),-1,IF(AND(#REF!&gt;=table!$E$7,#REF!&lt;=table!$F$7),1,0))</f>
        <v>#REF!</v>
      </c>
      <c r="S4753" s="5" t="e">
        <f>IF(AND(#REF!&gt;=table!$C$8,#REF!&lt;= table!$D$8),-1,IF(AND(#REF!&gt;=table!$E$8,#REF!&lt;=table!$F$8),1,0))</f>
        <v>#REF!</v>
      </c>
      <c r="T4753" s="5"/>
      <c r="U4753" s="5" t="e">
        <f>IF(AND(#REF!&gt;=table!$C$10,#REF!&lt;= table!$D$10),-1,IF(AND(#REF!&gt;=table!$E$10,#REF!&lt;=table!$F$10),1,0))</f>
        <v>#REF!</v>
      </c>
      <c r="V4753" s="5" t="e">
        <f>IF(AND(#REF!&gt;=table!$C$11,#REF!&lt;= table!$D$11),-1,IF(AND(#REF!&gt;=table!$E$11,#REF!&lt;=table!$F$11),1,0))</f>
        <v>#REF!</v>
      </c>
      <c r="W4753" s="5" t="e">
        <f>CONCATENATE(dados[[#This Row],[fator1]],dados[[#This Row],[fator5]],dados[[#This Row],[fator6]])</f>
        <v>#REF!</v>
      </c>
    </row>
    <row r="4754" spans="1:23">
      <c r="A4754" t="s">
        <v>17</v>
      </c>
      <c r="B4754">
        <v>590925</v>
      </c>
      <c r="C4754">
        <v>9</v>
      </c>
      <c r="D4754">
        <v>25</v>
      </c>
      <c r="E4754">
        <v>130</v>
      </c>
      <c r="F4754">
        <v>3</v>
      </c>
      <c r="G4754">
        <v>20</v>
      </c>
      <c r="H4754">
        <v>21</v>
      </c>
      <c r="I4754">
        <v>797</v>
      </c>
      <c r="J4754">
        <v>660</v>
      </c>
      <c r="K4754">
        <v>8.0670000000000002</v>
      </c>
      <c r="L4754">
        <v>14.8315</v>
      </c>
      <c r="M4754">
        <v>117.2325</v>
      </c>
      <c r="N4754">
        <v>10.955</v>
      </c>
      <c r="O4754">
        <v>1638</v>
      </c>
      <c r="P4754">
        <v>416</v>
      </c>
      <c r="Q4754" s="5" t="e">
        <f>IF(AND(#REF!&gt;=table!$C$6,#REF!&lt;= table!$D$6),-1,IF(AND(#REF!&gt;=table!$E$6,#REF!&lt;=table!$F$6),1,0))</f>
        <v>#REF!</v>
      </c>
      <c r="R4754" s="5" t="e">
        <f>IF(AND(#REF!&gt;=table!$C$7,#REF!&lt;= table!$D$7),-1,IF(AND(#REF!&gt;=table!$E$7,#REF!&lt;=table!$F$7),1,0))</f>
        <v>#REF!</v>
      </c>
      <c r="S4754" s="5" t="e">
        <f>IF(AND(#REF!&gt;=table!$C$8,#REF!&lt;= table!$D$8),-1,IF(AND(#REF!&gt;=table!$E$8,#REF!&lt;=table!$F$8),1,0))</f>
        <v>#REF!</v>
      </c>
      <c r="T4754" s="5"/>
      <c r="U4754" s="5" t="e">
        <f>IF(AND(#REF!&gt;=table!$C$10,#REF!&lt;= table!$D$10),-1,IF(AND(#REF!&gt;=table!$E$10,#REF!&lt;=table!$F$10),1,0))</f>
        <v>#REF!</v>
      </c>
      <c r="V4754" s="5" t="e">
        <f>IF(AND(#REF!&gt;=table!$C$11,#REF!&lt;= table!$D$11),-1,IF(AND(#REF!&gt;=table!$E$11,#REF!&lt;=table!$F$11),1,0))</f>
        <v>#REF!</v>
      </c>
      <c r="W4754" s="5" t="e">
        <f>CONCATENATE(dados[[#This Row],[fator1]],dados[[#This Row],[fator5]],dados[[#This Row],[fator6]])</f>
        <v>#REF!</v>
      </c>
    </row>
    <row r="4755" spans="1:23">
      <c r="A4755" t="s">
        <v>17</v>
      </c>
      <c r="B4755">
        <v>590927</v>
      </c>
      <c r="C4755">
        <v>9</v>
      </c>
      <c r="D4755">
        <v>25</v>
      </c>
      <c r="E4755">
        <v>130</v>
      </c>
      <c r="F4755">
        <v>3</v>
      </c>
      <c r="G4755">
        <v>20</v>
      </c>
      <c r="H4755">
        <v>21</v>
      </c>
      <c r="I4755">
        <v>803</v>
      </c>
      <c r="J4755">
        <v>0</v>
      </c>
      <c r="K4755">
        <v>3.0250000000000004</v>
      </c>
      <c r="L4755">
        <v>5.5529999999999999</v>
      </c>
      <c r="M4755">
        <v>88.563500000000005</v>
      </c>
      <c r="N4755">
        <v>10.065000000000001</v>
      </c>
      <c r="O4755">
        <v>1665</v>
      </c>
      <c r="P4755">
        <v>1162</v>
      </c>
      <c r="Q4755" s="5" t="e">
        <f>IF(AND(#REF!&gt;=table!$C$6,#REF!&lt;= table!$D$6),-1,IF(AND(#REF!&gt;=table!$E$6,#REF!&lt;=table!$F$6),1,0))</f>
        <v>#REF!</v>
      </c>
      <c r="R4755" s="5" t="e">
        <f>IF(AND(#REF!&gt;=table!$C$7,#REF!&lt;= table!$D$7),-1,IF(AND(#REF!&gt;=table!$E$7,#REF!&lt;=table!$F$7),1,0))</f>
        <v>#REF!</v>
      </c>
      <c r="S4755" s="5" t="e">
        <f>IF(AND(#REF!&gt;=table!$C$8,#REF!&lt;= table!$D$8),-1,IF(AND(#REF!&gt;=table!$E$8,#REF!&lt;=table!$F$8),1,0))</f>
        <v>#REF!</v>
      </c>
      <c r="T4755" s="5"/>
      <c r="U4755" s="5" t="e">
        <f>IF(AND(#REF!&gt;=table!$C$10,#REF!&lt;= table!$D$10),-1,IF(AND(#REF!&gt;=table!$E$10,#REF!&lt;=table!$F$10),1,0))</f>
        <v>#REF!</v>
      </c>
      <c r="V4755" s="5" t="e">
        <f>IF(AND(#REF!&gt;=table!$C$11,#REF!&lt;= table!$D$11),-1,IF(AND(#REF!&gt;=table!$E$11,#REF!&lt;=table!$F$11),1,0))</f>
        <v>#REF!</v>
      </c>
      <c r="W4755" s="5" t="e">
        <f>CONCATENATE(dados[[#This Row],[fator1]],dados[[#This Row],[fator5]],dados[[#This Row],[fator6]])</f>
        <v>#REF!</v>
      </c>
    </row>
    <row r="4756" spans="1:23">
      <c r="A4756" t="s">
        <v>17</v>
      </c>
      <c r="B4756">
        <v>590929</v>
      </c>
      <c r="C4756">
        <v>9</v>
      </c>
      <c r="D4756">
        <v>30</v>
      </c>
      <c r="E4756">
        <v>160</v>
      </c>
      <c r="F4756">
        <v>3</v>
      </c>
      <c r="G4756">
        <v>30</v>
      </c>
      <c r="H4756">
        <v>18</v>
      </c>
      <c r="I4756">
        <v>0</v>
      </c>
      <c r="J4756">
        <v>510</v>
      </c>
      <c r="K4756">
        <v>2.7890000000000001</v>
      </c>
      <c r="L4756">
        <v>11.415000000000001</v>
      </c>
      <c r="M4756">
        <v>124.2055</v>
      </c>
      <c r="N4756">
        <v>15.72</v>
      </c>
      <c r="O4756">
        <v>1713</v>
      </c>
      <c r="P4756">
        <v>1050</v>
      </c>
      <c r="Q4756" s="5" t="e">
        <f>IF(AND(#REF!&gt;=table!$C$6,#REF!&lt;= table!$D$6),-1,IF(AND(#REF!&gt;=table!$E$6,#REF!&lt;=table!$F$6),1,0))</f>
        <v>#REF!</v>
      </c>
      <c r="R4756" s="5" t="e">
        <f>IF(AND(#REF!&gt;=table!$C$7,#REF!&lt;= table!$D$7),-1,IF(AND(#REF!&gt;=table!$E$7,#REF!&lt;=table!$F$7),1,0))</f>
        <v>#REF!</v>
      </c>
      <c r="S4756" s="5" t="e">
        <f>IF(AND(#REF!&gt;=table!$C$8,#REF!&lt;= table!$D$8),-1,IF(AND(#REF!&gt;=table!$E$8,#REF!&lt;=table!$F$8),1,0))</f>
        <v>#REF!</v>
      </c>
      <c r="T4756" s="5"/>
      <c r="U4756" s="5" t="e">
        <f>IF(AND(#REF!&gt;=table!$C$10,#REF!&lt;= table!$D$10),-1,IF(AND(#REF!&gt;=table!$E$10,#REF!&lt;=table!$F$10),1,0))</f>
        <v>#REF!</v>
      </c>
      <c r="V4756" s="5" t="e">
        <f>IF(AND(#REF!&gt;=table!$C$11,#REF!&lt;= table!$D$11),-1,IF(AND(#REF!&gt;=table!$E$11,#REF!&lt;=table!$F$11),1,0))</f>
        <v>#REF!</v>
      </c>
      <c r="W4756" s="5" t="e">
        <f>CONCATENATE(dados[[#This Row],[fator1]],dados[[#This Row],[fator5]],dados[[#This Row],[fator6]])</f>
        <v>#REF!</v>
      </c>
    </row>
    <row r="4757" spans="1:23">
      <c r="A4757" t="s">
        <v>17</v>
      </c>
      <c r="B4757">
        <v>590930</v>
      </c>
      <c r="C4757">
        <v>9</v>
      </c>
      <c r="D4757">
        <v>30</v>
      </c>
      <c r="E4757">
        <v>160</v>
      </c>
      <c r="F4757">
        <v>3</v>
      </c>
      <c r="G4757">
        <v>30</v>
      </c>
      <c r="H4757">
        <v>18</v>
      </c>
      <c r="I4757">
        <v>0</v>
      </c>
      <c r="J4757">
        <v>0</v>
      </c>
      <c r="K4757">
        <v>2.6880000000000002</v>
      </c>
      <c r="L4757">
        <v>5.9375</v>
      </c>
      <c r="M4757">
        <v>139.13849999999999</v>
      </c>
      <c r="N4757">
        <v>11.865</v>
      </c>
      <c r="O4757">
        <v>1695</v>
      </c>
      <c r="P4757">
        <v>1466</v>
      </c>
      <c r="Q4757" s="5" t="e">
        <f>IF(AND(#REF!&gt;=table!$C$6,#REF!&lt;= table!$D$6),-1,IF(AND(#REF!&gt;=table!$E$6,#REF!&lt;=table!$F$6),1,0))</f>
        <v>#REF!</v>
      </c>
      <c r="R4757" s="5" t="e">
        <f>IF(AND(#REF!&gt;=table!$C$7,#REF!&lt;= table!$D$7),-1,IF(AND(#REF!&gt;=table!$E$7,#REF!&lt;=table!$F$7),1,0))</f>
        <v>#REF!</v>
      </c>
      <c r="S4757" s="5" t="e">
        <f>IF(AND(#REF!&gt;=table!$C$8,#REF!&lt;= table!$D$8),-1,IF(AND(#REF!&gt;=table!$E$8,#REF!&lt;=table!$F$8),1,0))</f>
        <v>#REF!</v>
      </c>
      <c r="T4757" s="5"/>
      <c r="U4757" s="5" t="e">
        <f>IF(AND(#REF!&gt;=table!$C$10,#REF!&lt;= table!$D$10),-1,IF(AND(#REF!&gt;=table!$E$10,#REF!&lt;=table!$F$10),1,0))</f>
        <v>#REF!</v>
      </c>
      <c r="V4757" s="5" t="e">
        <f>IF(AND(#REF!&gt;=table!$C$11,#REF!&lt;= table!$D$11),-1,IF(AND(#REF!&gt;=table!$E$11,#REF!&lt;=table!$F$11),1,0))</f>
        <v>#REF!</v>
      </c>
      <c r="W4757" s="5" t="e">
        <f>CONCATENATE(dados[[#This Row],[fator1]],dados[[#This Row],[fator5]],dados[[#This Row],[fator6]])</f>
        <v>#REF!</v>
      </c>
    </row>
    <row r="4758" spans="1:23">
      <c r="A4758" t="s">
        <v>17</v>
      </c>
      <c r="B4758">
        <v>590932</v>
      </c>
      <c r="C4758">
        <v>0.15</v>
      </c>
      <c r="D4758">
        <v>500</v>
      </c>
      <c r="E4758">
        <v>50</v>
      </c>
      <c r="F4758">
        <v>10</v>
      </c>
      <c r="G4758">
        <v>80</v>
      </c>
      <c r="H4758">
        <v>30</v>
      </c>
      <c r="I4758">
        <v>612</v>
      </c>
      <c r="J4758">
        <v>1910</v>
      </c>
      <c r="K4758">
        <v>3.16</v>
      </c>
      <c r="L4758">
        <v>6.0834999999999999</v>
      </c>
      <c r="M4758">
        <v>2.944</v>
      </c>
      <c r="N4758">
        <v>14.395000000000001</v>
      </c>
      <c r="O4758">
        <v>1666</v>
      </c>
      <c r="P4758">
        <v>0</v>
      </c>
      <c r="Q4758" s="5" t="e">
        <f>IF(AND(#REF!&gt;=table!$C$6,#REF!&lt;= table!$D$6),-1,IF(AND(#REF!&gt;=table!$E$6,#REF!&lt;=table!$F$6),1,0))</f>
        <v>#REF!</v>
      </c>
      <c r="R4758" s="5" t="e">
        <f>IF(AND(#REF!&gt;=table!$C$7,#REF!&lt;= table!$D$7),-1,IF(AND(#REF!&gt;=table!$E$7,#REF!&lt;=table!$F$7),1,0))</f>
        <v>#REF!</v>
      </c>
      <c r="S4758" s="5" t="e">
        <f>IF(AND(#REF!&gt;=table!$C$8,#REF!&lt;= table!$D$8),-1,IF(AND(#REF!&gt;=table!$E$8,#REF!&lt;=table!$F$8),1,0))</f>
        <v>#REF!</v>
      </c>
      <c r="T4758" s="5"/>
      <c r="U4758" s="5" t="e">
        <f>IF(AND(#REF!&gt;=table!$C$10,#REF!&lt;= table!$D$10),-1,IF(AND(#REF!&gt;=table!$E$10,#REF!&lt;=table!$F$10),1,0))</f>
        <v>#REF!</v>
      </c>
      <c r="V4758" s="5" t="e">
        <f>IF(AND(#REF!&gt;=table!$C$11,#REF!&lt;= table!$D$11),-1,IF(AND(#REF!&gt;=table!$E$11,#REF!&lt;=table!$F$11),1,0))</f>
        <v>#REF!</v>
      </c>
      <c r="W4758" s="5" t="e">
        <f>CONCATENATE(dados[[#This Row],[fator1]],dados[[#This Row],[fator5]],dados[[#This Row],[fator6]])</f>
        <v>#REF!</v>
      </c>
    </row>
    <row r="4759" spans="1:23">
      <c r="A4759" t="s">
        <v>17</v>
      </c>
      <c r="B4759">
        <v>590933</v>
      </c>
      <c r="C4759">
        <v>0.15</v>
      </c>
      <c r="D4759">
        <v>500</v>
      </c>
      <c r="E4759">
        <v>50</v>
      </c>
      <c r="F4759">
        <v>10</v>
      </c>
      <c r="G4759">
        <v>80</v>
      </c>
      <c r="H4759">
        <v>30</v>
      </c>
      <c r="I4759">
        <v>792</v>
      </c>
      <c r="J4759">
        <v>0</v>
      </c>
      <c r="K4759">
        <v>3.6655000000000002</v>
      </c>
      <c r="L4759">
        <v>10.848000000000001</v>
      </c>
      <c r="M4759">
        <v>8.5065000000000008</v>
      </c>
      <c r="N4759">
        <v>12.155000000000001</v>
      </c>
      <c r="O4759">
        <v>1671</v>
      </c>
      <c r="P4759">
        <v>1073</v>
      </c>
      <c r="Q4759" s="5" t="e">
        <f>IF(AND(#REF!&gt;=table!$C$6,#REF!&lt;= table!$D$6),-1,IF(AND(#REF!&gt;=table!$E$6,#REF!&lt;=table!$F$6),1,0))</f>
        <v>#REF!</v>
      </c>
      <c r="R4759" s="5" t="e">
        <f>IF(AND(#REF!&gt;=table!$C$7,#REF!&lt;= table!$D$7),-1,IF(AND(#REF!&gt;=table!$E$7,#REF!&lt;=table!$F$7),1,0))</f>
        <v>#REF!</v>
      </c>
      <c r="S4759" s="5" t="e">
        <f>IF(AND(#REF!&gt;=table!$C$8,#REF!&lt;= table!$D$8),-1,IF(AND(#REF!&gt;=table!$E$8,#REF!&lt;=table!$F$8),1,0))</f>
        <v>#REF!</v>
      </c>
      <c r="T4759" s="5"/>
      <c r="U4759" s="5" t="e">
        <f>IF(AND(#REF!&gt;=table!$C$10,#REF!&lt;= table!$D$10),-1,IF(AND(#REF!&gt;=table!$E$10,#REF!&lt;=table!$F$10),1,0))</f>
        <v>#REF!</v>
      </c>
      <c r="V4759" s="5" t="e">
        <f>IF(AND(#REF!&gt;=table!$C$11,#REF!&lt;= table!$D$11),-1,IF(AND(#REF!&gt;=table!$E$11,#REF!&lt;=table!$F$11),1,0))</f>
        <v>#REF!</v>
      </c>
      <c r="W4759" s="5" t="e">
        <f>CONCATENATE(dados[[#This Row],[fator1]],dados[[#This Row],[fator5]],dados[[#This Row],[fator6]])</f>
        <v>#REF!</v>
      </c>
    </row>
    <row r="4760" spans="1:23">
      <c r="A4760" t="s">
        <v>17</v>
      </c>
      <c r="B4760">
        <v>590939</v>
      </c>
      <c r="C4760">
        <v>16</v>
      </c>
      <c r="D4760">
        <v>23</v>
      </c>
      <c r="E4760">
        <v>145</v>
      </c>
      <c r="F4760">
        <v>9</v>
      </c>
      <c r="G4760">
        <v>30</v>
      </c>
      <c r="H4760">
        <v>25</v>
      </c>
      <c r="I4760">
        <v>796</v>
      </c>
      <c r="J4760">
        <v>0</v>
      </c>
      <c r="K4760">
        <v>5.3079999999999998</v>
      </c>
      <c r="L4760">
        <v>15.620000000000001</v>
      </c>
      <c r="M4760">
        <v>135.68550000000002</v>
      </c>
      <c r="N4760">
        <v>18.53</v>
      </c>
      <c r="O4760">
        <v>1679</v>
      </c>
      <c r="P4760">
        <v>0</v>
      </c>
      <c r="Q4760" s="5" t="e">
        <f>IF(AND(#REF!&gt;=table!$C$6,#REF!&lt;= table!$D$6),-1,IF(AND(#REF!&gt;=table!$E$6,#REF!&lt;=table!$F$6),1,0))</f>
        <v>#REF!</v>
      </c>
      <c r="R4760" s="5" t="e">
        <f>IF(AND(#REF!&gt;=table!$C$7,#REF!&lt;= table!$D$7),-1,IF(AND(#REF!&gt;=table!$E$7,#REF!&lt;=table!$F$7),1,0))</f>
        <v>#REF!</v>
      </c>
      <c r="S4760" s="5" t="e">
        <f>IF(AND(#REF!&gt;=table!$C$8,#REF!&lt;= table!$D$8),-1,IF(AND(#REF!&gt;=table!$E$8,#REF!&lt;=table!$F$8),1,0))</f>
        <v>#REF!</v>
      </c>
      <c r="T4760" s="5"/>
      <c r="U4760" s="5" t="e">
        <f>IF(AND(#REF!&gt;=table!$C$10,#REF!&lt;= table!$D$10),-1,IF(AND(#REF!&gt;=table!$E$10,#REF!&lt;=table!$F$10),1,0))</f>
        <v>#REF!</v>
      </c>
      <c r="V4760" s="5" t="e">
        <f>IF(AND(#REF!&gt;=table!$C$11,#REF!&lt;= table!$D$11),-1,IF(AND(#REF!&gt;=table!$E$11,#REF!&lt;=table!$F$11),1,0))</f>
        <v>#REF!</v>
      </c>
      <c r="W4760" s="5" t="e">
        <f>CONCATENATE(dados[[#This Row],[fator1]],dados[[#This Row],[fator5]],dados[[#This Row],[fator6]])</f>
        <v>#REF!</v>
      </c>
    </row>
    <row r="4761" spans="1:23">
      <c r="A4761" t="s">
        <v>16</v>
      </c>
      <c r="B4761">
        <v>590943</v>
      </c>
      <c r="C4761">
        <v>0.15</v>
      </c>
      <c r="D4761">
        <v>40</v>
      </c>
      <c r="E4761">
        <v>10</v>
      </c>
      <c r="F4761">
        <v>15</v>
      </c>
      <c r="G4761">
        <v>0</v>
      </c>
      <c r="H4761">
        <v>15</v>
      </c>
      <c r="I4761">
        <v>1287</v>
      </c>
      <c r="J4761">
        <v>0</v>
      </c>
      <c r="K4761">
        <v>4.3975</v>
      </c>
      <c r="L4761">
        <v>9.0519999999999996</v>
      </c>
      <c r="M4761">
        <v>8.5590000000000011</v>
      </c>
      <c r="N4761">
        <v>10.715</v>
      </c>
      <c r="O4761">
        <v>1685</v>
      </c>
      <c r="P4761">
        <v>842</v>
      </c>
      <c r="Q4761" s="5" t="e">
        <f>IF(AND(#REF!&gt;=table!$C$6,#REF!&lt;= table!$D$6),-1,IF(AND(#REF!&gt;=table!$E$6,#REF!&lt;=table!$F$6),1,0))</f>
        <v>#REF!</v>
      </c>
      <c r="R4761" s="5" t="e">
        <f>IF(AND(#REF!&gt;=table!$C$7,#REF!&lt;= table!$D$7),-1,IF(AND(#REF!&gt;=table!$E$7,#REF!&lt;=table!$F$7),1,0))</f>
        <v>#REF!</v>
      </c>
      <c r="S4761" s="5" t="e">
        <f>IF(AND(#REF!&gt;=table!$C$8,#REF!&lt;= table!$D$8),-1,IF(AND(#REF!&gt;=table!$E$8,#REF!&lt;=table!$F$8),1,0))</f>
        <v>#REF!</v>
      </c>
      <c r="T4761" s="5"/>
      <c r="U4761" s="5" t="e">
        <f>IF(AND(#REF!&gt;=table!$C$10,#REF!&lt;= table!$D$10),-1,IF(AND(#REF!&gt;=table!$E$10,#REF!&lt;=table!$F$10),1,0))</f>
        <v>#REF!</v>
      </c>
      <c r="V4761" s="5" t="e">
        <f>IF(AND(#REF!&gt;=table!$C$11,#REF!&lt;= table!$D$11),-1,IF(AND(#REF!&gt;=table!$E$11,#REF!&lt;=table!$F$11),1,0))</f>
        <v>#REF!</v>
      </c>
      <c r="W4761" s="5" t="e">
        <f>CONCATENATE(dados[[#This Row],[fator1]],dados[[#This Row],[fator5]],dados[[#This Row],[fator6]])</f>
        <v>#REF!</v>
      </c>
    </row>
    <row r="4762" spans="1:23">
      <c r="A4762" t="s">
        <v>16</v>
      </c>
      <c r="B4762">
        <v>590945</v>
      </c>
      <c r="C4762">
        <v>0.15</v>
      </c>
      <c r="D4762">
        <v>40</v>
      </c>
      <c r="E4762">
        <v>10</v>
      </c>
      <c r="F4762">
        <v>15</v>
      </c>
      <c r="G4762">
        <v>0</v>
      </c>
      <c r="H4762">
        <v>15</v>
      </c>
      <c r="I4762">
        <v>1353</v>
      </c>
      <c r="J4762">
        <v>0</v>
      </c>
      <c r="K4762">
        <v>5.8155000000000001</v>
      </c>
      <c r="L4762">
        <v>8.5670000000000002</v>
      </c>
      <c r="M4762">
        <v>8.1330000000000009</v>
      </c>
      <c r="N4762">
        <v>8.83</v>
      </c>
      <c r="O4762">
        <v>1665</v>
      </c>
      <c r="P4762">
        <v>693</v>
      </c>
      <c r="Q4762" s="5" t="e">
        <f>IF(AND(#REF!&gt;=table!$C$6,#REF!&lt;= table!$D$6),-1,IF(AND(#REF!&gt;=table!$E$6,#REF!&lt;=table!$F$6),1,0))</f>
        <v>#REF!</v>
      </c>
      <c r="R4762" s="5" t="e">
        <f>IF(AND(#REF!&gt;=table!$C$7,#REF!&lt;= table!$D$7),-1,IF(AND(#REF!&gt;=table!$E$7,#REF!&lt;=table!$F$7),1,0))</f>
        <v>#REF!</v>
      </c>
      <c r="S4762" s="5" t="e">
        <f>IF(AND(#REF!&gt;=table!$C$8,#REF!&lt;= table!$D$8),-1,IF(AND(#REF!&gt;=table!$E$8,#REF!&lt;=table!$F$8),1,0))</f>
        <v>#REF!</v>
      </c>
      <c r="T4762" s="5"/>
      <c r="U4762" s="5" t="e">
        <f>IF(AND(#REF!&gt;=table!$C$10,#REF!&lt;= table!$D$10),-1,IF(AND(#REF!&gt;=table!$E$10,#REF!&lt;=table!$F$10),1,0))</f>
        <v>#REF!</v>
      </c>
      <c r="V4762" s="5" t="e">
        <f>IF(AND(#REF!&gt;=table!$C$11,#REF!&lt;= table!$D$11),-1,IF(AND(#REF!&gt;=table!$E$11,#REF!&lt;=table!$F$11),1,0))</f>
        <v>#REF!</v>
      </c>
      <c r="W4762" s="5" t="e">
        <f>CONCATENATE(dados[[#This Row],[fator1]],dados[[#This Row],[fator5]],dados[[#This Row],[fator6]])</f>
        <v>#REF!</v>
      </c>
    </row>
    <row r="4763" spans="1:23">
      <c r="A4763" t="s">
        <v>16</v>
      </c>
      <c r="B4763">
        <v>590946</v>
      </c>
      <c r="C4763">
        <v>0.15</v>
      </c>
      <c r="D4763">
        <v>40</v>
      </c>
      <c r="E4763">
        <v>10</v>
      </c>
      <c r="F4763">
        <v>15</v>
      </c>
      <c r="G4763">
        <v>0</v>
      </c>
      <c r="H4763">
        <v>15</v>
      </c>
      <c r="I4763">
        <v>325</v>
      </c>
      <c r="J4763">
        <v>0</v>
      </c>
      <c r="K4763">
        <v>4.4984999999999999</v>
      </c>
      <c r="L4763">
        <v>8.4550000000000001</v>
      </c>
      <c r="M4763">
        <v>7.1995000000000005</v>
      </c>
      <c r="N4763">
        <v>13.040000000000001</v>
      </c>
      <c r="O4763">
        <v>1699</v>
      </c>
      <c r="P4763">
        <v>1057</v>
      </c>
      <c r="Q4763" s="5" t="e">
        <f>IF(AND(#REF!&gt;=table!$C$6,#REF!&lt;= table!$D$6),-1,IF(AND(#REF!&gt;=table!$E$6,#REF!&lt;=table!$F$6),1,0))</f>
        <v>#REF!</v>
      </c>
      <c r="R4763" s="5" t="e">
        <f>IF(AND(#REF!&gt;=table!$C$7,#REF!&lt;= table!$D$7),-1,IF(AND(#REF!&gt;=table!$E$7,#REF!&lt;=table!$F$7),1,0))</f>
        <v>#REF!</v>
      </c>
      <c r="S4763" s="5" t="e">
        <f>IF(AND(#REF!&gt;=table!$C$8,#REF!&lt;= table!$D$8),-1,IF(AND(#REF!&gt;=table!$E$8,#REF!&lt;=table!$F$8),1,0))</f>
        <v>#REF!</v>
      </c>
      <c r="T4763" s="5"/>
      <c r="U4763" s="5" t="e">
        <f>IF(AND(#REF!&gt;=table!$C$10,#REF!&lt;= table!$D$10),-1,IF(AND(#REF!&gt;=table!$E$10,#REF!&lt;=table!$F$10),1,0))</f>
        <v>#REF!</v>
      </c>
      <c r="V4763" s="5" t="e">
        <f>IF(AND(#REF!&gt;=table!$C$11,#REF!&lt;= table!$D$11),-1,IF(AND(#REF!&gt;=table!$E$11,#REF!&lt;=table!$F$11),1,0))</f>
        <v>#REF!</v>
      </c>
      <c r="W4763" s="5" t="e">
        <f>CONCATENATE(dados[[#This Row],[fator1]],dados[[#This Row],[fator5]],dados[[#This Row],[fator6]])</f>
        <v>#REF!</v>
      </c>
    </row>
    <row r="4764" spans="1:23">
      <c r="A4764" t="s">
        <v>16</v>
      </c>
      <c r="B4764">
        <v>590952</v>
      </c>
      <c r="C4764">
        <v>0.15</v>
      </c>
      <c r="D4764">
        <v>40</v>
      </c>
      <c r="E4764">
        <v>10</v>
      </c>
      <c r="F4764">
        <v>15</v>
      </c>
      <c r="G4764">
        <v>0</v>
      </c>
      <c r="H4764">
        <v>15</v>
      </c>
      <c r="I4764">
        <v>1243</v>
      </c>
      <c r="J4764">
        <v>0</v>
      </c>
      <c r="K4764">
        <v>2.9430000000000001</v>
      </c>
      <c r="L4764">
        <v>7.9165000000000001</v>
      </c>
      <c r="M4764">
        <v>6.2895000000000003</v>
      </c>
      <c r="N4764">
        <v>10.98</v>
      </c>
      <c r="O4764">
        <v>1668</v>
      </c>
      <c r="P4764">
        <v>0</v>
      </c>
      <c r="Q4764" s="5" t="e">
        <f>IF(AND(#REF!&gt;=table!$C$6,#REF!&lt;= table!$D$6),-1,IF(AND(#REF!&gt;=table!$E$6,#REF!&lt;=table!$F$6),1,0))</f>
        <v>#REF!</v>
      </c>
      <c r="R4764" s="5" t="e">
        <f>IF(AND(#REF!&gt;=table!$C$7,#REF!&lt;= table!$D$7),-1,IF(AND(#REF!&gt;=table!$E$7,#REF!&lt;=table!$F$7),1,0))</f>
        <v>#REF!</v>
      </c>
      <c r="S4764" s="5" t="e">
        <f>IF(AND(#REF!&gt;=table!$C$8,#REF!&lt;= table!$D$8),-1,IF(AND(#REF!&gt;=table!$E$8,#REF!&lt;=table!$F$8),1,0))</f>
        <v>#REF!</v>
      </c>
      <c r="T4764" s="5"/>
      <c r="U4764" s="5" t="e">
        <f>IF(AND(#REF!&gt;=table!$C$10,#REF!&lt;= table!$D$10),-1,IF(AND(#REF!&gt;=table!$E$10,#REF!&lt;=table!$F$10),1,0))</f>
        <v>#REF!</v>
      </c>
      <c r="V4764" s="5" t="e">
        <f>IF(AND(#REF!&gt;=table!$C$11,#REF!&lt;= table!$D$11),-1,IF(AND(#REF!&gt;=table!$E$11,#REF!&lt;=table!$F$11),1,0))</f>
        <v>#REF!</v>
      </c>
      <c r="W4764" s="5" t="e">
        <f>CONCATENATE(dados[[#This Row],[fator1]],dados[[#This Row],[fator5]],dados[[#This Row],[fator6]])</f>
        <v>#REF!</v>
      </c>
    </row>
    <row r="4765" spans="1:23">
      <c r="A4765" t="s">
        <v>16</v>
      </c>
      <c r="B4765">
        <v>590958</v>
      </c>
      <c r="C4765">
        <v>13</v>
      </c>
      <c r="D4765">
        <v>35</v>
      </c>
      <c r="E4765">
        <v>120</v>
      </c>
      <c r="F4765">
        <v>10</v>
      </c>
      <c r="G4765">
        <v>0</v>
      </c>
      <c r="H4765">
        <v>25</v>
      </c>
      <c r="I4765">
        <v>758</v>
      </c>
      <c r="J4765">
        <v>0</v>
      </c>
      <c r="K4765">
        <v>3.5235000000000003</v>
      </c>
      <c r="L4765">
        <v>11.955</v>
      </c>
      <c r="M4765">
        <v>89.741</v>
      </c>
      <c r="N4765">
        <v>21.385000000000002</v>
      </c>
      <c r="O4765">
        <v>1682</v>
      </c>
      <c r="P4765">
        <v>1038</v>
      </c>
      <c r="Q4765" s="5" t="e">
        <f>IF(AND(#REF!&gt;=table!$C$6,#REF!&lt;= table!$D$6),-1,IF(AND(#REF!&gt;=table!$E$6,#REF!&lt;=table!$F$6),1,0))</f>
        <v>#REF!</v>
      </c>
      <c r="R4765" s="5" t="e">
        <f>IF(AND(#REF!&gt;=table!$C$7,#REF!&lt;= table!$D$7),-1,IF(AND(#REF!&gt;=table!$E$7,#REF!&lt;=table!$F$7),1,0))</f>
        <v>#REF!</v>
      </c>
      <c r="S4765" s="5" t="e">
        <f>IF(AND(#REF!&gt;=table!$C$8,#REF!&lt;= table!$D$8),-1,IF(AND(#REF!&gt;=table!$E$8,#REF!&lt;=table!$F$8),1,0))</f>
        <v>#REF!</v>
      </c>
      <c r="T4765" s="5"/>
      <c r="U4765" s="5" t="e">
        <f>IF(AND(#REF!&gt;=table!$C$10,#REF!&lt;= table!$D$10),-1,IF(AND(#REF!&gt;=table!$E$10,#REF!&lt;=table!$F$10),1,0))</f>
        <v>#REF!</v>
      </c>
      <c r="V4765" s="5" t="e">
        <f>IF(AND(#REF!&gt;=table!$C$11,#REF!&lt;= table!$D$11),-1,IF(AND(#REF!&gt;=table!$E$11,#REF!&lt;=table!$F$11),1,0))</f>
        <v>#REF!</v>
      </c>
      <c r="W4765" s="5" t="e">
        <f>CONCATENATE(dados[[#This Row],[fator1]],dados[[#This Row],[fator5]],dados[[#This Row],[fator6]])</f>
        <v>#REF!</v>
      </c>
    </row>
    <row r="4766" spans="1:23">
      <c r="A4766" t="s">
        <v>16</v>
      </c>
      <c r="B4766">
        <v>590964</v>
      </c>
      <c r="C4766">
        <v>13</v>
      </c>
      <c r="D4766">
        <v>35</v>
      </c>
      <c r="E4766">
        <v>120</v>
      </c>
      <c r="F4766">
        <v>10</v>
      </c>
      <c r="G4766">
        <v>0</v>
      </c>
      <c r="H4766">
        <v>25</v>
      </c>
      <c r="I4766">
        <v>26</v>
      </c>
      <c r="J4766">
        <v>0</v>
      </c>
      <c r="K4766">
        <v>3.4425000000000003</v>
      </c>
      <c r="L4766">
        <v>14.303500000000001</v>
      </c>
      <c r="M4766">
        <v>101.2055</v>
      </c>
      <c r="N4766">
        <v>20.505000000000003</v>
      </c>
      <c r="O4766">
        <v>1695</v>
      </c>
      <c r="P4766">
        <v>1170</v>
      </c>
      <c r="Q4766" s="5" t="e">
        <f>IF(AND(#REF!&gt;=table!$C$6,#REF!&lt;= table!$D$6),-1,IF(AND(#REF!&gt;=table!$E$6,#REF!&lt;=table!$F$6),1,0))</f>
        <v>#REF!</v>
      </c>
      <c r="R4766" s="5" t="e">
        <f>IF(AND(#REF!&gt;=table!$C$7,#REF!&lt;= table!$D$7),-1,IF(AND(#REF!&gt;=table!$E$7,#REF!&lt;=table!$F$7),1,0))</f>
        <v>#REF!</v>
      </c>
      <c r="S4766" s="5" t="e">
        <f>IF(AND(#REF!&gt;=table!$C$8,#REF!&lt;= table!$D$8),-1,IF(AND(#REF!&gt;=table!$E$8,#REF!&lt;=table!$F$8),1,0))</f>
        <v>#REF!</v>
      </c>
      <c r="T4766" s="5"/>
      <c r="U4766" s="5" t="e">
        <f>IF(AND(#REF!&gt;=table!$C$10,#REF!&lt;= table!$D$10),-1,IF(AND(#REF!&gt;=table!$E$10,#REF!&lt;=table!$F$10),1,0))</f>
        <v>#REF!</v>
      </c>
      <c r="V4766" s="5" t="e">
        <f>IF(AND(#REF!&gt;=table!$C$11,#REF!&lt;= table!$D$11),-1,IF(AND(#REF!&gt;=table!$E$11,#REF!&lt;=table!$F$11),1,0))</f>
        <v>#REF!</v>
      </c>
      <c r="W4766" s="5" t="e">
        <f>CONCATENATE(dados[[#This Row],[fator1]],dados[[#This Row],[fator5]],dados[[#This Row],[fator6]])</f>
        <v>#REF!</v>
      </c>
    </row>
    <row r="4767" spans="1:23">
      <c r="A4767" t="s">
        <v>16</v>
      </c>
      <c r="B4767">
        <v>590969</v>
      </c>
      <c r="C4767">
        <v>12</v>
      </c>
      <c r="D4767">
        <v>35</v>
      </c>
      <c r="E4767">
        <v>180</v>
      </c>
      <c r="F4767">
        <v>6</v>
      </c>
      <c r="G4767">
        <v>0</v>
      </c>
      <c r="H4767">
        <v>20</v>
      </c>
      <c r="I4767">
        <v>119</v>
      </c>
      <c r="J4767">
        <v>0</v>
      </c>
      <c r="K4767">
        <v>3.8425000000000002</v>
      </c>
      <c r="L4767">
        <v>7.4255000000000004</v>
      </c>
      <c r="M4767">
        <v>155.774</v>
      </c>
      <c r="N4767">
        <v>11.045</v>
      </c>
      <c r="O4767">
        <v>1666</v>
      </c>
      <c r="P4767">
        <v>0</v>
      </c>
      <c r="Q4767" s="5" t="e">
        <f>IF(AND(#REF!&gt;=table!$C$6,#REF!&lt;= table!$D$6),-1,IF(AND(#REF!&gt;=table!$E$6,#REF!&lt;=table!$F$6),1,0))</f>
        <v>#REF!</v>
      </c>
      <c r="R4767" s="5" t="e">
        <f>IF(AND(#REF!&gt;=table!$C$7,#REF!&lt;= table!$D$7),-1,IF(AND(#REF!&gt;=table!$E$7,#REF!&lt;=table!$F$7),1,0))</f>
        <v>#REF!</v>
      </c>
      <c r="S4767" s="5" t="e">
        <f>IF(AND(#REF!&gt;=table!$C$8,#REF!&lt;= table!$D$8),-1,IF(AND(#REF!&gt;=table!$E$8,#REF!&lt;=table!$F$8),1,0))</f>
        <v>#REF!</v>
      </c>
      <c r="T4767" s="5"/>
      <c r="U4767" s="5" t="e">
        <f>IF(AND(#REF!&gt;=table!$C$10,#REF!&lt;= table!$D$10),-1,IF(AND(#REF!&gt;=table!$E$10,#REF!&lt;=table!$F$10),1,0))</f>
        <v>#REF!</v>
      </c>
      <c r="V4767" s="5" t="e">
        <f>IF(AND(#REF!&gt;=table!$C$11,#REF!&lt;= table!$D$11),-1,IF(AND(#REF!&gt;=table!$E$11,#REF!&lt;=table!$F$11),1,0))</f>
        <v>#REF!</v>
      </c>
      <c r="W4767" s="5" t="e">
        <f>CONCATENATE(dados[[#This Row],[fator1]],dados[[#This Row],[fator5]],dados[[#This Row],[fator6]])</f>
        <v>#REF!</v>
      </c>
    </row>
    <row r="4768" spans="1:23">
      <c r="A4768" t="s">
        <v>16</v>
      </c>
      <c r="B4768">
        <v>590971</v>
      </c>
      <c r="C4768">
        <v>7</v>
      </c>
      <c r="D4768">
        <v>35</v>
      </c>
      <c r="E4768">
        <v>170</v>
      </c>
      <c r="F4768">
        <v>6</v>
      </c>
      <c r="G4768">
        <v>0</v>
      </c>
      <c r="H4768">
        <v>20</v>
      </c>
      <c r="I4768">
        <v>52</v>
      </c>
      <c r="J4768">
        <v>0</v>
      </c>
      <c r="K4768">
        <v>3.988</v>
      </c>
      <c r="L4768">
        <v>8.2055000000000007</v>
      </c>
      <c r="M4768">
        <v>132.89100000000002</v>
      </c>
      <c r="N4768">
        <v>13.585000000000001</v>
      </c>
      <c r="O4768">
        <v>1683</v>
      </c>
      <c r="P4768">
        <v>959</v>
      </c>
      <c r="Q4768" s="5" t="e">
        <f>IF(AND(#REF!&gt;=table!$C$6,#REF!&lt;= table!$D$6),-1,IF(AND(#REF!&gt;=table!$E$6,#REF!&lt;=table!$F$6),1,0))</f>
        <v>#REF!</v>
      </c>
      <c r="R4768" s="5" t="e">
        <f>IF(AND(#REF!&gt;=table!$C$7,#REF!&lt;= table!$D$7),-1,IF(AND(#REF!&gt;=table!$E$7,#REF!&lt;=table!$F$7),1,0))</f>
        <v>#REF!</v>
      </c>
      <c r="S4768" s="5" t="e">
        <f>IF(AND(#REF!&gt;=table!$C$8,#REF!&lt;= table!$D$8),-1,IF(AND(#REF!&gt;=table!$E$8,#REF!&lt;=table!$F$8),1,0))</f>
        <v>#REF!</v>
      </c>
      <c r="T4768" s="5"/>
      <c r="U4768" s="5" t="e">
        <f>IF(AND(#REF!&gt;=table!$C$10,#REF!&lt;= table!$D$10),-1,IF(AND(#REF!&gt;=table!$E$10,#REF!&lt;=table!$F$10),1,0))</f>
        <v>#REF!</v>
      </c>
      <c r="V4768" s="5" t="e">
        <f>IF(AND(#REF!&gt;=table!$C$11,#REF!&lt;= table!$D$11),-1,IF(AND(#REF!&gt;=table!$E$11,#REF!&lt;=table!$F$11),1,0))</f>
        <v>#REF!</v>
      </c>
      <c r="W4768" s="5" t="e">
        <f>CONCATENATE(dados[[#This Row],[fator1]],dados[[#This Row],[fator5]],dados[[#This Row],[fator6]])</f>
        <v>#REF!</v>
      </c>
    </row>
    <row r="4769" spans="1:23">
      <c r="A4769" t="s">
        <v>16</v>
      </c>
      <c r="B4769">
        <v>590973</v>
      </c>
      <c r="C4769">
        <v>0.15</v>
      </c>
      <c r="D4769">
        <v>40</v>
      </c>
      <c r="E4769">
        <v>10</v>
      </c>
      <c r="F4769">
        <v>15</v>
      </c>
      <c r="G4769">
        <v>0</v>
      </c>
      <c r="H4769">
        <v>15</v>
      </c>
      <c r="I4769">
        <v>53</v>
      </c>
      <c r="J4769">
        <v>0</v>
      </c>
      <c r="K4769">
        <v>5.4390000000000001</v>
      </c>
      <c r="L4769">
        <v>7.9080000000000004</v>
      </c>
      <c r="M4769">
        <v>7.2815000000000003</v>
      </c>
      <c r="N4769">
        <v>8.1999999999999993</v>
      </c>
      <c r="O4769">
        <v>1667</v>
      </c>
      <c r="P4769">
        <v>568</v>
      </c>
      <c r="Q4769" s="5" t="e">
        <f>IF(AND(#REF!&gt;=table!$C$6,#REF!&lt;= table!$D$6),-1,IF(AND(#REF!&gt;=table!$E$6,#REF!&lt;=table!$F$6),1,0))</f>
        <v>#REF!</v>
      </c>
      <c r="R4769" s="5" t="e">
        <f>IF(AND(#REF!&gt;=table!$C$7,#REF!&lt;= table!$D$7),-1,IF(AND(#REF!&gt;=table!$E$7,#REF!&lt;=table!$F$7),1,0))</f>
        <v>#REF!</v>
      </c>
      <c r="S4769" s="5" t="e">
        <f>IF(AND(#REF!&gt;=table!$C$8,#REF!&lt;= table!$D$8),-1,IF(AND(#REF!&gt;=table!$E$8,#REF!&lt;=table!$F$8),1,0))</f>
        <v>#REF!</v>
      </c>
      <c r="T4769" s="5"/>
      <c r="U4769" s="5" t="e">
        <f>IF(AND(#REF!&gt;=table!$C$10,#REF!&lt;= table!$D$10),-1,IF(AND(#REF!&gt;=table!$E$10,#REF!&lt;=table!$F$10),1,0))</f>
        <v>#REF!</v>
      </c>
      <c r="V4769" s="5" t="e">
        <f>IF(AND(#REF!&gt;=table!$C$11,#REF!&lt;= table!$D$11),-1,IF(AND(#REF!&gt;=table!$E$11,#REF!&lt;=table!$F$11),1,0))</f>
        <v>#REF!</v>
      </c>
      <c r="W4769" s="5" t="e">
        <f>CONCATENATE(dados[[#This Row],[fator1]],dados[[#This Row],[fator5]],dados[[#This Row],[fator6]])</f>
        <v>#REF!</v>
      </c>
    </row>
    <row r="4770" spans="1:23">
      <c r="A4770" t="s">
        <v>16</v>
      </c>
      <c r="B4770">
        <v>590975</v>
      </c>
      <c r="C4770">
        <v>0.15</v>
      </c>
      <c r="D4770">
        <v>40</v>
      </c>
      <c r="E4770">
        <v>10</v>
      </c>
      <c r="F4770">
        <v>15</v>
      </c>
      <c r="G4770">
        <v>0</v>
      </c>
      <c r="H4770">
        <v>15</v>
      </c>
      <c r="I4770">
        <v>1464</v>
      </c>
      <c r="J4770">
        <v>0</v>
      </c>
      <c r="K4770">
        <v>3.274</v>
      </c>
      <c r="L4770">
        <v>7.2205000000000004</v>
      </c>
      <c r="M4770">
        <v>6.6325000000000003</v>
      </c>
      <c r="N4770">
        <v>13.39</v>
      </c>
      <c r="O4770">
        <v>1678</v>
      </c>
      <c r="P4770">
        <v>1281</v>
      </c>
      <c r="Q4770" s="5" t="e">
        <f>IF(AND(#REF!&gt;=table!$C$6,#REF!&lt;= table!$D$6),-1,IF(AND(#REF!&gt;=table!$E$6,#REF!&lt;=table!$F$6),1,0))</f>
        <v>#REF!</v>
      </c>
      <c r="R4770" s="5" t="e">
        <f>IF(AND(#REF!&gt;=table!$C$7,#REF!&lt;= table!$D$7),-1,IF(AND(#REF!&gt;=table!$E$7,#REF!&lt;=table!$F$7),1,0))</f>
        <v>#REF!</v>
      </c>
      <c r="S4770" s="5" t="e">
        <f>IF(AND(#REF!&gt;=table!$C$8,#REF!&lt;= table!$D$8),-1,IF(AND(#REF!&gt;=table!$E$8,#REF!&lt;=table!$F$8),1,0))</f>
        <v>#REF!</v>
      </c>
      <c r="T4770" s="5"/>
      <c r="U4770" s="5" t="e">
        <f>IF(AND(#REF!&gt;=table!$C$10,#REF!&lt;= table!$D$10),-1,IF(AND(#REF!&gt;=table!$E$10,#REF!&lt;=table!$F$10),1,0))</f>
        <v>#REF!</v>
      </c>
      <c r="V4770" s="5" t="e">
        <f>IF(AND(#REF!&gt;=table!$C$11,#REF!&lt;= table!$D$11),-1,IF(AND(#REF!&gt;=table!$E$11,#REF!&lt;=table!$F$11),1,0))</f>
        <v>#REF!</v>
      </c>
      <c r="W4770" s="5" t="e">
        <f>CONCATENATE(dados[[#This Row],[fator1]],dados[[#This Row],[fator5]],dados[[#This Row],[fator6]])</f>
        <v>#REF!</v>
      </c>
    </row>
    <row r="4771" spans="1:23">
      <c r="A4771" t="s">
        <v>16</v>
      </c>
      <c r="B4771">
        <v>590976</v>
      </c>
      <c r="C4771">
        <v>0.15</v>
      </c>
      <c r="D4771">
        <v>40</v>
      </c>
      <c r="E4771">
        <v>10</v>
      </c>
      <c r="F4771">
        <v>15</v>
      </c>
      <c r="G4771">
        <v>0</v>
      </c>
      <c r="H4771">
        <v>15</v>
      </c>
      <c r="I4771">
        <v>668</v>
      </c>
      <c r="J4771">
        <v>0</v>
      </c>
      <c r="K4771">
        <v>4.2130000000000001</v>
      </c>
      <c r="L4771">
        <v>8.5995000000000008</v>
      </c>
      <c r="M4771">
        <v>7.9125000000000005</v>
      </c>
      <c r="N4771">
        <v>12.01</v>
      </c>
      <c r="O4771">
        <v>1673</v>
      </c>
      <c r="P4771">
        <v>971</v>
      </c>
      <c r="Q4771" s="5" t="e">
        <f>IF(AND(#REF!&gt;=table!$C$6,#REF!&lt;= table!$D$6),-1,IF(AND(#REF!&gt;=table!$E$6,#REF!&lt;=table!$F$6),1,0))</f>
        <v>#REF!</v>
      </c>
      <c r="R4771" s="5" t="e">
        <f>IF(AND(#REF!&gt;=table!$C$7,#REF!&lt;= table!$D$7),-1,IF(AND(#REF!&gt;=table!$E$7,#REF!&lt;=table!$F$7),1,0))</f>
        <v>#REF!</v>
      </c>
      <c r="S4771" s="5" t="e">
        <f>IF(AND(#REF!&gt;=table!$C$8,#REF!&lt;= table!$D$8),-1,IF(AND(#REF!&gt;=table!$E$8,#REF!&lt;=table!$F$8),1,0))</f>
        <v>#REF!</v>
      </c>
      <c r="T4771" s="5"/>
      <c r="U4771" s="5" t="e">
        <f>IF(AND(#REF!&gt;=table!$C$10,#REF!&lt;= table!$D$10),-1,IF(AND(#REF!&gt;=table!$E$10,#REF!&lt;=table!$F$10),1,0))</f>
        <v>#REF!</v>
      </c>
      <c r="V4771" s="5" t="e">
        <f>IF(AND(#REF!&gt;=table!$C$11,#REF!&lt;= table!$D$11),-1,IF(AND(#REF!&gt;=table!$E$11,#REF!&lt;=table!$F$11),1,0))</f>
        <v>#REF!</v>
      </c>
      <c r="W4771" s="5" t="e">
        <f>CONCATENATE(dados[[#This Row],[fator1]],dados[[#This Row],[fator5]],dados[[#This Row],[fator6]])</f>
        <v>#REF!</v>
      </c>
    </row>
    <row r="4772" spans="1:23">
      <c r="A4772" t="s">
        <v>17</v>
      </c>
      <c r="B4772">
        <v>590977</v>
      </c>
      <c r="C4772">
        <v>16</v>
      </c>
      <c r="D4772">
        <v>30</v>
      </c>
      <c r="E4772">
        <v>106</v>
      </c>
      <c r="F4772">
        <v>6</v>
      </c>
      <c r="G4772">
        <v>20</v>
      </c>
      <c r="H4772">
        <v>25</v>
      </c>
      <c r="I4772">
        <v>219</v>
      </c>
      <c r="J4772">
        <v>0</v>
      </c>
      <c r="K4772">
        <v>2.8805000000000001</v>
      </c>
      <c r="L4772">
        <v>9.6974999999999998</v>
      </c>
      <c r="M4772">
        <v>88.623000000000005</v>
      </c>
      <c r="N4772">
        <v>15.83</v>
      </c>
      <c r="O4772">
        <v>1690</v>
      </c>
      <c r="P4772">
        <v>0</v>
      </c>
      <c r="Q4772" s="5" t="e">
        <f>IF(AND(#REF!&gt;=table!$C$6,#REF!&lt;= table!$D$6),-1,IF(AND(#REF!&gt;=table!$E$6,#REF!&lt;=table!$F$6),1,0))</f>
        <v>#REF!</v>
      </c>
      <c r="R4772" s="5" t="e">
        <f>IF(AND(#REF!&gt;=table!$C$7,#REF!&lt;= table!$D$7),-1,IF(AND(#REF!&gt;=table!$E$7,#REF!&lt;=table!$F$7),1,0))</f>
        <v>#REF!</v>
      </c>
      <c r="S4772" s="5" t="e">
        <f>IF(AND(#REF!&gt;=table!$C$8,#REF!&lt;= table!$D$8),-1,IF(AND(#REF!&gt;=table!$E$8,#REF!&lt;=table!$F$8),1,0))</f>
        <v>#REF!</v>
      </c>
      <c r="T4772" s="5"/>
      <c r="U4772" s="5" t="e">
        <f>IF(AND(#REF!&gt;=table!$C$10,#REF!&lt;= table!$D$10),-1,IF(AND(#REF!&gt;=table!$E$10,#REF!&lt;=table!$F$10),1,0))</f>
        <v>#REF!</v>
      </c>
      <c r="V4772" s="5" t="e">
        <f>IF(AND(#REF!&gt;=table!$C$11,#REF!&lt;= table!$D$11),-1,IF(AND(#REF!&gt;=table!$E$11,#REF!&lt;=table!$F$11),1,0))</f>
        <v>#REF!</v>
      </c>
      <c r="W4772" s="5" t="e">
        <f>CONCATENATE(dados[[#This Row],[fator1]],dados[[#This Row],[fator5]],dados[[#This Row],[fator6]])</f>
        <v>#REF!</v>
      </c>
    </row>
    <row r="4773" spans="1:23">
      <c r="A4773" t="s">
        <v>17</v>
      </c>
      <c r="B4773">
        <v>590978</v>
      </c>
      <c r="C4773">
        <v>16</v>
      </c>
      <c r="D4773">
        <v>30</v>
      </c>
      <c r="E4773">
        <v>106</v>
      </c>
      <c r="F4773">
        <v>9</v>
      </c>
      <c r="G4773">
        <v>20</v>
      </c>
      <c r="H4773">
        <v>25</v>
      </c>
      <c r="I4773">
        <v>176</v>
      </c>
      <c r="J4773">
        <v>0</v>
      </c>
      <c r="K4773">
        <v>10.613000000000001</v>
      </c>
      <c r="L4773">
        <v>24.217000000000002</v>
      </c>
      <c r="M4773">
        <v>113.7325</v>
      </c>
      <c r="N4773">
        <v>20.105</v>
      </c>
      <c r="O4773">
        <v>1648</v>
      </c>
      <c r="P4773">
        <v>297</v>
      </c>
      <c r="Q4773" s="5" t="e">
        <f>IF(AND(#REF!&gt;=table!$C$6,#REF!&lt;= table!$D$6),-1,IF(AND(#REF!&gt;=table!$E$6,#REF!&lt;=table!$F$6),1,0))</f>
        <v>#REF!</v>
      </c>
      <c r="R4773" s="5" t="e">
        <f>IF(AND(#REF!&gt;=table!$C$7,#REF!&lt;= table!$D$7),-1,IF(AND(#REF!&gt;=table!$E$7,#REF!&lt;=table!$F$7),1,0))</f>
        <v>#REF!</v>
      </c>
      <c r="S4773" s="5" t="e">
        <f>IF(AND(#REF!&gt;=table!$C$8,#REF!&lt;= table!$D$8),-1,IF(AND(#REF!&gt;=table!$E$8,#REF!&lt;=table!$F$8),1,0))</f>
        <v>#REF!</v>
      </c>
      <c r="T4773" s="5"/>
      <c r="U4773" s="5" t="e">
        <f>IF(AND(#REF!&gt;=table!$C$10,#REF!&lt;= table!$D$10),-1,IF(AND(#REF!&gt;=table!$E$10,#REF!&lt;=table!$F$10),1,0))</f>
        <v>#REF!</v>
      </c>
      <c r="V4773" s="5" t="e">
        <f>IF(AND(#REF!&gt;=table!$C$11,#REF!&lt;= table!$D$11),-1,IF(AND(#REF!&gt;=table!$E$11,#REF!&lt;=table!$F$11),1,0))</f>
        <v>#REF!</v>
      </c>
      <c r="W4773" s="5" t="e">
        <f>CONCATENATE(dados[[#This Row],[fator1]],dados[[#This Row],[fator5]],dados[[#This Row],[fator6]])</f>
        <v>#REF!</v>
      </c>
    </row>
    <row r="4774" spans="1:23">
      <c r="A4774" t="s">
        <v>16</v>
      </c>
      <c r="B4774">
        <v>590980</v>
      </c>
      <c r="C4774">
        <v>0.15</v>
      </c>
      <c r="D4774">
        <v>40</v>
      </c>
      <c r="E4774">
        <v>10</v>
      </c>
      <c r="F4774">
        <v>15</v>
      </c>
      <c r="G4774">
        <v>0</v>
      </c>
      <c r="H4774">
        <v>15</v>
      </c>
      <c r="I4774">
        <v>5</v>
      </c>
      <c r="J4774">
        <v>0</v>
      </c>
      <c r="K4774">
        <v>3.9950000000000001</v>
      </c>
      <c r="L4774">
        <v>12.660500000000001</v>
      </c>
      <c r="M4774">
        <v>10.5055</v>
      </c>
      <c r="N4774">
        <v>15.16</v>
      </c>
      <c r="O4774">
        <v>1678</v>
      </c>
      <c r="P4774">
        <v>0</v>
      </c>
      <c r="Q4774" s="5" t="e">
        <f>IF(AND(#REF!&gt;=table!$C$6,#REF!&lt;= table!$D$6),-1,IF(AND(#REF!&gt;=table!$E$6,#REF!&lt;=table!$F$6),1,0))</f>
        <v>#REF!</v>
      </c>
      <c r="R4774" s="5" t="e">
        <f>IF(AND(#REF!&gt;=table!$C$7,#REF!&lt;= table!$D$7),-1,IF(AND(#REF!&gt;=table!$E$7,#REF!&lt;=table!$F$7),1,0))</f>
        <v>#REF!</v>
      </c>
      <c r="S4774" s="5" t="e">
        <f>IF(AND(#REF!&gt;=table!$C$8,#REF!&lt;= table!$D$8),-1,IF(AND(#REF!&gt;=table!$E$8,#REF!&lt;=table!$F$8),1,0))</f>
        <v>#REF!</v>
      </c>
      <c r="T4774" s="5"/>
      <c r="U4774" s="5" t="e">
        <f>IF(AND(#REF!&gt;=table!$C$10,#REF!&lt;= table!$D$10),-1,IF(AND(#REF!&gt;=table!$E$10,#REF!&lt;=table!$F$10),1,0))</f>
        <v>#REF!</v>
      </c>
      <c r="V4774" s="5" t="e">
        <f>IF(AND(#REF!&gt;=table!$C$11,#REF!&lt;= table!$D$11),-1,IF(AND(#REF!&gt;=table!$E$11,#REF!&lt;=table!$F$11),1,0))</f>
        <v>#REF!</v>
      </c>
      <c r="W4774" s="5" t="e">
        <f>CONCATENATE(dados[[#This Row],[fator1]],dados[[#This Row],[fator5]],dados[[#This Row],[fator6]])</f>
        <v>#REF!</v>
      </c>
    </row>
    <row r="4775" spans="1:23">
      <c r="A4775" t="s">
        <v>17</v>
      </c>
      <c r="B4775">
        <v>590981</v>
      </c>
      <c r="C4775">
        <v>16</v>
      </c>
      <c r="D4775">
        <v>25</v>
      </c>
      <c r="E4775">
        <v>56</v>
      </c>
      <c r="F4775">
        <v>10</v>
      </c>
      <c r="G4775">
        <v>13</v>
      </c>
      <c r="H4775">
        <v>25</v>
      </c>
      <c r="I4775">
        <v>11</v>
      </c>
      <c r="J4775">
        <v>710</v>
      </c>
      <c r="K4775">
        <v>6.5740000000000007</v>
      </c>
      <c r="L4775">
        <v>21.576000000000001</v>
      </c>
      <c r="M4775">
        <v>52.065000000000005</v>
      </c>
      <c r="N4775">
        <v>19.905000000000001</v>
      </c>
      <c r="O4775">
        <v>1679</v>
      </c>
      <c r="P4775">
        <v>523</v>
      </c>
      <c r="Q4775" s="5" t="e">
        <f>IF(AND(#REF!&gt;=table!$C$6,#REF!&lt;= table!$D$6),-1,IF(AND(#REF!&gt;=table!$E$6,#REF!&lt;=table!$F$6),1,0))</f>
        <v>#REF!</v>
      </c>
      <c r="R4775" s="5" t="e">
        <f>IF(AND(#REF!&gt;=table!$C$7,#REF!&lt;= table!$D$7),-1,IF(AND(#REF!&gt;=table!$E$7,#REF!&lt;=table!$F$7),1,0))</f>
        <v>#REF!</v>
      </c>
      <c r="S4775" s="5" t="e">
        <f>IF(AND(#REF!&gt;=table!$C$8,#REF!&lt;= table!$D$8),-1,IF(AND(#REF!&gt;=table!$E$8,#REF!&lt;=table!$F$8),1,0))</f>
        <v>#REF!</v>
      </c>
      <c r="T4775" s="5"/>
      <c r="U4775" s="5" t="e">
        <f>IF(AND(#REF!&gt;=table!$C$10,#REF!&lt;= table!$D$10),-1,IF(AND(#REF!&gt;=table!$E$10,#REF!&lt;=table!$F$10),1,0))</f>
        <v>#REF!</v>
      </c>
      <c r="V4775" s="5" t="e">
        <f>IF(AND(#REF!&gt;=table!$C$11,#REF!&lt;= table!$D$11),-1,IF(AND(#REF!&gt;=table!$E$11,#REF!&lt;=table!$F$11),1,0))</f>
        <v>#REF!</v>
      </c>
      <c r="W4775" s="5" t="e">
        <f>CONCATENATE(dados[[#This Row],[fator1]],dados[[#This Row],[fator5]],dados[[#This Row],[fator6]])</f>
        <v>#REF!</v>
      </c>
    </row>
    <row r="4776" spans="1:23">
      <c r="A4776" t="s">
        <v>17</v>
      </c>
      <c r="B4776">
        <v>590982</v>
      </c>
      <c r="C4776">
        <v>16</v>
      </c>
      <c r="D4776">
        <v>25</v>
      </c>
      <c r="E4776">
        <v>56</v>
      </c>
      <c r="F4776">
        <v>10</v>
      </c>
      <c r="G4776">
        <v>13</v>
      </c>
      <c r="H4776">
        <v>25</v>
      </c>
      <c r="I4776">
        <v>59</v>
      </c>
      <c r="J4776">
        <v>0</v>
      </c>
      <c r="K4776">
        <v>7.1135000000000002</v>
      </c>
      <c r="L4776">
        <v>19.833000000000002</v>
      </c>
      <c r="M4776">
        <v>52.819500000000005</v>
      </c>
      <c r="N4776">
        <v>20.715</v>
      </c>
      <c r="O4776">
        <v>1680</v>
      </c>
      <c r="P4776">
        <v>486</v>
      </c>
      <c r="Q4776" s="5" t="e">
        <f>IF(AND(#REF!&gt;=table!$C$6,#REF!&lt;= table!$D$6),-1,IF(AND(#REF!&gt;=table!$E$6,#REF!&lt;=table!$F$6),1,0))</f>
        <v>#REF!</v>
      </c>
      <c r="R4776" s="5" t="e">
        <f>IF(AND(#REF!&gt;=table!$C$7,#REF!&lt;= table!$D$7),-1,IF(AND(#REF!&gt;=table!$E$7,#REF!&lt;=table!$F$7),1,0))</f>
        <v>#REF!</v>
      </c>
      <c r="S4776" s="5" t="e">
        <f>IF(AND(#REF!&gt;=table!$C$8,#REF!&lt;= table!$D$8),-1,IF(AND(#REF!&gt;=table!$E$8,#REF!&lt;=table!$F$8),1,0))</f>
        <v>#REF!</v>
      </c>
      <c r="T4776" s="5"/>
      <c r="U4776" s="5" t="e">
        <f>IF(AND(#REF!&gt;=table!$C$10,#REF!&lt;= table!$D$10),-1,IF(AND(#REF!&gt;=table!$E$10,#REF!&lt;=table!$F$10),1,0))</f>
        <v>#REF!</v>
      </c>
      <c r="V4776" s="5" t="e">
        <f>IF(AND(#REF!&gt;=table!$C$11,#REF!&lt;= table!$D$11),-1,IF(AND(#REF!&gt;=table!$E$11,#REF!&lt;=table!$F$11),1,0))</f>
        <v>#REF!</v>
      </c>
      <c r="W4776" s="5" t="e">
        <f>CONCATENATE(dados[[#This Row],[fator1]],dados[[#This Row],[fator5]],dados[[#This Row],[fator6]])</f>
        <v>#REF!</v>
      </c>
    </row>
    <row r="4777" spans="1:23">
      <c r="A4777" t="s">
        <v>17</v>
      </c>
      <c r="B4777">
        <v>590984</v>
      </c>
      <c r="C4777">
        <v>9</v>
      </c>
      <c r="D4777">
        <v>25</v>
      </c>
      <c r="E4777">
        <v>150</v>
      </c>
      <c r="F4777">
        <v>4</v>
      </c>
      <c r="G4777">
        <v>20</v>
      </c>
      <c r="H4777">
        <v>25</v>
      </c>
      <c r="I4777">
        <v>0</v>
      </c>
      <c r="J4777">
        <v>0</v>
      </c>
      <c r="K4777">
        <v>4.8850000000000007</v>
      </c>
      <c r="L4777">
        <v>13.615500000000001</v>
      </c>
      <c r="M4777">
        <v>137.1395</v>
      </c>
      <c r="N4777">
        <v>13.435</v>
      </c>
      <c r="O4777">
        <v>1674</v>
      </c>
      <c r="P4777">
        <v>0</v>
      </c>
      <c r="Q4777" s="5" t="e">
        <f>IF(AND(#REF!&gt;=table!$C$6,#REF!&lt;= table!$D$6),-1,IF(AND(#REF!&gt;=table!$E$6,#REF!&lt;=table!$F$6),1,0))</f>
        <v>#REF!</v>
      </c>
      <c r="R4777" s="5" t="e">
        <f>IF(AND(#REF!&gt;=table!$C$7,#REF!&lt;= table!$D$7),-1,IF(AND(#REF!&gt;=table!$E$7,#REF!&lt;=table!$F$7),1,0))</f>
        <v>#REF!</v>
      </c>
      <c r="S4777" s="5" t="e">
        <f>IF(AND(#REF!&gt;=table!$C$8,#REF!&lt;= table!$D$8),-1,IF(AND(#REF!&gt;=table!$E$8,#REF!&lt;=table!$F$8),1,0))</f>
        <v>#REF!</v>
      </c>
      <c r="T4777" s="5"/>
      <c r="U4777" s="5" t="e">
        <f>IF(AND(#REF!&gt;=table!$C$10,#REF!&lt;= table!$D$10),-1,IF(AND(#REF!&gt;=table!$E$10,#REF!&lt;=table!$F$10),1,0))</f>
        <v>#REF!</v>
      </c>
      <c r="V4777" s="5" t="e">
        <f>IF(AND(#REF!&gt;=table!$C$11,#REF!&lt;= table!$D$11),-1,IF(AND(#REF!&gt;=table!$E$11,#REF!&lt;=table!$F$11),1,0))</f>
        <v>#REF!</v>
      </c>
      <c r="W4777" s="5" t="e">
        <f>CONCATENATE(dados[[#This Row],[fator1]],dados[[#This Row],[fator5]],dados[[#This Row],[fator6]])</f>
        <v>#REF!</v>
      </c>
    </row>
    <row r="4778" spans="1:23">
      <c r="A4778" t="s">
        <v>17</v>
      </c>
      <c r="B4778">
        <v>590985</v>
      </c>
      <c r="C4778">
        <v>9</v>
      </c>
      <c r="D4778">
        <v>25</v>
      </c>
      <c r="E4778">
        <v>150</v>
      </c>
      <c r="F4778">
        <v>4</v>
      </c>
      <c r="G4778">
        <v>20</v>
      </c>
      <c r="H4778">
        <v>25</v>
      </c>
      <c r="I4778">
        <v>927</v>
      </c>
      <c r="J4778">
        <v>0</v>
      </c>
      <c r="K4778">
        <v>4.6715</v>
      </c>
      <c r="L4778">
        <v>11.227500000000001</v>
      </c>
      <c r="M4778">
        <v>130.99200000000002</v>
      </c>
      <c r="N4778">
        <v>16.855</v>
      </c>
      <c r="O4778">
        <v>1700</v>
      </c>
      <c r="P4778">
        <v>1079</v>
      </c>
      <c r="Q4778" s="5" t="e">
        <f>IF(AND(#REF!&gt;=table!$C$6,#REF!&lt;= table!$D$6),-1,IF(AND(#REF!&gt;=table!$E$6,#REF!&lt;=table!$F$6),1,0))</f>
        <v>#REF!</v>
      </c>
      <c r="R4778" s="5" t="e">
        <f>IF(AND(#REF!&gt;=table!$C$7,#REF!&lt;= table!$D$7),-1,IF(AND(#REF!&gt;=table!$E$7,#REF!&lt;=table!$F$7),1,0))</f>
        <v>#REF!</v>
      </c>
      <c r="S4778" s="5" t="e">
        <f>IF(AND(#REF!&gt;=table!$C$8,#REF!&lt;= table!$D$8),-1,IF(AND(#REF!&gt;=table!$E$8,#REF!&lt;=table!$F$8),1,0))</f>
        <v>#REF!</v>
      </c>
      <c r="T4778" s="5"/>
      <c r="U4778" s="5" t="e">
        <f>IF(AND(#REF!&gt;=table!$C$10,#REF!&lt;= table!$D$10),-1,IF(AND(#REF!&gt;=table!$E$10,#REF!&lt;=table!$F$10),1,0))</f>
        <v>#REF!</v>
      </c>
      <c r="V4778" s="5" t="e">
        <f>IF(AND(#REF!&gt;=table!$C$11,#REF!&lt;= table!$D$11),-1,IF(AND(#REF!&gt;=table!$E$11,#REF!&lt;=table!$F$11),1,0))</f>
        <v>#REF!</v>
      </c>
      <c r="W4778" s="5" t="e">
        <f>CONCATENATE(dados[[#This Row],[fator1]],dados[[#This Row],[fator5]],dados[[#This Row],[fator6]])</f>
        <v>#REF!</v>
      </c>
    </row>
    <row r="4779" spans="1:23">
      <c r="A4779" t="s">
        <v>17</v>
      </c>
      <c r="B4779">
        <v>590986</v>
      </c>
      <c r="C4779">
        <v>14</v>
      </c>
      <c r="D4779">
        <v>25</v>
      </c>
      <c r="E4779">
        <v>130</v>
      </c>
      <c r="F4779">
        <v>9</v>
      </c>
      <c r="G4779">
        <v>110</v>
      </c>
      <c r="H4779">
        <v>50</v>
      </c>
      <c r="I4779">
        <v>381</v>
      </c>
      <c r="J4779">
        <v>0</v>
      </c>
      <c r="K4779">
        <v>6.6920000000000002</v>
      </c>
      <c r="L4779">
        <v>18.933500000000002</v>
      </c>
      <c r="M4779">
        <v>141.114</v>
      </c>
      <c r="N4779">
        <v>23.77</v>
      </c>
      <c r="O4779">
        <v>1683</v>
      </c>
      <c r="P4779">
        <v>594</v>
      </c>
      <c r="Q4779" s="5" t="e">
        <f>IF(AND(#REF!&gt;=table!$C$6,#REF!&lt;= table!$D$6),-1,IF(AND(#REF!&gt;=table!$E$6,#REF!&lt;=table!$F$6),1,0))</f>
        <v>#REF!</v>
      </c>
      <c r="R4779" s="5" t="e">
        <f>IF(AND(#REF!&gt;=table!$C$7,#REF!&lt;= table!$D$7),-1,IF(AND(#REF!&gt;=table!$E$7,#REF!&lt;=table!$F$7),1,0))</f>
        <v>#REF!</v>
      </c>
      <c r="S4779" s="5" t="e">
        <f>IF(AND(#REF!&gt;=table!$C$8,#REF!&lt;= table!$D$8),-1,IF(AND(#REF!&gt;=table!$E$8,#REF!&lt;=table!$F$8),1,0))</f>
        <v>#REF!</v>
      </c>
      <c r="T4779" s="5"/>
      <c r="U4779" s="5" t="e">
        <f>IF(AND(#REF!&gt;=table!$C$10,#REF!&lt;= table!$D$10),-1,IF(AND(#REF!&gt;=table!$E$10,#REF!&lt;=table!$F$10),1,0))</f>
        <v>#REF!</v>
      </c>
      <c r="V4779" s="5" t="e">
        <f>IF(AND(#REF!&gt;=table!$C$11,#REF!&lt;= table!$D$11),-1,IF(AND(#REF!&gt;=table!$E$11,#REF!&lt;=table!$F$11),1,0))</f>
        <v>#REF!</v>
      </c>
      <c r="W4779" s="5" t="e">
        <f>CONCATENATE(dados[[#This Row],[fator1]],dados[[#This Row],[fator5]],dados[[#This Row],[fator6]])</f>
        <v>#REF!</v>
      </c>
    </row>
    <row r="4780" spans="1:23">
      <c r="A4780" t="s">
        <v>16</v>
      </c>
      <c r="B4780">
        <v>590988</v>
      </c>
      <c r="C4780">
        <v>0.15</v>
      </c>
      <c r="D4780">
        <v>40</v>
      </c>
      <c r="E4780">
        <v>10</v>
      </c>
      <c r="F4780">
        <v>15</v>
      </c>
      <c r="G4780">
        <v>0</v>
      </c>
      <c r="H4780">
        <v>15</v>
      </c>
      <c r="I4780">
        <v>31</v>
      </c>
      <c r="J4780">
        <v>650</v>
      </c>
      <c r="K4780">
        <v>7.1590000000000007</v>
      </c>
      <c r="L4780">
        <v>17.0305</v>
      </c>
      <c r="M4780">
        <v>11.191500000000001</v>
      </c>
      <c r="N4780">
        <v>13.815000000000001</v>
      </c>
      <c r="O4780">
        <v>1687</v>
      </c>
      <c r="P4780">
        <v>524</v>
      </c>
      <c r="Q4780" s="5" t="e">
        <f>IF(AND(#REF!&gt;=table!$C$6,#REF!&lt;= table!$D$6),-1,IF(AND(#REF!&gt;=table!$E$6,#REF!&lt;=table!$F$6),1,0))</f>
        <v>#REF!</v>
      </c>
      <c r="R4780" s="5" t="e">
        <f>IF(AND(#REF!&gt;=table!$C$7,#REF!&lt;= table!$D$7),-1,IF(AND(#REF!&gt;=table!$E$7,#REF!&lt;=table!$F$7),1,0))</f>
        <v>#REF!</v>
      </c>
      <c r="S4780" s="5" t="e">
        <f>IF(AND(#REF!&gt;=table!$C$8,#REF!&lt;= table!$D$8),-1,IF(AND(#REF!&gt;=table!$E$8,#REF!&lt;=table!$F$8),1,0))</f>
        <v>#REF!</v>
      </c>
      <c r="T4780" s="5"/>
      <c r="U4780" s="5" t="e">
        <f>IF(AND(#REF!&gt;=table!$C$10,#REF!&lt;= table!$D$10),-1,IF(AND(#REF!&gt;=table!$E$10,#REF!&lt;=table!$F$10),1,0))</f>
        <v>#REF!</v>
      </c>
      <c r="V4780" s="5" t="e">
        <f>IF(AND(#REF!&gt;=table!$C$11,#REF!&lt;= table!$D$11),-1,IF(AND(#REF!&gt;=table!$E$11,#REF!&lt;=table!$F$11),1,0))</f>
        <v>#REF!</v>
      </c>
      <c r="W4780" s="5" t="e">
        <f>CONCATENATE(dados[[#This Row],[fator1]],dados[[#This Row],[fator5]],dados[[#This Row],[fator6]])</f>
        <v>#REF!</v>
      </c>
    </row>
    <row r="4781" spans="1:23">
      <c r="A4781" t="s">
        <v>17</v>
      </c>
      <c r="B4781">
        <v>590992</v>
      </c>
      <c r="C4781">
        <v>4</v>
      </c>
      <c r="D4781">
        <v>25</v>
      </c>
      <c r="E4781">
        <v>21</v>
      </c>
      <c r="F4781">
        <v>10</v>
      </c>
      <c r="G4781">
        <v>110</v>
      </c>
      <c r="H4781">
        <v>50</v>
      </c>
      <c r="I4781">
        <v>990</v>
      </c>
      <c r="J4781">
        <v>0</v>
      </c>
      <c r="K4781">
        <v>4.6405000000000003</v>
      </c>
      <c r="L4781">
        <v>7.8545000000000007</v>
      </c>
      <c r="M4781">
        <v>17.986499999999999</v>
      </c>
      <c r="N4781">
        <v>25.73</v>
      </c>
      <c r="O4781">
        <v>1668</v>
      </c>
      <c r="P4781">
        <v>665</v>
      </c>
      <c r="Q4781" s="5" t="e">
        <f>IF(AND(#REF!&gt;=table!$C$6,#REF!&lt;= table!$D$6),-1,IF(AND(#REF!&gt;=table!$E$6,#REF!&lt;=table!$F$6),1,0))</f>
        <v>#REF!</v>
      </c>
      <c r="R4781" s="5" t="e">
        <f>IF(AND(#REF!&gt;=table!$C$7,#REF!&lt;= table!$D$7),-1,IF(AND(#REF!&gt;=table!$E$7,#REF!&lt;=table!$F$7),1,0))</f>
        <v>#REF!</v>
      </c>
      <c r="S4781" s="5" t="e">
        <f>IF(AND(#REF!&gt;=table!$C$8,#REF!&lt;= table!$D$8),-1,IF(AND(#REF!&gt;=table!$E$8,#REF!&lt;=table!$F$8),1,0))</f>
        <v>#REF!</v>
      </c>
      <c r="T4781" s="5"/>
      <c r="U4781" s="5" t="e">
        <f>IF(AND(#REF!&gt;=table!$C$10,#REF!&lt;= table!$D$10),-1,IF(AND(#REF!&gt;=table!$E$10,#REF!&lt;=table!$F$10),1,0))</f>
        <v>#REF!</v>
      </c>
      <c r="V4781" s="5" t="e">
        <f>IF(AND(#REF!&gt;=table!$C$11,#REF!&lt;= table!$D$11),-1,IF(AND(#REF!&gt;=table!$E$11,#REF!&lt;=table!$F$11),1,0))</f>
        <v>#REF!</v>
      </c>
      <c r="W4781" s="5" t="e">
        <f>CONCATENATE(dados[[#This Row],[fator1]],dados[[#This Row],[fator5]],dados[[#This Row],[fator6]])</f>
        <v>#REF!</v>
      </c>
    </row>
    <row r="4782" spans="1:23">
      <c r="A4782" t="s">
        <v>16</v>
      </c>
      <c r="B4782">
        <v>591005</v>
      </c>
      <c r="C4782">
        <v>0.15</v>
      </c>
      <c r="D4782">
        <v>40</v>
      </c>
      <c r="E4782">
        <v>10</v>
      </c>
      <c r="F4782">
        <v>15</v>
      </c>
      <c r="G4782">
        <v>0</v>
      </c>
      <c r="H4782">
        <v>15</v>
      </c>
      <c r="I4782">
        <v>0</v>
      </c>
      <c r="J4782">
        <v>0</v>
      </c>
      <c r="K4782">
        <v>3.9325000000000001</v>
      </c>
      <c r="L4782">
        <v>10.246500000000001</v>
      </c>
      <c r="M4782">
        <v>9.0114999999999998</v>
      </c>
      <c r="N4782">
        <v>13.155000000000001</v>
      </c>
      <c r="O4782">
        <v>1676</v>
      </c>
      <c r="P4782">
        <v>1030</v>
      </c>
      <c r="Q4782" s="5" t="e">
        <f>IF(AND(#REF!&gt;=table!$C$6,#REF!&lt;= table!$D$6),-1,IF(AND(#REF!&gt;=table!$E$6,#REF!&lt;=table!$F$6),1,0))</f>
        <v>#REF!</v>
      </c>
      <c r="R4782" s="5" t="e">
        <f>IF(AND(#REF!&gt;=table!$C$7,#REF!&lt;= table!$D$7),-1,IF(AND(#REF!&gt;=table!$E$7,#REF!&lt;=table!$F$7),1,0))</f>
        <v>#REF!</v>
      </c>
      <c r="S4782" s="5" t="e">
        <f>IF(AND(#REF!&gt;=table!$C$8,#REF!&lt;= table!$D$8),-1,IF(AND(#REF!&gt;=table!$E$8,#REF!&lt;=table!$F$8),1,0))</f>
        <v>#REF!</v>
      </c>
      <c r="T4782" s="5"/>
      <c r="U4782" s="5" t="e">
        <f>IF(AND(#REF!&gt;=table!$C$10,#REF!&lt;= table!$D$10),-1,IF(AND(#REF!&gt;=table!$E$10,#REF!&lt;=table!$F$10),1,0))</f>
        <v>#REF!</v>
      </c>
      <c r="V4782" s="5" t="e">
        <f>IF(AND(#REF!&gt;=table!$C$11,#REF!&lt;= table!$D$11),-1,IF(AND(#REF!&gt;=table!$E$11,#REF!&lt;=table!$F$11),1,0))</f>
        <v>#REF!</v>
      </c>
      <c r="W4782" s="5" t="e">
        <f>CONCATENATE(dados[[#This Row],[fator1]],dados[[#This Row],[fator5]],dados[[#This Row],[fator6]])</f>
        <v>#REF!</v>
      </c>
    </row>
    <row r="4783" spans="1:23">
      <c r="A4783" t="s">
        <v>16</v>
      </c>
      <c r="B4783">
        <v>591006</v>
      </c>
      <c r="C4783">
        <v>0.15</v>
      </c>
      <c r="D4783">
        <v>40</v>
      </c>
      <c r="E4783">
        <v>10</v>
      </c>
      <c r="F4783">
        <v>15</v>
      </c>
      <c r="G4783">
        <v>0</v>
      </c>
      <c r="H4783">
        <v>15</v>
      </c>
      <c r="I4783">
        <v>1283</v>
      </c>
      <c r="J4783">
        <v>0</v>
      </c>
      <c r="K4783">
        <v>5.1865000000000006</v>
      </c>
      <c r="L4783">
        <v>9.979000000000001</v>
      </c>
      <c r="M4783">
        <v>9.2855000000000008</v>
      </c>
      <c r="N4783">
        <v>11.540000000000001</v>
      </c>
      <c r="O4783">
        <v>1686</v>
      </c>
      <c r="P4783">
        <v>773</v>
      </c>
      <c r="Q4783" s="5" t="e">
        <f>IF(AND(#REF!&gt;=table!$C$6,#REF!&lt;= table!$D$6),-1,IF(AND(#REF!&gt;=table!$E$6,#REF!&lt;=table!$F$6),1,0))</f>
        <v>#REF!</v>
      </c>
      <c r="R4783" s="5" t="e">
        <f>IF(AND(#REF!&gt;=table!$C$7,#REF!&lt;= table!$D$7),-1,IF(AND(#REF!&gt;=table!$E$7,#REF!&lt;=table!$F$7),1,0))</f>
        <v>#REF!</v>
      </c>
      <c r="S4783" s="5" t="e">
        <f>IF(AND(#REF!&gt;=table!$C$8,#REF!&lt;= table!$D$8),-1,IF(AND(#REF!&gt;=table!$E$8,#REF!&lt;=table!$F$8),1,0))</f>
        <v>#REF!</v>
      </c>
      <c r="T4783" s="5"/>
      <c r="U4783" s="5" t="e">
        <f>IF(AND(#REF!&gt;=table!$C$10,#REF!&lt;= table!$D$10),-1,IF(AND(#REF!&gt;=table!$E$10,#REF!&lt;=table!$F$10),1,0))</f>
        <v>#REF!</v>
      </c>
      <c r="V4783" s="5" t="e">
        <f>IF(AND(#REF!&gt;=table!$C$11,#REF!&lt;= table!$D$11),-1,IF(AND(#REF!&gt;=table!$E$11,#REF!&lt;=table!$F$11),1,0))</f>
        <v>#REF!</v>
      </c>
      <c r="W4783" s="5" t="e">
        <f>CONCATENATE(dados[[#This Row],[fator1]],dados[[#This Row],[fator5]],dados[[#This Row],[fator6]])</f>
        <v>#REF!</v>
      </c>
    </row>
    <row r="4784" spans="1:23">
      <c r="A4784" t="s">
        <v>16</v>
      </c>
      <c r="B4784">
        <v>591007</v>
      </c>
      <c r="C4784">
        <v>0.15</v>
      </c>
      <c r="D4784">
        <v>40</v>
      </c>
      <c r="E4784">
        <v>10</v>
      </c>
      <c r="F4784">
        <v>15</v>
      </c>
      <c r="G4784">
        <v>0</v>
      </c>
      <c r="H4784">
        <v>15</v>
      </c>
      <c r="I4784">
        <v>0</v>
      </c>
      <c r="J4784">
        <v>0</v>
      </c>
      <c r="K4784">
        <v>4.3250000000000002</v>
      </c>
      <c r="L4784">
        <v>11.86</v>
      </c>
      <c r="M4784">
        <v>10.741</v>
      </c>
      <c r="N4784">
        <v>14.48</v>
      </c>
      <c r="O4784">
        <v>1699</v>
      </c>
      <c r="P4784">
        <v>1009</v>
      </c>
      <c r="Q4784" s="5" t="e">
        <f>IF(AND(#REF!&gt;=table!$C$6,#REF!&lt;= table!$D$6),-1,IF(AND(#REF!&gt;=table!$E$6,#REF!&lt;=table!$F$6),1,0))</f>
        <v>#REF!</v>
      </c>
      <c r="R4784" s="5" t="e">
        <f>IF(AND(#REF!&gt;=table!$C$7,#REF!&lt;= table!$D$7),-1,IF(AND(#REF!&gt;=table!$E$7,#REF!&lt;=table!$F$7),1,0))</f>
        <v>#REF!</v>
      </c>
      <c r="S4784" s="5" t="e">
        <f>IF(AND(#REF!&gt;=table!$C$8,#REF!&lt;= table!$D$8),-1,IF(AND(#REF!&gt;=table!$E$8,#REF!&lt;=table!$F$8),1,0))</f>
        <v>#REF!</v>
      </c>
      <c r="T4784" s="5"/>
      <c r="U4784" s="5" t="e">
        <f>IF(AND(#REF!&gt;=table!$C$10,#REF!&lt;= table!$D$10),-1,IF(AND(#REF!&gt;=table!$E$10,#REF!&lt;=table!$F$10),1,0))</f>
        <v>#REF!</v>
      </c>
      <c r="V4784" s="5" t="e">
        <f>IF(AND(#REF!&gt;=table!$C$11,#REF!&lt;= table!$D$11),-1,IF(AND(#REF!&gt;=table!$E$11,#REF!&lt;=table!$F$11),1,0))</f>
        <v>#REF!</v>
      </c>
      <c r="W4784" s="5" t="e">
        <f>CONCATENATE(dados[[#This Row],[fator1]],dados[[#This Row],[fator5]],dados[[#This Row],[fator6]])</f>
        <v>#REF!</v>
      </c>
    </row>
    <row r="4785" spans="1:23">
      <c r="A4785" t="s">
        <v>16</v>
      </c>
      <c r="B4785">
        <v>591008</v>
      </c>
      <c r="C4785">
        <v>0.15</v>
      </c>
      <c r="D4785">
        <v>40</v>
      </c>
      <c r="E4785">
        <v>10</v>
      </c>
      <c r="F4785">
        <v>15</v>
      </c>
      <c r="G4785">
        <v>0</v>
      </c>
      <c r="H4785">
        <v>15</v>
      </c>
      <c r="I4785">
        <v>1445</v>
      </c>
      <c r="J4785">
        <v>0</v>
      </c>
      <c r="K4785">
        <v>6.0145</v>
      </c>
      <c r="L4785">
        <v>6.8755000000000006</v>
      </c>
      <c r="M4785">
        <v>6.1760000000000002</v>
      </c>
      <c r="N4785">
        <v>7.8100000000000005</v>
      </c>
      <c r="O4785">
        <v>1662</v>
      </c>
      <c r="P4785">
        <v>772</v>
      </c>
      <c r="Q4785" s="5" t="e">
        <f>IF(AND(#REF!&gt;=table!$C$6,#REF!&lt;= table!$D$6),-1,IF(AND(#REF!&gt;=table!$E$6,#REF!&lt;=table!$F$6),1,0))</f>
        <v>#REF!</v>
      </c>
      <c r="R4785" s="5" t="e">
        <f>IF(AND(#REF!&gt;=table!$C$7,#REF!&lt;= table!$D$7),-1,IF(AND(#REF!&gt;=table!$E$7,#REF!&lt;=table!$F$7),1,0))</f>
        <v>#REF!</v>
      </c>
      <c r="S4785" s="5" t="e">
        <f>IF(AND(#REF!&gt;=table!$C$8,#REF!&lt;= table!$D$8),-1,IF(AND(#REF!&gt;=table!$E$8,#REF!&lt;=table!$F$8),1,0))</f>
        <v>#REF!</v>
      </c>
      <c r="T4785" s="5"/>
      <c r="U4785" s="5" t="e">
        <f>IF(AND(#REF!&gt;=table!$C$10,#REF!&lt;= table!$D$10),-1,IF(AND(#REF!&gt;=table!$E$10,#REF!&lt;=table!$F$10),1,0))</f>
        <v>#REF!</v>
      </c>
      <c r="V4785" s="5" t="e">
        <f>IF(AND(#REF!&gt;=table!$C$11,#REF!&lt;= table!$D$11),-1,IF(AND(#REF!&gt;=table!$E$11,#REF!&lt;=table!$F$11),1,0))</f>
        <v>#REF!</v>
      </c>
      <c r="W4785" s="5" t="e">
        <f>CONCATENATE(dados[[#This Row],[fator1]],dados[[#This Row],[fator5]],dados[[#This Row],[fator6]])</f>
        <v>#REF!</v>
      </c>
    </row>
    <row r="4786" spans="1:23">
      <c r="A4786" t="s">
        <v>17</v>
      </c>
      <c r="B4786">
        <v>591012</v>
      </c>
      <c r="C4786">
        <v>46</v>
      </c>
      <c r="D4786">
        <v>18</v>
      </c>
      <c r="E4786">
        <v>66</v>
      </c>
      <c r="F4786">
        <v>10</v>
      </c>
      <c r="G4786">
        <v>20</v>
      </c>
      <c r="H4786">
        <v>23</v>
      </c>
      <c r="I4786">
        <v>83</v>
      </c>
      <c r="J4786">
        <v>0</v>
      </c>
      <c r="K4786">
        <v>8.5865000000000009</v>
      </c>
      <c r="L4786">
        <v>18.958000000000002</v>
      </c>
      <c r="M4786">
        <v>65.153000000000006</v>
      </c>
      <c r="N4786">
        <v>18.07</v>
      </c>
      <c r="O4786">
        <v>1682</v>
      </c>
      <c r="P4786">
        <v>0</v>
      </c>
      <c r="Q4786" s="5" t="e">
        <f>IF(AND(#REF!&gt;=table!$C$6,#REF!&lt;= table!$D$6),-1,IF(AND(#REF!&gt;=table!$E$6,#REF!&lt;=table!$F$6),1,0))</f>
        <v>#REF!</v>
      </c>
      <c r="R4786" s="5" t="e">
        <f>IF(AND(#REF!&gt;=table!$C$7,#REF!&lt;= table!$D$7),-1,IF(AND(#REF!&gt;=table!$E$7,#REF!&lt;=table!$F$7),1,0))</f>
        <v>#REF!</v>
      </c>
      <c r="S4786" s="5" t="e">
        <f>IF(AND(#REF!&gt;=table!$C$8,#REF!&lt;= table!$D$8),-1,IF(AND(#REF!&gt;=table!$E$8,#REF!&lt;=table!$F$8),1,0))</f>
        <v>#REF!</v>
      </c>
      <c r="T4786" s="5"/>
      <c r="U4786" s="5" t="e">
        <f>IF(AND(#REF!&gt;=table!$C$10,#REF!&lt;= table!$D$10),-1,IF(AND(#REF!&gt;=table!$E$10,#REF!&lt;=table!$F$10),1,0))</f>
        <v>#REF!</v>
      </c>
      <c r="V4786" s="5" t="e">
        <f>IF(AND(#REF!&gt;=table!$C$11,#REF!&lt;= table!$D$11),-1,IF(AND(#REF!&gt;=table!$E$11,#REF!&lt;=table!$F$11),1,0))</f>
        <v>#REF!</v>
      </c>
      <c r="W4786" s="5" t="e">
        <f>CONCATENATE(dados[[#This Row],[fator1]],dados[[#This Row],[fator5]],dados[[#This Row],[fator6]])</f>
        <v>#REF!</v>
      </c>
    </row>
    <row r="4787" spans="1:23">
      <c r="A4787" t="s">
        <v>16</v>
      </c>
      <c r="B4787">
        <v>591019</v>
      </c>
      <c r="C4787">
        <v>0.15</v>
      </c>
      <c r="D4787">
        <v>40</v>
      </c>
      <c r="E4787">
        <v>10</v>
      </c>
      <c r="F4787">
        <v>15</v>
      </c>
      <c r="G4787">
        <v>0</v>
      </c>
      <c r="H4787">
        <v>15</v>
      </c>
      <c r="I4787">
        <v>873</v>
      </c>
      <c r="J4787">
        <v>0</v>
      </c>
      <c r="K4787">
        <v>3.0005000000000002</v>
      </c>
      <c r="L4787">
        <v>6.7090000000000005</v>
      </c>
      <c r="M4787">
        <v>5.1815000000000007</v>
      </c>
      <c r="N4787">
        <v>13.5</v>
      </c>
      <c r="O4787">
        <v>1688</v>
      </c>
      <c r="P4787">
        <v>0</v>
      </c>
      <c r="Q4787" s="5" t="e">
        <f>IF(AND(#REF!&gt;=table!$C$6,#REF!&lt;= table!$D$6),-1,IF(AND(#REF!&gt;=table!$E$6,#REF!&lt;=table!$F$6),1,0))</f>
        <v>#REF!</v>
      </c>
      <c r="R4787" s="5" t="e">
        <f>IF(AND(#REF!&gt;=table!$C$7,#REF!&lt;= table!$D$7),-1,IF(AND(#REF!&gt;=table!$E$7,#REF!&lt;=table!$F$7),1,0))</f>
        <v>#REF!</v>
      </c>
      <c r="S4787" s="5" t="e">
        <f>IF(AND(#REF!&gt;=table!$C$8,#REF!&lt;= table!$D$8),-1,IF(AND(#REF!&gt;=table!$E$8,#REF!&lt;=table!$F$8),1,0))</f>
        <v>#REF!</v>
      </c>
      <c r="T4787" s="5"/>
      <c r="U4787" s="5" t="e">
        <f>IF(AND(#REF!&gt;=table!$C$10,#REF!&lt;= table!$D$10),-1,IF(AND(#REF!&gt;=table!$E$10,#REF!&lt;=table!$F$10),1,0))</f>
        <v>#REF!</v>
      </c>
      <c r="V4787" s="5" t="e">
        <f>IF(AND(#REF!&gt;=table!$C$11,#REF!&lt;= table!$D$11),-1,IF(AND(#REF!&gt;=table!$E$11,#REF!&lt;=table!$F$11),1,0))</f>
        <v>#REF!</v>
      </c>
      <c r="W4787" s="5" t="e">
        <f>CONCATENATE(dados[[#This Row],[fator1]],dados[[#This Row],[fator5]],dados[[#This Row],[fator6]])</f>
        <v>#REF!</v>
      </c>
    </row>
    <row r="4788" spans="1:23">
      <c r="A4788" t="s">
        <v>16</v>
      </c>
      <c r="B4788">
        <v>591022</v>
      </c>
      <c r="C4788">
        <v>0.15</v>
      </c>
      <c r="D4788">
        <v>40</v>
      </c>
      <c r="E4788">
        <v>10</v>
      </c>
      <c r="F4788">
        <v>15</v>
      </c>
      <c r="G4788">
        <v>0</v>
      </c>
      <c r="H4788">
        <v>15</v>
      </c>
      <c r="I4788">
        <v>791</v>
      </c>
      <c r="J4788">
        <v>710</v>
      </c>
      <c r="K4788">
        <v>4.2090000000000005</v>
      </c>
      <c r="L4788">
        <v>14.892000000000001</v>
      </c>
      <c r="M4788">
        <v>7.3520000000000003</v>
      </c>
      <c r="N4788">
        <v>12.72</v>
      </c>
      <c r="O4788">
        <v>1671</v>
      </c>
      <c r="P4788">
        <v>844</v>
      </c>
      <c r="Q4788" s="5" t="e">
        <f>IF(AND(#REF!&gt;=table!$C$6,#REF!&lt;= table!$D$6),-1,IF(AND(#REF!&gt;=table!$E$6,#REF!&lt;=table!$F$6),1,0))</f>
        <v>#REF!</v>
      </c>
      <c r="R4788" s="5" t="e">
        <f>IF(AND(#REF!&gt;=table!$C$7,#REF!&lt;= table!$D$7),-1,IF(AND(#REF!&gt;=table!$E$7,#REF!&lt;=table!$F$7),1,0))</f>
        <v>#REF!</v>
      </c>
      <c r="S4788" s="5" t="e">
        <f>IF(AND(#REF!&gt;=table!$C$8,#REF!&lt;= table!$D$8),-1,IF(AND(#REF!&gt;=table!$E$8,#REF!&lt;=table!$F$8),1,0))</f>
        <v>#REF!</v>
      </c>
      <c r="T4788" s="5"/>
      <c r="U4788" s="5" t="e">
        <f>IF(AND(#REF!&gt;=table!$C$10,#REF!&lt;= table!$D$10),-1,IF(AND(#REF!&gt;=table!$E$10,#REF!&lt;=table!$F$10),1,0))</f>
        <v>#REF!</v>
      </c>
      <c r="V4788" s="5" t="e">
        <f>IF(AND(#REF!&gt;=table!$C$11,#REF!&lt;= table!$D$11),-1,IF(AND(#REF!&gt;=table!$E$11,#REF!&lt;=table!$F$11),1,0))</f>
        <v>#REF!</v>
      </c>
      <c r="W4788" s="5" t="e">
        <f>CONCATENATE(dados[[#This Row],[fator1]],dados[[#This Row],[fator5]],dados[[#This Row],[fator6]])</f>
        <v>#REF!</v>
      </c>
    </row>
    <row r="4789" spans="1:23">
      <c r="A4789" t="s">
        <v>16</v>
      </c>
      <c r="B4789">
        <v>591027</v>
      </c>
      <c r="C4789">
        <v>0.1</v>
      </c>
      <c r="D4789">
        <v>40</v>
      </c>
      <c r="E4789">
        <v>10</v>
      </c>
      <c r="F4789">
        <v>8</v>
      </c>
      <c r="G4789">
        <v>0</v>
      </c>
      <c r="H4789">
        <v>10</v>
      </c>
      <c r="I4789">
        <v>988</v>
      </c>
      <c r="J4789">
        <v>0</v>
      </c>
      <c r="K4789">
        <v>5.2505000000000006</v>
      </c>
      <c r="L4789">
        <v>11.099500000000001</v>
      </c>
      <c r="M4789">
        <v>10.120000000000001</v>
      </c>
      <c r="N4789">
        <v>11.135</v>
      </c>
      <c r="O4789">
        <v>1667</v>
      </c>
      <c r="P4789">
        <v>626</v>
      </c>
      <c r="Q4789" s="5" t="e">
        <f>IF(AND(#REF!&gt;=table!$C$6,#REF!&lt;= table!$D$6),-1,IF(AND(#REF!&gt;=table!$E$6,#REF!&lt;=table!$F$6),1,0))</f>
        <v>#REF!</v>
      </c>
      <c r="R4789" s="5" t="e">
        <f>IF(AND(#REF!&gt;=table!$C$7,#REF!&lt;= table!$D$7),-1,IF(AND(#REF!&gt;=table!$E$7,#REF!&lt;=table!$F$7),1,0))</f>
        <v>#REF!</v>
      </c>
      <c r="S4789" s="5" t="e">
        <f>IF(AND(#REF!&gt;=table!$C$8,#REF!&lt;= table!$D$8),-1,IF(AND(#REF!&gt;=table!$E$8,#REF!&lt;=table!$F$8),1,0))</f>
        <v>#REF!</v>
      </c>
      <c r="T4789" s="5"/>
      <c r="U4789" s="5" t="e">
        <f>IF(AND(#REF!&gt;=table!$C$10,#REF!&lt;= table!$D$10),-1,IF(AND(#REF!&gt;=table!$E$10,#REF!&lt;=table!$F$10),1,0))</f>
        <v>#REF!</v>
      </c>
      <c r="V4789" s="5" t="e">
        <f>IF(AND(#REF!&gt;=table!$C$11,#REF!&lt;= table!$D$11),-1,IF(AND(#REF!&gt;=table!$E$11,#REF!&lt;=table!$F$11),1,0))</f>
        <v>#REF!</v>
      </c>
      <c r="W4789" s="5" t="e">
        <f>CONCATENATE(dados[[#This Row],[fator1]],dados[[#This Row],[fator5]],dados[[#This Row],[fator6]])</f>
        <v>#REF!</v>
      </c>
    </row>
    <row r="4790" spans="1:23">
      <c r="A4790" t="s">
        <v>16</v>
      </c>
      <c r="B4790">
        <v>591029</v>
      </c>
      <c r="C4790">
        <v>0.15</v>
      </c>
      <c r="D4790">
        <v>40</v>
      </c>
      <c r="E4790">
        <v>10</v>
      </c>
      <c r="F4790">
        <v>15</v>
      </c>
      <c r="G4790">
        <v>0</v>
      </c>
      <c r="H4790">
        <v>15</v>
      </c>
      <c r="I4790">
        <v>805</v>
      </c>
      <c r="J4790">
        <v>0</v>
      </c>
      <c r="K4790">
        <v>4.6985000000000001</v>
      </c>
      <c r="L4790">
        <v>10.573</v>
      </c>
      <c r="M4790">
        <v>9.2205000000000013</v>
      </c>
      <c r="N4790">
        <v>8.7149999999999999</v>
      </c>
      <c r="O4790">
        <v>1664</v>
      </c>
      <c r="P4790">
        <v>834</v>
      </c>
      <c r="Q4790" s="5" t="e">
        <f>IF(AND(#REF!&gt;=table!$C$6,#REF!&lt;= table!$D$6),-1,IF(AND(#REF!&gt;=table!$E$6,#REF!&lt;=table!$F$6),1,0))</f>
        <v>#REF!</v>
      </c>
      <c r="R4790" s="5" t="e">
        <f>IF(AND(#REF!&gt;=table!$C$7,#REF!&lt;= table!$D$7),-1,IF(AND(#REF!&gt;=table!$E$7,#REF!&lt;=table!$F$7),1,0))</f>
        <v>#REF!</v>
      </c>
      <c r="S4790" s="5" t="e">
        <f>IF(AND(#REF!&gt;=table!$C$8,#REF!&lt;= table!$D$8),-1,IF(AND(#REF!&gt;=table!$E$8,#REF!&lt;=table!$F$8),1,0))</f>
        <v>#REF!</v>
      </c>
      <c r="T4790" s="5"/>
      <c r="U4790" s="5" t="e">
        <f>IF(AND(#REF!&gt;=table!$C$10,#REF!&lt;= table!$D$10),-1,IF(AND(#REF!&gt;=table!$E$10,#REF!&lt;=table!$F$10),1,0))</f>
        <v>#REF!</v>
      </c>
      <c r="V4790" s="5" t="e">
        <f>IF(AND(#REF!&gt;=table!$C$11,#REF!&lt;= table!$D$11),-1,IF(AND(#REF!&gt;=table!$E$11,#REF!&lt;=table!$F$11),1,0))</f>
        <v>#REF!</v>
      </c>
      <c r="W4790" s="5" t="e">
        <f>CONCATENATE(dados[[#This Row],[fator1]],dados[[#This Row],[fator5]],dados[[#This Row],[fator6]])</f>
        <v>#REF!</v>
      </c>
    </row>
    <row r="4791" spans="1:23">
      <c r="A4791" t="s">
        <v>16</v>
      </c>
      <c r="B4791">
        <v>591030</v>
      </c>
      <c r="C4791">
        <v>0.15</v>
      </c>
      <c r="D4791">
        <v>40</v>
      </c>
      <c r="E4791">
        <v>10</v>
      </c>
      <c r="F4791">
        <v>15</v>
      </c>
      <c r="G4791">
        <v>0</v>
      </c>
      <c r="H4791">
        <v>15</v>
      </c>
      <c r="I4791">
        <v>590</v>
      </c>
      <c r="J4791">
        <v>0</v>
      </c>
      <c r="K4791">
        <v>5.0330000000000004</v>
      </c>
      <c r="L4791">
        <v>10.098500000000001</v>
      </c>
      <c r="M4791">
        <v>9.0950000000000006</v>
      </c>
      <c r="N4791">
        <v>9.5850000000000009</v>
      </c>
      <c r="O4791">
        <v>1675</v>
      </c>
      <c r="P4791">
        <v>881</v>
      </c>
      <c r="Q4791" s="5" t="e">
        <f>IF(AND(#REF!&gt;=table!$C$6,#REF!&lt;= table!$D$6),-1,IF(AND(#REF!&gt;=table!$E$6,#REF!&lt;=table!$F$6),1,0))</f>
        <v>#REF!</v>
      </c>
      <c r="R4791" s="5" t="e">
        <f>IF(AND(#REF!&gt;=table!$C$7,#REF!&lt;= table!$D$7),-1,IF(AND(#REF!&gt;=table!$E$7,#REF!&lt;=table!$F$7),1,0))</f>
        <v>#REF!</v>
      </c>
      <c r="S4791" s="5" t="e">
        <f>IF(AND(#REF!&gt;=table!$C$8,#REF!&lt;= table!$D$8),-1,IF(AND(#REF!&gt;=table!$E$8,#REF!&lt;=table!$F$8),1,0))</f>
        <v>#REF!</v>
      </c>
      <c r="T4791" s="5"/>
      <c r="U4791" s="5" t="e">
        <f>IF(AND(#REF!&gt;=table!$C$10,#REF!&lt;= table!$D$10),-1,IF(AND(#REF!&gt;=table!$E$10,#REF!&lt;=table!$F$10),1,0))</f>
        <v>#REF!</v>
      </c>
      <c r="V4791" s="5" t="e">
        <f>IF(AND(#REF!&gt;=table!$C$11,#REF!&lt;= table!$D$11),-1,IF(AND(#REF!&gt;=table!$E$11,#REF!&lt;=table!$F$11),1,0))</f>
        <v>#REF!</v>
      </c>
      <c r="W4791" s="5" t="e">
        <f>CONCATENATE(dados[[#This Row],[fator1]],dados[[#This Row],[fator5]],dados[[#This Row],[fator6]])</f>
        <v>#REF!</v>
      </c>
    </row>
    <row r="4792" spans="1:23">
      <c r="A4792" t="s">
        <v>16</v>
      </c>
      <c r="B4792">
        <v>591033</v>
      </c>
      <c r="C4792">
        <v>0.1</v>
      </c>
      <c r="D4792">
        <v>40</v>
      </c>
      <c r="E4792">
        <v>10</v>
      </c>
      <c r="F4792">
        <v>8</v>
      </c>
      <c r="G4792">
        <v>0</v>
      </c>
      <c r="H4792">
        <v>10</v>
      </c>
      <c r="I4792">
        <v>1699</v>
      </c>
      <c r="J4792">
        <v>0</v>
      </c>
      <c r="K4792">
        <v>2.8330000000000002</v>
      </c>
      <c r="L4792">
        <v>6.4824999999999999</v>
      </c>
      <c r="M4792">
        <v>6.4915000000000003</v>
      </c>
      <c r="N4792">
        <v>8.0649999999999995</v>
      </c>
      <c r="O4792">
        <v>1655</v>
      </c>
      <c r="P4792">
        <v>0</v>
      </c>
      <c r="Q4792" s="5" t="e">
        <f>IF(AND(#REF!&gt;=table!$C$6,#REF!&lt;= table!$D$6),-1,IF(AND(#REF!&gt;=table!$E$6,#REF!&lt;=table!$F$6),1,0))</f>
        <v>#REF!</v>
      </c>
      <c r="R4792" s="5" t="e">
        <f>IF(AND(#REF!&gt;=table!$C$7,#REF!&lt;= table!$D$7),-1,IF(AND(#REF!&gt;=table!$E$7,#REF!&lt;=table!$F$7),1,0))</f>
        <v>#REF!</v>
      </c>
      <c r="S4792" s="5" t="e">
        <f>IF(AND(#REF!&gt;=table!$C$8,#REF!&lt;= table!$D$8),-1,IF(AND(#REF!&gt;=table!$E$8,#REF!&lt;=table!$F$8),1,0))</f>
        <v>#REF!</v>
      </c>
      <c r="T4792" s="5"/>
      <c r="U4792" s="5" t="e">
        <f>IF(AND(#REF!&gt;=table!$C$10,#REF!&lt;= table!$D$10),-1,IF(AND(#REF!&gt;=table!$E$10,#REF!&lt;=table!$F$10),1,0))</f>
        <v>#REF!</v>
      </c>
      <c r="V4792" s="5" t="e">
        <f>IF(AND(#REF!&gt;=table!$C$11,#REF!&lt;= table!$D$11),-1,IF(AND(#REF!&gt;=table!$E$11,#REF!&lt;=table!$F$11),1,0))</f>
        <v>#REF!</v>
      </c>
      <c r="W4792" s="5" t="e">
        <f>CONCATENATE(dados[[#This Row],[fator1]],dados[[#This Row],[fator5]],dados[[#This Row],[fator6]])</f>
        <v>#REF!</v>
      </c>
    </row>
    <row r="4793" spans="1:23">
      <c r="A4793" t="s">
        <v>16</v>
      </c>
      <c r="B4793">
        <v>591036</v>
      </c>
      <c r="C4793">
        <v>0.15</v>
      </c>
      <c r="D4793">
        <v>35</v>
      </c>
      <c r="E4793">
        <v>15</v>
      </c>
      <c r="F4793">
        <v>10</v>
      </c>
      <c r="G4793">
        <v>0</v>
      </c>
      <c r="H4793">
        <v>12</v>
      </c>
      <c r="I4793">
        <v>1089</v>
      </c>
      <c r="J4793">
        <v>0</v>
      </c>
      <c r="K4793">
        <v>3.2210000000000001</v>
      </c>
      <c r="L4793">
        <v>8.218</v>
      </c>
      <c r="M4793">
        <v>7.4135</v>
      </c>
      <c r="N4793">
        <v>13.01</v>
      </c>
      <c r="O4793">
        <v>1688</v>
      </c>
      <c r="P4793">
        <v>1172</v>
      </c>
      <c r="Q4793" s="5" t="e">
        <f>IF(AND(#REF!&gt;=table!$C$6,#REF!&lt;= table!$D$6),-1,IF(AND(#REF!&gt;=table!$E$6,#REF!&lt;=table!$F$6),1,0))</f>
        <v>#REF!</v>
      </c>
      <c r="R4793" s="5" t="e">
        <f>IF(AND(#REF!&gt;=table!$C$7,#REF!&lt;= table!$D$7),-1,IF(AND(#REF!&gt;=table!$E$7,#REF!&lt;=table!$F$7),1,0))</f>
        <v>#REF!</v>
      </c>
      <c r="S4793" s="5" t="e">
        <f>IF(AND(#REF!&gt;=table!$C$8,#REF!&lt;= table!$D$8),-1,IF(AND(#REF!&gt;=table!$E$8,#REF!&lt;=table!$F$8),1,0))</f>
        <v>#REF!</v>
      </c>
      <c r="T4793" s="5"/>
      <c r="U4793" s="5" t="e">
        <f>IF(AND(#REF!&gt;=table!$C$10,#REF!&lt;= table!$D$10),-1,IF(AND(#REF!&gt;=table!$E$10,#REF!&lt;=table!$F$10),1,0))</f>
        <v>#REF!</v>
      </c>
      <c r="V4793" s="5" t="e">
        <f>IF(AND(#REF!&gt;=table!$C$11,#REF!&lt;= table!$D$11),-1,IF(AND(#REF!&gt;=table!$E$11,#REF!&lt;=table!$F$11),1,0))</f>
        <v>#REF!</v>
      </c>
      <c r="W4793" s="5" t="e">
        <f>CONCATENATE(dados[[#This Row],[fator1]],dados[[#This Row],[fator5]],dados[[#This Row],[fator6]])</f>
        <v>#REF!</v>
      </c>
    </row>
    <row r="4794" spans="1:23">
      <c r="A4794" t="s">
        <v>16</v>
      </c>
      <c r="B4794">
        <v>591038</v>
      </c>
      <c r="C4794">
        <v>0.15</v>
      </c>
      <c r="D4794">
        <v>35</v>
      </c>
      <c r="E4794">
        <v>15</v>
      </c>
      <c r="F4794">
        <v>10</v>
      </c>
      <c r="G4794">
        <v>0</v>
      </c>
      <c r="H4794">
        <v>12</v>
      </c>
      <c r="I4794">
        <v>1584</v>
      </c>
      <c r="J4794">
        <v>670</v>
      </c>
      <c r="K4794">
        <v>5.1775000000000002</v>
      </c>
      <c r="L4794">
        <v>15.421000000000001</v>
      </c>
      <c r="M4794">
        <v>9.4860000000000007</v>
      </c>
      <c r="N4794">
        <v>14.615</v>
      </c>
      <c r="O4794">
        <v>1687</v>
      </c>
      <c r="P4794">
        <v>807</v>
      </c>
      <c r="Q4794" s="5" t="e">
        <f>IF(AND(#REF!&gt;=table!$C$6,#REF!&lt;= table!$D$6),-1,IF(AND(#REF!&gt;=table!$E$6,#REF!&lt;=table!$F$6),1,0))</f>
        <v>#REF!</v>
      </c>
      <c r="R4794" s="5" t="e">
        <f>IF(AND(#REF!&gt;=table!$C$7,#REF!&lt;= table!$D$7),-1,IF(AND(#REF!&gt;=table!$E$7,#REF!&lt;=table!$F$7),1,0))</f>
        <v>#REF!</v>
      </c>
      <c r="S4794" s="5" t="e">
        <f>IF(AND(#REF!&gt;=table!$C$8,#REF!&lt;= table!$D$8),-1,IF(AND(#REF!&gt;=table!$E$8,#REF!&lt;=table!$F$8),1,0))</f>
        <v>#REF!</v>
      </c>
      <c r="T4794" s="5"/>
      <c r="U4794" s="5" t="e">
        <f>IF(AND(#REF!&gt;=table!$C$10,#REF!&lt;= table!$D$10),-1,IF(AND(#REF!&gt;=table!$E$10,#REF!&lt;=table!$F$10),1,0))</f>
        <v>#REF!</v>
      </c>
      <c r="V4794" s="5" t="e">
        <f>IF(AND(#REF!&gt;=table!$C$11,#REF!&lt;= table!$D$11),-1,IF(AND(#REF!&gt;=table!$E$11,#REF!&lt;=table!$F$11),1,0))</f>
        <v>#REF!</v>
      </c>
      <c r="W4794" s="5" t="e">
        <f>CONCATENATE(dados[[#This Row],[fator1]],dados[[#This Row],[fator5]],dados[[#This Row],[fator6]])</f>
        <v>#REF!</v>
      </c>
    </row>
    <row r="4795" spans="1:23">
      <c r="A4795" t="s">
        <v>16</v>
      </c>
      <c r="B4795">
        <v>591039</v>
      </c>
      <c r="C4795">
        <v>0.1</v>
      </c>
      <c r="D4795">
        <v>35</v>
      </c>
      <c r="E4795">
        <v>10</v>
      </c>
      <c r="F4795">
        <v>10</v>
      </c>
      <c r="G4795">
        <v>0</v>
      </c>
      <c r="H4795">
        <v>12</v>
      </c>
      <c r="I4795">
        <v>1480</v>
      </c>
      <c r="J4795">
        <v>0</v>
      </c>
      <c r="K4795">
        <v>4.0890000000000004</v>
      </c>
      <c r="L4795">
        <v>10.6235</v>
      </c>
      <c r="M4795">
        <v>9.4160000000000004</v>
      </c>
      <c r="N4795">
        <v>11.905000000000001</v>
      </c>
      <c r="O4795">
        <v>1679</v>
      </c>
      <c r="P4795">
        <v>1045</v>
      </c>
      <c r="Q4795" s="5" t="e">
        <f>IF(AND(#REF!&gt;=table!$C$6,#REF!&lt;= table!$D$6),-1,IF(AND(#REF!&gt;=table!$E$6,#REF!&lt;=table!$F$6),1,0))</f>
        <v>#REF!</v>
      </c>
      <c r="R4795" s="5" t="e">
        <f>IF(AND(#REF!&gt;=table!$C$7,#REF!&lt;= table!$D$7),-1,IF(AND(#REF!&gt;=table!$E$7,#REF!&lt;=table!$F$7),1,0))</f>
        <v>#REF!</v>
      </c>
      <c r="S4795" s="5" t="e">
        <f>IF(AND(#REF!&gt;=table!$C$8,#REF!&lt;= table!$D$8),-1,IF(AND(#REF!&gt;=table!$E$8,#REF!&lt;=table!$F$8),1,0))</f>
        <v>#REF!</v>
      </c>
      <c r="T4795" s="5"/>
      <c r="U4795" s="5" t="e">
        <f>IF(AND(#REF!&gt;=table!$C$10,#REF!&lt;= table!$D$10),-1,IF(AND(#REF!&gt;=table!$E$10,#REF!&lt;=table!$F$10),1,0))</f>
        <v>#REF!</v>
      </c>
      <c r="V4795" s="5" t="e">
        <f>IF(AND(#REF!&gt;=table!$C$11,#REF!&lt;= table!$D$11),-1,IF(AND(#REF!&gt;=table!$E$11,#REF!&lt;=table!$F$11),1,0))</f>
        <v>#REF!</v>
      </c>
      <c r="W4795" s="5" t="e">
        <f>CONCATENATE(dados[[#This Row],[fator1]],dados[[#This Row],[fator5]],dados[[#This Row],[fator6]])</f>
        <v>#REF!</v>
      </c>
    </row>
    <row r="4796" spans="1:23">
      <c r="A4796" t="s">
        <v>16</v>
      </c>
      <c r="B4796">
        <v>591043</v>
      </c>
      <c r="C4796">
        <v>0.15</v>
      </c>
      <c r="D4796">
        <v>35</v>
      </c>
      <c r="E4796">
        <v>15</v>
      </c>
      <c r="F4796">
        <v>10</v>
      </c>
      <c r="G4796">
        <v>0</v>
      </c>
      <c r="H4796">
        <v>12</v>
      </c>
      <c r="I4796">
        <v>1091</v>
      </c>
      <c r="J4796">
        <v>0</v>
      </c>
      <c r="K4796">
        <v>4.0365000000000002</v>
      </c>
      <c r="L4796">
        <v>12.5465</v>
      </c>
      <c r="M4796">
        <v>10.5655</v>
      </c>
      <c r="N4796">
        <v>9.1650000000000009</v>
      </c>
      <c r="O4796">
        <v>1669</v>
      </c>
      <c r="P4796">
        <v>0</v>
      </c>
      <c r="Q4796" s="5" t="e">
        <f>IF(AND(#REF!&gt;=table!$C$6,#REF!&lt;= table!$D$6),-1,IF(AND(#REF!&gt;=table!$E$6,#REF!&lt;=table!$F$6),1,0))</f>
        <v>#REF!</v>
      </c>
      <c r="R4796" s="5" t="e">
        <f>IF(AND(#REF!&gt;=table!$C$7,#REF!&lt;= table!$D$7),-1,IF(AND(#REF!&gt;=table!$E$7,#REF!&lt;=table!$F$7),1,0))</f>
        <v>#REF!</v>
      </c>
      <c r="S4796" s="5" t="e">
        <f>IF(AND(#REF!&gt;=table!$C$8,#REF!&lt;= table!$D$8),-1,IF(AND(#REF!&gt;=table!$E$8,#REF!&lt;=table!$F$8),1,0))</f>
        <v>#REF!</v>
      </c>
      <c r="T4796" s="5"/>
      <c r="U4796" s="5" t="e">
        <f>IF(AND(#REF!&gt;=table!$C$10,#REF!&lt;= table!$D$10),-1,IF(AND(#REF!&gt;=table!$E$10,#REF!&lt;=table!$F$10),1,0))</f>
        <v>#REF!</v>
      </c>
      <c r="V4796" s="5" t="e">
        <f>IF(AND(#REF!&gt;=table!$C$11,#REF!&lt;= table!$D$11),-1,IF(AND(#REF!&gt;=table!$E$11,#REF!&lt;=table!$F$11),1,0))</f>
        <v>#REF!</v>
      </c>
      <c r="W4796" s="5" t="e">
        <f>CONCATENATE(dados[[#This Row],[fator1]],dados[[#This Row],[fator5]],dados[[#This Row],[fator6]])</f>
        <v>#REF!</v>
      </c>
    </row>
    <row r="4797" spans="1:23">
      <c r="A4797" t="s">
        <v>17</v>
      </c>
      <c r="B4797">
        <v>591044</v>
      </c>
      <c r="C4797">
        <v>15</v>
      </c>
      <c r="D4797">
        <v>33</v>
      </c>
      <c r="E4797">
        <v>140</v>
      </c>
      <c r="F4797">
        <v>10</v>
      </c>
      <c r="G4797">
        <v>15</v>
      </c>
      <c r="H4797">
        <v>25</v>
      </c>
      <c r="I4797">
        <v>2</v>
      </c>
      <c r="J4797">
        <v>0</v>
      </c>
      <c r="K4797">
        <v>6.2220000000000004</v>
      </c>
      <c r="L4797">
        <v>14.794500000000001</v>
      </c>
      <c r="M4797">
        <v>120.107</v>
      </c>
      <c r="N4797">
        <v>14.905000000000001</v>
      </c>
      <c r="O4797">
        <v>1660</v>
      </c>
      <c r="P4797">
        <v>583</v>
      </c>
      <c r="Q4797" s="5" t="e">
        <f>IF(AND(#REF!&gt;=table!$C$6,#REF!&lt;= table!$D$6),-1,IF(AND(#REF!&gt;=table!$E$6,#REF!&lt;=table!$F$6),1,0))</f>
        <v>#REF!</v>
      </c>
      <c r="R4797" s="5" t="e">
        <f>IF(AND(#REF!&gt;=table!$C$7,#REF!&lt;= table!$D$7),-1,IF(AND(#REF!&gt;=table!$E$7,#REF!&lt;=table!$F$7),1,0))</f>
        <v>#REF!</v>
      </c>
      <c r="S4797" s="5" t="e">
        <f>IF(AND(#REF!&gt;=table!$C$8,#REF!&lt;= table!$D$8),-1,IF(AND(#REF!&gt;=table!$E$8,#REF!&lt;=table!$F$8),1,0))</f>
        <v>#REF!</v>
      </c>
      <c r="T4797" s="5"/>
      <c r="U4797" s="5" t="e">
        <f>IF(AND(#REF!&gt;=table!$C$10,#REF!&lt;= table!$D$10),-1,IF(AND(#REF!&gt;=table!$E$10,#REF!&lt;=table!$F$10),1,0))</f>
        <v>#REF!</v>
      </c>
      <c r="V4797" s="5" t="e">
        <f>IF(AND(#REF!&gt;=table!$C$11,#REF!&lt;= table!$D$11),-1,IF(AND(#REF!&gt;=table!$E$11,#REF!&lt;=table!$F$11),1,0))</f>
        <v>#REF!</v>
      </c>
      <c r="W4797" s="5" t="e">
        <f>CONCATENATE(dados[[#This Row],[fator1]],dados[[#This Row],[fator5]],dados[[#This Row],[fator6]])</f>
        <v>#REF!</v>
      </c>
    </row>
    <row r="4798" spans="1:23">
      <c r="A4798" t="s">
        <v>17</v>
      </c>
      <c r="B4798">
        <v>591045</v>
      </c>
      <c r="C4798">
        <v>16</v>
      </c>
      <c r="D4798">
        <v>23</v>
      </c>
      <c r="E4798">
        <v>145</v>
      </c>
      <c r="F4798">
        <v>9</v>
      </c>
      <c r="G4798">
        <v>30</v>
      </c>
      <c r="H4798">
        <v>25</v>
      </c>
      <c r="I4798">
        <v>918</v>
      </c>
      <c r="J4798">
        <v>0</v>
      </c>
      <c r="K4798">
        <v>8.2910000000000004</v>
      </c>
      <c r="L4798">
        <v>18.353000000000002</v>
      </c>
      <c r="M4798">
        <v>134.26949999999999</v>
      </c>
      <c r="N4798">
        <v>22.32</v>
      </c>
      <c r="O4798">
        <v>1672</v>
      </c>
      <c r="P4798">
        <v>0</v>
      </c>
      <c r="Q4798" s="5" t="e">
        <f>IF(AND(#REF!&gt;=table!$C$6,#REF!&lt;= table!$D$6),-1,IF(AND(#REF!&gt;=table!$E$6,#REF!&lt;=table!$F$6),1,0))</f>
        <v>#REF!</v>
      </c>
      <c r="R4798" s="5" t="e">
        <f>IF(AND(#REF!&gt;=table!$C$7,#REF!&lt;= table!$D$7),-1,IF(AND(#REF!&gt;=table!$E$7,#REF!&lt;=table!$F$7),1,0))</f>
        <v>#REF!</v>
      </c>
      <c r="S4798" s="5" t="e">
        <f>IF(AND(#REF!&gt;=table!$C$8,#REF!&lt;= table!$D$8),-1,IF(AND(#REF!&gt;=table!$E$8,#REF!&lt;=table!$F$8),1,0))</f>
        <v>#REF!</v>
      </c>
      <c r="T4798" s="5"/>
      <c r="U4798" s="5" t="e">
        <f>IF(AND(#REF!&gt;=table!$C$10,#REF!&lt;= table!$D$10),-1,IF(AND(#REF!&gt;=table!$E$10,#REF!&lt;=table!$F$10),1,0))</f>
        <v>#REF!</v>
      </c>
      <c r="V4798" s="5" t="e">
        <f>IF(AND(#REF!&gt;=table!$C$11,#REF!&lt;= table!$D$11),-1,IF(AND(#REF!&gt;=table!$E$11,#REF!&lt;=table!$F$11),1,0))</f>
        <v>#REF!</v>
      </c>
      <c r="W4798" s="5" t="e">
        <f>CONCATENATE(dados[[#This Row],[fator1]],dados[[#This Row],[fator5]],dados[[#This Row],[fator6]])</f>
        <v>#REF!</v>
      </c>
    </row>
    <row r="4799" spans="1:23">
      <c r="A4799" t="s">
        <v>17</v>
      </c>
      <c r="B4799">
        <v>591054</v>
      </c>
      <c r="C4799">
        <v>12</v>
      </c>
      <c r="D4799">
        <v>30</v>
      </c>
      <c r="E4799">
        <v>115</v>
      </c>
      <c r="F4799">
        <v>4</v>
      </c>
      <c r="G4799">
        <v>25</v>
      </c>
      <c r="H4799">
        <v>20</v>
      </c>
      <c r="I4799">
        <v>0</v>
      </c>
      <c r="J4799">
        <v>1040</v>
      </c>
      <c r="K4799">
        <v>7.4155000000000006</v>
      </c>
      <c r="L4799">
        <v>16.721500000000002</v>
      </c>
      <c r="M4799">
        <v>83.3005</v>
      </c>
      <c r="N4799">
        <v>17.824999999999999</v>
      </c>
      <c r="O4799">
        <v>1690</v>
      </c>
      <c r="P4799">
        <v>0</v>
      </c>
      <c r="Q4799" s="5" t="e">
        <f>IF(AND(#REF!&gt;=table!$C$6,#REF!&lt;= table!$D$6),-1,IF(AND(#REF!&gt;=table!$E$6,#REF!&lt;=table!$F$6),1,0))</f>
        <v>#REF!</v>
      </c>
      <c r="R4799" s="5" t="e">
        <f>IF(AND(#REF!&gt;=table!$C$7,#REF!&lt;= table!$D$7),-1,IF(AND(#REF!&gt;=table!$E$7,#REF!&lt;=table!$F$7),1,0))</f>
        <v>#REF!</v>
      </c>
      <c r="S4799" s="5" t="e">
        <f>IF(AND(#REF!&gt;=table!$C$8,#REF!&lt;= table!$D$8),-1,IF(AND(#REF!&gt;=table!$E$8,#REF!&lt;=table!$F$8),1,0))</f>
        <v>#REF!</v>
      </c>
      <c r="T4799" s="5"/>
      <c r="U4799" s="5" t="e">
        <f>IF(AND(#REF!&gt;=table!$C$10,#REF!&lt;= table!$D$10),-1,IF(AND(#REF!&gt;=table!$E$10,#REF!&lt;=table!$F$10),1,0))</f>
        <v>#REF!</v>
      </c>
      <c r="V4799" s="5" t="e">
        <f>IF(AND(#REF!&gt;=table!$C$11,#REF!&lt;= table!$D$11),-1,IF(AND(#REF!&gt;=table!$E$11,#REF!&lt;=table!$F$11),1,0))</f>
        <v>#REF!</v>
      </c>
      <c r="W4799" s="5" t="e">
        <f>CONCATENATE(dados[[#This Row],[fator1]],dados[[#This Row],[fator5]],dados[[#This Row],[fator6]])</f>
        <v>#REF!</v>
      </c>
    </row>
    <row r="4800" spans="1:23">
      <c r="A4800" t="s">
        <v>16</v>
      </c>
      <c r="B4800">
        <v>591062</v>
      </c>
      <c r="C4800">
        <v>12</v>
      </c>
      <c r="D4800">
        <v>35</v>
      </c>
      <c r="E4800">
        <v>86</v>
      </c>
      <c r="F4800">
        <v>10</v>
      </c>
      <c r="G4800">
        <v>0</v>
      </c>
      <c r="H4800">
        <v>25</v>
      </c>
      <c r="I4800">
        <v>0</v>
      </c>
      <c r="J4800">
        <v>0</v>
      </c>
      <c r="K4800">
        <v>2.7775000000000003</v>
      </c>
      <c r="L4800">
        <v>15.939</v>
      </c>
      <c r="M4800">
        <v>70.183999999999997</v>
      </c>
      <c r="N4800">
        <v>25.77</v>
      </c>
      <c r="O4800">
        <v>1633</v>
      </c>
      <c r="P4800">
        <v>0</v>
      </c>
      <c r="Q4800" s="5" t="e">
        <f>IF(AND(#REF!&gt;=table!$C$6,#REF!&lt;= table!$D$6),-1,IF(AND(#REF!&gt;=table!$E$6,#REF!&lt;=table!$F$6),1,0))</f>
        <v>#REF!</v>
      </c>
      <c r="R4800" s="5" t="e">
        <f>IF(AND(#REF!&gt;=table!$C$7,#REF!&lt;= table!$D$7),-1,IF(AND(#REF!&gt;=table!$E$7,#REF!&lt;=table!$F$7),1,0))</f>
        <v>#REF!</v>
      </c>
      <c r="S4800" s="5" t="e">
        <f>IF(AND(#REF!&gt;=table!$C$8,#REF!&lt;= table!$D$8),-1,IF(AND(#REF!&gt;=table!$E$8,#REF!&lt;=table!$F$8),1,0))</f>
        <v>#REF!</v>
      </c>
      <c r="T4800" s="5"/>
      <c r="U4800" s="5" t="e">
        <f>IF(AND(#REF!&gt;=table!$C$10,#REF!&lt;= table!$D$10),-1,IF(AND(#REF!&gt;=table!$E$10,#REF!&lt;=table!$F$10),1,0))</f>
        <v>#REF!</v>
      </c>
      <c r="V4800" s="5" t="e">
        <f>IF(AND(#REF!&gt;=table!$C$11,#REF!&lt;= table!$D$11),-1,IF(AND(#REF!&gt;=table!$E$11,#REF!&lt;=table!$F$11),1,0))</f>
        <v>#REF!</v>
      </c>
      <c r="W4800" s="5" t="e">
        <f>CONCATENATE(dados[[#This Row],[fator1]],dados[[#This Row],[fator5]],dados[[#This Row],[fator6]])</f>
        <v>#REF!</v>
      </c>
    </row>
    <row r="4801" spans="1:23">
      <c r="A4801" t="s">
        <v>17</v>
      </c>
      <c r="B4801">
        <v>591063</v>
      </c>
      <c r="C4801">
        <v>8</v>
      </c>
      <c r="D4801">
        <v>30</v>
      </c>
      <c r="E4801">
        <v>153</v>
      </c>
      <c r="F4801">
        <v>2</v>
      </c>
      <c r="G4801">
        <v>20</v>
      </c>
      <c r="H4801">
        <v>18</v>
      </c>
      <c r="I4801">
        <v>0</v>
      </c>
      <c r="J4801">
        <v>0</v>
      </c>
      <c r="K4801">
        <v>2.9359999999999999</v>
      </c>
      <c r="L4801">
        <v>6.0834999999999999</v>
      </c>
      <c r="M4801">
        <v>135.715</v>
      </c>
      <c r="N4801">
        <v>11.555</v>
      </c>
      <c r="O4801">
        <v>1676</v>
      </c>
      <c r="P4801">
        <v>0</v>
      </c>
      <c r="Q4801" s="5" t="e">
        <f>IF(AND(#REF!&gt;=table!$C$6,#REF!&lt;= table!$D$6),-1,IF(AND(#REF!&gt;=table!$E$6,#REF!&lt;=table!$F$6),1,0))</f>
        <v>#REF!</v>
      </c>
      <c r="R4801" s="5" t="e">
        <f>IF(AND(#REF!&gt;=table!$C$7,#REF!&lt;= table!$D$7),-1,IF(AND(#REF!&gt;=table!$E$7,#REF!&lt;=table!$F$7),1,0))</f>
        <v>#REF!</v>
      </c>
      <c r="S4801" s="5" t="e">
        <f>IF(AND(#REF!&gt;=table!$C$8,#REF!&lt;= table!$D$8),-1,IF(AND(#REF!&gt;=table!$E$8,#REF!&lt;=table!$F$8),1,0))</f>
        <v>#REF!</v>
      </c>
      <c r="T4801" s="5"/>
      <c r="U4801" s="5" t="e">
        <f>IF(AND(#REF!&gt;=table!$C$10,#REF!&lt;= table!$D$10),-1,IF(AND(#REF!&gt;=table!$E$10,#REF!&lt;=table!$F$10),1,0))</f>
        <v>#REF!</v>
      </c>
      <c r="V4801" s="5" t="e">
        <f>IF(AND(#REF!&gt;=table!$C$11,#REF!&lt;= table!$D$11),-1,IF(AND(#REF!&gt;=table!$E$11,#REF!&lt;=table!$F$11),1,0))</f>
        <v>#REF!</v>
      </c>
      <c r="W4801" s="5" t="e">
        <f>CONCATENATE(dados[[#This Row],[fator1]],dados[[#This Row],[fator5]],dados[[#This Row],[fator6]])</f>
        <v>#REF!</v>
      </c>
    </row>
    <row r="4802" spans="1:23">
      <c r="A4802" t="s">
        <v>16</v>
      </c>
      <c r="B4802">
        <v>591066</v>
      </c>
      <c r="C4802">
        <v>12</v>
      </c>
      <c r="D4802">
        <v>35</v>
      </c>
      <c r="E4802">
        <v>86</v>
      </c>
      <c r="F4802">
        <v>10</v>
      </c>
      <c r="G4802">
        <v>0</v>
      </c>
      <c r="H4802">
        <v>25</v>
      </c>
      <c r="I4802">
        <v>32</v>
      </c>
      <c r="J4802">
        <v>0</v>
      </c>
      <c r="K4802">
        <v>3.9790000000000001</v>
      </c>
      <c r="L4802">
        <v>10.506500000000001</v>
      </c>
      <c r="M4802">
        <v>76.896500000000003</v>
      </c>
      <c r="N4802">
        <v>19.185000000000002</v>
      </c>
      <c r="O4802">
        <v>1697</v>
      </c>
      <c r="P4802">
        <v>0</v>
      </c>
      <c r="Q4802" s="5" t="e">
        <f>IF(AND(#REF!&gt;=table!$C$6,#REF!&lt;= table!$D$6),-1,IF(AND(#REF!&gt;=table!$E$6,#REF!&lt;=table!$F$6),1,0))</f>
        <v>#REF!</v>
      </c>
      <c r="R4802" s="5" t="e">
        <f>IF(AND(#REF!&gt;=table!$C$7,#REF!&lt;= table!$D$7),-1,IF(AND(#REF!&gt;=table!$E$7,#REF!&lt;=table!$F$7),1,0))</f>
        <v>#REF!</v>
      </c>
      <c r="S4802" s="5" t="e">
        <f>IF(AND(#REF!&gt;=table!$C$8,#REF!&lt;= table!$D$8),-1,IF(AND(#REF!&gt;=table!$E$8,#REF!&lt;=table!$F$8),1,0))</f>
        <v>#REF!</v>
      </c>
      <c r="T4802" s="5"/>
      <c r="U4802" s="5" t="e">
        <f>IF(AND(#REF!&gt;=table!$C$10,#REF!&lt;= table!$D$10),-1,IF(AND(#REF!&gt;=table!$E$10,#REF!&lt;=table!$F$10),1,0))</f>
        <v>#REF!</v>
      </c>
      <c r="V4802" s="5" t="e">
        <f>IF(AND(#REF!&gt;=table!$C$11,#REF!&lt;= table!$D$11),-1,IF(AND(#REF!&gt;=table!$E$11,#REF!&lt;=table!$F$11),1,0))</f>
        <v>#REF!</v>
      </c>
      <c r="W4802" s="5" t="e">
        <f>CONCATENATE(dados[[#This Row],[fator1]],dados[[#This Row],[fator5]],dados[[#This Row],[fator6]])</f>
        <v>#REF!</v>
      </c>
    </row>
    <row r="4803" spans="1:23">
      <c r="A4803" t="s">
        <v>16</v>
      </c>
      <c r="B4803">
        <v>591067</v>
      </c>
      <c r="C4803">
        <v>12</v>
      </c>
      <c r="D4803">
        <v>40</v>
      </c>
      <c r="E4803">
        <v>36</v>
      </c>
      <c r="F4803">
        <v>9</v>
      </c>
      <c r="G4803">
        <v>0</v>
      </c>
      <c r="H4803">
        <v>25</v>
      </c>
      <c r="I4803">
        <v>1394</v>
      </c>
      <c r="J4803">
        <v>0</v>
      </c>
      <c r="K4803">
        <v>6.32</v>
      </c>
      <c r="L4803">
        <v>8.745000000000001</v>
      </c>
      <c r="M4803">
        <v>27.648500000000002</v>
      </c>
      <c r="N4803">
        <v>13.540000000000001</v>
      </c>
      <c r="O4803">
        <v>1680</v>
      </c>
      <c r="P4803">
        <v>639</v>
      </c>
      <c r="Q4803" s="5" t="e">
        <f>IF(AND(#REF!&gt;=table!$C$6,#REF!&lt;= table!$D$6),-1,IF(AND(#REF!&gt;=table!$E$6,#REF!&lt;=table!$F$6),1,0))</f>
        <v>#REF!</v>
      </c>
      <c r="R4803" s="5" t="e">
        <f>IF(AND(#REF!&gt;=table!$C$7,#REF!&lt;= table!$D$7),-1,IF(AND(#REF!&gt;=table!$E$7,#REF!&lt;=table!$F$7),1,0))</f>
        <v>#REF!</v>
      </c>
      <c r="S4803" s="5" t="e">
        <f>IF(AND(#REF!&gt;=table!$C$8,#REF!&lt;= table!$D$8),-1,IF(AND(#REF!&gt;=table!$E$8,#REF!&lt;=table!$F$8),1,0))</f>
        <v>#REF!</v>
      </c>
      <c r="T4803" s="5"/>
      <c r="U4803" s="5" t="e">
        <f>IF(AND(#REF!&gt;=table!$C$10,#REF!&lt;= table!$D$10),-1,IF(AND(#REF!&gt;=table!$E$10,#REF!&lt;=table!$F$10),1,0))</f>
        <v>#REF!</v>
      </c>
      <c r="V4803" s="5" t="e">
        <f>IF(AND(#REF!&gt;=table!$C$11,#REF!&lt;= table!$D$11),-1,IF(AND(#REF!&gt;=table!$E$11,#REF!&lt;=table!$F$11),1,0))</f>
        <v>#REF!</v>
      </c>
      <c r="W4803" s="5" t="e">
        <f>CONCATENATE(dados[[#This Row],[fator1]],dados[[#This Row],[fator5]],dados[[#This Row],[fator6]])</f>
        <v>#REF!</v>
      </c>
    </row>
    <row r="4804" spans="1:23">
      <c r="A4804" t="s">
        <v>17</v>
      </c>
      <c r="B4804">
        <v>591079</v>
      </c>
      <c r="C4804">
        <v>18</v>
      </c>
      <c r="D4804">
        <v>33</v>
      </c>
      <c r="E4804">
        <v>120</v>
      </c>
      <c r="F4804">
        <v>4</v>
      </c>
      <c r="G4804">
        <v>28</v>
      </c>
      <c r="H4804">
        <v>25</v>
      </c>
      <c r="I4804">
        <v>403</v>
      </c>
      <c r="J4804">
        <v>470</v>
      </c>
      <c r="K4804">
        <v>4.2720000000000002</v>
      </c>
      <c r="L4804">
        <v>12.631500000000001</v>
      </c>
      <c r="M4804">
        <v>105.71650000000001</v>
      </c>
      <c r="N4804">
        <v>16.260000000000002</v>
      </c>
      <c r="O4804">
        <v>1691</v>
      </c>
      <c r="P4804">
        <v>0</v>
      </c>
      <c r="Q4804" s="5" t="e">
        <f>IF(AND(#REF!&gt;=table!$C$6,#REF!&lt;= table!$D$6),-1,IF(AND(#REF!&gt;=table!$E$6,#REF!&lt;=table!$F$6),1,0))</f>
        <v>#REF!</v>
      </c>
      <c r="R4804" s="5" t="e">
        <f>IF(AND(#REF!&gt;=table!$C$7,#REF!&lt;= table!$D$7),-1,IF(AND(#REF!&gt;=table!$E$7,#REF!&lt;=table!$F$7),1,0))</f>
        <v>#REF!</v>
      </c>
      <c r="S4804" s="5" t="e">
        <f>IF(AND(#REF!&gt;=table!$C$8,#REF!&lt;= table!$D$8),-1,IF(AND(#REF!&gt;=table!$E$8,#REF!&lt;=table!$F$8),1,0))</f>
        <v>#REF!</v>
      </c>
      <c r="T4804" s="5"/>
      <c r="U4804" s="5" t="e">
        <f>IF(AND(#REF!&gt;=table!$C$10,#REF!&lt;= table!$D$10),-1,IF(AND(#REF!&gt;=table!$E$10,#REF!&lt;=table!$F$10),1,0))</f>
        <v>#REF!</v>
      </c>
      <c r="V4804" s="5" t="e">
        <f>IF(AND(#REF!&gt;=table!$C$11,#REF!&lt;= table!$D$11),-1,IF(AND(#REF!&gt;=table!$E$11,#REF!&lt;=table!$F$11),1,0))</f>
        <v>#REF!</v>
      </c>
      <c r="W4804" s="5" t="e">
        <f>CONCATENATE(dados[[#This Row],[fator1]],dados[[#This Row],[fator5]],dados[[#This Row],[fator6]])</f>
        <v>#REF!</v>
      </c>
    </row>
    <row r="4805" spans="1:23">
      <c r="A4805" t="s">
        <v>17</v>
      </c>
      <c r="B4805">
        <v>591080</v>
      </c>
      <c r="C4805">
        <v>0.15</v>
      </c>
      <c r="D4805">
        <v>40</v>
      </c>
      <c r="E4805">
        <v>105</v>
      </c>
      <c r="F4805">
        <v>10</v>
      </c>
      <c r="G4805">
        <v>10</v>
      </c>
      <c r="H4805">
        <v>80</v>
      </c>
      <c r="I4805">
        <v>27</v>
      </c>
      <c r="J4805">
        <v>0</v>
      </c>
      <c r="K4805">
        <v>7.3405000000000005</v>
      </c>
      <c r="L4805">
        <v>20.851500000000001</v>
      </c>
      <c r="M4805">
        <v>18.958500000000001</v>
      </c>
      <c r="N4805">
        <v>27.325000000000003</v>
      </c>
      <c r="O4805">
        <v>1673</v>
      </c>
      <c r="P4805">
        <v>532</v>
      </c>
      <c r="Q4805" s="5" t="e">
        <f>IF(AND(#REF!&gt;=table!$C$6,#REF!&lt;= table!$D$6),-1,IF(AND(#REF!&gt;=table!$E$6,#REF!&lt;=table!$F$6),1,0))</f>
        <v>#REF!</v>
      </c>
      <c r="R4805" s="5" t="e">
        <f>IF(AND(#REF!&gt;=table!$C$7,#REF!&lt;= table!$D$7),-1,IF(AND(#REF!&gt;=table!$E$7,#REF!&lt;=table!$F$7),1,0))</f>
        <v>#REF!</v>
      </c>
      <c r="S4805" s="5" t="e">
        <f>IF(AND(#REF!&gt;=table!$C$8,#REF!&lt;= table!$D$8),-1,IF(AND(#REF!&gt;=table!$E$8,#REF!&lt;=table!$F$8),1,0))</f>
        <v>#REF!</v>
      </c>
      <c r="T4805" s="5"/>
      <c r="U4805" s="5" t="e">
        <f>IF(AND(#REF!&gt;=table!$C$10,#REF!&lt;= table!$D$10),-1,IF(AND(#REF!&gt;=table!$E$10,#REF!&lt;=table!$F$10),1,0))</f>
        <v>#REF!</v>
      </c>
      <c r="V4805" s="5" t="e">
        <f>IF(AND(#REF!&gt;=table!$C$11,#REF!&lt;= table!$D$11),-1,IF(AND(#REF!&gt;=table!$E$11,#REF!&lt;=table!$F$11),1,0))</f>
        <v>#REF!</v>
      </c>
      <c r="W4805" s="5" t="e">
        <f>CONCATENATE(dados[[#This Row],[fator1]],dados[[#This Row],[fator5]],dados[[#This Row],[fator6]])</f>
        <v>#REF!</v>
      </c>
    </row>
    <row r="4806" spans="1:23">
      <c r="A4806" t="s">
        <v>16</v>
      </c>
      <c r="B4806">
        <v>591085</v>
      </c>
      <c r="C4806">
        <v>4</v>
      </c>
      <c r="D4806">
        <v>40</v>
      </c>
      <c r="E4806">
        <v>21</v>
      </c>
      <c r="F4806">
        <v>10</v>
      </c>
      <c r="G4806">
        <v>0</v>
      </c>
      <c r="H4806">
        <v>25</v>
      </c>
      <c r="I4806">
        <v>44</v>
      </c>
      <c r="J4806">
        <v>0</v>
      </c>
      <c r="K4806">
        <v>2.7515000000000001</v>
      </c>
      <c r="L4806">
        <v>4.3660000000000005</v>
      </c>
      <c r="M4806">
        <v>31.379000000000001</v>
      </c>
      <c r="N4806">
        <v>16.89</v>
      </c>
      <c r="O4806">
        <v>1685</v>
      </c>
      <c r="P4806">
        <v>0</v>
      </c>
      <c r="Q4806" s="5" t="e">
        <f>IF(AND(#REF!&gt;=table!$C$6,#REF!&lt;= table!$D$6),-1,IF(AND(#REF!&gt;=table!$E$6,#REF!&lt;=table!$F$6),1,0))</f>
        <v>#REF!</v>
      </c>
      <c r="R4806" s="5" t="e">
        <f>IF(AND(#REF!&gt;=table!$C$7,#REF!&lt;= table!$D$7),-1,IF(AND(#REF!&gt;=table!$E$7,#REF!&lt;=table!$F$7),1,0))</f>
        <v>#REF!</v>
      </c>
      <c r="S4806" s="5" t="e">
        <f>IF(AND(#REF!&gt;=table!$C$8,#REF!&lt;= table!$D$8),-1,IF(AND(#REF!&gt;=table!$E$8,#REF!&lt;=table!$F$8),1,0))</f>
        <v>#REF!</v>
      </c>
      <c r="T4806" s="5"/>
      <c r="U4806" s="5" t="e">
        <f>IF(AND(#REF!&gt;=table!$C$10,#REF!&lt;= table!$D$10),-1,IF(AND(#REF!&gt;=table!$E$10,#REF!&lt;=table!$F$10),1,0))</f>
        <v>#REF!</v>
      </c>
      <c r="V4806" s="5" t="e">
        <f>IF(AND(#REF!&gt;=table!$C$11,#REF!&lt;= table!$D$11),-1,IF(AND(#REF!&gt;=table!$E$11,#REF!&lt;=table!$F$11),1,0))</f>
        <v>#REF!</v>
      </c>
      <c r="W4806" s="5" t="e">
        <f>CONCATENATE(dados[[#This Row],[fator1]],dados[[#This Row],[fator5]],dados[[#This Row],[fator6]])</f>
        <v>#REF!</v>
      </c>
    </row>
    <row r="4807" spans="1:23">
      <c r="A4807" t="s">
        <v>16</v>
      </c>
      <c r="B4807">
        <v>591090</v>
      </c>
      <c r="C4807">
        <v>12</v>
      </c>
      <c r="D4807">
        <v>35</v>
      </c>
      <c r="E4807">
        <v>180</v>
      </c>
      <c r="F4807">
        <v>6</v>
      </c>
      <c r="G4807">
        <v>0</v>
      </c>
      <c r="H4807">
        <v>20</v>
      </c>
      <c r="I4807">
        <v>810</v>
      </c>
      <c r="J4807">
        <v>0</v>
      </c>
      <c r="K4807">
        <v>4.2534999999999998</v>
      </c>
      <c r="L4807">
        <v>8.1605000000000008</v>
      </c>
      <c r="M4807">
        <v>153.161</v>
      </c>
      <c r="N4807">
        <v>17.09</v>
      </c>
      <c r="O4807">
        <v>1664</v>
      </c>
      <c r="P4807">
        <v>0</v>
      </c>
      <c r="Q4807" s="5" t="e">
        <f>IF(AND(#REF!&gt;=table!$C$6,#REF!&lt;= table!$D$6),-1,IF(AND(#REF!&gt;=table!$E$6,#REF!&lt;=table!$F$6),1,0))</f>
        <v>#REF!</v>
      </c>
      <c r="R4807" s="5" t="e">
        <f>IF(AND(#REF!&gt;=table!$C$7,#REF!&lt;= table!$D$7),-1,IF(AND(#REF!&gt;=table!$E$7,#REF!&lt;=table!$F$7),1,0))</f>
        <v>#REF!</v>
      </c>
      <c r="S4807" s="5" t="e">
        <f>IF(AND(#REF!&gt;=table!$C$8,#REF!&lt;= table!$D$8),-1,IF(AND(#REF!&gt;=table!$E$8,#REF!&lt;=table!$F$8),1,0))</f>
        <v>#REF!</v>
      </c>
      <c r="T4807" s="5"/>
      <c r="U4807" s="5" t="e">
        <f>IF(AND(#REF!&gt;=table!$C$10,#REF!&lt;= table!$D$10),-1,IF(AND(#REF!&gt;=table!$E$10,#REF!&lt;=table!$F$10),1,0))</f>
        <v>#REF!</v>
      </c>
      <c r="V4807" s="5" t="e">
        <f>IF(AND(#REF!&gt;=table!$C$11,#REF!&lt;= table!$D$11),-1,IF(AND(#REF!&gt;=table!$E$11,#REF!&lt;=table!$F$11),1,0))</f>
        <v>#REF!</v>
      </c>
      <c r="W4807" s="5" t="e">
        <f>CONCATENATE(dados[[#This Row],[fator1]],dados[[#This Row],[fator5]],dados[[#This Row],[fator6]])</f>
        <v>#REF!</v>
      </c>
    </row>
    <row r="4808" spans="1:23">
      <c r="A4808" t="s">
        <v>16</v>
      </c>
      <c r="B4808">
        <v>591091</v>
      </c>
      <c r="C4808">
        <v>0.15</v>
      </c>
      <c r="D4808">
        <v>40</v>
      </c>
      <c r="E4808">
        <v>10</v>
      </c>
      <c r="F4808">
        <v>15</v>
      </c>
      <c r="G4808">
        <v>0</v>
      </c>
      <c r="H4808">
        <v>15</v>
      </c>
      <c r="I4808">
        <v>1051</v>
      </c>
      <c r="J4808">
        <v>0</v>
      </c>
      <c r="K4808">
        <v>5.2635000000000005</v>
      </c>
      <c r="L4808">
        <v>9.1920000000000002</v>
      </c>
      <c r="M4808">
        <v>8.0165000000000006</v>
      </c>
      <c r="N4808">
        <v>10.065000000000001</v>
      </c>
      <c r="O4808">
        <v>1669</v>
      </c>
      <c r="P4808">
        <v>879</v>
      </c>
      <c r="Q4808" s="5" t="e">
        <f>IF(AND(#REF!&gt;=table!$C$6,#REF!&lt;= table!$D$6),-1,IF(AND(#REF!&gt;=table!$E$6,#REF!&lt;=table!$F$6),1,0))</f>
        <v>#REF!</v>
      </c>
      <c r="R4808" s="5" t="e">
        <f>IF(AND(#REF!&gt;=table!$C$7,#REF!&lt;= table!$D$7),-1,IF(AND(#REF!&gt;=table!$E$7,#REF!&lt;=table!$F$7),1,0))</f>
        <v>#REF!</v>
      </c>
      <c r="S4808" s="5" t="e">
        <f>IF(AND(#REF!&gt;=table!$C$8,#REF!&lt;= table!$D$8),-1,IF(AND(#REF!&gt;=table!$E$8,#REF!&lt;=table!$F$8),1,0))</f>
        <v>#REF!</v>
      </c>
      <c r="T4808" s="5"/>
      <c r="U4808" s="5" t="e">
        <f>IF(AND(#REF!&gt;=table!$C$10,#REF!&lt;= table!$D$10),-1,IF(AND(#REF!&gt;=table!$E$10,#REF!&lt;=table!$F$10),1,0))</f>
        <v>#REF!</v>
      </c>
      <c r="V4808" s="5" t="e">
        <f>IF(AND(#REF!&gt;=table!$C$11,#REF!&lt;= table!$D$11),-1,IF(AND(#REF!&gt;=table!$E$11,#REF!&lt;=table!$F$11),1,0))</f>
        <v>#REF!</v>
      </c>
      <c r="W4808" s="5" t="e">
        <f>CONCATENATE(dados[[#This Row],[fator1]],dados[[#This Row],[fator5]],dados[[#This Row],[fator6]])</f>
        <v>#REF!</v>
      </c>
    </row>
    <row r="4809" spans="1:23">
      <c r="A4809" t="s">
        <v>16</v>
      </c>
      <c r="B4809">
        <v>591095</v>
      </c>
      <c r="C4809">
        <v>0.15</v>
      </c>
      <c r="D4809">
        <v>40</v>
      </c>
      <c r="E4809">
        <v>10</v>
      </c>
      <c r="F4809">
        <v>15</v>
      </c>
      <c r="G4809">
        <v>0</v>
      </c>
      <c r="H4809">
        <v>15</v>
      </c>
      <c r="I4809">
        <v>934</v>
      </c>
      <c r="J4809">
        <v>0</v>
      </c>
      <c r="K4809">
        <v>3.202</v>
      </c>
      <c r="L4809">
        <v>6.8980000000000006</v>
      </c>
      <c r="M4809">
        <v>5.9140000000000006</v>
      </c>
      <c r="N4809">
        <v>10.96</v>
      </c>
      <c r="O4809">
        <v>1670</v>
      </c>
      <c r="P4809">
        <v>1142</v>
      </c>
      <c r="Q4809" s="5" t="e">
        <f>IF(AND(#REF!&gt;=table!$C$6,#REF!&lt;= table!$D$6),-1,IF(AND(#REF!&gt;=table!$E$6,#REF!&lt;=table!$F$6),1,0))</f>
        <v>#REF!</v>
      </c>
      <c r="R4809" s="5" t="e">
        <f>IF(AND(#REF!&gt;=table!$C$7,#REF!&lt;= table!$D$7),-1,IF(AND(#REF!&gt;=table!$E$7,#REF!&lt;=table!$F$7),1,0))</f>
        <v>#REF!</v>
      </c>
      <c r="S4809" s="5" t="e">
        <f>IF(AND(#REF!&gt;=table!$C$8,#REF!&lt;= table!$D$8),-1,IF(AND(#REF!&gt;=table!$E$8,#REF!&lt;=table!$F$8),1,0))</f>
        <v>#REF!</v>
      </c>
      <c r="T4809" s="5"/>
      <c r="U4809" s="5" t="e">
        <f>IF(AND(#REF!&gt;=table!$C$10,#REF!&lt;= table!$D$10),-1,IF(AND(#REF!&gt;=table!$E$10,#REF!&lt;=table!$F$10),1,0))</f>
        <v>#REF!</v>
      </c>
      <c r="V4809" s="5" t="e">
        <f>IF(AND(#REF!&gt;=table!$C$11,#REF!&lt;= table!$D$11),-1,IF(AND(#REF!&gt;=table!$E$11,#REF!&lt;=table!$F$11),1,0))</f>
        <v>#REF!</v>
      </c>
      <c r="W4809" s="5" t="e">
        <f>CONCATENATE(dados[[#This Row],[fator1]],dados[[#This Row],[fator5]],dados[[#This Row],[fator6]])</f>
        <v>#REF!</v>
      </c>
    </row>
    <row r="4810" spans="1:23">
      <c r="A4810" t="s">
        <v>16</v>
      </c>
      <c r="B4810">
        <v>591096</v>
      </c>
      <c r="C4810">
        <v>7</v>
      </c>
      <c r="D4810">
        <v>33</v>
      </c>
      <c r="E4810">
        <v>153</v>
      </c>
      <c r="F4810">
        <v>4</v>
      </c>
      <c r="G4810">
        <v>0</v>
      </c>
      <c r="H4810">
        <v>25</v>
      </c>
      <c r="I4810">
        <v>1178</v>
      </c>
      <c r="J4810">
        <v>0</v>
      </c>
      <c r="K4810">
        <v>2.8835000000000002</v>
      </c>
      <c r="L4810">
        <v>7.7215000000000007</v>
      </c>
      <c r="M4810">
        <v>141.9135</v>
      </c>
      <c r="N4810">
        <v>14.280000000000001</v>
      </c>
      <c r="O4810">
        <v>1641</v>
      </c>
      <c r="P4810">
        <v>985</v>
      </c>
      <c r="Q4810" s="5" t="e">
        <f>IF(AND(#REF!&gt;=table!$C$6,#REF!&lt;= table!$D$6),-1,IF(AND(#REF!&gt;=table!$E$6,#REF!&lt;=table!$F$6),1,0))</f>
        <v>#REF!</v>
      </c>
      <c r="R4810" s="5" t="e">
        <f>IF(AND(#REF!&gt;=table!$C$7,#REF!&lt;= table!$D$7),-1,IF(AND(#REF!&gt;=table!$E$7,#REF!&lt;=table!$F$7),1,0))</f>
        <v>#REF!</v>
      </c>
      <c r="S4810" s="5" t="e">
        <f>IF(AND(#REF!&gt;=table!$C$8,#REF!&lt;= table!$D$8),-1,IF(AND(#REF!&gt;=table!$E$8,#REF!&lt;=table!$F$8),1,0))</f>
        <v>#REF!</v>
      </c>
      <c r="T4810" s="5"/>
      <c r="U4810" s="5" t="e">
        <f>IF(AND(#REF!&gt;=table!$C$10,#REF!&lt;= table!$D$10),-1,IF(AND(#REF!&gt;=table!$E$10,#REF!&lt;=table!$F$10),1,0))</f>
        <v>#REF!</v>
      </c>
      <c r="V4810" s="5" t="e">
        <f>IF(AND(#REF!&gt;=table!$C$11,#REF!&lt;= table!$D$11),-1,IF(AND(#REF!&gt;=table!$E$11,#REF!&lt;=table!$F$11),1,0))</f>
        <v>#REF!</v>
      </c>
      <c r="W4810" s="5" t="e">
        <f>CONCATENATE(dados[[#This Row],[fator1]],dados[[#This Row],[fator5]],dados[[#This Row],[fator6]])</f>
        <v>#REF!</v>
      </c>
    </row>
    <row r="4811" spans="1:23">
      <c r="A4811" t="s">
        <v>16</v>
      </c>
      <c r="B4811">
        <v>591097</v>
      </c>
      <c r="C4811">
        <v>9</v>
      </c>
      <c r="D4811">
        <v>40</v>
      </c>
      <c r="E4811">
        <v>125</v>
      </c>
      <c r="F4811">
        <v>3</v>
      </c>
      <c r="G4811">
        <v>0</v>
      </c>
      <c r="H4811">
        <v>25</v>
      </c>
      <c r="I4811">
        <v>49</v>
      </c>
      <c r="J4811">
        <v>800</v>
      </c>
      <c r="K4811">
        <v>3.9265000000000003</v>
      </c>
      <c r="L4811">
        <v>12.365</v>
      </c>
      <c r="M4811">
        <v>101.1425</v>
      </c>
      <c r="N4811">
        <v>17.265000000000001</v>
      </c>
      <c r="O4811">
        <v>1680</v>
      </c>
      <c r="P4811">
        <v>1013</v>
      </c>
      <c r="Q4811" s="5" t="e">
        <f>IF(AND(#REF!&gt;=table!$C$6,#REF!&lt;= table!$D$6),-1,IF(AND(#REF!&gt;=table!$E$6,#REF!&lt;=table!$F$6),1,0))</f>
        <v>#REF!</v>
      </c>
      <c r="R4811" s="5" t="e">
        <f>IF(AND(#REF!&gt;=table!$C$7,#REF!&lt;= table!$D$7),-1,IF(AND(#REF!&gt;=table!$E$7,#REF!&lt;=table!$F$7),1,0))</f>
        <v>#REF!</v>
      </c>
      <c r="S4811" s="5" t="e">
        <f>IF(AND(#REF!&gt;=table!$C$8,#REF!&lt;= table!$D$8),-1,IF(AND(#REF!&gt;=table!$E$8,#REF!&lt;=table!$F$8),1,0))</f>
        <v>#REF!</v>
      </c>
      <c r="T4811" s="5"/>
      <c r="U4811" s="5" t="e">
        <f>IF(AND(#REF!&gt;=table!$C$10,#REF!&lt;= table!$D$10),-1,IF(AND(#REF!&gt;=table!$E$10,#REF!&lt;=table!$F$10),1,0))</f>
        <v>#REF!</v>
      </c>
      <c r="V4811" s="5" t="e">
        <f>IF(AND(#REF!&gt;=table!$C$11,#REF!&lt;= table!$D$11),-1,IF(AND(#REF!&gt;=table!$E$11,#REF!&lt;=table!$F$11),1,0))</f>
        <v>#REF!</v>
      </c>
      <c r="W4811" s="5" t="e">
        <f>CONCATENATE(dados[[#This Row],[fator1]],dados[[#This Row],[fator5]],dados[[#This Row],[fator6]])</f>
        <v>#REF!</v>
      </c>
    </row>
    <row r="4812" spans="1:23">
      <c r="A4812" t="s">
        <v>16</v>
      </c>
      <c r="B4812">
        <v>591099</v>
      </c>
      <c r="C4812">
        <v>7</v>
      </c>
      <c r="D4812">
        <v>33</v>
      </c>
      <c r="E4812">
        <v>153</v>
      </c>
      <c r="F4812">
        <v>4</v>
      </c>
      <c r="G4812">
        <v>0</v>
      </c>
      <c r="H4812">
        <v>25</v>
      </c>
      <c r="I4812">
        <v>1236</v>
      </c>
      <c r="J4812">
        <v>0</v>
      </c>
      <c r="K4812">
        <v>2.9485000000000001</v>
      </c>
      <c r="L4812">
        <v>7.1465000000000005</v>
      </c>
      <c r="M4812">
        <v>138.63249999999999</v>
      </c>
      <c r="N4812">
        <v>14.540000000000001</v>
      </c>
      <c r="O4812">
        <v>1695</v>
      </c>
      <c r="P4812">
        <v>0</v>
      </c>
      <c r="Q4812" s="5" t="e">
        <f>IF(AND(#REF!&gt;=table!$C$6,#REF!&lt;= table!$D$6),-1,IF(AND(#REF!&gt;=table!$E$6,#REF!&lt;=table!$F$6),1,0))</f>
        <v>#REF!</v>
      </c>
      <c r="R4812" s="5" t="e">
        <f>IF(AND(#REF!&gt;=table!$C$7,#REF!&lt;= table!$D$7),-1,IF(AND(#REF!&gt;=table!$E$7,#REF!&lt;=table!$F$7),1,0))</f>
        <v>#REF!</v>
      </c>
      <c r="S4812" s="5" t="e">
        <f>IF(AND(#REF!&gt;=table!$C$8,#REF!&lt;= table!$D$8),-1,IF(AND(#REF!&gt;=table!$E$8,#REF!&lt;=table!$F$8),1,0))</f>
        <v>#REF!</v>
      </c>
      <c r="T4812" s="5"/>
      <c r="U4812" s="5" t="e">
        <f>IF(AND(#REF!&gt;=table!$C$10,#REF!&lt;= table!$D$10),-1,IF(AND(#REF!&gt;=table!$E$10,#REF!&lt;=table!$F$10),1,0))</f>
        <v>#REF!</v>
      </c>
      <c r="V4812" s="5" t="e">
        <f>IF(AND(#REF!&gt;=table!$C$11,#REF!&lt;= table!$D$11),-1,IF(AND(#REF!&gt;=table!$E$11,#REF!&lt;=table!$F$11),1,0))</f>
        <v>#REF!</v>
      </c>
      <c r="W4812" s="5" t="e">
        <f>CONCATENATE(dados[[#This Row],[fator1]],dados[[#This Row],[fator5]],dados[[#This Row],[fator6]])</f>
        <v>#REF!</v>
      </c>
    </row>
    <row r="4813" spans="1:23">
      <c r="A4813" t="s">
        <v>16</v>
      </c>
      <c r="B4813">
        <v>591101</v>
      </c>
      <c r="C4813">
        <v>0.15</v>
      </c>
      <c r="D4813">
        <v>40</v>
      </c>
      <c r="E4813">
        <v>10</v>
      </c>
      <c r="F4813">
        <v>15</v>
      </c>
      <c r="G4813">
        <v>0</v>
      </c>
      <c r="H4813">
        <v>15</v>
      </c>
      <c r="I4813">
        <v>372</v>
      </c>
      <c r="J4813">
        <v>0</v>
      </c>
      <c r="K4813">
        <v>4.2359999999999998</v>
      </c>
      <c r="L4813">
        <v>12.114000000000001</v>
      </c>
      <c r="M4813">
        <v>9.8254999999999999</v>
      </c>
      <c r="N4813">
        <v>14.07</v>
      </c>
      <c r="O4813">
        <v>1672</v>
      </c>
      <c r="P4813">
        <v>0</v>
      </c>
      <c r="Q4813" s="5" t="e">
        <f>IF(AND(#REF!&gt;=table!$C$6,#REF!&lt;= table!$D$6),-1,IF(AND(#REF!&gt;=table!$E$6,#REF!&lt;=table!$F$6),1,0))</f>
        <v>#REF!</v>
      </c>
      <c r="R4813" s="5" t="e">
        <f>IF(AND(#REF!&gt;=table!$C$7,#REF!&lt;= table!$D$7),-1,IF(AND(#REF!&gt;=table!$E$7,#REF!&lt;=table!$F$7),1,0))</f>
        <v>#REF!</v>
      </c>
      <c r="S4813" s="5" t="e">
        <f>IF(AND(#REF!&gt;=table!$C$8,#REF!&lt;= table!$D$8),-1,IF(AND(#REF!&gt;=table!$E$8,#REF!&lt;=table!$F$8),1,0))</f>
        <v>#REF!</v>
      </c>
      <c r="T4813" s="5"/>
      <c r="U4813" s="5" t="e">
        <f>IF(AND(#REF!&gt;=table!$C$10,#REF!&lt;= table!$D$10),-1,IF(AND(#REF!&gt;=table!$E$10,#REF!&lt;=table!$F$10),1,0))</f>
        <v>#REF!</v>
      </c>
      <c r="V4813" s="5" t="e">
        <f>IF(AND(#REF!&gt;=table!$C$11,#REF!&lt;= table!$D$11),-1,IF(AND(#REF!&gt;=table!$E$11,#REF!&lt;=table!$F$11),1,0))</f>
        <v>#REF!</v>
      </c>
      <c r="W4813" s="5" t="e">
        <f>CONCATENATE(dados[[#This Row],[fator1]],dados[[#This Row],[fator5]],dados[[#This Row],[fator6]])</f>
        <v>#REF!</v>
      </c>
    </row>
    <row r="4814" spans="1:23">
      <c r="A4814" t="s">
        <v>16</v>
      </c>
      <c r="B4814">
        <v>591103</v>
      </c>
      <c r="C4814">
        <v>0.1</v>
      </c>
      <c r="D4814">
        <v>40</v>
      </c>
      <c r="E4814">
        <v>10</v>
      </c>
      <c r="F4814">
        <v>8</v>
      </c>
      <c r="G4814">
        <v>0</v>
      </c>
      <c r="H4814">
        <v>10</v>
      </c>
      <c r="I4814">
        <v>13</v>
      </c>
      <c r="J4814">
        <v>0</v>
      </c>
      <c r="K4814">
        <v>4.774</v>
      </c>
      <c r="L4814">
        <v>9.5615000000000006</v>
      </c>
      <c r="M4814">
        <v>7.8225000000000007</v>
      </c>
      <c r="N4814">
        <v>11.28</v>
      </c>
      <c r="O4814">
        <v>1675</v>
      </c>
      <c r="P4814">
        <v>904</v>
      </c>
      <c r="Q4814" s="5" t="e">
        <f>IF(AND(#REF!&gt;=table!$C$6,#REF!&lt;= table!$D$6),-1,IF(AND(#REF!&gt;=table!$E$6,#REF!&lt;=table!$F$6),1,0))</f>
        <v>#REF!</v>
      </c>
      <c r="R4814" s="5" t="e">
        <f>IF(AND(#REF!&gt;=table!$C$7,#REF!&lt;= table!$D$7),-1,IF(AND(#REF!&gt;=table!$E$7,#REF!&lt;=table!$F$7),1,0))</f>
        <v>#REF!</v>
      </c>
      <c r="S4814" s="5" t="e">
        <f>IF(AND(#REF!&gt;=table!$C$8,#REF!&lt;= table!$D$8),-1,IF(AND(#REF!&gt;=table!$E$8,#REF!&lt;=table!$F$8),1,0))</f>
        <v>#REF!</v>
      </c>
      <c r="T4814" s="5"/>
      <c r="U4814" s="5" t="e">
        <f>IF(AND(#REF!&gt;=table!$C$10,#REF!&lt;= table!$D$10),-1,IF(AND(#REF!&gt;=table!$E$10,#REF!&lt;=table!$F$10),1,0))</f>
        <v>#REF!</v>
      </c>
      <c r="V4814" s="5" t="e">
        <f>IF(AND(#REF!&gt;=table!$C$11,#REF!&lt;= table!$D$11),-1,IF(AND(#REF!&gt;=table!$E$11,#REF!&lt;=table!$F$11),1,0))</f>
        <v>#REF!</v>
      </c>
      <c r="W4814" s="5" t="e">
        <f>CONCATENATE(dados[[#This Row],[fator1]],dados[[#This Row],[fator5]],dados[[#This Row],[fator6]])</f>
        <v>#REF!</v>
      </c>
    </row>
    <row r="4815" spans="1:23">
      <c r="A4815" t="s">
        <v>16</v>
      </c>
      <c r="B4815">
        <v>591119</v>
      </c>
      <c r="C4815">
        <v>11</v>
      </c>
      <c r="D4815">
        <v>40</v>
      </c>
      <c r="E4815">
        <v>151</v>
      </c>
      <c r="F4815">
        <v>8</v>
      </c>
      <c r="G4815">
        <v>0</v>
      </c>
      <c r="H4815">
        <v>25</v>
      </c>
      <c r="I4815">
        <v>1118</v>
      </c>
      <c r="J4815">
        <v>0</v>
      </c>
      <c r="K4815">
        <v>6.6855000000000002</v>
      </c>
      <c r="L4815">
        <v>9.9570000000000007</v>
      </c>
      <c r="M4815">
        <v>22.38</v>
      </c>
      <c r="N4815">
        <v>9.1950000000000003</v>
      </c>
      <c r="O4815">
        <v>1671</v>
      </c>
      <c r="P4815">
        <v>547</v>
      </c>
      <c r="Q4815" s="5" t="e">
        <f>IF(AND(#REF!&gt;=table!$C$6,#REF!&lt;= table!$D$6),-1,IF(AND(#REF!&gt;=table!$E$6,#REF!&lt;=table!$F$6),1,0))</f>
        <v>#REF!</v>
      </c>
      <c r="R4815" s="5" t="e">
        <f>IF(AND(#REF!&gt;=table!$C$7,#REF!&lt;= table!$D$7),-1,IF(AND(#REF!&gt;=table!$E$7,#REF!&lt;=table!$F$7),1,0))</f>
        <v>#REF!</v>
      </c>
      <c r="S4815" s="5" t="e">
        <f>IF(AND(#REF!&gt;=table!$C$8,#REF!&lt;= table!$D$8),-1,IF(AND(#REF!&gt;=table!$E$8,#REF!&lt;=table!$F$8),1,0))</f>
        <v>#REF!</v>
      </c>
      <c r="T4815" s="5"/>
      <c r="U4815" s="5" t="e">
        <f>IF(AND(#REF!&gt;=table!$C$10,#REF!&lt;= table!$D$10),-1,IF(AND(#REF!&gt;=table!$E$10,#REF!&lt;=table!$F$10),1,0))</f>
        <v>#REF!</v>
      </c>
      <c r="V4815" s="5" t="e">
        <f>IF(AND(#REF!&gt;=table!$C$11,#REF!&lt;= table!$D$11),-1,IF(AND(#REF!&gt;=table!$E$11,#REF!&lt;=table!$F$11),1,0))</f>
        <v>#REF!</v>
      </c>
      <c r="W4815" s="5" t="e">
        <f>CONCATENATE(dados[[#This Row],[fator1]],dados[[#This Row],[fator5]],dados[[#This Row],[fator6]])</f>
        <v>#REF!</v>
      </c>
    </row>
    <row r="4816" spans="1:23">
      <c r="A4816" t="s">
        <v>16</v>
      </c>
      <c r="B4816">
        <v>591120</v>
      </c>
      <c r="C4816">
        <v>7</v>
      </c>
      <c r="D4816">
        <v>40</v>
      </c>
      <c r="E4816">
        <v>150</v>
      </c>
      <c r="F4816">
        <v>8</v>
      </c>
      <c r="G4816">
        <v>0</v>
      </c>
      <c r="H4816">
        <v>25</v>
      </c>
      <c r="I4816">
        <v>0</v>
      </c>
      <c r="J4816">
        <v>0</v>
      </c>
      <c r="K4816">
        <v>6.9455</v>
      </c>
      <c r="L4816">
        <v>12.9145</v>
      </c>
      <c r="M4816">
        <v>135.09</v>
      </c>
      <c r="N4816">
        <v>12.49</v>
      </c>
      <c r="O4816">
        <v>1696</v>
      </c>
      <c r="P4816">
        <v>645</v>
      </c>
      <c r="Q4816" s="5" t="e">
        <f>IF(AND(#REF!&gt;=table!$C$6,#REF!&lt;= table!$D$6),-1,IF(AND(#REF!&gt;=table!$E$6,#REF!&lt;=table!$F$6),1,0))</f>
        <v>#REF!</v>
      </c>
      <c r="R4816" s="5" t="e">
        <f>IF(AND(#REF!&gt;=table!$C$7,#REF!&lt;= table!$D$7),-1,IF(AND(#REF!&gt;=table!$E$7,#REF!&lt;=table!$F$7),1,0))</f>
        <v>#REF!</v>
      </c>
      <c r="S4816" s="5" t="e">
        <f>IF(AND(#REF!&gt;=table!$C$8,#REF!&lt;= table!$D$8),-1,IF(AND(#REF!&gt;=table!$E$8,#REF!&lt;=table!$F$8),1,0))</f>
        <v>#REF!</v>
      </c>
      <c r="T4816" s="5"/>
      <c r="U4816" s="5" t="e">
        <f>IF(AND(#REF!&gt;=table!$C$10,#REF!&lt;= table!$D$10),-1,IF(AND(#REF!&gt;=table!$E$10,#REF!&lt;=table!$F$10),1,0))</f>
        <v>#REF!</v>
      </c>
      <c r="V4816" s="5" t="e">
        <f>IF(AND(#REF!&gt;=table!$C$11,#REF!&lt;= table!$D$11),-1,IF(AND(#REF!&gt;=table!$E$11,#REF!&lt;=table!$F$11),1,0))</f>
        <v>#REF!</v>
      </c>
      <c r="W4816" s="5" t="e">
        <f>CONCATENATE(dados[[#This Row],[fator1]],dados[[#This Row],[fator5]],dados[[#This Row],[fator6]])</f>
        <v>#REF!</v>
      </c>
    </row>
    <row r="4817" spans="1:23">
      <c r="A4817" t="s">
        <v>16</v>
      </c>
      <c r="B4817">
        <v>591122</v>
      </c>
      <c r="C4817">
        <v>13</v>
      </c>
      <c r="D4817">
        <v>35</v>
      </c>
      <c r="E4817">
        <v>120</v>
      </c>
      <c r="F4817">
        <v>10</v>
      </c>
      <c r="G4817">
        <v>0</v>
      </c>
      <c r="H4817">
        <v>25</v>
      </c>
      <c r="I4817">
        <v>0</v>
      </c>
      <c r="J4817">
        <v>0</v>
      </c>
      <c r="K4817">
        <v>4.2875000000000005</v>
      </c>
      <c r="L4817">
        <v>9.3315000000000001</v>
      </c>
      <c r="M4817">
        <v>96.936500000000009</v>
      </c>
      <c r="N4817">
        <v>17.13</v>
      </c>
      <c r="O4817">
        <v>1669</v>
      </c>
      <c r="P4817">
        <v>0</v>
      </c>
      <c r="Q4817" s="5" t="e">
        <f>IF(AND(#REF!&gt;=table!$C$6,#REF!&lt;= table!$D$6),-1,IF(AND(#REF!&gt;=table!$E$6,#REF!&lt;=table!$F$6),1,0))</f>
        <v>#REF!</v>
      </c>
      <c r="R4817" s="5" t="e">
        <f>IF(AND(#REF!&gt;=table!$C$7,#REF!&lt;= table!$D$7),-1,IF(AND(#REF!&gt;=table!$E$7,#REF!&lt;=table!$F$7),1,0))</f>
        <v>#REF!</v>
      </c>
      <c r="S4817" s="5" t="e">
        <f>IF(AND(#REF!&gt;=table!$C$8,#REF!&lt;= table!$D$8),-1,IF(AND(#REF!&gt;=table!$E$8,#REF!&lt;=table!$F$8),1,0))</f>
        <v>#REF!</v>
      </c>
      <c r="T4817" s="5"/>
      <c r="U4817" s="5" t="e">
        <f>IF(AND(#REF!&gt;=table!$C$10,#REF!&lt;= table!$D$10),-1,IF(AND(#REF!&gt;=table!$E$10,#REF!&lt;=table!$F$10),1,0))</f>
        <v>#REF!</v>
      </c>
      <c r="V4817" s="5" t="e">
        <f>IF(AND(#REF!&gt;=table!$C$11,#REF!&lt;= table!$D$11),-1,IF(AND(#REF!&gt;=table!$E$11,#REF!&lt;=table!$F$11),1,0))</f>
        <v>#REF!</v>
      </c>
      <c r="W4817" s="5" t="e">
        <f>CONCATENATE(dados[[#This Row],[fator1]],dados[[#This Row],[fator5]],dados[[#This Row],[fator6]])</f>
        <v>#REF!</v>
      </c>
    </row>
    <row r="4818" spans="1:23">
      <c r="A4818" t="s">
        <v>17</v>
      </c>
      <c r="B4818">
        <v>591124</v>
      </c>
      <c r="C4818">
        <v>16</v>
      </c>
      <c r="D4818">
        <v>30</v>
      </c>
      <c r="E4818">
        <v>150</v>
      </c>
      <c r="F4818">
        <v>8</v>
      </c>
      <c r="G4818">
        <v>28</v>
      </c>
      <c r="H4818">
        <v>25</v>
      </c>
      <c r="I4818">
        <v>406</v>
      </c>
      <c r="J4818">
        <v>0</v>
      </c>
      <c r="K4818">
        <v>3.2170000000000001</v>
      </c>
      <c r="L4818">
        <v>8.8670000000000009</v>
      </c>
      <c r="M4818">
        <v>128.8125</v>
      </c>
      <c r="N4818">
        <v>18.16</v>
      </c>
      <c r="O4818">
        <v>1698</v>
      </c>
      <c r="P4818">
        <v>0</v>
      </c>
      <c r="Q4818" s="5" t="e">
        <f>IF(AND(#REF!&gt;=table!$C$6,#REF!&lt;= table!$D$6),-1,IF(AND(#REF!&gt;=table!$E$6,#REF!&lt;=table!$F$6),1,0))</f>
        <v>#REF!</v>
      </c>
      <c r="R4818" s="5" t="e">
        <f>IF(AND(#REF!&gt;=table!$C$7,#REF!&lt;= table!$D$7),-1,IF(AND(#REF!&gt;=table!$E$7,#REF!&lt;=table!$F$7),1,0))</f>
        <v>#REF!</v>
      </c>
      <c r="S4818" s="5" t="e">
        <f>IF(AND(#REF!&gt;=table!$C$8,#REF!&lt;= table!$D$8),-1,IF(AND(#REF!&gt;=table!$E$8,#REF!&lt;=table!$F$8),1,0))</f>
        <v>#REF!</v>
      </c>
      <c r="T4818" s="5"/>
      <c r="U4818" s="5" t="e">
        <f>IF(AND(#REF!&gt;=table!$C$10,#REF!&lt;= table!$D$10),-1,IF(AND(#REF!&gt;=table!$E$10,#REF!&lt;=table!$F$10),1,0))</f>
        <v>#REF!</v>
      </c>
      <c r="V4818" s="5" t="e">
        <f>IF(AND(#REF!&gt;=table!$C$11,#REF!&lt;= table!$D$11),-1,IF(AND(#REF!&gt;=table!$E$11,#REF!&lt;=table!$F$11),1,0))</f>
        <v>#REF!</v>
      </c>
      <c r="W4818" s="5" t="e">
        <f>CONCATENATE(dados[[#This Row],[fator1]],dados[[#This Row],[fator5]],dados[[#This Row],[fator6]])</f>
        <v>#REF!</v>
      </c>
    </row>
    <row r="4819" spans="1:23">
      <c r="A4819" t="s">
        <v>17</v>
      </c>
      <c r="B4819">
        <v>591125</v>
      </c>
      <c r="C4819">
        <v>18</v>
      </c>
      <c r="D4819">
        <v>23</v>
      </c>
      <c r="E4819">
        <v>145</v>
      </c>
      <c r="F4819">
        <v>9</v>
      </c>
      <c r="G4819">
        <v>30</v>
      </c>
      <c r="H4819">
        <v>25</v>
      </c>
      <c r="I4819">
        <v>942</v>
      </c>
      <c r="J4819">
        <v>0</v>
      </c>
      <c r="K4819">
        <v>5.6234999999999999</v>
      </c>
      <c r="L4819">
        <v>14.051</v>
      </c>
      <c r="M4819">
        <v>108.97450000000001</v>
      </c>
      <c r="N4819">
        <v>19.755000000000003</v>
      </c>
      <c r="O4819">
        <v>1690</v>
      </c>
      <c r="P4819">
        <v>0</v>
      </c>
      <c r="Q4819" s="5" t="e">
        <f>IF(AND(#REF!&gt;=table!$C$6,#REF!&lt;= table!$D$6),-1,IF(AND(#REF!&gt;=table!$E$6,#REF!&lt;=table!$F$6),1,0))</f>
        <v>#REF!</v>
      </c>
      <c r="R4819" s="5" t="e">
        <f>IF(AND(#REF!&gt;=table!$C$7,#REF!&lt;= table!$D$7),-1,IF(AND(#REF!&gt;=table!$E$7,#REF!&lt;=table!$F$7),1,0))</f>
        <v>#REF!</v>
      </c>
      <c r="S4819" s="5" t="e">
        <f>IF(AND(#REF!&gt;=table!$C$8,#REF!&lt;= table!$D$8),-1,IF(AND(#REF!&gt;=table!$E$8,#REF!&lt;=table!$F$8),1,0))</f>
        <v>#REF!</v>
      </c>
      <c r="T4819" s="5"/>
      <c r="U4819" s="5" t="e">
        <f>IF(AND(#REF!&gt;=table!$C$10,#REF!&lt;= table!$D$10),-1,IF(AND(#REF!&gt;=table!$E$10,#REF!&lt;=table!$F$10),1,0))</f>
        <v>#REF!</v>
      </c>
      <c r="V4819" s="5" t="e">
        <f>IF(AND(#REF!&gt;=table!$C$11,#REF!&lt;= table!$D$11),-1,IF(AND(#REF!&gt;=table!$E$11,#REF!&lt;=table!$F$11),1,0))</f>
        <v>#REF!</v>
      </c>
      <c r="W4819" s="5" t="e">
        <f>CONCATENATE(dados[[#This Row],[fator1]],dados[[#This Row],[fator5]],dados[[#This Row],[fator6]])</f>
        <v>#REF!</v>
      </c>
    </row>
    <row r="4820" spans="1:23">
      <c r="A4820" t="s">
        <v>17</v>
      </c>
      <c r="B4820">
        <v>591126</v>
      </c>
      <c r="C4820">
        <v>9</v>
      </c>
      <c r="D4820">
        <v>25</v>
      </c>
      <c r="E4820">
        <v>150</v>
      </c>
      <c r="F4820">
        <v>7</v>
      </c>
      <c r="G4820">
        <v>20</v>
      </c>
      <c r="H4820">
        <v>21</v>
      </c>
      <c r="I4820">
        <v>0</v>
      </c>
      <c r="J4820">
        <v>980</v>
      </c>
      <c r="K4820">
        <v>5.6234999999999999</v>
      </c>
      <c r="L4820">
        <v>14.051</v>
      </c>
      <c r="M4820">
        <v>136.79500000000002</v>
      </c>
      <c r="N4820">
        <v>19.100000000000001</v>
      </c>
      <c r="O4820">
        <v>1680</v>
      </c>
      <c r="P4820">
        <v>758</v>
      </c>
      <c r="Q4820" s="5" t="e">
        <f>IF(AND(#REF!&gt;=table!$C$6,#REF!&lt;= table!$D$6),-1,IF(AND(#REF!&gt;=table!$E$6,#REF!&lt;=table!$F$6),1,0))</f>
        <v>#REF!</v>
      </c>
      <c r="R4820" s="5" t="e">
        <f>IF(AND(#REF!&gt;=table!$C$7,#REF!&lt;= table!$D$7),-1,IF(AND(#REF!&gt;=table!$E$7,#REF!&lt;=table!$F$7),1,0))</f>
        <v>#REF!</v>
      </c>
      <c r="S4820" s="5" t="e">
        <f>IF(AND(#REF!&gt;=table!$C$8,#REF!&lt;= table!$D$8),-1,IF(AND(#REF!&gt;=table!$E$8,#REF!&lt;=table!$F$8),1,0))</f>
        <v>#REF!</v>
      </c>
      <c r="T4820" s="5"/>
      <c r="U4820" s="5" t="e">
        <f>IF(AND(#REF!&gt;=table!$C$10,#REF!&lt;= table!$D$10),-1,IF(AND(#REF!&gt;=table!$E$10,#REF!&lt;=table!$F$10),1,0))</f>
        <v>#REF!</v>
      </c>
      <c r="V4820" s="5" t="e">
        <f>IF(AND(#REF!&gt;=table!$C$11,#REF!&lt;= table!$D$11),-1,IF(AND(#REF!&gt;=table!$E$11,#REF!&lt;=table!$F$11),1,0))</f>
        <v>#REF!</v>
      </c>
      <c r="W4820" s="5" t="e">
        <f>CONCATENATE(dados[[#This Row],[fator1]],dados[[#This Row],[fator5]],dados[[#This Row],[fator6]])</f>
        <v>#REF!</v>
      </c>
    </row>
    <row r="4821" spans="1:23">
      <c r="A4821" t="s">
        <v>16</v>
      </c>
      <c r="B4821">
        <v>591128</v>
      </c>
      <c r="C4821">
        <v>8</v>
      </c>
      <c r="D4821">
        <v>30</v>
      </c>
      <c r="E4821">
        <v>86</v>
      </c>
      <c r="F4821">
        <v>8</v>
      </c>
      <c r="G4821">
        <v>0</v>
      </c>
      <c r="H4821">
        <v>25</v>
      </c>
      <c r="I4821">
        <v>747</v>
      </c>
      <c r="J4821">
        <v>0</v>
      </c>
      <c r="K4821">
        <v>5.0285000000000002</v>
      </c>
      <c r="L4821">
        <v>12.4785</v>
      </c>
      <c r="M4821">
        <v>60.958000000000006</v>
      </c>
      <c r="N4821">
        <v>14.25</v>
      </c>
      <c r="O4821">
        <v>1676</v>
      </c>
      <c r="P4821">
        <v>0</v>
      </c>
      <c r="Q4821" s="5" t="e">
        <f>IF(AND(#REF!&gt;=table!$C$6,#REF!&lt;= table!$D$6),-1,IF(AND(#REF!&gt;=table!$E$6,#REF!&lt;=table!$F$6),1,0))</f>
        <v>#REF!</v>
      </c>
      <c r="R4821" s="5" t="e">
        <f>IF(AND(#REF!&gt;=table!$C$7,#REF!&lt;= table!$D$7),-1,IF(AND(#REF!&gt;=table!$E$7,#REF!&lt;=table!$F$7),1,0))</f>
        <v>#REF!</v>
      </c>
      <c r="S4821" s="5" t="e">
        <f>IF(AND(#REF!&gt;=table!$C$8,#REF!&lt;= table!$D$8),-1,IF(AND(#REF!&gt;=table!$E$8,#REF!&lt;=table!$F$8),1,0))</f>
        <v>#REF!</v>
      </c>
      <c r="T4821" s="5"/>
      <c r="U4821" s="5" t="e">
        <f>IF(AND(#REF!&gt;=table!$C$10,#REF!&lt;= table!$D$10),-1,IF(AND(#REF!&gt;=table!$E$10,#REF!&lt;=table!$F$10),1,0))</f>
        <v>#REF!</v>
      </c>
      <c r="V4821" s="5" t="e">
        <f>IF(AND(#REF!&gt;=table!$C$11,#REF!&lt;= table!$D$11),-1,IF(AND(#REF!&gt;=table!$E$11,#REF!&lt;=table!$F$11),1,0))</f>
        <v>#REF!</v>
      </c>
      <c r="W4821" s="5" t="e">
        <f>CONCATENATE(dados[[#This Row],[fator1]],dados[[#This Row],[fator5]],dados[[#This Row],[fator6]])</f>
        <v>#REF!</v>
      </c>
    </row>
    <row r="4822" spans="1:23">
      <c r="A4822" t="s">
        <v>16</v>
      </c>
      <c r="B4822">
        <v>591129</v>
      </c>
      <c r="C4822">
        <v>12</v>
      </c>
      <c r="D4822">
        <v>35</v>
      </c>
      <c r="E4822">
        <v>86</v>
      </c>
      <c r="F4822">
        <v>10</v>
      </c>
      <c r="G4822">
        <v>0</v>
      </c>
      <c r="H4822">
        <v>25</v>
      </c>
      <c r="I4822">
        <v>935</v>
      </c>
      <c r="J4822">
        <v>0</v>
      </c>
      <c r="K4822">
        <v>5.5990000000000002</v>
      </c>
      <c r="L4822">
        <v>11.140500000000001</v>
      </c>
      <c r="M4822">
        <v>58.61</v>
      </c>
      <c r="N4822">
        <v>12.355</v>
      </c>
      <c r="O4822">
        <v>1659</v>
      </c>
      <c r="P4822">
        <v>535</v>
      </c>
      <c r="Q4822" s="5" t="e">
        <f>IF(AND(#REF!&gt;=table!$C$6,#REF!&lt;= table!$D$6),-1,IF(AND(#REF!&gt;=table!$E$6,#REF!&lt;=table!$F$6),1,0))</f>
        <v>#REF!</v>
      </c>
      <c r="R4822" s="5" t="e">
        <f>IF(AND(#REF!&gt;=table!$C$7,#REF!&lt;= table!$D$7),-1,IF(AND(#REF!&gt;=table!$E$7,#REF!&lt;=table!$F$7),1,0))</f>
        <v>#REF!</v>
      </c>
      <c r="S4822" s="5" t="e">
        <f>IF(AND(#REF!&gt;=table!$C$8,#REF!&lt;= table!$D$8),-1,IF(AND(#REF!&gt;=table!$E$8,#REF!&lt;=table!$F$8),1,0))</f>
        <v>#REF!</v>
      </c>
      <c r="T4822" s="5"/>
      <c r="U4822" s="5" t="e">
        <f>IF(AND(#REF!&gt;=table!$C$10,#REF!&lt;= table!$D$10),-1,IF(AND(#REF!&gt;=table!$E$10,#REF!&lt;=table!$F$10),1,0))</f>
        <v>#REF!</v>
      </c>
      <c r="V4822" s="5" t="e">
        <f>IF(AND(#REF!&gt;=table!$C$11,#REF!&lt;= table!$D$11),-1,IF(AND(#REF!&gt;=table!$E$11,#REF!&lt;=table!$F$11),1,0))</f>
        <v>#REF!</v>
      </c>
      <c r="W4822" s="5" t="e">
        <f>CONCATENATE(dados[[#This Row],[fator1]],dados[[#This Row],[fator5]],dados[[#This Row],[fator6]])</f>
        <v>#REF!</v>
      </c>
    </row>
    <row r="4823" spans="1:23">
      <c r="A4823" t="s">
        <v>16</v>
      </c>
      <c r="B4823">
        <v>591132</v>
      </c>
      <c r="C4823">
        <v>12</v>
      </c>
      <c r="D4823">
        <v>35</v>
      </c>
      <c r="E4823">
        <v>86</v>
      </c>
      <c r="F4823">
        <v>8</v>
      </c>
      <c r="G4823">
        <v>0</v>
      </c>
      <c r="H4823">
        <v>25</v>
      </c>
      <c r="I4823">
        <v>1118</v>
      </c>
      <c r="J4823">
        <v>530</v>
      </c>
      <c r="K4823">
        <v>6.4570000000000007</v>
      </c>
      <c r="L4823">
        <v>11.498000000000001</v>
      </c>
      <c r="M4823">
        <v>79.311999999999998</v>
      </c>
      <c r="N4823">
        <v>16.68</v>
      </c>
      <c r="O4823">
        <v>1669</v>
      </c>
      <c r="P4823">
        <v>556</v>
      </c>
      <c r="Q4823" s="5" t="e">
        <f>IF(AND(#REF!&gt;=table!$C$6,#REF!&lt;= table!$D$6),-1,IF(AND(#REF!&gt;=table!$E$6,#REF!&lt;=table!$F$6),1,0))</f>
        <v>#REF!</v>
      </c>
      <c r="R4823" s="5" t="e">
        <f>IF(AND(#REF!&gt;=table!$C$7,#REF!&lt;= table!$D$7),-1,IF(AND(#REF!&gt;=table!$E$7,#REF!&lt;=table!$F$7),1,0))</f>
        <v>#REF!</v>
      </c>
      <c r="S4823" s="5" t="e">
        <f>IF(AND(#REF!&gt;=table!$C$8,#REF!&lt;= table!$D$8),-1,IF(AND(#REF!&gt;=table!$E$8,#REF!&lt;=table!$F$8),1,0))</f>
        <v>#REF!</v>
      </c>
      <c r="T4823" s="5"/>
      <c r="U4823" s="5" t="e">
        <f>IF(AND(#REF!&gt;=table!$C$10,#REF!&lt;= table!$D$10),-1,IF(AND(#REF!&gt;=table!$E$10,#REF!&lt;=table!$F$10),1,0))</f>
        <v>#REF!</v>
      </c>
      <c r="V4823" s="5" t="e">
        <f>IF(AND(#REF!&gt;=table!$C$11,#REF!&lt;= table!$D$11),-1,IF(AND(#REF!&gt;=table!$E$11,#REF!&lt;=table!$F$11),1,0))</f>
        <v>#REF!</v>
      </c>
      <c r="W4823" s="5" t="e">
        <f>CONCATENATE(dados[[#This Row],[fator1]],dados[[#This Row],[fator5]],dados[[#This Row],[fator6]])</f>
        <v>#REF!</v>
      </c>
    </row>
    <row r="4824" spans="1:23">
      <c r="A4824" t="s">
        <v>16</v>
      </c>
      <c r="B4824">
        <v>591133</v>
      </c>
      <c r="C4824">
        <v>12</v>
      </c>
      <c r="D4824">
        <v>35</v>
      </c>
      <c r="E4824">
        <v>86</v>
      </c>
      <c r="F4824">
        <v>10</v>
      </c>
      <c r="G4824">
        <v>0</v>
      </c>
      <c r="H4824">
        <v>25</v>
      </c>
      <c r="I4824">
        <v>151</v>
      </c>
      <c r="J4824">
        <v>0</v>
      </c>
      <c r="K4824">
        <v>5.4535</v>
      </c>
      <c r="L4824">
        <v>15.5625</v>
      </c>
      <c r="M4824">
        <v>61.847000000000001</v>
      </c>
      <c r="N4824">
        <v>17.100000000000001</v>
      </c>
      <c r="O4824">
        <v>1674</v>
      </c>
      <c r="P4824">
        <v>2376</v>
      </c>
      <c r="Q4824" s="5" t="e">
        <f>IF(AND(#REF!&gt;=table!$C$6,#REF!&lt;= table!$D$6),-1,IF(AND(#REF!&gt;=table!$E$6,#REF!&lt;=table!$F$6),1,0))</f>
        <v>#REF!</v>
      </c>
      <c r="R4824" s="5" t="e">
        <f>IF(AND(#REF!&gt;=table!$C$7,#REF!&lt;= table!$D$7),-1,IF(AND(#REF!&gt;=table!$E$7,#REF!&lt;=table!$F$7),1,0))</f>
        <v>#REF!</v>
      </c>
      <c r="S4824" s="5" t="e">
        <f>IF(AND(#REF!&gt;=table!$C$8,#REF!&lt;= table!$D$8),-1,IF(AND(#REF!&gt;=table!$E$8,#REF!&lt;=table!$F$8),1,0))</f>
        <v>#REF!</v>
      </c>
      <c r="T4824" s="5"/>
      <c r="U4824" s="5" t="e">
        <f>IF(AND(#REF!&gt;=table!$C$10,#REF!&lt;= table!$D$10),-1,IF(AND(#REF!&gt;=table!$E$10,#REF!&lt;=table!$F$10),1,0))</f>
        <v>#REF!</v>
      </c>
      <c r="V4824" s="5" t="e">
        <f>IF(AND(#REF!&gt;=table!$C$11,#REF!&lt;= table!$D$11),-1,IF(AND(#REF!&gt;=table!$E$11,#REF!&lt;=table!$F$11),1,0))</f>
        <v>#REF!</v>
      </c>
      <c r="W4824" s="5" t="e">
        <f>CONCATENATE(dados[[#This Row],[fator1]],dados[[#This Row],[fator5]],dados[[#This Row],[fator6]])</f>
        <v>#REF!</v>
      </c>
    </row>
    <row r="4825" spans="1:23">
      <c r="A4825" t="s">
        <v>17</v>
      </c>
      <c r="B4825">
        <v>591135</v>
      </c>
      <c r="C4825">
        <v>20</v>
      </c>
      <c r="D4825">
        <v>18</v>
      </c>
      <c r="E4825">
        <v>36</v>
      </c>
      <c r="F4825">
        <v>10</v>
      </c>
      <c r="G4825">
        <v>20</v>
      </c>
      <c r="H4825">
        <v>25</v>
      </c>
      <c r="I4825">
        <v>0</v>
      </c>
      <c r="J4825">
        <v>0</v>
      </c>
      <c r="K4825">
        <v>7.9655000000000005</v>
      </c>
      <c r="L4825">
        <v>18.186500000000002</v>
      </c>
      <c r="M4825">
        <v>33.602499999999999</v>
      </c>
      <c r="N4825">
        <v>18.98</v>
      </c>
      <c r="O4825">
        <v>1674</v>
      </c>
      <c r="P4825">
        <v>0</v>
      </c>
      <c r="Q4825" s="5" t="e">
        <f>IF(AND(#REF!&gt;=table!$C$6,#REF!&lt;= table!$D$6),-1,IF(AND(#REF!&gt;=table!$E$6,#REF!&lt;=table!$F$6),1,0))</f>
        <v>#REF!</v>
      </c>
      <c r="R4825" s="5" t="e">
        <f>IF(AND(#REF!&gt;=table!$C$7,#REF!&lt;= table!$D$7),-1,IF(AND(#REF!&gt;=table!$E$7,#REF!&lt;=table!$F$7),1,0))</f>
        <v>#REF!</v>
      </c>
      <c r="S4825" s="5" t="e">
        <f>IF(AND(#REF!&gt;=table!$C$8,#REF!&lt;= table!$D$8),-1,IF(AND(#REF!&gt;=table!$E$8,#REF!&lt;=table!$F$8),1,0))</f>
        <v>#REF!</v>
      </c>
      <c r="T4825" s="5"/>
      <c r="U4825" s="5" t="e">
        <f>IF(AND(#REF!&gt;=table!$C$10,#REF!&lt;= table!$D$10),-1,IF(AND(#REF!&gt;=table!$E$10,#REF!&lt;=table!$F$10),1,0))</f>
        <v>#REF!</v>
      </c>
      <c r="V4825" s="5" t="e">
        <f>IF(AND(#REF!&gt;=table!$C$11,#REF!&lt;= table!$D$11),-1,IF(AND(#REF!&gt;=table!$E$11,#REF!&lt;=table!$F$11),1,0))</f>
        <v>#REF!</v>
      </c>
      <c r="W4825" s="5" t="e">
        <f>CONCATENATE(dados[[#This Row],[fator1]],dados[[#This Row],[fator5]],dados[[#This Row],[fator6]])</f>
        <v>#REF!</v>
      </c>
    </row>
    <row r="4826" spans="1:23">
      <c r="A4826" t="s">
        <v>17</v>
      </c>
      <c r="B4826">
        <v>591143</v>
      </c>
      <c r="C4826">
        <v>14</v>
      </c>
      <c r="D4826">
        <v>30</v>
      </c>
      <c r="E4826">
        <v>110</v>
      </c>
      <c r="F4826">
        <v>3</v>
      </c>
      <c r="G4826">
        <v>20</v>
      </c>
      <c r="H4826">
        <v>22</v>
      </c>
      <c r="I4826">
        <v>10</v>
      </c>
      <c r="J4826">
        <v>0</v>
      </c>
      <c r="K4826">
        <v>2.6380000000000003</v>
      </c>
      <c r="L4826">
        <v>4.0615000000000006</v>
      </c>
      <c r="M4826">
        <v>89.407000000000011</v>
      </c>
      <c r="N4826">
        <v>10.5</v>
      </c>
      <c r="O4826">
        <v>1694</v>
      </c>
      <c r="P4826">
        <v>1404</v>
      </c>
      <c r="Q4826" s="5" t="e">
        <f>IF(AND(#REF!&gt;=table!$C$6,#REF!&lt;= table!$D$6),-1,IF(AND(#REF!&gt;=table!$E$6,#REF!&lt;=table!$F$6),1,0))</f>
        <v>#REF!</v>
      </c>
      <c r="R4826" s="5" t="e">
        <f>IF(AND(#REF!&gt;=table!$C$7,#REF!&lt;= table!$D$7),-1,IF(AND(#REF!&gt;=table!$E$7,#REF!&lt;=table!$F$7),1,0))</f>
        <v>#REF!</v>
      </c>
      <c r="S4826" s="5" t="e">
        <f>IF(AND(#REF!&gt;=table!$C$8,#REF!&lt;= table!$D$8),-1,IF(AND(#REF!&gt;=table!$E$8,#REF!&lt;=table!$F$8),1,0))</f>
        <v>#REF!</v>
      </c>
      <c r="T4826" s="5"/>
      <c r="U4826" s="5" t="e">
        <f>IF(AND(#REF!&gt;=table!$C$10,#REF!&lt;= table!$D$10),-1,IF(AND(#REF!&gt;=table!$E$10,#REF!&lt;=table!$F$10),1,0))</f>
        <v>#REF!</v>
      </c>
      <c r="V4826" s="5" t="e">
        <f>IF(AND(#REF!&gt;=table!$C$11,#REF!&lt;= table!$D$11),-1,IF(AND(#REF!&gt;=table!$E$11,#REF!&lt;=table!$F$11),1,0))</f>
        <v>#REF!</v>
      </c>
      <c r="W4826" s="5" t="e">
        <f>CONCATENATE(dados[[#This Row],[fator1]],dados[[#This Row],[fator5]],dados[[#This Row],[fator6]])</f>
        <v>#REF!</v>
      </c>
    </row>
    <row r="4827" spans="1:23">
      <c r="A4827" t="s">
        <v>17</v>
      </c>
      <c r="B4827">
        <v>591144</v>
      </c>
      <c r="C4827">
        <v>14</v>
      </c>
      <c r="D4827">
        <v>30</v>
      </c>
      <c r="E4827">
        <v>110</v>
      </c>
      <c r="F4827">
        <v>3</v>
      </c>
      <c r="G4827">
        <v>20</v>
      </c>
      <c r="H4827">
        <v>22</v>
      </c>
      <c r="I4827">
        <v>15</v>
      </c>
      <c r="J4827">
        <v>0</v>
      </c>
      <c r="K4827">
        <v>2.7935000000000003</v>
      </c>
      <c r="L4827">
        <v>5.0194999999999999</v>
      </c>
      <c r="M4827">
        <v>99.999000000000009</v>
      </c>
      <c r="N4827">
        <v>11.865</v>
      </c>
      <c r="O4827">
        <v>1706</v>
      </c>
      <c r="P4827">
        <v>1576</v>
      </c>
      <c r="Q4827" s="5" t="e">
        <f>IF(AND(#REF!&gt;=table!$C$6,#REF!&lt;= table!$D$6),-1,IF(AND(#REF!&gt;=table!$E$6,#REF!&lt;=table!$F$6),1,0))</f>
        <v>#REF!</v>
      </c>
      <c r="R4827" s="5" t="e">
        <f>IF(AND(#REF!&gt;=table!$C$7,#REF!&lt;= table!$D$7),-1,IF(AND(#REF!&gt;=table!$E$7,#REF!&lt;=table!$F$7),1,0))</f>
        <v>#REF!</v>
      </c>
      <c r="S4827" s="5" t="e">
        <f>IF(AND(#REF!&gt;=table!$C$8,#REF!&lt;= table!$D$8),-1,IF(AND(#REF!&gt;=table!$E$8,#REF!&lt;=table!$F$8),1,0))</f>
        <v>#REF!</v>
      </c>
      <c r="T4827" s="5"/>
      <c r="U4827" s="5" t="e">
        <f>IF(AND(#REF!&gt;=table!$C$10,#REF!&lt;= table!$D$10),-1,IF(AND(#REF!&gt;=table!$E$10,#REF!&lt;=table!$F$10),1,0))</f>
        <v>#REF!</v>
      </c>
      <c r="V4827" s="5" t="e">
        <f>IF(AND(#REF!&gt;=table!$C$11,#REF!&lt;= table!$D$11),-1,IF(AND(#REF!&gt;=table!$E$11,#REF!&lt;=table!$F$11),1,0))</f>
        <v>#REF!</v>
      </c>
      <c r="W4827" s="5" t="e">
        <f>CONCATENATE(dados[[#This Row],[fator1]],dados[[#This Row],[fator5]],dados[[#This Row],[fator6]])</f>
        <v>#REF!</v>
      </c>
    </row>
    <row r="4828" spans="1:23">
      <c r="A4828" t="s">
        <v>16</v>
      </c>
      <c r="B4828">
        <v>591146</v>
      </c>
      <c r="C4828">
        <v>6</v>
      </c>
      <c r="D4828">
        <v>30</v>
      </c>
      <c r="E4828">
        <v>40</v>
      </c>
      <c r="F4828">
        <v>15</v>
      </c>
      <c r="G4828">
        <v>0</v>
      </c>
      <c r="H4828">
        <v>25</v>
      </c>
      <c r="I4828">
        <v>1443</v>
      </c>
      <c r="J4828">
        <v>0</v>
      </c>
      <c r="K4828">
        <v>4.0994999999999999</v>
      </c>
      <c r="L4828">
        <v>13.823</v>
      </c>
      <c r="M4828">
        <v>37.034500000000001</v>
      </c>
      <c r="N4828">
        <v>15.22</v>
      </c>
      <c r="O4828">
        <v>1664</v>
      </c>
      <c r="P4828">
        <v>753</v>
      </c>
      <c r="Q4828" s="5" t="e">
        <f>IF(AND(#REF!&gt;=table!$C$6,#REF!&lt;= table!$D$6),-1,IF(AND(#REF!&gt;=table!$E$6,#REF!&lt;=table!$F$6),1,0))</f>
        <v>#REF!</v>
      </c>
      <c r="R4828" s="5" t="e">
        <f>IF(AND(#REF!&gt;=table!$C$7,#REF!&lt;= table!$D$7),-1,IF(AND(#REF!&gt;=table!$E$7,#REF!&lt;=table!$F$7),1,0))</f>
        <v>#REF!</v>
      </c>
      <c r="S4828" s="5" t="e">
        <f>IF(AND(#REF!&gt;=table!$C$8,#REF!&lt;= table!$D$8),-1,IF(AND(#REF!&gt;=table!$E$8,#REF!&lt;=table!$F$8),1,0))</f>
        <v>#REF!</v>
      </c>
      <c r="T4828" s="5"/>
      <c r="U4828" s="5" t="e">
        <f>IF(AND(#REF!&gt;=table!$C$10,#REF!&lt;= table!$D$10),-1,IF(AND(#REF!&gt;=table!$E$10,#REF!&lt;=table!$F$10),1,0))</f>
        <v>#REF!</v>
      </c>
      <c r="V4828" s="5" t="e">
        <f>IF(AND(#REF!&gt;=table!$C$11,#REF!&lt;= table!$D$11),-1,IF(AND(#REF!&gt;=table!$E$11,#REF!&lt;=table!$F$11),1,0))</f>
        <v>#REF!</v>
      </c>
      <c r="W4828" s="5" t="e">
        <f>CONCATENATE(dados[[#This Row],[fator1]],dados[[#This Row],[fator5]],dados[[#This Row],[fator6]])</f>
        <v>#REF!</v>
      </c>
    </row>
    <row r="4829" spans="1:23">
      <c r="A4829" t="s">
        <v>16</v>
      </c>
      <c r="B4829">
        <v>591147</v>
      </c>
      <c r="C4829">
        <v>6</v>
      </c>
      <c r="D4829">
        <v>30</v>
      </c>
      <c r="E4829">
        <v>40</v>
      </c>
      <c r="F4829">
        <v>15</v>
      </c>
      <c r="G4829">
        <v>0</v>
      </c>
      <c r="H4829">
        <v>25</v>
      </c>
      <c r="I4829">
        <v>0</v>
      </c>
      <c r="J4829">
        <v>0</v>
      </c>
      <c r="K4829">
        <v>3.9440000000000004</v>
      </c>
      <c r="L4829">
        <v>9.589500000000001</v>
      </c>
      <c r="M4829">
        <v>33.316500000000005</v>
      </c>
      <c r="N4829">
        <v>20.38</v>
      </c>
      <c r="O4829">
        <v>1681</v>
      </c>
      <c r="P4829">
        <v>1245</v>
      </c>
      <c r="Q4829" s="5" t="e">
        <f>IF(AND(#REF!&gt;=table!$C$6,#REF!&lt;= table!$D$6),-1,IF(AND(#REF!&gt;=table!$E$6,#REF!&lt;=table!$F$6),1,0))</f>
        <v>#REF!</v>
      </c>
      <c r="R4829" s="5" t="e">
        <f>IF(AND(#REF!&gt;=table!$C$7,#REF!&lt;= table!$D$7),-1,IF(AND(#REF!&gt;=table!$E$7,#REF!&lt;=table!$F$7),1,0))</f>
        <v>#REF!</v>
      </c>
      <c r="S4829" s="5" t="e">
        <f>IF(AND(#REF!&gt;=table!$C$8,#REF!&lt;= table!$D$8),-1,IF(AND(#REF!&gt;=table!$E$8,#REF!&lt;=table!$F$8),1,0))</f>
        <v>#REF!</v>
      </c>
      <c r="T4829" s="5"/>
      <c r="U4829" s="5" t="e">
        <f>IF(AND(#REF!&gt;=table!$C$10,#REF!&lt;= table!$D$10),-1,IF(AND(#REF!&gt;=table!$E$10,#REF!&lt;=table!$F$10),1,0))</f>
        <v>#REF!</v>
      </c>
      <c r="V4829" s="5" t="e">
        <f>IF(AND(#REF!&gt;=table!$C$11,#REF!&lt;= table!$D$11),-1,IF(AND(#REF!&gt;=table!$E$11,#REF!&lt;=table!$F$11),1,0))</f>
        <v>#REF!</v>
      </c>
      <c r="W4829" s="5" t="e">
        <f>CONCATENATE(dados[[#This Row],[fator1]],dados[[#This Row],[fator5]],dados[[#This Row],[fator6]])</f>
        <v>#REF!</v>
      </c>
    </row>
    <row r="4830" spans="1:23">
      <c r="A4830" t="s">
        <v>16</v>
      </c>
      <c r="B4830">
        <v>591153</v>
      </c>
      <c r="C4830">
        <v>16</v>
      </c>
      <c r="D4830">
        <v>35</v>
      </c>
      <c r="E4830">
        <v>36</v>
      </c>
      <c r="F4830">
        <v>10</v>
      </c>
      <c r="G4830">
        <v>0</v>
      </c>
      <c r="H4830">
        <v>25</v>
      </c>
      <c r="I4830">
        <v>987</v>
      </c>
      <c r="J4830">
        <v>400</v>
      </c>
      <c r="K4830">
        <v>4.2605000000000004</v>
      </c>
      <c r="L4830">
        <v>7.5405000000000006</v>
      </c>
      <c r="M4830">
        <v>33.953000000000003</v>
      </c>
      <c r="N4830">
        <v>7.8500000000000005</v>
      </c>
      <c r="O4830">
        <v>1625</v>
      </c>
      <c r="P4830">
        <v>476</v>
      </c>
      <c r="Q4830" s="5" t="e">
        <f>IF(AND(#REF!&gt;=table!$C$6,#REF!&lt;= table!$D$6),-1,IF(AND(#REF!&gt;=table!$E$6,#REF!&lt;=table!$F$6),1,0))</f>
        <v>#REF!</v>
      </c>
      <c r="R4830" s="5" t="e">
        <f>IF(AND(#REF!&gt;=table!$C$7,#REF!&lt;= table!$D$7),-1,IF(AND(#REF!&gt;=table!$E$7,#REF!&lt;=table!$F$7),1,0))</f>
        <v>#REF!</v>
      </c>
      <c r="S4830" s="5" t="e">
        <f>IF(AND(#REF!&gt;=table!$C$8,#REF!&lt;= table!$D$8),-1,IF(AND(#REF!&gt;=table!$E$8,#REF!&lt;=table!$F$8),1,0))</f>
        <v>#REF!</v>
      </c>
      <c r="T4830" s="5"/>
      <c r="U4830" s="5" t="e">
        <f>IF(AND(#REF!&gt;=table!$C$10,#REF!&lt;= table!$D$10),-1,IF(AND(#REF!&gt;=table!$E$10,#REF!&lt;=table!$F$10),1,0))</f>
        <v>#REF!</v>
      </c>
      <c r="V4830" s="5" t="e">
        <f>IF(AND(#REF!&gt;=table!$C$11,#REF!&lt;= table!$D$11),-1,IF(AND(#REF!&gt;=table!$E$11,#REF!&lt;=table!$F$11),1,0))</f>
        <v>#REF!</v>
      </c>
      <c r="W4830" s="5" t="e">
        <f>CONCATENATE(dados[[#This Row],[fator1]],dados[[#This Row],[fator5]],dados[[#This Row],[fator6]])</f>
        <v>#REF!</v>
      </c>
    </row>
    <row r="4831" spans="1:23">
      <c r="A4831" t="s">
        <v>16</v>
      </c>
      <c r="B4831">
        <v>591156</v>
      </c>
      <c r="C4831">
        <v>16</v>
      </c>
      <c r="D4831">
        <v>30</v>
      </c>
      <c r="E4831">
        <v>36</v>
      </c>
      <c r="F4831">
        <v>3</v>
      </c>
      <c r="G4831">
        <v>0</v>
      </c>
      <c r="H4831">
        <v>25</v>
      </c>
      <c r="I4831">
        <v>1</v>
      </c>
      <c r="J4831">
        <v>750</v>
      </c>
      <c r="K4831">
        <v>3.0045000000000002</v>
      </c>
      <c r="L4831">
        <v>9.5594999999999999</v>
      </c>
      <c r="M4831">
        <v>24.445500000000003</v>
      </c>
      <c r="N4831">
        <v>15.59</v>
      </c>
      <c r="O4831">
        <v>1678</v>
      </c>
      <c r="P4831">
        <v>0</v>
      </c>
      <c r="Q4831" s="5" t="e">
        <f>IF(AND(#REF!&gt;=table!$C$6,#REF!&lt;= table!$D$6),-1,IF(AND(#REF!&gt;=table!$E$6,#REF!&lt;=table!$F$6),1,0))</f>
        <v>#REF!</v>
      </c>
      <c r="R4831" s="5" t="e">
        <f>IF(AND(#REF!&gt;=table!$C$7,#REF!&lt;= table!$D$7),-1,IF(AND(#REF!&gt;=table!$E$7,#REF!&lt;=table!$F$7),1,0))</f>
        <v>#REF!</v>
      </c>
      <c r="S4831" s="5" t="e">
        <f>IF(AND(#REF!&gt;=table!$C$8,#REF!&lt;= table!$D$8),-1,IF(AND(#REF!&gt;=table!$E$8,#REF!&lt;=table!$F$8),1,0))</f>
        <v>#REF!</v>
      </c>
      <c r="T4831" s="5"/>
      <c r="U4831" s="5" t="e">
        <f>IF(AND(#REF!&gt;=table!$C$10,#REF!&lt;= table!$D$10),-1,IF(AND(#REF!&gt;=table!$E$10,#REF!&lt;=table!$F$10),1,0))</f>
        <v>#REF!</v>
      </c>
      <c r="V4831" s="5" t="e">
        <f>IF(AND(#REF!&gt;=table!$C$11,#REF!&lt;= table!$D$11),-1,IF(AND(#REF!&gt;=table!$E$11,#REF!&lt;=table!$F$11),1,0))</f>
        <v>#REF!</v>
      </c>
      <c r="W4831" s="5" t="e">
        <f>CONCATENATE(dados[[#This Row],[fator1]],dados[[#This Row],[fator5]],dados[[#This Row],[fator6]])</f>
        <v>#REF!</v>
      </c>
    </row>
    <row r="4832" spans="1:23">
      <c r="A4832" t="s">
        <v>16</v>
      </c>
      <c r="B4832">
        <v>591159</v>
      </c>
      <c r="C4832">
        <v>8</v>
      </c>
      <c r="D4832">
        <v>30</v>
      </c>
      <c r="E4832">
        <v>61</v>
      </c>
      <c r="F4832">
        <v>9</v>
      </c>
      <c r="G4832">
        <v>0</v>
      </c>
      <c r="H4832">
        <v>25</v>
      </c>
      <c r="I4832">
        <v>0</v>
      </c>
      <c r="J4832">
        <v>0</v>
      </c>
      <c r="K4832">
        <v>4.4515000000000002</v>
      </c>
      <c r="L4832">
        <v>12.5075</v>
      </c>
      <c r="M4832">
        <v>54.406000000000006</v>
      </c>
      <c r="N4832">
        <v>18.84</v>
      </c>
      <c r="O4832">
        <v>1655</v>
      </c>
      <c r="P4832">
        <v>752</v>
      </c>
      <c r="Q4832" s="5" t="e">
        <f>IF(AND(#REF!&gt;=table!$C$6,#REF!&lt;= table!$D$6),-1,IF(AND(#REF!&gt;=table!$E$6,#REF!&lt;=table!$F$6),1,0))</f>
        <v>#REF!</v>
      </c>
      <c r="R4832" s="5" t="e">
        <f>IF(AND(#REF!&gt;=table!$C$7,#REF!&lt;= table!$D$7),-1,IF(AND(#REF!&gt;=table!$E$7,#REF!&lt;=table!$F$7),1,0))</f>
        <v>#REF!</v>
      </c>
      <c r="S4832" s="5" t="e">
        <f>IF(AND(#REF!&gt;=table!$C$8,#REF!&lt;= table!$D$8),-1,IF(AND(#REF!&gt;=table!$E$8,#REF!&lt;=table!$F$8),1,0))</f>
        <v>#REF!</v>
      </c>
      <c r="T4832" s="5"/>
      <c r="U4832" s="5" t="e">
        <f>IF(AND(#REF!&gt;=table!$C$10,#REF!&lt;= table!$D$10),-1,IF(AND(#REF!&gt;=table!$E$10,#REF!&lt;=table!$F$10),1,0))</f>
        <v>#REF!</v>
      </c>
      <c r="V4832" s="5" t="e">
        <f>IF(AND(#REF!&gt;=table!$C$11,#REF!&lt;= table!$D$11),-1,IF(AND(#REF!&gt;=table!$E$11,#REF!&lt;=table!$F$11),1,0))</f>
        <v>#REF!</v>
      </c>
      <c r="W4832" s="5" t="e">
        <f>CONCATENATE(dados[[#This Row],[fator1]],dados[[#This Row],[fator5]],dados[[#This Row],[fator6]])</f>
        <v>#REF!</v>
      </c>
    </row>
    <row r="4833" spans="1:23">
      <c r="A4833" t="s">
        <v>17</v>
      </c>
      <c r="B4833">
        <v>591164</v>
      </c>
      <c r="C4833">
        <v>20</v>
      </c>
      <c r="D4833">
        <v>33</v>
      </c>
      <c r="E4833">
        <v>100</v>
      </c>
      <c r="F4833">
        <v>10</v>
      </c>
      <c r="G4833">
        <v>20</v>
      </c>
      <c r="H4833">
        <v>25</v>
      </c>
      <c r="I4833">
        <v>46</v>
      </c>
      <c r="J4833">
        <v>0</v>
      </c>
      <c r="K4833">
        <v>5.0815000000000001</v>
      </c>
      <c r="L4833">
        <v>12.4755</v>
      </c>
      <c r="M4833">
        <v>79.325500000000005</v>
      </c>
      <c r="N4833">
        <v>17.984999999999999</v>
      </c>
      <c r="O4833">
        <v>1672</v>
      </c>
      <c r="P4833">
        <v>743</v>
      </c>
      <c r="Q4833" s="5" t="e">
        <f>IF(AND(#REF!&gt;=table!$C$6,#REF!&lt;= table!$D$6),-1,IF(AND(#REF!&gt;=table!$E$6,#REF!&lt;=table!$F$6),1,0))</f>
        <v>#REF!</v>
      </c>
      <c r="R4833" s="5" t="e">
        <f>IF(AND(#REF!&gt;=table!$C$7,#REF!&lt;= table!$D$7),-1,IF(AND(#REF!&gt;=table!$E$7,#REF!&lt;=table!$F$7),1,0))</f>
        <v>#REF!</v>
      </c>
      <c r="S4833" s="5" t="e">
        <f>IF(AND(#REF!&gt;=table!$C$8,#REF!&lt;= table!$D$8),-1,IF(AND(#REF!&gt;=table!$E$8,#REF!&lt;=table!$F$8),1,0))</f>
        <v>#REF!</v>
      </c>
      <c r="T4833" s="5"/>
      <c r="U4833" s="5" t="e">
        <f>IF(AND(#REF!&gt;=table!$C$10,#REF!&lt;= table!$D$10),-1,IF(AND(#REF!&gt;=table!$E$10,#REF!&lt;=table!$F$10),1,0))</f>
        <v>#REF!</v>
      </c>
      <c r="V4833" s="5" t="e">
        <f>IF(AND(#REF!&gt;=table!$C$11,#REF!&lt;= table!$D$11),-1,IF(AND(#REF!&gt;=table!$E$11,#REF!&lt;=table!$F$11),1,0))</f>
        <v>#REF!</v>
      </c>
      <c r="W4833" s="5" t="e">
        <f>CONCATENATE(dados[[#This Row],[fator1]],dados[[#This Row],[fator5]],dados[[#This Row],[fator6]])</f>
        <v>#REF!</v>
      </c>
    </row>
    <row r="4834" spans="1:23">
      <c r="A4834" t="s">
        <v>16</v>
      </c>
      <c r="B4834">
        <v>591168</v>
      </c>
      <c r="C4834">
        <v>5</v>
      </c>
      <c r="D4834">
        <v>40</v>
      </c>
      <c r="E4834">
        <v>36</v>
      </c>
      <c r="F4834">
        <v>8</v>
      </c>
      <c r="G4834">
        <v>0</v>
      </c>
      <c r="H4834">
        <v>25</v>
      </c>
      <c r="I4834">
        <v>498</v>
      </c>
      <c r="J4834">
        <v>0</v>
      </c>
      <c r="K4834">
        <v>2.778</v>
      </c>
      <c r="L4834">
        <v>8.0155000000000012</v>
      </c>
      <c r="M4834">
        <v>32.269500000000001</v>
      </c>
      <c r="N4834">
        <v>18.03</v>
      </c>
      <c r="O4834">
        <v>1670</v>
      </c>
      <c r="P4834">
        <v>0</v>
      </c>
      <c r="Q4834" s="5" t="e">
        <f>IF(AND(#REF!&gt;=table!$C$6,#REF!&lt;= table!$D$6),-1,IF(AND(#REF!&gt;=table!$E$6,#REF!&lt;=table!$F$6),1,0))</f>
        <v>#REF!</v>
      </c>
      <c r="R4834" s="5" t="e">
        <f>IF(AND(#REF!&gt;=table!$C$7,#REF!&lt;= table!$D$7),-1,IF(AND(#REF!&gt;=table!$E$7,#REF!&lt;=table!$F$7),1,0))</f>
        <v>#REF!</v>
      </c>
      <c r="S4834" s="5" t="e">
        <f>IF(AND(#REF!&gt;=table!$C$8,#REF!&lt;= table!$D$8),-1,IF(AND(#REF!&gt;=table!$E$8,#REF!&lt;=table!$F$8),1,0))</f>
        <v>#REF!</v>
      </c>
      <c r="T4834" s="5"/>
      <c r="U4834" s="5" t="e">
        <f>IF(AND(#REF!&gt;=table!$C$10,#REF!&lt;= table!$D$10),-1,IF(AND(#REF!&gt;=table!$E$10,#REF!&lt;=table!$F$10),1,0))</f>
        <v>#REF!</v>
      </c>
      <c r="V4834" s="5" t="e">
        <f>IF(AND(#REF!&gt;=table!$C$11,#REF!&lt;= table!$D$11),-1,IF(AND(#REF!&gt;=table!$E$11,#REF!&lt;=table!$F$11),1,0))</f>
        <v>#REF!</v>
      </c>
      <c r="W4834" s="5" t="e">
        <f>CONCATENATE(dados[[#This Row],[fator1]],dados[[#This Row],[fator5]],dados[[#This Row],[fator6]])</f>
        <v>#REF!</v>
      </c>
    </row>
    <row r="4835" spans="1:23">
      <c r="A4835" t="s">
        <v>17</v>
      </c>
      <c r="B4835">
        <v>591169</v>
      </c>
      <c r="C4835">
        <v>16</v>
      </c>
      <c r="D4835">
        <v>30</v>
      </c>
      <c r="E4835">
        <v>106</v>
      </c>
      <c r="F4835">
        <v>9</v>
      </c>
      <c r="G4835">
        <v>20</v>
      </c>
      <c r="H4835">
        <v>25</v>
      </c>
      <c r="I4835">
        <v>1047</v>
      </c>
      <c r="J4835">
        <v>0</v>
      </c>
      <c r="K4835">
        <v>3.423</v>
      </c>
      <c r="L4835">
        <v>13.532</v>
      </c>
      <c r="M4835">
        <v>94.185500000000005</v>
      </c>
      <c r="N4835">
        <v>22.255000000000003</v>
      </c>
      <c r="O4835">
        <v>1694</v>
      </c>
      <c r="P4835">
        <v>0</v>
      </c>
      <c r="Q4835" s="5" t="e">
        <f>IF(AND(#REF!&gt;=table!$C$6,#REF!&lt;= table!$D$6),-1,IF(AND(#REF!&gt;=table!$E$6,#REF!&lt;=table!$F$6),1,0))</f>
        <v>#REF!</v>
      </c>
      <c r="R4835" s="5" t="e">
        <f>IF(AND(#REF!&gt;=table!$C$7,#REF!&lt;= table!$D$7),-1,IF(AND(#REF!&gt;=table!$E$7,#REF!&lt;=table!$F$7),1,0))</f>
        <v>#REF!</v>
      </c>
      <c r="S4835" s="5" t="e">
        <f>IF(AND(#REF!&gt;=table!$C$8,#REF!&lt;= table!$D$8),-1,IF(AND(#REF!&gt;=table!$E$8,#REF!&lt;=table!$F$8),1,0))</f>
        <v>#REF!</v>
      </c>
      <c r="T4835" s="5"/>
      <c r="U4835" s="5" t="e">
        <f>IF(AND(#REF!&gt;=table!$C$10,#REF!&lt;= table!$D$10),-1,IF(AND(#REF!&gt;=table!$E$10,#REF!&lt;=table!$F$10),1,0))</f>
        <v>#REF!</v>
      </c>
      <c r="V4835" s="5" t="e">
        <f>IF(AND(#REF!&gt;=table!$C$11,#REF!&lt;= table!$D$11),-1,IF(AND(#REF!&gt;=table!$E$11,#REF!&lt;=table!$F$11),1,0))</f>
        <v>#REF!</v>
      </c>
      <c r="W4835" s="5" t="e">
        <f>CONCATENATE(dados[[#This Row],[fator1]],dados[[#This Row],[fator5]],dados[[#This Row],[fator6]])</f>
        <v>#REF!</v>
      </c>
    </row>
    <row r="4836" spans="1:23">
      <c r="A4836" t="s">
        <v>16</v>
      </c>
      <c r="B4836">
        <v>591170</v>
      </c>
      <c r="C4836">
        <v>6</v>
      </c>
      <c r="D4836">
        <v>40</v>
      </c>
      <c r="E4836">
        <v>40</v>
      </c>
      <c r="F4836">
        <v>15</v>
      </c>
      <c r="G4836">
        <v>0</v>
      </c>
      <c r="H4836">
        <v>25</v>
      </c>
      <c r="I4836">
        <v>863</v>
      </c>
      <c r="J4836">
        <v>0</v>
      </c>
      <c r="K4836">
        <v>4.8715000000000002</v>
      </c>
      <c r="L4836">
        <v>6.5565000000000007</v>
      </c>
      <c r="M4836">
        <v>5.7295000000000007</v>
      </c>
      <c r="N4836">
        <v>9.9850000000000012</v>
      </c>
      <c r="O4836">
        <v>1705</v>
      </c>
      <c r="P4836">
        <v>0</v>
      </c>
      <c r="Q4836" s="5" t="e">
        <f>IF(AND(#REF!&gt;=table!$C$6,#REF!&lt;= table!$D$6),-1,IF(AND(#REF!&gt;=table!$E$6,#REF!&lt;=table!$F$6),1,0))</f>
        <v>#REF!</v>
      </c>
      <c r="R4836" s="5" t="e">
        <f>IF(AND(#REF!&gt;=table!$C$7,#REF!&lt;= table!$D$7),-1,IF(AND(#REF!&gt;=table!$E$7,#REF!&lt;=table!$F$7),1,0))</f>
        <v>#REF!</v>
      </c>
      <c r="S4836" s="5" t="e">
        <f>IF(AND(#REF!&gt;=table!$C$8,#REF!&lt;= table!$D$8),-1,IF(AND(#REF!&gt;=table!$E$8,#REF!&lt;=table!$F$8),1,0))</f>
        <v>#REF!</v>
      </c>
      <c r="T4836" s="5"/>
      <c r="U4836" s="5" t="e">
        <f>IF(AND(#REF!&gt;=table!$C$10,#REF!&lt;= table!$D$10),-1,IF(AND(#REF!&gt;=table!$E$10,#REF!&lt;=table!$F$10),1,0))</f>
        <v>#REF!</v>
      </c>
      <c r="V4836" s="5" t="e">
        <f>IF(AND(#REF!&gt;=table!$C$11,#REF!&lt;= table!$D$11),-1,IF(AND(#REF!&gt;=table!$E$11,#REF!&lt;=table!$F$11),1,0))</f>
        <v>#REF!</v>
      </c>
      <c r="W4836" s="5" t="e">
        <f>CONCATENATE(dados[[#This Row],[fator1]],dados[[#This Row],[fator5]],dados[[#This Row],[fator6]])</f>
        <v>#REF!</v>
      </c>
    </row>
    <row r="4837" spans="1:23">
      <c r="A4837" t="s">
        <v>16</v>
      </c>
      <c r="B4837">
        <v>591172</v>
      </c>
      <c r="C4837">
        <v>7</v>
      </c>
      <c r="D4837">
        <v>40</v>
      </c>
      <c r="E4837">
        <v>40</v>
      </c>
      <c r="F4837">
        <v>15</v>
      </c>
      <c r="G4837">
        <v>0</v>
      </c>
      <c r="H4837">
        <v>25</v>
      </c>
      <c r="I4837">
        <v>0</v>
      </c>
      <c r="J4837">
        <v>0</v>
      </c>
      <c r="K4837">
        <v>2.97</v>
      </c>
      <c r="L4837">
        <v>9.1085000000000012</v>
      </c>
      <c r="M4837">
        <v>33.319500000000005</v>
      </c>
      <c r="N4837">
        <v>18.965</v>
      </c>
      <c r="O4837">
        <v>1682</v>
      </c>
      <c r="P4837">
        <v>0</v>
      </c>
      <c r="Q4837" s="5" t="e">
        <f>IF(AND(#REF!&gt;=table!$C$6,#REF!&lt;= table!$D$6),-1,IF(AND(#REF!&gt;=table!$E$6,#REF!&lt;=table!$F$6),1,0))</f>
        <v>#REF!</v>
      </c>
      <c r="R4837" s="5" t="e">
        <f>IF(AND(#REF!&gt;=table!$C$7,#REF!&lt;= table!$D$7),-1,IF(AND(#REF!&gt;=table!$E$7,#REF!&lt;=table!$F$7),1,0))</f>
        <v>#REF!</v>
      </c>
      <c r="S4837" s="5" t="e">
        <f>IF(AND(#REF!&gt;=table!$C$8,#REF!&lt;= table!$D$8),-1,IF(AND(#REF!&gt;=table!$E$8,#REF!&lt;=table!$F$8),1,0))</f>
        <v>#REF!</v>
      </c>
      <c r="T4837" s="5"/>
      <c r="U4837" s="5" t="e">
        <f>IF(AND(#REF!&gt;=table!$C$10,#REF!&lt;= table!$D$10),-1,IF(AND(#REF!&gt;=table!$E$10,#REF!&lt;=table!$F$10),1,0))</f>
        <v>#REF!</v>
      </c>
      <c r="V4837" s="5" t="e">
        <f>IF(AND(#REF!&gt;=table!$C$11,#REF!&lt;= table!$D$11),-1,IF(AND(#REF!&gt;=table!$E$11,#REF!&lt;=table!$F$11),1,0))</f>
        <v>#REF!</v>
      </c>
      <c r="W4837" s="5" t="e">
        <f>CONCATENATE(dados[[#This Row],[fator1]],dados[[#This Row],[fator5]],dados[[#This Row],[fator6]])</f>
        <v>#REF!</v>
      </c>
    </row>
    <row r="4838" spans="1:23">
      <c r="A4838" t="s">
        <v>16</v>
      </c>
      <c r="B4838">
        <v>591174</v>
      </c>
      <c r="C4838">
        <v>4</v>
      </c>
      <c r="D4838">
        <v>40</v>
      </c>
      <c r="E4838">
        <v>21</v>
      </c>
      <c r="F4838">
        <v>10</v>
      </c>
      <c r="G4838">
        <v>0</v>
      </c>
      <c r="H4838">
        <v>25</v>
      </c>
      <c r="I4838">
        <v>599</v>
      </c>
      <c r="J4838">
        <v>0</v>
      </c>
      <c r="K4838">
        <v>6.8029999999999999</v>
      </c>
      <c r="L4838">
        <v>9.8260000000000005</v>
      </c>
      <c r="M4838">
        <v>9.3830000000000009</v>
      </c>
      <c r="N4838">
        <v>11.870000000000001</v>
      </c>
      <c r="O4838">
        <v>1668</v>
      </c>
      <c r="P4838">
        <v>606</v>
      </c>
      <c r="Q4838" s="5" t="e">
        <f>IF(AND(#REF!&gt;=table!$C$6,#REF!&lt;= table!$D$6),-1,IF(AND(#REF!&gt;=table!$E$6,#REF!&lt;=table!$F$6),1,0))</f>
        <v>#REF!</v>
      </c>
      <c r="R4838" s="5" t="e">
        <f>IF(AND(#REF!&gt;=table!$C$7,#REF!&lt;= table!$D$7),-1,IF(AND(#REF!&gt;=table!$E$7,#REF!&lt;=table!$F$7),1,0))</f>
        <v>#REF!</v>
      </c>
      <c r="S4838" s="5" t="e">
        <f>IF(AND(#REF!&gt;=table!$C$8,#REF!&lt;= table!$D$8),-1,IF(AND(#REF!&gt;=table!$E$8,#REF!&lt;=table!$F$8),1,0))</f>
        <v>#REF!</v>
      </c>
      <c r="T4838" s="5"/>
      <c r="U4838" s="5" t="e">
        <f>IF(AND(#REF!&gt;=table!$C$10,#REF!&lt;= table!$D$10),-1,IF(AND(#REF!&gt;=table!$E$10,#REF!&lt;=table!$F$10),1,0))</f>
        <v>#REF!</v>
      </c>
      <c r="V4838" s="5" t="e">
        <f>IF(AND(#REF!&gt;=table!$C$11,#REF!&lt;= table!$D$11),-1,IF(AND(#REF!&gt;=table!$E$11,#REF!&lt;=table!$F$11),1,0))</f>
        <v>#REF!</v>
      </c>
      <c r="W4838" s="5" t="e">
        <f>CONCATENATE(dados[[#This Row],[fator1]],dados[[#This Row],[fator5]],dados[[#This Row],[fator6]])</f>
        <v>#REF!</v>
      </c>
    </row>
    <row r="4839" spans="1:23">
      <c r="A4839" t="s">
        <v>16</v>
      </c>
      <c r="B4839">
        <v>591178</v>
      </c>
      <c r="C4839">
        <v>12</v>
      </c>
      <c r="D4839">
        <v>35</v>
      </c>
      <c r="E4839">
        <v>180</v>
      </c>
      <c r="F4839">
        <v>6</v>
      </c>
      <c r="G4839">
        <v>0</v>
      </c>
      <c r="H4839">
        <v>20</v>
      </c>
      <c r="I4839">
        <v>1</v>
      </c>
      <c r="J4839">
        <v>0</v>
      </c>
      <c r="K4839">
        <v>3.2435</v>
      </c>
      <c r="L4839">
        <v>6.8460000000000001</v>
      </c>
      <c r="M4839">
        <v>152.78900000000002</v>
      </c>
      <c r="N4839">
        <v>13.02</v>
      </c>
      <c r="O4839">
        <v>1691</v>
      </c>
      <c r="P4839">
        <v>0</v>
      </c>
      <c r="Q4839" s="5" t="e">
        <f>IF(AND(#REF!&gt;=table!$C$6,#REF!&lt;= table!$D$6),-1,IF(AND(#REF!&gt;=table!$E$6,#REF!&lt;=table!$F$6),1,0))</f>
        <v>#REF!</v>
      </c>
      <c r="R4839" s="5" t="e">
        <f>IF(AND(#REF!&gt;=table!$C$7,#REF!&lt;= table!$D$7),-1,IF(AND(#REF!&gt;=table!$E$7,#REF!&lt;=table!$F$7),1,0))</f>
        <v>#REF!</v>
      </c>
      <c r="S4839" s="5" t="e">
        <f>IF(AND(#REF!&gt;=table!$C$8,#REF!&lt;= table!$D$8),-1,IF(AND(#REF!&gt;=table!$E$8,#REF!&lt;=table!$F$8),1,0))</f>
        <v>#REF!</v>
      </c>
      <c r="T4839" s="5"/>
      <c r="U4839" s="5" t="e">
        <f>IF(AND(#REF!&gt;=table!$C$10,#REF!&lt;= table!$D$10),-1,IF(AND(#REF!&gt;=table!$E$10,#REF!&lt;=table!$F$10),1,0))</f>
        <v>#REF!</v>
      </c>
      <c r="V4839" s="5" t="e">
        <f>IF(AND(#REF!&gt;=table!$C$11,#REF!&lt;= table!$D$11),-1,IF(AND(#REF!&gt;=table!$E$11,#REF!&lt;=table!$F$11),1,0))</f>
        <v>#REF!</v>
      </c>
      <c r="W4839" s="5" t="e">
        <f>CONCATENATE(dados[[#This Row],[fator1]],dados[[#This Row],[fator5]],dados[[#This Row],[fator6]])</f>
        <v>#REF!</v>
      </c>
    </row>
    <row r="4840" spans="1:23">
      <c r="A4840" t="s">
        <v>16</v>
      </c>
      <c r="B4840">
        <v>591180</v>
      </c>
      <c r="C4840">
        <v>17</v>
      </c>
      <c r="D4840">
        <v>55</v>
      </c>
      <c r="E4840">
        <v>75</v>
      </c>
      <c r="F4840">
        <v>15</v>
      </c>
      <c r="G4840">
        <v>0</v>
      </c>
      <c r="H4840">
        <v>20</v>
      </c>
      <c r="I4840">
        <v>0</v>
      </c>
      <c r="J4840">
        <v>1460</v>
      </c>
      <c r="K4840">
        <v>3.3290000000000002</v>
      </c>
      <c r="L4840">
        <v>6.1225000000000005</v>
      </c>
      <c r="M4840">
        <v>54.8825</v>
      </c>
      <c r="N4840">
        <v>15.1</v>
      </c>
      <c r="O4840">
        <v>1667</v>
      </c>
      <c r="P4840">
        <v>0</v>
      </c>
      <c r="Q4840" s="5" t="e">
        <f>IF(AND(#REF!&gt;=table!$C$6,#REF!&lt;= table!$D$6),-1,IF(AND(#REF!&gt;=table!$E$6,#REF!&lt;=table!$F$6),1,0))</f>
        <v>#REF!</v>
      </c>
      <c r="R4840" s="5" t="e">
        <f>IF(AND(#REF!&gt;=table!$C$7,#REF!&lt;= table!$D$7),-1,IF(AND(#REF!&gt;=table!$E$7,#REF!&lt;=table!$F$7),1,0))</f>
        <v>#REF!</v>
      </c>
      <c r="S4840" s="5" t="e">
        <f>IF(AND(#REF!&gt;=table!$C$8,#REF!&lt;= table!$D$8),-1,IF(AND(#REF!&gt;=table!$E$8,#REF!&lt;=table!$F$8),1,0))</f>
        <v>#REF!</v>
      </c>
      <c r="T4840" s="5"/>
      <c r="U4840" s="5" t="e">
        <f>IF(AND(#REF!&gt;=table!$C$10,#REF!&lt;= table!$D$10),-1,IF(AND(#REF!&gt;=table!$E$10,#REF!&lt;=table!$F$10),1,0))</f>
        <v>#REF!</v>
      </c>
      <c r="V4840" s="5" t="e">
        <f>IF(AND(#REF!&gt;=table!$C$11,#REF!&lt;= table!$D$11),-1,IF(AND(#REF!&gt;=table!$E$11,#REF!&lt;=table!$F$11),1,0))</f>
        <v>#REF!</v>
      </c>
      <c r="W4840" s="5" t="e">
        <f>CONCATENATE(dados[[#This Row],[fator1]],dados[[#This Row],[fator5]],dados[[#This Row],[fator6]])</f>
        <v>#REF!</v>
      </c>
    </row>
    <row r="4841" spans="1:23">
      <c r="A4841" t="s">
        <v>17</v>
      </c>
      <c r="B4841">
        <v>591184</v>
      </c>
      <c r="C4841">
        <v>8</v>
      </c>
      <c r="D4841">
        <v>25</v>
      </c>
      <c r="E4841">
        <v>136</v>
      </c>
      <c r="F4841">
        <v>6</v>
      </c>
      <c r="G4841">
        <v>8</v>
      </c>
      <c r="H4841">
        <v>25</v>
      </c>
      <c r="I4841">
        <v>927</v>
      </c>
      <c r="J4841">
        <v>1080</v>
      </c>
      <c r="K4841">
        <v>3.742</v>
      </c>
      <c r="L4841">
        <v>11.807</v>
      </c>
      <c r="M4841">
        <v>101.69</v>
      </c>
      <c r="N4841">
        <v>16.559999999999999</v>
      </c>
      <c r="O4841">
        <v>1680</v>
      </c>
      <c r="P4841">
        <v>0</v>
      </c>
      <c r="Q4841" s="5" t="e">
        <f>IF(AND(#REF!&gt;=table!$C$6,#REF!&lt;= table!$D$6),-1,IF(AND(#REF!&gt;=table!$E$6,#REF!&lt;=table!$F$6),1,0))</f>
        <v>#REF!</v>
      </c>
      <c r="R4841" s="5" t="e">
        <f>IF(AND(#REF!&gt;=table!$C$7,#REF!&lt;= table!$D$7),-1,IF(AND(#REF!&gt;=table!$E$7,#REF!&lt;=table!$F$7),1,0))</f>
        <v>#REF!</v>
      </c>
      <c r="S4841" s="5" t="e">
        <f>IF(AND(#REF!&gt;=table!$C$8,#REF!&lt;= table!$D$8),-1,IF(AND(#REF!&gt;=table!$E$8,#REF!&lt;=table!$F$8),1,0))</f>
        <v>#REF!</v>
      </c>
      <c r="T4841" s="5"/>
      <c r="U4841" s="5" t="e">
        <f>IF(AND(#REF!&gt;=table!$C$10,#REF!&lt;= table!$D$10),-1,IF(AND(#REF!&gt;=table!$E$10,#REF!&lt;=table!$F$10),1,0))</f>
        <v>#REF!</v>
      </c>
      <c r="V4841" s="5" t="e">
        <f>IF(AND(#REF!&gt;=table!$C$11,#REF!&lt;= table!$D$11),-1,IF(AND(#REF!&gt;=table!$E$11,#REF!&lt;=table!$F$11),1,0))</f>
        <v>#REF!</v>
      </c>
      <c r="W4841" s="5" t="e">
        <f>CONCATENATE(dados[[#This Row],[fator1]],dados[[#This Row],[fator5]],dados[[#This Row],[fator6]])</f>
        <v>#REF!</v>
      </c>
    </row>
    <row r="4842" spans="1:23">
      <c r="A4842" t="s">
        <v>16</v>
      </c>
      <c r="B4842">
        <v>591195</v>
      </c>
      <c r="C4842">
        <v>6</v>
      </c>
      <c r="D4842">
        <v>40</v>
      </c>
      <c r="E4842">
        <v>66</v>
      </c>
      <c r="F4842">
        <v>10</v>
      </c>
      <c r="G4842">
        <v>0</v>
      </c>
      <c r="H4842">
        <v>25</v>
      </c>
      <c r="I4842">
        <v>1119</v>
      </c>
      <c r="J4842">
        <v>0</v>
      </c>
      <c r="K4842">
        <v>7.5985000000000005</v>
      </c>
      <c r="L4842">
        <v>12.624000000000001</v>
      </c>
      <c r="M4842">
        <v>64.64200000000001</v>
      </c>
      <c r="N4842">
        <v>17.080000000000002</v>
      </c>
      <c r="O4842">
        <v>1668</v>
      </c>
      <c r="P4842">
        <v>460</v>
      </c>
      <c r="Q4842" s="5" t="e">
        <f>IF(AND(#REF!&gt;=table!$C$6,#REF!&lt;= table!$D$6),-1,IF(AND(#REF!&gt;=table!$E$6,#REF!&lt;=table!$F$6),1,0))</f>
        <v>#REF!</v>
      </c>
      <c r="R4842" s="5" t="e">
        <f>IF(AND(#REF!&gt;=table!$C$7,#REF!&lt;= table!$D$7),-1,IF(AND(#REF!&gt;=table!$E$7,#REF!&lt;=table!$F$7),1,0))</f>
        <v>#REF!</v>
      </c>
      <c r="S4842" s="5" t="e">
        <f>IF(AND(#REF!&gt;=table!$C$8,#REF!&lt;= table!$D$8),-1,IF(AND(#REF!&gt;=table!$E$8,#REF!&lt;=table!$F$8),1,0))</f>
        <v>#REF!</v>
      </c>
      <c r="T4842" s="5"/>
      <c r="U4842" s="5" t="e">
        <f>IF(AND(#REF!&gt;=table!$C$10,#REF!&lt;= table!$D$10),-1,IF(AND(#REF!&gt;=table!$E$10,#REF!&lt;=table!$F$10),1,0))</f>
        <v>#REF!</v>
      </c>
      <c r="V4842" s="5" t="e">
        <f>IF(AND(#REF!&gt;=table!$C$11,#REF!&lt;= table!$D$11),-1,IF(AND(#REF!&gt;=table!$E$11,#REF!&lt;=table!$F$11),1,0))</f>
        <v>#REF!</v>
      </c>
      <c r="W4842" s="5" t="e">
        <f>CONCATENATE(dados[[#This Row],[fator1]],dados[[#This Row],[fator5]],dados[[#This Row],[fator6]])</f>
        <v>#REF!</v>
      </c>
    </row>
    <row r="4843" spans="1:23">
      <c r="A4843" t="s">
        <v>16</v>
      </c>
      <c r="B4843">
        <v>591197</v>
      </c>
      <c r="C4843">
        <v>8</v>
      </c>
      <c r="D4843">
        <v>30</v>
      </c>
      <c r="E4843">
        <v>86</v>
      </c>
      <c r="F4843">
        <v>9</v>
      </c>
      <c r="G4843">
        <v>0</v>
      </c>
      <c r="H4843">
        <v>25</v>
      </c>
      <c r="I4843">
        <v>1050</v>
      </c>
      <c r="J4843">
        <v>0</v>
      </c>
      <c r="K4843">
        <v>4.7217000000000002</v>
      </c>
      <c r="L4843">
        <v>10.265500000000001</v>
      </c>
      <c r="M4843">
        <v>70.38300000000001</v>
      </c>
      <c r="N4843">
        <v>17.965</v>
      </c>
      <c r="O4843">
        <v>1682</v>
      </c>
      <c r="P4843">
        <v>3865</v>
      </c>
      <c r="Q4843" s="5" t="e">
        <f>IF(AND(#REF!&gt;=table!$C$6,#REF!&lt;= table!$D$6),-1,IF(AND(#REF!&gt;=table!$E$6,#REF!&lt;=table!$F$6),1,0))</f>
        <v>#REF!</v>
      </c>
      <c r="R4843" s="5" t="e">
        <f>IF(AND(#REF!&gt;=table!$C$7,#REF!&lt;= table!$D$7),-1,IF(AND(#REF!&gt;=table!$E$7,#REF!&lt;=table!$F$7),1,0))</f>
        <v>#REF!</v>
      </c>
      <c r="S4843" s="5" t="e">
        <f>IF(AND(#REF!&gt;=table!$C$8,#REF!&lt;= table!$D$8),-1,IF(AND(#REF!&gt;=table!$E$8,#REF!&lt;=table!$F$8),1,0))</f>
        <v>#REF!</v>
      </c>
      <c r="T4843" s="5"/>
      <c r="U4843" s="5" t="e">
        <f>IF(AND(#REF!&gt;=table!$C$10,#REF!&lt;= table!$D$10),-1,IF(AND(#REF!&gt;=table!$E$10,#REF!&lt;=table!$F$10),1,0))</f>
        <v>#REF!</v>
      </c>
      <c r="V4843" s="5" t="e">
        <f>IF(AND(#REF!&gt;=table!$C$11,#REF!&lt;= table!$D$11),-1,IF(AND(#REF!&gt;=table!$E$11,#REF!&lt;=table!$F$11),1,0))</f>
        <v>#REF!</v>
      </c>
      <c r="W4843" s="5" t="e">
        <f>CONCATENATE(dados[[#This Row],[fator1]],dados[[#This Row],[fator5]],dados[[#This Row],[fator6]])</f>
        <v>#REF!</v>
      </c>
    </row>
    <row r="4844" spans="1:23">
      <c r="A4844" t="s">
        <v>17</v>
      </c>
      <c r="B4844">
        <v>591198</v>
      </c>
      <c r="C4844">
        <v>18</v>
      </c>
      <c r="D4844">
        <v>30</v>
      </c>
      <c r="E4844">
        <v>136</v>
      </c>
      <c r="F4844">
        <v>3</v>
      </c>
      <c r="G4844">
        <v>20</v>
      </c>
      <c r="H4844">
        <v>25</v>
      </c>
      <c r="I4844">
        <v>1</v>
      </c>
      <c r="J4844">
        <v>0</v>
      </c>
      <c r="K4844">
        <v>4.6995000000000005</v>
      </c>
      <c r="L4844">
        <v>14.458</v>
      </c>
      <c r="M4844">
        <v>143.82250000000002</v>
      </c>
      <c r="N4844">
        <v>20.865000000000002</v>
      </c>
      <c r="O4844">
        <v>1662</v>
      </c>
      <c r="P4844">
        <v>726</v>
      </c>
      <c r="Q4844" s="5" t="e">
        <f>IF(AND(#REF!&gt;=table!$C$6,#REF!&lt;= table!$D$6),-1,IF(AND(#REF!&gt;=table!$E$6,#REF!&lt;=table!$F$6),1,0))</f>
        <v>#REF!</v>
      </c>
      <c r="R4844" s="5" t="e">
        <f>IF(AND(#REF!&gt;=table!$C$7,#REF!&lt;= table!$D$7),-1,IF(AND(#REF!&gt;=table!$E$7,#REF!&lt;=table!$F$7),1,0))</f>
        <v>#REF!</v>
      </c>
      <c r="S4844" s="5" t="e">
        <f>IF(AND(#REF!&gt;=table!$C$8,#REF!&lt;= table!$D$8),-1,IF(AND(#REF!&gt;=table!$E$8,#REF!&lt;=table!$F$8),1,0))</f>
        <v>#REF!</v>
      </c>
      <c r="T4844" s="5"/>
      <c r="U4844" s="5" t="e">
        <f>IF(AND(#REF!&gt;=table!$C$10,#REF!&lt;= table!$D$10),-1,IF(AND(#REF!&gt;=table!$E$10,#REF!&lt;=table!$F$10),1,0))</f>
        <v>#REF!</v>
      </c>
      <c r="V4844" s="5" t="e">
        <f>IF(AND(#REF!&gt;=table!$C$11,#REF!&lt;= table!$D$11),-1,IF(AND(#REF!&gt;=table!$E$11,#REF!&lt;=table!$F$11),1,0))</f>
        <v>#REF!</v>
      </c>
      <c r="W4844" s="5" t="e">
        <f>CONCATENATE(dados[[#This Row],[fator1]],dados[[#This Row],[fator5]],dados[[#This Row],[fator6]])</f>
        <v>#REF!</v>
      </c>
    </row>
    <row r="4845" spans="1:23">
      <c r="A4845" t="s">
        <v>17</v>
      </c>
      <c r="B4845">
        <v>591199</v>
      </c>
      <c r="C4845">
        <v>18</v>
      </c>
      <c r="D4845">
        <v>30</v>
      </c>
      <c r="E4845">
        <v>136</v>
      </c>
      <c r="F4845">
        <v>3</v>
      </c>
      <c r="G4845">
        <v>20</v>
      </c>
      <c r="H4845">
        <v>25</v>
      </c>
      <c r="I4845">
        <v>903</v>
      </c>
      <c r="J4845">
        <v>0</v>
      </c>
      <c r="K4845">
        <v>10.534500000000001</v>
      </c>
      <c r="L4845">
        <v>13.025</v>
      </c>
      <c r="M4845">
        <v>129.13150000000002</v>
      </c>
      <c r="N4845">
        <v>15.34</v>
      </c>
      <c r="O4845">
        <v>1663</v>
      </c>
      <c r="P4845">
        <v>346</v>
      </c>
      <c r="Q4845" s="5" t="e">
        <f>IF(AND(#REF!&gt;=table!$C$6,#REF!&lt;= table!$D$6),-1,IF(AND(#REF!&gt;=table!$E$6,#REF!&lt;=table!$F$6),1,0))</f>
        <v>#REF!</v>
      </c>
      <c r="R4845" s="5" t="e">
        <f>IF(AND(#REF!&gt;=table!$C$7,#REF!&lt;= table!$D$7),-1,IF(AND(#REF!&gt;=table!$E$7,#REF!&lt;=table!$F$7),1,0))</f>
        <v>#REF!</v>
      </c>
      <c r="S4845" s="5" t="e">
        <f>IF(AND(#REF!&gt;=table!$C$8,#REF!&lt;= table!$D$8),-1,IF(AND(#REF!&gt;=table!$E$8,#REF!&lt;=table!$F$8),1,0))</f>
        <v>#REF!</v>
      </c>
      <c r="T4845" s="5"/>
      <c r="U4845" s="5" t="e">
        <f>IF(AND(#REF!&gt;=table!$C$10,#REF!&lt;= table!$D$10),-1,IF(AND(#REF!&gt;=table!$E$10,#REF!&lt;=table!$F$10),1,0))</f>
        <v>#REF!</v>
      </c>
      <c r="V4845" s="5" t="e">
        <f>IF(AND(#REF!&gt;=table!$C$11,#REF!&lt;= table!$D$11),-1,IF(AND(#REF!&gt;=table!$E$11,#REF!&lt;=table!$F$11),1,0))</f>
        <v>#REF!</v>
      </c>
      <c r="W4845" s="5" t="e">
        <f>CONCATENATE(dados[[#This Row],[fator1]],dados[[#This Row],[fator5]],dados[[#This Row],[fator6]])</f>
        <v>#REF!</v>
      </c>
    </row>
    <row r="4846" spans="1:23">
      <c r="A4846" t="s">
        <v>17</v>
      </c>
      <c r="B4846">
        <v>591200</v>
      </c>
      <c r="C4846">
        <v>18</v>
      </c>
      <c r="D4846">
        <v>30</v>
      </c>
      <c r="E4846">
        <v>136</v>
      </c>
      <c r="F4846">
        <v>3</v>
      </c>
      <c r="G4846">
        <v>20</v>
      </c>
      <c r="H4846">
        <v>25</v>
      </c>
      <c r="I4846">
        <v>516</v>
      </c>
      <c r="J4846">
        <v>0</v>
      </c>
      <c r="K4846">
        <v>5.0705</v>
      </c>
      <c r="L4846">
        <v>7.8250000000000002</v>
      </c>
      <c r="M4846">
        <v>123.221</v>
      </c>
      <c r="N4846">
        <v>14.385000000000002</v>
      </c>
      <c r="O4846">
        <v>1689</v>
      </c>
      <c r="P4846">
        <v>0</v>
      </c>
      <c r="Q4846" s="5" t="e">
        <f>IF(AND(#REF!&gt;=table!$C$6,#REF!&lt;= table!$D$6),-1,IF(AND(#REF!&gt;=table!$E$6,#REF!&lt;=table!$F$6),1,0))</f>
        <v>#REF!</v>
      </c>
      <c r="R4846" s="5" t="e">
        <f>IF(AND(#REF!&gt;=table!$C$7,#REF!&lt;= table!$D$7),-1,IF(AND(#REF!&gt;=table!$E$7,#REF!&lt;=table!$F$7),1,0))</f>
        <v>#REF!</v>
      </c>
      <c r="S4846" s="5" t="e">
        <f>IF(AND(#REF!&gt;=table!$C$8,#REF!&lt;= table!$D$8),-1,IF(AND(#REF!&gt;=table!$E$8,#REF!&lt;=table!$F$8),1,0))</f>
        <v>#REF!</v>
      </c>
      <c r="T4846" s="5"/>
      <c r="U4846" s="5" t="e">
        <f>IF(AND(#REF!&gt;=table!$C$10,#REF!&lt;= table!$D$10),-1,IF(AND(#REF!&gt;=table!$E$10,#REF!&lt;=table!$F$10),1,0))</f>
        <v>#REF!</v>
      </c>
      <c r="V4846" s="5" t="e">
        <f>IF(AND(#REF!&gt;=table!$C$11,#REF!&lt;= table!$D$11),-1,IF(AND(#REF!&gt;=table!$E$11,#REF!&lt;=table!$F$11),1,0))</f>
        <v>#REF!</v>
      </c>
      <c r="W4846" s="5" t="e">
        <f>CONCATENATE(dados[[#This Row],[fator1]],dados[[#This Row],[fator5]],dados[[#This Row],[fator6]])</f>
        <v>#REF!</v>
      </c>
    </row>
    <row r="4847" spans="1:23">
      <c r="A4847" t="s">
        <v>17</v>
      </c>
      <c r="B4847">
        <v>591203</v>
      </c>
      <c r="C4847">
        <v>16</v>
      </c>
      <c r="D4847">
        <v>35</v>
      </c>
      <c r="E4847">
        <v>136</v>
      </c>
      <c r="F4847">
        <v>4</v>
      </c>
      <c r="G4847">
        <v>30</v>
      </c>
      <c r="H4847">
        <v>25</v>
      </c>
      <c r="I4847">
        <v>954</v>
      </c>
      <c r="J4847">
        <v>770</v>
      </c>
      <c r="K4847">
        <v>6.1705000000000005</v>
      </c>
      <c r="L4847">
        <v>15.945500000000001</v>
      </c>
      <c r="M4847">
        <v>136.29</v>
      </c>
      <c r="N4847">
        <v>17.72</v>
      </c>
      <c r="O4847">
        <v>1679</v>
      </c>
      <c r="P4847">
        <v>703</v>
      </c>
      <c r="Q4847" s="5" t="e">
        <f>IF(AND(#REF!&gt;=table!$C$6,#REF!&lt;= table!$D$6),-1,IF(AND(#REF!&gt;=table!$E$6,#REF!&lt;=table!$F$6),1,0))</f>
        <v>#REF!</v>
      </c>
      <c r="R4847" s="5" t="e">
        <f>IF(AND(#REF!&gt;=table!$C$7,#REF!&lt;= table!$D$7),-1,IF(AND(#REF!&gt;=table!$E$7,#REF!&lt;=table!$F$7),1,0))</f>
        <v>#REF!</v>
      </c>
      <c r="S4847" s="5" t="e">
        <f>IF(AND(#REF!&gt;=table!$C$8,#REF!&lt;= table!$D$8),-1,IF(AND(#REF!&gt;=table!$E$8,#REF!&lt;=table!$F$8),1,0))</f>
        <v>#REF!</v>
      </c>
      <c r="T4847" s="5"/>
      <c r="U4847" s="5" t="e">
        <f>IF(AND(#REF!&gt;=table!$C$10,#REF!&lt;= table!$D$10),-1,IF(AND(#REF!&gt;=table!$E$10,#REF!&lt;=table!$F$10),1,0))</f>
        <v>#REF!</v>
      </c>
      <c r="V4847" s="5" t="e">
        <f>IF(AND(#REF!&gt;=table!$C$11,#REF!&lt;= table!$D$11),-1,IF(AND(#REF!&gt;=table!$E$11,#REF!&lt;=table!$F$11),1,0))</f>
        <v>#REF!</v>
      </c>
      <c r="W4847" s="5" t="e">
        <f>CONCATENATE(dados[[#This Row],[fator1]],dados[[#This Row],[fator5]],dados[[#This Row],[fator6]])</f>
        <v>#REF!</v>
      </c>
    </row>
    <row r="4848" spans="1:23">
      <c r="A4848" t="s">
        <v>16</v>
      </c>
      <c r="B4848">
        <v>591204</v>
      </c>
      <c r="C4848">
        <v>0.15</v>
      </c>
      <c r="D4848">
        <v>40</v>
      </c>
      <c r="E4848">
        <v>10</v>
      </c>
      <c r="F4848">
        <v>15</v>
      </c>
      <c r="G4848">
        <v>0</v>
      </c>
      <c r="H4848">
        <v>15</v>
      </c>
      <c r="I4848">
        <v>673</v>
      </c>
      <c r="J4848">
        <v>0</v>
      </c>
      <c r="K4848">
        <v>3.7285000000000004</v>
      </c>
      <c r="L4848">
        <v>8.4280000000000008</v>
      </c>
      <c r="M4848">
        <v>7.6470000000000002</v>
      </c>
      <c r="N4848">
        <v>12.1</v>
      </c>
      <c r="O4848">
        <v>1686</v>
      </c>
      <c r="P4848">
        <v>1053</v>
      </c>
      <c r="Q4848" s="5" t="e">
        <f>IF(AND(#REF!&gt;=table!$C$6,#REF!&lt;= table!$D$6),-1,IF(AND(#REF!&gt;=table!$E$6,#REF!&lt;=table!$F$6),1,0))</f>
        <v>#REF!</v>
      </c>
      <c r="R4848" s="5" t="e">
        <f>IF(AND(#REF!&gt;=table!$C$7,#REF!&lt;= table!$D$7),-1,IF(AND(#REF!&gt;=table!$E$7,#REF!&lt;=table!$F$7),1,0))</f>
        <v>#REF!</v>
      </c>
      <c r="S4848" s="5" t="e">
        <f>IF(AND(#REF!&gt;=table!$C$8,#REF!&lt;= table!$D$8),-1,IF(AND(#REF!&gt;=table!$E$8,#REF!&lt;=table!$F$8),1,0))</f>
        <v>#REF!</v>
      </c>
      <c r="T4848" s="5"/>
      <c r="U4848" s="5" t="e">
        <f>IF(AND(#REF!&gt;=table!$C$10,#REF!&lt;= table!$D$10),-1,IF(AND(#REF!&gt;=table!$E$10,#REF!&lt;=table!$F$10),1,0))</f>
        <v>#REF!</v>
      </c>
      <c r="V4848" s="5" t="e">
        <f>IF(AND(#REF!&gt;=table!$C$11,#REF!&lt;= table!$D$11),-1,IF(AND(#REF!&gt;=table!$E$11,#REF!&lt;=table!$F$11),1,0))</f>
        <v>#REF!</v>
      </c>
      <c r="W4848" s="5" t="e">
        <f>CONCATENATE(dados[[#This Row],[fator1]],dados[[#This Row],[fator5]],dados[[#This Row],[fator6]])</f>
        <v>#REF!</v>
      </c>
    </row>
    <row r="4849" spans="1:23">
      <c r="A4849" t="s">
        <v>16</v>
      </c>
      <c r="B4849">
        <v>591205</v>
      </c>
      <c r="C4849">
        <v>0.15</v>
      </c>
      <c r="D4849">
        <v>40</v>
      </c>
      <c r="E4849">
        <v>10</v>
      </c>
      <c r="F4849">
        <v>15</v>
      </c>
      <c r="G4849">
        <v>0</v>
      </c>
      <c r="H4849">
        <v>15</v>
      </c>
      <c r="I4849">
        <v>1014</v>
      </c>
      <c r="J4849">
        <v>0</v>
      </c>
      <c r="K4849">
        <v>3.5470000000000002</v>
      </c>
      <c r="L4849">
        <v>8.6575000000000006</v>
      </c>
      <c r="M4849">
        <v>7.492</v>
      </c>
      <c r="N4849">
        <v>12.445</v>
      </c>
      <c r="O4849">
        <v>1681</v>
      </c>
      <c r="P4849">
        <v>1176</v>
      </c>
      <c r="Q4849" s="5" t="e">
        <f>IF(AND(#REF!&gt;=table!$C$6,#REF!&lt;= table!$D$6),-1,IF(AND(#REF!&gt;=table!$E$6,#REF!&lt;=table!$F$6),1,0))</f>
        <v>#REF!</v>
      </c>
      <c r="R4849" s="5" t="e">
        <f>IF(AND(#REF!&gt;=table!$C$7,#REF!&lt;= table!$D$7),-1,IF(AND(#REF!&gt;=table!$E$7,#REF!&lt;=table!$F$7),1,0))</f>
        <v>#REF!</v>
      </c>
      <c r="S4849" s="5" t="e">
        <f>IF(AND(#REF!&gt;=table!$C$8,#REF!&lt;= table!$D$8),-1,IF(AND(#REF!&gt;=table!$E$8,#REF!&lt;=table!$F$8),1,0))</f>
        <v>#REF!</v>
      </c>
      <c r="T4849" s="5"/>
      <c r="U4849" s="5" t="e">
        <f>IF(AND(#REF!&gt;=table!$C$10,#REF!&lt;= table!$D$10),-1,IF(AND(#REF!&gt;=table!$E$10,#REF!&lt;=table!$F$10),1,0))</f>
        <v>#REF!</v>
      </c>
      <c r="V4849" s="5" t="e">
        <f>IF(AND(#REF!&gt;=table!$C$11,#REF!&lt;= table!$D$11),-1,IF(AND(#REF!&gt;=table!$E$11,#REF!&lt;=table!$F$11),1,0))</f>
        <v>#REF!</v>
      </c>
      <c r="W4849" s="5" t="e">
        <f>CONCATENATE(dados[[#This Row],[fator1]],dados[[#This Row],[fator5]],dados[[#This Row],[fator6]])</f>
        <v>#REF!</v>
      </c>
    </row>
    <row r="4850" spans="1:23">
      <c r="A4850" t="s">
        <v>16</v>
      </c>
      <c r="B4850">
        <v>591206</v>
      </c>
      <c r="C4850">
        <v>0.15</v>
      </c>
      <c r="D4850">
        <v>40</v>
      </c>
      <c r="E4850">
        <v>10</v>
      </c>
      <c r="F4850">
        <v>15</v>
      </c>
      <c r="G4850">
        <v>0</v>
      </c>
      <c r="H4850">
        <v>15</v>
      </c>
      <c r="I4850">
        <v>945</v>
      </c>
      <c r="J4850">
        <v>0</v>
      </c>
      <c r="K4850">
        <v>4.4815000000000005</v>
      </c>
      <c r="L4850">
        <v>10.024000000000001</v>
      </c>
      <c r="M4850">
        <v>8.3905000000000012</v>
      </c>
      <c r="N4850">
        <v>13.655000000000001</v>
      </c>
      <c r="O4850">
        <v>1687</v>
      </c>
      <c r="P4850">
        <v>1015</v>
      </c>
      <c r="Q4850" s="5" t="e">
        <f>IF(AND(#REF!&gt;=table!$C$6,#REF!&lt;= table!$D$6),-1,IF(AND(#REF!&gt;=table!$E$6,#REF!&lt;=table!$F$6),1,0))</f>
        <v>#REF!</v>
      </c>
      <c r="R4850" s="5" t="e">
        <f>IF(AND(#REF!&gt;=table!$C$7,#REF!&lt;= table!$D$7),-1,IF(AND(#REF!&gt;=table!$E$7,#REF!&lt;=table!$F$7),1,0))</f>
        <v>#REF!</v>
      </c>
      <c r="S4850" s="5" t="e">
        <f>IF(AND(#REF!&gt;=table!$C$8,#REF!&lt;= table!$D$8),-1,IF(AND(#REF!&gt;=table!$E$8,#REF!&lt;=table!$F$8),1,0))</f>
        <v>#REF!</v>
      </c>
      <c r="T4850" s="5"/>
      <c r="U4850" s="5" t="e">
        <f>IF(AND(#REF!&gt;=table!$C$10,#REF!&lt;= table!$D$10),-1,IF(AND(#REF!&gt;=table!$E$10,#REF!&lt;=table!$F$10),1,0))</f>
        <v>#REF!</v>
      </c>
      <c r="V4850" s="5" t="e">
        <f>IF(AND(#REF!&gt;=table!$C$11,#REF!&lt;= table!$D$11),-1,IF(AND(#REF!&gt;=table!$E$11,#REF!&lt;=table!$F$11),1,0))</f>
        <v>#REF!</v>
      </c>
      <c r="W4850" s="5" t="e">
        <f>CONCATENATE(dados[[#This Row],[fator1]],dados[[#This Row],[fator5]],dados[[#This Row],[fator6]])</f>
        <v>#REF!</v>
      </c>
    </row>
    <row r="4851" spans="1:23">
      <c r="A4851" t="s">
        <v>16</v>
      </c>
      <c r="B4851">
        <v>591207</v>
      </c>
      <c r="C4851">
        <v>0.15</v>
      </c>
      <c r="D4851">
        <v>40</v>
      </c>
      <c r="E4851">
        <v>10</v>
      </c>
      <c r="F4851">
        <v>15</v>
      </c>
      <c r="G4851">
        <v>0</v>
      </c>
      <c r="H4851">
        <v>15</v>
      </c>
      <c r="I4851">
        <v>1208</v>
      </c>
      <c r="J4851">
        <v>0</v>
      </c>
      <c r="K4851">
        <v>6.0545</v>
      </c>
      <c r="L4851">
        <v>9.3825000000000003</v>
      </c>
      <c r="M4851">
        <v>8.8529999999999998</v>
      </c>
      <c r="N4851">
        <v>11.040000000000001</v>
      </c>
      <c r="O4851">
        <v>1690</v>
      </c>
      <c r="P4851">
        <v>673</v>
      </c>
      <c r="Q4851" s="5" t="e">
        <f>IF(AND(#REF!&gt;=table!$C$6,#REF!&lt;= table!$D$6),-1,IF(AND(#REF!&gt;=table!$E$6,#REF!&lt;=table!$F$6),1,0))</f>
        <v>#REF!</v>
      </c>
      <c r="R4851" s="5" t="e">
        <f>IF(AND(#REF!&gt;=table!$C$7,#REF!&lt;= table!$D$7),-1,IF(AND(#REF!&gt;=table!$E$7,#REF!&lt;=table!$F$7),1,0))</f>
        <v>#REF!</v>
      </c>
      <c r="S4851" s="5" t="e">
        <f>IF(AND(#REF!&gt;=table!$C$8,#REF!&lt;= table!$D$8),-1,IF(AND(#REF!&gt;=table!$E$8,#REF!&lt;=table!$F$8),1,0))</f>
        <v>#REF!</v>
      </c>
      <c r="T4851" s="5"/>
      <c r="U4851" s="5" t="e">
        <f>IF(AND(#REF!&gt;=table!$C$10,#REF!&lt;= table!$D$10),-1,IF(AND(#REF!&gt;=table!$E$10,#REF!&lt;=table!$F$10),1,0))</f>
        <v>#REF!</v>
      </c>
      <c r="V4851" s="5" t="e">
        <f>IF(AND(#REF!&gt;=table!$C$11,#REF!&lt;= table!$D$11),-1,IF(AND(#REF!&gt;=table!$E$11,#REF!&lt;=table!$F$11),1,0))</f>
        <v>#REF!</v>
      </c>
      <c r="W4851" s="5" t="e">
        <f>CONCATENATE(dados[[#This Row],[fator1]],dados[[#This Row],[fator5]],dados[[#This Row],[fator6]])</f>
        <v>#REF!</v>
      </c>
    </row>
    <row r="4852" spans="1:23">
      <c r="A4852" t="s">
        <v>16</v>
      </c>
      <c r="B4852">
        <v>591214</v>
      </c>
      <c r="C4852">
        <v>0.1</v>
      </c>
      <c r="D4852">
        <v>40</v>
      </c>
      <c r="E4852">
        <v>10</v>
      </c>
      <c r="F4852">
        <v>8</v>
      </c>
      <c r="G4852">
        <v>0</v>
      </c>
      <c r="H4852">
        <v>10</v>
      </c>
      <c r="I4852">
        <v>561</v>
      </c>
      <c r="J4852">
        <v>830</v>
      </c>
      <c r="K4852">
        <v>3.6970000000000001</v>
      </c>
      <c r="L4852">
        <v>12.923500000000001</v>
      </c>
      <c r="M4852">
        <v>7.3275000000000006</v>
      </c>
      <c r="N4852">
        <v>12.56</v>
      </c>
      <c r="O4852">
        <v>1681</v>
      </c>
      <c r="P4852">
        <v>902</v>
      </c>
      <c r="Q4852" s="5" t="e">
        <f>IF(AND(#REF!&gt;=table!$C$6,#REF!&lt;= table!$D$6),-1,IF(AND(#REF!&gt;=table!$E$6,#REF!&lt;=table!$F$6),1,0))</f>
        <v>#REF!</v>
      </c>
      <c r="R4852" s="5" t="e">
        <f>IF(AND(#REF!&gt;=table!$C$7,#REF!&lt;= table!$D$7),-1,IF(AND(#REF!&gt;=table!$E$7,#REF!&lt;=table!$F$7),1,0))</f>
        <v>#REF!</v>
      </c>
      <c r="S4852" s="5" t="e">
        <f>IF(AND(#REF!&gt;=table!$C$8,#REF!&lt;= table!$D$8),-1,IF(AND(#REF!&gt;=table!$E$8,#REF!&lt;=table!$F$8),1,0))</f>
        <v>#REF!</v>
      </c>
      <c r="T4852" s="5"/>
      <c r="U4852" s="5" t="e">
        <f>IF(AND(#REF!&gt;=table!$C$10,#REF!&lt;= table!$D$10),-1,IF(AND(#REF!&gt;=table!$E$10,#REF!&lt;=table!$F$10),1,0))</f>
        <v>#REF!</v>
      </c>
      <c r="V4852" s="5" t="e">
        <f>IF(AND(#REF!&gt;=table!$C$11,#REF!&lt;= table!$D$11),-1,IF(AND(#REF!&gt;=table!$E$11,#REF!&lt;=table!$F$11),1,0))</f>
        <v>#REF!</v>
      </c>
      <c r="W4852" s="5" t="e">
        <f>CONCATENATE(dados[[#This Row],[fator1]],dados[[#This Row],[fator5]],dados[[#This Row],[fator6]])</f>
        <v>#REF!</v>
      </c>
    </row>
    <row r="4853" spans="1:23">
      <c r="A4853" t="s">
        <v>16</v>
      </c>
      <c r="B4853">
        <v>591225</v>
      </c>
      <c r="C4853">
        <v>10</v>
      </c>
      <c r="D4853">
        <v>30</v>
      </c>
      <c r="E4853">
        <v>150</v>
      </c>
      <c r="F4853">
        <v>4</v>
      </c>
      <c r="G4853">
        <v>0</v>
      </c>
      <c r="H4853">
        <v>25</v>
      </c>
      <c r="I4853">
        <v>1229</v>
      </c>
      <c r="J4853">
        <v>0</v>
      </c>
      <c r="K4853">
        <v>3.18</v>
      </c>
      <c r="L4853">
        <v>6.5365000000000002</v>
      </c>
      <c r="M4853">
        <v>131.43700000000001</v>
      </c>
      <c r="N4853">
        <v>14.370000000000001</v>
      </c>
      <c r="O4853">
        <v>1682</v>
      </c>
      <c r="P4853">
        <v>1311</v>
      </c>
      <c r="Q4853" s="5" t="e">
        <f>IF(AND(#REF!&gt;=table!$C$6,#REF!&lt;= table!$D$6),-1,IF(AND(#REF!&gt;=table!$E$6,#REF!&lt;=table!$F$6),1,0))</f>
        <v>#REF!</v>
      </c>
      <c r="R4853" s="5" t="e">
        <f>IF(AND(#REF!&gt;=table!$C$7,#REF!&lt;= table!$D$7),-1,IF(AND(#REF!&gt;=table!$E$7,#REF!&lt;=table!$F$7),1,0))</f>
        <v>#REF!</v>
      </c>
      <c r="S4853" s="5" t="e">
        <f>IF(AND(#REF!&gt;=table!$C$8,#REF!&lt;= table!$D$8),-1,IF(AND(#REF!&gt;=table!$E$8,#REF!&lt;=table!$F$8),1,0))</f>
        <v>#REF!</v>
      </c>
      <c r="T4853" s="5"/>
      <c r="U4853" s="5" t="e">
        <f>IF(AND(#REF!&gt;=table!$C$10,#REF!&lt;= table!$D$10),-1,IF(AND(#REF!&gt;=table!$E$10,#REF!&lt;=table!$F$10),1,0))</f>
        <v>#REF!</v>
      </c>
      <c r="V4853" s="5" t="e">
        <f>IF(AND(#REF!&gt;=table!$C$11,#REF!&lt;= table!$D$11),-1,IF(AND(#REF!&gt;=table!$E$11,#REF!&lt;=table!$F$11),1,0))</f>
        <v>#REF!</v>
      </c>
      <c r="W4853" s="5" t="e">
        <f>CONCATENATE(dados[[#This Row],[fator1]],dados[[#This Row],[fator5]],dados[[#This Row],[fator6]])</f>
        <v>#REF!</v>
      </c>
    </row>
    <row r="4854" spans="1:23">
      <c r="A4854" t="s">
        <v>16</v>
      </c>
      <c r="B4854">
        <v>591229</v>
      </c>
      <c r="C4854">
        <v>16</v>
      </c>
      <c r="D4854">
        <v>35</v>
      </c>
      <c r="E4854">
        <v>36</v>
      </c>
      <c r="F4854">
        <v>10</v>
      </c>
      <c r="G4854">
        <v>0</v>
      </c>
      <c r="H4854">
        <v>25</v>
      </c>
      <c r="I4854">
        <v>704</v>
      </c>
      <c r="J4854">
        <v>0</v>
      </c>
      <c r="K4854">
        <v>4.6415000000000006</v>
      </c>
      <c r="L4854">
        <v>10.351000000000001</v>
      </c>
      <c r="M4854">
        <v>29.3445</v>
      </c>
      <c r="N4854">
        <v>15.565000000000001</v>
      </c>
      <c r="O4854">
        <v>1680</v>
      </c>
      <c r="P4854">
        <v>811</v>
      </c>
      <c r="Q4854" s="5" t="e">
        <f>IF(AND(#REF!&gt;=table!$C$6,#REF!&lt;= table!$D$6),-1,IF(AND(#REF!&gt;=table!$E$6,#REF!&lt;=table!$F$6),1,0))</f>
        <v>#REF!</v>
      </c>
      <c r="R4854" s="5" t="e">
        <f>IF(AND(#REF!&gt;=table!$C$7,#REF!&lt;= table!$D$7),-1,IF(AND(#REF!&gt;=table!$E$7,#REF!&lt;=table!$F$7),1,0))</f>
        <v>#REF!</v>
      </c>
      <c r="S4854" s="5" t="e">
        <f>IF(AND(#REF!&gt;=table!$C$8,#REF!&lt;= table!$D$8),-1,IF(AND(#REF!&gt;=table!$E$8,#REF!&lt;=table!$F$8),1,0))</f>
        <v>#REF!</v>
      </c>
      <c r="T4854" s="5"/>
      <c r="U4854" s="5" t="e">
        <f>IF(AND(#REF!&gt;=table!$C$10,#REF!&lt;= table!$D$10),-1,IF(AND(#REF!&gt;=table!$E$10,#REF!&lt;=table!$F$10),1,0))</f>
        <v>#REF!</v>
      </c>
      <c r="V4854" s="5" t="e">
        <f>IF(AND(#REF!&gt;=table!$C$11,#REF!&lt;= table!$D$11),-1,IF(AND(#REF!&gt;=table!$E$11,#REF!&lt;=table!$F$11),1,0))</f>
        <v>#REF!</v>
      </c>
      <c r="W4854" s="5" t="e">
        <f>CONCATENATE(dados[[#This Row],[fator1]],dados[[#This Row],[fator5]],dados[[#This Row],[fator6]])</f>
        <v>#REF!</v>
      </c>
    </row>
    <row r="4855" spans="1:23">
      <c r="A4855" t="s">
        <v>16</v>
      </c>
      <c r="B4855">
        <v>591230</v>
      </c>
      <c r="C4855">
        <v>16</v>
      </c>
      <c r="D4855">
        <v>35</v>
      </c>
      <c r="E4855">
        <v>36</v>
      </c>
      <c r="F4855">
        <v>10</v>
      </c>
      <c r="G4855">
        <v>0</v>
      </c>
      <c r="H4855">
        <v>25</v>
      </c>
      <c r="I4855">
        <v>922</v>
      </c>
      <c r="J4855">
        <v>0</v>
      </c>
      <c r="K4855">
        <v>5.1749999999999998</v>
      </c>
      <c r="L4855">
        <v>10.358500000000001</v>
      </c>
      <c r="M4855">
        <v>33.067500000000003</v>
      </c>
      <c r="N4855">
        <v>12.26</v>
      </c>
      <c r="O4855">
        <v>1671</v>
      </c>
      <c r="P4855">
        <v>767</v>
      </c>
      <c r="Q4855" s="5" t="e">
        <f>IF(AND(#REF!&gt;=table!$C$6,#REF!&lt;= table!$D$6),-1,IF(AND(#REF!&gt;=table!$E$6,#REF!&lt;=table!$F$6),1,0))</f>
        <v>#REF!</v>
      </c>
      <c r="R4855" s="5" t="e">
        <f>IF(AND(#REF!&gt;=table!$C$7,#REF!&lt;= table!$D$7),-1,IF(AND(#REF!&gt;=table!$E$7,#REF!&lt;=table!$F$7),1,0))</f>
        <v>#REF!</v>
      </c>
      <c r="S4855" s="5" t="e">
        <f>IF(AND(#REF!&gt;=table!$C$8,#REF!&lt;= table!$D$8),-1,IF(AND(#REF!&gt;=table!$E$8,#REF!&lt;=table!$F$8),1,0))</f>
        <v>#REF!</v>
      </c>
      <c r="T4855" s="5"/>
      <c r="U4855" s="5" t="e">
        <f>IF(AND(#REF!&gt;=table!$C$10,#REF!&lt;= table!$D$10),-1,IF(AND(#REF!&gt;=table!$E$10,#REF!&lt;=table!$F$10),1,0))</f>
        <v>#REF!</v>
      </c>
      <c r="V4855" s="5" t="e">
        <f>IF(AND(#REF!&gt;=table!$C$11,#REF!&lt;= table!$D$11),-1,IF(AND(#REF!&gt;=table!$E$11,#REF!&lt;=table!$F$11),1,0))</f>
        <v>#REF!</v>
      </c>
      <c r="W4855" s="5" t="e">
        <f>CONCATENATE(dados[[#This Row],[fator1]],dados[[#This Row],[fator5]],dados[[#This Row],[fator6]])</f>
        <v>#REF!</v>
      </c>
    </row>
    <row r="4856" spans="1:23">
      <c r="A4856" t="s">
        <v>16</v>
      </c>
      <c r="B4856">
        <v>591231</v>
      </c>
      <c r="C4856">
        <v>16</v>
      </c>
      <c r="D4856">
        <v>35</v>
      </c>
      <c r="E4856">
        <v>36</v>
      </c>
      <c r="F4856">
        <v>10</v>
      </c>
      <c r="G4856">
        <v>0</v>
      </c>
      <c r="H4856">
        <v>25</v>
      </c>
      <c r="I4856">
        <v>630</v>
      </c>
      <c r="J4856">
        <v>0</v>
      </c>
      <c r="K4856">
        <v>8.1635000000000009</v>
      </c>
      <c r="L4856">
        <v>12.2095</v>
      </c>
      <c r="M4856">
        <v>26.94</v>
      </c>
      <c r="N4856">
        <v>15.3</v>
      </c>
      <c r="O4856">
        <v>1663</v>
      </c>
      <c r="P4856">
        <v>448</v>
      </c>
      <c r="Q4856" s="5" t="e">
        <f>IF(AND(#REF!&gt;=table!$C$6,#REF!&lt;= table!$D$6),-1,IF(AND(#REF!&gt;=table!$E$6,#REF!&lt;=table!$F$6),1,0))</f>
        <v>#REF!</v>
      </c>
      <c r="R4856" s="5" t="e">
        <f>IF(AND(#REF!&gt;=table!$C$7,#REF!&lt;= table!$D$7),-1,IF(AND(#REF!&gt;=table!$E$7,#REF!&lt;=table!$F$7),1,0))</f>
        <v>#REF!</v>
      </c>
      <c r="S4856" s="5" t="e">
        <f>IF(AND(#REF!&gt;=table!$C$8,#REF!&lt;= table!$D$8),-1,IF(AND(#REF!&gt;=table!$E$8,#REF!&lt;=table!$F$8),1,0))</f>
        <v>#REF!</v>
      </c>
      <c r="T4856" s="5"/>
      <c r="U4856" s="5" t="e">
        <f>IF(AND(#REF!&gt;=table!$C$10,#REF!&lt;= table!$D$10),-1,IF(AND(#REF!&gt;=table!$E$10,#REF!&lt;=table!$F$10),1,0))</f>
        <v>#REF!</v>
      </c>
      <c r="V4856" s="5" t="e">
        <f>IF(AND(#REF!&gt;=table!$C$11,#REF!&lt;= table!$D$11),-1,IF(AND(#REF!&gt;=table!$E$11,#REF!&lt;=table!$F$11),1,0))</f>
        <v>#REF!</v>
      </c>
      <c r="W4856" s="5" t="e">
        <f>CONCATENATE(dados[[#This Row],[fator1]],dados[[#This Row],[fator5]],dados[[#This Row],[fator6]])</f>
        <v>#REF!</v>
      </c>
    </row>
    <row r="4857" spans="1:23">
      <c r="A4857" t="s">
        <v>16</v>
      </c>
      <c r="B4857">
        <v>591234</v>
      </c>
      <c r="C4857">
        <v>16</v>
      </c>
      <c r="D4857">
        <v>35</v>
      </c>
      <c r="E4857">
        <v>36</v>
      </c>
      <c r="F4857">
        <v>10</v>
      </c>
      <c r="G4857">
        <v>0</v>
      </c>
      <c r="H4857">
        <v>25</v>
      </c>
      <c r="I4857">
        <v>0</v>
      </c>
      <c r="J4857">
        <v>0</v>
      </c>
      <c r="K4857">
        <v>4.2110000000000003</v>
      </c>
      <c r="L4857">
        <v>14.3085</v>
      </c>
      <c r="M4857">
        <v>29.3565</v>
      </c>
      <c r="N4857">
        <v>19.05</v>
      </c>
      <c r="O4857">
        <v>1691</v>
      </c>
      <c r="P4857">
        <v>0</v>
      </c>
      <c r="Q4857" s="5" t="e">
        <f>IF(AND(#REF!&gt;=table!$C$6,#REF!&lt;= table!$D$6),-1,IF(AND(#REF!&gt;=table!$E$6,#REF!&lt;=table!$F$6),1,0))</f>
        <v>#REF!</v>
      </c>
      <c r="R4857" s="5" t="e">
        <f>IF(AND(#REF!&gt;=table!$C$7,#REF!&lt;= table!$D$7),-1,IF(AND(#REF!&gt;=table!$E$7,#REF!&lt;=table!$F$7),1,0))</f>
        <v>#REF!</v>
      </c>
      <c r="S4857" s="5" t="e">
        <f>IF(AND(#REF!&gt;=table!$C$8,#REF!&lt;= table!$D$8),-1,IF(AND(#REF!&gt;=table!$E$8,#REF!&lt;=table!$F$8),1,0))</f>
        <v>#REF!</v>
      </c>
      <c r="T4857" s="5"/>
      <c r="U4857" s="5" t="e">
        <f>IF(AND(#REF!&gt;=table!$C$10,#REF!&lt;= table!$D$10),-1,IF(AND(#REF!&gt;=table!$E$10,#REF!&lt;=table!$F$10),1,0))</f>
        <v>#REF!</v>
      </c>
      <c r="V4857" s="5" t="e">
        <f>IF(AND(#REF!&gt;=table!$C$11,#REF!&lt;= table!$D$11),-1,IF(AND(#REF!&gt;=table!$E$11,#REF!&lt;=table!$F$11),1,0))</f>
        <v>#REF!</v>
      </c>
      <c r="W4857" s="5" t="e">
        <f>CONCATENATE(dados[[#This Row],[fator1]],dados[[#This Row],[fator5]],dados[[#This Row],[fator6]])</f>
        <v>#REF!</v>
      </c>
    </row>
    <row r="4858" spans="1:23">
      <c r="A4858" t="s">
        <v>16</v>
      </c>
      <c r="B4858">
        <v>591235</v>
      </c>
      <c r="C4858">
        <v>16</v>
      </c>
      <c r="D4858">
        <v>35</v>
      </c>
      <c r="E4858">
        <v>36</v>
      </c>
      <c r="F4858">
        <v>10</v>
      </c>
      <c r="G4858">
        <v>0</v>
      </c>
      <c r="H4858">
        <v>25</v>
      </c>
      <c r="I4858">
        <v>972</v>
      </c>
      <c r="J4858">
        <v>0</v>
      </c>
      <c r="K4858">
        <v>4.7835000000000001</v>
      </c>
      <c r="L4858">
        <v>11.454000000000001</v>
      </c>
      <c r="M4858">
        <v>34.236499999999999</v>
      </c>
      <c r="N4858">
        <v>17.07</v>
      </c>
      <c r="O4858">
        <v>1667</v>
      </c>
      <c r="P4858">
        <v>0</v>
      </c>
      <c r="Q4858" s="5" t="e">
        <f>IF(AND(#REF!&gt;=table!$C$6,#REF!&lt;= table!$D$6),-1,IF(AND(#REF!&gt;=table!$E$6,#REF!&lt;=table!$F$6),1,0))</f>
        <v>#REF!</v>
      </c>
      <c r="R4858" s="5" t="e">
        <f>IF(AND(#REF!&gt;=table!$C$7,#REF!&lt;= table!$D$7),-1,IF(AND(#REF!&gt;=table!$E$7,#REF!&lt;=table!$F$7),1,0))</f>
        <v>#REF!</v>
      </c>
      <c r="S4858" s="5" t="e">
        <f>IF(AND(#REF!&gt;=table!$C$8,#REF!&lt;= table!$D$8),-1,IF(AND(#REF!&gt;=table!$E$8,#REF!&lt;=table!$F$8),1,0))</f>
        <v>#REF!</v>
      </c>
      <c r="T4858" s="5"/>
      <c r="U4858" s="5" t="e">
        <f>IF(AND(#REF!&gt;=table!$C$10,#REF!&lt;= table!$D$10),-1,IF(AND(#REF!&gt;=table!$E$10,#REF!&lt;=table!$F$10),1,0))</f>
        <v>#REF!</v>
      </c>
      <c r="V4858" s="5" t="e">
        <f>IF(AND(#REF!&gt;=table!$C$11,#REF!&lt;= table!$D$11),-1,IF(AND(#REF!&gt;=table!$E$11,#REF!&lt;=table!$F$11),1,0))</f>
        <v>#REF!</v>
      </c>
      <c r="W4858" s="5" t="e">
        <f>CONCATENATE(dados[[#This Row],[fator1]],dados[[#This Row],[fator5]],dados[[#This Row],[fator6]])</f>
        <v>#REF!</v>
      </c>
    </row>
    <row r="4859" spans="1:23">
      <c r="A4859" t="s">
        <v>16</v>
      </c>
      <c r="B4859">
        <v>591237</v>
      </c>
      <c r="C4859">
        <v>9</v>
      </c>
      <c r="D4859">
        <v>33</v>
      </c>
      <c r="E4859">
        <v>153</v>
      </c>
      <c r="F4859">
        <v>4</v>
      </c>
      <c r="G4859">
        <v>0</v>
      </c>
      <c r="H4859">
        <v>25</v>
      </c>
      <c r="I4859">
        <v>0</v>
      </c>
      <c r="J4859">
        <v>790</v>
      </c>
      <c r="K4859">
        <v>2.766</v>
      </c>
      <c r="L4859">
        <v>5.0685000000000002</v>
      </c>
      <c r="M4859">
        <v>132.75450000000001</v>
      </c>
      <c r="N4859">
        <v>20.350000000000001</v>
      </c>
      <c r="O4859">
        <v>1658</v>
      </c>
      <c r="P4859">
        <v>0</v>
      </c>
      <c r="Q4859" s="5" t="e">
        <f>IF(AND(#REF!&gt;=table!$C$6,#REF!&lt;= table!$D$6),-1,IF(AND(#REF!&gt;=table!$E$6,#REF!&lt;=table!$F$6),1,0))</f>
        <v>#REF!</v>
      </c>
      <c r="R4859" s="5" t="e">
        <f>IF(AND(#REF!&gt;=table!$C$7,#REF!&lt;= table!$D$7),-1,IF(AND(#REF!&gt;=table!$E$7,#REF!&lt;=table!$F$7),1,0))</f>
        <v>#REF!</v>
      </c>
      <c r="S4859" s="5" t="e">
        <f>IF(AND(#REF!&gt;=table!$C$8,#REF!&lt;= table!$D$8),-1,IF(AND(#REF!&gt;=table!$E$8,#REF!&lt;=table!$F$8),1,0))</f>
        <v>#REF!</v>
      </c>
      <c r="T4859" s="5"/>
      <c r="U4859" s="5" t="e">
        <f>IF(AND(#REF!&gt;=table!$C$10,#REF!&lt;= table!$D$10),-1,IF(AND(#REF!&gt;=table!$E$10,#REF!&lt;=table!$F$10),1,0))</f>
        <v>#REF!</v>
      </c>
      <c r="V4859" s="5" t="e">
        <f>IF(AND(#REF!&gt;=table!$C$11,#REF!&lt;= table!$D$11),-1,IF(AND(#REF!&gt;=table!$E$11,#REF!&lt;=table!$F$11),1,0))</f>
        <v>#REF!</v>
      </c>
      <c r="W4859" s="5" t="e">
        <f>CONCATENATE(dados[[#This Row],[fator1]],dados[[#This Row],[fator5]],dados[[#This Row],[fator6]])</f>
        <v>#REF!</v>
      </c>
    </row>
    <row r="4860" spans="1:23">
      <c r="A4860" t="s">
        <v>16</v>
      </c>
      <c r="B4860">
        <v>591239</v>
      </c>
      <c r="C4860">
        <v>9</v>
      </c>
      <c r="D4860">
        <v>33</v>
      </c>
      <c r="E4860">
        <v>153</v>
      </c>
      <c r="F4860">
        <v>4</v>
      </c>
      <c r="G4860">
        <v>0</v>
      </c>
      <c r="H4860">
        <v>25</v>
      </c>
      <c r="I4860">
        <v>0</v>
      </c>
      <c r="J4860">
        <v>650</v>
      </c>
      <c r="K4860">
        <v>2.6735000000000002</v>
      </c>
      <c r="L4860">
        <v>6.2770000000000001</v>
      </c>
      <c r="M4860">
        <v>95.850500000000011</v>
      </c>
      <c r="N4860">
        <v>16.23</v>
      </c>
      <c r="O4860">
        <v>1691</v>
      </c>
      <c r="P4860">
        <v>1485</v>
      </c>
      <c r="Q4860" s="5" t="e">
        <f>IF(AND(#REF!&gt;=table!$C$6,#REF!&lt;= table!$D$6),-1,IF(AND(#REF!&gt;=table!$E$6,#REF!&lt;=table!$F$6),1,0))</f>
        <v>#REF!</v>
      </c>
      <c r="R4860" s="5" t="e">
        <f>IF(AND(#REF!&gt;=table!$C$7,#REF!&lt;= table!$D$7),-1,IF(AND(#REF!&gt;=table!$E$7,#REF!&lt;=table!$F$7),1,0))</f>
        <v>#REF!</v>
      </c>
      <c r="S4860" s="5" t="e">
        <f>IF(AND(#REF!&gt;=table!$C$8,#REF!&lt;= table!$D$8),-1,IF(AND(#REF!&gt;=table!$E$8,#REF!&lt;=table!$F$8),1,0))</f>
        <v>#REF!</v>
      </c>
      <c r="T4860" s="5"/>
      <c r="U4860" s="5" t="e">
        <f>IF(AND(#REF!&gt;=table!$C$10,#REF!&lt;= table!$D$10),-1,IF(AND(#REF!&gt;=table!$E$10,#REF!&lt;=table!$F$10),1,0))</f>
        <v>#REF!</v>
      </c>
      <c r="V4860" s="5" t="e">
        <f>IF(AND(#REF!&gt;=table!$C$11,#REF!&lt;= table!$D$11),-1,IF(AND(#REF!&gt;=table!$E$11,#REF!&lt;=table!$F$11),1,0))</f>
        <v>#REF!</v>
      </c>
      <c r="W4860" s="5" t="e">
        <f>CONCATENATE(dados[[#This Row],[fator1]],dados[[#This Row],[fator5]],dados[[#This Row],[fator6]])</f>
        <v>#REF!</v>
      </c>
    </row>
    <row r="4861" spans="1:23">
      <c r="A4861" t="s">
        <v>17</v>
      </c>
      <c r="B4861">
        <v>591248</v>
      </c>
      <c r="C4861">
        <v>16</v>
      </c>
      <c r="D4861">
        <v>23</v>
      </c>
      <c r="E4861">
        <v>145</v>
      </c>
      <c r="F4861">
        <v>9</v>
      </c>
      <c r="G4861">
        <v>30</v>
      </c>
      <c r="H4861">
        <v>25</v>
      </c>
      <c r="I4861">
        <v>0</v>
      </c>
      <c r="J4861">
        <v>1020</v>
      </c>
      <c r="K4861">
        <v>4.2125000000000004</v>
      </c>
      <c r="L4861">
        <v>10.4595</v>
      </c>
      <c r="M4861">
        <v>105.953</v>
      </c>
      <c r="N4861">
        <v>15.32</v>
      </c>
      <c r="O4861">
        <v>1693</v>
      </c>
      <c r="P4861">
        <v>1010</v>
      </c>
      <c r="Q4861" s="5" t="e">
        <f>IF(AND(#REF!&gt;=table!$C$6,#REF!&lt;= table!$D$6),-1,IF(AND(#REF!&gt;=table!$E$6,#REF!&lt;=table!$F$6),1,0))</f>
        <v>#REF!</v>
      </c>
      <c r="R4861" s="5" t="e">
        <f>IF(AND(#REF!&gt;=table!$C$7,#REF!&lt;= table!$D$7),-1,IF(AND(#REF!&gt;=table!$E$7,#REF!&lt;=table!$F$7),1,0))</f>
        <v>#REF!</v>
      </c>
      <c r="S4861" s="5" t="e">
        <f>IF(AND(#REF!&gt;=table!$C$8,#REF!&lt;= table!$D$8),-1,IF(AND(#REF!&gt;=table!$E$8,#REF!&lt;=table!$F$8),1,0))</f>
        <v>#REF!</v>
      </c>
      <c r="T4861" s="5"/>
      <c r="U4861" s="5" t="e">
        <f>IF(AND(#REF!&gt;=table!$C$10,#REF!&lt;= table!$D$10),-1,IF(AND(#REF!&gt;=table!$E$10,#REF!&lt;=table!$F$10),1,0))</f>
        <v>#REF!</v>
      </c>
      <c r="V4861" s="5" t="e">
        <f>IF(AND(#REF!&gt;=table!$C$11,#REF!&lt;= table!$D$11),-1,IF(AND(#REF!&gt;=table!$E$11,#REF!&lt;=table!$F$11),1,0))</f>
        <v>#REF!</v>
      </c>
      <c r="W4861" s="5" t="e">
        <f>CONCATENATE(dados[[#This Row],[fator1]],dados[[#This Row],[fator5]],dados[[#This Row],[fator6]])</f>
        <v>#REF!</v>
      </c>
    </row>
    <row r="4862" spans="1:23">
      <c r="A4862" t="s">
        <v>17</v>
      </c>
      <c r="B4862">
        <v>591249</v>
      </c>
      <c r="C4862">
        <v>10</v>
      </c>
      <c r="D4862">
        <v>25</v>
      </c>
      <c r="E4862">
        <v>126</v>
      </c>
      <c r="F4862">
        <v>3</v>
      </c>
      <c r="G4862">
        <v>22</v>
      </c>
      <c r="H4862">
        <v>18</v>
      </c>
      <c r="I4862">
        <v>4</v>
      </c>
      <c r="J4862">
        <v>0</v>
      </c>
      <c r="K4862">
        <v>3.6795</v>
      </c>
      <c r="L4862">
        <v>7.3035000000000005</v>
      </c>
      <c r="M4862">
        <v>120.474</v>
      </c>
      <c r="N4862">
        <v>13.105</v>
      </c>
      <c r="O4862">
        <v>1675</v>
      </c>
      <c r="P4862">
        <v>1021</v>
      </c>
      <c r="Q4862" s="5" t="e">
        <f>IF(AND(#REF!&gt;=table!$C$6,#REF!&lt;= table!$D$6),-1,IF(AND(#REF!&gt;=table!$E$6,#REF!&lt;=table!$F$6),1,0))</f>
        <v>#REF!</v>
      </c>
      <c r="R4862" s="5" t="e">
        <f>IF(AND(#REF!&gt;=table!$C$7,#REF!&lt;= table!$D$7),-1,IF(AND(#REF!&gt;=table!$E$7,#REF!&lt;=table!$F$7),1,0))</f>
        <v>#REF!</v>
      </c>
      <c r="S4862" s="5" t="e">
        <f>IF(AND(#REF!&gt;=table!$C$8,#REF!&lt;= table!$D$8),-1,IF(AND(#REF!&gt;=table!$E$8,#REF!&lt;=table!$F$8),1,0))</f>
        <v>#REF!</v>
      </c>
      <c r="T4862" s="5"/>
      <c r="U4862" s="5" t="e">
        <f>IF(AND(#REF!&gt;=table!$C$10,#REF!&lt;= table!$D$10),-1,IF(AND(#REF!&gt;=table!$E$10,#REF!&lt;=table!$F$10),1,0))</f>
        <v>#REF!</v>
      </c>
      <c r="V4862" s="5" t="e">
        <f>IF(AND(#REF!&gt;=table!$C$11,#REF!&lt;= table!$D$11),-1,IF(AND(#REF!&gt;=table!$E$11,#REF!&lt;=table!$F$11),1,0))</f>
        <v>#REF!</v>
      </c>
      <c r="W4862" s="5" t="e">
        <f>CONCATENATE(dados[[#This Row],[fator1]],dados[[#This Row],[fator5]],dados[[#This Row],[fator6]])</f>
        <v>#REF!</v>
      </c>
    </row>
    <row r="4863" spans="1:23">
      <c r="A4863" t="s">
        <v>17</v>
      </c>
      <c r="B4863">
        <v>591250</v>
      </c>
      <c r="C4863">
        <v>15</v>
      </c>
      <c r="D4863">
        <v>30</v>
      </c>
      <c r="E4863">
        <v>140</v>
      </c>
      <c r="F4863">
        <v>8</v>
      </c>
      <c r="G4863">
        <v>28</v>
      </c>
      <c r="H4863">
        <v>25</v>
      </c>
      <c r="I4863">
        <v>538</v>
      </c>
      <c r="J4863">
        <v>0</v>
      </c>
      <c r="K4863">
        <v>4.5970000000000004</v>
      </c>
      <c r="L4863">
        <v>10.292</v>
      </c>
      <c r="M4863">
        <v>118.4405</v>
      </c>
      <c r="N4863">
        <v>17.100000000000001</v>
      </c>
      <c r="O4863">
        <v>1671</v>
      </c>
      <c r="P4863">
        <v>853</v>
      </c>
      <c r="Q4863" s="5" t="e">
        <f>IF(AND(#REF!&gt;=table!$C$6,#REF!&lt;= table!$D$6),-1,IF(AND(#REF!&gt;=table!$E$6,#REF!&lt;=table!$F$6),1,0))</f>
        <v>#REF!</v>
      </c>
      <c r="R4863" s="5" t="e">
        <f>IF(AND(#REF!&gt;=table!$C$7,#REF!&lt;= table!$D$7),-1,IF(AND(#REF!&gt;=table!$E$7,#REF!&lt;=table!$F$7),1,0))</f>
        <v>#REF!</v>
      </c>
      <c r="S4863" s="5" t="e">
        <f>IF(AND(#REF!&gt;=table!$C$8,#REF!&lt;= table!$D$8),-1,IF(AND(#REF!&gt;=table!$E$8,#REF!&lt;=table!$F$8),1,0))</f>
        <v>#REF!</v>
      </c>
      <c r="T4863" s="5"/>
      <c r="U4863" s="5" t="e">
        <f>IF(AND(#REF!&gt;=table!$C$10,#REF!&lt;= table!$D$10),-1,IF(AND(#REF!&gt;=table!$E$10,#REF!&lt;=table!$F$10),1,0))</f>
        <v>#REF!</v>
      </c>
      <c r="V4863" s="5" t="e">
        <f>IF(AND(#REF!&gt;=table!$C$11,#REF!&lt;= table!$D$11),-1,IF(AND(#REF!&gt;=table!$E$11,#REF!&lt;=table!$F$11),1,0))</f>
        <v>#REF!</v>
      </c>
      <c r="W4863" s="5" t="e">
        <f>CONCATENATE(dados[[#This Row],[fator1]],dados[[#This Row],[fator5]],dados[[#This Row],[fator6]])</f>
        <v>#REF!</v>
      </c>
    </row>
    <row r="4864" spans="1:23">
      <c r="A4864" t="s">
        <v>17</v>
      </c>
      <c r="B4864">
        <v>591251</v>
      </c>
      <c r="C4864">
        <v>7</v>
      </c>
      <c r="D4864">
        <v>20</v>
      </c>
      <c r="E4864">
        <v>120</v>
      </c>
      <c r="F4864">
        <v>4</v>
      </c>
      <c r="G4864">
        <v>105</v>
      </c>
      <c r="H4864">
        <v>25</v>
      </c>
      <c r="I4864">
        <v>0</v>
      </c>
      <c r="J4864">
        <v>0</v>
      </c>
      <c r="K4864">
        <v>3.0840000000000001</v>
      </c>
      <c r="L4864">
        <v>4.0990000000000002</v>
      </c>
      <c r="M4864">
        <v>121.25200000000001</v>
      </c>
      <c r="N4864">
        <v>15.22</v>
      </c>
      <c r="O4864">
        <v>1685</v>
      </c>
      <c r="P4864">
        <v>0</v>
      </c>
      <c r="Q4864" s="5" t="e">
        <f>IF(AND(#REF!&gt;=table!$C$6,#REF!&lt;= table!$D$6),-1,IF(AND(#REF!&gt;=table!$E$6,#REF!&lt;=table!$F$6),1,0))</f>
        <v>#REF!</v>
      </c>
      <c r="R4864" s="5" t="e">
        <f>IF(AND(#REF!&gt;=table!$C$7,#REF!&lt;= table!$D$7),-1,IF(AND(#REF!&gt;=table!$E$7,#REF!&lt;=table!$F$7),1,0))</f>
        <v>#REF!</v>
      </c>
      <c r="S4864" s="5" t="e">
        <f>IF(AND(#REF!&gt;=table!$C$8,#REF!&lt;= table!$D$8),-1,IF(AND(#REF!&gt;=table!$E$8,#REF!&lt;=table!$F$8),1,0))</f>
        <v>#REF!</v>
      </c>
      <c r="T4864" s="5"/>
      <c r="U4864" s="5" t="e">
        <f>IF(AND(#REF!&gt;=table!$C$10,#REF!&lt;= table!$D$10),-1,IF(AND(#REF!&gt;=table!$E$10,#REF!&lt;=table!$F$10),1,0))</f>
        <v>#REF!</v>
      </c>
      <c r="V4864" s="5" t="e">
        <f>IF(AND(#REF!&gt;=table!$C$11,#REF!&lt;= table!$D$11),-1,IF(AND(#REF!&gt;=table!$E$11,#REF!&lt;=table!$F$11),1,0))</f>
        <v>#REF!</v>
      </c>
      <c r="W4864" s="5" t="e">
        <f>CONCATENATE(dados[[#This Row],[fator1]],dados[[#This Row],[fator5]],dados[[#This Row],[fator6]])</f>
        <v>#REF!</v>
      </c>
    </row>
    <row r="4865" spans="1:23">
      <c r="A4865" t="s">
        <v>17</v>
      </c>
      <c r="B4865">
        <v>591253</v>
      </c>
      <c r="C4865">
        <v>6</v>
      </c>
      <c r="D4865">
        <v>30</v>
      </c>
      <c r="E4865">
        <v>110</v>
      </c>
      <c r="F4865">
        <v>10</v>
      </c>
      <c r="G4865">
        <v>21</v>
      </c>
      <c r="H4865">
        <v>25</v>
      </c>
      <c r="I4865">
        <v>0</v>
      </c>
      <c r="J4865">
        <v>0</v>
      </c>
      <c r="K4865">
        <v>4.6150000000000002</v>
      </c>
      <c r="L4865">
        <v>10.801500000000001</v>
      </c>
      <c r="M4865">
        <v>97.616500000000002</v>
      </c>
      <c r="N4865">
        <v>17.945</v>
      </c>
      <c r="O4865">
        <v>1669</v>
      </c>
      <c r="P4865">
        <v>897</v>
      </c>
      <c r="Q4865" s="5" t="e">
        <f>IF(AND(#REF!&gt;=table!$C$6,#REF!&lt;= table!$D$6),-1,IF(AND(#REF!&gt;=table!$E$6,#REF!&lt;=table!$F$6),1,0))</f>
        <v>#REF!</v>
      </c>
      <c r="R4865" s="5" t="e">
        <f>IF(AND(#REF!&gt;=table!$C$7,#REF!&lt;= table!$D$7),-1,IF(AND(#REF!&gt;=table!$E$7,#REF!&lt;=table!$F$7),1,0))</f>
        <v>#REF!</v>
      </c>
      <c r="S4865" s="5" t="e">
        <f>IF(AND(#REF!&gt;=table!$C$8,#REF!&lt;= table!$D$8),-1,IF(AND(#REF!&gt;=table!$E$8,#REF!&lt;=table!$F$8),1,0))</f>
        <v>#REF!</v>
      </c>
      <c r="T4865" s="5"/>
      <c r="U4865" s="5" t="e">
        <f>IF(AND(#REF!&gt;=table!$C$10,#REF!&lt;= table!$D$10),-1,IF(AND(#REF!&gt;=table!$E$10,#REF!&lt;=table!$F$10),1,0))</f>
        <v>#REF!</v>
      </c>
      <c r="V4865" s="5" t="e">
        <f>IF(AND(#REF!&gt;=table!$C$11,#REF!&lt;= table!$D$11),-1,IF(AND(#REF!&gt;=table!$E$11,#REF!&lt;=table!$F$11),1,0))</f>
        <v>#REF!</v>
      </c>
      <c r="W4865" s="5" t="e">
        <f>CONCATENATE(dados[[#This Row],[fator1]],dados[[#This Row],[fator5]],dados[[#This Row],[fator6]])</f>
        <v>#REF!</v>
      </c>
    </row>
    <row r="4866" spans="1:23">
      <c r="A4866" t="s">
        <v>17</v>
      </c>
      <c r="B4866">
        <v>591254</v>
      </c>
      <c r="C4866">
        <v>6</v>
      </c>
      <c r="D4866">
        <v>30</v>
      </c>
      <c r="E4866">
        <v>110</v>
      </c>
      <c r="F4866">
        <v>10</v>
      </c>
      <c r="G4866">
        <v>21</v>
      </c>
      <c r="H4866">
        <v>25</v>
      </c>
      <c r="I4866">
        <v>630</v>
      </c>
      <c r="J4866">
        <v>0</v>
      </c>
      <c r="K4866">
        <v>4.1145000000000005</v>
      </c>
      <c r="L4866">
        <v>7.4965000000000002</v>
      </c>
      <c r="M4866">
        <v>95.209000000000003</v>
      </c>
      <c r="N4866">
        <v>18.995000000000001</v>
      </c>
      <c r="O4866">
        <v>1708</v>
      </c>
      <c r="P4866">
        <v>1180</v>
      </c>
      <c r="Q4866" s="5" t="e">
        <f>IF(AND(#REF!&gt;=table!$C$6,#REF!&lt;= table!$D$6),-1,IF(AND(#REF!&gt;=table!$E$6,#REF!&lt;=table!$F$6),1,0))</f>
        <v>#REF!</v>
      </c>
      <c r="R4866" s="5" t="e">
        <f>IF(AND(#REF!&gt;=table!$C$7,#REF!&lt;= table!$D$7),-1,IF(AND(#REF!&gt;=table!$E$7,#REF!&lt;=table!$F$7),1,0))</f>
        <v>#REF!</v>
      </c>
      <c r="S4866" s="5" t="e">
        <f>IF(AND(#REF!&gt;=table!$C$8,#REF!&lt;= table!$D$8),-1,IF(AND(#REF!&gt;=table!$E$8,#REF!&lt;=table!$F$8),1,0))</f>
        <v>#REF!</v>
      </c>
      <c r="T4866" s="5"/>
      <c r="U4866" s="5" t="e">
        <f>IF(AND(#REF!&gt;=table!$C$10,#REF!&lt;= table!$D$10),-1,IF(AND(#REF!&gt;=table!$E$10,#REF!&lt;=table!$F$10),1,0))</f>
        <v>#REF!</v>
      </c>
      <c r="V4866" s="5" t="e">
        <f>IF(AND(#REF!&gt;=table!$C$11,#REF!&lt;= table!$D$11),-1,IF(AND(#REF!&gt;=table!$E$11,#REF!&lt;=table!$F$11),1,0))</f>
        <v>#REF!</v>
      </c>
      <c r="W4866" s="5" t="e">
        <f>CONCATENATE(dados[[#This Row],[fator1]],dados[[#This Row],[fator5]],dados[[#This Row],[fator6]])</f>
        <v>#REF!</v>
      </c>
    </row>
    <row r="4867" spans="1:23">
      <c r="A4867" t="s">
        <v>17</v>
      </c>
      <c r="B4867">
        <v>591255</v>
      </c>
      <c r="C4867">
        <v>6</v>
      </c>
      <c r="D4867">
        <v>30</v>
      </c>
      <c r="E4867">
        <v>110</v>
      </c>
      <c r="F4867">
        <v>10</v>
      </c>
      <c r="G4867">
        <v>21</v>
      </c>
      <c r="H4867">
        <v>25</v>
      </c>
      <c r="I4867">
        <v>503</v>
      </c>
      <c r="J4867">
        <v>0</v>
      </c>
      <c r="K4867">
        <v>3.1485000000000003</v>
      </c>
      <c r="L4867">
        <v>9.4130000000000003</v>
      </c>
      <c r="M4867">
        <v>92.320000000000007</v>
      </c>
      <c r="N4867">
        <v>17.455000000000002</v>
      </c>
      <c r="O4867">
        <v>1654</v>
      </c>
      <c r="P4867">
        <v>957</v>
      </c>
      <c r="Q4867" s="5" t="e">
        <f>IF(AND(#REF!&gt;=table!$C$6,#REF!&lt;= table!$D$6),-1,IF(AND(#REF!&gt;=table!$E$6,#REF!&lt;=table!$F$6),1,0))</f>
        <v>#REF!</v>
      </c>
      <c r="R4867" s="5" t="e">
        <f>IF(AND(#REF!&gt;=table!$C$7,#REF!&lt;= table!$D$7),-1,IF(AND(#REF!&gt;=table!$E$7,#REF!&lt;=table!$F$7),1,0))</f>
        <v>#REF!</v>
      </c>
      <c r="S4867" s="5" t="e">
        <f>IF(AND(#REF!&gt;=table!$C$8,#REF!&lt;= table!$D$8),-1,IF(AND(#REF!&gt;=table!$E$8,#REF!&lt;=table!$F$8),1,0))</f>
        <v>#REF!</v>
      </c>
      <c r="T4867" s="5"/>
      <c r="U4867" s="5" t="e">
        <f>IF(AND(#REF!&gt;=table!$C$10,#REF!&lt;= table!$D$10),-1,IF(AND(#REF!&gt;=table!$E$10,#REF!&lt;=table!$F$10),1,0))</f>
        <v>#REF!</v>
      </c>
      <c r="V4867" s="5" t="e">
        <f>IF(AND(#REF!&gt;=table!$C$11,#REF!&lt;= table!$D$11),-1,IF(AND(#REF!&gt;=table!$E$11,#REF!&lt;=table!$F$11),1,0))</f>
        <v>#REF!</v>
      </c>
      <c r="W4867" s="5" t="e">
        <f>CONCATENATE(dados[[#This Row],[fator1]],dados[[#This Row],[fator5]],dados[[#This Row],[fator6]])</f>
        <v>#REF!</v>
      </c>
    </row>
    <row r="4868" spans="1:23">
      <c r="A4868" t="s">
        <v>16</v>
      </c>
      <c r="B4868">
        <v>591257</v>
      </c>
      <c r="C4868">
        <v>0.15</v>
      </c>
      <c r="D4868">
        <v>40</v>
      </c>
      <c r="E4868">
        <v>10</v>
      </c>
      <c r="F4868">
        <v>15</v>
      </c>
      <c r="G4868">
        <v>0</v>
      </c>
      <c r="H4868">
        <v>15</v>
      </c>
      <c r="I4868">
        <v>9</v>
      </c>
      <c r="J4868">
        <v>0</v>
      </c>
      <c r="K4868">
        <v>3.1575000000000002</v>
      </c>
      <c r="L4868">
        <v>8.3414999999999999</v>
      </c>
      <c r="M4868">
        <v>7.1455000000000002</v>
      </c>
      <c r="N4868">
        <v>15.55</v>
      </c>
      <c r="O4868">
        <v>1689</v>
      </c>
      <c r="P4868">
        <v>1340</v>
      </c>
      <c r="Q4868" s="5" t="e">
        <f>IF(AND(#REF!&gt;=table!$C$6,#REF!&lt;= table!$D$6),-1,IF(AND(#REF!&gt;=table!$E$6,#REF!&lt;=table!$F$6),1,0))</f>
        <v>#REF!</v>
      </c>
      <c r="R4868" s="5" t="e">
        <f>IF(AND(#REF!&gt;=table!$C$7,#REF!&lt;= table!$D$7),-1,IF(AND(#REF!&gt;=table!$E$7,#REF!&lt;=table!$F$7),1,0))</f>
        <v>#REF!</v>
      </c>
      <c r="S4868" s="5" t="e">
        <f>IF(AND(#REF!&gt;=table!$C$8,#REF!&lt;= table!$D$8),-1,IF(AND(#REF!&gt;=table!$E$8,#REF!&lt;=table!$F$8),1,0))</f>
        <v>#REF!</v>
      </c>
      <c r="T4868" s="5"/>
      <c r="U4868" s="5" t="e">
        <f>IF(AND(#REF!&gt;=table!$C$10,#REF!&lt;= table!$D$10),-1,IF(AND(#REF!&gt;=table!$E$10,#REF!&lt;=table!$F$10),1,0))</f>
        <v>#REF!</v>
      </c>
      <c r="V4868" s="5" t="e">
        <f>IF(AND(#REF!&gt;=table!$C$11,#REF!&lt;= table!$D$11),-1,IF(AND(#REF!&gt;=table!$E$11,#REF!&lt;=table!$F$11),1,0))</f>
        <v>#REF!</v>
      </c>
      <c r="W4868" s="5" t="e">
        <f>CONCATENATE(dados[[#This Row],[fator1]],dados[[#This Row],[fator5]],dados[[#This Row],[fator6]])</f>
        <v>#REF!</v>
      </c>
    </row>
    <row r="4869" spans="1:23">
      <c r="A4869" t="s">
        <v>17</v>
      </c>
      <c r="B4869">
        <v>591258</v>
      </c>
      <c r="C4869">
        <v>16</v>
      </c>
      <c r="D4869">
        <v>30</v>
      </c>
      <c r="E4869">
        <v>110</v>
      </c>
      <c r="F4869">
        <v>8</v>
      </c>
      <c r="G4869">
        <v>28</v>
      </c>
      <c r="H4869">
        <v>25</v>
      </c>
      <c r="I4869">
        <v>353</v>
      </c>
      <c r="J4869">
        <v>0</v>
      </c>
      <c r="K4869">
        <v>2.9125000000000001</v>
      </c>
      <c r="L4869">
        <v>5.0940000000000003</v>
      </c>
      <c r="M4869">
        <v>84.895499999999998</v>
      </c>
      <c r="N4869">
        <v>12.595000000000001</v>
      </c>
      <c r="O4869">
        <v>1668</v>
      </c>
      <c r="P4869">
        <v>0</v>
      </c>
      <c r="Q4869" s="5" t="e">
        <f>IF(AND(#REF!&gt;=table!$C$6,#REF!&lt;= table!$D$6),-1,IF(AND(#REF!&gt;=table!$E$6,#REF!&lt;=table!$F$6),1,0))</f>
        <v>#REF!</v>
      </c>
      <c r="R4869" s="5" t="e">
        <f>IF(AND(#REF!&gt;=table!$C$7,#REF!&lt;= table!$D$7),-1,IF(AND(#REF!&gt;=table!$E$7,#REF!&lt;=table!$F$7),1,0))</f>
        <v>#REF!</v>
      </c>
      <c r="S4869" s="5" t="e">
        <f>IF(AND(#REF!&gt;=table!$C$8,#REF!&lt;= table!$D$8),-1,IF(AND(#REF!&gt;=table!$E$8,#REF!&lt;=table!$F$8),1,0))</f>
        <v>#REF!</v>
      </c>
      <c r="T4869" s="5"/>
      <c r="U4869" s="5" t="e">
        <f>IF(AND(#REF!&gt;=table!$C$10,#REF!&lt;= table!$D$10),-1,IF(AND(#REF!&gt;=table!$E$10,#REF!&lt;=table!$F$10),1,0))</f>
        <v>#REF!</v>
      </c>
      <c r="V4869" s="5" t="e">
        <f>IF(AND(#REF!&gt;=table!$C$11,#REF!&lt;= table!$D$11),-1,IF(AND(#REF!&gt;=table!$E$11,#REF!&lt;=table!$F$11),1,0))</f>
        <v>#REF!</v>
      </c>
      <c r="W4869" s="5" t="e">
        <f>CONCATENATE(dados[[#This Row],[fator1]],dados[[#This Row],[fator5]],dados[[#This Row],[fator6]])</f>
        <v>#REF!</v>
      </c>
    </row>
    <row r="4870" spans="1:23">
      <c r="A4870" t="s">
        <v>17</v>
      </c>
      <c r="B4870">
        <v>591263</v>
      </c>
      <c r="C4870">
        <v>8</v>
      </c>
      <c r="D4870">
        <v>25</v>
      </c>
      <c r="E4870">
        <v>136</v>
      </c>
      <c r="F4870">
        <v>6</v>
      </c>
      <c r="G4870">
        <v>8</v>
      </c>
      <c r="H4870">
        <v>25</v>
      </c>
      <c r="I4870">
        <v>16</v>
      </c>
      <c r="J4870">
        <v>0</v>
      </c>
      <c r="K4870">
        <v>3.8535000000000004</v>
      </c>
      <c r="L4870">
        <v>8.5750000000000011</v>
      </c>
      <c r="M4870">
        <v>125.38550000000001</v>
      </c>
      <c r="N4870">
        <v>15.735000000000001</v>
      </c>
      <c r="O4870">
        <v>1668</v>
      </c>
      <c r="P4870">
        <v>2338</v>
      </c>
      <c r="Q4870" s="5" t="e">
        <f>IF(AND(#REF!&gt;=table!$C$6,#REF!&lt;= table!$D$6),-1,IF(AND(#REF!&gt;=table!$E$6,#REF!&lt;=table!$F$6),1,0))</f>
        <v>#REF!</v>
      </c>
      <c r="R4870" s="5" t="e">
        <f>IF(AND(#REF!&gt;=table!$C$7,#REF!&lt;= table!$D$7),-1,IF(AND(#REF!&gt;=table!$E$7,#REF!&lt;=table!$F$7),1,0))</f>
        <v>#REF!</v>
      </c>
      <c r="S4870" s="5" t="e">
        <f>IF(AND(#REF!&gt;=table!$C$8,#REF!&lt;= table!$D$8),-1,IF(AND(#REF!&gt;=table!$E$8,#REF!&lt;=table!$F$8),1,0))</f>
        <v>#REF!</v>
      </c>
      <c r="T4870" s="5"/>
      <c r="U4870" s="5" t="e">
        <f>IF(AND(#REF!&gt;=table!$C$10,#REF!&lt;= table!$D$10),-1,IF(AND(#REF!&gt;=table!$E$10,#REF!&lt;=table!$F$10),1,0))</f>
        <v>#REF!</v>
      </c>
      <c r="V4870" s="5" t="e">
        <f>IF(AND(#REF!&gt;=table!$C$11,#REF!&lt;= table!$D$11),-1,IF(AND(#REF!&gt;=table!$E$11,#REF!&lt;=table!$F$11),1,0))</f>
        <v>#REF!</v>
      </c>
      <c r="W4870" s="5" t="e">
        <f>CONCATENATE(dados[[#This Row],[fator1]],dados[[#This Row],[fator5]],dados[[#This Row],[fator6]])</f>
        <v>#REF!</v>
      </c>
    </row>
    <row r="4871" spans="1:23">
      <c r="A4871" t="s">
        <v>17</v>
      </c>
      <c r="B4871">
        <v>591264</v>
      </c>
      <c r="C4871">
        <v>8</v>
      </c>
      <c r="D4871">
        <v>25</v>
      </c>
      <c r="E4871">
        <v>136</v>
      </c>
      <c r="F4871">
        <v>6</v>
      </c>
      <c r="G4871">
        <v>8</v>
      </c>
      <c r="H4871">
        <v>25</v>
      </c>
      <c r="I4871">
        <v>369</v>
      </c>
      <c r="J4871">
        <v>360</v>
      </c>
      <c r="K4871">
        <v>6.5775000000000006</v>
      </c>
      <c r="L4871">
        <v>13.452</v>
      </c>
      <c r="M4871">
        <v>105.69300000000001</v>
      </c>
      <c r="N4871">
        <v>15.26</v>
      </c>
      <c r="O4871">
        <v>1670</v>
      </c>
      <c r="P4871">
        <v>0</v>
      </c>
      <c r="Q4871" s="5" t="e">
        <f>IF(AND(#REF!&gt;=table!$C$6,#REF!&lt;= table!$D$6),-1,IF(AND(#REF!&gt;=table!$E$6,#REF!&lt;=table!$F$6),1,0))</f>
        <v>#REF!</v>
      </c>
      <c r="R4871" s="5" t="e">
        <f>IF(AND(#REF!&gt;=table!$C$7,#REF!&lt;= table!$D$7),-1,IF(AND(#REF!&gt;=table!$E$7,#REF!&lt;=table!$F$7),1,0))</f>
        <v>#REF!</v>
      </c>
      <c r="S4871" s="5" t="e">
        <f>IF(AND(#REF!&gt;=table!$C$8,#REF!&lt;= table!$D$8),-1,IF(AND(#REF!&gt;=table!$E$8,#REF!&lt;=table!$F$8),1,0))</f>
        <v>#REF!</v>
      </c>
      <c r="T4871" s="5"/>
      <c r="U4871" s="5" t="e">
        <f>IF(AND(#REF!&gt;=table!$C$10,#REF!&lt;= table!$D$10),-1,IF(AND(#REF!&gt;=table!$E$10,#REF!&lt;=table!$F$10),1,0))</f>
        <v>#REF!</v>
      </c>
      <c r="V4871" s="5" t="e">
        <f>IF(AND(#REF!&gt;=table!$C$11,#REF!&lt;= table!$D$11),-1,IF(AND(#REF!&gt;=table!$E$11,#REF!&lt;=table!$F$11),1,0))</f>
        <v>#REF!</v>
      </c>
      <c r="W4871" s="5" t="e">
        <f>CONCATENATE(dados[[#This Row],[fator1]],dados[[#This Row],[fator5]],dados[[#This Row],[fator6]])</f>
        <v>#REF!</v>
      </c>
    </row>
    <row r="4872" spans="1:23">
      <c r="A4872" t="s">
        <v>17</v>
      </c>
      <c r="B4872">
        <v>591270</v>
      </c>
      <c r="C4872">
        <v>9</v>
      </c>
      <c r="D4872">
        <v>25</v>
      </c>
      <c r="E4872">
        <v>130</v>
      </c>
      <c r="F4872">
        <v>3</v>
      </c>
      <c r="G4872">
        <v>20</v>
      </c>
      <c r="H4872">
        <v>21</v>
      </c>
      <c r="I4872">
        <v>310</v>
      </c>
      <c r="J4872">
        <v>0</v>
      </c>
      <c r="K4872">
        <v>3.59</v>
      </c>
      <c r="L4872">
        <v>10.302000000000001</v>
      </c>
      <c r="M4872">
        <v>114.70750000000001</v>
      </c>
      <c r="N4872">
        <v>12.225000000000001</v>
      </c>
      <c r="O4872">
        <v>1688</v>
      </c>
      <c r="P4872">
        <v>0</v>
      </c>
      <c r="Q4872" s="5" t="e">
        <f>IF(AND(#REF!&gt;=table!$C$6,#REF!&lt;= table!$D$6),-1,IF(AND(#REF!&gt;=table!$E$6,#REF!&lt;=table!$F$6),1,0))</f>
        <v>#REF!</v>
      </c>
      <c r="R4872" s="5" t="e">
        <f>IF(AND(#REF!&gt;=table!$C$7,#REF!&lt;= table!$D$7),-1,IF(AND(#REF!&gt;=table!$E$7,#REF!&lt;=table!$F$7),1,0))</f>
        <v>#REF!</v>
      </c>
      <c r="S4872" s="5" t="e">
        <f>IF(AND(#REF!&gt;=table!$C$8,#REF!&lt;= table!$D$8),-1,IF(AND(#REF!&gt;=table!$E$8,#REF!&lt;=table!$F$8),1,0))</f>
        <v>#REF!</v>
      </c>
      <c r="T4872" s="5"/>
      <c r="U4872" s="5" t="e">
        <f>IF(AND(#REF!&gt;=table!$C$10,#REF!&lt;= table!$D$10),-1,IF(AND(#REF!&gt;=table!$E$10,#REF!&lt;=table!$F$10),1,0))</f>
        <v>#REF!</v>
      </c>
      <c r="V4872" s="5" t="e">
        <f>IF(AND(#REF!&gt;=table!$C$11,#REF!&lt;= table!$D$11),-1,IF(AND(#REF!&gt;=table!$E$11,#REF!&lt;=table!$F$11),1,0))</f>
        <v>#REF!</v>
      </c>
      <c r="W4872" s="5" t="e">
        <f>CONCATENATE(dados[[#This Row],[fator1]],dados[[#This Row],[fator5]],dados[[#This Row],[fator6]])</f>
        <v>#REF!</v>
      </c>
    </row>
    <row r="4873" spans="1:23">
      <c r="A4873" t="s">
        <v>17</v>
      </c>
      <c r="B4873">
        <v>591271</v>
      </c>
      <c r="C4873">
        <v>9</v>
      </c>
      <c r="D4873">
        <v>25</v>
      </c>
      <c r="E4873">
        <v>130</v>
      </c>
      <c r="F4873">
        <v>3</v>
      </c>
      <c r="G4873">
        <v>20</v>
      </c>
      <c r="H4873">
        <v>21</v>
      </c>
      <c r="I4873">
        <v>105</v>
      </c>
      <c r="J4873">
        <v>0</v>
      </c>
      <c r="K4873">
        <v>7.0675000000000008</v>
      </c>
      <c r="L4873">
        <v>11.573</v>
      </c>
      <c r="M4873">
        <v>117.58200000000001</v>
      </c>
      <c r="N4873">
        <v>12.625</v>
      </c>
      <c r="O4873">
        <v>1677</v>
      </c>
      <c r="P4873">
        <v>0</v>
      </c>
      <c r="Q4873" s="5" t="e">
        <f>IF(AND(#REF!&gt;=table!$C$6,#REF!&lt;= table!$D$6),-1,IF(AND(#REF!&gt;=table!$E$6,#REF!&lt;=table!$F$6),1,0))</f>
        <v>#REF!</v>
      </c>
      <c r="R4873" s="5" t="e">
        <f>IF(AND(#REF!&gt;=table!$C$7,#REF!&lt;= table!$D$7),-1,IF(AND(#REF!&gt;=table!$E$7,#REF!&lt;=table!$F$7),1,0))</f>
        <v>#REF!</v>
      </c>
      <c r="S4873" s="5" t="e">
        <f>IF(AND(#REF!&gt;=table!$C$8,#REF!&lt;= table!$D$8),-1,IF(AND(#REF!&gt;=table!$E$8,#REF!&lt;=table!$F$8),1,0))</f>
        <v>#REF!</v>
      </c>
      <c r="T4873" s="5"/>
      <c r="U4873" s="5" t="e">
        <f>IF(AND(#REF!&gt;=table!$C$10,#REF!&lt;= table!$D$10),-1,IF(AND(#REF!&gt;=table!$E$10,#REF!&lt;=table!$F$10),1,0))</f>
        <v>#REF!</v>
      </c>
      <c r="V4873" s="5" t="e">
        <f>IF(AND(#REF!&gt;=table!$C$11,#REF!&lt;= table!$D$11),-1,IF(AND(#REF!&gt;=table!$E$11,#REF!&lt;=table!$F$11),1,0))</f>
        <v>#REF!</v>
      </c>
      <c r="W4873" s="5" t="e">
        <f>CONCATENATE(dados[[#This Row],[fator1]],dados[[#This Row],[fator5]],dados[[#This Row],[fator6]])</f>
        <v>#REF!</v>
      </c>
    </row>
    <row r="4874" spans="1:23">
      <c r="A4874" t="s">
        <v>16</v>
      </c>
      <c r="B4874">
        <v>591272</v>
      </c>
      <c r="C4874">
        <v>0.18</v>
      </c>
      <c r="D4874">
        <v>50</v>
      </c>
      <c r="E4874">
        <v>56</v>
      </c>
      <c r="F4874">
        <v>15</v>
      </c>
      <c r="G4874">
        <v>0</v>
      </c>
      <c r="H4874">
        <v>50</v>
      </c>
      <c r="I4874">
        <v>756</v>
      </c>
      <c r="J4874">
        <v>0</v>
      </c>
      <c r="K4874">
        <v>3.665</v>
      </c>
      <c r="L4874">
        <v>7.702</v>
      </c>
      <c r="M4874">
        <v>7.19</v>
      </c>
      <c r="N4874">
        <v>13.38</v>
      </c>
      <c r="O4874">
        <v>1695</v>
      </c>
      <c r="P4874">
        <v>1054</v>
      </c>
      <c r="Q4874" s="5" t="e">
        <f>IF(AND(#REF!&gt;=table!$C$6,#REF!&lt;= table!$D$6),-1,IF(AND(#REF!&gt;=table!$E$6,#REF!&lt;=table!$F$6),1,0))</f>
        <v>#REF!</v>
      </c>
      <c r="R4874" s="5" t="e">
        <f>IF(AND(#REF!&gt;=table!$C$7,#REF!&lt;= table!$D$7),-1,IF(AND(#REF!&gt;=table!$E$7,#REF!&lt;=table!$F$7),1,0))</f>
        <v>#REF!</v>
      </c>
      <c r="S4874" s="5" t="e">
        <f>IF(AND(#REF!&gt;=table!$C$8,#REF!&lt;= table!$D$8),-1,IF(AND(#REF!&gt;=table!$E$8,#REF!&lt;=table!$F$8),1,0))</f>
        <v>#REF!</v>
      </c>
      <c r="T4874" s="5"/>
      <c r="U4874" s="5" t="e">
        <f>IF(AND(#REF!&gt;=table!$C$10,#REF!&lt;= table!$D$10),-1,IF(AND(#REF!&gt;=table!$E$10,#REF!&lt;=table!$F$10),1,0))</f>
        <v>#REF!</v>
      </c>
      <c r="V4874" s="5" t="e">
        <f>IF(AND(#REF!&gt;=table!$C$11,#REF!&lt;= table!$D$11),-1,IF(AND(#REF!&gt;=table!$E$11,#REF!&lt;=table!$F$11),1,0))</f>
        <v>#REF!</v>
      </c>
      <c r="W4874" s="5" t="e">
        <f>CONCATENATE(dados[[#This Row],[fator1]],dados[[#This Row],[fator5]],dados[[#This Row],[fator6]])</f>
        <v>#REF!</v>
      </c>
    </row>
    <row r="4875" spans="1:23">
      <c r="A4875" t="s">
        <v>16</v>
      </c>
      <c r="B4875">
        <v>591273</v>
      </c>
      <c r="C4875">
        <v>0.18</v>
      </c>
      <c r="D4875">
        <v>50</v>
      </c>
      <c r="E4875">
        <v>56</v>
      </c>
      <c r="F4875">
        <v>15</v>
      </c>
      <c r="G4875">
        <v>0</v>
      </c>
      <c r="H4875">
        <v>50</v>
      </c>
      <c r="I4875">
        <v>720</v>
      </c>
      <c r="J4875">
        <v>0</v>
      </c>
      <c r="K4875">
        <v>5.1705000000000005</v>
      </c>
      <c r="L4875">
        <v>10.028</v>
      </c>
      <c r="M4875">
        <v>8.8879999999999999</v>
      </c>
      <c r="N4875">
        <v>15.165000000000001</v>
      </c>
      <c r="O4875">
        <v>1690</v>
      </c>
      <c r="P4875">
        <v>0</v>
      </c>
      <c r="Q4875" s="5" t="e">
        <f>IF(AND(#REF!&gt;=table!$C$6,#REF!&lt;= table!$D$6),-1,IF(AND(#REF!&gt;=table!$E$6,#REF!&lt;=table!$F$6),1,0))</f>
        <v>#REF!</v>
      </c>
      <c r="R4875" s="5" t="e">
        <f>IF(AND(#REF!&gt;=table!$C$7,#REF!&lt;= table!$D$7),-1,IF(AND(#REF!&gt;=table!$E$7,#REF!&lt;=table!$F$7),1,0))</f>
        <v>#REF!</v>
      </c>
      <c r="S4875" s="5" t="e">
        <f>IF(AND(#REF!&gt;=table!$C$8,#REF!&lt;= table!$D$8),-1,IF(AND(#REF!&gt;=table!$E$8,#REF!&lt;=table!$F$8),1,0))</f>
        <v>#REF!</v>
      </c>
      <c r="T4875" s="5"/>
      <c r="U4875" s="5" t="e">
        <f>IF(AND(#REF!&gt;=table!$C$10,#REF!&lt;= table!$D$10),-1,IF(AND(#REF!&gt;=table!$E$10,#REF!&lt;=table!$F$10),1,0))</f>
        <v>#REF!</v>
      </c>
      <c r="V4875" s="5" t="e">
        <f>IF(AND(#REF!&gt;=table!$C$11,#REF!&lt;= table!$D$11),-1,IF(AND(#REF!&gt;=table!$E$11,#REF!&lt;=table!$F$11),1,0))</f>
        <v>#REF!</v>
      </c>
      <c r="W4875" s="5" t="e">
        <f>CONCATENATE(dados[[#This Row],[fator1]],dados[[#This Row],[fator5]],dados[[#This Row],[fator6]])</f>
        <v>#REF!</v>
      </c>
    </row>
    <row r="4876" spans="1:23">
      <c r="A4876" t="s">
        <v>16</v>
      </c>
      <c r="B4876">
        <v>591274</v>
      </c>
      <c r="C4876">
        <v>0.18</v>
      </c>
      <c r="D4876">
        <v>50</v>
      </c>
      <c r="E4876">
        <v>56</v>
      </c>
      <c r="F4876">
        <v>15</v>
      </c>
      <c r="G4876">
        <v>0</v>
      </c>
      <c r="H4876">
        <v>50</v>
      </c>
      <c r="I4876">
        <v>469</v>
      </c>
      <c r="J4876">
        <v>0</v>
      </c>
      <c r="K4876">
        <v>4.2670000000000003</v>
      </c>
      <c r="L4876">
        <v>11.258000000000001</v>
      </c>
      <c r="M4876">
        <v>10.295500000000001</v>
      </c>
      <c r="N4876">
        <v>18.275000000000002</v>
      </c>
      <c r="O4876">
        <v>1698</v>
      </c>
      <c r="P4876">
        <v>1055</v>
      </c>
      <c r="Q4876" s="5" t="e">
        <f>IF(AND(#REF!&gt;=table!$C$6,#REF!&lt;= table!$D$6),-1,IF(AND(#REF!&gt;=table!$E$6,#REF!&lt;=table!$F$6),1,0))</f>
        <v>#REF!</v>
      </c>
      <c r="R4876" s="5" t="e">
        <f>IF(AND(#REF!&gt;=table!$C$7,#REF!&lt;= table!$D$7),-1,IF(AND(#REF!&gt;=table!$E$7,#REF!&lt;=table!$F$7),1,0))</f>
        <v>#REF!</v>
      </c>
      <c r="S4876" s="5" t="e">
        <f>IF(AND(#REF!&gt;=table!$C$8,#REF!&lt;= table!$D$8),-1,IF(AND(#REF!&gt;=table!$E$8,#REF!&lt;=table!$F$8),1,0))</f>
        <v>#REF!</v>
      </c>
      <c r="T4876" s="5"/>
      <c r="U4876" s="5" t="e">
        <f>IF(AND(#REF!&gt;=table!$C$10,#REF!&lt;= table!$D$10),-1,IF(AND(#REF!&gt;=table!$E$10,#REF!&lt;=table!$F$10),1,0))</f>
        <v>#REF!</v>
      </c>
      <c r="V4876" s="5" t="e">
        <f>IF(AND(#REF!&gt;=table!$C$11,#REF!&lt;= table!$D$11),-1,IF(AND(#REF!&gt;=table!$E$11,#REF!&lt;=table!$F$11),1,0))</f>
        <v>#REF!</v>
      </c>
      <c r="W4876" s="5" t="e">
        <f>CONCATENATE(dados[[#This Row],[fator1]],dados[[#This Row],[fator5]],dados[[#This Row],[fator6]])</f>
        <v>#REF!</v>
      </c>
    </row>
    <row r="4877" spans="1:23">
      <c r="A4877" t="s">
        <v>16</v>
      </c>
      <c r="B4877">
        <v>591275</v>
      </c>
      <c r="C4877">
        <v>0.18</v>
      </c>
      <c r="D4877">
        <v>50</v>
      </c>
      <c r="E4877">
        <v>56</v>
      </c>
      <c r="F4877">
        <v>15</v>
      </c>
      <c r="G4877">
        <v>0</v>
      </c>
      <c r="H4877">
        <v>50</v>
      </c>
      <c r="I4877">
        <v>193</v>
      </c>
      <c r="J4877">
        <v>0</v>
      </c>
      <c r="K4877">
        <v>6.36</v>
      </c>
      <c r="L4877">
        <v>14.3215</v>
      </c>
      <c r="M4877">
        <v>12.214500000000001</v>
      </c>
      <c r="N4877">
        <v>15.91</v>
      </c>
      <c r="O4877">
        <v>1663</v>
      </c>
      <c r="P4877">
        <v>0</v>
      </c>
      <c r="Q4877" s="5" t="e">
        <f>IF(AND(#REF!&gt;=table!$C$6,#REF!&lt;= table!$D$6),-1,IF(AND(#REF!&gt;=table!$E$6,#REF!&lt;=table!$F$6),1,0))</f>
        <v>#REF!</v>
      </c>
      <c r="R4877" s="5" t="e">
        <f>IF(AND(#REF!&gt;=table!$C$7,#REF!&lt;= table!$D$7),-1,IF(AND(#REF!&gt;=table!$E$7,#REF!&lt;=table!$F$7),1,0))</f>
        <v>#REF!</v>
      </c>
      <c r="S4877" s="5" t="e">
        <f>IF(AND(#REF!&gt;=table!$C$8,#REF!&lt;= table!$D$8),-1,IF(AND(#REF!&gt;=table!$E$8,#REF!&lt;=table!$F$8),1,0))</f>
        <v>#REF!</v>
      </c>
      <c r="T4877" s="5"/>
      <c r="U4877" s="5" t="e">
        <f>IF(AND(#REF!&gt;=table!$C$10,#REF!&lt;= table!$D$10),-1,IF(AND(#REF!&gt;=table!$E$10,#REF!&lt;=table!$F$10),1,0))</f>
        <v>#REF!</v>
      </c>
      <c r="V4877" s="5" t="e">
        <f>IF(AND(#REF!&gt;=table!$C$11,#REF!&lt;= table!$D$11),-1,IF(AND(#REF!&gt;=table!$E$11,#REF!&lt;=table!$F$11),1,0))</f>
        <v>#REF!</v>
      </c>
      <c r="W4877" s="5" t="e">
        <f>CONCATENATE(dados[[#This Row],[fator1]],dados[[#This Row],[fator5]],dados[[#This Row],[fator6]])</f>
        <v>#REF!</v>
      </c>
    </row>
    <row r="4878" spans="1:23">
      <c r="A4878" t="s">
        <v>17</v>
      </c>
      <c r="B4878">
        <v>591277</v>
      </c>
      <c r="C4878">
        <v>14</v>
      </c>
      <c r="D4878">
        <v>30</v>
      </c>
      <c r="E4878">
        <v>110</v>
      </c>
      <c r="F4878">
        <v>3</v>
      </c>
      <c r="G4878">
        <v>20</v>
      </c>
      <c r="H4878">
        <v>22</v>
      </c>
      <c r="I4878">
        <v>21</v>
      </c>
      <c r="J4878">
        <v>500</v>
      </c>
      <c r="K4878">
        <v>3.5150000000000001</v>
      </c>
      <c r="L4878">
        <v>5.976</v>
      </c>
      <c r="M4878">
        <v>4.5375000000000005</v>
      </c>
      <c r="N4878">
        <v>7.46</v>
      </c>
      <c r="O4878">
        <v>1647</v>
      </c>
      <c r="P4878">
        <v>0</v>
      </c>
      <c r="Q4878" s="5" t="e">
        <f>IF(AND(#REF!&gt;=table!$C$6,#REF!&lt;= table!$D$6),-1,IF(AND(#REF!&gt;=table!$E$6,#REF!&lt;=table!$F$6),1,0))</f>
        <v>#REF!</v>
      </c>
      <c r="R4878" s="5" t="e">
        <f>IF(AND(#REF!&gt;=table!$C$7,#REF!&lt;= table!$D$7),-1,IF(AND(#REF!&gt;=table!$E$7,#REF!&lt;=table!$F$7),1,0))</f>
        <v>#REF!</v>
      </c>
      <c r="S4878" s="5" t="e">
        <f>IF(AND(#REF!&gt;=table!$C$8,#REF!&lt;= table!$D$8),-1,IF(AND(#REF!&gt;=table!$E$8,#REF!&lt;=table!$F$8),1,0))</f>
        <v>#REF!</v>
      </c>
      <c r="T4878" s="5"/>
      <c r="U4878" s="5" t="e">
        <f>IF(AND(#REF!&gt;=table!$C$10,#REF!&lt;= table!$D$10),-1,IF(AND(#REF!&gt;=table!$E$10,#REF!&lt;=table!$F$10),1,0))</f>
        <v>#REF!</v>
      </c>
      <c r="V4878" s="5" t="e">
        <f>IF(AND(#REF!&gt;=table!$C$11,#REF!&lt;= table!$D$11),-1,IF(AND(#REF!&gt;=table!$E$11,#REF!&lt;=table!$F$11),1,0))</f>
        <v>#REF!</v>
      </c>
      <c r="W4878" s="5" t="e">
        <f>CONCATENATE(dados[[#This Row],[fator1]],dados[[#This Row],[fator5]],dados[[#This Row],[fator6]])</f>
        <v>#REF!</v>
      </c>
    </row>
    <row r="4879" spans="1:23">
      <c r="A4879" t="s">
        <v>16</v>
      </c>
      <c r="B4879">
        <v>591278</v>
      </c>
      <c r="C4879">
        <v>16</v>
      </c>
      <c r="D4879">
        <v>35</v>
      </c>
      <c r="E4879">
        <v>36</v>
      </c>
      <c r="F4879">
        <v>10</v>
      </c>
      <c r="G4879">
        <v>0</v>
      </c>
      <c r="H4879">
        <v>25</v>
      </c>
      <c r="I4879">
        <v>249</v>
      </c>
      <c r="J4879">
        <v>710</v>
      </c>
      <c r="K4879">
        <v>3.0665</v>
      </c>
      <c r="L4879">
        <v>3.8895000000000004</v>
      </c>
      <c r="M4879">
        <v>31.670500000000001</v>
      </c>
      <c r="N4879">
        <v>9.4250000000000007</v>
      </c>
      <c r="O4879">
        <v>1634</v>
      </c>
      <c r="P4879">
        <v>0</v>
      </c>
      <c r="Q4879" s="5" t="e">
        <f>IF(AND(#REF!&gt;=table!$C$6,#REF!&lt;= table!$D$6),-1,IF(AND(#REF!&gt;=table!$E$6,#REF!&lt;=table!$F$6),1,0))</f>
        <v>#REF!</v>
      </c>
      <c r="R4879" s="5" t="e">
        <f>IF(AND(#REF!&gt;=table!$C$7,#REF!&lt;= table!$D$7),-1,IF(AND(#REF!&gt;=table!$E$7,#REF!&lt;=table!$F$7),1,0))</f>
        <v>#REF!</v>
      </c>
      <c r="S4879" s="5" t="e">
        <f>IF(AND(#REF!&gt;=table!$C$8,#REF!&lt;= table!$D$8),-1,IF(AND(#REF!&gt;=table!$E$8,#REF!&lt;=table!$F$8),1,0))</f>
        <v>#REF!</v>
      </c>
      <c r="T4879" s="5"/>
      <c r="U4879" s="5" t="e">
        <f>IF(AND(#REF!&gt;=table!$C$10,#REF!&lt;= table!$D$10),-1,IF(AND(#REF!&gt;=table!$E$10,#REF!&lt;=table!$F$10),1,0))</f>
        <v>#REF!</v>
      </c>
      <c r="V4879" s="5" t="e">
        <f>IF(AND(#REF!&gt;=table!$C$11,#REF!&lt;= table!$D$11),-1,IF(AND(#REF!&gt;=table!$E$11,#REF!&lt;=table!$F$11),1,0))</f>
        <v>#REF!</v>
      </c>
      <c r="W4879" s="5" t="e">
        <f>CONCATENATE(dados[[#This Row],[fator1]],dados[[#This Row],[fator5]],dados[[#This Row],[fator6]])</f>
        <v>#REF!</v>
      </c>
    </row>
    <row r="4880" spans="1:23">
      <c r="A4880" t="s">
        <v>16</v>
      </c>
      <c r="B4880">
        <v>591285</v>
      </c>
      <c r="C4880">
        <v>11</v>
      </c>
      <c r="D4880">
        <v>35</v>
      </c>
      <c r="E4880">
        <v>36</v>
      </c>
      <c r="F4880">
        <v>9</v>
      </c>
      <c r="G4880">
        <v>0</v>
      </c>
      <c r="H4880">
        <v>25</v>
      </c>
      <c r="I4880">
        <v>15</v>
      </c>
      <c r="J4880">
        <v>0</v>
      </c>
      <c r="K4880">
        <v>7.9515000000000002</v>
      </c>
      <c r="L4880">
        <v>19.903500000000001</v>
      </c>
      <c r="M4880">
        <v>49.877000000000002</v>
      </c>
      <c r="N4880">
        <v>22.66</v>
      </c>
      <c r="O4880">
        <v>1682</v>
      </c>
      <c r="P4880">
        <v>0</v>
      </c>
      <c r="Q4880" s="5" t="e">
        <f>IF(AND(#REF!&gt;=table!$C$6,#REF!&lt;= table!$D$6),-1,IF(AND(#REF!&gt;=table!$E$6,#REF!&lt;=table!$F$6),1,0))</f>
        <v>#REF!</v>
      </c>
      <c r="R4880" s="5" t="e">
        <f>IF(AND(#REF!&gt;=table!$C$7,#REF!&lt;= table!$D$7),-1,IF(AND(#REF!&gt;=table!$E$7,#REF!&lt;=table!$F$7),1,0))</f>
        <v>#REF!</v>
      </c>
      <c r="S4880" s="5" t="e">
        <f>IF(AND(#REF!&gt;=table!$C$8,#REF!&lt;= table!$D$8),-1,IF(AND(#REF!&gt;=table!$E$8,#REF!&lt;=table!$F$8),1,0))</f>
        <v>#REF!</v>
      </c>
      <c r="T4880" s="5"/>
      <c r="U4880" s="5" t="e">
        <f>IF(AND(#REF!&gt;=table!$C$10,#REF!&lt;= table!$D$10),-1,IF(AND(#REF!&gt;=table!$E$10,#REF!&lt;=table!$F$10),1,0))</f>
        <v>#REF!</v>
      </c>
      <c r="V4880" s="5" t="e">
        <f>IF(AND(#REF!&gt;=table!$C$11,#REF!&lt;= table!$D$11),-1,IF(AND(#REF!&gt;=table!$E$11,#REF!&lt;=table!$F$11),1,0))</f>
        <v>#REF!</v>
      </c>
      <c r="W4880" s="5" t="e">
        <f>CONCATENATE(dados[[#This Row],[fator1]],dados[[#This Row],[fator5]],dados[[#This Row],[fator6]])</f>
        <v>#REF!</v>
      </c>
    </row>
    <row r="4881" spans="1:23">
      <c r="A4881" t="s">
        <v>17</v>
      </c>
      <c r="B4881">
        <v>591306</v>
      </c>
      <c r="C4881">
        <v>22</v>
      </c>
      <c r="D4881">
        <v>30</v>
      </c>
      <c r="E4881">
        <v>101</v>
      </c>
      <c r="F4881">
        <v>9</v>
      </c>
      <c r="G4881">
        <v>20</v>
      </c>
      <c r="H4881">
        <v>25</v>
      </c>
      <c r="I4881">
        <v>1457</v>
      </c>
      <c r="J4881">
        <v>0</v>
      </c>
      <c r="K4881">
        <v>3.0950000000000002</v>
      </c>
      <c r="L4881">
        <v>6.6445000000000007</v>
      </c>
      <c r="M4881">
        <v>64.034500000000008</v>
      </c>
      <c r="N4881">
        <v>16.495000000000001</v>
      </c>
      <c r="O4881">
        <v>1631</v>
      </c>
      <c r="P4881">
        <v>0</v>
      </c>
      <c r="Q4881" s="5" t="e">
        <f>IF(AND(#REF!&gt;=table!$C$6,#REF!&lt;= table!$D$6),-1,IF(AND(#REF!&gt;=table!$E$6,#REF!&lt;=table!$F$6),1,0))</f>
        <v>#REF!</v>
      </c>
      <c r="R4881" s="5" t="e">
        <f>IF(AND(#REF!&gt;=table!$C$7,#REF!&lt;= table!$D$7),-1,IF(AND(#REF!&gt;=table!$E$7,#REF!&lt;=table!$F$7),1,0))</f>
        <v>#REF!</v>
      </c>
      <c r="S4881" s="5" t="e">
        <f>IF(AND(#REF!&gt;=table!$C$8,#REF!&lt;= table!$D$8),-1,IF(AND(#REF!&gt;=table!$E$8,#REF!&lt;=table!$F$8),1,0))</f>
        <v>#REF!</v>
      </c>
      <c r="T4881" s="5"/>
      <c r="U4881" s="5" t="e">
        <f>IF(AND(#REF!&gt;=table!$C$10,#REF!&lt;= table!$D$10),-1,IF(AND(#REF!&gt;=table!$E$10,#REF!&lt;=table!$F$10),1,0))</f>
        <v>#REF!</v>
      </c>
      <c r="V4881" s="5" t="e">
        <f>IF(AND(#REF!&gt;=table!$C$11,#REF!&lt;= table!$D$11),-1,IF(AND(#REF!&gt;=table!$E$11,#REF!&lt;=table!$F$11),1,0))</f>
        <v>#REF!</v>
      </c>
      <c r="W4881" s="5" t="e">
        <f>CONCATENATE(dados[[#This Row],[fator1]],dados[[#This Row],[fator5]],dados[[#This Row],[fator6]])</f>
        <v>#REF!</v>
      </c>
    </row>
    <row r="4882" spans="1:23">
      <c r="A4882" t="s">
        <v>17</v>
      </c>
      <c r="B4882">
        <v>591308</v>
      </c>
      <c r="C4882">
        <v>10</v>
      </c>
      <c r="D4882">
        <v>30</v>
      </c>
      <c r="E4882">
        <v>100</v>
      </c>
      <c r="F4882">
        <v>20</v>
      </c>
      <c r="G4882">
        <v>30</v>
      </c>
      <c r="H4882">
        <v>30</v>
      </c>
      <c r="I4882">
        <v>614</v>
      </c>
      <c r="J4882">
        <v>0</v>
      </c>
      <c r="K4882">
        <v>4.117</v>
      </c>
      <c r="L4882">
        <v>10.6335</v>
      </c>
      <c r="M4882">
        <v>89.942999999999998</v>
      </c>
      <c r="N4882">
        <v>20.7</v>
      </c>
      <c r="O4882">
        <v>1653</v>
      </c>
      <c r="P4882">
        <v>1683</v>
      </c>
      <c r="Q4882" s="5" t="e">
        <f>IF(AND(#REF!&gt;=table!$C$6,#REF!&lt;= table!$D$6),-1,IF(AND(#REF!&gt;=table!$E$6,#REF!&lt;=table!$F$6),1,0))</f>
        <v>#REF!</v>
      </c>
      <c r="R4882" s="5" t="e">
        <f>IF(AND(#REF!&gt;=table!$C$7,#REF!&lt;= table!$D$7),-1,IF(AND(#REF!&gt;=table!$E$7,#REF!&lt;=table!$F$7),1,0))</f>
        <v>#REF!</v>
      </c>
      <c r="S4882" s="5" t="e">
        <f>IF(AND(#REF!&gt;=table!$C$8,#REF!&lt;= table!$D$8),-1,IF(AND(#REF!&gt;=table!$E$8,#REF!&lt;=table!$F$8),1,0))</f>
        <v>#REF!</v>
      </c>
      <c r="T4882" s="5"/>
      <c r="U4882" s="5" t="e">
        <f>IF(AND(#REF!&gt;=table!$C$10,#REF!&lt;= table!$D$10),-1,IF(AND(#REF!&gt;=table!$E$10,#REF!&lt;=table!$F$10),1,0))</f>
        <v>#REF!</v>
      </c>
      <c r="V4882" s="5" t="e">
        <f>IF(AND(#REF!&gt;=table!$C$11,#REF!&lt;= table!$D$11),-1,IF(AND(#REF!&gt;=table!$E$11,#REF!&lt;=table!$F$11),1,0))</f>
        <v>#REF!</v>
      </c>
      <c r="W4882" s="5" t="e">
        <f>CONCATENATE(dados[[#This Row],[fator1]],dados[[#This Row],[fator5]],dados[[#This Row],[fator6]])</f>
        <v>#REF!</v>
      </c>
    </row>
    <row r="4883" spans="1:23">
      <c r="A4883" t="s">
        <v>16</v>
      </c>
      <c r="B4883">
        <v>591325</v>
      </c>
      <c r="C4883">
        <v>0.15</v>
      </c>
      <c r="D4883">
        <v>40</v>
      </c>
      <c r="E4883">
        <v>10</v>
      </c>
      <c r="F4883">
        <v>15</v>
      </c>
      <c r="G4883">
        <v>0</v>
      </c>
      <c r="H4883">
        <v>15</v>
      </c>
      <c r="I4883">
        <v>1623</v>
      </c>
      <c r="J4883">
        <v>0</v>
      </c>
      <c r="K4883">
        <v>3.2010000000000001</v>
      </c>
      <c r="L4883">
        <v>4.99</v>
      </c>
      <c r="M4883">
        <v>4.7635000000000005</v>
      </c>
      <c r="N4883">
        <v>10.075000000000001</v>
      </c>
      <c r="O4883">
        <v>1662</v>
      </c>
      <c r="P4883">
        <v>0</v>
      </c>
      <c r="Q4883" s="5" t="e">
        <f>IF(AND(#REF!&gt;=table!$C$6,#REF!&lt;= table!$D$6),-1,IF(AND(#REF!&gt;=table!$E$6,#REF!&lt;=table!$F$6),1,0))</f>
        <v>#REF!</v>
      </c>
      <c r="R4883" s="5" t="e">
        <f>IF(AND(#REF!&gt;=table!$C$7,#REF!&lt;= table!$D$7),-1,IF(AND(#REF!&gt;=table!$E$7,#REF!&lt;=table!$F$7),1,0))</f>
        <v>#REF!</v>
      </c>
      <c r="S4883" s="5" t="e">
        <f>IF(AND(#REF!&gt;=table!$C$8,#REF!&lt;= table!$D$8),-1,IF(AND(#REF!&gt;=table!$E$8,#REF!&lt;=table!$F$8),1,0))</f>
        <v>#REF!</v>
      </c>
      <c r="T4883" s="5"/>
      <c r="U4883" s="5" t="e">
        <f>IF(AND(#REF!&gt;=table!$C$10,#REF!&lt;= table!$D$10),-1,IF(AND(#REF!&gt;=table!$E$10,#REF!&lt;=table!$F$10),1,0))</f>
        <v>#REF!</v>
      </c>
      <c r="V4883" s="5" t="e">
        <f>IF(AND(#REF!&gt;=table!$C$11,#REF!&lt;= table!$D$11),-1,IF(AND(#REF!&gt;=table!$E$11,#REF!&lt;=table!$F$11),1,0))</f>
        <v>#REF!</v>
      </c>
      <c r="W4883" s="5" t="e">
        <f>CONCATENATE(dados[[#This Row],[fator1]],dados[[#This Row],[fator5]],dados[[#This Row],[fator6]])</f>
        <v>#REF!</v>
      </c>
    </row>
    <row r="4884" spans="1:23">
      <c r="A4884" t="s">
        <v>16</v>
      </c>
      <c r="B4884">
        <v>591326</v>
      </c>
      <c r="C4884">
        <v>0.15</v>
      </c>
      <c r="D4884">
        <v>40</v>
      </c>
      <c r="E4884">
        <v>10</v>
      </c>
      <c r="F4884">
        <v>15</v>
      </c>
      <c r="G4884">
        <v>0</v>
      </c>
      <c r="H4884">
        <v>15</v>
      </c>
      <c r="I4884">
        <v>1461</v>
      </c>
      <c r="J4884">
        <v>0</v>
      </c>
      <c r="K4884">
        <v>3.5375000000000001</v>
      </c>
      <c r="L4884">
        <v>4.4329999999999998</v>
      </c>
      <c r="M4884">
        <v>4.0045000000000002</v>
      </c>
      <c r="N4884">
        <v>13.605</v>
      </c>
      <c r="O4884">
        <v>1661</v>
      </c>
      <c r="P4884">
        <v>1258</v>
      </c>
      <c r="Q4884" s="5" t="e">
        <f>IF(AND(#REF!&gt;=table!$C$6,#REF!&lt;= table!$D$6),-1,IF(AND(#REF!&gt;=table!$E$6,#REF!&lt;=table!$F$6),1,0))</f>
        <v>#REF!</v>
      </c>
      <c r="R4884" s="5" t="e">
        <f>IF(AND(#REF!&gt;=table!$C$7,#REF!&lt;= table!$D$7),-1,IF(AND(#REF!&gt;=table!$E$7,#REF!&lt;=table!$F$7),1,0))</f>
        <v>#REF!</v>
      </c>
      <c r="S4884" s="5" t="e">
        <f>IF(AND(#REF!&gt;=table!$C$8,#REF!&lt;= table!$D$8),-1,IF(AND(#REF!&gt;=table!$E$8,#REF!&lt;=table!$F$8),1,0))</f>
        <v>#REF!</v>
      </c>
      <c r="T4884" s="5"/>
      <c r="U4884" s="5" t="e">
        <f>IF(AND(#REF!&gt;=table!$C$10,#REF!&lt;= table!$D$10),-1,IF(AND(#REF!&gt;=table!$E$10,#REF!&lt;=table!$F$10),1,0))</f>
        <v>#REF!</v>
      </c>
      <c r="V4884" s="5" t="e">
        <f>IF(AND(#REF!&gt;=table!$C$11,#REF!&lt;= table!$D$11),-1,IF(AND(#REF!&gt;=table!$E$11,#REF!&lt;=table!$F$11),1,0))</f>
        <v>#REF!</v>
      </c>
      <c r="W4884" s="5" t="e">
        <f>CONCATENATE(dados[[#This Row],[fator1]],dados[[#This Row],[fator5]],dados[[#This Row],[fator6]])</f>
        <v>#REF!</v>
      </c>
    </row>
    <row r="4885" spans="1:23">
      <c r="A4885" t="s">
        <v>16</v>
      </c>
      <c r="B4885">
        <v>591327</v>
      </c>
      <c r="C4885">
        <v>0.15</v>
      </c>
      <c r="D4885">
        <v>40</v>
      </c>
      <c r="E4885">
        <v>10</v>
      </c>
      <c r="F4885">
        <v>15</v>
      </c>
      <c r="G4885">
        <v>0</v>
      </c>
      <c r="H4885">
        <v>15</v>
      </c>
      <c r="I4885">
        <v>1588</v>
      </c>
      <c r="J4885">
        <v>0</v>
      </c>
      <c r="K4885">
        <v>3.5525000000000002</v>
      </c>
      <c r="L4885">
        <v>7.0365000000000002</v>
      </c>
      <c r="M4885">
        <v>6.1865000000000006</v>
      </c>
      <c r="N4885">
        <v>12.790000000000001</v>
      </c>
      <c r="O4885">
        <v>1646</v>
      </c>
      <c r="P4885">
        <v>1141</v>
      </c>
      <c r="Q4885" s="5" t="e">
        <f>IF(AND(#REF!&gt;=table!$C$6,#REF!&lt;= table!$D$6),-1,IF(AND(#REF!&gt;=table!$E$6,#REF!&lt;=table!$F$6),1,0))</f>
        <v>#REF!</v>
      </c>
      <c r="R4885" s="5" t="e">
        <f>IF(AND(#REF!&gt;=table!$C$7,#REF!&lt;= table!$D$7),-1,IF(AND(#REF!&gt;=table!$E$7,#REF!&lt;=table!$F$7),1,0))</f>
        <v>#REF!</v>
      </c>
      <c r="S4885" s="5" t="e">
        <f>IF(AND(#REF!&gt;=table!$C$8,#REF!&lt;= table!$D$8),-1,IF(AND(#REF!&gt;=table!$E$8,#REF!&lt;=table!$F$8),1,0))</f>
        <v>#REF!</v>
      </c>
      <c r="T4885" s="5"/>
      <c r="U4885" s="5" t="e">
        <f>IF(AND(#REF!&gt;=table!$C$10,#REF!&lt;= table!$D$10),-1,IF(AND(#REF!&gt;=table!$E$10,#REF!&lt;=table!$F$10),1,0))</f>
        <v>#REF!</v>
      </c>
      <c r="V4885" s="5" t="e">
        <f>IF(AND(#REF!&gt;=table!$C$11,#REF!&lt;= table!$D$11),-1,IF(AND(#REF!&gt;=table!$E$11,#REF!&lt;=table!$F$11),1,0))</f>
        <v>#REF!</v>
      </c>
      <c r="W4885" s="5" t="e">
        <f>CONCATENATE(dados[[#This Row],[fator1]],dados[[#This Row],[fator5]],dados[[#This Row],[fator6]])</f>
        <v>#REF!</v>
      </c>
    </row>
    <row r="4886" spans="1:23">
      <c r="A4886" t="s">
        <v>16</v>
      </c>
      <c r="B4886">
        <v>591331</v>
      </c>
      <c r="C4886">
        <v>0.1</v>
      </c>
      <c r="D4886">
        <v>40</v>
      </c>
      <c r="E4886">
        <v>10</v>
      </c>
      <c r="F4886">
        <v>8</v>
      </c>
      <c r="G4886">
        <v>0</v>
      </c>
      <c r="H4886">
        <v>10</v>
      </c>
      <c r="I4886">
        <v>828</v>
      </c>
      <c r="J4886">
        <v>0</v>
      </c>
      <c r="K4886">
        <v>3.899</v>
      </c>
      <c r="L4886">
        <v>9.3725000000000005</v>
      </c>
      <c r="M4886">
        <v>8.3990000000000009</v>
      </c>
      <c r="N4886">
        <v>12.84</v>
      </c>
      <c r="O4886">
        <v>1694</v>
      </c>
      <c r="P4886">
        <v>821</v>
      </c>
      <c r="Q4886" s="5" t="e">
        <f>IF(AND(#REF!&gt;=table!$C$6,#REF!&lt;= table!$D$6),-1,IF(AND(#REF!&gt;=table!$E$6,#REF!&lt;=table!$F$6),1,0))</f>
        <v>#REF!</v>
      </c>
      <c r="R4886" s="5" t="e">
        <f>IF(AND(#REF!&gt;=table!$C$7,#REF!&lt;= table!$D$7),-1,IF(AND(#REF!&gt;=table!$E$7,#REF!&lt;=table!$F$7),1,0))</f>
        <v>#REF!</v>
      </c>
      <c r="S4886" s="5" t="e">
        <f>IF(AND(#REF!&gt;=table!$C$8,#REF!&lt;= table!$D$8),-1,IF(AND(#REF!&gt;=table!$E$8,#REF!&lt;=table!$F$8),1,0))</f>
        <v>#REF!</v>
      </c>
      <c r="T4886" s="5"/>
      <c r="U4886" s="5" t="e">
        <f>IF(AND(#REF!&gt;=table!$C$10,#REF!&lt;= table!$D$10),-1,IF(AND(#REF!&gt;=table!$E$10,#REF!&lt;=table!$F$10),1,0))</f>
        <v>#REF!</v>
      </c>
      <c r="V4886" s="5" t="e">
        <f>IF(AND(#REF!&gt;=table!$C$11,#REF!&lt;= table!$D$11),-1,IF(AND(#REF!&gt;=table!$E$11,#REF!&lt;=table!$F$11),1,0))</f>
        <v>#REF!</v>
      </c>
      <c r="W4886" s="5" t="e">
        <f>CONCATENATE(dados[[#This Row],[fator1]],dados[[#This Row],[fator5]],dados[[#This Row],[fator6]])</f>
        <v>#REF!</v>
      </c>
    </row>
    <row r="4887" spans="1:23">
      <c r="A4887" t="s">
        <v>16</v>
      </c>
      <c r="B4887">
        <v>591332</v>
      </c>
      <c r="C4887">
        <v>0.1</v>
      </c>
      <c r="D4887">
        <v>40</v>
      </c>
      <c r="E4887">
        <v>10</v>
      </c>
      <c r="F4887">
        <v>8</v>
      </c>
      <c r="G4887">
        <v>0</v>
      </c>
      <c r="H4887">
        <v>10</v>
      </c>
      <c r="I4887">
        <v>1171</v>
      </c>
      <c r="J4887">
        <v>0</v>
      </c>
      <c r="K4887">
        <v>3.4160000000000004</v>
      </c>
      <c r="L4887">
        <v>6.3555000000000001</v>
      </c>
      <c r="M4887">
        <v>5.8959999999999999</v>
      </c>
      <c r="N4887">
        <v>10.745000000000001</v>
      </c>
      <c r="O4887">
        <v>1683</v>
      </c>
      <c r="P4887">
        <v>1079</v>
      </c>
      <c r="Q4887" s="5" t="e">
        <f>IF(AND(#REF!&gt;=table!$C$6,#REF!&lt;= table!$D$6),-1,IF(AND(#REF!&gt;=table!$E$6,#REF!&lt;=table!$F$6),1,0))</f>
        <v>#REF!</v>
      </c>
      <c r="R4887" s="5" t="e">
        <f>IF(AND(#REF!&gt;=table!$C$7,#REF!&lt;= table!$D$7),-1,IF(AND(#REF!&gt;=table!$E$7,#REF!&lt;=table!$F$7),1,0))</f>
        <v>#REF!</v>
      </c>
      <c r="S4887" s="5" t="e">
        <f>IF(AND(#REF!&gt;=table!$C$8,#REF!&lt;= table!$D$8),-1,IF(AND(#REF!&gt;=table!$E$8,#REF!&lt;=table!$F$8),1,0))</f>
        <v>#REF!</v>
      </c>
      <c r="T4887" s="5"/>
      <c r="U4887" s="5" t="e">
        <f>IF(AND(#REF!&gt;=table!$C$10,#REF!&lt;= table!$D$10),-1,IF(AND(#REF!&gt;=table!$E$10,#REF!&lt;=table!$F$10),1,0))</f>
        <v>#REF!</v>
      </c>
      <c r="V4887" s="5" t="e">
        <f>IF(AND(#REF!&gt;=table!$C$11,#REF!&lt;= table!$D$11),-1,IF(AND(#REF!&gt;=table!$E$11,#REF!&lt;=table!$F$11),1,0))</f>
        <v>#REF!</v>
      </c>
      <c r="W4887" s="5" t="e">
        <f>CONCATENATE(dados[[#This Row],[fator1]],dados[[#This Row],[fator5]],dados[[#This Row],[fator6]])</f>
        <v>#REF!</v>
      </c>
    </row>
    <row r="4888" spans="1:23">
      <c r="A4888" t="s">
        <v>16</v>
      </c>
      <c r="B4888">
        <v>591333</v>
      </c>
      <c r="C4888">
        <v>4</v>
      </c>
      <c r="D4888">
        <v>40</v>
      </c>
      <c r="E4888">
        <v>21</v>
      </c>
      <c r="F4888">
        <v>10</v>
      </c>
      <c r="G4888">
        <v>0</v>
      </c>
      <c r="H4888">
        <v>25</v>
      </c>
      <c r="I4888">
        <v>5</v>
      </c>
      <c r="J4888">
        <v>0</v>
      </c>
      <c r="K4888">
        <v>5.6615000000000002</v>
      </c>
      <c r="L4888">
        <v>14.628500000000001</v>
      </c>
      <c r="M4888">
        <v>13.309000000000001</v>
      </c>
      <c r="N4888">
        <v>21.435000000000002</v>
      </c>
      <c r="O4888">
        <v>1682</v>
      </c>
      <c r="P4888">
        <v>600</v>
      </c>
      <c r="Q4888" s="5" t="e">
        <f>IF(AND(#REF!&gt;=table!$C$6,#REF!&lt;= table!$D$6),-1,IF(AND(#REF!&gt;=table!$E$6,#REF!&lt;=table!$F$6),1,0))</f>
        <v>#REF!</v>
      </c>
      <c r="R4888" s="5" t="e">
        <f>IF(AND(#REF!&gt;=table!$C$7,#REF!&lt;= table!$D$7),-1,IF(AND(#REF!&gt;=table!$E$7,#REF!&lt;=table!$F$7),1,0))</f>
        <v>#REF!</v>
      </c>
      <c r="S4888" s="5" t="e">
        <f>IF(AND(#REF!&gt;=table!$C$8,#REF!&lt;= table!$D$8),-1,IF(AND(#REF!&gt;=table!$E$8,#REF!&lt;=table!$F$8),1,0))</f>
        <v>#REF!</v>
      </c>
      <c r="T4888" s="5"/>
      <c r="U4888" s="5" t="e">
        <f>IF(AND(#REF!&gt;=table!$C$10,#REF!&lt;= table!$D$10),-1,IF(AND(#REF!&gt;=table!$E$10,#REF!&lt;=table!$F$10),1,0))</f>
        <v>#REF!</v>
      </c>
      <c r="V4888" s="5" t="e">
        <f>IF(AND(#REF!&gt;=table!$C$11,#REF!&lt;= table!$D$11),-1,IF(AND(#REF!&gt;=table!$E$11,#REF!&lt;=table!$F$11),1,0))</f>
        <v>#REF!</v>
      </c>
      <c r="W4888" s="5" t="e">
        <f>CONCATENATE(dados[[#This Row],[fator1]],dados[[#This Row],[fator5]],dados[[#This Row],[fator6]])</f>
        <v>#REF!</v>
      </c>
    </row>
    <row r="4889" spans="1:23">
      <c r="A4889" t="s">
        <v>16</v>
      </c>
      <c r="B4889">
        <v>591337</v>
      </c>
      <c r="C4889">
        <v>0.1</v>
      </c>
      <c r="D4889">
        <v>40</v>
      </c>
      <c r="E4889">
        <v>10</v>
      </c>
      <c r="F4889">
        <v>8</v>
      </c>
      <c r="G4889">
        <v>0</v>
      </c>
      <c r="H4889">
        <v>10</v>
      </c>
      <c r="I4889">
        <v>989</v>
      </c>
      <c r="J4889">
        <v>0</v>
      </c>
      <c r="K4889">
        <v>5.4415000000000004</v>
      </c>
      <c r="L4889">
        <v>6.859</v>
      </c>
      <c r="M4889">
        <v>6.4155000000000006</v>
      </c>
      <c r="N4889">
        <v>8.6300000000000008</v>
      </c>
      <c r="O4889">
        <v>1668</v>
      </c>
      <c r="P4889">
        <v>0</v>
      </c>
      <c r="Q4889" s="5" t="e">
        <f>IF(AND(#REF!&gt;=table!$C$6,#REF!&lt;= table!$D$6),-1,IF(AND(#REF!&gt;=table!$E$6,#REF!&lt;=table!$F$6),1,0))</f>
        <v>#REF!</v>
      </c>
      <c r="R4889" s="5" t="e">
        <f>IF(AND(#REF!&gt;=table!$C$7,#REF!&lt;= table!$D$7),-1,IF(AND(#REF!&gt;=table!$E$7,#REF!&lt;=table!$F$7),1,0))</f>
        <v>#REF!</v>
      </c>
      <c r="S4889" s="5" t="e">
        <f>IF(AND(#REF!&gt;=table!$C$8,#REF!&lt;= table!$D$8),-1,IF(AND(#REF!&gt;=table!$E$8,#REF!&lt;=table!$F$8),1,0))</f>
        <v>#REF!</v>
      </c>
      <c r="T4889" s="5"/>
      <c r="U4889" s="5" t="e">
        <f>IF(AND(#REF!&gt;=table!$C$10,#REF!&lt;= table!$D$10),-1,IF(AND(#REF!&gt;=table!$E$10,#REF!&lt;=table!$F$10),1,0))</f>
        <v>#REF!</v>
      </c>
      <c r="V4889" s="5" t="e">
        <f>IF(AND(#REF!&gt;=table!$C$11,#REF!&lt;= table!$D$11),-1,IF(AND(#REF!&gt;=table!$E$11,#REF!&lt;=table!$F$11),1,0))</f>
        <v>#REF!</v>
      </c>
      <c r="W4889" s="5" t="e">
        <f>CONCATENATE(dados[[#This Row],[fator1]],dados[[#This Row],[fator5]],dados[[#This Row],[fator6]])</f>
        <v>#REF!</v>
      </c>
    </row>
    <row r="4890" spans="1:23">
      <c r="A4890" t="s">
        <v>16</v>
      </c>
      <c r="B4890">
        <v>591339</v>
      </c>
      <c r="C4890">
        <v>0.15</v>
      </c>
      <c r="D4890">
        <v>40</v>
      </c>
      <c r="E4890">
        <v>10</v>
      </c>
      <c r="F4890">
        <v>15</v>
      </c>
      <c r="G4890">
        <v>0</v>
      </c>
      <c r="H4890">
        <v>15</v>
      </c>
      <c r="I4890">
        <v>451</v>
      </c>
      <c r="J4890">
        <v>0</v>
      </c>
      <c r="K4890">
        <v>4.2225000000000001</v>
      </c>
      <c r="L4890">
        <v>12.079000000000001</v>
      </c>
      <c r="M4890">
        <v>9.8800000000000008</v>
      </c>
      <c r="N4890">
        <v>14.025</v>
      </c>
      <c r="O4890">
        <v>1667</v>
      </c>
      <c r="P4890">
        <v>755</v>
      </c>
      <c r="Q4890" s="5" t="e">
        <f>IF(AND(#REF!&gt;=table!$C$6,#REF!&lt;= table!$D$6),-1,IF(AND(#REF!&gt;=table!$E$6,#REF!&lt;=table!$F$6),1,0))</f>
        <v>#REF!</v>
      </c>
      <c r="R4890" s="5" t="e">
        <f>IF(AND(#REF!&gt;=table!$C$7,#REF!&lt;= table!$D$7),-1,IF(AND(#REF!&gt;=table!$E$7,#REF!&lt;=table!$F$7),1,0))</f>
        <v>#REF!</v>
      </c>
      <c r="S4890" s="5" t="e">
        <f>IF(AND(#REF!&gt;=table!$C$8,#REF!&lt;= table!$D$8),-1,IF(AND(#REF!&gt;=table!$E$8,#REF!&lt;=table!$F$8),1,0))</f>
        <v>#REF!</v>
      </c>
      <c r="T4890" s="5"/>
      <c r="U4890" s="5" t="e">
        <f>IF(AND(#REF!&gt;=table!$C$10,#REF!&lt;= table!$D$10),-1,IF(AND(#REF!&gt;=table!$E$10,#REF!&lt;=table!$F$10),1,0))</f>
        <v>#REF!</v>
      </c>
      <c r="V4890" s="5" t="e">
        <f>IF(AND(#REF!&gt;=table!$C$11,#REF!&lt;= table!$D$11),-1,IF(AND(#REF!&gt;=table!$E$11,#REF!&lt;=table!$F$11),1,0))</f>
        <v>#REF!</v>
      </c>
      <c r="W4890" s="5" t="e">
        <f>CONCATENATE(dados[[#This Row],[fator1]],dados[[#This Row],[fator5]],dados[[#This Row],[fator6]])</f>
        <v>#REF!</v>
      </c>
    </row>
    <row r="4891" spans="1:23">
      <c r="A4891" t="s">
        <v>16</v>
      </c>
      <c r="B4891">
        <v>591341</v>
      </c>
      <c r="C4891">
        <v>0.15</v>
      </c>
      <c r="D4891">
        <v>35</v>
      </c>
      <c r="E4891">
        <v>15</v>
      </c>
      <c r="F4891">
        <v>10</v>
      </c>
      <c r="G4891">
        <v>0</v>
      </c>
      <c r="H4891">
        <v>12</v>
      </c>
      <c r="I4891">
        <v>866</v>
      </c>
      <c r="J4891">
        <v>0</v>
      </c>
      <c r="K4891">
        <v>5.0280000000000005</v>
      </c>
      <c r="L4891">
        <v>8.4495000000000005</v>
      </c>
      <c r="M4891">
        <v>7.4845000000000006</v>
      </c>
      <c r="N4891">
        <v>11.89</v>
      </c>
      <c r="O4891">
        <v>1673</v>
      </c>
      <c r="P4891">
        <v>0</v>
      </c>
      <c r="Q4891" s="5" t="e">
        <f>IF(AND(#REF!&gt;=table!$C$6,#REF!&lt;= table!$D$6),-1,IF(AND(#REF!&gt;=table!$E$6,#REF!&lt;=table!$F$6),1,0))</f>
        <v>#REF!</v>
      </c>
      <c r="R4891" s="5" t="e">
        <f>IF(AND(#REF!&gt;=table!$C$7,#REF!&lt;= table!$D$7),-1,IF(AND(#REF!&gt;=table!$E$7,#REF!&lt;=table!$F$7),1,0))</f>
        <v>#REF!</v>
      </c>
      <c r="S4891" s="5" t="e">
        <f>IF(AND(#REF!&gt;=table!$C$8,#REF!&lt;= table!$D$8),-1,IF(AND(#REF!&gt;=table!$E$8,#REF!&lt;=table!$F$8),1,0))</f>
        <v>#REF!</v>
      </c>
      <c r="T4891" s="5"/>
      <c r="U4891" s="5" t="e">
        <f>IF(AND(#REF!&gt;=table!$C$10,#REF!&lt;= table!$D$10),-1,IF(AND(#REF!&gt;=table!$E$10,#REF!&lt;=table!$F$10),1,0))</f>
        <v>#REF!</v>
      </c>
      <c r="V4891" s="5" t="e">
        <f>IF(AND(#REF!&gt;=table!$C$11,#REF!&lt;= table!$D$11),-1,IF(AND(#REF!&gt;=table!$E$11,#REF!&lt;=table!$F$11),1,0))</f>
        <v>#REF!</v>
      </c>
      <c r="W4891" s="5" t="e">
        <f>CONCATENATE(dados[[#This Row],[fator1]],dados[[#This Row],[fator5]],dados[[#This Row],[fator6]])</f>
        <v>#REF!</v>
      </c>
    </row>
    <row r="4892" spans="1:23">
      <c r="A4892" t="s">
        <v>17</v>
      </c>
      <c r="B4892">
        <v>591345</v>
      </c>
      <c r="C4892">
        <v>14</v>
      </c>
      <c r="D4892">
        <v>30</v>
      </c>
      <c r="E4892">
        <v>86</v>
      </c>
      <c r="F4892">
        <v>9</v>
      </c>
      <c r="G4892">
        <v>20</v>
      </c>
      <c r="H4892">
        <v>25</v>
      </c>
      <c r="I4892">
        <v>711</v>
      </c>
      <c r="J4892">
        <v>0</v>
      </c>
      <c r="K4892">
        <v>5.8020000000000005</v>
      </c>
      <c r="L4892">
        <v>10.834000000000001</v>
      </c>
      <c r="M4892">
        <v>79.569000000000003</v>
      </c>
      <c r="N4892">
        <v>18.035</v>
      </c>
      <c r="O4892">
        <v>1683</v>
      </c>
      <c r="P4892">
        <v>675</v>
      </c>
      <c r="Q4892" s="5" t="e">
        <f>IF(AND(#REF!&gt;=table!$C$6,#REF!&lt;= table!$D$6),-1,IF(AND(#REF!&gt;=table!$E$6,#REF!&lt;=table!$F$6),1,0))</f>
        <v>#REF!</v>
      </c>
      <c r="R4892" s="5" t="e">
        <f>IF(AND(#REF!&gt;=table!$C$7,#REF!&lt;= table!$D$7),-1,IF(AND(#REF!&gt;=table!$E$7,#REF!&lt;=table!$F$7),1,0))</f>
        <v>#REF!</v>
      </c>
      <c r="S4892" s="5" t="e">
        <f>IF(AND(#REF!&gt;=table!$C$8,#REF!&lt;= table!$D$8),-1,IF(AND(#REF!&gt;=table!$E$8,#REF!&lt;=table!$F$8),1,0))</f>
        <v>#REF!</v>
      </c>
      <c r="T4892" s="5"/>
      <c r="U4892" s="5" t="e">
        <f>IF(AND(#REF!&gt;=table!$C$10,#REF!&lt;= table!$D$10),-1,IF(AND(#REF!&gt;=table!$E$10,#REF!&lt;=table!$F$10),1,0))</f>
        <v>#REF!</v>
      </c>
      <c r="V4892" s="5" t="e">
        <f>IF(AND(#REF!&gt;=table!$C$11,#REF!&lt;= table!$D$11),-1,IF(AND(#REF!&gt;=table!$E$11,#REF!&lt;=table!$F$11),1,0))</f>
        <v>#REF!</v>
      </c>
      <c r="W4892" s="5" t="e">
        <f>CONCATENATE(dados[[#This Row],[fator1]],dados[[#This Row],[fator5]],dados[[#This Row],[fator6]])</f>
        <v>#REF!</v>
      </c>
    </row>
    <row r="4893" spans="1:23">
      <c r="A4893" t="s">
        <v>16</v>
      </c>
      <c r="B4893">
        <v>591354</v>
      </c>
      <c r="C4893">
        <v>9</v>
      </c>
      <c r="D4893">
        <v>35</v>
      </c>
      <c r="E4893">
        <v>36</v>
      </c>
      <c r="F4893">
        <v>9</v>
      </c>
      <c r="G4893">
        <v>0</v>
      </c>
      <c r="H4893">
        <v>25</v>
      </c>
      <c r="I4893">
        <v>0</v>
      </c>
      <c r="J4893">
        <v>0</v>
      </c>
      <c r="K4893">
        <v>4.0975000000000001</v>
      </c>
      <c r="L4893">
        <v>12.238000000000001</v>
      </c>
      <c r="M4893">
        <v>38.499500000000005</v>
      </c>
      <c r="N4893">
        <v>19.510000000000002</v>
      </c>
      <c r="O4893">
        <v>1684</v>
      </c>
      <c r="P4893">
        <v>0</v>
      </c>
      <c r="Q4893" s="5" t="e">
        <f>IF(AND(#REF!&gt;=table!$C$6,#REF!&lt;= table!$D$6),-1,IF(AND(#REF!&gt;=table!$E$6,#REF!&lt;=table!$F$6),1,0))</f>
        <v>#REF!</v>
      </c>
      <c r="R4893" s="5" t="e">
        <f>IF(AND(#REF!&gt;=table!$C$7,#REF!&lt;= table!$D$7),-1,IF(AND(#REF!&gt;=table!$E$7,#REF!&lt;=table!$F$7),1,0))</f>
        <v>#REF!</v>
      </c>
      <c r="S4893" s="5" t="e">
        <f>IF(AND(#REF!&gt;=table!$C$8,#REF!&lt;= table!$D$8),-1,IF(AND(#REF!&gt;=table!$E$8,#REF!&lt;=table!$F$8),1,0))</f>
        <v>#REF!</v>
      </c>
      <c r="T4893" s="5"/>
      <c r="U4893" s="5" t="e">
        <f>IF(AND(#REF!&gt;=table!$C$10,#REF!&lt;= table!$D$10),-1,IF(AND(#REF!&gt;=table!$E$10,#REF!&lt;=table!$F$10),1,0))</f>
        <v>#REF!</v>
      </c>
      <c r="V4893" s="5" t="e">
        <f>IF(AND(#REF!&gt;=table!$C$11,#REF!&lt;= table!$D$11),-1,IF(AND(#REF!&gt;=table!$E$11,#REF!&lt;=table!$F$11),1,0))</f>
        <v>#REF!</v>
      </c>
      <c r="W4893" s="5" t="e">
        <f>CONCATENATE(dados[[#This Row],[fator1]],dados[[#This Row],[fator5]],dados[[#This Row],[fator6]])</f>
        <v>#REF!</v>
      </c>
    </row>
    <row r="4894" spans="1:23">
      <c r="A4894" t="s">
        <v>16</v>
      </c>
      <c r="B4894">
        <v>591355</v>
      </c>
      <c r="C4894">
        <v>9</v>
      </c>
      <c r="D4894">
        <v>35</v>
      </c>
      <c r="E4894">
        <v>36</v>
      </c>
      <c r="F4894">
        <v>9</v>
      </c>
      <c r="G4894">
        <v>0</v>
      </c>
      <c r="H4894">
        <v>25</v>
      </c>
      <c r="I4894">
        <v>23</v>
      </c>
      <c r="J4894">
        <v>0</v>
      </c>
      <c r="K4894">
        <v>5.9340000000000002</v>
      </c>
      <c r="L4894">
        <v>10.769</v>
      </c>
      <c r="M4894">
        <v>36.811</v>
      </c>
      <c r="N4894">
        <v>18.559999999999999</v>
      </c>
      <c r="O4894">
        <v>1691</v>
      </c>
      <c r="P4894">
        <v>680</v>
      </c>
      <c r="Q4894" s="5" t="e">
        <f>IF(AND(#REF!&gt;=table!$C$6,#REF!&lt;= table!$D$6),-1,IF(AND(#REF!&gt;=table!$E$6,#REF!&lt;=table!$F$6),1,0))</f>
        <v>#REF!</v>
      </c>
      <c r="R4894" s="5" t="e">
        <f>IF(AND(#REF!&gt;=table!$C$7,#REF!&lt;= table!$D$7),-1,IF(AND(#REF!&gt;=table!$E$7,#REF!&lt;=table!$F$7),1,0))</f>
        <v>#REF!</v>
      </c>
      <c r="S4894" s="5" t="e">
        <f>IF(AND(#REF!&gt;=table!$C$8,#REF!&lt;= table!$D$8),-1,IF(AND(#REF!&gt;=table!$E$8,#REF!&lt;=table!$F$8),1,0))</f>
        <v>#REF!</v>
      </c>
      <c r="T4894" s="5"/>
      <c r="U4894" s="5" t="e">
        <f>IF(AND(#REF!&gt;=table!$C$10,#REF!&lt;= table!$D$10),-1,IF(AND(#REF!&gt;=table!$E$10,#REF!&lt;=table!$F$10),1,0))</f>
        <v>#REF!</v>
      </c>
      <c r="V4894" s="5" t="e">
        <f>IF(AND(#REF!&gt;=table!$C$11,#REF!&lt;= table!$D$11),-1,IF(AND(#REF!&gt;=table!$E$11,#REF!&lt;=table!$F$11),1,0))</f>
        <v>#REF!</v>
      </c>
      <c r="W4894" s="5" t="e">
        <f>CONCATENATE(dados[[#This Row],[fator1]],dados[[#This Row],[fator5]],dados[[#This Row],[fator6]])</f>
        <v>#REF!</v>
      </c>
    </row>
    <row r="4895" spans="1:23">
      <c r="A4895" t="s">
        <v>16</v>
      </c>
      <c r="B4895">
        <v>591359</v>
      </c>
      <c r="C4895">
        <v>0.15</v>
      </c>
      <c r="D4895">
        <v>40</v>
      </c>
      <c r="E4895">
        <v>10</v>
      </c>
      <c r="F4895">
        <v>15</v>
      </c>
      <c r="G4895">
        <v>0</v>
      </c>
      <c r="H4895">
        <v>15</v>
      </c>
      <c r="I4895">
        <v>228</v>
      </c>
      <c r="J4895">
        <v>970</v>
      </c>
      <c r="K4895">
        <v>4.0640000000000001</v>
      </c>
      <c r="L4895">
        <v>2.9790000000000001</v>
      </c>
      <c r="M4895">
        <v>2.069</v>
      </c>
      <c r="N4895">
        <v>13.66</v>
      </c>
      <c r="O4895">
        <v>1641</v>
      </c>
      <c r="P4895">
        <v>1166</v>
      </c>
      <c r="Q4895" s="5" t="e">
        <f>IF(AND(#REF!&gt;=table!$C$6,#REF!&lt;= table!$D$6),-1,IF(AND(#REF!&gt;=table!$E$6,#REF!&lt;=table!$F$6),1,0))</f>
        <v>#REF!</v>
      </c>
      <c r="R4895" s="5" t="e">
        <f>IF(AND(#REF!&gt;=table!$C$7,#REF!&lt;= table!$D$7),-1,IF(AND(#REF!&gt;=table!$E$7,#REF!&lt;=table!$F$7),1,0))</f>
        <v>#REF!</v>
      </c>
      <c r="S4895" s="5" t="e">
        <f>IF(AND(#REF!&gt;=table!$C$8,#REF!&lt;= table!$D$8),-1,IF(AND(#REF!&gt;=table!$E$8,#REF!&lt;=table!$F$8),1,0))</f>
        <v>#REF!</v>
      </c>
      <c r="T4895" s="5"/>
      <c r="U4895" s="5" t="e">
        <f>IF(AND(#REF!&gt;=table!$C$10,#REF!&lt;= table!$D$10),-1,IF(AND(#REF!&gt;=table!$E$10,#REF!&lt;=table!$F$10),1,0))</f>
        <v>#REF!</v>
      </c>
      <c r="V4895" s="5" t="e">
        <f>IF(AND(#REF!&gt;=table!$C$11,#REF!&lt;= table!$D$11),-1,IF(AND(#REF!&gt;=table!$E$11,#REF!&lt;=table!$F$11),1,0))</f>
        <v>#REF!</v>
      </c>
      <c r="W4895" s="5" t="e">
        <f>CONCATENATE(dados[[#This Row],[fator1]],dados[[#This Row],[fator5]],dados[[#This Row],[fator6]])</f>
        <v>#REF!</v>
      </c>
    </row>
    <row r="4896" spans="1:23">
      <c r="A4896" t="s">
        <v>16</v>
      </c>
      <c r="B4896">
        <v>591361</v>
      </c>
      <c r="C4896">
        <v>0.15</v>
      </c>
      <c r="D4896">
        <v>40</v>
      </c>
      <c r="E4896">
        <v>10</v>
      </c>
      <c r="F4896">
        <v>15</v>
      </c>
      <c r="G4896">
        <v>0</v>
      </c>
      <c r="H4896">
        <v>15</v>
      </c>
      <c r="I4896">
        <v>243</v>
      </c>
      <c r="J4896">
        <v>0</v>
      </c>
      <c r="K4896">
        <v>3.419</v>
      </c>
      <c r="L4896">
        <v>4.0914999999999999</v>
      </c>
      <c r="M4896">
        <v>3.665</v>
      </c>
      <c r="N4896">
        <v>14.805000000000001</v>
      </c>
      <c r="O4896">
        <v>1707</v>
      </c>
      <c r="P4896">
        <v>0</v>
      </c>
      <c r="Q4896" s="5" t="e">
        <f>IF(AND(#REF!&gt;=table!$C$6,#REF!&lt;= table!$D$6),-1,IF(AND(#REF!&gt;=table!$E$6,#REF!&lt;=table!$F$6),1,0))</f>
        <v>#REF!</v>
      </c>
      <c r="R4896" s="5" t="e">
        <f>IF(AND(#REF!&gt;=table!$C$7,#REF!&lt;= table!$D$7),-1,IF(AND(#REF!&gt;=table!$E$7,#REF!&lt;=table!$F$7),1,0))</f>
        <v>#REF!</v>
      </c>
      <c r="S4896" s="5" t="e">
        <f>IF(AND(#REF!&gt;=table!$C$8,#REF!&lt;= table!$D$8),-1,IF(AND(#REF!&gt;=table!$E$8,#REF!&lt;=table!$F$8),1,0))</f>
        <v>#REF!</v>
      </c>
      <c r="T4896" s="5"/>
      <c r="U4896" s="5" t="e">
        <f>IF(AND(#REF!&gt;=table!$C$10,#REF!&lt;= table!$D$10),-1,IF(AND(#REF!&gt;=table!$E$10,#REF!&lt;=table!$F$10),1,0))</f>
        <v>#REF!</v>
      </c>
      <c r="V4896" s="5" t="e">
        <f>IF(AND(#REF!&gt;=table!$C$11,#REF!&lt;= table!$D$11),-1,IF(AND(#REF!&gt;=table!$E$11,#REF!&lt;=table!$F$11),1,0))</f>
        <v>#REF!</v>
      </c>
      <c r="W4896" s="5" t="e">
        <f>CONCATENATE(dados[[#This Row],[fator1]],dados[[#This Row],[fator5]],dados[[#This Row],[fator6]])</f>
        <v>#REF!</v>
      </c>
    </row>
    <row r="4897" spans="1:23">
      <c r="A4897" t="s">
        <v>16</v>
      </c>
      <c r="B4897">
        <v>591366</v>
      </c>
      <c r="C4897">
        <v>0.15</v>
      </c>
      <c r="D4897">
        <v>40</v>
      </c>
      <c r="E4897">
        <v>10</v>
      </c>
      <c r="F4897">
        <v>15</v>
      </c>
      <c r="G4897">
        <v>0</v>
      </c>
      <c r="H4897">
        <v>15</v>
      </c>
      <c r="I4897">
        <v>489</v>
      </c>
      <c r="J4897">
        <v>0</v>
      </c>
      <c r="K4897">
        <v>3.8425000000000002</v>
      </c>
      <c r="L4897">
        <v>8.5815000000000001</v>
      </c>
      <c r="M4897">
        <v>7.9450000000000003</v>
      </c>
      <c r="N4897">
        <v>12.805000000000001</v>
      </c>
      <c r="O4897">
        <v>1663</v>
      </c>
      <c r="P4897">
        <v>866</v>
      </c>
      <c r="Q4897" s="5" t="e">
        <f>IF(AND(#REF!&gt;=table!$C$6,#REF!&lt;= table!$D$6),-1,IF(AND(#REF!&gt;=table!$E$6,#REF!&lt;=table!$F$6),1,0))</f>
        <v>#REF!</v>
      </c>
      <c r="R4897" s="5" t="e">
        <f>IF(AND(#REF!&gt;=table!$C$7,#REF!&lt;= table!$D$7),-1,IF(AND(#REF!&gt;=table!$E$7,#REF!&lt;=table!$F$7),1,0))</f>
        <v>#REF!</v>
      </c>
      <c r="S4897" s="5" t="e">
        <f>IF(AND(#REF!&gt;=table!$C$8,#REF!&lt;= table!$D$8),-1,IF(AND(#REF!&gt;=table!$E$8,#REF!&lt;=table!$F$8),1,0))</f>
        <v>#REF!</v>
      </c>
      <c r="T4897" s="5"/>
      <c r="U4897" s="5" t="e">
        <f>IF(AND(#REF!&gt;=table!$C$10,#REF!&lt;= table!$D$10),-1,IF(AND(#REF!&gt;=table!$E$10,#REF!&lt;=table!$F$10),1,0))</f>
        <v>#REF!</v>
      </c>
      <c r="V4897" s="5" t="e">
        <f>IF(AND(#REF!&gt;=table!$C$11,#REF!&lt;= table!$D$11),-1,IF(AND(#REF!&gt;=table!$E$11,#REF!&lt;=table!$F$11),1,0))</f>
        <v>#REF!</v>
      </c>
      <c r="W4897" s="5" t="e">
        <f>CONCATENATE(dados[[#This Row],[fator1]],dados[[#This Row],[fator5]],dados[[#This Row],[fator6]])</f>
        <v>#REF!</v>
      </c>
    </row>
    <row r="4898" spans="1:23">
      <c r="A4898" t="s">
        <v>16</v>
      </c>
      <c r="B4898">
        <v>591371</v>
      </c>
      <c r="C4898">
        <v>12</v>
      </c>
      <c r="D4898">
        <v>35</v>
      </c>
      <c r="E4898">
        <v>86</v>
      </c>
      <c r="F4898">
        <v>10</v>
      </c>
      <c r="G4898">
        <v>0</v>
      </c>
      <c r="H4898">
        <v>25</v>
      </c>
      <c r="I4898">
        <v>196</v>
      </c>
      <c r="J4898">
        <v>0</v>
      </c>
      <c r="K4898">
        <v>7.5960000000000001</v>
      </c>
      <c r="L4898">
        <v>11.864000000000001</v>
      </c>
      <c r="M4898">
        <v>81.66</v>
      </c>
      <c r="N4898">
        <v>20.72</v>
      </c>
      <c r="O4898">
        <v>1682</v>
      </c>
      <c r="P4898">
        <v>0</v>
      </c>
      <c r="Q4898" s="5" t="e">
        <f>IF(AND(#REF!&gt;=table!$C$6,#REF!&lt;= table!$D$6),-1,IF(AND(#REF!&gt;=table!$E$6,#REF!&lt;=table!$F$6),1,0))</f>
        <v>#REF!</v>
      </c>
      <c r="R4898" s="5" t="e">
        <f>IF(AND(#REF!&gt;=table!$C$7,#REF!&lt;= table!$D$7),-1,IF(AND(#REF!&gt;=table!$E$7,#REF!&lt;=table!$F$7),1,0))</f>
        <v>#REF!</v>
      </c>
      <c r="S4898" s="5" t="e">
        <f>IF(AND(#REF!&gt;=table!$C$8,#REF!&lt;= table!$D$8),-1,IF(AND(#REF!&gt;=table!$E$8,#REF!&lt;=table!$F$8),1,0))</f>
        <v>#REF!</v>
      </c>
      <c r="T4898" s="5"/>
      <c r="U4898" s="5" t="e">
        <f>IF(AND(#REF!&gt;=table!$C$10,#REF!&lt;= table!$D$10),-1,IF(AND(#REF!&gt;=table!$E$10,#REF!&lt;=table!$F$10),1,0))</f>
        <v>#REF!</v>
      </c>
      <c r="V4898" s="5" t="e">
        <f>IF(AND(#REF!&gt;=table!$C$11,#REF!&lt;= table!$D$11),-1,IF(AND(#REF!&gt;=table!$E$11,#REF!&lt;=table!$F$11),1,0))</f>
        <v>#REF!</v>
      </c>
      <c r="W4898" s="5" t="e">
        <f>CONCATENATE(dados[[#This Row],[fator1]],dados[[#This Row],[fator5]],dados[[#This Row],[fator6]])</f>
        <v>#REF!</v>
      </c>
    </row>
    <row r="4899" spans="1:23">
      <c r="A4899" t="s">
        <v>16</v>
      </c>
      <c r="B4899">
        <v>591376</v>
      </c>
      <c r="C4899">
        <v>4</v>
      </c>
      <c r="D4899">
        <v>40</v>
      </c>
      <c r="E4899">
        <v>21</v>
      </c>
      <c r="F4899">
        <v>20</v>
      </c>
      <c r="G4899">
        <v>0</v>
      </c>
      <c r="H4899">
        <v>25</v>
      </c>
      <c r="I4899">
        <v>526</v>
      </c>
      <c r="J4899">
        <v>0</v>
      </c>
      <c r="K4899">
        <v>4.6265000000000001</v>
      </c>
      <c r="L4899">
        <v>8.7750000000000004</v>
      </c>
      <c r="M4899">
        <v>19.159000000000002</v>
      </c>
      <c r="N4899">
        <v>11.370000000000001</v>
      </c>
      <c r="O4899">
        <v>1649</v>
      </c>
      <c r="P4899">
        <v>0</v>
      </c>
      <c r="Q4899" s="5" t="e">
        <f>IF(AND(#REF!&gt;=table!$C$6,#REF!&lt;= table!$D$6),-1,IF(AND(#REF!&gt;=table!$E$6,#REF!&lt;=table!$F$6),1,0))</f>
        <v>#REF!</v>
      </c>
      <c r="R4899" s="5" t="e">
        <f>IF(AND(#REF!&gt;=table!$C$7,#REF!&lt;= table!$D$7),-1,IF(AND(#REF!&gt;=table!$E$7,#REF!&lt;=table!$F$7),1,0))</f>
        <v>#REF!</v>
      </c>
      <c r="S4899" s="5" t="e">
        <f>IF(AND(#REF!&gt;=table!$C$8,#REF!&lt;= table!$D$8),-1,IF(AND(#REF!&gt;=table!$E$8,#REF!&lt;=table!$F$8),1,0))</f>
        <v>#REF!</v>
      </c>
      <c r="T4899" s="5"/>
      <c r="U4899" s="5" t="e">
        <f>IF(AND(#REF!&gt;=table!$C$10,#REF!&lt;= table!$D$10),-1,IF(AND(#REF!&gt;=table!$E$10,#REF!&lt;=table!$F$10),1,0))</f>
        <v>#REF!</v>
      </c>
      <c r="V4899" s="5" t="e">
        <f>IF(AND(#REF!&gt;=table!$C$11,#REF!&lt;= table!$D$11),-1,IF(AND(#REF!&gt;=table!$E$11,#REF!&lt;=table!$F$11),1,0))</f>
        <v>#REF!</v>
      </c>
      <c r="W4899" s="5" t="e">
        <f>CONCATENATE(dados[[#This Row],[fator1]],dados[[#This Row],[fator5]],dados[[#This Row],[fator6]])</f>
        <v>#REF!</v>
      </c>
    </row>
    <row r="4900" spans="1:23">
      <c r="A4900" t="s">
        <v>16</v>
      </c>
      <c r="B4900">
        <v>591381</v>
      </c>
      <c r="C4900">
        <v>0.15</v>
      </c>
      <c r="D4900">
        <v>40</v>
      </c>
      <c r="E4900">
        <v>10</v>
      </c>
      <c r="F4900">
        <v>15</v>
      </c>
      <c r="G4900">
        <v>0</v>
      </c>
      <c r="H4900">
        <v>15</v>
      </c>
      <c r="I4900">
        <v>334</v>
      </c>
      <c r="J4900">
        <v>0</v>
      </c>
      <c r="K4900">
        <v>3.9025000000000003</v>
      </c>
      <c r="L4900">
        <v>7.2050000000000001</v>
      </c>
      <c r="M4900">
        <v>6.7220000000000004</v>
      </c>
      <c r="N4900">
        <v>10.045</v>
      </c>
      <c r="O4900">
        <v>1666</v>
      </c>
      <c r="P4900">
        <v>815</v>
      </c>
      <c r="Q4900" s="5" t="e">
        <f>IF(AND(#REF!&gt;=table!$C$6,#REF!&lt;= table!$D$6),-1,IF(AND(#REF!&gt;=table!$E$6,#REF!&lt;=table!$F$6),1,0))</f>
        <v>#REF!</v>
      </c>
      <c r="R4900" s="5" t="e">
        <f>IF(AND(#REF!&gt;=table!$C$7,#REF!&lt;= table!$D$7),-1,IF(AND(#REF!&gt;=table!$E$7,#REF!&lt;=table!$F$7),1,0))</f>
        <v>#REF!</v>
      </c>
      <c r="S4900" s="5" t="e">
        <f>IF(AND(#REF!&gt;=table!$C$8,#REF!&lt;= table!$D$8),-1,IF(AND(#REF!&gt;=table!$E$8,#REF!&lt;=table!$F$8),1,0))</f>
        <v>#REF!</v>
      </c>
      <c r="T4900" s="5"/>
      <c r="U4900" s="5" t="e">
        <f>IF(AND(#REF!&gt;=table!$C$10,#REF!&lt;= table!$D$10),-1,IF(AND(#REF!&gt;=table!$E$10,#REF!&lt;=table!$F$10),1,0))</f>
        <v>#REF!</v>
      </c>
      <c r="V4900" s="5" t="e">
        <f>IF(AND(#REF!&gt;=table!$C$11,#REF!&lt;= table!$D$11),-1,IF(AND(#REF!&gt;=table!$E$11,#REF!&lt;=table!$F$11),1,0))</f>
        <v>#REF!</v>
      </c>
      <c r="W4900" s="5" t="e">
        <f>CONCATENATE(dados[[#This Row],[fator1]],dados[[#This Row],[fator5]],dados[[#This Row],[fator6]])</f>
        <v>#REF!</v>
      </c>
    </row>
    <row r="4901" spans="1:23">
      <c r="A4901" t="s">
        <v>16</v>
      </c>
      <c r="B4901">
        <v>591382</v>
      </c>
      <c r="C4901">
        <v>0.15</v>
      </c>
      <c r="D4901">
        <v>40</v>
      </c>
      <c r="E4901">
        <v>10</v>
      </c>
      <c r="F4901">
        <v>15</v>
      </c>
      <c r="G4901">
        <v>0</v>
      </c>
      <c r="H4901">
        <v>15</v>
      </c>
      <c r="I4901">
        <v>49</v>
      </c>
      <c r="J4901">
        <v>580</v>
      </c>
      <c r="K4901">
        <v>4.2725</v>
      </c>
      <c r="L4901">
        <v>5.9344999999999999</v>
      </c>
      <c r="M4901">
        <v>4.6684999999999999</v>
      </c>
      <c r="N4901">
        <v>6.94</v>
      </c>
      <c r="O4901">
        <v>1639</v>
      </c>
      <c r="P4901">
        <v>592</v>
      </c>
      <c r="Q4901" s="5" t="e">
        <f>IF(AND(#REF!&gt;=table!$C$6,#REF!&lt;= table!$D$6),-1,IF(AND(#REF!&gt;=table!$E$6,#REF!&lt;=table!$F$6),1,0))</f>
        <v>#REF!</v>
      </c>
      <c r="R4901" s="5" t="e">
        <f>IF(AND(#REF!&gt;=table!$C$7,#REF!&lt;= table!$D$7),-1,IF(AND(#REF!&gt;=table!$E$7,#REF!&lt;=table!$F$7),1,0))</f>
        <v>#REF!</v>
      </c>
      <c r="S4901" s="5" t="e">
        <f>IF(AND(#REF!&gt;=table!$C$8,#REF!&lt;= table!$D$8),-1,IF(AND(#REF!&gt;=table!$E$8,#REF!&lt;=table!$F$8),1,0))</f>
        <v>#REF!</v>
      </c>
      <c r="T4901" s="5"/>
      <c r="U4901" s="5" t="e">
        <f>IF(AND(#REF!&gt;=table!$C$10,#REF!&lt;= table!$D$10),-1,IF(AND(#REF!&gt;=table!$E$10,#REF!&lt;=table!$F$10),1,0))</f>
        <v>#REF!</v>
      </c>
      <c r="V4901" s="5" t="e">
        <f>IF(AND(#REF!&gt;=table!$C$11,#REF!&lt;= table!$D$11),-1,IF(AND(#REF!&gt;=table!$E$11,#REF!&lt;=table!$F$11),1,0))</f>
        <v>#REF!</v>
      </c>
      <c r="W4901" s="5" t="e">
        <f>CONCATENATE(dados[[#This Row],[fator1]],dados[[#This Row],[fator5]],dados[[#This Row],[fator6]])</f>
        <v>#REF!</v>
      </c>
    </row>
    <row r="4902" spans="1:23">
      <c r="A4902" t="s">
        <v>17</v>
      </c>
      <c r="B4902">
        <v>591383</v>
      </c>
      <c r="C4902">
        <v>14</v>
      </c>
      <c r="D4902">
        <v>30</v>
      </c>
      <c r="E4902">
        <v>110</v>
      </c>
      <c r="F4902">
        <v>4</v>
      </c>
      <c r="G4902">
        <v>20</v>
      </c>
      <c r="H4902">
        <v>22</v>
      </c>
      <c r="I4902">
        <v>52</v>
      </c>
      <c r="J4902">
        <v>0</v>
      </c>
      <c r="K4902">
        <v>3.6580000000000004</v>
      </c>
      <c r="L4902">
        <v>5.9940000000000007</v>
      </c>
      <c r="M4902">
        <v>80.210999999999999</v>
      </c>
      <c r="N4902">
        <v>12.530000000000001</v>
      </c>
      <c r="O4902">
        <v>1687</v>
      </c>
      <c r="P4902">
        <v>1148</v>
      </c>
      <c r="Q4902" s="5" t="e">
        <f>IF(AND(#REF!&gt;=table!$C$6,#REF!&lt;= table!$D$6),-1,IF(AND(#REF!&gt;=table!$E$6,#REF!&lt;=table!$F$6),1,0))</f>
        <v>#REF!</v>
      </c>
      <c r="R4902" s="5" t="e">
        <f>IF(AND(#REF!&gt;=table!$C$7,#REF!&lt;= table!$D$7),-1,IF(AND(#REF!&gt;=table!$E$7,#REF!&lt;=table!$F$7),1,0))</f>
        <v>#REF!</v>
      </c>
      <c r="S4902" s="5" t="e">
        <f>IF(AND(#REF!&gt;=table!$C$8,#REF!&lt;= table!$D$8),-1,IF(AND(#REF!&gt;=table!$E$8,#REF!&lt;=table!$F$8),1,0))</f>
        <v>#REF!</v>
      </c>
      <c r="T4902" s="5"/>
      <c r="U4902" s="5" t="e">
        <f>IF(AND(#REF!&gt;=table!$C$10,#REF!&lt;= table!$D$10),-1,IF(AND(#REF!&gt;=table!$E$10,#REF!&lt;=table!$F$10),1,0))</f>
        <v>#REF!</v>
      </c>
      <c r="V4902" s="5" t="e">
        <f>IF(AND(#REF!&gt;=table!$C$11,#REF!&lt;= table!$D$11),-1,IF(AND(#REF!&gt;=table!$E$11,#REF!&lt;=table!$F$11),1,0))</f>
        <v>#REF!</v>
      </c>
      <c r="W4902" s="5" t="e">
        <f>CONCATENATE(dados[[#This Row],[fator1]],dados[[#This Row],[fator5]],dados[[#This Row],[fator6]])</f>
        <v>#REF!</v>
      </c>
    </row>
    <row r="4903" spans="1:23">
      <c r="A4903" t="s">
        <v>17</v>
      </c>
      <c r="B4903">
        <v>591386</v>
      </c>
      <c r="C4903">
        <v>14</v>
      </c>
      <c r="D4903">
        <v>30</v>
      </c>
      <c r="E4903">
        <v>110</v>
      </c>
      <c r="F4903">
        <v>3</v>
      </c>
      <c r="G4903">
        <v>20</v>
      </c>
      <c r="H4903">
        <v>22</v>
      </c>
      <c r="I4903">
        <v>501</v>
      </c>
      <c r="J4903">
        <v>0</v>
      </c>
      <c r="K4903">
        <v>2.9685000000000001</v>
      </c>
      <c r="L4903">
        <v>8.2409999999999997</v>
      </c>
      <c r="M4903">
        <v>97.941500000000005</v>
      </c>
      <c r="N4903">
        <v>15.085000000000001</v>
      </c>
      <c r="O4903">
        <v>1687</v>
      </c>
      <c r="P4903">
        <v>0</v>
      </c>
      <c r="Q4903" s="5" t="e">
        <f>IF(AND(#REF!&gt;=table!$C$6,#REF!&lt;= table!$D$6),-1,IF(AND(#REF!&gt;=table!$E$6,#REF!&lt;=table!$F$6),1,0))</f>
        <v>#REF!</v>
      </c>
      <c r="R4903" s="5" t="e">
        <f>IF(AND(#REF!&gt;=table!$C$7,#REF!&lt;= table!$D$7),-1,IF(AND(#REF!&gt;=table!$E$7,#REF!&lt;=table!$F$7),1,0))</f>
        <v>#REF!</v>
      </c>
      <c r="S4903" s="5" t="e">
        <f>IF(AND(#REF!&gt;=table!$C$8,#REF!&lt;= table!$D$8),-1,IF(AND(#REF!&gt;=table!$E$8,#REF!&lt;=table!$F$8),1,0))</f>
        <v>#REF!</v>
      </c>
      <c r="T4903" s="5"/>
      <c r="U4903" s="5" t="e">
        <f>IF(AND(#REF!&gt;=table!$C$10,#REF!&lt;= table!$D$10),-1,IF(AND(#REF!&gt;=table!$E$10,#REF!&lt;=table!$F$10),1,0))</f>
        <v>#REF!</v>
      </c>
      <c r="V4903" s="5" t="e">
        <f>IF(AND(#REF!&gt;=table!$C$11,#REF!&lt;= table!$D$11),-1,IF(AND(#REF!&gt;=table!$E$11,#REF!&lt;=table!$F$11),1,0))</f>
        <v>#REF!</v>
      </c>
      <c r="W4903" s="5" t="e">
        <f>CONCATENATE(dados[[#This Row],[fator1]],dados[[#This Row],[fator5]],dados[[#This Row],[fator6]])</f>
        <v>#REF!</v>
      </c>
    </row>
    <row r="4904" spans="1:23">
      <c r="A4904" t="s">
        <v>16</v>
      </c>
      <c r="B4904">
        <v>591387</v>
      </c>
      <c r="C4904">
        <v>0.1</v>
      </c>
      <c r="D4904">
        <v>40</v>
      </c>
      <c r="E4904">
        <v>10</v>
      </c>
      <c r="F4904">
        <v>8</v>
      </c>
      <c r="G4904">
        <v>0</v>
      </c>
      <c r="H4904">
        <v>10</v>
      </c>
      <c r="I4904">
        <v>247</v>
      </c>
      <c r="J4904">
        <v>0</v>
      </c>
      <c r="K4904">
        <v>5.5620000000000003</v>
      </c>
      <c r="L4904">
        <v>9.6720000000000006</v>
      </c>
      <c r="M4904">
        <v>8.4820000000000011</v>
      </c>
      <c r="N4904">
        <v>12.175000000000001</v>
      </c>
      <c r="O4904">
        <v>1676</v>
      </c>
      <c r="P4904">
        <v>1268</v>
      </c>
      <c r="Q4904" s="5" t="e">
        <f>IF(AND(#REF!&gt;=table!$C$6,#REF!&lt;= table!$D$6),-1,IF(AND(#REF!&gt;=table!$E$6,#REF!&lt;=table!$F$6),1,0))</f>
        <v>#REF!</v>
      </c>
      <c r="R4904" s="5" t="e">
        <f>IF(AND(#REF!&gt;=table!$C$7,#REF!&lt;= table!$D$7),-1,IF(AND(#REF!&gt;=table!$E$7,#REF!&lt;=table!$F$7),1,0))</f>
        <v>#REF!</v>
      </c>
      <c r="S4904" s="5" t="e">
        <f>IF(AND(#REF!&gt;=table!$C$8,#REF!&lt;= table!$D$8),-1,IF(AND(#REF!&gt;=table!$E$8,#REF!&lt;=table!$F$8),1,0))</f>
        <v>#REF!</v>
      </c>
      <c r="T4904" s="5"/>
      <c r="U4904" s="5" t="e">
        <f>IF(AND(#REF!&gt;=table!$C$10,#REF!&lt;= table!$D$10),-1,IF(AND(#REF!&gt;=table!$E$10,#REF!&lt;=table!$F$10),1,0))</f>
        <v>#REF!</v>
      </c>
      <c r="V4904" s="5" t="e">
        <f>IF(AND(#REF!&gt;=table!$C$11,#REF!&lt;= table!$D$11),-1,IF(AND(#REF!&gt;=table!$E$11,#REF!&lt;=table!$F$11),1,0))</f>
        <v>#REF!</v>
      </c>
      <c r="W4904" s="5" t="e">
        <f>CONCATENATE(dados[[#This Row],[fator1]],dados[[#This Row],[fator5]],dados[[#This Row],[fator6]])</f>
        <v>#REF!</v>
      </c>
    </row>
    <row r="4905" spans="1:23">
      <c r="A4905" t="s">
        <v>16</v>
      </c>
      <c r="B4905">
        <v>591388</v>
      </c>
      <c r="C4905">
        <v>0.15</v>
      </c>
      <c r="D4905">
        <v>40</v>
      </c>
      <c r="E4905">
        <v>10</v>
      </c>
      <c r="F4905">
        <v>15</v>
      </c>
      <c r="G4905">
        <v>0</v>
      </c>
      <c r="H4905">
        <v>15</v>
      </c>
      <c r="I4905">
        <v>149</v>
      </c>
      <c r="J4905">
        <v>0</v>
      </c>
      <c r="K4905">
        <v>3.7</v>
      </c>
      <c r="L4905">
        <v>9.4990000000000006</v>
      </c>
      <c r="M4905">
        <v>7.9915000000000003</v>
      </c>
      <c r="N4905">
        <v>11.69</v>
      </c>
      <c r="O4905">
        <v>1675</v>
      </c>
      <c r="P4905">
        <v>1491</v>
      </c>
      <c r="Q4905" s="5" t="e">
        <f>IF(AND(#REF!&gt;=table!$C$6,#REF!&lt;= table!$D$6),-1,IF(AND(#REF!&gt;=table!$E$6,#REF!&lt;=table!$F$6),1,0))</f>
        <v>#REF!</v>
      </c>
      <c r="R4905" s="5" t="e">
        <f>IF(AND(#REF!&gt;=table!$C$7,#REF!&lt;= table!$D$7),-1,IF(AND(#REF!&gt;=table!$E$7,#REF!&lt;=table!$F$7),1,0))</f>
        <v>#REF!</v>
      </c>
      <c r="S4905" s="5" t="e">
        <f>IF(AND(#REF!&gt;=table!$C$8,#REF!&lt;= table!$D$8),-1,IF(AND(#REF!&gt;=table!$E$8,#REF!&lt;=table!$F$8),1,0))</f>
        <v>#REF!</v>
      </c>
      <c r="T4905" s="5"/>
      <c r="U4905" s="5" t="e">
        <f>IF(AND(#REF!&gt;=table!$C$10,#REF!&lt;= table!$D$10),-1,IF(AND(#REF!&gt;=table!$E$10,#REF!&lt;=table!$F$10),1,0))</f>
        <v>#REF!</v>
      </c>
      <c r="V4905" s="5" t="e">
        <f>IF(AND(#REF!&gt;=table!$C$11,#REF!&lt;= table!$D$11),-1,IF(AND(#REF!&gt;=table!$E$11,#REF!&lt;=table!$F$11),1,0))</f>
        <v>#REF!</v>
      </c>
      <c r="W4905" s="5" t="e">
        <f>CONCATENATE(dados[[#This Row],[fator1]],dados[[#This Row],[fator5]],dados[[#This Row],[fator6]])</f>
        <v>#REF!</v>
      </c>
    </row>
    <row r="4906" spans="1:23">
      <c r="A4906" t="s">
        <v>16</v>
      </c>
      <c r="B4906">
        <v>591389</v>
      </c>
      <c r="C4906">
        <v>0.15</v>
      </c>
      <c r="D4906">
        <v>40</v>
      </c>
      <c r="E4906">
        <v>10</v>
      </c>
      <c r="F4906">
        <v>15</v>
      </c>
      <c r="G4906">
        <v>0</v>
      </c>
      <c r="H4906">
        <v>15</v>
      </c>
      <c r="I4906">
        <v>0</v>
      </c>
      <c r="J4906">
        <v>0</v>
      </c>
      <c r="K4906">
        <v>3.6345000000000001</v>
      </c>
      <c r="L4906">
        <v>9.2650000000000006</v>
      </c>
      <c r="M4906">
        <v>7.5315000000000003</v>
      </c>
      <c r="N4906">
        <v>10.875</v>
      </c>
      <c r="O4906">
        <v>1669</v>
      </c>
      <c r="P4906">
        <v>0</v>
      </c>
      <c r="Q4906" s="5" t="e">
        <f>IF(AND(#REF!&gt;=table!$C$6,#REF!&lt;= table!$D$6),-1,IF(AND(#REF!&gt;=table!$E$6,#REF!&lt;=table!$F$6),1,0))</f>
        <v>#REF!</v>
      </c>
      <c r="R4906" s="5" t="e">
        <f>IF(AND(#REF!&gt;=table!$C$7,#REF!&lt;= table!$D$7),-1,IF(AND(#REF!&gt;=table!$E$7,#REF!&lt;=table!$F$7),1,0))</f>
        <v>#REF!</v>
      </c>
      <c r="S4906" s="5" t="e">
        <f>IF(AND(#REF!&gt;=table!$C$8,#REF!&lt;= table!$D$8),-1,IF(AND(#REF!&gt;=table!$E$8,#REF!&lt;=table!$F$8),1,0))</f>
        <v>#REF!</v>
      </c>
      <c r="T4906" s="5"/>
      <c r="U4906" s="5" t="e">
        <f>IF(AND(#REF!&gt;=table!$C$10,#REF!&lt;= table!$D$10),-1,IF(AND(#REF!&gt;=table!$E$10,#REF!&lt;=table!$F$10),1,0))</f>
        <v>#REF!</v>
      </c>
      <c r="V4906" s="5" t="e">
        <f>IF(AND(#REF!&gt;=table!$C$11,#REF!&lt;= table!$D$11),-1,IF(AND(#REF!&gt;=table!$E$11,#REF!&lt;=table!$F$11),1,0))</f>
        <v>#REF!</v>
      </c>
      <c r="W4906" s="5" t="e">
        <f>CONCATENATE(dados[[#This Row],[fator1]],dados[[#This Row],[fator5]],dados[[#This Row],[fator6]])</f>
        <v>#REF!</v>
      </c>
    </row>
    <row r="4907" spans="1:23">
      <c r="A4907" t="s">
        <v>16</v>
      </c>
      <c r="B4907">
        <v>591393</v>
      </c>
      <c r="C4907">
        <v>0.1</v>
      </c>
      <c r="D4907">
        <v>40</v>
      </c>
      <c r="E4907">
        <v>10</v>
      </c>
      <c r="F4907">
        <v>8</v>
      </c>
      <c r="G4907">
        <v>0</v>
      </c>
      <c r="H4907">
        <v>10</v>
      </c>
      <c r="I4907">
        <v>58</v>
      </c>
      <c r="J4907">
        <v>740</v>
      </c>
      <c r="K4907">
        <v>3.3605</v>
      </c>
      <c r="L4907">
        <v>14.111000000000001</v>
      </c>
      <c r="M4907">
        <v>7.8345000000000002</v>
      </c>
      <c r="N4907">
        <v>13.89</v>
      </c>
      <c r="O4907">
        <v>1687</v>
      </c>
      <c r="P4907">
        <v>0</v>
      </c>
      <c r="Q4907" s="5" t="e">
        <f>IF(AND(#REF!&gt;=table!$C$6,#REF!&lt;= table!$D$6),-1,IF(AND(#REF!&gt;=table!$E$6,#REF!&lt;=table!$F$6),1,0))</f>
        <v>#REF!</v>
      </c>
      <c r="R4907" s="5" t="e">
        <f>IF(AND(#REF!&gt;=table!$C$7,#REF!&lt;= table!$D$7),-1,IF(AND(#REF!&gt;=table!$E$7,#REF!&lt;=table!$F$7),1,0))</f>
        <v>#REF!</v>
      </c>
      <c r="S4907" s="5" t="e">
        <f>IF(AND(#REF!&gt;=table!$C$8,#REF!&lt;= table!$D$8),-1,IF(AND(#REF!&gt;=table!$E$8,#REF!&lt;=table!$F$8),1,0))</f>
        <v>#REF!</v>
      </c>
      <c r="T4907" s="5"/>
      <c r="U4907" s="5" t="e">
        <f>IF(AND(#REF!&gt;=table!$C$10,#REF!&lt;= table!$D$10),-1,IF(AND(#REF!&gt;=table!$E$10,#REF!&lt;=table!$F$10),1,0))</f>
        <v>#REF!</v>
      </c>
      <c r="V4907" s="5" t="e">
        <f>IF(AND(#REF!&gt;=table!$C$11,#REF!&lt;= table!$D$11),-1,IF(AND(#REF!&gt;=table!$E$11,#REF!&lt;=table!$F$11),1,0))</f>
        <v>#REF!</v>
      </c>
      <c r="W4907" s="5" t="e">
        <f>CONCATENATE(dados[[#This Row],[fator1]],dados[[#This Row],[fator5]],dados[[#This Row],[fator6]])</f>
        <v>#REF!</v>
      </c>
    </row>
    <row r="4908" spans="1:23">
      <c r="A4908" t="s">
        <v>16</v>
      </c>
      <c r="B4908">
        <v>591394</v>
      </c>
      <c r="C4908">
        <v>16</v>
      </c>
      <c r="D4908">
        <v>30</v>
      </c>
      <c r="E4908">
        <v>36</v>
      </c>
      <c r="F4908">
        <v>3</v>
      </c>
      <c r="G4908">
        <v>0</v>
      </c>
      <c r="H4908">
        <v>25</v>
      </c>
      <c r="I4908">
        <v>0</v>
      </c>
      <c r="J4908">
        <v>0</v>
      </c>
      <c r="K4908">
        <v>4.6260000000000003</v>
      </c>
      <c r="L4908">
        <v>14.477</v>
      </c>
      <c r="M4908">
        <v>25.3765</v>
      </c>
      <c r="N4908">
        <v>20.330000000000002</v>
      </c>
      <c r="O4908">
        <v>1699</v>
      </c>
      <c r="P4908">
        <v>0</v>
      </c>
      <c r="Q4908" s="5" t="e">
        <f>IF(AND(#REF!&gt;=table!$C$6,#REF!&lt;= table!$D$6),-1,IF(AND(#REF!&gt;=table!$E$6,#REF!&lt;=table!$F$6),1,0))</f>
        <v>#REF!</v>
      </c>
      <c r="R4908" s="5" t="e">
        <f>IF(AND(#REF!&gt;=table!$C$7,#REF!&lt;= table!$D$7),-1,IF(AND(#REF!&gt;=table!$E$7,#REF!&lt;=table!$F$7),1,0))</f>
        <v>#REF!</v>
      </c>
      <c r="S4908" s="5" t="e">
        <f>IF(AND(#REF!&gt;=table!$C$8,#REF!&lt;= table!$D$8),-1,IF(AND(#REF!&gt;=table!$E$8,#REF!&lt;=table!$F$8),1,0))</f>
        <v>#REF!</v>
      </c>
      <c r="T4908" s="5"/>
      <c r="U4908" s="5" t="e">
        <f>IF(AND(#REF!&gt;=table!$C$10,#REF!&lt;= table!$D$10),-1,IF(AND(#REF!&gt;=table!$E$10,#REF!&lt;=table!$F$10),1,0))</f>
        <v>#REF!</v>
      </c>
      <c r="V4908" s="5" t="e">
        <f>IF(AND(#REF!&gt;=table!$C$11,#REF!&lt;= table!$D$11),-1,IF(AND(#REF!&gt;=table!$E$11,#REF!&lt;=table!$F$11),1,0))</f>
        <v>#REF!</v>
      </c>
      <c r="W4908" s="5" t="e">
        <f>CONCATENATE(dados[[#This Row],[fator1]],dados[[#This Row],[fator5]],dados[[#This Row],[fator6]])</f>
        <v>#REF!</v>
      </c>
    </row>
    <row r="4909" spans="1:23">
      <c r="A4909" t="s">
        <v>16</v>
      </c>
      <c r="B4909">
        <v>591395</v>
      </c>
      <c r="C4909">
        <v>0.15</v>
      </c>
      <c r="D4909">
        <v>40</v>
      </c>
      <c r="E4909">
        <v>10</v>
      </c>
      <c r="F4909">
        <v>15</v>
      </c>
      <c r="G4909">
        <v>0</v>
      </c>
      <c r="H4909">
        <v>15</v>
      </c>
      <c r="I4909">
        <v>783</v>
      </c>
      <c r="J4909">
        <v>1060</v>
      </c>
      <c r="K4909">
        <v>9.0910000000000011</v>
      </c>
      <c r="L4909">
        <v>15.0915</v>
      </c>
      <c r="M4909">
        <v>7.9495000000000005</v>
      </c>
      <c r="N4909">
        <v>9.6</v>
      </c>
      <c r="O4909">
        <v>1689</v>
      </c>
      <c r="P4909">
        <v>0</v>
      </c>
      <c r="Q4909" s="5" t="e">
        <f>IF(AND(#REF!&gt;=table!$C$6,#REF!&lt;= table!$D$6),-1,IF(AND(#REF!&gt;=table!$E$6,#REF!&lt;=table!$F$6),1,0))</f>
        <v>#REF!</v>
      </c>
      <c r="R4909" s="5" t="e">
        <f>IF(AND(#REF!&gt;=table!$C$7,#REF!&lt;= table!$D$7),-1,IF(AND(#REF!&gt;=table!$E$7,#REF!&lt;=table!$F$7),1,0))</f>
        <v>#REF!</v>
      </c>
      <c r="S4909" s="5" t="e">
        <f>IF(AND(#REF!&gt;=table!$C$8,#REF!&lt;= table!$D$8),-1,IF(AND(#REF!&gt;=table!$E$8,#REF!&lt;=table!$F$8),1,0))</f>
        <v>#REF!</v>
      </c>
      <c r="T4909" s="5"/>
      <c r="U4909" s="5" t="e">
        <f>IF(AND(#REF!&gt;=table!$C$10,#REF!&lt;= table!$D$10),-1,IF(AND(#REF!&gt;=table!$E$10,#REF!&lt;=table!$F$10),1,0))</f>
        <v>#REF!</v>
      </c>
      <c r="V4909" s="5" t="e">
        <f>IF(AND(#REF!&gt;=table!$C$11,#REF!&lt;= table!$D$11),-1,IF(AND(#REF!&gt;=table!$E$11,#REF!&lt;=table!$F$11),1,0))</f>
        <v>#REF!</v>
      </c>
      <c r="W4909" s="5" t="e">
        <f>CONCATENATE(dados[[#This Row],[fator1]],dados[[#This Row],[fator5]],dados[[#This Row],[fator6]])</f>
        <v>#REF!</v>
      </c>
    </row>
    <row r="4910" spans="1:23">
      <c r="A4910" t="s">
        <v>16</v>
      </c>
      <c r="B4910">
        <v>591397</v>
      </c>
      <c r="C4910">
        <v>0.1</v>
      </c>
      <c r="D4910">
        <v>40</v>
      </c>
      <c r="E4910">
        <v>10</v>
      </c>
      <c r="F4910">
        <v>8</v>
      </c>
      <c r="G4910">
        <v>0</v>
      </c>
      <c r="H4910">
        <v>10</v>
      </c>
      <c r="I4910">
        <v>73</v>
      </c>
      <c r="J4910">
        <v>0</v>
      </c>
      <c r="K4910">
        <v>4.7170000000000005</v>
      </c>
      <c r="L4910">
        <v>9.4570000000000007</v>
      </c>
      <c r="M4910">
        <v>8.0220000000000002</v>
      </c>
      <c r="N4910">
        <v>13.225000000000001</v>
      </c>
      <c r="O4910">
        <v>1687</v>
      </c>
      <c r="P4910">
        <v>773</v>
      </c>
      <c r="Q4910" s="5" t="e">
        <f>IF(AND(#REF!&gt;=table!$C$6,#REF!&lt;= table!$D$6),-1,IF(AND(#REF!&gt;=table!$E$6,#REF!&lt;=table!$F$6),1,0))</f>
        <v>#REF!</v>
      </c>
      <c r="R4910" s="5" t="e">
        <f>IF(AND(#REF!&gt;=table!$C$7,#REF!&lt;= table!$D$7),-1,IF(AND(#REF!&gt;=table!$E$7,#REF!&lt;=table!$F$7),1,0))</f>
        <v>#REF!</v>
      </c>
      <c r="S4910" s="5" t="e">
        <f>IF(AND(#REF!&gt;=table!$C$8,#REF!&lt;= table!$D$8),-1,IF(AND(#REF!&gt;=table!$E$8,#REF!&lt;=table!$F$8),1,0))</f>
        <v>#REF!</v>
      </c>
      <c r="T4910" s="5"/>
      <c r="U4910" s="5" t="e">
        <f>IF(AND(#REF!&gt;=table!$C$10,#REF!&lt;= table!$D$10),-1,IF(AND(#REF!&gt;=table!$E$10,#REF!&lt;=table!$F$10),1,0))</f>
        <v>#REF!</v>
      </c>
      <c r="V4910" s="5" t="e">
        <f>IF(AND(#REF!&gt;=table!$C$11,#REF!&lt;= table!$D$11),-1,IF(AND(#REF!&gt;=table!$E$11,#REF!&lt;=table!$F$11),1,0))</f>
        <v>#REF!</v>
      </c>
      <c r="W4910" s="5" t="e">
        <f>CONCATENATE(dados[[#This Row],[fator1]],dados[[#This Row],[fator5]],dados[[#This Row],[fator6]])</f>
        <v>#REF!</v>
      </c>
    </row>
    <row r="4911" spans="1:23">
      <c r="A4911" t="s">
        <v>17</v>
      </c>
      <c r="B4911">
        <v>591399</v>
      </c>
      <c r="C4911">
        <v>46</v>
      </c>
      <c r="D4911">
        <v>18</v>
      </c>
      <c r="E4911">
        <v>66</v>
      </c>
      <c r="F4911">
        <v>10</v>
      </c>
      <c r="G4911">
        <v>20</v>
      </c>
      <c r="H4911">
        <v>23</v>
      </c>
      <c r="I4911">
        <v>81</v>
      </c>
      <c r="J4911">
        <v>0</v>
      </c>
      <c r="K4911">
        <v>5.0964999999999998</v>
      </c>
      <c r="L4911">
        <v>6.9075000000000006</v>
      </c>
      <c r="M4911">
        <v>52.291499999999999</v>
      </c>
      <c r="N4911">
        <v>12.395000000000001</v>
      </c>
      <c r="O4911">
        <v>1674</v>
      </c>
      <c r="P4911">
        <v>736</v>
      </c>
      <c r="Q4911" s="5" t="e">
        <f>IF(AND(#REF!&gt;=table!$C$6,#REF!&lt;= table!$D$6),-1,IF(AND(#REF!&gt;=table!$E$6,#REF!&lt;=table!$F$6),1,0))</f>
        <v>#REF!</v>
      </c>
      <c r="R4911" s="5" t="e">
        <f>IF(AND(#REF!&gt;=table!$C$7,#REF!&lt;= table!$D$7),-1,IF(AND(#REF!&gt;=table!$E$7,#REF!&lt;=table!$F$7),1,0))</f>
        <v>#REF!</v>
      </c>
      <c r="S4911" s="5" t="e">
        <f>IF(AND(#REF!&gt;=table!$C$8,#REF!&lt;= table!$D$8),-1,IF(AND(#REF!&gt;=table!$E$8,#REF!&lt;=table!$F$8),1,0))</f>
        <v>#REF!</v>
      </c>
      <c r="T4911" s="5"/>
      <c r="U4911" s="5" t="e">
        <f>IF(AND(#REF!&gt;=table!$C$10,#REF!&lt;= table!$D$10),-1,IF(AND(#REF!&gt;=table!$E$10,#REF!&lt;=table!$F$10),1,0))</f>
        <v>#REF!</v>
      </c>
      <c r="V4911" s="5" t="e">
        <f>IF(AND(#REF!&gt;=table!$C$11,#REF!&lt;= table!$D$11),-1,IF(AND(#REF!&gt;=table!$E$11,#REF!&lt;=table!$F$11),1,0))</f>
        <v>#REF!</v>
      </c>
      <c r="W4911" s="5" t="e">
        <f>CONCATENATE(dados[[#This Row],[fator1]],dados[[#This Row],[fator5]],dados[[#This Row],[fator6]])</f>
        <v>#REF!</v>
      </c>
    </row>
    <row r="4912" spans="1:23">
      <c r="A4912" t="s">
        <v>17</v>
      </c>
      <c r="B4912">
        <v>591402</v>
      </c>
      <c r="C4912">
        <v>46</v>
      </c>
      <c r="D4912">
        <v>18</v>
      </c>
      <c r="E4912">
        <v>66</v>
      </c>
      <c r="F4912">
        <v>10</v>
      </c>
      <c r="G4912">
        <v>20</v>
      </c>
      <c r="H4912">
        <v>23</v>
      </c>
      <c r="I4912">
        <v>1</v>
      </c>
      <c r="J4912">
        <v>550</v>
      </c>
      <c r="K4912">
        <v>5.5540000000000003</v>
      </c>
      <c r="L4912">
        <v>8.5020000000000007</v>
      </c>
      <c r="M4912">
        <v>42.006500000000003</v>
      </c>
      <c r="N4912">
        <v>11.105</v>
      </c>
      <c r="O4912">
        <v>1624</v>
      </c>
      <c r="P4912">
        <v>415</v>
      </c>
      <c r="Q4912" s="5" t="e">
        <f>IF(AND(#REF!&gt;=table!$C$6,#REF!&lt;= table!$D$6),-1,IF(AND(#REF!&gt;=table!$E$6,#REF!&lt;=table!$F$6),1,0))</f>
        <v>#REF!</v>
      </c>
      <c r="R4912" s="5" t="e">
        <f>IF(AND(#REF!&gt;=table!$C$7,#REF!&lt;= table!$D$7),-1,IF(AND(#REF!&gt;=table!$E$7,#REF!&lt;=table!$F$7),1,0))</f>
        <v>#REF!</v>
      </c>
      <c r="S4912" s="5" t="e">
        <f>IF(AND(#REF!&gt;=table!$C$8,#REF!&lt;= table!$D$8),-1,IF(AND(#REF!&gt;=table!$E$8,#REF!&lt;=table!$F$8),1,0))</f>
        <v>#REF!</v>
      </c>
      <c r="T4912" s="5"/>
      <c r="U4912" s="5" t="e">
        <f>IF(AND(#REF!&gt;=table!$C$10,#REF!&lt;= table!$D$10),-1,IF(AND(#REF!&gt;=table!$E$10,#REF!&lt;=table!$F$10),1,0))</f>
        <v>#REF!</v>
      </c>
      <c r="V4912" s="5" t="e">
        <f>IF(AND(#REF!&gt;=table!$C$11,#REF!&lt;= table!$D$11),-1,IF(AND(#REF!&gt;=table!$E$11,#REF!&lt;=table!$F$11),1,0))</f>
        <v>#REF!</v>
      </c>
      <c r="W4912" s="5" t="e">
        <f>CONCATENATE(dados[[#This Row],[fator1]],dados[[#This Row],[fator5]],dados[[#This Row],[fator6]])</f>
        <v>#REF!</v>
      </c>
    </row>
    <row r="4913" spans="1:23">
      <c r="A4913" t="s">
        <v>17</v>
      </c>
      <c r="B4913">
        <v>591403</v>
      </c>
      <c r="C4913">
        <v>46</v>
      </c>
      <c r="D4913">
        <v>18</v>
      </c>
      <c r="E4913">
        <v>66</v>
      </c>
      <c r="F4913">
        <v>10</v>
      </c>
      <c r="G4913">
        <v>20</v>
      </c>
      <c r="H4913">
        <v>23</v>
      </c>
      <c r="I4913">
        <v>204</v>
      </c>
      <c r="J4913">
        <v>0</v>
      </c>
      <c r="K4913">
        <v>3.1855000000000002</v>
      </c>
      <c r="L4913">
        <v>6.78</v>
      </c>
      <c r="M4913">
        <v>70.034999999999997</v>
      </c>
      <c r="N4913">
        <v>15.745000000000001</v>
      </c>
      <c r="O4913">
        <v>1660</v>
      </c>
      <c r="P4913">
        <v>929</v>
      </c>
      <c r="Q4913" s="5" t="e">
        <f>IF(AND(#REF!&gt;=table!$C$6,#REF!&lt;= table!$D$6),-1,IF(AND(#REF!&gt;=table!$E$6,#REF!&lt;=table!$F$6),1,0))</f>
        <v>#REF!</v>
      </c>
      <c r="R4913" s="5" t="e">
        <f>IF(AND(#REF!&gt;=table!$C$7,#REF!&lt;= table!$D$7),-1,IF(AND(#REF!&gt;=table!$E$7,#REF!&lt;=table!$F$7),1,0))</f>
        <v>#REF!</v>
      </c>
      <c r="S4913" s="5" t="e">
        <f>IF(AND(#REF!&gt;=table!$C$8,#REF!&lt;= table!$D$8),-1,IF(AND(#REF!&gt;=table!$E$8,#REF!&lt;=table!$F$8),1,0))</f>
        <v>#REF!</v>
      </c>
      <c r="T4913" s="5"/>
      <c r="U4913" s="5" t="e">
        <f>IF(AND(#REF!&gt;=table!$C$10,#REF!&lt;= table!$D$10),-1,IF(AND(#REF!&gt;=table!$E$10,#REF!&lt;=table!$F$10),1,0))</f>
        <v>#REF!</v>
      </c>
      <c r="V4913" s="5" t="e">
        <f>IF(AND(#REF!&gt;=table!$C$11,#REF!&lt;= table!$D$11),-1,IF(AND(#REF!&gt;=table!$E$11,#REF!&lt;=table!$F$11),1,0))</f>
        <v>#REF!</v>
      </c>
      <c r="W4913" s="5" t="e">
        <f>CONCATENATE(dados[[#This Row],[fator1]],dados[[#This Row],[fator5]],dados[[#This Row],[fator6]])</f>
        <v>#REF!</v>
      </c>
    </row>
    <row r="4914" spans="1:23">
      <c r="A4914" t="s">
        <v>17</v>
      </c>
      <c r="B4914">
        <v>591404</v>
      </c>
      <c r="C4914">
        <v>46</v>
      </c>
      <c r="D4914">
        <v>18</v>
      </c>
      <c r="E4914">
        <v>66</v>
      </c>
      <c r="F4914">
        <v>10</v>
      </c>
      <c r="G4914">
        <v>20</v>
      </c>
      <c r="H4914">
        <v>23</v>
      </c>
      <c r="I4914">
        <v>768</v>
      </c>
      <c r="J4914">
        <v>0</v>
      </c>
      <c r="K4914">
        <v>4.8885000000000005</v>
      </c>
      <c r="L4914">
        <v>10.419</v>
      </c>
      <c r="M4914">
        <v>35.211500000000001</v>
      </c>
      <c r="N4914">
        <v>18.595000000000002</v>
      </c>
      <c r="O4914">
        <v>1677</v>
      </c>
      <c r="P4914">
        <v>712</v>
      </c>
      <c r="Q4914" s="5" t="e">
        <f>IF(AND(#REF!&gt;=table!$C$6,#REF!&lt;= table!$D$6),-1,IF(AND(#REF!&gt;=table!$E$6,#REF!&lt;=table!$F$6),1,0))</f>
        <v>#REF!</v>
      </c>
      <c r="R4914" s="5" t="e">
        <f>IF(AND(#REF!&gt;=table!$C$7,#REF!&lt;= table!$D$7),-1,IF(AND(#REF!&gt;=table!$E$7,#REF!&lt;=table!$F$7),1,0))</f>
        <v>#REF!</v>
      </c>
      <c r="S4914" s="5" t="e">
        <f>IF(AND(#REF!&gt;=table!$C$8,#REF!&lt;= table!$D$8),-1,IF(AND(#REF!&gt;=table!$E$8,#REF!&lt;=table!$F$8),1,0))</f>
        <v>#REF!</v>
      </c>
      <c r="T4914" s="5"/>
      <c r="U4914" s="5" t="e">
        <f>IF(AND(#REF!&gt;=table!$C$10,#REF!&lt;= table!$D$10),-1,IF(AND(#REF!&gt;=table!$E$10,#REF!&lt;=table!$F$10),1,0))</f>
        <v>#REF!</v>
      </c>
      <c r="V4914" s="5" t="e">
        <f>IF(AND(#REF!&gt;=table!$C$11,#REF!&lt;= table!$D$11),-1,IF(AND(#REF!&gt;=table!$E$11,#REF!&lt;=table!$F$11),1,0))</f>
        <v>#REF!</v>
      </c>
      <c r="W4914" s="5" t="e">
        <f>CONCATENATE(dados[[#This Row],[fator1]],dados[[#This Row],[fator5]],dados[[#This Row],[fator6]])</f>
        <v>#REF!</v>
      </c>
    </row>
    <row r="4915" spans="1:23">
      <c r="A4915" t="s">
        <v>16</v>
      </c>
      <c r="B4915">
        <v>591405</v>
      </c>
      <c r="C4915">
        <v>12</v>
      </c>
      <c r="D4915">
        <v>35</v>
      </c>
      <c r="E4915">
        <v>86</v>
      </c>
      <c r="F4915">
        <v>10</v>
      </c>
      <c r="G4915">
        <v>0</v>
      </c>
      <c r="H4915">
        <v>25</v>
      </c>
      <c r="I4915">
        <v>0</v>
      </c>
      <c r="J4915">
        <v>0</v>
      </c>
      <c r="K4915">
        <v>4.1185</v>
      </c>
      <c r="L4915">
        <v>8.2725000000000009</v>
      </c>
      <c r="M4915">
        <v>54.781000000000006</v>
      </c>
      <c r="N4915">
        <v>11.52</v>
      </c>
      <c r="O4915">
        <v>1667</v>
      </c>
      <c r="P4915">
        <v>803</v>
      </c>
      <c r="Q4915" s="5" t="e">
        <f>IF(AND(#REF!&gt;=table!$C$6,#REF!&lt;= table!$D$6),-1,IF(AND(#REF!&gt;=table!$E$6,#REF!&lt;=table!$F$6),1,0))</f>
        <v>#REF!</v>
      </c>
      <c r="R4915" s="5" t="e">
        <f>IF(AND(#REF!&gt;=table!$C$7,#REF!&lt;= table!$D$7),-1,IF(AND(#REF!&gt;=table!$E$7,#REF!&lt;=table!$F$7),1,0))</f>
        <v>#REF!</v>
      </c>
      <c r="S4915" s="5" t="e">
        <f>IF(AND(#REF!&gt;=table!$C$8,#REF!&lt;= table!$D$8),-1,IF(AND(#REF!&gt;=table!$E$8,#REF!&lt;=table!$F$8),1,0))</f>
        <v>#REF!</v>
      </c>
      <c r="T4915" s="5"/>
      <c r="U4915" s="5" t="e">
        <f>IF(AND(#REF!&gt;=table!$C$10,#REF!&lt;= table!$D$10),-1,IF(AND(#REF!&gt;=table!$E$10,#REF!&lt;=table!$F$10),1,0))</f>
        <v>#REF!</v>
      </c>
      <c r="V4915" s="5" t="e">
        <f>IF(AND(#REF!&gt;=table!$C$11,#REF!&lt;= table!$D$11),-1,IF(AND(#REF!&gt;=table!$E$11,#REF!&lt;=table!$F$11),1,0))</f>
        <v>#REF!</v>
      </c>
      <c r="W4915" s="5" t="e">
        <f>CONCATENATE(dados[[#This Row],[fator1]],dados[[#This Row],[fator5]],dados[[#This Row],[fator6]])</f>
        <v>#REF!</v>
      </c>
    </row>
    <row r="4916" spans="1:23">
      <c r="A4916" t="s">
        <v>16</v>
      </c>
      <c r="B4916">
        <v>591406</v>
      </c>
      <c r="C4916">
        <v>12</v>
      </c>
      <c r="D4916">
        <v>35</v>
      </c>
      <c r="E4916">
        <v>86</v>
      </c>
      <c r="F4916">
        <v>10</v>
      </c>
      <c r="G4916">
        <v>0</v>
      </c>
      <c r="H4916">
        <v>25</v>
      </c>
      <c r="I4916">
        <v>2</v>
      </c>
      <c r="J4916">
        <v>580</v>
      </c>
      <c r="K4916">
        <v>5.9824999999999999</v>
      </c>
      <c r="L4916">
        <v>7.5385</v>
      </c>
      <c r="M4916">
        <v>54.781000000000006</v>
      </c>
      <c r="N4916">
        <v>11.52</v>
      </c>
      <c r="O4916">
        <v>1654</v>
      </c>
      <c r="P4916">
        <v>0</v>
      </c>
      <c r="Q4916" s="5" t="e">
        <f>IF(AND(#REF!&gt;=table!$C$6,#REF!&lt;= table!$D$6),-1,IF(AND(#REF!&gt;=table!$E$6,#REF!&lt;=table!$F$6),1,0))</f>
        <v>#REF!</v>
      </c>
      <c r="R4916" s="5" t="e">
        <f>IF(AND(#REF!&gt;=table!$C$7,#REF!&lt;= table!$D$7),-1,IF(AND(#REF!&gt;=table!$E$7,#REF!&lt;=table!$F$7),1,0))</f>
        <v>#REF!</v>
      </c>
      <c r="S4916" s="5" t="e">
        <f>IF(AND(#REF!&gt;=table!$C$8,#REF!&lt;= table!$D$8),-1,IF(AND(#REF!&gt;=table!$E$8,#REF!&lt;=table!$F$8),1,0))</f>
        <v>#REF!</v>
      </c>
      <c r="T4916" s="5"/>
      <c r="U4916" s="5" t="e">
        <f>IF(AND(#REF!&gt;=table!$C$10,#REF!&lt;= table!$D$10),-1,IF(AND(#REF!&gt;=table!$E$10,#REF!&lt;=table!$F$10),1,0))</f>
        <v>#REF!</v>
      </c>
      <c r="V4916" s="5" t="e">
        <f>IF(AND(#REF!&gt;=table!$C$11,#REF!&lt;= table!$D$11),-1,IF(AND(#REF!&gt;=table!$E$11,#REF!&lt;=table!$F$11),1,0))</f>
        <v>#REF!</v>
      </c>
      <c r="W4916" s="5" t="e">
        <f>CONCATENATE(dados[[#This Row],[fator1]],dados[[#This Row],[fator5]],dados[[#This Row],[fator6]])</f>
        <v>#REF!</v>
      </c>
    </row>
    <row r="4917" spans="1:23">
      <c r="A4917" t="s">
        <v>16</v>
      </c>
      <c r="B4917">
        <v>591407</v>
      </c>
      <c r="C4917">
        <v>12</v>
      </c>
      <c r="D4917">
        <v>35</v>
      </c>
      <c r="E4917">
        <v>86</v>
      </c>
      <c r="F4917">
        <v>10</v>
      </c>
      <c r="G4917">
        <v>0</v>
      </c>
      <c r="H4917">
        <v>25</v>
      </c>
      <c r="I4917">
        <v>3</v>
      </c>
      <c r="J4917">
        <v>0</v>
      </c>
      <c r="K4917">
        <v>4.4660000000000002</v>
      </c>
      <c r="L4917">
        <v>9.4745000000000008</v>
      </c>
      <c r="M4917">
        <v>86.624499999999998</v>
      </c>
      <c r="N4917">
        <v>20.5</v>
      </c>
      <c r="O4917">
        <v>1703</v>
      </c>
      <c r="P4917">
        <v>950</v>
      </c>
      <c r="Q4917" s="5" t="e">
        <f>IF(AND(#REF!&gt;=table!$C$6,#REF!&lt;= table!$D$6),-1,IF(AND(#REF!&gt;=table!$E$6,#REF!&lt;=table!$F$6),1,0))</f>
        <v>#REF!</v>
      </c>
      <c r="R4917" s="5" t="e">
        <f>IF(AND(#REF!&gt;=table!$C$7,#REF!&lt;= table!$D$7),-1,IF(AND(#REF!&gt;=table!$E$7,#REF!&lt;=table!$F$7),1,0))</f>
        <v>#REF!</v>
      </c>
      <c r="S4917" s="5" t="e">
        <f>IF(AND(#REF!&gt;=table!$C$8,#REF!&lt;= table!$D$8),-1,IF(AND(#REF!&gt;=table!$E$8,#REF!&lt;=table!$F$8),1,0))</f>
        <v>#REF!</v>
      </c>
      <c r="T4917" s="5"/>
      <c r="U4917" s="5" t="e">
        <f>IF(AND(#REF!&gt;=table!$C$10,#REF!&lt;= table!$D$10),-1,IF(AND(#REF!&gt;=table!$E$10,#REF!&lt;=table!$F$10),1,0))</f>
        <v>#REF!</v>
      </c>
      <c r="V4917" s="5" t="e">
        <f>IF(AND(#REF!&gt;=table!$C$11,#REF!&lt;= table!$D$11),-1,IF(AND(#REF!&gt;=table!$E$11,#REF!&lt;=table!$F$11),1,0))</f>
        <v>#REF!</v>
      </c>
      <c r="W4917" s="5" t="e">
        <f>CONCATENATE(dados[[#This Row],[fator1]],dados[[#This Row],[fator5]],dados[[#This Row],[fator6]])</f>
        <v>#REF!</v>
      </c>
    </row>
    <row r="4918" spans="1:23">
      <c r="A4918" t="s">
        <v>16</v>
      </c>
      <c r="B4918">
        <v>591408</v>
      </c>
      <c r="C4918">
        <v>12</v>
      </c>
      <c r="D4918">
        <v>35</v>
      </c>
      <c r="E4918">
        <v>86</v>
      </c>
      <c r="F4918">
        <v>8</v>
      </c>
      <c r="G4918">
        <v>0</v>
      </c>
      <c r="H4918">
        <v>25</v>
      </c>
      <c r="I4918">
        <v>2</v>
      </c>
      <c r="J4918">
        <v>0</v>
      </c>
      <c r="K4918">
        <v>0.38100000000000001</v>
      </c>
      <c r="L4918">
        <v>10.086500000000001</v>
      </c>
      <c r="M4918">
        <v>74.119500000000002</v>
      </c>
      <c r="N4918">
        <v>18.97</v>
      </c>
      <c r="O4918">
        <v>1696</v>
      </c>
      <c r="P4918">
        <v>1041</v>
      </c>
      <c r="Q4918" s="5" t="e">
        <f>IF(AND(#REF!&gt;=table!$C$6,#REF!&lt;= table!$D$6),-1,IF(AND(#REF!&gt;=table!$E$6,#REF!&lt;=table!$F$6),1,0))</f>
        <v>#REF!</v>
      </c>
      <c r="R4918" s="5" t="e">
        <f>IF(AND(#REF!&gt;=table!$C$7,#REF!&lt;= table!$D$7),-1,IF(AND(#REF!&gt;=table!$E$7,#REF!&lt;=table!$F$7),1,0))</f>
        <v>#REF!</v>
      </c>
      <c r="S4918" s="5" t="e">
        <f>IF(AND(#REF!&gt;=table!$C$8,#REF!&lt;= table!$D$8),-1,IF(AND(#REF!&gt;=table!$E$8,#REF!&lt;=table!$F$8),1,0))</f>
        <v>#REF!</v>
      </c>
      <c r="T4918" s="5"/>
      <c r="U4918" s="5" t="e">
        <f>IF(AND(#REF!&gt;=table!$C$10,#REF!&lt;= table!$D$10),-1,IF(AND(#REF!&gt;=table!$E$10,#REF!&lt;=table!$F$10),1,0))</f>
        <v>#REF!</v>
      </c>
      <c r="V4918" s="5" t="e">
        <f>IF(AND(#REF!&gt;=table!$C$11,#REF!&lt;= table!$D$11),-1,IF(AND(#REF!&gt;=table!$E$11,#REF!&lt;=table!$F$11),1,0))</f>
        <v>#REF!</v>
      </c>
      <c r="W4918" s="5" t="e">
        <f>CONCATENATE(dados[[#This Row],[fator1]],dados[[#This Row],[fator5]],dados[[#This Row],[fator6]])</f>
        <v>#REF!</v>
      </c>
    </row>
    <row r="4919" spans="1:23">
      <c r="A4919" t="s">
        <v>16</v>
      </c>
      <c r="B4919">
        <v>591410</v>
      </c>
      <c r="C4919">
        <v>0.15</v>
      </c>
      <c r="D4919">
        <v>40</v>
      </c>
      <c r="E4919">
        <v>10</v>
      </c>
      <c r="F4919">
        <v>15</v>
      </c>
      <c r="G4919">
        <v>0</v>
      </c>
      <c r="H4919">
        <v>15</v>
      </c>
      <c r="I4919">
        <v>37</v>
      </c>
      <c r="J4919">
        <v>0</v>
      </c>
      <c r="K4919">
        <v>3.6435</v>
      </c>
      <c r="L4919">
        <v>7.7785000000000002</v>
      </c>
      <c r="M4919">
        <v>7.4860000000000007</v>
      </c>
      <c r="N4919">
        <v>13.66</v>
      </c>
      <c r="O4919">
        <v>1671</v>
      </c>
      <c r="P4919">
        <v>1052</v>
      </c>
      <c r="Q4919" s="5" t="e">
        <f>IF(AND(#REF!&gt;=table!$C$6,#REF!&lt;= table!$D$6),-1,IF(AND(#REF!&gt;=table!$E$6,#REF!&lt;=table!$F$6),1,0))</f>
        <v>#REF!</v>
      </c>
      <c r="R4919" s="5" t="e">
        <f>IF(AND(#REF!&gt;=table!$C$7,#REF!&lt;= table!$D$7),-1,IF(AND(#REF!&gt;=table!$E$7,#REF!&lt;=table!$F$7),1,0))</f>
        <v>#REF!</v>
      </c>
      <c r="S4919" s="5" t="e">
        <f>IF(AND(#REF!&gt;=table!$C$8,#REF!&lt;= table!$D$8),-1,IF(AND(#REF!&gt;=table!$E$8,#REF!&lt;=table!$F$8),1,0))</f>
        <v>#REF!</v>
      </c>
      <c r="T4919" s="5"/>
      <c r="U4919" s="5" t="e">
        <f>IF(AND(#REF!&gt;=table!$C$10,#REF!&lt;= table!$D$10),-1,IF(AND(#REF!&gt;=table!$E$10,#REF!&lt;=table!$F$10),1,0))</f>
        <v>#REF!</v>
      </c>
      <c r="V4919" s="5" t="e">
        <f>IF(AND(#REF!&gt;=table!$C$11,#REF!&lt;= table!$D$11),-1,IF(AND(#REF!&gt;=table!$E$11,#REF!&lt;=table!$F$11),1,0))</f>
        <v>#REF!</v>
      </c>
      <c r="W4919" s="5" t="e">
        <f>CONCATENATE(dados[[#This Row],[fator1]],dados[[#This Row],[fator5]],dados[[#This Row],[fator6]])</f>
        <v>#REF!</v>
      </c>
    </row>
    <row r="4920" spans="1:23">
      <c r="A4920" t="s">
        <v>16</v>
      </c>
      <c r="B4920">
        <v>591411</v>
      </c>
      <c r="C4920">
        <v>0.15</v>
      </c>
      <c r="D4920">
        <v>40</v>
      </c>
      <c r="E4920">
        <v>10</v>
      </c>
      <c r="F4920">
        <v>15</v>
      </c>
      <c r="G4920">
        <v>0</v>
      </c>
      <c r="H4920">
        <v>15</v>
      </c>
      <c r="I4920">
        <v>1</v>
      </c>
      <c r="J4920">
        <v>0</v>
      </c>
      <c r="K4920">
        <v>3.6435</v>
      </c>
      <c r="L4920">
        <v>7.7785000000000002</v>
      </c>
      <c r="M4920">
        <v>6.6710000000000003</v>
      </c>
      <c r="N4920">
        <v>12.365</v>
      </c>
      <c r="O4920">
        <v>1687</v>
      </c>
      <c r="P4920">
        <v>1060</v>
      </c>
      <c r="Q4920" s="5" t="e">
        <f>IF(AND(#REF!&gt;=table!$C$6,#REF!&lt;= table!$D$6),-1,IF(AND(#REF!&gt;=table!$E$6,#REF!&lt;=table!$F$6),1,0))</f>
        <v>#REF!</v>
      </c>
      <c r="R4920" s="5" t="e">
        <f>IF(AND(#REF!&gt;=table!$C$7,#REF!&lt;= table!$D$7),-1,IF(AND(#REF!&gt;=table!$E$7,#REF!&lt;=table!$F$7),1,0))</f>
        <v>#REF!</v>
      </c>
      <c r="S4920" s="5" t="e">
        <f>IF(AND(#REF!&gt;=table!$C$8,#REF!&lt;= table!$D$8),-1,IF(AND(#REF!&gt;=table!$E$8,#REF!&lt;=table!$F$8),1,0))</f>
        <v>#REF!</v>
      </c>
      <c r="T4920" s="5"/>
      <c r="U4920" s="5" t="e">
        <f>IF(AND(#REF!&gt;=table!$C$10,#REF!&lt;= table!$D$10),-1,IF(AND(#REF!&gt;=table!$E$10,#REF!&lt;=table!$F$10),1,0))</f>
        <v>#REF!</v>
      </c>
      <c r="V4920" s="5" t="e">
        <f>IF(AND(#REF!&gt;=table!$C$11,#REF!&lt;= table!$D$11),-1,IF(AND(#REF!&gt;=table!$E$11,#REF!&lt;=table!$F$11),1,0))</f>
        <v>#REF!</v>
      </c>
      <c r="W4920" s="5" t="e">
        <f>CONCATENATE(dados[[#This Row],[fator1]],dados[[#This Row],[fator5]],dados[[#This Row],[fator6]])</f>
        <v>#REF!</v>
      </c>
    </row>
    <row r="4921" spans="1:23">
      <c r="A4921" t="s">
        <v>16</v>
      </c>
      <c r="B4921">
        <v>591412</v>
      </c>
      <c r="C4921">
        <v>12</v>
      </c>
      <c r="D4921">
        <v>35</v>
      </c>
      <c r="E4921">
        <v>86</v>
      </c>
      <c r="F4921">
        <v>10</v>
      </c>
      <c r="G4921">
        <v>0</v>
      </c>
      <c r="H4921">
        <v>25</v>
      </c>
      <c r="I4921">
        <v>1136</v>
      </c>
      <c r="J4921">
        <v>0</v>
      </c>
      <c r="K4921">
        <v>6.2140000000000004</v>
      </c>
      <c r="L4921">
        <v>12.882000000000001</v>
      </c>
      <c r="M4921">
        <v>60.587000000000003</v>
      </c>
      <c r="N4921">
        <v>18.975000000000001</v>
      </c>
      <c r="O4921">
        <v>1671</v>
      </c>
      <c r="P4921">
        <v>616</v>
      </c>
      <c r="Q4921" s="5" t="e">
        <f>IF(AND(#REF!&gt;=table!$C$6,#REF!&lt;= table!$D$6),-1,IF(AND(#REF!&gt;=table!$E$6,#REF!&lt;=table!$F$6),1,0))</f>
        <v>#REF!</v>
      </c>
      <c r="R4921" s="5" t="e">
        <f>IF(AND(#REF!&gt;=table!$C$7,#REF!&lt;= table!$D$7),-1,IF(AND(#REF!&gt;=table!$E$7,#REF!&lt;=table!$F$7),1,0))</f>
        <v>#REF!</v>
      </c>
      <c r="S4921" s="5" t="e">
        <f>IF(AND(#REF!&gt;=table!$C$8,#REF!&lt;= table!$D$8),-1,IF(AND(#REF!&gt;=table!$E$8,#REF!&lt;=table!$F$8),1,0))</f>
        <v>#REF!</v>
      </c>
      <c r="T4921" s="5"/>
      <c r="U4921" s="5" t="e">
        <f>IF(AND(#REF!&gt;=table!$C$10,#REF!&lt;= table!$D$10),-1,IF(AND(#REF!&gt;=table!$E$10,#REF!&lt;=table!$F$10),1,0))</f>
        <v>#REF!</v>
      </c>
      <c r="V4921" s="5" t="e">
        <f>IF(AND(#REF!&gt;=table!$C$11,#REF!&lt;= table!$D$11),-1,IF(AND(#REF!&gt;=table!$E$11,#REF!&lt;=table!$F$11),1,0))</f>
        <v>#REF!</v>
      </c>
      <c r="W4921" s="5" t="e">
        <f>CONCATENATE(dados[[#This Row],[fator1]],dados[[#This Row],[fator5]],dados[[#This Row],[fator6]])</f>
        <v>#REF!</v>
      </c>
    </row>
    <row r="4922" spans="1:23">
      <c r="A4922" t="s">
        <v>16</v>
      </c>
      <c r="B4922">
        <v>591415</v>
      </c>
      <c r="C4922">
        <v>12</v>
      </c>
      <c r="D4922">
        <v>35</v>
      </c>
      <c r="E4922">
        <v>86</v>
      </c>
      <c r="F4922">
        <v>10</v>
      </c>
      <c r="G4922">
        <v>0</v>
      </c>
      <c r="H4922">
        <v>25</v>
      </c>
      <c r="I4922">
        <v>16</v>
      </c>
      <c r="J4922">
        <v>0</v>
      </c>
      <c r="K4922">
        <v>8.5980000000000008</v>
      </c>
      <c r="L4922">
        <v>14.3315</v>
      </c>
      <c r="M4922">
        <v>47.911999999999999</v>
      </c>
      <c r="N4922">
        <v>16.88</v>
      </c>
      <c r="O4922">
        <v>1668</v>
      </c>
      <c r="P4922">
        <v>365</v>
      </c>
      <c r="Q4922" s="5" t="e">
        <f>IF(AND(#REF!&gt;=table!$C$6,#REF!&lt;= table!$D$6),-1,IF(AND(#REF!&gt;=table!$E$6,#REF!&lt;=table!$F$6),1,0))</f>
        <v>#REF!</v>
      </c>
      <c r="R4922" s="5" t="e">
        <f>IF(AND(#REF!&gt;=table!$C$7,#REF!&lt;= table!$D$7),-1,IF(AND(#REF!&gt;=table!$E$7,#REF!&lt;=table!$F$7),1,0))</f>
        <v>#REF!</v>
      </c>
      <c r="S4922" s="5" t="e">
        <f>IF(AND(#REF!&gt;=table!$C$8,#REF!&lt;= table!$D$8),-1,IF(AND(#REF!&gt;=table!$E$8,#REF!&lt;=table!$F$8),1,0))</f>
        <v>#REF!</v>
      </c>
      <c r="T4922" s="5"/>
      <c r="U4922" s="5" t="e">
        <f>IF(AND(#REF!&gt;=table!$C$10,#REF!&lt;= table!$D$10),-1,IF(AND(#REF!&gt;=table!$E$10,#REF!&lt;=table!$F$10),1,0))</f>
        <v>#REF!</v>
      </c>
      <c r="V4922" s="5" t="e">
        <f>IF(AND(#REF!&gt;=table!$C$11,#REF!&lt;= table!$D$11),-1,IF(AND(#REF!&gt;=table!$E$11,#REF!&lt;=table!$F$11),1,0))</f>
        <v>#REF!</v>
      </c>
      <c r="W4922" s="5" t="e">
        <f>CONCATENATE(dados[[#This Row],[fator1]],dados[[#This Row],[fator5]],dados[[#This Row],[fator6]])</f>
        <v>#REF!</v>
      </c>
    </row>
    <row r="4923" spans="1:23">
      <c r="A4923" t="s">
        <v>16</v>
      </c>
      <c r="B4923">
        <v>591416</v>
      </c>
      <c r="C4923">
        <v>12</v>
      </c>
      <c r="D4923">
        <v>35</v>
      </c>
      <c r="E4923">
        <v>86</v>
      </c>
      <c r="F4923">
        <v>10</v>
      </c>
      <c r="G4923">
        <v>0</v>
      </c>
      <c r="H4923">
        <v>25</v>
      </c>
      <c r="I4923">
        <v>1930</v>
      </c>
      <c r="J4923">
        <v>0</v>
      </c>
      <c r="K4923">
        <v>3.4105000000000003</v>
      </c>
      <c r="L4923">
        <v>7.3760000000000003</v>
      </c>
      <c r="M4923">
        <v>65.136499999999998</v>
      </c>
      <c r="N4923">
        <v>14.63</v>
      </c>
      <c r="O4923">
        <v>1662</v>
      </c>
      <c r="P4923">
        <v>0</v>
      </c>
      <c r="Q4923" s="5" t="e">
        <f>IF(AND(#REF!&gt;=table!$C$6,#REF!&lt;= table!$D$6),-1,IF(AND(#REF!&gt;=table!$E$6,#REF!&lt;=table!$F$6),1,0))</f>
        <v>#REF!</v>
      </c>
      <c r="R4923" s="5" t="e">
        <f>IF(AND(#REF!&gt;=table!$C$7,#REF!&lt;= table!$D$7),-1,IF(AND(#REF!&gt;=table!$E$7,#REF!&lt;=table!$F$7),1,0))</f>
        <v>#REF!</v>
      </c>
      <c r="S4923" s="5" t="e">
        <f>IF(AND(#REF!&gt;=table!$C$8,#REF!&lt;= table!$D$8),-1,IF(AND(#REF!&gt;=table!$E$8,#REF!&lt;=table!$F$8),1,0))</f>
        <v>#REF!</v>
      </c>
      <c r="T4923" s="5"/>
      <c r="U4923" s="5" t="e">
        <f>IF(AND(#REF!&gt;=table!$C$10,#REF!&lt;= table!$D$10),-1,IF(AND(#REF!&gt;=table!$E$10,#REF!&lt;=table!$F$10),1,0))</f>
        <v>#REF!</v>
      </c>
      <c r="V4923" s="5" t="e">
        <f>IF(AND(#REF!&gt;=table!$C$11,#REF!&lt;= table!$D$11),-1,IF(AND(#REF!&gt;=table!$E$11,#REF!&lt;=table!$F$11),1,0))</f>
        <v>#REF!</v>
      </c>
      <c r="W4923" s="5" t="e">
        <f>CONCATENATE(dados[[#This Row],[fator1]],dados[[#This Row],[fator5]],dados[[#This Row],[fator6]])</f>
        <v>#REF!</v>
      </c>
    </row>
    <row r="4924" spans="1:23">
      <c r="A4924" t="s">
        <v>18</v>
      </c>
      <c r="B4924">
        <v>591421</v>
      </c>
      <c r="C4924">
        <v>11</v>
      </c>
      <c r="D4924">
        <v>3</v>
      </c>
      <c r="E4924">
        <v>36</v>
      </c>
      <c r="F4924">
        <v>10</v>
      </c>
      <c r="G4924">
        <v>22</v>
      </c>
      <c r="H4924">
        <v>25</v>
      </c>
      <c r="I4924">
        <v>802</v>
      </c>
      <c r="J4924">
        <v>0</v>
      </c>
      <c r="K4924">
        <v>5.5594999999999999</v>
      </c>
      <c r="L4924">
        <v>13.172000000000001</v>
      </c>
      <c r="M4924">
        <v>25.566500000000001</v>
      </c>
      <c r="N4924">
        <v>18.87</v>
      </c>
      <c r="O4924">
        <v>1681</v>
      </c>
      <c r="P4924">
        <v>528</v>
      </c>
      <c r="Q4924" s="5" t="e">
        <f>IF(AND(#REF!&gt;=table!$C$6,#REF!&lt;= table!$D$6),-1,IF(AND(#REF!&gt;=table!$E$6,#REF!&lt;=table!$F$6),1,0))</f>
        <v>#REF!</v>
      </c>
      <c r="R4924" s="5" t="e">
        <f>IF(AND(#REF!&gt;=table!$C$7,#REF!&lt;= table!$D$7),-1,IF(AND(#REF!&gt;=table!$E$7,#REF!&lt;=table!$F$7),1,0))</f>
        <v>#REF!</v>
      </c>
      <c r="S4924" s="5" t="e">
        <f>IF(AND(#REF!&gt;=table!$C$8,#REF!&lt;= table!$D$8),-1,IF(AND(#REF!&gt;=table!$E$8,#REF!&lt;=table!$F$8),1,0))</f>
        <v>#REF!</v>
      </c>
      <c r="T4924" s="5"/>
      <c r="U4924" s="5" t="e">
        <f>IF(AND(#REF!&gt;=table!$C$10,#REF!&lt;= table!$D$10),-1,IF(AND(#REF!&gt;=table!$E$10,#REF!&lt;=table!$F$10),1,0))</f>
        <v>#REF!</v>
      </c>
      <c r="V4924" s="5" t="e">
        <f>IF(AND(#REF!&gt;=table!$C$11,#REF!&lt;= table!$D$11),-1,IF(AND(#REF!&gt;=table!$E$11,#REF!&lt;=table!$F$11),1,0))</f>
        <v>#REF!</v>
      </c>
      <c r="W4924" s="5" t="e">
        <f>CONCATENATE(dados[[#This Row],[fator1]],dados[[#This Row],[fator5]],dados[[#This Row],[fator6]])</f>
        <v>#REF!</v>
      </c>
    </row>
    <row r="4925" spans="1:23">
      <c r="A4925" t="s">
        <v>16</v>
      </c>
      <c r="B4925">
        <v>591422</v>
      </c>
      <c r="C4925">
        <v>7</v>
      </c>
      <c r="D4925">
        <v>33</v>
      </c>
      <c r="E4925">
        <v>153</v>
      </c>
      <c r="F4925">
        <v>4</v>
      </c>
      <c r="G4925">
        <v>0</v>
      </c>
      <c r="H4925">
        <v>25</v>
      </c>
      <c r="I4925">
        <v>41</v>
      </c>
      <c r="J4925">
        <v>510</v>
      </c>
      <c r="K4925">
        <v>4.8140000000000001</v>
      </c>
      <c r="L4925">
        <v>11.657</v>
      </c>
      <c r="M4925">
        <v>92.19</v>
      </c>
      <c r="N4925">
        <v>18.47</v>
      </c>
      <c r="O4925">
        <v>1677</v>
      </c>
      <c r="P4925">
        <v>0</v>
      </c>
      <c r="Q4925" s="5" t="e">
        <f>IF(AND(#REF!&gt;=table!$C$6,#REF!&lt;= table!$D$6),-1,IF(AND(#REF!&gt;=table!$E$6,#REF!&lt;=table!$F$6),1,0))</f>
        <v>#REF!</v>
      </c>
      <c r="R4925" s="5" t="e">
        <f>IF(AND(#REF!&gt;=table!$C$7,#REF!&lt;= table!$D$7),-1,IF(AND(#REF!&gt;=table!$E$7,#REF!&lt;=table!$F$7),1,0))</f>
        <v>#REF!</v>
      </c>
      <c r="S4925" s="5" t="e">
        <f>IF(AND(#REF!&gt;=table!$C$8,#REF!&lt;= table!$D$8),-1,IF(AND(#REF!&gt;=table!$E$8,#REF!&lt;=table!$F$8),1,0))</f>
        <v>#REF!</v>
      </c>
      <c r="T4925" s="5"/>
      <c r="U4925" s="5" t="e">
        <f>IF(AND(#REF!&gt;=table!$C$10,#REF!&lt;= table!$D$10),-1,IF(AND(#REF!&gt;=table!$E$10,#REF!&lt;=table!$F$10),1,0))</f>
        <v>#REF!</v>
      </c>
      <c r="V4925" s="5" t="e">
        <f>IF(AND(#REF!&gt;=table!$C$11,#REF!&lt;= table!$D$11),-1,IF(AND(#REF!&gt;=table!$E$11,#REF!&lt;=table!$F$11),1,0))</f>
        <v>#REF!</v>
      </c>
      <c r="W4925" s="5" t="e">
        <f>CONCATENATE(dados[[#This Row],[fator1]],dados[[#This Row],[fator5]],dados[[#This Row],[fator6]])</f>
        <v>#REF!</v>
      </c>
    </row>
    <row r="4926" spans="1:23">
      <c r="A4926" t="s">
        <v>16</v>
      </c>
      <c r="B4926">
        <v>591424</v>
      </c>
      <c r="C4926">
        <v>7</v>
      </c>
      <c r="D4926">
        <v>33</v>
      </c>
      <c r="E4926">
        <v>153</v>
      </c>
      <c r="F4926">
        <v>4</v>
      </c>
      <c r="G4926">
        <v>0</v>
      </c>
      <c r="H4926">
        <v>25</v>
      </c>
      <c r="I4926">
        <v>834</v>
      </c>
      <c r="J4926">
        <v>0</v>
      </c>
      <c r="K4926">
        <v>3.5860000000000003</v>
      </c>
      <c r="L4926">
        <v>7.093</v>
      </c>
      <c r="M4926">
        <v>86.926500000000004</v>
      </c>
      <c r="N4926">
        <v>14.815000000000001</v>
      </c>
      <c r="O4926">
        <v>1682</v>
      </c>
      <c r="P4926">
        <v>1207</v>
      </c>
      <c r="Q4926" s="5" t="e">
        <f>IF(AND(#REF!&gt;=table!$C$6,#REF!&lt;= table!$D$6),-1,IF(AND(#REF!&gt;=table!$E$6,#REF!&lt;=table!$F$6),1,0))</f>
        <v>#REF!</v>
      </c>
      <c r="R4926" s="5" t="e">
        <f>IF(AND(#REF!&gt;=table!$C$7,#REF!&lt;= table!$D$7),-1,IF(AND(#REF!&gt;=table!$E$7,#REF!&lt;=table!$F$7),1,0))</f>
        <v>#REF!</v>
      </c>
      <c r="S4926" s="5" t="e">
        <f>IF(AND(#REF!&gt;=table!$C$8,#REF!&lt;= table!$D$8),-1,IF(AND(#REF!&gt;=table!$E$8,#REF!&lt;=table!$F$8),1,0))</f>
        <v>#REF!</v>
      </c>
      <c r="T4926" s="5"/>
      <c r="U4926" s="5" t="e">
        <f>IF(AND(#REF!&gt;=table!$C$10,#REF!&lt;= table!$D$10),-1,IF(AND(#REF!&gt;=table!$E$10,#REF!&lt;=table!$F$10),1,0))</f>
        <v>#REF!</v>
      </c>
      <c r="V4926" s="5" t="e">
        <f>IF(AND(#REF!&gt;=table!$C$11,#REF!&lt;= table!$D$11),-1,IF(AND(#REF!&gt;=table!$E$11,#REF!&lt;=table!$F$11),1,0))</f>
        <v>#REF!</v>
      </c>
      <c r="W4926" s="5" t="e">
        <f>CONCATENATE(dados[[#This Row],[fator1]],dados[[#This Row],[fator5]],dados[[#This Row],[fator6]])</f>
        <v>#REF!</v>
      </c>
    </row>
    <row r="4927" spans="1:23">
      <c r="A4927" t="s">
        <v>16</v>
      </c>
      <c r="B4927">
        <v>591425</v>
      </c>
      <c r="C4927">
        <v>9</v>
      </c>
      <c r="D4927">
        <v>33</v>
      </c>
      <c r="E4927">
        <v>153</v>
      </c>
      <c r="F4927">
        <v>4</v>
      </c>
      <c r="G4927">
        <v>0</v>
      </c>
      <c r="H4927">
        <v>25</v>
      </c>
      <c r="I4927">
        <v>1599</v>
      </c>
      <c r="J4927">
        <v>0</v>
      </c>
      <c r="K4927">
        <v>5.8915000000000006</v>
      </c>
      <c r="L4927">
        <v>7.2240000000000002</v>
      </c>
      <c r="M4927">
        <v>128.25700000000001</v>
      </c>
      <c r="N4927">
        <v>14.36</v>
      </c>
      <c r="O4927">
        <v>1680</v>
      </c>
      <c r="P4927">
        <v>0</v>
      </c>
      <c r="Q4927" s="5" t="e">
        <f>IF(AND(#REF!&gt;=table!$C$6,#REF!&lt;= table!$D$6),-1,IF(AND(#REF!&gt;=table!$E$6,#REF!&lt;=table!$F$6),1,0))</f>
        <v>#REF!</v>
      </c>
      <c r="R4927" s="5" t="e">
        <f>IF(AND(#REF!&gt;=table!$C$7,#REF!&lt;= table!$D$7),-1,IF(AND(#REF!&gt;=table!$E$7,#REF!&lt;=table!$F$7),1,0))</f>
        <v>#REF!</v>
      </c>
      <c r="S4927" s="5" t="e">
        <f>IF(AND(#REF!&gt;=table!$C$8,#REF!&lt;= table!$D$8),-1,IF(AND(#REF!&gt;=table!$E$8,#REF!&lt;=table!$F$8),1,0))</f>
        <v>#REF!</v>
      </c>
      <c r="T4927" s="5"/>
      <c r="U4927" s="5" t="e">
        <f>IF(AND(#REF!&gt;=table!$C$10,#REF!&lt;= table!$D$10),-1,IF(AND(#REF!&gt;=table!$E$10,#REF!&lt;=table!$F$10),1,0))</f>
        <v>#REF!</v>
      </c>
      <c r="V4927" s="5" t="e">
        <f>IF(AND(#REF!&gt;=table!$C$11,#REF!&lt;= table!$D$11),-1,IF(AND(#REF!&gt;=table!$E$11,#REF!&lt;=table!$F$11),1,0))</f>
        <v>#REF!</v>
      </c>
      <c r="W4927" s="5" t="e">
        <f>CONCATENATE(dados[[#This Row],[fator1]],dados[[#This Row],[fator5]],dados[[#This Row],[fator6]])</f>
        <v>#REF!</v>
      </c>
    </row>
    <row r="4928" spans="1:23">
      <c r="A4928" t="s">
        <v>16</v>
      </c>
      <c r="B4928">
        <v>591426</v>
      </c>
      <c r="C4928">
        <v>9</v>
      </c>
      <c r="D4928">
        <v>33</v>
      </c>
      <c r="E4928">
        <v>153</v>
      </c>
      <c r="F4928">
        <v>4</v>
      </c>
      <c r="G4928">
        <v>0</v>
      </c>
      <c r="H4928">
        <v>25</v>
      </c>
      <c r="I4928">
        <v>1045</v>
      </c>
      <c r="J4928">
        <v>0</v>
      </c>
      <c r="K4928">
        <v>3.3780000000000001</v>
      </c>
      <c r="L4928">
        <v>9.3094999999999999</v>
      </c>
      <c r="M4928">
        <v>85.404499999999999</v>
      </c>
      <c r="N4928">
        <v>15.36</v>
      </c>
      <c r="O4928">
        <v>1668</v>
      </c>
      <c r="P4928">
        <v>863</v>
      </c>
      <c r="Q4928" s="5" t="e">
        <f>IF(AND(#REF!&gt;=table!$C$6,#REF!&lt;= table!$D$6),-1,IF(AND(#REF!&gt;=table!$E$6,#REF!&lt;=table!$F$6),1,0))</f>
        <v>#REF!</v>
      </c>
      <c r="R4928" s="5" t="e">
        <f>IF(AND(#REF!&gt;=table!$C$7,#REF!&lt;= table!$D$7),-1,IF(AND(#REF!&gt;=table!$E$7,#REF!&lt;=table!$F$7),1,0))</f>
        <v>#REF!</v>
      </c>
      <c r="S4928" s="5" t="e">
        <f>IF(AND(#REF!&gt;=table!$C$8,#REF!&lt;= table!$D$8),-1,IF(AND(#REF!&gt;=table!$E$8,#REF!&lt;=table!$F$8),1,0))</f>
        <v>#REF!</v>
      </c>
      <c r="T4928" s="5"/>
      <c r="U4928" s="5" t="e">
        <f>IF(AND(#REF!&gt;=table!$C$10,#REF!&lt;= table!$D$10),-1,IF(AND(#REF!&gt;=table!$E$10,#REF!&lt;=table!$F$10),1,0))</f>
        <v>#REF!</v>
      </c>
      <c r="V4928" s="5" t="e">
        <f>IF(AND(#REF!&gt;=table!$C$11,#REF!&lt;= table!$D$11),-1,IF(AND(#REF!&gt;=table!$E$11,#REF!&lt;=table!$F$11),1,0))</f>
        <v>#REF!</v>
      </c>
      <c r="W4928" s="5" t="e">
        <f>CONCATENATE(dados[[#This Row],[fator1]],dados[[#This Row],[fator5]],dados[[#This Row],[fator6]])</f>
        <v>#REF!</v>
      </c>
    </row>
    <row r="4929" spans="1:23">
      <c r="A4929" t="s">
        <v>16</v>
      </c>
      <c r="B4929">
        <v>591427</v>
      </c>
      <c r="C4929">
        <v>9</v>
      </c>
      <c r="D4929">
        <v>33</v>
      </c>
      <c r="E4929">
        <v>153</v>
      </c>
      <c r="F4929">
        <v>4</v>
      </c>
      <c r="G4929">
        <v>0</v>
      </c>
      <c r="H4929">
        <v>25</v>
      </c>
      <c r="I4929">
        <v>1117</v>
      </c>
      <c r="J4929">
        <v>0</v>
      </c>
      <c r="K4929">
        <v>2.9370000000000003</v>
      </c>
      <c r="L4929">
        <v>9.5515000000000008</v>
      </c>
      <c r="M4929">
        <v>59.373000000000005</v>
      </c>
      <c r="N4929">
        <v>16.245000000000001</v>
      </c>
      <c r="O4929">
        <v>1701</v>
      </c>
      <c r="P4929">
        <v>1401</v>
      </c>
      <c r="Q4929" s="5" t="e">
        <f>IF(AND(#REF!&gt;=table!$C$6,#REF!&lt;= table!$D$6),-1,IF(AND(#REF!&gt;=table!$E$6,#REF!&lt;=table!$F$6),1,0))</f>
        <v>#REF!</v>
      </c>
      <c r="R4929" s="5" t="e">
        <f>IF(AND(#REF!&gt;=table!$C$7,#REF!&lt;= table!$D$7),-1,IF(AND(#REF!&gt;=table!$E$7,#REF!&lt;=table!$F$7),1,0))</f>
        <v>#REF!</v>
      </c>
      <c r="S4929" s="5" t="e">
        <f>IF(AND(#REF!&gt;=table!$C$8,#REF!&lt;= table!$D$8),-1,IF(AND(#REF!&gt;=table!$E$8,#REF!&lt;=table!$F$8),1,0))</f>
        <v>#REF!</v>
      </c>
      <c r="T4929" s="5"/>
      <c r="U4929" s="5" t="e">
        <f>IF(AND(#REF!&gt;=table!$C$10,#REF!&lt;= table!$D$10),-1,IF(AND(#REF!&gt;=table!$E$10,#REF!&lt;=table!$F$10),1,0))</f>
        <v>#REF!</v>
      </c>
      <c r="V4929" s="5" t="e">
        <f>IF(AND(#REF!&gt;=table!$C$11,#REF!&lt;= table!$D$11),-1,IF(AND(#REF!&gt;=table!$E$11,#REF!&lt;=table!$F$11),1,0))</f>
        <v>#REF!</v>
      </c>
      <c r="W4929" s="5" t="e">
        <f>CONCATENATE(dados[[#This Row],[fator1]],dados[[#This Row],[fator5]],dados[[#This Row],[fator6]])</f>
        <v>#REF!</v>
      </c>
    </row>
    <row r="4930" spans="1:23">
      <c r="A4930" t="s">
        <v>16</v>
      </c>
      <c r="B4930">
        <v>591458</v>
      </c>
      <c r="C4930">
        <v>0.1</v>
      </c>
      <c r="D4930">
        <v>40</v>
      </c>
      <c r="E4930">
        <v>10</v>
      </c>
      <c r="F4930">
        <v>8</v>
      </c>
      <c r="G4930">
        <v>0</v>
      </c>
      <c r="H4930">
        <v>10</v>
      </c>
      <c r="I4930">
        <v>57</v>
      </c>
      <c r="J4930">
        <v>1470</v>
      </c>
      <c r="K4930">
        <v>3.3770000000000002</v>
      </c>
      <c r="L4930">
        <v>6.0470000000000006</v>
      </c>
      <c r="M4930">
        <v>4.194</v>
      </c>
      <c r="N4930">
        <v>9.25</v>
      </c>
      <c r="O4930">
        <v>1561</v>
      </c>
      <c r="P4930">
        <v>0</v>
      </c>
      <c r="Q4930" s="5" t="e">
        <f>IF(AND(#REF!&gt;=table!$C$6,#REF!&lt;= table!$D$6),-1,IF(AND(#REF!&gt;=table!$E$6,#REF!&lt;=table!$F$6),1,0))</f>
        <v>#REF!</v>
      </c>
      <c r="R4930" s="5" t="e">
        <f>IF(AND(#REF!&gt;=table!$C$7,#REF!&lt;= table!$D$7),-1,IF(AND(#REF!&gt;=table!$E$7,#REF!&lt;=table!$F$7),1,0))</f>
        <v>#REF!</v>
      </c>
      <c r="S4930" s="5" t="e">
        <f>IF(AND(#REF!&gt;=table!$C$8,#REF!&lt;= table!$D$8),-1,IF(AND(#REF!&gt;=table!$E$8,#REF!&lt;=table!$F$8),1,0))</f>
        <v>#REF!</v>
      </c>
      <c r="T4930" s="5"/>
      <c r="U4930" s="5" t="e">
        <f>IF(AND(#REF!&gt;=table!$C$10,#REF!&lt;= table!$D$10),-1,IF(AND(#REF!&gt;=table!$E$10,#REF!&lt;=table!$F$10),1,0))</f>
        <v>#REF!</v>
      </c>
      <c r="V4930" s="5" t="e">
        <f>IF(AND(#REF!&gt;=table!$C$11,#REF!&lt;= table!$D$11),-1,IF(AND(#REF!&gt;=table!$E$11,#REF!&lt;=table!$F$11),1,0))</f>
        <v>#REF!</v>
      </c>
      <c r="W4930" s="5" t="e">
        <f>CONCATENATE(dados[[#This Row],[fator1]],dados[[#This Row],[fator5]],dados[[#This Row],[fator6]])</f>
        <v>#REF!</v>
      </c>
    </row>
    <row r="4931" spans="1:23">
      <c r="A4931" t="s">
        <v>16</v>
      </c>
      <c r="B4931">
        <v>591460</v>
      </c>
      <c r="C4931">
        <v>0.15</v>
      </c>
      <c r="D4931">
        <v>40</v>
      </c>
      <c r="E4931">
        <v>10</v>
      </c>
      <c r="F4931">
        <v>15</v>
      </c>
      <c r="G4931">
        <v>0</v>
      </c>
      <c r="H4931">
        <v>15</v>
      </c>
      <c r="I4931">
        <v>884</v>
      </c>
      <c r="J4931">
        <v>0</v>
      </c>
      <c r="K4931">
        <v>3.0409999999999999</v>
      </c>
      <c r="L4931">
        <v>7.5215000000000005</v>
      </c>
      <c r="M4931">
        <v>6.2445000000000004</v>
      </c>
      <c r="N4931">
        <v>12.555</v>
      </c>
      <c r="O4931">
        <v>1685</v>
      </c>
      <c r="P4931">
        <v>1220</v>
      </c>
      <c r="Q4931" s="5" t="e">
        <f>IF(AND(#REF!&gt;=table!$C$6,#REF!&lt;= table!$D$6),-1,IF(AND(#REF!&gt;=table!$E$6,#REF!&lt;=table!$F$6),1,0))</f>
        <v>#REF!</v>
      </c>
      <c r="R4931" s="5" t="e">
        <f>IF(AND(#REF!&gt;=table!$C$7,#REF!&lt;= table!$D$7),-1,IF(AND(#REF!&gt;=table!$E$7,#REF!&lt;=table!$F$7),1,0))</f>
        <v>#REF!</v>
      </c>
      <c r="S4931" s="5" t="e">
        <f>IF(AND(#REF!&gt;=table!$C$8,#REF!&lt;= table!$D$8),-1,IF(AND(#REF!&gt;=table!$E$8,#REF!&lt;=table!$F$8),1,0))</f>
        <v>#REF!</v>
      </c>
      <c r="T4931" s="5"/>
      <c r="U4931" s="5" t="e">
        <f>IF(AND(#REF!&gt;=table!$C$10,#REF!&lt;= table!$D$10),-1,IF(AND(#REF!&gt;=table!$E$10,#REF!&lt;=table!$F$10),1,0))</f>
        <v>#REF!</v>
      </c>
      <c r="V4931" s="5" t="e">
        <f>IF(AND(#REF!&gt;=table!$C$11,#REF!&lt;= table!$D$11),-1,IF(AND(#REF!&gt;=table!$E$11,#REF!&lt;=table!$F$11),1,0))</f>
        <v>#REF!</v>
      </c>
      <c r="W4931" s="5" t="e">
        <f>CONCATENATE(dados[[#This Row],[fator1]],dados[[#This Row],[fator5]],dados[[#This Row],[fator6]])</f>
        <v>#REF!</v>
      </c>
    </row>
    <row r="4932" spans="1:23">
      <c r="A4932" t="s">
        <v>17</v>
      </c>
      <c r="B4932">
        <v>591462</v>
      </c>
      <c r="C4932">
        <v>20</v>
      </c>
      <c r="D4932">
        <v>18</v>
      </c>
      <c r="E4932">
        <v>36</v>
      </c>
      <c r="F4932">
        <v>10</v>
      </c>
      <c r="G4932">
        <v>20</v>
      </c>
      <c r="H4932">
        <v>25</v>
      </c>
      <c r="I4932">
        <v>676</v>
      </c>
      <c r="J4932">
        <v>0</v>
      </c>
      <c r="K4932">
        <v>9.3315000000000001</v>
      </c>
      <c r="L4932">
        <v>9.4260000000000002</v>
      </c>
      <c r="M4932">
        <v>34.413000000000004</v>
      </c>
      <c r="N4932">
        <v>12.16</v>
      </c>
      <c r="O4932">
        <v>1668</v>
      </c>
      <c r="P4932">
        <v>382</v>
      </c>
      <c r="Q4932" s="5" t="e">
        <f>IF(AND(#REF!&gt;=table!$C$6,#REF!&lt;= table!$D$6),-1,IF(AND(#REF!&gt;=table!$E$6,#REF!&lt;=table!$F$6),1,0))</f>
        <v>#REF!</v>
      </c>
      <c r="R4932" s="5" t="e">
        <f>IF(AND(#REF!&gt;=table!$C$7,#REF!&lt;= table!$D$7),-1,IF(AND(#REF!&gt;=table!$E$7,#REF!&lt;=table!$F$7),1,0))</f>
        <v>#REF!</v>
      </c>
      <c r="S4932" s="5" t="e">
        <f>IF(AND(#REF!&gt;=table!$C$8,#REF!&lt;= table!$D$8),-1,IF(AND(#REF!&gt;=table!$E$8,#REF!&lt;=table!$F$8),1,0))</f>
        <v>#REF!</v>
      </c>
      <c r="T4932" s="5"/>
      <c r="U4932" s="5" t="e">
        <f>IF(AND(#REF!&gt;=table!$C$10,#REF!&lt;= table!$D$10),-1,IF(AND(#REF!&gt;=table!$E$10,#REF!&lt;=table!$F$10),1,0))</f>
        <v>#REF!</v>
      </c>
      <c r="V4932" s="5" t="e">
        <f>IF(AND(#REF!&gt;=table!$C$11,#REF!&lt;= table!$D$11),-1,IF(AND(#REF!&gt;=table!$E$11,#REF!&lt;=table!$F$11),1,0))</f>
        <v>#REF!</v>
      </c>
      <c r="W4932" s="5" t="e">
        <f>CONCATENATE(dados[[#This Row],[fator1]],dados[[#This Row],[fator5]],dados[[#This Row],[fator6]])</f>
        <v>#REF!</v>
      </c>
    </row>
    <row r="4933" spans="1:23">
      <c r="A4933" t="s">
        <v>17</v>
      </c>
      <c r="B4933">
        <v>591463</v>
      </c>
      <c r="C4933">
        <v>20</v>
      </c>
      <c r="D4933">
        <v>18</v>
      </c>
      <c r="E4933">
        <v>36</v>
      </c>
      <c r="F4933">
        <v>6</v>
      </c>
      <c r="G4933">
        <v>20</v>
      </c>
      <c r="H4933">
        <v>25</v>
      </c>
      <c r="I4933">
        <v>148</v>
      </c>
      <c r="J4933">
        <v>0</v>
      </c>
      <c r="K4933">
        <v>12.064500000000001</v>
      </c>
      <c r="L4933">
        <v>15.944000000000001</v>
      </c>
      <c r="M4933">
        <v>39.544000000000004</v>
      </c>
      <c r="N4933">
        <v>19.835000000000001</v>
      </c>
      <c r="O4933">
        <v>1659</v>
      </c>
      <c r="P4933">
        <v>247</v>
      </c>
      <c r="Q4933" s="5" t="e">
        <f>IF(AND(#REF!&gt;=table!$C$6,#REF!&lt;= table!$D$6),-1,IF(AND(#REF!&gt;=table!$E$6,#REF!&lt;=table!$F$6),1,0))</f>
        <v>#REF!</v>
      </c>
      <c r="R4933" s="5" t="e">
        <f>IF(AND(#REF!&gt;=table!$C$7,#REF!&lt;= table!$D$7),-1,IF(AND(#REF!&gt;=table!$E$7,#REF!&lt;=table!$F$7),1,0))</f>
        <v>#REF!</v>
      </c>
      <c r="S4933" s="5" t="e">
        <f>IF(AND(#REF!&gt;=table!$C$8,#REF!&lt;= table!$D$8),-1,IF(AND(#REF!&gt;=table!$E$8,#REF!&lt;=table!$F$8),1,0))</f>
        <v>#REF!</v>
      </c>
      <c r="T4933" s="5"/>
      <c r="U4933" s="5" t="e">
        <f>IF(AND(#REF!&gt;=table!$C$10,#REF!&lt;= table!$D$10),-1,IF(AND(#REF!&gt;=table!$E$10,#REF!&lt;=table!$F$10),1,0))</f>
        <v>#REF!</v>
      </c>
      <c r="V4933" s="5" t="e">
        <f>IF(AND(#REF!&gt;=table!$C$11,#REF!&lt;= table!$D$11),-1,IF(AND(#REF!&gt;=table!$E$11,#REF!&lt;=table!$F$11),1,0))</f>
        <v>#REF!</v>
      </c>
      <c r="W4933" s="5" t="e">
        <f>CONCATENATE(dados[[#This Row],[fator1]],dados[[#This Row],[fator5]],dados[[#This Row],[fator6]])</f>
        <v>#REF!</v>
      </c>
    </row>
    <row r="4934" spans="1:23">
      <c r="A4934" t="s">
        <v>17</v>
      </c>
      <c r="B4934">
        <v>591468</v>
      </c>
      <c r="C4934">
        <v>16</v>
      </c>
      <c r="D4934">
        <v>25</v>
      </c>
      <c r="E4934">
        <v>56</v>
      </c>
      <c r="F4934">
        <v>10</v>
      </c>
      <c r="G4934">
        <v>13</v>
      </c>
      <c r="H4934">
        <v>25</v>
      </c>
      <c r="I4934">
        <v>1156</v>
      </c>
      <c r="J4934">
        <v>0</v>
      </c>
      <c r="K4934">
        <v>7.3420000000000005</v>
      </c>
      <c r="L4934">
        <v>12.413500000000001</v>
      </c>
      <c r="M4934">
        <v>52.454000000000001</v>
      </c>
      <c r="N4934">
        <v>18.335000000000001</v>
      </c>
      <c r="O4934">
        <v>1678</v>
      </c>
      <c r="P4934">
        <v>480</v>
      </c>
      <c r="Q4934" s="5" t="e">
        <f>IF(AND(#REF!&gt;=table!$C$6,#REF!&lt;= table!$D$6),-1,IF(AND(#REF!&gt;=table!$E$6,#REF!&lt;=table!$F$6),1,0))</f>
        <v>#REF!</v>
      </c>
      <c r="R4934" s="5" t="e">
        <f>IF(AND(#REF!&gt;=table!$C$7,#REF!&lt;= table!$D$7),-1,IF(AND(#REF!&gt;=table!$E$7,#REF!&lt;=table!$F$7),1,0))</f>
        <v>#REF!</v>
      </c>
      <c r="S4934" s="5" t="e">
        <f>IF(AND(#REF!&gt;=table!$C$8,#REF!&lt;= table!$D$8),-1,IF(AND(#REF!&gt;=table!$E$8,#REF!&lt;=table!$F$8),1,0))</f>
        <v>#REF!</v>
      </c>
      <c r="T4934" s="5"/>
      <c r="U4934" s="5" t="e">
        <f>IF(AND(#REF!&gt;=table!$C$10,#REF!&lt;= table!$D$10),-1,IF(AND(#REF!&gt;=table!$E$10,#REF!&lt;=table!$F$10),1,0))</f>
        <v>#REF!</v>
      </c>
      <c r="V4934" s="5" t="e">
        <f>IF(AND(#REF!&gt;=table!$C$11,#REF!&lt;= table!$D$11),-1,IF(AND(#REF!&gt;=table!$E$11,#REF!&lt;=table!$F$11),1,0))</f>
        <v>#REF!</v>
      </c>
      <c r="W4934" s="5" t="e">
        <f>CONCATENATE(dados[[#This Row],[fator1]],dados[[#This Row],[fator5]],dados[[#This Row],[fator6]])</f>
        <v>#REF!</v>
      </c>
    </row>
    <row r="4935" spans="1:23">
      <c r="A4935" t="s">
        <v>16</v>
      </c>
      <c r="B4935">
        <v>591470</v>
      </c>
      <c r="C4935">
        <v>0.18</v>
      </c>
      <c r="D4935">
        <v>50</v>
      </c>
      <c r="E4935">
        <v>56</v>
      </c>
      <c r="F4935">
        <v>15</v>
      </c>
      <c r="G4935">
        <v>0</v>
      </c>
      <c r="H4935">
        <v>50</v>
      </c>
      <c r="I4935">
        <v>850</v>
      </c>
      <c r="J4935">
        <v>0</v>
      </c>
      <c r="K4935">
        <v>2.7110000000000003</v>
      </c>
      <c r="L4935">
        <v>6.1915000000000004</v>
      </c>
      <c r="M4935">
        <v>5.3995000000000006</v>
      </c>
      <c r="N4935">
        <v>12.58</v>
      </c>
      <c r="O4935">
        <v>1660</v>
      </c>
      <c r="P4935">
        <v>0</v>
      </c>
      <c r="Q4935" s="5" t="e">
        <f>IF(AND(#REF!&gt;=table!$C$6,#REF!&lt;= table!$D$6),-1,IF(AND(#REF!&gt;=table!$E$6,#REF!&lt;=table!$F$6),1,0))</f>
        <v>#REF!</v>
      </c>
      <c r="R4935" s="5" t="e">
        <f>IF(AND(#REF!&gt;=table!$C$7,#REF!&lt;= table!$D$7),-1,IF(AND(#REF!&gt;=table!$E$7,#REF!&lt;=table!$F$7),1,0))</f>
        <v>#REF!</v>
      </c>
      <c r="S4935" s="5" t="e">
        <f>IF(AND(#REF!&gt;=table!$C$8,#REF!&lt;= table!$D$8),-1,IF(AND(#REF!&gt;=table!$E$8,#REF!&lt;=table!$F$8),1,0))</f>
        <v>#REF!</v>
      </c>
      <c r="T4935" s="5"/>
      <c r="U4935" s="5" t="e">
        <f>IF(AND(#REF!&gt;=table!$C$10,#REF!&lt;= table!$D$10),-1,IF(AND(#REF!&gt;=table!$E$10,#REF!&lt;=table!$F$10),1,0))</f>
        <v>#REF!</v>
      </c>
      <c r="V4935" s="5" t="e">
        <f>IF(AND(#REF!&gt;=table!$C$11,#REF!&lt;= table!$D$11),-1,IF(AND(#REF!&gt;=table!$E$11,#REF!&lt;=table!$F$11),1,0))</f>
        <v>#REF!</v>
      </c>
      <c r="W4935" s="5" t="e">
        <f>CONCATENATE(dados[[#This Row],[fator1]],dados[[#This Row],[fator5]],dados[[#This Row],[fator6]])</f>
        <v>#REF!</v>
      </c>
    </row>
    <row r="4936" spans="1:23">
      <c r="A4936" t="s">
        <v>17</v>
      </c>
      <c r="B4936">
        <v>591477</v>
      </c>
      <c r="C4936">
        <v>46</v>
      </c>
      <c r="D4936">
        <v>18</v>
      </c>
      <c r="E4936">
        <v>66</v>
      </c>
      <c r="F4936">
        <v>10</v>
      </c>
      <c r="G4936">
        <v>20</v>
      </c>
      <c r="H4936">
        <v>23</v>
      </c>
      <c r="I4936">
        <v>1087</v>
      </c>
      <c r="J4936">
        <v>0</v>
      </c>
      <c r="K4936">
        <v>5.5529999999999999</v>
      </c>
      <c r="L4936">
        <v>11.221</v>
      </c>
      <c r="M4936">
        <v>49.294000000000004</v>
      </c>
      <c r="N4936">
        <v>15.925000000000001</v>
      </c>
      <c r="O4936">
        <v>1674</v>
      </c>
      <c r="P4936">
        <v>588</v>
      </c>
      <c r="Q4936" s="5" t="e">
        <f>IF(AND(#REF!&gt;=table!$C$6,#REF!&lt;= table!$D$6),-1,IF(AND(#REF!&gt;=table!$E$6,#REF!&lt;=table!$F$6),1,0))</f>
        <v>#REF!</v>
      </c>
      <c r="R4936" s="5" t="e">
        <f>IF(AND(#REF!&gt;=table!$C$7,#REF!&lt;= table!$D$7),-1,IF(AND(#REF!&gt;=table!$E$7,#REF!&lt;=table!$F$7),1,0))</f>
        <v>#REF!</v>
      </c>
      <c r="S4936" s="5" t="e">
        <f>IF(AND(#REF!&gt;=table!$C$8,#REF!&lt;= table!$D$8),-1,IF(AND(#REF!&gt;=table!$E$8,#REF!&lt;=table!$F$8),1,0))</f>
        <v>#REF!</v>
      </c>
      <c r="T4936" s="5"/>
      <c r="U4936" s="5" t="e">
        <f>IF(AND(#REF!&gt;=table!$C$10,#REF!&lt;= table!$D$10),-1,IF(AND(#REF!&gt;=table!$E$10,#REF!&lt;=table!$F$10),1,0))</f>
        <v>#REF!</v>
      </c>
      <c r="V4936" s="5" t="e">
        <f>IF(AND(#REF!&gt;=table!$C$11,#REF!&lt;= table!$D$11),-1,IF(AND(#REF!&gt;=table!$E$11,#REF!&lt;=table!$F$11),1,0))</f>
        <v>#REF!</v>
      </c>
      <c r="W4936" s="5" t="e">
        <f>CONCATENATE(dados[[#This Row],[fator1]],dados[[#This Row],[fator5]],dados[[#This Row],[fator6]])</f>
        <v>#REF!</v>
      </c>
    </row>
    <row r="4937" spans="1:23">
      <c r="A4937" t="s">
        <v>17</v>
      </c>
      <c r="B4937">
        <v>591479</v>
      </c>
      <c r="C4937">
        <v>46</v>
      </c>
      <c r="D4937">
        <v>18</v>
      </c>
      <c r="E4937">
        <v>66</v>
      </c>
      <c r="F4937">
        <v>10</v>
      </c>
      <c r="G4937">
        <v>20</v>
      </c>
      <c r="H4937">
        <v>23</v>
      </c>
      <c r="I4937">
        <v>663</v>
      </c>
      <c r="J4937">
        <v>590</v>
      </c>
      <c r="K4937">
        <v>17.384</v>
      </c>
      <c r="L4937">
        <v>17.980499999999999</v>
      </c>
      <c r="M4937">
        <v>42.223500000000001</v>
      </c>
      <c r="N4937">
        <v>17.055</v>
      </c>
      <c r="O4937">
        <v>1667</v>
      </c>
      <c r="P4937">
        <v>196</v>
      </c>
      <c r="Q4937" s="5" t="e">
        <f>IF(AND(#REF!&gt;=table!$C$6,#REF!&lt;= table!$D$6),-1,IF(AND(#REF!&gt;=table!$E$6,#REF!&lt;=table!$F$6),1,0))</f>
        <v>#REF!</v>
      </c>
      <c r="R4937" s="5" t="e">
        <f>IF(AND(#REF!&gt;=table!$C$7,#REF!&lt;= table!$D$7),-1,IF(AND(#REF!&gt;=table!$E$7,#REF!&lt;=table!$F$7),1,0))</f>
        <v>#REF!</v>
      </c>
      <c r="S4937" s="5" t="e">
        <f>IF(AND(#REF!&gt;=table!$C$8,#REF!&lt;= table!$D$8),-1,IF(AND(#REF!&gt;=table!$E$8,#REF!&lt;=table!$F$8),1,0))</f>
        <v>#REF!</v>
      </c>
      <c r="T4937" s="5"/>
      <c r="U4937" s="5" t="e">
        <f>IF(AND(#REF!&gt;=table!$C$10,#REF!&lt;= table!$D$10),-1,IF(AND(#REF!&gt;=table!$E$10,#REF!&lt;=table!$F$10),1,0))</f>
        <v>#REF!</v>
      </c>
      <c r="V4937" s="5" t="e">
        <f>IF(AND(#REF!&gt;=table!$C$11,#REF!&lt;= table!$D$11),-1,IF(AND(#REF!&gt;=table!$E$11,#REF!&lt;=table!$F$11),1,0))</f>
        <v>#REF!</v>
      </c>
      <c r="W4937" s="5" t="e">
        <f>CONCATENATE(dados[[#This Row],[fator1]],dados[[#This Row],[fator5]],dados[[#This Row],[fator6]])</f>
        <v>#REF!</v>
      </c>
    </row>
    <row r="4938" spans="1:23">
      <c r="A4938" t="s">
        <v>17</v>
      </c>
      <c r="B4938">
        <v>591489</v>
      </c>
      <c r="C4938">
        <v>16</v>
      </c>
      <c r="D4938">
        <v>30</v>
      </c>
      <c r="E4938">
        <v>126</v>
      </c>
      <c r="F4938">
        <v>9</v>
      </c>
      <c r="G4938">
        <v>20</v>
      </c>
      <c r="H4938">
        <v>25</v>
      </c>
      <c r="I4938">
        <v>898</v>
      </c>
      <c r="J4938">
        <v>0</v>
      </c>
      <c r="K4938">
        <v>2.2185000000000001</v>
      </c>
      <c r="L4938">
        <v>2.774</v>
      </c>
      <c r="M4938">
        <v>68.9495</v>
      </c>
      <c r="N4938">
        <v>20.32</v>
      </c>
      <c r="O4938">
        <v>1691</v>
      </c>
      <c r="P4938">
        <v>1794</v>
      </c>
      <c r="Q4938" s="5" t="e">
        <f>IF(AND(#REF!&gt;=table!$C$6,#REF!&lt;= table!$D$6),-1,IF(AND(#REF!&gt;=table!$E$6,#REF!&lt;=table!$F$6),1,0))</f>
        <v>#REF!</v>
      </c>
      <c r="R4938" s="5" t="e">
        <f>IF(AND(#REF!&gt;=table!$C$7,#REF!&lt;= table!$D$7),-1,IF(AND(#REF!&gt;=table!$E$7,#REF!&lt;=table!$F$7),1,0))</f>
        <v>#REF!</v>
      </c>
      <c r="S4938" s="5" t="e">
        <f>IF(AND(#REF!&gt;=table!$C$8,#REF!&lt;= table!$D$8),-1,IF(AND(#REF!&gt;=table!$E$8,#REF!&lt;=table!$F$8),1,0))</f>
        <v>#REF!</v>
      </c>
      <c r="T4938" s="5"/>
      <c r="U4938" s="5" t="e">
        <f>IF(AND(#REF!&gt;=table!$C$10,#REF!&lt;= table!$D$10),-1,IF(AND(#REF!&gt;=table!$E$10,#REF!&lt;=table!$F$10),1,0))</f>
        <v>#REF!</v>
      </c>
      <c r="V4938" s="5" t="e">
        <f>IF(AND(#REF!&gt;=table!$C$11,#REF!&lt;= table!$D$11),-1,IF(AND(#REF!&gt;=table!$E$11,#REF!&lt;=table!$F$11),1,0))</f>
        <v>#REF!</v>
      </c>
      <c r="W4938" s="5" t="e">
        <f>CONCATENATE(dados[[#This Row],[fator1]],dados[[#This Row],[fator5]],dados[[#This Row],[fator6]])</f>
        <v>#REF!</v>
      </c>
    </row>
    <row r="4939" spans="1:23">
      <c r="A4939" t="s">
        <v>17</v>
      </c>
      <c r="B4939">
        <v>591491</v>
      </c>
      <c r="C4939">
        <v>16</v>
      </c>
      <c r="D4939">
        <v>30</v>
      </c>
      <c r="E4939">
        <v>106</v>
      </c>
      <c r="F4939">
        <v>9</v>
      </c>
      <c r="G4939">
        <v>20</v>
      </c>
      <c r="H4939">
        <v>25</v>
      </c>
      <c r="I4939">
        <v>1</v>
      </c>
      <c r="J4939">
        <v>0</v>
      </c>
      <c r="K4939">
        <v>3.3375000000000004</v>
      </c>
      <c r="L4939">
        <v>8.2385000000000002</v>
      </c>
      <c r="M4939">
        <v>92.926000000000002</v>
      </c>
      <c r="N4939">
        <v>18.580000000000002</v>
      </c>
      <c r="O4939">
        <v>1684</v>
      </c>
      <c r="P4939">
        <v>1095</v>
      </c>
      <c r="Q4939" s="5" t="e">
        <f>IF(AND(#REF!&gt;=table!$C$6,#REF!&lt;= table!$D$6),-1,IF(AND(#REF!&gt;=table!$E$6,#REF!&lt;=table!$F$6),1,0))</f>
        <v>#REF!</v>
      </c>
      <c r="R4939" s="5" t="e">
        <f>IF(AND(#REF!&gt;=table!$C$7,#REF!&lt;= table!$D$7),-1,IF(AND(#REF!&gt;=table!$E$7,#REF!&lt;=table!$F$7),1,0))</f>
        <v>#REF!</v>
      </c>
      <c r="S4939" s="5" t="e">
        <f>IF(AND(#REF!&gt;=table!$C$8,#REF!&lt;= table!$D$8),-1,IF(AND(#REF!&gt;=table!$E$8,#REF!&lt;=table!$F$8),1,0))</f>
        <v>#REF!</v>
      </c>
      <c r="T4939" s="5"/>
      <c r="U4939" s="5" t="e">
        <f>IF(AND(#REF!&gt;=table!$C$10,#REF!&lt;= table!$D$10),-1,IF(AND(#REF!&gt;=table!$E$10,#REF!&lt;=table!$F$10),1,0))</f>
        <v>#REF!</v>
      </c>
      <c r="V4939" s="5" t="e">
        <f>IF(AND(#REF!&gt;=table!$C$11,#REF!&lt;= table!$D$11),-1,IF(AND(#REF!&gt;=table!$E$11,#REF!&lt;=table!$F$11),1,0))</f>
        <v>#REF!</v>
      </c>
      <c r="W4939" s="5" t="e">
        <f>CONCATENATE(dados[[#This Row],[fator1]],dados[[#This Row],[fator5]],dados[[#This Row],[fator6]])</f>
        <v>#REF!</v>
      </c>
    </row>
    <row r="4940" spans="1:23">
      <c r="A4940" t="s">
        <v>17</v>
      </c>
      <c r="B4940">
        <v>591497</v>
      </c>
      <c r="C4940">
        <v>16</v>
      </c>
      <c r="D4940">
        <v>30</v>
      </c>
      <c r="E4940">
        <v>150</v>
      </c>
      <c r="F4940">
        <v>8</v>
      </c>
      <c r="G4940">
        <v>28</v>
      </c>
      <c r="H4940">
        <v>25</v>
      </c>
      <c r="I4940">
        <v>0</v>
      </c>
      <c r="J4940">
        <v>0</v>
      </c>
      <c r="K4940">
        <v>4.1500000000000004</v>
      </c>
      <c r="L4940">
        <v>7.6095000000000006</v>
      </c>
      <c r="M4940">
        <v>120.25800000000001</v>
      </c>
      <c r="N4940">
        <v>14.52</v>
      </c>
      <c r="O4940">
        <v>1655</v>
      </c>
      <c r="P4940">
        <v>1186</v>
      </c>
      <c r="Q4940" s="5" t="e">
        <f>IF(AND(#REF!&gt;=table!$C$6,#REF!&lt;= table!$D$6),-1,IF(AND(#REF!&gt;=table!$E$6,#REF!&lt;=table!$F$6),1,0))</f>
        <v>#REF!</v>
      </c>
      <c r="R4940" s="5" t="e">
        <f>IF(AND(#REF!&gt;=table!$C$7,#REF!&lt;= table!$D$7),-1,IF(AND(#REF!&gt;=table!$E$7,#REF!&lt;=table!$F$7),1,0))</f>
        <v>#REF!</v>
      </c>
      <c r="S4940" s="5" t="e">
        <f>IF(AND(#REF!&gt;=table!$C$8,#REF!&lt;= table!$D$8),-1,IF(AND(#REF!&gt;=table!$E$8,#REF!&lt;=table!$F$8),1,0))</f>
        <v>#REF!</v>
      </c>
      <c r="T4940" s="5"/>
      <c r="U4940" s="5" t="e">
        <f>IF(AND(#REF!&gt;=table!$C$10,#REF!&lt;= table!$D$10),-1,IF(AND(#REF!&gt;=table!$E$10,#REF!&lt;=table!$F$10),1,0))</f>
        <v>#REF!</v>
      </c>
      <c r="V4940" s="5" t="e">
        <f>IF(AND(#REF!&gt;=table!$C$11,#REF!&lt;= table!$D$11),-1,IF(AND(#REF!&gt;=table!$E$11,#REF!&lt;=table!$F$11),1,0))</f>
        <v>#REF!</v>
      </c>
      <c r="W4940" s="5" t="e">
        <f>CONCATENATE(dados[[#This Row],[fator1]],dados[[#This Row],[fator5]],dados[[#This Row],[fator6]])</f>
        <v>#REF!</v>
      </c>
    </row>
    <row r="4941" spans="1:23">
      <c r="A4941" t="s">
        <v>17</v>
      </c>
      <c r="B4941">
        <v>591505</v>
      </c>
      <c r="C4941">
        <v>18</v>
      </c>
      <c r="D4941">
        <v>23</v>
      </c>
      <c r="E4941">
        <v>145</v>
      </c>
      <c r="F4941">
        <v>9</v>
      </c>
      <c r="G4941">
        <v>30</v>
      </c>
      <c r="H4941">
        <v>25</v>
      </c>
      <c r="I4941">
        <v>1</v>
      </c>
      <c r="J4941">
        <v>1030</v>
      </c>
      <c r="K4941">
        <v>4.1880000000000006</v>
      </c>
      <c r="L4941">
        <v>16.437000000000001</v>
      </c>
      <c r="M4941">
        <v>127.506</v>
      </c>
      <c r="N4941">
        <v>27.62</v>
      </c>
      <c r="O4941">
        <v>1703</v>
      </c>
      <c r="P4941">
        <v>0</v>
      </c>
      <c r="Q4941" s="5" t="e">
        <f>IF(AND(#REF!&gt;=table!$C$6,#REF!&lt;= table!$D$6),-1,IF(AND(#REF!&gt;=table!$E$6,#REF!&lt;=table!$F$6),1,0))</f>
        <v>#REF!</v>
      </c>
      <c r="R4941" s="5" t="e">
        <f>IF(AND(#REF!&gt;=table!$C$7,#REF!&lt;= table!$D$7),-1,IF(AND(#REF!&gt;=table!$E$7,#REF!&lt;=table!$F$7),1,0))</f>
        <v>#REF!</v>
      </c>
      <c r="S4941" s="5" t="e">
        <f>IF(AND(#REF!&gt;=table!$C$8,#REF!&lt;= table!$D$8),-1,IF(AND(#REF!&gt;=table!$E$8,#REF!&lt;=table!$F$8),1,0))</f>
        <v>#REF!</v>
      </c>
      <c r="T4941" s="5"/>
      <c r="U4941" s="5" t="e">
        <f>IF(AND(#REF!&gt;=table!$C$10,#REF!&lt;= table!$D$10),-1,IF(AND(#REF!&gt;=table!$E$10,#REF!&lt;=table!$F$10),1,0))</f>
        <v>#REF!</v>
      </c>
      <c r="V4941" s="5" t="e">
        <f>IF(AND(#REF!&gt;=table!$C$11,#REF!&lt;= table!$D$11),-1,IF(AND(#REF!&gt;=table!$E$11,#REF!&lt;=table!$F$11),1,0))</f>
        <v>#REF!</v>
      </c>
      <c r="W4941" s="5" t="e">
        <f>CONCATENATE(dados[[#This Row],[fator1]],dados[[#This Row],[fator5]],dados[[#This Row],[fator6]])</f>
        <v>#REF!</v>
      </c>
    </row>
    <row r="4942" spans="1:23">
      <c r="A4942" t="s">
        <v>16</v>
      </c>
      <c r="B4942">
        <v>591506</v>
      </c>
      <c r="C4942">
        <v>0.15</v>
      </c>
      <c r="D4942">
        <v>40</v>
      </c>
      <c r="E4942">
        <v>10</v>
      </c>
      <c r="F4942">
        <v>15</v>
      </c>
      <c r="G4942">
        <v>0</v>
      </c>
      <c r="H4942">
        <v>15</v>
      </c>
      <c r="I4942">
        <v>1212</v>
      </c>
      <c r="J4942">
        <v>1080</v>
      </c>
      <c r="K4942">
        <v>3.589</v>
      </c>
      <c r="L4942">
        <v>14.170500000000001</v>
      </c>
      <c r="M4942">
        <v>5.0645000000000007</v>
      </c>
      <c r="N4942">
        <v>20.045000000000002</v>
      </c>
      <c r="O4942">
        <v>1698</v>
      </c>
      <c r="P4942">
        <v>1203</v>
      </c>
      <c r="Q4942" s="5" t="e">
        <f>IF(AND(#REF!&gt;=table!$C$6,#REF!&lt;= table!$D$6),-1,IF(AND(#REF!&gt;=table!$E$6,#REF!&lt;=table!$F$6),1,0))</f>
        <v>#REF!</v>
      </c>
      <c r="R4942" s="5" t="e">
        <f>IF(AND(#REF!&gt;=table!$C$7,#REF!&lt;= table!$D$7),-1,IF(AND(#REF!&gt;=table!$E$7,#REF!&lt;=table!$F$7),1,0))</f>
        <v>#REF!</v>
      </c>
      <c r="S4942" s="5" t="e">
        <f>IF(AND(#REF!&gt;=table!$C$8,#REF!&lt;= table!$D$8),-1,IF(AND(#REF!&gt;=table!$E$8,#REF!&lt;=table!$F$8),1,0))</f>
        <v>#REF!</v>
      </c>
      <c r="T4942" s="5"/>
      <c r="U4942" s="5" t="e">
        <f>IF(AND(#REF!&gt;=table!$C$10,#REF!&lt;= table!$D$10),-1,IF(AND(#REF!&gt;=table!$E$10,#REF!&lt;=table!$F$10),1,0))</f>
        <v>#REF!</v>
      </c>
      <c r="V4942" s="5" t="e">
        <f>IF(AND(#REF!&gt;=table!$C$11,#REF!&lt;= table!$D$11),-1,IF(AND(#REF!&gt;=table!$E$11,#REF!&lt;=table!$F$11),1,0))</f>
        <v>#REF!</v>
      </c>
      <c r="W4942" s="5" t="e">
        <f>CONCATENATE(dados[[#This Row],[fator1]],dados[[#This Row],[fator5]],dados[[#This Row],[fator6]])</f>
        <v>#REF!</v>
      </c>
    </row>
    <row r="4943" spans="1:23">
      <c r="A4943" t="s">
        <v>17</v>
      </c>
      <c r="B4943">
        <v>591508</v>
      </c>
      <c r="C4943">
        <v>8</v>
      </c>
      <c r="D4943">
        <v>30</v>
      </c>
      <c r="E4943">
        <v>155</v>
      </c>
      <c r="F4943">
        <v>2</v>
      </c>
      <c r="G4943">
        <v>30</v>
      </c>
      <c r="H4943">
        <v>18</v>
      </c>
      <c r="I4943">
        <v>1633</v>
      </c>
      <c r="J4943">
        <v>0</v>
      </c>
      <c r="K4943">
        <v>4.9325000000000001</v>
      </c>
      <c r="L4943">
        <v>6.1660000000000004</v>
      </c>
      <c r="M4943">
        <v>63.0535</v>
      </c>
      <c r="N4943">
        <v>10.615</v>
      </c>
      <c r="O4943">
        <v>1677</v>
      </c>
      <c r="P4943">
        <v>0</v>
      </c>
      <c r="Q4943" s="5" t="e">
        <f>IF(AND(#REF!&gt;=table!$C$6,#REF!&lt;= table!$D$6),-1,IF(AND(#REF!&gt;=table!$E$6,#REF!&lt;=table!$F$6),1,0))</f>
        <v>#REF!</v>
      </c>
      <c r="R4943" s="5" t="e">
        <f>IF(AND(#REF!&gt;=table!$C$7,#REF!&lt;= table!$D$7),-1,IF(AND(#REF!&gt;=table!$E$7,#REF!&lt;=table!$F$7),1,0))</f>
        <v>#REF!</v>
      </c>
      <c r="S4943" s="5" t="e">
        <f>IF(AND(#REF!&gt;=table!$C$8,#REF!&lt;= table!$D$8),-1,IF(AND(#REF!&gt;=table!$E$8,#REF!&lt;=table!$F$8),1,0))</f>
        <v>#REF!</v>
      </c>
      <c r="T4943" s="5"/>
      <c r="U4943" s="5" t="e">
        <f>IF(AND(#REF!&gt;=table!$C$10,#REF!&lt;= table!$D$10),-1,IF(AND(#REF!&gt;=table!$E$10,#REF!&lt;=table!$F$10),1,0))</f>
        <v>#REF!</v>
      </c>
      <c r="V4943" s="5" t="e">
        <f>IF(AND(#REF!&gt;=table!$C$11,#REF!&lt;= table!$D$11),-1,IF(AND(#REF!&gt;=table!$E$11,#REF!&lt;=table!$F$11),1,0))</f>
        <v>#REF!</v>
      </c>
      <c r="W4943" s="5" t="e">
        <f>CONCATENATE(dados[[#This Row],[fator1]],dados[[#This Row],[fator5]],dados[[#This Row],[fator6]])</f>
        <v>#REF!</v>
      </c>
    </row>
    <row r="4944" spans="1:23">
      <c r="A4944" t="s">
        <v>17</v>
      </c>
      <c r="B4944">
        <v>591509</v>
      </c>
      <c r="C4944">
        <v>8</v>
      </c>
      <c r="D4944">
        <v>30</v>
      </c>
      <c r="E4944">
        <v>153</v>
      </c>
      <c r="F4944">
        <v>2</v>
      </c>
      <c r="G4944">
        <v>20</v>
      </c>
      <c r="H4944">
        <v>18</v>
      </c>
      <c r="I4944">
        <v>1011</v>
      </c>
      <c r="J4944">
        <v>0</v>
      </c>
      <c r="K4944">
        <v>3.4445000000000001</v>
      </c>
      <c r="L4944">
        <v>5.1565000000000003</v>
      </c>
      <c r="M4944">
        <v>121.30600000000001</v>
      </c>
      <c r="N4944">
        <v>11.93</v>
      </c>
      <c r="O4944">
        <v>1678</v>
      </c>
      <c r="P4944">
        <v>1156</v>
      </c>
      <c r="Q4944" s="5" t="e">
        <f>IF(AND(#REF!&gt;=table!$C$6,#REF!&lt;= table!$D$6),-1,IF(AND(#REF!&gt;=table!$E$6,#REF!&lt;=table!$F$6),1,0))</f>
        <v>#REF!</v>
      </c>
      <c r="R4944" s="5" t="e">
        <f>IF(AND(#REF!&gt;=table!$C$7,#REF!&lt;= table!$D$7),-1,IF(AND(#REF!&gt;=table!$E$7,#REF!&lt;=table!$F$7),1,0))</f>
        <v>#REF!</v>
      </c>
      <c r="S4944" s="5" t="e">
        <f>IF(AND(#REF!&gt;=table!$C$8,#REF!&lt;= table!$D$8),-1,IF(AND(#REF!&gt;=table!$E$8,#REF!&lt;=table!$F$8),1,0))</f>
        <v>#REF!</v>
      </c>
      <c r="T4944" s="5"/>
      <c r="U4944" s="5" t="e">
        <f>IF(AND(#REF!&gt;=table!$C$10,#REF!&lt;= table!$D$10),-1,IF(AND(#REF!&gt;=table!$E$10,#REF!&lt;=table!$F$10),1,0))</f>
        <v>#REF!</v>
      </c>
      <c r="V4944" s="5" t="e">
        <f>IF(AND(#REF!&gt;=table!$C$11,#REF!&lt;= table!$D$11),-1,IF(AND(#REF!&gt;=table!$E$11,#REF!&lt;=table!$F$11),1,0))</f>
        <v>#REF!</v>
      </c>
      <c r="W4944" s="5" t="e">
        <f>CONCATENATE(dados[[#This Row],[fator1]],dados[[#This Row],[fator5]],dados[[#This Row],[fator6]])</f>
        <v>#REF!</v>
      </c>
    </row>
    <row r="4945" spans="1:23">
      <c r="A4945" t="s">
        <v>17</v>
      </c>
      <c r="B4945">
        <v>591510</v>
      </c>
      <c r="C4945">
        <v>15</v>
      </c>
      <c r="D4945">
        <v>30</v>
      </c>
      <c r="E4945">
        <v>100</v>
      </c>
      <c r="F4945">
        <v>3</v>
      </c>
      <c r="G4945">
        <v>20</v>
      </c>
      <c r="H4945">
        <v>22</v>
      </c>
      <c r="I4945">
        <v>1116</v>
      </c>
      <c r="J4945">
        <v>0</v>
      </c>
      <c r="K4945">
        <v>6.1430000000000007</v>
      </c>
      <c r="L4945">
        <v>10.807</v>
      </c>
      <c r="M4945">
        <v>76.986000000000004</v>
      </c>
      <c r="N4945">
        <v>16.28</v>
      </c>
      <c r="O4945">
        <v>1680</v>
      </c>
      <c r="P4945">
        <v>0</v>
      </c>
      <c r="Q4945" s="5" t="e">
        <f>IF(AND(#REF!&gt;=table!$C$6,#REF!&lt;= table!$D$6),-1,IF(AND(#REF!&gt;=table!$E$6,#REF!&lt;=table!$F$6),1,0))</f>
        <v>#REF!</v>
      </c>
      <c r="R4945" s="5" t="e">
        <f>IF(AND(#REF!&gt;=table!$C$7,#REF!&lt;= table!$D$7),-1,IF(AND(#REF!&gt;=table!$E$7,#REF!&lt;=table!$F$7),1,0))</f>
        <v>#REF!</v>
      </c>
      <c r="S4945" s="5" t="e">
        <f>IF(AND(#REF!&gt;=table!$C$8,#REF!&lt;= table!$D$8),-1,IF(AND(#REF!&gt;=table!$E$8,#REF!&lt;=table!$F$8),1,0))</f>
        <v>#REF!</v>
      </c>
      <c r="T4945" s="5"/>
      <c r="U4945" s="5" t="e">
        <f>IF(AND(#REF!&gt;=table!$C$10,#REF!&lt;= table!$D$10),-1,IF(AND(#REF!&gt;=table!$E$10,#REF!&lt;=table!$F$10),1,0))</f>
        <v>#REF!</v>
      </c>
      <c r="V4945" s="5" t="e">
        <f>IF(AND(#REF!&gt;=table!$C$11,#REF!&lt;= table!$D$11),-1,IF(AND(#REF!&gt;=table!$E$11,#REF!&lt;=table!$F$11),1,0))</f>
        <v>#REF!</v>
      </c>
      <c r="W4945" s="5" t="e">
        <f>CONCATENATE(dados[[#This Row],[fator1]],dados[[#This Row],[fator5]],dados[[#This Row],[fator6]])</f>
        <v>#REF!</v>
      </c>
    </row>
    <row r="4946" spans="1:23">
      <c r="A4946" t="s">
        <v>17</v>
      </c>
      <c r="B4946">
        <v>591512</v>
      </c>
      <c r="C4946">
        <v>15</v>
      </c>
      <c r="D4946">
        <v>30</v>
      </c>
      <c r="E4946">
        <v>100</v>
      </c>
      <c r="F4946">
        <v>3</v>
      </c>
      <c r="G4946">
        <v>20</v>
      </c>
      <c r="H4946">
        <v>22</v>
      </c>
      <c r="I4946">
        <v>361</v>
      </c>
      <c r="J4946">
        <v>0</v>
      </c>
      <c r="K4946">
        <v>4.2484999999999999</v>
      </c>
      <c r="L4946">
        <v>8.9425000000000008</v>
      </c>
      <c r="M4946">
        <v>32.112000000000002</v>
      </c>
      <c r="N4946">
        <v>14.015000000000001</v>
      </c>
      <c r="O4946">
        <v>1688</v>
      </c>
      <c r="P4946">
        <v>0</v>
      </c>
      <c r="Q4946" s="5" t="e">
        <f>IF(AND(#REF!&gt;=table!$C$6,#REF!&lt;= table!$D$6),-1,IF(AND(#REF!&gt;=table!$E$6,#REF!&lt;=table!$F$6),1,0))</f>
        <v>#REF!</v>
      </c>
      <c r="R4946" s="5" t="e">
        <f>IF(AND(#REF!&gt;=table!$C$7,#REF!&lt;= table!$D$7),-1,IF(AND(#REF!&gt;=table!$E$7,#REF!&lt;=table!$F$7),1,0))</f>
        <v>#REF!</v>
      </c>
      <c r="S4946" s="5" t="e">
        <f>IF(AND(#REF!&gt;=table!$C$8,#REF!&lt;= table!$D$8),-1,IF(AND(#REF!&gt;=table!$E$8,#REF!&lt;=table!$F$8),1,0))</f>
        <v>#REF!</v>
      </c>
      <c r="T4946" s="5"/>
      <c r="U4946" s="5" t="e">
        <f>IF(AND(#REF!&gt;=table!$C$10,#REF!&lt;= table!$D$10),-1,IF(AND(#REF!&gt;=table!$E$10,#REF!&lt;=table!$F$10),1,0))</f>
        <v>#REF!</v>
      </c>
      <c r="V4946" s="5" t="e">
        <f>IF(AND(#REF!&gt;=table!$C$11,#REF!&lt;= table!$D$11),-1,IF(AND(#REF!&gt;=table!$E$11,#REF!&lt;=table!$F$11),1,0))</f>
        <v>#REF!</v>
      </c>
      <c r="W4946" s="5" t="e">
        <f>CONCATENATE(dados[[#This Row],[fator1]],dados[[#This Row],[fator5]],dados[[#This Row],[fator6]])</f>
        <v>#REF!</v>
      </c>
    </row>
    <row r="4947" spans="1:23">
      <c r="A4947" t="s">
        <v>17</v>
      </c>
      <c r="B4947">
        <v>591513</v>
      </c>
      <c r="C4947">
        <v>15</v>
      </c>
      <c r="D4947">
        <v>30</v>
      </c>
      <c r="E4947">
        <v>100</v>
      </c>
      <c r="F4947">
        <v>3</v>
      </c>
      <c r="G4947">
        <v>20</v>
      </c>
      <c r="H4947">
        <v>22</v>
      </c>
      <c r="I4947">
        <v>957</v>
      </c>
      <c r="J4947">
        <v>0</v>
      </c>
      <c r="K4947">
        <v>4.5635000000000003</v>
      </c>
      <c r="L4947">
        <v>10.0565</v>
      </c>
      <c r="M4947">
        <v>85.825500000000005</v>
      </c>
      <c r="N4947">
        <v>16.655000000000001</v>
      </c>
      <c r="O4947">
        <v>1698</v>
      </c>
      <c r="P4947">
        <v>936</v>
      </c>
      <c r="Q4947" s="5" t="e">
        <f>IF(AND(#REF!&gt;=table!$C$6,#REF!&lt;= table!$D$6),-1,IF(AND(#REF!&gt;=table!$E$6,#REF!&lt;=table!$F$6),1,0))</f>
        <v>#REF!</v>
      </c>
      <c r="R4947" s="5" t="e">
        <f>IF(AND(#REF!&gt;=table!$C$7,#REF!&lt;= table!$D$7),-1,IF(AND(#REF!&gt;=table!$E$7,#REF!&lt;=table!$F$7),1,0))</f>
        <v>#REF!</v>
      </c>
      <c r="S4947" s="5" t="e">
        <f>IF(AND(#REF!&gt;=table!$C$8,#REF!&lt;= table!$D$8),-1,IF(AND(#REF!&gt;=table!$E$8,#REF!&lt;=table!$F$8),1,0))</f>
        <v>#REF!</v>
      </c>
      <c r="T4947" s="5"/>
      <c r="U4947" s="5" t="e">
        <f>IF(AND(#REF!&gt;=table!$C$10,#REF!&lt;= table!$D$10),-1,IF(AND(#REF!&gt;=table!$E$10,#REF!&lt;=table!$F$10),1,0))</f>
        <v>#REF!</v>
      </c>
      <c r="V4947" s="5" t="e">
        <f>IF(AND(#REF!&gt;=table!$C$11,#REF!&lt;= table!$D$11),-1,IF(AND(#REF!&gt;=table!$E$11,#REF!&lt;=table!$F$11),1,0))</f>
        <v>#REF!</v>
      </c>
      <c r="W4947" s="5" t="e">
        <f>CONCATENATE(dados[[#This Row],[fator1]],dados[[#This Row],[fator5]],dados[[#This Row],[fator6]])</f>
        <v>#REF!</v>
      </c>
    </row>
    <row r="4948" spans="1:23">
      <c r="A4948" t="s">
        <v>17</v>
      </c>
      <c r="B4948">
        <v>591514</v>
      </c>
      <c r="C4948">
        <v>15</v>
      </c>
      <c r="D4948">
        <v>30</v>
      </c>
      <c r="E4948">
        <v>100</v>
      </c>
      <c r="F4948">
        <v>3</v>
      </c>
      <c r="G4948">
        <v>20</v>
      </c>
      <c r="H4948">
        <v>22</v>
      </c>
      <c r="I4948">
        <v>1131</v>
      </c>
      <c r="J4948">
        <v>1020</v>
      </c>
      <c r="K4948">
        <v>11.0565</v>
      </c>
      <c r="L4948">
        <v>19.913</v>
      </c>
      <c r="M4948">
        <v>81.674500000000009</v>
      </c>
      <c r="N4948">
        <v>14.225000000000001</v>
      </c>
      <c r="O4948">
        <v>1685</v>
      </c>
      <c r="P4948">
        <v>339</v>
      </c>
      <c r="Q4948" s="5" t="e">
        <f>IF(AND(#REF!&gt;=table!$C$6,#REF!&lt;= table!$D$6),-1,IF(AND(#REF!&gt;=table!$E$6,#REF!&lt;=table!$F$6),1,0))</f>
        <v>#REF!</v>
      </c>
      <c r="R4948" s="5" t="e">
        <f>IF(AND(#REF!&gt;=table!$C$7,#REF!&lt;= table!$D$7),-1,IF(AND(#REF!&gt;=table!$E$7,#REF!&lt;=table!$F$7),1,0))</f>
        <v>#REF!</v>
      </c>
      <c r="S4948" s="5" t="e">
        <f>IF(AND(#REF!&gt;=table!$C$8,#REF!&lt;= table!$D$8),-1,IF(AND(#REF!&gt;=table!$E$8,#REF!&lt;=table!$F$8),1,0))</f>
        <v>#REF!</v>
      </c>
      <c r="T4948" s="5"/>
      <c r="U4948" s="5" t="e">
        <f>IF(AND(#REF!&gt;=table!$C$10,#REF!&lt;= table!$D$10),-1,IF(AND(#REF!&gt;=table!$E$10,#REF!&lt;=table!$F$10),1,0))</f>
        <v>#REF!</v>
      </c>
      <c r="V4948" s="5" t="e">
        <f>IF(AND(#REF!&gt;=table!$C$11,#REF!&lt;= table!$D$11),-1,IF(AND(#REF!&gt;=table!$E$11,#REF!&lt;=table!$F$11),1,0))</f>
        <v>#REF!</v>
      </c>
      <c r="W4948" s="5" t="e">
        <f>CONCATENATE(dados[[#This Row],[fator1]],dados[[#This Row],[fator5]],dados[[#This Row],[fator6]])</f>
        <v>#REF!</v>
      </c>
    </row>
    <row r="4949" spans="1:23">
      <c r="A4949" t="s">
        <v>16</v>
      </c>
      <c r="B4949">
        <v>591517</v>
      </c>
      <c r="C4949">
        <v>0.2</v>
      </c>
      <c r="D4949">
        <v>65</v>
      </c>
      <c r="E4949">
        <v>26</v>
      </c>
      <c r="F4949">
        <v>15</v>
      </c>
      <c r="G4949">
        <v>0</v>
      </c>
      <c r="H4949">
        <v>30</v>
      </c>
      <c r="I4949">
        <v>323</v>
      </c>
      <c r="J4949">
        <v>0</v>
      </c>
      <c r="K4949">
        <v>4.51</v>
      </c>
      <c r="L4949">
        <v>10.644</v>
      </c>
      <c r="M4949">
        <v>9.4905000000000008</v>
      </c>
      <c r="N4949">
        <v>15.235000000000001</v>
      </c>
      <c r="O4949">
        <v>1646</v>
      </c>
      <c r="P4949">
        <v>0</v>
      </c>
      <c r="Q4949" s="5" t="e">
        <f>IF(AND(#REF!&gt;=table!$C$6,#REF!&lt;= table!$D$6),-1,IF(AND(#REF!&gt;=table!$E$6,#REF!&lt;=table!$F$6),1,0))</f>
        <v>#REF!</v>
      </c>
      <c r="R4949" s="5" t="e">
        <f>IF(AND(#REF!&gt;=table!$C$7,#REF!&lt;= table!$D$7),-1,IF(AND(#REF!&gt;=table!$E$7,#REF!&lt;=table!$F$7),1,0))</f>
        <v>#REF!</v>
      </c>
      <c r="S4949" s="5" t="e">
        <f>IF(AND(#REF!&gt;=table!$C$8,#REF!&lt;= table!$D$8),-1,IF(AND(#REF!&gt;=table!$E$8,#REF!&lt;=table!$F$8),1,0))</f>
        <v>#REF!</v>
      </c>
      <c r="T4949" s="5"/>
      <c r="U4949" s="5" t="e">
        <f>IF(AND(#REF!&gt;=table!$C$10,#REF!&lt;= table!$D$10),-1,IF(AND(#REF!&gt;=table!$E$10,#REF!&lt;=table!$F$10),1,0))</f>
        <v>#REF!</v>
      </c>
      <c r="V4949" s="5" t="e">
        <f>IF(AND(#REF!&gt;=table!$C$11,#REF!&lt;= table!$D$11),-1,IF(AND(#REF!&gt;=table!$E$11,#REF!&lt;=table!$F$11),1,0))</f>
        <v>#REF!</v>
      </c>
      <c r="W4949" s="5" t="e">
        <f>CONCATENATE(dados[[#This Row],[fator1]],dados[[#This Row],[fator5]],dados[[#This Row],[fator6]])</f>
        <v>#REF!</v>
      </c>
    </row>
    <row r="4950" spans="1:23">
      <c r="A4950" t="s">
        <v>16</v>
      </c>
      <c r="B4950">
        <v>591519</v>
      </c>
      <c r="C4950">
        <v>0.2</v>
      </c>
      <c r="D4950">
        <v>65</v>
      </c>
      <c r="E4950">
        <v>26</v>
      </c>
      <c r="F4950">
        <v>15</v>
      </c>
      <c r="G4950">
        <v>0</v>
      </c>
      <c r="H4950">
        <v>30</v>
      </c>
      <c r="I4950">
        <v>816</v>
      </c>
      <c r="J4950">
        <v>0</v>
      </c>
      <c r="K4950">
        <v>5.2105000000000006</v>
      </c>
      <c r="L4950">
        <v>12.477500000000001</v>
      </c>
      <c r="M4950">
        <v>11.2315</v>
      </c>
      <c r="N4950">
        <v>20.740000000000002</v>
      </c>
      <c r="O4950">
        <v>1680</v>
      </c>
      <c r="P4950">
        <v>0</v>
      </c>
      <c r="Q4950" s="5" t="e">
        <f>IF(AND(#REF!&gt;=table!$C$6,#REF!&lt;= table!$D$6),-1,IF(AND(#REF!&gt;=table!$E$6,#REF!&lt;=table!$F$6),1,0))</f>
        <v>#REF!</v>
      </c>
      <c r="R4950" s="5" t="e">
        <f>IF(AND(#REF!&gt;=table!$C$7,#REF!&lt;= table!$D$7),-1,IF(AND(#REF!&gt;=table!$E$7,#REF!&lt;=table!$F$7),1,0))</f>
        <v>#REF!</v>
      </c>
      <c r="S4950" s="5" t="e">
        <f>IF(AND(#REF!&gt;=table!$C$8,#REF!&lt;= table!$D$8),-1,IF(AND(#REF!&gt;=table!$E$8,#REF!&lt;=table!$F$8),1,0))</f>
        <v>#REF!</v>
      </c>
      <c r="T4950" s="5"/>
      <c r="U4950" s="5" t="e">
        <f>IF(AND(#REF!&gt;=table!$C$10,#REF!&lt;= table!$D$10),-1,IF(AND(#REF!&gt;=table!$E$10,#REF!&lt;=table!$F$10),1,0))</f>
        <v>#REF!</v>
      </c>
      <c r="V4950" s="5" t="e">
        <f>IF(AND(#REF!&gt;=table!$C$11,#REF!&lt;= table!$D$11),-1,IF(AND(#REF!&gt;=table!$E$11,#REF!&lt;=table!$F$11),1,0))</f>
        <v>#REF!</v>
      </c>
      <c r="W4950" s="5" t="e">
        <f>CONCATENATE(dados[[#This Row],[fator1]],dados[[#This Row],[fator5]],dados[[#This Row],[fator6]])</f>
        <v>#REF!</v>
      </c>
    </row>
    <row r="4951" spans="1:23">
      <c r="A4951" t="s">
        <v>17</v>
      </c>
      <c r="B4951">
        <v>591524</v>
      </c>
      <c r="C4951">
        <v>15</v>
      </c>
      <c r="D4951">
        <v>30</v>
      </c>
      <c r="E4951">
        <v>100</v>
      </c>
      <c r="F4951">
        <v>3</v>
      </c>
      <c r="G4951">
        <v>20</v>
      </c>
      <c r="H4951">
        <v>22</v>
      </c>
      <c r="I4951">
        <v>626</v>
      </c>
      <c r="J4951">
        <v>0</v>
      </c>
      <c r="K4951">
        <v>6.5460000000000003</v>
      </c>
      <c r="L4951">
        <v>9.1669999999999998</v>
      </c>
      <c r="M4951">
        <v>91.225999999999999</v>
      </c>
      <c r="N4951">
        <v>12.780000000000001</v>
      </c>
      <c r="O4951">
        <v>1665</v>
      </c>
      <c r="P4951">
        <v>542</v>
      </c>
      <c r="Q4951" s="5" t="e">
        <f>IF(AND(#REF!&gt;=table!$C$6,#REF!&lt;= table!$D$6),-1,IF(AND(#REF!&gt;=table!$E$6,#REF!&lt;=table!$F$6),1,0))</f>
        <v>#REF!</v>
      </c>
      <c r="R4951" s="5" t="e">
        <f>IF(AND(#REF!&gt;=table!$C$7,#REF!&lt;= table!$D$7),-1,IF(AND(#REF!&gt;=table!$E$7,#REF!&lt;=table!$F$7),1,0))</f>
        <v>#REF!</v>
      </c>
      <c r="S4951" s="5" t="e">
        <f>IF(AND(#REF!&gt;=table!$C$8,#REF!&lt;= table!$D$8),-1,IF(AND(#REF!&gt;=table!$E$8,#REF!&lt;=table!$F$8),1,0))</f>
        <v>#REF!</v>
      </c>
      <c r="T4951" s="5"/>
      <c r="U4951" s="5" t="e">
        <f>IF(AND(#REF!&gt;=table!$C$10,#REF!&lt;= table!$D$10),-1,IF(AND(#REF!&gt;=table!$E$10,#REF!&lt;=table!$F$10),1,0))</f>
        <v>#REF!</v>
      </c>
      <c r="V4951" s="5" t="e">
        <f>IF(AND(#REF!&gt;=table!$C$11,#REF!&lt;= table!$D$11),-1,IF(AND(#REF!&gt;=table!$E$11,#REF!&lt;=table!$F$11),1,0))</f>
        <v>#REF!</v>
      </c>
      <c r="W4951" s="5" t="e">
        <f>CONCATENATE(dados[[#This Row],[fator1]],dados[[#This Row],[fator5]],dados[[#This Row],[fator6]])</f>
        <v>#REF!</v>
      </c>
    </row>
    <row r="4952" spans="1:23">
      <c r="A4952" t="s">
        <v>17</v>
      </c>
      <c r="B4952">
        <v>591525</v>
      </c>
      <c r="C4952">
        <v>15</v>
      </c>
      <c r="D4952">
        <v>30</v>
      </c>
      <c r="E4952">
        <v>100</v>
      </c>
      <c r="F4952">
        <v>3</v>
      </c>
      <c r="G4952">
        <v>20</v>
      </c>
      <c r="H4952">
        <v>22</v>
      </c>
      <c r="I4952">
        <v>1420</v>
      </c>
      <c r="J4952">
        <v>0</v>
      </c>
      <c r="K4952">
        <v>6.0205000000000002</v>
      </c>
      <c r="L4952">
        <v>9.0920000000000005</v>
      </c>
      <c r="M4952">
        <v>85.325500000000005</v>
      </c>
      <c r="N4952">
        <v>12.195</v>
      </c>
      <c r="O4952">
        <v>1681</v>
      </c>
      <c r="P4952">
        <v>701</v>
      </c>
      <c r="Q4952" s="5" t="e">
        <f>IF(AND(#REF!&gt;=table!$C$6,#REF!&lt;= table!$D$6),-1,IF(AND(#REF!&gt;=table!$E$6,#REF!&lt;=table!$F$6),1,0))</f>
        <v>#REF!</v>
      </c>
      <c r="R4952" s="5" t="e">
        <f>IF(AND(#REF!&gt;=table!$C$7,#REF!&lt;= table!$D$7),-1,IF(AND(#REF!&gt;=table!$E$7,#REF!&lt;=table!$F$7),1,0))</f>
        <v>#REF!</v>
      </c>
      <c r="S4952" s="5" t="e">
        <f>IF(AND(#REF!&gt;=table!$C$8,#REF!&lt;= table!$D$8),-1,IF(AND(#REF!&gt;=table!$E$8,#REF!&lt;=table!$F$8),1,0))</f>
        <v>#REF!</v>
      </c>
      <c r="T4952" s="5"/>
      <c r="U4952" s="5" t="e">
        <f>IF(AND(#REF!&gt;=table!$C$10,#REF!&lt;= table!$D$10),-1,IF(AND(#REF!&gt;=table!$E$10,#REF!&lt;=table!$F$10),1,0))</f>
        <v>#REF!</v>
      </c>
      <c r="V4952" s="5" t="e">
        <f>IF(AND(#REF!&gt;=table!$C$11,#REF!&lt;= table!$D$11),-1,IF(AND(#REF!&gt;=table!$E$11,#REF!&lt;=table!$F$11),1,0))</f>
        <v>#REF!</v>
      </c>
      <c r="W4952" s="5" t="e">
        <f>CONCATENATE(dados[[#This Row],[fator1]],dados[[#This Row],[fator5]],dados[[#This Row],[fator6]])</f>
        <v>#REF!</v>
      </c>
    </row>
    <row r="4953" spans="1:23">
      <c r="A4953" t="s">
        <v>16</v>
      </c>
      <c r="B4953">
        <v>591529</v>
      </c>
      <c r="C4953">
        <v>0.15</v>
      </c>
      <c r="D4953">
        <v>40</v>
      </c>
      <c r="E4953">
        <v>10</v>
      </c>
      <c r="F4953">
        <v>15</v>
      </c>
      <c r="G4953">
        <v>0</v>
      </c>
      <c r="H4953">
        <v>15</v>
      </c>
      <c r="I4953">
        <v>8</v>
      </c>
      <c r="J4953">
        <v>0</v>
      </c>
      <c r="K4953">
        <v>4.0365000000000002</v>
      </c>
      <c r="L4953">
        <v>5.0945</v>
      </c>
      <c r="M4953">
        <v>4.6459999999999999</v>
      </c>
      <c r="N4953">
        <v>9.48</v>
      </c>
      <c r="O4953">
        <v>1673</v>
      </c>
      <c r="P4953">
        <v>1110</v>
      </c>
      <c r="Q4953" s="5" t="e">
        <f>IF(AND(#REF!&gt;=table!$C$6,#REF!&lt;= table!$D$6),-1,IF(AND(#REF!&gt;=table!$E$6,#REF!&lt;=table!$F$6),1,0))</f>
        <v>#REF!</v>
      </c>
      <c r="R4953" s="5" t="e">
        <f>IF(AND(#REF!&gt;=table!$C$7,#REF!&lt;= table!$D$7),-1,IF(AND(#REF!&gt;=table!$E$7,#REF!&lt;=table!$F$7),1,0))</f>
        <v>#REF!</v>
      </c>
      <c r="S4953" s="5" t="e">
        <f>IF(AND(#REF!&gt;=table!$C$8,#REF!&lt;= table!$D$8),-1,IF(AND(#REF!&gt;=table!$E$8,#REF!&lt;=table!$F$8),1,0))</f>
        <v>#REF!</v>
      </c>
      <c r="T4953" s="5"/>
      <c r="U4953" s="5" t="e">
        <f>IF(AND(#REF!&gt;=table!$C$10,#REF!&lt;= table!$D$10),-1,IF(AND(#REF!&gt;=table!$E$10,#REF!&lt;=table!$F$10),1,0))</f>
        <v>#REF!</v>
      </c>
      <c r="V4953" s="5" t="e">
        <f>IF(AND(#REF!&gt;=table!$C$11,#REF!&lt;= table!$D$11),-1,IF(AND(#REF!&gt;=table!$E$11,#REF!&lt;=table!$F$11),1,0))</f>
        <v>#REF!</v>
      </c>
      <c r="W4953" s="5" t="e">
        <f>CONCATENATE(dados[[#This Row],[fator1]],dados[[#This Row],[fator5]],dados[[#This Row],[fator6]])</f>
        <v>#REF!</v>
      </c>
    </row>
    <row r="4954" spans="1:23">
      <c r="A4954" t="s">
        <v>16</v>
      </c>
      <c r="B4954">
        <v>591530</v>
      </c>
      <c r="C4954">
        <v>0.15</v>
      </c>
      <c r="D4954">
        <v>40</v>
      </c>
      <c r="E4954">
        <v>10</v>
      </c>
      <c r="F4954">
        <v>15</v>
      </c>
      <c r="G4954">
        <v>0</v>
      </c>
      <c r="H4954">
        <v>15</v>
      </c>
      <c r="I4954">
        <v>916</v>
      </c>
      <c r="J4954">
        <v>0</v>
      </c>
      <c r="K4954">
        <v>3.45</v>
      </c>
      <c r="L4954">
        <v>5.2555000000000005</v>
      </c>
      <c r="M4954">
        <v>5.0994999999999999</v>
      </c>
      <c r="N4954">
        <v>10.865</v>
      </c>
      <c r="O4954">
        <v>1660</v>
      </c>
      <c r="P4954">
        <v>1208</v>
      </c>
      <c r="Q4954" s="5" t="e">
        <f>IF(AND(#REF!&gt;=table!$C$6,#REF!&lt;= table!$D$6),-1,IF(AND(#REF!&gt;=table!$E$6,#REF!&lt;=table!$F$6),1,0))</f>
        <v>#REF!</v>
      </c>
      <c r="R4954" s="5" t="e">
        <f>IF(AND(#REF!&gt;=table!$C$7,#REF!&lt;= table!$D$7),-1,IF(AND(#REF!&gt;=table!$E$7,#REF!&lt;=table!$F$7),1,0))</f>
        <v>#REF!</v>
      </c>
      <c r="S4954" s="5" t="e">
        <f>IF(AND(#REF!&gt;=table!$C$8,#REF!&lt;= table!$D$8),-1,IF(AND(#REF!&gt;=table!$E$8,#REF!&lt;=table!$F$8),1,0))</f>
        <v>#REF!</v>
      </c>
      <c r="T4954" s="5"/>
      <c r="U4954" s="5" t="e">
        <f>IF(AND(#REF!&gt;=table!$C$10,#REF!&lt;= table!$D$10),-1,IF(AND(#REF!&gt;=table!$E$10,#REF!&lt;=table!$F$10),1,0))</f>
        <v>#REF!</v>
      </c>
      <c r="V4954" s="5" t="e">
        <f>IF(AND(#REF!&gt;=table!$C$11,#REF!&lt;= table!$D$11),-1,IF(AND(#REF!&gt;=table!$E$11,#REF!&lt;=table!$F$11),1,0))</f>
        <v>#REF!</v>
      </c>
      <c r="W4954" s="5" t="e">
        <f>CONCATENATE(dados[[#This Row],[fator1]],dados[[#This Row],[fator5]],dados[[#This Row],[fator6]])</f>
        <v>#REF!</v>
      </c>
    </row>
    <row r="4955" spans="1:23">
      <c r="A4955" t="s">
        <v>16</v>
      </c>
      <c r="B4955">
        <v>591533</v>
      </c>
      <c r="C4955">
        <v>0.15</v>
      </c>
      <c r="D4955">
        <v>40</v>
      </c>
      <c r="E4955">
        <v>10</v>
      </c>
      <c r="F4955">
        <v>15</v>
      </c>
      <c r="G4955">
        <v>0</v>
      </c>
      <c r="H4955">
        <v>15</v>
      </c>
      <c r="I4955">
        <v>566</v>
      </c>
      <c r="J4955">
        <v>870</v>
      </c>
      <c r="K4955">
        <v>4.2625000000000002</v>
      </c>
      <c r="L4955">
        <v>10.000500000000001</v>
      </c>
      <c r="M4955">
        <v>5.5655000000000001</v>
      </c>
      <c r="N4955">
        <v>11.58</v>
      </c>
      <c r="O4955">
        <v>1672</v>
      </c>
      <c r="P4955">
        <v>0</v>
      </c>
      <c r="Q4955" s="5" t="e">
        <f>IF(AND(#REF!&gt;=table!$C$6,#REF!&lt;= table!$D$6),-1,IF(AND(#REF!&gt;=table!$E$6,#REF!&lt;=table!$F$6),1,0))</f>
        <v>#REF!</v>
      </c>
      <c r="R4955" s="5" t="e">
        <f>IF(AND(#REF!&gt;=table!$C$7,#REF!&lt;= table!$D$7),-1,IF(AND(#REF!&gt;=table!$E$7,#REF!&lt;=table!$F$7),1,0))</f>
        <v>#REF!</v>
      </c>
      <c r="S4955" s="5" t="e">
        <f>IF(AND(#REF!&gt;=table!$C$8,#REF!&lt;= table!$D$8),-1,IF(AND(#REF!&gt;=table!$E$8,#REF!&lt;=table!$F$8),1,0))</f>
        <v>#REF!</v>
      </c>
      <c r="T4955" s="5"/>
      <c r="U4955" s="5" t="e">
        <f>IF(AND(#REF!&gt;=table!$C$10,#REF!&lt;= table!$D$10),-1,IF(AND(#REF!&gt;=table!$E$10,#REF!&lt;=table!$F$10),1,0))</f>
        <v>#REF!</v>
      </c>
      <c r="V4955" s="5" t="e">
        <f>IF(AND(#REF!&gt;=table!$C$11,#REF!&lt;= table!$D$11),-1,IF(AND(#REF!&gt;=table!$E$11,#REF!&lt;=table!$F$11),1,0))</f>
        <v>#REF!</v>
      </c>
      <c r="W4955" s="5" t="e">
        <f>CONCATENATE(dados[[#This Row],[fator1]],dados[[#This Row],[fator5]],dados[[#This Row],[fator6]])</f>
        <v>#REF!</v>
      </c>
    </row>
    <row r="4956" spans="1:23">
      <c r="A4956" t="s">
        <v>17</v>
      </c>
      <c r="B4956">
        <v>591537</v>
      </c>
      <c r="C4956">
        <v>15</v>
      </c>
      <c r="D4956">
        <v>35</v>
      </c>
      <c r="E4956">
        <v>220</v>
      </c>
      <c r="F4956">
        <v>6</v>
      </c>
      <c r="G4956">
        <v>45</v>
      </c>
      <c r="H4956">
        <v>25</v>
      </c>
      <c r="I4956">
        <v>1549</v>
      </c>
      <c r="J4956">
        <v>870</v>
      </c>
      <c r="K4956">
        <v>7.3675000000000006</v>
      </c>
      <c r="L4956">
        <v>14.579000000000001</v>
      </c>
      <c r="M4956">
        <v>197.87650000000002</v>
      </c>
      <c r="N4956">
        <v>17.645</v>
      </c>
      <c r="O4956">
        <v>1673</v>
      </c>
      <c r="P4956">
        <v>0</v>
      </c>
      <c r="Q4956" s="5" t="e">
        <f>IF(AND(#REF!&gt;=table!$C$6,#REF!&lt;= table!$D$6),-1,IF(AND(#REF!&gt;=table!$E$6,#REF!&lt;=table!$F$6),1,0))</f>
        <v>#REF!</v>
      </c>
      <c r="R4956" s="5" t="e">
        <f>IF(AND(#REF!&gt;=table!$C$7,#REF!&lt;= table!$D$7),-1,IF(AND(#REF!&gt;=table!$E$7,#REF!&lt;=table!$F$7),1,0))</f>
        <v>#REF!</v>
      </c>
      <c r="S4956" s="5" t="e">
        <f>IF(AND(#REF!&gt;=table!$C$8,#REF!&lt;= table!$D$8),-1,IF(AND(#REF!&gt;=table!$E$8,#REF!&lt;=table!$F$8),1,0))</f>
        <v>#REF!</v>
      </c>
      <c r="T4956" s="5"/>
      <c r="U4956" s="5" t="e">
        <f>IF(AND(#REF!&gt;=table!$C$10,#REF!&lt;= table!$D$10),-1,IF(AND(#REF!&gt;=table!$E$10,#REF!&lt;=table!$F$10),1,0))</f>
        <v>#REF!</v>
      </c>
      <c r="V4956" s="5" t="e">
        <f>IF(AND(#REF!&gt;=table!$C$11,#REF!&lt;= table!$D$11),-1,IF(AND(#REF!&gt;=table!$E$11,#REF!&lt;=table!$F$11),1,0))</f>
        <v>#REF!</v>
      </c>
      <c r="W4956" s="5" t="e">
        <f>CONCATENATE(dados[[#This Row],[fator1]],dados[[#This Row],[fator5]],dados[[#This Row],[fator6]])</f>
        <v>#REF!</v>
      </c>
    </row>
    <row r="4957" spans="1:23">
      <c r="A4957" t="s">
        <v>16</v>
      </c>
      <c r="B4957">
        <v>591538</v>
      </c>
      <c r="C4957">
        <v>9</v>
      </c>
      <c r="D4957">
        <v>30</v>
      </c>
      <c r="E4957">
        <v>146</v>
      </c>
      <c r="F4957">
        <v>4</v>
      </c>
      <c r="G4957">
        <v>0</v>
      </c>
      <c r="H4957">
        <v>25</v>
      </c>
      <c r="I4957">
        <v>547</v>
      </c>
      <c r="J4957">
        <v>0</v>
      </c>
      <c r="K4957">
        <v>4.3360000000000003</v>
      </c>
      <c r="L4957">
        <v>10.408000000000001</v>
      </c>
      <c r="M4957">
        <v>126.59350000000001</v>
      </c>
      <c r="N4957">
        <v>14.620000000000001</v>
      </c>
      <c r="O4957">
        <v>1679</v>
      </c>
      <c r="P4957">
        <v>0</v>
      </c>
      <c r="Q4957" s="5" t="e">
        <f>IF(AND(#REF!&gt;=table!$C$6,#REF!&lt;= table!$D$6),-1,IF(AND(#REF!&gt;=table!$E$6,#REF!&lt;=table!$F$6),1,0))</f>
        <v>#REF!</v>
      </c>
      <c r="R4957" s="5" t="e">
        <f>IF(AND(#REF!&gt;=table!$C$7,#REF!&lt;= table!$D$7),-1,IF(AND(#REF!&gt;=table!$E$7,#REF!&lt;=table!$F$7),1,0))</f>
        <v>#REF!</v>
      </c>
      <c r="S4957" s="5" t="e">
        <f>IF(AND(#REF!&gt;=table!$C$8,#REF!&lt;= table!$D$8),-1,IF(AND(#REF!&gt;=table!$E$8,#REF!&lt;=table!$F$8),1,0))</f>
        <v>#REF!</v>
      </c>
      <c r="T4957" s="5"/>
      <c r="U4957" s="5" t="e">
        <f>IF(AND(#REF!&gt;=table!$C$10,#REF!&lt;= table!$D$10),-1,IF(AND(#REF!&gt;=table!$E$10,#REF!&lt;=table!$F$10),1,0))</f>
        <v>#REF!</v>
      </c>
      <c r="V4957" s="5" t="e">
        <f>IF(AND(#REF!&gt;=table!$C$11,#REF!&lt;= table!$D$11),-1,IF(AND(#REF!&gt;=table!$E$11,#REF!&lt;=table!$F$11),1,0))</f>
        <v>#REF!</v>
      </c>
      <c r="W4957" s="5" t="e">
        <f>CONCATENATE(dados[[#This Row],[fator1]],dados[[#This Row],[fator5]],dados[[#This Row],[fator6]])</f>
        <v>#REF!</v>
      </c>
    </row>
    <row r="4958" spans="1:23">
      <c r="A4958" t="s">
        <v>17</v>
      </c>
      <c r="B4958">
        <v>591549</v>
      </c>
      <c r="C4958">
        <v>15</v>
      </c>
      <c r="D4958">
        <v>30</v>
      </c>
      <c r="E4958">
        <v>100</v>
      </c>
      <c r="F4958">
        <v>3</v>
      </c>
      <c r="G4958">
        <v>20</v>
      </c>
      <c r="H4958">
        <v>22</v>
      </c>
      <c r="I4958">
        <v>33</v>
      </c>
      <c r="J4958">
        <v>0</v>
      </c>
      <c r="K4958">
        <v>2.5209999999999999</v>
      </c>
      <c r="L4958">
        <v>5.2275</v>
      </c>
      <c r="M4958">
        <v>87.734000000000009</v>
      </c>
      <c r="N4958">
        <v>19.025000000000002</v>
      </c>
      <c r="O4958">
        <v>1686</v>
      </c>
      <c r="P4958">
        <v>0</v>
      </c>
      <c r="Q4958" s="5" t="e">
        <f>IF(AND(#REF!&gt;=table!$C$6,#REF!&lt;= table!$D$6),-1,IF(AND(#REF!&gt;=table!$E$6,#REF!&lt;=table!$F$6),1,0))</f>
        <v>#REF!</v>
      </c>
      <c r="R4958" s="5" t="e">
        <f>IF(AND(#REF!&gt;=table!$C$7,#REF!&lt;= table!$D$7),-1,IF(AND(#REF!&gt;=table!$E$7,#REF!&lt;=table!$F$7),1,0))</f>
        <v>#REF!</v>
      </c>
      <c r="S4958" s="5" t="e">
        <f>IF(AND(#REF!&gt;=table!$C$8,#REF!&lt;= table!$D$8),-1,IF(AND(#REF!&gt;=table!$E$8,#REF!&lt;=table!$F$8),1,0))</f>
        <v>#REF!</v>
      </c>
      <c r="T4958" s="5"/>
      <c r="U4958" s="5" t="e">
        <f>IF(AND(#REF!&gt;=table!$C$10,#REF!&lt;= table!$D$10),-1,IF(AND(#REF!&gt;=table!$E$10,#REF!&lt;=table!$F$10),1,0))</f>
        <v>#REF!</v>
      </c>
      <c r="V4958" s="5" t="e">
        <f>IF(AND(#REF!&gt;=table!$C$11,#REF!&lt;= table!$D$11),-1,IF(AND(#REF!&gt;=table!$E$11,#REF!&lt;=table!$F$11),1,0))</f>
        <v>#REF!</v>
      </c>
      <c r="W4958" s="5" t="e">
        <f>CONCATENATE(dados[[#This Row],[fator1]],dados[[#This Row],[fator5]],dados[[#This Row],[fator6]])</f>
        <v>#REF!</v>
      </c>
    </row>
    <row r="4959" spans="1:23">
      <c r="A4959" t="s">
        <v>17</v>
      </c>
      <c r="B4959">
        <v>591550</v>
      </c>
      <c r="C4959">
        <v>15</v>
      </c>
      <c r="D4959">
        <v>30</v>
      </c>
      <c r="E4959">
        <v>100</v>
      </c>
      <c r="F4959">
        <v>3</v>
      </c>
      <c r="G4959">
        <v>20</v>
      </c>
      <c r="H4959">
        <v>22</v>
      </c>
      <c r="I4959">
        <v>1439</v>
      </c>
      <c r="J4959">
        <v>0</v>
      </c>
      <c r="K4959">
        <v>2.5209999999999999</v>
      </c>
      <c r="L4959">
        <v>5.2270000000000003</v>
      </c>
      <c r="M4959">
        <v>85.365000000000009</v>
      </c>
      <c r="N4959">
        <v>15.465</v>
      </c>
      <c r="O4959">
        <v>1710</v>
      </c>
      <c r="P4959">
        <v>0</v>
      </c>
      <c r="Q4959" s="5" t="e">
        <f>IF(AND(#REF!&gt;=table!$C$6,#REF!&lt;= table!$D$6),-1,IF(AND(#REF!&gt;=table!$E$6,#REF!&lt;=table!$F$6),1,0))</f>
        <v>#REF!</v>
      </c>
      <c r="R4959" s="5" t="e">
        <f>IF(AND(#REF!&gt;=table!$C$7,#REF!&lt;= table!$D$7),-1,IF(AND(#REF!&gt;=table!$E$7,#REF!&lt;=table!$F$7),1,0))</f>
        <v>#REF!</v>
      </c>
      <c r="S4959" s="5" t="e">
        <f>IF(AND(#REF!&gt;=table!$C$8,#REF!&lt;= table!$D$8),-1,IF(AND(#REF!&gt;=table!$E$8,#REF!&lt;=table!$F$8),1,0))</f>
        <v>#REF!</v>
      </c>
      <c r="T4959" s="5"/>
      <c r="U4959" s="5" t="e">
        <f>IF(AND(#REF!&gt;=table!$C$10,#REF!&lt;= table!$D$10),-1,IF(AND(#REF!&gt;=table!$E$10,#REF!&lt;=table!$F$10),1,0))</f>
        <v>#REF!</v>
      </c>
      <c r="V4959" s="5" t="e">
        <f>IF(AND(#REF!&gt;=table!$C$11,#REF!&lt;= table!$D$11),-1,IF(AND(#REF!&gt;=table!$E$11,#REF!&lt;=table!$F$11),1,0))</f>
        <v>#REF!</v>
      </c>
      <c r="W4959" s="5" t="e">
        <f>CONCATENATE(dados[[#This Row],[fator1]],dados[[#This Row],[fator5]],dados[[#This Row],[fator6]])</f>
        <v>#REF!</v>
      </c>
    </row>
    <row r="4960" spans="1:23">
      <c r="A4960" t="s">
        <v>17</v>
      </c>
      <c r="B4960">
        <v>591551</v>
      </c>
      <c r="C4960">
        <v>15</v>
      </c>
      <c r="D4960">
        <v>30</v>
      </c>
      <c r="E4960">
        <v>100</v>
      </c>
      <c r="F4960">
        <v>3</v>
      </c>
      <c r="G4960">
        <v>20</v>
      </c>
      <c r="H4960">
        <v>22</v>
      </c>
      <c r="I4960">
        <v>46</v>
      </c>
      <c r="J4960">
        <v>0</v>
      </c>
      <c r="K4960">
        <v>2.8295000000000003</v>
      </c>
      <c r="L4960">
        <v>5.2374999999999998</v>
      </c>
      <c r="M4960">
        <v>84.971000000000004</v>
      </c>
      <c r="N4960">
        <v>12.9</v>
      </c>
      <c r="O4960">
        <v>1640</v>
      </c>
      <c r="P4960">
        <v>0</v>
      </c>
      <c r="Q4960" s="5" t="e">
        <f>IF(AND(#REF!&gt;=table!$C$6,#REF!&lt;= table!$D$6),-1,IF(AND(#REF!&gt;=table!$E$6,#REF!&lt;=table!$F$6),1,0))</f>
        <v>#REF!</v>
      </c>
      <c r="R4960" s="5" t="e">
        <f>IF(AND(#REF!&gt;=table!$C$7,#REF!&lt;= table!$D$7),-1,IF(AND(#REF!&gt;=table!$E$7,#REF!&lt;=table!$F$7),1,0))</f>
        <v>#REF!</v>
      </c>
      <c r="S4960" s="5" t="e">
        <f>IF(AND(#REF!&gt;=table!$C$8,#REF!&lt;= table!$D$8),-1,IF(AND(#REF!&gt;=table!$E$8,#REF!&lt;=table!$F$8),1,0))</f>
        <v>#REF!</v>
      </c>
      <c r="T4960" s="5"/>
      <c r="U4960" s="5" t="e">
        <f>IF(AND(#REF!&gt;=table!$C$10,#REF!&lt;= table!$D$10),-1,IF(AND(#REF!&gt;=table!$E$10,#REF!&lt;=table!$F$10),1,0))</f>
        <v>#REF!</v>
      </c>
      <c r="V4960" s="5" t="e">
        <f>IF(AND(#REF!&gt;=table!$C$11,#REF!&lt;= table!$D$11),-1,IF(AND(#REF!&gt;=table!$E$11,#REF!&lt;=table!$F$11),1,0))</f>
        <v>#REF!</v>
      </c>
      <c r="W4960" s="5" t="e">
        <f>CONCATENATE(dados[[#This Row],[fator1]],dados[[#This Row],[fator5]],dados[[#This Row],[fator6]])</f>
        <v>#REF!</v>
      </c>
    </row>
    <row r="4961" spans="1:23">
      <c r="A4961" t="s">
        <v>16</v>
      </c>
      <c r="B4961">
        <v>591553</v>
      </c>
      <c r="C4961">
        <v>10</v>
      </c>
      <c r="D4961">
        <v>40</v>
      </c>
      <c r="E4961">
        <v>96</v>
      </c>
      <c r="F4961">
        <v>8</v>
      </c>
      <c r="G4961">
        <v>0</v>
      </c>
      <c r="H4961">
        <v>25</v>
      </c>
      <c r="I4961">
        <v>1239</v>
      </c>
      <c r="J4961">
        <v>0</v>
      </c>
      <c r="K4961">
        <v>6.5440000000000005</v>
      </c>
      <c r="L4961">
        <v>6.9815000000000005</v>
      </c>
      <c r="M4961">
        <v>87.01700000000001</v>
      </c>
      <c r="N4961">
        <v>14.43</v>
      </c>
      <c r="O4961">
        <v>1679</v>
      </c>
      <c r="P4961">
        <v>723</v>
      </c>
      <c r="Q4961" s="5" t="e">
        <f>IF(AND(#REF!&gt;=table!$C$6,#REF!&lt;= table!$D$6),-1,IF(AND(#REF!&gt;=table!$E$6,#REF!&lt;=table!$F$6),1,0))</f>
        <v>#REF!</v>
      </c>
      <c r="R4961" s="5" t="e">
        <f>IF(AND(#REF!&gt;=table!$C$7,#REF!&lt;= table!$D$7),-1,IF(AND(#REF!&gt;=table!$E$7,#REF!&lt;=table!$F$7),1,0))</f>
        <v>#REF!</v>
      </c>
      <c r="S4961" s="5" t="e">
        <f>IF(AND(#REF!&gt;=table!$C$8,#REF!&lt;= table!$D$8),-1,IF(AND(#REF!&gt;=table!$E$8,#REF!&lt;=table!$F$8),1,0))</f>
        <v>#REF!</v>
      </c>
      <c r="T4961" s="5"/>
      <c r="U4961" s="5" t="e">
        <f>IF(AND(#REF!&gt;=table!$C$10,#REF!&lt;= table!$D$10),-1,IF(AND(#REF!&gt;=table!$E$10,#REF!&lt;=table!$F$10),1,0))</f>
        <v>#REF!</v>
      </c>
      <c r="V4961" s="5" t="e">
        <f>IF(AND(#REF!&gt;=table!$C$11,#REF!&lt;= table!$D$11),-1,IF(AND(#REF!&gt;=table!$E$11,#REF!&lt;=table!$F$11),1,0))</f>
        <v>#REF!</v>
      </c>
      <c r="W4961" s="5" t="e">
        <f>CONCATENATE(dados[[#This Row],[fator1]],dados[[#This Row],[fator5]],dados[[#This Row],[fator6]])</f>
        <v>#REF!</v>
      </c>
    </row>
    <row r="4962" spans="1:23">
      <c r="A4962" t="s">
        <v>16</v>
      </c>
      <c r="B4962">
        <v>591554</v>
      </c>
      <c r="C4962">
        <v>8</v>
      </c>
      <c r="D4962">
        <v>30</v>
      </c>
      <c r="E4962">
        <v>86</v>
      </c>
      <c r="F4962">
        <v>9</v>
      </c>
      <c r="G4962">
        <v>0</v>
      </c>
      <c r="H4962">
        <v>25</v>
      </c>
      <c r="I4962">
        <v>0</v>
      </c>
      <c r="J4962">
        <v>0</v>
      </c>
      <c r="K4962">
        <v>3.6155000000000004</v>
      </c>
      <c r="L4962">
        <v>6.3245000000000005</v>
      </c>
      <c r="M4962">
        <v>67.302000000000007</v>
      </c>
      <c r="N4962">
        <v>13.845000000000001</v>
      </c>
      <c r="O4962">
        <v>1650</v>
      </c>
      <c r="P4962">
        <v>1022</v>
      </c>
      <c r="Q4962" s="5" t="e">
        <f>IF(AND(#REF!&gt;=table!$C$6,#REF!&lt;= table!$D$6),-1,IF(AND(#REF!&gt;=table!$E$6,#REF!&lt;=table!$F$6),1,0))</f>
        <v>#REF!</v>
      </c>
      <c r="R4962" s="5" t="e">
        <f>IF(AND(#REF!&gt;=table!$C$7,#REF!&lt;= table!$D$7),-1,IF(AND(#REF!&gt;=table!$E$7,#REF!&lt;=table!$F$7),1,0))</f>
        <v>#REF!</v>
      </c>
      <c r="S4962" s="5" t="e">
        <f>IF(AND(#REF!&gt;=table!$C$8,#REF!&lt;= table!$D$8),-1,IF(AND(#REF!&gt;=table!$E$8,#REF!&lt;=table!$F$8),1,0))</f>
        <v>#REF!</v>
      </c>
      <c r="T4962" s="5"/>
      <c r="U4962" s="5" t="e">
        <f>IF(AND(#REF!&gt;=table!$C$10,#REF!&lt;= table!$D$10),-1,IF(AND(#REF!&gt;=table!$E$10,#REF!&lt;=table!$F$10),1,0))</f>
        <v>#REF!</v>
      </c>
      <c r="V4962" s="5" t="e">
        <f>IF(AND(#REF!&gt;=table!$C$11,#REF!&lt;= table!$D$11),-1,IF(AND(#REF!&gt;=table!$E$11,#REF!&lt;=table!$F$11),1,0))</f>
        <v>#REF!</v>
      </c>
      <c r="W4962" s="5" t="e">
        <f>CONCATENATE(dados[[#This Row],[fator1]],dados[[#This Row],[fator5]],dados[[#This Row],[fator6]])</f>
        <v>#REF!</v>
      </c>
    </row>
    <row r="4963" spans="1:23">
      <c r="A4963" t="s">
        <v>16</v>
      </c>
      <c r="B4963">
        <v>591558</v>
      </c>
      <c r="C4963">
        <v>8</v>
      </c>
      <c r="D4963">
        <v>40</v>
      </c>
      <c r="E4963">
        <v>86</v>
      </c>
      <c r="F4963">
        <v>8</v>
      </c>
      <c r="G4963">
        <v>0</v>
      </c>
      <c r="H4963">
        <v>25</v>
      </c>
      <c r="I4963">
        <v>554</v>
      </c>
      <c r="J4963">
        <v>640</v>
      </c>
      <c r="K4963">
        <v>3.67</v>
      </c>
      <c r="L4963">
        <v>8.0850000000000009</v>
      </c>
      <c r="M4963">
        <v>57.573</v>
      </c>
      <c r="N4963">
        <v>19.025000000000002</v>
      </c>
      <c r="O4963">
        <v>1674</v>
      </c>
      <c r="P4963">
        <v>0</v>
      </c>
      <c r="Q4963" s="5" t="e">
        <f>IF(AND(#REF!&gt;=table!$C$6,#REF!&lt;= table!$D$6),-1,IF(AND(#REF!&gt;=table!$E$6,#REF!&lt;=table!$F$6),1,0))</f>
        <v>#REF!</v>
      </c>
      <c r="R4963" s="5" t="e">
        <f>IF(AND(#REF!&gt;=table!$C$7,#REF!&lt;= table!$D$7),-1,IF(AND(#REF!&gt;=table!$E$7,#REF!&lt;=table!$F$7),1,0))</f>
        <v>#REF!</v>
      </c>
      <c r="S4963" s="5" t="e">
        <f>IF(AND(#REF!&gt;=table!$C$8,#REF!&lt;= table!$D$8),-1,IF(AND(#REF!&gt;=table!$E$8,#REF!&lt;=table!$F$8),1,0))</f>
        <v>#REF!</v>
      </c>
      <c r="T4963" s="5"/>
      <c r="U4963" s="5" t="e">
        <f>IF(AND(#REF!&gt;=table!$C$10,#REF!&lt;= table!$D$10),-1,IF(AND(#REF!&gt;=table!$E$10,#REF!&lt;=table!$F$10),1,0))</f>
        <v>#REF!</v>
      </c>
      <c r="V4963" s="5" t="e">
        <f>IF(AND(#REF!&gt;=table!$C$11,#REF!&lt;= table!$D$11),-1,IF(AND(#REF!&gt;=table!$E$11,#REF!&lt;=table!$F$11),1,0))</f>
        <v>#REF!</v>
      </c>
      <c r="W4963" s="5" t="e">
        <f>CONCATENATE(dados[[#This Row],[fator1]],dados[[#This Row],[fator5]],dados[[#This Row],[fator6]])</f>
        <v>#REF!</v>
      </c>
    </row>
    <row r="4964" spans="1:23">
      <c r="A4964" t="s">
        <v>16</v>
      </c>
      <c r="B4964">
        <v>591565</v>
      </c>
      <c r="C4964">
        <v>11</v>
      </c>
      <c r="D4964">
        <v>40</v>
      </c>
      <c r="E4964">
        <v>151</v>
      </c>
      <c r="F4964">
        <v>8</v>
      </c>
      <c r="G4964">
        <v>0</v>
      </c>
      <c r="H4964">
        <v>25</v>
      </c>
      <c r="I4964">
        <v>26</v>
      </c>
      <c r="J4964">
        <v>0</v>
      </c>
      <c r="K4964">
        <v>5.1245000000000003</v>
      </c>
      <c r="L4964">
        <v>8.5180000000000007</v>
      </c>
      <c r="M4964">
        <v>129.16400000000002</v>
      </c>
      <c r="N4964">
        <v>14.295</v>
      </c>
      <c r="O4964">
        <v>1663</v>
      </c>
      <c r="P4964">
        <v>737</v>
      </c>
      <c r="Q4964" s="5" t="e">
        <f>IF(AND(#REF!&gt;=table!$C$6,#REF!&lt;= table!$D$6),-1,IF(AND(#REF!&gt;=table!$E$6,#REF!&lt;=table!$F$6),1,0))</f>
        <v>#REF!</v>
      </c>
      <c r="R4964" s="5" t="e">
        <f>IF(AND(#REF!&gt;=table!$C$7,#REF!&lt;= table!$D$7),-1,IF(AND(#REF!&gt;=table!$E$7,#REF!&lt;=table!$F$7),1,0))</f>
        <v>#REF!</v>
      </c>
      <c r="S4964" s="5" t="e">
        <f>IF(AND(#REF!&gt;=table!$C$8,#REF!&lt;= table!$D$8),-1,IF(AND(#REF!&gt;=table!$E$8,#REF!&lt;=table!$F$8),1,0))</f>
        <v>#REF!</v>
      </c>
      <c r="T4964" s="5"/>
      <c r="U4964" s="5" t="e">
        <f>IF(AND(#REF!&gt;=table!$C$10,#REF!&lt;= table!$D$10),-1,IF(AND(#REF!&gt;=table!$E$10,#REF!&lt;=table!$F$10),1,0))</f>
        <v>#REF!</v>
      </c>
      <c r="V4964" s="5" t="e">
        <f>IF(AND(#REF!&gt;=table!$C$11,#REF!&lt;= table!$D$11),-1,IF(AND(#REF!&gt;=table!$E$11,#REF!&lt;=table!$F$11),1,0))</f>
        <v>#REF!</v>
      </c>
      <c r="W4964" s="5" t="e">
        <f>CONCATENATE(dados[[#This Row],[fator1]],dados[[#This Row],[fator5]],dados[[#This Row],[fator6]])</f>
        <v>#REF!</v>
      </c>
    </row>
    <row r="4965" spans="1:23">
      <c r="A4965" t="s">
        <v>16</v>
      </c>
      <c r="B4965">
        <v>591566</v>
      </c>
      <c r="C4965">
        <v>11</v>
      </c>
      <c r="D4965">
        <v>40</v>
      </c>
      <c r="E4965">
        <v>151</v>
      </c>
      <c r="F4965">
        <v>8</v>
      </c>
      <c r="G4965">
        <v>0</v>
      </c>
      <c r="H4965">
        <v>25</v>
      </c>
      <c r="I4965">
        <v>509</v>
      </c>
      <c r="J4965">
        <v>0</v>
      </c>
      <c r="K4965">
        <v>3.5090000000000003</v>
      </c>
      <c r="L4965">
        <v>8.0570000000000004</v>
      </c>
      <c r="M4965">
        <v>124.256</v>
      </c>
      <c r="N4965">
        <v>12.86</v>
      </c>
      <c r="O4965">
        <v>1662</v>
      </c>
      <c r="P4965">
        <v>974</v>
      </c>
      <c r="Q4965" s="5" t="e">
        <f>IF(AND(#REF!&gt;=table!$C$6,#REF!&lt;= table!$D$6),-1,IF(AND(#REF!&gt;=table!$E$6,#REF!&lt;=table!$F$6),1,0))</f>
        <v>#REF!</v>
      </c>
      <c r="R4965" s="5" t="e">
        <f>IF(AND(#REF!&gt;=table!$C$7,#REF!&lt;= table!$D$7),-1,IF(AND(#REF!&gt;=table!$E$7,#REF!&lt;=table!$F$7),1,0))</f>
        <v>#REF!</v>
      </c>
      <c r="S4965" s="5" t="e">
        <f>IF(AND(#REF!&gt;=table!$C$8,#REF!&lt;= table!$D$8),-1,IF(AND(#REF!&gt;=table!$E$8,#REF!&lt;=table!$F$8),1,0))</f>
        <v>#REF!</v>
      </c>
      <c r="T4965" s="5"/>
      <c r="U4965" s="5" t="e">
        <f>IF(AND(#REF!&gt;=table!$C$10,#REF!&lt;= table!$D$10),-1,IF(AND(#REF!&gt;=table!$E$10,#REF!&lt;=table!$F$10),1,0))</f>
        <v>#REF!</v>
      </c>
      <c r="V4965" s="5" t="e">
        <f>IF(AND(#REF!&gt;=table!$C$11,#REF!&lt;= table!$D$11),-1,IF(AND(#REF!&gt;=table!$E$11,#REF!&lt;=table!$F$11),1,0))</f>
        <v>#REF!</v>
      </c>
      <c r="W4965" s="5" t="e">
        <f>CONCATENATE(dados[[#This Row],[fator1]],dados[[#This Row],[fator5]],dados[[#This Row],[fator6]])</f>
        <v>#REF!</v>
      </c>
    </row>
    <row r="4966" spans="1:23">
      <c r="A4966" t="s">
        <v>16</v>
      </c>
      <c r="B4966">
        <v>591570</v>
      </c>
      <c r="C4966">
        <v>0.15</v>
      </c>
      <c r="D4966">
        <v>40</v>
      </c>
      <c r="E4966">
        <v>10</v>
      </c>
      <c r="F4966">
        <v>15</v>
      </c>
      <c r="G4966">
        <v>0</v>
      </c>
      <c r="H4966">
        <v>15</v>
      </c>
      <c r="I4966">
        <v>944</v>
      </c>
      <c r="J4966">
        <v>0</v>
      </c>
      <c r="K4966">
        <v>4.0395000000000003</v>
      </c>
      <c r="L4966">
        <v>8.4924999999999997</v>
      </c>
      <c r="M4966">
        <v>7.2505000000000006</v>
      </c>
      <c r="N4966">
        <v>9.2750000000000004</v>
      </c>
      <c r="O4966">
        <v>1640</v>
      </c>
      <c r="P4966">
        <v>938</v>
      </c>
      <c r="Q4966" s="5" t="e">
        <f>IF(AND(#REF!&gt;=table!$C$6,#REF!&lt;= table!$D$6),-1,IF(AND(#REF!&gt;=table!$E$6,#REF!&lt;=table!$F$6),1,0))</f>
        <v>#REF!</v>
      </c>
      <c r="R4966" s="5" t="e">
        <f>IF(AND(#REF!&gt;=table!$C$7,#REF!&lt;= table!$D$7),-1,IF(AND(#REF!&gt;=table!$E$7,#REF!&lt;=table!$F$7),1,0))</f>
        <v>#REF!</v>
      </c>
      <c r="S4966" s="5" t="e">
        <f>IF(AND(#REF!&gt;=table!$C$8,#REF!&lt;= table!$D$8),-1,IF(AND(#REF!&gt;=table!$E$8,#REF!&lt;=table!$F$8),1,0))</f>
        <v>#REF!</v>
      </c>
      <c r="T4966" s="5"/>
      <c r="U4966" s="5" t="e">
        <f>IF(AND(#REF!&gt;=table!$C$10,#REF!&lt;= table!$D$10),-1,IF(AND(#REF!&gt;=table!$E$10,#REF!&lt;=table!$F$10),1,0))</f>
        <v>#REF!</v>
      </c>
      <c r="V4966" s="5" t="e">
        <f>IF(AND(#REF!&gt;=table!$C$11,#REF!&lt;= table!$D$11),-1,IF(AND(#REF!&gt;=table!$E$11,#REF!&lt;=table!$F$11),1,0))</f>
        <v>#REF!</v>
      </c>
      <c r="W4966" s="5" t="e">
        <f>CONCATENATE(dados[[#This Row],[fator1]],dados[[#This Row],[fator5]],dados[[#This Row],[fator6]])</f>
        <v>#REF!</v>
      </c>
    </row>
    <row r="4967" spans="1:23">
      <c r="A4967" t="s">
        <v>16</v>
      </c>
      <c r="B4967">
        <v>591571</v>
      </c>
      <c r="C4967">
        <v>0.15</v>
      </c>
      <c r="D4967">
        <v>40</v>
      </c>
      <c r="E4967">
        <v>10</v>
      </c>
      <c r="F4967">
        <v>15</v>
      </c>
      <c r="G4967">
        <v>0</v>
      </c>
      <c r="H4967">
        <v>15</v>
      </c>
      <c r="I4967">
        <v>35</v>
      </c>
      <c r="J4967">
        <v>0</v>
      </c>
      <c r="K4967">
        <v>6.5250000000000004</v>
      </c>
      <c r="L4967">
        <v>10.634</v>
      </c>
      <c r="M4967">
        <v>9.5374999999999996</v>
      </c>
      <c r="N4967">
        <v>12.07</v>
      </c>
      <c r="O4967">
        <v>1669</v>
      </c>
      <c r="P4967">
        <v>609</v>
      </c>
      <c r="Q4967" s="5" t="e">
        <f>IF(AND(#REF!&gt;=table!$C$6,#REF!&lt;= table!$D$6),-1,IF(AND(#REF!&gt;=table!$E$6,#REF!&lt;=table!$F$6),1,0))</f>
        <v>#REF!</v>
      </c>
      <c r="R4967" s="5" t="e">
        <f>IF(AND(#REF!&gt;=table!$C$7,#REF!&lt;= table!$D$7),-1,IF(AND(#REF!&gt;=table!$E$7,#REF!&lt;=table!$F$7),1,0))</f>
        <v>#REF!</v>
      </c>
      <c r="S4967" s="5" t="e">
        <f>IF(AND(#REF!&gt;=table!$C$8,#REF!&lt;= table!$D$8),-1,IF(AND(#REF!&gt;=table!$E$8,#REF!&lt;=table!$F$8),1,0))</f>
        <v>#REF!</v>
      </c>
      <c r="T4967" s="5"/>
      <c r="U4967" s="5" t="e">
        <f>IF(AND(#REF!&gt;=table!$C$10,#REF!&lt;= table!$D$10),-1,IF(AND(#REF!&gt;=table!$E$10,#REF!&lt;=table!$F$10),1,0))</f>
        <v>#REF!</v>
      </c>
      <c r="V4967" s="5" t="e">
        <f>IF(AND(#REF!&gt;=table!$C$11,#REF!&lt;= table!$D$11),-1,IF(AND(#REF!&gt;=table!$E$11,#REF!&lt;=table!$F$11),1,0))</f>
        <v>#REF!</v>
      </c>
      <c r="W4967" s="5" t="e">
        <f>CONCATENATE(dados[[#This Row],[fator1]],dados[[#This Row],[fator5]],dados[[#This Row],[fator6]])</f>
        <v>#REF!</v>
      </c>
    </row>
    <row r="4968" spans="1:23">
      <c r="A4968" t="s">
        <v>16</v>
      </c>
      <c r="B4968">
        <v>591573</v>
      </c>
      <c r="C4968">
        <v>0.15</v>
      </c>
      <c r="D4968">
        <v>40</v>
      </c>
      <c r="E4968">
        <v>10</v>
      </c>
      <c r="F4968">
        <v>15</v>
      </c>
      <c r="G4968">
        <v>0</v>
      </c>
      <c r="H4968">
        <v>15</v>
      </c>
      <c r="I4968">
        <v>1438</v>
      </c>
      <c r="J4968">
        <v>0</v>
      </c>
      <c r="K4968">
        <v>3.4220000000000002</v>
      </c>
      <c r="L4968">
        <v>5.6230000000000002</v>
      </c>
      <c r="M4968">
        <v>4.8020000000000005</v>
      </c>
      <c r="N4968">
        <v>10.15</v>
      </c>
      <c r="O4968">
        <v>1676</v>
      </c>
      <c r="P4968">
        <v>0</v>
      </c>
      <c r="Q4968" s="5" t="e">
        <f>IF(AND(#REF!&gt;=table!$C$6,#REF!&lt;= table!$D$6),-1,IF(AND(#REF!&gt;=table!$E$6,#REF!&lt;=table!$F$6),1,0))</f>
        <v>#REF!</v>
      </c>
      <c r="R4968" s="5" t="e">
        <f>IF(AND(#REF!&gt;=table!$C$7,#REF!&lt;= table!$D$7),-1,IF(AND(#REF!&gt;=table!$E$7,#REF!&lt;=table!$F$7),1,0))</f>
        <v>#REF!</v>
      </c>
      <c r="S4968" s="5" t="e">
        <f>IF(AND(#REF!&gt;=table!$C$8,#REF!&lt;= table!$D$8),-1,IF(AND(#REF!&gt;=table!$E$8,#REF!&lt;=table!$F$8),1,0))</f>
        <v>#REF!</v>
      </c>
      <c r="T4968" s="5"/>
      <c r="U4968" s="5" t="e">
        <f>IF(AND(#REF!&gt;=table!$C$10,#REF!&lt;= table!$D$10),-1,IF(AND(#REF!&gt;=table!$E$10,#REF!&lt;=table!$F$10),1,0))</f>
        <v>#REF!</v>
      </c>
      <c r="V4968" s="5" t="e">
        <f>IF(AND(#REF!&gt;=table!$C$11,#REF!&lt;= table!$D$11),-1,IF(AND(#REF!&gt;=table!$E$11,#REF!&lt;=table!$F$11),1,0))</f>
        <v>#REF!</v>
      </c>
      <c r="W4968" s="5" t="e">
        <f>CONCATENATE(dados[[#This Row],[fator1]],dados[[#This Row],[fator5]],dados[[#This Row],[fator6]])</f>
        <v>#REF!</v>
      </c>
    </row>
    <row r="4969" spans="1:23">
      <c r="A4969" t="s">
        <v>17</v>
      </c>
      <c r="B4969">
        <v>591577</v>
      </c>
      <c r="C4969">
        <v>14</v>
      </c>
      <c r="D4969">
        <v>25</v>
      </c>
      <c r="E4969">
        <v>130</v>
      </c>
      <c r="F4969">
        <v>9</v>
      </c>
      <c r="G4969">
        <v>110</v>
      </c>
      <c r="H4969">
        <v>50</v>
      </c>
      <c r="I4969">
        <v>932</v>
      </c>
      <c r="J4969">
        <v>0</v>
      </c>
      <c r="K4969">
        <v>4.9649999999999999</v>
      </c>
      <c r="L4969">
        <v>6.44</v>
      </c>
      <c r="M4969">
        <v>93.000500000000002</v>
      </c>
      <c r="N4969">
        <v>24.955000000000002</v>
      </c>
      <c r="O4969">
        <v>1672</v>
      </c>
      <c r="P4969">
        <v>462</v>
      </c>
      <c r="Q4969" s="5" t="e">
        <f>IF(AND(#REF!&gt;=table!$C$6,#REF!&lt;= table!$D$6),-1,IF(AND(#REF!&gt;=table!$E$6,#REF!&lt;=table!$F$6),1,0))</f>
        <v>#REF!</v>
      </c>
      <c r="R4969" s="5" t="e">
        <f>IF(AND(#REF!&gt;=table!$C$7,#REF!&lt;= table!$D$7),-1,IF(AND(#REF!&gt;=table!$E$7,#REF!&lt;=table!$F$7),1,0))</f>
        <v>#REF!</v>
      </c>
      <c r="S4969" s="5" t="e">
        <f>IF(AND(#REF!&gt;=table!$C$8,#REF!&lt;= table!$D$8),-1,IF(AND(#REF!&gt;=table!$E$8,#REF!&lt;=table!$F$8),1,0))</f>
        <v>#REF!</v>
      </c>
      <c r="T4969" s="5"/>
      <c r="U4969" s="5" t="e">
        <f>IF(AND(#REF!&gt;=table!$C$10,#REF!&lt;= table!$D$10),-1,IF(AND(#REF!&gt;=table!$E$10,#REF!&lt;=table!$F$10),1,0))</f>
        <v>#REF!</v>
      </c>
      <c r="V4969" s="5" t="e">
        <f>IF(AND(#REF!&gt;=table!$C$11,#REF!&lt;= table!$D$11),-1,IF(AND(#REF!&gt;=table!$E$11,#REF!&lt;=table!$F$11),1,0))</f>
        <v>#REF!</v>
      </c>
      <c r="W4969" s="5" t="e">
        <f>CONCATENATE(dados[[#This Row],[fator1]],dados[[#This Row],[fator5]],dados[[#This Row],[fator6]])</f>
        <v>#REF!</v>
      </c>
    </row>
    <row r="4970" spans="1:23">
      <c r="A4970" t="s">
        <v>16</v>
      </c>
      <c r="B4970">
        <v>591578</v>
      </c>
      <c r="C4970">
        <v>0.23</v>
      </c>
      <c r="D4970">
        <v>65</v>
      </c>
      <c r="E4970">
        <v>26</v>
      </c>
      <c r="F4970">
        <v>15</v>
      </c>
      <c r="G4970">
        <v>0</v>
      </c>
      <c r="H4970">
        <v>35</v>
      </c>
      <c r="I4970">
        <v>1129</v>
      </c>
      <c r="J4970">
        <v>0</v>
      </c>
      <c r="K4970">
        <v>4.9649999999999999</v>
      </c>
      <c r="L4970">
        <v>6.44</v>
      </c>
      <c r="M4970">
        <v>5.9785000000000004</v>
      </c>
      <c r="N4970">
        <v>11.8</v>
      </c>
      <c r="O4970">
        <v>1675</v>
      </c>
      <c r="P4970">
        <v>851</v>
      </c>
      <c r="Q4970" s="5" t="e">
        <f>IF(AND(#REF!&gt;=table!$C$6,#REF!&lt;= table!$D$6),-1,IF(AND(#REF!&gt;=table!$E$6,#REF!&lt;=table!$F$6),1,0))</f>
        <v>#REF!</v>
      </c>
      <c r="R4970" s="5" t="e">
        <f>IF(AND(#REF!&gt;=table!$C$7,#REF!&lt;= table!$D$7),-1,IF(AND(#REF!&gt;=table!$E$7,#REF!&lt;=table!$F$7),1,0))</f>
        <v>#REF!</v>
      </c>
      <c r="S4970" s="5" t="e">
        <f>IF(AND(#REF!&gt;=table!$C$8,#REF!&lt;= table!$D$8),-1,IF(AND(#REF!&gt;=table!$E$8,#REF!&lt;=table!$F$8),1,0))</f>
        <v>#REF!</v>
      </c>
      <c r="T4970" s="5"/>
      <c r="U4970" s="5" t="e">
        <f>IF(AND(#REF!&gt;=table!$C$10,#REF!&lt;= table!$D$10),-1,IF(AND(#REF!&gt;=table!$E$10,#REF!&lt;=table!$F$10),1,0))</f>
        <v>#REF!</v>
      </c>
      <c r="V4970" s="5" t="e">
        <f>IF(AND(#REF!&gt;=table!$C$11,#REF!&lt;= table!$D$11),-1,IF(AND(#REF!&gt;=table!$E$11,#REF!&lt;=table!$F$11),1,0))</f>
        <v>#REF!</v>
      </c>
      <c r="W4970" s="5" t="e">
        <f>CONCATENATE(dados[[#This Row],[fator1]],dados[[#This Row],[fator5]],dados[[#This Row],[fator6]])</f>
        <v>#REF!</v>
      </c>
    </row>
    <row r="4971" spans="1:23">
      <c r="A4971" t="s">
        <v>16</v>
      </c>
      <c r="B4971">
        <v>591579</v>
      </c>
      <c r="C4971">
        <v>0.23</v>
      </c>
      <c r="D4971">
        <v>65</v>
      </c>
      <c r="E4971">
        <v>26</v>
      </c>
      <c r="F4971">
        <v>15</v>
      </c>
      <c r="G4971">
        <v>0</v>
      </c>
      <c r="H4971">
        <v>35</v>
      </c>
      <c r="I4971">
        <v>735</v>
      </c>
      <c r="J4971">
        <v>0</v>
      </c>
      <c r="K4971">
        <v>3.2800000000000002</v>
      </c>
      <c r="L4971">
        <v>8.5295000000000005</v>
      </c>
      <c r="M4971">
        <v>7.11</v>
      </c>
      <c r="N4971">
        <v>18.345000000000002</v>
      </c>
      <c r="O4971">
        <v>1690</v>
      </c>
      <c r="P4971">
        <v>1156</v>
      </c>
      <c r="Q4971" s="5" t="e">
        <f>IF(AND(#REF!&gt;=table!$C$6,#REF!&lt;= table!$D$6),-1,IF(AND(#REF!&gt;=table!$E$6,#REF!&lt;=table!$F$6),1,0))</f>
        <v>#REF!</v>
      </c>
      <c r="R4971" s="5" t="e">
        <f>IF(AND(#REF!&gt;=table!$C$7,#REF!&lt;= table!$D$7),-1,IF(AND(#REF!&gt;=table!$E$7,#REF!&lt;=table!$F$7),1,0))</f>
        <v>#REF!</v>
      </c>
      <c r="S4971" s="5" t="e">
        <f>IF(AND(#REF!&gt;=table!$C$8,#REF!&lt;= table!$D$8),-1,IF(AND(#REF!&gt;=table!$E$8,#REF!&lt;=table!$F$8),1,0))</f>
        <v>#REF!</v>
      </c>
      <c r="T4971" s="5"/>
      <c r="U4971" s="5" t="e">
        <f>IF(AND(#REF!&gt;=table!$C$10,#REF!&lt;= table!$D$10),-1,IF(AND(#REF!&gt;=table!$E$10,#REF!&lt;=table!$F$10),1,0))</f>
        <v>#REF!</v>
      </c>
      <c r="V4971" s="5" t="e">
        <f>IF(AND(#REF!&gt;=table!$C$11,#REF!&lt;= table!$D$11),-1,IF(AND(#REF!&gt;=table!$E$11,#REF!&lt;=table!$F$11),1,0))</f>
        <v>#REF!</v>
      </c>
      <c r="W4971" s="5" t="e">
        <f>CONCATENATE(dados[[#This Row],[fator1]],dados[[#This Row],[fator5]],dados[[#This Row],[fator6]])</f>
        <v>#REF!</v>
      </c>
    </row>
    <row r="4972" spans="1:23">
      <c r="A4972" t="s">
        <v>16</v>
      </c>
      <c r="B4972">
        <v>591580</v>
      </c>
      <c r="C4972">
        <v>0.23</v>
      </c>
      <c r="D4972">
        <v>65</v>
      </c>
      <c r="E4972">
        <v>26</v>
      </c>
      <c r="F4972">
        <v>15</v>
      </c>
      <c r="G4972">
        <v>0</v>
      </c>
      <c r="H4972">
        <v>35</v>
      </c>
      <c r="I4972">
        <v>667</v>
      </c>
      <c r="J4972">
        <v>0</v>
      </c>
      <c r="K4972">
        <v>18.384</v>
      </c>
      <c r="L4972">
        <v>13.009</v>
      </c>
      <c r="M4972">
        <v>4.9095000000000004</v>
      </c>
      <c r="N4972">
        <v>10.78</v>
      </c>
      <c r="O4972">
        <v>1662</v>
      </c>
      <c r="P4972">
        <v>0</v>
      </c>
      <c r="Q4972" s="5" t="e">
        <f>IF(AND(#REF!&gt;=table!$C$6,#REF!&lt;= table!$D$6),-1,IF(AND(#REF!&gt;=table!$E$6,#REF!&lt;=table!$F$6),1,0))</f>
        <v>#REF!</v>
      </c>
      <c r="R4972" s="5" t="e">
        <f>IF(AND(#REF!&gt;=table!$C$7,#REF!&lt;= table!$D$7),-1,IF(AND(#REF!&gt;=table!$E$7,#REF!&lt;=table!$F$7),1,0))</f>
        <v>#REF!</v>
      </c>
      <c r="S4972" s="5" t="e">
        <f>IF(AND(#REF!&gt;=table!$C$8,#REF!&lt;= table!$D$8),-1,IF(AND(#REF!&gt;=table!$E$8,#REF!&lt;=table!$F$8),1,0))</f>
        <v>#REF!</v>
      </c>
      <c r="T4972" s="5"/>
      <c r="U4972" s="5" t="e">
        <f>IF(AND(#REF!&gt;=table!$C$10,#REF!&lt;= table!$D$10),-1,IF(AND(#REF!&gt;=table!$E$10,#REF!&lt;=table!$F$10),1,0))</f>
        <v>#REF!</v>
      </c>
      <c r="V4972" s="5" t="e">
        <f>IF(AND(#REF!&gt;=table!$C$11,#REF!&lt;= table!$D$11),-1,IF(AND(#REF!&gt;=table!$E$11,#REF!&lt;=table!$F$11),1,0))</f>
        <v>#REF!</v>
      </c>
      <c r="W4972" s="5" t="e">
        <f>CONCATENATE(dados[[#This Row],[fator1]],dados[[#This Row],[fator5]],dados[[#This Row],[fator6]])</f>
        <v>#REF!</v>
      </c>
    </row>
    <row r="4973" spans="1:23">
      <c r="A4973" t="s">
        <v>16</v>
      </c>
      <c r="B4973">
        <v>591582</v>
      </c>
      <c r="C4973">
        <v>0.15</v>
      </c>
      <c r="D4973">
        <v>35</v>
      </c>
      <c r="E4973">
        <v>15</v>
      </c>
      <c r="F4973">
        <v>10</v>
      </c>
      <c r="G4973">
        <v>0</v>
      </c>
      <c r="H4973">
        <v>12</v>
      </c>
      <c r="I4973">
        <v>1224</v>
      </c>
      <c r="J4973">
        <v>0</v>
      </c>
      <c r="K4973">
        <v>3.9815</v>
      </c>
      <c r="L4973">
        <v>9.7960000000000012</v>
      </c>
      <c r="M4973">
        <v>8.3384999999999998</v>
      </c>
      <c r="N4973">
        <v>13.89</v>
      </c>
      <c r="O4973">
        <v>1700</v>
      </c>
      <c r="P4973">
        <v>1402</v>
      </c>
      <c r="Q4973" s="5" t="e">
        <f>IF(AND(#REF!&gt;=table!$C$6,#REF!&lt;= table!$D$6),-1,IF(AND(#REF!&gt;=table!$E$6,#REF!&lt;=table!$F$6),1,0))</f>
        <v>#REF!</v>
      </c>
      <c r="R4973" s="5" t="e">
        <f>IF(AND(#REF!&gt;=table!$C$7,#REF!&lt;= table!$D$7),-1,IF(AND(#REF!&gt;=table!$E$7,#REF!&lt;=table!$F$7),1,0))</f>
        <v>#REF!</v>
      </c>
      <c r="S4973" s="5" t="e">
        <f>IF(AND(#REF!&gt;=table!$C$8,#REF!&lt;= table!$D$8),-1,IF(AND(#REF!&gt;=table!$E$8,#REF!&lt;=table!$F$8),1,0))</f>
        <v>#REF!</v>
      </c>
      <c r="T4973" s="5"/>
      <c r="U4973" s="5" t="e">
        <f>IF(AND(#REF!&gt;=table!$C$10,#REF!&lt;= table!$D$10),-1,IF(AND(#REF!&gt;=table!$E$10,#REF!&lt;=table!$F$10),1,0))</f>
        <v>#REF!</v>
      </c>
      <c r="V4973" s="5" t="e">
        <f>IF(AND(#REF!&gt;=table!$C$11,#REF!&lt;= table!$D$11),-1,IF(AND(#REF!&gt;=table!$E$11,#REF!&lt;=table!$F$11),1,0))</f>
        <v>#REF!</v>
      </c>
      <c r="W4973" s="5" t="e">
        <f>CONCATENATE(dados[[#This Row],[fator1]],dados[[#This Row],[fator5]],dados[[#This Row],[fator6]])</f>
        <v>#REF!</v>
      </c>
    </row>
    <row r="4974" spans="1:23">
      <c r="A4974" t="s">
        <v>16</v>
      </c>
      <c r="B4974">
        <v>591583</v>
      </c>
      <c r="C4974">
        <v>0.15</v>
      </c>
      <c r="D4974">
        <v>35</v>
      </c>
      <c r="E4974">
        <v>15</v>
      </c>
      <c r="F4974">
        <v>10</v>
      </c>
      <c r="G4974">
        <v>0</v>
      </c>
      <c r="H4974">
        <v>12</v>
      </c>
      <c r="I4974">
        <v>158</v>
      </c>
      <c r="J4974">
        <v>0</v>
      </c>
      <c r="K4974">
        <v>4.5590000000000002</v>
      </c>
      <c r="L4974">
        <v>7.3734999999999999</v>
      </c>
      <c r="M4974">
        <v>5.9279999999999999</v>
      </c>
      <c r="N4974">
        <v>13.08</v>
      </c>
      <c r="O4974">
        <v>1681</v>
      </c>
      <c r="P4974">
        <v>1011</v>
      </c>
      <c r="Q4974" s="5" t="e">
        <f>IF(AND(#REF!&gt;=table!$C$6,#REF!&lt;= table!$D$6),-1,IF(AND(#REF!&gt;=table!$E$6,#REF!&lt;=table!$F$6),1,0))</f>
        <v>#REF!</v>
      </c>
      <c r="R4974" s="5" t="e">
        <f>IF(AND(#REF!&gt;=table!$C$7,#REF!&lt;= table!$D$7),-1,IF(AND(#REF!&gt;=table!$E$7,#REF!&lt;=table!$F$7),1,0))</f>
        <v>#REF!</v>
      </c>
      <c r="S4974" s="5" t="e">
        <f>IF(AND(#REF!&gt;=table!$C$8,#REF!&lt;= table!$D$8),-1,IF(AND(#REF!&gt;=table!$E$8,#REF!&lt;=table!$F$8),1,0))</f>
        <v>#REF!</v>
      </c>
      <c r="T4974" s="5"/>
      <c r="U4974" s="5" t="e">
        <f>IF(AND(#REF!&gt;=table!$C$10,#REF!&lt;= table!$D$10),-1,IF(AND(#REF!&gt;=table!$E$10,#REF!&lt;=table!$F$10),1,0))</f>
        <v>#REF!</v>
      </c>
      <c r="V4974" s="5" t="e">
        <f>IF(AND(#REF!&gt;=table!$C$11,#REF!&lt;= table!$D$11),-1,IF(AND(#REF!&gt;=table!$E$11,#REF!&lt;=table!$F$11),1,0))</f>
        <v>#REF!</v>
      </c>
      <c r="W4974" s="5" t="e">
        <f>CONCATENATE(dados[[#This Row],[fator1]],dados[[#This Row],[fator5]],dados[[#This Row],[fator6]])</f>
        <v>#REF!</v>
      </c>
    </row>
    <row r="4975" spans="1:23">
      <c r="A4975" t="s">
        <v>17</v>
      </c>
      <c r="B4975">
        <v>591585</v>
      </c>
      <c r="C4975">
        <v>14</v>
      </c>
      <c r="D4975">
        <v>30</v>
      </c>
      <c r="E4975">
        <v>66</v>
      </c>
      <c r="F4975">
        <v>9</v>
      </c>
      <c r="G4975">
        <v>20</v>
      </c>
      <c r="H4975">
        <v>25</v>
      </c>
      <c r="I4975">
        <v>0</v>
      </c>
      <c r="J4975">
        <v>0</v>
      </c>
      <c r="K4975">
        <v>5.274</v>
      </c>
      <c r="L4975">
        <v>17.613500000000002</v>
      </c>
      <c r="M4975">
        <v>53.263500000000001</v>
      </c>
      <c r="N4975">
        <v>21.405000000000001</v>
      </c>
      <c r="O4975">
        <v>1714</v>
      </c>
      <c r="P4975">
        <v>773</v>
      </c>
      <c r="Q4975" s="5" t="e">
        <f>IF(AND(#REF!&gt;=table!$C$6,#REF!&lt;= table!$D$6),-1,IF(AND(#REF!&gt;=table!$E$6,#REF!&lt;=table!$F$6),1,0))</f>
        <v>#REF!</v>
      </c>
      <c r="R4975" s="5" t="e">
        <f>IF(AND(#REF!&gt;=table!$C$7,#REF!&lt;= table!$D$7),-1,IF(AND(#REF!&gt;=table!$E$7,#REF!&lt;=table!$F$7),1,0))</f>
        <v>#REF!</v>
      </c>
      <c r="S4975" s="5" t="e">
        <f>IF(AND(#REF!&gt;=table!$C$8,#REF!&lt;= table!$D$8),-1,IF(AND(#REF!&gt;=table!$E$8,#REF!&lt;=table!$F$8),1,0))</f>
        <v>#REF!</v>
      </c>
      <c r="T4975" s="5"/>
      <c r="U4975" s="5" t="e">
        <f>IF(AND(#REF!&gt;=table!$C$10,#REF!&lt;= table!$D$10),-1,IF(AND(#REF!&gt;=table!$E$10,#REF!&lt;=table!$F$10),1,0))</f>
        <v>#REF!</v>
      </c>
      <c r="V4975" s="5" t="e">
        <f>IF(AND(#REF!&gt;=table!$C$11,#REF!&lt;= table!$D$11),-1,IF(AND(#REF!&gt;=table!$E$11,#REF!&lt;=table!$F$11),1,0))</f>
        <v>#REF!</v>
      </c>
      <c r="W4975" s="5" t="e">
        <f>CONCATENATE(dados[[#This Row],[fator1]],dados[[#This Row],[fator5]],dados[[#This Row],[fator6]])</f>
        <v>#REF!</v>
      </c>
    </row>
    <row r="4976" spans="1:23">
      <c r="A4976" t="s">
        <v>16</v>
      </c>
      <c r="B4976">
        <v>591587</v>
      </c>
      <c r="C4976">
        <v>0.15</v>
      </c>
      <c r="D4976">
        <v>35</v>
      </c>
      <c r="E4976">
        <v>15</v>
      </c>
      <c r="F4976">
        <v>10</v>
      </c>
      <c r="G4976">
        <v>0</v>
      </c>
      <c r="H4976">
        <v>12</v>
      </c>
      <c r="I4976">
        <v>1048</v>
      </c>
      <c r="J4976">
        <v>0</v>
      </c>
      <c r="K4976">
        <v>4.0165000000000006</v>
      </c>
      <c r="L4976">
        <v>7.8785000000000007</v>
      </c>
      <c r="M4976">
        <v>6.9210000000000003</v>
      </c>
      <c r="N4976">
        <v>12.755000000000001</v>
      </c>
      <c r="O4976">
        <v>1693</v>
      </c>
      <c r="P4976">
        <v>0</v>
      </c>
      <c r="Q4976" s="5" t="e">
        <f>IF(AND(#REF!&gt;=table!$C$6,#REF!&lt;= table!$D$6),-1,IF(AND(#REF!&gt;=table!$E$6,#REF!&lt;=table!$F$6),1,0))</f>
        <v>#REF!</v>
      </c>
      <c r="R4976" s="5" t="e">
        <f>IF(AND(#REF!&gt;=table!$C$7,#REF!&lt;= table!$D$7),-1,IF(AND(#REF!&gt;=table!$E$7,#REF!&lt;=table!$F$7),1,0))</f>
        <v>#REF!</v>
      </c>
      <c r="S4976" s="5" t="e">
        <f>IF(AND(#REF!&gt;=table!$C$8,#REF!&lt;= table!$D$8),-1,IF(AND(#REF!&gt;=table!$E$8,#REF!&lt;=table!$F$8),1,0))</f>
        <v>#REF!</v>
      </c>
      <c r="T4976" s="5"/>
      <c r="U4976" s="5" t="e">
        <f>IF(AND(#REF!&gt;=table!$C$10,#REF!&lt;= table!$D$10),-1,IF(AND(#REF!&gt;=table!$E$10,#REF!&lt;=table!$F$10),1,0))</f>
        <v>#REF!</v>
      </c>
      <c r="V4976" s="5" t="e">
        <f>IF(AND(#REF!&gt;=table!$C$11,#REF!&lt;= table!$D$11),-1,IF(AND(#REF!&gt;=table!$E$11,#REF!&lt;=table!$F$11),1,0))</f>
        <v>#REF!</v>
      </c>
      <c r="W4976" s="5" t="e">
        <f>CONCATENATE(dados[[#This Row],[fator1]],dados[[#This Row],[fator5]],dados[[#This Row],[fator6]])</f>
        <v>#REF!</v>
      </c>
    </row>
    <row r="4977" spans="1:23">
      <c r="A4977" t="s">
        <v>16</v>
      </c>
      <c r="B4977">
        <v>591588</v>
      </c>
      <c r="C4977">
        <v>0.15</v>
      </c>
      <c r="D4977">
        <v>35</v>
      </c>
      <c r="E4977">
        <v>15</v>
      </c>
      <c r="F4977">
        <v>10</v>
      </c>
      <c r="G4977">
        <v>0</v>
      </c>
      <c r="H4977">
        <v>12</v>
      </c>
      <c r="I4977">
        <v>1157</v>
      </c>
      <c r="J4977">
        <v>0</v>
      </c>
      <c r="K4977">
        <v>3.2905000000000002</v>
      </c>
      <c r="L4977">
        <v>4.2275</v>
      </c>
      <c r="M4977">
        <v>4.327</v>
      </c>
      <c r="N4977">
        <v>11.425000000000001</v>
      </c>
      <c r="O4977">
        <v>1677</v>
      </c>
      <c r="P4977">
        <v>0</v>
      </c>
      <c r="Q4977" s="5" t="e">
        <f>IF(AND(#REF!&gt;=table!$C$6,#REF!&lt;= table!$D$6),-1,IF(AND(#REF!&gt;=table!$E$6,#REF!&lt;=table!$F$6),1,0))</f>
        <v>#REF!</v>
      </c>
      <c r="R4977" s="5" t="e">
        <f>IF(AND(#REF!&gt;=table!$C$7,#REF!&lt;= table!$D$7),-1,IF(AND(#REF!&gt;=table!$E$7,#REF!&lt;=table!$F$7),1,0))</f>
        <v>#REF!</v>
      </c>
      <c r="S4977" s="5" t="e">
        <f>IF(AND(#REF!&gt;=table!$C$8,#REF!&lt;= table!$D$8),-1,IF(AND(#REF!&gt;=table!$E$8,#REF!&lt;=table!$F$8),1,0))</f>
        <v>#REF!</v>
      </c>
      <c r="T4977" s="5"/>
      <c r="U4977" s="5" t="e">
        <f>IF(AND(#REF!&gt;=table!$C$10,#REF!&lt;= table!$D$10),-1,IF(AND(#REF!&gt;=table!$E$10,#REF!&lt;=table!$F$10),1,0))</f>
        <v>#REF!</v>
      </c>
      <c r="V4977" s="5" t="e">
        <f>IF(AND(#REF!&gt;=table!$C$11,#REF!&lt;= table!$D$11),-1,IF(AND(#REF!&gt;=table!$E$11,#REF!&lt;=table!$F$11),1,0))</f>
        <v>#REF!</v>
      </c>
      <c r="W4977" s="5" t="e">
        <f>CONCATENATE(dados[[#This Row],[fator1]],dados[[#This Row],[fator5]],dados[[#This Row],[fator6]])</f>
        <v>#REF!</v>
      </c>
    </row>
    <row r="4978" spans="1:23">
      <c r="A4978" t="s">
        <v>16</v>
      </c>
      <c r="B4978">
        <v>591590</v>
      </c>
      <c r="C4978">
        <v>0.15</v>
      </c>
      <c r="D4978">
        <v>40</v>
      </c>
      <c r="E4978">
        <v>10</v>
      </c>
      <c r="F4978">
        <v>15</v>
      </c>
      <c r="G4978">
        <v>0</v>
      </c>
      <c r="H4978">
        <v>15</v>
      </c>
      <c r="I4978">
        <v>939</v>
      </c>
      <c r="J4978">
        <v>0</v>
      </c>
      <c r="K4978">
        <v>5.5550000000000006</v>
      </c>
      <c r="L4978">
        <v>10.023</v>
      </c>
      <c r="M4978">
        <v>8.6370000000000005</v>
      </c>
      <c r="N4978">
        <v>14.870000000000001</v>
      </c>
      <c r="O4978">
        <v>1682</v>
      </c>
      <c r="P4978">
        <v>893</v>
      </c>
      <c r="Q4978" s="5" t="e">
        <f>IF(AND(#REF!&gt;=table!$C$6,#REF!&lt;= table!$D$6),-1,IF(AND(#REF!&gt;=table!$E$6,#REF!&lt;=table!$F$6),1,0))</f>
        <v>#REF!</v>
      </c>
      <c r="R4978" s="5" t="e">
        <f>IF(AND(#REF!&gt;=table!$C$7,#REF!&lt;= table!$D$7),-1,IF(AND(#REF!&gt;=table!$E$7,#REF!&lt;=table!$F$7),1,0))</f>
        <v>#REF!</v>
      </c>
      <c r="S4978" s="5" t="e">
        <f>IF(AND(#REF!&gt;=table!$C$8,#REF!&lt;= table!$D$8),-1,IF(AND(#REF!&gt;=table!$E$8,#REF!&lt;=table!$F$8),1,0))</f>
        <v>#REF!</v>
      </c>
      <c r="T4978" s="5"/>
      <c r="U4978" s="5" t="e">
        <f>IF(AND(#REF!&gt;=table!$C$10,#REF!&lt;= table!$D$10),-1,IF(AND(#REF!&gt;=table!$E$10,#REF!&lt;=table!$F$10),1,0))</f>
        <v>#REF!</v>
      </c>
      <c r="V4978" s="5" t="e">
        <f>IF(AND(#REF!&gt;=table!$C$11,#REF!&lt;= table!$D$11),-1,IF(AND(#REF!&gt;=table!$E$11,#REF!&lt;=table!$F$11),1,0))</f>
        <v>#REF!</v>
      </c>
      <c r="W4978" s="5" t="e">
        <f>CONCATENATE(dados[[#This Row],[fator1]],dados[[#This Row],[fator5]],dados[[#This Row],[fator6]])</f>
        <v>#REF!</v>
      </c>
    </row>
    <row r="4979" spans="1:23">
      <c r="A4979" t="s">
        <v>17</v>
      </c>
      <c r="B4979">
        <v>591596</v>
      </c>
      <c r="C4979">
        <v>10</v>
      </c>
      <c r="D4979">
        <v>25</v>
      </c>
      <c r="E4979">
        <v>80</v>
      </c>
      <c r="F4979">
        <v>10</v>
      </c>
      <c r="G4979">
        <v>110</v>
      </c>
      <c r="H4979">
        <v>50</v>
      </c>
      <c r="I4979">
        <v>582</v>
      </c>
      <c r="J4979">
        <v>0</v>
      </c>
      <c r="K4979">
        <v>2.234</v>
      </c>
      <c r="L4979">
        <v>4.7335000000000003</v>
      </c>
      <c r="M4979">
        <v>70.646000000000001</v>
      </c>
      <c r="N4979">
        <v>32.06</v>
      </c>
      <c r="O4979">
        <v>1714</v>
      </c>
      <c r="P4979">
        <v>0</v>
      </c>
      <c r="Q4979" s="5" t="e">
        <f>IF(AND(#REF!&gt;=table!$C$6,#REF!&lt;= table!$D$6),-1,IF(AND(#REF!&gt;=table!$E$6,#REF!&lt;=table!$F$6),1,0))</f>
        <v>#REF!</v>
      </c>
      <c r="R4979" s="5" t="e">
        <f>IF(AND(#REF!&gt;=table!$C$7,#REF!&lt;= table!$D$7),-1,IF(AND(#REF!&gt;=table!$E$7,#REF!&lt;=table!$F$7),1,0))</f>
        <v>#REF!</v>
      </c>
      <c r="S4979" s="5" t="e">
        <f>IF(AND(#REF!&gt;=table!$C$8,#REF!&lt;= table!$D$8),-1,IF(AND(#REF!&gt;=table!$E$8,#REF!&lt;=table!$F$8),1,0))</f>
        <v>#REF!</v>
      </c>
      <c r="T4979" s="5"/>
      <c r="U4979" s="5" t="e">
        <f>IF(AND(#REF!&gt;=table!$C$10,#REF!&lt;= table!$D$10),-1,IF(AND(#REF!&gt;=table!$E$10,#REF!&lt;=table!$F$10),1,0))</f>
        <v>#REF!</v>
      </c>
      <c r="V4979" s="5" t="e">
        <f>IF(AND(#REF!&gt;=table!$C$11,#REF!&lt;= table!$D$11),-1,IF(AND(#REF!&gt;=table!$E$11,#REF!&lt;=table!$F$11),1,0))</f>
        <v>#REF!</v>
      </c>
      <c r="W4979" s="5" t="e">
        <f>CONCATENATE(dados[[#This Row],[fator1]],dados[[#This Row],[fator5]],dados[[#This Row],[fator6]])</f>
        <v>#REF!</v>
      </c>
    </row>
    <row r="4980" spans="1:23">
      <c r="A4980" t="s">
        <v>16</v>
      </c>
      <c r="B4980">
        <v>591601</v>
      </c>
      <c r="C4980">
        <v>0.1</v>
      </c>
      <c r="D4980">
        <v>40</v>
      </c>
      <c r="E4980">
        <v>10</v>
      </c>
      <c r="F4980">
        <v>8</v>
      </c>
      <c r="G4980">
        <v>0</v>
      </c>
      <c r="H4980">
        <v>10</v>
      </c>
      <c r="I4980">
        <v>883</v>
      </c>
      <c r="J4980">
        <v>0</v>
      </c>
      <c r="K4980">
        <v>3.2030000000000003</v>
      </c>
      <c r="L4980">
        <v>4.2250000000000005</v>
      </c>
      <c r="M4980">
        <v>4.3835000000000006</v>
      </c>
      <c r="N4980">
        <v>10.870000000000001</v>
      </c>
      <c r="O4980">
        <v>1682</v>
      </c>
      <c r="P4980">
        <v>1324</v>
      </c>
      <c r="Q4980" s="5" t="e">
        <f>IF(AND(#REF!&gt;=table!$C$6,#REF!&lt;= table!$D$6),-1,IF(AND(#REF!&gt;=table!$E$6,#REF!&lt;=table!$F$6),1,0))</f>
        <v>#REF!</v>
      </c>
      <c r="R4980" s="5" t="e">
        <f>IF(AND(#REF!&gt;=table!$C$7,#REF!&lt;= table!$D$7),-1,IF(AND(#REF!&gt;=table!$E$7,#REF!&lt;=table!$F$7),1,0))</f>
        <v>#REF!</v>
      </c>
      <c r="S4980" s="5" t="e">
        <f>IF(AND(#REF!&gt;=table!$C$8,#REF!&lt;= table!$D$8),-1,IF(AND(#REF!&gt;=table!$E$8,#REF!&lt;=table!$F$8),1,0))</f>
        <v>#REF!</v>
      </c>
      <c r="T4980" s="5"/>
      <c r="U4980" s="5" t="e">
        <f>IF(AND(#REF!&gt;=table!$C$10,#REF!&lt;= table!$D$10),-1,IF(AND(#REF!&gt;=table!$E$10,#REF!&lt;=table!$F$10),1,0))</f>
        <v>#REF!</v>
      </c>
      <c r="V4980" s="5" t="e">
        <f>IF(AND(#REF!&gt;=table!$C$11,#REF!&lt;= table!$D$11),-1,IF(AND(#REF!&gt;=table!$E$11,#REF!&lt;=table!$F$11),1,0))</f>
        <v>#REF!</v>
      </c>
      <c r="W4980" s="5" t="e">
        <f>CONCATENATE(dados[[#This Row],[fator1]],dados[[#This Row],[fator5]],dados[[#This Row],[fator6]])</f>
        <v>#REF!</v>
      </c>
    </row>
    <row r="4981" spans="1:23">
      <c r="A4981" t="s">
        <v>17</v>
      </c>
      <c r="B4981">
        <v>591602</v>
      </c>
      <c r="C4981">
        <v>4</v>
      </c>
      <c r="D4981">
        <v>25</v>
      </c>
      <c r="E4981">
        <v>21</v>
      </c>
      <c r="F4981">
        <v>10</v>
      </c>
      <c r="G4981">
        <v>110</v>
      </c>
      <c r="H4981">
        <v>50</v>
      </c>
      <c r="I4981">
        <v>1033</v>
      </c>
      <c r="J4981">
        <v>0</v>
      </c>
      <c r="K4981">
        <v>2.8850000000000002</v>
      </c>
      <c r="L4981">
        <v>6.1880000000000006</v>
      </c>
      <c r="M4981">
        <v>12.695</v>
      </c>
      <c r="N4981">
        <v>29.57</v>
      </c>
      <c r="O4981">
        <v>1656</v>
      </c>
      <c r="P4981">
        <v>0</v>
      </c>
      <c r="Q4981" s="5" t="e">
        <f>IF(AND(#REF!&gt;=table!$C$6,#REF!&lt;= table!$D$6),-1,IF(AND(#REF!&gt;=table!$E$6,#REF!&lt;=table!$F$6),1,0))</f>
        <v>#REF!</v>
      </c>
      <c r="R4981" s="5" t="e">
        <f>IF(AND(#REF!&gt;=table!$C$7,#REF!&lt;= table!$D$7),-1,IF(AND(#REF!&gt;=table!$E$7,#REF!&lt;=table!$F$7),1,0))</f>
        <v>#REF!</v>
      </c>
      <c r="S4981" s="5" t="e">
        <f>IF(AND(#REF!&gt;=table!$C$8,#REF!&lt;= table!$D$8),-1,IF(AND(#REF!&gt;=table!$E$8,#REF!&lt;=table!$F$8),1,0))</f>
        <v>#REF!</v>
      </c>
      <c r="T4981" s="5"/>
      <c r="U4981" s="5" t="e">
        <f>IF(AND(#REF!&gt;=table!$C$10,#REF!&lt;= table!$D$10),-1,IF(AND(#REF!&gt;=table!$E$10,#REF!&lt;=table!$F$10),1,0))</f>
        <v>#REF!</v>
      </c>
      <c r="V4981" s="5" t="e">
        <f>IF(AND(#REF!&gt;=table!$C$11,#REF!&lt;= table!$D$11),-1,IF(AND(#REF!&gt;=table!$E$11,#REF!&lt;=table!$F$11),1,0))</f>
        <v>#REF!</v>
      </c>
      <c r="W4981" s="5" t="e">
        <f>CONCATENATE(dados[[#This Row],[fator1]],dados[[#This Row],[fator5]],dados[[#This Row],[fator6]])</f>
        <v>#REF!</v>
      </c>
    </row>
    <row r="4982" spans="1:23">
      <c r="A4982" t="s">
        <v>16</v>
      </c>
      <c r="B4982">
        <v>591608</v>
      </c>
      <c r="C4982">
        <v>0.15</v>
      </c>
      <c r="D4982">
        <v>40</v>
      </c>
      <c r="E4982">
        <v>10</v>
      </c>
      <c r="F4982">
        <v>15</v>
      </c>
      <c r="G4982">
        <v>0</v>
      </c>
      <c r="H4982">
        <v>15</v>
      </c>
      <c r="I4982">
        <v>292</v>
      </c>
      <c r="J4982">
        <v>0</v>
      </c>
      <c r="K4982">
        <v>5.6675000000000004</v>
      </c>
      <c r="L4982">
        <v>8.0265000000000004</v>
      </c>
      <c r="M4982">
        <v>7.2440000000000007</v>
      </c>
      <c r="N4982">
        <v>10.8</v>
      </c>
      <c r="O4982">
        <v>1674</v>
      </c>
      <c r="P4982">
        <v>0</v>
      </c>
      <c r="Q4982" s="5" t="e">
        <f>IF(AND(#REF!&gt;=table!$C$6,#REF!&lt;= table!$D$6),-1,IF(AND(#REF!&gt;=table!$E$6,#REF!&lt;=table!$F$6),1,0))</f>
        <v>#REF!</v>
      </c>
      <c r="R4982" s="5" t="e">
        <f>IF(AND(#REF!&gt;=table!$C$7,#REF!&lt;= table!$D$7),-1,IF(AND(#REF!&gt;=table!$E$7,#REF!&lt;=table!$F$7),1,0))</f>
        <v>#REF!</v>
      </c>
      <c r="S4982" s="5" t="e">
        <f>IF(AND(#REF!&gt;=table!$C$8,#REF!&lt;= table!$D$8),-1,IF(AND(#REF!&gt;=table!$E$8,#REF!&lt;=table!$F$8),1,0))</f>
        <v>#REF!</v>
      </c>
      <c r="T4982" s="5"/>
      <c r="U4982" s="5" t="e">
        <f>IF(AND(#REF!&gt;=table!$C$10,#REF!&lt;= table!$D$10),-1,IF(AND(#REF!&gt;=table!$E$10,#REF!&lt;=table!$F$10),1,0))</f>
        <v>#REF!</v>
      </c>
      <c r="V4982" s="5" t="e">
        <f>IF(AND(#REF!&gt;=table!$C$11,#REF!&lt;= table!$D$11),-1,IF(AND(#REF!&gt;=table!$E$11,#REF!&lt;=table!$F$11),1,0))</f>
        <v>#REF!</v>
      </c>
      <c r="W4982" s="5" t="e">
        <f>CONCATENATE(dados[[#This Row],[fator1]],dados[[#This Row],[fator5]],dados[[#This Row],[fator6]])</f>
        <v>#REF!</v>
      </c>
    </row>
    <row r="4983" spans="1:23">
      <c r="A4983" t="s">
        <v>16</v>
      </c>
      <c r="B4983">
        <v>591609</v>
      </c>
      <c r="C4983">
        <v>0.15</v>
      </c>
      <c r="D4983">
        <v>40</v>
      </c>
      <c r="E4983">
        <v>10</v>
      </c>
      <c r="F4983">
        <v>15</v>
      </c>
      <c r="G4983">
        <v>0</v>
      </c>
      <c r="H4983">
        <v>15</v>
      </c>
      <c r="I4983">
        <v>722</v>
      </c>
      <c r="J4983">
        <v>0</v>
      </c>
      <c r="K4983">
        <v>5.6510000000000007</v>
      </c>
      <c r="L4983">
        <v>9.2170000000000005</v>
      </c>
      <c r="M4983">
        <v>8.1590000000000007</v>
      </c>
      <c r="N4983">
        <v>12.31</v>
      </c>
      <c r="O4983">
        <v>1652</v>
      </c>
      <c r="P4983">
        <v>0</v>
      </c>
      <c r="Q4983" s="5" t="e">
        <f>IF(AND(#REF!&gt;=table!$C$6,#REF!&lt;= table!$D$6),-1,IF(AND(#REF!&gt;=table!$E$6,#REF!&lt;=table!$F$6),1,0))</f>
        <v>#REF!</v>
      </c>
      <c r="R4983" s="5" t="e">
        <f>IF(AND(#REF!&gt;=table!$C$7,#REF!&lt;= table!$D$7),-1,IF(AND(#REF!&gt;=table!$E$7,#REF!&lt;=table!$F$7),1,0))</f>
        <v>#REF!</v>
      </c>
      <c r="S4983" s="5" t="e">
        <f>IF(AND(#REF!&gt;=table!$C$8,#REF!&lt;= table!$D$8),-1,IF(AND(#REF!&gt;=table!$E$8,#REF!&lt;=table!$F$8),1,0))</f>
        <v>#REF!</v>
      </c>
      <c r="T4983" s="5"/>
      <c r="U4983" s="5" t="e">
        <f>IF(AND(#REF!&gt;=table!$C$10,#REF!&lt;= table!$D$10),-1,IF(AND(#REF!&gt;=table!$E$10,#REF!&lt;=table!$F$10),1,0))</f>
        <v>#REF!</v>
      </c>
      <c r="V4983" s="5" t="e">
        <f>IF(AND(#REF!&gt;=table!$C$11,#REF!&lt;= table!$D$11),-1,IF(AND(#REF!&gt;=table!$E$11,#REF!&lt;=table!$F$11),1,0))</f>
        <v>#REF!</v>
      </c>
      <c r="W4983" s="5" t="e">
        <f>CONCATENATE(dados[[#This Row],[fator1]],dados[[#This Row],[fator5]],dados[[#This Row],[fator6]])</f>
        <v>#REF!</v>
      </c>
    </row>
    <row r="4984" spans="1:23">
      <c r="A4984" t="s">
        <v>16</v>
      </c>
      <c r="B4984">
        <v>591617</v>
      </c>
      <c r="C4984">
        <v>0.15</v>
      </c>
      <c r="D4984">
        <v>40</v>
      </c>
      <c r="E4984">
        <v>10</v>
      </c>
      <c r="F4984">
        <v>15</v>
      </c>
      <c r="G4984">
        <v>0</v>
      </c>
      <c r="H4984">
        <v>15</v>
      </c>
      <c r="I4984">
        <v>768</v>
      </c>
      <c r="J4984">
        <v>0</v>
      </c>
      <c r="K4984">
        <v>4.1230000000000002</v>
      </c>
      <c r="L4984">
        <v>8.1195000000000004</v>
      </c>
      <c r="M4984">
        <v>6.8334999999999999</v>
      </c>
      <c r="N4984">
        <v>15.19</v>
      </c>
      <c r="O4984">
        <v>1688</v>
      </c>
      <c r="P4984">
        <v>1201</v>
      </c>
      <c r="Q4984" s="5" t="e">
        <f>IF(AND(#REF!&gt;=table!$C$6,#REF!&lt;= table!$D$6),-1,IF(AND(#REF!&gt;=table!$E$6,#REF!&lt;=table!$F$6),1,0))</f>
        <v>#REF!</v>
      </c>
      <c r="R4984" s="5" t="e">
        <f>IF(AND(#REF!&gt;=table!$C$7,#REF!&lt;= table!$D$7),-1,IF(AND(#REF!&gt;=table!$E$7,#REF!&lt;=table!$F$7),1,0))</f>
        <v>#REF!</v>
      </c>
      <c r="S4984" s="5" t="e">
        <f>IF(AND(#REF!&gt;=table!$C$8,#REF!&lt;= table!$D$8),-1,IF(AND(#REF!&gt;=table!$E$8,#REF!&lt;=table!$F$8),1,0))</f>
        <v>#REF!</v>
      </c>
      <c r="T4984" s="5"/>
      <c r="U4984" s="5" t="e">
        <f>IF(AND(#REF!&gt;=table!$C$10,#REF!&lt;= table!$D$10),-1,IF(AND(#REF!&gt;=table!$E$10,#REF!&lt;=table!$F$10),1,0))</f>
        <v>#REF!</v>
      </c>
      <c r="V4984" s="5" t="e">
        <f>IF(AND(#REF!&gt;=table!$C$11,#REF!&lt;= table!$D$11),-1,IF(AND(#REF!&gt;=table!$E$11,#REF!&lt;=table!$F$11),1,0))</f>
        <v>#REF!</v>
      </c>
      <c r="W4984" s="5" t="e">
        <f>CONCATENATE(dados[[#This Row],[fator1]],dados[[#This Row],[fator5]],dados[[#This Row],[fator6]])</f>
        <v>#REF!</v>
      </c>
    </row>
    <row r="4985" spans="1:23">
      <c r="A4985" t="s">
        <v>16</v>
      </c>
      <c r="B4985">
        <v>591621</v>
      </c>
      <c r="C4985">
        <v>3</v>
      </c>
      <c r="D4985">
        <v>30</v>
      </c>
      <c r="E4985">
        <v>21</v>
      </c>
      <c r="F4985">
        <v>15</v>
      </c>
      <c r="G4985">
        <v>0</v>
      </c>
      <c r="H4985">
        <v>25</v>
      </c>
      <c r="I4985">
        <v>882</v>
      </c>
      <c r="J4985">
        <v>0</v>
      </c>
      <c r="K4985">
        <v>5.3719999999999999</v>
      </c>
      <c r="L4985">
        <v>5.5605000000000002</v>
      </c>
      <c r="M4985">
        <v>13.375500000000001</v>
      </c>
      <c r="N4985">
        <v>13.870000000000001</v>
      </c>
      <c r="O4985">
        <v>1638</v>
      </c>
      <c r="P4985">
        <v>554</v>
      </c>
      <c r="Q4985" s="5" t="e">
        <f>IF(AND(#REF!&gt;=table!$C$6,#REF!&lt;= table!$D$6),-1,IF(AND(#REF!&gt;=table!$E$6,#REF!&lt;=table!$F$6),1,0))</f>
        <v>#REF!</v>
      </c>
      <c r="R4985" s="5" t="e">
        <f>IF(AND(#REF!&gt;=table!$C$7,#REF!&lt;= table!$D$7),-1,IF(AND(#REF!&gt;=table!$E$7,#REF!&lt;=table!$F$7),1,0))</f>
        <v>#REF!</v>
      </c>
      <c r="S4985" s="5" t="e">
        <f>IF(AND(#REF!&gt;=table!$C$8,#REF!&lt;= table!$D$8),-1,IF(AND(#REF!&gt;=table!$E$8,#REF!&lt;=table!$F$8),1,0))</f>
        <v>#REF!</v>
      </c>
      <c r="T4985" s="5"/>
      <c r="U4985" s="5" t="e">
        <f>IF(AND(#REF!&gt;=table!$C$10,#REF!&lt;= table!$D$10),-1,IF(AND(#REF!&gt;=table!$E$10,#REF!&lt;=table!$F$10),1,0))</f>
        <v>#REF!</v>
      </c>
      <c r="V4985" s="5" t="e">
        <f>IF(AND(#REF!&gt;=table!$C$11,#REF!&lt;= table!$D$11),-1,IF(AND(#REF!&gt;=table!$E$11,#REF!&lt;=table!$F$11),1,0))</f>
        <v>#REF!</v>
      </c>
      <c r="W4985" s="5" t="e">
        <f>CONCATENATE(dados[[#This Row],[fator1]],dados[[#This Row],[fator5]],dados[[#This Row],[fator6]])</f>
        <v>#REF!</v>
      </c>
    </row>
    <row r="4986" spans="1:23">
      <c r="A4986" t="s">
        <v>16</v>
      </c>
      <c r="B4986">
        <v>591622</v>
      </c>
      <c r="C4986">
        <v>0.19</v>
      </c>
      <c r="D4986">
        <v>50</v>
      </c>
      <c r="E4986">
        <v>56</v>
      </c>
      <c r="F4986">
        <v>15</v>
      </c>
      <c r="G4986">
        <v>0</v>
      </c>
      <c r="H4986">
        <v>50</v>
      </c>
      <c r="I4986">
        <v>1087</v>
      </c>
      <c r="J4986">
        <v>0</v>
      </c>
      <c r="K4986">
        <v>3.5010000000000003</v>
      </c>
      <c r="L4986">
        <v>5.0230000000000006</v>
      </c>
      <c r="M4986">
        <v>4.5525000000000002</v>
      </c>
      <c r="N4986">
        <v>17.190000000000001</v>
      </c>
      <c r="O4986">
        <v>1689</v>
      </c>
      <c r="P4986">
        <v>1348</v>
      </c>
      <c r="Q4986" s="5" t="e">
        <f>IF(AND(#REF!&gt;=table!$C$6,#REF!&lt;= table!$D$6),-1,IF(AND(#REF!&gt;=table!$E$6,#REF!&lt;=table!$F$6),1,0))</f>
        <v>#REF!</v>
      </c>
      <c r="R4986" s="5" t="e">
        <f>IF(AND(#REF!&gt;=table!$C$7,#REF!&lt;= table!$D$7),-1,IF(AND(#REF!&gt;=table!$E$7,#REF!&lt;=table!$F$7),1,0))</f>
        <v>#REF!</v>
      </c>
      <c r="S4986" s="5" t="e">
        <f>IF(AND(#REF!&gt;=table!$C$8,#REF!&lt;= table!$D$8),-1,IF(AND(#REF!&gt;=table!$E$8,#REF!&lt;=table!$F$8),1,0))</f>
        <v>#REF!</v>
      </c>
      <c r="T4986" s="5"/>
      <c r="U4986" s="5" t="e">
        <f>IF(AND(#REF!&gt;=table!$C$10,#REF!&lt;= table!$D$10),-1,IF(AND(#REF!&gt;=table!$E$10,#REF!&lt;=table!$F$10),1,0))</f>
        <v>#REF!</v>
      </c>
      <c r="V4986" s="5" t="e">
        <f>IF(AND(#REF!&gt;=table!$C$11,#REF!&lt;= table!$D$11),-1,IF(AND(#REF!&gt;=table!$E$11,#REF!&lt;=table!$F$11),1,0))</f>
        <v>#REF!</v>
      </c>
      <c r="W4986" s="5" t="e">
        <f>CONCATENATE(dados[[#This Row],[fator1]],dados[[#This Row],[fator5]],dados[[#This Row],[fator6]])</f>
        <v>#REF!</v>
      </c>
    </row>
    <row r="4987" spans="1:23">
      <c r="A4987" t="s">
        <v>16</v>
      </c>
      <c r="B4987">
        <v>591625</v>
      </c>
      <c r="C4987">
        <v>0.18</v>
      </c>
      <c r="D4987">
        <v>40</v>
      </c>
      <c r="E4987">
        <v>70</v>
      </c>
      <c r="F4987">
        <v>15</v>
      </c>
      <c r="G4987">
        <v>0</v>
      </c>
      <c r="H4987">
        <v>80</v>
      </c>
      <c r="I4987">
        <v>1938</v>
      </c>
      <c r="J4987">
        <v>0</v>
      </c>
      <c r="K4987">
        <v>7.2645</v>
      </c>
      <c r="L4987">
        <v>10.657500000000001</v>
      </c>
      <c r="M4987">
        <v>9.2330000000000005</v>
      </c>
      <c r="N4987">
        <v>18.03</v>
      </c>
      <c r="O4987">
        <v>1662</v>
      </c>
      <c r="P4987">
        <v>674</v>
      </c>
      <c r="Q4987" s="5" t="e">
        <f>IF(AND(#REF!&gt;=table!$C$6,#REF!&lt;= table!$D$6),-1,IF(AND(#REF!&gt;=table!$E$6,#REF!&lt;=table!$F$6),1,0))</f>
        <v>#REF!</v>
      </c>
      <c r="R4987" s="5" t="e">
        <f>IF(AND(#REF!&gt;=table!$C$7,#REF!&lt;= table!$D$7),-1,IF(AND(#REF!&gt;=table!$E$7,#REF!&lt;=table!$F$7),1,0))</f>
        <v>#REF!</v>
      </c>
      <c r="S4987" s="5" t="e">
        <f>IF(AND(#REF!&gt;=table!$C$8,#REF!&lt;= table!$D$8),-1,IF(AND(#REF!&gt;=table!$E$8,#REF!&lt;=table!$F$8),1,0))</f>
        <v>#REF!</v>
      </c>
      <c r="T4987" s="5"/>
      <c r="U4987" s="5" t="e">
        <f>IF(AND(#REF!&gt;=table!$C$10,#REF!&lt;= table!$D$10),-1,IF(AND(#REF!&gt;=table!$E$10,#REF!&lt;=table!$F$10),1,0))</f>
        <v>#REF!</v>
      </c>
      <c r="V4987" s="5" t="e">
        <f>IF(AND(#REF!&gt;=table!$C$11,#REF!&lt;= table!$D$11),-1,IF(AND(#REF!&gt;=table!$E$11,#REF!&lt;=table!$F$11),1,0))</f>
        <v>#REF!</v>
      </c>
      <c r="W4987" s="5" t="e">
        <f>CONCATENATE(dados[[#This Row],[fator1]],dados[[#This Row],[fator5]],dados[[#This Row],[fator6]])</f>
        <v>#REF!</v>
      </c>
    </row>
    <row r="4988" spans="1:23">
      <c r="A4988" t="s">
        <v>17</v>
      </c>
      <c r="B4988">
        <v>591628</v>
      </c>
      <c r="C4988">
        <v>13</v>
      </c>
      <c r="D4988">
        <v>25</v>
      </c>
      <c r="E4988">
        <v>140</v>
      </c>
      <c r="F4988">
        <v>10</v>
      </c>
      <c r="G4988">
        <v>33</v>
      </c>
      <c r="H4988">
        <v>25</v>
      </c>
      <c r="I4988">
        <v>620</v>
      </c>
      <c r="J4988">
        <v>0</v>
      </c>
      <c r="K4988">
        <v>7.1420000000000003</v>
      </c>
      <c r="L4988">
        <v>12.648000000000001</v>
      </c>
      <c r="M4988">
        <v>104.863</v>
      </c>
      <c r="N4988">
        <v>16.740000000000002</v>
      </c>
      <c r="O4988">
        <v>1681</v>
      </c>
      <c r="P4988">
        <v>400</v>
      </c>
      <c r="Q4988" s="5" t="e">
        <f>IF(AND(#REF!&gt;=table!$C$6,#REF!&lt;= table!$D$6),-1,IF(AND(#REF!&gt;=table!$E$6,#REF!&lt;=table!$F$6),1,0))</f>
        <v>#REF!</v>
      </c>
      <c r="R4988" s="5" t="e">
        <f>IF(AND(#REF!&gt;=table!$C$7,#REF!&lt;= table!$D$7),-1,IF(AND(#REF!&gt;=table!$E$7,#REF!&lt;=table!$F$7),1,0))</f>
        <v>#REF!</v>
      </c>
      <c r="S4988" s="5" t="e">
        <f>IF(AND(#REF!&gt;=table!$C$8,#REF!&lt;= table!$D$8),-1,IF(AND(#REF!&gt;=table!$E$8,#REF!&lt;=table!$F$8),1,0))</f>
        <v>#REF!</v>
      </c>
      <c r="T4988" s="5"/>
      <c r="U4988" s="5" t="e">
        <f>IF(AND(#REF!&gt;=table!$C$10,#REF!&lt;= table!$D$10),-1,IF(AND(#REF!&gt;=table!$E$10,#REF!&lt;=table!$F$10),1,0))</f>
        <v>#REF!</v>
      </c>
      <c r="V4988" s="5" t="e">
        <f>IF(AND(#REF!&gt;=table!$C$11,#REF!&lt;= table!$D$11),-1,IF(AND(#REF!&gt;=table!$E$11,#REF!&lt;=table!$F$11),1,0))</f>
        <v>#REF!</v>
      </c>
      <c r="W4988" s="5" t="e">
        <f>CONCATENATE(dados[[#This Row],[fator1]],dados[[#This Row],[fator5]],dados[[#This Row],[fator6]])</f>
        <v>#REF!</v>
      </c>
    </row>
    <row r="4989" spans="1:23">
      <c r="A4989" t="s">
        <v>17</v>
      </c>
      <c r="B4989">
        <v>591631</v>
      </c>
      <c r="C4989">
        <v>16</v>
      </c>
      <c r="D4989">
        <v>23</v>
      </c>
      <c r="E4989">
        <v>145</v>
      </c>
      <c r="F4989">
        <v>9</v>
      </c>
      <c r="G4989">
        <v>30</v>
      </c>
      <c r="H4989">
        <v>25</v>
      </c>
      <c r="I4989">
        <v>3</v>
      </c>
      <c r="J4989">
        <v>0</v>
      </c>
      <c r="K4989">
        <v>6.3075000000000001</v>
      </c>
      <c r="L4989">
        <v>10.5695</v>
      </c>
      <c r="M4989">
        <v>116.81200000000001</v>
      </c>
      <c r="N4989">
        <v>21.1</v>
      </c>
      <c r="O4989">
        <v>1669</v>
      </c>
      <c r="P4989">
        <v>601</v>
      </c>
      <c r="Q4989" s="5" t="e">
        <f>IF(AND(#REF!&gt;=table!$C$6,#REF!&lt;= table!$D$6),-1,IF(AND(#REF!&gt;=table!$E$6,#REF!&lt;=table!$F$6),1,0))</f>
        <v>#REF!</v>
      </c>
      <c r="R4989" s="5" t="e">
        <f>IF(AND(#REF!&gt;=table!$C$7,#REF!&lt;= table!$D$7),-1,IF(AND(#REF!&gt;=table!$E$7,#REF!&lt;=table!$F$7),1,0))</f>
        <v>#REF!</v>
      </c>
      <c r="S4989" s="5" t="e">
        <f>IF(AND(#REF!&gt;=table!$C$8,#REF!&lt;= table!$D$8),-1,IF(AND(#REF!&gt;=table!$E$8,#REF!&lt;=table!$F$8),1,0))</f>
        <v>#REF!</v>
      </c>
      <c r="T4989" s="5"/>
      <c r="U4989" s="5" t="e">
        <f>IF(AND(#REF!&gt;=table!$C$10,#REF!&lt;= table!$D$10),-1,IF(AND(#REF!&gt;=table!$E$10,#REF!&lt;=table!$F$10),1,0))</f>
        <v>#REF!</v>
      </c>
      <c r="V4989" s="5" t="e">
        <f>IF(AND(#REF!&gt;=table!$C$11,#REF!&lt;= table!$D$11),-1,IF(AND(#REF!&gt;=table!$E$11,#REF!&lt;=table!$F$11),1,0))</f>
        <v>#REF!</v>
      </c>
      <c r="W4989" s="5" t="e">
        <f>CONCATENATE(dados[[#This Row],[fator1]],dados[[#This Row],[fator5]],dados[[#This Row],[fator6]])</f>
        <v>#REF!</v>
      </c>
    </row>
    <row r="4990" spans="1:23">
      <c r="A4990" t="s">
        <v>17</v>
      </c>
      <c r="B4990">
        <v>591632</v>
      </c>
      <c r="C4990">
        <v>18</v>
      </c>
      <c r="D4990">
        <v>30</v>
      </c>
      <c r="E4990">
        <v>136</v>
      </c>
      <c r="F4990">
        <v>3</v>
      </c>
      <c r="G4990">
        <v>20</v>
      </c>
      <c r="H4990">
        <v>25</v>
      </c>
      <c r="I4990">
        <v>368</v>
      </c>
      <c r="J4990">
        <v>0</v>
      </c>
      <c r="K4990">
        <v>3.93</v>
      </c>
      <c r="L4990">
        <v>10.345000000000001</v>
      </c>
      <c r="M4990">
        <v>119.05800000000001</v>
      </c>
      <c r="N4990">
        <v>20.010000000000002</v>
      </c>
      <c r="O4990">
        <v>1692</v>
      </c>
      <c r="P4990">
        <v>996</v>
      </c>
      <c r="Q4990" s="5" t="e">
        <f>IF(AND(#REF!&gt;=table!$C$6,#REF!&lt;= table!$D$6),-1,IF(AND(#REF!&gt;=table!$E$6,#REF!&lt;=table!$F$6),1,0))</f>
        <v>#REF!</v>
      </c>
      <c r="R4990" s="5" t="e">
        <f>IF(AND(#REF!&gt;=table!$C$7,#REF!&lt;= table!$D$7),-1,IF(AND(#REF!&gt;=table!$E$7,#REF!&lt;=table!$F$7),1,0))</f>
        <v>#REF!</v>
      </c>
      <c r="S4990" s="5" t="e">
        <f>IF(AND(#REF!&gt;=table!$C$8,#REF!&lt;= table!$D$8),-1,IF(AND(#REF!&gt;=table!$E$8,#REF!&lt;=table!$F$8),1,0))</f>
        <v>#REF!</v>
      </c>
      <c r="T4990" s="5"/>
      <c r="U4990" s="5" t="e">
        <f>IF(AND(#REF!&gt;=table!$C$10,#REF!&lt;= table!$D$10),-1,IF(AND(#REF!&gt;=table!$E$10,#REF!&lt;=table!$F$10),1,0))</f>
        <v>#REF!</v>
      </c>
      <c r="V4990" s="5" t="e">
        <f>IF(AND(#REF!&gt;=table!$C$11,#REF!&lt;= table!$D$11),-1,IF(AND(#REF!&gt;=table!$E$11,#REF!&lt;=table!$F$11),1,0))</f>
        <v>#REF!</v>
      </c>
      <c r="W4990" s="5" t="e">
        <f>CONCATENATE(dados[[#This Row],[fator1]],dados[[#This Row],[fator5]],dados[[#This Row],[fator6]])</f>
        <v>#REF!</v>
      </c>
    </row>
    <row r="4991" spans="1:23">
      <c r="A4991" t="s">
        <v>17</v>
      </c>
      <c r="B4991">
        <v>591633</v>
      </c>
      <c r="C4991">
        <v>8</v>
      </c>
      <c r="D4991">
        <v>30</v>
      </c>
      <c r="E4991">
        <v>153</v>
      </c>
      <c r="F4991">
        <v>2</v>
      </c>
      <c r="G4991">
        <v>20</v>
      </c>
      <c r="H4991">
        <v>18</v>
      </c>
      <c r="I4991">
        <v>151</v>
      </c>
      <c r="J4991">
        <v>0</v>
      </c>
      <c r="K4991">
        <v>4.2160000000000002</v>
      </c>
      <c r="L4991">
        <v>7.67</v>
      </c>
      <c r="M4991">
        <v>118.021</v>
      </c>
      <c r="N4991">
        <v>11.205</v>
      </c>
      <c r="O4991">
        <v>1690</v>
      </c>
      <c r="P4991">
        <v>0</v>
      </c>
      <c r="Q4991" s="5" t="e">
        <f>IF(AND(#REF!&gt;=table!$C$6,#REF!&lt;= table!$D$6),-1,IF(AND(#REF!&gt;=table!$E$6,#REF!&lt;=table!$F$6),1,0))</f>
        <v>#REF!</v>
      </c>
      <c r="R4991" s="5" t="e">
        <f>IF(AND(#REF!&gt;=table!$C$7,#REF!&lt;= table!$D$7),-1,IF(AND(#REF!&gt;=table!$E$7,#REF!&lt;=table!$F$7),1,0))</f>
        <v>#REF!</v>
      </c>
      <c r="S4991" s="5" t="e">
        <f>IF(AND(#REF!&gt;=table!$C$8,#REF!&lt;= table!$D$8),-1,IF(AND(#REF!&gt;=table!$E$8,#REF!&lt;=table!$F$8),1,0))</f>
        <v>#REF!</v>
      </c>
      <c r="T4991" s="5"/>
      <c r="U4991" s="5" t="e">
        <f>IF(AND(#REF!&gt;=table!$C$10,#REF!&lt;= table!$D$10),-1,IF(AND(#REF!&gt;=table!$E$10,#REF!&lt;=table!$F$10),1,0))</f>
        <v>#REF!</v>
      </c>
      <c r="V4991" s="5" t="e">
        <f>IF(AND(#REF!&gt;=table!$C$11,#REF!&lt;= table!$D$11),-1,IF(AND(#REF!&gt;=table!$E$11,#REF!&lt;=table!$F$11),1,0))</f>
        <v>#REF!</v>
      </c>
      <c r="W4991" s="5" t="e">
        <f>CONCATENATE(dados[[#This Row],[fator1]],dados[[#This Row],[fator5]],dados[[#This Row],[fator6]])</f>
        <v>#REF!</v>
      </c>
    </row>
    <row r="4992" spans="1:23">
      <c r="A4992" t="s">
        <v>17</v>
      </c>
      <c r="B4992">
        <v>591634</v>
      </c>
      <c r="C4992">
        <v>18</v>
      </c>
      <c r="D4992">
        <v>30</v>
      </c>
      <c r="E4992">
        <v>136</v>
      </c>
      <c r="F4992">
        <v>3</v>
      </c>
      <c r="G4992">
        <v>20</v>
      </c>
      <c r="H4992">
        <v>25</v>
      </c>
      <c r="I4992">
        <v>700</v>
      </c>
      <c r="J4992">
        <v>0</v>
      </c>
      <c r="K4992">
        <v>5.9729999999999999</v>
      </c>
      <c r="L4992">
        <v>9.5534999999999997</v>
      </c>
      <c r="M4992">
        <v>107.2115</v>
      </c>
      <c r="N4992">
        <v>13.8</v>
      </c>
      <c r="O4992">
        <v>1668</v>
      </c>
      <c r="P4992">
        <v>586</v>
      </c>
      <c r="Q4992" s="5" t="e">
        <f>IF(AND(#REF!&gt;=table!$C$6,#REF!&lt;= table!$D$6),-1,IF(AND(#REF!&gt;=table!$E$6,#REF!&lt;=table!$F$6),1,0))</f>
        <v>#REF!</v>
      </c>
      <c r="R4992" s="5" t="e">
        <f>IF(AND(#REF!&gt;=table!$C$7,#REF!&lt;= table!$D$7),-1,IF(AND(#REF!&gt;=table!$E$7,#REF!&lt;=table!$F$7),1,0))</f>
        <v>#REF!</v>
      </c>
      <c r="S4992" s="5" t="e">
        <f>IF(AND(#REF!&gt;=table!$C$8,#REF!&lt;= table!$D$8),-1,IF(AND(#REF!&gt;=table!$E$8,#REF!&lt;=table!$F$8),1,0))</f>
        <v>#REF!</v>
      </c>
      <c r="T4992" s="5"/>
      <c r="U4992" s="5" t="e">
        <f>IF(AND(#REF!&gt;=table!$C$10,#REF!&lt;= table!$D$10),-1,IF(AND(#REF!&gt;=table!$E$10,#REF!&lt;=table!$F$10),1,0))</f>
        <v>#REF!</v>
      </c>
      <c r="V4992" s="5" t="e">
        <f>IF(AND(#REF!&gt;=table!$C$11,#REF!&lt;= table!$D$11),-1,IF(AND(#REF!&gt;=table!$E$11,#REF!&lt;=table!$F$11),1,0))</f>
        <v>#REF!</v>
      </c>
      <c r="W4992" s="5" t="e">
        <f>CONCATENATE(dados[[#This Row],[fator1]],dados[[#This Row],[fator5]],dados[[#This Row],[fator6]])</f>
        <v>#REF!</v>
      </c>
    </row>
    <row r="4993" spans="1:23">
      <c r="A4993" t="s">
        <v>17</v>
      </c>
      <c r="B4993">
        <v>591635</v>
      </c>
      <c r="C4993">
        <v>14</v>
      </c>
      <c r="D4993">
        <v>30</v>
      </c>
      <c r="E4993">
        <v>210</v>
      </c>
      <c r="F4993">
        <v>3</v>
      </c>
      <c r="G4993">
        <v>40</v>
      </c>
      <c r="H4993">
        <v>25</v>
      </c>
      <c r="I4993">
        <v>5</v>
      </c>
      <c r="J4993">
        <v>0</v>
      </c>
      <c r="K4993">
        <v>5.6815000000000007</v>
      </c>
      <c r="L4993">
        <v>7.6215000000000002</v>
      </c>
      <c r="M4993">
        <v>168.334</v>
      </c>
      <c r="N4993">
        <v>13.620000000000001</v>
      </c>
      <c r="O4993">
        <v>1659</v>
      </c>
      <c r="P4993">
        <v>622</v>
      </c>
      <c r="Q4993" s="5" t="e">
        <f>IF(AND(#REF!&gt;=table!$C$6,#REF!&lt;= table!$D$6),-1,IF(AND(#REF!&gt;=table!$E$6,#REF!&lt;=table!$F$6),1,0))</f>
        <v>#REF!</v>
      </c>
      <c r="R4993" s="5" t="e">
        <f>IF(AND(#REF!&gt;=table!$C$7,#REF!&lt;= table!$D$7),-1,IF(AND(#REF!&gt;=table!$E$7,#REF!&lt;=table!$F$7),1,0))</f>
        <v>#REF!</v>
      </c>
      <c r="S4993" s="5" t="e">
        <f>IF(AND(#REF!&gt;=table!$C$8,#REF!&lt;= table!$D$8),-1,IF(AND(#REF!&gt;=table!$E$8,#REF!&lt;=table!$F$8),1,0))</f>
        <v>#REF!</v>
      </c>
      <c r="T4993" s="5"/>
      <c r="U4993" s="5" t="e">
        <f>IF(AND(#REF!&gt;=table!$C$10,#REF!&lt;= table!$D$10),-1,IF(AND(#REF!&gt;=table!$E$10,#REF!&lt;=table!$F$10),1,0))</f>
        <v>#REF!</v>
      </c>
      <c r="V4993" s="5" t="e">
        <f>IF(AND(#REF!&gt;=table!$C$11,#REF!&lt;= table!$D$11),-1,IF(AND(#REF!&gt;=table!$E$11,#REF!&lt;=table!$F$11),1,0))</f>
        <v>#REF!</v>
      </c>
      <c r="W4993" s="5" t="e">
        <f>CONCATENATE(dados[[#This Row],[fator1]],dados[[#This Row],[fator5]],dados[[#This Row],[fator6]])</f>
        <v>#REF!</v>
      </c>
    </row>
    <row r="4994" spans="1:23">
      <c r="A4994" t="s">
        <v>17</v>
      </c>
      <c r="B4994">
        <v>591637</v>
      </c>
      <c r="C4994">
        <v>9</v>
      </c>
      <c r="D4994">
        <v>33</v>
      </c>
      <c r="E4994">
        <v>35</v>
      </c>
      <c r="F4994">
        <v>4</v>
      </c>
      <c r="G4994">
        <v>20</v>
      </c>
      <c r="H4994">
        <v>21</v>
      </c>
      <c r="I4994">
        <v>0</v>
      </c>
      <c r="J4994">
        <v>0</v>
      </c>
      <c r="K4994">
        <v>3.8085</v>
      </c>
      <c r="L4994">
        <v>4.7315000000000005</v>
      </c>
      <c r="M4994">
        <v>23.6675</v>
      </c>
      <c r="N4994">
        <v>14.035</v>
      </c>
      <c r="O4994">
        <v>1680</v>
      </c>
      <c r="P4994">
        <v>0</v>
      </c>
      <c r="Q4994" s="5" t="e">
        <f>IF(AND(#REF!&gt;=table!$C$6,#REF!&lt;= table!$D$6),-1,IF(AND(#REF!&gt;=table!$E$6,#REF!&lt;=table!$F$6),1,0))</f>
        <v>#REF!</v>
      </c>
      <c r="R4994" s="5" t="e">
        <f>IF(AND(#REF!&gt;=table!$C$7,#REF!&lt;= table!$D$7),-1,IF(AND(#REF!&gt;=table!$E$7,#REF!&lt;=table!$F$7),1,0))</f>
        <v>#REF!</v>
      </c>
      <c r="S4994" s="5" t="e">
        <f>IF(AND(#REF!&gt;=table!$C$8,#REF!&lt;= table!$D$8),-1,IF(AND(#REF!&gt;=table!$E$8,#REF!&lt;=table!$F$8),1,0))</f>
        <v>#REF!</v>
      </c>
      <c r="T4994" s="5"/>
      <c r="U4994" s="5" t="e">
        <f>IF(AND(#REF!&gt;=table!$C$10,#REF!&lt;= table!$D$10),-1,IF(AND(#REF!&gt;=table!$E$10,#REF!&lt;=table!$F$10),1,0))</f>
        <v>#REF!</v>
      </c>
      <c r="V4994" s="5" t="e">
        <f>IF(AND(#REF!&gt;=table!$C$11,#REF!&lt;= table!$D$11),-1,IF(AND(#REF!&gt;=table!$E$11,#REF!&lt;=table!$F$11),1,0))</f>
        <v>#REF!</v>
      </c>
      <c r="W4994" s="5" t="e">
        <f>CONCATENATE(dados[[#This Row],[fator1]],dados[[#This Row],[fator5]],dados[[#This Row],[fator6]])</f>
        <v>#REF!</v>
      </c>
    </row>
    <row r="4995" spans="1:23">
      <c r="A4995" t="s">
        <v>17</v>
      </c>
      <c r="B4995">
        <v>591638</v>
      </c>
      <c r="C4995">
        <v>9</v>
      </c>
      <c r="D4995">
        <v>33</v>
      </c>
      <c r="E4995">
        <v>35</v>
      </c>
      <c r="F4995">
        <v>4</v>
      </c>
      <c r="G4995">
        <v>20</v>
      </c>
      <c r="H4995">
        <v>21</v>
      </c>
      <c r="I4995">
        <v>216</v>
      </c>
      <c r="J4995">
        <v>1180</v>
      </c>
      <c r="K4995">
        <v>4.085</v>
      </c>
      <c r="L4995">
        <v>8.2095000000000002</v>
      </c>
      <c r="M4995">
        <v>25.205500000000001</v>
      </c>
      <c r="N4995">
        <v>15.335000000000001</v>
      </c>
      <c r="O4995">
        <v>1692</v>
      </c>
      <c r="P4995">
        <v>0</v>
      </c>
      <c r="Q4995" s="5" t="e">
        <f>IF(AND(#REF!&gt;=table!$C$6,#REF!&lt;= table!$D$6),-1,IF(AND(#REF!&gt;=table!$E$6,#REF!&lt;=table!$F$6),1,0))</f>
        <v>#REF!</v>
      </c>
      <c r="R4995" s="5" t="e">
        <f>IF(AND(#REF!&gt;=table!$C$7,#REF!&lt;= table!$D$7),-1,IF(AND(#REF!&gt;=table!$E$7,#REF!&lt;=table!$F$7),1,0))</f>
        <v>#REF!</v>
      </c>
      <c r="S4995" s="5" t="e">
        <f>IF(AND(#REF!&gt;=table!$C$8,#REF!&lt;= table!$D$8),-1,IF(AND(#REF!&gt;=table!$E$8,#REF!&lt;=table!$F$8),1,0))</f>
        <v>#REF!</v>
      </c>
      <c r="T4995" s="5"/>
      <c r="U4995" s="5" t="e">
        <f>IF(AND(#REF!&gt;=table!$C$10,#REF!&lt;= table!$D$10),-1,IF(AND(#REF!&gt;=table!$E$10,#REF!&lt;=table!$F$10),1,0))</f>
        <v>#REF!</v>
      </c>
      <c r="V4995" s="5" t="e">
        <f>IF(AND(#REF!&gt;=table!$C$11,#REF!&lt;= table!$D$11),-1,IF(AND(#REF!&gt;=table!$E$11,#REF!&lt;=table!$F$11),1,0))</f>
        <v>#REF!</v>
      </c>
      <c r="W4995" s="5" t="e">
        <f>CONCATENATE(dados[[#This Row],[fator1]],dados[[#This Row],[fator5]],dados[[#This Row],[fator6]])</f>
        <v>#REF!</v>
      </c>
    </row>
    <row r="4996" spans="1:23">
      <c r="A4996" t="s">
        <v>16</v>
      </c>
      <c r="B4996">
        <v>591643</v>
      </c>
      <c r="C4996">
        <v>4</v>
      </c>
      <c r="D4996">
        <v>40</v>
      </c>
      <c r="E4996">
        <v>21</v>
      </c>
      <c r="F4996">
        <v>20</v>
      </c>
      <c r="G4996">
        <v>0</v>
      </c>
      <c r="H4996">
        <v>25</v>
      </c>
      <c r="I4996">
        <v>9</v>
      </c>
      <c r="J4996">
        <v>0</v>
      </c>
      <c r="K4996">
        <v>5.6080000000000005</v>
      </c>
      <c r="L4996">
        <v>9.9210000000000012</v>
      </c>
      <c r="M4996">
        <v>8.8250000000000011</v>
      </c>
      <c r="N4996">
        <v>12.08</v>
      </c>
      <c r="O4996">
        <v>1645</v>
      </c>
      <c r="P4996">
        <v>0</v>
      </c>
      <c r="Q4996" s="5" t="e">
        <f>IF(AND(#REF!&gt;=table!$C$6,#REF!&lt;= table!$D$6),-1,IF(AND(#REF!&gt;=table!$E$6,#REF!&lt;=table!$F$6),1,0))</f>
        <v>#REF!</v>
      </c>
      <c r="R4996" s="5" t="e">
        <f>IF(AND(#REF!&gt;=table!$C$7,#REF!&lt;= table!$D$7),-1,IF(AND(#REF!&gt;=table!$E$7,#REF!&lt;=table!$F$7),1,0))</f>
        <v>#REF!</v>
      </c>
      <c r="S4996" s="5" t="e">
        <f>IF(AND(#REF!&gt;=table!$C$8,#REF!&lt;= table!$D$8),-1,IF(AND(#REF!&gt;=table!$E$8,#REF!&lt;=table!$F$8),1,0))</f>
        <v>#REF!</v>
      </c>
      <c r="T4996" s="5"/>
      <c r="U4996" s="5" t="e">
        <f>IF(AND(#REF!&gt;=table!$C$10,#REF!&lt;= table!$D$10),-1,IF(AND(#REF!&gt;=table!$E$10,#REF!&lt;=table!$F$10),1,0))</f>
        <v>#REF!</v>
      </c>
      <c r="V4996" s="5" t="e">
        <f>IF(AND(#REF!&gt;=table!$C$11,#REF!&lt;= table!$D$11),-1,IF(AND(#REF!&gt;=table!$E$11,#REF!&lt;=table!$F$11),1,0))</f>
        <v>#REF!</v>
      </c>
      <c r="W4996" s="5" t="e">
        <f>CONCATENATE(dados[[#This Row],[fator1]],dados[[#This Row],[fator5]],dados[[#This Row],[fator6]])</f>
        <v>#REF!</v>
      </c>
    </row>
    <row r="4997" spans="1:23">
      <c r="A4997" t="s">
        <v>16</v>
      </c>
      <c r="B4997">
        <v>591644</v>
      </c>
      <c r="C4997">
        <v>4</v>
      </c>
      <c r="D4997">
        <v>40</v>
      </c>
      <c r="E4997">
        <v>21</v>
      </c>
      <c r="F4997">
        <v>20</v>
      </c>
      <c r="G4997">
        <v>0</v>
      </c>
      <c r="H4997">
        <v>25</v>
      </c>
      <c r="I4997">
        <v>424</v>
      </c>
      <c r="J4997">
        <v>0</v>
      </c>
      <c r="K4997">
        <v>7.3425000000000002</v>
      </c>
      <c r="L4997">
        <v>6.6745000000000001</v>
      </c>
      <c r="M4997">
        <v>6.1444999999999999</v>
      </c>
      <c r="N4997">
        <v>7.6000000000000005</v>
      </c>
      <c r="O4997">
        <v>1650</v>
      </c>
      <c r="P4997">
        <v>470</v>
      </c>
      <c r="Q4997" s="5" t="e">
        <f>IF(AND(#REF!&gt;=table!$C$6,#REF!&lt;= table!$D$6),-1,IF(AND(#REF!&gt;=table!$E$6,#REF!&lt;=table!$F$6),1,0))</f>
        <v>#REF!</v>
      </c>
      <c r="R4997" s="5" t="e">
        <f>IF(AND(#REF!&gt;=table!$C$7,#REF!&lt;= table!$D$7),-1,IF(AND(#REF!&gt;=table!$E$7,#REF!&lt;=table!$F$7),1,0))</f>
        <v>#REF!</v>
      </c>
      <c r="S4997" s="5" t="e">
        <f>IF(AND(#REF!&gt;=table!$C$8,#REF!&lt;= table!$D$8),-1,IF(AND(#REF!&gt;=table!$E$8,#REF!&lt;=table!$F$8),1,0))</f>
        <v>#REF!</v>
      </c>
      <c r="T4997" s="5"/>
      <c r="U4997" s="5" t="e">
        <f>IF(AND(#REF!&gt;=table!$C$10,#REF!&lt;= table!$D$10),-1,IF(AND(#REF!&gt;=table!$E$10,#REF!&lt;=table!$F$10),1,0))</f>
        <v>#REF!</v>
      </c>
      <c r="V4997" s="5" t="e">
        <f>IF(AND(#REF!&gt;=table!$C$11,#REF!&lt;= table!$D$11),-1,IF(AND(#REF!&gt;=table!$E$11,#REF!&lt;=table!$F$11),1,0))</f>
        <v>#REF!</v>
      </c>
      <c r="W4997" s="5" t="e">
        <f>CONCATENATE(dados[[#This Row],[fator1]],dados[[#This Row],[fator5]],dados[[#This Row],[fator6]])</f>
        <v>#REF!</v>
      </c>
    </row>
    <row r="4998" spans="1:23">
      <c r="A4998" t="s">
        <v>16</v>
      </c>
      <c r="B4998">
        <v>591645</v>
      </c>
      <c r="C4998">
        <v>4</v>
      </c>
      <c r="D4998">
        <v>40</v>
      </c>
      <c r="E4998">
        <v>21</v>
      </c>
      <c r="F4998">
        <v>20</v>
      </c>
      <c r="G4998">
        <v>0</v>
      </c>
      <c r="H4998">
        <v>25</v>
      </c>
      <c r="I4998">
        <v>246</v>
      </c>
      <c r="J4998">
        <v>0</v>
      </c>
      <c r="K4998">
        <v>4.4455</v>
      </c>
      <c r="L4998">
        <v>3.6845000000000003</v>
      </c>
      <c r="M4998">
        <v>15.255000000000001</v>
      </c>
      <c r="N4998">
        <v>12.795</v>
      </c>
      <c r="O4998">
        <v>1635</v>
      </c>
      <c r="P4998">
        <v>953</v>
      </c>
      <c r="Q4998" s="5" t="e">
        <f>IF(AND(#REF!&gt;=table!$C$6,#REF!&lt;= table!$D$6),-1,IF(AND(#REF!&gt;=table!$E$6,#REF!&lt;=table!$F$6),1,0))</f>
        <v>#REF!</v>
      </c>
      <c r="R4998" s="5" t="e">
        <f>IF(AND(#REF!&gt;=table!$C$7,#REF!&lt;= table!$D$7),-1,IF(AND(#REF!&gt;=table!$E$7,#REF!&lt;=table!$F$7),1,0))</f>
        <v>#REF!</v>
      </c>
      <c r="S4998" s="5" t="e">
        <f>IF(AND(#REF!&gt;=table!$C$8,#REF!&lt;= table!$D$8),-1,IF(AND(#REF!&gt;=table!$E$8,#REF!&lt;=table!$F$8),1,0))</f>
        <v>#REF!</v>
      </c>
      <c r="T4998" s="5"/>
      <c r="U4998" s="5" t="e">
        <f>IF(AND(#REF!&gt;=table!$C$10,#REF!&lt;= table!$D$10),-1,IF(AND(#REF!&gt;=table!$E$10,#REF!&lt;=table!$F$10),1,0))</f>
        <v>#REF!</v>
      </c>
      <c r="V4998" s="5" t="e">
        <f>IF(AND(#REF!&gt;=table!$C$11,#REF!&lt;= table!$D$11),-1,IF(AND(#REF!&gt;=table!$E$11,#REF!&lt;=table!$F$11),1,0))</f>
        <v>#REF!</v>
      </c>
      <c r="W4998" s="5" t="e">
        <f>CONCATENATE(dados[[#This Row],[fator1]],dados[[#This Row],[fator5]],dados[[#This Row],[fator6]])</f>
        <v>#REF!</v>
      </c>
    </row>
    <row r="4999" spans="1:23">
      <c r="A4999" t="s">
        <v>16</v>
      </c>
      <c r="B4999">
        <v>591646</v>
      </c>
      <c r="C4999">
        <v>0.1</v>
      </c>
      <c r="D4999">
        <v>40</v>
      </c>
      <c r="E4999">
        <v>10</v>
      </c>
      <c r="F4999">
        <v>8</v>
      </c>
      <c r="G4999">
        <v>0</v>
      </c>
      <c r="H4999">
        <v>10</v>
      </c>
      <c r="I4999">
        <v>1396</v>
      </c>
      <c r="J4999">
        <v>0</v>
      </c>
      <c r="K4999">
        <v>3.4</v>
      </c>
      <c r="L4999">
        <v>6.4635000000000007</v>
      </c>
      <c r="M4999">
        <v>5.2255000000000003</v>
      </c>
      <c r="N4999">
        <v>10.46</v>
      </c>
      <c r="O4999">
        <v>1663</v>
      </c>
      <c r="P4999">
        <v>0</v>
      </c>
      <c r="Q4999" s="5" t="e">
        <f>IF(AND(#REF!&gt;=table!$C$6,#REF!&lt;= table!$D$6),-1,IF(AND(#REF!&gt;=table!$E$6,#REF!&lt;=table!$F$6),1,0))</f>
        <v>#REF!</v>
      </c>
      <c r="R4999" s="5" t="e">
        <f>IF(AND(#REF!&gt;=table!$C$7,#REF!&lt;= table!$D$7),-1,IF(AND(#REF!&gt;=table!$E$7,#REF!&lt;=table!$F$7),1,0))</f>
        <v>#REF!</v>
      </c>
      <c r="S4999" s="5" t="e">
        <f>IF(AND(#REF!&gt;=table!$C$8,#REF!&lt;= table!$D$8),-1,IF(AND(#REF!&gt;=table!$E$8,#REF!&lt;=table!$F$8),1,0))</f>
        <v>#REF!</v>
      </c>
      <c r="T4999" s="5"/>
      <c r="U4999" s="5" t="e">
        <f>IF(AND(#REF!&gt;=table!$C$10,#REF!&lt;= table!$D$10),-1,IF(AND(#REF!&gt;=table!$E$10,#REF!&lt;=table!$F$10),1,0))</f>
        <v>#REF!</v>
      </c>
      <c r="V4999" s="5" t="e">
        <f>IF(AND(#REF!&gt;=table!$C$11,#REF!&lt;= table!$D$11),-1,IF(AND(#REF!&gt;=table!$E$11,#REF!&lt;=table!$F$11),1,0))</f>
        <v>#REF!</v>
      </c>
      <c r="W4999" s="5" t="e">
        <f>CONCATENATE(dados[[#This Row],[fator1]],dados[[#This Row],[fator5]],dados[[#This Row],[fator6]])</f>
        <v>#REF!</v>
      </c>
    </row>
    <row r="5000" spans="1:23">
      <c r="A5000" t="s">
        <v>16</v>
      </c>
      <c r="B5000">
        <v>591647</v>
      </c>
      <c r="C5000">
        <v>12</v>
      </c>
      <c r="D5000">
        <v>35</v>
      </c>
      <c r="E5000">
        <v>180</v>
      </c>
      <c r="F5000">
        <v>6</v>
      </c>
      <c r="G5000">
        <v>0</v>
      </c>
      <c r="H5000">
        <v>20</v>
      </c>
      <c r="I5000">
        <v>13</v>
      </c>
      <c r="J5000">
        <v>0</v>
      </c>
      <c r="K5000">
        <v>2.7815000000000003</v>
      </c>
      <c r="L5000">
        <v>3.21</v>
      </c>
      <c r="M5000">
        <v>150.36000000000001</v>
      </c>
      <c r="N5000">
        <v>12.215</v>
      </c>
      <c r="O5000">
        <v>1677</v>
      </c>
      <c r="P5000">
        <v>0</v>
      </c>
      <c r="Q5000" s="5" t="e">
        <f>IF(AND(#REF!&gt;=table!$C$6,#REF!&lt;= table!$D$6),-1,IF(AND(#REF!&gt;=table!$E$6,#REF!&lt;=table!$F$6),1,0))</f>
        <v>#REF!</v>
      </c>
      <c r="R5000" s="5" t="e">
        <f>IF(AND(#REF!&gt;=table!$C$7,#REF!&lt;= table!$D$7),-1,IF(AND(#REF!&gt;=table!$E$7,#REF!&lt;=table!$F$7),1,0))</f>
        <v>#REF!</v>
      </c>
      <c r="S5000" s="5" t="e">
        <f>IF(AND(#REF!&gt;=table!$C$8,#REF!&lt;= table!$D$8),-1,IF(AND(#REF!&gt;=table!$E$8,#REF!&lt;=table!$F$8),1,0))</f>
        <v>#REF!</v>
      </c>
      <c r="T5000" s="5"/>
      <c r="U5000" s="5" t="e">
        <f>IF(AND(#REF!&gt;=table!$C$10,#REF!&lt;= table!$D$10),-1,IF(AND(#REF!&gt;=table!$E$10,#REF!&lt;=table!$F$10),1,0))</f>
        <v>#REF!</v>
      </c>
      <c r="V5000" s="5" t="e">
        <f>IF(AND(#REF!&gt;=table!$C$11,#REF!&lt;= table!$D$11),-1,IF(AND(#REF!&gt;=table!$E$11,#REF!&lt;=table!$F$11),1,0))</f>
        <v>#REF!</v>
      </c>
      <c r="W5000" s="5" t="e">
        <f>CONCATENATE(dados[[#This Row],[fator1]],dados[[#This Row],[fator5]],dados[[#This Row],[fator6]])</f>
        <v>#REF!</v>
      </c>
    </row>
    <row r="5001" spans="1:23">
      <c r="A5001" t="s">
        <v>16</v>
      </c>
      <c r="B5001">
        <v>591651</v>
      </c>
      <c r="C5001">
        <v>12</v>
      </c>
      <c r="D5001">
        <v>35</v>
      </c>
      <c r="E5001">
        <v>180</v>
      </c>
      <c r="F5001">
        <v>6</v>
      </c>
      <c r="G5001">
        <v>0</v>
      </c>
      <c r="H5001">
        <v>20</v>
      </c>
      <c r="I5001">
        <v>243</v>
      </c>
      <c r="J5001">
        <v>0</v>
      </c>
      <c r="K5001">
        <v>4.173</v>
      </c>
      <c r="L5001">
        <v>7.6405000000000003</v>
      </c>
      <c r="M5001">
        <v>73.671000000000006</v>
      </c>
      <c r="N5001">
        <v>11.21</v>
      </c>
      <c r="O5001">
        <v>1670</v>
      </c>
      <c r="P5001">
        <v>708</v>
      </c>
      <c r="Q5001" s="5" t="e">
        <f>IF(AND(#REF!&gt;=table!$C$6,#REF!&lt;= table!$D$6),-1,IF(AND(#REF!&gt;=table!$E$6,#REF!&lt;=table!$F$6),1,0))</f>
        <v>#REF!</v>
      </c>
      <c r="R5001" s="5" t="e">
        <f>IF(AND(#REF!&gt;=table!$C$7,#REF!&lt;= table!$D$7),-1,IF(AND(#REF!&gt;=table!$E$7,#REF!&lt;=table!$F$7),1,0))</f>
        <v>#REF!</v>
      </c>
      <c r="S5001" s="5" t="e">
        <f>IF(AND(#REF!&gt;=table!$C$8,#REF!&lt;= table!$D$8),-1,IF(AND(#REF!&gt;=table!$E$8,#REF!&lt;=table!$F$8),1,0))</f>
        <v>#REF!</v>
      </c>
      <c r="T5001" s="5"/>
      <c r="U5001" s="5" t="e">
        <f>IF(AND(#REF!&gt;=table!$C$10,#REF!&lt;= table!$D$10),-1,IF(AND(#REF!&gt;=table!$E$10,#REF!&lt;=table!$F$10),1,0))</f>
        <v>#REF!</v>
      </c>
      <c r="V5001" s="5" t="e">
        <f>IF(AND(#REF!&gt;=table!$C$11,#REF!&lt;= table!$D$11),-1,IF(AND(#REF!&gt;=table!$E$11,#REF!&lt;=table!$F$11),1,0))</f>
        <v>#REF!</v>
      </c>
      <c r="W5001" s="5" t="e">
        <f>CONCATENATE(dados[[#This Row],[fator1]],dados[[#This Row],[fator5]],dados[[#This Row],[fator6]])</f>
        <v>#REF!</v>
      </c>
    </row>
    <row r="5002" spans="1:23">
      <c r="A5002" t="s">
        <v>16</v>
      </c>
      <c r="B5002">
        <v>591652</v>
      </c>
      <c r="C5002">
        <v>8</v>
      </c>
      <c r="D5002">
        <v>30</v>
      </c>
      <c r="E5002">
        <v>61</v>
      </c>
      <c r="F5002">
        <v>8</v>
      </c>
      <c r="G5002">
        <v>0</v>
      </c>
      <c r="H5002">
        <v>25</v>
      </c>
      <c r="I5002">
        <v>108</v>
      </c>
      <c r="J5002">
        <v>570</v>
      </c>
      <c r="K5002">
        <v>13.103</v>
      </c>
      <c r="L5002">
        <v>11.1</v>
      </c>
      <c r="M5002">
        <v>55.796500000000002</v>
      </c>
      <c r="N5002">
        <v>14.63</v>
      </c>
      <c r="O5002">
        <v>1671</v>
      </c>
      <c r="P5002">
        <v>298</v>
      </c>
      <c r="Q5002" s="5" t="e">
        <f>IF(AND(#REF!&gt;=table!$C$6,#REF!&lt;= table!$D$6),-1,IF(AND(#REF!&gt;=table!$E$6,#REF!&lt;=table!$F$6),1,0))</f>
        <v>#REF!</v>
      </c>
      <c r="R5002" s="5" t="e">
        <f>IF(AND(#REF!&gt;=table!$C$7,#REF!&lt;= table!$D$7),-1,IF(AND(#REF!&gt;=table!$E$7,#REF!&lt;=table!$F$7),1,0))</f>
        <v>#REF!</v>
      </c>
      <c r="S5002" s="5" t="e">
        <f>IF(AND(#REF!&gt;=table!$C$8,#REF!&lt;= table!$D$8),-1,IF(AND(#REF!&gt;=table!$E$8,#REF!&lt;=table!$F$8),1,0))</f>
        <v>#REF!</v>
      </c>
      <c r="T5002" s="5"/>
      <c r="U5002" s="5" t="e">
        <f>IF(AND(#REF!&gt;=table!$C$10,#REF!&lt;= table!$D$10),-1,IF(AND(#REF!&gt;=table!$E$10,#REF!&lt;=table!$F$10),1,0))</f>
        <v>#REF!</v>
      </c>
      <c r="V5002" s="5" t="e">
        <f>IF(AND(#REF!&gt;=table!$C$11,#REF!&lt;= table!$D$11),-1,IF(AND(#REF!&gt;=table!$E$11,#REF!&lt;=table!$F$11),1,0))</f>
        <v>#REF!</v>
      </c>
      <c r="W5002" s="5" t="e">
        <f>CONCATENATE(dados[[#This Row],[fator1]],dados[[#This Row],[fator5]],dados[[#This Row],[fator6]])</f>
        <v>#REF!</v>
      </c>
    </row>
    <row r="5003" spans="1:23">
      <c r="A5003" t="s">
        <v>16</v>
      </c>
      <c r="B5003">
        <v>591654</v>
      </c>
      <c r="C5003">
        <v>8</v>
      </c>
      <c r="D5003">
        <v>30</v>
      </c>
      <c r="E5003">
        <v>61</v>
      </c>
      <c r="F5003">
        <v>8</v>
      </c>
      <c r="G5003">
        <v>0</v>
      </c>
      <c r="H5003">
        <v>25</v>
      </c>
      <c r="I5003">
        <v>444</v>
      </c>
      <c r="J5003">
        <v>0</v>
      </c>
      <c r="K5003">
        <v>5.6590000000000007</v>
      </c>
      <c r="L5003">
        <v>9.1479999999999997</v>
      </c>
      <c r="M5003">
        <v>56.870000000000005</v>
      </c>
      <c r="N5003">
        <v>12.405000000000001</v>
      </c>
      <c r="O5003">
        <v>1672</v>
      </c>
      <c r="P5003">
        <v>726</v>
      </c>
      <c r="Q5003" s="5" t="e">
        <f>IF(AND(#REF!&gt;=table!$C$6,#REF!&lt;= table!$D$6),-1,IF(AND(#REF!&gt;=table!$E$6,#REF!&lt;=table!$F$6),1,0))</f>
        <v>#REF!</v>
      </c>
      <c r="R5003" s="5" t="e">
        <f>IF(AND(#REF!&gt;=table!$C$7,#REF!&lt;= table!$D$7),-1,IF(AND(#REF!&gt;=table!$E$7,#REF!&lt;=table!$F$7),1,0))</f>
        <v>#REF!</v>
      </c>
      <c r="S5003" s="5" t="e">
        <f>IF(AND(#REF!&gt;=table!$C$8,#REF!&lt;= table!$D$8),-1,IF(AND(#REF!&gt;=table!$E$8,#REF!&lt;=table!$F$8),1,0))</f>
        <v>#REF!</v>
      </c>
      <c r="T5003" s="5"/>
      <c r="U5003" s="5" t="e">
        <f>IF(AND(#REF!&gt;=table!$C$10,#REF!&lt;= table!$D$10),-1,IF(AND(#REF!&gt;=table!$E$10,#REF!&lt;=table!$F$10),1,0))</f>
        <v>#REF!</v>
      </c>
      <c r="V5003" s="5" t="e">
        <f>IF(AND(#REF!&gt;=table!$C$11,#REF!&lt;= table!$D$11),-1,IF(AND(#REF!&gt;=table!$E$11,#REF!&lt;=table!$F$11),1,0))</f>
        <v>#REF!</v>
      </c>
      <c r="W5003" s="5" t="e">
        <f>CONCATENATE(dados[[#This Row],[fator1]],dados[[#This Row],[fator5]],dados[[#This Row],[fator6]])</f>
        <v>#REF!</v>
      </c>
    </row>
    <row r="5004" spans="1:23">
      <c r="A5004" t="s">
        <v>16</v>
      </c>
      <c r="B5004">
        <v>591655</v>
      </c>
      <c r="C5004">
        <v>8</v>
      </c>
      <c r="D5004">
        <v>30</v>
      </c>
      <c r="E5004">
        <v>61</v>
      </c>
      <c r="F5004">
        <v>8</v>
      </c>
      <c r="G5004">
        <v>0</v>
      </c>
      <c r="H5004">
        <v>25</v>
      </c>
      <c r="I5004">
        <v>434</v>
      </c>
      <c r="J5004">
        <v>0</v>
      </c>
      <c r="K5004">
        <v>7.3090000000000002</v>
      </c>
      <c r="L5004">
        <v>9.636000000000001</v>
      </c>
      <c r="M5004">
        <v>51.569000000000003</v>
      </c>
      <c r="N5004">
        <v>11.73</v>
      </c>
      <c r="O5004">
        <v>1677</v>
      </c>
      <c r="P5004">
        <v>0</v>
      </c>
      <c r="Q5004" s="5" t="e">
        <f>IF(AND(#REF!&gt;=table!$C$6,#REF!&lt;= table!$D$6),-1,IF(AND(#REF!&gt;=table!$E$6,#REF!&lt;=table!$F$6),1,0))</f>
        <v>#REF!</v>
      </c>
      <c r="R5004" s="5" t="e">
        <f>IF(AND(#REF!&gt;=table!$C$7,#REF!&lt;= table!$D$7),-1,IF(AND(#REF!&gt;=table!$E$7,#REF!&lt;=table!$F$7),1,0))</f>
        <v>#REF!</v>
      </c>
      <c r="S5004" s="5" t="e">
        <f>IF(AND(#REF!&gt;=table!$C$8,#REF!&lt;= table!$D$8),-1,IF(AND(#REF!&gt;=table!$E$8,#REF!&lt;=table!$F$8),1,0))</f>
        <v>#REF!</v>
      </c>
      <c r="T5004" s="5"/>
      <c r="U5004" s="5" t="e">
        <f>IF(AND(#REF!&gt;=table!$C$10,#REF!&lt;= table!$D$10),-1,IF(AND(#REF!&gt;=table!$E$10,#REF!&lt;=table!$F$10),1,0))</f>
        <v>#REF!</v>
      </c>
      <c r="V5004" s="5" t="e">
        <f>IF(AND(#REF!&gt;=table!$C$11,#REF!&lt;= table!$D$11),-1,IF(AND(#REF!&gt;=table!$E$11,#REF!&lt;=table!$F$11),1,0))</f>
        <v>#REF!</v>
      </c>
      <c r="W5004" s="5" t="e">
        <f>CONCATENATE(dados[[#This Row],[fator1]],dados[[#This Row],[fator5]],dados[[#This Row],[fator6]])</f>
        <v>#REF!</v>
      </c>
    </row>
    <row r="5005" spans="1:23">
      <c r="A5005" t="s">
        <v>16</v>
      </c>
      <c r="B5005">
        <v>591656</v>
      </c>
      <c r="C5005">
        <v>8</v>
      </c>
      <c r="D5005">
        <v>30</v>
      </c>
      <c r="E5005">
        <v>61</v>
      </c>
      <c r="F5005">
        <v>8</v>
      </c>
      <c r="G5005">
        <v>0</v>
      </c>
      <c r="H5005">
        <v>25</v>
      </c>
      <c r="I5005">
        <v>433</v>
      </c>
      <c r="J5005">
        <v>840</v>
      </c>
      <c r="K5005">
        <v>5.0155000000000003</v>
      </c>
      <c r="L5005">
        <v>10.19</v>
      </c>
      <c r="M5005">
        <v>56.644000000000005</v>
      </c>
      <c r="N5005">
        <v>14.72</v>
      </c>
      <c r="O5005">
        <v>1674</v>
      </c>
      <c r="P5005">
        <v>646</v>
      </c>
      <c r="Q5005" s="5" t="e">
        <f>IF(AND(#REF!&gt;=table!$C$6,#REF!&lt;= table!$D$6),-1,IF(AND(#REF!&gt;=table!$E$6,#REF!&lt;=table!$F$6),1,0))</f>
        <v>#REF!</v>
      </c>
      <c r="R5005" s="5" t="e">
        <f>IF(AND(#REF!&gt;=table!$C$7,#REF!&lt;= table!$D$7),-1,IF(AND(#REF!&gt;=table!$E$7,#REF!&lt;=table!$F$7),1,0))</f>
        <v>#REF!</v>
      </c>
      <c r="S5005" s="5" t="e">
        <f>IF(AND(#REF!&gt;=table!$C$8,#REF!&lt;= table!$D$8),-1,IF(AND(#REF!&gt;=table!$E$8,#REF!&lt;=table!$F$8),1,0))</f>
        <v>#REF!</v>
      </c>
      <c r="T5005" s="5"/>
      <c r="U5005" s="5" t="e">
        <f>IF(AND(#REF!&gt;=table!$C$10,#REF!&lt;= table!$D$10),-1,IF(AND(#REF!&gt;=table!$E$10,#REF!&lt;=table!$F$10),1,0))</f>
        <v>#REF!</v>
      </c>
      <c r="V5005" s="5" t="e">
        <f>IF(AND(#REF!&gt;=table!$C$11,#REF!&lt;= table!$D$11),-1,IF(AND(#REF!&gt;=table!$E$11,#REF!&lt;=table!$F$11),1,0))</f>
        <v>#REF!</v>
      </c>
      <c r="W5005" s="5" t="e">
        <f>CONCATENATE(dados[[#This Row],[fator1]],dados[[#This Row],[fator5]],dados[[#This Row],[fator6]])</f>
        <v>#REF!</v>
      </c>
    </row>
    <row r="5006" spans="1:23">
      <c r="A5006" t="s">
        <v>16</v>
      </c>
      <c r="B5006">
        <v>591658</v>
      </c>
      <c r="C5006">
        <v>8</v>
      </c>
      <c r="D5006">
        <v>30</v>
      </c>
      <c r="E5006">
        <v>61</v>
      </c>
      <c r="F5006">
        <v>8</v>
      </c>
      <c r="G5006">
        <v>0</v>
      </c>
      <c r="H5006">
        <v>25</v>
      </c>
      <c r="I5006">
        <v>2</v>
      </c>
      <c r="J5006">
        <v>0</v>
      </c>
      <c r="K5006">
        <v>5.407</v>
      </c>
      <c r="L5006">
        <v>10.767000000000001</v>
      </c>
      <c r="M5006">
        <v>61.017000000000003</v>
      </c>
      <c r="N5006">
        <v>18.664999999999999</v>
      </c>
      <c r="O5006">
        <v>1700</v>
      </c>
      <c r="P5006">
        <v>852</v>
      </c>
      <c r="Q5006" s="5" t="e">
        <f>IF(AND(#REF!&gt;=table!$C$6,#REF!&lt;= table!$D$6),-1,IF(AND(#REF!&gt;=table!$E$6,#REF!&lt;=table!$F$6),1,0))</f>
        <v>#REF!</v>
      </c>
      <c r="R5006" s="5" t="e">
        <f>IF(AND(#REF!&gt;=table!$C$7,#REF!&lt;= table!$D$7),-1,IF(AND(#REF!&gt;=table!$E$7,#REF!&lt;=table!$F$7),1,0))</f>
        <v>#REF!</v>
      </c>
      <c r="S5006" s="5" t="e">
        <f>IF(AND(#REF!&gt;=table!$C$8,#REF!&lt;= table!$D$8),-1,IF(AND(#REF!&gt;=table!$E$8,#REF!&lt;=table!$F$8),1,0))</f>
        <v>#REF!</v>
      </c>
      <c r="T5006" s="5"/>
      <c r="U5006" s="5" t="e">
        <f>IF(AND(#REF!&gt;=table!$C$10,#REF!&lt;= table!$D$10),-1,IF(AND(#REF!&gt;=table!$E$10,#REF!&lt;=table!$F$10),1,0))</f>
        <v>#REF!</v>
      </c>
      <c r="V5006" s="5" t="e">
        <f>IF(AND(#REF!&gt;=table!$C$11,#REF!&lt;= table!$D$11),-1,IF(AND(#REF!&gt;=table!$E$11,#REF!&lt;=table!$F$11),1,0))</f>
        <v>#REF!</v>
      </c>
      <c r="W5006" s="5" t="e">
        <f>CONCATENATE(dados[[#This Row],[fator1]],dados[[#This Row],[fator5]],dados[[#This Row],[fator6]])</f>
        <v>#REF!</v>
      </c>
    </row>
    <row r="5007" spans="1:23">
      <c r="A5007" t="s">
        <v>16</v>
      </c>
      <c r="B5007">
        <v>591661</v>
      </c>
      <c r="C5007">
        <v>0.15</v>
      </c>
      <c r="D5007">
        <v>35</v>
      </c>
      <c r="E5007">
        <v>15</v>
      </c>
      <c r="F5007">
        <v>10</v>
      </c>
      <c r="G5007">
        <v>0</v>
      </c>
      <c r="H5007">
        <v>12</v>
      </c>
      <c r="I5007">
        <v>1265</v>
      </c>
      <c r="J5007">
        <v>0</v>
      </c>
      <c r="K5007">
        <v>10.889000000000001</v>
      </c>
      <c r="L5007">
        <v>6.3840000000000003</v>
      </c>
      <c r="M5007">
        <v>4.3045</v>
      </c>
      <c r="N5007">
        <v>4.4750000000000005</v>
      </c>
      <c r="O5007">
        <v>1669</v>
      </c>
      <c r="P5007">
        <v>396</v>
      </c>
      <c r="Q5007" s="5" t="e">
        <f>IF(AND(#REF!&gt;=table!$C$6,#REF!&lt;= table!$D$6),-1,IF(AND(#REF!&gt;=table!$E$6,#REF!&lt;=table!$F$6),1,0))</f>
        <v>#REF!</v>
      </c>
      <c r="R5007" s="5" t="e">
        <f>IF(AND(#REF!&gt;=table!$C$7,#REF!&lt;= table!$D$7),-1,IF(AND(#REF!&gt;=table!$E$7,#REF!&lt;=table!$F$7),1,0))</f>
        <v>#REF!</v>
      </c>
      <c r="S5007" s="5" t="e">
        <f>IF(AND(#REF!&gt;=table!$C$8,#REF!&lt;= table!$D$8),-1,IF(AND(#REF!&gt;=table!$E$8,#REF!&lt;=table!$F$8),1,0))</f>
        <v>#REF!</v>
      </c>
      <c r="T5007" s="5"/>
      <c r="U5007" s="5" t="e">
        <f>IF(AND(#REF!&gt;=table!$C$10,#REF!&lt;= table!$D$10),-1,IF(AND(#REF!&gt;=table!$E$10,#REF!&lt;=table!$F$10),1,0))</f>
        <v>#REF!</v>
      </c>
      <c r="V5007" s="5" t="e">
        <f>IF(AND(#REF!&gt;=table!$C$11,#REF!&lt;= table!$D$11),-1,IF(AND(#REF!&gt;=table!$E$11,#REF!&lt;=table!$F$11),1,0))</f>
        <v>#REF!</v>
      </c>
      <c r="W5007" s="5" t="e">
        <f>CONCATENATE(dados[[#This Row],[fator1]],dados[[#This Row],[fator5]],dados[[#This Row],[fator6]])</f>
        <v>#REF!</v>
      </c>
    </row>
    <row r="5008" spans="1:23">
      <c r="A5008" t="s">
        <v>16</v>
      </c>
      <c r="B5008">
        <v>591668</v>
      </c>
      <c r="C5008">
        <v>0.15</v>
      </c>
      <c r="D5008">
        <v>35</v>
      </c>
      <c r="E5008">
        <v>15</v>
      </c>
      <c r="F5008">
        <v>10</v>
      </c>
      <c r="G5008">
        <v>0</v>
      </c>
      <c r="H5008">
        <v>12</v>
      </c>
      <c r="I5008">
        <v>1035</v>
      </c>
      <c r="J5008">
        <v>0</v>
      </c>
      <c r="K5008">
        <v>3.2130000000000001</v>
      </c>
      <c r="L5008">
        <v>8.74</v>
      </c>
      <c r="M5008">
        <v>6.4555000000000007</v>
      </c>
      <c r="N5008">
        <v>12.23</v>
      </c>
      <c r="O5008">
        <v>1698</v>
      </c>
      <c r="P5008">
        <v>0</v>
      </c>
      <c r="Q5008" s="5" t="e">
        <f>IF(AND(#REF!&gt;=table!$C$6,#REF!&lt;= table!$D$6),-1,IF(AND(#REF!&gt;=table!$E$6,#REF!&lt;=table!$F$6),1,0))</f>
        <v>#REF!</v>
      </c>
      <c r="R5008" s="5" t="e">
        <f>IF(AND(#REF!&gt;=table!$C$7,#REF!&lt;= table!$D$7),-1,IF(AND(#REF!&gt;=table!$E$7,#REF!&lt;=table!$F$7),1,0))</f>
        <v>#REF!</v>
      </c>
      <c r="S5008" s="5" t="e">
        <f>IF(AND(#REF!&gt;=table!$C$8,#REF!&lt;= table!$D$8),-1,IF(AND(#REF!&gt;=table!$E$8,#REF!&lt;=table!$F$8),1,0))</f>
        <v>#REF!</v>
      </c>
      <c r="T5008" s="5"/>
      <c r="U5008" s="5" t="e">
        <f>IF(AND(#REF!&gt;=table!$C$10,#REF!&lt;= table!$D$10),-1,IF(AND(#REF!&gt;=table!$E$10,#REF!&lt;=table!$F$10),1,0))</f>
        <v>#REF!</v>
      </c>
      <c r="V5008" s="5" t="e">
        <f>IF(AND(#REF!&gt;=table!$C$11,#REF!&lt;= table!$D$11),-1,IF(AND(#REF!&gt;=table!$E$11,#REF!&lt;=table!$F$11),1,0))</f>
        <v>#REF!</v>
      </c>
      <c r="W5008" s="5" t="e">
        <f>CONCATENATE(dados[[#This Row],[fator1]],dados[[#This Row],[fator5]],dados[[#This Row],[fator6]])</f>
        <v>#REF!</v>
      </c>
    </row>
    <row r="5009" spans="1:23">
      <c r="A5009" t="s">
        <v>16</v>
      </c>
      <c r="B5009">
        <v>591676</v>
      </c>
      <c r="C5009">
        <v>10</v>
      </c>
      <c r="D5009">
        <v>38</v>
      </c>
      <c r="E5009">
        <v>150</v>
      </c>
      <c r="F5009">
        <v>4</v>
      </c>
      <c r="G5009">
        <v>0</v>
      </c>
      <c r="H5009">
        <v>25</v>
      </c>
      <c r="I5009">
        <v>6</v>
      </c>
      <c r="J5009">
        <v>0</v>
      </c>
      <c r="K5009">
        <v>3.3395000000000001</v>
      </c>
      <c r="L5009">
        <v>10.9665</v>
      </c>
      <c r="M5009">
        <v>92.882500000000007</v>
      </c>
      <c r="N5009">
        <v>21.37</v>
      </c>
      <c r="O5009">
        <v>1694</v>
      </c>
      <c r="P5009">
        <v>1207</v>
      </c>
      <c r="Q5009" s="5" t="e">
        <f>IF(AND(#REF!&gt;=table!$C$6,#REF!&lt;= table!$D$6),-1,IF(AND(#REF!&gt;=table!$E$6,#REF!&lt;=table!$F$6),1,0))</f>
        <v>#REF!</v>
      </c>
      <c r="R5009" s="5" t="e">
        <f>IF(AND(#REF!&gt;=table!$C$7,#REF!&lt;= table!$D$7),-1,IF(AND(#REF!&gt;=table!$E$7,#REF!&lt;=table!$F$7),1,0))</f>
        <v>#REF!</v>
      </c>
      <c r="S5009" s="5" t="e">
        <f>IF(AND(#REF!&gt;=table!$C$8,#REF!&lt;= table!$D$8),-1,IF(AND(#REF!&gt;=table!$E$8,#REF!&lt;=table!$F$8),1,0))</f>
        <v>#REF!</v>
      </c>
      <c r="T5009" s="5"/>
      <c r="U5009" s="5" t="e">
        <f>IF(AND(#REF!&gt;=table!$C$10,#REF!&lt;= table!$D$10),-1,IF(AND(#REF!&gt;=table!$E$10,#REF!&lt;=table!$F$10),1,0))</f>
        <v>#REF!</v>
      </c>
      <c r="V5009" s="5" t="e">
        <f>IF(AND(#REF!&gt;=table!$C$11,#REF!&lt;= table!$D$11),-1,IF(AND(#REF!&gt;=table!$E$11,#REF!&lt;=table!$F$11),1,0))</f>
        <v>#REF!</v>
      </c>
      <c r="W5009" s="5" t="e">
        <f>CONCATENATE(dados[[#This Row],[fator1]],dados[[#This Row],[fator5]],dados[[#This Row],[fator6]])</f>
        <v>#REF!</v>
      </c>
    </row>
    <row r="5010" spans="1:23">
      <c r="A5010" t="s">
        <v>16</v>
      </c>
      <c r="B5010">
        <v>591677</v>
      </c>
      <c r="C5010">
        <v>10</v>
      </c>
      <c r="D5010">
        <v>38</v>
      </c>
      <c r="E5010">
        <v>150</v>
      </c>
      <c r="F5010">
        <v>4</v>
      </c>
      <c r="G5010">
        <v>0</v>
      </c>
      <c r="H5010">
        <v>25</v>
      </c>
      <c r="I5010">
        <v>239</v>
      </c>
      <c r="J5010">
        <v>0</v>
      </c>
      <c r="K5010">
        <v>3.6750000000000003</v>
      </c>
      <c r="L5010">
        <v>5.1675000000000004</v>
      </c>
      <c r="M5010">
        <v>96.078000000000003</v>
      </c>
      <c r="N5010">
        <v>15.895000000000001</v>
      </c>
      <c r="O5010">
        <v>1666</v>
      </c>
      <c r="P5010">
        <v>0</v>
      </c>
      <c r="Q5010" s="5" t="e">
        <f>IF(AND(#REF!&gt;=table!$C$6,#REF!&lt;= table!$D$6),-1,IF(AND(#REF!&gt;=table!$E$6,#REF!&lt;=table!$F$6),1,0))</f>
        <v>#REF!</v>
      </c>
      <c r="R5010" s="5" t="e">
        <f>IF(AND(#REF!&gt;=table!$C$7,#REF!&lt;= table!$D$7),-1,IF(AND(#REF!&gt;=table!$E$7,#REF!&lt;=table!$F$7),1,0))</f>
        <v>#REF!</v>
      </c>
      <c r="S5010" s="5" t="e">
        <f>IF(AND(#REF!&gt;=table!$C$8,#REF!&lt;= table!$D$8),-1,IF(AND(#REF!&gt;=table!$E$8,#REF!&lt;=table!$F$8),1,0))</f>
        <v>#REF!</v>
      </c>
      <c r="T5010" s="5"/>
      <c r="U5010" s="5" t="e">
        <f>IF(AND(#REF!&gt;=table!$C$10,#REF!&lt;= table!$D$10),-1,IF(AND(#REF!&gt;=table!$E$10,#REF!&lt;=table!$F$10),1,0))</f>
        <v>#REF!</v>
      </c>
      <c r="V5010" s="5" t="e">
        <f>IF(AND(#REF!&gt;=table!$C$11,#REF!&lt;= table!$D$11),-1,IF(AND(#REF!&gt;=table!$E$11,#REF!&lt;=table!$F$11),1,0))</f>
        <v>#REF!</v>
      </c>
      <c r="W5010" s="5" t="e">
        <f>CONCATENATE(dados[[#This Row],[fator1]],dados[[#This Row],[fator5]],dados[[#This Row],[fator6]])</f>
        <v>#REF!</v>
      </c>
    </row>
    <row r="5011" spans="1:23">
      <c r="A5011" t="s">
        <v>16</v>
      </c>
      <c r="B5011">
        <v>591678</v>
      </c>
      <c r="C5011">
        <v>10</v>
      </c>
      <c r="D5011">
        <v>38</v>
      </c>
      <c r="E5011">
        <v>150</v>
      </c>
      <c r="F5011">
        <v>4</v>
      </c>
      <c r="G5011">
        <v>0</v>
      </c>
      <c r="H5011">
        <v>25</v>
      </c>
      <c r="I5011">
        <v>308</v>
      </c>
      <c r="J5011">
        <v>0</v>
      </c>
      <c r="K5011">
        <v>2.9820000000000002</v>
      </c>
      <c r="L5011">
        <v>7.8425000000000002</v>
      </c>
      <c r="M5011">
        <v>105.94800000000001</v>
      </c>
      <c r="N5011">
        <v>17.52</v>
      </c>
      <c r="O5011">
        <v>1702</v>
      </c>
      <c r="P5011">
        <v>1409</v>
      </c>
      <c r="Q5011" s="5" t="e">
        <f>IF(AND(#REF!&gt;=table!$C$6,#REF!&lt;= table!$D$6),-1,IF(AND(#REF!&gt;=table!$E$6,#REF!&lt;=table!$F$6),1,0))</f>
        <v>#REF!</v>
      </c>
      <c r="R5011" s="5" t="e">
        <f>IF(AND(#REF!&gt;=table!$C$7,#REF!&lt;= table!$D$7),-1,IF(AND(#REF!&gt;=table!$E$7,#REF!&lt;=table!$F$7),1,0))</f>
        <v>#REF!</v>
      </c>
      <c r="S5011" s="5" t="e">
        <f>IF(AND(#REF!&gt;=table!$C$8,#REF!&lt;= table!$D$8),-1,IF(AND(#REF!&gt;=table!$E$8,#REF!&lt;=table!$F$8),1,0))</f>
        <v>#REF!</v>
      </c>
      <c r="T5011" s="5"/>
      <c r="U5011" s="5" t="e">
        <f>IF(AND(#REF!&gt;=table!$C$10,#REF!&lt;= table!$D$10),-1,IF(AND(#REF!&gt;=table!$E$10,#REF!&lt;=table!$F$10),1,0))</f>
        <v>#REF!</v>
      </c>
      <c r="V5011" s="5" t="e">
        <f>IF(AND(#REF!&gt;=table!$C$11,#REF!&lt;= table!$D$11),-1,IF(AND(#REF!&gt;=table!$E$11,#REF!&lt;=table!$F$11),1,0))</f>
        <v>#REF!</v>
      </c>
      <c r="W5011" s="5" t="e">
        <f>CONCATENATE(dados[[#This Row],[fator1]],dados[[#This Row],[fator5]],dados[[#This Row],[fator6]])</f>
        <v>#REF!</v>
      </c>
    </row>
    <row r="5012" spans="1:23">
      <c r="A5012" t="s">
        <v>16</v>
      </c>
      <c r="B5012">
        <v>591680</v>
      </c>
      <c r="C5012">
        <v>3</v>
      </c>
      <c r="D5012">
        <v>30</v>
      </c>
      <c r="E5012">
        <v>21</v>
      </c>
      <c r="F5012">
        <v>15</v>
      </c>
      <c r="G5012">
        <v>0</v>
      </c>
      <c r="H5012">
        <v>25</v>
      </c>
      <c r="I5012">
        <v>654</v>
      </c>
      <c r="J5012">
        <v>0</v>
      </c>
      <c r="K5012">
        <v>3.0995000000000004</v>
      </c>
      <c r="L5012">
        <v>4.7985000000000007</v>
      </c>
      <c r="M5012">
        <v>4.1310000000000002</v>
      </c>
      <c r="N5012">
        <v>16.015000000000001</v>
      </c>
      <c r="O5012">
        <v>1710</v>
      </c>
      <c r="P5012">
        <v>1351</v>
      </c>
      <c r="Q5012" s="5" t="e">
        <f>IF(AND(#REF!&gt;=table!$C$6,#REF!&lt;= table!$D$6),-1,IF(AND(#REF!&gt;=table!$E$6,#REF!&lt;=table!$F$6),1,0))</f>
        <v>#REF!</v>
      </c>
      <c r="R5012" s="5" t="e">
        <f>IF(AND(#REF!&gt;=table!$C$7,#REF!&lt;= table!$D$7),-1,IF(AND(#REF!&gt;=table!$E$7,#REF!&lt;=table!$F$7),1,0))</f>
        <v>#REF!</v>
      </c>
      <c r="S5012" s="5" t="e">
        <f>IF(AND(#REF!&gt;=table!$C$8,#REF!&lt;= table!$D$8),-1,IF(AND(#REF!&gt;=table!$E$8,#REF!&lt;=table!$F$8),1,0))</f>
        <v>#REF!</v>
      </c>
      <c r="T5012" s="5"/>
      <c r="U5012" s="5" t="e">
        <f>IF(AND(#REF!&gt;=table!$C$10,#REF!&lt;= table!$D$10),-1,IF(AND(#REF!&gt;=table!$E$10,#REF!&lt;=table!$F$10),1,0))</f>
        <v>#REF!</v>
      </c>
      <c r="V5012" s="5" t="e">
        <f>IF(AND(#REF!&gt;=table!$C$11,#REF!&lt;= table!$D$11),-1,IF(AND(#REF!&gt;=table!$E$11,#REF!&lt;=table!$F$11),1,0))</f>
        <v>#REF!</v>
      </c>
      <c r="W5012" s="5" t="e">
        <f>CONCATENATE(dados[[#This Row],[fator1]],dados[[#This Row],[fator5]],dados[[#This Row],[fator6]])</f>
        <v>#REF!</v>
      </c>
    </row>
    <row r="5013" spans="1:23">
      <c r="A5013" t="s">
        <v>16</v>
      </c>
      <c r="B5013">
        <v>591684</v>
      </c>
      <c r="C5013">
        <v>10</v>
      </c>
      <c r="D5013">
        <v>40</v>
      </c>
      <c r="E5013">
        <v>160</v>
      </c>
      <c r="F5013">
        <v>6</v>
      </c>
      <c r="G5013">
        <v>0</v>
      </c>
      <c r="H5013">
        <v>25</v>
      </c>
      <c r="I5013">
        <v>0</v>
      </c>
      <c r="J5013">
        <v>900</v>
      </c>
      <c r="K5013">
        <v>3.726</v>
      </c>
      <c r="L5013">
        <v>10.723500000000001</v>
      </c>
      <c r="M5013">
        <v>151.71950000000001</v>
      </c>
      <c r="N5013">
        <v>21.88</v>
      </c>
      <c r="O5013">
        <v>1705</v>
      </c>
      <c r="P5013">
        <v>1080</v>
      </c>
      <c r="Q5013" s="5" t="e">
        <f>IF(AND(#REF!&gt;=table!$C$6,#REF!&lt;= table!$D$6),-1,IF(AND(#REF!&gt;=table!$E$6,#REF!&lt;=table!$F$6),1,0))</f>
        <v>#REF!</v>
      </c>
      <c r="R5013" s="5" t="e">
        <f>IF(AND(#REF!&gt;=table!$C$7,#REF!&lt;= table!$D$7),-1,IF(AND(#REF!&gt;=table!$E$7,#REF!&lt;=table!$F$7),1,0))</f>
        <v>#REF!</v>
      </c>
      <c r="S5013" s="5" t="e">
        <f>IF(AND(#REF!&gt;=table!$C$8,#REF!&lt;= table!$D$8),-1,IF(AND(#REF!&gt;=table!$E$8,#REF!&lt;=table!$F$8),1,0))</f>
        <v>#REF!</v>
      </c>
      <c r="T5013" s="5"/>
      <c r="U5013" s="5" t="e">
        <f>IF(AND(#REF!&gt;=table!$C$10,#REF!&lt;= table!$D$10),-1,IF(AND(#REF!&gt;=table!$E$10,#REF!&lt;=table!$F$10),1,0))</f>
        <v>#REF!</v>
      </c>
      <c r="V5013" s="5" t="e">
        <f>IF(AND(#REF!&gt;=table!$C$11,#REF!&lt;= table!$D$11),-1,IF(AND(#REF!&gt;=table!$E$11,#REF!&lt;=table!$F$11),1,0))</f>
        <v>#REF!</v>
      </c>
      <c r="W5013" s="5" t="e">
        <f>CONCATENATE(dados[[#This Row],[fator1]],dados[[#This Row],[fator5]],dados[[#This Row],[fator6]])</f>
        <v>#REF!</v>
      </c>
    </row>
    <row r="5014" spans="1:23">
      <c r="A5014" t="s">
        <v>16</v>
      </c>
      <c r="B5014">
        <v>591685</v>
      </c>
      <c r="C5014">
        <v>10</v>
      </c>
      <c r="D5014">
        <v>40</v>
      </c>
      <c r="E5014">
        <v>160</v>
      </c>
      <c r="F5014">
        <v>6</v>
      </c>
      <c r="G5014">
        <v>0</v>
      </c>
      <c r="H5014">
        <v>25</v>
      </c>
      <c r="I5014">
        <v>3</v>
      </c>
      <c r="J5014">
        <v>760</v>
      </c>
      <c r="K5014">
        <v>4.7965</v>
      </c>
      <c r="L5014">
        <v>13.1655</v>
      </c>
      <c r="M5014">
        <v>76.008499999999998</v>
      </c>
      <c r="N5014">
        <v>17.600000000000001</v>
      </c>
      <c r="O5014">
        <v>1686</v>
      </c>
      <c r="P5014">
        <v>967</v>
      </c>
      <c r="Q5014" s="5" t="e">
        <f>IF(AND(#REF!&gt;=table!$C$6,#REF!&lt;= table!$D$6),-1,IF(AND(#REF!&gt;=table!$E$6,#REF!&lt;=table!$F$6),1,0))</f>
        <v>#REF!</v>
      </c>
      <c r="R5014" s="5" t="e">
        <f>IF(AND(#REF!&gt;=table!$C$7,#REF!&lt;= table!$D$7),-1,IF(AND(#REF!&gt;=table!$E$7,#REF!&lt;=table!$F$7),1,0))</f>
        <v>#REF!</v>
      </c>
      <c r="S5014" s="5" t="e">
        <f>IF(AND(#REF!&gt;=table!$C$8,#REF!&lt;= table!$D$8),-1,IF(AND(#REF!&gt;=table!$E$8,#REF!&lt;=table!$F$8),1,0))</f>
        <v>#REF!</v>
      </c>
      <c r="T5014" s="5"/>
      <c r="U5014" s="5" t="e">
        <f>IF(AND(#REF!&gt;=table!$C$10,#REF!&lt;= table!$D$10),-1,IF(AND(#REF!&gt;=table!$E$10,#REF!&lt;=table!$F$10),1,0))</f>
        <v>#REF!</v>
      </c>
      <c r="V5014" s="5" t="e">
        <f>IF(AND(#REF!&gt;=table!$C$11,#REF!&lt;= table!$D$11),-1,IF(AND(#REF!&gt;=table!$E$11,#REF!&lt;=table!$F$11),1,0))</f>
        <v>#REF!</v>
      </c>
      <c r="W5014" s="5" t="e">
        <f>CONCATENATE(dados[[#This Row],[fator1]],dados[[#This Row],[fator5]],dados[[#This Row],[fator6]])</f>
        <v>#REF!</v>
      </c>
    </row>
    <row r="5015" spans="1:23">
      <c r="A5015" t="s">
        <v>16</v>
      </c>
      <c r="B5015">
        <v>591687</v>
      </c>
      <c r="C5015">
        <v>0.15</v>
      </c>
      <c r="D5015">
        <v>40</v>
      </c>
      <c r="E5015">
        <v>10</v>
      </c>
      <c r="F5015">
        <v>15</v>
      </c>
      <c r="G5015">
        <v>0</v>
      </c>
      <c r="H5015">
        <v>15</v>
      </c>
      <c r="I5015">
        <v>9</v>
      </c>
      <c r="J5015">
        <v>630</v>
      </c>
      <c r="K5015">
        <v>5.9560000000000004</v>
      </c>
      <c r="L5015">
        <v>7.0410000000000004</v>
      </c>
      <c r="M5015">
        <v>5.4969999999999999</v>
      </c>
      <c r="N5015">
        <v>5.69</v>
      </c>
      <c r="O5015">
        <v>1627</v>
      </c>
      <c r="P5015">
        <v>0</v>
      </c>
      <c r="Q5015" s="5" t="e">
        <f>IF(AND(#REF!&gt;=table!$C$6,#REF!&lt;= table!$D$6),-1,IF(AND(#REF!&gt;=table!$E$6,#REF!&lt;=table!$F$6),1,0))</f>
        <v>#REF!</v>
      </c>
      <c r="R5015" s="5" t="e">
        <f>IF(AND(#REF!&gt;=table!$C$7,#REF!&lt;= table!$D$7),-1,IF(AND(#REF!&gt;=table!$E$7,#REF!&lt;=table!$F$7),1,0))</f>
        <v>#REF!</v>
      </c>
      <c r="S5015" s="5" t="e">
        <f>IF(AND(#REF!&gt;=table!$C$8,#REF!&lt;= table!$D$8),-1,IF(AND(#REF!&gt;=table!$E$8,#REF!&lt;=table!$F$8),1,0))</f>
        <v>#REF!</v>
      </c>
      <c r="T5015" s="5"/>
      <c r="U5015" s="5" t="e">
        <f>IF(AND(#REF!&gt;=table!$C$10,#REF!&lt;= table!$D$10),-1,IF(AND(#REF!&gt;=table!$E$10,#REF!&lt;=table!$F$10),1,0))</f>
        <v>#REF!</v>
      </c>
      <c r="V5015" s="5" t="e">
        <f>IF(AND(#REF!&gt;=table!$C$11,#REF!&lt;= table!$D$11),-1,IF(AND(#REF!&gt;=table!$E$11,#REF!&lt;=table!$F$11),1,0))</f>
        <v>#REF!</v>
      </c>
      <c r="W5015" s="5" t="e">
        <f>CONCATENATE(dados[[#This Row],[fator1]],dados[[#This Row],[fator5]],dados[[#This Row],[fator6]])</f>
        <v>#REF!</v>
      </c>
    </row>
    <row r="5016" spans="1:23">
      <c r="A5016" t="s">
        <v>17</v>
      </c>
      <c r="B5016">
        <v>591688</v>
      </c>
      <c r="C5016">
        <v>12</v>
      </c>
      <c r="D5016">
        <v>35</v>
      </c>
      <c r="E5016">
        <v>95</v>
      </c>
      <c r="F5016">
        <v>7</v>
      </c>
      <c r="G5016">
        <v>28</v>
      </c>
      <c r="H5016">
        <v>25</v>
      </c>
      <c r="I5016">
        <v>617</v>
      </c>
      <c r="J5016">
        <v>0</v>
      </c>
      <c r="K5016">
        <v>3.33</v>
      </c>
      <c r="L5016">
        <v>7.1845000000000008</v>
      </c>
      <c r="M5016">
        <v>80.486500000000007</v>
      </c>
      <c r="N5016">
        <v>15.85</v>
      </c>
      <c r="O5016">
        <v>1680</v>
      </c>
      <c r="P5016">
        <v>0</v>
      </c>
      <c r="Q5016" s="5" t="e">
        <f>IF(AND(#REF!&gt;=table!$C$6,#REF!&lt;= table!$D$6),-1,IF(AND(#REF!&gt;=table!$E$6,#REF!&lt;=table!$F$6),1,0))</f>
        <v>#REF!</v>
      </c>
      <c r="R5016" s="5" t="e">
        <f>IF(AND(#REF!&gt;=table!$C$7,#REF!&lt;= table!$D$7),-1,IF(AND(#REF!&gt;=table!$E$7,#REF!&lt;=table!$F$7),1,0))</f>
        <v>#REF!</v>
      </c>
      <c r="S5016" s="5" t="e">
        <f>IF(AND(#REF!&gt;=table!$C$8,#REF!&lt;= table!$D$8),-1,IF(AND(#REF!&gt;=table!$E$8,#REF!&lt;=table!$F$8),1,0))</f>
        <v>#REF!</v>
      </c>
      <c r="T5016" s="5"/>
      <c r="U5016" s="5" t="e">
        <f>IF(AND(#REF!&gt;=table!$C$10,#REF!&lt;= table!$D$10),-1,IF(AND(#REF!&gt;=table!$E$10,#REF!&lt;=table!$F$10),1,0))</f>
        <v>#REF!</v>
      </c>
      <c r="V5016" s="5" t="e">
        <f>IF(AND(#REF!&gt;=table!$C$11,#REF!&lt;= table!$D$11),-1,IF(AND(#REF!&gt;=table!$E$11,#REF!&lt;=table!$F$11),1,0))</f>
        <v>#REF!</v>
      </c>
      <c r="W5016" s="5" t="e">
        <f>CONCATENATE(dados[[#This Row],[fator1]],dados[[#This Row],[fator5]],dados[[#This Row],[fator6]])</f>
        <v>#REF!</v>
      </c>
    </row>
    <row r="5017" spans="1:23">
      <c r="A5017" t="s">
        <v>17</v>
      </c>
      <c r="B5017">
        <v>591689</v>
      </c>
      <c r="C5017">
        <v>13</v>
      </c>
      <c r="D5017">
        <v>35</v>
      </c>
      <c r="E5017">
        <v>100</v>
      </c>
      <c r="F5017">
        <v>7</v>
      </c>
      <c r="G5017">
        <v>28</v>
      </c>
      <c r="H5017">
        <v>25</v>
      </c>
      <c r="I5017">
        <v>1</v>
      </c>
      <c r="J5017">
        <v>0</v>
      </c>
      <c r="K5017">
        <v>5.1145000000000005</v>
      </c>
      <c r="L5017">
        <v>8.7655000000000012</v>
      </c>
      <c r="M5017">
        <v>82.052500000000009</v>
      </c>
      <c r="N5017">
        <v>18.46</v>
      </c>
      <c r="O5017">
        <v>1677</v>
      </c>
      <c r="P5017">
        <v>0</v>
      </c>
      <c r="Q5017" s="5" t="e">
        <f>IF(AND(#REF!&gt;=table!$C$6,#REF!&lt;= table!$D$6),-1,IF(AND(#REF!&gt;=table!$E$6,#REF!&lt;=table!$F$6),1,0))</f>
        <v>#REF!</v>
      </c>
      <c r="R5017" s="5" t="e">
        <f>IF(AND(#REF!&gt;=table!$C$7,#REF!&lt;= table!$D$7),-1,IF(AND(#REF!&gt;=table!$E$7,#REF!&lt;=table!$F$7),1,0))</f>
        <v>#REF!</v>
      </c>
      <c r="S5017" s="5" t="e">
        <f>IF(AND(#REF!&gt;=table!$C$8,#REF!&lt;= table!$D$8),-1,IF(AND(#REF!&gt;=table!$E$8,#REF!&lt;=table!$F$8),1,0))</f>
        <v>#REF!</v>
      </c>
      <c r="T5017" s="5"/>
      <c r="U5017" s="5" t="e">
        <f>IF(AND(#REF!&gt;=table!$C$10,#REF!&lt;= table!$D$10),-1,IF(AND(#REF!&gt;=table!$E$10,#REF!&lt;=table!$F$10),1,0))</f>
        <v>#REF!</v>
      </c>
      <c r="V5017" s="5" t="e">
        <f>IF(AND(#REF!&gt;=table!$C$11,#REF!&lt;= table!$D$11),-1,IF(AND(#REF!&gt;=table!$E$11,#REF!&lt;=table!$F$11),1,0))</f>
        <v>#REF!</v>
      </c>
      <c r="W5017" s="5" t="e">
        <f>CONCATENATE(dados[[#This Row],[fator1]],dados[[#This Row],[fator5]],dados[[#This Row],[fator6]])</f>
        <v>#REF!</v>
      </c>
    </row>
    <row r="5018" spans="1:23">
      <c r="A5018" t="s">
        <v>17</v>
      </c>
      <c r="B5018">
        <v>591690</v>
      </c>
      <c r="C5018">
        <v>15</v>
      </c>
      <c r="D5018">
        <v>23</v>
      </c>
      <c r="E5018">
        <v>155</v>
      </c>
      <c r="F5018">
        <v>4</v>
      </c>
      <c r="G5018">
        <v>30</v>
      </c>
      <c r="H5018">
        <v>25</v>
      </c>
      <c r="I5018">
        <v>0</v>
      </c>
      <c r="J5018">
        <v>680</v>
      </c>
      <c r="K5018">
        <v>6.3130000000000006</v>
      </c>
      <c r="L5018">
        <v>12.97</v>
      </c>
      <c r="M5018">
        <v>99.625</v>
      </c>
      <c r="N5018">
        <v>20.025000000000002</v>
      </c>
      <c r="O5018">
        <v>1700</v>
      </c>
      <c r="P5018">
        <v>525</v>
      </c>
      <c r="Q5018" s="5" t="e">
        <f>IF(AND(#REF!&gt;=table!$C$6,#REF!&lt;= table!$D$6),-1,IF(AND(#REF!&gt;=table!$E$6,#REF!&lt;=table!$F$6),1,0))</f>
        <v>#REF!</v>
      </c>
      <c r="R5018" s="5" t="e">
        <f>IF(AND(#REF!&gt;=table!$C$7,#REF!&lt;= table!$D$7),-1,IF(AND(#REF!&gt;=table!$E$7,#REF!&lt;=table!$F$7),1,0))</f>
        <v>#REF!</v>
      </c>
      <c r="S5018" s="5" t="e">
        <f>IF(AND(#REF!&gt;=table!$C$8,#REF!&lt;= table!$D$8),-1,IF(AND(#REF!&gt;=table!$E$8,#REF!&lt;=table!$F$8),1,0))</f>
        <v>#REF!</v>
      </c>
      <c r="T5018" s="5"/>
      <c r="U5018" s="5" t="e">
        <f>IF(AND(#REF!&gt;=table!$C$10,#REF!&lt;= table!$D$10),-1,IF(AND(#REF!&gt;=table!$E$10,#REF!&lt;=table!$F$10),1,0))</f>
        <v>#REF!</v>
      </c>
      <c r="V5018" s="5" t="e">
        <f>IF(AND(#REF!&gt;=table!$C$11,#REF!&lt;= table!$D$11),-1,IF(AND(#REF!&gt;=table!$E$11,#REF!&lt;=table!$F$11),1,0))</f>
        <v>#REF!</v>
      </c>
      <c r="W5018" s="5" t="e">
        <f>CONCATENATE(dados[[#This Row],[fator1]],dados[[#This Row],[fator5]],dados[[#This Row],[fator6]])</f>
        <v>#REF!</v>
      </c>
    </row>
    <row r="5019" spans="1:23">
      <c r="A5019" t="s">
        <v>16</v>
      </c>
      <c r="B5019">
        <v>591691</v>
      </c>
      <c r="C5019">
        <v>0.15</v>
      </c>
      <c r="D5019">
        <v>40</v>
      </c>
      <c r="E5019">
        <v>10</v>
      </c>
      <c r="F5019">
        <v>15</v>
      </c>
      <c r="G5019">
        <v>0</v>
      </c>
      <c r="H5019">
        <v>15</v>
      </c>
      <c r="I5019">
        <v>1542</v>
      </c>
      <c r="J5019">
        <v>0</v>
      </c>
      <c r="K5019">
        <v>8.5835000000000008</v>
      </c>
      <c r="L5019">
        <v>10.209</v>
      </c>
      <c r="M5019">
        <v>9.0515000000000008</v>
      </c>
      <c r="N5019">
        <v>8.9749999999999996</v>
      </c>
      <c r="O5019">
        <v>1674</v>
      </c>
      <c r="P5019">
        <v>0</v>
      </c>
      <c r="Q5019" s="5" t="e">
        <f>IF(AND(#REF!&gt;=table!$C$6,#REF!&lt;= table!$D$6),-1,IF(AND(#REF!&gt;=table!$E$6,#REF!&lt;=table!$F$6),1,0))</f>
        <v>#REF!</v>
      </c>
      <c r="R5019" s="5" t="e">
        <f>IF(AND(#REF!&gt;=table!$C$7,#REF!&lt;= table!$D$7),-1,IF(AND(#REF!&gt;=table!$E$7,#REF!&lt;=table!$F$7),1,0))</f>
        <v>#REF!</v>
      </c>
      <c r="S5019" s="5" t="e">
        <f>IF(AND(#REF!&gt;=table!$C$8,#REF!&lt;= table!$D$8),-1,IF(AND(#REF!&gt;=table!$E$8,#REF!&lt;=table!$F$8),1,0))</f>
        <v>#REF!</v>
      </c>
      <c r="T5019" s="5"/>
      <c r="U5019" s="5" t="e">
        <f>IF(AND(#REF!&gt;=table!$C$10,#REF!&lt;= table!$D$10),-1,IF(AND(#REF!&gt;=table!$E$10,#REF!&lt;=table!$F$10),1,0))</f>
        <v>#REF!</v>
      </c>
      <c r="V5019" s="5" t="e">
        <f>IF(AND(#REF!&gt;=table!$C$11,#REF!&lt;= table!$D$11),-1,IF(AND(#REF!&gt;=table!$E$11,#REF!&lt;=table!$F$11),1,0))</f>
        <v>#REF!</v>
      </c>
      <c r="W5019" s="5" t="e">
        <f>CONCATENATE(dados[[#This Row],[fator1]],dados[[#This Row],[fator5]],dados[[#This Row],[fator6]])</f>
        <v>#REF!</v>
      </c>
    </row>
    <row r="5020" spans="1:23">
      <c r="A5020" t="s">
        <v>16</v>
      </c>
      <c r="B5020">
        <v>591697</v>
      </c>
      <c r="C5020">
        <v>0.15</v>
      </c>
      <c r="D5020">
        <v>40</v>
      </c>
      <c r="E5020">
        <v>10</v>
      </c>
      <c r="F5020">
        <v>15</v>
      </c>
      <c r="G5020">
        <v>0</v>
      </c>
      <c r="H5020">
        <v>15</v>
      </c>
      <c r="I5020">
        <v>159</v>
      </c>
      <c r="J5020">
        <v>0</v>
      </c>
      <c r="K5020">
        <v>3.9410000000000003</v>
      </c>
      <c r="L5020">
        <v>10.633000000000001</v>
      </c>
      <c r="M5020">
        <v>8.0229999999999997</v>
      </c>
      <c r="N5020">
        <v>14</v>
      </c>
      <c r="O5020">
        <v>1714</v>
      </c>
      <c r="P5020">
        <v>967</v>
      </c>
      <c r="Q5020" s="5" t="e">
        <f>IF(AND(#REF!&gt;=table!$C$6,#REF!&lt;= table!$D$6),-1,IF(AND(#REF!&gt;=table!$E$6,#REF!&lt;=table!$F$6),1,0))</f>
        <v>#REF!</v>
      </c>
      <c r="R5020" s="5" t="e">
        <f>IF(AND(#REF!&gt;=table!$C$7,#REF!&lt;= table!$D$7),-1,IF(AND(#REF!&gt;=table!$E$7,#REF!&lt;=table!$F$7),1,0))</f>
        <v>#REF!</v>
      </c>
      <c r="S5020" s="5" t="e">
        <f>IF(AND(#REF!&gt;=table!$C$8,#REF!&lt;= table!$D$8),-1,IF(AND(#REF!&gt;=table!$E$8,#REF!&lt;=table!$F$8),1,0))</f>
        <v>#REF!</v>
      </c>
      <c r="T5020" s="5"/>
      <c r="U5020" s="5" t="e">
        <f>IF(AND(#REF!&gt;=table!$C$10,#REF!&lt;= table!$D$10),-1,IF(AND(#REF!&gt;=table!$E$10,#REF!&lt;=table!$F$10),1,0))</f>
        <v>#REF!</v>
      </c>
      <c r="V5020" s="5" t="e">
        <f>IF(AND(#REF!&gt;=table!$C$11,#REF!&lt;= table!$D$11),-1,IF(AND(#REF!&gt;=table!$E$11,#REF!&lt;=table!$F$11),1,0))</f>
        <v>#REF!</v>
      </c>
      <c r="W5020" s="5" t="e">
        <f>CONCATENATE(dados[[#This Row],[fator1]],dados[[#This Row],[fator5]],dados[[#This Row],[fator6]])</f>
        <v>#REF!</v>
      </c>
    </row>
    <row r="5021" spans="1:23">
      <c r="A5021" t="s">
        <v>17</v>
      </c>
      <c r="B5021">
        <v>591707</v>
      </c>
      <c r="C5021">
        <v>22</v>
      </c>
      <c r="D5021">
        <v>30</v>
      </c>
      <c r="E5021">
        <v>101</v>
      </c>
      <c r="F5021">
        <v>9</v>
      </c>
      <c r="G5021">
        <v>20</v>
      </c>
      <c r="H5021">
        <v>25</v>
      </c>
      <c r="I5021">
        <v>122</v>
      </c>
      <c r="J5021">
        <v>480</v>
      </c>
      <c r="K5021">
        <v>7.5095000000000001</v>
      </c>
      <c r="L5021">
        <v>11.4975</v>
      </c>
      <c r="M5021">
        <v>85.891000000000005</v>
      </c>
      <c r="N5021">
        <v>12.22</v>
      </c>
      <c r="O5021">
        <v>1660</v>
      </c>
      <c r="P5021">
        <v>2103</v>
      </c>
      <c r="Q5021" s="5" t="e">
        <f>IF(AND(#REF!&gt;=table!$C$6,#REF!&lt;= table!$D$6),-1,IF(AND(#REF!&gt;=table!$E$6,#REF!&lt;=table!$F$6),1,0))</f>
        <v>#REF!</v>
      </c>
      <c r="R5021" s="5" t="e">
        <f>IF(AND(#REF!&gt;=table!$C$7,#REF!&lt;= table!$D$7),-1,IF(AND(#REF!&gt;=table!$E$7,#REF!&lt;=table!$F$7),1,0))</f>
        <v>#REF!</v>
      </c>
      <c r="S5021" s="5" t="e">
        <f>IF(AND(#REF!&gt;=table!$C$8,#REF!&lt;= table!$D$8),-1,IF(AND(#REF!&gt;=table!$E$8,#REF!&lt;=table!$F$8),1,0))</f>
        <v>#REF!</v>
      </c>
      <c r="T5021" s="5"/>
      <c r="U5021" s="5" t="e">
        <f>IF(AND(#REF!&gt;=table!$C$10,#REF!&lt;= table!$D$10),-1,IF(AND(#REF!&gt;=table!$E$10,#REF!&lt;=table!$F$10),1,0))</f>
        <v>#REF!</v>
      </c>
      <c r="V5021" s="5" t="e">
        <f>IF(AND(#REF!&gt;=table!$C$11,#REF!&lt;= table!$D$11),-1,IF(AND(#REF!&gt;=table!$E$11,#REF!&lt;=table!$F$11),1,0))</f>
        <v>#REF!</v>
      </c>
      <c r="W5021" s="5" t="e">
        <f>CONCATENATE(dados[[#This Row],[fator1]],dados[[#This Row],[fator5]],dados[[#This Row],[fator6]])</f>
        <v>#REF!</v>
      </c>
    </row>
    <row r="5022" spans="1:23">
      <c r="A5022" t="s">
        <v>17</v>
      </c>
      <c r="B5022">
        <v>591709</v>
      </c>
      <c r="C5022">
        <v>16</v>
      </c>
      <c r="D5022">
        <v>30</v>
      </c>
      <c r="E5022">
        <v>116</v>
      </c>
      <c r="F5022">
        <v>6</v>
      </c>
      <c r="G5022">
        <v>20</v>
      </c>
      <c r="H5022">
        <v>25</v>
      </c>
      <c r="I5022">
        <v>387</v>
      </c>
      <c r="J5022">
        <v>0</v>
      </c>
      <c r="K5022">
        <v>5.0750000000000002</v>
      </c>
      <c r="L5022">
        <v>9.0645000000000007</v>
      </c>
      <c r="M5022">
        <v>75.868000000000009</v>
      </c>
      <c r="N5022">
        <v>15.48</v>
      </c>
      <c r="O5022">
        <v>1653</v>
      </c>
      <c r="P5022">
        <v>400</v>
      </c>
      <c r="Q5022" s="5" t="e">
        <f>IF(AND(#REF!&gt;=table!$C$6,#REF!&lt;= table!$D$6),-1,IF(AND(#REF!&gt;=table!$E$6,#REF!&lt;=table!$F$6),1,0))</f>
        <v>#REF!</v>
      </c>
      <c r="R5022" s="5" t="e">
        <f>IF(AND(#REF!&gt;=table!$C$7,#REF!&lt;= table!$D$7),-1,IF(AND(#REF!&gt;=table!$E$7,#REF!&lt;=table!$F$7),1,0))</f>
        <v>#REF!</v>
      </c>
      <c r="S5022" s="5" t="e">
        <f>IF(AND(#REF!&gt;=table!$C$8,#REF!&lt;= table!$D$8),-1,IF(AND(#REF!&gt;=table!$E$8,#REF!&lt;=table!$F$8),1,0))</f>
        <v>#REF!</v>
      </c>
      <c r="T5022" s="5"/>
      <c r="U5022" s="5" t="e">
        <f>IF(AND(#REF!&gt;=table!$C$10,#REF!&lt;= table!$D$10),-1,IF(AND(#REF!&gt;=table!$E$10,#REF!&lt;=table!$F$10),1,0))</f>
        <v>#REF!</v>
      </c>
      <c r="V5022" s="5" t="e">
        <f>IF(AND(#REF!&gt;=table!$C$11,#REF!&lt;= table!$D$11),-1,IF(AND(#REF!&gt;=table!$E$11,#REF!&lt;=table!$F$11),1,0))</f>
        <v>#REF!</v>
      </c>
      <c r="W5022" s="5" t="e">
        <f>CONCATENATE(dados[[#This Row],[fator1]],dados[[#This Row],[fator5]],dados[[#This Row],[fator6]])</f>
        <v>#REF!</v>
      </c>
    </row>
    <row r="5023" spans="1:23">
      <c r="A5023" t="s">
        <v>17</v>
      </c>
      <c r="B5023">
        <v>591710</v>
      </c>
      <c r="C5023">
        <v>16</v>
      </c>
      <c r="D5023">
        <v>30</v>
      </c>
      <c r="E5023">
        <v>116</v>
      </c>
      <c r="F5023">
        <v>6</v>
      </c>
      <c r="G5023">
        <v>20</v>
      </c>
      <c r="H5023">
        <v>25</v>
      </c>
      <c r="I5023">
        <v>1063</v>
      </c>
      <c r="J5023">
        <v>0</v>
      </c>
      <c r="K5023">
        <v>11.188500000000001</v>
      </c>
      <c r="L5023">
        <v>11.118</v>
      </c>
      <c r="M5023">
        <v>101.039</v>
      </c>
      <c r="N5023">
        <v>16.745000000000001</v>
      </c>
      <c r="O5023">
        <v>1680</v>
      </c>
      <c r="P5023">
        <v>264</v>
      </c>
      <c r="Q5023" s="5" t="e">
        <f>IF(AND(#REF!&gt;=table!$C$6,#REF!&lt;= table!$D$6),-1,IF(AND(#REF!&gt;=table!$E$6,#REF!&lt;=table!$F$6),1,0))</f>
        <v>#REF!</v>
      </c>
      <c r="R5023" s="5" t="e">
        <f>IF(AND(#REF!&gt;=table!$C$7,#REF!&lt;= table!$D$7),-1,IF(AND(#REF!&gt;=table!$E$7,#REF!&lt;=table!$F$7),1,0))</f>
        <v>#REF!</v>
      </c>
      <c r="S5023" s="5" t="e">
        <f>IF(AND(#REF!&gt;=table!$C$8,#REF!&lt;= table!$D$8),-1,IF(AND(#REF!&gt;=table!$E$8,#REF!&lt;=table!$F$8),1,0))</f>
        <v>#REF!</v>
      </c>
      <c r="T5023" s="5"/>
      <c r="U5023" s="5" t="e">
        <f>IF(AND(#REF!&gt;=table!$C$10,#REF!&lt;= table!$D$10),-1,IF(AND(#REF!&gt;=table!$E$10,#REF!&lt;=table!$F$10),1,0))</f>
        <v>#REF!</v>
      </c>
      <c r="V5023" s="5" t="e">
        <f>IF(AND(#REF!&gt;=table!$C$11,#REF!&lt;= table!$D$11),-1,IF(AND(#REF!&gt;=table!$E$11,#REF!&lt;=table!$F$11),1,0))</f>
        <v>#REF!</v>
      </c>
      <c r="W5023" s="5" t="e">
        <f>CONCATENATE(dados[[#This Row],[fator1]],dados[[#This Row],[fator5]],dados[[#This Row],[fator6]])</f>
        <v>#REF!</v>
      </c>
    </row>
    <row r="5024" spans="1:23">
      <c r="A5024" t="s">
        <v>17</v>
      </c>
      <c r="B5024">
        <v>591715</v>
      </c>
      <c r="C5024">
        <v>16</v>
      </c>
      <c r="D5024">
        <v>33</v>
      </c>
      <c r="E5024">
        <v>150</v>
      </c>
      <c r="F5024">
        <v>10</v>
      </c>
      <c r="G5024">
        <v>15</v>
      </c>
      <c r="H5024">
        <v>25</v>
      </c>
      <c r="I5024">
        <v>1163</v>
      </c>
      <c r="J5024">
        <v>0</v>
      </c>
      <c r="K5024">
        <v>6.3055000000000003</v>
      </c>
      <c r="L5024">
        <v>7.3365</v>
      </c>
      <c r="M5024">
        <v>125.712</v>
      </c>
      <c r="N5024">
        <v>16.72</v>
      </c>
      <c r="O5024">
        <v>1707</v>
      </c>
      <c r="P5024">
        <v>581</v>
      </c>
      <c r="Q5024" s="5" t="e">
        <f>IF(AND(#REF!&gt;=table!$C$6,#REF!&lt;= table!$D$6),-1,IF(AND(#REF!&gt;=table!$E$6,#REF!&lt;=table!$F$6),1,0))</f>
        <v>#REF!</v>
      </c>
      <c r="R5024" s="5" t="e">
        <f>IF(AND(#REF!&gt;=table!$C$7,#REF!&lt;= table!$D$7),-1,IF(AND(#REF!&gt;=table!$E$7,#REF!&lt;=table!$F$7),1,0))</f>
        <v>#REF!</v>
      </c>
      <c r="S5024" s="5" t="e">
        <f>IF(AND(#REF!&gt;=table!$C$8,#REF!&lt;= table!$D$8),-1,IF(AND(#REF!&gt;=table!$E$8,#REF!&lt;=table!$F$8),1,0))</f>
        <v>#REF!</v>
      </c>
      <c r="T5024" s="5"/>
      <c r="U5024" s="5" t="e">
        <f>IF(AND(#REF!&gt;=table!$C$10,#REF!&lt;= table!$D$10),-1,IF(AND(#REF!&gt;=table!$E$10,#REF!&lt;=table!$F$10),1,0))</f>
        <v>#REF!</v>
      </c>
      <c r="V5024" s="5" t="e">
        <f>IF(AND(#REF!&gt;=table!$C$11,#REF!&lt;= table!$D$11),-1,IF(AND(#REF!&gt;=table!$E$11,#REF!&lt;=table!$F$11),1,0))</f>
        <v>#REF!</v>
      </c>
      <c r="W5024" s="5" t="e">
        <f>CONCATENATE(dados[[#This Row],[fator1]],dados[[#This Row],[fator5]],dados[[#This Row],[fator6]])</f>
        <v>#REF!</v>
      </c>
    </row>
    <row r="5025" spans="1:23">
      <c r="A5025" t="s">
        <v>17</v>
      </c>
      <c r="B5025">
        <v>591716</v>
      </c>
      <c r="C5025">
        <v>16</v>
      </c>
      <c r="D5025">
        <v>33</v>
      </c>
      <c r="E5025">
        <v>150</v>
      </c>
      <c r="F5025">
        <v>10</v>
      </c>
      <c r="G5025">
        <v>15</v>
      </c>
      <c r="H5025">
        <v>25</v>
      </c>
      <c r="I5025">
        <v>803</v>
      </c>
      <c r="J5025">
        <v>0</v>
      </c>
      <c r="K5025">
        <v>7.0410000000000004</v>
      </c>
      <c r="L5025">
        <v>9.2320000000000011</v>
      </c>
      <c r="M5025">
        <v>143.08000000000001</v>
      </c>
      <c r="N5025">
        <v>13.795</v>
      </c>
      <c r="O5025">
        <v>1677</v>
      </c>
      <c r="P5025">
        <v>546</v>
      </c>
      <c r="Q5025" s="5" t="e">
        <f>IF(AND(#REF!&gt;=table!$C$6,#REF!&lt;= table!$D$6),-1,IF(AND(#REF!&gt;=table!$E$6,#REF!&lt;=table!$F$6),1,0))</f>
        <v>#REF!</v>
      </c>
      <c r="R5025" s="5" t="e">
        <f>IF(AND(#REF!&gt;=table!$C$7,#REF!&lt;= table!$D$7),-1,IF(AND(#REF!&gt;=table!$E$7,#REF!&lt;=table!$F$7),1,0))</f>
        <v>#REF!</v>
      </c>
      <c r="S5025" s="5" t="e">
        <f>IF(AND(#REF!&gt;=table!$C$8,#REF!&lt;= table!$D$8),-1,IF(AND(#REF!&gt;=table!$E$8,#REF!&lt;=table!$F$8),1,0))</f>
        <v>#REF!</v>
      </c>
      <c r="T5025" s="5"/>
      <c r="U5025" s="5" t="e">
        <f>IF(AND(#REF!&gt;=table!$C$10,#REF!&lt;= table!$D$10),-1,IF(AND(#REF!&gt;=table!$E$10,#REF!&lt;=table!$F$10),1,0))</f>
        <v>#REF!</v>
      </c>
      <c r="V5025" s="5" t="e">
        <f>IF(AND(#REF!&gt;=table!$C$11,#REF!&lt;= table!$D$11),-1,IF(AND(#REF!&gt;=table!$E$11,#REF!&lt;=table!$F$11),1,0))</f>
        <v>#REF!</v>
      </c>
      <c r="W5025" s="5" t="e">
        <f>CONCATENATE(dados[[#This Row],[fator1]],dados[[#This Row],[fator5]],dados[[#This Row],[fator6]])</f>
        <v>#REF!</v>
      </c>
    </row>
    <row r="5026" spans="1:23">
      <c r="A5026" t="s">
        <v>16</v>
      </c>
      <c r="B5026">
        <v>591717</v>
      </c>
      <c r="C5026">
        <v>0.15</v>
      </c>
      <c r="D5026">
        <v>40</v>
      </c>
      <c r="E5026">
        <v>10</v>
      </c>
      <c r="F5026">
        <v>15</v>
      </c>
      <c r="G5026">
        <v>0</v>
      </c>
      <c r="H5026">
        <v>15</v>
      </c>
      <c r="I5026">
        <v>823</v>
      </c>
      <c r="J5026">
        <v>0</v>
      </c>
      <c r="K5026">
        <v>5.0795000000000003</v>
      </c>
      <c r="L5026">
        <v>12.558</v>
      </c>
      <c r="M5026">
        <v>10.727</v>
      </c>
      <c r="N5026">
        <v>17.145</v>
      </c>
      <c r="O5026">
        <v>1686</v>
      </c>
      <c r="P5026">
        <v>0</v>
      </c>
      <c r="Q5026" s="5" t="e">
        <f>IF(AND(#REF!&gt;=table!$C$6,#REF!&lt;= table!$D$6),-1,IF(AND(#REF!&gt;=table!$E$6,#REF!&lt;=table!$F$6),1,0))</f>
        <v>#REF!</v>
      </c>
      <c r="R5026" s="5" t="e">
        <f>IF(AND(#REF!&gt;=table!$C$7,#REF!&lt;= table!$D$7),-1,IF(AND(#REF!&gt;=table!$E$7,#REF!&lt;=table!$F$7),1,0))</f>
        <v>#REF!</v>
      </c>
      <c r="S5026" s="5" t="e">
        <f>IF(AND(#REF!&gt;=table!$C$8,#REF!&lt;= table!$D$8),-1,IF(AND(#REF!&gt;=table!$E$8,#REF!&lt;=table!$F$8),1,0))</f>
        <v>#REF!</v>
      </c>
      <c r="T5026" s="5"/>
      <c r="U5026" s="5" t="e">
        <f>IF(AND(#REF!&gt;=table!$C$10,#REF!&lt;= table!$D$10),-1,IF(AND(#REF!&gt;=table!$E$10,#REF!&lt;=table!$F$10),1,0))</f>
        <v>#REF!</v>
      </c>
      <c r="V5026" s="5" t="e">
        <f>IF(AND(#REF!&gt;=table!$C$11,#REF!&lt;= table!$D$11),-1,IF(AND(#REF!&gt;=table!$E$11,#REF!&lt;=table!$F$11),1,0))</f>
        <v>#REF!</v>
      </c>
      <c r="W5026" s="5" t="e">
        <f>CONCATENATE(dados[[#This Row],[fator1]],dados[[#This Row],[fator5]],dados[[#This Row],[fator6]])</f>
        <v>#REF!</v>
      </c>
    </row>
    <row r="5027" spans="1:23">
      <c r="A5027" t="s">
        <v>16</v>
      </c>
      <c r="B5027">
        <v>591719</v>
      </c>
      <c r="C5027">
        <v>0.1</v>
      </c>
      <c r="D5027">
        <v>40</v>
      </c>
      <c r="E5027">
        <v>10</v>
      </c>
      <c r="F5027">
        <v>8</v>
      </c>
      <c r="G5027">
        <v>0</v>
      </c>
      <c r="H5027">
        <v>10</v>
      </c>
      <c r="I5027">
        <v>1159</v>
      </c>
      <c r="J5027">
        <v>160</v>
      </c>
      <c r="K5027">
        <v>5.6844999999999999</v>
      </c>
      <c r="L5027">
        <v>11.461</v>
      </c>
      <c r="M5027">
        <v>10.061</v>
      </c>
      <c r="N5027">
        <v>13.425000000000001</v>
      </c>
      <c r="O5027">
        <v>1688</v>
      </c>
      <c r="P5027">
        <v>711</v>
      </c>
      <c r="Q5027" s="5" t="e">
        <f>IF(AND(#REF!&gt;=table!$C$6,#REF!&lt;= table!$D$6),-1,IF(AND(#REF!&gt;=table!$E$6,#REF!&lt;=table!$F$6),1,0))</f>
        <v>#REF!</v>
      </c>
      <c r="R5027" s="5" t="e">
        <f>IF(AND(#REF!&gt;=table!$C$7,#REF!&lt;= table!$D$7),-1,IF(AND(#REF!&gt;=table!$E$7,#REF!&lt;=table!$F$7),1,0))</f>
        <v>#REF!</v>
      </c>
      <c r="S5027" s="5" t="e">
        <f>IF(AND(#REF!&gt;=table!$C$8,#REF!&lt;= table!$D$8),-1,IF(AND(#REF!&gt;=table!$E$8,#REF!&lt;=table!$F$8),1,0))</f>
        <v>#REF!</v>
      </c>
      <c r="T5027" s="5"/>
      <c r="U5027" s="5" t="e">
        <f>IF(AND(#REF!&gt;=table!$C$10,#REF!&lt;= table!$D$10),-1,IF(AND(#REF!&gt;=table!$E$10,#REF!&lt;=table!$F$10),1,0))</f>
        <v>#REF!</v>
      </c>
      <c r="V5027" s="5" t="e">
        <f>IF(AND(#REF!&gt;=table!$C$11,#REF!&lt;= table!$D$11),-1,IF(AND(#REF!&gt;=table!$E$11,#REF!&lt;=table!$F$11),1,0))</f>
        <v>#REF!</v>
      </c>
      <c r="W5027" s="5" t="e">
        <f>CONCATENATE(dados[[#This Row],[fator1]],dados[[#This Row],[fator5]],dados[[#This Row],[fator6]])</f>
        <v>#REF!</v>
      </c>
    </row>
    <row r="5028" spans="1:23">
      <c r="A5028" t="s">
        <v>16</v>
      </c>
      <c r="B5028">
        <v>591720</v>
      </c>
      <c r="C5028">
        <v>12</v>
      </c>
      <c r="D5028">
        <v>35</v>
      </c>
      <c r="E5028">
        <v>86</v>
      </c>
      <c r="F5028">
        <v>10</v>
      </c>
      <c r="G5028">
        <v>0</v>
      </c>
      <c r="H5028">
        <v>25</v>
      </c>
      <c r="I5028">
        <v>1109</v>
      </c>
      <c r="J5028">
        <v>0</v>
      </c>
      <c r="K5028">
        <v>4.9889999999999999</v>
      </c>
      <c r="L5028">
        <v>10.954500000000001</v>
      </c>
      <c r="M5028">
        <v>70.880499999999998</v>
      </c>
      <c r="N5028">
        <v>11.335000000000001</v>
      </c>
      <c r="O5028">
        <v>1647</v>
      </c>
      <c r="P5028">
        <v>529</v>
      </c>
      <c r="Q5028" s="5" t="e">
        <f>IF(AND(#REF!&gt;=table!$C$6,#REF!&lt;= table!$D$6),-1,IF(AND(#REF!&gt;=table!$E$6,#REF!&lt;=table!$F$6),1,0))</f>
        <v>#REF!</v>
      </c>
      <c r="R5028" s="5" t="e">
        <f>IF(AND(#REF!&gt;=table!$C$7,#REF!&lt;= table!$D$7),-1,IF(AND(#REF!&gt;=table!$E$7,#REF!&lt;=table!$F$7),1,0))</f>
        <v>#REF!</v>
      </c>
      <c r="S5028" s="5" t="e">
        <f>IF(AND(#REF!&gt;=table!$C$8,#REF!&lt;= table!$D$8),-1,IF(AND(#REF!&gt;=table!$E$8,#REF!&lt;=table!$F$8),1,0))</f>
        <v>#REF!</v>
      </c>
      <c r="T5028" s="5"/>
      <c r="U5028" s="5" t="e">
        <f>IF(AND(#REF!&gt;=table!$C$10,#REF!&lt;= table!$D$10),-1,IF(AND(#REF!&gt;=table!$E$10,#REF!&lt;=table!$F$10),1,0))</f>
        <v>#REF!</v>
      </c>
      <c r="V5028" s="5" t="e">
        <f>IF(AND(#REF!&gt;=table!$C$11,#REF!&lt;= table!$D$11),-1,IF(AND(#REF!&gt;=table!$E$11,#REF!&lt;=table!$F$11),1,0))</f>
        <v>#REF!</v>
      </c>
      <c r="W5028" s="5" t="e">
        <f>CONCATENATE(dados[[#This Row],[fator1]],dados[[#This Row],[fator5]],dados[[#This Row],[fator6]])</f>
        <v>#REF!</v>
      </c>
    </row>
    <row r="5029" spans="1:23">
      <c r="A5029" t="s">
        <v>16</v>
      </c>
      <c r="B5029">
        <v>591722</v>
      </c>
      <c r="C5029">
        <v>12</v>
      </c>
      <c r="D5029">
        <v>35</v>
      </c>
      <c r="E5029">
        <v>86</v>
      </c>
      <c r="F5029">
        <v>10</v>
      </c>
      <c r="G5029">
        <v>0</v>
      </c>
      <c r="H5029">
        <v>25</v>
      </c>
      <c r="I5029">
        <v>862</v>
      </c>
      <c r="J5029">
        <v>0</v>
      </c>
      <c r="K5029">
        <v>5.9210000000000003</v>
      </c>
      <c r="L5029">
        <v>14.420500000000001</v>
      </c>
      <c r="M5029">
        <v>76.909500000000008</v>
      </c>
      <c r="N5029">
        <v>17.2</v>
      </c>
      <c r="O5029">
        <v>1667</v>
      </c>
      <c r="P5029">
        <v>525</v>
      </c>
      <c r="Q5029" s="5" t="e">
        <f>IF(AND(#REF!&gt;=table!$C$6,#REF!&lt;= table!$D$6),-1,IF(AND(#REF!&gt;=table!$E$6,#REF!&lt;=table!$F$6),1,0))</f>
        <v>#REF!</v>
      </c>
      <c r="R5029" s="5" t="e">
        <f>IF(AND(#REF!&gt;=table!$C$7,#REF!&lt;= table!$D$7),-1,IF(AND(#REF!&gt;=table!$E$7,#REF!&lt;=table!$F$7),1,0))</f>
        <v>#REF!</v>
      </c>
      <c r="S5029" s="5" t="e">
        <f>IF(AND(#REF!&gt;=table!$C$8,#REF!&lt;= table!$D$8),-1,IF(AND(#REF!&gt;=table!$E$8,#REF!&lt;=table!$F$8),1,0))</f>
        <v>#REF!</v>
      </c>
      <c r="T5029" s="5"/>
      <c r="U5029" s="5" t="e">
        <f>IF(AND(#REF!&gt;=table!$C$10,#REF!&lt;= table!$D$10),-1,IF(AND(#REF!&gt;=table!$E$10,#REF!&lt;=table!$F$10),1,0))</f>
        <v>#REF!</v>
      </c>
      <c r="V5029" s="5" t="e">
        <f>IF(AND(#REF!&gt;=table!$C$11,#REF!&lt;= table!$D$11),-1,IF(AND(#REF!&gt;=table!$E$11,#REF!&lt;=table!$F$11),1,0))</f>
        <v>#REF!</v>
      </c>
      <c r="W5029" s="5" t="e">
        <f>CONCATENATE(dados[[#This Row],[fator1]],dados[[#This Row],[fator5]],dados[[#This Row],[fator6]])</f>
        <v>#REF!</v>
      </c>
    </row>
    <row r="5030" spans="1:23">
      <c r="A5030" t="s">
        <v>16</v>
      </c>
      <c r="B5030">
        <v>591723</v>
      </c>
      <c r="C5030">
        <v>12</v>
      </c>
      <c r="D5030">
        <v>35</v>
      </c>
      <c r="E5030">
        <v>86</v>
      </c>
      <c r="F5030">
        <v>10</v>
      </c>
      <c r="G5030">
        <v>0</v>
      </c>
      <c r="H5030">
        <v>25</v>
      </c>
      <c r="I5030">
        <v>138</v>
      </c>
      <c r="J5030">
        <v>0</v>
      </c>
      <c r="K5030">
        <v>7.7060000000000004</v>
      </c>
      <c r="L5030">
        <v>15.053500000000001</v>
      </c>
      <c r="M5030">
        <v>89.191000000000003</v>
      </c>
      <c r="N5030">
        <v>19.055</v>
      </c>
      <c r="O5030">
        <v>1687</v>
      </c>
      <c r="P5030">
        <v>442</v>
      </c>
      <c r="Q5030" s="5" t="e">
        <f>IF(AND(#REF!&gt;=table!$C$6,#REF!&lt;= table!$D$6),-1,IF(AND(#REF!&gt;=table!$E$6,#REF!&lt;=table!$F$6),1,0))</f>
        <v>#REF!</v>
      </c>
      <c r="R5030" s="5" t="e">
        <f>IF(AND(#REF!&gt;=table!$C$7,#REF!&lt;= table!$D$7),-1,IF(AND(#REF!&gt;=table!$E$7,#REF!&lt;=table!$F$7),1,0))</f>
        <v>#REF!</v>
      </c>
      <c r="S5030" s="5" t="e">
        <f>IF(AND(#REF!&gt;=table!$C$8,#REF!&lt;= table!$D$8),-1,IF(AND(#REF!&gt;=table!$E$8,#REF!&lt;=table!$F$8),1,0))</f>
        <v>#REF!</v>
      </c>
      <c r="T5030" s="5"/>
      <c r="U5030" s="5" t="e">
        <f>IF(AND(#REF!&gt;=table!$C$10,#REF!&lt;= table!$D$10),-1,IF(AND(#REF!&gt;=table!$E$10,#REF!&lt;=table!$F$10),1,0))</f>
        <v>#REF!</v>
      </c>
      <c r="V5030" s="5" t="e">
        <f>IF(AND(#REF!&gt;=table!$C$11,#REF!&lt;= table!$D$11),-1,IF(AND(#REF!&gt;=table!$E$11,#REF!&lt;=table!$F$11),1,0))</f>
        <v>#REF!</v>
      </c>
      <c r="W5030" s="5" t="e">
        <f>CONCATENATE(dados[[#This Row],[fator1]],dados[[#This Row],[fator5]],dados[[#This Row],[fator6]])</f>
        <v>#REF!</v>
      </c>
    </row>
    <row r="5031" spans="1:23">
      <c r="A5031" t="s">
        <v>16</v>
      </c>
      <c r="B5031">
        <v>591724</v>
      </c>
      <c r="C5031">
        <v>16</v>
      </c>
      <c r="D5031">
        <v>35</v>
      </c>
      <c r="E5031">
        <v>56</v>
      </c>
      <c r="F5031">
        <v>10</v>
      </c>
      <c r="G5031">
        <v>0</v>
      </c>
      <c r="H5031">
        <v>25</v>
      </c>
      <c r="I5031">
        <v>1257</v>
      </c>
      <c r="J5031">
        <v>0</v>
      </c>
      <c r="K5031">
        <v>6.6680000000000001</v>
      </c>
      <c r="L5031">
        <v>15.710500000000001</v>
      </c>
      <c r="M5031">
        <v>46.512</v>
      </c>
      <c r="N5031">
        <v>23.615000000000002</v>
      </c>
      <c r="O5031">
        <v>1689</v>
      </c>
      <c r="P5031">
        <v>564</v>
      </c>
      <c r="Q5031" s="5" t="e">
        <f>IF(AND(#REF!&gt;=table!$C$6,#REF!&lt;= table!$D$6),-1,IF(AND(#REF!&gt;=table!$E$6,#REF!&lt;=table!$F$6),1,0))</f>
        <v>#REF!</v>
      </c>
      <c r="R5031" s="5" t="e">
        <f>IF(AND(#REF!&gt;=table!$C$7,#REF!&lt;= table!$D$7),-1,IF(AND(#REF!&gt;=table!$E$7,#REF!&lt;=table!$F$7),1,0))</f>
        <v>#REF!</v>
      </c>
      <c r="S5031" s="5" t="e">
        <f>IF(AND(#REF!&gt;=table!$C$8,#REF!&lt;= table!$D$8),-1,IF(AND(#REF!&gt;=table!$E$8,#REF!&lt;=table!$F$8),1,0))</f>
        <v>#REF!</v>
      </c>
      <c r="T5031" s="5"/>
      <c r="U5031" s="5" t="e">
        <f>IF(AND(#REF!&gt;=table!$C$10,#REF!&lt;= table!$D$10),-1,IF(AND(#REF!&gt;=table!$E$10,#REF!&lt;=table!$F$10),1,0))</f>
        <v>#REF!</v>
      </c>
      <c r="V5031" s="5" t="e">
        <f>IF(AND(#REF!&gt;=table!$C$11,#REF!&lt;= table!$D$11),-1,IF(AND(#REF!&gt;=table!$E$11,#REF!&lt;=table!$F$11),1,0))</f>
        <v>#REF!</v>
      </c>
      <c r="W5031" s="5" t="e">
        <f>CONCATENATE(dados[[#This Row],[fator1]],dados[[#This Row],[fator5]],dados[[#This Row],[fator6]])</f>
        <v>#REF!</v>
      </c>
    </row>
    <row r="5032" spans="1:23">
      <c r="A5032" t="s">
        <v>16</v>
      </c>
      <c r="B5032">
        <v>591725</v>
      </c>
      <c r="C5032">
        <v>16</v>
      </c>
      <c r="D5032">
        <v>35</v>
      </c>
      <c r="E5032">
        <v>56</v>
      </c>
      <c r="F5032">
        <v>10</v>
      </c>
      <c r="G5032">
        <v>0</v>
      </c>
      <c r="H5032">
        <v>25</v>
      </c>
      <c r="I5032">
        <v>0</v>
      </c>
      <c r="J5032">
        <v>0</v>
      </c>
      <c r="K5032">
        <v>4.5579999999999998</v>
      </c>
      <c r="L5032">
        <v>8.7260000000000009</v>
      </c>
      <c r="M5032">
        <v>55.608499999999999</v>
      </c>
      <c r="N5032">
        <v>13.275</v>
      </c>
      <c r="O5032">
        <v>1671</v>
      </c>
      <c r="P5032">
        <v>784</v>
      </c>
      <c r="Q5032" s="5" t="e">
        <f>IF(AND(#REF!&gt;=table!$C$6,#REF!&lt;= table!$D$6),-1,IF(AND(#REF!&gt;=table!$E$6,#REF!&lt;=table!$F$6),1,0))</f>
        <v>#REF!</v>
      </c>
      <c r="R5032" s="5" t="e">
        <f>IF(AND(#REF!&gt;=table!$C$7,#REF!&lt;= table!$D$7),-1,IF(AND(#REF!&gt;=table!$E$7,#REF!&lt;=table!$F$7),1,0))</f>
        <v>#REF!</v>
      </c>
      <c r="S5032" s="5" t="e">
        <f>IF(AND(#REF!&gt;=table!$C$8,#REF!&lt;= table!$D$8),-1,IF(AND(#REF!&gt;=table!$E$8,#REF!&lt;=table!$F$8),1,0))</f>
        <v>#REF!</v>
      </c>
      <c r="T5032" s="5"/>
      <c r="U5032" s="5" t="e">
        <f>IF(AND(#REF!&gt;=table!$C$10,#REF!&lt;= table!$D$10),-1,IF(AND(#REF!&gt;=table!$E$10,#REF!&lt;=table!$F$10),1,0))</f>
        <v>#REF!</v>
      </c>
      <c r="V5032" s="5" t="e">
        <f>IF(AND(#REF!&gt;=table!$C$11,#REF!&lt;= table!$D$11),-1,IF(AND(#REF!&gt;=table!$E$11,#REF!&lt;=table!$F$11),1,0))</f>
        <v>#REF!</v>
      </c>
      <c r="W5032" s="5" t="e">
        <f>CONCATENATE(dados[[#This Row],[fator1]],dados[[#This Row],[fator5]],dados[[#This Row],[fator6]])</f>
        <v>#REF!</v>
      </c>
    </row>
    <row r="5033" spans="1:23">
      <c r="A5033" t="s">
        <v>16</v>
      </c>
      <c r="B5033">
        <v>591726</v>
      </c>
      <c r="C5033">
        <v>16</v>
      </c>
      <c r="D5033">
        <v>35</v>
      </c>
      <c r="E5033">
        <v>56</v>
      </c>
      <c r="F5033">
        <v>10</v>
      </c>
      <c r="G5033">
        <v>0</v>
      </c>
      <c r="H5033">
        <v>25</v>
      </c>
      <c r="I5033">
        <v>0</v>
      </c>
      <c r="J5033">
        <v>0</v>
      </c>
      <c r="K5033">
        <v>4.0545</v>
      </c>
      <c r="L5033">
        <v>6.9485000000000001</v>
      </c>
      <c r="M5033">
        <v>56.347000000000001</v>
      </c>
      <c r="N5033">
        <v>14.255000000000001</v>
      </c>
      <c r="O5033">
        <v>1681</v>
      </c>
      <c r="P5033">
        <v>0</v>
      </c>
      <c r="Q5033" s="5" t="e">
        <f>IF(AND(#REF!&gt;=table!$C$6,#REF!&lt;= table!$D$6),-1,IF(AND(#REF!&gt;=table!$E$6,#REF!&lt;=table!$F$6),1,0))</f>
        <v>#REF!</v>
      </c>
      <c r="R5033" s="5" t="e">
        <f>IF(AND(#REF!&gt;=table!$C$7,#REF!&lt;= table!$D$7),-1,IF(AND(#REF!&gt;=table!$E$7,#REF!&lt;=table!$F$7),1,0))</f>
        <v>#REF!</v>
      </c>
      <c r="S5033" s="5" t="e">
        <f>IF(AND(#REF!&gt;=table!$C$8,#REF!&lt;= table!$D$8),-1,IF(AND(#REF!&gt;=table!$E$8,#REF!&lt;=table!$F$8),1,0))</f>
        <v>#REF!</v>
      </c>
      <c r="T5033" s="5"/>
      <c r="U5033" s="5" t="e">
        <f>IF(AND(#REF!&gt;=table!$C$10,#REF!&lt;= table!$D$10),-1,IF(AND(#REF!&gt;=table!$E$10,#REF!&lt;=table!$F$10),1,0))</f>
        <v>#REF!</v>
      </c>
      <c r="V5033" s="5" t="e">
        <f>IF(AND(#REF!&gt;=table!$C$11,#REF!&lt;= table!$D$11),-1,IF(AND(#REF!&gt;=table!$E$11,#REF!&lt;=table!$F$11),1,0))</f>
        <v>#REF!</v>
      </c>
      <c r="W5033" s="5" t="e">
        <f>CONCATENATE(dados[[#This Row],[fator1]],dados[[#This Row],[fator5]],dados[[#This Row],[fator6]])</f>
        <v>#REF!</v>
      </c>
    </row>
    <row r="5034" spans="1:23">
      <c r="A5034" t="s">
        <v>16</v>
      </c>
      <c r="B5034">
        <v>591729</v>
      </c>
      <c r="C5034">
        <v>0.15</v>
      </c>
      <c r="D5034">
        <v>40</v>
      </c>
      <c r="E5034">
        <v>10</v>
      </c>
      <c r="F5034">
        <v>15</v>
      </c>
      <c r="G5034">
        <v>0</v>
      </c>
      <c r="H5034">
        <v>15</v>
      </c>
      <c r="I5034">
        <v>688</v>
      </c>
      <c r="J5034">
        <v>0</v>
      </c>
      <c r="K5034">
        <v>4.1420000000000003</v>
      </c>
      <c r="L5034">
        <v>5.399</v>
      </c>
      <c r="M5034">
        <v>4.8230000000000004</v>
      </c>
      <c r="N5034">
        <v>9.6650000000000009</v>
      </c>
      <c r="O5034">
        <v>1665</v>
      </c>
      <c r="P5034">
        <v>0</v>
      </c>
      <c r="Q5034" s="5" t="e">
        <f>IF(AND(#REF!&gt;=table!$C$6,#REF!&lt;= table!$D$6),-1,IF(AND(#REF!&gt;=table!$E$6,#REF!&lt;=table!$F$6),1,0))</f>
        <v>#REF!</v>
      </c>
      <c r="R5034" s="5" t="e">
        <f>IF(AND(#REF!&gt;=table!$C$7,#REF!&lt;= table!$D$7),-1,IF(AND(#REF!&gt;=table!$E$7,#REF!&lt;=table!$F$7),1,0))</f>
        <v>#REF!</v>
      </c>
      <c r="S5034" s="5" t="e">
        <f>IF(AND(#REF!&gt;=table!$C$8,#REF!&lt;= table!$D$8),-1,IF(AND(#REF!&gt;=table!$E$8,#REF!&lt;=table!$F$8),1,0))</f>
        <v>#REF!</v>
      </c>
      <c r="T5034" s="5"/>
      <c r="U5034" s="5" t="e">
        <f>IF(AND(#REF!&gt;=table!$C$10,#REF!&lt;= table!$D$10),-1,IF(AND(#REF!&gt;=table!$E$10,#REF!&lt;=table!$F$10),1,0))</f>
        <v>#REF!</v>
      </c>
      <c r="V5034" s="5" t="e">
        <f>IF(AND(#REF!&gt;=table!$C$11,#REF!&lt;= table!$D$11),-1,IF(AND(#REF!&gt;=table!$E$11,#REF!&lt;=table!$F$11),1,0))</f>
        <v>#REF!</v>
      </c>
      <c r="W5034" s="5" t="e">
        <f>CONCATENATE(dados[[#This Row],[fator1]],dados[[#This Row],[fator5]],dados[[#This Row],[fator6]])</f>
        <v>#REF!</v>
      </c>
    </row>
    <row r="5035" spans="1:23">
      <c r="A5035" t="s">
        <v>16</v>
      </c>
      <c r="B5035">
        <v>591730</v>
      </c>
      <c r="C5035">
        <v>0.15</v>
      </c>
      <c r="D5035">
        <v>40</v>
      </c>
      <c r="E5035">
        <v>10</v>
      </c>
      <c r="F5035">
        <v>15</v>
      </c>
      <c r="G5035">
        <v>0</v>
      </c>
      <c r="H5035">
        <v>15</v>
      </c>
      <c r="I5035">
        <v>1217</v>
      </c>
      <c r="J5035">
        <v>890</v>
      </c>
      <c r="K5035">
        <v>3.3220000000000001</v>
      </c>
      <c r="L5035">
        <v>9.8610000000000007</v>
      </c>
      <c r="M5035">
        <v>5.3555000000000001</v>
      </c>
      <c r="N5035">
        <v>17.945</v>
      </c>
      <c r="O5035">
        <v>1693</v>
      </c>
      <c r="P5035">
        <v>0</v>
      </c>
      <c r="Q5035" s="5" t="e">
        <f>IF(AND(#REF!&gt;=table!$C$6,#REF!&lt;= table!$D$6),-1,IF(AND(#REF!&gt;=table!$E$6,#REF!&lt;=table!$F$6),1,0))</f>
        <v>#REF!</v>
      </c>
      <c r="R5035" s="5" t="e">
        <f>IF(AND(#REF!&gt;=table!$C$7,#REF!&lt;= table!$D$7),-1,IF(AND(#REF!&gt;=table!$E$7,#REF!&lt;=table!$F$7),1,0))</f>
        <v>#REF!</v>
      </c>
      <c r="S5035" s="5" t="e">
        <f>IF(AND(#REF!&gt;=table!$C$8,#REF!&lt;= table!$D$8),-1,IF(AND(#REF!&gt;=table!$E$8,#REF!&lt;=table!$F$8),1,0))</f>
        <v>#REF!</v>
      </c>
      <c r="T5035" s="5"/>
      <c r="U5035" s="5" t="e">
        <f>IF(AND(#REF!&gt;=table!$C$10,#REF!&lt;= table!$D$10),-1,IF(AND(#REF!&gt;=table!$E$10,#REF!&lt;=table!$F$10),1,0))</f>
        <v>#REF!</v>
      </c>
      <c r="V5035" s="5" t="e">
        <f>IF(AND(#REF!&gt;=table!$C$11,#REF!&lt;= table!$D$11),-1,IF(AND(#REF!&gt;=table!$E$11,#REF!&lt;=table!$F$11),1,0))</f>
        <v>#REF!</v>
      </c>
      <c r="W5035" s="5" t="e">
        <f>CONCATENATE(dados[[#This Row],[fator1]],dados[[#This Row],[fator5]],dados[[#This Row],[fator6]])</f>
        <v>#REF!</v>
      </c>
    </row>
    <row r="5036" spans="1:23">
      <c r="A5036" t="s">
        <v>16</v>
      </c>
      <c r="B5036">
        <v>591731</v>
      </c>
      <c r="C5036">
        <v>0.15</v>
      </c>
      <c r="D5036">
        <v>40</v>
      </c>
      <c r="E5036">
        <v>10</v>
      </c>
      <c r="F5036">
        <v>15</v>
      </c>
      <c r="G5036">
        <v>0</v>
      </c>
      <c r="H5036">
        <v>15</v>
      </c>
      <c r="I5036">
        <v>9</v>
      </c>
      <c r="J5036">
        <v>500</v>
      </c>
      <c r="K5036">
        <v>3.4650000000000003</v>
      </c>
      <c r="L5036">
        <v>6.6505000000000001</v>
      </c>
      <c r="M5036">
        <v>4.0514999999999999</v>
      </c>
      <c r="N5036">
        <v>8.14</v>
      </c>
      <c r="O5036">
        <v>1619</v>
      </c>
      <c r="P5036">
        <v>857</v>
      </c>
      <c r="Q5036" s="5" t="e">
        <f>IF(AND(#REF!&gt;=table!$C$6,#REF!&lt;= table!$D$6),-1,IF(AND(#REF!&gt;=table!$E$6,#REF!&lt;=table!$F$6),1,0))</f>
        <v>#REF!</v>
      </c>
      <c r="R5036" s="5" t="e">
        <f>IF(AND(#REF!&gt;=table!$C$7,#REF!&lt;= table!$D$7),-1,IF(AND(#REF!&gt;=table!$E$7,#REF!&lt;=table!$F$7),1,0))</f>
        <v>#REF!</v>
      </c>
      <c r="S5036" s="5" t="e">
        <f>IF(AND(#REF!&gt;=table!$C$8,#REF!&lt;= table!$D$8),-1,IF(AND(#REF!&gt;=table!$E$8,#REF!&lt;=table!$F$8),1,0))</f>
        <v>#REF!</v>
      </c>
      <c r="T5036" s="5"/>
      <c r="U5036" s="5" t="e">
        <f>IF(AND(#REF!&gt;=table!$C$10,#REF!&lt;= table!$D$10),-1,IF(AND(#REF!&gt;=table!$E$10,#REF!&lt;=table!$F$10),1,0))</f>
        <v>#REF!</v>
      </c>
      <c r="V5036" s="5" t="e">
        <f>IF(AND(#REF!&gt;=table!$C$11,#REF!&lt;= table!$D$11),-1,IF(AND(#REF!&gt;=table!$E$11,#REF!&lt;=table!$F$11),1,0))</f>
        <v>#REF!</v>
      </c>
      <c r="W5036" s="5" t="e">
        <f>CONCATENATE(dados[[#This Row],[fator1]],dados[[#This Row],[fator5]],dados[[#This Row],[fator6]])</f>
        <v>#REF!</v>
      </c>
    </row>
    <row r="5037" spans="1:23">
      <c r="A5037" t="s">
        <v>16</v>
      </c>
      <c r="B5037">
        <v>591733</v>
      </c>
      <c r="C5037">
        <v>0.15</v>
      </c>
      <c r="D5037">
        <v>40</v>
      </c>
      <c r="E5037">
        <v>10</v>
      </c>
      <c r="F5037">
        <v>15</v>
      </c>
      <c r="G5037">
        <v>0</v>
      </c>
      <c r="H5037">
        <v>15</v>
      </c>
      <c r="I5037">
        <v>1687</v>
      </c>
      <c r="J5037">
        <v>710</v>
      </c>
      <c r="K5037">
        <v>3.3005</v>
      </c>
      <c r="L5037">
        <v>9.7275000000000009</v>
      </c>
      <c r="M5037">
        <v>5.0020000000000007</v>
      </c>
      <c r="N5037">
        <v>12.27</v>
      </c>
      <c r="O5037">
        <v>1698</v>
      </c>
      <c r="P5037">
        <v>1409</v>
      </c>
      <c r="Q5037" s="5" t="e">
        <f>IF(AND(#REF!&gt;=table!$C$6,#REF!&lt;= table!$D$6),-1,IF(AND(#REF!&gt;=table!$E$6,#REF!&lt;=table!$F$6),1,0))</f>
        <v>#REF!</v>
      </c>
      <c r="R5037" s="5" t="e">
        <f>IF(AND(#REF!&gt;=table!$C$7,#REF!&lt;= table!$D$7),-1,IF(AND(#REF!&gt;=table!$E$7,#REF!&lt;=table!$F$7),1,0))</f>
        <v>#REF!</v>
      </c>
      <c r="S5037" s="5" t="e">
        <f>IF(AND(#REF!&gt;=table!$C$8,#REF!&lt;= table!$D$8),-1,IF(AND(#REF!&gt;=table!$E$8,#REF!&lt;=table!$F$8),1,0))</f>
        <v>#REF!</v>
      </c>
      <c r="T5037" s="5"/>
      <c r="U5037" s="5" t="e">
        <f>IF(AND(#REF!&gt;=table!$C$10,#REF!&lt;= table!$D$10),-1,IF(AND(#REF!&gt;=table!$E$10,#REF!&lt;=table!$F$10),1,0))</f>
        <v>#REF!</v>
      </c>
      <c r="V5037" s="5" t="e">
        <f>IF(AND(#REF!&gt;=table!$C$11,#REF!&lt;= table!$D$11),-1,IF(AND(#REF!&gt;=table!$E$11,#REF!&lt;=table!$F$11),1,0))</f>
        <v>#REF!</v>
      </c>
      <c r="W5037" s="5" t="e">
        <f>CONCATENATE(dados[[#This Row],[fator1]],dados[[#This Row],[fator5]],dados[[#This Row],[fator6]])</f>
        <v>#REF!</v>
      </c>
    </row>
    <row r="5038" spans="1:23">
      <c r="A5038" t="s">
        <v>17</v>
      </c>
      <c r="B5038">
        <v>591736</v>
      </c>
      <c r="C5038">
        <v>10</v>
      </c>
      <c r="D5038">
        <v>30</v>
      </c>
      <c r="E5038">
        <v>135</v>
      </c>
      <c r="F5038">
        <v>2</v>
      </c>
      <c r="G5038">
        <v>20</v>
      </c>
      <c r="H5038">
        <v>18</v>
      </c>
      <c r="I5038">
        <v>64</v>
      </c>
      <c r="J5038">
        <v>0</v>
      </c>
      <c r="K5038">
        <v>6.6843000000000004</v>
      </c>
      <c r="L5038">
        <v>10.111500000000001</v>
      </c>
      <c r="M5038">
        <v>107.3095</v>
      </c>
      <c r="N5038">
        <v>13</v>
      </c>
      <c r="O5038">
        <v>1671</v>
      </c>
      <c r="P5038">
        <v>657</v>
      </c>
      <c r="Q5038" s="5" t="e">
        <f>IF(AND(#REF!&gt;=table!$C$6,#REF!&lt;= table!$D$6),-1,IF(AND(#REF!&gt;=table!$E$6,#REF!&lt;=table!$F$6),1,0))</f>
        <v>#REF!</v>
      </c>
      <c r="R5038" s="5" t="e">
        <f>IF(AND(#REF!&gt;=table!$C$7,#REF!&lt;= table!$D$7),-1,IF(AND(#REF!&gt;=table!$E$7,#REF!&lt;=table!$F$7),1,0))</f>
        <v>#REF!</v>
      </c>
      <c r="S5038" s="5" t="e">
        <f>IF(AND(#REF!&gt;=table!$C$8,#REF!&lt;= table!$D$8),-1,IF(AND(#REF!&gt;=table!$E$8,#REF!&lt;=table!$F$8),1,0))</f>
        <v>#REF!</v>
      </c>
      <c r="T5038" s="5"/>
      <c r="U5038" s="5" t="e">
        <f>IF(AND(#REF!&gt;=table!$C$10,#REF!&lt;= table!$D$10),-1,IF(AND(#REF!&gt;=table!$E$10,#REF!&lt;=table!$F$10),1,0))</f>
        <v>#REF!</v>
      </c>
      <c r="V5038" s="5" t="e">
        <f>IF(AND(#REF!&gt;=table!$C$11,#REF!&lt;= table!$D$11),-1,IF(AND(#REF!&gt;=table!$E$11,#REF!&lt;=table!$F$11),1,0))</f>
        <v>#REF!</v>
      </c>
      <c r="W5038" s="5" t="e">
        <f>CONCATENATE(dados[[#This Row],[fator1]],dados[[#This Row],[fator5]],dados[[#This Row],[fator6]])</f>
        <v>#REF!</v>
      </c>
    </row>
    <row r="5039" spans="1:23">
      <c r="A5039" t="s">
        <v>16</v>
      </c>
      <c r="B5039">
        <v>591737</v>
      </c>
      <c r="C5039">
        <v>9</v>
      </c>
      <c r="D5039">
        <v>40</v>
      </c>
      <c r="E5039">
        <v>46</v>
      </c>
      <c r="F5039">
        <v>15</v>
      </c>
      <c r="G5039">
        <v>0</v>
      </c>
      <c r="H5039">
        <v>25</v>
      </c>
      <c r="I5039">
        <v>0</v>
      </c>
      <c r="J5039">
        <v>0</v>
      </c>
      <c r="K5039">
        <v>7.6915000000000004</v>
      </c>
      <c r="L5039">
        <v>10.638</v>
      </c>
      <c r="M5039">
        <v>32.603999999999999</v>
      </c>
      <c r="N5039">
        <v>14.93</v>
      </c>
      <c r="O5039">
        <v>1653</v>
      </c>
      <c r="P5039">
        <v>456</v>
      </c>
      <c r="Q5039" s="5" t="e">
        <f>IF(AND(#REF!&gt;=table!$C$6,#REF!&lt;= table!$D$6),-1,IF(AND(#REF!&gt;=table!$E$6,#REF!&lt;=table!$F$6),1,0))</f>
        <v>#REF!</v>
      </c>
      <c r="R5039" s="5" t="e">
        <f>IF(AND(#REF!&gt;=table!$C$7,#REF!&lt;= table!$D$7),-1,IF(AND(#REF!&gt;=table!$E$7,#REF!&lt;=table!$F$7),1,0))</f>
        <v>#REF!</v>
      </c>
      <c r="S5039" s="5" t="e">
        <f>IF(AND(#REF!&gt;=table!$C$8,#REF!&lt;= table!$D$8),-1,IF(AND(#REF!&gt;=table!$E$8,#REF!&lt;=table!$F$8),1,0))</f>
        <v>#REF!</v>
      </c>
      <c r="T5039" s="5"/>
      <c r="U5039" s="5" t="e">
        <f>IF(AND(#REF!&gt;=table!$C$10,#REF!&lt;= table!$D$10),-1,IF(AND(#REF!&gt;=table!$E$10,#REF!&lt;=table!$F$10),1,0))</f>
        <v>#REF!</v>
      </c>
      <c r="V5039" s="5" t="e">
        <f>IF(AND(#REF!&gt;=table!$C$11,#REF!&lt;= table!$D$11),-1,IF(AND(#REF!&gt;=table!$E$11,#REF!&lt;=table!$F$11),1,0))</f>
        <v>#REF!</v>
      </c>
      <c r="W5039" s="5" t="e">
        <f>CONCATENATE(dados[[#This Row],[fator1]],dados[[#This Row],[fator5]],dados[[#This Row],[fator6]])</f>
        <v>#REF!</v>
      </c>
    </row>
    <row r="5040" spans="1:23">
      <c r="A5040" t="s">
        <v>16</v>
      </c>
      <c r="B5040">
        <v>591738</v>
      </c>
      <c r="C5040">
        <v>9</v>
      </c>
      <c r="D5040">
        <v>40</v>
      </c>
      <c r="E5040">
        <v>46</v>
      </c>
      <c r="F5040">
        <v>15</v>
      </c>
      <c r="G5040">
        <v>0</v>
      </c>
      <c r="H5040">
        <v>25</v>
      </c>
      <c r="I5040">
        <v>0</v>
      </c>
      <c r="J5040">
        <v>0</v>
      </c>
      <c r="K5040">
        <v>6.0455000000000005</v>
      </c>
      <c r="L5040">
        <v>9.8125</v>
      </c>
      <c r="M5040">
        <v>37.772500000000001</v>
      </c>
      <c r="N5040">
        <v>15.73</v>
      </c>
      <c r="O5040">
        <v>1666</v>
      </c>
      <c r="P5040">
        <v>658</v>
      </c>
      <c r="Q5040" s="5" t="e">
        <f>IF(AND(#REF!&gt;=table!$C$6,#REF!&lt;= table!$D$6),-1,IF(AND(#REF!&gt;=table!$E$6,#REF!&lt;=table!$F$6),1,0))</f>
        <v>#REF!</v>
      </c>
      <c r="R5040" s="5" t="e">
        <f>IF(AND(#REF!&gt;=table!$C$7,#REF!&lt;= table!$D$7),-1,IF(AND(#REF!&gt;=table!$E$7,#REF!&lt;=table!$F$7),1,0))</f>
        <v>#REF!</v>
      </c>
      <c r="S5040" s="5" t="e">
        <f>IF(AND(#REF!&gt;=table!$C$8,#REF!&lt;= table!$D$8),-1,IF(AND(#REF!&gt;=table!$E$8,#REF!&lt;=table!$F$8),1,0))</f>
        <v>#REF!</v>
      </c>
      <c r="T5040" s="5"/>
      <c r="U5040" s="5" t="e">
        <f>IF(AND(#REF!&gt;=table!$C$10,#REF!&lt;= table!$D$10),-1,IF(AND(#REF!&gt;=table!$E$10,#REF!&lt;=table!$F$10),1,0))</f>
        <v>#REF!</v>
      </c>
      <c r="V5040" s="5" t="e">
        <f>IF(AND(#REF!&gt;=table!$C$11,#REF!&lt;= table!$D$11),-1,IF(AND(#REF!&gt;=table!$E$11,#REF!&lt;=table!$F$11),1,0))</f>
        <v>#REF!</v>
      </c>
      <c r="W5040" s="5" t="e">
        <f>CONCATENATE(dados[[#This Row],[fator1]],dados[[#This Row],[fator5]],dados[[#This Row],[fator6]])</f>
        <v>#REF!</v>
      </c>
    </row>
    <row r="5041" spans="1:23">
      <c r="A5041" t="s">
        <v>16</v>
      </c>
      <c r="B5041">
        <v>591739</v>
      </c>
      <c r="C5041">
        <v>9</v>
      </c>
      <c r="D5041">
        <v>40</v>
      </c>
      <c r="E5041">
        <v>46</v>
      </c>
      <c r="F5041">
        <v>15</v>
      </c>
      <c r="G5041">
        <v>0</v>
      </c>
      <c r="H5041">
        <v>25</v>
      </c>
      <c r="I5041">
        <v>9</v>
      </c>
      <c r="J5041">
        <v>0</v>
      </c>
      <c r="K5041">
        <v>8.4589999999999996</v>
      </c>
      <c r="L5041">
        <v>12.9145</v>
      </c>
      <c r="M5041">
        <v>37.592500000000001</v>
      </c>
      <c r="N5041">
        <v>16.115000000000002</v>
      </c>
      <c r="O5041">
        <v>1660</v>
      </c>
      <c r="P5041">
        <v>365</v>
      </c>
      <c r="Q5041" s="5" t="e">
        <f>IF(AND(#REF!&gt;=table!$C$6,#REF!&lt;= table!$D$6),-1,IF(AND(#REF!&gt;=table!$E$6,#REF!&lt;=table!$F$6),1,0))</f>
        <v>#REF!</v>
      </c>
      <c r="R5041" s="5" t="e">
        <f>IF(AND(#REF!&gt;=table!$C$7,#REF!&lt;= table!$D$7),-1,IF(AND(#REF!&gt;=table!$E$7,#REF!&lt;=table!$F$7),1,0))</f>
        <v>#REF!</v>
      </c>
      <c r="S5041" s="5" t="e">
        <f>IF(AND(#REF!&gt;=table!$C$8,#REF!&lt;= table!$D$8),-1,IF(AND(#REF!&gt;=table!$E$8,#REF!&lt;=table!$F$8),1,0))</f>
        <v>#REF!</v>
      </c>
      <c r="T5041" s="5"/>
      <c r="U5041" s="5" t="e">
        <f>IF(AND(#REF!&gt;=table!$C$10,#REF!&lt;= table!$D$10),-1,IF(AND(#REF!&gt;=table!$E$10,#REF!&lt;=table!$F$10),1,0))</f>
        <v>#REF!</v>
      </c>
      <c r="V5041" s="5" t="e">
        <f>IF(AND(#REF!&gt;=table!$C$11,#REF!&lt;= table!$D$11),-1,IF(AND(#REF!&gt;=table!$E$11,#REF!&lt;=table!$F$11),1,0))</f>
        <v>#REF!</v>
      </c>
      <c r="W5041" s="5" t="e">
        <f>CONCATENATE(dados[[#This Row],[fator1]],dados[[#This Row],[fator5]],dados[[#This Row],[fator6]])</f>
        <v>#REF!</v>
      </c>
    </row>
    <row r="5042" spans="1:23">
      <c r="A5042" t="s">
        <v>17</v>
      </c>
      <c r="B5042">
        <v>591740</v>
      </c>
      <c r="C5042">
        <v>12</v>
      </c>
      <c r="D5042">
        <v>30</v>
      </c>
      <c r="E5042">
        <v>115</v>
      </c>
      <c r="F5042">
        <v>4</v>
      </c>
      <c r="G5042">
        <v>25</v>
      </c>
      <c r="H5042">
        <v>20</v>
      </c>
      <c r="I5042">
        <v>956</v>
      </c>
      <c r="J5042">
        <v>0</v>
      </c>
      <c r="K5042">
        <v>8.0050000000000008</v>
      </c>
      <c r="L5042">
        <v>10.733000000000001</v>
      </c>
      <c r="M5042">
        <v>88.863500000000002</v>
      </c>
      <c r="N5042">
        <v>13.16</v>
      </c>
      <c r="O5042">
        <v>1685</v>
      </c>
      <c r="P5042">
        <v>490</v>
      </c>
      <c r="Q5042" s="5" t="e">
        <f>IF(AND(#REF!&gt;=table!$C$6,#REF!&lt;= table!$D$6),-1,IF(AND(#REF!&gt;=table!$E$6,#REF!&lt;=table!$F$6),1,0))</f>
        <v>#REF!</v>
      </c>
      <c r="R5042" s="5" t="e">
        <f>IF(AND(#REF!&gt;=table!$C$7,#REF!&lt;= table!$D$7),-1,IF(AND(#REF!&gt;=table!$E$7,#REF!&lt;=table!$F$7),1,0))</f>
        <v>#REF!</v>
      </c>
      <c r="S5042" s="5" t="e">
        <f>IF(AND(#REF!&gt;=table!$C$8,#REF!&lt;= table!$D$8),-1,IF(AND(#REF!&gt;=table!$E$8,#REF!&lt;=table!$F$8),1,0))</f>
        <v>#REF!</v>
      </c>
      <c r="T5042" s="5"/>
      <c r="U5042" s="5" t="e">
        <f>IF(AND(#REF!&gt;=table!$C$10,#REF!&lt;= table!$D$10),-1,IF(AND(#REF!&gt;=table!$E$10,#REF!&lt;=table!$F$10),1,0))</f>
        <v>#REF!</v>
      </c>
      <c r="V5042" s="5" t="e">
        <f>IF(AND(#REF!&gt;=table!$C$11,#REF!&lt;= table!$D$11),-1,IF(AND(#REF!&gt;=table!$E$11,#REF!&lt;=table!$F$11),1,0))</f>
        <v>#REF!</v>
      </c>
      <c r="W5042" s="5" t="e">
        <f>CONCATENATE(dados[[#This Row],[fator1]],dados[[#This Row],[fator5]],dados[[#This Row],[fator6]])</f>
        <v>#REF!</v>
      </c>
    </row>
    <row r="5043" spans="1:23">
      <c r="A5043" t="s">
        <v>17</v>
      </c>
      <c r="B5043">
        <v>591741</v>
      </c>
      <c r="C5043">
        <v>12</v>
      </c>
      <c r="D5043">
        <v>30</v>
      </c>
      <c r="E5043">
        <v>115</v>
      </c>
      <c r="F5043">
        <v>4</v>
      </c>
      <c r="G5043">
        <v>25</v>
      </c>
      <c r="H5043">
        <v>20</v>
      </c>
      <c r="I5043">
        <v>915</v>
      </c>
      <c r="J5043">
        <v>0</v>
      </c>
      <c r="K5043">
        <v>6.5020000000000007</v>
      </c>
      <c r="L5043">
        <v>9.9215</v>
      </c>
      <c r="M5043">
        <v>96.075000000000003</v>
      </c>
      <c r="N5043">
        <v>16.145</v>
      </c>
      <c r="O5043">
        <v>1683</v>
      </c>
      <c r="P5043">
        <v>716</v>
      </c>
      <c r="Q5043" s="5" t="e">
        <f>IF(AND(#REF!&gt;=table!$C$6,#REF!&lt;= table!$D$6),-1,IF(AND(#REF!&gt;=table!$E$6,#REF!&lt;=table!$F$6),1,0))</f>
        <v>#REF!</v>
      </c>
      <c r="R5043" s="5" t="e">
        <f>IF(AND(#REF!&gt;=table!$C$7,#REF!&lt;= table!$D$7),-1,IF(AND(#REF!&gt;=table!$E$7,#REF!&lt;=table!$F$7),1,0))</f>
        <v>#REF!</v>
      </c>
      <c r="S5043" s="5" t="e">
        <f>IF(AND(#REF!&gt;=table!$C$8,#REF!&lt;= table!$D$8),-1,IF(AND(#REF!&gt;=table!$E$8,#REF!&lt;=table!$F$8),1,0))</f>
        <v>#REF!</v>
      </c>
      <c r="T5043" s="5"/>
      <c r="U5043" s="5" t="e">
        <f>IF(AND(#REF!&gt;=table!$C$10,#REF!&lt;= table!$D$10),-1,IF(AND(#REF!&gt;=table!$E$10,#REF!&lt;=table!$F$10),1,0))</f>
        <v>#REF!</v>
      </c>
      <c r="V5043" s="5" t="e">
        <f>IF(AND(#REF!&gt;=table!$C$11,#REF!&lt;= table!$D$11),-1,IF(AND(#REF!&gt;=table!$E$11,#REF!&lt;=table!$F$11),1,0))</f>
        <v>#REF!</v>
      </c>
      <c r="W5043" s="5" t="e">
        <f>CONCATENATE(dados[[#This Row],[fator1]],dados[[#This Row],[fator5]],dados[[#This Row],[fator6]])</f>
        <v>#REF!</v>
      </c>
    </row>
    <row r="5044" spans="1:23">
      <c r="A5044" t="s">
        <v>16</v>
      </c>
      <c r="B5044">
        <v>591742</v>
      </c>
      <c r="C5044">
        <v>12</v>
      </c>
      <c r="D5044">
        <v>40</v>
      </c>
      <c r="E5044">
        <v>36</v>
      </c>
      <c r="F5044">
        <v>9</v>
      </c>
      <c r="G5044">
        <v>0</v>
      </c>
      <c r="H5044">
        <v>25</v>
      </c>
      <c r="I5044">
        <v>0</v>
      </c>
      <c r="J5044">
        <v>0</v>
      </c>
      <c r="K5044">
        <v>3.4750000000000001</v>
      </c>
      <c r="L5044">
        <v>11.829500000000001</v>
      </c>
      <c r="M5044">
        <v>36.323</v>
      </c>
      <c r="N5044">
        <v>20.27</v>
      </c>
      <c r="O5044">
        <v>1680</v>
      </c>
      <c r="P5044">
        <v>0</v>
      </c>
      <c r="Q5044" s="5" t="e">
        <f>IF(AND(#REF!&gt;=table!$C$6,#REF!&lt;= table!$D$6),-1,IF(AND(#REF!&gt;=table!$E$6,#REF!&lt;=table!$F$6),1,0))</f>
        <v>#REF!</v>
      </c>
      <c r="R5044" s="5" t="e">
        <f>IF(AND(#REF!&gt;=table!$C$7,#REF!&lt;= table!$D$7),-1,IF(AND(#REF!&gt;=table!$E$7,#REF!&lt;=table!$F$7),1,0))</f>
        <v>#REF!</v>
      </c>
      <c r="S5044" s="5" t="e">
        <f>IF(AND(#REF!&gt;=table!$C$8,#REF!&lt;= table!$D$8),-1,IF(AND(#REF!&gt;=table!$E$8,#REF!&lt;=table!$F$8),1,0))</f>
        <v>#REF!</v>
      </c>
      <c r="T5044" s="5"/>
      <c r="U5044" s="5" t="e">
        <f>IF(AND(#REF!&gt;=table!$C$10,#REF!&lt;= table!$D$10),-1,IF(AND(#REF!&gt;=table!$E$10,#REF!&lt;=table!$F$10),1,0))</f>
        <v>#REF!</v>
      </c>
      <c r="V5044" s="5" t="e">
        <f>IF(AND(#REF!&gt;=table!$C$11,#REF!&lt;= table!$D$11),-1,IF(AND(#REF!&gt;=table!$E$11,#REF!&lt;=table!$F$11),1,0))</f>
        <v>#REF!</v>
      </c>
      <c r="W5044" s="5" t="e">
        <f>CONCATENATE(dados[[#This Row],[fator1]],dados[[#This Row],[fator5]],dados[[#This Row],[fator6]])</f>
        <v>#REF!</v>
      </c>
    </row>
    <row r="5045" spans="1:23">
      <c r="A5045" t="s">
        <v>16</v>
      </c>
      <c r="B5045">
        <v>591743</v>
      </c>
      <c r="C5045">
        <v>0.15</v>
      </c>
      <c r="D5045">
        <v>40</v>
      </c>
      <c r="E5045">
        <v>10</v>
      </c>
      <c r="F5045">
        <v>15</v>
      </c>
      <c r="G5045">
        <v>0</v>
      </c>
      <c r="H5045">
        <v>15</v>
      </c>
      <c r="I5045">
        <v>434</v>
      </c>
      <c r="J5045">
        <v>0</v>
      </c>
      <c r="K5045">
        <v>2.7665000000000002</v>
      </c>
      <c r="L5045">
        <v>5.9090000000000007</v>
      </c>
      <c r="M5045">
        <v>4.6349999999999998</v>
      </c>
      <c r="N5045">
        <v>9.3250000000000011</v>
      </c>
      <c r="O5045">
        <v>1686</v>
      </c>
      <c r="P5045">
        <v>0</v>
      </c>
      <c r="Q5045" s="5" t="e">
        <f>IF(AND(#REF!&gt;=table!$C$6,#REF!&lt;= table!$D$6),-1,IF(AND(#REF!&gt;=table!$E$6,#REF!&lt;=table!$F$6),1,0))</f>
        <v>#REF!</v>
      </c>
      <c r="R5045" s="5" t="e">
        <f>IF(AND(#REF!&gt;=table!$C$7,#REF!&lt;= table!$D$7),-1,IF(AND(#REF!&gt;=table!$E$7,#REF!&lt;=table!$F$7),1,0))</f>
        <v>#REF!</v>
      </c>
      <c r="S5045" s="5" t="e">
        <f>IF(AND(#REF!&gt;=table!$C$8,#REF!&lt;= table!$D$8),-1,IF(AND(#REF!&gt;=table!$E$8,#REF!&lt;=table!$F$8),1,0))</f>
        <v>#REF!</v>
      </c>
      <c r="T5045" s="5"/>
      <c r="U5045" s="5" t="e">
        <f>IF(AND(#REF!&gt;=table!$C$10,#REF!&lt;= table!$D$10),-1,IF(AND(#REF!&gt;=table!$E$10,#REF!&lt;=table!$F$10),1,0))</f>
        <v>#REF!</v>
      </c>
      <c r="V5045" s="5" t="e">
        <f>IF(AND(#REF!&gt;=table!$C$11,#REF!&lt;= table!$D$11),-1,IF(AND(#REF!&gt;=table!$E$11,#REF!&lt;=table!$F$11),1,0))</f>
        <v>#REF!</v>
      </c>
      <c r="W5045" s="5" t="e">
        <f>CONCATENATE(dados[[#This Row],[fator1]],dados[[#This Row],[fator5]],dados[[#This Row],[fator6]])</f>
        <v>#REF!</v>
      </c>
    </row>
    <row r="5046" spans="1:23">
      <c r="A5046" t="s">
        <v>16</v>
      </c>
      <c r="B5046">
        <v>591744</v>
      </c>
      <c r="C5046">
        <v>0.15</v>
      </c>
      <c r="D5046">
        <v>40</v>
      </c>
      <c r="E5046">
        <v>10</v>
      </c>
      <c r="F5046">
        <v>15</v>
      </c>
      <c r="G5046">
        <v>0</v>
      </c>
      <c r="H5046">
        <v>15</v>
      </c>
      <c r="I5046">
        <v>3</v>
      </c>
      <c r="J5046">
        <v>0</v>
      </c>
      <c r="K5046">
        <v>4.97</v>
      </c>
      <c r="L5046">
        <v>10.275</v>
      </c>
      <c r="M5046">
        <v>7.7965</v>
      </c>
      <c r="N5046">
        <v>10.745000000000001</v>
      </c>
      <c r="O5046">
        <v>1647</v>
      </c>
      <c r="P5046">
        <v>778</v>
      </c>
      <c r="Q5046" s="5" t="e">
        <f>IF(AND(#REF!&gt;=table!$C$6,#REF!&lt;= table!$D$6),-1,IF(AND(#REF!&gt;=table!$E$6,#REF!&lt;=table!$F$6),1,0))</f>
        <v>#REF!</v>
      </c>
      <c r="R5046" s="5" t="e">
        <f>IF(AND(#REF!&gt;=table!$C$7,#REF!&lt;= table!$D$7),-1,IF(AND(#REF!&gt;=table!$E$7,#REF!&lt;=table!$F$7),1,0))</f>
        <v>#REF!</v>
      </c>
      <c r="S5046" s="5" t="e">
        <f>IF(AND(#REF!&gt;=table!$C$8,#REF!&lt;= table!$D$8),-1,IF(AND(#REF!&gt;=table!$E$8,#REF!&lt;=table!$F$8),1,0))</f>
        <v>#REF!</v>
      </c>
      <c r="T5046" s="5"/>
      <c r="U5046" s="5" t="e">
        <f>IF(AND(#REF!&gt;=table!$C$10,#REF!&lt;= table!$D$10),-1,IF(AND(#REF!&gt;=table!$E$10,#REF!&lt;=table!$F$10),1,0))</f>
        <v>#REF!</v>
      </c>
      <c r="V5046" s="5" t="e">
        <f>IF(AND(#REF!&gt;=table!$C$11,#REF!&lt;= table!$D$11),-1,IF(AND(#REF!&gt;=table!$E$11,#REF!&lt;=table!$F$11),1,0))</f>
        <v>#REF!</v>
      </c>
      <c r="W5046" s="5" t="e">
        <f>CONCATENATE(dados[[#This Row],[fator1]],dados[[#This Row],[fator5]],dados[[#This Row],[fator6]])</f>
        <v>#REF!</v>
      </c>
    </row>
    <row r="5047" spans="1:23">
      <c r="A5047" t="s">
        <v>17</v>
      </c>
      <c r="B5047">
        <v>591745</v>
      </c>
      <c r="C5047">
        <v>20</v>
      </c>
      <c r="D5047">
        <v>35</v>
      </c>
      <c r="E5047">
        <v>120</v>
      </c>
      <c r="F5047">
        <v>4</v>
      </c>
      <c r="G5047">
        <v>15</v>
      </c>
      <c r="H5047">
        <v>20</v>
      </c>
      <c r="I5047">
        <v>26</v>
      </c>
      <c r="J5047">
        <v>0</v>
      </c>
      <c r="K5047">
        <v>3.6885000000000003</v>
      </c>
      <c r="L5047">
        <v>7.9995000000000003</v>
      </c>
      <c r="M5047">
        <v>115.2445</v>
      </c>
      <c r="N5047">
        <v>16.935000000000002</v>
      </c>
      <c r="O5047">
        <v>1699</v>
      </c>
      <c r="P5047">
        <v>0</v>
      </c>
      <c r="Q5047" s="5" t="e">
        <f>IF(AND(#REF!&gt;=table!$C$6,#REF!&lt;= table!$D$6),-1,IF(AND(#REF!&gt;=table!$E$6,#REF!&lt;=table!$F$6),1,0))</f>
        <v>#REF!</v>
      </c>
      <c r="R5047" s="5" t="e">
        <f>IF(AND(#REF!&gt;=table!$C$7,#REF!&lt;= table!$D$7),-1,IF(AND(#REF!&gt;=table!$E$7,#REF!&lt;=table!$F$7),1,0))</f>
        <v>#REF!</v>
      </c>
      <c r="S5047" s="5" t="e">
        <f>IF(AND(#REF!&gt;=table!$C$8,#REF!&lt;= table!$D$8),-1,IF(AND(#REF!&gt;=table!$E$8,#REF!&lt;=table!$F$8),1,0))</f>
        <v>#REF!</v>
      </c>
      <c r="T5047" s="5"/>
      <c r="U5047" s="5" t="e">
        <f>IF(AND(#REF!&gt;=table!$C$10,#REF!&lt;= table!$D$10),-1,IF(AND(#REF!&gt;=table!$E$10,#REF!&lt;=table!$F$10),1,0))</f>
        <v>#REF!</v>
      </c>
      <c r="V5047" s="5" t="e">
        <f>IF(AND(#REF!&gt;=table!$C$11,#REF!&lt;= table!$D$11),-1,IF(AND(#REF!&gt;=table!$E$11,#REF!&lt;=table!$F$11),1,0))</f>
        <v>#REF!</v>
      </c>
      <c r="W5047" s="5" t="e">
        <f>CONCATENATE(dados[[#This Row],[fator1]],dados[[#This Row],[fator5]],dados[[#This Row],[fator6]])</f>
        <v>#REF!</v>
      </c>
    </row>
    <row r="5048" spans="1:23">
      <c r="A5048" t="s">
        <v>17</v>
      </c>
      <c r="B5048">
        <v>591746</v>
      </c>
      <c r="C5048">
        <v>15</v>
      </c>
      <c r="D5048">
        <v>35</v>
      </c>
      <c r="E5048">
        <v>120</v>
      </c>
      <c r="F5048">
        <v>4</v>
      </c>
      <c r="G5048">
        <v>15</v>
      </c>
      <c r="H5048">
        <v>20</v>
      </c>
      <c r="I5048">
        <v>0</v>
      </c>
      <c r="J5048">
        <v>0</v>
      </c>
      <c r="K5048">
        <v>3.3734999999999999</v>
      </c>
      <c r="L5048">
        <v>5.7960000000000003</v>
      </c>
      <c r="M5048">
        <v>95.058500000000009</v>
      </c>
      <c r="N5048">
        <v>13.355</v>
      </c>
      <c r="O5048">
        <v>1681</v>
      </c>
      <c r="P5048">
        <v>0</v>
      </c>
      <c r="Q5048" s="5" t="e">
        <f>IF(AND(#REF!&gt;=table!$C$6,#REF!&lt;= table!$D$6),-1,IF(AND(#REF!&gt;=table!$E$6,#REF!&lt;=table!$F$6),1,0))</f>
        <v>#REF!</v>
      </c>
      <c r="R5048" s="5" t="e">
        <f>IF(AND(#REF!&gt;=table!$C$7,#REF!&lt;= table!$D$7),-1,IF(AND(#REF!&gt;=table!$E$7,#REF!&lt;=table!$F$7),1,0))</f>
        <v>#REF!</v>
      </c>
      <c r="S5048" s="5" t="e">
        <f>IF(AND(#REF!&gt;=table!$C$8,#REF!&lt;= table!$D$8),-1,IF(AND(#REF!&gt;=table!$E$8,#REF!&lt;=table!$F$8),1,0))</f>
        <v>#REF!</v>
      </c>
      <c r="T5048" s="5"/>
      <c r="U5048" s="5" t="e">
        <f>IF(AND(#REF!&gt;=table!$C$10,#REF!&lt;= table!$D$10),-1,IF(AND(#REF!&gt;=table!$E$10,#REF!&lt;=table!$F$10),1,0))</f>
        <v>#REF!</v>
      </c>
      <c r="V5048" s="5" t="e">
        <f>IF(AND(#REF!&gt;=table!$C$11,#REF!&lt;= table!$D$11),-1,IF(AND(#REF!&gt;=table!$E$11,#REF!&lt;=table!$F$11),1,0))</f>
        <v>#REF!</v>
      </c>
      <c r="W5048" s="5" t="e">
        <f>CONCATENATE(dados[[#This Row],[fator1]],dados[[#This Row],[fator5]],dados[[#This Row],[fator6]])</f>
        <v>#REF!</v>
      </c>
    </row>
    <row r="5049" spans="1:23">
      <c r="A5049" t="s">
        <v>17</v>
      </c>
      <c r="B5049">
        <v>591747</v>
      </c>
      <c r="C5049">
        <v>13</v>
      </c>
      <c r="D5049">
        <v>35</v>
      </c>
      <c r="E5049">
        <v>100</v>
      </c>
      <c r="F5049">
        <v>2</v>
      </c>
      <c r="G5049">
        <v>28</v>
      </c>
      <c r="H5049">
        <v>20</v>
      </c>
      <c r="I5049">
        <v>123</v>
      </c>
      <c r="J5049">
        <v>0</v>
      </c>
      <c r="K5049">
        <v>40.299500000000002</v>
      </c>
      <c r="L5049">
        <v>21.610500000000002</v>
      </c>
      <c r="M5049">
        <v>89.506500000000003</v>
      </c>
      <c r="N5049">
        <v>14.715</v>
      </c>
      <c r="O5049">
        <v>1658</v>
      </c>
      <c r="P5049">
        <v>539</v>
      </c>
      <c r="Q5049" s="5" t="e">
        <f>IF(AND(#REF!&gt;=table!$C$6,#REF!&lt;= table!$D$6),-1,IF(AND(#REF!&gt;=table!$E$6,#REF!&lt;=table!$F$6),1,0))</f>
        <v>#REF!</v>
      </c>
      <c r="R5049" s="5" t="e">
        <f>IF(AND(#REF!&gt;=table!$C$7,#REF!&lt;= table!$D$7),-1,IF(AND(#REF!&gt;=table!$E$7,#REF!&lt;=table!$F$7),1,0))</f>
        <v>#REF!</v>
      </c>
      <c r="S5049" s="5" t="e">
        <f>IF(AND(#REF!&gt;=table!$C$8,#REF!&lt;= table!$D$8),-1,IF(AND(#REF!&gt;=table!$E$8,#REF!&lt;=table!$F$8),1,0))</f>
        <v>#REF!</v>
      </c>
      <c r="T5049" s="5"/>
      <c r="U5049" s="5" t="e">
        <f>IF(AND(#REF!&gt;=table!$C$10,#REF!&lt;= table!$D$10),-1,IF(AND(#REF!&gt;=table!$E$10,#REF!&lt;=table!$F$10),1,0))</f>
        <v>#REF!</v>
      </c>
      <c r="V5049" s="5" t="e">
        <f>IF(AND(#REF!&gt;=table!$C$11,#REF!&lt;= table!$D$11),-1,IF(AND(#REF!&gt;=table!$E$11,#REF!&lt;=table!$F$11),1,0))</f>
        <v>#REF!</v>
      </c>
      <c r="W5049" s="5" t="e">
        <f>CONCATENATE(dados[[#This Row],[fator1]],dados[[#This Row],[fator5]],dados[[#This Row],[fator6]])</f>
        <v>#REF!</v>
      </c>
    </row>
    <row r="5050" spans="1:23">
      <c r="A5050" t="s">
        <v>17</v>
      </c>
      <c r="B5050">
        <v>591748</v>
      </c>
      <c r="C5050">
        <v>13</v>
      </c>
      <c r="D5050">
        <v>35</v>
      </c>
      <c r="E5050">
        <v>100</v>
      </c>
      <c r="F5050">
        <v>2</v>
      </c>
      <c r="G5050">
        <v>28</v>
      </c>
      <c r="H5050">
        <v>20</v>
      </c>
      <c r="I5050">
        <v>807</v>
      </c>
      <c r="J5050">
        <v>750</v>
      </c>
      <c r="K5050">
        <v>5.0979999999999999</v>
      </c>
      <c r="L5050">
        <v>11.226000000000001</v>
      </c>
      <c r="M5050">
        <v>86.027000000000001</v>
      </c>
      <c r="N5050">
        <v>15.17</v>
      </c>
      <c r="O5050">
        <v>1696</v>
      </c>
      <c r="P5050">
        <v>847</v>
      </c>
      <c r="Q5050" s="5" t="e">
        <f>IF(AND(#REF!&gt;=table!$C$6,#REF!&lt;= table!$D$6),-1,IF(AND(#REF!&gt;=table!$E$6,#REF!&lt;=table!$F$6),1,0))</f>
        <v>#REF!</v>
      </c>
      <c r="R5050" s="5" t="e">
        <f>IF(AND(#REF!&gt;=table!$C$7,#REF!&lt;= table!$D$7),-1,IF(AND(#REF!&gt;=table!$E$7,#REF!&lt;=table!$F$7),1,0))</f>
        <v>#REF!</v>
      </c>
      <c r="S5050" s="5" t="e">
        <f>IF(AND(#REF!&gt;=table!$C$8,#REF!&lt;= table!$D$8),-1,IF(AND(#REF!&gt;=table!$E$8,#REF!&lt;=table!$F$8),1,0))</f>
        <v>#REF!</v>
      </c>
      <c r="T5050" s="5"/>
      <c r="U5050" s="5" t="e">
        <f>IF(AND(#REF!&gt;=table!$C$10,#REF!&lt;= table!$D$10),-1,IF(AND(#REF!&gt;=table!$E$10,#REF!&lt;=table!$F$10),1,0))</f>
        <v>#REF!</v>
      </c>
      <c r="V5050" s="5" t="e">
        <f>IF(AND(#REF!&gt;=table!$C$11,#REF!&lt;= table!$D$11),-1,IF(AND(#REF!&gt;=table!$E$11,#REF!&lt;=table!$F$11),1,0))</f>
        <v>#REF!</v>
      </c>
      <c r="W5050" s="5" t="e">
        <f>CONCATENATE(dados[[#This Row],[fator1]],dados[[#This Row],[fator5]],dados[[#This Row],[fator6]])</f>
        <v>#REF!</v>
      </c>
    </row>
    <row r="5051" spans="1:23">
      <c r="A5051" t="s">
        <v>16</v>
      </c>
      <c r="B5051">
        <v>591752</v>
      </c>
      <c r="C5051">
        <v>0.15</v>
      </c>
      <c r="D5051">
        <v>40</v>
      </c>
      <c r="E5051">
        <v>10</v>
      </c>
      <c r="F5051">
        <v>15</v>
      </c>
      <c r="G5051">
        <v>0</v>
      </c>
      <c r="H5051">
        <v>15</v>
      </c>
      <c r="I5051">
        <v>502</v>
      </c>
      <c r="J5051">
        <v>880</v>
      </c>
      <c r="K5051">
        <v>2.7305000000000001</v>
      </c>
      <c r="L5051">
        <v>9.4184999999999999</v>
      </c>
      <c r="M5051">
        <v>4.5950000000000006</v>
      </c>
      <c r="N5051">
        <v>9.09</v>
      </c>
      <c r="O5051">
        <v>1682</v>
      </c>
      <c r="P5051">
        <v>0</v>
      </c>
      <c r="Q5051" s="5" t="e">
        <f>IF(AND(#REF!&gt;=table!$C$6,#REF!&lt;= table!$D$6),-1,IF(AND(#REF!&gt;=table!$E$6,#REF!&lt;=table!$F$6),1,0))</f>
        <v>#REF!</v>
      </c>
      <c r="R5051" s="5" t="e">
        <f>IF(AND(#REF!&gt;=table!$C$7,#REF!&lt;= table!$D$7),-1,IF(AND(#REF!&gt;=table!$E$7,#REF!&lt;=table!$F$7),1,0))</f>
        <v>#REF!</v>
      </c>
      <c r="S5051" s="5" t="e">
        <f>IF(AND(#REF!&gt;=table!$C$8,#REF!&lt;= table!$D$8),-1,IF(AND(#REF!&gt;=table!$E$8,#REF!&lt;=table!$F$8),1,0))</f>
        <v>#REF!</v>
      </c>
      <c r="T5051" s="5"/>
      <c r="U5051" s="5" t="e">
        <f>IF(AND(#REF!&gt;=table!$C$10,#REF!&lt;= table!$D$10),-1,IF(AND(#REF!&gt;=table!$E$10,#REF!&lt;=table!$F$10),1,0))</f>
        <v>#REF!</v>
      </c>
      <c r="V5051" s="5" t="e">
        <f>IF(AND(#REF!&gt;=table!$C$11,#REF!&lt;= table!$D$11),-1,IF(AND(#REF!&gt;=table!$E$11,#REF!&lt;=table!$F$11),1,0))</f>
        <v>#REF!</v>
      </c>
      <c r="W5051" s="5" t="e">
        <f>CONCATENATE(dados[[#This Row],[fator1]],dados[[#This Row],[fator5]],dados[[#This Row],[fator6]])</f>
        <v>#REF!</v>
      </c>
    </row>
    <row r="5052" spans="1:23">
      <c r="A5052" t="s">
        <v>17</v>
      </c>
      <c r="B5052">
        <v>591755</v>
      </c>
      <c r="C5052">
        <v>10</v>
      </c>
      <c r="D5052">
        <v>30</v>
      </c>
      <c r="E5052">
        <v>135</v>
      </c>
      <c r="F5052">
        <v>2</v>
      </c>
      <c r="G5052">
        <v>20</v>
      </c>
      <c r="H5052">
        <v>18</v>
      </c>
      <c r="I5052">
        <v>1181</v>
      </c>
      <c r="J5052">
        <v>0</v>
      </c>
      <c r="K5052">
        <v>3.4990000000000001</v>
      </c>
      <c r="L5052">
        <v>3.7450000000000001</v>
      </c>
      <c r="M5052">
        <v>112.867</v>
      </c>
      <c r="N5052">
        <v>11.18</v>
      </c>
      <c r="O5052">
        <v>1684</v>
      </c>
      <c r="P5052">
        <v>0</v>
      </c>
      <c r="Q5052" s="5" t="e">
        <f>IF(AND(#REF!&gt;=table!$C$6,#REF!&lt;= table!$D$6),-1,IF(AND(#REF!&gt;=table!$E$6,#REF!&lt;=table!$F$6),1,0))</f>
        <v>#REF!</v>
      </c>
      <c r="R5052" s="5" t="e">
        <f>IF(AND(#REF!&gt;=table!$C$7,#REF!&lt;= table!$D$7),-1,IF(AND(#REF!&gt;=table!$E$7,#REF!&lt;=table!$F$7),1,0))</f>
        <v>#REF!</v>
      </c>
      <c r="S5052" s="5" t="e">
        <f>IF(AND(#REF!&gt;=table!$C$8,#REF!&lt;= table!$D$8),-1,IF(AND(#REF!&gt;=table!$E$8,#REF!&lt;=table!$F$8),1,0))</f>
        <v>#REF!</v>
      </c>
      <c r="T5052" s="5"/>
      <c r="U5052" s="5" t="e">
        <f>IF(AND(#REF!&gt;=table!$C$10,#REF!&lt;= table!$D$10),-1,IF(AND(#REF!&gt;=table!$E$10,#REF!&lt;=table!$F$10),1,0))</f>
        <v>#REF!</v>
      </c>
      <c r="V5052" s="5" t="e">
        <f>IF(AND(#REF!&gt;=table!$C$11,#REF!&lt;= table!$D$11),-1,IF(AND(#REF!&gt;=table!$E$11,#REF!&lt;=table!$F$11),1,0))</f>
        <v>#REF!</v>
      </c>
      <c r="W5052" s="5" t="e">
        <f>CONCATENATE(dados[[#This Row],[fator1]],dados[[#This Row],[fator5]],dados[[#This Row],[fator6]])</f>
        <v>#REF!</v>
      </c>
    </row>
    <row r="5053" spans="1:23">
      <c r="A5053" t="s">
        <v>17</v>
      </c>
      <c r="B5053">
        <v>591760</v>
      </c>
      <c r="C5053">
        <v>10</v>
      </c>
      <c r="D5053">
        <v>30</v>
      </c>
      <c r="E5053">
        <v>135</v>
      </c>
      <c r="F5053">
        <v>2</v>
      </c>
      <c r="G5053">
        <v>20</v>
      </c>
      <c r="H5053">
        <v>18</v>
      </c>
      <c r="I5053">
        <v>7</v>
      </c>
      <c r="J5053">
        <v>0</v>
      </c>
      <c r="K5053">
        <v>5.8535000000000004</v>
      </c>
      <c r="L5053">
        <v>8.7060000000000013</v>
      </c>
      <c r="M5053">
        <v>120.185</v>
      </c>
      <c r="N5053">
        <v>13.19</v>
      </c>
      <c r="O5053">
        <v>1685</v>
      </c>
      <c r="P5053">
        <v>701</v>
      </c>
      <c r="Q5053" s="5" t="e">
        <f>IF(AND(#REF!&gt;=table!$C$6,#REF!&lt;= table!$D$6),-1,IF(AND(#REF!&gt;=table!$E$6,#REF!&lt;=table!$F$6),1,0))</f>
        <v>#REF!</v>
      </c>
      <c r="R5053" s="5" t="e">
        <f>IF(AND(#REF!&gt;=table!$C$7,#REF!&lt;= table!$D$7),-1,IF(AND(#REF!&gt;=table!$E$7,#REF!&lt;=table!$F$7),1,0))</f>
        <v>#REF!</v>
      </c>
      <c r="S5053" s="5" t="e">
        <f>IF(AND(#REF!&gt;=table!$C$8,#REF!&lt;= table!$D$8),-1,IF(AND(#REF!&gt;=table!$E$8,#REF!&lt;=table!$F$8),1,0))</f>
        <v>#REF!</v>
      </c>
      <c r="T5053" s="5"/>
      <c r="U5053" s="5" t="e">
        <f>IF(AND(#REF!&gt;=table!$C$10,#REF!&lt;= table!$D$10),-1,IF(AND(#REF!&gt;=table!$E$10,#REF!&lt;=table!$F$10),1,0))</f>
        <v>#REF!</v>
      </c>
      <c r="V5053" s="5" t="e">
        <f>IF(AND(#REF!&gt;=table!$C$11,#REF!&lt;= table!$D$11),-1,IF(AND(#REF!&gt;=table!$E$11,#REF!&lt;=table!$F$11),1,0))</f>
        <v>#REF!</v>
      </c>
      <c r="W5053" s="5" t="e">
        <f>CONCATENATE(dados[[#This Row],[fator1]],dados[[#This Row],[fator5]],dados[[#This Row],[fator6]])</f>
        <v>#REF!</v>
      </c>
    </row>
    <row r="5054" spans="1:23">
      <c r="A5054" t="s">
        <v>17</v>
      </c>
      <c r="B5054">
        <v>591761</v>
      </c>
      <c r="C5054">
        <v>10</v>
      </c>
      <c r="D5054">
        <v>30</v>
      </c>
      <c r="E5054">
        <v>135</v>
      </c>
      <c r="F5054">
        <v>2</v>
      </c>
      <c r="G5054">
        <v>20</v>
      </c>
      <c r="H5054">
        <v>18</v>
      </c>
      <c r="I5054">
        <v>44</v>
      </c>
      <c r="J5054">
        <v>0</v>
      </c>
      <c r="K5054">
        <v>7.7550000000000008</v>
      </c>
      <c r="L5054">
        <v>9.7705000000000002</v>
      </c>
      <c r="M5054">
        <v>126.5665</v>
      </c>
      <c r="N5054">
        <v>13.355</v>
      </c>
      <c r="O5054">
        <v>1684</v>
      </c>
      <c r="P5054">
        <v>531</v>
      </c>
      <c r="Q5054" s="5" t="e">
        <f>IF(AND(#REF!&gt;=table!$C$6,#REF!&lt;= table!$D$6),-1,IF(AND(#REF!&gt;=table!$E$6,#REF!&lt;=table!$F$6),1,0))</f>
        <v>#REF!</v>
      </c>
      <c r="R5054" s="5" t="e">
        <f>IF(AND(#REF!&gt;=table!$C$7,#REF!&lt;= table!$D$7),-1,IF(AND(#REF!&gt;=table!$E$7,#REF!&lt;=table!$F$7),1,0))</f>
        <v>#REF!</v>
      </c>
      <c r="S5054" s="5" t="e">
        <f>IF(AND(#REF!&gt;=table!$C$8,#REF!&lt;= table!$D$8),-1,IF(AND(#REF!&gt;=table!$E$8,#REF!&lt;=table!$F$8),1,0))</f>
        <v>#REF!</v>
      </c>
      <c r="T5054" s="5"/>
      <c r="U5054" s="5" t="e">
        <f>IF(AND(#REF!&gt;=table!$C$10,#REF!&lt;= table!$D$10),-1,IF(AND(#REF!&gt;=table!$E$10,#REF!&lt;=table!$F$10),1,0))</f>
        <v>#REF!</v>
      </c>
      <c r="V5054" s="5" t="e">
        <f>IF(AND(#REF!&gt;=table!$C$11,#REF!&lt;= table!$D$11),-1,IF(AND(#REF!&gt;=table!$E$11,#REF!&lt;=table!$F$11),1,0))</f>
        <v>#REF!</v>
      </c>
      <c r="W5054" s="5" t="e">
        <f>CONCATENATE(dados[[#This Row],[fator1]],dados[[#This Row],[fator5]],dados[[#This Row],[fator6]])</f>
        <v>#REF!</v>
      </c>
    </row>
    <row r="5055" spans="1:23">
      <c r="A5055" t="s">
        <v>17</v>
      </c>
      <c r="B5055">
        <v>591762</v>
      </c>
      <c r="C5055">
        <v>10</v>
      </c>
      <c r="D5055">
        <v>30</v>
      </c>
      <c r="E5055">
        <v>135</v>
      </c>
      <c r="F5055">
        <v>2</v>
      </c>
      <c r="G5055">
        <v>20</v>
      </c>
      <c r="H5055">
        <v>18</v>
      </c>
      <c r="I5055">
        <v>1076</v>
      </c>
      <c r="J5055">
        <v>0</v>
      </c>
      <c r="K5055">
        <v>4.8935000000000004</v>
      </c>
      <c r="L5055">
        <v>9.2525000000000013</v>
      </c>
      <c r="M5055">
        <v>119.63</v>
      </c>
      <c r="N5055">
        <v>14.125</v>
      </c>
      <c r="O5055">
        <v>1687</v>
      </c>
      <c r="P5055">
        <v>929</v>
      </c>
      <c r="Q5055" s="5" t="e">
        <f>IF(AND(#REF!&gt;=table!$C$6,#REF!&lt;= table!$D$6),-1,IF(AND(#REF!&gt;=table!$E$6,#REF!&lt;=table!$F$6),1,0))</f>
        <v>#REF!</v>
      </c>
      <c r="R5055" s="5" t="e">
        <f>IF(AND(#REF!&gt;=table!$C$7,#REF!&lt;= table!$D$7),-1,IF(AND(#REF!&gt;=table!$E$7,#REF!&lt;=table!$F$7),1,0))</f>
        <v>#REF!</v>
      </c>
      <c r="S5055" s="5" t="e">
        <f>IF(AND(#REF!&gt;=table!$C$8,#REF!&lt;= table!$D$8),-1,IF(AND(#REF!&gt;=table!$E$8,#REF!&lt;=table!$F$8),1,0))</f>
        <v>#REF!</v>
      </c>
      <c r="T5055" s="5"/>
      <c r="U5055" s="5" t="e">
        <f>IF(AND(#REF!&gt;=table!$C$10,#REF!&lt;= table!$D$10),-1,IF(AND(#REF!&gt;=table!$E$10,#REF!&lt;=table!$F$10),1,0))</f>
        <v>#REF!</v>
      </c>
      <c r="V5055" s="5" t="e">
        <f>IF(AND(#REF!&gt;=table!$C$11,#REF!&lt;= table!$D$11),-1,IF(AND(#REF!&gt;=table!$E$11,#REF!&lt;=table!$F$11),1,0))</f>
        <v>#REF!</v>
      </c>
      <c r="W5055" s="5" t="e">
        <f>CONCATENATE(dados[[#This Row],[fator1]],dados[[#This Row],[fator5]],dados[[#This Row],[fator6]])</f>
        <v>#REF!</v>
      </c>
    </row>
    <row r="5056" spans="1:23">
      <c r="A5056" t="s">
        <v>17</v>
      </c>
      <c r="B5056">
        <v>591767</v>
      </c>
      <c r="C5056">
        <v>15</v>
      </c>
      <c r="D5056">
        <v>30</v>
      </c>
      <c r="E5056">
        <v>100</v>
      </c>
      <c r="F5056">
        <v>3</v>
      </c>
      <c r="G5056">
        <v>20</v>
      </c>
      <c r="H5056">
        <v>22</v>
      </c>
      <c r="I5056">
        <v>479</v>
      </c>
      <c r="J5056">
        <v>0</v>
      </c>
      <c r="K5056">
        <v>5.1055000000000001</v>
      </c>
      <c r="L5056">
        <v>6.8455000000000004</v>
      </c>
      <c r="M5056">
        <v>86.958500000000001</v>
      </c>
      <c r="N5056">
        <v>12.655000000000001</v>
      </c>
      <c r="O5056">
        <v>1692</v>
      </c>
      <c r="P5056">
        <v>0</v>
      </c>
      <c r="Q5056" s="5" t="e">
        <f>IF(AND(#REF!&gt;=table!$C$6,#REF!&lt;= table!$D$6),-1,IF(AND(#REF!&gt;=table!$E$6,#REF!&lt;=table!$F$6),1,0))</f>
        <v>#REF!</v>
      </c>
      <c r="R5056" s="5" t="e">
        <f>IF(AND(#REF!&gt;=table!$C$7,#REF!&lt;= table!$D$7),-1,IF(AND(#REF!&gt;=table!$E$7,#REF!&lt;=table!$F$7),1,0))</f>
        <v>#REF!</v>
      </c>
      <c r="S5056" s="5" t="e">
        <f>IF(AND(#REF!&gt;=table!$C$8,#REF!&lt;= table!$D$8),-1,IF(AND(#REF!&gt;=table!$E$8,#REF!&lt;=table!$F$8),1,0))</f>
        <v>#REF!</v>
      </c>
      <c r="T5056" s="5"/>
      <c r="U5056" s="5" t="e">
        <f>IF(AND(#REF!&gt;=table!$C$10,#REF!&lt;= table!$D$10),-1,IF(AND(#REF!&gt;=table!$E$10,#REF!&lt;=table!$F$10),1,0))</f>
        <v>#REF!</v>
      </c>
      <c r="V5056" s="5" t="e">
        <f>IF(AND(#REF!&gt;=table!$C$11,#REF!&lt;= table!$D$11),-1,IF(AND(#REF!&gt;=table!$E$11,#REF!&lt;=table!$F$11),1,0))</f>
        <v>#REF!</v>
      </c>
      <c r="W5056" s="5" t="e">
        <f>CONCATENATE(dados[[#This Row],[fator1]],dados[[#This Row],[fator5]],dados[[#This Row],[fator6]])</f>
        <v>#REF!</v>
      </c>
    </row>
    <row r="5057" spans="1:23">
      <c r="A5057" t="s">
        <v>16</v>
      </c>
      <c r="B5057">
        <v>591768</v>
      </c>
      <c r="C5057">
        <v>0.1</v>
      </c>
      <c r="D5057">
        <v>35</v>
      </c>
      <c r="E5057">
        <v>10</v>
      </c>
      <c r="F5057">
        <v>10</v>
      </c>
      <c r="G5057">
        <v>0</v>
      </c>
      <c r="H5057">
        <v>12</v>
      </c>
      <c r="I5057">
        <v>15</v>
      </c>
      <c r="J5057">
        <v>0</v>
      </c>
      <c r="K5057">
        <v>5.5760000000000005</v>
      </c>
      <c r="L5057">
        <v>9.7545000000000002</v>
      </c>
      <c r="M5057">
        <v>8.2089999999999996</v>
      </c>
      <c r="N5057">
        <v>10.43</v>
      </c>
      <c r="O5057">
        <v>1665</v>
      </c>
      <c r="P5057">
        <v>0</v>
      </c>
      <c r="Q5057" s="5" t="e">
        <f>IF(AND(#REF!&gt;=table!$C$6,#REF!&lt;= table!$D$6),-1,IF(AND(#REF!&gt;=table!$E$6,#REF!&lt;=table!$F$6),1,0))</f>
        <v>#REF!</v>
      </c>
      <c r="R5057" s="5" t="e">
        <f>IF(AND(#REF!&gt;=table!$C$7,#REF!&lt;= table!$D$7),-1,IF(AND(#REF!&gt;=table!$E$7,#REF!&lt;=table!$F$7),1,0))</f>
        <v>#REF!</v>
      </c>
      <c r="S5057" s="5" t="e">
        <f>IF(AND(#REF!&gt;=table!$C$8,#REF!&lt;= table!$D$8),-1,IF(AND(#REF!&gt;=table!$E$8,#REF!&lt;=table!$F$8),1,0))</f>
        <v>#REF!</v>
      </c>
      <c r="T5057" s="5"/>
      <c r="U5057" s="5" t="e">
        <f>IF(AND(#REF!&gt;=table!$C$10,#REF!&lt;= table!$D$10),-1,IF(AND(#REF!&gt;=table!$E$10,#REF!&lt;=table!$F$10),1,0))</f>
        <v>#REF!</v>
      </c>
      <c r="V5057" s="5" t="e">
        <f>IF(AND(#REF!&gt;=table!$C$11,#REF!&lt;= table!$D$11),-1,IF(AND(#REF!&gt;=table!$E$11,#REF!&lt;=table!$F$11),1,0))</f>
        <v>#REF!</v>
      </c>
      <c r="W5057" s="5" t="e">
        <f>CONCATENATE(dados[[#This Row],[fator1]],dados[[#This Row],[fator5]],dados[[#This Row],[fator6]])</f>
        <v>#REF!</v>
      </c>
    </row>
    <row r="5058" spans="1:23">
      <c r="A5058" t="s">
        <v>16</v>
      </c>
      <c r="B5058">
        <v>591774</v>
      </c>
      <c r="C5058">
        <v>0.1</v>
      </c>
      <c r="D5058">
        <v>40</v>
      </c>
      <c r="E5058">
        <v>10</v>
      </c>
      <c r="F5058">
        <v>8</v>
      </c>
      <c r="G5058">
        <v>0</v>
      </c>
      <c r="H5058">
        <v>10</v>
      </c>
      <c r="I5058">
        <v>644</v>
      </c>
      <c r="J5058">
        <v>410</v>
      </c>
      <c r="K5058">
        <v>5.2750000000000004</v>
      </c>
      <c r="L5058">
        <v>12.387</v>
      </c>
      <c r="M5058">
        <v>8.4600000000000009</v>
      </c>
      <c r="N5058">
        <v>14.64</v>
      </c>
      <c r="O5058">
        <v>1665</v>
      </c>
      <c r="P5058">
        <v>686</v>
      </c>
      <c r="Q5058" s="5" t="e">
        <f>IF(AND(#REF!&gt;=table!$C$6,#REF!&lt;= table!$D$6),-1,IF(AND(#REF!&gt;=table!$E$6,#REF!&lt;=table!$F$6),1,0))</f>
        <v>#REF!</v>
      </c>
      <c r="R5058" s="5" t="e">
        <f>IF(AND(#REF!&gt;=table!$C$7,#REF!&lt;= table!$D$7),-1,IF(AND(#REF!&gt;=table!$E$7,#REF!&lt;=table!$F$7),1,0))</f>
        <v>#REF!</v>
      </c>
      <c r="S5058" s="5" t="e">
        <f>IF(AND(#REF!&gt;=table!$C$8,#REF!&lt;= table!$D$8),-1,IF(AND(#REF!&gt;=table!$E$8,#REF!&lt;=table!$F$8),1,0))</f>
        <v>#REF!</v>
      </c>
      <c r="T5058" s="5"/>
      <c r="U5058" s="5" t="e">
        <f>IF(AND(#REF!&gt;=table!$C$10,#REF!&lt;= table!$D$10),-1,IF(AND(#REF!&gt;=table!$E$10,#REF!&lt;=table!$F$10),1,0))</f>
        <v>#REF!</v>
      </c>
      <c r="V5058" s="5" t="e">
        <f>IF(AND(#REF!&gt;=table!$C$11,#REF!&lt;= table!$D$11),-1,IF(AND(#REF!&gt;=table!$E$11,#REF!&lt;=table!$F$11),1,0))</f>
        <v>#REF!</v>
      </c>
      <c r="W5058" s="5" t="e">
        <f>CONCATENATE(dados[[#This Row],[fator1]],dados[[#This Row],[fator5]],dados[[#This Row],[fator6]])</f>
        <v>#REF!</v>
      </c>
    </row>
    <row r="5059" spans="1:23">
      <c r="A5059" t="s">
        <v>17</v>
      </c>
      <c r="B5059">
        <v>591776</v>
      </c>
      <c r="C5059">
        <v>10</v>
      </c>
      <c r="D5059">
        <v>30</v>
      </c>
      <c r="E5059">
        <v>135</v>
      </c>
      <c r="F5059">
        <v>2</v>
      </c>
      <c r="G5059">
        <v>20</v>
      </c>
      <c r="H5059">
        <v>18</v>
      </c>
      <c r="I5059">
        <v>196</v>
      </c>
      <c r="J5059">
        <v>0</v>
      </c>
      <c r="K5059">
        <v>3.9980000000000002</v>
      </c>
      <c r="L5059">
        <v>5.2105000000000006</v>
      </c>
      <c r="M5059">
        <v>118.08200000000001</v>
      </c>
      <c r="N5059">
        <v>9.2799999999999994</v>
      </c>
      <c r="O5059">
        <v>1664</v>
      </c>
      <c r="P5059">
        <v>1011</v>
      </c>
      <c r="Q5059" s="5" t="e">
        <f>IF(AND(#REF!&gt;=table!$C$6,#REF!&lt;= table!$D$6),-1,IF(AND(#REF!&gt;=table!$E$6,#REF!&lt;=table!$F$6),1,0))</f>
        <v>#REF!</v>
      </c>
      <c r="R5059" s="5" t="e">
        <f>IF(AND(#REF!&gt;=table!$C$7,#REF!&lt;= table!$D$7),-1,IF(AND(#REF!&gt;=table!$E$7,#REF!&lt;=table!$F$7),1,0))</f>
        <v>#REF!</v>
      </c>
      <c r="S5059" s="5" t="e">
        <f>IF(AND(#REF!&gt;=table!$C$8,#REF!&lt;= table!$D$8),-1,IF(AND(#REF!&gt;=table!$E$8,#REF!&lt;=table!$F$8),1,0))</f>
        <v>#REF!</v>
      </c>
      <c r="T5059" s="5"/>
      <c r="U5059" s="5" t="e">
        <f>IF(AND(#REF!&gt;=table!$C$10,#REF!&lt;= table!$D$10),-1,IF(AND(#REF!&gt;=table!$E$10,#REF!&lt;=table!$F$10),1,0))</f>
        <v>#REF!</v>
      </c>
      <c r="V5059" s="5" t="e">
        <f>IF(AND(#REF!&gt;=table!$C$11,#REF!&lt;= table!$D$11),-1,IF(AND(#REF!&gt;=table!$E$11,#REF!&lt;=table!$F$11),1,0))</f>
        <v>#REF!</v>
      </c>
      <c r="W5059" s="5" t="e">
        <f>CONCATENATE(dados[[#This Row],[fator1]],dados[[#This Row],[fator5]],dados[[#This Row],[fator6]])</f>
        <v>#REF!</v>
      </c>
    </row>
    <row r="5060" spans="1:23">
      <c r="A5060" t="s">
        <v>17</v>
      </c>
      <c r="B5060">
        <v>591777</v>
      </c>
      <c r="C5060">
        <v>10</v>
      </c>
      <c r="D5060">
        <v>30</v>
      </c>
      <c r="E5060">
        <v>135</v>
      </c>
      <c r="F5060">
        <v>2</v>
      </c>
      <c r="G5060">
        <v>20</v>
      </c>
      <c r="H5060">
        <v>18</v>
      </c>
      <c r="I5060">
        <v>106</v>
      </c>
      <c r="J5060">
        <v>0</v>
      </c>
      <c r="K5060">
        <v>3.9690000000000003</v>
      </c>
      <c r="L5060">
        <v>7.3950000000000005</v>
      </c>
      <c r="M5060">
        <v>99.14</v>
      </c>
      <c r="N5060">
        <v>14.31</v>
      </c>
      <c r="O5060">
        <v>1692</v>
      </c>
      <c r="P5060">
        <v>981</v>
      </c>
      <c r="Q5060" s="5" t="e">
        <f>IF(AND(#REF!&gt;=table!$C$6,#REF!&lt;= table!$D$6),-1,IF(AND(#REF!&gt;=table!$E$6,#REF!&lt;=table!$F$6),1,0))</f>
        <v>#REF!</v>
      </c>
      <c r="R5060" s="5" t="e">
        <f>IF(AND(#REF!&gt;=table!$C$7,#REF!&lt;= table!$D$7),-1,IF(AND(#REF!&gt;=table!$E$7,#REF!&lt;=table!$F$7),1,0))</f>
        <v>#REF!</v>
      </c>
      <c r="S5060" s="5" t="e">
        <f>IF(AND(#REF!&gt;=table!$C$8,#REF!&lt;= table!$D$8),-1,IF(AND(#REF!&gt;=table!$E$8,#REF!&lt;=table!$F$8),1,0))</f>
        <v>#REF!</v>
      </c>
      <c r="T5060" s="5"/>
      <c r="U5060" s="5" t="e">
        <f>IF(AND(#REF!&gt;=table!$C$10,#REF!&lt;= table!$D$10),-1,IF(AND(#REF!&gt;=table!$E$10,#REF!&lt;=table!$F$10),1,0))</f>
        <v>#REF!</v>
      </c>
      <c r="V5060" s="5" t="e">
        <f>IF(AND(#REF!&gt;=table!$C$11,#REF!&lt;= table!$D$11),-1,IF(AND(#REF!&gt;=table!$E$11,#REF!&lt;=table!$F$11),1,0))</f>
        <v>#REF!</v>
      </c>
      <c r="W5060" s="5" t="e">
        <f>CONCATENATE(dados[[#This Row],[fator1]],dados[[#This Row],[fator5]],dados[[#This Row],[fator6]])</f>
        <v>#REF!</v>
      </c>
    </row>
    <row r="5061" spans="1:23">
      <c r="A5061" t="s">
        <v>16</v>
      </c>
      <c r="B5061">
        <v>591778</v>
      </c>
      <c r="C5061">
        <v>0.1</v>
      </c>
      <c r="D5061">
        <v>40</v>
      </c>
      <c r="E5061">
        <v>10</v>
      </c>
      <c r="F5061">
        <v>8</v>
      </c>
      <c r="G5061">
        <v>0</v>
      </c>
      <c r="H5061">
        <v>10</v>
      </c>
      <c r="I5061">
        <v>298</v>
      </c>
      <c r="J5061">
        <v>0</v>
      </c>
      <c r="K5061">
        <v>3.7370000000000001</v>
      </c>
      <c r="L5061">
        <v>9.5190000000000001</v>
      </c>
      <c r="M5061">
        <v>8.1189999999999998</v>
      </c>
      <c r="N5061">
        <v>14.055000000000001</v>
      </c>
      <c r="O5061">
        <v>1676</v>
      </c>
      <c r="P5061">
        <v>1006</v>
      </c>
      <c r="Q5061" s="5" t="e">
        <f>IF(AND(#REF!&gt;=table!$C$6,#REF!&lt;= table!$D$6),-1,IF(AND(#REF!&gt;=table!$E$6,#REF!&lt;=table!$F$6),1,0))</f>
        <v>#REF!</v>
      </c>
      <c r="R5061" s="5" t="e">
        <f>IF(AND(#REF!&gt;=table!$C$7,#REF!&lt;= table!$D$7),-1,IF(AND(#REF!&gt;=table!$E$7,#REF!&lt;=table!$F$7),1,0))</f>
        <v>#REF!</v>
      </c>
      <c r="S5061" s="5" t="e">
        <f>IF(AND(#REF!&gt;=table!$C$8,#REF!&lt;= table!$D$8),-1,IF(AND(#REF!&gt;=table!$E$8,#REF!&lt;=table!$F$8),1,0))</f>
        <v>#REF!</v>
      </c>
      <c r="T5061" s="5"/>
      <c r="U5061" s="5" t="e">
        <f>IF(AND(#REF!&gt;=table!$C$10,#REF!&lt;= table!$D$10),-1,IF(AND(#REF!&gt;=table!$E$10,#REF!&lt;=table!$F$10),1,0))</f>
        <v>#REF!</v>
      </c>
      <c r="V5061" s="5" t="e">
        <f>IF(AND(#REF!&gt;=table!$C$11,#REF!&lt;= table!$D$11),-1,IF(AND(#REF!&gt;=table!$E$11,#REF!&lt;=table!$F$11),1,0))</f>
        <v>#REF!</v>
      </c>
      <c r="W5061" s="5" t="e">
        <f>CONCATENATE(dados[[#This Row],[fator1]],dados[[#This Row],[fator5]],dados[[#This Row],[fator6]])</f>
        <v>#REF!</v>
      </c>
    </row>
    <row r="5062" spans="1:23">
      <c r="A5062" t="s">
        <v>17</v>
      </c>
      <c r="B5062">
        <v>591782</v>
      </c>
      <c r="C5062">
        <v>16</v>
      </c>
      <c r="D5062">
        <v>30</v>
      </c>
      <c r="E5062">
        <v>116</v>
      </c>
      <c r="F5062">
        <v>6</v>
      </c>
      <c r="G5062">
        <v>20</v>
      </c>
      <c r="H5062">
        <v>25</v>
      </c>
      <c r="I5062">
        <v>18</v>
      </c>
      <c r="J5062">
        <v>0</v>
      </c>
      <c r="K5062">
        <v>6.3585000000000003</v>
      </c>
      <c r="L5062">
        <v>12.306000000000001</v>
      </c>
      <c r="M5062">
        <v>110.70150000000001</v>
      </c>
      <c r="N5062">
        <v>20.23</v>
      </c>
      <c r="O5062">
        <v>1656</v>
      </c>
      <c r="P5062">
        <v>0</v>
      </c>
      <c r="Q5062" s="5" t="e">
        <f>IF(AND(#REF!&gt;=table!$C$6,#REF!&lt;= table!$D$6),-1,IF(AND(#REF!&gt;=table!$E$6,#REF!&lt;=table!$F$6),1,0))</f>
        <v>#REF!</v>
      </c>
      <c r="R5062" s="5" t="e">
        <f>IF(AND(#REF!&gt;=table!$C$7,#REF!&lt;= table!$D$7),-1,IF(AND(#REF!&gt;=table!$E$7,#REF!&lt;=table!$F$7),1,0))</f>
        <v>#REF!</v>
      </c>
      <c r="S5062" s="5" t="e">
        <f>IF(AND(#REF!&gt;=table!$C$8,#REF!&lt;= table!$D$8),-1,IF(AND(#REF!&gt;=table!$E$8,#REF!&lt;=table!$F$8),1,0))</f>
        <v>#REF!</v>
      </c>
      <c r="T5062" s="5"/>
      <c r="U5062" s="5" t="e">
        <f>IF(AND(#REF!&gt;=table!$C$10,#REF!&lt;= table!$D$10),-1,IF(AND(#REF!&gt;=table!$E$10,#REF!&lt;=table!$F$10),1,0))</f>
        <v>#REF!</v>
      </c>
      <c r="V5062" s="5" t="e">
        <f>IF(AND(#REF!&gt;=table!$C$11,#REF!&lt;= table!$D$11),-1,IF(AND(#REF!&gt;=table!$E$11,#REF!&lt;=table!$F$11),1,0))</f>
        <v>#REF!</v>
      </c>
      <c r="W5062" s="5" t="e">
        <f>CONCATENATE(dados[[#This Row],[fator1]],dados[[#This Row],[fator5]],dados[[#This Row],[fator6]])</f>
        <v>#REF!</v>
      </c>
    </row>
    <row r="5063" spans="1:23">
      <c r="A5063" t="s">
        <v>16</v>
      </c>
      <c r="B5063">
        <v>591786</v>
      </c>
      <c r="C5063">
        <v>0.1</v>
      </c>
      <c r="D5063">
        <v>40</v>
      </c>
      <c r="E5063">
        <v>10</v>
      </c>
      <c r="F5063">
        <v>8</v>
      </c>
      <c r="G5063">
        <v>0</v>
      </c>
      <c r="H5063">
        <v>10</v>
      </c>
      <c r="I5063">
        <v>821</v>
      </c>
      <c r="J5063">
        <v>540</v>
      </c>
      <c r="K5063">
        <v>8.3629999999999995</v>
      </c>
      <c r="L5063">
        <v>12.413</v>
      </c>
      <c r="M5063">
        <v>8.2324999999999999</v>
      </c>
      <c r="N5063">
        <v>13.105</v>
      </c>
      <c r="O5063">
        <v>1672</v>
      </c>
      <c r="P5063">
        <v>0</v>
      </c>
      <c r="Q5063" s="5" t="e">
        <f>IF(AND(#REF!&gt;=table!$C$6,#REF!&lt;= table!$D$6),-1,IF(AND(#REF!&gt;=table!$E$6,#REF!&lt;=table!$F$6),1,0))</f>
        <v>#REF!</v>
      </c>
      <c r="R5063" s="5" t="e">
        <f>IF(AND(#REF!&gt;=table!$C$7,#REF!&lt;= table!$D$7),-1,IF(AND(#REF!&gt;=table!$E$7,#REF!&lt;=table!$F$7),1,0))</f>
        <v>#REF!</v>
      </c>
      <c r="S5063" s="5" t="e">
        <f>IF(AND(#REF!&gt;=table!$C$8,#REF!&lt;= table!$D$8),-1,IF(AND(#REF!&gt;=table!$E$8,#REF!&lt;=table!$F$8),1,0))</f>
        <v>#REF!</v>
      </c>
      <c r="T5063" s="5"/>
      <c r="U5063" s="5" t="e">
        <f>IF(AND(#REF!&gt;=table!$C$10,#REF!&lt;= table!$D$10),-1,IF(AND(#REF!&gt;=table!$E$10,#REF!&lt;=table!$F$10),1,0))</f>
        <v>#REF!</v>
      </c>
      <c r="V5063" s="5" t="e">
        <f>IF(AND(#REF!&gt;=table!$C$11,#REF!&lt;= table!$D$11),-1,IF(AND(#REF!&gt;=table!$E$11,#REF!&lt;=table!$F$11),1,0))</f>
        <v>#REF!</v>
      </c>
      <c r="W5063" s="5" t="e">
        <f>CONCATENATE(dados[[#This Row],[fator1]],dados[[#This Row],[fator5]],dados[[#This Row],[fator6]])</f>
        <v>#REF!</v>
      </c>
    </row>
    <row r="5064" spans="1:23">
      <c r="A5064" t="s">
        <v>16</v>
      </c>
      <c r="B5064">
        <v>591790</v>
      </c>
      <c r="C5064">
        <v>0.1</v>
      </c>
      <c r="D5064">
        <v>40</v>
      </c>
      <c r="E5064">
        <v>10</v>
      </c>
      <c r="F5064">
        <v>8</v>
      </c>
      <c r="G5064">
        <v>0</v>
      </c>
      <c r="H5064">
        <v>10</v>
      </c>
      <c r="I5064">
        <v>852</v>
      </c>
      <c r="J5064">
        <v>0</v>
      </c>
      <c r="K5064">
        <v>3.9295</v>
      </c>
      <c r="L5064">
        <v>7.65</v>
      </c>
      <c r="M5064">
        <v>6.0865</v>
      </c>
      <c r="N5064">
        <v>11.02</v>
      </c>
      <c r="O5064">
        <v>1673</v>
      </c>
      <c r="P5064">
        <v>1096</v>
      </c>
      <c r="Q5064" s="5" t="e">
        <f>IF(AND(#REF!&gt;=table!$C$6,#REF!&lt;= table!$D$6),-1,IF(AND(#REF!&gt;=table!$E$6,#REF!&lt;=table!$F$6),1,0))</f>
        <v>#REF!</v>
      </c>
      <c r="R5064" s="5" t="e">
        <f>IF(AND(#REF!&gt;=table!$C$7,#REF!&lt;= table!$D$7),-1,IF(AND(#REF!&gt;=table!$E$7,#REF!&lt;=table!$F$7),1,0))</f>
        <v>#REF!</v>
      </c>
      <c r="S5064" s="5" t="e">
        <f>IF(AND(#REF!&gt;=table!$C$8,#REF!&lt;= table!$D$8),-1,IF(AND(#REF!&gt;=table!$E$8,#REF!&lt;=table!$F$8),1,0))</f>
        <v>#REF!</v>
      </c>
      <c r="T5064" s="5"/>
      <c r="U5064" s="5" t="e">
        <f>IF(AND(#REF!&gt;=table!$C$10,#REF!&lt;= table!$D$10),-1,IF(AND(#REF!&gt;=table!$E$10,#REF!&lt;=table!$F$10),1,0))</f>
        <v>#REF!</v>
      </c>
      <c r="V5064" s="5" t="e">
        <f>IF(AND(#REF!&gt;=table!$C$11,#REF!&lt;= table!$D$11),-1,IF(AND(#REF!&gt;=table!$E$11,#REF!&lt;=table!$F$11),1,0))</f>
        <v>#REF!</v>
      </c>
      <c r="W5064" s="5" t="e">
        <f>CONCATENATE(dados[[#This Row],[fator1]],dados[[#This Row],[fator5]],dados[[#This Row],[fator6]])</f>
        <v>#REF!</v>
      </c>
    </row>
    <row r="5065" spans="1:23">
      <c r="A5065" t="s">
        <v>16</v>
      </c>
      <c r="B5065">
        <v>591791</v>
      </c>
      <c r="C5065">
        <v>0.1</v>
      </c>
      <c r="D5065">
        <v>40</v>
      </c>
      <c r="E5065">
        <v>10</v>
      </c>
      <c r="F5065">
        <v>8</v>
      </c>
      <c r="G5065">
        <v>0</v>
      </c>
      <c r="H5065">
        <v>10</v>
      </c>
      <c r="I5065">
        <v>352</v>
      </c>
      <c r="J5065">
        <v>0</v>
      </c>
      <c r="K5065">
        <v>3.1340000000000003</v>
      </c>
      <c r="L5065">
        <v>7.2940000000000005</v>
      </c>
      <c r="M5065">
        <v>5.5979999999999999</v>
      </c>
      <c r="N5065">
        <v>11.335000000000001</v>
      </c>
      <c r="O5065">
        <v>1668</v>
      </c>
      <c r="P5065">
        <v>0</v>
      </c>
      <c r="Q5065" s="5" t="e">
        <f>IF(AND(#REF!&gt;=table!$C$6,#REF!&lt;= table!$D$6),-1,IF(AND(#REF!&gt;=table!$E$6,#REF!&lt;=table!$F$6),1,0))</f>
        <v>#REF!</v>
      </c>
      <c r="R5065" s="5" t="e">
        <f>IF(AND(#REF!&gt;=table!$C$7,#REF!&lt;= table!$D$7),-1,IF(AND(#REF!&gt;=table!$E$7,#REF!&lt;=table!$F$7),1,0))</f>
        <v>#REF!</v>
      </c>
      <c r="S5065" s="5" t="e">
        <f>IF(AND(#REF!&gt;=table!$C$8,#REF!&lt;= table!$D$8),-1,IF(AND(#REF!&gt;=table!$E$8,#REF!&lt;=table!$F$8),1,0))</f>
        <v>#REF!</v>
      </c>
      <c r="T5065" s="5"/>
      <c r="U5065" s="5" t="e">
        <f>IF(AND(#REF!&gt;=table!$C$10,#REF!&lt;= table!$D$10),-1,IF(AND(#REF!&gt;=table!$E$10,#REF!&lt;=table!$F$10),1,0))</f>
        <v>#REF!</v>
      </c>
      <c r="V5065" s="5" t="e">
        <f>IF(AND(#REF!&gt;=table!$C$11,#REF!&lt;= table!$D$11),-1,IF(AND(#REF!&gt;=table!$E$11,#REF!&lt;=table!$F$11),1,0))</f>
        <v>#REF!</v>
      </c>
      <c r="W5065" s="5" t="e">
        <f>CONCATENATE(dados[[#This Row],[fator1]],dados[[#This Row],[fator5]],dados[[#This Row],[fator6]])</f>
        <v>#REF!</v>
      </c>
    </row>
    <row r="5066" spans="1:23">
      <c r="A5066" t="s">
        <v>17</v>
      </c>
      <c r="B5066">
        <v>591792</v>
      </c>
      <c r="C5066">
        <v>8</v>
      </c>
      <c r="D5066">
        <v>25</v>
      </c>
      <c r="E5066">
        <v>120</v>
      </c>
      <c r="F5066">
        <v>5</v>
      </c>
      <c r="G5066">
        <v>20</v>
      </c>
      <c r="H5066">
        <v>21</v>
      </c>
      <c r="I5066">
        <v>0</v>
      </c>
      <c r="J5066">
        <v>0</v>
      </c>
      <c r="K5066">
        <v>1.9515</v>
      </c>
      <c r="L5066">
        <v>7.6550000000000002</v>
      </c>
      <c r="M5066">
        <v>96.031500000000008</v>
      </c>
      <c r="N5066">
        <v>14.365</v>
      </c>
      <c r="O5066">
        <v>1728</v>
      </c>
      <c r="P5066">
        <v>0</v>
      </c>
      <c r="Q5066" s="5" t="e">
        <f>IF(AND(#REF!&gt;=table!$C$6,#REF!&lt;= table!$D$6),-1,IF(AND(#REF!&gt;=table!$E$6,#REF!&lt;=table!$F$6),1,0))</f>
        <v>#REF!</v>
      </c>
      <c r="R5066" s="5" t="e">
        <f>IF(AND(#REF!&gt;=table!$C$7,#REF!&lt;= table!$D$7),-1,IF(AND(#REF!&gt;=table!$E$7,#REF!&lt;=table!$F$7),1,0))</f>
        <v>#REF!</v>
      </c>
      <c r="S5066" s="5" t="e">
        <f>IF(AND(#REF!&gt;=table!$C$8,#REF!&lt;= table!$D$8),-1,IF(AND(#REF!&gt;=table!$E$8,#REF!&lt;=table!$F$8),1,0))</f>
        <v>#REF!</v>
      </c>
      <c r="T5066" s="5"/>
      <c r="U5066" s="5" t="e">
        <f>IF(AND(#REF!&gt;=table!$C$10,#REF!&lt;= table!$D$10),-1,IF(AND(#REF!&gt;=table!$E$10,#REF!&lt;=table!$F$10),1,0))</f>
        <v>#REF!</v>
      </c>
      <c r="V5066" s="5" t="e">
        <f>IF(AND(#REF!&gt;=table!$C$11,#REF!&lt;= table!$D$11),-1,IF(AND(#REF!&gt;=table!$E$11,#REF!&lt;=table!$F$11),1,0))</f>
        <v>#REF!</v>
      </c>
      <c r="W5066" s="5" t="e">
        <f>CONCATENATE(dados[[#This Row],[fator1]],dados[[#This Row],[fator5]],dados[[#This Row],[fator6]])</f>
        <v>#REF!</v>
      </c>
    </row>
    <row r="5067" spans="1:23">
      <c r="A5067" t="s">
        <v>17</v>
      </c>
      <c r="B5067">
        <v>591794</v>
      </c>
      <c r="C5067">
        <v>8</v>
      </c>
      <c r="D5067">
        <v>25</v>
      </c>
      <c r="E5067">
        <v>120</v>
      </c>
      <c r="F5067">
        <v>5</v>
      </c>
      <c r="G5067">
        <v>20</v>
      </c>
      <c r="H5067">
        <v>21</v>
      </c>
      <c r="I5067">
        <v>284</v>
      </c>
      <c r="J5067">
        <v>0</v>
      </c>
      <c r="K5067">
        <v>4.3775000000000004</v>
      </c>
      <c r="L5067">
        <v>9.2945000000000011</v>
      </c>
      <c r="M5067">
        <v>105.26650000000001</v>
      </c>
      <c r="N5067">
        <v>19.815000000000001</v>
      </c>
      <c r="O5067">
        <v>1660</v>
      </c>
      <c r="P5067">
        <v>0</v>
      </c>
      <c r="Q5067" s="5" t="e">
        <f>IF(AND(#REF!&gt;=table!$C$6,#REF!&lt;= table!$D$6),-1,IF(AND(#REF!&gt;=table!$E$6,#REF!&lt;=table!$F$6),1,0))</f>
        <v>#REF!</v>
      </c>
      <c r="R5067" s="5" t="e">
        <f>IF(AND(#REF!&gt;=table!$C$7,#REF!&lt;= table!$D$7),-1,IF(AND(#REF!&gt;=table!$E$7,#REF!&lt;=table!$F$7),1,0))</f>
        <v>#REF!</v>
      </c>
      <c r="S5067" s="5" t="e">
        <f>IF(AND(#REF!&gt;=table!$C$8,#REF!&lt;= table!$D$8),-1,IF(AND(#REF!&gt;=table!$E$8,#REF!&lt;=table!$F$8),1,0))</f>
        <v>#REF!</v>
      </c>
      <c r="T5067" s="5"/>
      <c r="U5067" s="5" t="e">
        <f>IF(AND(#REF!&gt;=table!$C$10,#REF!&lt;= table!$D$10),-1,IF(AND(#REF!&gt;=table!$E$10,#REF!&lt;=table!$F$10),1,0))</f>
        <v>#REF!</v>
      </c>
      <c r="V5067" s="5" t="e">
        <f>IF(AND(#REF!&gt;=table!$C$11,#REF!&lt;= table!$D$11),-1,IF(AND(#REF!&gt;=table!$E$11,#REF!&lt;=table!$F$11),1,0))</f>
        <v>#REF!</v>
      </c>
      <c r="W5067" s="5" t="e">
        <f>CONCATENATE(dados[[#This Row],[fator1]],dados[[#This Row],[fator5]],dados[[#This Row],[fator6]])</f>
        <v>#REF!</v>
      </c>
    </row>
    <row r="5068" spans="1:23">
      <c r="A5068" t="s">
        <v>17</v>
      </c>
      <c r="B5068">
        <v>591796</v>
      </c>
      <c r="C5068">
        <v>19</v>
      </c>
      <c r="D5068">
        <v>33</v>
      </c>
      <c r="E5068">
        <v>101</v>
      </c>
      <c r="F5068">
        <v>9</v>
      </c>
      <c r="G5068">
        <v>28</v>
      </c>
      <c r="H5068">
        <v>25</v>
      </c>
      <c r="I5068">
        <v>424</v>
      </c>
      <c r="J5068">
        <v>0</v>
      </c>
      <c r="K5068">
        <v>4.6450000000000005</v>
      </c>
      <c r="L5068">
        <v>7.2480000000000002</v>
      </c>
      <c r="M5068">
        <v>64.945000000000007</v>
      </c>
      <c r="N5068">
        <v>12.085000000000001</v>
      </c>
      <c r="O5068">
        <v>1663</v>
      </c>
      <c r="P5068">
        <v>0</v>
      </c>
      <c r="Q5068" s="5" t="e">
        <f>IF(AND(#REF!&gt;=table!$C$6,#REF!&lt;= table!$D$6),-1,IF(AND(#REF!&gt;=table!$E$6,#REF!&lt;=table!$F$6),1,0))</f>
        <v>#REF!</v>
      </c>
      <c r="R5068" s="5" t="e">
        <f>IF(AND(#REF!&gt;=table!$C$7,#REF!&lt;= table!$D$7),-1,IF(AND(#REF!&gt;=table!$E$7,#REF!&lt;=table!$F$7),1,0))</f>
        <v>#REF!</v>
      </c>
      <c r="S5068" s="5" t="e">
        <f>IF(AND(#REF!&gt;=table!$C$8,#REF!&lt;= table!$D$8),-1,IF(AND(#REF!&gt;=table!$E$8,#REF!&lt;=table!$F$8),1,0))</f>
        <v>#REF!</v>
      </c>
      <c r="T5068" s="5"/>
      <c r="U5068" s="5" t="e">
        <f>IF(AND(#REF!&gt;=table!$C$10,#REF!&lt;= table!$D$10),-1,IF(AND(#REF!&gt;=table!$E$10,#REF!&lt;=table!$F$10),1,0))</f>
        <v>#REF!</v>
      </c>
      <c r="V5068" s="5" t="e">
        <f>IF(AND(#REF!&gt;=table!$C$11,#REF!&lt;= table!$D$11),-1,IF(AND(#REF!&gt;=table!$E$11,#REF!&lt;=table!$F$11),1,0))</f>
        <v>#REF!</v>
      </c>
      <c r="W5068" s="5" t="e">
        <f>CONCATENATE(dados[[#This Row],[fator1]],dados[[#This Row],[fator5]],dados[[#This Row],[fator6]])</f>
        <v>#REF!</v>
      </c>
    </row>
    <row r="5069" spans="1:23">
      <c r="A5069" t="s">
        <v>17</v>
      </c>
      <c r="B5069">
        <v>591797</v>
      </c>
      <c r="C5069">
        <v>19</v>
      </c>
      <c r="D5069">
        <v>33</v>
      </c>
      <c r="E5069">
        <v>101</v>
      </c>
      <c r="F5069">
        <v>9</v>
      </c>
      <c r="G5069">
        <v>28</v>
      </c>
      <c r="H5069">
        <v>25</v>
      </c>
      <c r="I5069">
        <v>0</v>
      </c>
      <c r="J5069">
        <v>0</v>
      </c>
      <c r="K5069">
        <v>5.5674999999999999</v>
      </c>
      <c r="L5069">
        <v>8.6159999999999997</v>
      </c>
      <c r="M5069">
        <v>70.162000000000006</v>
      </c>
      <c r="N5069">
        <v>11.4</v>
      </c>
      <c r="O5069">
        <v>1657</v>
      </c>
      <c r="P5069">
        <v>690</v>
      </c>
      <c r="Q5069" s="5" t="e">
        <f>IF(AND(#REF!&gt;=table!$C$6,#REF!&lt;= table!$D$6),-1,IF(AND(#REF!&gt;=table!$E$6,#REF!&lt;=table!$F$6),1,0))</f>
        <v>#REF!</v>
      </c>
      <c r="R5069" s="5" t="e">
        <f>IF(AND(#REF!&gt;=table!$C$7,#REF!&lt;= table!$D$7),-1,IF(AND(#REF!&gt;=table!$E$7,#REF!&lt;=table!$F$7),1,0))</f>
        <v>#REF!</v>
      </c>
      <c r="S5069" s="5" t="e">
        <f>IF(AND(#REF!&gt;=table!$C$8,#REF!&lt;= table!$D$8),-1,IF(AND(#REF!&gt;=table!$E$8,#REF!&lt;=table!$F$8),1,0))</f>
        <v>#REF!</v>
      </c>
      <c r="T5069" s="5"/>
      <c r="U5069" s="5" t="e">
        <f>IF(AND(#REF!&gt;=table!$C$10,#REF!&lt;= table!$D$10),-1,IF(AND(#REF!&gt;=table!$E$10,#REF!&lt;=table!$F$10),1,0))</f>
        <v>#REF!</v>
      </c>
      <c r="V5069" s="5" t="e">
        <f>IF(AND(#REF!&gt;=table!$C$11,#REF!&lt;= table!$D$11),-1,IF(AND(#REF!&gt;=table!$E$11,#REF!&lt;=table!$F$11),1,0))</f>
        <v>#REF!</v>
      </c>
      <c r="W5069" s="5" t="e">
        <f>CONCATENATE(dados[[#This Row],[fator1]],dados[[#This Row],[fator5]],dados[[#This Row],[fator6]])</f>
        <v>#REF!</v>
      </c>
    </row>
    <row r="5070" spans="1:23">
      <c r="A5070" t="s">
        <v>17</v>
      </c>
      <c r="B5070">
        <v>591798</v>
      </c>
      <c r="C5070">
        <v>19</v>
      </c>
      <c r="D5070">
        <v>33</v>
      </c>
      <c r="E5070">
        <v>101</v>
      </c>
      <c r="F5070">
        <v>9</v>
      </c>
      <c r="G5070">
        <v>28</v>
      </c>
      <c r="H5070">
        <v>25</v>
      </c>
      <c r="I5070">
        <v>3</v>
      </c>
      <c r="J5070">
        <v>1280</v>
      </c>
      <c r="K5070">
        <v>31.203500000000002</v>
      </c>
      <c r="L5070">
        <v>22.420999999999999</v>
      </c>
      <c r="M5070">
        <v>84.051000000000002</v>
      </c>
      <c r="N5070">
        <v>9.81</v>
      </c>
      <c r="O5070">
        <v>1663</v>
      </c>
      <c r="P5070">
        <v>0</v>
      </c>
      <c r="Q5070" s="5" t="e">
        <f>IF(AND(#REF!&gt;=table!$C$6,#REF!&lt;= table!$D$6),-1,IF(AND(#REF!&gt;=table!$E$6,#REF!&lt;=table!$F$6),1,0))</f>
        <v>#REF!</v>
      </c>
      <c r="R5070" s="5" t="e">
        <f>IF(AND(#REF!&gt;=table!$C$7,#REF!&lt;= table!$D$7),-1,IF(AND(#REF!&gt;=table!$E$7,#REF!&lt;=table!$F$7),1,0))</f>
        <v>#REF!</v>
      </c>
      <c r="S5070" s="5" t="e">
        <f>IF(AND(#REF!&gt;=table!$C$8,#REF!&lt;= table!$D$8),-1,IF(AND(#REF!&gt;=table!$E$8,#REF!&lt;=table!$F$8),1,0))</f>
        <v>#REF!</v>
      </c>
      <c r="T5070" s="5"/>
      <c r="U5070" s="5" t="e">
        <f>IF(AND(#REF!&gt;=table!$C$10,#REF!&lt;= table!$D$10),-1,IF(AND(#REF!&gt;=table!$E$10,#REF!&lt;=table!$F$10),1,0))</f>
        <v>#REF!</v>
      </c>
      <c r="V5070" s="5" t="e">
        <f>IF(AND(#REF!&gt;=table!$C$11,#REF!&lt;= table!$D$11),-1,IF(AND(#REF!&gt;=table!$E$11,#REF!&lt;=table!$F$11),1,0))</f>
        <v>#REF!</v>
      </c>
      <c r="W5070" s="5" t="e">
        <f>CONCATENATE(dados[[#This Row],[fator1]],dados[[#This Row],[fator5]],dados[[#This Row],[fator6]])</f>
        <v>#REF!</v>
      </c>
    </row>
    <row r="5071" spans="1:23">
      <c r="A5071" t="s">
        <v>16</v>
      </c>
      <c r="B5071">
        <v>591810</v>
      </c>
      <c r="C5071">
        <v>0.15</v>
      </c>
      <c r="D5071">
        <v>40</v>
      </c>
      <c r="E5071">
        <v>10</v>
      </c>
      <c r="F5071">
        <v>15</v>
      </c>
      <c r="G5071">
        <v>0</v>
      </c>
      <c r="H5071">
        <v>15</v>
      </c>
      <c r="I5071">
        <v>1440</v>
      </c>
      <c r="J5071">
        <v>0</v>
      </c>
      <c r="K5071">
        <v>5.1855000000000002</v>
      </c>
      <c r="L5071">
        <v>9.1865000000000006</v>
      </c>
      <c r="M5071">
        <v>7.8940000000000001</v>
      </c>
      <c r="N5071">
        <v>12.595000000000001</v>
      </c>
      <c r="O5071">
        <v>1695</v>
      </c>
      <c r="P5071">
        <v>822</v>
      </c>
      <c r="Q5071" s="5" t="e">
        <f>IF(AND(#REF!&gt;=table!$C$6,#REF!&lt;= table!$D$6),-1,IF(AND(#REF!&gt;=table!$E$6,#REF!&lt;=table!$F$6),1,0))</f>
        <v>#REF!</v>
      </c>
      <c r="R5071" s="5" t="e">
        <f>IF(AND(#REF!&gt;=table!$C$7,#REF!&lt;= table!$D$7),-1,IF(AND(#REF!&gt;=table!$E$7,#REF!&lt;=table!$F$7),1,0))</f>
        <v>#REF!</v>
      </c>
      <c r="S5071" s="5" t="e">
        <f>IF(AND(#REF!&gt;=table!$C$8,#REF!&lt;= table!$D$8),-1,IF(AND(#REF!&gt;=table!$E$8,#REF!&lt;=table!$F$8),1,0))</f>
        <v>#REF!</v>
      </c>
      <c r="T5071" s="5"/>
      <c r="U5071" s="5" t="e">
        <f>IF(AND(#REF!&gt;=table!$C$10,#REF!&lt;= table!$D$10),-1,IF(AND(#REF!&gt;=table!$E$10,#REF!&lt;=table!$F$10),1,0))</f>
        <v>#REF!</v>
      </c>
      <c r="V5071" s="5" t="e">
        <f>IF(AND(#REF!&gt;=table!$C$11,#REF!&lt;= table!$D$11),-1,IF(AND(#REF!&gt;=table!$E$11,#REF!&lt;=table!$F$11),1,0))</f>
        <v>#REF!</v>
      </c>
      <c r="W5071" s="5" t="e">
        <f>CONCATENATE(dados[[#This Row],[fator1]],dados[[#This Row],[fator5]],dados[[#This Row],[fator6]])</f>
        <v>#REF!</v>
      </c>
    </row>
    <row r="5072" spans="1:23">
      <c r="A5072" t="s">
        <v>16</v>
      </c>
      <c r="B5072">
        <v>591816</v>
      </c>
      <c r="C5072">
        <v>0.2</v>
      </c>
      <c r="D5072">
        <v>65</v>
      </c>
      <c r="E5072">
        <v>26</v>
      </c>
      <c r="F5072">
        <v>15</v>
      </c>
      <c r="G5072">
        <v>0</v>
      </c>
      <c r="H5072">
        <v>30</v>
      </c>
      <c r="I5072">
        <v>748</v>
      </c>
      <c r="J5072">
        <v>0</v>
      </c>
      <c r="K5072">
        <v>3.6310000000000002</v>
      </c>
      <c r="L5072">
        <v>9.5125000000000011</v>
      </c>
      <c r="M5072">
        <v>7.6779999999999999</v>
      </c>
      <c r="N5072">
        <v>21.03</v>
      </c>
      <c r="O5072">
        <v>1702</v>
      </c>
      <c r="P5072">
        <v>1067</v>
      </c>
      <c r="Q5072" s="5" t="e">
        <f>IF(AND(#REF!&gt;=table!$C$6,#REF!&lt;= table!$D$6),-1,IF(AND(#REF!&gt;=table!$E$6,#REF!&lt;=table!$F$6),1,0))</f>
        <v>#REF!</v>
      </c>
      <c r="R5072" s="5" t="e">
        <f>IF(AND(#REF!&gt;=table!$C$7,#REF!&lt;= table!$D$7),-1,IF(AND(#REF!&gt;=table!$E$7,#REF!&lt;=table!$F$7),1,0))</f>
        <v>#REF!</v>
      </c>
      <c r="S5072" s="5" t="e">
        <f>IF(AND(#REF!&gt;=table!$C$8,#REF!&lt;= table!$D$8),-1,IF(AND(#REF!&gt;=table!$E$8,#REF!&lt;=table!$F$8),1,0))</f>
        <v>#REF!</v>
      </c>
      <c r="T5072" s="5"/>
      <c r="U5072" s="5" t="e">
        <f>IF(AND(#REF!&gt;=table!$C$10,#REF!&lt;= table!$D$10),-1,IF(AND(#REF!&gt;=table!$E$10,#REF!&lt;=table!$F$10),1,0))</f>
        <v>#REF!</v>
      </c>
      <c r="V5072" s="5" t="e">
        <f>IF(AND(#REF!&gt;=table!$C$11,#REF!&lt;= table!$D$11),-1,IF(AND(#REF!&gt;=table!$E$11,#REF!&lt;=table!$F$11),1,0))</f>
        <v>#REF!</v>
      </c>
      <c r="W5072" s="5" t="e">
        <f>CONCATENATE(dados[[#This Row],[fator1]],dados[[#This Row],[fator5]],dados[[#This Row],[fator6]])</f>
        <v>#REF!</v>
      </c>
    </row>
    <row r="5073" spans="1:23">
      <c r="A5073" t="s">
        <v>17</v>
      </c>
      <c r="B5073">
        <v>591817</v>
      </c>
      <c r="C5073">
        <v>8</v>
      </c>
      <c r="D5073">
        <v>30</v>
      </c>
      <c r="E5073">
        <v>153</v>
      </c>
      <c r="F5073">
        <v>2</v>
      </c>
      <c r="G5073">
        <v>20</v>
      </c>
      <c r="H5073">
        <v>18</v>
      </c>
      <c r="I5073">
        <v>112</v>
      </c>
      <c r="J5073">
        <v>0</v>
      </c>
      <c r="K5073">
        <v>5.306</v>
      </c>
      <c r="L5073">
        <v>5.1100000000000003</v>
      </c>
      <c r="M5073">
        <v>86.527000000000001</v>
      </c>
      <c r="N5073">
        <v>9.9350000000000005</v>
      </c>
      <c r="O5073">
        <v>1641</v>
      </c>
      <c r="P5073">
        <v>1386</v>
      </c>
      <c r="Q5073" s="5" t="e">
        <f>IF(AND(#REF!&gt;=table!$C$6,#REF!&lt;= table!$D$6),-1,IF(AND(#REF!&gt;=table!$E$6,#REF!&lt;=table!$F$6),1,0))</f>
        <v>#REF!</v>
      </c>
      <c r="R5073" s="5" t="e">
        <f>IF(AND(#REF!&gt;=table!$C$7,#REF!&lt;= table!$D$7),-1,IF(AND(#REF!&gt;=table!$E$7,#REF!&lt;=table!$F$7),1,0))</f>
        <v>#REF!</v>
      </c>
      <c r="S5073" s="5" t="e">
        <f>IF(AND(#REF!&gt;=table!$C$8,#REF!&lt;= table!$D$8),-1,IF(AND(#REF!&gt;=table!$E$8,#REF!&lt;=table!$F$8),1,0))</f>
        <v>#REF!</v>
      </c>
      <c r="T5073" s="5"/>
      <c r="U5073" s="5" t="e">
        <f>IF(AND(#REF!&gt;=table!$C$10,#REF!&lt;= table!$D$10),-1,IF(AND(#REF!&gt;=table!$E$10,#REF!&lt;=table!$F$10),1,0))</f>
        <v>#REF!</v>
      </c>
      <c r="V5073" s="5" t="e">
        <f>IF(AND(#REF!&gt;=table!$C$11,#REF!&lt;= table!$D$11),-1,IF(AND(#REF!&gt;=table!$E$11,#REF!&lt;=table!$F$11),1,0))</f>
        <v>#REF!</v>
      </c>
      <c r="W5073" s="5" t="e">
        <f>CONCATENATE(dados[[#This Row],[fator1]],dados[[#This Row],[fator5]],dados[[#This Row],[fator6]])</f>
        <v>#REF!</v>
      </c>
    </row>
    <row r="5074" spans="1:23">
      <c r="A5074" t="s">
        <v>17</v>
      </c>
      <c r="B5074">
        <v>591818</v>
      </c>
      <c r="C5074">
        <v>18</v>
      </c>
      <c r="D5074">
        <v>23</v>
      </c>
      <c r="E5074">
        <v>145</v>
      </c>
      <c r="F5074">
        <v>9</v>
      </c>
      <c r="G5074">
        <v>30</v>
      </c>
      <c r="H5074">
        <v>25</v>
      </c>
      <c r="I5074">
        <v>485</v>
      </c>
      <c r="J5074">
        <v>0</v>
      </c>
      <c r="K5074">
        <v>4.165</v>
      </c>
      <c r="L5074">
        <v>6.4119999999999999</v>
      </c>
      <c r="M5074">
        <v>125.0425</v>
      </c>
      <c r="N5074">
        <v>13.25</v>
      </c>
      <c r="O5074">
        <v>1668</v>
      </c>
      <c r="P5074">
        <v>0</v>
      </c>
      <c r="Q5074" s="5" t="e">
        <f>IF(AND(#REF!&gt;=table!$C$6,#REF!&lt;= table!$D$6),-1,IF(AND(#REF!&gt;=table!$E$6,#REF!&lt;=table!$F$6),1,0))</f>
        <v>#REF!</v>
      </c>
      <c r="R5074" s="5" t="e">
        <f>IF(AND(#REF!&gt;=table!$C$7,#REF!&lt;= table!$D$7),-1,IF(AND(#REF!&gt;=table!$E$7,#REF!&lt;=table!$F$7),1,0))</f>
        <v>#REF!</v>
      </c>
      <c r="S5074" s="5" t="e">
        <f>IF(AND(#REF!&gt;=table!$C$8,#REF!&lt;= table!$D$8),-1,IF(AND(#REF!&gt;=table!$E$8,#REF!&lt;=table!$F$8),1,0))</f>
        <v>#REF!</v>
      </c>
      <c r="T5074" s="5"/>
      <c r="U5074" s="5" t="e">
        <f>IF(AND(#REF!&gt;=table!$C$10,#REF!&lt;= table!$D$10),-1,IF(AND(#REF!&gt;=table!$E$10,#REF!&lt;=table!$F$10),1,0))</f>
        <v>#REF!</v>
      </c>
      <c r="V5074" s="5" t="e">
        <f>IF(AND(#REF!&gt;=table!$C$11,#REF!&lt;= table!$D$11),-1,IF(AND(#REF!&gt;=table!$E$11,#REF!&lt;=table!$F$11),1,0))</f>
        <v>#REF!</v>
      </c>
      <c r="W5074" s="5" t="e">
        <f>CONCATENATE(dados[[#This Row],[fator1]],dados[[#This Row],[fator5]],dados[[#This Row],[fator6]])</f>
        <v>#REF!</v>
      </c>
    </row>
    <row r="5075" spans="1:23">
      <c r="A5075" t="s">
        <v>17</v>
      </c>
      <c r="B5075">
        <v>591819</v>
      </c>
      <c r="C5075">
        <v>10</v>
      </c>
      <c r="D5075">
        <v>30</v>
      </c>
      <c r="E5075">
        <v>135</v>
      </c>
      <c r="F5075">
        <v>2</v>
      </c>
      <c r="G5075">
        <v>20</v>
      </c>
      <c r="H5075">
        <v>18</v>
      </c>
      <c r="I5075">
        <v>1264</v>
      </c>
      <c r="J5075">
        <v>0</v>
      </c>
      <c r="K5075">
        <v>4.7</v>
      </c>
      <c r="L5075">
        <v>9.9619999999999997</v>
      </c>
      <c r="M5075">
        <v>125.357</v>
      </c>
      <c r="N5075">
        <v>14.43</v>
      </c>
      <c r="O5075">
        <v>1697</v>
      </c>
      <c r="P5075">
        <v>909</v>
      </c>
      <c r="Q5075" s="5" t="e">
        <f>IF(AND(#REF!&gt;=table!$C$6,#REF!&lt;= table!$D$6),-1,IF(AND(#REF!&gt;=table!$E$6,#REF!&lt;=table!$F$6),1,0))</f>
        <v>#REF!</v>
      </c>
      <c r="R5075" s="5" t="e">
        <f>IF(AND(#REF!&gt;=table!$C$7,#REF!&lt;= table!$D$7),-1,IF(AND(#REF!&gt;=table!$E$7,#REF!&lt;=table!$F$7),1,0))</f>
        <v>#REF!</v>
      </c>
      <c r="S5075" s="5" t="e">
        <f>IF(AND(#REF!&gt;=table!$C$8,#REF!&lt;= table!$D$8),-1,IF(AND(#REF!&gt;=table!$E$8,#REF!&lt;=table!$F$8),1,0))</f>
        <v>#REF!</v>
      </c>
      <c r="T5075" s="5"/>
      <c r="U5075" s="5" t="e">
        <f>IF(AND(#REF!&gt;=table!$C$10,#REF!&lt;= table!$D$10),-1,IF(AND(#REF!&gt;=table!$E$10,#REF!&lt;=table!$F$10),1,0))</f>
        <v>#REF!</v>
      </c>
      <c r="V5075" s="5" t="e">
        <f>IF(AND(#REF!&gt;=table!$C$11,#REF!&lt;= table!$D$11),-1,IF(AND(#REF!&gt;=table!$E$11,#REF!&lt;=table!$F$11),1,0))</f>
        <v>#REF!</v>
      </c>
      <c r="W5075" s="5" t="e">
        <f>CONCATENATE(dados[[#This Row],[fator1]],dados[[#This Row],[fator5]],dados[[#This Row],[fator6]])</f>
        <v>#REF!</v>
      </c>
    </row>
    <row r="5076" spans="1:23">
      <c r="A5076" t="s">
        <v>16</v>
      </c>
      <c r="B5076">
        <v>591820</v>
      </c>
      <c r="C5076">
        <v>0.2</v>
      </c>
      <c r="D5076">
        <v>65</v>
      </c>
      <c r="E5076">
        <v>26</v>
      </c>
      <c r="F5076">
        <v>15</v>
      </c>
      <c r="G5076">
        <v>0</v>
      </c>
      <c r="H5076">
        <v>30</v>
      </c>
      <c r="I5076">
        <v>734</v>
      </c>
      <c r="J5076">
        <v>0</v>
      </c>
      <c r="K5076">
        <v>3.5015000000000001</v>
      </c>
      <c r="L5076">
        <v>9.6535000000000011</v>
      </c>
      <c r="M5076">
        <v>8.6580000000000013</v>
      </c>
      <c r="N5076">
        <v>13.11</v>
      </c>
      <c r="O5076">
        <v>1683</v>
      </c>
      <c r="P5076">
        <v>761</v>
      </c>
      <c r="Q5076" s="5" t="e">
        <f>IF(AND(#REF!&gt;=table!$C$6,#REF!&lt;= table!$D$6),-1,IF(AND(#REF!&gt;=table!$E$6,#REF!&lt;=table!$F$6),1,0))</f>
        <v>#REF!</v>
      </c>
      <c r="R5076" s="5" t="e">
        <f>IF(AND(#REF!&gt;=table!$C$7,#REF!&lt;= table!$D$7),-1,IF(AND(#REF!&gt;=table!$E$7,#REF!&lt;=table!$F$7),1,0))</f>
        <v>#REF!</v>
      </c>
      <c r="S5076" s="5" t="e">
        <f>IF(AND(#REF!&gt;=table!$C$8,#REF!&lt;= table!$D$8),-1,IF(AND(#REF!&gt;=table!$E$8,#REF!&lt;=table!$F$8),1,0))</f>
        <v>#REF!</v>
      </c>
      <c r="T5076" s="5"/>
      <c r="U5076" s="5" t="e">
        <f>IF(AND(#REF!&gt;=table!$C$10,#REF!&lt;= table!$D$10),-1,IF(AND(#REF!&gt;=table!$E$10,#REF!&lt;=table!$F$10),1,0))</f>
        <v>#REF!</v>
      </c>
      <c r="V5076" s="5" t="e">
        <f>IF(AND(#REF!&gt;=table!$C$11,#REF!&lt;= table!$D$11),-1,IF(AND(#REF!&gt;=table!$E$11,#REF!&lt;=table!$F$11),1,0))</f>
        <v>#REF!</v>
      </c>
      <c r="W5076" s="5" t="e">
        <f>CONCATENATE(dados[[#This Row],[fator1]],dados[[#This Row],[fator5]],dados[[#This Row],[fator6]])</f>
        <v>#REF!</v>
      </c>
    </row>
    <row r="5077" spans="1:23">
      <c r="A5077" t="s">
        <v>17</v>
      </c>
      <c r="B5077">
        <v>591821</v>
      </c>
      <c r="C5077">
        <v>10</v>
      </c>
      <c r="D5077">
        <v>30</v>
      </c>
      <c r="E5077">
        <v>135</v>
      </c>
      <c r="F5077">
        <v>2</v>
      </c>
      <c r="G5077">
        <v>20</v>
      </c>
      <c r="H5077">
        <v>18</v>
      </c>
      <c r="I5077">
        <v>1444</v>
      </c>
      <c r="J5077">
        <v>0</v>
      </c>
      <c r="K5077">
        <v>3.5015000000000001</v>
      </c>
      <c r="L5077">
        <v>9.6535000000000011</v>
      </c>
      <c r="M5077">
        <v>121.46600000000001</v>
      </c>
      <c r="N5077">
        <v>14.325000000000001</v>
      </c>
      <c r="O5077">
        <v>1679</v>
      </c>
      <c r="P5077">
        <v>0</v>
      </c>
      <c r="Q5077" s="5" t="e">
        <f>IF(AND(#REF!&gt;=table!$C$6,#REF!&lt;= table!$D$6),-1,IF(AND(#REF!&gt;=table!$E$6,#REF!&lt;=table!$F$6),1,0))</f>
        <v>#REF!</v>
      </c>
      <c r="R5077" s="5" t="e">
        <f>IF(AND(#REF!&gt;=table!$C$7,#REF!&lt;= table!$D$7),-1,IF(AND(#REF!&gt;=table!$E$7,#REF!&lt;=table!$F$7),1,0))</f>
        <v>#REF!</v>
      </c>
      <c r="S5077" s="5" t="e">
        <f>IF(AND(#REF!&gt;=table!$C$8,#REF!&lt;= table!$D$8),-1,IF(AND(#REF!&gt;=table!$E$8,#REF!&lt;=table!$F$8),1,0))</f>
        <v>#REF!</v>
      </c>
      <c r="T5077" s="5"/>
      <c r="U5077" s="5" t="e">
        <f>IF(AND(#REF!&gt;=table!$C$10,#REF!&lt;= table!$D$10),-1,IF(AND(#REF!&gt;=table!$E$10,#REF!&lt;=table!$F$10),1,0))</f>
        <v>#REF!</v>
      </c>
      <c r="V5077" s="5" t="e">
        <f>IF(AND(#REF!&gt;=table!$C$11,#REF!&lt;= table!$D$11),-1,IF(AND(#REF!&gt;=table!$E$11,#REF!&lt;=table!$F$11),1,0))</f>
        <v>#REF!</v>
      </c>
      <c r="W5077" s="5" t="e">
        <f>CONCATENATE(dados[[#This Row],[fator1]],dados[[#This Row],[fator5]],dados[[#This Row],[fator6]])</f>
        <v>#REF!</v>
      </c>
    </row>
    <row r="5078" spans="1:23">
      <c r="A5078" t="s">
        <v>16</v>
      </c>
      <c r="B5078">
        <v>591825</v>
      </c>
      <c r="C5078">
        <v>16</v>
      </c>
      <c r="D5078">
        <v>30</v>
      </c>
      <c r="E5078">
        <v>56</v>
      </c>
      <c r="F5078">
        <v>3</v>
      </c>
      <c r="G5078">
        <v>0</v>
      </c>
      <c r="H5078">
        <v>25</v>
      </c>
      <c r="I5078">
        <v>790</v>
      </c>
      <c r="J5078">
        <v>0</v>
      </c>
      <c r="K5078">
        <v>3.08</v>
      </c>
      <c r="L5078">
        <v>8.85</v>
      </c>
      <c r="M5078">
        <v>52.704000000000001</v>
      </c>
      <c r="N5078">
        <v>15.25</v>
      </c>
      <c r="O5078">
        <v>1686</v>
      </c>
      <c r="P5078">
        <v>0</v>
      </c>
      <c r="Q5078" s="5" t="e">
        <f>IF(AND(#REF!&gt;=table!$C$6,#REF!&lt;= table!$D$6),-1,IF(AND(#REF!&gt;=table!$E$6,#REF!&lt;=table!$F$6),1,0))</f>
        <v>#REF!</v>
      </c>
      <c r="R5078" s="5" t="e">
        <f>IF(AND(#REF!&gt;=table!$C$7,#REF!&lt;= table!$D$7),-1,IF(AND(#REF!&gt;=table!$E$7,#REF!&lt;=table!$F$7),1,0))</f>
        <v>#REF!</v>
      </c>
      <c r="S5078" s="5" t="e">
        <f>IF(AND(#REF!&gt;=table!$C$8,#REF!&lt;= table!$D$8),-1,IF(AND(#REF!&gt;=table!$E$8,#REF!&lt;=table!$F$8),1,0))</f>
        <v>#REF!</v>
      </c>
      <c r="T5078" s="5"/>
      <c r="U5078" s="5" t="e">
        <f>IF(AND(#REF!&gt;=table!$C$10,#REF!&lt;= table!$D$10),-1,IF(AND(#REF!&gt;=table!$E$10,#REF!&lt;=table!$F$10),1,0))</f>
        <v>#REF!</v>
      </c>
      <c r="V5078" s="5" t="e">
        <f>IF(AND(#REF!&gt;=table!$C$11,#REF!&lt;= table!$D$11),-1,IF(AND(#REF!&gt;=table!$E$11,#REF!&lt;=table!$F$11),1,0))</f>
        <v>#REF!</v>
      </c>
      <c r="W5078" s="5" t="e">
        <f>CONCATENATE(dados[[#This Row],[fator1]],dados[[#This Row],[fator5]],dados[[#This Row],[fator6]])</f>
        <v>#REF!</v>
      </c>
    </row>
    <row r="5079" spans="1:23">
      <c r="A5079" t="s">
        <v>16</v>
      </c>
      <c r="B5079">
        <v>591826</v>
      </c>
      <c r="C5079">
        <v>16</v>
      </c>
      <c r="D5079">
        <v>35</v>
      </c>
      <c r="E5079">
        <v>56</v>
      </c>
      <c r="F5079">
        <v>10</v>
      </c>
      <c r="G5079">
        <v>0</v>
      </c>
      <c r="H5079">
        <v>25</v>
      </c>
      <c r="I5079">
        <v>65</v>
      </c>
      <c r="J5079">
        <v>0</v>
      </c>
      <c r="K5079">
        <v>6.8660000000000005</v>
      </c>
      <c r="L5079">
        <v>12.200000000000001</v>
      </c>
      <c r="M5079">
        <v>54.520500000000006</v>
      </c>
      <c r="N5079">
        <v>19.775000000000002</v>
      </c>
      <c r="O5079">
        <v>1686</v>
      </c>
      <c r="P5079">
        <v>534</v>
      </c>
      <c r="Q5079" s="5" t="e">
        <f>IF(AND(#REF!&gt;=table!$C$6,#REF!&lt;= table!$D$6),-1,IF(AND(#REF!&gt;=table!$E$6,#REF!&lt;=table!$F$6),1,0))</f>
        <v>#REF!</v>
      </c>
      <c r="R5079" s="5" t="e">
        <f>IF(AND(#REF!&gt;=table!$C$7,#REF!&lt;= table!$D$7),-1,IF(AND(#REF!&gt;=table!$E$7,#REF!&lt;=table!$F$7),1,0))</f>
        <v>#REF!</v>
      </c>
      <c r="S5079" s="5" t="e">
        <f>IF(AND(#REF!&gt;=table!$C$8,#REF!&lt;= table!$D$8),-1,IF(AND(#REF!&gt;=table!$E$8,#REF!&lt;=table!$F$8),1,0))</f>
        <v>#REF!</v>
      </c>
      <c r="T5079" s="5"/>
      <c r="U5079" s="5" t="e">
        <f>IF(AND(#REF!&gt;=table!$C$10,#REF!&lt;= table!$D$10),-1,IF(AND(#REF!&gt;=table!$E$10,#REF!&lt;=table!$F$10),1,0))</f>
        <v>#REF!</v>
      </c>
      <c r="V5079" s="5" t="e">
        <f>IF(AND(#REF!&gt;=table!$C$11,#REF!&lt;= table!$D$11),-1,IF(AND(#REF!&gt;=table!$E$11,#REF!&lt;=table!$F$11),1,0))</f>
        <v>#REF!</v>
      </c>
      <c r="W5079" s="5" t="e">
        <f>CONCATENATE(dados[[#This Row],[fator1]],dados[[#This Row],[fator5]],dados[[#This Row],[fator6]])</f>
        <v>#REF!</v>
      </c>
    </row>
    <row r="5080" spans="1:23">
      <c r="A5080" t="s">
        <v>16</v>
      </c>
      <c r="B5080">
        <v>591827</v>
      </c>
      <c r="C5080">
        <v>0.23</v>
      </c>
      <c r="D5080">
        <v>65</v>
      </c>
      <c r="E5080">
        <v>26</v>
      </c>
      <c r="F5080">
        <v>15</v>
      </c>
      <c r="G5080">
        <v>0</v>
      </c>
      <c r="H5080">
        <v>35</v>
      </c>
      <c r="I5080">
        <v>1629</v>
      </c>
      <c r="J5080">
        <v>0</v>
      </c>
      <c r="K5080">
        <v>3.9795000000000003</v>
      </c>
      <c r="L5080">
        <v>10.474500000000001</v>
      </c>
      <c r="M5080">
        <v>9.7160000000000011</v>
      </c>
      <c r="N5080">
        <v>18.755000000000003</v>
      </c>
      <c r="O5080">
        <v>1687</v>
      </c>
      <c r="P5080">
        <v>0</v>
      </c>
      <c r="Q5080" s="5" t="e">
        <f>IF(AND(#REF!&gt;=table!$C$6,#REF!&lt;= table!$D$6),-1,IF(AND(#REF!&gt;=table!$E$6,#REF!&lt;=table!$F$6),1,0))</f>
        <v>#REF!</v>
      </c>
      <c r="R5080" s="5" t="e">
        <f>IF(AND(#REF!&gt;=table!$C$7,#REF!&lt;= table!$D$7),-1,IF(AND(#REF!&gt;=table!$E$7,#REF!&lt;=table!$F$7),1,0))</f>
        <v>#REF!</v>
      </c>
      <c r="S5080" s="5" t="e">
        <f>IF(AND(#REF!&gt;=table!$C$8,#REF!&lt;= table!$D$8),-1,IF(AND(#REF!&gt;=table!$E$8,#REF!&lt;=table!$F$8),1,0))</f>
        <v>#REF!</v>
      </c>
      <c r="T5080" s="5"/>
      <c r="U5080" s="5" t="e">
        <f>IF(AND(#REF!&gt;=table!$C$10,#REF!&lt;= table!$D$10),-1,IF(AND(#REF!&gt;=table!$E$10,#REF!&lt;=table!$F$10),1,0))</f>
        <v>#REF!</v>
      </c>
      <c r="V5080" s="5" t="e">
        <f>IF(AND(#REF!&gt;=table!$C$11,#REF!&lt;= table!$D$11),-1,IF(AND(#REF!&gt;=table!$E$11,#REF!&lt;=table!$F$11),1,0))</f>
        <v>#REF!</v>
      </c>
      <c r="W5080" s="5" t="e">
        <f>CONCATENATE(dados[[#This Row],[fator1]],dados[[#This Row],[fator5]],dados[[#This Row],[fator6]])</f>
        <v>#REF!</v>
      </c>
    </row>
    <row r="5081" spans="1:23">
      <c r="A5081" t="s">
        <v>16</v>
      </c>
      <c r="B5081">
        <v>591836</v>
      </c>
      <c r="C5081">
        <v>9</v>
      </c>
      <c r="D5081">
        <v>27</v>
      </c>
      <c r="E5081">
        <v>36</v>
      </c>
      <c r="F5081">
        <v>8</v>
      </c>
      <c r="G5081">
        <v>0</v>
      </c>
      <c r="H5081">
        <v>25</v>
      </c>
      <c r="I5081">
        <v>1667</v>
      </c>
      <c r="J5081">
        <v>0</v>
      </c>
      <c r="K5081">
        <v>7.7195</v>
      </c>
      <c r="L5081">
        <v>12.11</v>
      </c>
      <c r="M5081">
        <v>29.013500000000001</v>
      </c>
      <c r="N5081">
        <v>10.425000000000001</v>
      </c>
      <c r="O5081">
        <v>1638</v>
      </c>
      <c r="P5081">
        <v>352</v>
      </c>
      <c r="Q5081" s="5" t="e">
        <f>IF(AND(#REF!&gt;=table!$C$6,#REF!&lt;= table!$D$6),-1,IF(AND(#REF!&gt;=table!$E$6,#REF!&lt;=table!$F$6),1,0))</f>
        <v>#REF!</v>
      </c>
      <c r="R5081" s="5" t="e">
        <f>IF(AND(#REF!&gt;=table!$C$7,#REF!&lt;= table!$D$7),-1,IF(AND(#REF!&gt;=table!$E$7,#REF!&lt;=table!$F$7),1,0))</f>
        <v>#REF!</v>
      </c>
      <c r="S5081" s="5" t="e">
        <f>IF(AND(#REF!&gt;=table!$C$8,#REF!&lt;= table!$D$8),-1,IF(AND(#REF!&gt;=table!$E$8,#REF!&lt;=table!$F$8),1,0))</f>
        <v>#REF!</v>
      </c>
      <c r="T5081" s="5"/>
      <c r="U5081" s="5" t="e">
        <f>IF(AND(#REF!&gt;=table!$C$10,#REF!&lt;= table!$D$10),-1,IF(AND(#REF!&gt;=table!$E$10,#REF!&lt;=table!$F$10),1,0))</f>
        <v>#REF!</v>
      </c>
      <c r="V5081" s="5" t="e">
        <f>IF(AND(#REF!&gt;=table!$C$11,#REF!&lt;= table!$D$11),-1,IF(AND(#REF!&gt;=table!$E$11,#REF!&lt;=table!$F$11),1,0))</f>
        <v>#REF!</v>
      </c>
      <c r="W5081" s="5" t="e">
        <f>CONCATENATE(dados[[#This Row],[fator1]],dados[[#This Row],[fator5]],dados[[#This Row],[fator6]])</f>
        <v>#REF!</v>
      </c>
    </row>
    <row r="5082" spans="1:23">
      <c r="A5082" t="s">
        <v>16</v>
      </c>
      <c r="B5082">
        <v>591837</v>
      </c>
      <c r="C5082">
        <v>9</v>
      </c>
      <c r="D5082">
        <v>40</v>
      </c>
      <c r="E5082">
        <v>46</v>
      </c>
      <c r="F5082">
        <v>15</v>
      </c>
      <c r="G5082">
        <v>0</v>
      </c>
      <c r="H5082">
        <v>25</v>
      </c>
      <c r="I5082">
        <v>921</v>
      </c>
      <c r="J5082">
        <v>0</v>
      </c>
      <c r="K5082">
        <v>5.7110000000000003</v>
      </c>
      <c r="L5082">
        <v>11.1175</v>
      </c>
      <c r="M5082">
        <v>38.832999999999998</v>
      </c>
      <c r="N5082">
        <v>16.2</v>
      </c>
      <c r="O5082">
        <v>1666</v>
      </c>
      <c r="P5082">
        <v>563</v>
      </c>
      <c r="Q5082" s="5" t="e">
        <f>IF(AND(#REF!&gt;=table!$C$6,#REF!&lt;= table!$D$6),-1,IF(AND(#REF!&gt;=table!$E$6,#REF!&lt;=table!$F$6),1,0))</f>
        <v>#REF!</v>
      </c>
      <c r="R5082" s="5" t="e">
        <f>IF(AND(#REF!&gt;=table!$C$7,#REF!&lt;= table!$D$7),-1,IF(AND(#REF!&gt;=table!$E$7,#REF!&lt;=table!$F$7),1,0))</f>
        <v>#REF!</v>
      </c>
      <c r="S5082" s="5" t="e">
        <f>IF(AND(#REF!&gt;=table!$C$8,#REF!&lt;= table!$D$8),-1,IF(AND(#REF!&gt;=table!$E$8,#REF!&lt;=table!$F$8),1,0))</f>
        <v>#REF!</v>
      </c>
      <c r="T5082" s="5"/>
      <c r="U5082" s="5" t="e">
        <f>IF(AND(#REF!&gt;=table!$C$10,#REF!&lt;= table!$D$10),-1,IF(AND(#REF!&gt;=table!$E$10,#REF!&lt;=table!$F$10),1,0))</f>
        <v>#REF!</v>
      </c>
      <c r="V5082" s="5" t="e">
        <f>IF(AND(#REF!&gt;=table!$C$11,#REF!&lt;= table!$D$11),-1,IF(AND(#REF!&gt;=table!$E$11,#REF!&lt;=table!$F$11),1,0))</f>
        <v>#REF!</v>
      </c>
      <c r="W5082" s="5" t="e">
        <f>CONCATENATE(dados[[#This Row],[fator1]],dados[[#This Row],[fator5]],dados[[#This Row],[fator6]])</f>
        <v>#REF!</v>
      </c>
    </row>
    <row r="5083" spans="1:23">
      <c r="A5083" t="s">
        <v>16</v>
      </c>
      <c r="B5083">
        <v>591841</v>
      </c>
      <c r="C5083">
        <v>9</v>
      </c>
      <c r="D5083">
        <v>27</v>
      </c>
      <c r="E5083">
        <v>36</v>
      </c>
      <c r="F5083">
        <v>8</v>
      </c>
      <c r="G5083">
        <v>0</v>
      </c>
      <c r="H5083">
        <v>25</v>
      </c>
      <c r="I5083">
        <v>607</v>
      </c>
      <c r="J5083">
        <v>0</v>
      </c>
      <c r="K5083">
        <v>2.8165</v>
      </c>
      <c r="L5083">
        <v>10.182</v>
      </c>
      <c r="M5083">
        <v>33.616</v>
      </c>
      <c r="N5083">
        <v>19.734999999999999</v>
      </c>
      <c r="O5083">
        <v>1703</v>
      </c>
      <c r="P5083">
        <v>962</v>
      </c>
      <c r="Q5083" s="5" t="e">
        <f>IF(AND(#REF!&gt;=table!$C$6,#REF!&lt;= table!$D$6),-1,IF(AND(#REF!&gt;=table!$E$6,#REF!&lt;=table!$F$6),1,0))</f>
        <v>#REF!</v>
      </c>
      <c r="R5083" s="5" t="e">
        <f>IF(AND(#REF!&gt;=table!$C$7,#REF!&lt;= table!$D$7),-1,IF(AND(#REF!&gt;=table!$E$7,#REF!&lt;=table!$F$7),1,0))</f>
        <v>#REF!</v>
      </c>
      <c r="S5083" s="5" t="e">
        <f>IF(AND(#REF!&gt;=table!$C$8,#REF!&lt;= table!$D$8),-1,IF(AND(#REF!&gt;=table!$E$8,#REF!&lt;=table!$F$8),1,0))</f>
        <v>#REF!</v>
      </c>
      <c r="T5083" s="5"/>
      <c r="U5083" s="5" t="e">
        <f>IF(AND(#REF!&gt;=table!$C$10,#REF!&lt;= table!$D$10),-1,IF(AND(#REF!&gt;=table!$E$10,#REF!&lt;=table!$F$10),1,0))</f>
        <v>#REF!</v>
      </c>
      <c r="V5083" s="5" t="e">
        <f>IF(AND(#REF!&gt;=table!$C$11,#REF!&lt;= table!$D$11),-1,IF(AND(#REF!&gt;=table!$E$11,#REF!&lt;=table!$F$11),1,0))</f>
        <v>#REF!</v>
      </c>
      <c r="W5083" s="5" t="e">
        <f>CONCATENATE(dados[[#This Row],[fator1]],dados[[#This Row],[fator5]],dados[[#This Row],[fator6]])</f>
        <v>#REF!</v>
      </c>
    </row>
    <row r="5084" spans="1:23">
      <c r="A5084" t="s">
        <v>17</v>
      </c>
      <c r="B5084">
        <v>591843</v>
      </c>
      <c r="C5084">
        <v>10</v>
      </c>
      <c r="D5084">
        <v>25</v>
      </c>
      <c r="E5084">
        <v>156</v>
      </c>
      <c r="F5084">
        <v>8</v>
      </c>
      <c r="G5084">
        <v>20</v>
      </c>
      <c r="H5084">
        <v>25</v>
      </c>
      <c r="I5084">
        <v>3</v>
      </c>
      <c r="J5084">
        <v>0</v>
      </c>
      <c r="K5084">
        <v>4.3525</v>
      </c>
      <c r="L5084">
        <v>8.5540000000000003</v>
      </c>
      <c r="M5084">
        <v>139.05100000000002</v>
      </c>
      <c r="N5084">
        <v>13.55</v>
      </c>
      <c r="O5084">
        <v>1665</v>
      </c>
      <c r="P5084">
        <v>0</v>
      </c>
      <c r="Q5084" s="5" t="e">
        <f>IF(AND(#REF!&gt;=table!$C$6,#REF!&lt;= table!$D$6),-1,IF(AND(#REF!&gt;=table!$E$6,#REF!&lt;=table!$F$6),1,0))</f>
        <v>#REF!</v>
      </c>
      <c r="R5084" s="5" t="e">
        <f>IF(AND(#REF!&gt;=table!$C$7,#REF!&lt;= table!$D$7),-1,IF(AND(#REF!&gt;=table!$E$7,#REF!&lt;=table!$F$7),1,0))</f>
        <v>#REF!</v>
      </c>
      <c r="S5084" s="5" t="e">
        <f>IF(AND(#REF!&gt;=table!$C$8,#REF!&lt;= table!$D$8),-1,IF(AND(#REF!&gt;=table!$E$8,#REF!&lt;=table!$F$8),1,0))</f>
        <v>#REF!</v>
      </c>
      <c r="T5084" s="5"/>
      <c r="U5084" s="5" t="e">
        <f>IF(AND(#REF!&gt;=table!$C$10,#REF!&lt;= table!$D$10),-1,IF(AND(#REF!&gt;=table!$E$10,#REF!&lt;=table!$F$10),1,0))</f>
        <v>#REF!</v>
      </c>
      <c r="V5084" s="5" t="e">
        <f>IF(AND(#REF!&gt;=table!$C$11,#REF!&lt;= table!$D$11),-1,IF(AND(#REF!&gt;=table!$E$11,#REF!&lt;=table!$F$11),1,0))</f>
        <v>#REF!</v>
      </c>
      <c r="W5084" s="5" t="e">
        <f>CONCATENATE(dados[[#This Row],[fator1]],dados[[#This Row],[fator5]],dados[[#This Row],[fator6]])</f>
        <v>#REF!</v>
      </c>
    </row>
    <row r="5085" spans="1:23">
      <c r="A5085" t="s">
        <v>16</v>
      </c>
      <c r="B5085">
        <v>591846</v>
      </c>
      <c r="C5085">
        <v>0.15</v>
      </c>
      <c r="D5085">
        <v>40</v>
      </c>
      <c r="E5085">
        <v>10</v>
      </c>
      <c r="F5085">
        <v>15</v>
      </c>
      <c r="G5085">
        <v>0</v>
      </c>
      <c r="H5085">
        <v>15</v>
      </c>
      <c r="I5085">
        <v>917</v>
      </c>
      <c r="J5085">
        <v>1130</v>
      </c>
      <c r="K5085">
        <v>5.6485000000000003</v>
      </c>
      <c r="L5085">
        <v>5.1630000000000003</v>
      </c>
      <c r="M5085">
        <v>3.0409999999999999</v>
      </c>
      <c r="N5085">
        <v>6.9650000000000007</v>
      </c>
      <c r="O5085">
        <v>1603</v>
      </c>
      <c r="P5085">
        <v>0</v>
      </c>
      <c r="Q5085" s="5" t="e">
        <f>IF(AND(#REF!&gt;=table!$C$6,#REF!&lt;= table!$D$6),-1,IF(AND(#REF!&gt;=table!$E$6,#REF!&lt;=table!$F$6),1,0))</f>
        <v>#REF!</v>
      </c>
      <c r="R5085" s="5" t="e">
        <f>IF(AND(#REF!&gt;=table!$C$7,#REF!&lt;= table!$D$7),-1,IF(AND(#REF!&gt;=table!$E$7,#REF!&lt;=table!$F$7),1,0))</f>
        <v>#REF!</v>
      </c>
      <c r="S5085" s="5" t="e">
        <f>IF(AND(#REF!&gt;=table!$C$8,#REF!&lt;= table!$D$8),-1,IF(AND(#REF!&gt;=table!$E$8,#REF!&lt;=table!$F$8),1,0))</f>
        <v>#REF!</v>
      </c>
      <c r="T5085" s="5"/>
      <c r="U5085" s="5" t="e">
        <f>IF(AND(#REF!&gt;=table!$C$10,#REF!&lt;= table!$D$10),-1,IF(AND(#REF!&gt;=table!$E$10,#REF!&lt;=table!$F$10),1,0))</f>
        <v>#REF!</v>
      </c>
      <c r="V5085" s="5" t="e">
        <f>IF(AND(#REF!&gt;=table!$C$11,#REF!&lt;= table!$D$11),-1,IF(AND(#REF!&gt;=table!$E$11,#REF!&lt;=table!$F$11),1,0))</f>
        <v>#REF!</v>
      </c>
      <c r="W5085" s="5" t="e">
        <f>CONCATENATE(dados[[#This Row],[fator1]],dados[[#This Row],[fator5]],dados[[#This Row],[fator6]])</f>
        <v>#REF!</v>
      </c>
    </row>
    <row r="5086" spans="1:23">
      <c r="A5086" t="s">
        <v>17</v>
      </c>
      <c r="B5086">
        <v>591849</v>
      </c>
      <c r="C5086">
        <v>10</v>
      </c>
      <c r="D5086">
        <v>25</v>
      </c>
      <c r="E5086">
        <v>156</v>
      </c>
      <c r="F5086">
        <v>8</v>
      </c>
      <c r="G5086">
        <v>20</v>
      </c>
      <c r="H5086">
        <v>25</v>
      </c>
      <c r="I5086">
        <v>623</v>
      </c>
      <c r="J5086">
        <v>0</v>
      </c>
      <c r="K5086">
        <v>4.3730000000000002</v>
      </c>
      <c r="L5086">
        <v>7.6095000000000006</v>
      </c>
      <c r="M5086">
        <v>127.74000000000001</v>
      </c>
      <c r="N5086">
        <v>17.175000000000001</v>
      </c>
      <c r="O5086">
        <v>1684</v>
      </c>
      <c r="P5086">
        <v>0</v>
      </c>
      <c r="Q5086" s="5" t="e">
        <f>IF(AND(#REF!&gt;=table!$C$6,#REF!&lt;= table!$D$6),-1,IF(AND(#REF!&gt;=table!$E$6,#REF!&lt;=table!$F$6),1,0))</f>
        <v>#REF!</v>
      </c>
      <c r="R5086" s="5" t="e">
        <f>IF(AND(#REF!&gt;=table!$C$7,#REF!&lt;= table!$D$7),-1,IF(AND(#REF!&gt;=table!$E$7,#REF!&lt;=table!$F$7),1,0))</f>
        <v>#REF!</v>
      </c>
      <c r="S5086" s="5" t="e">
        <f>IF(AND(#REF!&gt;=table!$C$8,#REF!&lt;= table!$D$8),-1,IF(AND(#REF!&gt;=table!$E$8,#REF!&lt;=table!$F$8),1,0))</f>
        <v>#REF!</v>
      </c>
      <c r="T5086" s="5"/>
      <c r="U5086" s="5" t="e">
        <f>IF(AND(#REF!&gt;=table!$C$10,#REF!&lt;= table!$D$10),-1,IF(AND(#REF!&gt;=table!$E$10,#REF!&lt;=table!$F$10),1,0))</f>
        <v>#REF!</v>
      </c>
      <c r="V5086" s="5" t="e">
        <f>IF(AND(#REF!&gt;=table!$C$11,#REF!&lt;= table!$D$11),-1,IF(AND(#REF!&gt;=table!$E$11,#REF!&lt;=table!$F$11),1,0))</f>
        <v>#REF!</v>
      </c>
      <c r="W5086" s="5" t="e">
        <f>CONCATENATE(dados[[#This Row],[fator1]],dados[[#This Row],[fator5]],dados[[#This Row],[fator6]])</f>
        <v>#REF!</v>
      </c>
    </row>
    <row r="5087" spans="1:23">
      <c r="A5087" t="s">
        <v>17</v>
      </c>
      <c r="B5087">
        <v>591850</v>
      </c>
      <c r="C5087">
        <v>10</v>
      </c>
      <c r="D5087">
        <v>25</v>
      </c>
      <c r="E5087">
        <v>156</v>
      </c>
      <c r="F5087">
        <v>8</v>
      </c>
      <c r="G5087">
        <v>20</v>
      </c>
      <c r="H5087">
        <v>25</v>
      </c>
      <c r="I5087">
        <v>22</v>
      </c>
      <c r="J5087">
        <v>0</v>
      </c>
      <c r="K5087">
        <v>3.6345000000000001</v>
      </c>
      <c r="L5087">
        <v>8.2995000000000001</v>
      </c>
      <c r="M5087">
        <v>114.461</v>
      </c>
      <c r="N5087">
        <v>19.670000000000002</v>
      </c>
      <c r="O5087">
        <v>1677</v>
      </c>
      <c r="P5087">
        <v>1289</v>
      </c>
      <c r="Q5087" s="5" t="e">
        <f>IF(AND(#REF!&gt;=table!$C$6,#REF!&lt;= table!$D$6),-1,IF(AND(#REF!&gt;=table!$E$6,#REF!&lt;=table!$F$6),1,0))</f>
        <v>#REF!</v>
      </c>
      <c r="R5087" s="5" t="e">
        <f>IF(AND(#REF!&gt;=table!$C$7,#REF!&lt;= table!$D$7),-1,IF(AND(#REF!&gt;=table!$E$7,#REF!&lt;=table!$F$7),1,0))</f>
        <v>#REF!</v>
      </c>
      <c r="S5087" s="5" t="e">
        <f>IF(AND(#REF!&gt;=table!$C$8,#REF!&lt;= table!$D$8),-1,IF(AND(#REF!&gt;=table!$E$8,#REF!&lt;=table!$F$8),1,0))</f>
        <v>#REF!</v>
      </c>
      <c r="T5087" s="5"/>
      <c r="U5087" s="5" t="e">
        <f>IF(AND(#REF!&gt;=table!$C$10,#REF!&lt;= table!$D$10),-1,IF(AND(#REF!&gt;=table!$E$10,#REF!&lt;=table!$F$10),1,0))</f>
        <v>#REF!</v>
      </c>
      <c r="V5087" s="5" t="e">
        <f>IF(AND(#REF!&gt;=table!$C$11,#REF!&lt;= table!$D$11),-1,IF(AND(#REF!&gt;=table!$E$11,#REF!&lt;=table!$F$11),1,0))</f>
        <v>#REF!</v>
      </c>
      <c r="W5087" s="5" t="e">
        <f>CONCATENATE(dados[[#This Row],[fator1]],dados[[#This Row],[fator5]],dados[[#This Row],[fator6]])</f>
        <v>#REF!</v>
      </c>
    </row>
    <row r="5088" spans="1:23">
      <c r="A5088" t="s">
        <v>16</v>
      </c>
      <c r="B5088">
        <v>591852</v>
      </c>
      <c r="C5088">
        <v>12</v>
      </c>
      <c r="D5088">
        <v>35</v>
      </c>
      <c r="E5088">
        <v>180</v>
      </c>
      <c r="F5088">
        <v>6</v>
      </c>
      <c r="G5088">
        <v>0</v>
      </c>
      <c r="H5088">
        <v>20</v>
      </c>
      <c r="I5088">
        <v>1388</v>
      </c>
      <c r="J5088">
        <v>0</v>
      </c>
      <c r="K5088">
        <v>3.4040000000000004</v>
      </c>
      <c r="L5088">
        <v>7.4460000000000006</v>
      </c>
      <c r="M5088">
        <v>128.7175</v>
      </c>
      <c r="N5088">
        <v>11.77</v>
      </c>
      <c r="O5088">
        <v>1664</v>
      </c>
      <c r="P5088">
        <v>0</v>
      </c>
      <c r="Q5088" s="5" t="e">
        <f>IF(AND(#REF!&gt;=table!$C$6,#REF!&lt;= table!$D$6),-1,IF(AND(#REF!&gt;=table!$E$6,#REF!&lt;=table!$F$6),1,0))</f>
        <v>#REF!</v>
      </c>
      <c r="R5088" s="5" t="e">
        <f>IF(AND(#REF!&gt;=table!$C$7,#REF!&lt;= table!$D$7),-1,IF(AND(#REF!&gt;=table!$E$7,#REF!&lt;=table!$F$7),1,0))</f>
        <v>#REF!</v>
      </c>
      <c r="S5088" s="5" t="e">
        <f>IF(AND(#REF!&gt;=table!$C$8,#REF!&lt;= table!$D$8),-1,IF(AND(#REF!&gt;=table!$E$8,#REF!&lt;=table!$F$8),1,0))</f>
        <v>#REF!</v>
      </c>
      <c r="T5088" s="5"/>
      <c r="U5088" s="5" t="e">
        <f>IF(AND(#REF!&gt;=table!$C$10,#REF!&lt;= table!$D$10),-1,IF(AND(#REF!&gt;=table!$E$10,#REF!&lt;=table!$F$10),1,0))</f>
        <v>#REF!</v>
      </c>
      <c r="V5088" s="5" t="e">
        <f>IF(AND(#REF!&gt;=table!$C$11,#REF!&lt;= table!$D$11),-1,IF(AND(#REF!&gt;=table!$E$11,#REF!&lt;=table!$F$11),1,0))</f>
        <v>#REF!</v>
      </c>
      <c r="W5088" s="5" t="e">
        <f>CONCATENATE(dados[[#This Row],[fator1]],dados[[#This Row],[fator5]],dados[[#This Row],[fator6]])</f>
        <v>#REF!</v>
      </c>
    </row>
    <row r="5089" spans="1:23">
      <c r="A5089" t="s">
        <v>16</v>
      </c>
      <c r="B5089">
        <v>591853</v>
      </c>
      <c r="C5089">
        <v>12</v>
      </c>
      <c r="D5089">
        <v>35</v>
      </c>
      <c r="E5089">
        <v>180</v>
      </c>
      <c r="F5089">
        <v>6</v>
      </c>
      <c r="G5089">
        <v>0</v>
      </c>
      <c r="H5089">
        <v>20</v>
      </c>
      <c r="I5089">
        <v>463</v>
      </c>
      <c r="J5089">
        <v>0</v>
      </c>
      <c r="K5089">
        <v>5.9190000000000005</v>
      </c>
      <c r="L5089">
        <v>7.8795000000000002</v>
      </c>
      <c r="M5089">
        <v>156.76650000000001</v>
      </c>
      <c r="N5089">
        <v>9.8049999999999997</v>
      </c>
      <c r="O5089">
        <v>1671</v>
      </c>
      <c r="P5089">
        <v>0</v>
      </c>
      <c r="Q5089" s="5" t="e">
        <f>IF(AND(#REF!&gt;=table!$C$6,#REF!&lt;= table!$D$6),-1,IF(AND(#REF!&gt;=table!$E$6,#REF!&lt;=table!$F$6),1,0))</f>
        <v>#REF!</v>
      </c>
      <c r="R5089" s="5" t="e">
        <f>IF(AND(#REF!&gt;=table!$C$7,#REF!&lt;= table!$D$7),-1,IF(AND(#REF!&gt;=table!$E$7,#REF!&lt;=table!$F$7),1,0))</f>
        <v>#REF!</v>
      </c>
      <c r="S5089" s="5" t="e">
        <f>IF(AND(#REF!&gt;=table!$C$8,#REF!&lt;= table!$D$8),-1,IF(AND(#REF!&gt;=table!$E$8,#REF!&lt;=table!$F$8),1,0))</f>
        <v>#REF!</v>
      </c>
      <c r="T5089" s="5"/>
      <c r="U5089" s="5" t="e">
        <f>IF(AND(#REF!&gt;=table!$C$10,#REF!&lt;= table!$D$10),-1,IF(AND(#REF!&gt;=table!$E$10,#REF!&lt;=table!$F$10),1,0))</f>
        <v>#REF!</v>
      </c>
      <c r="V5089" s="5" t="e">
        <f>IF(AND(#REF!&gt;=table!$C$11,#REF!&lt;= table!$D$11),-1,IF(AND(#REF!&gt;=table!$E$11,#REF!&lt;=table!$F$11),1,0))</f>
        <v>#REF!</v>
      </c>
      <c r="W5089" s="5" t="e">
        <f>CONCATENATE(dados[[#This Row],[fator1]],dados[[#This Row],[fator5]],dados[[#This Row],[fator6]])</f>
        <v>#REF!</v>
      </c>
    </row>
    <row r="5090" spans="1:23">
      <c r="A5090" t="s">
        <v>16</v>
      </c>
      <c r="B5090">
        <v>591854</v>
      </c>
      <c r="C5090">
        <v>12</v>
      </c>
      <c r="D5090">
        <v>35</v>
      </c>
      <c r="E5090">
        <v>180</v>
      </c>
      <c r="F5090">
        <v>6</v>
      </c>
      <c r="G5090">
        <v>0</v>
      </c>
      <c r="H5090">
        <v>20</v>
      </c>
      <c r="I5090">
        <v>4</v>
      </c>
      <c r="J5090">
        <v>0</v>
      </c>
      <c r="K5090">
        <v>4.6115000000000004</v>
      </c>
      <c r="L5090">
        <v>9.3375000000000004</v>
      </c>
      <c r="M5090">
        <v>99.166000000000011</v>
      </c>
      <c r="N5090">
        <v>12.120000000000001</v>
      </c>
      <c r="O5090">
        <v>1673</v>
      </c>
      <c r="P5090">
        <v>655</v>
      </c>
      <c r="Q5090" s="5" t="e">
        <f>IF(AND(#REF!&gt;=table!$C$6,#REF!&lt;= table!$D$6),-1,IF(AND(#REF!&gt;=table!$E$6,#REF!&lt;=table!$F$6),1,0))</f>
        <v>#REF!</v>
      </c>
      <c r="R5090" s="5" t="e">
        <f>IF(AND(#REF!&gt;=table!$C$7,#REF!&lt;= table!$D$7),-1,IF(AND(#REF!&gt;=table!$E$7,#REF!&lt;=table!$F$7),1,0))</f>
        <v>#REF!</v>
      </c>
      <c r="S5090" s="5" t="e">
        <f>IF(AND(#REF!&gt;=table!$C$8,#REF!&lt;= table!$D$8),-1,IF(AND(#REF!&gt;=table!$E$8,#REF!&lt;=table!$F$8),1,0))</f>
        <v>#REF!</v>
      </c>
      <c r="T5090" s="5"/>
      <c r="U5090" s="5" t="e">
        <f>IF(AND(#REF!&gt;=table!$C$10,#REF!&lt;= table!$D$10),-1,IF(AND(#REF!&gt;=table!$E$10,#REF!&lt;=table!$F$10),1,0))</f>
        <v>#REF!</v>
      </c>
      <c r="V5090" s="5" t="e">
        <f>IF(AND(#REF!&gt;=table!$C$11,#REF!&lt;= table!$D$11),-1,IF(AND(#REF!&gt;=table!$E$11,#REF!&lt;=table!$F$11),1,0))</f>
        <v>#REF!</v>
      </c>
      <c r="W5090" s="5" t="e">
        <f>CONCATENATE(dados[[#This Row],[fator1]],dados[[#This Row],[fator5]],dados[[#This Row],[fator6]])</f>
        <v>#REF!</v>
      </c>
    </row>
    <row r="5091" spans="1:23">
      <c r="A5091" t="s">
        <v>16</v>
      </c>
      <c r="B5091">
        <v>591855</v>
      </c>
      <c r="C5091">
        <v>0.18</v>
      </c>
      <c r="D5091">
        <v>50</v>
      </c>
      <c r="E5091">
        <v>56</v>
      </c>
      <c r="F5091">
        <v>15</v>
      </c>
      <c r="G5091">
        <v>0</v>
      </c>
      <c r="H5091">
        <v>50</v>
      </c>
      <c r="I5091">
        <v>44</v>
      </c>
      <c r="J5091">
        <v>0</v>
      </c>
      <c r="K5091">
        <v>4.0030000000000001</v>
      </c>
      <c r="L5091">
        <v>10.763</v>
      </c>
      <c r="M5091">
        <v>9.2650000000000006</v>
      </c>
      <c r="N5091">
        <v>20.22</v>
      </c>
      <c r="O5091">
        <v>1708</v>
      </c>
      <c r="P5091">
        <v>0</v>
      </c>
      <c r="Q5091" s="5" t="e">
        <f>IF(AND(#REF!&gt;=table!$C$6,#REF!&lt;= table!$D$6),-1,IF(AND(#REF!&gt;=table!$E$6,#REF!&lt;=table!$F$6),1,0))</f>
        <v>#REF!</v>
      </c>
      <c r="R5091" s="5" t="e">
        <f>IF(AND(#REF!&gt;=table!$C$7,#REF!&lt;= table!$D$7),-1,IF(AND(#REF!&gt;=table!$E$7,#REF!&lt;=table!$F$7),1,0))</f>
        <v>#REF!</v>
      </c>
      <c r="S5091" s="5" t="e">
        <f>IF(AND(#REF!&gt;=table!$C$8,#REF!&lt;= table!$D$8),-1,IF(AND(#REF!&gt;=table!$E$8,#REF!&lt;=table!$F$8),1,0))</f>
        <v>#REF!</v>
      </c>
      <c r="T5091" s="5"/>
      <c r="U5091" s="5" t="e">
        <f>IF(AND(#REF!&gt;=table!$C$10,#REF!&lt;= table!$D$10),-1,IF(AND(#REF!&gt;=table!$E$10,#REF!&lt;=table!$F$10),1,0))</f>
        <v>#REF!</v>
      </c>
      <c r="V5091" s="5" t="e">
        <f>IF(AND(#REF!&gt;=table!$C$11,#REF!&lt;= table!$D$11),-1,IF(AND(#REF!&gt;=table!$E$11,#REF!&lt;=table!$F$11),1,0))</f>
        <v>#REF!</v>
      </c>
      <c r="W5091" s="5" t="e">
        <f>CONCATENATE(dados[[#This Row],[fator1]],dados[[#This Row],[fator5]],dados[[#This Row],[fator6]])</f>
        <v>#REF!</v>
      </c>
    </row>
    <row r="5092" spans="1:23">
      <c r="A5092" t="s">
        <v>16</v>
      </c>
      <c r="B5092">
        <v>591860</v>
      </c>
      <c r="C5092">
        <v>0.15</v>
      </c>
      <c r="D5092">
        <v>40</v>
      </c>
      <c r="E5092">
        <v>10</v>
      </c>
      <c r="F5092">
        <v>15</v>
      </c>
      <c r="G5092">
        <v>0</v>
      </c>
      <c r="H5092">
        <v>15</v>
      </c>
      <c r="I5092">
        <v>801</v>
      </c>
      <c r="J5092">
        <v>890</v>
      </c>
      <c r="K5092">
        <v>5.7709999999999999</v>
      </c>
      <c r="L5092">
        <v>4.8515000000000006</v>
      </c>
      <c r="M5092">
        <v>4.1455000000000002</v>
      </c>
      <c r="N5092">
        <v>10.25</v>
      </c>
      <c r="O5092">
        <v>1598</v>
      </c>
      <c r="P5092">
        <v>0</v>
      </c>
      <c r="Q5092" s="5" t="e">
        <f>IF(AND(#REF!&gt;=table!$C$6,#REF!&lt;= table!$D$6),-1,IF(AND(#REF!&gt;=table!$E$6,#REF!&lt;=table!$F$6),1,0))</f>
        <v>#REF!</v>
      </c>
      <c r="R5092" s="5" t="e">
        <f>IF(AND(#REF!&gt;=table!$C$7,#REF!&lt;= table!$D$7),-1,IF(AND(#REF!&gt;=table!$E$7,#REF!&lt;=table!$F$7),1,0))</f>
        <v>#REF!</v>
      </c>
      <c r="S5092" s="5" t="e">
        <f>IF(AND(#REF!&gt;=table!$C$8,#REF!&lt;= table!$D$8),-1,IF(AND(#REF!&gt;=table!$E$8,#REF!&lt;=table!$F$8),1,0))</f>
        <v>#REF!</v>
      </c>
      <c r="T5092" s="5"/>
      <c r="U5092" s="5" t="e">
        <f>IF(AND(#REF!&gt;=table!$C$10,#REF!&lt;= table!$D$10),-1,IF(AND(#REF!&gt;=table!$E$10,#REF!&lt;=table!$F$10),1,0))</f>
        <v>#REF!</v>
      </c>
      <c r="V5092" s="5" t="e">
        <f>IF(AND(#REF!&gt;=table!$C$11,#REF!&lt;= table!$D$11),-1,IF(AND(#REF!&gt;=table!$E$11,#REF!&lt;=table!$F$11),1,0))</f>
        <v>#REF!</v>
      </c>
      <c r="W5092" s="5" t="e">
        <f>CONCATENATE(dados[[#This Row],[fator1]],dados[[#This Row],[fator5]],dados[[#This Row],[fator6]])</f>
        <v>#REF!</v>
      </c>
    </row>
    <row r="5093" spans="1:23">
      <c r="A5093" t="s">
        <v>16</v>
      </c>
      <c r="B5093">
        <v>591871</v>
      </c>
      <c r="C5093">
        <v>8</v>
      </c>
      <c r="D5093">
        <v>40</v>
      </c>
      <c r="E5093">
        <v>86</v>
      </c>
      <c r="F5093">
        <v>6</v>
      </c>
      <c r="G5093">
        <v>0</v>
      </c>
      <c r="H5093">
        <v>20</v>
      </c>
      <c r="I5093">
        <v>2</v>
      </c>
      <c r="J5093">
        <v>0</v>
      </c>
      <c r="K5093">
        <v>2.5235000000000003</v>
      </c>
      <c r="L5093">
        <v>8.3905000000000012</v>
      </c>
      <c r="M5093">
        <v>68.498000000000005</v>
      </c>
      <c r="N5093">
        <v>13.255000000000001</v>
      </c>
      <c r="O5093">
        <v>1682</v>
      </c>
      <c r="P5093">
        <v>0</v>
      </c>
      <c r="Q5093" s="5" t="e">
        <f>IF(AND(#REF!&gt;=table!$C$6,#REF!&lt;= table!$D$6),-1,IF(AND(#REF!&gt;=table!$E$6,#REF!&lt;=table!$F$6),1,0))</f>
        <v>#REF!</v>
      </c>
      <c r="R5093" s="5" t="e">
        <f>IF(AND(#REF!&gt;=table!$C$7,#REF!&lt;= table!$D$7),-1,IF(AND(#REF!&gt;=table!$E$7,#REF!&lt;=table!$F$7),1,0))</f>
        <v>#REF!</v>
      </c>
      <c r="S5093" s="5" t="e">
        <f>IF(AND(#REF!&gt;=table!$C$8,#REF!&lt;= table!$D$8),-1,IF(AND(#REF!&gt;=table!$E$8,#REF!&lt;=table!$F$8),1,0))</f>
        <v>#REF!</v>
      </c>
      <c r="T5093" s="5"/>
      <c r="U5093" s="5" t="e">
        <f>IF(AND(#REF!&gt;=table!$C$10,#REF!&lt;= table!$D$10),-1,IF(AND(#REF!&gt;=table!$E$10,#REF!&lt;=table!$F$10),1,0))</f>
        <v>#REF!</v>
      </c>
      <c r="V5093" s="5" t="e">
        <f>IF(AND(#REF!&gt;=table!$C$11,#REF!&lt;= table!$D$11),-1,IF(AND(#REF!&gt;=table!$E$11,#REF!&lt;=table!$F$11),1,0))</f>
        <v>#REF!</v>
      </c>
      <c r="W5093" s="5" t="e">
        <f>CONCATENATE(dados[[#This Row],[fator1]],dados[[#This Row],[fator5]],dados[[#This Row],[fator6]])</f>
        <v>#REF!</v>
      </c>
    </row>
    <row r="5094" spans="1:23">
      <c r="A5094" t="s">
        <v>16</v>
      </c>
      <c r="B5094">
        <v>591873</v>
      </c>
      <c r="C5094">
        <v>0.1</v>
      </c>
      <c r="D5094">
        <v>40</v>
      </c>
      <c r="E5094">
        <v>10</v>
      </c>
      <c r="F5094">
        <v>8</v>
      </c>
      <c r="G5094">
        <v>0</v>
      </c>
      <c r="H5094">
        <v>10</v>
      </c>
      <c r="I5094">
        <v>808</v>
      </c>
      <c r="J5094">
        <v>0</v>
      </c>
      <c r="K5094">
        <v>5.8705000000000007</v>
      </c>
      <c r="L5094">
        <v>10.259</v>
      </c>
      <c r="M5094">
        <v>9.2405000000000008</v>
      </c>
      <c r="N5094">
        <v>15.780000000000001</v>
      </c>
      <c r="O5094">
        <v>1688</v>
      </c>
      <c r="P5094">
        <v>800</v>
      </c>
      <c r="Q5094" s="5" t="e">
        <f>IF(AND(#REF!&gt;=table!$C$6,#REF!&lt;= table!$D$6),-1,IF(AND(#REF!&gt;=table!$E$6,#REF!&lt;=table!$F$6),1,0))</f>
        <v>#REF!</v>
      </c>
      <c r="R5094" s="5" t="e">
        <f>IF(AND(#REF!&gt;=table!$C$7,#REF!&lt;= table!$D$7),-1,IF(AND(#REF!&gt;=table!$E$7,#REF!&lt;=table!$F$7),1,0))</f>
        <v>#REF!</v>
      </c>
      <c r="S5094" s="5" t="e">
        <f>IF(AND(#REF!&gt;=table!$C$8,#REF!&lt;= table!$D$8),-1,IF(AND(#REF!&gt;=table!$E$8,#REF!&lt;=table!$F$8),1,0))</f>
        <v>#REF!</v>
      </c>
      <c r="T5094" s="5"/>
      <c r="U5094" s="5" t="e">
        <f>IF(AND(#REF!&gt;=table!$C$10,#REF!&lt;= table!$D$10),-1,IF(AND(#REF!&gt;=table!$E$10,#REF!&lt;=table!$F$10),1,0))</f>
        <v>#REF!</v>
      </c>
      <c r="V5094" s="5" t="e">
        <f>IF(AND(#REF!&gt;=table!$C$11,#REF!&lt;= table!$D$11),-1,IF(AND(#REF!&gt;=table!$E$11,#REF!&lt;=table!$F$11),1,0))</f>
        <v>#REF!</v>
      </c>
      <c r="W5094" s="5" t="e">
        <f>CONCATENATE(dados[[#This Row],[fator1]],dados[[#This Row],[fator5]],dados[[#This Row],[fator6]])</f>
        <v>#REF!</v>
      </c>
    </row>
    <row r="5095" spans="1:23">
      <c r="A5095" t="s">
        <v>16</v>
      </c>
      <c r="B5095">
        <v>591874</v>
      </c>
      <c r="C5095">
        <v>0.1</v>
      </c>
      <c r="D5095">
        <v>40</v>
      </c>
      <c r="E5095">
        <v>10</v>
      </c>
      <c r="F5095">
        <v>8</v>
      </c>
      <c r="G5095">
        <v>0</v>
      </c>
      <c r="H5095">
        <v>10</v>
      </c>
      <c r="I5095">
        <v>20</v>
      </c>
      <c r="J5095">
        <v>0</v>
      </c>
      <c r="K5095">
        <v>5.8135000000000003</v>
      </c>
      <c r="L5095">
        <v>12.219000000000001</v>
      </c>
      <c r="M5095">
        <v>9.6790000000000003</v>
      </c>
      <c r="N5095">
        <v>12.665000000000001</v>
      </c>
      <c r="O5095">
        <v>1694</v>
      </c>
      <c r="P5095">
        <v>646</v>
      </c>
      <c r="Q5095" s="5" t="e">
        <f>IF(AND(#REF!&gt;=table!$C$6,#REF!&lt;= table!$D$6),-1,IF(AND(#REF!&gt;=table!$E$6,#REF!&lt;=table!$F$6),1,0))</f>
        <v>#REF!</v>
      </c>
      <c r="R5095" s="5" t="e">
        <f>IF(AND(#REF!&gt;=table!$C$7,#REF!&lt;= table!$D$7),-1,IF(AND(#REF!&gt;=table!$E$7,#REF!&lt;=table!$F$7),1,0))</f>
        <v>#REF!</v>
      </c>
      <c r="S5095" s="5" t="e">
        <f>IF(AND(#REF!&gt;=table!$C$8,#REF!&lt;= table!$D$8),-1,IF(AND(#REF!&gt;=table!$E$8,#REF!&lt;=table!$F$8),1,0))</f>
        <v>#REF!</v>
      </c>
      <c r="T5095" s="5"/>
      <c r="U5095" s="5" t="e">
        <f>IF(AND(#REF!&gt;=table!$C$10,#REF!&lt;= table!$D$10),-1,IF(AND(#REF!&gt;=table!$E$10,#REF!&lt;=table!$F$10),1,0))</f>
        <v>#REF!</v>
      </c>
      <c r="V5095" s="5" t="e">
        <f>IF(AND(#REF!&gt;=table!$C$11,#REF!&lt;= table!$D$11),-1,IF(AND(#REF!&gt;=table!$E$11,#REF!&lt;=table!$F$11),1,0))</f>
        <v>#REF!</v>
      </c>
      <c r="W5095" s="5" t="e">
        <f>CONCATENATE(dados[[#This Row],[fator1]],dados[[#This Row],[fator5]],dados[[#This Row],[fator6]])</f>
        <v>#REF!</v>
      </c>
    </row>
    <row r="5096" spans="1:23">
      <c r="A5096" t="s">
        <v>16</v>
      </c>
      <c r="B5096">
        <v>591878</v>
      </c>
      <c r="C5096">
        <v>0.15</v>
      </c>
      <c r="D5096">
        <v>40</v>
      </c>
      <c r="E5096">
        <v>10</v>
      </c>
      <c r="F5096">
        <v>15</v>
      </c>
      <c r="G5096">
        <v>0</v>
      </c>
      <c r="H5096">
        <v>15</v>
      </c>
      <c r="I5096">
        <v>368</v>
      </c>
      <c r="J5096">
        <v>0</v>
      </c>
      <c r="K5096">
        <v>2.1510000000000002</v>
      </c>
      <c r="L5096">
        <v>8.0739999999999998</v>
      </c>
      <c r="M5096">
        <v>6.6360000000000001</v>
      </c>
      <c r="N5096">
        <v>16.05</v>
      </c>
      <c r="O5096">
        <v>1687</v>
      </c>
      <c r="P5096">
        <v>0</v>
      </c>
      <c r="Q5096" s="5" t="e">
        <f>IF(AND(#REF!&gt;=table!$C$6,#REF!&lt;= table!$D$6),-1,IF(AND(#REF!&gt;=table!$E$6,#REF!&lt;=table!$F$6),1,0))</f>
        <v>#REF!</v>
      </c>
      <c r="R5096" s="5" t="e">
        <f>IF(AND(#REF!&gt;=table!$C$7,#REF!&lt;= table!$D$7),-1,IF(AND(#REF!&gt;=table!$E$7,#REF!&lt;=table!$F$7),1,0))</f>
        <v>#REF!</v>
      </c>
      <c r="S5096" s="5" t="e">
        <f>IF(AND(#REF!&gt;=table!$C$8,#REF!&lt;= table!$D$8),-1,IF(AND(#REF!&gt;=table!$E$8,#REF!&lt;=table!$F$8),1,0))</f>
        <v>#REF!</v>
      </c>
      <c r="T5096" s="5"/>
      <c r="U5096" s="5" t="e">
        <f>IF(AND(#REF!&gt;=table!$C$10,#REF!&lt;= table!$D$10),-1,IF(AND(#REF!&gt;=table!$E$10,#REF!&lt;=table!$F$10),1,0))</f>
        <v>#REF!</v>
      </c>
      <c r="V5096" s="5" t="e">
        <f>IF(AND(#REF!&gt;=table!$C$11,#REF!&lt;= table!$D$11),-1,IF(AND(#REF!&gt;=table!$E$11,#REF!&lt;=table!$F$11),1,0))</f>
        <v>#REF!</v>
      </c>
      <c r="W5096" s="5" t="e">
        <f>CONCATENATE(dados[[#This Row],[fator1]],dados[[#This Row],[fator5]],dados[[#This Row],[fator6]])</f>
        <v>#REF!</v>
      </c>
    </row>
    <row r="5097" spans="1:23">
      <c r="A5097" t="s">
        <v>16</v>
      </c>
      <c r="B5097">
        <v>591884</v>
      </c>
      <c r="C5097">
        <v>10</v>
      </c>
      <c r="D5097">
        <v>40</v>
      </c>
      <c r="E5097">
        <v>96</v>
      </c>
      <c r="F5097">
        <v>8</v>
      </c>
      <c r="G5097">
        <v>0</v>
      </c>
      <c r="H5097">
        <v>25</v>
      </c>
      <c r="I5097">
        <v>613</v>
      </c>
      <c r="J5097">
        <v>0</v>
      </c>
      <c r="K5097">
        <v>2.5010000000000003</v>
      </c>
      <c r="L5097">
        <v>6.3029999999999999</v>
      </c>
      <c r="M5097">
        <v>76.778000000000006</v>
      </c>
      <c r="N5097">
        <v>20.92</v>
      </c>
      <c r="O5097">
        <v>1686</v>
      </c>
      <c r="P5097">
        <v>1468</v>
      </c>
      <c r="Q5097" s="5" t="e">
        <f>IF(AND(#REF!&gt;=table!$C$6,#REF!&lt;= table!$D$6),-1,IF(AND(#REF!&gt;=table!$E$6,#REF!&lt;=table!$F$6),1,0))</f>
        <v>#REF!</v>
      </c>
      <c r="R5097" s="5" t="e">
        <f>IF(AND(#REF!&gt;=table!$C$7,#REF!&lt;= table!$D$7),-1,IF(AND(#REF!&gt;=table!$E$7,#REF!&lt;=table!$F$7),1,0))</f>
        <v>#REF!</v>
      </c>
      <c r="S5097" s="5" t="e">
        <f>IF(AND(#REF!&gt;=table!$C$8,#REF!&lt;= table!$D$8),-1,IF(AND(#REF!&gt;=table!$E$8,#REF!&lt;=table!$F$8),1,0))</f>
        <v>#REF!</v>
      </c>
      <c r="T5097" s="5"/>
      <c r="U5097" s="5" t="e">
        <f>IF(AND(#REF!&gt;=table!$C$10,#REF!&lt;= table!$D$10),-1,IF(AND(#REF!&gt;=table!$E$10,#REF!&lt;=table!$F$10),1,0))</f>
        <v>#REF!</v>
      </c>
      <c r="V5097" s="5" t="e">
        <f>IF(AND(#REF!&gt;=table!$C$11,#REF!&lt;= table!$D$11),-1,IF(AND(#REF!&gt;=table!$E$11,#REF!&lt;=table!$F$11),1,0))</f>
        <v>#REF!</v>
      </c>
      <c r="W5097" s="5" t="e">
        <f>CONCATENATE(dados[[#This Row],[fator1]],dados[[#This Row],[fator5]],dados[[#This Row],[fator6]])</f>
        <v>#REF!</v>
      </c>
    </row>
    <row r="5098" spans="1:23">
      <c r="A5098" t="s">
        <v>16</v>
      </c>
      <c r="B5098">
        <v>591889</v>
      </c>
      <c r="C5098">
        <v>8</v>
      </c>
      <c r="D5098">
        <v>40</v>
      </c>
      <c r="E5098">
        <v>86</v>
      </c>
      <c r="F5098">
        <v>9</v>
      </c>
      <c r="G5098">
        <v>0</v>
      </c>
      <c r="H5098">
        <v>25</v>
      </c>
      <c r="I5098">
        <v>973</v>
      </c>
      <c r="J5098">
        <v>0</v>
      </c>
      <c r="K5098">
        <v>4.556</v>
      </c>
      <c r="L5098">
        <v>6.7760000000000007</v>
      </c>
      <c r="M5098">
        <v>81.451000000000008</v>
      </c>
      <c r="N5098">
        <v>14.540000000000001</v>
      </c>
      <c r="O5098">
        <v>1659</v>
      </c>
      <c r="P5098">
        <v>810</v>
      </c>
      <c r="Q5098" s="5" t="e">
        <f>IF(AND(#REF!&gt;=table!$C$6,#REF!&lt;= table!$D$6),-1,IF(AND(#REF!&gt;=table!$E$6,#REF!&lt;=table!$F$6),1,0))</f>
        <v>#REF!</v>
      </c>
      <c r="R5098" s="5" t="e">
        <f>IF(AND(#REF!&gt;=table!$C$7,#REF!&lt;= table!$D$7),-1,IF(AND(#REF!&gt;=table!$E$7,#REF!&lt;=table!$F$7),1,0))</f>
        <v>#REF!</v>
      </c>
      <c r="S5098" s="5" t="e">
        <f>IF(AND(#REF!&gt;=table!$C$8,#REF!&lt;= table!$D$8),-1,IF(AND(#REF!&gt;=table!$E$8,#REF!&lt;=table!$F$8),1,0))</f>
        <v>#REF!</v>
      </c>
      <c r="T5098" s="5"/>
      <c r="U5098" s="5" t="e">
        <f>IF(AND(#REF!&gt;=table!$C$10,#REF!&lt;= table!$D$10),-1,IF(AND(#REF!&gt;=table!$E$10,#REF!&lt;=table!$F$10),1,0))</f>
        <v>#REF!</v>
      </c>
      <c r="V5098" s="5" t="e">
        <f>IF(AND(#REF!&gt;=table!$C$11,#REF!&lt;= table!$D$11),-1,IF(AND(#REF!&gt;=table!$E$11,#REF!&lt;=table!$F$11),1,0))</f>
        <v>#REF!</v>
      </c>
      <c r="W5098" s="5" t="e">
        <f>CONCATENATE(dados[[#This Row],[fator1]],dados[[#This Row],[fator5]],dados[[#This Row],[fator6]])</f>
        <v>#REF!</v>
      </c>
    </row>
    <row r="5099" spans="1:23">
      <c r="A5099" t="s">
        <v>16</v>
      </c>
      <c r="B5099">
        <v>591892</v>
      </c>
      <c r="C5099">
        <v>8</v>
      </c>
      <c r="D5099">
        <v>40</v>
      </c>
      <c r="E5099">
        <v>86</v>
      </c>
      <c r="F5099">
        <v>9</v>
      </c>
      <c r="G5099">
        <v>0</v>
      </c>
      <c r="H5099">
        <v>25</v>
      </c>
      <c r="I5099">
        <v>0</v>
      </c>
      <c r="J5099">
        <v>0</v>
      </c>
      <c r="K5099">
        <v>5.0375000000000005</v>
      </c>
      <c r="L5099">
        <v>8.8324999999999996</v>
      </c>
      <c r="M5099">
        <v>83.56450000000001</v>
      </c>
      <c r="N5099">
        <v>17.824999999999999</v>
      </c>
      <c r="O5099">
        <v>1686</v>
      </c>
      <c r="P5099">
        <v>0</v>
      </c>
      <c r="Q5099" s="5" t="e">
        <f>IF(AND(#REF!&gt;=table!$C$6,#REF!&lt;= table!$D$6),-1,IF(AND(#REF!&gt;=table!$E$6,#REF!&lt;=table!$F$6),1,0))</f>
        <v>#REF!</v>
      </c>
      <c r="R5099" s="5" t="e">
        <f>IF(AND(#REF!&gt;=table!$C$7,#REF!&lt;= table!$D$7),-1,IF(AND(#REF!&gt;=table!$E$7,#REF!&lt;=table!$F$7),1,0))</f>
        <v>#REF!</v>
      </c>
      <c r="S5099" s="5" t="e">
        <f>IF(AND(#REF!&gt;=table!$C$8,#REF!&lt;= table!$D$8),-1,IF(AND(#REF!&gt;=table!$E$8,#REF!&lt;=table!$F$8),1,0))</f>
        <v>#REF!</v>
      </c>
      <c r="T5099" s="5"/>
      <c r="U5099" s="5" t="e">
        <f>IF(AND(#REF!&gt;=table!$C$10,#REF!&lt;= table!$D$10),-1,IF(AND(#REF!&gt;=table!$E$10,#REF!&lt;=table!$F$10),1,0))</f>
        <v>#REF!</v>
      </c>
      <c r="V5099" s="5" t="e">
        <f>IF(AND(#REF!&gt;=table!$C$11,#REF!&lt;= table!$D$11),-1,IF(AND(#REF!&gt;=table!$E$11,#REF!&lt;=table!$F$11),1,0))</f>
        <v>#REF!</v>
      </c>
      <c r="W5099" s="5" t="e">
        <f>CONCATENATE(dados[[#This Row],[fator1]],dados[[#This Row],[fator5]],dados[[#This Row],[fator6]])</f>
        <v>#REF!</v>
      </c>
    </row>
    <row r="5100" spans="1:23">
      <c r="A5100" t="s">
        <v>16</v>
      </c>
      <c r="B5100">
        <v>591898</v>
      </c>
      <c r="C5100">
        <v>17</v>
      </c>
      <c r="D5100">
        <v>55</v>
      </c>
      <c r="E5100">
        <v>75</v>
      </c>
      <c r="F5100">
        <v>15</v>
      </c>
      <c r="G5100">
        <v>0</v>
      </c>
      <c r="H5100">
        <v>20</v>
      </c>
      <c r="I5100">
        <v>4</v>
      </c>
      <c r="J5100">
        <v>760</v>
      </c>
      <c r="K5100">
        <v>11.114500000000001</v>
      </c>
      <c r="L5100">
        <v>14.070500000000001</v>
      </c>
      <c r="M5100">
        <v>47.624000000000002</v>
      </c>
      <c r="N5100">
        <v>13.625</v>
      </c>
      <c r="O5100">
        <v>1660</v>
      </c>
      <c r="P5100">
        <v>0</v>
      </c>
      <c r="Q5100" s="5" t="e">
        <f>IF(AND(#REF!&gt;=table!$C$6,#REF!&lt;= table!$D$6),-1,IF(AND(#REF!&gt;=table!$E$6,#REF!&lt;=table!$F$6),1,0))</f>
        <v>#REF!</v>
      </c>
      <c r="R5100" s="5" t="e">
        <f>IF(AND(#REF!&gt;=table!$C$7,#REF!&lt;= table!$D$7),-1,IF(AND(#REF!&gt;=table!$E$7,#REF!&lt;=table!$F$7),1,0))</f>
        <v>#REF!</v>
      </c>
      <c r="S5100" s="5" t="e">
        <f>IF(AND(#REF!&gt;=table!$C$8,#REF!&lt;= table!$D$8),-1,IF(AND(#REF!&gt;=table!$E$8,#REF!&lt;=table!$F$8),1,0))</f>
        <v>#REF!</v>
      </c>
      <c r="T5100" s="5"/>
      <c r="U5100" s="5" t="e">
        <f>IF(AND(#REF!&gt;=table!$C$10,#REF!&lt;= table!$D$10),-1,IF(AND(#REF!&gt;=table!$E$10,#REF!&lt;=table!$F$10),1,0))</f>
        <v>#REF!</v>
      </c>
      <c r="V5100" s="5" t="e">
        <f>IF(AND(#REF!&gt;=table!$C$11,#REF!&lt;= table!$D$11),-1,IF(AND(#REF!&gt;=table!$E$11,#REF!&lt;=table!$F$11),1,0))</f>
        <v>#REF!</v>
      </c>
      <c r="W5100" s="5" t="e">
        <f>CONCATENATE(dados[[#This Row],[fator1]],dados[[#This Row],[fator5]],dados[[#This Row],[fator6]])</f>
        <v>#REF!</v>
      </c>
    </row>
    <row r="5101" spans="1:23">
      <c r="A5101" t="s">
        <v>17</v>
      </c>
      <c r="B5101">
        <v>591900</v>
      </c>
      <c r="C5101">
        <v>0.15</v>
      </c>
      <c r="D5101">
        <v>40</v>
      </c>
      <c r="E5101">
        <v>105</v>
      </c>
      <c r="F5101">
        <v>10</v>
      </c>
      <c r="G5101">
        <v>10</v>
      </c>
      <c r="H5101">
        <v>80</v>
      </c>
      <c r="I5101">
        <v>611</v>
      </c>
      <c r="J5101">
        <v>0</v>
      </c>
      <c r="K5101">
        <v>4.2540000000000004</v>
      </c>
      <c r="L5101">
        <v>15.268500000000001</v>
      </c>
      <c r="M5101">
        <v>12.202</v>
      </c>
      <c r="N5101">
        <v>20.51</v>
      </c>
      <c r="O5101">
        <v>1691</v>
      </c>
      <c r="P5101">
        <v>0</v>
      </c>
      <c r="Q5101" s="5" t="e">
        <f>IF(AND(#REF!&gt;=table!$C$6,#REF!&lt;= table!$D$6),-1,IF(AND(#REF!&gt;=table!$E$6,#REF!&lt;=table!$F$6),1,0))</f>
        <v>#REF!</v>
      </c>
      <c r="R5101" s="5" t="e">
        <f>IF(AND(#REF!&gt;=table!$C$7,#REF!&lt;= table!$D$7),-1,IF(AND(#REF!&gt;=table!$E$7,#REF!&lt;=table!$F$7),1,0))</f>
        <v>#REF!</v>
      </c>
      <c r="S5101" s="5" t="e">
        <f>IF(AND(#REF!&gt;=table!$C$8,#REF!&lt;= table!$D$8),-1,IF(AND(#REF!&gt;=table!$E$8,#REF!&lt;=table!$F$8),1,0))</f>
        <v>#REF!</v>
      </c>
      <c r="T5101" s="5"/>
      <c r="U5101" s="5" t="e">
        <f>IF(AND(#REF!&gt;=table!$C$10,#REF!&lt;= table!$D$10),-1,IF(AND(#REF!&gt;=table!$E$10,#REF!&lt;=table!$F$10),1,0))</f>
        <v>#REF!</v>
      </c>
      <c r="V5101" s="5" t="e">
        <f>IF(AND(#REF!&gt;=table!$C$11,#REF!&lt;= table!$D$11),-1,IF(AND(#REF!&gt;=table!$E$11,#REF!&lt;=table!$F$11),1,0))</f>
        <v>#REF!</v>
      </c>
      <c r="W5101" s="5" t="e">
        <f>CONCATENATE(dados[[#This Row],[fator1]],dados[[#This Row],[fator5]],dados[[#This Row],[fator6]])</f>
        <v>#REF!</v>
      </c>
    </row>
    <row r="5102" spans="1:23">
      <c r="A5102" t="s">
        <v>17</v>
      </c>
      <c r="B5102">
        <v>591904</v>
      </c>
      <c r="C5102">
        <v>0.15</v>
      </c>
      <c r="D5102">
        <v>500</v>
      </c>
      <c r="E5102">
        <v>50</v>
      </c>
      <c r="F5102">
        <v>10</v>
      </c>
      <c r="G5102">
        <v>80</v>
      </c>
      <c r="H5102">
        <v>30</v>
      </c>
      <c r="I5102">
        <v>687</v>
      </c>
      <c r="J5102">
        <v>0</v>
      </c>
      <c r="K5102">
        <v>3.3760000000000003</v>
      </c>
      <c r="L5102">
        <v>8.4</v>
      </c>
      <c r="M5102">
        <v>8.1375000000000011</v>
      </c>
      <c r="N5102">
        <v>13.985000000000001</v>
      </c>
      <c r="O5102">
        <v>1679</v>
      </c>
      <c r="P5102">
        <v>0</v>
      </c>
      <c r="Q5102" s="5" t="e">
        <f>IF(AND(#REF!&gt;=table!$C$6,#REF!&lt;= table!$D$6),-1,IF(AND(#REF!&gt;=table!$E$6,#REF!&lt;=table!$F$6),1,0))</f>
        <v>#REF!</v>
      </c>
      <c r="R5102" s="5" t="e">
        <f>IF(AND(#REF!&gt;=table!$C$7,#REF!&lt;= table!$D$7),-1,IF(AND(#REF!&gt;=table!$E$7,#REF!&lt;=table!$F$7),1,0))</f>
        <v>#REF!</v>
      </c>
      <c r="S5102" s="5" t="e">
        <f>IF(AND(#REF!&gt;=table!$C$8,#REF!&lt;= table!$D$8),-1,IF(AND(#REF!&gt;=table!$E$8,#REF!&lt;=table!$F$8),1,0))</f>
        <v>#REF!</v>
      </c>
      <c r="T5102" s="5"/>
      <c r="U5102" s="5" t="e">
        <f>IF(AND(#REF!&gt;=table!$C$10,#REF!&lt;= table!$D$10),-1,IF(AND(#REF!&gt;=table!$E$10,#REF!&lt;=table!$F$10),1,0))</f>
        <v>#REF!</v>
      </c>
      <c r="V5102" s="5" t="e">
        <f>IF(AND(#REF!&gt;=table!$C$11,#REF!&lt;= table!$D$11),-1,IF(AND(#REF!&gt;=table!$E$11,#REF!&lt;=table!$F$11),1,0))</f>
        <v>#REF!</v>
      </c>
      <c r="W5102" s="5" t="e">
        <f>CONCATENATE(dados[[#This Row],[fator1]],dados[[#This Row],[fator5]],dados[[#This Row],[fator6]])</f>
        <v>#REF!</v>
      </c>
    </row>
    <row r="5103" spans="1:23">
      <c r="A5103" t="s">
        <v>17</v>
      </c>
      <c r="B5103">
        <v>591906</v>
      </c>
      <c r="C5103">
        <v>18</v>
      </c>
      <c r="D5103">
        <v>30</v>
      </c>
      <c r="E5103">
        <v>136</v>
      </c>
      <c r="F5103">
        <v>3</v>
      </c>
      <c r="G5103">
        <v>20</v>
      </c>
      <c r="H5103">
        <v>25</v>
      </c>
      <c r="I5103">
        <v>7</v>
      </c>
      <c r="J5103">
        <v>0</v>
      </c>
      <c r="K5103">
        <v>3.6870000000000003</v>
      </c>
      <c r="L5103">
        <v>13.004000000000001</v>
      </c>
      <c r="M5103">
        <v>124.68400000000001</v>
      </c>
      <c r="N5103">
        <v>18.78</v>
      </c>
      <c r="O5103">
        <v>1667</v>
      </c>
      <c r="P5103">
        <v>867</v>
      </c>
      <c r="Q5103" s="5" t="e">
        <f>IF(AND(#REF!&gt;=table!$C$6,#REF!&lt;= table!$D$6),-1,IF(AND(#REF!&gt;=table!$E$6,#REF!&lt;=table!$F$6),1,0))</f>
        <v>#REF!</v>
      </c>
      <c r="R5103" s="5" t="e">
        <f>IF(AND(#REF!&gt;=table!$C$7,#REF!&lt;= table!$D$7),-1,IF(AND(#REF!&gt;=table!$E$7,#REF!&lt;=table!$F$7),1,0))</f>
        <v>#REF!</v>
      </c>
      <c r="S5103" s="5" t="e">
        <f>IF(AND(#REF!&gt;=table!$C$8,#REF!&lt;= table!$D$8),-1,IF(AND(#REF!&gt;=table!$E$8,#REF!&lt;=table!$F$8),1,0))</f>
        <v>#REF!</v>
      </c>
      <c r="T5103" s="5"/>
      <c r="U5103" s="5" t="e">
        <f>IF(AND(#REF!&gt;=table!$C$10,#REF!&lt;= table!$D$10),-1,IF(AND(#REF!&gt;=table!$E$10,#REF!&lt;=table!$F$10),1,0))</f>
        <v>#REF!</v>
      </c>
      <c r="V5103" s="5" t="e">
        <f>IF(AND(#REF!&gt;=table!$C$11,#REF!&lt;= table!$D$11),-1,IF(AND(#REF!&gt;=table!$E$11,#REF!&lt;=table!$F$11),1,0))</f>
        <v>#REF!</v>
      </c>
      <c r="W5103" s="5" t="e">
        <f>CONCATENATE(dados[[#This Row],[fator1]],dados[[#This Row],[fator5]],dados[[#This Row],[fator6]])</f>
        <v>#REF!</v>
      </c>
    </row>
    <row r="5104" spans="1:23">
      <c r="A5104" t="s">
        <v>17</v>
      </c>
      <c r="B5104">
        <v>591907</v>
      </c>
      <c r="C5104">
        <v>18</v>
      </c>
      <c r="D5104">
        <v>30</v>
      </c>
      <c r="E5104">
        <v>136</v>
      </c>
      <c r="F5104">
        <v>3</v>
      </c>
      <c r="G5104">
        <v>20</v>
      </c>
      <c r="H5104">
        <v>25</v>
      </c>
      <c r="I5104">
        <v>743</v>
      </c>
      <c r="J5104">
        <v>0</v>
      </c>
      <c r="K5104">
        <v>4.3325000000000005</v>
      </c>
      <c r="L5104">
        <v>8.6120000000000001</v>
      </c>
      <c r="M5104">
        <v>120.396</v>
      </c>
      <c r="N5104">
        <v>15.08</v>
      </c>
      <c r="O5104">
        <v>1686</v>
      </c>
      <c r="P5104">
        <v>0</v>
      </c>
      <c r="Q5104" s="5" t="e">
        <f>IF(AND(#REF!&gt;=table!$C$6,#REF!&lt;= table!$D$6),-1,IF(AND(#REF!&gt;=table!$E$6,#REF!&lt;=table!$F$6),1,0))</f>
        <v>#REF!</v>
      </c>
      <c r="R5104" s="5" t="e">
        <f>IF(AND(#REF!&gt;=table!$C$7,#REF!&lt;= table!$D$7),-1,IF(AND(#REF!&gt;=table!$E$7,#REF!&lt;=table!$F$7),1,0))</f>
        <v>#REF!</v>
      </c>
      <c r="S5104" s="5" t="e">
        <f>IF(AND(#REF!&gt;=table!$C$8,#REF!&lt;= table!$D$8),-1,IF(AND(#REF!&gt;=table!$E$8,#REF!&lt;=table!$F$8),1,0))</f>
        <v>#REF!</v>
      </c>
      <c r="T5104" s="5"/>
      <c r="U5104" s="5" t="e">
        <f>IF(AND(#REF!&gt;=table!$C$10,#REF!&lt;= table!$D$10),-1,IF(AND(#REF!&gt;=table!$E$10,#REF!&lt;=table!$F$10),1,0))</f>
        <v>#REF!</v>
      </c>
      <c r="V5104" s="5" t="e">
        <f>IF(AND(#REF!&gt;=table!$C$11,#REF!&lt;= table!$D$11),-1,IF(AND(#REF!&gt;=table!$E$11,#REF!&lt;=table!$F$11),1,0))</f>
        <v>#REF!</v>
      </c>
      <c r="W5104" s="5" t="e">
        <f>CONCATENATE(dados[[#This Row],[fator1]],dados[[#This Row],[fator5]],dados[[#This Row],[fator6]])</f>
        <v>#REF!</v>
      </c>
    </row>
    <row r="5105" spans="1:23">
      <c r="A5105" t="s">
        <v>17</v>
      </c>
      <c r="B5105">
        <v>591908</v>
      </c>
      <c r="C5105">
        <v>18</v>
      </c>
      <c r="D5105">
        <v>30</v>
      </c>
      <c r="E5105">
        <v>136</v>
      </c>
      <c r="F5105">
        <v>3</v>
      </c>
      <c r="G5105">
        <v>20</v>
      </c>
      <c r="H5105">
        <v>25</v>
      </c>
      <c r="I5105">
        <v>683</v>
      </c>
      <c r="J5105">
        <v>0</v>
      </c>
      <c r="K5105">
        <v>9.775500000000001</v>
      </c>
      <c r="L5105">
        <v>9.5890000000000004</v>
      </c>
      <c r="M5105">
        <v>126.25750000000001</v>
      </c>
      <c r="N5105">
        <v>15.030000000000001</v>
      </c>
      <c r="O5105">
        <v>1682</v>
      </c>
      <c r="P5105">
        <v>390</v>
      </c>
      <c r="Q5105" s="5" t="e">
        <f>IF(AND(#REF!&gt;=table!$C$6,#REF!&lt;= table!$D$6),-1,IF(AND(#REF!&gt;=table!$E$6,#REF!&lt;=table!$F$6),1,0))</f>
        <v>#REF!</v>
      </c>
      <c r="R5105" s="5" t="e">
        <f>IF(AND(#REF!&gt;=table!$C$7,#REF!&lt;= table!$D$7),-1,IF(AND(#REF!&gt;=table!$E$7,#REF!&lt;=table!$F$7),1,0))</f>
        <v>#REF!</v>
      </c>
      <c r="S5105" s="5" t="e">
        <f>IF(AND(#REF!&gt;=table!$C$8,#REF!&lt;= table!$D$8),-1,IF(AND(#REF!&gt;=table!$E$8,#REF!&lt;=table!$F$8),1,0))</f>
        <v>#REF!</v>
      </c>
      <c r="T5105" s="5"/>
      <c r="U5105" s="5" t="e">
        <f>IF(AND(#REF!&gt;=table!$C$10,#REF!&lt;= table!$D$10),-1,IF(AND(#REF!&gt;=table!$E$10,#REF!&lt;=table!$F$10),1,0))</f>
        <v>#REF!</v>
      </c>
      <c r="V5105" s="5" t="e">
        <f>IF(AND(#REF!&gt;=table!$C$11,#REF!&lt;= table!$D$11),-1,IF(AND(#REF!&gt;=table!$E$11,#REF!&lt;=table!$F$11),1,0))</f>
        <v>#REF!</v>
      </c>
      <c r="W5105" s="5" t="e">
        <f>CONCATENATE(dados[[#This Row],[fator1]],dados[[#This Row],[fator5]],dados[[#This Row],[fator6]])</f>
        <v>#REF!</v>
      </c>
    </row>
    <row r="5106" spans="1:23">
      <c r="A5106" t="s">
        <v>16</v>
      </c>
      <c r="B5106">
        <v>591911</v>
      </c>
      <c r="C5106">
        <v>10</v>
      </c>
      <c r="D5106">
        <v>40</v>
      </c>
      <c r="E5106">
        <v>96</v>
      </c>
      <c r="F5106">
        <v>8</v>
      </c>
      <c r="G5106">
        <v>0</v>
      </c>
      <c r="H5106">
        <v>25</v>
      </c>
      <c r="I5106">
        <v>829</v>
      </c>
      <c r="J5106">
        <v>0</v>
      </c>
      <c r="K5106">
        <v>6.3740000000000006</v>
      </c>
      <c r="L5106">
        <v>10.366</v>
      </c>
      <c r="M5106">
        <v>71.128500000000003</v>
      </c>
      <c r="N5106">
        <v>14.15</v>
      </c>
      <c r="O5106">
        <v>1675</v>
      </c>
      <c r="P5106">
        <v>622</v>
      </c>
      <c r="Q5106" s="5" t="e">
        <f>IF(AND(#REF!&gt;=table!$C$6,#REF!&lt;= table!$D$6),-1,IF(AND(#REF!&gt;=table!$E$6,#REF!&lt;=table!$F$6),1,0))</f>
        <v>#REF!</v>
      </c>
      <c r="R5106" s="5" t="e">
        <f>IF(AND(#REF!&gt;=table!$C$7,#REF!&lt;= table!$D$7),-1,IF(AND(#REF!&gt;=table!$E$7,#REF!&lt;=table!$F$7),1,0))</f>
        <v>#REF!</v>
      </c>
      <c r="S5106" s="5" t="e">
        <f>IF(AND(#REF!&gt;=table!$C$8,#REF!&lt;= table!$D$8),-1,IF(AND(#REF!&gt;=table!$E$8,#REF!&lt;=table!$F$8),1,0))</f>
        <v>#REF!</v>
      </c>
      <c r="T5106" s="5"/>
      <c r="U5106" s="5" t="e">
        <f>IF(AND(#REF!&gt;=table!$C$10,#REF!&lt;= table!$D$10),-1,IF(AND(#REF!&gt;=table!$E$10,#REF!&lt;=table!$F$10),1,0))</f>
        <v>#REF!</v>
      </c>
      <c r="V5106" s="5" t="e">
        <f>IF(AND(#REF!&gt;=table!$C$11,#REF!&lt;= table!$D$11),-1,IF(AND(#REF!&gt;=table!$E$11,#REF!&lt;=table!$F$11),1,0))</f>
        <v>#REF!</v>
      </c>
      <c r="W5106" s="5" t="e">
        <f>CONCATENATE(dados[[#This Row],[fator1]],dados[[#This Row],[fator5]],dados[[#This Row],[fator6]])</f>
        <v>#REF!</v>
      </c>
    </row>
    <row r="5107" spans="1:23">
      <c r="A5107" t="s">
        <v>16</v>
      </c>
      <c r="B5107">
        <v>591914</v>
      </c>
      <c r="C5107">
        <v>0.15</v>
      </c>
      <c r="D5107">
        <v>40</v>
      </c>
      <c r="E5107">
        <v>10</v>
      </c>
      <c r="F5107">
        <v>15</v>
      </c>
      <c r="G5107">
        <v>0</v>
      </c>
      <c r="H5107">
        <v>15</v>
      </c>
      <c r="I5107">
        <v>0</v>
      </c>
      <c r="J5107">
        <v>0</v>
      </c>
      <c r="K5107">
        <v>4.7854999999999999</v>
      </c>
      <c r="L5107">
        <v>11.0085</v>
      </c>
      <c r="M5107">
        <v>8.3070000000000004</v>
      </c>
      <c r="N5107">
        <v>13.69</v>
      </c>
      <c r="O5107">
        <v>1679</v>
      </c>
      <c r="P5107">
        <v>0</v>
      </c>
      <c r="Q5107" s="5" t="e">
        <f>IF(AND(#REF!&gt;=table!$C$6,#REF!&lt;= table!$D$6),-1,IF(AND(#REF!&gt;=table!$E$6,#REF!&lt;=table!$F$6),1,0))</f>
        <v>#REF!</v>
      </c>
      <c r="R5107" s="5" t="e">
        <f>IF(AND(#REF!&gt;=table!$C$7,#REF!&lt;= table!$D$7),-1,IF(AND(#REF!&gt;=table!$E$7,#REF!&lt;=table!$F$7),1,0))</f>
        <v>#REF!</v>
      </c>
      <c r="S5107" s="5" t="e">
        <f>IF(AND(#REF!&gt;=table!$C$8,#REF!&lt;= table!$D$8),-1,IF(AND(#REF!&gt;=table!$E$8,#REF!&lt;=table!$F$8),1,0))</f>
        <v>#REF!</v>
      </c>
      <c r="T5107" s="5"/>
      <c r="U5107" s="5" t="e">
        <f>IF(AND(#REF!&gt;=table!$C$10,#REF!&lt;= table!$D$10),-1,IF(AND(#REF!&gt;=table!$E$10,#REF!&lt;=table!$F$10),1,0))</f>
        <v>#REF!</v>
      </c>
      <c r="V5107" s="5" t="e">
        <f>IF(AND(#REF!&gt;=table!$C$11,#REF!&lt;= table!$D$11),-1,IF(AND(#REF!&gt;=table!$E$11,#REF!&lt;=table!$F$11),1,0))</f>
        <v>#REF!</v>
      </c>
      <c r="W5107" s="5" t="e">
        <f>CONCATENATE(dados[[#This Row],[fator1]],dados[[#This Row],[fator5]],dados[[#This Row],[fator6]])</f>
        <v>#REF!</v>
      </c>
    </row>
    <row r="5108" spans="1:23">
      <c r="A5108" t="s">
        <v>16</v>
      </c>
      <c r="B5108">
        <v>591920</v>
      </c>
      <c r="C5108">
        <v>12</v>
      </c>
      <c r="D5108">
        <v>35</v>
      </c>
      <c r="E5108">
        <v>86</v>
      </c>
      <c r="F5108">
        <v>10</v>
      </c>
      <c r="G5108">
        <v>0</v>
      </c>
      <c r="H5108">
        <v>25</v>
      </c>
      <c r="I5108">
        <v>919</v>
      </c>
      <c r="J5108">
        <v>0</v>
      </c>
      <c r="K5108">
        <v>3.6315000000000004</v>
      </c>
      <c r="L5108">
        <v>8.3819999999999997</v>
      </c>
      <c r="M5108">
        <v>88.131500000000003</v>
      </c>
      <c r="N5108">
        <v>16.945</v>
      </c>
      <c r="O5108">
        <v>1658</v>
      </c>
      <c r="P5108">
        <v>0</v>
      </c>
      <c r="Q5108" s="5" t="e">
        <f>IF(AND(#REF!&gt;=table!$C$6,#REF!&lt;= table!$D$6),-1,IF(AND(#REF!&gt;=table!$E$6,#REF!&lt;=table!$F$6),1,0))</f>
        <v>#REF!</v>
      </c>
      <c r="R5108" s="5" t="e">
        <f>IF(AND(#REF!&gt;=table!$C$7,#REF!&lt;= table!$D$7),-1,IF(AND(#REF!&gt;=table!$E$7,#REF!&lt;=table!$F$7),1,0))</f>
        <v>#REF!</v>
      </c>
      <c r="S5108" s="5" t="e">
        <f>IF(AND(#REF!&gt;=table!$C$8,#REF!&lt;= table!$D$8),-1,IF(AND(#REF!&gt;=table!$E$8,#REF!&lt;=table!$F$8),1,0))</f>
        <v>#REF!</v>
      </c>
      <c r="T5108" s="5"/>
      <c r="U5108" s="5" t="e">
        <f>IF(AND(#REF!&gt;=table!$C$10,#REF!&lt;= table!$D$10),-1,IF(AND(#REF!&gt;=table!$E$10,#REF!&lt;=table!$F$10),1,0))</f>
        <v>#REF!</v>
      </c>
      <c r="V5108" s="5" t="e">
        <f>IF(AND(#REF!&gt;=table!$C$11,#REF!&lt;= table!$D$11),-1,IF(AND(#REF!&gt;=table!$E$11,#REF!&lt;=table!$F$11),1,0))</f>
        <v>#REF!</v>
      </c>
      <c r="W5108" s="5" t="e">
        <f>CONCATENATE(dados[[#This Row],[fator1]],dados[[#This Row],[fator5]],dados[[#This Row],[fator6]])</f>
        <v>#REF!</v>
      </c>
    </row>
    <row r="5109" spans="1:23">
      <c r="A5109" t="s">
        <v>16</v>
      </c>
      <c r="B5109">
        <v>591922</v>
      </c>
      <c r="C5109">
        <v>0.15</v>
      </c>
      <c r="D5109">
        <v>35</v>
      </c>
      <c r="E5109">
        <v>15</v>
      </c>
      <c r="F5109">
        <v>10</v>
      </c>
      <c r="G5109">
        <v>0</v>
      </c>
      <c r="H5109">
        <v>12</v>
      </c>
      <c r="I5109">
        <v>1164</v>
      </c>
      <c r="J5109">
        <v>0</v>
      </c>
      <c r="K5109">
        <v>4.3550000000000004</v>
      </c>
      <c r="L5109">
        <v>8.3834999999999997</v>
      </c>
      <c r="M5109">
        <v>7.4710000000000001</v>
      </c>
      <c r="N5109">
        <v>9.81</v>
      </c>
      <c r="O5109">
        <v>1663</v>
      </c>
      <c r="P5109">
        <v>600</v>
      </c>
      <c r="Q5109" s="5" t="e">
        <f>IF(AND(#REF!&gt;=table!$C$6,#REF!&lt;= table!$D$6),-1,IF(AND(#REF!&gt;=table!$E$6,#REF!&lt;=table!$F$6),1,0))</f>
        <v>#REF!</v>
      </c>
      <c r="R5109" s="5" t="e">
        <f>IF(AND(#REF!&gt;=table!$C$7,#REF!&lt;= table!$D$7),-1,IF(AND(#REF!&gt;=table!$E$7,#REF!&lt;=table!$F$7),1,0))</f>
        <v>#REF!</v>
      </c>
      <c r="S5109" s="5" t="e">
        <f>IF(AND(#REF!&gt;=table!$C$8,#REF!&lt;= table!$D$8),-1,IF(AND(#REF!&gt;=table!$E$8,#REF!&lt;=table!$F$8),1,0))</f>
        <v>#REF!</v>
      </c>
      <c r="T5109" s="5"/>
      <c r="U5109" s="5" t="e">
        <f>IF(AND(#REF!&gt;=table!$C$10,#REF!&lt;= table!$D$10),-1,IF(AND(#REF!&gt;=table!$E$10,#REF!&lt;=table!$F$10),1,0))</f>
        <v>#REF!</v>
      </c>
      <c r="V5109" s="5" t="e">
        <f>IF(AND(#REF!&gt;=table!$C$11,#REF!&lt;= table!$D$11),-1,IF(AND(#REF!&gt;=table!$E$11,#REF!&lt;=table!$F$11),1,0))</f>
        <v>#REF!</v>
      </c>
      <c r="W5109" s="5" t="e">
        <f>CONCATENATE(dados[[#This Row],[fator1]],dados[[#This Row],[fator5]],dados[[#This Row],[fator6]])</f>
        <v>#REF!</v>
      </c>
    </row>
    <row r="5110" spans="1:23">
      <c r="A5110" t="s">
        <v>17</v>
      </c>
      <c r="B5110">
        <v>591929</v>
      </c>
      <c r="C5110">
        <v>14</v>
      </c>
      <c r="D5110">
        <v>30</v>
      </c>
      <c r="E5110">
        <v>86</v>
      </c>
      <c r="F5110">
        <v>9</v>
      </c>
      <c r="G5110">
        <v>20</v>
      </c>
      <c r="H5110">
        <v>25</v>
      </c>
      <c r="I5110">
        <v>364</v>
      </c>
      <c r="J5110">
        <v>680</v>
      </c>
      <c r="K5110">
        <v>2.3734999999999999</v>
      </c>
      <c r="L5110">
        <v>4.4329999999999998</v>
      </c>
      <c r="M5110">
        <v>74.8</v>
      </c>
      <c r="N5110">
        <v>13.495000000000001</v>
      </c>
      <c r="O5110">
        <v>1645</v>
      </c>
      <c r="P5110">
        <v>0</v>
      </c>
      <c r="Q5110" s="5" t="e">
        <f>IF(AND(#REF!&gt;=table!$C$6,#REF!&lt;= table!$D$6),-1,IF(AND(#REF!&gt;=table!$E$6,#REF!&lt;=table!$F$6),1,0))</f>
        <v>#REF!</v>
      </c>
      <c r="R5110" s="5" t="e">
        <f>IF(AND(#REF!&gt;=table!$C$7,#REF!&lt;= table!$D$7),-1,IF(AND(#REF!&gt;=table!$E$7,#REF!&lt;=table!$F$7),1,0))</f>
        <v>#REF!</v>
      </c>
      <c r="S5110" s="5" t="e">
        <f>IF(AND(#REF!&gt;=table!$C$8,#REF!&lt;= table!$D$8),-1,IF(AND(#REF!&gt;=table!$E$8,#REF!&lt;=table!$F$8),1,0))</f>
        <v>#REF!</v>
      </c>
      <c r="T5110" s="5"/>
      <c r="U5110" s="5" t="e">
        <f>IF(AND(#REF!&gt;=table!$C$10,#REF!&lt;= table!$D$10),-1,IF(AND(#REF!&gt;=table!$E$10,#REF!&lt;=table!$F$10),1,0))</f>
        <v>#REF!</v>
      </c>
      <c r="V5110" s="5" t="e">
        <f>IF(AND(#REF!&gt;=table!$C$11,#REF!&lt;= table!$D$11),-1,IF(AND(#REF!&gt;=table!$E$11,#REF!&lt;=table!$F$11),1,0))</f>
        <v>#REF!</v>
      </c>
      <c r="W5110" s="5" t="e">
        <f>CONCATENATE(dados[[#This Row],[fator1]],dados[[#This Row],[fator5]],dados[[#This Row],[fator6]])</f>
        <v>#REF!</v>
      </c>
    </row>
    <row r="5111" spans="1:23">
      <c r="A5111" t="s">
        <v>16</v>
      </c>
      <c r="B5111">
        <v>591931</v>
      </c>
      <c r="C5111">
        <v>9</v>
      </c>
      <c r="D5111">
        <v>35</v>
      </c>
      <c r="E5111">
        <v>36</v>
      </c>
      <c r="F5111">
        <v>9</v>
      </c>
      <c r="G5111">
        <v>0</v>
      </c>
      <c r="H5111">
        <v>25</v>
      </c>
      <c r="I5111">
        <v>796</v>
      </c>
      <c r="J5111">
        <v>870</v>
      </c>
      <c r="K5111">
        <v>4.2970000000000006</v>
      </c>
      <c r="L5111">
        <v>17.989000000000001</v>
      </c>
      <c r="M5111">
        <v>37.271999999999998</v>
      </c>
      <c r="N5111">
        <v>22.615000000000002</v>
      </c>
      <c r="O5111">
        <v>1689</v>
      </c>
      <c r="P5111">
        <v>728</v>
      </c>
      <c r="Q5111" s="5" t="e">
        <f>IF(AND(#REF!&gt;=table!$C$6,#REF!&lt;= table!$D$6),-1,IF(AND(#REF!&gt;=table!$E$6,#REF!&lt;=table!$F$6),1,0))</f>
        <v>#REF!</v>
      </c>
      <c r="R5111" s="5" t="e">
        <f>IF(AND(#REF!&gt;=table!$C$7,#REF!&lt;= table!$D$7),-1,IF(AND(#REF!&gt;=table!$E$7,#REF!&lt;=table!$F$7),1,0))</f>
        <v>#REF!</v>
      </c>
      <c r="S5111" s="5" t="e">
        <f>IF(AND(#REF!&gt;=table!$C$8,#REF!&lt;= table!$D$8),-1,IF(AND(#REF!&gt;=table!$E$8,#REF!&lt;=table!$F$8),1,0))</f>
        <v>#REF!</v>
      </c>
      <c r="T5111" s="5"/>
      <c r="U5111" s="5" t="e">
        <f>IF(AND(#REF!&gt;=table!$C$10,#REF!&lt;= table!$D$10),-1,IF(AND(#REF!&gt;=table!$E$10,#REF!&lt;=table!$F$10),1,0))</f>
        <v>#REF!</v>
      </c>
      <c r="V5111" s="5" t="e">
        <f>IF(AND(#REF!&gt;=table!$C$11,#REF!&lt;= table!$D$11),-1,IF(AND(#REF!&gt;=table!$E$11,#REF!&lt;=table!$F$11),1,0))</f>
        <v>#REF!</v>
      </c>
      <c r="W5111" s="5" t="e">
        <f>CONCATENATE(dados[[#This Row],[fator1]],dados[[#This Row],[fator5]],dados[[#This Row],[fator6]])</f>
        <v>#REF!</v>
      </c>
    </row>
    <row r="5112" spans="1:23">
      <c r="A5112" t="s">
        <v>16</v>
      </c>
      <c r="B5112">
        <v>591933</v>
      </c>
      <c r="C5112">
        <v>9</v>
      </c>
      <c r="D5112">
        <v>40</v>
      </c>
      <c r="E5112">
        <v>46</v>
      </c>
      <c r="F5112">
        <v>15</v>
      </c>
      <c r="G5112">
        <v>0</v>
      </c>
      <c r="H5112">
        <v>25</v>
      </c>
      <c r="I5112">
        <v>1034</v>
      </c>
      <c r="J5112">
        <v>0</v>
      </c>
      <c r="K5112">
        <v>4.8665000000000003</v>
      </c>
      <c r="L5112">
        <v>5.766</v>
      </c>
      <c r="M5112">
        <v>34.765500000000003</v>
      </c>
      <c r="N5112">
        <v>11.745000000000001</v>
      </c>
      <c r="O5112">
        <v>1687</v>
      </c>
      <c r="P5112">
        <v>1392</v>
      </c>
      <c r="Q5112" s="5" t="e">
        <f>IF(AND(#REF!&gt;=table!$C$6,#REF!&lt;= table!$D$6),-1,IF(AND(#REF!&gt;=table!$E$6,#REF!&lt;=table!$F$6),1,0))</f>
        <v>#REF!</v>
      </c>
      <c r="R5112" s="5" t="e">
        <f>IF(AND(#REF!&gt;=table!$C$7,#REF!&lt;= table!$D$7),-1,IF(AND(#REF!&gt;=table!$E$7,#REF!&lt;=table!$F$7),1,0))</f>
        <v>#REF!</v>
      </c>
      <c r="S5112" s="5" t="e">
        <f>IF(AND(#REF!&gt;=table!$C$8,#REF!&lt;= table!$D$8),-1,IF(AND(#REF!&gt;=table!$E$8,#REF!&lt;=table!$F$8),1,0))</f>
        <v>#REF!</v>
      </c>
      <c r="T5112" s="5"/>
      <c r="U5112" s="5" t="e">
        <f>IF(AND(#REF!&gt;=table!$C$10,#REF!&lt;= table!$D$10),-1,IF(AND(#REF!&gt;=table!$E$10,#REF!&lt;=table!$F$10),1,0))</f>
        <v>#REF!</v>
      </c>
      <c r="V5112" s="5" t="e">
        <f>IF(AND(#REF!&gt;=table!$C$11,#REF!&lt;= table!$D$11),-1,IF(AND(#REF!&gt;=table!$E$11,#REF!&lt;=table!$F$11),1,0))</f>
        <v>#REF!</v>
      </c>
      <c r="W5112" s="5" t="e">
        <f>CONCATENATE(dados[[#This Row],[fator1]],dados[[#This Row],[fator5]],dados[[#This Row],[fator6]])</f>
        <v>#REF!</v>
      </c>
    </row>
    <row r="5113" spans="1:23">
      <c r="A5113" t="s">
        <v>16</v>
      </c>
      <c r="B5113">
        <v>591935</v>
      </c>
      <c r="C5113">
        <v>9</v>
      </c>
      <c r="D5113">
        <v>27</v>
      </c>
      <c r="E5113">
        <v>36</v>
      </c>
      <c r="F5113">
        <v>8</v>
      </c>
      <c r="G5113">
        <v>0</v>
      </c>
      <c r="H5113">
        <v>25</v>
      </c>
      <c r="I5113">
        <v>813</v>
      </c>
      <c r="J5113">
        <v>0</v>
      </c>
      <c r="K5113">
        <v>5.1930000000000005</v>
      </c>
      <c r="L5113">
        <v>9.5570000000000004</v>
      </c>
      <c r="M5113">
        <v>29.421500000000002</v>
      </c>
      <c r="N5113">
        <v>13.465</v>
      </c>
      <c r="O5113">
        <v>1667</v>
      </c>
      <c r="P5113">
        <v>672</v>
      </c>
      <c r="Q5113" s="5" t="e">
        <f>IF(AND(#REF!&gt;=table!$C$6,#REF!&lt;= table!$D$6),-1,IF(AND(#REF!&gt;=table!$E$6,#REF!&lt;=table!$F$6),1,0))</f>
        <v>#REF!</v>
      </c>
      <c r="R5113" s="5" t="e">
        <f>IF(AND(#REF!&gt;=table!$C$7,#REF!&lt;= table!$D$7),-1,IF(AND(#REF!&gt;=table!$E$7,#REF!&lt;=table!$F$7),1,0))</f>
        <v>#REF!</v>
      </c>
      <c r="S5113" s="5" t="e">
        <f>IF(AND(#REF!&gt;=table!$C$8,#REF!&lt;= table!$D$8),-1,IF(AND(#REF!&gt;=table!$E$8,#REF!&lt;=table!$F$8),1,0))</f>
        <v>#REF!</v>
      </c>
      <c r="T5113" s="5"/>
      <c r="U5113" s="5" t="e">
        <f>IF(AND(#REF!&gt;=table!$C$10,#REF!&lt;= table!$D$10),-1,IF(AND(#REF!&gt;=table!$E$10,#REF!&lt;=table!$F$10),1,0))</f>
        <v>#REF!</v>
      </c>
      <c r="V5113" s="5" t="e">
        <f>IF(AND(#REF!&gt;=table!$C$11,#REF!&lt;= table!$D$11),-1,IF(AND(#REF!&gt;=table!$E$11,#REF!&lt;=table!$F$11),1,0))</f>
        <v>#REF!</v>
      </c>
      <c r="W5113" s="5" t="e">
        <f>CONCATENATE(dados[[#This Row],[fator1]],dados[[#This Row],[fator5]],dados[[#This Row],[fator6]])</f>
        <v>#REF!</v>
      </c>
    </row>
    <row r="5114" spans="1:23">
      <c r="A5114" t="s">
        <v>16</v>
      </c>
      <c r="B5114">
        <v>591938</v>
      </c>
      <c r="C5114">
        <v>12</v>
      </c>
      <c r="D5114">
        <v>40</v>
      </c>
      <c r="E5114">
        <v>36</v>
      </c>
      <c r="F5114">
        <v>9</v>
      </c>
      <c r="G5114">
        <v>0</v>
      </c>
      <c r="H5114">
        <v>25</v>
      </c>
      <c r="I5114">
        <v>737</v>
      </c>
      <c r="J5114">
        <v>0</v>
      </c>
      <c r="K5114">
        <v>4.8445</v>
      </c>
      <c r="L5114">
        <v>12.166</v>
      </c>
      <c r="M5114">
        <v>22.438500000000001</v>
      </c>
      <c r="N5114">
        <v>18.085000000000001</v>
      </c>
      <c r="O5114">
        <v>1687</v>
      </c>
      <c r="P5114">
        <v>751</v>
      </c>
      <c r="Q5114" s="5" t="e">
        <f>IF(AND(#REF!&gt;=table!$C$6,#REF!&lt;= table!$D$6),-1,IF(AND(#REF!&gt;=table!$E$6,#REF!&lt;=table!$F$6),1,0))</f>
        <v>#REF!</v>
      </c>
      <c r="R5114" s="5" t="e">
        <f>IF(AND(#REF!&gt;=table!$C$7,#REF!&lt;= table!$D$7),-1,IF(AND(#REF!&gt;=table!$E$7,#REF!&lt;=table!$F$7),1,0))</f>
        <v>#REF!</v>
      </c>
      <c r="S5114" s="5" t="e">
        <f>IF(AND(#REF!&gt;=table!$C$8,#REF!&lt;= table!$D$8),-1,IF(AND(#REF!&gt;=table!$E$8,#REF!&lt;=table!$F$8),1,0))</f>
        <v>#REF!</v>
      </c>
      <c r="T5114" s="5"/>
      <c r="U5114" s="5" t="e">
        <f>IF(AND(#REF!&gt;=table!$C$10,#REF!&lt;= table!$D$10),-1,IF(AND(#REF!&gt;=table!$E$10,#REF!&lt;=table!$F$10),1,0))</f>
        <v>#REF!</v>
      </c>
      <c r="V5114" s="5" t="e">
        <f>IF(AND(#REF!&gt;=table!$C$11,#REF!&lt;= table!$D$11),-1,IF(AND(#REF!&gt;=table!$E$11,#REF!&lt;=table!$F$11),1,0))</f>
        <v>#REF!</v>
      </c>
      <c r="W5114" s="5" t="e">
        <f>CONCATENATE(dados[[#This Row],[fator1]],dados[[#This Row],[fator5]],dados[[#This Row],[fator6]])</f>
        <v>#REF!</v>
      </c>
    </row>
    <row r="5115" spans="1:23">
      <c r="A5115" t="s">
        <v>16</v>
      </c>
      <c r="B5115">
        <v>591939</v>
      </c>
      <c r="C5115">
        <v>12</v>
      </c>
      <c r="D5115">
        <v>40</v>
      </c>
      <c r="E5115">
        <v>36</v>
      </c>
      <c r="F5115">
        <v>9</v>
      </c>
      <c r="G5115">
        <v>0</v>
      </c>
      <c r="H5115">
        <v>25</v>
      </c>
      <c r="I5115">
        <v>89</v>
      </c>
      <c r="J5115">
        <v>0</v>
      </c>
      <c r="K5115">
        <v>7.7810000000000006</v>
      </c>
      <c r="L5115">
        <v>11.1835</v>
      </c>
      <c r="M5115">
        <v>42.902999999999999</v>
      </c>
      <c r="N5115">
        <v>15.185</v>
      </c>
      <c r="O5115">
        <v>1663</v>
      </c>
      <c r="P5115">
        <v>435</v>
      </c>
      <c r="Q5115" s="5" t="e">
        <f>IF(AND(#REF!&gt;=table!$C$6,#REF!&lt;= table!$D$6),-1,IF(AND(#REF!&gt;=table!$E$6,#REF!&lt;=table!$F$6),1,0))</f>
        <v>#REF!</v>
      </c>
      <c r="R5115" s="5" t="e">
        <f>IF(AND(#REF!&gt;=table!$C$7,#REF!&lt;= table!$D$7),-1,IF(AND(#REF!&gt;=table!$E$7,#REF!&lt;=table!$F$7),1,0))</f>
        <v>#REF!</v>
      </c>
      <c r="S5115" s="5" t="e">
        <f>IF(AND(#REF!&gt;=table!$C$8,#REF!&lt;= table!$D$8),-1,IF(AND(#REF!&gt;=table!$E$8,#REF!&lt;=table!$F$8),1,0))</f>
        <v>#REF!</v>
      </c>
      <c r="T5115" s="5"/>
      <c r="U5115" s="5" t="e">
        <f>IF(AND(#REF!&gt;=table!$C$10,#REF!&lt;= table!$D$10),-1,IF(AND(#REF!&gt;=table!$E$10,#REF!&lt;=table!$F$10),1,0))</f>
        <v>#REF!</v>
      </c>
      <c r="V5115" s="5" t="e">
        <f>IF(AND(#REF!&gt;=table!$C$11,#REF!&lt;= table!$D$11),-1,IF(AND(#REF!&gt;=table!$E$11,#REF!&lt;=table!$F$11),1,0))</f>
        <v>#REF!</v>
      </c>
      <c r="W5115" s="5" t="e">
        <f>CONCATENATE(dados[[#This Row],[fator1]],dados[[#This Row],[fator5]],dados[[#This Row],[fator6]])</f>
        <v>#REF!</v>
      </c>
    </row>
    <row r="5116" spans="1:23">
      <c r="A5116" t="s">
        <v>16</v>
      </c>
      <c r="B5116">
        <v>591940</v>
      </c>
      <c r="C5116">
        <v>12</v>
      </c>
      <c r="D5116">
        <v>40</v>
      </c>
      <c r="E5116">
        <v>36</v>
      </c>
      <c r="F5116">
        <v>9</v>
      </c>
      <c r="G5116">
        <v>0</v>
      </c>
      <c r="H5116">
        <v>25</v>
      </c>
      <c r="I5116">
        <v>0</v>
      </c>
      <c r="J5116">
        <v>0</v>
      </c>
      <c r="K5116">
        <v>5.266</v>
      </c>
      <c r="L5116">
        <v>11.507</v>
      </c>
      <c r="M5116">
        <v>23.144000000000002</v>
      </c>
      <c r="N5116">
        <v>16.98</v>
      </c>
      <c r="O5116">
        <v>1680</v>
      </c>
      <c r="P5116">
        <v>706</v>
      </c>
      <c r="Q5116" s="5" t="e">
        <f>IF(AND(#REF!&gt;=table!$C$6,#REF!&lt;= table!$D$6),-1,IF(AND(#REF!&gt;=table!$E$6,#REF!&lt;=table!$F$6),1,0))</f>
        <v>#REF!</v>
      </c>
      <c r="R5116" s="5" t="e">
        <f>IF(AND(#REF!&gt;=table!$C$7,#REF!&lt;= table!$D$7),-1,IF(AND(#REF!&gt;=table!$E$7,#REF!&lt;=table!$F$7),1,0))</f>
        <v>#REF!</v>
      </c>
      <c r="S5116" s="5" t="e">
        <f>IF(AND(#REF!&gt;=table!$C$8,#REF!&lt;= table!$D$8),-1,IF(AND(#REF!&gt;=table!$E$8,#REF!&lt;=table!$F$8),1,0))</f>
        <v>#REF!</v>
      </c>
      <c r="T5116" s="5"/>
      <c r="U5116" s="5" t="e">
        <f>IF(AND(#REF!&gt;=table!$C$10,#REF!&lt;= table!$D$10),-1,IF(AND(#REF!&gt;=table!$E$10,#REF!&lt;=table!$F$10),1,0))</f>
        <v>#REF!</v>
      </c>
      <c r="V5116" s="5" t="e">
        <f>IF(AND(#REF!&gt;=table!$C$11,#REF!&lt;= table!$D$11),-1,IF(AND(#REF!&gt;=table!$E$11,#REF!&lt;=table!$F$11),1,0))</f>
        <v>#REF!</v>
      </c>
      <c r="W5116" s="5" t="e">
        <f>CONCATENATE(dados[[#This Row],[fator1]],dados[[#This Row],[fator5]],dados[[#This Row],[fator6]])</f>
        <v>#REF!</v>
      </c>
    </row>
    <row r="5117" spans="1:23">
      <c r="A5117" t="s">
        <v>16</v>
      </c>
      <c r="B5117">
        <v>591941</v>
      </c>
      <c r="C5117">
        <v>12</v>
      </c>
      <c r="D5117">
        <v>40</v>
      </c>
      <c r="E5117">
        <v>36</v>
      </c>
      <c r="F5117">
        <v>9</v>
      </c>
      <c r="G5117">
        <v>0</v>
      </c>
      <c r="H5117">
        <v>25</v>
      </c>
      <c r="I5117">
        <v>825</v>
      </c>
      <c r="J5117">
        <v>0</v>
      </c>
      <c r="K5117">
        <v>3.9585000000000004</v>
      </c>
      <c r="L5117">
        <v>8.7234999999999996</v>
      </c>
      <c r="M5117">
        <v>36.801000000000002</v>
      </c>
      <c r="N5117">
        <v>13.185</v>
      </c>
      <c r="O5117">
        <v>1667</v>
      </c>
      <c r="P5117">
        <v>856</v>
      </c>
      <c r="Q5117" s="5" t="e">
        <f>IF(AND(#REF!&gt;=table!$C$6,#REF!&lt;= table!$D$6),-1,IF(AND(#REF!&gt;=table!$E$6,#REF!&lt;=table!$F$6),1,0))</f>
        <v>#REF!</v>
      </c>
      <c r="R5117" s="5" t="e">
        <f>IF(AND(#REF!&gt;=table!$C$7,#REF!&lt;= table!$D$7),-1,IF(AND(#REF!&gt;=table!$E$7,#REF!&lt;=table!$F$7),1,0))</f>
        <v>#REF!</v>
      </c>
      <c r="S5117" s="5" t="e">
        <f>IF(AND(#REF!&gt;=table!$C$8,#REF!&lt;= table!$D$8),-1,IF(AND(#REF!&gt;=table!$E$8,#REF!&lt;=table!$F$8),1,0))</f>
        <v>#REF!</v>
      </c>
      <c r="T5117" s="5"/>
      <c r="U5117" s="5" t="e">
        <f>IF(AND(#REF!&gt;=table!$C$10,#REF!&lt;= table!$D$10),-1,IF(AND(#REF!&gt;=table!$E$10,#REF!&lt;=table!$F$10),1,0))</f>
        <v>#REF!</v>
      </c>
      <c r="V5117" s="5" t="e">
        <f>IF(AND(#REF!&gt;=table!$C$11,#REF!&lt;= table!$D$11),-1,IF(AND(#REF!&gt;=table!$E$11,#REF!&lt;=table!$F$11),1,0))</f>
        <v>#REF!</v>
      </c>
      <c r="W5117" s="5" t="e">
        <f>CONCATENATE(dados[[#This Row],[fator1]],dados[[#This Row],[fator5]],dados[[#This Row],[fator6]])</f>
        <v>#REF!</v>
      </c>
    </row>
    <row r="5118" spans="1:23">
      <c r="A5118" t="s">
        <v>16</v>
      </c>
      <c r="B5118">
        <v>591945</v>
      </c>
      <c r="C5118">
        <v>0.1</v>
      </c>
      <c r="D5118">
        <v>40</v>
      </c>
      <c r="E5118">
        <v>10</v>
      </c>
      <c r="F5118">
        <v>8</v>
      </c>
      <c r="G5118">
        <v>0</v>
      </c>
      <c r="H5118">
        <v>10</v>
      </c>
      <c r="I5118">
        <v>735</v>
      </c>
      <c r="J5118">
        <v>0</v>
      </c>
      <c r="K5118">
        <v>4.2919999999999998</v>
      </c>
      <c r="L5118">
        <v>6.1320000000000006</v>
      </c>
      <c r="M5118">
        <v>5.7865000000000002</v>
      </c>
      <c r="N5118">
        <v>9.58</v>
      </c>
      <c r="O5118">
        <v>1688</v>
      </c>
      <c r="P5118">
        <v>767</v>
      </c>
      <c r="Q5118" s="5" t="e">
        <f>IF(AND(#REF!&gt;=table!$C$6,#REF!&lt;= table!$D$6),-1,IF(AND(#REF!&gt;=table!$E$6,#REF!&lt;=table!$F$6),1,0))</f>
        <v>#REF!</v>
      </c>
      <c r="R5118" s="5" t="e">
        <f>IF(AND(#REF!&gt;=table!$C$7,#REF!&lt;= table!$D$7),-1,IF(AND(#REF!&gt;=table!$E$7,#REF!&lt;=table!$F$7),1,0))</f>
        <v>#REF!</v>
      </c>
      <c r="S5118" s="5" t="e">
        <f>IF(AND(#REF!&gt;=table!$C$8,#REF!&lt;= table!$D$8),-1,IF(AND(#REF!&gt;=table!$E$8,#REF!&lt;=table!$F$8),1,0))</f>
        <v>#REF!</v>
      </c>
      <c r="T5118" s="5"/>
      <c r="U5118" s="5" t="e">
        <f>IF(AND(#REF!&gt;=table!$C$10,#REF!&lt;= table!$D$10),-1,IF(AND(#REF!&gt;=table!$E$10,#REF!&lt;=table!$F$10),1,0))</f>
        <v>#REF!</v>
      </c>
      <c r="V5118" s="5" t="e">
        <f>IF(AND(#REF!&gt;=table!$C$11,#REF!&lt;= table!$D$11),-1,IF(AND(#REF!&gt;=table!$E$11,#REF!&lt;=table!$F$11),1,0))</f>
        <v>#REF!</v>
      </c>
      <c r="W5118" s="5" t="e">
        <f>CONCATENATE(dados[[#This Row],[fator1]],dados[[#This Row],[fator5]],dados[[#This Row],[fator6]])</f>
        <v>#REF!</v>
      </c>
    </row>
    <row r="5119" spans="1:23">
      <c r="A5119" t="s">
        <v>16</v>
      </c>
      <c r="B5119">
        <v>591946</v>
      </c>
      <c r="C5119">
        <v>0.15</v>
      </c>
      <c r="D5119">
        <v>40</v>
      </c>
      <c r="E5119">
        <v>10</v>
      </c>
      <c r="F5119">
        <v>15</v>
      </c>
      <c r="G5119">
        <v>0</v>
      </c>
      <c r="H5119">
        <v>15</v>
      </c>
      <c r="I5119">
        <v>0</v>
      </c>
      <c r="J5119">
        <v>0</v>
      </c>
      <c r="K5119">
        <v>3.1640000000000001</v>
      </c>
      <c r="L5119">
        <v>11.9625</v>
      </c>
      <c r="M5119">
        <v>10.146000000000001</v>
      </c>
      <c r="N5119">
        <v>14.43</v>
      </c>
      <c r="O5119">
        <v>1675</v>
      </c>
      <c r="P5119">
        <v>801</v>
      </c>
      <c r="Q5119" s="5" t="e">
        <f>IF(AND(#REF!&gt;=table!$C$6,#REF!&lt;= table!$D$6),-1,IF(AND(#REF!&gt;=table!$E$6,#REF!&lt;=table!$F$6),1,0))</f>
        <v>#REF!</v>
      </c>
      <c r="R5119" s="5" t="e">
        <f>IF(AND(#REF!&gt;=table!$C$7,#REF!&lt;= table!$D$7),-1,IF(AND(#REF!&gt;=table!$E$7,#REF!&lt;=table!$F$7),1,0))</f>
        <v>#REF!</v>
      </c>
      <c r="S5119" s="5" t="e">
        <f>IF(AND(#REF!&gt;=table!$C$8,#REF!&lt;= table!$D$8),-1,IF(AND(#REF!&gt;=table!$E$8,#REF!&lt;=table!$F$8),1,0))</f>
        <v>#REF!</v>
      </c>
      <c r="T5119" s="5"/>
      <c r="U5119" s="5" t="e">
        <f>IF(AND(#REF!&gt;=table!$C$10,#REF!&lt;= table!$D$10),-1,IF(AND(#REF!&gt;=table!$E$10,#REF!&lt;=table!$F$10),1,0))</f>
        <v>#REF!</v>
      </c>
      <c r="V5119" s="5" t="e">
        <f>IF(AND(#REF!&gt;=table!$C$11,#REF!&lt;= table!$D$11),-1,IF(AND(#REF!&gt;=table!$E$11,#REF!&lt;=table!$F$11),1,0))</f>
        <v>#REF!</v>
      </c>
      <c r="W5119" s="5" t="e">
        <f>CONCATENATE(dados[[#This Row],[fator1]],dados[[#This Row],[fator5]],dados[[#This Row],[fator6]])</f>
        <v>#REF!</v>
      </c>
    </row>
    <row r="5120" spans="1:23">
      <c r="A5120" t="s">
        <v>16</v>
      </c>
      <c r="B5120">
        <v>591947</v>
      </c>
      <c r="C5120">
        <v>8</v>
      </c>
      <c r="D5120">
        <v>30</v>
      </c>
      <c r="E5120">
        <v>86</v>
      </c>
      <c r="F5120">
        <v>9</v>
      </c>
      <c r="G5120">
        <v>0</v>
      </c>
      <c r="H5120">
        <v>25</v>
      </c>
      <c r="I5120">
        <v>1621</v>
      </c>
      <c r="J5120">
        <v>0</v>
      </c>
      <c r="K5120">
        <v>3.8250000000000002</v>
      </c>
      <c r="L5120">
        <v>11.837</v>
      </c>
      <c r="M5120">
        <v>80.269000000000005</v>
      </c>
      <c r="N5120">
        <v>16.649999999999999</v>
      </c>
      <c r="O5120">
        <v>1718</v>
      </c>
      <c r="P5120">
        <v>0</v>
      </c>
      <c r="Q5120" s="5" t="e">
        <f>IF(AND(#REF!&gt;=table!$C$6,#REF!&lt;= table!$D$6),-1,IF(AND(#REF!&gt;=table!$E$6,#REF!&lt;=table!$F$6),1,0))</f>
        <v>#REF!</v>
      </c>
      <c r="R5120" s="5" t="e">
        <f>IF(AND(#REF!&gt;=table!$C$7,#REF!&lt;= table!$D$7),-1,IF(AND(#REF!&gt;=table!$E$7,#REF!&lt;=table!$F$7),1,0))</f>
        <v>#REF!</v>
      </c>
      <c r="S5120" s="5" t="e">
        <f>IF(AND(#REF!&gt;=table!$C$8,#REF!&lt;= table!$D$8),-1,IF(AND(#REF!&gt;=table!$E$8,#REF!&lt;=table!$F$8),1,0))</f>
        <v>#REF!</v>
      </c>
      <c r="T5120" s="5"/>
      <c r="U5120" s="5" t="e">
        <f>IF(AND(#REF!&gt;=table!$C$10,#REF!&lt;= table!$D$10),-1,IF(AND(#REF!&gt;=table!$E$10,#REF!&lt;=table!$F$10),1,0))</f>
        <v>#REF!</v>
      </c>
      <c r="V5120" s="5" t="e">
        <f>IF(AND(#REF!&gt;=table!$C$11,#REF!&lt;= table!$D$11),-1,IF(AND(#REF!&gt;=table!$E$11,#REF!&lt;=table!$F$11),1,0))</f>
        <v>#REF!</v>
      </c>
      <c r="W5120" s="5" t="e">
        <f>CONCATENATE(dados[[#This Row],[fator1]],dados[[#This Row],[fator5]],dados[[#This Row],[fator6]])</f>
        <v>#REF!</v>
      </c>
    </row>
    <row r="5121" spans="1:23">
      <c r="A5121" t="s">
        <v>16</v>
      </c>
      <c r="B5121">
        <v>591949</v>
      </c>
      <c r="C5121">
        <v>8</v>
      </c>
      <c r="D5121">
        <v>30</v>
      </c>
      <c r="E5121">
        <v>61</v>
      </c>
      <c r="F5121">
        <v>9</v>
      </c>
      <c r="G5121">
        <v>0</v>
      </c>
      <c r="H5121">
        <v>25</v>
      </c>
      <c r="I5121">
        <v>1277</v>
      </c>
      <c r="J5121">
        <v>0</v>
      </c>
      <c r="K5121">
        <v>5.0620000000000003</v>
      </c>
      <c r="L5121">
        <v>8.0084999999999997</v>
      </c>
      <c r="M5121">
        <v>36.822000000000003</v>
      </c>
      <c r="N5121">
        <v>11.305</v>
      </c>
      <c r="O5121">
        <v>1661</v>
      </c>
      <c r="P5121">
        <v>0</v>
      </c>
      <c r="Q5121" s="5" t="e">
        <f>IF(AND(#REF!&gt;=table!$C$6,#REF!&lt;= table!$D$6),-1,IF(AND(#REF!&gt;=table!$E$6,#REF!&lt;=table!$F$6),1,0))</f>
        <v>#REF!</v>
      </c>
      <c r="R5121" s="5" t="e">
        <f>IF(AND(#REF!&gt;=table!$C$7,#REF!&lt;= table!$D$7),-1,IF(AND(#REF!&gt;=table!$E$7,#REF!&lt;=table!$F$7),1,0))</f>
        <v>#REF!</v>
      </c>
      <c r="S5121" s="5" t="e">
        <f>IF(AND(#REF!&gt;=table!$C$8,#REF!&lt;= table!$D$8),-1,IF(AND(#REF!&gt;=table!$E$8,#REF!&lt;=table!$F$8),1,0))</f>
        <v>#REF!</v>
      </c>
      <c r="T5121" s="5"/>
      <c r="U5121" s="5" t="e">
        <f>IF(AND(#REF!&gt;=table!$C$10,#REF!&lt;= table!$D$10),-1,IF(AND(#REF!&gt;=table!$E$10,#REF!&lt;=table!$F$10),1,0))</f>
        <v>#REF!</v>
      </c>
      <c r="V5121" s="5" t="e">
        <f>IF(AND(#REF!&gt;=table!$C$11,#REF!&lt;= table!$D$11),-1,IF(AND(#REF!&gt;=table!$E$11,#REF!&lt;=table!$F$11),1,0))</f>
        <v>#REF!</v>
      </c>
      <c r="W5121" s="5" t="e">
        <f>CONCATENATE(dados[[#This Row],[fator1]],dados[[#This Row],[fator5]],dados[[#This Row],[fator6]])</f>
        <v>#REF!</v>
      </c>
    </row>
    <row r="5122" spans="1:23">
      <c r="A5122" t="s">
        <v>16</v>
      </c>
      <c r="B5122">
        <v>591950</v>
      </c>
      <c r="C5122">
        <v>6</v>
      </c>
      <c r="D5122">
        <v>40</v>
      </c>
      <c r="E5122">
        <v>66</v>
      </c>
      <c r="F5122">
        <v>10</v>
      </c>
      <c r="G5122">
        <v>0</v>
      </c>
      <c r="H5122">
        <v>25</v>
      </c>
      <c r="I5122">
        <v>61</v>
      </c>
      <c r="J5122">
        <v>0</v>
      </c>
      <c r="K5122">
        <v>7.0510000000000002</v>
      </c>
      <c r="L5122">
        <v>14.198500000000001</v>
      </c>
      <c r="M5122">
        <v>64.897500000000008</v>
      </c>
      <c r="N5122">
        <v>15.035</v>
      </c>
      <c r="O5122">
        <v>1673</v>
      </c>
      <c r="P5122">
        <v>0</v>
      </c>
      <c r="Q5122" s="5" t="e">
        <f>IF(AND(#REF!&gt;=table!$C$6,#REF!&lt;= table!$D$6),-1,IF(AND(#REF!&gt;=table!$E$6,#REF!&lt;=table!$F$6),1,0))</f>
        <v>#REF!</v>
      </c>
      <c r="R5122" s="5" t="e">
        <f>IF(AND(#REF!&gt;=table!$C$7,#REF!&lt;= table!$D$7),-1,IF(AND(#REF!&gt;=table!$E$7,#REF!&lt;=table!$F$7),1,0))</f>
        <v>#REF!</v>
      </c>
      <c r="S5122" s="5" t="e">
        <f>IF(AND(#REF!&gt;=table!$C$8,#REF!&lt;= table!$D$8),-1,IF(AND(#REF!&gt;=table!$E$8,#REF!&lt;=table!$F$8),1,0))</f>
        <v>#REF!</v>
      </c>
      <c r="T5122" s="5"/>
      <c r="U5122" s="5" t="e">
        <f>IF(AND(#REF!&gt;=table!$C$10,#REF!&lt;= table!$D$10),-1,IF(AND(#REF!&gt;=table!$E$10,#REF!&lt;=table!$F$10),1,0))</f>
        <v>#REF!</v>
      </c>
      <c r="V5122" s="5" t="e">
        <f>IF(AND(#REF!&gt;=table!$C$11,#REF!&lt;= table!$D$11),-1,IF(AND(#REF!&gt;=table!$E$11,#REF!&lt;=table!$F$11),1,0))</f>
        <v>#REF!</v>
      </c>
      <c r="W5122" s="5" t="e">
        <f>CONCATENATE(dados[[#This Row],[fator1]],dados[[#This Row],[fator5]],dados[[#This Row],[fator6]])</f>
        <v>#REF!</v>
      </c>
    </row>
    <row r="5123" spans="1:23">
      <c r="A5123" t="s">
        <v>16</v>
      </c>
      <c r="B5123">
        <v>591951</v>
      </c>
      <c r="C5123">
        <v>8</v>
      </c>
      <c r="D5123">
        <v>30</v>
      </c>
      <c r="E5123">
        <v>61</v>
      </c>
      <c r="F5123">
        <v>8</v>
      </c>
      <c r="G5123">
        <v>0</v>
      </c>
      <c r="H5123">
        <v>25</v>
      </c>
      <c r="I5123">
        <v>502</v>
      </c>
      <c r="J5123">
        <v>0</v>
      </c>
      <c r="K5123">
        <v>5.4640000000000004</v>
      </c>
      <c r="L5123">
        <v>12.2765</v>
      </c>
      <c r="M5123">
        <v>60.124500000000005</v>
      </c>
      <c r="N5123">
        <v>14.870000000000001</v>
      </c>
      <c r="O5123">
        <v>1695</v>
      </c>
      <c r="P5123">
        <v>721</v>
      </c>
      <c r="Q5123" s="5" t="e">
        <f>IF(AND(#REF!&gt;=table!$C$6,#REF!&lt;= table!$D$6),-1,IF(AND(#REF!&gt;=table!$E$6,#REF!&lt;=table!$F$6),1,0))</f>
        <v>#REF!</v>
      </c>
      <c r="R5123" s="5" t="e">
        <f>IF(AND(#REF!&gt;=table!$C$7,#REF!&lt;= table!$D$7),-1,IF(AND(#REF!&gt;=table!$E$7,#REF!&lt;=table!$F$7),1,0))</f>
        <v>#REF!</v>
      </c>
      <c r="S5123" s="5" t="e">
        <f>IF(AND(#REF!&gt;=table!$C$8,#REF!&lt;= table!$D$8),-1,IF(AND(#REF!&gt;=table!$E$8,#REF!&lt;=table!$F$8),1,0))</f>
        <v>#REF!</v>
      </c>
      <c r="T5123" s="5"/>
      <c r="U5123" s="5" t="e">
        <f>IF(AND(#REF!&gt;=table!$C$10,#REF!&lt;= table!$D$10),-1,IF(AND(#REF!&gt;=table!$E$10,#REF!&lt;=table!$F$10),1,0))</f>
        <v>#REF!</v>
      </c>
      <c r="V5123" s="5" t="e">
        <f>IF(AND(#REF!&gt;=table!$C$11,#REF!&lt;= table!$D$11),-1,IF(AND(#REF!&gt;=table!$E$11,#REF!&lt;=table!$F$11),1,0))</f>
        <v>#REF!</v>
      </c>
      <c r="W5123" s="5" t="e">
        <f>CONCATENATE(dados[[#This Row],[fator1]],dados[[#This Row],[fator5]],dados[[#This Row],[fator6]])</f>
        <v>#REF!</v>
      </c>
    </row>
    <row r="5124" spans="1:23">
      <c r="A5124" t="s">
        <v>16</v>
      </c>
      <c r="B5124">
        <v>591954</v>
      </c>
      <c r="C5124">
        <v>0.1</v>
      </c>
      <c r="D5124">
        <v>40</v>
      </c>
      <c r="E5124">
        <v>10</v>
      </c>
      <c r="F5124">
        <v>8</v>
      </c>
      <c r="G5124">
        <v>0</v>
      </c>
      <c r="H5124">
        <v>10</v>
      </c>
      <c r="I5124">
        <v>5</v>
      </c>
      <c r="J5124">
        <v>0</v>
      </c>
      <c r="K5124">
        <v>5.2355</v>
      </c>
      <c r="L5124">
        <v>13.370000000000001</v>
      </c>
      <c r="M5124">
        <v>10.6075</v>
      </c>
      <c r="N5124">
        <v>12.285</v>
      </c>
      <c r="O5124">
        <v>1708</v>
      </c>
      <c r="P5124">
        <v>0</v>
      </c>
      <c r="Q5124" s="5" t="e">
        <f>IF(AND(#REF!&gt;=table!$C$6,#REF!&lt;= table!$D$6),-1,IF(AND(#REF!&gt;=table!$E$6,#REF!&lt;=table!$F$6),1,0))</f>
        <v>#REF!</v>
      </c>
      <c r="R5124" s="5" t="e">
        <f>IF(AND(#REF!&gt;=table!$C$7,#REF!&lt;= table!$D$7),-1,IF(AND(#REF!&gt;=table!$E$7,#REF!&lt;=table!$F$7),1,0))</f>
        <v>#REF!</v>
      </c>
      <c r="S5124" s="5" t="e">
        <f>IF(AND(#REF!&gt;=table!$C$8,#REF!&lt;= table!$D$8),-1,IF(AND(#REF!&gt;=table!$E$8,#REF!&lt;=table!$F$8),1,0))</f>
        <v>#REF!</v>
      </c>
      <c r="T5124" s="5"/>
      <c r="U5124" s="5" t="e">
        <f>IF(AND(#REF!&gt;=table!$C$10,#REF!&lt;= table!$D$10),-1,IF(AND(#REF!&gt;=table!$E$10,#REF!&lt;=table!$F$10),1,0))</f>
        <v>#REF!</v>
      </c>
      <c r="V5124" s="5" t="e">
        <f>IF(AND(#REF!&gt;=table!$C$11,#REF!&lt;= table!$D$11),-1,IF(AND(#REF!&gt;=table!$E$11,#REF!&lt;=table!$F$11),1,0))</f>
        <v>#REF!</v>
      </c>
      <c r="W5124" s="5" t="e">
        <f>CONCATENATE(dados[[#This Row],[fator1]],dados[[#This Row],[fator5]],dados[[#This Row],[fator6]])</f>
        <v>#REF!</v>
      </c>
    </row>
    <row r="5125" spans="1:23">
      <c r="A5125" t="s">
        <v>17</v>
      </c>
      <c r="B5125">
        <v>591957</v>
      </c>
      <c r="C5125">
        <v>7</v>
      </c>
      <c r="D5125">
        <v>35</v>
      </c>
      <c r="E5125">
        <v>200</v>
      </c>
      <c r="F5125">
        <v>8</v>
      </c>
      <c r="G5125">
        <v>50</v>
      </c>
      <c r="H5125">
        <v>25</v>
      </c>
      <c r="I5125">
        <v>277</v>
      </c>
      <c r="J5125">
        <v>500</v>
      </c>
      <c r="K5125">
        <v>3.2535000000000003</v>
      </c>
      <c r="L5125">
        <v>13.207000000000001</v>
      </c>
      <c r="M5125">
        <v>188.15950000000001</v>
      </c>
      <c r="N5125">
        <v>16.850000000000001</v>
      </c>
      <c r="O5125">
        <v>1683</v>
      </c>
      <c r="P5125">
        <v>1741</v>
      </c>
      <c r="Q5125" s="5" t="e">
        <f>IF(AND(#REF!&gt;=table!$C$6,#REF!&lt;= table!$D$6),-1,IF(AND(#REF!&gt;=table!$E$6,#REF!&lt;=table!$F$6),1,0))</f>
        <v>#REF!</v>
      </c>
      <c r="R5125" s="5" t="e">
        <f>IF(AND(#REF!&gt;=table!$C$7,#REF!&lt;= table!$D$7),-1,IF(AND(#REF!&gt;=table!$E$7,#REF!&lt;=table!$F$7),1,0))</f>
        <v>#REF!</v>
      </c>
      <c r="S5125" s="5" t="e">
        <f>IF(AND(#REF!&gt;=table!$C$8,#REF!&lt;= table!$D$8),-1,IF(AND(#REF!&gt;=table!$E$8,#REF!&lt;=table!$F$8),1,0))</f>
        <v>#REF!</v>
      </c>
      <c r="T5125" s="5"/>
      <c r="U5125" s="5" t="e">
        <f>IF(AND(#REF!&gt;=table!$C$10,#REF!&lt;= table!$D$10),-1,IF(AND(#REF!&gt;=table!$E$10,#REF!&lt;=table!$F$10),1,0))</f>
        <v>#REF!</v>
      </c>
      <c r="V5125" s="5" t="e">
        <f>IF(AND(#REF!&gt;=table!$C$11,#REF!&lt;= table!$D$11),-1,IF(AND(#REF!&gt;=table!$E$11,#REF!&lt;=table!$F$11),1,0))</f>
        <v>#REF!</v>
      </c>
      <c r="W5125" s="5" t="e">
        <f>CONCATENATE(dados[[#This Row],[fator1]],dados[[#This Row],[fator5]],dados[[#This Row],[fator6]])</f>
        <v>#REF!</v>
      </c>
    </row>
    <row r="5126" spans="1:23">
      <c r="A5126" t="s">
        <v>17</v>
      </c>
      <c r="B5126">
        <v>591958</v>
      </c>
      <c r="C5126">
        <v>7</v>
      </c>
      <c r="D5126">
        <v>35</v>
      </c>
      <c r="E5126">
        <v>200</v>
      </c>
      <c r="F5126">
        <v>8</v>
      </c>
      <c r="G5126">
        <v>50</v>
      </c>
      <c r="H5126">
        <v>25</v>
      </c>
      <c r="I5126">
        <v>1269</v>
      </c>
      <c r="J5126">
        <v>0</v>
      </c>
      <c r="K5126">
        <v>3.1385000000000001</v>
      </c>
      <c r="L5126">
        <v>12.393000000000001</v>
      </c>
      <c r="M5126">
        <v>180.066</v>
      </c>
      <c r="N5126">
        <v>20.150000000000002</v>
      </c>
      <c r="O5126">
        <v>1685</v>
      </c>
      <c r="P5126">
        <v>0</v>
      </c>
      <c r="Q5126" s="5" t="e">
        <f>IF(AND(#REF!&gt;=table!$C$6,#REF!&lt;= table!$D$6),-1,IF(AND(#REF!&gt;=table!$E$6,#REF!&lt;=table!$F$6),1,0))</f>
        <v>#REF!</v>
      </c>
      <c r="R5126" s="5" t="e">
        <f>IF(AND(#REF!&gt;=table!$C$7,#REF!&lt;= table!$D$7),-1,IF(AND(#REF!&gt;=table!$E$7,#REF!&lt;=table!$F$7),1,0))</f>
        <v>#REF!</v>
      </c>
      <c r="S5126" s="5" t="e">
        <f>IF(AND(#REF!&gt;=table!$C$8,#REF!&lt;= table!$D$8),-1,IF(AND(#REF!&gt;=table!$E$8,#REF!&lt;=table!$F$8),1,0))</f>
        <v>#REF!</v>
      </c>
      <c r="T5126" s="5"/>
      <c r="U5126" s="5" t="e">
        <f>IF(AND(#REF!&gt;=table!$C$10,#REF!&lt;= table!$D$10),-1,IF(AND(#REF!&gt;=table!$E$10,#REF!&lt;=table!$F$10),1,0))</f>
        <v>#REF!</v>
      </c>
      <c r="V5126" s="5" t="e">
        <f>IF(AND(#REF!&gt;=table!$C$11,#REF!&lt;= table!$D$11),-1,IF(AND(#REF!&gt;=table!$E$11,#REF!&lt;=table!$F$11),1,0))</f>
        <v>#REF!</v>
      </c>
      <c r="W5126" s="5" t="e">
        <f>CONCATENATE(dados[[#This Row],[fator1]],dados[[#This Row],[fator5]],dados[[#This Row],[fator6]])</f>
        <v>#REF!</v>
      </c>
    </row>
    <row r="5127" spans="1:23">
      <c r="A5127" t="s">
        <v>16</v>
      </c>
      <c r="B5127">
        <v>591963</v>
      </c>
      <c r="C5127">
        <v>4</v>
      </c>
      <c r="D5127">
        <v>40</v>
      </c>
      <c r="E5127">
        <v>21</v>
      </c>
      <c r="F5127">
        <v>20</v>
      </c>
      <c r="G5127">
        <v>0</v>
      </c>
      <c r="H5127">
        <v>25</v>
      </c>
      <c r="I5127">
        <v>821</v>
      </c>
      <c r="J5127">
        <v>0</v>
      </c>
      <c r="K5127">
        <v>2.4385000000000003</v>
      </c>
      <c r="L5127">
        <v>7.3635000000000002</v>
      </c>
      <c r="M5127">
        <v>6.3715000000000002</v>
      </c>
      <c r="N5127">
        <v>10.69</v>
      </c>
      <c r="O5127">
        <v>1680</v>
      </c>
      <c r="P5127">
        <v>0</v>
      </c>
      <c r="Q5127" s="5" t="e">
        <f>IF(AND(#REF!&gt;=table!$C$6,#REF!&lt;= table!$D$6),-1,IF(AND(#REF!&gt;=table!$E$6,#REF!&lt;=table!$F$6),1,0))</f>
        <v>#REF!</v>
      </c>
      <c r="R5127" s="5" t="e">
        <f>IF(AND(#REF!&gt;=table!$C$7,#REF!&lt;= table!$D$7),-1,IF(AND(#REF!&gt;=table!$E$7,#REF!&lt;=table!$F$7),1,0))</f>
        <v>#REF!</v>
      </c>
      <c r="S5127" s="5" t="e">
        <f>IF(AND(#REF!&gt;=table!$C$8,#REF!&lt;= table!$D$8),-1,IF(AND(#REF!&gt;=table!$E$8,#REF!&lt;=table!$F$8),1,0))</f>
        <v>#REF!</v>
      </c>
      <c r="T5127" s="5"/>
      <c r="U5127" s="5" t="e">
        <f>IF(AND(#REF!&gt;=table!$C$10,#REF!&lt;= table!$D$10),-1,IF(AND(#REF!&gt;=table!$E$10,#REF!&lt;=table!$F$10),1,0))</f>
        <v>#REF!</v>
      </c>
      <c r="V5127" s="5" t="e">
        <f>IF(AND(#REF!&gt;=table!$C$11,#REF!&lt;= table!$D$11),-1,IF(AND(#REF!&gt;=table!$E$11,#REF!&lt;=table!$F$11),1,0))</f>
        <v>#REF!</v>
      </c>
      <c r="W5127" s="5" t="e">
        <f>CONCATENATE(dados[[#This Row],[fator1]],dados[[#This Row],[fator5]],dados[[#This Row],[fator6]])</f>
        <v>#REF!</v>
      </c>
    </row>
    <row r="5128" spans="1:23">
      <c r="A5128" t="s">
        <v>16</v>
      </c>
      <c r="B5128">
        <v>591964</v>
      </c>
      <c r="C5128">
        <v>4</v>
      </c>
      <c r="D5128">
        <v>40</v>
      </c>
      <c r="E5128">
        <v>21</v>
      </c>
      <c r="F5128">
        <v>20</v>
      </c>
      <c r="G5128">
        <v>0</v>
      </c>
      <c r="H5128">
        <v>25</v>
      </c>
      <c r="I5128">
        <v>1424</v>
      </c>
      <c r="J5128">
        <v>550</v>
      </c>
      <c r="K5128">
        <v>6.7145000000000001</v>
      </c>
      <c r="L5128">
        <v>10.1145</v>
      </c>
      <c r="M5128">
        <v>7.1120000000000001</v>
      </c>
      <c r="N5128">
        <v>9.6750000000000007</v>
      </c>
      <c r="O5128">
        <v>1642</v>
      </c>
      <c r="P5128">
        <v>513</v>
      </c>
      <c r="Q5128" s="5" t="e">
        <f>IF(AND(#REF!&gt;=table!$C$6,#REF!&lt;= table!$D$6),-1,IF(AND(#REF!&gt;=table!$E$6,#REF!&lt;=table!$F$6),1,0))</f>
        <v>#REF!</v>
      </c>
      <c r="R5128" s="5" t="e">
        <f>IF(AND(#REF!&gt;=table!$C$7,#REF!&lt;= table!$D$7),-1,IF(AND(#REF!&gt;=table!$E$7,#REF!&lt;=table!$F$7),1,0))</f>
        <v>#REF!</v>
      </c>
      <c r="S5128" s="5" t="e">
        <f>IF(AND(#REF!&gt;=table!$C$8,#REF!&lt;= table!$D$8),-1,IF(AND(#REF!&gt;=table!$E$8,#REF!&lt;=table!$F$8),1,0))</f>
        <v>#REF!</v>
      </c>
      <c r="T5128" s="5"/>
      <c r="U5128" s="5" t="e">
        <f>IF(AND(#REF!&gt;=table!$C$10,#REF!&lt;= table!$D$10),-1,IF(AND(#REF!&gt;=table!$E$10,#REF!&lt;=table!$F$10),1,0))</f>
        <v>#REF!</v>
      </c>
      <c r="V5128" s="5" t="e">
        <f>IF(AND(#REF!&gt;=table!$C$11,#REF!&lt;= table!$D$11),-1,IF(AND(#REF!&gt;=table!$E$11,#REF!&lt;=table!$F$11),1,0))</f>
        <v>#REF!</v>
      </c>
      <c r="W5128" s="5" t="e">
        <f>CONCATENATE(dados[[#This Row],[fator1]],dados[[#This Row],[fator5]],dados[[#This Row],[fator6]])</f>
        <v>#REF!</v>
      </c>
    </row>
    <row r="5129" spans="1:23">
      <c r="A5129" t="s">
        <v>16</v>
      </c>
      <c r="B5129">
        <v>591965</v>
      </c>
      <c r="C5129">
        <v>4</v>
      </c>
      <c r="D5129">
        <v>40</v>
      </c>
      <c r="E5129">
        <v>21</v>
      </c>
      <c r="F5129">
        <v>20</v>
      </c>
      <c r="G5129">
        <v>0</v>
      </c>
      <c r="H5129">
        <v>25</v>
      </c>
      <c r="I5129">
        <v>819</v>
      </c>
      <c r="J5129">
        <v>0</v>
      </c>
      <c r="K5129">
        <v>3.6470000000000002</v>
      </c>
      <c r="L5129">
        <v>11.784000000000001</v>
      </c>
      <c r="M5129">
        <v>9.8354999999999997</v>
      </c>
      <c r="N5129">
        <v>18.53</v>
      </c>
      <c r="O5129">
        <v>1688</v>
      </c>
      <c r="P5129">
        <v>1087</v>
      </c>
      <c r="Q5129" s="5" t="e">
        <f>IF(AND(#REF!&gt;=table!$C$6,#REF!&lt;= table!$D$6),-1,IF(AND(#REF!&gt;=table!$E$6,#REF!&lt;=table!$F$6),1,0))</f>
        <v>#REF!</v>
      </c>
      <c r="R5129" s="5" t="e">
        <f>IF(AND(#REF!&gt;=table!$C$7,#REF!&lt;= table!$D$7),-1,IF(AND(#REF!&gt;=table!$E$7,#REF!&lt;=table!$F$7),1,0))</f>
        <v>#REF!</v>
      </c>
      <c r="S5129" s="5" t="e">
        <f>IF(AND(#REF!&gt;=table!$C$8,#REF!&lt;= table!$D$8),-1,IF(AND(#REF!&gt;=table!$E$8,#REF!&lt;=table!$F$8),1,0))</f>
        <v>#REF!</v>
      </c>
      <c r="T5129" s="5"/>
      <c r="U5129" s="5" t="e">
        <f>IF(AND(#REF!&gt;=table!$C$10,#REF!&lt;= table!$D$10),-1,IF(AND(#REF!&gt;=table!$E$10,#REF!&lt;=table!$F$10),1,0))</f>
        <v>#REF!</v>
      </c>
      <c r="V5129" s="5" t="e">
        <f>IF(AND(#REF!&gt;=table!$C$11,#REF!&lt;= table!$D$11),-1,IF(AND(#REF!&gt;=table!$E$11,#REF!&lt;=table!$F$11),1,0))</f>
        <v>#REF!</v>
      </c>
      <c r="W5129" s="5" t="e">
        <f>CONCATENATE(dados[[#This Row],[fator1]],dados[[#This Row],[fator5]],dados[[#This Row],[fator6]])</f>
        <v>#REF!</v>
      </c>
    </row>
    <row r="5130" spans="1:23">
      <c r="A5130" t="s">
        <v>16</v>
      </c>
      <c r="B5130">
        <v>591966</v>
      </c>
      <c r="C5130">
        <v>4</v>
      </c>
      <c r="D5130">
        <v>40</v>
      </c>
      <c r="E5130">
        <v>21</v>
      </c>
      <c r="F5130">
        <v>20</v>
      </c>
      <c r="G5130">
        <v>0</v>
      </c>
      <c r="H5130">
        <v>25</v>
      </c>
      <c r="I5130">
        <v>66</v>
      </c>
      <c r="J5130">
        <v>0</v>
      </c>
      <c r="K5130">
        <v>4.2560000000000002</v>
      </c>
      <c r="L5130">
        <v>8.6285000000000007</v>
      </c>
      <c r="M5130">
        <v>16.594000000000001</v>
      </c>
      <c r="N5130">
        <v>15.56</v>
      </c>
      <c r="O5130">
        <v>1672</v>
      </c>
      <c r="P5130">
        <v>838</v>
      </c>
      <c r="Q5130" s="5" t="e">
        <f>IF(AND(#REF!&gt;=table!$C$6,#REF!&lt;= table!$D$6),-1,IF(AND(#REF!&gt;=table!$E$6,#REF!&lt;=table!$F$6),1,0))</f>
        <v>#REF!</v>
      </c>
      <c r="R5130" s="5" t="e">
        <f>IF(AND(#REF!&gt;=table!$C$7,#REF!&lt;= table!$D$7),-1,IF(AND(#REF!&gt;=table!$E$7,#REF!&lt;=table!$F$7),1,0))</f>
        <v>#REF!</v>
      </c>
      <c r="S5130" s="5" t="e">
        <f>IF(AND(#REF!&gt;=table!$C$8,#REF!&lt;= table!$D$8),-1,IF(AND(#REF!&gt;=table!$E$8,#REF!&lt;=table!$F$8),1,0))</f>
        <v>#REF!</v>
      </c>
      <c r="T5130" s="5"/>
      <c r="U5130" s="5" t="e">
        <f>IF(AND(#REF!&gt;=table!$C$10,#REF!&lt;= table!$D$10),-1,IF(AND(#REF!&gt;=table!$E$10,#REF!&lt;=table!$F$10),1,0))</f>
        <v>#REF!</v>
      </c>
      <c r="V5130" s="5" t="e">
        <f>IF(AND(#REF!&gt;=table!$C$11,#REF!&lt;= table!$D$11),-1,IF(AND(#REF!&gt;=table!$E$11,#REF!&lt;=table!$F$11),1,0))</f>
        <v>#REF!</v>
      </c>
      <c r="W5130" s="5" t="e">
        <f>CONCATENATE(dados[[#This Row],[fator1]],dados[[#This Row],[fator5]],dados[[#This Row],[fator6]])</f>
        <v>#REF!</v>
      </c>
    </row>
    <row r="5131" spans="1:23">
      <c r="A5131" t="s">
        <v>17</v>
      </c>
      <c r="B5131">
        <v>591967</v>
      </c>
      <c r="C5131">
        <v>10</v>
      </c>
      <c r="D5131">
        <v>25</v>
      </c>
      <c r="E5131">
        <v>40</v>
      </c>
      <c r="F5131">
        <v>10</v>
      </c>
      <c r="G5131">
        <v>110</v>
      </c>
      <c r="H5131">
        <v>50</v>
      </c>
      <c r="I5131">
        <v>1</v>
      </c>
      <c r="J5131">
        <v>0</v>
      </c>
      <c r="K5131">
        <v>3.1350000000000002</v>
      </c>
      <c r="L5131">
        <v>6.6505000000000001</v>
      </c>
      <c r="M5131">
        <v>32.254000000000005</v>
      </c>
      <c r="N5131">
        <v>27.21</v>
      </c>
      <c r="O5131">
        <v>1639</v>
      </c>
      <c r="P5131">
        <v>0</v>
      </c>
      <c r="Q5131" s="5" t="e">
        <f>IF(AND(#REF!&gt;=table!$C$6,#REF!&lt;= table!$D$6),-1,IF(AND(#REF!&gt;=table!$E$6,#REF!&lt;=table!$F$6),1,0))</f>
        <v>#REF!</v>
      </c>
      <c r="R5131" s="5" t="e">
        <f>IF(AND(#REF!&gt;=table!$C$7,#REF!&lt;= table!$D$7),-1,IF(AND(#REF!&gt;=table!$E$7,#REF!&lt;=table!$F$7),1,0))</f>
        <v>#REF!</v>
      </c>
      <c r="S5131" s="5" t="e">
        <f>IF(AND(#REF!&gt;=table!$C$8,#REF!&lt;= table!$D$8),-1,IF(AND(#REF!&gt;=table!$E$8,#REF!&lt;=table!$F$8),1,0))</f>
        <v>#REF!</v>
      </c>
      <c r="T5131" s="5"/>
      <c r="U5131" s="5" t="e">
        <f>IF(AND(#REF!&gt;=table!$C$10,#REF!&lt;= table!$D$10),-1,IF(AND(#REF!&gt;=table!$E$10,#REF!&lt;=table!$F$10),1,0))</f>
        <v>#REF!</v>
      </c>
      <c r="V5131" s="5" t="e">
        <f>IF(AND(#REF!&gt;=table!$C$11,#REF!&lt;= table!$D$11),-1,IF(AND(#REF!&gt;=table!$E$11,#REF!&lt;=table!$F$11),1,0))</f>
        <v>#REF!</v>
      </c>
      <c r="W5131" s="5" t="e">
        <f>CONCATENATE(dados[[#This Row],[fator1]],dados[[#This Row],[fator5]],dados[[#This Row],[fator6]])</f>
        <v>#REF!</v>
      </c>
    </row>
    <row r="5132" spans="1:23">
      <c r="A5132" t="s">
        <v>17</v>
      </c>
      <c r="B5132">
        <v>591968</v>
      </c>
      <c r="C5132">
        <v>10</v>
      </c>
      <c r="D5132">
        <v>25</v>
      </c>
      <c r="E5132">
        <v>40</v>
      </c>
      <c r="F5132">
        <v>10</v>
      </c>
      <c r="G5132">
        <v>110</v>
      </c>
      <c r="H5132">
        <v>50</v>
      </c>
      <c r="I5132">
        <v>465</v>
      </c>
      <c r="J5132">
        <v>0</v>
      </c>
      <c r="K5132">
        <v>4.2490000000000006</v>
      </c>
      <c r="L5132">
        <v>6.569</v>
      </c>
      <c r="M5132">
        <v>38.164999999999999</v>
      </c>
      <c r="N5132">
        <v>25.525000000000002</v>
      </c>
      <c r="O5132">
        <v>1652</v>
      </c>
      <c r="P5132">
        <v>942</v>
      </c>
      <c r="Q5132" s="5" t="e">
        <f>IF(AND(#REF!&gt;=table!$C$6,#REF!&lt;= table!$D$6),-1,IF(AND(#REF!&gt;=table!$E$6,#REF!&lt;=table!$F$6),1,0))</f>
        <v>#REF!</v>
      </c>
      <c r="R5132" s="5" t="e">
        <f>IF(AND(#REF!&gt;=table!$C$7,#REF!&lt;= table!$D$7),-1,IF(AND(#REF!&gt;=table!$E$7,#REF!&lt;=table!$F$7),1,0))</f>
        <v>#REF!</v>
      </c>
      <c r="S5132" s="5" t="e">
        <f>IF(AND(#REF!&gt;=table!$C$8,#REF!&lt;= table!$D$8),-1,IF(AND(#REF!&gt;=table!$E$8,#REF!&lt;=table!$F$8),1,0))</f>
        <v>#REF!</v>
      </c>
      <c r="T5132" s="5"/>
      <c r="U5132" s="5" t="e">
        <f>IF(AND(#REF!&gt;=table!$C$10,#REF!&lt;= table!$D$10),-1,IF(AND(#REF!&gt;=table!$E$10,#REF!&lt;=table!$F$10),1,0))</f>
        <v>#REF!</v>
      </c>
      <c r="V5132" s="5" t="e">
        <f>IF(AND(#REF!&gt;=table!$C$11,#REF!&lt;= table!$D$11),-1,IF(AND(#REF!&gt;=table!$E$11,#REF!&lt;=table!$F$11),1,0))</f>
        <v>#REF!</v>
      </c>
      <c r="W5132" s="5" t="e">
        <f>CONCATENATE(dados[[#This Row],[fator1]],dados[[#This Row],[fator5]],dados[[#This Row],[fator6]])</f>
        <v>#REF!</v>
      </c>
    </row>
    <row r="5133" spans="1:23">
      <c r="A5133" t="s">
        <v>17</v>
      </c>
      <c r="B5133">
        <v>591969</v>
      </c>
      <c r="C5133">
        <v>10</v>
      </c>
      <c r="D5133">
        <v>25</v>
      </c>
      <c r="E5133">
        <v>40</v>
      </c>
      <c r="F5133">
        <v>10</v>
      </c>
      <c r="G5133">
        <v>110</v>
      </c>
      <c r="H5133">
        <v>50</v>
      </c>
      <c r="I5133">
        <v>178</v>
      </c>
      <c r="J5133">
        <v>0</v>
      </c>
      <c r="K5133">
        <v>5.7885</v>
      </c>
      <c r="L5133">
        <v>13.882000000000001</v>
      </c>
      <c r="M5133">
        <v>44.644000000000005</v>
      </c>
      <c r="N5133">
        <v>36.590000000000003</v>
      </c>
      <c r="O5133">
        <v>1669</v>
      </c>
      <c r="P5133">
        <v>576</v>
      </c>
      <c r="Q5133" s="5" t="e">
        <f>IF(AND(#REF!&gt;=table!$C$6,#REF!&lt;= table!$D$6),-1,IF(AND(#REF!&gt;=table!$E$6,#REF!&lt;=table!$F$6),1,0))</f>
        <v>#REF!</v>
      </c>
      <c r="R5133" s="5" t="e">
        <f>IF(AND(#REF!&gt;=table!$C$7,#REF!&lt;= table!$D$7),-1,IF(AND(#REF!&gt;=table!$E$7,#REF!&lt;=table!$F$7),1,0))</f>
        <v>#REF!</v>
      </c>
      <c r="S5133" s="5" t="e">
        <f>IF(AND(#REF!&gt;=table!$C$8,#REF!&lt;= table!$D$8),-1,IF(AND(#REF!&gt;=table!$E$8,#REF!&lt;=table!$F$8),1,0))</f>
        <v>#REF!</v>
      </c>
      <c r="T5133" s="5"/>
      <c r="U5133" s="5" t="e">
        <f>IF(AND(#REF!&gt;=table!$C$10,#REF!&lt;= table!$D$10),-1,IF(AND(#REF!&gt;=table!$E$10,#REF!&lt;=table!$F$10),1,0))</f>
        <v>#REF!</v>
      </c>
      <c r="V5133" s="5" t="e">
        <f>IF(AND(#REF!&gt;=table!$C$11,#REF!&lt;= table!$D$11),-1,IF(AND(#REF!&gt;=table!$E$11,#REF!&lt;=table!$F$11),1,0))</f>
        <v>#REF!</v>
      </c>
      <c r="W5133" s="5" t="e">
        <f>CONCATENATE(dados[[#This Row],[fator1]],dados[[#This Row],[fator5]],dados[[#This Row],[fator6]])</f>
        <v>#REF!</v>
      </c>
    </row>
    <row r="5134" spans="1:23">
      <c r="A5134" t="s">
        <v>17</v>
      </c>
      <c r="B5134">
        <v>591970</v>
      </c>
      <c r="C5134">
        <v>4</v>
      </c>
      <c r="D5134">
        <v>25</v>
      </c>
      <c r="E5134">
        <v>21</v>
      </c>
      <c r="F5134">
        <v>10</v>
      </c>
      <c r="G5134">
        <v>110</v>
      </c>
      <c r="H5134">
        <v>50</v>
      </c>
      <c r="I5134">
        <v>293</v>
      </c>
      <c r="J5134">
        <v>0</v>
      </c>
      <c r="K5134">
        <v>6.1915000000000004</v>
      </c>
      <c r="L5134">
        <v>9.5340000000000007</v>
      </c>
      <c r="M5134">
        <v>8.827</v>
      </c>
      <c r="N5134">
        <v>13.185</v>
      </c>
      <c r="O5134">
        <v>1695</v>
      </c>
      <c r="P5134">
        <v>670</v>
      </c>
      <c r="Q5134" s="5" t="e">
        <f>IF(AND(#REF!&gt;=table!$C$6,#REF!&lt;= table!$D$6),-1,IF(AND(#REF!&gt;=table!$E$6,#REF!&lt;=table!$F$6),1,0))</f>
        <v>#REF!</v>
      </c>
      <c r="R5134" s="5" t="e">
        <f>IF(AND(#REF!&gt;=table!$C$7,#REF!&lt;= table!$D$7),-1,IF(AND(#REF!&gt;=table!$E$7,#REF!&lt;=table!$F$7),1,0))</f>
        <v>#REF!</v>
      </c>
      <c r="S5134" s="5" t="e">
        <f>IF(AND(#REF!&gt;=table!$C$8,#REF!&lt;= table!$D$8),-1,IF(AND(#REF!&gt;=table!$E$8,#REF!&lt;=table!$F$8),1,0))</f>
        <v>#REF!</v>
      </c>
      <c r="T5134" s="5"/>
      <c r="U5134" s="5" t="e">
        <f>IF(AND(#REF!&gt;=table!$C$10,#REF!&lt;= table!$D$10),-1,IF(AND(#REF!&gt;=table!$E$10,#REF!&lt;=table!$F$10),1,0))</f>
        <v>#REF!</v>
      </c>
      <c r="V5134" s="5" t="e">
        <f>IF(AND(#REF!&gt;=table!$C$11,#REF!&lt;= table!$D$11),-1,IF(AND(#REF!&gt;=table!$E$11,#REF!&lt;=table!$F$11),1,0))</f>
        <v>#REF!</v>
      </c>
      <c r="W5134" s="5" t="e">
        <f>CONCATENATE(dados[[#This Row],[fator1]],dados[[#This Row],[fator5]],dados[[#This Row],[fator6]])</f>
        <v>#REF!</v>
      </c>
    </row>
    <row r="5135" spans="1:23">
      <c r="A5135" t="s">
        <v>16</v>
      </c>
      <c r="B5135">
        <v>591977</v>
      </c>
      <c r="C5135">
        <v>16</v>
      </c>
      <c r="D5135">
        <v>35</v>
      </c>
      <c r="E5135">
        <v>56</v>
      </c>
      <c r="F5135">
        <v>10</v>
      </c>
      <c r="G5135">
        <v>0</v>
      </c>
      <c r="H5135">
        <v>25</v>
      </c>
      <c r="I5135">
        <v>7</v>
      </c>
      <c r="J5135">
        <v>0</v>
      </c>
      <c r="K5135">
        <v>6.4495000000000005</v>
      </c>
      <c r="L5135">
        <v>15.952</v>
      </c>
      <c r="M5135">
        <v>58.943000000000005</v>
      </c>
      <c r="N5135">
        <v>18.115000000000002</v>
      </c>
      <c r="O5135">
        <v>1671</v>
      </c>
      <c r="P5135">
        <v>546</v>
      </c>
      <c r="Q5135" s="5" t="e">
        <f>IF(AND(#REF!&gt;=table!$C$6,#REF!&lt;= table!$D$6),-1,IF(AND(#REF!&gt;=table!$E$6,#REF!&lt;=table!$F$6),1,0))</f>
        <v>#REF!</v>
      </c>
      <c r="R5135" s="5" t="e">
        <f>IF(AND(#REF!&gt;=table!$C$7,#REF!&lt;= table!$D$7),-1,IF(AND(#REF!&gt;=table!$E$7,#REF!&lt;=table!$F$7),1,0))</f>
        <v>#REF!</v>
      </c>
      <c r="S5135" s="5" t="e">
        <f>IF(AND(#REF!&gt;=table!$C$8,#REF!&lt;= table!$D$8),-1,IF(AND(#REF!&gt;=table!$E$8,#REF!&lt;=table!$F$8),1,0))</f>
        <v>#REF!</v>
      </c>
      <c r="T5135" s="5"/>
      <c r="U5135" s="5" t="e">
        <f>IF(AND(#REF!&gt;=table!$C$10,#REF!&lt;= table!$D$10),-1,IF(AND(#REF!&gt;=table!$E$10,#REF!&lt;=table!$F$10),1,0))</f>
        <v>#REF!</v>
      </c>
      <c r="V5135" s="5" t="e">
        <f>IF(AND(#REF!&gt;=table!$C$11,#REF!&lt;= table!$D$11),-1,IF(AND(#REF!&gt;=table!$E$11,#REF!&lt;=table!$F$11),1,0))</f>
        <v>#REF!</v>
      </c>
      <c r="W5135" s="5" t="e">
        <f>CONCATENATE(dados[[#This Row],[fator1]],dados[[#This Row],[fator5]],dados[[#This Row],[fator6]])</f>
        <v>#REF!</v>
      </c>
    </row>
    <row r="5136" spans="1:23">
      <c r="A5136" t="s">
        <v>17</v>
      </c>
      <c r="B5136">
        <v>591983</v>
      </c>
      <c r="C5136">
        <v>10</v>
      </c>
      <c r="D5136">
        <v>30</v>
      </c>
      <c r="E5136">
        <v>135</v>
      </c>
      <c r="F5136">
        <v>2</v>
      </c>
      <c r="G5136">
        <v>20</v>
      </c>
      <c r="H5136">
        <v>18</v>
      </c>
      <c r="I5136">
        <v>0</v>
      </c>
      <c r="J5136">
        <v>0</v>
      </c>
      <c r="K5136">
        <v>4.2725</v>
      </c>
      <c r="L5136">
        <v>8.2515000000000001</v>
      </c>
      <c r="M5136">
        <v>65.700500000000005</v>
      </c>
      <c r="N5136">
        <v>12.165000000000001</v>
      </c>
      <c r="O5136">
        <v>1682</v>
      </c>
      <c r="P5136">
        <v>806</v>
      </c>
      <c r="Q5136" s="5" t="e">
        <f>IF(AND(#REF!&gt;=table!$C$6,#REF!&lt;= table!$D$6),-1,IF(AND(#REF!&gt;=table!$E$6,#REF!&lt;=table!$F$6),1,0))</f>
        <v>#REF!</v>
      </c>
      <c r="R5136" s="5" t="e">
        <f>IF(AND(#REF!&gt;=table!$C$7,#REF!&lt;= table!$D$7),-1,IF(AND(#REF!&gt;=table!$E$7,#REF!&lt;=table!$F$7),1,0))</f>
        <v>#REF!</v>
      </c>
      <c r="S5136" s="5" t="e">
        <f>IF(AND(#REF!&gt;=table!$C$8,#REF!&lt;= table!$D$8),-1,IF(AND(#REF!&gt;=table!$E$8,#REF!&lt;=table!$F$8),1,0))</f>
        <v>#REF!</v>
      </c>
      <c r="T5136" s="5"/>
      <c r="U5136" s="5" t="e">
        <f>IF(AND(#REF!&gt;=table!$C$10,#REF!&lt;= table!$D$10),-1,IF(AND(#REF!&gt;=table!$E$10,#REF!&lt;=table!$F$10),1,0))</f>
        <v>#REF!</v>
      </c>
      <c r="V5136" s="5" t="e">
        <f>IF(AND(#REF!&gt;=table!$C$11,#REF!&lt;= table!$D$11),-1,IF(AND(#REF!&gt;=table!$E$11,#REF!&lt;=table!$F$11),1,0))</f>
        <v>#REF!</v>
      </c>
      <c r="W5136" s="5" t="e">
        <f>CONCATENATE(dados[[#This Row],[fator1]],dados[[#This Row],[fator5]],dados[[#This Row],[fator6]])</f>
        <v>#REF!</v>
      </c>
    </row>
    <row r="5137" spans="1:23">
      <c r="A5137" t="s">
        <v>17</v>
      </c>
      <c r="B5137">
        <v>591984</v>
      </c>
      <c r="C5137">
        <v>10</v>
      </c>
      <c r="D5137">
        <v>30</v>
      </c>
      <c r="E5137">
        <v>135</v>
      </c>
      <c r="F5137">
        <v>2</v>
      </c>
      <c r="G5137">
        <v>20</v>
      </c>
      <c r="H5137">
        <v>18</v>
      </c>
      <c r="I5137">
        <v>1150</v>
      </c>
      <c r="J5137">
        <v>0</v>
      </c>
      <c r="K5137">
        <v>4.2725</v>
      </c>
      <c r="L5137">
        <v>8.2515000000000001</v>
      </c>
      <c r="M5137">
        <v>94.387</v>
      </c>
      <c r="N5137">
        <v>12.355</v>
      </c>
      <c r="O5137">
        <v>1678</v>
      </c>
      <c r="P5137">
        <v>0</v>
      </c>
      <c r="Q5137" s="5" t="e">
        <f>IF(AND(#REF!&gt;=table!$C$6,#REF!&lt;= table!$D$6),-1,IF(AND(#REF!&gt;=table!$E$6,#REF!&lt;=table!$F$6),1,0))</f>
        <v>#REF!</v>
      </c>
      <c r="R5137" s="5" t="e">
        <f>IF(AND(#REF!&gt;=table!$C$7,#REF!&lt;= table!$D$7),-1,IF(AND(#REF!&gt;=table!$E$7,#REF!&lt;=table!$F$7),1,0))</f>
        <v>#REF!</v>
      </c>
      <c r="S5137" s="5" t="e">
        <f>IF(AND(#REF!&gt;=table!$C$8,#REF!&lt;= table!$D$8),-1,IF(AND(#REF!&gt;=table!$E$8,#REF!&lt;=table!$F$8),1,0))</f>
        <v>#REF!</v>
      </c>
      <c r="T5137" s="5"/>
      <c r="U5137" s="5" t="e">
        <f>IF(AND(#REF!&gt;=table!$C$10,#REF!&lt;= table!$D$10),-1,IF(AND(#REF!&gt;=table!$E$10,#REF!&lt;=table!$F$10),1,0))</f>
        <v>#REF!</v>
      </c>
      <c r="V5137" s="5" t="e">
        <f>IF(AND(#REF!&gt;=table!$C$11,#REF!&lt;= table!$D$11),-1,IF(AND(#REF!&gt;=table!$E$11,#REF!&lt;=table!$F$11),1,0))</f>
        <v>#REF!</v>
      </c>
      <c r="W5137" s="5" t="e">
        <f>CONCATENATE(dados[[#This Row],[fator1]],dados[[#This Row],[fator5]],dados[[#This Row],[fator6]])</f>
        <v>#REF!</v>
      </c>
    </row>
    <row r="5138" spans="1:23">
      <c r="A5138" t="s">
        <v>16</v>
      </c>
      <c r="B5138">
        <v>591986</v>
      </c>
      <c r="C5138">
        <v>11</v>
      </c>
      <c r="D5138">
        <v>40</v>
      </c>
      <c r="E5138">
        <v>151</v>
      </c>
      <c r="F5138">
        <v>8</v>
      </c>
      <c r="G5138">
        <v>0</v>
      </c>
      <c r="H5138">
        <v>25</v>
      </c>
      <c r="I5138">
        <v>0</v>
      </c>
      <c r="J5138">
        <v>0</v>
      </c>
      <c r="K5138">
        <v>3.7195</v>
      </c>
      <c r="L5138">
        <v>7.8625000000000007</v>
      </c>
      <c r="M5138">
        <v>106.94800000000001</v>
      </c>
      <c r="N5138">
        <v>15.735000000000001</v>
      </c>
      <c r="O5138">
        <v>1680</v>
      </c>
      <c r="P5138">
        <v>1183</v>
      </c>
      <c r="Q5138" s="5" t="e">
        <f>IF(AND(#REF!&gt;=table!$C$6,#REF!&lt;= table!$D$6),-1,IF(AND(#REF!&gt;=table!$E$6,#REF!&lt;=table!$F$6),1,0))</f>
        <v>#REF!</v>
      </c>
      <c r="R5138" s="5" t="e">
        <f>IF(AND(#REF!&gt;=table!$C$7,#REF!&lt;= table!$D$7),-1,IF(AND(#REF!&gt;=table!$E$7,#REF!&lt;=table!$F$7),1,0))</f>
        <v>#REF!</v>
      </c>
      <c r="S5138" s="5" t="e">
        <f>IF(AND(#REF!&gt;=table!$C$8,#REF!&lt;= table!$D$8),-1,IF(AND(#REF!&gt;=table!$E$8,#REF!&lt;=table!$F$8),1,0))</f>
        <v>#REF!</v>
      </c>
      <c r="T5138" s="5"/>
      <c r="U5138" s="5" t="e">
        <f>IF(AND(#REF!&gt;=table!$C$10,#REF!&lt;= table!$D$10),-1,IF(AND(#REF!&gt;=table!$E$10,#REF!&lt;=table!$F$10),1,0))</f>
        <v>#REF!</v>
      </c>
      <c r="V5138" s="5" t="e">
        <f>IF(AND(#REF!&gt;=table!$C$11,#REF!&lt;= table!$D$11),-1,IF(AND(#REF!&gt;=table!$E$11,#REF!&lt;=table!$F$11),1,0))</f>
        <v>#REF!</v>
      </c>
      <c r="W5138" s="5" t="e">
        <f>CONCATENATE(dados[[#This Row],[fator1]],dados[[#This Row],[fator5]],dados[[#This Row],[fator6]])</f>
        <v>#REF!</v>
      </c>
    </row>
    <row r="5139" spans="1:23">
      <c r="A5139" t="s">
        <v>16</v>
      </c>
      <c r="B5139">
        <v>591987</v>
      </c>
      <c r="C5139">
        <v>11</v>
      </c>
      <c r="D5139">
        <v>40</v>
      </c>
      <c r="E5139">
        <v>151</v>
      </c>
      <c r="F5139">
        <v>8</v>
      </c>
      <c r="G5139">
        <v>0</v>
      </c>
      <c r="H5139">
        <v>25</v>
      </c>
      <c r="I5139">
        <v>0</v>
      </c>
      <c r="J5139">
        <v>0</v>
      </c>
      <c r="K5139">
        <v>4.8639999999999999</v>
      </c>
      <c r="L5139">
        <v>8.8990000000000009</v>
      </c>
      <c r="M5139">
        <v>149.68300000000002</v>
      </c>
      <c r="N5139">
        <v>15.895000000000001</v>
      </c>
      <c r="O5139">
        <v>1655</v>
      </c>
      <c r="P5139">
        <v>858</v>
      </c>
      <c r="Q5139" s="5" t="e">
        <f>IF(AND(#REF!&gt;=table!$C$6,#REF!&lt;= table!$D$6),-1,IF(AND(#REF!&gt;=table!$E$6,#REF!&lt;=table!$F$6),1,0))</f>
        <v>#REF!</v>
      </c>
      <c r="R5139" s="5" t="e">
        <f>IF(AND(#REF!&gt;=table!$C$7,#REF!&lt;= table!$D$7),-1,IF(AND(#REF!&gt;=table!$E$7,#REF!&lt;=table!$F$7),1,0))</f>
        <v>#REF!</v>
      </c>
      <c r="S5139" s="5" t="e">
        <f>IF(AND(#REF!&gt;=table!$C$8,#REF!&lt;= table!$D$8),-1,IF(AND(#REF!&gt;=table!$E$8,#REF!&lt;=table!$F$8),1,0))</f>
        <v>#REF!</v>
      </c>
      <c r="T5139" s="5"/>
      <c r="U5139" s="5" t="e">
        <f>IF(AND(#REF!&gt;=table!$C$10,#REF!&lt;= table!$D$10),-1,IF(AND(#REF!&gt;=table!$E$10,#REF!&lt;=table!$F$10),1,0))</f>
        <v>#REF!</v>
      </c>
      <c r="V5139" s="5" t="e">
        <f>IF(AND(#REF!&gt;=table!$C$11,#REF!&lt;= table!$D$11),-1,IF(AND(#REF!&gt;=table!$E$11,#REF!&lt;=table!$F$11),1,0))</f>
        <v>#REF!</v>
      </c>
      <c r="W5139" s="5" t="e">
        <f>CONCATENATE(dados[[#This Row],[fator1]],dados[[#This Row],[fator5]],dados[[#This Row],[fator6]])</f>
        <v>#REF!</v>
      </c>
    </row>
    <row r="5140" spans="1:23">
      <c r="A5140" t="s">
        <v>16</v>
      </c>
      <c r="B5140">
        <v>591988</v>
      </c>
      <c r="C5140">
        <v>11</v>
      </c>
      <c r="D5140">
        <v>40</v>
      </c>
      <c r="E5140">
        <v>151</v>
      </c>
      <c r="F5140">
        <v>8</v>
      </c>
      <c r="G5140">
        <v>0</v>
      </c>
      <c r="H5140">
        <v>25</v>
      </c>
      <c r="I5140">
        <v>0</v>
      </c>
      <c r="J5140">
        <v>0</v>
      </c>
      <c r="K5140">
        <v>4.8239999999999998</v>
      </c>
      <c r="L5140">
        <v>11.045</v>
      </c>
      <c r="M5140">
        <v>107.1875</v>
      </c>
      <c r="N5140">
        <v>19.309999999999999</v>
      </c>
      <c r="O5140">
        <v>1678</v>
      </c>
      <c r="P5140">
        <v>0</v>
      </c>
      <c r="Q5140" s="5" t="e">
        <f>IF(AND(#REF!&gt;=table!$C$6,#REF!&lt;= table!$D$6),-1,IF(AND(#REF!&gt;=table!$E$6,#REF!&lt;=table!$F$6),1,0))</f>
        <v>#REF!</v>
      </c>
      <c r="R5140" s="5" t="e">
        <f>IF(AND(#REF!&gt;=table!$C$7,#REF!&lt;= table!$D$7),-1,IF(AND(#REF!&gt;=table!$E$7,#REF!&lt;=table!$F$7),1,0))</f>
        <v>#REF!</v>
      </c>
      <c r="S5140" s="5" t="e">
        <f>IF(AND(#REF!&gt;=table!$C$8,#REF!&lt;= table!$D$8),-1,IF(AND(#REF!&gt;=table!$E$8,#REF!&lt;=table!$F$8),1,0))</f>
        <v>#REF!</v>
      </c>
      <c r="T5140" s="5"/>
      <c r="U5140" s="5" t="e">
        <f>IF(AND(#REF!&gt;=table!$C$10,#REF!&lt;= table!$D$10),-1,IF(AND(#REF!&gt;=table!$E$10,#REF!&lt;=table!$F$10),1,0))</f>
        <v>#REF!</v>
      </c>
      <c r="V5140" s="5" t="e">
        <f>IF(AND(#REF!&gt;=table!$C$11,#REF!&lt;= table!$D$11),-1,IF(AND(#REF!&gt;=table!$E$11,#REF!&lt;=table!$F$11),1,0))</f>
        <v>#REF!</v>
      </c>
      <c r="W5140" s="5" t="e">
        <f>CONCATENATE(dados[[#This Row],[fator1]],dados[[#This Row],[fator5]],dados[[#This Row],[fator6]])</f>
        <v>#REF!</v>
      </c>
    </row>
    <row r="5141" spans="1:23">
      <c r="A5141" t="s">
        <v>17</v>
      </c>
      <c r="B5141">
        <v>591989</v>
      </c>
      <c r="C5141">
        <v>15</v>
      </c>
      <c r="D5141">
        <v>23</v>
      </c>
      <c r="E5141">
        <v>155</v>
      </c>
      <c r="F5141">
        <v>4</v>
      </c>
      <c r="G5141">
        <v>30</v>
      </c>
      <c r="H5141">
        <v>25</v>
      </c>
      <c r="I5141">
        <v>1</v>
      </c>
      <c r="J5141">
        <v>0</v>
      </c>
      <c r="K5141">
        <v>3.7350000000000003</v>
      </c>
      <c r="L5141">
        <v>4.8760000000000003</v>
      </c>
      <c r="M5141">
        <v>115.2955</v>
      </c>
      <c r="N5141">
        <v>14.35</v>
      </c>
      <c r="O5141">
        <v>1661</v>
      </c>
      <c r="P5141">
        <v>1164</v>
      </c>
      <c r="Q5141" s="5" t="e">
        <f>IF(AND(#REF!&gt;=table!$C$6,#REF!&lt;= table!$D$6),-1,IF(AND(#REF!&gt;=table!$E$6,#REF!&lt;=table!$F$6),1,0))</f>
        <v>#REF!</v>
      </c>
      <c r="R5141" s="5" t="e">
        <f>IF(AND(#REF!&gt;=table!$C$7,#REF!&lt;= table!$D$7),-1,IF(AND(#REF!&gt;=table!$E$7,#REF!&lt;=table!$F$7),1,0))</f>
        <v>#REF!</v>
      </c>
      <c r="S5141" s="5" t="e">
        <f>IF(AND(#REF!&gt;=table!$C$8,#REF!&lt;= table!$D$8),-1,IF(AND(#REF!&gt;=table!$E$8,#REF!&lt;=table!$F$8),1,0))</f>
        <v>#REF!</v>
      </c>
      <c r="T5141" s="5"/>
      <c r="U5141" s="5" t="e">
        <f>IF(AND(#REF!&gt;=table!$C$10,#REF!&lt;= table!$D$10),-1,IF(AND(#REF!&gt;=table!$E$10,#REF!&lt;=table!$F$10),1,0))</f>
        <v>#REF!</v>
      </c>
      <c r="V5141" s="5" t="e">
        <f>IF(AND(#REF!&gt;=table!$C$11,#REF!&lt;= table!$D$11),-1,IF(AND(#REF!&gt;=table!$E$11,#REF!&lt;=table!$F$11),1,0))</f>
        <v>#REF!</v>
      </c>
      <c r="W5141" s="5" t="e">
        <f>CONCATENATE(dados[[#This Row],[fator1]],dados[[#This Row],[fator5]],dados[[#This Row],[fator6]])</f>
        <v>#REF!</v>
      </c>
    </row>
    <row r="5142" spans="1:23">
      <c r="A5142" t="s">
        <v>17</v>
      </c>
      <c r="B5142">
        <v>591990</v>
      </c>
      <c r="C5142">
        <v>18</v>
      </c>
      <c r="D5142">
        <v>23</v>
      </c>
      <c r="E5142">
        <v>145</v>
      </c>
      <c r="F5142">
        <v>4</v>
      </c>
      <c r="G5142">
        <v>30</v>
      </c>
      <c r="H5142">
        <v>25</v>
      </c>
      <c r="I5142">
        <v>480</v>
      </c>
      <c r="J5142">
        <v>0</v>
      </c>
      <c r="K5142">
        <v>3.3760000000000003</v>
      </c>
      <c r="L5142">
        <v>10.424000000000001</v>
      </c>
      <c r="M5142">
        <v>132.88400000000001</v>
      </c>
      <c r="N5142">
        <v>17.420000000000002</v>
      </c>
      <c r="O5142">
        <v>1680</v>
      </c>
      <c r="P5142">
        <v>0</v>
      </c>
      <c r="Q5142" s="5" t="e">
        <f>IF(AND(#REF!&gt;=table!$C$6,#REF!&lt;= table!$D$6),-1,IF(AND(#REF!&gt;=table!$E$6,#REF!&lt;=table!$F$6),1,0))</f>
        <v>#REF!</v>
      </c>
      <c r="R5142" s="5" t="e">
        <f>IF(AND(#REF!&gt;=table!$C$7,#REF!&lt;= table!$D$7),-1,IF(AND(#REF!&gt;=table!$E$7,#REF!&lt;=table!$F$7),1,0))</f>
        <v>#REF!</v>
      </c>
      <c r="S5142" s="5" t="e">
        <f>IF(AND(#REF!&gt;=table!$C$8,#REF!&lt;= table!$D$8),-1,IF(AND(#REF!&gt;=table!$E$8,#REF!&lt;=table!$F$8),1,0))</f>
        <v>#REF!</v>
      </c>
      <c r="T5142" s="5"/>
      <c r="U5142" s="5" t="e">
        <f>IF(AND(#REF!&gt;=table!$C$10,#REF!&lt;= table!$D$10),-1,IF(AND(#REF!&gt;=table!$E$10,#REF!&lt;=table!$F$10),1,0))</f>
        <v>#REF!</v>
      </c>
      <c r="V5142" s="5" t="e">
        <f>IF(AND(#REF!&gt;=table!$C$11,#REF!&lt;= table!$D$11),-1,IF(AND(#REF!&gt;=table!$E$11,#REF!&lt;=table!$F$11),1,0))</f>
        <v>#REF!</v>
      </c>
      <c r="W5142" s="5" t="e">
        <f>CONCATENATE(dados[[#This Row],[fator1]],dados[[#This Row],[fator5]],dados[[#This Row],[fator6]])</f>
        <v>#REF!</v>
      </c>
    </row>
    <row r="5143" spans="1:23">
      <c r="A5143" t="s">
        <v>16</v>
      </c>
      <c r="B5143">
        <v>591991</v>
      </c>
      <c r="C5143">
        <v>11</v>
      </c>
      <c r="D5143">
        <v>40</v>
      </c>
      <c r="E5143">
        <v>151</v>
      </c>
      <c r="F5143">
        <v>8</v>
      </c>
      <c r="G5143">
        <v>0</v>
      </c>
      <c r="H5143">
        <v>25</v>
      </c>
      <c r="I5143">
        <v>205</v>
      </c>
      <c r="J5143">
        <v>640</v>
      </c>
      <c r="K5143">
        <v>8.2015000000000011</v>
      </c>
      <c r="L5143">
        <v>21.679000000000002</v>
      </c>
      <c r="M5143">
        <v>120.39800000000001</v>
      </c>
      <c r="N5143">
        <v>19.065000000000001</v>
      </c>
      <c r="O5143">
        <v>1669</v>
      </c>
      <c r="P5143">
        <v>0</v>
      </c>
      <c r="Q5143" s="5" t="e">
        <f>IF(AND(#REF!&gt;=table!$C$6,#REF!&lt;= table!$D$6),-1,IF(AND(#REF!&gt;=table!$E$6,#REF!&lt;=table!$F$6),1,0))</f>
        <v>#REF!</v>
      </c>
      <c r="R5143" s="5" t="e">
        <f>IF(AND(#REF!&gt;=table!$C$7,#REF!&lt;= table!$D$7),-1,IF(AND(#REF!&gt;=table!$E$7,#REF!&lt;=table!$F$7),1,0))</f>
        <v>#REF!</v>
      </c>
      <c r="S5143" s="5" t="e">
        <f>IF(AND(#REF!&gt;=table!$C$8,#REF!&lt;= table!$D$8),-1,IF(AND(#REF!&gt;=table!$E$8,#REF!&lt;=table!$F$8),1,0))</f>
        <v>#REF!</v>
      </c>
      <c r="T5143" s="5"/>
      <c r="U5143" s="5" t="e">
        <f>IF(AND(#REF!&gt;=table!$C$10,#REF!&lt;= table!$D$10),-1,IF(AND(#REF!&gt;=table!$E$10,#REF!&lt;=table!$F$10),1,0))</f>
        <v>#REF!</v>
      </c>
      <c r="V5143" s="5" t="e">
        <f>IF(AND(#REF!&gt;=table!$C$11,#REF!&lt;= table!$D$11),-1,IF(AND(#REF!&gt;=table!$E$11,#REF!&lt;=table!$F$11),1,0))</f>
        <v>#REF!</v>
      </c>
      <c r="W5143" s="5" t="e">
        <f>CONCATENATE(dados[[#This Row],[fator1]],dados[[#This Row],[fator5]],dados[[#This Row],[fator6]])</f>
        <v>#REF!</v>
      </c>
    </row>
    <row r="5144" spans="1:23">
      <c r="A5144" t="s">
        <v>16</v>
      </c>
      <c r="B5144">
        <v>591992</v>
      </c>
      <c r="C5144">
        <v>11</v>
      </c>
      <c r="D5144">
        <v>40</v>
      </c>
      <c r="E5144">
        <v>151</v>
      </c>
      <c r="F5144">
        <v>8</v>
      </c>
      <c r="G5144">
        <v>0</v>
      </c>
      <c r="H5144">
        <v>25</v>
      </c>
      <c r="I5144">
        <v>420</v>
      </c>
      <c r="J5144">
        <v>0</v>
      </c>
      <c r="K5144">
        <v>6.8995000000000006</v>
      </c>
      <c r="L5144">
        <v>17.382999999999999</v>
      </c>
      <c r="M5144">
        <v>129.81450000000001</v>
      </c>
      <c r="N5144">
        <v>22.34</v>
      </c>
      <c r="O5144">
        <v>1668</v>
      </c>
      <c r="P5144">
        <v>0</v>
      </c>
      <c r="Q5144" s="5" t="e">
        <f>IF(AND(#REF!&gt;=table!$C$6,#REF!&lt;= table!$D$6),-1,IF(AND(#REF!&gt;=table!$E$6,#REF!&lt;=table!$F$6),1,0))</f>
        <v>#REF!</v>
      </c>
      <c r="R5144" s="5" t="e">
        <f>IF(AND(#REF!&gt;=table!$C$7,#REF!&lt;= table!$D$7),-1,IF(AND(#REF!&gt;=table!$E$7,#REF!&lt;=table!$F$7),1,0))</f>
        <v>#REF!</v>
      </c>
      <c r="S5144" s="5" t="e">
        <f>IF(AND(#REF!&gt;=table!$C$8,#REF!&lt;= table!$D$8),-1,IF(AND(#REF!&gt;=table!$E$8,#REF!&lt;=table!$F$8),1,0))</f>
        <v>#REF!</v>
      </c>
      <c r="T5144" s="5"/>
      <c r="U5144" s="5" t="e">
        <f>IF(AND(#REF!&gt;=table!$C$10,#REF!&lt;= table!$D$10),-1,IF(AND(#REF!&gt;=table!$E$10,#REF!&lt;=table!$F$10),1,0))</f>
        <v>#REF!</v>
      </c>
      <c r="V5144" s="5" t="e">
        <f>IF(AND(#REF!&gt;=table!$C$11,#REF!&lt;= table!$D$11),-1,IF(AND(#REF!&gt;=table!$E$11,#REF!&lt;=table!$F$11),1,0))</f>
        <v>#REF!</v>
      </c>
      <c r="W5144" s="5" t="e">
        <f>CONCATENATE(dados[[#This Row],[fator1]],dados[[#This Row],[fator5]],dados[[#This Row],[fator6]])</f>
        <v>#REF!</v>
      </c>
    </row>
    <row r="5145" spans="1:23">
      <c r="A5145" t="s">
        <v>17</v>
      </c>
      <c r="B5145">
        <v>591994</v>
      </c>
      <c r="C5145">
        <v>4</v>
      </c>
      <c r="D5145">
        <v>25</v>
      </c>
      <c r="E5145">
        <v>21</v>
      </c>
      <c r="F5145">
        <v>10</v>
      </c>
      <c r="G5145">
        <v>110</v>
      </c>
      <c r="H5145">
        <v>50</v>
      </c>
      <c r="I5145">
        <v>1521</v>
      </c>
      <c r="J5145">
        <v>530</v>
      </c>
      <c r="K5145">
        <v>7.3395000000000001</v>
      </c>
      <c r="L5145">
        <v>11.097000000000001</v>
      </c>
      <c r="M5145">
        <v>16.141500000000001</v>
      </c>
      <c r="N5145">
        <v>46.160000000000004</v>
      </c>
      <c r="O5145">
        <v>1675</v>
      </c>
      <c r="P5145">
        <v>491</v>
      </c>
      <c r="Q5145" s="5" t="e">
        <f>IF(AND(#REF!&gt;=table!$C$6,#REF!&lt;= table!$D$6),-1,IF(AND(#REF!&gt;=table!$E$6,#REF!&lt;=table!$F$6),1,0))</f>
        <v>#REF!</v>
      </c>
      <c r="R5145" s="5" t="e">
        <f>IF(AND(#REF!&gt;=table!$C$7,#REF!&lt;= table!$D$7),-1,IF(AND(#REF!&gt;=table!$E$7,#REF!&lt;=table!$F$7),1,0))</f>
        <v>#REF!</v>
      </c>
      <c r="S5145" s="5" t="e">
        <f>IF(AND(#REF!&gt;=table!$C$8,#REF!&lt;= table!$D$8),-1,IF(AND(#REF!&gt;=table!$E$8,#REF!&lt;=table!$F$8),1,0))</f>
        <v>#REF!</v>
      </c>
      <c r="T5145" s="5"/>
      <c r="U5145" s="5" t="e">
        <f>IF(AND(#REF!&gt;=table!$C$10,#REF!&lt;= table!$D$10),-1,IF(AND(#REF!&gt;=table!$E$10,#REF!&lt;=table!$F$10),1,0))</f>
        <v>#REF!</v>
      </c>
      <c r="V5145" s="5" t="e">
        <f>IF(AND(#REF!&gt;=table!$C$11,#REF!&lt;= table!$D$11),-1,IF(AND(#REF!&gt;=table!$E$11,#REF!&lt;=table!$F$11),1,0))</f>
        <v>#REF!</v>
      </c>
      <c r="W5145" s="5" t="e">
        <f>CONCATENATE(dados[[#This Row],[fator1]],dados[[#This Row],[fator5]],dados[[#This Row],[fator6]])</f>
        <v>#REF!</v>
      </c>
    </row>
    <row r="5146" spans="1:23">
      <c r="A5146" t="s">
        <v>16</v>
      </c>
      <c r="B5146">
        <v>591998</v>
      </c>
      <c r="C5146">
        <v>0.15</v>
      </c>
      <c r="D5146">
        <v>40</v>
      </c>
      <c r="E5146">
        <v>64</v>
      </c>
      <c r="F5146">
        <v>10</v>
      </c>
      <c r="G5146">
        <v>0</v>
      </c>
      <c r="H5146">
        <v>35</v>
      </c>
      <c r="I5146">
        <v>350</v>
      </c>
      <c r="J5146">
        <v>0</v>
      </c>
      <c r="K5146">
        <v>3.8260000000000001</v>
      </c>
      <c r="L5146">
        <v>10.5465</v>
      </c>
      <c r="M5146">
        <v>9.1925000000000008</v>
      </c>
      <c r="N5146">
        <v>14.055000000000001</v>
      </c>
      <c r="O5146">
        <v>1703</v>
      </c>
      <c r="P5146">
        <v>933</v>
      </c>
      <c r="Q5146" s="5" t="e">
        <f>IF(AND(#REF!&gt;=table!$C$6,#REF!&lt;= table!$D$6),-1,IF(AND(#REF!&gt;=table!$E$6,#REF!&lt;=table!$F$6),1,0))</f>
        <v>#REF!</v>
      </c>
      <c r="R5146" s="5" t="e">
        <f>IF(AND(#REF!&gt;=table!$C$7,#REF!&lt;= table!$D$7),-1,IF(AND(#REF!&gt;=table!$E$7,#REF!&lt;=table!$F$7),1,0))</f>
        <v>#REF!</v>
      </c>
      <c r="S5146" s="5" t="e">
        <f>IF(AND(#REF!&gt;=table!$C$8,#REF!&lt;= table!$D$8),-1,IF(AND(#REF!&gt;=table!$E$8,#REF!&lt;=table!$F$8),1,0))</f>
        <v>#REF!</v>
      </c>
      <c r="T5146" s="5"/>
      <c r="U5146" s="5" t="e">
        <f>IF(AND(#REF!&gt;=table!$C$10,#REF!&lt;= table!$D$10),-1,IF(AND(#REF!&gt;=table!$E$10,#REF!&lt;=table!$F$10),1,0))</f>
        <v>#REF!</v>
      </c>
      <c r="V5146" s="5" t="e">
        <f>IF(AND(#REF!&gt;=table!$C$11,#REF!&lt;= table!$D$11),-1,IF(AND(#REF!&gt;=table!$E$11,#REF!&lt;=table!$F$11),1,0))</f>
        <v>#REF!</v>
      </c>
      <c r="W5146" s="5" t="e">
        <f>CONCATENATE(dados[[#This Row],[fator1]],dados[[#This Row],[fator5]],dados[[#This Row],[fator6]])</f>
        <v>#REF!</v>
      </c>
    </row>
    <row r="5147" spans="1:23">
      <c r="A5147" t="s">
        <v>17</v>
      </c>
      <c r="B5147">
        <v>592000</v>
      </c>
      <c r="C5147">
        <v>10</v>
      </c>
      <c r="D5147">
        <v>30</v>
      </c>
      <c r="E5147">
        <v>135</v>
      </c>
      <c r="F5147">
        <v>2</v>
      </c>
      <c r="G5147">
        <v>20</v>
      </c>
      <c r="H5147">
        <v>18</v>
      </c>
      <c r="I5147">
        <v>157</v>
      </c>
      <c r="J5147">
        <v>0</v>
      </c>
      <c r="K5147">
        <v>4.5040000000000004</v>
      </c>
      <c r="L5147">
        <v>6.5140000000000002</v>
      </c>
      <c r="M5147">
        <v>119.012</v>
      </c>
      <c r="N5147">
        <v>12.1</v>
      </c>
      <c r="O5147">
        <v>1671</v>
      </c>
      <c r="P5147">
        <v>974</v>
      </c>
      <c r="Q5147" s="5" t="e">
        <f>IF(AND(#REF!&gt;=table!$C$6,#REF!&lt;= table!$D$6),-1,IF(AND(#REF!&gt;=table!$E$6,#REF!&lt;=table!$F$6),1,0))</f>
        <v>#REF!</v>
      </c>
      <c r="R5147" s="5" t="e">
        <f>IF(AND(#REF!&gt;=table!$C$7,#REF!&lt;= table!$D$7),-1,IF(AND(#REF!&gt;=table!$E$7,#REF!&lt;=table!$F$7),1,0))</f>
        <v>#REF!</v>
      </c>
      <c r="S5147" s="5" t="e">
        <f>IF(AND(#REF!&gt;=table!$C$8,#REF!&lt;= table!$D$8),-1,IF(AND(#REF!&gt;=table!$E$8,#REF!&lt;=table!$F$8),1,0))</f>
        <v>#REF!</v>
      </c>
      <c r="T5147" s="5"/>
      <c r="U5147" s="5" t="e">
        <f>IF(AND(#REF!&gt;=table!$C$10,#REF!&lt;= table!$D$10),-1,IF(AND(#REF!&gt;=table!$E$10,#REF!&lt;=table!$F$10),1,0))</f>
        <v>#REF!</v>
      </c>
      <c r="V5147" s="5" t="e">
        <f>IF(AND(#REF!&gt;=table!$C$11,#REF!&lt;= table!$D$11),-1,IF(AND(#REF!&gt;=table!$E$11,#REF!&lt;=table!$F$11),1,0))</f>
        <v>#REF!</v>
      </c>
      <c r="W5147" s="5" t="e">
        <f>CONCATENATE(dados[[#This Row],[fator1]],dados[[#This Row],[fator5]],dados[[#This Row],[fator6]])</f>
        <v>#REF!</v>
      </c>
    </row>
    <row r="5148" spans="1:23">
      <c r="A5148" t="s">
        <v>16</v>
      </c>
      <c r="B5148">
        <v>592009</v>
      </c>
      <c r="C5148">
        <v>6</v>
      </c>
      <c r="D5148">
        <v>25</v>
      </c>
      <c r="E5148">
        <v>120</v>
      </c>
      <c r="F5148">
        <v>4</v>
      </c>
      <c r="G5148">
        <v>0</v>
      </c>
      <c r="H5148">
        <v>55</v>
      </c>
      <c r="I5148">
        <v>324</v>
      </c>
      <c r="J5148">
        <v>0</v>
      </c>
      <c r="K5148">
        <v>2.2555000000000001</v>
      </c>
      <c r="L5148">
        <v>4.7530000000000001</v>
      </c>
      <c r="M5148">
        <v>99.966999999999999</v>
      </c>
      <c r="N5148">
        <v>41.805</v>
      </c>
      <c r="O5148">
        <v>1674</v>
      </c>
      <c r="P5148">
        <v>1322</v>
      </c>
      <c r="Q5148" s="5" t="e">
        <f>IF(AND(#REF!&gt;=table!$C$6,#REF!&lt;= table!$D$6),-1,IF(AND(#REF!&gt;=table!$E$6,#REF!&lt;=table!$F$6),1,0))</f>
        <v>#REF!</v>
      </c>
      <c r="R5148" s="5" t="e">
        <f>IF(AND(#REF!&gt;=table!$C$7,#REF!&lt;= table!$D$7),-1,IF(AND(#REF!&gt;=table!$E$7,#REF!&lt;=table!$F$7),1,0))</f>
        <v>#REF!</v>
      </c>
      <c r="S5148" s="5" t="e">
        <f>IF(AND(#REF!&gt;=table!$C$8,#REF!&lt;= table!$D$8),-1,IF(AND(#REF!&gt;=table!$E$8,#REF!&lt;=table!$F$8),1,0))</f>
        <v>#REF!</v>
      </c>
      <c r="T5148" s="5"/>
      <c r="U5148" s="5" t="e">
        <f>IF(AND(#REF!&gt;=table!$C$10,#REF!&lt;= table!$D$10),-1,IF(AND(#REF!&gt;=table!$E$10,#REF!&lt;=table!$F$10),1,0))</f>
        <v>#REF!</v>
      </c>
      <c r="V5148" s="5" t="e">
        <f>IF(AND(#REF!&gt;=table!$C$11,#REF!&lt;= table!$D$11),-1,IF(AND(#REF!&gt;=table!$E$11,#REF!&lt;=table!$F$11),1,0))</f>
        <v>#REF!</v>
      </c>
      <c r="W5148" s="5" t="e">
        <f>CONCATENATE(dados[[#This Row],[fator1]],dados[[#This Row],[fator5]],dados[[#This Row],[fator6]])</f>
        <v>#REF!</v>
      </c>
    </row>
    <row r="5149" spans="1:23">
      <c r="A5149" t="s">
        <v>16</v>
      </c>
      <c r="B5149">
        <v>592016</v>
      </c>
      <c r="C5149">
        <v>0.15</v>
      </c>
      <c r="D5149">
        <v>40</v>
      </c>
      <c r="E5149">
        <v>10</v>
      </c>
      <c r="F5149">
        <v>15</v>
      </c>
      <c r="G5149">
        <v>0</v>
      </c>
      <c r="H5149">
        <v>15</v>
      </c>
      <c r="I5149">
        <v>970</v>
      </c>
      <c r="J5149">
        <v>0</v>
      </c>
      <c r="K5149">
        <v>2.8740000000000001</v>
      </c>
      <c r="L5149">
        <v>5.9649999999999999</v>
      </c>
      <c r="M5149">
        <v>5.077</v>
      </c>
      <c r="N5149">
        <v>7.6750000000000007</v>
      </c>
      <c r="O5149">
        <v>1667</v>
      </c>
      <c r="P5149">
        <v>0</v>
      </c>
      <c r="Q5149" s="5" t="e">
        <f>IF(AND(#REF!&gt;=table!$C$6,#REF!&lt;= table!$D$6),-1,IF(AND(#REF!&gt;=table!$E$6,#REF!&lt;=table!$F$6),1,0))</f>
        <v>#REF!</v>
      </c>
      <c r="R5149" s="5" t="e">
        <f>IF(AND(#REF!&gt;=table!$C$7,#REF!&lt;= table!$D$7),-1,IF(AND(#REF!&gt;=table!$E$7,#REF!&lt;=table!$F$7),1,0))</f>
        <v>#REF!</v>
      </c>
      <c r="S5149" s="5" t="e">
        <f>IF(AND(#REF!&gt;=table!$C$8,#REF!&lt;= table!$D$8),-1,IF(AND(#REF!&gt;=table!$E$8,#REF!&lt;=table!$F$8),1,0))</f>
        <v>#REF!</v>
      </c>
      <c r="T5149" s="5"/>
      <c r="U5149" s="5" t="e">
        <f>IF(AND(#REF!&gt;=table!$C$10,#REF!&lt;= table!$D$10),-1,IF(AND(#REF!&gt;=table!$E$10,#REF!&lt;=table!$F$10),1,0))</f>
        <v>#REF!</v>
      </c>
      <c r="V5149" s="5" t="e">
        <f>IF(AND(#REF!&gt;=table!$C$11,#REF!&lt;= table!$D$11),-1,IF(AND(#REF!&gt;=table!$E$11,#REF!&lt;=table!$F$11),1,0))</f>
        <v>#REF!</v>
      </c>
      <c r="W5149" s="5" t="e">
        <f>CONCATENATE(dados[[#This Row],[fator1]],dados[[#This Row],[fator5]],dados[[#This Row],[fator6]])</f>
        <v>#REF!</v>
      </c>
    </row>
    <row r="5150" spans="1:23">
      <c r="A5150" t="s">
        <v>16</v>
      </c>
      <c r="B5150">
        <v>592020</v>
      </c>
      <c r="C5150">
        <v>16</v>
      </c>
      <c r="D5150">
        <v>35</v>
      </c>
      <c r="E5150">
        <v>56</v>
      </c>
      <c r="F5150">
        <v>10</v>
      </c>
      <c r="G5150">
        <v>0</v>
      </c>
      <c r="H5150">
        <v>25</v>
      </c>
      <c r="I5150">
        <v>0</v>
      </c>
      <c r="J5150">
        <v>0</v>
      </c>
      <c r="K5150">
        <v>3.375</v>
      </c>
      <c r="L5150">
        <v>6.2095000000000002</v>
      </c>
      <c r="M5150">
        <v>50.383000000000003</v>
      </c>
      <c r="N5150">
        <v>12.735000000000001</v>
      </c>
      <c r="O5150">
        <v>1671</v>
      </c>
      <c r="P5150">
        <v>0</v>
      </c>
      <c r="Q5150" s="5" t="e">
        <f>IF(AND(#REF!&gt;=table!$C$6,#REF!&lt;= table!$D$6),-1,IF(AND(#REF!&gt;=table!$E$6,#REF!&lt;=table!$F$6),1,0))</f>
        <v>#REF!</v>
      </c>
      <c r="R5150" s="5" t="e">
        <f>IF(AND(#REF!&gt;=table!$C$7,#REF!&lt;= table!$D$7),-1,IF(AND(#REF!&gt;=table!$E$7,#REF!&lt;=table!$F$7),1,0))</f>
        <v>#REF!</v>
      </c>
      <c r="S5150" s="5" t="e">
        <f>IF(AND(#REF!&gt;=table!$C$8,#REF!&lt;= table!$D$8),-1,IF(AND(#REF!&gt;=table!$E$8,#REF!&lt;=table!$F$8),1,0))</f>
        <v>#REF!</v>
      </c>
      <c r="T5150" s="5"/>
      <c r="U5150" s="5" t="e">
        <f>IF(AND(#REF!&gt;=table!$C$10,#REF!&lt;= table!$D$10),-1,IF(AND(#REF!&gt;=table!$E$10,#REF!&lt;=table!$F$10),1,0))</f>
        <v>#REF!</v>
      </c>
      <c r="V5150" s="5" t="e">
        <f>IF(AND(#REF!&gt;=table!$C$11,#REF!&lt;= table!$D$11),-1,IF(AND(#REF!&gt;=table!$E$11,#REF!&lt;=table!$F$11),1,0))</f>
        <v>#REF!</v>
      </c>
      <c r="W5150" s="5" t="e">
        <f>CONCATENATE(dados[[#This Row],[fator1]],dados[[#This Row],[fator5]],dados[[#This Row],[fator6]])</f>
        <v>#REF!</v>
      </c>
    </row>
    <row r="5151" spans="1:23">
      <c r="A5151" t="s">
        <v>16</v>
      </c>
      <c r="B5151">
        <v>592022</v>
      </c>
      <c r="C5151">
        <v>16</v>
      </c>
      <c r="D5151">
        <v>35</v>
      </c>
      <c r="E5151">
        <v>56</v>
      </c>
      <c r="F5151">
        <v>10</v>
      </c>
      <c r="G5151">
        <v>0</v>
      </c>
      <c r="H5151">
        <v>25</v>
      </c>
      <c r="I5151">
        <v>746</v>
      </c>
      <c r="J5151">
        <v>0</v>
      </c>
      <c r="K5151">
        <v>5.4424999999999999</v>
      </c>
      <c r="L5151">
        <v>11.012</v>
      </c>
      <c r="M5151">
        <v>43.139500000000005</v>
      </c>
      <c r="N5151">
        <v>14.005000000000001</v>
      </c>
      <c r="O5151">
        <v>1679</v>
      </c>
      <c r="P5151">
        <v>0</v>
      </c>
      <c r="Q5151" s="5" t="e">
        <f>IF(AND(#REF!&gt;=table!$C$6,#REF!&lt;= table!$D$6),-1,IF(AND(#REF!&gt;=table!$E$6,#REF!&lt;=table!$F$6),1,0))</f>
        <v>#REF!</v>
      </c>
      <c r="R5151" s="5" t="e">
        <f>IF(AND(#REF!&gt;=table!$C$7,#REF!&lt;= table!$D$7),-1,IF(AND(#REF!&gt;=table!$E$7,#REF!&lt;=table!$F$7),1,0))</f>
        <v>#REF!</v>
      </c>
      <c r="S5151" s="5" t="e">
        <f>IF(AND(#REF!&gt;=table!$C$8,#REF!&lt;= table!$D$8),-1,IF(AND(#REF!&gt;=table!$E$8,#REF!&lt;=table!$F$8),1,0))</f>
        <v>#REF!</v>
      </c>
      <c r="T5151" s="5"/>
      <c r="U5151" s="5" t="e">
        <f>IF(AND(#REF!&gt;=table!$C$10,#REF!&lt;= table!$D$10),-1,IF(AND(#REF!&gt;=table!$E$10,#REF!&lt;=table!$F$10),1,0))</f>
        <v>#REF!</v>
      </c>
      <c r="V5151" s="5" t="e">
        <f>IF(AND(#REF!&gt;=table!$C$11,#REF!&lt;= table!$D$11),-1,IF(AND(#REF!&gt;=table!$E$11,#REF!&lt;=table!$F$11),1,0))</f>
        <v>#REF!</v>
      </c>
      <c r="W5151" s="5" t="e">
        <f>CONCATENATE(dados[[#This Row],[fator1]],dados[[#This Row],[fator5]],dados[[#This Row],[fator6]])</f>
        <v>#REF!</v>
      </c>
    </row>
    <row r="5152" spans="1:23">
      <c r="A5152" t="s">
        <v>16</v>
      </c>
      <c r="B5152">
        <v>592023</v>
      </c>
      <c r="C5152">
        <v>16</v>
      </c>
      <c r="D5152">
        <v>35</v>
      </c>
      <c r="E5152">
        <v>56</v>
      </c>
      <c r="F5152">
        <v>10</v>
      </c>
      <c r="G5152">
        <v>0</v>
      </c>
      <c r="H5152">
        <v>25</v>
      </c>
      <c r="I5152">
        <v>287</v>
      </c>
      <c r="J5152">
        <v>0</v>
      </c>
      <c r="K5152">
        <v>2.169</v>
      </c>
      <c r="L5152">
        <v>9.0815000000000001</v>
      </c>
      <c r="M5152">
        <v>54.035000000000004</v>
      </c>
      <c r="N5152">
        <v>11.995000000000001</v>
      </c>
      <c r="O5152">
        <v>1727</v>
      </c>
      <c r="P5152">
        <v>0</v>
      </c>
      <c r="Q5152" s="5" t="e">
        <f>IF(AND(#REF!&gt;=table!$C$6,#REF!&lt;= table!$D$6),-1,IF(AND(#REF!&gt;=table!$E$6,#REF!&lt;=table!$F$6),1,0))</f>
        <v>#REF!</v>
      </c>
      <c r="R5152" s="5" t="e">
        <f>IF(AND(#REF!&gt;=table!$C$7,#REF!&lt;= table!$D$7),-1,IF(AND(#REF!&gt;=table!$E$7,#REF!&lt;=table!$F$7),1,0))</f>
        <v>#REF!</v>
      </c>
      <c r="S5152" s="5" t="e">
        <f>IF(AND(#REF!&gt;=table!$C$8,#REF!&lt;= table!$D$8),-1,IF(AND(#REF!&gt;=table!$E$8,#REF!&lt;=table!$F$8),1,0))</f>
        <v>#REF!</v>
      </c>
      <c r="T5152" s="5"/>
      <c r="U5152" s="5" t="e">
        <f>IF(AND(#REF!&gt;=table!$C$10,#REF!&lt;= table!$D$10),-1,IF(AND(#REF!&gt;=table!$E$10,#REF!&lt;=table!$F$10),1,0))</f>
        <v>#REF!</v>
      </c>
      <c r="V5152" s="5" t="e">
        <f>IF(AND(#REF!&gt;=table!$C$11,#REF!&lt;= table!$D$11),-1,IF(AND(#REF!&gt;=table!$E$11,#REF!&lt;=table!$F$11),1,0))</f>
        <v>#REF!</v>
      </c>
      <c r="W5152" s="5" t="e">
        <f>CONCATENATE(dados[[#This Row],[fator1]],dados[[#This Row],[fator5]],dados[[#This Row],[fator6]])</f>
        <v>#REF!</v>
      </c>
    </row>
    <row r="5153" spans="1:23">
      <c r="A5153" t="s">
        <v>16</v>
      </c>
      <c r="B5153">
        <v>592024</v>
      </c>
      <c r="C5153">
        <v>16</v>
      </c>
      <c r="D5153">
        <v>35</v>
      </c>
      <c r="E5153">
        <v>56</v>
      </c>
      <c r="F5153">
        <v>10</v>
      </c>
      <c r="G5153">
        <v>0</v>
      </c>
      <c r="H5153">
        <v>25</v>
      </c>
      <c r="I5153">
        <v>34</v>
      </c>
      <c r="J5153">
        <v>0</v>
      </c>
      <c r="K5153">
        <v>3.5</v>
      </c>
      <c r="L5153">
        <v>12.2925</v>
      </c>
      <c r="M5153">
        <v>48.983000000000004</v>
      </c>
      <c r="N5153">
        <v>15.1</v>
      </c>
      <c r="O5153">
        <v>1678</v>
      </c>
      <c r="P5153">
        <v>892</v>
      </c>
      <c r="Q5153" s="5" t="e">
        <f>IF(AND(#REF!&gt;=table!$C$6,#REF!&lt;= table!$D$6),-1,IF(AND(#REF!&gt;=table!$E$6,#REF!&lt;=table!$F$6),1,0))</f>
        <v>#REF!</v>
      </c>
      <c r="R5153" s="5" t="e">
        <f>IF(AND(#REF!&gt;=table!$C$7,#REF!&lt;= table!$D$7),-1,IF(AND(#REF!&gt;=table!$E$7,#REF!&lt;=table!$F$7),1,0))</f>
        <v>#REF!</v>
      </c>
      <c r="S5153" s="5" t="e">
        <f>IF(AND(#REF!&gt;=table!$C$8,#REF!&lt;= table!$D$8),-1,IF(AND(#REF!&gt;=table!$E$8,#REF!&lt;=table!$F$8),1,0))</f>
        <v>#REF!</v>
      </c>
      <c r="T5153" s="5"/>
      <c r="U5153" s="5" t="e">
        <f>IF(AND(#REF!&gt;=table!$C$10,#REF!&lt;= table!$D$10),-1,IF(AND(#REF!&gt;=table!$E$10,#REF!&lt;=table!$F$10),1,0))</f>
        <v>#REF!</v>
      </c>
      <c r="V5153" s="5" t="e">
        <f>IF(AND(#REF!&gt;=table!$C$11,#REF!&lt;= table!$D$11),-1,IF(AND(#REF!&gt;=table!$E$11,#REF!&lt;=table!$F$11),1,0))</f>
        <v>#REF!</v>
      </c>
      <c r="W5153" s="5" t="e">
        <f>CONCATENATE(dados[[#This Row],[fator1]],dados[[#This Row],[fator5]],dados[[#This Row],[fator6]])</f>
        <v>#REF!</v>
      </c>
    </row>
    <row r="5154" spans="1:23">
      <c r="A5154" t="s">
        <v>16</v>
      </c>
      <c r="B5154">
        <v>592025</v>
      </c>
      <c r="C5154">
        <v>16</v>
      </c>
      <c r="D5154">
        <v>30</v>
      </c>
      <c r="E5154">
        <v>36</v>
      </c>
      <c r="F5154">
        <v>3</v>
      </c>
      <c r="G5154">
        <v>0</v>
      </c>
      <c r="H5154">
        <v>25</v>
      </c>
      <c r="I5154">
        <v>121</v>
      </c>
      <c r="J5154">
        <v>0</v>
      </c>
      <c r="K5154">
        <v>7.4430000000000005</v>
      </c>
      <c r="L5154">
        <v>11.339</v>
      </c>
      <c r="M5154">
        <v>27.5535</v>
      </c>
      <c r="N5154">
        <v>16.695</v>
      </c>
      <c r="O5154">
        <v>1685</v>
      </c>
      <c r="P5154">
        <v>485</v>
      </c>
      <c r="Q5154" s="5" t="e">
        <f>IF(AND(#REF!&gt;=table!$C$6,#REF!&lt;= table!$D$6),-1,IF(AND(#REF!&gt;=table!$E$6,#REF!&lt;=table!$F$6),1,0))</f>
        <v>#REF!</v>
      </c>
      <c r="R5154" s="5" t="e">
        <f>IF(AND(#REF!&gt;=table!$C$7,#REF!&lt;= table!$D$7),-1,IF(AND(#REF!&gt;=table!$E$7,#REF!&lt;=table!$F$7),1,0))</f>
        <v>#REF!</v>
      </c>
      <c r="S5154" s="5" t="e">
        <f>IF(AND(#REF!&gt;=table!$C$8,#REF!&lt;= table!$D$8),-1,IF(AND(#REF!&gt;=table!$E$8,#REF!&lt;=table!$F$8),1,0))</f>
        <v>#REF!</v>
      </c>
      <c r="T5154" s="5"/>
      <c r="U5154" s="5" t="e">
        <f>IF(AND(#REF!&gt;=table!$C$10,#REF!&lt;= table!$D$10),-1,IF(AND(#REF!&gt;=table!$E$10,#REF!&lt;=table!$F$10),1,0))</f>
        <v>#REF!</v>
      </c>
      <c r="V5154" s="5" t="e">
        <f>IF(AND(#REF!&gt;=table!$C$11,#REF!&lt;= table!$D$11),-1,IF(AND(#REF!&gt;=table!$E$11,#REF!&lt;=table!$F$11),1,0))</f>
        <v>#REF!</v>
      </c>
      <c r="W5154" s="5" t="e">
        <f>CONCATENATE(dados[[#This Row],[fator1]],dados[[#This Row],[fator5]],dados[[#This Row],[fator6]])</f>
        <v>#REF!</v>
      </c>
    </row>
    <row r="5155" spans="1:23">
      <c r="A5155" t="s">
        <v>16</v>
      </c>
      <c r="B5155">
        <v>592026</v>
      </c>
      <c r="C5155">
        <v>16</v>
      </c>
      <c r="D5155">
        <v>30</v>
      </c>
      <c r="E5155">
        <v>36</v>
      </c>
      <c r="F5155">
        <v>3</v>
      </c>
      <c r="G5155">
        <v>0</v>
      </c>
      <c r="H5155">
        <v>25</v>
      </c>
      <c r="I5155">
        <v>29</v>
      </c>
      <c r="J5155">
        <v>0</v>
      </c>
      <c r="K5155">
        <v>12.38</v>
      </c>
      <c r="L5155">
        <v>11.582500000000001</v>
      </c>
      <c r="M5155">
        <v>27.875</v>
      </c>
      <c r="N5155">
        <v>15.450000000000001</v>
      </c>
      <c r="O5155">
        <v>1677</v>
      </c>
      <c r="P5155">
        <v>306</v>
      </c>
      <c r="Q5155" s="5" t="e">
        <f>IF(AND(#REF!&gt;=table!$C$6,#REF!&lt;= table!$D$6),-1,IF(AND(#REF!&gt;=table!$E$6,#REF!&lt;=table!$F$6),1,0))</f>
        <v>#REF!</v>
      </c>
      <c r="R5155" s="5" t="e">
        <f>IF(AND(#REF!&gt;=table!$C$7,#REF!&lt;= table!$D$7),-1,IF(AND(#REF!&gt;=table!$E$7,#REF!&lt;=table!$F$7),1,0))</f>
        <v>#REF!</v>
      </c>
      <c r="S5155" s="5" t="e">
        <f>IF(AND(#REF!&gt;=table!$C$8,#REF!&lt;= table!$D$8),-1,IF(AND(#REF!&gt;=table!$E$8,#REF!&lt;=table!$F$8),1,0))</f>
        <v>#REF!</v>
      </c>
      <c r="T5155" s="5"/>
      <c r="U5155" s="5" t="e">
        <f>IF(AND(#REF!&gt;=table!$C$10,#REF!&lt;= table!$D$10),-1,IF(AND(#REF!&gt;=table!$E$10,#REF!&lt;=table!$F$10),1,0))</f>
        <v>#REF!</v>
      </c>
      <c r="V5155" s="5" t="e">
        <f>IF(AND(#REF!&gt;=table!$C$11,#REF!&lt;= table!$D$11),-1,IF(AND(#REF!&gt;=table!$E$11,#REF!&lt;=table!$F$11),1,0))</f>
        <v>#REF!</v>
      </c>
      <c r="W5155" s="5" t="e">
        <f>CONCATENATE(dados[[#This Row],[fator1]],dados[[#This Row],[fator5]],dados[[#This Row],[fator6]])</f>
        <v>#REF!</v>
      </c>
    </row>
    <row r="5156" spans="1:23">
      <c r="A5156" t="s">
        <v>16</v>
      </c>
      <c r="B5156">
        <v>592028</v>
      </c>
      <c r="C5156">
        <v>16</v>
      </c>
      <c r="D5156">
        <v>30</v>
      </c>
      <c r="E5156">
        <v>36</v>
      </c>
      <c r="F5156">
        <v>3</v>
      </c>
      <c r="G5156">
        <v>0</v>
      </c>
      <c r="H5156">
        <v>25</v>
      </c>
      <c r="I5156">
        <v>6</v>
      </c>
      <c r="J5156">
        <v>0</v>
      </c>
      <c r="K5156">
        <v>4.7244999999999999</v>
      </c>
      <c r="L5156">
        <v>6.6550000000000002</v>
      </c>
      <c r="M5156">
        <v>28.8825</v>
      </c>
      <c r="N5156">
        <v>13.605</v>
      </c>
      <c r="O5156">
        <v>1656</v>
      </c>
      <c r="P5156">
        <v>746</v>
      </c>
      <c r="Q5156" s="5" t="e">
        <f>IF(AND(#REF!&gt;=table!$C$6,#REF!&lt;= table!$D$6),-1,IF(AND(#REF!&gt;=table!$E$6,#REF!&lt;=table!$F$6),1,0))</f>
        <v>#REF!</v>
      </c>
      <c r="R5156" s="5" t="e">
        <f>IF(AND(#REF!&gt;=table!$C$7,#REF!&lt;= table!$D$7),-1,IF(AND(#REF!&gt;=table!$E$7,#REF!&lt;=table!$F$7),1,0))</f>
        <v>#REF!</v>
      </c>
      <c r="S5156" s="5" t="e">
        <f>IF(AND(#REF!&gt;=table!$C$8,#REF!&lt;= table!$D$8),-1,IF(AND(#REF!&gt;=table!$E$8,#REF!&lt;=table!$F$8),1,0))</f>
        <v>#REF!</v>
      </c>
      <c r="T5156" s="5"/>
      <c r="U5156" s="5" t="e">
        <f>IF(AND(#REF!&gt;=table!$C$10,#REF!&lt;= table!$D$10),-1,IF(AND(#REF!&gt;=table!$E$10,#REF!&lt;=table!$F$10),1,0))</f>
        <v>#REF!</v>
      </c>
      <c r="V5156" s="5" t="e">
        <f>IF(AND(#REF!&gt;=table!$C$11,#REF!&lt;= table!$D$11),-1,IF(AND(#REF!&gt;=table!$E$11,#REF!&lt;=table!$F$11),1,0))</f>
        <v>#REF!</v>
      </c>
      <c r="W5156" s="5" t="e">
        <f>CONCATENATE(dados[[#This Row],[fator1]],dados[[#This Row],[fator5]],dados[[#This Row],[fator6]])</f>
        <v>#REF!</v>
      </c>
    </row>
    <row r="5157" spans="1:23">
      <c r="A5157" t="s">
        <v>16</v>
      </c>
      <c r="B5157">
        <v>592031</v>
      </c>
      <c r="C5157">
        <v>0.1</v>
      </c>
      <c r="D5157">
        <v>40</v>
      </c>
      <c r="E5157">
        <v>10</v>
      </c>
      <c r="F5157">
        <v>8</v>
      </c>
      <c r="G5157">
        <v>0</v>
      </c>
      <c r="H5157">
        <v>10</v>
      </c>
      <c r="I5157">
        <v>473</v>
      </c>
      <c r="J5157">
        <v>860</v>
      </c>
      <c r="K5157">
        <v>4.3885000000000005</v>
      </c>
      <c r="L5157">
        <v>7.9560000000000004</v>
      </c>
      <c r="M5157">
        <v>6.0274999999999999</v>
      </c>
      <c r="N5157">
        <v>8.68</v>
      </c>
      <c r="O5157">
        <v>1631</v>
      </c>
      <c r="P5157">
        <v>0</v>
      </c>
      <c r="Q5157" s="5" t="e">
        <f>IF(AND(#REF!&gt;=table!$C$6,#REF!&lt;= table!$D$6),-1,IF(AND(#REF!&gt;=table!$E$6,#REF!&lt;=table!$F$6),1,0))</f>
        <v>#REF!</v>
      </c>
      <c r="R5157" s="5" t="e">
        <f>IF(AND(#REF!&gt;=table!$C$7,#REF!&lt;= table!$D$7),-1,IF(AND(#REF!&gt;=table!$E$7,#REF!&lt;=table!$F$7),1,0))</f>
        <v>#REF!</v>
      </c>
      <c r="S5157" s="5" t="e">
        <f>IF(AND(#REF!&gt;=table!$C$8,#REF!&lt;= table!$D$8),-1,IF(AND(#REF!&gt;=table!$E$8,#REF!&lt;=table!$F$8),1,0))</f>
        <v>#REF!</v>
      </c>
      <c r="T5157" s="5"/>
      <c r="U5157" s="5" t="e">
        <f>IF(AND(#REF!&gt;=table!$C$10,#REF!&lt;= table!$D$10),-1,IF(AND(#REF!&gt;=table!$E$10,#REF!&lt;=table!$F$10),1,0))</f>
        <v>#REF!</v>
      </c>
      <c r="V5157" s="5" t="e">
        <f>IF(AND(#REF!&gt;=table!$C$11,#REF!&lt;= table!$D$11),-1,IF(AND(#REF!&gt;=table!$E$11,#REF!&lt;=table!$F$11),1,0))</f>
        <v>#REF!</v>
      </c>
      <c r="W5157" s="5" t="e">
        <f>CONCATENATE(dados[[#This Row],[fator1]],dados[[#This Row],[fator5]],dados[[#This Row],[fator6]])</f>
        <v>#REF!</v>
      </c>
    </row>
    <row r="5158" spans="1:23">
      <c r="A5158" t="s">
        <v>17</v>
      </c>
      <c r="B5158">
        <v>592039</v>
      </c>
      <c r="C5158">
        <v>12</v>
      </c>
      <c r="D5158">
        <v>35</v>
      </c>
      <c r="E5158">
        <v>95</v>
      </c>
      <c r="F5158">
        <v>4</v>
      </c>
      <c r="G5158">
        <v>28</v>
      </c>
      <c r="H5158">
        <v>20</v>
      </c>
      <c r="I5158">
        <v>25</v>
      </c>
      <c r="J5158">
        <v>440</v>
      </c>
      <c r="K5158">
        <v>3.3200000000000003</v>
      </c>
      <c r="L5158">
        <v>9.2520000000000007</v>
      </c>
      <c r="M5158">
        <v>75.118000000000009</v>
      </c>
      <c r="N5158">
        <v>14.095000000000001</v>
      </c>
      <c r="O5158">
        <v>1680</v>
      </c>
      <c r="P5158">
        <v>706</v>
      </c>
      <c r="Q5158" s="5" t="e">
        <f>IF(AND(#REF!&gt;=table!$C$6,#REF!&lt;= table!$D$6),-1,IF(AND(#REF!&gt;=table!$E$6,#REF!&lt;=table!$F$6),1,0))</f>
        <v>#REF!</v>
      </c>
      <c r="R5158" s="5" t="e">
        <f>IF(AND(#REF!&gt;=table!$C$7,#REF!&lt;= table!$D$7),-1,IF(AND(#REF!&gt;=table!$E$7,#REF!&lt;=table!$F$7),1,0))</f>
        <v>#REF!</v>
      </c>
      <c r="S5158" s="5" t="e">
        <f>IF(AND(#REF!&gt;=table!$C$8,#REF!&lt;= table!$D$8),-1,IF(AND(#REF!&gt;=table!$E$8,#REF!&lt;=table!$F$8),1,0))</f>
        <v>#REF!</v>
      </c>
      <c r="T5158" s="5"/>
      <c r="U5158" s="5" t="e">
        <f>IF(AND(#REF!&gt;=table!$C$10,#REF!&lt;= table!$D$10),-1,IF(AND(#REF!&gt;=table!$E$10,#REF!&lt;=table!$F$10),1,0))</f>
        <v>#REF!</v>
      </c>
      <c r="V5158" s="5" t="e">
        <f>IF(AND(#REF!&gt;=table!$C$11,#REF!&lt;= table!$D$11),-1,IF(AND(#REF!&gt;=table!$E$11,#REF!&lt;=table!$F$11),1,0))</f>
        <v>#REF!</v>
      </c>
      <c r="W5158" s="5" t="e">
        <f>CONCATENATE(dados[[#This Row],[fator1]],dados[[#This Row],[fator5]],dados[[#This Row],[fator6]])</f>
        <v>#REF!</v>
      </c>
    </row>
    <row r="5159" spans="1:23">
      <c r="A5159" t="s">
        <v>17</v>
      </c>
      <c r="B5159">
        <v>592043</v>
      </c>
      <c r="C5159">
        <v>14</v>
      </c>
      <c r="D5159">
        <v>25</v>
      </c>
      <c r="E5159">
        <v>130</v>
      </c>
      <c r="F5159">
        <v>9</v>
      </c>
      <c r="G5159">
        <v>110</v>
      </c>
      <c r="H5159">
        <v>50</v>
      </c>
      <c r="I5159">
        <v>378</v>
      </c>
      <c r="J5159">
        <v>0</v>
      </c>
      <c r="K5159">
        <v>6.5425000000000004</v>
      </c>
      <c r="L5159">
        <v>14.641500000000001</v>
      </c>
      <c r="M5159">
        <v>130.4605</v>
      </c>
      <c r="N5159">
        <v>37.835000000000001</v>
      </c>
      <c r="O5159">
        <v>1667</v>
      </c>
      <c r="P5159">
        <v>516</v>
      </c>
      <c r="Q5159" s="5" t="e">
        <f>IF(AND(#REF!&gt;=table!$C$6,#REF!&lt;= table!$D$6),-1,IF(AND(#REF!&gt;=table!$E$6,#REF!&lt;=table!$F$6),1,0))</f>
        <v>#REF!</v>
      </c>
      <c r="R5159" s="5" t="e">
        <f>IF(AND(#REF!&gt;=table!$C$7,#REF!&lt;= table!$D$7),-1,IF(AND(#REF!&gt;=table!$E$7,#REF!&lt;=table!$F$7),1,0))</f>
        <v>#REF!</v>
      </c>
      <c r="S5159" s="5" t="e">
        <f>IF(AND(#REF!&gt;=table!$C$8,#REF!&lt;= table!$D$8),-1,IF(AND(#REF!&gt;=table!$E$8,#REF!&lt;=table!$F$8),1,0))</f>
        <v>#REF!</v>
      </c>
      <c r="T5159" s="5"/>
      <c r="U5159" s="5" t="e">
        <f>IF(AND(#REF!&gt;=table!$C$10,#REF!&lt;= table!$D$10),-1,IF(AND(#REF!&gt;=table!$E$10,#REF!&lt;=table!$F$10),1,0))</f>
        <v>#REF!</v>
      </c>
      <c r="V5159" s="5" t="e">
        <f>IF(AND(#REF!&gt;=table!$C$11,#REF!&lt;= table!$D$11),-1,IF(AND(#REF!&gt;=table!$E$11,#REF!&lt;=table!$F$11),1,0))</f>
        <v>#REF!</v>
      </c>
      <c r="W5159" s="5" t="e">
        <f>CONCATENATE(dados[[#This Row],[fator1]],dados[[#This Row],[fator5]],dados[[#This Row],[fator6]])</f>
        <v>#REF!</v>
      </c>
    </row>
    <row r="5160" spans="1:23">
      <c r="A5160" t="s">
        <v>16</v>
      </c>
      <c r="B5160">
        <v>592045</v>
      </c>
      <c r="C5160">
        <v>9</v>
      </c>
      <c r="D5160">
        <v>40</v>
      </c>
      <c r="E5160">
        <v>125</v>
      </c>
      <c r="F5160">
        <v>3</v>
      </c>
      <c r="G5160">
        <v>0</v>
      </c>
      <c r="H5160">
        <v>25</v>
      </c>
      <c r="I5160">
        <v>0</v>
      </c>
      <c r="J5160">
        <v>0</v>
      </c>
      <c r="K5160">
        <v>3.5740000000000003</v>
      </c>
      <c r="L5160">
        <v>11.58</v>
      </c>
      <c r="M5160">
        <v>119.1555</v>
      </c>
      <c r="N5160">
        <v>14.365</v>
      </c>
      <c r="O5160">
        <v>1692</v>
      </c>
      <c r="P5160">
        <v>1024</v>
      </c>
      <c r="Q5160" s="5" t="e">
        <f>IF(AND(#REF!&gt;=table!$C$6,#REF!&lt;= table!$D$6),-1,IF(AND(#REF!&gt;=table!$E$6,#REF!&lt;=table!$F$6),1,0))</f>
        <v>#REF!</v>
      </c>
      <c r="R5160" s="5" t="e">
        <f>IF(AND(#REF!&gt;=table!$C$7,#REF!&lt;= table!$D$7),-1,IF(AND(#REF!&gt;=table!$E$7,#REF!&lt;=table!$F$7),1,0))</f>
        <v>#REF!</v>
      </c>
      <c r="S5160" s="5" t="e">
        <f>IF(AND(#REF!&gt;=table!$C$8,#REF!&lt;= table!$D$8),-1,IF(AND(#REF!&gt;=table!$E$8,#REF!&lt;=table!$F$8),1,0))</f>
        <v>#REF!</v>
      </c>
      <c r="T5160" s="5"/>
      <c r="U5160" s="5" t="e">
        <f>IF(AND(#REF!&gt;=table!$C$10,#REF!&lt;= table!$D$10),-1,IF(AND(#REF!&gt;=table!$E$10,#REF!&lt;=table!$F$10),1,0))</f>
        <v>#REF!</v>
      </c>
      <c r="V5160" s="5" t="e">
        <f>IF(AND(#REF!&gt;=table!$C$11,#REF!&lt;= table!$D$11),-1,IF(AND(#REF!&gt;=table!$E$11,#REF!&lt;=table!$F$11),1,0))</f>
        <v>#REF!</v>
      </c>
      <c r="W5160" s="5" t="e">
        <f>CONCATENATE(dados[[#This Row],[fator1]],dados[[#This Row],[fator5]],dados[[#This Row],[fator6]])</f>
        <v>#REF!</v>
      </c>
    </row>
    <row r="5161" spans="1:23">
      <c r="A5161" t="s">
        <v>16</v>
      </c>
      <c r="B5161">
        <v>592046</v>
      </c>
      <c r="C5161">
        <v>9</v>
      </c>
      <c r="D5161">
        <v>40</v>
      </c>
      <c r="E5161">
        <v>125</v>
      </c>
      <c r="F5161">
        <v>6</v>
      </c>
      <c r="G5161">
        <v>0</v>
      </c>
      <c r="H5161">
        <v>25</v>
      </c>
      <c r="I5161">
        <v>1045</v>
      </c>
      <c r="J5161">
        <v>0</v>
      </c>
      <c r="K5161">
        <v>4.5015000000000001</v>
      </c>
      <c r="L5161">
        <v>13.901</v>
      </c>
      <c r="M5161">
        <v>120.91500000000001</v>
      </c>
      <c r="N5161">
        <v>17.12</v>
      </c>
      <c r="O5161">
        <v>1692</v>
      </c>
      <c r="P5161">
        <v>936</v>
      </c>
      <c r="Q5161" s="5" t="e">
        <f>IF(AND(#REF!&gt;=table!$C$6,#REF!&lt;= table!$D$6),-1,IF(AND(#REF!&gt;=table!$E$6,#REF!&lt;=table!$F$6),1,0))</f>
        <v>#REF!</v>
      </c>
      <c r="R5161" s="5" t="e">
        <f>IF(AND(#REF!&gt;=table!$C$7,#REF!&lt;= table!$D$7),-1,IF(AND(#REF!&gt;=table!$E$7,#REF!&lt;=table!$F$7),1,0))</f>
        <v>#REF!</v>
      </c>
      <c r="S5161" s="5" t="e">
        <f>IF(AND(#REF!&gt;=table!$C$8,#REF!&lt;= table!$D$8),-1,IF(AND(#REF!&gt;=table!$E$8,#REF!&lt;=table!$F$8),1,0))</f>
        <v>#REF!</v>
      </c>
      <c r="T5161" s="5"/>
      <c r="U5161" s="5" t="e">
        <f>IF(AND(#REF!&gt;=table!$C$10,#REF!&lt;= table!$D$10),-1,IF(AND(#REF!&gt;=table!$E$10,#REF!&lt;=table!$F$10),1,0))</f>
        <v>#REF!</v>
      </c>
      <c r="V5161" s="5" t="e">
        <f>IF(AND(#REF!&gt;=table!$C$11,#REF!&lt;= table!$D$11),-1,IF(AND(#REF!&gt;=table!$E$11,#REF!&lt;=table!$F$11),1,0))</f>
        <v>#REF!</v>
      </c>
      <c r="W5161" s="5" t="e">
        <f>CONCATENATE(dados[[#This Row],[fator1]],dados[[#This Row],[fator5]],dados[[#This Row],[fator6]])</f>
        <v>#REF!</v>
      </c>
    </row>
    <row r="5162" spans="1:23">
      <c r="A5162" t="s">
        <v>17</v>
      </c>
      <c r="B5162">
        <v>592047</v>
      </c>
      <c r="C5162">
        <v>45</v>
      </c>
      <c r="D5162">
        <v>30</v>
      </c>
      <c r="E5162">
        <v>126</v>
      </c>
      <c r="F5162">
        <v>9</v>
      </c>
      <c r="G5162">
        <v>23</v>
      </c>
      <c r="H5162">
        <v>22</v>
      </c>
      <c r="I5162">
        <v>6</v>
      </c>
      <c r="J5162">
        <v>1250</v>
      </c>
      <c r="K5162">
        <v>4.5920000000000005</v>
      </c>
      <c r="L5162">
        <v>16.217500000000001</v>
      </c>
      <c r="M5162">
        <v>127.19200000000001</v>
      </c>
      <c r="N5162">
        <v>18.100000000000001</v>
      </c>
      <c r="O5162">
        <v>1693</v>
      </c>
      <c r="P5162">
        <v>943</v>
      </c>
      <c r="Q5162" s="5" t="e">
        <f>IF(AND(#REF!&gt;=table!$C$6,#REF!&lt;= table!$D$6),-1,IF(AND(#REF!&gt;=table!$E$6,#REF!&lt;=table!$F$6),1,0))</f>
        <v>#REF!</v>
      </c>
      <c r="R5162" s="5" t="e">
        <f>IF(AND(#REF!&gt;=table!$C$7,#REF!&lt;= table!$D$7),-1,IF(AND(#REF!&gt;=table!$E$7,#REF!&lt;=table!$F$7),1,0))</f>
        <v>#REF!</v>
      </c>
      <c r="S5162" s="5" t="e">
        <f>IF(AND(#REF!&gt;=table!$C$8,#REF!&lt;= table!$D$8),-1,IF(AND(#REF!&gt;=table!$E$8,#REF!&lt;=table!$F$8),1,0))</f>
        <v>#REF!</v>
      </c>
      <c r="T5162" s="5"/>
      <c r="U5162" s="5" t="e">
        <f>IF(AND(#REF!&gt;=table!$C$10,#REF!&lt;= table!$D$10),-1,IF(AND(#REF!&gt;=table!$E$10,#REF!&lt;=table!$F$10),1,0))</f>
        <v>#REF!</v>
      </c>
      <c r="V5162" s="5" t="e">
        <f>IF(AND(#REF!&gt;=table!$C$11,#REF!&lt;= table!$D$11),-1,IF(AND(#REF!&gt;=table!$E$11,#REF!&lt;=table!$F$11),1,0))</f>
        <v>#REF!</v>
      </c>
      <c r="W5162" s="5" t="e">
        <f>CONCATENATE(dados[[#This Row],[fator1]],dados[[#This Row],[fator5]],dados[[#This Row],[fator6]])</f>
        <v>#REF!</v>
      </c>
    </row>
    <row r="5163" spans="1:23">
      <c r="A5163" t="s">
        <v>16</v>
      </c>
      <c r="B5163">
        <v>592058</v>
      </c>
      <c r="C5163">
        <v>4</v>
      </c>
      <c r="D5163">
        <v>40</v>
      </c>
      <c r="E5163">
        <v>21</v>
      </c>
      <c r="F5163">
        <v>20</v>
      </c>
      <c r="G5163">
        <v>0</v>
      </c>
      <c r="H5163">
        <v>25</v>
      </c>
      <c r="I5163">
        <v>5</v>
      </c>
      <c r="J5163">
        <v>0</v>
      </c>
      <c r="K5163">
        <v>3.8080000000000003</v>
      </c>
      <c r="L5163">
        <v>7.4740000000000002</v>
      </c>
      <c r="M5163">
        <v>5.9065000000000003</v>
      </c>
      <c r="N5163">
        <v>15.645000000000001</v>
      </c>
      <c r="O5163">
        <v>1672</v>
      </c>
      <c r="P5163">
        <v>0</v>
      </c>
      <c r="Q5163" s="5" t="e">
        <f>IF(AND(#REF!&gt;=table!$C$6,#REF!&lt;= table!$D$6),-1,IF(AND(#REF!&gt;=table!$E$6,#REF!&lt;=table!$F$6),1,0))</f>
        <v>#REF!</v>
      </c>
      <c r="R5163" s="5" t="e">
        <f>IF(AND(#REF!&gt;=table!$C$7,#REF!&lt;= table!$D$7),-1,IF(AND(#REF!&gt;=table!$E$7,#REF!&lt;=table!$F$7),1,0))</f>
        <v>#REF!</v>
      </c>
      <c r="S5163" s="5" t="e">
        <f>IF(AND(#REF!&gt;=table!$C$8,#REF!&lt;= table!$D$8),-1,IF(AND(#REF!&gt;=table!$E$8,#REF!&lt;=table!$F$8),1,0))</f>
        <v>#REF!</v>
      </c>
      <c r="T5163" s="5"/>
      <c r="U5163" s="5" t="e">
        <f>IF(AND(#REF!&gt;=table!$C$10,#REF!&lt;= table!$D$10),-1,IF(AND(#REF!&gt;=table!$E$10,#REF!&lt;=table!$F$10),1,0))</f>
        <v>#REF!</v>
      </c>
      <c r="V5163" s="5" t="e">
        <f>IF(AND(#REF!&gt;=table!$C$11,#REF!&lt;= table!$D$11),-1,IF(AND(#REF!&gt;=table!$E$11,#REF!&lt;=table!$F$11),1,0))</f>
        <v>#REF!</v>
      </c>
      <c r="W5163" s="5" t="e">
        <f>CONCATENATE(dados[[#This Row],[fator1]],dados[[#This Row],[fator5]],dados[[#This Row],[fator6]])</f>
        <v>#REF!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2:AL161"/>
  <sheetViews>
    <sheetView tabSelected="1" topLeftCell="A32" zoomScaleNormal="100" workbookViewId="0">
      <selection activeCell="N58" sqref="N58"/>
    </sheetView>
  </sheetViews>
  <sheetFormatPr defaultRowHeight="12.75"/>
  <cols>
    <col min="1" max="1" width="16.125" style="1" customWidth="1"/>
    <col min="2" max="3" width="9" style="1"/>
    <col min="4" max="4" width="11.375" style="1" bestFit="1" customWidth="1"/>
    <col min="5" max="5" width="10.875" style="1" bestFit="1" customWidth="1"/>
    <col min="6" max="6" width="9" style="1"/>
    <col min="7" max="7" width="11.5" style="1" bestFit="1" customWidth="1"/>
    <col min="8" max="8" width="9" style="1"/>
    <col min="9" max="9" width="16" style="1" bestFit="1" customWidth="1"/>
    <col min="10" max="12" width="9" style="1"/>
    <col min="13" max="13" width="11.5" style="1" bestFit="1" customWidth="1"/>
    <col min="14" max="15" width="9" style="1"/>
    <col min="16" max="16" width="10.125" style="1" bestFit="1" customWidth="1"/>
    <col min="17" max="29" width="9" style="1"/>
    <col min="30" max="30" width="8.625" style="1" customWidth="1"/>
    <col min="31" max="31" width="6.625" style="1" customWidth="1"/>
    <col min="32" max="32" width="8.125" style="1" customWidth="1"/>
    <col min="33" max="33" width="10.5" style="1" bestFit="1" customWidth="1"/>
    <col min="34" max="34" width="9" style="1"/>
    <col min="35" max="35" width="18.125" style="1" bestFit="1" customWidth="1"/>
    <col min="36" max="36" width="19.625" style="1" bestFit="1" customWidth="1"/>
    <col min="37" max="37" width="11.25" style="1" customWidth="1"/>
    <col min="38" max="38" width="10.75" style="1" bestFit="1" customWidth="1"/>
    <col min="39" max="16384" width="9" style="1"/>
  </cols>
  <sheetData>
    <row r="2" spans="1:17">
      <c r="K2" s="1" t="s">
        <v>65</v>
      </c>
      <c r="L2" s="1">
        <f>COUNT(#REF!)</f>
        <v>0</v>
      </c>
    </row>
    <row r="4" spans="1:17">
      <c r="B4" s="1" t="s">
        <v>22</v>
      </c>
      <c r="C4" s="3" t="s">
        <v>26</v>
      </c>
      <c r="D4" s="3" t="s">
        <v>26</v>
      </c>
      <c r="E4" s="3" t="s">
        <v>27</v>
      </c>
      <c r="F4" s="3" t="s">
        <v>27</v>
      </c>
      <c r="H4" s="3" t="s">
        <v>26</v>
      </c>
      <c r="I4" s="3" t="s">
        <v>27</v>
      </c>
      <c r="J4" s="7" t="s">
        <v>64</v>
      </c>
    </row>
    <row r="5" spans="1:17">
      <c r="B5" s="2" t="s">
        <v>19</v>
      </c>
      <c r="C5" s="2" t="s">
        <v>24</v>
      </c>
      <c r="D5" s="2" t="s">
        <v>25</v>
      </c>
      <c r="E5" s="2" t="s">
        <v>20</v>
      </c>
      <c r="F5" s="2" t="s">
        <v>21</v>
      </c>
      <c r="G5" s="2"/>
      <c r="H5" s="2"/>
      <c r="I5" s="2"/>
      <c r="J5" s="2"/>
      <c r="L5" s="1" t="s">
        <v>46</v>
      </c>
      <c r="Q5" s="1" t="s">
        <v>47</v>
      </c>
    </row>
    <row r="6" spans="1:17">
      <c r="A6" s="1" t="s">
        <v>28</v>
      </c>
      <c r="B6" s="6" t="s">
        <v>23</v>
      </c>
      <c r="C6" s="1">
        <v>400</v>
      </c>
      <c r="D6" s="1">
        <v>600</v>
      </c>
      <c r="E6" s="1">
        <v>1100</v>
      </c>
      <c r="F6" s="1">
        <v>1500</v>
      </c>
      <c r="H6" s="1" t="e">
        <f t="array" ref="H6">SUM(IF(#REF!&gt;=$C$6,IF(#REF!&lt;=$D$6,1,0)))</f>
        <v>#REF!</v>
      </c>
      <c r="I6" s="1" t="e">
        <f t="array" ref="I6">SUM(IF(#REF!&gt;=$E$6,IF(#REF!&lt;=$F$6,1,0)))</f>
        <v>#REF!</v>
      </c>
      <c r="J6" s="1" t="e">
        <f>$L$2-H6-I6</f>
        <v>#REF!</v>
      </c>
      <c r="L6" s="1" t="s">
        <v>48</v>
      </c>
      <c r="Q6" s="1" t="s">
        <v>54</v>
      </c>
    </row>
    <row r="7" spans="1:17">
      <c r="A7" s="1" t="s">
        <v>30</v>
      </c>
      <c r="B7" s="9" t="s">
        <v>29</v>
      </c>
      <c r="C7" s="9">
        <v>0</v>
      </c>
      <c r="D7" s="9">
        <v>15</v>
      </c>
      <c r="E7" s="9">
        <v>20</v>
      </c>
      <c r="F7" s="9">
        <v>100</v>
      </c>
      <c r="H7" s="1" t="e">
        <f t="array" ref="H7">SUM(IF(#REF!&gt;=$C$7,IF(#REF!&lt;=$D$7,1,0)))</f>
        <v>#REF!</v>
      </c>
      <c r="I7" s="1" t="e">
        <f t="array" ref="I7">SUM(IF(#REF!&gt;=$E$7,IF(#REF!&lt;=$F$7,1,0)))</f>
        <v>#REF!</v>
      </c>
      <c r="J7" s="1" t="e">
        <f t="shared" ref="J7:J11" si="0">$L$2-H7-I7</f>
        <v>#REF!</v>
      </c>
      <c r="L7" s="1" t="s">
        <v>53</v>
      </c>
      <c r="Q7" s="1" t="s">
        <v>55</v>
      </c>
    </row>
    <row r="8" spans="1:17">
      <c r="A8" s="1" t="s">
        <v>32</v>
      </c>
      <c r="B8" s="9" t="s">
        <v>31</v>
      </c>
      <c r="C8" s="9">
        <v>1660</v>
      </c>
      <c r="D8" s="9">
        <v>1670</v>
      </c>
      <c r="E8" s="9">
        <v>1680</v>
      </c>
      <c r="F8" s="9">
        <v>1690</v>
      </c>
      <c r="H8" s="1" t="e">
        <f t="array" ref="H8">SUM(IF(#REF!&gt;=$C$8,IF(#REF!&lt;=$D$8,1,0)))</f>
        <v>#REF!</v>
      </c>
      <c r="I8" s="1" t="e">
        <f t="array" ref="I8">SUM(IF(#REF!&gt;=$E$8,IF(#REF!&lt;=$F$8,1,0)))</f>
        <v>#REF!</v>
      </c>
      <c r="J8" s="1" t="e">
        <f t="shared" si="0"/>
        <v>#REF!</v>
      </c>
      <c r="L8" s="1" t="s">
        <v>52</v>
      </c>
      <c r="Q8" s="1" t="s">
        <v>56</v>
      </c>
    </row>
    <row r="9" spans="1:17">
      <c r="A9" s="1" t="s">
        <v>34</v>
      </c>
      <c r="B9" s="9" t="s">
        <v>33</v>
      </c>
      <c r="C9" s="9">
        <v>0</v>
      </c>
      <c r="D9" s="9">
        <v>0</v>
      </c>
      <c r="E9" s="9">
        <v>800</v>
      </c>
      <c r="F9" s="9">
        <v>1200</v>
      </c>
      <c r="H9" s="1" t="e">
        <f t="array" ref="H9">SUM(IF(#REF!&gt;=$C$9,IF(#REF!&lt;=$D$9,1,0)))</f>
        <v>#REF!</v>
      </c>
      <c r="I9" s="1" t="e">
        <f t="array" ref="I9">SUM(IF(#REF!&gt;=$E$9,IF(#REF!&lt;=$F$9,1,0)))</f>
        <v>#REF!</v>
      </c>
      <c r="J9" s="1" t="e">
        <f t="shared" si="0"/>
        <v>#REF!</v>
      </c>
      <c r="L9" s="1" t="s">
        <v>51</v>
      </c>
      <c r="Q9" s="1" t="s">
        <v>57</v>
      </c>
    </row>
    <row r="10" spans="1:17">
      <c r="A10" s="1" t="s">
        <v>36</v>
      </c>
      <c r="B10" s="6" t="s">
        <v>35</v>
      </c>
      <c r="C10" s="1">
        <v>0</v>
      </c>
      <c r="D10" s="1">
        <v>100</v>
      </c>
      <c r="E10" s="1">
        <v>1000</v>
      </c>
      <c r="F10" s="1">
        <v>1500</v>
      </c>
      <c r="H10" s="1" t="e">
        <f t="array" ref="H10">SUM(IF(#REF!&gt;=$C$10,IF(#REF!&lt;=$D$10,1,0)))</f>
        <v>#REF!</v>
      </c>
      <c r="I10" s="1" t="e">
        <f t="array" ref="I10">SUM(IF(#REF!&gt;=$E$10,IF(#REF!&lt;=$F$10,1,0)))</f>
        <v>#REF!</v>
      </c>
      <c r="J10" s="1" t="e">
        <f t="shared" si="0"/>
        <v>#REF!</v>
      </c>
      <c r="L10" s="1" t="s">
        <v>50</v>
      </c>
      <c r="Q10" s="1" t="s">
        <v>58</v>
      </c>
    </row>
    <row r="11" spans="1:17">
      <c r="A11" s="1" t="s">
        <v>38</v>
      </c>
      <c r="B11" s="6" t="s">
        <v>37</v>
      </c>
      <c r="C11" s="1">
        <v>50</v>
      </c>
      <c r="D11" s="1">
        <v>70</v>
      </c>
      <c r="E11" s="1">
        <v>100</v>
      </c>
      <c r="F11" s="1">
        <v>120</v>
      </c>
      <c r="H11" s="1" t="e">
        <f t="array" ref="H11">SUM(IF(#REF!&gt;=$C$11,IF(#REF!&lt;=$D$11,1,0)))</f>
        <v>#REF!</v>
      </c>
      <c r="I11" s="1" t="e">
        <f t="array" ref="I11">SUM(IF(#REF!&gt;=$E$11,IF(#REF!&lt;=$F$11,1,0)))</f>
        <v>#REF!</v>
      </c>
      <c r="J11" s="1" t="e">
        <f t="shared" si="0"/>
        <v>#REF!</v>
      </c>
      <c r="L11" s="1" t="s">
        <v>49</v>
      </c>
      <c r="Q11" s="1" t="s">
        <v>59</v>
      </c>
    </row>
    <row r="12" spans="1:17">
      <c r="A12" s="1" t="s">
        <v>39</v>
      </c>
      <c r="B12" s="9" t="s">
        <v>40</v>
      </c>
      <c r="C12" s="9"/>
      <c r="D12" s="9"/>
      <c r="E12" s="9"/>
      <c r="F12" s="9"/>
    </row>
    <row r="14" spans="1:17">
      <c r="J14" s="1" t="s">
        <v>70</v>
      </c>
      <c r="K14" s="1" t="s">
        <v>71</v>
      </c>
      <c r="L14" s="1" t="s">
        <v>72</v>
      </c>
    </row>
    <row r="15" spans="1:17">
      <c r="C15" s="1" t="s">
        <v>60</v>
      </c>
      <c r="I15" s="2" t="s">
        <v>41</v>
      </c>
      <c r="J15" s="2" t="s">
        <v>43</v>
      </c>
      <c r="K15" s="2" t="s">
        <v>44</v>
      </c>
      <c r="L15" s="2" t="s">
        <v>45</v>
      </c>
      <c r="M15" s="10" t="s">
        <v>42</v>
      </c>
      <c r="N15" s="10" t="s">
        <v>16</v>
      </c>
      <c r="O15" s="10" t="s">
        <v>17</v>
      </c>
    </row>
    <row r="16" spans="1:17" ht="12.75" customHeight="1">
      <c r="C16" s="36" t="e">
        <f t="array" ref="C16">SUM(IF(M16:M23&gt;0,1,0))</f>
        <v>#REF!</v>
      </c>
      <c r="D16" s="36"/>
      <c r="I16" s="1">
        <v>1</v>
      </c>
      <c r="J16" s="1">
        <v>-1</v>
      </c>
      <c r="K16" s="1">
        <v>-1</v>
      </c>
      <c r="L16" s="1">
        <v>-1</v>
      </c>
      <c r="M16" s="3" t="e">
        <f t="array" ref="M16">SUM(IF(dados[fator1]=$J16,IF(dados[fator5]=$K16,IF(dados[fator6]=$L16,1,0))))</f>
        <v>#REF!</v>
      </c>
      <c r="N16" s="11" t="e">
        <f t="array" ref="N16">SUM(IF(dados[fator1]=$J16,IF(dados[fator5]=$K16,IF(dados[fator6]=$L16,IF(dados[GRAU]="AA",1,0)))))</f>
        <v>#REF!</v>
      </c>
      <c r="O16" s="11" t="e">
        <f t="array" ref="O16">SUM(IF(dados[fator1]=$J16,IF(dados[fator5]=$K16,IF(dados[fator6]=$L16,IF(dados[GRAU]="AS",1,0)))))</f>
        <v>#REF!</v>
      </c>
    </row>
    <row r="17" spans="2:33" ht="12.75" customHeight="1">
      <c r="C17" s="36"/>
      <c r="D17" s="36"/>
      <c r="I17" s="1">
        <v>2</v>
      </c>
      <c r="J17" s="1">
        <v>-1</v>
      </c>
      <c r="K17" s="1">
        <v>-1</v>
      </c>
      <c r="L17" s="1">
        <v>1</v>
      </c>
      <c r="M17" s="3" t="e">
        <f t="array" ref="M17">SUM(IF(dados[fator1]=$J17,IF(dados[fator5]=$K17,IF(dados[fator6]=$L17,1,0))))</f>
        <v>#REF!</v>
      </c>
      <c r="N17" s="11" t="e">
        <f t="array" ref="N17">SUM(IF(dados[fator1]=$J17,IF(dados[fator5]=$K17,IF(dados[fator6]=$L17,IF(dados[GRAU]="AA",1,0)))))</f>
        <v>#REF!</v>
      </c>
      <c r="O17" s="11" t="e">
        <f t="array" ref="O17">SUM(IF(dados[fator1]=$J17,IF(dados[fator5]=$K17,IF(dados[fator6]=$L17,IF(dados[GRAU]="AS",1,0)))))</f>
        <v>#REF!</v>
      </c>
    </row>
    <row r="18" spans="2:33" ht="12.75" customHeight="1">
      <c r="C18" s="36"/>
      <c r="D18" s="36"/>
      <c r="I18" s="1">
        <v>3</v>
      </c>
      <c r="J18" s="1">
        <v>-1</v>
      </c>
      <c r="K18" s="1">
        <v>1</v>
      </c>
      <c r="L18" s="1">
        <v>-1</v>
      </c>
      <c r="M18" s="3" t="e">
        <f t="array" ref="M18">SUM(IF(dados[fator1]=$J18,IF(dados[fator5]=$K18,IF(dados[fator6]=$L18,1,0))))</f>
        <v>#REF!</v>
      </c>
      <c r="N18" s="11" t="e">
        <f t="array" ref="N18">SUM(IF(dados[fator1]=$J18,IF(dados[fator5]=$K18,IF(dados[fator6]=$L18,IF(dados[GRAU]="AA",1,0)))))</f>
        <v>#REF!</v>
      </c>
      <c r="O18" s="11" t="e">
        <f t="array" ref="O18">SUM(IF(dados[fator1]=$J18,IF(dados[fator5]=$K18,IF(dados[fator6]=$L18,IF(dados[GRAU]="AS",1,0)))))</f>
        <v>#REF!</v>
      </c>
    </row>
    <row r="19" spans="2:33" ht="12.75" customHeight="1">
      <c r="C19" s="36"/>
      <c r="D19" s="36"/>
      <c r="I19" s="1">
        <v>4</v>
      </c>
      <c r="J19" s="1">
        <v>-1</v>
      </c>
      <c r="K19" s="1">
        <v>1</v>
      </c>
      <c r="L19" s="1">
        <v>1</v>
      </c>
      <c r="M19" s="3" t="e">
        <f t="array" ref="M19">SUM(IF(dados[fator1]=$J19,IF(dados[fator5]=$K19,IF(dados[fator6]=$L19,1,0))))</f>
        <v>#REF!</v>
      </c>
      <c r="N19" s="11" t="e">
        <f t="array" ref="N19">SUM(IF(dados[fator1]=$J19,IF(dados[fator5]=$K19,IF(dados[fator6]=$L19,IF(dados[GRAU]="AA",1,0)))))</f>
        <v>#REF!</v>
      </c>
      <c r="O19" s="11" t="e">
        <f t="array" ref="O19">SUM(IF(dados[fator1]=$J19,IF(dados[fator5]=$K19,IF(dados[fator6]=$L19,IF(dados[GRAU]="AS",1,0)))))</f>
        <v>#REF!</v>
      </c>
    </row>
    <row r="20" spans="2:33">
      <c r="C20" s="4"/>
      <c r="D20" s="4"/>
      <c r="I20" s="1">
        <v>5</v>
      </c>
      <c r="J20" s="1">
        <v>1</v>
      </c>
      <c r="K20" s="1">
        <v>-1</v>
      </c>
      <c r="L20" s="1">
        <v>-1</v>
      </c>
      <c r="M20" s="3" t="e">
        <f t="array" ref="M20">SUM(IF(dados[fator1]=$J20,IF(dados[fator5]=$K20,IF(dados[fator6]=$L20,1,0))))</f>
        <v>#REF!</v>
      </c>
      <c r="N20" s="11" t="e">
        <f t="array" ref="N20">SUM(IF(dados[fator1]=$J20,IF(dados[fator5]=$K20,IF(dados[fator6]=$L20,IF(dados[GRAU]="AA",1,0)))))</f>
        <v>#REF!</v>
      </c>
      <c r="O20" s="11" t="e">
        <f t="array" ref="O20">SUM(IF(dados[fator1]=$J20,IF(dados[fator5]=$K20,IF(dados[fator6]=$L20,IF(dados[GRAU]="AS",1,0)))))</f>
        <v>#REF!</v>
      </c>
    </row>
    <row r="21" spans="2:33">
      <c r="I21" s="1">
        <v>6</v>
      </c>
      <c r="J21" s="1">
        <v>1</v>
      </c>
      <c r="K21" s="1">
        <v>-1</v>
      </c>
      <c r="L21" s="1">
        <v>1</v>
      </c>
      <c r="M21" s="3" t="e">
        <f t="array" ref="M21">SUM(IF(dados[fator1]=$J21,IF(dados[fator5]=$K21,IF(dados[fator6]=$L21,1,0))))</f>
        <v>#REF!</v>
      </c>
      <c r="N21" s="11" t="e">
        <f t="array" ref="N21">SUM(IF(dados[fator1]=$J21,IF(dados[fator5]=$K21,IF(dados[fator6]=$L21,IF(dados[GRAU]="AA",1,0)))))</f>
        <v>#REF!</v>
      </c>
      <c r="O21" s="11" t="e">
        <f t="array" ref="O21">SUM(IF(dados[fator1]=$J21,IF(dados[fator5]=$K21,IF(dados[fator6]=$L21,IF(dados[GRAU]="AS",1,0)))))</f>
        <v>#REF!</v>
      </c>
    </row>
    <row r="22" spans="2:33">
      <c r="I22" s="1">
        <v>7</v>
      </c>
      <c r="J22" s="1">
        <v>1</v>
      </c>
      <c r="K22" s="1">
        <v>1</v>
      </c>
      <c r="L22" s="1">
        <v>-1</v>
      </c>
      <c r="M22" s="3" t="e">
        <f t="array" ref="M22">SUM(IF(dados[fator1]=$J22,IF(dados[fator5]=$K22,IF(dados[fator6]=$L22,1,0))))</f>
        <v>#REF!</v>
      </c>
      <c r="N22" s="11" t="e">
        <f t="array" ref="N22">SUM(IF(dados[fator1]=$J22,IF(dados[fator5]=$K22,IF(dados[fator6]=$L22,IF(dados[GRAU]="AA",1,0)))))</f>
        <v>#REF!</v>
      </c>
      <c r="O22" s="11" t="e">
        <f t="array" ref="O22">SUM(IF(dados[fator1]=$J22,IF(dados[fator5]=$K22,IF(dados[fator6]=$L22,IF(dados[GRAU]="AS",1,0)))))</f>
        <v>#REF!</v>
      </c>
    </row>
    <row r="23" spans="2:33">
      <c r="I23" s="1">
        <v>8</v>
      </c>
      <c r="J23" s="1">
        <v>1</v>
      </c>
      <c r="K23" s="1">
        <v>1</v>
      </c>
      <c r="L23" s="1">
        <v>1</v>
      </c>
      <c r="M23" s="3" t="e">
        <f t="array" ref="M23">SUM(IF(dados[fator1]=$J23,IF(dados[fator5]=$K23,IF(dados[fator6]=$L23,1,0))))</f>
        <v>#REF!</v>
      </c>
      <c r="N23" s="11" t="e">
        <f t="array" ref="N23">SUM(IF(dados[fator1]=$J23,IF(dados[fator5]=$K23,IF(dados[fator6]=$L23,IF(dados[GRAU]="AA",1,0)))))</f>
        <v>#REF!</v>
      </c>
      <c r="O23" s="11" t="e">
        <f t="array" ref="O23">SUM(IF(dados[fator1]=$J23,IF(dados[fator5]=$K23,IF(dados[fator6]=$L23,IF(dados[GRAU]="AS",1,0)))))</f>
        <v>#REF!</v>
      </c>
    </row>
    <row r="25" spans="2:33">
      <c r="J25" s="1" t="s">
        <v>70</v>
      </c>
      <c r="K25" s="1" t="s">
        <v>71</v>
      </c>
      <c r="L25" s="1" t="s">
        <v>72</v>
      </c>
      <c r="Z25" s="1" t="s">
        <v>84</v>
      </c>
      <c r="AA25" s="1" t="s">
        <v>40</v>
      </c>
      <c r="AB25" s="1" t="s">
        <v>85</v>
      </c>
      <c r="AD25" s="1" t="s">
        <v>84</v>
      </c>
      <c r="AE25" s="1" t="s">
        <v>40</v>
      </c>
      <c r="AF25" s="1" t="s">
        <v>85</v>
      </c>
      <c r="AG25" s="1" t="s">
        <v>86</v>
      </c>
    </row>
    <row r="26" spans="2:33">
      <c r="I26" s="1">
        <f>J46</f>
        <v>0.85855702388424293</v>
      </c>
      <c r="J26" s="1">
        <f>J47</f>
        <v>2.1567094003658749E-2</v>
      </c>
      <c r="K26" s="1">
        <f>J48</f>
        <v>-2.2437145267128977E-2</v>
      </c>
      <c r="L26" s="1">
        <f>J49</f>
        <v>1.2700964399326553E-2</v>
      </c>
      <c r="M26" s="1">
        <f>J50</f>
        <v>-1.1640221170577114E-2</v>
      </c>
      <c r="N26" s="1">
        <f>J51</f>
        <v>1.2305554453332146E-2</v>
      </c>
      <c r="O26" s="1">
        <f>J52</f>
        <v>6.2659072526110027E-3</v>
      </c>
      <c r="P26" s="1">
        <f>J53</f>
        <v>1.7014828112208669E-2</v>
      </c>
      <c r="R26" s="1" t="s">
        <v>1</v>
      </c>
      <c r="Z26" s="12">
        <v>480989</v>
      </c>
      <c r="AA26" s="12" t="s">
        <v>16</v>
      </c>
      <c r="AB26" s="13" t="s">
        <v>76</v>
      </c>
      <c r="AD26" s="1">
        <v>480755</v>
      </c>
      <c r="AE26" s="1" t="s">
        <v>17</v>
      </c>
      <c r="AF26" s="1" t="s">
        <v>81</v>
      </c>
      <c r="AG26" s="1">
        <v>0.98433218716263959</v>
      </c>
    </row>
    <row r="27" spans="2:33">
      <c r="E27" s="1" t="s">
        <v>138</v>
      </c>
      <c r="F27" s="1">
        <f>AVERAGE(J28:J43)</f>
        <v>0</v>
      </c>
      <c r="H27" s="1" t="s">
        <v>41</v>
      </c>
      <c r="I27" s="1" t="s">
        <v>100</v>
      </c>
      <c r="J27" s="1" t="s">
        <v>91</v>
      </c>
      <c r="K27" s="1" t="s">
        <v>92</v>
      </c>
      <c r="L27" s="1" t="s">
        <v>93</v>
      </c>
      <c r="M27" s="1" t="s">
        <v>94</v>
      </c>
      <c r="N27" s="1" t="s">
        <v>95</v>
      </c>
      <c r="O27" s="1" t="s">
        <v>96</v>
      </c>
      <c r="P27" s="1" t="s">
        <v>97</v>
      </c>
      <c r="R27" s="1" t="s">
        <v>74</v>
      </c>
      <c r="S27" s="1" t="s">
        <v>73</v>
      </c>
      <c r="T27" s="1" t="s">
        <v>99</v>
      </c>
      <c r="U27" s="1" t="s">
        <v>117</v>
      </c>
      <c r="V27" s="1" t="s">
        <v>159</v>
      </c>
      <c r="Z27" s="14">
        <v>481256</v>
      </c>
      <c r="AA27" s="14" t="s">
        <v>16</v>
      </c>
      <c r="AB27" s="16" t="s">
        <v>77</v>
      </c>
      <c r="AD27" s="1">
        <v>480989</v>
      </c>
      <c r="AE27" s="1" t="s">
        <v>16</v>
      </c>
      <c r="AF27" s="1" t="s">
        <v>76</v>
      </c>
      <c r="AG27" s="1">
        <v>0.76053908328058917</v>
      </c>
    </row>
    <row r="28" spans="2:33">
      <c r="E28" s="1" t="s">
        <v>139</v>
      </c>
      <c r="F28" s="1">
        <f>SUM(G28:G43)</f>
        <v>16</v>
      </c>
      <c r="G28" s="1">
        <f>J28^2</f>
        <v>1</v>
      </c>
      <c r="H28" s="1">
        <v>1</v>
      </c>
      <c r="I28" s="1">
        <v>1</v>
      </c>
      <c r="J28" s="1">
        <v>-1</v>
      </c>
      <c r="K28" s="1">
        <v>-1</v>
      </c>
      <c r="L28" s="1">
        <v>-1</v>
      </c>
      <c r="M28" s="1">
        <f>J28*K28</f>
        <v>1</v>
      </c>
      <c r="N28" s="1">
        <f>J28*L28</f>
        <v>1</v>
      </c>
      <c r="O28" s="1">
        <f>J28*K28</f>
        <v>1</v>
      </c>
      <c r="P28" s="1">
        <f>J28*K28*L28</f>
        <v>-1</v>
      </c>
      <c r="R28" s="1" t="s">
        <v>16</v>
      </c>
      <c r="S28" s="1">
        <f t="array" ref="S28">AVERAGE(IF(rend[fatores]=CONCATENATE(J28,K28,L28),IF(rend[Grau]=R28,rend[rend])))</f>
        <v>0.84657726359796226</v>
      </c>
      <c r="T28" s="1">
        <f>SUMPRODUCT(I28:P28,$I$26:$P$26)</f>
        <v>0.83664252317154397</v>
      </c>
      <c r="U28" s="1">
        <f>(S28-T28)^2</f>
        <v>9.8699067340309813E-5</v>
      </c>
      <c r="V28" s="1">
        <f t="array" ref="V28">SUM(IF(rend[fatores]=CONCATENATE(J28,K28,L28),IF(rend[Grau]=R28,1,0)))</f>
        <v>11</v>
      </c>
      <c r="Z28" s="15">
        <v>481269</v>
      </c>
      <c r="AA28" s="15" t="s">
        <v>16</v>
      </c>
      <c r="AB28" s="17" t="s">
        <v>78</v>
      </c>
      <c r="AD28" s="1">
        <v>481205</v>
      </c>
      <c r="AE28" s="1" t="s">
        <v>17</v>
      </c>
      <c r="AF28" s="1" t="s">
        <v>78</v>
      </c>
      <c r="AG28" s="1">
        <v>0.8518405672777114</v>
      </c>
    </row>
    <row r="29" spans="2:33">
      <c r="B29" s="1" t="s">
        <v>68</v>
      </c>
      <c r="G29" s="1">
        <f t="shared" ref="G29:G42" si="1">J29^2</f>
        <v>1</v>
      </c>
      <c r="H29" s="1">
        <v>1</v>
      </c>
      <c r="I29" s="1">
        <v>1</v>
      </c>
      <c r="J29" s="1">
        <v>-1</v>
      </c>
      <c r="K29" s="1">
        <v>-1</v>
      </c>
      <c r="L29" s="1">
        <v>-1</v>
      </c>
      <c r="M29" s="1">
        <f t="shared" ref="M29:M43" si="2">J29*K29</f>
        <v>1</v>
      </c>
      <c r="N29" s="1">
        <f t="shared" ref="N29:N43" si="3">J29*L29</f>
        <v>1</v>
      </c>
      <c r="O29" s="1">
        <f t="shared" ref="O29:O43" si="4">J29*K29</f>
        <v>1</v>
      </c>
      <c r="P29" s="1">
        <f t="shared" ref="P29:P43" si="5">J29*K29*L29</f>
        <v>-1</v>
      </c>
      <c r="R29" s="1" t="s">
        <v>17</v>
      </c>
      <c r="S29" s="1">
        <f t="array" ref="S29">AVERAGE(IF(rend[fatores]=CONCATENATE(J29,K29,L29),IF(rend[Grau]=R29,rend[rend])))</f>
        <v>0.82670778274512613</v>
      </c>
      <c r="T29" s="1">
        <f t="shared" ref="T29:T43" si="6">SUMPRODUCT(I29:P29,$I$26:$P$26)</f>
        <v>0.83664252317154397</v>
      </c>
      <c r="U29" s="1">
        <f t="shared" ref="U29:U43" si="7">(S29-T29)^2</f>
        <v>9.869906734030099E-5</v>
      </c>
      <c r="V29" s="1">
        <f t="array" ref="V29">SUM(IF(rend[fatores]=CONCATENATE(J29,K29,L29),IF(rend[Grau]=R29,1,0)))</f>
        <v>15</v>
      </c>
      <c r="Z29" s="14">
        <v>481801</v>
      </c>
      <c r="AA29" s="14" t="s">
        <v>16</v>
      </c>
      <c r="AB29" s="16" t="s">
        <v>77</v>
      </c>
      <c r="AD29" s="1">
        <v>481269</v>
      </c>
      <c r="AE29" s="1" t="s">
        <v>16</v>
      </c>
      <c r="AF29" s="1" t="s">
        <v>78</v>
      </c>
      <c r="AG29" s="1">
        <v>0.74045103687904734</v>
      </c>
    </row>
    <row r="30" spans="2:33">
      <c r="G30" s="1">
        <f t="shared" si="1"/>
        <v>1</v>
      </c>
      <c r="H30" s="1">
        <v>2</v>
      </c>
      <c r="I30" s="6">
        <v>1</v>
      </c>
      <c r="J30" s="6">
        <v>-1</v>
      </c>
      <c r="K30" s="6">
        <v>-1</v>
      </c>
      <c r="L30" s="6">
        <v>1</v>
      </c>
      <c r="M30" s="6">
        <f t="shared" si="2"/>
        <v>1</v>
      </c>
      <c r="N30" s="23">
        <f t="shared" si="3"/>
        <v>-1</v>
      </c>
      <c r="O30" s="6">
        <f t="shared" si="4"/>
        <v>1</v>
      </c>
      <c r="P30" s="6">
        <f t="shared" si="5"/>
        <v>1</v>
      </c>
      <c r="R30" s="1" t="s">
        <v>16</v>
      </c>
      <c r="S30" s="1">
        <f t="array" ref="S30">AVERAGE(IF(rend[fatores]=CONCATENATE(J30,K30,L30),IF(rend[Grau]=R30,rend[rend])))</f>
        <v>0.8839134340508441</v>
      </c>
      <c r="T30" s="1">
        <f t="shared" si="6"/>
        <v>0.87146299928795012</v>
      </c>
      <c r="U30" s="1">
        <f t="shared" si="7"/>
        <v>1.5501332578507889E-4</v>
      </c>
      <c r="V30" s="1">
        <f t="array" ref="V30">SUM(IF(rend[fatores]=CONCATENATE(J30,K30,L30),IF(rend[Grau]=R30,1,0)))</f>
        <v>2</v>
      </c>
      <c r="Z30" s="12">
        <v>481820</v>
      </c>
      <c r="AA30" s="12" t="s">
        <v>16</v>
      </c>
      <c r="AB30" s="13" t="s">
        <v>79</v>
      </c>
      <c r="AD30" s="1">
        <v>481414</v>
      </c>
      <c r="AE30" s="1" t="s">
        <v>17</v>
      </c>
      <c r="AF30" s="1" t="s">
        <v>76</v>
      </c>
      <c r="AG30" s="1">
        <v>0.63987870621335663</v>
      </c>
    </row>
    <row r="31" spans="2:33">
      <c r="G31" s="1">
        <f t="shared" si="1"/>
        <v>1</v>
      </c>
      <c r="H31" s="1">
        <v>2</v>
      </c>
      <c r="I31" s="6">
        <v>1</v>
      </c>
      <c r="J31" s="6">
        <v>-1</v>
      </c>
      <c r="K31" s="6">
        <v>-1</v>
      </c>
      <c r="L31" s="6">
        <v>1</v>
      </c>
      <c r="M31" s="6">
        <f t="shared" si="2"/>
        <v>1</v>
      </c>
      <c r="N31" s="24">
        <f t="shared" si="3"/>
        <v>-1</v>
      </c>
      <c r="O31" s="6">
        <f t="shared" si="4"/>
        <v>1</v>
      </c>
      <c r="P31" s="6">
        <f t="shared" si="5"/>
        <v>1</v>
      </c>
      <c r="R31" s="1" t="s">
        <v>17</v>
      </c>
      <c r="S31" s="1">
        <f t="array" ref="S31">AVERAGE(IF(rend[fatores]=CONCATENATE(J31,K31,L31),IF(rend[Grau]=R31,rend[rend])))</f>
        <v>0.83394893551461247</v>
      </c>
      <c r="T31" s="1">
        <f t="shared" si="6"/>
        <v>0.87146299928795012</v>
      </c>
      <c r="U31" s="1">
        <f t="shared" si="7"/>
        <v>1.4073049807900449E-3</v>
      </c>
      <c r="V31" s="1">
        <f t="array" ref="V31">SUM(IF(rend[fatores]=CONCATENATE(J31,K31,L31),IF(rend[Grau]=R31,1,0)))</f>
        <v>25</v>
      </c>
      <c r="Z31" s="14">
        <v>482446</v>
      </c>
      <c r="AA31" s="14" t="s">
        <v>16</v>
      </c>
      <c r="AB31" s="16" t="s">
        <v>76</v>
      </c>
      <c r="AD31" s="1">
        <v>481461</v>
      </c>
      <c r="AE31" s="1" t="s">
        <v>17</v>
      </c>
      <c r="AF31" s="1" t="s">
        <v>80</v>
      </c>
      <c r="AG31" s="1">
        <v>0.66586205093620865</v>
      </c>
    </row>
    <row r="32" spans="2:33">
      <c r="G32" s="1">
        <f t="shared" si="1"/>
        <v>1</v>
      </c>
      <c r="H32" s="1">
        <v>3</v>
      </c>
      <c r="I32" s="1">
        <v>1</v>
      </c>
      <c r="J32" s="1">
        <v>-1</v>
      </c>
      <c r="K32" s="1">
        <v>1</v>
      </c>
      <c r="L32" s="1">
        <v>-1</v>
      </c>
      <c r="M32" s="1">
        <f t="shared" si="2"/>
        <v>-1</v>
      </c>
      <c r="N32" s="1">
        <f t="shared" si="3"/>
        <v>1</v>
      </c>
      <c r="O32" s="1">
        <f t="shared" si="4"/>
        <v>-1</v>
      </c>
      <c r="P32" s="1">
        <f t="shared" si="5"/>
        <v>1</v>
      </c>
      <c r="R32" s="1" t="s">
        <v>16</v>
      </c>
      <c r="S32" s="1">
        <f t="array" ref="S32">AVERAGE(IF(rend[fatores]=CONCATENATE(J32,K32,L32),IF(rend[Grau]=R32,rend[rend])))</f>
        <v>0.84174648496222704</v>
      </c>
      <c r="T32" s="1">
        <f t="shared" si="6"/>
        <v>0.83654651669763558</v>
      </c>
      <c r="U32" s="1">
        <f t="shared" si="7"/>
        <v>2.7039669952758312E-5</v>
      </c>
      <c r="V32" s="1">
        <f t="array" ref="V32">SUM(IF(rend[fatores]=CONCATENATE(J32,K32,L32),IF(rend[Grau]=R32,1,0)))</f>
        <v>8</v>
      </c>
      <c r="Z32" s="12">
        <v>482479</v>
      </c>
      <c r="AA32" s="12" t="s">
        <v>16</v>
      </c>
      <c r="AB32" s="13" t="s">
        <v>78</v>
      </c>
      <c r="AD32" s="1">
        <v>481490</v>
      </c>
      <c r="AE32" s="1" t="s">
        <v>17</v>
      </c>
      <c r="AF32" s="1" t="s">
        <v>80</v>
      </c>
      <c r="AG32" s="1">
        <v>0.77515957227831522</v>
      </c>
    </row>
    <row r="33" spans="1:38">
      <c r="G33" s="1">
        <f t="shared" si="1"/>
        <v>1</v>
      </c>
      <c r="H33" s="1">
        <v>3</v>
      </c>
      <c r="I33" s="1">
        <v>1</v>
      </c>
      <c r="J33" s="1">
        <v>-1</v>
      </c>
      <c r="K33" s="1">
        <v>1</v>
      </c>
      <c r="L33" s="1">
        <v>-1</v>
      </c>
      <c r="M33" s="1">
        <f t="shared" si="2"/>
        <v>-1</v>
      </c>
      <c r="N33" s="1">
        <f t="shared" si="3"/>
        <v>1</v>
      </c>
      <c r="O33" s="1">
        <f t="shared" si="4"/>
        <v>-1</v>
      </c>
      <c r="P33" s="1">
        <f t="shared" si="5"/>
        <v>1</v>
      </c>
      <c r="R33" s="1" t="s">
        <v>17</v>
      </c>
      <c r="S33" s="1">
        <f t="array" ref="S33">AVERAGE(IF(rend[fatores]=CONCATENATE(J33,K33,L33),IF(rend[Grau]=R33,rend[rend])))</f>
        <v>0.83134654843304445</v>
      </c>
      <c r="T33" s="1">
        <f t="shared" si="6"/>
        <v>0.83654651669763558</v>
      </c>
      <c r="U33" s="1">
        <f t="shared" si="7"/>
        <v>2.7039669952754846E-5</v>
      </c>
      <c r="V33" s="1">
        <f t="array" ref="V33">SUM(IF(rend[fatores]=CONCATENATE(J33,K33,L33),IF(rend[Grau]=R33,1,0)))</f>
        <v>5</v>
      </c>
      <c r="Z33" s="14">
        <v>483220</v>
      </c>
      <c r="AA33" s="14" t="s">
        <v>16</v>
      </c>
      <c r="AB33" s="16" t="s">
        <v>78</v>
      </c>
      <c r="AD33" s="1">
        <v>481491</v>
      </c>
      <c r="AE33" s="1" t="s">
        <v>17</v>
      </c>
      <c r="AF33" s="1" t="s">
        <v>80</v>
      </c>
      <c r="AG33" s="1">
        <v>0.49341910696632518</v>
      </c>
      <c r="AI33" s="34" t="s">
        <v>157</v>
      </c>
      <c r="AJ33" s="34" t="s">
        <v>158</v>
      </c>
      <c r="AK33"/>
      <c r="AL33"/>
    </row>
    <row r="34" spans="1:38">
      <c r="G34" s="1">
        <f t="shared" si="1"/>
        <v>1</v>
      </c>
      <c r="H34" s="1">
        <v>4</v>
      </c>
      <c r="I34" s="6">
        <v>1</v>
      </c>
      <c r="J34" s="6">
        <v>-1</v>
      </c>
      <c r="K34" s="6">
        <v>1</v>
      </c>
      <c r="L34" s="6">
        <v>1</v>
      </c>
      <c r="M34" s="6">
        <f t="shared" si="2"/>
        <v>-1</v>
      </c>
      <c r="N34" s="23">
        <f t="shared" si="3"/>
        <v>-1</v>
      </c>
      <c r="O34" s="6">
        <f t="shared" si="4"/>
        <v>-1</v>
      </c>
      <c r="P34" s="6">
        <f t="shared" si="5"/>
        <v>-1</v>
      </c>
      <c r="R34" s="1" t="s">
        <v>16</v>
      </c>
      <c r="S34" s="1">
        <f t="array" ref="S34">AVERAGE(IF(rend[fatores]=CONCATENATE(J34,K34,L34),IF(rend[Grau]=R34,rend[rend])))</f>
        <v>0.78115270657632152</v>
      </c>
      <c r="T34" s="1">
        <f t="shared" si="6"/>
        <v>0.80330768036520706</v>
      </c>
      <c r="U34" s="1">
        <f t="shared" si="7"/>
        <v>4.9084286358620506E-4</v>
      </c>
      <c r="V34" s="1">
        <f t="array" ref="V34">SUM(IF(rend[fatores]=CONCATENATE(J34,K34,L34),IF(rend[Grau]=R34,1,0)))</f>
        <v>6</v>
      </c>
      <c r="Z34" s="12">
        <v>483346</v>
      </c>
      <c r="AA34" s="12" t="s">
        <v>16</v>
      </c>
      <c r="AB34" s="13" t="s">
        <v>79</v>
      </c>
      <c r="AD34" s="1">
        <v>481579</v>
      </c>
      <c r="AE34" s="1" t="s">
        <v>17</v>
      </c>
      <c r="AF34" s="1" t="s">
        <v>80</v>
      </c>
      <c r="AG34" s="1">
        <v>0.82871988559106002</v>
      </c>
      <c r="AI34" s="34" t="s">
        <v>155</v>
      </c>
      <c r="AJ34" t="s">
        <v>16</v>
      </c>
      <c r="AK34" t="s">
        <v>17</v>
      </c>
      <c r="AL34" t="s">
        <v>156</v>
      </c>
    </row>
    <row r="35" spans="1:38">
      <c r="G35" s="1">
        <f t="shared" si="1"/>
        <v>1</v>
      </c>
      <c r="H35" s="1">
        <v>4</v>
      </c>
      <c r="I35" s="6">
        <v>1</v>
      </c>
      <c r="J35" s="6">
        <v>-1</v>
      </c>
      <c r="K35" s="6">
        <v>1</v>
      </c>
      <c r="L35" s="6">
        <v>1</v>
      </c>
      <c r="M35" s="6">
        <f t="shared" si="2"/>
        <v>-1</v>
      </c>
      <c r="N35" s="25">
        <f t="shared" si="3"/>
        <v>-1</v>
      </c>
      <c r="O35" s="6">
        <f t="shared" si="4"/>
        <v>-1</v>
      </c>
      <c r="P35" s="6">
        <f t="shared" si="5"/>
        <v>-1</v>
      </c>
      <c r="R35" s="1" t="s">
        <v>17</v>
      </c>
      <c r="S35" s="1">
        <f t="array" ref="S35">AVERAGE(IF(rend[fatores]=CONCATENATE(J35,K35,L35),IF(rend[Grau]=R35,rend[rend])))</f>
        <v>0.85052628316453638</v>
      </c>
      <c r="T35" s="1">
        <f t="shared" si="6"/>
        <v>0.80330768036520706</v>
      </c>
      <c r="U35" s="1">
        <f t="shared" si="7"/>
        <v>2.2295964503208309E-3</v>
      </c>
      <c r="V35" s="1">
        <f t="array" ref="V35">SUM(IF(rend[fatores]=CONCATENATE(J35,K35,L35),IF(rend[Grau]=R35,1,0)))</f>
        <v>9</v>
      </c>
      <c r="Z35" s="14">
        <v>483624</v>
      </c>
      <c r="AA35" s="14" t="s">
        <v>16</v>
      </c>
      <c r="AB35" s="16" t="s">
        <v>79</v>
      </c>
      <c r="AD35" s="1">
        <v>481711</v>
      </c>
      <c r="AE35" s="1" t="s">
        <v>17</v>
      </c>
      <c r="AF35" s="1" t="s">
        <v>80</v>
      </c>
      <c r="AG35" s="1">
        <v>0.94565492856661559</v>
      </c>
      <c r="AI35" s="35" t="s">
        <v>82</v>
      </c>
      <c r="AJ35" s="5">
        <v>3</v>
      </c>
      <c r="AK35" s="5">
        <v>2</v>
      </c>
      <c r="AL35" s="5">
        <v>5</v>
      </c>
    </row>
    <row r="36" spans="1:38">
      <c r="G36" s="1">
        <f t="shared" si="1"/>
        <v>1</v>
      </c>
      <c r="H36" s="1">
        <v>5</v>
      </c>
      <c r="I36" s="6">
        <v>1</v>
      </c>
      <c r="J36" s="6">
        <v>1</v>
      </c>
      <c r="K36" s="6">
        <v>-1</v>
      </c>
      <c r="L36" s="6">
        <v>-1</v>
      </c>
      <c r="M36" s="6">
        <f t="shared" si="2"/>
        <v>-1</v>
      </c>
      <c r="N36" s="25">
        <f t="shared" si="3"/>
        <v>-1</v>
      </c>
      <c r="O36" s="6">
        <f t="shared" si="4"/>
        <v>-1</v>
      </c>
      <c r="P36" s="6">
        <f t="shared" si="5"/>
        <v>1</v>
      </c>
      <c r="R36" s="1" t="s">
        <v>16</v>
      </c>
      <c r="S36" s="1">
        <f t="array" ref="S36">AVERAGE(IF(rend[fatores]=CONCATENATE(J36,K36,L36),IF(rend[Grau]=R36,rend[rend])))</f>
        <v>0.99896409845613265</v>
      </c>
      <c r="T36" s="1">
        <f t="shared" si="6"/>
        <v>0.89994388633254663</v>
      </c>
      <c r="U36" s="1">
        <f t="shared" si="7"/>
        <v>9.8050024089999729E-3</v>
      </c>
      <c r="V36" s="1">
        <f t="array" ref="V36">SUM(IF(rend[fatores]=CONCATENATE(J36,K36,L36),IF(rend[Grau]=R36,1,0)))</f>
        <v>1</v>
      </c>
      <c r="Z36" s="12">
        <v>484185</v>
      </c>
      <c r="AA36" s="12" t="s">
        <v>16</v>
      </c>
      <c r="AB36" s="13" t="s">
        <v>77</v>
      </c>
      <c r="AD36" s="1">
        <v>481867</v>
      </c>
      <c r="AE36" s="1" t="s">
        <v>17</v>
      </c>
      <c r="AF36" s="1" t="s">
        <v>80</v>
      </c>
      <c r="AG36" s="1">
        <v>0.84505318815023978</v>
      </c>
      <c r="AI36" s="35" t="s">
        <v>79</v>
      </c>
      <c r="AJ36" s="5">
        <v>3</v>
      </c>
      <c r="AK36" s="5">
        <v>1</v>
      </c>
      <c r="AL36" s="5">
        <v>4</v>
      </c>
    </row>
    <row r="37" spans="1:38">
      <c r="G37" s="1">
        <f t="shared" si="1"/>
        <v>1</v>
      </c>
      <c r="H37" s="1">
        <v>5</v>
      </c>
      <c r="I37" s="6">
        <v>1</v>
      </c>
      <c r="J37" s="6">
        <v>1</v>
      </c>
      <c r="K37" s="6">
        <v>-1</v>
      </c>
      <c r="L37" s="6">
        <v>-1</v>
      </c>
      <c r="M37" s="6">
        <f t="shared" si="2"/>
        <v>-1</v>
      </c>
      <c r="N37" s="24">
        <f t="shared" si="3"/>
        <v>-1</v>
      </c>
      <c r="O37" s="6">
        <f t="shared" si="4"/>
        <v>-1</v>
      </c>
      <c r="P37" s="6">
        <f t="shared" si="5"/>
        <v>1</v>
      </c>
      <c r="R37" s="1" t="s">
        <v>17</v>
      </c>
      <c r="S37" s="1">
        <f t="array" ref="S37">AVERAGE(IF(rend[fatores]=CONCATENATE(J37,K37,L37),IF(rend[Grau]=R37,rend[rend])))</f>
        <v>0.82598730321940494</v>
      </c>
      <c r="T37" s="1">
        <f t="shared" si="6"/>
        <v>0.89994388633254663</v>
      </c>
      <c r="U37" s="1">
        <f t="shared" si="7"/>
        <v>5.4695761857710334E-3</v>
      </c>
      <c r="V37" s="1">
        <f t="array" ref="V37">SUM(IF(rend[fatores]=CONCATENATE(J37,K37,L37),IF(rend[Grau]=R37,1,0)))</f>
        <v>2</v>
      </c>
      <c r="Z37" s="14">
        <v>484298</v>
      </c>
      <c r="AA37" s="14" t="s">
        <v>16</v>
      </c>
      <c r="AB37" s="16" t="s">
        <v>76</v>
      </c>
      <c r="AD37" s="1">
        <v>482341</v>
      </c>
      <c r="AE37" s="1" t="s">
        <v>17</v>
      </c>
      <c r="AF37" s="1" t="s">
        <v>79</v>
      </c>
      <c r="AG37" s="1">
        <v>0.80150105686027906</v>
      </c>
      <c r="AI37" s="35" t="s">
        <v>81</v>
      </c>
      <c r="AJ37" s="5">
        <v>3</v>
      </c>
      <c r="AK37" s="5">
        <v>15</v>
      </c>
      <c r="AL37" s="5">
        <v>18</v>
      </c>
    </row>
    <row r="38" spans="1:38">
      <c r="G38" s="1">
        <f t="shared" si="1"/>
        <v>1</v>
      </c>
      <c r="H38" s="1">
        <v>6</v>
      </c>
      <c r="I38" s="1">
        <v>1</v>
      </c>
      <c r="J38" s="1">
        <v>1</v>
      </c>
      <c r="K38" s="1">
        <v>-1</v>
      </c>
      <c r="L38" s="1">
        <v>1</v>
      </c>
      <c r="M38" s="1">
        <f t="shared" si="2"/>
        <v>-1</v>
      </c>
      <c r="N38" s="1">
        <f t="shared" si="3"/>
        <v>1</v>
      </c>
      <c r="O38" s="1">
        <f t="shared" si="4"/>
        <v>-1</v>
      </c>
      <c r="P38" s="1">
        <f t="shared" si="5"/>
        <v>-1</v>
      </c>
      <c r="R38" s="1" t="s">
        <v>16</v>
      </c>
      <c r="S38" s="1">
        <f t="array" ref="S38">AVERAGE(IF(rend[fatores]=CONCATENATE(J38,K38,L38),IF(rend[Grau]=R38,rend[rend])))</f>
        <v>0.88598621106485353</v>
      </c>
      <c r="T38" s="1">
        <f t="shared" si="6"/>
        <v>0.91592726781344669</v>
      </c>
      <c r="U38" s="1">
        <f t="shared" si="7"/>
        <v>8.9646687922247559E-4</v>
      </c>
      <c r="V38" s="1">
        <f t="array" ref="V38">SUM(IF(rend[fatores]=CONCATENATE(J38,K38,L38),IF(rend[Grau]=R38,1,0)))</f>
        <v>3</v>
      </c>
      <c r="Z38" s="12">
        <v>484586</v>
      </c>
      <c r="AA38" s="12" t="s">
        <v>16</v>
      </c>
      <c r="AB38" s="13" t="s">
        <v>77</v>
      </c>
      <c r="AD38" s="1">
        <v>482365</v>
      </c>
      <c r="AE38" s="1" t="s">
        <v>17</v>
      </c>
      <c r="AF38" s="1" t="s">
        <v>81</v>
      </c>
      <c r="AG38" s="1">
        <v>0.96161417875032418</v>
      </c>
      <c r="AI38" s="35" t="s">
        <v>83</v>
      </c>
      <c r="AJ38" s="5">
        <v>1</v>
      </c>
      <c r="AK38" s="5">
        <v>2</v>
      </c>
      <c r="AL38" s="5">
        <v>3</v>
      </c>
    </row>
    <row r="39" spans="1:38">
      <c r="G39" s="1">
        <f t="shared" si="1"/>
        <v>1</v>
      </c>
      <c r="H39" s="1">
        <v>6</v>
      </c>
      <c r="I39" s="1">
        <v>1</v>
      </c>
      <c r="J39" s="1">
        <v>1</v>
      </c>
      <c r="K39" s="1">
        <v>-1</v>
      </c>
      <c r="L39" s="1">
        <v>1</v>
      </c>
      <c r="M39" s="1">
        <f t="shared" si="2"/>
        <v>-1</v>
      </c>
      <c r="N39" s="1">
        <f t="shared" si="3"/>
        <v>1</v>
      </c>
      <c r="O39" s="1">
        <f t="shared" si="4"/>
        <v>-1</v>
      </c>
      <c r="P39" s="1">
        <f t="shared" si="5"/>
        <v>-1</v>
      </c>
      <c r="R39" s="1" t="s">
        <v>17</v>
      </c>
      <c r="S39" s="1">
        <f t="array" ref="S39">AVERAGE(IF(rend[fatores]=CONCATENATE(J39,K39,L39),IF(rend[Grau]=R39,rend[rend])))</f>
        <v>0.94586832456204062</v>
      </c>
      <c r="T39" s="1">
        <f t="shared" si="6"/>
        <v>0.91592726781344669</v>
      </c>
      <c r="U39" s="1">
        <f t="shared" si="7"/>
        <v>8.964668792225221E-4</v>
      </c>
      <c r="V39" s="1">
        <f t="array" ref="V39">SUM(IF(rend[fatores]=CONCATENATE(J39,K39,L39),IF(rend[Grau]=R39,1,0)))</f>
        <v>15</v>
      </c>
      <c r="Z39" s="14">
        <v>484644</v>
      </c>
      <c r="AA39" s="14" t="s">
        <v>16</v>
      </c>
      <c r="AB39" s="16" t="s">
        <v>78</v>
      </c>
      <c r="AD39" s="1">
        <v>482446</v>
      </c>
      <c r="AE39" s="1" t="s">
        <v>16</v>
      </c>
      <c r="AF39" s="1" t="s">
        <v>76</v>
      </c>
      <c r="AG39" s="1">
        <v>0.78237486435213743</v>
      </c>
      <c r="AI39" s="35" t="s">
        <v>76</v>
      </c>
      <c r="AJ39" s="5">
        <v>6</v>
      </c>
      <c r="AK39" s="5">
        <v>9</v>
      </c>
      <c r="AL39" s="5">
        <v>15</v>
      </c>
    </row>
    <row r="40" spans="1:38">
      <c r="G40" s="1">
        <f t="shared" si="1"/>
        <v>1</v>
      </c>
      <c r="H40" s="1">
        <v>7</v>
      </c>
      <c r="I40" s="6">
        <v>1</v>
      </c>
      <c r="J40" s="6">
        <v>1</v>
      </c>
      <c r="K40" s="6">
        <v>1</v>
      </c>
      <c r="L40" s="6">
        <v>-1</v>
      </c>
      <c r="M40" s="6">
        <f t="shared" si="2"/>
        <v>1</v>
      </c>
      <c r="N40" s="23">
        <f t="shared" si="3"/>
        <v>-1</v>
      </c>
      <c r="O40" s="6">
        <f t="shared" si="4"/>
        <v>1</v>
      </c>
      <c r="P40" s="6">
        <f t="shared" si="5"/>
        <v>-1</v>
      </c>
      <c r="R40" s="1" t="s">
        <v>16</v>
      </c>
      <c r="S40" s="1">
        <f t="array" ref="S40">AVERAGE(IF(rend[fatores]=CONCATENATE(J40,K40,L40),IF(rend[Grau]=R40,rend[rend])))</f>
        <v>0.79401793760515516</v>
      </c>
      <c r="T40" s="1">
        <f t="shared" si="6"/>
        <v>0.81029131173793933</v>
      </c>
      <c r="U40" s="1">
        <f t="shared" si="7"/>
        <v>2.6482270566556922E-4</v>
      </c>
      <c r="V40" s="1">
        <f t="array" ref="V40">SUM(IF(rend[fatores]=CONCATENATE(J40,K40,L40),IF(rend[Grau]=R40,1,0)))</f>
        <v>3</v>
      </c>
      <c r="Z40" s="12">
        <v>484647</v>
      </c>
      <c r="AA40" s="12" t="s">
        <v>16</v>
      </c>
      <c r="AB40" s="13" t="s">
        <v>77</v>
      </c>
      <c r="AD40" s="1">
        <v>482993</v>
      </c>
      <c r="AE40" s="1" t="s">
        <v>17</v>
      </c>
      <c r="AF40" s="1" t="s">
        <v>81</v>
      </c>
      <c r="AG40" s="1">
        <v>0.88710274297344927</v>
      </c>
      <c r="AI40" s="35" t="s">
        <v>78</v>
      </c>
      <c r="AJ40" s="5">
        <v>8</v>
      </c>
      <c r="AK40" s="5">
        <v>5</v>
      </c>
      <c r="AL40" s="5">
        <v>13</v>
      </c>
    </row>
    <row r="41" spans="1:38">
      <c r="G41" s="1">
        <f t="shared" si="1"/>
        <v>1</v>
      </c>
      <c r="H41" s="1">
        <v>7</v>
      </c>
      <c r="I41" s="6">
        <v>1</v>
      </c>
      <c r="J41" s="6">
        <v>1</v>
      </c>
      <c r="K41" s="6">
        <v>1</v>
      </c>
      <c r="L41" s="6">
        <v>-1</v>
      </c>
      <c r="M41" s="6">
        <f t="shared" si="2"/>
        <v>1</v>
      </c>
      <c r="N41" s="24">
        <f t="shared" si="3"/>
        <v>-1</v>
      </c>
      <c r="O41" s="6">
        <f t="shared" si="4"/>
        <v>1</v>
      </c>
      <c r="P41" s="6">
        <f t="shared" si="5"/>
        <v>-1</v>
      </c>
      <c r="R41" s="1" t="s">
        <v>17</v>
      </c>
      <c r="S41" s="1">
        <f t="array" ref="S41">AVERAGE(IF(rend[fatores]=CONCATENATE(J41,K41,L41),IF(rend[Grau]=R41,rend[rend])))</f>
        <v>0.80150105686027906</v>
      </c>
      <c r="T41" s="1">
        <f t="shared" si="6"/>
        <v>0.81029131173793933</v>
      </c>
      <c r="U41" s="1">
        <f t="shared" si="7"/>
        <v>7.7268580814230254E-5</v>
      </c>
      <c r="V41" s="1">
        <f t="array" ref="V41">SUM(IF(rend[fatores]=CONCATENATE(J41,K41,L41),IF(rend[Grau]=R41,1,0)))</f>
        <v>1</v>
      </c>
      <c r="Z41" s="14">
        <v>484894</v>
      </c>
      <c r="AA41" s="14" t="s">
        <v>16</v>
      </c>
      <c r="AB41" s="16" t="s">
        <v>78</v>
      </c>
      <c r="AD41" s="1">
        <v>483220</v>
      </c>
      <c r="AE41" s="1" t="s">
        <v>16</v>
      </c>
      <c r="AF41" s="1" t="s">
        <v>78</v>
      </c>
      <c r="AG41" s="1">
        <v>0.81952085433610433</v>
      </c>
      <c r="AI41" s="35" t="s">
        <v>80</v>
      </c>
      <c r="AJ41" s="5">
        <v>2</v>
      </c>
      <c r="AK41" s="5">
        <v>25</v>
      </c>
      <c r="AL41" s="5">
        <v>27</v>
      </c>
    </row>
    <row r="42" spans="1:38">
      <c r="G42" s="1">
        <f t="shared" si="1"/>
        <v>1</v>
      </c>
      <c r="H42" s="1">
        <v>8</v>
      </c>
      <c r="I42" s="1">
        <v>1</v>
      </c>
      <c r="J42" s="1">
        <v>1</v>
      </c>
      <c r="K42" s="1">
        <v>1</v>
      </c>
      <c r="L42" s="1">
        <v>1</v>
      </c>
      <c r="M42" s="1">
        <f t="shared" si="2"/>
        <v>1</v>
      </c>
      <c r="N42" s="1">
        <f t="shared" si="3"/>
        <v>1</v>
      </c>
      <c r="O42" s="1">
        <f t="shared" si="4"/>
        <v>1</v>
      </c>
      <c r="P42" s="1">
        <f t="shared" si="5"/>
        <v>1</v>
      </c>
      <c r="R42" s="1" t="s">
        <v>16</v>
      </c>
      <c r="S42" s="1">
        <f t="array" ref="S42">AVERAGE(IF(rend[fatores]=CONCATENATE(J42,K42,L42),IF(rend[Grau]=R42,rend[rend])))</f>
        <v>0.80796640784996221</v>
      </c>
      <c r="T42" s="1">
        <f t="shared" si="6"/>
        <v>0.89433400566767407</v>
      </c>
      <c r="U42" s="1">
        <f t="shared" si="7"/>
        <v>7.4593619528020268E-3</v>
      </c>
      <c r="V42" s="1">
        <f t="array" ref="V42">SUM(IF(rend[fatores]=CONCATENATE(J42,K42,L42),IF(rend[Grau]=R42,1,0)))</f>
        <v>3</v>
      </c>
      <c r="Z42" s="12">
        <v>485019</v>
      </c>
      <c r="AA42" s="12" t="s">
        <v>16</v>
      </c>
      <c r="AB42" s="13" t="s">
        <v>78</v>
      </c>
      <c r="AD42" s="1">
        <v>483440</v>
      </c>
      <c r="AE42" s="1" t="s">
        <v>17</v>
      </c>
      <c r="AF42" s="1" t="s">
        <v>78</v>
      </c>
      <c r="AG42" s="1">
        <v>0.97198427219830552</v>
      </c>
      <c r="AI42" s="35" t="s">
        <v>77</v>
      </c>
      <c r="AJ42" s="5">
        <v>11</v>
      </c>
      <c r="AK42" s="5">
        <v>15</v>
      </c>
      <c r="AL42" s="5">
        <v>26</v>
      </c>
    </row>
    <row r="43" spans="1:38">
      <c r="C43" s="1" t="s">
        <v>105</v>
      </c>
      <c r="G43" s="1">
        <f>J43^2</f>
        <v>1</v>
      </c>
      <c r="H43" s="1">
        <v>8</v>
      </c>
      <c r="I43" s="2">
        <v>1</v>
      </c>
      <c r="J43" s="2">
        <v>1</v>
      </c>
      <c r="K43" s="2">
        <v>1</v>
      </c>
      <c r="L43" s="2">
        <v>1</v>
      </c>
      <c r="M43" s="2">
        <f t="shared" si="2"/>
        <v>1</v>
      </c>
      <c r="N43" s="2">
        <f t="shared" si="3"/>
        <v>1</v>
      </c>
      <c r="O43" s="2">
        <f t="shared" si="4"/>
        <v>1</v>
      </c>
      <c r="P43" s="2">
        <f t="shared" si="5"/>
        <v>1</v>
      </c>
      <c r="Q43" s="2"/>
      <c r="R43" s="2" t="s">
        <v>17</v>
      </c>
      <c r="S43" s="2">
        <f t="array" ref="S43">AVERAGE(IF(rend[fatores]=CONCATENATE(J43,K43,L43),IF(rend[Grau]=R43,rend[rend])))</f>
        <v>0.98070160348538571</v>
      </c>
      <c r="T43" s="2">
        <f t="shared" si="6"/>
        <v>0.89433400566767407</v>
      </c>
      <c r="U43" s="2">
        <f t="shared" si="7"/>
        <v>7.4593619528019886E-3</v>
      </c>
      <c r="V43" s="1">
        <f t="array" ref="V43">SUM(IF(rend[fatores]=CONCATENATE(J43,K43,L43),IF(rend[Grau]=R43,1,0)))</f>
        <v>2</v>
      </c>
      <c r="Z43" s="14">
        <v>485334</v>
      </c>
      <c r="AA43" s="14" t="s">
        <v>16</v>
      </c>
      <c r="AB43" s="16" t="s">
        <v>78</v>
      </c>
      <c r="AD43" s="1">
        <v>483489</v>
      </c>
      <c r="AE43" s="1" t="s">
        <v>17</v>
      </c>
      <c r="AF43" s="1" t="s">
        <v>81</v>
      </c>
      <c r="AG43" s="1">
        <v>1.1342320523599383</v>
      </c>
      <c r="AI43" s="35" t="s">
        <v>156</v>
      </c>
      <c r="AJ43" s="5">
        <v>37</v>
      </c>
      <c r="AK43" s="5">
        <v>74</v>
      </c>
      <c r="AL43" s="5">
        <v>111</v>
      </c>
    </row>
    <row r="44" spans="1:38">
      <c r="S44" s="22"/>
      <c r="T44" s="22" t="s">
        <v>119</v>
      </c>
      <c r="U44" s="1">
        <f>SUM(U28:U43)</f>
        <v>3.6862562640368107E-2</v>
      </c>
      <c r="V44" s="1">
        <v>2</v>
      </c>
      <c r="W44" s="1" t="s">
        <v>121</v>
      </c>
      <c r="Z44" s="12">
        <v>485466</v>
      </c>
      <c r="AA44" s="12" t="s">
        <v>16</v>
      </c>
      <c r="AB44" s="13" t="s">
        <v>76</v>
      </c>
      <c r="AD44" s="1">
        <v>483591</v>
      </c>
      <c r="AE44" s="1" t="s">
        <v>17</v>
      </c>
      <c r="AF44" s="1" t="s">
        <v>80</v>
      </c>
      <c r="AG44" s="1">
        <v>1.0428114910601027</v>
      </c>
      <c r="AI44"/>
      <c r="AJ44"/>
      <c r="AK44"/>
    </row>
    <row r="45" spans="1:38">
      <c r="A45" s="1" t="s">
        <v>106</v>
      </c>
      <c r="B45" s="1" t="s">
        <v>107</v>
      </c>
      <c r="C45" s="1" t="s">
        <v>108</v>
      </c>
      <c r="D45" s="1" t="s">
        <v>109</v>
      </c>
      <c r="E45" s="3" t="s">
        <v>110</v>
      </c>
      <c r="F45" s="3" t="s">
        <v>111</v>
      </c>
      <c r="I45" s="2"/>
      <c r="J45" s="2" t="s">
        <v>98</v>
      </c>
      <c r="K45" s="20" t="s">
        <v>151</v>
      </c>
      <c r="L45" s="20" t="s">
        <v>150</v>
      </c>
      <c r="M45" s="20" t="s">
        <v>109</v>
      </c>
      <c r="N45" s="20" t="s">
        <v>141</v>
      </c>
      <c r="O45" s="20" t="s">
        <v>142</v>
      </c>
      <c r="P45" s="32" t="s">
        <v>143</v>
      </c>
      <c r="T45" s="22" t="s">
        <v>118</v>
      </c>
      <c r="U45" s="1">
        <f>U44/(16-V44)</f>
        <v>2.6330401885977218E-3</v>
      </c>
      <c r="V45" s="3" t="s">
        <v>122</v>
      </c>
      <c r="W45" s="1">
        <f>D47</f>
        <v>1.668E-2</v>
      </c>
      <c r="Z45" s="14">
        <v>485796</v>
      </c>
      <c r="AA45" s="14" t="s">
        <v>16</v>
      </c>
      <c r="AB45" s="16" t="s">
        <v>78</v>
      </c>
      <c r="AD45" s="1">
        <v>483624</v>
      </c>
      <c r="AE45" s="1" t="s">
        <v>16</v>
      </c>
      <c r="AF45" s="1" t="s">
        <v>79</v>
      </c>
      <c r="AG45" s="1">
        <v>0.81188003153492116</v>
      </c>
      <c r="AI45"/>
      <c r="AJ45"/>
      <c r="AK45"/>
    </row>
    <row r="46" spans="1:38">
      <c r="A46" s="1" t="s">
        <v>112</v>
      </c>
      <c r="C46" s="1">
        <v>0.85855999999999999</v>
      </c>
      <c r="D46" s="1">
        <v>1.668E-2</v>
      </c>
      <c r="E46" s="1">
        <v>51.48</v>
      </c>
      <c r="F46" s="1">
        <v>0</v>
      </c>
      <c r="H46" s="1" t="s">
        <v>87</v>
      </c>
      <c r="J46" s="21">
        <f>AVERAGE(S28:S43)</f>
        <v>0.85855702388424293</v>
      </c>
      <c r="M46" s="21">
        <f>$D$87</f>
        <v>1.2607783813485903E-2</v>
      </c>
      <c r="N46" s="21">
        <f t="shared" ref="N46:N53" si="8">J46/M46</f>
        <v>68.097378301005477</v>
      </c>
      <c r="P46" s="21">
        <f>P47</f>
        <v>2.3060041332991172</v>
      </c>
      <c r="T46" s="22" t="s">
        <v>120</v>
      </c>
      <c r="U46" s="1">
        <f>SQRT(U45)</f>
        <v>5.1313158045453819E-2</v>
      </c>
      <c r="Z46" s="12">
        <v>485838</v>
      </c>
      <c r="AA46" s="12" t="s">
        <v>16</v>
      </c>
      <c r="AB46" s="13" t="s">
        <v>80</v>
      </c>
      <c r="AD46" s="1">
        <v>483744</v>
      </c>
      <c r="AE46" s="1" t="s">
        <v>17</v>
      </c>
      <c r="AF46" s="1" t="s">
        <v>77</v>
      </c>
      <c r="AG46" s="1">
        <v>0.82689797462076531</v>
      </c>
      <c r="AI46"/>
      <c r="AJ46"/>
      <c r="AK46"/>
    </row>
    <row r="47" spans="1:38">
      <c r="A47" s="1" t="s">
        <v>88</v>
      </c>
      <c r="B47" s="1">
        <v>4.3130000000000002E-2</v>
      </c>
      <c r="C47" s="1">
        <v>2.1569999999999999E-2</v>
      </c>
      <c r="D47" s="1">
        <v>1.668E-2</v>
      </c>
      <c r="E47" s="1">
        <v>1.29</v>
      </c>
      <c r="F47" s="1">
        <v>0.23200000000000001</v>
      </c>
      <c r="H47" s="1" t="s">
        <v>91</v>
      </c>
      <c r="I47" s="1" t="s">
        <v>88</v>
      </c>
      <c r="J47" s="21">
        <f t="shared" ref="J47:J53" si="9">(L47-K47)/2</f>
        <v>2.1567094003658749E-2</v>
      </c>
      <c r="K47" s="1">
        <f t="array" ref="K47">AVERAGE(IF($J$28:$J$43=-1,$S$28:$S$43))</f>
        <v>0.83698992988058429</v>
      </c>
      <c r="L47" s="1">
        <f t="array" ref="L47">AVERAGE(IF($J$28:$J$43=1,$S$28:$S$43))</f>
        <v>0.88012411788790179</v>
      </c>
      <c r="M47" s="21">
        <f t="shared" ref="M47:M53" si="10">$D$87</f>
        <v>1.2607783813485903E-2</v>
      </c>
      <c r="N47" s="21">
        <f t="shared" si="8"/>
        <v>1.7106173711980632</v>
      </c>
      <c r="O47" s="21">
        <f>ABS(N47)</f>
        <v>1.7106173711980632</v>
      </c>
      <c r="P47" s="21">
        <f>$M$55</f>
        <v>2.3060041332991172</v>
      </c>
      <c r="Z47" s="14">
        <v>485979</v>
      </c>
      <c r="AA47" s="14" t="s">
        <v>16</v>
      </c>
      <c r="AB47" s="16" t="s">
        <v>79</v>
      </c>
      <c r="AD47" s="1">
        <v>483925</v>
      </c>
      <c r="AE47" s="1" t="s">
        <v>17</v>
      </c>
      <c r="AF47" s="1" t="s">
        <v>80</v>
      </c>
      <c r="AG47" s="1">
        <v>0.88221383594327851</v>
      </c>
      <c r="AI47"/>
      <c r="AJ47"/>
      <c r="AK47"/>
    </row>
    <row r="48" spans="1:38">
      <c r="A48" s="1" t="s">
        <v>8</v>
      </c>
      <c r="B48" s="1">
        <v>-4.487E-2</v>
      </c>
      <c r="C48" s="1">
        <v>-2.2440000000000002E-2</v>
      </c>
      <c r="D48" s="1">
        <v>1.668E-2</v>
      </c>
      <c r="E48" s="1">
        <v>-1.35</v>
      </c>
      <c r="F48" s="1">
        <v>0.215</v>
      </c>
      <c r="H48" s="1" t="s">
        <v>92</v>
      </c>
      <c r="I48" s="1" t="s">
        <v>35</v>
      </c>
      <c r="J48" s="21">
        <f t="shared" si="9"/>
        <v>-2.2437145267128977E-2</v>
      </c>
      <c r="K48" s="1">
        <f t="array" ref="K48">AVERAGE(IF($K$28:$K$43=-1,$S$28:$S$43))</f>
        <v>0.88099416915137196</v>
      </c>
      <c r="L48" s="1">
        <f t="array" ref="L48">AVERAGE(IF($K$28:$K$43=1,$S$28:$S$43))</f>
        <v>0.83611987861711401</v>
      </c>
      <c r="M48" s="21">
        <f t="shared" si="10"/>
        <v>1.2607783813485903E-2</v>
      </c>
      <c r="N48" s="21">
        <f t="shared" si="8"/>
        <v>-1.7796264275351159</v>
      </c>
      <c r="O48" s="21">
        <f t="shared" ref="O48:O53" si="11">ABS(N48)</f>
        <v>1.7796264275351159</v>
      </c>
      <c r="P48" s="21">
        <f t="shared" ref="P48:P53" si="12">$M$55</f>
        <v>2.3060041332991172</v>
      </c>
      <c r="U48" s="1">
        <f>U46/W45</f>
        <v>3.0763284199912362</v>
      </c>
      <c r="Z48" s="12">
        <v>486234</v>
      </c>
      <c r="AA48" s="12" t="s">
        <v>16</v>
      </c>
      <c r="AB48" s="13" t="s">
        <v>81</v>
      </c>
      <c r="AD48" s="1">
        <v>484243</v>
      </c>
      <c r="AE48" s="1" t="s">
        <v>17</v>
      </c>
      <c r="AF48" s="1" t="s">
        <v>77</v>
      </c>
      <c r="AG48" s="1">
        <v>0.83118884756499067</v>
      </c>
      <c r="AI48"/>
      <c r="AJ48"/>
      <c r="AK48"/>
    </row>
    <row r="49" spans="1:37">
      <c r="A49" s="1" t="s">
        <v>113</v>
      </c>
      <c r="B49" s="1">
        <v>2.5399999999999999E-2</v>
      </c>
      <c r="C49" s="1">
        <v>1.2699999999999999E-2</v>
      </c>
      <c r="D49" s="1">
        <v>1.668E-2</v>
      </c>
      <c r="E49" s="1">
        <v>0.76</v>
      </c>
      <c r="F49" s="1">
        <v>0.46800000000000003</v>
      </c>
      <c r="H49" s="1" t="s">
        <v>93</v>
      </c>
      <c r="I49" s="1" t="s">
        <v>113</v>
      </c>
      <c r="J49" s="21">
        <f t="shared" si="9"/>
        <v>1.2700964399326553E-2</v>
      </c>
      <c r="K49" s="1">
        <f t="array" ref="K49">AVERAGE(IF($L$28:$L$43=-1,$S$28:$S$43))</f>
        <v>0.84585605948491649</v>
      </c>
      <c r="L49" s="1">
        <f t="array" ref="L49">AVERAGE(IF($L$28:$L$43=1,$S$28:$S$43))</f>
        <v>0.8712579882835696</v>
      </c>
      <c r="M49" s="21">
        <f t="shared" si="10"/>
        <v>1.2607783813485903E-2</v>
      </c>
      <c r="N49" s="21">
        <f t="shared" si="8"/>
        <v>1.0073907188780458</v>
      </c>
      <c r="O49" s="21">
        <f t="shared" si="11"/>
        <v>1.0073907188780458</v>
      </c>
      <c r="P49" s="21">
        <f t="shared" si="12"/>
        <v>2.3060041332991172</v>
      </c>
      <c r="Z49" s="14">
        <v>486349</v>
      </c>
      <c r="AA49" s="14" t="s">
        <v>16</v>
      </c>
      <c r="AB49" s="16" t="s">
        <v>82</v>
      </c>
      <c r="AD49" s="1">
        <v>484298</v>
      </c>
      <c r="AE49" s="1" t="s">
        <v>16</v>
      </c>
      <c r="AF49" s="1" t="s">
        <v>76</v>
      </c>
      <c r="AG49" s="1">
        <v>0.83683540778795051</v>
      </c>
      <c r="AI49"/>
      <c r="AJ49"/>
      <c r="AK49"/>
    </row>
    <row r="50" spans="1:37">
      <c r="A50" s="1" t="s">
        <v>101</v>
      </c>
      <c r="B50" s="1">
        <v>-2.3279999999999999E-2</v>
      </c>
      <c r="C50" s="1">
        <v>-1.1639999999999999E-2</v>
      </c>
      <c r="D50" s="1">
        <v>1.668E-2</v>
      </c>
      <c r="E50" s="1">
        <v>-0.7</v>
      </c>
      <c r="F50" s="1">
        <v>0.505</v>
      </c>
      <c r="H50" s="1" t="s">
        <v>161</v>
      </c>
      <c r="I50" s="1" t="s">
        <v>152</v>
      </c>
      <c r="J50" s="21">
        <f t="shared" si="9"/>
        <v>-1.1640221170577114E-2</v>
      </c>
      <c r="K50" s="1">
        <f t="array" ref="K50">AVERAGE(IF($J$28:$J$43*$K$28:$K$43=-1,$S$28:$S$43))</f>
        <v>0.8701972450548201</v>
      </c>
      <c r="L50" s="1">
        <f t="array" ref="L50">AVERAGE(IF($J$28:$J$43*$K$28:$K$43=1,$S$28:$S$43))</f>
        <v>0.84691680271366587</v>
      </c>
      <c r="M50" s="21">
        <f t="shared" si="10"/>
        <v>1.2607783813485903E-2</v>
      </c>
      <c r="N50" s="21">
        <f t="shared" si="8"/>
        <v>-0.92325672320984464</v>
      </c>
      <c r="O50" s="21">
        <f t="shared" si="11"/>
        <v>0.92325672320984464</v>
      </c>
      <c r="P50" s="21">
        <f t="shared" si="12"/>
        <v>2.3060041332991172</v>
      </c>
      <c r="Z50" s="12">
        <v>486777</v>
      </c>
      <c r="AA50" s="12" t="s">
        <v>16</v>
      </c>
      <c r="AB50" s="13" t="s">
        <v>77</v>
      </c>
      <c r="AD50" s="1">
        <v>484586</v>
      </c>
      <c r="AE50" s="1" t="s">
        <v>16</v>
      </c>
      <c r="AF50" s="1" t="s">
        <v>77</v>
      </c>
      <c r="AG50" s="1">
        <v>0.83535532130300749</v>
      </c>
      <c r="AI50"/>
      <c r="AJ50"/>
      <c r="AK50"/>
    </row>
    <row r="51" spans="1:37">
      <c r="A51" s="1" t="s">
        <v>102</v>
      </c>
      <c r="B51" s="1">
        <v>2.461E-2</v>
      </c>
      <c r="C51" s="1">
        <v>1.231E-2</v>
      </c>
      <c r="D51" s="1">
        <v>1.668E-2</v>
      </c>
      <c r="E51" s="1">
        <v>0.74</v>
      </c>
      <c r="F51" s="1">
        <v>0.48199999999999998</v>
      </c>
      <c r="H51" s="1" t="s">
        <v>18</v>
      </c>
      <c r="I51" s="1" t="s">
        <v>102</v>
      </c>
      <c r="J51" s="21">
        <f t="shared" si="9"/>
        <v>1.2305554453332146E-2</v>
      </c>
      <c r="K51" s="1">
        <f t="array" ref="K51">AVERAGE(IF($J$28:$J$43*$L$28:$L$43=-1,$S$28:$S$43))</f>
        <v>0.8462514694309109</v>
      </c>
      <c r="L51" s="1">
        <f t="array" ref="L51">AVERAGE(IF($J$28:$J$43*$L$28:$L$43=1,$S$28:$S$43))</f>
        <v>0.87086257833757519</v>
      </c>
      <c r="M51" s="21">
        <f t="shared" si="10"/>
        <v>1.2607783813485903E-2</v>
      </c>
      <c r="N51" s="21">
        <f t="shared" si="8"/>
        <v>0.97602835164174706</v>
      </c>
      <c r="O51" s="21">
        <f t="shared" si="11"/>
        <v>0.97602835164174706</v>
      </c>
      <c r="P51" s="21">
        <f t="shared" si="12"/>
        <v>2.3060041332991172</v>
      </c>
      <c r="Z51" s="14">
        <v>487385</v>
      </c>
      <c r="AA51" s="14" t="s">
        <v>16</v>
      </c>
      <c r="AB51" s="16" t="s">
        <v>77</v>
      </c>
      <c r="AD51" s="1">
        <v>484644</v>
      </c>
      <c r="AE51" s="1" t="s">
        <v>16</v>
      </c>
      <c r="AF51" s="1" t="s">
        <v>78</v>
      </c>
      <c r="AG51" s="1">
        <v>0.81595900746598804</v>
      </c>
    </row>
    <row r="52" spans="1:37">
      <c r="A52" s="1" t="s">
        <v>103</v>
      </c>
      <c r="B52" s="1">
        <v>1.2529999999999999E-2</v>
      </c>
      <c r="C52" s="1">
        <v>6.2700000000000004E-3</v>
      </c>
      <c r="D52" s="1">
        <v>1.668E-2</v>
      </c>
      <c r="E52" s="1">
        <v>0.38</v>
      </c>
      <c r="F52" s="1">
        <v>0.71699999999999997</v>
      </c>
      <c r="H52" s="1" t="s">
        <v>162</v>
      </c>
      <c r="I52" s="1" t="s">
        <v>153</v>
      </c>
      <c r="J52" s="21">
        <f t="shared" si="9"/>
        <v>6.2659072526110027E-3</v>
      </c>
      <c r="K52" s="1">
        <f t="array" ref="K52">AVERAGE(IF($K$28:$K$43*$L$28:$L$43=-1,$S$28:$S$43))</f>
        <v>0.85229111663163204</v>
      </c>
      <c r="L52" s="1">
        <f t="array" ref="L52">AVERAGE(IF($K$28:$K$43*$L$28:$L$43=1,$S$28:$S$43))</f>
        <v>0.86482293113685405</v>
      </c>
      <c r="M52" s="21">
        <f t="shared" si="10"/>
        <v>1.2607783813485903E-2</v>
      </c>
      <c r="N52" s="21">
        <f t="shared" si="8"/>
        <v>0.4969872061026841</v>
      </c>
      <c r="O52" s="21">
        <f t="shared" si="11"/>
        <v>0.4969872061026841</v>
      </c>
      <c r="P52" s="21">
        <f t="shared" si="12"/>
        <v>2.3060041332991172</v>
      </c>
      <c r="Z52" s="12">
        <v>487877</v>
      </c>
      <c r="AA52" s="12" t="s">
        <v>16</v>
      </c>
      <c r="AB52" s="13" t="s">
        <v>83</v>
      </c>
      <c r="AD52" s="1">
        <v>484647</v>
      </c>
      <c r="AE52" s="1" t="s">
        <v>16</v>
      </c>
      <c r="AF52" s="1" t="s">
        <v>77</v>
      </c>
      <c r="AG52" s="1">
        <v>0.77064821092294067</v>
      </c>
    </row>
    <row r="53" spans="1:37">
      <c r="A53" s="1" t="s">
        <v>104</v>
      </c>
      <c r="B53" s="1">
        <v>3.4029999999999998E-2</v>
      </c>
      <c r="C53" s="1">
        <v>1.7010000000000001E-2</v>
      </c>
      <c r="D53" s="1">
        <v>1.668E-2</v>
      </c>
      <c r="E53" s="1">
        <v>1.02</v>
      </c>
      <c r="F53" s="1">
        <v>0.33800000000000002</v>
      </c>
      <c r="H53" s="1" t="s">
        <v>163</v>
      </c>
      <c r="I53" s="2" t="s">
        <v>154</v>
      </c>
      <c r="J53" s="26">
        <f t="shared" si="9"/>
        <v>1.7014828112208669E-2</v>
      </c>
      <c r="K53" s="2">
        <f t="array" ref="K53">AVERAGE(IF($K$28:$K$43*$L$28:$L$43*$J$28:$J$43=-1,$S$28:$S$43))</f>
        <v>0.84154219577203437</v>
      </c>
      <c r="L53" s="2">
        <f t="array" ref="L53">AVERAGE(IF($K$28:$K$43*$L$28:$L$43*$J$28:$J$43=1,$S$28:$S$43))</f>
        <v>0.87557185199645171</v>
      </c>
      <c r="M53" s="21">
        <f t="shared" si="10"/>
        <v>1.2607783813485903E-2</v>
      </c>
      <c r="N53" s="26">
        <f t="shared" si="8"/>
        <v>1.3495494818057379</v>
      </c>
      <c r="O53" s="26">
        <f t="shared" si="11"/>
        <v>1.3495494818057379</v>
      </c>
      <c r="P53" s="26">
        <f t="shared" si="12"/>
        <v>2.3060041332991172</v>
      </c>
      <c r="Z53" s="14">
        <v>488045</v>
      </c>
      <c r="AA53" s="14" t="s">
        <v>16</v>
      </c>
      <c r="AB53" s="16" t="s">
        <v>77</v>
      </c>
      <c r="AD53" s="1">
        <v>484735</v>
      </c>
      <c r="AE53" s="1" t="s">
        <v>17</v>
      </c>
      <c r="AF53" s="1" t="s">
        <v>81</v>
      </c>
      <c r="AG53" s="1">
        <v>1.2091218179177832</v>
      </c>
    </row>
    <row r="54" spans="1:37">
      <c r="P54" s="21">
        <f>P53</f>
        <v>2.3060041332991172</v>
      </c>
      <c r="Z54" s="12">
        <v>584603</v>
      </c>
      <c r="AA54" s="12" t="s">
        <v>16</v>
      </c>
      <c r="AB54" s="13" t="s">
        <v>79</v>
      </c>
      <c r="AD54" s="1">
        <v>484790</v>
      </c>
      <c r="AE54" s="1" t="s">
        <v>17</v>
      </c>
      <c r="AF54" s="1" t="s">
        <v>80</v>
      </c>
      <c r="AG54" s="1">
        <v>0.90461974514001098</v>
      </c>
    </row>
    <row r="55" spans="1:37">
      <c r="M55" s="1">
        <f>TINV(5%,N55)</f>
        <v>2.3060041332991172</v>
      </c>
      <c r="N55" s="1">
        <v>8</v>
      </c>
      <c r="P55" s="1" t="s">
        <v>144</v>
      </c>
      <c r="Z55" s="14">
        <v>584955</v>
      </c>
      <c r="AA55" s="14" t="s">
        <v>16</v>
      </c>
      <c r="AB55" s="16" t="s">
        <v>76</v>
      </c>
      <c r="AD55" s="1">
        <v>484878</v>
      </c>
      <c r="AE55" s="1" t="s">
        <v>17</v>
      </c>
      <c r="AF55" s="1" t="s">
        <v>76</v>
      </c>
      <c r="AG55" s="1">
        <v>0.87463174461077819</v>
      </c>
    </row>
    <row r="56" spans="1:37">
      <c r="E56" s="1">
        <f>C49/D49</f>
        <v>0.76139088729016779</v>
      </c>
      <c r="I56" s="1" t="s">
        <v>114</v>
      </c>
      <c r="J56" s="1">
        <f>STDEVA(S28:S43)</f>
        <v>6.5082133908802034E-2</v>
      </c>
      <c r="N56" s="1" t="s">
        <v>145</v>
      </c>
      <c r="Z56" s="12">
        <v>585486</v>
      </c>
      <c r="AA56" s="12" t="s">
        <v>16</v>
      </c>
      <c r="AB56" s="13" t="s">
        <v>77</v>
      </c>
      <c r="AD56" s="1">
        <v>484894</v>
      </c>
      <c r="AE56" s="1" t="s">
        <v>16</v>
      </c>
      <c r="AF56" s="1" t="s">
        <v>78</v>
      </c>
      <c r="AG56" s="1">
        <v>0.95022160877740558</v>
      </c>
    </row>
    <row r="57" spans="1:37">
      <c r="I57" s="1" t="s">
        <v>115</v>
      </c>
      <c r="J57" s="1">
        <v>31</v>
      </c>
      <c r="Z57" s="14">
        <v>585961</v>
      </c>
      <c r="AA57" s="14" t="s">
        <v>16</v>
      </c>
      <c r="AB57" s="16" t="s">
        <v>77</v>
      </c>
      <c r="AD57" s="1">
        <v>485128</v>
      </c>
      <c r="AE57" s="1" t="s">
        <v>17</v>
      </c>
      <c r="AF57" s="1" t="s">
        <v>80</v>
      </c>
      <c r="AG57" s="1">
        <v>0.50121002226139166</v>
      </c>
    </row>
    <row r="58" spans="1:37">
      <c r="B58" s="1" t="s">
        <v>73</v>
      </c>
      <c r="C58" s="1" t="s">
        <v>123</v>
      </c>
      <c r="D58" s="1" t="s">
        <v>136</v>
      </c>
      <c r="F58" s="1" t="s">
        <v>123</v>
      </c>
      <c r="I58" s="1" t="s">
        <v>116</v>
      </c>
      <c r="J58" s="1">
        <f>J56/SQRT(J57)</f>
        <v>1.1689096317237399E-2</v>
      </c>
      <c r="M58" s="1" t="s">
        <v>146</v>
      </c>
      <c r="N58" s="1">
        <v>15</v>
      </c>
      <c r="Z58" s="12">
        <v>586143</v>
      </c>
      <c r="AA58" s="12" t="s">
        <v>16</v>
      </c>
      <c r="AB58" s="13" t="s">
        <v>77</v>
      </c>
      <c r="AD58" s="1">
        <v>485150</v>
      </c>
      <c r="AE58" s="1" t="s">
        <v>17</v>
      </c>
      <c r="AF58" s="1" t="s">
        <v>76</v>
      </c>
      <c r="AG58" s="1">
        <v>0.89862120009447921</v>
      </c>
    </row>
    <row r="59" spans="1:37">
      <c r="B59" s="21">
        <f>S28</f>
        <v>0.84657726359796226</v>
      </c>
      <c r="C59" s="21">
        <f>T28</f>
        <v>0.83664252317154397</v>
      </c>
      <c r="D59" s="21">
        <f>(B59-F59)^2</f>
        <v>9.8699067340305395E-5</v>
      </c>
      <c r="F59" s="1">
        <v>0.83664252317154419</v>
      </c>
      <c r="G59" s="1" t="b">
        <f>F59=C59</f>
        <v>1</v>
      </c>
      <c r="M59" s="1" t="s">
        <v>147</v>
      </c>
      <c r="N59" s="1">
        <v>8</v>
      </c>
      <c r="Z59" s="14">
        <v>586545</v>
      </c>
      <c r="AA59" s="14" t="s">
        <v>16</v>
      </c>
      <c r="AB59" s="16" t="s">
        <v>79</v>
      </c>
      <c r="AD59" s="1">
        <v>485304</v>
      </c>
      <c r="AE59" s="1" t="s">
        <v>17</v>
      </c>
      <c r="AF59" s="1" t="s">
        <v>80</v>
      </c>
      <c r="AG59" s="1">
        <v>0.85404446779801646</v>
      </c>
    </row>
    <row r="60" spans="1:37">
      <c r="B60" s="21">
        <f t="shared" ref="B60:C60" si="13">S29</f>
        <v>0.82670778274512613</v>
      </c>
      <c r="C60" s="21">
        <f t="shared" si="13"/>
        <v>0.83664252317154397</v>
      </c>
      <c r="D60" s="21">
        <f t="shared" ref="D60:D74" si="14">(B60-F60)^2</f>
        <v>9.8699067340305395E-5</v>
      </c>
      <c r="F60" s="1">
        <v>0.83664252317154419</v>
      </c>
      <c r="G60" s="1" t="b">
        <f t="shared" ref="G60:G74" si="15">F60=C60</f>
        <v>1</v>
      </c>
      <c r="M60" s="1" t="s">
        <v>148</v>
      </c>
      <c r="N60" s="1">
        <f>N58-N59</f>
        <v>7</v>
      </c>
      <c r="Z60" s="15">
        <v>586547</v>
      </c>
      <c r="AA60" s="15" t="s">
        <v>16</v>
      </c>
      <c r="AB60" s="17" t="s">
        <v>79</v>
      </c>
      <c r="AD60" s="1">
        <v>485334</v>
      </c>
      <c r="AE60" s="1" t="s">
        <v>16</v>
      </c>
      <c r="AF60" s="1" t="s">
        <v>78</v>
      </c>
      <c r="AG60" s="1">
        <v>0.78452843519915616</v>
      </c>
    </row>
    <row r="61" spans="1:37">
      <c r="B61" s="21">
        <f t="shared" ref="B61:C61" si="16">S30</f>
        <v>0.8839134340508441</v>
      </c>
      <c r="C61" s="21">
        <f t="shared" si="16"/>
        <v>0.87146299928795012</v>
      </c>
      <c r="D61" s="21">
        <f t="shared" si="14"/>
        <v>6.2411277849428175E-4</v>
      </c>
      <c r="F61" s="1">
        <v>0.85893118478272812</v>
      </c>
      <c r="G61" s="1" t="b">
        <f t="shared" si="15"/>
        <v>0</v>
      </c>
      <c r="Z61" s="14">
        <v>587230</v>
      </c>
      <c r="AA61" s="14" t="s">
        <v>16</v>
      </c>
      <c r="AB61" s="16" t="s">
        <v>80</v>
      </c>
      <c r="AD61" s="1">
        <v>485367</v>
      </c>
      <c r="AE61" s="1" t="s">
        <v>17</v>
      </c>
      <c r="AF61" s="1" t="s">
        <v>80</v>
      </c>
      <c r="AG61" s="1">
        <v>0.88926092977182392</v>
      </c>
    </row>
    <row r="62" spans="1:37">
      <c r="B62" s="21">
        <f t="shared" ref="B62:C62" si="17">S31</f>
        <v>0.83394893551461247</v>
      </c>
      <c r="C62" s="21">
        <f t="shared" si="17"/>
        <v>0.87146299928795012</v>
      </c>
      <c r="D62" s="21">
        <f t="shared" si="14"/>
        <v>6.2411277849426506E-4</v>
      </c>
      <c r="F62" s="1">
        <v>0.85893118478272812</v>
      </c>
      <c r="G62" s="1" t="b">
        <f t="shared" si="15"/>
        <v>0</v>
      </c>
      <c r="Z62" s="12">
        <v>587497</v>
      </c>
      <c r="AA62" s="12" t="s">
        <v>16</v>
      </c>
      <c r="AB62" s="13" t="s">
        <v>77</v>
      </c>
      <c r="AD62" s="1">
        <v>485466</v>
      </c>
      <c r="AE62" s="1" t="s">
        <v>16</v>
      </c>
      <c r="AF62" s="1" t="s">
        <v>76</v>
      </c>
      <c r="AG62" s="1">
        <v>0.92939721877630654</v>
      </c>
    </row>
    <row r="63" spans="1:37">
      <c r="B63" s="21">
        <f t="shared" ref="B63:C63" si="18">S32</f>
        <v>0.84174648496222704</v>
      </c>
      <c r="C63" s="21">
        <f t="shared" si="18"/>
        <v>0.83654651669763558</v>
      </c>
      <c r="D63" s="21">
        <f t="shared" si="14"/>
        <v>2.7039669952756001E-5</v>
      </c>
      <c r="F63" s="1">
        <v>0.8365465166976358</v>
      </c>
      <c r="G63" s="1" t="b">
        <f t="shared" si="15"/>
        <v>1</v>
      </c>
      <c r="I63" s="1" t="s">
        <v>160</v>
      </c>
      <c r="J63" s="1" t="str">
        <f>CONCATENATE(I63," &amp; ",J46," &amp; ",M46," &amp; ",N46," \\")</f>
        <v>Intercepto &amp; 0,858557023884243 &amp; 0,0126077838134859 &amp; 68,0973783010055 \\</v>
      </c>
      <c r="Z63" s="14">
        <v>588690</v>
      </c>
      <c r="AA63" s="14" t="s">
        <v>16</v>
      </c>
      <c r="AB63" s="16" t="s">
        <v>77</v>
      </c>
      <c r="AD63" s="1">
        <v>485494</v>
      </c>
      <c r="AE63" s="1" t="s">
        <v>17</v>
      </c>
      <c r="AF63" s="1" t="s">
        <v>82</v>
      </c>
      <c r="AG63" s="1">
        <v>0.9894192021528897</v>
      </c>
    </row>
    <row r="64" spans="1:37">
      <c r="B64" s="21">
        <f t="shared" ref="B64:C64" si="19">S33</f>
        <v>0.83134654843304445</v>
      </c>
      <c r="C64" s="21">
        <f t="shared" si="19"/>
        <v>0.83654651669763558</v>
      </c>
      <c r="D64" s="21">
        <f t="shared" si="14"/>
        <v>2.7039669952757157E-5</v>
      </c>
      <c r="F64" s="1">
        <v>0.8365465166976358</v>
      </c>
      <c r="G64" s="1" t="b">
        <f t="shared" si="15"/>
        <v>1</v>
      </c>
      <c r="I64" s="1" t="s">
        <v>91</v>
      </c>
      <c r="J64" s="1" t="str">
        <f t="shared" ref="J64:J70" si="20">CONCATENATE(I64," &amp; ",J47," &amp; ",M47," &amp; ",N47," \\")</f>
        <v>A &amp; 0,0215670940036587 &amp; 0,0126077838134859 &amp; 1,71061737119806 \\</v>
      </c>
      <c r="Z64" s="12">
        <v>588857</v>
      </c>
      <c r="AA64" s="12" t="s">
        <v>16</v>
      </c>
      <c r="AB64" s="13" t="s">
        <v>78</v>
      </c>
      <c r="AD64" s="1">
        <v>485838</v>
      </c>
      <c r="AE64" s="1" t="s">
        <v>16</v>
      </c>
      <c r="AF64" s="1" t="s">
        <v>80</v>
      </c>
      <c r="AG64" s="1">
        <v>0.89097978167083525</v>
      </c>
    </row>
    <row r="65" spans="1:33">
      <c r="B65" s="21">
        <f t="shared" ref="B65:C65" si="21">S34</f>
        <v>0.78115270657632152</v>
      </c>
      <c r="C65" s="21">
        <f t="shared" si="21"/>
        <v>0.80330768036520706</v>
      </c>
      <c r="D65" s="21">
        <f t="shared" si="14"/>
        <v>1.2031732821602358E-3</v>
      </c>
      <c r="F65" s="1">
        <v>0.81583949487042906</v>
      </c>
      <c r="G65" s="1" t="b">
        <f t="shared" si="15"/>
        <v>0</v>
      </c>
      <c r="I65" s="1" t="s">
        <v>92</v>
      </c>
      <c r="J65" s="1" t="str">
        <f t="shared" si="20"/>
        <v>B &amp; -0,022437145267129 &amp; 0,0126077838134859 &amp; -1,77962642753512 \\</v>
      </c>
      <c r="Z65" s="14">
        <v>588970</v>
      </c>
      <c r="AA65" s="14" t="s">
        <v>16</v>
      </c>
      <c r="AB65" s="16" t="s">
        <v>77</v>
      </c>
      <c r="AD65" s="1">
        <v>485979</v>
      </c>
      <c r="AE65" s="1" t="s">
        <v>16</v>
      </c>
      <c r="AF65" s="1" t="s">
        <v>79</v>
      </c>
      <c r="AG65" s="1">
        <v>0.76234650905684709</v>
      </c>
    </row>
    <row r="66" spans="1:33">
      <c r="B66" s="21">
        <f t="shared" ref="B66:C66" si="22">S35</f>
        <v>0.85052628316453638</v>
      </c>
      <c r="C66" s="21">
        <f t="shared" si="22"/>
        <v>0.80330768036520706</v>
      </c>
      <c r="D66" s="21">
        <f t="shared" si="14"/>
        <v>1.2031732821602204E-3</v>
      </c>
      <c r="F66" s="1">
        <v>0.81583949487042906</v>
      </c>
      <c r="G66" s="1" t="b">
        <f t="shared" si="15"/>
        <v>0</v>
      </c>
      <c r="I66" s="1" t="s">
        <v>93</v>
      </c>
      <c r="J66" s="1" t="str">
        <f t="shared" si="20"/>
        <v>C &amp; 0,0127009643993266 &amp; 0,0126077838134859 &amp; 1,00739071887805 \\</v>
      </c>
      <c r="Z66" s="12">
        <v>589500</v>
      </c>
      <c r="AA66" s="12" t="s">
        <v>16</v>
      </c>
      <c r="AB66" s="13" t="s">
        <v>82</v>
      </c>
      <c r="AD66" s="1">
        <v>486234</v>
      </c>
      <c r="AE66" s="1" t="s">
        <v>16</v>
      </c>
      <c r="AF66" s="1" t="s">
        <v>81</v>
      </c>
      <c r="AG66" s="1">
        <v>0.94328948178747796</v>
      </c>
    </row>
    <row r="67" spans="1:33">
      <c r="B67" s="21">
        <f t="shared" ref="B67:C67" si="23">S36</f>
        <v>0.99896409845613265</v>
      </c>
      <c r="C67" s="21">
        <f t="shared" si="23"/>
        <v>0.89994388633254663</v>
      </c>
      <c r="D67" s="21">
        <f t="shared" si="14"/>
        <v>7.4802429225921969E-3</v>
      </c>
      <c r="F67" s="1">
        <v>0.91247570083776885</v>
      </c>
      <c r="G67" s="1" t="b">
        <f t="shared" si="15"/>
        <v>0</v>
      </c>
      <c r="I67" s="1" t="s">
        <v>94</v>
      </c>
      <c r="J67" s="1" t="str">
        <f t="shared" si="20"/>
        <v>A*B &amp; -0,0116402211705771 &amp; 0,0126077838134859 &amp; -0,923256723209845 \\</v>
      </c>
      <c r="Z67" s="14">
        <v>589743</v>
      </c>
      <c r="AA67" s="14" t="s">
        <v>16</v>
      </c>
      <c r="AB67" s="16" t="s">
        <v>82</v>
      </c>
      <c r="AD67" s="1">
        <v>486349</v>
      </c>
      <c r="AE67" s="1" t="s">
        <v>16</v>
      </c>
      <c r="AF67" s="1" t="s">
        <v>82</v>
      </c>
      <c r="AG67" s="1">
        <v>0.88698350230621203</v>
      </c>
    </row>
    <row r="68" spans="1:33">
      <c r="B68" s="21">
        <f t="shared" ref="B68:C68" si="24">S37</f>
        <v>0.82598730321940494</v>
      </c>
      <c r="C68" s="21">
        <f t="shared" si="24"/>
        <v>0.89994388633254663</v>
      </c>
      <c r="D68" s="21">
        <f t="shared" si="14"/>
        <v>7.480242922592216E-3</v>
      </c>
      <c r="F68" s="1">
        <v>0.91247570083776885</v>
      </c>
      <c r="G68" s="1" t="b">
        <f t="shared" si="15"/>
        <v>0</v>
      </c>
      <c r="I68" s="1" t="s">
        <v>95</v>
      </c>
      <c r="J68" s="1" t="str">
        <f t="shared" si="20"/>
        <v>A*C &amp; 0,0123055544533321 &amp; 0,0126077838134859 &amp; 0,976028351641747 \\</v>
      </c>
      <c r="Z68" s="12">
        <v>589870</v>
      </c>
      <c r="AA68" s="12" t="s">
        <v>16</v>
      </c>
      <c r="AB68" s="13" t="s">
        <v>78</v>
      </c>
      <c r="AD68" s="1">
        <v>486471</v>
      </c>
      <c r="AE68" s="1" t="s">
        <v>17</v>
      </c>
      <c r="AF68" s="1" t="s">
        <v>76</v>
      </c>
      <c r="AG68" s="1">
        <v>0.81003154288975432</v>
      </c>
    </row>
    <row r="69" spans="1:33">
      <c r="B69" s="21">
        <f t="shared" ref="B69:C69" si="25">S38</f>
        <v>0.88598621106485353</v>
      </c>
      <c r="C69" s="21">
        <f t="shared" si="25"/>
        <v>0.91592726781344669</v>
      </c>
      <c r="D69" s="21">
        <f t="shared" si="14"/>
        <v>8.9646687922250216E-4</v>
      </c>
      <c r="F69" s="1">
        <v>0.91592726781344713</v>
      </c>
      <c r="G69" s="1" t="b">
        <f t="shared" si="15"/>
        <v>1</v>
      </c>
      <c r="I69" s="1" t="s">
        <v>96</v>
      </c>
      <c r="J69" s="1" t="str">
        <f t="shared" si="20"/>
        <v>B*C &amp; 0,006265907252611 &amp; 0,0126077838134859 &amp; 0,496987206102684 \\</v>
      </c>
      <c r="Z69" s="14">
        <v>589897</v>
      </c>
      <c r="AA69" s="14" t="s">
        <v>16</v>
      </c>
      <c r="AB69" s="16" t="s">
        <v>83</v>
      </c>
      <c r="AD69" s="1">
        <v>486507</v>
      </c>
      <c r="AE69" s="1" t="s">
        <v>17</v>
      </c>
      <c r="AF69" s="1" t="s">
        <v>80</v>
      </c>
      <c r="AG69" s="1">
        <v>0.86635794556157719</v>
      </c>
    </row>
    <row r="70" spans="1:33">
      <c r="B70" s="21">
        <f t="shared" ref="B70:C70" si="26">S39</f>
        <v>0.94586832456204062</v>
      </c>
      <c r="C70" s="21">
        <f t="shared" si="26"/>
        <v>0.91592726781344669</v>
      </c>
      <c r="D70" s="21">
        <f t="shared" si="14"/>
        <v>8.9646687922249554E-4</v>
      </c>
      <c r="F70" s="1">
        <v>0.91592726781344713</v>
      </c>
      <c r="G70" s="1" t="b">
        <f t="shared" si="15"/>
        <v>1</v>
      </c>
      <c r="I70" s="1" t="s">
        <v>97</v>
      </c>
      <c r="J70" s="1" t="str">
        <f t="shared" si="20"/>
        <v>A*B*C &amp; 0,0170148281122087 &amp; 0,0126077838134859 &amp; 1,34954948180574 \\</v>
      </c>
      <c r="Z70" s="12">
        <v>590047</v>
      </c>
      <c r="AA70" s="12" t="s">
        <v>16</v>
      </c>
      <c r="AB70" s="13" t="s">
        <v>81</v>
      </c>
      <c r="AD70" s="1">
        <v>486777</v>
      </c>
      <c r="AE70" s="1" t="s">
        <v>16</v>
      </c>
      <c r="AF70" s="1" t="s">
        <v>77</v>
      </c>
      <c r="AG70" s="1">
        <v>0.93519742237467929</v>
      </c>
    </row>
    <row r="71" spans="1:33">
      <c r="B71" s="21">
        <f t="shared" ref="B71:C71" si="27">S40</f>
        <v>0.79401793760515516</v>
      </c>
      <c r="C71" s="21">
        <f t="shared" si="27"/>
        <v>0.81029131173793933</v>
      </c>
      <c r="D71" s="21">
        <f t="shared" si="14"/>
        <v>1.3999268446601536E-5</v>
      </c>
      <c r="F71" s="1">
        <v>0.79775949723271711</v>
      </c>
      <c r="G71" s="1" t="b">
        <f t="shared" si="15"/>
        <v>0</v>
      </c>
      <c r="Z71" s="14">
        <v>590723</v>
      </c>
      <c r="AA71" s="14" t="s">
        <v>16</v>
      </c>
      <c r="AB71" s="16" t="s">
        <v>83</v>
      </c>
      <c r="AD71" s="1">
        <v>486849</v>
      </c>
      <c r="AE71" s="1" t="s">
        <v>17</v>
      </c>
      <c r="AF71" s="1" t="s">
        <v>80</v>
      </c>
      <c r="AG71" s="1">
        <v>1.0776690413103085</v>
      </c>
    </row>
    <row r="72" spans="1:33">
      <c r="B72" s="21">
        <f t="shared" ref="B72:C72" si="28">S41</f>
        <v>0.80150105686027906</v>
      </c>
      <c r="C72" s="21">
        <f t="shared" si="28"/>
        <v>0.81029131173793933</v>
      </c>
      <c r="D72" s="21">
        <f t="shared" si="14"/>
        <v>1.3999268446601536E-5</v>
      </c>
      <c r="F72" s="1">
        <v>0.79775949723271711</v>
      </c>
      <c r="G72" s="1" t="b">
        <f t="shared" si="15"/>
        <v>0</v>
      </c>
      <c r="Z72" s="15">
        <v>590729</v>
      </c>
      <c r="AA72" s="15" t="s">
        <v>16</v>
      </c>
      <c r="AB72" s="17" t="s">
        <v>76</v>
      </c>
      <c r="AD72" s="1">
        <v>487241</v>
      </c>
      <c r="AE72" s="1" t="s">
        <v>17</v>
      </c>
      <c r="AF72" s="1" t="s">
        <v>80</v>
      </c>
      <c r="AG72" s="1">
        <v>0.98505078941050006</v>
      </c>
    </row>
    <row r="73" spans="1:33">
      <c r="B73" s="21">
        <f t="shared" ref="B73:C73" si="29">S42</f>
        <v>0.80796640784996221</v>
      </c>
      <c r="C73" s="21">
        <f t="shared" si="29"/>
        <v>0.89433400566767407</v>
      </c>
      <c r="D73" s="21">
        <f t="shared" si="14"/>
        <v>7.4593619528020268E-3</v>
      </c>
      <c r="F73" s="1">
        <v>0.89433400566767407</v>
      </c>
      <c r="G73" s="1" t="b">
        <f t="shared" si="15"/>
        <v>1</v>
      </c>
      <c r="Z73" s="14">
        <v>590829</v>
      </c>
      <c r="AA73" s="14" t="s">
        <v>16</v>
      </c>
      <c r="AB73" s="16" t="s">
        <v>79</v>
      </c>
      <c r="AD73" s="1">
        <v>487385</v>
      </c>
      <c r="AE73" s="1" t="s">
        <v>16</v>
      </c>
      <c r="AF73" s="1" t="s">
        <v>77</v>
      </c>
      <c r="AG73" s="1">
        <v>0.88484751138991502</v>
      </c>
    </row>
    <row r="74" spans="1:33">
      <c r="A74" s="2"/>
      <c r="B74" s="26">
        <f t="shared" ref="B74:C74" si="30">S43</f>
        <v>0.98070160348538571</v>
      </c>
      <c r="C74" s="26">
        <f t="shared" si="30"/>
        <v>0.89433400566767407</v>
      </c>
      <c r="D74" s="26">
        <f t="shared" si="14"/>
        <v>7.4593619528019886E-3</v>
      </c>
      <c r="E74" s="2"/>
      <c r="F74" s="2">
        <v>0.89433400566767407</v>
      </c>
      <c r="G74" s="1" t="b">
        <f t="shared" si="15"/>
        <v>1</v>
      </c>
      <c r="Z74" s="12">
        <v>590964</v>
      </c>
      <c r="AA74" s="12" t="s">
        <v>16</v>
      </c>
      <c r="AB74" s="13" t="s">
        <v>81</v>
      </c>
      <c r="AD74" s="1">
        <v>487400</v>
      </c>
      <c r="AE74" s="1" t="s">
        <v>17</v>
      </c>
      <c r="AF74" s="1" t="s">
        <v>77</v>
      </c>
      <c r="AG74" s="1">
        <v>0.9102349562951495</v>
      </c>
    </row>
    <row r="75" spans="1:33">
      <c r="A75" s="22" t="s">
        <v>129</v>
      </c>
      <c r="B75" s="1">
        <f>AVERAGE(B59:B74)</f>
        <v>0.85855702388424293</v>
      </c>
      <c r="Z75" s="14">
        <v>591195</v>
      </c>
      <c r="AA75" s="14" t="s">
        <v>16</v>
      </c>
      <c r="AB75" s="16" t="s">
        <v>78</v>
      </c>
      <c r="AD75" s="1">
        <v>487877</v>
      </c>
      <c r="AE75" s="1" t="s">
        <v>16</v>
      </c>
      <c r="AF75" s="1" t="s">
        <v>83</v>
      </c>
      <c r="AG75" s="1">
        <v>0.99896409845613265</v>
      </c>
    </row>
    <row r="76" spans="1:33">
      <c r="C76" s="1" t="s">
        <v>125</v>
      </c>
      <c r="D76" s="21">
        <f>SUM(D59:D74)</f>
        <v>3.5606191642021758E-2</v>
      </c>
      <c r="Z76" s="12">
        <v>591622</v>
      </c>
      <c r="AA76" s="12" t="s">
        <v>16</v>
      </c>
      <c r="AB76" s="13" t="s">
        <v>79</v>
      </c>
      <c r="AD76" s="1">
        <v>488201</v>
      </c>
      <c r="AE76" s="1" t="s">
        <v>17</v>
      </c>
      <c r="AF76" s="1" t="s">
        <v>77</v>
      </c>
      <c r="AG76" s="1">
        <v>0.88663383151687858</v>
      </c>
    </row>
    <row r="77" spans="1:33">
      <c r="B77" s="1" t="s">
        <v>132</v>
      </c>
      <c r="C77" s="1" t="s">
        <v>124</v>
      </c>
      <c r="D77" s="21">
        <f>D76/(D79-D80)</f>
        <v>2.5432994030015542E-3</v>
      </c>
      <c r="E77" s="3" t="s">
        <v>131</v>
      </c>
      <c r="F77" s="27">
        <f>SQRT(D77/F79)</f>
        <v>1.6810378417981203E-2</v>
      </c>
      <c r="Z77" s="14">
        <v>591724</v>
      </c>
      <c r="AA77" s="14" t="s">
        <v>16</v>
      </c>
      <c r="AB77" s="16" t="s">
        <v>78</v>
      </c>
      <c r="AD77" s="1">
        <v>488206</v>
      </c>
      <c r="AE77" s="1" t="s">
        <v>17</v>
      </c>
      <c r="AF77" s="1" t="s">
        <v>81</v>
      </c>
      <c r="AG77" s="1">
        <v>0.93709564174890192</v>
      </c>
    </row>
    <row r="78" spans="1:33">
      <c r="B78" s="1" t="s">
        <v>133</v>
      </c>
      <c r="C78" s="8" t="s">
        <v>126</v>
      </c>
      <c r="D78" s="28">
        <f>SQRT(D77)</f>
        <v>5.0431135253943611E-2</v>
      </c>
      <c r="E78" s="1">
        <f>D49</f>
        <v>1.668E-2</v>
      </c>
      <c r="Z78" s="12">
        <v>591826</v>
      </c>
      <c r="AA78" s="12" t="s">
        <v>16</v>
      </c>
      <c r="AB78" s="13" t="s">
        <v>77</v>
      </c>
      <c r="AD78" s="1">
        <v>584603</v>
      </c>
      <c r="AE78" s="1" t="s">
        <v>16</v>
      </c>
      <c r="AF78" s="1" t="s">
        <v>79</v>
      </c>
      <c r="AG78" s="1">
        <v>0.80782727222369755</v>
      </c>
    </row>
    <row r="79" spans="1:33">
      <c r="C79" s="1" t="s">
        <v>115</v>
      </c>
      <c r="D79" s="1">
        <v>16</v>
      </c>
      <c r="E79" s="22" t="s">
        <v>115</v>
      </c>
      <c r="F79" s="1">
        <v>9</v>
      </c>
      <c r="Z79" s="14">
        <v>591977</v>
      </c>
      <c r="AA79" s="14" t="s">
        <v>16</v>
      </c>
      <c r="AB79" s="16" t="s">
        <v>77</v>
      </c>
      <c r="AD79" s="1">
        <v>584621</v>
      </c>
      <c r="AE79" s="1" t="s">
        <v>17</v>
      </c>
      <c r="AF79" s="1" t="s">
        <v>77</v>
      </c>
      <c r="AG79" s="1">
        <v>0.91136435268876081</v>
      </c>
    </row>
    <row r="80" spans="1:33">
      <c r="C80" s="1" t="s">
        <v>122</v>
      </c>
      <c r="D80" s="1">
        <v>2</v>
      </c>
      <c r="Z80" s="12">
        <v>480755</v>
      </c>
      <c r="AA80" s="12" t="s">
        <v>17</v>
      </c>
      <c r="AB80" s="13" t="s">
        <v>81</v>
      </c>
      <c r="AD80" s="1">
        <v>584854</v>
      </c>
      <c r="AE80" s="1" t="s">
        <v>17</v>
      </c>
      <c r="AF80" s="1" t="s">
        <v>80</v>
      </c>
      <c r="AG80" s="1">
        <v>0.92328084153374324</v>
      </c>
    </row>
    <row r="81" spans="3:33">
      <c r="C81" s="1" t="s">
        <v>128</v>
      </c>
      <c r="D81" s="1">
        <f t="array" ref="D81">SUM((B59:B74-B75)^2)</f>
        <v>6.3535262311846891E-2</v>
      </c>
      <c r="Z81" s="14">
        <v>480824</v>
      </c>
      <c r="AA81" s="14" t="s">
        <v>17</v>
      </c>
      <c r="AB81" s="16" t="s">
        <v>79</v>
      </c>
      <c r="AD81" s="1">
        <v>584857</v>
      </c>
      <c r="AE81" s="1" t="s">
        <v>17</v>
      </c>
      <c r="AF81" s="1" t="s">
        <v>77</v>
      </c>
      <c r="AG81" s="1">
        <v>0.97819869938108628</v>
      </c>
    </row>
    <row r="82" spans="3:33">
      <c r="Z82" s="12">
        <v>481205</v>
      </c>
      <c r="AA82" s="12" t="s">
        <v>17</v>
      </c>
      <c r="AB82" s="13" t="s">
        <v>78</v>
      </c>
      <c r="AD82" s="1">
        <v>584955</v>
      </c>
      <c r="AE82" s="1" t="s">
        <v>16</v>
      </c>
      <c r="AF82" s="1" t="s">
        <v>76</v>
      </c>
      <c r="AG82" s="1">
        <v>0.80878737393175082</v>
      </c>
    </row>
    <row r="83" spans="3:33">
      <c r="C83" s="1" t="s">
        <v>127</v>
      </c>
      <c r="D83" s="1">
        <f>1-(D76/D81)</f>
        <v>0.43958377841807439</v>
      </c>
      <c r="Z83" s="14">
        <v>481414</v>
      </c>
      <c r="AA83" s="14" t="s">
        <v>17</v>
      </c>
      <c r="AB83" s="16" t="s">
        <v>76</v>
      </c>
      <c r="AD83" s="1">
        <v>585025</v>
      </c>
      <c r="AE83" s="1" t="s">
        <v>17</v>
      </c>
      <c r="AF83" s="1" t="s">
        <v>80</v>
      </c>
      <c r="AG83" s="1">
        <v>0.95921423449452781</v>
      </c>
    </row>
    <row r="84" spans="3:33">
      <c r="C84" s="1" t="s">
        <v>130</v>
      </c>
      <c r="D84" s="1">
        <f>RSQ(B59:B74,C59:C74)</f>
        <v>0.41998790742758713</v>
      </c>
      <c r="Z84" s="12">
        <v>481461</v>
      </c>
      <c r="AA84" s="12" t="s">
        <v>17</v>
      </c>
      <c r="AB84" s="13" t="s">
        <v>80</v>
      </c>
      <c r="AD84" s="1">
        <v>585046</v>
      </c>
      <c r="AE84" s="1" t="s">
        <v>17</v>
      </c>
      <c r="AF84" s="1" t="s">
        <v>76</v>
      </c>
      <c r="AG84" s="1">
        <v>0.92656879570684014</v>
      </c>
    </row>
    <row r="85" spans="3:33">
      <c r="N85" s="33" t="s">
        <v>149</v>
      </c>
      <c r="Z85" s="14">
        <v>481490</v>
      </c>
      <c r="AA85" s="14" t="s">
        <v>17</v>
      </c>
      <c r="AB85" s="16" t="s">
        <v>80</v>
      </c>
      <c r="AD85" s="1">
        <v>585070</v>
      </c>
      <c r="AE85" s="1" t="s">
        <v>17</v>
      </c>
      <c r="AF85" s="1" t="s">
        <v>76</v>
      </c>
      <c r="AG85" s="1">
        <v>0.84644379487441679</v>
      </c>
    </row>
    <row r="86" spans="3:33">
      <c r="C86" s="1" t="s">
        <v>134</v>
      </c>
      <c r="D86" s="1">
        <f t="array" ref="D86">SUM((J28:J43-AVERAGE(J28:J43))^2)</f>
        <v>16</v>
      </c>
      <c r="E86" s="3" t="s">
        <v>140</v>
      </c>
      <c r="Z86" s="15">
        <v>481491</v>
      </c>
      <c r="AA86" s="15" t="s">
        <v>17</v>
      </c>
      <c r="AB86" s="17" t="s">
        <v>80</v>
      </c>
      <c r="AD86" s="1">
        <v>585200</v>
      </c>
      <c r="AE86" s="1" t="s">
        <v>17</v>
      </c>
      <c r="AF86" s="1" t="s">
        <v>76</v>
      </c>
      <c r="AG86" s="1">
        <v>0.79898178204319326</v>
      </c>
    </row>
    <row r="87" spans="3:33">
      <c r="C87" s="29" t="s">
        <v>135</v>
      </c>
      <c r="D87" s="31">
        <f>D78/SQRT(D86)</f>
        <v>1.2607783813485903E-2</v>
      </c>
      <c r="E87" s="30">
        <f>(E78-F77)/E78</f>
        <v>-7.8164519173382595E-3</v>
      </c>
      <c r="H87" s="1" t="s">
        <v>137</v>
      </c>
      <c r="Z87" s="14">
        <v>481579</v>
      </c>
      <c r="AA87" s="14" t="s">
        <v>17</v>
      </c>
      <c r="AB87" s="16" t="s">
        <v>80</v>
      </c>
      <c r="AD87" s="1">
        <v>585486</v>
      </c>
      <c r="AE87" s="1" t="s">
        <v>16</v>
      </c>
      <c r="AF87" s="1" t="s">
        <v>77</v>
      </c>
      <c r="AG87" s="1">
        <v>0.74741507289215625</v>
      </c>
    </row>
    <row r="88" spans="3:33">
      <c r="Z88" s="12">
        <v>481711</v>
      </c>
      <c r="AA88" s="12" t="s">
        <v>17</v>
      </c>
      <c r="AB88" s="13" t="s">
        <v>80</v>
      </c>
      <c r="AD88" s="1">
        <v>585961</v>
      </c>
      <c r="AE88" s="1" t="s">
        <v>16</v>
      </c>
      <c r="AF88" s="1" t="s">
        <v>77</v>
      </c>
      <c r="AG88" s="1">
        <v>0.83381338976923625</v>
      </c>
    </row>
    <row r="89" spans="3:33">
      <c r="Z89" s="14">
        <v>481867</v>
      </c>
      <c r="AA89" s="14" t="s">
        <v>17</v>
      </c>
      <c r="AB89" s="16" t="s">
        <v>80</v>
      </c>
      <c r="AD89" s="1">
        <v>586143</v>
      </c>
      <c r="AE89" s="1" t="s">
        <v>16</v>
      </c>
      <c r="AF89" s="1" t="s">
        <v>77</v>
      </c>
      <c r="AG89" s="1">
        <v>0.77012725573070051</v>
      </c>
    </row>
    <row r="90" spans="3:33">
      <c r="Z90" s="12">
        <v>482341</v>
      </c>
      <c r="AA90" s="12" t="s">
        <v>17</v>
      </c>
      <c r="AB90" s="13" t="s">
        <v>79</v>
      </c>
      <c r="AD90" s="1">
        <v>586149</v>
      </c>
      <c r="AE90" s="1" t="s">
        <v>17</v>
      </c>
      <c r="AF90" s="1" t="s">
        <v>77</v>
      </c>
      <c r="AG90" s="1">
        <v>0.90853733161763084</v>
      </c>
    </row>
    <row r="91" spans="3:33">
      <c r="Z91" s="14">
        <v>482365</v>
      </c>
      <c r="AA91" s="14" t="s">
        <v>17</v>
      </c>
      <c r="AB91" s="16" t="s">
        <v>81</v>
      </c>
      <c r="AD91" s="1">
        <v>586633</v>
      </c>
      <c r="AE91" s="1" t="s">
        <v>17</v>
      </c>
      <c r="AF91" s="1" t="s">
        <v>81</v>
      </c>
      <c r="AG91" s="1">
        <v>0.90653289784888191</v>
      </c>
    </row>
    <row r="92" spans="3:33">
      <c r="Z92" s="12">
        <v>482993</v>
      </c>
      <c r="AA92" s="12" t="s">
        <v>17</v>
      </c>
      <c r="AB92" s="13" t="s">
        <v>81</v>
      </c>
      <c r="AD92" s="1">
        <v>586988</v>
      </c>
      <c r="AE92" s="1" t="s">
        <v>17</v>
      </c>
      <c r="AF92" s="1" t="s">
        <v>78</v>
      </c>
      <c r="AG92" s="1">
        <v>0.84118617711394739</v>
      </c>
    </row>
    <row r="93" spans="3:33">
      <c r="H93" s="2"/>
      <c r="I93" s="2" t="s">
        <v>98</v>
      </c>
      <c r="J93" s="20" t="s">
        <v>89</v>
      </c>
      <c r="K93" s="20" t="s">
        <v>90</v>
      </c>
      <c r="Z93" s="14">
        <v>483440</v>
      </c>
      <c r="AA93" s="14" t="s">
        <v>17</v>
      </c>
      <c r="AB93" s="16" t="s">
        <v>78</v>
      </c>
      <c r="AD93" s="1">
        <v>587230</v>
      </c>
      <c r="AE93" s="1" t="s">
        <v>16</v>
      </c>
      <c r="AF93" s="1" t="s">
        <v>80</v>
      </c>
      <c r="AG93" s="1">
        <v>0.87684708643085285</v>
      </c>
    </row>
    <row r="94" spans="3:33">
      <c r="H94" s="1" t="s">
        <v>87</v>
      </c>
      <c r="I94" s="21"/>
      <c r="Z94" s="12">
        <v>483489</v>
      </c>
      <c r="AA94" s="12" t="s">
        <v>17</v>
      </c>
      <c r="AB94" s="13" t="s">
        <v>81</v>
      </c>
      <c r="AD94" s="1">
        <v>587330</v>
      </c>
      <c r="AE94" s="1" t="s">
        <v>17</v>
      </c>
      <c r="AF94" s="1" t="s">
        <v>78</v>
      </c>
      <c r="AG94" s="1">
        <v>0.61103326723536167</v>
      </c>
    </row>
    <row r="95" spans="3:33">
      <c r="H95" s="1" t="s">
        <v>88</v>
      </c>
      <c r="I95" s="21">
        <f t="shared" ref="I95" si="31">(J95-K95)/2</f>
        <v>2.8048463837228189E-2</v>
      </c>
      <c r="J95" s="1">
        <f t="array" ref="J95">STDEVA(IF($J$28:$J$43=1,$S$28:$S$43))</f>
        <v>8.4792878968868848E-2</v>
      </c>
      <c r="K95" s="1">
        <f t="array" ref="K95">STDEVA(IF($J$28:$J$43=-1,$S$28:$S$43))</f>
        <v>2.8695951294412471E-2</v>
      </c>
      <c r="Z95" s="14">
        <v>483591</v>
      </c>
      <c r="AA95" s="14" t="s">
        <v>17</v>
      </c>
      <c r="AB95" s="16" t="s">
        <v>80</v>
      </c>
      <c r="AD95" s="1">
        <v>587975</v>
      </c>
      <c r="AE95" s="1" t="s">
        <v>17</v>
      </c>
      <c r="AF95" s="1" t="s">
        <v>80</v>
      </c>
      <c r="AG95" s="1">
        <v>0.76885633519386887</v>
      </c>
    </row>
    <row r="96" spans="3:33">
      <c r="H96" s="1" t="s">
        <v>8</v>
      </c>
      <c r="I96" s="21"/>
      <c r="Z96" s="12">
        <v>483744</v>
      </c>
      <c r="AA96" s="12" t="s">
        <v>17</v>
      </c>
      <c r="AB96" s="13" t="s">
        <v>77</v>
      </c>
      <c r="AD96" s="1">
        <v>588045</v>
      </c>
      <c r="AE96" s="1" t="s">
        <v>17</v>
      </c>
      <c r="AF96" s="1" t="s">
        <v>80</v>
      </c>
      <c r="AG96" s="1">
        <v>0.86051039242493099</v>
      </c>
    </row>
    <row r="97" spans="8:33">
      <c r="H97" s="1" t="s">
        <v>113</v>
      </c>
      <c r="I97" s="21"/>
      <c r="Z97" s="14">
        <v>483925</v>
      </c>
      <c r="AA97" s="14" t="s">
        <v>17</v>
      </c>
      <c r="AB97" s="16" t="s">
        <v>80</v>
      </c>
      <c r="AD97" s="1">
        <v>588207</v>
      </c>
      <c r="AE97" s="1" t="s">
        <v>17</v>
      </c>
      <c r="AF97" s="1" t="s">
        <v>77</v>
      </c>
      <c r="AG97" s="1">
        <v>0.85987261146496807</v>
      </c>
    </row>
    <row r="98" spans="8:33">
      <c r="H98" s="1" t="s">
        <v>101</v>
      </c>
      <c r="I98" s="21"/>
      <c r="Z98" s="12">
        <v>484243</v>
      </c>
      <c r="AA98" s="12" t="s">
        <v>17</v>
      </c>
      <c r="AB98" s="13" t="s">
        <v>77</v>
      </c>
      <c r="AD98" s="1">
        <v>588690</v>
      </c>
      <c r="AE98" s="1" t="s">
        <v>16</v>
      </c>
      <c r="AF98" s="1" t="s">
        <v>77</v>
      </c>
      <c r="AG98" s="1">
        <v>0.86551904245896039</v>
      </c>
    </row>
    <row r="99" spans="8:33">
      <c r="H99" s="1" t="s">
        <v>102</v>
      </c>
      <c r="I99" s="21"/>
      <c r="Z99" s="14">
        <v>484735</v>
      </c>
      <c r="AA99" s="14" t="s">
        <v>17</v>
      </c>
      <c r="AB99" s="16" t="s">
        <v>81</v>
      </c>
      <c r="AD99" s="1">
        <v>588787</v>
      </c>
      <c r="AE99" s="1" t="s">
        <v>17</v>
      </c>
      <c r="AF99" s="1" t="s">
        <v>81</v>
      </c>
      <c r="AG99" s="1">
        <v>1.0265750501620143</v>
      </c>
    </row>
    <row r="100" spans="8:33">
      <c r="H100" s="1" t="s">
        <v>103</v>
      </c>
      <c r="I100" s="21"/>
      <c r="Z100" s="12">
        <v>484790</v>
      </c>
      <c r="AA100" s="12" t="s">
        <v>17</v>
      </c>
      <c r="AB100" s="13" t="s">
        <v>80</v>
      </c>
      <c r="AD100" s="1">
        <v>588899</v>
      </c>
      <c r="AE100" s="1" t="s">
        <v>17</v>
      </c>
      <c r="AF100" s="1" t="s">
        <v>81</v>
      </c>
      <c r="AG100" s="1">
        <v>0.96117455090556281</v>
      </c>
    </row>
    <row r="101" spans="8:33">
      <c r="H101" s="2" t="s">
        <v>104</v>
      </c>
      <c r="I101" s="26"/>
      <c r="J101" s="2"/>
      <c r="K101" s="2"/>
      <c r="Z101" s="14">
        <v>484878</v>
      </c>
      <c r="AA101" s="14" t="s">
        <v>17</v>
      </c>
      <c r="AB101" s="16" t="s">
        <v>76</v>
      </c>
      <c r="AD101" s="1">
        <v>588970</v>
      </c>
      <c r="AE101" s="1" t="s">
        <v>16</v>
      </c>
      <c r="AF101" s="1" t="s">
        <v>77</v>
      </c>
      <c r="AG101" s="1">
        <v>0.84219131893574017</v>
      </c>
    </row>
    <row r="102" spans="8:33">
      <c r="Z102" s="12">
        <v>485128</v>
      </c>
      <c r="AA102" s="12" t="s">
        <v>17</v>
      </c>
      <c r="AB102" s="13" t="s">
        <v>80</v>
      </c>
      <c r="AD102" s="1">
        <v>589075</v>
      </c>
      <c r="AE102" s="1" t="s">
        <v>17</v>
      </c>
      <c r="AF102" s="1" t="s">
        <v>76</v>
      </c>
      <c r="AG102" s="1">
        <v>0.94936163605756085</v>
      </c>
    </row>
    <row r="103" spans="8:33">
      <c r="Z103" s="14">
        <v>485150</v>
      </c>
      <c r="AA103" s="14" t="s">
        <v>17</v>
      </c>
      <c r="AB103" s="16" t="s">
        <v>76</v>
      </c>
      <c r="AD103" s="1">
        <v>589249</v>
      </c>
      <c r="AE103" s="1" t="s">
        <v>17</v>
      </c>
      <c r="AF103" s="1" t="s">
        <v>81</v>
      </c>
      <c r="AG103" s="1">
        <v>0.9015857443804024</v>
      </c>
    </row>
    <row r="104" spans="8:33">
      <c r="Z104" s="12">
        <v>485304</v>
      </c>
      <c r="AA104" s="12" t="s">
        <v>17</v>
      </c>
      <c r="AB104" s="13" t="s">
        <v>80</v>
      </c>
      <c r="AD104" s="1">
        <v>589272</v>
      </c>
      <c r="AE104" s="1" t="s">
        <v>17</v>
      </c>
      <c r="AF104" s="1" t="s">
        <v>80</v>
      </c>
      <c r="AG104" s="1">
        <v>0.95413594679318503</v>
      </c>
    </row>
    <row r="105" spans="8:33">
      <c r="Z105" s="14">
        <v>485367</v>
      </c>
      <c r="AA105" s="14" t="s">
        <v>17</v>
      </c>
      <c r="AB105" s="16" t="s">
        <v>80</v>
      </c>
      <c r="AD105" s="1">
        <v>589468</v>
      </c>
      <c r="AE105" s="1" t="s">
        <v>17</v>
      </c>
      <c r="AF105" s="1" t="s">
        <v>77</v>
      </c>
      <c r="AG105" s="1">
        <v>0.57633677456717747</v>
      </c>
    </row>
    <row r="106" spans="8:33">
      <c r="Z106" s="12">
        <v>485494</v>
      </c>
      <c r="AA106" s="12" t="s">
        <v>17</v>
      </c>
      <c r="AB106" s="13" t="s">
        <v>82</v>
      </c>
      <c r="AD106" s="1">
        <v>589500</v>
      </c>
      <c r="AE106" s="1" t="s">
        <v>16</v>
      </c>
      <c r="AF106" s="1" t="s">
        <v>82</v>
      </c>
      <c r="AG106" s="1">
        <v>0.90548383817435663</v>
      </c>
    </row>
    <row r="107" spans="8:33">
      <c r="Z107" s="14">
        <v>486471</v>
      </c>
      <c r="AA107" s="14" t="s">
        <v>17</v>
      </c>
      <c r="AB107" s="16" t="s">
        <v>76</v>
      </c>
      <c r="AD107" s="1">
        <v>589652</v>
      </c>
      <c r="AE107" s="1" t="s">
        <v>17</v>
      </c>
      <c r="AF107" s="1" t="s">
        <v>80</v>
      </c>
      <c r="AG107" s="1">
        <v>0.91088710906436787</v>
      </c>
    </row>
    <row r="108" spans="8:33">
      <c r="Z108" s="12">
        <v>486507</v>
      </c>
      <c r="AA108" s="12" t="s">
        <v>17</v>
      </c>
      <c r="AB108" s="13" t="s">
        <v>80</v>
      </c>
      <c r="AD108" s="1">
        <v>589743</v>
      </c>
      <c r="AE108" s="1" t="s">
        <v>16</v>
      </c>
      <c r="AF108" s="1" t="s">
        <v>82</v>
      </c>
      <c r="AG108" s="1">
        <v>0.63143188306931786</v>
      </c>
    </row>
    <row r="109" spans="8:33">
      <c r="Z109" s="14">
        <v>486849</v>
      </c>
      <c r="AA109" s="14" t="s">
        <v>17</v>
      </c>
      <c r="AB109" s="16" t="s">
        <v>80</v>
      </c>
      <c r="AD109" s="1">
        <v>589870</v>
      </c>
      <c r="AE109" s="1" t="s">
        <v>16</v>
      </c>
      <c r="AF109" s="1" t="s">
        <v>78</v>
      </c>
      <c r="AG109" s="1">
        <v>0.89543793757732426</v>
      </c>
    </row>
    <row r="110" spans="8:33">
      <c r="Z110" s="12">
        <v>487241</v>
      </c>
      <c r="AA110" s="12" t="s">
        <v>17</v>
      </c>
      <c r="AB110" s="13" t="s">
        <v>80</v>
      </c>
      <c r="AD110" s="1">
        <v>589949</v>
      </c>
      <c r="AE110" s="1" t="s">
        <v>17</v>
      </c>
      <c r="AF110" s="1" t="s">
        <v>83</v>
      </c>
      <c r="AG110" s="1">
        <v>0.72494816998553069</v>
      </c>
    </row>
    <row r="111" spans="8:33">
      <c r="Z111" s="14">
        <v>487400</v>
      </c>
      <c r="AA111" s="14" t="s">
        <v>17</v>
      </c>
      <c r="AB111" s="16" t="s">
        <v>77</v>
      </c>
      <c r="AD111" s="1">
        <v>590036</v>
      </c>
      <c r="AE111" s="1" t="s">
        <v>17</v>
      </c>
      <c r="AF111" s="1" t="s">
        <v>77</v>
      </c>
      <c r="AG111" s="1">
        <v>1.0399495413498288</v>
      </c>
    </row>
    <row r="112" spans="8:33">
      <c r="Z112" s="12">
        <v>488201</v>
      </c>
      <c r="AA112" s="12" t="s">
        <v>17</v>
      </c>
      <c r="AB112" s="13" t="s">
        <v>77</v>
      </c>
      <c r="AD112" s="1">
        <v>590041</v>
      </c>
      <c r="AE112" s="1" t="s">
        <v>17</v>
      </c>
      <c r="AF112" s="1" t="s">
        <v>77</v>
      </c>
      <c r="AG112" s="1">
        <v>0.74068231036624554</v>
      </c>
    </row>
    <row r="113" spans="26:33">
      <c r="Z113" s="14">
        <v>488206</v>
      </c>
      <c r="AA113" s="14" t="s">
        <v>17</v>
      </c>
      <c r="AB113" s="16" t="s">
        <v>81</v>
      </c>
      <c r="AD113" s="1">
        <v>590047</v>
      </c>
      <c r="AE113" s="1" t="s">
        <v>16</v>
      </c>
      <c r="AF113" s="1" t="s">
        <v>81</v>
      </c>
      <c r="AG113" s="1">
        <v>0.85285933000514802</v>
      </c>
    </row>
    <row r="114" spans="26:33">
      <c r="Z114" s="12">
        <v>584517</v>
      </c>
      <c r="AA114" s="12" t="s">
        <v>17</v>
      </c>
      <c r="AB114" s="13" t="s">
        <v>82</v>
      </c>
      <c r="AD114" s="1">
        <v>590080</v>
      </c>
      <c r="AE114" s="1" t="s">
        <v>17</v>
      </c>
      <c r="AF114" s="1" t="s">
        <v>82</v>
      </c>
      <c r="AG114" s="1">
        <v>0.97198400481788161</v>
      </c>
    </row>
    <row r="115" spans="26:33">
      <c r="Z115" s="14">
        <v>584621</v>
      </c>
      <c r="AA115" s="14" t="s">
        <v>17</v>
      </c>
      <c r="AB115" s="16" t="s">
        <v>77</v>
      </c>
      <c r="AD115" s="1">
        <v>590108</v>
      </c>
      <c r="AE115" s="1" t="s">
        <v>17</v>
      </c>
      <c r="AF115" s="1" t="s">
        <v>77</v>
      </c>
      <c r="AG115" s="1">
        <v>0.72657809897130887</v>
      </c>
    </row>
    <row r="116" spans="26:33">
      <c r="Z116" s="12">
        <v>584678</v>
      </c>
      <c r="AA116" s="12" t="s">
        <v>17</v>
      </c>
      <c r="AB116" s="13" t="s">
        <v>78</v>
      </c>
      <c r="AD116" s="1">
        <v>590263</v>
      </c>
      <c r="AE116" s="1" t="s">
        <v>17</v>
      </c>
      <c r="AF116" s="1" t="s">
        <v>81</v>
      </c>
      <c r="AG116" s="1">
        <v>0.86662354601347302</v>
      </c>
    </row>
    <row r="117" spans="26:33">
      <c r="Z117" s="14">
        <v>584854</v>
      </c>
      <c r="AA117" s="14" t="s">
        <v>17</v>
      </c>
      <c r="AB117" s="16" t="s">
        <v>80</v>
      </c>
      <c r="AD117" s="1">
        <v>590367</v>
      </c>
      <c r="AE117" s="1" t="s">
        <v>17</v>
      </c>
      <c r="AF117" s="1" t="s">
        <v>76</v>
      </c>
      <c r="AG117" s="1">
        <v>0.9102173459904479</v>
      </c>
    </row>
    <row r="118" spans="26:33">
      <c r="Z118" s="12">
        <v>584857</v>
      </c>
      <c r="AA118" s="12" t="s">
        <v>17</v>
      </c>
      <c r="AB118" s="13" t="s">
        <v>77</v>
      </c>
      <c r="AD118" s="1">
        <v>590368</v>
      </c>
      <c r="AE118" s="1" t="s">
        <v>17</v>
      </c>
      <c r="AF118" s="1" t="s">
        <v>80</v>
      </c>
      <c r="AG118" s="1">
        <v>0.48876792803020336</v>
      </c>
    </row>
    <row r="119" spans="26:33">
      <c r="Z119" s="14">
        <v>585025</v>
      </c>
      <c r="AA119" s="14" t="s">
        <v>17</v>
      </c>
      <c r="AB119" s="16" t="s">
        <v>80</v>
      </c>
      <c r="AD119" s="1">
        <v>590419</v>
      </c>
      <c r="AE119" s="1" t="s">
        <v>17</v>
      </c>
      <c r="AF119" s="1" t="s">
        <v>81</v>
      </c>
      <c r="AG119" s="1">
        <v>0.83749583819297446</v>
      </c>
    </row>
    <row r="120" spans="26:33">
      <c r="Z120" s="12">
        <v>585046</v>
      </c>
      <c r="AA120" s="12" t="s">
        <v>17</v>
      </c>
      <c r="AB120" s="13" t="s">
        <v>76</v>
      </c>
      <c r="AD120" s="1">
        <v>590477</v>
      </c>
      <c r="AE120" s="1" t="s">
        <v>17</v>
      </c>
      <c r="AF120" s="1" t="s">
        <v>81</v>
      </c>
      <c r="AG120" s="1">
        <v>0.91289785145775382</v>
      </c>
    </row>
    <row r="121" spans="26:33">
      <c r="Z121" s="14">
        <v>585070</v>
      </c>
      <c r="AA121" s="14" t="s">
        <v>17</v>
      </c>
      <c r="AB121" s="16" t="s">
        <v>76</v>
      </c>
      <c r="AD121" s="1">
        <v>590493</v>
      </c>
      <c r="AE121" s="1" t="s">
        <v>17</v>
      </c>
      <c r="AF121" s="1" t="s">
        <v>83</v>
      </c>
      <c r="AG121" s="1">
        <v>0.9270264364532792</v>
      </c>
    </row>
    <row r="122" spans="26:33">
      <c r="Z122" s="12">
        <v>585200</v>
      </c>
      <c r="AA122" s="12" t="s">
        <v>17</v>
      </c>
      <c r="AB122" s="13" t="s">
        <v>76</v>
      </c>
      <c r="AD122" s="1">
        <v>590729</v>
      </c>
      <c r="AE122" s="1" t="s">
        <v>16</v>
      </c>
      <c r="AF122" s="1" t="s">
        <v>76</v>
      </c>
      <c r="AG122" s="1">
        <v>0.56898229132919442</v>
      </c>
    </row>
    <row r="123" spans="26:33">
      <c r="Z123" s="14">
        <v>585942</v>
      </c>
      <c r="AA123" s="14" t="s">
        <v>17</v>
      </c>
      <c r="AB123" s="16" t="s">
        <v>82</v>
      </c>
      <c r="AD123" s="1">
        <v>590763</v>
      </c>
      <c r="AE123" s="1" t="s">
        <v>17</v>
      </c>
      <c r="AF123" s="1" t="s">
        <v>80</v>
      </c>
      <c r="AG123" s="1">
        <v>0.9405500851555415</v>
      </c>
    </row>
    <row r="124" spans="26:33">
      <c r="Z124" s="12">
        <v>586149</v>
      </c>
      <c r="AA124" s="12" t="s">
        <v>17</v>
      </c>
      <c r="AB124" s="13" t="s">
        <v>77</v>
      </c>
      <c r="AD124" s="1">
        <v>590766</v>
      </c>
      <c r="AE124" s="1" t="s">
        <v>17</v>
      </c>
      <c r="AF124" s="1" t="s">
        <v>80</v>
      </c>
      <c r="AG124" s="1">
        <v>0.54607338621833335</v>
      </c>
    </row>
    <row r="125" spans="26:33">
      <c r="Z125" s="14">
        <v>586633</v>
      </c>
      <c r="AA125" s="14" t="s">
        <v>17</v>
      </c>
      <c r="AB125" s="16" t="s">
        <v>81</v>
      </c>
      <c r="AD125" s="1">
        <v>590875</v>
      </c>
      <c r="AE125" s="1" t="s">
        <v>17</v>
      </c>
      <c r="AF125" s="1" t="s">
        <v>80</v>
      </c>
      <c r="AG125" s="1">
        <v>0.93934012821083857</v>
      </c>
    </row>
    <row r="126" spans="26:33">
      <c r="Z126" s="12">
        <v>586988</v>
      </c>
      <c r="AA126" s="12" t="s">
        <v>17</v>
      </c>
      <c r="AB126" s="13" t="s">
        <v>78</v>
      </c>
      <c r="AD126" s="1">
        <v>590964</v>
      </c>
      <c r="AE126" s="1" t="s">
        <v>16</v>
      </c>
      <c r="AF126" s="1" t="s">
        <v>81</v>
      </c>
      <c r="AG126" s="1">
        <v>0.86180982140193474</v>
      </c>
    </row>
    <row r="127" spans="26:33">
      <c r="Z127" s="14">
        <v>587330</v>
      </c>
      <c r="AA127" s="14" t="s">
        <v>17</v>
      </c>
      <c r="AB127" s="16" t="s">
        <v>78</v>
      </c>
      <c r="AD127" s="1">
        <v>590981</v>
      </c>
      <c r="AE127" s="1" t="s">
        <v>17</v>
      </c>
      <c r="AF127" s="1" t="s">
        <v>77</v>
      </c>
      <c r="AG127" s="1">
        <v>0.79728522535358293</v>
      </c>
    </row>
    <row r="128" spans="26:33">
      <c r="Z128" s="12">
        <v>587858</v>
      </c>
      <c r="AA128" s="12" t="s">
        <v>17</v>
      </c>
      <c r="AB128" s="13" t="s">
        <v>81</v>
      </c>
      <c r="AD128" s="1">
        <v>590982</v>
      </c>
      <c r="AE128" s="1" t="s">
        <v>17</v>
      </c>
      <c r="AF128" s="1" t="s">
        <v>77</v>
      </c>
      <c r="AG128" s="1">
        <v>0.85730692992984281</v>
      </c>
    </row>
    <row r="129" spans="26:33">
      <c r="Z129" s="14">
        <v>587975</v>
      </c>
      <c r="AA129" s="14" t="s">
        <v>17</v>
      </c>
      <c r="AB129" s="16" t="s">
        <v>80</v>
      </c>
      <c r="AD129" s="1">
        <v>591143</v>
      </c>
      <c r="AE129" s="1" t="s">
        <v>17</v>
      </c>
      <c r="AF129" s="1" t="s">
        <v>81</v>
      </c>
      <c r="AG129" s="1">
        <v>0.87685656248424426</v>
      </c>
    </row>
    <row r="130" spans="26:33">
      <c r="Z130" s="12">
        <v>588045</v>
      </c>
      <c r="AA130" s="12" t="s">
        <v>17</v>
      </c>
      <c r="AB130" s="13" t="s">
        <v>80</v>
      </c>
      <c r="AD130" s="1">
        <v>591195</v>
      </c>
      <c r="AE130" s="1" t="s">
        <v>16</v>
      </c>
      <c r="AF130" s="1" t="s">
        <v>78</v>
      </c>
      <c r="AG130" s="1">
        <v>0.93099305188101356</v>
      </c>
    </row>
    <row r="131" spans="26:33">
      <c r="Z131" s="14">
        <v>588207</v>
      </c>
      <c r="AA131" s="14" t="s">
        <v>17</v>
      </c>
      <c r="AB131" s="16" t="s">
        <v>77</v>
      </c>
      <c r="AD131" s="1">
        <v>591383</v>
      </c>
      <c r="AE131" s="1" t="s">
        <v>17</v>
      </c>
      <c r="AF131" s="1" t="s">
        <v>81</v>
      </c>
      <c r="AG131" s="1">
        <v>0.78478420607226718</v>
      </c>
    </row>
    <row r="132" spans="26:33">
      <c r="Z132" s="12">
        <v>588787</v>
      </c>
      <c r="AA132" s="12" t="s">
        <v>17</v>
      </c>
      <c r="AB132" s="13" t="s">
        <v>81</v>
      </c>
      <c r="AD132" s="1">
        <v>591402</v>
      </c>
      <c r="AE132" s="1" t="s">
        <v>17</v>
      </c>
      <c r="AF132" s="1" t="s">
        <v>77</v>
      </c>
      <c r="AG132" s="1">
        <v>0.54954925548867328</v>
      </c>
    </row>
    <row r="133" spans="26:33">
      <c r="Z133" s="14">
        <v>588899</v>
      </c>
      <c r="AA133" s="14" t="s">
        <v>17</v>
      </c>
      <c r="AB133" s="16" t="s">
        <v>81</v>
      </c>
      <c r="AD133" s="1">
        <v>591468</v>
      </c>
      <c r="AE133" s="1" t="s">
        <v>17</v>
      </c>
      <c r="AF133" s="1" t="s">
        <v>78</v>
      </c>
      <c r="AG133" s="1">
        <v>0.8806884583398964</v>
      </c>
    </row>
    <row r="134" spans="26:33">
      <c r="Z134" s="12">
        <v>589075</v>
      </c>
      <c r="AA134" s="12" t="s">
        <v>17</v>
      </c>
      <c r="AB134" s="13" t="s">
        <v>76</v>
      </c>
      <c r="AD134" s="1">
        <v>591724</v>
      </c>
      <c r="AE134" s="1" t="s">
        <v>16</v>
      </c>
      <c r="AF134" s="1" t="s">
        <v>78</v>
      </c>
      <c r="AG134" s="1">
        <v>0.7968599475817767</v>
      </c>
    </row>
    <row r="135" spans="26:33">
      <c r="Z135" s="14">
        <v>589249</v>
      </c>
      <c r="AA135" s="14" t="s">
        <v>17</v>
      </c>
      <c r="AB135" s="16" t="s">
        <v>81</v>
      </c>
      <c r="AD135" s="1">
        <v>591826</v>
      </c>
      <c r="AE135" s="1" t="s">
        <v>16</v>
      </c>
      <c r="AF135" s="1" t="s">
        <v>77</v>
      </c>
      <c r="AG135" s="1">
        <v>0.92278595266401664</v>
      </c>
    </row>
    <row r="136" spans="26:33">
      <c r="Z136" s="12">
        <v>589272</v>
      </c>
      <c r="AA136" s="12" t="s">
        <v>17</v>
      </c>
      <c r="AB136" s="13" t="s">
        <v>80</v>
      </c>
      <c r="AD136" s="1">
        <v>591977</v>
      </c>
      <c r="AE136" s="1" t="s">
        <v>16</v>
      </c>
      <c r="AF136" s="1" t="s">
        <v>77</v>
      </c>
      <c r="AG136" s="1">
        <v>0.90444940113623307</v>
      </c>
    </row>
    <row r="137" spans="26:33">
      <c r="Z137" s="14">
        <v>589457</v>
      </c>
      <c r="AA137" s="14" t="s">
        <v>17</v>
      </c>
      <c r="AB137" s="16" t="s">
        <v>83</v>
      </c>
    </row>
    <row r="138" spans="26:33">
      <c r="Z138" s="12">
        <v>589468</v>
      </c>
      <c r="AA138" s="12" t="s">
        <v>17</v>
      </c>
      <c r="AB138" s="13" t="s">
        <v>77</v>
      </c>
    </row>
    <row r="139" spans="26:33">
      <c r="Z139" s="14">
        <v>589652</v>
      </c>
      <c r="AA139" s="14" t="s">
        <v>17</v>
      </c>
      <c r="AB139" s="16" t="s">
        <v>80</v>
      </c>
    </row>
    <row r="140" spans="26:33">
      <c r="Z140" s="12">
        <v>589949</v>
      </c>
      <c r="AA140" s="12" t="s">
        <v>17</v>
      </c>
      <c r="AB140" s="13" t="s">
        <v>83</v>
      </c>
    </row>
    <row r="141" spans="26:33">
      <c r="Z141" s="14">
        <v>590036</v>
      </c>
      <c r="AA141" s="14" t="s">
        <v>17</v>
      </c>
      <c r="AB141" s="16" t="s">
        <v>77</v>
      </c>
    </row>
    <row r="142" spans="26:33">
      <c r="Z142" s="12">
        <v>590041</v>
      </c>
      <c r="AA142" s="12" t="s">
        <v>17</v>
      </c>
      <c r="AB142" s="13" t="s">
        <v>77</v>
      </c>
    </row>
    <row r="143" spans="26:33">
      <c r="Z143" s="14">
        <v>590080</v>
      </c>
      <c r="AA143" s="14" t="s">
        <v>17</v>
      </c>
      <c r="AB143" s="16" t="s">
        <v>82</v>
      </c>
    </row>
    <row r="144" spans="26:33">
      <c r="Z144" s="12">
        <v>590108</v>
      </c>
      <c r="AA144" s="12" t="s">
        <v>17</v>
      </c>
      <c r="AB144" s="13" t="s">
        <v>77</v>
      </c>
    </row>
    <row r="145" spans="26:28">
      <c r="Z145" s="14">
        <v>590263</v>
      </c>
      <c r="AA145" s="14" t="s">
        <v>17</v>
      </c>
      <c r="AB145" s="16" t="s">
        <v>81</v>
      </c>
    </row>
    <row r="146" spans="26:28">
      <c r="Z146" s="12">
        <v>590367</v>
      </c>
      <c r="AA146" s="12" t="s">
        <v>17</v>
      </c>
      <c r="AB146" s="13" t="s">
        <v>76</v>
      </c>
    </row>
    <row r="147" spans="26:28">
      <c r="Z147" s="18">
        <v>590368</v>
      </c>
      <c r="AA147" s="18" t="s">
        <v>17</v>
      </c>
      <c r="AB147" s="19" t="s">
        <v>80</v>
      </c>
    </row>
    <row r="148" spans="26:28">
      <c r="Z148" s="12">
        <v>590419</v>
      </c>
      <c r="AA148" s="12" t="s">
        <v>17</v>
      </c>
      <c r="AB148" s="13" t="s">
        <v>81</v>
      </c>
    </row>
    <row r="149" spans="26:28">
      <c r="Z149" s="14">
        <v>590477</v>
      </c>
      <c r="AA149" s="14" t="s">
        <v>17</v>
      </c>
      <c r="AB149" s="16" t="s">
        <v>81</v>
      </c>
    </row>
    <row r="150" spans="26:28">
      <c r="Z150" s="12">
        <v>590493</v>
      </c>
      <c r="AA150" s="12" t="s">
        <v>17</v>
      </c>
      <c r="AB150" s="13" t="s">
        <v>83</v>
      </c>
    </row>
    <row r="151" spans="26:28">
      <c r="Z151" s="14">
        <v>590763</v>
      </c>
      <c r="AA151" s="14" t="s">
        <v>17</v>
      </c>
      <c r="AB151" s="16" t="s">
        <v>80</v>
      </c>
    </row>
    <row r="152" spans="26:28">
      <c r="Z152" s="12">
        <v>590766</v>
      </c>
      <c r="AA152" s="12" t="s">
        <v>17</v>
      </c>
      <c r="AB152" s="13" t="s">
        <v>80</v>
      </c>
    </row>
    <row r="153" spans="26:28">
      <c r="Z153" s="14">
        <v>590875</v>
      </c>
      <c r="AA153" s="14" t="s">
        <v>17</v>
      </c>
      <c r="AB153" s="16" t="s">
        <v>80</v>
      </c>
    </row>
    <row r="154" spans="26:28">
      <c r="Z154" s="12">
        <v>590981</v>
      </c>
      <c r="AA154" s="12" t="s">
        <v>17</v>
      </c>
      <c r="AB154" s="13" t="s">
        <v>77</v>
      </c>
    </row>
    <row r="155" spans="26:28">
      <c r="Z155" s="18">
        <v>590982</v>
      </c>
      <c r="AA155" s="18" t="s">
        <v>17</v>
      </c>
      <c r="AB155" s="19" t="s">
        <v>77</v>
      </c>
    </row>
    <row r="156" spans="26:28">
      <c r="Z156" s="12">
        <v>591080</v>
      </c>
      <c r="AA156" s="12" t="s">
        <v>17</v>
      </c>
      <c r="AB156" s="13" t="s">
        <v>80</v>
      </c>
    </row>
    <row r="157" spans="26:28">
      <c r="Z157" s="14">
        <v>591143</v>
      </c>
      <c r="AA157" s="14" t="s">
        <v>17</v>
      </c>
      <c r="AB157" s="16" t="s">
        <v>81</v>
      </c>
    </row>
    <row r="158" spans="26:28">
      <c r="Z158" s="12">
        <v>591383</v>
      </c>
      <c r="AA158" s="12" t="s">
        <v>17</v>
      </c>
      <c r="AB158" s="13" t="s">
        <v>81</v>
      </c>
    </row>
    <row r="159" spans="26:28">
      <c r="Z159" s="14">
        <v>591402</v>
      </c>
      <c r="AA159" s="14" t="s">
        <v>17</v>
      </c>
      <c r="AB159" s="16" t="s">
        <v>77</v>
      </c>
    </row>
    <row r="160" spans="26:28">
      <c r="Z160" s="12">
        <v>591468</v>
      </c>
      <c r="AA160" s="12" t="s">
        <v>17</v>
      </c>
      <c r="AB160" s="13" t="s">
        <v>78</v>
      </c>
    </row>
    <row r="161" spans="26:28">
      <c r="Z161" s="14">
        <v>591477</v>
      </c>
      <c r="AA161" s="14" t="s">
        <v>17</v>
      </c>
      <c r="AB161" s="16" t="s">
        <v>78</v>
      </c>
    </row>
  </sheetData>
  <mergeCells count="1">
    <mergeCell ref="C16:D19"/>
  </mergeCells>
  <pageMargins left="0.511811024" right="0.511811024" top="0.78740157499999996" bottom="0.78740157499999996" header="0.31496062000000002" footer="0.31496062000000002"/>
  <pageSetup paperSize="9" orientation="landscape" horizontalDpi="300" verticalDpi="0" copies="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3</vt:i4>
      </vt:variant>
    </vt:vector>
  </HeadingPairs>
  <TitlesOfParts>
    <vt:vector size="5" baseType="lpstr">
      <vt:lpstr>raw</vt:lpstr>
      <vt:lpstr>table</vt:lpstr>
      <vt:lpstr>fig05</vt:lpstr>
      <vt:lpstr>fig06</vt:lpstr>
      <vt:lpstr>fig07</vt:lpstr>
    </vt:vector>
  </TitlesOfParts>
  <Company>Grupo USIMINAS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ui02173</dc:creator>
  <cp:lastModifiedBy>Usiminas</cp:lastModifiedBy>
  <cp:lastPrinted>2014-01-13T18:34:13Z</cp:lastPrinted>
  <dcterms:created xsi:type="dcterms:W3CDTF">2014-01-08T17:01:06Z</dcterms:created>
  <dcterms:modified xsi:type="dcterms:W3CDTF">2014-01-14T13:36:36Z</dcterms:modified>
</cp:coreProperties>
</file>